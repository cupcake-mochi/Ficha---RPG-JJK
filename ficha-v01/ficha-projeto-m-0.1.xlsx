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FICHA PESSOAL" sheetId="3" state="visible" r:id="rId3"/>
    <sheet xmlns:r="http://schemas.openxmlformats.org/officeDocument/2006/relationships" name="DADOS" sheetId="4" state="hidden" r:id="rId4"/>
    <sheet xmlns:r="http://schemas.openxmlformats.org/officeDocument/2006/relationships" name="GLOSSÁ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 &quot;#,##0"/>
  </numFmts>
  <fonts count="46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Castoro"/>
      <color rgb="FFF4F1F7"/>
      <sz val="10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Castoro"/>
      <color rgb="FFE8DCD4"/>
      <sz val="15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Oswald"/>
      <color rgb="FFE8DCD4"/>
      <sz val="14"/>
    </font>
    <font>
      <name val="Roboto"/>
      <color rgb="FFF4F1F7"/>
      <sz val="10"/>
    </font>
    <font>
      <name val="Roboto"/>
      <color rgb="FFE8DCD4"/>
      <sz val="10"/>
    </font>
    <font>
      <name val="Roboto"/>
      <b val="1"/>
      <color rgb="FFF4F1F7"/>
      <sz val="12"/>
    </font>
    <font>
      <name val="Courier New"/>
      <color rgb="FF998BA9"/>
      <sz val="8"/>
    </font>
    <font>
      <name val="Roboto"/>
      <color rgb="FFF4F1F7"/>
      <sz val="9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24">
    <border>
      <left/>
      <right/>
      <top/>
      <bottom/>
      <diagonal/>
    </border>
    <border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8" fillId="5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9" fillId="4" borderId="2" applyAlignment="1" pivotButton="0" quotePrefix="0" xfId="0">
      <alignment horizontal="center" vertical="center"/>
    </xf>
    <xf numFmtId="0" fontId="1" fillId="3" borderId="8" applyAlignment="1" pivotButton="0" quotePrefix="0" xfId="0">
      <alignment horizontal="left" vertical="center"/>
    </xf>
    <xf numFmtId="0" fontId="9" fillId="4" borderId="4" applyAlignment="1" pivotButton="0" quotePrefix="0" xfId="0">
      <alignment horizontal="center" vertical="center"/>
    </xf>
    <xf numFmtId="0" fontId="8" fillId="5" borderId="1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10" fillId="5" borderId="11" applyAlignment="1" pivotButton="0" quotePrefix="0" xfId="0">
      <alignment horizontal="center" vertical="center"/>
    </xf>
    <xf numFmtId="0" fontId="1" fillId="3" borderId="5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9" fillId="4" borderId="12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right" vertical="bottom"/>
    </xf>
    <xf numFmtId="0" fontId="5" fillId="3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right" vertical="top"/>
    </xf>
    <xf numFmtId="0" fontId="15" fillId="3" borderId="8" applyAlignment="1" pivotButton="0" quotePrefix="0" xfId="0">
      <alignment horizontal="center" vertical="center" textRotation="90"/>
    </xf>
    <xf numFmtId="0" fontId="16" fillId="7" borderId="2" applyAlignment="1" pivotButton="0" quotePrefix="0" xfId="0">
      <alignment horizontal="center" vertical="center" wrapText="1"/>
    </xf>
    <xf numFmtId="0" fontId="17" fillId="4" borderId="11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5" applyAlignment="1" pivotButton="0" quotePrefix="0" xfId="0">
      <alignment horizontal="left" vertical="center"/>
    </xf>
    <xf numFmtId="0" fontId="18" fillId="6" borderId="3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19" fillId="4" borderId="2" applyAlignment="1" pivotButton="0" quotePrefix="0" xfId="0">
      <alignment horizontal="center" vertical="center"/>
    </xf>
    <xf numFmtId="0" fontId="18" fillId="6" borderId="22" applyAlignment="1" pivotButton="0" quotePrefix="0" xfId="0">
      <alignment horizontal="left" vertical="center"/>
    </xf>
    <xf numFmtId="0" fontId="19" fillId="4" borderId="12" applyAlignment="1" pivotButton="0" quotePrefix="0" xfId="0">
      <alignment horizontal="center" vertical="center"/>
    </xf>
    <xf numFmtId="0" fontId="18" fillId="6" borderId="8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1" applyAlignment="1" pivotButton="0" quotePrefix="0" xfId="0">
      <alignment horizontal="center" vertical="center"/>
    </xf>
    <xf numFmtId="0" fontId="18" fillId="5" borderId="6" applyAlignment="1" pivotButton="0" quotePrefix="0" xfId="0">
      <alignment horizontal="center" vertical="center"/>
    </xf>
    <xf numFmtId="0" fontId="20" fillId="5" borderId="6" applyAlignment="1" pivotButton="0" quotePrefix="0" xfId="0">
      <alignment horizontal="center" vertical="center"/>
    </xf>
    <xf numFmtId="0" fontId="21" fillId="5" borderId="6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23" fillId="5" borderId="2" applyAlignment="1" pivotButton="0" quotePrefix="0" xfId="0">
      <alignment horizontal="center" vertical="center"/>
    </xf>
    <xf numFmtId="0" fontId="22" fillId="4" borderId="23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/>
    </xf>
    <xf numFmtId="0" fontId="24" fillId="5" borderId="4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0" fontId="19" fillId="5" borderId="10" applyAlignment="1" pivotButton="0" quotePrefix="0" xfId="0">
      <alignment horizontal="center" vertical="center"/>
    </xf>
    <xf numFmtId="0" fontId="25" fillId="4" borderId="2" applyAlignment="1" pivotButton="0" quotePrefix="0" xfId="0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19" fillId="4" borderId="4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/>
    </xf>
    <xf numFmtId="0" fontId="26" fillId="5" borderId="2" applyAlignment="1" pivotButton="0" quotePrefix="0" xfId="0">
      <alignment horizontal="center" vertical="center"/>
    </xf>
    <xf numFmtId="0" fontId="27" fillId="5" borderId="2" applyAlignment="1" pivotButton="0" quotePrefix="0" xfId="0">
      <alignment horizontal="left" vertical="center"/>
    </xf>
    <xf numFmtId="0" fontId="28" fillId="5" borderId="1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left" vertical="center"/>
    </xf>
    <xf numFmtId="0" fontId="26" fillId="5" borderId="4" applyAlignment="1" pivotButton="0" quotePrefix="0" xfId="0">
      <alignment horizontal="center" vertical="center"/>
    </xf>
    <xf numFmtId="0" fontId="18" fillId="5" borderId="8" applyAlignment="1" pivotButton="0" quotePrefix="0" xfId="0">
      <alignment horizontal="center" vertical="center"/>
    </xf>
    <xf numFmtId="0" fontId="30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 wrapText="1"/>
    </xf>
    <xf numFmtId="0" fontId="23" fillId="5" borderId="23" applyAlignment="1" pivotButton="0" quotePrefix="0" xfId="0">
      <alignment horizontal="center" vertical="center"/>
    </xf>
    <xf numFmtId="0" fontId="19" fillId="4" borderId="4" applyAlignment="1" pivotButton="0" quotePrefix="0" xfId="0">
      <alignment horizontal="center" vertical="center"/>
    </xf>
    <xf numFmtId="0" fontId="31" fillId="5" borderId="2" applyAlignment="1" pivotButton="0" quotePrefix="0" xfId="0">
      <alignment horizontal="center" vertical="center"/>
    </xf>
    <xf numFmtId="0" fontId="23" fillId="5" borderId="2" applyAlignment="1" pivotButton="0" quotePrefix="0" xfId="0">
      <alignment horizontal="center" vertical="center" wrapText="1"/>
    </xf>
    <xf numFmtId="0" fontId="32" fillId="6" borderId="0" applyAlignment="1" pivotButton="0" quotePrefix="0" xfId="0">
      <alignment horizontal="left" vertical="center"/>
    </xf>
    <xf numFmtId="0" fontId="33" fillId="4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center" vertical="center"/>
    </xf>
    <xf numFmtId="0" fontId="34" fillId="5" borderId="2" applyAlignment="1" pivotButton="0" quotePrefix="0" xfId="0">
      <alignment horizontal="left" vertical="center"/>
    </xf>
    <xf numFmtId="0" fontId="35" fillId="5" borderId="2" applyAlignment="1" pivotButton="0" quotePrefix="0" xfId="0">
      <alignment horizontal="center" vertical="center"/>
    </xf>
    <xf numFmtId="0" fontId="36" fillId="5" borderId="4" applyAlignment="1" pivotButton="0" quotePrefix="0" xfId="0">
      <alignment horizontal="center" vertical="center" wrapText="1"/>
    </xf>
    <xf numFmtId="0" fontId="31" fillId="4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0" fontId="36" fillId="5" borderId="2" applyAlignment="1" pivotButton="0" quotePrefix="0" xfId="0">
      <alignment horizontal="center" vertical="center" wrapText="1"/>
    </xf>
    <xf numFmtId="0" fontId="36" fillId="5" borderId="2" applyAlignment="1" pivotButton="0" quotePrefix="0" xfId="0">
      <alignment horizontal="left" vertical="center"/>
    </xf>
    <xf numFmtId="0" fontId="19" fillId="8" borderId="2" applyAlignment="1" pivotButton="0" quotePrefix="0" xfId="0">
      <alignment horizontal="left" vertical="center"/>
    </xf>
    <xf numFmtId="0" fontId="34" fillId="5" borderId="23" applyAlignment="1" pivotButton="0" quotePrefix="0" xfId="0">
      <alignment horizontal="center" vertical="center"/>
    </xf>
    <xf numFmtId="0" fontId="34" fillId="5" borderId="2" applyAlignment="1" pivotButton="0" quotePrefix="0" xfId="0">
      <alignment horizontal="center" vertical="center"/>
    </xf>
    <xf numFmtId="0" fontId="36" fillId="5" borderId="23" applyAlignment="1" pivotButton="0" quotePrefix="0" xfId="0">
      <alignment horizontal="left" vertical="center"/>
    </xf>
    <xf numFmtId="0" fontId="37" fillId="8" borderId="2" applyAlignment="1" pivotButton="0" quotePrefix="0" xfId="0">
      <alignment horizontal="left" vertical="center"/>
    </xf>
    <xf numFmtId="0" fontId="38" fillId="4" borderId="2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8" fillId="5" borderId="2" applyAlignment="1" pivotButton="0" quotePrefix="0" xfId="0">
      <alignment horizontal="center" vertical="center" wrapText="1"/>
    </xf>
    <xf numFmtId="0" fontId="38" fillId="5" borderId="4" applyAlignment="1" pivotButton="0" quotePrefix="0" xfId="0">
      <alignment horizontal="center" vertical="center" wrapText="1"/>
    </xf>
    <xf numFmtId="0" fontId="39" fillId="4" borderId="2" applyAlignment="1" pivotButton="0" quotePrefix="0" xfId="0">
      <alignment horizontal="center" vertical="center"/>
    </xf>
    <xf numFmtId="0" fontId="1" fillId="5" borderId="2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40" fillId="7" borderId="2" applyAlignment="1" pivotButton="0" quotePrefix="0" xfId="0">
      <alignment horizontal="left" vertical="center"/>
    </xf>
    <xf numFmtId="0" fontId="9" fillId="2" borderId="2" applyAlignment="1" pivotButton="0" quotePrefix="0" xfId="0">
      <alignment horizontal="center" vertical="center" wrapText="1"/>
    </xf>
    <xf numFmtId="0" fontId="42" fillId="5" borderId="2" applyAlignment="1" pivotButton="0" quotePrefix="0" xfId="0">
      <alignment horizontal="left" vertical="center"/>
    </xf>
    <xf numFmtId="0" fontId="42" fillId="5" borderId="2" applyAlignment="1" pivotButton="0" quotePrefix="0" xfId="0">
      <alignment horizontal="center" vertical="center"/>
    </xf>
    <xf numFmtId="0" fontId="41" fillId="2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center"/>
    </xf>
    <xf numFmtId="164" fontId="31" fillId="5" borderId="2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43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31" fillId="4" borderId="23" applyAlignment="1" pivotButton="0" quotePrefix="0" xfId="0">
      <alignment horizontal="left" vertical="center"/>
    </xf>
    <xf numFmtId="0" fontId="44" fillId="4" borderId="4" applyAlignment="1" pivotButton="0" quotePrefix="0" xfId="0">
      <alignment horizontal="right" vertical="center"/>
    </xf>
    <xf numFmtId="0" fontId="17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36" fillId="5" borderId="2" applyAlignment="1" pivotButton="0" quotePrefix="0" xfId="0">
      <alignment horizontal="left" vertical="center" wrapText="1"/>
    </xf>
    <xf numFmtId="0" fontId="45" fillId="5" borderId="2" applyAlignment="1" pivotButton="0" quotePrefix="0" xfId="0">
      <alignment horizontal="left" vertical="center" wrapText="1"/>
    </xf>
    <xf numFmtId="0" fontId="23" fillId="4" borderId="2" applyAlignment="1" pivotButton="0" quotePrefix="0" xfId="0">
      <alignment horizontal="center" vertical="center" wrapText="1"/>
    </xf>
    <xf numFmtId="0" fontId="36" fillId="4" borderId="2" applyAlignment="1" pivotButton="0" quotePrefix="0" xfId="0">
      <alignment horizontal="left" vertical="center" wrapText="1"/>
    </xf>
    <xf numFmtId="0" fontId="45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Projeto M</author>
  </authors>
  <commentList>
    <comment ref="BI8" authorId="0" shapeId="0">
      <text>
        <t>Mais duas tabelas de missão, para quando as duas primeiras encherem. O XP total soma as quatro. Elas ficam num grupo de colunas fechado, dentro do painel.</t>
      </text>
    </comment>
    <comment ref="D10" authorId="0" shapeId="0">
      <text>
        <t>Clique na caixa e use Inserir › Imagem › Inserir imagem na célula.</t>
      </text>
    </comment>
    <comment ref="Q10" authorId="0" shapeId="0">
      <text>
        <t>Vem da CARTEIRA: o nome do portador é digitado lá.</t>
      </text>
    </comment>
    <comment ref="AB10" authorId="0" shapeId="0">
      <text>
        <t>A sua patente na instituição. Ela define o salário e libera o Revestimento 2 e 3. Não é o grau da ferramenta que você carrega.</t>
      </text>
    </comment>
    <comment ref="AW10" authorId="0" shapeId="0">
      <text>
        <t>A soma da coluna Total de todas as missões. A caixa XP da FICHA mostra este mesmo número, e o nível sobe por ele.</t>
      </text>
    </comment>
    <comment ref="BC10" authorId="0" shapeId="0">
      <text>
        <t>O XP acumulado que o próximo nível pede, menos o seu XP total. O nível é o da FICHA. Do 20 para o 21 o livro pede também um feito, e o 30 é o topo.</t>
      </text>
    </comment>
    <comment ref="AX14" authorId="0" shapeId="0">
      <text>
        <t>Escolha o tipo da missão. Curta 50, Padrão 100, Longa 200, Final de arco 300, Solo simples 75, Solo complexa 150.</t>
      </text>
    </comment>
    <comment ref="AY14" authorId="0" shapeId="0">
      <text>
        <t>O multiplicador da missão, quando a mesa dá: 1,25x, 1,50x, 2x. Em branco, a missão vale o XP do tipo.</t>
      </text>
    </comment>
    <comment ref="AZ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A14" authorId="0" shapeId="0">
      <text>
        <t>O XP do tipo, vezes o Adicional, vezes o Desconto, sempre em múltiplo de 12,5, para baixo. Quando a conta dá menos de 12,5, a missão não paga.</t>
      </text>
    </comment>
    <comment ref="BD14" authorId="0" shapeId="0">
      <text>
        <t>Escolha o tipo da missão. Curta 50, Padrão 100, Longa 200, Final de arco 300, Solo simples 75, Solo complexa 150.</t>
      </text>
    </comment>
    <comment ref="BE14" authorId="0" shapeId="0">
      <text>
        <t>O multiplicador da missão, quando a mesa dá: 1,25x, 1,50x, 2x. Em branco, a missão vale o XP do tipo.</t>
      </text>
    </comment>
    <comment ref="BF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G14" authorId="0" shapeId="0">
      <text>
        <t>O XP do tipo, vezes o Adicional, vezes o Desconto, sempre em múltiplo de 12,5, para baixo. Quando a conta dá menos de 12,5, a missão não paga.</t>
      </text>
    </comment>
    <comment ref="BJ14" authorId="0" shapeId="0">
      <text>
        <t>Escolha o tipo da missão. Curta 50, Padrão 100, Longa 200, Final de arco 300, Solo simples 75, Solo complexa 150.</t>
      </text>
    </comment>
    <comment ref="BK14" authorId="0" shapeId="0">
      <text>
        <t>O multiplicador da missão, quando a mesa dá: 1,25x, 1,50x, 2x. Em branco, a missão vale o XP do tipo.</t>
      </text>
    </comment>
    <comment ref="BL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M14" authorId="0" shapeId="0">
      <text>
        <t>O XP do tipo, vezes o Adicional, vezes o Desconto, sempre em múltiplo de 12,5, para baixo. Quando a conta dá menos de 12,5, a missão não paga.</t>
      </text>
    </comment>
    <comment ref="BP14" authorId="0" shapeId="0">
      <text>
        <t>Escolha o tipo da missão. Curta 50, Padrão 100, Longa 200, Final de arco 300, Solo simples 75, Solo complexa 150.</t>
      </text>
    </comment>
    <comment ref="BQ14" authorId="0" shapeId="0">
      <text>
        <t>O multiplicador da missão, quando a mesa dá: 1,25x, 1,50x, 2x. Em branco, a missão vale o XP do tipo.</t>
      </text>
    </comment>
    <comment ref="BR14" authorId="0" shapeId="0">
      <text>
        <t>Para a missão que pagou menos. Na sua semana, a terceira missão paga 50%, a quarta 25%, a quinta 12,5% e a sexta 6,25%. Missão que falhou e pagou metade também é 50%. Em branco, paga cheio.</t>
      </text>
    </comment>
    <comment ref="BS14" authorId="0" shapeId="0">
      <text>
        <t>O XP do tipo, vezes o Adicional, vezes o Desconto, sempre em múltiplo de 12,5, para baixo. Quando a conta dá menos de 12,5, a missão não paga.</t>
      </text>
    </comment>
    <comment ref="D40" authorId="0" shapeId="0">
      <text>
        <t>O menu lista o Soco e o que estiver nos equipáveis guardados. Com arma de duas mãos aqui, a mão secundária fica ocupada.</t>
      </text>
    </comment>
    <comment ref="S40" authorId="0" shapeId="0">
      <text>
        <t>O menu lista as armas de uma mão e os escudos dos equipáveis guardados. Com arma Versátil na mão principal, aparece a opção de segurar a mesma arma nas duas mãos, e o dado sobe um passo.</t>
      </text>
    </comment>
    <comment ref="AH40" authorId="0" shapeId="0">
      <text>
        <t>O menu só lista o que o seu Grau libera. O que você veste aqui e o escudo da mão secundária vão sozinhos para o EQUIPAMENTO da FICHA.</t>
      </text>
    </comment>
    <comment ref="Z44" authorId="0" shapeId="0">
      <text>
        <t>O escudo ocupa a mão. Se o seu Selo é um gesto, com ele na mão a sua técnica não sai.</t>
      </text>
    </comment>
    <comment ref="D46" authorId="0" shapeId="0">
      <text>
        <t>Marque as armas em que você é treinado. A caixa no nome do grupo marca ou desmarca o grupo inteiro de uma vez. Bastião e Vanguarda já vêm com todas marcadas; os outros Caminhos, com Arma de Fogo e Balestra. Sem treino, o ataque com a arma sai com desvantagem.</t>
      </text>
    </comment>
    <comment ref="D62" authorId="0" shapeId="0">
      <text>
        <t>O limite é 5 + Força, em Volume. Cada item leve vale 0,1. Arrastar, empurrar ou levantar é o dobro.</t>
      </text>
    </comment>
    <comment ref="O62" authorId="0" shapeId="0">
      <text>
        <t>Digite quanto você tem. A ficha nova começa com a mensalidade do Grau 4, que é o fundo da criação.</t>
      </text>
    </comment>
    <comment ref="W62" authorId="0" shapeId="0">
      <text>
        <t>Sai do Grau, pela tabela Salário por patente do livro.</t>
      </text>
    </comment>
    <comment ref="AF62" authorId="0" shapeId="0">
      <text>
        <t>Olha a arma de cada mão, o escudo e o uniforme. Quando algo pede mais Força do que você tem, a nota da caixa de baixo diz o que falta e o que isso custa.</t>
      </text>
    </comment>
    <comment ref="AN62" authorId="0" shapeId="0">
      <text>
        <t>Todo Traje carrega uma situação, escolhida na criação. Quando a cena estiver nessa condição, você rola com vantagem os testes de perícia e os Testes de Resistência. Vantagem não empilha: duas fontes valem uma.</t>
      </text>
    </comment>
    <comment ref="D66" authorId="0" shapeId="0">
      <text>
        <t>As duas últimas linhas são livres: digite a linha inteira, para o que não está na lista.</t>
      </text>
    </comment>
    <comment ref="AW66" authorId="0" shapeId="0">
      <text>
        <t>A curva do livro, fixa. Para subir é o que custa sair daquele nível. Acumulado é o XP total em que você chega nele. A seta marca o seu nível.</t>
      </text>
    </comment>
    <comment ref="K68" authorId="0" shapeId="0">
      <text>
        <t>Em branco vale 1.</t>
      </text>
    </comment>
    <comment ref="AG68" authorId="0" shapeId="0">
      <text>
        <t>Quantidade vezes o Volume de um. O item leve vale 0,1. A carga soma esta coluna.</t>
      </text>
    </comment>
    <comment ref="AI68" authorId="0" shapeId="0">
      <text>
        <t>O grau da ferramenta amaldiçoada: a energia que a peça carrega. Arma comum fica em —. Não é a sua patente.</t>
      </text>
    </comment>
    <comment ref="AK68" authorId="0" shapeId="0">
      <text>
        <t>O Estigma da ferramenta amaldiçoada, se ela tiver um. É digitado, porque pode ser criado.</t>
      </text>
    </comment>
    <comment ref="AQ68" authorId="0" shapeId="0">
      <text>
        <t>Só para ferramenta com Desgaste. Anote quantas missões restam: cada missão em que você usar o Estigma gasta uma.</t>
      </text>
    </comment>
    <comment ref="D75" authorId="0" shapeId="0">
      <text>
        <t>Linha livre: digite o nome e as outras colunas à mão. Serve para o que não está no menu das linhas de cima. Na coluna Vol., digite o Volume da linha inteira.</t>
      </text>
    </comment>
    <comment ref="D76" authorId="0" shapeId="0">
      <text>
        <t>Linha livre: digite o nome e as outras colunas à mão. Serve para o que não está no menu das linhas de cima. Na coluna Vol., digite o Volume da linha inteira.</t>
      </text>
    </comment>
    <comment ref="T80" authorId="0" shapeId="0">
      <text>
        <t>Em branco vale 1.</t>
      </text>
    </comment>
    <comment ref="V80" authorId="0" shapeId="0">
      <text>
        <t>Quantidade vezes 0,1, que é o item leve. Se o mestre pesar o item de outro jeito, digite o Volume da linha por cima; apagar a caixa traz a conta de volta.</t>
      </text>
    </comment>
    <comment ref="AP80" authorId="0" shapeId="0">
      <text>
        <t>Em branco vale 1.</t>
      </text>
    </comment>
    <comment ref="AR80" authorId="0" shapeId="0">
      <text>
        <t>Quantidade vezes 0,1, que é o item leve. Se o mestre pesar o item de outro jeito, digite o Volume da linha por cima; apagar a caixa traz a conta de volta.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M-"&amp;SUBSTITUTE(DADOS!$B$1,".","")&amp;"-"&amp;IF(FICHA!$AB$2="","····",UPPER(LEFT(FICHA!$AB$2,4)))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8" t="n"/>
      <c r="AS5" s="8" t="n"/>
      <c r="AT5" s="8" t="n"/>
      <c r="AU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9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</row>
    <row r="8">
      <c r="A8" s="8" t="n"/>
      <c r="B8" s="8" t="n"/>
      <c r="C8" s="8" t="n"/>
      <c r="L8" s="8" t="n"/>
      <c r="M8" s="8" t="n"/>
      <c r="N8" s="8" t="n"/>
      <c r="O8" s="10" t="inlineStr">
        <is>
          <t>PORTADOR</t>
        </is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2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</row>
    <row r="9">
      <c r="A9" s="8" t="n"/>
      <c r="B9" s="8" t="n"/>
      <c r="L9" s="8" t="n"/>
      <c r="M9" s="8" t="n"/>
      <c r="N9" s="8" t="n"/>
      <c r="O9" s="13" t="inlineStr">
        <is>
          <t>Coloque o nome do personagem aqui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5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</row>
    <row r="10">
      <c r="A10" s="8" t="n"/>
      <c r="B10" s="8" t="n"/>
      <c r="L10" s="8" t="n"/>
      <c r="M10" s="8" t="n"/>
      <c r="N10" s="8" t="n"/>
      <c r="O10" s="16" t="n"/>
      <c r="AH10" s="17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</row>
    <row r="11">
      <c r="A11" s="8" t="n"/>
      <c r="B11" s="8" t="n"/>
      <c r="L11" s="8" t="n"/>
      <c r="M11" s="8" t="n"/>
      <c r="N11" s="8" t="n"/>
      <c r="O11" s="16" t="n"/>
      <c r="AH11" s="17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</row>
    <row r="12">
      <c r="A12" s="8" t="n"/>
      <c r="B12" s="8" t="n"/>
      <c r="L12" s="8" t="n"/>
      <c r="M12" s="8" t="n"/>
      <c r="N12" s="8" t="n"/>
      <c r="O12" s="18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20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</row>
    <row r="13">
      <c r="A13" s="8" t="n"/>
      <c r="B13" s="8" t="n"/>
      <c r="L13" s="8" t="n"/>
      <c r="M13" s="8" t="n"/>
      <c r="N13" s="8" t="n"/>
      <c r="O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</row>
    <row r="14">
      <c r="A14" s="8" t="n"/>
      <c r="B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</row>
    <row r="15">
      <c r="A15" s="8" t="n"/>
      <c r="B15" s="8" t="n"/>
      <c r="L15" s="8" t="n"/>
      <c r="M15" s="8" t="n"/>
      <c r="N15" s="8" t="n"/>
      <c r="O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</row>
    <row r="16">
      <c r="A16" s="8" t="n"/>
      <c r="B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</row>
    <row r="17">
      <c r="A17" s="8" t="n"/>
      <c r="B17" s="8" t="n"/>
      <c r="L17" s="8" t="n"/>
      <c r="M17" s="8" t="n"/>
      <c r="N17" s="8" t="n"/>
      <c r="O17" s="21" t="inlineStr">
        <is>
          <t>CAMINHO</t>
        </is>
      </c>
      <c r="P17" s="11" t="n"/>
      <c r="Q17" s="11" t="n"/>
      <c r="R17" s="11" t="n"/>
      <c r="S17" s="11" t="n"/>
      <c r="T17" s="11" t="n"/>
      <c r="U17" s="11" t="n"/>
      <c r="V17" s="11" t="n"/>
      <c r="W17" s="11" t="n"/>
      <c r="X17" s="12" t="n"/>
      <c r="Y17" s="22" t="n"/>
      <c r="Z17" s="23" t="inlineStr">
        <is>
          <t>TRILHA</t>
        </is>
      </c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2" t="n"/>
      <c r="AJ17" s="8" t="n"/>
      <c r="AK17" s="21" t="inlineStr">
        <is>
          <t>ORIGEM</t>
        </is>
      </c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2" t="n"/>
      <c r="AU17" s="8" t="n"/>
    </row>
    <row r="18" ht="20.25" customHeight="1">
      <c r="A18" s="8" t="n"/>
      <c r="B18" s="8" t="n"/>
      <c r="L18" s="8" t="n"/>
      <c r="M18" s="8" t="n"/>
      <c r="N18" s="8" t="n"/>
      <c r="O18" s="24">
        <f>IF(OR(FICHA!D11="",FICHA!D11="Escolha seu Caminho"),"—",FICHA!D11)</f>
        <v/>
      </c>
      <c r="P18" s="14" t="n"/>
      <c r="Q18" s="14" t="n"/>
      <c r="R18" s="14" t="n"/>
      <c r="S18" s="14" t="n"/>
      <c r="T18" s="14" t="n"/>
      <c r="U18" s="14" t="n"/>
      <c r="V18" s="14" t="n"/>
      <c r="W18" s="14" t="n"/>
      <c r="X18" s="15" t="n"/>
      <c r="Y18" s="22" t="n"/>
      <c r="Z18" s="25">
        <f>IF(OR(FICHA!N11="",FICHA!N11="Escolha sua Trilha"),"—",FICHA!N11)</f>
        <v/>
      </c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5" t="n"/>
      <c r="AJ18" s="8" t="n"/>
      <c r="AK18" s="26">
        <f>IF(FICHA!X11="","—",FICHA!X11)</f>
        <v/>
      </c>
      <c r="AL18" s="14" t="n"/>
      <c r="AM18" s="14" t="n"/>
      <c r="AN18" s="14" t="n"/>
      <c r="AO18" s="14" t="n"/>
      <c r="AP18" s="14" t="n"/>
      <c r="AQ18" s="14" t="n"/>
      <c r="AR18" s="14" t="n"/>
      <c r="AS18" s="14" t="n"/>
      <c r="AT18" s="15" t="n"/>
      <c r="AU18" s="8" t="n"/>
    </row>
    <row r="19">
      <c r="A19" s="8" t="n"/>
      <c r="B19" s="8" t="n"/>
      <c r="L19" s="8" t="n"/>
      <c r="M19" s="8" t="n"/>
      <c r="N19" s="8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8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8" t="n"/>
      <c r="AK19" s="27" t="n"/>
      <c r="AL19" s="27" t="n"/>
      <c r="AM19" s="27" t="n"/>
      <c r="AN19" s="27" t="n"/>
      <c r="AO19" s="27" t="n"/>
      <c r="AP19" s="27" t="n"/>
      <c r="AQ19" s="27" t="n"/>
      <c r="AR19" s="27" t="n"/>
      <c r="AS19" s="27" t="n"/>
      <c r="AT19" s="27" t="n"/>
      <c r="AU19" s="8" t="n"/>
    </row>
    <row r="20">
      <c r="A20" s="8" t="n"/>
      <c r="B20" s="8" t="n"/>
      <c r="L20" s="8" t="n"/>
      <c r="M20" s="8" t="n"/>
      <c r="N20" s="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8" t="n"/>
      <c r="AK20" s="28" t="n"/>
      <c r="AL20" s="28" t="n"/>
      <c r="AM20" s="28" t="n"/>
      <c r="AN20" s="28" t="n"/>
      <c r="AO20" s="28" t="n"/>
      <c r="AP20" s="28" t="n"/>
      <c r="AQ20" s="28" t="n"/>
      <c r="AR20" s="28" t="n"/>
      <c r="AS20" s="28" t="n"/>
      <c r="AT20" s="28" t="n"/>
      <c r="AU20" s="8" t="n"/>
    </row>
    <row r="21">
      <c r="A21" s="8" t="n"/>
      <c r="B21" s="8" t="n"/>
      <c r="L21" s="8" t="n"/>
      <c r="M21" s="8" t="n"/>
      <c r="N21" s="8" t="n"/>
      <c r="O21" s="29" t="inlineStr">
        <is>
          <t>NÍVEL</t>
        </is>
      </c>
      <c r="P21" s="19" t="n"/>
      <c r="Q21" s="19" t="n"/>
      <c r="R21" s="19" t="n"/>
      <c r="S21" s="19" t="n"/>
      <c r="T21" s="19" t="n"/>
      <c r="U21" s="19" t="n"/>
      <c r="V21" s="19" t="n"/>
      <c r="W21" s="19" t="n"/>
      <c r="X21" s="20" t="n"/>
      <c r="Y21" s="22" t="n"/>
      <c r="Z21" s="30" t="inlineStr">
        <is>
          <t>SERVIDOR USADO</t>
        </is>
      </c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20" t="n"/>
      <c r="AJ21" s="8" t="n"/>
      <c r="AK21" s="29" t="inlineStr">
        <is>
          <t>REGISTRADO POR</t>
        </is>
      </c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20" t="n"/>
      <c r="AU21" s="8" t="n"/>
    </row>
    <row r="22" ht="20.25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13">
        <f>IF(FICHA!AH11="","—",FICHA!AH11)</f>
        <v/>
      </c>
      <c r="P22" s="11" t="n"/>
      <c r="Q22" s="11" t="n"/>
      <c r="R22" s="11" t="n"/>
      <c r="S22" s="11" t="n"/>
      <c r="T22" s="11" t="n"/>
      <c r="U22" s="11" t="n"/>
      <c r="V22" s="11" t="n"/>
      <c r="W22" s="11" t="n"/>
      <c r="X22" s="12" t="n"/>
      <c r="Y22" s="22" t="n"/>
      <c r="Z22" s="3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2" t="n"/>
      <c r="AJ22" s="8" t="n"/>
      <c r="AK22" s="32" t="inlineStr">
        <is>
          <t>Nick do jogador</t>
        </is>
      </c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10">
        <f>IF(DADOS!$AK$32=1,"TÉCNICA MARCIAL DECLARADA",IF(DADOS!$AK$31=1,"ESTILO DECLARADO","TÉCNICA AMALDIÇOADA DECLARADA"))</f>
        <v/>
      </c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2" t="n"/>
      <c r="AG26" s="33" t="n"/>
      <c r="AH26" s="28" t="n"/>
      <c r="AI26" s="8" t="n"/>
      <c r="AJ26" s="8" t="n"/>
      <c r="AK26" s="8" t="n"/>
      <c r="AL26" s="8" t="n"/>
      <c r="AP26" s="8" t="n"/>
      <c r="AQ26" s="8" t="n"/>
      <c r="AR26" s="8" t="n"/>
      <c r="AS26" s="8" t="n"/>
      <c r="AT26" s="8" t="n"/>
      <c r="AU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32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5" t="n"/>
      <c r="AI27" s="8" t="n"/>
      <c r="AJ27" s="8" t="n"/>
      <c r="AK27" s="8" t="n"/>
      <c r="AP27" s="8" t="n"/>
      <c r="AQ27" s="8" t="n"/>
      <c r="AR27" s="8" t="n"/>
      <c r="AS27" s="8" t="n"/>
      <c r="AT27" s="8" t="n"/>
      <c r="AU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18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20" t="n"/>
      <c r="AI28" s="8" t="n"/>
      <c r="AJ28" s="8" t="n"/>
      <c r="AK28" s="8" t="n"/>
      <c r="AP28" s="8" t="n"/>
      <c r="AQ28" s="8" t="n"/>
      <c r="AR28" s="8" t="n"/>
      <c r="AS28" s="8" t="n"/>
      <c r="AT28" s="8" t="n"/>
      <c r="AU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P29" s="8" t="n"/>
      <c r="AQ29" s="8" t="n"/>
      <c r="AR29" s="8" t="n"/>
      <c r="AS29" s="8" t="n"/>
      <c r="AT29" s="8" t="n"/>
      <c r="AU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AI30" s="8" t="n"/>
      <c r="AJ30" s="8" t="n"/>
      <c r="AK30" s="8" t="n"/>
      <c r="AP30" s="8" t="n"/>
      <c r="AQ30" s="8" t="n"/>
      <c r="AR30" s="8" t="n"/>
      <c r="AS30" s="8" t="n"/>
      <c r="AT30" s="8" t="n"/>
      <c r="AU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34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</row>
    <row r="33">
      <c r="A33" s="8" t="n"/>
      <c r="B33" s="8" t="n"/>
      <c r="C33" s="8" t="n"/>
      <c r="D33" s="34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35" t="inlineStr">
        <is>
          <t>SELO REGISTRADO</t>
        </is>
      </c>
      <c r="AU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</row>
    <row r="38">
      <c r="A38" s="8" t="n"/>
      <c r="B38" s="8" t="n"/>
      <c r="C38" s="36" t="n"/>
      <c r="AE38" s="8" t="n"/>
      <c r="AF38" s="8" t="n"/>
      <c r="AG38" s="8" t="n"/>
      <c r="AH38" s="37">
        <f>IF(OR(FICHA!D11="",FICHA!D11="Escolha seu Caminho"),"—",UPPER(LEFT(FICHA!D11,3))&amp;"-"&amp;TEXT(FICHA!AH11,"00"))</f>
        <v/>
      </c>
      <c r="AU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  <c r="AS1" s="8" t="n"/>
      <c r="AT1" s="8" t="n"/>
      <c r="AU1" s="8" t="n"/>
    </row>
    <row r="2">
      <c r="A2" s="8" t="n"/>
      <c r="B2" s="8" t="n"/>
      <c r="C2" s="8" t="n"/>
      <c r="D2" s="40" t="inlineStr">
        <is>
          <t>呪術</t>
        </is>
      </c>
      <c r="H2" s="41" t="inlineStr">
        <is>
          <t>FICHA DE REGISTRO</t>
        </is>
      </c>
      <c r="AA2" s="8" t="n"/>
      <c r="AB2" s="42">
        <f>IF(OR(CARTEIRA!$O$9="",CARTEIRA!$O$9="Coloque o nome do personagem aqui"),"",CARTEIRA!$O$9)</f>
        <v/>
      </c>
      <c r="AU2" s="8" t="n"/>
    </row>
    <row r="3">
      <c r="A3" s="8" t="n"/>
      <c r="B3" s="8" t="n"/>
      <c r="C3" s="8" t="n"/>
      <c r="AA3" s="8" t="n"/>
      <c r="AU3" s="8" t="n"/>
    </row>
    <row r="4">
      <c r="A4" s="8" t="n"/>
      <c r="B4" s="8" t="n"/>
      <c r="C4" s="8" t="n"/>
      <c r="H4" s="43">
        <f>DADOS!$F$1&amp;" · "&amp;IF(DADOS!$B$1=DADOS!$D$1,"v"&amp;DADOS!$B$1&amp;" · em dia","⚠ v"&amp;DADOS!$B$1&amp;" · a atual é a v"&amp;DADOS!$D$1)</f>
        <v/>
      </c>
      <c r="AA4" s="8" t="n"/>
      <c r="AB4" s="44">
        <f>IF(OR($D$11="",$D$11="Escolha seu Caminho"),"",$D$11&amp;IF(OR($N$11="",$N$11="Escolha sua Trilha"),""," · "&amp;$N$11)&amp;" · nível "&amp;$AH$11)</f>
        <v/>
      </c>
      <c r="AU4" s="8" t="n"/>
    </row>
    <row r="5">
      <c r="A5" s="8" t="n"/>
      <c r="B5" s="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</row>
    <row r="6">
      <c r="A6" s="8" t="n"/>
      <c r="B6" s="22" t="n"/>
      <c r="C6" s="38" t="n"/>
      <c r="AS6" s="38" t="n"/>
      <c r="AT6" s="38" t="n"/>
      <c r="AU6" s="38" t="n"/>
    </row>
    <row r="7">
      <c r="A7" s="8" t="n"/>
      <c r="B7" s="22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</row>
    <row r="8" ht="27" customHeight="1">
      <c r="A8" s="45" t="inlineStr">
        <is>
          <t>PROJETO M</t>
        </is>
      </c>
      <c r="B8" s="17" t="n"/>
      <c r="C8" s="38" t="n"/>
      <c r="D8" s="46" t="n">
        <v>1</v>
      </c>
      <c r="E8" s="14" t="n"/>
      <c r="F8" s="15" t="n"/>
      <c r="G8" s="47" t="inlineStr">
        <is>
          <t>PERFIL AMALDIÇOADO</t>
        </is>
      </c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5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</row>
    <row r="9">
      <c r="B9" s="17" t="n"/>
      <c r="C9" s="38" t="n"/>
      <c r="D9" s="18" t="n"/>
      <c r="E9" s="19" t="n"/>
      <c r="F9" s="20" t="n"/>
      <c r="G9" s="49" t="n"/>
      <c r="H9" s="49" t="n"/>
      <c r="I9" s="49" t="n"/>
      <c r="J9" s="49" t="n"/>
      <c r="K9" s="49" t="n"/>
      <c r="L9" s="49" t="n"/>
      <c r="M9" s="49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49" t="n"/>
      <c r="X9" s="50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51" t="n"/>
      <c r="AI9" s="51" t="n"/>
      <c r="AJ9" s="51" t="n"/>
      <c r="AK9" s="51" t="n"/>
      <c r="AL9" s="51" t="n"/>
      <c r="AM9" s="48" t="n"/>
      <c r="AN9" s="51" t="n"/>
      <c r="AO9" s="51" t="n"/>
      <c r="AP9" s="51" t="n"/>
      <c r="AQ9" s="51" t="n"/>
      <c r="AR9" s="51" t="n"/>
      <c r="AS9" s="51" t="n"/>
      <c r="AT9" s="51" t="n"/>
    </row>
    <row r="10">
      <c r="B10" s="17" t="n"/>
      <c r="C10" s="38" t="n"/>
      <c r="D10" s="52" t="inlineStr">
        <is>
          <t>CAMINHO</t>
        </is>
      </c>
      <c r="E10" s="11" t="n"/>
      <c r="F10" s="11" t="n"/>
      <c r="G10" s="11" t="n"/>
      <c r="H10" s="11" t="n"/>
      <c r="I10" s="11" t="n"/>
      <c r="J10" s="11" t="n"/>
      <c r="K10" s="11" t="n"/>
      <c r="L10" s="12" t="n"/>
      <c r="M10" s="53" t="n"/>
      <c r="N10" s="54" t="inlineStr">
        <is>
          <t>TRILHA</t>
        </is>
      </c>
      <c r="O10" s="19" t="n"/>
      <c r="P10" s="19" t="n"/>
      <c r="Q10" s="19" t="n"/>
      <c r="R10" s="19" t="n"/>
      <c r="S10" s="19" t="n"/>
      <c r="T10" s="19" t="n"/>
      <c r="U10" s="19" t="n"/>
      <c r="V10" s="20" t="n"/>
      <c r="W10" s="53" t="n"/>
      <c r="X10" s="52" t="inlineStr">
        <is>
          <t>ORIGEM</t>
        </is>
      </c>
      <c r="Y10" s="11" t="n"/>
      <c r="Z10" s="11" t="n"/>
      <c r="AA10" s="11" t="n"/>
      <c r="AB10" s="11" t="n"/>
      <c r="AC10" s="11" t="n"/>
      <c r="AD10" s="11" t="n"/>
      <c r="AE10" s="11" t="n"/>
      <c r="AF10" s="12" t="n"/>
      <c r="AG10" s="53" t="n"/>
      <c r="AH10" s="54" t="inlineStr">
        <is>
          <t>NÍVEL</t>
        </is>
      </c>
      <c r="AI10" s="19" t="n"/>
      <c r="AJ10" s="19" t="n"/>
      <c r="AK10" s="19" t="n"/>
      <c r="AL10" s="20" t="n"/>
      <c r="AM10" s="55" t="n"/>
      <c r="AN10" s="56" t="inlineStr">
        <is>
          <t>XP</t>
        </is>
      </c>
      <c r="AO10" s="19" t="n"/>
      <c r="AP10" s="19" t="n"/>
      <c r="AQ10" s="19" t="n"/>
      <c r="AR10" s="19" t="n"/>
      <c r="AS10" s="19" t="n"/>
      <c r="AT10" s="20" t="n"/>
    </row>
    <row r="11" ht="24.75" customHeight="1">
      <c r="B11" s="17" t="n"/>
      <c r="C11" s="38" t="n"/>
      <c r="D11" s="57" t="inlineStr">
        <is>
          <t>Escolha seu Caminho</t>
        </is>
      </c>
      <c r="E11" s="14" t="n"/>
      <c r="F11" s="14" t="n"/>
      <c r="G11" s="14" t="n"/>
      <c r="H11" s="14" t="n"/>
      <c r="I11" s="14" t="n"/>
      <c r="J11" s="14" t="n"/>
      <c r="K11" s="14" t="n"/>
      <c r="L11" s="15" t="n"/>
      <c r="M11" s="55" t="n"/>
      <c r="N11" s="58" t="inlineStr">
        <is>
          <t>Escolha sua Trilha</t>
        </is>
      </c>
      <c r="O11" s="14" t="n"/>
      <c r="P11" s="14" t="n"/>
      <c r="Q11" s="14" t="n"/>
      <c r="R11" s="14" t="n"/>
      <c r="S11" s="14" t="n"/>
      <c r="T11" s="14" t="n"/>
      <c r="U11" s="14" t="n"/>
      <c r="V11" s="15" t="n"/>
      <c r="W11" s="55" t="n"/>
      <c r="X11" s="58" t="inlineStr">
        <is>
          <t>Latente</t>
        </is>
      </c>
      <c r="Y11" s="14" t="n"/>
      <c r="Z11" s="14" t="n"/>
      <c r="AA11" s="14" t="n"/>
      <c r="AB11" s="14" t="n"/>
      <c r="AC11" s="14" t="n"/>
      <c r="AD11" s="14" t="n"/>
      <c r="AE11" s="14" t="n"/>
      <c r="AF11" s="15" t="n"/>
      <c r="AG11" s="55" t="n"/>
      <c r="AH11" s="59" t="n">
        <v>2</v>
      </c>
      <c r="AI11" s="14" t="n"/>
      <c r="AJ11" s="14" t="n"/>
      <c r="AK11" s="14" t="n"/>
      <c r="AL11" s="15" t="n"/>
      <c r="AM11" s="55" t="n"/>
      <c r="AN11" s="60">
        <f>DADOS!$CZ$42</f>
        <v/>
      </c>
      <c r="AO11" s="14" t="n"/>
      <c r="AP11" s="14" t="n"/>
      <c r="AQ11" s="14" t="n"/>
      <c r="AR11" s="14" t="n"/>
      <c r="AS11" s="14" t="n"/>
      <c r="AT11" s="15" t="n"/>
    </row>
    <row r="12">
      <c r="B12" s="17" t="n"/>
      <c r="C12" s="38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8" t="n"/>
      <c r="N12" s="49" t="n"/>
      <c r="O12" s="49" t="n"/>
      <c r="P12" s="49" t="n"/>
      <c r="Q12" s="49" t="n"/>
      <c r="R12" s="61" t="n"/>
      <c r="S12" s="49" t="n"/>
      <c r="T12" s="49" t="n"/>
      <c r="U12" s="49" t="n"/>
      <c r="V12" s="49" t="n"/>
      <c r="W12" s="48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8" t="n"/>
      <c r="AH12" s="49" t="n"/>
      <c r="AI12" s="49" t="n"/>
      <c r="AJ12" s="49" t="n"/>
      <c r="AK12" s="49" t="n"/>
      <c r="AL12" s="49" t="n"/>
      <c r="AM12" s="48" t="n"/>
      <c r="AN12" s="49" t="n"/>
      <c r="AO12" s="49" t="n"/>
      <c r="AP12" s="49" t="n"/>
      <c r="AQ12" s="49" t="n"/>
      <c r="AR12" s="49" t="n"/>
      <c r="AS12" s="49" t="n"/>
      <c r="AT12" s="49" t="n"/>
    </row>
    <row r="13">
      <c r="B13" s="17" t="n"/>
      <c r="C13" s="3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</row>
    <row r="14">
      <c r="B14" s="17" t="n"/>
      <c r="C14" s="3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62" t="inlineStr">
        <is>
          <t>Pontos Disponíveis</t>
        </is>
      </c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2" t="n"/>
      <c r="AJ14" s="48" t="n"/>
      <c r="AK14" s="62">
        <f>"Pontos de Marco de Corpo Disponíveis - "&amp;IF(DADOS!$AK$11&gt;DADOS!$AK$10,DADOS!$AK$11-DADOS!$AK$10&amp;" a mais",DADOS!$AK$10-DADOS!$AK$11&amp;" de "&amp;DADOS!$AK$10)</f>
        <v/>
      </c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2" t="n"/>
    </row>
    <row r="15" ht="27" customHeight="1">
      <c r="B15" s="17" t="n"/>
      <c r="C15" s="38" t="n"/>
      <c r="D15" s="63" t="n">
        <v>2</v>
      </c>
      <c r="E15" s="14" t="n"/>
      <c r="F15" s="15" t="n"/>
      <c r="G15" s="47" t="inlineStr">
        <is>
          <t>VALORES</t>
        </is>
      </c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5" t="n"/>
      <c r="Y15" s="64" t="n"/>
      <c r="Z15" s="65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2" t="n"/>
      <c r="AJ15" s="48" t="n"/>
      <c r="AK15" s="65" t="n">
        <v>0</v>
      </c>
      <c r="AL15" s="12" t="n"/>
      <c r="AM15" s="65" t="n">
        <v>0</v>
      </c>
      <c r="AN15" s="12" t="n"/>
      <c r="AO15" s="65" t="n">
        <v>0</v>
      </c>
      <c r="AP15" s="12" t="n"/>
      <c r="AQ15" s="65" t="n">
        <v>0</v>
      </c>
      <c r="AR15" s="12" t="n"/>
      <c r="AS15" s="65" t="n">
        <v>0</v>
      </c>
      <c r="AT15" s="12" t="n"/>
    </row>
    <row r="16">
      <c r="B16" s="17" t="n"/>
      <c r="C16" s="38" t="n"/>
      <c r="D16" s="16" t="n"/>
      <c r="F16" s="17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66" t="inlineStr">
        <is>
          <t>FOR</t>
        </is>
      </c>
      <c r="AL16" s="11" t="n"/>
      <c r="AM16" s="66" t="inlineStr">
        <is>
          <t>DEX</t>
        </is>
      </c>
      <c r="AN16" s="11" t="n"/>
      <c r="AO16" s="66" t="inlineStr">
        <is>
          <t>CON</t>
        </is>
      </c>
      <c r="AP16" s="11" t="n"/>
      <c r="AQ16" s="66" t="inlineStr">
        <is>
          <t>INT</t>
        </is>
      </c>
      <c r="AR16" s="11" t="n"/>
      <c r="AS16" s="62" t="inlineStr">
        <is>
          <t>ESS</t>
        </is>
      </c>
      <c r="AT16" s="12" t="n"/>
    </row>
    <row r="17">
      <c r="B17" s="17" t="n"/>
      <c r="C17" s="38" t="n"/>
      <c r="D17" s="18" t="n"/>
      <c r="E17" s="19" t="n"/>
      <c r="F17" s="20" t="n"/>
      <c r="G17" s="48" t="n"/>
      <c r="H17" s="48" t="n"/>
      <c r="I17" s="48" t="n"/>
      <c r="J17" s="48" t="n"/>
      <c r="K17" s="48" t="n"/>
      <c r="L17" s="51" t="n"/>
      <c r="M17" s="51" t="n"/>
      <c r="N17" s="51" t="n"/>
      <c r="O17" s="51" t="n"/>
      <c r="P17" s="51" t="n"/>
      <c r="Q17" s="51" t="n"/>
      <c r="R17" s="51" t="n"/>
      <c r="S17" s="48" t="n"/>
      <c r="T17" s="51" t="n"/>
      <c r="U17" s="51" t="n"/>
      <c r="V17" s="51" t="n"/>
      <c r="W17" s="51" t="n"/>
      <c r="X17" s="51" t="n"/>
      <c r="Y17" s="51" t="n"/>
      <c r="Z17" s="51" t="n"/>
      <c r="AA17" s="48" t="n"/>
      <c r="AB17" s="51" t="n"/>
      <c r="AC17" s="51" t="n"/>
      <c r="AD17" s="51" t="n"/>
      <c r="AE17" s="51" t="n"/>
      <c r="AF17" s="51" t="n"/>
      <c r="AG17" s="51" t="n"/>
      <c r="AH17" s="51" t="n"/>
      <c r="AI17" s="48" t="n"/>
      <c r="AJ17" s="51" t="n"/>
      <c r="AK17" s="51" t="n"/>
      <c r="AL17" s="51" t="n"/>
      <c r="AM17" s="51" t="n"/>
      <c r="AN17" s="51" t="n"/>
      <c r="AO17" s="51" t="n"/>
      <c r="AP17" s="51" t="n"/>
      <c r="AQ17" s="48" t="n"/>
      <c r="AR17" s="48" t="n"/>
      <c r="AS17" s="48" t="n"/>
      <c r="AT17" s="48" t="n"/>
    </row>
    <row r="18">
      <c r="B18" s="17" t="n"/>
      <c r="C18" s="38" t="n"/>
      <c r="D18" s="52" t="inlineStr">
        <is>
          <t>FOR</t>
        </is>
      </c>
      <c r="E18" s="11" t="n"/>
      <c r="F18" s="11" t="n"/>
      <c r="G18" s="11" t="n"/>
      <c r="H18" s="11" t="n"/>
      <c r="I18" s="11" t="n"/>
      <c r="J18" s="12" t="n"/>
      <c r="K18" s="53" t="n"/>
      <c r="L18" s="54" t="inlineStr">
        <is>
          <t>DES</t>
        </is>
      </c>
      <c r="M18" s="19" t="n"/>
      <c r="N18" s="19" t="n"/>
      <c r="O18" s="19" t="n"/>
      <c r="P18" s="19" t="n"/>
      <c r="Q18" s="19" t="n"/>
      <c r="R18" s="20" t="n"/>
      <c r="S18" s="55" t="n"/>
      <c r="T18" s="56" t="inlineStr">
        <is>
          <t>CON</t>
        </is>
      </c>
      <c r="U18" s="19" t="n"/>
      <c r="V18" s="19" t="n"/>
      <c r="W18" s="19" t="n"/>
      <c r="X18" s="19" t="n"/>
      <c r="Y18" s="19" t="n"/>
      <c r="Z18" s="20" t="n"/>
      <c r="AA18" s="55" t="n"/>
      <c r="AB18" s="56" t="inlineStr">
        <is>
          <t>INT</t>
        </is>
      </c>
      <c r="AC18" s="19" t="n"/>
      <c r="AD18" s="19" t="n"/>
      <c r="AE18" s="19" t="n"/>
      <c r="AF18" s="19" t="n"/>
      <c r="AG18" s="19" t="n"/>
      <c r="AH18" s="20" t="n"/>
      <c r="AI18" s="55" t="n"/>
      <c r="AJ18" s="56" t="inlineStr">
        <is>
          <t>ESS</t>
        </is>
      </c>
      <c r="AK18" s="19" t="n"/>
      <c r="AL18" s="19" t="n"/>
      <c r="AM18" s="19" t="n"/>
      <c r="AN18" s="19" t="n"/>
      <c r="AO18" s="19" t="n"/>
      <c r="AP18" s="20" t="n"/>
      <c r="AQ18" s="48" t="n"/>
      <c r="AR18" s="67" t="n"/>
      <c r="AS18" s="48" t="n"/>
      <c r="AT18" s="48" t="n"/>
    </row>
    <row r="19">
      <c r="B19" s="17" t="n"/>
      <c r="C19" s="38" t="n"/>
      <c r="D19" s="68">
        <f>IFERROR(VALUE($D$21&amp;""),0)+IFERROR(VALUE($AK$15&amp;""),0)</f>
        <v/>
      </c>
      <c r="E19" s="14" t="n"/>
      <c r="F19" s="14" t="n"/>
      <c r="G19" s="14" t="n"/>
      <c r="H19" s="14" t="n"/>
      <c r="I19" s="14" t="n"/>
      <c r="J19" s="15" t="n"/>
      <c r="K19" s="55" t="n"/>
      <c r="L19" s="69">
        <f>IFERROR(VALUE($L$21&amp;""),0)+IFERROR(VALUE($AM$15&amp;""),0)</f>
        <v/>
      </c>
      <c r="M19" s="14" t="n"/>
      <c r="N19" s="14" t="n"/>
      <c r="O19" s="14" t="n"/>
      <c r="P19" s="14" t="n"/>
      <c r="Q19" s="14" t="n"/>
      <c r="R19" s="15" t="n"/>
      <c r="S19" s="55" t="n"/>
      <c r="T19" s="69">
        <f>IFERROR(VALUE($T$21&amp;""),0)+IFERROR(VALUE($AO$15&amp;""),0)</f>
        <v/>
      </c>
      <c r="U19" s="14" t="n"/>
      <c r="V19" s="14" t="n"/>
      <c r="W19" s="14" t="n"/>
      <c r="X19" s="14" t="n"/>
      <c r="Y19" s="14" t="n"/>
      <c r="Z19" s="15" t="n"/>
      <c r="AA19" s="55" t="n"/>
      <c r="AB19" s="69">
        <f>IFERROR(VALUE($AB$21&amp;""),0)+IFERROR(VALUE($AQ$15&amp;""),0)</f>
        <v/>
      </c>
      <c r="AC19" s="14" t="n"/>
      <c r="AD19" s="14" t="n"/>
      <c r="AE19" s="14" t="n"/>
      <c r="AF19" s="14" t="n"/>
      <c r="AG19" s="14" t="n"/>
      <c r="AH19" s="15" t="n"/>
      <c r="AI19" s="55" t="n"/>
      <c r="AJ19" s="69">
        <f>IFERROR(VALUE($AJ$21&amp;""),0)+IFERROR(VALUE($AS$15&amp;""),0)</f>
        <v/>
      </c>
      <c r="AK19" s="14" t="n"/>
      <c r="AL19" s="14" t="n"/>
      <c r="AM19" s="14" t="n"/>
      <c r="AN19" s="14" t="n"/>
      <c r="AO19" s="14" t="n"/>
      <c r="AP19" s="15" t="n"/>
      <c r="AQ19" s="48" t="n"/>
      <c r="AR19" s="67" t="n"/>
      <c r="AS19" s="48" t="n"/>
      <c r="AT19" s="48" t="n"/>
    </row>
    <row r="20" ht="29.25" customHeight="1">
      <c r="B20" s="17" t="n"/>
      <c r="C20" s="38" t="n"/>
      <c r="D20" s="18" t="n"/>
      <c r="E20" s="19" t="n"/>
      <c r="F20" s="19" t="n"/>
      <c r="G20" s="19" t="n"/>
      <c r="H20" s="19" t="n"/>
      <c r="I20" s="19" t="n"/>
      <c r="J20" s="20" t="n"/>
      <c r="K20" s="55" t="n"/>
      <c r="L20" s="19" t="n"/>
      <c r="M20" s="19" t="n"/>
      <c r="N20" s="19" t="n"/>
      <c r="O20" s="19" t="n"/>
      <c r="P20" s="19" t="n"/>
      <c r="Q20" s="19" t="n"/>
      <c r="R20" s="20" t="n"/>
      <c r="S20" s="55" t="n"/>
      <c r="T20" s="19" t="n"/>
      <c r="U20" s="19" t="n"/>
      <c r="V20" s="19" t="n"/>
      <c r="W20" s="19" t="n"/>
      <c r="X20" s="19" t="n"/>
      <c r="Y20" s="19" t="n"/>
      <c r="Z20" s="20" t="n"/>
      <c r="AA20" s="55" t="n"/>
      <c r="AB20" s="19" t="n"/>
      <c r="AC20" s="19" t="n"/>
      <c r="AD20" s="19" t="n"/>
      <c r="AE20" s="19" t="n"/>
      <c r="AF20" s="19" t="n"/>
      <c r="AG20" s="19" t="n"/>
      <c r="AH20" s="20" t="n"/>
      <c r="AI20" s="55" t="n"/>
      <c r="AJ20" s="19" t="n"/>
      <c r="AK20" s="19" t="n"/>
      <c r="AL20" s="19" t="n"/>
      <c r="AM20" s="19" t="n"/>
      <c r="AN20" s="19" t="n"/>
      <c r="AO20" s="19" t="n"/>
      <c r="AP20" s="20" t="n"/>
      <c r="AQ20" s="48" t="n"/>
      <c r="AR20" s="48" t="n"/>
      <c r="AS20" s="48" t="n"/>
      <c r="AT20" s="48" t="n"/>
    </row>
    <row r="21" ht="21.75" customHeight="1">
      <c r="B21" s="17" t="n"/>
      <c r="C21" s="38" t="n"/>
      <c r="D21" s="70" t="n">
        <v>0</v>
      </c>
      <c r="E21" s="11" t="n"/>
      <c r="F21" s="11" t="n"/>
      <c r="G21" s="11" t="n"/>
      <c r="H21" s="11" t="n"/>
      <c r="I21" s="11" t="n"/>
      <c r="J21" s="12" t="n"/>
      <c r="K21" s="53" t="n"/>
      <c r="L21" s="71" t="n">
        <v>0</v>
      </c>
      <c r="M21" s="19" t="n"/>
      <c r="N21" s="19" t="n"/>
      <c r="O21" s="19" t="n"/>
      <c r="P21" s="19" t="n"/>
      <c r="Q21" s="19" t="n"/>
      <c r="R21" s="20" t="n"/>
      <c r="S21" s="55" t="n"/>
      <c r="T21" s="72" t="n">
        <v>0</v>
      </c>
      <c r="U21" s="19" t="n"/>
      <c r="V21" s="19" t="n"/>
      <c r="W21" s="19" t="n"/>
      <c r="X21" s="19" t="n"/>
      <c r="Y21" s="19" t="n"/>
      <c r="Z21" s="20" t="n"/>
      <c r="AA21" s="55" t="n"/>
      <c r="AB21" s="72" t="n">
        <v>0</v>
      </c>
      <c r="AC21" s="19" t="n"/>
      <c r="AD21" s="19" t="n"/>
      <c r="AE21" s="19" t="n"/>
      <c r="AF21" s="19" t="n"/>
      <c r="AG21" s="19" t="n"/>
      <c r="AH21" s="20" t="n"/>
      <c r="AI21" s="55" t="n"/>
      <c r="AJ21" s="72" t="n">
        <v>0</v>
      </c>
      <c r="AK21" s="19" t="n"/>
      <c r="AL21" s="19" t="n"/>
      <c r="AM21" s="19" t="n"/>
      <c r="AN21" s="19" t="n"/>
      <c r="AO21" s="19" t="n"/>
      <c r="AP21" s="20" t="n"/>
      <c r="AQ21" s="48" t="n"/>
      <c r="AR21" s="48" t="n"/>
      <c r="AS21" s="48" t="n"/>
      <c r="AT21" s="48" t="n"/>
    </row>
    <row r="22">
      <c r="B22" s="17" t="n"/>
      <c r="C22" s="38" t="n"/>
      <c r="D22" s="73" t="inlineStr">
        <is>
          <t>Força</t>
        </is>
      </c>
      <c r="E22" s="11" t="n"/>
      <c r="F22" s="11" t="n"/>
      <c r="G22" s="11" t="n"/>
      <c r="H22" s="11" t="n"/>
      <c r="I22" s="11" t="n"/>
      <c r="J22" s="12" t="n"/>
      <c r="K22" s="55" t="n"/>
      <c r="L22" s="74" t="inlineStr">
        <is>
          <t>Destreza</t>
        </is>
      </c>
      <c r="M22" s="11" t="n"/>
      <c r="N22" s="11" t="n"/>
      <c r="O22" s="11" t="n"/>
      <c r="P22" s="11" t="n"/>
      <c r="Q22" s="11" t="n"/>
      <c r="R22" s="12" t="n"/>
      <c r="S22" s="55" t="n"/>
      <c r="T22" s="74" t="inlineStr">
        <is>
          <t>Constituição</t>
        </is>
      </c>
      <c r="U22" s="11" t="n"/>
      <c r="V22" s="11" t="n"/>
      <c r="W22" s="11" t="n"/>
      <c r="X22" s="11" t="n"/>
      <c r="Y22" s="11" t="n"/>
      <c r="Z22" s="12" t="n"/>
      <c r="AA22" s="55" t="n"/>
      <c r="AB22" s="74" t="inlineStr">
        <is>
          <t>Inteligência</t>
        </is>
      </c>
      <c r="AC22" s="11" t="n"/>
      <c r="AD22" s="11" t="n"/>
      <c r="AE22" s="11" t="n"/>
      <c r="AF22" s="11" t="n"/>
      <c r="AG22" s="11" t="n"/>
      <c r="AH22" s="12" t="n"/>
      <c r="AI22" s="55" t="n"/>
      <c r="AJ22" s="74" t="inlineStr">
        <is>
          <t>Essência</t>
        </is>
      </c>
      <c r="AK22" s="11" t="n"/>
      <c r="AL22" s="11" t="n"/>
      <c r="AM22" s="11" t="n"/>
      <c r="AN22" s="11" t="n"/>
      <c r="AO22" s="11" t="n"/>
      <c r="AP22" s="12" t="n"/>
      <c r="AQ22" s="48" t="n"/>
      <c r="AR22" s="48" t="n"/>
      <c r="AS22" s="48" t="n"/>
      <c r="AT22" s="48" t="n"/>
    </row>
    <row r="23">
      <c r="B23" s="17" t="n"/>
      <c r="C23" s="38" t="n"/>
      <c r="D23" s="48" t="n"/>
      <c r="E23" s="48" t="n"/>
      <c r="F23" s="49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</row>
    <row r="24">
      <c r="B24" s="17" t="n"/>
      <c r="C24" s="3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</row>
    <row r="25">
      <c r="B25" s="17" t="n"/>
      <c r="C25" s="38" t="n"/>
      <c r="D25" s="52" t="inlineStr">
        <is>
          <t>VIDA - Atual/Máxima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2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52" t="inlineStr">
        <is>
          <t>TEMPORÁRIO</t>
        </is>
      </c>
      <c r="AG25" s="11" t="n"/>
      <c r="AH25" s="11" t="n"/>
      <c r="AI25" s="11" t="n"/>
      <c r="AJ25" s="11" t="n"/>
      <c r="AK25" s="12" t="n"/>
      <c r="AL25" s="55" t="n"/>
      <c r="AM25" s="75" t="inlineStr">
        <is>
          <t>± PERDA &amp;/ou GANHO</t>
        </is>
      </c>
      <c r="AN25" s="11" t="n"/>
      <c r="AO25" s="11" t="n"/>
      <c r="AP25" s="11" t="n"/>
      <c r="AQ25" s="11" t="n"/>
      <c r="AR25" s="12" t="n"/>
      <c r="AS25" s="48" t="n"/>
      <c r="AT25" s="48" t="n"/>
    </row>
    <row r="26" ht="27" customHeight="1">
      <c r="B26" s="17" t="n"/>
      <c r="C26" s="38" t="n"/>
      <c r="D26" s="76">
        <f>J26</f>
        <v/>
      </c>
      <c r="E26" s="14" t="n"/>
      <c r="F26" s="14" t="n"/>
      <c r="G26" s="14" t="n"/>
      <c r="H26" s="15" t="n"/>
      <c r="I26" s="48" t="n"/>
      <c r="J26" s="77">
        <f>IFERROR(IF($D$11="","",(VLOOKUP($D$11,DADOS!$N$5:$U$9,3,FALSE)+$T$19)+(VLOOKUP($D$11,DADOS!$N$5:$U$9,4,FALSE)+$T$19)*($AH$11-1)),"")</f>
        <v/>
      </c>
      <c r="K26" s="14" t="n"/>
      <c r="L26" s="14" t="n"/>
      <c r="M26" s="14" t="n"/>
      <c r="N26" s="15" t="n"/>
      <c r="O26" s="48" t="n"/>
      <c r="P26" s="78">
        <f>IFERROR(__xludf.DUMMYFUNCTION("IFERROR(SPARKLINE($D$26,{""charttype"",""bar"";""max"",$J$26;""color1"",IF(N($J$26)=0,DADOS!$CZ$46,IF($D$26/$J$26&lt;=0.25,""#C2334D"",IF($D$26/$J$26&lt;=0.5,""#D89B3A"",DADOS!$CZ$46)))}),"""")"),"")</f>
        <v/>
      </c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5" t="n"/>
      <c r="AE26" s="48" t="n"/>
      <c r="AF26" s="79" t="n">
        <v>0</v>
      </c>
      <c r="AG26" s="19" t="n"/>
      <c r="AH26" s="19" t="n"/>
      <c r="AI26" s="19" t="n"/>
      <c r="AJ26" s="19" t="n"/>
      <c r="AK26" s="20" t="n"/>
      <c r="AL26" s="48" t="n"/>
      <c r="AM26" s="80" t="n"/>
      <c r="AN26" s="11" t="n"/>
      <c r="AO26" s="11" t="n"/>
      <c r="AP26" s="11" t="n"/>
      <c r="AQ26" s="11" t="n"/>
      <c r="AR26" s="12" t="n"/>
      <c r="AS26" s="48" t="n"/>
      <c r="AT26" s="48" t="n"/>
    </row>
    <row r="27">
      <c r="B27" s="17" t="n"/>
      <c r="C27" s="38" t="n"/>
      <c r="D27" s="18" t="n"/>
      <c r="E27" s="19" t="n"/>
      <c r="F27" s="19" t="n"/>
      <c r="G27" s="19" t="n"/>
      <c r="H27" s="20" t="n"/>
      <c r="I27" s="48" t="n"/>
      <c r="J27" s="18" t="n"/>
      <c r="K27" s="19" t="n"/>
      <c r="L27" s="19" t="n"/>
      <c r="M27" s="19" t="n"/>
      <c r="N27" s="20" t="n"/>
      <c r="O27" s="48" t="n"/>
      <c r="P27" s="18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20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9" t="n"/>
      <c r="AS27" s="48" t="n"/>
      <c r="AT27" s="48" t="n"/>
    </row>
    <row r="28">
      <c r="B28" s="17" t="n"/>
      <c r="C28" s="38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51" t="n"/>
      <c r="AS28" s="48" t="n"/>
      <c r="AT28" s="48" t="n"/>
    </row>
    <row r="29">
      <c r="B29" s="17" t="n"/>
      <c r="C29" s="38" t="n"/>
      <c r="D29" s="54" t="inlineStr">
        <is>
          <t>ENERGIA - Atual/Máxima</t>
        </is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20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52" t="inlineStr">
        <is>
          <t>TEMPORÁRIO</t>
        </is>
      </c>
      <c r="AG29" s="11" t="n"/>
      <c r="AH29" s="11" t="n"/>
      <c r="AI29" s="11" t="n"/>
      <c r="AJ29" s="11" t="n"/>
      <c r="AK29" s="12" t="n"/>
      <c r="AL29" s="55" t="n"/>
      <c r="AM29" s="75" t="inlineStr">
        <is>
          <t>± PERDA &amp;/ou GANHO</t>
        </is>
      </c>
      <c r="AN29" s="11" t="n"/>
      <c r="AO29" s="11" t="n"/>
      <c r="AP29" s="11" t="n"/>
      <c r="AQ29" s="11" t="n"/>
      <c r="AR29" s="12" t="n"/>
      <c r="AS29" s="48" t="n"/>
      <c r="AT29" s="48" t="n"/>
    </row>
    <row r="30" ht="27" customHeight="1">
      <c r="A30" s="8" t="n"/>
      <c r="B30" s="22" t="n"/>
      <c r="C30" s="38" t="n"/>
      <c r="D30" s="76">
        <f>J30</f>
        <v/>
      </c>
      <c r="E30" s="14" t="n"/>
      <c r="F30" s="14" t="n"/>
      <c r="G30" s="14" t="n"/>
      <c r="H30" s="15" t="n"/>
      <c r="I30" s="48" t="n"/>
      <c r="J30" s="77">
        <f>IFERROR(IF($D$11="","",VLOOKUP($D$11,DADOS!$N$5:$U$9,5,FALSE)*$AH$11),"")</f>
        <v/>
      </c>
      <c r="K30" s="14" t="n"/>
      <c r="L30" s="14" t="n"/>
      <c r="M30" s="14" t="n"/>
      <c r="N30" s="15" t="n"/>
      <c r="O30" s="48" t="n"/>
      <c r="P30" s="81">
        <f>IFERROR(__xludf.DUMMYFUNCTION("IFERROR(SPARKLINE($D$30,{""charttype"",""bar"";""max"",$J$30;""color1"",IF(N($J$30)=0,DADOS!$CZ$46,IF($D$30/$J$30&lt;=0.25,""#C2334D"",IF($D$30/$J$30&lt;=0.5,""#D89B3A"",DADOS!$CZ$46)))}),"""")"),"")</f>
        <v/>
      </c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5" t="n"/>
      <c r="AE30" s="48" t="n"/>
      <c r="AF30" s="79" t="n">
        <v>0</v>
      </c>
      <c r="AG30" s="19" t="n"/>
      <c r="AH30" s="19" t="n"/>
      <c r="AI30" s="19" t="n"/>
      <c r="AJ30" s="19" t="n"/>
      <c r="AK30" s="20" t="n"/>
      <c r="AL30" s="48" t="n"/>
      <c r="AM30" s="80" t="n"/>
      <c r="AN30" s="11" t="n"/>
      <c r="AO30" s="11" t="n"/>
      <c r="AP30" s="11" t="n"/>
      <c r="AQ30" s="11" t="n"/>
      <c r="AR30" s="12" t="n"/>
      <c r="AS30" s="48" t="n"/>
      <c r="AT30" s="48" t="n"/>
    </row>
    <row r="31">
      <c r="A31" s="8" t="n"/>
      <c r="B31" s="22" t="n"/>
      <c r="C31" s="38" t="n"/>
      <c r="D31" s="18" t="n"/>
      <c r="E31" s="19" t="n"/>
      <c r="F31" s="19" t="n"/>
      <c r="G31" s="19" t="n"/>
      <c r="H31" s="20" t="n"/>
      <c r="I31" s="48" t="n"/>
      <c r="J31" s="18" t="n"/>
      <c r="K31" s="19" t="n"/>
      <c r="L31" s="19" t="n"/>
      <c r="M31" s="19" t="n"/>
      <c r="N31" s="20" t="n"/>
      <c r="O31" s="48" t="n"/>
      <c r="P31" s="18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20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9" t="n"/>
      <c r="AS31" s="48" t="n"/>
      <c r="AT31" s="48" t="n"/>
    </row>
    <row r="32">
      <c r="A32" s="8" t="n"/>
      <c r="B32" s="22" t="n"/>
      <c r="C32" s="38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51" t="n"/>
      <c r="AS32" s="48" t="n"/>
      <c r="AT32" s="48" t="n"/>
    </row>
    <row r="33">
      <c r="A33" s="45" t="inlineStr">
        <is>
          <t>FICHA DE REGISTRO</t>
        </is>
      </c>
      <c r="B33" s="17" t="n"/>
      <c r="C33" s="38" t="n"/>
      <c r="D33" s="54" t="inlineStr">
        <is>
          <t>INTEGRIDADE - Atual/Máxima</t>
        </is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20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52" t="inlineStr">
        <is>
          <t>TEMPORÁRIO</t>
        </is>
      </c>
      <c r="AG33" s="11" t="n"/>
      <c r="AH33" s="11" t="n"/>
      <c r="AI33" s="11" t="n"/>
      <c r="AJ33" s="11" t="n"/>
      <c r="AK33" s="12" t="n"/>
      <c r="AL33" s="55" t="n"/>
      <c r="AM33" s="75" t="inlineStr">
        <is>
          <t>± PERDA &amp;/ou GANHO</t>
        </is>
      </c>
      <c r="AN33" s="11" t="n"/>
      <c r="AO33" s="11" t="n"/>
      <c r="AP33" s="11" t="n"/>
      <c r="AQ33" s="11" t="n"/>
      <c r="AR33" s="12" t="n"/>
      <c r="AS33" s="48" t="n"/>
      <c r="AT33" s="48" t="n"/>
    </row>
    <row r="34" ht="27" customHeight="1">
      <c r="B34" s="17" t="n"/>
      <c r="C34" s="38" t="n"/>
      <c r="D34" s="76">
        <f>J34</f>
        <v/>
      </c>
      <c r="E34" s="14" t="n"/>
      <c r="F34" s="14" t="n"/>
      <c r="G34" s="14" t="n"/>
      <c r="H34" s="15" t="n"/>
      <c r="I34" s="53" t="n"/>
      <c r="J34" s="82">
        <f>20+(AJ19+5)*($AH$11-1)</f>
        <v/>
      </c>
      <c r="K34" s="14" t="n"/>
      <c r="L34" s="14" t="n"/>
      <c r="M34" s="14" t="n"/>
      <c r="N34" s="15" t="n"/>
      <c r="O34" s="48" t="n"/>
      <c r="P34" s="81">
        <f>IFERROR(__xludf.DUMMYFUNCTION("IFERROR(SPARKLINE($D$34,{""charttype"",""bar"";""max"",$J$34;""color1"",IF(N($J$34)=0,DADOS!$CZ$46,IF($D$34/$J$34&lt;=0.25,""#C2334D"",IF($D$34/$J$34&lt;=0.5,""#D89B3A"",DADOS!$CZ$46)))}),"""")"),"")</f>
        <v/>
      </c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5" t="n"/>
      <c r="AE34" s="55" t="n"/>
      <c r="AF34" s="79" t="n">
        <v>0</v>
      </c>
      <c r="AG34" s="19" t="n"/>
      <c r="AH34" s="19" t="n"/>
      <c r="AI34" s="19" t="n"/>
      <c r="AJ34" s="19" t="n"/>
      <c r="AK34" s="20" t="n"/>
      <c r="AL34" s="53" t="n"/>
      <c r="AM34" s="83" t="n"/>
      <c r="AR34" s="17" t="n"/>
      <c r="AS34" s="48" t="n"/>
      <c r="AT34" s="48" t="n"/>
    </row>
    <row r="35">
      <c r="B35" s="17" t="n"/>
      <c r="C35" s="38" t="n"/>
      <c r="D35" s="18" t="n"/>
      <c r="E35" s="19" t="n"/>
      <c r="F35" s="19" t="n"/>
      <c r="G35" s="19" t="n"/>
      <c r="H35" s="20" t="n"/>
      <c r="I35" s="53" t="n"/>
      <c r="J35" s="19" t="n"/>
      <c r="K35" s="19" t="n"/>
      <c r="L35" s="19" t="n"/>
      <c r="M35" s="19" t="n"/>
      <c r="N35" s="20" t="n"/>
      <c r="O35" s="48" t="n"/>
      <c r="P35" s="18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20" t="n"/>
      <c r="AE35" s="48" t="n"/>
      <c r="AF35" s="49" t="n"/>
      <c r="AG35" s="49" t="n"/>
      <c r="AH35" s="49" t="n"/>
      <c r="AI35" s="49" t="n"/>
      <c r="AJ35" s="49" t="n"/>
      <c r="AK35" s="49" t="n"/>
      <c r="AL35" s="48" t="n"/>
      <c r="AM35" s="49" t="n"/>
      <c r="AN35" s="49" t="n"/>
      <c r="AO35" s="49" t="n"/>
      <c r="AP35" s="49" t="n"/>
      <c r="AQ35" s="49" t="n"/>
      <c r="AR35" s="49" t="n"/>
      <c r="AS35" s="48" t="n"/>
      <c r="AT35" s="48" t="n"/>
    </row>
    <row r="36">
      <c r="B36" s="17" t="n"/>
      <c r="C36" s="3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G36" s="48" t="n"/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</row>
    <row r="37">
      <c r="B37" s="17" t="n"/>
      <c r="C37" s="38" t="n"/>
      <c r="D37" s="84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2" t="n"/>
    </row>
    <row r="38">
      <c r="B38" s="17" t="n"/>
      <c r="C38" s="3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</row>
    <row r="39">
      <c r="B39" s="17" t="n"/>
      <c r="C39" s="3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52" t="inlineStr">
        <is>
          <t>BLOQUEAR</t>
        </is>
      </c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2" t="n"/>
      <c r="AJ39" s="48" t="n"/>
      <c r="AK39" s="66" t="inlineStr">
        <is>
          <t>Marco Escolhido</t>
        </is>
      </c>
      <c r="AL39" s="11" t="n"/>
      <c r="AM39" s="11" t="n"/>
      <c r="AN39" s="11" t="n"/>
      <c r="AO39" s="66" t="inlineStr">
        <is>
          <t>Refino</t>
        </is>
      </c>
      <c r="AP39" s="11" t="n"/>
      <c r="AQ39" s="66" t="inlineStr">
        <is>
          <t>Corpo</t>
        </is>
      </c>
      <c r="AR39" s="11" t="n"/>
      <c r="AS39" s="62" t="inlineStr">
        <is>
          <t>Leque</t>
        </is>
      </c>
      <c r="AT39" s="12" t="n"/>
    </row>
    <row r="40" ht="27" customHeight="1">
      <c r="B40" s="17" t="n"/>
      <c r="C40" s="38" t="n"/>
      <c r="D40" s="63" t="n">
        <v>3</v>
      </c>
      <c r="E40" s="14" t="n"/>
      <c r="F40" s="15" t="n"/>
      <c r="G40" s="85" t="inlineStr">
        <is>
          <t>REGISTRO</t>
        </is>
      </c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2" t="n"/>
      <c r="Y40" s="48" t="n"/>
      <c r="Z40" s="80">
        <f>"2d10 + " &amp; D43-11</f>
        <v/>
      </c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2" t="n"/>
      <c r="AJ40" s="67" t="n"/>
      <c r="AK40" s="86">
        <f>IF(DADOS!$AK$12&gt;DADOS!$AK$5,DADOS!$AK$12-DADOS!$AK$5&amp;" a mais",IF(DADOS!$AK$5=0,"Escolha 1 a cada 4 Nv",DADOS!$AK$5-DADOS!$AK$12&amp;" de "&amp;DADOS!$AK$5&amp;" para escolher"))</f>
        <v/>
      </c>
      <c r="AL40" s="11" t="n"/>
      <c r="AM40" s="11" t="n"/>
      <c r="AN40" s="12" t="n"/>
      <c r="AO40" s="87" t="n">
        <v>0</v>
      </c>
      <c r="AP40" s="11" t="n"/>
      <c r="AQ40" s="87" t="n">
        <v>0</v>
      </c>
      <c r="AR40" s="11" t="n"/>
      <c r="AS40" s="65" t="n">
        <v>0</v>
      </c>
      <c r="AT40" s="12" t="n"/>
    </row>
    <row r="41">
      <c r="B41" s="17" t="n"/>
      <c r="C41" s="38" t="n"/>
      <c r="D41" s="18" t="n"/>
      <c r="E41" s="19" t="n"/>
      <c r="F41" s="20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</row>
    <row r="42">
      <c r="B42" s="17" t="n"/>
      <c r="C42" s="38" t="n"/>
      <c r="D42" s="52" t="inlineStr">
        <is>
          <t>DEFESA</t>
        </is>
      </c>
      <c r="E42" s="11" t="n"/>
      <c r="F42" s="11" t="n"/>
      <c r="G42" s="11" t="n"/>
      <c r="H42" s="11" t="n"/>
      <c r="I42" s="11" t="n"/>
      <c r="J42" s="11" t="n"/>
      <c r="K42" s="12" t="n"/>
      <c r="L42" s="88" t="inlineStr">
        <is>
          <t>Buff/Debuff</t>
        </is>
      </c>
      <c r="M42" s="12" t="n"/>
      <c r="N42" s="48" t="n"/>
      <c r="O42" s="52" t="inlineStr">
        <is>
          <t>PROTEÇÃO</t>
        </is>
      </c>
      <c r="P42" s="11" t="n"/>
      <c r="Q42" s="11" t="n"/>
      <c r="R42" s="11" t="n"/>
      <c r="S42" s="11" t="n"/>
      <c r="T42" s="11" t="n"/>
      <c r="U42" s="11" t="n"/>
      <c r="V42" s="11" t="n"/>
      <c r="W42" s="11" t="n"/>
      <c r="X42" s="12" t="n"/>
      <c r="Y42" s="48" t="n"/>
      <c r="Z42" s="52" t="inlineStr">
        <is>
          <t>EQUIPAMENTO</t>
        </is>
      </c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2" t="n"/>
      <c r="AJ42" s="48" t="n"/>
      <c r="AK42" s="52" t="inlineStr">
        <is>
          <t>INICIATIVA</t>
        </is>
      </c>
      <c r="AL42" s="11" t="n"/>
      <c r="AM42" s="11" t="n"/>
      <c r="AN42" s="11" t="n"/>
      <c r="AO42" s="11" t="n"/>
      <c r="AP42" s="11" t="n"/>
      <c r="AQ42" s="11" t="n"/>
      <c r="AR42" s="12" t="n"/>
      <c r="AS42" s="88" t="inlineStr">
        <is>
          <t>Buff/Debuff</t>
        </is>
      </c>
      <c r="AT42" s="12" t="n"/>
    </row>
    <row r="43" ht="21" customHeight="1">
      <c r="B43" s="17" t="n"/>
      <c r="C43" s="38" t="n"/>
      <c r="D43" s="89">
        <f>10+IF($Z$43="",$L$19,MIN($L$19,IFERROR(VALUE(VLOOKUP($Z$43,DADOS!$AE$5:$AH$31,3,FALSE)&amp;""),$L$19)))+$O$43+IFERROR(VALUE($L$43&amp;""),0)</f>
        <v/>
      </c>
      <c r="E43" s="11" t="n"/>
      <c r="F43" s="11" t="n"/>
      <c r="G43" s="11" t="n"/>
      <c r="H43" s="11" t="n"/>
      <c r="I43" s="11" t="n"/>
      <c r="J43" s="11" t="n"/>
      <c r="K43" s="12" t="n"/>
      <c r="L43" s="90" t="n">
        <v>0</v>
      </c>
      <c r="M43" s="12" t="n"/>
      <c r="N43" s="48" t="n"/>
      <c r="O43" s="89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1" t="n"/>
      <c r="Q43" s="11" t="n"/>
      <c r="R43" s="11" t="n"/>
      <c r="S43" s="11" t="n"/>
      <c r="T43" s="11" t="n"/>
      <c r="U43" s="11" t="n"/>
      <c r="V43" s="11" t="n"/>
      <c r="W43" s="11" t="n"/>
      <c r="X43" s="12" t="n"/>
      <c r="Y43" s="48" t="n"/>
      <c r="Z43" s="80">
        <f>IF(DADOS!$CZ$25=1,'FICHA PESSOAL'!$AH$41&amp;IF(DADOS!$CZ$19=1," + "&amp;'FICHA PESSOAL'!$S$41,""),IF(DADOS!$CZ$19=1,'FICHA PESSOAL'!$S$41,""))</f>
        <v/>
      </c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2" t="n"/>
      <c r="AJ43" s="48" t="n"/>
      <c r="AK43" s="89">
        <f>"d20 + "&amp;($L$19+IFERROR(VALUE($AS$43&amp;""),0))</f>
        <v/>
      </c>
      <c r="AL43" s="11" t="n"/>
      <c r="AM43" s="11" t="n"/>
      <c r="AN43" s="11" t="n"/>
      <c r="AO43" s="11" t="n"/>
      <c r="AP43" s="11" t="n"/>
      <c r="AQ43" s="11" t="n"/>
      <c r="AR43" s="12" t="n"/>
      <c r="AS43" s="90" t="n">
        <v>0</v>
      </c>
      <c r="AT43" s="12" t="n"/>
    </row>
    <row r="44">
      <c r="B44" s="17" t="n"/>
      <c r="C44" s="3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</row>
    <row r="45">
      <c r="B45" s="17" t="n"/>
      <c r="C45" s="3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</row>
    <row r="46">
      <c r="B46" s="17" t="n"/>
      <c r="C46" s="38" t="n"/>
      <c r="D46" s="52" t="inlineStr">
        <is>
          <t>CD DE FEITIÇO</t>
        </is>
      </c>
      <c r="E46" s="11" t="n"/>
      <c r="F46" s="11" t="n"/>
      <c r="G46" s="11" t="n"/>
      <c r="H46" s="11" t="n"/>
      <c r="I46" s="11" t="n"/>
      <c r="J46" s="11" t="n"/>
      <c r="K46" s="12" t="n"/>
      <c r="L46" s="88" t="inlineStr">
        <is>
          <t>Buff/Debuff</t>
        </is>
      </c>
      <c r="M46" s="12" t="n"/>
      <c r="N46" s="48" t="n"/>
      <c r="O46" s="52" t="inlineStr">
        <is>
          <t>CONJURAÇÃO</t>
        </is>
      </c>
      <c r="P46" s="11" t="n"/>
      <c r="Q46" s="11" t="n"/>
      <c r="R46" s="11" t="n"/>
      <c r="S46" s="11" t="n"/>
      <c r="T46" s="11" t="n"/>
      <c r="U46" s="11" t="n"/>
      <c r="V46" s="12" t="n"/>
      <c r="W46" s="88" t="inlineStr">
        <is>
          <t>Buff/Debuff</t>
        </is>
      </c>
      <c r="X46" s="12" t="n"/>
      <c r="Y46" s="48" t="n"/>
      <c r="Z46" s="52" t="inlineStr">
        <is>
          <t>CORPO A CORPO</t>
        </is>
      </c>
      <c r="AA46" s="11" t="n"/>
      <c r="AB46" s="11" t="n"/>
      <c r="AC46" s="11" t="n"/>
      <c r="AD46" s="11" t="n"/>
      <c r="AE46" s="11" t="n"/>
      <c r="AF46" s="11" t="n"/>
      <c r="AG46" s="12" t="n"/>
      <c r="AH46" s="88" t="inlineStr">
        <is>
          <t>Buff/Debuff</t>
        </is>
      </c>
      <c r="AI46" s="12" t="n"/>
      <c r="AJ46" s="48" t="n"/>
      <c r="AK46" s="52" t="inlineStr">
        <is>
          <t>À DISTÂNCIA</t>
        </is>
      </c>
      <c r="AL46" s="11" t="n"/>
      <c r="AM46" s="11" t="n"/>
      <c r="AN46" s="11" t="n"/>
      <c r="AO46" s="11" t="n"/>
      <c r="AP46" s="11" t="n"/>
      <c r="AQ46" s="11" t="n"/>
      <c r="AR46" s="12" t="n"/>
      <c r="AS46" s="88" t="inlineStr">
        <is>
          <t>Buff/Debuff</t>
        </is>
      </c>
      <c r="AT46" s="12" t="n"/>
    </row>
    <row r="47" ht="21" customHeight="1">
      <c r="B47" s="17" t="n"/>
      <c r="C47" s="38" t="n"/>
      <c r="D47" s="89">
        <f>8+D51+IFS(Z51="FORÇA",$D$19, Z51="DESTREZA",$L$19, Z51="CONSTITUIÇÃO",$T$19, Z51="INTELIGÊNCIA",$AB$19, Z51="ESSÊNCIA",$AJ$19)+IFERROR(VALUE($L$47&amp;""),0)</f>
        <v/>
      </c>
      <c r="E47" s="11" t="n"/>
      <c r="F47" s="11" t="n"/>
      <c r="G47" s="11" t="n"/>
      <c r="H47" s="11" t="n"/>
      <c r="I47" s="11" t="n"/>
      <c r="J47" s="11" t="n"/>
      <c r="K47" s="12" t="n"/>
      <c r="L47" s="90" t="n">
        <v>0</v>
      </c>
      <c r="M47" s="12" t="n"/>
      <c r="N47" s="48" t="n"/>
      <c r="O47" s="89">
        <f>"d20 + "&amp;(D51+IFS(Z51="FORÇA",$D$19, Z51="DESTREZA",$L$19, Z51="CONSTITUIÇÃO",$T$19, Z51="INTELIGÊNCIA",$AB$19, Z51="ESSÊNCIA",$AJ$19)+IFERROR(VALUE($W$47&amp;""),0))</f>
        <v/>
      </c>
      <c r="P47" s="11" t="n"/>
      <c r="Q47" s="11" t="n"/>
      <c r="R47" s="11" t="n"/>
      <c r="S47" s="11" t="n"/>
      <c r="T47" s="11" t="n"/>
      <c r="U47" s="11" t="n"/>
      <c r="V47" s="12" t="n"/>
      <c r="W47" s="90" t="n">
        <v>0</v>
      </c>
      <c r="X47" s="12" t="n"/>
      <c r="Y47" s="48" t="n"/>
      <c r="Z47" s="89">
        <f>"d20 + "&amp;(D51+IFS(AK51="FORÇA",$D$19, AK51="DESTREZA",$L$19, AK51="CONSTITUIÇÃO",$T$19, AK51="INTELIGÊNCIA",$AB$19, AK51="ESSÊNCIA",$AJ$19)+IFERROR(VALUE($AH$47&amp;""),0))</f>
        <v/>
      </c>
      <c r="AA47" s="11" t="n"/>
      <c r="AB47" s="11" t="n"/>
      <c r="AC47" s="11" t="n"/>
      <c r="AD47" s="11" t="n"/>
      <c r="AE47" s="11" t="n"/>
      <c r="AF47" s="11" t="n"/>
      <c r="AG47" s="12" t="n"/>
      <c r="AH47" s="90" t="n">
        <v>0</v>
      </c>
      <c r="AI47" s="12" t="n"/>
      <c r="AJ47" s="48" t="n"/>
      <c r="AK47" s="89">
        <f>"d20 + "&amp;(D51+IFS(AE54="FORÇA",$D$19, AE54="DESTREZA",$L$19, AE54="CONSTITUIÇÃO",$T$19, AE54="INTELIGÊNCIA",$AB$19, AE54="ESSÊNCIA",$AJ$19)+IFERROR(VALUE($AS$47&amp;""),0))</f>
        <v/>
      </c>
      <c r="AL47" s="11" t="n"/>
      <c r="AM47" s="11" t="n"/>
      <c r="AN47" s="11" t="n"/>
      <c r="AO47" s="11" t="n"/>
      <c r="AP47" s="11" t="n"/>
      <c r="AQ47" s="11" t="n"/>
      <c r="AR47" s="12" t="n"/>
      <c r="AS47" s="90" t="n">
        <v>0</v>
      </c>
      <c r="AT47" s="12" t="n"/>
    </row>
    <row r="48">
      <c r="B48" s="17" t="n"/>
      <c r="C48" s="3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  <c r="AG48" s="48" t="n"/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</row>
    <row r="49">
      <c r="B49" s="17" t="n"/>
      <c r="C49" s="3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</row>
    <row r="50">
      <c r="B50" s="17" t="n"/>
      <c r="C50" s="38" t="n"/>
      <c r="D50" s="52" t="inlineStr">
        <is>
          <t>MAESTRIA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2" t="n"/>
      <c r="N50" s="48" t="n"/>
      <c r="O50" s="52" t="inlineStr">
        <is>
          <t>DESLOCAMENTO</t>
        </is>
      </c>
      <c r="P50" s="11" t="n"/>
      <c r="Q50" s="11" t="n"/>
      <c r="R50" s="11" t="n"/>
      <c r="S50" s="11" t="n"/>
      <c r="T50" s="11" t="n"/>
      <c r="U50" s="11" t="n"/>
      <c r="V50" s="12" t="n"/>
      <c r="W50" s="88" t="inlineStr">
        <is>
          <t>Buff/Debuff</t>
        </is>
      </c>
      <c r="X50" s="12" t="n"/>
      <c r="Y50" s="48" t="n"/>
      <c r="Z50" s="52" t="inlineStr">
        <is>
          <t xml:space="preserve">ATRIBUTO DE CONJURAÇÃO </t>
        </is>
      </c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2" t="n"/>
      <c r="AJ50" s="48" t="n"/>
      <c r="AK50" s="52" t="inlineStr">
        <is>
          <t>ATRIBUTO DE ATAQUE - CORPO A CORPO</t>
        </is>
      </c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2" t="n"/>
    </row>
    <row r="51" ht="21" customHeight="1">
      <c r="B51" s="17" t="n"/>
      <c r="C51" s="38" t="n"/>
      <c r="D51" s="89">
        <f>(1+COUNTIF(DADOS!$X$5:$X$7,"&lt;="&amp;$AH$11))</f>
        <v/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2" t="n"/>
      <c r="N51" s="48" t="n"/>
      <c r="O51" s="89">
        <f>((9+IFERROR(VALUE($W$51&amp;""),0))/IF(DADOS!$CZ$41=1,2,1))&amp;" m"</f>
        <v/>
      </c>
      <c r="P51" s="11" t="n"/>
      <c r="Q51" s="11" t="n"/>
      <c r="R51" s="11" t="n"/>
      <c r="S51" s="11" t="n"/>
      <c r="T51" s="11" t="n"/>
      <c r="U51" s="11" t="n"/>
      <c r="V51" s="12" t="n"/>
      <c r="W51" s="90" t="n">
        <v>0</v>
      </c>
      <c r="X51" s="12" t="n"/>
      <c r="Y51" s="38" t="n"/>
      <c r="Z51" s="89" t="inlineStr">
        <is>
          <t>ESSÊNCIA</t>
        </is>
      </c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2" t="n"/>
      <c r="AJ51" s="48" t="n"/>
      <c r="AK51" s="89" t="inlineStr">
        <is>
          <t>FORÇA</t>
        </is>
      </c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2" t="n"/>
    </row>
    <row r="52">
      <c r="A52" s="8" t="n"/>
      <c r="B52" s="22" t="n"/>
      <c r="C52" s="3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38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</row>
    <row r="53">
      <c r="A53" s="8" t="n"/>
      <c r="B53" s="22" t="n"/>
      <c r="C53" s="3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38" t="n"/>
      <c r="Z53" s="48" t="n"/>
      <c r="AA53" s="48" t="n"/>
      <c r="AB53" s="48" t="n"/>
      <c r="AC53" s="48" t="n"/>
      <c r="AD53" s="48" t="n"/>
      <c r="AE53" s="52" t="inlineStr">
        <is>
          <t xml:space="preserve">ATRIBUTO DE ATAQUE - À DISTÂNCIA </t>
        </is>
      </c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2" t="n"/>
      <c r="AP53" s="48" t="n"/>
      <c r="AQ53" s="48" t="n"/>
      <c r="AR53" s="48" t="n"/>
      <c r="AS53" s="48" t="n"/>
      <c r="AT53" s="48" t="n"/>
    </row>
    <row r="54" ht="27" customHeight="1">
      <c r="A54" s="8" t="n"/>
      <c r="B54" s="22" t="n"/>
      <c r="C54" s="38" t="n"/>
      <c r="D54" s="63" t="n">
        <v>4</v>
      </c>
      <c r="E54" s="14" t="n"/>
      <c r="F54" s="15" t="n"/>
      <c r="G54" s="85" t="inlineStr">
        <is>
          <t>PROGRESSÃO</t>
        </is>
      </c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2" t="n"/>
      <c r="Y54" s="38" t="n"/>
      <c r="Z54" s="48" t="n"/>
      <c r="AA54" s="48" t="n"/>
      <c r="AB54" s="48" t="n"/>
      <c r="AC54" s="48" t="n"/>
      <c r="AD54" s="48" t="n"/>
      <c r="AE54" s="89" t="inlineStr">
        <is>
          <t>DESTREZA</t>
        </is>
      </c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2" t="n"/>
      <c r="AP54" s="48" t="n"/>
      <c r="AQ54" s="48" t="n"/>
      <c r="AR54" s="48" t="n"/>
      <c r="AS54" s="48" t="n"/>
      <c r="AT54" s="48" t="n"/>
    </row>
    <row r="55">
      <c r="A55" s="8" t="n"/>
      <c r="B55" s="22" t="n"/>
      <c r="C55" s="38" t="n"/>
      <c r="D55" s="18" t="n"/>
      <c r="E55" s="19" t="n"/>
      <c r="F55" s="20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38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</row>
    <row r="56">
      <c r="A56" s="8" t="n"/>
      <c r="B56" s="22" t="n"/>
      <c r="C56" s="38" t="n"/>
      <c r="D56" s="52" t="inlineStr">
        <is>
          <t>ESPAÇOS DE FEITIÇO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2" t="n"/>
      <c r="N56" s="48" t="n"/>
      <c r="O56" s="52" t="inlineStr">
        <is>
          <t>REFINO DE GRAÇA</t>
        </is>
      </c>
      <c r="P56" s="11" t="n"/>
      <c r="Q56" s="11" t="n"/>
      <c r="R56" s="11" t="n"/>
      <c r="S56" s="11" t="n"/>
      <c r="T56" s="11" t="n"/>
      <c r="U56" s="11" t="n"/>
      <c r="V56" s="11" t="n"/>
      <c r="W56" s="11" t="n"/>
      <c r="X56" s="12" t="n"/>
      <c r="Y56" s="38" t="n"/>
      <c r="Z56" s="52" t="inlineStr">
        <is>
          <t>CLASSE MÁXIMA</t>
        </is>
      </c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2" t="n"/>
      <c r="AJ56" s="48" t="n"/>
      <c r="AK56" s="52" t="inlineStr">
        <is>
          <t xml:space="preserve">CLASSE 0 </t>
        </is>
      </c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2" t="n"/>
    </row>
    <row r="57" ht="21" customHeight="1">
      <c r="A57" s="8" t="n"/>
      <c r="B57" s="22" t="n"/>
      <c r="C57" s="38" t="n"/>
      <c r="D57" s="89">
        <f>2+INT($AH$11/2)+COUNTIF(DADOS!$W$5:$W$11,"&lt;="&amp;$AH$11)+IFERROR(VALUE($AS$40&amp;""),0)</f>
        <v/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2" t="n"/>
      <c r="N57" s="38" t="n"/>
      <c r="O57" s="89">
        <f>(1+COUNTIF(DADOS!$W$5:$W$11,"&lt;="&amp;$AH$11))</f>
        <v/>
      </c>
      <c r="P57" s="11" t="n"/>
      <c r="Q57" s="11" t="n"/>
      <c r="R57" s="11" t="n"/>
      <c r="S57" s="11" t="n"/>
      <c r="T57" s="11" t="n"/>
      <c r="U57" s="11" t="n"/>
      <c r="V57" s="11" t="n"/>
      <c r="W57" s="11" t="n"/>
      <c r="X57" s="12" t="n"/>
      <c r="Y57" s="38" t="n"/>
      <c r="Z57" s="89">
        <f>COUNTIF(DADOS!$Y$5:$Y$11,"&lt;="&amp;$AH$11)</f>
        <v/>
      </c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2" t="n"/>
      <c r="AJ57" s="48" t="n"/>
      <c r="AK57" s="89">
        <f>2+COUNTIF(DADOS!$Z$5:$Z$7,"&lt;="&amp;$AH$11)</f>
        <v/>
      </c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2" t="n"/>
    </row>
    <row r="58">
      <c r="A58" s="8" t="n"/>
      <c r="B58" s="22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</row>
    <row r="59">
      <c r="A59" s="8" t="n"/>
      <c r="B59" s="22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</row>
    <row r="60" ht="27" customHeight="1">
      <c r="A60" s="8" t="n"/>
      <c r="B60" s="22" t="n"/>
      <c r="C60" s="38" t="n"/>
      <c r="D60" s="63" t="n">
        <v>5</v>
      </c>
      <c r="E60" s="14" t="n"/>
      <c r="F60" s="15" t="n"/>
      <c r="G60" s="85" t="inlineStr">
        <is>
          <t>PERÍCIAS</t>
        </is>
      </c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2" t="n"/>
      <c r="AE60" s="48" t="n"/>
      <c r="AF60" s="48" t="n"/>
      <c r="AG60" s="48" t="n"/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</row>
    <row r="61">
      <c r="A61" s="8" t="n"/>
      <c r="B61" s="22" t="n"/>
      <c r="C61" s="38" t="n"/>
      <c r="D61" s="16" t="n"/>
      <c r="F61" s="17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91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</row>
    <row r="62">
      <c r="A62" s="8" t="n"/>
      <c r="B62" s="22" t="n"/>
      <c r="C62" s="38" t="n"/>
      <c r="D62" s="18" t="n"/>
      <c r="E62" s="19" t="n"/>
      <c r="F62" s="20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92" t="inlineStr">
        <is>
          <t>Trein</t>
        </is>
      </c>
      <c r="U62" s="92" t="inlineStr">
        <is>
          <t>Espec</t>
        </is>
      </c>
      <c r="V62" s="48" t="n"/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91" t="n"/>
      <c r="AG62" s="48" t="n"/>
      <c r="AH62" s="92" t="inlineStr">
        <is>
          <t>Extra</t>
        </is>
      </c>
      <c r="AI62" s="48" t="n"/>
      <c r="AJ62" s="48" t="n"/>
      <c r="AK62" s="52" t="inlineStr">
        <is>
          <t>TREINAMENTO EM ARMAS</t>
        </is>
      </c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2" t="n"/>
    </row>
    <row r="63">
      <c r="A63" s="8" t="n"/>
      <c r="B63" s="22" t="n"/>
      <c r="C63" s="38" t="n"/>
      <c r="D63" s="92" t="inlineStr">
        <is>
          <t>Trein</t>
        </is>
      </c>
      <c r="E63" s="92" t="inlineStr">
        <is>
          <t>Espec</t>
        </is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92" t="inlineStr">
        <is>
          <t>Extra</t>
        </is>
      </c>
      <c r="S63" s="48" t="n"/>
      <c r="T63" s="93" t="b">
        <v>0</v>
      </c>
      <c r="U63" s="93" t="b">
        <v>0</v>
      </c>
      <c r="V63" s="94" t="inlineStr">
        <is>
          <t>Sobrevivência</t>
        </is>
      </c>
      <c r="W63" s="11" t="n"/>
      <c r="X63" s="11" t="n"/>
      <c r="Y63" s="11" t="n"/>
      <c r="Z63" s="11" t="n"/>
      <c r="AA63" s="11" t="n"/>
      <c r="AB63" s="11" t="n"/>
      <c r="AC63" s="12" t="n"/>
      <c r="AD63" s="70" t="inlineStr">
        <is>
          <t>Int</t>
        </is>
      </c>
      <c r="AE63" s="12" t="n"/>
      <c r="AF63" s="95">
        <f>$AB$19 + IF(U63, $D$51 + INT($D$51 / 2), IF(T63, $D$51, 0)) + AH63</f>
        <v/>
      </c>
      <c r="AG63" s="12" t="n"/>
      <c r="AH63" s="96" t="n"/>
      <c r="AI63" s="48" t="n"/>
      <c r="AJ63" s="48" t="n"/>
      <c r="AK63" s="89">
        <f>IF(FICHA!$D$11="Escolha seu Caminho","—",IF(OR(FICHA!$D$11="Bastião",FICHA!$D$11="Vanguarda"),"Treinado em Todas as Armas","Treinado em Arma de Fogo e Balestra"))</f>
        <v/>
      </c>
      <c r="AL63" s="14" t="n"/>
      <c r="AM63" s="14" t="n"/>
      <c r="AN63" s="14" t="n"/>
      <c r="AO63" s="14" t="n"/>
      <c r="AP63" s="14" t="n"/>
      <c r="AQ63" s="14" t="n"/>
      <c r="AR63" s="14" t="n"/>
      <c r="AS63" s="14" t="n"/>
      <c r="AT63" s="15" t="n"/>
    </row>
    <row r="64">
      <c r="A64" s="8" t="n"/>
      <c r="B64" s="22" t="n"/>
      <c r="C64" s="38" t="n"/>
      <c r="D64" s="93" t="b">
        <v>0</v>
      </c>
      <c r="E64" s="93" t="b">
        <v>0</v>
      </c>
      <c r="F64" s="94" t="inlineStr">
        <is>
          <t>Atletismo</t>
        </is>
      </c>
      <c r="G64" s="11" t="n"/>
      <c r="H64" s="11" t="n"/>
      <c r="I64" s="11" t="n"/>
      <c r="J64" s="11" t="n"/>
      <c r="K64" s="11" t="n"/>
      <c r="L64" s="11" t="n"/>
      <c r="M64" s="12" t="n"/>
      <c r="N64" s="70" t="inlineStr">
        <is>
          <t>For</t>
        </is>
      </c>
      <c r="O64" s="12" t="n"/>
      <c r="P64" s="95">
        <f>$D$19 + IF(E64, $D$51 + INT($D$51 / 2), IF(D64, $D$51, 0)) + R64</f>
        <v/>
      </c>
      <c r="Q64" s="12" t="n"/>
      <c r="R64" s="96" t="n"/>
      <c r="S64" s="48" t="n"/>
      <c r="T64" s="93" t="b">
        <v>0</v>
      </c>
      <c r="U64" s="93" t="b">
        <v>0</v>
      </c>
      <c r="V64" s="94" t="inlineStr">
        <is>
          <t>Natureza</t>
        </is>
      </c>
      <c r="W64" s="11" t="n"/>
      <c r="X64" s="11" t="n"/>
      <c r="Y64" s="11" t="n"/>
      <c r="Z64" s="11" t="n"/>
      <c r="AA64" s="11" t="n"/>
      <c r="AB64" s="11" t="n"/>
      <c r="AC64" s="12" t="n"/>
      <c r="AD64" s="70" t="inlineStr">
        <is>
          <t>Int</t>
        </is>
      </c>
      <c r="AE64" s="12" t="n"/>
      <c r="AF64" s="95">
        <f>$AB$19 + IF(U64, $D$51 + INT($D$51 / 2), IF(T64, $D$51, 0)) + AH64</f>
        <v/>
      </c>
      <c r="AG64" s="12" t="n"/>
      <c r="AH64" s="96" t="n"/>
      <c r="AI64" s="48" t="n"/>
      <c r="AJ64" s="48" t="n"/>
      <c r="AK64" s="18" t="n"/>
      <c r="AL64" s="19" t="n"/>
      <c r="AM64" s="19" t="n"/>
      <c r="AN64" s="19" t="n"/>
      <c r="AO64" s="19" t="n"/>
      <c r="AP64" s="19" t="n"/>
      <c r="AQ64" s="19" t="n"/>
      <c r="AR64" s="19" t="n"/>
      <c r="AS64" s="19" t="n"/>
      <c r="AT64" s="20" t="n"/>
    </row>
    <row r="65">
      <c r="A65" s="8" t="n"/>
      <c r="B65" s="22" t="n"/>
      <c r="C65" s="38" t="n"/>
      <c r="D65" s="93" t="b">
        <v>0</v>
      </c>
      <c r="E65" s="93" t="b">
        <v>0</v>
      </c>
      <c r="F65" s="94" t="inlineStr">
        <is>
          <t>Acrobacia</t>
        </is>
      </c>
      <c r="G65" s="11" t="n"/>
      <c r="H65" s="11" t="n"/>
      <c r="I65" s="11" t="n"/>
      <c r="J65" s="11" t="n"/>
      <c r="K65" s="11" t="n"/>
      <c r="L65" s="11" t="n"/>
      <c r="M65" s="12" t="n"/>
      <c r="N65" s="70" t="inlineStr">
        <is>
          <t>Des</t>
        </is>
      </c>
      <c r="O65" s="12" t="n"/>
      <c r="P65" s="95">
        <f>$L$19 + IF(E65, $D$51 + INT($D$51 / 2), IF(D65, $D$51, 0)) + R65</f>
        <v/>
      </c>
      <c r="Q65" s="12" t="n"/>
      <c r="R65" s="96" t="n"/>
      <c r="S65" s="48" t="n"/>
      <c r="T65" s="93" t="b">
        <v>0</v>
      </c>
      <c r="U65" s="93" t="b">
        <v>0</v>
      </c>
      <c r="V65" s="94" t="inlineStr">
        <is>
          <t>Lidar com Animais</t>
        </is>
      </c>
      <c r="W65" s="11" t="n"/>
      <c r="X65" s="11" t="n"/>
      <c r="Y65" s="11" t="n"/>
      <c r="Z65" s="11" t="n"/>
      <c r="AA65" s="11" t="n"/>
      <c r="AB65" s="11" t="n"/>
      <c r="AC65" s="12" t="n"/>
      <c r="AD65" s="70" t="inlineStr">
        <is>
          <t>Int</t>
        </is>
      </c>
      <c r="AE65" s="12" t="n"/>
      <c r="AF65" s="95">
        <f>$AB$19 + IF(U65, $D$51 + INT($D$51 / 2), IF(T65, $D$51, 0)) + AH65</f>
        <v/>
      </c>
      <c r="AG65" s="12" t="n"/>
      <c r="AH65" s="96" t="n"/>
      <c r="AI65" s="48" t="n"/>
      <c r="AJ65" s="48" t="n"/>
      <c r="AK65" s="97" t="inlineStr">
        <is>
          <t>Não trocou</t>
        </is>
      </c>
      <c r="AL65" s="14" t="n"/>
      <c r="AM65" s="14" t="n"/>
      <c r="AN65" s="14" t="n"/>
      <c r="AO65" s="14" t="n"/>
      <c r="AP65" s="14" t="n"/>
      <c r="AQ65" s="14" t="n"/>
      <c r="AR65" s="14" t="n"/>
      <c r="AS65" s="14" t="n"/>
      <c r="AT65" s="15" t="n"/>
    </row>
    <row r="66">
      <c r="A66" s="8" t="n"/>
      <c r="B66" s="22" t="n"/>
      <c r="C66" s="38" t="n"/>
      <c r="D66" s="93" t="b">
        <v>0</v>
      </c>
      <c r="E66" s="93" t="b">
        <v>0</v>
      </c>
      <c r="F66" s="94" t="inlineStr">
        <is>
          <t>Furtividade</t>
        </is>
      </c>
      <c r="G66" s="11" t="n"/>
      <c r="H66" s="11" t="n"/>
      <c r="I66" s="11" t="n"/>
      <c r="J66" s="11" t="n"/>
      <c r="K66" s="11" t="n"/>
      <c r="L66" s="11" t="n"/>
      <c r="M66" s="12" t="n"/>
      <c r="N66" s="70" t="inlineStr">
        <is>
          <t>Des</t>
        </is>
      </c>
      <c r="O66" s="12" t="n"/>
      <c r="P66" s="95">
        <f>$L$19 + IF(E66, $D$51 + INT($D$51 / 2), IF(D66, $D$51, 0)) + R66</f>
        <v/>
      </c>
      <c r="Q66" s="12" t="n"/>
      <c r="R66" s="96" t="n"/>
      <c r="S66" s="48" t="n"/>
      <c r="T66" s="93" t="b">
        <v>0</v>
      </c>
      <c r="U66" s="93" t="b">
        <v>0</v>
      </c>
      <c r="V66" s="94" t="inlineStr">
        <is>
          <t>Tecnologia</t>
        </is>
      </c>
      <c r="W66" s="11" t="n"/>
      <c r="X66" s="11" t="n"/>
      <c r="Y66" s="11" t="n"/>
      <c r="Z66" s="11" t="n"/>
      <c r="AA66" s="11" t="n"/>
      <c r="AB66" s="11" t="n"/>
      <c r="AC66" s="12" t="n"/>
      <c r="AD66" s="70" t="inlineStr">
        <is>
          <t>Int</t>
        </is>
      </c>
      <c r="AE66" s="12" t="n"/>
      <c r="AF66" s="95">
        <f>$AB$19 + IF(U66, $D$51 + INT($D$51 / 2), IF(T66, $D$51, 0)) + AH66</f>
        <v/>
      </c>
      <c r="AG66" s="12" t="n"/>
      <c r="AH66" s="96" t="n"/>
      <c r="AI66" s="48" t="n"/>
      <c r="AJ66" s="48" t="n"/>
      <c r="AK66" s="18" t="n"/>
      <c r="AL66" s="19" t="n"/>
      <c r="AM66" s="19" t="n"/>
      <c r="AN66" s="19" t="n"/>
      <c r="AO66" s="19" t="n"/>
      <c r="AP66" s="19" t="n"/>
      <c r="AQ66" s="19" t="n"/>
      <c r="AR66" s="19" t="n"/>
      <c r="AS66" s="19" t="n"/>
      <c r="AT66" s="20" t="n"/>
    </row>
    <row r="67">
      <c r="A67" s="8" t="n"/>
      <c r="B67" s="22" t="n"/>
      <c r="C67" s="38" t="n"/>
      <c r="D67" s="93" t="b">
        <v>0</v>
      </c>
      <c r="E67" s="93" t="b">
        <v>0</v>
      </c>
      <c r="F67" s="94" t="inlineStr">
        <is>
          <t>Pontaria</t>
        </is>
      </c>
      <c r="G67" s="11" t="n"/>
      <c r="H67" s="11" t="n"/>
      <c r="I67" s="11" t="n"/>
      <c r="J67" s="11" t="n"/>
      <c r="K67" s="11" t="n"/>
      <c r="L67" s="11" t="n"/>
      <c r="M67" s="12" t="n"/>
      <c r="N67" s="70" t="inlineStr">
        <is>
          <t>Des</t>
        </is>
      </c>
      <c r="O67" s="12" t="n"/>
      <c r="P67" s="95">
        <f>$L$19 + IF(E67, $D$51 + INT($D$51 / 2), IF(D67, $D$51, 0)) + R67</f>
        <v/>
      </c>
      <c r="Q67" s="12" t="n"/>
      <c r="R67" s="96" t="n"/>
      <c r="S67" s="48" t="n"/>
      <c r="T67" s="93" t="b">
        <v>0</v>
      </c>
      <c r="U67" s="93" t="b">
        <v>0</v>
      </c>
      <c r="V67" s="94" t="inlineStr">
        <is>
          <t>Medicina</t>
        </is>
      </c>
      <c r="W67" s="11" t="n"/>
      <c r="X67" s="11" t="n"/>
      <c r="Y67" s="11" t="n"/>
      <c r="Z67" s="11" t="n"/>
      <c r="AA67" s="11" t="n"/>
      <c r="AB67" s="11" t="n"/>
      <c r="AC67" s="12" t="n"/>
      <c r="AD67" s="70" t="inlineStr">
        <is>
          <t>Int</t>
        </is>
      </c>
      <c r="AE67" s="12" t="n"/>
      <c r="AF67" s="95">
        <f>$AB$19 + IF(U67, $D$51 + INT($D$51 / 2), IF(T67, $D$51, 0)) + AH67</f>
        <v/>
      </c>
      <c r="AG67" s="12" t="n"/>
      <c r="AH67" s="96" t="n"/>
      <c r="AI67" s="48" t="n"/>
      <c r="AJ67" s="48" t="n"/>
      <c r="AK67" s="97">
        <f>IF(AK65="Não trocou","Anotações e Equipamentos","Treinamentos Extras")</f>
        <v/>
      </c>
      <c r="AL67" s="14" t="n"/>
      <c r="AM67" s="14" t="n"/>
      <c r="AN67" s="14" t="n"/>
      <c r="AO67" s="14" t="n"/>
      <c r="AP67" s="14" t="n"/>
      <c r="AQ67" s="14" t="n"/>
      <c r="AR67" s="14" t="n"/>
      <c r="AS67" s="14" t="n"/>
      <c r="AT67" s="15" t="n"/>
    </row>
    <row r="68">
      <c r="A68" s="8" t="n"/>
      <c r="B68" s="22" t="n"/>
      <c r="C68" s="38" t="n"/>
      <c r="D68" s="93" t="b">
        <v>0</v>
      </c>
      <c r="E68" s="93" t="b">
        <v>0</v>
      </c>
      <c r="F68" s="94" t="inlineStr">
        <is>
          <t>Prestidigitação</t>
        </is>
      </c>
      <c r="G68" s="11" t="n"/>
      <c r="H68" s="11" t="n"/>
      <c r="I68" s="11" t="n"/>
      <c r="J68" s="11" t="n"/>
      <c r="K68" s="11" t="n"/>
      <c r="L68" s="11" t="n"/>
      <c r="M68" s="12" t="n"/>
      <c r="N68" s="70" t="inlineStr">
        <is>
          <t>Des</t>
        </is>
      </c>
      <c r="O68" s="12" t="n"/>
      <c r="P68" s="95">
        <f>$L$19 + IF(E68, $D$51 + INT($D$51 / 2), IF(D68, $D$51, 0)) + R68</f>
        <v/>
      </c>
      <c r="Q68" s="12" t="n"/>
      <c r="R68" s="96" t="n"/>
      <c r="S68" s="48" t="n"/>
      <c r="T68" s="93" t="b">
        <v>0</v>
      </c>
      <c r="U68" s="93" t="b">
        <v>0</v>
      </c>
      <c r="V68" s="94" t="inlineStr">
        <is>
          <t>Sentir Energia</t>
        </is>
      </c>
      <c r="W68" s="11" t="n"/>
      <c r="X68" s="11" t="n"/>
      <c r="Y68" s="11" t="n"/>
      <c r="Z68" s="11" t="n"/>
      <c r="AA68" s="11" t="n"/>
      <c r="AB68" s="11" t="n"/>
      <c r="AC68" s="12" t="n"/>
      <c r="AD68" s="70" t="inlineStr">
        <is>
          <t>Ess</t>
        </is>
      </c>
      <c r="AE68" s="12" t="n"/>
      <c r="AF68" s="95">
        <f>$AJ$19 + IF(U68, $D$51 + INT($D$51 / 2), IF(T68, $D$51, 0)) + AH68</f>
        <v/>
      </c>
      <c r="AG68" s="12" t="n"/>
      <c r="AH68" s="96" t="n"/>
      <c r="AI68" s="48" t="n"/>
      <c r="AJ68" s="48" t="n"/>
      <c r="AK68" s="18" t="n"/>
      <c r="AL68" s="19" t="n"/>
      <c r="AM68" s="19" t="n"/>
      <c r="AN68" s="19" t="n"/>
      <c r="AO68" s="19" t="n"/>
      <c r="AP68" s="19" t="n"/>
      <c r="AQ68" s="19" t="n"/>
      <c r="AR68" s="19" t="n"/>
      <c r="AS68" s="19" t="n"/>
      <c r="AT68" s="20" t="n"/>
    </row>
    <row r="69">
      <c r="A69" s="8" t="n"/>
      <c r="B69" s="22" t="n"/>
      <c r="C69" s="38" t="n"/>
      <c r="D69" s="93" t="b">
        <v>0</v>
      </c>
      <c r="E69" s="93" t="b">
        <v>0</v>
      </c>
      <c r="F69" s="94" t="inlineStr">
        <is>
          <t>Investigação</t>
        </is>
      </c>
      <c r="G69" s="11" t="n"/>
      <c r="H69" s="11" t="n"/>
      <c r="I69" s="11" t="n"/>
      <c r="J69" s="11" t="n"/>
      <c r="K69" s="11" t="n"/>
      <c r="L69" s="11" t="n"/>
      <c r="M69" s="12" t="n"/>
      <c r="N69" s="70" t="inlineStr">
        <is>
          <t>Int</t>
        </is>
      </c>
      <c r="O69" s="12" t="n"/>
      <c r="P69" s="95">
        <f>$AB$19 + IF(E69, $D$51 + INT($D$51 / 2), IF(D69, $D$51, 0)) + R69</f>
        <v/>
      </c>
      <c r="Q69" s="12" t="n"/>
      <c r="R69" s="96" t="n"/>
      <c r="S69" s="48" t="n"/>
      <c r="T69" s="93" t="b">
        <v>0</v>
      </c>
      <c r="U69" s="93" t="b">
        <v>0</v>
      </c>
      <c r="V69" s="94" t="inlineStr">
        <is>
          <t>Percepção</t>
        </is>
      </c>
      <c r="W69" s="11" t="n"/>
      <c r="X69" s="11" t="n"/>
      <c r="Y69" s="11" t="n"/>
      <c r="Z69" s="11" t="n"/>
      <c r="AA69" s="11" t="n"/>
      <c r="AB69" s="11" t="n"/>
      <c r="AC69" s="12" t="n"/>
      <c r="AD69" s="70" t="inlineStr">
        <is>
          <t>Ess</t>
        </is>
      </c>
      <c r="AE69" s="12" t="n"/>
      <c r="AF69" s="95">
        <f>$AJ$19 + IF(U69, $D$51 + INT($D$51 / 2), IF(T69, $D$51, 0)) + AH69</f>
        <v/>
      </c>
      <c r="AG69" s="12" t="n"/>
      <c r="AH69" s="96" t="n"/>
      <c r="AI69" s="48" t="n"/>
      <c r="AJ69" s="48" t="n"/>
      <c r="AK69" s="98" t="n"/>
      <c r="AL69" s="14" t="n"/>
      <c r="AM69" s="14" t="n"/>
      <c r="AN69" s="14" t="n"/>
      <c r="AO69" s="14" t="n"/>
      <c r="AP69" s="14" t="n"/>
      <c r="AQ69" s="14" t="n"/>
      <c r="AR69" s="14" t="n"/>
      <c r="AS69" s="14" t="n"/>
      <c r="AT69" s="15" t="n"/>
    </row>
    <row r="70">
      <c r="A70" s="8" t="n"/>
      <c r="B70" s="22" t="n"/>
      <c r="C70" s="38" t="n"/>
      <c r="D70" s="93" t="b">
        <v>0</v>
      </c>
      <c r="E70" s="93" t="b">
        <v>0</v>
      </c>
      <c r="F70" s="94" t="inlineStr">
        <is>
          <t>Intuição</t>
        </is>
      </c>
      <c r="G70" s="11" t="n"/>
      <c r="H70" s="11" t="n"/>
      <c r="I70" s="11" t="n"/>
      <c r="J70" s="11" t="n"/>
      <c r="K70" s="11" t="n"/>
      <c r="L70" s="11" t="n"/>
      <c r="M70" s="12" t="n"/>
      <c r="N70" s="70" t="inlineStr">
        <is>
          <t>Int</t>
        </is>
      </c>
      <c r="O70" s="12" t="n"/>
      <c r="P70" s="95">
        <f>$AB$19 + IF(E70, $D$51 + INT($D$51 / 2), IF(D70, $D$51, 0)) + R70</f>
        <v/>
      </c>
      <c r="Q70" s="12" t="n"/>
      <c r="R70" s="96" t="n"/>
      <c r="S70" s="48" t="n"/>
      <c r="T70" s="93" t="b">
        <v>0</v>
      </c>
      <c r="U70" s="93" t="b">
        <v>0</v>
      </c>
      <c r="V70" s="94" t="inlineStr">
        <is>
          <t>Persuasão</t>
        </is>
      </c>
      <c r="W70" s="11" t="n"/>
      <c r="X70" s="11" t="n"/>
      <c r="Y70" s="11" t="n"/>
      <c r="Z70" s="11" t="n"/>
      <c r="AA70" s="11" t="n"/>
      <c r="AB70" s="11" t="n"/>
      <c r="AC70" s="12" t="n"/>
      <c r="AD70" s="70" t="inlineStr">
        <is>
          <t>Ess</t>
        </is>
      </c>
      <c r="AE70" s="12" t="n"/>
      <c r="AF70" s="95">
        <f>$AJ$19 + IF(U70, $D$51 + INT($D$51 / 2), IF(T70, $D$51, 0)) + AH70</f>
        <v/>
      </c>
      <c r="AG70" s="12" t="n"/>
      <c r="AH70" s="96" t="n"/>
      <c r="AI70" s="48" t="n"/>
      <c r="AJ70" s="48" t="n"/>
      <c r="AK70" s="18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20" t="n"/>
    </row>
    <row r="71">
      <c r="A71" s="8" t="n"/>
      <c r="B71" s="22" t="n"/>
      <c r="C71" s="38" t="n"/>
      <c r="D71" s="93" t="b">
        <v>0</v>
      </c>
      <c r="E71" s="93" t="b">
        <v>0</v>
      </c>
      <c r="F71" s="94" t="inlineStr">
        <is>
          <t>Ocultismo</t>
        </is>
      </c>
      <c r="G71" s="11" t="n"/>
      <c r="H71" s="11" t="n"/>
      <c r="I71" s="11" t="n"/>
      <c r="J71" s="11" t="n"/>
      <c r="K71" s="11" t="n"/>
      <c r="L71" s="11" t="n"/>
      <c r="M71" s="12" t="n"/>
      <c r="N71" s="70" t="inlineStr">
        <is>
          <t>Int</t>
        </is>
      </c>
      <c r="O71" s="12" t="n"/>
      <c r="P71" s="95">
        <f>$AB$19 + IF(E71, $D$51 + INT($D$51 / 2), IF(D71, $D$51, 0)) + R71</f>
        <v/>
      </c>
      <c r="Q71" s="12" t="n"/>
      <c r="R71" s="96" t="n"/>
      <c r="S71" s="48" t="n"/>
      <c r="T71" s="93" t="b">
        <v>0</v>
      </c>
      <c r="U71" s="93" t="b">
        <v>0</v>
      </c>
      <c r="V71" s="94" t="inlineStr">
        <is>
          <t>Enganação</t>
        </is>
      </c>
      <c r="W71" s="11" t="n"/>
      <c r="X71" s="11" t="n"/>
      <c r="Y71" s="11" t="n"/>
      <c r="Z71" s="11" t="n"/>
      <c r="AA71" s="11" t="n"/>
      <c r="AB71" s="11" t="n"/>
      <c r="AC71" s="12" t="n"/>
      <c r="AD71" s="70" t="inlineStr">
        <is>
          <t>Ess</t>
        </is>
      </c>
      <c r="AE71" s="12" t="n"/>
      <c r="AF71" s="95">
        <f>$AJ$19 + IF(U71, $D$51 + INT($D$51 / 2), IF(T71, $D$51, 0)) + AH71</f>
        <v/>
      </c>
      <c r="AG71" s="12" t="n"/>
      <c r="AH71" s="96" t="n"/>
      <c r="AI71" s="48" t="n"/>
      <c r="AJ71" s="48" t="n"/>
      <c r="AK71" s="48" t="n"/>
      <c r="AL71" s="48" t="n"/>
      <c r="AM71" s="48" t="n"/>
    </row>
    <row r="72">
      <c r="A72" s="8" t="n"/>
      <c r="B72" s="22" t="n"/>
      <c r="C72" s="38" t="n"/>
      <c r="D72" s="93" t="b">
        <v>0</v>
      </c>
      <c r="E72" s="93" t="b">
        <v>0</v>
      </c>
      <c r="F72" s="94" t="inlineStr">
        <is>
          <t>Religião</t>
        </is>
      </c>
      <c r="G72" s="11" t="n"/>
      <c r="H72" s="11" t="n"/>
      <c r="I72" s="11" t="n"/>
      <c r="J72" s="11" t="n"/>
      <c r="K72" s="11" t="n"/>
      <c r="L72" s="11" t="n"/>
      <c r="M72" s="12" t="n"/>
      <c r="N72" s="70" t="inlineStr">
        <is>
          <t>Int</t>
        </is>
      </c>
      <c r="O72" s="12" t="n"/>
      <c r="P72" s="95">
        <f>$AB$19 + IF(E72, $D$51 + INT($D$51 / 2), IF(D72, $D$51, 0)) + R72</f>
        <v/>
      </c>
      <c r="Q72" s="12" t="n"/>
      <c r="R72" s="96" t="n"/>
      <c r="S72" s="48" t="n"/>
      <c r="T72" s="93" t="b">
        <v>0</v>
      </c>
      <c r="U72" s="93" t="b">
        <v>0</v>
      </c>
      <c r="V72" s="94" t="inlineStr">
        <is>
          <t>Intimidação</t>
        </is>
      </c>
      <c r="W72" s="11" t="n"/>
      <c r="X72" s="11" t="n"/>
      <c r="Y72" s="11" t="n"/>
      <c r="Z72" s="11" t="n"/>
      <c r="AA72" s="11" t="n"/>
      <c r="AB72" s="11" t="n"/>
      <c r="AC72" s="12" t="n"/>
      <c r="AD72" s="70" t="inlineStr">
        <is>
          <t>Ess</t>
        </is>
      </c>
      <c r="AE72" s="12" t="n"/>
      <c r="AF72" s="95">
        <f>$AJ$19 + IF(U72, $D$51 + INT($D$51 / 2), IF(T72, $D$51, 0)) + AH72</f>
        <v/>
      </c>
      <c r="AG72" s="12" t="n"/>
      <c r="AH72" s="96" t="n"/>
      <c r="AI72" s="48" t="n"/>
      <c r="AJ72" s="48" t="n"/>
      <c r="AK72" s="52" t="inlineStr">
        <is>
          <t>Perícias Disponíveis</t>
        </is>
      </c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2" t="n"/>
    </row>
    <row r="73">
      <c r="A73" s="8" t="n"/>
      <c r="B73" s="22" t="n"/>
      <c r="C73" s="38" t="n"/>
      <c r="D73" s="93" t="b">
        <v>0</v>
      </c>
      <c r="E73" s="93" t="b">
        <v>0</v>
      </c>
      <c r="F73" s="94" t="inlineStr">
        <is>
          <t>História</t>
        </is>
      </c>
      <c r="G73" s="11" t="n"/>
      <c r="H73" s="11" t="n"/>
      <c r="I73" s="11" t="n"/>
      <c r="J73" s="11" t="n"/>
      <c r="K73" s="11" t="n"/>
      <c r="L73" s="11" t="n"/>
      <c r="M73" s="12" t="n"/>
      <c r="N73" s="70" t="inlineStr">
        <is>
          <t>Int</t>
        </is>
      </c>
      <c r="O73" s="12" t="n"/>
      <c r="P73" s="95">
        <f>$AB$19 + IF(E73, $D$51 + INT($D$51 / 2), IF(D73, $D$51, 0)) + R73</f>
        <v/>
      </c>
      <c r="Q73" s="12" t="n"/>
      <c r="R73" s="96" t="n"/>
      <c r="S73" s="48" t="n"/>
      <c r="T73" s="93" t="b">
        <v>0</v>
      </c>
      <c r="U73" s="93" t="b">
        <v>0</v>
      </c>
      <c r="V73" s="94" t="inlineStr">
        <is>
          <t>Atuação</t>
        </is>
      </c>
      <c r="W73" s="11" t="n"/>
      <c r="X73" s="11" t="n"/>
      <c r="Y73" s="11" t="n"/>
      <c r="Z73" s="11" t="n"/>
      <c r="AA73" s="11" t="n"/>
      <c r="AB73" s="11" t="n"/>
      <c r="AC73" s="12" t="n"/>
      <c r="AD73" s="70" t="inlineStr">
        <is>
          <t>Ess</t>
        </is>
      </c>
      <c r="AE73" s="12" t="n"/>
      <c r="AF73" s="95">
        <f>$AJ$19 + IF(U73, $D$51 + INT($D$51 / 2), IF(T73, $D$51, 0)) + AH73</f>
        <v/>
      </c>
      <c r="AG73" s="12" t="n"/>
      <c r="AH73" s="96" t="n"/>
      <c r="AI73" s="48" t="n"/>
      <c r="AJ73" s="48" t="n"/>
      <c r="AK73" s="89">
        <f>IF(AND(DADOS!$AK$15&gt;0,$AH$11&lt;10),"Especialização só no nível 10",IF(DADOS!$AK$24&gt;0,DADOS!$AK$24&amp;" a mais",DADOS!$AK$19+DADOS!$AK$21-DADOS!$AK$13&amp;" de "&amp;(DADOS!$AK$19+DADOS!$AK$21)))</f>
        <v/>
      </c>
      <c r="AL73" s="14" t="n"/>
      <c r="AM73" s="14" t="n"/>
      <c r="AN73" s="14" t="n"/>
      <c r="AO73" s="14" t="n"/>
      <c r="AP73" s="14" t="n"/>
      <c r="AQ73" s="14" t="n"/>
      <c r="AR73" s="14" t="n"/>
      <c r="AS73" s="14" t="n"/>
      <c r="AT73" s="15" t="n"/>
    </row>
    <row r="74">
      <c r="A74" s="8" t="n"/>
      <c r="B74" s="22" t="n"/>
      <c r="C74" s="38" t="n"/>
      <c r="D74" s="93" t="b">
        <v>0</v>
      </c>
      <c r="E74" s="93" t="b">
        <v>0</v>
      </c>
      <c r="F74" s="94" t="inlineStr">
        <is>
          <t>Hierarquia</t>
        </is>
      </c>
      <c r="G74" s="11" t="n"/>
      <c r="H74" s="11" t="n"/>
      <c r="I74" s="11" t="n"/>
      <c r="J74" s="11" t="n"/>
      <c r="K74" s="11" t="n"/>
      <c r="L74" s="11" t="n"/>
      <c r="M74" s="12" t="n"/>
      <c r="N74" s="70" t="inlineStr">
        <is>
          <t>Int</t>
        </is>
      </c>
      <c r="O74" s="12" t="n"/>
      <c r="P74" s="95">
        <f>$AB$19 + IF(E74, $D$51 + INT($D$51 / 2), IF(D74, $D$51, 0)) + R74</f>
        <v/>
      </c>
      <c r="Q74" s="12" t="n"/>
      <c r="R74" s="96" t="n"/>
      <c r="S74" s="91" t="n"/>
      <c r="T74" s="93" t="b">
        <v>0</v>
      </c>
      <c r="U74" s="93" t="b">
        <v>0</v>
      </c>
      <c r="V74" s="94" t="inlineStr">
        <is>
          <t>Provocar</t>
        </is>
      </c>
      <c r="W74" s="11" t="n"/>
      <c r="X74" s="11" t="n"/>
      <c r="Y74" s="11" t="n"/>
      <c r="Z74" s="11" t="n"/>
      <c r="AA74" s="11" t="n"/>
      <c r="AB74" s="11" t="n"/>
      <c r="AC74" s="12" t="n"/>
      <c r="AD74" s="70" t="inlineStr">
        <is>
          <t>Ess</t>
        </is>
      </c>
      <c r="AE74" s="12" t="n"/>
      <c r="AF74" s="95">
        <f>$AJ$19 + IF(U74, $D$51 + INT($D$51 / 2), IF(T74, $D$51, 0)) + AH74</f>
        <v/>
      </c>
      <c r="AG74" s="12" t="n"/>
      <c r="AH74" s="96" t="n"/>
      <c r="AI74" s="48" t="n"/>
      <c r="AJ74" s="48" t="n"/>
      <c r="AK74" s="18" t="n"/>
      <c r="AL74" s="19" t="n"/>
      <c r="AM74" s="19" t="n"/>
      <c r="AN74" s="19" t="n"/>
      <c r="AO74" s="19" t="n"/>
      <c r="AP74" s="19" t="n"/>
      <c r="AQ74" s="19" t="n"/>
      <c r="AR74" s="19" t="n"/>
      <c r="AS74" s="19" t="n"/>
      <c r="AT74" s="20" t="n"/>
    </row>
    <row r="75">
      <c r="A75" s="8" t="n"/>
      <c r="B75" s="22" t="n"/>
      <c r="C75" s="3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  <c r="AG75" s="48" t="n"/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</row>
    <row r="76" ht="27" customHeight="1">
      <c r="A76" s="8" t="n"/>
      <c r="B76" s="22" t="n"/>
      <c r="C76" s="38" t="n"/>
      <c r="D76" s="63" t="n">
        <v>6</v>
      </c>
      <c r="E76" s="14" t="n"/>
      <c r="F76" s="15" t="n"/>
      <c r="G76" s="85" t="inlineStr">
        <is>
          <t>OFÍCIOS E TESTES DE RESISTÊNCIA</t>
        </is>
      </c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2" t="n"/>
      <c r="AI76" s="48" t="n"/>
      <c r="AJ76" s="48" t="n"/>
      <c r="AK76" s="99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/>
      </c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2" t="n"/>
    </row>
    <row r="77">
      <c r="A77" s="8" t="n"/>
      <c r="B77" s="22" t="n"/>
      <c r="C77" s="38" t="n"/>
      <c r="D77" s="18" t="n"/>
      <c r="E77" s="19" t="n"/>
      <c r="F77" s="20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</row>
    <row r="78">
      <c r="A78" s="8" t="n"/>
      <c r="B78" s="22" t="n"/>
      <c r="C78" s="38" t="n"/>
      <c r="D78" s="92" t="inlineStr">
        <is>
          <t>Trein</t>
        </is>
      </c>
      <c r="E78" s="92" t="inlineStr">
        <is>
          <t>Espec</t>
        </is>
      </c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92" t="inlineStr">
        <is>
          <t>Extra</t>
        </is>
      </c>
      <c r="P78" s="48" t="n"/>
      <c r="Q78" s="92" t="inlineStr">
        <is>
          <t>Trein</t>
        </is>
      </c>
      <c r="R78" s="92" t="inlineStr">
        <is>
          <t>Espec</t>
        </is>
      </c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92" t="inlineStr">
        <is>
          <t>Extra</t>
        </is>
      </c>
      <c r="AC78" s="48" t="n"/>
      <c r="AD78" s="48" t="n"/>
      <c r="AE78" s="91" t="n"/>
      <c r="AF78" s="92" t="inlineStr">
        <is>
          <t>Trein</t>
        </is>
      </c>
      <c r="AG78" s="48" t="n"/>
      <c r="AH78" s="48" t="n"/>
      <c r="AI78" s="48" t="n"/>
      <c r="AJ78" s="92" t="inlineStr">
        <is>
          <t>Extra</t>
        </is>
      </c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</row>
    <row r="79">
      <c r="A79" s="8" t="n"/>
      <c r="B79" s="22" t="n"/>
      <c r="C79" s="38" t="n"/>
      <c r="D79" s="93" t="b">
        <v>0</v>
      </c>
      <c r="E79" s="93" t="b">
        <v>0</v>
      </c>
      <c r="F79" s="100" t="inlineStr">
        <is>
          <t>Condução</t>
        </is>
      </c>
      <c r="G79" s="11" t="n"/>
      <c r="H79" s="11" t="n"/>
      <c r="I79" s="11" t="n"/>
      <c r="J79" s="12" t="n"/>
      <c r="K79" s="101" t="inlineStr">
        <is>
          <t>INTELIGÊNCIA</t>
        </is>
      </c>
      <c r="L79" s="11" t="n"/>
      <c r="M79" s="12" t="n"/>
      <c r="N79" s="102">
        <f>+IFS(K79="FORÇA",$D$19, K79="DESTREZA",$L$19, K79="CONSTITUIÇÃO",$T$19, K79="INTELIGÊNCIA",$AB$19, K79="ESSÊNCIA",$AJ$19) + IF(E79, $D$51 + INT($D$51 / 2), IF(D79, $D$51, 0)) + O79</f>
        <v/>
      </c>
      <c r="O79" s="99" t="n"/>
      <c r="P79" s="48" t="n"/>
      <c r="Q79" s="93" t="b">
        <v>0</v>
      </c>
      <c r="R79" s="93" t="b">
        <v>0</v>
      </c>
      <c r="S79" s="100" t="inlineStr">
        <is>
          <t>Entalhador</t>
        </is>
      </c>
      <c r="T79" s="11" t="n"/>
      <c r="U79" s="11" t="n"/>
      <c r="V79" s="11" t="n"/>
      <c r="W79" s="12" t="n"/>
      <c r="X79" s="101" t="inlineStr">
        <is>
          <t>INTELIGÊNCIA</t>
        </is>
      </c>
      <c r="Y79" s="11" t="n"/>
      <c r="Z79" s="12" t="n"/>
      <c r="AA79" s="103">
        <f>+IFS(X79="FORÇA",$D$19, X79="DESTREZA",$L$19, X79="CONSTITUIÇÃO",$T$19, X79="INTELIGÊNCIA",$AB$19, X79="ESSÊNCIA",$AJ$19) + IF(R79, $D$51 + INT($D$51 / 2), IF(Q79, $D$51, 0)) + AB79</f>
        <v/>
      </c>
      <c r="AB79" s="96" t="n"/>
      <c r="AC79" s="48" t="n"/>
      <c r="AD79" s="48" t="n"/>
      <c r="AE79" s="91" t="n"/>
      <c r="AF79" s="93" t="b">
        <v>0</v>
      </c>
      <c r="AG79" s="104" t="inlineStr">
        <is>
          <t>Físico</t>
        </is>
      </c>
      <c r="AH79" s="11" t="n"/>
      <c r="AI79" s="11" t="n"/>
      <c r="AJ79" s="99" t="n"/>
      <c r="AK79" s="105" t="inlineStr">
        <is>
          <t>FORÇA</t>
        </is>
      </c>
      <c r="AL79" s="11" t="n"/>
      <c r="AM79" s="11" t="n"/>
      <c r="AN79" s="11" t="n"/>
      <c r="AO79" s="12" t="n"/>
      <c r="AP79" s="98">
        <f>+IFS(AK79="FORÇA",$D$19, AK79="DESTREZA",$L$19)+IF($AF$79=TRUE,$D$51,0)+AJ79</f>
        <v/>
      </c>
      <c r="AQ79" s="11" t="n"/>
      <c r="AR79" s="11" t="n"/>
      <c r="AS79" s="11" t="n"/>
      <c r="AT79" s="12" t="n"/>
    </row>
    <row r="80">
      <c r="A80" s="8" t="n"/>
      <c r="B80" s="22" t="n"/>
      <c r="C80" s="38" t="n"/>
      <c r="D80" s="93" t="b">
        <v>0</v>
      </c>
      <c r="E80" s="93" t="b">
        <v>0</v>
      </c>
      <c r="F80" s="100" t="inlineStr">
        <is>
          <t>Arrombamento</t>
        </is>
      </c>
      <c r="G80" s="11" t="n"/>
      <c r="H80" s="11" t="n"/>
      <c r="I80" s="11" t="n"/>
      <c r="J80" s="12" t="n"/>
      <c r="K80" s="101" t="inlineStr">
        <is>
          <t>INTELIGÊNCIA</t>
        </is>
      </c>
      <c r="L80" s="11" t="n"/>
      <c r="M80" s="12" t="n"/>
      <c r="N80" s="103">
        <f>+IFS(K80="FORÇA",$D$19, K80="DESTREZA",$L$19, K80="CONSTITUIÇÃO",$T$19, K80="INTELIGÊNCIA",$AB$19, K80="ESSÊNCIA",$AJ$19) + IF(E80, $D$51 + INT($D$51 / 2), IF(D80, $D$51, 0)) + O80</f>
        <v/>
      </c>
      <c r="O80" s="96" t="n"/>
      <c r="P80" s="48" t="n"/>
      <c r="Q80" s="93" t="b">
        <v>0</v>
      </c>
      <c r="R80" s="93" t="b">
        <v>0</v>
      </c>
      <c r="S80" s="100" t="inlineStr">
        <is>
          <t xml:space="preserve">Alfaiate </t>
        </is>
      </c>
      <c r="T80" s="11" t="n"/>
      <c r="U80" s="11" t="n"/>
      <c r="V80" s="11" t="n"/>
      <c r="W80" s="12" t="n"/>
      <c r="X80" s="101" t="inlineStr">
        <is>
          <t>INTELIGÊNCIA</t>
        </is>
      </c>
      <c r="Y80" s="11" t="n"/>
      <c r="Z80" s="12" t="n"/>
      <c r="AA80" s="103">
        <f>+IFS(X80="FORÇA",$D$19, X80="DESTREZA",$L$19, X80="CONSTITUIÇÃO",$T$19, X80="INTELIGÊNCIA",$AB$19, X80="ESSÊNCIA",$AJ$19) + IF(R80, $D$51 + INT($D$51 / 2), IF(Q80, $D$51, 0)) + AB80</f>
        <v/>
      </c>
      <c r="AB80" s="96" t="n"/>
      <c r="AC80" s="48" t="n"/>
      <c r="AD80" s="48" t="n"/>
      <c r="AE80" s="91" t="n"/>
      <c r="AF80" s="93" t="b">
        <v>0</v>
      </c>
      <c r="AG80" s="104" t="inlineStr">
        <is>
          <t>Vigor</t>
        </is>
      </c>
      <c r="AH80" s="11" t="n"/>
      <c r="AI80" s="11" t="n"/>
      <c r="AJ80" s="99" t="n"/>
      <c r="AK80" s="101" t="inlineStr">
        <is>
          <t xml:space="preserve">CONSTITUIÇÃO </t>
        </is>
      </c>
      <c r="AL80" s="11" t="n"/>
      <c r="AM80" s="11" t="n"/>
      <c r="AN80" s="11" t="n"/>
      <c r="AO80" s="12" t="n"/>
      <c r="AP80" s="98">
        <f>$T$19+IF($AF$80=TRUE,$D$51,0)+AJ80</f>
        <v/>
      </c>
      <c r="AQ80" s="11" t="n"/>
      <c r="AR80" s="11" t="n"/>
      <c r="AS80" s="11" t="n"/>
      <c r="AT80" s="12" t="n"/>
    </row>
    <row r="81">
      <c r="A81" s="8" t="n"/>
      <c r="B81" s="22" t="n"/>
      <c r="C81" s="38" t="n"/>
      <c r="D81" s="93" t="b">
        <v>0</v>
      </c>
      <c r="E81" s="93" t="b">
        <v>0</v>
      </c>
      <c r="F81" s="100" t="inlineStr">
        <is>
          <t>Herbalismo</t>
        </is>
      </c>
      <c r="G81" s="11" t="n"/>
      <c r="H81" s="11" t="n"/>
      <c r="I81" s="11" t="n"/>
      <c r="J81" s="12" t="n"/>
      <c r="K81" s="101" t="inlineStr">
        <is>
          <t>INTELIGÊNCIA</t>
        </is>
      </c>
      <c r="L81" s="11" t="n"/>
      <c r="M81" s="12" t="n"/>
      <c r="N81" s="103">
        <f>+IFS(K81="FORÇA",$D$19, K81="DESTREZA",$L$19, K81="CONSTITUIÇÃO",$T$19, K81="INTELIGÊNCIA",$AB$19, K81="ESSÊNCIA",$AJ$19) + IF(E81, $D$51 + INT($D$51 / 2), IF(D81, $D$51, 0)) + O81</f>
        <v/>
      </c>
      <c r="O81" s="96" t="n"/>
      <c r="P81" s="48" t="n"/>
      <c r="Q81" s="93" t="b">
        <v>0</v>
      </c>
      <c r="R81" s="93" t="b">
        <v>0</v>
      </c>
      <c r="S81" s="94" t="inlineStr">
        <is>
          <t>Culinária</t>
        </is>
      </c>
      <c r="T81" s="11" t="n"/>
      <c r="U81" s="11" t="n"/>
      <c r="V81" s="11" t="n"/>
      <c r="W81" s="12" t="n"/>
      <c r="X81" s="101" t="inlineStr">
        <is>
          <t>INTELIGÊNCIA</t>
        </is>
      </c>
      <c r="Y81" s="11" t="n"/>
      <c r="Z81" s="12" t="n"/>
      <c r="AA81" s="103">
        <f>+IFS(X81="FORÇA",$D$19, X81="DESTREZA",$L$19, X81="CONSTITUIÇÃO",$T$19, X81="INTELIGÊNCIA",$AB$19, X81="ESSÊNCIA",$AJ$19) + IF(R81, $D$51 + INT($D$51 / 2), IF(Q81, $D$51, 0)) + AB81</f>
        <v/>
      </c>
      <c r="AB81" s="96" t="n"/>
      <c r="AC81" s="48" t="n"/>
      <c r="AD81" s="48" t="n"/>
      <c r="AE81" s="91" t="n"/>
      <c r="AF81" s="93" t="b">
        <v>0</v>
      </c>
      <c r="AG81" s="104" t="inlineStr">
        <is>
          <t>Intelecto</t>
        </is>
      </c>
      <c r="AH81" s="11" t="n"/>
      <c r="AI81" s="11" t="n"/>
      <c r="AJ81" s="99" t="n"/>
      <c r="AK81" s="101" t="inlineStr">
        <is>
          <t>INTELIGÊNCIA</t>
        </is>
      </c>
      <c r="AL81" s="11" t="n"/>
      <c r="AM81" s="11" t="n"/>
      <c r="AN81" s="11" t="n"/>
      <c r="AO81" s="12" t="n"/>
      <c r="AP81" s="98">
        <f>$AB$19+IF($AF$81=TRUE,$D$51,0)+AJ81</f>
        <v/>
      </c>
      <c r="AQ81" s="11" t="n"/>
      <c r="AR81" s="11" t="n"/>
      <c r="AS81" s="11" t="n"/>
      <c r="AT81" s="12" t="n"/>
    </row>
    <row r="82">
      <c r="A82" s="8" t="n"/>
      <c r="B82" s="22" t="n"/>
      <c r="C82" s="38" t="n"/>
      <c r="D82" s="93" t="b">
        <v>0</v>
      </c>
      <c r="E82" s="93" t="b">
        <v>0</v>
      </c>
      <c r="F82" s="100" t="inlineStr">
        <is>
          <t>Forja</t>
        </is>
      </c>
      <c r="G82" s="11" t="n"/>
      <c r="H82" s="11" t="n"/>
      <c r="I82" s="11" t="n"/>
      <c r="J82" s="12" t="n"/>
      <c r="K82" s="101" t="inlineStr">
        <is>
          <t>INTELIGÊNCIA</t>
        </is>
      </c>
      <c r="L82" s="11" t="n"/>
      <c r="M82" s="12" t="n"/>
      <c r="N82" s="103">
        <f>+IFS(K82="FORÇA",$D$19, K82="DESTREZA",$L$19, K82="CONSTITUIÇÃO",$T$19, K82="INTELIGÊNCIA",$AB$19, K82="ESSÊNCIA",$AJ$19) + IF(E82, $D$51 + INT($D$51 / 2), IF(D82, $D$51, 0)) + O82</f>
        <v/>
      </c>
      <c r="O82" s="96" t="n"/>
      <c r="P82" s="48" t="n"/>
      <c r="Q82" s="93" t="b">
        <v>0</v>
      </c>
      <c r="R82" s="93" t="b">
        <v>0</v>
      </c>
      <c r="S82" s="100" t="inlineStr">
        <is>
          <t>Jogatina</t>
        </is>
      </c>
      <c r="T82" s="11" t="n"/>
      <c r="U82" s="11" t="n"/>
      <c r="V82" s="11" t="n"/>
      <c r="W82" s="12" t="n"/>
      <c r="X82" s="101" t="inlineStr">
        <is>
          <t>INTELIGÊNCIA</t>
        </is>
      </c>
      <c r="Y82" s="11" t="n"/>
      <c r="Z82" s="12" t="n"/>
      <c r="AA82" s="103">
        <f>+IFS(X82="FORÇA",$D$19, X82="DESTREZA",$L$19, X82="CONSTITUIÇÃO",$T$19, X82="INTELIGÊNCIA",$AB$19, X82="ESSÊNCIA",$AJ$19) + IF(R82, $D$51 + INT($D$51 / 2), IF(Q82, $D$51, 0)) + AB82</f>
        <v/>
      </c>
      <c r="AB82" s="96" t="n"/>
      <c r="AC82" s="48" t="n"/>
      <c r="AD82" s="48" t="n"/>
      <c r="AE82" s="48" t="n"/>
      <c r="AF82" s="93" t="b">
        <v>0</v>
      </c>
      <c r="AG82" s="104" t="inlineStr">
        <is>
          <t>Espírito</t>
        </is>
      </c>
      <c r="AH82" s="11" t="n"/>
      <c r="AI82" s="11" t="n"/>
      <c r="AJ82" s="99" t="n"/>
      <c r="AK82" s="101" t="inlineStr">
        <is>
          <t>ESSÊNCIA</t>
        </is>
      </c>
      <c r="AL82" s="11" t="n"/>
      <c r="AM82" s="11" t="n"/>
      <c r="AN82" s="11" t="n"/>
      <c r="AO82" s="12" t="n"/>
      <c r="AP82" s="98">
        <f>$AJ$19+IF($AF$82=TRUE,$D$51,0)+AJ82</f>
        <v/>
      </c>
      <c r="AQ82" s="11" t="n"/>
      <c r="AR82" s="11" t="n"/>
      <c r="AS82" s="11" t="n"/>
      <c r="AT82" s="12" t="n"/>
    </row>
    <row r="83">
      <c r="A83" s="8" t="n"/>
      <c r="B83" s="22" t="n"/>
      <c r="C83" s="38" t="n"/>
      <c r="D83" s="93" t="b">
        <v>0</v>
      </c>
      <c r="E83" s="93" t="b">
        <v>0</v>
      </c>
      <c r="F83" s="100" t="inlineStr">
        <is>
          <t>Caligrafia</t>
        </is>
      </c>
      <c r="G83" s="11" t="n"/>
      <c r="H83" s="11" t="n"/>
      <c r="I83" s="11" t="n"/>
      <c r="J83" s="12" t="n"/>
      <c r="K83" s="101" t="inlineStr">
        <is>
          <t>INTELIGÊNCIA</t>
        </is>
      </c>
      <c r="L83" s="11" t="n"/>
      <c r="M83" s="12" t="n"/>
      <c r="N83" s="103">
        <f>+IFS(K83="FORÇA",$D$19, K83="DESTREZA",$L$19, K83="CONSTITUIÇÃO",$T$19, K83="INTELIGÊNCIA",$AB$19, K83="ESSÊNCIA",$AJ$19) + IF(E83, $D$51 + INT($D$51 / 2), IF(D83, $D$51, 0)) + O83</f>
        <v/>
      </c>
      <c r="O83" s="96" t="n"/>
      <c r="P83" s="48" t="n"/>
      <c r="Q83" s="93" t="b">
        <v>0</v>
      </c>
      <c r="R83" s="93" t="b">
        <v>0</v>
      </c>
      <c r="S83" s="100" t="inlineStr">
        <is>
          <t>Instrumento</t>
        </is>
      </c>
      <c r="T83" s="11" t="n"/>
      <c r="U83" s="11" t="n"/>
      <c r="V83" s="11" t="n"/>
      <c r="W83" s="12" t="n"/>
      <c r="X83" s="101" t="inlineStr">
        <is>
          <t>INTELIGÊNCIA</t>
        </is>
      </c>
      <c r="Y83" s="11" t="n"/>
      <c r="Z83" s="12" t="n"/>
      <c r="AA83" s="103">
        <f>+IFS(X83="FORÇA",$D$19, X83="DESTREZA",$L$19, X83="CONSTITUIÇÃO",$T$19, X83="INTELIGÊNCIA",$AB$19, X83="ESSÊNCIA",$AJ$19) + IF(R83, $D$51 + INT($D$51 / 2), IF(Q83, $D$51, 0)) + AB83</f>
        <v/>
      </c>
      <c r="AB83" s="96" t="n"/>
      <c r="AC83" s="48" t="n"/>
      <c r="AD83" s="48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</row>
    <row r="84">
      <c r="A84" s="8" t="n"/>
      <c r="B84" s="22" t="n"/>
      <c r="C84" s="38" t="n"/>
      <c r="D84" s="93" t="b">
        <v>0</v>
      </c>
      <c r="E84" s="93" t="b">
        <v>0</v>
      </c>
      <c r="F84" s="100" t="inlineStr">
        <is>
          <t>Burocracia</t>
        </is>
      </c>
      <c r="G84" s="11" t="n"/>
      <c r="H84" s="11" t="n"/>
      <c r="I84" s="11" t="n"/>
      <c r="J84" s="12" t="n"/>
      <c r="K84" s="101" t="inlineStr">
        <is>
          <t>INTELIGÊNCIA</t>
        </is>
      </c>
      <c r="L84" s="11" t="n"/>
      <c r="M84" s="12" t="n"/>
      <c r="N84" s="103">
        <f>+IFS(K84="FORÇA",$D$19, K84="DESTREZA",$L$19, K84="CONSTITUIÇÃO",$T$19, K84="INTELIGÊNCIA",$AB$19, K84="ESSÊNCIA",$AJ$19) + IF(E84, $D$51 + INT($D$51 / 2), IF(D84, $D$51, 0)) + O84</f>
        <v/>
      </c>
      <c r="O84" s="96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106" t="inlineStr">
        <is>
          <t>Ofícios Disponíveis</t>
        </is>
      </c>
      <c r="AG84" s="11" t="n"/>
      <c r="AH84" s="11" t="n"/>
      <c r="AI84" s="11" t="n"/>
      <c r="AJ84" s="11" t="n"/>
      <c r="AK84" s="11" t="n"/>
      <c r="AL84" s="11" t="n"/>
      <c r="AM84" s="12" t="n"/>
      <c r="AN84" s="107" t="inlineStr">
        <is>
          <t>Testes de Resistência Disponíveis</t>
        </is>
      </c>
      <c r="AO84" s="11" t="n"/>
      <c r="AP84" s="11" t="n"/>
      <c r="AQ84" s="11" t="n"/>
      <c r="AR84" s="11" t="n"/>
      <c r="AS84" s="11" t="n"/>
      <c r="AT84" s="12" t="n"/>
    </row>
    <row r="85">
      <c r="A85" s="8" t="n"/>
      <c r="B85" s="22" t="n"/>
      <c r="C85" s="38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108">
        <f>IF(AND(DADOS!$AK$15&gt;0,$AH$11&lt;10),"Especialização só no nível 10",IF(DADOS!$AK$24&gt;0,DADOS!$AK$24&amp;" a mais",DADOS!$AK$20+DADOS!$AK$22-DADOS!$AK$14&amp;" de "&amp;(DADOS!$AK$20+DADOS!$AK$22)))</f>
        <v/>
      </c>
      <c r="AG85" s="11" t="n"/>
      <c r="AH85" s="11" t="n"/>
      <c r="AI85" s="11" t="n"/>
      <c r="AJ85" s="11" t="n"/>
      <c r="AK85" s="11" t="n"/>
      <c r="AL85" s="11" t="n"/>
      <c r="AM85" s="12" t="n"/>
      <c r="AN85" s="109">
        <f>IF(DADOS!$AK$29&gt;2,DADOS!$AK$29-2&amp;" a mais",2-DADOS!$AK$29&amp;" de "&amp;2)</f>
        <v/>
      </c>
      <c r="AO85" s="11" t="n"/>
      <c r="AP85" s="11" t="n"/>
      <c r="AQ85" s="11" t="n"/>
      <c r="AR85" s="11" t="n"/>
      <c r="AS85" s="11" t="n"/>
      <c r="AT85" s="12" t="n"/>
    </row>
    <row r="86">
      <c r="A86" s="8" t="n"/>
      <c r="B86" s="22" t="n"/>
      <c r="C86" s="3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</row>
    <row r="87">
      <c r="A87" s="8" t="n"/>
      <c r="B87" s="22" t="n"/>
      <c r="C87" s="38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</row>
    <row r="88" ht="27" customHeight="1">
      <c r="A88" s="8" t="n"/>
      <c r="B88" s="22" t="n"/>
      <c r="C88" s="38" t="n"/>
      <c r="D88" s="63" t="n">
        <v>7</v>
      </c>
      <c r="E88" s="14" t="n"/>
      <c r="F88" s="15" t="n"/>
      <c r="G88" s="85" t="inlineStr">
        <is>
          <t>ANOTAÇÕES</t>
        </is>
      </c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2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</row>
    <row r="89">
      <c r="A89" s="8" t="n"/>
      <c r="B89" s="22" t="n"/>
      <c r="C89" s="38" t="n"/>
      <c r="D89" s="18" t="n"/>
      <c r="E89" s="19" t="n"/>
      <c r="F89" s="20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</row>
    <row r="90" ht="5.25" customHeight="1">
      <c r="A90" s="8" t="n"/>
      <c r="B90" s="22" t="n"/>
      <c r="C90" s="38" t="n"/>
      <c r="D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</row>
    <row r="91">
      <c r="A91" s="8" t="n"/>
      <c r="B91" s="22" t="n"/>
      <c r="C91" s="38" t="n"/>
      <c r="D91" s="110" t="inlineStr">
        <is>
          <t>Skill Base de Caminho 1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2" t="n"/>
      <c r="O91" s="38" t="n"/>
      <c r="P91" s="110" t="inlineStr">
        <is>
          <t>Skill Base de Trilha 1</t>
        </is>
      </c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38" t="n"/>
      <c r="AB91" s="110" t="inlineStr">
        <is>
          <t>Outras Anotações</t>
        </is>
      </c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2" t="n"/>
      <c r="AM91" s="38" t="n"/>
      <c r="AN91" s="38" t="n"/>
      <c r="AO91" s="38" t="n"/>
      <c r="AP91" s="38" t="n"/>
      <c r="AQ91" s="38" t="n"/>
      <c r="AR91" s="38" t="n"/>
      <c r="AS91" s="38" t="n"/>
      <c r="AT91" s="38" t="n"/>
    </row>
    <row r="92" ht="5.25" customHeight="1">
      <c r="A92" s="8" t="n"/>
      <c r="B92" s="22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S92" s="38" t="n"/>
      <c r="AT92" s="38" t="n"/>
    </row>
    <row r="93">
      <c r="A93" s="8" t="n"/>
      <c r="B93" s="22" t="n"/>
      <c r="C93" s="38" t="n"/>
      <c r="D93" s="111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5" t="n"/>
      <c r="O93" s="38" t="n"/>
      <c r="P93" s="111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5" t="n"/>
      <c r="AA93" s="38" t="n"/>
      <c r="AB93" s="111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5" t="n"/>
      <c r="AM93" s="38" t="n"/>
      <c r="AN93" s="38" t="n"/>
      <c r="AO93" s="38" t="n"/>
      <c r="AS93" s="38" t="n"/>
      <c r="AT93" s="38" t="n"/>
    </row>
    <row r="94">
      <c r="A94" s="8" t="n"/>
      <c r="B94" s="22" t="n"/>
      <c r="C94" s="38" t="n"/>
      <c r="D94" s="16" t="n"/>
      <c r="N94" s="17" t="n"/>
      <c r="O94" s="38" t="n"/>
      <c r="P94" s="16" t="n"/>
      <c r="Z94" s="17" t="n"/>
      <c r="AA94" s="38" t="n"/>
      <c r="AB94" s="16" t="n"/>
      <c r="AL94" s="17" t="n"/>
      <c r="AM94" s="38" t="n"/>
      <c r="AN94" s="38" t="n"/>
      <c r="AO94" s="38" t="n"/>
      <c r="AS94" s="38" t="n"/>
      <c r="AT94" s="38" t="n"/>
    </row>
    <row r="95">
      <c r="A95" s="8" t="n"/>
      <c r="B95" s="22" t="n"/>
      <c r="C95" s="38" t="n"/>
      <c r="D95" s="16" t="n"/>
      <c r="N95" s="17" t="n"/>
      <c r="O95" s="38" t="n"/>
      <c r="P95" s="16" t="n"/>
      <c r="Z95" s="17" t="n"/>
      <c r="AA95" s="38" t="n"/>
      <c r="AB95" s="16" t="n"/>
      <c r="AL95" s="17" t="n"/>
      <c r="AM95" s="38" t="n"/>
      <c r="AN95" s="38" t="n"/>
      <c r="AO95" s="38" t="n"/>
      <c r="AS95" s="38" t="n"/>
      <c r="AT95" s="38" t="n"/>
    </row>
    <row r="96">
      <c r="A96" s="8" t="n"/>
      <c r="B96" s="22" t="n"/>
      <c r="C96" s="38" t="n"/>
      <c r="D96" s="18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20" t="n"/>
      <c r="O96" s="38" t="n"/>
      <c r="P96" s="18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20" t="n"/>
      <c r="AA96" s="38" t="n"/>
      <c r="AB96" s="18" t="n"/>
      <c r="AC96" s="19" t="n"/>
      <c r="AD96" s="19" t="n"/>
      <c r="AE96" s="19" t="n"/>
      <c r="AF96" s="19" t="n"/>
      <c r="AG96" s="19" t="n"/>
      <c r="AH96" s="19" t="n"/>
      <c r="AI96" s="19" t="n"/>
      <c r="AJ96" s="19" t="n"/>
      <c r="AK96" s="19" t="n"/>
      <c r="AL96" s="20" t="n"/>
      <c r="AM96" s="38" t="n"/>
      <c r="AN96" s="38" t="n"/>
      <c r="AO96" s="38" t="n"/>
      <c r="AS96" s="38" t="n"/>
      <c r="AT96" s="38" t="n"/>
    </row>
    <row r="97" ht="5.25" customHeight="1">
      <c r="A97" s="8" t="n"/>
      <c r="B97" s="22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8" t="n"/>
      <c r="AG97" s="38" t="n"/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</row>
    <row r="98">
      <c r="A98" s="8" t="n"/>
      <c r="B98" s="22" t="n"/>
      <c r="C98" s="38" t="n"/>
      <c r="D98" s="110" t="inlineStr">
        <is>
          <t>Skill Base de Caminho 2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2" t="n"/>
      <c r="O98" s="38" t="n"/>
      <c r="P98" s="110" t="inlineStr">
        <is>
          <t>Skill Base de Trilha 2</t>
        </is>
      </c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38" t="n"/>
      <c r="AB98" s="110" t="inlineStr">
        <is>
          <t>Outras Anotações</t>
        </is>
      </c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2" t="n"/>
      <c r="AM98" s="38" t="n"/>
      <c r="AN98" s="38" t="n"/>
      <c r="AO98" s="38" t="n"/>
      <c r="AP98" s="38" t="n"/>
      <c r="AQ98" s="38" t="n"/>
      <c r="AR98" s="38" t="n"/>
      <c r="AS98" s="38" t="n"/>
      <c r="AT98" s="38" t="n"/>
    </row>
    <row r="99" ht="5.25" customHeight="1">
      <c r="A99" s="8" t="n"/>
      <c r="B99" s="22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8" t="n"/>
      <c r="AG99" s="38" t="n"/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</row>
    <row r="100">
      <c r="A100" s="8" t="n"/>
      <c r="B100" s="22" t="n"/>
      <c r="C100" s="38" t="n"/>
      <c r="D100" s="111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5" t="n"/>
      <c r="O100" s="38" t="n"/>
      <c r="P100" s="111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5" t="n"/>
      <c r="AA100" s="38" t="n"/>
      <c r="AB100" s="111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5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</row>
    <row r="101">
      <c r="A101" s="8" t="n"/>
      <c r="B101" s="22" t="n"/>
      <c r="C101" s="38" t="n"/>
      <c r="D101" s="16" t="n"/>
      <c r="N101" s="17" t="n"/>
      <c r="O101" s="38" t="n"/>
      <c r="P101" s="16" t="n"/>
      <c r="Z101" s="17" t="n"/>
      <c r="AA101" s="38" t="n"/>
      <c r="AB101" s="16" t="n"/>
      <c r="AL101" s="17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</row>
    <row r="102">
      <c r="A102" s="8" t="n"/>
      <c r="B102" s="22" t="n"/>
      <c r="C102" s="38" t="n"/>
      <c r="D102" s="16" t="n"/>
      <c r="N102" s="17" t="n"/>
      <c r="O102" s="38" t="n"/>
      <c r="P102" s="16" t="n"/>
      <c r="Z102" s="17" t="n"/>
      <c r="AA102" s="38" t="n"/>
      <c r="AB102" s="16" t="n"/>
      <c r="AL102" s="17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</row>
    <row r="103">
      <c r="A103" s="8" t="n"/>
      <c r="B103" s="22" t="n"/>
      <c r="C103" s="38" t="n"/>
      <c r="D103" s="18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20" t="n"/>
      <c r="O103" s="38" t="n"/>
      <c r="P103" s="18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20" t="n"/>
      <c r="AA103" s="38" t="n"/>
      <c r="AB103" s="18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0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</row>
    <row r="104" ht="5.25" customHeight="1">
      <c r="A104" s="8" t="n"/>
      <c r="B104" s="22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</row>
    <row r="105">
      <c r="A105" s="8" t="n"/>
      <c r="B105" s="22" t="n"/>
      <c r="C105" s="38" t="n"/>
      <c r="D105" s="110" t="inlineStr">
        <is>
          <t>Skill Base de Caminho 3</t>
        </is>
      </c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2" t="n"/>
      <c r="O105" s="38" t="n"/>
      <c r="P105" s="110" t="inlineStr">
        <is>
          <t>Skill Base de Trilha 3</t>
        </is>
      </c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38" t="n"/>
      <c r="AB105" s="110" t="inlineStr">
        <is>
          <t>Outras Anotações</t>
        </is>
      </c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2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</row>
    <row r="106" ht="5.25" customHeight="1">
      <c r="A106" s="8" t="n"/>
      <c r="B106" s="22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</row>
    <row r="107">
      <c r="A107" s="8" t="n"/>
      <c r="B107" s="22" t="n"/>
      <c r="C107" s="38" t="n"/>
      <c r="D107" s="111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5" t="n"/>
      <c r="O107" s="38" t="n"/>
      <c r="P107" s="111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5" t="n"/>
      <c r="AA107" s="38" t="n"/>
      <c r="AB107" s="111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5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</row>
    <row r="108">
      <c r="A108" s="8" t="n"/>
      <c r="B108" s="22" t="n"/>
      <c r="C108" s="38" t="n"/>
      <c r="D108" s="16" t="n"/>
      <c r="N108" s="17" t="n"/>
      <c r="O108" s="38" t="n"/>
      <c r="P108" s="16" t="n"/>
      <c r="Z108" s="17" t="n"/>
      <c r="AA108" s="38" t="n"/>
      <c r="AB108" s="16" t="n"/>
      <c r="AL108" s="17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</row>
    <row r="109">
      <c r="A109" s="8" t="n"/>
      <c r="B109" s="22" t="n"/>
      <c r="C109" s="38" t="n"/>
      <c r="D109" s="16" t="n"/>
      <c r="N109" s="17" t="n"/>
      <c r="O109" s="38" t="n"/>
      <c r="P109" s="16" t="n"/>
      <c r="Z109" s="17" t="n"/>
      <c r="AA109" s="38" t="n"/>
      <c r="AB109" s="16" t="n"/>
      <c r="AL109" s="17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</row>
    <row r="110">
      <c r="A110" s="8" t="n"/>
      <c r="B110" s="22" t="n"/>
      <c r="C110" s="38" t="n"/>
      <c r="D110" s="18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20" t="n"/>
      <c r="O110" s="38" t="n"/>
      <c r="P110" s="18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20" t="n"/>
      <c r="AA110" s="38" t="n"/>
      <c r="AB110" s="18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20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</row>
    <row r="111" ht="5.25" customHeight="1">
      <c r="A111" s="8" t="n"/>
      <c r="B111" s="22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</row>
    <row r="112">
      <c r="A112" s="8" t="n"/>
      <c r="B112" s="22" t="n"/>
      <c r="C112" s="38" t="n"/>
      <c r="D112" s="110" t="inlineStr">
        <is>
          <t>Skill Base de Caminho 4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2" t="n"/>
      <c r="O112" s="38" t="n"/>
      <c r="P112" s="110" t="inlineStr">
        <is>
          <t>Skill Base de Trilha 4</t>
        </is>
      </c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38" t="n"/>
      <c r="AB112" s="110" t="inlineStr">
        <is>
          <t>Outras Anotações</t>
        </is>
      </c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2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</row>
    <row r="113" ht="5.25" customHeight="1">
      <c r="A113" s="8" t="n"/>
      <c r="B113" s="22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</row>
    <row r="114">
      <c r="A114" s="8" t="n"/>
      <c r="B114" s="22" t="n"/>
      <c r="C114" s="38" t="n"/>
      <c r="D114" s="111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5" t="n"/>
      <c r="O114" s="38" t="n"/>
      <c r="P114" s="111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5" t="n"/>
      <c r="AA114" s="38" t="n"/>
      <c r="AB114" s="111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5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</row>
    <row r="115">
      <c r="A115" s="8" t="n"/>
      <c r="B115" s="22" t="n"/>
      <c r="C115" s="38" t="n"/>
      <c r="D115" s="16" t="n"/>
      <c r="N115" s="17" t="n"/>
      <c r="O115" s="38" t="n"/>
      <c r="P115" s="16" t="n"/>
      <c r="Z115" s="17" t="n"/>
      <c r="AA115" s="38" t="n"/>
      <c r="AB115" s="16" t="n"/>
      <c r="AL115" s="17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</row>
    <row r="116">
      <c r="A116" s="8" t="n"/>
      <c r="B116" s="22" t="n"/>
      <c r="C116" s="38" t="n"/>
      <c r="D116" s="16" t="n"/>
      <c r="N116" s="17" t="n"/>
      <c r="O116" s="38" t="n"/>
      <c r="P116" s="16" t="n"/>
      <c r="Z116" s="17" t="n"/>
      <c r="AA116" s="38" t="n"/>
      <c r="AB116" s="16" t="n"/>
      <c r="AL116" s="17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</row>
    <row r="117">
      <c r="A117" s="8" t="n"/>
      <c r="B117" s="22" t="n"/>
      <c r="C117" s="38" t="n"/>
      <c r="D117" s="18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20" t="n"/>
      <c r="O117" s="38" t="n"/>
      <c r="P117" s="18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0" t="n"/>
      <c r="AA117" s="38" t="n"/>
      <c r="AB117" s="18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20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</row>
    <row r="118">
      <c r="A118" s="8" t="n"/>
      <c r="B118" s="22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</row>
    <row r="119" ht="27" customHeight="1">
      <c r="A119" s="8" t="n"/>
      <c r="B119" s="22" t="n"/>
      <c r="C119" s="38" t="n"/>
      <c r="D119" s="63" t="n">
        <v>8</v>
      </c>
      <c r="E119" s="14" t="n"/>
      <c r="F119" s="15" t="n"/>
      <c r="G119" s="85">
        <f>IF(DADOS!$AK$30=1,"BÊNÇÃOS E KATAS",IF(DADOS!$AK$32=1,"APTIDÕES E KATAS",IF(DADOS!$AK$31=1,"APTIDÕES E MANEJOS","APTIDÕES E FEITIÇOS")))</f>
        <v/>
      </c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2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</row>
    <row r="120">
      <c r="A120" s="8" t="n"/>
      <c r="B120" s="22" t="n"/>
      <c r="C120" s="38" t="n"/>
      <c r="D120" s="18" t="n"/>
      <c r="E120" s="19" t="n"/>
      <c r="F120" s="20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8" t="n"/>
      <c r="AG120" s="38" t="n"/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</row>
    <row r="121" ht="4.5" customHeight="1">
      <c r="A121" s="8" t="n"/>
      <c r="B121" s="22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</row>
    <row r="122">
      <c r="A122" s="8" t="n"/>
      <c r="B122" s="22" t="n"/>
      <c r="C122" s="38" t="n"/>
      <c r="D122" s="110" t="inlineStr">
        <is>
          <t>Classe</t>
        </is>
      </c>
      <c r="E122" s="12" t="n"/>
      <c r="F122" s="110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/>
      </c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2" t="n"/>
      <c r="U122" s="112" t="n"/>
      <c r="V122" s="110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/>
      </c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2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</row>
    <row r="123" ht="5.25" customHeight="1">
      <c r="A123" s="8" t="n"/>
      <c r="B123" s="22" t="n"/>
      <c r="C123" s="38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112" t="n"/>
      <c r="R123" s="112" t="n"/>
      <c r="S123" s="112" t="n"/>
      <c r="T123" s="112" t="n"/>
      <c r="U123" s="112" t="n"/>
      <c r="V123" s="112" t="n"/>
      <c r="W123" s="112" t="n"/>
      <c r="X123" s="112" t="n"/>
      <c r="Y123" s="112" t="n"/>
      <c r="Z123" s="112" t="n"/>
      <c r="AA123" s="112" t="n"/>
      <c r="AB123" s="112" t="n"/>
      <c r="AC123" s="112" t="n"/>
      <c r="AD123" s="112" t="n"/>
      <c r="AE123" s="112" t="n"/>
      <c r="AF123" s="112" t="n"/>
      <c r="AG123" s="112" t="n"/>
      <c r="AH123" s="112" t="n"/>
      <c r="AI123" s="112" t="n"/>
      <c r="AJ123" s="112" t="n"/>
      <c r="AK123" s="112" t="n"/>
      <c r="AL123" s="112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</row>
    <row r="124">
      <c r="A124" s="8" t="n"/>
      <c r="B124" s="22" t="n"/>
      <c r="C124" s="38" t="n"/>
      <c r="D124" s="113" t="n">
        <v>0</v>
      </c>
      <c r="E124" s="12" t="n"/>
      <c r="F124" s="32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2" t="n"/>
      <c r="U124" s="112" t="n"/>
      <c r="V124" s="32">
        <f>IF(DADOS!$AK$30=1,"Defesa sem Armadura","Cobrir-se de energia")</f>
        <v/>
      </c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2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</row>
    <row r="125">
      <c r="A125" s="8" t="n"/>
      <c r="B125" s="22" t="n"/>
      <c r="C125" s="38" t="n"/>
      <c r="D125" s="113" t="n">
        <v>0</v>
      </c>
      <c r="E125" s="12" t="n"/>
      <c r="F125" s="32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2" t="n"/>
      <c r="U125" s="112" t="n"/>
      <c r="V125" s="32">
        <f>IF(DADOS!$AK$30=1,"Estímulo Muscular","Canalizar energia")</f>
        <v/>
      </c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2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</row>
    <row r="126">
      <c r="A126" s="8" t="n"/>
      <c r="B126" s="22" t="n"/>
      <c r="C126" s="38" t="n"/>
      <c r="D126" s="113" t="n">
        <v>0</v>
      </c>
      <c r="E126" s="12" t="n"/>
      <c r="F126" s="32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2" t="n"/>
      <c r="U126" s="112" t="n"/>
      <c r="V126" s="32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2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</row>
    <row r="127">
      <c r="A127" s="8" t="n"/>
      <c r="B127" s="22" t="n"/>
      <c r="C127" s="38" t="n"/>
      <c r="D127" s="113" t="n">
        <v>0</v>
      </c>
      <c r="E127" s="12" t="n"/>
      <c r="F127" s="32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2" t="n"/>
      <c r="U127" s="112" t="n"/>
      <c r="V127" s="32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2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</row>
    <row r="128">
      <c r="A128" s="8" t="n"/>
      <c r="B128" s="22" t="n"/>
      <c r="C128" s="38" t="n"/>
      <c r="D128" s="113" t="n">
        <v>0</v>
      </c>
      <c r="E128" s="12" t="n"/>
      <c r="F128" s="32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2" t="n"/>
      <c r="U128" s="112" t="n"/>
      <c r="V128" s="32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2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</row>
    <row r="129">
      <c r="A129" s="8" t="n"/>
      <c r="B129" s="22" t="n"/>
      <c r="C129" s="38" t="n"/>
      <c r="D129" s="113" t="n">
        <v>0</v>
      </c>
      <c r="E129" s="12" t="n"/>
      <c r="F129" s="32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2" t="n"/>
      <c r="U129" s="112" t="n"/>
      <c r="V129" s="32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2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</row>
    <row r="130">
      <c r="A130" s="8" t="n"/>
      <c r="B130" s="22" t="n"/>
      <c r="C130" s="38" t="n"/>
      <c r="D130" s="113" t="n">
        <v>0</v>
      </c>
      <c r="E130" s="12" t="n"/>
      <c r="F130" s="32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2" t="n"/>
      <c r="U130" s="112" t="n"/>
      <c r="V130" s="32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2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</row>
    <row r="131">
      <c r="A131" s="8" t="n"/>
      <c r="B131" s="22" t="n"/>
      <c r="C131" s="38" t="n"/>
      <c r="D131" s="113" t="n">
        <v>0</v>
      </c>
      <c r="E131" s="12" t="n"/>
      <c r="F131" s="32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2" t="n"/>
      <c r="U131" s="112" t="n"/>
      <c r="V131" s="32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2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</row>
    <row r="132">
      <c r="A132" s="8" t="n"/>
      <c r="B132" s="22" t="n"/>
      <c r="C132" s="38" t="n"/>
      <c r="D132" s="113" t="n">
        <v>0</v>
      </c>
      <c r="E132" s="12" t="n"/>
      <c r="F132" s="32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2" t="n"/>
      <c r="U132" s="112" t="n"/>
      <c r="V132" s="32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2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</row>
    <row r="133">
      <c r="A133" s="8" t="n"/>
      <c r="B133" s="22" t="n"/>
      <c r="C133" s="38" t="n"/>
      <c r="D133" s="113" t="n">
        <v>0</v>
      </c>
      <c r="E133" s="12" t="n"/>
      <c r="F133" s="32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2" t="n"/>
      <c r="U133" s="112" t="n"/>
      <c r="V133" s="32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2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</row>
    <row r="134">
      <c r="A134" s="8" t="n"/>
      <c r="B134" s="22" t="n"/>
      <c r="C134" s="38" t="n"/>
      <c r="D134" s="113" t="n">
        <v>0</v>
      </c>
      <c r="E134" s="12" t="n"/>
      <c r="F134" s="32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2" t="n"/>
      <c r="U134" s="112" t="n"/>
      <c r="V134" s="32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2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</row>
    <row r="135">
      <c r="A135" s="8" t="n"/>
      <c r="B135" s="22" t="n"/>
      <c r="C135" s="38" t="n"/>
      <c r="D135" s="113" t="n">
        <v>0</v>
      </c>
      <c r="E135" s="12" t="n"/>
      <c r="F135" s="32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2" t="n"/>
      <c r="U135" s="112" t="n"/>
      <c r="V135" s="32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2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</row>
    <row r="136">
      <c r="A136" s="8" t="n"/>
      <c r="B136" s="22" t="n"/>
      <c r="C136" s="38" t="n"/>
      <c r="D136" s="113" t="n">
        <v>0</v>
      </c>
      <c r="E136" s="12" t="n"/>
      <c r="F136" s="32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2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8" t="n"/>
      <c r="AG136" s="38" t="n"/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</row>
    <row r="137">
      <c r="A137" s="8" t="n"/>
      <c r="B137" s="22" t="n"/>
      <c r="C137" s="38" t="n"/>
      <c r="D137" s="113" t="n">
        <v>0</v>
      </c>
      <c r="E137" s="12" t="n"/>
      <c r="F137" s="32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2" t="n"/>
      <c r="U137" s="38" t="n"/>
      <c r="V137" s="110" t="inlineStr">
        <is>
          <t>Classe</t>
        </is>
      </c>
      <c r="W137" s="12" t="n"/>
      <c r="X137" s="110">
        <f>"Passivas - Regras"</f>
        <v/>
      </c>
      <c r="Y137" s="11" t="n"/>
      <c r="Z137" s="11" t="n"/>
      <c r="AA137" s="11" t="n"/>
      <c r="AB137" s="11" t="n"/>
      <c r="AC137" s="12" t="n"/>
      <c r="AD137" s="110" t="inlineStr">
        <is>
          <t>Classe</t>
        </is>
      </c>
      <c r="AE137" s="12" t="n"/>
      <c r="AF137" s="110">
        <f>"Passivas do Leque - "&amp;IF(DADOS!$AK$39&gt;DADOS!$AK$38,DADOS!$AK$39-DADOS!$AK$38&amp;" a mais",DADOS!$AK$38-DADOS!$AK$39&amp;" de "&amp;DADOS!$AK$38)</f>
        <v/>
      </c>
      <c r="AG137" s="11" t="n"/>
      <c r="AH137" s="11" t="n"/>
      <c r="AI137" s="11" t="n"/>
      <c r="AJ137" s="11" t="n"/>
      <c r="AK137" s="11" t="n"/>
      <c r="AL137" s="12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</row>
    <row r="138">
      <c r="A138" s="8" t="n"/>
      <c r="B138" s="22" t="n"/>
      <c r="C138" s="38" t="n"/>
      <c r="D138" s="113" t="n">
        <v>0</v>
      </c>
      <c r="E138" s="12" t="n"/>
      <c r="F138" s="32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2" t="n"/>
      <c r="U138" s="38" t="n"/>
      <c r="V138" s="112" t="n"/>
      <c r="W138" s="112" t="n"/>
      <c r="X138" s="112" t="n"/>
      <c r="Y138" s="112" t="n"/>
      <c r="Z138" s="112" t="n"/>
      <c r="AA138" s="112" t="n"/>
      <c r="AB138" s="112" t="n"/>
      <c r="AC138" s="112" t="n"/>
      <c r="AD138" s="112" t="n"/>
      <c r="AE138" s="112" t="n"/>
      <c r="AF138" s="112" t="n"/>
      <c r="AG138" s="112" t="n"/>
      <c r="AH138" s="112" t="n"/>
      <c r="AI138" s="112" t="n"/>
      <c r="AJ138" s="112" t="n"/>
      <c r="AK138" s="112" t="n"/>
      <c r="AL138" s="112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</row>
    <row r="139">
      <c r="A139" s="8" t="n"/>
      <c r="B139" s="22" t="n"/>
      <c r="C139" s="38" t="n"/>
      <c r="D139" s="113" t="n">
        <v>0</v>
      </c>
      <c r="E139" s="12" t="n"/>
      <c r="F139" s="32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2" t="n"/>
      <c r="U139" s="38" t="n"/>
      <c r="V139" s="113" t="n">
        <v>0</v>
      </c>
      <c r="W139" s="12" t="n"/>
      <c r="X139" s="32" t="n"/>
      <c r="Y139" s="11" t="n"/>
      <c r="Z139" s="11" t="n"/>
      <c r="AA139" s="11" t="n"/>
      <c r="AB139" s="11" t="n"/>
      <c r="AC139" s="12" t="n"/>
      <c r="AD139" s="113" t="n">
        <v>0</v>
      </c>
      <c r="AE139" s="12" t="n"/>
      <c r="AF139" s="32" t="n"/>
      <c r="AG139" s="11" t="n"/>
      <c r="AH139" s="11" t="n"/>
      <c r="AI139" s="11" t="n"/>
      <c r="AJ139" s="11" t="n"/>
      <c r="AK139" s="11" t="n"/>
      <c r="AL139" s="12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</row>
    <row r="140">
      <c r="A140" s="8" t="n"/>
      <c r="B140" s="22" t="n"/>
      <c r="C140" s="38" t="n"/>
      <c r="D140" s="113" t="n">
        <v>0</v>
      </c>
      <c r="E140" s="12" t="n"/>
      <c r="F140" s="32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2" t="n"/>
      <c r="U140" s="38" t="n"/>
      <c r="V140" s="113" t="n">
        <v>0</v>
      </c>
      <c r="W140" s="12" t="n"/>
      <c r="X140" s="32" t="n"/>
      <c r="Y140" s="11" t="n"/>
      <c r="Z140" s="11" t="n"/>
      <c r="AA140" s="11" t="n"/>
      <c r="AB140" s="11" t="n"/>
      <c r="AC140" s="12" t="n"/>
      <c r="AD140" s="113" t="n">
        <v>0</v>
      </c>
      <c r="AE140" s="12" t="n"/>
      <c r="AF140" s="32" t="n"/>
      <c r="AG140" s="11" t="n"/>
      <c r="AH140" s="11" t="n"/>
      <c r="AI140" s="11" t="n"/>
      <c r="AJ140" s="11" t="n"/>
      <c r="AK140" s="11" t="n"/>
      <c r="AL140" s="12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</row>
    <row r="141">
      <c r="A141" s="8" t="n"/>
      <c r="B141" s="22" t="n"/>
      <c r="C141" s="38" t="n"/>
      <c r="D141" s="113" t="n">
        <v>0</v>
      </c>
      <c r="E141" s="12" t="n"/>
      <c r="F141" s="32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2" t="n"/>
      <c r="U141" s="38" t="n"/>
      <c r="V141" s="113" t="n">
        <v>0</v>
      </c>
      <c r="W141" s="12" t="n"/>
      <c r="X141" s="32" t="n"/>
      <c r="Y141" s="11" t="n"/>
      <c r="Z141" s="11" t="n"/>
      <c r="AA141" s="11" t="n"/>
      <c r="AB141" s="11" t="n"/>
      <c r="AC141" s="12" t="n"/>
      <c r="AD141" s="113" t="n">
        <v>0</v>
      </c>
      <c r="AE141" s="12" t="n"/>
      <c r="AF141" s="32" t="n"/>
      <c r="AG141" s="11" t="n"/>
      <c r="AH141" s="11" t="n"/>
      <c r="AI141" s="11" t="n"/>
      <c r="AJ141" s="11" t="n"/>
      <c r="AK141" s="11" t="n"/>
      <c r="AL141" s="12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</row>
    <row r="142">
      <c r="A142" s="8" t="n"/>
      <c r="B142" s="22" t="n"/>
      <c r="C142" s="38" t="n"/>
      <c r="D142" s="113" t="n">
        <v>0</v>
      </c>
      <c r="E142" s="12" t="n"/>
      <c r="F142" s="32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2" t="n"/>
      <c r="U142" s="38" t="n"/>
      <c r="V142" s="113" t="n">
        <v>0</v>
      </c>
      <c r="W142" s="12" t="n"/>
      <c r="X142" s="32" t="n"/>
      <c r="Y142" s="11" t="n"/>
      <c r="Z142" s="11" t="n"/>
      <c r="AA142" s="11" t="n"/>
      <c r="AB142" s="11" t="n"/>
      <c r="AC142" s="12" t="n"/>
      <c r="AD142" s="113" t="n">
        <v>0</v>
      </c>
      <c r="AE142" s="12" t="n"/>
      <c r="AF142" s="32" t="n"/>
      <c r="AG142" s="11" t="n"/>
      <c r="AH142" s="11" t="n"/>
      <c r="AI142" s="11" t="n"/>
      <c r="AJ142" s="11" t="n"/>
      <c r="AK142" s="11" t="n"/>
      <c r="AL142" s="12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</row>
    <row r="143">
      <c r="A143" s="8" t="n"/>
      <c r="B143" s="22" t="n"/>
      <c r="C143" s="38" t="n"/>
      <c r="D143" s="113" t="n">
        <v>0</v>
      </c>
      <c r="E143" s="12" t="n"/>
      <c r="F143" s="32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2" t="n"/>
      <c r="U143" s="38" t="n"/>
      <c r="V143" s="113" t="n">
        <v>0</v>
      </c>
      <c r="W143" s="12" t="n"/>
      <c r="X143" s="32" t="n"/>
      <c r="Y143" s="11" t="n"/>
      <c r="Z143" s="11" t="n"/>
      <c r="AA143" s="11" t="n"/>
      <c r="AB143" s="11" t="n"/>
      <c r="AC143" s="12" t="n"/>
      <c r="AD143" s="113" t="n">
        <v>0</v>
      </c>
      <c r="AE143" s="12" t="n"/>
      <c r="AF143" s="32" t="n"/>
      <c r="AG143" s="11" t="n"/>
      <c r="AH143" s="11" t="n"/>
      <c r="AI143" s="11" t="n"/>
      <c r="AJ143" s="11" t="n"/>
      <c r="AK143" s="11" t="n"/>
      <c r="AL143" s="12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</row>
    <row r="144">
      <c r="A144" s="8" t="n"/>
      <c r="B144" s="22" t="n"/>
      <c r="C144" s="38" t="n"/>
      <c r="D144" s="113" t="n">
        <v>0</v>
      </c>
      <c r="E144" s="12" t="n"/>
      <c r="F144" s="32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2" t="n"/>
      <c r="U144" s="38" t="n"/>
      <c r="V144" s="113" t="n">
        <v>0</v>
      </c>
      <c r="W144" s="12" t="n"/>
      <c r="X144" s="32" t="n"/>
      <c r="Y144" s="11" t="n"/>
      <c r="Z144" s="11" t="n"/>
      <c r="AA144" s="11" t="n"/>
      <c r="AB144" s="11" t="n"/>
      <c r="AC144" s="12" t="n"/>
      <c r="AD144" s="113" t="n">
        <v>0</v>
      </c>
      <c r="AE144" s="12" t="n"/>
      <c r="AF144" s="32" t="n"/>
      <c r="AG144" s="11" t="n"/>
      <c r="AH144" s="11" t="n"/>
      <c r="AI144" s="11" t="n"/>
      <c r="AJ144" s="11" t="n"/>
      <c r="AK144" s="11" t="n"/>
      <c r="AL144" s="12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</row>
    <row r="145">
      <c r="A145" s="8" t="n"/>
      <c r="B145" s="22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  <c r="AD145" s="114" t="n"/>
      <c r="AE145" s="114" t="n"/>
      <c r="AF145" s="114" t="n"/>
      <c r="AG145" s="114" t="n"/>
      <c r="AH145" s="114" t="n"/>
      <c r="AI145" s="114" t="n"/>
      <c r="AJ145" s="114" t="n"/>
      <c r="AK145" s="114" t="n"/>
      <c r="AL145" s="114" t="n"/>
      <c r="AM145" s="114" t="n"/>
      <c r="AN145" s="114" t="n"/>
      <c r="AO145" s="114" t="n"/>
      <c r="AP145" s="114" t="n"/>
      <c r="AQ145" s="114" t="n"/>
      <c r="AR145" s="114" t="n"/>
      <c r="AS145" s="114" t="n"/>
      <c r="AT145" s="114" t="n"/>
      <c r="AU145" s="114" t="n"/>
    </row>
    <row r="146">
      <c r="A146" s="8" t="n"/>
      <c r="B146" s="22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  <c r="AD146" s="114" t="n"/>
      <c r="AE146" s="114" t="n"/>
      <c r="AF146" s="114" t="n"/>
      <c r="AG146" s="114" t="n"/>
      <c r="AH146" s="114" t="n"/>
      <c r="AI146" s="114" t="n"/>
      <c r="AJ146" s="114" t="n"/>
      <c r="AK146" s="114" t="n"/>
      <c r="AL146" s="114" t="n"/>
      <c r="AM146" s="114" t="n"/>
      <c r="AN146" s="114" t="n"/>
      <c r="AO146" s="114" t="n"/>
      <c r="AP146" s="114" t="n"/>
      <c r="AQ146" s="114" t="n"/>
      <c r="AR146" s="114" t="n"/>
      <c r="AS146" s="114" t="n"/>
      <c r="AT146" s="114" t="n"/>
      <c r="AU146" s="114" t="n"/>
    </row>
    <row r="147">
      <c r="A147" s="8" t="n"/>
      <c r="B147" s="22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  <c r="AD147" s="114" t="n"/>
      <c r="AE147" s="114" t="n"/>
      <c r="AF147" s="114" t="n"/>
      <c r="AG147" s="114" t="n"/>
      <c r="AH147" s="114" t="n"/>
      <c r="AI147" s="114" t="n"/>
      <c r="AJ147" s="114" t="n"/>
      <c r="AK147" s="114" t="n"/>
      <c r="AL147" s="114" t="n"/>
      <c r="AM147" s="114" t="n"/>
      <c r="AN147" s="114" t="n"/>
      <c r="AO147" s="114" t="n"/>
      <c r="AP147" s="114" t="n"/>
      <c r="AQ147" s="114" t="n"/>
      <c r="AR147" s="114" t="n"/>
      <c r="AS147" s="114" t="n"/>
      <c r="AT147" s="114" t="n"/>
      <c r="AU147" s="114" t="n"/>
    </row>
    <row r="148">
      <c r="A148" s="8" t="n"/>
      <c r="B148" s="22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  <c r="AD148" s="114" t="n"/>
      <c r="AE148" s="114" t="n"/>
      <c r="AF148" s="114" t="n"/>
      <c r="AG148" s="114" t="n"/>
      <c r="AH148" s="114" t="n"/>
      <c r="AI148" s="114" t="n"/>
      <c r="AJ148" s="114" t="n"/>
      <c r="AK148" s="114" t="n"/>
      <c r="AL148" s="114" t="n"/>
      <c r="AM148" s="114" t="n"/>
      <c r="AN148" s="114" t="n"/>
      <c r="AO148" s="114" t="n"/>
      <c r="AP148" s="114" t="n"/>
      <c r="AQ148" s="114" t="n"/>
      <c r="AR148" s="114" t="n"/>
      <c r="AS148" s="114" t="n"/>
      <c r="AT148" s="114" t="n"/>
      <c r="AU148" s="114" t="n"/>
    </row>
    <row r="149">
      <c r="A149" s="8" t="n"/>
      <c r="B149" s="22" t="n"/>
    </row>
    <row r="150">
      <c r="A150" s="8" t="n"/>
      <c r="B150" s="22" t="n"/>
    </row>
  </sheetData>
  <mergeCells count="378">
    <mergeCell ref="D107:N110"/>
    <mergeCell ref="O56:X56"/>
    <mergeCell ref="AF144:AL144"/>
    <mergeCell ref="AE54:AO54"/>
    <mergeCell ref="D46:K46"/>
    <mergeCell ref="P69:Q69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D144:E144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H2:Z3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F143:T143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2:G4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B2:AT3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AB4:AT4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D143:E143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F144:T144"/>
    <mergeCell ref="AJ21:AP21"/>
    <mergeCell ref="AD140:AE140"/>
    <mergeCell ref="Z47:AG47"/>
    <mergeCell ref="AK57:AT57"/>
    <mergeCell ref="F72:M72"/>
    <mergeCell ref="H4:Z4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9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D11" showDropDown="0" showInputMessage="0" showErrorMessage="0" allowBlank="1" type="list">
      <formula1>DADOS!$AM$5:$AM$10</formula1>
    </dataValidation>
    <dataValidation sqref="D124:D144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  <dataValidation sqref="AK65" showDropDown="0" showInputMessage="0" showErrorMessage="0" allowBlank="1" type="list">
      <formula1>"Não trocou,1 arma (-2 pericias),2 armas (-4 pericias)"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T87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hidden="1" outlineLevel="1" width="4" customWidth="1" min="48" max="48"/>
    <col hidden="1" outlineLevel="1" width="24.625" customWidth="1" min="49" max="49"/>
    <col hidden="1" outlineLevel="1" width="14.125" customWidth="1" min="50" max="50"/>
    <col hidden="1" outlineLevel="1" width="10.625" customWidth="1" min="51" max="51"/>
    <col hidden="1" outlineLevel="1" width="14.125" customWidth="1" min="52" max="52"/>
    <col hidden="1" outlineLevel="1" width="7.125" customWidth="1" min="53" max="53"/>
    <col hidden="1" outlineLevel="1" width="4" customWidth="1" min="54" max="54"/>
    <col hidden="1" outlineLevel="1" width="24.625" customWidth="1" min="55" max="55"/>
    <col hidden="1" outlineLevel="1" width="14.125" customWidth="1" min="56" max="56"/>
    <col hidden="1" outlineLevel="1" width="10.625" customWidth="1" min="57" max="57"/>
    <col hidden="1" outlineLevel="1" width="14.125" customWidth="1" min="58" max="58"/>
    <col hidden="1" outlineLevel="1" width="7.125" customWidth="1" min="59" max="59"/>
    <col hidden="1" outlineLevel="1" width="4" customWidth="1" min="60" max="60"/>
    <col hidden="1" outlineLevel="2" width="24.625" customWidth="1" min="61" max="61"/>
    <col hidden="1" outlineLevel="2" width="14.125" customWidth="1" min="62" max="62"/>
    <col hidden="1" outlineLevel="2" width="10.625" customWidth="1" min="63" max="63"/>
    <col hidden="1" outlineLevel="2" width="14.125" customWidth="1" min="64" max="64"/>
    <col hidden="1" outlineLevel="2" width="7.125" customWidth="1" min="65" max="65"/>
    <col hidden="1" outlineLevel="2" width="4" customWidth="1" min="66" max="66"/>
    <col hidden="1" outlineLevel="2" width="24.625" customWidth="1" min="67" max="67"/>
    <col hidden="1" outlineLevel="2" width="14.125" customWidth="1" min="68" max="68"/>
    <col hidden="1" outlineLevel="2" width="10.625" customWidth="1" min="69" max="69"/>
    <col hidden="1" outlineLevel="2" width="14.125" customWidth="1" min="70" max="70"/>
    <col hidden="1" outlineLevel="2" width="7.125" customWidth="1" min="71" max="71"/>
    <col hidden="1" outlineLevel="2" width="4" customWidth="1" min="72" max="72"/>
  </cols>
  <sheetData>
    <row r="1">
      <c r="A1" s="8" t="n"/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  <c r="AS1" s="8" t="n"/>
      <c r="AT1" s="8" t="n"/>
      <c r="AU1" s="8" t="n"/>
      <c r="AV1" s="8" t="n"/>
      <c r="AW1" s="8" t="n"/>
      <c r="AX1" s="8" t="n"/>
      <c r="AY1" s="8" t="n"/>
      <c r="AZ1" s="8" t="n"/>
      <c r="BA1" s="8" t="n"/>
      <c r="BB1" s="8" t="n"/>
      <c r="BC1" s="8" t="n"/>
      <c r="BD1" s="8" t="n"/>
      <c r="BE1" s="8" t="n"/>
      <c r="BF1" s="8" t="n"/>
      <c r="BG1" s="8" t="n"/>
      <c r="BH1" s="8" t="n"/>
      <c r="BI1" s="8" t="n"/>
      <c r="BJ1" s="8" t="n"/>
      <c r="BK1" s="8" t="n"/>
      <c r="BL1" s="8" t="n"/>
      <c r="BM1" s="8" t="n"/>
      <c r="BN1" s="8" t="n"/>
      <c r="BO1" s="8" t="n"/>
      <c r="BP1" s="8" t="n"/>
      <c r="BQ1" s="8" t="n"/>
      <c r="BR1" s="8" t="n"/>
      <c r="BS1" s="8" t="n"/>
      <c r="BT1" s="8" t="n"/>
    </row>
    <row r="2">
      <c r="A2" s="8" t="n"/>
      <c r="B2" s="8" t="n"/>
      <c r="C2" s="8" t="n"/>
      <c r="D2" s="40" t="inlineStr">
        <is>
          <t>呪術</t>
        </is>
      </c>
      <c r="H2" s="41" t="inlineStr">
        <is>
          <t>FICHA PESSOAL</t>
        </is>
      </c>
      <c r="AA2" s="8" t="n"/>
      <c r="AB2" s="42">
        <f>IF(OR(CARTEIRA!$O$9="",CARTEIRA!$O$9="Coloque o nome do personagem aqui"),"",CARTEIRA!$O$9)</f>
        <v/>
      </c>
      <c r="AU2" s="8" t="n"/>
      <c r="AV2" s="8" t="n"/>
      <c r="AW2" s="8" t="n"/>
      <c r="AX2" s="8" t="n"/>
      <c r="AY2" s="8" t="n"/>
      <c r="AZ2" s="8" t="n"/>
      <c r="BA2" s="8" t="n"/>
      <c r="BB2" s="8" t="n"/>
      <c r="BC2" s="8" t="n"/>
      <c r="BD2" s="8" t="n"/>
      <c r="BE2" s="8" t="n"/>
      <c r="BF2" s="8" t="n"/>
      <c r="BG2" s="8" t="n"/>
      <c r="BH2" s="8" t="n"/>
      <c r="BI2" s="8" t="n"/>
      <c r="BJ2" s="8" t="n"/>
      <c r="BK2" s="8" t="n"/>
      <c r="BL2" s="8" t="n"/>
      <c r="BM2" s="8" t="n"/>
      <c r="BN2" s="8" t="n"/>
      <c r="BO2" s="8" t="n"/>
      <c r="BP2" s="8" t="n"/>
      <c r="BQ2" s="8" t="n"/>
      <c r="BR2" s="8" t="n"/>
      <c r="BS2" s="8" t="n"/>
      <c r="BT2" s="8" t="n"/>
    </row>
    <row r="3">
      <c r="A3" s="8" t="n"/>
      <c r="B3" s="8" t="n"/>
      <c r="C3" s="8" t="n"/>
      <c r="AA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</row>
    <row r="4">
      <c r="A4" s="8" t="n"/>
      <c r="B4" s="8" t="n"/>
      <c r="C4" s="8" t="n"/>
      <c r="H4" s="43">
        <f>DADOS!$F$1&amp;" · pertences e histórico do portador"</f>
        <v/>
      </c>
      <c r="AA4" s="8" t="n"/>
      <c r="AB4" s="44">
        <f>FICHA!AB4</f>
        <v/>
      </c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</row>
    <row r="5">
      <c r="A5" s="8" t="n"/>
      <c r="B5" s="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  <c r="AV5" s="28" t="n"/>
      <c r="AW5" s="28" t="n"/>
      <c r="AX5" s="28" t="n"/>
      <c r="AY5" s="28" t="n"/>
      <c r="AZ5" s="28" t="n"/>
      <c r="BA5" s="28" t="n"/>
      <c r="BB5" s="28" t="n"/>
      <c r="BC5" s="28" t="n"/>
      <c r="BD5" s="28" t="n"/>
      <c r="BE5" s="28" t="n"/>
      <c r="BF5" s="28" t="n"/>
      <c r="BG5" s="28" t="n"/>
      <c r="BH5" s="28" t="n"/>
      <c r="BI5" s="28" t="n"/>
      <c r="BJ5" s="28" t="n"/>
      <c r="BK5" s="28" t="n"/>
      <c r="BL5" s="28" t="n"/>
      <c r="BM5" s="28" t="n"/>
      <c r="BN5" s="28" t="n"/>
      <c r="BO5" s="28" t="n"/>
      <c r="BP5" s="28" t="n"/>
      <c r="BQ5" s="28" t="n"/>
      <c r="BR5" s="28" t="n"/>
      <c r="BS5" s="28" t="n"/>
      <c r="BT5" s="28" t="n"/>
    </row>
    <row r="6">
      <c r="A6" s="8" t="n"/>
      <c r="B6" s="22" t="n"/>
      <c r="C6" s="38" t="n"/>
      <c r="AS6" s="38" t="n"/>
      <c r="AT6" s="38" t="n"/>
      <c r="AU6" s="38" t="n"/>
      <c r="AV6" s="115" t="n"/>
      <c r="AW6" s="115" t="n"/>
      <c r="AX6" s="115" t="n"/>
      <c r="AY6" s="115" t="n"/>
      <c r="AZ6" s="115" t="n"/>
      <c r="BA6" s="115" t="n"/>
      <c r="BB6" s="115" t="n"/>
      <c r="BC6" s="115" t="n"/>
      <c r="BD6" s="115" t="n"/>
      <c r="BE6" s="115" t="n"/>
      <c r="BF6" s="115" t="n"/>
      <c r="BG6" s="115" t="n"/>
      <c r="BH6" s="115" t="n"/>
      <c r="BI6" s="115" t="n"/>
      <c r="BJ6" s="115" t="n"/>
      <c r="BK6" s="115" t="n"/>
      <c r="BL6" s="115" t="n"/>
      <c r="BM6" s="115" t="n"/>
      <c r="BN6" s="115" t="n"/>
      <c r="BO6" s="115" t="n"/>
      <c r="BP6" s="115" t="n"/>
      <c r="BQ6" s="115" t="n"/>
      <c r="BR6" s="115" t="n"/>
      <c r="BS6" s="115" t="n"/>
      <c r="BT6" s="115" t="n"/>
    </row>
    <row r="7">
      <c r="A7" s="8" t="n"/>
      <c r="B7" s="22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38" t="n"/>
      <c r="AR7" s="38" t="n"/>
      <c r="AS7" s="38" t="n"/>
      <c r="AT7" s="38" t="n"/>
      <c r="AU7" s="115" t="n"/>
      <c r="AV7" s="115" t="n"/>
      <c r="AW7" s="115" t="n"/>
      <c r="AX7" s="115" t="n"/>
      <c r="AY7" s="115" t="n"/>
      <c r="AZ7" s="115" t="n"/>
      <c r="BA7" s="115" t="n"/>
      <c r="BB7" s="115" t="n"/>
      <c r="BC7" s="115" t="n"/>
      <c r="BD7" s="115" t="n"/>
      <c r="BE7" s="115" t="n"/>
      <c r="BF7" s="115" t="n"/>
      <c r="BG7" s="115" t="n"/>
      <c r="BH7" s="115" t="n"/>
      <c r="BI7" s="115" t="n"/>
      <c r="BJ7" s="115" t="n"/>
      <c r="BK7" s="115" t="n"/>
      <c r="BL7" s="115" t="n"/>
      <c r="BM7" s="115" t="n"/>
      <c r="BN7" s="115" t="n"/>
      <c r="BO7" s="115" t="n"/>
      <c r="BP7" s="115" t="n"/>
      <c r="BQ7" s="115" t="n"/>
      <c r="BR7" s="115" t="n"/>
      <c r="BS7" s="115" t="n"/>
      <c r="BT7" s="115" t="n"/>
    </row>
    <row r="8">
      <c r="A8" s="45" t="inlineStr">
        <is>
          <t>PROJETO M</t>
        </is>
      </c>
      <c r="B8" s="17" t="n"/>
      <c r="C8" s="115" t="n"/>
      <c r="D8" s="116" t="inlineStr">
        <is>
          <t>DOSSIÊ</t>
        </is>
      </c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4" t="n"/>
      <c r="AL8" s="14" t="n"/>
      <c r="AM8" s="14" t="n"/>
      <c r="AN8" s="14" t="n"/>
      <c r="AO8" s="14" t="n"/>
      <c r="AP8" s="14" t="n"/>
      <c r="AQ8" s="14" t="n"/>
      <c r="AR8" s="14" t="n"/>
      <c r="AS8" s="14" t="n"/>
      <c r="AT8" s="15" t="n"/>
      <c r="AU8" s="115" t="n"/>
      <c r="AV8" s="115" t="n"/>
      <c r="AW8" s="116" t="inlineStr">
        <is>
          <t>MISSÕES E XP</t>
        </is>
      </c>
      <c r="AX8" s="14" t="n"/>
      <c r="AY8" s="14" t="n"/>
      <c r="AZ8" s="14" t="n"/>
      <c r="BA8" s="14" t="n"/>
      <c r="BB8" s="14" t="n"/>
      <c r="BC8" s="14" t="n"/>
      <c r="BD8" s="14" t="n"/>
      <c r="BE8" s="14" t="n"/>
      <c r="BF8" s="14" t="n"/>
      <c r="BG8" s="15" t="n"/>
      <c r="BH8" s="115" t="n"/>
      <c r="BI8" s="116" t="inlineStr">
        <is>
          <t>MAIS MISSÕES</t>
        </is>
      </c>
      <c r="BJ8" s="14" t="n"/>
      <c r="BK8" s="14" t="n"/>
      <c r="BL8" s="14" t="n"/>
      <c r="BM8" s="14" t="n"/>
      <c r="BN8" s="14" t="n"/>
      <c r="BO8" s="14" t="n"/>
      <c r="BP8" s="14" t="n"/>
      <c r="BQ8" s="14" t="n"/>
      <c r="BR8" s="14" t="n"/>
      <c r="BS8" s="15" t="n"/>
      <c r="BT8" s="115" t="n"/>
    </row>
    <row r="9">
      <c r="B9" s="17" t="n"/>
      <c r="C9" s="115" t="n"/>
      <c r="D9" s="18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20" t="n"/>
      <c r="AU9" s="115" t="n"/>
      <c r="AV9" s="115" t="n"/>
      <c r="AW9" s="18" t="n"/>
      <c r="AX9" s="19" t="n"/>
      <c r="AY9" s="19" t="n"/>
      <c r="AZ9" s="19" t="n"/>
      <c r="BA9" s="19" t="n"/>
      <c r="BB9" s="19" t="n"/>
      <c r="BC9" s="19" t="n"/>
      <c r="BD9" s="19" t="n"/>
      <c r="BE9" s="19" t="n"/>
      <c r="BF9" s="19" t="n"/>
      <c r="BG9" s="20" t="n"/>
      <c r="BH9" s="115" t="n"/>
      <c r="BI9" s="18" t="n"/>
      <c r="BJ9" s="19" t="n"/>
      <c r="BK9" s="19" t="n"/>
      <c r="BL9" s="19" t="n"/>
      <c r="BM9" s="19" t="n"/>
      <c r="BN9" s="19" t="n"/>
      <c r="BO9" s="19" t="n"/>
      <c r="BP9" s="19" t="n"/>
      <c r="BQ9" s="19" t="n"/>
      <c r="BR9" s="19" t="n"/>
      <c r="BS9" s="20" t="n"/>
      <c r="BT9" s="115" t="n"/>
    </row>
    <row r="10">
      <c r="B10" s="17" t="n"/>
      <c r="C10" s="115" t="n"/>
      <c r="D10" s="117" t="inlineStr">
        <is>
          <t>FOTO DO PERSONAGEM</t>
        </is>
      </c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5" t="n"/>
      <c r="P10" s="115" t="n"/>
      <c r="Q10" s="52" t="inlineStr">
        <is>
          <t>NOME</t>
        </is>
      </c>
      <c r="R10" s="11" t="n"/>
      <c r="S10" s="11" t="n"/>
      <c r="T10" s="11" t="n"/>
      <c r="U10" s="11" t="n"/>
      <c r="V10" s="11" t="n"/>
      <c r="W10" s="11" t="n"/>
      <c r="X10" s="11" t="n"/>
      <c r="Y10" s="11" t="n"/>
      <c r="Z10" s="12" t="n"/>
      <c r="AA10" s="115" t="n"/>
      <c r="AB10" s="52" t="inlineStr">
        <is>
          <t>GRAU</t>
        </is>
      </c>
      <c r="AC10" s="11" t="n"/>
      <c r="AD10" s="11" t="n"/>
      <c r="AE10" s="11" t="n"/>
      <c r="AF10" s="11" t="n"/>
      <c r="AG10" s="12" t="n"/>
      <c r="AH10" s="115" t="n"/>
      <c r="AI10" s="52" t="inlineStr">
        <is>
          <t>IDADE</t>
        </is>
      </c>
      <c r="AJ10" s="11" t="n"/>
      <c r="AK10" s="11" t="n"/>
      <c r="AL10" s="11" t="n"/>
      <c r="AM10" s="12" t="n"/>
      <c r="AN10" s="115" t="n"/>
      <c r="AO10" s="52" t="inlineStr">
        <is>
          <t>ALTURA</t>
        </is>
      </c>
      <c r="AP10" s="11" t="n"/>
      <c r="AQ10" s="11" t="n"/>
      <c r="AR10" s="11" t="n"/>
      <c r="AS10" s="11" t="n"/>
      <c r="AT10" s="12" t="n"/>
      <c r="AU10" s="115" t="n"/>
      <c r="AV10" s="115" t="n"/>
      <c r="AW10" s="52" t="inlineStr">
        <is>
          <t>XP TOTAL</t>
        </is>
      </c>
      <c r="AX10" s="11" t="n"/>
      <c r="AY10" s="11" t="n"/>
      <c r="AZ10" s="11" t="n"/>
      <c r="BA10" s="12" t="n"/>
      <c r="BB10" s="115" t="n"/>
      <c r="BC10" s="52">
        <f>IF(DADOS!$CZ$43&gt;=30,"NÍVEL MÁXIMO","FALTA PARA O NÍVEL "&amp;(DADOS!$CZ$43+1))</f>
        <v/>
      </c>
      <c r="BD10" s="11" t="n"/>
      <c r="BE10" s="11" t="n"/>
      <c r="BF10" s="11" t="n"/>
      <c r="BG10" s="12" t="n"/>
      <c r="BH10" s="115" t="n"/>
      <c r="BI10" s="115" t="n"/>
      <c r="BJ10" s="115" t="n"/>
      <c r="BK10" s="115" t="n"/>
      <c r="BL10" s="115" t="n"/>
      <c r="BM10" s="115" t="n"/>
      <c r="BN10" s="115" t="n"/>
      <c r="BO10" s="115" t="n"/>
      <c r="BP10" s="115" t="n"/>
      <c r="BQ10" s="115" t="n"/>
      <c r="BR10" s="115" t="n"/>
      <c r="BS10" s="115" t="n"/>
      <c r="BT10" s="115" t="n"/>
    </row>
    <row r="11">
      <c r="B11" s="17" t="n"/>
      <c r="C11" s="115" t="n"/>
      <c r="D11" s="16" t="n"/>
      <c r="O11" s="17" t="n"/>
      <c r="P11" s="115" t="n"/>
      <c r="Q11" s="80">
        <f>FICHA!AB2</f>
        <v/>
      </c>
      <c r="R11" s="14" t="n"/>
      <c r="S11" s="14" t="n"/>
      <c r="T11" s="14" t="n"/>
      <c r="U11" s="14" t="n"/>
      <c r="V11" s="14" t="n"/>
      <c r="W11" s="14" t="n"/>
      <c r="X11" s="14" t="n"/>
      <c r="Y11" s="14" t="n"/>
      <c r="Z11" s="15" t="n"/>
      <c r="AA11" s="115" t="n"/>
      <c r="AB11" s="80" t="inlineStr">
        <is>
          <t>Grau 4</t>
        </is>
      </c>
      <c r="AC11" s="14" t="n"/>
      <c r="AD11" s="14" t="n"/>
      <c r="AE11" s="14" t="n"/>
      <c r="AF11" s="14" t="n"/>
      <c r="AG11" s="15" t="n"/>
      <c r="AH11" s="115" t="n"/>
      <c r="AI11" s="80" t="n"/>
      <c r="AJ11" s="14" t="n"/>
      <c r="AK11" s="14" t="n"/>
      <c r="AL11" s="14" t="n"/>
      <c r="AM11" s="15" t="n"/>
      <c r="AN11" s="115" t="n"/>
      <c r="AO11" s="80" t="n"/>
      <c r="AP11" s="14" t="n"/>
      <c r="AQ11" s="14" t="n"/>
      <c r="AR11" s="14" t="n"/>
      <c r="AS11" s="14" t="n"/>
      <c r="AT11" s="15" t="n"/>
      <c r="AU11" s="115" t="n"/>
      <c r="AV11" s="115" t="n"/>
      <c r="AW11" s="89">
        <f>DADOS!$CZ$42</f>
        <v/>
      </c>
      <c r="AX11" s="14" t="n"/>
      <c r="AY11" s="14" t="n"/>
      <c r="AZ11" s="14" t="n"/>
      <c r="BA11" s="15" t="n"/>
      <c r="BB11" s="115" t="n"/>
      <c r="BC11" s="89">
        <f>IF(DADOS!$CZ$44&amp;""="","—",MAX(0,DADOS!$CZ$44-DADOS!$CZ$42))</f>
        <v/>
      </c>
      <c r="BD11" s="15" t="n"/>
      <c r="BE11" s="118">
        <f>IFERROR(SPARKLINE(MAX(0,DADOS!$CZ$42-DADOS!$CZ$45),{"charttype","bar";"max",MAX(1,N(DADOS!$CZ$44)-DADOS!$CZ$45);"color1",DADOS!$CZ$46}),"")</f>
        <v/>
      </c>
      <c r="BF11" s="14" t="n"/>
      <c r="BG11" s="15" t="n"/>
      <c r="BH11" s="115" t="n"/>
      <c r="BI11" s="115" t="n"/>
      <c r="BJ11" s="115" t="n"/>
      <c r="BK11" s="115" t="n"/>
      <c r="BL11" s="115" t="n"/>
      <c r="BM11" s="115" t="n"/>
      <c r="BN11" s="115" t="n"/>
      <c r="BO11" s="115" t="n"/>
      <c r="BP11" s="115" t="n"/>
      <c r="BQ11" s="115" t="n"/>
      <c r="BR11" s="115" t="n"/>
      <c r="BS11" s="115" t="n"/>
      <c r="BT11" s="115" t="n"/>
    </row>
    <row r="12">
      <c r="B12" s="17" t="n"/>
      <c r="C12" s="115" t="n"/>
      <c r="D12" s="16" t="n"/>
      <c r="O12" s="17" t="n"/>
      <c r="P12" s="115" t="n"/>
      <c r="Q12" s="18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0" t="n"/>
      <c r="AA12" s="115" t="n"/>
      <c r="AB12" s="18" t="n"/>
      <c r="AC12" s="19" t="n"/>
      <c r="AD12" s="19" t="n"/>
      <c r="AE12" s="19" t="n"/>
      <c r="AF12" s="19" t="n"/>
      <c r="AG12" s="20" t="n"/>
      <c r="AH12" s="115" t="n"/>
      <c r="AI12" s="18" t="n"/>
      <c r="AJ12" s="19" t="n"/>
      <c r="AK12" s="19" t="n"/>
      <c r="AL12" s="19" t="n"/>
      <c r="AM12" s="20" t="n"/>
      <c r="AN12" s="115" t="n"/>
      <c r="AO12" s="18" t="n"/>
      <c r="AP12" s="19" t="n"/>
      <c r="AQ12" s="19" t="n"/>
      <c r="AR12" s="19" t="n"/>
      <c r="AS12" s="19" t="n"/>
      <c r="AT12" s="20" t="n"/>
      <c r="AU12" s="115" t="n"/>
      <c r="AV12" s="115" t="n"/>
      <c r="AW12" s="18" t="n"/>
      <c r="AX12" s="19" t="n"/>
      <c r="AY12" s="19" t="n"/>
      <c r="AZ12" s="19" t="n"/>
      <c r="BA12" s="20" t="n"/>
      <c r="BB12" s="115" t="n"/>
      <c r="BC12" s="18" t="n"/>
      <c r="BD12" s="20" t="n"/>
      <c r="BE12" s="18" t="n"/>
      <c r="BF12" s="19" t="n"/>
      <c r="BG12" s="20" t="n"/>
      <c r="BH12" s="115" t="n"/>
      <c r="BI12" s="115" t="n"/>
      <c r="BJ12" s="115" t="n"/>
      <c r="BK12" s="115" t="n"/>
      <c r="BL12" s="115" t="n"/>
      <c r="BM12" s="115" t="n"/>
      <c r="BN12" s="115" t="n"/>
      <c r="BO12" s="115" t="n"/>
      <c r="BP12" s="115" t="n"/>
      <c r="BQ12" s="115" t="n"/>
      <c r="BR12" s="115" t="n"/>
      <c r="BS12" s="115" t="n"/>
      <c r="BT12" s="115" t="n"/>
    </row>
    <row r="13">
      <c r="B13" s="17" t="n"/>
      <c r="C13" s="115" t="n"/>
      <c r="D13" s="16" t="n"/>
      <c r="O13" s="17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</row>
    <row r="14">
      <c r="B14" s="17" t="n"/>
      <c r="C14" s="115" t="n"/>
      <c r="D14" s="16" t="n"/>
      <c r="O14" s="17" t="n"/>
      <c r="P14" s="115" t="n"/>
      <c r="Q14" s="52" t="inlineStr">
        <is>
          <t>OLHOS</t>
        </is>
      </c>
      <c r="R14" s="11" t="n"/>
      <c r="S14" s="11" t="n"/>
      <c r="T14" s="11" t="n"/>
      <c r="U14" s="11" t="n"/>
      <c r="V14" s="11" t="n"/>
      <c r="W14" s="12" t="n"/>
      <c r="X14" s="115" t="n"/>
      <c r="Y14" s="52" t="inlineStr">
        <is>
          <t>CABELO</t>
        </is>
      </c>
      <c r="Z14" s="11" t="n"/>
      <c r="AA14" s="11" t="n"/>
      <c r="AB14" s="11" t="n"/>
      <c r="AC14" s="11" t="n"/>
      <c r="AD14" s="11" t="n"/>
      <c r="AE14" s="12" t="n"/>
      <c r="AF14" s="115" t="n"/>
      <c r="AG14" s="52" t="inlineStr">
        <is>
          <t>PELE</t>
        </is>
      </c>
      <c r="AH14" s="11" t="n"/>
      <c r="AI14" s="11" t="n"/>
      <c r="AJ14" s="11" t="n"/>
      <c r="AK14" s="11" t="n"/>
      <c r="AL14" s="11" t="n"/>
      <c r="AM14" s="12" t="n"/>
      <c r="AN14" s="115" t="n"/>
      <c r="AO14" s="52" t="inlineStr">
        <is>
          <t>GÊNERO</t>
        </is>
      </c>
      <c r="AP14" s="11" t="n"/>
      <c r="AQ14" s="11" t="n"/>
      <c r="AR14" s="11" t="n"/>
      <c r="AS14" s="11" t="n"/>
      <c r="AT14" s="12" t="n"/>
      <c r="AU14" s="115" t="n"/>
      <c r="AV14" s="115" t="n"/>
      <c r="AW14" s="52" t="inlineStr">
        <is>
          <t>MISSÃO</t>
        </is>
      </c>
      <c r="AX14" s="52" t="inlineStr">
        <is>
          <t>XP</t>
        </is>
      </c>
      <c r="AY14" s="52" t="inlineStr">
        <is>
          <t>ADICIONAL</t>
        </is>
      </c>
      <c r="AZ14" s="52" t="inlineStr">
        <is>
          <t>DESCONTO</t>
        </is>
      </c>
      <c r="BA14" s="52" t="inlineStr">
        <is>
          <t>TOTAL</t>
        </is>
      </c>
      <c r="BB14" s="115" t="n"/>
      <c r="BC14" s="52" t="inlineStr">
        <is>
          <t>MISSÃO</t>
        </is>
      </c>
      <c r="BD14" s="52" t="inlineStr">
        <is>
          <t>XP</t>
        </is>
      </c>
      <c r="BE14" s="52" t="inlineStr">
        <is>
          <t>ADICIONAL</t>
        </is>
      </c>
      <c r="BF14" s="52" t="inlineStr">
        <is>
          <t>DESCONTO</t>
        </is>
      </c>
      <c r="BG14" s="52" t="inlineStr">
        <is>
          <t>TOTAL</t>
        </is>
      </c>
      <c r="BH14" s="115" t="n"/>
      <c r="BI14" s="52" t="inlineStr">
        <is>
          <t>MISSÃO</t>
        </is>
      </c>
      <c r="BJ14" s="52" t="inlineStr">
        <is>
          <t>XP</t>
        </is>
      </c>
      <c r="BK14" s="52" t="inlineStr">
        <is>
          <t>ADICIONAL</t>
        </is>
      </c>
      <c r="BL14" s="52" t="inlineStr">
        <is>
          <t>DESCONTO</t>
        </is>
      </c>
      <c r="BM14" s="52" t="inlineStr">
        <is>
          <t>TOTAL</t>
        </is>
      </c>
      <c r="BN14" s="115" t="n"/>
      <c r="BO14" s="52" t="inlineStr">
        <is>
          <t>MISSÃO</t>
        </is>
      </c>
      <c r="BP14" s="52" t="inlineStr">
        <is>
          <t>XP</t>
        </is>
      </c>
      <c r="BQ14" s="52" t="inlineStr">
        <is>
          <t>ADICIONAL</t>
        </is>
      </c>
      <c r="BR14" s="52" t="inlineStr">
        <is>
          <t>DESCONTO</t>
        </is>
      </c>
      <c r="BS14" s="52" t="inlineStr">
        <is>
          <t>TOTAL</t>
        </is>
      </c>
      <c r="BT14" s="115" t="n"/>
    </row>
    <row r="15">
      <c r="B15" s="17" t="n"/>
      <c r="C15" s="115" t="n"/>
      <c r="D15" s="16" t="n"/>
      <c r="O15" s="17" t="n"/>
      <c r="P15" s="115" t="n"/>
      <c r="Q15" s="80" t="n"/>
      <c r="R15" s="14" t="n"/>
      <c r="S15" s="14" t="n"/>
      <c r="T15" s="14" t="n"/>
      <c r="U15" s="14" t="n"/>
      <c r="V15" s="14" t="n"/>
      <c r="W15" s="15" t="n"/>
      <c r="X15" s="115" t="n"/>
      <c r="Y15" s="80" t="n"/>
      <c r="Z15" s="14" t="n"/>
      <c r="AA15" s="14" t="n"/>
      <c r="AB15" s="14" t="n"/>
      <c r="AC15" s="14" t="n"/>
      <c r="AD15" s="14" t="n"/>
      <c r="AE15" s="15" t="n"/>
      <c r="AF15" s="115" t="n"/>
      <c r="AG15" s="80" t="n"/>
      <c r="AH15" s="14" t="n"/>
      <c r="AI15" s="14" t="n"/>
      <c r="AJ15" s="14" t="n"/>
      <c r="AK15" s="14" t="n"/>
      <c r="AL15" s="14" t="n"/>
      <c r="AM15" s="15" t="n"/>
      <c r="AN15" s="115" t="n"/>
      <c r="AO15" s="80" t="n"/>
      <c r="AP15" s="14" t="n"/>
      <c r="AQ15" s="14" t="n"/>
      <c r="AR15" s="14" t="n"/>
      <c r="AS15" s="14" t="n"/>
      <c r="AT15" s="15" t="n"/>
      <c r="AU15" s="115" t="n"/>
      <c r="AV15" s="115" t="n"/>
      <c r="AW15" s="118" t="n"/>
      <c r="AX15" s="118" t="n"/>
      <c r="AY15" s="119" t="n"/>
      <c r="AZ15" s="119" t="n"/>
      <c r="BA15" s="119">
        <f>IF($AX15="","",IFERROR(FLOOR(ROUND(VLOOKUP($AX15,DADOS!$CL$5:$CM$10,2,FALSE)*IF($AY15="",1,VLOOKUP($AY15,DADOS!$CO$5:$CP$7,2,FALSE))*IF($AZ15="",1,VLOOKUP($AZ15,DADOS!$CR$5:$CS$9,2,FALSE)),4),12.5),""))</f>
        <v/>
      </c>
      <c r="BB15" s="115" t="n"/>
      <c r="BC15" s="118" t="n"/>
      <c r="BD15" s="118" t="n"/>
      <c r="BE15" s="119" t="n"/>
      <c r="BF15" s="119" t="n"/>
      <c r="BG15" s="119">
        <f>IF($BD15="","",IFERROR(FLOOR(ROUND(VLOOKUP($BD15,DADOS!$CL$5:$CM$10,2,FALSE)*IF($BE15="",1,VLOOKUP($BE15,DADOS!$CO$5:$CP$7,2,FALSE))*IF($BF15="",1,VLOOKUP($BF15,DADOS!$CR$5:$CS$9,2,FALSE)),4),12.5),""))</f>
        <v/>
      </c>
      <c r="BH15" s="115" t="n"/>
      <c r="BI15" s="118" t="n"/>
      <c r="BJ15" s="118" t="n"/>
      <c r="BK15" s="119" t="n"/>
      <c r="BL15" s="119" t="n"/>
      <c r="BM15" s="119">
        <f>IF($BJ15="","",IFERROR(FLOOR(ROUND(VLOOKUP($BJ15,DADOS!$CL$5:$CM$10,2,FALSE)*IF($BK15="",1,VLOOKUP($BK15,DADOS!$CO$5:$CP$7,2,FALSE))*IF($BL15="",1,VLOOKUP($BL15,DADOS!$CR$5:$CS$9,2,FALSE)),4),12.5),""))</f>
        <v/>
      </c>
      <c r="BN15" s="115" t="n"/>
      <c r="BO15" s="118" t="n"/>
      <c r="BP15" s="118" t="n"/>
      <c r="BQ15" s="119" t="n"/>
      <c r="BR15" s="119" t="n"/>
      <c r="BS15" s="119">
        <f>IF($BP15="","",IFERROR(FLOOR(ROUND(VLOOKUP($BP15,DADOS!$CL$5:$CM$10,2,FALSE)*IF($BQ15="",1,VLOOKUP($BQ15,DADOS!$CO$5:$CP$7,2,FALSE))*IF($BR15="",1,VLOOKUP($BR15,DADOS!$CR$5:$CS$9,2,FALSE)),4),12.5),""))</f>
        <v/>
      </c>
      <c r="BT15" s="115" t="n"/>
    </row>
    <row r="16">
      <c r="B16" s="17" t="n"/>
      <c r="C16" s="115" t="n"/>
      <c r="D16" s="16" t="n"/>
      <c r="O16" s="17" t="n"/>
      <c r="P16" s="115" t="n"/>
      <c r="Q16" s="18" t="n"/>
      <c r="R16" s="19" t="n"/>
      <c r="S16" s="19" t="n"/>
      <c r="T16" s="19" t="n"/>
      <c r="U16" s="19" t="n"/>
      <c r="V16" s="19" t="n"/>
      <c r="W16" s="20" t="n"/>
      <c r="X16" s="115" t="n"/>
      <c r="Y16" s="18" t="n"/>
      <c r="Z16" s="19" t="n"/>
      <c r="AA16" s="19" t="n"/>
      <c r="AB16" s="19" t="n"/>
      <c r="AC16" s="19" t="n"/>
      <c r="AD16" s="19" t="n"/>
      <c r="AE16" s="20" t="n"/>
      <c r="AF16" s="115" t="n"/>
      <c r="AG16" s="18" t="n"/>
      <c r="AH16" s="19" t="n"/>
      <c r="AI16" s="19" t="n"/>
      <c r="AJ16" s="19" t="n"/>
      <c r="AK16" s="19" t="n"/>
      <c r="AL16" s="19" t="n"/>
      <c r="AM16" s="20" t="n"/>
      <c r="AN16" s="115" t="n"/>
      <c r="AO16" s="18" t="n"/>
      <c r="AP16" s="19" t="n"/>
      <c r="AQ16" s="19" t="n"/>
      <c r="AR16" s="19" t="n"/>
      <c r="AS16" s="19" t="n"/>
      <c r="AT16" s="20" t="n"/>
      <c r="AU16" s="115" t="n"/>
      <c r="AV16" s="115" t="n"/>
      <c r="AW16" s="118" t="n"/>
      <c r="AX16" s="118" t="n"/>
      <c r="AY16" s="119" t="n"/>
      <c r="AZ16" s="119" t="n"/>
      <c r="BA16" s="119">
        <f>IF($AX16="","",IFERROR(FLOOR(ROUND(VLOOKUP($AX16,DADOS!$CL$5:$CM$10,2,FALSE)*IF($AY16="",1,VLOOKUP($AY16,DADOS!$CO$5:$CP$7,2,FALSE))*IF($AZ16="",1,VLOOKUP($AZ16,DADOS!$CR$5:$CS$9,2,FALSE)),4),12.5),""))</f>
        <v/>
      </c>
      <c r="BB16" s="115" t="n"/>
      <c r="BC16" s="118" t="n"/>
      <c r="BD16" s="118" t="n"/>
      <c r="BE16" s="119" t="n"/>
      <c r="BF16" s="119" t="n"/>
      <c r="BG16" s="119">
        <f>IF($BD16="","",IFERROR(FLOOR(ROUND(VLOOKUP($BD16,DADOS!$CL$5:$CM$10,2,FALSE)*IF($BE16="",1,VLOOKUP($BE16,DADOS!$CO$5:$CP$7,2,FALSE))*IF($BF16="",1,VLOOKUP($BF16,DADOS!$CR$5:$CS$9,2,FALSE)),4),12.5),""))</f>
        <v/>
      </c>
      <c r="BH16" s="115" t="n"/>
      <c r="BI16" s="118" t="n"/>
      <c r="BJ16" s="118" t="n"/>
      <c r="BK16" s="119" t="n"/>
      <c r="BL16" s="119" t="n"/>
      <c r="BM16" s="119">
        <f>IF($BJ16="","",IFERROR(FLOOR(ROUND(VLOOKUP($BJ16,DADOS!$CL$5:$CM$10,2,FALSE)*IF($BK16="",1,VLOOKUP($BK16,DADOS!$CO$5:$CP$7,2,FALSE))*IF($BL16="",1,VLOOKUP($BL16,DADOS!$CR$5:$CS$9,2,FALSE)),4),12.5),""))</f>
        <v/>
      </c>
      <c r="BN16" s="115" t="n"/>
      <c r="BO16" s="118" t="n"/>
      <c r="BP16" s="118" t="n"/>
      <c r="BQ16" s="119" t="n"/>
      <c r="BR16" s="119" t="n"/>
      <c r="BS16" s="119">
        <f>IF($BP16="","",IFERROR(FLOOR(ROUND(VLOOKUP($BP16,DADOS!$CL$5:$CM$10,2,FALSE)*IF($BQ16="",1,VLOOKUP($BQ16,DADOS!$CO$5:$CP$7,2,FALSE))*IF($BR16="",1,VLOOKUP($BR16,DADOS!$CR$5:$CS$9,2,FALSE)),4),12.5),""))</f>
        <v/>
      </c>
      <c r="BT16" s="115" t="n"/>
    </row>
    <row r="17">
      <c r="B17" s="17" t="n"/>
      <c r="C17" s="115" t="n"/>
      <c r="D17" s="16" t="n"/>
      <c r="O17" s="17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5" t="n"/>
      <c r="AH17" s="115" t="n"/>
      <c r="AI17" s="115" t="n"/>
      <c r="AJ17" s="115" t="n"/>
      <c r="AK17" s="115" t="n"/>
      <c r="AL17" s="115" t="n"/>
      <c r="AM17" s="115" t="n"/>
      <c r="AN17" s="115" t="n"/>
      <c r="AO17" s="115" t="n"/>
      <c r="AP17" s="115" t="n"/>
      <c r="AQ17" s="115" t="n"/>
      <c r="AR17" s="115" t="n"/>
      <c r="AS17" s="115" t="n"/>
      <c r="AT17" s="115" t="n"/>
      <c r="AU17" s="115" t="n"/>
      <c r="AV17" s="115" t="n"/>
      <c r="AW17" s="118" t="n"/>
      <c r="AX17" s="118" t="n"/>
      <c r="AY17" s="119" t="n"/>
      <c r="AZ17" s="119" t="n"/>
      <c r="BA17" s="119">
        <f>IF($AX17="","",IFERROR(FLOOR(ROUND(VLOOKUP($AX17,DADOS!$CL$5:$CM$10,2,FALSE)*IF($AY17="",1,VLOOKUP($AY17,DADOS!$CO$5:$CP$7,2,FALSE))*IF($AZ17="",1,VLOOKUP($AZ17,DADOS!$CR$5:$CS$9,2,FALSE)),4),12.5),""))</f>
        <v/>
      </c>
      <c r="BB17" s="115" t="n"/>
      <c r="BC17" s="118" t="n"/>
      <c r="BD17" s="118" t="n"/>
      <c r="BE17" s="119" t="n"/>
      <c r="BF17" s="119" t="n"/>
      <c r="BG17" s="119">
        <f>IF($BD17="","",IFERROR(FLOOR(ROUND(VLOOKUP($BD17,DADOS!$CL$5:$CM$10,2,FALSE)*IF($BE17="",1,VLOOKUP($BE17,DADOS!$CO$5:$CP$7,2,FALSE))*IF($BF17="",1,VLOOKUP($BF17,DADOS!$CR$5:$CS$9,2,FALSE)),4),12.5),""))</f>
        <v/>
      </c>
      <c r="BH17" s="115" t="n"/>
      <c r="BI17" s="118" t="n"/>
      <c r="BJ17" s="118" t="n"/>
      <c r="BK17" s="119" t="n"/>
      <c r="BL17" s="119" t="n"/>
      <c r="BM17" s="119">
        <f>IF($BJ17="","",IFERROR(FLOOR(ROUND(VLOOKUP($BJ17,DADOS!$CL$5:$CM$10,2,FALSE)*IF($BK17="",1,VLOOKUP($BK17,DADOS!$CO$5:$CP$7,2,FALSE))*IF($BL17="",1,VLOOKUP($BL17,DADOS!$CR$5:$CS$9,2,FALSE)),4),12.5),""))</f>
        <v/>
      </c>
      <c r="BN17" s="115" t="n"/>
      <c r="BO17" s="118" t="n"/>
      <c r="BP17" s="118" t="n"/>
      <c r="BQ17" s="119" t="n"/>
      <c r="BR17" s="119" t="n"/>
      <c r="BS17" s="119">
        <f>IF($BP17="","",IFERROR(FLOOR(ROUND(VLOOKUP($BP17,DADOS!$CL$5:$CM$10,2,FALSE)*IF($BQ17="",1,VLOOKUP($BQ17,DADOS!$CO$5:$CP$7,2,FALSE))*IF($BR17="",1,VLOOKUP($BR17,DADOS!$CR$5:$CS$9,2,FALSE)),4),12.5),""))</f>
        <v/>
      </c>
      <c r="BT17" s="115" t="n"/>
    </row>
    <row r="18">
      <c r="B18" s="17" t="n"/>
      <c r="C18" s="115" t="n"/>
      <c r="D18" s="16" t="n"/>
      <c r="O18" s="17" t="n"/>
      <c r="P18" s="115" t="n"/>
      <c r="Q18" s="52" t="inlineStr">
        <is>
          <t>APARÊNCIA</t>
        </is>
      </c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2" t="n"/>
      <c r="AU18" s="115" t="n"/>
      <c r="AV18" s="115" t="n"/>
      <c r="AW18" s="118" t="n"/>
      <c r="AX18" s="118" t="n"/>
      <c r="AY18" s="119" t="n"/>
      <c r="AZ18" s="119" t="n"/>
      <c r="BA18" s="119">
        <f>IF($AX18="","",IFERROR(FLOOR(ROUND(VLOOKUP($AX18,DADOS!$CL$5:$CM$10,2,FALSE)*IF($AY18="",1,VLOOKUP($AY18,DADOS!$CO$5:$CP$7,2,FALSE))*IF($AZ18="",1,VLOOKUP($AZ18,DADOS!$CR$5:$CS$9,2,FALSE)),4),12.5),""))</f>
        <v/>
      </c>
      <c r="BB18" s="115" t="n"/>
      <c r="BC18" s="118" t="n"/>
      <c r="BD18" s="118" t="n"/>
      <c r="BE18" s="119" t="n"/>
      <c r="BF18" s="119" t="n"/>
      <c r="BG18" s="119">
        <f>IF($BD18="","",IFERROR(FLOOR(ROUND(VLOOKUP($BD18,DADOS!$CL$5:$CM$10,2,FALSE)*IF($BE18="",1,VLOOKUP($BE18,DADOS!$CO$5:$CP$7,2,FALSE))*IF($BF18="",1,VLOOKUP($BF18,DADOS!$CR$5:$CS$9,2,FALSE)),4),12.5),""))</f>
        <v/>
      </c>
      <c r="BH18" s="115" t="n"/>
      <c r="BI18" s="118" t="n"/>
      <c r="BJ18" s="118" t="n"/>
      <c r="BK18" s="119" t="n"/>
      <c r="BL18" s="119" t="n"/>
      <c r="BM18" s="119">
        <f>IF($BJ18="","",IFERROR(FLOOR(ROUND(VLOOKUP($BJ18,DADOS!$CL$5:$CM$10,2,FALSE)*IF($BK18="",1,VLOOKUP($BK18,DADOS!$CO$5:$CP$7,2,FALSE))*IF($BL18="",1,VLOOKUP($BL18,DADOS!$CR$5:$CS$9,2,FALSE)),4),12.5),""))</f>
        <v/>
      </c>
      <c r="BN18" s="115" t="n"/>
      <c r="BO18" s="118" t="n"/>
      <c r="BP18" s="118" t="n"/>
      <c r="BQ18" s="119" t="n"/>
      <c r="BR18" s="119" t="n"/>
      <c r="BS18" s="119">
        <f>IF($BP18="","",IFERROR(FLOOR(ROUND(VLOOKUP($BP18,DADOS!$CL$5:$CM$10,2,FALSE)*IF($BQ18="",1,VLOOKUP($BQ18,DADOS!$CO$5:$CP$7,2,FALSE))*IF($BR18="",1,VLOOKUP($BR18,DADOS!$CR$5:$CS$9,2,FALSE)),4),12.5),""))</f>
        <v/>
      </c>
      <c r="BT18" s="115" t="n"/>
    </row>
    <row r="19">
      <c r="B19" s="17" t="n"/>
      <c r="C19" s="115" t="n"/>
      <c r="D19" s="16" t="n"/>
      <c r="O19" s="17" t="n"/>
      <c r="P19" s="115" t="n"/>
      <c r="Q19" s="120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  <c r="AO19" s="14" t="n"/>
      <c r="AP19" s="14" t="n"/>
      <c r="AQ19" s="14" t="n"/>
      <c r="AR19" s="14" t="n"/>
      <c r="AS19" s="14" t="n"/>
      <c r="AT19" s="15" t="n"/>
      <c r="AU19" s="115" t="n"/>
      <c r="AV19" s="115" t="n"/>
      <c r="AW19" s="118" t="n"/>
      <c r="AX19" s="118" t="n"/>
      <c r="AY19" s="119" t="n"/>
      <c r="AZ19" s="119" t="n"/>
      <c r="BA19" s="119">
        <f>IF($AX19="","",IFERROR(FLOOR(ROUND(VLOOKUP($AX19,DADOS!$CL$5:$CM$10,2,FALSE)*IF($AY19="",1,VLOOKUP($AY19,DADOS!$CO$5:$CP$7,2,FALSE))*IF($AZ19="",1,VLOOKUP($AZ19,DADOS!$CR$5:$CS$9,2,FALSE)),4),12.5),""))</f>
        <v/>
      </c>
      <c r="BB19" s="115" t="n"/>
      <c r="BC19" s="118" t="n"/>
      <c r="BD19" s="118" t="n"/>
      <c r="BE19" s="119" t="n"/>
      <c r="BF19" s="119" t="n"/>
      <c r="BG19" s="119">
        <f>IF($BD19="","",IFERROR(FLOOR(ROUND(VLOOKUP($BD19,DADOS!$CL$5:$CM$10,2,FALSE)*IF($BE19="",1,VLOOKUP($BE19,DADOS!$CO$5:$CP$7,2,FALSE))*IF($BF19="",1,VLOOKUP($BF19,DADOS!$CR$5:$CS$9,2,FALSE)),4),12.5),""))</f>
        <v/>
      </c>
      <c r="BH19" s="115" t="n"/>
      <c r="BI19" s="118" t="n"/>
      <c r="BJ19" s="118" t="n"/>
      <c r="BK19" s="119" t="n"/>
      <c r="BL19" s="119" t="n"/>
      <c r="BM19" s="119">
        <f>IF($BJ19="","",IFERROR(FLOOR(ROUND(VLOOKUP($BJ19,DADOS!$CL$5:$CM$10,2,FALSE)*IF($BK19="",1,VLOOKUP($BK19,DADOS!$CO$5:$CP$7,2,FALSE))*IF($BL19="",1,VLOOKUP($BL19,DADOS!$CR$5:$CS$9,2,FALSE)),4),12.5),""))</f>
        <v/>
      </c>
      <c r="BN19" s="115" t="n"/>
      <c r="BO19" s="118" t="n"/>
      <c r="BP19" s="118" t="n"/>
      <c r="BQ19" s="119" t="n"/>
      <c r="BR19" s="119" t="n"/>
      <c r="BS19" s="119">
        <f>IF($BP19="","",IFERROR(FLOOR(ROUND(VLOOKUP($BP19,DADOS!$CL$5:$CM$10,2,FALSE)*IF($BQ19="",1,VLOOKUP($BQ19,DADOS!$CO$5:$CP$7,2,FALSE))*IF($BR19="",1,VLOOKUP($BR19,DADOS!$CR$5:$CS$9,2,FALSE)),4),12.5),""))</f>
        <v/>
      </c>
      <c r="BT19" s="115" t="n"/>
    </row>
    <row r="20">
      <c r="B20" s="17" t="n"/>
      <c r="C20" s="115" t="n"/>
      <c r="D20" s="16" t="n"/>
      <c r="O20" s="17" t="n"/>
      <c r="P20" s="115" t="n"/>
      <c r="Q20" s="18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19" t="n"/>
      <c r="AS20" s="19" t="n"/>
      <c r="AT20" s="20" t="n"/>
      <c r="AU20" s="115" t="n"/>
      <c r="AV20" s="115" t="n"/>
      <c r="AW20" s="118" t="n"/>
      <c r="AX20" s="118" t="n"/>
      <c r="AY20" s="119" t="n"/>
      <c r="AZ20" s="119" t="n"/>
      <c r="BA20" s="119">
        <f>IF($AX20="","",IFERROR(FLOOR(ROUND(VLOOKUP($AX20,DADOS!$CL$5:$CM$10,2,FALSE)*IF($AY20="",1,VLOOKUP($AY20,DADOS!$CO$5:$CP$7,2,FALSE))*IF($AZ20="",1,VLOOKUP($AZ20,DADOS!$CR$5:$CS$9,2,FALSE)),4),12.5),""))</f>
        <v/>
      </c>
      <c r="BB20" s="115" t="n"/>
      <c r="BC20" s="118" t="n"/>
      <c r="BD20" s="118" t="n"/>
      <c r="BE20" s="119" t="n"/>
      <c r="BF20" s="119" t="n"/>
      <c r="BG20" s="119">
        <f>IF($BD20="","",IFERROR(FLOOR(ROUND(VLOOKUP($BD20,DADOS!$CL$5:$CM$10,2,FALSE)*IF($BE20="",1,VLOOKUP($BE20,DADOS!$CO$5:$CP$7,2,FALSE))*IF($BF20="",1,VLOOKUP($BF20,DADOS!$CR$5:$CS$9,2,FALSE)),4),12.5),""))</f>
        <v/>
      </c>
      <c r="BH20" s="115" t="n"/>
      <c r="BI20" s="118" t="n"/>
      <c r="BJ20" s="118" t="n"/>
      <c r="BK20" s="119" t="n"/>
      <c r="BL20" s="119" t="n"/>
      <c r="BM20" s="119">
        <f>IF($BJ20="","",IFERROR(FLOOR(ROUND(VLOOKUP($BJ20,DADOS!$CL$5:$CM$10,2,FALSE)*IF($BK20="",1,VLOOKUP($BK20,DADOS!$CO$5:$CP$7,2,FALSE))*IF($BL20="",1,VLOOKUP($BL20,DADOS!$CR$5:$CS$9,2,FALSE)),4),12.5),""))</f>
        <v/>
      </c>
      <c r="BN20" s="115" t="n"/>
      <c r="BO20" s="118" t="n"/>
      <c r="BP20" s="118" t="n"/>
      <c r="BQ20" s="119" t="n"/>
      <c r="BR20" s="119" t="n"/>
      <c r="BS20" s="119">
        <f>IF($BP20="","",IFERROR(FLOOR(ROUND(VLOOKUP($BP20,DADOS!$CL$5:$CM$10,2,FALSE)*IF($BQ20="",1,VLOOKUP($BQ20,DADOS!$CO$5:$CP$7,2,FALSE))*IF($BR20="",1,VLOOKUP($BR20,DADOS!$CR$5:$CS$9,2,FALSE)),4),12.5),""))</f>
        <v/>
      </c>
      <c r="BT20" s="115" t="n"/>
    </row>
    <row r="21">
      <c r="B21" s="17" t="n"/>
      <c r="C21" s="115" t="n"/>
      <c r="D21" s="16" t="n"/>
      <c r="O21" s="17" t="n"/>
      <c r="P21" s="115" t="n"/>
      <c r="Q21" s="115" t="n"/>
      <c r="R21" s="115" t="n"/>
      <c r="S21" s="115" t="n"/>
      <c r="T21" s="115" t="n"/>
      <c r="U21" s="115" t="n"/>
      <c r="V21" s="115" t="n"/>
      <c r="W21" s="115" t="n"/>
      <c r="X21" s="115" t="n"/>
      <c r="Y21" s="115" t="n"/>
      <c r="Z21" s="115" t="n"/>
      <c r="AA21" s="115" t="n"/>
      <c r="AB21" s="115" t="n"/>
      <c r="AC21" s="115" t="n"/>
      <c r="AD21" s="115" t="n"/>
      <c r="AE21" s="115" t="n"/>
      <c r="AF21" s="115" t="n"/>
      <c r="AG21" s="115" t="n"/>
      <c r="AH21" s="115" t="n"/>
      <c r="AI21" s="115" t="n"/>
      <c r="AJ21" s="115" t="n"/>
      <c r="AK21" s="115" t="n"/>
      <c r="AL21" s="115" t="n"/>
      <c r="AM21" s="115" t="n"/>
      <c r="AN21" s="115" t="n"/>
      <c r="AO21" s="115" t="n"/>
      <c r="AP21" s="115" t="n"/>
      <c r="AQ21" s="115" t="n"/>
      <c r="AR21" s="115" t="n"/>
      <c r="AS21" s="115" t="n"/>
      <c r="AT21" s="115" t="n"/>
      <c r="AU21" s="115" t="n"/>
      <c r="AV21" s="115" t="n"/>
      <c r="AW21" s="118" t="n"/>
      <c r="AX21" s="118" t="n"/>
      <c r="AY21" s="119" t="n"/>
      <c r="AZ21" s="119" t="n"/>
      <c r="BA21" s="119">
        <f>IF($AX21="","",IFERROR(FLOOR(ROUND(VLOOKUP($AX21,DADOS!$CL$5:$CM$10,2,FALSE)*IF($AY21="",1,VLOOKUP($AY21,DADOS!$CO$5:$CP$7,2,FALSE))*IF($AZ21="",1,VLOOKUP($AZ21,DADOS!$CR$5:$CS$9,2,FALSE)),4),12.5),""))</f>
        <v/>
      </c>
      <c r="BB21" s="115" t="n"/>
      <c r="BC21" s="118" t="n"/>
      <c r="BD21" s="118" t="n"/>
      <c r="BE21" s="119" t="n"/>
      <c r="BF21" s="119" t="n"/>
      <c r="BG21" s="119">
        <f>IF($BD21="","",IFERROR(FLOOR(ROUND(VLOOKUP($BD21,DADOS!$CL$5:$CM$10,2,FALSE)*IF($BE21="",1,VLOOKUP($BE21,DADOS!$CO$5:$CP$7,2,FALSE))*IF($BF21="",1,VLOOKUP($BF21,DADOS!$CR$5:$CS$9,2,FALSE)),4),12.5),""))</f>
        <v/>
      </c>
      <c r="BH21" s="115" t="n"/>
      <c r="BI21" s="118" t="n"/>
      <c r="BJ21" s="118" t="n"/>
      <c r="BK21" s="119" t="n"/>
      <c r="BL21" s="119" t="n"/>
      <c r="BM21" s="119">
        <f>IF($BJ21="","",IFERROR(FLOOR(ROUND(VLOOKUP($BJ21,DADOS!$CL$5:$CM$10,2,FALSE)*IF($BK21="",1,VLOOKUP($BK21,DADOS!$CO$5:$CP$7,2,FALSE))*IF($BL21="",1,VLOOKUP($BL21,DADOS!$CR$5:$CS$9,2,FALSE)),4),12.5),""))</f>
        <v/>
      </c>
      <c r="BN21" s="115" t="n"/>
      <c r="BO21" s="118" t="n"/>
      <c r="BP21" s="118" t="n"/>
      <c r="BQ21" s="119" t="n"/>
      <c r="BR21" s="119" t="n"/>
      <c r="BS21" s="119">
        <f>IF($BP21="","",IFERROR(FLOOR(ROUND(VLOOKUP($BP21,DADOS!$CL$5:$CM$10,2,FALSE)*IF($BQ21="",1,VLOOKUP($BQ21,DADOS!$CO$5:$CP$7,2,FALSE))*IF($BR21="",1,VLOOKUP($BR21,DADOS!$CR$5:$CS$9,2,FALSE)),4),12.5),""))</f>
        <v/>
      </c>
      <c r="BT21" s="115" t="n"/>
    </row>
    <row r="22">
      <c r="B22" s="17" t="n"/>
      <c r="C22" s="115" t="n"/>
      <c r="D22" s="16" t="n"/>
      <c r="O22" s="17" t="n"/>
      <c r="P22" s="115" t="n"/>
      <c r="Q22" s="52" t="inlineStr">
        <is>
          <t>HISTÓRIA</t>
        </is>
      </c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2" t="n"/>
      <c r="AU22" s="115" t="n"/>
      <c r="AV22" s="115" t="n"/>
      <c r="AW22" s="118" t="n"/>
      <c r="AX22" s="118" t="n"/>
      <c r="AY22" s="119" t="n"/>
      <c r="AZ22" s="119" t="n"/>
      <c r="BA22" s="119">
        <f>IF($AX22="","",IFERROR(FLOOR(ROUND(VLOOKUP($AX22,DADOS!$CL$5:$CM$10,2,FALSE)*IF($AY22="",1,VLOOKUP($AY22,DADOS!$CO$5:$CP$7,2,FALSE))*IF($AZ22="",1,VLOOKUP($AZ22,DADOS!$CR$5:$CS$9,2,FALSE)),4),12.5),""))</f>
        <v/>
      </c>
      <c r="BB22" s="115" t="n"/>
      <c r="BC22" s="118" t="n"/>
      <c r="BD22" s="118" t="n"/>
      <c r="BE22" s="119" t="n"/>
      <c r="BF22" s="119" t="n"/>
      <c r="BG22" s="119">
        <f>IF($BD22="","",IFERROR(FLOOR(ROUND(VLOOKUP($BD22,DADOS!$CL$5:$CM$10,2,FALSE)*IF($BE22="",1,VLOOKUP($BE22,DADOS!$CO$5:$CP$7,2,FALSE))*IF($BF22="",1,VLOOKUP($BF22,DADOS!$CR$5:$CS$9,2,FALSE)),4),12.5),""))</f>
        <v/>
      </c>
      <c r="BH22" s="115" t="n"/>
      <c r="BI22" s="118" t="n"/>
      <c r="BJ22" s="118" t="n"/>
      <c r="BK22" s="119" t="n"/>
      <c r="BL22" s="119" t="n"/>
      <c r="BM22" s="119">
        <f>IF($BJ22="","",IFERROR(FLOOR(ROUND(VLOOKUP($BJ22,DADOS!$CL$5:$CM$10,2,FALSE)*IF($BK22="",1,VLOOKUP($BK22,DADOS!$CO$5:$CP$7,2,FALSE))*IF($BL22="",1,VLOOKUP($BL22,DADOS!$CR$5:$CS$9,2,FALSE)),4),12.5),""))</f>
        <v/>
      </c>
      <c r="BN22" s="115" t="n"/>
      <c r="BO22" s="118" t="n"/>
      <c r="BP22" s="118" t="n"/>
      <c r="BQ22" s="119" t="n"/>
      <c r="BR22" s="119" t="n"/>
      <c r="BS22" s="119">
        <f>IF($BP22="","",IFERROR(FLOOR(ROUND(VLOOKUP($BP22,DADOS!$CL$5:$CM$10,2,FALSE)*IF($BQ22="",1,VLOOKUP($BQ22,DADOS!$CO$5:$CP$7,2,FALSE))*IF($BR22="",1,VLOOKUP($BR22,DADOS!$CR$5:$CS$9,2,FALSE)),4),12.5),""))</f>
        <v/>
      </c>
      <c r="BT22" s="115" t="n"/>
    </row>
    <row r="23">
      <c r="B23" s="17" t="n"/>
      <c r="C23" s="115" t="n"/>
      <c r="D23" s="16" t="n"/>
      <c r="O23" s="17" t="n"/>
      <c r="P23" s="115" t="n"/>
      <c r="Q23" s="120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5" t="n"/>
      <c r="AU23" s="115" t="n"/>
      <c r="AV23" s="115" t="n"/>
      <c r="AW23" s="118" t="n"/>
      <c r="AX23" s="118" t="n"/>
      <c r="AY23" s="119" t="n"/>
      <c r="AZ23" s="119" t="n"/>
      <c r="BA23" s="119">
        <f>IF($AX23="","",IFERROR(FLOOR(ROUND(VLOOKUP($AX23,DADOS!$CL$5:$CM$10,2,FALSE)*IF($AY23="",1,VLOOKUP($AY23,DADOS!$CO$5:$CP$7,2,FALSE))*IF($AZ23="",1,VLOOKUP($AZ23,DADOS!$CR$5:$CS$9,2,FALSE)),4),12.5),""))</f>
        <v/>
      </c>
      <c r="BB23" s="115" t="n"/>
      <c r="BC23" s="118" t="n"/>
      <c r="BD23" s="118" t="n"/>
      <c r="BE23" s="119" t="n"/>
      <c r="BF23" s="119" t="n"/>
      <c r="BG23" s="119">
        <f>IF($BD23="","",IFERROR(FLOOR(ROUND(VLOOKUP($BD23,DADOS!$CL$5:$CM$10,2,FALSE)*IF($BE23="",1,VLOOKUP($BE23,DADOS!$CO$5:$CP$7,2,FALSE))*IF($BF23="",1,VLOOKUP($BF23,DADOS!$CR$5:$CS$9,2,FALSE)),4),12.5),""))</f>
        <v/>
      </c>
      <c r="BH23" s="115" t="n"/>
      <c r="BI23" s="118" t="n"/>
      <c r="BJ23" s="118" t="n"/>
      <c r="BK23" s="119" t="n"/>
      <c r="BL23" s="119" t="n"/>
      <c r="BM23" s="119">
        <f>IF($BJ23="","",IFERROR(FLOOR(ROUND(VLOOKUP($BJ23,DADOS!$CL$5:$CM$10,2,FALSE)*IF($BK23="",1,VLOOKUP($BK23,DADOS!$CO$5:$CP$7,2,FALSE))*IF($BL23="",1,VLOOKUP($BL23,DADOS!$CR$5:$CS$9,2,FALSE)),4),12.5),""))</f>
        <v/>
      </c>
      <c r="BN23" s="115" t="n"/>
      <c r="BO23" s="118" t="n"/>
      <c r="BP23" s="118" t="n"/>
      <c r="BQ23" s="119" t="n"/>
      <c r="BR23" s="119" t="n"/>
      <c r="BS23" s="119">
        <f>IF($BP23="","",IFERROR(FLOOR(ROUND(VLOOKUP($BP23,DADOS!$CL$5:$CM$10,2,FALSE)*IF($BQ23="",1,VLOOKUP($BQ23,DADOS!$CO$5:$CP$7,2,FALSE))*IF($BR23="",1,VLOOKUP($BR23,DADOS!$CR$5:$CS$9,2,FALSE)),4),12.5),""))</f>
        <v/>
      </c>
      <c r="BT23" s="115" t="n"/>
    </row>
    <row r="24">
      <c r="B24" s="17" t="n"/>
      <c r="C24" s="115" t="n"/>
      <c r="D24" s="16" t="n"/>
      <c r="O24" s="17" t="n"/>
      <c r="P24" s="115" t="n"/>
      <c r="Q24" s="16" t="n"/>
      <c r="AT24" s="17" t="n"/>
      <c r="AU24" s="115" t="n"/>
      <c r="AV24" s="115" t="n"/>
      <c r="AW24" s="118" t="n"/>
      <c r="AX24" s="118" t="n"/>
      <c r="AY24" s="119" t="n"/>
      <c r="AZ24" s="119" t="n"/>
      <c r="BA24" s="119">
        <f>IF($AX24="","",IFERROR(FLOOR(ROUND(VLOOKUP($AX24,DADOS!$CL$5:$CM$10,2,FALSE)*IF($AY24="",1,VLOOKUP($AY24,DADOS!$CO$5:$CP$7,2,FALSE))*IF($AZ24="",1,VLOOKUP($AZ24,DADOS!$CR$5:$CS$9,2,FALSE)),4),12.5),""))</f>
        <v/>
      </c>
      <c r="BB24" s="115" t="n"/>
      <c r="BC24" s="118" t="n"/>
      <c r="BD24" s="118" t="n"/>
      <c r="BE24" s="119" t="n"/>
      <c r="BF24" s="119" t="n"/>
      <c r="BG24" s="119">
        <f>IF($BD24="","",IFERROR(FLOOR(ROUND(VLOOKUP($BD24,DADOS!$CL$5:$CM$10,2,FALSE)*IF($BE24="",1,VLOOKUP($BE24,DADOS!$CO$5:$CP$7,2,FALSE))*IF($BF24="",1,VLOOKUP($BF24,DADOS!$CR$5:$CS$9,2,FALSE)),4),12.5),""))</f>
        <v/>
      </c>
      <c r="BH24" s="115" t="n"/>
      <c r="BI24" s="118" t="n"/>
      <c r="BJ24" s="118" t="n"/>
      <c r="BK24" s="119" t="n"/>
      <c r="BL24" s="119" t="n"/>
      <c r="BM24" s="119">
        <f>IF($BJ24="","",IFERROR(FLOOR(ROUND(VLOOKUP($BJ24,DADOS!$CL$5:$CM$10,2,FALSE)*IF($BK24="",1,VLOOKUP($BK24,DADOS!$CO$5:$CP$7,2,FALSE))*IF($BL24="",1,VLOOKUP($BL24,DADOS!$CR$5:$CS$9,2,FALSE)),4),12.5),""))</f>
        <v/>
      </c>
      <c r="BN24" s="115" t="n"/>
      <c r="BO24" s="118" t="n"/>
      <c r="BP24" s="118" t="n"/>
      <c r="BQ24" s="119" t="n"/>
      <c r="BR24" s="119" t="n"/>
      <c r="BS24" s="119">
        <f>IF($BP24="","",IFERROR(FLOOR(ROUND(VLOOKUP($BP24,DADOS!$CL$5:$CM$10,2,FALSE)*IF($BQ24="",1,VLOOKUP($BQ24,DADOS!$CO$5:$CP$7,2,FALSE))*IF($BR24="",1,VLOOKUP($BR24,DADOS!$CR$5:$CS$9,2,FALSE)),4),12.5),""))</f>
        <v/>
      </c>
      <c r="BT24" s="115" t="n"/>
    </row>
    <row r="25">
      <c r="B25" s="17" t="n"/>
      <c r="C25" s="115" t="n"/>
      <c r="D25" s="16" t="n"/>
      <c r="O25" s="17" t="n"/>
      <c r="P25" s="115" t="n"/>
      <c r="Q25" s="16" t="n"/>
      <c r="AT25" s="17" t="n"/>
      <c r="AU25" s="115" t="n"/>
      <c r="AV25" s="115" t="n"/>
      <c r="AW25" s="118" t="n"/>
      <c r="AX25" s="118" t="n"/>
      <c r="AY25" s="119" t="n"/>
      <c r="AZ25" s="119" t="n"/>
      <c r="BA25" s="119">
        <f>IF($AX25="","",IFERROR(FLOOR(ROUND(VLOOKUP($AX25,DADOS!$CL$5:$CM$10,2,FALSE)*IF($AY25="",1,VLOOKUP($AY25,DADOS!$CO$5:$CP$7,2,FALSE))*IF($AZ25="",1,VLOOKUP($AZ25,DADOS!$CR$5:$CS$9,2,FALSE)),4),12.5),""))</f>
        <v/>
      </c>
      <c r="BB25" s="115" t="n"/>
      <c r="BC25" s="118" t="n"/>
      <c r="BD25" s="118" t="n"/>
      <c r="BE25" s="119" t="n"/>
      <c r="BF25" s="119" t="n"/>
      <c r="BG25" s="119">
        <f>IF($BD25="","",IFERROR(FLOOR(ROUND(VLOOKUP($BD25,DADOS!$CL$5:$CM$10,2,FALSE)*IF($BE25="",1,VLOOKUP($BE25,DADOS!$CO$5:$CP$7,2,FALSE))*IF($BF25="",1,VLOOKUP($BF25,DADOS!$CR$5:$CS$9,2,FALSE)),4),12.5),""))</f>
        <v/>
      </c>
      <c r="BH25" s="115" t="n"/>
      <c r="BI25" s="118" t="n"/>
      <c r="BJ25" s="118" t="n"/>
      <c r="BK25" s="119" t="n"/>
      <c r="BL25" s="119" t="n"/>
      <c r="BM25" s="119">
        <f>IF($BJ25="","",IFERROR(FLOOR(ROUND(VLOOKUP($BJ25,DADOS!$CL$5:$CM$10,2,FALSE)*IF($BK25="",1,VLOOKUP($BK25,DADOS!$CO$5:$CP$7,2,FALSE))*IF($BL25="",1,VLOOKUP($BL25,DADOS!$CR$5:$CS$9,2,FALSE)),4),12.5),""))</f>
        <v/>
      </c>
      <c r="BN25" s="115" t="n"/>
      <c r="BO25" s="118" t="n"/>
      <c r="BP25" s="118" t="n"/>
      <c r="BQ25" s="119" t="n"/>
      <c r="BR25" s="119" t="n"/>
      <c r="BS25" s="119">
        <f>IF($BP25="","",IFERROR(FLOOR(ROUND(VLOOKUP($BP25,DADOS!$CL$5:$CM$10,2,FALSE)*IF($BQ25="",1,VLOOKUP($BQ25,DADOS!$CO$5:$CP$7,2,FALSE))*IF($BR25="",1,VLOOKUP($BR25,DADOS!$CR$5:$CS$9,2,FALSE)),4),12.5),""))</f>
        <v/>
      </c>
      <c r="BT25" s="115" t="n"/>
    </row>
    <row r="26">
      <c r="B26" s="17" t="n"/>
      <c r="C26" s="115" t="n"/>
      <c r="D26" s="16" t="n"/>
      <c r="O26" s="17" t="n"/>
      <c r="P26" s="115" t="n"/>
      <c r="Q26" s="16" t="n"/>
      <c r="AT26" s="17" t="n"/>
      <c r="AU26" s="115" t="n"/>
      <c r="AV26" s="115" t="n"/>
      <c r="AW26" s="118" t="n"/>
      <c r="AX26" s="118" t="n"/>
      <c r="AY26" s="119" t="n"/>
      <c r="AZ26" s="119" t="n"/>
      <c r="BA26" s="119">
        <f>IF($AX26="","",IFERROR(FLOOR(ROUND(VLOOKUP($AX26,DADOS!$CL$5:$CM$10,2,FALSE)*IF($AY26="",1,VLOOKUP($AY26,DADOS!$CO$5:$CP$7,2,FALSE))*IF($AZ26="",1,VLOOKUP($AZ26,DADOS!$CR$5:$CS$9,2,FALSE)),4),12.5),""))</f>
        <v/>
      </c>
      <c r="BB26" s="115" t="n"/>
      <c r="BC26" s="118" t="n"/>
      <c r="BD26" s="118" t="n"/>
      <c r="BE26" s="119" t="n"/>
      <c r="BF26" s="119" t="n"/>
      <c r="BG26" s="119">
        <f>IF($BD26="","",IFERROR(FLOOR(ROUND(VLOOKUP($BD26,DADOS!$CL$5:$CM$10,2,FALSE)*IF($BE26="",1,VLOOKUP($BE26,DADOS!$CO$5:$CP$7,2,FALSE))*IF($BF26="",1,VLOOKUP($BF26,DADOS!$CR$5:$CS$9,2,FALSE)),4),12.5),""))</f>
        <v/>
      </c>
      <c r="BH26" s="115" t="n"/>
      <c r="BI26" s="118" t="n"/>
      <c r="BJ26" s="118" t="n"/>
      <c r="BK26" s="119" t="n"/>
      <c r="BL26" s="119" t="n"/>
      <c r="BM26" s="119">
        <f>IF($BJ26="","",IFERROR(FLOOR(ROUND(VLOOKUP($BJ26,DADOS!$CL$5:$CM$10,2,FALSE)*IF($BK26="",1,VLOOKUP($BK26,DADOS!$CO$5:$CP$7,2,FALSE))*IF($BL26="",1,VLOOKUP($BL26,DADOS!$CR$5:$CS$9,2,FALSE)),4),12.5),""))</f>
        <v/>
      </c>
      <c r="BN26" s="115" t="n"/>
      <c r="BO26" s="118" t="n"/>
      <c r="BP26" s="118" t="n"/>
      <c r="BQ26" s="119" t="n"/>
      <c r="BR26" s="119" t="n"/>
      <c r="BS26" s="119">
        <f>IF($BP26="","",IFERROR(FLOOR(ROUND(VLOOKUP($BP26,DADOS!$CL$5:$CM$10,2,FALSE)*IF($BQ26="",1,VLOOKUP($BQ26,DADOS!$CO$5:$CP$7,2,FALSE))*IF($BR26="",1,VLOOKUP($BR26,DADOS!$CR$5:$CS$9,2,FALSE)),4),12.5),""))</f>
        <v/>
      </c>
      <c r="BT26" s="115" t="n"/>
    </row>
    <row r="27">
      <c r="B27" s="17" t="n"/>
      <c r="C27" s="115" t="n"/>
      <c r="D27" s="16" t="n"/>
      <c r="O27" s="17" t="n"/>
      <c r="P27" s="115" t="n"/>
      <c r="Q27" s="16" t="n"/>
      <c r="AT27" s="17" t="n"/>
      <c r="AU27" s="115" t="n"/>
      <c r="AV27" s="115" t="n"/>
      <c r="AW27" s="118" t="n"/>
      <c r="AX27" s="118" t="n"/>
      <c r="AY27" s="119" t="n"/>
      <c r="AZ27" s="119" t="n"/>
      <c r="BA27" s="119">
        <f>IF($AX27="","",IFERROR(FLOOR(ROUND(VLOOKUP($AX27,DADOS!$CL$5:$CM$10,2,FALSE)*IF($AY27="",1,VLOOKUP($AY27,DADOS!$CO$5:$CP$7,2,FALSE))*IF($AZ27="",1,VLOOKUP($AZ27,DADOS!$CR$5:$CS$9,2,FALSE)),4),12.5),""))</f>
        <v/>
      </c>
      <c r="BB27" s="115" t="n"/>
      <c r="BC27" s="118" t="n"/>
      <c r="BD27" s="118" t="n"/>
      <c r="BE27" s="119" t="n"/>
      <c r="BF27" s="119" t="n"/>
      <c r="BG27" s="119">
        <f>IF($BD27="","",IFERROR(FLOOR(ROUND(VLOOKUP($BD27,DADOS!$CL$5:$CM$10,2,FALSE)*IF($BE27="",1,VLOOKUP($BE27,DADOS!$CO$5:$CP$7,2,FALSE))*IF($BF27="",1,VLOOKUP($BF27,DADOS!$CR$5:$CS$9,2,FALSE)),4),12.5),""))</f>
        <v/>
      </c>
      <c r="BH27" s="115" t="n"/>
      <c r="BI27" s="118" t="n"/>
      <c r="BJ27" s="118" t="n"/>
      <c r="BK27" s="119" t="n"/>
      <c r="BL27" s="119" t="n"/>
      <c r="BM27" s="119">
        <f>IF($BJ27="","",IFERROR(FLOOR(ROUND(VLOOKUP($BJ27,DADOS!$CL$5:$CM$10,2,FALSE)*IF($BK27="",1,VLOOKUP($BK27,DADOS!$CO$5:$CP$7,2,FALSE))*IF($BL27="",1,VLOOKUP($BL27,DADOS!$CR$5:$CS$9,2,FALSE)),4),12.5),""))</f>
        <v/>
      </c>
      <c r="BN27" s="115" t="n"/>
      <c r="BO27" s="118" t="n"/>
      <c r="BP27" s="118" t="n"/>
      <c r="BQ27" s="119" t="n"/>
      <c r="BR27" s="119" t="n"/>
      <c r="BS27" s="119">
        <f>IF($BP27="","",IFERROR(FLOOR(ROUND(VLOOKUP($BP27,DADOS!$CL$5:$CM$10,2,FALSE)*IF($BQ27="",1,VLOOKUP($BQ27,DADOS!$CO$5:$CP$7,2,FALSE))*IF($BR27="",1,VLOOKUP($BR27,DADOS!$CR$5:$CS$9,2,FALSE)),4),12.5),""))</f>
        <v/>
      </c>
      <c r="BT27" s="115" t="n"/>
    </row>
    <row r="28">
      <c r="B28" s="17" t="n"/>
      <c r="C28" s="115" t="n"/>
      <c r="D28" s="18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20" t="n"/>
      <c r="P28" s="115" t="n"/>
      <c r="Q28" s="16" t="n"/>
      <c r="AT28" s="17" t="n"/>
      <c r="AU28" s="115" t="n"/>
      <c r="AV28" s="115" t="n"/>
      <c r="AW28" s="118" t="n"/>
      <c r="AX28" s="118" t="n"/>
      <c r="AY28" s="119" t="n"/>
      <c r="AZ28" s="119" t="n"/>
      <c r="BA28" s="119">
        <f>IF($AX28="","",IFERROR(FLOOR(ROUND(VLOOKUP($AX28,DADOS!$CL$5:$CM$10,2,FALSE)*IF($AY28="",1,VLOOKUP($AY28,DADOS!$CO$5:$CP$7,2,FALSE))*IF($AZ28="",1,VLOOKUP($AZ28,DADOS!$CR$5:$CS$9,2,FALSE)),4),12.5),""))</f>
        <v/>
      </c>
      <c r="BB28" s="115" t="n"/>
      <c r="BC28" s="118" t="n"/>
      <c r="BD28" s="118" t="n"/>
      <c r="BE28" s="119" t="n"/>
      <c r="BF28" s="119" t="n"/>
      <c r="BG28" s="119">
        <f>IF($BD28="","",IFERROR(FLOOR(ROUND(VLOOKUP($BD28,DADOS!$CL$5:$CM$10,2,FALSE)*IF($BE28="",1,VLOOKUP($BE28,DADOS!$CO$5:$CP$7,2,FALSE))*IF($BF28="",1,VLOOKUP($BF28,DADOS!$CR$5:$CS$9,2,FALSE)),4),12.5),""))</f>
        <v/>
      </c>
      <c r="BH28" s="115" t="n"/>
      <c r="BI28" s="118" t="n"/>
      <c r="BJ28" s="118" t="n"/>
      <c r="BK28" s="119" t="n"/>
      <c r="BL28" s="119" t="n"/>
      <c r="BM28" s="119">
        <f>IF($BJ28="","",IFERROR(FLOOR(ROUND(VLOOKUP($BJ28,DADOS!$CL$5:$CM$10,2,FALSE)*IF($BK28="",1,VLOOKUP($BK28,DADOS!$CO$5:$CP$7,2,FALSE))*IF($BL28="",1,VLOOKUP($BL28,DADOS!$CR$5:$CS$9,2,FALSE)),4),12.5),""))</f>
        <v/>
      </c>
      <c r="BN28" s="115" t="n"/>
      <c r="BO28" s="118" t="n"/>
      <c r="BP28" s="118" t="n"/>
      <c r="BQ28" s="119" t="n"/>
      <c r="BR28" s="119" t="n"/>
      <c r="BS28" s="119">
        <f>IF($BP28="","",IFERROR(FLOOR(ROUND(VLOOKUP($BP28,DADOS!$CL$5:$CM$10,2,FALSE)*IF($BQ28="",1,VLOOKUP($BQ28,DADOS!$CO$5:$CP$7,2,FALSE))*IF($BR28="",1,VLOOKUP($BR28,DADOS!$CR$5:$CS$9,2,FALSE)),4),12.5),""))</f>
        <v/>
      </c>
      <c r="BT28" s="115" t="n"/>
    </row>
    <row r="29">
      <c r="B29" s="17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6" t="n"/>
      <c r="AT29" s="17" t="n"/>
      <c r="AU29" s="115" t="n"/>
      <c r="AV29" s="115" t="n"/>
      <c r="AW29" s="118" t="n"/>
      <c r="AX29" s="118" t="n"/>
      <c r="AY29" s="119" t="n"/>
      <c r="AZ29" s="119" t="n"/>
      <c r="BA29" s="119">
        <f>IF($AX29="","",IFERROR(FLOOR(ROUND(VLOOKUP($AX29,DADOS!$CL$5:$CM$10,2,FALSE)*IF($AY29="",1,VLOOKUP($AY29,DADOS!$CO$5:$CP$7,2,FALSE))*IF($AZ29="",1,VLOOKUP($AZ29,DADOS!$CR$5:$CS$9,2,FALSE)),4),12.5),""))</f>
        <v/>
      </c>
      <c r="BB29" s="115" t="n"/>
      <c r="BC29" s="118" t="n"/>
      <c r="BD29" s="118" t="n"/>
      <c r="BE29" s="119" t="n"/>
      <c r="BF29" s="119" t="n"/>
      <c r="BG29" s="119">
        <f>IF($BD29="","",IFERROR(FLOOR(ROUND(VLOOKUP($BD29,DADOS!$CL$5:$CM$10,2,FALSE)*IF($BE29="",1,VLOOKUP($BE29,DADOS!$CO$5:$CP$7,2,FALSE))*IF($BF29="",1,VLOOKUP($BF29,DADOS!$CR$5:$CS$9,2,FALSE)),4),12.5),""))</f>
        <v/>
      </c>
      <c r="BH29" s="115" t="n"/>
      <c r="BI29" s="118" t="n"/>
      <c r="BJ29" s="118" t="n"/>
      <c r="BK29" s="119" t="n"/>
      <c r="BL29" s="119" t="n"/>
      <c r="BM29" s="119">
        <f>IF($BJ29="","",IFERROR(FLOOR(ROUND(VLOOKUP($BJ29,DADOS!$CL$5:$CM$10,2,FALSE)*IF($BK29="",1,VLOOKUP($BK29,DADOS!$CO$5:$CP$7,2,FALSE))*IF($BL29="",1,VLOOKUP($BL29,DADOS!$CR$5:$CS$9,2,FALSE)),4),12.5),""))</f>
        <v/>
      </c>
      <c r="BN29" s="115" t="n"/>
      <c r="BO29" s="118" t="n"/>
      <c r="BP29" s="118" t="n"/>
      <c r="BQ29" s="119" t="n"/>
      <c r="BR29" s="119" t="n"/>
      <c r="BS29" s="119">
        <f>IF($BP29="","",IFERROR(FLOOR(ROUND(VLOOKUP($BP29,DADOS!$CL$5:$CM$10,2,FALSE)*IF($BQ29="",1,VLOOKUP($BQ29,DADOS!$CO$5:$CP$7,2,FALSE))*IF($BR29="",1,VLOOKUP($BR29,DADOS!$CR$5:$CS$9,2,FALSE)),4),12.5),""))</f>
        <v/>
      </c>
      <c r="BT29" s="115" t="n"/>
    </row>
    <row r="30">
      <c r="A30" s="8" t="n"/>
      <c r="B30" s="22" t="n"/>
      <c r="C30" s="115" t="n"/>
      <c r="D30" s="52" t="inlineStr">
        <is>
          <t>PERSONALIDADE</t>
        </is>
      </c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2" t="n"/>
      <c r="P30" s="115" t="n"/>
      <c r="Q30" s="18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19" t="n"/>
      <c r="AS30" s="19" t="n"/>
      <c r="AT30" s="20" t="n"/>
      <c r="AU30" s="115" t="n"/>
      <c r="AV30" s="115" t="n"/>
      <c r="AW30" s="118" t="n"/>
      <c r="AX30" s="118" t="n"/>
      <c r="AY30" s="119" t="n"/>
      <c r="AZ30" s="119" t="n"/>
      <c r="BA30" s="119">
        <f>IF($AX30="","",IFERROR(FLOOR(ROUND(VLOOKUP($AX30,DADOS!$CL$5:$CM$10,2,FALSE)*IF($AY30="",1,VLOOKUP($AY30,DADOS!$CO$5:$CP$7,2,FALSE))*IF($AZ30="",1,VLOOKUP($AZ30,DADOS!$CR$5:$CS$9,2,FALSE)),4),12.5),""))</f>
        <v/>
      </c>
      <c r="BB30" s="115" t="n"/>
      <c r="BC30" s="118" t="n"/>
      <c r="BD30" s="118" t="n"/>
      <c r="BE30" s="119" t="n"/>
      <c r="BF30" s="119" t="n"/>
      <c r="BG30" s="119">
        <f>IF($BD30="","",IFERROR(FLOOR(ROUND(VLOOKUP($BD30,DADOS!$CL$5:$CM$10,2,FALSE)*IF($BE30="",1,VLOOKUP($BE30,DADOS!$CO$5:$CP$7,2,FALSE))*IF($BF30="",1,VLOOKUP($BF30,DADOS!$CR$5:$CS$9,2,FALSE)),4),12.5),""))</f>
        <v/>
      </c>
      <c r="BH30" s="115" t="n"/>
      <c r="BI30" s="118" t="n"/>
      <c r="BJ30" s="118" t="n"/>
      <c r="BK30" s="119" t="n"/>
      <c r="BL30" s="119" t="n"/>
      <c r="BM30" s="119">
        <f>IF($BJ30="","",IFERROR(FLOOR(ROUND(VLOOKUP($BJ30,DADOS!$CL$5:$CM$10,2,FALSE)*IF($BK30="",1,VLOOKUP($BK30,DADOS!$CO$5:$CP$7,2,FALSE))*IF($BL30="",1,VLOOKUP($BL30,DADOS!$CR$5:$CS$9,2,FALSE)),4),12.5),""))</f>
        <v/>
      </c>
      <c r="BN30" s="115" t="n"/>
      <c r="BO30" s="118" t="n"/>
      <c r="BP30" s="118" t="n"/>
      <c r="BQ30" s="119" t="n"/>
      <c r="BR30" s="119" t="n"/>
      <c r="BS30" s="119">
        <f>IF($BP30="","",IFERROR(FLOOR(ROUND(VLOOKUP($BP30,DADOS!$CL$5:$CM$10,2,FALSE)*IF($BQ30="",1,VLOOKUP($BQ30,DADOS!$CO$5:$CP$7,2,FALSE))*IF($BR30="",1,VLOOKUP($BR30,DADOS!$CR$5:$CS$9,2,FALSE)),4),12.5),""))</f>
        <v/>
      </c>
      <c r="BT30" s="115" t="n"/>
    </row>
    <row r="31">
      <c r="A31" s="8" t="n"/>
      <c r="B31" s="22" t="n"/>
      <c r="C31" s="115" t="n"/>
      <c r="D31" s="120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5" t="n"/>
      <c r="P31" s="115" t="n"/>
      <c r="Q31" s="115" t="n"/>
      <c r="R31" s="115" t="n"/>
      <c r="S31" s="115" t="n"/>
      <c r="T31" s="115" t="n"/>
      <c r="U31" s="115" t="n"/>
      <c r="V31" s="115" t="n"/>
      <c r="W31" s="115" t="n"/>
      <c r="X31" s="115" t="n"/>
      <c r="Y31" s="115" t="n"/>
      <c r="Z31" s="115" t="n"/>
      <c r="AA31" s="115" t="n"/>
      <c r="AB31" s="115" t="n"/>
      <c r="AC31" s="115" t="n"/>
      <c r="AD31" s="115" t="n"/>
      <c r="AE31" s="115" t="n"/>
      <c r="AF31" s="115" t="n"/>
      <c r="AG31" s="115" t="n"/>
      <c r="AH31" s="115" t="n"/>
      <c r="AI31" s="115" t="n"/>
      <c r="AJ31" s="115" t="n"/>
      <c r="AK31" s="115" t="n"/>
      <c r="AL31" s="115" t="n"/>
      <c r="AM31" s="115" t="n"/>
      <c r="AN31" s="115" t="n"/>
      <c r="AO31" s="115" t="n"/>
      <c r="AP31" s="115" t="n"/>
      <c r="AQ31" s="115" t="n"/>
      <c r="AR31" s="115" t="n"/>
      <c r="AS31" s="115" t="n"/>
      <c r="AT31" s="115" t="n"/>
      <c r="AU31" s="115" t="n"/>
      <c r="AV31" s="115" t="n"/>
      <c r="AW31" s="118" t="n"/>
      <c r="AX31" s="118" t="n"/>
      <c r="AY31" s="119" t="n"/>
      <c r="AZ31" s="119" t="n"/>
      <c r="BA31" s="119">
        <f>IF($AX31="","",IFERROR(FLOOR(ROUND(VLOOKUP($AX31,DADOS!$CL$5:$CM$10,2,FALSE)*IF($AY31="",1,VLOOKUP($AY31,DADOS!$CO$5:$CP$7,2,FALSE))*IF($AZ31="",1,VLOOKUP($AZ31,DADOS!$CR$5:$CS$9,2,FALSE)),4),12.5),""))</f>
        <v/>
      </c>
      <c r="BB31" s="115" t="n"/>
      <c r="BC31" s="118" t="n"/>
      <c r="BD31" s="118" t="n"/>
      <c r="BE31" s="119" t="n"/>
      <c r="BF31" s="119" t="n"/>
      <c r="BG31" s="119">
        <f>IF($BD31="","",IFERROR(FLOOR(ROUND(VLOOKUP($BD31,DADOS!$CL$5:$CM$10,2,FALSE)*IF($BE31="",1,VLOOKUP($BE31,DADOS!$CO$5:$CP$7,2,FALSE))*IF($BF31="",1,VLOOKUP($BF31,DADOS!$CR$5:$CS$9,2,FALSE)),4),12.5),""))</f>
        <v/>
      </c>
      <c r="BH31" s="115" t="n"/>
      <c r="BI31" s="118" t="n"/>
      <c r="BJ31" s="118" t="n"/>
      <c r="BK31" s="119" t="n"/>
      <c r="BL31" s="119" t="n"/>
      <c r="BM31" s="119">
        <f>IF($BJ31="","",IFERROR(FLOOR(ROUND(VLOOKUP($BJ31,DADOS!$CL$5:$CM$10,2,FALSE)*IF($BK31="",1,VLOOKUP($BK31,DADOS!$CO$5:$CP$7,2,FALSE))*IF($BL31="",1,VLOOKUP($BL31,DADOS!$CR$5:$CS$9,2,FALSE)),4),12.5),""))</f>
        <v/>
      </c>
      <c r="BN31" s="115" t="n"/>
      <c r="BO31" s="118" t="n"/>
      <c r="BP31" s="118" t="n"/>
      <c r="BQ31" s="119" t="n"/>
      <c r="BR31" s="119" t="n"/>
      <c r="BS31" s="119">
        <f>IF($BP31="","",IFERROR(FLOOR(ROUND(VLOOKUP($BP31,DADOS!$CL$5:$CM$10,2,FALSE)*IF($BQ31="",1,VLOOKUP($BQ31,DADOS!$CO$5:$CP$7,2,FALSE))*IF($BR31="",1,VLOOKUP($BR31,DADOS!$CR$5:$CS$9,2,FALSE)),4),12.5),""))</f>
        <v/>
      </c>
      <c r="BT31" s="115" t="n"/>
    </row>
    <row r="32">
      <c r="A32" s="8" t="n"/>
      <c r="B32" s="22" t="n"/>
      <c r="C32" s="115" t="n"/>
      <c r="D32" s="16" t="n"/>
      <c r="O32" s="17" t="n"/>
      <c r="P32" s="115" t="n"/>
      <c r="Q32" s="52" t="inlineStr">
        <is>
          <t>LAÇOS E ANOTAÇÕES</t>
        </is>
      </c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2" t="n"/>
      <c r="AU32" s="115" t="n"/>
      <c r="AV32" s="115" t="n"/>
      <c r="AW32" s="118" t="n"/>
      <c r="AX32" s="118" t="n"/>
      <c r="AY32" s="119" t="n"/>
      <c r="AZ32" s="119" t="n"/>
      <c r="BA32" s="119">
        <f>IF($AX32="","",IFERROR(FLOOR(ROUND(VLOOKUP($AX32,DADOS!$CL$5:$CM$10,2,FALSE)*IF($AY32="",1,VLOOKUP($AY32,DADOS!$CO$5:$CP$7,2,FALSE))*IF($AZ32="",1,VLOOKUP($AZ32,DADOS!$CR$5:$CS$9,2,FALSE)),4),12.5),""))</f>
        <v/>
      </c>
      <c r="BB32" s="115" t="n"/>
      <c r="BC32" s="118" t="n"/>
      <c r="BD32" s="118" t="n"/>
      <c r="BE32" s="119" t="n"/>
      <c r="BF32" s="119" t="n"/>
      <c r="BG32" s="119">
        <f>IF($BD32="","",IFERROR(FLOOR(ROUND(VLOOKUP($BD32,DADOS!$CL$5:$CM$10,2,FALSE)*IF($BE32="",1,VLOOKUP($BE32,DADOS!$CO$5:$CP$7,2,FALSE))*IF($BF32="",1,VLOOKUP($BF32,DADOS!$CR$5:$CS$9,2,FALSE)),4),12.5),""))</f>
        <v/>
      </c>
      <c r="BH32" s="115" t="n"/>
      <c r="BI32" s="118" t="n"/>
      <c r="BJ32" s="118" t="n"/>
      <c r="BK32" s="119" t="n"/>
      <c r="BL32" s="119" t="n"/>
      <c r="BM32" s="119">
        <f>IF($BJ32="","",IFERROR(FLOOR(ROUND(VLOOKUP($BJ32,DADOS!$CL$5:$CM$10,2,FALSE)*IF($BK32="",1,VLOOKUP($BK32,DADOS!$CO$5:$CP$7,2,FALSE))*IF($BL32="",1,VLOOKUP($BL32,DADOS!$CR$5:$CS$9,2,FALSE)),4),12.5),""))</f>
        <v/>
      </c>
      <c r="BN32" s="115" t="n"/>
      <c r="BO32" s="118" t="n"/>
      <c r="BP32" s="118" t="n"/>
      <c r="BQ32" s="119" t="n"/>
      <c r="BR32" s="119" t="n"/>
      <c r="BS32" s="119">
        <f>IF($BP32="","",IFERROR(FLOOR(ROUND(VLOOKUP($BP32,DADOS!$CL$5:$CM$10,2,FALSE)*IF($BQ32="",1,VLOOKUP($BQ32,DADOS!$CO$5:$CP$7,2,FALSE))*IF($BR32="",1,VLOOKUP($BR32,DADOS!$CR$5:$CS$9,2,FALSE)),4),12.5),""))</f>
        <v/>
      </c>
      <c r="BT32" s="115" t="n"/>
    </row>
    <row r="33">
      <c r="A33" s="45" t="inlineStr">
        <is>
          <t>FICHA PESSOAL</t>
        </is>
      </c>
      <c r="B33" s="17" t="n"/>
      <c r="C33" s="115" t="n"/>
      <c r="D33" s="16" t="n"/>
      <c r="O33" s="17" t="n"/>
      <c r="P33" s="115" t="n"/>
      <c r="Q33" s="120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  <c r="AO33" s="14" t="n"/>
      <c r="AP33" s="14" t="n"/>
      <c r="AQ33" s="14" t="n"/>
      <c r="AR33" s="14" t="n"/>
      <c r="AS33" s="14" t="n"/>
      <c r="AT33" s="15" t="n"/>
      <c r="AU33" s="115" t="n"/>
      <c r="AV33" s="115" t="n"/>
      <c r="AW33" s="118" t="n"/>
      <c r="AX33" s="118" t="n"/>
      <c r="AY33" s="119" t="n"/>
      <c r="AZ33" s="119" t="n"/>
      <c r="BA33" s="119">
        <f>IF($AX33="","",IFERROR(FLOOR(ROUND(VLOOKUP($AX33,DADOS!$CL$5:$CM$10,2,FALSE)*IF($AY33="",1,VLOOKUP($AY33,DADOS!$CO$5:$CP$7,2,FALSE))*IF($AZ33="",1,VLOOKUP($AZ33,DADOS!$CR$5:$CS$9,2,FALSE)),4),12.5),""))</f>
        <v/>
      </c>
      <c r="BB33" s="115" t="n"/>
      <c r="BC33" s="118" t="n"/>
      <c r="BD33" s="118" t="n"/>
      <c r="BE33" s="119" t="n"/>
      <c r="BF33" s="119" t="n"/>
      <c r="BG33" s="119">
        <f>IF($BD33="","",IFERROR(FLOOR(ROUND(VLOOKUP($BD33,DADOS!$CL$5:$CM$10,2,FALSE)*IF($BE33="",1,VLOOKUP($BE33,DADOS!$CO$5:$CP$7,2,FALSE))*IF($BF33="",1,VLOOKUP($BF33,DADOS!$CR$5:$CS$9,2,FALSE)),4),12.5),""))</f>
        <v/>
      </c>
      <c r="BH33" s="115" t="n"/>
      <c r="BI33" s="118" t="n"/>
      <c r="BJ33" s="118" t="n"/>
      <c r="BK33" s="119" t="n"/>
      <c r="BL33" s="119" t="n"/>
      <c r="BM33" s="119">
        <f>IF($BJ33="","",IFERROR(FLOOR(ROUND(VLOOKUP($BJ33,DADOS!$CL$5:$CM$10,2,FALSE)*IF($BK33="",1,VLOOKUP($BK33,DADOS!$CO$5:$CP$7,2,FALSE))*IF($BL33="",1,VLOOKUP($BL33,DADOS!$CR$5:$CS$9,2,FALSE)),4),12.5),""))</f>
        <v/>
      </c>
      <c r="BN33" s="115" t="n"/>
      <c r="BO33" s="118" t="n"/>
      <c r="BP33" s="118" t="n"/>
      <c r="BQ33" s="119" t="n"/>
      <c r="BR33" s="119" t="n"/>
      <c r="BS33" s="119">
        <f>IF($BP33="","",IFERROR(FLOOR(ROUND(VLOOKUP($BP33,DADOS!$CL$5:$CM$10,2,FALSE)*IF($BQ33="",1,VLOOKUP($BQ33,DADOS!$CO$5:$CP$7,2,FALSE))*IF($BR33="",1,VLOOKUP($BR33,DADOS!$CR$5:$CS$9,2,FALSE)),4),12.5),""))</f>
        <v/>
      </c>
      <c r="BT33" s="115" t="n"/>
    </row>
    <row r="34">
      <c r="B34" s="17" t="n"/>
      <c r="C34" s="115" t="n"/>
      <c r="D34" s="16" t="n"/>
      <c r="O34" s="17" t="n"/>
      <c r="P34" s="115" t="n"/>
      <c r="Q34" s="16" t="n"/>
      <c r="AT34" s="17" t="n"/>
      <c r="AU34" s="115" t="n"/>
      <c r="AV34" s="115" t="n"/>
      <c r="AW34" s="118" t="n"/>
      <c r="AX34" s="118" t="n"/>
      <c r="AY34" s="119" t="n"/>
      <c r="AZ34" s="119" t="n"/>
      <c r="BA34" s="119">
        <f>IF($AX34="","",IFERROR(FLOOR(ROUND(VLOOKUP($AX34,DADOS!$CL$5:$CM$10,2,FALSE)*IF($AY34="",1,VLOOKUP($AY34,DADOS!$CO$5:$CP$7,2,FALSE))*IF($AZ34="",1,VLOOKUP($AZ34,DADOS!$CR$5:$CS$9,2,FALSE)),4),12.5),""))</f>
        <v/>
      </c>
      <c r="BB34" s="115" t="n"/>
      <c r="BC34" s="118" t="n"/>
      <c r="BD34" s="118" t="n"/>
      <c r="BE34" s="119" t="n"/>
      <c r="BF34" s="119" t="n"/>
      <c r="BG34" s="119">
        <f>IF($BD34="","",IFERROR(FLOOR(ROUND(VLOOKUP($BD34,DADOS!$CL$5:$CM$10,2,FALSE)*IF($BE34="",1,VLOOKUP($BE34,DADOS!$CO$5:$CP$7,2,FALSE))*IF($BF34="",1,VLOOKUP($BF34,DADOS!$CR$5:$CS$9,2,FALSE)),4),12.5),""))</f>
        <v/>
      </c>
      <c r="BH34" s="115" t="n"/>
      <c r="BI34" s="118" t="n"/>
      <c r="BJ34" s="118" t="n"/>
      <c r="BK34" s="119" t="n"/>
      <c r="BL34" s="119" t="n"/>
      <c r="BM34" s="119">
        <f>IF($BJ34="","",IFERROR(FLOOR(ROUND(VLOOKUP($BJ34,DADOS!$CL$5:$CM$10,2,FALSE)*IF($BK34="",1,VLOOKUP($BK34,DADOS!$CO$5:$CP$7,2,FALSE))*IF($BL34="",1,VLOOKUP($BL34,DADOS!$CR$5:$CS$9,2,FALSE)),4),12.5),""))</f>
        <v/>
      </c>
      <c r="BN34" s="115" t="n"/>
      <c r="BO34" s="118" t="n"/>
      <c r="BP34" s="118" t="n"/>
      <c r="BQ34" s="119" t="n"/>
      <c r="BR34" s="119" t="n"/>
      <c r="BS34" s="119">
        <f>IF($BP34="","",IFERROR(FLOOR(ROUND(VLOOKUP($BP34,DADOS!$CL$5:$CM$10,2,FALSE)*IF($BQ34="",1,VLOOKUP($BQ34,DADOS!$CO$5:$CP$7,2,FALSE))*IF($BR34="",1,VLOOKUP($BR34,DADOS!$CR$5:$CS$9,2,FALSE)),4),12.5),""))</f>
        <v/>
      </c>
      <c r="BT34" s="115" t="n"/>
    </row>
    <row r="35">
      <c r="B35" s="17" t="n"/>
      <c r="C35" s="115" t="n"/>
      <c r="D35" s="16" t="n"/>
      <c r="O35" s="17" t="n"/>
      <c r="P35" s="115" t="n"/>
      <c r="Q35" s="16" t="n"/>
      <c r="AT35" s="17" t="n"/>
      <c r="AU35" s="115" t="n"/>
      <c r="AV35" s="115" t="n"/>
      <c r="AW35" s="118" t="n"/>
      <c r="AX35" s="118" t="n"/>
      <c r="AY35" s="119" t="n"/>
      <c r="AZ35" s="119" t="n"/>
      <c r="BA35" s="119">
        <f>IF($AX35="","",IFERROR(FLOOR(ROUND(VLOOKUP($AX35,DADOS!$CL$5:$CM$10,2,FALSE)*IF($AY35="",1,VLOOKUP($AY35,DADOS!$CO$5:$CP$7,2,FALSE))*IF($AZ35="",1,VLOOKUP($AZ35,DADOS!$CR$5:$CS$9,2,FALSE)),4),12.5),""))</f>
        <v/>
      </c>
      <c r="BB35" s="115" t="n"/>
      <c r="BC35" s="118" t="n"/>
      <c r="BD35" s="118" t="n"/>
      <c r="BE35" s="119" t="n"/>
      <c r="BF35" s="119" t="n"/>
      <c r="BG35" s="119">
        <f>IF($BD35="","",IFERROR(FLOOR(ROUND(VLOOKUP($BD35,DADOS!$CL$5:$CM$10,2,FALSE)*IF($BE35="",1,VLOOKUP($BE35,DADOS!$CO$5:$CP$7,2,FALSE))*IF($BF35="",1,VLOOKUP($BF35,DADOS!$CR$5:$CS$9,2,FALSE)),4),12.5),""))</f>
        <v/>
      </c>
      <c r="BH35" s="115" t="n"/>
      <c r="BI35" s="118" t="n"/>
      <c r="BJ35" s="118" t="n"/>
      <c r="BK35" s="119" t="n"/>
      <c r="BL35" s="119" t="n"/>
      <c r="BM35" s="119">
        <f>IF($BJ35="","",IFERROR(FLOOR(ROUND(VLOOKUP($BJ35,DADOS!$CL$5:$CM$10,2,FALSE)*IF($BK35="",1,VLOOKUP($BK35,DADOS!$CO$5:$CP$7,2,FALSE))*IF($BL35="",1,VLOOKUP($BL35,DADOS!$CR$5:$CS$9,2,FALSE)),4),12.5),""))</f>
        <v/>
      </c>
      <c r="BN35" s="115" t="n"/>
      <c r="BO35" s="118" t="n"/>
      <c r="BP35" s="118" t="n"/>
      <c r="BQ35" s="119" t="n"/>
      <c r="BR35" s="119" t="n"/>
      <c r="BS35" s="119">
        <f>IF($BP35="","",IFERROR(FLOOR(ROUND(VLOOKUP($BP35,DADOS!$CL$5:$CM$10,2,FALSE)*IF($BQ35="",1,VLOOKUP($BQ35,DADOS!$CO$5:$CP$7,2,FALSE))*IF($BR35="",1,VLOOKUP($BR35,DADOS!$CR$5:$CS$9,2,FALSE)),4),12.5),""))</f>
        <v/>
      </c>
      <c r="BT35" s="115" t="n"/>
    </row>
    <row r="36">
      <c r="B36" s="17" t="n"/>
      <c r="C36" s="115" t="n"/>
      <c r="D36" s="18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20" t="n"/>
      <c r="P36" s="115" t="n"/>
      <c r="Q36" s="18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19" t="n"/>
      <c r="AS36" s="19" t="n"/>
      <c r="AT36" s="20" t="n"/>
      <c r="AU36" s="115" t="n"/>
      <c r="AV36" s="115" t="n"/>
      <c r="AW36" s="118" t="n"/>
      <c r="AX36" s="118" t="n"/>
      <c r="AY36" s="119" t="n"/>
      <c r="AZ36" s="119" t="n"/>
      <c r="BA36" s="119">
        <f>IF($AX36="","",IFERROR(FLOOR(ROUND(VLOOKUP($AX36,DADOS!$CL$5:$CM$10,2,FALSE)*IF($AY36="",1,VLOOKUP($AY36,DADOS!$CO$5:$CP$7,2,FALSE))*IF($AZ36="",1,VLOOKUP($AZ36,DADOS!$CR$5:$CS$9,2,FALSE)),4),12.5),""))</f>
        <v/>
      </c>
      <c r="BB36" s="115" t="n"/>
      <c r="BC36" s="118" t="n"/>
      <c r="BD36" s="118" t="n"/>
      <c r="BE36" s="119" t="n"/>
      <c r="BF36" s="119" t="n"/>
      <c r="BG36" s="119">
        <f>IF($BD36="","",IFERROR(FLOOR(ROUND(VLOOKUP($BD36,DADOS!$CL$5:$CM$10,2,FALSE)*IF($BE36="",1,VLOOKUP($BE36,DADOS!$CO$5:$CP$7,2,FALSE))*IF($BF36="",1,VLOOKUP($BF36,DADOS!$CR$5:$CS$9,2,FALSE)),4),12.5),""))</f>
        <v/>
      </c>
      <c r="BH36" s="115" t="n"/>
      <c r="BI36" s="118" t="n"/>
      <c r="BJ36" s="118" t="n"/>
      <c r="BK36" s="119" t="n"/>
      <c r="BL36" s="119" t="n"/>
      <c r="BM36" s="119">
        <f>IF($BJ36="","",IFERROR(FLOOR(ROUND(VLOOKUP($BJ36,DADOS!$CL$5:$CM$10,2,FALSE)*IF($BK36="",1,VLOOKUP($BK36,DADOS!$CO$5:$CP$7,2,FALSE))*IF($BL36="",1,VLOOKUP($BL36,DADOS!$CR$5:$CS$9,2,FALSE)),4),12.5),""))</f>
        <v/>
      </c>
      <c r="BN36" s="115" t="n"/>
      <c r="BO36" s="118" t="n"/>
      <c r="BP36" s="118" t="n"/>
      <c r="BQ36" s="119" t="n"/>
      <c r="BR36" s="119" t="n"/>
      <c r="BS36" s="119">
        <f>IF($BP36="","",IFERROR(FLOOR(ROUND(VLOOKUP($BP36,DADOS!$CL$5:$CM$10,2,FALSE)*IF($BQ36="",1,VLOOKUP($BQ36,DADOS!$CO$5:$CP$7,2,FALSE))*IF($BR36="",1,VLOOKUP($BR36,DADOS!$CR$5:$CS$9,2,FALSE)),4),12.5),""))</f>
        <v/>
      </c>
      <c r="BT36" s="115" t="n"/>
    </row>
    <row r="37">
      <c r="B37" s="17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115" t="n"/>
      <c r="U37" s="115" t="n"/>
      <c r="V37" s="115" t="n"/>
      <c r="W37" s="115" t="n"/>
      <c r="X37" s="115" t="n"/>
      <c r="Y37" s="115" t="n"/>
      <c r="Z37" s="115" t="n"/>
      <c r="AA37" s="115" t="n"/>
      <c r="AB37" s="115" t="n"/>
      <c r="AC37" s="115" t="n"/>
      <c r="AD37" s="115" t="n"/>
      <c r="AE37" s="115" t="n"/>
      <c r="AF37" s="115" t="n"/>
      <c r="AG37" s="115" t="n"/>
      <c r="AH37" s="115" t="n"/>
      <c r="AI37" s="115" t="n"/>
      <c r="AJ37" s="115" t="n"/>
      <c r="AK37" s="115" t="n"/>
      <c r="AL37" s="115" t="n"/>
      <c r="AM37" s="115" t="n"/>
      <c r="AN37" s="115" t="n"/>
      <c r="AO37" s="115" t="n"/>
      <c r="AP37" s="115" t="n"/>
      <c r="AQ37" s="115" t="n"/>
      <c r="AR37" s="115" t="n"/>
      <c r="AS37" s="115" t="n"/>
      <c r="AT37" s="115" t="n"/>
      <c r="AU37" s="115" t="n"/>
      <c r="AV37" s="115" t="n"/>
      <c r="AW37" s="118" t="n"/>
      <c r="AX37" s="118" t="n"/>
      <c r="AY37" s="119" t="n"/>
      <c r="AZ37" s="119" t="n"/>
      <c r="BA37" s="119">
        <f>IF($AX37="","",IFERROR(FLOOR(ROUND(VLOOKUP($AX37,DADOS!$CL$5:$CM$10,2,FALSE)*IF($AY37="",1,VLOOKUP($AY37,DADOS!$CO$5:$CP$7,2,FALSE))*IF($AZ37="",1,VLOOKUP($AZ37,DADOS!$CR$5:$CS$9,2,FALSE)),4),12.5),""))</f>
        <v/>
      </c>
      <c r="BB37" s="115" t="n"/>
      <c r="BC37" s="118" t="n"/>
      <c r="BD37" s="118" t="n"/>
      <c r="BE37" s="119" t="n"/>
      <c r="BF37" s="119" t="n"/>
      <c r="BG37" s="119">
        <f>IF($BD37="","",IFERROR(FLOOR(ROUND(VLOOKUP($BD37,DADOS!$CL$5:$CM$10,2,FALSE)*IF($BE37="",1,VLOOKUP($BE37,DADOS!$CO$5:$CP$7,2,FALSE))*IF($BF37="",1,VLOOKUP($BF37,DADOS!$CR$5:$CS$9,2,FALSE)),4),12.5),""))</f>
        <v/>
      </c>
      <c r="BH37" s="115" t="n"/>
      <c r="BI37" s="118" t="n"/>
      <c r="BJ37" s="118" t="n"/>
      <c r="BK37" s="119" t="n"/>
      <c r="BL37" s="119" t="n"/>
      <c r="BM37" s="119">
        <f>IF($BJ37="","",IFERROR(FLOOR(ROUND(VLOOKUP($BJ37,DADOS!$CL$5:$CM$10,2,FALSE)*IF($BK37="",1,VLOOKUP($BK37,DADOS!$CO$5:$CP$7,2,FALSE))*IF($BL37="",1,VLOOKUP($BL37,DADOS!$CR$5:$CS$9,2,FALSE)),4),12.5),""))</f>
        <v/>
      </c>
      <c r="BN37" s="115" t="n"/>
      <c r="BO37" s="118" t="n"/>
      <c r="BP37" s="118" t="n"/>
      <c r="BQ37" s="119" t="n"/>
      <c r="BR37" s="119" t="n"/>
      <c r="BS37" s="119">
        <f>IF($BP37="","",IFERROR(FLOOR(ROUND(VLOOKUP($BP37,DADOS!$CL$5:$CM$10,2,FALSE)*IF($BQ37="",1,VLOOKUP($BQ37,DADOS!$CO$5:$CP$7,2,FALSE))*IF($BR37="",1,VLOOKUP($BR37,DADOS!$CR$5:$CS$9,2,FALSE)),4),12.5),""))</f>
        <v/>
      </c>
      <c r="BT37" s="115" t="n"/>
    </row>
    <row r="38">
      <c r="B38" s="17" t="n"/>
      <c r="C38" s="115" t="n"/>
      <c r="D38" s="116" t="inlineStr">
        <is>
          <t>EM USO</t>
        </is>
      </c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14" t="n"/>
      <c r="AO38" s="14" t="n"/>
      <c r="AP38" s="14" t="n"/>
      <c r="AQ38" s="14" t="n"/>
      <c r="AR38" s="14" t="n"/>
      <c r="AS38" s="14" t="n"/>
      <c r="AT38" s="15" t="n"/>
      <c r="AU38" s="115" t="n"/>
      <c r="AV38" s="115" t="n"/>
      <c r="AW38" s="118" t="n"/>
      <c r="AX38" s="118" t="n"/>
      <c r="AY38" s="119" t="n"/>
      <c r="AZ38" s="119" t="n"/>
      <c r="BA38" s="119">
        <f>IF($AX38="","",IFERROR(FLOOR(ROUND(VLOOKUP($AX38,DADOS!$CL$5:$CM$10,2,FALSE)*IF($AY38="",1,VLOOKUP($AY38,DADOS!$CO$5:$CP$7,2,FALSE))*IF($AZ38="",1,VLOOKUP($AZ38,DADOS!$CR$5:$CS$9,2,FALSE)),4),12.5),""))</f>
        <v/>
      </c>
      <c r="BB38" s="115" t="n"/>
      <c r="BC38" s="118" t="n"/>
      <c r="BD38" s="118" t="n"/>
      <c r="BE38" s="119" t="n"/>
      <c r="BF38" s="119" t="n"/>
      <c r="BG38" s="119">
        <f>IF($BD38="","",IFERROR(FLOOR(ROUND(VLOOKUP($BD38,DADOS!$CL$5:$CM$10,2,FALSE)*IF($BE38="",1,VLOOKUP($BE38,DADOS!$CO$5:$CP$7,2,FALSE))*IF($BF38="",1,VLOOKUP($BF38,DADOS!$CR$5:$CS$9,2,FALSE)),4),12.5),""))</f>
        <v/>
      </c>
      <c r="BH38" s="115" t="n"/>
      <c r="BI38" s="118" t="n"/>
      <c r="BJ38" s="118" t="n"/>
      <c r="BK38" s="119" t="n"/>
      <c r="BL38" s="119" t="n"/>
      <c r="BM38" s="119">
        <f>IF($BJ38="","",IFERROR(FLOOR(ROUND(VLOOKUP($BJ38,DADOS!$CL$5:$CM$10,2,FALSE)*IF($BK38="",1,VLOOKUP($BK38,DADOS!$CO$5:$CP$7,2,FALSE))*IF($BL38="",1,VLOOKUP($BL38,DADOS!$CR$5:$CS$9,2,FALSE)),4),12.5),""))</f>
        <v/>
      </c>
      <c r="BN38" s="115" t="n"/>
      <c r="BO38" s="118" t="n"/>
      <c r="BP38" s="118" t="n"/>
      <c r="BQ38" s="119" t="n"/>
      <c r="BR38" s="119" t="n"/>
      <c r="BS38" s="119">
        <f>IF($BP38="","",IFERROR(FLOOR(ROUND(VLOOKUP($BP38,DADOS!$CL$5:$CM$10,2,FALSE)*IF($BQ38="",1,VLOOKUP($BQ38,DADOS!$CO$5:$CP$7,2,FALSE))*IF($BR38="",1,VLOOKUP($BR38,DADOS!$CR$5:$CS$9,2,FALSE)),4),12.5),""))</f>
        <v/>
      </c>
      <c r="BT38" s="115" t="n"/>
    </row>
    <row r="39">
      <c r="B39" s="17" t="n"/>
      <c r="C39" s="115" t="n"/>
      <c r="D39" s="18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19" t="n"/>
      <c r="AS39" s="19" t="n"/>
      <c r="AT39" s="20" t="n"/>
      <c r="AU39" s="115" t="n"/>
      <c r="AV39" s="115" t="n"/>
      <c r="AW39" s="118" t="n"/>
      <c r="AX39" s="118" t="n"/>
      <c r="AY39" s="119" t="n"/>
      <c r="AZ39" s="119" t="n"/>
      <c r="BA39" s="119">
        <f>IF($AX39="","",IFERROR(FLOOR(ROUND(VLOOKUP($AX39,DADOS!$CL$5:$CM$10,2,FALSE)*IF($AY39="",1,VLOOKUP($AY39,DADOS!$CO$5:$CP$7,2,FALSE))*IF($AZ39="",1,VLOOKUP($AZ39,DADOS!$CR$5:$CS$9,2,FALSE)),4),12.5),""))</f>
        <v/>
      </c>
      <c r="BB39" s="115" t="n"/>
      <c r="BC39" s="118" t="n"/>
      <c r="BD39" s="118" t="n"/>
      <c r="BE39" s="119" t="n"/>
      <c r="BF39" s="119" t="n"/>
      <c r="BG39" s="119">
        <f>IF($BD39="","",IFERROR(FLOOR(ROUND(VLOOKUP($BD39,DADOS!$CL$5:$CM$10,2,FALSE)*IF($BE39="",1,VLOOKUP($BE39,DADOS!$CO$5:$CP$7,2,FALSE))*IF($BF39="",1,VLOOKUP($BF39,DADOS!$CR$5:$CS$9,2,FALSE)),4),12.5),""))</f>
        <v/>
      </c>
      <c r="BH39" s="115" t="n"/>
      <c r="BI39" s="118" t="n"/>
      <c r="BJ39" s="118" t="n"/>
      <c r="BK39" s="119" t="n"/>
      <c r="BL39" s="119" t="n"/>
      <c r="BM39" s="119">
        <f>IF($BJ39="","",IFERROR(FLOOR(ROUND(VLOOKUP($BJ39,DADOS!$CL$5:$CM$10,2,FALSE)*IF($BK39="",1,VLOOKUP($BK39,DADOS!$CO$5:$CP$7,2,FALSE))*IF($BL39="",1,VLOOKUP($BL39,DADOS!$CR$5:$CS$9,2,FALSE)),4),12.5),""))</f>
        <v/>
      </c>
      <c r="BN39" s="115" t="n"/>
      <c r="BO39" s="118" t="n"/>
      <c r="BP39" s="118" t="n"/>
      <c r="BQ39" s="119" t="n"/>
      <c r="BR39" s="119" t="n"/>
      <c r="BS39" s="119">
        <f>IF($BP39="","",IFERROR(FLOOR(ROUND(VLOOKUP($BP39,DADOS!$CL$5:$CM$10,2,FALSE)*IF($BQ39="",1,VLOOKUP($BQ39,DADOS!$CO$5:$CP$7,2,FALSE))*IF($BR39="",1,VLOOKUP($BR39,DADOS!$CR$5:$CS$9,2,FALSE)),4),12.5),""))</f>
        <v/>
      </c>
      <c r="BT39" s="115" t="n"/>
    </row>
    <row r="40">
      <c r="B40" s="17" t="n"/>
      <c r="C40" s="115" t="n"/>
      <c r="D40" s="52" t="inlineStr">
        <is>
          <t>MÃO PRINCIPAL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2" t="n"/>
      <c r="R40" s="115" t="n"/>
      <c r="S40" s="52" t="inlineStr">
        <is>
          <t>MÃO SECUNDÁRIA</t>
        </is>
      </c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2" t="n"/>
      <c r="AG40" s="115" t="n"/>
      <c r="AH40" s="52" t="inlineStr">
        <is>
          <t>VESTINDO</t>
        </is>
      </c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2" t="n"/>
      <c r="AU40" s="115" t="n"/>
      <c r="AV40" s="115" t="n"/>
      <c r="AW40" s="118" t="n"/>
      <c r="AX40" s="118" t="n"/>
      <c r="AY40" s="119" t="n"/>
      <c r="AZ40" s="119" t="n"/>
      <c r="BA40" s="119">
        <f>IF($AX40="","",IFERROR(FLOOR(ROUND(VLOOKUP($AX40,DADOS!$CL$5:$CM$10,2,FALSE)*IF($AY40="",1,VLOOKUP($AY40,DADOS!$CO$5:$CP$7,2,FALSE))*IF($AZ40="",1,VLOOKUP($AZ40,DADOS!$CR$5:$CS$9,2,FALSE)),4),12.5),""))</f>
        <v/>
      </c>
      <c r="BB40" s="115" t="n"/>
      <c r="BC40" s="118" t="n"/>
      <c r="BD40" s="118" t="n"/>
      <c r="BE40" s="119" t="n"/>
      <c r="BF40" s="119" t="n"/>
      <c r="BG40" s="119">
        <f>IF($BD40="","",IFERROR(FLOOR(ROUND(VLOOKUP($BD40,DADOS!$CL$5:$CM$10,2,FALSE)*IF($BE40="",1,VLOOKUP($BE40,DADOS!$CO$5:$CP$7,2,FALSE))*IF($BF40="",1,VLOOKUP($BF40,DADOS!$CR$5:$CS$9,2,FALSE)),4),12.5),""))</f>
        <v/>
      </c>
      <c r="BH40" s="115" t="n"/>
      <c r="BI40" s="118" t="n"/>
      <c r="BJ40" s="118" t="n"/>
      <c r="BK40" s="119" t="n"/>
      <c r="BL40" s="119" t="n"/>
      <c r="BM40" s="119">
        <f>IF($BJ40="","",IFERROR(FLOOR(ROUND(VLOOKUP($BJ40,DADOS!$CL$5:$CM$10,2,FALSE)*IF($BK40="",1,VLOOKUP($BK40,DADOS!$CO$5:$CP$7,2,FALSE))*IF($BL40="",1,VLOOKUP($BL40,DADOS!$CR$5:$CS$9,2,FALSE)),4),12.5),""))</f>
        <v/>
      </c>
      <c r="BN40" s="115" t="n"/>
      <c r="BO40" s="118" t="n"/>
      <c r="BP40" s="118" t="n"/>
      <c r="BQ40" s="119" t="n"/>
      <c r="BR40" s="119" t="n"/>
      <c r="BS40" s="119">
        <f>IF($BP40="","",IFERROR(FLOOR(ROUND(VLOOKUP($BP40,DADOS!$CL$5:$CM$10,2,FALSE)*IF($BQ40="",1,VLOOKUP($BQ40,DADOS!$CO$5:$CP$7,2,FALSE))*IF($BR40="",1,VLOOKUP($BR40,DADOS!$CR$5:$CS$9,2,FALSE)),4),12.5),""))</f>
        <v/>
      </c>
      <c r="BT40" s="115" t="n"/>
    </row>
    <row r="41">
      <c r="B41" s="17" t="n"/>
      <c r="C41" s="115" t="n"/>
      <c r="D41" s="80" t="inlineStr">
        <is>
          <t>Soco</t>
        </is>
      </c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5" t="n"/>
      <c r="R41" s="115" t="n"/>
      <c r="S41" s="80" t="inlineStr">
        <is>
          <t>—</t>
        </is>
      </c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/>
      <c r="AF41" s="15" t="n"/>
      <c r="AG41" s="115" t="n"/>
      <c r="AH41" s="80" t="inlineStr">
        <is>
          <t>Traje 1</t>
        </is>
      </c>
      <c r="AI41" s="14" t="n"/>
      <c r="AJ41" s="14" t="n"/>
      <c r="AK41" s="14" t="n"/>
      <c r="AL41" s="14" t="n"/>
      <c r="AM41" s="14" t="n"/>
      <c r="AN41" s="14" t="n"/>
      <c r="AO41" s="14" t="n"/>
      <c r="AP41" s="14" t="n"/>
      <c r="AQ41" s="14" t="n"/>
      <c r="AR41" s="14" t="n"/>
      <c r="AS41" s="14" t="n"/>
      <c r="AT41" s="15" t="n"/>
      <c r="AU41" s="115" t="n"/>
      <c r="AV41" s="115" t="n"/>
      <c r="AW41" s="118" t="n"/>
      <c r="AX41" s="118" t="n"/>
      <c r="AY41" s="119" t="n"/>
      <c r="AZ41" s="119" t="n"/>
      <c r="BA41" s="119">
        <f>IF($AX41="","",IFERROR(FLOOR(ROUND(VLOOKUP($AX41,DADOS!$CL$5:$CM$10,2,FALSE)*IF($AY41="",1,VLOOKUP($AY41,DADOS!$CO$5:$CP$7,2,FALSE))*IF($AZ41="",1,VLOOKUP($AZ41,DADOS!$CR$5:$CS$9,2,FALSE)),4),12.5),""))</f>
        <v/>
      </c>
      <c r="BB41" s="115" t="n"/>
      <c r="BC41" s="118" t="n"/>
      <c r="BD41" s="118" t="n"/>
      <c r="BE41" s="119" t="n"/>
      <c r="BF41" s="119" t="n"/>
      <c r="BG41" s="119">
        <f>IF($BD41="","",IFERROR(FLOOR(ROUND(VLOOKUP($BD41,DADOS!$CL$5:$CM$10,2,FALSE)*IF($BE41="",1,VLOOKUP($BE41,DADOS!$CO$5:$CP$7,2,FALSE))*IF($BF41="",1,VLOOKUP($BF41,DADOS!$CR$5:$CS$9,2,FALSE)),4),12.5),""))</f>
        <v/>
      </c>
      <c r="BH41" s="115" t="n"/>
      <c r="BI41" s="118" t="n"/>
      <c r="BJ41" s="118" t="n"/>
      <c r="BK41" s="119" t="n"/>
      <c r="BL41" s="119" t="n"/>
      <c r="BM41" s="119">
        <f>IF($BJ41="","",IFERROR(FLOOR(ROUND(VLOOKUP($BJ41,DADOS!$CL$5:$CM$10,2,FALSE)*IF($BK41="",1,VLOOKUP($BK41,DADOS!$CO$5:$CP$7,2,FALSE))*IF($BL41="",1,VLOOKUP($BL41,DADOS!$CR$5:$CS$9,2,FALSE)),4),12.5),""))</f>
        <v/>
      </c>
      <c r="BN41" s="115" t="n"/>
      <c r="BO41" s="118" t="n"/>
      <c r="BP41" s="118" t="n"/>
      <c r="BQ41" s="119" t="n"/>
      <c r="BR41" s="119" t="n"/>
      <c r="BS41" s="119">
        <f>IF($BP41="","",IFERROR(FLOOR(ROUND(VLOOKUP($BP41,DADOS!$CL$5:$CM$10,2,FALSE)*IF($BQ41="",1,VLOOKUP($BQ41,DADOS!$CO$5:$CP$7,2,FALSE))*IF($BR41="",1,VLOOKUP($BR41,DADOS!$CR$5:$CS$9,2,FALSE)),4),12.5),""))</f>
        <v/>
      </c>
      <c r="BT41" s="115" t="n"/>
    </row>
    <row r="42">
      <c r="B42" s="17" t="n"/>
      <c r="C42" s="115" t="n"/>
      <c r="D42" s="18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20" t="n"/>
      <c r="R42" s="115" t="n"/>
      <c r="S42" s="18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20" t="n"/>
      <c r="AG42" s="115" t="n"/>
      <c r="AH42" s="18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19" t="n"/>
      <c r="AS42" s="19" t="n"/>
      <c r="AT42" s="20" t="n"/>
      <c r="AU42" s="115" t="n"/>
      <c r="AV42" s="115" t="n"/>
      <c r="AW42" s="118" t="n"/>
      <c r="AX42" s="118" t="n"/>
      <c r="AY42" s="119" t="n"/>
      <c r="AZ42" s="119" t="n"/>
      <c r="BA42" s="119">
        <f>IF($AX42="","",IFERROR(FLOOR(ROUND(VLOOKUP($AX42,DADOS!$CL$5:$CM$10,2,FALSE)*IF($AY42="",1,VLOOKUP($AY42,DADOS!$CO$5:$CP$7,2,FALSE))*IF($AZ42="",1,VLOOKUP($AZ42,DADOS!$CR$5:$CS$9,2,FALSE)),4),12.5),""))</f>
        <v/>
      </c>
      <c r="BB42" s="115" t="n"/>
      <c r="BC42" s="118" t="n"/>
      <c r="BD42" s="118" t="n"/>
      <c r="BE42" s="119" t="n"/>
      <c r="BF42" s="119" t="n"/>
      <c r="BG42" s="119">
        <f>IF($BD42="","",IFERROR(FLOOR(ROUND(VLOOKUP($BD42,DADOS!$CL$5:$CM$10,2,FALSE)*IF($BE42="",1,VLOOKUP($BE42,DADOS!$CO$5:$CP$7,2,FALSE))*IF($BF42="",1,VLOOKUP($BF42,DADOS!$CR$5:$CS$9,2,FALSE)),4),12.5),""))</f>
        <v/>
      </c>
      <c r="BH42" s="115" t="n"/>
      <c r="BI42" s="118" t="n"/>
      <c r="BJ42" s="118" t="n"/>
      <c r="BK42" s="119" t="n"/>
      <c r="BL42" s="119" t="n"/>
      <c r="BM42" s="119">
        <f>IF($BJ42="","",IFERROR(FLOOR(ROUND(VLOOKUP($BJ42,DADOS!$CL$5:$CM$10,2,FALSE)*IF($BK42="",1,VLOOKUP($BK42,DADOS!$CO$5:$CP$7,2,FALSE))*IF($BL42="",1,VLOOKUP($BL42,DADOS!$CR$5:$CS$9,2,FALSE)),4),12.5),""))</f>
        <v/>
      </c>
      <c r="BN42" s="115" t="n"/>
      <c r="BO42" s="118" t="n"/>
      <c r="BP42" s="118" t="n"/>
      <c r="BQ42" s="119" t="n"/>
      <c r="BR42" s="119" t="n"/>
      <c r="BS42" s="119">
        <f>IF($BP42="","",IFERROR(FLOOR(ROUND(VLOOKUP($BP42,DADOS!$CL$5:$CM$10,2,FALSE)*IF($BQ42="",1,VLOOKUP($BQ42,DADOS!$CO$5:$CP$7,2,FALSE))*IF($BR42="",1,VLOOKUP($BR42,DADOS!$CR$5:$CS$9,2,FALSE)),4),12.5),""))</f>
        <v/>
      </c>
      <c r="BT42" s="115" t="n"/>
    </row>
    <row r="43">
      <c r="B43" s="17" t="n"/>
      <c r="C43" s="115" t="n"/>
      <c r="D43" s="121">
        <f>IF(DADOS!$CZ$6=1,DADOS!$CZ$9&amp;" · sem propriedade · o dado sobe com a maestria",IF(DADOS!$CZ$7="","Não está nos equipáveis guardados",DADOS!$CZ$13&amp;IF(DADOS!$CZ$10&lt;&gt;""," · "&amp;DADOS!$CZ$10,"")&amp;IF(DADOS!$CZ$12=1," · nas duas mãos",IF(DADOS!$CZ$8=2," · duas mãos",""))&amp;IF(DADOS!$CZ$14&lt;&gt;""," · "&amp;DADOS!$CZ$14,"")&amp;IF(DADOS!$CZ$15&lt;&gt;""," · recarga a cada "&amp;DADOS!$CZ$15,"")))</f>
        <v/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2" t="n"/>
      <c r="R43" s="115" t="n"/>
      <c r="S43" s="121">
        <f>IF(DADOS!$CZ$8=2,"Ocupada: a arma da outra mão é de duas mãos",IF($S$41="Nas duas mãos",IF(DADOS!$CZ$12=1,"A mesma arma, nas duas mãos","A arma da outra mão não é Versátil"),IF(DADOS!$CZ$17=0,"Mão livre",IF(DADOS!$CZ$18="","Não está nos equipáveis guardados",IF(DADOS!$CZ$19=1,"Escudo · "&amp;DADOS!$CZ$21,DADOS!$CZ$20&amp;IF(DADOS!$CZ$21&lt;&gt;""," · "&amp;DADOS!$CZ$21,"")&amp;IF(DADOS!$CZ$23&lt;&gt;""," · "&amp;DADOS!$CZ$23,"")&amp;IF(DADOS!$CZ$24&lt;&gt;""," · recarga a cada "&amp;DADOS!$CZ$24,""))))))</f>
        <v/>
      </c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2" t="n"/>
      <c r="AG43" s="115" t="n"/>
      <c r="AH43" s="121">
        <f>IF(DADOS!$CZ$25=0,"Sem uniforme: vale a proteção do cobrir-se","Proteção "&amp;DADOS!$CZ$26&amp;" · "&amp;IF(DADOS!$CZ$27&amp;""="—","sem teto de Destreza","teto de Destreza "&amp;DADOS!$CZ$27))</f>
        <v/>
      </c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2" t="n"/>
      <c r="AU43" s="115" t="n"/>
      <c r="AV43" s="115" t="n"/>
      <c r="AW43" s="118" t="n"/>
      <c r="AX43" s="118" t="n"/>
      <c r="AY43" s="119" t="n"/>
      <c r="AZ43" s="119" t="n"/>
      <c r="BA43" s="119">
        <f>IF($AX43="","",IFERROR(FLOOR(ROUND(VLOOKUP($AX43,DADOS!$CL$5:$CM$10,2,FALSE)*IF($AY43="",1,VLOOKUP($AY43,DADOS!$CO$5:$CP$7,2,FALSE))*IF($AZ43="",1,VLOOKUP($AZ43,DADOS!$CR$5:$CS$9,2,FALSE)),4),12.5),""))</f>
        <v/>
      </c>
      <c r="BB43" s="115" t="n"/>
      <c r="BC43" s="118" t="n"/>
      <c r="BD43" s="118" t="n"/>
      <c r="BE43" s="119" t="n"/>
      <c r="BF43" s="119" t="n"/>
      <c r="BG43" s="119">
        <f>IF($BD43="","",IFERROR(FLOOR(ROUND(VLOOKUP($BD43,DADOS!$CL$5:$CM$10,2,FALSE)*IF($BE43="",1,VLOOKUP($BE43,DADOS!$CO$5:$CP$7,2,FALSE))*IF($BF43="",1,VLOOKUP($BF43,DADOS!$CR$5:$CS$9,2,FALSE)),4),12.5),""))</f>
        <v/>
      </c>
      <c r="BH43" s="115" t="n"/>
      <c r="BI43" s="118" t="n"/>
      <c r="BJ43" s="118" t="n"/>
      <c r="BK43" s="119" t="n"/>
      <c r="BL43" s="119" t="n"/>
      <c r="BM43" s="119">
        <f>IF($BJ43="","",IFERROR(FLOOR(ROUND(VLOOKUP($BJ43,DADOS!$CL$5:$CM$10,2,FALSE)*IF($BK43="",1,VLOOKUP($BK43,DADOS!$CO$5:$CP$7,2,FALSE))*IF($BL43="",1,VLOOKUP($BL43,DADOS!$CR$5:$CS$9,2,FALSE)),4),12.5),""))</f>
        <v/>
      </c>
      <c r="BN43" s="115" t="n"/>
      <c r="BO43" s="118" t="n"/>
      <c r="BP43" s="118" t="n"/>
      <c r="BQ43" s="119" t="n"/>
      <c r="BR43" s="119" t="n"/>
      <c r="BS43" s="119">
        <f>IF($BP43="","",IFERROR(FLOOR(ROUND(VLOOKUP($BP43,DADOS!$CL$5:$CM$10,2,FALSE)*IF($BQ43="",1,VLOOKUP($BQ43,DADOS!$CO$5:$CP$7,2,FALSE))*IF($BR43="",1,VLOOKUP($BR43,DADOS!$CR$5:$CS$9,2,FALSE)),4),12.5),""))</f>
        <v/>
      </c>
      <c r="BT43" s="115" t="n"/>
    </row>
    <row r="44">
      <c r="B44" s="17" t="n"/>
      <c r="C44" s="115" t="n"/>
      <c r="D44" s="70">
        <f>IF(DADOS!$CZ$16=1,"Treinada","Sem treino: desvantagem")</f>
        <v/>
      </c>
      <c r="E44" s="11" t="n"/>
      <c r="F44" s="11" t="n"/>
      <c r="G44" s="11" t="n"/>
      <c r="H44" s="11" t="n"/>
      <c r="I44" s="11" t="n"/>
      <c r="J44" s="12" t="n"/>
      <c r="K44" s="70">
        <f>IF(DADOS!$CZ$11=0,"Sem requisito de Força",IF(DADOS!$CZ$34=1,"Falta Força: "&amp;DADOS!$CZ$5&amp;" de "&amp;DADOS!$CZ$11,"Força "&amp;DADOS!$CZ$5&amp;" de "&amp;DADOS!$CZ$11))</f>
        <v/>
      </c>
      <c r="L44" s="11" t="n"/>
      <c r="M44" s="11" t="n"/>
      <c r="N44" s="11" t="n"/>
      <c r="O44" s="11" t="n"/>
      <c r="P44" s="11" t="n"/>
      <c r="Q44" s="12" t="n"/>
      <c r="R44" s="115" t="n"/>
      <c r="S44" s="70">
        <f>IF(DADOS!$CZ$17=0,"—",IF(DADOS!$CZ$22=0,"Sem requisito de Força",IF(DADOS!$CZ$35=1,"Falta Força: "&amp;DADOS!$CZ$5&amp;" de "&amp;DADOS!$CZ$22,"Força "&amp;DADOS!$CZ$5&amp;" de "&amp;DADOS!$CZ$22)))</f>
        <v/>
      </c>
      <c r="T44" s="11" t="n"/>
      <c r="U44" s="11" t="n"/>
      <c r="V44" s="11" t="n"/>
      <c r="W44" s="11" t="n"/>
      <c r="X44" s="11" t="n"/>
      <c r="Y44" s="12" t="n"/>
      <c r="Z44" s="70">
        <f>IF(DADOS!$CZ$19=1,"Trava Selo de gesto","Sem escudo")</f>
        <v/>
      </c>
      <c r="AA44" s="11" t="n"/>
      <c r="AB44" s="11" t="n"/>
      <c r="AC44" s="11" t="n"/>
      <c r="AD44" s="11" t="n"/>
      <c r="AE44" s="11" t="n"/>
      <c r="AF44" s="12" t="n"/>
      <c r="AG44" s="115" t="n"/>
      <c r="AH44" s="70">
        <f>IF(DADOS!$CZ$25=0,"—",IF(DADOS!$CZ$33=1,"Liberado no "&amp;$AB$11,"Pede "&amp;DADOS!$CZ$31))</f>
        <v/>
      </c>
      <c r="AI44" s="11" t="n"/>
      <c r="AJ44" s="11" t="n"/>
      <c r="AK44" s="11" t="n"/>
      <c r="AL44" s="11" t="n"/>
      <c r="AM44" s="11" t="n"/>
      <c r="AN44" s="12" t="n"/>
      <c r="AO44" s="70">
        <f>IF(DADOS!$CZ$25=0,"—",IF(DADOS!$CZ$28=0,"Sem requisito de Força",IF(DADOS!$CZ$36=1,"Falta Força: "&amp;DADOS!$CZ$5&amp;" de "&amp;DADOS!$CZ$28,"Força "&amp;DADOS!$CZ$5&amp;" de "&amp;DADOS!$CZ$28)))</f>
        <v/>
      </c>
      <c r="AP44" s="11" t="n"/>
      <c r="AQ44" s="11" t="n"/>
      <c r="AR44" s="11" t="n"/>
      <c r="AS44" s="11" t="n"/>
      <c r="AT44" s="12" t="n"/>
      <c r="AU44" s="115" t="n"/>
      <c r="AV44" s="115" t="n"/>
      <c r="AW44" s="118" t="n"/>
      <c r="AX44" s="118" t="n"/>
      <c r="AY44" s="119" t="n"/>
      <c r="AZ44" s="119" t="n"/>
      <c r="BA44" s="119">
        <f>IF($AX44="","",IFERROR(FLOOR(ROUND(VLOOKUP($AX44,DADOS!$CL$5:$CM$10,2,FALSE)*IF($AY44="",1,VLOOKUP($AY44,DADOS!$CO$5:$CP$7,2,FALSE))*IF($AZ44="",1,VLOOKUP($AZ44,DADOS!$CR$5:$CS$9,2,FALSE)),4),12.5),""))</f>
        <v/>
      </c>
      <c r="BB44" s="115" t="n"/>
      <c r="BC44" s="118" t="n"/>
      <c r="BD44" s="118" t="n"/>
      <c r="BE44" s="119" t="n"/>
      <c r="BF44" s="119" t="n"/>
      <c r="BG44" s="119">
        <f>IF($BD44="","",IFERROR(FLOOR(ROUND(VLOOKUP($BD44,DADOS!$CL$5:$CM$10,2,FALSE)*IF($BE44="",1,VLOOKUP($BE44,DADOS!$CO$5:$CP$7,2,FALSE))*IF($BF44="",1,VLOOKUP($BF44,DADOS!$CR$5:$CS$9,2,FALSE)),4),12.5),""))</f>
        <v/>
      </c>
      <c r="BH44" s="115" t="n"/>
      <c r="BI44" s="118" t="n"/>
      <c r="BJ44" s="118" t="n"/>
      <c r="BK44" s="119" t="n"/>
      <c r="BL44" s="119" t="n"/>
      <c r="BM44" s="119">
        <f>IF($BJ44="","",IFERROR(FLOOR(ROUND(VLOOKUP($BJ44,DADOS!$CL$5:$CM$10,2,FALSE)*IF($BK44="",1,VLOOKUP($BK44,DADOS!$CO$5:$CP$7,2,FALSE))*IF($BL44="",1,VLOOKUP($BL44,DADOS!$CR$5:$CS$9,2,FALSE)),4),12.5),""))</f>
        <v/>
      </c>
      <c r="BN44" s="115" t="n"/>
      <c r="BO44" s="118" t="n"/>
      <c r="BP44" s="118" t="n"/>
      <c r="BQ44" s="119" t="n"/>
      <c r="BR44" s="119" t="n"/>
      <c r="BS44" s="119">
        <f>IF($BP44="","",IFERROR(FLOOR(ROUND(VLOOKUP($BP44,DADOS!$CL$5:$CM$10,2,FALSE)*IF($BQ44="",1,VLOOKUP($BQ44,DADOS!$CO$5:$CP$7,2,FALSE))*IF($BR44="",1,VLOOKUP($BR44,DADOS!$CR$5:$CS$9,2,FALSE)),4),12.5),""))</f>
        <v/>
      </c>
      <c r="BT44" s="115" t="n"/>
    </row>
    <row r="45">
      <c r="B45" s="17" t="n"/>
      <c r="C45" s="115" t="n"/>
      <c r="D45" s="115" t="n"/>
      <c r="E45" s="115" t="n"/>
      <c r="F45" s="115" t="n"/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115" t="n"/>
      <c r="U45" s="115" t="n"/>
      <c r="V45" s="115" t="n"/>
      <c r="W45" s="115" t="n"/>
      <c r="X45" s="115" t="n"/>
      <c r="Y45" s="115" t="n"/>
      <c r="Z45" s="115" t="n"/>
      <c r="AA45" s="115" t="n"/>
      <c r="AB45" s="115" t="n"/>
      <c r="AC45" s="115" t="n"/>
      <c r="AD45" s="115" t="n"/>
      <c r="AE45" s="115" t="n"/>
      <c r="AF45" s="115" t="n"/>
      <c r="AG45" s="115" t="n"/>
      <c r="AH45" s="115" t="n"/>
      <c r="AI45" s="115" t="n"/>
      <c r="AJ45" s="115" t="n"/>
      <c r="AK45" s="115" t="n"/>
      <c r="AL45" s="115" t="n"/>
      <c r="AM45" s="115" t="n"/>
      <c r="AN45" s="115" t="n"/>
      <c r="AO45" s="115" t="n"/>
      <c r="AP45" s="115" t="n"/>
      <c r="AQ45" s="115" t="n"/>
      <c r="AR45" s="115" t="n"/>
      <c r="AS45" s="115" t="n"/>
      <c r="AT45" s="115" t="n"/>
      <c r="AU45" s="115" t="n"/>
      <c r="AV45" s="115" t="n"/>
      <c r="AW45" s="118" t="n"/>
      <c r="AX45" s="118" t="n"/>
      <c r="AY45" s="119" t="n"/>
      <c r="AZ45" s="119" t="n"/>
      <c r="BA45" s="119">
        <f>IF($AX45="","",IFERROR(FLOOR(ROUND(VLOOKUP($AX45,DADOS!$CL$5:$CM$10,2,FALSE)*IF($AY45="",1,VLOOKUP($AY45,DADOS!$CO$5:$CP$7,2,FALSE))*IF($AZ45="",1,VLOOKUP($AZ45,DADOS!$CR$5:$CS$9,2,FALSE)),4),12.5),""))</f>
        <v/>
      </c>
      <c r="BB45" s="115" t="n"/>
      <c r="BC45" s="118" t="n"/>
      <c r="BD45" s="118" t="n"/>
      <c r="BE45" s="119" t="n"/>
      <c r="BF45" s="119" t="n"/>
      <c r="BG45" s="119">
        <f>IF($BD45="","",IFERROR(FLOOR(ROUND(VLOOKUP($BD45,DADOS!$CL$5:$CM$10,2,FALSE)*IF($BE45="",1,VLOOKUP($BE45,DADOS!$CO$5:$CP$7,2,FALSE))*IF($BF45="",1,VLOOKUP($BF45,DADOS!$CR$5:$CS$9,2,FALSE)),4),12.5),""))</f>
        <v/>
      </c>
      <c r="BH45" s="115" t="n"/>
      <c r="BI45" s="118" t="n"/>
      <c r="BJ45" s="118" t="n"/>
      <c r="BK45" s="119" t="n"/>
      <c r="BL45" s="119" t="n"/>
      <c r="BM45" s="119">
        <f>IF($BJ45="","",IFERROR(FLOOR(ROUND(VLOOKUP($BJ45,DADOS!$CL$5:$CM$10,2,FALSE)*IF($BK45="",1,VLOOKUP($BK45,DADOS!$CO$5:$CP$7,2,FALSE))*IF($BL45="",1,VLOOKUP($BL45,DADOS!$CR$5:$CS$9,2,FALSE)),4),12.5),""))</f>
        <v/>
      </c>
      <c r="BN45" s="115" t="n"/>
      <c r="BO45" s="118" t="n"/>
      <c r="BP45" s="118" t="n"/>
      <c r="BQ45" s="119" t="n"/>
      <c r="BR45" s="119" t="n"/>
      <c r="BS45" s="119">
        <f>IF($BP45="","",IFERROR(FLOOR(ROUND(VLOOKUP($BP45,DADOS!$CL$5:$CM$10,2,FALSE)*IF($BQ45="",1,VLOOKUP($BQ45,DADOS!$CO$5:$CP$7,2,FALSE))*IF($BR45="",1,VLOOKUP($BR45,DADOS!$CR$5:$CS$9,2,FALSE)),4),12.5),""))</f>
        <v/>
      </c>
      <c r="BT45" s="115" t="n"/>
    </row>
    <row r="46">
      <c r="B46" s="17" t="n"/>
      <c r="C46" s="115" t="n"/>
      <c r="D46" s="116" t="inlineStr">
        <is>
          <t>TREINO EM ARMAS</t>
        </is>
      </c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  <c r="AL46" s="14" t="n"/>
      <c r="AM46" s="14" t="n"/>
      <c r="AN46" s="14" t="n"/>
      <c r="AO46" s="14" t="n"/>
      <c r="AP46" s="14" t="n"/>
      <c r="AQ46" s="14" t="n"/>
      <c r="AR46" s="14" t="n"/>
      <c r="AS46" s="14" t="n"/>
      <c r="AT46" s="15" t="n"/>
      <c r="AU46" s="115" t="n"/>
      <c r="AV46" s="115" t="n"/>
      <c r="AW46" s="118" t="n"/>
      <c r="AX46" s="118" t="n"/>
      <c r="AY46" s="119" t="n"/>
      <c r="AZ46" s="119" t="n"/>
      <c r="BA46" s="119">
        <f>IF($AX46="","",IFERROR(FLOOR(ROUND(VLOOKUP($AX46,DADOS!$CL$5:$CM$10,2,FALSE)*IF($AY46="",1,VLOOKUP($AY46,DADOS!$CO$5:$CP$7,2,FALSE))*IF($AZ46="",1,VLOOKUP($AZ46,DADOS!$CR$5:$CS$9,2,FALSE)),4),12.5),""))</f>
        <v/>
      </c>
      <c r="BB46" s="115" t="n"/>
      <c r="BC46" s="118" t="n"/>
      <c r="BD46" s="118" t="n"/>
      <c r="BE46" s="119" t="n"/>
      <c r="BF46" s="119" t="n"/>
      <c r="BG46" s="119">
        <f>IF($BD46="","",IFERROR(FLOOR(ROUND(VLOOKUP($BD46,DADOS!$CL$5:$CM$10,2,FALSE)*IF($BE46="",1,VLOOKUP($BE46,DADOS!$CO$5:$CP$7,2,FALSE))*IF($BF46="",1,VLOOKUP($BF46,DADOS!$CR$5:$CS$9,2,FALSE)),4),12.5),""))</f>
        <v/>
      </c>
      <c r="BH46" s="115" t="n"/>
      <c r="BI46" s="118" t="n"/>
      <c r="BJ46" s="118" t="n"/>
      <c r="BK46" s="119" t="n"/>
      <c r="BL46" s="119" t="n"/>
      <c r="BM46" s="119">
        <f>IF($BJ46="","",IFERROR(FLOOR(ROUND(VLOOKUP($BJ46,DADOS!$CL$5:$CM$10,2,FALSE)*IF($BK46="",1,VLOOKUP($BK46,DADOS!$CO$5:$CP$7,2,FALSE))*IF($BL46="",1,VLOOKUP($BL46,DADOS!$CR$5:$CS$9,2,FALSE)),4),12.5),""))</f>
        <v/>
      </c>
      <c r="BN46" s="115" t="n"/>
      <c r="BO46" s="118" t="n"/>
      <c r="BP46" s="118" t="n"/>
      <c r="BQ46" s="119" t="n"/>
      <c r="BR46" s="119" t="n"/>
      <c r="BS46" s="119">
        <f>IF($BP46="","",IFERROR(FLOOR(ROUND(VLOOKUP($BP46,DADOS!$CL$5:$CM$10,2,FALSE)*IF($BQ46="",1,VLOOKUP($BQ46,DADOS!$CO$5:$CP$7,2,FALSE))*IF($BR46="",1,VLOOKUP($BR46,DADOS!$CR$5:$CS$9,2,FALSE)),4),12.5),""))</f>
        <v/>
      </c>
      <c r="BT46" s="115" t="n"/>
    </row>
    <row r="47">
      <c r="B47" s="17" t="n"/>
      <c r="C47" s="115" t="n"/>
      <c r="D47" s="18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19" t="n"/>
      <c r="AS47" s="19" t="n"/>
      <c r="AT47" s="20" t="n"/>
      <c r="AU47" s="115" t="n"/>
      <c r="AV47" s="115" t="n"/>
      <c r="AW47" s="118" t="n"/>
      <c r="AX47" s="118" t="n"/>
      <c r="AY47" s="119" t="n"/>
      <c r="AZ47" s="119" t="n"/>
      <c r="BA47" s="119">
        <f>IF($AX47="","",IFERROR(FLOOR(ROUND(VLOOKUP($AX47,DADOS!$CL$5:$CM$10,2,FALSE)*IF($AY47="",1,VLOOKUP($AY47,DADOS!$CO$5:$CP$7,2,FALSE))*IF($AZ47="",1,VLOOKUP($AZ47,DADOS!$CR$5:$CS$9,2,FALSE)),4),12.5),""))</f>
        <v/>
      </c>
      <c r="BB47" s="115" t="n"/>
      <c r="BC47" s="118" t="n"/>
      <c r="BD47" s="118" t="n"/>
      <c r="BE47" s="119" t="n"/>
      <c r="BF47" s="119" t="n"/>
      <c r="BG47" s="119">
        <f>IF($BD47="","",IFERROR(FLOOR(ROUND(VLOOKUP($BD47,DADOS!$CL$5:$CM$10,2,FALSE)*IF($BE47="",1,VLOOKUP($BE47,DADOS!$CO$5:$CP$7,2,FALSE))*IF($BF47="",1,VLOOKUP($BF47,DADOS!$CR$5:$CS$9,2,FALSE)),4),12.5),""))</f>
        <v/>
      </c>
      <c r="BH47" s="115" t="n"/>
      <c r="BI47" s="118" t="n"/>
      <c r="BJ47" s="118" t="n"/>
      <c r="BK47" s="119" t="n"/>
      <c r="BL47" s="119" t="n"/>
      <c r="BM47" s="119">
        <f>IF($BJ47="","",IFERROR(FLOOR(ROUND(VLOOKUP($BJ47,DADOS!$CL$5:$CM$10,2,FALSE)*IF($BK47="",1,VLOOKUP($BK47,DADOS!$CO$5:$CP$7,2,FALSE))*IF($BL47="",1,VLOOKUP($BL47,DADOS!$CR$5:$CS$9,2,FALSE)),4),12.5),""))</f>
        <v/>
      </c>
      <c r="BN47" s="115" t="n"/>
      <c r="BO47" s="118" t="n"/>
      <c r="BP47" s="118" t="n"/>
      <c r="BQ47" s="119" t="n"/>
      <c r="BR47" s="119" t="n"/>
      <c r="BS47" s="119">
        <f>IF($BP47="","",IFERROR(FLOOR(ROUND(VLOOKUP($BP47,DADOS!$CL$5:$CM$10,2,FALSE)*IF($BQ47="",1,VLOOKUP($BQ47,DADOS!$CO$5:$CP$7,2,FALSE))*IF($BR47="",1,VLOOKUP($BR47,DADOS!$CR$5:$CS$9,2,FALSE)),4),12.5),""))</f>
        <v/>
      </c>
      <c r="BT47" s="115" t="n"/>
    </row>
    <row r="48" outlineLevel="1">
      <c r="B48" s="17" t="n"/>
      <c r="C48" s="115" t="n"/>
      <c r="D48" s="52" t="b">
        <v>0</v>
      </c>
      <c r="E48" s="52" t="inlineStr">
        <is>
          <t>LÂMINA LONGA</t>
        </is>
      </c>
      <c r="F48" s="11" t="n"/>
      <c r="G48" s="11" t="n"/>
      <c r="H48" s="11" t="n"/>
      <c r="I48" s="11" t="n"/>
      <c r="J48" s="11" t="n"/>
      <c r="K48" s="11" t="n"/>
      <c r="L48" s="12" t="n"/>
      <c r="M48" s="52" t="b">
        <v>0</v>
      </c>
      <c r="N48" s="52" t="inlineStr">
        <is>
          <t>ARMA DE FOGO</t>
        </is>
      </c>
      <c r="O48" s="11" t="n"/>
      <c r="P48" s="11" t="n"/>
      <c r="Q48" s="11" t="n"/>
      <c r="R48" s="11" t="n"/>
      <c r="S48" s="11" t="n"/>
      <c r="T48" s="11" t="n"/>
      <c r="U48" s="12" t="n"/>
      <c r="V48" s="52" t="b">
        <v>0</v>
      </c>
      <c r="W48" s="52" t="inlineStr">
        <is>
          <t>PORRETE</t>
        </is>
      </c>
      <c r="X48" s="11" t="n"/>
      <c r="Y48" s="11" t="n"/>
      <c r="Z48" s="11" t="n"/>
      <c r="AA48" s="11" t="n"/>
      <c r="AB48" s="11" t="n"/>
      <c r="AC48" s="11" t="n"/>
      <c r="AD48" s="12" t="n"/>
      <c r="AE48" s="52" t="b">
        <v>0</v>
      </c>
      <c r="AF48" s="52" t="inlineStr">
        <is>
          <t>LÂMINA CURTA</t>
        </is>
      </c>
      <c r="AG48" s="11" t="n"/>
      <c r="AH48" s="11" t="n"/>
      <c r="AI48" s="11" t="n"/>
      <c r="AJ48" s="11" t="n"/>
      <c r="AK48" s="11" t="n"/>
      <c r="AL48" s="12" t="n"/>
      <c r="AM48" s="52" t="b">
        <v>0</v>
      </c>
      <c r="AN48" s="52" t="inlineStr">
        <is>
          <t>MASSA</t>
        </is>
      </c>
      <c r="AO48" s="11" t="n"/>
      <c r="AP48" s="11" t="n"/>
      <c r="AQ48" s="11" t="n"/>
      <c r="AR48" s="11" t="n"/>
      <c r="AS48" s="11" t="n"/>
      <c r="AT48" s="12" t="n"/>
      <c r="AU48" s="115" t="n"/>
      <c r="AV48" s="115" t="n"/>
      <c r="AW48" s="118" t="n"/>
      <c r="AX48" s="118" t="n"/>
      <c r="AY48" s="119" t="n"/>
      <c r="AZ48" s="119" t="n"/>
      <c r="BA48" s="119">
        <f>IF($AX48="","",IFERROR(FLOOR(ROUND(VLOOKUP($AX48,DADOS!$CL$5:$CM$10,2,FALSE)*IF($AY48="",1,VLOOKUP($AY48,DADOS!$CO$5:$CP$7,2,FALSE))*IF($AZ48="",1,VLOOKUP($AZ48,DADOS!$CR$5:$CS$9,2,FALSE)),4),12.5),""))</f>
        <v/>
      </c>
      <c r="BB48" s="115" t="n"/>
      <c r="BC48" s="118" t="n"/>
      <c r="BD48" s="118" t="n"/>
      <c r="BE48" s="119" t="n"/>
      <c r="BF48" s="119" t="n"/>
      <c r="BG48" s="119">
        <f>IF($BD48="","",IFERROR(FLOOR(ROUND(VLOOKUP($BD48,DADOS!$CL$5:$CM$10,2,FALSE)*IF($BE48="",1,VLOOKUP($BE48,DADOS!$CO$5:$CP$7,2,FALSE))*IF($BF48="",1,VLOOKUP($BF48,DADOS!$CR$5:$CS$9,2,FALSE)),4),12.5),""))</f>
        <v/>
      </c>
      <c r="BH48" s="115" t="n"/>
      <c r="BI48" s="118" t="n"/>
      <c r="BJ48" s="118" t="n"/>
      <c r="BK48" s="119" t="n"/>
      <c r="BL48" s="119" t="n"/>
      <c r="BM48" s="119">
        <f>IF($BJ48="","",IFERROR(FLOOR(ROUND(VLOOKUP($BJ48,DADOS!$CL$5:$CM$10,2,FALSE)*IF($BK48="",1,VLOOKUP($BK48,DADOS!$CO$5:$CP$7,2,FALSE))*IF($BL48="",1,VLOOKUP($BL48,DADOS!$CR$5:$CS$9,2,FALSE)),4),12.5),""))</f>
        <v/>
      </c>
      <c r="BN48" s="115" t="n"/>
      <c r="BO48" s="118" t="n"/>
      <c r="BP48" s="118" t="n"/>
      <c r="BQ48" s="119" t="n"/>
      <c r="BR48" s="119" t="n"/>
      <c r="BS48" s="119">
        <f>IF($BP48="","",IFERROR(FLOOR(ROUND(VLOOKUP($BP48,DADOS!$CL$5:$CM$10,2,FALSE)*IF($BQ48="",1,VLOOKUP($BQ48,DADOS!$CO$5:$CP$7,2,FALSE))*IF($BR48="",1,VLOOKUP($BR48,DADOS!$CR$5:$CS$9,2,FALSE)),4),12.5),""))</f>
        <v/>
      </c>
      <c r="BT48" s="115" t="n"/>
    </row>
    <row r="49" outlineLevel="1">
      <c r="B49" s="17" t="n"/>
      <c r="C49" s="115" t="n"/>
      <c r="D49" s="119" t="b">
        <v>0</v>
      </c>
      <c r="E49" s="118" t="inlineStr">
        <is>
          <t>Espada Longa</t>
        </is>
      </c>
      <c r="F49" s="11" t="n"/>
      <c r="G49" s="11" t="n"/>
      <c r="H49" s="11" t="n"/>
      <c r="I49" s="11" t="n"/>
      <c r="J49" s="11" t="n"/>
      <c r="K49" s="11" t="n"/>
      <c r="L49" s="12" t="n"/>
      <c r="M49" s="119" t="b">
        <v>0</v>
      </c>
      <c r="N49" s="118" t="inlineStr">
        <is>
          <t>Espingarda</t>
        </is>
      </c>
      <c r="O49" s="11" t="n"/>
      <c r="P49" s="11" t="n"/>
      <c r="Q49" s="11" t="n"/>
      <c r="R49" s="11" t="n"/>
      <c r="S49" s="11" t="n"/>
      <c r="T49" s="11" t="n"/>
      <c r="U49" s="12" t="n"/>
      <c r="V49" s="119" t="b">
        <v>0</v>
      </c>
      <c r="W49" s="118" t="inlineStr">
        <is>
          <t>Bastão</t>
        </is>
      </c>
      <c r="X49" s="11" t="n"/>
      <c r="Y49" s="11" t="n"/>
      <c r="Z49" s="11" t="n"/>
      <c r="AA49" s="11" t="n"/>
      <c r="AB49" s="11" t="n"/>
      <c r="AC49" s="11" t="n"/>
      <c r="AD49" s="12" t="n"/>
      <c r="AE49" s="119" t="b">
        <v>0</v>
      </c>
      <c r="AF49" s="118" t="inlineStr">
        <is>
          <t>Canivete</t>
        </is>
      </c>
      <c r="AG49" s="11" t="n"/>
      <c r="AH49" s="11" t="n"/>
      <c r="AI49" s="11" t="n"/>
      <c r="AJ49" s="11" t="n"/>
      <c r="AK49" s="11" t="n"/>
      <c r="AL49" s="12" t="n"/>
      <c r="AM49" s="119" t="b">
        <v>0</v>
      </c>
      <c r="AN49" s="118" t="inlineStr">
        <is>
          <t>Kanabō</t>
        </is>
      </c>
      <c r="AO49" s="11" t="n"/>
      <c r="AP49" s="11" t="n"/>
      <c r="AQ49" s="11" t="n"/>
      <c r="AR49" s="11" t="n"/>
      <c r="AS49" s="11" t="n"/>
      <c r="AT49" s="12" t="n"/>
      <c r="AU49" s="115" t="n"/>
      <c r="AV49" s="115" t="n"/>
      <c r="AW49" s="118" t="n"/>
      <c r="AX49" s="118" t="n"/>
      <c r="AY49" s="119" t="n"/>
      <c r="AZ49" s="119" t="n"/>
      <c r="BA49" s="119">
        <f>IF($AX49="","",IFERROR(FLOOR(ROUND(VLOOKUP($AX49,DADOS!$CL$5:$CM$10,2,FALSE)*IF($AY49="",1,VLOOKUP($AY49,DADOS!$CO$5:$CP$7,2,FALSE))*IF($AZ49="",1,VLOOKUP($AZ49,DADOS!$CR$5:$CS$9,2,FALSE)),4),12.5),""))</f>
        <v/>
      </c>
      <c r="BB49" s="115" t="n"/>
      <c r="BC49" s="118" t="n"/>
      <c r="BD49" s="118" t="n"/>
      <c r="BE49" s="119" t="n"/>
      <c r="BF49" s="119" t="n"/>
      <c r="BG49" s="119">
        <f>IF($BD49="","",IFERROR(FLOOR(ROUND(VLOOKUP($BD49,DADOS!$CL$5:$CM$10,2,FALSE)*IF($BE49="",1,VLOOKUP($BE49,DADOS!$CO$5:$CP$7,2,FALSE))*IF($BF49="",1,VLOOKUP($BF49,DADOS!$CR$5:$CS$9,2,FALSE)),4),12.5),""))</f>
        <v/>
      </c>
      <c r="BH49" s="115" t="n"/>
      <c r="BI49" s="118" t="n"/>
      <c r="BJ49" s="118" t="n"/>
      <c r="BK49" s="119" t="n"/>
      <c r="BL49" s="119" t="n"/>
      <c r="BM49" s="119">
        <f>IF($BJ49="","",IFERROR(FLOOR(ROUND(VLOOKUP($BJ49,DADOS!$CL$5:$CM$10,2,FALSE)*IF($BK49="",1,VLOOKUP($BK49,DADOS!$CO$5:$CP$7,2,FALSE))*IF($BL49="",1,VLOOKUP($BL49,DADOS!$CR$5:$CS$9,2,FALSE)),4),12.5),""))</f>
        <v/>
      </c>
      <c r="BN49" s="115" t="n"/>
      <c r="BO49" s="118" t="n"/>
      <c r="BP49" s="118" t="n"/>
      <c r="BQ49" s="119" t="n"/>
      <c r="BR49" s="119" t="n"/>
      <c r="BS49" s="119">
        <f>IF($BP49="","",IFERROR(FLOOR(ROUND(VLOOKUP($BP49,DADOS!$CL$5:$CM$10,2,FALSE)*IF($BQ49="",1,VLOOKUP($BQ49,DADOS!$CO$5:$CP$7,2,FALSE))*IF($BR49="",1,VLOOKUP($BR49,DADOS!$CR$5:$CS$9,2,FALSE)),4),12.5),""))</f>
        <v/>
      </c>
      <c r="BT49" s="115" t="n"/>
    </row>
    <row r="50" outlineLevel="1">
      <c r="B50" s="17" t="n"/>
      <c r="C50" s="115" t="n"/>
      <c r="D50" s="119" t="b">
        <v>0</v>
      </c>
      <c r="E50" s="118" t="inlineStr">
        <is>
          <t>Espadão</t>
        </is>
      </c>
      <c r="F50" s="11" t="n"/>
      <c r="G50" s="11" t="n"/>
      <c r="H50" s="11" t="n"/>
      <c r="I50" s="11" t="n"/>
      <c r="J50" s="11" t="n"/>
      <c r="K50" s="11" t="n"/>
      <c r="L50" s="12" t="n"/>
      <c r="M50" s="119" t="b">
        <v>0</v>
      </c>
      <c r="N50" s="118" t="inlineStr">
        <is>
          <t>Metralhadora Pesada</t>
        </is>
      </c>
      <c r="O50" s="11" t="n"/>
      <c r="P50" s="11" t="n"/>
      <c r="Q50" s="11" t="n"/>
      <c r="R50" s="11" t="n"/>
      <c r="S50" s="11" t="n"/>
      <c r="T50" s="11" t="n"/>
      <c r="U50" s="12" t="n"/>
      <c r="V50" s="119" t="b">
        <v>0</v>
      </c>
      <c r="W50" s="118" t="inlineStr">
        <is>
          <t>Bō</t>
        </is>
      </c>
      <c r="X50" s="11" t="n"/>
      <c r="Y50" s="11" t="n"/>
      <c r="Z50" s="11" t="n"/>
      <c r="AA50" s="11" t="n"/>
      <c r="AB50" s="11" t="n"/>
      <c r="AC50" s="11" t="n"/>
      <c r="AD50" s="12" t="n"/>
      <c r="AE50" s="119" t="b">
        <v>0</v>
      </c>
      <c r="AF50" s="118" t="inlineStr">
        <is>
          <t>Faca</t>
        </is>
      </c>
      <c r="AG50" s="11" t="n"/>
      <c r="AH50" s="11" t="n"/>
      <c r="AI50" s="11" t="n"/>
      <c r="AJ50" s="11" t="n"/>
      <c r="AK50" s="11" t="n"/>
      <c r="AL50" s="12" t="n"/>
      <c r="AM50" s="119" t="b">
        <v>0</v>
      </c>
      <c r="AN50" s="118" t="inlineStr">
        <is>
          <t>Maça</t>
        </is>
      </c>
      <c r="AO50" s="11" t="n"/>
      <c r="AP50" s="11" t="n"/>
      <c r="AQ50" s="11" t="n"/>
      <c r="AR50" s="11" t="n"/>
      <c r="AS50" s="11" t="n"/>
      <c r="AT50" s="12" t="n"/>
      <c r="AU50" s="115" t="n"/>
      <c r="AV50" s="115" t="n"/>
      <c r="AW50" s="118" t="n"/>
      <c r="AX50" s="118" t="n"/>
      <c r="AY50" s="119" t="n"/>
      <c r="AZ50" s="119" t="n"/>
      <c r="BA50" s="119">
        <f>IF($AX50="","",IFERROR(FLOOR(ROUND(VLOOKUP($AX50,DADOS!$CL$5:$CM$10,2,FALSE)*IF($AY50="",1,VLOOKUP($AY50,DADOS!$CO$5:$CP$7,2,FALSE))*IF($AZ50="",1,VLOOKUP($AZ50,DADOS!$CR$5:$CS$9,2,FALSE)),4),12.5),""))</f>
        <v/>
      </c>
      <c r="BB50" s="115" t="n"/>
      <c r="BC50" s="118" t="n"/>
      <c r="BD50" s="118" t="n"/>
      <c r="BE50" s="119" t="n"/>
      <c r="BF50" s="119" t="n"/>
      <c r="BG50" s="119">
        <f>IF($BD50="","",IFERROR(FLOOR(ROUND(VLOOKUP($BD50,DADOS!$CL$5:$CM$10,2,FALSE)*IF($BE50="",1,VLOOKUP($BE50,DADOS!$CO$5:$CP$7,2,FALSE))*IF($BF50="",1,VLOOKUP($BF50,DADOS!$CR$5:$CS$9,2,FALSE)),4),12.5),""))</f>
        <v/>
      </c>
      <c r="BH50" s="115" t="n"/>
      <c r="BI50" s="118" t="n"/>
      <c r="BJ50" s="118" t="n"/>
      <c r="BK50" s="119" t="n"/>
      <c r="BL50" s="119" t="n"/>
      <c r="BM50" s="119">
        <f>IF($BJ50="","",IFERROR(FLOOR(ROUND(VLOOKUP($BJ50,DADOS!$CL$5:$CM$10,2,FALSE)*IF($BK50="",1,VLOOKUP($BK50,DADOS!$CO$5:$CP$7,2,FALSE))*IF($BL50="",1,VLOOKUP($BL50,DADOS!$CR$5:$CS$9,2,FALSE)),4),12.5),""))</f>
        <v/>
      </c>
      <c r="BN50" s="115" t="n"/>
      <c r="BO50" s="118" t="n"/>
      <c r="BP50" s="118" t="n"/>
      <c r="BQ50" s="119" t="n"/>
      <c r="BR50" s="119" t="n"/>
      <c r="BS50" s="119">
        <f>IF($BP50="","",IFERROR(FLOOR(ROUND(VLOOKUP($BP50,DADOS!$CL$5:$CM$10,2,FALSE)*IF($BQ50="",1,VLOOKUP($BQ50,DADOS!$CO$5:$CP$7,2,FALSE))*IF($BR50="",1,VLOOKUP($BR50,DADOS!$CR$5:$CS$9,2,FALSE)),4),12.5),""))</f>
        <v/>
      </c>
      <c r="BT50" s="115" t="n"/>
    </row>
    <row r="51" outlineLevel="1">
      <c r="B51" s="17" t="n"/>
      <c r="C51" s="115" t="n"/>
      <c r="D51" s="119" t="b">
        <v>0</v>
      </c>
      <c r="E51" s="118" t="inlineStr">
        <is>
          <t>Katana</t>
        </is>
      </c>
      <c r="F51" s="11" t="n"/>
      <c r="G51" s="11" t="n"/>
      <c r="H51" s="11" t="n"/>
      <c r="I51" s="11" t="n"/>
      <c r="J51" s="11" t="n"/>
      <c r="K51" s="11" t="n"/>
      <c r="L51" s="12" t="n"/>
      <c r="M51" s="119" t="b">
        <v>0</v>
      </c>
      <c r="N51" s="118" t="inlineStr">
        <is>
          <t>Pistola</t>
        </is>
      </c>
      <c r="O51" s="11" t="n"/>
      <c r="P51" s="11" t="n"/>
      <c r="Q51" s="11" t="n"/>
      <c r="R51" s="11" t="n"/>
      <c r="S51" s="11" t="n"/>
      <c r="T51" s="11" t="n"/>
      <c r="U51" s="12" t="n"/>
      <c r="V51" s="119" t="b">
        <v>0</v>
      </c>
      <c r="W51" s="118" t="inlineStr">
        <is>
          <t>Cassetete</t>
        </is>
      </c>
      <c r="X51" s="11" t="n"/>
      <c r="Y51" s="11" t="n"/>
      <c r="Z51" s="11" t="n"/>
      <c r="AA51" s="11" t="n"/>
      <c r="AB51" s="11" t="n"/>
      <c r="AC51" s="11" t="n"/>
      <c r="AD51" s="12" t="n"/>
      <c r="AE51" s="119" t="b">
        <v>0</v>
      </c>
      <c r="AF51" s="118" t="inlineStr">
        <is>
          <t>Punhal</t>
        </is>
      </c>
      <c r="AG51" s="11" t="n"/>
      <c r="AH51" s="11" t="n"/>
      <c r="AI51" s="11" t="n"/>
      <c r="AJ51" s="11" t="n"/>
      <c r="AK51" s="11" t="n"/>
      <c r="AL51" s="12" t="n"/>
      <c r="AM51" s="119" t="b">
        <v>0</v>
      </c>
      <c r="AN51" s="118" t="inlineStr">
        <is>
          <t>Marreta</t>
        </is>
      </c>
      <c r="AO51" s="11" t="n"/>
      <c r="AP51" s="11" t="n"/>
      <c r="AQ51" s="11" t="n"/>
      <c r="AR51" s="11" t="n"/>
      <c r="AS51" s="11" t="n"/>
      <c r="AT51" s="12" t="n"/>
      <c r="AU51" s="115" t="n"/>
      <c r="AV51" s="115" t="n"/>
      <c r="AW51" s="118" t="n"/>
      <c r="AX51" s="118" t="n"/>
      <c r="AY51" s="119" t="n"/>
      <c r="AZ51" s="119" t="n"/>
      <c r="BA51" s="119">
        <f>IF($AX51="","",IFERROR(FLOOR(ROUND(VLOOKUP($AX51,DADOS!$CL$5:$CM$10,2,FALSE)*IF($AY51="",1,VLOOKUP($AY51,DADOS!$CO$5:$CP$7,2,FALSE))*IF($AZ51="",1,VLOOKUP($AZ51,DADOS!$CR$5:$CS$9,2,FALSE)),4),12.5),""))</f>
        <v/>
      </c>
      <c r="BB51" s="115" t="n"/>
      <c r="BC51" s="118" t="n"/>
      <c r="BD51" s="118" t="n"/>
      <c r="BE51" s="119" t="n"/>
      <c r="BF51" s="119" t="n"/>
      <c r="BG51" s="119">
        <f>IF($BD51="","",IFERROR(FLOOR(ROUND(VLOOKUP($BD51,DADOS!$CL$5:$CM$10,2,FALSE)*IF($BE51="",1,VLOOKUP($BE51,DADOS!$CO$5:$CP$7,2,FALSE))*IF($BF51="",1,VLOOKUP($BF51,DADOS!$CR$5:$CS$9,2,FALSE)),4),12.5),""))</f>
        <v/>
      </c>
      <c r="BH51" s="115" t="n"/>
      <c r="BI51" s="118" t="n"/>
      <c r="BJ51" s="118" t="n"/>
      <c r="BK51" s="119" t="n"/>
      <c r="BL51" s="119" t="n"/>
      <c r="BM51" s="119">
        <f>IF($BJ51="","",IFERROR(FLOOR(ROUND(VLOOKUP($BJ51,DADOS!$CL$5:$CM$10,2,FALSE)*IF($BK51="",1,VLOOKUP($BK51,DADOS!$CO$5:$CP$7,2,FALSE))*IF($BL51="",1,VLOOKUP($BL51,DADOS!$CR$5:$CS$9,2,FALSE)),4),12.5),""))</f>
        <v/>
      </c>
      <c r="BN51" s="115" t="n"/>
      <c r="BO51" s="118" t="n"/>
      <c r="BP51" s="118" t="n"/>
      <c r="BQ51" s="119" t="n"/>
      <c r="BR51" s="119" t="n"/>
      <c r="BS51" s="119">
        <f>IF($BP51="","",IFERROR(FLOOR(ROUND(VLOOKUP($BP51,DADOS!$CL$5:$CM$10,2,FALSE)*IF($BQ51="",1,VLOOKUP($BQ51,DADOS!$CO$5:$CP$7,2,FALSE))*IF($BR51="",1,VLOOKUP($BR51,DADOS!$CR$5:$CS$9,2,FALSE)),4),12.5),""))</f>
        <v/>
      </c>
      <c r="BT51" s="115" t="n"/>
    </row>
    <row r="52" outlineLevel="1">
      <c r="A52" s="8" t="n"/>
      <c r="B52" s="22" t="n"/>
      <c r="C52" s="115" t="n"/>
      <c r="D52" s="119" t="b">
        <v>0</v>
      </c>
      <c r="E52" s="118" t="inlineStr">
        <is>
          <t>Machete</t>
        </is>
      </c>
      <c r="F52" s="11" t="n"/>
      <c r="G52" s="11" t="n"/>
      <c r="H52" s="11" t="n"/>
      <c r="I52" s="11" t="n"/>
      <c r="J52" s="11" t="n"/>
      <c r="K52" s="11" t="n"/>
      <c r="L52" s="12" t="n"/>
      <c r="M52" s="119" t="b">
        <v>0</v>
      </c>
      <c r="N52" s="118" t="inlineStr">
        <is>
          <t>Revólver</t>
        </is>
      </c>
      <c r="O52" s="11" t="n"/>
      <c r="P52" s="11" t="n"/>
      <c r="Q52" s="11" t="n"/>
      <c r="R52" s="11" t="n"/>
      <c r="S52" s="11" t="n"/>
      <c r="T52" s="11" t="n"/>
      <c r="U52" s="12" t="n"/>
      <c r="V52" s="119" t="b">
        <v>0</v>
      </c>
      <c r="W52" s="118" t="inlineStr">
        <is>
          <t>Nunchaku</t>
        </is>
      </c>
      <c r="X52" s="11" t="n"/>
      <c r="Y52" s="11" t="n"/>
      <c r="Z52" s="11" t="n"/>
      <c r="AA52" s="11" t="n"/>
      <c r="AB52" s="11" t="n"/>
      <c r="AC52" s="11" t="n"/>
      <c r="AD52" s="12" t="n"/>
      <c r="AE52" s="119" t="b">
        <v>0</v>
      </c>
      <c r="AF52" s="118" t="inlineStr">
        <is>
          <t>Sai</t>
        </is>
      </c>
      <c r="AG52" s="11" t="n"/>
      <c r="AH52" s="11" t="n"/>
      <c r="AI52" s="11" t="n"/>
      <c r="AJ52" s="11" t="n"/>
      <c r="AK52" s="11" t="n"/>
      <c r="AL52" s="12" t="n"/>
      <c r="AM52" s="119" t="b">
        <v>0</v>
      </c>
      <c r="AN52" s="118" t="inlineStr">
        <is>
          <t>Maul</t>
        </is>
      </c>
      <c r="AO52" s="11" t="n"/>
      <c r="AP52" s="11" t="n"/>
      <c r="AQ52" s="11" t="n"/>
      <c r="AR52" s="11" t="n"/>
      <c r="AS52" s="11" t="n"/>
      <c r="AT52" s="12" t="n"/>
      <c r="AU52" s="115" t="n"/>
      <c r="AV52" s="115" t="n"/>
      <c r="AW52" s="118" t="n"/>
      <c r="AX52" s="118" t="n"/>
      <c r="AY52" s="119" t="n"/>
      <c r="AZ52" s="119" t="n"/>
      <c r="BA52" s="119">
        <f>IF($AX52="","",IFERROR(FLOOR(ROUND(VLOOKUP($AX52,DADOS!$CL$5:$CM$10,2,FALSE)*IF($AY52="",1,VLOOKUP($AY52,DADOS!$CO$5:$CP$7,2,FALSE))*IF($AZ52="",1,VLOOKUP($AZ52,DADOS!$CR$5:$CS$9,2,FALSE)),4),12.5),""))</f>
        <v/>
      </c>
      <c r="BB52" s="115" t="n"/>
      <c r="BC52" s="118" t="n"/>
      <c r="BD52" s="118" t="n"/>
      <c r="BE52" s="119" t="n"/>
      <c r="BF52" s="119" t="n"/>
      <c r="BG52" s="119">
        <f>IF($BD52="","",IFERROR(FLOOR(ROUND(VLOOKUP($BD52,DADOS!$CL$5:$CM$10,2,FALSE)*IF($BE52="",1,VLOOKUP($BE52,DADOS!$CO$5:$CP$7,2,FALSE))*IF($BF52="",1,VLOOKUP($BF52,DADOS!$CR$5:$CS$9,2,FALSE)),4),12.5),""))</f>
        <v/>
      </c>
      <c r="BH52" s="115" t="n"/>
      <c r="BI52" s="118" t="n"/>
      <c r="BJ52" s="118" t="n"/>
      <c r="BK52" s="119" t="n"/>
      <c r="BL52" s="119" t="n"/>
      <c r="BM52" s="119">
        <f>IF($BJ52="","",IFERROR(FLOOR(ROUND(VLOOKUP($BJ52,DADOS!$CL$5:$CM$10,2,FALSE)*IF($BK52="",1,VLOOKUP($BK52,DADOS!$CO$5:$CP$7,2,FALSE))*IF($BL52="",1,VLOOKUP($BL52,DADOS!$CR$5:$CS$9,2,FALSE)),4),12.5),""))</f>
        <v/>
      </c>
      <c r="BN52" s="115" t="n"/>
      <c r="BO52" s="118" t="n"/>
      <c r="BP52" s="118" t="n"/>
      <c r="BQ52" s="119" t="n"/>
      <c r="BR52" s="119" t="n"/>
      <c r="BS52" s="119">
        <f>IF($BP52="","",IFERROR(FLOOR(ROUND(VLOOKUP($BP52,DADOS!$CL$5:$CM$10,2,FALSE)*IF($BQ52="",1,VLOOKUP($BQ52,DADOS!$CO$5:$CP$7,2,FALSE))*IF($BR52="",1,VLOOKUP($BR52,DADOS!$CR$5:$CS$9,2,FALSE)),4),12.5),""))</f>
        <v/>
      </c>
      <c r="BT52" s="115" t="n"/>
    </row>
    <row r="53" outlineLevel="1">
      <c r="A53" s="8" t="n"/>
      <c r="B53" s="22" t="n"/>
      <c r="C53" s="115" t="n"/>
      <c r="D53" s="119" t="b">
        <v>0</v>
      </c>
      <c r="E53" s="118" t="inlineStr">
        <is>
          <t>Nodachi</t>
        </is>
      </c>
      <c r="F53" s="11" t="n"/>
      <c r="G53" s="11" t="n"/>
      <c r="H53" s="11" t="n"/>
      <c r="I53" s="11" t="n"/>
      <c r="J53" s="11" t="n"/>
      <c r="K53" s="11" t="n"/>
      <c r="L53" s="12" t="n"/>
      <c r="M53" s="119" t="b">
        <v>0</v>
      </c>
      <c r="N53" s="118" t="inlineStr">
        <is>
          <t>Rifle</t>
        </is>
      </c>
      <c r="O53" s="11" t="n"/>
      <c r="P53" s="11" t="n"/>
      <c r="Q53" s="11" t="n"/>
      <c r="R53" s="11" t="n"/>
      <c r="S53" s="11" t="n"/>
      <c r="T53" s="11" t="n"/>
      <c r="U53" s="12" t="n"/>
      <c r="V53" s="119" t="b">
        <v>0</v>
      </c>
      <c r="W53" s="118" t="inlineStr">
        <is>
          <t>Tonfa</t>
        </is>
      </c>
      <c r="X53" s="11" t="n"/>
      <c r="Y53" s="11" t="n"/>
      <c r="Z53" s="11" t="n"/>
      <c r="AA53" s="11" t="n"/>
      <c r="AB53" s="11" t="n"/>
      <c r="AC53" s="11" t="n"/>
      <c r="AD53" s="12" t="n"/>
      <c r="AE53" s="119" t="b">
        <v>0</v>
      </c>
      <c r="AF53" s="118" t="inlineStr">
        <is>
          <t>Tanto</t>
        </is>
      </c>
      <c r="AG53" s="11" t="n"/>
      <c r="AH53" s="11" t="n"/>
      <c r="AI53" s="11" t="n"/>
      <c r="AJ53" s="11" t="n"/>
      <c r="AK53" s="11" t="n"/>
      <c r="AL53" s="12" t="n"/>
      <c r="AM53" s="119" t="b">
        <v>0</v>
      </c>
      <c r="AN53" s="118" t="inlineStr">
        <is>
          <t>Taco</t>
        </is>
      </c>
      <c r="AO53" s="11" t="n"/>
      <c r="AP53" s="11" t="n"/>
      <c r="AQ53" s="11" t="n"/>
      <c r="AR53" s="11" t="n"/>
      <c r="AS53" s="11" t="n"/>
      <c r="AT53" s="12" t="n"/>
      <c r="AU53" s="115" t="n"/>
      <c r="AV53" s="115" t="n"/>
      <c r="AW53" s="118" t="n"/>
      <c r="AX53" s="118" t="n"/>
      <c r="AY53" s="119" t="n"/>
      <c r="AZ53" s="119" t="n"/>
      <c r="BA53" s="119">
        <f>IF($AX53="","",IFERROR(FLOOR(ROUND(VLOOKUP($AX53,DADOS!$CL$5:$CM$10,2,FALSE)*IF($AY53="",1,VLOOKUP($AY53,DADOS!$CO$5:$CP$7,2,FALSE))*IF($AZ53="",1,VLOOKUP($AZ53,DADOS!$CR$5:$CS$9,2,FALSE)),4),12.5),""))</f>
        <v/>
      </c>
      <c r="BB53" s="115" t="n"/>
      <c r="BC53" s="118" t="n"/>
      <c r="BD53" s="118" t="n"/>
      <c r="BE53" s="119" t="n"/>
      <c r="BF53" s="119" t="n"/>
      <c r="BG53" s="119">
        <f>IF($BD53="","",IFERROR(FLOOR(ROUND(VLOOKUP($BD53,DADOS!$CL$5:$CM$10,2,FALSE)*IF($BE53="",1,VLOOKUP($BE53,DADOS!$CO$5:$CP$7,2,FALSE))*IF($BF53="",1,VLOOKUP($BF53,DADOS!$CR$5:$CS$9,2,FALSE)),4),12.5),""))</f>
        <v/>
      </c>
      <c r="BH53" s="115" t="n"/>
      <c r="BI53" s="118" t="n"/>
      <c r="BJ53" s="118" t="n"/>
      <c r="BK53" s="119" t="n"/>
      <c r="BL53" s="119" t="n"/>
      <c r="BM53" s="119">
        <f>IF($BJ53="","",IFERROR(FLOOR(ROUND(VLOOKUP($BJ53,DADOS!$CL$5:$CM$10,2,FALSE)*IF($BK53="",1,VLOOKUP($BK53,DADOS!$CO$5:$CP$7,2,FALSE))*IF($BL53="",1,VLOOKUP($BL53,DADOS!$CR$5:$CS$9,2,FALSE)),4),12.5),""))</f>
        <v/>
      </c>
      <c r="BN53" s="115" t="n"/>
      <c r="BO53" s="118" t="n"/>
      <c r="BP53" s="118" t="n"/>
      <c r="BQ53" s="119" t="n"/>
      <c r="BR53" s="119" t="n"/>
      <c r="BS53" s="119">
        <f>IF($BP53="","",IFERROR(FLOOR(ROUND(VLOOKUP($BP53,DADOS!$CL$5:$CM$10,2,FALSE)*IF($BQ53="",1,VLOOKUP($BQ53,DADOS!$CO$5:$CP$7,2,FALSE))*IF($BR53="",1,VLOOKUP($BR53,DADOS!$CR$5:$CS$9,2,FALSE)),4),12.5),""))</f>
        <v/>
      </c>
      <c r="BT53" s="115" t="n"/>
    </row>
    <row r="54" outlineLevel="1">
      <c r="A54" s="8" t="n"/>
      <c r="B54" s="22" t="n"/>
      <c r="C54" s="115" t="n"/>
      <c r="D54" s="119" t="b">
        <v>0</v>
      </c>
      <c r="E54" s="118" t="inlineStr">
        <is>
          <t>Odachi</t>
        </is>
      </c>
      <c r="F54" s="11" t="n"/>
      <c r="G54" s="11" t="n"/>
      <c r="H54" s="11" t="n"/>
      <c r="I54" s="11" t="n"/>
      <c r="J54" s="11" t="n"/>
      <c r="K54" s="11" t="n"/>
      <c r="L54" s="12" t="n"/>
      <c r="M54" s="119" t="b">
        <v>0</v>
      </c>
      <c r="N54" s="118" t="inlineStr">
        <is>
          <t>Rifle de Precisão</t>
        </is>
      </c>
      <c r="O54" s="11" t="n"/>
      <c r="P54" s="11" t="n"/>
      <c r="Q54" s="11" t="n"/>
      <c r="R54" s="11" t="n"/>
      <c r="S54" s="11" t="n"/>
      <c r="T54" s="11" t="n"/>
      <c r="U54" s="12" t="n"/>
      <c r="V54" s="52" t="b">
        <v>0</v>
      </c>
      <c r="W54" s="52" t="inlineStr">
        <is>
          <t>CEIFA</t>
        </is>
      </c>
      <c r="X54" s="11" t="n"/>
      <c r="Y54" s="11" t="n"/>
      <c r="Z54" s="11" t="n"/>
      <c r="AA54" s="11" t="n"/>
      <c r="AB54" s="11" t="n"/>
      <c r="AC54" s="11" t="n"/>
      <c r="AD54" s="12" t="n"/>
      <c r="AE54" s="52" t="b">
        <v>0</v>
      </c>
      <c r="AF54" s="52" t="inlineStr">
        <is>
          <t>FLEXÍVEL</t>
        </is>
      </c>
      <c r="AG54" s="11" t="n"/>
      <c r="AH54" s="11" t="n"/>
      <c r="AI54" s="11" t="n"/>
      <c r="AJ54" s="11" t="n"/>
      <c r="AK54" s="11" t="n"/>
      <c r="AL54" s="12" t="n"/>
      <c r="AM54" s="52" t="b">
        <v>0</v>
      </c>
      <c r="AN54" s="52" t="inlineStr">
        <is>
          <t>ARMAS LONGAS</t>
        </is>
      </c>
      <c r="AO54" s="11" t="n"/>
      <c r="AP54" s="11" t="n"/>
      <c r="AQ54" s="11" t="n"/>
      <c r="AR54" s="11" t="n"/>
      <c r="AS54" s="11" t="n"/>
      <c r="AT54" s="12" t="n"/>
      <c r="AU54" s="115" t="n"/>
      <c r="AV54" s="115" t="n"/>
      <c r="AW54" s="118" t="n"/>
      <c r="AX54" s="118" t="n"/>
      <c r="AY54" s="119" t="n"/>
      <c r="AZ54" s="119" t="n"/>
      <c r="BA54" s="119">
        <f>IF($AX54="","",IFERROR(FLOOR(ROUND(VLOOKUP($AX54,DADOS!$CL$5:$CM$10,2,FALSE)*IF($AY54="",1,VLOOKUP($AY54,DADOS!$CO$5:$CP$7,2,FALSE))*IF($AZ54="",1,VLOOKUP($AZ54,DADOS!$CR$5:$CS$9,2,FALSE)),4),12.5),""))</f>
        <v/>
      </c>
      <c r="BB54" s="115" t="n"/>
      <c r="BC54" s="118" t="n"/>
      <c r="BD54" s="118" t="n"/>
      <c r="BE54" s="119" t="n"/>
      <c r="BF54" s="119" t="n"/>
      <c r="BG54" s="119">
        <f>IF($BD54="","",IFERROR(FLOOR(ROUND(VLOOKUP($BD54,DADOS!$CL$5:$CM$10,2,FALSE)*IF($BE54="",1,VLOOKUP($BE54,DADOS!$CO$5:$CP$7,2,FALSE))*IF($BF54="",1,VLOOKUP($BF54,DADOS!$CR$5:$CS$9,2,FALSE)),4),12.5),""))</f>
        <v/>
      </c>
      <c r="BH54" s="115" t="n"/>
      <c r="BI54" s="118" t="n"/>
      <c r="BJ54" s="118" t="n"/>
      <c r="BK54" s="119" t="n"/>
      <c r="BL54" s="119" t="n"/>
      <c r="BM54" s="119">
        <f>IF($BJ54="","",IFERROR(FLOOR(ROUND(VLOOKUP($BJ54,DADOS!$CL$5:$CM$10,2,FALSE)*IF($BK54="",1,VLOOKUP($BK54,DADOS!$CO$5:$CP$7,2,FALSE))*IF($BL54="",1,VLOOKUP($BL54,DADOS!$CR$5:$CS$9,2,FALSE)),4),12.5),""))</f>
        <v/>
      </c>
      <c r="BN54" s="115" t="n"/>
      <c r="BO54" s="118" t="n"/>
      <c r="BP54" s="118" t="n"/>
      <c r="BQ54" s="119" t="n"/>
      <c r="BR54" s="119" t="n"/>
      <c r="BS54" s="119">
        <f>IF($BP54="","",IFERROR(FLOOR(ROUND(VLOOKUP($BP54,DADOS!$CL$5:$CM$10,2,FALSE)*IF($BQ54="",1,VLOOKUP($BQ54,DADOS!$CO$5:$CP$7,2,FALSE))*IF($BR54="",1,VLOOKUP($BR54,DADOS!$CR$5:$CS$9,2,FALSE)),4),12.5),""))</f>
        <v/>
      </c>
      <c r="BT54" s="115" t="n"/>
    </row>
    <row r="55" outlineLevel="1">
      <c r="A55" s="8" t="n"/>
      <c r="B55" s="22" t="n"/>
      <c r="C55" s="115" t="n"/>
      <c r="D55" s="119" t="b">
        <v>0</v>
      </c>
      <c r="E55" s="118" t="inlineStr">
        <is>
          <t>Rapieira</t>
        </is>
      </c>
      <c r="F55" s="11" t="n"/>
      <c r="G55" s="11" t="n"/>
      <c r="H55" s="11" t="n"/>
      <c r="I55" s="11" t="n"/>
      <c r="J55" s="11" t="n"/>
      <c r="K55" s="11" t="n"/>
      <c r="L55" s="12" t="n"/>
      <c r="M55" s="119" t="b">
        <v>0</v>
      </c>
      <c r="N55" s="118" t="inlineStr">
        <is>
          <t>Submetralhadora</t>
        </is>
      </c>
      <c r="O55" s="11" t="n"/>
      <c r="P55" s="11" t="n"/>
      <c r="Q55" s="11" t="n"/>
      <c r="R55" s="11" t="n"/>
      <c r="S55" s="11" t="n"/>
      <c r="T55" s="11" t="n"/>
      <c r="U55" s="12" t="n"/>
      <c r="V55" s="119" t="b">
        <v>0</v>
      </c>
      <c r="W55" s="118" t="inlineStr">
        <is>
          <t>Foice</t>
        </is>
      </c>
      <c r="X55" s="11" t="n"/>
      <c r="Y55" s="11" t="n"/>
      <c r="Z55" s="11" t="n"/>
      <c r="AA55" s="11" t="n"/>
      <c r="AB55" s="11" t="n"/>
      <c r="AC55" s="11" t="n"/>
      <c r="AD55" s="12" t="n"/>
      <c r="AE55" s="119" t="b">
        <v>0</v>
      </c>
      <c r="AF55" s="118" t="inlineStr">
        <is>
          <t>Chicote</t>
        </is>
      </c>
      <c r="AG55" s="11" t="n"/>
      <c r="AH55" s="11" t="n"/>
      <c r="AI55" s="11" t="n"/>
      <c r="AJ55" s="11" t="n"/>
      <c r="AK55" s="11" t="n"/>
      <c r="AL55" s="12" t="n"/>
      <c r="AM55" s="119" t="b">
        <v>0</v>
      </c>
      <c r="AN55" s="118" t="inlineStr">
        <is>
          <t>Lança</t>
        </is>
      </c>
      <c r="AO55" s="11" t="n"/>
      <c r="AP55" s="11" t="n"/>
      <c r="AQ55" s="11" t="n"/>
      <c r="AR55" s="11" t="n"/>
      <c r="AS55" s="11" t="n"/>
      <c r="AT55" s="12" t="n"/>
      <c r="AU55" s="115" t="n"/>
      <c r="AV55" s="115" t="n"/>
      <c r="AW55" s="118" t="n"/>
      <c r="AX55" s="118" t="n"/>
      <c r="AY55" s="119" t="n"/>
      <c r="AZ55" s="119" t="n"/>
      <c r="BA55" s="119">
        <f>IF($AX55="","",IFERROR(FLOOR(ROUND(VLOOKUP($AX55,DADOS!$CL$5:$CM$10,2,FALSE)*IF($AY55="",1,VLOOKUP($AY55,DADOS!$CO$5:$CP$7,2,FALSE))*IF($AZ55="",1,VLOOKUP($AZ55,DADOS!$CR$5:$CS$9,2,FALSE)),4),12.5),""))</f>
        <v/>
      </c>
      <c r="BB55" s="115" t="n"/>
      <c r="BC55" s="118" t="n"/>
      <c r="BD55" s="118" t="n"/>
      <c r="BE55" s="119" t="n"/>
      <c r="BF55" s="119" t="n"/>
      <c r="BG55" s="119">
        <f>IF($BD55="","",IFERROR(FLOOR(ROUND(VLOOKUP($BD55,DADOS!$CL$5:$CM$10,2,FALSE)*IF($BE55="",1,VLOOKUP($BE55,DADOS!$CO$5:$CP$7,2,FALSE))*IF($BF55="",1,VLOOKUP($BF55,DADOS!$CR$5:$CS$9,2,FALSE)),4),12.5),""))</f>
        <v/>
      </c>
      <c r="BH55" s="115" t="n"/>
      <c r="BI55" s="118" t="n"/>
      <c r="BJ55" s="118" t="n"/>
      <c r="BK55" s="119" t="n"/>
      <c r="BL55" s="119" t="n"/>
      <c r="BM55" s="119">
        <f>IF($BJ55="","",IFERROR(FLOOR(ROUND(VLOOKUP($BJ55,DADOS!$CL$5:$CM$10,2,FALSE)*IF($BK55="",1,VLOOKUP($BK55,DADOS!$CO$5:$CP$7,2,FALSE))*IF($BL55="",1,VLOOKUP($BL55,DADOS!$CR$5:$CS$9,2,FALSE)),4),12.5),""))</f>
        <v/>
      </c>
      <c r="BN55" s="115" t="n"/>
      <c r="BO55" s="118" t="n"/>
      <c r="BP55" s="118" t="n"/>
      <c r="BQ55" s="119" t="n"/>
      <c r="BR55" s="119" t="n"/>
      <c r="BS55" s="119">
        <f>IF($BP55="","",IFERROR(FLOOR(ROUND(VLOOKUP($BP55,DADOS!$CL$5:$CM$10,2,FALSE)*IF($BQ55="",1,VLOOKUP($BQ55,DADOS!$CO$5:$CP$7,2,FALSE))*IF($BR55="",1,VLOOKUP($BR55,DADOS!$CR$5:$CS$9,2,FALSE)),4),12.5),""))</f>
        <v/>
      </c>
      <c r="BT55" s="115" t="n"/>
    </row>
    <row r="56" outlineLevel="1">
      <c r="A56" s="8" t="n"/>
      <c r="B56" s="22" t="n"/>
      <c r="C56" s="115" t="n"/>
      <c r="D56" s="119" t="b">
        <v>0</v>
      </c>
      <c r="E56" s="118" t="inlineStr">
        <is>
          <t>Wakizashi</t>
        </is>
      </c>
      <c r="F56" s="11" t="n"/>
      <c r="G56" s="11" t="n"/>
      <c r="H56" s="11" t="n"/>
      <c r="I56" s="11" t="n"/>
      <c r="J56" s="11" t="n"/>
      <c r="K56" s="11" t="n"/>
      <c r="L56" s="12" t="n"/>
      <c r="M56" s="52" t="b">
        <v>0</v>
      </c>
      <c r="N56" s="52" t="inlineStr">
        <is>
          <t>ARREMESSO</t>
        </is>
      </c>
      <c r="O56" s="11" t="n"/>
      <c r="P56" s="11" t="n"/>
      <c r="Q56" s="11" t="n"/>
      <c r="R56" s="11" t="n"/>
      <c r="S56" s="11" t="n"/>
      <c r="T56" s="11" t="n"/>
      <c r="U56" s="12" t="n"/>
      <c r="V56" s="119" t="b">
        <v>0</v>
      </c>
      <c r="W56" s="118" t="inlineStr">
        <is>
          <t>Kama</t>
        </is>
      </c>
      <c r="X56" s="11" t="n"/>
      <c r="Y56" s="11" t="n"/>
      <c r="Z56" s="11" t="n"/>
      <c r="AA56" s="11" t="n"/>
      <c r="AB56" s="11" t="n"/>
      <c r="AC56" s="11" t="n"/>
      <c r="AD56" s="12" t="n"/>
      <c r="AE56" s="119" t="b">
        <v>0</v>
      </c>
      <c r="AF56" s="118" t="inlineStr">
        <is>
          <t>Corrente</t>
        </is>
      </c>
      <c r="AG56" s="11" t="n"/>
      <c r="AH56" s="11" t="n"/>
      <c r="AI56" s="11" t="n"/>
      <c r="AJ56" s="11" t="n"/>
      <c r="AK56" s="11" t="n"/>
      <c r="AL56" s="12" t="n"/>
      <c r="AM56" s="119" t="b">
        <v>0</v>
      </c>
      <c r="AN56" s="118" t="inlineStr">
        <is>
          <t>Naginata</t>
        </is>
      </c>
      <c r="AO56" s="11" t="n"/>
      <c r="AP56" s="11" t="n"/>
      <c r="AQ56" s="11" t="n"/>
      <c r="AR56" s="11" t="n"/>
      <c r="AS56" s="11" t="n"/>
      <c r="AT56" s="12" t="n"/>
      <c r="AU56" s="115" t="n"/>
      <c r="AV56" s="115" t="n"/>
      <c r="AW56" s="118" t="n"/>
      <c r="AX56" s="118" t="n"/>
      <c r="AY56" s="119" t="n"/>
      <c r="AZ56" s="119" t="n"/>
      <c r="BA56" s="119">
        <f>IF($AX56="","",IFERROR(FLOOR(ROUND(VLOOKUP($AX56,DADOS!$CL$5:$CM$10,2,FALSE)*IF($AY56="",1,VLOOKUP($AY56,DADOS!$CO$5:$CP$7,2,FALSE))*IF($AZ56="",1,VLOOKUP($AZ56,DADOS!$CR$5:$CS$9,2,FALSE)),4),12.5),""))</f>
        <v/>
      </c>
      <c r="BB56" s="115" t="n"/>
      <c r="BC56" s="118" t="n"/>
      <c r="BD56" s="118" t="n"/>
      <c r="BE56" s="119" t="n"/>
      <c r="BF56" s="119" t="n"/>
      <c r="BG56" s="119">
        <f>IF($BD56="","",IFERROR(FLOOR(ROUND(VLOOKUP($BD56,DADOS!$CL$5:$CM$10,2,FALSE)*IF($BE56="",1,VLOOKUP($BE56,DADOS!$CO$5:$CP$7,2,FALSE))*IF($BF56="",1,VLOOKUP($BF56,DADOS!$CR$5:$CS$9,2,FALSE)),4),12.5),""))</f>
        <v/>
      </c>
      <c r="BH56" s="115" t="n"/>
      <c r="BI56" s="118" t="n"/>
      <c r="BJ56" s="118" t="n"/>
      <c r="BK56" s="119" t="n"/>
      <c r="BL56" s="119" t="n"/>
      <c r="BM56" s="119">
        <f>IF($BJ56="","",IFERROR(FLOOR(ROUND(VLOOKUP($BJ56,DADOS!$CL$5:$CM$10,2,FALSE)*IF($BK56="",1,VLOOKUP($BK56,DADOS!$CO$5:$CP$7,2,FALSE))*IF($BL56="",1,VLOOKUP($BL56,DADOS!$CR$5:$CS$9,2,FALSE)),4),12.5),""))</f>
        <v/>
      </c>
      <c r="BN56" s="115" t="n"/>
      <c r="BO56" s="118" t="n"/>
      <c r="BP56" s="118" t="n"/>
      <c r="BQ56" s="119" t="n"/>
      <c r="BR56" s="119" t="n"/>
      <c r="BS56" s="119">
        <f>IF($BP56="","",IFERROR(FLOOR(ROUND(VLOOKUP($BP56,DADOS!$CL$5:$CM$10,2,FALSE)*IF($BQ56="",1,VLOOKUP($BQ56,DADOS!$CO$5:$CP$7,2,FALSE))*IF($BR56="",1,VLOOKUP($BR56,DADOS!$CR$5:$CS$9,2,FALSE)),4),12.5),""))</f>
        <v/>
      </c>
      <c r="BT56" s="115" t="n"/>
    </row>
    <row r="57" outlineLevel="1">
      <c r="A57" s="8" t="n"/>
      <c r="B57" s="22" t="n"/>
      <c r="C57" s="115" t="n"/>
      <c r="D57" s="52" t="b">
        <v>0</v>
      </c>
      <c r="E57" s="52" t="inlineStr">
        <is>
          <t>MACHADO</t>
        </is>
      </c>
      <c r="F57" s="11" t="n"/>
      <c r="G57" s="11" t="n"/>
      <c r="H57" s="11" t="n"/>
      <c r="I57" s="11" t="n"/>
      <c r="J57" s="11" t="n"/>
      <c r="K57" s="11" t="n"/>
      <c r="L57" s="12" t="n"/>
      <c r="M57" s="119" t="b">
        <v>0</v>
      </c>
      <c r="N57" s="118" t="inlineStr">
        <is>
          <t>Chakram</t>
        </is>
      </c>
      <c r="O57" s="11" t="n"/>
      <c r="P57" s="11" t="n"/>
      <c r="Q57" s="11" t="n"/>
      <c r="R57" s="11" t="n"/>
      <c r="S57" s="11" t="n"/>
      <c r="T57" s="11" t="n"/>
      <c r="U57" s="12" t="n"/>
      <c r="V57" s="119" t="b">
        <v>0</v>
      </c>
      <c r="W57" s="118" t="inlineStr">
        <is>
          <t>Kusarigama</t>
        </is>
      </c>
      <c r="X57" s="11" t="n"/>
      <c r="Y57" s="11" t="n"/>
      <c r="Z57" s="11" t="n"/>
      <c r="AA57" s="11" t="n"/>
      <c r="AB57" s="11" t="n"/>
      <c r="AC57" s="11" t="n"/>
      <c r="AD57" s="12" t="n"/>
      <c r="AE57" s="119" t="b">
        <v>0</v>
      </c>
      <c r="AF57" s="118" t="inlineStr">
        <is>
          <t>Manriki</t>
        </is>
      </c>
      <c r="AG57" s="11" t="n"/>
      <c r="AH57" s="11" t="n"/>
      <c r="AI57" s="11" t="n"/>
      <c r="AJ57" s="11" t="n"/>
      <c r="AK57" s="11" t="n"/>
      <c r="AL57" s="12" t="n"/>
      <c r="AM57" s="119" t="b">
        <v>0</v>
      </c>
      <c r="AN57" s="118" t="inlineStr">
        <is>
          <t>Yari</t>
        </is>
      </c>
      <c r="AO57" s="11" t="n"/>
      <c r="AP57" s="11" t="n"/>
      <c r="AQ57" s="11" t="n"/>
      <c r="AR57" s="11" t="n"/>
      <c r="AS57" s="11" t="n"/>
      <c r="AT57" s="12" t="n"/>
      <c r="AU57" s="115" t="n"/>
      <c r="AV57" s="115" t="n"/>
      <c r="AW57" s="118" t="n"/>
      <c r="AX57" s="118" t="n"/>
      <c r="AY57" s="119" t="n"/>
      <c r="AZ57" s="119" t="n"/>
      <c r="BA57" s="119">
        <f>IF($AX57="","",IFERROR(FLOOR(ROUND(VLOOKUP($AX57,DADOS!$CL$5:$CM$10,2,FALSE)*IF($AY57="",1,VLOOKUP($AY57,DADOS!$CO$5:$CP$7,2,FALSE))*IF($AZ57="",1,VLOOKUP($AZ57,DADOS!$CR$5:$CS$9,2,FALSE)),4),12.5),""))</f>
        <v/>
      </c>
      <c r="BB57" s="115" t="n"/>
      <c r="BC57" s="118" t="n"/>
      <c r="BD57" s="118" t="n"/>
      <c r="BE57" s="119" t="n"/>
      <c r="BF57" s="119" t="n"/>
      <c r="BG57" s="119">
        <f>IF($BD57="","",IFERROR(FLOOR(ROUND(VLOOKUP($BD57,DADOS!$CL$5:$CM$10,2,FALSE)*IF($BE57="",1,VLOOKUP($BE57,DADOS!$CO$5:$CP$7,2,FALSE))*IF($BF57="",1,VLOOKUP($BF57,DADOS!$CR$5:$CS$9,2,FALSE)),4),12.5),""))</f>
        <v/>
      </c>
      <c r="BH57" s="115" t="n"/>
      <c r="BI57" s="118" t="n"/>
      <c r="BJ57" s="118" t="n"/>
      <c r="BK57" s="119" t="n"/>
      <c r="BL57" s="119" t="n"/>
      <c r="BM57" s="119">
        <f>IF($BJ57="","",IFERROR(FLOOR(ROUND(VLOOKUP($BJ57,DADOS!$CL$5:$CM$10,2,FALSE)*IF($BK57="",1,VLOOKUP($BK57,DADOS!$CO$5:$CP$7,2,FALSE))*IF($BL57="",1,VLOOKUP($BL57,DADOS!$CR$5:$CS$9,2,FALSE)),4),12.5),""))</f>
        <v/>
      </c>
      <c r="BN57" s="115" t="n"/>
      <c r="BO57" s="118" t="n"/>
      <c r="BP57" s="118" t="n"/>
      <c r="BQ57" s="119" t="n"/>
      <c r="BR57" s="119" t="n"/>
      <c r="BS57" s="119">
        <f>IF($BP57="","",IFERROR(FLOOR(ROUND(VLOOKUP($BP57,DADOS!$CL$5:$CM$10,2,FALSE)*IF($BQ57="",1,VLOOKUP($BQ57,DADOS!$CO$5:$CP$7,2,FALSE))*IF($BR57="",1,VLOOKUP($BR57,DADOS!$CR$5:$CS$9,2,FALSE)),4),12.5),""))</f>
        <v/>
      </c>
      <c r="BT57" s="115" t="n"/>
    </row>
    <row r="58" outlineLevel="1">
      <c r="A58" s="8" t="n"/>
      <c r="B58" s="22" t="n"/>
      <c r="C58" s="115" t="n"/>
      <c r="D58" s="119" t="b">
        <v>0</v>
      </c>
      <c r="E58" s="118" t="inlineStr">
        <is>
          <t>Machadinha</t>
        </is>
      </c>
      <c r="F58" s="11" t="n"/>
      <c r="G58" s="11" t="n"/>
      <c r="H58" s="11" t="n"/>
      <c r="I58" s="11" t="n"/>
      <c r="J58" s="11" t="n"/>
      <c r="K58" s="11" t="n"/>
      <c r="L58" s="12" t="n"/>
      <c r="M58" s="119" t="b">
        <v>0</v>
      </c>
      <c r="N58" s="118" t="inlineStr">
        <is>
          <t>Kunai</t>
        </is>
      </c>
      <c r="O58" s="11" t="n"/>
      <c r="P58" s="11" t="n"/>
      <c r="Q58" s="11" t="n"/>
      <c r="R58" s="11" t="n"/>
      <c r="S58" s="11" t="n"/>
      <c r="T58" s="11" t="n"/>
      <c r="U58" s="12" t="n"/>
      <c r="V58" s="52" t="b">
        <v>0</v>
      </c>
      <c r="W58" s="52" t="inlineStr">
        <is>
          <t>BALESTRA</t>
        </is>
      </c>
      <c r="X58" s="11" t="n"/>
      <c r="Y58" s="11" t="n"/>
      <c r="Z58" s="11" t="n"/>
      <c r="AA58" s="11" t="n"/>
      <c r="AB58" s="11" t="n"/>
      <c r="AC58" s="11" t="n"/>
      <c r="AD58" s="12" t="n"/>
      <c r="AE58" s="52" t="b">
        <v>0</v>
      </c>
      <c r="AF58" s="52" t="inlineStr">
        <is>
          <t>MANOPLA</t>
        </is>
      </c>
      <c r="AG58" s="11" t="n"/>
      <c r="AH58" s="11" t="n"/>
      <c r="AI58" s="11" t="n"/>
      <c r="AJ58" s="11" t="n"/>
      <c r="AK58" s="11" t="n"/>
      <c r="AL58" s="12" t="n"/>
      <c r="AM58" s="52" t="b">
        <v>0</v>
      </c>
      <c r="AN58" s="52" t="inlineStr">
        <is>
          <t>YUMI</t>
        </is>
      </c>
      <c r="AO58" s="11" t="n"/>
      <c r="AP58" s="11" t="n"/>
      <c r="AQ58" s="11" t="n"/>
      <c r="AR58" s="11" t="n"/>
      <c r="AS58" s="11" t="n"/>
      <c r="AT58" s="12" t="n"/>
      <c r="AU58" s="115" t="n"/>
      <c r="AV58" s="115" t="n"/>
      <c r="AW58" s="118" t="n"/>
      <c r="AX58" s="118" t="n"/>
      <c r="AY58" s="119" t="n"/>
      <c r="AZ58" s="119" t="n"/>
      <c r="BA58" s="119">
        <f>IF($AX58="","",IFERROR(FLOOR(ROUND(VLOOKUP($AX58,DADOS!$CL$5:$CM$10,2,FALSE)*IF($AY58="",1,VLOOKUP($AY58,DADOS!$CO$5:$CP$7,2,FALSE))*IF($AZ58="",1,VLOOKUP($AZ58,DADOS!$CR$5:$CS$9,2,FALSE)),4),12.5),""))</f>
        <v/>
      </c>
      <c r="BB58" s="115" t="n"/>
      <c r="BC58" s="118" t="n"/>
      <c r="BD58" s="118" t="n"/>
      <c r="BE58" s="119" t="n"/>
      <c r="BF58" s="119" t="n"/>
      <c r="BG58" s="119">
        <f>IF($BD58="","",IFERROR(FLOOR(ROUND(VLOOKUP($BD58,DADOS!$CL$5:$CM$10,2,FALSE)*IF($BE58="",1,VLOOKUP($BE58,DADOS!$CO$5:$CP$7,2,FALSE))*IF($BF58="",1,VLOOKUP($BF58,DADOS!$CR$5:$CS$9,2,FALSE)),4),12.5),""))</f>
        <v/>
      </c>
      <c r="BH58" s="115" t="n"/>
      <c r="BI58" s="118" t="n"/>
      <c r="BJ58" s="118" t="n"/>
      <c r="BK58" s="119" t="n"/>
      <c r="BL58" s="119" t="n"/>
      <c r="BM58" s="119">
        <f>IF($BJ58="","",IFERROR(FLOOR(ROUND(VLOOKUP($BJ58,DADOS!$CL$5:$CM$10,2,FALSE)*IF($BK58="",1,VLOOKUP($BK58,DADOS!$CO$5:$CP$7,2,FALSE))*IF($BL58="",1,VLOOKUP($BL58,DADOS!$CR$5:$CS$9,2,FALSE)),4),12.5),""))</f>
        <v/>
      </c>
      <c r="BN58" s="115" t="n"/>
      <c r="BO58" s="118" t="n"/>
      <c r="BP58" s="118" t="n"/>
      <c r="BQ58" s="119" t="n"/>
      <c r="BR58" s="119" t="n"/>
      <c r="BS58" s="119">
        <f>IF($BP58="","",IFERROR(FLOOR(ROUND(VLOOKUP($BP58,DADOS!$CL$5:$CM$10,2,FALSE)*IF($BQ58="",1,VLOOKUP($BQ58,DADOS!$CO$5:$CP$7,2,FALSE))*IF($BR58="",1,VLOOKUP($BR58,DADOS!$CR$5:$CS$9,2,FALSE)),4),12.5),""))</f>
        <v/>
      </c>
      <c r="BT58" s="115" t="n"/>
    </row>
    <row r="59" outlineLevel="1">
      <c r="A59" s="8" t="n"/>
      <c r="B59" s="22" t="n"/>
      <c r="C59" s="115" t="n"/>
      <c r="D59" s="119" t="b">
        <v>0</v>
      </c>
      <c r="E59" s="118" t="inlineStr">
        <is>
          <t>Machado</t>
        </is>
      </c>
      <c r="F59" s="11" t="n"/>
      <c r="G59" s="11" t="n"/>
      <c r="H59" s="11" t="n"/>
      <c r="I59" s="11" t="n"/>
      <c r="J59" s="11" t="n"/>
      <c r="K59" s="11" t="n"/>
      <c r="L59" s="12" t="n"/>
      <c r="M59" s="119" t="b">
        <v>0</v>
      </c>
      <c r="N59" s="118" t="inlineStr">
        <is>
          <t>Shuriken</t>
        </is>
      </c>
      <c r="O59" s="11" t="n"/>
      <c r="P59" s="11" t="n"/>
      <c r="Q59" s="11" t="n"/>
      <c r="R59" s="11" t="n"/>
      <c r="S59" s="11" t="n"/>
      <c r="T59" s="11" t="n"/>
      <c r="U59" s="12" t="n"/>
      <c r="V59" s="119" t="b">
        <v>0</v>
      </c>
      <c r="W59" s="118" t="inlineStr">
        <is>
          <t>Besta</t>
        </is>
      </c>
      <c r="X59" s="11" t="n"/>
      <c r="Y59" s="11" t="n"/>
      <c r="Z59" s="11" t="n"/>
      <c r="AA59" s="11" t="n"/>
      <c r="AB59" s="11" t="n"/>
      <c r="AC59" s="11" t="n"/>
      <c r="AD59" s="12" t="n"/>
      <c r="AE59" s="119" t="b">
        <v>0</v>
      </c>
      <c r="AF59" s="118" t="inlineStr">
        <is>
          <t>Soqueira</t>
        </is>
      </c>
      <c r="AG59" s="11" t="n"/>
      <c r="AH59" s="11" t="n"/>
      <c r="AI59" s="11" t="n"/>
      <c r="AJ59" s="11" t="n"/>
      <c r="AK59" s="11" t="n"/>
      <c r="AL59" s="12" t="n"/>
      <c r="AM59" s="119" t="b">
        <v>0</v>
      </c>
      <c r="AN59" s="118" t="inlineStr">
        <is>
          <t>Daikyū</t>
        </is>
      </c>
      <c r="AO59" s="11" t="n"/>
      <c r="AP59" s="11" t="n"/>
      <c r="AQ59" s="11" t="n"/>
      <c r="AR59" s="11" t="n"/>
      <c r="AS59" s="11" t="n"/>
      <c r="AT59" s="12" t="n"/>
      <c r="AU59" s="115" t="n"/>
      <c r="AV59" s="115" t="n"/>
      <c r="AW59" s="118" t="n"/>
      <c r="AX59" s="118" t="n"/>
      <c r="AY59" s="119" t="n"/>
      <c r="AZ59" s="119" t="n"/>
      <c r="BA59" s="119">
        <f>IF($AX59="","",IFERROR(FLOOR(ROUND(VLOOKUP($AX59,DADOS!$CL$5:$CM$10,2,FALSE)*IF($AY59="",1,VLOOKUP($AY59,DADOS!$CO$5:$CP$7,2,FALSE))*IF($AZ59="",1,VLOOKUP($AZ59,DADOS!$CR$5:$CS$9,2,FALSE)),4),12.5),""))</f>
        <v/>
      </c>
      <c r="BB59" s="115" t="n"/>
      <c r="BC59" s="118" t="n"/>
      <c r="BD59" s="118" t="n"/>
      <c r="BE59" s="119" t="n"/>
      <c r="BF59" s="119" t="n"/>
      <c r="BG59" s="119">
        <f>IF($BD59="","",IFERROR(FLOOR(ROUND(VLOOKUP($BD59,DADOS!$CL$5:$CM$10,2,FALSE)*IF($BE59="",1,VLOOKUP($BE59,DADOS!$CO$5:$CP$7,2,FALSE))*IF($BF59="",1,VLOOKUP($BF59,DADOS!$CR$5:$CS$9,2,FALSE)),4),12.5),""))</f>
        <v/>
      </c>
      <c r="BH59" s="115" t="n"/>
      <c r="BI59" s="118" t="n"/>
      <c r="BJ59" s="118" t="n"/>
      <c r="BK59" s="119" t="n"/>
      <c r="BL59" s="119" t="n"/>
      <c r="BM59" s="119">
        <f>IF($BJ59="","",IFERROR(FLOOR(ROUND(VLOOKUP($BJ59,DADOS!$CL$5:$CM$10,2,FALSE)*IF($BK59="",1,VLOOKUP($BK59,DADOS!$CO$5:$CP$7,2,FALSE))*IF($BL59="",1,VLOOKUP($BL59,DADOS!$CR$5:$CS$9,2,FALSE)),4),12.5),""))</f>
        <v/>
      </c>
      <c r="BN59" s="115" t="n"/>
      <c r="BO59" s="118" t="n"/>
      <c r="BP59" s="118" t="n"/>
      <c r="BQ59" s="119" t="n"/>
      <c r="BR59" s="119" t="n"/>
      <c r="BS59" s="119">
        <f>IF($BP59="","",IFERROR(FLOOR(ROUND(VLOOKUP($BP59,DADOS!$CL$5:$CM$10,2,FALSE)*IF($BQ59="",1,VLOOKUP($BQ59,DADOS!$CO$5:$CP$7,2,FALSE))*IF($BR59="",1,VLOOKUP($BR59,DADOS!$CR$5:$CS$9,2,FALSE)),4),12.5),""))</f>
        <v/>
      </c>
      <c r="BT59" s="115" t="n"/>
    </row>
    <row r="60" outlineLevel="1">
      <c r="A60" s="8" t="n"/>
      <c r="B60" s="22" t="n"/>
      <c r="C60" s="115" t="n"/>
      <c r="D60" s="119" t="b">
        <v>0</v>
      </c>
      <c r="E60" s="118" t="inlineStr">
        <is>
          <t>Machado de Guerra</t>
        </is>
      </c>
      <c r="F60" s="11" t="n"/>
      <c r="G60" s="11" t="n"/>
      <c r="H60" s="11" t="n"/>
      <c r="I60" s="11" t="n"/>
      <c r="J60" s="11" t="n"/>
      <c r="K60" s="11" t="n"/>
      <c r="L60" s="12" t="n"/>
      <c r="M60" s="119" t="b">
        <v>0</v>
      </c>
      <c r="N60" s="118" t="inlineStr">
        <is>
          <t>Tessen</t>
        </is>
      </c>
      <c r="O60" s="11" t="n"/>
      <c r="P60" s="11" t="n"/>
      <c r="Q60" s="11" t="n"/>
      <c r="R60" s="11" t="n"/>
      <c r="S60" s="11" t="n"/>
      <c r="T60" s="11" t="n"/>
      <c r="U60" s="12" t="n"/>
      <c r="V60" s="119" t="b">
        <v>0</v>
      </c>
      <c r="W60" s="118" t="inlineStr">
        <is>
          <t>Besta de Uma Mão</t>
        </is>
      </c>
      <c r="X60" s="11" t="n"/>
      <c r="Y60" s="11" t="n"/>
      <c r="Z60" s="11" t="n"/>
      <c r="AA60" s="11" t="n"/>
      <c r="AB60" s="11" t="n"/>
      <c r="AC60" s="11" t="n"/>
      <c r="AD60" s="12" t="n"/>
      <c r="AE60" s="119" t="b">
        <v>0</v>
      </c>
      <c r="AF60" s="118" t="inlineStr">
        <is>
          <t>Tekko</t>
        </is>
      </c>
      <c r="AG60" s="11" t="n"/>
      <c r="AH60" s="11" t="n"/>
      <c r="AI60" s="11" t="n"/>
      <c r="AJ60" s="11" t="n"/>
      <c r="AK60" s="11" t="n"/>
      <c r="AL60" s="12" t="n"/>
      <c r="AM60" s="119" t="b">
        <v>0</v>
      </c>
      <c r="AN60" s="118" t="inlineStr">
        <is>
          <t>Hankyū</t>
        </is>
      </c>
      <c r="AO60" s="11" t="n"/>
      <c r="AP60" s="11" t="n"/>
      <c r="AQ60" s="11" t="n"/>
      <c r="AR60" s="11" t="n"/>
      <c r="AS60" s="11" t="n"/>
      <c r="AT60" s="12" t="n"/>
      <c r="AU60" s="115" t="n"/>
      <c r="AV60" s="115" t="n"/>
      <c r="AW60" s="118" t="n"/>
      <c r="AX60" s="118" t="n"/>
      <c r="AY60" s="119" t="n"/>
      <c r="AZ60" s="119" t="n"/>
      <c r="BA60" s="119">
        <f>IF($AX60="","",IFERROR(FLOOR(ROUND(VLOOKUP($AX60,DADOS!$CL$5:$CM$10,2,FALSE)*IF($AY60="",1,VLOOKUP($AY60,DADOS!$CO$5:$CP$7,2,FALSE))*IF($AZ60="",1,VLOOKUP($AZ60,DADOS!$CR$5:$CS$9,2,FALSE)),4),12.5),""))</f>
        <v/>
      </c>
      <c r="BB60" s="115" t="n"/>
      <c r="BC60" s="118" t="n"/>
      <c r="BD60" s="118" t="n"/>
      <c r="BE60" s="119" t="n"/>
      <c r="BF60" s="119" t="n"/>
      <c r="BG60" s="119">
        <f>IF($BD60="","",IFERROR(FLOOR(ROUND(VLOOKUP($BD60,DADOS!$CL$5:$CM$10,2,FALSE)*IF($BE60="",1,VLOOKUP($BE60,DADOS!$CO$5:$CP$7,2,FALSE))*IF($BF60="",1,VLOOKUP($BF60,DADOS!$CR$5:$CS$9,2,FALSE)),4),12.5),""))</f>
        <v/>
      </c>
      <c r="BH60" s="115" t="n"/>
      <c r="BI60" s="118" t="n"/>
      <c r="BJ60" s="118" t="n"/>
      <c r="BK60" s="119" t="n"/>
      <c r="BL60" s="119" t="n"/>
      <c r="BM60" s="119">
        <f>IF($BJ60="","",IFERROR(FLOOR(ROUND(VLOOKUP($BJ60,DADOS!$CL$5:$CM$10,2,FALSE)*IF($BK60="",1,VLOOKUP($BK60,DADOS!$CO$5:$CP$7,2,FALSE))*IF($BL60="",1,VLOOKUP($BL60,DADOS!$CR$5:$CS$9,2,FALSE)),4),12.5),""))</f>
        <v/>
      </c>
      <c r="BN60" s="115" t="n"/>
      <c r="BO60" s="118" t="n"/>
      <c r="BP60" s="118" t="n"/>
      <c r="BQ60" s="119" t="n"/>
      <c r="BR60" s="119" t="n"/>
      <c r="BS60" s="119">
        <f>IF($BP60="","",IFERROR(FLOOR(ROUND(VLOOKUP($BP60,DADOS!$CL$5:$CM$10,2,FALSE)*IF($BQ60="",1,VLOOKUP($BQ60,DADOS!$CO$5:$CP$7,2,FALSE))*IF($BR60="",1,VLOOKUP($BR60,DADOS!$CR$5:$CS$9,2,FALSE)),4),12.5),""))</f>
        <v/>
      </c>
      <c r="BT60" s="115" t="n"/>
    </row>
    <row r="61">
      <c r="A61" s="8" t="n"/>
      <c r="B61" s="22" t="n"/>
      <c r="C61" s="115" t="n"/>
      <c r="D61" s="115" t="n"/>
      <c r="E61" s="115" t="n"/>
      <c r="F61" s="115" t="n"/>
      <c r="G61" s="115" t="n"/>
      <c r="H61" s="115" t="n"/>
      <c r="I61" s="115" t="n"/>
      <c r="J61" s="115" t="n"/>
      <c r="K61" s="115" t="n"/>
      <c r="L61" s="115" t="n"/>
      <c r="M61" s="115" t="n"/>
      <c r="N61" s="115" t="n"/>
      <c r="O61" s="115" t="n"/>
      <c r="P61" s="115" t="n"/>
      <c r="Q61" s="115" t="n"/>
      <c r="R61" s="115" t="n"/>
      <c r="S61" s="115" t="n"/>
      <c r="T61" s="115" t="n"/>
      <c r="U61" s="115" t="n"/>
      <c r="V61" s="115" t="n"/>
      <c r="W61" s="115" t="n"/>
      <c r="X61" s="115" t="n"/>
      <c r="Y61" s="115" t="n"/>
      <c r="Z61" s="115" t="n"/>
      <c r="AA61" s="115" t="n"/>
      <c r="AB61" s="115" t="n"/>
      <c r="AC61" s="115" t="n"/>
      <c r="AD61" s="115" t="n"/>
      <c r="AE61" s="115" t="n"/>
      <c r="AF61" s="115" t="n"/>
      <c r="AG61" s="115" t="n"/>
      <c r="AH61" s="115" t="n"/>
      <c r="AI61" s="115" t="n"/>
      <c r="AJ61" s="115" t="n"/>
      <c r="AK61" s="115" t="n"/>
      <c r="AL61" s="115" t="n"/>
      <c r="AM61" s="115" t="n"/>
      <c r="AN61" s="115" t="n"/>
      <c r="AO61" s="115" t="n"/>
      <c r="AP61" s="115" t="n"/>
      <c r="AQ61" s="115" t="n"/>
      <c r="AR61" s="115" t="n"/>
      <c r="AS61" s="115" t="n"/>
      <c r="AT61" s="115" t="n"/>
      <c r="AU61" s="115" t="n"/>
      <c r="AV61" s="115" t="n"/>
      <c r="AW61" s="118" t="n"/>
      <c r="AX61" s="118" t="n"/>
      <c r="AY61" s="119" t="n"/>
      <c r="AZ61" s="119" t="n"/>
      <c r="BA61" s="119">
        <f>IF($AX61="","",IFERROR(FLOOR(ROUND(VLOOKUP($AX61,DADOS!$CL$5:$CM$10,2,FALSE)*IF($AY61="",1,VLOOKUP($AY61,DADOS!$CO$5:$CP$7,2,FALSE))*IF($AZ61="",1,VLOOKUP($AZ61,DADOS!$CR$5:$CS$9,2,FALSE)),4),12.5),""))</f>
        <v/>
      </c>
      <c r="BB61" s="115" t="n"/>
      <c r="BC61" s="118" t="n"/>
      <c r="BD61" s="118" t="n"/>
      <c r="BE61" s="119" t="n"/>
      <c r="BF61" s="119" t="n"/>
      <c r="BG61" s="119">
        <f>IF($BD61="","",IFERROR(FLOOR(ROUND(VLOOKUP($BD61,DADOS!$CL$5:$CM$10,2,FALSE)*IF($BE61="",1,VLOOKUP($BE61,DADOS!$CO$5:$CP$7,2,FALSE))*IF($BF61="",1,VLOOKUP($BF61,DADOS!$CR$5:$CS$9,2,FALSE)),4),12.5),""))</f>
        <v/>
      </c>
      <c r="BH61" s="115" t="n"/>
      <c r="BI61" s="118" t="n"/>
      <c r="BJ61" s="118" t="n"/>
      <c r="BK61" s="119" t="n"/>
      <c r="BL61" s="119" t="n"/>
      <c r="BM61" s="119">
        <f>IF($BJ61="","",IFERROR(FLOOR(ROUND(VLOOKUP($BJ61,DADOS!$CL$5:$CM$10,2,FALSE)*IF($BK61="",1,VLOOKUP($BK61,DADOS!$CO$5:$CP$7,2,FALSE))*IF($BL61="",1,VLOOKUP($BL61,DADOS!$CR$5:$CS$9,2,FALSE)),4),12.5),""))</f>
        <v/>
      </c>
      <c r="BN61" s="115" t="n"/>
      <c r="BO61" s="118" t="n"/>
      <c r="BP61" s="118" t="n"/>
      <c r="BQ61" s="119" t="n"/>
      <c r="BR61" s="119" t="n"/>
      <c r="BS61" s="119">
        <f>IF($BP61="","",IFERROR(FLOOR(ROUND(VLOOKUP($BP61,DADOS!$CL$5:$CM$10,2,FALSE)*IF($BQ61="",1,VLOOKUP($BQ61,DADOS!$CO$5:$CP$7,2,FALSE))*IF($BR61="",1,VLOOKUP($BR61,DADOS!$CR$5:$CS$9,2,FALSE)),4),12.5),""))</f>
        <v/>
      </c>
      <c r="BT61" s="115" t="n"/>
    </row>
    <row r="62">
      <c r="A62" s="8" t="n"/>
      <c r="B62" s="22" t="n"/>
      <c r="C62" s="115" t="n"/>
      <c r="D62" s="52" t="inlineStr">
        <is>
          <t>CARGA · LIMITE 5 + FORÇA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2" t="n"/>
      <c r="N62" s="115" t="n"/>
      <c r="O62" s="52" t="inlineStr">
        <is>
          <t>IENES</t>
        </is>
      </c>
      <c r="P62" s="11" t="n"/>
      <c r="Q62" s="11" t="n"/>
      <c r="R62" s="11" t="n"/>
      <c r="S62" s="11" t="n"/>
      <c r="T62" s="11" t="n"/>
      <c r="U62" s="12" t="n"/>
      <c r="V62" s="115" t="n"/>
      <c r="W62" s="52" t="inlineStr">
        <is>
          <t>SALÁRIO POR MÊS</t>
        </is>
      </c>
      <c r="X62" s="11" t="n"/>
      <c r="Y62" s="11" t="n"/>
      <c r="Z62" s="11" t="n"/>
      <c r="AA62" s="11" t="n"/>
      <c r="AB62" s="11" t="n"/>
      <c r="AC62" s="11" t="n"/>
      <c r="AD62" s="12" t="n"/>
      <c r="AE62" s="115" t="n"/>
      <c r="AF62" s="52" t="inlineStr">
        <is>
          <t>REQUISITO DE FORÇA</t>
        </is>
      </c>
      <c r="AG62" s="11" t="n"/>
      <c r="AH62" s="11" t="n"/>
      <c r="AI62" s="11" t="n"/>
      <c r="AJ62" s="11" t="n"/>
      <c r="AK62" s="11" t="n"/>
      <c r="AL62" s="12" t="n"/>
      <c r="AM62" s="115" t="n"/>
      <c r="AN62" s="52" t="inlineStr">
        <is>
          <t>SITUAÇÃO DO TRAJE</t>
        </is>
      </c>
      <c r="AO62" s="11" t="n"/>
      <c r="AP62" s="11" t="n"/>
      <c r="AQ62" s="11" t="n"/>
      <c r="AR62" s="11" t="n"/>
      <c r="AS62" s="11" t="n"/>
      <c r="AT62" s="12" t="n"/>
      <c r="AU62" s="115" t="n"/>
      <c r="AV62" s="115" t="n"/>
      <c r="AW62" s="118" t="n"/>
      <c r="AX62" s="118" t="n"/>
      <c r="AY62" s="119" t="n"/>
      <c r="AZ62" s="119" t="n"/>
      <c r="BA62" s="119">
        <f>IF($AX62="","",IFERROR(FLOOR(ROUND(VLOOKUP($AX62,DADOS!$CL$5:$CM$10,2,FALSE)*IF($AY62="",1,VLOOKUP($AY62,DADOS!$CO$5:$CP$7,2,FALSE))*IF($AZ62="",1,VLOOKUP($AZ62,DADOS!$CR$5:$CS$9,2,FALSE)),4),12.5),""))</f>
        <v/>
      </c>
      <c r="BB62" s="115" t="n"/>
      <c r="BC62" s="118" t="n"/>
      <c r="BD62" s="118" t="n"/>
      <c r="BE62" s="119" t="n"/>
      <c r="BF62" s="119" t="n"/>
      <c r="BG62" s="119">
        <f>IF($BD62="","",IFERROR(FLOOR(ROUND(VLOOKUP($BD62,DADOS!$CL$5:$CM$10,2,FALSE)*IF($BE62="",1,VLOOKUP($BE62,DADOS!$CO$5:$CP$7,2,FALSE))*IF($BF62="",1,VLOOKUP($BF62,DADOS!$CR$5:$CS$9,2,FALSE)),4),12.5),""))</f>
        <v/>
      </c>
      <c r="BH62" s="115" t="n"/>
      <c r="BI62" s="118" t="n"/>
      <c r="BJ62" s="118" t="n"/>
      <c r="BK62" s="119" t="n"/>
      <c r="BL62" s="119" t="n"/>
      <c r="BM62" s="119">
        <f>IF($BJ62="","",IFERROR(FLOOR(ROUND(VLOOKUP($BJ62,DADOS!$CL$5:$CM$10,2,FALSE)*IF($BK62="",1,VLOOKUP($BK62,DADOS!$CO$5:$CP$7,2,FALSE))*IF($BL62="",1,VLOOKUP($BL62,DADOS!$CR$5:$CS$9,2,FALSE)),4),12.5),""))</f>
        <v/>
      </c>
      <c r="BN62" s="115" t="n"/>
      <c r="BO62" s="118" t="n"/>
      <c r="BP62" s="118" t="n"/>
      <c r="BQ62" s="119" t="n"/>
      <c r="BR62" s="119" t="n"/>
      <c r="BS62" s="119">
        <f>IF($BP62="","",IFERROR(FLOOR(ROUND(VLOOKUP($BP62,DADOS!$CL$5:$CM$10,2,FALSE)*IF($BQ62="",1,VLOOKUP($BQ62,DADOS!$CO$5:$CP$7,2,FALSE))*IF($BR62="",1,VLOOKUP($BR62,DADOS!$CR$5:$CS$9,2,FALSE)),4),12.5),""))</f>
        <v/>
      </c>
      <c r="BT62" s="115" t="n"/>
    </row>
    <row r="63">
      <c r="A63" s="8" t="n"/>
      <c r="B63" s="22" t="n"/>
      <c r="C63" s="115" t="n"/>
      <c r="D63" s="89">
        <f>DADOS!$CZ$38&amp;" de "&amp;DADOS!$CZ$39&amp;IF(DADOS!$CZ$40=1," · acima","")</f>
        <v/>
      </c>
      <c r="E63" s="14" t="n"/>
      <c r="F63" s="14" t="n"/>
      <c r="G63" s="14" t="n"/>
      <c r="H63" s="15" t="n"/>
      <c r="I63" s="118">
        <f>IFERROR(SPARKLINE(MIN(DADOS!$CZ$38,DADOS!$CZ$39),{"charttype","bar";"max",DADOS!$CZ$39;"color1",IF(DADOS!$CZ$40=1,"#C2334D",DADOS!$CZ$46)}),"")</f>
        <v/>
      </c>
      <c r="J63" s="14" t="n"/>
      <c r="K63" s="14" t="n"/>
      <c r="L63" s="14" t="n"/>
      <c r="M63" s="15" t="n"/>
      <c r="N63" s="115" t="n"/>
      <c r="O63" s="122" t="n">
        <v>150000</v>
      </c>
      <c r="P63" s="14" t="n"/>
      <c r="Q63" s="14" t="n"/>
      <c r="R63" s="14" t="n"/>
      <c r="S63" s="14" t="n"/>
      <c r="T63" s="14" t="n"/>
      <c r="U63" s="15" t="n"/>
      <c r="V63" s="115" t="n"/>
      <c r="W63" s="89">
        <f>IFERROR(VLOOKUP($AB$11,DADOS!$CF$5:$CH$9,2,FALSE),"—")</f>
        <v/>
      </c>
      <c r="X63" s="14" t="n"/>
      <c r="Y63" s="14" t="n"/>
      <c r="Z63" s="14" t="n"/>
      <c r="AA63" s="14" t="n"/>
      <c r="AB63" s="14" t="n"/>
      <c r="AC63" s="14" t="n"/>
      <c r="AD63" s="15" t="n"/>
      <c r="AE63" s="115" t="n"/>
      <c r="AF63" s="80">
        <f>IF(DADOS!$CZ$34+DADOS!$CZ$35+DADOS!$CZ$36=0,"Cumprido","Não cumprido")</f>
        <v/>
      </c>
      <c r="AG63" s="14" t="n"/>
      <c r="AH63" s="14" t="n"/>
      <c r="AI63" s="14" t="n"/>
      <c r="AJ63" s="14" t="n"/>
      <c r="AK63" s="14" t="n"/>
      <c r="AL63" s="15" t="n"/>
      <c r="AM63" s="115" t="n"/>
      <c r="AN63" s="80" t="n"/>
      <c r="AO63" s="14" t="n"/>
      <c r="AP63" s="14" t="n"/>
      <c r="AQ63" s="14" t="n"/>
      <c r="AR63" s="14" t="n"/>
      <c r="AS63" s="14" t="n"/>
      <c r="AT63" s="15" t="n"/>
      <c r="AU63" s="115" t="n"/>
      <c r="AV63" s="115" t="n"/>
      <c r="AW63" s="118" t="n"/>
      <c r="AX63" s="118" t="n"/>
      <c r="AY63" s="119" t="n"/>
      <c r="AZ63" s="119" t="n"/>
      <c r="BA63" s="119">
        <f>IF($AX63="","",IFERROR(FLOOR(ROUND(VLOOKUP($AX63,DADOS!$CL$5:$CM$10,2,FALSE)*IF($AY63="",1,VLOOKUP($AY63,DADOS!$CO$5:$CP$7,2,FALSE))*IF($AZ63="",1,VLOOKUP($AZ63,DADOS!$CR$5:$CS$9,2,FALSE)),4),12.5),""))</f>
        <v/>
      </c>
      <c r="BB63" s="115" t="n"/>
      <c r="BC63" s="118" t="n"/>
      <c r="BD63" s="118" t="n"/>
      <c r="BE63" s="119" t="n"/>
      <c r="BF63" s="119" t="n"/>
      <c r="BG63" s="119">
        <f>IF($BD63="","",IFERROR(FLOOR(ROUND(VLOOKUP($BD63,DADOS!$CL$5:$CM$10,2,FALSE)*IF($BE63="",1,VLOOKUP($BE63,DADOS!$CO$5:$CP$7,2,FALSE))*IF($BF63="",1,VLOOKUP($BF63,DADOS!$CR$5:$CS$9,2,FALSE)),4),12.5),""))</f>
        <v/>
      </c>
      <c r="BH63" s="115" t="n"/>
      <c r="BI63" s="118" t="n"/>
      <c r="BJ63" s="118" t="n"/>
      <c r="BK63" s="119" t="n"/>
      <c r="BL63" s="119" t="n"/>
      <c r="BM63" s="119">
        <f>IF($BJ63="","",IFERROR(FLOOR(ROUND(VLOOKUP($BJ63,DADOS!$CL$5:$CM$10,2,FALSE)*IF($BK63="",1,VLOOKUP($BK63,DADOS!$CO$5:$CP$7,2,FALSE))*IF($BL63="",1,VLOOKUP($BL63,DADOS!$CR$5:$CS$9,2,FALSE)),4),12.5),""))</f>
        <v/>
      </c>
      <c r="BN63" s="115" t="n"/>
      <c r="BO63" s="118" t="n"/>
      <c r="BP63" s="118" t="n"/>
      <c r="BQ63" s="119" t="n"/>
      <c r="BR63" s="119" t="n"/>
      <c r="BS63" s="119">
        <f>IF($BP63="","",IFERROR(FLOOR(ROUND(VLOOKUP($BP63,DADOS!$CL$5:$CM$10,2,FALSE)*IF($BQ63="",1,VLOOKUP($BQ63,DADOS!$CO$5:$CP$7,2,FALSE))*IF($BR63="",1,VLOOKUP($BR63,DADOS!$CR$5:$CS$9,2,FALSE)),4),12.5),""))</f>
        <v/>
      </c>
      <c r="BT63" s="115" t="n"/>
    </row>
    <row r="64">
      <c r="A64" s="8" t="n"/>
      <c r="B64" s="22" t="n"/>
      <c r="C64" s="115" t="n"/>
      <c r="D64" s="18" t="n"/>
      <c r="E64" s="19" t="n"/>
      <c r="F64" s="19" t="n"/>
      <c r="G64" s="19" t="n"/>
      <c r="H64" s="20" t="n"/>
      <c r="I64" s="18" t="n"/>
      <c r="J64" s="19" t="n"/>
      <c r="K64" s="19" t="n"/>
      <c r="L64" s="19" t="n"/>
      <c r="M64" s="20" t="n"/>
      <c r="N64" s="115" t="n"/>
      <c r="O64" s="18" t="n"/>
      <c r="P64" s="19" t="n"/>
      <c r="Q64" s="19" t="n"/>
      <c r="R64" s="19" t="n"/>
      <c r="S64" s="19" t="n"/>
      <c r="T64" s="19" t="n"/>
      <c r="U64" s="20" t="n"/>
      <c r="V64" s="115" t="n"/>
      <c r="W64" s="18" t="n"/>
      <c r="X64" s="19" t="n"/>
      <c r="Y64" s="19" t="n"/>
      <c r="Z64" s="19" t="n"/>
      <c r="AA64" s="19" t="n"/>
      <c r="AB64" s="19" t="n"/>
      <c r="AC64" s="19" t="n"/>
      <c r="AD64" s="20" t="n"/>
      <c r="AE64" s="115" t="n"/>
      <c r="AF64" s="18" t="n"/>
      <c r="AG64" s="19" t="n"/>
      <c r="AH64" s="19" t="n"/>
      <c r="AI64" s="19" t="n"/>
      <c r="AJ64" s="19" t="n"/>
      <c r="AK64" s="19" t="n"/>
      <c r="AL64" s="20" t="n"/>
      <c r="AM64" s="115" t="n"/>
      <c r="AN64" s="18" t="n"/>
      <c r="AO64" s="19" t="n"/>
      <c r="AP64" s="19" t="n"/>
      <c r="AQ64" s="19" t="n"/>
      <c r="AR64" s="19" t="n"/>
      <c r="AS64" s="19" t="n"/>
      <c r="AT64" s="20" t="n"/>
      <c r="AU64" s="115" t="n"/>
      <c r="AV64" s="115" t="n"/>
      <c r="AW64" s="118" t="n"/>
      <c r="AX64" s="118" t="n"/>
      <c r="AY64" s="119" t="n"/>
      <c r="AZ64" s="119" t="n"/>
      <c r="BA64" s="119">
        <f>IF($AX64="","",IFERROR(FLOOR(ROUND(VLOOKUP($AX64,DADOS!$CL$5:$CM$10,2,FALSE)*IF($AY64="",1,VLOOKUP($AY64,DADOS!$CO$5:$CP$7,2,FALSE))*IF($AZ64="",1,VLOOKUP($AZ64,DADOS!$CR$5:$CS$9,2,FALSE)),4),12.5),""))</f>
        <v/>
      </c>
      <c r="BB64" s="115" t="n"/>
      <c r="BC64" s="118" t="n"/>
      <c r="BD64" s="118" t="n"/>
      <c r="BE64" s="119" t="n"/>
      <c r="BF64" s="119" t="n"/>
      <c r="BG64" s="119">
        <f>IF($BD64="","",IFERROR(FLOOR(ROUND(VLOOKUP($BD64,DADOS!$CL$5:$CM$10,2,FALSE)*IF($BE64="",1,VLOOKUP($BE64,DADOS!$CO$5:$CP$7,2,FALSE))*IF($BF64="",1,VLOOKUP($BF64,DADOS!$CR$5:$CS$9,2,FALSE)),4),12.5),""))</f>
        <v/>
      </c>
      <c r="BH64" s="115" t="n"/>
      <c r="BI64" s="118" t="n"/>
      <c r="BJ64" s="118" t="n"/>
      <c r="BK64" s="119" t="n"/>
      <c r="BL64" s="119" t="n"/>
      <c r="BM64" s="119">
        <f>IF($BJ64="","",IFERROR(FLOOR(ROUND(VLOOKUP($BJ64,DADOS!$CL$5:$CM$10,2,FALSE)*IF($BK64="",1,VLOOKUP($BK64,DADOS!$CO$5:$CP$7,2,FALSE))*IF($BL64="",1,VLOOKUP($BL64,DADOS!$CR$5:$CS$9,2,FALSE)),4),12.5),""))</f>
        <v/>
      </c>
      <c r="BN64" s="115" t="n"/>
      <c r="BO64" s="118" t="n"/>
      <c r="BP64" s="118" t="n"/>
      <c r="BQ64" s="119" t="n"/>
      <c r="BR64" s="119" t="n"/>
      <c r="BS64" s="119">
        <f>IF($BP64="","",IFERROR(FLOOR(ROUND(VLOOKUP($BP64,DADOS!$CL$5:$CM$10,2,FALSE)*IF($BQ64="",1,VLOOKUP($BQ64,DADOS!$CO$5:$CP$7,2,FALSE))*IF($BR64="",1,VLOOKUP($BR64,DADOS!$CR$5:$CS$9,2,FALSE)),4),12.5),""))</f>
        <v/>
      </c>
      <c r="BT64" s="115" t="n"/>
    </row>
    <row r="65">
      <c r="A65" s="8" t="n"/>
      <c r="B65" s="22" t="n"/>
      <c r="C65" s="115" t="n"/>
      <c r="D65" s="115" t="n"/>
      <c r="E65" s="115" t="n"/>
      <c r="F65" s="115" t="n"/>
      <c r="G65" s="115" t="n"/>
      <c r="H65" s="115" t="n"/>
      <c r="I65" s="115" t="n"/>
      <c r="J65" s="115" t="n"/>
      <c r="K65" s="115" t="n"/>
      <c r="L65" s="115" t="n"/>
      <c r="M65" s="115" t="n"/>
      <c r="N65" s="115" t="n"/>
      <c r="O65" s="115" t="n"/>
      <c r="P65" s="115" t="n"/>
      <c r="Q65" s="115" t="n"/>
      <c r="R65" s="115" t="n"/>
      <c r="S65" s="115" t="n"/>
      <c r="T65" s="115" t="n"/>
      <c r="U65" s="115" t="n"/>
      <c r="V65" s="115" t="n"/>
      <c r="W65" s="115" t="n"/>
      <c r="X65" s="115" t="n"/>
      <c r="Y65" s="115" t="n"/>
      <c r="Z65" s="115" t="n"/>
      <c r="AA65" s="115" t="n"/>
      <c r="AB65" s="115" t="n"/>
      <c r="AC65" s="115" t="n"/>
      <c r="AD65" s="115" t="n"/>
      <c r="AE65" s="115" t="n"/>
      <c r="AF65" s="115" t="n"/>
      <c r="AG65" s="115" t="n"/>
      <c r="AH65" s="115" t="n"/>
      <c r="AI65" s="115" t="n"/>
      <c r="AJ65" s="115" t="n"/>
      <c r="AK65" s="115" t="n"/>
      <c r="AL65" s="115" t="n"/>
      <c r="AM65" s="115" t="n"/>
      <c r="AN65" s="115" t="n"/>
      <c r="AO65" s="115" t="n"/>
      <c r="AP65" s="115" t="n"/>
      <c r="AQ65" s="115" t="n"/>
      <c r="AR65" s="115" t="n"/>
      <c r="AS65" s="115" t="n"/>
      <c r="AT65" s="115" t="n"/>
      <c r="AU65" s="115" t="n"/>
      <c r="AV65" s="115" t="n"/>
      <c r="AW65" s="115" t="n"/>
      <c r="AX65" s="115" t="n"/>
      <c r="AY65" s="115" t="n"/>
      <c r="AZ65" s="115" t="n"/>
      <c r="BA65" s="115" t="n"/>
      <c r="BB65" s="115" t="n"/>
      <c r="BC65" s="115" t="n"/>
      <c r="BD65" s="115" t="n"/>
      <c r="BE65" s="115" t="n"/>
      <c r="BF65" s="115" t="n"/>
      <c r="BG65" s="115" t="n"/>
      <c r="BH65" s="115" t="n"/>
      <c r="BI65" s="115" t="n"/>
      <c r="BJ65" s="115" t="n"/>
      <c r="BK65" s="115" t="n"/>
      <c r="BL65" s="115" t="n"/>
      <c r="BM65" s="115" t="n"/>
      <c r="BN65" s="115" t="n"/>
      <c r="BO65" s="115" t="n"/>
      <c r="BP65" s="115" t="n"/>
      <c r="BQ65" s="115" t="n"/>
      <c r="BR65" s="115" t="n"/>
      <c r="BS65" s="115" t="n"/>
      <c r="BT65" s="115" t="n"/>
    </row>
    <row r="66">
      <c r="A66" s="8" t="n"/>
      <c r="B66" s="22" t="n"/>
      <c r="C66" s="115" t="n"/>
      <c r="D66" s="116" t="inlineStr">
        <is>
          <t>EQUIPÁVEIS GUARDADOS</t>
        </is>
      </c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  <c r="AE66" s="14" t="n"/>
      <c r="AF66" s="14" t="n"/>
      <c r="AG66" s="14" t="n"/>
      <c r="AH66" s="14" t="n"/>
      <c r="AI66" s="14" t="n"/>
      <c r="AJ66" s="14" t="n"/>
      <c r="AK66" s="14" t="n"/>
      <c r="AL66" s="14" t="n"/>
      <c r="AM66" s="14" t="n"/>
      <c r="AN66" s="14" t="n"/>
      <c r="AO66" s="14" t="n"/>
      <c r="AP66" s="14" t="n"/>
      <c r="AQ66" s="14" t="n"/>
      <c r="AR66" s="14" t="n"/>
      <c r="AS66" s="14" t="n"/>
      <c r="AT66" s="15" t="n"/>
      <c r="AU66" s="115" t="n"/>
      <c r="AV66" s="115" t="n"/>
      <c r="AW66" s="116" t="inlineStr">
        <is>
          <t>NÍVEIS</t>
        </is>
      </c>
      <c r="AX66" s="14" t="n"/>
      <c r="AY66" s="14" t="n"/>
      <c r="AZ66" s="14" t="n"/>
      <c r="BA66" s="14" t="n"/>
      <c r="BB66" s="14" t="n"/>
      <c r="BC66" s="14" t="n"/>
      <c r="BD66" s="14" t="n"/>
      <c r="BE66" s="14" t="n"/>
      <c r="BF66" s="14" t="n"/>
      <c r="BG66" s="15" t="n"/>
      <c r="BH66" s="115" t="n"/>
      <c r="BI66" s="115" t="n"/>
      <c r="BJ66" s="115" t="n"/>
      <c r="BK66" s="115" t="n"/>
      <c r="BL66" s="115" t="n"/>
      <c r="BM66" s="115" t="n"/>
      <c r="BN66" s="115" t="n"/>
      <c r="BO66" s="115" t="n"/>
      <c r="BP66" s="115" t="n"/>
      <c r="BQ66" s="115" t="n"/>
      <c r="BR66" s="115" t="n"/>
      <c r="BS66" s="115" t="n"/>
      <c r="BT66" s="115" t="n"/>
    </row>
    <row r="67">
      <c r="A67" s="8" t="n"/>
      <c r="B67" s="22" t="n"/>
      <c r="C67" s="115" t="n"/>
      <c r="D67" s="18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20" t="n"/>
      <c r="AU67" s="115" t="n"/>
      <c r="AV67" s="115" t="n"/>
      <c r="AW67" s="18" t="n"/>
      <c r="AX67" s="19" t="n"/>
      <c r="AY67" s="19" t="n"/>
      <c r="AZ67" s="19" t="n"/>
      <c r="BA67" s="19" t="n"/>
      <c r="BB67" s="19" t="n"/>
      <c r="BC67" s="19" t="n"/>
      <c r="BD67" s="19" t="n"/>
      <c r="BE67" s="19" t="n"/>
      <c r="BF67" s="19" t="n"/>
      <c r="BG67" s="20" t="n"/>
      <c r="BH67" s="115" t="n"/>
      <c r="BI67" s="115" t="n"/>
      <c r="BJ67" s="115" t="n"/>
      <c r="BK67" s="115" t="n"/>
      <c r="BL67" s="115" t="n"/>
      <c r="BM67" s="115" t="n"/>
      <c r="BN67" s="115" t="n"/>
      <c r="BO67" s="115" t="n"/>
      <c r="BP67" s="115" t="n"/>
      <c r="BQ67" s="115" t="n"/>
      <c r="BR67" s="115" t="n"/>
      <c r="BS67" s="115" t="n"/>
      <c r="BT67" s="115" t="n"/>
    </row>
    <row r="68">
      <c r="A68" s="8" t="n"/>
      <c r="B68" s="22" t="n"/>
      <c r="C68" s="115" t="n"/>
      <c r="D68" s="52" t="inlineStr">
        <is>
          <t>EQUIPÁVEL</t>
        </is>
      </c>
      <c r="E68" s="11" t="n"/>
      <c r="F68" s="11" t="n"/>
      <c r="G68" s="11" t="n"/>
      <c r="H68" s="11" t="n"/>
      <c r="I68" s="11" t="n"/>
      <c r="J68" s="12" t="n"/>
      <c r="K68" s="52" t="inlineStr">
        <is>
          <t>QTD.</t>
        </is>
      </c>
      <c r="L68" s="12" t="n"/>
      <c r="M68" s="52" t="inlineStr">
        <is>
          <t>CATEGORIA</t>
        </is>
      </c>
      <c r="N68" s="11" t="n"/>
      <c r="O68" s="11" t="n"/>
      <c r="P68" s="11" t="n"/>
      <c r="Q68" s="11" t="n"/>
      <c r="R68" s="12" t="n"/>
      <c r="S68" s="52" t="inlineStr">
        <is>
          <t>MÃO</t>
        </is>
      </c>
      <c r="T68" s="12" t="n"/>
      <c r="U68" s="52" t="inlineStr">
        <is>
          <t>DADO</t>
        </is>
      </c>
      <c r="V68" s="12" t="n"/>
      <c r="W68" s="52" t="inlineStr">
        <is>
          <t>PROPRIEDADES</t>
        </is>
      </c>
      <c r="X68" s="11" t="n"/>
      <c r="Y68" s="11" t="n"/>
      <c r="Z68" s="11" t="n"/>
      <c r="AA68" s="11" t="n"/>
      <c r="AB68" s="11" t="n"/>
      <c r="AC68" s="11" t="n"/>
      <c r="AD68" s="12" t="n"/>
      <c r="AE68" s="52" t="inlineStr">
        <is>
          <t>FORÇA</t>
        </is>
      </c>
      <c r="AF68" s="12" t="n"/>
      <c r="AG68" s="52" t="inlineStr">
        <is>
          <t>VOL.</t>
        </is>
      </c>
      <c r="AH68" s="12" t="n"/>
      <c r="AI68" s="52" t="inlineStr">
        <is>
          <t>GRAU</t>
        </is>
      </c>
      <c r="AJ68" s="12" t="n"/>
      <c r="AK68" s="52" t="inlineStr">
        <is>
          <t>ESTIGMA</t>
        </is>
      </c>
      <c r="AL68" s="11" t="n"/>
      <c r="AM68" s="11" t="n"/>
      <c r="AN68" s="11" t="n"/>
      <c r="AO68" s="11" t="n"/>
      <c r="AP68" s="12" t="n"/>
      <c r="AQ68" s="52" t="inlineStr">
        <is>
          <t>DESGASTE</t>
        </is>
      </c>
      <c r="AR68" s="11" t="n"/>
      <c r="AS68" s="11" t="n"/>
      <c r="AT68" s="12" t="n"/>
      <c r="AU68" s="115" t="n"/>
      <c r="AV68" s="115" t="n"/>
      <c r="AW68" s="52" t="inlineStr">
        <is>
          <t>NÍVEL</t>
        </is>
      </c>
      <c r="AX68" s="52" t="inlineStr">
        <is>
          <t>PARA SUBIR</t>
        </is>
      </c>
      <c r="AY68" s="12" t="n"/>
      <c r="AZ68" s="52" t="inlineStr">
        <is>
          <t>ACUMULADO</t>
        </is>
      </c>
      <c r="BA68" s="12" t="n"/>
      <c r="BB68" s="115" t="n"/>
      <c r="BC68" s="52" t="inlineStr">
        <is>
          <t>NÍVEL</t>
        </is>
      </c>
      <c r="BD68" s="52" t="inlineStr">
        <is>
          <t>PARA SUBIR</t>
        </is>
      </c>
      <c r="BE68" s="12" t="n"/>
      <c r="BF68" s="52" t="inlineStr">
        <is>
          <t>ACUMULADO</t>
        </is>
      </c>
      <c r="BG68" s="12" t="n"/>
      <c r="BH68" s="115" t="n"/>
      <c r="BI68" s="115" t="n"/>
      <c r="BJ68" s="115" t="n"/>
      <c r="BK68" s="115" t="n"/>
      <c r="BL68" s="115" t="n"/>
      <c r="BM68" s="115" t="n"/>
      <c r="BN68" s="115" t="n"/>
      <c r="BO68" s="115" t="n"/>
      <c r="BP68" s="115" t="n"/>
      <c r="BQ68" s="115" t="n"/>
      <c r="BR68" s="115" t="n"/>
      <c r="BS68" s="115" t="n"/>
      <c r="BT68" s="115" t="n"/>
    </row>
    <row r="69">
      <c r="A69" s="8" t="n"/>
      <c r="B69" s="22" t="n"/>
      <c r="C69" s="115" t="n"/>
      <c r="D69" s="118" t="n"/>
      <c r="E69" s="11" t="n"/>
      <c r="F69" s="11" t="n"/>
      <c r="G69" s="11" t="n"/>
      <c r="H69" s="11" t="n"/>
      <c r="I69" s="11" t="n"/>
      <c r="J69" s="12" t="n"/>
      <c r="K69" s="119" t="n"/>
      <c r="L69" s="12" t="n"/>
      <c r="M69" s="118">
        <f>IF($D69="","",IFERROR(VLOOKUP($D69,DADOS!$BD$5:$BN$59,2,FALSE),""))</f>
        <v/>
      </c>
      <c r="N69" s="11" t="n"/>
      <c r="O69" s="11" t="n"/>
      <c r="P69" s="11" t="n"/>
      <c r="Q69" s="11" t="n"/>
      <c r="R69" s="12" t="n"/>
      <c r="S69" s="119">
        <f>IF($D69="","",IFERROR(VLOOKUP($D69,DADOS!$BD$5:$BN$59,3,FALSE),""))</f>
        <v/>
      </c>
      <c r="T69" s="12" t="n"/>
      <c r="U69" s="119">
        <f>IF($D69="","",IFERROR(VLOOKUP($D69,DADOS!$BD$5:$BN$59,4,FALSE),""))</f>
        <v/>
      </c>
      <c r="V69" s="12" t="n"/>
      <c r="W69" s="118">
        <f>IF($D69="","",IFERROR(VLOOKUP($D69,DADOS!$BD$5:$BN$59,5,FALSE),""))</f>
        <v/>
      </c>
      <c r="X69" s="11" t="n"/>
      <c r="Y69" s="11" t="n"/>
      <c r="Z69" s="11" t="n"/>
      <c r="AA69" s="11" t="n"/>
      <c r="AB69" s="11" t="n"/>
      <c r="AC69" s="11" t="n"/>
      <c r="AD69" s="12" t="n"/>
      <c r="AE69" s="119">
        <f>IF($D69="","",IFERROR(VLOOKUP($D69,DADOS!$BD$5:$BN$59,6,FALSE),""))</f>
        <v/>
      </c>
      <c r="AF69" s="12" t="n"/>
      <c r="AG69" s="119">
        <f>IF($D69="","",IFERROR(IF($K69="",1,$K69)*VLOOKUP($D69,DADOS!$BD$5:$BN$59,7,FALSE),""))</f>
        <v/>
      </c>
      <c r="AH69" s="12" t="n"/>
      <c r="AI69" s="119" t="n"/>
      <c r="AJ69" s="12" t="n"/>
      <c r="AK69" s="118" t="n"/>
      <c r="AL69" s="11" t="n"/>
      <c r="AM69" s="11" t="n"/>
      <c r="AN69" s="11" t="n"/>
      <c r="AO69" s="11" t="n"/>
      <c r="AP69" s="12" t="n"/>
      <c r="AQ69" s="119" t="n"/>
      <c r="AR69" s="11" t="n"/>
      <c r="AS69" s="11" t="n"/>
      <c r="AT69" s="12" t="n"/>
      <c r="AU69" s="115" t="n"/>
      <c r="AV69" s="115" t="n"/>
      <c r="AW69" s="119">
        <f>IF(DADOS!$CZ$43=2,"▸ 2",2)</f>
        <v/>
      </c>
      <c r="AX69" s="119" t="inlineStr">
        <is>
          <t>200</t>
        </is>
      </c>
      <c r="AY69" s="12" t="n"/>
      <c r="AZ69" s="119" t="inlineStr">
        <is>
          <t>0</t>
        </is>
      </c>
      <c r="BA69" s="12" t="n"/>
      <c r="BB69" s="115" t="n"/>
      <c r="BC69" s="119">
        <f>IF(DADOS!$CZ$43=17,"▸ 17",17)</f>
        <v/>
      </c>
      <c r="BD69" s="119" t="inlineStr">
        <is>
          <t>1.300</t>
        </is>
      </c>
      <c r="BE69" s="12" t="n"/>
      <c r="BF69" s="119" t="inlineStr">
        <is>
          <t>10.400</t>
        </is>
      </c>
      <c r="BG69" s="12" t="n"/>
      <c r="BH69" s="115" t="n"/>
      <c r="BI69" s="115" t="n"/>
      <c r="BJ69" s="115" t="n"/>
      <c r="BK69" s="115" t="n"/>
      <c r="BL69" s="115" t="n"/>
      <c r="BM69" s="115" t="n"/>
      <c r="BN69" s="115" t="n"/>
      <c r="BO69" s="115" t="n"/>
      <c r="BP69" s="115" t="n"/>
      <c r="BQ69" s="115" t="n"/>
      <c r="BR69" s="115" t="n"/>
      <c r="BS69" s="115" t="n"/>
      <c r="BT69" s="115" t="n"/>
    </row>
    <row r="70">
      <c r="A70" s="8" t="n"/>
      <c r="B70" s="22" t="n"/>
      <c r="C70" s="115" t="n"/>
      <c r="D70" s="118" t="n"/>
      <c r="E70" s="11" t="n"/>
      <c r="F70" s="11" t="n"/>
      <c r="G70" s="11" t="n"/>
      <c r="H70" s="11" t="n"/>
      <c r="I70" s="11" t="n"/>
      <c r="J70" s="12" t="n"/>
      <c r="K70" s="119" t="n"/>
      <c r="L70" s="12" t="n"/>
      <c r="M70" s="118">
        <f>IF($D70="","",IFERROR(VLOOKUP($D70,DADOS!$BD$5:$BN$59,2,FALSE),""))</f>
        <v/>
      </c>
      <c r="N70" s="11" t="n"/>
      <c r="O70" s="11" t="n"/>
      <c r="P70" s="11" t="n"/>
      <c r="Q70" s="11" t="n"/>
      <c r="R70" s="12" t="n"/>
      <c r="S70" s="119">
        <f>IF($D70="","",IFERROR(VLOOKUP($D70,DADOS!$BD$5:$BN$59,3,FALSE),""))</f>
        <v/>
      </c>
      <c r="T70" s="12" t="n"/>
      <c r="U70" s="119">
        <f>IF($D70="","",IFERROR(VLOOKUP($D70,DADOS!$BD$5:$BN$59,4,FALSE),""))</f>
        <v/>
      </c>
      <c r="V70" s="12" t="n"/>
      <c r="W70" s="118">
        <f>IF($D70="","",IFERROR(VLOOKUP($D70,DADOS!$BD$5:$BN$59,5,FALSE),""))</f>
        <v/>
      </c>
      <c r="X70" s="11" t="n"/>
      <c r="Y70" s="11" t="n"/>
      <c r="Z70" s="11" t="n"/>
      <c r="AA70" s="11" t="n"/>
      <c r="AB70" s="11" t="n"/>
      <c r="AC70" s="11" t="n"/>
      <c r="AD70" s="12" t="n"/>
      <c r="AE70" s="119">
        <f>IF($D70="","",IFERROR(VLOOKUP($D70,DADOS!$BD$5:$BN$59,6,FALSE),""))</f>
        <v/>
      </c>
      <c r="AF70" s="12" t="n"/>
      <c r="AG70" s="119">
        <f>IF($D70="","",IFERROR(IF($K70="",1,$K70)*VLOOKUP($D70,DADOS!$BD$5:$BN$59,7,FALSE),""))</f>
        <v/>
      </c>
      <c r="AH70" s="12" t="n"/>
      <c r="AI70" s="119" t="n"/>
      <c r="AJ70" s="12" t="n"/>
      <c r="AK70" s="118" t="n"/>
      <c r="AL70" s="11" t="n"/>
      <c r="AM70" s="11" t="n"/>
      <c r="AN70" s="11" t="n"/>
      <c r="AO70" s="11" t="n"/>
      <c r="AP70" s="12" t="n"/>
      <c r="AQ70" s="119" t="n"/>
      <c r="AR70" s="11" t="n"/>
      <c r="AS70" s="11" t="n"/>
      <c r="AT70" s="12" t="n"/>
      <c r="AU70" s="115" t="n"/>
      <c r="AV70" s="115" t="n"/>
      <c r="AW70" s="119">
        <f>IF(DADOS!$CZ$43=3,"▸ 3",3)</f>
        <v/>
      </c>
      <c r="AX70" s="119" t="inlineStr">
        <is>
          <t>300</t>
        </is>
      </c>
      <c r="AY70" s="12" t="n"/>
      <c r="AZ70" s="119" t="inlineStr">
        <is>
          <t>200</t>
        </is>
      </c>
      <c r="BA70" s="12" t="n"/>
      <c r="BB70" s="115" t="n"/>
      <c r="BC70" s="119">
        <f>IF(DADOS!$CZ$43=18,"▸ 18",18)</f>
        <v/>
      </c>
      <c r="BD70" s="119" t="inlineStr">
        <is>
          <t>1.300</t>
        </is>
      </c>
      <c r="BE70" s="12" t="n"/>
      <c r="BF70" s="119" t="inlineStr">
        <is>
          <t>11.700</t>
        </is>
      </c>
      <c r="BG70" s="12" t="n"/>
      <c r="BH70" s="115" t="n"/>
      <c r="BI70" s="115" t="n"/>
      <c r="BJ70" s="115" t="n"/>
      <c r="BK70" s="115" t="n"/>
      <c r="BL70" s="115" t="n"/>
      <c r="BM70" s="115" t="n"/>
      <c r="BN70" s="115" t="n"/>
      <c r="BO70" s="115" t="n"/>
      <c r="BP70" s="115" t="n"/>
      <c r="BQ70" s="115" t="n"/>
      <c r="BR70" s="115" t="n"/>
      <c r="BS70" s="115" t="n"/>
      <c r="BT70" s="115" t="n"/>
    </row>
    <row r="71">
      <c r="A71" s="8" t="n"/>
      <c r="B71" s="22" t="n"/>
      <c r="C71" s="115" t="n"/>
      <c r="D71" s="118" t="n"/>
      <c r="E71" s="11" t="n"/>
      <c r="F71" s="11" t="n"/>
      <c r="G71" s="11" t="n"/>
      <c r="H71" s="11" t="n"/>
      <c r="I71" s="11" t="n"/>
      <c r="J71" s="12" t="n"/>
      <c r="K71" s="119" t="n"/>
      <c r="L71" s="12" t="n"/>
      <c r="M71" s="118">
        <f>IF($D71="","",IFERROR(VLOOKUP($D71,DADOS!$BD$5:$BN$59,2,FALSE),""))</f>
        <v/>
      </c>
      <c r="N71" s="11" t="n"/>
      <c r="O71" s="11" t="n"/>
      <c r="P71" s="11" t="n"/>
      <c r="Q71" s="11" t="n"/>
      <c r="R71" s="12" t="n"/>
      <c r="S71" s="119">
        <f>IF($D71="","",IFERROR(VLOOKUP($D71,DADOS!$BD$5:$BN$59,3,FALSE),""))</f>
        <v/>
      </c>
      <c r="T71" s="12" t="n"/>
      <c r="U71" s="119">
        <f>IF($D71="","",IFERROR(VLOOKUP($D71,DADOS!$BD$5:$BN$59,4,FALSE),""))</f>
        <v/>
      </c>
      <c r="V71" s="12" t="n"/>
      <c r="W71" s="118">
        <f>IF($D71="","",IFERROR(VLOOKUP($D71,DADOS!$BD$5:$BN$59,5,FALSE),""))</f>
        <v/>
      </c>
      <c r="X71" s="11" t="n"/>
      <c r="Y71" s="11" t="n"/>
      <c r="Z71" s="11" t="n"/>
      <c r="AA71" s="11" t="n"/>
      <c r="AB71" s="11" t="n"/>
      <c r="AC71" s="11" t="n"/>
      <c r="AD71" s="12" t="n"/>
      <c r="AE71" s="119">
        <f>IF($D71="","",IFERROR(VLOOKUP($D71,DADOS!$BD$5:$BN$59,6,FALSE),""))</f>
        <v/>
      </c>
      <c r="AF71" s="12" t="n"/>
      <c r="AG71" s="119">
        <f>IF($D71="","",IFERROR(IF($K71="",1,$K71)*VLOOKUP($D71,DADOS!$BD$5:$BN$59,7,FALSE),""))</f>
        <v/>
      </c>
      <c r="AH71" s="12" t="n"/>
      <c r="AI71" s="119" t="n"/>
      <c r="AJ71" s="12" t="n"/>
      <c r="AK71" s="118" t="n"/>
      <c r="AL71" s="11" t="n"/>
      <c r="AM71" s="11" t="n"/>
      <c r="AN71" s="11" t="n"/>
      <c r="AO71" s="11" t="n"/>
      <c r="AP71" s="12" t="n"/>
      <c r="AQ71" s="119" t="n"/>
      <c r="AR71" s="11" t="n"/>
      <c r="AS71" s="11" t="n"/>
      <c r="AT71" s="12" t="n"/>
      <c r="AU71" s="115" t="n"/>
      <c r="AV71" s="115" t="n"/>
      <c r="AW71" s="119">
        <f>IF(DADOS!$CZ$43=4,"▸ 4",4)</f>
        <v/>
      </c>
      <c r="AX71" s="119" t="inlineStr">
        <is>
          <t>300</t>
        </is>
      </c>
      <c r="AY71" s="12" t="n"/>
      <c r="AZ71" s="119" t="inlineStr">
        <is>
          <t>500</t>
        </is>
      </c>
      <c r="BA71" s="12" t="n"/>
      <c r="BB71" s="115" t="n"/>
      <c r="BC71" s="119">
        <f>IF(DADOS!$CZ$43=19,"▸ 19",19)</f>
        <v/>
      </c>
      <c r="BD71" s="119" t="inlineStr">
        <is>
          <t>1.300</t>
        </is>
      </c>
      <c r="BE71" s="12" t="n"/>
      <c r="BF71" s="119" t="inlineStr">
        <is>
          <t>13.000</t>
        </is>
      </c>
      <c r="BG71" s="12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</row>
    <row r="72">
      <c r="A72" s="8" t="n"/>
      <c r="B72" s="22" t="n"/>
      <c r="C72" s="115" t="n"/>
      <c r="D72" s="118" t="n"/>
      <c r="E72" s="11" t="n"/>
      <c r="F72" s="11" t="n"/>
      <c r="G72" s="11" t="n"/>
      <c r="H72" s="11" t="n"/>
      <c r="I72" s="11" t="n"/>
      <c r="J72" s="12" t="n"/>
      <c r="K72" s="119" t="n"/>
      <c r="L72" s="12" t="n"/>
      <c r="M72" s="118">
        <f>IF($D72="","",IFERROR(VLOOKUP($D72,DADOS!$BD$5:$BN$59,2,FALSE),""))</f>
        <v/>
      </c>
      <c r="N72" s="11" t="n"/>
      <c r="O72" s="11" t="n"/>
      <c r="P72" s="11" t="n"/>
      <c r="Q72" s="11" t="n"/>
      <c r="R72" s="12" t="n"/>
      <c r="S72" s="119">
        <f>IF($D72="","",IFERROR(VLOOKUP($D72,DADOS!$BD$5:$BN$59,3,FALSE),""))</f>
        <v/>
      </c>
      <c r="T72" s="12" t="n"/>
      <c r="U72" s="119">
        <f>IF($D72="","",IFERROR(VLOOKUP($D72,DADOS!$BD$5:$BN$59,4,FALSE),""))</f>
        <v/>
      </c>
      <c r="V72" s="12" t="n"/>
      <c r="W72" s="118">
        <f>IF($D72="","",IFERROR(VLOOKUP($D72,DADOS!$BD$5:$BN$59,5,FALSE),""))</f>
        <v/>
      </c>
      <c r="X72" s="11" t="n"/>
      <c r="Y72" s="11" t="n"/>
      <c r="Z72" s="11" t="n"/>
      <c r="AA72" s="11" t="n"/>
      <c r="AB72" s="11" t="n"/>
      <c r="AC72" s="11" t="n"/>
      <c r="AD72" s="12" t="n"/>
      <c r="AE72" s="119">
        <f>IF($D72="","",IFERROR(VLOOKUP($D72,DADOS!$BD$5:$BN$59,6,FALSE),""))</f>
        <v/>
      </c>
      <c r="AF72" s="12" t="n"/>
      <c r="AG72" s="119">
        <f>IF($D72="","",IFERROR(IF($K72="",1,$K72)*VLOOKUP($D72,DADOS!$BD$5:$BN$59,7,FALSE),""))</f>
        <v/>
      </c>
      <c r="AH72" s="12" t="n"/>
      <c r="AI72" s="119" t="n"/>
      <c r="AJ72" s="12" t="n"/>
      <c r="AK72" s="118" t="n"/>
      <c r="AL72" s="11" t="n"/>
      <c r="AM72" s="11" t="n"/>
      <c r="AN72" s="11" t="n"/>
      <c r="AO72" s="11" t="n"/>
      <c r="AP72" s="12" t="n"/>
      <c r="AQ72" s="119" t="n"/>
      <c r="AR72" s="11" t="n"/>
      <c r="AS72" s="11" t="n"/>
      <c r="AT72" s="12" t="n"/>
      <c r="AU72" s="115" t="n"/>
      <c r="AV72" s="115" t="n"/>
      <c r="AW72" s="119">
        <f>IF(DADOS!$CZ$43=5,"▸ 5",5)</f>
        <v/>
      </c>
      <c r="AX72" s="119" t="inlineStr">
        <is>
          <t>500</t>
        </is>
      </c>
      <c r="AY72" s="12" t="n"/>
      <c r="AZ72" s="119" t="inlineStr">
        <is>
          <t>800</t>
        </is>
      </c>
      <c r="BA72" s="12" t="n"/>
      <c r="BB72" s="115" t="n"/>
      <c r="BC72" s="119">
        <f>IF(DADOS!$CZ$43=20,"▸ 20",20)</f>
        <v/>
      </c>
      <c r="BD72" s="119" t="inlineStr">
        <is>
          <t>1.500 e um feito</t>
        </is>
      </c>
      <c r="BE72" s="12" t="n"/>
      <c r="BF72" s="119" t="inlineStr">
        <is>
          <t>14.300</t>
        </is>
      </c>
      <c r="BG72" s="12" t="n"/>
      <c r="BH72" s="115" t="n"/>
      <c r="BI72" s="115" t="n"/>
      <c r="BJ72" s="115" t="n"/>
      <c r="BK72" s="115" t="n"/>
      <c r="BL72" s="115" t="n"/>
      <c r="BM72" s="115" t="n"/>
      <c r="BN72" s="115" t="n"/>
      <c r="BO72" s="115" t="n"/>
      <c r="BP72" s="115" t="n"/>
      <c r="BQ72" s="115" t="n"/>
      <c r="BR72" s="115" t="n"/>
      <c r="BS72" s="115" t="n"/>
      <c r="BT72" s="115" t="n"/>
    </row>
    <row r="73">
      <c r="A73" s="8" t="n"/>
      <c r="B73" s="22" t="n"/>
      <c r="C73" s="115" t="n"/>
      <c r="D73" s="118" t="n"/>
      <c r="E73" s="11" t="n"/>
      <c r="F73" s="11" t="n"/>
      <c r="G73" s="11" t="n"/>
      <c r="H73" s="11" t="n"/>
      <c r="I73" s="11" t="n"/>
      <c r="J73" s="12" t="n"/>
      <c r="K73" s="119" t="n"/>
      <c r="L73" s="12" t="n"/>
      <c r="M73" s="118">
        <f>IF($D73="","",IFERROR(VLOOKUP($D73,DADOS!$BD$5:$BN$59,2,FALSE),""))</f>
        <v/>
      </c>
      <c r="N73" s="11" t="n"/>
      <c r="O73" s="11" t="n"/>
      <c r="P73" s="11" t="n"/>
      <c r="Q73" s="11" t="n"/>
      <c r="R73" s="12" t="n"/>
      <c r="S73" s="119">
        <f>IF($D73="","",IFERROR(VLOOKUP($D73,DADOS!$BD$5:$BN$59,3,FALSE),""))</f>
        <v/>
      </c>
      <c r="T73" s="12" t="n"/>
      <c r="U73" s="119">
        <f>IF($D73="","",IFERROR(VLOOKUP($D73,DADOS!$BD$5:$BN$59,4,FALSE),""))</f>
        <v/>
      </c>
      <c r="V73" s="12" t="n"/>
      <c r="W73" s="118">
        <f>IF($D73="","",IFERROR(VLOOKUP($D73,DADOS!$BD$5:$BN$59,5,FALSE),""))</f>
        <v/>
      </c>
      <c r="X73" s="11" t="n"/>
      <c r="Y73" s="11" t="n"/>
      <c r="Z73" s="11" t="n"/>
      <c r="AA73" s="11" t="n"/>
      <c r="AB73" s="11" t="n"/>
      <c r="AC73" s="11" t="n"/>
      <c r="AD73" s="12" t="n"/>
      <c r="AE73" s="119">
        <f>IF($D73="","",IFERROR(VLOOKUP($D73,DADOS!$BD$5:$BN$59,6,FALSE),""))</f>
        <v/>
      </c>
      <c r="AF73" s="12" t="n"/>
      <c r="AG73" s="119">
        <f>IF($D73="","",IFERROR(IF($K73="",1,$K73)*VLOOKUP($D73,DADOS!$BD$5:$BN$59,7,FALSE),""))</f>
        <v/>
      </c>
      <c r="AH73" s="12" t="n"/>
      <c r="AI73" s="119" t="n"/>
      <c r="AJ73" s="12" t="n"/>
      <c r="AK73" s="118" t="n"/>
      <c r="AL73" s="11" t="n"/>
      <c r="AM73" s="11" t="n"/>
      <c r="AN73" s="11" t="n"/>
      <c r="AO73" s="11" t="n"/>
      <c r="AP73" s="12" t="n"/>
      <c r="AQ73" s="119" t="n"/>
      <c r="AR73" s="11" t="n"/>
      <c r="AS73" s="11" t="n"/>
      <c r="AT73" s="12" t="n"/>
      <c r="AU73" s="115" t="n"/>
      <c r="AV73" s="115" t="n"/>
      <c r="AW73" s="119">
        <f>IF(DADOS!$CZ$43=6,"▸ 6",6)</f>
        <v/>
      </c>
      <c r="AX73" s="119" t="inlineStr">
        <is>
          <t>500</t>
        </is>
      </c>
      <c r="AY73" s="12" t="n"/>
      <c r="AZ73" s="119" t="inlineStr">
        <is>
          <t>1.300</t>
        </is>
      </c>
      <c r="BA73" s="12" t="n"/>
      <c r="BB73" s="115" t="n"/>
      <c r="BC73" s="119">
        <f>IF(DADOS!$CZ$43=21,"▸ 21",21)</f>
        <v/>
      </c>
      <c r="BD73" s="119" t="inlineStr">
        <is>
          <t>1.500</t>
        </is>
      </c>
      <c r="BE73" s="12" t="n"/>
      <c r="BF73" s="119" t="inlineStr">
        <is>
          <t>15.800</t>
        </is>
      </c>
      <c r="BG73" s="12" t="n"/>
      <c r="BH73" s="115" t="n"/>
      <c r="BI73" s="115" t="n"/>
      <c r="BJ73" s="115" t="n"/>
      <c r="BK73" s="115" t="n"/>
      <c r="BL73" s="115" t="n"/>
      <c r="BM73" s="115" t="n"/>
      <c r="BN73" s="115" t="n"/>
      <c r="BO73" s="115" t="n"/>
      <c r="BP73" s="115" t="n"/>
      <c r="BQ73" s="115" t="n"/>
      <c r="BR73" s="115" t="n"/>
      <c r="BS73" s="115" t="n"/>
      <c r="BT73" s="115" t="n"/>
    </row>
    <row r="74">
      <c r="A74" s="8" t="n"/>
      <c r="B74" s="22" t="n"/>
      <c r="C74" s="115" t="n"/>
      <c r="D74" s="118" t="n"/>
      <c r="E74" s="11" t="n"/>
      <c r="F74" s="11" t="n"/>
      <c r="G74" s="11" t="n"/>
      <c r="H74" s="11" t="n"/>
      <c r="I74" s="11" t="n"/>
      <c r="J74" s="12" t="n"/>
      <c r="K74" s="119" t="n"/>
      <c r="L74" s="12" t="n"/>
      <c r="M74" s="118">
        <f>IF($D74="","",IFERROR(VLOOKUP($D74,DADOS!$BD$5:$BN$59,2,FALSE),""))</f>
        <v/>
      </c>
      <c r="N74" s="11" t="n"/>
      <c r="O74" s="11" t="n"/>
      <c r="P74" s="11" t="n"/>
      <c r="Q74" s="11" t="n"/>
      <c r="R74" s="12" t="n"/>
      <c r="S74" s="119">
        <f>IF($D74="","",IFERROR(VLOOKUP($D74,DADOS!$BD$5:$BN$59,3,FALSE),""))</f>
        <v/>
      </c>
      <c r="T74" s="12" t="n"/>
      <c r="U74" s="119">
        <f>IF($D74="","",IFERROR(VLOOKUP($D74,DADOS!$BD$5:$BN$59,4,FALSE),""))</f>
        <v/>
      </c>
      <c r="V74" s="12" t="n"/>
      <c r="W74" s="118">
        <f>IF($D74="","",IFERROR(VLOOKUP($D74,DADOS!$BD$5:$BN$59,5,FALSE),""))</f>
        <v/>
      </c>
      <c r="X74" s="11" t="n"/>
      <c r="Y74" s="11" t="n"/>
      <c r="Z74" s="11" t="n"/>
      <c r="AA74" s="11" t="n"/>
      <c r="AB74" s="11" t="n"/>
      <c r="AC74" s="11" t="n"/>
      <c r="AD74" s="12" t="n"/>
      <c r="AE74" s="119">
        <f>IF($D74="","",IFERROR(VLOOKUP($D74,DADOS!$BD$5:$BN$59,6,FALSE),""))</f>
        <v/>
      </c>
      <c r="AF74" s="12" t="n"/>
      <c r="AG74" s="119">
        <f>IF($D74="","",IFERROR(IF($K74="",1,$K74)*VLOOKUP($D74,DADOS!$BD$5:$BN$59,7,FALSE),""))</f>
        <v/>
      </c>
      <c r="AH74" s="12" t="n"/>
      <c r="AI74" s="119" t="n"/>
      <c r="AJ74" s="12" t="n"/>
      <c r="AK74" s="118" t="n"/>
      <c r="AL74" s="11" t="n"/>
      <c r="AM74" s="11" t="n"/>
      <c r="AN74" s="11" t="n"/>
      <c r="AO74" s="11" t="n"/>
      <c r="AP74" s="12" t="n"/>
      <c r="AQ74" s="119" t="n"/>
      <c r="AR74" s="11" t="n"/>
      <c r="AS74" s="11" t="n"/>
      <c r="AT74" s="12" t="n"/>
      <c r="AU74" s="115" t="n"/>
      <c r="AV74" s="115" t="n"/>
      <c r="AW74" s="119">
        <f>IF(DADOS!$CZ$43=7,"▸ 7",7)</f>
        <v/>
      </c>
      <c r="AX74" s="119" t="inlineStr">
        <is>
          <t>500</t>
        </is>
      </c>
      <c r="AY74" s="12" t="n"/>
      <c r="AZ74" s="119" t="inlineStr">
        <is>
          <t>1.800</t>
        </is>
      </c>
      <c r="BA74" s="12" t="n"/>
      <c r="BB74" s="115" t="n"/>
      <c r="BC74" s="119">
        <f>IF(DADOS!$CZ$43=22,"▸ 22",22)</f>
        <v/>
      </c>
      <c r="BD74" s="119" t="inlineStr">
        <is>
          <t>1.500</t>
        </is>
      </c>
      <c r="BE74" s="12" t="n"/>
      <c r="BF74" s="119" t="inlineStr">
        <is>
          <t>17.300</t>
        </is>
      </c>
      <c r="BG74" s="12" t="n"/>
      <c r="BH74" s="115" t="n"/>
      <c r="BI74" s="115" t="n"/>
      <c r="BJ74" s="115" t="n"/>
      <c r="BK74" s="115" t="n"/>
      <c r="BL74" s="115" t="n"/>
      <c r="BM74" s="115" t="n"/>
      <c r="BN74" s="115" t="n"/>
      <c r="BO74" s="115" t="n"/>
      <c r="BP74" s="115" t="n"/>
      <c r="BQ74" s="115" t="n"/>
      <c r="BR74" s="115" t="n"/>
      <c r="BS74" s="115" t="n"/>
      <c r="BT74" s="115" t="n"/>
    </row>
    <row r="75">
      <c r="A75" s="8" t="n"/>
      <c r="B75" s="22" t="n"/>
      <c r="C75" s="115" t="n"/>
      <c r="D75" s="118" t="n"/>
      <c r="E75" s="11" t="n"/>
      <c r="F75" s="11" t="n"/>
      <c r="G75" s="11" t="n"/>
      <c r="H75" s="11" t="n"/>
      <c r="I75" s="11" t="n"/>
      <c r="J75" s="12" t="n"/>
      <c r="K75" s="119" t="n"/>
      <c r="L75" s="12" t="n"/>
      <c r="M75" s="118" t="n"/>
      <c r="N75" s="11" t="n"/>
      <c r="O75" s="11" t="n"/>
      <c r="P75" s="11" t="n"/>
      <c r="Q75" s="11" t="n"/>
      <c r="R75" s="12" t="n"/>
      <c r="S75" s="119" t="n"/>
      <c r="T75" s="12" t="n"/>
      <c r="U75" s="119" t="n"/>
      <c r="V75" s="12" t="n"/>
      <c r="W75" s="118" t="n"/>
      <c r="X75" s="11" t="n"/>
      <c r="Y75" s="11" t="n"/>
      <c r="Z75" s="11" t="n"/>
      <c r="AA75" s="11" t="n"/>
      <c r="AB75" s="11" t="n"/>
      <c r="AC75" s="11" t="n"/>
      <c r="AD75" s="12" t="n"/>
      <c r="AE75" s="119" t="n"/>
      <c r="AF75" s="12" t="n"/>
      <c r="AG75" s="119" t="n"/>
      <c r="AH75" s="12" t="n"/>
      <c r="AI75" s="119" t="n"/>
      <c r="AJ75" s="12" t="n"/>
      <c r="AK75" s="118" t="n"/>
      <c r="AL75" s="11" t="n"/>
      <c r="AM75" s="11" t="n"/>
      <c r="AN75" s="11" t="n"/>
      <c r="AO75" s="11" t="n"/>
      <c r="AP75" s="12" t="n"/>
      <c r="AQ75" s="119" t="n"/>
      <c r="AR75" s="11" t="n"/>
      <c r="AS75" s="11" t="n"/>
      <c r="AT75" s="12" t="n"/>
      <c r="AU75" s="115" t="n"/>
      <c r="AV75" s="115" t="n"/>
      <c r="AW75" s="119">
        <f>IF(DADOS!$CZ$43=8,"▸ 8",8)</f>
        <v/>
      </c>
      <c r="AX75" s="119" t="inlineStr">
        <is>
          <t>700</t>
        </is>
      </c>
      <c r="AY75" s="12" t="n"/>
      <c r="AZ75" s="119" t="inlineStr">
        <is>
          <t>2.300</t>
        </is>
      </c>
      <c r="BA75" s="12" t="n"/>
      <c r="BB75" s="115" t="n"/>
      <c r="BC75" s="119">
        <f>IF(DADOS!$CZ$43=23,"▸ 23",23)</f>
        <v/>
      </c>
      <c r="BD75" s="119" t="inlineStr">
        <is>
          <t>1.700</t>
        </is>
      </c>
      <c r="BE75" s="12" t="n"/>
      <c r="BF75" s="119" t="inlineStr">
        <is>
          <t>18.800</t>
        </is>
      </c>
      <c r="BG75" s="12" t="n"/>
      <c r="BH75" s="115" t="n"/>
      <c r="BI75" s="115" t="n"/>
      <c r="BJ75" s="115" t="n"/>
      <c r="BK75" s="115" t="n"/>
      <c r="BL75" s="115" t="n"/>
      <c r="BM75" s="115" t="n"/>
      <c r="BN75" s="115" t="n"/>
      <c r="BO75" s="115" t="n"/>
      <c r="BP75" s="115" t="n"/>
      <c r="BQ75" s="115" t="n"/>
      <c r="BR75" s="115" t="n"/>
      <c r="BS75" s="115" t="n"/>
      <c r="BT75" s="115" t="n"/>
    </row>
    <row r="76">
      <c r="A76" s="8" t="n"/>
      <c r="B76" s="22" t="n"/>
      <c r="C76" s="115" t="n"/>
      <c r="D76" s="118" t="n"/>
      <c r="E76" s="11" t="n"/>
      <c r="F76" s="11" t="n"/>
      <c r="G76" s="11" t="n"/>
      <c r="H76" s="11" t="n"/>
      <c r="I76" s="11" t="n"/>
      <c r="J76" s="12" t="n"/>
      <c r="K76" s="119" t="n"/>
      <c r="L76" s="12" t="n"/>
      <c r="M76" s="118" t="n"/>
      <c r="N76" s="11" t="n"/>
      <c r="O76" s="11" t="n"/>
      <c r="P76" s="11" t="n"/>
      <c r="Q76" s="11" t="n"/>
      <c r="R76" s="12" t="n"/>
      <c r="S76" s="119" t="n"/>
      <c r="T76" s="12" t="n"/>
      <c r="U76" s="119" t="n"/>
      <c r="V76" s="12" t="n"/>
      <c r="W76" s="118" t="n"/>
      <c r="X76" s="11" t="n"/>
      <c r="Y76" s="11" t="n"/>
      <c r="Z76" s="11" t="n"/>
      <c r="AA76" s="11" t="n"/>
      <c r="AB76" s="11" t="n"/>
      <c r="AC76" s="11" t="n"/>
      <c r="AD76" s="12" t="n"/>
      <c r="AE76" s="119" t="n"/>
      <c r="AF76" s="12" t="n"/>
      <c r="AG76" s="119" t="n"/>
      <c r="AH76" s="12" t="n"/>
      <c r="AI76" s="119" t="n"/>
      <c r="AJ76" s="12" t="n"/>
      <c r="AK76" s="118" t="n"/>
      <c r="AL76" s="11" t="n"/>
      <c r="AM76" s="11" t="n"/>
      <c r="AN76" s="11" t="n"/>
      <c r="AO76" s="11" t="n"/>
      <c r="AP76" s="12" t="n"/>
      <c r="AQ76" s="119" t="n"/>
      <c r="AR76" s="11" t="n"/>
      <c r="AS76" s="11" t="n"/>
      <c r="AT76" s="12" t="n"/>
      <c r="AU76" s="115" t="n"/>
      <c r="AV76" s="115" t="n"/>
      <c r="AW76" s="119">
        <f>IF(DADOS!$CZ$43=9,"▸ 9",9)</f>
        <v/>
      </c>
      <c r="AX76" s="119" t="inlineStr">
        <is>
          <t>700</t>
        </is>
      </c>
      <c r="AY76" s="12" t="n"/>
      <c r="AZ76" s="119" t="inlineStr">
        <is>
          <t>3.000</t>
        </is>
      </c>
      <c r="BA76" s="12" t="n"/>
      <c r="BB76" s="115" t="n"/>
      <c r="BC76" s="119">
        <f>IF(DADOS!$CZ$43=24,"▸ 24",24)</f>
        <v/>
      </c>
      <c r="BD76" s="119" t="inlineStr">
        <is>
          <t>1.700</t>
        </is>
      </c>
      <c r="BE76" s="12" t="n"/>
      <c r="BF76" s="119" t="inlineStr">
        <is>
          <t>20.500</t>
        </is>
      </c>
      <c r="BG76" s="12" t="n"/>
      <c r="BH76" s="115" t="n"/>
      <c r="BI76" s="115" t="n"/>
      <c r="BJ76" s="115" t="n"/>
      <c r="BK76" s="115" t="n"/>
      <c r="BL76" s="115" t="n"/>
      <c r="BM76" s="115" t="n"/>
      <c r="BN76" s="115" t="n"/>
      <c r="BO76" s="115" t="n"/>
      <c r="BP76" s="115" t="n"/>
      <c r="BQ76" s="115" t="n"/>
      <c r="BR76" s="115" t="n"/>
      <c r="BS76" s="115" t="n"/>
      <c r="BT76" s="115" t="n"/>
    </row>
    <row r="77">
      <c r="A77" s="8" t="n"/>
      <c r="B77" s="22" t="n"/>
      <c r="C77" s="115" t="n"/>
      <c r="D77" s="115" t="n"/>
      <c r="E77" s="115" t="n"/>
      <c r="F77" s="115" t="n"/>
      <c r="G77" s="115" t="n"/>
      <c r="H77" s="115" t="n"/>
      <c r="I77" s="115" t="n"/>
      <c r="J77" s="115" t="n"/>
      <c r="K77" s="115" t="n"/>
      <c r="L77" s="115" t="n"/>
      <c r="M77" s="115" t="n"/>
      <c r="N77" s="115" t="n"/>
      <c r="O77" s="115" t="n"/>
      <c r="P77" s="115" t="n"/>
      <c r="Q77" s="115" t="n"/>
      <c r="R77" s="115" t="n"/>
      <c r="S77" s="115" t="n"/>
      <c r="T77" s="115" t="n"/>
      <c r="U77" s="115" t="n"/>
      <c r="V77" s="115" t="n"/>
      <c r="W77" s="115" t="n"/>
      <c r="X77" s="115" t="n"/>
      <c r="Y77" s="115" t="n"/>
      <c r="Z77" s="115" t="n"/>
      <c r="AA77" s="115" t="n"/>
      <c r="AB77" s="115" t="n"/>
      <c r="AC77" s="115" t="n"/>
      <c r="AD77" s="115" t="n"/>
      <c r="AE77" s="115" t="n"/>
      <c r="AF77" s="115" t="n"/>
      <c r="AG77" s="115" t="n"/>
      <c r="AH77" s="115" t="n"/>
      <c r="AI77" s="115" t="n"/>
      <c r="AJ77" s="115" t="n"/>
      <c r="AK77" s="115" t="n"/>
      <c r="AL77" s="115" t="n"/>
      <c r="AM77" s="115" t="n"/>
      <c r="AN77" s="115" t="n"/>
      <c r="AO77" s="115" t="n"/>
      <c r="AP77" s="115" t="n"/>
      <c r="AQ77" s="115" t="n"/>
      <c r="AR77" s="115" t="n"/>
      <c r="AS77" s="115" t="n"/>
      <c r="AT77" s="115" t="n"/>
      <c r="AU77" s="115" t="n"/>
      <c r="AV77" s="115" t="n"/>
      <c r="AW77" s="119">
        <f>IF(DADOS!$CZ$43=10,"▸ 10",10)</f>
        <v/>
      </c>
      <c r="AX77" s="119" t="inlineStr">
        <is>
          <t>700</t>
        </is>
      </c>
      <c r="AY77" s="12" t="n"/>
      <c r="AZ77" s="119" t="inlineStr">
        <is>
          <t>3.700</t>
        </is>
      </c>
      <c r="BA77" s="12" t="n"/>
      <c r="BB77" s="115" t="n"/>
      <c r="BC77" s="119">
        <f>IF(DADOS!$CZ$43=25,"▸ 25",25)</f>
        <v/>
      </c>
      <c r="BD77" s="119" t="inlineStr">
        <is>
          <t>1.700</t>
        </is>
      </c>
      <c r="BE77" s="12" t="n"/>
      <c r="BF77" s="119" t="inlineStr">
        <is>
          <t>22.200</t>
        </is>
      </c>
      <c r="BG77" s="12" t="n"/>
      <c r="BH77" s="115" t="n"/>
      <c r="BI77" s="115" t="n"/>
      <c r="BJ77" s="115" t="n"/>
      <c r="BK77" s="115" t="n"/>
      <c r="BL77" s="115" t="n"/>
      <c r="BM77" s="115" t="n"/>
      <c r="BN77" s="115" t="n"/>
      <c r="BO77" s="115" t="n"/>
      <c r="BP77" s="115" t="n"/>
      <c r="BQ77" s="115" t="n"/>
      <c r="BR77" s="115" t="n"/>
      <c r="BS77" s="115" t="n"/>
      <c r="BT77" s="115" t="n"/>
    </row>
    <row r="78">
      <c r="A78" s="8" t="n"/>
      <c r="B78" s="22" t="n"/>
      <c r="C78" s="115" t="n"/>
      <c r="D78" s="116" t="inlineStr">
        <is>
          <t>ITENS GUARDADOS</t>
        </is>
      </c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  <c r="AL78" s="14" t="n"/>
      <c r="AM78" s="14" t="n"/>
      <c r="AN78" s="14" t="n"/>
      <c r="AO78" s="14" t="n"/>
      <c r="AP78" s="14" t="n"/>
      <c r="AQ78" s="14" t="n"/>
      <c r="AR78" s="14" t="n"/>
      <c r="AS78" s="14" t="n"/>
      <c r="AT78" s="15" t="n"/>
      <c r="AU78" s="115" t="n"/>
      <c r="AV78" s="115" t="n"/>
      <c r="AW78" s="119">
        <f>IF(DADOS!$CZ$43=11,"▸ 11",11)</f>
        <v/>
      </c>
      <c r="AX78" s="119" t="inlineStr">
        <is>
          <t>900</t>
        </is>
      </c>
      <c r="AY78" s="12" t="n"/>
      <c r="AZ78" s="119" t="inlineStr">
        <is>
          <t>4.400</t>
        </is>
      </c>
      <c r="BA78" s="12" t="n"/>
      <c r="BB78" s="115" t="n"/>
      <c r="BC78" s="119">
        <f>IF(DADOS!$CZ$43=26,"▸ 26",26)</f>
        <v/>
      </c>
      <c r="BD78" s="119" t="inlineStr">
        <is>
          <t>1.700</t>
        </is>
      </c>
      <c r="BE78" s="12" t="n"/>
      <c r="BF78" s="119" t="inlineStr">
        <is>
          <t>23.900</t>
        </is>
      </c>
      <c r="BG78" s="12" t="n"/>
      <c r="BH78" s="115" t="n"/>
      <c r="BI78" s="115" t="n"/>
      <c r="BJ78" s="115" t="n"/>
      <c r="BK78" s="115" t="n"/>
      <c r="BL78" s="115" t="n"/>
      <c r="BM78" s="115" t="n"/>
      <c r="BN78" s="115" t="n"/>
      <c r="BO78" s="115" t="n"/>
      <c r="BP78" s="115" t="n"/>
      <c r="BQ78" s="115" t="n"/>
      <c r="BR78" s="115" t="n"/>
      <c r="BS78" s="115" t="n"/>
      <c r="BT78" s="115" t="n"/>
    </row>
    <row r="79">
      <c r="A79" s="8" t="n"/>
      <c r="B79" s="22" t="n"/>
      <c r="C79" s="115" t="n"/>
      <c r="D79" s="18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19" t="n"/>
      <c r="AN79" s="19" t="n"/>
      <c r="AO79" s="19" t="n"/>
      <c r="AP79" s="19" t="n"/>
      <c r="AQ79" s="19" t="n"/>
      <c r="AR79" s="19" t="n"/>
      <c r="AS79" s="19" t="n"/>
      <c r="AT79" s="20" t="n"/>
      <c r="AU79" s="115" t="n"/>
      <c r="AV79" s="115" t="n"/>
      <c r="AW79" s="119">
        <f>IF(DADOS!$CZ$43=12,"▸ 12",12)</f>
        <v/>
      </c>
      <c r="AX79" s="119" t="inlineStr">
        <is>
          <t>900</t>
        </is>
      </c>
      <c r="AY79" s="12" t="n"/>
      <c r="AZ79" s="119" t="inlineStr">
        <is>
          <t>5.300</t>
        </is>
      </c>
      <c r="BA79" s="12" t="n"/>
      <c r="BB79" s="115" t="n"/>
      <c r="BC79" s="119">
        <f>IF(DADOS!$CZ$43=27,"▸ 27",27)</f>
        <v/>
      </c>
      <c r="BD79" s="119" t="inlineStr">
        <is>
          <t>1.700</t>
        </is>
      </c>
      <c r="BE79" s="12" t="n"/>
      <c r="BF79" s="119" t="inlineStr">
        <is>
          <t>25.600</t>
        </is>
      </c>
      <c r="BG79" s="12" t="n"/>
      <c r="BH79" s="115" t="n"/>
      <c r="BI79" s="115" t="n"/>
      <c r="BJ79" s="115" t="n"/>
      <c r="BK79" s="115" t="n"/>
      <c r="BL79" s="115" t="n"/>
      <c r="BM79" s="115" t="n"/>
      <c r="BN79" s="115" t="n"/>
      <c r="BO79" s="115" t="n"/>
      <c r="BP79" s="115" t="n"/>
      <c r="BQ79" s="115" t="n"/>
      <c r="BR79" s="115" t="n"/>
      <c r="BS79" s="115" t="n"/>
      <c r="BT79" s="115" t="n"/>
    </row>
    <row r="80">
      <c r="A80" s="8" t="n"/>
      <c r="B80" s="22" t="n"/>
      <c r="C80" s="115" t="n"/>
      <c r="D80" s="52" t="inlineStr">
        <is>
          <t>ITEM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2" t="n"/>
      <c r="T80" s="52" t="inlineStr">
        <is>
          <t>QTD.</t>
        </is>
      </c>
      <c r="U80" s="12" t="n"/>
      <c r="V80" s="52" t="inlineStr">
        <is>
          <t>VOL.</t>
        </is>
      </c>
      <c r="W80" s="11" t="n"/>
      <c r="X80" s="12" t="n"/>
      <c r="Y80" s="115" t="n"/>
      <c r="Z80" s="52" t="inlineStr">
        <is>
          <t>ITEM</t>
        </is>
      </c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2" t="n"/>
      <c r="AP80" s="52" t="inlineStr">
        <is>
          <t>QTD.</t>
        </is>
      </c>
      <c r="AQ80" s="12" t="n"/>
      <c r="AR80" s="52" t="inlineStr">
        <is>
          <t>VOL.</t>
        </is>
      </c>
      <c r="AS80" s="11" t="n"/>
      <c r="AT80" s="12" t="n"/>
      <c r="AU80" s="115" t="n"/>
      <c r="AV80" s="115" t="n"/>
      <c r="AW80" s="119">
        <f>IF(DADOS!$CZ$43=13,"▸ 13",13)</f>
        <v/>
      </c>
      <c r="AX80" s="119" t="inlineStr">
        <is>
          <t>900</t>
        </is>
      </c>
      <c r="AY80" s="12" t="n"/>
      <c r="AZ80" s="119" t="inlineStr">
        <is>
          <t>6.200</t>
        </is>
      </c>
      <c r="BA80" s="12" t="n"/>
      <c r="BB80" s="115" t="n"/>
      <c r="BC80" s="119">
        <f>IF(DADOS!$CZ$43=28,"▸ 28",28)</f>
        <v/>
      </c>
      <c r="BD80" s="119" t="inlineStr">
        <is>
          <t>1.700</t>
        </is>
      </c>
      <c r="BE80" s="12" t="n"/>
      <c r="BF80" s="119" t="inlineStr">
        <is>
          <t>27.300</t>
        </is>
      </c>
      <c r="BG80" s="12" t="n"/>
      <c r="BH80" s="115" t="n"/>
      <c r="BI80" s="115" t="n"/>
      <c r="BJ80" s="115" t="n"/>
      <c r="BK80" s="115" t="n"/>
      <c r="BL80" s="115" t="n"/>
      <c r="BM80" s="115" t="n"/>
      <c r="BN80" s="115" t="n"/>
      <c r="BO80" s="115" t="n"/>
      <c r="BP80" s="115" t="n"/>
      <c r="BQ80" s="115" t="n"/>
      <c r="BR80" s="115" t="n"/>
      <c r="BS80" s="115" t="n"/>
      <c r="BT80" s="115" t="n"/>
    </row>
    <row r="81">
      <c r="A81" s="8" t="n"/>
      <c r="B81" s="22" t="n"/>
      <c r="C81" s="115" t="n"/>
      <c r="D81" s="118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2" t="n"/>
      <c r="T81" s="119" t="n"/>
      <c r="U81" s="12" t="n"/>
      <c r="V81" s="119">
        <f>IF($D81="","",IF($T81="",1,$T81)*0.1)</f>
        <v/>
      </c>
      <c r="W81" s="11" t="n"/>
      <c r="X81" s="12" t="n"/>
      <c r="Y81" s="115" t="n"/>
      <c r="Z81" s="118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2" t="n"/>
      <c r="AP81" s="119" t="n"/>
      <c r="AQ81" s="12" t="n"/>
      <c r="AR81" s="119">
        <f>IF($Z81="","",IF($AP81="",1,$AP81)*0.1)</f>
        <v/>
      </c>
      <c r="AS81" s="11" t="n"/>
      <c r="AT81" s="12" t="n"/>
      <c r="AU81" s="115" t="n"/>
      <c r="AV81" s="115" t="n"/>
      <c r="AW81" s="119">
        <f>IF(DADOS!$CZ$43=14,"▸ 14",14)</f>
        <v/>
      </c>
      <c r="AX81" s="119" t="inlineStr">
        <is>
          <t>1.100</t>
        </is>
      </c>
      <c r="AY81" s="12" t="n"/>
      <c r="AZ81" s="119" t="inlineStr">
        <is>
          <t>7.100</t>
        </is>
      </c>
      <c r="BA81" s="12" t="n"/>
      <c r="BB81" s="115" t="n"/>
      <c r="BC81" s="119">
        <f>IF(DADOS!$CZ$43=29,"▸ 29",29)</f>
        <v/>
      </c>
      <c r="BD81" s="119" t="inlineStr">
        <is>
          <t>1.700</t>
        </is>
      </c>
      <c r="BE81" s="12" t="n"/>
      <c r="BF81" s="119" t="inlineStr">
        <is>
          <t>29.000</t>
        </is>
      </c>
      <c r="BG81" s="12" t="n"/>
      <c r="BH81" s="115" t="n"/>
      <c r="BI81" s="115" t="n"/>
      <c r="BJ81" s="115" t="n"/>
      <c r="BK81" s="115" t="n"/>
      <c r="BL81" s="115" t="n"/>
      <c r="BM81" s="115" t="n"/>
      <c r="BN81" s="115" t="n"/>
      <c r="BO81" s="115" t="n"/>
      <c r="BP81" s="115" t="n"/>
      <c r="BQ81" s="115" t="n"/>
      <c r="BR81" s="115" t="n"/>
      <c r="BS81" s="115" t="n"/>
      <c r="BT81" s="115" t="n"/>
    </row>
    <row r="82">
      <c r="A82" s="8" t="n"/>
      <c r="B82" s="22" t="n"/>
      <c r="C82" s="115" t="n"/>
      <c r="D82" s="118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2" t="n"/>
      <c r="T82" s="119" t="n"/>
      <c r="U82" s="12" t="n"/>
      <c r="V82" s="119">
        <f>IF($D82="","",IF($T82="",1,$T82)*0.1)</f>
        <v/>
      </c>
      <c r="W82" s="11" t="n"/>
      <c r="X82" s="12" t="n"/>
      <c r="Y82" s="115" t="n"/>
      <c r="Z82" s="118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2" t="n"/>
      <c r="AP82" s="119" t="n"/>
      <c r="AQ82" s="12" t="n"/>
      <c r="AR82" s="119">
        <f>IF($Z82="","",IF($AP82="",1,$AP82)*0.1)</f>
        <v/>
      </c>
      <c r="AS82" s="11" t="n"/>
      <c r="AT82" s="12" t="n"/>
      <c r="AU82" s="115" t="n"/>
      <c r="AV82" s="115" t="n"/>
      <c r="AW82" s="119">
        <f>IF(DADOS!$CZ$43=15,"▸ 15",15)</f>
        <v/>
      </c>
      <c r="AX82" s="119" t="inlineStr">
        <is>
          <t>1.100</t>
        </is>
      </c>
      <c r="AY82" s="12" t="n"/>
      <c r="AZ82" s="119" t="inlineStr">
        <is>
          <t>8.200</t>
        </is>
      </c>
      <c r="BA82" s="12" t="n"/>
      <c r="BB82" s="115" t="n"/>
      <c r="BC82" s="119">
        <f>IF(DADOS!$CZ$43=30,"▸ 30",30)</f>
        <v/>
      </c>
      <c r="BD82" s="119" t="inlineStr">
        <is>
          <t>—</t>
        </is>
      </c>
      <c r="BE82" s="12" t="n"/>
      <c r="BF82" s="119" t="inlineStr">
        <is>
          <t>30.700</t>
        </is>
      </c>
      <c r="BG82" s="12" t="n"/>
      <c r="BH82" s="115" t="n"/>
      <c r="BI82" s="115" t="n"/>
      <c r="BJ82" s="115" t="n"/>
      <c r="BK82" s="115" t="n"/>
      <c r="BL82" s="115" t="n"/>
      <c r="BM82" s="115" t="n"/>
      <c r="BN82" s="115" t="n"/>
      <c r="BO82" s="115" t="n"/>
      <c r="BP82" s="115" t="n"/>
      <c r="BQ82" s="115" t="n"/>
      <c r="BR82" s="115" t="n"/>
      <c r="BS82" s="115" t="n"/>
      <c r="BT82" s="115" t="n"/>
    </row>
    <row r="83">
      <c r="A83" s="8" t="n"/>
      <c r="B83" s="22" t="n"/>
      <c r="C83" s="115" t="n"/>
      <c r="D83" s="118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2" t="n"/>
      <c r="T83" s="119" t="n"/>
      <c r="U83" s="12" t="n"/>
      <c r="V83" s="119">
        <f>IF($D83="","",IF($T83="",1,$T83)*0.1)</f>
        <v/>
      </c>
      <c r="W83" s="11" t="n"/>
      <c r="X83" s="12" t="n"/>
      <c r="Y83" s="115" t="n"/>
      <c r="Z83" s="118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2" t="n"/>
      <c r="AP83" s="119" t="n"/>
      <c r="AQ83" s="12" t="n"/>
      <c r="AR83" s="119">
        <f>IF($Z83="","",IF($AP83="",1,$AP83)*0.1)</f>
        <v/>
      </c>
      <c r="AS83" s="11" t="n"/>
      <c r="AT83" s="12" t="n"/>
      <c r="AU83" s="115" t="n"/>
      <c r="AV83" s="115" t="n"/>
      <c r="AW83" s="119">
        <f>IF(DADOS!$CZ$43=16,"▸ 16",16)</f>
        <v/>
      </c>
      <c r="AX83" s="119" t="inlineStr">
        <is>
          <t>1.100</t>
        </is>
      </c>
      <c r="AY83" s="12" t="n"/>
      <c r="AZ83" s="119" t="inlineStr">
        <is>
          <t>9.300</t>
        </is>
      </c>
      <c r="BA83" s="12" t="n"/>
      <c r="BB83" s="115" t="n"/>
      <c r="BC83" s="115" t="n"/>
      <c r="BD83" s="115" t="n"/>
      <c r="BE83" s="115" t="n"/>
      <c r="BF83" s="115" t="n"/>
      <c r="BG83" s="115" t="n"/>
      <c r="BH83" s="115" t="n"/>
      <c r="BI83" s="115" t="n"/>
      <c r="BJ83" s="115" t="n"/>
      <c r="BK83" s="115" t="n"/>
      <c r="BL83" s="115" t="n"/>
      <c r="BM83" s="115" t="n"/>
      <c r="BN83" s="115" t="n"/>
      <c r="BO83" s="115" t="n"/>
      <c r="BP83" s="115" t="n"/>
      <c r="BQ83" s="115" t="n"/>
      <c r="BR83" s="115" t="n"/>
      <c r="BS83" s="115" t="n"/>
      <c r="BT83" s="115" t="n"/>
    </row>
    <row r="84">
      <c r="A84" s="8" t="n"/>
      <c r="B84" s="22" t="n"/>
      <c r="C84" s="115" t="n"/>
      <c r="D84" s="118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2" t="n"/>
      <c r="T84" s="119" t="n"/>
      <c r="U84" s="12" t="n"/>
      <c r="V84" s="119">
        <f>IF($D84="","",IF($T84="",1,$T84)*0.1)</f>
        <v/>
      </c>
      <c r="W84" s="11" t="n"/>
      <c r="X84" s="12" t="n"/>
      <c r="Y84" s="115" t="n"/>
      <c r="Z84" s="118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2" t="n"/>
      <c r="AP84" s="119" t="n"/>
      <c r="AQ84" s="12" t="n"/>
      <c r="AR84" s="119">
        <f>IF($Z84="","",IF($AP84="",1,$AP84)*0.1)</f>
        <v/>
      </c>
      <c r="AS84" s="11" t="n"/>
      <c r="AT84" s="12" t="n"/>
      <c r="AU84" s="115" t="n"/>
      <c r="AV84" s="115" t="n"/>
      <c r="AW84" s="115" t="n"/>
      <c r="AX84" s="115" t="n"/>
      <c r="AY84" s="115" t="n"/>
      <c r="AZ84" s="115" t="n"/>
      <c r="BA84" s="115" t="n"/>
      <c r="BB84" s="115" t="n"/>
      <c r="BC84" s="115" t="n"/>
      <c r="BD84" s="115" t="n"/>
      <c r="BE84" s="115" t="n"/>
      <c r="BF84" s="115" t="n"/>
      <c r="BG84" s="115" t="n"/>
      <c r="BH84" s="115" t="n"/>
      <c r="BI84" s="115" t="n"/>
      <c r="BJ84" s="115" t="n"/>
      <c r="BK84" s="115" t="n"/>
      <c r="BL84" s="115" t="n"/>
      <c r="BM84" s="115" t="n"/>
      <c r="BN84" s="115" t="n"/>
      <c r="BO84" s="115" t="n"/>
      <c r="BP84" s="115" t="n"/>
      <c r="BQ84" s="115" t="n"/>
      <c r="BR84" s="115" t="n"/>
      <c r="BS84" s="115" t="n"/>
      <c r="BT84" s="115" t="n"/>
    </row>
    <row r="85">
      <c r="A85" s="8" t="n"/>
      <c r="B85" s="22" t="n"/>
      <c r="C85" s="115" t="n"/>
      <c r="D85" s="118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2" t="n"/>
      <c r="T85" s="119" t="n"/>
      <c r="U85" s="12" t="n"/>
      <c r="V85" s="119">
        <f>IF($D85="","",IF($T85="",1,$T85)*0.1)</f>
        <v/>
      </c>
      <c r="W85" s="11" t="n"/>
      <c r="X85" s="12" t="n"/>
      <c r="Y85" s="115" t="n"/>
      <c r="Z85" s="118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2" t="n"/>
      <c r="AP85" s="119" t="n"/>
      <c r="AQ85" s="12" t="n"/>
      <c r="AR85" s="119">
        <f>IF($Z85="","",IF($AP85="",1,$AP85)*0.1)</f>
        <v/>
      </c>
      <c r="AS85" s="11" t="n"/>
      <c r="AT85" s="12" t="n"/>
      <c r="AU85" s="115" t="n"/>
      <c r="AV85" s="115" t="n"/>
      <c r="AW85" s="115" t="n"/>
      <c r="AX85" s="115" t="n"/>
      <c r="AY85" s="115" t="n"/>
      <c r="AZ85" s="115" t="n"/>
      <c r="BA85" s="115" t="n"/>
      <c r="BB85" s="115" t="n"/>
      <c r="BC85" s="115" t="n"/>
      <c r="BD85" s="115" t="n"/>
      <c r="BE85" s="115" t="n"/>
      <c r="BF85" s="115" t="n"/>
      <c r="BG85" s="115" t="n"/>
      <c r="BH85" s="115" t="n"/>
      <c r="BI85" s="115" t="n"/>
      <c r="BJ85" s="115" t="n"/>
      <c r="BK85" s="115" t="n"/>
      <c r="BL85" s="115" t="n"/>
      <c r="BM85" s="115" t="n"/>
      <c r="BN85" s="115" t="n"/>
      <c r="BO85" s="115" t="n"/>
      <c r="BP85" s="115" t="n"/>
      <c r="BQ85" s="115" t="n"/>
      <c r="BR85" s="115" t="n"/>
      <c r="BS85" s="115" t="n"/>
      <c r="BT85" s="115" t="n"/>
    </row>
    <row r="86">
      <c r="A86" s="8" t="n"/>
      <c r="B86" s="22" t="n"/>
      <c r="C86" s="115" t="n"/>
      <c r="D86" s="118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2" t="n"/>
      <c r="T86" s="119" t="n"/>
      <c r="U86" s="12" t="n"/>
      <c r="V86" s="119">
        <f>IF($D86="","",IF($T86="",1,$T86)*0.1)</f>
        <v/>
      </c>
      <c r="W86" s="11" t="n"/>
      <c r="X86" s="12" t="n"/>
      <c r="Y86" s="115" t="n"/>
      <c r="Z86" s="118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2" t="n"/>
      <c r="AP86" s="119" t="n"/>
      <c r="AQ86" s="12" t="n"/>
      <c r="AR86" s="119">
        <f>IF($Z86="","",IF($AP86="",1,$AP86)*0.1)</f>
        <v/>
      </c>
      <c r="AS86" s="11" t="n"/>
      <c r="AT86" s="12" t="n"/>
      <c r="AU86" s="115" t="n"/>
      <c r="AV86" s="115" t="n"/>
      <c r="AW86" s="115" t="n"/>
      <c r="AX86" s="115" t="n"/>
      <c r="AY86" s="115" t="n"/>
      <c r="AZ86" s="115" t="n"/>
      <c r="BA86" s="115" t="n"/>
      <c r="BB86" s="115" t="n"/>
      <c r="BC86" s="115" t="n"/>
      <c r="BD86" s="115" t="n"/>
      <c r="BE86" s="115" t="n"/>
      <c r="BF86" s="115" t="n"/>
      <c r="BG86" s="115" t="n"/>
      <c r="BH86" s="115" t="n"/>
      <c r="BI86" s="115" t="n"/>
      <c r="BJ86" s="115" t="n"/>
      <c r="BK86" s="115" t="n"/>
      <c r="BL86" s="115" t="n"/>
      <c r="BM86" s="115" t="n"/>
      <c r="BN86" s="115" t="n"/>
      <c r="BO86" s="115" t="n"/>
      <c r="BP86" s="115" t="n"/>
      <c r="BQ86" s="115" t="n"/>
      <c r="BR86" s="115" t="n"/>
      <c r="BS86" s="115" t="n"/>
      <c r="BT86" s="115" t="n"/>
    </row>
    <row r="87">
      <c r="A87" s="8" t="n"/>
      <c r="B87" s="22" t="n"/>
      <c r="C87" s="115" t="n"/>
      <c r="D87" s="115" t="n"/>
      <c r="E87" s="115" t="n"/>
      <c r="F87" s="115" t="n"/>
      <c r="G87" s="115" t="n"/>
      <c r="H87" s="115" t="n"/>
      <c r="I87" s="115" t="n"/>
      <c r="J87" s="115" t="n"/>
      <c r="K87" s="115" t="n"/>
      <c r="L87" s="115" t="n"/>
      <c r="M87" s="115" t="n"/>
      <c r="N87" s="115" t="n"/>
      <c r="O87" s="115" t="n"/>
      <c r="P87" s="115" t="n"/>
      <c r="Q87" s="115" t="n"/>
      <c r="R87" s="115" t="n"/>
      <c r="S87" s="115" t="n"/>
      <c r="T87" s="115" t="n"/>
      <c r="U87" s="115" t="n"/>
      <c r="V87" s="115" t="n"/>
      <c r="W87" s="115" t="n"/>
      <c r="X87" s="115" t="n"/>
      <c r="Y87" s="115" t="n"/>
      <c r="Z87" s="115" t="n"/>
      <c r="AA87" s="115" t="n"/>
      <c r="AB87" s="115" t="n"/>
      <c r="AC87" s="115" t="n"/>
      <c r="AD87" s="115" t="n"/>
      <c r="AE87" s="115" t="n"/>
      <c r="AF87" s="115" t="n"/>
      <c r="AG87" s="115" t="n"/>
      <c r="AH87" s="115" t="n"/>
      <c r="AI87" s="115" t="n"/>
      <c r="AJ87" s="115" t="n"/>
      <c r="AK87" s="115" t="n"/>
      <c r="AL87" s="115" t="n"/>
      <c r="AM87" s="115" t="n"/>
      <c r="AN87" s="115" t="n"/>
      <c r="AO87" s="115" t="n"/>
      <c r="AP87" s="115" t="n"/>
      <c r="AQ87" s="115" t="n"/>
      <c r="AR87" s="115" t="n"/>
      <c r="AS87" s="115" t="n"/>
      <c r="AT87" s="115" t="n"/>
      <c r="AU87" s="115" t="n"/>
      <c r="AV87" s="115" t="n"/>
      <c r="AW87" s="115" t="n"/>
      <c r="AX87" s="115" t="n"/>
      <c r="AY87" s="115" t="n"/>
      <c r="AZ87" s="115" t="n"/>
      <c r="BA87" s="115" t="n"/>
      <c r="BB87" s="115" t="n"/>
      <c r="BC87" s="115" t="n"/>
      <c r="BD87" s="115" t="n"/>
      <c r="BE87" s="115" t="n"/>
      <c r="BF87" s="115" t="n"/>
      <c r="BG87" s="115" t="n"/>
      <c r="BH87" s="115" t="n"/>
      <c r="BI87" s="115" t="n"/>
      <c r="BJ87" s="115" t="n"/>
      <c r="BK87" s="115" t="n"/>
      <c r="BL87" s="115" t="n"/>
      <c r="BM87" s="115" t="n"/>
      <c r="BN87" s="115" t="n"/>
      <c r="BO87" s="115" t="n"/>
      <c r="BP87" s="115" t="n"/>
      <c r="BQ87" s="115" t="n"/>
      <c r="BR87" s="115" t="n"/>
      <c r="BS87" s="115" t="n"/>
      <c r="BT87" s="115" t="n"/>
    </row>
  </sheetData>
  <mergeCells count="340">
    <mergeCell ref="AK68:AP68"/>
    <mergeCell ref="S72:T72"/>
    <mergeCell ref="D38:AT39"/>
    <mergeCell ref="AQ69:AT69"/>
    <mergeCell ref="W68:AD68"/>
    <mergeCell ref="AK69:AP69"/>
    <mergeCell ref="BD69:BE69"/>
    <mergeCell ref="AI76:AJ76"/>
    <mergeCell ref="W59:AD59"/>
    <mergeCell ref="W48:AD48"/>
    <mergeCell ref="AN60:AT60"/>
    <mergeCell ref="M70:R70"/>
    <mergeCell ref="Q23:AT30"/>
    <mergeCell ref="T82:U82"/>
    <mergeCell ref="M74:R74"/>
    <mergeCell ref="A8:B29"/>
    <mergeCell ref="O63:U64"/>
    <mergeCell ref="AP83:AQ83"/>
    <mergeCell ref="W74:AD74"/>
    <mergeCell ref="AK76:AP76"/>
    <mergeCell ref="AO10:AT10"/>
    <mergeCell ref="AF56:AL56"/>
    <mergeCell ref="D46:AT47"/>
    <mergeCell ref="BD82:BE82"/>
    <mergeCell ref="BF82:BG82"/>
    <mergeCell ref="AP85:AQ85"/>
    <mergeCell ref="W76:AD76"/>
    <mergeCell ref="D81:S81"/>
    <mergeCell ref="U71:V71"/>
    <mergeCell ref="AW8:BG9"/>
    <mergeCell ref="AQ72:AT72"/>
    <mergeCell ref="Q11:Z12"/>
    <mergeCell ref="K44:Q44"/>
    <mergeCell ref="U73:V73"/>
    <mergeCell ref="AW66:BG67"/>
    <mergeCell ref="Z82:AO82"/>
    <mergeCell ref="Y15:AE16"/>
    <mergeCell ref="W69:AD69"/>
    <mergeCell ref="D74:J74"/>
    <mergeCell ref="D68:J68"/>
    <mergeCell ref="BD72:BE72"/>
    <mergeCell ref="BF72:BG72"/>
    <mergeCell ref="AE75:AF75"/>
    <mergeCell ref="N53:U53"/>
    <mergeCell ref="AX70:AY70"/>
    <mergeCell ref="W51:AD51"/>
    <mergeCell ref="D69:J69"/>
    <mergeCell ref="T83:U83"/>
    <mergeCell ref="T85:U85"/>
    <mergeCell ref="T84:U84"/>
    <mergeCell ref="AF50:AL50"/>
    <mergeCell ref="N54:U54"/>
    <mergeCell ref="V83:X83"/>
    <mergeCell ref="U74:V74"/>
    <mergeCell ref="AE71:AF71"/>
    <mergeCell ref="D82:S82"/>
    <mergeCell ref="BF80:BG80"/>
    <mergeCell ref="AF52:AL52"/>
    <mergeCell ref="N56:U56"/>
    <mergeCell ref="AO11:AT12"/>
    <mergeCell ref="S44:Y44"/>
    <mergeCell ref="U76:V76"/>
    <mergeCell ref="AO44:AT44"/>
    <mergeCell ref="K75:L75"/>
    <mergeCell ref="AZ70:BA70"/>
    <mergeCell ref="AN49:AT49"/>
    <mergeCell ref="Z85:AO85"/>
    <mergeCell ref="AP81:AQ81"/>
    <mergeCell ref="W72:AD72"/>
    <mergeCell ref="N59:U59"/>
    <mergeCell ref="AX71:AY71"/>
    <mergeCell ref="K70:L70"/>
    <mergeCell ref="AZ71:BA71"/>
    <mergeCell ref="AX73:AY73"/>
    <mergeCell ref="AZ73:BA73"/>
    <mergeCell ref="Q19:AT20"/>
    <mergeCell ref="D72:J72"/>
    <mergeCell ref="AI11:AM12"/>
    <mergeCell ref="AF55:AL55"/>
    <mergeCell ref="BE11:BG12"/>
    <mergeCell ref="AR82:AT82"/>
    <mergeCell ref="AN62:AT62"/>
    <mergeCell ref="D41:Q42"/>
    <mergeCell ref="AZ68:BA68"/>
    <mergeCell ref="AR83:AT83"/>
    <mergeCell ref="AE73:AF73"/>
    <mergeCell ref="E59:L59"/>
    <mergeCell ref="AF53:AL53"/>
    <mergeCell ref="N57:U57"/>
    <mergeCell ref="M71:R71"/>
    <mergeCell ref="AG15:AM16"/>
    <mergeCell ref="AE74:AF74"/>
    <mergeCell ref="AE68:AF68"/>
    <mergeCell ref="AG74:AH74"/>
    <mergeCell ref="T81:U81"/>
    <mergeCell ref="AG68:AH68"/>
    <mergeCell ref="AI68:AJ68"/>
    <mergeCell ref="E54:L54"/>
    <mergeCell ref="W63:AD64"/>
    <mergeCell ref="AX79:AY79"/>
    <mergeCell ref="S75:T75"/>
    <mergeCell ref="BF70:BG70"/>
    <mergeCell ref="E56:L56"/>
    <mergeCell ref="AG69:AH69"/>
    <mergeCell ref="AN52:AT52"/>
    <mergeCell ref="AI69:AJ69"/>
    <mergeCell ref="AX81:AY81"/>
    <mergeCell ref="S70:T70"/>
    <mergeCell ref="AZ74:BA74"/>
    <mergeCell ref="U70:V70"/>
    <mergeCell ref="H2:Z3"/>
    <mergeCell ref="BF76:BG76"/>
    <mergeCell ref="AF48:AL48"/>
    <mergeCell ref="AX76:AY76"/>
    <mergeCell ref="D10:O28"/>
    <mergeCell ref="AZ76:BA76"/>
    <mergeCell ref="AR85:AT85"/>
    <mergeCell ref="E49:L49"/>
    <mergeCell ref="Y14:AE14"/>
    <mergeCell ref="Z81:AO81"/>
    <mergeCell ref="Q14:W14"/>
    <mergeCell ref="AN50:AT50"/>
    <mergeCell ref="AR86:AT86"/>
    <mergeCell ref="M73:R73"/>
    <mergeCell ref="K74:L74"/>
    <mergeCell ref="K68:L68"/>
    <mergeCell ref="AE76:AF76"/>
    <mergeCell ref="AI10:AM10"/>
    <mergeCell ref="E51:L51"/>
    <mergeCell ref="W54:AD54"/>
    <mergeCell ref="Q22:AT22"/>
    <mergeCell ref="AN53:AT53"/>
    <mergeCell ref="AG75:AH75"/>
    <mergeCell ref="W56:AD56"/>
    <mergeCell ref="AQ75:AT75"/>
    <mergeCell ref="AN55:AT55"/>
    <mergeCell ref="AI72:AJ72"/>
    <mergeCell ref="D2:G4"/>
    <mergeCell ref="AK75:AP75"/>
    <mergeCell ref="AF62:AL62"/>
    <mergeCell ref="V85:X85"/>
    <mergeCell ref="V82:X82"/>
    <mergeCell ref="AZ77:BA77"/>
    <mergeCell ref="AX82:AY82"/>
    <mergeCell ref="D8:AT9"/>
    <mergeCell ref="AZ82:BA82"/>
    <mergeCell ref="AH41:AT42"/>
    <mergeCell ref="AF51:AL51"/>
    <mergeCell ref="M69:R69"/>
    <mergeCell ref="E50:L50"/>
    <mergeCell ref="BD75:BE75"/>
    <mergeCell ref="AN58:AT58"/>
    <mergeCell ref="E52:L52"/>
    <mergeCell ref="AF63:AL64"/>
    <mergeCell ref="AG14:AM14"/>
    <mergeCell ref="AK72:AP72"/>
    <mergeCell ref="AQ70:AT70"/>
    <mergeCell ref="I63:M64"/>
    <mergeCell ref="Q15:W16"/>
    <mergeCell ref="M76:R76"/>
    <mergeCell ref="AB2:AT3"/>
    <mergeCell ref="AX72:AY72"/>
    <mergeCell ref="S68:T68"/>
    <mergeCell ref="AO15:AT16"/>
    <mergeCell ref="AZ72:BA72"/>
    <mergeCell ref="U68:V68"/>
    <mergeCell ref="AW10:BA10"/>
    <mergeCell ref="E57:L57"/>
    <mergeCell ref="AF59:AL59"/>
    <mergeCell ref="W57:AD57"/>
    <mergeCell ref="AE70:AF70"/>
    <mergeCell ref="E58:L58"/>
    <mergeCell ref="AN48:AT48"/>
    <mergeCell ref="AZ83:BA83"/>
    <mergeCell ref="E60:L60"/>
    <mergeCell ref="T80:U80"/>
    <mergeCell ref="W75:AD75"/>
    <mergeCell ref="M72:R72"/>
    <mergeCell ref="W62:AD62"/>
    <mergeCell ref="BD78:BE78"/>
    <mergeCell ref="S40:AF40"/>
    <mergeCell ref="BF78:BG78"/>
    <mergeCell ref="BI8:BS9"/>
    <mergeCell ref="Q33:AT36"/>
    <mergeCell ref="S74:T74"/>
    <mergeCell ref="BF71:BG71"/>
    <mergeCell ref="BD80:BE80"/>
    <mergeCell ref="AQ71:AT71"/>
    <mergeCell ref="W70:AD70"/>
    <mergeCell ref="AN51:AT51"/>
    <mergeCell ref="D75:J75"/>
    <mergeCell ref="S76:T76"/>
    <mergeCell ref="AK71:AP71"/>
    <mergeCell ref="BF73:BG73"/>
    <mergeCell ref="AQ73:AT73"/>
    <mergeCell ref="N49:U49"/>
    <mergeCell ref="Z83:AO83"/>
    <mergeCell ref="U69:V69"/>
    <mergeCell ref="O62:U62"/>
    <mergeCell ref="AK73:AP73"/>
    <mergeCell ref="Z80:AO80"/>
    <mergeCell ref="BD68:BE68"/>
    <mergeCell ref="BF68:BG68"/>
    <mergeCell ref="AB4:AT4"/>
    <mergeCell ref="AX68:AY68"/>
    <mergeCell ref="Q32:AT32"/>
    <mergeCell ref="AB11:AG12"/>
    <mergeCell ref="BD79:BE79"/>
    <mergeCell ref="BF79:BG79"/>
    <mergeCell ref="V84:X84"/>
    <mergeCell ref="AO14:AT14"/>
    <mergeCell ref="BD81:BE81"/>
    <mergeCell ref="D83:S83"/>
    <mergeCell ref="S43:AF43"/>
    <mergeCell ref="BF81:BG81"/>
    <mergeCell ref="AQ74:AT74"/>
    <mergeCell ref="D85:S85"/>
    <mergeCell ref="AP82:AQ82"/>
    <mergeCell ref="Z84:AO84"/>
    <mergeCell ref="AQ76:AT76"/>
    <mergeCell ref="D31:O36"/>
    <mergeCell ref="N52:U52"/>
    <mergeCell ref="AW11:BA12"/>
    <mergeCell ref="Z86:AO86"/>
    <mergeCell ref="A33:B51"/>
    <mergeCell ref="U72:V72"/>
    <mergeCell ref="D80:S80"/>
    <mergeCell ref="K71:L71"/>
    <mergeCell ref="AX74:AY74"/>
    <mergeCell ref="K73:L73"/>
    <mergeCell ref="W53:AD53"/>
    <mergeCell ref="D71:J71"/>
    <mergeCell ref="BF69:BG69"/>
    <mergeCell ref="AX69:AY69"/>
    <mergeCell ref="AZ69:BA69"/>
    <mergeCell ref="M75:R75"/>
    <mergeCell ref="D73:J73"/>
    <mergeCell ref="N50:U50"/>
    <mergeCell ref="AR84:AT84"/>
    <mergeCell ref="AR80:AT80"/>
    <mergeCell ref="D84:S84"/>
    <mergeCell ref="D78:AT79"/>
    <mergeCell ref="BC11:BD12"/>
    <mergeCell ref="D86:S86"/>
    <mergeCell ref="AE69:AF69"/>
    <mergeCell ref="N60:U60"/>
    <mergeCell ref="M68:R68"/>
    <mergeCell ref="N55:U55"/>
    <mergeCell ref="AE72:AF72"/>
    <mergeCell ref="S71:T71"/>
    <mergeCell ref="AN63:AT64"/>
    <mergeCell ref="BD77:BE77"/>
    <mergeCell ref="BF77:BG77"/>
    <mergeCell ref="AX77:AY77"/>
    <mergeCell ref="S73:T73"/>
    <mergeCell ref="K76:L76"/>
    <mergeCell ref="N58:U58"/>
    <mergeCell ref="AP84:AQ84"/>
    <mergeCell ref="D30:O30"/>
    <mergeCell ref="AX75:AY75"/>
    <mergeCell ref="AZ75:BA75"/>
    <mergeCell ref="AB10:AG10"/>
    <mergeCell ref="D66:AT67"/>
    <mergeCell ref="AF57:AL57"/>
    <mergeCell ref="V80:X80"/>
    <mergeCell ref="AP86:AQ86"/>
    <mergeCell ref="AP80:AQ80"/>
    <mergeCell ref="AI75:AJ75"/>
    <mergeCell ref="D76:J76"/>
    <mergeCell ref="AR81:AT81"/>
    <mergeCell ref="BD70:BE70"/>
    <mergeCell ref="K69:L69"/>
    <mergeCell ref="AN59:AT59"/>
    <mergeCell ref="W49:AD49"/>
    <mergeCell ref="AG72:AH72"/>
    <mergeCell ref="K72:L72"/>
    <mergeCell ref="D63:H64"/>
    <mergeCell ref="AG70:AH70"/>
    <mergeCell ref="AI70:AJ70"/>
    <mergeCell ref="N48:U48"/>
    <mergeCell ref="H4:Z4"/>
    <mergeCell ref="AK70:AP70"/>
    <mergeCell ref="V86:X86"/>
    <mergeCell ref="AG71:AH71"/>
    <mergeCell ref="AN54:AT54"/>
    <mergeCell ref="AI71:AJ71"/>
    <mergeCell ref="AF54:AL54"/>
    <mergeCell ref="AX83:AY83"/>
    <mergeCell ref="W52:AD52"/>
    <mergeCell ref="Q10:Z10"/>
    <mergeCell ref="T86:U86"/>
    <mergeCell ref="AN56:AT56"/>
    <mergeCell ref="C6:AR6"/>
    <mergeCell ref="AF58:AL58"/>
    <mergeCell ref="Q18:AT18"/>
    <mergeCell ref="V81:X81"/>
    <mergeCell ref="AX78:AY78"/>
    <mergeCell ref="AZ78:BA78"/>
    <mergeCell ref="Z44:AF44"/>
    <mergeCell ref="AF60:AL60"/>
    <mergeCell ref="N51:U51"/>
    <mergeCell ref="AX80:AY80"/>
    <mergeCell ref="AZ80:BA80"/>
    <mergeCell ref="D40:Q40"/>
    <mergeCell ref="BD71:BE71"/>
    <mergeCell ref="BD73:BE73"/>
    <mergeCell ref="W50:AD50"/>
    <mergeCell ref="AF49:AL49"/>
    <mergeCell ref="S69:T69"/>
    <mergeCell ref="D43:Q43"/>
    <mergeCell ref="AH43:AT43"/>
    <mergeCell ref="AQ68:AT68"/>
    <mergeCell ref="AH44:AN44"/>
    <mergeCell ref="E53:L53"/>
    <mergeCell ref="AG73:AH73"/>
    <mergeCell ref="AI73:AJ73"/>
    <mergeCell ref="D62:M62"/>
    <mergeCell ref="E55:L55"/>
    <mergeCell ref="BF75:BG75"/>
    <mergeCell ref="E48:L48"/>
    <mergeCell ref="AN57:AT57"/>
    <mergeCell ref="AI74:AJ74"/>
    <mergeCell ref="D44:J44"/>
    <mergeCell ref="W55:AD55"/>
    <mergeCell ref="AG76:AH76"/>
    <mergeCell ref="AZ79:BA79"/>
    <mergeCell ref="U75:V75"/>
    <mergeCell ref="AZ81:BA81"/>
    <mergeCell ref="S41:AF42"/>
    <mergeCell ref="W71:AD71"/>
    <mergeCell ref="W58:AD58"/>
    <mergeCell ref="D70:J70"/>
    <mergeCell ref="BD74:BE74"/>
    <mergeCell ref="BF74:BG74"/>
    <mergeCell ref="W73:AD73"/>
    <mergeCell ref="BC10:BG10"/>
    <mergeCell ref="AH40:AT40"/>
    <mergeCell ref="W60:AD60"/>
    <mergeCell ref="BD76:BE76"/>
    <mergeCell ref="AK74:AP74"/>
  </mergeCells>
  <dataValidations count="19">
    <dataValidation sqref="AB11" showDropDown="0" showInputMessage="0" showErrorMessage="0" allowBlank="1" type="list">
      <formula1>DADOS!$CF$5:$CF$9</formula1>
    </dataValidation>
    <dataValidation sqref="D41" showDropDown="0" showInputMessage="0" showErrorMessage="0" allowBlank="1" type="list">
      <formula1>DADOS!$DB$5:$DB$13</formula1>
    </dataValidation>
    <dataValidation sqref="S41" showDropDown="0" showInputMessage="0" showErrorMessage="0" allowBlank="1" type="list">
      <formula1>DADOS!$DD$5:$DD$14</formula1>
    </dataValidation>
    <dataValidation sqref="AH41" showDropDown="0" showInputMessage="0" showErrorMessage="0" allowBlank="1" type="list">
      <formula1>DADOS!$DF$5:$DF$11</formula1>
    </dataValidation>
    <dataValidation sqref="AN63" showDropDown="0" showInputMessage="0" showErrorMessage="0" allowBlank="1" type="list">
      <formula1>DADOS!$CJ$5:$CJ$13</formula1>
    </dataValidation>
    <dataValidation sqref="D69:D74" showDropDown="0" showInputMessage="0" showErrorMessage="0" allowBlank="1" type="list">
      <formula1>DADOS!$BD$5:$BD$59</formula1>
    </dataValidation>
    <dataValidation sqref="AI69:AI76" showDropDown="0" showInputMessage="0" showErrorMessage="0" allowBlank="1" type="list">
      <formula1>DADOS!$CU$5:$CU$10</formula1>
    </dataValidation>
    <dataValidation sqref="AX15:AX64" showDropDown="0" showInputMessage="0" showErrorMessage="0" allowBlank="1" type="list">
      <formula1>DADOS!$CL$5:$CL$10</formula1>
    </dataValidation>
    <dataValidation sqref="AY15:AY64" showDropDown="0" showInputMessage="0" showErrorMessage="0" allowBlank="1" type="list">
      <formula1>DADOS!$CO$5:$CO$7</formula1>
    </dataValidation>
    <dataValidation sqref="AZ15:AZ64" showDropDown="0" showInputMessage="0" showErrorMessage="0" allowBlank="1" type="list">
      <formula1>DADOS!$CR$5:$CR$9</formula1>
    </dataValidation>
    <dataValidation sqref="BD15:BD64" showDropDown="0" showInputMessage="0" showErrorMessage="0" allowBlank="1" type="list">
      <formula1>DADOS!$CL$5:$CL$10</formula1>
    </dataValidation>
    <dataValidation sqref="BE15:BE64" showDropDown="0" showInputMessage="0" showErrorMessage="0" allowBlank="1" type="list">
      <formula1>DADOS!$CO$5:$CO$7</formula1>
    </dataValidation>
    <dataValidation sqref="BF15:BF64" showDropDown="0" showInputMessage="0" showErrorMessage="0" allowBlank="1" type="list">
      <formula1>DADOS!$CR$5:$CR$9</formula1>
    </dataValidation>
    <dataValidation sqref="BJ15:BJ64" showDropDown="0" showInputMessage="0" showErrorMessage="0" allowBlank="1" type="list">
      <formula1>DADOS!$CL$5:$CL$10</formula1>
    </dataValidation>
    <dataValidation sqref="BK15:BK64" showDropDown="0" showInputMessage="0" showErrorMessage="0" allowBlank="1" type="list">
      <formula1>DADOS!$CO$5:$CO$7</formula1>
    </dataValidation>
    <dataValidation sqref="BL15:BL64" showDropDown="0" showInputMessage="0" showErrorMessage="0" allowBlank="1" type="list">
      <formula1>DADOS!$CR$5:$CR$9</formula1>
    </dataValidation>
    <dataValidation sqref="BP15:BP64" showDropDown="0" showInputMessage="0" showErrorMessage="0" allowBlank="1" type="list">
      <formula1>DADOS!$CL$5:$CL$10</formula1>
    </dataValidation>
    <dataValidation sqref="BQ15:BQ64" showDropDown="0" showInputMessage="0" showErrorMessage="0" allowBlank="1" type="list">
      <formula1>DADOS!$CO$5:$CO$7</formula1>
    </dataValidation>
    <dataValidation sqref="BR15:BR64" showDropDown="0" showInputMessage="0" showErrorMessage="0" allowBlank="1" type="list">
      <formula1>DADOS!$CR$5:$CR$9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M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  <col width="19.38" customWidth="1" min="55" max="55"/>
    <col width="19.38" customWidth="1" min="56" max="56"/>
    <col width="19.38" customWidth="1" min="57" max="57"/>
    <col width="19.38" customWidth="1" min="58" max="58"/>
    <col width="19.38" customWidth="1" min="59" max="59"/>
    <col width="19.38" customWidth="1" min="60" max="60"/>
    <col width="19.38" customWidth="1" min="61" max="61"/>
    <col width="19.38" customWidth="1" min="62" max="62"/>
    <col width="19.38" customWidth="1" min="63" max="63"/>
    <col width="19.38" customWidth="1" min="64" max="64"/>
    <col width="19.38" customWidth="1" min="65" max="65"/>
    <col width="19.38" customWidth="1" min="66" max="66"/>
    <col width="19.38" customWidth="1" min="67" max="67"/>
    <col width="19.38" customWidth="1" min="68" max="68"/>
    <col width="19.38" customWidth="1" min="69" max="69"/>
    <col width="19.38" customWidth="1" min="70" max="70"/>
    <col width="19.38" customWidth="1" min="71" max="71"/>
    <col width="19.38" customWidth="1" min="72" max="72"/>
    <col width="19.38" customWidth="1" min="73" max="73"/>
    <col width="19.38" customWidth="1" min="74" max="74"/>
    <col width="19.38" customWidth="1" min="75" max="75"/>
    <col width="19.38" customWidth="1" min="76" max="76"/>
    <col width="19.38" customWidth="1" min="77" max="77"/>
    <col width="19.38" customWidth="1" min="78" max="78"/>
    <col width="19.38" customWidth="1" min="79" max="79"/>
    <col width="19.38" customWidth="1" min="80" max="80"/>
    <col width="19.38" customWidth="1" min="81" max="81"/>
    <col width="19.38" customWidth="1" min="82" max="82"/>
    <col width="19.38" customWidth="1" min="83" max="83"/>
    <col width="19.38" customWidth="1" min="84" max="84"/>
    <col width="19.38" customWidth="1" min="85" max="85"/>
    <col width="19.38" customWidth="1" min="86" max="86"/>
    <col width="19.38" customWidth="1" min="87" max="87"/>
    <col width="19.38" customWidth="1" min="88" max="88"/>
    <col width="19.38" customWidth="1" min="89" max="89"/>
    <col width="19.38" customWidth="1" min="90" max="90"/>
    <col width="19.38" customWidth="1" min="91" max="91"/>
    <col width="19.38" customWidth="1" min="92" max="92"/>
    <col width="19.38" customWidth="1" min="93" max="93"/>
    <col width="19.38" customWidth="1" min="94" max="94"/>
    <col width="19.38" customWidth="1" min="95" max="95"/>
    <col width="19.38" customWidth="1" min="96" max="96"/>
    <col width="19.38" customWidth="1" min="97" max="97"/>
    <col width="19.38" customWidth="1" min="98" max="98"/>
    <col width="19.38" customWidth="1" min="99" max="99"/>
    <col width="19.38" customWidth="1" min="100" max="100"/>
    <col width="19.38" customWidth="1" min="101" max="101"/>
    <col width="19.38" customWidth="1" min="102" max="102"/>
    <col width="19.38" customWidth="1" min="103" max="103"/>
    <col width="19.38" customWidth="1" min="104" max="104"/>
    <col width="19.38" customWidth="1" min="105" max="105"/>
    <col width="19.38" customWidth="1" min="106" max="106"/>
    <col width="19.38" customWidth="1" min="107" max="107"/>
    <col width="19.38" customWidth="1" min="108" max="108"/>
    <col width="19.38" customWidth="1" min="109" max="109"/>
    <col width="19.38" customWidth="1" min="110" max="110"/>
    <col width="19.38" customWidth="1" min="111" max="111"/>
    <col width="19.38" customWidth="1" min="112" max="112"/>
    <col width="19.38" customWidth="1" min="113" max="113"/>
    <col width="19.38" customWidth="1" min="114" max="114"/>
    <col width="19.38" customWidth="1" min="115" max="115"/>
    <col width="19.38" customWidth="1" min="116" max="116"/>
    <col width="19.38" customWidth="1" min="117" max="117"/>
  </cols>
  <sheetData>
    <row r="1" ht="17.25" customHeight="1">
      <c r="A1" s="123" t="inlineStr">
        <is>
          <t>VERSÃO DO CATÁLOGO</t>
        </is>
      </c>
      <c r="B1" s="124" t="inlineStr">
        <is>
          <t>0.258</t>
        </is>
      </c>
      <c r="C1" s="125" t="inlineStr">
        <is>
          <t>versão corrente (puxada da central)</t>
        </is>
      </c>
      <c r="D1" s="124" t="inlineStr">
        <is>
          <t>0.258</t>
        </is>
      </c>
      <c r="E1" s="38" t="inlineStr">
        <is>
          <t>NOME DO SISTEMA</t>
        </is>
      </c>
      <c r="F1" s="38" t="inlineStr">
        <is>
          <t>Projeto M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  <c r="Y1" s="38" t="n"/>
      <c r="Z1" s="38" t="n"/>
      <c r="AA1" s="38" t="n"/>
      <c r="AB1" s="38" t="n"/>
      <c r="AC1" s="38" t="n"/>
      <c r="AD1" s="38" t="n"/>
      <c r="AE1" s="38" t="n"/>
      <c r="AF1" s="38" t="n"/>
      <c r="AG1" s="38" t="n"/>
      <c r="AH1" s="38" t="n"/>
      <c r="AI1" s="38" t="n"/>
      <c r="AJ1" s="38" t="n"/>
      <c r="AK1" s="38" t="n"/>
      <c r="AL1" s="38" t="n"/>
      <c r="AM1" s="38" t="n"/>
      <c r="AN1" s="38" t="n"/>
      <c r="AO1" s="38" t="n"/>
      <c r="AP1" s="38" t="n"/>
      <c r="AQ1" s="38" t="n"/>
      <c r="AR1" s="38" t="n"/>
      <c r="AS1" s="38" t="n"/>
      <c r="AT1" s="38" t="n"/>
      <c r="AU1" s="38" t="n"/>
      <c r="AV1" s="38" t="n"/>
      <c r="AW1" s="38" t="n"/>
      <c r="AX1" s="38" t="n"/>
      <c r="AY1" s="38" t="n"/>
      <c r="AZ1" s="38" t="n"/>
      <c r="BA1" s="38" t="n"/>
      <c r="BB1" s="38" t="n"/>
    </row>
    <row r="2">
      <c r="A2" s="125" t="inlineStr">
        <is>
          <t>cole aqui o IMPORTRANGE da central em D1 quando ela existir; enquanto não existir, D1 fica igual a B1 e o aviso some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8" t="n"/>
      <c r="AB2" s="38" t="n"/>
      <c r="AC2" s="38" t="n"/>
      <c r="AD2" s="38" t="n"/>
      <c r="AE2" s="38" t="n"/>
      <c r="AF2" s="38" t="n"/>
      <c r="AG2" s="38" t="n"/>
      <c r="AH2" s="38" t="n"/>
      <c r="AI2" s="38" t="n"/>
      <c r="AJ2" s="38" t="n"/>
      <c r="AK2" s="38" t="n"/>
      <c r="AL2" s="38" t="n"/>
      <c r="AM2" s="38" t="n"/>
      <c r="AN2" s="38" t="n"/>
      <c r="AO2" s="38" t="n"/>
      <c r="AP2" s="38" t="n"/>
      <c r="AQ2" s="38" t="n"/>
      <c r="AR2" s="38" t="n"/>
      <c r="AS2" s="38" t="n"/>
      <c r="AT2" s="38" t="n"/>
      <c r="AU2" s="38" t="n"/>
      <c r="AV2" s="38" t="n"/>
      <c r="AW2" s="38" t="n"/>
      <c r="AX2" s="38" t="n"/>
      <c r="AY2" s="38" t="n"/>
      <c r="AZ2" s="38" t="n"/>
      <c r="BA2" s="38" t="n"/>
      <c r="BB2" s="38" t="n"/>
    </row>
    <row r="3">
      <c r="A3" s="126" t="inlineStr">
        <is>
          <t>Caminhos</t>
        </is>
      </c>
      <c r="B3" s="126" t="inlineStr">
        <is>
          <t>Perícias</t>
        </is>
      </c>
      <c r="C3" s="126" t="inlineStr">
        <is>
          <t>Ofícios</t>
        </is>
      </c>
      <c r="D3" s="126" t="inlineStr">
        <is>
          <t>Famílias</t>
        </is>
      </c>
      <c r="E3" s="126" t="inlineStr">
        <is>
          <t>Formas</t>
        </is>
      </c>
      <c r="F3" s="126" t="inlineStr">
        <is>
          <t>Melhorias</t>
        </is>
      </c>
      <c r="G3" s="126" t="inlineStr">
        <is>
          <t>Restrições</t>
        </is>
      </c>
      <c r="H3" s="126" t="inlineStr">
        <is>
          <t>Condições</t>
        </is>
      </c>
      <c r="I3" s="126" t="inlineStr">
        <is>
          <t>Origens</t>
        </is>
      </c>
      <c r="J3" s="126" t="inlineStr">
        <is>
          <t>Testes</t>
        </is>
      </c>
      <c r="K3" s="126" t="inlineStr">
        <is>
          <t>Atributos</t>
        </is>
      </c>
      <c r="L3" s="126" t="inlineStr">
        <is>
          <t>Trilhas</t>
        </is>
      </c>
      <c r="M3" s="38" t="n"/>
      <c r="N3" s="126" t="inlineStr">
        <is>
          <t>tabela dos Caminhos</t>
        </is>
      </c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  <c r="BB3" s="38" t="n"/>
    </row>
    <row r="4" ht="17.25" customHeight="1">
      <c r="A4" s="114" t="inlineStr">
        <is>
          <t>Bastião</t>
        </is>
      </c>
      <c r="B4" s="114" t="inlineStr">
        <is>
          <t>Atletismo</t>
        </is>
      </c>
      <c r="C4" s="114" t="inlineStr">
        <is>
          <t>Condução</t>
        </is>
      </c>
      <c r="D4" s="114" t="inlineStr">
        <is>
          <t>Alcance</t>
        </is>
      </c>
      <c r="E4" s="114" t="inlineStr">
        <is>
          <t>Projétil</t>
        </is>
      </c>
      <c r="F4" s="114" t="inlineStr">
        <is>
          <t>Longe</t>
        </is>
      </c>
      <c r="G4" s="114" t="inlineStr">
        <is>
          <t>Corpo a Corpo</t>
        </is>
      </c>
      <c r="H4" s="114" t="inlineStr">
        <is>
          <t>Lento</t>
        </is>
      </c>
      <c r="I4" s="114" t="inlineStr">
        <is>
          <t>Latente</t>
        </is>
      </c>
      <c r="J4" s="114" t="inlineStr">
        <is>
          <t>Físico</t>
        </is>
      </c>
      <c r="K4" s="114" t="inlineStr">
        <is>
          <t>Força</t>
        </is>
      </c>
      <c r="L4" s="114" t="inlineStr">
        <is>
          <t>Muro</t>
        </is>
      </c>
      <c r="M4" s="38" t="n"/>
      <c r="N4" s="127" t="inlineStr">
        <is>
          <t>Caminho</t>
        </is>
      </c>
      <c r="O4" s="127" t="inlineStr">
        <is>
          <t>dado</t>
        </is>
      </c>
      <c r="P4" s="127" t="inlineStr">
        <is>
          <t>vida inicial</t>
        </is>
      </c>
      <c r="Q4" s="127" t="inlineStr">
        <is>
          <t>vida por nível</t>
        </is>
      </c>
      <c r="R4" s="127" t="inlineStr">
        <is>
          <t>PE por nível</t>
        </is>
      </c>
      <c r="S4" s="127" t="inlineStr">
        <is>
          <t>perícia fixa 1</t>
        </is>
      </c>
      <c r="T4" s="127" t="inlineStr">
        <is>
          <t>perícia fixa 2</t>
        </is>
      </c>
      <c r="U4" s="127" t="n"/>
      <c r="V4" s="38" t="n"/>
      <c r="W4" s="127" t="inlineStr">
        <is>
          <t>marcos</t>
        </is>
      </c>
      <c r="X4" s="127" t="inlineStr">
        <is>
          <t>maestria</t>
        </is>
      </c>
      <c r="Y4" s="127" t="inlineStr">
        <is>
          <t>classe</t>
        </is>
      </c>
      <c r="Z4" s="127" t="inlineStr">
        <is>
          <t>classe 0</t>
        </is>
      </c>
      <c r="AA4" s="38" t="n"/>
      <c r="AB4" s="127" t="inlineStr">
        <is>
          <t>perícia</t>
        </is>
      </c>
      <c r="AC4" s="127" t="inlineStr">
        <is>
          <t>atributo</t>
        </is>
      </c>
      <c r="AD4" s="38" t="n"/>
      <c r="AE4" s="127" t="inlineStr">
        <is>
          <t>equipamento</t>
        </is>
      </c>
      <c r="AF4" s="127" t="inlineStr">
        <is>
          <t>proteção</t>
        </is>
      </c>
      <c r="AG4" s="127" t="inlineStr">
        <is>
          <t>teto de destreza</t>
        </is>
      </c>
      <c r="AH4" s="127" t="inlineStr">
        <is>
          <t>desliga a passiva</t>
        </is>
      </c>
      <c r="AI4" s="38" t="n"/>
      <c r="AJ4" s="127" t="inlineStr">
        <is>
          <t>contas da ficha</t>
        </is>
      </c>
      <c r="AK4" s="127" t="inlineStr">
        <is>
          <t>valor</t>
        </is>
      </c>
      <c r="AL4" s="38" t="n"/>
      <c r="AM4" s="127" t="inlineStr">
        <is>
          <t>menu de Caminho</t>
        </is>
      </c>
      <c r="AN4" s="127" t="inlineStr">
        <is>
          <t>Trilha</t>
        </is>
      </c>
      <c r="AO4" s="127" t="inlineStr">
        <is>
          <t>Caminho da Trilha</t>
        </is>
      </c>
      <c r="AP4" s="127" t="inlineStr">
        <is>
          <t>menu de Trilha</t>
        </is>
      </c>
      <c r="AQ4" s="127" t="inlineStr">
        <is>
          <t>nível</t>
        </is>
      </c>
      <c r="AR4" s="127" t="inlineStr">
        <is>
          <t>xp acumulado</t>
        </is>
      </c>
      <c r="AS4" s="38" t="n"/>
      <c r="AT4" s="38" t="n"/>
      <c r="AU4" s="38" t="n"/>
      <c r="AV4" s="38" t="n"/>
      <c r="AW4" s="38" t="n"/>
      <c r="AX4" s="38" t="n"/>
      <c r="AY4" s="38" t="n"/>
      <c r="AZ4" s="38" t="n"/>
      <c r="BA4" s="127" t="inlineStr">
        <is>
          <t>campo</t>
        </is>
      </c>
      <c r="BB4" s="127" t="inlineStr">
        <is>
          <t>célula</t>
        </is>
      </c>
      <c r="BD4" s="127" t="inlineStr">
        <is>
          <t>equipável</t>
        </is>
      </c>
      <c r="BE4" s="127" t="inlineStr">
        <is>
          <t>categoria do equipável</t>
        </is>
      </c>
      <c r="BF4" s="127" t="inlineStr">
        <is>
          <t>mão do equipável</t>
        </is>
      </c>
      <c r="BG4" s="127" t="inlineStr">
        <is>
          <t>dado do equipável</t>
        </is>
      </c>
      <c r="BH4" s="127" t="inlineStr">
        <is>
          <t>propriedades do equipável</t>
        </is>
      </c>
      <c r="BI4" s="127" t="inlineStr">
        <is>
          <t>força do equipável</t>
        </is>
      </c>
      <c r="BJ4" s="127" t="inlineStr">
        <is>
          <t>volume do equipável</t>
        </is>
      </c>
      <c r="BK4" s="127" t="inlineStr">
        <is>
          <t>alcance do equipável</t>
        </is>
      </c>
      <c r="BL4" s="127" t="inlineStr">
        <is>
          <t>recarga do equipável</t>
        </is>
      </c>
      <c r="BM4" s="127" t="inlineStr">
        <is>
          <t>treino marcado</t>
        </is>
      </c>
      <c r="BN4" s="127" t="inlineStr">
        <is>
          <t>caixa do treino</t>
        </is>
      </c>
      <c r="BP4" s="127" t="inlineStr">
        <is>
          <t>categoria de arma</t>
        </is>
      </c>
      <c r="BQ4" s="127" t="inlineStr">
        <is>
          <t>lista de treino</t>
        </is>
      </c>
      <c r="BR4" s="127" t="inlineStr">
        <is>
          <t>conjurador treina</t>
        </is>
      </c>
      <c r="BS4" s="127" t="inlineStr">
        <is>
          <t>grupo marcado</t>
        </is>
      </c>
      <c r="BT4" s="127" t="inlineStr">
        <is>
          <t>caixa do grupo</t>
        </is>
      </c>
      <c r="BV4" s="127" t="inlineStr">
        <is>
          <t>Caminho que treina todas as armas</t>
        </is>
      </c>
      <c r="BX4" s="127" t="inlineStr">
        <is>
          <t>uniforme</t>
        </is>
      </c>
      <c r="BY4" s="127" t="inlineStr">
        <is>
          <t>proteção do uniforme</t>
        </is>
      </c>
      <c r="BZ4" s="127" t="inlineStr">
        <is>
          <t>teto do uniforme</t>
        </is>
      </c>
      <c r="CA4" s="127" t="inlineStr">
        <is>
          <t>força do uniforme</t>
        </is>
      </c>
      <c r="CB4" s="127" t="inlineStr">
        <is>
          <t>volume do uniforme</t>
        </is>
      </c>
      <c r="CC4" s="127" t="inlineStr">
        <is>
          <t>ordem do grau mínimo</t>
        </is>
      </c>
      <c r="CD4" s="127" t="inlineStr">
        <is>
          <t>grau mínimo</t>
        </is>
      </c>
      <c r="CF4" s="127" t="inlineStr">
        <is>
          <t>patente</t>
        </is>
      </c>
      <c r="CG4" s="127" t="inlineStr">
        <is>
          <t>salário por mês</t>
        </is>
      </c>
      <c r="CH4" s="127" t="inlineStr">
        <is>
          <t>ordem da patente</t>
        </is>
      </c>
      <c r="CJ4" s="127" t="inlineStr">
        <is>
          <t>situação do traje</t>
        </is>
      </c>
      <c r="CL4" s="127" t="inlineStr">
        <is>
          <t>tipo de missão</t>
        </is>
      </c>
      <c r="CM4" s="127" t="inlineStr">
        <is>
          <t>xp do tipo</t>
        </is>
      </c>
      <c r="CO4" s="127" t="inlineStr">
        <is>
          <t>adicional da missão</t>
        </is>
      </c>
      <c r="CP4" s="127" t="inlineStr">
        <is>
          <t>multiplicador</t>
        </is>
      </c>
      <c r="CR4" s="127" t="inlineStr">
        <is>
          <t>desconto da missão</t>
        </is>
      </c>
      <c r="CS4" s="127" t="inlineStr">
        <is>
          <t>fração paga</t>
        </is>
      </c>
      <c r="CU4" s="127" t="inlineStr">
        <is>
          <t>grau da ferramenta</t>
        </is>
      </c>
      <c r="CW4" s="127" t="inlineStr">
        <is>
          <t>limiar do feito</t>
        </is>
      </c>
      <c r="CY4" s="127" t="inlineStr">
        <is>
          <t>contas da pessoal</t>
        </is>
      </c>
      <c r="CZ4" s="127" t="inlineStr">
        <is>
          <t>valor da pessoal</t>
        </is>
      </c>
      <c r="DB4" s="127" t="inlineStr">
        <is>
          <t>menu da mão principal</t>
        </is>
      </c>
      <c r="DD4" s="127" t="inlineStr">
        <is>
          <t>menu da mão secundária</t>
        </is>
      </c>
      <c r="DF4" s="127" t="inlineStr">
        <is>
          <t>menu do vestindo</t>
        </is>
      </c>
      <c r="DH4" s="127" t="inlineStr">
        <is>
          <t>nota viva</t>
        </is>
      </c>
      <c r="DI4" s="127" t="inlineStr">
        <is>
          <t>texto da nota</t>
        </is>
      </c>
      <c r="DJ4" s="127" t="inlineStr">
        <is>
          <t>caixa da nota</t>
        </is>
      </c>
      <c r="DL4" s="127" t="inlineStr">
        <is>
          <t>campo pessoal</t>
        </is>
      </c>
      <c r="DM4" s="127" t="inlineStr">
        <is>
          <t>célula pessoal</t>
        </is>
      </c>
    </row>
    <row r="5" ht="17.25" customHeight="1">
      <c r="A5" s="114" t="inlineStr">
        <is>
          <t>Vanguarda</t>
        </is>
      </c>
      <c r="B5" s="114" t="inlineStr">
        <is>
          <t>Acrobacia</t>
        </is>
      </c>
      <c r="C5" s="114" t="inlineStr">
        <is>
          <t>Arrombamento</t>
        </is>
      </c>
      <c r="D5" s="114" t="inlineStr">
        <is>
          <t>Área</t>
        </is>
      </c>
      <c r="E5" s="114" t="inlineStr">
        <is>
          <t>Toque</t>
        </is>
      </c>
      <c r="F5" s="114" t="inlineStr">
        <is>
          <t>Muito Longe</t>
        </is>
      </c>
      <c r="G5" s="114" t="inlineStr">
        <is>
          <t>Atrasar</t>
        </is>
      </c>
      <c r="H5" s="114" t="inlineStr">
        <is>
          <t>Incapacitado</t>
        </is>
      </c>
      <c r="I5" s="114" t="inlineStr">
        <is>
          <t>Receptáculo</t>
        </is>
      </c>
      <c r="J5" s="114" t="inlineStr">
        <is>
          <t>Vigor</t>
        </is>
      </c>
      <c r="K5" s="114" t="inlineStr">
        <is>
          <t>Destreza</t>
        </is>
      </c>
      <c r="L5" s="114" t="inlineStr">
        <is>
          <t>Punho</t>
        </is>
      </c>
      <c r="M5" s="38" t="n"/>
      <c r="N5" s="114" t="inlineStr">
        <is>
          <t>Bastião</t>
        </is>
      </c>
      <c r="O5" s="114" t="inlineStr">
        <is>
          <t>d12</t>
        </is>
      </c>
      <c r="P5" s="114" t="n">
        <v>12</v>
      </c>
      <c r="Q5" s="114" t="n">
        <v>7</v>
      </c>
      <c r="R5" s="114" t="n">
        <v>4</v>
      </c>
      <c r="S5" s="114" t="inlineStr">
        <is>
          <t>Atletismo</t>
        </is>
      </c>
      <c r="T5" s="114" t="inlineStr">
        <is>
          <t>Intimidação</t>
        </is>
      </c>
      <c r="U5" s="114" t="n"/>
      <c r="V5" s="38" t="n"/>
      <c r="W5" s="128" t="n">
        <v>6</v>
      </c>
      <c r="X5" s="128" t="n">
        <v>10</v>
      </c>
      <c r="Y5" s="128" t="n">
        <v>1</v>
      </c>
      <c r="Z5" s="128" t="n">
        <v>5</v>
      </c>
      <c r="AA5" s="38" t="n"/>
      <c r="AB5" s="114" t="inlineStr">
        <is>
          <t>Atletismo</t>
        </is>
      </c>
      <c r="AC5" s="114" t="inlineStr">
        <is>
          <t>Força</t>
        </is>
      </c>
      <c r="AD5" s="38" t="n"/>
      <c r="AE5" s="114" t="inlineStr">
        <is>
          <t>Traje 1</t>
        </is>
      </c>
      <c r="AF5" s="128" t="n">
        <v>1</v>
      </c>
      <c r="AG5" s="128" t="inlineStr">
        <is>
          <t>—</t>
        </is>
      </c>
      <c r="AH5" s="128" t="inlineStr">
        <is>
          <t>sim</t>
        </is>
      </c>
      <c r="AI5" s="38" t="n"/>
      <c r="AJ5" s="114" t="inlineStr">
        <is>
          <t>marcos que já passou</t>
        </is>
      </c>
      <c r="AK5" s="128">
        <f>COUNTIF(DADOS!$W$5:$W$11,"&lt;="&amp;FICHA!$AH$11)</f>
        <v/>
      </c>
      <c r="AL5" s="38" t="n"/>
      <c r="AM5" s="114" t="inlineStr">
        <is>
          <t>Escolha seu Caminho</t>
        </is>
      </c>
      <c r="AN5" s="114">
        <f>$L$4</f>
        <v/>
      </c>
      <c r="AO5" s="114" t="inlineStr">
        <is>
          <t>Bastião</t>
        </is>
      </c>
      <c r="AP5" s="114" t="inlineStr">
        <is>
          <t>Escolha sua Trilha</t>
        </is>
      </c>
      <c r="AQ5" s="128" t="n">
        <v>2</v>
      </c>
      <c r="AR5" s="128" t="n">
        <v>0</v>
      </c>
      <c r="AS5" s="38" t="n"/>
      <c r="AT5" s="38" t="n"/>
      <c r="AU5" s="38" t="n"/>
      <c r="AV5" s="38" t="n"/>
      <c r="AW5" s="38" t="n"/>
      <c r="AX5" s="38" t="n"/>
      <c r="AY5" s="38" t="n"/>
      <c r="AZ5" s="38" t="n"/>
      <c r="BA5" s="114" t="inlineStr">
        <is>
          <t>nome</t>
        </is>
      </c>
      <c r="BB5" s="114">
        <f>ADDRESS(ROW(FICHA!AB2),COLUMN(FICHA!AB2),4)</f>
        <v/>
      </c>
      <c r="BD5" s="114" t="inlineStr">
        <is>
          <t>Bastão</t>
        </is>
      </c>
      <c r="BE5" s="114" t="inlineStr">
        <is>
          <t>Porrete</t>
        </is>
      </c>
      <c r="BF5" s="128" t="n">
        <v>1</v>
      </c>
      <c r="BG5" s="114" t="inlineStr">
        <is>
          <t>d6</t>
        </is>
      </c>
      <c r="BH5" s="114" t="inlineStr">
        <is>
          <t>Versátil · Alcance · Rompe</t>
        </is>
      </c>
      <c r="BI5" s="114" t="inlineStr">
        <is>
          <t>—</t>
        </is>
      </c>
      <c r="BJ5" s="128" t="n">
        <v>1</v>
      </c>
      <c r="BM5" s="128">
        <f>'FICHA PESSOAL'!$V$49</f>
        <v/>
      </c>
      <c r="BN5" s="128">
        <f>ADDRESS(ROW('FICHA PESSOAL'!V49),COLUMN('FICHA PESSOAL'!V49),4)</f>
        <v/>
      </c>
      <c r="BP5" s="114" t="inlineStr">
        <is>
          <t>Lâmina Curta</t>
        </is>
      </c>
      <c r="BQ5" s="114" t="inlineStr">
        <is>
          <t>Simples</t>
        </is>
      </c>
      <c r="BR5" s="114" t="inlineStr">
        <is>
          <t>não</t>
        </is>
      </c>
      <c r="BS5" s="128">
        <f>'FICHA PESSOAL'!$AE$48</f>
        <v/>
      </c>
      <c r="BT5" s="128">
        <f>ADDRESS(ROW('FICHA PESSOAL'!AE48),COLUMN('FICHA PESSOAL'!AE48),4)</f>
        <v/>
      </c>
      <c r="BV5" s="114" t="inlineStr">
        <is>
          <t>Bastião</t>
        </is>
      </c>
      <c r="BX5" s="114" t="inlineStr">
        <is>
          <t>Traje 1</t>
        </is>
      </c>
      <c r="BY5" s="128" t="n">
        <v>1</v>
      </c>
      <c r="BZ5" s="114" t="inlineStr">
        <is>
          <t>—</t>
        </is>
      </c>
      <c r="CA5" s="128" t="n">
        <v>0</v>
      </c>
      <c r="CB5" s="128" t="n">
        <v>0.1</v>
      </c>
      <c r="CC5" s="128" t="n">
        <v>1</v>
      </c>
      <c r="CD5" s="114" t="inlineStr">
        <is>
          <t>Grau 4</t>
        </is>
      </c>
      <c r="CF5" s="114" t="inlineStr">
        <is>
          <t>Grau 4</t>
        </is>
      </c>
      <c r="CG5" s="114" t="inlineStr">
        <is>
          <t>¥ 150.000</t>
        </is>
      </c>
      <c r="CH5" s="128" t="n">
        <v>1</v>
      </c>
      <c r="CJ5" s="114" t="inlineStr">
        <is>
          <t>Vão apertado</t>
        </is>
      </c>
      <c r="CL5" s="114" t="inlineStr">
        <is>
          <t>Curta</t>
        </is>
      </c>
      <c r="CM5" s="128" t="n">
        <v>50</v>
      </c>
      <c r="CO5" s="114" t="inlineStr">
        <is>
          <t>1,25x</t>
        </is>
      </c>
      <c r="CP5" s="128" t="n">
        <v>1.25</v>
      </c>
      <c r="CR5" s="114" t="inlineStr">
        <is>
          <t>3ª · 50%</t>
        </is>
      </c>
      <c r="CS5" s="128" t="n">
        <v>0.5</v>
      </c>
      <c r="CU5" s="114" t="inlineStr">
        <is>
          <t>—</t>
        </is>
      </c>
      <c r="CW5" s="128" t="n">
        <v>20</v>
      </c>
      <c r="CY5" s="114" t="inlineStr">
        <is>
          <t>força</t>
        </is>
      </c>
      <c r="CZ5" s="128">
        <f>N(FICHA!$D$19)</f>
        <v/>
      </c>
      <c r="DB5" s="114" t="inlineStr">
        <is>
          <t>Soco</t>
        </is>
      </c>
      <c r="DD5" s="114" t="inlineStr">
        <is>
          <t>—</t>
        </is>
      </c>
      <c r="DF5" s="114" t="inlineStr">
        <is>
          <t>Sem uniforme</t>
        </is>
      </c>
      <c r="DH5" s="114" t="inlineStr">
        <is>
          <t>requisito de força</t>
        </is>
      </c>
      <c r="DI5" s="128">
        <f>IF(DADOS!$CZ$34+DADOS!$CZ$35+DADOS!$CZ$36=0,"Tudo o que está em uso cabe na sua Força.",IF(DADOS!$CZ$34=1,'FICHA PESSOAL'!$D$41&amp;" pede Força "&amp;DADOS!$CZ$11&amp;". ","")&amp;IF(DADOS!$CZ$35=1,'FICHA PESSOAL'!$S$41&amp;" pede Força "&amp;DADOS!$CZ$22&amp;". ","")&amp;IF(DADOS!$CZ$36=1,'FICHA PESSOAL'!$AH$41&amp;" pede Força "&amp;DADOS!$CZ$28&amp;". ","")&amp;"Você tem "&amp;DADOS!$CZ$5&amp;"."&amp;IF(OR(DADOS!$CZ$34=1,AND(DADOS!$CZ$35=1,DADOS!$CZ$19=0))," Atacar com a arma sem a Força sai com desvantagem.","")&amp;IF(OR(DADOS!$CZ$36=1,AND(DADOS!$CZ$35=1,DADOS!$CZ$19=1))," Com uniforme ou escudo sem a Força, o deslocamento cai pela metade e os Testes de Resistência Físicos saem com desvantagem.",""))</f>
        <v/>
      </c>
      <c r="DJ5" s="128">
        <f>ADDRESS(ROW('FICHA PESSOAL'!AF63),COLUMN('FICHA PESSOAL'!AF63),4)</f>
        <v/>
      </c>
      <c r="DL5" s="114" t="inlineStr">
        <is>
          <t>principal</t>
        </is>
      </c>
      <c r="DM5" s="128">
        <f>ADDRESS(ROW('FICHA PESSOAL'!D41),COLUMN('FICHA PESSOAL'!D41),4)</f>
        <v/>
      </c>
    </row>
    <row r="6" ht="17.25" customHeight="1">
      <c r="A6" s="114" t="inlineStr">
        <is>
          <t>Guia</t>
        </is>
      </c>
      <c r="B6" s="114" t="inlineStr">
        <is>
          <t>Furtividade</t>
        </is>
      </c>
      <c r="C6" s="114" t="inlineStr">
        <is>
          <t>Herbalismo</t>
        </is>
      </c>
      <c r="D6" s="114" t="inlineStr">
        <is>
          <t>Mira</t>
        </is>
      </c>
      <c r="E6" s="114" t="inlineStr">
        <is>
          <t>Explosão</t>
        </is>
      </c>
      <c r="F6" s="114" t="inlineStr">
        <is>
          <t>Sem Ver</t>
        </is>
      </c>
      <c r="G6" s="114" t="inlineStr">
        <is>
          <t>Parado</t>
        </is>
      </c>
      <c r="H6" s="114" t="inlineStr">
        <is>
          <t>Derrubado</t>
        </is>
      </c>
      <c r="I6" s="114" t="inlineStr">
        <is>
          <t>Descendente</t>
        </is>
      </c>
      <c r="J6" s="114" t="inlineStr">
        <is>
          <t>Intelecto</t>
        </is>
      </c>
      <c r="K6" s="114" t="inlineStr">
        <is>
          <t>Constituição</t>
        </is>
      </c>
      <c r="L6" s="114" t="inlineStr">
        <is>
          <t>Brasa</t>
        </is>
      </c>
      <c r="M6" s="38" t="n"/>
      <c r="N6" s="114" t="inlineStr">
        <is>
          <t>Vanguarda</t>
        </is>
      </c>
      <c r="O6" s="114" t="inlineStr">
        <is>
          <t>d8</t>
        </is>
      </c>
      <c r="P6" s="114" t="n">
        <v>8</v>
      </c>
      <c r="Q6" s="114" t="n">
        <v>5</v>
      </c>
      <c r="R6" s="114" t="n">
        <v>5</v>
      </c>
      <c r="S6" s="114" t="inlineStr">
        <is>
          <t>Acrobacia</t>
        </is>
      </c>
      <c r="T6" s="114" t="inlineStr">
        <is>
          <t>Percepção</t>
        </is>
      </c>
      <c r="U6" s="114" t="n"/>
      <c r="V6" s="38" t="n"/>
      <c r="W6" s="128" t="n">
        <v>10</v>
      </c>
      <c r="X6" s="128" t="n">
        <v>18</v>
      </c>
      <c r="Y6" s="128" t="n">
        <v>5</v>
      </c>
      <c r="Z6" s="128" t="n">
        <v>11</v>
      </c>
      <c r="AA6" s="38" t="n"/>
      <c r="AB6" s="114" t="inlineStr">
        <is>
          <t>Acrobacia</t>
        </is>
      </c>
      <c r="AC6" s="114" t="inlineStr">
        <is>
          <t>Destreza</t>
        </is>
      </c>
      <c r="AD6" s="38" t="n"/>
      <c r="AE6" s="114" t="inlineStr">
        <is>
          <t>Traje 2</t>
        </is>
      </c>
      <c r="AF6" s="128" t="n">
        <v>2</v>
      </c>
      <c r="AG6" s="128" t="inlineStr">
        <is>
          <t>—</t>
        </is>
      </c>
      <c r="AH6" s="128" t="inlineStr">
        <is>
          <t>sim</t>
        </is>
      </c>
      <c r="AI6" s="38" t="n"/>
      <c r="AJ6" s="114" t="inlineStr">
        <is>
          <t>pontos de atributo</t>
        </is>
      </c>
      <c r="AK6" s="128">
        <f>9+DADOS!$AK$5</f>
        <v/>
      </c>
      <c r="AL6" s="38" t="n"/>
      <c r="AM6" s="114">
        <f>$A$4</f>
        <v/>
      </c>
      <c r="AN6" s="114">
        <f>$L$5</f>
        <v/>
      </c>
      <c r="AO6" s="114" t="inlineStr">
        <is>
          <t>Bastião</t>
        </is>
      </c>
      <c r="AP6" s="114">
        <f>IFERROR(FILTER($AN$5:$AN$19,$AO$5:$AO$19=FICHA!$D$11),"")</f>
        <v/>
      </c>
      <c r="AQ6" s="128" t="n">
        <v>3</v>
      </c>
      <c r="AR6" s="128" t="n">
        <v>200</v>
      </c>
      <c r="AS6" s="38" t="n"/>
      <c r="AT6" s="38" t="n"/>
      <c r="AU6" s="38" t="n"/>
      <c r="AV6" s="38" t="n"/>
      <c r="AW6" s="38" t="n"/>
      <c r="AX6" s="38" t="n"/>
      <c r="AY6" s="38" t="n"/>
      <c r="AZ6" s="38" t="n"/>
      <c r="BA6" s="114" t="inlineStr">
        <is>
          <t>caminho</t>
        </is>
      </c>
      <c r="BB6" s="114">
        <f>ADDRESS(ROW(FICHA!D11),COLUMN(FICHA!D11),4)</f>
        <v/>
      </c>
      <c r="BD6" s="114" t="inlineStr">
        <is>
          <t>Besta</t>
        </is>
      </c>
      <c r="BE6" s="114" t="inlineStr">
        <is>
          <t>Balestra</t>
        </is>
      </c>
      <c r="BF6" s="128" t="n">
        <v>2</v>
      </c>
      <c r="BG6" s="114" t="inlineStr">
        <is>
          <t>2d8</t>
        </is>
      </c>
      <c r="BH6" s="114" t="inlineStr">
        <is>
          <t>Longo Alcance · Munição · Rompe</t>
        </is>
      </c>
      <c r="BI6" s="128" t="n">
        <v>3</v>
      </c>
      <c r="BJ6" s="128" t="n">
        <v>2</v>
      </c>
      <c r="BK6" s="114" t="inlineStr">
        <is>
          <t>30 m, longa 120 m</t>
        </is>
      </c>
      <c r="BL6" s="128" t="n">
        <v>1</v>
      </c>
      <c r="BM6" s="128">
        <f>'FICHA PESSOAL'!$V$59</f>
        <v/>
      </c>
      <c r="BN6" s="128">
        <f>ADDRESS(ROW('FICHA PESSOAL'!V59),COLUMN('FICHA PESSOAL'!V59),4)</f>
        <v/>
      </c>
      <c r="BP6" s="114" t="inlineStr">
        <is>
          <t>Porrete</t>
        </is>
      </c>
      <c r="BQ6" s="114" t="inlineStr">
        <is>
          <t>Simples</t>
        </is>
      </c>
      <c r="BR6" s="114" t="inlineStr">
        <is>
          <t>não</t>
        </is>
      </c>
      <c r="BS6" s="128">
        <f>'FICHA PESSOAL'!$V$48</f>
        <v/>
      </c>
      <c r="BT6" s="128">
        <f>ADDRESS(ROW('FICHA PESSOAL'!V48),COLUMN('FICHA PESSOAL'!V48),4)</f>
        <v/>
      </c>
      <c r="BV6" s="114" t="inlineStr">
        <is>
          <t>Vanguarda</t>
        </is>
      </c>
      <c r="BX6" s="114" t="inlineStr">
        <is>
          <t>Traje 2</t>
        </is>
      </c>
      <c r="BY6" s="128" t="n">
        <v>2</v>
      </c>
      <c r="BZ6" s="114" t="inlineStr">
        <is>
          <t>—</t>
        </is>
      </c>
      <c r="CA6" s="128" t="n">
        <v>0</v>
      </c>
      <c r="CB6" s="128" t="n">
        <v>1</v>
      </c>
      <c r="CC6" s="128" t="n">
        <v>1</v>
      </c>
      <c r="CD6" s="114" t="inlineStr">
        <is>
          <t>Grau 4</t>
        </is>
      </c>
      <c r="CF6" s="114" t="inlineStr">
        <is>
          <t>Grau 3</t>
        </is>
      </c>
      <c r="CG6" s="114" t="inlineStr">
        <is>
          <t>¥ 300.000</t>
        </is>
      </c>
      <c r="CH6" s="128" t="n">
        <v>2</v>
      </c>
      <c r="CJ6" s="114" t="inlineStr">
        <is>
          <t>Altura e beirada</t>
        </is>
      </c>
      <c r="CL6" s="114" t="inlineStr">
        <is>
          <t>Padrão</t>
        </is>
      </c>
      <c r="CM6" s="128" t="n">
        <v>100</v>
      </c>
      <c r="CO6" s="114" t="inlineStr">
        <is>
          <t>1,50x</t>
        </is>
      </c>
      <c r="CP6" s="128" t="n">
        <v>1.5</v>
      </c>
      <c r="CR6" s="114" t="inlineStr">
        <is>
          <t>4ª · 25%</t>
        </is>
      </c>
      <c r="CS6" s="128" t="n">
        <v>0.25</v>
      </c>
      <c r="CU6" s="114" t="inlineStr">
        <is>
          <t>Grau 4</t>
        </is>
      </c>
      <c r="CY6" s="114" t="inlineStr">
        <is>
          <t>soco na principal</t>
        </is>
      </c>
      <c r="CZ6" s="128">
        <f>IF(OR('FICHA PESSOAL'!$D$41="",'FICHA PESSOAL'!$D$41="Soco"),1,0)</f>
        <v/>
      </c>
      <c r="DB6" s="128">
        <f>IF(AND('FICHA PESSOAL'!$D$69&lt;&gt;"",'FICHA PESSOAL'!$M$69&lt;&gt;"Escudo"),'FICHA PESSOAL'!$D$69,"")</f>
        <v/>
      </c>
      <c r="DD6" s="128">
        <f>IF(AND(DADOS!$CZ$8&lt;&gt;2,ISNUMBER(SEARCH("Versátil",DADOS!$CZ$10))),"Nas duas mãos","")</f>
        <v/>
      </c>
      <c r="DF6" s="128">
        <f>IF(DADOS!$CZ$32&gt;=DADOS!$CC$5,DADOS!$BX$5,"")</f>
        <v/>
      </c>
      <c r="DH6" s="114" t="inlineStr">
        <is>
          <t>carga</t>
        </is>
      </c>
      <c r="DI6" s="128">
        <f>IF(DADOS!$CZ$40=1,"Você passou do limite: o deslocamento cai pela metade e os Testes de Resistência Físicos saem com desvantagem. É a mesma punição do uniforme e do escudo sem a Força, e elas não se somam.","")</f>
        <v/>
      </c>
      <c r="DJ6" s="128">
        <f>ADDRESS(ROW('FICHA PESSOAL'!D63),COLUMN('FICHA PESSOAL'!D63),4)</f>
        <v/>
      </c>
      <c r="DL6" s="114" t="inlineStr">
        <is>
          <t>secundária</t>
        </is>
      </c>
      <c r="DM6" s="128">
        <f>ADDRESS(ROW('FICHA PESSOAL'!S41),COLUMN('FICHA PESSOAL'!S41),4)</f>
        <v/>
      </c>
    </row>
    <row r="7" ht="17.25" customHeight="1">
      <c r="A7" s="114" t="inlineStr">
        <is>
          <t>Emanador</t>
        </is>
      </c>
      <c r="B7" s="114" t="inlineStr">
        <is>
          <t>Pontaria</t>
        </is>
      </c>
      <c r="C7" s="114" t="inlineStr">
        <is>
          <t>Forja</t>
        </is>
      </c>
      <c r="D7" s="114" t="inlineStr">
        <is>
          <t>Controle</t>
        </is>
      </c>
      <c r="E7" s="114" t="inlineStr">
        <is>
          <t>Aura</t>
        </is>
      </c>
      <c r="F7" s="114" t="inlineStr">
        <is>
          <t>Passo</t>
        </is>
      </c>
      <c r="G7" s="114" t="inlineStr">
        <is>
          <t>Gesto</t>
        </is>
      </c>
      <c r="H7" s="114" t="inlineStr">
        <is>
          <t>Agarrado</t>
        </is>
      </c>
      <c r="I7" s="114" t="inlineStr">
        <is>
          <t>Reencarnado</t>
        </is>
      </c>
      <c r="J7" s="114" t="inlineStr">
        <is>
          <t>Espírito</t>
        </is>
      </c>
      <c r="K7" s="114" t="inlineStr">
        <is>
          <t>Inteligência</t>
        </is>
      </c>
      <c r="L7" s="114" t="inlineStr">
        <is>
          <t>Estocada</t>
        </is>
      </c>
      <c r="M7" s="38" t="n"/>
      <c r="N7" s="114" t="inlineStr">
        <is>
          <t>Guia</t>
        </is>
      </c>
      <c r="O7" s="114" t="inlineStr">
        <is>
          <t>d8</t>
        </is>
      </c>
      <c r="P7" s="114" t="n">
        <v>8</v>
      </c>
      <c r="Q7" s="114" t="n">
        <v>5</v>
      </c>
      <c r="R7" s="114" t="n">
        <v>5</v>
      </c>
      <c r="S7" s="114" t="inlineStr">
        <is>
          <t>Persuasão</t>
        </is>
      </c>
      <c r="T7" s="114" t="inlineStr">
        <is>
          <t>Medicina</t>
        </is>
      </c>
      <c r="U7" s="114" t="n"/>
      <c r="V7" s="38" t="n"/>
      <c r="W7" s="128" t="n">
        <v>14</v>
      </c>
      <c r="X7" s="128" t="n">
        <v>26</v>
      </c>
      <c r="Y7" s="128" t="n">
        <v>9</v>
      </c>
      <c r="Z7" s="128" t="n">
        <v>17</v>
      </c>
      <c r="AA7" s="38" t="n"/>
      <c r="AB7" s="114" t="inlineStr">
        <is>
          <t>Furtividade</t>
        </is>
      </c>
      <c r="AC7" s="114" t="inlineStr">
        <is>
          <t>Destreza</t>
        </is>
      </c>
      <c r="AD7" s="38" t="n"/>
      <c r="AE7" s="114" t="inlineStr">
        <is>
          <t>Traje 3</t>
        </is>
      </c>
      <c r="AF7" s="128" t="n">
        <v>3</v>
      </c>
      <c r="AG7" s="128" t="inlineStr">
        <is>
          <t>—</t>
        </is>
      </c>
      <c r="AH7" s="128" t="inlineStr">
        <is>
          <t>sim</t>
        </is>
      </c>
      <c r="AI7" s="38" t="n"/>
      <c r="AJ7" s="114" t="inlineStr">
        <is>
          <t>pontos distribuídos</t>
        </is>
      </c>
      <c r="AK7" s="128">
        <f>IFERROR(VALUE(FICHA!$D$21&amp;""),0)+IFERROR(VALUE(FICHA!$L$21&amp;""),0)+IFERROR(VALUE(FICHA!$T$21&amp;""),0)+IFERROR(VALUE(FICHA!$AB$21&amp;""),0)+IFERROR(VALUE(FICHA!$AJ$21&amp;""),0)</f>
        <v/>
      </c>
      <c r="AL7" s="38" t="n"/>
      <c r="AM7" s="114">
        <f>$A$5</f>
        <v/>
      </c>
      <c r="AN7" s="114">
        <f>$L$6</f>
        <v/>
      </c>
      <c r="AO7" s="114" t="inlineStr">
        <is>
          <t>Bastião</t>
        </is>
      </c>
      <c r="AP7" s="38" t="n"/>
      <c r="AQ7" s="128" t="n">
        <v>4</v>
      </c>
      <c r="AR7" s="128" t="n">
        <v>500</v>
      </c>
      <c r="AS7" s="38" t="n"/>
      <c r="AT7" s="38" t="n"/>
      <c r="AU7" s="38" t="n"/>
      <c r="AV7" s="38" t="n"/>
      <c r="AW7" s="38" t="n"/>
      <c r="AX7" s="38" t="n"/>
      <c r="AY7" s="38" t="n"/>
      <c r="AZ7" s="38" t="n"/>
      <c r="BA7" s="114" t="inlineStr">
        <is>
          <t>trilha</t>
        </is>
      </c>
      <c r="BB7" s="114">
        <f>ADDRESS(ROW(FICHA!N11),COLUMN(FICHA!N11),4)</f>
        <v/>
      </c>
      <c r="BD7" s="114" t="inlineStr">
        <is>
          <t>Besta de Uma Mão</t>
        </is>
      </c>
      <c r="BE7" s="114" t="inlineStr">
        <is>
          <t>Balestra</t>
        </is>
      </c>
      <c r="BF7" s="128" t="n">
        <v>1</v>
      </c>
      <c r="BG7" s="114" t="inlineStr">
        <is>
          <t>1d10</t>
        </is>
      </c>
      <c r="BH7" s="114" t="inlineStr">
        <is>
          <t>Longo Alcance · Munição · Oculta</t>
        </is>
      </c>
      <c r="BI7" s="114" t="inlineStr">
        <is>
          <t>—</t>
        </is>
      </c>
      <c r="BJ7" s="128" t="n">
        <v>0.1</v>
      </c>
      <c r="BK7" s="114" t="inlineStr">
        <is>
          <t>9 m, longa 36 m</t>
        </is>
      </c>
      <c r="BL7" s="128" t="n">
        <v>1</v>
      </c>
      <c r="BM7" s="128">
        <f>'FICHA PESSOAL'!$V$60</f>
        <v/>
      </c>
      <c r="BN7" s="128">
        <f>ADDRESS(ROW('FICHA PESSOAL'!V60),COLUMN('FICHA PESSOAL'!V60),4)</f>
        <v/>
      </c>
      <c r="BP7" s="114" t="inlineStr">
        <is>
          <t>Ceifa</t>
        </is>
      </c>
      <c r="BQ7" s="114" t="inlineStr">
        <is>
          <t>Simples</t>
        </is>
      </c>
      <c r="BR7" s="114" t="inlineStr">
        <is>
          <t>não</t>
        </is>
      </c>
      <c r="BS7" s="128">
        <f>'FICHA PESSOAL'!$V$54</f>
        <v/>
      </c>
      <c r="BT7" s="128">
        <f>ADDRESS(ROW('FICHA PESSOAL'!V54),COLUMN('FICHA PESSOAL'!V54),4)</f>
        <v/>
      </c>
      <c r="BX7" s="114" t="inlineStr">
        <is>
          <t>Traje 3</t>
        </is>
      </c>
      <c r="BY7" s="128" t="n">
        <v>3</v>
      </c>
      <c r="BZ7" s="114" t="inlineStr">
        <is>
          <t>—</t>
        </is>
      </c>
      <c r="CA7" s="128" t="n">
        <v>3</v>
      </c>
      <c r="CB7" s="128" t="n">
        <v>2</v>
      </c>
      <c r="CC7" s="128" t="n">
        <v>1</v>
      </c>
      <c r="CD7" s="114" t="inlineStr">
        <is>
          <t>Grau 4</t>
        </is>
      </c>
      <c r="CF7" s="114" t="inlineStr">
        <is>
          <t>Grau 2</t>
        </is>
      </c>
      <c r="CG7" s="114" t="inlineStr">
        <is>
          <t>¥ 600.000</t>
        </is>
      </c>
      <c r="CH7" s="128" t="n">
        <v>3</v>
      </c>
      <c r="CJ7" s="114" t="inlineStr">
        <is>
          <t>Escuro</t>
        </is>
      </c>
      <c r="CL7" s="114" t="inlineStr">
        <is>
          <t>Longa</t>
        </is>
      </c>
      <c r="CM7" s="128" t="n">
        <v>200</v>
      </c>
      <c r="CO7" s="114" t="inlineStr">
        <is>
          <t>2x</t>
        </is>
      </c>
      <c r="CP7" s="128" t="n">
        <v>2</v>
      </c>
      <c r="CR7" s="114" t="inlineStr">
        <is>
          <t>5ª · 12,5%</t>
        </is>
      </c>
      <c r="CS7" s="128" t="n">
        <v>0.125</v>
      </c>
      <c r="CU7" s="114" t="inlineStr">
        <is>
          <t>Grau 3</t>
        </is>
      </c>
      <c r="CY7" s="114" t="inlineStr">
        <is>
          <t>categoria da principal</t>
        </is>
      </c>
      <c r="CZ7" s="128">
        <f>IF(DADOS!$CZ$6=1,"Soco",IFERROR(VLOOKUP('FICHA PESSOAL'!$D$41,'FICHA PESSOAL'!$D$69:$AH$76,10,FALSE)&amp;"",""))</f>
        <v/>
      </c>
      <c r="DB7" s="128">
        <f>IF(AND('FICHA PESSOAL'!$D$70&lt;&gt;"",'FICHA PESSOAL'!$M$70&lt;&gt;"Escudo"),'FICHA PESSOAL'!$D$70,"")</f>
        <v/>
      </c>
      <c r="DD7" s="128">
        <f>IF(AND(DADOS!$CZ$8&lt;&gt;2,'FICHA PESSOAL'!$D$69&lt;&gt;"",OR('FICHA PESSOAL'!$M$69="Escudo",N('FICHA PESSOAL'!$S$69)=1)),'FICHA PESSOAL'!$D$69,"")</f>
        <v/>
      </c>
      <c r="DF7" s="128">
        <f>IF(DADOS!$CZ$32&gt;=DADOS!$CC$6,DADOS!$BX$6,"")</f>
        <v/>
      </c>
      <c r="DH7" s="114" t="inlineStr">
        <is>
          <t>situação do traje</t>
        </is>
      </c>
      <c r="DI7" s="128">
        <f>IF(AND(DADOS!$CZ$25=1,LEFT('FICHA PESSOAL'!$AH$41,5)&lt;&gt;"Traje"),"Só o Traje carrega situação. O Revestimento não tem.",IF('FICHA PESSOAL'!$AN$63="","",IF('FICHA PESSOAL'!$AN$63="Outra Situação","Você pode criar a sua, em uma ou duas palavras. O mestre confere três coisas: é condição física que ele já descreveu na cena; não decide o que uma perícia de Destreza já decide; e não acontece toda cena.","Situação “"&amp;LOWER('FICHA PESSOAL'!$AN$63)&amp;"”: quando a cena estiver nessa condição, você rola com vantagem os testes de perícia e os Testes de Resistência.")))</f>
        <v/>
      </c>
      <c r="DJ7" s="128">
        <f>ADDRESS(ROW('FICHA PESSOAL'!AN63),COLUMN('FICHA PESSOAL'!AN63),4)</f>
        <v/>
      </c>
      <c r="DL7" s="114" t="inlineStr">
        <is>
          <t>vestindo</t>
        </is>
      </c>
      <c r="DM7" s="128">
        <f>ADDRESS(ROW('FICHA PESSOAL'!AH41),COLUMN('FICHA PESSOAL'!AH41),4)</f>
        <v/>
      </c>
    </row>
    <row r="8" ht="17.25" customHeight="1">
      <c r="A8" s="114" t="inlineStr">
        <is>
          <t>Evocador</t>
        </is>
      </c>
      <c r="B8" s="114" t="inlineStr">
        <is>
          <t>Prestidigitação</t>
        </is>
      </c>
      <c r="C8" s="114" t="inlineStr">
        <is>
          <t>Caligrafia</t>
        </is>
      </c>
      <c r="D8" s="114" t="inlineStr">
        <is>
          <t>Auxiliares</t>
        </is>
      </c>
      <c r="E8" s="114" t="inlineStr">
        <is>
          <t>Cone</t>
        </is>
      </c>
      <c r="F8" s="114" t="inlineStr">
        <is>
          <t>Empurrão</t>
        </is>
      </c>
      <c r="G8" s="114" t="inlineStr">
        <is>
          <t>Sangra</t>
        </is>
      </c>
      <c r="H8" s="114" t="inlineStr">
        <is>
          <t>Desarmado</t>
        </is>
      </c>
      <c r="I8" s="114" t="inlineStr">
        <is>
          <t>Feto</t>
        </is>
      </c>
      <c r="J8" s="38" t="n"/>
      <c r="K8" s="114" t="inlineStr">
        <is>
          <t>Essência</t>
        </is>
      </c>
      <c r="L8" s="114" t="inlineStr">
        <is>
          <t>Batedor</t>
        </is>
      </c>
      <c r="M8" s="38" t="n"/>
      <c r="N8" s="114" t="inlineStr">
        <is>
          <t>Evocador</t>
        </is>
      </c>
      <c r="O8" s="114" t="inlineStr">
        <is>
          <t>d6</t>
        </is>
      </c>
      <c r="P8" s="114" t="n">
        <v>6</v>
      </c>
      <c r="Q8" s="114" t="n">
        <v>4</v>
      </c>
      <c r="R8" s="114" t="n">
        <v>6</v>
      </c>
      <c r="S8" s="114" t="inlineStr">
        <is>
          <t>Religião</t>
        </is>
      </c>
      <c r="T8" s="114" t="inlineStr">
        <is>
          <t>Lidar com Animais</t>
        </is>
      </c>
      <c r="U8" s="114" t="n"/>
      <c r="V8" s="38" t="n"/>
      <c r="W8" s="128" t="n">
        <v>18</v>
      </c>
      <c r="X8" s="38" t="n"/>
      <c r="Y8" s="128" t="n">
        <v>13</v>
      </c>
      <c r="Z8" s="38" t="n"/>
      <c r="AA8" s="38" t="n"/>
      <c r="AB8" s="114" t="inlineStr">
        <is>
          <t>Pontaria</t>
        </is>
      </c>
      <c r="AC8" s="114" t="inlineStr">
        <is>
          <t>Destreza</t>
        </is>
      </c>
      <c r="AD8" s="38" t="n"/>
      <c r="AE8" s="114" t="inlineStr">
        <is>
          <t>Revestimento 1</t>
        </is>
      </c>
      <c r="AF8" s="128" t="n">
        <v>4</v>
      </c>
      <c r="AG8" s="128" t="n">
        <v>0</v>
      </c>
      <c r="AH8" s="128" t="inlineStr">
        <is>
          <t>sim</t>
        </is>
      </c>
      <c r="AI8" s="38" t="n"/>
      <c r="AJ8" s="114" t="inlineStr">
        <is>
          <t>maior atributo</t>
        </is>
      </c>
      <c r="AK8" s="128">
        <f>MAX(FICHA!$D$19,FICHA!$L$19,FICHA!$T$19,FICHA!$AB$19,FICHA!$AJ$19)</f>
        <v/>
      </c>
      <c r="AL8" s="38" t="n"/>
      <c r="AM8" s="114">
        <f>$A$6</f>
        <v/>
      </c>
      <c r="AN8" s="114">
        <f>$L$7</f>
        <v/>
      </c>
      <c r="AO8" s="114" t="inlineStr">
        <is>
          <t>Vanguarda</t>
        </is>
      </c>
      <c r="AP8" s="38" t="n"/>
      <c r="AQ8" s="128" t="n">
        <v>5</v>
      </c>
      <c r="AR8" s="128" t="n">
        <v>800</v>
      </c>
      <c r="AS8" s="38" t="n"/>
      <c r="AT8" s="38" t="n"/>
      <c r="AU8" s="38" t="n"/>
      <c r="AV8" s="38" t="n"/>
      <c r="AW8" s="38" t="n"/>
      <c r="AX8" s="38" t="n"/>
      <c r="AY8" s="38" t="n"/>
      <c r="AZ8" s="38" t="n"/>
      <c r="BA8" s="114" t="inlineStr">
        <is>
          <t>origem</t>
        </is>
      </c>
      <c r="BB8" s="114">
        <f>ADDRESS(ROW(FICHA!X11),COLUMN(FICHA!X11),4)</f>
        <v/>
      </c>
      <c r="BD8" s="114" t="inlineStr">
        <is>
          <t>Bō</t>
        </is>
      </c>
      <c r="BE8" s="114" t="inlineStr">
        <is>
          <t>Porrete</t>
        </is>
      </c>
      <c r="BF8" s="128" t="n">
        <v>2</v>
      </c>
      <c r="BG8" s="114" t="inlineStr">
        <is>
          <t>d10</t>
        </is>
      </c>
      <c r="BH8" s="114" t="inlineStr">
        <is>
          <t>Alcance · Emaranha</t>
        </is>
      </c>
      <c r="BI8" s="128" t="n">
        <v>3</v>
      </c>
      <c r="BJ8" s="128" t="n">
        <v>2</v>
      </c>
      <c r="BM8" s="128">
        <f>'FICHA PESSOAL'!$V$50</f>
        <v/>
      </c>
      <c r="BN8" s="128">
        <f>ADDRESS(ROW('FICHA PESSOAL'!V50),COLUMN('FICHA PESSOAL'!V50),4)</f>
        <v/>
      </c>
      <c r="BP8" s="114" t="inlineStr">
        <is>
          <t>Arremesso</t>
        </is>
      </c>
      <c r="BQ8" s="114" t="inlineStr">
        <is>
          <t>Simples</t>
        </is>
      </c>
      <c r="BR8" s="114" t="inlineStr">
        <is>
          <t>não</t>
        </is>
      </c>
      <c r="BS8" s="128">
        <f>'FICHA PESSOAL'!$M$56</f>
        <v/>
      </c>
      <c r="BT8" s="128">
        <f>ADDRESS(ROW('FICHA PESSOAL'!M56),COLUMN('FICHA PESSOAL'!M56),4)</f>
        <v/>
      </c>
      <c r="BX8" s="114" t="inlineStr">
        <is>
          <t>Revestimento 1</t>
        </is>
      </c>
      <c r="BY8" s="128" t="n">
        <v>4</v>
      </c>
      <c r="BZ8" s="128" t="n">
        <v>0</v>
      </c>
      <c r="CA8" s="128" t="n">
        <v>3</v>
      </c>
      <c r="CB8" s="128" t="n">
        <v>2</v>
      </c>
      <c r="CC8" s="128" t="n">
        <v>1</v>
      </c>
      <c r="CD8" s="114" t="inlineStr">
        <is>
          <t>Grau 4</t>
        </is>
      </c>
      <c r="CF8" s="114" t="inlineStr">
        <is>
          <t>Grau 1</t>
        </is>
      </c>
      <c r="CG8" s="114" t="inlineStr">
        <is>
          <t>¥ 1.200.000</t>
        </is>
      </c>
      <c r="CH8" s="128" t="n">
        <v>4</v>
      </c>
      <c r="CJ8" s="114" t="inlineStr">
        <is>
          <t>Superfície ruim</t>
        </is>
      </c>
      <c r="CL8" s="114" t="inlineStr">
        <is>
          <t>Final de arco</t>
        </is>
      </c>
      <c r="CM8" s="128" t="n">
        <v>300</v>
      </c>
      <c r="CR8" s="114" t="inlineStr">
        <is>
          <t>6ª · 6,25%</t>
        </is>
      </c>
      <c r="CS8" s="128" t="n">
        <v>0.0625</v>
      </c>
      <c r="CU8" s="114" t="inlineStr">
        <is>
          <t>Grau 2</t>
        </is>
      </c>
      <c r="CY8" s="114" t="inlineStr">
        <is>
          <t>mão da principal</t>
        </is>
      </c>
      <c r="CZ8" s="128">
        <f>IF(DADOS!$CZ$6=1,1,IFERROR(VALUE(VLOOKUP('FICHA PESSOAL'!$D$41,'FICHA PESSOAL'!$D$69:$AH$76,16,FALSE)&amp;""),0))</f>
        <v/>
      </c>
      <c r="DB8" s="128">
        <f>IF(AND('FICHA PESSOAL'!$D$71&lt;&gt;"",'FICHA PESSOAL'!$M$71&lt;&gt;"Escudo"),'FICHA PESSOAL'!$D$71,"")</f>
        <v/>
      </c>
      <c r="DD8" s="128">
        <f>IF(AND(DADOS!$CZ$8&lt;&gt;2,'FICHA PESSOAL'!$D$70&lt;&gt;"",OR('FICHA PESSOAL'!$M$70="Escudo",N('FICHA PESSOAL'!$S$70)=1)),'FICHA PESSOAL'!$D$70,"")</f>
        <v/>
      </c>
      <c r="DF8" s="128">
        <f>IF(DADOS!$CZ$32&gt;=DADOS!$CC$7,DADOS!$BX$7,"")</f>
        <v/>
      </c>
      <c r="DL8" s="114" t="inlineStr">
        <is>
          <t>grau</t>
        </is>
      </c>
      <c r="DM8" s="128">
        <f>ADDRESS(ROW('FICHA PESSOAL'!AB11),COLUMN('FICHA PESSOAL'!AB11),4)</f>
        <v/>
      </c>
    </row>
    <row r="9" ht="17.25" customHeight="1">
      <c r="A9" s="38" t="n"/>
      <c r="B9" s="114" t="inlineStr">
        <is>
          <t>Investigação</t>
        </is>
      </c>
      <c r="C9" s="114" t="inlineStr">
        <is>
          <t>Burocracia</t>
        </is>
      </c>
      <c r="D9" s="114" t="inlineStr">
        <is>
          <t>Castigo</t>
        </is>
      </c>
      <c r="E9" s="114" t="inlineStr">
        <is>
          <t>Linha</t>
        </is>
      </c>
      <c r="F9" s="114" t="inlineStr">
        <is>
          <t>Troca</t>
        </is>
      </c>
      <c r="G9" s="114" t="inlineStr">
        <is>
          <t>Recuo</t>
        </is>
      </c>
      <c r="H9" s="114" t="inlineStr">
        <is>
          <t>Surdo</t>
        </is>
      </c>
      <c r="I9" s="114" t="inlineStr">
        <is>
          <t>Restrição Celestial · corpo pela técnica</t>
        </is>
      </c>
      <c r="J9" s="38" t="n"/>
      <c r="K9" s="38" t="n"/>
      <c r="L9" s="114" t="inlineStr">
        <is>
          <t>Executor</t>
        </is>
      </c>
      <c r="M9" s="38" t="n"/>
      <c r="N9" s="114" t="inlineStr">
        <is>
          <t>Emanador</t>
        </is>
      </c>
      <c r="O9" s="114" t="inlineStr">
        <is>
          <t>d6</t>
        </is>
      </c>
      <c r="P9" s="114" t="n">
        <v>6</v>
      </c>
      <c r="Q9" s="114" t="n">
        <v>4</v>
      </c>
      <c r="R9" s="114" t="n">
        <v>6</v>
      </c>
      <c r="S9" s="114" t="inlineStr">
        <is>
          <t>Ocultismo</t>
        </is>
      </c>
      <c r="T9" s="114" t="inlineStr">
        <is>
          <t>Investigação</t>
        </is>
      </c>
      <c r="U9" s="114" t="n"/>
      <c r="V9" s="38" t="n"/>
      <c r="W9" s="128" t="n">
        <v>22</v>
      </c>
      <c r="X9" s="38" t="n"/>
      <c r="Y9" s="128" t="n">
        <v>17</v>
      </c>
      <c r="Z9" s="38" t="n"/>
      <c r="AA9" s="38" t="n"/>
      <c r="AB9" s="114" t="inlineStr">
        <is>
          <t>Prestidigitação</t>
        </is>
      </c>
      <c r="AC9" s="114" t="inlineStr">
        <is>
          <t>Destreza</t>
        </is>
      </c>
      <c r="AD9" s="38" t="n"/>
      <c r="AE9" s="114" t="inlineStr">
        <is>
          <t>Revestimento 2</t>
        </is>
      </c>
      <c r="AF9" s="128" t="n">
        <v>5</v>
      </c>
      <c r="AG9" s="128" t="n">
        <v>0</v>
      </c>
      <c r="AH9" s="128" t="inlineStr">
        <is>
          <t>sim</t>
        </is>
      </c>
      <c r="AI9" s="38" t="n"/>
      <c r="AJ9" s="114" t="inlineStr">
        <is>
          <t>maior atributo pequeno</t>
        </is>
      </c>
      <c r="AK9" s="128">
        <f>MAX(IFERROR(VALUE(FICHA!$D$21&amp;""),0),IFERROR(VALUE(FICHA!$L$21&amp;""),0),IFERROR(VALUE(FICHA!$T$21&amp;""),0),IFERROR(VALUE(FICHA!$AB$21&amp;""),0),IFERROR(VALUE(FICHA!$AJ$21&amp;""),0))</f>
        <v/>
      </c>
      <c r="AL9" s="38" t="n"/>
      <c r="AM9" s="114">
        <f>$A$7</f>
        <v/>
      </c>
      <c r="AN9" s="114">
        <f>$L$8</f>
        <v/>
      </c>
      <c r="AO9" s="114" t="inlineStr">
        <is>
          <t>Vanguarda</t>
        </is>
      </c>
      <c r="AP9" s="38" t="n"/>
      <c r="AQ9" s="128" t="n">
        <v>6</v>
      </c>
      <c r="AR9" s="128" t="n">
        <v>1300</v>
      </c>
      <c r="AS9" s="38" t="n"/>
      <c r="AT9" s="38" t="n"/>
      <c r="AU9" s="38" t="n"/>
      <c r="AV9" s="38" t="n"/>
      <c r="AW9" s="38" t="n"/>
      <c r="AX9" s="38" t="n"/>
      <c r="AY9" s="38" t="n"/>
      <c r="AZ9" s="38" t="n"/>
      <c r="BA9" s="114" t="inlineStr">
        <is>
          <t>nivel</t>
        </is>
      </c>
      <c r="BB9" s="114">
        <f>ADDRESS(ROW(FICHA!AH11),COLUMN(FICHA!AH11),4)</f>
        <v/>
      </c>
      <c r="BD9" s="114" t="inlineStr">
        <is>
          <t>Broquel</t>
        </is>
      </c>
      <c r="BE9" s="114" t="inlineStr">
        <is>
          <t>Escudo</t>
        </is>
      </c>
      <c r="BF9" s="128" t="n">
        <v>1</v>
      </c>
      <c r="BG9" s="114" t="inlineStr">
        <is>
          <t>—</t>
        </is>
      </c>
      <c r="BH9" s="114" t="inlineStr">
        <is>
          <t>Proteção +1 · teto de Destreza 5</t>
        </is>
      </c>
      <c r="BI9" s="114" t="inlineStr">
        <is>
          <t>—</t>
        </is>
      </c>
      <c r="BJ9" s="128" t="n">
        <v>0.1</v>
      </c>
      <c r="BM9" s="128">
        <f>TRUE</f>
        <v/>
      </c>
      <c r="BP9" s="114" t="inlineStr">
        <is>
          <t>Manopla</t>
        </is>
      </c>
      <c r="BQ9" s="114" t="inlineStr">
        <is>
          <t>Simples</t>
        </is>
      </c>
      <c r="BR9" s="114" t="inlineStr">
        <is>
          <t>não</t>
        </is>
      </c>
      <c r="BS9" s="128">
        <f>'FICHA PESSOAL'!$AE$58</f>
        <v/>
      </c>
      <c r="BT9" s="128">
        <f>ADDRESS(ROW('FICHA PESSOAL'!AE58),COLUMN('FICHA PESSOAL'!AE58),4)</f>
        <v/>
      </c>
      <c r="BX9" s="114" t="inlineStr">
        <is>
          <t>Revestimento 2</t>
        </is>
      </c>
      <c r="BY9" s="128" t="n">
        <v>5</v>
      </c>
      <c r="BZ9" s="128" t="n">
        <v>0</v>
      </c>
      <c r="CA9" s="128" t="n">
        <v>4</v>
      </c>
      <c r="CB9" s="128" t="n">
        <v>3</v>
      </c>
      <c r="CC9" s="128" t="n">
        <v>2</v>
      </c>
      <c r="CD9" s="114" t="inlineStr">
        <is>
          <t>Grau 3</t>
        </is>
      </c>
      <c r="CF9" s="114" t="inlineStr">
        <is>
          <t>Especial</t>
        </is>
      </c>
      <c r="CG9" s="114" t="inlineStr">
        <is>
          <t>¥ 2.400.000</t>
        </is>
      </c>
      <c r="CH9" s="128" t="n">
        <v>5</v>
      </c>
      <c r="CJ9" s="114" t="inlineStr">
        <is>
          <t>Água e chuva</t>
        </is>
      </c>
      <c r="CL9" s="114" t="inlineStr">
        <is>
          <t>Solo simples</t>
        </is>
      </c>
      <c r="CM9" s="128" t="n">
        <v>75</v>
      </c>
      <c r="CR9" s="114" t="inlineStr">
        <is>
          <t>Falha · 50%</t>
        </is>
      </c>
      <c r="CS9" s="128" t="n">
        <v>0.5</v>
      </c>
      <c r="CU9" s="114" t="inlineStr">
        <is>
          <t>Grau 1</t>
        </is>
      </c>
      <c r="CY9" s="114" t="inlineStr">
        <is>
          <t>dado da principal</t>
        </is>
      </c>
      <c r="CZ9" s="128">
        <f>IF(DADOS!$CZ$6=1,CHOOSE(MIN(4,MAX(1,N(FICHA!$D$51))),"d4","d6","d8","d10"),IFERROR(VLOOKUP('FICHA PESSOAL'!$D$41,'FICHA PESSOAL'!$D$69:$AH$76,18,FALSE)&amp;"",""))</f>
        <v/>
      </c>
      <c r="DB9" s="128">
        <f>IF(AND('FICHA PESSOAL'!$D$72&lt;&gt;"",'FICHA PESSOAL'!$M$72&lt;&gt;"Escudo"),'FICHA PESSOAL'!$D$72,"")</f>
        <v/>
      </c>
      <c r="DD9" s="128">
        <f>IF(AND(DADOS!$CZ$8&lt;&gt;2,'FICHA PESSOAL'!$D$71&lt;&gt;"",OR('FICHA PESSOAL'!$M$71="Escudo",N('FICHA PESSOAL'!$S$71)=1)),'FICHA PESSOAL'!$D$71,"")</f>
        <v/>
      </c>
      <c r="DF9" s="128">
        <f>IF(DADOS!$CZ$32&gt;=DADOS!$CC$8,DADOS!$BX$8,"")</f>
        <v/>
      </c>
      <c r="DL9" s="114" t="inlineStr">
        <is>
          <t>situação do traje</t>
        </is>
      </c>
      <c r="DM9" s="128">
        <f>ADDRESS(ROW('FICHA PESSOAL'!AN63),COLUMN('FICHA PESSOAL'!AN63),4)</f>
        <v/>
      </c>
    </row>
    <row r="10" ht="17.25" customHeight="1">
      <c r="A10" s="38" t="n"/>
      <c r="B10" s="114" t="inlineStr">
        <is>
          <t>Intuição</t>
        </is>
      </c>
      <c r="C10" s="114" t="inlineStr">
        <is>
          <t>Entalhador</t>
        </is>
      </c>
      <c r="D10" s="114" t="inlineStr">
        <is>
          <t>Tempo</t>
        </is>
      </c>
      <c r="E10" s="114" t="inlineStr">
        <is>
          <t>Cura</t>
        </is>
      </c>
      <c r="F10" s="114" t="inlineStr">
        <is>
          <t>Perseguir</t>
        </is>
      </c>
      <c r="G10" s="114" t="inlineStr">
        <is>
          <t>Carregar</t>
        </is>
      </c>
      <c r="H10" s="114" t="inlineStr">
        <is>
          <t>Calado</t>
        </is>
      </c>
      <c r="I10" s="114" t="inlineStr">
        <is>
          <t>Latente · Sem Técnica</t>
        </is>
      </c>
      <c r="J10" s="38" t="n"/>
      <c r="K10" s="38" t="n"/>
      <c r="L10" s="114" t="inlineStr">
        <is>
          <t>Elo</t>
        </is>
      </c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128" t="n">
        <v>26</v>
      </c>
      <c r="X10" s="38" t="n"/>
      <c r="Y10" s="128" t="n">
        <v>21</v>
      </c>
      <c r="Z10" s="38" t="n"/>
      <c r="AA10" s="38" t="n"/>
      <c r="AB10" s="114" t="inlineStr">
        <is>
          <t>Investigação</t>
        </is>
      </c>
      <c r="AC10" s="114" t="inlineStr">
        <is>
          <t>Inteligência</t>
        </is>
      </c>
      <c r="AD10" s="38" t="n"/>
      <c r="AE10" s="114" t="inlineStr">
        <is>
          <t>Revestimento 3</t>
        </is>
      </c>
      <c r="AF10" s="128" t="n">
        <v>6</v>
      </c>
      <c r="AG10" s="128" t="n">
        <v>0</v>
      </c>
      <c r="AH10" s="128" t="inlineStr">
        <is>
          <t>sim</t>
        </is>
      </c>
      <c r="AI10" s="38" t="n"/>
      <c r="AJ10" s="114" t="inlineStr">
        <is>
          <t>marcos de Corpo</t>
        </is>
      </c>
      <c r="AK10" s="128">
        <f>IFERROR(VALUE(FICHA!$AQ$40&amp;""),0)</f>
        <v/>
      </c>
      <c r="AL10" s="38" t="n"/>
      <c r="AM10" s="114">
        <f>$A$8</f>
        <v/>
      </c>
      <c r="AN10" s="114">
        <f>$L$9</f>
        <v/>
      </c>
      <c r="AO10" s="114" t="inlineStr">
        <is>
          <t>Vanguarda</t>
        </is>
      </c>
      <c r="AP10" s="38" t="n"/>
      <c r="AQ10" s="128" t="n">
        <v>7</v>
      </c>
      <c r="AR10" s="128" t="n">
        <v>1800</v>
      </c>
      <c r="AS10" s="38" t="n"/>
      <c r="AT10" s="38" t="n"/>
      <c r="AU10" s="38" t="n"/>
      <c r="AV10" s="38" t="n"/>
      <c r="AW10" s="38" t="n"/>
      <c r="AX10" s="38" t="n"/>
      <c r="AY10" s="38" t="n"/>
      <c r="AZ10" s="38" t="n"/>
      <c r="BA10" s="114" t="inlineStr">
        <is>
          <t>xp</t>
        </is>
      </c>
      <c r="BB10" s="114">
        <f>ADDRESS(ROW(FICHA!AN11),COLUMN(FICHA!AN11),4)</f>
        <v/>
      </c>
      <c r="BD10" s="114" t="inlineStr">
        <is>
          <t>Canivete</t>
        </is>
      </c>
      <c r="BE10" s="114" t="inlineStr">
        <is>
          <t>Lâmina Curta</t>
        </is>
      </c>
      <c r="BF10" s="128" t="n">
        <v>1</v>
      </c>
      <c r="BG10" s="114" t="inlineStr">
        <is>
          <t>d4</t>
        </is>
      </c>
      <c r="BH10" s="114" t="inlineStr">
        <is>
          <t>Fineza · Oculta · Rompe</t>
        </is>
      </c>
      <c r="BI10" s="114" t="inlineStr">
        <is>
          <t>—</t>
        </is>
      </c>
      <c r="BJ10" s="128" t="n">
        <v>0.1</v>
      </c>
      <c r="BM10" s="128">
        <f>'FICHA PESSOAL'!$AE$49</f>
        <v/>
      </c>
      <c r="BN10" s="128">
        <f>ADDRESS(ROW('FICHA PESSOAL'!AE49),COLUMN('FICHA PESSOAL'!AE49),4)</f>
        <v/>
      </c>
      <c r="BP10" s="114" t="inlineStr">
        <is>
          <t>Massa</t>
        </is>
      </c>
      <c r="BQ10" s="114" t="inlineStr">
        <is>
          <t>Simples</t>
        </is>
      </c>
      <c r="BR10" s="114" t="inlineStr">
        <is>
          <t>não</t>
        </is>
      </c>
      <c r="BS10" s="128">
        <f>'FICHA PESSOAL'!$AM$48</f>
        <v/>
      </c>
      <c r="BT10" s="128">
        <f>ADDRESS(ROW('FICHA PESSOAL'!AM48),COLUMN('FICHA PESSOAL'!AM48),4)</f>
        <v/>
      </c>
      <c r="BX10" s="114" t="inlineStr">
        <is>
          <t>Revestimento 3</t>
        </is>
      </c>
      <c r="BY10" s="128" t="n">
        <v>6</v>
      </c>
      <c r="BZ10" s="128" t="n">
        <v>0</v>
      </c>
      <c r="CA10" s="128" t="n">
        <v>6</v>
      </c>
      <c r="CB10" s="128" t="n">
        <v>4</v>
      </c>
      <c r="CC10" s="128" t="n">
        <v>3</v>
      </c>
      <c r="CD10" s="114" t="inlineStr">
        <is>
          <t>Grau 2</t>
        </is>
      </c>
      <c r="CJ10" s="114" t="inlineStr">
        <is>
          <t>Multidão</t>
        </is>
      </c>
      <c r="CL10" s="114" t="inlineStr">
        <is>
          <t>Solo complexa</t>
        </is>
      </c>
      <c r="CM10" s="128" t="n">
        <v>150</v>
      </c>
      <c r="CU10" s="114" t="inlineStr">
        <is>
          <t>Especial</t>
        </is>
      </c>
      <c r="CY10" s="114" t="inlineStr">
        <is>
          <t>propriedades da principal</t>
        </is>
      </c>
      <c r="CZ10" s="128">
        <f>IF(DADOS!$CZ$6=1,"",IFERROR(VLOOKUP('FICHA PESSOAL'!$D$41,'FICHA PESSOAL'!$D$69:$AH$76,20,FALSE)&amp;"",""))</f>
        <v/>
      </c>
      <c r="DB10" s="128">
        <f>IF(AND('FICHA PESSOAL'!$D$73&lt;&gt;"",'FICHA PESSOAL'!$M$73&lt;&gt;"Escudo"),'FICHA PESSOAL'!$D$73,"")</f>
        <v/>
      </c>
      <c r="DD10" s="128">
        <f>IF(AND(DADOS!$CZ$8&lt;&gt;2,'FICHA PESSOAL'!$D$72&lt;&gt;"",OR('FICHA PESSOAL'!$M$72="Escudo",N('FICHA PESSOAL'!$S$72)=1)),'FICHA PESSOAL'!$D$72,"")</f>
        <v/>
      </c>
      <c r="DF10" s="128">
        <f>IF(DADOS!$CZ$32&gt;=DADOS!$CC$9,DADOS!$BX$9,"")</f>
        <v/>
      </c>
      <c r="DL10" s="114" t="inlineStr">
        <is>
          <t>xp total</t>
        </is>
      </c>
      <c r="DM10" s="128">
        <f>ADDRESS(ROW('FICHA PESSOAL'!AW11),COLUMN('FICHA PESSOAL'!AW11),4)</f>
        <v/>
      </c>
    </row>
    <row r="11" ht="17.25" customHeight="1">
      <c r="A11" s="38" t="n"/>
      <c r="B11" s="114" t="inlineStr">
        <is>
          <t>Ocultismo</t>
        </is>
      </c>
      <c r="C11" s="114" t="inlineStr">
        <is>
          <t>Alfaiate</t>
        </is>
      </c>
      <c r="D11" s="114" t="inlineStr">
        <is>
          <t>Marca</t>
        </is>
      </c>
      <c r="E11" s="114" t="inlineStr">
        <is>
          <t>Apoio</t>
        </is>
      </c>
      <c r="F11" s="114" t="inlineStr">
        <is>
          <t>Maior</t>
        </is>
      </c>
      <c r="G11" s="114" t="inlineStr">
        <is>
          <t>Tudo ou Nada</t>
        </is>
      </c>
      <c r="H11" s="114" t="inlineStr">
        <is>
          <t>Enfeitiçado</t>
        </is>
      </c>
      <c r="I11" s="38" t="inlineStr">
        <is>
          <t>Receptáculo · Sem Técnica</t>
        </is>
      </c>
      <c r="J11" s="38" t="n"/>
      <c r="K11" s="38" t="n"/>
      <c r="L11" s="114" t="inlineStr">
        <is>
          <t>Sutura</t>
        </is>
      </c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128" t="n">
        <v>30</v>
      </c>
      <c r="X11" s="38" t="n"/>
      <c r="Y11" s="128" t="n">
        <v>26</v>
      </c>
      <c r="Z11" s="38" t="n"/>
      <c r="AA11" s="38" t="n"/>
      <c r="AB11" s="114" t="inlineStr">
        <is>
          <t>Intuição</t>
        </is>
      </c>
      <c r="AC11" s="114" t="inlineStr">
        <is>
          <t>Inteligência</t>
        </is>
      </c>
      <c r="AD11" s="38" t="n"/>
      <c r="AE11" s="114" t="inlineStr">
        <is>
          <t>Broquel</t>
        </is>
      </c>
      <c r="AF11" s="128" t="n">
        <v>1</v>
      </c>
      <c r="AG11" s="128" t="n">
        <v>5</v>
      </c>
      <c r="AH11" s="128" t="inlineStr">
        <is>
          <t>não</t>
        </is>
      </c>
      <c r="AI11" s="38" t="n"/>
      <c r="AJ11" s="114" t="inlineStr">
        <is>
          <t>pontos de Corpo usados</t>
        </is>
      </c>
      <c r="AK11" s="128">
        <f>IFERROR(VALUE(FICHA!$AK$15&amp;""),0)+IFERROR(VALUE(FICHA!$AM$15&amp;""),0)+IFERROR(VALUE(FICHA!$AO$15&amp;""),0)+IFERROR(VALUE(FICHA!$AQ$15&amp;""),0)+IFERROR(VALUE(FICHA!$AS$15&amp;""),0)</f>
        <v/>
      </c>
      <c r="AL11" s="38" t="n"/>
      <c r="AM11" s="38" t="n"/>
      <c r="AN11" s="114">
        <f>$L$10</f>
        <v/>
      </c>
      <c r="AO11" s="114" t="inlineStr">
        <is>
          <t>Guia</t>
        </is>
      </c>
      <c r="AP11" s="38" t="n"/>
      <c r="AQ11" s="128" t="n">
        <v>8</v>
      </c>
      <c r="AR11" s="128" t="n">
        <v>2300</v>
      </c>
      <c r="AS11" s="38" t="n"/>
      <c r="AT11" s="38" t="n"/>
      <c r="AU11" s="38" t="n"/>
      <c r="AV11" s="38" t="n"/>
      <c r="AW11" s="38" t="n"/>
      <c r="AX11" s="38" t="n"/>
      <c r="AY11" s="38" t="n"/>
      <c r="AZ11" s="38" t="n"/>
      <c r="BA11" s="114" t="inlineStr">
        <is>
          <t>atr_Força</t>
        </is>
      </c>
      <c r="BB11" s="114">
        <f>ADDRESS(ROW(FICHA!D19),COLUMN(FICHA!D19),4)</f>
        <v/>
      </c>
      <c r="BD11" s="114" t="inlineStr">
        <is>
          <t>Cassetete</t>
        </is>
      </c>
      <c r="BE11" s="114" t="inlineStr">
        <is>
          <t>Porrete</t>
        </is>
      </c>
      <c r="BF11" s="128" t="n">
        <v>1</v>
      </c>
      <c r="BG11" s="114" t="inlineStr">
        <is>
          <t>d6</t>
        </is>
      </c>
      <c r="BH11" s="114" t="inlineStr">
        <is>
          <t>Oculta · Vestida</t>
        </is>
      </c>
      <c r="BI11" s="114" t="inlineStr">
        <is>
          <t>—</t>
        </is>
      </c>
      <c r="BJ11" s="128" t="n">
        <v>0.1</v>
      </c>
      <c r="BM11" s="128">
        <f>'FICHA PESSOAL'!$V$51</f>
        <v/>
      </c>
      <c r="BN11" s="128">
        <f>ADDRESS(ROW('FICHA PESSOAL'!V51),COLUMN('FICHA PESSOAL'!V51),4)</f>
        <v/>
      </c>
      <c r="BP11" s="114" t="inlineStr">
        <is>
          <t>Balestra</t>
        </is>
      </c>
      <c r="BQ11" s="114" t="inlineStr">
        <is>
          <t>Simples</t>
        </is>
      </c>
      <c r="BR11" s="114" t="inlineStr">
        <is>
          <t>sim</t>
        </is>
      </c>
      <c r="BS11" s="128">
        <f>'FICHA PESSOAL'!$V$58</f>
        <v/>
      </c>
      <c r="BT11" s="128">
        <f>ADDRESS(ROW('FICHA PESSOAL'!V58),COLUMN('FICHA PESSOAL'!V58),4)</f>
        <v/>
      </c>
      <c r="CJ11" s="114" t="inlineStr">
        <is>
          <t>Terreno instável</t>
        </is>
      </c>
      <c r="CY11" s="114" t="inlineStr">
        <is>
          <t>força da principal</t>
        </is>
      </c>
      <c r="CZ11" s="128">
        <f>IF(DADOS!$CZ$6=1,0,IFERROR(VALUE(VLOOKUP('FICHA PESSOAL'!$D$41,'FICHA PESSOAL'!$D$69:$AH$76,28,FALSE)&amp;""),0))</f>
        <v/>
      </c>
      <c r="DB11" s="128">
        <f>IF(AND('FICHA PESSOAL'!$D$74&lt;&gt;"",'FICHA PESSOAL'!$M$74&lt;&gt;"Escudo"),'FICHA PESSOAL'!$D$74,"")</f>
        <v/>
      </c>
      <c r="DD11" s="128">
        <f>IF(AND(DADOS!$CZ$8&lt;&gt;2,'FICHA PESSOAL'!$D$73&lt;&gt;"",OR('FICHA PESSOAL'!$M$73="Escudo",N('FICHA PESSOAL'!$S$73)=1)),'FICHA PESSOAL'!$D$73,"")</f>
        <v/>
      </c>
      <c r="DF11" s="128">
        <f>IF(DADOS!$CZ$32&gt;=DADOS!$CC$10,DADOS!$BX$10,"")</f>
        <v/>
      </c>
      <c r="DL11" s="114" t="inlineStr">
        <is>
          <t>treino</t>
        </is>
      </c>
      <c r="DM11" s="128">
        <f>ADDRESS(ROW('FICHA PESSOAL'!D48),COLUMN('FICHA PESSOAL'!D48),4)&amp;":"&amp;ADDRESS(ROW('FICHA PESSOAL'!AT60),COLUMN('FICHA PESSOAL'!AT60),4)</f>
        <v/>
      </c>
    </row>
    <row r="12" ht="17.25" customHeight="1">
      <c r="A12" s="38" t="n"/>
      <c r="B12" s="114" t="inlineStr">
        <is>
          <t>Religião</t>
        </is>
      </c>
      <c r="C12" s="114" t="inlineStr">
        <is>
          <t>Culinária</t>
        </is>
      </c>
      <c r="D12" s="114" t="inlineStr">
        <is>
          <t>Amparo</t>
        </is>
      </c>
      <c r="E12" s="114" t="inlineStr">
        <is>
          <t>Onda</t>
        </is>
      </c>
      <c r="F12" s="114" t="inlineStr">
        <is>
          <t>Muito Maior</t>
        </is>
      </c>
      <c r="G12" s="114" t="inlineStr">
        <is>
          <t>Uma Vez</t>
        </is>
      </c>
      <c r="H12" s="114" t="inlineStr">
        <is>
          <t>Impedido</t>
        </is>
      </c>
      <c r="I12" s="38" t="inlineStr">
        <is>
          <t>Descendente · Sem Técnica</t>
        </is>
      </c>
      <c r="J12" s="38" t="n"/>
      <c r="K12" s="38" t="n"/>
      <c r="L12" s="114" t="inlineStr">
        <is>
          <t>Perímetro</t>
        </is>
      </c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114" t="inlineStr">
        <is>
          <t>Ocultismo</t>
        </is>
      </c>
      <c r="AC12" s="114" t="inlineStr">
        <is>
          <t>Inteligência</t>
        </is>
      </c>
      <c r="AD12" s="38" t="n"/>
      <c r="AE12" s="114" t="inlineStr">
        <is>
          <t>Médio</t>
        </is>
      </c>
      <c r="AF12" s="128" t="n">
        <v>2</v>
      </c>
      <c r="AG12" s="128" t="n">
        <v>3</v>
      </c>
      <c r="AH12" s="128" t="inlineStr">
        <is>
          <t>não</t>
        </is>
      </c>
      <c r="AI12" s="38" t="n"/>
      <c r="AJ12" s="114" t="inlineStr">
        <is>
          <t>marcos escolhidos</t>
        </is>
      </c>
      <c r="AK12" s="128">
        <f>IFERROR(VALUE(FICHA!$AO$40&amp;""),0)+IFERROR(VALUE(FICHA!$AQ$40&amp;""),0)+IFERROR(VALUE(FICHA!$AS$40&amp;""),0)</f>
        <v/>
      </c>
      <c r="AL12" s="38" t="n"/>
      <c r="AM12" s="38" t="n"/>
      <c r="AN12" s="114">
        <f>$L$11</f>
        <v/>
      </c>
      <c r="AO12" s="114" t="inlineStr">
        <is>
          <t>Guia</t>
        </is>
      </c>
      <c r="AP12" s="38" t="n"/>
      <c r="AQ12" s="128" t="n">
        <v>9</v>
      </c>
      <c r="AR12" s="128" t="n">
        <v>3000</v>
      </c>
      <c r="AS12" s="38" t="n"/>
      <c r="AT12" s="38" t="n"/>
      <c r="AU12" s="38" t="n"/>
      <c r="AV12" s="38" t="n"/>
      <c r="AW12" s="38" t="n"/>
      <c r="AX12" s="38" t="n"/>
      <c r="AY12" s="38" t="n"/>
      <c r="AZ12" s="38" t="n"/>
      <c r="BA12" s="114" t="inlineStr">
        <is>
          <t>atr_Destreza</t>
        </is>
      </c>
      <c r="BB12" s="114">
        <f>ADDRESS(ROW(FICHA!L19),COLUMN(FICHA!L19),4)</f>
        <v/>
      </c>
      <c r="BD12" s="114" t="inlineStr">
        <is>
          <t>Chakram</t>
        </is>
      </c>
      <c r="BE12" s="114" t="inlineStr">
        <is>
          <t>Arremesso</t>
        </is>
      </c>
      <c r="BF12" s="128" t="n">
        <v>1</v>
      </c>
      <c r="BG12" s="114" t="inlineStr">
        <is>
          <t>d4</t>
        </is>
      </c>
      <c r="BH12" s="114" t="inlineStr">
        <is>
          <t>Longo Alcance · Fineza · Oculta</t>
        </is>
      </c>
      <c r="BI12" s="114" t="inlineStr">
        <is>
          <t>—</t>
        </is>
      </c>
      <c r="BJ12" s="128" t="n">
        <v>0.1</v>
      </c>
      <c r="BK12" s="114" t="inlineStr">
        <is>
          <t>6 m, longa 18 m</t>
        </is>
      </c>
      <c r="BM12" s="128">
        <f>'FICHA PESSOAL'!$M$57</f>
        <v/>
      </c>
      <c r="BN12" s="128">
        <f>ADDRESS(ROW('FICHA PESSOAL'!M57),COLUMN('FICHA PESSOAL'!M57),4)</f>
        <v/>
      </c>
      <c r="BP12" s="114" t="inlineStr">
        <is>
          <t>Lâmina Longa</t>
        </is>
      </c>
      <c r="BQ12" s="114" t="inlineStr">
        <is>
          <t>Marciais</t>
        </is>
      </c>
      <c r="BR12" s="114" t="inlineStr">
        <is>
          <t>não</t>
        </is>
      </c>
      <c r="BS12" s="128">
        <f>'FICHA PESSOAL'!$D$48</f>
        <v/>
      </c>
      <c r="BT12" s="128">
        <f>ADDRESS(ROW('FICHA PESSOAL'!D48),COLUMN('FICHA PESSOAL'!D48),4)</f>
        <v/>
      </c>
      <c r="CJ12" s="114" t="inlineStr">
        <is>
          <t>Calor e fogo</t>
        </is>
      </c>
      <c r="CY12" s="114" t="inlineStr">
        <is>
          <t>nas duas mãos</t>
        </is>
      </c>
      <c r="CZ12" s="128">
        <f>IF(AND(ISNUMBER(SEARCH("Versátil",DADOS!$CZ$10)),'FICHA PESSOAL'!$S$41="Nas duas mãos"),1,0)</f>
        <v/>
      </c>
      <c r="DB12" s="128">
        <f>IF(AND('FICHA PESSOAL'!$D$75&lt;&gt;"",'FICHA PESSOAL'!$M$75&lt;&gt;"Escudo"),'FICHA PESSOAL'!$D$75,"")</f>
        <v/>
      </c>
      <c r="DD12" s="128">
        <f>IF(AND(DADOS!$CZ$8&lt;&gt;2,'FICHA PESSOAL'!$D$74&lt;&gt;"",OR('FICHA PESSOAL'!$M$74="Escudo",N('FICHA PESSOAL'!$S$74)=1)),'FICHA PESSOAL'!$D$74,"")</f>
        <v/>
      </c>
      <c r="DL12" s="114" t="inlineStr">
        <is>
          <t>missões 1</t>
        </is>
      </c>
      <c r="DM12" s="128">
        <f>ADDRESS(ROW('FICHA PESSOAL'!AW15),COLUMN('FICHA PESSOAL'!AW15),4)&amp;":"&amp;ADDRESS(ROW('FICHA PESSOAL'!BA64),COLUMN('FICHA PESSOAL'!BA64),4)</f>
        <v/>
      </c>
    </row>
    <row r="13" ht="17.25" customHeight="1">
      <c r="A13" s="38" t="n"/>
      <c r="B13" s="114" t="inlineStr">
        <is>
          <t>História</t>
        </is>
      </c>
      <c r="C13" s="114" t="inlineStr">
        <is>
          <t>Instrumento</t>
        </is>
      </c>
      <c r="D13" s="38" t="n"/>
      <c r="E13" s="114" t="inlineStr">
        <is>
          <t>Efeito</t>
        </is>
      </c>
      <c r="F13" s="114" t="inlineStr">
        <is>
          <t>Escolher</t>
        </is>
      </c>
      <c r="G13" s="114" t="inlineStr">
        <is>
          <t>Condicional</t>
        </is>
      </c>
      <c r="H13" s="114" t="inlineStr">
        <is>
          <t>Cego</t>
        </is>
      </c>
      <c r="I13" s="38" t="inlineStr">
        <is>
          <t>Reencarnado · Sem Técnica</t>
        </is>
      </c>
      <c r="J13" s="38" t="n"/>
      <c r="K13" s="38" t="n"/>
      <c r="L13" s="114" t="inlineStr">
        <is>
          <t>Torrente</t>
        </is>
      </c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114" t="inlineStr">
        <is>
          <t>Religião</t>
        </is>
      </c>
      <c r="AC13" s="114" t="inlineStr">
        <is>
          <t>Inteligência</t>
        </is>
      </c>
      <c r="AD13" s="38" t="n"/>
      <c r="AE13" s="114" t="inlineStr">
        <is>
          <t>Torre</t>
        </is>
      </c>
      <c r="AF13" s="128" t="n">
        <v>3</v>
      </c>
      <c r="AG13" s="128" t="n">
        <v>1</v>
      </c>
      <c r="AH13" s="128" t="inlineStr">
        <is>
          <t>não</t>
        </is>
      </c>
      <c r="AI13" s="38" t="n"/>
      <c r="AJ13" s="114" t="inlineStr">
        <is>
          <t>perícias treinadas</t>
        </is>
      </c>
      <c r="AK13" s="128">
        <f>COUNTIF(FICHA!$D$64:$D$74,TRUE)+COUNTIF(FICHA!$T$63:$T$74,TRUE)</f>
        <v/>
      </c>
      <c r="AL13" s="38" t="n"/>
      <c r="AM13" s="38" t="n"/>
      <c r="AN13" s="114">
        <f>$L$12</f>
        <v/>
      </c>
      <c r="AO13" s="114" t="inlineStr">
        <is>
          <t>Guia</t>
        </is>
      </c>
      <c r="AP13" s="38" t="n"/>
      <c r="AQ13" s="128" t="n">
        <v>10</v>
      </c>
      <c r="AR13" s="128" t="n">
        <v>3700</v>
      </c>
      <c r="AS13" s="38" t="n"/>
      <c r="AT13" s="38" t="n"/>
      <c r="AU13" s="38" t="n"/>
      <c r="AV13" s="38" t="n"/>
      <c r="AW13" s="38" t="n"/>
      <c r="AX13" s="38" t="n"/>
      <c r="AY13" s="38" t="n"/>
      <c r="AZ13" s="38" t="n"/>
      <c r="BA13" s="114" t="inlineStr">
        <is>
          <t>atr_Constituição</t>
        </is>
      </c>
      <c r="BB13" s="114">
        <f>ADDRESS(ROW(FICHA!T19),COLUMN(FICHA!T19),4)</f>
        <v/>
      </c>
      <c r="BD13" s="114" t="inlineStr">
        <is>
          <t>Chicote</t>
        </is>
      </c>
      <c r="BE13" s="114" t="inlineStr">
        <is>
          <t>Flexível</t>
        </is>
      </c>
      <c r="BF13" s="128" t="n">
        <v>1</v>
      </c>
      <c r="BG13" s="114" t="inlineStr">
        <is>
          <t>d4</t>
        </is>
      </c>
      <c r="BH13" s="114" t="inlineStr">
        <is>
          <t>Alcance · Emaranha · Oculta</t>
        </is>
      </c>
      <c r="BI13" s="114" t="inlineStr">
        <is>
          <t>—</t>
        </is>
      </c>
      <c r="BJ13" s="128" t="n">
        <v>0.1</v>
      </c>
      <c r="BM13" s="128">
        <f>'FICHA PESSOAL'!$AE$55</f>
        <v/>
      </c>
      <c r="BN13" s="128">
        <f>ADDRESS(ROW('FICHA PESSOAL'!AE55),COLUMN('FICHA PESSOAL'!AE55),4)</f>
        <v/>
      </c>
      <c r="BP13" s="114" t="inlineStr">
        <is>
          <t>Machado</t>
        </is>
      </c>
      <c r="BQ13" s="114" t="inlineStr">
        <is>
          <t>Marciais</t>
        </is>
      </c>
      <c r="BR13" s="114" t="inlineStr">
        <is>
          <t>não</t>
        </is>
      </c>
      <c r="BS13" s="128">
        <f>'FICHA PESSOAL'!$D$57</f>
        <v/>
      </c>
      <c r="BT13" s="128">
        <f>ADDRESS(ROW('FICHA PESSOAL'!D57),COLUMN('FICHA PESSOAL'!D57),4)</f>
        <v/>
      </c>
      <c r="CJ13" s="114" t="inlineStr">
        <is>
          <t>Outra Situação</t>
        </is>
      </c>
      <c r="CY13" s="114" t="inlineStr">
        <is>
          <t>dado em uso</t>
        </is>
      </c>
      <c r="CZ13" s="128">
        <f>IF(DADOS!$CZ$12=1,IF(DADOS!$CZ$9="d6","d8",IF(DADOS!$CZ$9="d8","d10",IF(DADOS!$CZ$9="d10","d12",DADOS!$CZ$9))),DADOS!$CZ$9)</f>
        <v/>
      </c>
      <c r="DB13" s="128">
        <f>IF(AND('FICHA PESSOAL'!$D$76&lt;&gt;"",'FICHA PESSOAL'!$M$76&lt;&gt;"Escudo"),'FICHA PESSOAL'!$D$76,"")</f>
        <v/>
      </c>
      <c r="DD13" s="128">
        <f>IF(AND(DADOS!$CZ$8&lt;&gt;2,'FICHA PESSOAL'!$D$75&lt;&gt;"",OR('FICHA PESSOAL'!$M$75="Escudo",N('FICHA PESSOAL'!$S$75)=1)),'FICHA PESSOAL'!$D$75,"")</f>
        <v/>
      </c>
      <c r="DL13" s="114" t="inlineStr">
        <is>
          <t>missões 2</t>
        </is>
      </c>
      <c r="DM13" s="128">
        <f>ADDRESS(ROW('FICHA PESSOAL'!BC15),COLUMN('FICHA PESSOAL'!BC15),4)&amp;":"&amp;ADDRESS(ROW('FICHA PESSOAL'!BG64),COLUMN('FICHA PESSOAL'!BG64),4)</f>
        <v/>
      </c>
    </row>
    <row r="14" ht="17.25" customHeight="1">
      <c r="A14" s="38" t="n"/>
      <c r="B14" s="114" t="inlineStr">
        <is>
          <t>Hierarquia</t>
        </is>
      </c>
      <c r="C14" s="114" t="inlineStr">
        <is>
          <t>Jogatina</t>
        </is>
      </c>
      <c r="D14" s="38" t="n"/>
      <c r="E14" s="38" t="n"/>
      <c r="F14" s="114" t="inlineStr">
        <is>
          <t>Fica</t>
        </is>
      </c>
      <c r="G14" s="114" t="inlineStr">
        <is>
          <t>Fraqueza</t>
        </is>
      </c>
      <c r="H14" s="114" t="inlineStr">
        <is>
          <t>Amedrontado</t>
        </is>
      </c>
      <c r="I14" s="38" t="inlineStr">
        <is>
          <t>Feto · Sem Técnica</t>
        </is>
      </c>
      <c r="J14" s="38" t="n"/>
      <c r="K14" s="38" t="n"/>
      <c r="L14" s="114" t="inlineStr">
        <is>
          <t>Explosivo</t>
        </is>
      </c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114" t="inlineStr">
        <is>
          <t>História</t>
        </is>
      </c>
      <c r="AC14" s="114" t="inlineStr">
        <is>
          <t>Inteligência</t>
        </is>
      </c>
      <c r="AD14" s="38" t="n"/>
      <c r="AE14" s="114" t="inlineStr">
        <is>
          <t>Traje 1 + Broquel</t>
        </is>
      </c>
      <c r="AF14" s="128" t="n">
        <v>2</v>
      </c>
      <c r="AG14" s="128" t="n">
        <v>5</v>
      </c>
      <c r="AH14" s="128" t="inlineStr">
        <is>
          <t>sim</t>
        </is>
      </c>
      <c r="AI14" s="38" t="n"/>
      <c r="AJ14" s="114" t="inlineStr">
        <is>
          <t>ofícios treinados</t>
        </is>
      </c>
      <c r="AK14" s="128">
        <f>COUNTIF(FICHA!$D$79:$D$84,TRUE)+COUNTIF(FICHA!$Q$79:$Q$83,TRUE)</f>
        <v/>
      </c>
      <c r="AL14" s="38" t="n"/>
      <c r="AM14" s="38" t="n"/>
      <c r="AN14" s="114">
        <f>$L$13</f>
        <v/>
      </c>
      <c r="AO14" s="114" t="inlineStr">
        <is>
          <t>Emanador</t>
        </is>
      </c>
      <c r="AP14" s="38" t="n"/>
      <c r="AQ14" s="128" t="n">
        <v>11</v>
      </c>
      <c r="AR14" s="128" t="n">
        <v>4400</v>
      </c>
      <c r="AS14" s="38" t="n"/>
      <c r="AT14" s="38" t="n"/>
      <c r="AU14" s="38" t="n"/>
      <c r="AV14" s="38" t="n"/>
      <c r="AW14" s="38" t="n"/>
      <c r="AX14" s="38" t="n"/>
      <c r="AY14" s="38" t="n"/>
      <c r="AZ14" s="38" t="n"/>
      <c r="BA14" s="114" t="inlineStr">
        <is>
          <t>atr_Inteligência</t>
        </is>
      </c>
      <c r="BB14" s="114">
        <f>ADDRESS(ROW(FICHA!AB19),COLUMN(FICHA!AB19),4)</f>
        <v/>
      </c>
      <c r="BD14" s="114" t="inlineStr">
        <is>
          <t>Corrente</t>
        </is>
      </c>
      <c r="BE14" s="114" t="inlineStr">
        <is>
          <t>Flexível</t>
        </is>
      </c>
      <c r="BF14" s="128" t="n">
        <v>2</v>
      </c>
      <c r="BG14" s="114" t="inlineStr">
        <is>
          <t>d8</t>
        </is>
      </c>
      <c r="BH14" s="114" t="inlineStr">
        <is>
          <t>Alcance · Emaranha · Rompe</t>
        </is>
      </c>
      <c r="BI14" s="114" t="inlineStr">
        <is>
          <t>—</t>
        </is>
      </c>
      <c r="BJ14" s="128" t="n">
        <v>2</v>
      </c>
      <c r="BM14" s="128">
        <f>'FICHA PESSOAL'!$AE$56</f>
        <v/>
      </c>
      <c r="BN14" s="128">
        <f>ADDRESS(ROW('FICHA PESSOAL'!AE56),COLUMN('FICHA PESSOAL'!AE56),4)</f>
        <v/>
      </c>
      <c r="BP14" s="114" t="inlineStr">
        <is>
          <t>Armas Longas</t>
        </is>
      </c>
      <c r="BQ14" s="114" t="inlineStr">
        <is>
          <t>Marciais</t>
        </is>
      </c>
      <c r="BR14" s="114" t="inlineStr">
        <is>
          <t>não</t>
        </is>
      </c>
      <c r="BS14" s="128">
        <f>'FICHA PESSOAL'!$AM$54</f>
        <v/>
      </c>
      <c r="BT14" s="128">
        <f>ADDRESS(ROW('FICHA PESSOAL'!AM54),COLUMN('FICHA PESSOAL'!AM54),4)</f>
        <v/>
      </c>
      <c r="CY14" s="114" t="inlineStr">
        <is>
          <t>alcance da principal</t>
        </is>
      </c>
      <c r="CZ14" s="128">
        <f>IFERROR(VLOOKUP('FICHA PESSOAL'!$D$41,DADOS!$BD$5:$BN$59,8,FALSE)&amp;"","")</f>
        <v/>
      </c>
      <c r="DD14" s="128">
        <f>IF(AND(DADOS!$CZ$8&lt;&gt;2,'FICHA PESSOAL'!$D$76&lt;&gt;"",OR('FICHA PESSOAL'!$M$76="Escudo",N('FICHA PESSOAL'!$S$76)=1)),'FICHA PESSOAL'!$D$76,"")</f>
        <v/>
      </c>
      <c r="DL14" s="114" t="inlineStr">
        <is>
          <t>missões 3</t>
        </is>
      </c>
      <c r="DM14" s="128">
        <f>ADDRESS(ROW('FICHA PESSOAL'!BI15),COLUMN('FICHA PESSOAL'!BI15),4)&amp;":"&amp;ADDRESS(ROW('FICHA PESSOAL'!BM64),COLUMN('FICHA PESSOAL'!BM64),4)</f>
        <v/>
      </c>
    </row>
    <row r="15" ht="17.25" customHeight="1">
      <c r="A15" s="38" t="n"/>
      <c r="B15" s="114" t="inlineStr">
        <is>
          <t>Medicina</t>
        </is>
      </c>
      <c r="C15" s="38" t="n"/>
      <c r="D15" s="38" t="n"/>
      <c r="E15" s="38" t="n"/>
      <c r="F15" s="114" t="inlineStr">
        <is>
          <t>Mais Um</t>
        </is>
      </c>
      <c r="G15" s="114" t="inlineStr">
        <is>
          <t>Frágil</t>
        </is>
      </c>
      <c r="H15" s="114" t="inlineStr">
        <is>
          <t>Envenenado</t>
        </is>
      </c>
      <c r="I15" s="38" t="inlineStr">
        <is>
          <t>Corpo Amaldiçoado</t>
        </is>
      </c>
      <c r="J15" s="38" t="n"/>
      <c r="K15" s="38" t="n"/>
      <c r="L15" s="114" t="inlineStr">
        <is>
          <t>Arremate</t>
        </is>
      </c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114" t="inlineStr">
        <is>
          <t>Hierarquia</t>
        </is>
      </c>
      <c r="AC15" s="114" t="inlineStr">
        <is>
          <t>Inteligência</t>
        </is>
      </c>
      <c r="AD15" s="38" t="n"/>
      <c r="AE15" s="114" t="inlineStr">
        <is>
          <t>Traje 1 + Médio</t>
        </is>
      </c>
      <c r="AF15" s="128" t="n">
        <v>3</v>
      </c>
      <c r="AG15" s="128" t="n">
        <v>3</v>
      </c>
      <c r="AH15" s="128" t="inlineStr">
        <is>
          <t>sim</t>
        </is>
      </c>
      <c r="AI15" s="38" t="n"/>
      <c r="AJ15" s="114" t="inlineStr">
        <is>
          <t>especializações</t>
        </is>
      </c>
      <c r="AK15" s="128">
        <f>COUNTIF(FICHA!$E$64:$E$74,TRUE)+COUNTIF(FICHA!$E$79:$E$84,TRUE)+COUNTIF(FICHA!$R$79:$R$83,TRUE)+COUNTIF(FICHA!$U$63:$U$74,TRUE)</f>
        <v/>
      </c>
      <c r="AL15" s="38" t="n"/>
      <c r="AM15" s="38" t="n"/>
      <c r="AN15" s="114">
        <f>$L$14</f>
        <v/>
      </c>
      <c r="AO15" s="114" t="inlineStr">
        <is>
          <t>Emanador</t>
        </is>
      </c>
      <c r="AP15" s="38" t="n"/>
      <c r="AQ15" s="128" t="n">
        <v>12</v>
      </c>
      <c r="AR15" s="128" t="n">
        <v>5300</v>
      </c>
      <c r="AS15" s="38" t="n"/>
      <c r="AT15" s="38" t="n"/>
      <c r="AU15" s="38" t="n"/>
      <c r="AV15" s="38" t="n"/>
      <c r="AW15" s="38" t="n"/>
      <c r="AX15" s="38" t="n"/>
      <c r="AY15" s="38" t="n"/>
      <c r="AZ15" s="38" t="n"/>
      <c r="BA15" s="114" t="inlineStr">
        <is>
          <t>atr_Essência</t>
        </is>
      </c>
      <c r="BB15" s="114">
        <f>ADDRESS(ROW(FICHA!AJ19),COLUMN(FICHA!AJ19),4)</f>
        <v/>
      </c>
      <c r="BD15" s="114" t="inlineStr">
        <is>
          <t>Daikyū</t>
        </is>
      </c>
      <c r="BE15" s="114" t="inlineStr">
        <is>
          <t>Yumi</t>
        </is>
      </c>
      <c r="BF15" s="128" t="n">
        <v>2</v>
      </c>
      <c r="BG15" s="114" t="inlineStr">
        <is>
          <t>1d10</t>
        </is>
      </c>
      <c r="BH15" s="114" t="inlineStr">
        <is>
          <t>Longo Alcance</t>
        </is>
      </c>
      <c r="BI15" s="114" t="inlineStr">
        <is>
          <t>—</t>
        </is>
      </c>
      <c r="BJ15" s="128" t="n">
        <v>2</v>
      </c>
      <c r="BK15" s="114" t="inlineStr">
        <is>
          <t>45 m, longa 180 m</t>
        </is>
      </c>
      <c r="BM15" s="128">
        <f>'FICHA PESSOAL'!$AM$59</f>
        <v/>
      </c>
      <c r="BN15" s="128">
        <f>ADDRESS(ROW('FICHA PESSOAL'!AM59),COLUMN('FICHA PESSOAL'!AM59),4)</f>
        <v/>
      </c>
      <c r="BP15" s="114" t="inlineStr">
        <is>
          <t>Flexível</t>
        </is>
      </c>
      <c r="BQ15" s="114" t="inlineStr">
        <is>
          <t>Marciais</t>
        </is>
      </c>
      <c r="BR15" s="114" t="inlineStr">
        <is>
          <t>não</t>
        </is>
      </c>
      <c r="BS15" s="128">
        <f>'FICHA PESSOAL'!$AE$54</f>
        <v/>
      </c>
      <c r="BT15" s="128">
        <f>ADDRESS(ROW('FICHA PESSOAL'!AE54),COLUMN('FICHA PESSOAL'!AE54),4)</f>
        <v/>
      </c>
      <c r="CY15" s="114" t="inlineStr">
        <is>
          <t>recarga da principal</t>
        </is>
      </c>
      <c r="CZ15" s="128">
        <f>IFERROR(VLOOKUP('FICHA PESSOAL'!$D$41,DADOS!$BD$5:$BN$59,9,FALSE)&amp;"","")</f>
        <v/>
      </c>
      <c r="DL15" s="114" t="inlineStr">
        <is>
          <t>missões 4</t>
        </is>
      </c>
      <c r="DM15" s="128">
        <f>ADDRESS(ROW('FICHA PESSOAL'!BO15),COLUMN('FICHA PESSOAL'!BO15),4)&amp;":"&amp;ADDRESS(ROW('FICHA PESSOAL'!BS64),COLUMN('FICHA PESSOAL'!BS64),4)</f>
        <v/>
      </c>
    </row>
    <row r="16" ht="17.25" customHeight="1">
      <c r="A16" s="38" t="n"/>
      <c r="B16" s="114" t="inlineStr">
        <is>
          <t>Sobrevivência</t>
        </is>
      </c>
      <c r="C16" s="38" t="n"/>
      <c r="D16" s="38" t="n"/>
      <c r="E16" s="38" t="n"/>
      <c r="F16" s="114" t="inlineStr">
        <is>
          <t>Rajada</t>
        </is>
      </c>
      <c r="G16" s="114" t="inlineStr">
        <is>
          <t>Barulho</t>
        </is>
      </c>
      <c r="H16" s="114" t="inlineStr">
        <is>
          <t>Atordoado</t>
        </is>
      </c>
      <c r="I16" s="38" t="inlineStr">
        <is>
          <t>Restrição Celestial · sem energia</t>
        </is>
      </c>
      <c r="J16" s="38" t="n"/>
      <c r="K16" s="38" t="n"/>
      <c r="L16" s="114" t="inlineStr">
        <is>
          <t>Servo</t>
        </is>
      </c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114" t="inlineStr">
        <is>
          <t>Medicina</t>
        </is>
      </c>
      <c r="AC16" s="114" t="inlineStr">
        <is>
          <t>Inteligência</t>
        </is>
      </c>
      <c r="AD16" s="38" t="n"/>
      <c r="AE16" s="114" t="inlineStr">
        <is>
          <t>Traje 1 + Torre</t>
        </is>
      </c>
      <c r="AF16" s="128" t="n">
        <v>4</v>
      </c>
      <c r="AG16" s="128" t="n">
        <v>1</v>
      </c>
      <c r="AH16" s="128" t="inlineStr">
        <is>
          <t>sim</t>
        </is>
      </c>
      <c r="AI16" s="38" t="n"/>
      <c r="AJ16" s="114" t="inlineStr">
        <is>
          <t>Corpo que sobra</t>
        </is>
      </c>
      <c r="AK16" s="128">
        <f>DADOS!$AK$10-DADOS!$AK$15</f>
        <v/>
      </c>
      <c r="AL16" s="38" t="n"/>
      <c r="AM16" s="38" t="n"/>
      <c r="AN16" s="114">
        <f>$L$15</f>
        <v/>
      </c>
      <c r="AO16" s="114" t="inlineStr">
        <is>
          <t>Emanador</t>
        </is>
      </c>
      <c r="AP16" s="38" t="n"/>
      <c r="AQ16" s="128" t="n">
        <v>13</v>
      </c>
      <c r="AR16" s="128" t="n">
        <v>6200</v>
      </c>
      <c r="AS16" s="38" t="n"/>
      <c r="AT16" s="38" t="n"/>
      <c r="AU16" s="38" t="n"/>
      <c r="AV16" s="38" t="n"/>
      <c r="AW16" s="38" t="n"/>
      <c r="AX16" s="38" t="n"/>
      <c r="AY16" s="38" t="n"/>
      <c r="AZ16" s="38" t="n"/>
      <c r="BA16" s="114" t="inlineStr">
        <is>
          <t>atr_base_Força</t>
        </is>
      </c>
      <c r="BB16" s="114">
        <f>ADDRESS(ROW(FICHA!D21),COLUMN(FICHA!D21),4)</f>
        <v/>
      </c>
      <c r="BD16" s="114" t="inlineStr">
        <is>
          <t>Espada Longa</t>
        </is>
      </c>
      <c r="BE16" s="114" t="inlineStr">
        <is>
          <t>Lâmina Longa</t>
        </is>
      </c>
      <c r="BF16" s="128" t="n">
        <v>1</v>
      </c>
      <c r="BG16" s="114" t="inlineStr">
        <is>
          <t>d8</t>
        </is>
      </c>
      <c r="BH16" s="114" t="inlineStr">
        <is>
          <t>Versátil · Rompe</t>
        </is>
      </c>
      <c r="BI16" s="114" t="inlineStr">
        <is>
          <t>—</t>
        </is>
      </c>
      <c r="BJ16" s="128" t="n">
        <v>1</v>
      </c>
      <c r="BM16" s="128">
        <f>'FICHA PESSOAL'!$D$49</f>
        <v/>
      </c>
      <c r="BN16" s="128">
        <f>ADDRESS(ROW('FICHA PESSOAL'!D49),COLUMN('FICHA PESSOAL'!D49),4)</f>
        <v/>
      </c>
      <c r="BP16" s="114" t="inlineStr">
        <is>
          <t>Yumi</t>
        </is>
      </c>
      <c r="BQ16" s="114" t="inlineStr">
        <is>
          <t>Marciais</t>
        </is>
      </c>
      <c r="BR16" s="114" t="inlineStr">
        <is>
          <t>não</t>
        </is>
      </c>
      <c r="BS16" s="128">
        <f>'FICHA PESSOAL'!$AM$58</f>
        <v/>
      </c>
      <c r="BT16" s="128">
        <f>ADDRESS(ROW('FICHA PESSOAL'!AM58),COLUMN('FICHA PESSOAL'!AM58),4)</f>
        <v/>
      </c>
      <c r="CY16" s="114" t="inlineStr">
        <is>
          <t>treino da principal</t>
        </is>
      </c>
      <c r="CZ16" s="128">
        <f>IF(DADOS!$CZ$6=1,1,IF(IFERROR(VLOOKUP('FICHA PESSOAL'!$D$41,DADOS!$BD$5:$BN$59,10,FALSE),IFERROR(VLOOKUP(DADOS!$CZ$7,DADOS!$BP$5:$BT$17,4,FALSE),FALSE))=TRUE,1,0))</f>
        <v/>
      </c>
      <c r="DL16" s="114" t="inlineStr">
        <is>
          <t>equipáveis</t>
        </is>
      </c>
      <c r="DM16" s="128">
        <f>ADDRESS(ROW('FICHA PESSOAL'!D69),COLUMN('FICHA PESSOAL'!D69),4)&amp;":"&amp;ADDRESS(ROW('FICHA PESSOAL'!AT76),COLUMN('FICHA PESSOAL'!AT76),4)</f>
        <v/>
      </c>
    </row>
    <row r="17" ht="17.25" customHeight="1">
      <c r="A17" s="38" t="n"/>
      <c r="B17" s="114" t="inlineStr">
        <is>
          <t>Natureza</t>
        </is>
      </c>
      <c r="C17" s="38" t="n"/>
      <c r="D17" s="38" t="n"/>
      <c r="E17" s="38" t="n"/>
      <c r="F17" s="114" t="inlineStr">
        <is>
          <t>Salto</t>
        </is>
      </c>
      <c r="G17" s="114" t="inlineStr">
        <is>
          <t>Assinatura</t>
        </is>
      </c>
      <c r="H17" s="114" t="n"/>
      <c r="I17" s="38" t="n"/>
      <c r="J17" s="38" t="n"/>
      <c r="K17" s="38" t="n"/>
      <c r="L17" s="114" t="inlineStr">
        <is>
          <t>Matilha</t>
        </is>
      </c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114" t="inlineStr">
        <is>
          <t>Sobrevivência</t>
        </is>
      </c>
      <c r="AC17" s="114" t="inlineStr">
        <is>
          <t>Inteligência</t>
        </is>
      </c>
      <c r="AD17" s="38" t="n"/>
      <c r="AE17" s="114" t="inlineStr">
        <is>
          <t>Traje 2 + Broquel</t>
        </is>
      </c>
      <c r="AF17" s="128" t="n">
        <v>3</v>
      </c>
      <c r="AG17" s="128" t="n">
        <v>5</v>
      </c>
      <c r="AH17" s="128" t="inlineStr">
        <is>
          <t>sim</t>
        </is>
      </c>
      <c r="AI17" s="38" t="n"/>
      <c r="AJ17" s="114" t="inlineStr">
        <is>
          <t>rota do ofício</t>
        </is>
      </c>
      <c r="AK17" s="128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38" t="n"/>
      <c r="AM17" s="38" t="n"/>
      <c r="AN17" s="114">
        <f>$L$16</f>
        <v/>
      </c>
      <c r="AO17" s="114" t="inlineStr">
        <is>
          <t>Evocador</t>
        </is>
      </c>
      <c r="AP17" s="38" t="n"/>
      <c r="AQ17" s="128" t="n">
        <v>14</v>
      </c>
      <c r="AR17" s="128" t="n">
        <v>7100</v>
      </c>
      <c r="AS17" s="38" t="n"/>
      <c r="AT17" s="38" t="n"/>
      <c r="AU17" s="38" t="n"/>
      <c r="AV17" s="38" t="n"/>
      <c r="AW17" s="38" t="n"/>
      <c r="AX17" s="38" t="n"/>
      <c r="AY17" s="38" t="n"/>
      <c r="AZ17" s="38" t="n"/>
      <c r="BA17" s="114" t="inlineStr">
        <is>
          <t>atr_base_Destreza</t>
        </is>
      </c>
      <c r="BB17" s="114">
        <f>ADDRESS(ROW(FICHA!L21),COLUMN(FICHA!L21),4)</f>
        <v/>
      </c>
      <c r="BD17" s="114" t="inlineStr">
        <is>
          <t>Espadão</t>
        </is>
      </c>
      <c r="BE17" s="114" t="inlineStr">
        <is>
          <t>Lâmina Longa</t>
        </is>
      </c>
      <c r="BF17" s="128" t="n">
        <v>2</v>
      </c>
      <c r="BG17" s="114" t="inlineStr">
        <is>
          <t>d12</t>
        </is>
      </c>
      <c r="BH17" s="114" t="inlineStr">
        <is>
          <t>Alcance</t>
        </is>
      </c>
      <c r="BI17" s="128" t="n">
        <v>3</v>
      </c>
      <c r="BJ17" s="128" t="n">
        <v>2</v>
      </c>
      <c r="BM17" s="128">
        <f>'FICHA PESSOAL'!$D$50</f>
        <v/>
      </c>
      <c r="BN17" s="128">
        <f>ADDRESS(ROW('FICHA PESSOAL'!D50),COLUMN('FICHA PESSOAL'!D50),4)</f>
        <v/>
      </c>
      <c r="BP17" s="114" t="inlineStr">
        <is>
          <t>Arma de Fogo</t>
        </is>
      </c>
      <c r="BQ17" s="114" t="inlineStr">
        <is>
          <t>Arma de Fogo</t>
        </is>
      </c>
      <c r="BR17" s="114" t="inlineStr">
        <is>
          <t>sim</t>
        </is>
      </c>
      <c r="BS17" s="128">
        <f>'FICHA PESSOAL'!$M$48</f>
        <v/>
      </c>
      <c r="BT17" s="128">
        <f>ADDRESS(ROW('FICHA PESSOAL'!M48),COLUMN('FICHA PESSOAL'!M48),4)</f>
        <v/>
      </c>
      <c r="CY17" s="114" t="inlineStr">
        <is>
          <t>secundária vale</t>
        </is>
      </c>
      <c r="CZ17" s="128">
        <f>IF(AND(DADOS!$CZ$8&lt;&gt;2,'FICHA PESSOAL'!$S$41&lt;&gt;"",'FICHA PESSOAL'!$S$41&lt;&gt;"—",'FICHA PESSOAL'!$S$41&lt;&gt;"Nas duas mãos"),1,0)</f>
        <v/>
      </c>
      <c r="DL17" s="114" t="inlineStr">
        <is>
          <t>itens</t>
        </is>
      </c>
      <c r="DM17" s="128">
        <f>ADDRESS(ROW('FICHA PESSOAL'!D81),COLUMN('FICHA PESSOAL'!D81),4)&amp;":"&amp;ADDRESS(ROW('FICHA PESSOAL'!AT86),COLUMN('FICHA PESSOAL'!AT86),4)</f>
        <v/>
      </c>
    </row>
    <row r="18" ht="17.25" customHeight="1">
      <c r="A18" s="38" t="n"/>
      <c r="B18" s="114" t="inlineStr">
        <is>
          <t>Lidar com Animais</t>
        </is>
      </c>
      <c r="C18" s="38" t="n"/>
      <c r="D18" s="38" t="n"/>
      <c r="E18" s="38" t="n"/>
      <c r="F18" s="114" t="inlineStr">
        <is>
          <t>Contorno</t>
        </is>
      </c>
      <c r="G18" s="114" t="inlineStr">
        <is>
          <t>Aquecer</t>
        </is>
      </c>
      <c r="H18" s="38" t="n"/>
      <c r="I18" s="38" t="n"/>
      <c r="J18" s="38" t="n"/>
      <c r="K18" s="38" t="n"/>
      <c r="L18" s="114" t="inlineStr">
        <is>
          <t>Coro</t>
        </is>
      </c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114" t="inlineStr">
        <is>
          <t>Natureza</t>
        </is>
      </c>
      <c r="AC18" s="114" t="inlineStr">
        <is>
          <t>Inteligência</t>
        </is>
      </c>
      <c r="AD18" s="38" t="n"/>
      <c r="AE18" s="114" t="inlineStr">
        <is>
          <t>Traje 2 + Médio</t>
        </is>
      </c>
      <c r="AF18" s="128" t="n">
        <v>4</v>
      </c>
      <c r="AG18" s="128" t="n">
        <v>3</v>
      </c>
      <c r="AH18" s="128" t="inlineStr">
        <is>
          <t>sim</t>
        </is>
      </c>
      <c r="AI18" s="38" t="n"/>
      <c r="AJ18" s="114" t="inlineStr">
        <is>
          <t>perícias por arma</t>
        </is>
      </c>
      <c r="AK18" s="128">
        <f>IF(OR(FICHA!$D$11="Guia",FICHA!$D$11="Emanador",FICHA!$D$11="Evocador"),IF(FICHA!$AK$65="2 armas (-4 pericias)",4,IF(FICHA!$AK$65="1 arma (-2 pericias)",2,0)),0)</f>
        <v/>
      </c>
      <c r="AL18" s="38" t="n"/>
      <c r="AM18" s="38" t="n"/>
      <c r="AN18" s="114">
        <f>$L$17</f>
        <v/>
      </c>
      <c r="AO18" s="114" t="inlineStr">
        <is>
          <t>Evocador</t>
        </is>
      </c>
      <c r="AP18" s="38" t="n"/>
      <c r="AQ18" s="128" t="n">
        <v>15</v>
      </c>
      <c r="AR18" s="128" t="n">
        <v>8200</v>
      </c>
      <c r="AS18" s="38" t="n"/>
      <c r="AT18" s="38" t="n"/>
      <c r="AU18" s="38" t="n"/>
      <c r="AV18" s="38" t="n"/>
      <c r="AW18" s="38" t="n"/>
      <c r="AX18" s="38" t="n"/>
      <c r="AY18" s="38" t="n"/>
      <c r="AZ18" s="38" t="n"/>
      <c r="BA18" s="114" t="inlineStr">
        <is>
          <t>atr_base_Constituição</t>
        </is>
      </c>
      <c r="BB18" s="114">
        <f>ADDRESS(ROW(FICHA!T21),COLUMN(FICHA!T21),4)</f>
        <v/>
      </c>
      <c r="BD18" s="114" t="inlineStr">
        <is>
          <t>Espingarda</t>
        </is>
      </c>
      <c r="BE18" s="114" t="inlineStr">
        <is>
          <t>Arma de Fogo</t>
        </is>
      </c>
      <c r="BF18" s="128" t="n">
        <v>2</v>
      </c>
      <c r="BG18" s="114" t="inlineStr">
        <is>
          <t>2d8</t>
        </is>
      </c>
      <c r="BH18" s="114" t="inlineStr">
        <is>
          <t>Longo Alcance · Munição · Rompe</t>
        </is>
      </c>
      <c r="BI18" s="128" t="n">
        <v>1</v>
      </c>
      <c r="BJ18" s="128" t="n">
        <v>2</v>
      </c>
      <c r="BK18" s="114" t="inlineStr">
        <is>
          <t>9 m, longa 27 m</t>
        </is>
      </c>
      <c r="BL18" s="128" t="n">
        <v>2</v>
      </c>
      <c r="BM18" s="128">
        <f>'FICHA PESSOAL'!$M$49</f>
        <v/>
      </c>
      <c r="BN18" s="128">
        <f>ADDRESS(ROW('FICHA PESSOAL'!M49),COLUMN('FICHA PESSOAL'!M49),4)</f>
        <v/>
      </c>
      <c r="CY18" s="114" t="inlineStr">
        <is>
          <t>categoria da secundária</t>
        </is>
      </c>
      <c r="CZ18" s="128">
        <f>IF(DADOS!$CZ$17=1,IFERROR(VLOOKUP('FICHA PESSOAL'!$S$41,'FICHA PESSOAL'!$D$69:$AH$76,10,FALSE)&amp;"",""),"")</f>
        <v/>
      </c>
      <c r="DL18" s="114" t="inlineStr">
        <is>
          <t>volume dos itens 1</t>
        </is>
      </c>
      <c r="DM18" s="128">
        <f>ADDRESS(ROW('FICHA PESSOAL'!V81),COLUMN('FICHA PESSOAL'!V81),4)&amp;":"&amp;ADDRESS(ROW('FICHA PESSOAL'!V86),COLUMN('FICHA PESSOAL'!V86),4)</f>
        <v/>
      </c>
    </row>
    <row r="19" ht="17.25" customHeight="1">
      <c r="A19" s="38" t="n"/>
      <c r="B19" s="114" t="inlineStr">
        <is>
          <t>Tecnologia</t>
        </is>
      </c>
      <c r="C19" s="38" t="n"/>
      <c r="D19" s="38" t="n"/>
      <c r="E19" s="38" t="n"/>
      <c r="F19" s="114" t="inlineStr">
        <is>
          <t>Precisão</t>
        </is>
      </c>
      <c r="G19" s="114" t="inlineStr">
        <is>
          <t>Dívida</t>
        </is>
      </c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114" t="inlineStr">
        <is>
          <t>Lidar com Animais</t>
        </is>
      </c>
      <c r="AC19" s="114" t="inlineStr">
        <is>
          <t>Inteligência</t>
        </is>
      </c>
      <c r="AD19" s="38" t="n"/>
      <c r="AE19" s="114" t="inlineStr">
        <is>
          <t>Traje 2 + Torre</t>
        </is>
      </c>
      <c r="AF19" s="128" t="n">
        <v>5</v>
      </c>
      <c r="AG19" s="128" t="n">
        <v>1</v>
      </c>
      <c r="AH19" s="128" t="inlineStr">
        <is>
          <t>sim</t>
        </is>
      </c>
      <c r="AI19" s="38" t="n"/>
      <c r="AJ19" s="114" t="inlineStr">
        <is>
          <t>perícias da rota</t>
        </is>
      </c>
      <c r="AK19" s="128">
        <f>IF(DADOS!$AK$17=1,9,10)-DADOS!$AK$18</f>
        <v/>
      </c>
      <c r="AL19" s="38" t="n"/>
      <c r="AM19" s="38" t="n"/>
      <c r="AN19" s="114">
        <f>$L$18</f>
        <v/>
      </c>
      <c r="AO19" s="114" t="inlineStr">
        <is>
          <t>Evocador</t>
        </is>
      </c>
      <c r="AP19" s="38" t="n"/>
      <c r="AQ19" s="128" t="n">
        <v>16</v>
      </c>
      <c r="AR19" s="128" t="n">
        <v>9300</v>
      </c>
      <c r="AS19" s="38" t="n"/>
      <c r="AT19" s="38" t="n"/>
      <c r="AU19" s="38" t="n"/>
      <c r="AV19" s="38" t="n"/>
      <c r="AW19" s="38" t="n"/>
      <c r="AX19" s="38" t="n"/>
      <c r="AY19" s="38" t="n"/>
      <c r="AZ19" s="38" t="n"/>
      <c r="BA19" s="114" t="inlineStr">
        <is>
          <t>atr_base_Inteligência</t>
        </is>
      </c>
      <c r="BB19" s="114">
        <f>ADDRESS(ROW(FICHA!AB21),COLUMN(FICHA!AB21),4)</f>
        <v/>
      </c>
      <c r="BD19" s="114" t="inlineStr">
        <is>
          <t>Faca</t>
        </is>
      </c>
      <c r="BE19" s="114" t="inlineStr">
        <is>
          <t>Lâmina Curta</t>
        </is>
      </c>
      <c r="BF19" s="128" t="n">
        <v>1</v>
      </c>
      <c r="BG19" s="114" t="inlineStr">
        <is>
          <t>d6</t>
        </is>
      </c>
      <c r="BH19" s="114" t="inlineStr">
        <is>
          <t>Fineza · Rompe</t>
        </is>
      </c>
      <c r="BI19" s="114" t="inlineStr">
        <is>
          <t>—</t>
        </is>
      </c>
      <c r="BJ19" s="128" t="n">
        <v>1</v>
      </c>
      <c r="BM19" s="128">
        <f>'FICHA PESSOAL'!$AE$50</f>
        <v/>
      </c>
      <c r="BN19" s="128">
        <f>ADDRESS(ROW('FICHA PESSOAL'!AE50),COLUMN('FICHA PESSOAL'!AE50),4)</f>
        <v/>
      </c>
      <c r="CY19" s="114" t="inlineStr">
        <is>
          <t>escudo na secundária</t>
        </is>
      </c>
      <c r="CZ19" s="128">
        <f>IF(AND(DADOS!$CZ$17=1,DADOS!$CZ$18="Escudo"),1,0)</f>
        <v/>
      </c>
      <c r="DL19" s="114" t="inlineStr">
        <is>
          <t>volume dos itens 2</t>
        </is>
      </c>
      <c r="DM19" s="128">
        <f>ADDRESS(ROW('FICHA PESSOAL'!AR81),COLUMN('FICHA PESSOAL'!AR81),4)&amp;":"&amp;ADDRESS(ROW('FICHA PESSOAL'!AR86),COLUMN('FICHA PESSOAL'!AR86),4)</f>
        <v/>
      </c>
    </row>
    <row r="20" ht="17.25" customHeight="1">
      <c r="A20" s="38" t="n"/>
      <c r="B20" s="114" t="inlineStr">
        <is>
          <t>Sentir Energia</t>
        </is>
      </c>
      <c r="C20" s="38" t="n"/>
      <c r="D20" s="38" t="n"/>
      <c r="E20" s="38" t="n"/>
      <c r="F20" s="114" t="inlineStr">
        <is>
          <t>Certeiro</t>
        </is>
      </c>
      <c r="G20" s="114" t="inlineStr">
        <is>
          <t>Peso Morto</t>
        </is>
      </c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114" t="inlineStr">
        <is>
          <t>Tecnologia</t>
        </is>
      </c>
      <c r="AC20" s="114" t="inlineStr">
        <is>
          <t>Inteligência</t>
        </is>
      </c>
      <c r="AD20" s="38" t="n"/>
      <c r="AE20" s="114" t="inlineStr">
        <is>
          <t>Traje 3 + Broquel</t>
        </is>
      </c>
      <c r="AF20" s="128" t="n">
        <v>4</v>
      </c>
      <c r="AG20" s="128" t="n">
        <v>5</v>
      </c>
      <c r="AH20" s="128" t="inlineStr">
        <is>
          <t>sim</t>
        </is>
      </c>
      <c r="AI20" s="38" t="n"/>
      <c r="AJ20" s="114" t="inlineStr">
        <is>
          <t>ofícios da rota</t>
        </is>
      </c>
      <c r="AK20" s="128">
        <f>IF(DADOS!$AK$17=1,2,0)</f>
        <v/>
      </c>
      <c r="AL20" s="38" t="n"/>
      <c r="AM20" s="38" t="n"/>
      <c r="AN20" s="38" t="n"/>
      <c r="AO20" s="38" t="n"/>
      <c r="AP20" s="38" t="n"/>
      <c r="AQ20" s="128" t="n">
        <v>17</v>
      </c>
      <c r="AR20" s="128" t="n">
        <v>10400</v>
      </c>
      <c r="AS20" s="38" t="n"/>
      <c r="AT20" s="38" t="n"/>
      <c r="AU20" s="38" t="n"/>
      <c r="AV20" s="38" t="n"/>
      <c r="AW20" s="38" t="n"/>
      <c r="AX20" s="38" t="n"/>
      <c r="AY20" s="38" t="n"/>
      <c r="AZ20" s="38" t="n"/>
      <c r="BA20" s="114" t="inlineStr">
        <is>
          <t>atr_base_Essência</t>
        </is>
      </c>
      <c r="BB20" s="114">
        <f>ADDRESS(ROW(FICHA!AJ21),COLUMN(FICHA!AJ21),4)</f>
        <v/>
      </c>
      <c r="BD20" s="114" t="inlineStr">
        <is>
          <t>Foice</t>
        </is>
      </c>
      <c r="BE20" s="114" t="inlineStr">
        <is>
          <t>Ceifa</t>
        </is>
      </c>
      <c r="BF20" s="128" t="n">
        <v>2</v>
      </c>
      <c r="BG20" s="114" t="inlineStr">
        <is>
          <t>d10</t>
        </is>
      </c>
      <c r="BH20" s="114" t="inlineStr">
        <is>
          <t>Emaranha · Talha</t>
        </is>
      </c>
      <c r="BI20" s="128" t="n">
        <v>3</v>
      </c>
      <c r="BJ20" s="128" t="n">
        <v>2</v>
      </c>
      <c r="BM20" s="128">
        <f>'FICHA PESSOAL'!$V$55</f>
        <v/>
      </c>
      <c r="BN20" s="128">
        <f>ADDRESS(ROW('FICHA PESSOAL'!V55),COLUMN('FICHA PESSOAL'!V55),4)</f>
        <v/>
      </c>
      <c r="CY20" s="114" t="inlineStr">
        <is>
          <t>dado da secundária</t>
        </is>
      </c>
      <c r="CZ20" s="128">
        <f>IF(DADOS!$CZ$17=1,IFERROR(VLOOKUP('FICHA PESSOAL'!$S$41,'FICHA PESSOAL'!$D$69:$AH$76,18,FALSE)&amp;"",""),"")</f>
        <v/>
      </c>
      <c r="DL20" s="114" t="inlineStr">
        <is>
          <t>em uso</t>
        </is>
      </c>
      <c r="DM20" s="128">
        <f>ADDRESS(ROW('FICHA PESSOAL'!D38),COLUMN('FICHA PESSOAL'!D38),4)&amp;":"&amp;ADDRESS(ROW('FICHA PESSOAL'!AT44),COLUMN('FICHA PESSOAL'!AT44),4)</f>
        <v/>
      </c>
    </row>
    <row r="21" ht="17.25" customHeight="1">
      <c r="A21" s="38" t="n"/>
      <c r="B21" s="114" t="inlineStr">
        <is>
          <t>Percepção</t>
        </is>
      </c>
      <c r="C21" s="38" t="n"/>
      <c r="D21" s="38" t="n"/>
      <c r="E21" s="38" t="n"/>
      <c r="F21" s="114" t="inlineStr">
        <is>
          <t>Inescapável</t>
        </is>
      </c>
      <c r="G21" s="114" t="inlineStr">
        <is>
          <t>Sem Volta</t>
        </is>
      </c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114" t="inlineStr">
        <is>
          <t>Sentir Energia</t>
        </is>
      </c>
      <c r="AC21" s="114" t="inlineStr">
        <is>
          <t>Essência</t>
        </is>
      </c>
      <c r="AD21" s="38" t="n"/>
      <c r="AE21" s="114" t="inlineStr">
        <is>
          <t>Traje 3 + Médio</t>
        </is>
      </c>
      <c r="AF21" s="128" t="n">
        <v>5</v>
      </c>
      <c r="AG21" s="128" t="n">
        <v>3</v>
      </c>
      <c r="AH21" s="128" t="inlineStr">
        <is>
          <t>sim</t>
        </is>
      </c>
      <c r="AI21" s="38" t="n"/>
      <c r="AJ21" s="114" t="inlineStr">
        <is>
          <t>Corpo nas perícias</t>
        </is>
      </c>
      <c r="AK21" s="128">
        <f>MAX(0,DADOS!$AK$13-DADOS!$AK$19)</f>
        <v/>
      </c>
      <c r="AL21" s="38" t="n"/>
      <c r="AM21" s="38" t="n"/>
      <c r="AN21" s="38" t="n"/>
      <c r="AO21" s="38" t="n"/>
      <c r="AP21" s="38" t="n"/>
      <c r="AQ21" s="128" t="n">
        <v>18</v>
      </c>
      <c r="AR21" s="128" t="n">
        <v>11700</v>
      </c>
      <c r="AS21" s="38" t="n"/>
      <c r="AT21" s="38" t="n"/>
      <c r="AU21" s="38" t="n"/>
      <c r="AV21" s="38" t="n"/>
      <c r="AW21" s="38" t="n"/>
      <c r="AX21" s="38" t="n"/>
      <c r="AY21" s="38" t="n"/>
      <c r="AZ21" s="38" t="n"/>
      <c r="BA21" s="114" t="inlineStr">
        <is>
          <t>vida</t>
        </is>
      </c>
      <c r="BB21" s="114">
        <f>ADDRESS(ROW(FICHA!D26),COLUMN(FICHA!D26),4)</f>
        <v/>
      </c>
      <c r="BD21" s="114" t="inlineStr">
        <is>
          <t>Hankyū</t>
        </is>
      </c>
      <c r="BE21" s="114" t="inlineStr">
        <is>
          <t>Yumi</t>
        </is>
      </c>
      <c r="BF21" s="128" t="n">
        <v>2</v>
      </c>
      <c r="BG21" s="114" t="inlineStr">
        <is>
          <t>1d8</t>
        </is>
      </c>
      <c r="BH21" s="114" t="inlineStr">
        <is>
          <t>Longo Alcance · Oculta</t>
        </is>
      </c>
      <c r="BI21" s="114" t="inlineStr">
        <is>
          <t>—</t>
        </is>
      </c>
      <c r="BJ21" s="128" t="n">
        <v>2</v>
      </c>
      <c r="BK21" s="114" t="inlineStr">
        <is>
          <t>24 m, longa 96 m</t>
        </is>
      </c>
      <c r="BM21" s="128">
        <f>'FICHA PESSOAL'!$AM$60</f>
        <v/>
      </c>
      <c r="BN21" s="128">
        <f>ADDRESS(ROW('FICHA PESSOAL'!AM60),COLUMN('FICHA PESSOAL'!AM60),4)</f>
        <v/>
      </c>
      <c r="CY21" s="114" t="inlineStr">
        <is>
          <t>propriedades da secundária</t>
        </is>
      </c>
      <c r="CZ21" s="128">
        <f>IF(DADOS!$CZ$17=1,IFERROR(VLOOKUP('FICHA PESSOAL'!$S$41,'FICHA PESSOAL'!$D$69:$AH$76,20,FALSE)&amp;"",""),"")</f>
        <v/>
      </c>
      <c r="DL21" s="114" t="inlineStr">
        <is>
          <t>fileira</t>
        </is>
      </c>
      <c r="DM21" s="128">
        <f>ADDRESS(ROW('FICHA PESSOAL'!D62),COLUMN('FICHA PESSOAL'!D62),4)&amp;":"&amp;ADDRESS(ROW('FICHA PESSOAL'!AT64),COLUMN('FICHA PESSOAL'!AT64),4)</f>
        <v/>
      </c>
    </row>
    <row r="22" ht="17.25" customHeight="1">
      <c r="A22" s="38" t="n"/>
      <c r="B22" s="114" t="inlineStr">
        <is>
          <t>Persuasão</t>
        </is>
      </c>
      <c r="C22" s="38" t="n"/>
      <c r="D22" s="38" t="n"/>
      <c r="E22" s="38" t="n"/>
      <c r="F22" s="114" t="inlineStr">
        <is>
          <t>Fura</t>
        </is>
      </c>
      <c r="G22" s="114" t="inlineStr">
        <is>
          <t>Restrição Própria</t>
        </is>
      </c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114" t="inlineStr">
        <is>
          <t>Percepção</t>
        </is>
      </c>
      <c r="AC22" s="114" t="inlineStr">
        <is>
          <t>Essência</t>
        </is>
      </c>
      <c r="AD22" s="38" t="n"/>
      <c r="AE22" s="114" t="inlineStr">
        <is>
          <t>Traje 3 + Torre</t>
        </is>
      </c>
      <c r="AF22" s="128" t="n">
        <v>6</v>
      </c>
      <c r="AG22" s="128" t="n">
        <v>1</v>
      </c>
      <c r="AH22" s="128" t="inlineStr">
        <is>
          <t>sim</t>
        </is>
      </c>
      <c r="AI22" s="38" t="n"/>
      <c r="AJ22" s="114" t="inlineStr">
        <is>
          <t>Corpo nos ofícios</t>
        </is>
      </c>
      <c r="AK22" s="128">
        <f>MAX(0,DADOS!$AK$14-DADOS!$AK$20)</f>
        <v/>
      </c>
      <c r="AL22" s="38" t="n"/>
      <c r="AM22" s="38" t="n"/>
      <c r="AN22" s="38" t="n"/>
      <c r="AO22" s="38" t="n"/>
      <c r="AP22" s="38" t="n"/>
      <c r="AQ22" s="128" t="n">
        <v>19</v>
      </c>
      <c r="AR22" s="128" t="n">
        <v>13000</v>
      </c>
      <c r="AS22" s="38" t="n"/>
      <c r="AT22" s="38" t="n"/>
      <c r="AU22" s="38" t="n"/>
      <c r="AV22" s="38" t="n"/>
      <c r="AW22" s="38" t="n"/>
      <c r="AX22" s="38" t="n"/>
      <c r="AY22" s="38" t="n"/>
      <c r="AZ22" s="38" t="n"/>
      <c r="BA22" s="114" t="inlineStr">
        <is>
          <t>vida_max</t>
        </is>
      </c>
      <c r="BB22" s="114">
        <f>ADDRESS(ROW(FICHA!J26),COLUMN(FICHA!J26),4)</f>
        <v/>
      </c>
      <c r="BD22" s="114" t="inlineStr">
        <is>
          <t>Kama</t>
        </is>
      </c>
      <c r="BE22" s="114" t="inlineStr">
        <is>
          <t>Ceifa</t>
        </is>
      </c>
      <c r="BF22" s="128" t="n">
        <v>1</v>
      </c>
      <c r="BG22" s="114" t="inlineStr">
        <is>
          <t>d6</t>
        </is>
      </c>
      <c r="BH22" s="114" t="inlineStr">
        <is>
          <t>Par · Rompe</t>
        </is>
      </c>
      <c r="BI22" s="114" t="inlineStr">
        <is>
          <t>—</t>
        </is>
      </c>
      <c r="BJ22" s="128" t="n">
        <v>1</v>
      </c>
      <c r="BM22" s="128">
        <f>'FICHA PESSOAL'!$V$56</f>
        <v/>
      </c>
      <c r="BN22" s="128">
        <f>ADDRESS(ROW('FICHA PESSOAL'!V56),COLUMN('FICHA PESSOAL'!V56),4)</f>
        <v/>
      </c>
      <c r="CY22" s="114" t="inlineStr">
        <is>
          <t>força da secundária</t>
        </is>
      </c>
      <c r="CZ22" s="128">
        <f>IF(DADOS!$CZ$17=1,IFERROR(VALUE(VLOOKUP('FICHA PESSOAL'!$S$41,'FICHA PESSOAL'!$D$69:$AH$76,28,FALSE)&amp;""),0),0)</f>
        <v/>
      </c>
      <c r="DL22" s="114" t="inlineStr">
        <is>
          <t>cor da barra cheia</t>
        </is>
      </c>
      <c r="DM22" s="128">
        <f>ADDRESS(ROW(DADOS!CZ46),COLUMN(DADOS!CZ46),4)</f>
        <v/>
      </c>
    </row>
    <row r="23" ht="17.25" customHeight="1">
      <c r="A23" s="38" t="n"/>
      <c r="B23" s="114" t="inlineStr">
        <is>
          <t>Enganação</t>
        </is>
      </c>
      <c r="C23" s="38" t="n"/>
      <c r="D23" s="38" t="n"/>
      <c r="E23" s="38" t="n"/>
      <c r="F23" s="114" t="inlineStr">
        <is>
          <t>Corrói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114" t="inlineStr">
        <is>
          <t>Persuasão</t>
        </is>
      </c>
      <c r="AC23" s="114" t="inlineStr">
        <is>
          <t>Essência</t>
        </is>
      </c>
      <c r="AD23" s="38" t="n"/>
      <c r="AE23" s="114" t="inlineStr">
        <is>
          <t>Revestimento 1 + Broquel</t>
        </is>
      </c>
      <c r="AF23" s="128" t="n">
        <v>5</v>
      </c>
      <c r="AG23" s="128" t="n">
        <v>0</v>
      </c>
      <c r="AH23" s="128" t="inlineStr">
        <is>
          <t>sim</t>
        </is>
      </c>
      <c r="AI23" s="38" t="n"/>
      <c r="AJ23" s="114" t="inlineStr">
        <is>
          <t>Corpo por escolher</t>
        </is>
      </c>
      <c r="AK23" s="128">
        <f>DADOS!$AK$16-DADOS!$AK$21-DADOS!$AK$22</f>
        <v/>
      </c>
      <c r="AL23" s="38" t="n"/>
      <c r="AM23" s="38" t="n"/>
      <c r="AN23" s="38" t="n"/>
      <c r="AO23" s="38" t="n"/>
      <c r="AP23" s="38" t="n"/>
      <c r="AQ23" s="128" t="n">
        <v>20</v>
      </c>
      <c r="AR23" s="128" t="n">
        <v>14300</v>
      </c>
      <c r="AS23" s="38" t="n"/>
      <c r="AT23" s="38" t="n"/>
      <c r="AU23" s="38" t="n"/>
      <c r="AV23" s="38" t="n"/>
      <c r="AW23" s="38" t="n"/>
      <c r="AX23" s="38" t="n"/>
      <c r="AY23" s="38" t="n"/>
      <c r="AZ23" s="38" t="n"/>
      <c r="BA23" s="114" t="inlineStr">
        <is>
          <t>vida_temp</t>
        </is>
      </c>
      <c r="BB23" s="114">
        <f>ADDRESS(ROW(FICHA!AF26),COLUMN(FICHA!AF26),4)</f>
        <v/>
      </c>
      <c r="BD23" s="114" t="inlineStr">
        <is>
          <t>Kanabō</t>
        </is>
      </c>
      <c r="BE23" s="114" t="inlineStr">
        <is>
          <t>Massa</t>
        </is>
      </c>
      <c r="BF23" s="128" t="n">
        <v>2</v>
      </c>
      <c r="BG23" s="114" t="inlineStr">
        <is>
          <t>d12</t>
        </is>
      </c>
      <c r="BH23" s="114" t="inlineStr">
        <is>
          <t>Talha</t>
        </is>
      </c>
      <c r="BI23" s="128" t="n">
        <v>3</v>
      </c>
      <c r="BJ23" s="128" t="n">
        <v>2</v>
      </c>
      <c r="BM23" s="128">
        <f>'FICHA PESSOAL'!$AM$49</f>
        <v/>
      </c>
      <c r="BN23" s="128">
        <f>ADDRESS(ROW('FICHA PESSOAL'!AM49),COLUMN('FICHA PESSOAL'!AM49),4)</f>
        <v/>
      </c>
      <c r="CY23" s="114" t="inlineStr">
        <is>
          <t>alcance da secundária</t>
        </is>
      </c>
      <c r="CZ23" s="128">
        <f>IF(DADOS!$CZ$17=1,IFERROR(VLOOKUP('FICHA PESSOAL'!$S$41,DADOS!$BD$5:$BN$59,8,FALSE)&amp;"",""),"")</f>
        <v/>
      </c>
    </row>
    <row r="24" ht="17.25" customHeight="1">
      <c r="A24" s="38" t="n"/>
      <c r="B24" s="114" t="inlineStr">
        <is>
          <t>Intimidação</t>
        </is>
      </c>
      <c r="C24" s="38" t="n"/>
      <c r="D24" s="38" t="n"/>
      <c r="E24" s="38" t="n"/>
      <c r="F24" s="114" t="inlineStr">
        <is>
          <t>Sem Cobertura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114" t="inlineStr">
        <is>
          <t>Enganação</t>
        </is>
      </c>
      <c r="AC24" s="114" t="inlineStr">
        <is>
          <t>Essência</t>
        </is>
      </c>
      <c r="AD24" s="38" t="n"/>
      <c r="AE24" s="114" t="inlineStr">
        <is>
          <t>Revestimento 1 + Médio</t>
        </is>
      </c>
      <c r="AF24" s="128" t="n">
        <v>6</v>
      </c>
      <c r="AG24" s="128" t="n">
        <v>0</v>
      </c>
      <c r="AH24" s="128" t="inlineStr">
        <is>
          <t>sim</t>
        </is>
      </c>
      <c r="AI24" s="38" t="n"/>
      <c r="AJ24" s="114" t="inlineStr">
        <is>
          <t>treinos a mais</t>
        </is>
      </c>
      <c r="AK24" s="128">
        <f>MAX(0,-DADOS!$AK$23)</f>
        <v/>
      </c>
      <c r="AL24" s="38" t="n"/>
      <c r="AM24" s="38" t="n"/>
      <c r="AN24" s="38" t="n"/>
      <c r="AO24" s="38" t="n"/>
      <c r="AP24" s="38" t="n"/>
      <c r="AQ24" s="128" t="n">
        <v>21</v>
      </c>
      <c r="AR24" s="128" t="n">
        <v>15800</v>
      </c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114" t="inlineStr">
        <is>
          <t>vida_delta</t>
        </is>
      </c>
      <c r="BB24" s="114">
        <f>ADDRESS(ROW(FICHA!AM26),COLUMN(FICHA!AM26),4)</f>
        <v/>
      </c>
      <c r="BD24" s="114" t="inlineStr">
        <is>
          <t>Katana</t>
        </is>
      </c>
      <c r="BE24" s="114" t="inlineStr">
        <is>
          <t>Lâmina Longa</t>
        </is>
      </c>
      <c r="BF24" s="128" t="n">
        <v>1</v>
      </c>
      <c r="BG24" s="114" t="inlineStr">
        <is>
          <t>d8</t>
        </is>
      </c>
      <c r="BH24" s="114" t="inlineStr">
        <is>
          <t>Versátil · Fineza</t>
        </is>
      </c>
      <c r="BI24" s="114" t="inlineStr">
        <is>
          <t>—</t>
        </is>
      </c>
      <c r="BJ24" s="128" t="n">
        <v>1</v>
      </c>
      <c r="BM24" s="128">
        <f>'FICHA PESSOAL'!$D$51</f>
        <v/>
      </c>
      <c r="BN24" s="128">
        <f>ADDRESS(ROW('FICHA PESSOAL'!D51),COLUMN('FICHA PESSOAL'!D51),4)</f>
        <v/>
      </c>
      <c r="CY24" s="114" t="inlineStr">
        <is>
          <t>recarga da secundária</t>
        </is>
      </c>
      <c r="CZ24" s="128">
        <f>IF(DADOS!$CZ$17=1,IFERROR(VLOOKUP('FICHA PESSOAL'!$S$41,DADOS!$BD$5:$BN$59,9,FALSE)&amp;"",""),"")</f>
        <v/>
      </c>
    </row>
    <row r="25" ht="17.25" customHeight="1">
      <c r="A25" s="38" t="n"/>
      <c r="B25" s="114" t="inlineStr">
        <is>
          <t>Atuação</t>
        </is>
      </c>
      <c r="C25" s="38" t="n"/>
      <c r="D25" s="38" t="n"/>
      <c r="E25" s="38" t="n"/>
      <c r="F25" s="114" t="inlineStr">
        <is>
          <t>De Novo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114" t="inlineStr">
        <is>
          <t>Intimidação</t>
        </is>
      </c>
      <c r="AC25" s="114" t="inlineStr">
        <is>
          <t>Essência</t>
        </is>
      </c>
      <c r="AD25" s="38" t="n"/>
      <c r="AE25" s="114" t="inlineStr">
        <is>
          <t>Revestimento 1 + Torre</t>
        </is>
      </c>
      <c r="AF25" s="128" t="n">
        <v>7</v>
      </c>
      <c r="AG25" s="128" t="n">
        <v>0</v>
      </c>
      <c r="AH25" s="128" t="inlineStr">
        <is>
          <t>sim</t>
        </is>
      </c>
      <c r="AI25" s="38" t="n"/>
      <c r="AJ25" s="114" t="inlineStr">
        <is>
          <t>perícias que faltam</t>
        </is>
      </c>
      <c r="AK25" s="128">
        <f>MAX(0,DADOS!$AK$19-DADOS!$AK$13)</f>
        <v/>
      </c>
      <c r="AL25" s="38" t="n"/>
      <c r="AM25" s="38" t="n"/>
      <c r="AN25" s="38" t="n"/>
      <c r="AO25" s="38" t="n"/>
      <c r="AP25" s="38" t="n"/>
      <c r="AQ25" s="128" t="n">
        <v>22</v>
      </c>
      <c r="AR25" s="128" t="n">
        <v>17300</v>
      </c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114" t="inlineStr">
        <is>
          <t>energia</t>
        </is>
      </c>
      <c r="BB25" s="114">
        <f>ADDRESS(ROW(FICHA!D30),COLUMN(FICHA!D30),4)</f>
        <v/>
      </c>
      <c r="BD25" s="114" t="inlineStr">
        <is>
          <t>Kunai</t>
        </is>
      </c>
      <c r="BE25" s="114" t="inlineStr">
        <is>
          <t>Arremesso</t>
        </is>
      </c>
      <c r="BF25" s="128" t="n">
        <v>1</v>
      </c>
      <c r="BG25" s="114" t="inlineStr">
        <is>
          <t>d6</t>
        </is>
      </c>
      <c r="BH25" s="114" t="inlineStr">
        <is>
          <t>Longo Alcance · Oculta</t>
        </is>
      </c>
      <c r="BI25" s="114" t="inlineStr">
        <is>
          <t>—</t>
        </is>
      </c>
      <c r="BJ25" s="128" t="n">
        <v>0.1</v>
      </c>
      <c r="BK25" s="114" t="inlineStr">
        <is>
          <t>6 m, longa 18 m</t>
        </is>
      </c>
      <c r="BM25" s="128">
        <f>'FICHA PESSOAL'!$M$58</f>
        <v/>
      </c>
      <c r="BN25" s="128">
        <f>ADDRESS(ROW('FICHA PESSOAL'!M58),COLUMN('FICHA PESSOAL'!M58),4)</f>
        <v/>
      </c>
      <c r="CY25" s="114" t="inlineStr">
        <is>
          <t>uniforme vale</t>
        </is>
      </c>
      <c r="CZ25" s="128">
        <f>IF(ISNUMBER(MATCH('FICHA PESSOAL'!$AH$41,DADOS!$BX$5:$BX$10,0)),1,0)</f>
        <v/>
      </c>
    </row>
    <row r="26" ht="17.25" customHeight="1">
      <c r="A26" s="38" t="n"/>
      <c r="B26" s="114" t="inlineStr">
        <is>
          <t>Provocar</t>
        </is>
      </c>
      <c r="C26" s="38" t="n"/>
      <c r="D26" s="38" t="n"/>
      <c r="E26" s="38" t="n"/>
      <c r="F26" s="114" t="inlineStr">
        <is>
          <t>Toca a Alma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114" t="inlineStr">
        <is>
          <t>Atuação</t>
        </is>
      </c>
      <c r="AC26" s="114" t="inlineStr">
        <is>
          <t>Essência</t>
        </is>
      </c>
      <c r="AD26" s="38" t="n"/>
      <c r="AE26" s="114" t="inlineStr">
        <is>
          <t>Revestimento 2 + Broquel</t>
        </is>
      </c>
      <c r="AF26" s="128" t="n">
        <v>6</v>
      </c>
      <c r="AG26" s="128" t="n">
        <v>0</v>
      </c>
      <c r="AH26" s="128" t="inlineStr">
        <is>
          <t>sim</t>
        </is>
      </c>
      <c r="AI26" s="38" t="n"/>
      <c r="AJ26" s="114" t="inlineStr">
        <is>
          <t>ofícios que faltam</t>
        </is>
      </c>
      <c r="AK26" s="128">
        <f>MAX(0,DADOS!$AK$20-DADOS!$AK$14)</f>
        <v/>
      </c>
      <c r="AL26" s="38" t="n"/>
      <c r="AM26" s="38" t="n"/>
      <c r="AN26" s="38" t="n"/>
      <c r="AO26" s="38" t="n"/>
      <c r="AP26" s="38" t="n"/>
      <c r="AQ26" s="128" t="n">
        <v>23</v>
      </c>
      <c r="AR26" s="128" t="n">
        <v>18800</v>
      </c>
      <c r="AS26" s="38" t="n"/>
      <c r="AT26" s="38" t="n"/>
      <c r="AU26" s="38" t="n"/>
      <c r="AV26" s="38" t="n"/>
      <c r="AW26" s="38" t="n"/>
      <c r="AX26" s="38" t="n"/>
      <c r="AY26" s="38" t="n"/>
      <c r="AZ26" s="38" t="n"/>
      <c r="BA26" s="114" t="inlineStr">
        <is>
          <t>energia_max</t>
        </is>
      </c>
      <c r="BB26" s="114">
        <f>ADDRESS(ROW(FICHA!J30),COLUMN(FICHA!J30),4)</f>
        <v/>
      </c>
      <c r="BD26" s="114" t="inlineStr">
        <is>
          <t>Kusarigama</t>
        </is>
      </c>
      <c r="BE26" s="114" t="inlineStr">
        <is>
          <t>Ceifa</t>
        </is>
      </c>
      <c r="BF26" s="128" t="n">
        <v>2</v>
      </c>
      <c r="BG26" s="114" t="inlineStr">
        <is>
          <t>d8</t>
        </is>
      </c>
      <c r="BH26" s="114" t="inlineStr">
        <is>
          <t>Alcance · Emaranha · Longo Alcance</t>
        </is>
      </c>
      <c r="BI26" s="114" t="inlineStr">
        <is>
          <t>—</t>
        </is>
      </c>
      <c r="BJ26" s="128" t="n">
        <v>2</v>
      </c>
      <c r="BK26" s="114" t="inlineStr">
        <is>
          <t>6 m, longa 18 m</t>
        </is>
      </c>
      <c r="BM26" s="128">
        <f>'FICHA PESSOAL'!$V$57</f>
        <v/>
      </c>
      <c r="BN26" s="128">
        <f>ADDRESS(ROW('FICHA PESSOAL'!V57),COLUMN('FICHA PESSOAL'!V57),4)</f>
        <v/>
      </c>
      <c r="CY26" s="114" t="inlineStr">
        <is>
          <t>proteção do uniforme</t>
        </is>
      </c>
      <c r="CZ26" s="128">
        <f>IF(DADOS!$CZ$25=1,VLOOKUP('FICHA PESSOAL'!$AH$41,DADOS!$BX$5:$CD$10,2,FALSE),0)</f>
        <v/>
      </c>
    </row>
    <row r="27" ht="17.25" customHeight="1">
      <c r="A27" s="38" t="n"/>
      <c r="B27" s="38" t="n"/>
      <c r="C27" s="38" t="n"/>
      <c r="D27" s="38" t="n"/>
      <c r="E27" s="38" t="n"/>
      <c r="F27" s="114" t="inlineStr">
        <is>
          <t>Terreno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114" t="inlineStr">
        <is>
          <t>Provocar</t>
        </is>
      </c>
      <c r="AC27" s="114" t="inlineStr">
        <is>
          <t>Essência</t>
        </is>
      </c>
      <c r="AD27" s="38" t="n"/>
      <c r="AE27" s="114" t="inlineStr">
        <is>
          <t>Revestimento 2 + Médio</t>
        </is>
      </c>
      <c r="AF27" s="128" t="n">
        <v>7</v>
      </c>
      <c r="AG27" s="128" t="n">
        <v>0</v>
      </c>
      <c r="AH27" s="128" t="inlineStr">
        <is>
          <t>sim</t>
        </is>
      </c>
      <c r="AI27" s="38" t="n"/>
      <c r="AJ27" s="114" t="inlineStr">
        <is>
          <t>perícias que faltam sem ofício</t>
        </is>
      </c>
      <c r="AK27" s="128">
        <f>MAX(0,10-DADOS!$AK$13)</f>
        <v/>
      </c>
      <c r="AL27" s="38" t="n"/>
      <c r="AM27" s="38" t="n"/>
      <c r="AN27" s="38" t="n"/>
      <c r="AO27" s="38" t="n"/>
      <c r="AP27" s="38" t="n"/>
      <c r="AQ27" s="128" t="n">
        <v>24</v>
      </c>
      <c r="AR27" s="128" t="n">
        <v>20500</v>
      </c>
      <c r="AS27" s="38" t="n"/>
      <c r="AT27" s="38" t="n"/>
      <c r="AU27" s="38" t="n"/>
      <c r="AV27" s="38" t="n"/>
      <c r="AW27" s="38" t="n"/>
      <c r="AX27" s="38" t="n"/>
      <c r="AY27" s="38" t="n"/>
      <c r="AZ27" s="38" t="n"/>
      <c r="BA27" s="114" t="inlineStr">
        <is>
          <t>energia_temp</t>
        </is>
      </c>
      <c r="BB27" s="114">
        <f>ADDRESS(ROW(FICHA!AF30),COLUMN(FICHA!AF30),4)</f>
        <v/>
      </c>
      <c r="BD27" s="114" t="inlineStr">
        <is>
          <t>Lança</t>
        </is>
      </c>
      <c r="BE27" s="114" t="inlineStr">
        <is>
          <t>Armas Longas</t>
        </is>
      </c>
      <c r="BF27" s="128" t="n">
        <v>1</v>
      </c>
      <c r="BG27" s="114" t="inlineStr">
        <is>
          <t>d6</t>
        </is>
      </c>
      <c r="BH27" s="114" t="inlineStr">
        <is>
          <t>Alcance · Longo Alcance</t>
        </is>
      </c>
      <c r="BI27" s="114" t="inlineStr">
        <is>
          <t>—</t>
        </is>
      </c>
      <c r="BJ27" s="128" t="n">
        <v>1</v>
      </c>
      <c r="BK27" s="114" t="inlineStr">
        <is>
          <t>6 m, longa 18 m</t>
        </is>
      </c>
      <c r="BM27" s="128">
        <f>'FICHA PESSOAL'!$AM$55</f>
        <v/>
      </c>
      <c r="BN27" s="128">
        <f>ADDRESS(ROW('FICHA PESSOAL'!AM55),COLUMN('FICHA PESSOAL'!AM55),4)</f>
        <v/>
      </c>
      <c r="CY27" s="114" t="inlineStr">
        <is>
          <t>teto do uniforme</t>
        </is>
      </c>
      <c r="CZ27" s="128">
        <f>IF(DADOS!$CZ$25=1,VLOOKUP('FICHA PESSOAL'!$AH$41,DADOS!$BX$5:$CD$10,3,FALSE),"")</f>
        <v/>
      </c>
    </row>
    <row r="28" ht="17.25" customHeight="1">
      <c r="A28" s="38" t="n"/>
      <c r="B28" s="38" t="n"/>
      <c r="C28" s="38" t="n"/>
      <c r="D28" s="38" t="n"/>
      <c r="E28" s="38" t="n"/>
      <c r="F28" s="114" t="inlineStr">
        <is>
          <t>Anteparo</t>
        </is>
      </c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114" t="inlineStr">
        <is>
          <t>Revestimento 2 + Torre</t>
        </is>
      </c>
      <c r="AF28" s="128" t="n">
        <v>8</v>
      </c>
      <c r="AG28" s="128" t="n">
        <v>0</v>
      </c>
      <c r="AH28" s="128" t="inlineStr">
        <is>
          <t>sim</t>
        </is>
      </c>
      <c r="AI28" s="38" t="n"/>
      <c r="AJ28" s="114" t="inlineStr">
        <is>
          <t>Corpo por escolher sem ofício</t>
        </is>
      </c>
      <c r="AK28" s="128">
        <f>DADOS!$AK$16-MAX(0,DADOS!$AK$13-10)-MAX(0,DADOS!$AK$14-0)</f>
        <v/>
      </c>
      <c r="AL28" s="38" t="n"/>
      <c r="AM28" s="38" t="n"/>
      <c r="AN28" s="38" t="n"/>
      <c r="AO28" s="38" t="n"/>
      <c r="AP28" s="38" t="n"/>
      <c r="AQ28" s="128" t="n">
        <v>25</v>
      </c>
      <c r="AR28" s="128" t="n">
        <v>22200</v>
      </c>
      <c r="AS28" s="38" t="n"/>
      <c r="AT28" s="38" t="n"/>
      <c r="AU28" s="38" t="n"/>
      <c r="AV28" s="38" t="n"/>
      <c r="AW28" s="38" t="n"/>
      <c r="AX28" s="38" t="n"/>
      <c r="AY28" s="38" t="n"/>
      <c r="AZ28" s="38" t="n"/>
      <c r="BA28" s="114" t="inlineStr">
        <is>
          <t>energia_delta</t>
        </is>
      </c>
      <c r="BB28" s="114">
        <f>ADDRESS(ROW(FICHA!AM30),COLUMN(FICHA!AM30),4)</f>
        <v/>
      </c>
      <c r="BD28" s="114" t="inlineStr">
        <is>
          <t>Maça</t>
        </is>
      </c>
      <c r="BE28" s="114" t="inlineStr">
        <is>
          <t>Massa</t>
        </is>
      </c>
      <c r="BF28" s="128" t="n">
        <v>1</v>
      </c>
      <c r="BG28" s="114" t="inlineStr">
        <is>
          <t>d8</t>
        </is>
      </c>
      <c r="BH28" s="114" t="inlineStr">
        <is>
          <t>Talha</t>
        </is>
      </c>
      <c r="BI28" s="114" t="inlineStr">
        <is>
          <t>—</t>
        </is>
      </c>
      <c r="BJ28" s="128" t="n">
        <v>1</v>
      </c>
      <c r="BM28" s="128">
        <f>'FICHA PESSOAL'!$AM$50</f>
        <v/>
      </c>
      <c r="BN28" s="128">
        <f>ADDRESS(ROW('FICHA PESSOAL'!AM50),COLUMN('FICHA PESSOAL'!AM50),4)</f>
        <v/>
      </c>
      <c r="CY28" s="114" t="inlineStr">
        <is>
          <t>força do uniforme</t>
        </is>
      </c>
      <c r="CZ28" s="128">
        <f>IF(DADOS!$CZ$25=1,VLOOKUP('FICHA PESSOAL'!$AH$41,DADOS!$BX$5:$CD$10,4,FALSE),0)</f>
        <v/>
      </c>
    </row>
    <row r="29" ht="17.25" customHeight="1">
      <c r="A29" s="38" t="n"/>
      <c r="B29" s="38" t="n"/>
      <c r="C29" s="38" t="n"/>
      <c r="D29" s="38" t="n"/>
      <c r="E29" s="38" t="n"/>
      <c r="F29" s="114" t="inlineStr">
        <is>
          <t>Prende</t>
        </is>
      </c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114" t="inlineStr">
        <is>
          <t>Revestimento 3 + Broquel</t>
        </is>
      </c>
      <c r="AF29" s="128" t="n">
        <v>7</v>
      </c>
      <c r="AG29" s="128" t="n">
        <v>0</v>
      </c>
      <c r="AH29" s="128" t="inlineStr">
        <is>
          <t>sim</t>
        </is>
      </c>
      <c r="AI29" s="38" t="n"/>
      <c r="AJ29" s="114" t="inlineStr">
        <is>
          <t>testes treinados</t>
        </is>
      </c>
      <c r="AK29" s="128">
        <f>COUNTIF(FICHA!$AF$79:$AF$82,TRUE)</f>
        <v/>
      </c>
      <c r="AL29" s="38" t="n"/>
      <c r="AM29" s="38" t="n"/>
      <c r="AN29" s="38" t="n"/>
      <c r="AO29" s="38" t="n"/>
      <c r="AP29" s="38" t="n"/>
      <c r="AQ29" s="128" t="n">
        <v>26</v>
      </c>
      <c r="AR29" s="128" t="n">
        <v>23900</v>
      </c>
      <c r="AS29" s="38" t="n"/>
      <c r="AT29" s="38" t="n"/>
      <c r="AU29" s="38" t="n"/>
      <c r="AV29" s="38" t="n"/>
      <c r="AW29" s="38" t="n"/>
      <c r="AX29" s="38" t="n"/>
      <c r="AY29" s="38" t="n"/>
      <c r="AZ29" s="38" t="n"/>
      <c r="BA29" s="114" t="inlineStr">
        <is>
          <t>integridade</t>
        </is>
      </c>
      <c r="BB29" s="114">
        <f>ADDRESS(ROW(FICHA!D34),COLUMN(FICHA!D34),4)</f>
        <v/>
      </c>
      <c r="BD29" s="114" t="inlineStr">
        <is>
          <t>Machadinha</t>
        </is>
      </c>
      <c r="BE29" s="114" t="inlineStr">
        <is>
          <t>Machado</t>
        </is>
      </c>
      <c r="BF29" s="128" t="n">
        <v>1</v>
      </c>
      <c r="BG29" s="114" t="inlineStr">
        <is>
          <t>d6</t>
        </is>
      </c>
      <c r="BH29" s="114" t="inlineStr">
        <is>
          <t>Longo Alcance · Rompe</t>
        </is>
      </c>
      <c r="BI29" s="114" t="inlineStr">
        <is>
          <t>—</t>
        </is>
      </c>
      <c r="BJ29" s="128" t="n">
        <v>1</v>
      </c>
      <c r="BK29" s="114" t="inlineStr">
        <is>
          <t>6 m, longa 18 m</t>
        </is>
      </c>
      <c r="BM29" s="128">
        <f>'FICHA PESSOAL'!$D$58</f>
        <v/>
      </c>
      <c r="BN29" s="128">
        <f>ADDRESS(ROW('FICHA PESSOAL'!D58),COLUMN('FICHA PESSOAL'!D58),4)</f>
        <v/>
      </c>
      <c r="CY29" s="114" t="inlineStr">
        <is>
          <t>volume do uniforme</t>
        </is>
      </c>
      <c r="CZ29" s="128">
        <f>IF(DADOS!$CZ$25=1,VLOOKUP('FICHA PESSOAL'!$AH$41,DADOS!$BX$5:$CD$10,5,FALSE),0)</f>
        <v/>
      </c>
    </row>
    <row r="30" ht="17.25" customHeight="1">
      <c r="A30" s="38" t="n"/>
      <c r="B30" s="38" t="n"/>
      <c r="C30" s="38" t="n"/>
      <c r="D30" s="38" t="n"/>
      <c r="E30" s="38" t="n"/>
      <c r="F30" s="114" t="inlineStr">
        <is>
          <t>Cerca</t>
        </is>
      </c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114" t="inlineStr">
        <is>
          <t>Revestimento 3 + Médio</t>
        </is>
      </c>
      <c r="AF30" s="128" t="n">
        <v>8</v>
      </c>
      <c r="AG30" s="128" t="n">
        <v>0</v>
      </c>
      <c r="AH30" s="128" t="inlineStr">
        <is>
          <t>sim</t>
        </is>
      </c>
      <c r="AI30" s="38" t="n"/>
      <c r="AJ30" s="114" t="inlineStr">
        <is>
          <t>sem energia</t>
        </is>
      </c>
      <c r="AK30" s="128">
        <f>IF(FICHA!$X$11="Restrição Celestial · sem energia",1,0)</f>
        <v/>
      </c>
      <c r="AL30" s="38" t="n"/>
      <c r="AM30" s="38" t="n"/>
      <c r="AN30" s="38" t="n"/>
      <c r="AO30" s="38" t="n"/>
      <c r="AP30" s="38" t="n"/>
      <c r="AQ30" s="128" t="n">
        <v>27</v>
      </c>
      <c r="AR30" s="128" t="n">
        <v>25600</v>
      </c>
      <c r="AS30" s="38" t="n"/>
      <c r="AT30" s="38" t="n"/>
      <c r="AU30" s="38" t="n"/>
      <c r="AV30" s="38" t="n"/>
      <c r="AW30" s="38" t="n"/>
      <c r="AX30" s="38" t="n"/>
      <c r="AY30" s="38" t="n"/>
      <c r="AZ30" s="38" t="n"/>
      <c r="BA30" s="114" t="inlineStr">
        <is>
          <t>integridade_max</t>
        </is>
      </c>
      <c r="BB30" s="114">
        <f>ADDRESS(ROW(FICHA!J34),COLUMN(FICHA!J34),4)</f>
        <v/>
      </c>
      <c r="BD30" s="114" t="inlineStr">
        <is>
          <t>Machado</t>
        </is>
      </c>
      <c r="BE30" s="114" t="inlineStr">
        <is>
          <t>Machado</t>
        </is>
      </c>
      <c r="BF30" s="128" t="n">
        <v>1</v>
      </c>
      <c r="BG30" s="114" t="inlineStr">
        <is>
          <t>d8</t>
        </is>
      </c>
      <c r="BH30" s="114" t="inlineStr">
        <is>
          <t>Rompe</t>
        </is>
      </c>
      <c r="BI30" s="114" t="inlineStr">
        <is>
          <t>—</t>
        </is>
      </c>
      <c r="BJ30" s="128" t="n">
        <v>1</v>
      </c>
      <c r="BM30" s="128">
        <f>'FICHA PESSOAL'!$D$59</f>
        <v/>
      </c>
      <c r="BN30" s="128">
        <f>ADDRESS(ROW('FICHA PESSOAL'!D59),COLUMN('FICHA PESSOAL'!D59),4)</f>
        <v/>
      </c>
      <c r="CY30" s="114" t="inlineStr">
        <is>
          <t>ordem do grau mínimo</t>
        </is>
      </c>
      <c r="CZ30" s="128">
        <f>IF(DADOS!$CZ$25=1,VLOOKUP('FICHA PESSOAL'!$AH$41,DADOS!$BX$5:$CD$10,6,FALSE),0)</f>
        <v/>
      </c>
    </row>
    <row r="31" ht="17.25" customHeight="1">
      <c r="A31" s="38" t="n"/>
      <c r="B31" s="38" t="n"/>
      <c r="C31" s="38" t="n"/>
      <c r="D31" s="38" t="n"/>
      <c r="E31" s="38" t="n"/>
      <c r="F31" s="114" t="inlineStr">
        <is>
          <t>Puxa</t>
        </is>
      </c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114" t="inlineStr">
        <is>
          <t>Revestimento 3 + Torre</t>
        </is>
      </c>
      <c r="AF31" s="128" t="n">
        <v>9</v>
      </c>
      <c r="AG31" s="128" t="n">
        <v>0</v>
      </c>
      <c r="AH31" s="128" t="inlineStr">
        <is>
          <t>sim</t>
        </is>
      </c>
      <c r="AI31" s="38" t="n"/>
      <c r="AJ31" s="114" t="inlineStr">
        <is>
          <t>sem técnica</t>
        </is>
      </c>
      <c r="AK31" s="128">
        <f>IF(ISNUMBER(SEARCH(" · Sem Técnica",FICHA!$X$11)),1,0)</f>
        <v/>
      </c>
      <c r="AL31" s="38" t="n"/>
      <c r="AM31" s="38" t="n"/>
      <c r="AN31" s="38" t="n"/>
      <c r="AO31" s="38" t="n"/>
      <c r="AP31" s="38" t="n"/>
      <c r="AQ31" s="128" t="n">
        <v>28</v>
      </c>
      <c r="AR31" s="128" t="n">
        <v>27300</v>
      </c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114" t="inlineStr">
        <is>
          <t>integridade_temp</t>
        </is>
      </c>
      <c r="BB31" s="114">
        <f>ADDRESS(ROW(FICHA!AF34),COLUMN(FICHA!AF34),4)</f>
        <v/>
      </c>
      <c r="BD31" s="114" t="inlineStr">
        <is>
          <t>Machado de Guerra</t>
        </is>
      </c>
      <c r="BE31" s="114" t="inlineStr">
        <is>
          <t>Machado</t>
        </is>
      </c>
      <c r="BF31" s="128" t="n">
        <v>2</v>
      </c>
      <c r="BG31" s="114" t="inlineStr">
        <is>
          <t>d12</t>
        </is>
      </c>
      <c r="BH31" s="114" t="inlineStr">
        <is>
          <t>Rompe · Talha · Volumosa</t>
        </is>
      </c>
      <c r="BI31" s="128" t="n">
        <v>3</v>
      </c>
      <c r="BJ31" s="128" t="n">
        <v>2</v>
      </c>
      <c r="BM31" s="128">
        <f>'FICHA PESSOAL'!$D$60</f>
        <v/>
      </c>
      <c r="BN31" s="128">
        <f>ADDRESS(ROW('FICHA PESSOAL'!D60),COLUMN('FICHA PESSOAL'!D60),4)</f>
        <v/>
      </c>
      <c r="CY31" s="114" t="inlineStr">
        <is>
          <t>grau mínimo</t>
        </is>
      </c>
      <c r="CZ31" s="128">
        <f>IF(DADOS!$CZ$25=1,VLOOKUP('FICHA PESSOAL'!$AH$41,DADOS!$BX$5:$CD$10,7,FALSE),"")</f>
        <v/>
      </c>
    </row>
    <row r="32" ht="17.25" customHeight="1">
      <c r="A32" s="38" t="n"/>
      <c r="B32" s="38" t="n"/>
      <c r="C32" s="38" t="n"/>
      <c r="D32" s="38" t="n"/>
      <c r="E32" s="38" t="n"/>
      <c r="F32" s="114" t="inlineStr">
        <is>
          <t>Desarma o Feitiço</t>
        </is>
      </c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114" t="inlineStr">
        <is>
          <t>técnica marcial</t>
        </is>
      </c>
      <c r="AK32" s="128">
        <f>IF(OR(FICHA!$X$11="Corpo Amaldiçoado",FICHA!$X$11="Restrição Celestial · sem energia"),1,0)</f>
        <v/>
      </c>
      <c r="AL32" s="38" t="n"/>
      <c r="AM32" s="38" t="n"/>
      <c r="AN32" s="38" t="n"/>
      <c r="AO32" s="38" t="n"/>
      <c r="AP32" s="38" t="n"/>
      <c r="AQ32" s="128" t="n">
        <v>29</v>
      </c>
      <c r="AR32" s="128" t="n">
        <v>29000</v>
      </c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114" t="inlineStr">
        <is>
          <t>integridade_delta</t>
        </is>
      </c>
      <c r="BB32" s="114">
        <f>ADDRESS(ROW(FICHA!AM34),COLUMN(FICHA!AM34),4)</f>
        <v/>
      </c>
      <c r="BD32" s="114" t="inlineStr">
        <is>
          <t>Machete</t>
        </is>
      </c>
      <c r="BE32" s="114" t="inlineStr">
        <is>
          <t>Lâmina Longa</t>
        </is>
      </c>
      <c r="BF32" s="128" t="n">
        <v>1</v>
      </c>
      <c r="BG32" s="114" t="inlineStr">
        <is>
          <t>d8</t>
        </is>
      </c>
      <c r="BH32" s="114" t="inlineStr">
        <is>
          <t>Rompe</t>
        </is>
      </c>
      <c r="BI32" s="114" t="inlineStr">
        <is>
          <t>—</t>
        </is>
      </c>
      <c r="BJ32" s="128" t="n">
        <v>1</v>
      </c>
      <c r="BM32" s="128">
        <f>'FICHA PESSOAL'!$D$52</f>
        <v/>
      </c>
      <c r="BN32" s="128">
        <f>ADDRESS(ROW('FICHA PESSOAL'!D52),COLUMN('FICHA PESSOAL'!D52),4)</f>
        <v/>
      </c>
      <c r="CY32" s="114" t="inlineStr">
        <is>
          <t>ordem do grau</t>
        </is>
      </c>
      <c r="CZ32" s="128">
        <f>IFERROR(VLOOKUP('FICHA PESSOAL'!$AB$11,DADOS!$CF$5:$CH$9,3,FALSE),1)</f>
        <v/>
      </c>
    </row>
    <row r="33" ht="17.25" customHeight="1">
      <c r="A33" s="38" t="n"/>
      <c r="B33" s="38" t="n"/>
      <c r="C33" s="38" t="n"/>
      <c r="D33" s="38" t="n"/>
      <c r="E33" s="38" t="n"/>
      <c r="F33" s="114" t="inlineStr">
        <is>
          <t>Impulso</t>
        </is>
      </c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114" t="inlineStr">
        <is>
          <t>refino escolhido</t>
        </is>
      </c>
      <c r="AK33" s="128">
        <f>MIN(IFERROR(VALUE(FICHA!$AO$40&amp;""),0),DADOS!$AK$5)</f>
        <v/>
      </c>
      <c r="AL33" s="38" t="n"/>
      <c r="AM33" s="38" t="n"/>
      <c r="AN33" s="38" t="n"/>
      <c r="AO33" s="38" t="n"/>
      <c r="AP33" s="38" t="n"/>
      <c r="AQ33" s="128" t="n">
        <v>30</v>
      </c>
      <c r="AR33" s="128" t="n">
        <v>30700</v>
      </c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114" t="inlineStr">
        <is>
          <t>estagio_alma</t>
        </is>
      </c>
      <c r="BB33" s="114">
        <f>ADDRESS(ROW(FICHA!D37),COLUMN(FICHA!D37),4)</f>
        <v/>
      </c>
      <c r="BD33" s="114" t="inlineStr">
        <is>
          <t>Manriki</t>
        </is>
      </c>
      <c r="BE33" s="114" t="inlineStr">
        <is>
          <t>Flexível</t>
        </is>
      </c>
      <c r="BF33" s="128" t="n">
        <v>1</v>
      </c>
      <c r="BG33" s="114" t="inlineStr">
        <is>
          <t>d6</t>
        </is>
      </c>
      <c r="BH33" s="114" t="inlineStr">
        <is>
          <t>Emaranha · Oculta</t>
        </is>
      </c>
      <c r="BI33" s="114" t="inlineStr">
        <is>
          <t>—</t>
        </is>
      </c>
      <c r="BJ33" s="128" t="n">
        <v>0.1</v>
      </c>
      <c r="BM33" s="128">
        <f>'FICHA PESSOAL'!$AE$57</f>
        <v/>
      </c>
      <c r="BN33" s="128">
        <f>ADDRESS(ROW('FICHA PESSOAL'!AE57),COLUMN('FICHA PESSOAL'!AE57),4)</f>
        <v/>
      </c>
      <c r="CY33" s="114" t="inlineStr">
        <is>
          <t>uniforme liberado</t>
        </is>
      </c>
      <c r="CZ33" s="128">
        <f>IF(OR(DADOS!$CZ$25=0,DADOS!$CZ$32&gt;=DADOS!$CZ$30),1,0)</f>
        <v/>
      </c>
    </row>
    <row r="34" ht="17.25" customHeight="1">
      <c r="A34" s="38" t="n"/>
      <c r="B34" s="38" t="n"/>
      <c r="C34" s="38" t="n"/>
      <c r="D34" s="38" t="n"/>
      <c r="E34" s="38" t="n"/>
      <c r="F34" s="114" t="inlineStr">
        <is>
          <t>Trava</t>
        </is>
      </c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114" t="inlineStr">
        <is>
          <t>refino atual</t>
        </is>
      </c>
      <c r="AK34" s="128">
        <f>MIN(10,FICHA!$O$57+DADOS!$AK$33)</f>
        <v/>
      </c>
      <c r="AL34" s="38" t="n"/>
      <c r="AM34" s="38" t="n"/>
      <c r="AN34" s="38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114" t="inlineStr">
        <is>
          <t>defesa</t>
        </is>
      </c>
      <c r="BB34" s="114">
        <f>ADDRESS(ROW(FICHA!D43),COLUMN(FICHA!D43),4)</f>
        <v/>
      </c>
      <c r="BD34" s="114" t="inlineStr">
        <is>
          <t>Marreta</t>
        </is>
      </c>
      <c r="BE34" s="114" t="inlineStr">
        <is>
          <t>Massa</t>
        </is>
      </c>
      <c r="BF34" s="128" t="n">
        <v>2</v>
      </c>
      <c r="BG34" s="114" t="inlineStr">
        <is>
          <t>d10</t>
        </is>
      </c>
      <c r="BH34" s="114" t="inlineStr">
        <is>
          <t>Rompe · Talha</t>
        </is>
      </c>
      <c r="BI34" s="128" t="n">
        <v>3</v>
      </c>
      <c r="BJ34" s="128" t="n">
        <v>2</v>
      </c>
      <c r="BM34" s="128">
        <f>'FICHA PESSOAL'!$AM$51</f>
        <v/>
      </c>
      <c r="BN34" s="128">
        <f>ADDRESS(ROW('FICHA PESSOAL'!AM51),COLUMN('FICHA PESSOAL'!AM51),4)</f>
        <v/>
      </c>
      <c r="CY34" s="114" t="inlineStr">
        <is>
          <t>falta força na principal</t>
        </is>
      </c>
      <c r="CZ34" s="128">
        <f>IF(DADOS!$CZ$11&gt;DADOS!$CZ$5,1,0)</f>
        <v/>
      </c>
    </row>
    <row r="35" ht="17.25" customHeight="1">
      <c r="A35" s="38" t="n"/>
      <c r="B35" s="38" t="n"/>
      <c r="C35" s="38" t="n"/>
      <c r="D35" s="38" t="n"/>
      <c r="E35" s="38" t="n"/>
      <c r="F35" s="114" t="inlineStr">
        <is>
          <t>Abre Ferida</t>
        </is>
      </c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114" t="inlineStr">
        <is>
          <t>aptidões a mais no teto</t>
        </is>
      </c>
      <c r="AK35" s="128">
        <f>MAX(0,DADOS!$AK$33-MAX(0,CEILING((10-DADOS!$AK$5+DADOS!$AK$33)/2,1)-1))*(2-1)</f>
        <v/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114" t="inlineStr">
        <is>
          <t>proteção</t>
        </is>
      </c>
      <c r="BB35" s="114">
        <f>ADDRESS(ROW(FICHA!O43),COLUMN(FICHA!O43),4)</f>
        <v/>
      </c>
      <c r="BD35" s="114" t="inlineStr">
        <is>
          <t>Maul</t>
        </is>
      </c>
      <c r="BE35" s="114" t="inlineStr">
        <is>
          <t>Massa</t>
        </is>
      </c>
      <c r="BF35" s="128" t="n">
        <v>2</v>
      </c>
      <c r="BG35" s="114" t="inlineStr">
        <is>
          <t>d12</t>
        </is>
      </c>
      <c r="BH35" s="114" t="inlineStr">
        <is>
          <t>Rompe</t>
        </is>
      </c>
      <c r="BI35" s="128" t="n">
        <v>3</v>
      </c>
      <c r="BJ35" s="128" t="n">
        <v>2</v>
      </c>
      <c r="BM35" s="128">
        <f>'FICHA PESSOAL'!$AM$52</f>
        <v/>
      </c>
      <c r="BN35" s="128">
        <f>ADDRESS(ROW('FICHA PESSOAL'!AM52),COLUMN('FICHA PESSOAL'!AM52),4)</f>
        <v/>
      </c>
      <c r="CY35" s="114" t="inlineStr">
        <is>
          <t>falta força na secundária</t>
        </is>
      </c>
      <c r="CZ35" s="128">
        <f>IF(AND(DADOS!$CZ$17=1,DADOS!$CZ$22&gt;DADOS!$CZ$5),1,0)</f>
        <v/>
      </c>
    </row>
    <row r="36" ht="17.25" customHeight="1">
      <c r="A36" s="38" t="n"/>
      <c r="B36" s="38" t="n"/>
      <c r="C36" s="38" t="n"/>
      <c r="D36" s="38" t="n"/>
      <c r="E36" s="38" t="n"/>
      <c r="F36" s="114" t="inlineStr">
        <is>
          <t>Sobrecarga</t>
        </is>
      </c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114" t="inlineStr">
        <is>
          <t>máximo de aptidões</t>
        </is>
      </c>
      <c r="AK36" s="128">
        <f>2+1*DADOS!$AK$31+DADOS!$AK$33+DADOS!$AK$35</f>
        <v/>
      </c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114" t="inlineStr">
        <is>
          <t>equipamento</t>
        </is>
      </c>
      <c r="BB36" s="114">
        <f>ADDRESS(ROW(FICHA!Z43),COLUMN(FICHA!Z43),4)</f>
        <v/>
      </c>
      <c r="BD36" s="114" t="inlineStr">
        <is>
          <t>Médio</t>
        </is>
      </c>
      <c r="BE36" s="114" t="inlineStr">
        <is>
          <t>Escudo</t>
        </is>
      </c>
      <c r="BF36" s="128" t="n">
        <v>1</v>
      </c>
      <c r="BG36" s="114" t="inlineStr">
        <is>
          <t>—</t>
        </is>
      </c>
      <c r="BH36" s="114" t="inlineStr">
        <is>
          <t>Proteção +2 · teto de Destreza 3</t>
        </is>
      </c>
      <c r="BI36" s="128" t="n">
        <v>3</v>
      </c>
      <c r="BJ36" s="128" t="n">
        <v>1</v>
      </c>
      <c r="BM36" s="128">
        <f>TRUE</f>
        <v/>
      </c>
      <c r="CY36" s="114" t="inlineStr">
        <is>
          <t>falta força no uniforme</t>
        </is>
      </c>
      <c r="CZ36" s="128">
        <f>IF(AND(DADOS!$CZ$25=1,DADOS!$CZ$28&gt;DADOS!$CZ$5),1,0)</f>
        <v/>
      </c>
    </row>
    <row r="37" ht="17.25" customHeight="1">
      <c r="A37" s="38" t="n"/>
      <c r="B37" s="38" t="n"/>
      <c r="C37" s="38" t="n"/>
      <c r="D37" s="38" t="n"/>
      <c r="E37" s="38" t="n"/>
      <c r="F37" s="114" t="inlineStr">
        <is>
          <t>Firmeza</t>
        </is>
      </c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8" t="n"/>
      <c r="AG37" s="38" t="n"/>
      <c r="AH37" s="38" t="n"/>
      <c r="AI37" s="38" t="n"/>
      <c r="AJ37" s="114" t="inlineStr">
        <is>
          <t>aptidões anotadas</t>
        </is>
      </c>
      <c r="AK37" s="128">
        <f>COUNTIF(FICHA!$V$124:$V$135,"?*")</f>
        <v/>
      </c>
      <c r="AL37" s="38" t="n"/>
      <c r="AM37" s="38" t="n"/>
      <c r="AN37" s="38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114" t="inlineStr">
        <is>
          <t>iniciativa</t>
        </is>
      </c>
      <c r="BB37" s="114">
        <f>ADDRESS(ROW(FICHA!AK43),COLUMN(FICHA!AK43),4)</f>
        <v/>
      </c>
      <c r="BD37" s="114" t="inlineStr">
        <is>
          <t>Metralhadora Pesada</t>
        </is>
      </c>
      <c r="BE37" s="114" t="inlineStr">
        <is>
          <t>Arma de Fogo</t>
        </is>
      </c>
      <c r="BF37" s="128" t="n">
        <v>2</v>
      </c>
      <c r="BG37" s="114" t="inlineStr">
        <is>
          <t>2d10</t>
        </is>
      </c>
      <c r="BH37" s="114" t="inlineStr">
        <is>
          <t>Longo Alcance · Munição · Rompe · Volumosa</t>
        </is>
      </c>
      <c r="BI37" s="128" t="n">
        <v>3</v>
      </c>
      <c r="BJ37" s="128" t="n">
        <v>2</v>
      </c>
      <c r="BK37" s="114" t="inlineStr">
        <is>
          <t>24 m, longa 72 m</t>
        </is>
      </c>
      <c r="BL37" s="128" t="n">
        <v>4</v>
      </c>
      <c r="BM37" s="128">
        <f>'FICHA PESSOAL'!$M$50</f>
        <v/>
      </c>
      <c r="BN37" s="128">
        <f>ADDRESS(ROW('FICHA PESSOAL'!M50),COLUMN('FICHA PESSOAL'!M50),4)</f>
        <v/>
      </c>
      <c r="CY37" s="114" t="inlineStr">
        <is>
          <t>volume guardado</t>
        </is>
      </c>
      <c r="CZ37" s="128">
        <f>SUM('FICHA PESSOAL'!$AG$69:$AG$76)+SUM('FICHA PESSOAL'!$V$81:$V$86)+SUM('FICHA PESSOAL'!$AR$81:$AR$86)</f>
        <v/>
      </c>
    </row>
    <row r="38" ht="17.25" customHeight="1">
      <c r="A38" s="38" t="n"/>
      <c r="B38" s="38" t="n"/>
      <c r="C38" s="38" t="n"/>
      <c r="D38" s="38" t="n"/>
      <c r="E38" s="38" t="n"/>
      <c r="F38" s="114" t="inlineStr">
        <is>
          <t>Guarda</t>
        </is>
      </c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8" t="n"/>
      <c r="AG38" s="38" t="n"/>
      <c r="AH38" s="38" t="n"/>
      <c r="AI38" s="38" t="n"/>
      <c r="AJ38" s="114" t="inlineStr">
        <is>
          <t>escolhas de Leque</t>
        </is>
      </c>
      <c r="AK38" s="128">
        <f>IFERROR(VALUE(FICHA!$AS$40&amp;""),0)</f>
        <v/>
      </c>
      <c r="AL38" s="38" t="n"/>
      <c r="AM38" s="38" t="n"/>
      <c r="AN38" s="38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114" t="inlineStr">
        <is>
          <t>cd de feitiço</t>
        </is>
      </c>
      <c r="BB38" s="114">
        <f>ADDRESS(ROW(FICHA!D47),COLUMN(FICHA!D47),4)</f>
        <v/>
      </c>
      <c r="BD38" s="114" t="inlineStr">
        <is>
          <t>Naginata</t>
        </is>
      </c>
      <c r="BE38" s="114" t="inlineStr">
        <is>
          <t>Armas Longas</t>
        </is>
      </c>
      <c r="BF38" s="128" t="n">
        <v>2</v>
      </c>
      <c r="BG38" s="114" t="inlineStr">
        <is>
          <t>d10</t>
        </is>
      </c>
      <c r="BH38" s="114" t="inlineStr">
        <is>
          <t>Alcance · Rompe</t>
        </is>
      </c>
      <c r="BI38" s="128" t="n">
        <v>3</v>
      </c>
      <c r="BJ38" s="128" t="n">
        <v>2</v>
      </c>
      <c r="BM38" s="128">
        <f>'FICHA PESSOAL'!$AM$56</f>
        <v/>
      </c>
      <c r="BN38" s="128">
        <f>ADDRESS(ROW('FICHA PESSOAL'!AM56),COLUMN('FICHA PESSOAL'!AM56),4)</f>
        <v/>
      </c>
      <c r="CY38" s="114" t="inlineStr">
        <is>
          <t>carga</t>
        </is>
      </c>
      <c r="CZ38" s="128">
        <f>ROUND(DADOS!$CZ$37+DADOS!$CZ$29,1)</f>
        <v/>
      </c>
    </row>
    <row r="39" ht="17.25" customHeight="1">
      <c r="A39" s="38" t="n"/>
      <c r="B39" s="38" t="n"/>
      <c r="C39" s="38" t="n"/>
      <c r="D39" s="38" t="n"/>
      <c r="E39" s="38" t="n"/>
      <c r="F39" s="114" t="inlineStr">
        <is>
          <t>Pressa</t>
        </is>
      </c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8" t="n"/>
      <c r="AG39" s="38" t="n"/>
      <c r="AH39" s="38" t="n"/>
      <c r="AI39" s="38" t="n"/>
      <c r="AJ39" s="114" t="inlineStr">
        <is>
          <t>Passivas do Leque anotadas</t>
        </is>
      </c>
      <c r="AK39" s="128">
        <f>COUNTIF(FICHA!$AF$139:$AF$144,"?*")</f>
        <v/>
      </c>
      <c r="AL39" s="38" t="n"/>
      <c r="AM39" s="38" t="n"/>
      <c r="AN39" s="38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114" t="inlineStr">
        <is>
          <t>conjuração</t>
        </is>
      </c>
      <c r="BB39" s="114">
        <f>ADDRESS(ROW(FICHA!O47),COLUMN(FICHA!O47),4)</f>
        <v/>
      </c>
      <c r="BD39" s="114" t="inlineStr">
        <is>
          <t>Nodachi</t>
        </is>
      </c>
      <c r="BE39" s="114" t="inlineStr">
        <is>
          <t>Lâmina Longa</t>
        </is>
      </c>
      <c r="BF39" s="128" t="n">
        <v>2</v>
      </c>
      <c r="BG39" s="114" t="inlineStr">
        <is>
          <t>d12</t>
        </is>
      </c>
      <c r="BH39" s="114" t="inlineStr">
        <is>
          <t>Alcance · Rompe · Volumosa</t>
        </is>
      </c>
      <c r="BI39" s="128" t="n">
        <v>3</v>
      </c>
      <c r="BJ39" s="128" t="n">
        <v>2</v>
      </c>
      <c r="BM39" s="128">
        <f>'FICHA PESSOAL'!$D$53</f>
        <v/>
      </c>
      <c r="BN39" s="128">
        <f>ADDRESS(ROW('FICHA PESSOAL'!D53),COLUMN('FICHA PESSOAL'!D53),4)</f>
        <v/>
      </c>
      <c r="CY39" s="114" t="inlineStr">
        <is>
          <t>limite de carga</t>
        </is>
      </c>
      <c r="CZ39" s="128">
        <f>5+DADOS!$CZ$5</f>
        <v/>
      </c>
    </row>
    <row r="40" ht="17.25" customHeight="1">
      <c r="A40" s="38" t="n"/>
      <c r="B40" s="38" t="n"/>
      <c r="C40" s="38" t="n"/>
      <c r="D40" s="38" t="n"/>
      <c r="E40" s="38" t="n"/>
      <c r="F40" s="114" t="inlineStr">
        <is>
          <t>Enfraquece</t>
        </is>
      </c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8" t="n"/>
      <c r="AG40" s="38" t="n"/>
      <c r="AH40" s="38" t="n"/>
      <c r="AI40" s="38" t="n"/>
      <c r="AJ40" s="38" t="n"/>
      <c r="AK40" s="38" t="n"/>
      <c r="AL40" s="38" t="n"/>
      <c r="AM40" s="38" t="n"/>
      <c r="AN40" s="38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114" t="inlineStr">
        <is>
          <t>corpo a corpo</t>
        </is>
      </c>
      <c r="BB40" s="114">
        <f>ADDRESS(ROW(FICHA!Z47),COLUMN(FICHA!Z47),4)</f>
        <v/>
      </c>
      <c r="BD40" s="114" t="inlineStr">
        <is>
          <t>Nunchaku</t>
        </is>
      </c>
      <c r="BE40" s="114" t="inlineStr">
        <is>
          <t>Porrete</t>
        </is>
      </c>
      <c r="BF40" s="128" t="n">
        <v>1</v>
      </c>
      <c r="BG40" s="114" t="inlineStr">
        <is>
          <t>d6</t>
        </is>
      </c>
      <c r="BH40" s="114" t="inlineStr">
        <is>
          <t>Par · Emaranha</t>
        </is>
      </c>
      <c r="BI40" s="114" t="inlineStr">
        <is>
          <t>—</t>
        </is>
      </c>
      <c r="BJ40" s="128" t="n">
        <v>1</v>
      </c>
      <c r="BM40" s="128">
        <f>'FICHA PESSOAL'!$V$52</f>
        <v/>
      </c>
      <c r="BN40" s="128">
        <f>ADDRESS(ROW('FICHA PESSOAL'!V52),COLUMN('FICHA PESSOAL'!V52),4)</f>
        <v/>
      </c>
      <c r="CY40" s="114" t="inlineStr">
        <is>
          <t>carga acima</t>
        </is>
      </c>
      <c r="CZ40" s="128">
        <f>IF(DADOS!$CZ$38&gt;DADOS!$CZ$39,1,0)</f>
        <v/>
      </c>
    </row>
    <row r="41" ht="17.25" customHeight="1">
      <c r="A41" s="38" t="n"/>
      <c r="B41" s="38" t="n"/>
      <c r="C41" s="38" t="n"/>
      <c r="D41" s="38" t="n"/>
      <c r="E41" s="38" t="n"/>
      <c r="F41" s="114" t="inlineStr">
        <is>
          <t>Ecoa</t>
        </is>
      </c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8" t="n"/>
      <c r="AG41" s="38" t="n"/>
      <c r="AH41" s="38" t="n"/>
      <c r="AI41" s="38" t="n"/>
      <c r="AJ41" s="38" t="n"/>
      <c r="AK41" s="38" t="n"/>
      <c r="AL41" s="38" t="n"/>
      <c r="AM41" s="38" t="n"/>
      <c r="AN41" s="38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114" t="inlineStr">
        <is>
          <t>à distância</t>
        </is>
      </c>
      <c r="BB41" s="114">
        <f>ADDRESS(ROW(FICHA!AK47),COLUMN(FICHA!AK47),4)</f>
        <v/>
      </c>
      <c r="BD41" s="114" t="inlineStr">
        <is>
          <t>Odachi</t>
        </is>
      </c>
      <c r="BE41" s="114" t="inlineStr">
        <is>
          <t>Lâmina Longa</t>
        </is>
      </c>
      <c r="BF41" s="128" t="n">
        <v>2</v>
      </c>
      <c r="BG41" s="114" t="inlineStr">
        <is>
          <t>d12</t>
        </is>
      </c>
      <c r="BH41" s="114" t="inlineStr">
        <is>
          <t>Alcance · Talha · Embainhada</t>
        </is>
      </c>
      <c r="BI41" s="128" t="n">
        <v>3</v>
      </c>
      <c r="BJ41" s="128" t="n">
        <v>2</v>
      </c>
      <c r="BM41" s="128">
        <f>'FICHA PESSOAL'!$D$54</f>
        <v/>
      </c>
      <c r="BN41" s="128">
        <f>ADDRESS(ROW('FICHA PESSOAL'!D54),COLUMN('FICHA PESSOAL'!D54),4)</f>
        <v/>
      </c>
      <c r="CY41" s="114" t="inlineStr">
        <is>
          <t>meia marcha</t>
        </is>
      </c>
      <c r="CZ41" s="128">
        <f>IF(OR(DADOS!$CZ$36=1,AND(DADOS!$CZ$35=1,DADOS!$CZ$19=1),DADOS!$CZ$40=1),1,0)</f>
        <v/>
      </c>
    </row>
    <row r="42" ht="17.25" customHeight="1">
      <c r="A42" s="38" t="n"/>
      <c r="B42" s="38" t="n"/>
      <c r="C42" s="38" t="n"/>
      <c r="D42" s="38" t="n"/>
      <c r="E42" s="38" t="n"/>
      <c r="F42" s="114" t="inlineStr">
        <is>
          <t>Queima</t>
        </is>
      </c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8" t="n"/>
      <c r="AG42" s="38" t="n"/>
      <c r="AH42" s="38" t="n"/>
      <c r="AI42" s="38" t="n"/>
      <c r="AJ42" s="38" t="n"/>
      <c r="AK42" s="38" t="n"/>
      <c r="AL42" s="38" t="n"/>
      <c r="AM42" s="38" t="n"/>
      <c r="AN42" s="38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114" t="inlineStr">
        <is>
          <t>maestria</t>
        </is>
      </c>
      <c r="BB42" s="114">
        <f>ADDRESS(ROW(FICHA!D51),COLUMN(FICHA!D51),4)</f>
        <v/>
      </c>
      <c r="BD42" s="114" t="inlineStr">
        <is>
          <t>Pistola</t>
        </is>
      </c>
      <c r="BE42" s="114" t="inlineStr">
        <is>
          <t>Arma de Fogo</t>
        </is>
      </c>
      <c r="BF42" s="128" t="n">
        <v>1</v>
      </c>
      <c r="BG42" s="114" t="inlineStr">
        <is>
          <t>1d10</t>
        </is>
      </c>
      <c r="BH42" s="114" t="inlineStr">
        <is>
          <t>Longo Alcance · Munição · Oculta</t>
        </is>
      </c>
      <c r="BI42" s="114" t="inlineStr">
        <is>
          <t>—</t>
        </is>
      </c>
      <c r="BJ42" s="128" t="n">
        <v>0.1</v>
      </c>
      <c r="BK42" s="114" t="inlineStr">
        <is>
          <t>9 m, longa 27 m</t>
        </is>
      </c>
      <c r="BL42" s="128" t="n">
        <v>2</v>
      </c>
      <c r="BM42" s="128">
        <f>'FICHA PESSOAL'!$M$51</f>
        <v/>
      </c>
      <c r="BN42" s="128">
        <f>ADDRESS(ROW('FICHA PESSOAL'!M51),COLUMN('FICHA PESSOAL'!M51),4)</f>
        <v/>
      </c>
      <c r="CY42" s="114" t="inlineStr">
        <is>
          <t>xp total</t>
        </is>
      </c>
      <c r="CZ42" s="128">
        <f>SUM('FICHA PESSOAL'!$BA$15:$BA$64)+SUM('FICHA PESSOAL'!$BG$15:$BG$64)+SUM('FICHA PESSOAL'!$BM$15:$BM$64)+SUM('FICHA PESSOAL'!$BS$15:$BS$64)</f>
        <v/>
      </c>
    </row>
    <row r="43" ht="17.25" customHeight="1">
      <c r="A43" s="38" t="n"/>
      <c r="B43" s="38" t="n"/>
      <c r="C43" s="38" t="n"/>
      <c r="D43" s="38" t="n"/>
      <c r="E43" s="38" t="n"/>
      <c r="F43" s="114" t="inlineStr">
        <is>
          <t>Acúmulo</t>
        </is>
      </c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8" t="n"/>
      <c r="AG43" s="38" t="n"/>
      <c r="AH43" s="38" t="n"/>
      <c r="AI43" s="38" t="n"/>
      <c r="AJ43" s="38" t="n"/>
      <c r="AK43" s="38" t="n"/>
      <c r="AL43" s="38" t="n"/>
      <c r="AM43" s="38" t="n"/>
      <c r="AN43" s="38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114" t="inlineStr">
        <is>
          <t>deslocamento</t>
        </is>
      </c>
      <c r="BB43" s="114">
        <f>ADDRESS(ROW(FICHA!O51),COLUMN(FICHA!O51),4)</f>
        <v/>
      </c>
      <c r="BD43" s="114" t="inlineStr">
        <is>
          <t>Punhal</t>
        </is>
      </c>
      <c r="BE43" s="114" t="inlineStr">
        <is>
          <t>Lâmina Curta</t>
        </is>
      </c>
      <c r="BF43" s="128" t="n">
        <v>1</v>
      </c>
      <c r="BG43" s="114" t="inlineStr">
        <is>
          <t>d6</t>
        </is>
      </c>
      <c r="BH43" s="114" t="inlineStr">
        <is>
          <t>Fineza · Longo Alcance</t>
        </is>
      </c>
      <c r="BI43" s="114" t="inlineStr">
        <is>
          <t>—</t>
        </is>
      </c>
      <c r="BJ43" s="128" t="n">
        <v>1</v>
      </c>
      <c r="BK43" s="114" t="inlineStr">
        <is>
          <t>6 m, longa 18 m</t>
        </is>
      </c>
      <c r="BM43" s="128">
        <f>'FICHA PESSOAL'!$AE$51</f>
        <v/>
      </c>
      <c r="BN43" s="128">
        <f>ADDRESS(ROW('FICHA PESSOAL'!AE51),COLUMN('FICHA PESSOAL'!AE51),4)</f>
        <v/>
      </c>
      <c r="CY43" s="114" t="inlineStr">
        <is>
          <t>nível</t>
        </is>
      </c>
      <c r="CZ43" s="128">
        <f>N(FICHA!$AH$11)</f>
        <v/>
      </c>
    </row>
    <row r="44" ht="17.25" customHeight="1">
      <c r="A44" s="38" t="n"/>
      <c r="B44" s="38" t="n"/>
      <c r="C44" s="38" t="n"/>
      <c r="D44" s="38" t="n"/>
      <c r="E44" s="38" t="n"/>
      <c r="F44" s="114" t="inlineStr">
        <is>
          <t>Remate</t>
        </is>
      </c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8" t="n"/>
      <c r="AG44" s="38" t="n"/>
      <c r="AH44" s="38" t="n"/>
      <c r="AI44" s="38" t="n"/>
      <c r="AJ44" s="38" t="n"/>
      <c r="AK44" s="38" t="n"/>
      <c r="AL44" s="38" t="n"/>
      <c r="AM44" s="38" t="n"/>
      <c r="AN44" s="38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114" t="inlineStr">
        <is>
          <t>espaços de feitiço</t>
        </is>
      </c>
      <c r="BB44" s="114">
        <f>ADDRESS(ROW(FICHA!D57),COLUMN(FICHA!D57),4)</f>
        <v/>
      </c>
      <c r="BD44" s="114" t="inlineStr">
        <is>
          <t>Rapieira</t>
        </is>
      </c>
      <c r="BE44" s="114" t="inlineStr">
        <is>
          <t>Lâmina Longa</t>
        </is>
      </c>
      <c r="BF44" s="128" t="n">
        <v>1</v>
      </c>
      <c r="BG44" s="114" t="inlineStr">
        <is>
          <t>d6</t>
        </is>
      </c>
      <c r="BH44" s="114" t="inlineStr">
        <is>
          <t>Fineza · Talha</t>
        </is>
      </c>
      <c r="BI44" s="114" t="inlineStr">
        <is>
          <t>—</t>
        </is>
      </c>
      <c r="BJ44" s="128" t="n">
        <v>1</v>
      </c>
      <c r="BM44" s="128">
        <f>'FICHA PESSOAL'!$D$55</f>
        <v/>
      </c>
      <c r="BN44" s="128">
        <f>ADDRESS(ROW('FICHA PESSOAL'!D55),COLUMN('FICHA PESSOAL'!D55),4)</f>
        <v/>
      </c>
      <c r="CY44" s="114" t="inlineStr">
        <is>
          <t>xp do próximo nível</t>
        </is>
      </c>
      <c r="CZ44" s="128">
        <f>IFERROR(VLOOKUP(DADOS!$CZ$43+1,DADOS!$AQ$5:$AR$33,2,FALSE),"")</f>
        <v/>
      </c>
    </row>
    <row r="45" ht="17.25" customHeight="1">
      <c r="A45" s="38" t="n"/>
      <c r="B45" s="38" t="n"/>
      <c r="C45" s="38" t="n"/>
      <c r="D45" s="38" t="n"/>
      <c r="E45" s="38" t="n"/>
      <c r="F45" s="114" t="inlineStr">
        <is>
          <t>Estilhaço</t>
        </is>
      </c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8" t="n"/>
      <c r="AG45" s="38" t="n"/>
      <c r="AH45" s="38" t="n"/>
      <c r="AI45" s="38" t="n"/>
      <c r="AJ45" s="38" t="n"/>
      <c r="AK45" s="38" t="n"/>
      <c r="AL45" s="38" t="n"/>
      <c r="AM45" s="38" t="n"/>
      <c r="AN45" s="38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114" t="inlineStr">
        <is>
          <t>refino de graça</t>
        </is>
      </c>
      <c r="BB45" s="114">
        <f>ADDRESS(ROW(FICHA!O57),COLUMN(FICHA!O57),4)</f>
        <v/>
      </c>
      <c r="BD45" s="114" t="inlineStr">
        <is>
          <t>Revólver</t>
        </is>
      </c>
      <c r="BE45" s="114" t="inlineStr">
        <is>
          <t>Arma de Fogo</t>
        </is>
      </c>
      <c r="BF45" s="128" t="n">
        <v>1</v>
      </c>
      <c r="BG45" s="114" t="inlineStr">
        <is>
          <t>1d10</t>
        </is>
      </c>
      <c r="BH45" s="114" t="inlineStr">
        <is>
          <t>Longo Alcance · Munição · Oculta</t>
        </is>
      </c>
      <c r="BI45" s="114" t="inlineStr">
        <is>
          <t>—</t>
        </is>
      </c>
      <c r="BJ45" s="128" t="n">
        <v>0.1</v>
      </c>
      <c r="BK45" s="114" t="inlineStr">
        <is>
          <t>12 m, longa 36 m</t>
        </is>
      </c>
      <c r="BL45" s="128" t="n">
        <v>2</v>
      </c>
      <c r="BM45" s="128">
        <f>'FICHA PESSOAL'!$M$52</f>
        <v/>
      </c>
      <c r="BN45" s="128">
        <f>ADDRESS(ROW('FICHA PESSOAL'!M52),COLUMN('FICHA PESSOAL'!M52),4)</f>
        <v/>
      </c>
      <c r="CY45" s="114" t="inlineStr">
        <is>
          <t>xp deste nível</t>
        </is>
      </c>
      <c r="CZ45" s="128">
        <f>IFERROR(VLOOKUP(DADOS!$CZ$43,DADOS!$AQ$5:$AR$33,2,FALSE),0)</f>
        <v/>
      </c>
    </row>
    <row r="46" ht="17.25" customHeight="1">
      <c r="A46" s="38" t="n"/>
      <c r="B46" s="38" t="n"/>
      <c r="C46" s="38" t="n"/>
      <c r="D46" s="38" t="n"/>
      <c r="E46" s="38" t="n"/>
      <c r="F46" s="114" t="inlineStr">
        <is>
          <t>Quebra Coisa</t>
        </is>
      </c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8" t="n"/>
      <c r="AG46" s="38" t="n"/>
      <c r="AH46" s="38" t="n"/>
      <c r="AI46" s="38" t="n"/>
      <c r="AJ46" s="38" t="n"/>
      <c r="AK46" s="38" t="n"/>
      <c r="AL46" s="38" t="n"/>
      <c r="AM46" s="38" t="n"/>
      <c r="AN46" s="38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114" t="inlineStr">
        <is>
          <t>classe máxima</t>
        </is>
      </c>
      <c r="BB46" s="114">
        <f>ADDRESS(ROW(FICHA!Z57),COLUMN(FICHA!Z57),4)</f>
        <v/>
      </c>
      <c r="BD46" s="114" t="inlineStr">
        <is>
          <t>Rifle</t>
        </is>
      </c>
      <c r="BE46" s="114" t="inlineStr">
        <is>
          <t>Arma de Fogo</t>
        </is>
      </c>
      <c r="BF46" s="128" t="n">
        <v>2</v>
      </c>
      <c r="BG46" s="114" t="inlineStr">
        <is>
          <t>2d8</t>
        </is>
      </c>
      <c r="BH46" s="114" t="inlineStr">
        <is>
          <t>Longo Alcance · Munição · Talha</t>
        </is>
      </c>
      <c r="BI46" s="128" t="n">
        <v>1</v>
      </c>
      <c r="BJ46" s="128" t="n">
        <v>2</v>
      </c>
      <c r="BK46" s="114" t="inlineStr">
        <is>
          <t>24 m, longa 72 m</t>
        </is>
      </c>
      <c r="BL46" s="128" t="n">
        <v>3</v>
      </c>
      <c r="BM46" s="128">
        <f>'FICHA PESSOAL'!$M$53</f>
        <v/>
      </c>
      <c r="BN46" s="128">
        <f>ADDRESS(ROW('FICHA PESSOAL'!M53),COLUMN('FICHA PESSOAL'!M53),4)</f>
        <v/>
      </c>
      <c r="CY46" s="114" t="inlineStr">
        <is>
          <t>cor da barra cheia</t>
        </is>
      </c>
      <c r="CZ46" s="128" t="inlineStr">
        <is>
          <t>#E8DCD4</t>
        </is>
      </c>
    </row>
    <row r="47" ht="17.25" customHeight="1">
      <c r="A47" s="38" t="n"/>
      <c r="B47" s="38" t="n"/>
      <c r="C47" s="38" t="n"/>
      <c r="D47" s="38" t="n"/>
      <c r="E47" s="38" t="n"/>
      <c r="F47" s="114" t="inlineStr">
        <is>
          <t>Rasga Escudo</t>
        </is>
      </c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8" t="n"/>
      <c r="AG47" s="38" t="n"/>
      <c r="AH47" s="38" t="n"/>
      <c r="AI47" s="38" t="n"/>
      <c r="AJ47" s="38" t="n"/>
      <c r="AK47" s="38" t="n"/>
      <c r="AL47" s="38" t="n"/>
      <c r="AM47" s="38" t="n"/>
      <c r="AN47" s="38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114" t="inlineStr">
        <is>
          <t>classe 0 grátis</t>
        </is>
      </c>
      <c r="BB47" s="114">
        <f>ADDRESS(ROW(FICHA!AK57),COLUMN(FICHA!AK57),4)</f>
        <v/>
      </c>
      <c r="BD47" s="114" t="inlineStr">
        <is>
          <t>Rifle de Precisão</t>
        </is>
      </c>
      <c r="BE47" s="114" t="inlineStr">
        <is>
          <t>Arma de Fogo</t>
        </is>
      </c>
      <c r="BF47" s="128" t="n">
        <v>2</v>
      </c>
      <c r="BG47" s="114" t="inlineStr">
        <is>
          <t>2d10</t>
        </is>
      </c>
      <c r="BH47" s="114" t="inlineStr">
        <is>
          <t>Longo Alcance · Munição</t>
        </is>
      </c>
      <c r="BI47" s="128" t="n">
        <v>3</v>
      </c>
      <c r="BJ47" s="128" t="n">
        <v>2</v>
      </c>
      <c r="BK47" s="114" t="inlineStr">
        <is>
          <t>24 m, longa 72 m</t>
        </is>
      </c>
      <c r="BL47" s="128" t="n">
        <v>2</v>
      </c>
      <c r="BM47" s="128">
        <f>'FICHA PESSOAL'!$M$54</f>
        <v/>
      </c>
      <c r="BN47" s="128">
        <f>ADDRESS(ROW('FICHA PESSOAL'!M54),COLUMN('FICHA PESSOAL'!M54),4)</f>
        <v/>
      </c>
    </row>
    <row r="48" ht="17.25" customHeight="1">
      <c r="A48" s="38" t="n"/>
      <c r="B48" s="38" t="n"/>
      <c r="C48" s="38" t="n"/>
      <c r="D48" s="38" t="n"/>
      <c r="E48" s="38" t="n"/>
      <c r="F48" s="114" t="inlineStr">
        <is>
          <t>Sem Cura</t>
        </is>
      </c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8" t="n"/>
      <c r="AG48" s="38" t="n"/>
      <c r="AH48" s="38" t="n"/>
      <c r="AI48" s="38" t="n"/>
      <c r="AJ48" s="38" t="n"/>
      <c r="AK48" s="38" t="n"/>
      <c r="AL48" s="38" t="n"/>
      <c r="AM48" s="38" t="n"/>
      <c r="AN48" s="38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114" t="inlineStr">
        <is>
          <t>refino escolhido</t>
        </is>
      </c>
      <c r="BB48" s="114">
        <f>ADDRESS(ROW(FICHA!AO40),COLUMN(FICHA!AO40),4)</f>
        <v/>
      </c>
      <c r="BD48" s="114" t="inlineStr">
        <is>
          <t>Sai</t>
        </is>
      </c>
      <c r="BE48" s="114" t="inlineStr">
        <is>
          <t>Lâmina Curta</t>
        </is>
      </c>
      <c r="BF48" s="128" t="n">
        <v>1</v>
      </c>
      <c r="BG48" s="114" t="inlineStr">
        <is>
          <t>d6</t>
        </is>
      </c>
      <c r="BH48" s="114" t="inlineStr">
        <is>
          <t>Fineza · Par</t>
        </is>
      </c>
      <c r="BI48" s="114" t="inlineStr">
        <is>
          <t>—</t>
        </is>
      </c>
      <c r="BJ48" s="128" t="n">
        <v>1</v>
      </c>
      <c r="BM48" s="128">
        <f>'FICHA PESSOAL'!$AE$52</f>
        <v/>
      </c>
      <c r="BN48" s="128">
        <f>ADDRESS(ROW('FICHA PESSOAL'!AE52),COLUMN('FICHA PESSOAL'!AE52),4)</f>
        <v/>
      </c>
    </row>
    <row r="49" ht="17.25" customHeight="1">
      <c r="A49" s="38" t="n"/>
      <c r="B49" s="38" t="n"/>
      <c r="C49" s="38" t="n"/>
      <c r="D49" s="38" t="n"/>
      <c r="E49" s="38" t="n"/>
      <c r="F49" s="114" t="inlineStr">
        <is>
          <t>Rápido</t>
        </is>
      </c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8" t="n"/>
      <c r="AG49" s="38" t="n"/>
      <c r="AH49" s="38" t="n"/>
      <c r="AI49" s="38" t="n"/>
      <c r="AJ49" s="38" t="n"/>
      <c r="AK49" s="38" t="n"/>
      <c r="AL49" s="38" t="n"/>
      <c r="AM49" s="38" t="n"/>
      <c r="AN49" s="38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114" t="inlineStr">
        <is>
          <t>marco corpo</t>
        </is>
      </c>
      <c r="BB49" s="114">
        <f>ADDRESS(ROW(FICHA!AQ40),COLUMN(FICHA!AQ40),4)</f>
        <v/>
      </c>
      <c r="BD49" s="114" t="inlineStr">
        <is>
          <t>Shuriken</t>
        </is>
      </c>
      <c r="BE49" s="114" t="inlineStr">
        <is>
          <t>Arremesso</t>
        </is>
      </c>
      <c r="BF49" s="128" t="n">
        <v>1</v>
      </c>
      <c r="BG49" s="114" t="inlineStr">
        <is>
          <t>d4</t>
        </is>
      </c>
      <c r="BH49" s="114" t="inlineStr">
        <is>
          <t>Longo Alcance · Oculta · Par</t>
        </is>
      </c>
      <c r="BI49" s="114" t="inlineStr">
        <is>
          <t>—</t>
        </is>
      </c>
      <c r="BJ49" s="128" t="n">
        <v>0.1</v>
      </c>
      <c r="BK49" s="114" t="inlineStr">
        <is>
          <t>6 m, longa 18 m</t>
        </is>
      </c>
      <c r="BM49" s="128">
        <f>'FICHA PESSOAL'!$M$59</f>
        <v/>
      </c>
      <c r="BN49" s="128">
        <f>ADDRESS(ROW('FICHA PESSOAL'!M59),COLUMN('FICHA PESSOAL'!M59),4)</f>
        <v/>
      </c>
    </row>
    <row r="50" ht="17.25" customHeight="1">
      <c r="A50" s="38" t="n"/>
      <c r="B50" s="38" t="n"/>
      <c r="C50" s="38" t="n"/>
      <c r="D50" s="38" t="n"/>
      <c r="E50" s="38" t="n"/>
      <c r="F50" s="114" t="inlineStr">
        <is>
          <t>Reação</t>
        </is>
      </c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8" t="n"/>
      <c r="AG50" s="38" t="n"/>
      <c r="AH50" s="38" t="n"/>
      <c r="AI50" s="38" t="n"/>
      <c r="AJ50" s="38" t="n"/>
      <c r="AK50" s="38" t="n"/>
      <c r="AL50" s="38" t="n"/>
      <c r="AM50" s="38" t="n"/>
      <c r="AN50" s="38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114" t="inlineStr">
        <is>
          <t>marco leque</t>
        </is>
      </c>
      <c r="BB50" s="114">
        <f>ADDRESS(ROW(FICHA!AS40),COLUMN(FICHA!AS40),4)</f>
        <v/>
      </c>
      <c r="BD50" s="114" t="inlineStr">
        <is>
          <t>Soqueira</t>
        </is>
      </c>
      <c r="BE50" s="114" t="inlineStr">
        <is>
          <t>Manopla</t>
        </is>
      </c>
      <c r="BF50" s="128" t="n">
        <v>1</v>
      </c>
      <c r="BG50" s="114" t="inlineStr">
        <is>
          <t>d4</t>
        </is>
      </c>
      <c r="BH50" s="114" t="inlineStr">
        <is>
          <t>Vestida · Oculta · Par</t>
        </is>
      </c>
      <c r="BI50" s="114" t="inlineStr">
        <is>
          <t>—</t>
        </is>
      </c>
      <c r="BJ50" s="128" t="n">
        <v>0.1</v>
      </c>
      <c r="BM50" s="128">
        <f>'FICHA PESSOAL'!$AE$59</f>
        <v/>
      </c>
      <c r="BN50" s="128">
        <f>ADDRESS(ROW('FICHA PESSOAL'!AE59),COLUMN('FICHA PESSOAL'!AE59),4)</f>
        <v/>
      </c>
    </row>
    <row r="51" ht="17.25" customHeight="1">
      <c r="A51" s="38" t="n"/>
      <c r="B51" s="38" t="n"/>
      <c r="C51" s="38" t="n"/>
      <c r="D51" s="38" t="n"/>
      <c r="E51" s="38" t="n"/>
      <c r="F51" s="114" t="inlineStr">
        <is>
          <t>Armado</t>
        </is>
      </c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114" t="inlineStr">
        <is>
          <t>marcos escolhidos</t>
        </is>
      </c>
      <c r="BB51" s="114">
        <f>ADDRESS(ROW(FICHA!AK40),COLUMN(FICHA!AK40),4)</f>
        <v/>
      </c>
      <c r="BD51" s="114" t="inlineStr">
        <is>
          <t>Submetralhadora</t>
        </is>
      </c>
      <c r="BE51" s="114" t="inlineStr">
        <is>
          <t>Arma de Fogo</t>
        </is>
      </c>
      <c r="BF51" s="128" t="n">
        <v>2</v>
      </c>
      <c r="BG51" s="114" t="inlineStr">
        <is>
          <t>2d6</t>
        </is>
      </c>
      <c r="BH51" s="114" t="inlineStr">
        <is>
          <t>Longo Alcance · Munição · Par · Oculta</t>
        </is>
      </c>
      <c r="BI51" s="114" t="inlineStr">
        <is>
          <t>—</t>
        </is>
      </c>
      <c r="BJ51" s="128" t="n">
        <v>2</v>
      </c>
      <c r="BK51" s="114" t="inlineStr">
        <is>
          <t>15 m, longa 45 m</t>
        </is>
      </c>
      <c r="BL51" s="128" t="n">
        <v>3</v>
      </c>
      <c r="BM51" s="128">
        <f>'FICHA PESSOAL'!$M$55</f>
        <v/>
      </c>
      <c r="BN51" s="128">
        <f>ADDRESS(ROW('FICHA PESSOAL'!M55),COLUMN('FICHA PESSOAL'!M55),4)</f>
        <v/>
      </c>
    </row>
    <row r="52" ht="17.25" customHeight="1">
      <c r="A52" s="38" t="n"/>
      <c r="B52" s="38" t="n"/>
      <c r="C52" s="38" t="n"/>
      <c r="D52" s="38" t="n"/>
      <c r="E52" s="38" t="n"/>
      <c r="F52" s="114" t="inlineStr">
        <is>
          <t>Silencioso</t>
        </is>
      </c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114" t="inlineStr">
        <is>
          <t>buff de defesa</t>
        </is>
      </c>
      <c r="BB52" s="114">
        <f>ADDRESS(ROW(FICHA!L43),COLUMN(FICHA!L43),4)</f>
        <v/>
      </c>
      <c r="BD52" s="114" t="inlineStr">
        <is>
          <t>Taco</t>
        </is>
      </c>
      <c r="BE52" s="114" t="inlineStr">
        <is>
          <t>Massa</t>
        </is>
      </c>
      <c r="BF52" s="128" t="n">
        <v>1</v>
      </c>
      <c r="BG52" s="114" t="inlineStr">
        <is>
          <t>d8</t>
        </is>
      </c>
      <c r="BH52" s="114" t="inlineStr">
        <is>
          <t>Versátil · Oculta</t>
        </is>
      </c>
      <c r="BI52" s="114" t="inlineStr">
        <is>
          <t>—</t>
        </is>
      </c>
      <c r="BJ52" s="128" t="n">
        <v>0.1</v>
      </c>
      <c r="BM52" s="128">
        <f>'FICHA PESSOAL'!$AM$53</f>
        <v/>
      </c>
      <c r="BN52" s="128">
        <f>ADDRESS(ROW('FICHA PESSOAL'!AM53),COLUMN('FICHA PESSOAL'!AM53),4)</f>
        <v/>
      </c>
    </row>
    <row r="53" ht="17.25" customHeight="1">
      <c r="A53" s="38" t="n"/>
      <c r="B53" s="38" t="n"/>
      <c r="C53" s="38" t="n"/>
      <c r="D53" s="38" t="n"/>
      <c r="E53" s="38" t="n"/>
      <c r="F53" s="114" t="inlineStr">
        <is>
          <t>Adianta</t>
        </is>
      </c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114" t="inlineStr">
        <is>
          <t>buff de iniciativa</t>
        </is>
      </c>
      <c r="BB53" s="114">
        <f>ADDRESS(ROW(FICHA!AS43),COLUMN(FICHA!AS43),4)</f>
        <v/>
      </c>
      <c r="BD53" s="114" t="inlineStr">
        <is>
          <t>Tanto</t>
        </is>
      </c>
      <c r="BE53" s="114" t="inlineStr">
        <is>
          <t>Lâmina Curta</t>
        </is>
      </c>
      <c r="BF53" s="128" t="n">
        <v>1</v>
      </c>
      <c r="BG53" s="114" t="inlineStr">
        <is>
          <t>d6</t>
        </is>
      </c>
      <c r="BH53" s="114" t="inlineStr">
        <is>
          <t>Fineza · Oculta</t>
        </is>
      </c>
      <c r="BI53" s="114" t="inlineStr">
        <is>
          <t>—</t>
        </is>
      </c>
      <c r="BJ53" s="128" t="n">
        <v>0.1</v>
      </c>
      <c r="BM53" s="128">
        <f>'FICHA PESSOAL'!$AE$53</f>
        <v/>
      </c>
      <c r="BN53" s="128">
        <f>ADDRESS(ROW('FICHA PESSOAL'!AE53),COLUMN('FICHA PESSOAL'!AE53),4)</f>
        <v/>
      </c>
    </row>
    <row r="54" ht="17.25" customHeight="1">
      <c r="A54" s="38" t="n"/>
      <c r="B54" s="38" t="n"/>
      <c r="C54" s="38" t="n"/>
      <c r="D54" s="38" t="n"/>
      <c r="E54" s="38" t="n"/>
      <c r="F54" s="114" t="inlineStr">
        <is>
          <t>Segura</t>
        </is>
      </c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114" t="inlineStr">
        <is>
          <t>buff de cd de feitiço</t>
        </is>
      </c>
      <c r="BB54" s="114">
        <f>ADDRESS(ROW(FICHA!L47),COLUMN(FICHA!L47),4)</f>
        <v/>
      </c>
      <c r="BD54" s="114" t="inlineStr">
        <is>
          <t>Tekko</t>
        </is>
      </c>
      <c r="BE54" s="114" t="inlineStr">
        <is>
          <t>Manopla</t>
        </is>
      </c>
      <c r="BF54" s="128" t="n">
        <v>1</v>
      </c>
      <c r="BG54" s="114" t="inlineStr">
        <is>
          <t>d4</t>
        </is>
      </c>
      <c r="BH54" s="114" t="inlineStr">
        <is>
          <t>Vestida · Par · Oculta</t>
        </is>
      </c>
      <c r="BI54" s="114" t="inlineStr">
        <is>
          <t>—</t>
        </is>
      </c>
      <c r="BJ54" s="128" t="n">
        <v>0.1</v>
      </c>
      <c r="BM54" s="128">
        <f>'FICHA PESSOAL'!$AE$60</f>
        <v/>
      </c>
      <c r="BN54" s="128">
        <f>ADDRESS(ROW('FICHA PESSOAL'!AE60),COLUMN('FICHA PESSOAL'!AE60),4)</f>
        <v/>
      </c>
    </row>
    <row r="55" ht="17.25" customHeight="1">
      <c r="A55" s="38" t="n"/>
      <c r="B55" s="38" t="n"/>
      <c r="C55" s="38" t="n"/>
      <c r="D55" s="38" t="n"/>
      <c r="E55" s="38" t="n"/>
      <c r="F55" s="114" t="inlineStr">
        <is>
          <t>Concentrada</t>
        </is>
      </c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114" t="inlineStr">
        <is>
          <t>buff de conjuração</t>
        </is>
      </c>
      <c r="BB55" s="114">
        <f>ADDRESS(ROW(FICHA!W47),COLUMN(FICHA!W47),4)</f>
        <v/>
      </c>
      <c r="BD55" s="114" t="inlineStr">
        <is>
          <t>Tessen</t>
        </is>
      </c>
      <c r="BE55" s="114" t="inlineStr">
        <is>
          <t>Arremesso</t>
        </is>
      </c>
      <c r="BF55" s="128" t="n">
        <v>1</v>
      </c>
      <c r="BG55" s="114" t="inlineStr">
        <is>
          <t>d4</t>
        </is>
      </c>
      <c r="BH55" s="114" t="inlineStr">
        <is>
          <t>Longo Alcance · Oculta · Vestida</t>
        </is>
      </c>
      <c r="BI55" s="114" t="inlineStr">
        <is>
          <t>—</t>
        </is>
      </c>
      <c r="BJ55" s="128" t="n">
        <v>0.1</v>
      </c>
      <c r="BK55" s="114" t="inlineStr">
        <is>
          <t>6 m, longa 18 m</t>
        </is>
      </c>
      <c r="BM55" s="128">
        <f>'FICHA PESSOAL'!$M$60</f>
        <v/>
      </c>
      <c r="BN55" s="128">
        <f>ADDRESS(ROW('FICHA PESSOAL'!M60),COLUMN('FICHA PESSOAL'!M60),4)</f>
        <v/>
      </c>
    </row>
    <row r="56" ht="17.25" customHeight="1">
      <c r="A56" s="38" t="n"/>
      <c r="B56" s="38" t="n"/>
      <c r="C56" s="38" t="n"/>
      <c r="D56" s="38" t="n"/>
      <c r="E56" s="38" t="n"/>
      <c r="F56" s="114" t="inlineStr">
        <is>
          <t>Duradoura</t>
        </is>
      </c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38" t="n"/>
      <c r="AZ56" s="38" t="n"/>
      <c r="BA56" s="114" t="inlineStr">
        <is>
          <t>buff de corpo a corpo</t>
        </is>
      </c>
      <c r="BB56" s="114">
        <f>ADDRESS(ROW(FICHA!AH47),COLUMN(FICHA!AH47),4)</f>
        <v/>
      </c>
      <c r="BD56" s="114" t="inlineStr">
        <is>
          <t>Tonfa</t>
        </is>
      </c>
      <c r="BE56" s="114" t="inlineStr">
        <is>
          <t>Porrete</t>
        </is>
      </c>
      <c r="BF56" s="128" t="n">
        <v>1</v>
      </c>
      <c r="BG56" s="114" t="inlineStr">
        <is>
          <t>d6</t>
        </is>
      </c>
      <c r="BH56" s="114" t="inlineStr">
        <is>
          <t>Par · Vestida</t>
        </is>
      </c>
      <c r="BI56" s="114" t="inlineStr">
        <is>
          <t>—</t>
        </is>
      </c>
      <c r="BJ56" s="128" t="n">
        <v>0.1</v>
      </c>
      <c r="BM56" s="128">
        <f>'FICHA PESSOAL'!$V$53</f>
        <v/>
      </c>
      <c r="BN56" s="128">
        <f>ADDRESS(ROW('FICHA PESSOAL'!V53),COLUMN('FICHA PESSOAL'!V53),4)</f>
        <v/>
      </c>
    </row>
    <row r="57" ht="17.25" customHeight="1">
      <c r="A57" s="38" t="n"/>
      <c r="B57" s="38" t="n"/>
      <c r="C57" s="38" t="n"/>
      <c r="D57" s="38" t="n"/>
      <c r="E57" s="38" t="n"/>
      <c r="F57" s="114" t="inlineStr">
        <is>
          <t>Marca</t>
        </is>
      </c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38" t="n"/>
      <c r="AZ57" s="38" t="n"/>
      <c r="BA57" s="114" t="inlineStr">
        <is>
          <t>buff de à distância</t>
        </is>
      </c>
      <c r="BB57" s="114">
        <f>ADDRESS(ROW(FICHA!AS47),COLUMN(FICHA!AS47),4)</f>
        <v/>
      </c>
      <c r="BD57" s="114" t="inlineStr">
        <is>
          <t>Torre</t>
        </is>
      </c>
      <c r="BE57" s="114" t="inlineStr">
        <is>
          <t>Escudo</t>
        </is>
      </c>
      <c r="BF57" s="128" t="n">
        <v>1</v>
      </c>
      <c r="BG57" s="114" t="inlineStr">
        <is>
          <t>—</t>
        </is>
      </c>
      <c r="BH57" s="114" t="inlineStr">
        <is>
          <t>Proteção +3 · teto de Destreza 1</t>
        </is>
      </c>
      <c r="BI57" s="128" t="n">
        <v>5</v>
      </c>
      <c r="BJ57" s="128" t="n">
        <v>2</v>
      </c>
      <c r="BM57" s="128">
        <f>TRUE</f>
        <v/>
      </c>
    </row>
    <row r="58" ht="17.25" customHeight="1">
      <c r="A58" s="38" t="n"/>
      <c r="B58" s="38" t="n"/>
      <c r="C58" s="38" t="n"/>
      <c r="D58" s="38" t="n"/>
      <c r="E58" s="38" t="n"/>
      <c r="F58" s="114" t="inlineStr">
        <is>
          <t>Alvo de Caça</t>
        </is>
      </c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38" t="n"/>
      <c r="AZ58" s="38" t="n"/>
      <c r="BA58" s="114" t="inlineStr">
        <is>
          <t>buff de deslocamento</t>
        </is>
      </c>
      <c r="BB58" s="114">
        <f>ADDRESS(ROW(FICHA!W51),COLUMN(FICHA!W51),4)</f>
        <v/>
      </c>
      <c r="BD58" s="114" t="inlineStr">
        <is>
          <t>Wakizashi</t>
        </is>
      </c>
      <c r="BE58" s="114" t="inlineStr">
        <is>
          <t>Lâmina Longa</t>
        </is>
      </c>
      <c r="BF58" s="128" t="n">
        <v>1</v>
      </c>
      <c r="BG58" s="114" t="inlineStr">
        <is>
          <t>d8</t>
        </is>
      </c>
      <c r="BH58" s="114" t="inlineStr">
        <is>
          <t>Oculta</t>
        </is>
      </c>
      <c r="BI58" s="114" t="inlineStr">
        <is>
          <t>—</t>
        </is>
      </c>
      <c r="BJ58" s="128" t="n">
        <v>0.1</v>
      </c>
      <c r="BM58" s="128">
        <f>'FICHA PESSOAL'!$D$56</f>
        <v/>
      </c>
      <c r="BN58" s="128">
        <f>ADDRESS(ROW('FICHA PESSOAL'!D56),COLUMN('FICHA PESSOAL'!D56),4)</f>
        <v/>
      </c>
    </row>
    <row r="59" ht="17.25" customHeight="1">
      <c r="A59" s="38" t="n"/>
      <c r="B59" s="38" t="n"/>
      <c r="C59" s="38" t="n"/>
      <c r="D59" s="38" t="n"/>
      <c r="E59" s="38" t="n"/>
      <c r="F59" s="114" t="inlineStr">
        <is>
          <t>Rastro</t>
        </is>
      </c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38" t="n"/>
      <c r="AZ59" s="38" t="n"/>
      <c r="BA59" s="114" t="inlineStr">
        <is>
          <t>corpo_Força</t>
        </is>
      </c>
      <c r="BB59" s="114">
        <f>ADDRESS(ROW(FICHA!AK15),COLUMN(FICHA!AK15),4)</f>
        <v/>
      </c>
      <c r="BD59" s="114" t="inlineStr">
        <is>
          <t>Yari</t>
        </is>
      </c>
      <c r="BE59" s="114" t="inlineStr">
        <is>
          <t>Armas Longas</t>
        </is>
      </c>
      <c r="BF59" s="128" t="n">
        <v>2</v>
      </c>
      <c r="BG59" s="114" t="inlineStr">
        <is>
          <t>d10</t>
        </is>
      </c>
      <c r="BH59" s="114" t="inlineStr">
        <is>
          <t>Alcance · Talha</t>
        </is>
      </c>
      <c r="BI59" s="128" t="n">
        <v>3</v>
      </c>
      <c r="BJ59" s="128" t="n">
        <v>2</v>
      </c>
      <c r="BM59" s="128">
        <f>'FICHA PESSOAL'!$AM$57</f>
        <v/>
      </c>
      <c r="BN59" s="128">
        <f>ADDRESS(ROW('FICHA PESSOAL'!AM57),COLUMN('FICHA PESSOAL'!AM57),4)</f>
        <v/>
      </c>
    </row>
    <row r="60" ht="17.25" customHeight="1">
      <c r="A60" s="38" t="n"/>
      <c r="B60" s="38" t="n"/>
      <c r="C60" s="38" t="n"/>
      <c r="D60" s="38" t="n"/>
      <c r="E60" s="38" t="n"/>
      <c r="F60" s="114" t="inlineStr">
        <is>
          <t>Sugar</t>
        </is>
      </c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38" t="n"/>
      <c r="AZ60" s="38" t="n"/>
      <c r="BA60" s="114" t="inlineStr">
        <is>
          <t>corpo_Destreza</t>
        </is>
      </c>
      <c r="BB60" s="114">
        <f>ADDRESS(ROW(FICHA!AM15),COLUMN(FICHA!AM15),4)</f>
        <v/>
      </c>
    </row>
    <row r="61" ht="17.25" customHeight="1">
      <c r="A61" s="38" t="n"/>
      <c r="B61" s="38" t="n"/>
      <c r="C61" s="38" t="n"/>
      <c r="D61" s="38" t="n"/>
      <c r="E61" s="38" t="n"/>
      <c r="F61" s="114" t="inlineStr">
        <is>
          <t>Isca</t>
        </is>
      </c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38" t="n"/>
      <c r="AZ61" s="38" t="n"/>
      <c r="BA61" s="114" t="inlineStr">
        <is>
          <t>corpo_Constituição</t>
        </is>
      </c>
      <c r="BB61" s="114">
        <f>ADDRESS(ROW(FICHA!AO15),COLUMN(FICHA!AO15),4)</f>
        <v/>
      </c>
    </row>
    <row r="62" ht="17.25" customHeight="1">
      <c r="A62" s="38" t="n"/>
      <c r="B62" s="38" t="n"/>
      <c r="C62" s="38" t="n"/>
      <c r="D62" s="38" t="n"/>
      <c r="E62" s="38" t="n"/>
      <c r="F62" s="114" t="inlineStr">
        <is>
          <t>Cobrança</t>
        </is>
      </c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8" t="n"/>
      <c r="AG62" s="38" t="n"/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38" t="n"/>
      <c r="AZ62" s="38" t="n"/>
      <c r="BA62" s="114" t="inlineStr">
        <is>
          <t>corpo_Inteligência</t>
        </is>
      </c>
      <c r="BB62" s="114">
        <f>ADDRESS(ROW(FICHA!AQ15),COLUMN(FICHA!AQ15),4)</f>
        <v/>
      </c>
    </row>
    <row r="63" ht="17.25" customHeight="1">
      <c r="A63" s="38" t="n"/>
      <c r="B63" s="38" t="n"/>
      <c r="C63" s="38" t="n"/>
      <c r="D63" s="38" t="n"/>
      <c r="E63" s="38" t="n"/>
      <c r="F63" s="114" t="inlineStr">
        <is>
          <t>Aviso</t>
        </is>
      </c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8" t="n"/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  <c r="BA63" s="114" t="inlineStr">
        <is>
          <t>corpo_Essência</t>
        </is>
      </c>
      <c r="BB63" s="114">
        <f>ADDRESS(ROW(FICHA!AS15),COLUMN(FICHA!AS15),4)</f>
        <v/>
      </c>
    </row>
    <row r="64" ht="17.25" customHeight="1">
      <c r="A64" s="38" t="n"/>
      <c r="B64" s="38" t="n"/>
      <c r="C64" s="38" t="n"/>
      <c r="D64" s="38" t="n"/>
      <c r="E64" s="38" t="n"/>
      <c r="F64" s="114" t="inlineStr">
        <is>
          <t>Limpa</t>
        </is>
      </c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38" t="n"/>
      <c r="AZ64" s="38" t="n"/>
      <c r="BA64" s="114" t="inlineStr">
        <is>
          <t>pontos de corpo</t>
        </is>
      </c>
      <c r="BB64" s="114">
        <f>ADDRESS(ROW(FICHA!AK14),COLUMN(FICHA!AK14),4)</f>
        <v/>
      </c>
    </row>
    <row r="65" ht="17.25" customHeight="1">
      <c r="A65" s="38" t="n"/>
      <c r="B65" s="38" t="n"/>
      <c r="C65" s="38" t="n"/>
      <c r="D65" s="38" t="n"/>
      <c r="E65" s="38" t="n"/>
      <c r="F65" s="114" t="inlineStr">
        <is>
          <t>Limpa Fundo</t>
        </is>
      </c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38" t="n"/>
      <c r="AZ65" s="38" t="n"/>
      <c r="BA65" s="114" t="inlineStr">
        <is>
          <t>pontos disponíveis</t>
        </is>
      </c>
      <c r="BB65" s="114">
        <f>ADDRESS(ROW(FICHA!Z15),COLUMN(FICHA!Z15),4)</f>
        <v/>
      </c>
    </row>
    <row r="66" ht="17.25" customHeight="1">
      <c r="A66" s="38" t="n"/>
      <c r="B66" s="38" t="n"/>
      <c r="C66" s="38" t="n"/>
      <c r="D66" s="38" t="n"/>
      <c r="E66" s="38" t="n"/>
      <c r="F66" s="114" t="inlineStr">
        <is>
          <t>Levanta</t>
        </is>
      </c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8" t="n"/>
      <c r="AG66" s="38" t="n"/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  <c r="BA66" s="114" t="inlineStr">
        <is>
          <t>perícias disponíveis</t>
        </is>
      </c>
      <c r="BB66" s="114">
        <f>ADDRESS(ROW(FICHA!AK73),COLUMN(FICHA!AK73),4)</f>
        <v/>
      </c>
    </row>
    <row r="67" ht="17.25" customHeight="1">
      <c r="A67" s="38" t="n"/>
      <c r="B67" s="38" t="n"/>
      <c r="C67" s="38" t="n"/>
      <c r="D67" s="38" t="n"/>
      <c r="E67" s="38" t="n"/>
      <c r="F67" s="114" t="inlineStr">
        <is>
          <t>Divide</t>
        </is>
      </c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8" t="n"/>
      <c r="AG67" s="38" t="n"/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38" t="n"/>
      <c r="AZ67" s="38" t="n"/>
      <c r="BA67" s="114" t="inlineStr">
        <is>
          <t>ofícios disponíveis</t>
        </is>
      </c>
      <c r="BB67" s="114">
        <f>ADDRESS(ROW(FICHA!AF85),COLUMN(FICHA!AF85),4)</f>
        <v/>
      </c>
    </row>
    <row r="68" ht="17.25" customHeight="1">
      <c r="A68" s="38" t="n"/>
      <c r="B68" s="38" t="n"/>
      <c r="C68" s="38" t="n"/>
      <c r="D68" s="38" t="n"/>
      <c r="E68" s="38" t="n"/>
      <c r="F68" s="114" t="inlineStr">
        <is>
          <t>Junto</t>
        </is>
      </c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38" t="n"/>
      <c r="AZ68" s="38" t="n"/>
      <c r="BA68" s="114" t="inlineStr">
        <is>
          <t>testes disponíveis</t>
        </is>
      </c>
      <c r="BB68" s="114">
        <f>ADDRESS(ROW(FICHA!AN85),COLUMN(FICHA!AN85),4)</f>
        <v/>
      </c>
    </row>
    <row r="69" ht="17.25" customHeight="1">
      <c r="A69" s="38" t="n"/>
      <c r="B69" s="38" t="n"/>
      <c r="C69" s="38" t="n"/>
      <c r="D69" s="38" t="n"/>
      <c r="E69" s="38" t="n"/>
      <c r="F69" s="114" t="inlineStr">
        <is>
          <t>Reserva</t>
        </is>
      </c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38" t="n"/>
      <c r="AZ69" s="38" t="n"/>
      <c r="BA69" s="114" t="inlineStr">
        <is>
          <t>escolhas de perícia</t>
        </is>
      </c>
      <c r="BB69" s="114">
        <f>ADDRESS(ROW(FICHA!AK76),COLUMN(FICHA!AK76),4)</f>
        <v/>
      </c>
    </row>
    <row r="70">
      <c r="A70" s="38" t="n"/>
      <c r="B70" s="38" t="n"/>
      <c r="C70" s="38" t="n"/>
      <c r="D70" s="38" t="n"/>
      <c r="E70" s="38" t="n"/>
      <c r="F70" s="38" t="inlineStr">
        <is>
          <t>Remenda</t>
        </is>
      </c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38" t="n"/>
      <c r="AZ70" s="38" t="n"/>
      <c r="BA70" s="114" t="inlineStr">
        <is>
          <t>feitiços disponíveis</t>
        </is>
      </c>
      <c r="BB70" s="114">
        <f>ADDRESS(ROW(FICHA!F122),COLUMN(FICHA!F122),4)</f>
        <v/>
      </c>
    </row>
    <row r="71">
      <c r="A71" s="38" t="n"/>
      <c r="B71" s="38" t="n"/>
      <c r="C71" s="38" t="n"/>
      <c r="D71" s="38" t="n"/>
      <c r="E71" s="38" t="n"/>
      <c r="F71" s="38" t="inlineStr">
        <is>
          <t>Condição</t>
        </is>
      </c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38" t="n"/>
      <c r="AZ71" s="38" t="n"/>
      <c r="BA71" s="114" t="inlineStr">
        <is>
          <t>passivas</t>
        </is>
      </c>
      <c r="BB71" s="114">
        <f>ADDRESS(ROW(FICHA!X137),COLUMN(FICHA!X137),4)</f>
        <v/>
      </c>
    </row>
    <row r="72">
      <c r="A72" s="38" t="n"/>
      <c r="B72" s="38" t="n"/>
      <c r="C72" s="38" t="n"/>
      <c r="D72" s="38" t="n"/>
      <c r="E72" s="38" t="n"/>
      <c r="F72" s="38" t="inlineStr">
        <is>
          <t>Efeito Próprio</t>
        </is>
      </c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38" t="n"/>
      <c r="AZ72" s="38" t="n"/>
      <c r="BA72" s="114" t="inlineStr">
        <is>
          <t>aptidão de graça 1</t>
        </is>
      </c>
      <c r="BB72" s="114">
        <f>ADDRESS(ROW(FICHA!V124),COLUMN(FICHA!V124),4)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38" t="n"/>
      <c r="AZ73" s="38" t="n"/>
      <c r="BA73" s="114" t="inlineStr">
        <is>
          <t>aptidão de graça 2</t>
        </is>
      </c>
      <c r="BB73" s="114">
        <f>ADDRESS(ROW(FICHA!V125),COLUMN(FICHA!V125),4)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38" t="n"/>
      <c r="AZ74" s="38" t="n"/>
      <c r="BA74" s="114" t="inlineStr">
        <is>
          <t>aptidões disponíveis</t>
        </is>
      </c>
      <c r="BB74" s="114">
        <f>ADDRESS(ROW(FICHA!V122),COLUMN(FICHA!V122),4)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38" t="n"/>
      <c r="AZ75" s="38" t="n"/>
      <c r="BA75" s="114" t="inlineStr">
        <is>
          <t>passivas do leque</t>
        </is>
      </c>
      <c r="BB75" s="114">
        <f>ADDRESS(ROW(FICHA!AF137),COLUMN(FICHA!AF137),4)</f>
        <v/>
      </c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  <c r="AV76" s="114" t="n"/>
      <c r="AW76" s="114" t="n"/>
      <c r="AX76" s="114" t="n"/>
      <c r="AY76" s="114" t="n"/>
      <c r="AZ76" s="114" t="n"/>
      <c r="BA76" s="114" t="inlineStr">
        <is>
          <t>treinado em armas</t>
        </is>
      </c>
      <c r="BB76" s="114">
        <f>ADDRESS(ROW(FICHA!AK63),COLUMN(FICHA!AK63),4)</f>
        <v/>
      </c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  <c r="AV77" s="114" t="n"/>
      <c r="AW77" s="114" t="n"/>
      <c r="AX77" s="114" t="n"/>
      <c r="AY77" s="114" t="n"/>
      <c r="AZ77" s="114" t="n"/>
      <c r="BA77" s="114" t="inlineStr">
        <is>
          <t>trocou por arma</t>
        </is>
      </c>
      <c r="BB77" s="114">
        <f>ADDRESS(ROW(FICHA!AK65),COLUMN(FICHA!AK65),4)</f>
        <v/>
      </c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  <c r="AV78" s="114" t="n"/>
      <c r="AW78" s="114" t="n"/>
      <c r="AX78" s="114" t="n"/>
      <c r="AY78" s="114" t="n"/>
      <c r="AZ78" s="114" t="n"/>
      <c r="BA78" s="114" t="inlineStr">
        <is>
          <t>grupo de arma da trilha</t>
        </is>
      </c>
      <c r="BB78" s="114">
        <f>ADDRESS(ROW(FICHA!AK69),COLUMN(FICHA!AK69),4)</f>
        <v/>
      </c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  <c r="AD79" s="114" t="n"/>
      <c r="AE79" s="114" t="n"/>
      <c r="AF79" s="114" t="n"/>
      <c r="AG79" s="114" t="n"/>
      <c r="AH79" s="114" t="n"/>
      <c r="AI79" s="114" t="n"/>
      <c r="AJ79" s="114" t="n"/>
      <c r="AK79" s="114" t="n"/>
      <c r="AL79" s="114" t="n"/>
      <c r="AM79" s="114" t="n"/>
      <c r="AN79" s="114" t="n"/>
      <c r="AO79" s="114" t="n"/>
      <c r="AP79" s="114" t="n"/>
      <c r="AQ79" s="114" t="n"/>
      <c r="AR79" s="114" t="n"/>
      <c r="AS79" s="114" t="n"/>
      <c r="AT79" s="114" t="n"/>
      <c r="AU79" s="114" t="n"/>
      <c r="AV79" s="114" t="n"/>
      <c r="AW79" s="114" t="n"/>
      <c r="AX79" s="114" t="n"/>
      <c r="AY79" s="114" t="n"/>
      <c r="AZ79" s="114" t="n"/>
      <c r="BA79" s="114" t="n"/>
      <c r="BB79" s="1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7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16" customHeight="1">
      <c r="A1" s="115" t="n"/>
      <c r="B1" s="129" t="inlineStr">
        <is>
          <t>O GLOSSÁRIO — o que cada coisa da ficha quer dizer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30" t="inlineStr">
        <is>
          <t>Capítulo 1 · 2 · 13</t>
        </is>
      </c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5" t="n"/>
      <c r="AH1" s="115" t="n"/>
    </row>
    <row r="2" ht="16" customHeight="1">
      <c r="A2" s="115" t="n"/>
      <c r="B2" s="18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20" t="n"/>
      <c r="AH2" s="115" t="n"/>
    </row>
    <row r="3">
      <c r="A3" s="115" t="n"/>
      <c r="AH3" s="115" t="n"/>
    </row>
    <row r="4">
      <c r="A4" s="115" t="n"/>
      <c r="B4" s="131" t="inlineStr">
        <is>
          <t>ATRIBUTOS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2" t="n"/>
      <c r="M4" s="132" t="inlineStr">
        <is>
          <t>O número é o modificador. Escala de 0 a 6, sem tabela de conversão.</t>
        </is>
      </c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 t="n"/>
      <c r="AH4" s="115" t="n"/>
    </row>
    <row r="5">
      <c r="A5" s="115" t="n"/>
      <c r="E5" s="133" t="inlineStr">
        <is>
          <t>ATRIBUTO</t>
        </is>
      </c>
      <c r="F5" s="11" t="n"/>
      <c r="G5" s="11" t="n"/>
      <c r="H5" s="11" t="n"/>
      <c r="I5" s="11" t="n"/>
      <c r="J5" s="12" t="n"/>
      <c r="K5" s="133" t="inlineStr">
        <is>
          <t>O QUE GOVERNA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 t="n"/>
      <c r="AH5" s="115" t="n"/>
    </row>
    <row r="6" ht="30" customHeight="1">
      <c r="A6" s="115" t="n"/>
      <c r="B6" s="90" t="n"/>
      <c r="C6" s="11" t="n"/>
      <c r="D6" s="12" t="n"/>
      <c r="E6" s="134" t="inlineStr">
        <is>
          <t>Força</t>
        </is>
      </c>
      <c r="F6" s="11" t="n"/>
      <c r="G6" s="11" t="n"/>
      <c r="H6" s="11" t="n"/>
      <c r="I6" s="11" t="n"/>
      <c r="J6" s="12" t="n"/>
      <c r="K6" s="135" t="inlineStr">
        <is>
          <t>Quanto o seu corpo aguenta e impõe, na base do músculo. Governa: ataque corpo a corpo, agarrar, quebrar, carregar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 t="n"/>
      <c r="AH6" s="115" t="n"/>
    </row>
    <row r="7" ht="30" customHeight="1">
      <c r="A7" s="115" t="n"/>
      <c r="B7" s="136" t="n"/>
      <c r="C7" s="11" t="n"/>
      <c r="D7" s="12" t="n"/>
      <c r="E7" s="137" t="inlineStr">
        <is>
          <t>Destreza</t>
        </is>
      </c>
      <c r="F7" s="11" t="n"/>
      <c r="G7" s="11" t="n"/>
      <c r="H7" s="11" t="n"/>
      <c r="I7" s="11" t="n"/>
      <c r="J7" s="12" t="n"/>
      <c r="K7" s="138" t="inlineStr">
        <is>
          <t>Sua velocidade e precisão — o corpo respondendo rápido, a mira certa. Governa: ataque à distância, Defesa, iniciativa, furtividade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 t="n"/>
      <c r="AH7" s="115" t="n"/>
    </row>
    <row r="8" ht="30" customHeight="1">
      <c r="A8" s="115" t="n"/>
      <c r="B8" s="90" t="n"/>
      <c r="C8" s="11" t="n"/>
      <c r="D8" s="12" t="n"/>
      <c r="E8" s="134" t="inlineStr">
        <is>
          <t>Constituição</t>
        </is>
      </c>
      <c r="F8" s="11" t="n"/>
      <c r="G8" s="11" t="n"/>
      <c r="H8" s="11" t="n"/>
      <c r="I8" s="11" t="n"/>
      <c r="J8" s="12" t="n"/>
      <c r="K8" s="135" t="inlineStr">
        <is>
          <t>Sua resistência bruta a dano e a desgaste. Governa: pontos de vida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2" t="n"/>
      <c r="AH8" s="115" t="n"/>
    </row>
    <row r="9" ht="30" customHeight="1">
      <c r="A9" s="115" t="n"/>
      <c r="B9" s="136" t="n"/>
      <c r="C9" s="11" t="n"/>
      <c r="D9" s="12" t="n"/>
      <c r="E9" s="137" t="inlineStr">
        <is>
          <t>Inteligência</t>
        </is>
      </c>
      <c r="F9" s="11" t="n"/>
      <c r="G9" s="11" t="n"/>
      <c r="H9" s="11" t="n"/>
      <c r="I9" s="11" t="n"/>
      <c r="J9" s="12" t="n"/>
      <c r="K9" s="138" t="inlineStr">
        <is>
          <t>O que você sabe e deduz — o raciocínio frio. Governa: conhecimento, investigação, reconhecer uma técnica pelo catálogo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2" t="n"/>
      <c r="AH9" s="115" t="n"/>
    </row>
    <row r="10" ht="30" customHeight="1">
      <c r="A10" s="115" t="n"/>
      <c r="B10" s="90" t="n"/>
      <c r="C10" s="11" t="n"/>
      <c r="D10" s="12" t="n"/>
      <c r="E10" s="134" t="inlineStr">
        <is>
          <t>Essência</t>
        </is>
      </c>
      <c r="F10" s="11" t="n"/>
      <c r="G10" s="11" t="n"/>
      <c r="H10" s="11" t="n"/>
      <c r="I10" s="11" t="n"/>
      <c r="J10" s="12" t="n"/>
      <c r="K10" s="135" t="inlineStr">
        <is>
          <t>Sua sensibilidade à energia amaldiçoada e às pessoas — o que você sente, não o que você calcula. Governa: perceber energia amaldiçoada, trato social, hierarquia, negociar Pactos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 t="n"/>
      <c r="AH10" s="115" t="n"/>
    </row>
    <row r="11">
      <c r="A11" s="115" t="n"/>
      <c r="AH11" s="115" t="n"/>
    </row>
    <row r="12">
      <c r="A12" s="115" t="n"/>
      <c r="B12" s="131" t="inlineStr">
        <is>
          <t>PERÍCIAS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2" t="n"/>
      <c r="M12" s="132" t="inlineStr">
        <is>
          <t>9 de 23 na criação — ou 10, trocando os dois ofícios da Origem.</t>
        </is>
      </c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2" t="n"/>
      <c r="AH12" s="115" t="n"/>
    </row>
    <row r="13">
      <c r="A13" s="115" t="n"/>
      <c r="B13" s="52" t="inlineStr">
        <is>
          <t>ATRIBUTO</t>
        </is>
      </c>
      <c r="C13" s="11" t="n"/>
      <c r="D13" s="12" t="n"/>
      <c r="E13" s="133" t="inlineStr">
        <is>
          <t>NOME</t>
        </is>
      </c>
      <c r="F13" s="11" t="n"/>
      <c r="G13" s="11" t="n"/>
      <c r="H13" s="11" t="n"/>
      <c r="I13" s="11" t="n"/>
      <c r="J13" s="12" t="n"/>
      <c r="K13" s="133" t="inlineStr">
        <is>
          <t>O QUE FAZ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2" t="n"/>
      <c r="AH13" s="115" t="n"/>
    </row>
    <row r="14" ht="30" customHeight="1">
      <c r="A14" s="115" t="n"/>
      <c r="B14" s="90" t="inlineStr">
        <is>
          <t>Acrobacia</t>
        </is>
      </c>
      <c r="C14" s="11" t="n"/>
      <c r="D14" s="12" t="n"/>
      <c r="E14" s="134" t="inlineStr">
        <is>
          <t>Destreza</t>
        </is>
      </c>
      <c r="F14" s="11" t="n"/>
      <c r="G14" s="11" t="n"/>
      <c r="H14" s="11" t="n"/>
      <c r="I14" s="11" t="n"/>
      <c r="J14" s="12" t="n"/>
      <c r="K14" s="135" t="inlineStr">
        <is>
          <t>Mede seu equilíbrio e o controle fino do próprio corpo em movimento. Exemplo: equilíbrio, cair sem se machucar, passar por espaço apertado.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 t="n"/>
      <c r="AH14" s="115" t="n"/>
    </row>
    <row r="15" ht="30" customHeight="1">
      <c r="A15" s="115" t="n"/>
      <c r="B15" s="136" t="inlineStr">
        <is>
          <t>Atletismo</t>
        </is>
      </c>
      <c r="C15" s="11" t="n"/>
      <c r="D15" s="12" t="n"/>
      <c r="E15" s="137" t="inlineStr">
        <is>
          <t>Força</t>
        </is>
      </c>
      <c r="F15" s="11" t="n"/>
      <c r="G15" s="11" t="n"/>
      <c r="H15" s="11" t="n"/>
      <c r="I15" s="11" t="n"/>
      <c r="J15" s="12" t="n"/>
      <c r="K15" s="138" t="inlineStr">
        <is>
          <t>Mede seu corpo em esforço físico direto. Exemplo: correr, escalar, nadar, saltar, carregar quem não anda.</t>
        </is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 t="n"/>
      <c r="AH15" s="115" t="n"/>
    </row>
    <row r="16" ht="30" customHeight="1">
      <c r="A16" s="115" t="n"/>
      <c r="B16" s="90" t="inlineStr">
        <is>
          <t>Atuação</t>
        </is>
      </c>
      <c r="C16" s="11" t="n"/>
      <c r="D16" s="12" t="n"/>
      <c r="E16" s="134" t="inlineStr">
        <is>
          <t>Essência</t>
        </is>
      </c>
      <c r="F16" s="11" t="n"/>
      <c r="G16" s="11" t="n"/>
      <c r="H16" s="11" t="n"/>
      <c r="I16" s="11" t="n"/>
      <c r="J16" s="12" t="n"/>
      <c r="K16" s="135" t="inlineStr">
        <is>
          <t>Mede sua capacidade de performar ou sustentar um papel diante de alguém. Exemplo: representar, cantar, tocar para uma plateia.</t>
        </is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2" t="n"/>
      <c r="AH16" s="115" t="n"/>
    </row>
    <row r="17" ht="30" customHeight="1">
      <c r="A17" s="115" t="n"/>
      <c r="B17" s="136" t="inlineStr">
        <is>
          <t>Enganação</t>
        </is>
      </c>
      <c r="C17" s="11" t="n"/>
      <c r="D17" s="12" t="n"/>
      <c r="E17" s="137" t="inlineStr">
        <is>
          <t>Essência</t>
        </is>
      </c>
      <c r="F17" s="11" t="n"/>
      <c r="G17" s="11" t="n"/>
      <c r="H17" s="11" t="n"/>
      <c r="I17" s="11" t="n"/>
      <c r="J17" s="12" t="n"/>
      <c r="K17" s="138" t="inlineStr">
        <is>
          <t>Mede sua capacidade de mentir de um jeito convincente. Exemplo: mentir, blefar, se passar por outro.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 t="n"/>
      <c r="AH17" s="115" t="n"/>
    </row>
    <row r="18" ht="30" customHeight="1">
      <c r="A18" s="115" t="n"/>
      <c r="B18" s="90" t="inlineStr">
        <is>
          <t>Furtividade</t>
        </is>
      </c>
      <c r="C18" s="11" t="n"/>
      <c r="D18" s="12" t="n"/>
      <c r="E18" s="134" t="inlineStr">
        <is>
          <t>Destreza</t>
        </is>
      </c>
      <c r="F18" s="11" t="n"/>
      <c r="G18" s="11" t="n"/>
      <c r="H18" s="11" t="n"/>
      <c r="I18" s="11" t="n"/>
      <c r="J18" s="12" t="n"/>
      <c r="K18" s="135" t="inlineStr">
        <is>
          <t>Mede sua capacidade de passar despercebido. Exemplo: mover-se sem ser visto nem ouvido.</t>
        </is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 t="n"/>
      <c r="AH18" s="115" t="n"/>
    </row>
    <row r="19" ht="30" customHeight="1">
      <c r="A19" s="115" t="n"/>
      <c r="B19" s="136" t="inlineStr">
        <is>
          <t>Hierarquia</t>
        </is>
      </c>
      <c r="C19" s="11" t="n"/>
      <c r="D19" s="12" t="n"/>
      <c r="E19" s="137" t="inlineStr">
        <is>
          <t>Inteligência</t>
        </is>
      </c>
      <c r="F19" s="11" t="n"/>
      <c r="G19" s="11" t="n"/>
      <c r="H19" s="11" t="n"/>
      <c r="I19" s="11" t="n"/>
      <c r="J19" s="12" t="n"/>
      <c r="K19" s="138" t="inlineStr">
        <is>
          <t>Mede seu conhecimento da política entre clãs e feiticeiros — quem manda em quem. Exemplo: os clãs, a política, quem manda em quem. Diz o que você pode pedir, a quem, e o que vai custar.</t>
        </is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2" t="n"/>
      <c r="AH19" s="115" t="n"/>
    </row>
    <row r="20" ht="30" customHeight="1">
      <c r="A20" s="115" t="n"/>
      <c r="B20" s="90" t="inlineStr">
        <is>
          <t>História</t>
        </is>
      </c>
      <c r="C20" s="11" t="n"/>
      <c r="D20" s="12" t="n"/>
      <c r="E20" s="134" t="inlineStr">
        <is>
          <t>Inteligência</t>
        </is>
      </c>
      <c r="F20" s="11" t="n"/>
      <c r="G20" s="11" t="n"/>
      <c r="H20" s="11" t="n"/>
      <c r="I20" s="11" t="n"/>
      <c r="J20" s="12" t="n"/>
      <c r="K20" s="135" t="inlineStr">
        <is>
          <t>Mede sua memória do que já aconteceu e de quem estava lá. Exemplo: o que aconteceu e quem estava lá, no mundo comum e no registro das famílias.</t>
        </is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2" t="n"/>
      <c r="AH20" s="115" t="n"/>
    </row>
    <row r="21" ht="30" customHeight="1">
      <c r="A21" s="115" t="n"/>
      <c r="B21" s="136" t="inlineStr">
        <is>
          <t>Intimidação</t>
        </is>
      </c>
      <c r="C21" s="11" t="n"/>
      <c r="D21" s="12" t="n"/>
      <c r="E21" s="137" t="inlineStr">
        <is>
          <t>Essência</t>
        </is>
      </c>
      <c r="F21" s="11" t="n"/>
      <c r="G21" s="11" t="n"/>
      <c r="H21" s="11" t="n"/>
      <c r="I21" s="11" t="n"/>
      <c r="J21" s="12" t="n"/>
      <c r="K21" s="138" t="inlineStr">
        <is>
          <t>Mede sua capacidade de fazer alguém recuar pela ameaça ou pela presença. Exemplo: ameaçar, dominar pela presença, fazer alguém recuar.</t>
        </is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 t="n"/>
      <c r="AH21" s="115" t="n"/>
    </row>
    <row r="22" ht="30" customHeight="1">
      <c r="A22" s="115" t="n"/>
      <c r="B22" s="90" t="inlineStr">
        <is>
          <t>Intuição</t>
        </is>
      </c>
      <c r="C22" s="11" t="n"/>
      <c r="D22" s="12" t="n"/>
      <c r="E22" s="134" t="inlineStr">
        <is>
          <t>Inteligência</t>
        </is>
      </c>
      <c r="F22" s="11" t="n"/>
      <c r="G22" s="11" t="n"/>
      <c r="H22" s="11" t="n"/>
      <c r="I22" s="11" t="n"/>
      <c r="J22" s="12" t="n"/>
      <c r="K22" s="135" t="inlineStr">
        <is>
          <t>Mede sua leitura racional do comportamento alheio — dedução sobre gente. Exemplo: ler a pessoa pelo que ela faz: a inconsistência, o detalhe que não fecha, a motivação atrás do pedido. Perceber que alguém está nervoso é Percepção.</t>
        </is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 t="n"/>
      <c r="AH22" s="115" t="n"/>
    </row>
    <row r="23" ht="30" customHeight="1">
      <c r="A23" s="115" t="n"/>
      <c r="B23" s="136" t="inlineStr">
        <is>
          <t>Investigação</t>
        </is>
      </c>
      <c r="C23" s="11" t="n"/>
      <c r="D23" s="12" t="n"/>
      <c r="E23" s="137" t="inlineStr">
        <is>
          <t>Inteligência</t>
        </is>
      </c>
      <c r="F23" s="11" t="n"/>
      <c r="G23" s="11" t="n"/>
      <c r="H23" s="11" t="n"/>
      <c r="I23" s="11" t="n"/>
      <c r="J23" s="12" t="n"/>
      <c r="K23" s="138" t="inlineStr">
        <is>
          <t>Mede sua capacidade de vasculhar um lugar e ligar pistas soltas. Exemplo: vasculhar, deduzir, ligar duas pistas que ninguém tinha ligado.</t>
        </is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2" t="n"/>
      <c r="AH23" s="115" t="n"/>
    </row>
    <row r="24" ht="30" customHeight="1">
      <c r="A24" s="115" t="n"/>
      <c r="B24" s="90" t="inlineStr">
        <is>
          <t>Lidar com Animais</t>
        </is>
      </c>
      <c r="C24" s="11" t="n"/>
      <c r="D24" s="12" t="n"/>
      <c r="E24" s="134" t="inlineStr">
        <is>
          <t>Inteligência</t>
        </is>
      </c>
      <c r="F24" s="11" t="n"/>
      <c r="G24" s="11" t="n"/>
      <c r="H24" s="11" t="n"/>
      <c r="I24" s="11" t="n"/>
      <c r="J24" s="12" t="n"/>
      <c r="K24" s="135" t="inlineStr">
        <is>
          <t>Mede sua capacidade de acalmar, montar ou conduzir um animal. Exemplo: acalmar, montar, conduzir, mandar num bicho. Vale para invocação que ainda não te obedece direito.</t>
        </is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 t="n"/>
      <c r="AH24" s="115" t="n"/>
    </row>
    <row r="25" ht="30" customHeight="1">
      <c r="A25" s="115" t="n"/>
      <c r="B25" s="136" t="inlineStr">
        <is>
          <t>Medicina</t>
        </is>
      </c>
      <c r="C25" s="11" t="n"/>
      <c r="D25" s="12" t="n"/>
      <c r="E25" s="137" t="inlineStr">
        <is>
          <t>Inteligência</t>
        </is>
      </c>
      <c r="F25" s="11" t="n"/>
      <c r="G25" s="11" t="n"/>
      <c r="H25" s="11" t="n"/>
      <c r="I25" s="11" t="n"/>
      <c r="J25" s="12" t="n"/>
      <c r="K25" s="138" t="inlineStr">
        <is>
          <t>Mede seu conhecimento teórico de ferimento, veneno e doença. Exemplo: ferimento, veneno, doença, corpo. É o saber; a prática de campo é o ofício Herbalismo .</t>
        </is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2" t="n"/>
      <c r="AH25" s="115" t="n"/>
    </row>
    <row r="26" ht="30" customHeight="1">
      <c r="A26" s="115" t="n"/>
      <c r="B26" s="90" t="inlineStr">
        <is>
          <t>Natureza</t>
        </is>
      </c>
      <c r="C26" s="11" t="n"/>
      <c r="D26" s="12" t="n"/>
      <c r="E26" s="134" t="inlineStr">
        <is>
          <t>Inteligência</t>
        </is>
      </c>
      <c r="F26" s="11" t="n"/>
      <c r="G26" s="11" t="n"/>
      <c r="H26" s="11" t="n"/>
      <c r="I26" s="11" t="n"/>
      <c r="J26" s="12" t="n"/>
      <c r="K26" s="135" t="inlineStr">
        <is>
          <t>Mede seu conhecimento do mundo natural — planta, bicho, clima, terreno. Exemplo: planta, bicho, clima, terreno. O que é venenoso, qual vale enche, quando a chuva vem.</t>
        </is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2" t="n"/>
      <c r="AH26" s="115" t="n"/>
    </row>
    <row r="27" ht="30" customHeight="1">
      <c r="A27" s="115" t="n"/>
      <c r="B27" s="136" t="inlineStr">
        <is>
          <t>Ocultismo</t>
        </is>
      </c>
      <c r="C27" s="11" t="n"/>
      <c r="D27" s="12" t="n"/>
      <c r="E27" s="137" t="inlineStr">
        <is>
          <t>Inteligência</t>
        </is>
      </c>
      <c r="F27" s="11" t="n"/>
      <c r="G27" s="11" t="n"/>
      <c r="H27" s="11" t="n"/>
      <c r="I27" s="11" t="n"/>
      <c r="J27" s="12" t="n"/>
      <c r="K27" s="138" t="inlineStr">
        <is>
          <t>Mede seu conhecimento técnico de maldições e do funcionamento da energia amaldiçoada. Exemplo: maldições, técnicas conhecidas, barreiras, o funcionamento da energia amaldiçoada. O nome da coisa, o grau dela, e o que costuma matá-la.</t>
        </is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2" t="n"/>
      <c r="AH27" s="115" t="n"/>
    </row>
    <row r="28" ht="30" customHeight="1">
      <c r="A28" s="115" t="n"/>
      <c r="B28" s="90" t="inlineStr">
        <is>
          <t>Percepção</t>
        </is>
      </c>
      <c r="C28" s="11" t="n"/>
      <c r="D28" s="12" t="n"/>
      <c r="E28" s="134" t="inlineStr">
        <is>
          <t>Essência</t>
        </is>
      </c>
      <c r="F28" s="11" t="n"/>
      <c r="G28" s="11" t="n"/>
      <c r="H28" s="11" t="n"/>
      <c r="I28" s="11" t="n"/>
      <c r="J28" s="12" t="n"/>
      <c r="K28" s="135" t="inlineStr">
        <is>
          <t>Mede sua atenção ao que os cinco sentidos comuns captam — o lado mundano. Exemplo: notar o mundano: som, cheiro, movimento, a coisa fora do lugar, a pessoa suando frio.</t>
        </is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2" t="n"/>
      <c r="AH28" s="115" t="n"/>
    </row>
    <row r="29" ht="30" customHeight="1">
      <c r="A29" s="115" t="n"/>
      <c r="B29" s="136" t="inlineStr">
        <is>
          <t>Persuasão</t>
        </is>
      </c>
      <c r="C29" s="11" t="n"/>
      <c r="D29" s="12" t="n"/>
      <c r="E29" s="137" t="inlineStr">
        <is>
          <t>Essência</t>
        </is>
      </c>
      <c r="F29" s="11" t="n"/>
      <c r="G29" s="11" t="n"/>
      <c r="H29" s="11" t="n"/>
      <c r="I29" s="11" t="n"/>
      <c r="J29" s="12" t="n"/>
      <c r="K29" s="138" t="inlineStr">
        <is>
          <t>Mede sua capacidade de convencer alguém a fazer o que você quer porque quer. Exemplo: convencer, negociar, conseguir que façam o que você quer porque querem.</t>
        </is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2" t="n"/>
      <c r="AH29" s="115" t="n"/>
    </row>
    <row r="30" ht="30" customHeight="1">
      <c r="A30" s="115" t="n"/>
      <c r="B30" s="90" t="inlineStr">
        <is>
          <t>Pontaria</t>
        </is>
      </c>
      <c r="C30" s="11" t="n"/>
      <c r="D30" s="12" t="n"/>
      <c r="E30" s="134" t="inlineStr">
        <is>
          <t>Destreza</t>
        </is>
      </c>
      <c r="F30" s="11" t="n"/>
      <c r="G30" s="11" t="n"/>
      <c r="H30" s="11" t="n"/>
      <c r="I30" s="11" t="n"/>
      <c r="J30" s="12" t="n"/>
      <c r="K30" s="135" t="inlineStr">
        <is>
          <t>Mede sua precisão ao mirar num alvo específico, fora de uma rolagem de ataque. Exemplo: acertar o que é pequeno, o que está longe ou o que se mexe, fora de uma rolagem de ataque.</t>
        </is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2" t="n"/>
      <c r="AH30" s="115" t="n"/>
    </row>
    <row r="31" ht="30" customHeight="1">
      <c r="A31" s="115" t="n"/>
      <c r="B31" s="136" t="inlineStr">
        <is>
          <t>Prestidigitação</t>
        </is>
      </c>
      <c r="C31" s="11" t="n"/>
      <c r="D31" s="12" t="n"/>
      <c r="E31" s="137" t="inlineStr">
        <is>
          <t>Destreza</t>
        </is>
      </c>
      <c r="F31" s="11" t="n"/>
      <c r="G31" s="11" t="n"/>
      <c r="H31" s="11" t="n"/>
      <c r="I31" s="11" t="n"/>
      <c r="J31" s="12" t="n"/>
      <c r="K31" s="138" t="inlineStr">
        <is>
          <t>Mede a destreza manual fina — mão rápida, gesto discreto. Exemplo: mão rápida: esconder um objeto, tirar do bolso alheio, trocar uma coisa por outra.</t>
        </is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2" t="n"/>
      <c r="AH31" s="115" t="n"/>
    </row>
    <row r="32" ht="30" customHeight="1">
      <c r="A32" s="115" t="n"/>
      <c r="B32" s="90" t="inlineStr">
        <is>
          <t>Provocar</t>
        </is>
      </c>
      <c r="C32" s="11" t="n"/>
      <c r="D32" s="12" t="n"/>
      <c r="E32" s="134" t="inlineStr">
        <is>
          <t>Essência</t>
        </is>
      </c>
      <c r="F32" s="11" t="n"/>
      <c r="G32" s="11" t="n"/>
      <c r="H32" s="11" t="n"/>
      <c r="I32" s="11" t="n"/>
      <c r="J32" s="12" t="n"/>
      <c r="K32" s="135" t="inlineStr">
        <is>
          <t>Mede sua capacidade de tirar alguém do sério e puxá-lo pra cima de você — o oposto de Intimidação. Exemplo: tirar alguém do sério, forçar a vir para cima de você. É o oposto de Intimidação: uma faz recuar, a outra faz avançar.</t>
        </is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2" t="n"/>
      <c r="AH32" s="115" t="n"/>
    </row>
    <row r="33" ht="30" customHeight="1">
      <c r="A33" s="115" t="n"/>
      <c r="B33" s="136" t="inlineStr">
        <is>
          <t>Religião</t>
        </is>
      </c>
      <c r="C33" s="11" t="n"/>
      <c r="D33" s="12" t="n"/>
      <c r="E33" s="137" t="inlineStr">
        <is>
          <t>Inteligência</t>
        </is>
      </c>
      <c r="F33" s="11" t="n"/>
      <c r="G33" s="11" t="n"/>
      <c r="H33" s="11" t="n"/>
      <c r="I33" s="11" t="n"/>
      <c r="J33" s="12" t="n"/>
      <c r="K33" s="138" t="inlineStr">
        <is>
          <t>Mede seu conhecimento do lado sagrado e ritual do jujutsu. Exemplo: xintoísmo, budismo, exorcismo, templo, ritual, o que os selos querem dizer. O lugar antigo, e o rito que precisa ser feito na ordem certa.</t>
        </is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2" t="n"/>
      <c r="AH33" s="115" t="n"/>
    </row>
    <row r="34" ht="30" customHeight="1">
      <c r="A34" s="115" t="n"/>
      <c r="B34" s="90" t="inlineStr">
        <is>
          <t>Sentir Energia</t>
        </is>
      </c>
      <c r="C34" s="11" t="n"/>
      <c r="D34" s="12" t="n"/>
      <c r="E34" s="134" t="inlineStr">
        <is>
          <t>Essência</t>
        </is>
      </c>
      <c r="F34" s="11" t="n"/>
      <c r="G34" s="11" t="n"/>
      <c r="H34" s="11" t="n"/>
      <c r="I34" s="11" t="n"/>
      <c r="J34" s="12" t="n"/>
      <c r="K34" s="135" t="inlineStr">
        <is>
          <t>Mede sua sensibilidade direta à energia amaldiçoada. Exemplo: perceber energia amaldiçoada: o feiticeiro escondido, o tamanho de uma maldição, quem está prestes a conjurar.</t>
        </is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2" t="n"/>
      <c r="AH34" s="115" t="n"/>
    </row>
    <row r="35" ht="30" customHeight="1">
      <c r="A35" s="115" t="n"/>
      <c r="B35" s="136" t="inlineStr">
        <is>
          <t>Sobrevivência</t>
        </is>
      </c>
      <c r="C35" s="11" t="n"/>
      <c r="D35" s="12" t="n"/>
      <c r="E35" s="137" t="inlineStr">
        <is>
          <t>Inteligência</t>
        </is>
      </c>
      <c r="F35" s="11" t="n"/>
      <c r="G35" s="11" t="n"/>
      <c r="H35" s="11" t="n"/>
      <c r="I35" s="11" t="n"/>
      <c r="J35" s="12" t="n"/>
      <c r="K35" s="138" t="inlineStr">
        <is>
          <t>Mede sua capacidade de aguentar e se orientar num ambiente hostil. Exemplo: aguentar o ambiente, achar água e abrigo, se orientar, e seguir um rastro, seja pegada ou resíduo de energia.</t>
        </is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2" t="n"/>
      <c r="AH35" s="115" t="n"/>
    </row>
    <row r="36" ht="30" customHeight="1">
      <c r="A36" s="115" t="n"/>
      <c r="B36" s="90" t="inlineStr">
        <is>
          <t>Tecnologia</t>
        </is>
      </c>
      <c r="C36" s="11" t="n"/>
      <c r="D36" s="12" t="n"/>
      <c r="E36" s="134" t="inlineStr">
        <is>
          <t>Inteligência</t>
        </is>
      </c>
      <c r="F36" s="11" t="n"/>
      <c r="G36" s="11" t="n"/>
      <c r="H36" s="11" t="n"/>
      <c r="I36" s="11" t="n"/>
      <c r="J36" s="12" t="n"/>
      <c r="K36" s="135" t="inlineStr">
        <is>
          <t>Mede seu domínio de equipamento e sistema moderno. Exemplo: computador, câmera, rede, equipamento moderno.</t>
        </is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2" t="n"/>
      <c r="AH36" s="115" t="n"/>
    </row>
    <row r="37">
      <c r="A37" s="115" t="n"/>
      <c r="AH37" s="115" t="n"/>
    </row>
    <row r="38">
      <c r="A38" s="115" t="n"/>
      <c r="B38" s="131" t="inlineStr">
        <is>
          <t>OFÍCIOS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2" t="n"/>
      <c r="M38" s="132" t="inlineStr">
        <is>
          <t>2 de 11 na criação. O atributo é do mestre, na hora — não é fixo.</t>
        </is>
      </c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2" t="n"/>
      <c r="AH38" s="115" t="n"/>
    </row>
    <row r="39">
      <c r="A39" s="115" t="n"/>
      <c r="E39" s="133" t="inlineStr">
        <is>
          <t>NOME</t>
        </is>
      </c>
      <c r="F39" s="11" t="n"/>
      <c r="G39" s="11" t="n"/>
      <c r="H39" s="11" t="n"/>
      <c r="I39" s="11" t="n"/>
      <c r="J39" s="12" t="n"/>
      <c r="K39" s="133" t="inlineStr">
        <is>
          <t>O QUE FAZ</t>
        </is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2" t="n"/>
      <c r="AH39" s="115" t="n"/>
    </row>
    <row r="40" ht="30" customHeight="1">
      <c r="A40" s="115" t="n"/>
      <c r="B40" s="90" t="n"/>
      <c r="C40" s="11" t="n"/>
      <c r="D40" s="12" t="n"/>
      <c r="E40" s="134" t="inlineStr">
        <is>
          <t>Alfaiate</t>
        </is>
      </c>
      <c r="F40" s="11" t="n"/>
      <c r="G40" s="11" t="n"/>
      <c r="H40" s="11" t="n"/>
      <c r="I40" s="11" t="n"/>
      <c r="J40" s="12" t="n"/>
      <c r="K40" s="135" t="inlineStr">
        <is>
          <t>Mede sua capacidade de cortar, costurar e remendar tecido. Exemplo: tecido, corte, remendo. O uniforme que aguenta energia amaldiçoada sai daqui, e o traje sob medida também.</t>
        </is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2" t="n"/>
      <c r="AH40" s="115" t="n"/>
    </row>
    <row r="41" ht="30" customHeight="1">
      <c r="A41" s="115" t="n"/>
      <c r="B41" s="136" t="n"/>
      <c r="C41" s="11" t="n"/>
      <c r="D41" s="12" t="n"/>
      <c r="E41" s="137" t="inlineStr">
        <is>
          <t>Arrombamento</t>
        </is>
      </c>
      <c r="F41" s="11" t="n"/>
      <c r="G41" s="11" t="n"/>
      <c r="H41" s="11" t="n"/>
      <c r="I41" s="11" t="n"/>
      <c r="J41" s="12" t="n"/>
      <c r="K41" s="138" t="inlineStr">
        <is>
          <t>Mede sua capacidade de vencer uma trava sem ter a chave. Exemplo: tranca, alarme, cofre, janela que não devia abrir.</t>
        </is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2" t="n"/>
      <c r="AH41" s="115" t="n"/>
    </row>
    <row r="42" ht="30" customHeight="1">
      <c r="A42" s="115" t="n"/>
      <c r="B42" s="90" t="n"/>
      <c r="C42" s="11" t="n"/>
      <c r="D42" s="12" t="n"/>
      <c r="E42" s="134" t="inlineStr">
        <is>
          <t>Burocracia</t>
        </is>
      </c>
      <c r="F42" s="11" t="n"/>
      <c r="G42" s="11" t="n"/>
      <c r="H42" s="11" t="n"/>
      <c r="I42" s="11" t="n"/>
      <c r="J42" s="12" t="n"/>
      <c r="K42" s="135" t="inlineStr">
        <is>
          <t>Mede seu domínio da máquina administrativa jujutsu por dentro. Exemplo: a máquina jujutsu por dentro: relatório, requisição, quem assina o quê, como se pede uma janela e como se encobre o que não devia ter sido visto.</t>
        </is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2" t="n"/>
      <c r="AH42" s="115" t="n"/>
    </row>
    <row r="43" ht="30" customHeight="1">
      <c r="A43" s="115" t="n"/>
      <c r="B43" s="136" t="n"/>
      <c r="C43" s="11" t="n"/>
      <c r="D43" s="12" t="n"/>
      <c r="E43" s="137" t="inlineStr">
        <is>
          <t>Caligrafia</t>
        </is>
      </c>
      <c r="F43" s="11" t="n"/>
      <c r="G43" s="11" t="n"/>
      <c r="H43" s="11" t="n"/>
      <c r="I43" s="11" t="n"/>
      <c r="J43" s="12" t="n"/>
      <c r="K43" s="138" t="inlineStr">
        <is>
          <t>Mede sua capacidade de produzir documento escrito, oficial ou falsificado. Exemplo: talismã, papel de barreira, documento oficial. E documento oficial que não é oficial.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2" t="n"/>
      <c r="AH43" s="115" t="n"/>
    </row>
    <row r="44" ht="30" customHeight="1">
      <c r="A44" s="115" t="n"/>
      <c r="B44" s="90" t="n"/>
      <c r="C44" s="11" t="n"/>
      <c r="D44" s="12" t="n"/>
      <c r="E44" s="134" t="inlineStr">
        <is>
          <t>Condução</t>
        </is>
      </c>
      <c r="F44" s="11" t="n"/>
      <c r="G44" s="11" t="n"/>
      <c r="H44" s="11" t="n"/>
      <c r="I44" s="11" t="n"/>
      <c r="J44" s="12" t="n"/>
      <c r="K44" s="135" t="inlineStr">
        <is>
          <t>Mede sua capacidade de operar um veículo. Exemplo: carro, moto, van, o que estiver na garagem.</t>
        </is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2" t="n"/>
      <c r="AH44" s="115" t="n"/>
    </row>
    <row r="45" ht="30" customHeight="1">
      <c r="A45" s="115" t="n"/>
      <c r="B45" s="136" t="n"/>
      <c r="C45" s="11" t="n"/>
      <c r="D45" s="12" t="n"/>
      <c r="E45" s="137" t="inlineStr">
        <is>
          <t>Culinária</t>
        </is>
      </c>
      <c r="F45" s="11" t="n"/>
      <c r="G45" s="11" t="n"/>
      <c r="H45" s="11" t="n"/>
      <c r="I45" s="11" t="n"/>
      <c r="J45" s="12" t="n"/>
      <c r="K45" s="138" t="inlineStr">
        <is>
          <t>Mede sua capacidade de cozinhar de verdade. Exemplo: cozinhar de verdade, para gente ou para o que aceitar comida.</t>
        </is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2" t="n"/>
      <c r="AH45" s="115" t="n"/>
    </row>
    <row r="46" ht="30" customHeight="1">
      <c r="A46" s="115" t="n"/>
      <c r="B46" s="90" t="n"/>
      <c r="C46" s="11" t="n"/>
      <c r="D46" s="12" t="n"/>
      <c r="E46" s="134" t="inlineStr">
        <is>
          <t>Entalhador</t>
        </is>
      </c>
      <c r="F46" s="11" t="n"/>
      <c r="G46" s="11" t="n"/>
      <c r="H46" s="11" t="n"/>
      <c r="I46" s="11" t="n"/>
      <c r="J46" s="12" t="n"/>
      <c r="K46" s="135" t="inlineStr">
        <is>
          <t>Mede sua capacidade de moldar madeira, pedra ou osso. Exemplo: madeira, pedra, osso. Fazer o corpo que vai receber alguma coisa.</t>
        </is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2" t="n"/>
      <c r="AH46" s="115" t="n"/>
    </row>
    <row r="47" ht="30" customHeight="1">
      <c r="A47" s="115" t="n"/>
      <c r="B47" s="136" t="n"/>
      <c r="C47" s="11" t="n"/>
      <c r="D47" s="12" t="n"/>
      <c r="E47" s="137" t="inlineStr">
        <is>
          <t>Forja</t>
        </is>
      </c>
      <c r="F47" s="11" t="n"/>
      <c r="G47" s="11" t="n"/>
      <c r="H47" s="11" t="n"/>
      <c r="I47" s="11" t="n"/>
      <c r="J47" s="12" t="n"/>
      <c r="K47" s="138" t="inlineStr">
        <is>
          <t>Mede sua capacidade de fabricar, afiar e manter arma e ferramenta. Exemplo: fazer, afiar e manter arma, e cuidar de ferramenta amaldiçoada sem estragar o que tem dentro.</t>
        </is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2" t="n"/>
      <c r="AH47" s="115" t="n"/>
    </row>
    <row r="48" ht="30" customHeight="1">
      <c r="A48" s="115" t="n"/>
      <c r="B48" s="90" t="n"/>
      <c r="C48" s="11" t="n"/>
      <c r="D48" s="12" t="n"/>
      <c r="E48" s="134" t="inlineStr">
        <is>
          <t>Herbalismo</t>
        </is>
      </c>
      <c r="F48" s="11" t="n"/>
      <c r="G48" s="11" t="n"/>
      <c r="H48" s="11" t="n"/>
      <c r="I48" s="11" t="n"/>
      <c r="J48" s="12" t="n"/>
      <c r="K48" s="135" t="inlineStr">
        <is>
          <t>Mede seu conhecimento prático de planta, aplicado a cura e a veneno. Exemplo: planta que cura, planta que mata, chá, unguento, e o que dá para fazer no mato quando não tem hospital.</t>
        </is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2" t="n"/>
      <c r="AH48" s="115" t="n"/>
    </row>
    <row r="49" ht="30" customHeight="1">
      <c r="A49" s="115" t="n"/>
      <c r="B49" s="136" t="n"/>
      <c r="C49" s="11" t="n"/>
      <c r="D49" s="12" t="n"/>
      <c r="E49" s="137" t="inlineStr">
        <is>
          <t>Instrumento</t>
        </is>
      </c>
      <c r="F49" s="11" t="n"/>
      <c r="G49" s="11" t="n"/>
      <c r="H49" s="11" t="n"/>
      <c r="I49" s="11" t="n"/>
      <c r="J49" s="12" t="n"/>
      <c r="K49" s="138" t="inlineStr">
        <is>
          <t>Mede sua capacidade de tocar um instrumento musical. Exemplo: um instrumento, escolhido no treino.</t>
        </is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2" t="n"/>
      <c r="AH49" s="115" t="n"/>
    </row>
    <row r="50" ht="30" customHeight="1">
      <c r="A50" s="115" t="n"/>
      <c r="B50" s="90" t="n"/>
      <c r="C50" s="11" t="n"/>
      <c r="D50" s="12" t="n"/>
      <c r="E50" s="134" t="inlineStr">
        <is>
          <t>Jogatina</t>
        </is>
      </c>
      <c r="F50" s="11" t="n"/>
      <c r="G50" s="11" t="n"/>
      <c r="H50" s="11" t="n"/>
      <c r="I50" s="11" t="n"/>
      <c r="J50" s="12" t="n"/>
      <c r="K50" s="135" t="inlineStr">
        <is>
          <t>Mede sua capacidade de jogar um jogo de aposta e ler quem está na mesa. Exemplo: carta, dado, aposta, e ler a mesa enquanto joga.</t>
        </is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2" t="n"/>
      <c r="AH50" s="115" t="n"/>
    </row>
    <row r="51">
      <c r="A51" s="115" t="n"/>
      <c r="AH51" s="115" t="n"/>
    </row>
    <row r="52">
      <c r="A52" s="115" t="n"/>
      <c r="B52" s="131" t="inlineStr">
        <is>
          <t>CONCEITOS</t>
        </is>
      </c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2" t="n"/>
      <c r="AH52" s="115" t="n"/>
    </row>
    <row r="53">
      <c r="A53" s="115" t="n"/>
      <c r="E53" s="133" t="inlineStr">
        <is>
          <t>TERMO</t>
        </is>
      </c>
      <c r="F53" s="11" t="n"/>
      <c r="G53" s="11" t="n"/>
      <c r="H53" s="11" t="n"/>
      <c r="I53" s="11" t="n"/>
      <c r="J53" s="12" t="n"/>
      <c r="K53" s="133" t="inlineStr">
        <is>
          <t>O QUE SIGNIFICA</t>
        </is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2" t="n"/>
      <c r="AH53" s="115" t="n"/>
    </row>
    <row r="54" ht="30" customHeight="1">
      <c r="A54" s="115" t="n"/>
      <c r="B54" s="90" t="n"/>
      <c r="C54" s="11" t="n"/>
      <c r="D54" s="12" t="n"/>
      <c r="E54" s="134" t="inlineStr">
        <is>
          <t>Treino</t>
        </is>
      </c>
      <c r="F54" s="11" t="n"/>
      <c r="G54" s="11" t="n"/>
      <c r="H54" s="11" t="n"/>
      <c r="I54" s="11" t="n"/>
      <c r="J54" s="12" t="n"/>
      <c r="K54" s="135" t="inlineStr">
        <is>
          <t>Ter a perícia ou o ofício marcado na ficha. O mestre põe uma CD; com Destreza 3 e maestria 1, uma Furtividade treinada rola d20 + 4, sem treino d20 + 3 (capítulo 2).</t>
        </is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2" t="n"/>
      <c r="AH54" s="115" t="n"/>
    </row>
    <row r="55" ht="30" customHeight="1">
      <c r="A55" s="115" t="n"/>
      <c r="B55" s="136" t="n"/>
      <c r="C55" s="11" t="n"/>
      <c r="D55" s="12" t="n"/>
      <c r="E55" s="137" t="inlineStr">
        <is>
          <t>Maestria</t>
        </is>
      </c>
      <c r="F55" s="11" t="n"/>
      <c r="G55" s="11" t="n"/>
      <c r="H55" s="11" t="n"/>
      <c r="I55" s="11" t="n"/>
      <c r="J55" s="12" t="n"/>
      <c r="K55" s="138" t="inlineStr">
        <is>
          <t>O bônus que mede o tempo de estrada do personagem: começa em 1 e sobe um ponto a cada oito níveis. Entra em toda rolagem de ataque, na CD dos seus feitiços, e no que você treinou (capítulo 1).</t>
        </is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2" t="n"/>
      <c r="AH55" s="115" t="n"/>
    </row>
    <row r="56" ht="30" customHeight="1">
      <c r="A56" s="115" t="n"/>
      <c r="B56" s="90" t="n"/>
      <c r="C56" s="11" t="n"/>
      <c r="D56" s="12" t="n"/>
      <c r="E56" s="134" t="inlineStr">
        <is>
          <t>Refino</t>
        </is>
      </c>
      <c r="F56" s="11" t="n"/>
      <c r="G56" s="11" t="n"/>
      <c r="H56" s="11" t="n"/>
      <c r="I56" s="11" t="n"/>
      <c r="J56" s="12" t="n"/>
      <c r="K56" s="135" t="inlineStr">
        <is>
          <t>O eixo de controle da ficha: é o refino que compra as suas Aptidões. Poder é quanto você tem — Refino é quanto você não desperdiça (capítulo 13).</t>
        </is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2" t="n"/>
      <c r="AH56" s="115" t="n"/>
    </row>
    <row r="57">
      <c r="A57" s="115" t="n"/>
      <c r="AH57" s="115" t="n"/>
    </row>
  </sheetData>
  <mergeCells count="144">
    <mergeCell ref="B42:D42"/>
    <mergeCell ref="E19:J19"/>
    <mergeCell ref="K13:AG13"/>
    <mergeCell ref="E28:J28"/>
    <mergeCell ref="E9:J9"/>
    <mergeCell ref="B44:D44"/>
    <mergeCell ref="K15:AG15"/>
    <mergeCell ref="E30:J30"/>
    <mergeCell ref="B34:D34"/>
    <mergeCell ref="B28:D28"/>
    <mergeCell ref="B12:L12"/>
    <mergeCell ref="E46:J46"/>
    <mergeCell ref="K21:AG21"/>
    <mergeCell ref="B30:D30"/>
    <mergeCell ref="B6:D6"/>
    <mergeCell ref="K32:AG32"/>
    <mergeCell ref="B20:D20"/>
    <mergeCell ref="K41:AG41"/>
    <mergeCell ref="K50:AG50"/>
    <mergeCell ref="E32:J32"/>
    <mergeCell ref="B38:L38"/>
    <mergeCell ref="K56:AG56"/>
    <mergeCell ref="K43:AG43"/>
    <mergeCell ref="E47:J47"/>
    <mergeCell ref="B54:D54"/>
    <mergeCell ref="K27:AG27"/>
    <mergeCell ref="E24:J24"/>
    <mergeCell ref="K17:AG17"/>
    <mergeCell ref="B1:V2"/>
    <mergeCell ref="B56:D56"/>
    <mergeCell ref="E8:J8"/>
    <mergeCell ref="B43:D43"/>
    <mergeCell ref="K10:AG10"/>
    <mergeCell ref="K19:AG19"/>
    <mergeCell ref="K28:AG28"/>
    <mergeCell ref="K6:AG6"/>
    <mergeCell ref="E10:J10"/>
    <mergeCell ref="B8:D8"/>
    <mergeCell ref="B17:D17"/>
    <mergeCell ref="K25:AG25"/>
    <mergeCell ref="E34:J34"/>
    <mergeCell ref="K30:AG30"/>
    <mergeCell ref="K9:AG9"/>
    <mergeCell ref="K5:AG5"/>
    <mergeCell ref="B10:D10"/>
    <mergeCell ref="B19:D19"/>
    <mergeCell ref="K45:AG45"/>
    <mergeCell ref="E49:J49"/>
    <mergeCell ref="K54:AG54"/>
    <mergeCell ref="E36:J36"/>
    <mergeCell ref="M12:AG12"/>
    <mergeCell ref="E45:J45"/>
    <mergeCell ref="K55:AG55"/>
    <mergeCell ref="K29:AG29"/>
    <mergeCell ref="B9:D9"/>
    <mergeCell ref="K47:AG47"/>
    <mergeCell ref="K31:AG31"/>
    <mergeCell ref="B36:D36"/>
    <mergeCell ref="K46:AG46"/>
    <mergeCell ref="K40:AG40"/>
    <mergeCell ref="B45:D45"/>
    <mergeCell ref="E22:J22"/>
    <mergeCell ref="M38:AG38"/>
    <mergeCell ref="K8:AG8"/>
    <mergeCell ref="E21:J21"/>
    <mergeCell ref="B47:D47"/>
    <mergeCell ref="K23:AG23"/>
    <mergeCell ref="B31:D31"/>
    <mergeCell ref="B46:D46"/>
    <mergeCell ref="E14:J14"/>
    <mergeCell ref="E48:J48"/>
    <mergeCell ref="E23:J23"/>
    <mergeCell ref="B21:D21"/>
    <mergeCell ref="B48:D48"/>
    <mergeCell ref="B14:D14"/>
    <mergeCell ref="K18:AG18"/>
    <mergeCell ref="B23:D23"/>
    <mergeCell ref="E40:J40"/>
    <mergeCell ref="B13:D13"/>
    <mergeCell ref="K34:AG34"/>
    <mergeCell ref="K16:AG16"/>
    <mergeCell ref="K36:AG36"/>
    <mergeCell ref="B52:L52"/>
    <mergeCell ref="E27:J27"/>
    <mergeCell ref="B49:D49"/>
    <mergeCell ref="K20:AG20"/>
    <mergeCell ref="E25:J25"/>
    <mergeCell ref="K44:AG44"/>
    <mergeCell ref="K22:AG22"/>
    <mergeCell ref="B41:D41"/>
    <mergeCell ref="B35:D35"/>
    <mergeCell ref="B50:D50"/>
    <mergeCell ref="E18:J18"/>
    <mergeCell ref="E53:J53"/>
    <mergeCell ref="E50:J50"/>
    <mergeCell ref="B25:D25"/>
    <mergeCell ref="M4:AG4"/>
    <mergeCell ref="E55:J55"/>
    <mergeCell ref="K14:AG14"/>
    <mergeCell ref="B22:D22"/>
    <mergeCell ref="K48:AG48"/>
    <mergeCell ref="E5:J5"/>
    <mergeCell ref="E39:J39"/>
    <mergeCell ref="W1:AG2"/>
    <mergeCell ref="K7:AG7"/>
    <mergeCell ref="E20:J20"/>
    <mergeCell ref="E29:J29"/>
    <mergeCell ref="B4:L4"/>
    <mergeCell ref="E13:J13"/>
    <mergeCell ref="K49:AG49"/>
    <mergeCell ref="E31:J31"/>
    <mergeCell ref="K24:AG24"/>
    <mergeCell ref="B29:D29"/>
    <mergeCell ref="E6:J6"/>
    <mergeCell ref="K33:AG33"/>
    <mergeCell ref="E15:J15"/>
    <mergeCell ref="K26:AG26"/>
    <mergeCell ref="K35:AG35"/>
    <mergeCell ref="B40:D40"/>
    <mergeCell ref="E26:J26"/>
    <mergeCell ref="B15:D15"/>
    <mergeCell ref="B55:D55"/>
    <mergeCell ref="B24:D24"/>
    <mergeCell ref="E54:J54"/>
    <mergeCell ref="E7:J7"/>
    <mergeCell ref="B33:D33"/>
    <mergeCell ref="E41:J41"/>
    <mergeCell ref="E16:J16"/>
    <mergeCell ref="B32:D32"/>
    <mergeCell ref="B26:D26"/>
    <mergeCell ref="E56:J56"/>
    <mergeCell ref="E43:J43"/>
    <mergeCell ref="B7:D7"/>
    <mergeCell ref="B16:D16"/>
    <mergeCell ref="K42:AG42"/>
    <mergeCell ref="E33:J33"/>
    <mergeCell ref="E42:J42"/>
    <mergeCell ref="K39:AG39"/>
    <mergeCell ref="E17:J17"/>
    <mergeCell ref="B18:D18"/>
    <mergeCell ref="B27:D27"/>
    <mergeCell ref="K53:AG53"/>
    <mergeCell ref="E35:J35"/>
    <mergeCell ref="E44:J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2026-10-01T18:57:10Z</dcterms:created>
  <dcterms:modified xmlns:dcterms="http://purl.org/dc/terms/" xmlns:xsi="http://www.w3.org/2001/XMLSchema-instance" xsi:type="dcterms:W3CDTF">2026-10-01T18:57:13Z</dcterms:modified>
</cp:coreProperties>
</file>
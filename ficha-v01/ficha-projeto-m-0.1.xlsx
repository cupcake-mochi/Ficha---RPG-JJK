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s>
  <definedNames/>
  <calcPr calcId="124519" fullCalcOnLoad="1"/>
</workbook>
</file>

<file path=xl/styles.xml><?xml version="1.0" encoding="utf-8"?>
<styleSheet xmlns="http://schemas.openxmlformats.org/spreadsheetml/2006/main">
  <numFmts count="4">
    <numFmt numFmtId="164" formatCode="&quot;Classe &quot;0"/>
    <numFmt numFmtId="165" formatCode="0&quot; pt&quot;"/>
    <numFmt numFmtId="166" formatCode="&quot;B/D &quot;+0;&quot;B/D &quot;-0;&quot;B/D &quot;0"/>
    <numFmt numFmtId="167" formatCode="&quot;¥ &quot;#,##0"/>
  </numFmts>
  <fonts count="48">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E8DCD4"/>
      <sz val="10"/>
    </font>
    <font>
      <name val="Roboto"/>
      <color rgb="FF998BA9"/>
      <sz val="8"/>
    </font>
    <font>
      <name val="Roboto"/>
      <color rgb="FFE8DCD4"/>
      <sz val="9"/>
    </font>
    <font>
      <name val="Oswald"/>
      <color rgb="FFE8DCD4"/>
      <sz val="14"/>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66">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3" fillId="5" borderId="6" applyAlignment="1" pivotButton="0" quotePrefix="0" xfId="0">
      <alignment horizontal="center" vertical="center" wrapText="1"/>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17" fillId="5" borderId="6" applyAlignment="1" pivotButton="0" quotePrefix="0" xfId="0">
      <alignment horizontal="center" vertical="center"/>
    </xf>
    <xf numFmtId="0" fontId="41" fillId="5" borderId="6" applyAlignment="1" pivotButton="0" quotePrefix="0" xfId="0">
      <alignment horizontal="left" vertical="top" wrapText="1"/>
    </xf>
    <xf numFmtId="0" fontId="42" fillId="2" borderId="6" applyAlignment="1" pivotButton="0" quotePrefix="0" xfId="0">
      <alignment horizontal="center" vertical="center"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31" fillId="5" borderId="6" applyAlignment="1" pivotButton="0" quotePrefix="0" xfId="0">
      <alignment horizontal="center" vertical="center"/>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40" fillId="2" borderId="6" applyAlignment="1" pivotButton="0" quotePrefix="0" xfId="0">
      <alignment horizontal="left" vertical="top" wrapText="1"/>
    </xf>
    <xf numFmtId="0" fontId="23" fillId="7" borderId="6" applyAlignment="1" pivotButton="0" quotePrefix="0" xfId="0">
      <alignment horizontal="center" vertical="center"/>
    </xf>
    <xf numFmtId="0" fontId="43"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0" fontId="44" fillId="7" borderId="6" applyAlignment="1" pivotButton="0" quotePrefix="0" xfId="0">
      <alignment horizontal="left" vertical="center"/>
    </xf>
    <xf numFmtId="0" fontId="41" fillId="5" borderId="6" applyAlignment="1" pivotButton="0" quotePrefix="0" xfId="0">
      <alignment horizontal="center" vertical="center"/>
    </xf>
    <xf numFmtId="0" fontId="0" fillId="0" borderId="25" pivotButton="0" quotePrefix="0" xfId="0"/>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3" fillId="4" borderId="6" applyAlignment="1" pivotButton="0" quotePrefix="0" xfId="0">
      <alignment horizontal="center" vertical="center"/>
    </xf>
    <xf numFmtId="0" fontId="5" fillId="5" borderId="6" applyAlignment="1" pivotButton="0" quotePrefix="0" xfId="0">
      <alignment horizontal="center" vertical="center"/>
    </xf>
    <xf numFmtId="0" fontId="41" fillId="5" borderId="6" applyAlignment="1" pivotButton="0" quotePrefix="0" xfId="0">
      <alignment horizontal="left" vertical="center"/>
    </xf>
    <xf numFmtId="0" fontId="0" fillId="0" borderId="24" pivotButton="0" quotePrefix="0" xfId="0"/>
    <xf numFmtId="0" fontId="45" fillId="2" borderId="6" applyAlignment="1" pivotButton="0" quotePrefix="0" xfId="0">
      <alignment horizontal="left" vertical="center" wrapText="1"/>
    </xf>
    <xf numFmtId="0" fontId="37" fillId="2" borderId="6" applyAlignment="1" pivotButton="0" quotePrefix="0" xfId="0">
      <alignment horizontal="left" vertical="center"/>
    </xf>
    <xf numFmtId="0" fontId="41" fillId="7" borderId="6" applyAlignment="1" pivotButton="0" quotePrefix="0" xfId="0">
      <alignment horizontal="left" vertical="center"/>
    </xf>
    <xf numFmtId="0" fontId="5" fillId="5" borderId="6" applyAlignment="1" pivotButton="0" quotePrefix="0" xfId="0">
      <alignment horizontal="left" vertical="center" wrapText="1"/>
    </xf>
    <xf numFmtId="0" fontId="45"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4"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1" fillId="5" borderId="6" applyAlignment="1" pivotButton="0" quotePrefix="0" xfId="0">
      <alignment horizontal="center" vertical="center"/>
    </xf>
    <xf numFmtId="0" fontId="43" fillId="5" borderId="6" applyAlignment="1" pivotButton="0" quotePrefix="0" xfId="0">
      <alignment horizontal="left"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5"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5" fillId="4" borderId="6"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 Pacto permanente que concede um espaço conhecido soma aqui.</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Cada invocação da aba INVOCAÇÕES com nome e aquisição Espaço conhecido ocupa um espaço, mesmo recolhida. Domada, criada ou de lista de ritual não ocupa.</t>
      </text>
    </comment>
    <comment ref="S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peças, incluindo a Forma: o que passar do que foi gasto some.</t>
      </text>
    </comment>
    <comment ref="J64" authorId="0" shapeId="0">
      <text>
        <t>Até duas. Restrição paga peças, incluindo a Forma: o que passar do que foi gasto some.</t>
      </text>
    </comment>
    <comment ref="P64" authorId="0" shapeId="0">
      <text>
        <t>Até duas. Restrição paga peças, incluindo a Forma: o que passar do que foi gasto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mas ela não devolve o dado que a Melhoria tirou nem cria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peças, incluindo a Forma: o que passar do que foi gasto some.</t>
      </text>
    </comment>
    <comment ref="J332" authorId="0" shapeId="0">
      <text>
        <t>Até duas. Restrição paga peças, incluindo a Forma: o que passar do que foi gasto some.</t>
      </text>
    </comment>
    <comment ref="P332" authorId="0" shapeId="0">
      <text>
        <t>Até duas. Restrição paga peças, incluindo a Forma: o que passar do que foi gasto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Redução de Dano de 1,5 × refino num golpe. Você fica sem proteção até o fim do seu próximo turno.</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na campanha inteira. Temporário, Promessa e de restrição não têm teto.</t>
      </text>
    </comment>
    <comment ref="P518" authorId="0" shapeId="0">
      <text>
        <t>Só o pacto permanente concede. Um espaço conhecido soma no Orçamento.</t>
      </text>
    </comment>
  </commentList>
</comments>
</file>

<file path=xl/comments/comment3.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domada e criada ficam no nível em que foram obtidas.</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Ela volta com metade da vida máxima.</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O corpo amaldiçoado não autônomo não tem alma: é imune ao dano de Alma e não tem Integridade. O autônomo, com alma, precisa constar da definição.</t>
      </text>
    </comment>
    <comment ref="V17" authorId="0" shapeId="0">
      <text>
        <t>Nasce cheia e acompanha a máxima até você escrever aqui. Cada ponto de dano de Alma tira 1 de vida e 1 de Integridade. A zero ela cai, como a zero de vida, e volta com pelo menos 1.</t>
      </text>
    </comment>
    <comment ref="W17" authorId="0" shapeId="0">
      <text>
        <t>Metade da vida máxima, para baixo, com mínimo 1: a regra das criaturas que não são personagens.</t>
      </text>
    </comment>
    <comment ref="X17" authorId="0" shapeId="0">
      <text>
        <t>Pelo que falta da Integridade: um quarto, desvantagem em perícias; metade, deslocamento pela metade e +1 PE por Classe nas especiais; três quartos, desvantagem em ataques e TRs e a Classe das especiais pela metade; toda, ela cai.</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Domada e criada ficam no nível em que foram obtidas: escreva ele ao lado.</t>
      </text>
    </comment>
    <comment ref="K46" authorId="0" shapeId="0">
      <text>
        <t>Só para a domada e a criada: o nível em que ela foi obtida, até o seu.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Três Famílias abertas, uma delas Livre. As Trilhas do Evocador abrem mais uma (Parceria e Múltiplas Invocações) ou duas, com uma segunda Livre (a principal da Invocação Principal). As outras ficam Fechadas e somem dos menus.</t>
      </text>
    </comment>
    <comment ref="I51"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peças: o que passar do que foi gasto some. Na básica cabe uma Restrição Leve, que não devolve nada.</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peças: o que passar do que foi gasto some. Na básica cabe uma Restrição Leve, que não devolve nada.</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t>
      </text>
    </comment>
  </commentList>
</comments>
</file>

<file path=xl/comments/comment4.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I18" authorId="0" shapeId="0">
      <text>
        <t>Depois da segunda queda na mesma missão, registre com o mestre se ficou uma cicatriz e como ela é. Não dá modificador, e a cura não a apaga.</t>
      </text>
    </comment>
    <comment ref="Q22" authorId="0" shapeId="0">
      <text>
        <t>Uma relação, uma lembrança, uma ambição ou um problema ainda aberto, numa frase. É uma das escolhas da Origem, e não dá bônus.</t>
      </text>
    </comment>
    <comment ref="D40" authorId="0" shapeId="0">
      <text>
        <t>Você escolhe dois na criação, da lista da sua Origem ou escritos com o mestre; pelo menos um é narrativo. Escreva o nome aqui e o que ele faz na caixa de baixo, com a frequência de uso. A FICHA mostra os dois.</t>
      </text>
    </comment>
    <comment ref="Q40" authorId="0" shapeId="0">
      <text>
        <t>Narrativo: uma pessoa, informação, relação ou acesso. De rolagem: vantagem, repetição ou mudança de um teste. De exceção: dispensa uma exigência ou impede um efeito, com uma contrapartida.</t>
      </text>
    </comment>
    <comment ref="Y40" authorId="0" shapeId="0">
      <text>
        <t>Você escolhe dois na criação, da lista da sua Origem ou escritos com o mestre; pelo menos um é narrativo. Escreva o nome aqui e o que ele faz na caixa de baixo, com a frequência de uso. A FICHA mostra os dois.</t>
      </text>
    </comment>
    <comment ref="AM40" authorId="0" shapeId="0">
      <text>
        <t>Narrativo: uma pessoa, informação, relação ou acesso. De rolagem: vantagem, repetição ou mudança de um teste. De exceção: dispensa uma exigência ou impede um efeito, com uma contrapartida.</t>
      </text>
    </comment>
    <comment ref="AH48" authorId="0" shapeId="0">
      <text>
        <t>O menu só lista o que o seu Grau libera. O que você veste aqui e o escudo da mão secundária vão sozinhos para o EQUIPAMENTO da FICHA.</t>
      </text>
    </comment>
    <comment ref="D49"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9"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52" authorId="0" shapeId="0">
      <text>
        <t>O escudo ocupa a mão. Se o seu Selo é um gesto, com ele na mão a sua técnica não sai.</t>
      </text>
    </comment>
    <comment ref="D54"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70" authorId="0" shapeId="0">
      <text>
        <t>O limite é 5 + Força, em Volume, mais o Buff/Debuff ao lado. Cada item leve vale 0,1. Arrastar, empurrar ou levantar é o dobro.</t>
      </text>
    </comment>
    <comment ref="L70" authorId="0" shapeId="0">
      <text>
        <t>Soma no limite de carga o que a conta do livro não cobre, como uma habilidade. Número negativo reduz.</t>
      </text>
    </comment>
    <comment ref="O70" authorId="0" shapeId="0">
      <text>
        <t>Digite quanto você tem. A ficha nova começa com a mensalidade do Grau 4, que é o fundo da criação.</t>
      </text>
    </comment>
    <comment ref="W70" authorId="0" shapeId="0">
      <text>
        <t>Sai do Grau, pela tabela Salário por patente do livro.</t>
      </text>
    </comment>
    <comment ref="AF70" authorId="0" shapeId="0">
      <text>
        <t>Olha a arma de cada mão, o escudo e o uniforme. Quando algo pede mais Força do que você tem, a nota da caixa de baixo diz o que falta e o que isso custa.</t>
      </text>
    </comment>
    <comment ref="AN70" authorId="0" shapeId="0">
      <text>
        <t>Todo Traje carrega uma situação, escolhida na criação, junto com um tipo de Teste de Resistência e tantas perícias quanto a sua maestria. Quando a cena estiver nessa condição, você tem vantagem só nesses. Vantagem não empilha: duas fontes valem uma.</t>
      </text>
    </comment>
    <comment ref="D74" authorId="0" shapeId="0">
      <text>
        <t>As duas últimas linhas são livres: digite a linha inteira, para o que não está na lista.</t>
      </text>
    </comment>
    <comment ref="AW74" authorId="0" shapeId="0">
      <text>
        <t>A curva do livro, fixa. Para subir é o que custa sair daquele nível. Acumulado é o XP total em que você chega nele. A seta marca o seu nível.</t>
      </text>
    </comment>
    <comment ref="K76" authorId="0" shapeId="0">
      <text>
        <t>Em branco vale 1.</t>
      </text>
    </comment>
    <comment ref="AG76" authorId="0" shapeId="0">
      <text>
        <t>Quantidade vezes o Volume de um. O item leve vale 0,1. A carga soma esta coluna.</t>
      </text>
    </comment>
    <comment ref="AI76" authorId="0" shapeId="0">
      <text>
        <t>O grau da ferramenta amaldiçoada: a energia que a peça carrega. Arma comum fica em —. Não é a sua patente.</t>
      </text>
    </comment>
    <comment ref="AK76" authorId="0" shapeId="0">
      <text>
        <t>O Estigma da ferramenta amaldiçoada, se ela tiver um. É digitado, porque pode ser criado.</t>
      </text>
    </comment>
    <comment ref="AQ76" authorId="0" shapeId="0">
      <text>
        <t>Só para ferramenta com Desgaste. Anote quantas missões restam: cada missão em que você usar o Estigma gasta uma.</t>
      </text>
    </comment>
    <comment ref="D83" authorId="0" shapeId="0">
      <text>
        <t>Linha livre: digite o nome e as outras colunas à mão. Serve para o que não está no menu das linhas de cima. Na coluna Vol., digite o Volume da linha inteira.</t>
      </text>
    </comment>
    <comment ref="D84" authorId="0" shapeId="0">
      <text>
        <t>Linha livre: digite o nome e as outras colunas à mão. Serve para o que não está no menu das linhas de cima. Na coluna Vol., digite o Volume da linha inteira.</t>
      </text>
    </comment>
    <comment ref="T88" authorId="0" shapeId="0">
      <text>
        <t>Em branco vale 1.</t>
      </text>
    </comment>
    <comment ref="V88" authorId="0" shapeId="0">
      <text>
        <t>Quantidade vezes 0,1, que é o item leve. Se o mestre pesar o item de outro jeito, digite o Volume da linha por cima; apagar a caixa traz a conta de volta.</t>
      </text>
    </comment>
    <comment ref="AP88" authorId="0" shapeId="0">
      <text>
        <t>Em branco vale 1.</t>
      </text>
    </comment>
    <comment ref="AR88"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95</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U401"/>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3" t="inlineStr">
        <is>
          <t>呪術</t>
        </is>
      </c>
      <c r="H2" s="44" t="inlineStr">
        <is>
          <t>FICHA DE REGISTRO</t>
        </is>
      </c>
      <c r="AA2" s="8" t="n"/>
      <c r="AB2" s="45">
        <f>IF(OR(CARTEIRA!$O$9="",CARTEIRA!$O$9="Coloque o nome do personagem aqui"),"",CARTEIRA!$O$9)</f>
        <v/>
      </c>
      <c r="AU2" s="8" t="n"/>
    </row>
    <row r="3">
      <c r="A3" s="8" t="n"/>
      <c r="B3" s="8" t="n"/>
      <c r="C3" s="8" t="n"/>
      <c r="AA3" s="8" t="n"/>
      <c r="AU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row>
    <row r="10">
      <c r="B10" s="22" t="n"/>
      <c r="C10" s="41" t="n"/>
      <c r="D10" s="55" t="inlineStr">
        <is>
          <t>CAMINHO</t>
        </is>
      </c>
      <c r="E10" s="16" t="n"/>
      <c r="F10" s="16" t="n"/>
      <c r="G10" s="16" t="n"/>
      <c r="H10" s="16" t="n"/>
      <c r="I10" s="16" t="n"/>
      <c r="J10" s="16" t="n"/>
      <c r="K10" s="16" t="n"/>
      <c r="L10" s="17" t="n"/>
      <c r="M10" s="56" t="n"/>
      <c r="N10" s="57" t="inlineStr">
        <is>
          <t>TRILHA</t>
        </is>
      </c>
      <c r="O10" s="24" t="n"/>
      <c r="P10" s="24" t="n"/>
      <c r="Q10" s="24" t="n"/>
      <c r="R10" s="24" t="n"/>
      <c r="S10" s="24" t="n"/>
      <c r="T10" s="24" t="n"/>
      <c r="U10" s="24" t="n"/>
      <c r="V10" s="25" t="n"/>
      <c r="W10" s="56" t="n"/>
      <c r="X10" s="55" t="inlineStr">
        <is>
          <t>ORIGEM</t>
        </is>
      </c>
      <c r="Y10" s="16" t="n"/>
      <c r="Z10" s="16" t="n"/>
      <c r="AA10" s="16" t="n"/>
      <c r="AB10" s="16" t="n"/>
      <c r="AC10" s="16" t="n"/>
      <c r="AD10" s="16" t="n"/>
      <c r="AE10" s="16" t="n"/>
      <c r="AF10" s="17" t="n"/>
      <c r="AG10" s="56" t="n"/>
      <c r="AH10" s="57" t="inlineStr">
        <is>
          <t>NÍVEL</t>
        </is>
      </c>
      <c r="AI10" s="24" t="n"/>
      <c r="AJ10" s="24" t="n"/>
      <c r="AK10" s="24" t="n"/>
      <c r="AL10" s="25" t="n"/>
      <c r="AM10" s="58" t="n"/>
      <c r="AN10" s="59" t="inlineStr">
        <is>
          <t>XP</t>
        </is>
      </c>
      <c r="AO10" s="24" t="n"/>
      <c r="AP10" s="24" t="n"/>
      <c r="AQ10" s="24" t="n"/>
      <c r="AR10" s="24" t="n"/>
      <c r="AS10" s="24" t="n"/>
      <c r="AT10" s="25" t="n"/>
    </row>
    <row r="11" ht="24.75" customHeight="1">
      <c r="B11" s="22" t="n"/>
      <c r="C11" s="41" t="n"/>
      <c r="D11" s="60" t="inlineStr">
        <is>
          <t>Escolha seu Caminho</t>
        </is>
      </c>
      <c r="E11" s="19" t="n"/>
      <c r="F11" s="19" t="n"/>
      <c r="G11" s="19" t="n"/>
      <c r="H11" s="19" t="n"/>
      <c r="I11" s="19" t="n"/>
      <c r="J11" s="19" t="n"/>
      <c r="K11" s="19" t="n"/>
      <c r="L11" s="20" t="n"/>
      <c r="M11" s="58" t="n"/>
      <c r="N11" s="61" t="inlineStr">
        <is>
          <t>Escolha sua Trilha</t>
        </is>
      </c>
      <c r="O11" s="19" t="n"/>
      <c r="P11" s="19" t="n"/>
      <c r="Q11" s="19" t="n"/>
      <c r="R11" s="19" t="n"/>
      <c r="S11" s="19" t="n"/>
      <c r="T11" s="19" t="n"/>
      <c r="U11" s="19" t="n"/>
      <c r="V11" s="20" t="n"/>
      <c r="W11" s="58" t="n"/>
      <c r="X11" s="61" t="inlineStr">
        <is>
          <t>Latente</t>
        </is>
      </c>
      <c r="Y11" s="19" t="n"/>
      <c r="Z11" s="19" t="n"/>
      <c r="AA11" s="19" t="n"/>
      <c r="AB11" s="19" t="n"/>
      <c r="AC11" s="19" t="n"/>
      <c r="AD11" s="19" t="n"/>
      <c r="AE11" s="19" t="n"/>
      <c r="AF11" s="20" t="n"/>
      <c r="AG11" s="58" t="n"/>
      <c r="AH11" s="62" t="n">
        <v>2</v>
      </c>
      <c r="AI11" s="19" t="n"/>
      <c r="AJ11" s="19" t="n"/>
      <c r="AK11" s="19" t="n"/>
      <c r="AL11" s="20" t="n"/>
      <c r="AM11" s="58" t="n"/>
      <c r="AN11" s="63">
        <f>DADOS!$CZ$47</f>
        <v/>
      </c>
      <c r="AO11" s="19" t="n"/>
      <c r="AP11" s="19" t="n"/>
      <c r="AQ11" s="19" t="n"/>
      <c r="AR11" s="19" t="n"/>
      <c r="AS11" s="19" t="n"/>
      <c r="AT11" s="20" t="n"/>
    </row>
    <row r="12">
      <c r="B12" s="22" t="n"/>
      <c r="C12" s="41" t="n"/>
      <c r="D12" s="52" t="n"/>
      <c r="E12" s="52" t="n"/>
      <c r="F12" s="52" t="n"/>
      <c r="G12" s="52" t="n"/>
      <c r="H12" s="52" t="n"/>
      <c r="I12" s="52" t="n"/>
      <c r="J12" s="52" t="n"/>
      <c r="K12" s="52" t="n"/>
      <c r="L12" s="52" t="n"/>
      <c r="M12" s="51" t="n"/>
      <c r="N12" s="52" t="n"/>
      <c r="O12" s="52" t="n"/>
      <c r="P12" s="52" t="n"/>
      <c r="Q12" s="52" t="n"/>
      <c r="R12" s="64"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5" t="inlineStr">
        <is>
          <t>Pontos Disponíveis</t>
        </is>
      </c>
      <c r="AA14" s="16" t="n"/>
      <c r="AB14" s="16" t="n"/>
      <c r="AC14" s="16" t="n"/>
      <c r="AD14" s="16" t="n"/>
      <c r="AE14" s="16" t="n"/>
      <c r="AF14" s="16" t="n"/>
      <c r="AG14" s="16" t="n"/>
      <c r="AH14" s="16" t="n"/>
      <c r="AI14" s="17" t="n"/>
      <c r="AJ14" s="51" t="n"/>
      <c r="AK14" s="65">
        <f>"Pontos de Marco de Corpo Disponíveis - "&amp;IF(DADOS!$AK$11&gt;DADOS!$AK$10,DADOS!$AK$11-DADOS!$AK$10&amp;" a mais",DADOS!$AK$10-DADOS!$AK$11&amp;" de "&amp;DADOS!$AK$10)</f>
        <v/>
      </c>
      <c r="AL14" s="16" t="n"/>
      <c r="AM14" s="16" t="n"/>
      <c r="AN14" s="16" t="n"/>
      <c r="AO14" s="16" t="n"/>
      <c r="AP14" s="16" t="n"/>
      <c r="AQ14" s="16" t="n"/>
      <c r="AR14" s="16" t="n"/>
      <c r="AS14" s="16" t="n"/>
      <c r="AT14" s="17" t="n"/>
    </row>
    <row r="15" ht="27" customHeight="1">
      <c r="B15" s="22" t="n"/>
      <c r="C15" s="41" t="n"/>
      <c r="D15" s="66"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67" t="n"/>
      <c r="Z15" s="68">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68" t="n">
        <v>0</v>
      </c>
      <c r="AL15" s="17" t="n"/>
      <c r="AM15" s="68" t="n">
        <v>0</v>
      </c>
      <c r="AN15" s="17" t="n"/>
      <c r="AO15" s="68" t="n">
        <v>0</v>
      </c>
      <c r="AP15" s="17" t="n"/>
      <c r="AQ15" s="68" t="n">
        <v>0</v>
      </c>
      <c r="AR15" s="17" t="n"/>
      <c r="AS15" s="68" t="n">
        <v>0</v>
      </c>
      <c r="AT15" s="17"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69" t="inlineStr">
        <is>
          <t>FOR</t>
        </is>
      </c>
      <c r="AL16" s="16" t="n"/>
      <c r="AM16" s="69" t="inlineStr">
        <is>
          <t>DEX</t>
        </is>
      </c>
      <c r="AN16" s="16" t="n"/>
      <c r="AO16" s="69" t="inlineStr">
        <is>
          <t>CON</t>
        </is>
      </c>
      <c r="AP16" s="16" t="n"/>
      <c r="AQ16" s="69" t="inlineStr">
        <is>
          <t>INT</t>
        </is>
      </c>
      <c r="AR16" s="16" t="n"/>
      <c r="AS16" s="65" t="inlineStr">
        <is>
          <t>ESS</t>
        </is>
      </c>
      <c r="AT16" s="17"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row>
    <row r="18">
      <c r="B18" s="22" t="n"/>
      <c r="C18" s="41" t="n"/>
      <c r="D18" s="55" t="inlineStr">
        <is>
          <t>FOR</t>
        </is>
      </c>
      <c r="E18" s="16" t="n"/>
      <c r="F18" s="16" t="n"/>
      <c r="G18" s="16" t="n"/>
      <c r="H18" s="16" t="n"/>
      <c r="I18" s="16" t="n"/>
      <c r="J18" s="17" t="n"/>
      <c r="K18" s="56" t="n"/>
      <c r="L18" s="57" t="inlineStr">
        <is>
          <t>DES</t>
        </is>
      </c>
      <c r="M18" s="24" t="n"/>
      <c r="N18" s="24" t="n"/>
      <c r="O18" s="24" t="n"/>
      <c r="P18" s="24" t="n"/>
      <c r="Q18" s="24" t="n"/>
      <c r="R18" s="25" t="n"/>
      <c r="S18" s="58" t="n"/>
      <c r="T18" s="59" t="inlineStr">
        <is>
          <t>CON</t>
        </is>
      </c>
      <c r="U18" s="24" t="n"/>
      <c r="V18" s="24" t="n"/>
      <c r="W18" s="24" t="n"/>
      <c r="X18" s="24" t="n"/>
      <c r="Y18" s="24" t="n"/>
      <c r="Z18" s="25" t="n"/>
      <c r="AA18" s="58" t="n"/>
      <c r="AB18" s="59" t="inlineStr">
        <is>
          <t>INT</t>
        </is>
      </c>
      <c r="AC18" s="24" t="n"/>
      <c r="AD18" s="24" t="n"/>
      <c r="AE18" s="24" t="n"/>
      <c r="AF18" s="24" t="n"/>
      <c r="AG18" s="24" t="n"/>
      <c r="AH18" s="25" t="n"/>
      <c r="AI18" s="58" t="n"/>
      <c r="AJ18" s="59" t="inlineStr">
        <is>
          <t>ESS</t>
        </is>
      </c>
      <c r="AK18" s="24" t="n"/>
      <c r="AL18" s="24" t="n"/>
      <c r="AM18" s="24" t="n"/>
      <c r="AN18" s="24" t="n"/>
      <c r="AO18" s="24" t="n"/>
      <c r="AP18" s="25" t="n"/>
      <c r="AQ18" s="51" t="n"/>
      <c r="AR18" s="70" t="n"/>
      <c r="AS18" s="51" t="n"/>
      <c r="AT18" s="51" t="n"/>
    </row>
    <row r="19">
      <c r="B19" s="22" t="n"/>
      <c r="C19" s="41" t="n"/>
      <c r="D19" s="71">
        <f>IFERROR(VALUE($D$21&amp;""),0)+IFERROR(VALUE($AK$15&amp;""),0)</f>
        <v/>
      </c>
      <c r="E19" s="19" t="n"/>
      <c r="F19" s="19" t="n"/>
      <c r="G19" s="19" t="n"/>
      <c r="H19" s="19" t="n"/>
      <c r="I19" s="19" t="n"/>
      <c r="J19" s="20" t="n"/>
      <c r="K19" s="58" t="n"/>
      <c r="L19" s="72">
        <f>IFERROR(VALUE($L$21&amp;""),0)+IFERROR(VALUE($AM$15&amp;""),0)</f>
        <v/>
      </c>
      <c r="M19" s="19" t="n"/>
      <c r="N19" s="19" t="n"/>
      <c r="O19" s="19" t="n"/>
      <c r="P19" s="19" t="n"/>
      <c r="Q19" s="19" t="n"/>
      <c r="R19" s="20" t="n"/>
      <c r="S19" s="58" t="n"/>
      <c r="T19" s="72">
        <f>IFERROR(VALUE($T$21&amp;""),0)+IFERROR(VALUE($AO$15&amp;""),0)</f>
        <v/>
      </c>
      <c r="U19" s="19" t="n"/>
      <c r="V19" s="19" t="n"/>
      <c r="W19" s="19" t="n"/>
      <c r="X19" s="19" t="n"/>
      <c r="Y19" s="19" t="n"/>
      <c r="Z19" s="20" t="n"/>
      <c r="AA19" s="58" t="n"/>
      <c r="AB19" s="72">
        <f>IFERROR(VALUE($AB$21&amp;""),0)+IFERROR(VALUE($AQ$15&amp;""),0)</f>
        <v/>
      </c>
      <c r="AC19" s="19" t="n"/>
      <c r="AD19" s="19" t="n"/>
      <c r="AE19" s="19" t="n"/>
      <c r="AF19" s="19" t="n"/>
      <c r="AG19" s="19" t="n"/>
      <c r="AH19" s="20" t="n"/>
      <c r="AI19" s="58" t="n"/>
      <c r="AJ19" s="72">
        <f>IFERROR(VALUE($AJ$21&amp;""),0)+IFERROR(VALUE($AS$15&amp;""),0)</f>
        <v/>
      </c>
      <c r="AK19" s="19" t="n"/>
      <c r="AL19" s="19" t="n"/>
      <c r="AM19" s="19" t="n"/>
      <c r="AN19" s="19" t="n"/>
      <c r="AO19" s="19" t="n"/>
      <c r="AP19" s="20" t="n"/>
      <c r="AQ19" s="51" t="n"/>
      <c r="AR19" s="70" t="n"/>
      <c r="AS19" s="51" t="n"/>
      <c r="AT19" s="51" t="n"/>
    </row>
    <row r="20" ht="29.25" customHeight="1">
      <c r="B20" s="22" t="n"/>
      <c r="C20" s="41" t="n"/>
      <c r="D20" s="23" t="n"/>
      <c r="E20" s="24" t="n"/>
      <c r="F20" s="24" t="n"/>
      <c r="G20" s="24" t="n"/>
      <c r="H20" s="24" t="n"/>
      <c r="I20" s="24" t="n"/>
      <c r="J20" s="25" t="n"/>
      <c r="K20" s="58" t="n"/>
      <c r="L20" s="24" t="n"/>
      <c r="M20" s="24" t="n"/>
      <c r="N20" s="24" t="n"/>
      <c r="O20" s="24" t="n"/>
      <c r="P20" s="24" t="n"/>
      <c r="Q20" s="24" t="n"/>
      <c r="R20" s="25" t="n"/>
      <c r="S20" s="58" t="n"/>
      <c r="T20" s="24" t="n"/>
      <c r="U20" s="24" t="n"/>
      <c r="V20" s="24" t="n"/>
      <c r="W20" s="24" t="n"/>
      <c r="X20" s="24" t="n"/>
      <c r="Y20" s="24" t="n"/>
      <c r="Z20" s="25" t="n"/>
      <c r="AA20" s="58" t="n"/>
      <c r="AB20" s="24" t="n"/>
      <c r="AC20" s="24" t="n"/>
      <c r="AD20" s="24" t="n"/>
      <c r="AE20" s="24" t="n"/>
      <c r="AF20" s="24" t="n"/>
      <c r="AG20" s="24" t="n"/>
      <c r="AH20" s="25" t="n"/>
      <c r="AI20" s="58" t="n"/>
      <c r="AJ20" s="24" t="n"/>
      <c r="AK20" s="24" t="n"/>
      <c r="AL20" s="24" t="n"/>
      <c r="AM20" s="24" t="n"/>
      <c r="AN20" s="24" t="n"/>
      <c r="AO20" s="24" t="n"/>
      <c r="AP20" s="25" t="n"/>
      <c r="AQ20" s="51" t="n"/>
      <c r="AR20" s="51" t="n"/>
      <c r="AS20" s="51" t="n"/>
      <c r="AT20" s="51" t="n"/>
    </row>
    <row r="21" ht="21.75" customHeight="1">
      <c r="B21" s="22" t="n"/>
      <c r="C21" s="41" t="n"/>
      <c r="D21" s="73" t="n">
        <v>0</v>
      </c>
      <c r="E21" s="16" t="n"/>
      <c r="F21" s="16" t="n"/>
      <c r="G21" s="16" t="n"/>
      <c r="H21" s="16" t="n"/>
      <c r="I21" s="16" t="n"/>
      <c r="J21" s="17" t="n"/>
      <c r="K21" s="56" t="n"/>
      <c r="L21" s="74" t="n">
        <v>0</v>
      </c>
      <c r="M21" s="24" t="n"/>
      <c r="N21" s="24" t="n"/>
      <c r="O21" s="24" t="n"/>
      <c r="P21" s="24" t="n"/>
      <c r="Q21" s="24" t="n"/>
      <c r="R21" s="25" t="n"/>
      <c r="S21" s="58" t="n"/>
      <c r="T21" s="75" t="n">
        <v>0</v>
      </c>
      <c r="U21" s="24" t="n"/>
      <c r="V21" s="24" t="n"/>
      <c r="W21" s="24" t="n"/>
      <c r="X21" s="24" t="n"/>
      <c r="Y21" s="24" t="n"/>
      <c r="Z21" s="25" t="n"/>
      <c r="AA21" s="58" t="n"/>
      <c r="AB21" s="75" t="n">
        <v>0</v>
      </c>
      <c r="AC21" s="24" t="n"/>
      <c r="AD21" s="24" t="n"/>
      <c r="AE21" s="24" t="n"/>
      <c r="AF21" s="24" t="n"/>
      <c r="AG21" s="24" t="n"/>
      <c r="AH21" s="25" t="n"/>
      <c r="AI21" s="58" t="n"/>
      <c r="AJ21" s="75" t="n">
        <v>0</v>
      </c>
      <c r="AK21" s="24" t="n"/>
      <c r="AL21" s="24" t="n"/>
      <c r="AM21" s="24" t="n"/>
      <c r="AN21" s="24" t="n"/>
      <c r="AO21" s="24" t="n"/>
      <c r="AP21" s="25" t="n"/>
      <c r="AQ21" s="51" t="n"/>
      <c r="AR21" s="51" t="n"/>
      <c r="AS21" s="51" t="n"/>
      <c r="AT21" s="51" t="n"/>
    </row>
    <row r="22">
      <c r="B22" s="22" t="n"/>
      <c r="C22" s="41" t="n"/>
      <c r="D22" s="76" t="inlineStr">
        <is>
          <t>Força</t>
        </is>
      </c>
      <c r="E22" s="16" t="n"/>
      <c r="F22" s="16" t="n"/>
      <c r="G22" s="16" t="n"/>
      <c r="H22" s="16" t="n"/>
      <c r="I22" s="16" t="n"/>
      <c r="J22" s="17" t="n"/>
      <c r="K22" s="58" t="n"/>
      <c r="L22" s="77" t="inlineStr">
        <is>
          <t>Destreza</t>
        </is>
      </c>
      <c r="M22" s="16" t="n"/>
      <c r="N22" s="16" t="n"/>
      <c r="O22" s="16" t="n"/>
      <c r="P22" s="16" t="n"/>
      <c r="Q22" s="16" t="n"/>
      <c r="R22" s="17" t="n"/>
      <c r="S22" s="58" t="n"/>
      <c r="T22" s="77" t="inlineStr">
        <is>
          <t>Constituição</t>
        </is>
      </c>
      <c r="U22" s="16" t="n"/>
      <c r="V22" s="16" t="n"/>
      <c r="W22" s="16" t="n"/>
      <c r="X22" s="16" t="n"/>
      <c r="Y22" s="16" t="n"/>
      <c r="Z22" s="17" t="n"/>
      <c r="AA22" s="58" t="n"/>
      <c r="AB22" s="77" t="inlineStr">
        <is>
          <t>Inteligência</t>
        </is>
      </c>
      <c r="AC22" s="16" t="n"/>
      <c r="AD22" s="16" t="n"/>
      <c r="AE22" s="16" t="n"/>
      <c r="AF22" s="16" t="n"/>
      <c r="AG22" s="16" t="n"/>
      <c r="AH22" s="17" t="n"/>
      <c r="AI22" s="58" t="n"/>
      <c r="AJ22" s="77" t="inlineStr">
        <is>
          <t>Essência</t>
        </is>
      </c>
      <c r="AK22" s="16" t="n"/>
      <c r="AL22" s="16" t="n"/>
      <c r="AM22" s="16" t="n"/>
      <c r="AN22" s="16" t="n"/>
      <c r="AO22" s="16" t="n"/>
      <c r="AP22" s="17" t="n"/>
      <c r="AQ22" s="51" t="n"/>
      <c r="AR22" s="51" t="n"/>
      <c r="AS22" s="51" t="n"/>
      <c r="AT22" s="51"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row>
    <row r="25">
      <c r="B25" s="22" t="n"/>
      <c r="C25" s="41" t="n"/>
      <c r="D25" s="55" t="inlineStr">
        <is>
          <t>VIDA - Atual/Máxima</t>
        </is>
      </c>
      <c r="E25" s="16" t="n"/>
      <c r="F25" s="16" t="n"/>
      <c r="G25" s="16" t="n"/>
      <c r="H25" s="16" t="n"/>
      <c r="I25" s="16" t="n"/>
      <c r="J25" s="16" t="n"/>
      <c r="K25" s="16" t="n"/>
      <c r="L25" s="16" t="n"/>
      <c r="M25" s="16" t="n"/>
      <c r="N25" s="17" t="n"/>
      <c r="O25" s="51" t="n"/>
      <c r="P25" s="78" t="inlineStr">
        <is>
          <t>Buff/Debuff</t>
        </is>
      </c>
      <c r="Q25" s="17" t="n"/>
      <c r="R25" s="51" t="n"/>
      <c r="S25" s="51" t="n"/>
      <c r="T25" s="51" t="n"/>
      <c r="U25" s="51" t="n"/>
      <c r="V25" s="51" t="n"/>
      <c r="W25" s="51" t="n"/>
      <c r="X25" s="51" t="n"/>
      <c r="Y25" s="51" t="n"/>
      <c r="Z25" s="51" t="n"/>
      <c r="AA25" s="51" t="n"/>
      <c r="AB25" s="51" t="n"/>
      <c r="AC25" s="51" t="n"/>
      <c r="AD25" s="51" t="n"/>
      <c r="AE25" s="51" t="n"/>
      <c r="AF25" s="55" t="inlineStr">
        <is>
          <t>TEMPORÁRIO</t>
        </is>
      </c>
      <c r="AG25" s="16" t="n"/>
      <c r="AH25" s="16" t="n"/>
      <c r="AI25" s="16" t="n"/>
      <c r="AJ25" s="16" t="n"/>
      <c r="AK25" s="17" t="n"/>
      <c r="AL25" s="58" t="n"/>
      <c r="AM25" s="79" t="inlineStr">
        <is>
          <t>± PERDA &amp;/ou GANHO</t>
        </is>
      </c>
      <c r="AN25" s="16" t="n"/>
      <c r="AO25" s="16" t="n"/>
      <c r="AP25" s="16" t="n"/>
      <c r="AQ25" s="16" t="n"/>
      <c r="AR25" s="17" t="n"/>
      <c r="AS25" s="51" t="n"/>
      <c r="AT25" s="51" t="n"/>
    </row>
    <row r="26" ht="27" customHeight="1">
      <c r="B26" s="22" t="n"/>
      <c r="C26" s="41" t="n"/>
      <c r="D26" s="80">
        <f>J26</f>
        <v/>
      </c>
      <c r="E26" s="19" t="n"/>
      <c r="F26" s="19" t="n"/>
      <c r="G26" s="19" t="n"/>
      <c r="H26" s="20" t="n"/>
      <c r="I26" s="51" t="n"/>
      <c r="J26" s="81">
        <f>IFERROR((IFERROR(IF($D$11="","",(VLOOKUP($D$11,DADOS!$N$5:$U$10,3,FALSE)+$T$19)+(VLOOKUP($D$11,DADOS!$N$5:$U$10,4,FALSE)+$T$19)*($AH$11-1)),""))+IFERROR(VALUE($P$26&amp;""),0),"")</f>
        <v/>
      </c>
      <c r="K26" s="19" t="n"/>
      <c r="L26" s="19" t="n"/>
      <c r="M26" s="19" t="n"/>
      <c r="N26" s="20" t="n"/>
      <c r="O26" s="51" t="n"/>
      <c r="P26" s="82" t="n">
        <v>0</v>
      </c>
      <c r="Q26" s="20" t="n"/>
      <c r="R26" s="51" t="n"/>
      <c r="S26" s="83">
        <f>IFERROR(__xludf.DUMMYFUNCTION("IFERROR(SPARKLINE($D$26,{""charttype"",""bar"";""max"",$J$26;""color1"",IF(N($J$26)=0,DADOS!$CZ$51,IF($D$26/$J$26&lt;=0.25,""#C2334D"",IF($D$26/$J$26&lt;=0.5,""#D89B3A"",DADOS!$CZ$51)))}),"""")"),"")</f>
        <v/>
      </c>
      <c r="T26" s="19" t="n"/>
      <c r="U26" s="19" t="n"/>
      <c r="V26" s="19" t="n"/>
      <c r="W26" s="19" t="n"/>
      <c r="X26" s="19" t="n"/>
      <c r="Y26" s="19" t="n"/>
      <c r="Z26" s="19" t="n"/>
      <c r="AA26" s="19" t="n"/>
      <c r="AB26" s="19" t="n"/>
      <c r="AC26" s="19" t="n"/>
      <c r="AD26" s="20" t="n"/>
      <c r="AE26" s="51" t="n"/>
      <c r="AF26" s="84" t="n">
        <v>0</v>
      </c>
      <c r="AG26" s="24" t="n"/>
      <c r="AH26" s="24" t="n"/>
      <c r="AI26" s="24" t="n"/>
      <c r="AJ26" s="24" t="n"/>
      <c r="AK26" s="25" t="n"/>
      <c r="AL26" s="51" t="n"/>
      <c r="AM26" s="85" t="n"/>
      <c r="AN26" s="16" t="n"/>
      <c r="AO26" s="16" t="n"/>
      <c r="AP26" s="16" t="n"/>
      <c r="AQ26" s="16" t="n"/>
      <c r="AR26" s="17" t="n"/>
      <c r="AS26" s="51" t="n"/>
      <c r="AT26" s="51" t="n"/>
    </row>
    <row r="27">
      <c r="B27" s="22" t="n"/>
      <c r="C27" s="41" t="n"/>
      <c r="D27" s="23" t="n"/>
      <c r="E27" s="24" t="n"/>
      <c r="F27" s="24" t="n"/>
      <c r="G27" s="24" t="n"/>
      <c r="H27" s="25" t="n"/>
      <c r="I27" s="51" t="n"/>
      <c r="J27" s="23" t="n"/>
      <c r="K27" s="24" t="n"/>
      <c r="L27" s="24" t="n"/>
      <c r="M27" s="24" t="n"/>
      <c r="N27" s="25" t="n"/>
      <c r="O27" s="51" t="n"/>
      <c r="P27" s="23" t="n"/>
      <c r="Q27" s="25" t="n"/>
      <c r="R27" s="51" t="n"/>
      <c r="S27" s="23"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row>
    <row r="29">
      <c r="B29" s="22" t="n"/>
      <c r="C29" s="41" t="n"/>
      <c r="D29" s="57" t="inlineStr">
        <is>
          <t>ENERGIA - Atual/Máxima</t>
        </is>
      </c>
      <c r="E29" s="24" t="n"/>
      <c r="F29" s="24" t="n"/>
      <c r="G29" s="24" t="n"/>
      <c r="H29" s="24" t="n"/>
      <c r="I29" s="24" t="n"/>
      <c r="J29" s="24" t="n"/>
      <c r="K29" s="24" t="n"/>
      <c r="L29" s="24" t="n"/>
      <c r="M29" s="24" t="n"/>
      <c r="N29" s="25" t="n"/>
      <c r="O29" s="51" t="n"/>
      <c r="P29" s="78" t="inlineStr">
        <is>
          <t>Buff/Debuff</t>
        </is>
      </c>
      <c r="Q29" s="17" t="n"/>
      <c r="R29" s="51" t="n"/>
      <c r="S29" s="51" t="n"/>
      <c r="T29" s="51" t="n"/>
      <c r="U29" s="51" t="n"/>
      <c r="V29" s="51" t="n"/>
      <c r="W29" s="51" t="n"/>
      <c r="X29" s="51" t="n"/>
      <c r="Y29" s="51" t="n"/>
      <c r="Z29" s="51" t="n"/>
      <c r="AA29" s="51" t="n"/>
      <c r="AB29" s="51" t="n"/>
      <c r="AC29" s="51" t="n"/>
      <c r="AD29" s="51" t="n"/>
      <c r="AE29" s="51" t="n"/>
      <c r="AF29" s="55" t="inlineStr">
        <is>
          <t>TEMPORÁRIO</t>
        </is>
      </c>
      <c r="AG29" s="16" t="n"/>
      <c r="AH29" s="16" t="n"/>
      <c r="AI29" s="16" t="n"/>
      <c r="AJ29" s="16" t="n"/>
      <c r="AK29" s="17" t="n"/>
      <c r="AL29" s="58" t="n"/>
      <c r="AM29" s="79" t="inlineStr">
        <is>
          <t>± PERDA &amp;/ou GANHO</t>
        </is>
      </c>
      <c r="AN29" s="16" t="n"/>
      <c r="AO29" s="16" t="n"/>
      <c r="AP29" s="16" t="n"/>
      <c r="AQ29" s="16" t="n"/>
      <c r="AR29" s="17" t="n"/>
      <c r="AS29" s="51" t="n"/>
      <c r="AT29" s="51" t="n"/>
    </row>
    <row r="30" ht="27" customHeight="1">
      <c r="A30" s="8" t="n"/>
      <c r="B30" s="14" t="n"/>
      <c r="C30" s="41" t="n"/>
      <c r="D30" s="80">
        <f>J30</f>
        <v/>
      </c>
      <c r="E30" s="19" t="n"/>
      <c r="F30" s="19" t="n"/>
      <c r="G30" s="19" t="n"/>
      <c r="H30" s="20" t="n"/>
      <c r="I30" s="51" t="n"/>
      <c r="J30" s="81">
        <f>IFERROR((IFERROR(IF($D$11="","",VLOOKUP($D$11,DADOS!$N$5:$U$10,5,FALSE)*$AH$11),""))+IFERROR(VALUE($P$30&amp;""),0),"")</f>
        <v/>
      </c>
      <c r="K30" s="19" t="n"/>
      <c r="L30" s="19" t="n"/>
      <c r="M30" s="19" t="n"/>
      <c r="N30" s="20" t="n"/>
      <c r="O30" s="51" t="n"/>
      <c r="P30" s="82" t="n">
        <v>0</v>
      </c>
      <c r="Q30" s="20" t="n"/>
      <c r="R30" s="51" t="n"/>
      <c r="S30" s="86">
        <f>IFERROR(__xludf.DUMMYFUNCTION("IFERROR(SPARKLINE($D$30,{""charttype"",""bar"";""max"",$J$30;""color1"",IF(N($J$30)=0,DADOS!$CZ$51,IF($D$30/$J$30&lt;=0.25,""#C2334D"",IF($D$30/$J$30&lt;=0.5,""#D89B3A"",DADOS!$CZ$51)))}),"""")"),"")</f>
        <v/>
      </c>
      <c r="T30" s="19" t="n"/>
      <c r="U30" s="19" t="n"/>
      <c r="V30" s="19" t="n"/>
      <c r="W30" s="19" t="n"/>
      <c r="X30" s="19" t="n"/>
      <c r="Y30" s="19" t="n"/>
      <c r="Z30" s="19" t="n"/>
      <c r="AA30" s="19" t="n"/>
      <c r="AB30" s="19" t="n"/>
      <c r="AC30" s="19" t="n"/>
      <c r="AD30" s="20" t="n"/>
      <c r="AE30" s="51" t="n"/>
      <c r="AF30" s="84" t="n">
        <v>0</v>
      </c>
      <c r="AG30" s="24" t="n"/>
      <c r="AH30" s="24" t="n"/>
      <c r="AI30" s="24" t="n"/>
      <c r="AJ30" s="24" t="n"/>
      <c r="AK30" s="25" t="n"/>
      <c r="AL30" s="51" t="n"/>
      <c r="AM30" s="85" t="n"/>
      <c r="AN30" s="16" t="n"/>
      <c r="AO30" s="16" t="n"/>
      <c r="AP30" s="16" t="n"/>
      <c r="AQ30" s="16" t="n"/>
      <c r="AR30" s="17" t="n"/>
      <c r="AS30" s="51" t="n"/>
      <c r="AT30" s="51" t="n"/>
    </row>
    <row r="31">
      <c r="A31" s="8" t="n"/>
      <c r="B31" s="14" t="n"/>
      <c r="C31" s="41" t="n"/>
      <c r="D31" s="23" t="n"/>
      <c r="E31" s="24" t="n"/>
      <c r="F31" s="24" t="n"/>
      <c r="G31" s="24" t="n"/>
      <c r="H31" s="25" t="n"/>
      <c r="I31" s="51" t="n"/>
      <c r="J31" s="23" t="n"/>
      <c r="K31" s="24" t="n"/>
      <c r="L31" s="24" t="n"/>
      <c r="M31" s="24" t="n"/>
      <c r="N31" s="25" t="n"/>
      <c r="O31" s="51" t="n"/>
      <c r="P31" s="23" t="n"/>
      <c r="Q31" s="25" t="n"/>
      <c r="R31" s="51" t="n"/>
      <c r="S31" s="23"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row>
    <row r="33">
      <c r="A33" s="48" t="inlineStr">
        <is>
          <t>FICHA DE REGISTRO</t>
        </is>
      </c>
      <c r="B33" s="22" t="n"/>
      <c r="C33" s="41" t="n"/>
      <c r="D33" s="57" t="inlineStr">
        <is>
          <t>INTEGRIDADE - Atual/Máxima</t>
        </is>
      </c>
      <c r="E33" s="24" t="n"/>
      <c r="F33" s="24" t="n"/>
      <c r="G33" s="24" t="n"/>
      <c r="H33" s="24" t="n"/>
      <c r="I33" s="24" t="n"/>
      <c r="J33" s="24" t="n"/>
      <c r="K33" s="24" t="n"/>
      <c r="L33" s="24" t="n"/>
      <c r="M33" s="24" t="n"/>
      <c r="N33" s="25" t="n"/>
      <c r="O33" s="51" t="n"/>
      <c r="P33" s="78" t="inlineStr">
        <is>
          <t>Buff/Debuff</t>
        </is>
      </c>
      <c r="Q33" s="17" t="n"/>
      <c r="R33" s="51" t="n"/>
      <c r="S33" s="51" t="n"/>
      <c r="T33" s="51" t="n"/>
      <c r="U33" s="51" t="n"/>
      <c r="V33" s="51" t="n"/>
      <c r="W33" s="51" t="n"/>
      <c r="X33" s="51" t="n"/>
      <c r="Y33" s="51" t="n"/>
      <c r="Z33" s="51" t="n"/>
      <c r="AA33" s="51" t="n"/>
      <c r="AB33" s="51" t="n"/>
      <c r="AC33" s="51" t="n"/>
      <c r="AD33" s="51" t="n"/>
      <c r="AE33" s="51" t="n"/>
      <c r="AF33" s="55" t="inlineStr">
        <is>
          <t>TEMPORÁRIO</t>
        </is>
      </c>
      <c r="AG33" s="16" t="n"/>
      <c r="AH33" s="16" t="n"/>
      <c r="AI33" s="16" t="n"/>
      <c r="AJ33" s="16" t="n"/>
      <c r="AK33" s="17" t="n"/>
      <c r="AL33" s="58" t="n"/>
      <c r="AM33" s="79" t="inlineStr">
        <is>
          <t>± PERDA &amp;/ou GANHO</t>
        </is>
      </c>
      <c r="AN33" s="16" t="n"/>
      <c r="AO33" s="16" t="n"/>
      <c r="AP33" s="16" t="n"/>
      <c r="AQ33" s="16" t="n"/>
      <c r="AR33" s="17" t="n"/>
      <c r="AS33" s="51" t="n"/>
      <c r="AT33" s="51" t="n"/>
    </row>
    <row r="34" ht="27" customHeight="1">
      <c r="B34" s="22" t="n"/>
      <c r="C34" s="41" t="n"/>
      <c r="D34" s="80">
        <f>J34</f>
        <v/>
      </c>
      <c r="E34" s="19" t="n"/>
      <c r="F34" s="19" t="n"/>
      <c r="G34" s="19" t="n"/>
      <c r="H34" s="20" t="n"/>
      <c r="I34" s="56" t="n"/>
      <c r="J34" s="87">
        <f>IFERROR((20+(AJ19+5)*($AH$11-1))+IFERROR(VALUE($P$34&amp;""),0),"")</f>
        <v/>
      </c>
      <c r="K34" s="19" t="n"/>
      <c r="L34" s="19" t="n"/>
      <c r="M34" s="19" t="n"/>
      <c r="N34" s="20" t="n"/>
      <c r="O34" s="51" t="n"/>
      <c r="P34" s="82" t="n">
        <v>0</v>
      </c>
      <c r="Q34" s="20" t="n"/>
      <c r="R34" s="51" t="n"/>
      <c r="S34" s="86">
        <f>IFERROR(__xludf.DUMMYFUNCTION("IFERROR(SPARKLINE($D$34,{""charttype"",""bar"";""max"",$J$34;""color1"",IF(N($J$34)=0,DADOS!$CZ$51,IF($D$34/$J$34&lt;=0.25,""#C2334D"",IF($D$34/$J$34&lt;=0.5,""#D89B3A"",DADOS!$CZ$51)))}),"""")"),"")</f>
        <v/>
      </c>
      <c r="T34" s="19" t="n"/>
      <c r="U34" s="19" t="n"/>
      <c r="V34" s="19" t="n"/>
      <c r="W34" s="19" t="n"/>
      <c r="X34" s="19" t="n"/>
      <c r="Y34" s="19" t="n"/>
      <c r="Z34" s="19" t="n"/>
      <c r="AA34" s="19" t="n"/>
      <c r="AB34" s="19" t="n"/>
      <c r="AC34" s="19" t="n"/>
      <c r="AD34" s="20" t="n"/>
      <c r="AE34" s="58" t="n"/>
      <c r="AF34" s="84" t="n">
        <v>0</v>
      </c>
      <c r="AG34" s="24" t="n"/>
      <c r="AH34" s="24" t="n"/>
      <c r="AI34" s="24" t="n"/>
      <c r="AJ34" s="24" t="n"/>
      <c r="AK34" s="25" t="n"/>
      <c r="AL34" s="56" t="n"/>
      <c r="AM34" s="88" t="n"/>
      <c r="AR34" s="22" t="n"/>
      <c r="AS34" s="51" t="n"/>
      <c r="AT34" s="51" t="n"/>
    </row>
    <row r="35">
      <c r="B35" s="22" t="n"/>
      <c r="C35" s="41" t="n"/>
      <c r="D35" s="23" t="n"/>
      <c r="E35" s="24" t="n"/>
      <c r="F35" s="24" t="n"/>
      <c r="G35" s="24" t="n"/>
      <c r="H35" s="25" t="n"/>
      <c r="I35" s="56" t="n"/>
      <c r="J35" s="24" t="n"/>
      <c r="K35" s="24" t="n"/>
      <c r="L35" s="24" t="n"/>
      <c r="M35" s="24" t="n"/>
      <c r="N35" s="25" t="n"/>
      <c r="O35" s="51" t="n"/>
      <c r="P35" s="23" t="n"/>
      <c r="Q35" s="25" t="n"/>
      <c r="R35" s="51" t="n"/>
      <c r="S35" s="23"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row>
    <row r="37">
      <c r="B37" s="22" t="n"/>
      <c r="C37" s="41" t="n"/>
      <c r="D37" s="89">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row>
    <row r="39">
      <c r="B39" s="22" t="n"/>
      <c r="C39" s="41" t="n"/>
      <c r="D39" s="55" t="inlineStr">
        <is>
          <t>SEQUELAS</t>
        </is>
      </c>
      <c r="E39" s="16" t="n"/>
      <c r="F39" s="16" t="n"/>
      <c r="G39" s="16" t="n"/>
      <c r="H39" s="16" t="n"/>
      <c r="I39" s="16" t="n"/>
      <c r="J39" s="16" t="n"/>
      <c r="K39" s="16" t="n"/>
      <c r="L39" s="16" t="n"/>
      <c r="M39" s="17" t="n"/>
      <c r="N39" s="51" t="n"/>
      <c r="O39" s="55" t="inlineStr">
        <is>
          <t>EXAUSTÃO</t>
        </is>
      </c>
      <c r="P39" s="16" t="n"/>
      <c r="Q39" s="16" t="n"/>
      <c r="R39" s="16" t="n"/>
      <c r="S39" s="16" t="n"/>
      <c r="T39" s="16" t="n"/>
      <c r="U39" s="16" t="n"/>
      <c r="V39" s="16" t="n"/>
      <c r="W39" s="16" t="n"/>
      <c r="X39" s="17" t="n"/>
      <c r="Y39" s="51" t="n"/>
      <c r="Z39" s="55" t="inlineStr">
        <is>
          <t>RESISTÊNCIAS</t>
        </is>
      </c>
      <c r="AA39" s="16" t="n"/>
      <c r="AB39" s="16" t="n"/>
      <c r="AC39" s="16" t="n"/>
      <c r="AD39" s="16" t="n"/>
      <c r="AE39" s="16" t="n"/>
      <c r="AF39" s="16" t="n"/>
      <c r="AG39" s="16" t="n"/>
      <c r="AH39" s="16" t="n"/>
      <c r="AI39" s="17" t="n"/>
      <c r="AJ39" s="51" t="n"/>
      <c r="AK39" s="55" t="inlineStr">
        <is>
          <t>IMUNIDADES</t>
        </is>
      </c>
      <c r="AL39" s="16" t="n"/>
      <c r="AM39" s="16" t="n"/>
      <c r="AN39" s="16" t="n"/>
      <c r="AO39" s="16" t="n"/>
      <c r="AP39" s="16" t="n"/>
      <c r="AQ39" s="16" t="n"/>
      <c r="AR39" s="16" t="n"/>
      <c r="AS39" s="16" t="n"/>
      <c r="AT39" s="17" t="n"/>
    </row>
    <row r="40">
      <c r="B40" s="22" t="n"/>
      <c r="C40" s="41" t="n"/>
      <c r="D40" s="90" t="n">
        <v>0</v>
      </c>
      <c r="E40" s="16" t="n"/>
      <c r="F40" s="16" t="n"/>
      <c r="G40" s="16" t="n"/>
      <c r="H40" s="16" t="n"/>
      <c r="I40" s="16" t="n"/>
      <c r="J40" s="16" t="n"/>
      <c r="K40" s="16" t="n"/>
      <c r="L40" s="16" t="n"/>
      <c r="M40" s="17" t="n"/>
      <c r="N40" s="51" t="n"/>
      <c r="O40" s="90" t="n">
        <v>0</v>
      </c>
      <c r="P40" s="16" t="n"/>
      <c r="Q40" s="16" t="n"/>
      <c r="R40" s="16" t="n"/>
      <c r="S40" s="16" t="n"/>
      <c r="T40" s="16" t="n"/>
      <c r="U40" s="16" t="n"/>
      <c r="V40" s="16" t="n"/>
      <c r="W40" s="16" t="n"/>
      <c r="X40" s="17" t="n"/>
      <c r="Y40" s="51" t="n"/>
      <c r="Z40" s="91" t="n"/>
      <c r="AA40" s="19" t="n"/>
      <c r="AB40" s="19" t="n"/>
      <c r="AC40" s="19" t="n"/>
      <c r="AD40" s="19" t="n"/>
      <c r="AE40" s="19" t="n"/>
      <c r="AF40" s="19" t="n"/>
      <c r="AG40" s="19" t="n"/>
      <c r="AH40" s="19" t="n"/>
      <c r="AI40" s="20" t="n"/>
      <c r="AJ40" s="51" t="n"/>
      <c r="AK40" s="91" t="n"/>
      <c r="AL40" s="19" t="n"/>
      <c r="AM40" s="19" t="n"/>
      <c r="AN40" s="19" t="n"/>
      <c r="AO40" s="19" t="n"/>
      <c r="AP40" s="19" t="n"/>
      <c r="AQ40" s="19" t="n"/>
      <c r="AR40" s="19" t="n"/>
      <c r="AS40" s="19" t="n"/>
      <c r="AT40" s="20" t="n"/>
    </row>
    <row r="41">
      <c r="B41" s="22" t="n"/>
      <c r="C41" s="41" t="n"/>
      <c r="D41" s="92">
        <f>IF(N($D$40)&lt;=0,"Próxima queda: 3 rodadas de janela",IF(N($D$40)=1,"Próxima queda: 2 rodadas de janela",IF(N($D$40)=2,"Próxima queda: 1 rodada de janela","Próxima queda: Derrotado na hora")))</f>
        <v/>
      </c>
      <c r="E41" s="16" t="n"/>
      <c r="F41" s="16" t="n"/>
      <c r="G41" s="16" t="n"/>
      <c r="H41" s="16" t="n"/>
      <c r="I41" s="16" t="n"/>
      <c r="J41" s="16" t="n"/>
      <c r="K41" s="16" t="n"/>
      <c r="L41" s="16" t="n"/>
      <c r="M41" s="17" t="n"/>
      <c r="N41" s="51" t="n"/>
      <c r="O41" s="92">
        <f>IF(N($O$40)&lt;=0,"Sem penalidade",IF(N($O$40)=1,"Desvantagem em perícias e ofícios",IF(N($O$40)=2,"Desv. em perícias e ofícios · até 4,5 m","Desv. em perícias, ofícios, ataques e TRs · até 4,5 m")))</f>
        <v/>
      </c>
      <c r="P41" s="16" t="n"/>
      <c r="Q41" s="16" t="n"/>
      <c r="R41" s="16" t="n"/>
      <c r="S41" s="16" t="n"/>
      <c r="T41" s="16" t="n"/>
      <c r="U41" s="16" t="n"/>
      <c r="V41" s="16" t="n"/>
      <c r="W41" s="16" t="n"/>
      <c r="X41" s="17" t="n"/>
      <c r="Y41" s="51" t="n"/>
      <c r="Z41" s="23" t="n"/>
      <c r="AA41" s="24" t="n"/>
      <c r="AB41" s="24" t="n"/>
      <c r="AC41" s="24" t="n"/>
      <c r="AD41" s="24" t="n"/>
      <c r="AE41" s="24" t="n"/>
      <c r="AF41" s="24" t="n"/>
      <c r="AG41" s="24" t="n"/>
      <c r="AH41" s="24" t="n"/>
      <c r="AI41" s="25" t="n"/>
      <c r="AJ41" s="51" t="n"/>
      <c r="AK41" s="23" t="n"/>
      <c r="AL41" s="24" t="n"/>
      <c r="AM41" s="24" t="n"/>
      <c r="AN41" s="24" t="n"/>
      <c r="AO41" s="24" t="n"/>
      <c r="AP41" s="24" t="n"/>
      <c r="AQ41" s="24" t="n"/>
      <c r="AR41" s="24" t="n"/>
      <c r="AS41" s="24" t="n"/>
      <c r="AT41" s="25" t="n"/>
    </row>
    <row r="42">
      <c r="B42" s="22" t="n"/>
      <c r="C42" s="41" t="n"/>
      <c r="D42" s="51" t="n"/>
      <c r="E42" s="51" t="n"/>
      <c r="F42" s="51" t="n"/>
      <c r="G42" s="51" t="n"/>
      <c r="H42" s="51" t="n"/>
      <c r="I42" s="51" t="n"/>
      <c r="J42" s="51" t="n"/>
      <c r="K42" s="51" t="n"/>
      <c r="L42" s="51" t="n"/>
      <c r="M42" s="51" t="n"/>
      <c r="N42" s="51" t="n"/>
      <c r="O42" s="51" t="n"/>
      <c r="P42" s="51" t="n"/>
      <c r="Q42" s="51" t="n"/>
      <c r="R42" s="51" t="n"/>
      <c r="S42" s="51" t="n"/>
      <c r="T42" s="51" t="n"/>
      <c r="U42" s="51" t="n"/>
      <c r="V42" s="51" t="n"/>
      <c r="W42" s="51" t="n"/>
      <c r="X42" s="51" t="n"/>
      <c r="Y42" s="51" t="n"/>
      <c r="Z42" s="51" t="n"/>
      <c r="AA42" s="51" t="n"/>
      <c r="AB42" s="51" t="n"/>
      <c r="AC42" s="51" t="n"/>
      <c r="AD42" s="51" t="n"/>
      <c r="AE42" s="51" t="n"/>
      <c r="AF42" s="51" t="n"/>
      <c r="AG42" s="51" t="n"/>
      <c r="AH42" s="51" t="n"/>
      <c r="AI42" s="51" t="n"/>
      <c r="AJ42" s="51" t="n"/>
      <c r="AK42" s="51" t="n"/>
      <c r="AL42" s="51" t="n"/>
      <c r="AM42" s="51" t="n"/>
      <c r="AN42" s="51" t="n"/>
      <c r="AO42" s="51" t="n"/>
      <c r="AP42" s="51" t="n"/>
      <c r="AQ42" s="51" t="n"/>
      <c r="AR42" s="51" t="n"/>
      <c r="AS42" s="51" t="n"/>
      <c r="AT42" s="51" t="n"/>
    </row>
    <row r="43">
      <c r="B43" s="22" t="n"/>
      <c r="C43" s="41" t="n"/>
      <c r="D43" s="55" t="inlineStr">
        <is>
          <t>LEGADO 1</t>
        </is>
      </c>
      <c r="E43" s="16" t="n"/>
      <c r="F43" s="16" t="n"/>
      <c r="G43" s="16" t="n"/>
      <c r="H43" s="16" t="n"/>
      <c r="I43" s="16" t="n"/>
      <c r="J43" s="16" t="n"/>
      <c r="K43" s="16" t="n"/>
      <c r="L43" s="16" t="n"/>
      <c r="M43" s="16" t="n"/>
      <c r="N43" s="16" t="n"/>
      <c r="O43" s="16" t="n"/>
      <c r="P43" s="16" t="n"/>
      <c r="Q43" s="16" t="n"/>
      <c r="R43" s="16" t="n"/>
      <c r="S43" s="16" t="n"/>
      <c r="T43" s="16" t="n"/>
      <c r="U43" s="16" t="n"/>
      <c r="V43" s="16" t="n"/>
      <c r="W43" s="16" t="n"/>
      <c r="X43" s="17" t="n"/>
      <c r="Y43" s="51" t="n"/>
      <c r="Z43" s="55" t="inlineStr">
        <is>
          <t>LEGADO 2</t>
        </is>
      </c>
      <c r="AA43" s="16" t="n"/>
      <c r="AB43" s="16" t="n"/>
      <c r="AC43" s="16" t="n"/>
      <c r="AD43" s="16" t="n"/>
      <c r="AE43" s="16" t="n"/>
      <c r="AF43" s="16" t="n"/>
      <c r="AG43" s="16" t="n"/>
      <c r="AH43" s="16" t="n"/>
      <c r="AI43" s="16" t="n"/>
      <c r="AJ43" s="16" t="n"/>
      <c r="AK43" s="16" t="n"/>
      <c r="AL43" s="16" t="n"/>
      <c r="AM43" s="16" t="n"/>
      <c r="AN43" s="16" t="n"/>
      <c r="AO43" s="16" t="n"/>
      <c r="AP43" s="16" t="n"/>
      <c r="AQ43" s="16" t="n"/>
      <c r="AR43" s="16" t="n"/>
      <c r="AS43" s="16" t="n"/>
      <c r="AT43" s="17" t="n"/>
    </row>
    <row r="44">
      <c r="B44" s="22" t="n"/>
      <c r="C44" s="41" t="n"/>
      <c r="D44" s="91">
        <f>IF('FICHA PESSOAL'!$D$41="","",'FICHA PESSOAL'!$D$41&amp;IF('FICHA PESSOAL'!$Q$41="",""," · "&amp;'FICHA PESSOAL'!$Q$41)&amp;IF('FICHA PESSOAL'!$D$42="","",": "&amp;'FICHA PESSOAL'!$D$42))</f>
        <v/>
      </c>
      <c r="E44" s="19" t="n"/>
      <c r="F44" s="19" t="n"/>
      <c r="G44" s="19" t="n"/>
      <c r="H44" s="19" t="n"/>
      <c r="I44" s="19" t="n"/>
      <c r="J44" s="19" t="n"/>
      <c r="K44" s="19" t="n"/>
      <c r="L44" s="19" t="n"/>
      <c r="M44" s="19" t="n"/>
      <c r="N44" s="19" t="n"/>
      <c r="O44" s="19" t="n"/>
      <c r="P44" s="19" t="n"/>
      <c r="Q44" s="19" t="n"/>
      <c r="R44" s="19" t="n"/>
      <c r="S44" s="19" t="n"/>
      <c r="T44" s="19" t="n"/>
      <c r="U44" s="19" t="n"/>
      <c r="V44" s="19" t="n"/>
      <c r="W44" s="19" t="n"/>
      <c r="X44" s="20" t="n"/>
      <c r="Y44" s="51" t="n"/>
      <c r="Z44" s="91">
        <f>IF('FICHA PESSOAL'!$Y$41="","",'FICHA PESSOAL'!$Y$41&amp;IF('FICHA PESSOAL'!$AM$41="",""," · "&amp;'FICHA PESSOAL'!$AM$41)&amp;IF('FICHA PESSOAL'!$Y$42="","",": "&amp;'FICHA PESSOAL'!$Y$42))</f>
        <v/>
      </c>
      <c r="AA44" s="19" t="n"/>
      <c r="AB44" s="19" t="n"/>
      <c r="AC44" s="19" t="n"/>
      <c r="AD44" s="19" t="n"/>
      <c r="AE44" s="19" t="n"/>
      <c r="AF44" s="19" t="n"/>
      <c r="AG44" s="19" t="n"/>
      <c r="AH44" s="19" t="n"/>
      <c r="AI44" s="19" t="n"/>
      <c r="AJ44" s="19" t="n"/>
      <c r="AK44" s="19" t="n"/>
      <c r="AL44" s="19" t="n"/>
      <c r="AM44" s="19" t="n"/>
      <c r="AN44" s="19" t="n"/>
      <c r="AO44" s="19" t="n"/>
      <c r="AP44" s="19" t="n"/>
      <c r="AQ44" s="19" t="n"/>
      <c r="AR44" s="19" t="n"/>
      <c r="AS44" s="19" t="n"/>
      <c r="AT44" s="20" t="n"/>
    </row>
    <row r="45">
      <c r="B45" s="22" t="n"/>
      <c r="C45" s="41" t="n"/>
      <c r="D45" s="23" t="n"/>
      <c r="E45" s="24" t="n"/>
      <c r="F45" s="24" t="n"/>
      <c r="G45" s="24" t="n"/>
      <c r="H45" s="24" t="n"/>
      <c r="I45" s="24" t="n"/>
      <c r="J45" s="24" t="n"/>
      <c r="K45" s="24" t="n"/>
      <c r="L45" s="24" t="n"/>
      <c r="M45" s="24" t="n"/>
      <c r="N45" s="24" t="n"/>
      <c r="O45" s="24" t="n"/>
      <c r="P45" s="24" t="n"/>
      <c r="Q45" s="24" t="n"/>
      <c r="R45" s="24" t="n"/>
      <c r="S45" s="24" t="n"/>
      <c r="T45" s="24" t="n"/>
      <c r="U45" s="24" t="n"/>
      <c r="V45" s="24" t="n"/>
      <c r="W45" s="24" t="n"/>
      <c r="X45" s="25" t="n"/>
      <c r="Y45" s="51" t="n"/>
      <c r="Z45" s="23" t="n"/>
      <c r="AA45" s="24" t="n"/>
      <c r="AB45" s="24" t="n"/>
      <c r="AC45" s="24" t="n"/>
      <c r="AD45" s="24" t="n"/>
      <c r="AE45" s="24" t="n"/>
      <c r="AF45" s="24" t="n"/>
      <c r="AG45" s="24" t="n"/>
      <c r="AH45" s="24" t="n"/>
      <c r="AI45" s="24" t="n"/>
      <c r="AJ45" s="24" t="n"/>
      <c r="AK45" s="24" t="n"/>
      <c r="AL45" s="24" t="n"/>
      <c r="AM45" s="24" t="n"/>
      <c r="AN45" s="24" t="n"/>
      <c r="AO45" s="24" t="n"/>
      <c r="AP45" s="24" t="n"/>
      <c r="AQ45" s="24" t="n"/>
      <c r="AR45" s="24" t="n"/>
      <c r="AS45" s="24" t="n"/>
      <c r="AT45" s="25" t="n"/>
    </row>
    <row r="46">
      <c r="B46" s="22" t="n"/>
      <c r="C46" s="41" t="n"/>
      <c r="D46" s="51" t="n"/>
      <c r="E46" s="51" t="n"/>
      <c r="F46" s="51" t="n"/>
      <c r="G46" s="51" t="n"/>
      <c r="H46" s="51" t="n"/>
      <c r="I46" s="51" t="n"/>
      <c r="J46" s="51" t="n"/>
      <c r="K46" s="51" t="n"/>
      <c r="L46" s="51" t="n"/>
      <c r="M46" s="51" t="n"/>
      <c r="N46" s="51" t="n"/>
      <c r="O46" s="51" t="n"/>
      <c r="P46" s="51" t="n"/>
      <c r="Q46" s="51" t="n"/>
      <c r="R46" s="51" t="n"/>
      <c r="S46" s="51" t="n"/>
      <c r="T46" s="51" t="n"/>
      <c r="U46" s="51" t="n"/>
      <c r="V46" s="51" t="n"/>
      <c r="W46" s="51" t="n"/>
      <c r="X46" s="51" t="n"/>
      <c r="Y46" s="51" t="n"/>
      <c r="Z46" s="51" t="n"/>
      <c r="AA46" s="51" t="n"/>
      <c r="AB46" s="51" t="n"/>
      <c r="AC46" s="51" t="n"/>
      <c r="AD46" s="51" t="n"/>
      <c r="AE46" s="51" t="n"/>
      <c r="AF46" s="51" t="n"/>
      <c r="AG46" s="51" t="n"/>
      <c r="AH46" s="51" t="n"/>
      <c r="AI46" s="51" t="n"/>
      <c r="AJ46" s="51" t="n"/>
      <c r="AK46" s="51" t="n"/>
      <c r="AL46" s="51" t="n"/>
      <c r="AM46" s="51" t="n"/>
      <c r="AN46" s="51" t="n"/>
      <c r="AO46" s="51" t="n"/>
      <c r="AP46" s="51" t="n"/>
      <c r="AQ46" s="51" t="n"/>
      <c r="AR46" s="51" t="n"/>
      <c r="AS46" s="51" t="n"/>
      <c r="AT46" s="51" t="n"/>
    </row>
    <row r="47">
      <c r="B47" s="22" t="n"/>
      <c r="C47" s="41" t="n"/>
      <c r="D47" s="51" t="n"/>
      <c r="E47" s="51" t="n"/>
      <c r="F47" s="51" t="n"/>
      <c r="G47" s="51" t="n"/>
      <c r="H47" s="51" t="n"/>
      <c r="I47" s="51" t="n"/>
      <c r="J47" s="51" t="n"/>
      <c r="K47" s="51" t="n"/>
      <c r="L47" s="51" t="n"/>
      <c r="M47" s="51" t="n"/>
      <c r="N47" s="51" t="n"/>
      <c r="O47" s="51" t="n"/>
      <c r="P47" s="51" t="n"/>
      <c r="Q47" s="51" t="n"/>
      <c r="R47" s="51" t="n"/>
      <c r="S47" s="51" t="n"/>
      <c r="T47" s="51" t="n"/>
      <c r="U47" s="51" t="n"/>
      <c r="V47" s="51" t="n"/>
      <c r="W47" s="51" t="n"/>
      <c r="X47" s="51" t="n"/>
      <c r="Y47" s="51" t="n"/>
      <c r="Z47" s="55" t="inlineStr">
        <is>
          <t>BLOQUEAR</t>
        </is>
      </c>
      <c r="AA47" s="16" t="n"/>
      <c r="AB47" s="16" t="n"/>
      <c r="AC47" s="16" t="n"/>
      <c r="AD47" s="16" t="n"/>
      <c r="AE47" s="16" t="n"/>
      <c r="AF47" s="16" t="n"/>
      <c r="AG47" s="16" t="n"/>
      <c r="AH47" s="16" t="n"/>
      <c r="AI47" s="17" t="n"/>
      <c r="AJ47" s="51" t="n"/>
      <c r="AK47" s="69" t="inlineStr">
        <is>
          <t>Marco Escolhido</t>
        </is>
      </c>
      <c r="AL47" s="16" t="n"/>
      <c r="AM47" s="16" t="n"/>
      <c r="AN47" s="16" t="n"/>
      <c r="AO47" s="69" t="inlineStr">
        <is>
          <t>Refino</t>
        </is>
      </c>
      <c r="AP47" s="16" t="n"/>
      <c r="AQ47" s="69" t="inlineStr">
        <is>
          <t>Corpo</t>
        </is>
      </c>
      <c r="AR47" s="16" t="n"/>
      <c r="AS47" s="65" t="inlineStr">
        <is>
          <t>Leque</t>
        </is>
      </c>
      <c r="AT47" s="17" t="n"/>
    </row>
    <row r="48" ht="27" customHeight="1">
      <c r="B48" s="22" t="n"/>
      <c r="C48" s="41" t="n"/>
      <c r="D48" s="66" t="n">
        <v>3</v>
      </c>
      <c r="E48" s="19" t="n"/>
      <c r="F48" s="20" t="n"/>
      <c r="G48" s="93" t="inlineStr">
        <is>
          <t>REGISTRO</t>
        </is>
      </c>
      <c r="H48" s="16" t="n"/>
      <c r="I48" s="16" t="n"/>
      <c r="J48" s="16" t="n"/>
      <c r="K48" s="16" t="n"/>
      <c r="L48" s="16" t="n"/>
      <c r="M48" s="16" t="n"/>
      <c r="N48" s="16" t="n"/>
      <c r="O48" s="16" t="n"/>
      <c r="P48" s="16" t="n"/>
      <c r="Q48" s="16" t="n"/>
      <c r="R48" s="16" t="n"/>
      <c r="S48" s="16" t="n"/>
      <c r="T48" s="16" t="n"/>
      <c r="U48" s="16" t="n"/>
      <c r="V48" s="16" t="n"/>
      <c r="W48" s="16" t="n"/>
      <c r="X48" s="17" t="n"/>
      <c r="Y48" s="51" t="n"/>
      <c r="Z48" s="85">
        <f>"2d10 + " &amp; D51-11</f>
        <v/>
      </c>
      <c r="AA48" s="16" t="n"/>
      <c r="AB48" s="16" t="n"/>
      <c r="AC48" s="16" t="n"/>
      <c r="AD48" s="16" t="n"/>
      <c r="AE48" s="16" t="n"/>
      <c r="AF48" s="16" t="n"/>
      <c r="AG48" s="16" t="n"/>
      <c r="AH48" s="16" t="n"/>
      <c r="AI48" s="17" t="n"/>
      <c r="AJ48" s="70" t="n"/>
      <c r="AK48" s="94">
        <f>IF(DADOS!$AK$12&gt;DADOS!$AK$5,DADOS!$AK$12-DADOS!$AK$5&amp;" a mais",IF(DADOS!$AK$5=0,"Escolha 1 a cada 4 Nv",DADOS!$AK$5-DADOS!$AK$12&amp;" de "&amp;DADOS!$AK$5&amp;" para escolher"))</f>
        <v/>
      </c>
      <c r="AL48" s="16" t="n"/>
      <c r="AM48" s="16" t="n"/>
      <c r="AN48" s="17" t="n"/>
      <c r="AO48" s="95" t="n">
        <v>0</v>
      </c>
      <c r="AP48" s="16" t="n"/>
      <c r="AQ48" s="95" t="n">
        <v>0</v>
      </c>
      <c r="AR48" s="16" t="n"/>
      <c r="AS48" s="68" t="n">
        <v>0</v>
      </c>
      <c r="AT48" s="17" t="n"/>
    </row>
    <row r="49">
      <c r="B49" s="22" t="n"/>
      <c r="C49" s="41" t="n"/>
      <c r="D49" s="23" t="n"/>
      <c r="E49" s="24" t="n"/>
      <c r="F49" s="25" t="n"/>
      <c r="G49" s="51" t="n"/>
      <c r="H49" s="51" t="n"/>
      <c r="I49" s="51" t="n"/>
      <c r="J49" s="51" t="n"/>
      <c r="K49" s="51" t="n"/>
      <c r="L49" s="51" t="n"/>
      <c r="M49" s="51" t="n"/>
      <c r="N49" s="51" t="n"/>
      <c r="O49" s="51" t="n"/>
      <c r="P49" s="51" t="n"/>
      <c r="Q49" s="51" t="n"/>
      <c r="R49" s="51" t="n"/>
      <c r="S49" s="51" t="n"/>
      <c r="T49" s="51" t="n"/>
      <c r="U49" s="51" t="n"/>
      <c r="V49" s="51" t="n"/>
      <c r="W49" s="51" t="n"/>
      <c r="X49" s="51" t="n"/>
      <c r="Y49" s="51" t="n"/>
      <c r="Z49" s="51" t="n"/>
      <c r="AA49" s="51" t="n"/>
      <c r="AB49" s="51" t="n"/>
      <c r="AC49" s="51" t="n"/>
      <c r="AD49" s="51" t="n"/>
      <c r="AE49" s="51" t="n"/>
      <c r="AF49" s="51" t="n"/>
      <c r="AG49" s="51" t="n"/>
      <c r="AH49" s="51" t="n"/>
      <c r="AI49" s="51" t="n"/>
      <c r="AJ49" s="51" t="n"/>
      <c r="AK49" s="51" t="n"/>
      <c r="AL49" s="51" t="n"/>
      <c r="AM49" s="51" t="n"/>
      <c r="AN49" s="51" t="n"/>
      <c r="AO49" s="51" t="n"/>
      <c r="AP49" s="51" t="n"/>
      <c r="AQ49" s="51" t="n"/>
      <c r="AR49" s="51" t="n"/>
      <c r="AS49" s="51" t="n"/>
      <c r="AT49" s="51" t="n"/>
    </row>
    <row r="50">
      <c r="B50" s="22" t="n"/>
      <c r="C50" s="41" t="n"/>
      <c r="D50" s="55" t="inlineStr">
        <is>
          <t>DEFESA</t>
        </is>
      </c>
      <c r="E50" s="16" t="n"/>
      <c r="F50" s="16" t="n"/>
      <c r="G50" s="16" t="n"/>
      <c r="H50" s="16" t="n"/>
      <c r="I50" s="16" t="n"/>
      <c r="J50" s="16" t="n"/>
      <c r="K50" s="17" t="n"/>
      <c r="L50" s="78" t="inlineStr">
        <is>
          <t>Buff/Debuff</t>
        </is>
      </c>
      <c r="M50" s="17" t="n"/>
      <c r="N50" s="51" t="n"/>
      <c r="O50" s="55" t="inlineStr">
        <is>
          <t>PROTEÇÃO</t>
        </is>
      </c>
      <c r="P50" s="16" t="n"/>
      <c r="Q50" s="16" t="n"/>
      <c r="R50" s="16" t="n"/>
      <c r="S50" s="16" t="n"/>
      <c r="T50" s="16" t="n"/>
      <c r="U50" s="16" t="n"/>
      <c r="V50" s="17" t="n"/>
      <c r="W50" s="78" t="inlineStr">
        <is>
          <t>Buff/Debuff</t>
        </is>
      </c>
      <c r="X50" s="17" t="n"/>
      <c r="Y50" s="51" t="n"/>
      <c r="Z50" s="55" t="inlineStr">
        <is>
          <t>EQUIPAMENTO</t>
        </is>
      </c>
      <c r="AA50" s="16" t="n"/>
      <c r="AB50" s="16" t="n"/>
      <c r="AC50" s="16" t="n"/>
      <c r="AD50" s="16" t="n"/>
      <c r="AE50" s="16" t="n"/>
      <c r="AF50" s="16" t="n"/>
      <c r="AG50" s="16" t="n"/>
      <c r="AH50" s="16" t="n"/>
      <c r="AI50" s="17" t="n"/>
      <c r="AJ50" s="51" t="n"/>
      <c r="AK50" s="55" t="inlineStr">
        <is>
          <t>INICIATIVA</t>
        </is>
      </c>
      <c r="AL50" s="16" t="n"/>
      <c r="AM50" s="16" t="n"/>
      <c r="AN50" s="16" t="n"/>
      <c r="AO50" s="16" t="n"/>
      <c r="AP50" s="16" t="n"/>
      <c r="AQ50" s="16" t="n"/>
      <c r="AR50" s="17" t="n"/>
      <c r="AS50" s="78" t="inlineStr">
        <is>
          <t>Buff/Debuff</t>
        </is>
      </c>
      <c r="AT50" s="17" t="n"/>
    </row>
    <row r="51" ht="21" customHeight="1">
      <c r="B51" s="22" t="n"/>
      <c r="C51" s="41" t="n"/>
      <c r="D51" s="96">
        <f>10+IF($Z$51="",$L$19,MIN($L$19,IFERROR(VALUE(VLOOKUP($Z$51,DADOS!$AE$5:$AH$31,3,FALSE)&amp;""),$L$19)))+$O$51-DADOS!$CZ$45+IFERROR(VALUE($L$51&amp;""),0)</f>
        <v/>
      </c>
      <c r="E51" s="16" t="n"/>
      <c r="F51" s="16" t="n"/>
      <c r="G51" s="16" t="n"/>
      <c r="H51" s="16" t="n"/>
      <c r="I51" s="16" t="n"/>
      <c r="J51" s="16" t="n"/>
      <c r="K51" s="17" t="n"/>
      <c r="L51" s="82" t="n">
        <v>0</v>
      </c>
      <c r="M51" s="17" t="n"/>
      <c r="N51" s="51" t="n"/>
      <c r="O51" s="96">
        <f>IF($Z$51="",FLOOR(MIN(10,$O$65+MIN($O$65-1,IFERROR(VALUE($AO$48&amp;""),0)))/3,1)+1,IF(VLOOKUP($Z$51,DADOS!$AE$5:$AH$31,4,FALSE)="sim",0,FLOOR(MIN(10,$O$65+MIN($O$65-1,IFERROR(VALUE($AO$48&amp;""),0)))/3,1)+1)+VLOOKUP($Z$51,DADOS!$AE$5:$AH$31,2,FALSE))+IFERROR(VALUE($W$51&amp;""),0)</f>
        <v/>
      </c>
      <c r="P51" s="16" t="n"/>
      <c r="Q51" s="16" t="n"/>
      <c r="R51" s="16" t="n"/>
      <c r="S51" s="16" t="n"/>
      <c r="T51" s="16" t="n"/>
      <c r="U51" s="16" t="n"/>
      <c r="V51" s="17" t="n"/>
      <c r="W51" s="82" t="n">
        <v>0</v>
      </c>
      <c r="X51" s="17" t="n"/>
      <c r="Y51" s="51" t="n"/>
      <c r="Z51" s="85">
        <f>IF(DADOS!$CZ$27=1,'FICHA PESSOAL'!$AH$49&amp;IF(DADOS!$CZ$19=1," + "&amp;'FICHA PESSOAL'!$S$49,""),IF(DADOS!$CZ$19=1,'FICHA PESSOAL'!$S$49,""))</f>
        <v/>
      </c>
      <c r="AA51" s="16" t="n"/>
      <c r="AB51" s="16" t="n"/>
      <c r="AC51" s="16" t="n"/>
      <c r="AD51" s="16" t="n"/>
      <c r="AE51" s="16" t="n"/>
      <c r="AF51" s="16" t="n"/>
      <c r="AG51" s="16" t="n"/>
      <c r="AH51" s="16" t="n"/>
      <c r="AI51" s="17" t="n"/>
      <c r="AJ51" s="51" t="n"/>
      <c r="AK51" s="96">
        <f>"d20 + "&amp;($L$19+IFERROR(VALUE($AS$51&amp;""),0))</f>
        <v/>
      </c>
      <c r="AL51" s="16" t="n"/>
      <c r="AM51" s="16" t="n"/>
      <c r="AN51" s="16" t="n"/>
      <c r="AO51" s="16" t="n"/>
      <c r="AP51" s="16" t="n"/>
      <c r="AQ51" s="16" t="n"/>
      <c r="AR51" s="17" t="n"/>
      <c r="AS51" s="82" t="n">
        <v>0</v>
      </c>
      <c r="AT51" s="17" t="n"/>
    </row>
    <row r="52">
      <c r="B52" s="22" t="n"/>
      <c r="C52" s="41" t="n"/>
      <c r="D52" s="51" t="n"/>
      <c r="E52" s="51" t="n"/>
      <c r="F52" s="51" t="n"/>
      <c r="G52" s="51" t="n"/>
      <c r="H52" s="51" t="n"/>
      <c r="I52" s="51" t="n"/>
      <c r="J52" s="51" t="n"/>
      <c r="K52" s="51" t="n"/>
      <c r="L52" s="51" t="n"/>
      <c r="M52" s="51" t="n"/>
      <c r="N52" s="51" t="n"/>
      <c r="O52" s="51" t="n"/>
      <c r="P52" s="51" t="n"/>
      <c r="Q52" s="51" t="n"/>
      <c r="R52" s="51" t="n"/>
      <c r="S52" s="51" t="n"/>
      <c r="T52" s="51" t="n"/>
      <c r="U52" s="51" t="n"/>
      <c r="V52" s="51" t="n"/>
      <c r="W52" s="51" t="n"/>
      <c r="X52" s="51" t="n"/>
      <c r="Y52" s="51" t="n"/>
      <c r="Z52" s="51" t="n"/>
      <c r="AA52" s="51" t="n"/>
      <c r="AB52" s="51" t="n"/>
      <c r="AC52" s="51" t="n"/>
      <c r="AD52" s="51" t="n"/>
      <c r="AE52" s="51" t="n"/>
      <c r="AF52" s="51" t="n"/>
      <c r="AG52" s="51" t="n"/>
      <c r="AH52" s="51" t="n"/>
      <c r="AI52" s="51" t="n"/>
      <c r="AJ52" s="51" t="n"/>
      <c r="AK52" s="51" t="n"/>
      <c r="AL52" s="51" t="n"/>
      <c r="AM52" s="51" t="n"/>
      <c r="AN52" s="51" t="n"/>
      <c r="AO52" s="51" t="n"/>
      <c r="AP52" s="51" t="n"/>
      <c r="AQ52" s="51" t="n"/>
      <c r="AR52" s="51" t="n"/>
      <c r="AS52" s="51" t="n"/>
      <c r="AT52" s="51" t="n"/>
    </row>
    <row r="53">
      <c r="B53" s="22" t="n"/>
      <c r="C53" s="41" t="n"/>
      <c r="D53" s="51" t="n"/>
      <c r="E53" s="51" t="n"/>
      <c r="F53" s="51" t="n"/>
      <c r="G53" s="51" t="n"/>
      <c r="H53" s="51" t="n"/>
      <c r="I53" s="51" t="n"/>
      <c r="J53" s="51" t="n"/>
      <c r="K53" s="51" t="n"/>
      <c r="L53" s="51" t="n"/>
      <c r="M53" s="51" t="n"/>
      <c r="N53" s="51" t="n"/>
      <c r="O53" s="51" t="n"/>
      <c r="P53" s="51" t="n"/>
      <c r="Q53" s="51" t="n"/>
      <c r="R53" s="51" t="n"/>
      <c r="S53" s="51" t="n"/>
      <c r="T53" s="51" t="n"/>
      <c r="U53" s="51" t="n"/>
      <c r="V53" s="51" t="n"/>
      <c r="W53" s="51" t="n"/>
      <c r="X53" s="51" t="n"/>
      <c r="Y53" s="51" t="n"/>
      <c r="Z53" s="51" t="n"/>
      <c r="AA53" s="51" t="n"/>
      <c r="AB53" s="51" t="n"/>
      <c r="AC53" s="51" t="n"/>
      <c r="AD53" s="51" t="n"/>
      <c r="AE53" s="51" t="n"/>
      <c r="AF53" s="51" t="n"/>
      <c r="AG53" s="51" t="n"/>
      <c r="AH53" s="51" t="n"/>
      <c r="AI53" s="51" t="n"/>
      <c r="AJ53" s="51" t="n"/>
      <c r="AK53" s="51" t="n"/>
      <c r="AL53" s="51" t="n"/>
      <c r="AM53" s="51" t="n"/>
      <c r="AN53" s="51" t="n"/>
      <c r="AO53" s="51" t="n"/>
      <c r="AP53" s="51" t="n"/>
      <c r="AQ53" s="51" t="n"/>
      <c r="AR53" s="51" t="n"/>
      <c r="AS53" s="51" t="n"/>
      <c r="AT53" s="51" t="n"/>
    </row>
    <row r="54">
      <c r="B54" s="22" t="n"/>
      <c r="C54" s="41" t="n"/>
      <c r="D54" s="55" t="inlineStr">
        <is>
          <t>CD DE FEITIÇO</t>
        </is>
      </c>
      <c r="E54" s="16" t="n"/>
      <c r="F54" s="16" t="n"/>
      <c r="G54" s="16" t="n"/>
      <c r="H54" s="16" t="n"/>
      <c r="I54" s="16" t="n"/>
      <c r="J54" s="16" t="n"/>
      <c r="K54" s="17" t="n"/>
      <c r="L54" s="78" t="inlineStr">
        <is>
          <t>Buff/Debuff</t>
        </is>
      </c>
      <c r="M54" s="17" t="n"/>
      <c r="N54" s="51" t="n"/>
      <c r="O54" s="55" t="inlineStr">
        <is>
          <t>CONJURAÇÃO</t>
        </is>
      </c>
      <c r="P54" s="16" t="n"/>
      <c r="Q54" s="16" t="n"/>
      <c r="R54" s="16" t="n"/>
      <c r="S54" s="16" t="n"/>
      <c r="T54" s="16" t="n"/>
      <c r="U54" s="16" t="n"/>
      <c r="V54" s="17" t="n"/>
      <c r="W54" s="78" t="inlineStr">
        <is>
          <t>Buff/Debuff</t>
        </is>
      </c>
      <c r="X54" s="17" t="n"/>
      <c r="Y54" s="51" t="n"/>
      <c r="Z54" s="55" t="inlineStr">
        <is>
          <t>CORPO A CORPO</t>
        </is>
      </c>
      <c r="AA54" s="16" t="n"/>
      <c r="AB54" s="16" t="n"/>
      <c r="AC54" s="16" t="n"/>
      <c r="AD54" s="16" t="n"/>
      <c r="AE54" s="16" t="n"/>
      <c r="AF54" s="16" t="n"/>
      <c r="AG54" s="17" t="n"/>
      <c r="AH54" s="78" t="inlineStr">
        <is>
          <t>Buff/Debuff</t>
        </is>
      </c>
      <c r="AI54" s="17" t="n"/>
      <c r="AJ54" s="51" t="n"/>
      <c r="AK54" s="55" t="inlineStr">
        <is>
          <t>À DISTÂNCIA</t>
        </is>
      </c>
      <c r="AL54" s="16" t="n"/>
      <c r="AM54" s="16" t="n"/>
      <c r="AN54" s="16" t="n"/>
      <c r="AO54" s="16" t="n"/>
      <c r="AP54" s="16" t="n"/>
      <c r="AQ54" s="16" t="n"/>
      <c r="AR54" s="17" t="n"/>
      <c r="AS54" s="78" t="inlineStr">
        <is>
          <t>Buff/Debuff</t>
        </is>
      </c>
      <c r="AT54" s="17" t="n"/>
    </row>
    <row r="55" ht="21" customHeight="1">
      <c r="B55" s="22" t="n"/>
      <c r="C55" s="41" t="n"/>
      <c r="D55" s="96">
        <f>8+D59+IFS(Z59="FORÇA",$D$19, Z59="DESTREZA",$L$19, Z59="CONSTITUIÇÃO",$T$19, Z59="INTELIGÊNCIA",$AB$19, Z59="ESSÊNCIA",$AJ$19)+IFERROR(VALUE($L$55&amp;""),0)</f>
        <v/>
      </c>
      <c r="E55" s="16" t="n"/>
      <c r="F55" s="16" t="n"/>
      <c r="G55" s="16" t="n"/>
      <c r="H55" s="16" t="n"/>
      <c r="I55" s="16" t="n"/>
      <c r="J55" s="16" t="n"/>
      <c r="K55" s="17" t="n"/>
      <c r="L55" s="82" t="n">
        <v>0</v>
      </c>
      <c r="M55" s="17" t="n"/>
      <c r="N55" s="51" t="n"/>
      <c r="O55" s="96">
        <f>"d20 + "&amp;(D59+IFS(Z59="FORÇA",$D$19, Z59="DESTREZA",$L$19, Z59="CONSTITUIÇÃO",$T$19, Z59="INTELIGÊNCIA",$AB$19, Z59="ESSÊNCIA",$AJ$19)+IFERROR(VALUE($W$55&amp;""),0))</f>
        <v/>
      </c>
      <c r="P55" s="16" t="n"/>
      <c r="Q55" s="16" t="n"/>
      <c r="R55" s="16" t="n"/>
      <c r="S55" s="16" t="n"/>
      <c r="T55" s="16" t="n"/>
      <c r="U55" s="16" t="n"/>
      <c r="V55" s="17" t="n"/>
      <c r="W55" s="82" t="n">
        <v>0</v>
      </c>
      <c r="X55" s="17" t="n"/>
      <c r="Y55" s="51" t="n"/>
      <c r="Z55" s="96">
        <f>"d20 + "&amp;(D59+IFS(AK59="FORÇA",$D$19, AK59="DESTREZA",$L$19, AK59="CONSTITUIÇÃO",$T$19, AK59="INTELIGÊNCIA",$AB$19, AK59="ESSÊNCIA",$AJ$19)+IFERROR(VALUE($AH$55&amp;""),0))</f>
        <v/>
      </c>
      <c r="AA55" s="16" t="n"/>
      <c r="AB55" s="16" t="n"/>
      <c r="AC55" s="16" t="n"/>
      <c r="AD55" s="16" t="n"/>
      <c r="AE55" s="16" t="n"/>
      <c r="AF55" s="16" t="n"/>
      <c r="AG55" s="17" t="n"/>
      <c r="AH55" s="82" t="n">
        <v>0</v>
      </c>
      <c r="AI55" s="17" t="n"/>
      <c r="AJ55" s="51" t="n"/>
      <c r="AK55" s="96">
        <f>"d20 + "&amp;(D59+IFS(AE62="FORÇA",$D$19, AE62="DESTREZA",$L$19, AE62="CONSTITUIÇÃO",$T$19, AE62="INTELIGÊNCIA",$AB$19, AE62="ESSÊNCIA",$AJ$19)+IFERROR(VALUE($AS$55&amp;""),0))</f>
        <v/>
      </c>
      <c r="AL55" s="16" t="n"/>
      <c r="AM55" s="16" t="n"/>
      <c r="AN55" s="16" t="n"/>
      <c r="AO55" s="16" t="n"/>
      <c r="AP55" s="16" t="n"/>
      <c r="AQ55" s="16" t="n"/>
      <c r="AR55" s="17" t="n"/>
      <c r="AS55" s="82" t="n">
        <v>0</v>
      </c>
      <c r="AT55" s="17" t="n"/>
    </row>
    <row r="56">
      <c r="B56" s="22" t="n"/>
      <c r="C56" s="41" t="n"/>
      <c r="D56" s="51" t="n"/>
      <c r="E56" s="51" t="n"/>
      <c r="F56" s="51" t="n"/>
      <c r="G56" s="51" t="n"/>
      <c r="H56" s="51" t="n"/>
      <c r="I56" s="51" t="n"/>
      <c r="J56" s="51" t="n"/>
      <c r="K56" s="51" t="n"/>
      <c r="L56" s="51" t="n"/>
      <c r="M56" s="51" t="n"/>
      <c r="N56" s="51" t="n"/>
      <c r="O56" s="51" t="n"/>
      <c r="P56" s="51" t="n"/>
      <c r="Q56" s="51" t="n"/>
      <c r="R56" s="51" t="n"/>
      <c r="S56" s="51" t="n"/>
      <c r="T56" s="51" t="n"/>
      <c r="U56" s="51" t="n"/>
      <c r="V56" s="51" t="n"/>
      <c r="W56" s="51" t="n"/>
      <c r="X56" s="51" t="n"/>
      <c r="Y56" s="51" t="n"/>
      <c r="Z56" s="51" t="n"/>
      <c r="AA56" s="51" t="n"/>
      <c r="AB56" s="51" t="n"/>
      <c r="AC56" s="51" t="n"/>
      <c r="AD56" s="51" t="n"/>
      <c r="AE56" s="51" t="n"/>
      <c r="AF56" s="51" t="n"/>
      <c r="AG56" s="51" t="n"/>
      <c r="AH56" s="51" t="n"/>
      <c r="AI56" s="51" t="n"/>
      <c r="AJ56" s="51" t="n"/>
      <c r="AK56" s="51" t="n"/>
      <c r="AL56" s="51" t="n"/>
      <c r="AM56" s="51" t="n"/>
      <c r="AN56" s="51" t="n"/>
      <c r="AO56" s="51" t="n"/>
      <c r="AP56" s="51" t="n"/>
      <c r="AQ56" s="51" t="n"/>
      <c r="AR56" s="51" t="n"/>
      <c r="AS56" s="51" t="n"/>
      <c r="AT56" s="51" t="n"/>
    </row>
    <row r="57">
      <c r="B57" s="22" t="n"/>
      <c r="C57" s="41" t="n"/>
      <c r="D57" s="51" t="n"/>
      <c r="E57" s="51" t="n"/>
      <c r="F57" s="51" t="n"/>
      <c r="G57" s="51" t="n"/>
      <c r="H57" s="51" t="n"/>
      <c r="I57" s="51" t="n"/>
      <c r="J57" s="51" t="n"/>
      <c r="K57" s="51" t="n"/>
      <c r="L57" s="51" t="n"/>
      <c r="M57" s="51" t="n"/>
      <c r="N57" s="51" t="n"/>
      <c r="O57" s="51" t="n"/>
      <c r="P57" s="51" t="n"/>
      <c r="Q57" s="51" t="n"/>
      <c r="R57" s="51" t="n"/>
      <c r="S57" s="51" t="n"/>
      <c r="T57" s="51" t="n"/>
      <c r="U57" s="51" t="n"/>
      <c r="V57" s="51" t="n"/>
      <c r="W57" s="51" t="n"/>
      <c r="X57" s="51" t="n"/>
      <c r="Y57" s="51" t="n"/>
      <c r="Z57" s="51" t="n"/>
      <c r="AA57" s="51" t="n"/>
      <c r="AB57" s="51" t="n"/>
      <c r="AC57" s="51" t="n"/>
      <c r="AD57" s="51" t="n"/>
      <c r="AE57" s="51" t="n"/>
      <c r="AF57" s="51" t="n"/>
      <c r="AG57" s="51" t="n"/>
      <c r="AH57" s="51" t="n"/>
      <c r="AI57" s="51" t="n"/>
      <c r="AJ57" s="51" t="n"/>
      <c r="AK57" s="51" t="n"/>
      <c r="AL57" s="51" t="n"/>
      <c r="AM57" s="51" t="n"/>
      <c r="AN57" s="51" t="n"/>
      <c r="AO57" s="51" t="n"/>
      <c r="AP57" s="51" t="n"/>
      <c r="AQ57" s="51" t="n"/>
      <c r="AR57" s="51" t="n"/>
      <c r="AS57" s="51" t="n"/>
      <c r="AT57" s="51" t="n"/>
    </row>
    <row r="58">
      <c r="B58" s="22" t="n"/>
      <c r="C58" s="41" t="n"/>
      <c r="D58" s="55" t="inlineStr">
        <is>
          <t>MAESTRIA</t>
        </is>
      </c>
      <c r="E58" s="16" t="n"/>
      <c r="F58" s="16" t="n"/>
      <c r="G58" s="16" t="n"/>
      <c r="H58" s="16" t="n"/>
      <c r="I58" s="16" t="n"/>
      <c r="J58" s="16" t="n"/>
      <c r="K58" s="16" t="n"/>
      <c r="L58" s="16" t="n"/>
      <c r="M58" s="17" t="n"/>
      <c r="N58" s="51" t="n"/>
      <c r="O58" s="55" t="inlineStr">
        <is>
          <t>DESLOCAMENTO</t>
        </is>
      </c>
      <c r="P58" s="16" t="n"/>
      <c r="Q58" s="16" t="n"/>
      <c r="R58" s="16" t="n"/>
      <c r="S58" s="16" t="n"/>
      <c r="T58" s="16" t="n"/>
      <c r="U58" s="16" t="n"/>
      <c r="V58" s="17" t="n"/>
      <c r="W58" s="78" t="inlineStr">
        <is>
          <t>Buff/Debuff</t>
        </is>
      </c>
      <c r="X58" s="17" t="n"/>
      <c r="Y58" s="51" t="n"/>
      <c r="Z58" s="55" t="inlineStr">
        <is>
          <t xml:space="preserve">ATRIBUTO DE CONJURAÇÃO </t>
        </is>
      </c>
      <c r="AA58" s="16" t="n"/>
      <c r="AB58" s="16" t="n"/>
      <c r="AC58" s="16" t="n"/>
      <c r="AD58" s="16" t="n"/>
      <c r="AE58" s="16" t="n"/>
      <c r="AF58" s="16" t="n"/>
      <c r="AG58" s="16" t="n"/>
      <c r="AH58" s="16" t="n"/>
      <c r="AI58" s="17" t="n"/>
      <c r="AJ58" s="51" t="n"/>
      <c r="AK58" s="55" t="inlineStr">
        <is>
          <t>ATRIBUTO DE ATAQUE - CORPO A CORPO</t>
        </is>
      </c>
      <c r="AL58" s="16" t="n"/>
      <c r="AM58" s="16" t="n"/>
      <c r="AN58" s="16" t="n"/>
      <c r="AO58" s="16" t="n"/>
      <c r="AP58" s="16" t="n"/>
      <c r="AQ58" s="16" t="n"/>
      <c r="AR58" s="16" t="n"/>
      <c r="AS58" s="16" t="n"/>
      <c r="AT58" s="17" t="n"/>
    </row>
    <row r="59" ht="21" customHeight="1">
      <c r="B59" s="22" t="n"/>
      <c r="C59" s="41" t="n"/>
      <c r="D59" s="96">
        <f>(1+COUNTIF(DADOS!$X$5:$X$7,"&lt;="&amp;$AH$11))</f>
        <v/>
      </c>
      <c r="E59" s="16" t="n"/>
      <c r="F59" s="16" t="n"/>
      <c r="G59" s="16" t="n"/>
      <c r="H59" s="16" t="n"/>
      <c r="I59" s="16" t="n"/>
      <c r="J59" s="16" t="n"/>
      <c r="K59" s="16" t="n"/>
      <c r="L59" s="16" t="n"/>
      <c r="M59" s="17" t="n"/>
      <c r="N59" s="51" t="n"/>
      <c r="O59" s="96">
        <f>IF(DADOS!$CZ$46=1,0,MIN(IF(N($O$40)&gt;=2,4.5,9999),(9+IFERROR(VALUE($W$59&amp;""),0))/IF(DADOS!$CZ$44=1,2,1)))&amp;" m"</f>
        <v/>
      </c>
      <c r="P59" s="16" t="n"/>
      <c r="Q59" s="16" t="n"/>
      <c r="R59" s="16" t="n"/>
      <c r="S59" s="16" t="n"/>
      <c r="T59" s="16" t="n"/>
      <c r="U59" s="16" t="n"/>
      <c r="V59" s="17" t="n"/>
      <c r="W59" s="82" t="n">
        <v>0</v>
      </c>
      <c r="X59" s="17" t="n"/>
      <c r="Y59" s="41" t="n"/>
      <c r="Z59" s="96" t="inlineStr">
        <is>
          <t>ESSÊNCIA</t>
        </is>
      </c>
      <c r="AA59" s="16" t="n"/>
      <c r="AB59" s="16" t="n"/>
      <c r="AC59" s="16" t="n"/>
      <c r="AD59" s="16" t="n"/>
      <c r="AE59" s="16" t="n"/>
      <c r="AF59" s="16" t="n"/>
      <c r="AG59" s="16" t="n"/>
      <c r="AH59" s="16" t="n"/>
      <c r="AI59" s="17" t="n"/>
      <c r="AJ59" s="51" t="n"/>
      <c r="AK59" s="96" t="inlineStr">
        <is>
          <t>FORÇA</t>
        </is>
      </c>
      <c r="AL59" s="16" t="n"/>
      <c r="AM59" s="16" t="n"/>
      <c r="AN59" s="16" t="n"/>
      <c r="AO59" s="16" t="n"/>
      <c r="AP59" s="16" t="n"/>
      <c r="AQ59" s="16" t="n"/>
      <c r="AR59" s="16" t="n"/>
      <c r="AS59" s="16" t="n"/>
      <c r="AT59" s="17" t="n"/>
    </row>
    <row r="60">
      <c r="A60" s="8" t="n"/>
      <c r="B60" s="14" t="n"/>
      <c r="C60" s="4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c r="Y60" s="41" t="n"/>
      <c r="Z60" s="51" t="n"/>
      <c r="AA60" s="51" t="n"/>
      <c r="AB60" s="51" t="n"/>
      <c r="AC60" s="51" t="n"/>
      <c r="AD60" s="51" t="n"/>
      <c r="AE60" s="51" t="n"/>
      <c r="AF60" s="51" t="n"/>
      <c r="AG60" s="51" t="n"/>
      <c r="AH60" s="51" t="n"/>
      <c r="AI60" s="51" t="n"/>
      <c r="AJ60" s="51" t="n"/>
      <c r="AK60" s="51" t="n"/>
      <c r="AL60" s="51" t="n"/>
      <c r="AM60" s="51" t="n"/>
      <c r="AN60" s="51" t="n"/>
      <c r="AO60" s="51" t="n"/>
      <c r="AP60" s="51" t="n"/>
      <c r="AQ60" s="51" t="n"/>
      <c r="AR60" s="51" t="n"/>
      <c r="AS60" s="51" t="n"/>
      <c r="AT60" s="51" t="n"/>
    </row>
    <row r="61">
      <c r="A61" s="8" t="n"/>
      <c r="B61" s="14" t="n"/>
      <c r="C61" s="41" t="n"/>
      <c r="D61" s="51" t="n"/>
      <c r="E61" s="51" t="n"/>
      <c r="F61" s="51" t="n"/>
      <c r="G61" s="51" t="n"/>
      <c r="H61" s="51" t="n"/>
      <c r="I61" s="51" t="n"/>
      <c r="J61" s="51" t="n"/>
      <c r="K61" s="51" t="n"/>
      <c r="L61" s="51" t="n"/>
      <c r="M61" s="51" t="n"/>
      <c r="N61" s="51" t="n"/>
      <c r="O61" s="51" t="n"/>
      <c r="P61" s="51" t="n"/>
      <c r="Q61" s="51" t="n"/>
      <c r="R61" s="51" t="n"/>
      <c r="S61" s="51" t="n"/>
      <c r="T61" s="51" t="n"/>
      <c r="U61" s="51" t="n"/>
      <c r="V61" s="51" t="n"/>
      <c r="W61" s="51" t="n"/>
      <c r="X61" s="51" t="n"/>
      <c r="Y61" s="41" t="n"/>
      <c r="Z61" s="51" t="n"/>
      <c r="AA61" s="51" t="n"/>
      <c r="AB61" s="51" t="n"/>
      <c r="AC61" s="51" t="n"/>
      <c r="AD61" s="51" t="n"/>
      <c r="AE61" s="55" t="inlineStr">
        <is>
          <t xml:space="preserve">ATRIBUTO DE ATAQUE - À DISTÂNCIA </t>
        </is>
      </c>
      <c r="AF61" s="16" t="n"/>
      <c r="AG61" s="16" t="n"/>
      <c r="AH61" s="16" t="n"/>
      <c r="AI61" s="16" t="n"/>
      <c r="AJ61" s="16" t="n"/>
      <c r="AK61" s="16" t="n"/>
      <c r="AL61" s="16" t="n"/>
      <c r="AM61" s="16" t="n"/>
      <c r="AN61" s="16" t="n"/>
      <c r="AO61" s="17" t="n"/>
      <c r="AP61" s="51" t="n"/>
      <c r="AQ61" s="51" t="n"/>
      <c r="AR61" s="51" t="n"/>
      <c r="AS61" s="51" t="n"/>
      <c r="AT61" s="51" t="n"/>
    </row>
    <row r="62" ht="27" customHeight="1">
      <c r="A62" s="8" t="n"/>
      <c r="B62" s="14" t="n"/>
      <c r="C62" s="41" t="n"/>
      <c r="D62" s="66" t="n">
        <v>4</v>
      </c>
      <c r="E62" s="19" t="n"/>
      <c r="F62" s="20" t="n"/>
      <c r="G62" s="93" t="inlineStr">
        <is>
          <t>PROGRESSÃO</t>
        </is>
      </c>
      <c r="H62" s="16" t="n"/>
      <c r="I62" s="16" t="n"/>
      <c r="J62" s="16" t="n"/>
      <c r="K62" s="16" t="n"/>
      <c r="L62" s="16" t="n"/>
      <c r="M62" s="16" t="n"/>
      <c r="N62" s="16" t="n"/>
      <c r="O62" s="16" t="n"/>
      <c r="P62" s="16" t="n"/>
      <c r="Q62" s="16" t="n"/>
      <c r="R62" s="16" t="n"/>
      <c r="S62" s="16" t="n"/>
      <c r="T62" s="16" t="n"/>
      <c r="U62" s="16" t="n"/>
      <c r="V62" s="16" t="n"/>
      <c r="W62" s="16" t="n"/>
      <c r="X62" s="17" t="n"/>
      <c r="Y62" s="41" t="n"/>
      <c r="Z62" s="51" t="n"/>
      <c r="AA62" s="51" t="n"/>
      <c r="AB62" s="51" t="n"/>
      <c r="AC62" s="51" t="n"/>
      <c r="AD62" s="51" t="n"/>
      <c r="AE62" s="96" t="inlineStr">
        <is>
          <t>DESTREZA</t>
        </is>
      </c>
      <c r="AF62" s="16" t="n"/>
      <c r="AG62" s="16" t="n"/>
      <c r="AH62" s="16" t="n"/>
      <c r="AI62" s="16" t="n"/>
      <c r="AJ62" s="16" t="n"/>
      <c r="AK62" s="16" t="n"/>
      <c r="AL62" s="16" t="n"/>
      <c r="AM62" s="16" t="n"/>
      <c r="AN62" s="16" t="n"/>
      <c r="AO62" s="17" t="n"/>
      <c r="AP62" s="51" t="n"/>
      <c r="AQ62" s="51" t="n"/>
      <c r="AR62" s="51" t="n"/>
      <c r="AS62" s="51" t="n"/>
      <c r="AT62" s="51" t="n"/>
    </row>
    <row r="63">
      <c r="A63" s="8" t="n"/>
      <c r="B63" s="14" t="n"/>
      <c r="C63" s="41" t="n"/>
      <c r="D63" s="23" t="n"/>
      <c r="E63" s="24" t="n"/>
      <c r="F63" s="25" t="n"/>
      <c r="G63" s="51" t="n"/>
      <c r="H63" s="51" t="n"/>
      <c r="I63" s="51" t="n"/>
      <c r="J63" s="51" t="n"/>
      <c r="K63" s="51" t="n"/>
      <c r="L63" s="51" t="n"/>
      <c r="M63" s="51" t="n"/>
      <c r="N63" s="51" t="n"/>
      <c r="O63" s="51" t="n"/>
      <c r="P63" s="51" t="n"/>
      <c r="Q63" s="51" t="n"/>
      <c r="R63" s="51" t="n"/>
      <c r="S63" s="51" t="n"/>
      <c r="T63" s="51" t="n"/>
      <c r="U63" s="51" t="n"/>
      <c r="V63" s="51" t="n"/>
      <c r="W63" s="51" t="n"/>
      <c r="X63" s="51" t="n"/>
      <c r="Y63" s="41" t="n"/>
      <c r="Z63" s="51" t="n"/>
      <c r="AA63" s="51" t="n"/>
      <c r="AB63" s="51" t="n"/>
      <c r="AC63" s="51" t="n"/>
      <c r="AD63" s="51" t="n"/>
      <c r="AE63" s="51" t="n"/>
      <c r="AF63" s="51" t="n"/>
      <c r="AG63" s="51" t="n"/>
      <c r="AH63" s="51" t="n"/>
      <c r="AI63" s="51" t="n"/>
      <c r="AJ63" s="51" t="n"/>
      <c r="AK63" s="51" t="n"/>
      <c r="AL63" s="51" t="n"/>
      <c r="AM63" s="51" t="n"/>
      <c r="AN63" s="51" t="n"/>
      <c r="AO63" s="51" t="n"/>
      <c r="AP63" s="51" t="n"/>
      <c r="AQ63" s="51" t="n"/>
      <c r="AR63" s="51" t="n"/>
      <c r="AS63" s="51" t="n"/>
      <c r="AT63" s="51" t="n"/>
    </row>
    <row r="64">
      <c r="A64" s="8" t="n"/>
      <c r="B64" s="14" t="n"/>
      <c r="C64" s="41" t="n"/>
      <c r="D64" s="55" t="inlineStr">
        <is>
          <t>ESPAÇOS DE FEITIÇO</t>
        </is>
      </c>
      <c r="E64" s="16" t="n"/>
      <c r="F64" s="16" t="n"/>
      <c r="G64" s="16" t="n"/>
      <c r="H64" s="16" t="n"/>
      <c r="I64" s="16" t="n"/>
      <c r="J64" s="16" t="n"/>
      <c r="K64" s="16" t="n"/>
      <c r="L64" s="16" t="n"/>
      <c r="M64" s="17" t="n"/>
      <c r="N64" s="51" t="n"/>
      <c r="O64" s="55" t="inlineStr">
        <is>
          <t>REFINO DE GRAÇA</t>
        </is>
      </c>
      <c r="P64" s="16" t="n"/>
      <c r="Q64" s="16" t="n"/>
      <c r="R64" s="16" t="n"/>
      <c r="S64" s="16" t="n"/>
      <c r="T64" s="16" t="n"/>
      <c r="U64" s="16" t="n"/>
      <c r="V64" s="16" t="n"/>
      <c r="W64" s="16" t="n"/>
      <c r="X64" s="17" t="n"/>
      <c r="Y64" s="41" t="n"/>
      <c r="Z64" s="55" t="inlineStr">
        <is>
          <t>CLASSE MÁXIMA</t>
        </is>
      </c>
      <c r="AA64" s="16" t="n"/>
      <c r="AB64" s="16" t="n"/>
      <c r="AC64" s="16" t="n"/>
      <c r="AD64" s="16" t="n"/>
      <c r="AE64" s="16" t="n"/>
      <c r="AF64" s="16" t="n"/>
      <c r="AG64" s="16" t="n"/>
      <c r="AH64" s="16" t="n"/>
      <c r="AI64" s="17" t="n"/>
      <c r="AJ64" s="51" t="n"/>
      <c r="AK64" s="55" t="inlineStr">
        <is>
          <t xml:space="preserve">CLASSE 0 </t>
        </is>
      </c>
      <c r="AL64" s="16" t="n"/>
      <c r="AM64" s="16" t="n"/>
      <c r="AN64" s="16" t="n"/>
      <c r="AO64" s="16" t="n"/>
      <c r="AP64" s="16" t="n"/>
      <c r="AQ64" s="16" t="n"/>
      <c r="AR64" s="16" t="n"/>
      <c r="AS64" s="16" t="n"/>
      <c r="AT64" s="17" t="n"/>
    </row>
    <row r="65" ht="21" customHeight="1">
      <c r="A65" s="8" t="n"/>
      <c r="B65" s="14" t="n"/>
      <c r="C65" s="41" t="n"/>
      <c r="D65" s="96">
        <f>2+INT($AH$11/2)+COUNTIF(DADOS!$W$5:$W$11,"&lt;="&amp;$AH$11)+IFERROR(VALUE($AS$48&amp;""),0)</f>
        <v/>
      </c>
      <c r="E65" s="16" t="n"/>
      <c r="F65" s="16" t="n"/>
      <c r="G65" s="16" t="n"/>
      <c r="H65" s="16" t="n"/>
      <c r="I65" s="16" t="n"/>
      <c r="J65" s="16" t="n"/>
      <c r="K65" s="16" t="n"/>
      <c r="L65" s="16" t="n"/>
      <c r="M65" s="17" t="n"/>
      <c r="N65" s="41" t="n"/>
      <c r="O65" s="96">
        <f>(1+COUNTIF(DADOS!$W$5:$W$11,"&lt;="&amp;$AH$11))</f>
        <v/>
      </c>
      <c r="P65" s="16" t="n"/>
      <c r="Q65" s="16" t="n"/>
      <c r="R65" s="16" t="n"/>
      <c r="S65" s="16" t="n"/>
      <c r="T65" s="16" t="n"/>
      <c r="U65" s="16" t="n"/>
      <c r="V65" s="16" t="n"/>
      <c r="W65" s="16" t="n"/>
      <c r="X65" s="17" t="n"/>
      <c r="Y65" s="41" t="n"/>
      <c r="Z65" s="96">
        <f>COUNTIF(DADOS!$Y$5:$Y$11,"&lt;="&amp;$AH$11)</f>
        <v/>
      </c>
      <c r="AA65" s="16" t="n"/>
      <c r="AB65" s="16" t="n"/>
      <c r="AC65" s="16" t="n"/>
      <c r="AD65" s="16" t="n"/>
      <c r="AE65" s="16" t="n"/>
      <c r="AF65" s="16" t="n"/>
      <c r="AG65" s="16" t="n"/>
      <c r="AH65" s="16" t="n"/>
      <c r="AI65" s="17" t="n"/>
      <c r="AJ65" s="51" t="n"/>
      <c r="AK65" s="96">
        <f>2+COUNTIF(DADOS!$Z$5:$Z$7,"&lt;="&amp;$AH$11)</f>
        <v/>
      </c>
      <c r="AL65" s="16" t="n"/>
      <c r="AM65" s="16" t="n"/>
      <c r="AN65" s="16" t="n"/>
      <c r="AO65" s="16" t="n"/>
      <c r="AP65" s="16" t="n"/>
      <c r="AQ65" s="16" t="n"/>
      <c r="AR65" s="16" t="n"/>
      <c r="AS65" s="16" t="n"/>
      <c r="AT65" s="17" t="n"/>
    </row>
    <row r="66">
      <c r="A66" s="8" t="n"/>
      <c r="B66" s="14" t="n"/>
      <c r="C66" s="41" t="n"/>
      <c r="D66" s="41" t="n"/>
      <c r="E66" s="41" t="n"/>
      <c r="F66" s="41" t="n"/>
      <c r="G66" s="41" t="n"/>
      <c r="H66" s="41" t="n"/>
      <c r="I66" s="41" t="n"/>
      <c r="J66" s="41" t="n"/>
      <c r="K66" s="41" t="n"/>
      <c r="L66" s="41" t="n"/>
      <c r="M66" s="41" t="n"/>
      <c r="N66" s="41" t="n"/>
      <c r="O66" s="41" t="n"/>
      <c r="P66" s="41" t="n"/>
      <c r="Q66" s="41" t="n"/>
      <c r="R66" s="41" t="n"/>
      <c r="S66" s="41" t="n"/>
      <c r="T66" s="41" t="n"/>
      <c r="U66" s="41" t="n"/>
      <c r="V66" s="41" t="n"/>
      <c r="W66" s="41" t="n"/>
      <c r="X66" s="41" t="n"/>
      <c r="Y66" s="41" t="n"/>
      <c r="Z66" s="51" t="n"/>
      <c r="AA66" s="51" t="n"/>
      <c r="AB66" s="51" t="n"/>
      <c r="AC66" s="51" t="n"/>
      <c r="AD66" s="51" t="n"/>
      <c r="AE66" s="51" t="n"/>
      <c r="AF66" s="51" t="n"/>
      <c r="AG66" s="51" t="n"/>
      <c r="AH66" s="51" t="n"/>
      <c r="AI66" s="51" t="n"/>
      <c r="AJ66" s="51" t="n"/>
      <c r="AK66" s="51" t="n"/>
      <c r="AL66" s="51" t="n"/>
      <c r="AM66" s="51" t="n"/>
      <c r="AN66" s="51" t="n"/>
      <c r="AO66" s="51" t="n"/>
      <c r="AP66" s="51" t="n"/>
      <c r="AQ66" s="51" t="n"/>
      <c r="AR66" s="51" t="n"/>
      <c r="AS66" s="51" t="n"/>
      <c r="AT66" s="51" t="n"/>
    </row>
    <row r="67">
      <c r="A67" s="8" t="n"/>
      <c r="B67" s="14" t="n"/>
      <c r="C67" s="41" t="n"/>
      <c r="D67" s="41" t="n"/>
      <c r="E67" s="41" t="n"/>
      <c r="F67" s="41" t="n"/>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row>
    <row r="68" ht="27" customHeight="1">
      <c r="A68" s="8" t="n"/>
      <c r="B68" s="14" t="n"/>
      <c r="C68" s="41" t="n"/>
      <c r="D68" s="66" t="n">
        <v>5</v>
      </c>
      <c r="E68" s="19" t="n"/>
      <c r="F68" s="20" t="n"/>
      <c r="G68" s="93" t="inlineStr">
        <is>
          <t>PERÍCIAS</t>
        </is>
      </c>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c r="AB68" s="16" t="n"/>
      <c r="AC68" s="16" t="n"/>
      <c r="AD68" s="17" t="n"/>
      <c r="AE68" s="51" t="n"/>
      <c r="AF68" s="51" t="n"/>
      <c r="AG68" s="51" t="n"/>
      <c r="AH68" s="51" t="n"/>
      <c r="AI68" s="51" t="n"/>
      <c r="AJ68" s="51" t="n"/>
      <c r="AK68" s="51" t="n"/>
      <c r="AL68" s="51" t="n"/>
      <c r="AM68" s="51" t="n"/>
      <c r="AN68" s="51" t="n"/>
      <c r="AO68" s="51" t="n"/>
      <c r="AP68" s="51" t="n"/>
      <c r="AQ68" s="51" t="n"/>
      <c r="AR68" s="51" t="n"/>
      <c r="AS68" s="51" t="n"/>
      <c r="AT68" s="51" t="n"/>
    </row>
    <row r="69">
      <c r="A69" s="8" t="n"/>
      <c r="B69" s="14" t="n"/>
      <c r="C69" s="41" t="n"/>
      <c r="D69" s="21" t="n"/>
      <c r="F69" s="22" t="n"/>
      <c r="G69" s="51" t="n"/>
      <c r="H69" s="51" t="n"/>
      <c r="I69" s="51" t="n"/>
      <c r="J69" s="51" t="n"/>
      <c r="K69" s="51" t="n"/>
      <c r="L69" s="51" t="n"/>
      <c r="M69" s="51" t="n"/>
      <c r="N69" s="51" t="n"/>
      <c r="O69" s="51" t="n"/>
      <c r="P69" s="51" t="n"/>
      <c r="Q69" s="51" t="n"/>
      <c r="R69" s="51" t="n"/>
      <c r="S69" s="51" t="n"/>
      <c r="T69" s="51" t="n"/>
      <c r="U69" s="51" t="n"/>
      <c r="V69" s="51" t="n"/>
      <c r="W69" s="51" t="n"/>
      <c r="X69" s="51" t="n"/>
      <c r="Y69" s="51" t="n"/>
      <c r="Z69" s="51" t="n"/>
      <c r="AA69" s="51" t="n"/>
      <c r="AB69" s="51" t="n"/>
      <c r="AC69" s="51" t="n"/>
      <c r="AD69" s="51" t="n"/>
      <c r="AE69" s="51" t="n"/>
      <c r="AF69" s="97" t="n"/>
      <c r="AG69" s="51" t="n"/>
      <c r="AH69" s="51" t="n"/>
      <c r="AI69" s="51" t="n"/>
      <c r="AJ69" s="51" t="n"/>
      <c r="AK69" s="51" t="n"/>
      <c r="AL69" s="51" t="n"/>
      <c r="AM69" s="51" t="n"/>
      <c r="AN69" s="51" t="n"/>
      <c r="AO69" s="51" t="n"/>
      <c r="AP69" s="51" t="n"/>
      <c r="AQ69" s="51" t="n"/>
      <c r="AR69" s="51" t="n"/>
      <c r="AS69" s="51" t="n"/>
      <c r="AT69" s="51" t="n"/>
    </row>
    <row r="70">
      <c r="A70" s="8" t="n"/>
      <c r="B70" s="14" t="n"/>
      <c r="C70" s="41" t="n"/>
      <c r="D70" s="23" t="n"/>
      <c r="E70" s="24" t="n"/>
      <c r="F70" s="25" t="n"/>
      <c r="G70" s="51" t="n"/>
      <c r="H70" s="51" t="n"/>
      <c r="I70" s="51" t="n"/>
      <c r="J70" s="51" t="n"/>
      <c r="K70" s="51" t="n"/>
      <c r="L70" s="51" t="n"/>
      <c r="M70" s="51" t="n"/>
      <c r="N70" s="51" t="n"/>
      <c r="O70" s="51" t="n"/>
      <c r="P70" s="51" t="n"/>
      <c r="Q70" s="51" t="n"/>
      <c r="R70" s="51" t="n"/>
      <c r="S70" s="51" t="n"/>
      <c r="T70" s="98" t="inlineStr">
        <is>
          <t>Trein</t>
        </is>
      </c>
      <c r="U70" s="98" t="inlineStr">
        <is>
          <t>Espec</t>
        </is>
      </c>
      <c r="V70" s="51" t="n"/>
      <c r="W70" s="51" t="n"/>
      <c r="X70" s="51" t="n"/>
      <c r="Y70" s="51" t="n"/>
      <c r="Z70" s="51" t="n"/>
      <c r="AA70" s="51" t="n"/>
      <c r="AB70" s="51" t="n"/>
      <c r="AC70" s="51" t="n"/>
      <c r="AD70" s="51" t="n"/>
      <c r="AE70" s="51" t="n"/>
      <c r="AF70" s="97" t="n"/>
      <c r="AG70" s="51" t="n"/>
      <c r="AH70" s="98" t="inlineStr">
        <is>
          <t>Extra</t>
        </is>
      </c>
      <c r="AI70" s="51" t="n"/>
      <c r="AJ70" s="51" t="n"/>
      <c r="AK70" s="55" t="inlineStr">
        <is>
          <t>TREINAMENTO EM ARMAS</t>
        </is>
      </c>
      <c r="AL70" s="16" t="n"/>
      <c r="AM70" s="16" t="n"/>
      <c r="AN70" s="16" t="n"/>
      <c r="AO70" s="16" t="n"/>
      <c r="AP70" s="16" t="n"/>
      <c r="AQ70" s="16" t="n"/>
      <c r="AR70" s="16" t="n"/>
      <c r="AS70" s="16" t="n"/>
      <c r="AT70" s="17" t="n"/>
    </row>
    <row r="71">
      <c r="A71" s="8" t="n"/>
      <c r="B71" s="14" t="n"/>
      <c r="C71" s="41" t="n"/>
      <c r="D71" s="98" t="inlineStr">
        <is>
          <t>Trein</t>
        </is>
      </c>
      <c r="E71" s="98" t="inlineStr">
        <is>
          <t>Espec</t>
        </is>
      </c>
      <c r="F71" s="51" t="n"/>
      <c r="G71" s="51" t="n"/>
      <c r="H71" s="51" t="n"/>
      <c r="I71" s="51" t="n"/>
      <c r="J71" s="51" t="n"/>
      <c r="K71" s="51" t="n"/>
      <c r="L71" s="51" t="n"/>
      <c r="M71" s="51" t="n"/>
      <c r="N71" s="51" t="n"/>
      <c r="O71" s="51" t="n"/>
      <c r="P71" s="51" t="n"/>
      <c r="Q71" s="51" t="n"/>
      <c r="R71" s="98" t="inlineStr">
        <is>
          <t>Extra</t>
        </is>
      </c>
      <c r="S71" s="51" t="n"/>
      <c r="T71" s="99" t="b">
        <v>0</v>
      </c>
      <c r="U71" s="99" t="b">
        <v>0</v>
      </c>
      <c r="V71" s="100" t="inlineStr">
        <is>
          <t>Sobrevivência</t>
        </is>
      </c>
      <c r="W71" s="16" t="n"/>
      <c r="X71" s="16" t="n"/>
      <c r="Y71" s="16" t="n"/>
      <c r="Z71" s="16" t="n"/>
      <c r="AA71" s="16" t="n"/>
      <c r="AB71" s="16" t="n"/>
      <c r="AC71" s="17" t="n"/>
      <c r="AD71" s="73" t="inlineStr">
        <is>
          <t>Int</t>
        </is>
      </c>
      <c r="AE71" s="17" t="n"/>
      <c r="AF71" s="101">
        <f>$AB$19 + IF(U71, $D$59 + INT($D$59 / 2), IF(T71, $D$59, 0)) + AH71</f>
        <v/>
      </c>
      <c r="AG71" s="17" t="n"/>
      <c r="AH71" s="102" t="n"/>
      <c r="AI71" s="51" t="n"/>
      <c r="AJ71" s="51" t="n"/>
      <c r="AK71" s="96">
        <f>IF(FICHA!$D$11="Escolha seu Caminho","—",IF(OR(FICHA!$D$11="Bastião",FICHA!$D$11="Vanguarda",FICHA!$D$11="Incursor"),"Treinado em Todas as Armas","Treinado em Arma de Fogo e Balestra"))</f>
        <v/>
      </c>
      <c r="AL71" s="19" t="n"/>
      <c r="AM71" s="19" t="n"/>
      <c r="AN71" s="19" t="n"/>
      <c r="AO71" s="19" t="n"/>
      <c r="AP71" s="19" t="n"/>
      <c r="AQ71" s="19" t="n"/>
      <c r="AR71" s="19" t="n"/>
      <c r="AS71" s="19" t="n"/>
      <c r="AT71" s="20" t="n"/>
    </row>
    <row r="72">
      <c r="A72" s="8" t="n"/>
      <c r="B72" s="14" t="n"/>
      <c r="C72" s="41" t="n"/>
      <c r="D72" s="99" t="b">
        <v>0</v>
      </c>
      <c r="E72" s="99" t="b">
        <v>0</v>
      </c>
      <c r="F72" s="100" t="inlineStr">
        <is>
          <t>Atletismo</t>
        </is>
      </c>
      <c r="G72" s="16" t="n"/>
      <c r="H72" s="16" t="n"/>
      <c r="I72" s="16" t="n"/>
      <c r="J72" s="16" t="n"/>
      <c r="K72" s="16" t="n"/>
      <c r="L72" s="16" t="n"/>
      <c r="M72" s="17" t="n"/>
      <c r="N72" s="73" t="inlineStr">
        <is>
          <t>For</t>
        </is>
      </c>
      <c r="O72" s="17" t="n"/>
      <c r="P72" s="101">
        <f>$D$19 + IF(E72, $D$59 + INT($D$59 / 2), IF(D72, $D$59, 0)) + R72</f>
        <v/>
      </c>
      <c r="Q72" s="17" t="n"/>
      <c r="R72" s="102" t="n"/>
      <c r="S72" s="51" t="n"/>
      <c r="T72" s="99" t="b">
        <v>0</v>
      </c>
      <c r="U72" s="99" t="b">
        <v>0</v>
      </c>
      <c r="V72" s="100" t="inlineStr">
        <is>
          <t>Natureza</t>
        </is>
      </c>
      <c r="W72" s="16" t="n"/>
      <c r="X72" s="16" t="n"/>
      <c r="Y72" s="16" t="n"/>
      <c r="Z72" s="16" t="n"/>
      <c r="AA72" s="16" t="n"/>
      <c r="AB72" s="16" t="n"/>
      <c r="AC72" s="17" t="n"/>
      <c r="AD72" s="73" t="inlineStr">
        <is>
          <t>Int</t>
        </is>
      </c>
      <c r="AE72" s="17" t="n"/>
      <c r="AF72" s="101">
        <f>$AB$19 + IF(U72, $D$59 + INT($D$59 / 2), IF(T72, $D$59, 0)) + AH72</f>
        <v/>
      </c>
      <c r="AG72" s="17" t="n"/>
      <c r="AH72" s="102" t="n"/>
      <c r="AI72" s="51" t="n"/>
      <c r="AJ72" s="51" t="n"/>
      <c r="AK72" s="23" t="n"/>
      <c r="AL72" s="24" t="n"/>
      <c r="AM72" s="24" t="n"/>
      <c r="AN72" s="24" t="n"/>
      <c r="AO72" s="24" t="n"/>
      <c r="AP72" s="24" t="n"/>
      <c r="AQ72" s="24" t="n"/>
      <c r="AR72" s="24" t="n"/>
      <c r="AS72" s="24" t="n"/>
      <c r="AT72" s="25" t="n"/>
    </row>
    <row r="73">
      <c r="A73" s="8" t="n"/>
      <c r="B73" s="14" t="n"/>
      <c r="C73" s="41" t="n"/>
      <c r="D73" s="99" t="b">
        <v>0</v>
      </c>
      <c r="E73" s="99" t="b">
        <v>0</v>
      </c>
      <c r="F73" s="100" t="inlineStr">
        <is>
          <t>Acrobacia</t>
        </is>
      </c>
      <c r="G73" s="16" t="n"/>
      <c r="H73" s="16" t="n"/>
      <c r="I73" s="16" t="n"/>
      <c r="J73" s="16" t="n"/>
      <c r="K73" s="16" t="n"/>
      <c r="L73" s="16" t="n"/>
      <c r="M73" s="17" t="n"/>
      <c r="N73" s="73" t="inlineStr">
        <is>
          <t>Des</t>
        </is>
      </c>
      <c r="O73" s="17" t="n"/>
      <c r="P73" s="101">
        <f>$L$19 + IF(E73, $D$59 + INT($D$59 / 2), IF(D73, $D$59, 0)) + R73</f>
        <v/>
      </c>
      <c r="Q73" s="17" t="n"/>
      <c r="R73" s="102" t="n"/>
      <c r="S73" s="51" t="n"/>
      <c r="T73" s="99" t="b">
        <v>0</v>
      </c>
      <c r="U73" s="99" t="b">
        <v>0</v>
      </c>
      <c r="V73" s="100" t="inlineStr">
        <is>
          <t>Lidar com Animais</t>
        </is>
      </c>
      <c r="W73" s="16" t="n"/>
      <c r="X73" s="16" t="n"/>
      <c r="Y73" s="16" t="n"/>
      <c r="Z73" s="16" t="n"/>
      <c r="AA73" s="16" t="n"/>
      <c r="AB73" s="16" t="n"/>
      <c r="AC73" s="17" t="n"/>
      <c r="AD73" s="73" t="inlineStr">
        <is>
          <t>Int</t>
        </is>
      </c>
      <c r="AE73" s="17" t="n"/>
      <c r="AF73" s="101">
        <f>$AB$19 + IF(U73, $D$59 + INT($D$59 / 2), IF(T73, $D$59, 0)) + AH73</f>
        <v/>
      </c>
      <c r="AG73" s="17" t="n"/>
      <c r="AH73" s="102" t="n"/>
      <c r="AI73" s="51" t="n"/>
      <c r="AJ73" s="51" t="n"/>
      <c r="AK73" s="103" t="inlineStr">
        <is>
          <t>Não trocou</t>
        </is>
      </c>
      <c r="AL73" s="19" t="n"/>
      <c r="AM73" s="19" t="n"/>
      <c r="AN73" s="19" t="n"/>
      <c r="AO73" s="19" t="n"/>
      <c r="AP73" s="19" t="n"/>
      <c r="AQ73" s="19" t="n"/>
      <c r="AR73" s="19" t="n"/>
      <c r="AS73" s="19" t="n"/>
      <c r="AT73" s="20" t="n"/>
    </row>
    <row r="74">
      <c r="A74" s="8" t="n"/>
      <c r="B74" s="14" t="n"/>
      <c r="C74" s="41" t="n"/>
      <c r="D74" s="99" t="b">
        <v>0</v>
      </c>
      <c r="E74" s="99" t="b">
        <v>0</v>
      </c>
      <c r="F74" s="100" t="inlineStr">
        <is>
          <t>Furtividade</t>
        </is>
      </c>
      <c r="G74" s="16" t="n"/>
      <c r="H74" s="16" t="n"/>
      <c r="I74" s="16" t="n"/>
      <c r="J74" s="16" t="n"/>
      <c r="K74" s="16" t="n"/>
      <c r="L74" s="16" t="n"/>
      <c r="M74" s="17" t="n"/>
      <c r="N74" s="73" t="inlineStr">
        <is>
          <t>Des</t>
        </is>
      </c>
      <c r="O74" s="17" t="n"/>
      <c r="P74" s="101">
        <f>$L$19 + IF(E74, $D$59 + INT($D$59 / 2), IF(D74, $D$59, 0)) + R74</f>
        <v/>
      </c>
      <c r="Q74" s="17" t="n"/>
      <c r="R74" s="102" t="n"/>
      <c r="S74" s="51" t="n"/>
      <c r="T74" s="99" t="b">
        <v>0</v>
      </c>
      <c r="U74" s="99" t="b">
        <v>0</v>
      </c>
      <c r="V74" s="100" t="inlineStr">
        <is>
          <t>Tecnologia</t>
        </is>
      </c>
      <c r="W74" s="16" t="n"/>
      <c r="X74" s="16" t="n"/>
      <c r="Y74" s="16" t="n"/>
      <c r="Z74" s="16" t="n"/>
      <c r="AA74" s="16" t="n"/>
      <c r="AB74" s="16" t="n"/>
      <c r="AC74" s="17" t="n"/>
      <c r="AD74" s="73" t="inlineStr">
        <is>
          <t>Int</t>
        </is>
      </c>
      <c r="AE74" s="17" t="n"/>
      <c r="AF74" s="101">
        <f>$AB$19 + IF(U74, $D$59 + INT($D$59 / 2), IF(T74, $D$59, 0)) + AH74</f>
        <v/>
      </c>
      <c r="AG74" s="17" t="n"/>
      <c r="AH74" s="102" t="n"/>
      <c r="AI74" s="51" t="n"/>
      <c r="AJ74" s="51" t="n"/>
      <c r="AK74" s="23" t="n"/>
      <c r="AL74" s="24" t="n"/>
      <c r="AM74" s="24" t="n"/>
      <c r="AN74" s="24" t="n"/>
      <c r="AO74" s="24" t="n"/>
      <c r="AP74" s="24" t="n"/>
      <c r="AQ74" s="24" t="n"/>
      <c r="AR74" s="24" t="n"/>
      <c r="AS74" s="24" t="n"/>
      <c r="AT74" s="25" t="n"/>
    </row>
    <row r="75">
      <c r="A75" s="8" t="n"/>
      <c r="B75" s="14" t="n"/>
      <c r="C75" s="41" t="n"/>
      <c r="D75" s="99" t="b">
        <v>0</v>
      </c>
      <c r="E75" s="99" t="b">
        <v>0</v>
      </c>
      <c r="F75" s="100" t="inlineStr">
        <is>
          <t>Pontaria</t>
        </is>
      </c>
      <c r="G75" s="16" t="n"/>
      <c r="H75" s="16" t="n"/>
      <c r="I75" s="16" t="n"/>
      <c r="J75" s="16" t="n"/>
      <c r="K75" s="16" t="n"/>
      <c r="L75" s="16" t="n"/>
      <c r="M75" s="17" t="n"/>
      <c r="N75" s="73" t="inlineStr">
        <is>
          <t>Des</t>
        </is>
      </c>
      <c r="O75" s="17" t="n"/>
      <c r="P75" s="101">
        <f>$L$19 + IF(E75, $D$59 + INT($D$59 / 2), IF(D75, $D$59, 0)) + R75</f>
        <v/>
      </c>
      <c r="Q75" s="17" t="n"/>
      <c r="R75" s="102" t="n"/>
      <c r="S75" s="51" t="n"/>
      <c r="T75" s="99" t="b">
        <v>0</v>
      </c>
      <c r="U75" s="99" t="b">
        <v>0</v>
      </c>
      <c r="V75" s="100" t="inlineStr">
        <is>
          <t>Medicina</t>
        </is>
      </c>
      <c r="W75" s="16" t="n"/>
      <c r="X75" s="16" t="n"/>
      <c r="Y75" s="16" t="n"/>
      <c r="Z75" s="16" t="n"/>
      <c r="AA75" s="16" t="n"/>
      <c r="AB75" s="16" t="n"/>
      <c r="AC75" s="17" t="n"/>
      <c r="AD75" s="73" t="inlineStr">
        <is>
          <t>Int</t>
        </is>
      </c>
      <c r="AE75" s="17" t="n"/>
      <c r="AF75" s="101">
        <f>$AB$19 + IF(U75, $D$59 + INT($D$59 / 2), IF(T75, $D$59, 0)) + AH75</f>
        <v/>
      </c>
      <c r="AG75" s="17" t="n"/>
      <c r="AH75" s="102" t="n"/>
      <c r="AI75" s="51" t="n"/>
      <c r="AJ75" s="51" t="n"/>
      <c r="AK75" s="103">
        <f>IF(AK73="Não trocou","Anotações e Equipamentos","Treinamentos Extras")</f>
        <v/>
      </c>
      <c r="AL75" s="19" t="n"/>
      <c r="AM75" s="19" t="n"/>
      <c r="AN75" s="19" t="n"/>
      <c r="AO75" s="19" t="n"/>
      <c r="AP75" s="19" t="n"/>
      <c r="AQ75" s="19" t="n"/>
      <c r="AR75" s="19" t="n"/>
      <c r="AS75" s="19" t="n"/>
      <c r="AT75" s="20" t="n"/>
    </row>
    <row r="76">
      <c r="A76" s="8" t="n"/>
      <c r="B76" s="14" t="n"/>
      <c r="C76" s="41" t="n"/>
      <c r="D76" s="99" t="b">
        <v>0</v>
      </c>
      <c r="E76" s="99" t="b">
        <v>0</v>
      </c>
      <c r="F76" s="100" t="inlineStr">
        <is>
          <t>Prestidigitação</t>
        </is>
      </c>
      <c r="G76" s="16" t="n"/>
      <c r="H76" s="16" t="n"/>
      <c r="I76" s="16" t="n"/>
      <c r="J76" s="16" t="n"/>
      <c r="K76" s="16" t="n"/>
      <c r="L76" s="16" t="n"/>
      <c r="M76" s="17" t="n"/>
      <c r="N76" s="73" t="inlineStr">
        <is>
          <t>Des</t>
        </is>
      </c>
      <c r="O76" s="17" t="n"/>
      <c r="P76" s="101">
        <f>$L$19 + IF(E76, $D$59 + INT($D$59 / 2), IF(D76, $D$59, 0)) + R76</f>
        <v/>
      </c>
      <c r="Q76" s="17" t="n"/>
      <c r="R76" s="102" t="n"/>
      <c r="S76" s="51" t="n"/>
      <c r="T76" s="99" t="b">
        <v>0</v>
      </c>
      <c r="U76" s="99" t="b">
        <v>0</v>
      </c>
      <c r="V76" s="100" t="inlineStr">
        <is>
          <t>Sentir Energia</t>
        </is>
      </c>
      <c r="W76" s="16" t="n"/>
      <c r="X76" s="16" t="n"/>
      <c r="Y76" s="16" t="n"/>
      <c r="Z76" s="16" t="n"/>
      <c r="AA76" s="16" t="n"/>
      <c r="AB76" s="16" t="n"/>
      <c r="AC76" s="17" t="n"/>
      <c r="AD76" s="73" t="inlineStr">
        <is>
          <t>Ess</t>
        </is>
      </c>
      <c r="AE76" s="17" t="n"/>
      <c r="AF76" s="101">
        <f>$AJ$19 + IF(U76, $D$59 + INT($D$59 / 2), IF(T76, $D$59, 0)) + AH76</f>
        <v/>
      </c>
      <c r="AG76" s="17" t="n"/>
      <c r="AH76" s="102" t="n"/>
      <c r="AI76" s="51" t="n"/>
      <c r="AJ76" s="51" t="n"/>
      <c r="AK76" s="23" t="n"/>
      <c r="AL76" s="24" t="n"/>
      <c r="AM76" s="24" t="n"/>
      <c r="AN76" s="24" t="n"/>
      <c r="AO76" s="24" t="n"/>
      <c r="AP76" s="24" t="n"/>
      <c r="AQ76" s="24" t="n"/>
      <c r="AR76" s="24" t="n"/>
      <c r="AS76" s="24" t="n"/>
      <c r="AT76" s="25" t="n"/>
    </row>
    <row r="77">
      <c r="A77" s="8" t="n"/>
      <c r="B77" s="14" t="n"/>
      <c r="C77" s="41" t="n"/>
      <c r="D77" s="99" t="b">
        <v>0</v>
      </c>
      <c r="E77" s="99" t="b">
        <v>0</v>
      </c>
      <c r="F77" s="100" t="inlineStr">
        <is>
          <t>Investigação</t>
        </is>
      </c>
      <c r="G77" s="16" t="n"/>
      <c r="H77" s="16" t="n"/>
      <c r="I77" s="16" t="n"/>
      <c r="J77" s="16" t="n"/>
      <c r="K77" s="16" t="n"/>
      <c r="L77" s="16" t="n"/>
      <c r="M77" s="17" t="n"/>
      <c r="N77" s="73" t="inlineStr">
        <is>
          <t>Int</t>
        </is>
      </c>
      <c r="O77" s="17" t="n"/>
      <c r="P77" s="101">
        <f>$AB$19 + IF(E77, $D$59 + INT($D$59 / 2), IF(D77, $D$59, 0)) + R77</f>
        <v/>
      </c>
      <c r="Q77" s="17" t="n"/>
      <c r="R77" s="102" t="n"/>
      <c r="S77" s="51" t="n"/>
      <c r="T77" s="99" t="b">
        <v>0</v>
      </c>
      <c r="U77" s="99" t="b">
        <v>0</v>
      </c>
      <c r="V77" s="100" t="inlineStr">
        <is>
          <t>Percepção</t>
        </is>
      </c>
      <c r="W77" s="16" t="n"/>
      <c r="X77" s="16" t="n"/>
      <c r="Y77" s="16" t="n"/>
      <c r="Z77" s="16" t="n"/>
      <c r="AA77" s="16" t="n"/>
      <c r="AB77" s="16" t="n"/>
      <c r="AC77" s="17" t="n"/>
      <c r="AD77" s="73" t="inlineStr">
        <is>
          <t>Ess</t>
        </is>
      </c>
      <c r="AE77" s="17" t="n"/>
      <c r="AF77" s="101">
        <f>$AJ$19 + IF(U77, $D$59 + INT($D$59 / 2), IF(T77, $D$59, 0)) + AH77</f>
        <v/>
      </c>
      <c r="AG77" s="17" t="n"/>
      <c r="AH77" s="102" t="n"/>
      <c r="AI77" s="51" t="n"/>
      <c r="AJ77" s="51" t="n"/>
      <c r="AK77" s="104" t="n"/>
      <c r="AL77" s="19" t="n"/>
      <c r="AM77" s="19" t="n"/>
      <c r="AN77" s="19" t="n"/>
      <c r="AO77" s="19" t="n"/>
      <c r="AP77" s="19" t="n"/>
      <c r="AQ77" s="19" t="n"/>
      <c r="AR77" s="19" t="n"/>
      <c r="AS77" s="19" t="n"/>
      <c r="AT77" s="20" t="n"/>
    </row>
    <row r="78">
      <c r="A78" s="8" t="n"/>
      <c r="B78" s="14" t="n"/>
      <c r="C78" s="41" t="n"/>
      <c r="D78" s="99" t="b">
        <v>0</v>
      </c>
      <c r="E78" s="99" t="b">
        <v>0</v>
      </c>
      <c r="F78" s="100" t="inlineStr">
        <is>
          <t>Intuição</t>
        </is>
      </c>
      <c r="G78" s="16" t="n"/>
      <c r="H78" s="16" t="n"/>
      <c r="I78" s="16" t="n"/>
      <c r="J78" s="16" t="n"/>
      <c r="K78" s="16" t="n"/>
      <c r="L78" s="16" t="n"/>
      <c r="M78" s="17" t="n"/>
      <c r="N78" s="73" t="inlineStr">
        <is>
          <t>Int</t>
        </is>
      </c>
      <c r="O78" s="17" t="n"/>
      <c r="P78" s="101">
        <f>$AB$19 + IF(E78, $D$59 + INT($D$59 / 2), IF(D78, $D$59, 0)) + R78</f>
        <v/>
      </c>
      <c r="Q78" s="17" t="n"/>
      <c r="R78" s="102" t="n"/>
      <c r="S78" s="51" t="n"/>
      <c r="T78" s="99" t="b">
        <v>0</v>
      </c>
      <c r="U78" s="99" t="b">
        <v>0</v>
      </c>
      <c r="V78" s="100" t="inlineStr">
        <is>
          <t>Persuasão</t>
        </is>
      </c>
      <c r="W78" s="16" t="n"/>
      <c r="X78" s="16" t="n"/>
      <c r="Y78" s="16" t="n"/>
      <c r="Z78" s="16" t="n"/>
      <c r="AA78" s="16" t="n"/>
      <c r="AB78" s="16" t="n"/>
      <c r="AC78" s="17" t="n"/>
      <c r="AD78" s="73" t="inlineStr">
        <is>
          <t>Ess</t>
        </is>
      </c>
      <c r="AE78" s="17" t="n"/>
      <c r="AF78" s="101">
        <f>$AJ$19 + IF(U78, $D$59 + INT($D$59 / 2), IF(T78, $D$59, 0)) + AH78</f>
        <v/>
      </c>
      <c r="AG78" s="17" t="n"/>
      <c r="AH78" s="102" t="n"/>
      <c r="AI78" s="51" t="n"/>
      <c r="AJ78" s="51" t="n"/>
      <c r="AK78" s="23" t="n"/>
      <c r="AL78" s="24" t="n"/>
      <c r="AM78" s="24" t="n"/>
      <c r="AN78" s="24" t="n"/>
      <c r="AO78" s="24" t="n"/>
      <c r="AP78" s="24" t="n"/>
      <c r="AQ78" s="24" t="n"/>
      <c r="AR78" s="24" t="n"/>
      <c r="AS78" s="24" t="n"/>
      <c r="AT78" s="25" t="n"/>
    </row>
    <row r="79">
      <c r="A79" s="8" t="n"/>
      <c r="B79" s="14" t="n"/>
      <c r="C79" s="41" t="n"/>
      <c r="D79" s="99" t="b">
        <v>0</v>
      </c>
      <c r="E79" s="99" t="b">
        <v>0</v>
      </c>
      <c r="F79" s="100" t="inlineStr">
        <is>
          <t>Ocultismo</t>
        </is>
      </c>
      <c r="G79" s="16" t="n"/>
      <c r="H79" s="16" t="n"/>
      <c r="I79" s="16" t="n"/>
      <c r="J79" s="16" t="n"/>
      <c r="K79" s="16" t="n"/>
      <c r="L79" s="16" t="n"/>
      <c r="M79" s="17" t="n"/>
      <c r="N79" s="73" t="inlineStr">
        <is>
          <t>Int</t>
        </is>
      </c>
      <c r="O79" s="17" t="n"/>
      <c r="P79" s="101">
        <f>$AB$19 + IF(E79, $D$59 + INT($D$59 / 2), IF(D79, $D$59, 0)) + R79</f>
        <v/>
      </c>
      <c r="Q79" s="17" t="n"/>
      <c r="R79" s="102" t="n"/>
      <c r="S79" s="51" t="n"/>
      <c r="T79" s="99" t="b">
        <v>0</v>
      </c>
      <c r="U79" s="99" t="b">
        <v>0</v>
      </c>
      <c r="V79" s="100" t="inlineStr">
        <is>
          <t>Enganação</t>
        </is>
      </c>
      <c r="W79" s="16" t="n"/>
      <c r="X79" s="16" t="n"/>
      <c r="Y79" s="16" t="n"/>
      <c r="Z79" s="16" t="n"/>
      <c r="AA79" s="16" t="n"/>
      <c r="AB79" s="16" t="n"/>
      <c r="AC79" s="17" t="n"/>
      <c r="AD79" s="73" t="inlineStr">
        <is>
          <t>Ess</t>
        </is>
      </c>
      <c r="AE79" s="17" t="n"/>
      <c r="AF79" s="101">
        <f>$AJ$19 + IF(U79, $D$59 + INT($D$59 / 2), IF(T79, $D$59, 0)) + AH79</f>
        <v/>
      </c>
      <c r="AG79" s="17" t="n"/>
      <c r="AH79" s="102" t="n"/>
      <c r="AI79" s="51" t="n"/>
      <c r="AJ79" s="51" t="n"/>
      <c r="AK79" s="51" t="n"/>
      <c r="AL79" s="51" t="n"/>
      <c r="AM79" s="51" t="n"/>
    </row>
    <row r="80">
      <c r="A80" s="8" t="n"/>
      <c r="B80" s="14" t="n"/>
      <c r="C80" s="41" t="n"/>
      <c r="D80" s="99" t="b">
        <v>0</v>
      </c>
      <c r="E80" s="99" t="b">
        <v>0</v>
      </c>
      <c r="F80" s="100" t="inlineStr">
        <is>
          <t>Religião</t>
        </is>
      </c>
      <c r="G80" s="16" t="n"/>
      <c r="H80" s="16" t="n"/>
      <c r="I80" s="16" t="n"/>
      <c r="J80" s="16" t="n"/>
      <c r="K80" s="16" t="n"/>
      <c r="L80" s="16" t="n"/>
      <c r="M80" s="17" t="n"/>
      <c r="N80" s="73" t="inlineStr">
        <is>
          <t>Int</t>
        </is>
      </c>
      <c r="O80" s="17" t="n"/>
      <c r="P80" s="101">
        <f>$AB$19 + IF(E80, $D$59 + INT($D$59 / 2), IF(D80, $D$59, 0)) + R80</f>
        <v/>
      </c>
      <c r="Q80" s="17" t="n"/>
      <c r="R80" s="102" t="n"/>
      <c r="S80" s="51" t="n"/>
      <c r="T80" s="99" t="b">
        <v>0</v>
      </c>
      <c r="U80" s="99" t="b">
        <v>0</v>
      </c>
      <c r="V80" s="100" t="inlineStr">
        <is>
          <t>Intimidação</t>
        </is>
      </c>
      <c r="W80" s="16" t="n"/>
      <c r="X80" s="16" t="n"/>
      <c r="Y80" s="16" t="n"/>
      <c r="Z80" s="16" t="n"/>
      <c r="AA80" s="16" t="n"/>
      <c r="AB80" s="16" t="n"/>
      <c r="AC80" s="17" t="n"/>
      <c r="AD80" s="73" t="inlineStr">
        <is>
          <t>Ess</t>
        </is>
      </c>
      <c r="AE80" s="17" t="n"/>
      <c r="AF80" s="101">
        <f>$AJ$19 + IF(U80, $D$59 + INT($D$59 / 2), IF(T80, $D$59, 0)) + AH80</f>
        <v/>
      </c>
      <c r="AG80" s="17" t="n"/>
      <c r="AH80" s="102" t="n"/>
      <c r="AI80" s="51" t="n"/>
      <c r="AJ80" s="51" t="n"/>
      <c r="AK80" s="55" t="inlineStr">
        <is>
          <t>Perícias Disponíveis</t>
        </is>
      </c>
      <c r="AL80" s="16" t="n"/>
      <c r="AM80" s="16" t="n"/>
      <c r="AN80" s="16" t="n"/>
      <c r="AO80" s="16" t="n"/>
      <c r="AP80" s="16" t="n"/>
      <c r="AQ80" s="16" t="n"/>
      <c r="AR80" s="16" t="n"/>
      <c r="AS80" s="16" t="n"/>
      <c r="AT80" s="17" t="n"/>
    </row>
    <row r="81">
      <c r="A81" s="8" t="n"/>
      <c r="B81" s="14" t="n"/>
      <c r="C81" s="41" t="n"/>
      <c r="D81" s="99" t="b">
        <v>0</v>
      </c>
      <c r="E81" s="99" t="b">
        <v>0</v>
      </c>
      <c r="F81" s="100" t="inlineStr">
        <is>
          <t>História</t>
        </is>
      </c>
      <c r="G81" s="16" t="n"/>
      <c r="H81" s="16" t="n"/>
      <c r="I81" s="16" t="n"/>
      <c r="J81" s="16" t="n"/>
      <c r="K81" s="16" t="n"/>
      <c r="L81" s="16" t="n"/>
      <c r="M81" s="17" t="n"/>
      <c r="N81" s="73" t="inlineStr">
        <is>
          <t>Int</t>
        </is>
      </c>
      <c r="O81" s="17" t="n"/>
      <c r="P81" s="101">
        <f>$AB$19 + IF(E81, $D$59 + INT($D$59 / 2), IF(D81, $D$59, 0)) + R81</f>
        <v/>
      </c>
      <c r="Q81" s="17" t="n"/>
      <c r="R81" s="102" t="n"/>
      <c r="S81" s="51" t="n"/>
      <c r="T81" s="99" t="b">
        <v>0</v>
      </c>
      <c r="U81" s="99" t="b">
        <v>0</v>
      </c>
      <c r="V81" s="100" t="inlineStr">
        <is>
          <t>Atuação</t>
        </is>
      </c>
      <c r="W81" s="16" t="n"/>
      <c r="X81" s="16" t="n"/>
      <c r="Y81" s="16" t="n"/>
      <c r="Z81" s="16" t="n"/>
      <c r="AA81" s="16" t="n"/>
      <c r="AB81" s="16" t="n"/>
      <c r="AC81" s="17" t="n"/>
      <c r="AD81" s="73" t="inlineStr">
        <is>
          <t>Ess</t>
        </is>
      </c>
      <c r="AE81" s="17" t="n"/>
      <c r="AF81" s="101">
        <f>$AJ$19 + IF(U81, $D$59 + INT($D$59 / 2), IF(T81, $D$59, 0)) + AH81</f>
        <v/>
      </c>
      <c r="AG81" s="17" t="n"/>
      <c r="AH81" s="102" t="n"/>
      <c r="AI81" s="51" t="n"/>
      <c r="AJ81" s="51" t="n"/>
      <c r="AK81" s="96">
        <f>IF(AND(DADOS!$AK$15&gt;0,$AH$11&lt;10),"Especialização só no nível 10",IF(DADOS!$AK$24&gt;0,DADOS!$AK$24&amp;" a mais",DADOS!$AK$19+DADOS!$AK$21-DADOS!$AK$13&amp;" de "&amp;(DADOS!$AK$19+DADOS!$AK$21)))</f>
        <v/>
      </c>
      <c r="AL81" s="19" t="n"/>
      <c r="AM81" s="19" t="n"/>
      <c r="AN81" s="19" t="n"/>
      <c r="AO81" s="19" t="n"/>
      <c r="AP81" s="19" t="n"/>
      <c r="AQ81" s="19" t="n"/>
      <c r="AR81" s="19" t="n"/>
      <c r="AS81" s="19" t="n"/>
      <c r="AT81" s="20" t="n"/>
    </row>
    <row r="82">
      <c r="A82" s="8" t="n"/>
      <c r="B82" s="14" t="n"/>
      <c r="C82" s="41" t="n"/>
      <c r="D82" s="99" t="b">
        <v>0</v>
      </c>
      <c r="E82" s="99" t="b">
        <v>0</v>
      </c>
      <c r="F82" s="100" t="inlineStr">
        <is>
          <t>Hierarquia</t>
        </is>
      </c>
      <c r="G82" s="16" t="n"/>
      <c r="H82" s="16" t="n"/>
      <c r="I82" s="16" t="n"/>
      <c r="J82" s="16" t="n"/>
      <c r="K82" s="16" t="n"/>
      <c r="L82" s="16" t="n"/>
      <c r="M82" s="17" t="n"/>
      <c r="N82" s="73" t="inlineStr">
        <is>
          <t>Int</t>
        </is>
      </c>
      <c r="O82" s="17" t="n"/>
      <c r="P82" s="101">
        <f>$AB$19 + IF(E82, $D$59 + INT($D$59 / 2), IF(D82, $D$59, 0)) + R82</f>
        <v/>
      </c>
      <c r="Q82" s="17" t="n"/>
      <c r="R82" s="102" t="n"/>
      <c r="S82" s="97" t="n"/>
      <c r="T82" s="99" t="b">
        <v>0</v>
      </c>
      <c r="U82" s="99" t="b">
        <v>0</v>
      </c>
      <c r="V82" s="100" t="inlineStr">
        <is>
          <t>Provocar</t>
        </is>
      </c>
      <c r="W82" s="16" t="n"/>
      <c r="X82" s="16" t="n"/>
      <c r="Y82" s="16" t="n"/>
      <c r="Z82" s="16" t="n"/>
      <c r="AA82" s="16" t="n"/>
      <c r="AB82" s="16" t="n"/>
      <c r="AC82" s="17" t="n"/>
      <c r="AD82" s="73" t="inlineStr">
        <is>
          <t>Ess</t>
        </is>
      </c>
      <c r="AE82" s="17" t="n"/>
      <c r="AF82" s="101">
        <f>$AJ$19 + IF(U82, $D$59 + INT($D$59 / 2), IF(T82, $D$59, 0)) + AH82</f>
        <v/>
      </c>
      <c r="AG82" s="17" t="n"/>
      <c r="AH82" s="102" t="n"/>
      <c r="AI82" s="51" t="n"/>
      <c r="AJ82" s="51" t="n"/>
      <c r="AK82" s="23" t="n"/>
      <c r="AL82" s="24" t="n"/>
      <c r="AM82" s="24" t="n"/>
      <c r="AN82" s="24" t="n"/>
      <c r="AO82" s="24" t="n"/>
      <c r="AP82" s="24" t="n"/>
      <c r="AQ82" s="24" t="n"/>
      <c r="AR82" s="24" t="n"/>
      <c r="AS82" s="24" t="n"/>
      <c r="AT82" s="25" t="n"/>
    </row>
    <row r="83">
      <c r="A83" s="8" t="n"/>
      <c r="B83" s="14" t="n"/>
      <c r="C83" s="41" t="n"/>
      <c r="D83" s="51" t="n"/>
      <c r="E83" s="51" t="n"/>
      <c r="F83" s="51" t="n"/>
      <c r="G83" s="51" t="n"/>
      <c r="H83" s="51" t="n"/>
      <c r="I83" s="51" t="n"/>
      <c r="J83" s="51" t="n"/>
      <c r="K83" s="51" t="n"/>
      <c r="L83" s="51" t="n"/>
      <c r="M83" s="51" t="n"/>
      <c r="N83" s="51" t="n"/>
      <c r="O83" s="51" t="n"/>
      <c r="P83" s="51" t="n"/>
      <c r="Q83" s="51" t="n"/>
      <c r="R83" s="51" t="n"/>
      <c r="S83" s="51" t="n"/>
      <c r="T83" s="51" t="n"/>
      <c r="U83" s="51" t="n"/>
      <c r="V83" s="51" t="n"/>
      <c r="W83" s="51" t="n"/>
      <c r="X83" s="51" t="n"/>
      <c r="Y83" s="51" t="n"/>
      <c r="Z83" s="51" t="n"/>
      <c r="AA83" s="51" t="n"/>
      <c r="AB83" s="51" t="n"/>
      <c r="AC83" s="51" t="n"/>
      <c r="AD83" s="51" t="n"/>
      <c r="AE83" s="51" t="n"/>
      <c r="AF83" s="51" t="n"/>
      <c r="AG83" s="51" t="n"/>
      <c r="AH83" s="51" t="n"/>
      <c r="AI83" s="51" t="n"/>
      <c r="AJ83" s="51" t="n"/>
      <c r="AK83" s="51" t="n"/>
      <c r="AL83" s="51" t="n"/>
      <c r="AM83" s="51" t="n"/>
      <c r="AN83" s="51" t="n"/>
      <c r="AO83" s="51" t="n"/>
      <c r="AP83" s="51" t="n"/>
      <c r="AQ83" s="51" t="n"/>
      <c r="AR83" s="51" t="n"/>
      <c r="AS83" s="51" t="n"/>
      <c r="AT83" s="51" t="n"/>
    </row>
    <row r="84" ht="27" customHeight="1">
      <c r="A84" s="8" t="n"/>
      <c r="B84" s="14" t="n"/>
      <c r="C84" s="41" t="n"/>
      <c r="D84" s="66" t="n">
        <v>6</v>
      </c>
      <c r="E84" s="19" t="n"/>
      <c r="F84" s="20" t="n"/>
      <c r="G84" s="93" t="inlineStr">
        <is>
          <t>OFÍCIOS E TESTES DE RESISTÊNCIA</t>
        </is>
      </c>
      <c r="H84" s="16" t="n"/>
      <c r="I84" s="16" t="n"/>
      <c r="J84" s="16" t="n"/>
      <c r="K84" s="16" t="n"/>
      <c r="L84" s="16" t="n"/>
      <c r="M84" s="16" t="n"/>
      <c r="N84" s="16" t="n"/>
      <c r="O84" s="16" t="n"/>
      <c r="P84" s="16" t="n"/>
      <c r="Q84" s="16" t="n"/>
      <c r="R84" s="16" t="n"/>
      <c r="S84" s="16" t="n"/>
      <c r="T84" s="16" t="n"/>
      <c r="U84" s="16" t="n"/>
      <c r="V84" s="16" t="n"/>
      <c r="W84" s="16" t="n"/>
      <c r="X84" s="16" t="n"/>
      <c r="Y84" s="16" t="n"/>
      <c r="Z84" s="16" t="n"/>
      <c r="AA84" s="16" t="n"/>
      <c r="AB84" s="16" t="n"/>
      <c r="AC84" s="16" t="n"/>
      <c r="AD84" s="16" t="n"/>
      <c r="AE84" s="16" t="n"/>
      <c r="AF84" s="16" t="n"/>
      <c r="AG84" s="16" t="n"/>
      <c r="AH84" s="17" t="n"/>
      <c r="AI84" s="51" t="n"/>
      <c r="AJ84" s="51" t="n"/>
      <c r="AK84" s="105">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84" s="16" t="n"/>
      <c r="AM84" s="16" t="n"/>
      <c r="AN84" s="16" t="n"/>
      <c r="AO84" s="16" t="n"/>
      <c r="AP84" s="16" t="n"/>
      <c r="AQ84" s="16" t="n"/>
      <c r="AR84" s="16" t="n"/>
      <c r="AS84" s="16" t="n"/>
      <c r="AT84" s="17" t="n"/>
    </row>
    <row r="85">
      <c r="A85" s="8" t="n"/>
      <c r="B85" s="14" t="n"/>
      <c r="C85" s="41" t="n"/>
      <c r="D85" s="23" t="n"/>
      <c r="E85" s="24" t="n"/>
      <c r="F85" s="25" t="n"/>
      <c r="G85" s="51" t="n"/>
      <c r="H85" s="51" t="n"/>
      <c r="I85" s="51" t="n"/>
      <c r="J85" s="51" t="n"/>
      <c r="K85" s="51" t="n"/>
      <c r="L85" s="51" t="n"/>
      <c r="M85" s="51" t="n"/>
      <c r="N85" s="51" t="n"/>
      <c r="O85" s="51" t="n"/>
      <c r="P85" s="51" t="n"/>
      <c r="Q85" s="51" t="n"/>
      <c r="R85" s="51" t="n"/>
      <c r="S85" s="51" t="n"/>
      <c r="T85" s="51" t="n"/>
      <c r="U85" s="51" t="n"/>
      <c r="V85" s="51" t="n"/>
      <c r="W85" s="51" t="n"/>
      <c r="X85" s="51" t="n"/>
      <c r="Y85" s="51" t="n"/>
      <c r="Z85" s="51" t="n"/>
      <c r="AA85" s="51" t="n"/>
      <c r="AB85" s="51" t="n"/>
      <c r="AC85" s="51" t="n"/>
      <c r="AD85" s="51" t="n"/>
      <c r="AE85" s="51" t="n"/>
      <c r="AF85" s="51" t="n"/>
      <c r="AG85" s="51" t="n"/>
      <c r="AH85" s="51" t="n"/>
      <c r="AI85" s="51" t="n"/>
      <c r="AJ85" s="51" t="n"/>
      <c r="AK85" s="51" t="n"/>
      <c r="AL85" s="51" t="n"/>
      <c r="AM85" s="51" t="n"/>
      <c r="AN85" s="51" t="n"/>
      <c r="AO85" s="51" t="n"/>
      <c r="AP85" s="51" t="n"/>
      <c r="AQ85" s="51" t="n"/>
      <c r="AR85" s="51" t="n"/>
      <c r="AS85" s="51" t="n"/>
      <c r="AT85" s="51" t="n"/>
    </row>
    <row r="86">
      <c r="A86" s="8" t="n"/>
      <c r="B86" s="14" t="n"/>
      <c r="C86" s="41" t="n"/>
      <c r="D86" s="98" t="inlineStr">
        <is>
          <t>Trein</t>
        </is>
      </c>
      <c r="E86" s="98" t="inlineStr">
        <is>
          <t>Espec</t>
        </is>
      </c>
      <c r="F86" s="51" t="n"/>
      <c r="G86" s="51" t="n"/>
      <c r="H86" s="51" t="n"/>
      <c r="I86" s="51" t="n"/>
      <c r="J86" s="51" t="n"/>
      <c r="K86" s="51" t="n"/>
      <c r="L86" s="51" t="n"/>
      <c r="M86" s="51" t="n"/>
      <c r="N86" s="51" t="n"/>
      <c r="O86" s="98" t="inlineStr">
        <is>
          <t>Extra</t>
        </is>
      </c>
      <c r="P86" s="51" t="n"/>
      <c r="Q86" s="98" t="inlineStr">
        <is>
          <t>Trein</t>
        </is>
      </c>
      <c r="R86" s="98" t="inlineStr">
        <is>
          <t>Espec</t>
        </is>
      </c>
      <c r="S86" s="51" t="n"/>
      <c r="T86" s="51" t="n"/>
      <c r="U86" s="51" t="n"/>
      <c r="V86" s="51" t="n"/>
      <c r="W86" s="51" t="n"/>
      <c r="X86" s="51" t="n"/>
      <c r="Y86" s="51" t="n"/>
      <c r="Z86" s="51" t="n"/>
      <c r="AA86" s="51" t="n"/>
      <c r="AB86" s="98" t="inlineStr">
        <is>
          <t>Extra</t>
        </is>
      </c>
      <c r="AC86" s="51" t="n"/>
      <c r="AD86" s="51" t="n"/>
      <c r="AE86" s="97" t="n"/>
      <c r="AF86" s="98" t="inlineStr">
        <is>
          <t>Trein</t>
        </is>
      </c>
      <c r="AG86" s="51" t="n"/>
      <c r="AH86" s="51" t="n"/>
      <c r="AI86" s="51" t="n"/>
      <c r="AJ86" s="98" t="inlineStr">
        <is>
          <t>Extra</t>
        </is>
      </c>
      <c r="AK86" s="51" t="n"/>
      <c r="AL86" s="51" t="n"/>
      <c r="AM86" s="51" t="n"/>
      <c r="AN86" s="51" t="n"/>
      <c r="AO86" s="51" t="n"/>
      <c r="AP86" s="51" t="n"/>
      <c r="AQ86" s="51" t="n"/>
      <c r="AR86" s="51" t="n"/>
      <c r="AS86" s="51" t="n"/>
      <c r="AT86" s="51" t="n"/>
    </row>
    <row r="87">
      <c r="A87" s="8" t="n"/>
      <c r="B87" s="14" t="n"/>
      <c r="C87" s="41" t="n"/>
      <c r="D87" s="99" t="b">
        <v>0</v>
      </c>
      <c r="E87" s="99" t="b">
        <v>0</v>
      </c>
      <c r="F87" s="106" t="inlineStr">
        <is>
          <t>Condução</t>
        </is>
      </c>
      <c r="G87" s="16" t="n"/>
      <c r="H87" s="16" t="n"/>
      <c r="I87" s="16" t="n"/>
      <c r="J87" s="17" t="n"/>
      <c r="K87" s="107" t="inlineStr">
        <is>
          <t>INTELIGÊNCIA</t>
        </is>
      </c>
      <c r="L87" s="16" t="n"/>
      <c r="M87" s="17" t="n"/>
      <c r="N87" s="108">
        <f>+IFS(K87="FORÇA",$D$19, K87="DESTREZA",$L$19, K87="CONSTITUIÇÃO",$T$19, K87="INTELIGÊNCIA",$AB$19, K87="ESSÊNCIA",$AJ$19) + IF(E87, $D$59 + INT($D$59 / 2), IF(D87, $D$59, 0)) + O87</f>
        <v/>
      </c>
      <c r="O87" s="105" t="n"/>
      <c r="P87" s="51" t="n"/>
      <c r="Q87" s="99" t="b">
        <v>0</v>
      </c>
      <c r="R87" s="99" t="b">
        <v>0</v>
      </c>
      <c r="S87" s="106" t="inlineStr">
        <is>
          <t>Entalhador</t>
        </is>
      </c>
      <c r="T87" s="16" t="n"/>
      <c r="U87" s="16" t="n"/>
      <c r="V87" s="16" t="n"/>
      <c r="W87" s="17" t="n"/>
      <c r="X87" s="107" t="inlineStr">
        <is>
          <t>INTELIGÊNCIA</t>
        </is>
      </c>
      <c r="Y87" s="16" t="n"/>
      <c r="Z87" s="17" t="n"/>
      <c r="AA87" s="109">
        <f>+IFS(X87="FORÇA",$D$19, X87="DESTREZA",$L$19, X87="CONSTITUIÇÃO",$T$19, X87="INTELIGÊNCIA",$AB$19, X87="ESSÊNCIA",$AJ$19) + IF(R87, $D$59 + INT($D$59 / 2), IF(Q87, $D$59, 0)) + AB87</f>
        <v/>
      </c>
      <c r="AB87" s="102" t="n"/>
      <c r="AC87" s="51" t="n"/>
      <c r="AD87" s="51" t="n"/>
      <c r="AE87" s="97" t="n"/>
      <c r="AF87" s="99" t="b">
        <v>0</v>
      </c>
      <c r="AG87" s="110" t="inlineStr">
        <is>
          <t>Físico</t>
        </is>
      </c>
      <c r="AH87" s="16" t="n"/>
      <c r="AI87" s="16" t="n"/>
      <c r="AJ87" s="105" t="n"/>
      <c r="AK87" s="111" t="inlineStr">
        <is>
          <t>FORÇA</t>
        </is>
      </c>
      <c r="AL87" s="16" t="n"/>
      <c r="AM87" s="16" t="n"/>
      <c r="AN87" s="16" t="n"/>
      <c r="AO87" s="17" t="n"/>
      <c r="AP87" s="104">
        <f>+IFS(AK87="FORÇA",$D$19, AK87="DESTREZA",$L$19)+IF($AF$87=TRUE,$D$59,0)+AJ87</f>
        <v/>
      </c>
      <c r="AQ87" s="16" t="n"/>
      <c r="AR87" s="16" t="n"/>
      <c r="AS87" s="16" t="n"/>
      <c r="AT87" s="17" t="n"/>
    </row>
    <row r="88">
      <c r="A88" s="8" t="n"/>
      <c r="B88" s="14" t="n"/>
      <c r="C88" s="41" t="n"/>
      <c r="D88" s="99" t="b">
        <v>0</v>
      </c>
      <c r="E88" s="99" t="b">
        <v>0</v>
      </c>
      <c r="F88" s="106" t="inlineStr">
        <is>
          <t>Arrombamento</t>
        </is>
      </c>
      <c r="G88" s="16" t="n"/>
      <c r="H88" s="16" t="n"/>
      <c r="I88" s="16" t="n"/>
      <c r="J88" s="17" t="n"/>
      <c r="K88" s="107" t="inlineStr">
        <is>
          <t>INTELIGÊNCIA</t>
        </is>
      </c>
      <c r="L88" s="16" t="n"/>
      <c r="M88" s="17" t="n"/>
      <c r="N88" s="109">
        <f>+IFS(K88="FORÇA",$D$19, K88="DESTREZA",$L$19, K88="CONSTITUIÇÃO",$T$19, K88="INTELIGÊNCIA",$AB$19, K88="ESSÊNCIA",$AJ$19) + IF(E88, $D$59 + INT($D$59 / 2), IF(D88, $D$59, 0)) + O88</f>
        <v/>
      </c>
      <c r="O88" s="102" t="n"/>
      <c r="P88" s="51" t="n"/>
      <c r="Q88" s="99" t="b">
        <v>0</v>
      </c>
      <c r="R88" s="99" t="b">
        <v>0</v>
      </c>
      <c r="S88" s="106" t="inlineStr">
        <is>
          <t xml:space="preserve">Alfaiate </t>
        </is>
      </c>
      <c r="T88" s="16" t="n"/>
      <c r="U88" s="16" t="n"/>
      <c r="V88" s="16" t="n"/>
      <c r="W88" s="17" t="n"/>
      <c r="X88" s="107" t="inlineStr">
        <is>
          <t>INTELIGÊNCIA</t>
        </is>
      </c>
      <c r="Y88" s="16" t="n"/>
      <c r="Z88" s="17" t="n"/>
      <c r="AA88" s="109">
        <f>+IFS(X88="FORÇA",$D$19, X88="DESTREZA",$L$19, X88="CONSTITUIÇÃO",$T$19, X88="INTELIGÊNCIA",$AB$19, X88="ESSÊNCIA",$AJ$19) + IF(R88, $D$59 + INT($D$59 / 2), IF(Q88, $D$59, 0)) + AB88</f>
        <v/>
      </c>
      <c r="AB88" s="102" t="n"/>
      <c r="AC88" s="51" t="n"/>
      <c r="AD88" s="51" t="n"/>
      <c r="AE88" s="97" t="n"/>
      <c r="AF88" s="99" t="b">
        <v>0</v>
      </c>
      <c r="AG88" s="110" t="inlineStr">
        <is>
          <t>Vigor</t>
        </is>
      </c>
      <c r="AH88" s="16" t="n"/>
      <c r="AI88" s="16" t="n"/>
      <c r="AJ88" s="105" t="n"/>
      <c r="AK88" s="107" t="inlineStr">
        <is>
          <t xml:space="preserve">CONSTITUIÇÃO </t>
        </is>
      </c>
      <c r="AL88" s="16" t="n"/>
      <c r="AM88" s="16" t="n"/>
      <c r="AN88" s="16" t="n"/>
      <c r="AO88" s="17" t="n"/>
      <c r="AP88" s="104">
        <f>$T$19+IF($AF$88=TRUE,$D$59,0)+AJ88</f>
        <v/>
      </c>
      <c r="AQ88" s="16" t="n"/>
      <c r="AR88" s="16" t="n"/>
      <c r="AS88" s="16" t="n"/>
      <c r="AT88" s="17" t="n"/>
    </row>
    <row r="89">
      <c r="A89" s="8" t="n"/>
      <c r="B89" s="14" t="n"/>
      <c r="C89" s="41" t="n"/>
      <c r="D89" s="99" t="b">
        <v>0</v>
      </c>
      <c r="E89" s="99" t="b">
        <v>0</v>
      </c>
      <c r="F89" s="106" t="inlineStr">
        <is>
          <t>Herbalismo</t>
        </is>
      </c>
      <c r="G89" s="16" t="n"/>
      <c r="H89" s="16" t="n"/>
      <c r="I89" s="16" t="n"/>
      <c r="J89" s="17" t="n"/>
      <c r="K89" s="107" t="inlineStr">
        <is>
          <t>INTELIGÊNCIA</t>
        </is>
      </c>
      <c r="L89" s="16" t="n"/>
      <c r="M89" s="17" t="n"/>
      <c r="N89" s="109">
        <f>+IFS(K89="FORÇA",$D$19, K89="DESTREZA",$L$19, K89="CONSTITUIÇÃO",$T$19, K89="INTELIGÊNCIA",$AB$19, K89="ESSÊNCIA",$AJ$19) + IF(E89, $D$59 + INT($D$59 / 2), IF(D89, $D$59, 0)) + O89</f>
        <v/>
      </c>
      <c r="O89" s="102" t="n"/>
      <c r="P89" s="51" t="n"/>
      <c r="Q89" s="99" t="b">
        <v>0</v>
      </c>
      <c r="R89" s="99" t="b">
        <v>0</v>
      </c>
      <c r="S89" s="100" t="inlineStr">
        <is>
          <t>Culinária</t>
        </is>
      </c>
      <c r="T89" s="16" t="n"/>
      <c r="U89" s="16" t="n"/>
      <c r="V89" s="16" t="n"/>
      <c r="W89" s="17" t="n"/>
      <c r="X89" s="107" t="inlineStr">
        <is>
          <t>INTELIGÊNCIA</t>
        </is>
      </c>
      <c r="Y89" s="16" t="n"/>
      <c r="Z89" s="17" t="n"/>
      <c r="AA89" s="109">
        <f>+IFS(X89="FORÇA",$D$19, X89="DESTREZA",$L$19, X89="CONSTITUIÇÃO",$T$19, X89="INTELIGÊNCIA",$AB$19, X89="ESSÊNCIA",$AJ$19) + IF(R89, $D$59 + INT($D$59 / 2), IF(Q89, $D$59, 0)) + AB89</f>
        <v/>
      </c>
      <c r="AB89" s="102" t="n"/>
      <c r="AC89" s="51" t="n"/>
      <c r="AD89" s="51" t="n"/>
      <c r="AE89" s="97" t="n"/>
      <c r="AF89" s="99" t="b">
        <v>0</v>
      </c>
      <c r="AG89" s="110" t="inlineStr">
        <is>
          <t>Intelecto</t>
        </is>
      </c>
      <c r="AH89" s="16" t="n"/>
      <c r="AI89" s="16" t="n"/>
      <c r="AJ89" s="105" t="n"/>
      <c r="AK89" s="107" t="inlineStr">
        <is>
          <t>INTELIGÊNCIA</t>
        </is>
      </c>
      <c r="AL89" s="16" t="n"/>
      <c r="AM89" s="16" t="n"/>
      <c r="AN89" s="16" t="n"/>
      <c r="AO89" s="17" t="n"/>
      <c r="AP89" s="104">
        <f>$AB$19+IF($AF$89=TRUE,$D$59,0)+AJ89</f>
        <v/>
      </c>
      <c r="AQ89" s="16" t="n"/>
      <c r="AR89" s="16" t="n"/>
      <c r="AS89" s="16" t="n"/>
      <c r="AT89" s="17" t="n"/>
    </row>
    <row r="90">
      <c r="A90" s="8" t="n"/>
      <c r="B90" s="14" t="n"/>
      <c r="C90" s="41" t="n"/>
      <c r="D90" s="99" t="b">
        <v>0</v>
      </c>
      <c r="E90" s="99" t="b">
        <v>0</v>
      </c>
      <c r="F90" s="106" t="inlineStr">
        <is>
          <t>Forja</t>
        </is>
      </c>
      <c r="G90" s="16" t="n"/>
      <c r="H90" s="16" t="n"/>
      <c r="I90" s="16" t="n"/>
      <c r="J90" s="17" t="n"/>
      <c r="K90" s="107" t="inlineStr">
        <is>
          <t>INTELIGÊNCIA</t>
        </is>
      </c>
      <c r="L90" s="16" t="n"/>
      <c r="M90" s="17" t="n"/>
      <c r="N90" s="109">
        <f>+IFS(K90="FORÇA",$D$19, K90="DESTREZA",$L$19, K90="CONSTITUIÇÃO",$T$19, K90="INTELIGÊNCIA",$AB$19, K90="ESSÊNCIA",$AJ$19) + IF(E90, $D$59 + INT($D$59 / 2), IF(D90, $D$59, 0)) + O90</f>
        <v/>
      </c>
      <c r="O90" s="102" t="n"/>
      <c r="P90" s="51" t="n"/>
      <c r="Q90" s="99" t="b">
        <v>0</v>
      </c>
      <c r="R90" s="99" t="b">
        <v>0</v>
      </c>
      <c r="S90" s="106" t="inlineStr">
        <is>
          <t>Jogatina</t>
        </is>
      </c>
      <c r="T90" s="16" t="n"/>
      <c r="U90" s="16" t="n"/>
      <c r="V90" s="16" t="n"/>
      <c r="W90" s="17" t="n"/>
      <c r="X90" s="107" t="inlineStr">
        <is>
          <t>INTELIGÊNCIA</t>
        </is>
      </c>
      <c r="Y90" s="16" t="n"/>
      <c r="Z90" s="17" t="n"/>
      <c r="AA90" s="109">
        <f>+IFS(X90="FORÇA",$D$19, X90="DESTREZA",$L$19, X90="CONSTITUIÇÃO",$T$19, X90="INTELIGÊNCIA",$AB$19, X90="ESSÊNCIA",$AJ$19) + IF(R90, $D$59 + INT($D$59 / 2), IF(Q90, $D$59, 0)) + AB90</f>
        <v/>
      </c>
      <c r="AB90" s="102" t="n"/>
      <c r="AC90" s="51" t="n"/>
      <c r="AD90" s="51" t="n"/>
      <c r="AE90" s="51" t="n"/>
      <c r="AF90" s="99" t="b">
        <v>0</v>
      </c>
      <c r="AG90" s="110" t="inlineStr">
        <is>
          <t>Espírito</t>
        </is>
      </c>
      <c r="AH90" s="16" t="n"/>
      <c r="AI90" s="16" t="n"/>
      <c r="AJ90" s="105" t="n"/>
      <c r="AK90" s="107" t="inlineStr">
        <is>
          <t>ESSÊNCIA</t>
        </is>
      </c>
      <c r="AL90" s="16" t="n"/>
      <c r="AM90" s="16" t="n"/>
      <c r="AN90" s="16" t="n"/>
      <c r="AO90" s="17" t="n"/>
      <c r="AP90" s="104">
        <f>$AJ$19+IF($AF$90=TRUE,$D$59,0)+AJ90</f>
        <v/>
      </c>
      <c r="AQ90" s="16" t="n"/>
      <c r="AR90" s="16" t="n"/>
      <c r="AS90" s="16" t="n"/>
      <c r="AT90" s="17" t="n"/>
    </row>
    <row r="91">
      <c r="A91" s="8" t="n"/>
      <c r="B91" s="14" t="n"/>
      <c r="C91" s="41" t="n"/>
      <c r="D91" s="99" t="b">
        <v>0</v>
      </c>
      <c r="E91" s="99" t="b">
        <v>0</v>
      </c>
      <c r="F91" s="106" t="inlineStr">
        <is>
          <t>Caligrafia</t>
        </is>
      </c>
      <c r="G91" s="16" t="n"/>
      <c r="H91" s="16" t="n"/>
      <c r="I91" s="16" t="n"/>
      <c r="J91" s="17" t="n"/>
      <c r="K91" s="107" t="inlineStr">
        <is>
          <t>INTELIGÊNCIA</t>
        </is>
      </c>
      <c r="L91" s="16" t="n"/>
      <c r="M91" s="17" t="n"/>
      <c r="N91" s="109">
        <f>+IFS(K91="FORÇA",$D$19, K91="DESTREZA",$L$19, K91="CONSTITUIÇÃO",$T$19, K91="INTELIGÊNCIA",$AB$19, K91="ESSÊNCIA",$AJ$19) + IF(E91, $D$59 + INT($D$59 / 2), IF(D91, $D$59, 0)) + O91</f>
        <v/>
      </c>
      <c r="O91" s="102" t="n"/>
      <c r="P91" s="51" t="n"/>
      <c r="Q91" s="99" t="b">
        <v>0</v>
      </c>
      <c r="R91" s="99" t="b">
        <v>0</v>
      </c>
      <c r="S91" s="106" t="inlineStr">
        <is>
          <t>Instrumento</t>
        </is>
      </c>
      <c r="T91" s="16" t="n"/>
      <c r="U91" s="16" t="n"/>
      <c r="V91" s="16" t="n"/>
      <c r="W91" s="17" t="n"/>
      <c r="X91" s="107" t="inlineStr">
        <is>
          <t>INTELIGÊNCIA</t>
        </is>
      </c>
      <c r="Y91" s="16" t="n"/>
      <c r="Z91" s="17" t="n"/>
      <c r="AA91" s="109">
        <f>+IFS(X91="FORÇA",$D$19, X91="DESTREZA",$L$19, X91="CONSTITUIÇÃO",$T$19, X91="INTELIGÊNCIA",$AB$19, X91="ESSÊNCIA",$AJ$19) + IF(R91, $D$59 + INT($D$59 / 2), IF(Q91, $D$59, 0)) + AB91</f>
        <v/>
      </c>
      <c r="AB91" s="102" t="n"/>
      <c r="AC91" s="51" t="n"/>
      <c r="AD91" s="51" t="n"/>
      <c r="AE91" s="51" t="n"/>
      <c r="AF91" s="51" t="n"/>
      <c r="AG91" s="51" t="n"/>
      <c r="AH91" s="51" t="n"/>
      <c r="AI91" s="51" t="n"/>
      <c r="AJ91" s="51" t="n"/>
      <c r="AK91" s="51" t="n"/>
      <c r="AL91" s="51" t="n"/>
      <c r="AM91" s="51" t="n"/>
      <c r="AN91" s="51" t="n"/>
      <c r="AO91" s="51" t="n"/>
      <c r="AP91" s="51" t="n"/>
      <c r="AQ91" s="51" t="n"/>
      <c r="AR91" s="51" t="n"/>
      <c r="AS91" s="51" t="n"/>
      <c r="AT91" s="51" t="n"/>
    </row>
    <row r="92">
      <c r="A92" s="8" t="n"/>
      <c r="B92" s="14" t="n"/>
      <c r="C92" s="41" t="n"/>
      <c r="D92" s="99" t="b">
        <v>0</v>
      </c>
      <c r="E92" s="99" t="b">
        <v>0</v>
      </c>
      <c r="F92" s="106" t="inlineStr">
        <is>
          <t>Burocracia</t>
        </is>
      </c>
      <c r="G92" s="16" t="n"/>
      <c r="H92" s="16" t="n"/>
      <c r="I92" s="16" t="n"/>
      <c r="J92" s="17" t="n"/>
      <c r="K92" s="107" t="inlineStr">
        <is>
          <t>INTELIGÊNCIA</t>
        </is>
      </c>
      <c r="L92" s="16" t="n"/>
      <c r="M92" s="17" t="n"/>
      <c r="N92" s="109">
        <f>+IFS(K92="FORÇA",$D$19, K92="DESTREZA",$L$19, K92="CONSTITUIÇÃO",$T$19, K92="INTELIGÊNCIA",$AB$19, K92="ESSÊNCIA",$AJ$19) + IF(E92, $D$59 + INT($D$59 / 2), IF(D92, $D$59, 0)) + O92</f>
        <v/>
      </c>
      <c r="O92" s="102" t="n"/>
      <c r="P92" s="51" t="n"/>
      <c r="Q92" s="51" t="n"/>
      <c r="R92" s="51" t="n"/>
      <c r="S92" s="51" t="n"/>
      <c r="T92" s="51" t="n"/>
      <c r="U92" s="51" t="n"/>
      <c r="V92" s="51" t="n"/>
      <c r="W92" s="51" t="n"/>
      <c r="X92" s="51" t="n"/>
      <c r="Y92" s="51" t="n"/>
      <c r="Z92" s="51" t="n"/>
      <c r="AA92" s="51" t="n"/>
      <c r="AB92" s="51" t="n"/>
      <c r="AC92" s="51" t="n"/>
      <c r="AD92" s="51" t="n"/>
      <c r="AE92" s="51" t="n"/>
      <c r="AF92" s="112" t="inlineStr">
        <is>
          <t>Ofícios Disponíveis</t>
        </is>
      </c>
      <c r="AG92" s="16" t="n"/>
      <c r="AH92" s="16" t="n"/>
      <c r="AI92" s="16" t="n"/>
      <c r="AJ92" s="16" t="n"/>
      <c r="AK92" s="16" t="n"/>
      <c r="AL92" s="16" t="n"/>
      <c r="AM92" s="17" t="n"/>
      <c r="AN92" s="113" t="inlineStr">
        <is>
          <t>Testes de Resistência Disponíveis</t>
        </is>
      </c>
      <c r="AO92" s="16" t="n"/>
      <c r="AP92" s="16" t="n"/>
      <c r="AQ92" s="16" t="n"/>
      <c r="AR92" s="16" t="n"/>
      <c r="AS92" s="16" t="n"/>
      <c r="AT92" s="17" t="n"/>
    </row>
    <row r="93">
      <c r="A93" s="8" t="n"/>
      <c r="B93" s="14" t="n"/>
      <c r="C93" s="41" t="n"/>
      <c r="D93" s="51" t="n"/>
      <c r="E93" s="51" t="n"/>
      <c r="F93" s="51" t="n"/>
      <c r="G93" s="51" t="n"/>
      <c r="H93" s="51" t="n"/>
      <c r="I93" s="51" t="n"/>
      <c r="J93" s="51" t="n"/>
      <c r="K93" s="51" t="n"/>
      <c r="L93" s="51" t="n"/>
      <c r="M93" s="51" t="n"/>
      <c r="N93" s="51" t="n"/>
      <c r="O93" s="51" t="n"/>
      <c r="P93" s="51" t="n"/>
      <c r="Q93" s="51" t="n"/>
      <c r="R93" s="51" t="n"/>
      <c r="S93" s="51" t="n"/>
      <c r="T93" s="51" t="n"/>
      <c r="U93" s="51" t="n"/>
      <c r="V93" s="51" t="n"/>
      <c r="W93" s="51" t="n"/>
      <c r="X93" s="51" t="n"/>
      <c r="Y93" s="51" t="n"/>
      <c r="Z93" s="51" t="n"/>
      <c r="AA93" s="51" t="n"/>
      <c r="AB93" s="51" t="n"/>
      <c r="AC93" s="51" t="n"/>
      <c r="AD93" s="51" t="n"/>
      <c r="AE93" s="51" t="n"/>
      <c r="AF93" s="114">
        <f>IF(AND(DADOS!$AK$15&gt;0,$AH$11&lt;10),"Especialização só no nível 10",IF(DADOS!$AK$24&gt;0,DADOS!$AK$24&amp;" a mais",DADOS!$AK$20+DADOS!$AK$22-DADOS!$AK$14&amp;" de "&amp;(DADOS!$AK$20+DADOS!$AK$22)))</f>
        <v/>
      </c>
      <c r="AG93" s="16" t="n"/>
      <c r="AH93" s="16" t="n"/>
      <c r="AI93" s="16" t="n"/>
      <c r="AJ93" s="16" t="n"/>
      <c r="AK93" s="16" t="n"/>
      <c r="AL93" s="16" t="n"/>
      <c r="AM93" s="17" t="n"/>
      <c r="AN93" s="115">
        <f>IF(DADOS!$AK$29&gt;2,DADOS!$AK$29-2&amp;" a mais",2-DADOS!$AK$29&amp;" de "&amp;2)</f>
        <v/>
      </c>
      <c r="AO93" s="16" t="n"/>
      <c r="AP93" s="16" t="n"/>
      <c r="AQ93" s="16" t="n"/>
      <c r="AR93" s="16" t="n"/>
      <c r="AS93" s="16" t="n"/>
      <c r="AT93" s="17" t="n"/>
    </row>
    <row r="94">
      <c r="A94" s="8" t="n"/>
      <c r="B94" s="14" t="n"/>
      <c r="C94" s="41" t="n"/>
      <c r="D94" s="51" t="n"/>
      <c r="E94" s="51" t="n"/>
      <c r="F94" s="51" t="n"/>
      <c r="G94" s="51" t="n"/>
      <c r="H94" s="51" t="n"/>
      <c r="I94" s="51" t="n"/>
      <c r="J94" s="51" t="n"/>
      <c r="K94" s="51" t="n"/>
      <c r="L94" s="51" t="n"/>
      <c r="M94" s="51" t="n"/>
      <c r="N94" s="51" t="n"/>
      <c r="O94" s="51" t="n"/>
      <c r="P94" s="51" t="n"/>
      <c r="Q94" s="51" t="n"/>
      <c r="R94" s="51" t="n"/>
      <c r="S94" s="51" t="n"/>
      <c r="T94" s="51" t="n"/>
      <c r="U94" s="51" t="n"/>
      <c r="V94" s="51" t="n"/>
      <c r="W94" s="51" t="n"/>
      <c r="X94" s="51" t="n"/>
      <c r="Y94" s="51" t="n"/>
      <c r="Z94" s="51" t="n"/>
      <c r="AA94" s="51" t="n"/>
      <c r="AB94" s="51" t="n"/>
      <c r="AC94" s="51" t="n"/>
      <c r="AD94" s="51" t="n"/>
      <c r="AE94" s="51" t="n"/>
      <c r="AF94" s="51" t="n"/>
      <c r="AG94" s="51" t="n"/>
      <c r="AH94" s="51" t="n"/>
      <c r="AI94" s="51" t="n"/>
      <c r="AJ94" s="51" t="n"/>
      <c r="AK94" s="51" t="n"/>
      <c r="AL94" s="51" t="n"/>
      <c r="AM94" s="51" t="n"/>
      <c r="AN94" s="51" t="n"/>
      <c r="AO94" s="51" t="n"/>
      <c r="AP94" s="51" t="n"/>
      <c r="AQ94" s="51" t="n"/>
      <c r="AR94" s="51" t="n"/>
      <c r="AS94" s="51" t="n"/>
      <c r="AT94" s="51" t="n"/>
    </row>
    <row r="95">
      <c r="A95" s="8" t="n"/>
      <c r="B95" s="14" t="n"/>
      <c r="C95" s="41" t="n"/>
      <c r="D95" s="51" t="n"/>
      <c r="E95" s="51" t="n"/>
      <c r="F95" s="51" t="n"/>
      <c r="G95" s="51" t="n"/>
      <c r="H95" s="51" t="n"/>
      <c r="I95" s="51" t="n"/>
      <c r="J95" s="51" t="n"/>
      <c r="K95" s="51" t="n"/>
      <c r="L95" s="51" t="n"/>
      <c r="M95" s="51" t="n"/>
      <c r="N95" s="51" t="n"/>
      <c r="O95" s="51" t="n"/>
      <c r="P95" s="51" t="n"/>
      <c r="Q95" s="51" t="n"/>
      <c r="R95" s="51" t="n"/>
      <c r="S95" s="51" t="n"/>
      <c r="T95" s="51" t="n"/>
      <c r="U95" s="51" t="n"/>
      <c r="V95" s="51" t="n"/>
      <c r="W95" s="51" t="n"/>
      <c r="X95" s="51" t="n"/>
      <c r="Y95" s="51" t="n"/>
      <c r="Z95" s="51" t="n"/>
      <c r="AA95" s="51" t="n"/>
      <c r="AB95" s="51" t="n"/>
      <c r="AC95" s="51" t="n"/>
      <c r="AD95" s="51" t="n"/>
      <c r="AE95" s="51" t="n"/>
      <c r="AF95" s="51" t="n"/>
      <c r="AG95" s="51" t="n"/>
      <c r="AH95" s="51" t="n"/>
      <c r="AI95" s="51" t="n"/>
      <c r="AJ95" s="51" t="n"/>
      <c r="AK95" s="51" t="n"/>
      <c r="AL95" s="51" t="n"/>
      <c r="AM95" s="51" t="n"/>
      <c r="AN95" s="51" t="n"/>
      <c r="AO95" s="51" t="n"/>
      <c r="AP95" s="51" t="n"/>
      <c r="AQ95" s="51" t="n"/>
      <c r="AR95" s="51" t="n"/>
      <c r="AS95" s="51" t="n"/>
      <c r="AT95" s="51" t="n"/>
    </row>
    <row r="96" ht="27" customHeight="1">
      <c r="A96" s="8" t="n"/>
      <c r="B96" s="14" t="n"/>
      <c r="C96" s="41" t="n"/>
      <c r="D96" s="66" t="n">
        <v>7</v>
      </c>
      <c r="E96" s="19" t="n"/>
      <c r="F96" s="20" t="n"/>
      <c r="G96" s="93" t="inlineStr">
        <is>
          <t>HABILIDADES</t>
        </is>
      </c>
      <c r="H96" s="16" t="n"/>
      <c r="I96" s="16" t="n"/>
      <c r="J96" s="16" t="n"/>
      <c r="K96" s="16" t="n"/>
      <c r="L96" s="16" t="n"/>
      <c r="M96" s="16" t="n"/>
      <c r="N96" s="16" t="n"/>
      <c r="O96" s="16" t="n"/>
      <c r="P96" s="16" t="n"/>
      <c r="Q96" s="16" t="n"/>
      <c r="R96" s="16" t="n"/>
      <c r="S96" s="16" t="n"/>
      <c r="T96" s="16" t="n"/>
      <c r="U96" s="16" t="n"/>
      <c r="V96" s="16" t="n"/>
      <c r="W96" s="16" t="n"/>
      <c r="X96" s="16" t="n"/>
      <c r="Y96" s="16" t="n"/>
      <c r="Z96" s="16" t="n"/>
      <c r="AA96" s="16" t="n"/>
      <c r="AB96" s="16" t="n"/>
      <c r="AC96" s="16" t="n"/>
      <c r="AD96" s="16" t="n"/>
      <c r="AE96" s="16" t="n"/>
      <c r="AF96" s="16" t="n"/>
      <c r="AG96" s="16" t="n"/>
      <c r="AH96" s="17" t="n"/>
      <c r="AI96" s="41" t="n"/>
      <c r="AJ96" s="41" t="n"/>
      <c r="AK96" s="41" t="n"/>
      <c r="AL96" s="41" t="n"/>
      <c r="AM96" s="41" t="n"/>
      <c r="AN96" s="41" t="n"/>
      <c r="AO96" s="41" t="n"/>
      <c r="AP96" s="41" t="n"/>
      <c r="AQ96" s="41" t="n"/>
      <c r="AR96" s="41" t="n"/>
      <c r="AS96" s="41" t="n"/>
      <c r="AT96" s="41" t="n"/>
    </row>
    <row r="97">
      <c r="A97" s="8" t="n"/>
      <c r="B97" s="14" t="n"/>
      <c r="C97" s="41" t="n"/>
      <c r="D97" s="23" t="n"/>
      <c r="E97" s="24" t="n"/>
      <c r="F97" s="25" t="n"/>
      <c r="G97" s="41" t="n"/>
      <c r="H97" s="41" t="n"/>
      <c r="I97" s="41" t="n"/>
      <c r="J97" s="41" t="n"/>
      <c r="K97" s="41" t="n"/>
      <c r="L97" s="41" t="n"/>
      <c r="M97" s="41" t="n"/>
      <c r="N97" s="41" t="n"/>
      <c r="O97" s="41" t="n"/>
      <c r="P97" s="41" t="n"/>
      <c r="Q97" s="41" t="n"/>
      <c r="R97" s="41" t="n"/>
      <c r="S97" s="41" t="n"/>
      <c r="T97" s="41" t="n"/>
      <c r="U97" s="41" t="n"/>
      <c r="V97" s="41" t="n"/>
      <c r="W97" s="41" t="n"/>
      <c r="X97" s="41" t="n"/>
      <c r="Y97" s="41" t="n"/>
      <c r="Z97" s="41" t="n"/>
      <c r="AA97" s="41" t="n"/>
      <c r="AB97" s="41" t="n"/>
      <c r="AC97" s="41" t="n"/>
      <c r="AD97" s="41" t="n"/>
      <c r="AE97" s="41" t="n"/>
      <c r="AF97" s="41" t="n"/>
      <c r="AG97" s="41" t="n"/>
      <c r="AH97" s="41" t="n"/>
      <c r="AI97" s="41" t="n"/>
      <c r="AJ97" s="41" t="n"/>
      <c r="AK97" s="41" t="n"/>
      <c r="AL97" s="41" t="n"/>
      <c r="AM97" s="41" t="n"/>
      <c r="AN97" s="41" t="n"/>
      <c r="AO97" s="41" t="n"/>
      <c r="AP97" s="41" t="n"/>
      <c r="AQ97" s="41" t="n"/>
      <c r="AR97" s="41" t="n"/>
      <c r="AS97" s="41" t="n"/>
      <c r="AT97" s="41" t="n"/>
    </row>
    <row r="98">
      <c r="A98" s="8" t="n"/>
      <c r="B98" s="14" t="n"/>
      <c r="C98" s="41" t="n"/>
      <c r="D98" s="41" t="n"/>
      <c r="E98" s="41" t="n"/>
      <c r="F98" s="41" t="n"/>
      <c r="G98" s="41" t="n"/>
      <c r="H98" s="41" t="n"/>
      <c r="I98" s="41" t="n"/>
      <c r="J98" s="41" t="n"/>
      <c r="K98" s="41" t="n"/>
      <c r="L98" s="41" t="n"/>
      <c r="M98" s="41" t="n"/>
      <c r="N98" s="41" t="n"/>
      <c r="O98" s="41" t="n"/>
      <c r="P98" s="41" t="n"/>
      <c r="Q98" s="41" t="n"/>
      <c r="R98" s="41" t="n"/>
      <c r="S98" s="41" t="n"/>
      <c r="T98" s="41" t="n"/>
      <c r="U98" s="41" t="n"/>
      <c r="V98" s="41" t="n"/>
      <c r="W98" s="41" t="n"/>
      <c r="X98" s="41" t="n"/>
      <c r="Y98" s="41" t="n"/>
      <c r="Z98" s="41" t="n"/>
      <c r="AA98" s="41" t="n"/>
      <c r="AB98" s="41" t="n"/>
      <c r="AC98" s="41" t="n"/>
      <c r="AD98" s="41" t="n"/>
      <c r="AE98" s="41" t="n"/>
      <c r="AF98" s="41" t="n"/>
      <c r="AG98" s="41" t="n"/>
      <c r="AH98" s="41" t="n"/>
      <c r="AI98" s="41" t="n"/>
      <c r="AJ98" s="41" t="n"/>
      <c r="AK98" s="41" t="n"/>
      <c r="AL98" s="41" t="n"/>
      <c r="AM98" s="41" t="n"/>
      <c r="AN98" s="41" t="n"/>
      <c r="AO98" s="41" t="n"/>
      <c r="AP98" s="41" t="n"/>
      <c r="AQ98" s="41" t="n"/>
      <c r="AR98" s="41" t="n"/>
      <c r="AS98" s="41" t="n"/>
      <c r="AT98" s="41" t="n"/>
    </row>
    <row r="99" outlineLevel="1">
      <c r="A99" s="8" t="n"/>
      <c r="B99" s="14" t="n"/>
      <c r="C99" s="41" t="n"/>
      <c r="D99" s="116">
        <f>DADOS_AM!$JD$2</f>
        <v/>
      </c>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c r="AA99" s="16" t="n"/>
      <c r="AB99" s="16" t="n"/>
      <c r="AC99" s="16" t="n"/>
      <c r="AD99" s="16" t="n"/>
      <c r="AE99" s="16" t="n"/>
      <c r="AF99" s="16" t="n"/>
      <c r="AG99" s="16" t="n"/>
      <c r="AH99" s="16" t="n"/>
      <c r="AI99" s="16" t="n"/>
      <c r="AJ99" s="16" t="n"/>
      <c r="AK99" s="16" t="n"/>
      <c r="AL99" s="16" t="n"/>
      <c r="AM99" s="16" t="n"/>
      <c r="AN99" s="16" t="n"/>
      <c r="AO99" s="16" t="n"/>
      <c r="AP99" s="16" t="n"/>
      <c r="AQ99" s="16" t="n"/>
      <c r="AR99" s="16" t="n"/>
      <c r="AS99" s="16" t="n"/>
      <c r="AT99" s="17" t="n"/>
    </row>
    <row r="100" outlineLevel="2">
      <c r="A100" s="8" t="n"/>
      <c r="B100" s="14" t="n"/>
      <c r="C100" s="41" t="n"/>
      <c r="D100" s="117">
        <f>DADOS_AM!$IV$2</f>
        <v/>
      </c>
      <c r="E100" s="16" t="n"/>
      <c r="F100" s="17" t="n"/>
      <c r="G100" s="118"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c r="AA100" s="16" t="n"/>
      <c r="AB100" s="16" t="n"/>
      <c r="AC100" s="16" t="n"/>
      <c r="AD100" s="16" t="n"/>
      <c r="AE100" s="16" t="n"/>
      <c r="AF100" s="16" t="n"/>
      <c r="AG100" s="16" t="n"/>
      <c r="AH100" s="16" t="n"/>
      <c r="AI100" s="16" t="n"/>
      <c r="AJ100" s="16" t="n"/>
      <c r="AK100" s="16" t="n"/>
      <c r="AL100" s="16" t="n"/>
      <c r="AM100" s="16" t="n"/>
      <c r="AN100" s="16" t="n"/>
      <c r="AO100" s="16" t="n"/>
      <c r="AP100" s="16" t="n"/>
      <c r="AQ100" s="16" t="n"/>
      <c r="AR100" s="16" t="n"/>
      <c r="AS100" s="16" t="n"/>
      <c r="AT100" s="17" t="n"/>
    </row>
    <row r="101" outlineLevel="3">
      <c r="A101" s="8" t="n"/>
      <c r="B101" s="14" t="n"/>
      <c r="C101" s="41" t="n"/>
      <c r="D101" s="119" t="n"/>
      <c r="E101" s="19" t="n"/>
      <c r="F101" s="19" t="n"/>
      <c r="G101" s="19" t="n"/>
      <c r="H101" s="19" t="n"/>
      <c r="I101" s="19" t="n"/>
      <c r="J101" s="19" t="n"/>
      <c r="K101" s="19" t="n"/>
      <c r="L101" s="19" t="n"/>
      <c r="M101" s="19" t="n"/>
      <c r="N101" s="19" t="n"/>
      <c r="O101" s="19" t="n"/>
      <c r="P101" s="19" t="n"/>
      <c r="Q101" s="19" t="n"/>
      <c r="R101" s="19" t="n"/>
      <c r="S101" s="19" t="n"/>
      <c r="T101" s="19" t="n"/>
      <c r="U101" s="19" t="n"/>
      <c r="V101" s="19" t="n"/>
      <c r="W101" s="19" t="n"/>
      <c r="X101" s="19" t="n"/>
      <c r="Y101" s="19" t="n"/>
      <c r="Z101" s="19" t="n"/>
      <c r="AA101" s="19" t="n"/>
      <c r="AB101" s="19" t="n"/>
      <c r="AC101" s="19" t="n"/>
      <c r="AD101" s="19" t="n"/>
      <c r="AE101" s="19" t="n"/>
      <c r="AF101" s="19" t="n"/>
      <c r="AG101" s="19" t="n"/>
      <c r="AH101" s="19" t="n"/>
      <c r="AI101" s="19" t="n"/>
      <c r="AJ101" s="19" t="n"/>
      <c r="AK101" s="19" t="n"/>
      <c r="AL101" s="19" t="n"/>
      <c r="AM101" s="19" t="n"/>
      <c r="AN101" s="19" t="n"/>
      <c r="AO101" s="19" t="n"/>
      <c r="AP101" s="19" t="n"/>
      <c r="AQ101" s="19" t="n"/>
      <c r="AR101" s="19" t="n"/>
      <c r="AS101" s="19" t="n"/>
      <c r="AT101" s="20" t="n"/>
    </row>
    <row r="102" outlineLevel="3">
      <c r="A102" s="8" t="n"/>
      <c r="B102" s="14" t="n"/>
      <c r="C102" s="41" t="n"/>
      <c r="D102" s="21" t="n"/>
      <c r="AT102" s="22" t="n"/>
    </row>
    <row r="103" outlineLevel="3">
      <c r="A103" s="8" t="n"/>
      <c r="B103" s="14" t="n"/>
      <c r="C103" s="41" t="n"/>
      <c r="D103" s="21" t="n"/>
      <c r="AT103" s="22" t="n"/>
    </row>
    <row r="104" outlineLevel="3">
      <c r="A104" s="8" t="n"/>
      <c r="B104" s="14" t="n"/>
      <c r="C104" s="41" t="n"/>
      <c r="D104" s="23" t="n"/>
      <c r="E104" s="24" t="n"/>
      <c r="F104" s="24" t="n"/>
      <c r="G104" s="24" t="n"/>
      <c r="H104" s="24" t="n"/>
      <c r="I104" s="24" t="n"/>
      <c r="J104" s="24" t="n"/>
      <c r="K104" s="24" t="n"/>
      <c r="L104" s="24" t="n"/>
      <c r="M104" s="24" t="n"/>
      <c r="N104" s="24" t="n"/>
      <c r="O104" s="24" t="n"/>
      <c r="P104" s="24" t="n"/>
      <c r="Q104" s="24" t="n"/>
      <c r="R104" s="24" t="n"/>
      <c r="S104" s="24" t="n"/>
      <c r="T104" s="24" t="n"/>
      <c r="U104" s="24" t="n"/>
      <c r="V104" s="24" t="n"/>
      <c r="W104" s="24" t="n"/>
      <c r="X104" s="24" t="n"/>
      <c r="Y104" s="24" t="n"/>
      <c r="Z104" s="24" t="n"/>
      <c r="AA104" s="24" t="n"/>
      <c r="AB104" s="24" t="n"/>
      <c r="AC104" s="24" t="n"/>
      <c r="AD104" s="24" t="n"/>
      <c r="AE104" s="24" t="n"/>
      <c r="AF104" s="24" t="n"/>
      <c r="AG104" s="24" t="n"/>
      <c r="AH104" s="24" t="n"/>
      <c r="AI104" s="24" t="n"/>
      <c r="AJ104" s="24" t="n"/>
      <c r="AK104" s="24" t="n"/>
      <c r="AL104" s="24" t="n"/>
      <c r="AM104" s="24" t="n"/>
      <c r="AN104" s="24" t="n"/>
      <c r="AO104" s="24" t="n"/>
      <c r="AP104" s="24" t="n"/>
      <c r="AQ104" s="24" t="n"/>
      <c r="AR104" s="24" t="n"/>
      <c r="AS104" s="24" t="n"/>
      <c r="AT104" s="25" t="n"/>
    </row>
    <row r="105" outlineLevel="2">
      <c r="A105" s="8" t="n"/>
      <c r="B105" s="14" t="n"/>
      <c r="C105" s="41" t="n"/>
      <c r="D105" s="41" t="n"/>
      <c r="E105" s="41" t="n"/>
      <c r="F105" s="41" t="n"/>
      <c r="G105" s="41" t="n"/>
      <c r="H105" s="41" t="n"/>
      <c r="I105" s="41" t="n"/>
      <c r="J105" s="41" t="n"/>
      <c r="K105" s="41" t="n"/>
      <c r="L105" s="41" t="n"/>
      <c r="M105" s="41" t="n"/>
      <c r="N105" s="41" t="n"/>
      <c r="O105" s="41" t="n"/>
      <c r="P105" s="41" t="n"/>
      <c r="Q105" s="41" t="n"/>
      <c r="R105" s="41" t="n"/>
      <c r="S105" s="41" t="n"/>
      <c r="T105" s="41" t="n"/>
      <c r="U105" s="41" t="n"/>
      <c r="V105" s="41" t="n"/>
      <c r="W105" s="41" t="n"/>
      <c r="X105" s="41" t="n"/>
      <c r="Y105" s="41" t="n"/>
      <c r="Z105" s="41" t="n"/>
      <c r="AA105" s="41" t="n"/>
      <c r="AB105" s="41" t="n"/>
      <c r="AC105" s="41" t="n"/>
      <c r="AD105" s="41" t="n"/>
      <c r="AE105" s="41" t="n"/>
      <c r="AF105" s="41" t="n"/>
      <c r="AG105" s="41" t="n"/>
      <c r="AH105" s="41" t="n"/>
      <c r="AI105" s="41" t="n"/>
      <c r="AJ105" s="41" t="n"/>
      <c r="AK105" s="41" t="n"/>
      <c r="AL105" s="41" t="n"/>
      <c r="AM105" s="41" t="n"/>
      <c r="AN105" s="41" t="n"/>
      <c r="AO105" s="41" t="n"/>
      <c r="AP105" s="41" t="n"/>
      <c r="AQ105" s="41" t="n"/>
      <c r="AR105" s="41" t="n"/>
      <c r="AS105" s="41" t="n"/>
      <c r="AT105" s="41" t="n"/>
    </row>
    <row r="106" outlineLevel="2">
      <c r="A106" s="8" t="n"/>
      <c r="B106" s="14" t="n"/>
      <c r="C106" s="41" t="n"/>
      <c r="D106" s="117">
        <f>DADOS_AM!$IV$3</f>
        <v/>
      </c>
      <c r="E106" s="16" t="n"/>
      <c r="F106" s="17" t="n"/>
      <c r="G106" s="118"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c r="AA106" s="16" t="n"/>
      <c r="AB106" s="16" t="n"/>
      <c r="AC106" s="16" t="n"/>
      <c r="AD106" s="16" t="n"/>
      <c r="AE106" s="16" t="n"/>
      <c r="AF106" s="16" t="n"/>
      <c r="AG106" s="16" t="n"/>
      <c r="AH106" s="16" t="n"/>
      <c r="AI106" s="16" t="n"/>
      <c r="AJ106" s="16" t="n"/>
      <c r="AK106" s="16" t="n"/>
      <c r="AL106" s="16" t="n"/>
      <c r="AM106" s="16" t="n"/>
      <c r="AN106" s="16" t="n"/>
      <c r="AO106" s="16" t="n"/>
      <c r="AP106" s="16" t="n"/>
      <c r="AQ106" s="16" t="n"/>
      <c r="AR106" s="16" t="n"/>
      <c r="AS106" s="16" t="n"/>
      <c r="AT106" s="17" t="n"/>
    </row>
    <row r="107" outlineLevel="3">
      <c r="A107" s="8" t="n"/>
      <c r="B107" s="14" t="n"/>
      <c r="C107" s="41" t="n"/>
      <c r="D107" s="119" t="n"/>
      <c r="E107" s="19" t="n"/>
      <c r="F107" s="19" t="n"/>
      <c r="G107" s="19" t="n"/>
      <c r="H107" s="19" t="n"/>
      <c r="I107" s="19" t="n"/>
      <c r="J107" s="19" t="n"/>
      <c r="K107" s="19" t="n"/>
      <c r="L107" s="19" t="n"/>
      <c r="M107" s="19" t="n"/>
      <c r="N107" s="19" t="n"/>
      <c r="O107" s="19" t="n"/>
      <c r="P107" s="19" t="n"/>
      <c r="Q107" s="19" t="n"/>
      <c r="R107" s="19" t="n"/>
      <c r="S107" s="19" t="n"/>
      <c r="T107" s="19" t="n"/>
      <c r="U107" s="19" t="n"/>
      <c r="V107" s="19" t="n"/>
      <c r="W107" s="19" t="n"/>
      <c r="X107" s="19" t="n"/>
      <c r="Y107" s="19" t="n"/>
      <c r="Z107" s="19" t="n"/>
      <c r="AA107" s="19" t="n"/>
      <c r="AB107" s="19" t="n"/>
      <c r="AC107" s="19" t="n"/>
      <c r="AD107" s="19" t="n"/>
      <c r="AE107" s="19" t="n"/>
      <c r="AF107" s="19" t="n"/>
      <c r="AG107" s="19" t="n"/>
      <c r="AH107" s="19" t="n"/>
      <c r="AI107" s="19" t="n"/>
      <c r="AJ107" s="19" t="n"/>
      <c r="AK107" s="19" t="n"/>
      <c r="AL107" s="19" t="n"/>
      <c r="AM107" s="19" t="n"/>
      <c r="AN107" s="19" t="n"/>
      <c r="AO107" s="19" t="n"/>
      <c r="AP107" s="19" t="n"/>
      <c r="AQ107" s="19" t="n"/>
      <c r="AR107" s="19" t="n"/>
      <c r="AS107" s="19" t="n"/>
      <c r="AT107" s="20" t="n"/>
    </row>
    <row r="108" outlineLevel="3">
      <c r="A108" s="8" t="n"/>
      <c r="B108" s="14" t="n"/>
      <c r="C108" s="41" t="n"/>
      <c r="D108" s="21" t="n"/>
      <c r="AT108" s="22" t="n"/>
    </row>
    <row r="109" outlineLevel="3">
      <c r="A109" s="8" t="n"/>
      <c r="B109" s="14" t="n"/>
      <c r="C109" s="41" t="n"/>
      <c r="D109" s="21" t="n"/>
      <c r="AT109" s="22" t="n"/>
    </row>
    <row r="110" outlineLevel="3">
      <c r="A110" s="8" t="n"/>
      <c r="B110" s="14" t="n"/>
      <c r="C110" s="41" t="n"/>
      <c r="D110" s="23" t="n"/>
      <c r="E110" s="24" t="n"/>
      <c r="F110" s="24" t="n"/>
      <c r="G110" s="24" t="n"/>
      <c r="H110" s="24" t="n"/>
      <c r="I110" s="24" t="n"/>
      <c r="J110" s="24" t="n"/>
      <c r="K110" s="24" t="n"/>
      <c r="L110" s="24" t="n"/>
      <c r="M110" s="24" t="n"/>
      <c r="N110" s="24" t="n"/>
      <c r="O110" s="24" t="n"/>
      <c r="P110" s="24" t="n"/>
      <c r="Q110" s="24" t="n"/>
      <c r="R110" s="24" t="n"/>
      <c r="S110" s="24" t="n"/>
      <c r="T110" s="24" t="n"/>
      <c r="U110" s="24" t="n"/>
      <c r="V110" s="24" t="n"/>
      <c r="W110" s="24" t="n"/>
      <c r="X110" s="24" t="n"/>
      <c r="Y110" s="24" t="n"/>
      <c r="Z110" s="24" t="n"/>
      <c r="AA110" s="24" t="n"/>
      <c r="AB110" s="24" t="n"/>
      <c r="AC110" s="24" t="n"/>
      <c r="AD110" s="24" t="n"/>
      <c r="AE110" s="24" t="n"/>
      <c r="AF110" s="24" t="n"/>
      <c r="AG110" s="24" t="n"/>
      <c r="AH110" s="24" t="n"/>
      <c r="AI110" s="24" t="n"/>
      <c r="AJ110" s="24" t="n"/>
      <c r="AK110" s="24" t="n"/>
      <c r="AL110" s="24" t="n"/>
      <c r="AM110" s="24" t="n"/>
      <c r="AN110" s="24" t="n"/>
      <c r="AO110" s="24" t="n"/>
      <c r="AP110" s="24" t="n"/>
      <c r="AQ110" s="24" t="n"/>
      <c r="AR110" s="24" t="n"/>
      <c r="AS110" s="24" t="n"/>
      <c r="AT110" s="25" t="n"/>
    </row>
    <row r="111" outlineLevel="2">
      <c r="A111" s="8" t="n"/>
      <c r="B111" s="14" t="n"/>
      <c r="C111" s="41" t="n"/>
      <c r="D111" s="41" t="n"/>
      <c r="E111" s="41" t="n"/>
      <c r="F111" s="41" t="n"/>
      <c r="G111" s="41" t="n"/>
      <c r="H111" s="41" t="n"/>
      <c r="I111" s="41" t="n"/>
      <c r="J111" s="41" t="n"/>
      <c r="K111" s="41" t="n"/>
      <c r="L111" s="41" t="n"/>
      <c r="M111" s="41" t="n"/>
      <c r="N111" s="41" t="n"/>
      <c r="O111" s="41" t="n"/>
      <c r="P111" s="41" t="n"/>
      <c r="Q111" s="41" t="n"/>
      <c r="R111" s="41" t="n"/>
      <c r="S111" s="41" t="n"/>
      <c r="T111" s="41" t="n"/>
      <c r="U111" s="41" t="n"/>
      <c r="V111" s="41" t="n"/>
      <c r="W111" s="41" t="n"/>
      <c r="X111" s="41" t="n"/>
      <c r="Y111" s="41" t="n"/>
      <c r="Z111" s="41" t="n"/>
      <c r="AA111" s="41" t="n"/>
      <c r="AB111" s="41" t="n"/>
      <c r="AC111" s="41" t="n"/>
      <c r="AD111" s="41" t="n"/>
      <c r="AE111" s="41" t="n"/>
      <c r="AF111" s="41" t="n"/>
      <c r="AG111" s="41" t="n"/>
      <c r="AH111" s="41" t="n"/>
      <c r="AI111" s="41" t="n"/>
      <c r="AJ111" s="41" t="n"/>
      <c r="AK111" s="41" t="n"/>
      <c r="AL111" s="41" t="n"/>
      <c r="AM111" s="41" t="n"/>
      <c r="AN111" s="41" t="n"/>
      <c r="AO111" s="41" t="n"/>
      <c r="AP111" s="41" t="n"/>
      <c r="AQ111" s="41" t="n"/>
      <c r="AR111" s="41" t="n"/>
      <c r="AS111" s="41" t="n"/>
      <c r="AT111" s="41" t="n"/>
    </row>
    <row r="112" outlineLevel="2">
      <c r="A112" s="8" t="n"/>
      <c r="B112" s="14" t="n"/>
      <c r="C112" s="41" t="n"/>
      <c r="D112" s="117">
        <f>DADOS_AM!$IV$4</f>
        <v/>
      </c>
      <c r="E112" s="16" t="n"/>
      <c r="F112" s="17" t="n"/>
      <c r="G112" s="118"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c r="AA112" s="16" t="n"/>
      <c r="AB112" s="16" t="n"/>
      <c r="AC112" s="16" t="n"/>
      <c r="AD112" s="16" t="n"/>
      <c r="AE112" s="16" t="n"/>
      <c r="AF112" s="16" t="n"/>
      <c r="AG112" s="16" t="n"/>
      <c r="AH112" s="16" t="n"/>
      <c r="AI112" s="16" t="n"/>
      <c r="AJ112" s="16" t="n"/>
      <c r="AK112" s="16" t="n"/>
      <c r="AL112" s="16" t="n"/>
      <c r="AM112" s="16" t="n"/>
      <c r="AN112" s="16" t="n"/>
      <c r="AO112" s="16" t="n"/>
      <c r="AP112" s="16" t="n"/>
      <c r="AQ112" s="16" t="n"/>
      <c r="AR112" s="16" t="n"/>
      <c r="AS112" s="16" t="n"/>
      <c r="AT112" s="17" t="n"/>
    </row>
    <row r="113" outlineLevel="3">
      <c r="A113" s="8" t="n"/>
      <c r="B113" s="14" t="n"/>
      <c r="C113" s="41" t="n"/>
      <c r="D113" s="119" t="n"/>
      <c r="E113" s="19" t="n"/>
      <c r="F113" s="19" t="n"/>
      <c r="G113" s="19" t="n"/>
      <c r="H113" s="19" t="n"/>
      <c r="I113" s="19" t="n"/>
      <c r="J113" s="19" t="n"/>
      <c r="K113" s="19" t="n"/>
      <c r="L113" s="19" t="n"/>
      <c r="M113" s="19" t="n"/>
      <c r="N113" s="19" t="n"/>
      <c r="O113" s="19" t="n"/>
      <c r="P113" s="19" t="n"/>
      <c r="Q113" s="19" t="n"/>
      <c r="R113" s="19" t="n"/>
      <c r="S113" s="19" t="n"/>
      <c r="T113" s="19" t="n"/>
      <c r="U113" s="19" t="n"/>
      <c r="V113" s="19" t="n"/>
      <c r="W113" s="19" t="n"/>
      <c r="X113" s="19" t="n"/>
      <c r="Y113" s="19" t="n"/>
      <c r="Z113" s="19" t="n"/>
      <c r="AA113" s="19" t="n"/>
      <c r="AB113" s="19" t="n"/>
      <c r="AC113" s="19" t="n"/>
      <c r="AD113" s="19" t="n"/>
      <c r="AE113" s="19" t="n"/>
      <c r="AF113" s="19" t="n"/>
      <c r="AG113" s="19" t="n"/>
      <c r="AH113" s="19" t="n"/>
      <c r="AI113" s="19" t="n"/>
      <c r="AJ113" s="19" t="n"/>
      <c r="AK113" s="19" t="n"/>
      <c r="AL113" s="19" t="n"/>
      <c r="AM113" s="19" t="n"/>
      <c r="AN113" s="19" t="n"/>
      <c r="AO113" s="19" t="n"/>
      <c r="AP113" s="19" t="n"/>
      <c r="AQ113" s="19" t="n"/>
      <c r="AR113" s="19" t="n"/>
      <c r="AS113" s="19" t="n"/>
      <c r="AT113" s="20" t="n"/>
    </row>
    <row r="114" outlineLevel="3">
      <c r="A114" s="8" t="n"/>
      <c r="B114" s="14" t="n"/>
      <c r="C114" s="41" t="n"/>
      <c r="D114" s="21" t="n"/>
      <c r="AT114" s="22" t="n"/>
    </row>
    <row r="115" outlineLevel="3">
      <c r="A115" s="8" t="n"/>
      <c r="B115" s="14" t="n"/>
      <c r="C115" s="41" t="n"/>
      <c r="D115" s="21" t="n"/>
      <c r="AT115" s="22" t="n"/>
    </row>
    <row r="116" outlineLevel="3">
      <c r="A116" s="8" t="n"/>
      <c r="B116" s="14" t="n"/>
      <c r="C116" s="41" t="n"/>
      <c r="D116" s="23" t="n"/>
      <c r="E116" s="24" t="n"/>
      <c r="F116" s="24" t="n"/>
      <c r="G116" s="24" t="n"/>
      <c r="H116" s="24" t="n"/>
      <c r="I116" s="24" t="n"/>
      <c r="J116" s="24" t="n"/>
      <c r="K116" s="24" t="n"/>
      <c r="L116" s="24" t="n"/>
      <c r="M116" s="24" t="n"/>
      <c r="N116" s="24" t="n"/>
      <c r="O116" s="24" t="n"/>
      <c r="P116" s="24" t="n"/>
      <c r="Q116" s="24" t="n"/>
      <c r="R116" s="24" t="n"/>
      <c r="S116" s="24" t="n"/>
      <c r="T116" s="24" t="n"/>
      <c r="U116" s="24" t="n"/>
      <c r="V116" s="24" t="n"/>
      <c r="W116" s="24" t="n"/>
      <c r="X116" s="24" t="n"/>
      <c r="Y116" s="24" t="n"/>
      <c r="Z116" s="24" t="n"/>
      <c r="AA116" s="24" t="n"/>
      <c r="AB116" s="24" t="n"/>
      <c r="AC116" s="24" t="n"/>
      <c r="AD116" s="24" t="n"/>
      <c r="AE116" s="24" t="n"/>
      <c r="AF116" s="24" t="n"/>
      <c r="AG116" s="24" t="n"/>
      <c r="AH116" s="24" t="n"/>
      <c r="AI116" s="24" t="n"/>
      <c r="AJ116" s="24" t="n"/>
      <c r="AK116" s="24" t="n"/>
      <c r="AL116" s="24" t="n"/>
      <c r="AM116" s="24" t="n"/>
      <c r="AN116" s="24" t="n"/>
      <c r="AO116" s="24" t="n"/>
      <c r="AP116" s="24" t="n"/>
      <c r="AQ116" s="24" t="n"/>
      <c r="AR116" s="24" t="n"/>
      <c r="AS116" s="24" t="n"/>
      <c r="AT116" s="25" t="n"/>
    </row>
    <row r="117" outlineLevel="2">
      <c r="A117" s="8" t="n"/>
      <c r="B117" s="14" t="n"/>
      <c r="C117" s="41" t="n"/>
      <c r="D117" s="41" t="n"/>
      <c r="E117" s="41" t="n"/>
      <c r="F117" s="41" t="n"/>
      <c r="G117" s="41" t="n"/>
      <c r="H117" s="41" t="n"/>
      <c r="I117" s="41" t="n"/>
      <c r="J117" s="41" t="n"/>
      <c r="K117" s="41" t="n"/>
      <c r="L117" s="41" t="n"/>
      <c r="M117" s="41" t="n"/>
      <c r="N117" s="41" t="n"/>
      <c r="O117" s="41" t="n"/>
      <c r="P117" s="41" t="n"/>
      <c r="Q117" s="41" t="n"/>
      <c r="R117" s="41" t="n"/>
      <c r="S117" s="41" t="n"/>
      <c r="T117" s="41" t="n"/>
      <c r="U117" s="41" t="n"/>
      <c r="V117" s="41" t="n"/>
      <c r="W117" s="41" t="n"/>
      <c r="X117" s="41" t="n"/>
      <c r="Y117" s="41" t="n"/>
      <c r="Z117" s="41" t="n"/>
      <c r="AA117" s="41" t="n"/>
      <c r="AB117" s="41" t="n"/>
      <c r="AC117" s="41" t="n"/>
      <c r="AD117" s="41" t="n"/>
      <c r="AE117" s="41" t="n"/>
      <c r="AF117" s="41" t="n"/>
      <c r="AG117" s="41" t="n"/>
      <c r="AH117" s="41" t="n"/>
      <c r="AI117" s="41" t="n"/>
      <c r="AJ117" s="41" t="n"/>
      <c r="AK117" s="41" t="n"/>
      <c r="AL117" s="41" t="n"/>
      <c r="AM117" s="41" t="n"/>
      <c r="AN117" s="41" t="n"/>
      <c r="AO117" s="41" t="n"/>
      <c r="AP117" s="41" t="n"/>
      <c r="AQ117" s="41" t="n"/>
      <c r="AR117" s="41" t="n"/>
      <c r="AS117" s="41" t="n"/>
      <c r="AT117" s="41" t="n"/>
    </row>
    <row r="118" outlineLevel="2">
      <c r="A118" s="8" t="n"/>
      <c r="B118" s="14" t="n"/>
      <c r="C118" s="41" t="n"/>
      <c r="D118" s="117">
        <f>DADOS_AM!$IV$5</f>
        <v/>
      </c>
      <c r="E118" s="16" t="n"/>
      <c r="F118" s="17" t="n"/>
      <c r="G118" s="118"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c r="AA118" s="16" t="n"/>
      <c r="AB118" s="16" t="n"/>
      <c r="AC118" s="16" t="n"/>
      <c r="AD118" s="16" t="n"/>
      <c r="AE118" s="16" t="n"/>
      <c r="AF118" s="16" t="n"/>
      <c r="AG118" s="16" t="n"/>
      <c r="AH118" s="16" t="n"/>
      <c r="AI118" s="16" t="n"/>
      <c r="AJ118" s="16" t="n"/>
      <c r="AK118" s="16" t="n"/>
      <c r="AL118" s="16" t="n"/>
      <c r="AM118" s="16" t="n"/>
      <c r="AN118" s="16" t="n"/>
      <c r="AO118" s="16" t="n"/>
      <c r="AP118" s="16" t="n"/>
      <c r="AQ118" s="16" t="n"/>
      <c r="AR118" s="16" t="n"/>
      <c r="AS118" s="16" t="n"/>
      <c r="AT118" s="17" t="n"/>
    </row>
    <row r="119" outlineLevel="3">
      <c r="A119" s="8" t="n"/>
      <c r="B119" s="14" t="n"/>
      <c r="C119" s="41" t="n"/>
      <c r="D119" s="119" t="n"/>
      <c r="E119" s="19" t="n"/>
      <c r="F119" s="19" t="n"/>
      <c r="G119" s="19" t="n"/>
      <c r="H119" s="19" t="n"/>
      <c r="I119" s="19" t="n"/>
      <c r="J119" s="19" t="n"/>
      <c r="K119" s="19" t="n"/>
      <c r="L119" s="19" t="n"/>
      <c r="M119" s="19" t="n"/>
      <c r="N119" s="19" t="n"/>
      <c r="O119" s="19" t="n"/>
      <c r="P119" s="19" t="n"/>
      <c r="Q119" s="19" t="n"/>
      <c r="R119" s="19" t="n"/>
      <c r="S119" s="19" t="n"/>
      <c r="T119" s="19" t="n"/>
      <c r="U119" s="19" t="n"/>
      <c r="V119" s="19" t="n"/>
      <c r="W119" s="19" t="n"/>
      <c r="X119" s="19" t="n"/>
      <c r="Y119" s="19" t="n"/>
      <c r="Z119" s="19" t="n"/>
      <c r="AA119" s="19" t="n"/>
      <c r="AB119" s="19" t="n"/>
      <c r="AC119" s="19" t="n"/>
      <c r="AD119" s="19" t="n"/>
      <c r="AE119" s="19" t="n"/>
      <c r="AF119" s="19" t="n"/>
      <c r="AG119" s="19" t="n"/>
      <c r="AH119" s="19" t="n"/>
      <c r="AI119" s="19" t="n"/>
      <c r="AJ119" s="19" t="n"/>
      <c r="AK119" s="19" t="n"/>
      <c r="AL119" s="19" t="n"/>
      <c r="AM119" s="19" t="n"/>
      <c r="AN119" s="19" t="n"/>
      <c r="AO119" s="19" t="n"/>
      <c r="AP119" s="19" t="n"/>
      <c r="AQ119" s="19" t="n"/>
      <c r="AR119" s="19" t="n"/>
      <c r="AS119" s="19" t="n"/>
      <c r="AT119" s="20" t="n"/>
    </row>
    <row r="120" outlineLevel="3">
      <c r="A120" s="8" t="n"/>
      <c r="B120" s="14" t="n"/>
      <c r="C120" s="41" t="n"/>
      <c r="D120" s="21" t="n"/>
      <c r="AT120" s="22" t="n"/>
    </row>
    <row r="121" outlineLevel="3">
      <c r="A121" s="8" t="n"/>
      <c r="B121" s="14" t="n"/>
      <c r="C121" s="41" t="n"/>
      <c r="D121" s="21" t="n"/>
      <c r="AT121" s="22" t="n"/>
    </row>
    <row r="122" outlineLevel="3">
      <c r="A122" s="8" t="n"/>
      <c r="B122" s="14" t="n"/>
      <c r="C122" s="41" t="n"/>
      <c r="D122" s="23" t="n"/>
      <c r="E122" s="24" t="n"/>
      <c r="F122" s="24" t="n"/>
      <c r="G122" s="24" t="n"/>
      <c r="H122" s="24" t="n"/>
      <c r="I122" s="24" t="n"/>
      <c r="J122" s="24" t="n"/>
      <c r="K122" s="24" t="n"/>
      <c r="L122" s="24" t="n"/>
      <c r="M122" s="24" t="n"/>
      <c r="N122" s="24" t="n"/>
      <c r="O122" s="24" t="n"/>
      <c r="P122" s="24" t="n"/>
      <c r="Q122" s="24" t="n"/>
      <c r="R122" s="24" t="n"/>
      <c r="S122" s="24" t="n"/>
      <c r="T122" s="24" t="n"/>
      <c r="U122" s="24" t="n"/>
      <c r="V122" s="24" t="n"/>
      <c r="W122" s="24" t="n"/>
      <c r="X122" s="24" t="n"/>
      <c r="Y122" s="24" t="n"/>
      <c r="Z122" s="24" t="n"/>
      <c r="AA122" s="24" t="n"/>
      <c r="AB122" s="24" t="n"/>
      <c r="AC122" s="24" t="n"/>
      <c r="AD122" s="24" t="n"/>
      <c r="AE122" s="24" t="n"/>
      <c r="AF122" s="24" t="n"/>
      <c r="AG122" s="24" t="n"/>
      <c r="AH122" s="24" t="n"/>
      <c r="AI122" s="24" t="n"/>
      <c r="AJ122" s="24" t="n"/>
      <c r="AK122" s="24" t="n"/>
      <c r="AL122" s="24" t="n"/>
      <c r="AM122" s="24" t="n"/>
      <c r="AN122" s="24" t="n"/>
      <c r="AO122" s="24" t="n"/>
      <c r="AP122" s="24" t="n"/>
      <c r="AQ122" s="24" t="n"/>
      <c r="AR122" s="24" t="n"/>
      <c r="AS122" s="24" t="n"/>
      <c r="AT122" s="25" t="n"/>
    </row>
    <row r="123" outlineLevel="2">
      <c r="A123" s="8" t="n"/>
      <c r="B123" s="14" t="n"/>
      <c r="C123" s="41" t="n"/>
      <c r="D123" s="41" t="n"/>
      <c r="E123" s="41" t="n"/>
      <c r="F123" s="41" t="n"/>
      <c r="G123" s="41" t="n"/>
      <c r="H123" s="41" t="n"/>
      <c r="I123" s="41" t="n"/>
      <c r="J123" s="41" t="n"/>
      <c r="K123" s="41" t="n"/>
      <c r="L123" s="41" t="n"/>
      <c r="M123" s="41" t="n"/>
      <c r="N123" s="41" t="n"/>
      <c r="O123" s="41" t="n"/>
      <c r="P123" s="41" t="n"/>
      <c r="Q123" s="41" t="n"/>
      <c r="R123" s="41" t="n"/>
      <c r="S123" s="41" t="n"/>
      <c r="T123" s="41" t="n"/>
      <c r="U123" s="41" t="n"/>
      <c r="V123" s="41" t="n"/>
      <c r="W123" s="41" t="n"/>
      <c r="X123" s="41" t="n"/>
      <c r="Y123" s="41" t="n"/>
      <c r="Z123" s="41" t="n"/>
      <c r="AA123" s="41" t="n"/>
      <c r="AB123" s="41" t="n"/>
      <c r="AC123" s="41" t="n"/>
      <c r="AD123" s="41" t="n"/>
      <c r="AE123" s="41" t="n"/>
      <c r="AF123" s="41" t="n"/>
      <c r="AG123" s="41" t="n"/>
      <c r="AH123" s="41" t="n"/>
      <c r="AI123" s="41" t="n"/>
      <c r="AJ123" s="41" t="n"/>
      <c r="AK123" s="41" t="n"/>
      <c r="AL123" s="41" t="n"/>
      <c r="AM123" s="41" t="n"/>
      <c r="AN123" s="41" t="n"/>
      <c r="AO123" s="41" t="n"/>
      <c r="AP123" s="41" t="n"/>
      <c r="AQ123" s="41" t="n"/>
      <c r="AR123" s="41" t="n"/>
      <c r="AS123" s="41" t="n"/>
      <c r="AT123" s="41" t="n"/>
    </row>
    <row r="124" outlineLevel="2">
      <c r="A124" s="8" t="n"/>
      <c r="B124" s="14" t="n"/>
      <c r="C124" s="41" t="n"/>
      <c r="D124" s="117">
        <f>DADOS_AM!$IV$6</f>
        <v/>
      </c>
      <c r="E124" s="16" t="n"/>
      <c r="F124" s="17" t="n"/>
      <c r="G124" s="118"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c r="AA124" s="16" t="n"/>
      <c r="AB124" s="16" t="n"/>
      <c r="AC124" s="16" t="n"/>
      <c r="AD124" s="16" t="n"/>
      <c r="AE124" s="16" t="n"/>
      <c r="AF124" s="16" t="n"/>
      <c r="AG124" s="16" t="n"/>
      <c r="AH124" s="16" t="n"/>
      <c r="AI124" s="16" t="n"/>
      <c r="AJ124" s="16" t="n"/>
      <c r="AK124" s="16" t="n"/>
      <c r="AL124" s="16" t="n"/>
      <c r="AM124" s="16" t="n"/>
      <c r="AN124" s="16" t="n"/>
      <c r="AO124" s="16" t="n"/>
      <c r="AP124" s="16" t="n"/>
      <c r="AQ124" s="16" t="n"/>
      <c r="AR124" s="16" t="n"/>
      <c r="AS124" s="16" t="n"/>
      <c r="AT124" s="17" t="n"/>
    </row>
    <row r="125" outlineLevel="3">
      <c r="A125" s="8" t="n"/>
      <c r="B125" s="14" t="n"/>
      <c r="C125" s="41" t="n"/>
      <c r="D125" s="119" t="n"/>
      <c r="E125" s="19" t="n"/>
      <c r="F125" s="19" t="n"/>
      <c r="G125" s="19" t="n"/>
      <c r="H125" s="19" t="n"/>
      <c r="I125" s="19" t="n"/>
      <c r="J125" s="19" t="n"/>
      <c r="K125" s="19" t="n"/>
      <c r="L125" s="19" t="n"/>
      <c r="M125" s="19" t="n"/>
      <c r="N125" s="19" t="n"/>
      <c r="O125" s="19" t="n"/>
      <c r="P125" s="19" t="n"/>
      <c r="Q125" s="19" t="n"/>
      <c r="R125" s="19" t="n"/>
      <c r="S125" s="19" t="n"/>
      <c r="T125" s="19" t="n"/>
      <c r="U125" s="19" t="n"/>
      <c r="V125" s="19" t="n"/>
      <c r="W125" s="19" t="n"/>
      <c r="X125" s="19" t="n"/>
      <c r="Y125" s="19" t="n"/>
      <c r="Z125" s="19" t="n"/>
      <c r="AA125" s="19" t="n"/>
      <c r="AB125" s="19" t="n"/>
      <c r="AC125" s="19" t="n"/>
      <c r="AD125" s="19" t="n"/>
      <c r="AE125" s="19" t="n"/>
      <c r="AF125" s="19" t="n"/>
      <c r="AG125" s="19" t="n"/>
      <c r="AH125" s="19" t="n"/>
      <c r="AI125" s="19" t="n"/>
      <c r="AJ125" s="19" t="n"/>
      <c r="AK125" s="19" t="n"/>
      <c r="AL125" s="19" t="n"/>
      <c r="AM125" s="19" t="n"/>
      <c r="AN125" s="19" t="n"/>
      <c r="AO125" s="19" t="n"/>
      <c r="AP125" s="19" t="n"/>
      <c r="AQ125" s="19" t="n"/>
      <c r="AR125" s="19" t="n"/>
      <c r="AS125" s="19" t="n"/>
      <c r="AT125" s="20" t="n"/>
    </row>
    <row r="126" outlineLevel="3">
      <c r="A126" s="8" t="n"/>
      <c r="B126" s="14" t="n"/>
      <c r="C126" s="41" t="n"/>
      <c r="D126" s="21" t="n"/>
      <c r="AT126" s="22" t="n"/>
    </row>
    <row r="127" outlineLevel="3">
      <c r="A127" s="8" t="n"/>
      <c r="B127" s="14" t="n"/>
      <c r="C127" s="41" t="n"/>
      <c r="D127" s="21" t="n"/>
      <c r="AT127" s="22" t="n"/>
    </row>
    <row r="128" outlineLevel="3">
      <c r="A128" s="8" t="n"/>
      <c r="B128" s="14" t="n"/>
      <c r="C128" s="41" t="n"/>
      <c r="D128" s="23" t="n"/>
      <c r="E128" s="24" t="n"/>
      <c r="F128" s="24" t="n"/>
      <c r="G128" s="24" t="n"/>
      <c r="H128" s="24" t="n"/>
      <c r="I128" s="24" t="n"/>
      <c r="J128" s="24" t="n"/>
      <c r="K128" s="24" t="n"/>
      <c r="L128" s="24" t="n"/>
      <c r="M128" s="24" t="n"/>
      <c r="N128" s="24" t="n"/>
      <c r="O128" s="24" t="n"/>
      <c r="P128" s="24" t="n"/>
      <c r="Q128" s="24" t="n"/>
      <c r="R128" s="24" t="n"/>
      <c r="S128" s="24" t="n"/>
      <c r="T128" s="24" t="n"/>
      <c r="U128" s="24" t="n"/>
      <c r="V128" s="24" t="n"/>
      <c r="W128" s="24" t="n"/>
      <c r="X128" s="24" t="n"/>
      <c r="Y128" s="24" t="n"/>
      <c r="Z128" s="24" t="n"/>
      <c r="AA128" s="24" t="n"/>
      <c r="AB128" s="24" t="n"/>
      <c r="AC128" s="24" t="n"/>
      <c r="AD128" s="24" t="n"/>
      <c r="AE128" s="24" t="n"/>
      <c r="AF128" s="24" t="n"/>
      <c r="AG128" s="24" t="n"/>
      <c r="AH128" s="24" t="n"/>
      <c r="AI128" s="24" t="n"/>
      <c r="AJ128" s="24" t="n"/>
      <c r="AK128" s="24" t="n"/>
      <c r="AL128" s="24" t="n"/>
      <c r="AM128" s="24" t="n"/>
      <c r="AN128" s="24" t="n"/>
      <c r="AO128" s="24" t="n"/>
      <c r="AP128" s="24" t="n"/>
      <c r="AQ128" s="24" t="n"/>
      <c r="AR128" s="24" t="n"/>
      <c r="AS128" s="24" t="n"/>
      <c r="AT128" s="25" t="n"/>
    </row>
    <row r="129" outlineLevel="2">
      <c r="A129" s="8" t="n"/>
      <c r="B129" s="14" t="n"/>
      <c r="C129" s="41" t="n"/>
      <c r="D129" s="41" t="n"/>
      <c r="E129" s="41" t="n"/>
      <c r="F129" s="41" t="n"/>
      <c r="G129" s="41" t="n"/>
      <c r="H129" s="41" t="n"/>
      <c r="I129" s="41" t="n"/>
      <c r="J129" s="41" t="n"/>
      <c r="K129" s="41" t="n"/>
      <c r="L129" s="41" t="n"/>
      <c r="M129" s="41" t="n"/>
      <c r="N129" s="41" t="n"/>
      <c r="O129" s="41" t="n"/>
      <c r="P129" s="41" t="n"/>
      <c r="Q129" s="41" t="n"/>
      <c r="R129" s="41" t="n"/>
      <c r="S129" s="41" t="n"/>
      <c r="T129" s="41" t="n"/>
      <c r="U129" s="41" t="n"/>
      <c r="V129" s="41" t="n"/>
      <c r="W129" s="41" t="n"/>
      <c r="X129" s="41" t="n"/>
      <c r="Y129" s="41" t="n"/>
      <c r="Z129" s="41" t="n"/>
      <c r="AA129" s="41" t="n"/>
      <c r="AB129" s="41" t="n"/>
      <c r="AC129" s="41" t="n"/>
      <c r="AD129" s="41" t="n"/>
      <c r="AE129" s="41" t="n"/>
      <c r="AF129" s="41" t="n"/>
      <c r="AG129" s="41" t="n"/>
      <c r="AH129" s="41" t="n"/>
      <c r="AI129" s="41" t="n"/>
      <c r="AJ129" s="41" t="n"/>
      <c r="AK129" s="41" t="n"/>
      <c r="AL129" s="41" t="n"/>
      <c r="AM129" s="41" t="n"/>
      <c r="AN129" s="41" t="n"/>
      <c r="AO129" s="41" t="n"/>
      <c r="AP129" s="41" t="n"/>
      <c r="AQ129" s="41" t="n"/>
      <c r="AR129" s="41" t="n"/>
      <c r="AS129" s="41" t="n"/>
      <c r="AT129" s="41" t="n"/>
    </row>
    <row r="130" outlineLevel="2">
      <c r="A130" s="8" t="n"/>
      <c r="B130" s="14" t="n"/>
      <c r="C130" s="41" t="n"/>
      <c r="D130" s="116" t="inlineStr">
        <is>
          <t>Anotações</t>
        </is>
      </c>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c r="AA130" s="16" t="n"/>
      <c r="AB130" s="16" t="n"/>
      <c r="AC130" s="16" t="n"/>
      <c r="AD130" s="16" t="n"/>
      <c r="AE130" s="16" t="n"/>
      <c r="AF130" s="16" t="n"/>
      <c r="AG130" s="16" t="n"/>
      <c r="AH130" s="16" t="n"/>
      <c r="AI130" s="16" t="n"/>
      <c r="AJ130" s="16" t="n"/>
      <c r="AK130" s="16" t="n"/>
      <c r="AL130" s="16" t="n"/>
      <c r="AM130" s="16" t="n"/>
      <c r="AN130" s="16" t="n"/>
      <c r="AO130" s="16" t="n"/>
      <c r="AP130" s="16" t="n"/>
      <c r="AQ130" s="16" t="n"/>
      <c r="AR130" s="16" t="n"/>
      <c r="AS130" s="16" t="n"/>
      <c r="AT130" s="17" t="n"/>
    </row>
    <row r="131" outlineLevel="3">
      <c r="A131" s="8" t="n"/>
      <c r="B131" s="14" t="n"/>
      <c r="C131" s="41" t="n"/>
      <c r="D131" s="119" t="n"/>
      <c r="E131" s="19" t="n"/>
      <c r="F131" s="19" t="n"/>
      <c r="G131" s="19" t="n"/>
      <c r="H131" s="19" t="n"/>
      <c r="I131" s="19" t="n"/>
      <c r="J131" s="19" t="n"/>
      <c r="K131" s="19" t="n"/>
      <c r="L131" s="19" t="n"/>
      <c r="M131" s="19" t="n"/>
      <c r="N131" s="19" t="n"/>
      <c r="O131" s="19" t="n"/>
      <c r="P131" s="19" t="n"/>
      <c r="Q131" s="19" t="n"/>
      <c r="R131" s="19" t="n"/>
      <c r="S131" s="19" t="n"/>
      <c r="T131" s="19" t="n"/>
      <c r="U131" s="19" t="n"/>
      <c r="V131" s="19" t="n"/>
      <c r="W131" s="19" t="n"/>
      <c r="X131" s="19" t="n"/>
      <c r="Y131" s="19" t="n"/>
      <c r="Z131" s="19" t="n"/>
      <c r="AA131" s="19" t="n"/>
      <c r="AB131" s="19" t="n"/>
      <c r="AC131" s="19" t="n"/>
      <c r="AD131" s="19" t="n"/>
      <c r="AE131" s="19" t="n"/>
      <c r="AF131" s="19" t="n"/>
      <c r="AG131" s="19" t="n"/>
      <c r="AH131" s="19" t="n"/>
      <c r="AI131" s="19" t="n"/>
      <c r="AJ131" s="19" t="n"/>
      <c r="AK131" s="19" t="n"/>
      <c r="AL131" s="19" t="n"/>
      <c r="AM131" s="19" t="n"/>
      <c r="AN131" s="19" t="n"/>
      <c r="AO131" s="19" t="n"/>
      <c r="AP131" s="19" t="n"/>
      <c r="AQ131" s="19" t="n"/>
      <c r="AR131" s="19" t="n"/>
      <c r="AS131" s="19" t="n"/>
      <c r="AT131" s="20" t="n"/>
    </row>
    <row r="132" outlineLevel="3">
      <c r="A132" s="8" t="n"/>
      <c r="B132" s="14" t="n"/>
      <c r="C132" s="41" t="n"/>
      <c r="D132" s="21" t="n"/>
      <c r="AT132" s="22" t="n"/>
    </row>
    <row r="133" outlineLevel="3">
      <c r="A133" s="8" t="n"/>
      <c r="B133" s="14" t="n"/>
      <c r="C133" s="41" t="n"/>
      <c r="D133" s="21" t="n"/>
      <c r="AT133" s="22" t="n"/>
    </row>
    <row r="134" outlineLevel="3">
      <c r="A134" s="8" t="n"/>
      <c r="B134" s="14" t="n"/>
      <c r="C134" s="41" t="n"/>
      <c r="D134" s="23" t="n"/>
      <c r="E134" s="24" t="n"/>
      <c r="F134" s="24" t="n"/>
      <c r="G134" s="24" t="n"/>
      <c r="H134" s="24" t="n"/>
      <c r="I134" s="24" t="n"/>
      <c r="J134" s="24" t="n"/>
      <c r="K134" s="24" t="n"/>
      <c r="L134" s="24" t="n"/>
      <c r="M134" s="24" t="n"/>
      <c r="N134" s="24" t="n"/>
      <c r="O134" s="24" t="n"/>
      <c r="P134" s="24" t="n"/>
      <c r="Q134" s="24" t="n"/>
      <c r="R134" s="24" t="n"/>
      <c r="S134" s="24" t="n"/>
      <c r="T134" s="24" t="n"/>
      <c r="U134" s="24" t="n"/>
      <c r="V134" s="24" t="n"/>
      <c r="W134" s="24" t="n"/>
      <c r="X134" s="24" t="n"/>
      <c r="Y134" s="24" t="n"/>
      <c r="Z134" s="24" t="n"/>
      <c r="AA134" s="24" t="n"/>
      <c r="AB134" s="24" t="n"/>
      <c r="AC134" s="24" t="n"/>
      <c r="AD134" s="24" t="n"/>
      <c r="AE134" s="24" t="n"/>
      <c r="AF134" s="24" t="n"/>
      <c r="AG134" s="24" t="n"/>
      <c r="AH134" s="24" t="n"/>
      <c r="AI134" s="24" t="n"/>
      <c r="AJ134" s="24" t="n"/>
      <c r="AK134" s="24" t="n"/>
      <c r="AL134" s="24" t="n"/>
      <c r="AM134" s="24" t="n"/>
      <c r="AN134" s="24" t="n"/>
      <c r="AO134" s="24" t="n"/>
      <c r="AP134" s="24" t="n"/>
      <c r="AQ134" s="24" t="n"/>
      <c r="AR134" s="24" t="n"/>
      <c r="AS134" s="24" t="n"/>
      <c r="AT134" s="25" t="n"/>
    </row>
    <row r="135" outlineLevel="2">
      <c r="A135" s="8" t="n"/>
      <c r="B135" s="14" t="n"/>
      <c r="C135" s="41" t="n"/>
      <c r="D135" s="41" t="n"/>
      <c r="E135" s="41" t="n"/>
      <c r="F135" s="41" t="n"/>
      <c r="G135" s="41" t="n"/>
      <c r="H135" s="41" t="n"/>
      <c r="I135" s="41" t="n"/>
      <c r="J135" s="41" t="n"/>
      <c r="K135" s="41" t="n"/>
      <c r="L135" s="41" t="n"/>
      <c r="M135" s="41" t="n"/>
      <c r="N135" s="41" t="n"/>
      <c r="O135" s="41" t="n"/>
      <c r="P135" s="41" t="n"/>
      <c r="Q135" s="41" t="n"/>
      <c r="R135" s="41" t="n"/>
      <c r="S135" s="41" t="n"/>
      <c r="T135" s="41" t="n"/>
      <c r="U135" s="41" t="n"/>
      <c r="V135" s="41" t="n"/>
      <c r="W135" s="41" t="n"/>
      <c r="X135" s="41" t="n"/>
      <c r="Y135" s="41" t="n"/>
      <c r="Z135" s="41" t="n"/>
      <c r="AA135" s="41" t="n"/>
      <c r="AB135" s="41" t="n"/>
      <c r="AC135" s="41" t="n"/>
      <c r="AD135" s="41" t="n"/>
      <c r="AE135" s="41" t="n"/>
      <c r="AF135" s="41" t="n"/>
      <c r="AG135" s="41" t="n"/>
      <c r="AH135" s="41" t="n"/>
      <c r="AI135" s="41" t="n"/>
      <c r="AJ135" s="41" t="n"/>
      <c r="AK135" s="41" t="n"/>
      <c r="AL135" s="41" t="n"/>
      <c r="AM135" s="41" t="n"/>
      <c r="AN135" s="41" t="n"/>
      <c r="AO135" s="41" t="n"/>
      <c r="AP135" s="41" t="n"/>
      <c r="AQ135" s="41" t="n"/>
      <c r="AR135" s="41" t="n"/>
      <c r="AS135" s="41" t="n"/>
      <c r="AT135" s="41" t="n"/>
    </row>
    <row r="136" outlineLevel="1">
      <c r="A136" s="8" t="n"/>
      <c r="B136" s="14" t="n"/>
      <c r="C136" s="41" t="n"/>
      <c r="D136" s="116">
        <f>DADOS_AM!$JD$3</f>
        <v/>
      </c>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c r="AA136" s="16" t="n"/>
      <c r="AB136" s="16" t="n"/>
      <c r="AC136" s="16" t="n"/>
      <c r="AD136" s="16" t="n"/>
      <c r="AE136" s="16" t="n"/>
      <c r="AF136" s="16" t="n"/>
      <c r="AG136" s="16" t="n"/>
      <c r="AH136" s="16" t="n"/>
      <c r="AI136" s="16" t="n"/>
      <c r="AJ136" s="16" t="n"/>
      <c r="AK136" s="16" t="n"/>
      <c r="AL136" s="16" t="n"/>
      <c r="AM136" s="16" t="n"/>
      <c r="AN136" s="16" t="n"/>
      <c r="AO136" s="16" t="n"/>
      <c r="AP136" s="16" t="n"/>
      <c r="AQ136" s="16" t="n"/>
      <c r="AR136" s="16" t="n"/>
      <c r="AS136" s="16" t="n"/>
      <c r="AT136" s="17" t="n"/>
    </row>
    <row r="137" outlineLevel="2">
      <c r="A137" s="8" t="n"/>
      <c r="B137" s="14" t="n"/>
      <c r="C137" s="41" t="n"/>
      <c r="D137" s="117">
        <f>DADOS_AM!$IV$7</f>
        <v/>
      </c>
      <c r="E137" s="16" t="n"/>
      <c r="F137" s="17" t="n"/>
      <c r="G137" s="118"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c r="AA137" s="16" t="n"/>
      <c r="AB137" s="16" t="n"/>
      <c r="AC137" s="16" t="n"/>
      <c r="AD137" s="16" t="n"/>
      <c r="AE137" s="16" t="n"/>
      <c r="AF137" s="16" t="n"/>
      <c r="AG137" s="16" t="n"/>
      <c r="AH137" s="16" t="n"/>
      <c r="AI137" s="16" t="n"/>
      <c r="AJ137" s="16" t="n"/>
      <c r="AK137" s="16" t="n"/>
      <c r="AL137" s="16" t="n"/>
      <c r="AM137" s="16" t="n"/>
      <c r="AN137" s="16" t="n"/>
      <c r="AO137" s="16" t="n"/>
      <c r="AP137" s="16" t="n"/>
      <c r="AQ137" s="16" t="n"/>
      <c r="AR137" s="16" t="n"/>
      <c r="AS137" s="16" t="n"/>
      <c r="AT137" s="17" t="n"/>
    </row>
    <row r="138" outlineLevel="3">
      <c r="A138" s="8" t="n"/>
      <c r="B138" s="14" t="n"/>
      <c r="C138" s="41" t="n"/>
      <c r="D138" s="119" t="n"/>
      <c r="E138" s="19" t="n"/>
      <c r="F138" s="19" t="n"/>
      <c r="G138" s="19" t="n"/>
      <c r="H138" s="19" t="n"/>
      <c r="I138" s="19" t="n"/>
      <c r="J138" s="19" t="n"/>
      <c r="K138" s="19" t="n"/>
      <c r="L138" s="19" t="n"/>
      <c r="M138" s="19" t="n"/>
      <c r="N138" s="19" t="n"/>
      <c r="O138" s="19" t="n"/>
      <c r="P138" s="19" t="n"/>
      <c r="Q138" s="19" t="n"/>
      <c r="R138" s="19" t="n"/>
      <c r="S138" s="19" t="n"/>
      <c r="T138" s="19" t="n"/>
      <c r="U138" s="19" t="n"/>
      <c r="V138" s="19" t="n"/>
      <c r="W138" s="19" t="n"/>
      <c r="X138" s="19" t="n"/>
      <c r="Y138" s="19" t="n"/>
      <c r="Z138" s="19" t="n"/>
      <c r="AA138" s="19" t="n"/>
      <c r="AB138" s="19" t="n"/>
      <c r="AC138" s="19" t="n"/>
      <c r="AD138" s="19" t="n"/>
      <c r="AE138" s="19" t="n"/>
      <c r="AF138" s="19" t="n"/>
      <c r="AG138" s="19" t="n"/>
      <c r="AH138" s="19" t="n"/>
      <c r="AI138" s="19" t="n"/>
      <c r="AJ138" s="19" t="n"/>
      <c r="AK138" s="19" t="n"/>
      <c r="AL138" s="19" t="n"/>
      <c r="AM138" s="19" t="n"/>
      <c r="AN138" s="19" t="n"/>
      <c r="AO138" s="19" t="n"/>
      <c r="AP138" s="19" t="n"/>
      <c r="AQ138" s="19" t="n"/>
      <c r="AR138" s="19" t="n"/>
      <c r="AS138" s="19" t="n"/>
      <c r="AT138" s="20" t="n"/>
    </row>
    <row r="139" outlineLevel="3">
      <c r="A139" s="8" t="n"/>
      <c r="B139" s="14" t="n"/>
      <c r="C139" s="41" t="n"/>
      <c r="D139" s="21" t="n"/>
      <c r="AT139" s="22" t="n"/>
    </row>
    <row r="140" outlineLevel="3">
      <c r="A140" s="8" t="n"/>
      <c r="B140" s="14" t="n"/>
      <c r="C140" s="41" t="n"/>
      <c r="D140" s="21" t="n"/>
      <c r="AT140" s="22" t="n"/>
    </row>
    <row r="141" outlineLevel="3">
      <c r="A141" s="8" t="n"/>
      <c r="B141" s="14" t="n"/>
      <c r="C141" s="41" t="n"/>
      <c r="D141" s="23" t="n"/>
      <c r="E141" s="24" t="n"/>
      <c r="F141" s="24" t="n"/>
      <c r="G141" s="24" t="n"/>
      <c r="H141" s="24" t="n"/>
      <c r="I141" s="24" t="n"/>
      <c r="J141" s="24" t="n"/>
      <c r="K141" s="24" t="n"/>
      <c r="L141" s="24" t="n"/>
      <c r="M141" s="24" t="n"/>
      <c r="N141" s="24" t="n"/>
      <c r="O141" s="24" t="n"/>
      <c r="P141" s="24" t="n"/>
      <c r="Q141" s="24" t="n"/>
      <c r="R141" s="24" t="n"/>
      <c r="S141" s="24" t="n"/>
      <c r="T141" s="24" t="n"/>
      <c r="U141" s="24" t="n"/>
      <c r="V141" s="24" t="n"/>
      <c r="W141" s="24" t="n"/>
      <c r="X141" s="24" t="n"/>
      <c r="Y141" s="24" t="n"/>
      <c r="Z141" s="24" t="n"/>
      <c r="AA141" s="24" t="n"/>
      <c r="AB141" s="24" t="n"/>
      <c r="AC141" s="24" t="n"/>
      <c r="AD141" s="24" t="n"/>
      <c r="AE141" s="24" t="n"/>
      <c r="AF141" s="24" t="n"/>
      <c r="AG141" s="24" t="n"/>
      <c r="AH141" s="24" t="n"/>
      <c r="AI141" s="24" t="n"/>
      <c r="AJ141" s="24" t="n"/>
      <c r="AK141" s="24" t="n"/>
      <c r="AL141" s="24" t="n"/>
      <c r="AM141" s="24" t="n"/>
      <c r="AN141" s="24" t="n"/>
      <c r="AO141" s="24" t="n"/>
      <c r="AP141" s="24" t="n"/>
      <c r="AQ141" s="24" t="n"/>
      <c r="AR141" s="24" t="n"/>
      <c r="AS141" s="24" t="n"/>
      <c r="AT141" s="25" t="n"/>
    </row>
    <row r="142" outlineLevel="2">
      <c r="A142" s="8" t="n"/>
      <c r="B142" s="14" t="n"/>
      <c r="C142" s="41" t="n"/>
      <c r="D142" s="41" t="n"/>
      <c r="E142" s="41" t="n"/>
      <c r="F142" s="41" t="n"/>
      <c r="G142" s="41" t="n"/>
      <c r="H142" s="41" t="n"/>
      <c r="I142" s="41" t="n"/>
      <c r="J142" s="41" t="n"/>
      <c r="K142" s="41" t="n"/>
      <c r="L142" s="41" t="n"/>
      <c r="M142" s="41" t="n"/>
      <c r="N142" s="41" t="n"/>
      <c r="O142" s="41" t="n"/>
      <c r="P142" s="41" t="n"/>
      <c r="Q142" s="41" t="n"/>
      <c r="R142" s="41" t="n"/>
      <c r="S142" s="41" t="n"/>
      <c r="T142" s="41" t="n"/>
      <c r="U142" s="41" t="n"/>
      <c r="V142" s="41" t="n"/>
      <c r="W142" s="41" t="n"/>
      <c r="X142" s="41" t="n"/>
      <c r="Y142" s="41" t="n"/>
      <c r="Z142" s="41" t="n"/>
      <c r="AA142" s="41" t="n"/>
      <c r="AB142" s="41" t="n"/>
      <c r="AC142" s="41" t="n"/>
      <c r="AD142" s="41" t="n"/>
      <c r="AE142" s="41" t="n"/>
      <c r="AF142" s="41" t="n"/>
      <c r="AG142" s="41" t="n"/>
      <c r="AH142" s="41" t="n"/>
      <c r="AI142" s="41" t="n"/>
      <c r="AJ142" s="41" t="n"/>
      <c r="AK142" s="41" t="n"/>
      <c r="AL142" s="41" t="n"/>
      <c r="AM142" s="41" t="n"/>
      <c r="AN142" s="41" t="n"/>
      <c r="AO142" s="41" t="n"/>
      <c r="AP142" s="41" t="n"/>
      <c r="AQ142" s="41" t="n"/>
      <c r="AR142" s="41" t="n"/>
      <c r="AS142" s="41" t="n"/>
      <c r="AT142" s="41" t="n"/>
    </row>
    <row r="143" outlineLevel="2">
      <c r="A143" s="8" t="n"/>
      <c r="B143" s="14" t="n"/>
      <c r="C143" s="41" t="n"/>
      <c r="D143" s="117">
        <f>DADOS_AM!$IV$8</f>
        <v/>
      </c>
      <c r="E143" s="16" t="n"/>
      <c r="F143" s="17" t="n"/>
      <c r="G143" s="118"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c r="AA143" s="16" t="n"/>
      <c r="AB143" s="16" t="n"/>
      <c r="AC143" s="16" t="n"/>
      <c r="AD143" s="16" t="n"/>
      <c r="AE143" s="16" t="n"/>
      <c r="AF143" s="16" t="n"/>
      <c r="AG143" s="16" t="n"/>
      <c r="AH143" s="16" t="n"/>
      <c r="AI143" s="16" t="n"/>
      <c r="AJ143" s="16" t="n"/>
      <c r="AK143" s="16" t="n"/>
      <c r="AL143" s="16" t="n"/>
      <c r="AM143" s="16" t="n"/>
      <c r="AN143" s="16" t="n"/>
      <c r="AO143" s="16" t="n"/>
      <c r="AP143" s="16" t="n"/>
      <c r="AQ143" s="16" t="n"/>
      <c r="AR143" s="16" t="n"/>
      <c r="AS143" s="16" t="n"/>
      <c r="AT143" s="17" t="n"/>
    </row>
    <row r="144" outlineLevel="3">
      <c r="A144" s="8" t="n"/>
      <c r="B144" s="14" t="n"/>
      <c r="C144" s="41" t="n"/>
      <c r="D144" s="119" t="n"/>
      <c r="E144" s="19" t="n"/>
      <c r="F144" s="19" t="n"/>
      <c r="G144" s="19" t="n"/>
      <c r="H144" s="19" t="n"/>
      <c r="I144" s="19" t="n"/>
      <c r="J144" s="19" t="n"/>
      <c r="K144" s="19" t="n"/>
      <c r="L144" s="19" t="n"/>
      <c r="M144" s="19" t="n"/>
      <c r="N144" s="19" t="n"/>
      <c r="O144" s="19" t="n"/>
      <c r="P144" s="19" t="n"/>
      <c r="Q144" s="19" t="n"/>
      <c r="R144" s="19" t="n"/>
      <c r="S144" s="19" t="n"/>
      <c r="T144" s="19" t="n"/>
      <c r="U144" s="19" t="n"/>
      <c r="V144" s="19" t="n"/>
      <c r="W144" s="19" t="n"/>
      <c r="X144" s="19" t="n"/>
      <c r="Y144" s="19" t="n"/>
      <c r="Z144" s="19" t="n"/>
      <c r="AA144" s="19" t="n"/>
      <c r="AB144" s="19" t="n"/>
      <c r="AC144" s="19" t="n"/>
      <c r="AD144" s="19" t="n"/>
      <c r="AE144" s="19" t="n"/>
      <c r="AF144" s="19" t="n"/>
      <c r="AG144" s="19" t="n"/>
      <c r="AH144" s="19" t="n"/>
      <c r="AI144" s="19" t="n"/>
      <c r="AJ144" s="19" t="n"/>
      <c r="AK144" s="19" t="n"/>
      <c r="AL144" s="19" t="n"/>
      <c r="AM144" s="19" t="n"/>
      <c r="AN144" s="19" t="n"/>
      <c r="AO144" s="19" t="n"/>
      <c r="AP144" s="19" t="n"/>
      <c r="AQ144" s="19" t="n"/>
      <c r="AR144" s="19" t="n"/>
      <c r="AS144" s="19" t="n"/>
      <c r="AT144" s="20" t="n"/>
    </row>
    <row r="145" outlineLevel="3">
      <c r="A145" s="8" t="n"/>
      <c r="B145" s="14" t="n"/>
      <c r="C145" s="41" t="n"/>
      <c r="D145" s="21" t="n"/>
      <c r="AT145" s="22" t="n"/>
    </row>
    <row r="146" outlineLevel="3">
      <c r="A146" s="8" t="n"/>
      <c r="B146" s="14" t="n"/>
      <c r="C146" s="41" t="n"/>
      <c r="D146" s="21" t="n"/>
      <c r="AT146" s="22" t="n"/>
    </row>
    <row r="147" outlineLevel="3">
      <c r="A147" s="8" t="n"/>
      <c r="B147" s="14" t="n"/>
      <c r="C147" s="41" t="n"/>
      <c r="D147" s="23" t="n"/>
      <c r="E147" s="24" t="n"/>
      <c r="F147" s="24" t="n"/>
      <c r="G147" s="24" t="n"/>
      <c r="H147" s="24" t="n"/>
      <c r="I147" s="24" t="n"/>
      <c r="J147" s="24" t="n"/>
      <c r="K147" s="24" t="n"/>
      <c r="L147" s="24" t="n"/>
      <c r="M147" s="24" t="n"/>
      <c r="N147" s="24" t="n"/>
      <c r="O147" s="24" t="n"/>
      <c r="P147" s="24" t="n"/>
      <c r="Q147" s="24" t="n"/>
      <c r="R147" s="24" t="n"/>
      <c r="S147" s="24" t="n"/>
      <c r="T147" s="24" t="n"/>
      <c r="U147" s="24" t="n"/>
      <c r="V147" s="24" t="n"/>
      <c r="W147" s="24" t="n"/>
      <c r="X147" s="24" t="n"/>
      <c r="Y147" s="24" t="n"/>
      <c r="Z147" s="24" t="n"/>
      <c r="AA147" s="24" t="n"/>
      <c r="AB147" s="24" t="n"/>
      <c r="AC147" s="24" t="n"/>
      <c r="AD147" s="24" t="n"/>
      <c r="AE147" s="24" t="n"/>
      <c r="AF147" s="24" t="n"/>
      <c r="AG147" s="24" t="n"/>
      <c r="AH147" s="24" t="n"/>
      <c r="AI147" s="24" t="n"/>
      <c r="AJ147" s="24" t="n"/>
      <c r="AK147" s="24" t="n"/>
      <c r="AL147" s="24" t="n"/>
      <c r="AM147" s="24" t="n"/>
      <c r="AN147" s="24" t="n"/>
      <c r="AO147" s="24" t="n"/>
      <c r="AP147" s="24" t="n"/>
      <c r="AQ147" s="24" t="n"/>
      <c r="AR147" s="24" t="n"/>
      <c r="AS147" s="24" t="n"/>
      <c r="AT147" s="25" t="n"/>
    </row>
    <row r="148" outlineLevel="2">
      <c r="A148" s="8" t="n"/>
      <c r="B148" s="14" t="n"/>
      <c r="C148" s="41" t="n"/>
      <c r="D148" s="41" t="n"/>
      <c r="E148" s="41" t="n"/>
      <c r="F148" s="41" t="n"/>
      <c r="G148" s="41" t="n"/>
      <c r="H148" s="41" t="n"/>
      <c r="I148" s="41" t="n"/>
      <c r="J148" s="41" t="n"/>
      <c r="K148" s="41" t="n"/>
      <c r="L148" s="41" t="n"/>
      <c r="M148" s="41" t="n"/>
      <c r="N148" s="41" t="n"/>
      <c r="O148" s="41" t="n"/>
      <c r="P148" s="41" t="n"/>
      <c r="Q148" s="41" t="n"/>
      <c r="R148" s="41" t="n"/>
      <c r="S148" s="41" t="n"/>
      <c r="T148" s="41" t="n"/>
      <c r="U148" s="41" t="n"/>
      <c r="V148" s="41" t="n"/>
      <c r="W148" s="41" t="n"/>
      <c r="X148" s="41" t="n"/>
      <c r="Y148" s="41" t="n"/>
      <c r="Z148" s="41" t="n"/>
      <c r="AA148" s="41" t="n"/>
      <c r="AB148" s="41" t="n"/>
      <c r="AC148" s="41" t="n"/>
      <c r="AD148" s="41" t="n"/>
      <c r="AE148" s="41" t="n"/>
      <c r="AF148" s="41" t="n"/>
      <c r="AG148" s="41" t="n"/>
      <c r="AH148" s="41" t="n"/>
      <c r="AI148" s="41" t="n"/>
      <c r="AJ148" s="41" t="n"/>
      <c r="AK148" s="41" t="n"/>
      <c r="AL148" s="41" t="n"/>
      <c r="AM148" s="41" t="n"/>
      <c r="AN148" s="41" t="n"/>
      <c r="AO148" s="41" t="n"/>
      <c r="AP148" s="41" t="n"/>
      <c r="AQ148" s="41" t="n"/>
      <c r="AR148" s="41" t="n"/>
      <c r="AS148" s="41" t="n"/>
      <c r="AT148" s="41" t="n"/>
    </row>
    <row r="149" outlineLevel="2">
      <c r="A149" s="8" t="n"/>
      <c r="B149" s="14" t="n"/>
      <c r="C149" s="41" t="n"/>
      <c r="D149" s="117">
        <f>DADOS_AM!$IV$9</f>
        <v/>
      </c>
      <c r="E149" s="16" t="n"/>
      <c r="F149" s="17" t="n"/>
      <c r="G149" s="118"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c r="AA149" s="16" t="n"/>
      <c r="AB149" s="16" t="n"/>
      <c r="AC149" s="16" t="n"/>
      <c r="AD149" s="16" t="n"/>
      <c r="AE149" s="16" t="n"/>
      <c r="AF149" s="16" t="n"/>
      <c r="AG149" s="16" t="n"/>
      <c r="AH149" s="16" t="n"/>
      <c r="AI149" s="16" t="n"/>
      <c r="AJ149" s="16" t="n"/>
      <c r="AK149" s="16" t="n"/>
      <c r="AL149" s="16" t="n"/>
      <c r="AM149" s="16" t="n"/>
      <c r="AN149" s="16" t="n"/>
      <c r="AO149" s="16" t="n"/>
      <c r="AP149" s="16" t="n"/>
      <c r="AQ149" s="16" t="n"/>
      <c r="AR149" s="16" t="n"/>
      <c r="AS149" s="16" t="n"/>
      <c r="AT149" s="17" t="n"/>
    </row>
    <row r="150" outlineLevel="3">
      <c r="A150" s="8" t="n"/>
      <c r="B150" s="14" t="n"/>
      <c r="C150" s="41" t="n"/>
      <c r="D150" s="119" t="n"/>
      <c r="E150" s="19" t="n"/>
      <c r="F150" s="19" t="n"/>
      <c r="G150" s="19" t="n"/>
      <c r="H150" s="19" t="n"/>
      <c r="I150" s="19" t="n"/>
      <c r="J150" s="19" t="n"/>
      <c r="K150" s="19" t="n"/>
      <c r="L150" s="19" t="n"/>
      <c r="M150" s="19" t="n"/>
      <c r="N150" s="19" t="n"/>
      <c r="O150" s="19" t="n"/>
      <c r="P150" s="19" t="n"/>
      <c r="Q150" s="19" t="n"/>
      <c r="R150" s="19" t="n"/>
      <c r="S150" s="19" t="n"/>
      <c r="T150" s="19" t="n"/>
      <c r="U150" s="19" t="n"/>
      <c r="V150" s="19" t="n"/>
      <c r="W150" s="19" t="n"/>
      <c r="X150" s="19" t="n"/>
      <c r="Y150" s="19" t="n"/>
      <c r="Z150" s="19" t="n"/>
      <c r="AA150" s="19" t="n"/>
      <c r="AB150" s="19" t="n"/>
      <c r="AC150" s="19" t="n"/>
      <c r="AD150" s="19" t="n"/>
      <c r="AE150" s="19" t="n"/>
      <c r="AF150" s="19" t="n"/>
      <c r="AG150" s="19" t="n"/>
      <c r="AH150" s="19" t="n"/>
      <c r="AI150" s="19" t="n"/>
      <c r="AJ150" s="19" t="n"/>
      <c r="AK150" s="19" t="n"/>
      <c r="AL150" s="19" t="n"/>
      <c r="AM150" s="19" t="n"/>
      <c r="AN150" s="19" t="n"/>
      <c r="AO150" s="19" t="n"/>
      <c r="AP150" s="19" t="n"/>
      <c r="AQ150" s="19" t="n"/>
      <c r="AR150" s="19" t="n"/>
      <c r="AS150" s="19" t="n"/>
      <c r="AT150" s="20" t="n"/>
    </row>
    <row r="151" outlineLevel="3">
      <c r="A151" s="8" t="n"/>
      <c r="B151" s="14" t="n"/>
      <c r="C151" s="41" t="n"/>
      <c r="D151" s="21" t="n"/>
      <c r="AT151" s="22" t="n"/>
    </row>
    <row r="152" outlineLevel="3">
      <c r="A152" s="8" t="n"/>
      <c r="B152" s="14" t="n"/>
      <c r="C152" s="41" t="n"/>
      <c r="D152" s="21" t="n"/>
      <c r="AT152" s="22" t="n"/>
    </row>
    <row r="153" outlineLevel="3">
      <c r="A153" s="8" t="n"/>
      <c r="B153" s="14" t="n"/>
      <c r="C153" s="41" t="n"/>
      <c r="D153" s="23" t="n"/>
      <c r="E153" s="24" t="n"/>
      <c r="F153" s="24" t="n"/>
      <c r="G153" s="24" t="n"/>
      <c r="H153" s="24" t="n"/>
      <c r="I153" s="24" t="n"/>
      <c r="J153" s="24" t="n"/>
      <c r="K153" s="24" t="n"/>
      <c r="L153" s="24" t="n"/>
      <c r="M153" s="24" t="n"/>
      <c r="N153" s="24" t="n"/>
      <c r="O153" s="24" t="n"/>
      <c r="P153" s="24" t="n"/>
      <c r="Q153" s="24" t="n"/>
      <c r="R153" s="24" t="n"/>
      <c r="S153" s="24" t="n"/>
      <c r="T153" s="24" t="n"/>
      <c r="U153" s="24" t="n"/>
      <c r="V153" s="24" t="n"/>
      <c r="W153" s="24" t="n"/>
      <c r="X153" s="24" t="n"/>
      <c r="Y153" s="24" t="n"/>
      <c r="Z153" s="24" t="n"/>
      <c r="AA153" s="24" t="n"/>
      <c r="AB153" s="24" t="n"/>
      <c r="AC153" s="24" t="n"/>
      <c r="AD153" s="24" t="n"/>
      <c r="AE153" s="24" t="n"/>
      <c r="AF153" s="24" t="n"/>
      <c r="AG153" s="24" t="n"/>
      <c r="AH153" s="24" t="n"/>
      <c r="AI153" s="24" t="n"/>
      <c r="AJ153" s="24" t="n"/>
      <c r="AK153" s="24" t="n"/>
      <c r="AL153" s="24" t="n"/>
      <c r="AM153" s="24" t="n"/>
      <c r="AN153" s="24" t="n"/>
      <c r="AO153" s="24" t="n"/>
      <c r="AP153" s="24" t="n"/>
      <c r="AQ153" s="24" t="n"/>
      <c r="AR153" s="24" t="n"/>
      <c r="AS153" s="24" t="n"/>
      <c r="AT153" s="25" t="n"/>
    </row>
    <row r="154" outlineLevel="2">
      <c r="A154" s="8" t="n"/>
      <c r="B154" s="14" t="n"/>
      <c r="C154" s="41" t="n"/>
      <c r="D154" s="41" t="n"/>
      <c r="E154" s="41" t="n"/>
      <c r="F154" s="41" t="n"/>
      <c r="G154" s="41" t="n"/>
      <c r="H154" s="41" t="n"/>
      <c r="I154" s="41" t="n"/>
      <c r="J154" s="41" t="n"/>
      <c r="K154" s="41" t="n"/>
      <c r="L154" s="41" t="n"/>
      <c r="M154" s="41" t="n"/>
      <c r="N154" s="41" t="n"/>
      <c r="O154" s="41" t="n"/>
      <c r="P154" s="41" t="n"/>
      <c r="Q154" s="41" t="n"/>
      <c r="R154" s="41" t="n"/>
      <c r="S154" s="41" t="n"/>
      <c r="T154" s="41" t="n"/>
      <c r="U154" s="41" t="n"/>
      <c r="V154" s="41" t="n"/>
      <c r="W154" s="41" t="n"/>
      <c r="X154" s="41" t="n"/>
      <c r="Y154" s="41" t="n"/>
      <c r="Z154" s="41" t="n"/>
      <c r="AA154" s="41" t="n"/>
      <c r="AB154" s="41" t="n"/>
      <c r="AC154" s="41" t="n"/>
      <c r="AD154" s="41" t="n"/>
      <c r="AE154" s="41" t="n"/>
      <c r="AF154" s="41" t="n"/>
      <c r="AG154" s="41" t="n"/>
      <c r="AH154" s="41" t="n"/>
      <c r="AI154" s="41" t="n"/>
      <c r="AJ154" s="41" t="n"/>
      <c r="AK154" s="41" t="n"/>
      <c r="AL154" s="41" t="n"/>
      <c r="AM154" s="41" t="n"/>
      <c r="AN154" s="41" t="n"/>
      <c r="AO154" s="41" t="n"/>
      <c r="AP154" s="41" t="n"/>
      <c r="AQ154" s="41" t="n"/>
      <c r="AR154" s="41" t="n"/>
      <c r="AS154" s="41" t="n"/>
      <c r="AT154" s="41" t="n"/>
    </row>
    <row r="155" outlineLevel="2">
      <c r="A155" s="8" t="n"/>
      <c r="B155" s="14" t="n"/>
      <c r="C155" s="41" t="n"/>
      <c r="D155" s="117">
        <f>DADOS_AM!$IV$10</f>
        <v/>
      </c>
      <c r="E155" s="16" t="n"/>
      <c r="F155" s="17" t="n"/>
      <c r="G155" s="118"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c r="AA155" s="16" t="n"/>
      <c r="AB155" s="16" t="n"/>
      <c r="AC155" s="16" t="n"/>
      <c r="AD155" s="16" t="n"/>
      <c r="AE155" s="16" t="n"/>
      <c r="AF155" s="16" t="n"/>
      <c r="AG155" s="16" t="n"/>
      <c r="AH155" s="16" t="n"/>
      <c r="AI155" s="16" t="n"/>
      <c r="AJ155" s="16" t="n"/>
      <c r="AK155" s="16" t="n"/>
      <c r="AL155" s="16" t="n"/>
      <c r="AM155" s="16" t="n"/>
      <c r="AN155" s="16" t="n"/>
      <c r="AO155" s="16" t="n"/>
      <c r="AP155" s="16" t="n"/>
      <c r="AQ155" s="16" t="n"/>
      <c r="AR155" s="16" t="n"/>
      <c r="AS155" s="16" t="n"/>
      <c r="AT155" s="17" t="n"/>
    </row>
    <row r="156" outlineLevel="3">
      <c r="A156" s="8" t="n"/>
      <c r="B156" s="14" t="n"/>
      <c r="C156" s="41" t="n"/>
      <c r="D156" s="119" t="n"/>
      <c r="E156" s="19" t="n"/>
      <c r="F156" s="19" t="n"/>
      <c r="G156" s="19" t="n"/>
      <c r="H156" s="19" t="n"/>
      <c r="I156" s="19" t="n"/>
      <c r="J156" s="19" t="n"/>
      <c r="K156" s="19" t="n"/>
      <c r="L156" s="19" t="n"/>
      <c r="M156" s="19" t="n"/>
      <c r="N156" s="19" t="n"/>
      <c r="O156" s="19" t="n"/>
      <c r="P156" s="19" t="n"/>
      <c r="Q156" s="19" t="n"/>
      <c r="R156" s="19" t="n"/>
      <c r="S156" s="19" t="n"/>
      <c r="T156" s="19" t="n"/>
      <c r="U156" s="19" t="n"/>
      <c r="V156" s="19" t="n"/>
      <c r="W156" s="19" t="n"/>
      <c r="X156" s="19" t="n"/>
      <c r="Y156" s="19" t="n"/>
      <c r="Z156" s="19" t="n"/>
      <c r="AA156" s="19" t="n"/>
      <c r="AB156" s="19" t="n"/>
      <c r="AC156" s="19" t="n"/>
      <c r="AD156" s="19" t="n"/>
      <c r="AE156" s="19" t="n"/>
      <c r="AF156" s="19" t="n"/>
      <c r="AG156" s="19" t="n"/>
      <c r="AH156" s="19" t="n"/>
      <c r="AI156" s="19" t="n"/>
      <c r="AJ156" s="19" t="n"/>
      <c r="AK156" s="19" t="n"/>
      <c r="AL156" s="19" t="n"/>
      <c r="AM156" s="19" t="n"/>
      <c r="AN156" s="19" t="n"/>
      <c r="AO156" s="19" t="n"/>
      <c r="AP156" s="19" t="n"/>
      <c r="AQ156" s="19" t="n"/>
      <c r="AR156" s="19" t="n"/>
      <c r="AS156" s="19" t="n"/>
      <c r="AT156" s="20" t="n"/>
    </row>
    <row r="157" outlineLevel="3">
      <c r="A157" s="8" t="n"/>
      <c r="B157" s="14" t="n"/>
      <c r="C157" s="41" t="n"/>
      <c r="D157" s="21" t="n"/>
      <c r="AT157" s="22" t="n"/>
    </row>
    <row r="158" outlineLevel="3">
      <c r="A158" s="8" t="n"/>
      <c r="B158" s="14" t="n"/>
      <c r="C158" s="41" t="n"/>
      <c r="D158" s="21" t="n"/>
      <c r="AT158" s="22" t="n"/>
    </row>
    <row r="159" outlineLevel="3">
      <c r="A159" s="8" t="n"/>
      <c r="B159" s="14" t="n"/>
      <c r="C159" s="41" t="n"/>
      <c r="D159" s="23" t="n"/>
      <c r="E159" s="24" t="n"/>
      <c r="F159" s="24" t="n"/>
      <c r="G159" s="24" t="n"/>
      <c r="H159" s="24" t="n"/>
      <c r="I159" s="24" t="n"/>
      <c r="J159" s="24" t="n"/>
      <c r="K159" s="24" t="n"/>
      <c r="L159" s="24" t="n"/>
      <c r="M159" s="24" t="n"/>
      <c r="N159" s="24" t="n"/>
      <c r="O159" s="24" t="n"/>
      <c r="P159" s="24" t="n"/>
      <c r="Q159" s="24" t="n"/>
      <c r="R159" s="24" t="n"/>
      <c r="S159" s="24" t="n"/>
      <c r="T159" s="24" t="n"/>
      <c r="U159" s="24" t="n"/>
      <c r="V159" s="24" t="n"/>
      <c r="W159" s="24" t="n"/>
      <c r="X159" s="24" t="n"/>
      <c r="Y159" s="24" t="n"/>
      <c r="Z159" s="24" t="n"/>
      <c r="AA159" s="24" t="n"/>
      <c r="AB159" s="24" t="n"/>
      <c r="AC159" s="24" t="n"/>
      <c r="AD159" s="24" t="n"/>
      <c r="AE159" s="24" t="n"/>
      <c r="AF159" s="24" t="n"/>
      <c r="AG159" s="24" t="n"/>
      <c r="AH159" s="24" t="n"/>
      <c r="AI159" s="24" t="n"/>
      <c r="AJ159" s="24" t="n"/>
      <c r="AK159" s="24" t="n"/>
      <c r="AL159" s="24" t="n"/>
      <c r="AM159" s="24" t="n"/>
      <c r="AN159" s="24" t="n"/>
      <c r="AO159" s="24" t="n"/>
      <c r="AP159" s="24" t="n"/>
      <c r="AQ159" s="24" t="n"/>
      <c r="AR159" s="24" t="n"/>
      <c r="AS159" s="24" t="n"/>
      <c r="AT159" s="25" t="n"/>
    </row>
    <row r="160" outlineLevel="2">
      <c r="A160" s="8" t="n"/>
      <c r="B160" s="14" t="n"/>
      <c r="C160" s="41" t="n"/>
      <c r="D160" s="41" t="n"/>
      <c r="E160" s="41" t="n"/>
      <c r="F160" s="41" t="n"/>
      <c r="G160" s="41" t="n"/>
      <c r="H160" s="41" t="n"/>
      <c r="I160" s="41" t="n"/>
      <c r="J160" s="41" t="n"/>
      <c r="K160" s="41" t="n"/>
      <c r="L160" s="41" t="n"/>
      <c r="M160" s="41" t="n"/>
      <c r="N160" s="41" t="n"/>
      <c r="O160" s="41" t="n"/>
      <c r="P160" s="41" t="n"/>
      <c r="Q160" s="41" t="n"/>
      <c r="R160" s="41" t="n"/>
      <c r="S160" s="41" t="n"/>
      <c r="T160" s="41" t="n"/>
      <c r="U160" s="41" t="n"/>
      <c r="V160" s="41" t="n"/>
      <c r="W160" s="41" t="n"/>
      <c r="X160" s="41" t="n"/>
      <c r="Y160" s="41" t="n"/>
      <c r="Z160" s="41" t="n"/>
      <c r="AA160" s="41" t="n"/>
      <c r="AB160" s="41" t="n"/>
      <c r="AC160" s="41" t="n"/>
      <c r="AD160" s="41" t="n"/>
      <c r="AE160" s="41" t="n"/>
      <c r="AF160" s="41" t="n"/>
      <c r="AG160" s="41" t="n"/>
      <c r="AH160" s="41" t="n"/>
      <c r="AI160" s="41" t="n"/>
      <c r="AJ160" s="41" t="n"/>
      <c r="AK160" s="41" t="n"/>
      <c r="AL160" s="41" t="n"/>
      <c r="AM160" s="41" t="n"/>
      <c r="AN160" s="41" t="n"/>
      <c r="AO160" s="41" t="n"/>
      <c r="AP160" s="41" t="n"/>
      <c r="AQ160" s="41" t="n"/>
      <c r="AR160" s="41" t="n"/>
      <c r="AS160" s="41" t="n"/>
      <c r="AT160" s="41" t="n"/>
    </row>
    <row r="161" outlineLevel="2">
      <c r="A161" s="8" t="n"/>
      <c r="B161" s="14" t="n"/>
      <c r="C161" s="41" t="n"/>
      <c r="D161" s="116" t="inlineStr">
        <is>
          <t>Escolhas da Trilha</t>
        </is>
      </c>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c r="AA161" s="16" t="n"/>
      <c r="AB161" s="16" t="n"/>
      <c r="AC161" s="16" t="n"/>
      <c r="AD161" s="16" t="n"/>
      <c r="AE161" s="16" t="n"/>
      <c r="AF161" s="16" t="n"/>
      <c r="AG161" s="16" t="n"/>
      <c r="AH161" s="16" t="n"/>
      <c r="AI161" s="16" t="n"/>
      <c r="AJ161" s="16" t="n"/>
      <c r="AK161" s="16" t="n"/>
      <c r="AL161" s="16" t="n"/>
      <c r="AM161" s="16" t="n"/>
      <c r="AN161" s="16" t="n"/>
      <c r="AO161" s="16" t="n"/>
      <c r="AP161" s="16" t="n"/>
      <c r="AQ161" s="16" t="n"/>
      <c r="AR161" s="16" t="n"/>
      <c r="AS161" s="16" t="n"/>
      <c r="AT161" s="17" t="n"/>
    </row>
    <row r="162" outlineLevel="3">
      <c r="A162" s="8" t="n"/>
      <c r="B162" s="14" t="n"/>
      <c r="C162" s="41" t="n"/>
      <c r="D162" s="119" t="n"/>
      <c r="E162" s="19" t="n"/>
      <c r="F162" s="19" t="n"/>
      <c r="G162" s="19" t="n"/>
      <c r="H162" s="19" t="n"/>
      <c r="I162" s="19" t="n"/>
      <c r="J162" s="19" t="n"/>
      <c r="K162" s="19" t="n"/>
      <c r="L162" s="19" t="n"/>
      <c r="M162" s="19" t="n"/>
      <c r="N162" s="19" t="n"/>
      <c r="O162" s="19" t="n"/>
      <c r="P162" s="19" t="n"/>
      <c r="Q162" s="19" t="n"/>
      <c r="R162" s="19" t="n"/>
      <c r="S162" s="19" t="n"/>
      <c r="T162" s="19" t="n"/>
      <c r="U162" s="19" t="n"/>
      <c r="V162" s="19" t="n"/>
      <c r="W162" s="19" t="n"/>
      <c r="X162" s="19" t="n"/>
      <c r="Y162" s="19" t="n"/>
      <c r="Z162" s="19" t="n"/>
      <c r="AA162" s="19" t="n"/>
      <c r="AB162" s="19" t="n"/>
      <c r="AC162" s="19" t="n"/>
      <c r="AD162" s="19" t="n"/>
      <c r="AE162" s="19" t="n"/>
      <c r="AF162" s="19" t="n"/>
      <c r="AG162" s="19" t="n"/>
      <c r="AH162" s="19" t="n"/>
      <c r="AI162" s="19" t="n"/>
      <c r="AJ162" s="19" t="n"/>
      <c r="AK162" s="19" t="n"/>
      <c r="AL162" s="19" t="n"/>
      <c r="AM162" s="19" t="n"/>
      <c r="AN162" s="19" t="n"/>
      <c r="AO162" s="19" t="n"/>
      <c r="AP162" s="19" t="n"/>
      <c r="AQ162" s="19" t="n"/>
      <c r="AR162" s="19" t="n"/>
      <c r="AS162" s="19" t="n"/>
      <c r="AT162" s="20" t="n"/>
    </row>
    <row r="163" outlineLevel="3">
      <c r="A163" s="8" t="n"/>
      <c r="B163" s="14" t="n"/>
      <c r="C163" s="41" t="n"/>
      <c r="D163" s="21" t="n"/>
      <c r="AT163" s="22" t="n"/>
    </row>
    <row r="164" outlineLevel="3">
      <c r="A164" s="8" t="n"/>
      <c r="B164" s="14" t="n"/>
      <c r="C164" s="41" t="n"/>
      <c r="D164" s="21" t="n"/>
      <c r="AT164" s="22" t="n"/>
    </row>
    <row r="165" outlineLevel="3">
      <c r="A165" s="8" t="n"/>
      <c r="B165" s="14" t="n"/>
      <c r="C165" s="41" t="n"/>
      <c r="D165" s="23" t="n"/>
      <c r="E165" s="24" t="n"/>
      <c r="F165" s="24" t="n"/>
      <c r="G165" s="24" t="n"/>
      <c r="H165" s="24" t="n"/>
      <c r="I165" s="24" t="n"/>
      <c r="J165" s="24" t="n"/>
      <c r="K165" s="24" t="n"/>
      <c r="L165" s="24" t="n"/>
      <c r="M165" s="24" t="n"/>
      <c r="N165" s="24" t="n"/>
      <c r="O165" s="24" t="n"/>
      <c r="P165" s="24" t="n"/>
      <c r="Q165" s="24" t="n"/>
      <c r="R165" s="24" t="n"/>
      <c r="S165" s="24" t="n"/>
      <c r="T165" s="24" t="n"/>
      <c r="U165" s="24" t="n"/>
      <c r="V165" s="24" t="n"/>
      <c r="W165" s="24" t="n"/>
      <c r="X165" s="24" t="n"/>
      <c r="Y165" s="24" t="n"/>
      <c r="Z165" s="24" t="n"/>
      <c r="AA165" s="24" t="n"/>
      <c r="AB165" s="24" t="n"/>
      <c r="AC165" s="24" t="n"/>
      <c r="AD165" s="24" t="n"/>
      <c r="AE165" s="24" t="n"/>
      <c r="AF165" s="24" t="n"/>
      <c r="AG165" s="24" t="n"/>
      <c r="AH165" s="24" t="n"/>
      <c r="AI165" s="24" t="n"/>
      <c r="AJ165" s="24" t="n"/>
      <c r="AK165" s="24" t="n"/>
      <c r="AL165" s="24" t="n"/>
      <c r="AM165" s="24" t="n"/>
      <c r="AN165" s="24" t="n"/>
      <c r="AO165" s="24" t="n"/>
      <c r="AP165" s="24" t="n"/>
      <c r="AQ165" s="24" t="n"/>
      <c r="AR165" s="24" t="n"/>
      <c r="AS165" s="24" t="n"/>
      <c r="AT165" s="25" t="n"/>
    </row>
    <row r="166" outlineLevel="2">
      <c r="A166" s="8" t="n"/>
      <c r="B166" s="14" t="n"/>
      <c r="C166" s="41" t="n"/>
      <c r="D166" s="41" t="n"/>
      <c r="E166" s="41" t="n"/>
      <c r="F166" s="41" t="n"/>
      <c r="G166" s="41" t="n"/>
      <c r="H166" s="41" t="n"/>
      <c r="I166" s="41" t="n"/>
      <c r="J166" s="41" t="n"/>
      <c r="K166" s="41" t="n"/>
      <c r="L166" s="41" t="n"/>
      <c r="M166" s="41" t="n"/>
      <c r="N166" s="41" t="n"/>
      <c r="O166" s="41" t="n"/>
      <c r="P166" s="41" t="n"/>
      <c r="Q166" s="41" t="n"/>
      <c r="R166" s="41" t="n"/>
      <c r="S166" s="41" t="n"/>
      <c r="T166" s="41" t="n"/>
      <c r="U166" s="41" t="n"/>
      <c r="V166" s="41" t="n"/>
      <c r="W166" s="41" t="n"/>
      <c r="X166" s="41" t="n"/>
      <c r="Y166" s="41" t="n"/>
      <c r="Z166" s="41" t="n"/>
      <c r="AA166" s="41" t="n"/>
      <c r="AB166" s="41" t="n"/>
      <c r="AC166" s="41" t="n"/>
      <c r="AD166" s="41" t="n"/>
      <c r="AE166" s="41" t="n"/>
      <c r="AF166" s="41" t="n"/>
      <c r="AG166" s="41" t="n"/>
      <c r="AH166" s="41" t="n"/>
      <c r="AI166" s="41" t="n"/>
      <c r="AJ166" s="41" t="n"/>
      <c r="AK166" s="41" t="n"/>
      <c r="AL166" s="41" t="n"/>
      <c r="AM166" s="41" t="n"/>
      <c r="AN166" s="41" t="n"/>
      <c r="AO166" s="41" t="n"/>
      <c r="AP166" s="41" t="n"/>
      <c r="AQ166" s="41" t="n"/>
      <c r="AR166" s="41" t="n"/>
      <c r="AS166" s="41" t="n"/>
      <c r="AT166" s="41" t="n"/>
    </row>
    <row r="167" outlineLevel="2">
      <c r="A167" s="8" t="n"/>
      <c r="B167" s="14" t="n"/>
      <c r="C167" s="41" t="n"/>
      <c r="D167" s="116" t="inlineStr">
        <is>
          <t>Anotações</t>
        </is>
      </c>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c r="AA167" s="16" t="n"/>
      <c r="AB167" s="16" t="n"/>
      <c r="AC167" s="16" t="n"/>
      <c r="AD167" s="16" t="n"/>
      <c r="AE167" s="16" t="n"/>
      <c r="AF167" s="16" t="n"/>
      <c r="AG167" s="16" t="n"/>
      <c r="AH167" s="16" t="n"/>
      <c r="AI167" s="16" t="n"/>
      <c r="AJ167" s="16" t="n"/>
      <c r="AK167" s="16" t="n"/>
      <c r="AL167" s="16" t="n"/>
      <c r="AM167" s="16" t="n"/>
      <c r="AN167" s="16" t="n"/>
      <c r="AO167" s="16" t="n"/>
      <c r="AP167" s="16" t="n"/>
      <c r="AQ167" s="16" t="n"/>
      <c r="AR167" s="16" t="n"/>
      <c r="AS167" s="16" t="n"/>
      <c r="AT167" s="17" t="n"/>
    </row>
    <row r="168" outlineLevel="3">
      <c r="A168" s="8" t="n"/>
      <c r="B168" s="14" t="n"/>
      <c r="C168" s="41" t="n"/>
      <c r="D168" s="119" t="n"/>
      <c r="E168" s="19" t="n"/>
      <c r="F168" s="19" t="n"/>
      <c r="G168" s="19" t="n"/>
      <c r="H168" s="19" t="n"/>
      <c r="I168" s="19" t="n"/>
      <c r="J168" s="19" t="n"/>
      <c r="K168" s="19" t="n"/>
      <c r="L168" s="19" t="n"/>
      <c r="M168" s="19" t="n"/>
      <c r="N168" s="19" t="n"/>
      <c r="O168" s="19" t="n"/>
      <c r="P168" s="19" t="n"/>
      <c r="Q168" s="19" t="n"/>
      <c r="R168" s="19" t="n"/>
      <c r="S168" s="19" t="n"/>
      <c r="T168" s="19" t="n"/>
      <c r="U168" s="19" t="n"/>
      <c r="V168" s="19" t="n"/>
      <c r="W168" s="19" t="n"/>
      <c r="X168" s="19" t="n"/>
      <c r="Y168" s="19" t="n"/>
      <c r="Z168" s="19" t="n"/>
      <c r="AA168" s="19" t="n"/>
      <c r="AB168" s="19" t="n"/>
      <c r="AC168" s="19" t="n"/>
      <c r="AD168" s="19" t="n"/>
      <c r="AE168" s="19" t="n"/>
      <c r="AF168" s="19" t="n"/>
      <c r="AG168" s="19" t="n"/>
      <c r="AH168" s="19" t="n"/>
      <c r="AI168" s="19" t="n"/>
      <c r="AJ168" s="19" t="n"/>
      <c r="AK168" s="19" t="n"/>
      <c r="AL168" s="19" t="n"/>
      <c r="AM168" s="19" t="n"/>
      <c r="AN168" s="19" t="n"/>
      <c r="AO168" s="19" t="n"/>
      <c r="AP168" s="19" t="n"/>
      <c r="AQ168" s="19" t="n"/>
      <c r="AR168" s="19" t="n"/>
      <c r="AS168" s="19" t="n"/>
      <c r="AT168" s="20" t="n"/>
    </row>
    <row r="169" outlineLevel="3">
      <c r="A169" s="8" t="n"/>
      <c r="B169" s="14" t="n"/>
      <c r="C169" s="41" t="n"/>
      <c r="D169" s="21" t="n"/>
      <c r="AT169" s="22" t="n"/>
    </row>
    <row r="170" outlineLevel="3">
      <c r="A170" s="8" t="n"/>
      <c r="B170" s="14" t="n"/>
      <c r="C170" s="41" t="n"/>
      <c r="D170" s="21" t="n"/>
      <c r="AT170" s="22" t="n"/>
    </row>
    <row r="171" outlineLevel="3">
      <c r="A171" s="8" t="n"/>
      <c r="B171" s="14" t="n"/>
      <c r="C171" s="41" t="n"/>
      <c r="D171" s="23" t="n"/>
      <c r="E171" s="24" t="n"/>
      <c r="F171" s="24" t="n"/>
      <c r="G171" s="24" t="n"/>
      <c r="H171" s="24" t="n"/>
      <c r="I171" s="24" t="n"/>
      <c r="J171" s="24" t="n"/>
      <c r="K171" s="24" t="n"/>
      <c r="L171" s="24" t="n"/>
      <c r="M171" s="24" t="n"/>
      <c r="N171" s="24" t="n"/>
      <c r="O171" s="24" t="n"/>
      <c r="P171" s="24" t="n"/>
      <c r="Q171" s="24" t="n"/>
      <c r="R171" s="24" t="n"/>
      <c r="S171" s="24" t="n"/>
      <c r="T171" s="24" t="n"/>
      <c r="U171" s="24" t="n"/>
      <c r="V171" s="24" t="n"/>
      <c r="W171" s="24" t="n"/>
      <c r="X171" s="24" t="n"/>
      <c r="Y171" s="24" t="n"/>
      <c r="Z171" s="24" t="n"/>
      <c r="AA171" s="24" t="n"/>
      <c r="AB171" s="24" t="n"/>
      <c r="AC171" s="24" t="n"/>
      <c r="AD171" s="24" t="n"/>
      <c r="AE171" s="24" t="n"/>
      <c r="AF171" s="24" t="n"/>
      <c r="AG171" s="24" t="n"/>
      <c r="AH171" s="24" t="n"/>
      <c r="AI171" s="24" t="n"/>
      <c r="AJ171" s="24" t="n"/>
      <c r="AK171" s="24" t="n"/>
      <c r="AL171" s="24" t="n"/>
      <c r="AM171" s="24" t="n"/>
      <c r="AN171" s="24" t="n"/>
      <c r="AO171" s="24" t="n"/>
      <c r="AP171" s="24" t="n"/>
      <c r="AQ171" s="24" t="n"/>
      <c r="AR171" s="24" t="n"/>
      <c r="AS171" s="24" t="n"/>
      <c r="AT171" s="25" t="n"/>
    </row>
    <row r="172" outlineLevel="2">
      <c r="A172" s="8" t="n"/>
      <c r="B172" s="14" t="n"/>
      <c r="C172" s="41" t="n"/>
      <c r="D172" s="41" t="n"/>
      <c r="E172" s="41" t="n"/>
      <c r="F172" s="41" t="n"/>
      <c r="G172" s="41" t="n"/>
      <c r="H172" s="41" t="n"/>
      <c r="I172" s="41" t="n"/>
      <c r="J172" s="41" t="n"/>
      <c r="K172" s="41" t="n"/>
      <c r="L172" s="41" t="n"/>
      <c r="M172" s="41" t="n"/>
      <c r="N172" s="41" t="n"/>
      <c r="O172" s="41" t="n"/>
      <c r="P172" s="41" t="n"/>
      <c r="Q172" s="41" t="n"/>
      <c r="R172" s="41" t="n"/>
      <c r="S172" s="41" t="n"/>
      <c r="T172" s="41" t="n"/>
      <c r="U172" s="41" t="n"/>
      <c r="V172" s="41" t="n"/>
      <c r="W172" s="41" t="n"/>
      <c r="X172" s="41" t="n"/>
      <c r="Y172" s="41" t="n"/>
      <c r="Z172" s="41" t="n"/>
      <c r="AA172" s="41" t="n"/>
      <c r="AB172" s="41" t="n"/>
      <c r="AC172" s="41" t="n"/>
      <c r="AD172" s="41" t="n"/>
      <c r="AE172" s="41" t="n"/>
      <c r="AF172" s="41" t="n"/>
      <c r="AG172" s="41" t="n"/>
      <c r="AH172" s="41" t="n"/>
      <c r="AI172" s="41" t="n"/>
      <c r="AJ172" s="41" t="n"/>
      <c r="AK172" s="41" t="n"/>
      <c r="AL172" s="41" t="n"/>
      <c r="AM172" s="41" t="n"/>
      <c r="AN172" s="41" t="n"/>
      <c r="AO172" s="41" t="n"/>
      <c r="AP172" s="41" t="n"/>
      <c r="AQ172" s="41" t="n"/>
      <c r="AR172" s="41" t="n"/>
      <c r="AS172" s="41" t="n"/>
      <c r="AT172" s="41" t="n"/>
    </row>
    <row r="173" ht="27" customHeight="1">
      <c r="A173" s="8" t="n"/>
      <c r="B173" s="14" t="n"/>
      <c r="C173" s="41" t="n"/>
      <c r="D173" s="66" t="n">
        <v>8</v>
      </c>
      <c r="E173" s="19" t="n"/>
      <c r="F173" s="20" t="n"/>
      <c r="G173" s="93">
        <f>DADOS_AM!$KQ$2</f>
        <v/>
      </c>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c r="AA173" s="16" t="n"/>
      <c r="AB173" s="16" t="n"/>
      <c r="AC173" s="16" t="n"/>
      <c r="AD173" s="16" t="n"/>
      <c r="AE173" s="16" t="n"/>
      <c r="AF173" s="16" t="n"/>
      <c r="AG173" s="16" t="n"/>
      <c r="AH173" s="17" t="n"/>
      <c r="AI173" s="41" t="n"/>
      <c r="AJ173" s="41" t="n"/>
      <c r="AK173" s="41" t="n"/>
      <c r="AL173" s="41" t="n"/>
      <c r="AM173" s="41" t="n"/>
      <c r="AN173" s="41" t="n"/>
      <c r="AO173" s="41" t="n"/>
      <c r="AP173" s="41" t="n"/>
      <c r="AQ173" s="41" t="n"/>
      <c r="AR173" s="41" t="n"/>
      <c r="AS173" s="41" t="n"/>
      <c r="AT173" s="41" t="n"/>
    </row>
    <row r="174">
      <c r="A174" s="8" t="n"/>
      <c r="B174" s="14" t="n"/>
      <c r="C174" s="41" t="n"/>
      <c r="D174" s="23" t="n"/>
      <c r="E174" s="24" t="n"/>
      <c r="F174" s="25" t="n"/>
      <c r="G174" s="41" t="n"/>
      <c r="H174" s="41" t="n"/>
      <c r="I174" s="41" t="n"/>
      <c r="J174" s="41" t="n"/>
      <c r="K174" s="41" t="n"/>
      <c r="L174" s="41" t="n"/>
      <c r="M174" s="41" t="n"/>
      <c r="N174" s="41" t="n"/>
      <c r="O174" s="41" t="n"/>
      <c r="P174" s="41" t="n"/>
      <c r="Q174" s="41" t="n"/>
      <c r="R174" s="41" t="n"/>
      <c r="S174" s="41" t="n"/>
      <c r="T174" s="41" t="n"/>
      <c r="U174" s="41" t="n"/>
      <c r="V174" s="41" t="n"/>
      <c r="W174" s="41" t="n"/>
      <c r="X174" s="41" t="n"/>
      <c r="Y174" s="41" t="n"/>
      <c r="Z174" s="41" t="n"/>
      <c r="AA174" s="41" t="n"/>
      <c r="AB174" s="41" t="n"/>
      <c r="AC174" s="41" t="n"/>
      <c r="AD174" s="41" t="n"/>
      <c r="AE174" s="41" t="n"/>
      <c r="AF174" s="41" t="n"/>
      <c r="AG174" s="41" t="n"/>
      <c r="AH174" s="41" t="n"/>
      <c r="AI174" s="41" t="n"/>
      <c r="AJ174" s="41" t="n"/>
      <c r="AK174" s="41" t="n"/>
      <c r="AL174" s="41" t="n"/>
      <c r="AM174" s="41" t="n"/>
      <c r="AN174" s="41" t="n"/>
      <c r="AO174" s="41" t="n"/>
      <c r="AP174" s="41" t="n"/>
      <c r="AQ174" s="41" t="n"/>
      <c r="AR174" s="41" t="n"/>
      <c r="AS174" s="41" t="n"/>
      <c r="AT174" s="41" t="n"/>
    </row>
    <row r="175">
      <c r="A175" s="8" t="n"/>
      <c r="B175" s="14" t="n"/>
      <c r="C175" s="41" t="n"/>
      <c r="D175" s="41" t="n"/>
      <c r="E175" s="41" t="n"/>
      <c r="F175" s="41" t="n"/>
      <c r="G175" s="41" t="n"/>
      <c r="H175" s="41" t="n"/>
      <c r="I175" s="41" t="n"/>
      <c r="J175" s="41" t="n"/>
      <c r="K175" s="41" t="n"/>
      <c r="L175" s="41" t="n"/>
      <c r="M175" s="41" t="n"/>
      <c r="N175" s="41" t="n"/>
      <c r="O175" s="41" t="n"/>
      <c r="P175" s="41" t="n"/>
      <c r="Q175" s="41" t="n"/>
      <c r="R175" s="41" t="n"/>
      <c r="S175" s="41" t="n"/>
      <c r="T175" s="41" t="n"/>
      <c r="U175" s="41" t="n"/>
      <c r="V175" s="41" t="n"/>
      <c r="W175" s="41" t="n"/>
      <c r="X175" s="41" t="n"/>
      <c r="Y175" s="41" t="n"/>
      <c r="Z175" s="41" t="n"/>
      <c r="AA175" s="41" t="n"/>
      <c r="AB175" s="41" t="n"/>
      <c r="AC175" s="41" t="n"/>
      <c r="AD175" s="41" t="n"/>
      <c r="AE175" s="41" t="n"/>
      <c r="AF175" s="41" t="n"/>
      <c r="AG175" s="41" t="n"/>
      <c r="AH175" s="41" t="n"/>
      <c r="AI175" s="41" t="n"/>
      <c r="AJ175" s="41" t="n"/>
      <c r="AK175" s="41" t="n"/>
      <c r="AL175" s="41" t="n"/>
      <c r="AM175" s="41" t="n"/>
      <c r="AN175" s="41" t="n"/>
      <c r="AO175" s="41" t="n"/>
      <c r="AP175" s="41" t="n"/>
      <c r="AQ175" s="41" t="n"/>
      <c r="AR175" s="41" t="n"/>
      <c r="AS175" s="41" t="n"/>
      <c r="AT175" s="41" t="n"/>
    </row>
    <row r="176" outlineLevel="1">
      <c r="A176" s="8" t="n"/>
      <c r="B176" s="14" t="n"/>
      <c r="C176" s="41" t="n"/>
      <c r="D176" s="116">
        <f>DADOS_AM!$KQ$3</f>
        <v/>
      </c>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c r="AA176" s="16" t="n"/>
      <c r="AB176" s="16" t="n"/>
      <c r="AC176" s="16" t="n"/>
      <c r="AD176" s="16" t="n"/>
      <c r="AE176" s="16" t="n"/>
      <c r="AF176" s="16" t="n"/>
      <c r="AG176" s="16" t="n"/>
      <c r="AH176" s="16" t="n"/>
      <c r="AI176" s="16" t="n"/>
      <c r="AJ176" s="16" t="n"/>
      <c r="AK176" s="16" t="n"/>
      <c r="AL176" s="16" t="n"/>
      <c r="AM176" s="16" t="n"/>
      <c r="AN176" s="16" t="n"/>
      <c r="AO176" s="16" t="n"/>
      <c r="AP176" s="16" t="n"/>
      <c r="AQ176" s="16" t="n"/>
      <c r="AR176" s="16" t="n"/>
      <c r="AS176" s="16" t="n"/>
      <c r="AT176" s="17" t="n"/>
    </row>
    <row r="177" outlineLevel="3">
      <c r="A177" s="8" t="n"/>
      <c r="B177" s="14" t="n"/>
      <c r="C177" s="41" t="n"/>
      <c r="D177" s="120">
        <f>DADOS_AM!$JH$2</f>
        <v/>
      </c>
      <c r="E177" s="17" t="n"/>
      <c r="F177" s="118">
        <f>DADOS_AM!$JI$2</f>
        <v/>
      </c>
      <c r="G177" s="16" t="n"/>
      <c r="H177" s="16" t="n"/>
      <c r="I177" s="16" t="n"/>
      <c r="J177" s="16" t="n"/>
      <c r="K177" s="16" t="n"/>
      <c r="L177" s="16" t="n"/>
      <c r="M177" s="16" t="n"/>
      <c r="N177" s="16" t="n"/>
      <c r="O177" s="16" t="n"/>
      <c r="P177" s="17" t="n"/>
      <c r="Q177" s="41" t="n"/>
      <c r="R177" s="41" t="n"/>
      <c r="S177" s="120">
        <f>DADOS_AM!$JH$3</f>
        <v/>
      </c>
      <c r="T177" s="17" t="n"/>
      <c r="U177" s="118">
        <f>DADOS_AM!$JI$3</f>
        <v/>
      </c>
      <c r="V177" s="16" t="n"/>
      <c r="W177" s="16" t="n"/>
      <c r="X177" s="16" t="n"/>
      <c r="Y177" s="16" t="n"/>
      <c r="Z177" s="16" t="n"/>
      <c r="AA177" s="16" t="n"/>
      <c r="AB177" s="16" t="n"/>
      <c r="AC177" s="16" t="n"/>
      <c r="AD177" s="16" t="n"/>
      <c r="AE177" s="17" t="n"/>
      <c r="AF177" s="41" t="n"/>
      <c r="AG177" s="41" t="n"/>
      <c r="AH177" s="120">
        <f>DADOS_AM!$JH$4</f>
        <v/>
      </c>
      <c r="AI177" s="17" t="n"/>
      <c r="AJ177" s="118">
        <f>DADOS_AM!$JI$4</f>
        <v/>
      </c>
      <c r="AK177" s="16" t="n"/>
      <c r="AL177" s="16" t="n"/>
      <c r="AM177" s="16" t="n"/>
      <c r="AN177" s="16" t="n"/>
      <c r="AO177" s="16" t="n"/>
      <c r="AP177" s="16" t="n"/>
      <c r="AQ177" s="16" t="n"/>
      <c r="AR177" s="16" t="n"/>
      <c r="AS177" s="16" t="n"/>
      <c r="AT177" s="17" t="n"/>
    </row>
    <row r="178" outlineLevel="3">
      <c r="A178" s="8" t="n"/>
      <c r="B178" s="14" t="n"/>
      <c r="C178" s="41" t="n"/>
      <c r="D178" s="121">
        <f>DADOS_AM!$JJ$2</f>
        <v/>
      </c>
      <c r="E178" s="16" t="n"/>
      <c r="F178" s="17" t="n"/>
      <c r="G178" s="121">
        <f>DADOS_AM!$JK$2</f>
        <v/>
      </c>
      <c r="H178" s="16" t="n"/>
      <c r="I178" s="16" t="n"/>
      <c r="J178" s="17" t="n"/>
      <c r="K178" s="121">
        <f>DADOS_AM!$JL$2</f>
        <v/>
      </c>
      <c r="L178" s="16" t="n"/>
      <c r="M178" s="16" t="n"/>
      <c r="N178" s="16" t="n"/>
      <c r="O178" s="16" t="n"/>
      <c r="P178" s="17" t="n"/>
      <c r="Q178" s="41" t="n"/>
      <c r="R178" s="41" t="n"/>
      <c r="S178" s="121">
        <f>DADOS_AM!$JJ$3</f>
        <v/>
      </c>
      <c r="T178" s="16" t="n"/>
      <c r="U178" s="17" t="n"/>
      <c r="V178" s="121">
        <f>DADOS_AM!$JK$3</f>
        <v/>
      </c>
      <c r="W178" s="16" t="n"/>
      <c r="X178" s="16" t="n"/>
      <c r="Y178" s="17" t="n"/>
      <c r="Z178" s="121">
        <f>DADOS_AM!$JL$3</f>
        <v/>
      </c>
      <c r="AA178" s="16" t="n"/>
      <c r="AB178" s="16" t="n"/>
      <c r="AC178" s="16" t="n"/>
      <c r="AD178" s="16" t="n"/>
      <c r="AE178" s="17" t="n"/>
      <c r="AF178" s="41" t="n"/>
      <c r="AG178" s="41" t="n"/>
      <c r="AH178" s="121">
        <f>DADOS_AM!$JJ$4</f>
        <v/>
      </c>
      <c r="AI178" s="16" t="n"/>
      <c r="AJ178" s="17" t="n"/>
      <c r="AK178" s="121">
        <f>DADOS_AM!$JK$4</f>
        <v/>
      </c>
      <c r="AL178" s="16" t="n"/>
      <c r="AM178" s="16" t="n"/>
      <c r="AN178" s="17" t="n"/>
      <c r="AO178" s="121">
        <f>DADOS_AM!$JL$4</f>
        <v/>
      </c>
      <c r="AP178" s="16" t="n"/>
      <c r="AQ178" s="16" t="n"/>
      <c r="AR178" s="16" t="n"/>
      <c r="AS178" s="16" t="n"/>
      <c r="AT178" s="17" t="n"/>
    </row>
    <row r="179" outlineLevel="4">
      <c r="A179" s="8" t="n"/>
      <c r="B179" s="14" t="n"/>
      <c r="C179" s="41" t="n"/>
      <c r="D179" s="119">
        <f>DADOS_AM!$JM$2</f>
        <v/>
      </c>
      <c r="E179" s="19" t="n"/>
      <c r="F179" s="19" t="n"/>
      <c r="G179" s="19" t="n"/>
      <c r="H179" s="19" t="n"/>
      <c r="I179" s="19" t="n"/>
      <c r="J179" s="19" t="n"/>
      <c r="K179" s="19" t="n"/>
      <c r="L179" s="19" t="n"/>
      <c r="M179" s="19" t="n"/>
      <c r="N179" s="19" t="n"/>
      <c r="O179" s="19" t="n"/>
      <c r="P179" s="20" t="n"/>
      <c r="Q179" s="41" t="n"/>
      <c r="R179" s="41" t="n"/>
      <c r="S179" s="119">
        <f>DADOS_AM!$JM$3</f>
        <v/>
      </c>
      <c r="T179" s="19" t="n"/>
      <c r="U179" s="19" t="n"/>
      <c r="V179" s="19" t="n"/>
      <c r="W179" s="19" t="n"/>
      <c r="X179" s="19" t="n"/>
      <c r="Y179" s="19" t="n"/>
      <c r="Z179" s="19" t="n"/>
      <c r="AA179" s="19" t="n"/>
      <c r="AB179" s="19" t="n"/>
      <c r="AC179" s="19" t="n"/>
      <c r="AD179" s="19" t="n"/>
      <c r="AE179" s="20" t="n"/>
      <c r="AF179" s="41" t="n"/>
      <c r="AG179" s="41" t="n"/>
      <c r="AH179" s="119">
        <f>DADOS_AM!$JM$4</f>
        <v/>
      </c>
      <c r="AI179" s="19" t="n"/>
      <c r="AJ179" s="19" t="n"/>
      <c r="AK179" s="19" t="n"/>
      <c r="AL179" s="19" t="n"/>
      <c r="AM179" s="19" t="n"/>
      <c r="AN179" s="19" t="n"/>
      <c r="AO179" s="19" t="n"/>
      <c r="AP179" s="19" t="n"/>
      <c r="AQ179" s="19" t="n"/>
      <c r="AR179" s="19" t="n"/>
      <c r="AS179" s="19" t="n"/>
      <c r="AT179" s="20" t="n"/>
    </row>
    <row r="180" outlineLevel="4">
      <c r="A180" s="8" t="n"/>
      <c r="B180" s="14" t="n"/>
      <c r="C180" s="41" t="n"/>
      <c r="D180" s="21" t="n"/>
      <c r="P180" s="22" t="n"/>
      <c r="Q180" s="41" t="n"/>
      <c r="R180" s="41" t="n"/>
      <c r="S180" s="21" t="n"/>
      <c r="AE180" s="22" t="n"/>
      <c r="AF180" s="41" t="n"/>
      <c r="AG180" s="41" t="n"/>
      <c r="AH180" s="21" t="n"/>
      <c r="AT180" s="22" t="n"/>
    </row>
    <row r="181" outlineLevel="4">
      <c r="A181" s="8" t="n"/>
      <c r="B181" s="14" t="n"/>
      <c r="C181" s="41" t="n"/>
      <c r="D181" s="21" t="n"/>
      <c r="P181" s="22" t="n"/>
      <c r="Q181" s="41" t="n"/>
      <c r="R181" s="41" t="n"/>
      <c r="S181" s="21" t="n"/>
      <c r="AE181" s="22" t="n"/>
      <c r="AF181" s="41" t="n"/>
      <c r="AG181" s="41" t="n"/>
      <c r="AH181" s="21" t="n"/>
      <c r="AT181" s="22" t="n"/>
    </row>
    <row r="182" outlineLevel="4">
      <c r="A182" s="8" t="n"/>
      <c r="B182" s="14" t="n"/>
      <c r="C182" s="41" t="n"/>
      <c r="D182" s="21" t="n"/>
      <c r="P182" s="22" t="n"/>
      <c r="Q182" s="41" t="n"/>
      <c r="R182" s="41" t="n"/>
      <c r="S182" s="21" t="n"/>
      <c r="AE182" s="22" t="n"/>
      <c r="AF182" s="41" t="n"/>
      <c r="AG182" s="41" t="n"/>
      <c r="AH182" s="21" t="n"/>
      <c r="AT182" s="22" t="n"/>
    </row>
    <row r="183" outlineLevel="4">
      <c r="A183" s="8" t="n"/>
      <c r="B183" s="14" t="n"/>
      <c r="C183" s="41" t="n"/>
      <c r="D183" s="21" t="n"/>
      <c r="P183" s="22" t="n"/>
      <c r="Q183" s="41" t="n"/>
      <c r="R183" s="41" t="n"/>
      <c r="S183" s="21" t="n"/>
      <c r="AE183" s="22" t="n"/>
      <c r="AF183" s="41" t="n"/>
      <c r="AG183" s="41" t="n"/>
      <c r="AH183" s="21" t="n"/>
      <c r="AT183" s="22" t="n"/>
    </row>
    <row r="184" outlineLevel="4">
      <c r="A184" s="8" t="n"/>
      <c r="B184" s="14" t="n"/>
      <c r="C184" s="41" t="n"/>
      <c r="D184" s="21" t="n"/>
      <c r="P184" s="22" t="n"/>
      <c r="Q184" s="41" t="n"/>
      <c r="R184" s="41" t="n"/>
      <c r="S184" s="21" t="n"/>
      <c r="AE184" s="22" t="n"/>
      <c r="AF184" s="41" t="n"/>
      <c r="AG184" s="41" t="n"/>
      <c r="AH184" s="21" t="n"/>
      <c r="AT184" s="22" t="n"/>
    </row>
    <row r="185" outlineLevel="4">
      <c r="A185" s="8" t="n"/>
      <c r="B185" s="14" t="n"/>
      <c r="C185" s="41" t="n"/>
      <c r="D185" s="23" t="n"/>
      <c r="E185" s="24" t="n"/>
      <c r="F185" s="24" t="n"/>
      <c r="G185" s="24" t="n"/>
      <c r="H185" s="24" t="n"/>
      <c r="I185" s="24" t="n"/>
      <c r="J185" s="24" t="n"/>
      <c r="K185" s="24" t="n"/>
      <c r="L185" s="24" t="n"/>
      <c r="M185" s="24" t="n"/>
      <c r="N185" s="24" t="n"/>
      <c r="O185" s="24" t="n"/>
      <c r="P185" s="25" t="n"/>
      <c r="Q185" s="41" t="n"/>
      <c r="R185" s="41" t="n"/>
      <c r="S185" s="23" t="n"/>
      <c r="T185" s="24" t="n"/>
      <c r="U185" s="24" t="n"/>
      <c r="V185" s="24" t="n"/>
      <c r="W185" s="24" t="n"/>
      <c r="X185" s="24" t="n"/>
      <c r="Y185" s="24" t="n"/>
      <c r="Z185" s="24" t="n"/>
      <c r="AA185" s="24" t="n"/>
      <c r="AB185" s="24" t="n"/>
      <c r="AC185" s="24" t="n"/>
      <c r="AD185" s="24" t="n"/>
      <c r="AE185" s="25" t="n"/>
      <c r="AF185" s="41" t="n"/>
      <c r="AG185" s="41" t="n"/>
      <c r="AH185" s="23" t="n"/>
      <c r="AI185" s="24" t="n"/>
      <c r="AJ185" s="24" t="n"/>
      <c r="AK185" s="24" t="n"/>
      <c r="AL185" s="24" t="n"/>
      <c r="AM185" s="24" t="n"/>
      <c r="AN185" s="24" t="n"/>
      <c r="AO185" s="24" t="n"/>
      <c r="AP185" s="24" t="n"/>
      <c r="AQ185" s="24" t="n"/>
      <c r="AR185" s="24" t="n"/>
      <c r="AS185" s="24" t="n"/>
      <c r="AT185" s="25" t="n"/>
    </row>
    <row r="186" outlineLevel="3">
      <c r="A186" s="8" t="n"/>
      <c r="B186" s="14" t="n"/>
      <c r="C186" s="41" t="n"/>
      <c r="D186" s="41" t="n"/>
      <c r="E186" s="41" t="n"/>
      <c r="F186" s="41" t="n"/>
      <c r="G186" s="41" t="n"/>
      <c r="H186" s="41" t="n"/>
      <c r="I186" s="41" t="n"/>
      <c r="J186" s="41" t="n"/>
      <c r="K186" s="41" t="n"/>
      <c r="L186" s="41" t="n"/>
      <c r="M186" s="41" t="n"/>
      <c r="N186" s="41" t="n"/>
      <c r="O186" s="41" t="n"/>
      <c r="P186" s="41" t="n"/>
      <c r="Q186" s="41" t="n"/>
      <c r="R186" s="41" t="n"/>
      <c r="S186" s="41" t="n"/>
      <c r="T186" s="41" t="n"/>
      <c r="U186" s="41" t="n"/>
      <c r="V186" s="41" t="n"/>
      <c r="W186" s="41" t="n"/>
      <c r="X186" s="41" t="n"/>
      <c r="Y186" s="41" t="n"/>
      <c r="Z186" s="41" t="n"/>
      <c r="AA186" s="41" t="n"/>
      <c r="AB186" s="41" t="n"/>
      <c r="AC186" s="41" t="n"/>
      <c r="AD186" s="41" t="n"/>
      <c r="AE186" s="41" t="n"/>
      <c r="AF186" s="41" t="n"/>
      <c r="AG186" s="41" t="n"/>
      <c r="AH186" s="41" t="n"/>
      <c r="AI186" s="41" t="n"/>
      <c r="AJ186" s="41" t="n"/>
      <c r="AK186" s="41" t="n"/>
      <c r="AL186" s="41" t="n"/>
      <c r="AM186" s="41" t="n"/>
      <c r="AN186" s="41" t="n"/>
      <c r="AO186" s="41" t="n"/>
      <c r="AP186" s="41" t="n"/>
      <c r="AQ186" s="41" t="n"/>
      <c r="AR186" s="41" t="n"/>
      <c r="AS186" s="41" t="n"/>
      <c r="AT186" s="41" t="n"/>
    </row>
    <row r="187" outlineLevel="3">
      <c r="A187" s="8" t="n"/>
      <c r="B187" s="14" t="n"/>
      <c r="C187" s="41" t="n"/>
      <c r="D187" s="120">
        <f>DADOS_AM!$JH$5</f>
        <v/>
      </c>
      <c r="E187" s="17" t="n"/>
      <c r="F187" s="118">
        <f>DADOS_AM!$JI$5</f>
        <v/>
      </c>
      <c r="G187" s="16" t="n"/>
      <c r="H187" s="16" t="n"/>
      <c r="I187" s="16" t="n"/>
      <c r="J187" s="16" t="n"/>
      <c r="K187" s="16" t="n"/>
      <c r="L187" s="16" t="n"/>
      <c r="M187" s="16" t="n"/>
      <c r="N187" s="16" t="n"/>
      <c r="O187" s="16" t="n"/>
      <c r="P187" s="17" t="n"/>
      <c r="Q187" s="41" t="n"/>
      <c r="R187" s="41" t="n"/>
      <c r="S187" s="120">
        <f>DADOS_AM!$JH$6</f>
        <v/>
      </c>
      <c r="T187" s="17" t="n"/>
      <c r="U187" s="118">
        <f>DADOS_AM!$JI$6</f>
        <v/>
      </c>
      <c r="V187" s="16" t="n"/>
      <c r="W187" s="16" t="n"/>
      <c r="X187" s="16" t="n"/>
      <c r="Y187" s="16" t="n"/>
      <c r="Z187" s="16" t="n"/>
      <c r="AA187" s="16" t="n"/>
      <c r="AB187" s="16" t="n"/>
      <c r="AC187" s="16" t="n"/>
      <c r="AD187" s="16" t="n"/>
      <c r="AE187" s="17" t="n"/>
      <c r="AF187" s="41" t="n"/>
      <c r="AG187" s="41" t="n"/>
      <c r="AH187" s="120">
        <f>DADOS_AM!$JH$7</f>
        <v/>
      </c>
      <c r="AI187" s="17" t="n"/>
      <c r="AJ187" s="118">
        <f>DADOS_AM!$JI$7</f>
        <v/>
      </c>
      <c r="AK187" s="16" t="n"/>
      <c r="AL187" s="16" t="n"/>
      <c r="AM187" s="16" t="n"/>
      <c r="AN187" s="16" t="n"/>
      <c r="AO187" s="16" t="n"/>
      <c r="AP187" s="16" t="n"/>
      <c r="AQ187" s="16" t="n"/>
      <c r="AR187" s="16" t="n"/>
      <c r="AS187" s="16" t="n"/>
      <c r="AT187" s="17" t="n"/>
    </row>
    <row r="188" outlineLevel="3">
      <c r="A188" s="8" t="n"/>
      <c r="B188" s="14" t="n"/>
      <c r="C188" s="41" t="n"/>
      <c r="D188" s="121">
        <f>DADOS_AM!$JJ$5</f>
        <v/>
      </c>
      <c r="E188" s="16" t="n"/>
      <c r="F188" s="17" t="n"/>
      <c r="G188" s="121">
        <f>DADOS_AM!$JK$5</f>
        <v/>
      </c>
      <c r="H188" s="16" t="n"/>
      <c r="I188" s="16" t="n"/>
      <c r="J188" s="17" t="n"/>
      <c r="K188" s="121">
        <f>DADOS_AM!$JL$5</f>
        <v/>
      </c>
      <c r="L188" s="16" t="n"/>
      <c r="M188" s="16" t="n"/>
      <c r="N188" s="16" t="n"/>
      <c r="O188" s="16" t="n"/>
      <c r="P188" s="17" t="n"/>
      <c r="Q188" s="41" t="n"/>
      <c r="R188" s="41" t="n"/>
      <c r="S188" s="121">
        <f>DADOS_AM!$JJ$6</f>
        <v/>
      </c>
      <c r="T188" s="16" t="n"/>
      <c r="U188" s="17" t="n"/>
      <c r="V188" s="121">
        <f>DADOS_AM!$JK$6</f>
        <v/>
      </c>
      <c r="W188" s="16" t="n"/>
      <c r="X188" s="16" t="n"/>
      <c r="Y188" s="17" t="n"/>
      <c r="Z188" s="121">
        <f>DADOS_AM!$JL$6</f>
        <v/>
      </c>
      <c r="AA188" s="16" t="n"/>
      <c r="AB188" s="16" t="n"/>
      <c r="AC188" s="16" t="n"/>
      <c r="AD188" s="16" t="n"/>
      <c r="AE188" s="17" t="n"/>
      <c r="AF188" s="41" t="n"/>
      <c r="AG188" s="41" t="n"/>
      <c r="AH188" s="121">
        <f>DADOS_AM!$JJ$7</f>
        <v/>
      </c>
      <c r="AI188" s="16" t="n"/>
      <c r="AJ188" s="17" t="n"/>
      <c r="AK188" s="121">
        <f>DADOS_AM!$JK$7</f>
        <v/>
      </c>
      <c r="AL188" s="16" t="n"/>
      <c r="AM188" s="16" t="n"/>
      <c r="AN188" s="17" t="n"/>
      <c r="AO188" s="121">
        <f>DADOS_AM!$JL$7</f>
        <v/>
      </c>
      <c r="AP188" s="16" t="n"/>
      <c r="AQ188" s="16" t="n"/>
      <c r="AR188" s="16" t="n"/>
      <c r="AS188" s="16" t="n"/>
      <c r="AT188" s="17" t="n"/>
    </row>
    <row r="189" hidden="1" outlineLevel="4">
      <c r="A189" s="8" t="n"/>
      <c r="B189" s="14" t="n"/>
      <c r="C189" s="41" t="n"/>
      <c r="D189" s="119">
        <f>DADOS_AM!$JM$5</f>
        <v/>
      </c>
      <c r="E189" s="19" t="n"/>
      <c r="F189" s="19" t="n"/>
      <c r="G189" s="19" t="n"/>
      <c r="H189" s="19" t="n"/>
      <c r="I189" s="19" t="n"/>
      <c r="J189" s="19" t="n"/>
      <c r="K189" s="19" t="n"/>
      <c r="L189" s="19" t="n"/>
      <c r="M189" s="19" t="n"/>
      <c r="N189" s="19" t="n"/>
      <c r="O189" s="19" t="n"/>
      <c r="P189" s="20" t="n"/>
      <c r="Q189" s="41" t="n"/>
      <c r="R189" s="41" t="n"/>
      <c r="S189" s="119">
        <f>DADOS_AM!$JM$6</f>
        <v/>
      </c>
      <c r="T189" s="19" t="n"/>
      <c r="U189" s="19" t="n"/>
      <c r="V189" s="19" t="n"/>
      <c r="W189" s="19" t="n"/>
      <c r="X189" s="19" t="n"/>
      <c r="Y189" s="19" t="n"/>
      <c r="Z189" s="19" t="n"/>
      <c r="AA189" s="19" t="n"/>
      <c r="AB189" s="19" t="n"/>
      <c r="AC189" s="19" t="n"/>
      <c r="AD189" s="19" t="n"/>
      <c r="AE189" s="20" t="n"/>
      <c r="AF189" s="41" t="n"/>
      <c r="AG189" s="41" t="n"/>
      <c r="AH189" s="119">
        <f>DADOS_AM!$JM$7</f>
        <v/>
      </c>
      <c r="AI189" s="19" t="n"/>
      <c r="AJ189" s="19" t="n"/>
      <c r="AK189" s="19" t="n"/>
      <c r="AL189" s="19" t="n"/>
      <c r="AM189" s="19" t="n"/>
      <c r="AN189" s="19" t="n"/>
      <c r="AO189" s="19" t="n"/>
      <c r="AP189" s="19" t="n"/>
      <c r="AQ189" s="19" t="n"/>
      <c r="AR189" s="19" t="n"/>
      <c r="AS189" s="19" t="n"/>
      <c r="AT189" s="20" t="n"/>
    </row>
    <row r="190" hidden="1" outlineLevel="4">
      <c r="A190" s="8" t="n"/>
      <c r="B190" s="14" t="n"/>
      <c r="C190" s="41" t="n"/>
      <c r="D190" s="21" t="n"/>
      <c r="P190" s="22" t="n"/>
      <c r="Q190" s="41" t="n"/>
      <c r="R190" s="41" t="n"/>
      <c r="S190" s="21" t="n"/>
      <c r="AE190" s="22" t="n"/>
      <c r="AF190" s="41" t="n"/>
      <c r="AG190" s="41" t="n"/>
      <c r="AH190" s="21" t="n"/>
      <c r="AT190" s="22" t="n"/>
    </row>
    <row r="191" hidden="1" outlineLevel="4">
      <c r="A191" s="8" t="n"/>
      <c r="B191" s="14" t="n"/>
      <c r="C191" s="41" t="n"/>
      <c r="D191" s="21" t="n"/>
      <c r="P191" s="22" t="n"/>
      <c r="Q191" s="41" t="n"/>
      <c r="R191" s="41" t="n"/>
      <c r="S191" s="21" t="n"/>
      <c r="AE191" s="22" t="n"/>
      <c r="AF191" s="41" t="n"/>
      <c r="AG191" s="41" t="n"/>
      <c r="AH191" s="21" t="n"/>
      <c r="AT191" s="22" t="n"/>
    </row>
    <row r="192" hidden="1" outlineLevel="4">
      <c r="A192" s="8" t="n"/>
      <c r="B192" s="14" t="n"/>
      <c r="C192" s="41" t="n"/>
      <c r="D192" s="21" t="n"/>
      <c r="P192" s="22" t="n"/>
      <c r="Q192" s="41" t="n"/>
      <c r="R192" s="41" t="n"/>
      <c r="S192" s="21" t="n"/>
      <c r="AE192" s="22" t="n"/>
      <c r="AF192" s="41" t="n"/>
      <c r="AG192" s="41" t="n"/>
      <c r="AH192" s="21" t="n"/>
      <c r="AT192" s="22" t="n"/>
    </row>
    <row r="193" hidden="1" outlineLevel="4">
      <c r="A193" s="8" t="n"/>
      <c r="B193" s="14" t="n"/>
      <c r="C193" s="41" t="n"/>
      <c r="D193" s="21" t="n"/>
      <c r="P193" s="22" t="n"/>
      <c r="Q193" s="41" t="n"/>
      <c r="R193" s="41" t="n"/>
      <c r="S193" s="21" t="n"/>
      <c r="AE193" s="22" t="n"/>
      <c r="AF193" s="41" t="n"/>
      <c r="AG193" s="41" t="n"/>
      <c r="AH193" s="21" t="n"/>
      <c r="AT193" s="22" t="n"/>
    </row>
    <row r="194" hidden="1" outlineLevel="4">
      <c r="A194" s="8" t="n"/>
      <c r="B194" s="14" t="n"/>
      <c r="C194" s="41" t="n"/>
      <c r="D194" s="21" t="n"/>
      <c r="P194" s="22" t="n"/>
      <c r="Q194" s="41" t="n"/>
      <c r="R194" s="41" t="n"/>
      <c r="S194" s="21" t="n"/>
      <c r="AE194" s="22" t="n"/>
      <c r="AF194" s="41" t="n"/>
      <c r="AG194" s="41" t="n"/>
      <c r="AH194" s="21" t="n"/>
      <c r="AT194" s="22" t="n"/>
    </row>
    <row r="195" hidden="1" outlineLevel="4">
      <c r="A195" s="8" t="n"/>
      <c r="B195" s="14" t="n"/>
      <c r="C195" s="41" t="n"/>
      <c r="D195" s="23" t="n"/>
      <c r="E195" s="24" t="n"/>
      <c r="F195" s="24" t="n"/>
      <c r="G195" s="24" t="n"/>
      <c r="H195" s="24" t="n"/>
      <c r="I195" s="24" t="n"/>
      <c r="J195" s="24" t="n"/>
      <c r="K195" s="24" t="n"/>
      <c r="L195" s="24" t="n"/>
      <c r="M195" s="24" t="n"/>
      <c r="N195" s="24" t="n"/>
      <c r="O195" s="24" t="n"/>
      <c r="P195" s="25" t="n"/>
      <c r="Q195" s="41" t="n"/>
      <c r="R195" s="41" t="n"/>
      <c r="S195" s="23" t="n"/>
      <c r="T195" s="24" t="n"/>
      <c r="U195" s="24" t="n"/>
      <c r="V195" s="24" t="n"/>
      <c r="W195" s="24" t="n"/>
      <c r="X195" s="24" t="n"/>
      <c r="Y195" s="24" t="n"/>
      <c r="Z195" s="24" t="n"/>
      <c r="AA195" s="24" t="n"/>
      <c r="AB195" s="24" t="n"/>
      <c r="AC195" s="24" t="n"/>
      <c r="AD195" s="24" t="n"/>
      <c r="AE195" s="25" t="n"/>
      <c r="AF195" s="41" t="n"/>
      <c r="AG195" s="41" t="n"/>
      <c r="AH195" s="23" t="n"/>
      <c r="AI195" s="24" t="n"/>
      <c r="AJ195" s="24" t="n"/>
      <c r="AK195" s="24" t="n"/>
      <c r="AL195" s="24" t="n"/>
      <c r="AM195" s="24" t="n"/>
      <c r="AN195" s="24" t="n"/>
      <c r="AO195" s="24" t="n"/>
      <c r="AP195" s="24" t="n"/>
      <c r="AQ195" s="24" t="n"/>
      <c r="AR195" s="24" t="n"/>
      <c r="AS195" s="24" t="n"/>
      <c r="AT195" s="25" t="n"/>
    </row>
    <row r="196" outlineLevel="2">
      <c r="A196" s="8" t="n"/>
      <c r="B196" s="14" t="n"/>
      <c r="C196" s="41" t="n"/>
      <c r="D196" s="122">
        <f>DADOS_AM!$KQ$10</f>
        <v/>
      </c>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c r="AA196" s="16" t="n"/>
      <c r="AB196" s="16" t="n"/>
      <c r="AC196" s="16" t="n"/>
      <c r="AD196" s="16" t="n"/>
      <c r="AE196" s="16" t="n"/>
      <c r="AF196" s="16" t="n"/>
      <c r="AG196" s="16" t="n"/>
      <c r="AH196" s="16" t="n"/>
      <c r="AI196" s="16" t="n"/>
      <c r="AJ196" s="16" t="n"/>
      <c r="AK196" s="16" t="n"/>
      <c r="AL196" s="16" t="n"/>
      <c r="AM196" s="16" t="n"/>
      <c r="AN196" s="16" t="n"/>
      <c r="AO196" s="16" t="n"/>
      <c r="AP196" s="16" t="n"/>
      <c r="AQ196" s="16" t="n"/>
      <c r="AR196" s="16" t="n"/>
      <c r="AS196" s="16" t="n"/>
      <c r="AT196" s="17" t="n"/>
    </row>
    <row r="197" hidden="1" outlineLevel="3">
      <c r="A197" s="8" t="n"/>
      <c r="B197" s="14" t="n"/>
      <c r="C197" s="41" t="n"/>
      <c r="D197" s="120">
        <f>DADOS_AM!$JH$8</f>
        <v/>
      </c>
      <c r="E197" s="17" t="n"/>
      <c r="F197" s="118">
        <f>DADOS_AM!$JI$8</f>
        <v/>
      </c>
      <c r="G197" s="16" t="n"/>
      <c r="H197" s="16" t="n"/>
      <c r="I197" s="16" t="n"/>
      <c r="J197" s="16" t="n"/>
      <c r="K197" s="16" t="n"/>
      <c r="L197" s="16" t="n"/>
      <c r="M197" s="16" t="n"/>
      <c r="N197" s="16" t="n"/>
      <c r="O197" s="16" t="n"/>
      <c r="P197" s="17" t="n"/>
      <c r="Q197" s="41" t="n"/>
      <c r="R197" s="41" t="n"/>
      <c r="S197" s="120">
        <f>DADOS_AM!$JH$9</f>
        <v/>
      </c>
      <c r="T197" s="17" t="n"/>
      <c r="U197" s="118">
        <f>DADOS_AM!$JI$9</f>
        <v/>
      </c>
      <c r="V197" s="16" t="n"/>
      <c r="W197" s="16" t="n"/>
      <c r="X197" s="16" t="n"/>
      <c r="Y197" s="16" t="n"/>
      <c r="Z197" s="16" t="n"/>
      <c r="AA197" s="16" t="n"/>
      <c r="AB197" s="16" t="n"/>
      <c r="AC197" s="16" t="n"/>
      <c r="AD197" s="16" t="n"/>
      <c r="AE197" s="17" t="n"/>
      <c r="AF197" s="41" t="n"/>
      <c r="AG197" s="41" t="n"/>
      <c r="AH197" s="120">
        <f>DADOS_AM!$JH$10</f>
        <v/>
      </c>
      <c r="AI197" s="17" t="n"/>
      <c r="AJ197" s="118">
        <f>DADOS_AM!$JI$10</f>
        <v/>
      </c>
      <c r="AK197" s="16" t="n"/>
      <c r="AL197" s="16" t="n"/>
      <c r="AM197" s="16" t="n"/>
      <c r="AN197" s="16" t="n"/>
      <c r="AO197" s="16" t="n"/>
      <c r="AP197" s="16" t="n"/>
      <c r="AQ197" s="16" t="n"/>
      <c r="AR197" s="16" t="n"/>
      <c r="AS197" s="16" t="n"/>
      <c r="AT197" s="17" t="n"/>
    </row>
    <row r="198" hidden="1" outlineLevel="3">
      <c r="A198" s="8" t="n"/>
      <c r="B198" s="14" t="n"/>
      <c r="C198" s="41" t="n"/>
      <c r="D198" s="121">
        <f>DADOS_AM!$JJ$8</f>
        <v/>
      </c>
      <c r="E198" s="16" t="n"/>
      <c r="F198" s="17" t="n"/>
      <c r="G198" s="121">
        <f>DADOS_AM!$JK$8</f>
        <v/>
      </c>
      <c r="H198" s="16" t="n"/>
      <c r="I198" s="16" t="n"/>
      <c r="J198" s="17" t="n"/>
      <c r="K198" s="121">
        <f>DADOS_AM!$JL$8</f>
        <v/>
      </c>
      <c r="L198" s="16" t="n"/>
      <c r="M198" s="16" t="n"/>
      <c r="N198" s="16" t="n"/>
      <c r="O198" s="16" t="n"/>
      <c r="P198" s="17" t="n"/>
      <c r="Q198" s="41" t="n"/>
      <c r="R198" s="41" t="n"/>
      <c r="S198" s="121">
        <f>DADOS_AM!$JJ$9</f>
        <v/>
      </c>
      <c r="T198" s="16" t="n"/>
      <c r="U198" s="17" t="n"/>
      <c r="V198" s="121">
        <f>DADOS_AM!$JK$9</f>
        <v/>
      </c>
      <c r="W198" s="16" t="n"/>
      <c r="X198" s="16" t="n"/>
      <c r="Y198" s="17" t="n"/>
      <c r="Z198" s="121">
        <f>DADOS_AM!$JL$9</f>
        <v/>
      </c>
      <c r="AA198" s="16" t="n"/>
      <c r="AB198" s="16" t="n"/>
      <c r="AC198" s="16" t="n"/>
      <c r="AD198" s="16" t="n"/>
      <c r="AE198" s="17" t="n"/>
      <c r="AF198" s="41" t="n"/>
      <c r="AG198" s="41" t="n"/>
      <c r="AH198" s="121">
        <f>DADOS_AM!$JJ$10</f>
        <v/>
      </c>
      <c r="AI198" s="16" t="n"/>
      <c r="AJ198" s="17" t="n"/>
      <c r="AK198" s="121">
        <f>DADOS_AM!$JK$10</f>
        <v/>
      </c>
      <c r="AL198" s="16" t="n"/>
      <c r="AM198" s="16" t="n"/>
      <c r="AN198" s="17" t="n"/>
      <c r="AO198" s="121">
        <f>DADOS_AM!$JL$10</f>
        <v/>
      </c>
      <c r="AP198" s="16" t="n"/>
      <c r="AQ198" s="16" t="n"/>
      <c r="AR198" s="16" t="n"/>
      <c r="AS198" s="16" t="n"/>
      <c r="AT198" s="17" t="n"/>
    </row>
    <row r="199" hidden="1" outlineLevel="4">
      <c r="A199" s="8" t="n"/>
      <c r="B199" s="14" t="n"/>
      <c r="C199" s="41" t="n"/>
      <c r="D199" s="119">
        <f>DADOS_AM!$JM$8</f>
        <v/>
      </c>
      <c r="E199" s="19" t="n"/>
      <c r="F199" s="19" t="n"/>
      <c r="G199" s="19" t="n"/>
      <c r="H199" s="19" t="n"/>
      <c r="I199" s="19" t="n"/>
      <c r="J199" s="19" t="n"/>
      <c r="K199" s="19" t="n"/>
      <c r="L199" s="19" t="n"/>
      <c r="M199" s="19" t="n"/>
      <c r="N199" s="19" t="n"/>
      <c r="O199" s="19" t="n"/>
      <c r="P199" s="20" t="n"/>
      <c r="Q199" s="41" t="n"/>
      <c r="R199" s="41" t="n"/>
      <c r="S199" s="119">
        <f>DADOS_AM!$JM$9</f>
        <v/>
      </c>
      <c r="T199" s="19" t="n"/>
      <c r="U199" s="19" t="n"/>
      <c r="V199" s="19" t="n"/>
      <c r="W199" s="19" t="n"/>
      <c r="X199" s="19" t="n"/>
      <c r="Y199" s="19" t="n"/>
      <c r="Z199" s="19" t="n"/>
      <c r="AA199" s="19" t="n"/>
      <c r="AB199" s="19" t="n"/>
      <c r="AC199" s="19" t="n"/>
      <c r="AD199" s="19" t="n"/>
      <c r="AE199" s="20" t="n"/>
      <c r="AF199" s="41" t="n"/>
      <c r="AG199" s="41" t="n"/>
      <c r="AH199" s="119">
        <f>DADOS_AM!$JM$10</f>
        <v/>
      </c>
      <c r="AI199" s="19" t="n"/>
      <c r="AJ199" s="19" t="n"/>
      <c r="AK199" s="19" t="n"/>
      <c r="AL199" s="19" t="n"/>
      <c r="AM199" s="19" t="n"/>
      <c r="AN199" s="19" t="n"/>
      <c r="AO199" s="19" t="n"/>
      <c r="AP199" s="19" t="n"/>
      <c r="AQ199" s="19" t="n"/>
      <c r="AR199" s="19" t="n"/>
      <c r="AS199" s="19" t="n"/>
      <c r="AT199" s="20" t="n"/>
    </row>
    <row r="200" hidden="1" outlineLevel="4">
      <c r="A200" s="8" t="n"/>
      <c r="B200" s="14" t="n"/>
      <c r="C200" s="41" t="n"/>
      <c r="D200" s="21" t="n"/>
      <c r="P200" s="22" t="n"/>
      <c r="Q200" s="41" t="n"/>
      <c r="R200" s="41" t="n"/>
      <c r="S200" s="21" t="n"/>
      <c r="AE200" s="22" t="n"/>
      <c r="AF200" s="41" t="n"/>
      <c r="AG200" s="41" t="n"/>
      <c r="AH200" s="21" t="n"/>
      <c r="AT200" s="22" t="n"/>
    </row>
    <row r="201" hidden="1" outlineLevel="4">
      <c r="A201" s="8" t="n"/>
      <c r="B201" s="14" t="n"/>
      <c r="C201" s="41" t="n"/>
      <c r="D201" s="21" t="n"/>
      <c r="P201" s="22" t="n"/>
      <c r="Q201" s="41" t="n"/>
      <c r="R201" s="41" t="n"/>
      <c r="S201" s="21" t="n"/>
      <c r="AE201" s="22" t="n"/>
      <c r="AF201" s="41" t="n"/>
      <c r="AG201" s="41" t="n"/>
      <c r="AH201" s="21" t="n"/>
      <c r="AT201" s="22"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1" t="n"/>
      <c r="P203" s="22" t="n"/>
      <c r="Q203" s="41" t="n"/>
      <c r="R203" s="41" t="n"/>
      <c r="S203" s="21" t="n"/>
      <c r="AE203" s="22" t="n"/>
      <c r="AF203" s="41" t="n"/>
      <c r="AG203" s="41" t="n"/>
      <c r="AH203" s="21" t="n"/>
      <c r="AT203" s="22" t="n"/>
    </row>
    <row r="204" hidden="1" outlineLevel="4">
      <c r="A204" s="8" t="n"/>
      <c r="B204" s="14" t="n"/>
      <c r="C204" s="41" t="n"/>
      <c r="D204" s="21" t="n"/>
      <c r="P204" s="22" t="n"/>
      <c r="Q204" s="41" t="n"/>
      <c r="R204" s="41" t="n"/>
      <c r="S204" s="21" t="n"/>
      <c r="AE204" s="22" t="n"/>
      <c r="AF204" s="41" t="n"/>
      <c r="AG204" s="41" t="n"/>
      <c r="AH204" s="21" t="n"/>
      <c r="AT204" s="22" t="n"/>
    </row>
    <row r="205" hidden="1" outlineLevel="4">
      <c r="A205" s="8" t="n"/>
      <c r="B205" s="14" t="n"/>
      <c r="C205" s="41" t="n"/>
      <c r="D205" s="23" t="n"/>
      <c r="E205" s="24" t="n"/>
      <c r="F205" s="24" t="n"/>
      <c r="G205" s="24" t="n"/>
      <c r="H205" s="24" t="n"/>
      <c r="I205" s="24" t="n"/>
      <c r="J205" s="24" t="n"/>
      <c r="K205" s="24" t="n"/>
      <c r="L205" s="24" t="n"/>
      <c r="M205" s="24" t="n"/>
      <c r="N205" s="24" t="n"/>
      <c r="O205" s="24" t="n"/>
      <c r="P205" s="25" t="n"/>
      <c r="Q205" s="41" t="n"/>
      <c r="R205" s="41" t="n"/>
      <c r="S205" s="23" t="n"/>
      <c r="T205" s="24" t="n"/>
      <c r="U205" s="24" t="n"/>
      <c r="V205" s="24" t="n"/>
      <c r="W205" s="24" t="n"/>
      <c r="X205" s="24" t="n"/>
      <c r="Y205" s="24" t="n"/>
      <c r="Z205" s="24" t="n"/>
      <c r="AA205" s="24" t="n"/>
      <c r="AB205" s="24" t="n"/>
      <c r="AC205" s="24" t="n"/>
      <c r="AD205" s="24" t="n"/>
      <c r="AE205" s="25" t="n"/>
      <c r="AF205" s="41" t="n"/>
      <c r="AG205" s="41" t="n"/>
      <c r="AH205" s="23" t="n"/>
      <c r="AI205" s="24" t="n"/>
      <c r="AJ205" s="24" t="n"/>
      <c r="AK205" s="24" t="n"/>
      <c r="AL205" s="24" t="n"/>
      <c r="AM205" s="24" t="n"/>
      <c r="AN205" s="24" t="n"/>
      <c r="AO205" s="24" t="n"/>
      <c r="AP205" s="24" t="n"/>
      <c r="AQ205" s="24" t="n"/>
      <c r="AR205" s="24" t="n"/>
      <c r="AS205" s="24" t="n"/>
      <c r="AT205" s="25" t="n"/>
    </row>
    <row r="206" hidden="1" outlineLevel="3">
      <c r="A206" s="8" t="n"/>
      <c r="B206" s="14" t="n"/>
      <c r="C206" s="41" t="n"/>
      <c r="D206" s="41" t="n"/>
      <c r="E206" s="41" t="n"/>
      <c r="F206" s="41" t="n"/>
      <c r="G206" s="41" t="n"/>
      <c r="H206" s="41" t="n"/>
      <c r="I206" s="41" t="n"/>
      <c r="J206" s="41" t="n"/>
      <c r="K206" s="41" t="n"/>
      <c r="L206" s="41" t="n"/>
      <c r="M206" s="41" t="n"/>
      <c r="N206" s="41" t="n"/>
      <c r="O206" s="41" t="n"/>
      <c r="P206" s="41" t="n"/>
      <c r="Q206" s="41" t="n"/>
      <c r="R206" s="41" t="n"/>
      <c r="S206" s="41" t="n"/>
      <c r="T206" s="41" t="n"/>
      <c r="U206" s="41" t="n"/>
      <c r="V206" s="41" t="n"/>
      <c r="W206" s="41" t="n"/>
      <c r="X206" s="41" t="n"/>
      <c r="Y206" s="41" t="n"/>
      <c r="Z206" s="41" t="n"/>
      <c r="AA206" s="41" t="n"/>
      <c r="AB206" s="41" t="n"/>
      <c r="AC206" s="41" t="n"/>
      <c r="AD206" s="41" t="n"/>
      <c r="AE206" s="41" t="n"/>
      <c r="AF206" s="41" t="n"/>
      <c r="AG206" s="41" t="n"/>
      <c r="AH206" s="41" t="n"/>
      <c r="AI206" s="41" t="n"/>
      <c r="AJ206" s="41" t="n"/>
      <c r="AK206" s="41" t="n"/>
      <c r="AL206" s="41" t="n"/>
      <c r="AM206" s="41" t="n"/>
      <c r="AN206" s="41" t="n"/>
      <c r="AO206" s="41" t="n"/>
      <c r="AP206" s="41" t="n"/>
      <c r="AQ206" s="41" t="n"/>
      <c r="AR206" s="41" t="n"/>
      <c r="AS206" s="41" t="n"/>
      <c r="AT206" s="41" t="n"/>
    </row>
    <row r="207" hidden="1" outlineLevel="3">
      <c r="A207" s="8" t="n"/>
      <c r="B207" s="14" t="n"/>
      <c r="C207" s="41" t="n"/>
      <c r="D207" s="120">
        <f>DADOS_AM!$JH$11</f>
        <v/>
      </c>
      <c r="E207" s="17" t="n"/>
      <c r="F207" s="118">
        <f>DADOS_AM!$JI$11</f>
        <v/>
      </c>
      <c r="G207" s="16" t="n"/>
      <c r="H207" s="16" t="n"/>
      <c r="I207" s="16" t="n"/>
      <c r="J207" s="16" t="n"/>
      <c r="K207" s="16" t="n"/>
      <c r="L207" s="16" t="n"/>
      <c r="M207" s="16" t="n"/>
      <c r="N207" s="16" t="n"/>
      <c r="O207" s="16" t="n"/>
      <c r="P207" s="17" t="n"/>
      <c r="Q207" s="41" t="n"/>
      <c r="R207" s="41" t="n"/>
      <c r="S207" s="120">
        <f>DADOS_AM!$JH$12</f>
        <v/>
      </c>
      <c r="T207" s="17" t="n"/>
      <c r="U207" s="118">
        <f>DADOS_AM!$JI$12</f>
        <v/>
      </c>
      <c r="V207" s="16" t="n"/>
      <c r="W207" s="16" t="n"/>
      <c r="X207" s="16" t="n"/>
      <c r="Y207" s="16" t="n"/>
      <c r="Z207" s="16" t="n"/>
      <c r="AA207" s="16" t="n"/>
      <c r="AB207" s="16" t="n"/>
      <c r="AC207" s="16" t="n"/>
      <c r="AD207" s="16" t="n"/>
      <c r="AE207" s="17" t="n"/>
      <c r="AF207" s="41" t="n"/>
      <c r="AG207" s="41" t="n"/>
      <c r="AH207" s="120">
        <f>DADOS_AM!$JH$13</f>
        <v/>
      </c>
      <c r="AI207" s="17" t="n"/>
      <c r="AJ207" s="118">
        <f>DADOS_AM!$JI$13</f>
        <v/>
      </c>
      <c r="AK207" s="16" t="n"/>
      <c r="AL207" s="16" t="n"/>
      <c r="AM207" s="16" t="n"/>
      <c r="AN207" s="16" t="n"/>
      <c r="AO207" s="16" t="n"/>
      <c r="AP207" s="16" t="n"/>
      <c r="AQ207" s="16" t="n"/>
      <c r="AR207" s="16" t="n"/>
      <c r="AS207" s="16" t="n"/>
      <c r="AT207" s="17" t="n"/>
    </row>
    <row r="208" hidden="1" outlineLevel="3">
      <c r="A208" s="8" t="n"/>
      <c r="B208" s="14" t="n"/>
      <c r="C208" s="41" t="n"/>
      <c r="D208" s="121">
        <f>DADOS_AM!$JJ$11</f>
        <v/>
      </c>
      <c r="E208" s="16" t="n"/>
      <c r="F208" s="17" t="n"/>
      <c r="G208" s="121">
        <f>DADOS_AM!$JK$11</f>
        <v/>
      </c>
      <c r="H208" s="16" t="n"/>
      <c r="I208" s="16" t="n"/>
      <c r="J208" s="17" t="n"/>
      <c r="K208" s="121">
        <f>DADOS_AM!$JL$11</f>
        <v/>
      </c>
      <c r="L208" s="16" t="n"/>
      <c r="M208" s="16" t="n"/>
      <c r="N208" s="16" t="n"/>
      <c r="O208" s="16" t="n"/>
      <c r="P208" s="17" t="n"/>
      <c r="Q208" s="41" t="n"/>
      <c r="R208" s="41" t="n"/>
      <c r="S208" s="121">
        <f>DADOS_AM!$JJ$12</f>
        <v/>
      </c>
      <c r="T208" s="16" t="n"/>
      <c r="U208" s="17" t="n"/>
      <c r="V208" s="121">
        <f>DADOS_AM!$JK$12</f>
        <v/>
      </c>
      <c r="W208" s="16" t="n"/>
      <c r="X208" s="16" t="n"/>
      <c r="Y208" s="17" t="n"/>
      <c r="Z208" s="121">
        <f>DADOS_AM!$JL$12</f>
        <v/>
      </c>
      <c r="AA208" s="16" t="n"/>
      <c r="AB208" s="16" t="n"/>
      <c r="AC208" s="16" t="n"/>
      <c r="AD208" s="16" t="n"/>
      <c r="AE208" s="17" t="n"/>
      <c r="AF208" s="41" t="n"/>
      <c r="AG208" s="41" t="n"/>
      <c r="AH208" s="121">
        <f>DADOS_AM!$JJ$13</f>
        <v/>
      </c>
      <c r="AI208" s="16" t="n"/>
      <c r="AJ208" s="17" t="n"/>
      <c r="AK208" s="121">
        <f>DADOS_AM!$JK$13</f>
        <v/>
      </c>
      <c r="AL208" s="16" t="n"/>
      <c r="AM208" s="16" t="n"/>
      <c r="AN208" s="17" t="n"/>
      <c r="AO208" s="121">
        <f>DADOS_AM!$JL$13</f>
        <v/>
      </c>
      <c r="AP208" s="16" t="n"/>
      <c r="AQ208" s="16" t="n"/>
      <c r="AR208" s="16" t="n"/>
      <c r="AS208" s="16" t="n"/>
      <c r="AT208" s="17" t="n"/>
    </row>
    <row r="209" hidden="1" outlineLevel="4">
      <c r="A209" s="8" t="n"/>
      <c r="B209" s="14" t="n"/>
      <c r="C209" s="41" t="n"/>
      <c r="D209" s="119">
        <f>DADOS_AM!$JM$11</f>
        <v/>
      </c>
      <c r="E209" s="19" t="n"/>
      <c r="F209" s="19" t="n"/>
      <c r="G209" s="19" t="n"/>
      <c r="H209" s="19" t="n"/>
      <c r="I209" s="19" t="n"/>
      <c r="J209" s="19" t="n"/>
      <c r="K209" s="19" t="n"/>
      <c r="L209" s="19" t="n"/>
      <c r="M209" s="19" t="n"/>
      <c r="N209" s="19" t="n"/>
      <c r="O209" s="19" t="n"/>
      <c r="P209" s="20" t="n"/>
      <c r="Q209" s="41" t="n"/>
      <c r="R209" s="41" t="n"/>
      <c r="S209" s="119">
        <f>DADOS_AM!$JM$12</f>
        <v/>
      </c>
      <c r="T209" s="19" t="n"/>
      <c r="U209" s="19" t="n"/>
      <c r="V209" s="19" t="n"/>
      <c r="W209" s="19" t="n"/>
      <c r="X209" s="19" t="n"/>
      <c r="Y209" s="19" t="n"/>
      <c r="Z209" s="19" t="n"/>
      <c r="AA209" s="19" t="n"/>
      <c r="AB209" s="19" t="n"/>
      <c r="AC209" s="19" t="n"/>
      <c r="AD209" s="19" t="n"/>
      <c r="AE209" s="20" t="n"/>
      <c r="AF209" s="41" t="n"/>
      <c r="AG209" s="41" t="n"/>
      <c r="AH209" s="119">
        <f>DADOS_AM!$JM$13</f>
        <v/>
      </c>
      <c r="AI209" s="19" t="n"/>
      <c r="AJ209" s="19" t="n"/>
      <c r="AK209" s="19" t="n"/>
      <c r="AL209" s="19" t="n"/>
      <c r="AM209" s="19" t="n"/>
      <c r="AN209" s="19" t="n"/>
      <c r="AO209" s="19" t="n"/>
      <c r="AP209" s="19" t="n"/>
      <c r="AQ209" s="19" t="n"/>
      <c r="AR209" s="19" t="n"/>
      <c r="AS209" s="19" t="n"/>
      <c r="AT209" s="20" t="n"/>
    </row>
    <row r="210" hidden="1" outlineLevel="4">
      <c r="A210" s="8" t="n"/>
      <c r="B210" s="14" t="n"/>
      <c r="C210" s="41" t="n"/>
      <c r="D210" s="21" t="n"/>
      <c r="P210" s="22" t="n"/>
      <c r="Q210" s="41" t="n"/>
      <c r="R210" s="41" t="n"/>
      <c r="S210" s="21" t="n"/>
      <c r="AE210" s="22" t="n"/>
      <c r="AF210" s="41" t="n"/>
      <c r="AG210" s="41" t="n"/>
      <c r="AH210" s="21" t="n"/>
      <c r="AT210" s="22" t="n"/>
    </row>
    <row r="211" hidden="1" outlineLevel="4">
      <c r="A211" s="8" t="n"/>
      <c r="B211" s="14" t="n"/>
      <c r="C211" s="41" t="n"/>
      <c r="D211" s="21" t="n"/>
      <c r="P211" s="22" t="n"/>
      <c r="Q211" s="41" t="n"/>
      <c r="R211" s="41" t="n"/>
      <c r="S211" s="21" t="n"/>
      <c r="AE211" s="22" t="n"/>
      <c r="AF211" s="41" t="n"/>
      <c r="AG211" s="41" t="n"/>
      <c r="AH211" s="21" t="n"/>
      <c r="AT211" s="22"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1" t="n"/>
      <c r="P213" s="22" t="n"/>
      <c r="Q213" s="41" t="n"/>
      <c r="R213" s="41" t="n"/>
      <c r="S213" s="21" t="n"/>
      <c r="AE213" s="22" t="n"/>
      <c r="AF213" s="41" t="n"/>
      <c r="AG213" s="41" t="n"/>
      <c r="AH213" s="21" t="n"/>
      <c r="AT213" s="22" t="n"/>
    </row>
    <row r="214" hidden="1" outlineLevel="4">
      <c r="A214" s="8" t="n"/>
      <c r="B214" s="14" t="n"/>
      <c r="C214" s="41" t="n"/>
      <c r="D214" s="21" t="n"/>
      <c r="P214" s="22" t="n"/>
      <c r="Q214" s="41" t="n"/>
      <c r="R214" s="41" t="n"/>
      <c r="S214" s="21" t="n"/>
      <c r="AE214" s="22" t="n"/>
      <c r="AF214" s="41" t="n"/>
      <c r="AG214" s="41" t="n"/>
      <c r="AH214" s="21" t="n"/>
      <c r="AT214" s="22" t="n"/>
    </row>
    <row r="215" hidden="1" outlineLevel="4">
      <c r="A215" s="8" t="n"/>
      <c r="B215" s="14" t="n"/>
      <c r="C215" s="41" t="n"/>
      <c r="D215" s="23" t="n"/>
      <c r="E215" s="24" t="n"/>
      <c r="F215" s="24" t="n"/>
      <c r="G215" s="24" t="n"/>
      <c r="H215" s="24" t="n"/>
      <c r="I215" s="24" t="n"/>
      <c r="J215" s="24" t="n"/>
      <c r="K215" s="24" t="n"/>
      <c r="L215" s="24" t="n"/>
      <c r="M215" s="24" t="n"/>
      <c r="N215" s="24" t="n"/>
      <c r="O215" s="24" t="n"/>
      <c r="P215" s="25" t="n"/>
      <c r="Q215" s="41" t="n"/>
      <c r="R215" s="41" t="n"/>
      <c r="S215" s="23" t="n"/>
      <c r="T215" s="24" t="n"/>
      <c r="U215" s="24" t="n"/>
      <c r="V215" s="24" t="n"/>
      <c r="W215" s="24" t="n"/>
      <c r="X215" s="24" t="n"/>
      <c r="Y215" s="24" t="n"/>
      <c r="Z215" s="24" t="n"/>
      <c r="AA215" s="24" t="n"/>
      <c r="AB215" s="24" t="n"/>
      <c r="AC215" s="24" t="n"/>
      <c r="AD215" s="24" t="n"/>
      <c r="AE215" s="25" t="n"/>
      <c r="AF215" s="41" t="n"/>
      <c r="AG215" s="41" t="n"/>
      <c r="AH215" s="23" t="n"/>
      <c r="AI215" s="24" t="n"/>
      <c r="AJ215" s="24" t="n"/>
      <c r="AK215" s="24" t="n"/>
      <c r="AL215" s="24" t="n"/>
      <c r="AM215" s="24" t="n"/>
      <c r="AN215" s="24" t="n"/>
      <c r="AO215" s="24" t="n"/>
      <c r="AP215" s="24" t="n"/>
      <c r="AQ215" s="24" t="n"/>
      <c r="AR215" s="24" t="n"/>
      <c r="AS215" s="24" t="n"/>
      <c r="AT215" s="25" t="n"/>
    </row>
    <row r="216" outlineLevel="2">
      <c r="A216" s="8" t="n"/>
      <c r="B216" s="14" t="n"/>
      <c r="C216" s="41" t="n"/>
      <c r="D216" s="122">
        <f>DADOS_AM!$KQ$11</f>
        <v/>
      </c>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c r="AA216" s="16" t="n"/>
      <c r="AB216" s="16" t="n"/>
      <c r="AC216" s="16" t="n"/>
      <c r="AD216" s="16" t="n"/>
      <c r="AE216" s="16" t="n"/>
      <c r="AF216" s="16" t="n"/>
      <c r="AG216" s="16" t="n"/>
      <c r="AH216" s="16" t="n"/>
      <c r="AI216" s="16" t="n"/>
      <c r="AJ216" s="16" t="n"/>
      <c r="AK216" s="16" t="n"/>
      <c r="AL216" s="16" t="n"/>
      <c r="AM216" s="16" t="n"/>
      <c r="AN216" s="16" t="n"/>
      <c r="AO216" s="16" t="n"/>
      <c r="AP216" s="16" t="n"/>
      <c r="AQ216" s="16" t="n"/>
      <c r="AR216" s="16" t="n"/>
      <c r="AS216" s="16" t="n"/>
      <c r="AT216" s="17" t="n"/>
    </row>
    <row r="217" hidden="1" outlineLevel="3">
      <c r="A217" s="8" t="n"/>
      <c r="B217" s="14" t="n"/>
      <c r="C217" s="41" t="n"/>
      <c r="D217" s="120">
        <f>DADOS_AM!$JH$14</f>
        <v/>
      </c>
      <c r="E217" s="17" t="n"/>
      <c r="F217" s="118">
        <f>DADOS_AM!$JI$14</f>
        <v/>
      </c>
      <c r="G217" s="16" t="n"/>
      <c r="H217" s="16" t="n"/>
      <c r="I217" s="16" t="n"/>
      <c r="J217" s="16" t="n"/>
      <c r="K217" s="16" t="n"/>
      <c r="L217" s="16" t="n"/>
      <c r="M217" s="16" t="n"/>
      <c r="N217" s="16" t="n"/>
      <c r="O217" s="16" t="n"/>
      <c r="P217" s="17" t="n"/>
      <c r="Q217" s="41" t="n"/>
      <c r="R217" s="41" t="n"/>
      <c r="S217" s="120">
        <f>DADOS_AM!$JH$15</f>
        <v/>
      </c>
      <c r="T217" s="17" t="n"/>
      <c r="U217" s="118">
        <f>DADOS_AM!$JI$15</f>
        <v/>
      </c>
      <c r="V217" s="16" t="n"/>
      <c r="W217" s="16" t="n"/>
      <c r="X217" s="16" t="n"/>
      <c r="Y217" s="16" t="n"/>
      <c r="Z217" s="16" t="n"/>
      <c r="AA217" s="16" t="n"/>
      <c r="AB217" s="16" t="n"/>
      <c r="AC217" s="16" t="n"/>
      <c r="AD217" s="16" t="n"/>
      <c r="AE217" s="17" t="n"/>
      <c r="AF217" s="41" t="n"/>
      <c r="AG217" s="41" t="n"/>
      <c r="AH217" s="120">
        <f>DADOS_AM!$JH$16</f>
        <v/>
      </c>
      <c r="AI217" s="17" t="n"/>
      <c r="AJ217" s="118">
        <f>DADOS_AM!$JI$16</f>
        <v/>
      </c>
      <c r="AK217" s="16" t="n"/>
      <c r="AL217" s="16" t="n"/>
      <c r="AM217" s="16" t="n"/>
      <c r="AN217" s="16" t="n"/>
      <c r="AO217" s="16" t="n"/>
      <c r="AP217" s="16" t="n"/>
      <c r="AQ217" s="16" t="n"/>
      <c r="AR217" s="16" t="n"/>
      <c r="AS217" s="16" t="n"/>
      <c r="AT217" s="17" t="n"/>
    </row>
    <row r="218" hidden="1" outlineLevel="3">
      <c r="A218" s="8" t="n"/>
      <c r="B218" s="14" t="n"/>
      <c r="C218" s="41" t="n"/>
      <c r="D218" s="121">
        <f>DADOS_AM!$JJ$14</f>
        <v/>
      </c>
      <c r="E218" s="16" t="n"/>
      <c r="F218" s="17" t="n"/>
      <c r="G218" s="121">
        <f>DADOS_AM!$JK$14</f>
        <v/>
      </c>
      <c r="H218" s="16" t="n"/>
      <c r="I218" s="16" t="n"/>
      <c r="J218" s="17" t="n"/>
      <c r="K218" s="121">
        <f>DADOS_AM!$JL$14</f>
        <v/>
      </c>
      <c r="L218" s="16" t="n"/>
      <c r="M218" s="16" t="n"/>
      <c r="N218" s="16" t="n"/>
      <c r="O218" s="16" t="n"/>
      <c r="P218" s="17" t="n"/>
      <c r="Q218" s="41" t="n"/>
      <c r="R218" s="41" t="n"/>
      <c r="S218" s="121">
        <f>DADOS_AM!$JJ$15</f>
        <v/>
      </c>
      <c r="T218" s="16" t="n"/>
      <c r="U218" s="17" t="n"/>
      <c r="V218" s="121">
        <f>DADOS_AM!$JK$15</f>
        <v/>
      </c>
      <c r="W218" s="16" t="n"/>
      <c r="X218" s="16" t="n"/>
      <c r="Y218" s="17" t="n"/>
      <c r="Z218" s="121">
        <f>DADOS_AM!$JL$15</f>
        <v/>
      </c>
      <c r="AA218" s="16" t="n"/>
      <c r="AB218" s="16" t="n"/>
      <c r="AC218" s="16" t="n"/>
      <c r="AD218" s="16" t="n"/>
      <c r="AE218" s="17" t="n"/>
      <c r="AF218" s="41" t="n"/>
      <c r="AG218" s="41" t="n"/>
      <c r="AH218" s="121">
        <f>DADOS_AM!$JJ$16</f>
        <v/>
      </c>
      <c r="AI218" s="16" t="n"/>
      <c r="AJ218" s="17" t="n"/>
      <c r="AK218" s="121">
        <f>DADOS_AM!$JK$16</f>
        <v/>
      </c>
      <c r="AL218" s="16" t="n"/>
      <c r="AM218" s="16" t="n"/>
      <c r="AN218" s="17" t="n"/>
      <c r="AO218" s="121">
        <f>DADOS_AM!$JL$16</f>
        <v/>
      </c>
      <c r="AP218" s="16" t="n"/>
      <c r="AQ218" s="16" t="n"/>
      <c r="AR218" s="16" t="n"/>
      <c r="AS218" s="16" t="n"/>
      <c r="AT218" s="17" t="n"/>
    </row>
    <row r="219" hidden="1" outlineLevel="4">
      <c r="A219" s="8" t="n"/>
      <c r="B219" s="14" t="n"/>
      <c r="C219" s="41" t="n"/>
      <c r="D219" s="119">
        <f>DADOS_AM!$JM$14</f>
        <v/>
      </c>
      <c r="E219" s="19" t="n"/>
      <c r="F219" s="19" t="n"/>
      <c r="G219" s="19" t="n"/>
      <c r="H219" s="19" t="n"/>
      <c r="I219" s="19" t="n"/>
      <c r="J219" s="19" t="n"/>
      <c r="K219" s="19" t="n"/>
      <c r="L219" s="19" t="n"/>
      <c r="M219" s="19" t="n"/>
      <c r="N219" s="19" t="n"/>
      <c r="O219" s="19" t="n"/>
      <c r="P219" s="20" t="n"/>
      <c r="Q219" s="41" t="n"/>
      <c r="R219" s="41" t="n"/>
      <c r="S219" s="119">
        <f>DADOS_AM!$JM$15</f>
        <v/>
      </c>
      <c r="T219" s="19" t="n"/>
      <c r="U219" s="19" t="n"/>
      <c r="V219" s="19" t="n"/>
      <c r="W219" s="19" t="n"/>
      <c r="X219" s="19" t="n"/>
      <c r="Y219" s="19" t="n"/>
      <c r="Z219" s="19" t="n"/>
      <c r="AA219" s="19" t="n"/>
      <c r="AB219" s="19" t="n"/>
      <c r="AC219" s="19" t="n"/>
      <c r="AD219" s="19" t="n"/>
      <c r="AE219" s="20" t="n"/>
      <c r="AF219" s="41" t="n"/>
      <c r="AG219" s="41" t="n"/>
      <c r="AH219" s="119">
        <f>DADOS_AM!$JM$16</f>
        <v/>
      </c>
      <c r="AI219" s="19" t="n"/>
      <c r="AJ219" s="19" t="n"/>
      <c r="AK219" s="19" t="n"/>
      <c r="AL219" s="19" t="n"/>
      <c r="AM219" s="19" t="n"/>
      <c r="AN219" s="19" t="n"/>
      <c r="AO219" s="19" t="n"/>
      <c r="AP219" s="19" t="n"/>
      <c r="AQ219" s="19" t="n"/>
      <c r="AR219" s="19" t="n"/>
      <c r="AS219" s="19" t="n"/>
      <c r="AT219" s="20" t="n"/>
    </row>
    <row r="220" hidden="1" outlineLevel="4">
      <c r="A220" s="8" t="n"/>
      <c r="B220" s="14" t="n"/>
      <c r="C220" s="41" t="n"/>
      <c r="D220" s="21" t="n"/>
      <c r="P220" s="22" t="n"/>
      <c r="Q220" s="41" t="n"/>
      <c r="R220" s="41" t="n"/>
      <c r="S220" s="21" t="n"/>
      <c r="AE220" s="22" t="n"/>
      <c r="AF220" s="41" t="n"/>
      <c r="AG220" s="41" t="n"/>
      <c r="AH220" s="21" t="n"/>
      <c r="AT220" s="22" t="n"/>
    </row>
    <row r="221" hidden="1" outlineLevel="4">
      <c r="A221" s="8" t="n"/>
      <c r="B221" s="14" t="n"/>
      <c r="C221" s="41" t="n"/>
      <c r="D221" s="21" t="n"/>
      <c r="P221" s="22" t="n"/>
      <c r="Q221" s="41" t="n"/>
      <c r="R221" s="41" t="n"/>
      <c r="S221" s="21" t="n"/>
      <c r="AE221" s="22" t="n"/>
      <c r="AF221" s="41" t="n"/>
      <c r="AG221" s="41" t="n"/>
      <c r="AH221" s="21" t="n"/>
      <c r="AT221" s="22"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1" t="n"/>
      <c r="P223" s="22" t="n"/>
      <c r="Q223" s="41" t="n"/>
      <c r="R223" s="41" t="n"/>
      <c r="S223" s="21" t="n"/>
      <c r="AE223" s="22" t="n"/>
      <c r="AF223" s="41" t="n"/>
      <c r="AG223" s="41" t="n"/>
      <c r="AH223" s="21" t="n"/>
      <c r="AT223" s="22" t="n"/>
    </row>
    <row r="224" hidden="1" outlineLevel="4">
      <c r="A224" s="8" t="n"/>
      <c r="B224" s="14" t="n"/>
      <c r="C224" s="41" t="n"/>
      <c r="D224" s="21" t="n"/>
      <c r="P224" s="22" t="n"/>
      <c r="Q224" s="41" t="n"/>
      <c r="R224" s="41" t="n"/>
      <c r="S224" s="21" t="n"/>
      <c r="AE224" s="22" t="n"/>
      <c r="AF224" s="41" t="n"/>
      <c r="AG224" s="41" t="n"/>
      <c r="AH224" s="21" t="n"/>
      <c r="AT224" s="22" t="n"/>
    </row>
    <row r="225" hidden="1" outlineLevel="4">
      <c r="A225" s="8" t="n"/>
      <c r="B225" s="14" t="n"/>
      <c r="C225" s="41" t="n"/>
      <c r="D225" s="23" t="n"/>
      <c r="E225" s="24" t="n"/>
      <c r="F225" s="24" t="n"/>
      <c r="G225" s="24" t="n"/>
      <c r="H225" s="24" t="n"/>
      <c r="I225" s="24" t="n"/>
      <c r="J225" s="24" t="n"/>
      <c r="K225" s="24" t="n"/>
      <c r="L225" s="24" t="n"/>
      <c r="M225" s="24" t="n"/>
      <c r="N225" s="24" t="n"/>
      <c r="O225" s="24" t="n"/>
      <c r="P225" s="25" t="n"/>
      <c r="Q225" s="41" t="n"/>
      <c r="R225" s="41" t="n"/>
      <c r="S225" s="23" t="n"/>
      <c r="T225" s="24" t="n"/>
      <c r="U225" s="24" t="n"/>
      <c r="V225" s="24" t="n"/>
      <c r="W225" s="24" t="n"/>
      <c r="X225" s="24" t="n"/>
      <c r="Y225" s="24" t="n"/>
      <c r="Z225" s="24" t="n"/>
      <c r="AA225" s="24" t="n"/>
      <c r="AB225" s="24" t="n"/>
      <c r="AC225" s="24" t="n"/>
      <c r="AD225" s="24" t="n"/>
      <c r="AE225" s="25" t="n"/>
      <c r="AF225" s="41" t="n"/>
      <c r="AG225" s="41" t="n"/>
      <c r="AH225" s="23" t="n"/>
      <c r="AI225" s="24" t="n"/>
      <c r="AJ225" s="24" t="n"/>
      <c r="AK225" s="24" t="n"/>
      <c r="AL225" s="24" t="n"/>
      <c r="AM225" s="24" t="n"/>
      <c r="AN225" s="24" t="n"/>
      <c r="AO225" s="24" t="n"/>
      <c r="AP225" s="24" t="n"/>
      <c r="AQ225" s="24" t="n"/>
      <c r="AR225" s="24" t="n"/>
      <c r="AS225" s="24" t="n"/>
      <c r="AT225" s="25" t="n"/>
    </row>
    <row r="226" hidden="1" outlineLevel="3">
      <c r="A226" s="8" t="n"/>
      <c r="B226" s="14" t="n"/>
      <c r="C226" s="41" t="n"/>
      <c r="D226" s="41" t="n"/>
      <c r="E226" s="41" t="n"/>
      <c r="F226" s="41" t="n"/>
      <c r="G226" s="41" t="n"/>
      <c r="H226" s="41" t="n"/>
      <c r="I226" s="41" t="n"/>
      <c r="J226" s="41" t="n"/>
      <c r="K226" s="41" t="n"/>
      <c r="L226" s="41" t="n"/>
      <c r="M226" s="41" t="n"/>
      <c r="N226" s="41" t="n"/>
      <c r="O226" s="41" t="n"/>
      <c r="P226" s="41" t="n"/>
      <c r="Q226" s="41" t="n"/>
      <c r="R226" s="41" t="n"/>
      <c r="S226" s="41" t="n"/>
      <c r="T226" s="41" t="n"/>
      <c r="U226" s="41" t="n"/>
      <c r="V226" s="41" t="n"/>
      <c r="W226" s="41" t="n"/>
      <c r="X226" s="41" t="n"/>
      <c r="Y226" s="41" t="n"/>
      <c r="Z226" s="41" t="n"/>
      <c r="AA226" s="41" t="n"/>
      <c r="AB226" s="41" t="n"/>
      <c r="AC226" s="41" t="n"/>
      <c r="AD226" s="41" t="n"/>
      <c r="AE226" s="41" t="n"/>
      <c r="AF226" s="41" t="n"/>
      <c r="AG226" s="41" t="n"/>
      <c r="AH226" s="41" t="n"/>
      <c r="AI226" s="41" t="n"/>
      <c r="AJ226" s="41" t="n"/>
      <c r="AK226" s="41" t="n"/>
      <c r="AL226" s="41" t="n"/>
      <c r="AM226" s="41" t="n"/>
      <c r="AN226" s="41" t="n"/>
      <c r="AO226" s="41" t="n"/>
      <c r="AP226" s="41" t="n"/>
      <c r="AQ226" s="41" t="n"/>
      <c r="AR226" s="41" t="n"/>
      <c r="AS226" s="41" t="n"/>
      <c r="AT226" s="41" t="n"/>
    </row>
    <row r="227" hidden="1" outlineLevel="3">
      <c r="A227" s="8" t="n"/>
      <c r="B227" s="14" t="n"/>
      <c r="C227" s="41" t="n"/>
      <c r="D227" s="120">
        <f>DADOS_AM!$JH$17</f>
        <v/>
      </c>
      <c r="E227" s="17" t="n"/>
      <c r="F227" s="118">
        <f>DADOS_AM!$JI$17</f>
        <v/>
      </c>
      <c r="G227" s="16" t="n"/>
      <c r="H227" s="16" t="n"/>
      <c r="I227" s="16" t="n"/>
      <c r="J227" s="16" t="n"/>
      <c r="K227" s="16" t="n"/>
      <c r="L227" s="16" t="n"/>
      <c r="M227" s="16" t="n"/>
      <c r="N227" s="16" t="n"/>
      <c r="O227" s="16" t="n"/>
      <c r="P227" s="17" t="n"/>
      <c r="Q227" s="41" t="n"/>
      <c r="R227" s="41" t="n"/>
      <c r="S227" s="120">
        <f>DADOS_AM!$JH$18</f>
        <v/>
      </c>
      <c r="T227" s="17" t="n"/>
      <c r="U227" s="118">
        <f>DADOS_AM!$JI$18</f>
        <v/>
      </c>
      <c r="V227" s="16" t="n"/>
      <c r="W227" s="16" t="n"/>
      <c r="X227" s="16" t="n"/>
      <c r="Y227" s="16" t="n"/>
      <c r="Z227" s="16" t="n"/>
      <c r="AA227" s="16" t="n"/>
      <c r="AB227" s="16" t="n"/>
      <c r="AC227" s="16" t="n"/>
      <c r="AD227" s="16" t="n"/>
      <c r="AE227" s="17" t="n"/>
      <c r="AF227" s="41" t="n"/>
      <c r="AG227" s="41" t="n"/>
      <c r="AH227" s="120">
        <f>DADOS_AM!$JH$19</f>
        <v/>
      </c>
      <c r="AI227" s="17" t="n"/>
      <c r="AJ227" s="118">
        <f>DADOS_AM!$JI$19</f>
        <v/>
      </c>
      <c r="AK227" s="16" t="n"/>
      <c r="AL227" s="16" t="n"/>
      <c r="AM227" s="16" t="n"/>
      <c r="AN227" s="16" t="n"/>
      <c r="AO227" s="16" t="n"/>
      <c r="AP227" s="16" t="n"/>
      <c r="AQ227" s="16" t="n"/>
      <c r="AR227" s="16" t="n"/>
      <c r="AS227" s="16" t="n"/>
      <c r="AT227" s="17" t="n"/>
    </row>
    <row r="228" hidden="1" outlineLevel="3">
      <c r="A228" s="8" t="n"/>
      <c r="B228" s="14" t="n"/>
      <c r="C228" s="41" t="n"/>
      <c r="D228" s="121">
        <f>DADOS_AM!$JJ$17</f>
        <v/>
      </c>
      <c r="E228" s="16" t="n"/>
      <c r="F228" s="17" t="n"/>
      <c r="G228" s="121">
        <f>DADOS_AM!$JK$17</f>
        <v/>
      </c>
      <c r="H228" s="16" t="n"/>
      <c r="I228" s="16" t="n"/>
      <c r="J228" s="17" t="n"/>
      <c r="K228" s="121">
        <f>DADOS_AM!$JL$17</f>
        <v/>
      </c>
      <c r="L228" s="16" t="n"/>
      <c r="M228" s="16" t="n"/>
      <c r="N228" s="16" t="n"/>
      <c r="O228" s="16" t="n"/>
      <c r="P228" s="17" t="n"/>
      <c r="Q228" s="41" t="n"/>
      <c r="R228" s="41" t="n"/>
      <c r="S228" s="121">
        <f>DADOS_AM!$JJ$18</f>
        <v/>
      </c>
      <c r="T228" s="16" t="n"/>
      <c r="U228" s="17" t="n"/>
      <c r="V228" s="121">
        <f>DADOS_AM!$JK$18</f>
        <v/>
      </c>
      <c r="W228" s="16" t="n"/>
      <c r="X228" s="16" t="n"/>
      <c r="Y228" s="17" t="n"/>
      <c r="Z228" s="121">
        <f>DADOS_AM!$JL$18</f>
        <v/>
      </c>
      <c r="AA228" s="16" t="n"/>
      <c r="AB228" s="16" t="n"/>
      <c r="AC228" s="16" t="n"/>
      <c r="AD228" s="16" t="n"/>
      <c r="AE228" s="17" t="n"/>
      <c r="AF228" s="41" t="n"/>
      <c r="AG228" s="41" t="n"/>
      <c r="AH228" s="121">
        <f>DADOS_AM!$JJ$19</f>
        <v/>
      </c>
      <c r="AI228" s="16" t="n"/>
      <c r="AJ228" s="17" t="n"/>
      <c r="AK228" s="121">
        <f>DADOS_AM!$JK$19</f>
        <v/>
      </c>
      <c r="AL228" s="16" t="n"/>
      <c r="AM228" s="16" t="n"/>
      <c r="AN228" s="17" t="n"/>
      <c r="AO228" s="121">
        <f>DADOS_AM!$JL$19</f>
        <v/>
      </c>
      <c r="AP228" s="16" t="n"/>
      <c r="AQ228" s="16" t="n"/>
      <c r="AR228" s="16" t="n"/>
      <c r="AS228" s="16" t="n"/>
      <c r="AT228" s="17" t="n"/>
    </row>
    <row r="229" hidden="1" outlineLevel="4">
      <c r="A229" s="8" t="n"/>
      <c r="B229" s="14" t="n"/>
      <c r="C229" s="41" t="n"/>
      <c r="D229" s="119">
        <f>DADOS_AM!$JM$17</f>
        <v/>
      </c>
      <c r="E229" s="19" t="n"/>
      <c r="F229" s="19" t="n"/>
      <c r="G229" s="19" t="n"/>
      <c r="H229" s="19" t="n"/>
      <c r="I229" s="19" t="n"/>
      <c r="J229" s="19" t="n"/>
      <c r="K229" s="19" t="n"/>
      <c r="L229" s="19" t="n"/>
      <c r="M229" s="19" t="n"/>
      <c r="N229" s="19" t="n"/>
      <c r="O229" s="19" t="n"/>
      <c r="P229" s="20" t="n"/>
      <c r="Q229" s="41" t="n"/>
      <c r="R229" s="41" t="n"/>
      <c r="S229" s="119">
        <f>DADOS_AM!$JM$18</f>
        <v/>
      </c>
      <c r="T229" s="19" t="n"/>
      <c r="U229" s="19" t="n"/>
      <c r="V229" s="19" t="n"/>
      <c r="W229" s="19" t="n"/>
      <c r="X229" s="19" t="n"/>
      <c r="Y229" s="19" t="n"/>
      <c r="Z229" s="19" t="n"/>
      <c r="AA229" s="19" t="n"/>
      <c r="AB229" s="19" t="n"/>
      <c r="AC229" s="19" t="n"/>
      <c r="AD229" s="19" t="n"/>
      <c r="AE229" s="20" t="n"/>
      <c r="AF229" s="41" t="n"/>
      <c r="AG229" s="41" t="n"/>
      <c r="AH229" s="119">
        <f>DADOS_AM!$JM$19</f>
        <v/>
      </c>
      <c r="AI229" s="19" t="n"/>
      <c r="AJ229" s="19" t="n"/>
      <c r="AK229" s="19" t="n"/>
      <c r="AL229" s="19" t="n"/>
      <c r="AM229" s="19" t="n"/>
      <c r="AN229" s="19" t="n"/>
      <c r="AO229" s="19" t="n"/>
      <c r="AP229" s="19" t="n"/>
      <c r="AQ229" s="19" t="n"/>
      <c r="AR229" s="19" t="n"/>
      <c r="AS229" s="19" t="n"/>
      <c r="AT229" s="20" t="n"/>
    </row>
    <row r="230" hidden="1" outlineLevel="4">
      <c r="A230" s="8" t="n"/>
      <c r="B230" s="14" t="n"/>
      <c r="C230" s="41" t="n"/>
      <c r="D230" s="21" t="n"/>
      <c r="P230" s="22" t="n"/>
      <c r="Q230" s="41" t="n"/>
      <c r="R230" s="41" t="n"/>
      <c r="S230" s="21" t="n"/>
      <c r="AE230" s="22" t="n"/>
      <c r="AF230" s="41" t="n"/>
      <c r="AG230" s="41" t="n"/>
      <c r="AH230" s="21" t="n"/>
      <c r="AT230" s="22" t="n"/>
    </row>
    <row r="231" hidden="1" outlineLevel="4">
      <c r="A231" s="8" t="n"/>
      <c r="B231" s="14" t="n"/>
      <c r="C231" s="41" t="n"/>
      <c r="D231" s="21" t="n"/>
      <c r="P231" s="22" t="n"/>
      <c r="Q231" s="41" t="n"/>
      <c r="R231" s="41" t="n"/>
      <c r="S231" s="21" t="n"/>
      <c r="AE231" s="22" t="n"/>
      <c r="AF231" s="41" t="n"/>
      <c r="AG231" s="41" t="n"/>
      <c r="AH231" s="21" t="n"/>
      <c r="AT231" s="22"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1" t="n"/>
      <c r="P233" s="22" t="n"/>
      <c r="Q233" s="41" t="n"/>
      <c r="R233" s="41" t="n"/>
      <c r="S233" s="21" t="n"/>
      <c r="AE233" s="22" t="n"/>
      <c r="AF233" s="41" t="n"/>
      <c r="AG233" s="41" t="n"/>
      <c r="AH233" s="21" t="n"/>
      <c r="AT233" s="22" t="n"/>
    </row>
    <row r="234" hidden="1" outlineLevel="4">
      <c r="A234" s="8" t="n"/>
      <c r="B234" s="14" t="n"/>
      <c r="C234" s="41" t="n"/>
      <c r="D234" s="21" t="n"/>
      <c r="P234" s="22" t="n"/>
      <c r="Q234" s="41" t="n"/>
      <c r="R234" s="41" t="n"/>
      <c r="S234" s="21" t="n"/>
      <c r="AE234" s="22" t="n"/>
      <c r="AF234" s="41" t="n"/>
      <c r="AG234" s="41" t="n"/>
      <c r="AH234" s="21" t="n"/>
      <c r="AT234" s="22" t="n"/>
    </row>
    <row r="235" hidden="1" outlineLevel="4">
      <c r="A235" s="8" t="n"/>
      <c r="B235" s="14" t="n"/>
      <c r="C235" s="41" t="n"/>
      <c r="D235" s="23" t="n"/>
      <c r="E235" s="24" t="n"/>
      <c r="F235" s="24" t="n"/>
      <c r="G235" s="24" t="n"/>
      <c r="H235" s="24" t="n"/>
      <c r="I235" s="24" t="n"/>
      <c r="J235" s="24" t="n"/>
      <c r="K235" s="24" t="n"/>
      <c r="L235" s="24" t="n"/>
      <c r="M235" s="24" t="n"/>
      <c r="N235" s="24" t="n"/>
      <c r="O235" s="24" t="n"/>
      <c r="P235" s="25" t="n"/>
      <c r="Q235" s="41" t="n"/>
      <c r="R235" s="41" t="n"/>
      <c r="S235" s="23" t="n"/>
      <c r="T235" s="24" t="n"/>
      <c r="U235" s="24" t="n"/>
      <c r="V235" s="24" t="n"/>
      <c r="W235" s="24" t="n"/>
      <c r="X235" s="24" t="n"/>
      <c r="Y235" s="24" t="n"/>
      <c r="Z235" s="24" t="n"/>
      <c r="AA235" s="24" t="n"/>
      <c r="AB235" s="24" t="n"/>
      <c r="AC235" s="24" t="n"/>
      <c r="AD235" s="24" t="n"/>
      <c r="AE235" s="25" t="n"/>
      <c r="AF235" s="41" t="n"/>
      <c r="AG235" s="41" t="n"/>
      <c r="AH235" s="23" t="n"/>
      <c r="AI235" s="24" t="n"/>
      <c r="AJ235" s="24" t="n"/>
      <c r="AK235" s="24" t="n"/>
      <c r="AL235" s="24" t="n"/>
      <c r="AM235" s="24" t="n"/>
      <c r="AN235" s="24" t="n"/>
      <c r="AO235" s="24" t="n"/>
      <c r="AP235" s="24" t="n"/>
      <c r="AQ235" s="24" t="n"/>
      <c r="AR235" s="24" t="n"/>
      <c r="AS235" s="24" t="n"/>
      <c r="AT235" s="25" t="n"/>
    </row>
    <row r="236" outlineLevel="2">
      <c r="A236" s="8" t="n"/>
      <c r="B236" s="14" t="n"/>
      <c r="C236" s="41" t="n"/>
      <c r="D236" s="122">
        <f>DADOS_AM!$KQ$12</f>
        <v/>
      </c>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c r="AA236" s="16" t="n"/>
      <c r="AB236" s="16" t="n"/>
      <c r="AC236" s="16" t="n"/>
      <c r="AD236" s="16" t="n"/>
      <c r="AE236" s="16" t="n"/>
      <c r="AF236" s="16" t="n"/>
      <c r="AG236" s="16" t="n"/>
      <c r="AH236" s="16" t="n"/>
      <c r="AI236" s="16" t="n"/>
      <c r="AJ236" s="16" t="n"/>
      <c r="AK236" s="16" t="n"/>
      <c r="AL236" s="16" t="n"/>
      <c r="AM236" s="16" t="n"/>
      <c r="AN236" s="16" t="n"/>
      <c r="AO236" s="16" t="n"/>
      <c r="AP236" s="16" t="n"/>
      <c r="AQ236" s="16" t="n"/>
      <c r="AR236" s="16" t="n"/>
      <c r="AS236" s="16" t="n"/>
      <c r="AT236" s="17" t="n"/>
    </row>
    <row r="237" hidden="1" outlineLevel="3">
      <c r="A237" s="8" t="n"/>
      <c r="B237" s="14" t="n"/>
      <c r="C237" s="41" t="n"/>
      <c r="D237" s="120">
        <f>DADOS_AM!$JH$20</f>
        <v/>
      </c>
      <c r="E237" s="17" t="n"/>
      <c r="F237" s="118">
        <f>DADOS_AM!$JI$20</f>
        <v/>
      </c>
      <c r="G237" s="16" t="n"/>
      <c r="H237" s="16" t="n"/>
      <c r="I237" s="16" t="n"/>
      <c r="J237" s="16" t="n"/>
      <c r="K237" s="16" t="n"/>
      <c r="L237" s="16" t="n"/>
      <c r="M237" s="16" t="n"/>
      <c r="N237" s="16" t="n"/>
      <c r="O237" s="16" t="n"/>
      <c r="P237" s="17" t="n"/>
      <c r="Q237" s="41" t="n"/>
      <c r="R237" s="41" t="n"/>
      <c r="S237" s="120">
        <f>DADOS_AM!$JH$21</f>
        <v/>
      </c>
      <c r="T237" s="17" t="n"/>
      <c r="U237" s="118">
        <f>DADOS_AM!$JI$21</f>
        <v/>
      </c>
      <c r="V237" s="16" t="n"/>
      <c r="W237" s="16" t="n"/>
      <c r="X237" s="16" t="n"/>
      <c r="Y237" s="16" t="n"/>
      <c r="Z237" s="16" t="n"/>
      <c r="AA237" s="16" t="n"/>
      <c r="AB237" s="16" t="n"/>
      <c r="AC237" s="16" t="n"/>
      <c r="AD237" s="16" t="n"/>
      <c r="AE237" s="17" t="n"/>
      <c r="AF237" s="41" t="n"/>
      <c r="AG237" s="41" t="n"/>
      <c r="AH237" s="120">
        <f>DADOS_AM!$JH$22</f>
        <v/>
      </c>
      <c r="AI237" s="17" t="n"/>
      <c r="AJ237" s="118">
        <f>DADOS_AM!$JI$22</f>
        <v/>
      </c>
      <c r="AK237" s="16" t="n"/>
      <c r="AL237" s="16" t="n"/>
      <c r="AM237" s="16" t="n"/>
      <c r="AN237" s="16" t="n"/>
      <c r="AO237" s="16" t="n"/>
      <c r="AP237" s="16" t="n"/>
      <c r="AQ237" s="16" t="n"/>
      <c r="AR237" s="16" t="n"/>
      <c r="AS237" s="16" t="n"/>
      <c r="AT237" s="17" t="n"/>
    </row>
    <row r="238" hidden="1" outlineLevel="3">
      <c r="A238" s="8" t="n"/>
      <c r="B238" s="14" t="n"/>
      <c r="C238" s="41" t="n"/>
      <c r="D238" s="121">
        <f>DADOS_AM!$JJ$20</f>
        <v/>
      </c>
      <c r="E238" s="16" t="n"/>
      <c r="F238" s="17" t="n"/>
      <c r="G238" s="121">
        <f>DADOS_AM!$JK$20</f>
        <v/>
      </c>
      <c r="H238" s="16" t="n"/>
      <c r="I238" s="16" t="n"/>
      <c r="J238" s="17" t="n"/>
      <c r="K238" s="121">
        <f>DADOS_AM!$JL$20</f>
        <v/>
      </c>
      <c r="L238" s="16" t="n"/>
      <c r="M238" s="16" t="n"/>
      <c r="N238" s="16" t="n"/>
      <c r="O238" s="16" t="n"/>
      <c r="P238" s="17" t="n"/>
      <c r="Q238" s="41" t="n"/>
      <c r="R238" s="41" t="n"/>
      <c r="S238" s="121">
        <f>DADOS_AM!$JJ$21</f>
        <v/>
      </c>
      <c r="T238" s="16" t="n"/>
      <c r="U238" s="17" t="n"/>
      <c r="V238" s="121">
        <f>DADOS_AM!$JK$21</f>
        <v/>
      </c>
      <c r="W238" s="16" t="n"/>
      <c r="X238" s="16" t="n"/>
      <c r="Y238" s="17" t="n"/>
      <c r="Z238" s="121">
        <f>DADOS_AM!$JL$21</f>
        <v/>
      </c>
      <c r="AA238" s="16" t="n"/>
      <c r="AB238" s="16" t="n"/>
      <c r="AC238" s="16" t="n"/>
      <c r="AD238" s="16" t="n"/>
      <c r="AE238" s="17" t="n"/>
      <c r="AF238" s="41" t="n"/>
      <c r="AG238" s="41" t="n"/>
      <c r="AH238" s="121">
        <f>DADOS_AM!$JJ$22</f>
        <v/>
      </c>
      <c r="AI238" s="16" t="n"/>
      <c r="AJ238" s="17" t="n"/>
      <c r="AK238" s="121">
        <f>DADOS_AM!$JK$22</f>
        <v/>
      </c>
      <c r="AL238" s="16" t="n"/>
      <c r="AM238" s="16" t="n"/>
      <c r="AN238" s="17" t="n"/>
      <c r="AO238" s="121">
        <f>DADOS_AM!$JL$22</f>
        <v/>
      </c>
      <c r="AP238" s="16" t="n"/>
      <c r="AQ238" s="16" t="n"/>
      <c r="AR238" s="16" t="n"/>
      <c r="AS238" s="16" t="n"/>
      <c r="AT238" s="17" t="n"/>
    </row>
    <row r="239" hidden="1" outlineLevel="4">
      <c r="A239" s="8" t="n"/>
      <c r="B239" s="14" t="n"/>
      <c r="C239" s="41" t="n"/>
      <c r="D239" s="119">
        <f>DADOS_AM!$JM$20</f>
        <v/>
      </c>
      <c r="E239" s="19" t="n"/>
      <c r="F239" s="19" t="n"/>
      <c r="G239" s="19" t="n"/>
      <c r="H239" s="19" t="n"/>
      <c r="I239" s="19" t="n"/>
      <c r="J239" s="19" t="n"/>
      <c r="K239" s="19" t="n"/>
      <c r="L239" s="19" t="n"/>
      <c r="M239" s="19" t="n"/>
      <c r="N239" s="19" t="n"/>
      <c r="O239" s="19" t="n"/>
      <c r="P239" s="20" t="n"/>
      <c r="Q239" s="41" t="n"/>
      <c r="R239" s="41" t="n"/>
      <c r="S239" s="119">
        <f>DADOS_AM!$JM$21</f>
        <v/>
      </c>
      <c r="T239" s="19" t="n"/>
      <c r="U239" s="19" t="n"/>
      <c r="V239" s="19" t="n"/>
      <c r="W239" s="19" t="n"/>
      <c r="X239" s="19" t="n"/>
      <c r="Y239" s="19" t="n"/>
      <c r="Z239" s="19" t="n"/>
      <c r="AA239" s="19" t="n"/>
      <c r="AB239" s="19" t="n"/>
      <c r="AC239" s="19" t="n"/>
      <c r="AD239" s="19" t="n"/>
      <c r="AE239" s="20" t="n"/>
      <c r="AF239" s="41" t="n"/>
      <c r="AG239" s="41" t="n"/>
      <c r="AH239" s="119">
        <f>DADOS_AM!$JM$22</f>
        <v/>
      </c>
      <c r="AI239" s="19" t="n"/>
      <c r="AJ239" s="19" t="n"/>
      <c r="AK239" s="19" t="n"/>
      <c r="AL239" s="19" t="n"/>
      <c r="AM239" s="19" t="n"/>
      <c r="AN239" s="19" t="n"/>
      <c r="AO239" s="19" t="n"/>
      <c r="AP239" s="19" t="n"/>
      <c r="AQ239" s="19" t="n"/>
      <c r="AR239" s="19" t="n"/>
      <c r="AS239" s="19" t="n"/>
      <c r="AT239" s="20" t="n"/>
    </row>
    <row r="240" hidden="1" outlineLevel="4">
      <c r="A240" s="8" t="n"/>
      <c r="B240" s="14" t="n"/>
      <c r="C240" s="41" t="n"/>
      <c r="D240" s="21" t="n"/>
      <c r="P240" s="22" t="n"/>
      <c r="Q240" s="41" t="n"/>
      <c r="R240" s="41" t="n"/>
      <c r="S240" s="21" t="n"/>
      <c r="AE240" s="22" t="n"/>
      <c r="AF240" s="41" t="n"/>
      <c r="AG240" s="41" t="n"/>
      <c r="AH240" s="21" t="n"/>
      <c r="AT240" s="22" t="n"/>
    </row>
    <row r="241" hidden="1" outlineLevel="4">
      <c r="A241" s="8" t="n"/>
      <c r="B241" s="14" t="n"/>
      <c r="C241" s="41" t="n"/>
      <c r="D241" s="21" t="n"/>
      <c r="P241" s="22" t="n"/>
      <c r="Q241" s="41" t="n"/>
      <c r="R241" s="41" t="n"/>
      <c r="S241" s="21" t="n"/>
      <c r="AE241" s="22" t="n"/>
      <c r="AF241" s="41" t="n"/>
      <c r="AG241" s="41" t="n"/>
      <c r="AH241" s="21" t="n"/>
      <c r="AT241" s="22"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1" t="n"/>
      <c r="P243" s="22" t="n"/>
      <c r="Q243" s="41" t="n"/>
      <c r="R243" s="41" t="n"/>
      <c r="S243" s="21" t="n"/>
      <c r="AE243" s="22" t="n"/>
      <c r="AF243" s="41" t="n"/>
      <c r="AG243" s="41" t="n"/>
      <c r="AH243" s="21" t="n"/>
      <c r="AT243" s="22" t="n"/>
    </row>
    <row r="244" hidden="1" outlineLevel="4">
      <c r="A244" s="8" t="n"/>
      <c r="B244" s="14" t="n"/>
      <c r="C244" s="41" t="n"/>
      <c r="D244" s="21" t="n"/>
      <c r="P244" s="22" t="n"/>
      <c r="Q244" s="41" t="n"/>
      <c r="R244" s="41" t="n"/>
      <c r="S244" s="21" t="n"/>
      <c r="AE244" s="22" t="n"/>
      <c r="AF244" s="41" t="n"/>
      <c r="AG244" s="41" t="n"/>
      <c r="AH244" s="21" t="n"/>
      <c r="AT244" s="22" t="n"/>
    </row>
    <row r="245" hidden="1" outlineLevel="4">
      <c r="A245" s="8" t="n"/>
      <c r="B245" s="14" t="n"/>
      <c r="C245" s="41" t="n"/>
      <c r="D245" s="23" t="n"/>
      <c r="E245" s="24" t="n"/>
      <c r="F245" s="24" t="n"/>
      <c r="G245" s="24" t="n"/>
      <c r="H245" s="24" t="n"/>
      <c r="I245" s="24" t="n"/>
      <c r="J245" s="24" t="n"/>
      <c r="K245" s="24" t="n"/>
      <c r="L245" s="24" t="n"/>
      <c r="M245" s="24" t="n"/>
      <c r="N245" s="24" t="n"/>
      <c r="O245" s="24" t="n"/>
      <c r="P245" s="25" t="n"/>
      <c r="Q245" s="41" t="n"/>
      <c r="R245" s="41" t="n"/>
      <c r="S245" s="23" t="n"/>
      <c r="T245" s="24" t="n"/>
      <c r="U245" s="24" t="n"/>
      <c r="V245" s="24" t="n"/>
      <c r="W245" s="24" t="n"/>
      <c r="X245" s="24" t="n"/>
      <c r="Y245" s="24" t="n"/>
      <c r="Z245" s="24" t="n"/>
      <c r="AA245" s="24" t="n"/>
      <c r="AB245" s="24" t="n"/>
      <c r="AC245" s="24" t="n"/>
      <c r="AD245" s="24" t="n"/>
      <c r="AE245" s="25" t="n"/>
      <c r="AF245" s="41" t="n"/>
      <c r="AG245" s="41" t="n"/>
      <c r="AH245" s="23" t="n"/>
      <c r="AI245" s="24" t="n"/>
      <c r="AJ245" s="24" t="n"/>
      <c r="AK245" s="24" t="n"/>
      <c r="AL245" s="24" t="n"/>
      <c r="AM245" s="24" t="n"/>
      <c r="AN245" s="24" t="n"/>
      <c r="AO245" s="24" t="n"/>
      <c r="AP245" s="24" t="n"/>
      <c r="AQ245" s="24" t="n"/>
      <c r="AR245" s="24" t="n"/>
      <c r="AS245" s="24" t="n"/>
      <c r="AT245" s="25" t="n"/>
    </row>
    <row r="246" hidden="1" outlineLevel="3">
      <c r="A246" s="8" t="n"/>
      <c r="B246" s="14" t="n"/>
      <c r="C246" s="41" t="n"/>
      <c r="D246" s="41" t="n"/>
      <c r="E246" s="41" t="n"/>
      <c r="F246" s="41" t="n"/>
      <c r="G246" s="41" t="n"/>
      <c r="H246" s="41" t="n"/>
      <c r="I246" s="41" t="n"/>
      <c r="J246" s="41" t="n"/>
      <c r="K246" s="41" t="n"/>
      <c r="L246" s="41" t="n"/>
      <c r="M246" s="41" t="n"/>
      <c r="N246" s="41" t="n"/>
      <c r="O246" s="41" t="n"/>
      <c r="P246" s="41" t="n"/>
      <c r="Q246" s="41" t="n"/>
      <c r="R246" s="41" t="n"/>
      <c r="S246" s="41" t="n"/>
      <c r="T246" s="41" t="n"/>
      <c r="U246" s="41" t="n"/>
      <c r="V246" s="41" t="n"/>
      <c r="W246" s="41" t="n"/>
      <c r="X246" s="41" t="n"/>
      <c r="Y246" s="41" t="n"/>
      <c r="Z246" s="41" t="n"/>
      <c r="AA246" s="41" t="n"/>
      <c r="AB246" s="41" t="n"/>
      <c r="AC246" s="41" t="n"/>
      <c r="AD246" s="41" t="n"/>
      <c r="AE246" s="41" t="n"/>
      <c r="AF246" s="41" t="n"/>
      <c r="AG246" s="41" t="n"/>
      <c r="AH246" s="41" t="n"/>
      <c r="AI246" s="41" t="n"/>
      <c r="AJ246" s="41" t="n"/>
      <c r="AK246" s="41" t="n"/>
      <c r="AL246" s="41" t="n"/>
      <c r="AM246" s="41" t="n"/>
      <c r="AN246" s="41" t="n"/>
      <c r="AO246" s="41" t="n"/>
      <c r="AP246" s="41" t="n"/>
      <c r="AQ246" s="41" t="n"/>
      <c r="AR246" s="41" t="n"/>
      <c r="AS246" s="41" t="n"/>
      <c r="AT246" s="41" t="n"/>
    </row>
    <row r="247" hidden="1" outlineLevel="3">
      <c r="A247" s="8" t="n"/>
      <c r="B247" s="14" t="n"/>
      <c r="C247" s="41" t="n"/>
      <c r="D247" s="120">
        <f>DADOS_AM!$JH$23</f>
        <v/>
      </c>
      <c r="E247" s="17" t="n"/>
      <c r="F247" s="118">
        <f>DADOS_AM!$JI$23</f>
        <v/>
      </c>
      <c r="G247" s="16" t="n"/>
      <c r="H247" s="16" t="n"/>
      <c r="I247" s="16" t="n"/>
      <c r="J247" s="16" t="n"/>
      <c r="K247" s="16" t="n"/>
      <c r="L247" s="16" t="n"/>
      <c r="M247" s="16" t="n"/>
      <c r="N247" s="16" t="n"/>
      <c r="O247" s="16" t="n"/>
      <c r="P247" s="17" t="n"/>
      <c r="Q247" s="41" t="n"/>
      <c r="R247" s="41" t="n"/>
      <c r="S247" s="120">
        <f>DADOS_AM!$JH$24</f>
        <v/>
      </c>
      <c r="T247" s="17" t="n"/>
      <c r="U247" s="118">
        <f>DADOS_AM!$JI$24</f>
        <v/>
      </c>
      <c r="V247" s="16" t="n"/>
      <c r="W247" s="16" t="n"/>
      <c r="X247" s="16" t="n"/>
      <c r="Y247" s="16" t="n"/>
      <c r="Z247" s="16" t="n"/>
      <c r="AA247" s="16" t="n"/>
      <c r="AB247" s="16" t="n"/>
      <c r="AC247" s="16" t="n"/>
      <c r="AD247" s="16" t="n"/>
      <c r="AE247" s="17" t="n"/>
      <c r="AF247" s="41" t="n"/>
      <c r="AG247" s="41" t="n"/>
      <c r="AH247" s="120">
        <f>DADOS_AM!$JH$25</f>
        <v/>
      </c>
      <c r="AI247" s="17" t="n"/>
      <c r="AJ247" s="118">
        <f>DADOS_AM!$JI$25</f>
        <v/>
      </c>
      <c r="AK247" s="16" t="n"/>
      <c r="AL247" s="16" t="n"/>
      <c r="AM247" s="16" t="n"/>
      <c r="AN247" s="16" t="n"/>
      <c r="AO247" s="16" t="n"/>
      <c r="AP247" s="16" t="n"/>
      <c r="AQ247" s="16" t="n"/>
      <c r="AR247" s="16" t="n"/>
      <c r="AS247" s="16" t="n"/>
      <c r="AT247" s="17" t="n"/>
    </row>
    <row r="248" hidden="1" outlineLevel="3">
      <c r="A248" s="8" t="n"/>
      <c r="B248" s="14" t="n"/>
      <c r="C248" s="41" t="n"/>
      <c r="D248" s="121">
        <f>DADOS_AM!$JJ$23</f>
        <v/>
      </c>
      <c r="E248" s="16" t="n"/>
      <c r="F248" s="17" t="n"/>
      <c r="G248" s="121">
        <f>DADOS_AM!$JK$23</f>
        <v/>
      </c>
      <c r="H248" s="16" t="n"/>
      <c r="I248" s="16" t="n"/>
      <c r="J248" s="17" t="n"/>
      <c r="K248" s="121">
        <f>DADOS_AM!$JL$23</f>
        <v/>
      </c>
      <c r="L248" s="16" t="n"/>
      <c r="M248" s="16" t="n"/>
      <c r="N248" s="16" t="n"/>
      <c r="O248" s="16" t="n"/>
      <c r="P248" s="17" t="n"/>
      <c r="Q248" s="41" t="n"/>
      <c r="R248" s="41" t="n"/>
      <c r="S248" s="121">
        <f>DADOS_AM!$JJ$24</f>
        <v/>
      </c>
      <c r="T248" s="16" t="n"/>
      <c r="U248" s="17" t="n"/>
      <c r="V248" s="121">
        <f>DADOS_AM!$JK$24</f>
        <v/>
      </c>
      <c r="W248" s="16" t="n"/>
      <c r="X248" s="16" t="n"/>
      <c r="Y248" s="17" t="n"/>
      <c r="Z248" s="121">
        <f>DADOS_AM!$JL$24</f>
        <v/>
      </c>
      <c r="AA248" s="16" t="n"/>
      <c r="AB248" s="16" t="n"/>
      <c r="AC248" s="16" t="n"/>
      <c r="AD248" s="16" t="n"/>
      <c r="AE248" s="17" t="n"/>
      <c r="AF248" s="41" t="n"/>
      <c r="AG248" s="41" t="n"/>
      <c r="AH248" s="121">
        <f>DADOS_AM!$JJ$25</f>
        <v/>
      </c>
      <c r="AI248" s="16" t="n"/>
      <c r="AJ248" s="17" t="n"/>
      <c r="AK248" s="121">
        <f>DADOS_AM!$JK$25</f>
        <v/>
      </c>
      <c r="AL248" s="16" t="n"/>
      <c r="AM248" s="16" t="n"/>
      <c r="AN248" s="17" t="n"/>
      <c r="AO248" s="121">
        <f>DADOS_AM!$JL$25</f>
        <v/>
      </c>
      <c r="AP248" s="16" t="n"/>
      <c r="AQ248" s="16" t="n"/>
      <c r="AR248" s="16" t="n"/>
      <c r="AS248" s="16" t="n"/>
      <c r="AT248" s="17" t="n"/>
    </row>
    <row r="249" hidden="1" outlineLevel="4">
      <c r="A249" s="8" t="n"/>
      <c r="B249" s="14" t="n"/>
      <c r="C249" s="41" t="n"/>
      <c r="D249" s="119">
        <f>DADOS_AM!$JM$23</f>
        <v/>
      </c>
      <c r="E249" s="19" t="n"/>
      <c r="F249" s="19" t="n"/>
      <c r="G249" s="19" t="n"/>
      <c r="H249" s="19" t="n"/>
      <c r="I249" s="19" t="n"/>
      <c r="J249" s="19" t="n"/>
      <c r="K249" s="19" t="n"/>
      <c r="L249" s="19" t="n"/>
      <c r="M249" s="19" t="n"/>
      <c r="N249" s="19" t="n"/>
      <c r="O249" s="19" t="n"/>
      <c r="P249" s="20" t="n"/>
      <c r="Q249" s="41" t="n"/>
      <c r="R249" s="41" t="n"/>
      <c r="S249" s="119">
        <f>DADOS_AM!$JM$24</f>
        <v/>
      </c>
      <c r="T249" s="19" t="n"/>
      <c r="U249" s="19" t="n"/>
      <c r="V249" s="19" t="n"/>
      <c r="W249" s="19" t="n"/>
      <c r="X249" s="19" t="n"/>
      <c r="Y249" s="19" t="n"/>
      <c r="Z249" s="19" t="n"/>
      <c r="AA249" s="19" t="n"/>
      <c r="AB249" s="19" t="n"/>
      <c r="AC249" s="19" t="n"/>
      <c r="AD249" s="19" t="n"/>
      <c r="AE249" s="20" t="n"/>
      <c r="AF249" s="41" t="n"/>
      <c r="AG249" s="41" t="n"/>
      <c r="AH249" s="119">
        <f>DADOS_AM!$JM$25</f>
        <v/>
      </c>
      <c r="AI249" s="19" t="n"/>
      <c r="AJ249" s="19" t="n"/>
      <c r="AK249" s="19" t="n"/>
      <c r="AL249" s="19" t="n"/>
      <c r="AM249" s="19" t="n"/>
      <c r="AN249" s="19" t="n"/>
      <c r="AO249" s="19" t="n"/>
      <c r="AP249" s="19" t="n"/>
      <c r="AQ249" s="19" t="n"/>
      <c r="AR249" s="19" t="n"/>
      <c r="AS249" s="19" t="n"/>
      <c r="AT249" s="20" t="n"/>
    </row>
    <row r="250" hidden="1" outlineLevel="4">
      <c r="A250" s="8" t="n"/>
      <c r="B250" s="14" t="n"/>
      <c r="C250" s="41" t="n"/>
      <c r="D250" s="21" t="n"/>
      <c r="P250" s="22" t="n"/>
      <c r="Q250" s="41" t="n"/>
      <c r="R250" s="41" t="n"/>
      <c r="S250" s="21" t="n"/>
      <c r="AE250" s="22" t="n"/>
      <c r="AF250" s="41" t="n"/>
      <c r="AG250" s="41" t="n"/>
      <c r="AH250" s="21" t="n"/>
      <c r="AT250" s="22" t="n"/>
    </row>
    <row r="251" hidden="1" outlineLevel="4">
      <c r="A251" s="8" t="n"/>
      <c r="B251" s="14" t="n"/>
      <c r="C251" s="41" t="n"/>
      <c r="D251" s="21" t="n"/>
      <c r="P251" s="22" t="n"/>
      <c r="Q251" s="41" t="n"/>
      <c r="R251" s="41" t="n"/>
      <c r="S251" s="21" t="n"/>
      <c r="AE251" s="22" t="n"/>
      <c r="AF251" s="41" t="n"/>
      <c r="AG251" s="41" t="n"/>
      <c r="AH251" s="21" t="n"/>
      <c r="AT251" s="22"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1" t="n"/>
      <c r="P253" s="22" t="n"/>
      <c r="Q253" s="41" t="n"/>
      <c r="R253" s="41" t="n"/>
      <c r="S253" s="21" t="n"/>
      <c r="AE253" s="22" t="n"/>
      <c r="AF253" s="41" t="n"/>
      <c r="AG253" s="41" t="n"/>
      <c r="AH253" s="21" t="n"/>
      <c r="AT253" s="22" t="n"/>
    </row>
    <row r="254" hidden="1" outlineLevel="4">
      <c r="A254" s="8" t="n"/>
      <c r="B254" s="14" t="n"/>
      <c r="C254" s="41" t="n"/>
      <c r="D254" s="21" t="n"/>
      <c r="P254" s="22" t="n"/>
      <c r="Q254" s="41" t="n"/>
      <c r="R254" s="41" t="n"/>
      <c r="S254" s="21" t="n"/>
      <c r="AE254" s="22" t="n"/>
      <c r="AF254" s="41" t="n"/>
      <c r="AG254" s="41" t="n"/>
      <c r="AH254" s="21" t="n"/>
      <c r="AT254" s="22" t="n"/>
    </row>
    <row r="255" hidden="1" outlineLevel="4">
      <c r="A255" s="8" t="n"/>
      <c r="B255" s="14" t="n"/>
      <c r="C255" s="41" t="n"/>
      <c r="D255" s="23" t="n"/>
      <c r="E255" s="24" t="n"/>
      <c r="F255" s="24" t="n"/>
      <c r="G255" s="24" t="n"/>
      <c r="H255" s="24" t="n"/>
      <c r="I255" s="24" t="n"/>
      <c r="J255" s="24" t="n"/>
      <c r="K255" s="24" t="n"/>
      <c r="L255" s="24" t="n"/>
      <c r="M255" s="24" t="n"/>
      <c r="N255" s="24" t="n"/>
      <c r="O255" s="24" t="n"/>
      <c r="P255" s="25" t="n"/>
      <c r="Q255" s="41" t="n"/>
      <c r="R255" s="41" t="n"/>
      <c r="S255" s="23" t="n"/>
      <c r="T255" s="24" t="n"/>
      <c r="U255" s="24" t="n"/>
      <c r="V255" s="24" t="n"/>
      <c r="W255" s="24" t="n"/>
      <c r="X255" s="24" t="n"/>
      <c r="Y255" s="24" t="n"/>
      <c r="Z255" s="24" t="n"/>
      <c r="AA255" s="24" t="n"/>
      <c r="AB255" s="24" t="n"/>
      <c r="AC255" s="24" t="n"/>
      <c r="AD255" s="24" t="n"/>
      <c r="AE255" s="25" t="n"/>
      <c r="AF255" s="41" t="n"/>
      <c r="AG255" s="41" t="n"/>
      <c r="AH255" s="23" t="n"/>
      <c r="AI255" s="24" t="n"/>
      <c r="AJ255" s="24" t="n"/>
      <c r="AK255" s="24" t="n"/>
      <c r="AL255" s="24" t="n"/>
      <c r="AM255" s="24" t="n"/>
      <c r="AN255" s="24" t="n"/>
      <c r="AO255" s="24" t="n"/>
      <c r="AP255" s="24" t="n"/>
      <c r="AQ255" s="24" t="n"/>
      <c r="AR255" s="24" t="n"/>
      <c r="AS255" s="24" t="n"/>
      <c r="AT255" s="25" t="n"/>
    </row>
    <row r="256" outlineLevel="2">
      <c r="A256" s="8" t="n"/>
      <c r="B256" s="14" t="n"/>
      <c r="C256" s="41" t="n"/>
      <c r="D256" s="122">
        <f>DADOS_AM!$KQ$13</f>
        <v/>
      </c>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c r="AA256" s="16" t="n"/>
      <c r="AB256" s="16" t="n"/>
      <c r="AC256" s="16" t="n"/>
      <c r="AD256" s="16" t="n"/>
      <c r="AE256" s="16" t="n"/>
      <c r="AF256" s="16" t="n"/>
      <c r="AG256" s="16" t="n"/>
      <c r="AH256" s="16" t="n"/>
      <c r="AI256" s="16" t="n"/>
      <c r="AJ256" s="16" t="n"/>
      <c r="AK256" s="16" t="n"/>
      <c r="AL256" s="16" t="n"/>
      <c r="AM256" s="16" t="n"/>
      <c r="AN256" s="16" t="n"/>
      <c r="AO256" s="16" t="n"/>
      <c r="AP256" s="16" t="n"/>
      <c r="AQ256" s="16" t="n"/>
      <c r="AR256" s="16" t="n"/>
      <c r="AS256" s="16" t="n"/>
      <c r="AT256" s="17" t="n"/>
    </row>
    <row r="257" hidden="1" outlineLevel="3">
      <c r="A257" s="8" t="n"/>
      <c r="B257" s="14" t="n"/>
      <c r="C257" s="41" t="n"/>
      <c r="D257" s="120">
        <f>DADOS_AM!$JH$26</f>
        <v/>
      </c>
      <c r="E257" s="17" t="n"/>
      <c r="F257" s="118">
        <f>DADOS_AM!$JI$26</f>
        <v/>
      </c>
      <c r="G257" s="16" t="n"/>
      <c r="H257" s="16" t="n"/>
      <c r="I257" s="16" t="n"/>
      <c r="J257" s="16" t="n"/>
      <c r="K257" s="16" t="n"/>
      <c r="L257" s="16" t="n"/>
      <c r="M257" s="16" t="n"/>
      <c r="N257" s="16" t="n"/>
      <c r="O257" s="16" t="n"/>
      <c r="P257" s="17" t="n"/>
      <c r="Q257" s="41" t="n"/>
      <c r="R257" s="41" t="n"/>
      <c r="S257" s="120">
        <f>DADOS_AM!$JH$27</f>
        <v/>
      </c>
      <c r="T257" s="17" t="n"/>
      <c r="U257" s="118">
        <f>DADOS_AM!$JI$27</f>
        <v/>
      </c>
      <c r="V257" s="16" t="n"/>
      <c r="W257" s="16" t="n"/>
      <c r="X257" s="16" t="n"/>
      <c r="Y257" s="16" t="n"/>
      <c r="Z257" s="16" t="n"/>
      <c r="AA257" s="16" t="n"/>
      <c r="AB257" s="16" t="n"/>
      <c r="AC257" s="16" t="n"/>
      <c r="AD257" s="16" t="n"/>
      <c r="AE257" s="17" t="n"/>
      <c r="AF257" s="41" t="n"/>
      <c r="AG257" s="41" t="n"/>
      <c r="AH257" s="120">
        <f>DADOS_AM!$JH$28</f>
        <v/>
      </c>
      <c r="AI257" s="17" t="n"/>
      <c r="AJ257" s="118">
        <f>DADOS_AM!$JI$28</f>
        <v/>
      </c>
      <c r="AK257" s="16" t="n"/>
      <c r="AL257" s="16" t="n"/>
      <c r="AM257" s="16" t="n"/>
      <c r="AN257" s="16" t="n"/>
      <c r="AO257" s="16" t="n"/>
      <c r="AP257" s="16" t="n"/>
      <c r="AQ257" s="16" t="n"/>
      <c r="AR257" s="16" t="n"/>
      <c r="AS257" s="16" t="n"/>
      <c r="AT257" s="17" t="n"/>
    </row>
    <row r="258" hidden="1" outlineLevel="3">
      <c r="A258" s="8" t="n"/>
      <c r="B258" s="14" t="n"/>
      <c r="C258" s="41" t="n"/>
      <c r="D258" s="121">
        <f>DADOS_AM!$JJ$26</f>
        <v/>
      </c>
      <c r="E258" s="16" t="n"/>
      <c r="F258" s="17" t="n"/>
      <c r="G258" s="121">
        <f>DADOS_AM!$JK$26</f>
        <v/>
      </c>
      <c r="H258" s="16" t="n"/>
      <c r="I258" s="16" t="n"/>
      <c r="J258" s="17" t="n"/>
      <c r="K258" s="121">
        <f>DADOS_AM!$JL$26</f>
        <v/>
      </c>
      <c r="L258" s="16" t="n"/>
      <c r="M258" s="16" t="n"/>
      <c r="N258" s="16" t="n"/>
      <c r="O258" s="16" t="n"/>
      <c r="P258" s="17" t="n"/>
      <c r="Q258" s="41" t="n"/>
      <c r="R258" s="41" t="n"/>
      <c r="S258" s="121">
        <f>DADOS_AM!$JJ$27</f>
        <v/>
      </c>
      <c r="T258" s="16" t="n"/>
      <c r="U258" s="17" t="n"/>
      <c r="V258" s="121">
        <f>DADOS_AM!$JK$27</f>
        <v/>
      </c>
      <c r="W258" s="16" t="n"/>
      <c r="X258" s="16" t="n"/>
      <c r="Y258" s="17" t="n"/>
      <c r="Z258" s="121">
        <f>DADOS_AM!$JL$27</f>
        <v/>
      </c>
      <c r="AA258" s="16" t="n"/>
      <c r="AB258" s="16" t="n"/>
      <c r="AC258" s="16" t="n"/>
      <c r="AD258" s="16" t="n"/>
      <c r="AE258" s="17" t="n"/>
      <c r="AF258" s="41" t="n"/>
      <c r="AG258" s="41" t="n"/>
      <c r="AH258" s="121">
        <f>DADOS_AM!$JJ$28</f>
        <v/>
      </c>
      <c r="AI258" s="16" t="n"/>
      <c r="AJ258" s="17" t="n"/>
      <c r="AK258" s="121">
        <f>DADOS_AM!$JK$28</f>
        <v/>
      </c>
      <c r="AL258" s="16" t="n"/>
      <c r="AM258" s="16" t="n"/>
      <c r="AN258" s="17" t="n"/>
      <c r="AO258" s="121">
        <f>DADOS_AM!$JL$28</f>
        <v/>
      </c>
      <c r="AP258" s="16" t="n"/>
      <c r="AQ258" s="16" t="n"/>
      <c r="AR258" s="16" t="n"/>
      <c r="AS258" s="16" t="n"/>
      <c r="AT258" s="17" t="n"/>
    </row>
    <row r="259" hidden="1" outlineLevel="4">
      <c r="A259" s="8" t="n"/>
      <c r="B259" s="14" t="n"/>
      <c r="C259" s="41" t="n"/>
      <c r="D259" s="119">
        <f>DADOS_AM!$JM$26</f>
        <v/>
      </c>
      <c r="E259" s="19" t="n"/>
      <c r="F259" s="19" t="n"/>
      <c r="G259" s="19" t="n"/>
      <c r="H259" s="19" t="n"/>
      <c r="I259" s="19" t="n"/>
      <c r="J259" s="19" t="n"/>
      <c r="K259" s="19" t="n"/>
      <c r="L259" s="19" t="n"/>
      <c r="M259" s="19" t="n"/>
      <c r="N259" s="19" t="n"/>
      <c r="O259" s="19" t="n"/>
      <c r="P259" s="20" t="n"/>
      <c r="Q259" s="41" t="n"/>
      <c r="R259" s="41" t="n"/>
      <c r="S259" s="119">
        <f>DADOS_AM!$JM$27</f>
        <v/>
      </c>
      <c r="T259" s="19" t="n"/>
      <c r="U259" s="19" t="n"/>
      <c r="V259" s="19" t="n"/>
      <c r="W259" s="19" t="n"/>
      <c r="X259" s="19" t="n"/>
      <c r="Y259" s="19" t="n"/>
      <c r="Z259" s="19" t="n"/>
      <c r="AA259" s="19" t="n"/>
      <c r="AB259" s="19" t="n"/>
      <c r="AC259" s="19" t="n"/>
      <c r="AD259" s="19" t="n"/>
      <c r="AE259" s="20" t="n"/>
      <c r="AF259" s="41" t="n"/>
      <c r="AG259" s="41" t="n"/>
      <c r="AH259" s="119">
        <f>DADOS_AM!$JM$28</f>
        <v/>
      </c>
      <c r="AI259" s="19" t="n"/>
      <c r="AJ259" s="19" t="n"/>
      <c r="AK259" s="19" t="n"/>
      <c r="AL259" s="19" t="n"/>
      <c r="AM259" s="19" t="n"/>
      <c r="AN259" s="19" t="n"/>
      <c r="AO259" s="19" t="n"/>
      <c r="AP259" s="19" t="n"/>
      <c r="AQ259" s="19" t="n"/>
      <c r="AR259" s="19" t="n"/>
      <c r="AS259" s="19" t="n"/>
      <c r="AT259" s="20" t="n"/>
    </row>
    <row r="260" hidden="1" outlineLevel="4">
      <c r="A260" s="8" t="n"/>
      <c r="B260" s="14" t="n"/>
      <c r="C260" s="41" t="n"/>
      <c r="D260" s="21" t="n"/>
      <c r="P260" s="22" t="n"/>
      <c r="Q260" s="41" t="n"/>
      <c r="R260" s="41" t="n"/>
      <c r="S260" s="21" t="n"/>
      <c r="AE260" s="22" t="n"/>
      <c r="AF260" s="41" t="n"/>
      <c r="AG260" s="41" t="n"/>
      <c r="AH260" s="21" t="n"/>
      <c r="AT260" s="22" t="n"/>
    </row>
    <row r="261" hidden="1" outlineLevel="4">
      <c r="A261" s="8" t="n"/>
      <c r="B261" s="14" t="n"/>
      <c r="C261" s="41" t="n"/>
      <c r="D261" s="21" t="n"/>
      <c r="P261" s="22" t="n"/>
      <c r="Q261" s="41" t="n"/>
      <c r="R261" s="41" t="n"/>
      <c r="S261" s="21" t="n"/>
      <c r="AE261" s="22" t="n"/>
      <c r="AF261" s="41" t="n"/>
      <c r="AG261" s="41" t="n"/>
      <c r="AH261" s="21" t="n"/>
      <c r="AT261" s="22"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1" t="n"/>
      <c r="P263" s="22" t="n"/>
      <c r="Q263" s="41" t="n"/>
      <c r="R263" s="41" t="n"/>
      <c r="S263" s="21" t="n"/>
      <c r="AE263" s="22" t="n"/>
      <c r="AF263" s="41" t="n"/>
      <c r="AG263" s="41" t="n"/>
      <c r="AH263" s="21" t="n"/>
      <c r="AT263" s="22" t="n"/>
    </row>
    <row r="264" hidden="1" outlineLevel="4">
      <c r="A264" s="8" t="n"/>
      <c r="B264" s="14" t="n"/>
      <c r="C264" s="41" t="n"/>
      <c r="D264" s="21" t="n"/>
      <c r="P264" s="22" t="n"/>
      <c r="Q264" s="41" t="n"/>
      <c r="R264" s="41" t="n"/>
      <c r="S264" s="21" t="n"/>
      <c r="AE264" s="22" t="n"/>
      <c r="AF264" s="41" t="n"/>
      <c r="AG264" s="41" t="n"/>
      <c r="AH264" s="21" t="n"/>
      <c r="AT264" s="22" t="n"/>
    </row>
    <row r="265" hidden="1" outlineLevel="4">
      <c r="A265" s="8" t="n"/>
      <c r="B265" s="14" t="n"/>
      <c r="C265" s="41" t="n"/>
      <c r="D265" s="23" t="n"/>
      <c r="E265" s="24" t="n"/>
      <c r="F265" s="24" t="n"/>
      <c r="G265" s="24" t="n"/>
      <c r="H265" s="24" t="n"/>
      <c r="I265" s="24" t="n"/>
      <c r="J265" s="24" t="n"/>
      <c r="K265" s="24" t="n"/>
      <c r="L265" s="24" t="n"/>
      <c r="M265" s="24" t="n"/>
      <c r="N265" s="24" t="n"/>
      <c r="O265" s="24" t="n"/>
      <c r="P265" s="25" t="n"/>
      <c r="Q265" s="41" t="n"/>
      <c r="R265" s="41" t="n"/>
      <c r="S265" s="23" t="n"/>
      <c r="T265" s="24" t="n"/>
      <c r="U265" s="24" t="n"/>
      <c r="V265" s="24" t="n"/>
      <c r="W265" s="24" t="n"/>
      <c r="X265" s="24" t="n"/>
      <c r="Y265" s="24" t="n"/>
      <c r="Z265" s="24" t="n"/>
      <c r="AA265" s="24" t="n"/>
      <c r="AB265" s="24" t="n"/>
      <c r="AC265" s="24" t="n"/>
      <c r="AD265" s="24" t="n"/>
      <c r="AE265" s="25" t="n"/>
      <c r="AF265" s="41" t="n"/>
      <c r="AG265" s="41" t="n"/>
      <c r="AH265" s="23" t="n"/>
      <c r="AI265" s="24" t="n"/>
      <c r="AJ265" s="24" t="n"/>
      <c r="AK265" s="24" t="n"/>
      <c r="AL265" s="24" t="n"/>
      <c r="AM265" s="24" t="n"/>
      <c r="AN265" s="24" t="n"/>
      <c r="AO265" s="24" t="n"/>
      <c r="AP265" s="24" t="n"/>
      <c r="AQ265" s="24" t="n"/>
      <c r="AR265" s="24" t="n"/>
      <c r="AS265" s="24" t="n"/>
      <c r="AT265" s="25" t="n"/>
    </row>
    <row r="266" hidden="1" outlineLevel="3">
      <c r="A266" s="8" t="n"/>
      <c r="B266" s="14" t="n"/>
      <c r="C266" s="41" t="n"/>
      <c r="D266" s="41" t="n"/>
      <c r="E266" s="41" t="n"/>
      <c r="F266" s="41" t="n"/>
      <c r="G266" s="41" t="n"/>
      <c r="H266" s="41" t="n"/>
      <c r="I266" s="41" t="n"/>
      <c r="J266" s="41" t="n"/>
      <c r="K266" s="41" t="n"/>
      <c r="L266" s="41" t="n"/>
      <c r="M266" s="41" t="n"/>
      <c r="N266" s="41" t="n"/>
      <c r="O266" s="41" t="n"/>
      <c r="P266" s="41" t="n"/>
      <c r="Q266" s="41" t="n"/>
      <c r="R266" s="41" t="n"/>
      <c r="S266" s="41" t="n"/>
      <c r="T266" s="41" t="n"/>
      <c r="U266" s="41" t="n"/>
      <c r="V266" s="41" t="n"/>
      <c r="W266" s="41" t="n"/>
      <c r="X266" s="41" t="n"/>
      <c r="Y266" s="41" t="n"/>
      <c r="Z266" s="41" t="n"/>
      <c r="AA266" s="41" t="n"/>
      <c r="AB266" s="41" t="n"/>
      <c r="AC266" s="41" t="n"/>
      <c r="AD266" s="41" t="n"/>
      <c r="AE266" s="41" t="n"/>
      <c r="AF266" s="41" t="n"/>
      <c r="AG266" s="41" t="n"/>
      <c r="AH266" s="41" t="n"/>
      <c r="AI266" s="41" t="n"/>
      <c r="AJ266" s="41" t="n"/>
      <c r="AK266" s="41" t="n"/>
      <c r="AL266" s="41" t="n"/>
      <c r="AM266" s="41" t="n"/>
      <c r="AN266" s="41" t="n"/>
      <c r="AO266" s="41" t="n"/>
      <c r="AP266" s="41" t="n"/>
      <c r="AQ266" s="41" t="n"/>
      <c r="AR266" s="41" t="n"/>
      <c r="AS266" s="41" t="n"/>
      <c r="AT266" s="41" t="n"/>
    </row>
    <row r="267" hidden="1" outlineLevel="3">
      <c r="A267" s="8" t="n"/>
      <c r="B267" s="14" t="n"/>
      <c r="C267" s="41" t="n"/>
      <c r="D267" s="120">
        <f>DADOS_AM!$JH$29</f>
        <v/>
      </c>
      <c r="E267" s="17" t="n"/>
      <c r="F267" s="118">
        <f>DADOS_AM!$JI$29</f>
        <v/>
      </c>
      <c r="G267" s="16" t="n"/>
      <c r="H267" s="16" t="n"/>
      <c r="I267" s="16" t="n"/>
      <c r="J267" s="16" t="n"/>
      <c r="K267" s="16" t="n"/>
      <c r="L267" s="16" t="n"/>
      <c r="M267" s="16" t="n"/>
      <c r="N267" s="16" t="n"/>
      <c r="O267" s="16" t="n"/>
      <c r="P267" s="17" t="n"/>
      <c r="Q267" s="41" t="n"/>
      <c r="R267" s="41" t="n"/>
      <c r="S267" s="120">
        <f>DADOS_AM!$JH$30</f>
        <v/>
      </c>
      <c r="T267" s="17" t="n"/>
      <c r="U267" s="118">
        <f>DADOS_AM!$JI$30</f>
        <v/>
      </c>
      <c r="V267" s="16" t="n"/>
      <c r="W267" s="16" t="n"/>
      <c r="X267" s="16" t="n"/>
      <c r="Y267" s="16" t="n"/>
      <c r="Z267" s="16" t="n"/>
      <c r="AA267" s="16" t="n"/>
      <c r="AB267" s="16" t="n"/>
      <c r="AC267" s="16" t="n"/>
      <c r="AD267" s="16" t="n"/>
      <c r="AE267" s="17" t="n"/>
      <c r="AF267" s="41" t="n"/>
      <c r="AG267" s="41" t="n"/>
      <c r="AH267" s="120">
        <f>DADOS_AM!$JH$31</f>
        <v/>
      </c>
      <c r="AI267" s="17" t="n"/>
      <c r="AJ267" s="118">
        <f>DADOS_AM!$JI$31</f>
        <v/>
      </c>
      <c r="AK267" s="16" t="n"/>
      <c r="AL267" s="16" t="n"/>
      <c r="AM267" s="16" t="n"/>
      <c r="AN267" s="16" t="n"/>
      <c r="AO267" s="16" t="n"/>
      <c r="AP267" s="16" t="n"/>
      <c r="AQ267" s="16" t="n"/>
      <c r="AR267" s="16" t="n"/>
      <c r="AS267" s="16" t="n"/>
      <c r="AT267" s="17" t="n"/>
    </row>
    <row r="268" hidden="1" outlineLevel="3">
      <c r="A268" s="8" t="n"/>
      <c r="B268" s="14" t="n"/>
      <c r="C268" s="41" t="n"/>
      <c r="D268" s="121">
        <f>DADOS_AM!$JJ$29</f>
        <v/>
      </c>
      <c r="E268" s="16" t="n"/>
      <c r="F268" s="17" t="n"/>
      <c r="G268" s="121">
        <f>DADOS_AM!$JK$29</f>
        <v/>
      </c>
      <c r="H268" s="16" t="n"/>
      <c r="I268" s="16" t="n"/>
      <c r="J268" s="17" t="n"/>
      <c r="K268" s="121">
        <f>DADOS_AM!$JL$29</f>
        <v/>
      </c>
      <c r="L268" s="16" t="n"/>
      <c r="M268" s="16" t="n"/>
      <c r="N268" s="16" t="n"/>
      <c r="O268" s="16" t="n"/>
      <c r="P268" s="17" t="n"/>
      <c r="Q268" s="41" t="n"/>
      <c r="R268" s="41" t="n"/>
      <c r="S268" s="121">
        <f>DADOS_AM!$JJ$30</f>
        <v/>
      </c>
      <c r="T268" s="16" t="n"/>
      <c r="U268" s="17" t="n"/>
      <c r="V268" s="121">
        <f>DADOS_AM!$JK$30</f>
        <v/>
      </c>
      <c r="W268" s="16" t="n"/>
      <c r="X268" s="16" t="n"/>
      <c r="Y268" s="17" t="n"/>
      <c r="Z268" s="121">
        <f>DADOS_AM!$JL$30</f>
        <v/>
      </c>
      <c r="AA268" s="16" t="n"/>
      <c r="AB268" s="16" t="n"/>
      <c r="AC268" s="16" t="n"/>
      <c r="AD268" s="16" t="n"/>
      <c r="AE268" s="17" t="n"/>
      <c r="AF268" s="41" t="n"/>
      <c r="AG268" s="41" t="n"/>
      <c r="AH268" s="121">
        <f>DADOS_AM!$JJ$31</f>
        <v/>
      </c>
      <c r="AI268" s="16" t="n"/>
      <c r="AJ268" s="17" t="n"/>
      <c r="AK268" s="121">
        <f>DADOS_AM!$JK$31</f>
        <v/>
      </c>
      <c r="AL268" s="16" t="n"/>
      <c r="AM268" s="16" t="n"/>
      <c r="AN268" s="17" t="n"/>
      <c r="AO268" s="121">
        <f>DADOS_AM!$JL$31</f>
        <v/>
      </c>
      <c r="AP268" s="16" t="n"/>
      <c r="AQ268" s="16" t="n"/>
      <c r="AR268" s="16" t="n"/>
      <c r="AS268" s="16" t="n"/>
      <c r="AT268" s="17" t="n"/>
    </row>
    <row r="269" hidden="1" outlineLevel="4">
      <c r="A269" s="8" t="n"/>
      <c r="B269" s="14" t="n"/>
      <c r="C269" s="41" t="n"/>
      <c r="D269" s="119">
        <f>DADOS_AM!$JM$29</f>
        <v/>
      </c>
      <c r="E269" s="19" t="n"/>
      <c r="F269" s="19" t="n"/>
      <c r="G269" s="19" t="n"/>
      <c r="H269" s="19" t="n"/>
      <c r="I269" s="19" t="n"/>
      <c r="J269" s="19" t="n"/>
      <c r="K269" s="19" t="n"/>
      <c r="L269" s="19" t="n"/>
      <c r="M269" s="19" t="n"/>
      <c r="N269" s="19" t="n"/>
      <c r="O269" s="19" t="n"/>
      <c r="P269" s="20" t="n"/>
      <c r="Q269" s="41" t="n"/>
      <c r="R269" s="41" t="n"/>
      <c r="S269" s="119">
        <f>DADOS_AM!$JM$30</f>
        <v/>
      </c>
      <c r="T269" s="19" t="n"/>
      <c r="U269" s="19" t="n"/>
      <c r="V269" s="19" t="n"/>
      <c r="W269" s="19" t="n"/>
      <c r="X269" s="19" t="n"/>
      <c r="Y269" s="19" t="n"/>
      <c r="Z269" s="19" t="n"/>
      <c r="AA269" s="19" t="n"/>
      <c r="AB269" s="19" t="n"/>
      <c r="AC269" s="19" t="n"/>
      <c r="AD269" s="19" t="n"/>
      <c r="AE269" s="20" t="n"/>
      <c r="AF269" s="41" t="n"/>
      <c r="AG269" s="41" t="n"/>
      <c r="AH269" s="119">
        <f>DADOS_AM!$JM$31</f>
        <v/>
      </c>
      <c r="AI269" s="19" t="n"/>
      <c r="AJ269" s="19" t="n"/>
      <c r="AK269" s="19" t="n"/>
      <c r="AL269" s="19" t="n"/>
      <c r="AM269" s="19" t="n"/>
      <c r="AN269" s="19" t="n"/>
      <c r="AO269" s="19" t="n"/>
      <c r="AP269" s="19" t="n"/>
      <c r="AQ269" s="19" t="n"/>
      <c r="AR269" s="19" t="n"/>
      <c r="AS269" s="19" t="n"/>
      <c r="AT269" s="20" t="n"/>
    </row>
    <row r="270" hidden="1" outlineLevel="4">
      <c r="A270" s="8" t="n"/>
      <c r="B270" s="14" t="n"/>
      <c r="C270" s="41" t="n"/>
      <c r="D270" s="21" t="n"/>
      <c r="P270" s="22" t="n"/>
      <c r="Q270" s="41" t="n"/>
      <c r="R270" s="41" t="n"/>
      <c r="S270" s="21" t="n"/>
      <c r="AE270" s="22" t="n"/>
      <c r="AF270" s="41" t="n"/>
      <c r="AG270" s="41" t="n"/>
      <c r="AH270" s="21" t="n"/>
      <c r="AT270" s="22" t="n"/>
    </row>
    <row r="271" hidden="1" outlineLevel="4">
      <c r="A271" s="8" t="n"/>
      <c r="B271" s="14" t="n"/>
      <c r="C271" s="41" t="n"/>
      <c r="D271" s="21" t="n"/>
      <c r="P271" s="22" t="n"/>
      <c r="Q271" s="41" t="n"/>
      <c r="R271" s="41" t="n"/>
      <c r="S271" s="21" t="n"/>
      <c r="AE271" s="22" t="n"/>
      <c r="AF271" s="41" t="n"/>
      <c r="AG271" s="41" t="n"/>
      <c r="AH271" s="21" t="n"/>
      <c r="AT271" s="22"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1" t="n"/>
      <c r="P273" s="22" t="n"/>
      <c r="Q273" s="41" t="n"/>
      <c r="R273" s="41" t="n"/>
      <c r="S273" s="21" t="n"/>
      <c r="AE273" s="22" t="n"/>
      <c r="AF273" s="41" t="n"/>
      <c r="AG273" s="41" t="n"/>
      <c r="AH273" s="21" t="n"/>
      <c r="AT273" s="22" t="n"/>
    </row>
    <row r="274" hidden="1" outlineLevel="4">
      <c r="A274" s="8" t="n"/>
      <c r="B274" s="14" t="n"/>
      <c r="C274" s="41" t="n"/>
      <c r="D274" s="21" t="n"/>
      <c r="P274" s="22" t="n"/>
      <c r="Q274" s="41" t="n"/>
      <c r="R274" s="41" t="n"/>
      <c r="S274" s="21" t="n"/>
      <c r="AE274" s="22" t="n"/>
      <c r="AF274" s="41" t="n"/>
      <c r="AG274" s="41" t="n"/>
      <c r="AH274" s="21" t="n"/>
      <c r="AT274" s="22" t="n"/>
    </row>
    <row r="275" hidden="1" outlineLevel="4">
      <c r="A275" s="8" t="n"/>
      <c r="B275" s="14" t="n"/>
      <c r="C275" s="41" t="n"/>
      <c r="D275" s="23" t="n"/>
      <c r="E275" s="24" t="n"/>
      <c r="F275" s="24" t="n"/>
      <c r="G275" s="24" t="n"/>
      <c r="H275" s="24" t="n"/>
      <c r="I275" s="24" t="n"/>
      <c r="J275" s="24" t="n"/>
      <c r="K275" s="24" t="n"/>
      <c r="L275" s="24" t="n"/>
      <c r="M275" s="24" t="n"/>
      <c r="N275" s="24" t="n"/>
      <c r="O275" s="24" t="n"/>
      <c r="P275" s="25" t="n"/>
      <c r="Q275" s="41" t="n"/>
      <c r="R275" s="41" t="n"/>
      <c r="S275" s="23" t="n"/>
      <c r="T275" s="24" t="n"/>
      <c r="U275" s="24" t="n"/>
      <c r="V275" s="24" t="n"/>
      <c r="W275" s="24" t="n"/>
      <c r="X275" s="24" t="n"/>
      <c r="Y275" s="24" t="n"/>
      <c r="Z275" s="24" t="n"/>
      <c r="AA275" s="24" t="n"/>
      <c r="AB275" s="24" t="n"/>
      <c r="AC275" s="24" t="n"/>
      <c r="AD275" s="24" t="n"/>
      <c r="AE275" s="25" t="n"/>
      <c r="AF275" s="41" t="n"/>
      <c r="AG275" s="41" t="n"/>
      <c r="AH275" s="23" t="n"/>
      <c r="AI275" s="24" t="n"/>
      <c r="AJ275" s="24" t="n"/>
      <c r="AK275" s="24" t="n"/>
      <c r="AL275" s="24" t="n"/>
      <c r="AM275" s="24" t="n"/>
      <c r="AN275" s="24" t="n"/>
      <c r="AO275" s="24" t="n"/>
      <c r="AP275" s="24" t="n"/>
      <c r="AQ275" s="24" t="n"/>
      <c r="AR275" s="24" t="n"/>
      <c r="AS275" s="24" t="n"/>
      <c r="AT275" s="25" t="n"/>
    </row>
    <row r="276" outlineLevel="2">
      <c r="A276" s="8" t="n"/>
      <c r="B276" s="14" t="n"/>
      <c r="C276" s="41" t="n"/>
      <c r="D276" s="122">
        <f>DADOS_AM!$KQ$14</f>
        <v/>
      </c>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c r="AA276" s="16" t="n"/>
      <c r="AB276" s="16" t="n"/>
      <c r="AC276" s="16" t="n"/>
      <c r="AD276" s="16" t="n"/>
      <c r="AE276" s="16" t="n"/>
      <c r="AF276" s="16" t="n"/>
      <c r="AG276" s="16" t="n"/>
      <c r="AH276" s="16" t="n"/>
      <c r="AI276" s="16" t="n"/>
      <c r="AJ276" s="16" t="n"/>
      <c r="AK276" s="16" t="n"/>
      <c r="AL276" s="16" t="n"/>
      <c r="AM276" s="16" t="n"/>
      <c r="AN276" s="16" t="n"/>
      <c r="AO276" s="16" t="n"/>
      <c r="AP276" s="16" t="n"/>
      <c r="AQ276" s="16" t="n"/>
      <c r="AR276" s="16" t="n"/>
      <c r="AS276" s="16" t="n"/>
      <c r="AT276" s="17" t="n"/>
    </row>
    <row r="277" hidden="1" outlineLevel="3">
      <c r="A277" s="8" t="n"/>
      <c r="B277" s="14" t="n"/>
      <c r="C277" s="41" t="n"/>
      <c r="D277" s="120">
        <f>DADOS_AM!$JH$32</f>
        <v/>
      </c>
      <c r="E277" s="17" t="n"/>
      <c r="F277" s="118">
        <f>DADOS_AM!$JI$32</f>
        <v/>
      </c>
      <c r="G277" s="16" t="n"/>
      <c r="H277" s="16" t="n"/>
      <c r="I277" s="16" t="n"/>
      <c r="J277" s="16" t="n"/>
      <c r="K277" s="16" t="n"/>
      <c r="L277" s="16" t="n"/>
      <c r="M277" s="16" t="n"/>
      <c r="N277" s="16" t="n"/>
      <c r="O277" s="16" t="n"/>
      <c r="P277" s="17" t="n"/>
      <c r="Q277" s="41" t="n"/>
      <c r="R277" s="41" t="n"/>
      <c r="S277" s="120">
        <f>DADOS_AM!$JH$33</f>
        <v/>
      </c>
      <c r="T277" s="17" t="n"/>
      <c r="U277" s="118">
        <f>DADOS_AM!$JI$33</f>
        <v/>
      </c>
      <c r="V277" s="16" t="n"/>
      <c r="W277" s="16" t="n"/>
      <c r="X277" s="16" t="n"/>
      <c r="Y277" s="16" t="n"/>
      <c r="Z277" s="16" t="n"/>
      <c r="AA277" s="16" t="n"/>
      <c r="AB277" s="16" t="n"/>
      <c r="AC277" s="16" t="n"/>
      <c r="AD277" s="16" t="n"/>
      <c r="AE277" s="17" t="n"/>
      <c r="AF277" s="41" t="n"/>
      <c r="AG277" s="41" t="n"/>
      <c r="AH277" s="120">
        <f>DADOS_AM!$JH$34</f>
        <v/>
      </c>
      <c r="AI277" s="17" t="n"/>
      <c r="AJ277" s="118">
        <f>DADOS_AM!$JI$34</f>
        <v/>
      </c>
      <c r="AK277" s="16" t="n"/>
      <c r="AL277" s="16" t="n"/>
      <c r="AM277" s="16" t="n"/>
      <c r="AN277" s="16" t="n"/>
      <c r="AO277" s="16" t="n"/>
      <c r="AP277" s="16" t="n"/>
      <c r="AQ277" s="16" t="n"/>
      <c r="AR277" s="16" t="n"/>
      <c r="AS277" s="16" t="n"/>
      <c r="AT277" s="17" t="n"/>
    </row>
    <row r="278" hidden="1" outlineLevel="3">
      <c r="A278" s="8" t="n"/>
      <c r="B278" s="14" t="n"/>
      <c r="C278" s="41" t="n"/>
      <c r="D278" s="121">
        <f>DADOS_AM!$JJ$32</f>
        <v/>
      </c>
      <c r="E278" s="16" t="n"/>
      <c r="F278" s="17" t="n"/>
      <c r="G278" s="121">
        <f>DADOS_AM!$JK$32</f>
        <v/>
      </c>
      <c r="H278" s="16" t="n"/>
      <c r="I278" s="16" t="n"/>
      <c r="J278" s="17" t="n"/>
      <c r="K278" s="121">
        <f>DADOS_AM!$JL$32</f>
        <v/>
      </c>
      <c r="L278" s="16" t="n"/>
      <c r="M278" s="16" t="n"/>
      <c r="N278" s="16" t="n"/>
      <c r="O278" s="16" t="n"/>
      <c r="P278" s="17" t="n"/>
      <c r="Q278" s="41" t="n"/>
      <c r="R278" s="41" t="n"/>
      <c r="S278" s="121">
        <f>DADOS_AM!$JJ$33</f>
        <v/>
      </c>
      <c r="T278" s="16" t="n"/>
      <c r="U278" s="17" t="n"/>
      <c r="V278" s="121">
        <f>DADOS_AM!$JK$33</f>
        <v/>
      </c>
      <c r="W278" s="16" t="n"/>
      <c r="X278" s="16" t="n"/>
      <c r="Y278" s="17" t="n"/>
      <c r="Z278" s="121">
        <f>DADOS_AM!$JL$33</f>
        <v/>
      </c>
      <c r="AA278" s="16" t="n"/>
      <c r="AB278" s="16" t="n"/>
      <c r="AC278" s="16" t="n"/>
      <c r="AD278" s="16" t="n"/>
      <c r="AE278" s="17" t="n"/>
      <c r="AF278" s="41" t="n"/>
      <c r="AG278" s="41" t="n"/>
      <c r="AH278" s="121">
        <f>DADOS_AM!$JJ$34</f>
        <v/>
      </c>
      <c r="AI278" s="16" t="n"/>
      <c r="AJ278" s="17" t="n"/>
      <c r="AK278" s="121">
        <f>DADOS_AM!$JK$34</f>
        <v/>
      </c>
      <c r="AL278" s="16" t="n"/>
      <c r="AM278" s="16" t="n"/>
      <c r="AN278" s="17" t="n"/>
      <c r="AO278" s="121">
        <f>DADOS_AM!$JL$34</f>
        <v/>
      </c>
      <c r="AP278" s="16" t="n"/>
      <c r="AQ278" s="16" t="n"/>
      <c r="AR278" s="16" t="n"/>
      <c r="AS278" s="16" t="n"/>
      <c r="AT278" s="17" t="n"/>
    </row>
    <row r="279" hidden="1" outlineLevel="4">
      <c r="A279" s="8" t="n"/>
      <c r="B279" s="14" t="n"/>
      <c r="C279" s="41" t="n"/>
      <c r="D279" s="119">
        <f>DADOS_AM!$JM$32</f>
        <v/>
      </c>
      <c r="E279" s="19" t="n"/>
      <c r="F279" s="19" t="n"/>
      <c r="G279" s="19" t="n"/>
      <c r="H279" s="19" t="n"/>
      <c r="I279" s="19" t="n"/>
      <c r="J279" s="19" t="n"/>
      <c r="K279" s="19" t="n"/>
      <c r="L279" s="19" t="n"/>
      <c r="M279" s="19" t="n"/>
      <c r="N279" s="19" t="n"/>
      <c r="O279" s="19" t="n"/>
      <c r="P279" s="20" t="n"/>
      <c r="Q279" s="41" t="n"/>
      <c r="R279" s="41" t="n"/>
      <c r="S279" s="119">
        <f>DADOS_AM!$JM$33</f>
        <v/>
      </c>
      <c r="T279" s="19" t="n"/>
      <c r="U279" s="19" t="n"/>
      <c r="V279" s="19" t="n"/>
      <c r="W279" s="19" t="n"/>
      <c r="X279" s="19" t="n"/>
      <c r="Y279" s="19" t="n"/>
      <c r="Z279" s="19" t="n"/>
      <c r="AA279" s="19" t="n"/>
      <c r="AB279" s="19" t="n"/>
      <c r="AC279" s="19" t="n"/>
      <c r="AD279" s="19" t="n"/>
      <c r="AE279" s="20" t="n"/>
      <c r="AF279" s="41" t="n"/>
      <c r="AG279" s="41" t="n"/>
      <c r="AH279" s="119">
        <f>DADOS_AM!$JM$34</f>
        <v/>
      </c>
      <c r="AI279" s="19" t="n"/>
      <c r="AJ279" s="19" t="n"/>
      <c r="AK279" s="19" t="n"/>
      <c r="AL279" s="19" t="n"/>
      <c r="AM279" s="19" t="n"/>
      <c r="AN279" s="19" t="n"/>
      <c r="AO279" s="19" t="n"/>
      <c r="AP279" s="19" t="n"/>
      <c r="AQ279" s="19" t="n"/>
      <c r="AR279" s="19" t="n"/>
      <c r="AS279" s="19" t="n"/>
      <c r="AT279" s="20" t="n"/>
    </row>
    <row r="280" hidden="1" outlineLevel="4">
      <c r="A280" s="8" t="n"/>
      <c r="B280" s="14" t="n"/>
      <c r="C280" s="41" t="n"/>
      <c r="D280" s="21" t="n"/>
      <c r="P280" s="22" t="n"/>
      <c r="Q280" s="41" t="n"/>
      <c r="R280" s="41" t="n"/>
      <c r="S280" s="21" t="n"/>
      <c r="AE280" s="22" t="n"/>
      <c r="AF280" s="41" t="n"/>
      <c r="AG280" s="41" t="n"/>
      <c r="AH280" s="21" t="n"/>
      <c r="AT280" s="22" t="n"/>
    </row>
    <row r="281" hidden="1" outlineLevel="4">
      <c r="A281" s="8" t="n"/>
      <c r="B281" s="14" t="n"/>
      <c r="C281" s="41" t="n"/>
      <c r="D281" s="21" t="n"/>
      <c r="P281" s="22" t="n"/>
      <c r="Q281" s="41" t="n"/>
      <c r="R281" s="41" t="n"/>
      <c r="S281" s="21" t="n"/>
      <c r="AE281" s="22" t="n"/>
      <c r="AF281" s="41" t="n"/>
      <c r="AG281" s="41" t="n"/>
      <c r="AH281" s="21" t="n"/>
      <c r="AT281" s="22"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1" t="n"/>
      <c r="P283" s="22" t="n"/>
      <c r="Q283" s="41" t="n"/>
      <c r="R283" s="41" t="n"/>
      <c r="S283" s="21" t="n"/>
      <c r="AE283" s="22" t="n"/>
      <c r="AF283" s="41" t="n"/>
      <c r="AG283" s="41" t="n"/>
      <c r="AH283" s="21" t="n"/>
      <c r="AT283" s="22" t="n"/>
    </row>
    <row r="284" hidden="1" outlineLevel="4">
      <c r="A284" s="8" t="n"/>
      <c r="B284" s="14" t="n"/>
      <c r="C284" s="41" t="n"/>
      <c r="D284" s="21" t="n"/>
      <c r="P284" s="22" t="n"/>
      <c r="Q284" s="41" t="n"/>
      <c r="R284" s="41" t="n"/>
      <c r="S284" s="21" t="n"/>
      <c r="AE284" s="22" t="n"/>
      <c r="AF284" s="41" t="n"/>
      <c r="AG284" s="41" t="n"/>
      <c r="AH284" s="21" t="n"/>
      <c r="AT284" s="22" t="n"/>
    </row>
    <row r="285" hidden="1" outlineLevel="4">
      <c r="A285" s="8" t="n"/>
      <c r="B285" s="14" t="n"/>
      <c r="C285" s="41" t="n"/>
      <c r="D285" s="23" t="n"/>
      <c r="E285" s="24" t="n"/>
      <c r="F285" s="24" t="n"/>
      <c r="G285" s="24" t="n"/>
      <c r="H285" s="24" t="n"/>
      <c r="I285" s="24" t="n"/>
      <c r="J285" s="24" t="n"/>
      <c r="K285" s="24" t="n"/>
      <c r="L285" s="24" t="n"/>
      <c r="M285" s="24" t="n"/>
      <c r="N285" s="24" t="n"/>
      <c r="O285" s="24" t="n"/>
      <c r="P285" s="25" t="n"/>
      <c r="Q285" s="41" t="n"/>
      <c r="R285" s="41" t="n"/>
      <c r="S285" s="23" t="n"/>
      <c r="T285" s="24" t="n"/>
      <c r="U285" s="24" t="n"/>
      <c r="V285" s="24" t="n"/>
      <c r="W285" s="24" t="n"/>
      <c r="X285" s="24" t="n"/>
      <c r="Y285" s="24" t="n"/>
      <c r="Z285" s="24" t="n"/>
      <c r="AA285" s="24" t="n"/>
      <c r="AB285" s="24" t="n"/>
      <c r="AC285" s="24" t="n"/>
      <c r="AD285" s="24" t="n"/>
      <c r="AE285" s="25" t="n"/>
      <c r="AF285" s="41" t="n"/>
      <c r="AG285" s="41" t="n"/>
      <c r="AH285" s="23" t="n"/>
      <c r="AI285" s="24" t="n"/>
      <c r="AJ285" s="24" t="n"/>
      <c r="AK285" s="24" t="n"/>
      <c r="AL285" s="24" t="n"/>
      <c r="AM285" s="24" t="n"/>
      <c r="AN285" s="24" t="n"/>
      <c r="AO285" s="24" t="n"/>
      <c r="AP285" s="24" t="n"/>
      <c r="AQ285" s="24" t="n"/>
      <c r="AR285" s="24" t="n"/>
      <c r="AS285" s="24" t="n"/>
      <c r="AT285" s="25" t="n"/>
    </row>
    <row r="286" hidden="1" outlineLevel="3">
      <c r="A286" s="8" t="n"/>
      <c r="B286" s="14" t="n"/>
      <c r="C286" s="41" t="n"/>
      <c r="D286" s="41" t="n"/>
      <c r="E286" s="41" t="n"/>
      <c r="F286" s="41" t="n"/>
      <c r="G286" s="41" t="n"/>
      <c r="H286" s="41" t="n"/>
      <c r="I286" s="41" t="n"/>
      <c r="J286" s="41" t="n"/>
      <c r="K286" s="41" t="n"/>
      <c r="L286" s="41" t="n"/>
      <c r="M286" s="41" t="n"/>
      <c r="N286" s="41" t="n"/>
      <c r="O286" s="41" t="n"/>
      <c r="P286" s="41" t="n"/>
      <c r="Q286" s="41" t="n"/>
      <c r="R286" s="41" t="n"/>
      <c r="S286" s="41" t="n"/>
      <c r="T286" s="41" t="n"/>
      <c r="U286" s="41" t="n"/>
      <c r="V286" s="41" t="n"/>
      <c r="W286" s="41" t="n"/>
      <c r="X286" s="41" t="n"/>
      <c r="Y286" s="41" t="n"/>
      <c r="Z286" s="41" t="n"/>
      <c r="AA286" s="41" t="n"/>
      <c r="AB286" s="41" t="n"/>
      <c r="AC286" s="41" t="n"/>
      <c r="AD286" s="41" t="n"/>
      <c r="AE286" s="41" t="n"/>
      <c r="AF286" s="41" t="n"/>
      <c r="AG286" s="41" t="n"/>
      <c r="AH286" s="41" t="n"/>
      <c r="AI286" s="41" t="n"/>
      <c r="AJ286" s="41" t="n"/>
      <c r="AK286" s="41" t="n"/>
      <c r="AL286" s="41" t="n"/>
      <c r="AM286" s="41" t="n"/>
      <c r="AN286" s="41" t="n"/>
      <c r="AO286" s="41" t="n"/>
      <c r="AP286" s="41" t="n"/>
      <c r="AQ286" s="41" t="n"/>
      <c r="AR286" s="41" t="n"/>
      <c r="AS286" s="41" t="n"/>
      <c r="AT286" s="41" t="n"/>
    </row>
    <row r="287" hidden="1" outlineLevel="3">
      <c r="A287" s="8" t="n"/>
      <c r="B287" s="14" t="n"/>
      <c r="C287" s="41" t="n"/>
      <c r="D287" s="120">
        <f>DADOS_AM!$JH$35</f>
        <v/>
      </c>
      <c r="E287" s="17" t="n"/>
      <c r="F287" s="118">
        <f>DADOS_AM!$JI$35</f>
        <v/>
      </c>
      <c r="G287" s="16" t="n"/>
      <c r="H287" s="16" t="n"/>
      <c r="I287" s="16" t="n"/>
      <c r="J287" s="16" t="n"/>
      <c r="K287" s="16" t="n"/>
      <c r="L287" s="16" t="n"/>
      <c r="M287" s="16" t="n"/>
      <c r="N287" s="16" t="n"/>
      <c r="O287" s="16" t="n"/>
      <c r="P287" s="17" t="n"/>
      <c r="Q287" s="41" t="n"/>
      <c r="R287" s="41" t="n"/>
      <c r="S287" s="120">
        <f>DADOS_AM!$JH$36</f>
        <v/>
      </c>
      <c r="T287" s="17" t="n"/>
      <c r="U287" s="118">
        <f>DADOS_AM!$JI$36</f>
        <v/>
      </c>
      <c r="V287" s="16" t="n"/>
      <c r="W287" s="16" t="n"/>
      <c r="X287" s="16" t="n"/>
      <c r="Y287" s="16" t="n"/>
      <c r="Z287" s="16" t="n"/>
      <c r="AA287" s="16" t="n"/>
      <c r="AB287" s="16" t="n"/>
      <c r="AC287" s="16" t="n"/>
      <c r="AD287" s="16" t="n"/>
      <c r="AE287" s="17" t="n"/>
      <c r="AF287" s="41" t="n"/>
      <c r="AG287" s="41" t="n"/>
      <c r="AH287" s="120">
        <f>DADOS_AM!$JH$37</f>
        <v/>
      </c>
      <c r="AI287" s="17" t="n"/>
      <c r="AJ287" s="118">
        <f>DADOS_AM!$JI$37</f>
        <v/>
      </c>
      <c r="AK287" s="16" t="n"/>
      <c r="AL287" s="16" t="n"/>
      <c r="AM287" s="16" t="n"/>
      <c r="AN287" s="16" t="n"/>
      <c r="AO287" s="16" t="n"/>
      <c r="AP287" s="16" t="n"/>
      <c r="AQ287" s="16" t="n"/>
      <c r="AR287" s="16" t="n"/>
      <c r="AS287" s="16" t="n"/>
      <c r="AT287" s="17" t="n"/>
    </row>
    <row r="288" hidden="1" outlineLevel="3">
      <c r="A288" s="8" t="n"/>
      <c r="B288" s="14" t="n"/>
      <c r="C288" s="41" t="n"/>
      <c r="D288" s="121">
        <f>DADOS_AM!$JJ$35</f>
        <v/>
      </c>
      <c r="E288" s="16" t="n"/>
      <c r="F288" s="17" t="n"/>
      <c r="G288" s="121">
        <f>DADOS_AM!$JK$35</f>
        <v/>
      </c>
      <c r="H288" s="16" t="n"/>
      <c r="I288" s="16" t="n"/>
      <c r="J288" s="17" t="n"/>
      <c r="K288" s="121">
        <f>DADOS_AM!$JL$35</f>
        <v/>
      </c>
      <c r="L288" s="16" t="n"/>
      <c r="M288" s="16" t="n"/>
      <c r="N288" s="16" t="n"/>
      <c r="O288" s="16" t="n"/>
      <c r="P288" s="17" t="n"/>
      <c r="Q288" s="41" t="n"/>
      <c r="R288" s="41" t="n"/>
      <c r="S288" s="121">
        <f>DADOS_AM!$JJ$36</f>
        <v/>
      </c>
      <c r="T288" s="16" t="n"/>
      <c r="U288" s="17" t="n"/>
      <c r="V288" s="121">
        <f>DADOS_AM!$JK$36</f>
        <v/>
      </c>
      <c r="W288" s="16" t="n"/>
      <c r="X288" s="16" t="n"/>
      <c r="Y288" s="17" t="n"/>
      <c r="Z288" s="121">
        <f>DADOS_AM!$JL$36</f>
        <v/>
      </c>
      <c r="AA288" s="16" t="n"/>
      <c r="AB288" s="16" t="n"/>
      <c r="AC288" s="16" t="n"/>
      <c r="AD288" s="16" t="n"/>
      <c r="AE288" s="17" t="n"/>
      <c r="AF288" s="41" t="n"/>
      <c r="AG288" s="41" t="n"/>
      <c r="AH288" s="121">
        <f>DADOS_AM!$JJ$37</f>
        <v/>
      </c>
      <c r="AI288" s="16" t="n"/>
      <c r="AJ288" s="17" t="n"/>
      <c r="AK288" s="121">
        <f>DADOS_AM!$JK$37</f>
        <v/>
      </c>
      <c r="AL288" s="16" t="n"/>
      <c r="AM288" s="16" t="n"/>
      <c r="AN288" s="17" t="n"/>
      <c r="AO288" s="121">
        <f>DADOS_AM!$JL$37</f>
        <v/>
      </c>
      <c r="AP288" s="16" t="n"/>
      <c r="AQ288" s="16" t="n"/>
      <c r="AR288" s="16" t="n"/>
      <c r="AS288" s="16" t="n"/>
      <c r="AT288" s="17" t="n"/>
    </row>
    <row r="289" hidden="1" outlineLevel="4">
      <c r="A289" s="8" t="n"/>
      <c r="B289" s="14" t="n"/>
      <c r="C289" s="41" t="n"/>
      <c r="D289" s="119">
        <f>DADOS_AM!$JM$35</f>
        <v/>
      </c>
      <c r="E289" s="19" t="n"/>
      <c r="F289" s="19" t="n"/>
      <c r="G289" s="19" t="n"/>
      <c r="H289" s="19" t="n"/>
      <c r="I289" s="19" t="n"/>
      <c r="J289" s="19" t="n"/>
      <c r="K289" s="19" t="n"/>
      <c r="L289" s="19" t="n"/>
      <c r="M289" s="19" t="n"/>
      <c r="N289" s="19" t="n"/>
      <c r="O289" s="19" t="n"/>
      <c r="P289" s="20" t="n"/>
      <c r="Q289" s="41" t="n"/>
      <c r="R289" s="41" t="n"/>
      <c r="S289" s="119">
        <f>DADOS_AM!$JM$36</f>
        <v/>
      </c>
      <c r="T289" s="19" t="n"/>
      <c r="U289" s="19" t="n"/>
      <c r="V289" s="19" t="n"/>
      <c r="W289" s="19" t="n"/>
      <c r="X289" s="19" t="n"/>
      <c r="Y289" s="19" t="n"/>
      <c r="Z289" s="19" t="n"/>
      <c r="AA289" s="19" t="n"/>
      <c r="AB289" s="19" t="n"/>
      <c r="AC289" s="19" t="n"/>
      <c r="AD289" s="19" t="n"/>
      <c r="AE289" s="20" t="n"/>
      <c r="AF289" s="41" t="n"/>
      <c r="AG289" s="41" t="n"/>
      <c r="AH289" s="119">
        <f>DADOS_AM!$JM$37</f>
        <v/>
      </c>
      <c r="AI289" s="19" t="n"/>
      <c r="AJ289" s="19" t="n"/>
      <c r="AK289" s="19" t="n"/>
      <c r="AL289" s="19" t="n"/>
      <c r="AM289" s="19" t="n"/>
      <c r="AN289" s="19" t="n"/>
      <c r="AO289" s="19" t="n"/>
      <c r="AP289" s="19" t="n"/>
      <c r="AQ289" s="19" t="n"/>
      <c r="AR289" s="19" t="n"/>
      <c r="AS289" s="19" t="n"/>
      <c r="AT289" s="20" t="n"/>
    </row>
    <row r="290" hidden="1" outlineLevel="4">
      <c r="A290" s="8" t="n"/>
      <c r="B290" s="14" t="n"/>
      <c r="C290" s="41" t="n"/>
      <c r="D290" s="21" t="n"/>
      <c r="P290" s="22" t="n"/>
      <c r="Q290" s="41" t="n"/>
      <c r="R290" s="41" t="n"/>
      <c r="S290" s="21" t="n"/>
      <c r="AE290" s="22" t="n"/>
      <c r="AF290" s="41" t="n"/>
      <c r="AG290" s="41" t="n"/>
      <c r="AH290" s="21" t="n"/>
      <c r="AT290" s="22" t="n"/>
    </row>
    <row r="291" hidden="1" outlineLevel="4">
      <c r="A291" s="8" t="n"/>
      <c r="B291" s="14" t="n"/>
      <c r="C291" s="41" t="n"/>
      <c r="D291" s="21" t="n"/>
      <c r="P291" s="22" t="n"/>
      <c r="Q291" s="41" t="n"/>
      <c r="R291" s="41" t="n"/>
      <c r="S291" s="21" t="n"/>
      <c r="AE291" s="22" t="n"/>
      <c r="AF291" s="41" t="n"/>
      <c r="AG291" s="41" t="n"/>
      <c r="AH291" s="21" t="n"/>
      <c r="AT291" s="22" t="n"/>
    </row>
    <row r="292" hidden="1" outlineLevel="4">
      <c r="A292" s="8" t="n"/>
      <c r="B292" s="14" t="n"/>
      <c r="C292" s="41" t="n"/>
      <c r="D292" s="21" t="n"/>
      <c r="P292" s="22" t="n"/>
      <c r="Q292" s="41" t="n"/>
      <c r="R292" s="41" t="n"/>
      <c r="S292" s="21" t="n"/>
      <c r="AE292" s="22" t="n"/>
      <c r="AF292" s="41" t="n"/>
      <c r="AG292" s="41" t="n"/>
      <c r="AH292" s="21" t="n"/>
      <c r="AT292" s="22" t="n"/>
    </row>
    <row r="293" hidden="1" outlineLevel="4">
      <c r="A293" s="8" t="n"/>
      <c r="B293" s="14" t="n"/>
      <c r="C293" s="41" t="n"/>
      <c r="D293" s="21" t="n"/>
      <c r="P293" s="22" t="n"/>
      <c r="Q293" s="41" t="n"/>
      <c r="R293" s="41" t="n"/>
      <c r="S293" s="21" t="n"/>
      <c r="AE293" s="22" t="n"/>
      <c r="AF293" s="41" t="n"/>
      <c r="AG293" s="41" t="n"/>
      <c r="AH293" s="21" t="n"/>
      <c r="AT293" s="22" t="n"/>
    </row>
    <row r="294" hidden="1" outlineLevel="4">
      <c r="A294" s="8" t="n"/>
      <c r="B294" s="14" t="n"/>
      <c r="C294" s="41" t="n"/>
      <c r="D294" s="21" t="n"/>
      <c r="P294" s="22" t="n"/>
      <c r="Q294" s="41" t="n"/>
      <c r="R294" s="41" t="n"/>
      <c r="S294" s="21" t="n"/>
      <c r="AE294" s="22" t="n"/>
      <c r="AF294" s="41" t="n"/>
      <c r="AG294" s="41" t="n"/>
      <c r="AH294" s="21" t="n"/>
      <c r="AT294" s="22" t="n"/>
    </row>
    <row r="295" hidden="1" outlineLevel="4">
      <c r="A295" s="8" t="n"/>
      <c r="B295" s="14" t="n"/>
      <c r="C295" s="41" t="n"/>
      <c r="D295" s="23" t="n"/>
      <c r="E295" s="24" t="n"/>
      <c r="F295" s="24" t="n"/>
      <c r="G295" s="24" t="n"/>
      <c r="H295" s="24" t="n"/>
      <c r="I295" s="24" t="n"/>
      <c r="J295" s="24" t="n"/>
      <c r="K295" s="24" t="n"/>
      <c r="L295" s="24" t="n"/>
      <c r="M295" s="24" t="n"/>
      <c r="N295" s="24" t="n"/>
      <c r="O295" s="24" t="n"/>
      <c r="P295" s="25" t="n"/>
      <c r="Q295" s="41" t="n"/>
      <c r="R295" s="41" t="n"/>
      <c r="S295" s="23" t="n"/>
      <c r="T295" s="24" t="n"/>
      <c r="U295" s="24" t="n"/>
      <c r="V295" s="24" t="n"/>
      <c r="W295" s="24" t="n"/>
      <c r="X295" s="24" t="n"/>
      <c r="Y295" s="24" t="n"/>
      <c r="Z295" s="24" t="n"/>
      <c r="AA295" s="24" t="n"/>
      <c r="AB295" s="24" t="n"/>
      <c r="AC295" s="24" t="n"/>
      <c r="AD295" s="24" t="n"/>
      <c r="AE295" s="25" t="n"/>
      <c r="AF295" s="41" t="n"/>
      <c r="AG295" s="41" t="n"/>
      <c r="AH295" s="23" t="n"/>
      <c r="AI295" s="24" t="n"/>
      <c r="AJ295" s="24" t="n"/>
      <c r="AK295" s="24" t="n"/>
      <c r="AL295" s="24" t="n"/>
      <c r="AM295" s="24" t="n"/>
      <c r="AN295" s="24" t="n"/>
      <c r="AO295" s="24" t="n"/>
      <c r="AP295" s="24" t="n"/>
      <c r="AQ295" s="24" t="n"/>
      <c r="AR295" s="24" t="n"/>
      <c r="AS295" s="24" t="n"/>
      <c r="AT295" s="25" t="n"/>
    </row>
    <row r="296" outlineLevel="2">
      <c r="A296" s="8" t="n"/>
      <c r="B296" s="14" t="n"/>
      <c r="C296" s="41" t="n"/>
      <c r="D296" s="41" t="n"/>
      <c r="E296" s="41" t="n"/>
      <c r="F296" s="41" t="n"/>
      <c r="G296" s="41" t="n"/>
      <c r="H296" s="41" t="n"/>
      <c r="I296" s="41" t="n"/>
      <c r="J296" s="41" t="n"/>
      <c r="K296" s="41" t="n"/>
      <c r="L296" s="41" t="n"/>
      <c r="M296" s="41" t="n"/>
      <c r="N296" s="41" t="n"/>
      <c r="O296" s="41" t="n"/>
      <c r="P296" s="41" t="n"/>
      <c r="Q296" s="41" t="n"/>
      <c r="R296" s="41" t="n"/>
      <c r="S296" s="41" t="n"/>
      <c r="T296" s="41" t="n"/>
      <c r="U296" s="41" t="n"/>
      <c r="V296" s="41" t="n"/>
      <c r="W296" s="41" t="n"/>
      <c r="X296" s="41" t="n"/>
      <c r="Y296" s="41" t="n"/>
      <c r="Z296" s="41" t="n"/>
      <c r="AA296" s="41" t="n"/>
      <c r="AB296" s="41" t="n"/>
      <c r="AC296" s="41" t="n"/>
      <c r="AD296" s="41" t="n"/>
      <c r="AE296" s="41" t="n"/>
      <c r="AF296" s="41" t="n"/>
      <c r="AG296" s="41" t="n"/>
      <c r="AH296" s="41" t="n"/>
      <c r="AI296" s="41" t="n"/>
      <c r="AJ296" s="41" t="n"/>
      <c r="AK296" s="41" t="n"/>
      <c r="AL296" s="41" t="n"/>
      <c r="AM296" s="41" t="n"/>
      <c r="AN296" s="41" t="n"/>
      <c r="AO296" s="41" t="n"/>
      <c r="AP296" s="41" t="n"/>
      <c r="AQ296" s="41" t="n"/>
      <c r="AR296" s="41" t="n"/>
      <c r="AS296" s="41" t="n"/>
      <c r="AT296" s="41" t="n"/>
    </row>
    <row r="297" outlineLevel="1">
      <c r="A297" s="8" t="n"/>
      <c r="B297" s="14" t="n"/>
      <c r="C297" s="41" t="n"/>
      <c r="D297" s="116">
        <f>DADOS_AM!$KQ$4</f>
        <v/>
      </c>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c r="AA297" s="16" t="n"/>
      <c r="AB297" s="16" t="n"/>
      <c r="AC297" s="16" t="n"/>
      <c r="AD297" s="16" t="n"/>
      <c r="AE297" s="16" t="n"/>
      <c r="AF297" s="16" t="n"/>
      <c r="AG297" s="16" t="n"/>
      <c r="AH297" s="16" t="n"/>
      <c r="AI297" s="16" t="n"/>
      <c r="AJ297" s="16" t="n"/>
      <c r="AK297" s="16" t="n"/>
      <c r="AL297" s="16" t="n"/>
      <c r="AM297" s="16" t="n"/>
      <c r="AN297" s="16" t="n"/>
      <c r="AO297" s="16" t="n"/>
      <c r="AP297" s="16" t="n"/>
      <c r="AQ297" s="16" t="n"/>
      <c r="AR297" s="16" t="n"/>
      <c r="AS297" s="16" t="n"/>
      <c r="AT297" s="17" t="n"/>
    </row>
    <row r="298" outlineLevel="2">
      <c r="A298" s="8" t="n"/>
      <c r="B298" s="14" t="n"/>
      <c r="C298" s="41" t="n"/>
      <c r="D298" s="120">
        <f>DADOS_AM!$KQ$7</f>
        <v/>
      </c>
      <c r="E298" s="17" t="n"/>
      <c r="F298" s="118">
        <f>DADOS_AM!$JQ$2</f>
        <v/>
      </c>
      <c r="G298" s="16" t="n"/>
      <c r="H298" s="16" t="n"/>
      <c r="I298" s="16" t="n"/>
      <c r="J298" s="16" t="n"/>
      <c r="K298" s="16" t="n"/>
      <c r="L298" s="16" t="n"/>
      <c r="M298" s="16" t="n"/>
      <c r="N298" s="16" t="n"/>
      <c r="O298" s="16" t="n"/>
      <c r="P298" s="17" t="n"/>
      <c r="Q298" s="41" t="n"/>
      <c r="R298" s="41" t="n"/>
      <c r="S298" s="120">
        <f>DADOS_AM!$KQ$7</f>
        <v/>
      </c>
      <c r="T298" s="17" t="n"/>
      <c r="U298" s="118">
        <f>DADOS_AM!$JQ$3</f>
        <v/>
      </c>
      <c r="V298" s="16" t="n"/>
      <c r="W298" s="16" t="n"/>
      <c r="X298" s="16" t="n"/>
      <c r="Y298" s="16" t="n"/>
      <c r="Z298" s="16" t="n"/>
      <c r="AA298" s="16" t="n"/>
      <c r="AB298" s="16" t="n"/>
      <c r="AC298" s="16" t="n"/>
      <c r="AD298" s="16" t="n"/>
      <c r="AE298" s="17" t="n"/>
      <c r="AF298" s="41" t="n"/>
      <c r="AG298" s="41" t="n"/>
      <c r="AH298" s="120">
        <f>DADOS_AM!$KQ$7</f>
        <v/>
      </c>
      <c r="AI298" s="17" t="n"/>
      <c r="AJ298" s="118">
        <f>DADOS_AM!$JQ$4</f>
        <v/>
      </c>
      <c r="AK298" s="16" t="n"/>
      <c r="AL298" s="16" t="n"/>
      <c r="AM298" s="16" t="n"/>
      <c r="AN298" s="16" t="n"/>
      <c r="AO298" s="16" t="n"/>
      <c r="AP298" s="16" t="n"/>
      <c r="AQ298" s="16" t="n"/>
      <c r="AR298" s="16" t="n"/>
      <c r="AS298" s="16" t="n"/>
      <c r="AT298" s="17" t="n"/>
    </row>
    <row r="299" outlineLevel="2">
      <c r="A299" s="8" t="n"/>
      <c r="B299" s="14" t="n"/>
      <c r="C299" s="41" t="n"/>
      <c r="D299" s="121">
        <f>DADOS_AM!$JR$2</f>
        <v/>
      </c>
      <c r="E299" s="16" t="n"/>
      <c r="F299" s="17" t="n"/>
      <c r="G299" s="121">
        <f>DADOS_AM!$JS$2</f>
        <v/>
      </c>
      <c r="H299" s="16" t="n"/>
      <c r="I299" s="16" t="n"/>
      <c r="J299" s="17" t="n"/>
      <c r="K299" s="121">
        <f>DADOS_AM!$JT$2</f>
        <v/>
      </c>
      <c r="L299" s="16" t="n"/>
      <c r="M299" s="16" t="n"/>
      <c r="N299" s="16" t="n"/>
      <c r="O299" s="16" t="n"/>
      <c r="P299" s="17" t="n"/>
      <c r="Q299" s="41" t="n"/>
      <c r="R299" s="41" t="n"/>
      <c r="S299" s="121">
        <f>DADOS_AM!$JR$3</f>
        <v/>
      </c>
      <c r="T299" s="16" t="n"/>
      <c r="U299" s="17" t="n"/>
      <c r="V299" s="121">
        <f>DADOS_AM!$JS$3</f>
        <v/>
      </c>
      <c r="W299" s="16" t="n"/>
      <c r="X299" s="16" t="n"/>
      <c r="Y299" s="17" t="n"/>
      <c r="Z299" s="121">
        <f>DADOS_AM!$JT$3</f>
        <v/>
      </c>
      <c r="AA299" s="16" t="n"/>
      <c r="AB299" s="16" t="n"/>
      <c r="AC299" s="16" t="n"/>
      <c r="AD299" s="16" t="n"/>
      <c r="AE299" s="17" t="n"/>
      <c r="AF299" s="41" t="n"/>
      <c r="AG299" s="41" t="n"/>
      <c r="AH299" s="121">
        <f>DADOS_AM!$JR$4</f>
        <v/>
      </c>
      <c r="AI299" s="16" t="n"/>
      <c r="AJ299" s="17" t="n"/>
      <c r="AK299" s="121">
        <f>DADOS_AM!$JS$4</f>
        <v/>
      </c>
      <c r="AL299" s="16" t="n"/>
      <c r="AM299" s="16" t="n"/>
      <c r="AN299" s="17" t="n"/>
      <c r="AO299" s="121">
        <f>DADOS_AM!$JT$4</f>
        <v/>
      </c>
      <c r="AP299" s="16" t="n"/>
      <c r="AQ299" s="16" t="n"/>
      <c r="AR299" s="16" t="n"/>
      <c r="AS299" s="16" t="n"/>
      <c r="AT299" s="17" t="n"/>
    </row>
    <row r="300" outlineLevel="3">
      <c r="A300" s="8" t="n"/>
      <c r="B300" s="14" t="n"/>
      <c r="C300" s="41" t="n"/>
      <c r="D300" s="119">
        <f>DADOS_AM!$JU$2</f>
        <v/>
      </c>
      <c r="E300" s="19" t="n"/>
      <c r="F300" s="19" t="n"/>
      <c r="G300" s="19" t="n"/>
      <c r="H300" s="19" t="n"/>
      <c r="I300" s="19" t="n"/>
      <c r="J300" s="19" t="n"/>
      <c r="K300" s="19" t="n"/>
      <c r="L300" s="19" t="n"/>
      <c r="M300" s="19" t="n"/>
      <c r="N300" s="19" t="n"/>
      <c r="O300" s="19" t="n"/>
      <c r="P300" s="20" t="n"/>
      <c r="Q300" s="41" t="n"/>
      <c r="R300" s="41" t="n"/>
      <c r="S300" s="119">
        <f>DADOS_AM!$JU$3</f>
        <v/>
      </c>
      <c r="T300" s="19" t="n"/>
      <c r="U300" s="19" t="n"/>
      <c r="V300" s="19" t="n"/>
      <c r="W300" s="19" t="n"/>
      <c r="X300" s="19" t="n"/>
      <c r="Y300" s="19" t="n"/>
      <c r="Z300" s="19" t="n"/>
      <c r="AA300" s="19" t="n"/>
      <c r="AB300" s="19" t="n"/>
      <c r="AC300" s="19" t="n"/>
      <c r="AD300" s="19" t="n"/>
      <c r="AE300" s="20" t="n"/>
      <c r="AF300" s="41" t="n"/>
      <c r="AG300" s="41" t="n"/>
      <c r="AH300" s="119">
        <f>DADOS_AM!$JU$4</f>
        <v/>
      </c>
      <c r="AI300" s="19" t="n"/>
      <c r="AJ300" s="19" t="n"/>
      <c r="AK300" s="19" t="n"/>
      <c r="AL300" s="19" t="n"/>
      <c r="AM300" s="19" t="n"/>
      <c r="AN300" s="19" t="n"/>
      <c r="AO300" s="19" t="n"/>
      <c r="AP300" s="19" t="n"/>
      <c r="AQ300" s="19" t="n"/>
      <c r="AR300" s="19" t="n"/>
      <c r="AS300" s="19" t="n"/>
      <c r="AT300" s="20" t="n"/>
    </row>
    <row r="301" outlineLevel="3">
      <c r="A301" s="8" t="n"/>
      <c r="B301" s="14" t="n"/>
      <c r="C301" s="41" t="n"/>
      <c r="D301" s="21" t="n"/>
      <c r="P301" s="22" t="n"/>
      <c r="Q301" s="41" t="n"/>
      <c r="R301" s="41" t="n"/>
      <c r="S301" s="21" t="n"/>
      <c r="AE301" s="22" t="n"/>
      <c r="AF301" s="41" t="n"/>
      <c r="AG301" s="41" t="n"/>
      <c r="AH301" s="21" t="n"/>
      <c r="AT301" s="22" t="n"/>
    </row>
    <row r="302" outlineLevel="3">
      <c r="A302" s="8" t="n"/>
      <c r="B302" s="14" t="n"/>
      <c r="C302" s="41" t="n"/>
      <c r="D302" s="21" t="n"/>
      <c r="P302" s="22" t="n"/>
      <c r="Q302" s="41" t="n"/>
      <c r="R302" s="41" t="n"/>
      <c r="S302" s="21" t="n"/>
      <c r="AE302" s="22" t="n"/>
      <c r="AF302" s="41" t="n"/>
      <c r="AG302" s="41" t="n"/>
      <c r="AH302" s="21" t="n"/>
      <c r="AT302" s="22" t="n"/>
    </row>
    <row r="303" outlineLevel="3">
      <c r="A303" s="8" t="n"/>
      <c r="B303" s="14" t="n"/>
      <c r="C303" s="41" t="n"/>
      <c r="D303" s="21" t="n"/>
      <c r="P303" s="22" t="n"/>
      <c r="Q303" s="41" t="n"/>
      <c r="R303" s="41" t="n"/>
      <c r="S303" s="21" t="n"/>
      <c r="AE303" s="22" t="n"/>
      <c r="AF303" s="41" t="n"/>
      <c r="AG303" s="41" t="n"/>
      <c r="AH303" s="21" t="n"/>
      <c r="AT303" s="22" t="n"/>
    </row>
    <row r="304" outlineLevel="3">
      <c r="A304" s="8" t="n"/>
      <c r="B304" s="14" t="n"/>
      <c r="C304" s="41" t="n"/>
      <c r="D304" s="21" t="n"/>
      <c r="P304" s="22" t="n"/>
      <c r="Q304" s="41" t="n"/>
      <c r="R304" s="41" t="n"/>
      <c r="S304" s="21" t="n"/>
      <c r="AE304" s="22" t="n"/>
      <c r="AF304" s="41" t="n"/>
      <c r="AG304" s="41" t="n"/>
      <c r="AH304" s="21" t="n"/>
      <c r="AT304" s="22" t="n"/>
    </row>
    <row r="305" outlineLevel="3">
      <c r="A305" s="8" t="n"/>
      <c r="B305" s="14" t="n"/>
      <c r="C305" s="41" t="n"/>
      <c r="D305" s="21" t="n"/>
      <c r="P305" s="22" t="n"/>
      <c r="Q305" s="41" t="n"/>
      <c r="R305" s="41" t="n"/>
      <c r="S305" s="21" t="n"/>
      <c r="AE305" s="22" t="n"/>
      <c r="AF305" s="41" t="n"/>
      <c r="AG305" s="41" t="n"/>
      <c r="AH305" s="21" t="n"/>
      <c r="AT305" s="22" t="n"/>
    </row>
    <row r="306" outlineLevel="3">
      <c r="A306" s="8" t="n"/>
      <c r="B306" s="14" t="n"/>
      <c r="C306" s="41" t="n"/>
      <c r="D306" s="23" t="n"/>
      <c r="E306" s="24" t="n"/>
      <c r="F306" s="24" t="n"/>
      <c r="G306" s="24" t="n"/>
      <c r="H306" s="24" t="n"/>
      <c r="I306" s="24" t="n"/>
      <c r="J306" s="24" t="n"/>
      <c r="K306" s="24" t="n"/>
      <c r="L306" s="24" t="n"/>
      <c r="M306" s="24" t="n"/>
      <c r="N306" s="24" t="n"/>
      <c r="O306" s="24" t="n"/>
      <c r="P306" s="25" t="n"/>
      <c r="Q306" s="41" t="n"/>
      <c r="R306" s="41" t="n"/>
      <c r="S306" s="23" t="n"/>
      <c r="T306" s="24" t="n"/>
      <c r="U306" s="24" t="n"/>
      <c r="V306" s="24" t="n"/>
      <c r="W306" s="24" t="n"/>
      <c r="X306" s="24" t="n"/>
      <c r="Y306" s="24" t="n"/>
      <c r="Z306" s="24" t="n"/>
      <c r="AA306" s="24" t="n"/>
      <c r="AB306" s="24" t="n"/>
      <c r="AC306" s="24" t="n"/>
      <c r="AD306" s="24" t="n"/>
      <c r="AE306" s="25" t="n"/>
      <c r="AF306" s="41" t="n"/>
      <c r="AG306" s="41" t="n"/>
      <c r="AH306" s="23" t="n"/>
      <c r="AI306" s="24" t="n"/>
      <c r="AJ306" s="24" t="n"/>
      <c r="AK306" s="24" t="n"/>
      <c r="AL306" s="24" t="n"/>
      <c r="AM306" s="24" t="n"/>
      <c r="AN306" s="24" t="n"/>
      <c r="AO306" s="24" t="n"/>
      <c r="AP306" s="24" t="n"/>
      <c r="AQ306" s="24" t="n"/>
      <c r="AR306" s="24" t="n"/>
      <c r="AS306" s="24" t="n"/>
      <c r="AT306" s="25" t="n"/>
    </row>
    <row r="307" outlineLevel="2">
      <c r="A307" s="8" t="n"/>
      <c r="B307" s="14" t="n"/>
      <c r="C307" s="41" t="n"/>
      <c r="D307" s="41" t="n"/>
      <c r="E307" s="41" t="n"/>
      <c r="F307" s="41" t="n"/>
      <c r="G307" s="41" t="n"/>
      <c r="H307" s="41" t="n"/>
      <c r="I307" s="41" t="n"/>
      <c r="J307" s="41" t="n"/>
      <c r="K307" s="41" t="n"/>
      <c r="L307" s="41" t="n"/>
      <c r="M307" s="41" t="n"/>
      <c r="N307" s="41" t="n"/>
      <c r="O307" s="41" t="n"/>
      <c r="P307" s="41" t="n"/>
      <c r="Q307" s="41" t="n"/>
      <c r="R307" s="41" t="n"/>
      <c r="S307" s="41" t="n"/>
      <c r="T307" s="41" t="n"/>
      <c r="U307" s="41" t="n"/>
      <c r="V307" s="41" t="n"/>
      <c r="W307" s="41" t="n"/>
      <c r="X307" s="41" t="n"/>
      <c r="Y307" s="41" t="n"/>
      <c r="Z307" s="41" t="n"/>
      <c r="AA307" s="41" t="n"/>
      <c r="AB307" s="41" t="n"/>
      <c r="AC307" s="41" t="n"/>
      <c r="AD307" s="41" t="n"/>
      <c r="AE307" s="41" t="n"/>
      <c r="AF307" s="41" t="n"/>
      <c r="AG307" s="41" t="n"/>
      <c r="AH307" s="41" t="n"/>
      <c r="AI307" s="41" t="n"/>
      <c r="AJ307" s="41" t="n"/>
      <c r="AK307" s="41" t="n"/>
      <c r="AL307" s="41" t="n"/>
      <c r="AM307" s="41" t="n"/>
      <c r="AN307" s="41" t="n"/>
      <c r="AO307" s="41" t="n"/>
      <c r="AP307" s="41" t="n"/>
      <c r="AQ307" s="41" t="n"/>
      <c r="AR307" s="41" t="n"/>
      <c r="AS307" s="41" t="n"/>
      <c r="AT307" s="41" t="n"/>
    </row>
    <row r="308" outlineLevel="2">
      <c r="A308" s="8" t="n"/>
      <c r="B308" s="14" t="n"/>
      <c r="C308" s="41" t="n"/>
      <c r="D308" s="120">
        <f>DADOS_AM!$KQ$8</f>
        <v/>
      </c>
      <c r="E308" s="17" t="n"/>
      <c r="F308" s="118">
        <f>DADOS_AM!$JX$2</f>
        <v/>
      </c>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c r="AA308" s="17" t="n"/>
      <c r="AB308" s="121">
        <f>DADOS_AM!$JY$2</f>
        <v/>
      </c>
      <c r="AC308" s="16" t="n"/>
      <c r="AD308" s="16" t="n"/>
      <c r="AE308" s="17" t="n"/>
      <c r="AF308" s="121">
        <f>DADOS_AM!$JZ$2</f>
        <v/>
      </c>
      <c r="AG308" s="16" t="n"/>
      <c r="AH308" s="16" t="n"/>
      <c r="AI308" s="16" t="n"/>
      <c r="AJ308" s="16" t="n"/>
      <c r="AK308" s="17" t="n"/>
      <c r="AL308" s="121">
        <f>DADOS_AM!$KA$2</f>
        <v/>
      </c>
      <c r="AM308" s="16" t="n"/>
      <c r="AN308" s="16" t="n"/>
      <c r="AO308" s="16" t="n"/>
      <c r="AP308" s="16" t="n"/>
      <c r="AQ308" s="16" t="n"/>
      <c r="AR308" s="16" t="n"/>
      <c r="AS308" s="16" t="n"/>
      <c r="AT308" s="17" t="n"/>
    </row>
    <row r="309" hidden="1" outlineLevel="3">
      <c r="A309" s="8" t="n"/>
      <c r="B309" s="14" t="n"/>
      <c r="C309" s="41" t="n"/>
      <c r="D309" s="119">
        <f>DADOS_AM!$KB$2</f>
        <v/>
      </c>
      <c r="E309" s="19" t="n"/>
      <c r="F309" s="19" t="n"/>
      <c r="G309" s="19" t="n"/>
      <c r="H309" s="19" t="n"/>
      <c r="I309" s="19" t="n"/>
      <c r="J309" s="19" t="n"/>
      <c r="K309" s="19" t="n"/>
      <c r="L309" s="19" t="n"/>
      <c r="M309" s="19" t="n"/>
      <c r="N309" s="19" t="n"/>
      <c r="O309" s="19" t="n"/>
      <c r="P309" s="19" t="n"/>
      <c r="Q309" s="19" t="n"/>
      <c r="R309" s="19" t="n"/>
      <c r="S309" s="19" t="n"/>
      <c r="T309" s="19" t="n"/>
      <c r="U309" s="19" t="n"/>
      <c r="V309" s="19" t="n"/>
      <c r="W309" s="19" t="n"/>
      <c r="X309" s="19" t="n"/>
      <c r="Y309" s="19" t="n"/>
      <c r="Z309" s="19" t="n"/>
      <c r="AA309" s="19" t="n"/>
      <c r="AB309" s="19" t="n"/>
      <c r="AC309" s="19" t="n"/>
      <c r="AD309" s="19" t="n"/>
      <c r="AE309" s="19" t="n"/>
      <c r="AF309" s="19" t="n"/>
      <c r="AG309" s="19" t="n"/>
      <c r="AH309" s="19" t="n"/>
      <c r="AI309" s="19" t="n"/>
      <c r="AJ309" s="19" t="n"/>
      <c r="AK309" s="19" t="n"/>
      <c r="AL309" s="19" t="n"/>
      <c r="AM309" s="19" t="n"/>
      <c r="AN309" s="19" t="n"/>
      <c r="AO309" s="19" t="n"/>
      <c r="AP309" s="19" t="n"/>
      <c r="AQ309" s="19" t="n"/>
      <c r="AR309" s="19" t="n"/>
      <c r="AS309" s="19" t="n"/>
      <c r="AT309" s="20" t="n"/>
    </row>
    <row r="310" hidden="1" outlineLevel="3">
      <c r="A310" s="8" t="n"/>
      <c r="B310" s="14" t="n"/>
      <c r="C310" s="41" t="n"/>
      <c r="D310" s="21" t="n"/>
      <c r="AT310" s="22" t="n"/>
    </row>
    <row r="311" hidden="1" outlineLevel="3">
      <c r="A311" s="8" t="n"/>
      <c r="B311" s="14" t="n"/>
      <c r="C311" s="41" t="n"/>
      <c r="D311" s="21" t="n"/>
      <c r="AT311" s="22" t="n"/>
    </row>
    <row r="312" hidden="1" outlineLevel="3">
      <c r="A312" s="8" t="n"/>
      <c r="B312" s="14" t="n"/>
      <c r="C312" s="41" t="n"/>
      <c r="D312" s="21" t="n"/>
      <c r="AT312" s="22" t="n"/>
    </row>
    <row r="313" hidden="1" outlineLevel="3">
      <c r="A313" s="8" t="n"/>
      <c r="B313" s="14" t="n"/>
      <c r="C313" s="41" t="n"/>
      <c r="D313" s="23" t="n"/>
      <c r="E313" s="24" t="n"/>
      <c r="F313" s="24" t="n"/>
      <c r="G313" s="24" t="n"/>
      <c r="H313" s="24" t="n"/>
      <c r="I313" s="24" t="n"/>
      <c r="J313" s="24" t="n"/>
      <c r="K313" s="24" t="n"/>
      <c r="L313" s="24" t="n"/>
      <c r="M313" s="24" t="n"/>
      <c r="N313" s="24" t="n"/>
      <c r="O313" s="24" t="n"/>
      <c r="P313" s="24" t="n"/>
      <c r="Q313" s="24" t="n"/>
      <c r="R313" s="24" t="n"/>
      <c r="S313" s="24" t="n"/>
      <c r="T313" s="24" t="n"/>
      <c r="U313" s="24" t="n"/>
      <c r="V313" s="24" t="n"/>
      <c r="W313" s="24" t="n"/>
      <c r="X313" s="24" t="n"/>
      <c r="Y313" s="24" t="n"/>
      <c r="Z313" s="24" t="n"/>
      <c r="AA313" s="24" t="n"/>
      <c r="AB313" s="24" t="n"/>
      <c r="AC313" s="24" t="n"/>
      <c r="AD313" s="24" t="n"/>
      <c r="AE313" s="24" t="n"/>
      <c r="AF313" s="24" t="n"/>
      <c r="AG313" s="24" t="n"/>
      <c r="AH313" s="24" t="n"/>
      <c r="AI313" s="24" t="n"/>
      <c r="AJ313" s="24" t="n"/>
      <c r="AK313" s="24" t="n"/>
      <c r="AL313" s="24" t="n"/>
      <c r="AM313" s="24" t="n"/>
      <c r="AN313" s="24" t="n"/>
      <c r="AO313" s="24" t="n"/>
      <c r="AP313" s="24" t="n"/>
      <c r="AQ313" s="24" t="n"/>
      <c r="AR313" s="24" t="n"/>
      <c r="AS313" s="24" t="n"/>
      <c r="AT313" s="25" t="n"/>
    </row>
    <row r="314" outlineLevel="2">
      <c r="A314" s="8" t="n"/>
      <c r="B314" s="14" t="n"/>
      <c r="C314" s="41" t="n"/>
      <c r="D314" s="41" t="n"/>
      <c r="E314" s="41" t="n"/>
      <c r="F314" s="41" t="n"/>
      <c r="G314" s="41" t="n"/>
      <c r="H314" s="41" t="n"/>
      <c r="I314" s="41" t="n"/>
      <c r="J314" s="41" t="n"/>
      <c r="K314" s="41" t="n"/>
      <c r="L314" s="41" t="n"/>
      <c r="M314" s="41" t="n"/>
      <c r="N314" s="41" t="n"/>
      <c r="O314" s="41" t="n"/>
      <c r="P314" s="41" t="n"/>
      <c r="Q314" s="41" t="n"/>
      <c r="R314" s="41" t="n"/>
      <c r="S314" s="41" t="n"/>
      <c r="T314" s="41" t="n"/>
      <c r="U314" s="41" t="n"/>
      <c r="V314" s="41" t="n"/>
      <c r="W314" s="41" t="n"/>
      <c r="X314" s="41" t="n"/>
      <c r="Y314" s="41" t="n"/>
      <c r="Z314" s="41" t="n"/>
      <c r="AA314" s="41" t="n"/>
      <c r="AB314" s="41" t="n"/>
      <c r="AC314" s="41" t="n"/>
      <c r="AD314" s="41" t="n"/>
      <c r="AE314" s="41" t="n"/>
      <c r="AF314" s="41" t="n"/>
      <c r="AG314" s="41" t="n"/>
      <c r="AH314" s="41" t="n"/>
      <c r="AI314" s="41" t="n"/>
      <c r="AJ314" s="41" t="n"/>
      <c r="AK314" s="41" t="n"/>
      <c r="AL314" s="41" t="n"/>
      <c r="AM314" s="41" t="n"/>
      <c r="AN314" s="41" t="n"/>
      <c r="AO314" s="41" t="n"/>
      <c r="AP314" s="41" t="n"/>
      <c r="AQ314" s="41" t="n"/>
      <c r="AR314" s="41" t="n"/>
      <c r="AS314" s="41" t="n"/>
      <c r="AT314" s="41" t="n"/>
    </row>
    <row r="315" outlineLevel="2">
      <c r="A315" s="8" t="n"/>
      <c r="B315" s="14" t="n"/>
      <c r="C315" s="41" t="n"/>
      <c r="D315" s="120">
        <f>DADOS_AM!$KQ$9</f>
        <v/>
      </c>
      <c r="E315" s="17" t="n"/>
      <c r="F315" s="118">
        <f>DADOS_AM!$JX$3</f>
        <v/>
      </c>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c r="AA315" s="17" t="n"/>
      <c r="AB315" s="121">
        <f>DADOS_AM!$JY$3</f>
        <v/>
      </c>
      <c r="AC315" s="16" t="n"/>
      <c r="AD315" s="16" t="n"/>
      <c r="AE315" s="17" t="n"/>
      <c r="AF315" s="121">
        <f>DADOS_AM!$JZ$3</f>
        <v/>
      </c>
      <c r="AG315" s="16" t="n"/>
      <c r="AH315" s="16" t="n"/>
      <c r="AI315" s="16" t="n"/>
      <c r="AJ315" s="16" t="n"/>
      <c r="AK315" s="17" t="n"/>
      <c r="AL315" s="121">
        <f>DADOS_AM!$KA$3</f>
        <v/>
      </c>
      <c r="AM315" s="16" t="n"/>
      <c r="AN315" s="16" t="n"/>
      <c r="AO315" s="16" t="n"/>
      <c r="AP315" s="16" t="n"/>
      <c r="AQ315" s="16" t="n"/>
      <c r="AR315" s="16" t="n"/>
      <c r="AS315" s="16" t="n"/>
      <c r="AT315" s="17" t="n"/>
    </row>
    <row r="316" hidden="1" outlineLevel="3">
      <c r="A316" s="8" t="n"/>
      <c r="B316" s="14" t="n"/>
      <c r="C316" s="41" t="n"/>
      <c r="D316" s="119">
        <f>DADOS_AM!$KB$3</f>
        <v/>
      </c>
      <c r="E316" s="19" t="n"/>
      <c r="F316" s="19" t="n"/>
      <c r="G316" s="19" t="n"/>
      <c r="H316" s="19" t="n"/>
      <c r="I316" s="19" t="n"/>
      <c r="J316" s="19" t="n"/>
      <c r="K316" s="19" t="n"/>
      <c r="L316" s="19" t="n"/>
      <c r="M316" s="19" t="n"/>
      <c r="N316" s="19" t="n"/>
      <c r="O316" s="19" t="n"/>
      <c r="P316" s="19" t="n"/>
      <c r="Q316" s="19" t="n"/>
      <c r="R316" s="19" t="n"/>
      <c r="S316" s="19" t="n"/>
      <c r="T316" s="19" t="n"/>
      <c r="U316" s="19" t="n"/>
      <c r="V316" s="19" t="n"/>
      <c r="W316" s="19" t="n"/>
      <c r="X316" s="19" t="n"/>
      <c r="Y316" s="19" t="n"/>
      <c r="Z316" s="19" t="n"/>
      <c r="AA316" s="19" t="n"/>
      <c r="AB316" s="19" t="n"/>
      <c r="AC316" s="19" t="n"/>
      <c r="AD316" s="19" t="n"/>
      <c r="AE316" s="19" t="n"/>
      <c r="AF316" s="19" t="n"/>
      <c r="AG316" s="19" t="n"/>
      <c r="AH316" s="19" t="n"/>
      <c r="AI316" s="19" t="n"/>
      <c r="AJ316" s="19" t="n"/>
      <c r="AK316" s="19" t="n"/>
      <c r="AL316" s="19" t="n"/>
      <c r="AM316" s="19" t="n"/>
      <c r="AN316" s="19" t="n"/>
      <c r="AO316" s="19" t="n"/>
      <c r="AP316" s="19" t="n"/>
      <c r="AQ316" s="19" t="n"/>
      <c r="AR316" s="19" t="n"/>
      <c r="AS316" s="19" t="n"/>
      <c r="AT316" s="20" t="n"/>
    </row>
    <row r="317" hidden="1" outlineLevel="3">
      <c r="A317" s="8" t="n"/>
      <c r="B317" s="14" t="n"/>
      <c r="C317" s="41" t="n"/>
      <c r="D317" s="21" t="n"/>
      <c r="AT317" s="22" t="n"/>
    </row>
    <row r="318" hidden="1" outlineLevel="3">
      <c r="A318" s="8" t="n"/>
      <c r="B318" s="14" t="n"/>
      <c r="C318" s="41" t="n"/>
      <c r="D318" s="21" t="n"/>
      <c r="AT318" s="22" t="n"/>
    </row>
    <row r="319" hidden="1" outlineLevel="3">
      <c r="A319" s="8" t="n"/>
      <c r="B319" s="14" t="n"/>
      <c r="C319" s="41" t="n"/>
      <c r="D319" s="21" t="n"/>
      <c r="AT319" s="22" t="n"/>
    </row>
    <row r="320" hidden="1" outlineLevel="3">
      <c r="A320" s="8" t="n"/>
      <c r="B320" s="14" t="n"/>
      <c r="C320" s="41" t="n"/>
      <c r="D320" s="23" t="n"/>
      <c r="E320" s="24" t="n"/>
      <c r="F320" s="24" t="n"/>
      <c r="G320" s="24" t="n"/>
      <c r="H320" s="24" t="n"/>
      <c r="I320" s="24" t="n"/>
      <c r="J320" s="24" t="n"/>
      <c r="K320" s="24" t="n"/>
      <c r="L320" s="24" t="n"/>
      <c r="M320" s="24" t="n"/>
      <c r="N320" s="24" t="n"/>
      <c r="O320" s="24" t="n"/>
      <c r="P320" s="24" t="n"/>
      <c r="Q320" s="24" t="n"/>
      <c r="R320" s="24" t="n"/>
      <c r="S320" s="24" t="n"/>
      <c r="T320" s="24" t="n"/>
      <c r="U320" s="24" t="n"/>
      <c r="V320" s="24" t="n"/>
      <c r="W320" s="24" t="n"/>
      <c r="X320" s="24" t="n"/>
      <c r="Y320" s="24" t="n"/>
      <c r="Z320" s="24" t="n"/>
      <c r="AA320" s="24" t="n"/>
      <c r="AB320" s="24" t="n"/>
      <c r="AC320" s="24" t="n"/>
      <c r="AD320" s="24" t="n"/>
      <c r="AE320" s="24" t="n"/>
      <c r="AF320" s="24" t="n"/>
      <c r="AG320" s="24" t="n"/>
      <c r="AH320" s="24" t="n"/>
      <c r="AI320" s="24" t="n"/>
      <c r="AJ320" s="24" t="n"/>
      <c r="AK320" s="24" t="n"/>
      <c r="AL320" s="24" t="n"/>
      <c r="AM320" s="24" t="n"/>
      <c r="AN320" s="24" t="n"/>
      <c r="AO320" s="24" t="n"/>
      <c r="AP320" s="24" t="n"/>
      <c r="AQ320" s="24" t="n"/>
      <c r="AR320" s="24" t="n"/>
      <c r="AS320" s="24" t="n"/>
      <c r="AT320" s="25" t="n"/>
    </row>
    <row r="321" outlineLevel="2">
      <c r="A321" s="8" t="n"/>
      <c r="B321" s="14" t="n"/>
      <c r="C321" s="41" t="n"/>
      <c r="D321" s="41" t="n"/>
      <c r="E321" s="41" t="n"/>
      <c r="F321" s="41" t="n"/>
      <c r="G321" s="41" t="n"/>
      <c r="H321" s="41" t="n"/>
      <c r="I321" s="41" t="n"/>
      <c r="J321" s="41" t="n"/>
      <c r="K321" s="41" t="n"/>
      <c r="L321" s="41" t="n"/>
      <c r="M321" s="41" t="n"/>
      <c r="N321" s="41" t="n"/>
      <c r="O321" s="41" t="n"/>
      <c r="P321" s="41" t="n"/>
      <c r="Q321" s="41" t="n"/>
      <c r="R321" s="41" t="n"/>
      <c r="S321" s="41" t="n"/>
      <c r="T321" s="41" t="n"/>
      <c r="U321" s="41" t="n"/>
      <c r="V321" s="41" t="n"/>
      <c r="W321" s="41" t="n"/>
      <c r="X321" s="41" t="n"/>
      <c r="Y321" s="41" t="n"/>
      <c r="Z321" s="41" t="n"/>
      <c r="AA321" s="41" t="n"/>
      <c r="AB321" s="41" t="n"/>
      <c r="AC321" s="41" t="n"/>
      <c r="AD321" s="41" t="n"/>
      <c r="AE321" s="41" t="n"/>
      <c r="AF321" s="41" t="n"/>
      <c r="AG321" s="41" t="n"/>
      <c r="AH321" s="41" t="n"/>
      <c r="AI321" s="41" t="n"/>
      <c r="AJ321" s="41" t="n"/>
      <c r="AK321" s="41" t="n"/>
      <c r="AL321" s="41" t="n"/>
      <c r="AM321" s="41" t="n"/>
      <c r="AN321" s="41" t="n"/>
      <c r="AO321" s="41" t="n"/>
      <c r="AP321" s="41" t="n"/>
      <c r="AQ321" s="41" t="n"/>
      <c r="AR321" s="41" t="n"/>
      <c r="AS321" s="41" t="n"/>
      <c r="AT321" s="41" t="n"/>
    </row>
    <row r="322" outlineLevel="1">
      <c r="A322" s="8" t="n"/>
      <c r="B322" s="14" t="n"/>
      <c r="C322" s="41" t="n"/>
      <c r="D322" s="116">
        <f>DADOS_AM!$KQ$5</f>
        <v/>
      </c>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c r="AA322" s="16" t="n"/>
      <c r="AB322" s="16" t="n"/>
      <c r="AC322" s="16" t="n"/>
      <c r="AD322" s="16" t="n"/>
      <c r="AE322" s="16" t="n"/>
      <c r="AF322" s="16" t="n"/>
      <c r="AG322" s="16" t="n"/>
      <c r="AH322" s="16" t="n"/>
      <c r="AI322" s="16" t="n"/>
      <c r="AJ322" s="16" t="n"/>
      <c r="AK322" s="16" t="n"/>
      <c r="AL322" s="16" t="n"/>
      <c r="AM322" s="16" t="n"/>
      <c r="AN322" s="16" t="n"/>
      <c r="AO322" s="16" t="n"/>
      <c r="AP322" s="16" t="n"/>
      <c r="AQ322" s="16" t="n"/>
      <c r="AR322" s="16" t="n"/>
      <c r="AS322" s="16" t="n"/>
      <c r="AT322" s="17" t="n"/>
    </row>
    <row r="323" outlineLevel="3">
      <c r="A323" s="8" t="n"/>
      <c r="B323" s="14" t="n"/>
      <c r="C323" s="41" t="n"/>
      <c r="D323" s="120">
        <f>DADOS_AM!$KF$2</f>
        <v/>
      </c>
      <c r="E323" s="17" t="n"/>
      <c r="F323" s="118">
        <f>DADOS_AM!$KG$2</f>
        <v/>
      </c>
      <c r="G323" s="16" t="n"/>
      <c r="H323" s="16" t="n"/>
      <c r="I323" s="16" t="n"/>
      <c r="J323" s="16" t="n"/>
      <c r="K323" s="16" t="n"/>
      <c r="L323" s="16" t="n"/>
      <c r="M323" s="16" t="n"/>
      <c r="N323" s="16" t="n"/>
      <c r="O323" s="16" t="n"/>
      <c r="P323" s="17" t="n"/>
      <c r="Q323" s="41" t="n"/>
      <c r="R323" s="41" t="n"/>
      <c r="S323" s="120">
        <f>DADOS_AM!$KF$3</f>
        <v/>
      </c>
      <c r="T323" s="17" t="n"/>
      <c r="U323" s="118">
        <f>DADOS_AM!$KG$3</f>
        <v/>
      </c>
      <c r="V323" s="16" t="n"/>
      <c r="W323" s="16" t="n"/>
      <c r="X323" s="16" t="n"/>
      <c r="Y323" s="16" t="n"/>
      <c r="Z323" s="16" t="n"/>
      <c r="AA323" s="16" t="n"/>
      <c r="AB323" s="16" t="n"/>
      <c r="AC323" s="16" t="n"/>
      <c r="AD323" s="16" t="n"/>
      <c r="AE323" s="17" t="n"/>
      <c r="AF323" s="41" t="n"/>
      <c r="AG323" s="41" t="n"/>
      <c r="AH323" s="120">
        <f>DADOS_AM!$KF$4</f>
        <v/>
      </c>
      <c r="AI323" s="17" t="n"/>
      <c r="AJ323" s="118">
        <f>DADOS_AM!$KG$4</f>
        <v/>
      </c>
      <c r="AK323" s="16" t="n"/>
      <c r="AL323" s="16" t="n"/>
      <c r="AM323" s="16" t="n"/>
      <c r="AN323" s="16" t="n"/>
      <c r="AO323" s="16" t="n"/>
      <c r="AP323" s="16" t="n"/>
      <c r="AQ323" s="16" t="n"/>
      <c r="AR323" s="16" t="n"/>
      <c r="AS323" s="16" t="n"/>
      <c r="AT323" s="17" t="n"/>
    </row>
    <row r="324" outlineLevel="4">
      <c r="A324" s="8" t="n"/>
      <c r="B324" s="14" t="n"/>
      <c r="C324" s="41" t="n"/>
      <c r="D324" s="119">
        <f>DADOS_AM!$KH$2</f>
        <v/>
      </c>
      <c r="E324" s="19" t="n"/>
      <c r="F324" s="19" t="n"/>
      <c r="G324" s="19" t="n"/>
      <c r="H324" s="19" t="n"/>
      <c r="I324" s="19" t="n"/>
      <c r="J324" s="19" t="n"/>
      <c r="K324" s="19" t="n"/>
      <c r="L324" s="19" t="n"/>
      <c r="M324" s="19" t="n"/>
      <c r="N324" s="19" t="n"/>
      <c r="O324" s="19" t="n"/>
      <c r="P324" s="20" t="n"/>
      <c r="Q324" s="41" t="n"/>
      <c r="R324" s="41" t="n"/>
      <c r="S324" s="119">
        <f>DADOS_AM!$KH$3</f>
        <v/>
      </c>
      <c r="T324" s="19" t="n"/>
      <c r="U324" s="19" t="n"/>
      <c r="V324" s="19" t="n"/>
      <c r="W324" s="19" t="n"/>
      <c r="X324" s="19" t="n"/>
      <c r="Y324" s="19" t="n"/>
      <c r="Z324" s="19" t="n"/>
      <c r="AA324" s="19" t="n"/>
      <c r="AB324" s="19" t="n"/>
      <c r="AC324" s="19" t="n"/>
      <c r="AD324" s="19" t="n"/>
      <c r="AE324" s="20" t="n"/>
      <c r="AF324" s="41" t="n"/>
      <c r="AG324" s="41" t="n"/>
      <c r="AH324" s="119">
        <f>DADOS_AM!$KH$4</f>
        <v/>
      </c>
      <c r="AI324" s="19" t="n"/>
      <c r="AJ324" s="19" t="n"/>
      <c r="AK324" s="19" t="n"/>
      <c r="AL324" s="19" t="n"/>
      <c r="AM324" s="19" t="n"/>
      <c r="AN324" s="19" t="n"/>
      <c r="AO324" s="19" t="n"/>
      <c r="AP324" s="19" t="n"/>
      <c r="AQ324" s="19" t="n"/>
      <c r="AR324" s="19" t="n"/>
      <c r="AS324" s="19" t="n"/>
      <c r="AT324" s="20" t="n"/>
    </row>
    <row r="325" outlineLevel="4">
      <c r="A325" s="8" t="n"/>
      <c r="B325" s="14" t="n"/>
      <c r="C325" s="41" t="n"/>
      <c r="D325" s="21" t="n"/>
      <c r="P325" s="22" t="n"/>
      <c r="Q325" s="41" t="n"/>
      <c r="R325" s="41" t="n"/>
      <c r="S325" s="21" t="n"/>
      <c r="AE325" s="22" t="n"/>
      <c r="AF325" s="41" t="n"/>
      <c r="AG325" s="41" t="n"/>
      <c r="AH325" s="21" t="n"/>
      <c r="AT325" s="22" t="n"/>
    </row>
    <row r="326" outlineLevel="4">
      <c r="A326" s="8" t="n"/>
      <c r="B326" s="14" t="n"/>
      <c r="C326" s="41" t="n"/>
      <c r="D326" s="21" t="n"/>
      <c r="P326" s="22" t="n"/>
      <c r="Q326" s="41" t="n"/>
      <c r="R326" s="41" t="n"/>
      <c r="S326" s="21" t="n"/>
      <c r="AE326" s="22" t="n"/>
      <c r="AF326" s="41" t="n"/>
      <c r="AG326" s="41" t="n"/>
      <c r="AH326" s="21" t="n"/>
      <c r="AT326" s="22" t="n"/>
    </row>
    <row r="327" outlineLevel="4">
      <c r="A327" s="8" t="n"/>
      <c r="B327" s="14" t="n"/>
      <c r="C327" s="41" t="n"/>
      <c r="D327" s="21" t="n"/>
      <c r="P327" s="22" t="n"/>
      <c r="Q327" s="41" t="n"/>
      <c r="R327" s="41" t="n"/>
      <c r="S327" s="21" t="n"/>
      <c r="AE327" s="22" t="n"/>
      <c r="AF327" s="41" t="n"/>
      <c r="AG327" s="41" t="n"/>
      <c r="AH327" s="21" t="n"/>
      <c r="AT327" s="22" t="n"/>
    </row>
    <row r="328" outlineLevel="4">
      <c r="A328" s="8" t="n"/>
      <c r="B328" s="14" t="n"/>
      <c r="C328" s="41" t="n"/>
      <c r="D328" s="23" t="n"/>
      <c r="E328" s="24" t="n"/>
      <c r="F328" s="24" t="n"/>
      <c r="G328" s="24" t="n"/>
      <c r="H328" s="24" t="n"/>
      <c r="I328" s="24" t="n"/>
      <c r="J328" s="24" t="n"/>
      <c r="K328" s="24" t="n"/>
      <c r="L328" s="24" t="n"/>
      <c r="M328" s="24" t="n"/>
      <c r="N328" s="24" t="n"/>
      <c r="O328" s="24" t="n"/>
      <c r="P328" s="25" t="n"/>
      <c r="Q328" s="41" t="n"/>
      <c r="R328" s="41" t="n"/>
      <c r="S328" s="23" t="n"/>
      <c r="T328" s="24" t="n"/>
      <c r="U328" s="24" t="n"/>
      <c r="V328" s="24" t="n"/>
      <c r="W328" s="24" t="n"/>
      <c r="X328" s="24" t="n"/>
      <c r="Y328" s="24" t="n"/>
      <c r="Z328" s="24" t="n"/>
      <c r="AA328" s="24" t="n"/>
      <c r="AB328" s="24" t="n"/>
      <c r="AC328" s="24" t="n"/>
      <c r="AD328" s="24" t="n"/>
      <c r="AE328" s="25" t="n"/>
      <c r="AF328" s="41" t="n"/>
      <c r="AG328" s="41" t="n"/>
      <c r="AH328" s="23" t="n"/>
      <c r="AI328" s="24" t="n"/>
      <c r="AJ328" s="24" t="n"/>
      <c r="AK328" s="24" t="n"/>
      <c r="AL328" s="24" t="n"/>
      <c r="AM328" s="24" t="n"/>
      <c r="AN328" s="24" t="n"/>
      <c r="AO328" s="24" t="n"/>
      <c r="AP328" s="24" t="n"/>
      <c r="AQ328" s="24" t="n"/>
      <c r="AR328" s="24" t="n"/>
      <c r="AS328" s="24" t="n"/>
      <c r="AT328" s="25" t="n"/>
    </row>
    <row r="329" outlineLevel="3">
      <c r="A329" s="8" t="n"/>
      <c r="B329" s="14" t="n"/>
      <c r="C329" s="41" t="n"/>
      <c r="D329" s="41" t="n"/>
      <c r="E329" s="41" t="n"/>
      <c r="F329" s="41" t="n"/>
      <c r="G329" s="41" t="n"/>
      <c r="H329" s="41" t="n"/>
      <c r="I329" s="41" t="n"/>
      <c r="J329" s="41" t="n"/>
      <c r="K329" s="41" t="n"/>
      <c r="L329" s="41" t="n"/>
      <c r="M329" s="41" t="n"/>
      <c r="N329" s="41" t="n"/>
      <c r="O329" s="41" t="n"/>
      <c r="P329" s="41" t="n"/>
      <c r="Q329" s="41" t="n"/>
      <c r="R329" s="41" t="n"/>
      <c r="S329" s="41" t="n"/>
      <c r="T329" s="41" t="n"/>
      <c r="U329" s="41" t="n"/>
      <c r="V329" s="41" t="n"/>
      <c r="W329" s="41" t="n"/>
      <c r="X329" s="41" t="n"/>
      <c r="Y329" s="41" t="n"/>
      <c r="Z329" s="41" t="n"/>
      <c r="AA329" s="41" t="n"/>
      <c r="AB329" s="41" t="n"/>
      <c r="AC329" s="41" t="n"/>
      <c r="AD329" s="41" t="n"/>
      <c r="AE329" s="41" t="n"/>
      <c r="AF329" s="41" t="n"/>
      <c r="AG329" s="41" t="n"/>
      <c r="AH329" s="41" t="n"/>
      <c r="AI329" s="41" t="n"/>
      <c r="AJ329" s="41" t="n"/>
      <c r="AK329" s="41" t="n"/>
      <c r="AL329" s="41" t="n"/>
      <c r="AM329" s="41" t="n"/>
      <c r="AN329" s="41" t="n"/>
      <c r="AO329" s="41" t="n"/>
      <c r="AP329" s="41" t="n"/>
      <c r="AQ329" s="41" t="n"/>
      <c r="AR329" s="41" t="n"/>
      <c r="AS329" s="41" t="n"/>
      <c r="AT329" s="41" t="n"/>
    </row>
    <row r="330" outlineLevel="3">
      <c r="A330" s="8" t="n"/>
      <c r="B330" s="14" t="n"/>
      <c r="C330" s="41" t="n"/>
      <c r="D330" s="120">
        <f>DADOS_AM!$KF$5</f>
        <v/>
      </c>
      <c r="E330" s="17" t="n"/>
      <c r="F330" s="118">
        <f>DADOS_AM!$KG$5</f>
        <v/>
      </c>
      <c r="G330" s="16" t="n"/>
      <c r="H330" s="16" t="n"/>
      <c r="I330" s="16" t="n"/>
      <c r="J330" s="16" t="n"/>
      <c r="K330" s="16" t="n"/>
      <c r="L330" s="16" t="n"/>
      <c r="M330" s="16" t="n"/>
      <c r="N330" s="16" t="n"/>
      <c r="O330" s="16" t="n"/>
      <c r="P330" s="17" t="n"/>
      <c r="Q330" s="41" t="n"/>
      <c r="R330" s="41" t="n"/>
      <c r="S330" s="120">
        <f>DADOS_AM!$KF$6</f>
        <v/>
      </c>
      <c r="T330" s="17" t="n"/>
      <c r="U330" s="118">
        <f>DADOS_AM!$KG$6</f>
        <v/>
      </c>
      <c r="V330" s="16" t="n"/>
      <c r="W330" s="16" t="n"/>
      <c r="X330" s="16" t="n"/>
      <c r="Y330" s="16" t="n"/>
      <c r="Z330" s="16" t="n"/>
      <c r="AA330" s="16" t="n"/>
      <c r="AB330" s="16" t="n"/>
      <c r="AC330" s="16" t="n"/>
      <c r="AD330" s="16" t="n"/>
      <c r="AE330" s="17" t="n"/>
      <c r="AF330" s="41" t="n"/>
      <c r="AG330" s="41" t="n"/>
      <c r="AH330" s="120">
        <f>DADOS_AM!$KF$7</f>
        <v/>
      </c>
      <c r="AI330" s="17" t="n"/>
      <c r="AJ330" s="118">
        <f>DADOS_AM!$KG$7</f>
        <v/>
      </c>
      <c r="AK330" s="16" t="n"/>
      <c r="AL330" s="16" t="n"/>
      <c r="AM330" s="16" t="n"/>
      <c r="AN330" s="16" t="n"/>
      <c r="AO330" s="16" t="n"/>
      <c r="AP330" s="16" t="n"/>
      <c r="AQ330" s="16" t="n"/>
      <c r="AR330" s="16" t="n"/>
      <c r="AS330" s="16" t="n"/>
      <c r="AT330" s="17" t="n"/>
    </row>
    <row r="331" hidden="1" outlineLevel="4">
      <c r="A331" s="8" t="n"/>
      <c r="B331" s="14" t="n"/>
      <c r="C331" s="41" t="n"/>
      <c r="D331" s="119">
        <f>DADOS_AM!$KH$5</f>
        <v/>
      </c>
      <c r="E331" s="19" t="n"/>
      <c r="F331" s="19" t="n"/>
      <c r="G331" s="19" t="n"/>
      <c r="H331" s="19" t="n"/>
      <c r="I331" s="19" t="n"/>
      <c r="J331" s="19" t="n"/>
      <c r="K331" s="19" t="n"/>
      <c r="L331" s="19" t="n"/>
      <c r="M331" s="19" t="n"/>
      <c r="N331" s="19" t="n"/>
      <c r="O331" s="19" t="n"/>
      <c r="P331" s="20" t="n"/>
      <c r="Q331" s="41" t="n"/>
      <c r="R331" s="41" t="n"/>
      <c r="S331" s="119">
        <f>DADOS_AM!$KH$6</f>
        <v/>
      </c>
      <c r="T331" s="19" t="n"/>
      <c r="U331" s="19" t="n"/>
      <c r="V331" s="19" t="n"/>
      <c r="W331" s="19" t="n"/>
      <c r="X331" s="19" t="n"/>
      <c r="Y331" s="19" t="n"/>
      <c r="Z331" s="19" t="n"/>
      <c r="AA331" s="19" t="n"/>
      <c r="AB331" s="19" t="n"/>
      <c r="AC331" s="19" t="n"/>
      <c r="AD331" s="19" t="n"/>
      <c r="AE331" s="20" t="n"/>
      <c r="AF331" s="41" t="n"/>
      <c r="AG331" s="41" t="n"/>
      <c r="AH331" s="119">
        <f>DADOS_AM!$KH$7</f>
        <v/>
      </c>
      <c r="AI331" s="19" t="n"/>
      <c r="AJ331" s="19" t="n"/>
      <c r="AK331" s="19" t="n"/>
      <c r="AL331" s="19" t="n"/>
      <c r="AM331" s="19" t="n"/>
      <c r="AN331" s="19" t="n"/>
      <c r="AO331" s="19" t="n"/>
      <c r="AP331" s="19" t="n"/>
      <c r="AQ331" s="19" t="n"/>
      <c r="AR331" s="19" t="n"/>
      <c r="AS331" s="19" t="n"/>
      <c r="AT331" s="20" t="n"/>
    </row>
    <row r="332" hidden="1" outlineLevel="4">
      <c r="A332" s="8" t="n"/>
      <c r="B332" s="14" t="n"/>
      <c r="C332" s="41" t="n"/>
      <c r="D332" s="21" t="n"/>
      <c r="P332" s="22" t="n"/>
      <c r="Q332" s="41" t="n"/>
      <c r="R332" s="41" t="n"/>
      <c r="S332" s="21" t="n"/>
      <c r="AE332" s="22" t="n"/>
      <c r="AF332" s="41" t="n"/>
      <c r="AG332" s="41" t="n"/>
      <c r="AH332" s="21" t="n"/>
      <c r="AT332" s="22" t="n"/>
    </row>
    <row r="333" hidden="1" outlineLevel="4">
      <c r="A333" s="8" t="n"/>
      <c r="B333" s="14" t="n"/>
      <c r="C333" s="41" t="n"/>
      <c r="D333" s="21" t="n"/>
      <c r="P333" s="22" t="n"/>
      <c r="Q333" s="41" t="n"/>
      <c r="R333" s="41" t="n"/>
      <c r="S333" s="21" t="n"/>
      <c r="AE333" s="22" t="n"/>
      <c r="AF333" s="41" t="n"/>
      <c r="AG333" s="41" t="n"/>
      <c r="AH333" s="21" t="n"/>
      <c r="AT333" s="22" t="n"/>
    </row>
    <row r="334" hidden="1" outlineLevel="4">
      <c r="A334" s="8" t="n"/>
      <c r="B334" s="14" t="n"/>
      <c r="C334" s="41" t="n"/>
      <c r="D334" s="21" t="n"/>
      <c r="P334" s="22" t="n"/>
      <c r="Q334" s="41" t="n"/>
      <c r="R334" s="41" t="n"/>
      <c r="S334" s="21" t="n"/>
      <c r="AE334" s="22" t="n"/>
      <c r="AF334" s="41" t="n"/>
      <c r="AG334" s="41" t="n"/>
      <c r="AH334" s="21" t="n"/>
      <c r="AT334" s="22" t="n"/>
    </row>
    <row r="335" hidden="1" outlineLevel="4">
      <c r="A335" s="8" t="n"/>
      <c r="B335" s="14" t="n"/>
      <c r="C335" s="41" t="n"/>
      <c r="D335" s="23" t="n"/>
      <c r="E335" s="24" t="n"/>
      <c r="F335" s="24" t="n"/>
      <c r="G335" s="24" t="n"/>
      <c r="H335" s="24" t="n"/>
      <c r="I335" s="24" t="n"/>
      <c r="J335" s="24" t="n"/>
      <c r="K335" s="24" t="n"/>
      <c r="L335" s="24" t="n"/>
      <c r="M335" s="24" t="n"/>
      <c r="N335" s="24" t="n"/>
      <c r="O335" s="24" t="n"/>
      <c r="P335" s="25" t="n"/>
      <c r="Q335" s="41" t="n"/>
      <c r="R335" s="41" t="n"/>
      <c r="S335" s="23" t="n"/>
      <c r="T335" s="24" t="n"/>
      <c r="U335" s="24" t="n"/>
      <c r="V335" s="24" t="n"/>
      <c r="W335" s="24" t="n"/>
      <c r="X335" s="24" t="n"/>
      <c r="Y335" s="24" t="n"/>
      <c r="Z335" s="24" t="n"/>
      <c r="AA335" s="24" t="n"/>
      <c r="AB335" s="24" t="n"/>
      <c r="AC335" s="24" t="n"/>
      <c r="AD335" s="24" t="n"/>
      <c r="AE335" s="25" t="n"/>
      <c r="AF335" s="41" t="n"/>
      <c r="AG335" s="41" t="n"/>
      <c r="AH335" s="23" t="n"/>
      <c r="AI335" s="24" t="n"/>
      <c r="AJ335" s="24" t="n"/>
      <c r="AK335" s="24" t="n"/>
      <c r="AL335" s="24" t="n"/>
      <c r="AM335" s="24" t="n"/>
      <c r="AN335" s="24" t="n"/>
      <c r="AO335" s="24" t="n"/>
      <c r="AP335" s="24" t="n"/>
      <c r="AQ335" s="24" t="n"/>
      <c r="AR335" s="24" t="n"/>
      <c r="AS335" s="24" t="n"/>
      <c r="AT335" s="25" t="n"/>
    </row>
    <row r="336" outlineLevel="2">
      <c r="A336" s="8" t="n"/>
      <c r="B336" s="14" t="n"/>
      <c r="C336" s="41" t="n"/>
      <c r="D336" s="122">
        <f>DADOS_AM!$KQ$15</f>
        <v/>
      </c>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c r="AA336" s="16" t="n"/>
      <c r="AB336" s="16" t="n"/>
      <c r="AC336" s="16" t="n"/>
      <c r="AD336" s="16" t="n"/>
      <c r="AE336" s="16" t="n"/>
      <c r="AF336" s="16" t="n"/>
      <c r="AG336" s="16" t="n"/>
      <c r="AH336" s="16" t="n"/>
      <c r="AI336" s="16" t="n"/>
      <c r="AJ336" s="16" t="n"/>
      <c r="AK336" s="16" t="n"/>
      <c r="AL336" s="16" t="n"/>
      <c r="AM336" s="16" t="n"/>
      <c r="AN336" s="16" t="n"/>
      <c r="AO336" s="16" t="n"/>
      <c r="AP336" s="16" t="n"/>
      <c r="AQ336" s="16" t="n"/>
      <c r="AR336" s="16" t="n"/>
      <c r="AS336" s="16" t="n"/>
      <c r="AT336" s="17" t="n"/>
    </row>
    <row r="337" hidden="1" outlineLevel="3">
      <c r="A337" s="8" t="n"/>
      <c r="B337" s="14" t="n"/>
      <c r="C337" s="41" t="n"/>
      <c r="D337" s="120">
        <f>DADOS_AM!$KF$8</f>
        <v/>
      </c>
      <c r="E337" s="17" t="n"/>
      <c r="F337" s="118">
        <f>DADOS_AM!$KG$8</f>
        <v/>
      </c>
      <c r="G337" s="16" t="n"/>
      <c r="H337" s="16" t="n"/>
      <c r="I337" s="16" t="n"/>
      <c r="J337" s="16" t="n"/>
      <c r="K337" s="16" t="n"/>
      <c r="L337" s="16" t="n"/>
      <c r="M337" s="16" t="n"/>
      <c r="N337" s="16" t="n"/>
      <c r="O337" s="16" t="n"/>
      <c r="P337" s="17" t="n"/>
      <c r="Q337" s="41" t="n"/>
      <c r="R337" s="41" t="n"/>
      <c r="S337" s="120">
        <f>DADOS_AM!$KF$9</f>
        <v/>
      </c>
      <c r="T337" s="17" t="n"/>
      <c r="U337" s="118">
        <f>DADOS_AM!$KG$9</f>
        <v/>
      </c>
      <c r="V337" s="16" t="n"/>
      <c r="W337" s="16" t="n"/>
      <c r="X337" s="16" t="n"/>
      <c r="Y337" s="16" t="n"/>
      <c r="Z337" s="16" t="n"/>
      <c r="AA337" s="16" t="n"/>
      <c r="AB337" s="16" t="n"/>
      <c r="AC337" s="16" t="n"/>
      <c r="AD337" s="16" t="n"/>
      <c r="AE337" s="17" t="n"/>
      <c r="AF337" s="41" t="n"/>
      <c r="AG337" s="41" t="n"/>
      <c r="AH337" s="120">
        <f>DADOS_AM!$KF$10</f>
        <v/>
      </c>
      <c r="AI337" s="17" t="n"/>
      <c r="AJ337" s="118">
        <f>DADOS_AM!$KG$10</f>
        <v/>
      </c>
      <c r="AK337" s="16" t="n"/>
      <c r="AL337" s="16" t="n"/>
      <c r="AM337" s="16" t="n"/>
      <c r="AN337" s="16" t="n"/>
      <c r="AO337" s="16" t="n"/>
      <c r="AP337" s="16" t="n"/>
      <c r="AQ337" s="16" t="n"/>
      <c r="AR337" s="16" t="n"/>
      <c r="AS337" s="16" t="n"/>
      <c r="AT337" s="17" t="n"/>
    </row>
    <row r="338" hidden="1" outlineLevel="4">
      <c r="A338" s="8" t="n"/>
      <c r="B338" s="14" t="n"/>
      <c r="C338" s="41" t="n"/>
      <c r="D338" s="119">
        <f>DADOS_AM!$KH$8</f>
        <v/>
      </c>
      <c r="E338" s="19" t="n"/>
      <c r="F338" s="19" t="n"/>
      <c r="G338" s="19" t="n"/>
      <c r="H338" s="19" t="n"/>
      <c r="I338" s="19" t="n"/>
      <c r="J338" s="19" t="n"/>
      <c r="K338" s="19" t="n"/>
      <c r="L338" s="19" t="n"/>
      <c r="M338" s="19" t="n"/>
      <c r="N338" s="19" t="n"/>
      <c r="O338" s="19" t="n"/>
      <c r="P338" s="20" t="n"/>
      <c r="Q338" s="41" t="n"/>
      <c r="R338" s="41" t="n"/>
      <c r="S338" s="119">
        <f>DADOS_AM!$KH$9</f>
        <v/>
      </c>
      <c r="T338" s="19" t="n"/>
      <c r="U338" s="19" t="n"/>
      <c r="V338" s="19" t="n"/>
      <c r="W338" s="19" t="n"/>
      <c r="X338" s="19" t="n"/>
      <c r="Y338" s="19" t="n"/>
      <c r="Z338" s="19" t="n"/>
      <c r="AA338" s="19" t="n"/>
      <c r="AB338" s="19" t="n"/>
      <c r="AC338" s="19" t="n"/>
      <c r="AD338" s="19" t="n"/>
      <c r="AE338" s="20" t="n"/>
      <c r="AF338" s="41" t="n"/>
      <c r="AG338" s="41" t="n"/>
      <c r="AH338" s="119">
        <f>DADOS_AM!$KH$10</f>
        <v/>
      </c>
      <c r="AI338" s="19" t="n"/>
      <c r="AJ338" s="19" t="n"/>
      <c r="AK338" s="19" t="n"/>
      <c r="AL338" s="19" t="n"/>
      <c r="AM338" s="19" t="n"/>
      <c r="AN338" s="19" t="n"/>
      <c r="AO338" s="19" t="n"/>
      <c r="AP338" s="19" t="n"/>
      <c r="AQ338" s="19" t="n"/>
      <c r="AR338" s="19" t="n"/>
      <c r="AS338" s="19" t="n"/>
      <c r="AT338" s="20" t="n"/>
    </row>
    <row r="339" hidden="1" outlineLevel="4">
      <c r="A339" s="8" t="n"/>
      <c r="B339" s="14" t="n"/>
      <c r="C339" s="41" t="n"/>
      <c r="D339" s="21" t="n"/>
      <c r="P339" s="22" t="n"/>
      <c r="Q339" s="41" t="n"/>
      <c r="R339" s="41" t="n"/>
      <c r="S339" s="21" t="n"/>
      <c r="AE339" s="22" t="n"/>
      <c r="AF339" s="41" t="n"/>
      <c r="AG339" s="41" t="n"/>
      <c r="AH339" s="21" t="n"/>
      <c r="AT339" s="22"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1" t="n"/>
      <c r="P341" s="22" t="n"/>
      <c r="Q341" s="41" t="n"/>
      <c r="R341" s="41" t="n"/>
      <c r="S341" s="21" t="n"/>
      <c r="AE341" s="22" t="n"/>
      <c r="AF341" s="41" t="n"/>
      <c r="AG341" s="41" t="n"/>
      <c r="AH341" s="21" t="n"/>
      <c r="AT341" s="22" t="n"/>
    </row>
    <row r="342" hidden="1" outlineLevel="4">
      <c r="A342" s="8" t="n"/>
      <c r="B342" s="14" t="n"/>
      <c r="C342" s="41" t="n"/>
      <c r="D342" s="23" t="n"/>
      <c r="E342" s="24" t="n"/>
      <c r="F342" s="24" t="n"/>
      <c r="G342" s="24" t="n"/>
      <c r="H342" s="24" t="n"/>
      <c r="I342" s="24" t="n"/>
      <c r="J342" s="24" t="n"/>
      <c r="K342" s="24" t="n"/>
      <c r="L342" s="24" t="n"/>
      <c r="M342" s="24" t="n"/>
      <c r="N342" s="24" t="n"/>
      <c r="O342" s="24" t="n"/>
      <c r="P342" s="25" t="n"/>
      <c r="Q342" s="41" t="n"/>
      <c r="R342" s="41" t="n"/>
      <c r="S342" s="23" t="n"/>
      <c r="T342" s="24" t="n"/>
      <c r="U342" s="24" t="n"/>
      <c r="V342" s="24" t="n"/>
      <c r="W342" s="24" t="n"/>
      <c r="X342" s="24" t="n"/>
      <c r="Y342" s="24" t="n"/>
      <c r="Z342" s="24" t="n"/>
      <c r="AA342" s="24" t="n"/>
      <c r="AB342" s="24" t="n"/>
      <c r="AC342" s="24" t="n"/>
      <c r="AD342" s="24" t="n"/>
      <c r="AE342" s="25" t="n"/>
      <c r="AF342" s="41" t="n"/>
      <c r="AG342" s="41" t="n"/>
      <c r="AH342" s="23" t="n"/>
      <c r="AI342" s="24" t="n"/>
      <c r="AJ342" s="24" t="n"/>
      <c r="AK342" s="24" t="n"/>
      <c r="AL342" s="24" t="n"/>
      <c r="AM342" s="24" t="n"/>
      <c r="AN342" s="24" t="n"/>
      <c r="AO342" s="24" t="n"/>
      <c r="AP342" s="24" t="n"/>
      <c r="AQ342" s="24" t="n"/>
      <c r="AR342" s="24" t="n"/>
      <c r="AS342" s="24" t="n"/>
      <c r="AT342" s="25" t="n"/>
    </row>
    <row r="343" hidden="1" outlineLevel="3">
      <c r="A343" s="8" t="n"/>
      <c r="B343" s="14" t="n"/>
      <c r="C343" s="41" t="n"/>
      <c r="D343" s="41" t="n"/>
      <c r="E343" s="41" t="n"/>
      <c r="F343" s="41" t="n"/>
      <c r="G343" s="41" t="n"/>
      <c r="H343" s="41" t="n"/>
      <c r="I343" s="41" t="n"/>
      <c r="J343" s="41" t="n"/>
      <c r="K343" s="41" t="n"/>
      <c r="L343" s="41" t="n"/>
      <c r="M343" s="41" t="n"/>
      <c r="N343" s="41" t="n"/>
      <c r="O343" s="41" t="n"/>
      <c r="P343" s="41" t="n"/>
      <c r="Q343" s="41" t="n"/>
      <c r="R343" s="41" t="n"/>
      <c r="S343" s="41" t="n"/>
      <c r="T343" s="41" t="n"/>
      <c r="U343" s="41" t="n"/>
      <c r="V343" s="41" t="n"/>
      <c r="W343" s="41" t="n"/>
      <c r="X343" s="41" t="n"/>
      <c r="Y343" s="41" t="n"/>
      <c r="Z343" s="41" t="n"/>
      <c r="AA343" s="41" t="n"/>
      <c r="AB343" s="41" t="n"/>
      <c r="AC343" s="41" t="n"/>
      <c r="AD343" s="41" t="n"/>
      <c r="AE343" s="41" t="n"/>
      <c r="AF343" s="41" t="n"/>
      <c r="AG343" s="41" t="n"/>
      <c r="AH343" s="41" t="n"/>
      <c r="AI343" s="41" t="n"/>
      <c r="AJ343" s="41" t="n"/>
      <c r="AK343" s="41" t="n"/>
      <c r="AL343" s="41" t="n"/>
      <c r="AM343" s="41" t="n"/>
      <c r="AN343" s="41" t="n"/>
      <c r="AO343" s="41" t="n"/>
      <c r="AP343" s="41" t="n"/>
      <c r="AQ343" s="41" t="n"/>
      <c r="AR343" s="41" t="n"/>
      <c r="AS343" s="41" t="n"/>
      <c r="AT343" s="41" t="n"/>
    </row>
    <row r="344" hidden="1" outlineLevel="3">
      <c r="A344" s="8" t="n"/>
      <c r="B344" s="14" t="n"/>
      <c r="C344" s="41" t="n"/>
      <c r="D344" s="120">
        <f>DADOS_AM!$KF$11</f>
        <v/>
      </c>
      <c r="E344" s="17" t="n"/>
      <c r="F344" s="118">
        <f>DADOS_AM!$KG$11</f>
        <v/>
      </c>
      <c r="G344" s="16" t="n"/>
      <c r="H344" s="16" t="n"/>
      <c r="I344" s="16" t="n"/>
      <c r="J344" s="16" t="n"/>
      <c r="K344" s="16" t="n"/>
      <c r="L344" s="16" t="n"/>
      <c r="M344" s="16" t="n"/>
      <c r="N344" s="16" t="n"/>
      <c r="O344" s="16" t="n"/>
      <c r="P344" s="17" t="n"/>
      <c r="Q344" s="41" t="n"/>
      <c r="R344" s="41" t="n"/>
      <c r="S344" s="120">
        <f>DADOS_AM!$KF$12</f>
        <v/>
      </c>
      <c r="T344" s="17" t="n"/>
      <c r="U344" s="118">
        <f>DADOS_AM!$KG$12</f>
        <v/>
      </c>
      <c r="V344" s="16" t="n"/>
      <c r="W344" s="16" t="n"/>
      <c r="X344" s="16" t="n"/>
      <c r="Y344" s="16" t="n"/>
      <c r="Z344" s="16" t="n"/>
      <c r="AA344" s="16" t="n"/>
      <c r="AB344" s="16" t="n"/>
      <c r="AC344" s="16" t="n"/>
      <c r="AD344" s="16" t="n"/>
      <c r="AE344" s="17" t="n"/>
      <c r="AF344" s="41" t="n"/>
      <c r="AG344" s="41" t="n"/>
      <c r="AH344" s="120">
        <f>DADOS_AM!$KF$13</f>
        <v/>
      </c>
      <c r="AI344" s="17" t="n"/>
      <c r="AJ344" s="118">
        <f>DADOS_AM!$KG$13</f>
        <v/>
      </c>
      <c r="AK344" s="16" t="n"/>
      <c r="AL344" s="16" t="n"/>
      <c r="AM344" s="16" t="n"/>
      <c r="AN344" s="16" t="n"/>
      <c r="AO344" s="16" t="n"/>
      <c r="AP344" s="16" t="n"/>
      <c r="AQ344" s="16" t="n"/>
      <c r="AR344" s="16" t="n"/>
      <c r="AS344" s="16" t="n"/>
      <c r="AT344" s="17" t="n"/>
    </row>
    <row r="345" hidden="1" outlineLevel="4">
      <c r="A345" s="8" t="n"/>
      <c r="B345" s="14" t="n"/>
      <c r="C345" s="41" t="n"/>
      <c r="D345" s="119">
        <f>DADOS_AM!$KH$11</f>
        <v/>
      </c>
      <c r="E345" s="19" t="n"/>
      <c r="F345" s="19" t="n"/>
      <c r="G345" s="19" t="n"/>
      <c r="H345" s="19" t="n"/>
      <c r="I345" s="19" t="n"/>
      <c r="J345" s="19" t="n"/>
      <c r="K345" s="19" t="n"/>
      <c r="L345" s="19" t="n"/>
      <c r="M345" s="19" t="n"/>
      <c r="N345" s="19" t="n"/>
      <c r="O345" s="19" t="n"/>
      <c r="P345" s="20" t="n"/>
      <c r="Q345" s="41" t="n"/>
      <c r="R345" s="41" t="n"/>
      <c r="S345" s="119">
        <f>DADOS_AM!$KH$12</f>
        <v/>
      </c>
      <c r="T345" s="19" t="n"/>
      <c r="U345" s="19" t="n"/>
      <c r="V345" s="19" t="n"/>
      <c r="W345" s="19" t="n"/>
      <c r="X345" s="19" t="n"/>
      <c r="Y345" s="19" t="n"/>
      <c r="Z345" s="19" t="n"/>
      <c r="AA345" s="19" t="n"/>
      <c r="AB345" s="19" t="n"/>
      <c r="AC345" s="19" t="n"/>
      <c r="AD345" s="19" t="n"/>
      <c r="AE345" s="20" t="n"/>
      <c r="AF345" s="41" t="n"/>
      <c r="AG345" s="41" t="n"/>
      <c r="AH345" s="119">
        <f>DADOS_AM!$KH$13</f>
        <v/>
      </c>
      <c r="AI345" s="19" t="n"/>
      <c r="AJ345" s="19" t="n"/>
      <c r="AK345" s="19" t="n"/>
      <c r="AL345" s="19" t="n"/>
      <c r="AM345" s="19" t="n"/>
      <c r="AN345" s="19" t="n"/>
      <c r="AO345" s="19" t="n"/>
      <c r="AP345" s="19" t="n"/>
      <c r="AQ345" s="19" t="n"/>
      <c r="AR345" s="19" t="n"/>
      <c r="AS345" s="19" t="n"/>
      <c r="AT345" s="20" t="n"/>
    </row>
    <row r="346" hidden="1" outlineLevel="4">
      <c r="A346" s="8" t="n"/>
      <c r="B346" s="14" t="n"/>
      <c r="C346" s="41" t="n"/>
      <c r="D346" s="21" t="n"/>
      <c r="P346" s="22" t="n"/>
      <c r="Q346" s="41" t="n"/>
      <c r="R346" s="41" t="n"/>
      <c r="S346" s="21" t="n"/>
      <c r="AE346" s="22" t="n"/>
      <c r="AF346" s="41" t="n"/>
      <c r="AG346" s="41" t="n"/>
      <c r="AH346" s="21" t="n"/>
      <c r="AT346" s="22" t="n"/>
    </row>
    <row r="347" hidden="1" outlineLevel="4">
      <c r="A347" s="8" t="n"/>
      <c r="B347" s="14" t="n"/>
      <c r="C347" s="41" t="n"/>
      <c r="D347" s="21" t="n"/>
      <c r="P347" s="22" t="n"/>
      <c r="Q347" s="41" t="n"/>
      <c r="R347" s="41" t="n"/>
      <c r="S347" s="21" t="n"/>
      <c r="AE347" s="22" t="n"/>
      <c r="AF347" s="41" t="n"/>
      <c r="AG347" s="41" t="n"/>
      <c r="AH347" s="21" t="n"/>
      <c r="AT347" s="22" t="n"/>
    </row>
    <row r="348" hidden="1" outlineLevel="4">
      <c r="A348" s="8" t="n"/>
      <c r="B348" s="14" t="n"/>
      <c r="C348" s="41" t="n"/>
      <c r="D348" s="21" t="n"/>
      <c r="P348" s="22" t="n"/>
      <c r="Q348" s="41" t="n"/>
      <c r="R348" s="41" t="n"/>
      <c r="S348" s="21" t="n"/>
      <c r="AE348" s="22" t="n"/>
      <c r="AF348" s="41" t="n"/>
      <c r="AG348" s="41" t="n"/>
      <c r="AH348" s="21" t="n"/>
      <c r="AT348" s="22" t="n"/>
    </row>
    <row r="349" hidden="1" outlineLevel="4">
      <c r="A349" s="8" t="n"/>
      <c r="B349" s="14" t="n"/>
      <c r="C349" s="41" t="n"/>
      <c r="D349" s="23" t="n"/>
      <c r="E349" s="24" t="n"/>
      <c r="F349" s="24" t="n"/>
      <c r="G349" s="24" t="n"/>
      <c r="H349" s="24" t="n"/>
      <c r="I349" s="24" t="n"/>
      <c r="J349" s="24" t="n"/>
      <c r="K349" s="24" t="n"/>
      <c r="L349" s="24" t="n"/>
      <c r="M349" s="24" t="n"/>
      <c r="N349" s="24" t="n"/>
      <c r="O349" s="24" t="n"/>
      <c r="P349" s="25" t="n"/>
      <c r="Q349" s="41" t="n"/>
      <c r="R349" s="41" t="n"/>
      <c r="S349" s="23" t="n"/>
      <c r="T349" s="24" t="n"/>
      <c r="U349" s="24" t="n"/>
      <c r="V349" s="24" t="n"/>
      <c r="W349" s="24" t="n"/>
      <c r="X349" s="24" t="n"/>
      <c r="Y349" s="24" t="n"/>
      <c r="Z349" s="24" t="n"/>
      <c r="AA349" s="24" t="n"/>
      <c r="AB349" s="24" t="n"/>
      <c r="AC349" s="24" t="n"/>
      <c r="AD349" s="24" t="n"/>
      <c r="AE349" s="25" t="n"/>
      <c r="AF349" s="41" t="n"/>
      <c r="AG349" s="41" t="n"/>
      <c r="AH349" s="23" t="n"/>
      <c r="AI349" s="24" t="n"/>
      <c r="AJ349" s="24" t="n"/>
      <c r="AK349" s="24" t="n"/>
      <c r="AL349" s="24" t="n"/>
      <c r="AM349" s="24" t="n"/>
      <c r="AN349" s="24" t="n"/>
      <c r="AO349" s="24" t="n"/>
      <c r="AP349" s="24" t="n"/>
      <c r="AQ349" s="24" t="n"/>
      <c r="AR349" s="24" t="n"/>
      <c r="AS349" s="24" t="n"/>
      <c r="AT349" s="25" t="n"/>
    </row>
    <row r="350" outlineLevel="2">
      <c r="A350" s="8" t="n"/>
      <c r="B350" s="14" t="n"/>
      <c r="C350" s="41" t="n"/>
      <c r="D350" s="122">
        <f>DADOS_AM!$KQ$16</f>
        <v/>
      </c>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c r="AB350" s="16" t="n"/>
      <c r="AC350" s="16" t="n"/>
      <c r="AD350" s="16" t="n"/>
      <c r="AE350" s="16" t="n"/>
      <c r="AF350" s="16" t="n"/>
      <c r="AG350" s="16" t="n"/>
      <c r="AH350" s="16" t="n"/>
      <c r="AI350" s="16" t="n"/>
      <c r="AJ350" s="16" t="n"/>
      <c r="AK350" s="16" t="n"/>
      <c r="AL350" s="16" t="n"/>
      <c r="AM350" s="16" t="n"/>
      <c r="AN350" s="16" t="n"/>
      <c r="AO350" s="16" t="n"/>
      <c r="AP350" s="16" t="n"/>
      <c r="AQ350" s="16" t="n"/>
      <c r="AR350" s="16" t="n"/>
      <c r="AS350" s="16" t="n"/>
      <c r="AT350" s="17" t="n"/>
    </row>
    <row r="351" hidden="1" outlineLevel="3">
      <c r="A351" s="8" t="n"/>
      <c r="B351" s="14" t="n"/>
      <c r="C351" s="41" t="n"/>
      <c r="D351" s="120">
        <f>DADOS_AM!$KF$14</f>
        <v/>
      </c>
      <c r="E351" s="17" t="n"/>
      <c r="F351" s="118">
        <f>DADOS_AM!$KG$14</f>
        <v/>
      </c>
      <c r="G351" s="16" t="n"/>
      <c r="H351" s="16" t="n"/>
      <c r="I351" s="16" t="n"/>
      <c r="J351" s="16" t="n"/>
      <c r="K351" s="16" t="n"/>
      <c r="L351" s="16" t="n"/>
      <c r="M351" s="16" t="n"/>
      <c r="N351" s="16" t="n"/>
      <c r="O351" s="16" t="n"/>
      <c r="P351" s="17" t="n"/>
      <c r="Q351" s="41" t="n"/>
      <c r="R351" s="41" t="n"/>
      <c r="S351" s="120">
        <f>DADOS_AM!$KF$15</f>
        <v/>
      </c>
      <c r="T351" s="17" t="n"/>
      <c r="U351" s="118">
        <f>DADOS_AM!$KG$15</f>
        <v/>
      </c>
      <c r="V351" s="16" t="n"/>
      <c r="W351" s="16" t="n"/>
      <c r="X351" s="16" t="n"/>
      <c r="Y351" s="16" t="n"/>
      <c r="Z351" s="16" t="n"/>
      <c r="AA351" s="16" t="n"/>
      <c r="AB351" s="16" t="n"/>
      <c r="AC351" s="16" t="n"/>
      <c r="AD351" s="16" t="n"/>
      <c r="AE351" s="17" t="n"/>
      <c r="AF351" s="41" t="n"/>
      <c r="AG351" s="41" t="n"/>
      <c r="AH351" s="41" t="n"/>
      <c r="AI351" s="41" t="n"/>
      <c r="AJ351" s="41" t="n"/>
      <c r="AK351" s="41" t="n"/>
      <c r="AL351" s="41" t="n"/>
      <c r="AM351" s="41" t="n"/>
      <c r="AN351" s="41" t="n"/>
      <c r="AO351" s="41" t="n"/>
      <c r="AP351" s="41" t="n"/>
      <c r="AQ351" s="41" t="n"/>
      <c r="AR351" s="41" t="n"/>
      <c r="AS351" s="41" t="n"/>
      <c r="AT351" s="41" t="n"/>
    </row>
    <row r="352" hidden="1" outlineLevel="4">
      <c r="A352" s="8" t="n"/>
      <c r="B352" s="14" t="n"/>
      <c r="C352" s="41" t="n"/>
      <c r="D352" s="119">
        <f>DADOS_AM!$KH$14</f>
        <v/>
      </c>
      <c r="E352" s="19" t="n"/>
      <c r="F352" s="19" t="n"/>
      <c r="G352" s="19" t="n"/>
      <c r="H352" s="19" t="n"/>
      <c r="I352" s="19" t="n"/>
      <c r="J352" s="19" t="n"/>
      <c r="K352" s="19" t="n"/>
      <c r="L352" s="19" t="n"/>
      <c r="M352" s="19" t="n"/>
      <c r="N352" s="19" t="n"/>
      <c r="O352" s="19" t="n"/>
      <c r="P352" s="20" t="n"/>
      <c r="Q352" s="41" t="n"/>
      <c r="R352" s="41" t="n"/>
      <c r="S352" s="119">
        <f>DADOS_AM!$KH$15</f>
        <v/>
      </c>
      <c r="T352" s="19" t="n"/>
      <c r="U352" s="19" t="n"/>
      <c r="V352" s="19" t="n"/>
      <c r="W352" s="19" t="n"/>
      <c r="X352" s="19" t="n"/>
      <c r="Y352" s="19" t="n"/>
      <c r="Z352" s="19" t="n"/>
      <c r="AA352" s="19" t="n"/>
      <c r="AB352" s="19" t="n"/>
      <c r="AC352" s="19" t="n"/>
      <c r="AD352" s="19" t="n"/>
      <c r="AE352" s="20" t="n"/>
      <c r="AF352" s="41" t="n"/>
      <c r="AG352" s="41" t="n"/>
      <c r="AH352" s="41" t="n"/>
      <c r="AI352" s="41" t="n"/>
      <c r="AJ352" s="41" t="n"/>
      <c r="AK352" s="41" t="n"/>
      <c r="AL352" s="41" t="n"/>
      <c r="AM352" s="41" t="n"/>
      <c r="AN352" s="41" t="n"/>
      <c r="AO352" s="41" t="n"/>
      <c r="AP352" s="41" t="n"/>
      <c r="AQ352" s="41" t="n"/>
      <c r="AR352" s="41" t="n"/>
      <c r="AS352" s="41" t="n"/>
      <c r="AT352" s="41" t="n"/>
    </row>
    <row r="353" hidden="1" outlineLevel="4">
      <c r="A353" s="8" t="n"/>
      <c r="B353" s="14" t="n"/>
      <c r="C353" s="41" t="n"/>
      <c r="D353" s="21" t="n"/>
      <c r="P353" s="22" t="n"/>
      <c r="Q353" s="41" t="n"/>
      <c r="R353" s="41" t="n"/>
      <c r="S353" s="21" t="n"/>
      <c r="AE353" s="22" t="n"/>
      <c r="AF353" s="41" t="n"/>
      <c r="AG353" s="41" t="n"/>
      <c r="AH353" s="41" t="n"/>
      <c r="AI353" s="41" t="n"/>
      <c r="AJ353" s="41" t="n"/>
      <c r="AK353" s="41" t="n"/>
      <c r="AL353" s="41" t="n"/>
      <c r="AM353" s="41" t="n"/>
      <c r="AN353" s="41" t="n"/>
      <c r="AO353" s="41" t="n"/>
      <c r="AP353" s="41" t="n"/>
      <c r="AQ353" s="41" t="n"/>
      <c r="AR353" s="41" t="n"/>
      <c r="AS353" s="41" t="n"/>
      <c r="AT353" s="41" t="n"/>
    </row>
    <row r="354" hidden="1" outlineLevel="4">
      <c r="A354" s="8" t="n"/>
      <c r="B354" s="14" t="n"/>
      <c r="C354" s="41" t="n"/>
      <c r="D354" s="21" t="n"/>
      <c r="P354" s="22" t="n"/>
      <c r="Q354" s="41" t="n"/>
      <c r="R354" s="41" t="n"/>
      <c r="S354" s="21" t="n"/>
      <c r="AE354" s="22" t="n"/>
      <c r="AF354" s="41" t="n"/>
      <c r="AG354" s="41" t="n"/>
      <c r="AH354" s="41" t="n"/>
      <c r="AI354" s="41" t="n"/>
      <c r="AJ354" s="41" t="n"/>
      <c r="AK354" s="41" t="n"/>
      <c r="AL354" s="41" t="n"/>
      <c r="AM354" s="41" t="n"/>
      <c r="AN354" s="41" t="n"/>
      <c r="AO354" s="41" t="n"/>
      <c r="AP354" s="41" t="n"/>
      <c r="AQ354" s="41" t="n"/>
      <c r="AR354" s="41" t="n"/>
      <c r="AS354" s="41" t="n"/>
      <c r="AT354" s="41" t="n"/>
    </row>
    <row r="355" hidden="1" outlineLevel="4">
      <c r="A355" s="8" t="n"/>
      <c r="B355" s="14" t="n"/>
      <c r="C355" s="41" t="n"/>
      <c r="D355" s="21" t="n"/>
      <c r="P355" s="22" t="n"/>
      <c r="Q355" s="41" t="n"/>
      <c r="R355" s="41" t="n"/>
      <c r="S355" s="21" t="n"/>
      <c r="AE355" s="22" t="n"/>
      <c r="AF355" s="41" t="n"/>
      <c r="AG355" s="41" t="n"/>
      <c r="AH355" s="41" t="n"/>
      <c r="AI355" s="41" t="n"/>
      <c r="AJ355" s="41" t="n"/>
      <c r="AK355" s="41" t="n"/>
      <c r="AL355" s="41" t="n"/>
      <c r="AM355" s="41" t="n"/>
      <c r="AN355" s="41" t="n"/>
      <c r="AO355" s="41" t="n"/>
      <c r="AP355" s="41" t="n"/>
      <c r="AQ355" s="41" t="n"/>
      <c r="AR355" s="41" t="n"/>
      <c r="AS355" s="41" t="n"/>
      <c r="AT355" s="41" t="n"/>
    </row>
    <row r="356" hidden="1" outlineLevel="4">
      <c r="A356" s="8" t="n"/>
      <c r="B356" s="14" t="n"/>
      <c r="C356" s="41" t="n"/>
      <c r="D356" s="23" t="n"/>
      <c r="E356" s="24" t="n"/>
      <c r="F356" s="24" t="n"/>
      <c r="G356" s="24" t="n"/>
      <c r="H356" s="24" t="n"/>
      <c r="I356" s="24" t="n"/>
      <c r="J356" s="24" t="n"/>
      <c r="K356" s="24" t="n"/>
      <c r="L356" s="24" t="n"/>
      <c r="M356" s="24" t="n"/>
      <c r="N356" s="24" t="n"/>
      <c r="O356" s="24" t="n"/>
      <c r="P356" s="25" t="n"/>
      <c r="Q356" s="41" t="n"/>
      <c r="R356" s="41" t="n"/>
      <c r="S356" s="23" t="n"/>
      <c r="T356" s="24" t="n"/>
      <c r="U356" s="24" t="n"/>
      <c r="V356" s="24" t="n"/>
      <c r="W356" s="24" t="n"/>
      <c r="X356" s="24" t="n"/>
      <c r="Y356" s="24" t="n"/>
      <c r="Z356" s="24" t="n"/>
      <c r="AA356" s="24" t="n"/>
      <c r="AB356" s="24" t="n"/>
      <c r="AC356" s="24" t="n"/>
      <c r="AD356" s="24" t="n"/>
      <c r="AE356" s="25" t="n"/>
      <c r="AF356" s="41" t="n"/>
      <c r="AG356" s="41" t="n"/>
      <c r="AH356" s="41" t="n"/>
      <c r="AI356" s="41" t="n"/>
      <c r="AJ356" s="41" t="n"/>
      <c r="AK356" s="41" t="n"/>
      <c r="AL356" s="41" t="n"/>
      <c r="AM356" s="41" t="n"/>
      <c r="AN356" s="41" t="n"/>
      <c r="AO356" s="41" t="n"/>
      <c r="AP356" s="41" t="n"/>
      <c r="AQ356" s="41" t="n"/>
      <c r="AR356" s="41" t="n"/>
      <c r="AS356" s="41" t="n"/>
      <c r="AT356" s="41" t="n"/>
    </row>
    <row r="357" outlineLevel="2">
      <c r="A357" s="8" t="n"/>
      <c r="B357" s="14" t="n"/>
      <c r="C357" s="41" t="n"/>
      <c r="D357" s="41" t="n"/>
      <c r="E357" s="41" t="n"/>
      <c r="F357" s="41" t="n"/>
      <c r="G357" s="41" t="n"/>
      <c r="H357" s="41" t="n"/>
      <c r="I357" s="41" t="n"/>
      <c r="J357" s="41" t="n"/>
      <c r="K357" s="41" t="n"/>
      <c r="L357" s="41" t="n"/>
      <c r="M357" s="41" t="n"/>
      <c r="N357" s="41" t="n"/>
      <c r="O357" s="41" t="n"/>
      <c r="P357" s="41" t="n"/>
      <c r="Q357" s="41" t="n"/>
      <c r="R357" s="41" t="n"/>
      <c r="S357" s="41" t="n"/>
      <c r="T357" s="41" t="n"/>
      <c r="U357" s="41" t="n"/>
      <c r="V357" s="41" t="n"/>
      <c r="W357" s="41" t="n"/>
      <c r="X357" s="41" t="n"/>
      <c r="Y357" s="41" t="n"/>
      <c r="Z357" s="41" t="n"/>
      <c r="AA357" s="41" t="n"/>
      <c r="AB357" s="41" t="n"/>
      <c r="AC357" s="41" t="n"/>
      <c r="AD357" s="41" t="n"/>
      <c r="AE357" s="41" t="n"/>
      <c r="AF357" s="41" t="n"/>
      <c r="AG357" s="41" t="n"/>
      <c r="AH357" s="41" t="n"/>
      <c r="AI357" s="41" t="n"/>
      <c r="AJ357" s="41" t="n"/>
      <c r="AK357" s="41" t="n"/>
      <c r="AL357" s="41" t="n"/>
      <c r="AM357" s="41" t="n"/>
      <c r="AN357" s="41" t="n"/>
      <c r="AO357" s="41" t="n"/>
      <c r="AP357" s="41" t="n"/>
      <c r="AQ357" s="41" t="n"/>
      <c r="AR357" s="41" t="n"/>
      <c r="AS357" s="41" t="n"/>
      <c r="AT357" s="41" t="n"/>
    </row>
    <row r="358" outlineLevel="1">
      <c r="A358" s="8" t="n"/>
      <c r="B358" s="14" t="n"/>
      <c r="C358" s="41" t="n"/>
      <c r="D358" s="116">
        <f>DADOS_AM!$KQ$6</f>
        <v/>
      </c>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c r="AB358" s="16" t="n"/>
      <c r="AC358" s="16" t="n"/>
      <c r="AD358" s="16" t="n"/>
      <c r="AE358" s="16" t="n"/>
      <c r="AF358" s="16" t="n"/>
      <c r="AG358" s="16" t="n"/>
      <c r="AH358" s="16" t="n"/>
      <c r="AI358" s="16" t="n"/>
      <c r="AJ358" s="16" t="n"/>
      <c r="AK358" s="16" t="n"/>
      <c r="AL358" s="16" t="n"/>
      <c r="AM358" s="16" t="n"/>
      <c r="AN358" s="16" t="n"/>
      <c r="AO358" s="16" t="n"/>
      <c r="AP358" s="16" t="n"/>
      <c r="AQ358" s="16" t="n"/>
      <c r="AR358" s="16" t="n"/>
      <c r="AS358" s="16" t="n"/>
      <c r="AT358" s="17" t="n"/>
    </row>
    <row r="359" outlineLevel="3">
      <c r="A359" s="8" t="n"/>
      <c r="B359" s="14" t="n"/>
      <c r="C359" s="41" t="n"/>
      <c r="D359" s="120">
        <f>DADOS_AM!$KL$2</f>
        <v/>
      </c>
      <c r="E359" s="17" t="n"/>
      <c r="F359" s="118">
        <f>DADOS_AM!$KM$2</f>
        <v/>
      </c>
      <c r="G359" s="16" t="n"/>
      <c r="H359" s="16" t="n"/>
      <c r="I359" s="16" t="n"/>
      <c r="J359" s="16" t="n"/>
      <c r="K359" s="16" t="n"/>
      <c r="L359" s="16" t="n"/>
      <c r="M359" s="16" t="n"/>
      <c r="N359" s="16" t="n"/>
      <c r="O359" s="16" t="n"/>
      <c r="P359" s="17" t="n"/>
      <c r="Q359" s="41" t="n"/>
      <c r="R359" s="41" t="n"/>
      <c r="S359" s="120">
        <f>DADOS_AM!$KL$3</f>
        <v/>
      </c>
      <c r="T359" s="17" t="n"/>
      <c r="U359" s="118">
        <f>DADOS_AM!$KM$3</f>
        <v/>
      </c>
      <c r="V359" s="16" t="n"/>
      <c r="W359" s="16" t="n"/>
      <c r="X359" s="16" t="n"/>
      <c r="Y359" s="16" t="n"/>
      <c r="Z359" s="16" t="n"/>
      <c r="AA359" s="16" t="n"/>
      <c r="AB359" s="16" t="n"/>
      <c r="AC359" s="16" t="n"/>
      <c r="AD359" s="16" t="n"/>
      <c r="AE359" s="17" t="n"/>
      <c r="AF359" s="41" t="n"/>
      <c r="AG359" s="41" t="n"/>
      <c r="AH359" s="120">
        <f>DADOS_AM!$KL$4</f>
        <v/>
      </c>
      <c r="AI359" s="17" t="n"/>
      <c r="AJ359" s="118">
        <f>DADOS_AM!$KM$4</f>
        <v/>
      </c>
      <c r="AK359" s="16" t="n"/>
      <c r="AL359" s="16" t="n"/>
      <c r="AM359" s="16" t="n"/>
      <c r="AN359" s="16" t="n"/>
      <c r="AO359" s="16" t="n"/>
      <c r="AP359" s="16" t="n"/>
      <c r="AQ359" s="16" t="n"/>
      <c r="AR359" s="16" t="n"/>
      <c r="AS359" s="16" t="n"/>
      <c r="AT359" s="17" t="n"/>
    </row>
    <row r="360" outlineLevel="4">
      <c r="A360" s="8" t="n"/>
      <c r="B360" s="14" t="n"/>
      <c r="C360" s="41" t="n"/>
      <c r="D360" s="119">
        <f>DADOS_AM!$KN$2</f>
        <v/>
      </c>
      <c r="E360" s="19" t="n"/>
      <c r="F360" s="19" t="n"/>
      <c r="G360" s="19" t="n"/>
      <c r="H360" s="19" t="n"/>
      <c r="I360" s="19" t="n"/>
      <c r="J360" s="19" t="n"/>
      <c r="K360" s="19" t="n"/>
      <c r="L360" s="19" t="n"/>
      <c r="M360" s="19" t="n"/>
      <c r="N360" s="19" t="n"/>
      <c r="O360" s="19" t="n"/>
      <c r="P360" s="20" t="n"/>
      <c r="Q360" s="41" t="n"/>
      <c r="R360" s="41" t="n"/>
      <c r="S360" s="119">
        <f>DADOS_AM!$KN$3</f>
        <v/>
      </c>
      <c r="T360" s="19" t="n"/>
      <c r="U360" s="19" t="n"/>
      <c r="V360" s="19" t="n"/>
      <c r="W360" s="19" t="n"/>
      <c r="X360" s="19" t="n"/>
      <c r="Y360" s="19" t="n"/>
      <c r="Z360" s="19" t="n"/>
      <c r="AA360" s="19" t="n"/>
      <c r="AB360" s="19" t="n"/>
      <c r="AC360" s="19" t="n"/>
      <c r="AD360" s="19" t="n"/>
      <c r="AE360" s="20" t="n"/>
      <c r="AF360" s="41" t="n"/>
      <c r="AG360" s="41" t="n"/>
      <c r="AH360" s="119">
        <f>DADOS_AM!$KN$4</f>
        <v/>
      </c>
      <c r="AI360" s="19" t="n"/>
      <c r="AJ360" s="19" t="n"/>
      <c r="AK360" s="19" t="n"/>
      <c r="AL360" s="19" t="n"/>
      <c r="AM360" s="19" t="n"/>
      <c r="AN360" s="19" t="n"/>
      <c r="AO360" s="19" t="n"/>
      <c r="AP360" s="19" t="n"/>
      <c r="AQ360" s="19" t="n"/>
      <c r="AR360" s="19" t="n"/>
      <c r="AS360" s="19" t="n"/>
      <c r="AT360" s="20" t="n"/>
    </row>
    <row r="361" outlineLevel="4">
      <c r="A361" s="8" t="n"/>
      <c r="B361" s="14" t="n"/>
      <c r="C361" s="41" t="n"/>
      <c r="D361" s="21" t="n"/>
      <c r="P361" s="22" t="n"/>
      <c r="Q361" s="41" t="n"/>
      <c r="R361" s="41" t="n"/>
      <c r="S361" s="21" t="n"/>
      <c r="AE361" s="22" t="n"/>
      <c r="AF361" s="41" t="n"/>
      <c r="AG361" s="41" t="n"/>
      <c r="AH361" s="21" t="n"/>
      <c r="AT361" s="22" t="n"/>
    </row>
    <row r="362" outlineLevel="4">
      <c r="A362" s="8" t="n"/>
      <c r="B362" s="14" t="n"/>
      <c r="C362" s="41" t="n"/>
      <c r="D362" s="21" t="n"/>
      <c r="P362" s="22" t="n"/>
      <c r="Q362" s="41" t="n"/>
      <c r="R362" s="41" t="n"/>
      <c r="S362" s="21" t="n"/>
      <c r="AE362" s="22" t="n"/>
      <c r="AF362" s="41" t="n"/>
      <c r="AG362" s="41" t="n"/>
      <c r="AH362" s="21" t="n"/>
      <c r="AT362" s="22" t="n"/>
    </row>
    <row r="363" outlineLevel="4">
      <c r="A363" s="8" t="n"/>
      <c r="B363" s="14" t="n"/>
      <c r="C363" s="41" t="n"/>
      <c r="D363" s="21" t="n"/>
      <c r="P363" s="22" t="n"/>
      <c r="Q363" s="41" t="n"/>
      <c r="R363" s="41" t="n"/>
      <c r="S363" s="21" t="n"/>
      <c r="AE363" s="22" t="n"/>
      <c r="AF363" s="41" t="n"/>
      <c r="AG363" s="41" t="n"/>
      <c r="AH363" s="21" t="n"/>
      <c r="AT363" s="22" t="n"/>
    </row>
    <row r="364" outlineLevel="4">
      <c r="A364" s="8" t="n"/>
      <c r="B364" s="14" t="n"/>
      <c r="C364" s="41" t="n"/>
      <c r="D364" s="21" t="n"/>
      <c r="P364" s="22" t="n"/>
      <c r="Q364" s="41" t="n"/>
      <c r="R364" s="41" t="n"/>
      <c r="S364" s="21" t="n"/>
      <c r="AE364" s="22" t="n"/>
      <c r="AF364" s="41" t="n"/>
      <c r="AG364" s="41" t="n"/>
      <c r="AH364" s="21" t="n"/>
      <c r="AT364" s="22" t="n"/>
    </row>
    <row r="365" outlineLevel="4">
      <c r="A365" s="8" t="n"/>
      <c r="B365" s="14" t="n"/>
      <c r="C365" s="41" t="n"/>
      <c r="D365" s="23" t="n"/>
      <c r="E365" s="24" t="n"/>
      <c r="F365" s="24" t="n"/>
      <c r="G365" s="24" t="n"/>
      <c r="H365" s="24" t="n"/>
      <c r="I365" s="24" t="n"/>
      <c r="J365" s="24" t="n"/>
      <c r="K365" s="24" t="n"/>
      <c r="L365" s="24" t="n"/>
      <c r="M365" s="24" t="n"/>
      <c r="N365" s="24" t="n"/>
      <c r="O365" s="24" t="n"/>
      <c r="P365" s="25" t="n"/>
      <c r="Q365" s="41" t="n"/>
      <c r="R365" s="41" t="n"/>
      <c r="S365" s="23" t="n"/>
      <c r="T365" s="24" t="n"/>
      <c r="U365" s="24" t="n"/>
      <c r="V365" s="24" t="n"/>
      <c r="W365" s="24" t="n"/>
      <c r="X365" s="24" t="n"/>
      <c r="Y365" s="24" t="n"/>
      <c r="Z365" s="24" t="n"/>
      <c r="AA365" s="24" t="n"/>
      <c r="AB365" s="24" t="n"/>
      <c r="AC365" s="24" t="n"/>
      <c r="AD365" s="24" t="n"/>
      <c r="AE365" s="25" t="n"/>
      <c r="AF365" s="41" t="n"/>
      <c r="AG365" s="41" t="n"/>
      <c r="AH365" s="23" t="n"/>
      <c r="AI365" s="24" t="n"/>
      <c r="AJ365" s="24" t="n"/>
      <c r="AK365" s="24" t="n"/>
      <c r="AL365" s="24" t="n"/>
      <c r="AM365" s="24" t="n"/>
      <c r="AN365" s="24" t="n"/>
      <c r="AO365" s="24" t="n"/>
      <c r="AP365" s="24" t="n"/>
      <c r="AQ365" s="24" t="n"/>
      <c r="AR365" s="24" t="n"/>
      <c r="AS365" s="24" t="n"/>
      <c r="AT365" s="25" t="n"/>
    </row>
    <row r="366" outlineLevel="3">
      <c r="A366" s="8" t="n"/>
      <c r="B366" s="14" t="n"/>
      <c r="C366" s="41" t="n"/>
      <c r="D366" s="41" t="n"/>
      <c r="E366" s="41" t="n"/>
      <c r="F366" s="41" t="n"/>
      <c r="G366" s="41" t="n"/>
      <c r="H366" s="41" t="n"/>
      <c r="I366" s="41" t="n"/>
      <c r="J366" s="41" t="n"/>
      <c r="K366" s="41" t="n"/>
      <c r="L366" s="41" t="n"/>
      <c r="M366" s="41" t="n"/>
      <c r="N366" s="41" t="n"/>
      <c r="O366" s="41" t="n"/>
      <c r="P366" s="41" t="n"/>
      <c r="Q366" s="41" t="n"/>
      <c r="R366" s="41" t="n"/>
      <c r="S366" s="41" t="n"/>
      <c r="T366" s="41" t="n"/>
      <c r="U366" s="41" t="n"/>
      <c r="V366" s="41" t="n"/>
      <c r="W366" s="41" t="n"/>
      <c r="X366" s="41" t="n"/>
      <c r="Y366" s="41" t="n"/>
      <c r="Z366" s="41" t="n"/>
      <c r="AA366" s="41" t="n"/>
      <c r="AB366" s="41" t="n"/>
      <c r="AC366" s="41" t="n"/>
      <c r="AD366" s="41" t="n"/>
      <c r="AE366" s="41" t="n"/>
      <c r="AF366" s="41" t="n"/>
      <c r="AG366" s="41" t="n"/>
      <c r="AH366" s="41" t="n"/>
      <c r="AI366" s="41" t="n"/>
      <c r="AJ366" s="41" t="n"/>
      <c r="AK366" s="41" t="n"/>
      <c r="AL366" s="41" t="n"/>
      <c r="AM366" s="41" t="n"/>
      <c r="AN366" s="41" t="n"/>
      <c r="AO366" s="41" t="n"/>
      <c r="AP366" s="41" t="n"/>
      <c r="AQ366" s="41" t="n"/>
      <c r="AR366" s="41" t="n"/>
      <c r="AS366" s="41" t="n"/>
      <c r="AT366" s="41" t="n"/>
    </row>
    <row r="367" outlineLevel="3">
      <c r="A367" s="8" t="n"/>
      <c r="B367" s="14" t="n"/>
      <c r="C367" s="41" t="n"/>
      <c r="D367" s="120">
        <f>DADOS_AM!$KL$5</f>
        <v/>
      </c>
      <c r="E367" s="17" t="n"/>
      <c r="F367" s="118">
        <f>DADOS_AM!$KM$5</f>
        <v/>
      </c>
      <c r="G367" s="16" t="n"/>
      <c r="H367" s="16" t="n"/>
      <c r="I367" s="16" t="n"/>
      <c r="J367" s="16" t="n"/>
      <c r="K367" s="16" t="n"/>
      <c r="L367" s="16" t="n"/>
      <c r="M367" s="16" t="n"/>
      <c r="N367" s="16" t="n"/>
      <c r="O367" s="16" t="n"/>
      <c r="P367" s="17" t="n"/>
      <c r="Q367" s="41" t="n"/>
      <c r="R367" s="41" t="n"/>
      <c r="S367" s="120">
        <f>DADOS_AM!$KL$6</f>
        <v/>
      </c>
      <c r="T367" s="17" t="n"/>
      <c r="U367" s="118">
        <f>DADOS_AM!$KM$6</f>
        <v/>
      </c>
      <c r="V367" s="16" t="n"/>
      <c r="W367" s="16" t="n"/>
      <c r="X367" s="16" t="n"/>
      <c r="Y367" s="16" t="n"/>
      <c r="Z367" s="16" t="n"/>
      <c r="AA367" s="16" t="n"/>
      <c r="AB367" s="16" t="n"/>
      <c r="AC367" s="16" t="n"/>
      <c r="AD367" s="16" t="n"/>
      <c r="AE367" s="17" t="n"/>
      <c r="AF367" s="41" t="n"/>
      <c r="AG367" s="41" t="n"/>
      <c r="AH367" s="120">
        <f>DADOS_AM!$KL$7</f>
        <v/>
      </c>
      <c r="AI367" s="17" t="n"/>
      <c r="AJ367" s="118">
        <f>DADOS_AM!$KM$7</f>
        <v/>
      </c>
      <c r="AK367" s="16" t="n"/>
      <c r="AL367" s="16" t="n"/>
      <c r="AM367" s="16" t="n"/>
      <c r="AN367" s="16" t="n"/>
      <c r="AO367" s="16" t="n"/>
      <c r="AP367" s="16" t="n"/>
      <c r="AQ367" s="16" t="n"/>
      <c r="AR367" s="16" t="n"/>
      <c r="AS367" s="16" t="n"/>
      <c r="AT367" s="17" t="n"/>
    </row>
    <row r="368" hidden="1" outlineLevel="4">
      <c r="A368" s="8" t="n"/>
      <c r="B368" s="14" t="n"/>
      <c r="C368" s="41" t="n"/>
      <c r="D368" s="119">
        <f>DADOS_AM!$KN$5</f>
        <v/>
      </c>
      <c r="E368" s="19" t="n"/>
      <c r="F368" s="19" t="n"/>
      <c r="G368" s="19" t="n"/>
      <c r="H368" s="19" t="n"/>
      <c r="I368" s="19" t="n"/>
      <c r="J368" s="19" t="n"/>
      <c r="K368" s="19" t="n"/>
      <c r="L368" s="19" t="n"/>
      <c r="M368" s="19" t="n"/>
      <c r="N368" s="19" t="n"/>
      <c r="O368" s="19" t="n"/>
      <c r="P368" s="20" t="n"/>
      <c r="Q368" s="41" t="n"/>
      <c r="R368" s="41" t="n"/>
      <c r="S368" s="119">
        <f>DADOS_AM!$KN$6</f>
        <v/>
      </c>
      <c r="T368" s="19" t="n"/>
      <c r="U368" s="19" t="n"/>
      <c r="V368" s="19" t="n"/>
      <c r="W368" s="19" t="n"/>
      <c r="X368" s="19" t="n"/>
      <c r="Y368" s="19" t="n"/>
      <c r="Z368" s="19" t="n"/>
      <c r="AA368" s="19" t="n"/>
      <c r="AB368" s="19" t="n"/>
      <c r="AC368" s="19" t="n"/>
      <c r="AD368" s="19" t="n"/>
      <c r="AE368" s="20" t="n"/>
      <c r="AF368" s="41" t="n"/>
      <c r="AG368" s="41" t="n"/>
      <c r="AH368" s="119">
        <f>DADOS_AM!$KN$7</f>
        <v/>
      </c>
      <c r="AI368" s="19" t="n"/>
      <c r="AJ368" s="19" t="n"/>
      <c r="AK368" s="19" t="n"/>
      <c r="AL368" s="19" t="n"/>
      <c r="AM368" s="19" t="n"/>
      <c r="AN368" s="19" t="n"/>
      <c r="AO368" s="19" t="n"/>
      <c r="AP368" s="19" t="n"/>
      <c r="AQ368" s="19" t="n"/>
      <c r="AR368" s="19" t="n"/>
      <c r="AS368" s="19" t="n"/>
      <c r="AT368" s="20" t="n"/>
    </row>
    <row r="369" hidden="1" outlineLevel="4">
      <c r="A369" s="8" t="n"/>
      <c r="B369" s="14" t="n"/>
      <c r="C369" s="41" t="n"/>
      <c r="D369" s="21" t="n"/>
      <c r="P369" s="22" t="n"/>
      <c r="Q369" s="41" t="n"/>
      <c r="R369" s="41" t="n"/>
      <c r="S369" s="21" t="n"/>
      <c r="AE369" s="22" t="n"/>
      <c r="AF369" s="41" t="n"/>
      <c r="AG369" s="41" t="n"/>
      <c r="AH369" s="21" t="n"/>
      <c r="AT369" s="22" t="n"/>
    </row>
    <row r="370" hidden="1" outlineLevel="4">
      <c r="A370" s="8" t="n"/>
      <c r="B370" s="14" t="n"/>
      <c r="C370" s="41" t="n"/>
      <c r="D370" s="21" t="n"/>
      <c r="P370" s="22" t="n"/>
      <c r="Q370" s="41" t="n"/>
      <c r="R370" s="41" t="n"/>
      <c r="S370" s="21" t="n"/>
      <c r="AE370" s="22" t="n"/>
      <c r="AF370" s="41" t="n"/>
      <c r="AG370" s="41" t="n"/>
      <c r="AH370" s="21" t="n"/>
      <c r="AT370" s="22" t="n"/>
    </row>
    <row r="371" hidden="1" outlineLevel="4">
      <c r="A371" s="8" t="n"/>
      <c r="B371" s="14" t="n"/>
      <c r="C371" s="41" t="n"/>
      <c r="D371" s="21" t="n"/>
      <c r="P371" s="22" t="n"/>
      <c r="Q371" s="41" t="n"/>
      <c r="R371" s="41" t="n"/>
      <c r="S371" s="21" t="n"/>
      <c r="AE371" s="22" t="n"/>
      <c r="AF371" s="41" t="n"/>
      <c r="AG371" s="41" t="n"/>
      <c r="AH371" s="21" t="n"/>
      <c r="AT371" s="22" t="n"/>
    </row>
    <row r="372" hidden="1" outlineLevel="4">
      <c r="A372" s="8" t="n"/>
      <c r="B372" s="14" t="n"/>
      <c r="C372" s="41" t="n"/>
      <c r="D372" s="21" t="n"/>
      <c r="P372" s="22" t="n"/>
      <c r="Q372" s="41" t="n"/>
      <c r="R372" s="41" t="n"/>
      <c r="S372" s="21" t="n"/>
      <c r="AE372" s="22" t="n"/>
      <c r="AF372" s="41" t="n"/>
      <c r="AG372" s="41" t="n"/>
      <c r="AH372" s="21" t="n"/>
      <c r="AT372" s="22" t="n"/>
    </row>
    <row r="373" hidden="1"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outlineLevel="2">
      <c r="A374" s="8" t="n"/>
      <c r="B374" s="14" t="n"/>
      <c r="C374" s="41" t="n"/>
      <c r="D374" s="122">
        <f>DADOS_AM!$KQ$17</f>
        <v/>
      </c>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c r="AA374" s="16" t="n"/>
      <c r="AB374" s="16" t="n"/>
      <c r="AC374" s="16" t="n"/>
      <c r="AD374" s="16" t="n"/>
      <c r="AE374" s="16" t="n"/>
      <c r="AF374" s="16" t="n"/>
      <c r="AG374" s="16" t="n"/>
      <c r="AH374" s="16" t="n"/>
      <c r="AI374" s="16" t="n"/>
      <c r="AJ374" s="16" t="n"/>
      <c r="AK374" s="16" t="n"/>
      <c r="AL374" s="16" t="n"/>
      <c r="AM374" s="16" t="n"/>
      <c r="AN374" s="16" t="n"/>
      <c r="AO374" s="16" t="n"/>
      <c r="AP374" s="16" t="n"/>
      <c r="AQ374" s="16" t="n"/>
      <c r="AR374" s="16" t="n"/>
      <c r="AS374" s="16" t="n"/>
      <c r="AT374" s="17" t="n"/>
    </row>
    <row r="375" hidden="1" outlineLevel="3">
      <c r="A375" s="8" t="n"/>
      <c r="B375" s="14" t="n"/>
      <c r="C375" s="41" t="n"/>
      <c r="D375" s="120">
        <f>DADOS_AM!$KL$8</f>
        <v/>
      </c>
      <c r="E375" s="17" t="n"/>
      <c r="F375" s="118">
        <f>DADOS_AM!$KM$8</f>
        <v/>
      </c>
      <c r="G375" s="16" t="n"/>
      <c r="H375" s="16" t="n"/>
      <c r="I375" s="16" t="n"/>
      <c r="J375" s="16" t="n"/>
      <c r="K375" s="16" t="n"/>
      <c r="L375" s="16" t="n"/>
      <c r="M375" s="16" t="n"/>
      <c r="N375" s="16" t="n"/>
      <c r="O375" s="16" t="n"/>
      <c r="P375" s="17" t="n"/>
      <c r="Q375" s="41" t="n"/>
      <c r="R375" s="41" t="n"/>
      <c r="S375" s="120">
        <f>DADOS_AM!$KL$9</f>
        <v/>
      </c>
      <c r="T375" s="17" t="n"/>
      <c r="U375" s="118">
        <f>DADOS_AM!$KM$9</f>
        <v/>
      </c>
      <c r="V375" s="16" t="n"/>
      <c r="W375" s="16" t="n"/>
      <c r="X375" s="16" t="n"/>
      <c r="Y375" s="16" t="n"/>
      <c r="Z375" s="16" t="n"/>
      <c r="AA375" s="16" t="n"/>
      <c r="AB375" s="16" t="n"/>
      <c r="AC375" s="16" t="n"/>
      <c r="AD375" s="16" t="n"/>
      <c r="AE375" s="17" t="n"/>
      <c r="AF375" s="41" t="n"/>
      <c r="AG375" s="41" t="n"/>
      <c r="AH375" s="120">
        <f>DADOS_AM!$KL$10</f>
        <v/>
      </c>
      <c r="AI375" s="17" t="n"/>
      <c r="AJ375" s="118">
        <f>DADOS_AM!$KM$10</f>
        <v/>
      </c>
      <c r="AK375" s="16" t="n"/>
      <c r="AL375" s="16" t="n"/>
      <c r="AM375" s="16" t="n"/>
      <c r="AN375" s="16" t="n"/>
      <c r="AO375" s="16" t="n"/>
      <c r="AP375" s="16" t="n"/>
      <c r="AQ375" s="16" t="n"/>
      <c r="AR375" s="16" t="n"/>
      <c r="AS375" s="16" t="n"/>
      <c r="AT375" s="17" t="n"/>
    </row>
    <row r="376" hidden="1" outlineLevel="4">
      <c r="A376" s="8" t="n"/>
      <c r="B376" s="14" t="n"/>
      <c r="C376" s="41" t="n"/>
      <c r="D376" s="119">
        <f>DADOS_AM!$KN$8</f>
        <v/>
      </c>
      <c r="E376" s="19" t="n"/>
      <c r="F376" s="19" t="n"/>
      <c r="G376" s="19" t="n"/>
      <c r="H376" s="19" t="n"/>
      <c r="I376" s="19" t="n"/>
      <c r="J376" s="19" t="n"/>
      <c r="K376" s="19" t="n"/>
      <c r="L376" s="19" t="n"/>
      <c r="M376" s="19" t="n"/>
      <c r="N376" s="19" t="n"/>
      <c r="O376" s="19" t="n"/>
      <c r="P376" s="20" t="n"/>
      <c r="Q376" s="41" t="n"/>
      <c r="R376" s="41" t="n"/>
      <c r="S376" s="119">
        <f>DADOS_AM!$KN$9</f>
        <v/>
      </c>
      <c r="T376" s="19" t="n"/>
      <c r="U376" s="19" t="n"/>
      <c r="V376" s="19" t="n"/>
      <c r="W376" s="19" t="n"/>
      <c r="X376" s="19" t="n"/>
      <c r="Y376" s="19" t="n"/>
      <c r="Z376" s="19" t="n"/>
      <c r="AA376" s="19" t="n"/>
      <c r="AB376" s="19" t="n"/>
      <c r="AC376" s="19" t="n"/>
      <c r="AD376" s="19" t="n"/>
      <c r="AE376" s="20" t="n"/>
      <c r="AF376" s="41" t="n"/>
      <c r="AG376" s="41" t="n"/>
      <c r="AH376" s="119">
        <f>DADOS_AM!$KN$10</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hidden="1" outlineLevel="3">
      <c r="A382" s="8" t="n"/>
      <c r="B382" s="14" t="n"/>
      <c r="C382" s="41" t="n"/>
      <c r="D382" s="41" t="n"/>
      <c r="E382" s="41" t="n"/>
      <c r="F382" s="41" t="n"/>
      <c r="G382" s="41" t="n"/>
      <c r="H382" s="41" t="n"/>
      <c r="I382" s="41" t="n"/>
      <c r="J382" s="41" t="n"/>
      <c r="K382" s="41" t="n"/>
      <c r="L382" s="41" t="n"/>
      <c r="M382" s="41" t="n"/>
      <c r="N382" s="41" t="n"/>
      <c r="O382" s="41" t="n"/>
      <c r="P382" s="41" t="n"/>
      <c r="Q382" s="41" t="n"/>
      <c r="R382" s="41" t="n"/>
      <c r="S382" s="41" t="n"/>
      <c r="T382" s="41" t="n"/>
      <c r="U382" s="41" t="n"/>
      <c r="V382" s="41" t="n"/>
      <c r="W382" s="41" t="n"/>
      <c r="X382" s="41" t="n"/>
      <c r="Y382" s="41" t="n"/>
      <c r="Z382" s="41" t="n"/>
      <c r="AA382" s="41" t="n"/>
      <c r="AB382" s="41" t="n"/>
      <c r="AC382" s="41" t="n"/>
      <c r="AD382" s="41" t="n"/>
      <c r="AE382" s="41" t="n"/>
      <c r="AF382" s="41" t="n"/>
      <c r="AG382" s="41" t="n"/>
      <c r="AH382" s="41" t="n"/>
      <c r="AI382" s="41" t="n"/>
      <c r="AJ382" s="41" t="n"/>
      <c r="AK382" s="41" t="n"/>
      <c r="AL382" s="41" t="n"/>
      <c r="AM382" s="41" t="n"/>
      <c r="AN382" s="41" t="n"/>
      <c r="AO382" s="41" t="n"/>
      <c r="AP382" s="41" t="n"/>
      <c r="AQ382" s="41" t="n"/>
      <c r="AR382" s="41" t="n"/>
      <c r="AS382" s="41" t="n"/>
      <c r="AT382" s="41" t="n"/>
    </row>
    <row r="383" hidden="1" outlineLevel="3">
      <c r="A383" s="8" t="n"/>
      <c r="B383" s="14" t="n"/>
      <c r="C383" s="41" t="n"/>
      <c r="D383" s="120">
        <f>DADOS_AM!$KL$11</f>
        <v/>
      </c>
      <c r="E383" s="17" t="n"/>
      <c r="F383" s="118">
        <f>DADOS_AM!$KM$11</f>
        <v/>
      </c>
      <c r="G383" s="16" t="n"/>
      <c r="H383" s="16" t="n"/>
      <c r="I383" s="16" t="n"/>
      <c r="J383" s="16" t="n"/>
      <c r="K383" s="16" t="n"/>
      <c r="L383" s="16" t="n"/>
      <c r="M383" s="16" t="n"/>
      <c r="N383" s="16" t="n"/>
      <c r="O383" s="16" t="n"/>
      <c r="P383" s="17" t="n"/>
      <c r="Q383" s="41" t="n"/>
      <c r="R383" s="41" t="n"/>
      <c r="S383" s="120">
        <f>DADOS_AM!$KL$12</f>
        <v/>
      </c>
      <c r="T383" s="17" t="n"/>
      <c r="U383" s="118">
        <f>DADOS_AM!$KM$12</f>
        <v/>
      </c>
      <c r="V383" s="16" t="n"/>
      <c r="W383" s="16" t="n"/>
      <c r="X383" s="16" t="n"/>
      <c r="Y383" s="16" t="n"/>
      <c r="Z383" s="16" t="n"/>
      <c r="AA383" s="16" t="n"/>
      <c r="AB383" s="16" t="n"/>
      <c r="AC383" s="16" t="n"/>
      <c r="AD383" s="16" t="n"/>
      <c r="AE383" s="17" t="n"/>
      <c r="AF383" s="41" t="n"/>
      <c r="AG383" s="41" t="n"/>
      <c r="AH383" s="120">
        <f>DADOS_AM!$KL$13</f>
        <v/>
      </c>
      <c r="AI383" s="17" t="n"/>
      <c r="AJ383" s="118">
        <f>DADOS_AM!$KM$13</f>
        <v/>
      </c>
      <c r="AK383" s="16" t="n"/>
      <c r="AL383" s="16" t="n"/>
      <c r="AM383" s="16" t="n"/>
      <c r="AN383" s="16" t="n"/>
      <c r="AO383" s="16" t="n"/>
      <c r="AP383" s="16" t="n"/>
      <c r="AQ383" s="16" t="n"/>
      <c r="AR383" s="16" t="n"/>
      <c r="AS383" s="16" t="n"/>
      <c r="AT383" s="17" t="n"/>
    </row>
    <row r="384" hidden="1" outlineLevel="4">
      <c r="A384" s="8" t="n"/>
      <c r="B384" s="14" t="n"/>
      <c r="C384" s="41" t="n"/>
      <c r="D384" s="119">
        <f>DADOS_AM!$KN$11</f>
        <v/>
      </c>
      <c r="E384" s="19" t="n"/>
      <c r="F384" s="19" t="n"/>
      <c r="G384" s="19" t="n"/>
      <c r="H384" s="19" t="n"/>
      <c r="I384" s="19" t="n"/>
      <c r="J384" s="19" t="n"/>
      <c r="K384" s="19" t="n"/>
      <c r="L384" s="19" t="n"/>
      <c r="M384" s="19" t="n"/>
      <c r="N384" s="19" t="n"/>
      <c r="O384" s="19" t="n"/>
      <c r="P384" s="20" t="n"/>
      <c r="Q384" s="41" t="n"/>
      <c r="R384" s="41" t="n"/>
      <c r="S384" s="119">
        <f>DADOS_AM!$KN$12</f>
        <v/>
      </c>
      <c r="T384" s="19" t="n"/>
      <c r="U384" s="19" t="n"/>
      <c r="V384" s="19" t="n"/>
      <c r="W384" s="19" t="n"/>
      <c r="X384" s="19" t="n"/>
      <c r="Y384" s="19" t="n"/>
      <c r="Z384" s="19" t="n"/>
      <c r="AA384" s="19" t="n"/>
      <c r="AB384" s="19" t="n"/>
      <c r="AC384" s="19" t="n"/>
      <c r="AD384" s="19" t="n"/>
      <c r="AE384" s="20" t="n"/>
      <c r="AF384" s="41" t="n"/>
      <c r="AG384" s="41" t="n"/>
      <c r="AH384" s="119">
        <f>DADOS_AM!$KN$13</f>
        <v/>
      </c>
      <c r="AI384" s="19" t="n"/>
      <c r="AJ384" s="19" t="n"/>
      <c r="AK384" s="19" t="n"/>
      <c r="AL384" s="19" t="n"/>
      <c r="AM384" s="19" t="n"/>
      <c r="AN384" s="19" t="n"/>
      <c r="AO384" s="19" t="n"/>
      <c r="AP384" s="19" t="n"/>
      <c r="AQ384" s="19" t="n"/>
      <c r="AR384" s="19" t="n"/>
      <c r="AS384" s="19" t="n"/>
      <c r="AT384" s="20" t="n"/>
    </row>
    <row r="385" hidden="1" outlineLevel="4">
      <c r="A385" s="8" t="n"/>
      <c r="B385" s="14" t="n"/>
      <c r="C385" s="41" t="n"/>
      <c r="D385" s="21" t="n"/>
      <c r="P385" s="22" t="n"/>
      <c r="Q385" s="41" t="n"/>
      <c r="R385" s="41" t="n"/>
      <c r="S385" s="21" t="n"/>
      <c r="AE385" s="22" t="n"/>
      <c r="AF385" s="41" t="n"/>
      <c r="AG385" s="41" t="n"/>
      <c r="AH385" s="21" t="n"/>
      <c r="AT385" s="22" t="n"/>
    </row>
    <row r="386" hidden="1" outlineLevel="4">
      <c r="A386" s="8" t="n"/>
      <c r="B386" s="14" t="n"/>
      <c r="C386" s="41" t="n"/>
      <c r="D386" s="21" t="n"/>
      <c r="P386" s="22" t="n"/>
      <c r="Q386" s="41" t="n"/>
      <c r="R386" s="41" t="n"/>
      <c r="S386" s="21" t="n"/>
      <c r="AE386" s="22" t="n"/>
      <c r="AF386" s="41" t="n"/>
      <c r="AG386" s="41" t="n"/>
      <c r="AH386" s="21" t="n"/>
      <c r="AT386" s="22" t="n"/>
    </row>
    <row r="387" hidden="1" outlineLevel="4">
      <c r="A387" s="8" t="n"/>
      <c r="B387" s="14" t="n"/>
      <c r="C387" s="41" t="n"/>
      <c r="D387" s="21" t="n"/>
      <c r="P387" s="22" t="n"/>
      <c r="Q387" s="41" t="n"/>
      <c r="R387" s="41" t="n"/>
      <c r="S387" s="21" t="n"/>
      <c r="AE387" s="22" t="n"/>
      <c r="AF387" s="41" t="n"/>
      <c r="AG387" s="41" t="n"/>
      <c r="AH387" s="21" t="n"/>
      <c r="AT387" s="22" t="n"/>
    </row>
    <row r="388" hidden="1" outlineLevel="4">
      <c r="A388" s="8" t="n"/>
      <c r="B388" s="14" t="n"/>
      <c r="C388" s="41" t="n"/>
      <c r="D388" s="21" t="n"/>
      <c r="P388" s="22" t="n"/>
      <c r="Q388" s="41" t="n"/>
      <c r="R388" s="41" t="n"/>
      <c r="S388" s="21" t="n"/>
      <c r="AE388" s="22" t="n"/>
      <c r="AF388" s="41" t="n"/>
      <c r="AG388" s="41" t="n"/>
      <c r="AH388" s="21" t="n"/>
      <c r="AT388" s="22"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23" t="n"/>
      <c r="AI389" s="24" t="n"/>
      <c r="AJ389" s="24" t="n"/>
      <c r="AK389" s="24" t="n"/>
      <c r="AL389" s="24" t="n"/>
      <c r="AM389" s="24" t="n"/>
      <c r="AN389" s="24" t="n"/>
      <c r="AO389" s="24" t="n"/>
      <c r="AP389" s="24" t="n"/>
      <c r="AQ389" s="24" t="n"/>
      <c r="AR389" s="24" t="n"/>
      <c r="AS389" s="24" t="n"/>
      <c r="AT389" s="25" t="n"/>
    </row>
    <row r="390" outlineLevel="2">
      <c r="A390" s="8" t="n"/>
      <c r="B390" s="14" t="n"/>
      <c r="C390" s="41" t="n"/>
      <c r="D390" s="122">
        <f>DADOS_AM!$KQ$18</f>
        <v/>
      </c>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c r="AA390" s="16" t="n"/>
      <c r="AB390" s="16" t="n"/>
      <c r="AC390" s="16" t="n"/>
      <c r="AD390" s="16" t="n"/>
      <c r="AE390" s="16" t="n"/>
      <c r="AF390" s="16" t="n"/>
      <c r="AG390" s="16" t="n"/>
      <c r="AH390" s="16" t="n"/>
      <c r="AI390" s="16" t="n"/>
      <c r="AJ390" s="16" t="n"/>
      <c r="AK390" s="16" t="n"/>
      <c r="AL390" s="16" t="n"/>
      <c r="AM390" s="16" t="n"/>
      <c r="AN390" s="16" t="n"/>
      <c r="AO390" s="16" t="n"/>
      <c r="AP390" s="16" t="n"/>
      <c r="AQ390" s="16" t="n"/>
      <c r="AR390" s="16" t="n"/>
      <c r="AS390" s="16" t="n"/>
      <c r="AT390" s="17" t="n"/>
    </row>
    <row r="391" hidden="1" outlineLevel="3">
      <c r="A391" s="8" t="n"/>
      <c r="B391" s="14" t="n"/>
      <c r="C391" s="41" t="n"/>
      <c r="D391" s="120">
        <f>DADOS_AM!$KL$14</f>
        <v/>
      </c>
      <c r="E391" s="17" t="n"/>
      <c r="F391" s="118">
        <f>DADOS_AM!$KM$14</f>
        <v/>
      </c>
      <c r="G391" s="16" t="n"/>
      <c r="H391" s="16" t="n"/>
      <c r="I391" s="16" t="n"/>
      <c r="J391" s="16" t="n"/>
      <c r="K391" s="16" t="n"/>
      <c r="L391" s="16" t="n"/>
      <c r="M391" s="16" t="n"/>
      <c r="N391" s="16" t="n"/>
      <c r="O391" s="16" t="n"/>
      <c r="P391" s="17" t="n"/>
      <c r="Q391" s="41" t="n"/>
      <c r="R391" s="41" t="n"/>
      <c r="S391" s="120">
        <f>DADOS_AM!$KL$15</f>
        <v/>
      </c>
      <c r="T391" s="17" t="n"/>
      <c r="U391" s="118">
        <f>DADOS_AM!$KM$15</f>
        <v/>
      </c>
      <c r="V391" s="16" t="n"/>
      <c r="W391" s="16" t="n"/>
      <c r="X391" s="16" t="n"/>
      <c r="Y391" s="16" t="n"/>
      <c r="Z391" s="16" t="n"/>
      <c r="AA391" s="16" t="n"/>
      <c r="AB391" s="16" t="n"/>
      <c r="AC391" s="16" t="n"/>
      <c r="AD391" s="16" t="n"/>
      <c r="AE391" s="17" t="n"/>
      <c r="AF391" s="41" t="n"/>
      <c r="AG391" s="41" t="n"/>
      <c r="AH391" s="41" t="n"/>
      <c r="AI391" s="41" t="n"/>
      <c r="AJ391" s="41" t="n"/>
      <c r="AK391" s="41" t="n"/>
      <c r="AL391" s="41" t="n"/>
      <c r="AM391" s="41" t="n"/>
      <c r="AN391" s="41" t="n"/>
      <c r="AO391" s="41" t="n"/>
      <c r="AP391" s="41" t="n"/>
      <c r="AQ391" s="41" t="n"/>
      <c r="AR391" s="41" t="n"/>
      <c r="AS391" s="41" t="n"/>
      <c r="AT391" s="41" t="n"/>
    </row>
    <row r="392" hidden="1" outlineLevel="4">
      <c r="A392" s="8" t="n"/>
      <c r="B392" s="14" t="n"/>
      <c r="C392" s="41" t="n"/>
      <c r="D392" s="119">
        <f>DADOS_AM!$KN$14</f>
        <v/>
      </c>
      <c r="E392" s="19" t="n"/>
      <c r="F392" s="19" t="n"/>
      <c r="G392" s="19" t="n"/>
      <c r="H392" s="19" t="n"/>
      <c r="I392" s="19" t="n"/>
      <c r="J392" s="19" t="n"/>
      <c r="K392" s="19" t="n"/>
      <c r="L392" s="19" t="n"/>
      <c r="M392" s="19" t="n"/>
      <c r="N392" s="19" t="n"/>
      <c r="O392" s="19" t="n"/>
      <c r="P392" s="20" t="n"/>
      <c r="Q392" s="41" t="n"/>
      <c r="R392" s="41" t="n"/>
      <c r="S392" s="119">
        <f>DADOS_AM!$KN$15</f>
        <v/>
      </c>
      <c r="T392" s="19" t="n"/>
      <c r="U392" s="19" t="n"/>
      <c r="V392" s="19" t="n"/>
      <c r="W392" s="19" t="n"/>
      <c r="X392" s="19" t="n"/>
      <c r="Y392" s="19" t="n"/>
      <c r="Z392" s="19" t="n"/>
      <c r="AA392" s="19" t="n"/>
      <c r="AB392" s="19" t="n"/>
      <c r="AC392" s="19" t="n"/>
      <c r="AD392" s="19" t="n"/>
      <c r="AE392" s="20" t="n"/>
      <c r="AF392" s="41" t="n"/>
      <c r="AG392" s="41" t="n"/>
      <c r="AH392" s="41" t="n"/>
      <c r="AI392" s="41" t="n"/>
      <c r="AJ392" s="41" t="n"/>
      <c r="AK392" s="41" t="n"/>
      <c r="AL392" s="41" t="n"/>
      <c r="AM392" s="41" t="n"/>
      <c r="AN392" s="41" t="n"/>
      <c r="AO392" s="41" t="n"/>
      <c r="AP392" s="41" t="n"/>
      <c r="AQ392" s="41" t="n"/>
      <c r="AR392" s="41" t="n"/>
      <c r="AS392" s="41" t="n"/>
      <c r="AT392" s="41" t="n"/>
    </row>
    <row r="393" hidden="1" outlineLevel="4">
      <c r="A393" s="8" t="n"/>
      <c r="B393" s="14" t="n"/>
      <c r="C393" s="41" t="n"/>
      <c r="D393" s="21" t="n"/>
      <c r="P393" s="22" t="n"/>
      <c r="Q393" s="41" t="n"/>
      <c r="R393" s="41" t="n"/>
      <c r="S393" s="21" t="n"/>
      <c r="AE393" s="22" t="n"/>
      <c r="AF393" s="41" t="n"/>
      <c r="AG393" s="41" t="n"/>
      <c r="AH393" s="41" t="n"/>
      <c r="AI393" s="41" t="n"/>
      <c r="AJ393" s="41" t="n"/>
      <c r="AK393" s="41" t="n"/>
      <c r="AL393" s="41" t="n"/>
      <c r="AM393" s="41" t="n"/>
      <c r="AN393" s="41" t="n"/>
      <c r="AO393" s="41" t="n"/>
      <c r="AP393" s="41" t="n"/>
      <c r="AQ393" s="41" t="n"/>
      <c r="AR393" s="41" t="n"/>
      <c r="AS393" s="41" t="n"/>
      <c r="AT393" s="41" t="n"/>
    </row>
    <row r="394" hidden="1" outlineLevel="4">
      <c r="A394" s="8" t="n"/>
      <c r="B394" s="14" t="n"/>
      <c r="C394" s="41" t="n"/>
      <c r="D394" s="21" t="n"/>
      <c r="P394" s="22" t="n"/>
      <c r="Q394" s="41" t="n"/>
      <c r="R394" s="41" t="n"/>
      <c r="S394" s="21" t="n"/>
      <c r="AE394" s="22" t="n"/>
      <c r="AF394" s="41" t="n"/>
      <c r="AG394" s="41" t="n"/>
      <c r="AH394" s="41" t="n"/>
      <c r="AI394" s="41" t="n"/>
      <c r="AJ394" s="41" t="n"/>
      <c r="AK394" s="41" t="n"/>
      <c r="AL394" s="41" t="n"/>
      <c r="AM394" s="41" t="n"/>
      <c r="AN394" s="41" t="n"/>
      <c r="AO394" s="41" t="n"/>
      <c r="AP394" s="41" t="n"/>
      <c r="AQ394" s="41" t="n"/>
      <c r="AR394" s="41" t="n"/>
      <c r="AS394" s="41" t="n"/>
      <c r="AT394" s="41" t="n"/>
    </row>
    <row r="395" hidden="1" outlineLevel="4">
      <c r="A395" s="8" t="n"/>
      <c r="B395" s="14" t="n"/>
      <c r="C395" s="41" t="n"/>
      <c r="D395" s="21" t="n"/>
      <c r="P395" s="22" t="n"/>
      <c r="Q395" s="41" t="n"/>
      <c r="R395" s="41" t="n"/>
      <c r="S395" s="21" t="n"/>
      <c r="AE395" s="22" t="n"/>
      <c r="AF395" s="41" t="n"/>
      <c r="AG395" s="41" t="n"/>
      <c r="AH395" s="41" t="n"/>
      <c r="AI395" s="41" t="n"/>
      <c r="AJ395" s="41" t="n"/>
      <c r="AK395" s="41" t="n"/>
      <c r="AL395" s="41" t="n"/>
      <c r="AM395" s="41" t="n"/>
      <c r="AN395" s="41" t="n"/>
      <c r="AO395" s="41" t="n"/>
      <c r="AP395" s="41" t="n"/>
      <c r="AQ395" s="41" t="n"/>
      <c r="AR395" s="41" t="n"/>
      <c r="AS395" s="41" t="n"/>
      <c r="AT395" s="41" t="n"/>
    </row>
    <row r="396" hidden="1" outlineLevel="4">
      <c r="A396" s="8" t="n"/>
      <c r="B396" s="14" t="n"/>
      <c r="C396" s="41" t="n"/>
      <c r="D396" s="21" t="n"/>
      <c r="P396" s="22" t="n"/>
      <c r="Q396" s="41" t="n"/>
      <c r="R396" s="41" t="n"/>
      <c r="S396" s="21" t="n"/>
      <c r="AE396" s="22" t="n"/>
      <c r="AF396" s="41" t="n"/>
      <c r="AG396" s="41" t="n"/>
      <c r="AH396" s="41" t="n"/>
      <c r="AI396" s="41" t="n"/>
      <c r="AJ396" s="41" t="n"/>
      <c r="AK396" s="41" t="n"/>
      <c r="AL396" s="41" t="n"/>
      <c r="AM396" s="41" t="n"/>
      <c r="AN396" s="41" t="n"/>
      <c r="AO396" s="41" t="n"/>
      <c r="AP396" s="41" t="n"/>
      <c r="AQ396" s="41" t="n"/>
      <c r="AR396" s="41" t="n"/>
      <c r="AS396" s="41" t="n"/>
      <c r="AT396" s="41" t="n"/>
    </row>
    <row r="397" hidden="1" outlineLevel="4">
      <c r="A397" s="8" t="n"/>
      <c r="B397" s="14" t="n"/>
      <c r="C397" s="41" t="n"/>
      <c r="D397" s="23" t="n"/>
      <c r="E397" s="24" t="n"/>
      <c r="F397" s="24" t="n"/>
      <c r="G397" s="24" t="n"/>
      <c r="H397" s="24" t="n"/>
      <c r="I397" s="24" t="n"/>
      <c r="J397" s="24" t="n"/>
      <c r="K397" s="24" t="n"/>
      <c r="L397" s="24" t="n"/>
      <c r="M397" s="24" t="n"/>
      <c r="N397" s="24" t="n"/>
      <c r="O397" s="24" t="n"/>
      <c r="P397" s="25" t="n"/>
      <c r="Q397" s="41" t="n"/>
      <c r="R397" s="41" t="n"/>
      <c r="S397" s="23" t="n"/>
      <c r="T397" s="24" t="n"/>
      <c r="U397" s="24" t="n"/>
      <c r="V397" s="24" t="n"/>
      <c r="W397" s="24" t="n"/>
      <c r="X397" s="24" t="n"/>
      <c r="Y397" s="24" t="n"/>
      <c r="Z397" s="24" t="n"/>
      <c r="AA397" s="24" t="n"/>
      <c r="AB397" s="24" t="n"/>
      <c r="AC397" s="24" t="n"/>
      <c r="AD397" s="24" t="n"/>
      <c r="AE397" s="25" t="n"/>
      <c r="AF397" s="41" t="n"/>
      <c r="AG397" s="41" t="n"/>
      <c r="AH397" s="41" t="n"/>
      <c r="AI397" s="41" t="n"/>
      <c r="AJ397" s="41" t="n"/>
      <c r="AK397" s="41" t="n"/>
      <c r="AL397" s="41" t="n"/>
      <c r="AM397" s="41" t="n"/>
      <c r="AN397" s="41" t="n"/>
      <c r="AO397" s="41" t="n"/>
      <c r="AP397" s="41" t="n"/>
      <c r="AQ397" s="41" t="n"/>
      <c r="AR397" s="41" t="n"/>
      <c r="AS397" s="41" t="n"/>
      <c r="AT397" s="41" t="n"/>
    </row>
    <row r="398" outlineLevel="2">
      <c r="A398" s="8" t="n"/>
      <c r="B398" s="14" t="n"/>
      <c r="C398" s="41" t="n"/>
      <c r="D398" s="41" t="n"/>
      <c r="E398" s="41" t="n"/>
      <c r="F398" s="41" t="n"/>
      <c r="G398" s="41" t="n"/>
      <c r="H398" s="41" t="n"/>
      <c r="I398" s="41" t="n"/>
      <c r="J398" s="41" t="n"/>
      <c r="K398" s="41" t="n"/>
      <c r="L398" s="41" t="n"/>
      <c r="M398" s="41" t="n"/>
      <c r="N398" s="41" t="n"/>
      <c r="O398" s="41" t="n"/>
      <c r="P398" s="41" t="n"/>
      <c r="Q398" s="41" t="n"/>
      <c r="R398" s="41" t="n"/>
      <c r="S398" s="41" t="n"/>
      <c r="T398" s="41" t="n"/>
      <c r="U398" s="41" t="n"/>
      <c r="V398" s="41" t="n"/>
      <c r="W398" s="41" t="n"/>
      <c r="X398" s="41" t="n"/>
      <c r="Y398" s="41" t="n"/>
      <c r="Z398" s="41" t="n"/>
      <c r="AA398" s="41" t="n"/>
      <c r="AB398" s="41" t="n"/>
      <c r="AC398" s="41" t="n"/>
      <c r="AD398" s="41" t="n"/>
      <c r="AE398" s="41" t="n"/>
      <c r="AF398" s="41" t="n"/>
      <c r="AG398" s="41" t="n"/>
      <c r="AH398" s="41" t="n"/>
      <c r="AI398" s="41" t="n"/>
      <c r="AJ398" s="41" t="n"/>
      <c r="AK398" s="41" t="n"/>
      <c r="AL398" s="41" t="n"/>
      <c r="AM398" s="41" t="n"/>
      <c r="AN398" s="41" t="n"/>
      <c r="AO398" s="41" t="n"/>
      <c r="AP398" s="41" t="n"/>
      <c r="AQ398" s="41" t="n"/>
      <c r="AR398" s="41" t="n"/>
      <c r="AS398" s="41" t="n"/>
      <c r="AT398" s="41" t="n"/>
    </row>
    <row r="399">
      <c r="A399" s="8" t="n"/>
      <c r="B399" s="14" t="n"/>
      <c r="C399" s="41" t="n"/>
      <c r="D399" s="41" t="n"/>
      <c r="E399" s="41" t="n"/>
      <c r="F399" s="41" t="n"/>
      <c r="G399" s="41" t="n"/>
      <c r="H399" s="41" t="n"/>
      <c r="I399" s="41" t="n"/>
      <c r="J399" s="41" t="n"/>
      <c r="K399" s="41" t="n"/>
      <c r="L399" s="41" t="n"/>
      <c r="M399" s="41" t="n"/>
      <c r="N399" s="41" t="n"/>
      <c r="O399" s="41" t="n"/>
      <c r="P399" s="41" t="n"/>
      <c r="Q399" s="41" t="n"/>
      <c r="R399" s="41" t="n"/>
      <c r="S399" s="41" t="n"/>
      <c r="T399" s="41" t="n"/>
      <c r="U399" s="41" t="n"/>
      <c r="V399" s="41" t="n"/>
      <c r="W399" s="41" t="n"/>
      <c r="X399" s="41" t="n"/>
      <c r="Y399" s="41" t="n"/>
      <c r="Z399" s="41" t="n"/>
      <c r="AA399" s="41" t="n"/>
      <c r="AB399" s="41" t="n"/>
      <c r="AC399" s="41" t="n"/>
      <c r="AD399" s="41" t="n"/>
      <c r="AE399" s="41" t="n"/>
      <c r="AF399" s="41" t="n"/>
      <c r="AG399" s="41" t="n"/>
      <c r="AH399" s="41" t="n"/>
      <c r="AI399" s="41" t="n"/>
      <c r="AJ399" s="41" t="n"/>
      <c r="AK399" s="41" t="n"/>
      <c r="AL399" s="41" t="n"/>
      <c r="AM399" s="41" t="n"/>
      <c r="AN399" s="41" t="n"/>
      <c r="AO399" s="41" t="n"/>
      <c r="AP399" s="41" t="n"/>
      <c r="AQ399" s="41" t="n"/>
      <c r="AR399" s="41" t="n"/>
      <c r="AS399" s="41" t="n"/>
      <c r="AT399" s="41" t="n"/>
    </row>
    <row r="400">
      <c r="A400" s="8" t="n"/>
      <c r="B400" s="14" t="n"/>
    </row>
    <row r="401">
      <c r="A401" s="8" t="n"/>
      <c r="B401" s="14" t="n"/>
    </row>
  </sheetData>
  <mergeCells count="667">
    <mergeCell ref="F237:P237"/>
    <mergeCell ref="D187:E187"/>
    <mergeCell ref="N76:O76"/>
    <mergeCell ref="AS55:AT55"/>
    <mergeCell ref="S177:T177"/>
    <mergeCell ref="P76:Q76"/>
    <mergeCell ref="Z43:AT43"/>
    <mergeCell ref="F187:P187"/>
    <mergeCell ref="S299:U299"/>
    <mergeCell ref="D39:M39"/>
    <mergeCell ref="U217:AE217"/>
    <mergeCell ref="AJ375:AT375"/>
    <mergeCell ref="N77:O77"/>
    <mergeCell ref="V238:Y238"/>
    <mergeCell ref="AO15:AP15"/>
    <mergeCell ref="V188:Y188"/>
    <mergeCell ref="W50:X50"/>
    <mergeCell ref="D358:AT358"/>
    <mergeCell ref="G268:J268"/>
    <mergeCell ref="S87:W87"/>
    <mergeCell ref="O59:V59"/>
    <mergeCell ref="AG88:AI88"/>
    <mergeCell ref="AH189:AT195"/>
    <mergeCell ref="D309:AT313"/>
    <mergeCell ref="AF79:AG79"/>
    <mergeCell ref="S89:W89"/>
    <mergeCell ref="AH337:AI337"/>
    <mergeCell ref="AG90:AI90"/>
    <mergeCell ref="AD81:AE81"/>
    <mergeCell ref="D208:F208"/>
    <mergeCell ref="D55:K55"/>
    <mergeCell ref="AF81:AG81"/>
    <mergeCell ref="Z58:AI58"/>
    <mergeCell ref="S198:U198"/>
    <mergeCell ref="AH330:AI330"/>
    <mergeCell ref="S383:T383"/>
    <mergeCell ref="D368:P373"/>
    <mergeCell ref="D179:P185"/>
    <mergeCell ref="K228:P228"/>
    <mergeCell ref="D239:P245"/>
    <mergeCell ref="D8:F9"/>
    <mergeCell ref="Z218:AE218"/>
    <mergeCell ref="AJ330:AT330"/>
    <mergeCell ref="U383:AE383"/>
    <mergeCell ref="X87:Z87"/>
    <mergeCell ref="D11:L11"/>
    <mergeCell ref="Z48:AI48"/>
    <mergeCell ref="AP87:AT87"/>
    <mergeCell ref="V82:AC82"/>
    <mergeCell ref="A8:B29"/>
    <mergeCell ref="W55:X55"/>
    <mergeCell ref="D137:F137"/>
    <mergeCell ref="AJ22:AP22"/>
    <mergeCell ref="G68:AD68"/>
    <mergeCell ref="D287:E287"/>
    <mergeCell ref="O54:V54"/>
    <mergeCell ref="AE62:AO62"/>
    <mergeCell ref="G173:AH173"/>
    <mergeCell ref="D197:E197"/>
    <mergeCell ref="P77:Q77"/>
    <mergeCell ref="D188:F188"/>
    <mergeCell ref="AH345:AT349"/>
    <mergeCell ref="D351:E351"/>
    <mergeCell ref="AS48:AT48"/>
    <mergeCell ref="S267:T267"/>
    <mergeCell ref="G228:J228"/>
    <mergeCell ref="F351:P351"/>
    <mergeCell ref="G299:J299"/>
    <mergeCell ref="U267:AE267"/>
    <mergeCell ref="AO198:AT198"/>
    <mergeCell ref="S345:AE349"/>
    <mergeCell ref="W58:X58"/>
    <mergeCell ref="D99:AT99"/>
    <mergeCell ref="AH287:AI287"/>
    <mergeCell ref="S360:AE365"/>
    <mergeCell ref="D51:K51"/>
    <mergeCell ref="F82:M82"/>
    <mergeCell ref="K248:P248"/>
    <mergeCell ref="AH259:AT265"/>
    <mergeCell ref="S88:W88"/>
    <mergeCell ref="AH209:AT215"/>
    <mergeCell ref="D315:E315"/>
    <mergeCell ref="AN93:AT93"/>
    <mergeCell ref="AH277:AI277"/>
    <mergeCell ref="L19:R20"/>
    <mergeCell ref="AF25:AK25"/>
    <mergeCell ref="D58:M58"/>
    <mergeCell ref="S90:W90"/>
    <mergeCell ref="AJ257:AT257"/>
    <mergeCell ref="S289:AE295"/>
    <mergeCell ref="K178:P178"/>
    <mergeCell ref="S391:T391"/>
    <mergeCell ref="S247:T247"/>
    <mergeCell ref="AF30:AK30"/>
    <mergeCell ref="V208:Y208"/>
    <mergeCell ref="U247:AE247"/>
    <mergeCell ref="D236:AT236"/>
    <mergeCell ref="X89:Z89"/>
    <mergeCell ref="S338:AE342"/>
    <mergeCell ref="G15:X15"/>
    <mergeCell ref="G198:J198"/>
    <mergeCell ref="U257:AE257"/>
    <mergeCell ref="K278:P278"/>
    <mergeCell ref="D289:P295"/>
    <mergeCell ref="AH288:AJ288"/>
    <mergeCell ref="X88:Z88"/>
    <mergeCell ref="AN92:AT92"/>
    <mergeCell ref="D384:P389"/>
    <mergeCell ref="D216:AT216"/>
    <mergeCell ref="G149:AT149"/>
    <mergeCell ref="D26:H27"/>
    <mergeCell ref="F75:M75"/>
    <mergeCell ref="X90:Z90"/>
    <mergeCell ref="D21:J21"/>
    <mergeCell ref="L50:M50"/>
    <mergeCell ref="AP90:AT90"/>
    <mergeCell ref="U323:AE323"/>
    <mergeCell ref="AD75:AE75"/>
    <mergeCell ref="AF75:AG75"/>
    <mergeCell ref="S300:AE306"/>
    <mergeCell ref="U177:AE177"/>
    <mergeCell ref="K198:P198"/>
    <mergeCell ref="AH237:AI237"/>
    <mergeCell ref="D29:N29"/>
    <mergeCell ref="AK218:AN218"/>
    <mergeCell ref="AH249:AT255"/>
    <mergeCell ref="S277:T277"/>
    <mergeCell ref="Z258:AE258"/>
    <mergeCell ref="D198:F198"/>
    <mergeCell ref="D300:P306"/>
    <mergeCell ref="D18:J18"/>
    <mergeCell ref="D173:F174"/>
    <mergeCell ref="S323:T323"/>
    <mergeCell ref="F367:P367"/>
    <mergeCell ref="AO288:AT288"/>
    <mergeCell ref="V76:AC76"/>
    <mergeCell ref="J26:N27"/>
    <mergeCell ref="Z44:AT45"/>
    <mergeCell ref="Z238:AE238"/>
    <mergeCell ref="S249:AE255"/>
    <mergeCell ref="Z188:AE188"/>
    <mergeCell ref="V198:Y198"/>
    <mergeCell ref="AJ359:AT359"/>
    <mergeCell ref="D196:AT196"/>
    <mergeCell ref="K268:P268"/>
    <mergeCell ref="AF93:AM93"/>
    <mergeCell ref="D308:E308"/>
    <mergeCell ref="L55:M55"/>
    <mergeCell ref="AK88:AO88"/>
    <mergeCell ref="X10:AF10"/>
    <mergeCell ref="N73:O73"/>
    <mergeCell ref="AB19:AH20"/>
    <mergeCell ref="AF308:AK308"/>
    <mergeCell ref="G155:AT155"/>
    <mergeCell ref="AB315:AE315"/>
    <mergeCell ref="AK90:AO90"/>
    <mergeCell ref="D101:AT104"/>
    <mergeCell ref="S207:T207"/>
    <mergeCell ref="AH258:AJ258"/>
    <mergeCell ref="D150:AT153"/>
    <mergeCell ref="D392:P397"/>
    <mergeCell ref="N11:V11"/>
    <mergeCell ref="AO278:AT278"/>
    <mergeCell ref="AM15:AN15"/>
    <mergeCell ref="V288:Y288"/>
    <mergeCell ref="AJ187:AT187"/>
    <mergeCell ref="D219:P225"/>
    <mergeCell ref="AH227:AI227"/>
    <mergeCell ref="D331:P335"/>
    <mergeCell ref="F78:M78"/>
    <mergeCell ref="AH299:AJ299"/>
    <mergeCell ref="S208:U208"/>
    <mergeCell ref="S217:T217"/>
    <mergeCell ref="L21:R21"/>
    <mergeCell ref="S239:AE245"/>
    <mergeCell ref="AB308:AE308"/>
    <mergeCell ref="AO47:AP47"/>
    <mergeCell ref="AQ47:AR47"/>
    <mergeCell ref="D375:E375"/>
    <mergeCell ref="AK268:AN268"/>
    <mergeCell ref="G208:J208"/>
    <mergeCell ref="D143:F143"/>
    <mergeCell ref="AH10:AL10"/>
    <mergeCell ref="K299:P299"/>
    <mergeCell ref="G106:AT106"/>
    <mergeCell ref="AH367:AI367"/>
    <mergeCell ref="AK54:AR54"/>
    <mergeCell ref="P30:Q31"/>
    <mergeCell ref="D107:AT110"/>
    <mergeCell ref="AJ367:AT367"/>
    <mergeCell ref="D299:F299"/>
    <mergeCell ref="O39:X39"/>
    <mergeCell ref="AJ298:AT298"/>
    <mergeCell ref="U344:AE344"/>
    <mergeCell ref="D10:L10"/>
    <mergeCell ref="T19:Z20"/>
    <mergeCell ref="AF34:AK34"/>
    <mergeCell ref="AH179:AT185"/>
    <mergeCell ref="F92:J92"/>
    <mergeCell ref="AH248:AJ248"/>
    <mergeCell ref="S359:T359"/>
    <mergeCell ref="AH368:AT373"/>
    <mergeCell ref="AO268:AT268"/>
    <mergeCell ref="AJ227:AT227"/>
    <mergeCell ref="F315:AA315"/>
    <mergeCell ref="AH324:AT328"/>
    <mergeCell ref="AD71:AE71"/>
    <mergeCell ref="AF71:AG71"/>
    <mergeCell ref="AK59:AT59"/>
    <mergeCell ref="F87:J87"/>
    <mergeCell ref="D229:P235"/>
    <mergeCell ref="Z208:AE208"/>
    <mergeCell ref="AH360:AT365"/>
    <mergeCell ref="AD73:AE73"/>
    <mergeCell ref="AF73:AG73"/>
    <mergeCell ref="AK71:AT72"/>
    <mergeCell ref="F277:P277"/>
    <mergeCell ref="F89:J89"/>
    <mergeCell ref="F375:P375"/>
    <mergeCell ref="D167:AT167"/>
    <mergeCell ref="S337:T337"/>
    <mergeCell ref="AK73:AT74"/>
    <mergeCell ref="H2:Z3"/>
    <mergeCell ref="V72:AC72"/>
    <mergeCell ref="D106:F106"/>
    <mergeCell ref="D161:AT161"/>
    <mergeCell ref="U337:AE337"/>
    <mergeCell ref="F80:M80"/>
    <mergeCell ref="AG87:AI87"/>
    <mergeCell ref="G96:AH96"/>
    <mergeCell ref="F79:M79"/>
    <mergeCell ref="AH55:AI55"/>
    <mergeCell ref="AH178:AJ178"/>
    <mergeCell ref="V278:Y278"/>
    <mergeCell ref="D337:E337"/>
    <mergeCell ref="F383:P383"/>
    <mergeCell ref="S218:U218"/>
    <mergeCell ref="AK47:AN47"/>
    <mergeCell ref="D34:H35"/>
    <mergeCell ref="AG89:AI89"/>
    <mergeCell ref="F81:M81"/>
    <mergeCell ref="AQ48:AR48"/>
    <mergeCell ref="AH198:AJ198"/>
    <mergeCell ref="L18:R18"/>
    <mergeCell ref="G258:J258"/>
    <mergeCell ref="AO218:AT218"/>
    <mergeCell ref="Z47:AI47"/>
    <mergeCell ref="D350:AT350"/>
    <mergeCell ref="D248:F248"/>
    <mergeCell ref="S368:AE373"/>
    <mergeCell ref="D352:P356"/>
    <mergeCell ref="U187:AE187"/>
    <mergeCell ref="K208:P208"/>
    <mergeCell ref="D330:E330"/>
    <mergeCell ref="AJ177:AT177"/>
    <mergeCell ref="Z198:AE198"/>
    <mergeCell ref="AK258:AN258"/>
    <mergeCell ref="F227:P227"/>
    <mergeCell ref="AD79:AE79"/>
    <mergeCell ref="AH384:AT389"/>
    <mergeCell ref="AJ19:AP20"/>
    <mergeCell ref="D360:P365"/>
    <mergeCell ref="N10:V10"/>
    <mergeCell ref="D43:X43"/>
    <mergeCell ref="AF315:AK315"/>
    <mergeCell ref="AD74:AE74"/>
    <mergeCell ref="AM25:AR25"/>
    <mergeCell ref="AF74:AG74"/>
    <mergeCell ref="N82:O82"/>
    <mergeCell ref="P82:Q82"/>
    <mergeCell ref="AK81:AT82"/>
    <mergeCell ref="S178:U178"/>
    <mergeCell ref="F90:J90"/>
    <mergeCell ref="AM33:AR33"/>
    <mergeCell ref="D228:F228"/>
    <mergeCell ref="AD76:AE76"/>
    <mergeCell ref="K87:M87"/>
    <mergeCell ref="AF76:AG76"/>
    <mergeCell ref="AK50:AR50"/>
    <mergeCell ref="P75:Q75"/>
    <mergeCell ref="D2:G4"/>
    <mergeCell ref="V299:Y299"/>
    <mergeCell ref="D178:F178"/>
    <mergeCell ref="D376:P381"/>
    <mergeCell ref="D391:E391"/>
    <mergeCell ref="F391:P391"/>
    <mergeCell ref="V75:AC75"/>
    <mergeCell ref="K89:M89"/>
    <mergeCell ref="AK188:AN188"/>
    <mergeCell ref="T21:Z21"/>
    <mergeCell ref="V228:Y228"/>
    <mergeCell ref="K88:M88"/>
    <mergeCell ref="S179:AE185"/>
    <mergeCell ref="AJ383:AT383"/>
    <mergeCell ref="S30:AD31"/>
    <mergeCell ref="O40:X40"/>
    <mergeCell ref="AK208:AN208"/>
    <mergeCell ref="K90:M90"/>
    <mergeCell ref="F308:AA308"/>
    <mergeCell ref="AH338:AT342"/>
    <mergeCell ref="AS54:AT54"/>
    <mergeCell ref="AO16:AP16"/>
    <mergeCell ref="AK87:AO87"/>
    <mergeCell ref="AK248:AN248"/>
    <mergeCell ref="AS51:AT51"/>
    <mergeCell ref="N72:O72"/>
    <mergeCell ref="D112:F112"/>
    <mergeCell ref="P72:Q72"/>
    <mergeCell ref="T18:Z18"/>
    <mergeCell ref="AN10:AT10"/>
    <mergeCell ref="D130:AT130"/>
    <mergeCell ref="D131:AT134"/>
    <mergeCell ref="AM30:AR30"/>
    <mergeCell ref="F177:P177"/>
    <mergeCell ref="S287:T287"/>
    <mergeCell ref="D15:F17"/>
    <mergeCell ref="AJ247:AT247"/>
    <mergeCell ref="V248:Y248"/>
    <mergeCell ref="U287:AE287"/>
    <mergeCell ref="D277:E277"/>
    <mergeCell ref="P26:Q27"/>
    <mergeCell ref="AB2:AT3"/>
    <mergeCell ref="U351:AE351"/>
    <mergeCell ref="AJ267:AT267"/>
    <mergeCell ref="W59:X59"/>
    <mergeCell ref="Z288:AE288"/>
    <mergeCell ref="AK39:AT39"/>
    <mergeCell ref="AK64:AT64"/>
    <mergeCell ref="D54:K54"/>
    <mergeCell ref="G8:X8"/>
    <mergeCell ref="AM34:AR34"/>
    <mergeCell ref="D278:F278"/>
    <mergeCell ref="AF77:AG77"/>
    <mergeCell ref="G188:J188"/>
    <mergeCell ref="Z55:AG55"/>
    <mergeCell ref="AH375:AI375"/>
    <mergeCell ref="AK65:AT65"/>
    <mergeCell ref="D144:AT147"/>
    <mergeCell ref="G218:J218"/>
    <mergeCell ref="AH376:AT381"/>
    <mergeCell ref="D119:AT122"/>
    <mergeCell ref="S258:U258"/>
    <mergeCell ref="AQ16:AR16"/>
    <mergeCell ref="V78:AC78"/>
    <mergeCell ref="S229:AE235"/>
    <mergeCell ref="Z278:AE278"/>
    <mergeCell ref="U237:AE237"/>
    <mergeCell ref="P80:Q80"/>
    <mergeCell ref="F287:P287"/>
    <mergeCell ref="AK89:AO89"/>
    <mergeCell ref="S392:AE397"/>
    <mergeCell ref="O50:V50"/>
    <mergeCell ref="F247:P247"/>
    <mergeCell ref="D374:AT374"/>
    <mergeCell ref="K218:P218"/>
    <mergeCell ref="AK77:AT78"/>
    <mergeCell ref="AH257:AI257"/>
    <mergeCell ref="AH359:AI359"/>
    <mergeCell ref="D41:M41"/>
    <mergeCell ref="AM29:AR29"/>
    <mergeCell ref="S34:AD35"/>
    <mergeCell ref="AK14:AT14"/>
    <mergeCell ref="AJ18:AP18"/>
    <mergeCell ref="S238:U238"/>
    <mergeCell ref="AH54:AI54"/>
    <mergeCell ref="P33:Q33"/>
    <mergeCell ref="AH217:AI217"/>
    <mergeCell ref="Z64:AI64"/>
    <mergeCell ref="N79:O79"/>
    <mergeCell ref="G48:X48"/>
    <mergeCell ref="V178:Y178"/>
    <mergeCell ref="P79:Q79"/>
    <mergeCell ref="AO258:AT258"/>
    <mergeCell ref="Z51:AI51"/>
    <mergeCell ref="P73:Q73"/>
    <mergeCell ref="AN11:AT11"/>
    <mergeCell ref="AJ217:AT217"/>
    <mergeCell ref="AH269:AT275"/>
    <mergeCell ref="S91:W91"/>
    <mergeCell ref="AJ277:AT277"/>
    <mergeCell ref="S219:AE225"/>
    <mergeCell ref="O64:X64"/>
    <mergeCell ref="G62:X62"/>
    <mergeCell ref="F344:P344"/>
    <mergeCell ref="D267:E267"/>
    <mergeCell ref="D359:E359"/>
    <mergeCell ref="F267:P267"/>
    <mergeCell ref="AK15:AL15"/>
    <mergeCell ref="W51:X51"/>
    <mergeCell ref="U227:AE227"/>
    <mergeCell ref="D322:AT322"/>
    <mergeCell ref="AF26:AK26"/>
    <mergeCell ref="D44:X45"/>
    <mergeCell ref="AH278:AJ278"/>
    <mergeCell ref="D298:E298"/>
    <mergeCell ref="AK40:AT41"/>
    <mergeCell ref="D324:P328"/>
    <mergeCell ref="S268:U268"/>
    <mergeCell ref="AB4:AT4"/>
    <mergeCell ref="AH207:AI207"/>
    <mergeCell ref="AO188:AT188"/>
    <mergeCell ref="AJ207:AT207"/>
    <mergeCell ref="Z228:AE228"/>
    <mergeCell ref="P34:Q35"/>
    <mergeCell ref="O41:X41"/>
    <mergeCell ref="S188:U188"/>
    <mergeCell ref="A33:B59"/>
    <mergeCell ref="D19:J20"/>
    <mergeCell ref="D390:AT390"/>
    <mergeCell ref="AO208:AT208"/>
    <mergeCell ref="S331:AE335"/>
    <mergeCell ref="AK299:AN299"/>
    <mergeCell ref="AO248:AT248"/>
    <mergeCell ref="D288:F288"/>
    <mergeCell ref="F257:P257"/>
    <mergeCell ref="F359:P359"/>
    <mergeCell ref="AK84:AT84"/>
    <mergeCell ref="D138:AT141"/>
    <mergeCell ref="D113:AT116"/>
    <mergeCell ref="D217:E217"/>
    <mergeCell ref="AH298:AI298"/>
    <mergeCell ref="D37:AT37"/>
    <mergeCell ref="K258:P258"/>
    <mergeCell ref="D269:P275"/>
    <mergeCell ref="F217:P217"/>
    <mergeCell ref="Z248:AE248"/>
    <mergeCell ref="AK80:AT80"/>
    <mergeCell ref="U375:AE375"/>
    <mergeCell ref="Z65:AI65"/>
    <mergeCell ref="G238:J238"/>
    <mergeCell ref="G100:AT100"/>
    <mergeCell ref="Z299:AE299"/>
    <mergeCell ref="D256:AT256"/>
    <mergeCell ref="AH228:AJ228"/>
    <mergeCell ref="AE61:AO61"/>
    <mergeCell ref="D367:E367"/>
    <mergeCell ref="AH199:AT205"/>
    <mergeCell ref="V258:Y258"/>
    <mergeCell ref="S189:AE195"/>
    <mergeCell ref="AH197:AI197"/>
    <mergeCell ref="AJ344:AT344"/>
    <mergeCell ref="O58:V58"/>
    <mergeCell ref="D155:F155"/>
    <mergeCell ref="K238:P238"/>
    <mergeCell ref="D249:P255"/>
    <mergeCell ref="AQ15:AR15"/>
    <mergeCell ref="D149:F149"/>
    <mergeCell ref="AS15:AT15"/>
    <mergeCell ref="D207:E207"/>
    <mergeCell ref="D168:AT171"/>
    <mergeCell ref="K188:P188"/>
    <mergeCell ref="S197:T197"/>
    <mergeCell ref="D124:F124"/>
    <mergeCell ref="S330:T330"/>
    <mergeCell ref="D383:E383"/>
    <mergeCell ref="F207:P207"/>
    <mergeCell ref="U197:AE197"/>
    <mergeCell ref="U330:AE330"/>
    <mergeCell ref="D316:AT320"/>
    <mergeCell ref="F73:M73"/>
    <mergeCell ref="Z14:AI14"/>
    <mergeCell ref="P29:Q29"/>
    <mergeCell ref="AO48:AP48"/>
    <mergeCell ref="F74:M74"/>
    <mergeCell ref="Z15:AI15"/>
    <mergeCell ref="AJ337:AT337"/>
    <mergeCell ref="G84:AH84"/>
    <mergeCell ref="F76:M76"/>
    <mergeCell ref="D96:F97"/>
    <mergeCell ref="F298:P298"/>
    <mergeCell ref="AH218:AJ218"/>
    <mergeCell ref="D22:J22"/>
    <mergeCell ref="D65:M65"/>
    <mergeCell ref="L51:M51"/>
    <mergeCell ref="AH177:AI177"/>
    <mergeCell ref="D227:E227"/>
    <mergeCell ref="D48:F49"/>
    <mergeCell ref="AH11:AL11"/>
    <mergeCell ref="AP89:AT89"/>
    <mergeCell ref="D345:P349"/>
    <mergeCell ref="D156:AT159"/>
    <mergeCell ref="D199:P205"/>
    <mergeCell ref="Z40:AI41"/>
    <mergeCell ref="Z178:AE178"/>
    <mergeCell ref="AK238:AN238"/>
    <mergeCell ref="D338:P342"/>
    <mergeCell ref="G248:J248"/>
    <mergeCell ref="AB21:AH21"/>
    <mergeCell ref="V80:AC80"/>
    <mergeCell ref="S259:AE265"/>
    <mergeCell ref="J30:N31"/>
    <mergeCell ref="F88:J88"/>
    <mergeCell ref="F197:P197"/>
    <mergeCell ref="G118:AT118"/>
    <mergeCell ref="S352:AE356"/>
    <mergeCell ref="V268:Y268"/>
    <mergeCell ref="N75:O75"/>
    <mergeCell ref="AH279:AT285"/>
    <mergeCell ref="AJ287:AT287"/>
    <mergeCell ref="AP88:AT88"/>
    <mergeCell ref="Z59:AI59"/>
    <mergeCell ref="D257:E257"/>
    <mergeCell ref="D84:F85"/>
    <mergeCell ref="AB18:AH18"/>
    <mergeCell ref="AH383:AI383"/>
    <mergeCell ref="S279:AE285"/>
    <mergeCell ref="D68:F70"/>
    <mergeCell ref="AH323:AI323"/>
    <mergeCell ref="AK55:AR55"/>
    <mergeCell ref="AS16:AT16"/>
    <mergeCell ref="AK16:AL16"/>
    <mergeCell ref="S376:AE381"/>
    <mergeCell ref="AM26:AR26"/>
    <mergeCell ref="U391:AE391"/>
    <mergeCell ref="D218:F218"/>
    <mergeCell ref="D177:E177"/>
    <mergeCell ref="F77:M77"/>
    <mergeCell ref="D189:P195"/>
    <mergeCell ref="D33:N33"/>
    <mergeCell ref="AK228:AN228"/>
    <mergeCell ref="AM79:AT79"/>
    <mergeCell ref="S351:T351"/>
    <mergeCell ref="AH267:AI267"/>
    <mergeCell ref="T22:Z22"/>
    <mergeCell ref="L22:R22"/>
    <mergeCell ref="AD82:AE82"/>
    <mergeCell ref="AF82:AG82"/>
    <mergeCell ref="P25:Q25"/>
    <mergeCell ref="G124:AT124"/>
    <mergeCell ref="S257:T257"/>
    <mergeCell ref="S288:U288"/>
    <mergeCell ref="D176:AT176"/>
    <mergeCell ref="U359:AE359"/>
    <mergeCell ref="V81:AC81"/>
    <mergeCell ref="AK48:AN48"/>
    <mergeCell ref="W54:X54"/>
    <mergeCell ref="AJ21:AP21"/>
    <mergeCell ref="D279:P285"/>
    <mergeCell ref="G178:J178"/>
    <mergeCell ref="AJ237:AT237"/>
    <mergeCell ref="S269:AE275"/>
    <mergeCell ref="AH344:AI344"/>
    <mergeCell ref="U277:AE277"/>
    <mergeCell ref="F91:J91"/>
    <mergeCell ref="D40:M40"/>
    <mergeCell ref="AD77:AE77"/>
    <mergeCell ref="F72:M72"/>
    <mergeCell ref="H4:Z4"/>
    <mergeCell ref="AH289:AT295"/>
    <mergeCell ref="D100:F100"/>
    <mergeCell ref="AH238:AJ238"/>
    <mergeCell ref="AH247:AI247"/>
    <mergeCell ref="D323:E323"/>
    <mergeCell ref="N78:O78"/>
    <mergeCell ref="D276:AT276"/>
    <mergeCell ref="P78:Q78"/>
    <mergeCell ref="J34:N35"/>
    <mergeCell ref="AK58:AT58"/>
    <mergeCell ref="AM16:AN16"/>
    <mergeCell ref="D162:AT165"/>
    <mergeCell ref="AF33:AK33"/>
    <mergeCell ref="S237:T237"/>
    <mergeCell ref="F323:P323"/>
    <mergeCell ref="AD72:AE72"/>
    <mergeCell ref="D62:F63"/>
    <mergeCell ref="AF72:AG72"/>
    <mergeCell ref="AH219:AT225"/>
    <mergeCell ref="N80:O80"/>
    <mergeCell ref="C6:AR6"/>
    <mergeCell ref="AK75:AT76"/>
    <mergeCell ref="S384:AE389"/>
    <mergeCell ref="V71:AC71"/>
    <mergeCell ref="G137:AT137"/>
    <mergeCell ref="K91:M91"/>
    <mergeCell ref="D50:K50"/>
    <mergeCell ref="S278:U278"/>
    <mergeCell ref="S209:AE215"/>
    <mergeCell ref="D247:E247"/>
    <mergeCell ref="AK178:AN178"/>
    <mergeCell ref="D336:AT336"/>
    <mergeCell ref="D259:P265"/>
    <mergeCell ref="V73:AC73"/>
    <mergeCell ref="V218:Y218"/>
    <mergeCell ref="D268:F268"/>
    <mergeCell ref="AJ323:AT323"/>
    <mergeCell ref="S26:AD27"/>
    <mergeCell ref="U207:AE207"/>
    <mergeCell ref="AK278:AN278"/>
    <mergeCell ref="AH229:AT235"/>
    <mergeCell ref="AH300:AT306"/>
    <mergeCell ref="V77:AC77"/>
    <mergeCell ref="AK70:AT70"/>
    <mergeCell ref="D59:M59"/>
    <mergeCell ref="AU6:AU150"/>
    <mergeCell ref="G143:AT143"/>
    <mergeCell ref="AO299:AT299"/>
    <mergeCell ref="AK51:AR51"/>
    <mergeCell ref="S367:T367"/>
    <mergeCell ref="O55:V55"/>
    <mergeCell ref="S298:T298"/>
    <mergeCell ref="D125:AT128"/>
    <mergeCell ref="AO238:AT238"/>
    <mergeCell ref="Z50:AI50"/>
    <mergeCell ref="U298:AE298"/>
    <mergeCell ref="G288:J288"/>
    <mergeCell ref="AK198:AN198"/>
    <mergeCell ref="S248:U248"/>
    <mergeCell ref="AS47:AT47"/>
    <mergeCell ref="D25:N25"/>
    <mergeCell ref="AH187:AI187"/>
    <mergeCell ref="S227:T227"/>
    <mergeCell ref="F337:P337"/>
    <mergeCell ref="X91:Z91"/>
    <mergeCell ref="G112:AT112"/>
    <mergeCell ref="AH188:AJ188"/>
    <mergeCell ref="Z268:AE268"/>
    <mergeCell ref="Z39:AI39"/>
    <mergeCell ref="S228:U228"/>
    <mergeCell ref="S187:T187"/>
    <mergeCell ref="S199:AE205"/>
    <mergeCell ref="D237:E237"/>
    <mergeCell ref="Z54:AG54"/>
    <mergeCell ref="D238:F238"/>
    <mergeCell ref="D64:M64"/>
    <mergeCell ref="AS50:AT50"/>
    <mergeCell ref="V79:AC79"/>
    <mergeCell ref="AH331:AT335"/>
    <mergeCell ref="AD78:AE78"/>
    <mergeCell ref="K288:P288"/>
    <mergeCell ref="N81:O81"/>
    <mergeCell ref="AF78:AG78"/>
    <mergeCell ref="D209:P215"/>
    <mergeCell ref="P81:Q81"/>
    <mergeCell ref="D118:F118"/>
    <mergeCell ref="AK288:AN288"/>
    <mergeCell ref="AD80:AE80"/>
    <mergeCell ref="AF80:AG80"/>
    <mergeCell ref="U367:AE367"/>
    <mergeCell ref="D30:H31"/>
    <mergeCell ref="F330:P330"/>
    <mergeCell ref="G278:J278"/>
    <mergeCell ref="AL315:AT315"/>
    <mergeCell ref="V74:AC74"/>
    <mergeCell ref="AF92:AM92"/>
    <mergeCell ref="AH208:AJ208"/>
    <mergeCell ref="L54:M54"/>
    <mergeCell ref="AH268:AJ268"/>
    <mergeCell ref="S324:AE328"/>
    <mergeCell ref="AL308:AT308"/>
    <mergeCell ref="S344:T344"/>
    <mergeCell ref="O51:V51"/>
    <mergeCell ref="K92:M92"/>
    <mergeCell ref="AO228:AT228"/>
    <mergeCell ref="AH239:AT245"/>
    <mergeCell ref="O65:X65"/>
    <mergeCell ref="AB22:AH22"/>
    <mergeCell ref="AO178:AT178"/>
    <mergeCell ref="X11:AF11"/>
    <mergeCell ref="S375:T375"/>
    <mergeCell ref="AJ197:AT197"/>
    <mergeCell ref="D344:E344"/>
    <mergeCell ref="D297:AT297"/>
    <mergeCell ref="D258:F258"/>
    <mergeCell ref="N74:O74"/>
    <mergeCell ref="P74:Q74"/>
    <mergeCell ref="D136:AT136"/>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30 Z15 AF93 AF145 AK14 AK48 AK81 AK84 AN93">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8">
    <dataValidation sqref="AK87" showDropDown="0" showInputMessage="0" showErrorMessage="0" allowBlank="1" type="list">
      <formula1>"FORÇA,DESTREZA"</formula1>
    </dataValidation>
    <dataValidation sqref="K87:K92 X87:X91 Z59 AE62 AK59" showDropDown="0" showInputMessage="0" showErrorMessage="0" allowBlank="1" type="list">
      <formula1>"FORÇA,DESTREZA,CONSTITUIÇÃO,INTELIGÊNCIA,ESSÊNCIA"</formula1>
    </dataValidation>
    <dataValidation sqref="N11" showDropDown="0" showInputMessage="0" showErrorMessage="0" allowBlank="1" type="list">
      <formula1>DADOS!$AP$5:$AP$25</formula1>
    </dataValidation>
    <dataValidation sqref="AK15 AM15 AO15 AO48 AQ15 AQ48 AS15 AS48"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D40 O40" showDropDown="0" showInputMessage="0" showErrorMessage="0" allowBlank="1" type="list">
      <formula1>"0,1,2,3"</formula1>
    </dataValidation>
    <dataValidation sqref="AK73"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23" t="n"/>
      <c r="T6" s="123" t="n"/>
      <c r="U6" s="123" t="n"/>
    </row>
    <row r="7">
      <c r="A7" s="8" t="n"/>
      <c r="B7" s="14" t="n"/>
      <c r="C7" s="123" t="n"/>
      <c r="D7" s="124" t="inlineStr">
        <is>
          <t>Técnica</t>
        </is>
      </c>
      <c r="E7" s="124" t="inlineStr">
        <is>
          <t>Orçamento</t>
        </is>
      </c>
      <c r="F7" s="124" t="inlineStr">
        <is>
          <t>Feitiços</t>
        </is>
      </c>
      <c r="G7" s="124" t="inlineStr">
        <is>
          <t>Classe 0</t>
        </is>
      </c>
      <c r="H7" s="17" t="n"/>
      <c r="I7" s="123" t="n"/>
      <c r="J7" s="124" t="inlineStr">
        <is>
          <t>Liberação</t>
        </is>
      </c>
      <c r="K7" s="124" t="inlineStr">
        <is>
          <t>T. Máxima</t>
        </is>
      </c>
      <c r="L7" s="124" t="inlineStr">
        <is>
          <t>Domínio</t>
        </is>
      </c>
      <c r="M7" s="124" t="inlineStr">
        <is>
          <t>Talentos</t>
        </is>
      </c>
      <c r="N7" s="17" t="n"/>
      <c r="O7" s="123" t="n"/>
      <c r="P7" s="124" t="inlineStr">
        <is>
          <t>Aptidões</t>
        </is>
      </c>
      <c r="Q7" s="124" t="inlineStr">
        <is>
          <t>Pactos</t>
        </is>
      </c>
      <c r="R7" s="125" t="inlineStr">
        <is>
          <t>← Clique num nome para ir à seção</t>
        </is>
      </c>
      <c r="U7" s="123" t="n"/>
    </row>
    <row r="8">
      <c r="A8" s="48" t="inlineStr">
        <is>
          <t>CICLO MALDITO</t>
        </is>
      </c>
      <c r="B8" s="22" t="n"/>
      <c r="C8" s="123" t="n"/>
      <c r="D8" s="123" t="n"/>
      <c r="E8" s="123" t="n"/>
      <c r="F8" s="123" t="n"/>
      <c r="G8" s="123" t="n"/>
      <c r="H8" s="123" t="n"/>
      <c r="I8" s="123" t="n"/>
      <c r="J8" s="123" t="n"/>
      <c r="K8" s="123" t="n"/>
      <c r="L8" s="123" t="n"/>
      <c r="M8" s="123" t="n"/>
      <c r="N8" s="123" t="n"/>
      <c r="O8" s="123" t="n"/>
      <c r="P8" s="123" t="n"/>
      <c r="Q8" s="123" t="n"/>
      <c r="R8" s="123" t="n"/>
      <c r="S8" s="123" t="n"/>
      <c r="T8" s="123" t="n"/>
      <c r="U8" s="123" t="n"/>
    </row>
    <row r="9">
      <c r="B9" s="22" t="n"/>
      <c r="C9" s="123" t="n"/>
      <c r="D9" s="126" t="inlineStr">
        <is>
          <t>TÉCNICA</t>
        </is>
      </c>
      <c r="E9" s="19" t="n"/>
      <c r="F9" s="19" t="n"/>
      <c r="G9" s="19" t="n"/>
      <c r="H9" s="19" t="n"/>
      <c r="I9" s="19" t="n"/>
      <c r="J9" s="19" t="n"/>
      <c r="K9" s="19" t="n"/>
      <c r="L9" s="19" t="n"/>
      <c r="M9" s="19" t="n"/>
      <c r="N9" s="19" t="n"/>
      <c r="O9" s="19" t="n"/>
      <c r="P9" s="19" t="n"/>
      <c r="Q9" s="19" t="n"/>
      <c r="R9" s="19" t="n"/>
      <c r="S9" s="19" t="n"/>
      <c r="T9" s="20" t="n"/>
      <c r="U9" s="123" t="n"/>
    </row>
    <row r="10">
      <c r="B10" s="22" t="n"/>
      <c r="C10" s="123" t="n"/>
      <c r="D10" s="23" t="n"/>
      <c r="E10" s="24" t="n"/>
      <c r="F10" s="24" t="n"/>
      <c r="G10" s="24" t="n"/>
      <c r="H10" s="24" t="n"/>
      <c r="I10" s="24" t="n"/>
      <c r="J10" s="24" t="n"/>
      <c r="K10" s="24" t="n"/>
      <c r="L10" s="24" t="n"/>
      <c r="M10" s="24" t="n"/>
      <c r="N10" s="24" t="n"/>
      <c r="O10" s="24" t="n"/>
      <c r="P10" s="24" t="n"/>
      <c r="Q10" s="24" t="n"/>
      <c r="R10" s="24" t="n"/>
      <c r="S10" s="24" t="n"/>
      <c r="T10" s="25" t="n"/>
      <c r="U10" s="123" t="n"/>
    </row>
    <row r="11" outlineLevel="1">
      <c r="B11" s="22" t="n"/>
      <c r="C11" s="123" t="n"/>
      <c r="D11" s="55" t="inlineStr">
        <is>
          <t>NOME DA TÉCNICA</t>
        </is>
      </c>
      <c r="E11" s="16" t="n"/>
      <c r="F11" s="16" t="n"/>
      <c r="G11" s="16" t="n"/>
      <c r="H11" s="17" t="n"/>
      <c r="I11" s="123" t="n"/>
      <c r="J11" s="55" t="inlineStr">
        <is>
          <t>TIPO DE DANO</t>
        </is>
      </c>
      <c r="K11" s="17" t="n"/>
      <c r="L11" s="55" t="inlineStr">
        <is>
          <t>ATRIBUTO DA TÉCNICA</t>
        </is>
      </c>
      <c r="M11" s="16" t="n"/>
      <c r="N11" s="17" t="n"/>
      <c r="O11" s="123" t="n"/>
      <c r="P11" s="55" t="inlineStr">
        <is>
          <t>CONJURAÇÃO</t>
        </is>
      </c>
      <c r="Q11" s="17" t="n"/>
      <c r="R11" s="55" t="inlineStr">
        <is>
          <t>CD</t>
        </is>
      </c>
      <c r="S11" s="16" t="n"/>
      <c r="T11" s="17" t="n"/>
      <c r="U11" s="123" t="n"/>
    </row>
    <row r="12" outlineLevel="1">
      <c r="B12" s="22" t="n"/>
      <c r="C12" s="123" t="n"/>
      <c r="D12" s="85">
        <f>DADOS_AM!$KT$2</f>
        <v/>
      </c>
      <c r="E12" s="19" t="n"/>
      <c r="F12" s="19" t="n"/>
      <c r="G12" s="19" t="n"/>
      <c r="H12" s="20" t="n"/>
      <c r="I12" s="123" t="n"/>
      <c r="J12" s="85" t="n"/>
      <c r="K12" s="20" t="n"/>
      <c r="L12" s="85">
        <f>DADOS_AM!$KT$3</f>
        <v/>
      </c>
      <c r="M12" s="19" t="n"/>
      <c r="N12" s="20" t="n"/>
      <c r="O12" s="123" t="n"/>
      <c r="P12" s="96">
        <f>DADOS_AM!$KT$4</f>
        <v/>
      </c>
      <c r="Q12" s="20" t="n"/>
      <c r="R12" s="96">
        <f>DADOS_AM!$KT$5</f>
        <v/>
      </c>
      <c r="S12" s="19" t="n"/>
      <c r="T12" s="20" t="n"/>
      <c r="U12" s="123" t="n"/>
    </row>
    <row r="13" outlineLevel="1">
      <c r="B13" s="22" t="n"/>
      <c r="C13" s="123" t="n"/>
      <c r="D13" s="23" t="n"/>
      <c r="E13" s="24" t="n"/>
      <c r="F13" s="24" t="n"/>
      <c r="G13" s="24" t="n"/>
      <c r="H13" s="25" t="n"/>
      <c r="I13" s="123" t="n"/>
      <c r="J13" s="23" t="n"/>
      <c r="K13" s="25" t="n"/>
      <c r="L13" s="23" t="n"/>
      <c r="M13" s="24" t="n"/>
      <c r="N13" s="25" t="n"/>
      <c r="O13" s="123" t="n"/>
      <c r="P13" s="23" t="n"/>
      <c r="Q13" s="25" t="n"/>
      <c r="R13" s="23" t="n"/>
      <c r="S13" s="24" t="n"/>
      <c r="T13" s="25" t="n"/>
      <c r="U13" s="123" t="n"/>
    </row>
    <row r="14" outlineLevel="1">
      <c r="B14" s="22" t="n"/>
      <c r="C14" s="123" t="n"/>
      <c r="D14" s="123" t="n"/>
      <c r="E14" s="123" t="n"/>
      <c r="F14" s="123" t="n"/>
      <c r="G14" s="123" t="n"/>
      <c r="H14" s="123" t="n"/>
      <c r="I14" s="123" t="n"/>
      <c r="J14" s="123" t="n"/>
      <c r="K14" s="123" t="n"/>
      <c r="L14" s="123" t="n"/>
      <c r="M14" s="123" t="n"/>
      <c r="N14" s="123" t="n"/>
      <c r="O14" s="123" t="n"/>
      <c r="P14" s="123" t="n"/>
      <c r="Q14" s="123" t="n"/>
      <c r="R14" s="123" t="n"/>
      <c r="S14" s="123" t="n"/>
      <c r="T14" s="123" t="n"/>
      <c r="U14" s="123" t="n"/>
    </row>
    <row r="15" outlineLevel="1">
      <c r="B15" s="22" t="n"/>
      <c r="C15" s="123" t="n"/>
      <c r="D15" s="55" t="inlineStr">
        <is>
          <t>ROTA</t>
        </is>
      </c>
      <c r="E15" s="16" t="n"/>
      <c r="F15" s="16" t="n"/>
      <c r="G15" s="16" t="n"/>
      <c r="H15" s="17" t="n"/>
      <c r="I15" s="123" t="n"/>
      <c r="J15" s="55">
        <f>DADOS_AM!$KT$6</f>
        <v/>
      </c>
      <c r="K15" s="16" t="n"/>
      <c r="L15" s="16" t="n"/>
      <c r="M15" s="16" t="n"/>
      <c r="N15" s="17" t="n"/>
      <c r="O15" s="123" t="n"/>
      <c r="P15" s="55">
        <f>DADOS_AM!$KT$7</f>
        <v/>
      </c>
      <c r="Q15" s="16" t="n"/>
      <c r="R15" s="16" t="n"/>
      <c r="S15" s="16" t="n"/>
      <c r="T15" s="17" t="n"/>
      <c r="U15" s="123" t="n"/>
    </row>
    <row r="16" outlineLevel="1">
      <c r="B16" s="22" t="n"/>
      <c r="C16" s="123" t="n"/>
      <c r="D16" s="127">
        <f>DADOS_AM!$KT$8</f>
        <v/>
      </c>
      <c r="E16" s="16" t="n"/>
      <c r="F16" s="16" t="n"/>
      <c r="G16" s="16" t="n"/>
      <c r="H16" s="17" t="n"/>
      <c r="I16" s="123" t="n"/>
      <c r="J16" s="127" t="n"/>
      <c r="K16" s="16" t="n"/>
      <c r="L16" s="16" t="n"/>
      <c r="M16" s="16" t="n"/>
      <c r="N16" s="17" t="n"/>
      <c r="O16" s="123" t="n"/>
      <c r="P16" s="127">
        <f>DADOS_AM!$KT$9</f>
        <v/>
      </c>
      <c r="Q16" s="16" t="n"/>
      <c r="R16" s="16" t="n"/>
      <c r="S16" s="16" t="n"/>
      <c r="T16" s="17" t="n"/>
      <c r="U16" s="123" t="n"/>
    </row>
    <row r="17" outlineLevel="1">
      <c r="B17" s="22" t="n"/>
      <c r="C17" s="123" t="n"/>
      <c r="D17" s="55">
        <f>DADOS_AM!$KT$10</f>
        <v/>
      </c>
      <c r="E17" s="16" t="n"/>
      <c r="F17" s="16" t="n"/>
      <c r="G17" s="16" t="n"/>
      <c r="H17" s="17" t="n"/>
      <c r="I17" s="123" t="n"/>
      <c r="J17" s="55">
        <f>DADOS_AM!$KT$12</f>
        <v/>
      </c>
      <c r="K17" s="16" t="n"/>
      <c r="L17" s="16" t="n"/>
      <c r="M17" s="16" t="n"/>
      <c r="N17" s="17" t="n"/>
      <c r="O17" s="123" t="n"/>
      <c r="P17" s="55">
        <f>DADOS_AM!$KT$14</f>
        <v/>
      </c>
      <c r="Q17" s="16" t="n"/>
      <c r="R17" s="16" t="n"/>
      <c r="S17" s="16" t="n"/>
      <c r="T17" s="17" t="n"/>
      <c r="U17" s="123" t="n"/>
    </row>
    <row r="18" outlineLevel="1">
      <c r="B18" s="22" t="n"/>
      <c r="C18" s="123" t="n"/>
      <c r="D18" s="127" t="n"/>
      <c r="E18" s="16" t="n"/>
      <c r="F18" s="16" t="n"/>
      <c r="G18" s="16" t="n"/>
      <c r="H18" s="17" t="n"/>
      <c r="I18" s="123" t="n"/>
      <c r="J18" s="127" t="n"/>
      <c r="K18" s="16" t="n"/>
      <c r="L18" s="16" t="n"/>
      <c r="M18" s="16" t="n"/>
      <c r="N18" s="17" t="n"/>
      <c r="O18" s="123" t="n"/>
      <c r="P18" s="127" t="n"/>
      <c r="Q18" s="16" t="n"/>
      <c r="R18" s="16" t="n"/>
      <c r="S18" s="16" t="n"/>
      <c r="T18" s="17" t="n"/>
      <c r="U18" s="123" t="n"/>
    </row>
    <row r="19" outlineLevel="1">
      <c r="B19" s="22" t="n"/>
      <c r="C19" s="123" t="n"/>
      <c r="D19" s="127">
        <f>DADOS_AM!$KT$11</f>
        <v/>
      </c>
      <c r="E19" s="16" t="n"/>
      <c r="F19" s="16" t="n"/>
      <c r="G19" s="16" t="n"/>
      <c r="H19" s="17" t="n"/>
      <c r="I19" s="123" t="n"/>
      <c r="J19" s="127">
        <f>DADOS_AM!$KT$13</f>
        <v/>
      </c>
      <c r="K19" s="16" t="n"/>
      <c r="L19" s="16" t="n"/>
      <c r="M19" s="16" t="n"/>
      <c r="N19" s="17" t="n"/>
      <c r="O19" s="123" t="n"/>
      <c r="P19" s="127">
        <f>DADOS_AM!$KT$15</f>
        <v/>
      </c>
      <c r="Q19" s="16" t="n"/>
      <c r="R19" s="16" t="n"/>
      <c r="S19" s="16" t="n"/>
      <c r="T19" s="17" t="n"/>
      <c r="U19" s="123" t="n"/>
    </row>
    <row r="20" outlineLevel="1">
      <c r="B20" s="22" t="n"/>
      <c r="C20" s="123" t="n"/>
      <c r="D20" s="123" t="n"/>
      <c r="E20" s="123" t="n"/>
      <c r="F20" s="123" t="n"/>
      <c r="G20" s="123" t="n"/>
      <c r="H20" s="123" t="n"/>
      <c r="I20" s="123" t="n"/>
      <c r="J20" s="123" t="n"/>
      <c r="K20" s="123" t="n"/>
      <c r="L20" s="123" t="n"/>
      <c r="M20" s="123" t="n"/>
      <c r="N20" s="123" t="n"/>
      <c r="O20" s="123" t="n"/>
      <c r="P20" s="123" t="n"/>
      <c r="Q20" s="123" t="n"/>
      <c r="R20" s="123" t="n"/>
      <c r="S20" s="123" t="n"/>
      <c r="T20" s="123" t="n"/>
      <c r="U20" s="123" t="n"/>
    </row>
    <row r="21" outlineLevel="1">
      <c r="B21" s="22" t="n"/>
      <c r="C21" s="123" t="n"/>
      <c r="D21" s="55" t="inlineStr">
        <is>
          <t>REGRA</t>
        </is>
      </c>
      <c r="E21" s="16" t="n"/>
      <c r="F21" s="16" t="n"/>
      <c r="G21" s="16" t="n"/>
      <c r="H21" s="16" t="n"/>
      <c r="I21" s="16" t="n"/>
      <c r="J21" s="16" t="n"/>
      <c r="K21" s="16" t="n"/>
      <c r="L21" s="16" t="n"/>
      <c r="M21" s="16" t="n"/>
      <c r="N21" s="16" t="n"/>
      <c r="O21" s="16" t="n"/>
      <c r="P21" s="16" t="n"/>
      <c r="Q21" s="16" t="n"/>
      <c r="R21" s="16" t="n"/>
      <c r="S21" s="16" t="n"/>
      <c r="T21" s="17" t="n"/>
      <c r="U21" s="123" t="n"/>
    </row>
    <row r="22" outlineLevel="1">
      <c r="B22" s="22" t="n"/>
      <c r="C22" s="123" t="n"/>
      <c r="D22" s="119" t="n"/>
      <c r="E22" s="19" t="n"/>
      <c r="F22" s="19" t="n"/>
      <c r="G22" s="19" t="n"/>
      <c r="H22" s="19" t="n"/>
      <c r="I22" s="19" t="n"/>
      <c r="J22" s="19" t="n"/>
      <c r="K22" s="19" t="n"/>
      <c r="L22" s="19" t="n"/>
      <c r="M22" s="19" t="n"/>
      <c r="N22" s="19" t="n"/>
      <c r="O22" s="19" t="n"/>
      <c r="P22" s="19" t="n"/>
      <c r="Q22" s="19" t="n"/>
      <c r="R22" s="19" t="n"/>
      <c r="S22" s="19" t="n"/>
      <c r="T22" s="20" t="n"/>
      <c r="U22" s="123" t="n"/>
    </row>
    <row r="23" outlineLevel="1">
      <c r="B23" s="22" t="n"/>
      <c r="C23" s="123" t="n"/>
      <c r="D23" s="23" t="n"/>
      <c r="E23" s="24" t="n"/>
      <c r="F23" s="24" t="n"/>
      <c r="G23" s="24" t="n"/>
      <c r="H23" s="24" t="n"/>
      <c r="I23" s="24" t="n"/>
      <c r="J23" s="24" t="n"/>
      <c r="K23" s="24" t="n"/>
      <c r="L23" s="24" t="n"/>
      <c r="M23" s="24" t="n"/>
      <c r="N23" s="24" t="n"/>
      <c r="O23" s="24" t="n"/>
      <c r="P23" s="24" t="n"/>
      <c r="Q23" s="24" t="n"/>
      <c r="R23" s="24" t="n"/>
      <c r="S23" s="24" t="n"/>
      <c r="T23" s="25" t="n"/>
      <c r="U23" s="123" t="n"/>
    </row>
    <row r="24" outlineLevel="1">
      <c r="B24" s="22" t="n"/>
      <c r="C24" s="123" t="n"/>
      <c r="D24" s="123" t="n"/>
      <c r="E24" s="123" t="n"/>
      <c r="F24" s="123" t="n"/>
      <c r="G24" s="123" t="n"/>
      <c r="H24" s="123" t="n"/>
      <c r="I24" s="123" t="n"/>
      <c r="J24" s="123" t="n"/>
      <c r="K24" s="123" t="n"/>
      <c r="L24" s="123" t="n"/>
      <c r="M24" s="123" t="n"/>
      <c r="N24" s="123" t="n"/>
      <c r="O24" s="123" t="n"/>
      <c r="P24" s="123" t="n"/>
      <c r="Q24" s="123" t="n"/>
      <c r="R24" s="123" t="n"/>
      <c r="S24" s="123" t="n"/>
      <c r="T24" s="123" t="n"/>
      <c r="U24" s="123" t="n"/>
    </row>
    <row r="25" outlineLevel="1">
      <c r="B25" s="22" t="n"/>
      <c r="C25" s="123" t="n"/>
      <c r="D25" s="55" t="inlineStr">
        <is>
          <t>DESCRIÇÃO</t>
        </is>
      </c>
      <c r="E25" s="16" t="n"/>
      <c r="F25" s="16" t="n"/>
      <c r="G25" s="16" t="n"/>
      <c r="H25" s="16" t="n"/>
      <c r="I25" s="16" t="n"/>
      <c r="J25" s="16" t="n"/>
      <c r="K25" s="17" t="n"/>
      <c r="L25" s="55">
        <f>DADOS_AM!$KT$16</f>
        <v/>
      </c>
      <c r="M25" s="16" t="n"/>
      <c r="N25" s="16" t="n"/>
      <c r="O25" s="16" t="n"/>
      <c r="P25" s="16" t="n"/>
      <c r="Q25" s="16" t="n"/>
      <c r="R25" s="16" t="n"/>
      <c r="S25" s="16" t="n"/>
      <c r="T25" s="17" t="n"/>
      <c r="U25" s="123" t="n"/>
    </row>
    <row r="26" outlineLevel="1">
      <c r="B26" s="22" t="n"/>
      <c r="C26" s="123" t="n"/>
      <c r="D26" s="119" t="n"/>
      <c r="E26" s="19" t="n"/>
      <c r="F26" s="19" t="n"/>
      <c r="G26" s="19" t="n"/>
      <c r="H26" s="19" t="n"/>
      <c r="I26" s="19" t="n"/>
      <c r="J26" s="19" t="n"/>
      <c r="K26" s="20" t="n"/>
      <c r="L26" s="119" t="n"/>
      <c r="M26" s="19" t="n"/>
      <c r="N26" s="19" t="n"/>
      <c r="O26" s="19" t="n"/>
      <c r="P26" s="19" t="n"/>
      <c r="Q26" s="19" t="n"/>
      <c r="R26" s="19" t="n"/>
      <c r="S26" s="19" t="n"/>
      <c r="T26" s="20" t="n"/>
      <c r="U26" s="123" t="n"/>
    </row>
    <row r="27" outlineLevel="1">
      <c r="B27" s="22" t="n"/>
      <c r="C27" s="123" t="n"/>
      <c r="D27" s="21" t="n"/>
      <c r="K27" s="22" t="n"/>
      <c r="L27" s="23" t="n"/>
      <c r="M27" s="24" t="n"/>
      <c r="N27" s="24" t="n"/>
      <c r="O27" s="24" t="n"/>
      <c r="P27" s="24" t="n"/>
      <c r="Q27" s="24" t="n"/>
      <c r="R27" s="24" t="n"/>
      <c r="S27" s="24" t="n"/>
      <c r="T27" s="25" t="n"/>
      <c r="U27" s="123" t="n"/>
    </row>
    <row r="28" outlineLevel="1">
      <c r="B28" s="22" t="n"/>
      <c r="C28" s="123" t="n"/>
      <c r="D28" s="21" t="n"/>
      <c r="K28" s="22" t="n"/>
      <c r="L28" s="55" t="inlineStr">
        <is>
          <t>EXPRESSÃO DA TÉCNICA</t>
        </is>
      </c>
      <c r="M28" s="16" t="n"/>
      <c r="N28" s="16" t="n"/>
      <c r="O28" s="16" t="n"/>
      <c r="P28" s="16" t="n"/>
      <c r="Q28" s="16" t="n"/>
      <c r="R28" s="16" t="n"/>
      <c r="S28" s="16" t="n"/>
      <c r="T28" s="17" t="n"/>
      <c r="U28" s="123" t="n"/>
    </row>
    <row r="29" outlineLevel="1">
      <c r="B29" s="22" t="n"/>
      <c r="C29" s="123" t="n"/>
      <c r="D29" s="21" t="n"/>
      <c r="K29" s="22" t="n"/>
      <c r="L29" s="119" t="n"/>
      <c r="M29" s="19" t="n"/>
      <c r="N29" s="19" t="n"/>
      <c r="O29" s="19" t="n"/>
      <c r="P29" s="19" t="n"/>
      <c r="Q29" s="19" t="n"/>
      <c r="R29" s="19" t="n"/>
      <c r="S29" s="19" t="n"/>
      <c r="T29" s="20" t="n"/>
      <c r="U29" s="123" t="n"/>
    </row>
    <row r="30" outlineLevel="1">
      <c r="A30" s="8" t="n"/>
      <c r="B30" s="14" t="n"/>
      <c r="C30" s="123" t="n"/>
      <c r="D30" s="23" t="n"/>
      <c r="E30" s="24" t="n"/>
      <c r="F30" s="24" t="n"/>
      <c r="G30" s="24" t="n"/>
      <c r="H30" s="24" t="n"/>
      <c r="I30" s="24" t="n"/>
      <c r="J30" s="24" t="n"/>
      <c r="K30" s="25" t="n"/>
      <c r="L30" s="23" t="n"/>
      <c r="M30" s="24" t="n"/>
      <c r="N30" s="24" t="n"/>
      <c r="O30" s="24" t="n"/>
      <c r="P30" s="24" t="n"/>
      <c r="Q30" s="24" t="n"/>
      <c r="R30" s="24" t="n"/>
      <c r="S30" s="24" t="n"/>
      <c r="T30" s="25" t="n"/>
      <c r="U30" s="123" t="n"/>
    </row>
    <row r="31" outlineLevel="1">
      <c r="A31" s="8" t="n"/>
      <c r="B31" s="14" t="n"/>
      <c r="C31" s="123" t="n"/>
      <c r="D31" s="123" t="n"/>
      <c r="E31" s="123" t="n"/>
      <c r="F31" s="123" t="n"/>
      <c r="G31" s="123" t="n"/>
      <c r="H31" s="123" t="n"/>
      <c r="I31" s="123" t="n"/>
      <c r="J31" s="123" t="n"/>
      <c r="K31" s="123" t="n"/>
      <c r="L31" s="123" t="n"/>
      <c r="M31" s="123" t="n"/>
      <c r="N31" s="123" t="n"/>
      <c r="O31" s="123" t="n"/>
      <c r="P31" s="123" t="n"/>
      <c r="Q31" s="123" t="n"/>
      <c r="R31" s="123" t="n"/>
      <c r="S31" s="123" t="n"/>
      <c r="T31" s="123" t="n"/>
      <c r="U31" s="123" t="n"/>
    </row>
    <row r="32" outlineLevel="1">
      <c r="A32" s="8" t="n"/>
      <c r="B32" s="14" t="n"/>
      <c r="C32" s="123" t="n"/>
      <c r="D32" s="55" t="inlineStr">
        <is>
          <t>REGRA PRÓPRIA</t>
        </is>
      </c>
      <c r="E32" s="16" t="n"/>
      <c r="F32" s="16" t="n"/>
      <c r="G32" s="16" t="n"/>
      <c r="H32" s="16" t="n"/>
      <c r="I32" s="16" t="n"/>
      <c r="J32" s="16" t="n"/>
      <c r="K32" s="16" t="n"/>
      <c r="L32" s="16" t="n"/>
      <c r="M32" s="16" t="n"/>
      <c r="N32" s="17" t="n"/>
      <c r="O32" s="123" t="n"/>
      <c r="P32" s="55" t="inlineStr">
        <is>
          <t>CATEGORIA</t>
        </is>
      </c>
      <c r="Q32" s="17" t="n"/>
      <c r="R32" s="55" t="inlineStr">
        <is>
          <t>ESPAÇOS</t>
        </is>
      </c>
      <c r="S32" s="16" t="n"/>
      <c r="T32" s="17" t="n"/>
      <c r="U32" s="123" t="n"/>
    </row>
    <row r="33" outlineLevel="1">
      <c r="A33" s="48" t="inlineStr">
        <is>
          <t>FICHA AMALDIÇOADA</t>
        </is>
      </c>
      <c r="B33" s="22" t="n"/>
      <c r="C33" s="123" t="n"/>
      <c r="D33" s="119" t="n"/>
      <c r="E33" s="19" t="n"/>
      <c r="F33" s="19" t="n"/>
      <c r="G33" s="19" t="n"/>
      <c r="H33" s="19" t="n"/>
      <c r="I33" s="19" t="n"/>
      <c r="J33" s="19" t="n"/>
      <c r="K33" s="19" t="n"/>
      <c r="L33" s="19" t="n"/>
      <c r="M33" s="19" t="n"/>
      <c r="N33" s="20" t="n"/>
      <c r="O33" s="123" t="n"/>
      <c r="P33" s="127" t="n"/>
      <c r="Q33" s="20" t="n"/>
      <c r="R33" s="127">
        <f>DADOS_AM!$KT$17</f>
        <v/>
      </c>
      <c r="S33" s="19" t="n"/>
      <c r="T33" s="20" t="n"/>
      <c r="U33" s="123" t="n"/>
    </row>
    <row r="34" outlineLevel="1">
      <c r="B34" s="22" t="n"/>
      <c r="C34" s="123" t="n"/>
      <c r="D34" s="23" t="n"/>
      <c r="E34" s="24" t="n"/>
      <c r="F34" s="24" t="n"/>
      <c r="G34" s="24" t="n"/>
      <c r="H34" s="24" t="n"/>
      <c r="I34" s="24" t="n"/>
      <c r="J34" s="24" t="n"/>
      <c r="K34" s="24" t="n"/>
      <c r="L34" s="24" t="n"/>
      <c r="M34" s="24" t="n"/>
      <c r="N34" s="25" t="n"/>
      <c r="O34" s="123" t="n"/>
      <c r="P34" s="23" t="n"/>
      <c r="Q34" s="25" t="n"/>
      <c r="R34" s="23" t="n"/>
      <c r="S34" s="24" t="n"/>
      <c r="T34" s="25" t="n"/>
      <c r="U34" s="123" t="n"/>
    </row>
    <row r="35" outlineLevel="1">
      <c r="B35" s="22" t="n"/>
      <c r="C35" s="123" t="n"/>
      <c r="D35" s="123" t="n"/>
      <c r="E35" s="123" t="n"/>
      <c r="F35" s="123" t="n"/>
      <c r="G35" s="123" t="n"/>
      <c r="H35" s="123" t="n"/>
      <c r="I35" s="123" t="n"/>
      <c r="J35" s="123" t="n"/>
      <c r="K35" s="123" t="n"/>
      <c r="L35" s="123" t="n"/>
      <c r="M35" s="123" t="n"/>
      <c r="N35" s="123" t="n"/>
      <c r="O35" s="123" t="n"/>
      <c r="P35" s="123" t="n"/>
      <c r="Q35" s="123" t="n"/>
      <c r="R35" s="123" t="n"/>
      <c r="S35" s="123" t="n"/>
      <c r="T35" s="123" t="n"/>
      <c r="U35" s="123" t="n"/>
    </row>
    <row r="36" outlineLevel="1">
      <c r="B36" s="22" t="n"/>
      <c r="C36" s="123" t="n"/>
      <c r="D36" s="55" t="inlineStr">
        <is>
          <t>ALCANCE</t>
        </is>
      </c>
      <c r="E36" s="55" t="inlineStr">
        <is>
          <t>ÁREA</t>
        </is>
      </c>
      <c r="F36" s="55" t="inlineStr">
        <is>
          <t>MIRA</t>
        </is>
      </c>
      <c r="G36" s="55" t="inlineStr">
        <is>
          <t>CONTROLE</t>
        </is>
      </c>
      <c r="H36" s="17" t="n"/>
      <c r="I36" s="123" t="n"/>
      <c r="J36" s="55" t="inlineStr">
        <is>
          <t>AUXILIARES</t>
        </is>
      </c>
      <c r="K36" s="55" t="inlineStr">
        <is>
          <t>CASTIGO</t>
        </is>
      </c>
      <c r="L36" s="55" t="inlineStr">
        <is>
          <t>TEMPO</t>
        </is>
      </c>
      <c r="M36" s="55" t="inlineStr">
        <is>
          <t>MARCA</t>
        </is>
      </c>
      <c r="N36" s="17" t="n"/>
      <c r="O36" s="123" t="n"/>
      <c r="P36" s="55" t="inlineStr">
        <is>
          <t>AMPARO</t>
        </is>
      </c>
      <c r="Q36" s="55" t="inlineStr">
        <is>
          <t>LIVRES · FECHADAS</t>
        </is>
      </c>
      <c r="R36" s="16" t="n"/>
      <c r="S36" s="16" t="n"/>
      <c r="T36" s="17" t="n"/>
      <c r="U36" s="123" t="n"/>
    </row>
    <row r="37" outlineLevel="1">
      <c r="B37" s="22" t="n"/>
      <c r="C37" s="123" t="n"/>
      <c r="D37" s="127" t="inlineStr">
        <is>
          <t>Neutra</t>
        </is>
      </c>
      <c r="E37" s="127" t="inlineStr">
        <is>
          <t>Neutra</t>
        </is>
      </c>
      <c r="F37" s="127" t="inlineStr">
        <is>
          <t>Neutra</t>
        </is>
      </c>
      <c r="G37" s="127" t="inlineStr">
        <is>
          <t>Neutra</t>
        </is>
      </c>
      <c r="H37" s="17" t="n"/>
      <c r="I37" s="123" t="n"/>
      <c r="J37" s="127" t="inlineStr">
        <is>
          <t>Neutra</t>
        </is>
      </c>
      <c r="K37" s="127" t="inlineStr">
        <is>
          <t>Neutra</t>
        </is>
      </c>
      <c r="L37" s="127" t="inlineStr">
        <is>
          <t>Neutra</t>
        </is>
      </c>
      <c r="M37" s="127" t="inlineStr">
        <is>
          <t>Neutra</t>
        </is>
      </c>
      <c r="N37" s="17" t="n"/>
      <c r="O37" s="123" t="n"/>
      <c r="P37" s="127" t="inlineStr">
        <is>
          <t>Neutra</t>
        </is>
      </c>
      <c r="Q37" s="127">
        <f>DADOS_AM!$KT$18</f>
        <v/>
      </c>
      <c r="R37" s="16" t="n"/>
      <c r="S37" s="16" t="n"/>
      <c r="T37" s="17" t="n"/>
      <c r="U37" s="123" t="n"/>
    </row>
    <row r="38">
      <c r="B38" s="22" t="n"/>
      <c r="C38" s="123" t="n"/>
      <c r="D38" s="123" t="n"/>
      <c r="E38" s="123" t="n"/>
      <c r="F38" s="123" t="n"/>
      <c r="G38" s="123" t="n"/>
      <c r="H38" s="123" t="n"/>
      <c r="I38" s="123" t="n"/>
      <c r="J38" s="123" t="n"/>
      <c r="K38" s="123" t="n"/>
      <c r="L38" s="123" t="n"/>
      <c r="M38" s="123" t="n"/>
      <c r="N38" s="123" t="n"/>
      <c r="O38" s="123" t="n"/>
      <c r="P38" s="123" t="n"/>
      <c r="Q38" s="123" t="n"/>
      <c r="R38" s="123" t="n"/>
      <c r="S38" s="123" t="n"/>
      <c r="T38" s="123" t="n"/>
      <c r="U38" s="123" t="n"/>
    </row>
    <row r="39">
      <c r="B39" s="22" t="n"/>
      <c r="C39" s="123" t="n"/>
      <c r="D39" s="126" t="inlineStr">
        <is>
          <t>ORÇAMENTO</t>
        </is>
      </c>
      <c r="E39" s="19" t="n"/>
      <c r="F39" s="19" t="n"/>
      <c r="G39" s="19" t="n"/>
      <c r="H39" s="19" t="n"/>
      <c r="I39" s="19" t="n"/>
      <c r="J39" s="19" t="n"/>
      <c r="K39" s="19" t="n"/>
      <c r="L39" s="19" t="n"/>
      <c r="M39" s="19" t="n"/>
      <c r="N39" s="19" t="n"/>
      <c r="O39" s="19" t="n"/>
      <c r="P39" s="19" t="n"/>
      <c r="Q39" s="19" t="n"/>
      <c r="R39" s="19" t="n"/>
      <c r="S39" s="19" t="n"/>
      <c r="T39" s="20" t="n"/>
      <c r="U39" s="123" t="n"/>
    </row>
    <row r="40">
      <c r="B40" s="22" t="n"/>
      <c r="C40" s="123" t="n"/>
      <c r="D40" s="23" t="n"/>
      <c r="E40" s="24" t="n"/>
      <c r="F40" s="24" t="n"/>
      <c r="G40" s="24" t="n"/>
      <c r="H40" s="24" t="n"/>
      <c r="I40" s="24" t="n"/>
      <c r="J40" s="24" t="n"/>
      <c r="K40" s="24" t="n"/>
      <c r="L40" s="24" t="n"/>
      <c r="M40" s="24" t="n"/>
      <c r="N40" s="24" t="n"/>
      <c r="O40" s="24" t="n"/>
      <c r="P40" s="24" t="n"/>
      <c r="Q40" s="24" t="n"/>
      <c r="R40" s="24" t="n"/>
      <c r="S40" s="24" t="n"/>
      <c r="T40" s="25" t="n"/>
      <c r="U40" s="123" t="n"/>
    </row>
    <row r="41" outlineLevel="1">
      <c r="B41" s="22" t="n"/>
      <c r="C41" s="123" t="n"/>
      <c r="D41" s="55" t="inlineStr">
        <is>
          <t>MAIOR CLASSE</t>
        </is>
      </c>
      <c r="E41" s="17" t="n"/>
      <c r="F41" s="55" t="inlineStr">
        <is>
          <t>ESPAÇOS</t>
        </is>
      </c>
      <c r="G41" s="16" t="n"/>
      <c r="H41" s="17" t="n"/>
      <c r="I41" s="123" t="n"/>
      <c r="J41" s="55" t="inlineStr">
        <is>
          <t>DO LEQUE</t>
        </is>
      </c>
      <c r="K41" s="17" t="n"/>
      <c r="L41" s="55">
        <f>DADOS_AM!$KT$20</f>
        <v/>
      </c>
      <c r="M41" s="16" t="n"/>
      <c r="N41" s="17" t="n"/>
      <c r="O41" s="123" t="n"/>
      <c r="P41" s="55" t="inlineStr">
        <is>
          <t>EM TALENTOS</t>
        </is>
      </c>
      <c r="Q41" s="55" t="inlineStr">
        <is>
          <t>NO DOMÍNIO</t>
        </is>
      </c>
      <c r="R41" s="55" t="inlineStr">
        <is>
          <t>EM INVOCAÇÕES</t>
        </is>
      </c>
      <c r="S41" s="55" t="inlineStr">
        <is>
          <t>LIVRES</t>
        </is>
      </c>
      <c r="T41" s="17" t="n"/>
      <c r="U41" s="123" t="n"/>
    </row>
    <row r="42" outlineLevel="1">
      <c r="B42" s="22" t="n"/>
      <c r="C42" s="123" t="n"/>
      <c r="D42" s="96">
        <f>DADOS_AM!$HK$4</f>
        <v/>
      </c>
      <c r="E42" s="20" t="n"/>
      <c r="F42" s="96">
        <f>DADOS_AM!$HK$14</f>
        <v/>
      </c>
      <c r="G42" s="19" t="n"/>
      <c r="H42" s="20" t="n"/>
      <c r="I42" s="123" t="n"/>
      <c r="J42" s="96">
        <f>DADOS_AM!$KT$19</f>
        <v/>
      </c>
      <c r="K42" s="20" t="n"/>
      <c r="L42" s="96">
        <f>DADOS_AM!$HK$15</f>
        <v/>
      </c>
      <c r="M42" s="19" t="n"/>
      <c r="N42" s="20" t="n"/>
      <c r="O42" s="123" t="n"/>
      <c r="P42" s="96">
        <f>DADOS_AM!$KT$21</f>
        <v/>
      </c>
      <c r="Q42" s="96">
        <f>DADOS_AM!$KT$22</f>
        <v/>
      </c>
      <c r="R42" s="96">
        <f>DADOS_AM!$KT$23</f>
        <v/>
      </c>
      <c r="S42" s="96">
        <f>DADOS_AM!$KT$24</f>
        <v/>
      </c>
      <c r="T42" s="20" t="n"/>
      <c r="U42" s="123" t="n"/>
    </row>
    <row r="43" outlineLevel="1">
      <c r="B43" s="22" t="n"/>
      <c r="C43" s="123" t="n"/>
      <c r="D43" s="23" t="n"/>
      <c r="E43" s="25" t="n"/>
      <c r="F43" s="23" t="n"/>
      <c r="G43" s="24" t="n"/>
      <c r="H43" s="25" t="n"/>
      <c r="I43" s="123" t="n"/>
      <c r="J43" s="23" t="n"/>
      <c r="K43" s="25" t="n"/>
      <c r="L43" s="23" t="n"/>
      <c r="M43" s="24" t="n"/>
      <c r="N43" s="25" t="n"/>
      <c r="O43" s="123" t="n"/>
      <c r="P43" s="128" t="n"/>
      <c r="Q43" s="128" t="n"/>
      <c r="R43" s="128" t="n"/>
      <c r="S43" s="23" t="n"/>
      <c r="T43" s="25" t="n"/>
      <c r="U43" s="123" t="n"/>
    </row>
    <row r="44" outlineLevel="1">
      <c r="B44" s="22" t="n"/>
      <c r="C44" s="123" t="n"/>
      <c r="D44" s="123" t="n"/>
      <c r="E44" s="123" t="n"/>
      <c r="F44" s="123" t="n"/>
      <c r="G44" s="123" t="n"/>
      <c r="H44" s="123" t="n"/>
      <c r="I44" s="123" t="n"/>
      <c r="J44" s="123" t="n"/>
      <c r="K44" s="123" t="n"/>
      <c r="L44" s="123" t="n"/>
      <c r="M44" s="123" t="n"/>
      <c r="N44" s="123" t="n"/>
      <c r="O44" s="123" t="n"/>
      <c r="P44" s="123" t="n"/>
      <c r="Q44" s="123" t="n"/>
      <c r="R44" s="123" t="n"/>
      <c r="S44" s="123" t="n"/>
      <c r="T44" s="123" t="n"/>
      <c r="U44" s="123" t="n"/>
    </row>
    <row r="45" outlineLevel="1">
      <c r="B45" s="22" t="n"/>
      <c r="C45" s="123" t="n"/>
      <c r="D45" s="55" t="inlineStr">
        <is>
          <t>PREÇOS DA</t>
        </is>
      </c>
      <c r="E45" s="55" t="inlineStr">
        <is>
          <t>PONTOS E PE</t>
        </is>
      </c>
      <c r="F45" s="55" t="inlineStr">
        <is>
          <t>LEVE</t>
        </is>
      </c>
      <c r="G45" s="55" t="inlineStr">
        <is>
          <t>MÉDIA</t>
        </is>
      </c>
      <c r="H45" s="17" t="n"/>
      <c r="I45" s="123" t="n"/>
      <c r="J45" s="55" t="inlineStr">
        <is>
          <t>PESADA</t>
        </is>
      </c>
      <c r="K45" s="55" t="inlineStr">
        <is>
          <t>DEVOLUÇÃO MÁX.</t>
        </is>
      </c>
      <c r="L45" s="55" t="inlineStr">
        <is>
          <t>TETO DE DADOS</t>
        </is>
      </c>
      <c r="M45" s="55" t="inlineStr">
        <is>
          <t>MELHORIAS</t>
        </is>
      </c>
      <c r="N45" s="17" t="n"/>
      <c r="O45" s="123" t="n"/>
      <c r="P45" s="55" t="inlineStr">
        <is>
          <t>CLASSE 0</t>
        </is>
      </c>
      <c r="Q45" s="16" t="n"/>
      <c r="R45" s="16" t="n"/>
      <c r="S45" s="16" t="n"/>
      <c r="T45" s="17" t="n"/>
      <c r="U45" s="123" t="n"/>
    </row>
    <row r="46" outlineLevel="1">
      <c r="B46" s="22" t="n"/>
      <c r="C46" s="123" t="n"/>
      <c r="D46" s="129" t="n">
        <v>1</v>
      </c>
      <c r="E46" s="127">
        <f>DADOS_AM!$KT$25</f>
        <v/>
      </c>
      <c r="F46" s="127">
        <f>DADOS_AM!$KT$26</f>
        <v/>
      </c>
      <c r="G46" s="127">
        <f>DADOS_AM!$KT$27</f>
        <v/>
      </c>
      <c r="H46" s="17" t="n"/>
      <c r="I46" s="123" t="n"/>
      <c r="J46" s="127">
        <f>DADOS_AM!$KT$28</f>
        <v/>
      </c>
      <c r="K46" s="127">
        <f>DADOS_AM!$KT$29</f>
        <v/>
      </c>
      <c r="L46" s="127">
        <f>DADOS_AM!$KT$30</f>
        <v/>
      </c>
      <c r="M46" s="127">
        <f>DADOS_AM!$KT$31</f>
        <v/>
      </c>
      <c r="N46" s="17" t="n"/>
      <c r="O46" s="123" t="n"/>
      <c r="P46" s="127">
        <f>DADOS_AM!$KT$32</f>
        <v/>
      </c>
      <c r="Q46" s="16" t="n"/>
      <c r="R46" s="16" t="n"/>
      <c r="S46" s="16" t="n"/>
      <c r="T46" s="17" t="n"/>
      <c r="U46" s="123" t="n"/>
    </row>
    <row r="47">
      <c r="B47" s="22" t="n"/>
      <c r="C47" s="123" t="n"/>
      <c r="D47" s="123" t="n"/>
      <c r="E47" s="123" t="n"/>
      <c r="F47" s="123" t="n"/>
      <c r="G47" s="123" t="n"/>
      <c r="H47" s="123" t="n"/>
      <c r="I47" s="123" t="n"/>
      <c r="J47" s="123" t="n"/>
      <c r="K47" s="123" t="n"/>
      <c r="L47" s="123" t="n"/>
      <c r="M47" s="123" t="n"/>
      <c r="N47" s="123" t="n"/>
      <c r="O47" s="123" t="n"/>
      <c r="P47" s="123" t="n"/>
      <c r="Q47" s="123" t="n"/>
      <c r="R47" s="123" t="n"/>
      <c r="S47" s="123" t="n"/>
      <c r="T47" s="123" t="n"/>
      <c r="U47" s="123" t="n"/>
    </row>
    <row r="48">
      <c r="B48" s="22" t="n"/>
      <c r="C48" s="123" t="n"/>
      <c r="D48" s="126">
        <f>DADOS_AM!$KT$33</f>
        <v/>
      </c>
      <c r="E48" s="19" t="n"/>
      <c r="F48" s="19" t="n"/>
      <c r="G48" s="19" t="n"/>
      <c r="H48" s="19" t="n"/>
      <c r="I48" s="19" t="n"/>
      <c r="J48" s="19" t="n"/>
      <c r="K48" s="19" t="n"/>
      <c r="L48" s="19" t="n"/>
      <c r="M48" s="19" t="n"/>
      <c r="N48" s="19" t="n"/>
      <c r="O48" s="19" t="n"/>
      <c r="P48" s="19" t="n"/>
      <c r="Q48" s="19" t="n"/>
      <c r="R48" s="19" t="n"/>
      <c r="S48" s="19" t="n"/>
      <c r="T48" s="20" t="n"/>
      <c r="U48" s="123" t="n"/>
    </row>
    <row r="49">
      <c r="B49" s="22" t="n"/>
      <c r="C49" s="123" t="n"/>
      <c r="D49" s="23" t="n"/>
      <c r="E49" s="24" t="n"/>
      <c r="F49" s="24" t="n"/>
      <c r="G49" s="24" t="n"/>
      <c r="H49" s="24" t="n"/>
      <c r="I49" s="24" t="n"/>
      <c r="J49" s="24" t="n"/>
      <c r="K49" s="24" t="n"/>
      <c r="L49" s="24" t="n"/>
      <c r="M49" s="24" t="n"/>
      <c r="N49" s="24" t="n"/>
      <c r="O49" s="24" t="n"/>
      <c r="P49" s="24" t="n"/>
      <c r="Q49" s="24" t="n"/>
      <c r="R49" s="24" t="n"/>
      <c r="S49" s="24" t="n"/>
      <c r="T49" s="25" t="n"/>
      <c r="U49" s="123" t="n"/>
    </row>
    <row r="50" outlineLevel="1">
      <c r="B50" s="22" t="n"/>
      <c r="C50" s="123" t="n"/>
      <c r="D50" s="123" t="n"/>
      <c r="E50" s="123" t="n"/>
      <c r="F50" s="123" t="n"/>
      <c r="G50" s="123" t="n"/>
      <c r="H50" s="123" t="n"/>
      <c r="I50" s="123" t="n"/>
      <c r="J50" s="123" t="n"/>
      <c r="K50" s="123" t="n"/>
      <c r="L50" s="123" t="n"/>
      <c r="M50" s="123" t="n"/>
      <c r="N50" s="123" t="n"/>
      <c r="O50" s="123" t="n"/>
      <c r="P50" s="123" t="n"/>
      <c r="Q50" s="123" t="n"/>
      <c r="R50" s="123" t="n"/>
      <c r="S50" s="123" t="n"/>
      <c r="T50" s="123" t="n"/>
      <c r="U50" s="123" t="n"/>
    </row>
    <row r="51" outlineLevel="1">
      <c r="B51" s="22" t="n"/>
      <c r="C51" s="123" t="n"/>
      <c r="D51" s="130" t="n">
        <v>1</v>
      </c>
      <c r="E51" s="118" t="n"/>
      <c r="F51" s="17" t="n"/>
      <c r="G51" s="131">
        <f>DADOS_AM!$GN$2</f>
        <v/>
      </c>
      <c r="H51" s="17" t="n"/>
      <c r="I51" s="123" t="n"/>
      <c r="J51" s="130" t="n">
        <v>1</v>
      </c>
      <c r="K51" s="118" t="n"/>
      <c r="L51" s="17" t="n"/>
      <c r="M51" s="131">
        <f>DADOS_AM!$GN$3</f>
        <v/>
      </c>
      <c r="N51" s="17" t="n"/>
      <c r="O51" s="123" t="n"/>
      <c r="P51" s="130" t="n">
        <v>1</v>
      </c>
      <c r="Q51" s="118" t="n"/>
      <c r="R51" s="17" t="n"/>
      <c r="S51" s="131">
        <f>DADOS_AM!$GN$4</f>
        <v/>
      </c>
      <c r="T51" s="17" t="n"/>
      <c r="U51" s="123" t="n"/>
    </row>
    <row r="52" outlineLevel="2">
      <c r="B52" s="22" t="n"/>
      <c r="C52" s="123" t="n"/>
      <c r="D52" s="55" t="inlineStr">
        <is>
          <t>COMO É</t>
        </is>
      </c>
      <c r="E52" s="16" t="n"/>
      <c r="F52" s="16" t="n"/>
      <c r="G52" s="16" t="n"/>
      <c r="H52" s="17" t="n"/>
      <c r="I52" s="123" t="n"/>
      <c r="J52" s="55" t="inlineStr">
        <is>
          <t>COMO É</t>
        </is>
      </c>
      <c r="K52" s="16" t="n"/>
      <c r="L52" s="16" t="n"/>
      <c r="M52" s="16" t="n"/>
      <c r="N52" s="17" t="n"/>
      <c r="O52" s="123" t="n"/>
      <c r="P52" s="55" t="inlineStr">
        <is>
          <t>COMO É</t>
        </is>
      </c>
      <c r="Q52" s="16" t="n"/>
      <c r="R52" s="16" t="n"/>
      <c r="S52" s="16" t="n"/>
      <c r="T52" s="17" t="n"/>
      <c r="U52" s="123" t="n"/>
    </row>
    <row r="53" outlineLevel="2">
      <c r="B53" s="22" t="n"/>
      <c r="C53" s="123" t="n"/>
      <c r="D53" s="119" t="n"/>
      <c r="E53" s="19" t="n"/>
      <c r="F53" s="19" t="n"/>
      <c r="G53" s="19" t="n"/>
      <c r="H53" s="20" t="n"/>
      <c r="I53" s="123" t="n"/>
      <c r="J53" s="119" t="n"/>
      <c r="K53" s="19" t="n"/>
      <c r="L53" s="19" t="n"/>
      <c r="M53" s="19" t="n"/>
      <c r="N53" s="20" t="n"/>
      <c r="O53" s="123" t="n"/>
      <c r="P53" s="119" t="n"/>
      <c r="Q53" s="19" t="n"/>
      <c r="R53" s="19" t="n"/>
      <c r="S53" s="19" t="n"/>
      <c r="T53" s="20" t="n"/>
      <c r="U53" s="123" t="n"/>
    </row>
    <row r="54" outlineLevel="2">
      <c r="B54" s="22" t="n"/>
      <c r="C54" s="123" t="n"/>
      <c r="D54" s="21" t="n"/>
      <c r="H54" s="22" t="n"/>
      <c r="I54" s="123" t="n"/>
      <c r="J54" s="21" t="n"/>
      <c r="N54" s="22" t="n"/>
      <c r="O54" s="123" t="n"/>
      <c r="P54" s="21" t="n"/>
      <c r="T54" s="22" t="n"/>
      <c r="U54" s="123" t="n"/>
    </row>
    <row r="55" outlineLevel="2">
      <c r="B55" s="22" t="n"/>
      <c r="C55" s="123" t="n"/>
      <c r="D55" s="21" t="n"/>
      <c r="H55" s="22" t="n"/>
      <c r="I55" s="123" t="n"/>
      <c r="J55" s="21" t="n"/>
      <c r="N55" s="22" t="n"/>
      <c r="O55" s="123" t="n"/>
      <c r="P55" s="21" t="n"/>
      <c r="T55" s="22" t="n"/>
      <c r="U55" s="123" t="n"/>
    </row>
    <row r="56" outlineLevel="2">
      <c r="B56" s="22" t="n"/>
      <c r="C56" s="123" t="n"/>
      <c r="D56" s="21" t="n"/>
      <c r="H56" s="22" t="n"/>
      <c r="I56" s="123" t="n"/>
      <c r="J56" s="21" t="n"/>
      <c r="N56" s="22" t="n"/>
      <c r="O56" s="123" t="n"/>
      <c r="P56" s="21" t="n"/>
      <c r="T56" s="22" t="n"/>
      <c r="U56" s="123" t="n"/>
    </row>
    <row r="57" outlineLevel="2">
      <c r="B57" s="22" t="n"/>
      <c r="C57" s="123" t="n"/>
      <c r="D57" s="23" t="n"/>
      <c r="E57" s="24" t="n"/>
      <c r="F57" s="24" t="n"/>
      <c r="G57" s="24" t="n"/>
      <c r="H57" s="25" t="n"/>
      <c r="I57" s="123" t="n"/>
      <c r="J57" s="23" t="n"/>
      <c r="K57" s="24" t="n"/>
      <c r="L57" s="24" t="n"/>
      <c r="M57" s="24" t="n"/>
      <c r="N57" s="25" t="n"/>
      <c r="O57" s="123" t="n"/>
      <c r="P57" s="23" t="n"/>
      <c r="Q57" s="24" t="n"/>
      <c r="R57" s="24" t="n"/>
      <c r="S57" s="24" t="n"/>
      <c r="T57" s="25" t="n"/>
      <c r="U57" s="123" t="n"/>
    </row>
    <row r="58" outlineLevel="1">
      <c r="B58" s="22" t="n"/>
      <c r="C58" s="123" t="n"/>
      <c r="D58" s="127" t="inlineStr">
        <is>
          <t>Projétil</t>
        </is>
      </c>
      <c r="E58" s="68">
        <f>DADOS_AM!$GS$2</f>
        <v/>
      </c>
      <c r="F58" s="68">
        <f>DADOS_AM!$GP$2</f>
        <v/>
      </c>
      <c r="G58" s="127">
        <f>DADOS_AM!$GR$2</f>
        <v/>
      </c>
      <c r="H58" s="17" t="n"/>
      <c r="I58" s="123" t="n"/>
      <c r="J58" s="127" t="inlineStr">
        <is>
          <t>Projétil</t>
        </is>
      </c>
      <c r="K58" s="68">
        <f>DADOS_AM!$GS$3</f>
        <v/>
      </c>
      <c r="L58" s="68">
        <f>DADOS_AM!$GP$3</f>
        <v/>
      </c>
      <c r="M58" s="127">
        <f>DADOS_AM!$GR$3</f>
        <v/>
      </c>
      <c r="N58" s="17" t="n"/>
      <c r="O58" s="123" t="n"/>
      <c r="P58" s="127" t="inlineStr">
        <is>
          <t>Projétil</t>
        </is>
      </c>
      <c r="Q58" s="68">
        <f>DADOS_AM!$GS$4</f>
        <v/>
      </c>
      <c r="R58" s="68">
        <f>DADOS_AM!$GP$4</f>
        <v/>
      </c>
      <c r="S58" s="127">
        <f>DADOS_AM!$GR$4</f>
        <v/>
      </c>
      <c r="T58" s="17" t="n"/>
      <c r="U58" s="123" t="n"/>
    </row>
    <row r="59" outlineLevel="1">
      <c r="B59" s="22" t="n"/>
      <c r="C59" s="123" t="n"/>
      <c r="D59" s="127">
        <f>DADOS_AM!$GQ$2</f>
        <v/>
      </c>
      <c r="E59" s="132">
        <f>DADOS_AM!$GX$2</f>
        <v/>
      </c>
      <c r="F59" s="16" t="n"/>
      <c r="G59" s="16" t="n"/>
      <c r="H59" s="17" t="n"/>
      <c r="I59" s="123" t="n"/>
      <c r="J59" s="127">
        <f>DADOS_AM!$GQ$3</f>
        <v/>
      </c>
      <c r="K59" s="132">
        <f>DADOS_AM!$GX$3</f>
        <v/>
      </c>
      <c r="L59" s="16" t="n"/>
      <c r="M59" s="16" t="n"/>
      <c r="N59" s="17" t="n"/>
      <c r="O59" s="123" t="n"/>
      <c r="P59" s="127">
        <f>DADOS_AM!$GQ$4</f>
        <v/>
      </c>
      <c r="Q59" s="132">
        <f>DADOS_AM!$GX$4</f>
        <v/>
      </c>
      <c r="R59" s="16" t="n"/>
      <c r="S59" s="16" t="n"/>
      <c r="T59" s="17" t="n"/>
      <c r="U59" s="123" t="n"/>
    </row>
    <row r="60" outlineLevel="2">
      <c r="A60" s="8" t="n"/>
      <c r="B60" s="14" t="n"/>
      <c r="C60" s="123" t="n"/>
      <c r="D60" s="55" t="inlineStr">
        <is>
          <t>MELHORIAS</t>
        </is>
      </c>
      <c r="E60" s="133" t="n"/>
      <c r="F60" s="17" t="n"/>
      <c r="G60" s="132">
        <f>DADOS_AM!$HA$2</f>
        <v/>
      </c>
      <c r="H60" s="17" t="n"/>
      <c r="I60" s="123" t="n"/>
      <c r="J60" s="55" t="inlineStr">
        <is>
          <t>MELHORIAS</t>
        </is>
      </c>
      <c r="K60" s="133" t="n"/>
      <c r="L60" s="17" t="n"/>
      <c r="M60" s="132">
        <f>DADOS_AM!$HA$3</f>
        <v/>
      </c>
      <c r="N60" s="17" t="n"/>
      <c r="O60" s="123" t="n"/>
      <c r="P60" s="55" t="inlineStr">
        <is>
          <t>MELHORIAS</t>
        </is>
      </c>
      <c r="Q60" s="133" t="n"/>
      <c r="R60" s="17" t="n"/>
      <c r="S60" s="132">
        <f>DADOS_AM!$HA$4</f>
        <v/>
      </c>
      <c r="T60" s="17" t="n"/>
      <c r="U60" s="123" t="n"/>
    </row>
    <row r="61" outlineLevel="2">
      <c r="A61" s="8" t="n"/>
      <c r="B61" s="14" t="n"/>
      <c r="C61" s="123" t="n"/>
      <c r="D61" s="134" t="n"/>
      <c r="E61" s="133" t="n"/>
      <c r="F61" s="17" t="n"/>
      <c r="G61" s="132">
        <f>DADOS_AM!$HB$2</f>
        <v/>
      </c>
      <c r="H61" s="17" t="n"/>
      <c r="I61" s="123" t="n"/>
      <c r="J61" s="134" t="n"/>
      <c r="K61" s="133" t="n"/>
      <c r="L61" s="17" t="n"/>
      <c r="M61" s="132">
        <f>DADOS_AM!$HB$3</f>
        <v/>
      </c>
      <c r="N61" s="17" t="n"/>
      <c r="O61" s="123" t="n"/>
      <c r="P61" s="134" t="n"/>
      <c r="Q61" s="133" t="n"/>
      <c r="R61" s="17" t="n"/>
      <c r="S61" s="132">
        <f>DADOS_AM!$HB$4</f>
        <v/>
      </c>
      <c r="T61" s="17" t="n"/>
      <c r="U61" s="123" t="n"/>
    </row>
    <row r="62" outlineLevel="2">
      <c r="A62" s="8" t="n"/>
      <c r="B62" s="14" t="n"/>
      <c r="C62" s="123" t="n"/>
      <c r="D62" s="134" t="n"/>
      <c r="E62" s="133" t="n"/>
      <c r="F62" s="17" t="n"/>
      <c r="G62" s="132">
        <f>DADOS_AM!$HC$2</f>
        <v/>
      </c>
      <c r="H62" s="17" t="n"/>
      <c r="I62" s="123" t="n"/>
      <c r="J62" s="134" t="n"/>
      <c r="K62" s="133" t="n"/>
      <c r="L62" s="17" t="n"/>
      <c r="M62" s="132">
        <f>DADOS_AM!$HC$3</f>
        <v/>
      </c>
      <c r="N62" s="17" t="n"/>
      <c r="O62" s="123" t="n"/>
      <c r="P62" s="134" t="n"/>
      <c r="Q62" s="133" t="n"/>
      <c r="R62" s="17" t="n"/>
      <c r="S62" s="132">
        <f>DADOS_AM!$HC$4</f>
        <v/>
      </c>
      <c r="T62" s="17" t="n"/>
      <c r="U62" s="123" t="n"/>
    </row>
    <row r="63" outlineLevel="2">
      <c r="A63" s="8" t="n"/>
      <c r="B63" s="14" t="n"/>
      <c r="C63" s="123" t="n"/>
      <c r="D63" s="128" t="n"/>
      <c r="E63" s="133" t="n"/>
      <c r="F63" s="17" t="n"/>
      <c r="G63" s="132">
        <f>DADOS_AM!$HD$2</f>
        <v/>
      </c>
      <c r="H63" s="17" t="n"/>
      <c r="I63" s="123" t="n"/>
      <c r="J63" s="128" t="n"/>
      <c r="K63" s="133" t="n"/>
      <c r="L63" s="17" t="n"/>
      <c r="M63" s="132">
        <f>DADOS_AM!$HD$3</f>
        <v/>
      </c>
      <c r="N63" s="17" t="n"/>
      <c r="O63" s="123" t="n"/>
      <c r="P63" s="128" t="n"/>
      <c r="Q63" s="133" t="n"/>
      <c r="R63" s="17" t="n"/>
      <c r="S63" s="132">
        <f>DADOS_AM!$HD$4</f>
        <v/>
      </c>
      <c r="T63" s="17" t="n"/>
      <c r="U63" s="123" t="n"/>
    </row>
    <row r="64" outlineLevel="2">
      <c r="A64" s="8" t="n"/>
      <c r="B64" s="14" t="n"/>
      <c r="C64" s="123" t="n"/>
      <c r="D64" s="55" t="inlineStr">
        <is>
          <t>RESTRIÇÕES</t>
        </is>
      </c>
      <c r="E64" s="133" t="n"/>
      <c r="F64" s="17" t="n"/>
      <c r="G64" s="132">
        <f>DADOS_AM!$HE$2</f>
        <v/>
      </c>
      <c r="H64" s="17" t="n"/>
      <c r="I64" s="123" t="n"/>
      <c r="J64" s="55" t="inlineStr">
        <is>
          <t>RESTRIÇÕES</t>
        </is>
      </c>
      <c r="K64" s="133" t="n"/>
      <c r="L64" s="17" t="n"/>
      <c r="M64" s="132">
        <f>DADOS_AM!$HE$3</f>
        <v/>
      </c>
      <c r="N64" s="17" t="n"/>
      <c r="O64" s="123" t="n"/>
      <c r="P64" s="55" t="inlineStr">
        <is>
          <t>RESTRIÇÕES</t>
        </is>
      </c>
      <c r="Q64" s="133" t="n"/>
      <c r="R64" s="17" t="n"/>
      <c r="S64" s="132">
        <f>DADOS_AM!$HE$4</f>
        <v/>
      </c>
      <c r="T64" s="17" t="n"/>
      <c r="U64" s="123" t="n"/>
    </row>
    <row r="65" outlineLevel="2">
      <c r="A65" s="8" t="n"/>
      <c r="B65" s="14" t="n"/>
      <c r="C65" s="123" t="n"/>
      <c r="D65" s="128" t="n"/>
      <c r="E65" s="133" t="n"/>
      <c r="F65" s="17" t="n"/>
      <c r="G65" s="132">
        <f>DADOS_AM!$HF$2</f>
        <v/>
      </c>
      <c r="H65" s="17" t="n"/>
      <c r="I65" s="123" t="n"/>
      <c r="J65" s="128" t="n"/>
      <c r="K65" s="133" t="n"/>
      <c r="L65" s="17" t="n"/>
      <c r="M65" s="132">
        <f>DADOS_AM!$HF$3</f>
        <v/>
      </c>
      <c r="N65" s="17" t="n"/>
      <c r="O65" s="123" t="n"/>
      <c r="P65" s="128" t="n"/>
      <c r="Q65" s="133" t="n"/>
      <c r="R65" s="17" t="n"/>
      <c r="S65" s="132">
        <f>DADOS_AM!$HF$4</f>
        <v/>
      </c>
      <c r="T65" s="17" t="n"/>
      <c r="U65" s="123" t="n"/>
    </row>
    <row r="66" outlineLevel="2">
      <c r="A66" s="8" t="n"/>
      <c r="B66" s="14" t="n"/>
      <c r="C66" s="123" t="n"/>
      <c r="D66" s="55" t="inlineStr">
        <is>
          <t>CONTA</t>
        </is>
      </c>
      <c r="E66" s="135">
        <f>DADOS_AM!$GY$2</f>
        <v/>
      </c>
      <c r="F66" s="16" t="n"/>
      <c r="G66" s="16" t="n"/>
      <c r="H66" s="17" t="n"/>
      <c r="I66" s="123" t="n"/>
      <c r="J66" s="55" t="inlineStr">
        <is>
          <t>CONTA</t>
        </is>
      </c>
      <c r="K66" s="135">
        <f>DADOS_AM!$GY$3</f>
        <v/>
      </c>
      <c r="L66" s="16" t="n"/>
      <c r="M66" s="16" t="n"/>
      <c r="N66" s="17" t="n"/>
      <c r="O66" s="123" t="n"/>
      <c r="P66" s="55" t="inlineStr">
        <is>
          <t>CONTA</t>
        </is>
      </c>
      <c r="Q66" s="135">
        <f>DADOS_AM!$GY$4</f>
        <v/>
      </c>
      <c r="R66" s="16" t="n"/>
      <c r="S66" s="16" t="n"/>
      <c r="T66" s="17" t="n"/>
      <c r="U66" s="123" t="n"/>
    </row>
    <row r="67" outlineLevel="2">
      <c r="A67" s="8" t="n"/>
      <c r="B67" s="14" t="n"/>
      <c r="C67" s="123" t="n"/>
      <c r="D67" s="55" t="inlineStr">
        <is>
          <t>AMPLIAR</t>
        </is>
      </c>
      <c r="E67" s="135">
        <f>DADOS_AM!$GZ$2</f>
        <v/>
      </c>
      <c r="F67" s="19" t="n"/>
      <c r="G67" s="19" t="n"/>
      <c r="H67" s="20" t="n"/>
      <c r="I67" s="123" t="n"/>
      <c r="J67" s="55" t="inlineStr">
        <is>
          <t>AMPLIAR</t>
        </is>
      </c>
      <c r="K67" s="135">
        <f>DADOS_AM!$GZ$3</f>
        <v/>
      </c>
      <c r="L67" s="19" t="n"/>
      <c r="M67" s="19" t="n"/>
      <c r="N67" s="20" t="n"/>
      <c r="O67" s="123" t="n"/>
      <c r="P67" s="55" t="inlineStr">
        <is>
          <t>AMPLIAR</t>
        </is>
      </c>
      <c r="Q67" s="135">
        <f>DADOS_AM!$GZ$4</f>
        <v/>
      </c>
      <c r="R67" s="19" t="n"/>
      <c r="S67" s="19" t="n"/>
      <c r="T67" s="20" t="n"/>
      <c r="U67" s="123" t="n"/>
    </row>
    <row r="68" outlineLevel="2">
      <c r="A68" s="8" t="n"/>
      <c r="B68" s="14" t="n"/>
      <c r="C68" s="123" t="n"/>
      <c r="D68" s="128" t="n"/>
      <c r="E68" s="23" t="n"/>
      <c r="F68" s="24" t="n"/>
      <c r="G68" s="24" t="n"/>
      <c r="H68" s="25" t="n"/>
      <c r="I68" s="123" t="n"/>
      <c r="J68" s="128" t="n"/>
      <c r="K68" s="23" t="n"/>
      <c r="L68" s="24" t="n"/>
      <c r="M68" s="24" t="n"/>
      <c r="N68" s="25" t="n"/>
      <c r="O68" s="123" t="n"/>
      <c r="P68" s="128" t="n"/>
      <c r="Q68" s="23" t="n"/>
      <c r="R68" s="24" t="n"/>
      <c r="S68" s="24" t="n"/>
      <c r="T68" s="25" t="n"/>
      <c r="U68" s="123" t="n"/>
    </row>
    <row r="69" outlineLevel="2">
      <c r="A69" s="8" t="n"/>
      <c r="B69" s="14" t="n"/>
      <c r="C69" s="123" t="n"/>
      <c r="D69" s="55" t="inlineStr">
        <is>
          <t>AVISOS</t>
        </is>
      </c>
      <c r="E69" s="135">
        <f>DADOS_AM!$GO$2</f>
        <v/>
      </c>
      <c r="F69" s="19" t="n"/>
      <c r="G69" s="19" t="n"/>
      <c r="H69" s="20" t="n"/>
      <c r="I69" s="123" t="n"/>
      <c r="J69" s="55" t="inlineStr">
        <is>
          <t>AVISOS</t>
        </is>
      </c>
      <c r="K69" s="135">
        <f>DADOS_AM!$GO$3</f>
        <v/>
      </c>
      <c r="L69" s="19" t="n"/>
      <c r="M69" s="19" t="n"/>
      <c r="N69" s="20" t="n"/>
      <c r="O69" s="123" t="n"/>
      <c r="P69" s="55" t="inlineStr">
        <is>
          <t>AVISOS</t>
        </is>
      </c>
      <c r="Q69" s="135">
        <f>DADOS_AM!$GO$4</f>
        <v/>
      </c>
      <c r="R69" s="19" t="n"/>
      <c r="S69" s="19" t="n"/>
      <c r="T69" s="20" t="n"/>
      <c r="U69" s="123" t="n"/>
    </row>
    <row r="70" outlineLevel="2">
      <c r="A70" s="8" t="n"/>
      <c r="B70" s="14" t="n"/>
      <c r="C70" s="123" t="n"/>
      <c r="D70" s="128" t="n"/>
      <c r="E70" s="23" t="n"/>
      <c r="F70" s="24" t="n"/>
      <c r="G70" s="24" t="n"/>
      <c r="H70" s="25" t="n"/>
      <c r="I70" s="123" t="n"/>
      <c r="J70" s="128" t="n"/>
      <c r="K70" s="23" t="n"/>
      <c r="L70" s="24" t="n"/>
      <c r="M70" s="24" t="n"/>
      <c r="N70" s="25" t="n"/>
      <c r="O70" s="123" t="n"/>
      <c r="P70" s="128" t="n"/>
      <c r="Q70" s="23" t="n"/>
      <c r="R70" s="24" t="n"/>
      <c r="S70" s="24" t="n"/>
      <c r="T70" s="25" t="n"/>
      <c r="U70" s="123" t="n"/>
    </row>
    <row r="71" outlineLevel="1">
      <c r="A71" s="8" t="n"/>
      <c r="B71" s="14" t="n"/>
      <c r="C71" s="123" t="n"/>
      <c r="D71" s="123" t="n"/>
      <c r="E71" s="123" t="n"/>
      <c r="F71" s="123" t="n"/>
      <c r="G71" s="123" t="n"/>
      <c r="H71" s="123" t="n"/>
      <c r="I71" s="123" t="n"/>
      <c r="J71" s="123" t="n"/>
      <c r="K71" s="123" t="n"/>
      <c r="L71" s="123" t="n"/>
      <c r="M71" s="123" t="n"/>
      <c r="N71" s="123" t="n"/>
      <c r="O71" s="123" t="n"/>
      <c r="P71" s="123" t="n"/>
      <c r="Q71" s="123" t="n"/>
      <c r="R71" s="123" t="n"/>
      <c r="S71" s="123" t="n"/>
      <c r="T71" s="123" t="n"/>
      <c r="U71" s="123" t="n"/>
    </row>
    <row r="72" outlineLevel="1">
      <c r="A72" s="8" t="n"/>
      <c r="B72" s="14" t="n"/>
      <c r="C72" s="123" t="n"/>
      <c r="D72" s="130" t="n">
        <v>1</v>
      </c>
      <c r="E72" s="118" t="n"/>
      <c r="F72" s="17" t="n"/>
      <c r="G72" s="131">
        <f>DADOS_AM!$GN$5</f>
        <v/>
      </c>
      <c r="H72" s="17" t="n"/>
      <c r="I72" s="123" t="n"/>
      <c r="J72" s="130" t="n">
        <v>1</v>
      </c>
      <c r="K72" s="118" t="n"/>
      <c r="L72" s="17" t="n"/>
      <c r="M72" s="131">
        <f>DADOS_AM!$GN$6</f>
        <v/>
      </c>
      <c r="N72" s="17" t="n"/>
      <c r="O72" s="123" t="n"/>
      <c r="P72" s="130" t="n">
        <v>1</v>
      </c>
      <c r="Q72" s="118" t="n"/>
      <c r="R72" s="17" t="n"/>
      <c r="S72" s="131">
        <f>DADOS_AM!$GN$7</f>
        <v/>
      </c>
      <c r="T72" s="17" t="n"/>
      <c r="U72" s="123" t="n"/>
    </row>
    <row r="73" hidden="1" outlineLevel="2">
      <c r="A73" s="8" t="n"/>
      <c r="B73" s="14" t="n"/>
      <c r="C73" s="123" t="n"/>
      <c r="D73" s="55" t="inlineStr">
        <is>
          <t>COMO É</t>
        </is>
      </c>
      <c r="E73" s="16" t="n"/>
      <c r="F73" s="16" t="n"/>
      <c r="G73" s="16" t="n"/>
      <c r="H73" s="17" t="n"/>
      <c r="I73" s="123" t="n"/>
      <c r="J73" s="55" t="inlineStr">
        <is>
          <t>COMO É</t>
        </is>
      </c>
      <c r="K73" s="16" t="n"/>
      <c r="L73" s="16" t="n"/>
      <c r="M73" s="16" t="n"/>
      <c r="N73" s="17" t="n"/>
      <c r="O73" s="123" t="n"/>
      <c r="P73" s="55" t="inlineStr">
        <is>
          <t>COMO É</t>
        </is>
      </c>
      <c r="Q73" s="16" t="n"/>
      <c r="R73" s="16" t="n"/>
      <c r="S73" s="16" t="n"/>
      <c r="T73" s="17" t="n"/>
      <c r="U73" s="123" t="n"/>
    </row>
    <row r="74" hidden="1" outlineLevel="2">
      <c r="A74" s="8" t="n"/>
      <c r="B74" s="14" t="n"/>
      <c r="C74" s="123" t="n"/>
      <c r="D74" s="119" t="n"/>
      <c r="E74" s="19" t="n"/>
      <c r="F74" s="19" t="n"/>
      <c r="G74" s="19" t="n"/>
      <c r="H74" s="20" t="n"/>
      <c r="I74" s="123" t="n"/>
      <c r="J74" s="119" t="n"/>
      <c r="K74" s="19" t="n"/>
      <c r="L74" s="19" t="n"/>
      <c r="M74" s="19" t="n"/>
      <c r="N74" s="20" t="n"/>
      <c r="O74" s="123" t="n"/>
      <c r="P74" s="119" t="n"/>
      <c r="Q74" s="19" t="n"/>
      <c r="R74" s="19" t="n"/>
      <c r="S74" s="19" t="n"/>
      <c r="T74" s="20" t="n"/>
      <c r="U74" s="123" t="n"/>
    </row>
    <row r="75" hidden="1" outlineLevel="2">
      <c r="A75" s="8" t="n"/>
      <c r="B75" s="14" t="n"/>
      <c r="C75" s="123" t="n"/>
      <c r="D75" s="21" t="n"/>
      <c r="H75" s="22" t="n"/>
      <c r="I75" s="123" t="n"/>
      <c r="J75" s="21" t="n"/>
      <c r="N75" s="22" t="n"/>
      <c r="O75" s="123" t="n"/>
      <c r="P75" s="21" t="n"/>
      <c r="T75" s="22" t="n"/>
      <c r="U75" s="123" t="n"/>
    </row>
    <row r="76" hidden="1" outlineLevel="2">
      <c r="A76" s="8" t="n"/>
      <c r="B76" s="14" t="n"/>
      <c r="C76" s="123" t="n"/>
      <c r="D76" s="21" t="n"/>
      <c r="H76" s="22" t="n"/>
      <c r="I76" s="123" t="n"/>
      <c r="J76" s="21" t="n"/>
      <c r="N76" s="22" t="n"/>
      <c r="O76" s="123" t="n"/>
      <c r="P76" s="21" t="n"/>
      <c r="T76" s="22" t="n"/>
      <c r="U76" s="123" t="n"/>
    </row>
    <row r="77" hidden="1" outlineLevel="2">
      <c r="A77" s="8" t="n"/>
      <c r="B77" s="14" t="n"/>
      <c r="C77" s="123" t="n"/>
      <c r="D77" s="21" t="n"/>
      <c r="H77" s="22" t="n"/>
      <c r="I77" s="123" t="n"/>
      <c r="J77" s="21" t="n"/>
      <c r="N77" s="22" t="n"/>
      <c r="O77" s="123" t="n"/>
      <c r="P77" s="21" t="n"/>
      <c r="T77" s="22" t="n"/>
      <c r="U77" s="123" t="n"/>
    </row>
    <row r="78" hidden="1" outlineLevel="2">
      <c r="A78" s="8" t="n"/>
      <c r="B78" s="14" t="n"/>
      <c r="C78" s="123" t="n"/>
      <c r="D78" s="23" t="n"/>
      <c r="E78" s="24" t="n"/>
      <c r="F78" s="24" t="n"/>
      <c r="G78" s="24" t="n"/>
      <c r="H78" s="25" t="n"/>
      <c r="I78" s="123" t="n"/>
      <c r="J78" s="23" t="n"/>
      <c r="K78" s="24" t="n"/>
      <c r="L78" s="24" t="n"/>
      <c r="M78" s="24" t="n"/>
      <c r="N78" s="25" t="n"/>
      <c r="O78" s="123" t="n"/>
      <c r="P78" s="23" t="n"/>
      <c r="Q78" s="24" t="n"/>
      <c r="R78" s="24" t="n"/>
      <c r="S78" s="24" t="n"/>
      <c r="T78" s="25" t="n"/>
      <c r="U78" s="123" t="n"/>
    </row>
    <row r="79" outlineLevel="1">
      <c r="A79" s="8" t="n"/>
      <c r="B79" s="14" t="n"/>
      <c r="C79" s="123" t="n"/>
      <c r="D79" s="127" t="inlineStr">
        <is>
          <t>Projétil</t>
        </is>
      </c>
      <c r="E79" s="68">
        <f>DADOS_AM!$GS$5</f>
        <v/>
      </c>
      <c r="F79" s="68">
        <f>DADOS_AM!$GP$5</f>
        <v/>
      </c>
      <c r="G79" s="127">
        <f>DADOS_AM!$GR$5</f>
        <v/>
      </c>
      <c r="H79" s="17" t="n"/>
      <c r="I79" s="123" t="n"/>
      <c r="J79" s="127" t="inlineStr">
        <is>
          <t>Projétil</t>
        </is>
      </c>
      <c r="K79" s="68">
        <f>DADOS_AM!$GS$6</f>
        <v/>
      </c>
      <c r="L79" s="68">
        <f>DADOS_AM!$GP$6</f>
        <v/>
      </c>
      <c r="M79" s="127">
        <f>DADOS_AM!$GR$6</f>
        <v/>
      </c>
      <c r="N79" s="17" t="n"/>
      <c r="O79" s="123" t="n"/>
      <c r="P79" s="127" t="inlineStr">
        <is>
          <t>Projétil</t>
        </is>
      </c>
      <c r="Q79" s="68">
        <f>DADOS_AM!$GS$7</f>
        <v/>
      </c>
      <c r="R79" s="68">
        <f>DADOS_AM!$GP$7</f>
        <v/>
      </c>
      <c r="S79" s="127">
        <f>DADOS_AM!$GR$7</f>
        <v/>
      </c>
      <c r="T79" s="17" t="n"/>
      <c r="U79" s="123" t="n"/>
    </row>
    <row r="80" outlineLevel="1">
      <c r="A80" s="8" t="n"/>
      <c r="B80" s="14" t="n"/>
      <c r="C80" s="123" t="n"/>
      <c r="D80" s="127">
        <f>DADOS_AM!$GQ$5</f>
        <v/>
      </c>
      <c r="E80" s="132">
        <f>DADOS_AM!$GX$5</f>
        <v/>
      </c>
      <c r="F80" s="16" t="n"/>
      <c r="G80" s="16" t="n"/>
      <c r="H80" s="17" t="n"/>
      <c r="I80" s="123" t="n"/>
      <c r="J80" s="127">
        <f>DADOS_AM!$GQ$6</f>
        <v/>
      </c>
      <c r="K80" s="132">
        <f>DADOS_AM!$GX$6</f>
        <v/>
      </c>
      <c r="L80" s="16" t="n"/>
      <c r="M80" s="16" t="n"/>
      <c r="N80" s="17" t="n"/>
      <c r="O80" s="123" t="n"/>
      <c r="P80" s="127">
        <f>DADOS_AM!$GQ$7</f>
        <v/>
      </c>
      <c r="Q80" s="132">
        <f>DADOS_AM!$GX$7</f>
        <v/>
      </c>
      <c r="R80" s="16" t="n"/>
      <c r="S80" s="16" t="n"/>
      <c r="T80" s="17" t="n"/>
      <c r="U80" s="123" t="n"/>
    </row>
    <row r="81" hidden="1" outlineLevel="2">
      <c r="A81" s="8" t="n"/>
      <c r="B81" s="14" t="n"/>
      <c r="C81" s="123" t="n"/>
      <c r="D81" s="55" t="inlineStr">
        <is>
          <t>MELHORIAS</t>
        </is>
      </c>
      <c r="E81" s="133" t="n"/>
      <c r="F81" s="17" t="n"/>
      <c r="G81" s="132">
        <f>DADOS_AM!$HA$5</f>
        <v/>
      </c>
      <c r="H81" s="17" t="n"/>
      <c r="I81" s="123" t="n"/>
      <c r="J81" s="55" t="inlineStr">
        <is>
          <t>MELHORIAS</t>
        </is>
      </c>
      <c r="K81" s="133" t="n"/>
      <c r="L81" s="17" t="n"/>
      <c r="M81" s="132">
        <f>DADOS_AM!$HA$6</f>
        <v/>
      </c>
      <c r="N81" s="17" t="n"/>
      <c r="O81" s="123" t="n"/>
      <c r="P81" s="55" t="inlineStr">
        <is>
          <t>MELHORIAS</t>
        </is>
      </c>
      <c r="Q81" s="133" t="n"/>
      <c r="R81" s="17" t="n"/>
      <c r="S81" s="132">
        <f>DADOS_AM!$HA$7</f>
        <v/>
      </c>
      <c r="T81" s="17" t="n"/>
      <c r="U81" s="123" t="n"/>
    </row>
    <row r="82" hidden="1" outlineLevel="2">
      <c r="A82" s="8" t="n"/>
      <c r="B82" s="14" t="n"/>
      <c r="C82" s="123" t="n"/>
      <c r="D82" s="134" t="n"/>
      <c r="E82" s="133" t="n"/>
      <c r="F82" s="17" t="n"/>
      <c r="G82" s="132">
        <f>DADOS_AM!$HB$5</f>
        <v/>
      </c>
      <c r="H82" s="17" t="n"/>
      <c r="I82" s="123" t="n"/>
      <c r="J82" s="134" t="n"/>
      <c r="K82" s="133" t="n"/>
      <c r="L82" s="17" t="n"/>
      <c r="M82" s="132">
        <f>DADOS_AM!$HB$6</f>
        <v/>
      </c>
      <c r="N82" s="17" t="n"/>
      <c r="O82" s="123" t="n"/>
      <c r="P82" s="134" t="n"/>
      <c r="Q82" s="133" t="n"/>
      <c r="R82" s="17" t="n"/>
      <c r="S82" s="132">
        <f>DADOS_AM!$HB$7</f>
        <v/>
      </c>
      <c r="T82" s="17" t="n"/>
      <c r="U82" s="123" t="n"/>
    </row>
    <row r="83" hidden="1" outlineLevel="2">
      <c r="A83" s="8" t="n"/>
      <c r="B83" s="14" t="n"/>
      <c r="C83" s="123" t="n"/>
      <c r="D83" s="134" t="n"/>
      <c r="E83" s="133" t="n"/>
      <c r="F83" s="17" t="n"/>
      <c r="G83" s="132">
        <f>DADOS_AM!$HC$5</f>
        <v/>
      </c>
      <c r="H83" s="17" t="n"/>
      <c r="I83" s="123" t="n"/>
      <c r="J83" s="134" t="n"/>
      <c r="K83" s="133" t="n"/>
      <c r="L83" s="17" t="n"/>
      <c r="M83" s="132">
        <f>DADOS_AM!$HC$6</f>
        <v/>
      </c>
      <c r="N83" s="17" t="n"/>
      <c r="O83" s="123" t="n"/>
      <c r="P83" s="134" t="n"/>
      <c r="Q83" s="133" t="n"/>
      <c r="R83" s="17" t="n"/>
      <c r="S83" s="132">
        <f>DADOS_AM!$HC$7</f>
        <v/>
      </c>
      <c r="T83" s="17" t="n"/>
      <c r="U83" s="123" t="n"/>
    </row>
    <row r="84" hidden="1" outlineLevel="2">
      <c r="A84" s="8" t="n"/>
      <c r="B84" s="14" t="n"/>
      <c r="C84" s="123" t="n"/>
      <c r="D84" s="128" t="n"/>
      <c r="E84" s="133" t="n"/>
      <c r="F84" s="17" t="n"/>
      <c r="G84" s="132">
        <f>DADOS_AM!$HD$5</f>
        <v/>
      </c>
      <c r="H84" s="17" t="n"/>
      <c r="I84" s="123" t="n"/>
      <c r="J84" s="128" t="n"/>
      <c r="K84" s="133" t="n"/>
      <c r="L84" s="17" t="n"/>
      <c r="M84" s="132">
        <f>DADOS_AM!$HD$6</f>
        <v/>
      </c>
      <c r="N84" s="17" t="n"/>
      <c r="O84" s="123" t="n"/>
      <c r="P84" s="128" t="n"/>
      <c r="Q84" s="133" t="n"/>
      <c r="R84" s="17" t="n"/>
      <c r="S84" s="132">
        <f>DADOS_AM!$HD$7</f>
        <v/>
      </c>
      <c r="T84" s="17" t="n"/>
      <c r="U84" s="123" t="n"/>
    </row>
    <row r="85" hidden="1" outlineLevel="2">
      <c r="A85" s="8" t="n"/>
      <c r="B85" s="14" t="n"/>
      <c r="C85" s="123" t="n"/>
      <c r="D85" s="55" t="inlineStr">
        <is>
          <t>RESTRIÇÕES</t>
        </is>
      </c>
      <c r="E85" s="133" t="n"/>
      <c r="F85" s="17" t="n"/>
      <c r="G85" s="132">
        <f>DADOS_AM!$HE$5</f>
        <v/>
      </c>
      <c r="H85" s="17" t="n"/>
      <c r="I85" s="123" t="n"/>
      <c r="J85" s="55" t="inlineStr">
        <is>
          <t>RESTRIÇÕES</t>
        </is>
      </c>
      <c r="K85" s="133" t="n"/>
      <c r="L85" s="17" t="n"/>
      <c r="M85" s="132">
        <f>DADOS_AM!$HE$6</f>
        <v/>
      </c>
      <c r="N85" s="17" t="n"/>
      <c r="O85" s="123" t="n"/>
      <c r="P85" s="55" t="inlineStr">
        <is>
          <t>RESTRIÇÕES</t>
        </is>
      </c>
      <c r="Q85" s="133" t="n"/>
      <c r="R85" s="17" t="n"/>
      <c r="S85" s="132">
        <f>DADOS_AM!$HE$7</f>
        <v/>
      </c>
      <c r="T85" s="17" t="n"/>
      <c r="U85" s="123" t="n"/>
    </row>
    <row r="86" hidden="1" outlineLevel="2">
      <c r="A86" s="8" t="n"/>
      <c r="B86" s="14" t="n"/>
      <c r="C86" s="123" t="n"/>
      <c r="D86" s="128" t="n"/>
      <c r="E86" s="133" t="n"/>
      <c r="F86" s="17" t="n"/>
      <c r="G86" s="132">
        <f>DADOS_AM!$HF$5</f>
        <v/>
      </c>
      <c r="H86" s="17" t="n"/>
      <c r="I86" s="123" t="n"/>
      <c r="J86" s="128" t="n"/>
      <c r="K86" s="133" t="n"/>
      <c r="L86" s="17" t="n"/>
      <c r="M86" s="132">
        <f>DADOS_AM!$HF$6</f>
        <v/>
      </c>
      <c r="N86" s="17" t="n"/>
      <c r="O86" s="123" t="n"/>
      <c r="P86" s="128" t="n"/>
      <c r="Q86" s="133" t="n"/>
      <c r="R86" s="17" t="n"/>
      <c r="S86" s="132">
        <f>DADOS_AM!$HF$7</f>
        <v/>
      </c>
      <c r="T86" s="17" t="n"/>
      <c r="U86" s="123" t="n"/>
    </row>
    <row r="87" hidden="1" outlineLevel="2">
      <c r="A87" s="8" t="n"/>
      <c r="B87" s="14" t="n"/>
      <c r="C87" s="123" t="n"/>
      <c r="D87" s="55" t="inlineStr">
        <is>
          <t>CONTA</t>
        </is>
      </c>
      <c r="E87" s="135">
        <f>DADOS_AM!$GY$5</f>
        <v/>
      </c>
      <c r="F87" s="16" t="n"/>
      <c r="G87" s="16" t="n"/>
      <c r="H87" s="17" t="n"/>
      <c r="I87" s="123" t="n"/>
      <c r="J87" s="55" t="inlineStr">
        <is>
          <t>CONTA</t>
        </is>
      </c>
      <c r="K87" s="135">
        <f>DADOS_AM!$GY$6</f>
        <v/>
      </c>
      <c r="L87" s="16" t="n"/>
      <c r="M87" s="16" t="n"/>
      <c r="N87" s="17" t="n"/>
      <c r="O87" s="123" t="n"/>
      <c r="P87" s="55" t="inlineStr">
        <is>
          <t>CONTA</t>
        </is>
      </c>
      <c r="Q87" s="135">
        <f>DADOS_AM!$GY$7</f>
        <v/>
      </c>
      <c r="R87" s="16" t="n"/>
      <c r="S87" s="16" t="n"/>
      <c r="T87" s="17" t="n"/>
      <c r="U87" s="123" t="n"/>
    </row>
    <row r="88" hidden="1" outlineLevel="2">
      <c r="A88" s="8" t="n"/>
      <c r="B88" s="14" t="n"/>
      <c r="C88" s="123" t="n"/>
      <c r="D88" s="55" t="inlineStr">
        <is>
          <t>AMPLIAR</t>
        </is>
      </c>
      <c r="E88" s="135">
        <f>DADOS_AM!$GZ$5</f>
        <v/>
      </c>
      <c r="F88" s="19" t="n"/>
      <c r="G88" s="19" t="n"/>
      <c r="H88" s="20" t="n"/>
      <c r="I88" s="123" t="n"/>
      <c r="J88" s="55" t="inlineStr">
        <is>
          <t>AMPLIAR</t>
        </is>
      </c>
      <c r="K88" s="135">
        <f>DADOS_AM!$GZ$6</f>
        <v/>
      </c>
      <c r="L88" s="19" t="n"/>
      <c r="M88" s="19" t="n"/>
      <c r="N88" s="20" t="n"/>
      <c r="O88" s="123" t="n"/>
      <c r="P88" s="55" t="inlineStr">
        <is>
          <t>AMPLIAR</t>
        </is>
      </c>
      <c r="Q88" s="135">
        <f>DADOS_AM!$GZ$7</f>
        <v/>
      </c>
      <c r="R88" s="19" t="n"/>
      <c r="S88" s="19" t="n"/>
      <c r="T88" s="20" t="n"/>
      <c r="U88" s="123" t="n"/>
    </row>
    <row r="89" hidden="1" outlineLevel="2">
      <c r="A89" s="8" t="n"/>
      <c r="B89" s="14" t="n"/>
      <c r="C89" s="123" t="n"/>
      <c r="D89" s="128" t="n"/>
      <c r="E89" s="23" t="n"/>
      <c r="F89" s="24" t="n"/>
      <c r="G89" s="24" t="n"/>
      <c r="H89" s="25" t="n"/>
      <c r="I89" s="123" t="n"/>
      <c r="J89" s="128" t="n"/>
      <c r="K89" s="23" t="n"/>
      <c r="L89" s="24" t="n"/>
      <c r="M89" s="24" t="n"/>
      <c r="N89" s="25" t="n"/>
      <c r="O89" s="123" t="n"/>
      <c r="P89" s="128" t="n"/>
      <c r="Q89" s="23" t="n"/>
      <c r="R89" s="24" t="n"/>
      <c r="S89" s="24" t="n"/>
      <c r="T89" s="25" t="n"/>
      <c r="U89" s="123" t="n"/>
    </row>
    <row r="90" hidden="1" outlineLevel="2">
      <c r="A90" s="8" t="n"/>
      <c r="B90" s="14" t="n"/>
      <c r="C90" s="123" t="n"/>
      <c r="D90" s="55" t="inlineStr">
        <is>
          <t>AVISOS</t>
        </is>
      </c>
      <c r="E90" s="135">
        <f>DADOS_AM!$GO$5</f>
        <v/>
      </c>
      <c r="F90" s="19" t="n"/>
      <c r="G90" s="19" t="n"/>
      <c r="H90" s="20" t="n"/>
      <c r="I90" s="123" t="n"/>
      <c r="J90" s="55" t="inlineStr">
        <is>
          <t>AVISOS</t>
        </is>
      </c>
      <c r="K90" s="135">
        <f>DADOS_AM!$GO$6</f>
        <v/>
      </c>
      <c r="L90" s="19" t="n"/>
      <c r="M90" s="19" t="n"/>
      <c r="N90" s="20" t="n"/>
      <c r="O90" s="123" t="n"/>
      <c r="P90" s="55" t="inlineStr">
        <is>
          <t>AVISOS</t>
        </is>
      </c>
      <c r="Q90" s="135">
        <f>DADOS_AM!$GO$7</f>
        <v/>
      </c>
      <c r="R90" s="19" t="n"/>
      <c r="S90" s="19" t="n"/>
      <c r="T90" s="20" t="n"/>
      <c r="U90" s="123" t="n"/>
    </row>
    <row r="91" hidden="1" outlineLevel="2">
      <c r="A91" s="8" t="n"/>
      <c r="B91" s="14" t="n"/>
      <c r="C91" s="123" t="n"/>
      <c r="D91" s="128" t="n"/>
      <c r="E91" s="23" t="n"/>
      <c r="F91" s="24" t="n"/>
      <c r="G91" s="24" t="n"/>
      <c r="H91" s="25" t="n"/>
      <c r="I91" s="123" t="n"/>
      <c r="J91" s="128" t="n"/>
      <c r="K91" s="23" t="n"/>
      <c r="L91" s="24" t="n"/>
      <c r="M91" s="24" t="n"/>
      <c r="N91" s="25" t="n"/>
      <c r="O91" s="123" t="n"/>
      <c r="P91" s="128" t="n"/>
      <c r="Q91" s="23" t="n"/>
      <c r="R91" s="24" t="n"/>
      <c r="S91" s="24" t="n"/>
      <c r="T91" s="25" t="n"/>
      <c r="U91" s="123" t="n"/>
    </row>
    <row r="92" outlineLevel="1">
      <c r="A92" s="8" t="n"/>
      <c r="B92" s="14" t="n"/>
      <c r="C92" s="123" t="n"/>
      <c r="D92" s="123" t="n"/>
      <c r="E92" s="123" t="n"/>
      <c r="F92" s="123" t="n"/>
      <c r="G92" s="123" t="n"/>
      <c r="H92" s="123" t="n"/>
      <c r="I92" s="123" t="n"/>
      <c r="J92" s="123" t="n"/>
      <c r="K92" s="123" t="n"/>
      <c r="L92" s="123" t="n"/>
      <c r="M92" s="123" t="n"/>
      <c r="N92" s="123" t="n"/>
      <c r="O92" s="123" t="n"/>
      <c r="P92" s="123" t="n"/>
      <c r="Q92" s="123" t="n"/>
      <c r="R92" s="123" t="n"/>
      <c r="S92" s="123" t="n"/>
      <c r="T92" s="123" t="n"/>
      <c r="U92" s="123" t="n"/>
    </row>
    <row r="93" outlineLevel="1">
      <c r="A93" s="8" t="n"/>
      <c r="B93" s="14" t="n"/>
      <c r="C93" s="123" t="n"/>
      <c r="D93" s="130" t="n">
        <v>1</v>
      </c>
      <c r="E93" s="118" t="n"/>
      <c r="F93" s="17" t="n"/>
      <c r="G93" s="131">
        <f>DADOS_AM!$GN$8</f>
        <v/>
      </c>
      <c r="H93" s="17" t="n"/>
      <c r="I93" s="123" t="n"/>
      <c r="J93" s="130" t="n">
        <v>1</v>
      </c>
      <c r="K93" s="118" t="n"/>
      <c r="L93" s="17" t="n"/>
      <c r="M93" s="131">
        <f>DADOS_AM!$GN$9</f>
        <v/>
      </c>
      <c r="N93" s="17" t="n"/>
      <c r="O93" s="123" t="n"/>
      <c r="P93" s="130" t="n">
        <v>1</v>
      </c>
      <c r="Q93" s="118" t="n"/>
      <c r="R93" s="17" t="n"/>
      <c r="S93" s="131">
        <f>DADOS_AM!$GN$10</f>
        <v/>
      </c>
      <c r="T93" s="17" t="n"/>
      <c r="U93" s="123" t="n"/>
    </row>
    <row r="94" hidden="1" outlineLevel="2">
      <c r="A94" s="8" t="n"/>
      <c r="B94" s="14" t="n"/>
      <c r="C94" s="123" t="n"/>
      <c r="D94" s="55" t="inlineStr">
        <is>
          <t>COMO É</t>
        </is>
      </c>
      <c r="E94" s="16" t="n"/>
      <c r="F94" s="16" t="n"/>
      <c r="G94" s="16" t="n"/>
      <c r="H94" s="17" t="n"/>
      <c r="I94" s="123" t="n"/>
      <c r="J94" s="55" t="inlineStr">
        <is>
          <t>COMO É</t>
        </is>
      </c>
      <c r="K94" s="16" t="n"/>
      <c r="L94" s="16" t="n"/>
      <c r="M94" s="16" t="n"/>
      <c r="N94" s="17" t="n"/>
      <c r="O94" s="123" t="n"/>
      <c r="P94" s="55" t="inlineStr">
        <is>
          <t>COMO É</t>
        </is>
      </c>
      <c r="Q94" s="16" t="n"/>
      <c r="R94" s="16" t="n"/>
      <c r="S94" s="16" t="n"/>
      <c r="T94" s="17" t="n"/>
      <c r="U94" s="123" t="n"/>
    </row>
    <row r="95" hidden="1" outlineLevel="2">
      <c r="A95" s="8" t="n"/>
      <c r="B95" s="14" t="n"/>
      <c r="C95" s="123" t="n"/>
      <c r="D95" s="119" t="n"/>
      <c r="E95" s="19" t="n"/>
      <c r="F95" s="19" t="n"/>
      <c r="G95" s="19" t="n"/>
      <c r="H95" s="20" t="n"/>
      <c r="I95" s="123" t="n"/>
      <c r="J95" s="119" t="n"/>
      <c r="K95" s="19" t="n"/>
      <c r="L95" s="19" t="n"/>
      <c r="M95" s="19" t="n"/>
      <c r="N95" s="20" t="n"/>
      <c r="O95" s="123" t="n"/>
      <c r="P95" s="119" t="n"/>
      <c r="Q95" s="19" t="n"/>
      <c r="R95" s="19" t="n"/>
      <c r="S95" s="19" t="n"/>
      <c r="T95" s="20" t="n"/>
      <c r="U95" s="123" t="n"/>
    </row>
    <row r="96" hidden="1" outlineLevel="2">
      <c r="A96" s="8" t="n"/>
      <c r="B96" s="14" t="n"/>
      <c r="C96" s="123" t="n"/>
      <c r="D96" s="21" t="n"/>
      <c r="H96" s="22" t="n"/>
      <c r="I96" s="123" t="n"/>
      <c r="J96" s="21" t="n"/>
      <c r="N96" s="22" t="n"/>
      <c r="O96" s="123" t="n"/>
      <c r="P96" s="21" t="n"/>
      <c r="T96" s="22" t="n"/>
      <c r="U96" s="123" t="n"/>
    </row>
    <row r="97" hidden="1" outlineLevel="2">
      <c r="A97" s="8" t="n"/>
      <c r="B97" s="14" t="n"/>
      <c r="C97" s="123" t="n"/>
      <c r="D97" s="21" t="n"/>
      <c r="H97" s="22" t="n"/>
      <c r="I97" s="123" t="n"/>
      <c r="J97" s="21" t="n"/>
      <c r="N97" s="22" t="n"/>
      <c r="O97" s="123" t="n"/>
      <c r="P97" s="21" t="n"/>
      <c r="T97" s="22" t="n"/>
      <c r="U97" s="123" t="n"/>
    </row>
    <row r="98" hidden="1" outlineLevel="2">
      <c r="A98" s="8" t="n"/>
      <c r="B98" s="14" t="n"/>
      <c r="C98" s="123" t="n"/>
      <c r="D98" s="21" t="n"/>
      <c r="H98" s="22" t="n"/>
      <c r="I98" s="123" t="n"/>
      <c r="J98" s="21" t="n"/>
      <c r="N98" s="22" t="n"/>
      <c r="O98" s="123" t="n"/>
      <c r="P98" s="21" t="n"/>
      <c r="T98" s="22" t="n"/>
      <c r="U98" s="123" t="n"/>
    </row>
    <row r="99" hidden="1" outlineLevel="2">
      <c r="A99" s="8" t="n"/>
      <c r="B99" s="14" t="n"/>
      <c r="C99" s="123" t="n"/>
      <c r="D99" s="23" t="n"/>
      <c r="E99" s="24" t="n"/>
      <c r="F99" s="24" t="n"/>
      <c r="G99" s="24" t="n"/>
      <c r="H99" s="25" t="n"/>
      <c r="I99" s="123" t="n"/>
      <c r="J99" s="23" t="n"/>
      <c r="K99" s="24" t="n"/>
      <c r="L99" s="24" t="n"/>
      <c r="M99" s="24" t="n"/>
      <c r="N99" s="25" t="n"/>
      <c r="O99" s="123" t="n"/>
      <c r="P99" s="23" t="n"/>
      <c r="Q99" s="24" t="n"/>
      <c r="R99" s="24" t="n"/>
      <c r="S99" s="24" t="n"/>
      <c r="T99" s="25" t="n"/>
      <c r="U99" s="123" t="n"/>
    </row>
    <row r="100" outlineLevel="1">
      <c r="A100" s="8" t="n"/>
      <c r="B100" s="14" t="n"/>
      <c r="C100" s="123" t="n"/>
      <c r="D100" s="127" t="inlineStr">
        <is>
          <t>Projétil</t>
        </is>
      </c>
      <c r="E100" s="68">
        <f>DADOS_AM!$GS$8</f>
        <v/>
      </c>
      <c r="F100" s="68">
        <f>DADOS_AM!$GP$8</f>
        <v/>
      </c>
      <c r="G100" s="127">
        <f>DADOS_AM!$GR$8</f>
        <v/>
      </c>
      <c r="H100" s="17" t="n"/>
      <c r="I100" s="123" t="n"/>
      <c r="J100" s="127" t="inlineStr">
        <is>
          <t>Projétil</t>
        </is>
      </c>
      <c r="K100" s="68">
        <f>DADOS_AM!$GS$9</f>
        <v/>
      </c>
      <c r="L100" s="68">
        <f>DADOS_AM!$GP$9</f>
        <v/>
      </c>
      <c r="M100" s="127">
        <f>DADOS_AM!$GR$9</f>
        <v/>
      </c>
      <c r="N100" s="17" t="n"/>
      <c r="O100" s="123" t="n"/>
      <c r="P100" s="127" t="inlineStr">
        <is>
          <t>Projétil</t>
        </is>
      </c>
      <c r="Q100" s="68">
        <f>DADOS_AM!$GS$10</f>
        <v/>
      </c>
      <c r="R100" s="68">
        <f>DADOS_AM!$GP$10</f>
        <v/>
      </c>
      <c r="S100" s="127">
        <f>DADOS_AM!$GR$10</f>
        <v/>
      </c>
      <c r="T100" s="17" t="n"/>
      <c r="U100" s="123" t="n"/>
    </row>
    <row r="101" outlineLevel="1">
      <c r="A101" s="8" t="n"/>
      <c r="B101" s="14" t="n"/>
      <c r="C101" s="123" t="n"/>
      <c r="D101" s="127">
        <f>DADOS_AM!$GQ$8</f>
        <v/>
      </c>
      <c r="E101" s="132">
        <f>DADOS_AM!$GX$8</f>
        <v/>
      </c>
      <c r="F101" s="16" t="n"/>
      <c r="G101" s="16" t="n"/>
      <c r="H101" s="17" t="n"/>
      <c r="I101" s="123" t="n"/>
      <c r="J101" s="127">
        <f>DADOS_AM!$GQ$9</f>
        <v/>
      </c>
      <c r="K101" s="132">
        <f>DADOS_AM!$GX$9</f>
        <v/>
      </c>
      <c r="L101" s="16" t="n"/>
      <c r="M101" s="16" t="n"/>
      <c r="N101" s="17" t="n"/>
      <c r="O101" s="123" t="n"/>
      <c r="P101" s="127">
        <f>DADOS_AM!$GQ$10</f>
        <v/>
      </c>
      <c r="Q101" s="132">
        <f>DADOS_AM!$GX$10</f>
        <v/>
      </c>
      <c r="R101" s="16" t="n"/>
      <c r="S101" s="16" t="n"/>
      <c r="T101" s="17" t="n"/>
      <c r="U101" s="123" t="n"/>
    </row>
    <row r="102" hidden="1" outlineLevel="2">
      <c r="A102" s="8" t="n"/>
      <c r="B102" s="14" t="n"/>
      <c r="C102" s="123" t="n"/>
      <c r="D102" s="55" t="inlineStr">
        <is>
          <t>MELHORIAS</t>
        </is>
      </c>
      <c r="E102" s="133" t="n"/>
      <c r="F102" s="17" t="n"/>
      <c r="G102" s="132">
        <f>DADOS_AM!$HA$8</f>
        <v/>
      </c>
      <c r="H102" s="17" t="n"/>
      <c r="I102" s="123" t="n"/>
      <c r="J102" s="55" t="inlineStr">
        <is>
          <t>MELHORIAS</t>
        </is>
      </c>
      <c r="K102" s="133" t="n"/>
      <c r="L102" s="17" t="n"/>
      <c r="M102" s="132">
        <f>DADOS_AM!$HA$9</f>
        <v/>
      </c>
      <c r="N102" s="17" t="n"/>
      <c r="O102" s="123" t="n"/>
      <c r="P102" s="55" t="inlineStr">
        <is>
          <t>MELHORIAS</t>
        </is>
      </c>
      <c r="Q102" s="133" t="n"/>
      <c r="R102" s="17" t="n"/>
      <c r="S102" s="132">
        <f>DADOS_AM!$HA$10</f>
        <v/>
      </c>
      <c r="T102" s="17" t="n"/>
      <c r="U102" s="123" t="n"/>
    </row>
    <row r="103" hidden="1" outlineLevel="2">
      <c r="A103" s="8" t="n"/>
      <c r="B103" s="14" t="n"/>
      <c r="C103" s="123" t="n"/>
      <c r="D103" s="134" t="n"/>
      <c r="E103" s="133" t="n"/>
      <c r="F103" s="17" t="n"/>
      <c r="G103" s="132">
        <f>DADOS_AM!$HB$8</f>
        <v/>
      </c>
      <c r="H103" s="17" t="n"/>
      <c r="I103" s="123" t="n"/>
      <c r="J103" s="134" t="n"/>
      <c r="K103" s="133" t="n"/>
      <c r="L103" s="17" t="n"/>
      <c r="M103" s="132">
        <f>DADOS_AM!$HB$9</f>
        <v/>
      </c>
      <c r="N103" s="17" t="n"/>
      <c r="O103" s="123" t="n"/>
      <c r="P103" s="134" t="n"/>
      <c r="Q103" s="133" t="n"/>
      <c r="R103" s="17" t="n"/>
      <c r="S103" s="132">
        <f>DADOS_AM!$HB$10</f>
        <v/>
      </c>
      <c r="T103" s="17" t="n"/>
      <c r="U103" s="123" t="n"/>
    </row>
    <row r="104" hidden="1" outlineLevel="2">
      <c r="A104" s="8" t="n"/>
      <c r="B104" s="14" t="n"/>
      <c r="C104" s="123" t="n"/>
      <c r="D104" s="134" t="n"/>
      <c r="E104" s="133" t="n"/>
      <c r="F104" s="17" t="n"/>
      <c r="G104" s="132">
        <f>DADOS_AM!$HC$8</f>
        <v/>
      </c>
      <c r="H104" s="17" t="n"/>
      <c r="I104" s="123" t="n"/>
      <c r="J104" s="134" t="n"/>
      <c r="K104" s="133" t="n"/>
      <c r="L104" s="17" t="n"/>
      <c r="M104" s="132">
        <f>DADOS_AM!$HC$9</f>
        <v/>
      </c>
      <c r="N104" s="17" t="n"/>
      <c r="O104" s="123" t="n"/>
      <c r="P104" s="134" t="n"/>
      <c r="Q104" s="133" t="n"/>
      <c r="R104" s="17" t="n"/>
      <c r="S104" s="132">
        <f>DADOS_AM!$HC$10</f>
        <v/>
      </c>
      <c r="T104" s="17" t="n"/>
      <c r="U104" s="123" t="n"/>
    </row>
    <row r="105" hidden="1" outlineLevel="2">
      <c r="A105" s="8" t="n"/>
      <c r="B105" s="14" t="n"/>
      <c r="C105" s="123" t="n"/>
      <c r="D105" s="128" t="n"/>
      <c r="E105" s="133" t="n"/>
      <c r="F105" s="17" t="n"/>
      <c r="G105" s="132">
        <f>DADOS_AM!$HD$8</f>
        <v/>
      </c>
      <c r="H105" s="17" t="n"/>
      <c r="I105" s="123" t="n"/>
      <c r="J105" s="128" t="n"/>
      <c r="K105" s="133" t="n"/>
      <c r="L105" s="17" t="n"/>
      <c r="M105" s="132">
        <f>DADOS_AM!$HD$9</f>
        <v/>
      </c>
      <c r="N105" s="17" t="n"/>
      <c r="O105" s="123" t="n"/>
      <c r="P105" s="128" t="n"/>
      <c r="Q105" s="133" t="n"/>
      <c r="R105" s="17" t="n"/>
      <c r="S105" s="132">
        <f>DADOS_AM!$HD$10</f>
        <v/>
      </c>
      <c r="T105" s="17" t="n"/>
      <c r="U105" s="123" t="n"/>
    </row>
    <row r="106" hidden="1" outlineLevel="2">
      <c r="A106" s="8" t="n"/>
      <c r="B106" s="14" t="n"/>
      <c r="C106" s="123" t="n"/>
      <c r="D106" s="55" t="inlineStr">
        <is>
          <t>RESTRIÇÕES</t>
        </is>
      </c>
      <c r="E106" s="133" t="n"/>
      <c r="F106" s="17" t="n"/>
      <c r="G106" s="132">
        <f>DADOS_AM!$HE$8</f>
        <v/>
      </c>
      <c r="H106" s="17" t="n"/>
      <c r="I106" s="123" t="n"/>
      <c r="J106" s="55" t="inlineStr">
        <is>
          <t>RESTRIÇÕES</t>
        </is>
      </c>
      <c r="K106" s="133" t="n"/>
      <c r="L106" s="17" t="n"/>
      <c r="M106" s="132">
        <f>DADOS_AM!$HE$9</f>
        <v/>
      </c>
      <c r="N106" s="17" t="n"/>
      <c r="O106" s="123" t="n"/>
      <c r="P106" s="55" t="inlineStr">
        <is>
          <t>RESTRIÇÕES</t>
        </is>
      </c>
      <c r="Q106" s="133" t="n"/>
      <c r="R106" s="17" t="n"/>
      <c r="S106" s="132">
        <f>DADOS_AM!$HE$10</f>
        <v/>
      </c>
      <c r="T106" s="17" t="n"/>
      <c r="U106" s="123" t="n"/>
    </row>
    <row r="107" hidden="1" outlineLevel="2">
      <c r="A107" s="8" t="n"/>
      <c r="B107" s="14" t="n"/>
      <c r="C107" s="123" t="n"/>
      <c r="D107" s="128" t="n"/>
      <c r="E107" s="133" t="n"/>
      <c r="F107" s="17" t="n"/>
      <c r="G107" s="132">
        <f>DADOS_AM!$HF$8</f>
        <v/>
      </c>
      <c r="H107" s="17" t="n"/>
      <c r="I107" s="123" t="n"/>
      <c r="J107" s="128" t="n"/>
      <c r="K107" s="133" t="n"/>
      <c r="L107" s="17" t="n"/>
      <c r="M107" s="132">
        <f>DADOS_AM!$HF$9</f>
        <v/>
      </c>
      <c r="N107" s="17" t="n"/>
      <c r="O107" s="123" t="n"/>
      <c r="P107" s="128" t="n"/>
      <c r="Q107" s="133" t="n"/>
      <c r="R107" s="17" t="n"/>
      <c r="S107" s="132">
        <f>DADOS_AM!$HF$10</f>
        <v/>
      </c>
      <c r="T107" s="17" t="n"/>
      <c r="U107" s="123" t="n"/>
    </row>
    <row r="108" hidden="1" outlineLevel="2">
      <c r="A108" s="8" t="n"/>
      <c r="B108" s="14" t="n"/>
      <c r="C108" s="123" t="n"/>
      <c r="D108" s="55" t="inlineStr">
        <is>
          <t>CONTA</t>
        </is>
      </c>
      <c r="E108" s="135">
        <f>DADOS_AM!$GY$8</f>
        <v/>
      </c>
      <c r="F108" s="16" t="n"/>
      <c r="G108" s="16" t="n"/>
      <c r="H108" s="17" t="n"/>
      <c r="I108" s="123" t="n"/>
      <c r="J108" s="55" t="inlineStr">
        <is>
          <t>CONTA</t>
        </is>
      </c>
      <c r="K108" s="135">
        <f>DADOS_AM!$GY$9</f>
        <v/>
      </c>
      <c r="L108" s="16" t="n"/>
      <c r="M108" s="16" t="n"/>
      <c r="N108" s="17" t="n"/>
      <c r="O108" s="123" t="n"/>
      <c r="P108" s="55" t="inlineStr">
        <is>
          <t>CONTA</t>
        </is>
      </c>
      <c r="Q108" s="135">
        <f>DADOS_AM!$GY$10</f>
        <v/>
      </c>
      <c r="R108" s="16" t="n"/>
      <c r="S108" s="16" t="n"/>
      <c r="T108" s="17" t="n"/>
      <c r="U108" s="123" t="n"/>
    </row>
    <row r="109" hidden="1" outlineLevel="2">
      <c r="A109" s="8" t="n"/>
      <c r="B109" s="14" t="n"/>
      <c r="C109" s="123" t="n"/>
      <c r="D109" s="55" t="inlineStr">
        <is>
          <t>AMPLIAR</t>
        </is>
      </c>
      <c r="E109" s="135">
        <f>DADOS_AM!$GZ$8</f>
        <v/>
      </c>
      <c r="F109" s="19" t="n"/>
      <c r="G109" s="19" t="n"/>
      <c r="H109" s="20" t="n"/>
      <c r="I109" s="123" t="n"/>
      <c r="J109" s="55" t="inlineStr">
        <is>
          <t>AMPLIAR</t>
        </is>
      </c>
      <c r="K109" s="135">
        <f>DADOS_AM!$GZ$9</f>
        <v/>
      </c>
      <c r="L109" s="19" t="n"/>
      <c r="M109" s="19" t="n"/>
      <c r="N109" s="20" t="n"/>
      <c r="O109" s="123" t="n"/>
      <c r="P109" s="55" t="inlineStr">
        <is>
          <t>AMPLIAR</t>
        </is>
      </c>
      <c r="Q109" s="135">
        <f>DADOS_AM!$GZ$10</f>
        <v/>
      </c>
      <c r="R109" s="19" t="n"/>
      <c r="S109" s="19" t="n"/>
      <c r="T109" s="20" t="n"/>
      <c r="U109" s="123" t="n"/>
    </row>
    <row r="110" hidden="1" outlineLevel="2">
      <c r="A110" s="8" t="n"/>
      <c r="B110" s="14" t="n"/>
      <c r="C110" s="123" t="n"/>
      <c r="D110" s="128" t="n"/>
      <c r="E110" s="23" t="n"/>
      <c r="F110" s="24" t="n"/>
      <c r="G110" s="24" t="n"/>
      <c r="H110" s="25" t="n"/>
      <c r="I110" s="123" t="n"/>
      <c r="J110" s="128" t="n"/>
      <c r="K110" s="23" t="n"/>
      <c r="L110" s="24" t="n"/>
      <c r="M110" s="24" t="n"/>
      <c r="N110" s="25" t="n"/>
      <c r="O110" s="123" t="n"/>
      <c r="P110" s="128" t="n"/>
      <c r="Q110" s="23" t="n"/>
      <c r="R110" s="24" t="n"/>
      <c r="S110" s="24" t="n"/>
      <c r="T110" s="25" t="n"/>
      <c r="U110" s="123" t="n"/>
    </row>
    <row r="111" hidden="1" outlineLevel="2">
      <c r="A111" s="8" t="n"/>
      <c r="B111" s="14" t="n"/>
      <c r="C111" s="123" t="n"/>
      <c r="D111" s="55" t="inlineStr">
        <is>
          <t>AVISOS</t>
        </is>
      </c>
      <c r="E111" s="135">
        <f>DADOS_AM!$GO$8</f>
        <v/>
      </c>
      <c r="F111" s="19" t="n"/>
      <c r="G111" s="19" t="n"/>
      <c r="H111" s="20" t="n"/>
      <c r="I111" s="123" t="n"/>
      <c r="J111" s="55" t="inlineStr">
        <is>
          <t>AVISOS</t>
        </is>
      </c>
      <c r="K111" s="135">
        <f>DADOS_AM!$GO$9</f>
        <v/>
      </c>
      <c r="L111" s="19" t="n"/>
      <c r="M111" s="19" t="n"/>
      <c r="N111" s="20" t="n"/>
      <c r="O111" s="123" t="n"/>
      <c r="P111" s="55" t="inlineStr">
        <is>
          <t>AVISOS</t>
        </is>
      </c>
      <c r="Q111" s="135">
        <f>DADOS_AM!$GO$10</f>
        <v/>
      </c>
      <c r="R111" s="19" t="n"/>
      <c r="S111" s="19" t="n"/>
      <c r="T111" s="20" t="n"/>
      <c r="U111" s="123" t="n"/>
    </row>
    <row r="112" hidden="1" outlineLevel="2">
      <c r="A112" s="8" t="n"/>
      <c r="B112" s="14" t="n"/>
      <c r="C112" s="123" t="n"/>
      <c r="D112" s="128" t="n"/>
      <c r="E112" s="23" t="n"/>
      <c r="F112" s="24" t="n"/>
      <c r="G112" s="24" t="n"/>
      <c r="H112" s="25" t="n"/>
      <c r="I112" s="123" t="n"/>
      <c r="J112" s="128" t="n"/>
      <c r="K112" s="23" t="n"/>
      <c r="L112" s="24" t="n"/>
      <c r="M112" s="24" t="n"/>
      <c r="N112" s="25" t="n"/>
      <c r="O112" s="123" t="n"/>
      <c r="P112" s="128" t="n"/>
      <c r="Q112" s="23" t="n"/>
      <c r="R112" s="24" t="n"/>
      <c r="S112" s="24" t="n"/>
      <c r="T112" s="25" t="n"/>
      <c r="U112" s="123" t="n"/>
    </row>
    <row r="113" outlineLevel="1">
      <c r="A113" s="8" t="n"/>
      <c r="B113" s="14" t="n"/>
      <c r="C113" s="123" t="n"/>
      <c r="D113" s="123" t="n"/>
      <c r="E113" s="123" t="n"/>
      <c r="F113" s="123" t="n"/>
      <c r="G113" s="123" t="n"/>
      <c r="H113" s="123" t="n"/>
      <c r="I113" s="123" t="n"/>
      <c r="J113" s="123" t="n"/>
      <c r="K113" s="123" t="n"/>
      <c r="L113" s="123" t="n"/>
      <c r="M113" s="123" t="n"/>
      <c r="N113" s="123" t="n"/>
      <c r="O113" s="123" t="n"/>
      <c r="P113" s="123" t="n"/>
      <c r="Q113" s="123" t="n"/>
      <c r="R113" s="123" t="n"/>
      <c r="S113" s="123" t="n"/>
      <c r="T113" s="123" t="n"/>
      <c r="U113" s="123" t="n"/>
    </row>
    <row r="114" outlineLevel="1">
      <c r="A114" s="8" t="n"/>
      <c r="B114" s="14" t="n"/>
      <c r="C114" s="123" t="n"/>
      <c r="D114" s="130" t="n">
        <v>1</v>
      </c>
      <c r="E114" s="118" t="n"/>
      <c r="F114" s="17" t="n"/>
      <c r="G114" s="131">
        <f>DADOS_AM!$GN$11</f>
        <v/>
      </c>
      <c r="H114" s="17" t="n"/>
      <c r="I114" s="123" t="n"/>
      <c r="J114" s="130" t="n">
        <v>1</v>
      </c>
      <c r="K114" s="118" t="n"/>
      <c r="L114" s="17" t="n"/>
      <c r="M114" s="131">
        <f>DADOS_AM!$GN$12</f>
        <v/>
      </c>
      <c r="N114" s="17" t="n"/>
      <c r="O114" s="123" t="n"/>
      <c r="P114" s="130" t="n">
        <v>1</v>
      </c>
      <c r="Q114" s="118" t="n"/>
      <c r="R114" s="17" t="n"/>
      <c r="S114" s="131">
        <f>DADOS_AM!$GN$13</f>
        <v/>
      </c>
      <c r="T114" s="17" t="n"/>
      <c r="U114" s="123" t="n"/>
    </row>
    <row r="115" hidden="1" outlineLevel="2">
      <c r="A115" s="8" t="n"/>
      <c r="B115" s="14" t="n"/>
      <c r="C115" s="123" t="n"/>
      <c r="D115" s="55" t="inlineStr">
        <is>
          <t>COMO É</t>
        </is>
      </c>
      <c r="E115" s="16" t="n"/>
      <c r="F115" s="16" t="n"/>
      <c r="G115" s="16" t="n"/>
      <c r="H115" s="17" t="n"/>
      <c r="I115" s="123" t="n"/>
      <c r="J115" s="55" t="inlineStr">
        <is>
          <t>COMO É</t>
        </is>
      </c>
      <c r="K115" s="16" t="n"/>
      <c r="L115" s="16" t="n"/>
      <c r="M115" s="16" t="n"/>
      <c r="N115" s="17" t="n"/>
      <c r="O115" s="123" t="n"/>
      <c r="P115" s="55" t="inlineStr">
        <is>
          <t>COMO É</t>
        </is>
      </c>
      <c r="Q115" s="16" t="n"/>
      <c r="R115" s="16" t="n"/>
      <c r="S115" s="16" t="n"/>
      <c r="T115" s="17" t="n"/>
      <c r="U115" s="123" t="n"/>
    </row>
    <row r="116" hidden="1" outlineLevel="2">
      <c r="A116" s="8" t="n"/>
      <c r="B116" s="14" t="n"/>
      <c r="C116" s="123" t="n"/>
      <c r="D116" s="119" t="n"/>
      <c r="E116" s="19" t="n"/>
      <c r="F116" s="19" t="n"/>
      <c r="G116" s="19" t="n"/>
      <c r="H116" s="20" t="n"/>
      <c r="I116" s="123" t="n"/>
      <c r="J116" s="119" t="n"/>
      <c r="K116" s="19" t="n"/>
      <c r="L116" s="19" t="n"/>
      <c r="M116" s="19" t="n"/>
      <c r="N116" s="20" t="n"/>
      <c r="O116" s="123" t="n"/>
      <c r="P116" s="119" t="n"/>
      <c r="Q116" s="19" t="n"/>
      <c r="R116" s="19" t="n"/>
      <c r="S116" s="19" t="n"/>
      <c r="T116" s="20" t="n"/>
      <c r="U116" s="123" t="n"/>
    </row>
    <row r="117" hidden="1" outlineLevel="2">
      <c r="A117" s="8" t="n"/>
      <c r="B117" s="14" t="n"/>
      <c r="C117" s="123" t="n"/>
      <c r="D117" s="21" t="n"/>
      <c r="H117" s="22" t="n"/>
      <c r="I117" s="123" t="n"/>
      <c r="J117" s="21" t="n"/>
      <c r="N117" s="22" t="n"/>
      <c r="O117" s="123" t="n"/>
      <c r="P117" s="21" t="n"/>
      <c r="T117" s="22" t="n"/>
      <c r="U117" s="123" t="n"/>
    </row>
    <row r="118" hidden="1" outlineLevel="2">
      <c r="A118" s="8" t="n"/>
      <c r="B118" s="14" t="n"/>
      <c r="C118" s="123" t="n"/>
      <c r="D118" s="21" t="n"/>
      <c r="H118" s="22" t="n"/>
      <c r="I118" s="123" t="n"/>
      <c r="J118" s="21" t="n"/>
      <c r="N118" s="22" t="n"/>
      <c r="O118" s="123" t="n"/>
      <c r="P118" s="21" t="n"/>
      <c r="T118" s="22" t="n"/>
      <c r="U118" s="123" t="n"/>
    </row>
    <row r="119" hidden="1" outlineLevel="2">
      <c r="A119" s="8" t="n"/>
      <c r="B119" s="14" t="n"/>
      <c r="C119" s="123" t="n"/>
      <c r="D119" s="21" t="n"/>
      <c r="H119" s="22" t="n"/>
      <c r="I119" s="123" t="n"/>
      <c r="J119" s="21" t="n"/>
      <c r="N119" s="22" t="n"/>
      <c r="O119" s="123" t="n"/>
      <c r="P119" s="21" t="n"/>
      <c r="T119" s="22" t="n"/>
      <c r="U119" s="123" t="n"/>
    </row>
    <row r="120" hidden="1" outlineLevel="2">
      <c r="A120" s="8" t="n"/>
      <c r="B120" s="14" t="n"/>
      <c r="C120" s="123" t="n"/>
      <c r="D120" s="23" t="n"/>
      <c r="E120" s="24" t="n"/>
      <c r="F120" s="24" t="n"/>
      <c r="G120" s="24" t="n"/>
      <c r="H120" s="25" t="n"/>
      <c r="I120" s="123" t="n"/>
      <c r="J120" s="23" t="n"/>
      <c r="K120" s="24" t="n"/>
      <c r="L120" s="24" t="n"/>
      <c r="M120" s="24" t="n"/>
      <c r="N120" s="25" t="n"/>
      <c r="O120" s="123" t="n"/>
      <c r="P120" s="23" t="n"/>
      <c r="Q120" s="24" t="n"/>
      <c r="R120" s="24" t="n"/>
      <c r="S120" s="24" t="n"/>
      <c r="T120" s="25" t="n"/>
      <c r="U120" s="123" t="n"/>
    </row>
    <row r="121" outlineLevel="1">
      <c r="A121" s="8" t="n"/>
      <c r="B121" s="14" t="n"/>
      <c r="C121" s="123" t="n"/>
      <c r="D121" s="127" t="inlineStr">
        <is>
          <t>Projétil</t>
        </is>
      </c>
      <c r="E121" s="68">
        <f>DADOS_AM!$GS$11</f>
        <v/>
      </c>
      <c r="F121" s="68">
        <f>DADOS_AM!$GP$11</f>
        <v/>
      </c>
      <c r="G121" s="127">
        <f>DADOS_AM!$GR$11</f>
        <v/>
      </c>
      <c r="H121" s="17" t="n"/>
      <c r="I121" s="123" t="n"/>
      <c r="J121" s="127" t="inlineStr">
        <is>
          <t>Projétil</t>
        </is>
      </c>
      <c r="K121" s="68">
        <f>DADOS_AM!$GS$12</f>
        <v/>
      </c>
      <c r="L121" s="68">
        <f>DADOS_AM!$GP$12</f>
        <v/>
      </c>
      <c r="M121" s="127">
        <f>DADOS_AM!$GR$12</f>
        <v/>
      </c>
      <c r="N121" s="17" t="n"/>
      <c r="O121" s="123" t="n"/>
      <c r="P121" s="127" t="inlineStr">
        <is>
          <t>Projétil</t>
        </is>
      </c>
      <c r="Q121" s="68">
        <f>DADOS_AM!$GS$13</f>
        <v/>
      </c>
      <c r="R121" s="68">
        <f>DADOS_AM!$GP$13</f>
        <v/>
      </c>
      <c r="S121" s="127">
        <f>DADOS_AM!$GR$13</f>
        <v/>
      </c>
      <c r="T121" s="17" t="n"/>
      <c r="U121" s="123" t="n"/>
    </row>
    <row r="122" outlineLevel="1">
      <c r="A122" s="8" t="n"/>
      <c r="B122" s="14" t="n"/>
      <c r="C122" s="123" t="n"/>
      <c r="D122" s="127">
        <f>DADOS_AM!$GQ$11</f>
        <v/>
      </c>
      <c r="E122" s="132">
        <f>DADOS_AM!$GX$11</f>
        <v/>
      </c>
      <c r="F122" s="16" t="n"/>
      <c r="G122" s="16" t="n"/>
      <c r="H122" s="17" t="n"/>
      <c r="I122" s="123" t="n"/>
      <c r="J122" s="127">
        <f>DADOS_AM!$GQ$12</f>
        <v/>
      </c>
      <c r="K122" s="132">
        <f>DADOS_AM!$GX$12</f>
        <v/>
      </c>
      <c r="L122" s="16" t="n"/>
      <c r="M122" s="16" t="n"/>
      <c r="N122" s="17" t="n"/>
      <c r="O122" s="123" t="n"/>
      <c r="P122" s="127">
        <f>DADOS_AM!$GQ$13</f>
        <v/>
      </c>
      <c r="Q122" s="132">
        <f>DADOS_AM!$GX$13</f>
        <v/>
      </c>
      <c r="R122" s="16" t="n"/>
      <c r="S122" s="16" t="n"/>
      <c r="T122" s="17" t="n"/>
      <c r="U122" s="123" t="n"/>
    </row>
    <row r="123" hidden="1" outlineLevel="2">
      <c r="A123" s="8" t="n"/>
      <c r="B123" s="14" t="n"/>
      <c r="C123" s="123" t="n"/>
      <c r="D123" s="55" t="inlineStr">
        <is>
          <t>MELHORIAS</t>
        </is>
      </c>
      <c r="E123" s="133" t="n"/>
      <c r="F123" s="17" t="n"/>
      <c r="G123" s="132">
        <f>DADOS_AM!$HA$11</f>
        <v/>
      </c>
      <c r="H123" s="17" t="n"/>
      <c r="I123" s="123" t="n"/>
      <c r="J123" s="55" t="inlineStr">
        <is>
          <t>MELHORIAS</t>
        </is>
      </c>
      <c r="K123" s="133" t="n"/>
      <c r="L123" s="17" t="n"/>
      <c r="M123" s="132">
        <f>DADOS_AM!$HA$12</f>
        <v/>
      </c>
      <c r="N123" s="17" t="n"/>
      <c r="O123" s="123" t="n"/>
      <c r="P123" s="55" t="inlineStr">
        <is>
          <t>MELHORIAS</t>
        </is>
      </c>
      <c r="Q123" s="133" t="n"/>
      <c r="R123" s="17" t="n"/>
      <c r="S123" s="132">
        <f>DADOS_AM!$HA$13</f>
        <v/>
      </c>
      <c r="T123" s="17" t="n"/>
      <c r="U123" s="123" t="n"/>
    </row>
    <row r="124" hidden="1" outlineLevel="2">
      <c r="A124" s="8" t="n"/>
      <c r="B124" s="14" t="n"/>
      <c r="C124" s="123" t="n"/>
      <c r="D124" s="134" t="n"/>
      <c r="E124" s="133" t="n"/>
      <c r="F124" s="17" t="n"/>
      <c r="G124" s="132">
        <f>DADOS_AM!$HB$11</f>
        <v/>
      </c>
      <c r="H124" s="17" t="n"/>
      <c r="I124" s="123" t="n"/>
      <c r="J124" s="134" t="n"/>
      <c r="K124" s="133" t="n"/>
      <c r="L124" s="17" t="n"/>
      <c r="M124" s="132">
        <f>DADOS_AM!$HB$12</f>
        <v/>
      </c>
      <c r="N124" s="17" t="n"/>
      <c r="O124" s="123" t="n"/>
      <c r="P124" s="134" t="n"/>
      <c r="Q124" s="133" t="n"/>
      <c r="R124" s="17" t="n"/>
      <c r="S124" s="132">
        <f>DADOS_AM!$HB$13</f>
        <v/>
      </c>
      <c r="T124" s="17" t="n"/>
      <c r="U124" s="123" t="n"/>
    </row>
    <row r="125" hidden="1" outlineLevel="2">
      <c r="A125" s="8" t="n"/>
      <c r="B125" s="14" t="n"/>
      <c r="C125" s="123" t="n"/>
      <c r="D125" s="134" t="n"/>
      <c r="E125" s="133" t="n"/>
      <c r="F125" s="17" t="n"/>
      <c r="G125" s="132">
        <f>DADOS_AM!$HC$11</f>
        <v/>
      </c>
      <c r="H125" s="17" t="n"/>
      <c r="I125" s="123" t="n"/>
      <c r="J125" s="134" t="n"/>
      <c r="K125" s="133" t="n"/>
      <c r="L125" s="17" t="n"/>
      <c r="M125" s="132">
        <f>DADOS_AM!$HC$12</f>
        <v/>
      </c>
      <c r="N125" s="17" t="n"/>
      <c r="O125" s="123" t="n"/>
      <c r="P125" s="134" t="n"/>
      <c r="Q125" s="133" t="n"/>
      <c r="R125" s="17" t="n"/>
      <c r="S125" s="132">
        <f>DADOS_AM!$HC$13</f>
        <v/>
      </c>
      <c r="T125" s="17" t="n"/>
      <c r="U125" s="123" t="n"/>
    </row>
    <row r="126" hidden="1" outlineLevel="2">
      <c r="A126" s="8" t="n"/>
      <c r="B126" s="14" t="n"/>
      <c r="C126" s="123" t="n"/>
      <c r="D126" s="128" t="n"/>
      <c r="E126" s="133" t="n"/>
      <c r="F126" s="17" t="n"/>
      <c r="G126" s="132">
        <f>DADOS_AM!$HD$11</f>
        <v/>
      </c>
      <c r="H126" s="17" t="n"/>
      <c r="I126" s="123" t="n"/>
      <c r="J126" s="128" t="n"/>
      <c r="K126" s="133" t="n"/>
      <c r="L126" s="17" t="n"/>
      <c r="M126" s="132">
        <f>DADOS_AM!$HD$12</f>
        <v/>
      </c>
      <c r="N126" s="17" t="n"/>
      <c r="O126" s="123" t="n"/>
      <c r="P126" s="128" t="n"/>
      <c r="Q126" s="133" t="n"/>
      <c r="R126" s="17" t="n"/>
      <c r="S126" s="132">
        <f>DADOS_AM!$HD$13</f>
        <v/>
      </c>
      <c r="T126" s="17" t="n"/>
      <c r="U126" s="123" t="n"/>
    </row>
    <row r="127" hidden="1" outlineLevel="2">
      <c r="A127" s="8" t="n"/>
      <c r="B127" s="14" t="n"/>
      <c r="C127" s="123" t="n"/>
      <c r="D127" s="55" t="inlineStr">
        <is>
          <t>RESTRIÇÕES</t>
        </is>
      </c>
      <c r="E127" s="133" t="n"/>
      <c r="F127" s="17" t="n"/>
      <c r="G127" s="132">
        <f>DADOS_AM!$HE$11</f>
        <v/>
      </c>
      <c r="H127" s="17" t="n"/>
      <c r="I127" s="123" t="n"/>
      <c r="J127" s="55" t="inlineStr">
        <is>
          <t>RESTRIÇÕES</t>
        </is>
      </c>
      <c r="K127" s="133" t="n"/>
      <c r="L127" s="17" t="n"/>
      <c r="M127" s="132">
        <f>DADOS_AM!$HE$12</f>
        <v/>
      </c>
      <c r="N127" s="17" t="n"/>
      <c r="O127" s="123" t="n"/>
      <c r="P127" s="55" t="inlineStr">
        <is>
          <t>RESTRIÇÕES</t>
        </is>
      </c>
      <c r="Q127" s="133" t="n"/>
      <c r="R127" s="17" t="n"/>
      <c r="S127" s="132">
        <f>DADOS_AM!$HE$13</f>
        <v/>
      </c>
      <c r="T127" s="17" t="n"/>
      <c r="U127" s="123" t="n"/>
    </row>
    <row r="128" hidden="1" outlineLevel="2">
      <c r="A128" s="8" t="n"/>
      <c r="B128" s="14" t="n"/>
      <c r="C128" s="123" t="n"/>
      <c r="D128" s="128" t="n"/>
      <c r="E128" s="133" t="n"/>
      <c r="F128" s="17" t="n"/>
      <c r="G128" s="132">
        <f>DADOS_AM!$HF$11</f>
        <v/>
      </c>
      <c r="H128" s="17" t="n"/>
      <c r="I128" s="123" t="n"/>
      <c r="J128" s="128" t="n"/>
      <c r="K128" s="133" t="n"/>
      <c r="L128" s="17" t="n"/>
      <c r="M128" s="132">
        <f>DADOS_AM!$HF$12</f>
        <v/>
      </c>
      <c r="N128" s="17" t="n"/>
      <c r="O128" s="123" t="n"/>
      <c r="P128" s="128" t="n"/>
      <c r="Q128" s="133" t="n"/>
      <c r="R128" s="17" t="n"/>
      <c r="S128" s="132">
        <f>DADOS_AM!$HF$13</f>
        <v/>
      </c>
      <c r="T128" s="17" t="n"/>
      <c r="U128" s="123" t="n"/>
    </row>
    <row r="129" hidden="1" outlineLevel="2">
      <c r="A129" s="8" t="n"/>
      <c r="B129" s="14" t="n"/>
      <c r="C129" s="123" t="n"/>
      <c r="D129" s="55" t="inlineStr">
        <is>
          <t>CONTA</t>
        </is>
      </c>
      <c r="E129" s="135">
        <f>DADOS_AM!$GY$11</f>
        <v/>
      </c>
      <c r="F129" s="16" t="n"/>
      <c r="G129" s="16" t="n"/>
      <c r="H129" s="17" t="n"/>
      <c r="I129" s="123" t="n"/>
      <c r="J129" s="55" t="inlineStr">
        <is>
          <t>CONTA</t>
        </is>
      </c>
      <c r="K129" s="135">
        <f>DADOS_AM!$GY$12</f>
        <v/>
      </c>
      <c r="L129" s="16" t="n"/>
      <c r="M129" s="16" t="n"/>
      <c r="N129" s="17" t="n"/>
      <c r="O129" s="123" t="n"/>
      <c r="P129" s="55" t="inlineStr">
        <is>
          <t>CONTA</t>
        </is>
      </c>
      <c r="Q129" s="135">
        <f>DADOS_AM!$GY$13</f>
        <v/>
      </c>
      <c r="R129" s="16" t="n"/>
      <c r="S129" s="16" t="n"/>
      <c r="T129" s="17" t="n"/>
      <c r="U129" s="123" t="n"/>
    </row>
    <row r="130" hidden="1" outlineLevel="2">
      <c r="A130" s="8" t="n"/>
      <c r="B130" s="14" t="n"/>
      <c r="C130" s="123" t="n"/>
      <c r="D130" s="55" t="inlineStr">
        <is>
          <t>AMPLIAR</t>
        </is>
      </c>
      <c r="E130" s="135">
        <f>DADOS_AM!$GZ$11</f>
        <v/>
      </c>
      <c r="F130" s="19" t="n"/>
      <c r="G130" s="19" t="n"/>
      <c r="H130" s="20" t="n"/>
      <c r="I130" s="123" t="n"/>
      <c r="J130" s="55" t="inlineStr">
        <is>
          <t>AMPLIAR</t>
        </is>
      </c>
      <c r="K130" s="135">
        <f>DADOS_AM!$GZ$12</f>
        <v/>
      </c>
      <c r="L130" s="19" t="n"/>
      <c r="M130" s="19" t="n"/>
      <c r="N130" s="20" t="n"/>
      <c r="O130" s="123" t="n"/>
      <c r="P130" s="55" t="inlineStr">
        <is>
          <t>AMPLIAR</t>
        </is>
      </c>
      <c r="Q130" s="135">
        <f>DADOS_AM!$GZ$13</f>
        <v/>
      </c>
      <c r="R130" s="19" t="n"/>
      <c r="S130" s="19" t="n"/>
      <c r="T130" s="20" t="n"/>
      <c r="U130" s="123" t="n"/>
    </row>
    <row r="131" hidden="1" outlineLevel="2">
      <c r="A131" s="8" t="n"/>
      <c r="B131" s="14" t="n"/>
      <c r="C131" s="123" t="n"/>
      <c r="D131" s="128" t="n"/>
      <c r="E131" s="23" t="n"/>
      <c r="F131" s="24" t="n"/>
      <c r="G131" s="24" t="n"/>
      <c r="H131" s="25" t="n"/>
      <c r="I131" s="123" t="n"/>
      <c r="J131" s="128" t="n"/>
      <c r="K131" s="23" t="n"/>
      <c r="L131" s="24" t="n"/>
      <c r="M131" s="24" t="n"/>
      <c r="N131" s="25" t="n"/>
      <c r="O131" s="123" t="n"/>
      <c r="P131" s="128" t="n"/>
      <c r="Q131" s="23" t="n"/>
      <c r="R131" s="24" t="n"/>
      <c r="S131" s="24" t="n"/>
      <c r="T131" s="25" t="n"/>
      <c r="U131" s="123" t="n"/>
    </row>
    <row r="132" hidden="1" outlineLevel="2">
      <c r="A132" s="8" t="n"/>
      <c r="B132" s="14" t="n"/>
      <c r="C132" s="123" t="n"/>
      <c r="D132" s="55" t="inlineStr">
        <is>
          <t>AVISOS</t>
        </is>
      </c>
      <c r="E132" s="135">
        <f>DADOS_AM!$GO$11</f>
        <v/>
      </c>
      <c r="F132" s="19" t="n"/>
      <c r="G132" s="19" t="n"/>
      <c r="H132" s="20" t="n"/>
      <c r="I132" s="123" t="n"/>
      <c r="J132" s="55" t="inlineStr">
        <is>
          <t>AVISOS</t>
        </is>
      </c>
      <c r="K132" s="135">
        <f>DADOS_AM!$GO$12</f>
        <v/>
      </c>
      <c r="L132" s="19" t="n"/>
      <c r="M132" s="19" t="n"/>
      <c r="N132" s="20" t="n"/>
      <c r="O132" s="123" t="n"/>
      <c r="P132" s="55" t="inlineStr">
        <is>
          <t>AVISOS</t>
        </is>
      </c>
      <c r="Q132" s="135">
        <f>DADOS_AM!$GO$13</f>
        <v/>
      </c>
      <c r="R132" s="19" t="n"/>
      <c r="S132" s="19" t="n"/>
      <c r="T132" s="20" t="n"/>
      <c r="U132" s="123" t="n"/>
    </row>
    <row r="133" hidden="1" outlineLevel="2">
      <c r="A133" s="8" t="n"/>
      <c r="B133" s="14" t="n"/>
      <c r="C133" s="123" t="n"/>
      <c r="D133" s="128" t="n"/>
      <c r="E133" s="23" t="n"/>
      <c r="F133" s="24" t="n"/>
      <c r="G133" s="24" t="n"/>
      <c r="H133" s="25" t="n"/>
      <c r="I133" s="123" t="n"/>
      <c r="J133" s="128" t="n"/>
      <c r="K133" s="23" t="n"/>
      <c r="L133" s="24" t="n"/>
      <c r="M133" s="24" t="n"/>
      <c r="N133" s="25" t="n"/>
      <c r="O133" s="123" t="n"/>
      <c r="P133" s="128" t="n"/>
      <c r="Q133" s="23" t="n"/>
      <c r="R133" s="24" t="n"/>
      <c r="S133" s="24" t="n"/>
      <c r="T133" s="25" t="n"/>
      <c r="U133" s="123" t="n"/>
    </row>
    <row r="134" outlineLevel="1">
      <c r="A134" s="8" t="n"/>
      <c r="B134" s="14" t="n"/>
      <c r="C134" s="123" t="n"/>
      <c r="D134" s="123" t="n"/>
      <c r="E134" s="123" t="n"/>
      <c r="F134" s="123" t="n"/>
      <c r="G134" s="123" t="n"/>
      <c r="H134" s="123" t="n"/>
      <c r="I134" s="123" t="n"/>
      <c r="J134" s="123" t="n"/>
      <c r="K134" s="123" t="n"/>
      <c r="L134" s="123" t="n"/>
      <c r="M134" s="123" t="n"/>
      <c r="N134" s="123" t="n"/>
      <c r="O134" s="123" t="n"/>
      <c r="P134" s="123" t="n"/>
      <c r="Q134" s="123" t="n"/>
      <c r="R134" s="123" t="n"/>
      <c r="S134" s="123" t="n"/>
      <c r="T134" s="123" t="n"/>
      <c r="U134" s="123" t="n"/>
    </row>
    <row r="135" outlineLevel="1">
      <c r="A135" s="8" t="n"/>
      <c r="B135" s="14" t="n"/>
      <c r="C135" s="123" t="n"/>
      <c r="D135" s="136">
        <f>DADOS_AM!$KT$34</f>
        <v/>
      </c>
      <c r="E135" s="16" t="n"/>
      <c r="F135" s="16" t="n"/>
      <c r="G135" s="16" t="n"/>
      <c r="H135" s="16" t="n"/>
      <c r="I135" s="16" t="n"/>
      <c r="J135" s="16" t="n"/>
      <c r="K135" s="16" t="n"/>
      <c r="L135" s="16" t="n"/>
      <c r="M135" s="16" t="n"/>
      <c r="N135" s="16" t="n"/>
      <c r="O135" s="16" t="n"/>
      <c r="P135" s="16" t="n"/>
      <c r="Q135" s="16" t="n"/>
      <c r="R135" s="16" t="n"/>
      <c r="S135" s="16" t="n"/>
      <c r="T135" s="17" t="n"/>
      <c r="U135" s="123" t="n"/>
    </row>
    <row r="136" hidden="1" outlineLevel="2">
      <c r="A136" s="8" t="n"/>
      <c r="B136" s="14" t="n"/>
      <c r="C136" s="123" t="n"/>
      <c r="D136" s="123" t="n"/>
      <c r="E136" s="123" t="n"/>
      <c r="F136" s="123" t="n"/>
      <c r="G136" s="123" t="n"/>
      <c r="H136" s="123" t="n"/>
      <c r="I136" s="123" t="n"/>
      <c r="J136" s="123" t="n"/>
      <c r="K136" s="123" t="n"/>
      <c r="L136" s="123" t="n"/>
      <c r="M136" s="123" t="n"/>
      <c r="N136" s="123" t="n"/>
      <c r="O136" s="123" t="n"/>
      <c r="P136" s="123" t="n"/>
      <c r="Q136" s="123" t="n"/>
      <c r="R136" s="123" t="n"/>
      <c r="S136" s="123" t="n"/>
      <c r="T136" s="123" t="n"/>
      <c r="U136" s="123" t="n"/>
    </row>
    <row r="137" hidden="1" outlineLevel="2">
      <c r="A137" s="8" t="n"/>
      <c r="B137" s="14" t="n"/>
      <c r="C137" s="123" t="n"/>
      <c r="D137" s="130" t="n">
        <v>1</v>
      </c>
      <c r="E137" s="118" t="n"/>
      <c r="F137" s="17" t="n"/>
      <c r="G137" s="131">
        <f>DADOS_AM!$GN$14</f>
        <v/>
      </c>
      <c r="H137" s="17" t="n"/>
      <c r="I137" s="123" t="n"/>
      <c r="J137" s="130" t="n">
        <v>1</v>
      </c>
      <c r="K137" s="118" t="n"/>
      <c r="L137" s="17" t="n"/>
      <c r="M137" s="131">
        <f>DADOS_AM!$GN$15</f>
        <v/>
      </c>
      <c r="N137" s="17" t="n"/>
      <c r="O137" s="123" t="n"/>
      <c r="P137" s="130" t="n">
        <v>1</v>
      </c>
      <c r="Q137" s="118" t="n"/>
      <c r="R137" s="17" t="n"/>
      <c r="S137" s="131">
        <f>DADOS_AM!$GN$16</f>
        <v/>
      </c>
      <c r="T137" s="17" t="n"/>
      <c r="U137" s="123" t="n"/>
    </row>
    <row r="138" hidden="1" outlineLevel="3">
      <c r="A138" s="8" t="n"/>
      <c r="B138" s="14" t="n"/>
      <c r="C138" s="123" t="n"/>
      <c r="D138" s="55" t="inlineStr">
        <is>
          <t>COMO É</t>
        </is>
      </c>
      <c r="E138" s="16" t="n"/>
      <c r="F138" s="16" t="n"/>
      <c r="G138" s="16" t="n"/>
      <c r="H138" s="17" t="n"/>
      <c r="I138" s="123" t="n"/>
      <c r="J138" s="55" t="inlineStr">
        <is>
          <t>COMO É</t>
        </is>
      </c>
      <c r="K138" s="16" t="n"/>
      <c r="L138" s="16" t="n"/>
      <c r="M138" s="16" t="n"/>
      <c r="N138" s="17" t="n"/>
      <c r="O138" s="123" t="n"/>
      <c r="P138" s="55" t="inlineStr">
        <is>
          <t>COMO É</t>
        </is>
      </c>
      <c r="Q138" s="16" t="n"/>
      <c r="R138" s="16" t="n"/>
      <c r="S138" s="16" t="n"/>
      <c r="T138" s="17" t="n"/>
      <c r="U138" s="123" t="n"/>
    </row>
    <row r="139" hidden="1" outlineLevel="3">
      <c r="A139" s="8" t="n"/>
      <c r="B139" s="14" t="n"/>
      <c r="C139" s="123" t="n"/>
      <c r="D139" s="119" t="n"/>
      <c r="E139" s="19" t="n"/>
      <c r="F139" s="19" t="n"/>
      <c r="G139" s="19" t="n"/>
      <c r="H139" s="20" t="n"/>
      <c r="I139" s="123" t="n"/>
      <c r="J139" s="119" t="n"/>
      <c r="K139" s="19" t="n"/>
      <c r="L139" s="19" t="n"/>
      <c r="M139" s="19" t="n"/>
      <c r="N139" s="20" t="n"/>
      <c r="O139" s="123" t="n"/>
      <c r="P139" s="119" t="n"/>
      <c r="Q139" s="19" t="n"/>
      <c r="R139" s="19" t="n"/>
      <c r="S139" s="19" t="n"/>
      <c r="T139" s="20" t="n"/>
      <c r="U139" s="123" t="n"/>
    </row>
    <row r="140" hidden="1" outlineLevel="3">
      <c r="A140" s="8" t="n"/>
      <c r="B140" s="14" t="n"/>
      <c r="C140" s="123" t="n"/>
      <c r="D140" s="21" t="n"/>
      <c r="H140" s="22" t="n"/>
      <c r="I140" s="123" t="n"/>
      <c r="J140" s="21" t="n"/>
      <c r="N140" s="22" t="n"/>
      <c r="O140" s="123" t="n"/>
      <c r="P140" s="21" t="n"/>
      <c r="T140" s="22" t="n"/>
      <c r="U140" s="123" t="n"/>
    </row>
    <row r="141" hidden="1" outlineLevel="3">
      <c r="A141" s="8" t="n"/>
      <c r="B141" s="14" t="n"/>
      <c r="C141" s="123" t="n"/>
      <c r="D141" s="21" t="n"/>
      <c r="H141" s="22" t="n"/>
      <c r="I141" s="123" t="n"/>
      <c r="J141" s="21" t="n"/>
      <c r="N141" s="22" t="n"/>
      <c r="O141" s="123" t="n"/>
      <c r="P141" s="21" t="n"/>
      <c r="T141" s="22" t="n"/>
      <c r="U141" s="123" t="n"/>
    </row>
    <row r="142" hidden="1" outlineLevel="3">
      <c r="A142" s="8" t="n"/>
      <c r="B142" s="14" t="n"/>
      <c r="C142" s="123" t="n"/>
      <c r="D142" s="21" t="n"/>
      <c r="H142" s="22" t="n"/>
      <c r="I142" s="123" t="n"/>
      <c r="J142" s="21" t="n"/>
      <c r="N142" s="22" t="n"/>
      <c r="O142" s="123" t="n"/>
      <c r="P142" s="21" t="n"/>
      <c r="T142" s="22" t="n"/>
      <c r="U142" s="123" t="n"/>
    </row>
    <row r="143" hidden="1" outlineLevel="3">
      <c r="A143" s="8" t="n"/>
      <c r="B143" s="14" t="n"/>
      <c r="C143" s="123" t="n"/>
      <c r="D143" s="23" t="n"/>
      <c r="E143" s="24" t="n"/>
      <c r="F143" s="24" t="n"/>
      <c r="G143" s="24" t="n"/>
      <c r="H143" s="25" t="n"/>
      <c r="I143" s="123" t="n"/>
      <c r="J143" s="23" t="n"/>
      <c r="K143" s="24" t="n"/>
      <c r="L143" s="24" t="n"/>
      <c r="M143" s="24" t="n"/>
      <c r="N143" s="25" t="n"/>
      <c r="O143" s="123" t="n"/>
      <c r="P143" s="23" t="n"/>
      <c r="Q143" s="24" t="n"/>
      <c r="R143" s="24" t="n"/>
      <c r="S143" s="24" t="n"/>
      <c r="T143" s="25" t="n"/>
      <c r="U143" s="123" t="n"/>
    </row>
    <row r="144" hidden="1" outlineLevel="2">
      <c r="A144" s="8" t="n"/>
      <c r="B144" s="14" t="n"/>
      <c r="C144" s="123" t="n"/>
      <c r="D144" s="127" t="inlineStr">
        <is>
          <t>Projétil</t>
        </is>
      </c>
      <c r="E144" s="68">
        <f>DADOS_AM!$GS$14</f>
        <v/>
      </c>
      <c r="F144" s="68">
        <f>DADOS_AM!$GP$14</f>
        <v/>
      </c>
      <c r="G144" s="127">
        <f>DADOS_AM!$GR$14</f>
        <v/>
      </c>
      <c r="H144" s="17" t="n"/>
      <c r="I144" s="123" t="n"/>
      <c r="J144" s="127" t="inlineStr">
        <is>
          <t>Projétil</t>
        </is>
      </c>
      <c r="K144" s="68">
        <f>DADOS_AM!$GS$15</f>
        <v/>
      </c>
      <c r="L144" s="68">
        <f>DADOS_AM!$GP$15</f>
        <v/>
      </c>
      <c r="M144" s="127">
        <f>DADOS_AM!$GR$15</f>
        <v/>
      </c>
      <c r="N144" s="17" t="n"/>
      <c r="O144" s="123" t="n"/>
      <c r="P144" s="127" t="inlineStr">
        <is>
          <t>Projétil</t>
        </is>
      </c>
      <c r="Q144" s="68">
        <f>DADOS_AM!$GS$16</f>
        <v/>
      </c>
      <c r="R144" s="68">
        <f>DADOS_AM!$GP$16</f>
        <v/>
      </c>
      <c r="S144" s="127">
        <f>DADOS_AM!$GR$16</f>
        <v/>
      </c>
      <c r="T144" s="17" t="n"/>
      <c r="U144" s="123" t="n"/>
    </row>
    <row r="145" hidden="1" outlineLevel="2">
      <c r="A145" s="8" t="n"/>
      <c r="B145" s="14" t="n"/>
      <c r="C145" s="123" t="n"/>
      <c r="D145" s="127">
        <f>DADOS_AM!$GQ$14</f>
        <v/>
      </c>
      <c r="E145" s="132">
        <f>DADOS_AM!$GX$14</f>
        <v/>
      </c>
      <c r="F145" s="16" t="n"/>
      <c r="G145" s="16" t="n"/>
      <c r="H145" s="17" t="n"/>
      <c r="I145" s="123" t="n"/>
      <c r="J145" s="127">
        <f>DADOS_AM!$GQ$15</f>
        <v/>
      </c>
      <c r="K145" s="132">
        <f>DADOS_AM!$GX$15</f>
        <v/>
      </c>
      <c r="L145" s="16" t="n"/>
      <c r="M145" s="16" t="n"/>
      <c r="N145" s="17" t="n"/>
      <c r="O145" s="123" t="n"/>
      <c r="P145" s="127">
        <f>DADOS_AM!$GQ$16</f>
        <v/>
      </c>
      <c r="Q145" s="132">
        <f>DADOS_AM!$GX$16</f>
        <v/>
      </c>
      <c r="R145" s="16" t="n"/>
      <c r="S145" s="16" t="n"/>
      <c r="T145" s="17" t="n"/>
      <c r="U145" s="123" t="n"/>
    </row>
    <row r="146" hidden="1" outlineLevel="3">
      <c r="A146" s="8" t="n"/>
      <c r="B146" s="14" t="n"/>
      <c r="C146" s="123" t="n"/>
      <c r="D146" s="55" t="inlineStr">
        <is>
          <t>MELHORIAS</t>
        </is>
      </c>
      <c r="E146" s="133" t="n"/>
      <c r="F146" s="17" t="n"/>
      <c r="G146" s="132">
        <f>DADOS_AM!$HA$14</f>
        <v/>
      </c>
      <c r="H146" s="17" t="n"/>
      <c r="I146" s="123" t="n"/>
      <c r="J146" s="55" t="inlineStr">
        <is>
          <t>MELHORIAS</t>
        </is>
      </c>
      <c r="K146" s="133" t="n"/>
      <c r="L146" s="17" t="n"/>
      <c r="M146" s="132">
        <f>DADOS_AM!$HA$15</f>
        <v/>
      </c>
      <c r="N146" s="17" t="n"/>
      <c r="O146" s="123" t="n"/>
      <c r="P146" s="55" t="inlineStr">
        <is>
          <t>MELHORIAS</t>
        </is>
      </c>
      <c r="Q146" s="133" t="n"/>
      <c r="R146" s="17" t="n"/>
      <c r="S146" s="132">
        <f>DADOS_AM!$HA$16</f>
        <v/>
      </c>
      <c r="T146" s="17" t="n"/>
      <c r="U146" s="123" t="n"/>
    </row>
    <row r="147" hidden="1" outlineLevel="3">
      <c r="A147" s="8" t="n"/>
      <c r="B147" s="14" t="n"/>
      <c r="C147" s="123" t="n"/>
      <c r="D147" s="134" t="n"/>
      <c r="E147" s="133" t="n"/>
      <c r="F147" s="17" t="n"/>
      <c r="G147" s="132">
        <f>DADOS_AM!$HB$14</f>
        <v/>
      </c>
      <c r="H147" s="17" t="n"/>
      <c r="I147" s="123" t="n"/>
      <c r="J147" s="134" t="n"/>
      <c r="K147" s="133" t="n"/>
      <c r="L147" s="17" t="n"/>
      <c r="M147" s="132">
        <f>DADOS_AM!$HB$15</f>
        <v/>
      </c>
      <c r="N147" s="17" t="n"/>
      <c r="O147" s="123" t="n"/>
      <c r="P147" s="134" t="n"/>
      <c r="Q147" s="133" t="n"/>
      <c r="R147" s="17" t="n"/>
      <c r="S147" s="132">
        <f>DADOS_AM!$HB$16</f>
        <v/>
      </c>
      <c r="T147" s="17" t="n"/>
      <c r="U147" s="123" t="n"/>
    </row>
    <row r="148" hidden="1" outlineLevel="3">
      <c r="A148" s="8" t="n"/>
      <c r="B148" s="14" t="n"/>
      <c r="C148" s="123" t="n"/>
      <c r="D148" s="134" t="n"/>
      <c r="E148" s="133" t="n"/>
      <c r="F148" s="17" t="n"/>
      <c r="G148" s="132">
        <f>DADOS_AM!$HC$14</f>
        <v/>
      </c>
      <c r="H148" s="17" t="n"/>
      <c r="I148" s="123" t="n"/>
      <c r="J148" s="134" t="n"/>
      <c r="K148" s="133" t="n"/>
      <c r="L148" s="17" t="n"/>
      <c r="M148" s="132">
        <f>DADOS_AM!$HC$15</f>
        <v/>
      </c>
      <c r="N148" s="17" t="n"/>
      <c r="O148" s="123" t="n"/>
      <c r="P148" s="134" t="n"/>
      <c r="Q148" s="133" t="n"/>
      <c r="R148" s="17" t="n"/>
      <c r="S148" s="132">
        <f>DADOS_AM!$HC$16</f>
        <v/>
      </c>
      <c r="T148" s="17" t="n"/>
      <c r="U148" s="123" t="n"/>
    </row>
    <row r="149" hidden="1" outlineLevel="3">
      <c r="A149" s="8" t="n"/>
      <c r="B149" s="14" t="n"/>
      <c r="C149" s="123" t="n"/>
      <c r="D149" s="128" t="n"/>
      <c r="E149" s="133" t="n"/>
      <c r="F149" s="17" t="n"/>
      <c r="G149" s="132">
        <f>DADOS_AM!$HD$14</f>
        <v/>
      </c>
      <c r="H149" s="17" t="n"/>
      <c r="I149" s="123" t="n"/>
      <c r="J149" s="128" t="n"/>
      <c r="K149" s="133" t="n"/>
      <c r="L149" s="17" t="n"/>
      <c r="M149" s="132">
        <f>DADOS_AM!$HD$15</f>
        <v/>
      </c>
      <c r="N149" s="17" t="n"/>
      <c r="O149" s="123" t="n"/>
      <c r="P149" s="128" t="n"/>
      <c r="Q149" s="133" t="n"/>
      <c r="R149" s="17" t="n"/>
      <c r="S149" s="132">
        <f>DADOS_AM!$HD$16</f>
        <v/>
      </c>
      <c r="T149" s="17" t="n"/>
      <c r="U149" s="123" t="n"/>
    </row>
    <row r="150" hidden="1" outlineLevel="3">
      <c r="A150" s="8" t="n"/>
      <c r="B150" s="14" t="n"/>
      <c r="C150" s="123" t="n"/>
      <c r="D150" s="55" t="inlineStr">
        <is>
          <t>RESTRIÇÕES</t>
        </is>
      </c>
      <c r="E150" s="133" t="n"/>
      <c r="F150" s="17" t="n"/>
      <c r="G150" s="132">
        <f>DADOS_AM!$HE$14</f>
        <v/>
      </c>
      <c r="H150" s="17" t="n"/>
      <c r="I150" s="123" t="n"/>
      <c r="J150" s="55" t="inlineStr">
        <is>
          <t>RESTRIÇÕES</t>
        </is>
      </c>
      <c r="K150" s="133" t="n"/>
      <c r="L150" s="17" t="n"/>
      <c r="M150" s="132">
        <f>DADOS_AM!$HE$15</f>
        <v/>
      </c>
      <c r="N150" s="17" t="n"/>
      <c r="O150" s="123" t="n"/>
      <c r="P150" s="55" t="inlineStr">
        <is>
          <t>RESTRIÇÕES</t>
        </is>
      </c>
      <c r="Q150" s="133" t="n"/>
      <c r="R150" s="17" t="n"/>
      <c r="S150" s="132">
        <f>DADOS_AM!$HE$16</f>
        <v/>
      </c>
      <c r="T150" s="17" t="n"/>
      <c r="U150" s="123" t="n"/>
    </row>
    <row r="151" hidden="1" outlineLevel="3">
      <c r="A151" s="8" t="n"/>
      <c r="B151" s="14" t="n"/>
      <c r="C151" s="123" t="n"/>
      <c r="D151" s="128" t="n"/>
      <c r="E151" s="133" t="n"/>
      <c r="F151" s="17" t="n"/>
      <c r="G151" s="132">
        <f>DADOS_AM!$HF$14</f>
        <v/>
      </c>
      <c r="H151" s="17" t="n"/>
      <c r="I151" s="123" t="n"/>
      <c r="J151" s="128" t="n"/>
      <c r="K151" s="133" t="n"/>
      <c r="L151" s="17" t="n"/>
      <c r="M151" s="132">
        <f>DADOS_AM!$HF$15</f>
        <v/>
      </c>
      <c r="N151" s="17" t="n"/>
      <c r="O151" s="123" t="n"/>
      <c r="P151" s="128" t="n"/>
      <c r="Q151" s="133" t="n"/>
      <c r="R151" s="17" t="n"/>
      <c r="S151" s="132">
        <f>DADOS_AM!$HF$16</f>
        <v/>
      </c>
      <c r="T151" s="17" t="n"/>
      <c r="U151" s="123" t="n"/>
    </row>
    <row r="152" hidden="1" outlineLevel="3">
      <c r="A152" s="8" t="n"/>
      <c r="B152" s="14" t="n"/>
      <c r="C152" s="123" t="n"/>
      <c r="D152" s="55" t="inlineStr">
        <is>
          <t>CONTA</t>
        </is>
      </c>
      <c r="E152" s="135">
        <f>DADOS_AM!$GY$14</f>
        <v/>
      </c>
      <c r="F152" s="16" t="n"/>
      <c r="G152" s="16" t="n"/>
      <c r="H152" s="17" t="n"/>
      <c r="I152" s="123" t="n"/>
      <c r="J152" s="55" t="inlineStr">
        <is>
          <t>CONTA</t>
        </is>
      </c>
      <c r="K152" s="135">
        <f>DADOS_AM!$GY$15</f>
        <v/>
      </c>
      <c r="L152" s="16" t="n"/>
      <c r="M152" s="16" t="n"/>
      <c r="N152" s="17" t="n"/>
      <c r="O152" s="123" t="n"/>
      <c r="P152" s="55" t="inlineStr">
        <is>
          <t>CONTA</t>
        </is>
      </c>
      <c r="Q152" s="135">
        <f>DADOS_AM!$GY$16</f>
        <v/>
      </c>
      <c r="R152" s="16" t="n"/>
      <c r="S152" s="16" t="n"/>
      <c r="T152" s="17" t="n"/>
      <c r="U152" s="123" t="n"/>
    </row>
    <row r="153" hidden="1" outlineLevel="3">
      <c r="A153" s="8" t="n"/>
      <c r="B153" s="14" t="n"/>
      <c r="C153" s="123" t="n"/>
      <c r="D153" s="55" t="inlineStr">
        <is>
          <t>AMPLIAR</t>
        </is>
      </c>
      <c r="E153" s="135">
        <f>DADOS_AM!$GZ$14</f>
        <v/>
      </c>
      <c r="F153" s="19" t="n"/>
      <c r="G153" s="19" t="n"/>
      <c r="H153" s="20" t="n"/>
      <c r="I153" s="123" t="n"/>
      <c r="J153" s="55" t="inlineStr">
        <is>
          <t>AMPLIAR</t>
        </is>
      </c>
      <c r="K153" s="135">
        <f>DADOS_AM!$GZ$15</f>
        <v/>
      </c>
      <c r="L153" s="19" t="n"/>
      <c r="M153" s="19" t="n"/>
      <c r="N153" s="20" t="n"/>
      <c r="O153" s="123" t="n"/>
      <c r="P153" s="55" t="inlineStr">
        <is>
          <t>AMPLIAR</t>
        </is>
      </c>
      <c r="Q153" s="135">
        <f>DADOS_AM!$GZ$16</f>
        <v/>
      </c>
      <c r="R153" s="19" t="n"/>
      <c r="S153" s="19" t="n"/>
      <c r="T153" s="20" t="n"/>
      <c r="U153" s="123" t="n"/>
    </row>
    <row r="154" hidden="1" outlineLevel="3">
      <c r="A154" s="8" t="n"/>
      <c r="B154" s="14" t="n"/>
      <c r="C154" s="123" t="n"/>
      <c r="D154" s="128" t="n"/>
      <c r="E154" s="23" t="n"/>
      <c r="F154" s="24" t="n"/>
      <c r="G154" s="24" t="n"/>
      <c r="H154" s="25" t="n"/>
      <c r="I154" s="123" t="n"/>
      <c r="J154" s="128" t="n"/>
      <c r="K154" s="23" t="n"/>
      <c r="L154" s="24" t="n"/>
      <c r="M154" s="24" t="n"/>
      <c r="N154" s="25" t="n"/>
      <c r="O154" s="123" t="n"/>
      <c r="P154" s="128" t="n"/>
      <c r="Q154" s="23" t="n"/>
      <c r="R154" s="24" t="n"/>
      <c r="S154" s="24" t="n"/>
      <c r="T154" s="25" t="n"/>
      <c r="U154" s="123" t="n"/>
    </row>
    <row r="155" hidden="1" outlineLevel="3">
      <c r="A155" s="8" t="n"/>
      <c r="B155" s="14" t="n"/>
      <c r="C155" s="123" t="n"/>
      <c r="D155" s="55" t="inlineStr">
        <is>
          <t>AVISOS</t>
        </is>
      </c>
      <c r="E155" s="135">
        <f>DADOS_AM!$GO$14</f>
        <v/>
      </c>
      <c r="F155" s="19" t="n"/>
      <c r="G155" s="19" t="n"/>
      <c r="H155" s="20" t="n"/>
      <c r="I155" s="123" t="n"/>
      <c r="J155" s="55" t="inlineStr">
        <is>
          <t>AVISOS</t>
        </is>
      </c>
      <c r="K155" s="135">
        <f>DADOS_AM!$GO$15</f>
        <v/>
      </c>
      <c r="L155" s="19" t="n"/>
      <c r="M155" s="19" t="n"/>
      <c r="N155" s="20" t="n"/>
      <c r="O155" s="123" t="n"/>
      <c r="P155" s="55" t="inlineStr">
        <is>
          <t>AVISOS</t>
        </is>
      </c>
      <c r="Q155" s="135">
        <f>DADOS_AM!$GO$16</f>
        <v/>
      </c>
      <c r="R155" s="19" t="n"/>
      <c r="S155" s="19" t="n"/>
      <c r="T155" s="20" t="n"/>
      <c r="U155" s="123" t="n"/>
    </row>
    <row r="156" hidden="1" outlineLevel="3">
      <c r="A156" s="8" t="n"/>
      <c r="B156" s="14" t="n"/>
      <c r="C156" s="123" t="n"/>
      <c r="D156" s="128" t="n"/>
      <c r="E156" s="23" t="n"/>
      <c r="F156" s="24" t="n"/>
      <c r="G156" s="24" t="n"/>
      <c r="H156" s="25" t="n"/>
      <c r="I156" s="123" t="n"/>
      <c r="J156" s="128" t="n"/>
      <c r="K156" s="23" t="n"/>
      <c r="L156" s="24" t="n"/>
      <c r="M156" s="24" t="n"/>
      <c r="N156" s="25" t="n"/>
      <c r="O156" s="123" t="n"/>
      <c r="P156" s="128" t="n"/>
      <c r="Q156" s="23" t="n"/>
      <c r="R156" s="24" t="n"/>
      <c r="S156" s="24" t="n"/>
      <c r="T156" s="25" t="n"/>
      <c r="U156" s="123" t="n"/>
    </row>
    <row r="157" hidden="1" outlineLevel="2">
      <c r="A157" s="8" t="n"/>
      <c r="B157" s="14" t="n"/>
      <c r="C157" s="123" t="n"/>
      <c r="D157" s="123" t="n"/>
      <c r="E157" s="123" t="n"/>
      <c r="F157" s="123" t="n"/>
      <c r="G157" s="123" t="n"/>
      <c r="H157" s="123" t="n"/>
      <c r="I157" s="123" t="n"/>
      <c r="J157" s="123" t="n"/>
      <c r="K157" s="123" t="n"/>
      <c r="L157" s="123" t="n"/>
      <c r="M157" s="123" t="n"/>
      <c r="N157" s="123" t="n"/>
      <c r="O157" s="123" t="n"/>
      <c r="P157" s="123" t="n"/>
      <c r="Q157" s="123" t="n"/>
      <c r="R157" s="123" t="n"/>
      <c r="S157" s="123" t="n"/>
      <c r="T157" s="123" t="n"/>
      <c r="U157" s="123" t="n"/>
    </row>
    <row r="158" hidden="1" outlineLevel="2">
      <c r="A158" s="8" t="n"/>
      <c r="B158" s="14" t="n"/>
      <c r="C158" s="123" t="n"/>
      <c r="D158" s="130" t="n">
        <v>1</v>
      </c>
      <c r="E158" s="118" t="n"/>
      <c r="F158" s="17" t="n"/>
      <c r="G158" s="131">
        <f>DADOS_AM!$GN$17</f>
        <v/>
      </c>
      <c r="H158" s="17" t="n"/>
      <c r="I158" s="123" t="n"/>
      <c r="J158" s="130" t="n">
        <v>1</v>
      </c>
      <c r="K158" s="118" t="n"/>
      <c r="L158" s="17" t="n"/>
      <c r="M158" s="131">
        <f>DADOS_AM!$GN$18</f>
        <v/>
      </c>
      <c r="N158" s="17" t="n"/>
      <c r="O158" s="123" t="n"/>
      <c r="P158" s="130" t="n">
        <v>1</v>
      </c>
      <c r="Q158" s="118" t="n"/>
      <c r="R158" s="17" t="n"/>
      <c r="S158" s="131">
        <f>DADOS_AM!$GN$19</f>
        <v/>
      </c>
      <c r="T158" s="17" t="n"/>
      <c r="U158" s="123" t="n"/>
    </row>
    <row r="159" hidden="1" outlineLevel="3">
      <c r="A159" s="8" t="n"/>
      <c r="B159" s="14" t="n"/>
      <c r="C159" s="123" t="n"/>
      <c r="D159" s="55" t="inlineStr">
        <is>
          <t>COMO É</t>
        </is>
      </c>
      <c r="E159" s="16" t="n"/>
      <c r="F159" s="16" t="n"/>
      <c r="G159" s="16" t="n"/>
      <c r="H159" s="17" t="n"/>
      <c r="I159" s="123" t="n"/>
      <c r="J159" s="55" t="inlineStr">
        <is>
          <t>COMO É</t>
        </is>
      </c>
      <c r="K159" s="16" t="n"/>
      <c r="L159" s="16" t="n"/>
      <c r="M159" s="16" t="n"/>
      <c r="N159" s="17" t="n"/>
      <c r="O159" s="123" t="n"/>
      <c r="P159" s="55" t="inlineStr">
        <is>
          <t>COMO É</t>
        </is>
      </c>
      <c r="Q159" s="16" t="n"/>
      <c r="R159" s="16" t="n"/>
      <c r="S159" s="16" t="n"/>
      <c r="T159" s="17" t="n"/>
      <c r="U159" s="123" t="n"/>
    </row>
    <row r="160" hidden="1" outlineLevel="3">
      <c r="A160" s="8" t="n"/>
      <c r="B160" s="14" t="n"/>
      <c r="C160" s="123" t="n"/>
      <c r="D160" s="119" t="n"/>
      <c r="E160" s="19" t="n"/>
      <c r="F160" s="19" t="n"/>
      <c r="G160" s="19" t="n"/>
      <c r="H160" s="20" t="n"/>
      <c r="I160" s="123" t="n"/>
      <c r="J160" s="119" t="n"/>
      <c r="K160" s="19" t="n"/>
      <c r="L160" s="19" t="n"/>
      <c r="M160" s="19" t="n"/>
      <c r="N160" s="20" t="n"/>
      <c r="O160" s="123" t="n"/>
      <c r="P160" s="119" t="n"/>
      <c r="Q160" s="19" t="n"/>
      <c r="R160" s="19" t="n"/>
      <c r="S160" s="19" t="n"/>
      <c r="T160" s="20" t="n"/>
      <c r="U160" s="123" t="n"/>
    </row>
    <row r="161" hidden="1" outlineLevel="3">
      <c r="A161" s="8" t="n"/>
      <c r="B161" s="14" t="n"/>
      <c r="C161" s="123" t="n"/>
      <c r="D161" s="21" t="n"/>
      <c r="H161" s="22" t="n"/>
      <c r="I161" s="123" t="n"/>
      <c r="J161" s="21" t="n"/>
      <c r="N161" s="22" t="n"/>
      <c r="O161" s="123" t="n"/>
      <c r="P161" s="21" t="n"/>
      <c r="T161" s="22" t="n"/>
      <c r="U161" s="123" t="n"/>
    </row>
    <row r="162" hidden="1" outlineLevel="3">
      <c r="A162" s="8" t="n"/>
      <c r="B162" s="14" t="n"/>
      <c r="C162" s="123" t="n"/>
      <c r="D162" s="21" t="n"/>
      <c r="H162" s="22" t="n"/>
      <c r="I162" s="123" t="n"/>
      <c r="J162" s="21" t="n"/>
      <c r="N162" s="22" t="n"/>
      <c r="O162" s="123" t="n"/>
      <c r="P162" s="21" t="n"/>
      <c r="T162" s="22" t="n"/>
      <c r="U162" s="123" t="n"/>
    </row>
    <row r="163" hidden="1" outlineLevel="3">
      <c r="A163" s="8" t="n"/>
      <c r="B163" s="14" t="n"/>
      <c r="C163" s="123" t="n"/>
      <c r="D163" s="21" t="n"/>
      <c r="H163" s="22" t="n"/>
      <c r="I163" s="123" t="n"/>
      <c r="J163" s="21" t="n"/>
      <c r="N163" s="22" t="n"/>
      <c r="O163" s="123" t="n"/>
      <c r="P163" s="21" t="n"/>
      <c r="T163" s="22" t="n"/>
      <c r="U163" s="123" t="n"/>
    </row>
    <row r="164" hidden="1" outlineLevel="3">
      <c r="A164" s="8" t="n"/>
      <c r="B164" s="14" t="n"/>
      <c r="C164" s="123" t="n"/>
      <c r="D164" s="23" t="n"/>
      <c r="E164" s="24" t="n"/>
      <c r="F164" s="24" t="n"/>
      <c r="G164" s="24" t="n"/>
      <c r="H164" s="25" t="n"/>
      <c r="I164" s="123" t="n"/>
      <c r="J164" s="23" t="n"/>
      <c r="K164" s="24" t="n"/>
      <c r="L164" s="24" t="n"/>
      <c r="M164" s="24" t="n"/>
      <c r="N164" s="25" t="n"/>
      <c r="O164" s="123" t="n"/>
      <c r="P164" s="23" t="n"/>
      <c r="Q164" s="24" t="n"/>
      <c r="R164" s="24" t="n"/>
      <c r="S164" s="24" t="n"/>
      <c r="T164" s="25" t="n"/>
      <c r="U164" s="123" t="n"/>
    </row>
    <row r="165" hidden="1" outlineLevel="2">
      <c r="A165" s="8" t="n"/>
      <c r="B165" s="14" t="n"/>
      <c r="C165" s="123" t="n"/>
      <c r="D165" s="127" t="inlineStr">
        <is>
          <t>Projétil</t>
        </is>
      </c>
      <c r="E165" s="68">
        <f>DADOS_AM!$GS$17</f>
        <v/>
      </c>
      <c r="F165" s="68">
        <f>DADOS_AM!$GP$17</f>
        <v/>
      </c>
      <c r="G165" s="127">
        <f>DADOS_AM!$GR$17</f>
        <v/>
      </c>
      <c r="H165" s="17" t="n"/>
      <c r="I165" s="123" t="n"/>
      <c r="J165" s="127" t="inlineStr">
        <is>
          <t>Projétil</t>
        </is>
      </c>
      <c r="K165" s="68">
        <f>DADOS_AM!$GS$18</f>
        <v/>
      </c>
      <c r="L165" s="68">
        <f>DADOS_AM!$GP$18</f>
        <v/>
      </c>
      <c r="M165" s="127">
        <f>DADOS_AM!$GR$18</f>
        <v/>
      </c>
      <c r="N165" s="17" t="n"/>
      <c r="O165" s="123" t="n"/>
      <c r="P165" s="127" t="inlineStr">
        <is>
          <t>Projétil</t>
        </is>
      </c>
      <c r="Q165" s="68">
        <f>DADOS_AM!$GS$19</f>
        <v/>
      </c>
      <c r="R165" s="68">
        <f>DADOS_AM!$GP$19</f>
        <v/>
      </c>
      <c r="S165" s="127">
        <f>DADOS_AM!$GR$19</f>
        <v/>
      </c>
      <c r="T165" s="17" t="n"/>
      <c r="U165" s="123" t="n"/>
    </row>
    <row r="166" hidden="1" outlineLevel="2">
      <c r="A166" s="8" t="n"/>
      <c r="B166" s="14" t="n"/>
      <c r="C166" s="123" t="n"/>
      <c r="D166" s="127">
        <f>DADOS_AM!$GQ$17</f>
        <v/>
      </c>
      <c r="E166" s="132">
        <f>DADOS_AM!$GX$17</f>
        <v/>
      </c>
      <c r="F166" s="16" t="n"/>
      <c r="G166" s="16" t="n"/>
      <c r="H166" s="17" t="n"/>
      <c r="I166" s="123" t="n"/>
      <c r="J166" s="127">
        <f>DADOS_AM!$GQ$18</f>
        <v/>
      </c>
      <c r="K166" s="132">
        <f>DADOS_AM!$GX$18</f>
        <v/>
      </c>
      <c r="L166" s="16" t="n"/>
      <c r="M166" s="16" t="n"/>
      <c r="N166" s="17" t="n"/>
      <c r="O166" s="123" t="n"/>
      <c r="P166" s="127">
        <f>DADOS_AM!$GQ$19</f>
        <v/>
      </c>
      <c r="Q166" s="132">
        <f>DADOS_AM!$GX$19</f>
        <v/>
      </c>
      <c r="R166" s="16" t="n"/>
      <c r="S166" s="16" t="n"/>
      <c r="T166" s="17" t="n"/>
      <c r="U166" s="123" t="n"/>
    </row>
    <row r="167" hidden="1" outlineLevel="3">
      <c r="A167" s="8" t="n"/>
      <c r="B167" s="14" t="n"/>
      <c r="C167" s="123" t="n"/>
      <c r="D167" s="55" t="inlineStr">
        <is>
          <t>MELHORIAS</t>
        </is>
      </c>
      <c r="E167" s="133" t="n"/>
      <c r="F167" s="17" t="n"/>
      <c r="G167" s="132">
        <f>DADOS_AM!$HA$17</f>
        <v/>
      </c>
      <c r="H167" s="17" t="n"/>
      <c r="I167" s="123" t="n"/>
      <c r="J167" s="55" t="inlineStr">
        <is>
          <t>MELHORIAS</t>
        </is>
      </c>
      <c r="K167" s="133" t="n"/>
      <c r="L167" s="17" t="n"/>
      <c r="M167" s="132">
        <f>DADOS_AM!$HA$18</f>
        <v/>
      </c>
      <c r="N167" s="17" t="n"/>
      <c r="O167" s="123" t="n"/>
      <c r="P167" s="55" t="inlineStr">
        <is>
          <t>MELHORIAS</t>
        </is>
      </c>
      <c r="Q167" s="133" t="n"/>
      <c r="R167" s="17" t="n"/>
      <c r="S167" s="132">
        <f>DADOS_AM!$HA$19</f>
        <v/>
      </c>
      <c r="T167" s="17" t="n"/>
      <c r="U167" s="123" t="n"/>
    </row>
    <row r="168" hidden="1" outlineLevel="3">
      <c r="A168" s="8" t="n"/>
      <c r="B168" s="14" t="n"/>
      <c r="C168" s="123" t="n"/>
      <c r="D168" s="134" t="n"/>
      <c r="E168" s="133" t="n"/>
      <c r="F168" s="17" t="n"/>
      <c r="G168" s="132">
        <f>DADOS_AM!$HB$17</f>
        <v/>
      </c>
      <c r="H168" s="17" t="n"/>
      <c r="I168" s="123" t="n"/>
      <c r="J168" s="134" t="n"/>
      <c r="K168" s="133" t="n"/>
      <c r="L168" s="17" t="n"/>
      <c r="M168" s="132">
        <f>DADOS_AM!$HB$18</f>
        <v/>
      </c>
      <c r="N168" s="17" t="n"/>
      <c r="O168" s="123" t="n"/>
      <c r="P168" s="134" t="n"/>
      <c r="Q168" s="133" t="n"/>
      <c r="R168" s="17" t="n"/>
      <c r="S168" s="132">
        <f>DADOS_AM!$HB$19</f>
        <v/>
      </c>
      <c r="T168" s="17" t="n"/>
      <c r="U168" s="123" t="n"/>
    </row>
    <row r="169" hidden="1" outlineLevel="3">
      <c r="A169" s="8" t="n"/>
      <c r="B169" s="14" t="n"/>
      <c r="C169" s="123" t="n"/>
      <c r="D169" s="134" t="n"/>
      <c r="E169" s="133" t="n"/>
      <c r="F169" s="17" t="n"/>
      <c r="G169" s="132">
        <f>DADOS_AM!$HC$17</f>
        <v/>
      </c>
      <c r="H169" s="17" t="n"/>
      <c r="I169" s="123" t="n"/>
      <c r="J169" s="134" t="n"/>
      <c r="K169" s="133" t="n"/>
      <c r="L169" s="17" t="n"/>
      <c r="M169" s="132">
        <f>DADOS_AM!$HC$18</f>
        <v/>
      </c>
      <c r="N169" s="17" t="n"/>
      <c r="O169" s="123" t="n"/>
      <c r="P169" s="134" t="n"/>
      <c r="Q169" s="133" t="n"/>
      <c r="R169" s="17" t="n"/>
      <c r="S169" s="132">
        <f>DADOS_AM!$HC$19</f>
        <v/>
      </c>
      <c r="T169" s="17" t="n"/>
      <c r="U169" s="123" t="n"/>
    </row>
    <row r="170" hidden="1" outlineLevel="3">
      <c r="A170" s="8" t="n"/>
      <c r="B170" s="14" t="n"/>
      <c r="C170" s="123" t="n"/>
      <c r="D170" s="128" t="n"/>
      <c r="E170" s="133" t="n"/>
      <c r="F170" s="17" t="n"/>
      <c r="G170" s="132">
        <f>DADOS_AM!$HD$17</f>
        <v/>
      </c>
      <c r="H170" s="17" t="n"/>
      <c r="I170" s="123" t="n"/>
      <c r="J170" s="128" t="n"/>
      <c r="K170" s="133" t="n"/>
      <c r="L170" s="17" t="n"/>
      <c r="M170" s="132">
        <f>DADOS_AM!$HD$18</f>
        <v/>
      </c>
      <c r="N170" s="17" t="n"/>
      <c r="O170" s="123" t="n"/>
      <c r="P170" s="128" t="n"/>
      <c r="Q170" s="133" t="n"/>
      <c r="R170" s="17" t="n"/>
      <c r="S170" s="132">
        <f>DADOS_AM!$HD$19</f>
        <v/>
      </c>
      <c r="T170" s="17" t="n"/>
      <c r="U170" s="123" t="n"/>
    </row>
    <row r="171" hidden="1" outlineLevel="3">
      <c r="A171" s="8" t="n"/>
      <c r="B171" s="14" t="n"/>
      <c r="C171" s="123" t="n"/>
      <c r="D171" s="55" t="inlineStr">
        <is>
          <t>RESTRIÇÕES</t>
        </is>
      </c>
      <c r="E171" s="133" t="n"/>
      <c r="F171" s="17" t="n"/>
      <c r="G171" s="132">
        <f>DADOS_AM!$HE$17</f>
        <v/>
      </c>
      <c r="H171" s="17" t="n"/>
      <c r="I171" s="123" t="n"/>
      <c r="J171" s="55" t="inlineStr">
        <is>
          <t>RESTRIÇÕES</t>
        </is>
      </c>
      <c r="K171" s="133" t="n"/>
      <c r="L171" s="17" t="n"/>
      <c r="M171" s="132">
        <f>DADOS_AM!$HE$18</f>
        <v/>
      </c>
      <c r="N171" s="17" t="n"/>
      <c r="O171" s="123" t="n"/>
      <c r="P171" s="55" t="inlineStr">
        <is>
          <t>RESTRIÇÕES</t>
        </is>
      </c>
      <c r="Q171" s="133" t="n"/>
      <c r="R171" s="17" t="n"/>
      <c r="S171" s="132">
        <f>DADOS_AM!$HE$19</f>
        <v/>
      </c>
      <c r="T171" s="17" t="n"/>
      <c r="U171" s="123" t="n"/>
    </row>
    <row r="172" hidden="1" outlineLevel="3">
      <c r="A172" s="8" t="n"/>
      <c r="B172" s="14" t="n"/>
      <c r="C172" s="123" t="n"/>
      <c r="D172" s="128" t="n"/>
      <c r="E172" s="133" t="n"/>
      <c r="F172" s="17" t="n"/>
      <c r="G172" s="132">
        <f>DADOS_AM!$HF$17</f>
        <v/>
      </c>
      <c r="H172" s="17" t="n"/>
      <c r="I172" s="123" t="n"/>
      <c r="J172" s="128" t="n"/>
      <c r="K172" s="133" t="n"/>
      <c r="L172" s="17" t="n"/>
      <c r="M172" s="132">
        <f>DADOS_AM!$HF$18</f>
        <v/>
      </c>
      <c r="N172" s="17" t="n"/>
      <c r="O172" s="123" t="n"/>
      <c r="P172" s="128" t="n"/>
      <c r="Q172" s="133" t="n"/>
      <c r="R172" s="17" t="n"/>
      <c r="S172" s="132">
        <f>DADOS_AM!$HF$19</f>
        <v/>
      </c>
      <c r="T172" s="17" t="n"/>
      <c r="U172" s="123" t="n"/>
    </row>
    <row r="173" hidden="1" outlineLevel="3">
      <c r="A173" s="8" t="n"/>
      <c r="B173" s="14" t="n"/>
      <c r="C173" s="123" t="n"/>
      <c r="D173" s="55" t="inlineStr">
        <is>
          <t>CONTA</t>
        </is>
      </c>
      <c r="E173" s="135">
        <f>DADOS_AM!$GY$17</f>
        <v/>
      </c>
      <c r="F173" s="16" t="n"/>
      <c r="G173" s="16" t="n"/>
      <c r="H173" s="17" t="n"/>
      <c r="I173" s="123" t="n"/>
      <c r="J173" s="55" t="inlineStr">
        <is>
          <t>CONTA</t>
        </is>
      </c>
      <c r="K173" s="135">
        <f>DADOS_AM!$GY$18</f>
        <v/>
      </c>
      <c r="L173" s="16" t="n"/>
      <c r="M173" s="16" t="n"/>
      <c r="N173" s="17" t="n"/>
      <c r="O173" s="123" t="n"/>
      <c r="P173" s="55" t="inlineStr">
        <is>
          <t>CONTA</t>
        </is>
      </c>
      <c r="Q173" s="135">
        <f>DADOS_AM!$GY$19</f>
        <v/>
      </c>
      <c r="R173" s="16" t="n"/>
      <c r="S173" s="16" t="n"/>
      <c r="T173" s="17" t="n"/>
      <c r="U173" s="123" t="n"/>
    </row>
    <row r="174" hidden="1" outlineLevel="3">
      <c r="A174" s="8" t="n"/>
      <c r="B174" s="14" t="n"/>
      <c r="C174" s="123" t="n"/>
      <c r="D174" s="55" t="inlineStr">
        <is>
          <t>AMPLIAR</t>
        </is>
      </c>
      <c r="E174" s="135">
        <f>DADOS_AM!$GZ$17</f>
        <v/>
      </c>
      <c r="F174" s="19" t="n"/>
      <c r="G174" s="19" t="n"/>
      <c r="H174" s="20" t="n"/>
      <c r="I174" s="123" t="n"/>
      <c r="J174" s="55" t="inlineStr">
        <is>
          <t>AMPLIAR</t>
        </is>
      </c>
      <c r="K174" s="135">
        <f>DADOS_AM!$GZ$18</f>
        <v/>
      </c>
      <c r="L174" s="19" t="n"/>
      <c r="M174" s="19" t="n"/>
      <c r="N174" s="20" t="n"/>
      <c r="O174" s="123" t="n"/>
      <c r="P174" s="55" t="inlineStr">
        <is>
          <t>AMPLIAR</t>
        </is>
      </c>
      <c r="Q174" s="135">
        <f>DADOS_AM!$GZ$19</f>
        <v/>
      </c>
      <c r="R174" s="19" t="n"/>
      <c r="S174" s="19" t="n"/>
      <c r="T174" s="20" t="n"/>
      <c r="U174" s="123" t="n"/>
    </row>
    <row r="175" hidden="1" outlineLevel="3">
      <c r="A175" s="8" t="n"/>
      <c r="B175" s="14" t="n"/>
      <c r="C175" s="123" t="n"/>
      <c r="D175" s="128" t="n"/>
      <c r="E175" s="23" t="n"/>
      <c r="F175" s="24" t="n"/>
      <c r="G175" s="24" t="n"/>
      <c r="H175" s="25" t="n"/>
      <c r="I175" s="123" t="n"/>
      <c r="J175" s="128" t="n"/>
      <c r="K175" s="23" t="n"/>
      <c r="L175" s="24" t="n"/>
      <c r="M175" s="24" t="n"/>
      <c r="N175" s="25" t="n"/>
      <c r="O175" s="123" t="n"/>
      <c r="P175" s="128" t="n"/>
      <c r="Q175" s="23" t="n"/>
      <c r="R175" s="24" t="n"/>
      <c r="S175" s="24" t="n"/>
      <c r="T175" s="25" t="n"/>
      <c r="U175" s="123" t="n"/>
    </row>
    <row r="176" hidden="1" outlineLevel="3">
      <c r="A176" s="8" t="n"/>
      <c r="B176" s="14" t="n"/>
      <c r="C176" s="123" t="n"/>
      <c r="D176" s="55" t="inlineStr">
        <is>
          <t>AVISOS</t>
        </is>
      </c>
      <c r="E176" s="135">
        <f>DADOS_AM!$GO$17</f>
        <v/>
      </c>
      <c r="F176" s="19" t="n"/>
      <c r="G176" s="19" t="n"/>
      <c r="H176" s="20" t="n"/>
      <c r="I176" s="123" t="n"/>
      <c r="J176" s="55" t="inlineStr">
        <is>
          <t>AVISOS</t>
        </is>
      </c>
      <c r="K176" s="135">
        <f>DADOS_AM!$GO$18</f>
        <v/>
      </c>
      <c r="L176" s="19" t="n"/>
      <c r="M176" s="19" t="n"/>
      <c r="N176" s="20" t="n"/>
      <c r="O176" s="123" t="n"/>
      <c r="P176" s="55" t="inlineStr">
        <is>
          <t>AVISOS</t>
        </is>
      </c>
      <c r="Q176" s="135">
        <f>DADOS_AM!$GO$19</f>
        <v/>
      </c>
      <c r="R176" s="19" t="n"/>
      <c r="S176" s="19" t="n"/>
      <c r="T176" s="20" t="n"/>
      <c r="U176" s="123" t="n"/>
    </row>
    <row r="177" hidden="1" outlineLevel="3">
      <c r="A177" s="8" t="n"/>
      <c r="B177" s="14" t="n"/>
      <c r="C177" s="123" t="n"/>
      <c r="D177" s="128" t="n"/>
      <c r="E177" s="23" t="n"/>
      <c r="F177" s="24" t="n"/>
      <c r="G177" s="24" t="n"/>
      <c r="H177" s="25" t="n"/>
      <c r="I177" s="123" t="n"/>
      <c r="J177" s="128" t="n"/>
      <c r="K177" s="23" t="n"/>
      <c r="L177" s="24" t="n"/>
      <c r="M177" s="24" t="n"/>
      <c r="N177" s="25" t="n"/>
      <c r="O177" s="123" t="n"/>
      <c r="P177" s="128" t="n"/>
      <c r="Q177" s="23" t="n"/>
      <c r="R177" s="24" t="n"/>
      <c r="S177" s="24" t="n"/>
      <c r="T177" s="25" t="n"/>
      <c r="U177" s="123" t="n"/>
    </row>
    <row r="178" hidden="1" outlineLevel="2">
      <c r="A178" s="8" t="n"/>
      <c r="B178" s="14" t="n"/>
      <c r="C178" s="123" t="n"/>
      <c r="D178" s="123" t="n"/>
      <c r="E178" s="123" t="n"/>
      <c r="F178" s="123" t="n"/>
      <c r="G178" s="123" t="n"/>
      <c r="H178" s="123" t="n"/>
      <c r="I178" s="123" t="n"/>
      <c r="J178" s="123" t="n"/>
      <c r="K178" s="123" t="n"/>
      <c r="L178" s="123" t="n"/>
      <c r="M178" s="123" t="n"/>
      <c r="N178" s="123" t="n"/>
      <c r="O178" s="123" t="n"/>
      <c r="P178" s="123" t="n"/>
      <c r="Q178" s="123" t="n"/>
      <c r="R178" s="123" t="n"/>
      <c r="S178" s="123" t="n"/>
      <c r="T178" s="123" t="n"/>
      <c r="U178" s="123" t="n"/>
    </row>
    <row r="179" hidden="1" outlineLevel="2">
      <c r="A179" s="8" t="n"/>
      <c r="B179" s="14" t="n"/>
      <c r="C179" s="123" t="n"/>
      <c r="D179" s="130" t="n">
        <v>1</v>
      </c>
      <c r="E179" s="118" t="n"/>
      <c r="F179" s="17" t="n"/>
      <c r="G179" s="131">
        <f>DADOS_AM!$GN$20</f>
        <v/>
      </c>
      <c r="H179" s="17" t="n"/>
      <c r="I179" s="123" t="n"/>
      <c r="J179" s="130" t="n">
        <v>1</v>
      </c>
      <c r="K179" s="118" t="n"/>
      <c r="L179" s="17" t="n"/>
      <c r="M179" s="131">
        <f>DADOS_AM!$GN$21</f>
        <v/>
      </c>
      <c r="N179" s="17" t="n"/>
      <c r="O179" s="123" t="n"/>
      <c r="P179" s="130" t="n">
        <v>1</v>
      </c>
      <c r="Q179" s="118" t="n"/>
      <c r="R179" s="17" t="n"/>
      <c r="S179" s="131">
        <f>DADOS_AM!$GN$22</f>
        <v/>
      </c>
      <c r="T179" s="17" t="n"/>
      <c r="U179" s="123" t="n"/>
    </row>
    <row r="180" hidden="1" outlineLevel="3">
      <c r="A180" s="8" t="n"/>
      <c r="B180" s="14" t="n"/>
      <c r="C180" s="123" t="n"/>
      <c r="D180" s="55" t="inlineStr">
        <is>
          <t>COMO É</t>
        </is>
      </c>
      <c r="E180" s="16" t="n"/>
      <c r="F180" s="16" t="n"/>
      <c r="G180" s="16" t="n"/>
      <c r="H180" s="17" t="n"/>
      <c r="I180" s="123" t="n"/>
      <c r="J180" s="55" t="inlineStr">
        <is>
          <t>COMO É</t>
        </is>
      </c>
      <c r="K180" s="16" t="n"/>
      <c r="L180" s="16" t="n"/>
      <c r="M180" s="16" t="n"/>
      <c r="N180" s="17" t="n"/>
      <c r="O180" s="123" t="n"/>
      <c r="P180" s="55" t="inlineStr">
        <is>
          <t>COMO É</t>
        </is>
      </c>
      <c r="Q180" s="16" t="n"/>
      <c r="R180" s="16" t="n"/>
      <c r="S180" s="16" t="n"/>
      <c r="T180" s="17" t="n"/>
      <c r="U180" s="123" t="n"/>
    </row>
    <row r="181" hidden="1" outlineLevel="3">
      <c r="A181" s="8" t="n"/>
      <c r="B181" s="14" t="n"/>
      <c r="C181" s="123" t="n"/>
      <c r="D181" s="119" t="n"/>
      <c r="E181" s="19" t="n"/>
      <c r="F181" s="19" t="n"/>
      <c r="G181" s="19" t="n"/>
      <c r="H181" s="20" t="n"/>
      <c r="I181" s="123" t="n"/>
      <c r="J181" s="119" t="n"/>
      <c r="K181" s="19" t="n"/>
      <c r="L181" s="19" t="n"/>
      <c r="M181" s="19" t="n"/>
      <c r="N181" s="20" t="n"/>
      <c r="O181" s="123" t="n"/>
      <c r="P181" s="119" t="n"/>
      <c r="Q181" s="19" t="n"/>
      <c r="R181" s="19" t="n"/>
      <c r="S181" s="19" t="n"/>
      <c r="T181" s="20" t="n"/>
      <c r="U181" s="123" t="n"/>
    </row>
    <row r="182" hidden="1" outlineLevel="3">
      <c r="A182" s="8" t="n"/>
      <c r="B182" s="14" t="n"/>
      <c r="C182" s="123" t="n"/>
      <c r="D182" s="21" t="n"/>
      <c r="H182" s="22" t="n"/>
      <c r="I182" s="123" t="n"/>
      <c r="J182" s="21" t="n"/>
      <c r="N182" s="22" t="n"/>
      <c r="O182" s="123" t="n"/>
      <c r="P182" s="21" t="n"/>
      <c r="T182" s="22" t="n"/>
      <c r="U182" s="123" t="n"/>
    </row>
    <row r="183" hidden="1" outlineLevel="3">
      <c r="A183" s="8" t="n"/>
      <c r="B183" s="14" t="n"/>
      <c r="C183" s="123" t="n"/>
      <c r="D183" s="21" t="n"/>
      <c r="H183" s="22" t="n"/>
      <c r="I183" s="123" t="n"/>
      <c r="J183" s="21" t="n"/>
      <c r="N183" s="22" t="n"/>
      <c r="O183" s="123" t="n"/>
      <c r="P183" s="21" t="n"/>
      <c r="T183" s="22" t="n"/>
      <c r="U183" s="123" t="n"/>
    </row>
    <row r="184" hidden="1" outlineLevel="3">
      <c r="A184" s="8" t="n"/>
      <c r="B184" s="14" t="n"/>
      <c r="C184" s="123" t="n"/>
      <c r="D184" s="21" t="n"/>
      <c r="H184" s="22" t="n"/>
      <c r="I184" s="123" t="n"/>
      <c r="J184" s="21" t="n"/>
      <c r="N184" s="22" t="n"/>
      <c r="O184" s="123" t="n"/>
      <c r="P184" s="21" t="n"/>
      <c r="T184" s="22" t="n"/>
      <c r="U184" s="123" t="n"/>
    </row>
    <row r="185" hidden="1" outlineLevel="3">
      <c r="A185" s="8" t="n"/>
      <c r="B185" s="14" t="n"/>
      <c r="C185" s="123" t="n"/>
      <c r="D185" s="23" t="n"/>
      <c r="E185" s="24" t="n"/>
      <c r="F185" s="24" t="n"/>
      <c r="G185" s="24" t="n"/>
      <c r="H185" s="25" t="n"/>
      <c r="I185" s="123" t="n"/>
      <c r="J185" s="23" t="n"/>
      <c r="K185" s="24" t="n"/>
      <c r="L185" s="24" t="n"/>
      <c r="M185" s="24" t="n"/>
      <c r="N185" s="25" t="n"/>
      <c r="O185" s="123" t="n"/>
      <c r="P185" s="23" t="n"/>
      <c r="Q185" s="24" t="n"/>
      <c r="R185" s="24" t="n"/>
      <c r="S185" s="24" t="n"/>
      <c r="T185" s="25" t="n"/>
      <c r="U185" s="123" t="n"/>
    </row>
    <row r="186" hidden="1" outlineLevel="2">
      <c r="A186" s="8" t="n"/>
      <c r="B186" s="14" t="n"/>
      <c r="C186" s="123" t="n"/>
      <c r="D186" s="127" t="inlineStr">
        <is>
          <t>Projétil</t>
        </is>
      </c>
      <c r="E186" s="68">
        <f>DADOS_AM!$GS$20</f>
        <v/>
      </c>
      <c r="F186" s="68">
        <f>DADOS_AM!$GP$20</f>
        <v/>
      </c>
      <c r="G186" s="127">
        <f>DADOS_AM!$GR$20</f>
        <v/>
      </c>
      <c r="H186" s="17" t="n"/>
      <c r="I186" s="123" t="n"/>
      <c r="J186" s="127" t="inlineStr">
        <is>
          <t>Projétil</t>
        </is>
      </c>
      <c r="K186" s="68">
        <f>DADOS_AM!$GS$21</f>
        <v/>
      </c>
      <c r="L186" s="68">
        <f>DADOS_AM!$GP$21</f>
        <v/>
      </c>
      <c r="M186" s="127">
        <f>DADOS_AM!$GR$21</f>
        <v/>
      </c>
      <c r="N186" s="17" t="n"/>
      <c r="O186" s="123" t="n"/>
      <c r="P186" s="127" t="inlineStr">
        <is>
          <t>Projétil</t>
        </is>
      </c>
      <c r="Q186" s="68">
        <f>DADOS_AM!$GS$22</f>
        <v/>
      </c>
      <c r="R186" s="68">
        <f>DADOS_AM!$GP$22</f>
        <v/>
      </c>
      <c r="S186" s="127">
        <f>DADOS_AM!$GR$22</f>
        <v/>
      </c>
      <c r="T186" s="17" t="n"/>
      <c r="U186" s="123" t="n"/>
    </row>
    <row r="187" hidden="1" outlineLevel="2">
      <c r="A187" s="8" t="n"/>
      <c r="B187" s="14" t="n"/>
      <c r="C187" s="123" t="n"/>
      <c r="D187" s="127">
        <f>DADOS_AM!$GQ$20</f>
        <v/>
      </c>
      <c r="E187" s="132">
        <f>DADOS_AM!$GX$20</f>
        <v/>
      </c>
      <c r="F187" s="16" t="n"/>
      <c r="G187" s="16" t="n"/>
      <c r="H187" s="17" t="n"/>
      <c r="I187" s="123" t="n"/>
      <c r="J187" s="127">
        <f>DADOS_AM!$GQ$21</f>
        <v/>
      </c>
      <c r="K187" s="132">
        <f>DADOS_AM!$GX$21</f>
        <v/>
      </c>
      <c r="L187" s="16" t="n"/>
      <c r="M187" s="16" t="n"/>
      <c r="N187" s="17" t="n"/>
      <c r="O187" s="123" t="n"/>
      <c r="P187" s="127">
        <f>DADOS_AM!$GQ$22</f>
        <v/>
      </c>
      <c r="Q187" s="132">
        <f>DADOS_AM!$GX$22</f>
        <v/>
      </c>
      <c r="R187" s="16" t="n"/>
      <c r="S187" s="16" t="n"/>
      <c r="T187" s="17" t="n"/>
      <c r="U187" s="123" t="n"/>
    </row>
    <row r="188" hidden="1" outlineLevel="3">
      <c r="A188" s="8" t="n"/>
      <c r="B188" s="14" t="n"/>
      <c r="C188" s="123" t="n"/>
      <c r="D188" s="55" t="inlineStr">
        <is>
          <t>MELHORIAS</t>
        </is>
      </c>
      <c r="E188" s="133" t="n"/>
      <c r="F188" s="17" t="n"/>
      <c r="G188" s="132">
        <f>DADOS_AM!$HA$20</f>
        <v/>
      </c>
      <c r="H188" s="17" t="n"/>
      <c r="I188" s="123" t="n"/>
      <c r="J188" s="55" t="inlineStr">
        <is>
          <t>MELHORIAS</t>
        </is>
      </c>
      <c r="K188" s="133" t="n"/>
      <c r="L188" s="17" t="n"/>
      <c r="M188" s="132">
        <f>DADOS_AM!$HA$21</f>
        <v/>
      </c>
      <c r="N188" s="17" t="n"/>
      <c r="O188" s="123" t="n"/>
      <c r="P188" s="55" t="inlineStr">
        <is>
          <t>MELHORIAS</t>
        </is>
      </c>
      <c r="Q188" s="133" t="n"/>
      <c r="R188" s="17" t="n"/>
      <c r="S188" s="132">
        <f>DADOS_AM!$HA$22</f>
        <v/>
      </c>
      <c r="T188" s="17" t="n"/>
      <c r="U188" s="123" t="n"/>
    </row>
    <row r="189" hidden="1" outlineLevel="3">
      <c r="A189" s="8" t="n"/>
      <c r="B189" s="14" t="n"/>
      <c r="C189" s="123" t="n"/>
      <c r="D189" s="134" t="n"/>
      <c r="E189" s="133" t="n"/>
      <c r="F189" s="17" t="n"/>
      <c r="G189" s="132">
        <f>DADOS_AM!$HB$20</f>
        <v/>
      </c>
      <c r="H189" s="17" t="n"/>
      <c r="I189" s="123" t="n"/>
      <c r="J189" s="134" t="n"/>
      <c r="K189" s="133" t="n"/>
      <c r="L189" s="17" t="n"/>
      <c r="M189" s="132">
        <f>DADOS_AM!$HB$21</f>
        <v/>
      </c>
      <c r="N189" s="17" t="n"/>
      <c r="O189" s="123" t="n"/>
      <c r="P189" s="134" t="n"/>
      <c r="Q189" s="133" t="n"/>
      <c r="R189" s="17" t="n"/>
      <c r="S189" s="132">
        <f>DADOS_AM!$HB$22</f>
        <v/>
      </c>
      <c r="T189" s="17" t="n"/>
      <c r="U189" s="123" t="n"/>
    </row>
    <row r="190" hidden="1" outlineLevel="3">
      <c r="A190" s="8" t="n"/>
      <c r="B190" s="14" t="n"/>
      <c r="C190" s="123" t="n"/>
      <c r="D190" s="134" t="n"/>
      <c r="E190" s="133" t="n"/>
      <c r="F190" s="17" t="n"/>
      <c r="G190" s="132">
        <f>DADOS_AM!$HC$20</f>
        <v/>
      </c>
      <c r="H190" s="17" t="n"/>
      <c r="I190" s="123" t="n"/>
      <c r="J190" s="134" t="n"/>
      <c r="K190" s="133" t="n"/>
      <c r="L190" s="17" t="n"/>
      <c r="M190" s="132">
        <f>DADOS_AM!$HC$21</f>
        <v/>
      </c>
      <c r="N190" s="17" t="n"/>
      <c r="O190" s="123" t="n"/>
      <c r="P190" s="134" t="n"/>
      <c r="Q190" s="133" t="n"/>
      <c r="R190" s="17" t="n"/>
      <c r="S190" s="132">
        <f>DADOS_AM!$HC$22</f>
        <v/>
      </c>
      <c r="T190" s="17" t="n"/>
      <c r="U190" s="123" t="n"/>
    </row>
    <row r="191" hidden="1" outlineLevel="3">
      <c r="A191" s="8" t="n"/>
      <c r="B191" s="14" t="n"/>
      <c r="C191" s="123" t="n"/>
      <c r="D191" s="128" t="n"/>
      <c r="E191" s="133" t="n"/>
      <c r="F191" s="17" t="n"/>
      <c r="G191" s="132">
        <f>DADOS_AM!$HD$20</f>
        <v/>
      </c>
      <c r="H191" s="17" t="n"/>
      <c r="I191" s="123" t="n"/>
      <c r="J191" s="128" t="n"/>
      <c r="K191" s="133" t="n"/>
      <c r="L191" s="17" t="n"/>
      <c r="M191" s="132">
        <f>DADOS_AM!$HD$21</f>
        <v/>
      </c>
      <c r="N191" s="17" t="n"/>
      <c r="O191" s="123" t="n"/>
      <c r="P191" s="128" t="n"/>
      <c r="Q191" s="133" t="n"/>
      <c r="R191" s="17" t="n"/>
      <c r="S191" s="132">
        <f>DADOS_AM!$HD$22</f>
        <v/>
      </c>
      <c r="T191" s="17" t="n"/>
      <c r="U191" s="123" t="n"/>
    </row>
    <row r="192" hidden="1" outlineLevel="3">
      <c r="A192" s="8" t="n"/>
      <c r="B192" s="14" t="n"/>
      <c r="C192" s="123" t="n"/>
      <c r="D192" s="55" t="inlineStr">
        <is>
          <t>RESTRIÇÕES</t>
        </is>
      </c>
      <c r="E192" s="133" t="n"/>
      <c r="F192" s="17" t="n"/>
      <c r="G192" s="132">
        <f>DADOS_AM!$HE$20</f>
        <v/>
      </c>
      <c r="H192" s="17" t="n"/>
      <c r="I192" s="123" t="n"/>
      <c r="J192" s="55" t="inlineStr">
        <is>
          <t>RESTRIÇÕES</t>
        </is>
      </c>
      <c r="K192" s="133" t="n"/>
      <c r="L192" s="17" t="n"/>
      <c r="M192" s="132">
        <f>DADOS_AM!$HE$21</f>
        <v/>
      </c>
      <c r="N192" s="17" t="n"/>
      <c r="O192" s="123" t="n"/>
      <c r="P192" s="55" t="inlineStr">
        <is>
          <t>RESTRIÇÕES</t>
        </is>
      </c>
      <c r="Q192" s="133" t="n"/>
      <c r="R192" s="17" t="n"/>
      <c r="S192" s="132">
        <f>DADOS_AM!$HE$22</f>
        <v/>
      </c>
      <c r="T192" s="17" t="n"/>
      <c r="U192" s="123" t="n"/>
    </row>
    <row r="193" hidden="1" outlineLevel="3">
      <c r="A193" s="8" t="n"/>
      <c r="B193" s="14" t="n"/>
      <c r="C193" s="123" t="n"/>
      <c r="D193" s="128" t="n"/>
      <c r="E193" s="133" t="n"/>
      <c r="F193" s="17" t="n"/>
      <c r="G193" s="132">
        <f>DADOS_AM!$HF$20</f>
        <v/>
      </c>
      <c r="H193" s="17" t="n"/>
      <c r="I193" s="123" t="n"/>
      <c r="J193" s="128" t="n"/>
      <c r="K193" s="133" t="n"/>
      <c r="L193" s="17" t="n"/>
      <c r="M193" s="132">
        <f>DADOS_AM!$HF$21</f>
        <v/>
      </c>
      <c r="N193" s="17" t="n"/>
      <c r="O193" s="123" t="n"/>
      <c r="P193" s="128" t="n"/>
      <c r="Q193" s="133" t="n"/>
      <c r="R193" s="17" t="n"/>
      <c r="S193" s="132">
        <f>DADOS_AM!$HF$22</f>
        <v/>
      </c>
      <c r="T193" s="17" t="n"/>
      <c r="U193" s="123" t="n"/>
    </row>
    <row r="194" hidden="1" outlineLevel="3">
      <c r="A194" s="8" t="n"/>
      <c r="B194" s="14" t="n"/>
      <c r="C194" s="123" t="n"/>
      <c r="D194" s="55" t="inlineStr">
        <is>
          <t>CONTA</t>
        </is>
      </c>
      <c r="E194" s="135">
        <f>DADOS_AM!$GY$20</f>
        <v/>
      </c>
      <c r="F194" s="16" t="n"/>
      <c r="G194" s="16" t="n"/>
      <c r="H194" s="17" t="n"/>
      <c r="I194" s="123" t="n"/>
      <c r="J194" s="55" t="inlineStr">
        <is>
          <t>CONTA</t>
        </is>
      </c>
      <c r="K194" s="135">
        <f>DADOS_AM!$GY$21</f>
        <v/>
      </c>
      <c r="L194" s="16" t="n"/>
      <c r="M194" s="16" t="n"/>
      <c r="N194" s="17" t="n"/>
      <c r="O194" s="123" t="n"/>
      <c r="P194" s="55" t="inlineStr">
        <is>
          <t>CONTA</t>
        </is>
      </c>
      <c r="Q194" s="135">
        <f>DADOS_AM!$GY$22</f>
        <v/>
      </c>
      <c r="R194" s="16" t="n"/>
      <c r="S194" s="16" t="n"/>
      <c r="T194" s="17" t="n"/>
      <c r="U194" s="123" t="n"/>
    </row>
    <row r="195" hidden="1" outlineLevel="3">
      <c r="A195" s="8" t="n"/>
      <c r="B195" s="14" t="n"/>
      <c r="C195" s="123" t="n"/>
      <c r="D195" s="55" t="inlineStr">
        <is>
          <t>AMPLIAR</t>
        </is>
      </c>
      <c r="E195" s="135">
        <f>DADOS_AM!$GZ$20</f>
        <v/>
      </c>
      <c r="F195" s="19" t="n"/>
      <c r="G195" s="19" t="n"/>
      <c r="H195" s="20" t="n"/>
      <c r="I195" s="123" t="n"/>
      <c r="J195" s="55" t="inlineStr">
        <is>
          <t>AMPLIAR</t>
        </is>
      </c>
      <c r="K195" s="135">
        <f>DADOS_AM!$GZ$21</f>
        <v/>
      </c>
      <c r="L195" s="19" t="n"/>
      <c r="M195" s="19" t="n"/>
      <c r="N195" s="20" t="n"/>
      <c r="O195" s="123" t="n"/>
      <c r="P195" s="55" t="inlineStr">
        <is>
          <t>AMPLIAR</t>
        </is>
      </c>
      <c r="Q195" s="135">
        <f>DADOS_AM!$GZ$22</f>
        <v/>
      </c>
      <c r="R195" s="19" t="n"/>
      <c r="S195" s="19" t="n"/>
      <c r="T195" s="20" t="n"/>
      <c r="U195" s="123" t="n"/>
    </row>
    <row r="196" hidden="1" outlineLevel="3">
      <c r="A196" s="8" t="n"/>
      <c r="B196" s="14" t="n"/>
      <c r="C196" s="123" t="n"/>
      <c r="D196" s="128" t="n"/>
      <c r="E196" s="23" t="n"/>
      <c r="F196" s="24" t="n"/>
      <c r="G196" s="24" t="n"/>
      <c r="H196" s="25" t="n"/>
      <c r="I196" s="123" t="n"/>
      <c r="J196" s="128" t="n"/>
      <c r="K196" s="23" t="n"/>
      <c r="L196" s="24" t="n"/>
      <c r="M196" s="24" t="n"/>
      <c r="N196" s="25" t="n"/>
      <c r="O196" s="123" t="n"/>
      <c r="P196" s="128" t="n"/>
      <c r="Q196" s="23" t="n"/>
      <c r="R196" s="24" t="n"/>
      <c r="S196" s="24" t="n"/>
      <c r="T196" s="25" t="n"/>
      <c r="U196" s="123" t="n"/>
    </row>
    <row r="197" hidden="1" outlineLevel="3">
      <c r="A197" s="8" t="n"/>
      <c r="B197" s="14" t="n"/>
      <c r="C197" s="123" t="n"/>
      <c r="D197" s="55" t="inlineStr">
        <is>
          <t>AVISOS</t>
        </is>
      </c>
      <c r="E197" s="135">
        <f>DADOS_AM!$GO$20</f>
        <v/>
      </c>
      <c r="F197" s="19" t="n"/>
      <c r="G197" s="19" t="n"/>
      <c r="H197" s="20" t="n"/>
      <c r="I197" s="123" t="n"/>
      <c r="J197" s="55" t="inlineStr">
        <is>
          <t>AVISOS</t>
        </is>
      </c>
      <c r="K197" s="135">
        <f>DADOS_AM!$GO$21</f>
        <v/>
      </c>
      <c r="L197" s="19" t="n"/>
      <c r="M197" s="19" t="n"/>
      <c r="N197" s="20" t="n"/>
      <c r="O197" s="123" t="n"/>
      <c r="P197" s="55" t="inlineStr">
        <is>
          <t>AVISOS</t>
        </is>
      </c>
      <c r="Q197" s="135">
        <f>DADOS_AM!$GO$22</f>
        <v/>
      </c>
      <c r="R197" s="19" t="n"/>
      <c r="S197" s="19" t="n"/>
      <c r="T197" s="20" t="n"/>
      <c r="U197" s="123" t="n"/>
    </row>
    <row r="198" hidden="1" outlineLevel="3">
      <c r="A198" s="8" t="n"/>
      <c r="B198" s="14" t="n"/>
      <c r="C198" s="123" t="n"/>
      <c r="D198" s="128" t="n"/>
      <c r="E198" s="23" t="n"/>
      <c r="F198" s="24" t="n"/>
      <c r="G198" s="24" t="n"/>
      <c r="H198" s="25" t="n"/>
      <c r="I198" s="123" t="n"/>
      <c r="J198" s="128" t="n"/>
      <c r="K198" s="23" t="n"/>
      <c r="L198" s="24" t="n"/>
      <c r="M198" s="24" t="n"/>
      <c r="N198" s="25" t="n"/>
      <c r="O198" s="123" t="n"/>
      <c r="P198" s="128" t="n"/>
      <c r="Q198" s="23" t="n"/>
      <c r="R198" s="24" t="n"/>
      <c r="S198" s="24" t="n"/>
      <c r="T198" s="25" t="n"/>
      <c r="U198" s="123" t="n"/>
    </row>
    <row r="199" hidden="1" outlineLevel="2">
      <c r="A199" s="8" t="n"/>
      <c r="B199" s="14" t="n"/>
      <c r="C199" s="123" t="n"/>
      <c r="D199" s="123" t="n"/>
      <c r="E199" s="123" t="n"/>
      <c r="F199" s="123" t="n"/>
      <c r="G199" s="123" t="n"/>
      <c r="H199" s="123" t="n"/>
      <c r="I199" s="123" t="n"/>
      <c r="J199" s="123" t="n"/>
      <c r="K199" s="123" t="n"/>
      <c r="L199" s="123" t="n"/>
      <c r="M199" s="123" t="n"/>
      <c r="N199" s="123" t="n"/>
      <c r="O199" s="123" t="n"/>
      <c r="P199" s="123" t="n"/>
      <c r="Q199" s="123" t="n"/>
      <c r="R199" s="123" t="n"/>
      <c r="S199" s="123" t="n"/>
      <c r="T199" s="123" t="n"/>
      <c r="U199" s="123" t="n"/>
    </row>
    <row r="200" hidden="1" outlineLevel="2">
      <c r="A200" s="8" t="n"/>
      <c r="B200" s="14" t="n"/>
      <c r="C200" s="123" t="n"/>
      <c r="D200" s="130" t="n">
        <v>1</v>
      </c>
      <c r="E200" s="118" t="n"/>
      <c r="F200" s="17" t="n"/>
      <c r="G200" s="131">
        <f>DADOS_AM!$GN$23</f>
        <v/>
      </c>
      <c r="H200" s="17" t="n"/>
      <c r="I200" s="123" t="n"/>
      <c r="J200" s="130" t="n">
        <v>1</v>
      </c>
      <c r="K200" s="118" t="n"/>
      <c r="L200" s="17" t="n"/>
      <c r="M200" s="131">
        <f>DADOS_AM!$GN$24</f>
        <v/>
      </c>
      <c r="N200" s="17" t="n"/>
      <c r="O200" s="123" t="n"/>
      <c r="P200" s="130" t="n">
        <v>1</v>
      </c>
      <c r="Q200" s="118" t="n"/>
      <c r="R200" s="17" t="n"/>
      <c r="S200" s="131">
        <f>DADOS_AM!$GN$25</f>
        <v/>
      </c>
      <c r="T200" s="17" t="n"/>
      <c r="U200" s="123" t="n"/>
    </row>
    <row r="201" hidden="1" outlineLevel="3">
      <c r="A201" s="8" t="n"/>
      <c r="B201" s="14" t="n"/>
      <c r="C201" s="123" t="n"/>
      <c r="D201" s="55" t="inlineStr">
        <is>
          <t>COMO É</t>
        </is>
      </c>
      <c r="E201" s="16" t="n"/>
      <c r="F201" s="16" t="n"/>
      <c r="G201" s="16" t="n"/>
      <c r="H201" s="17" t="n"/>
      <c r="I201" s="123" t="n"/>
      <c r="J201" s="55" t="inlineStr">
        <is>
          <t>COMO É</t>
        </is>
      </c>
      <c r="K201" s="16" t="n"/>
      <c r="L201" s="16" t="n"/>
      <c r="M201" s="16" t="n"/>
      <c r="N201" s="17" t="n"/>
      <c r="O201" s="123" t="n"/>
      <c r="P201" s="55" t="inlineStr">
        <is>
          <t>COMO É</t>
        </is>
      </c>
      <c r="Q201" s="16" t="n"/>
      <c r="R201" s="16" t="n"/>
      <c r="S201" s="16" t="n"/>
      <c r="T201" s="17" t="n"/>
      <c r="U201" s="123" t="n"/>
    </row>
    <row r="202" hidden="1" outlineLevel="3">
      <c r="A202" s="8" t="n"/>
      <c r="B202" s="14" t="n"/>
      <c r="C202" s="123" t="n"/>
      <c r="D202" s="119" t="n"/>
      <c r="E202" s="19" t="n"/>
      <c r="F202" s="19" t="n"/>
      <c r="G202" s="19" t="n"/>
      <c r="H202" s="20" t="n"/>
      <c r="I202" s="123" t="n"/>
      <c r="J202" s="119" t="n"/>
      <c r="K202" s="19" t="n"/>
      <c r="L202" s="19" t="n"/>
      <c r="M202" s="19" t="n"/>
      <c r="N202" s="20" t="n"/>
      <c r="O202" s="123" t="n"/>
      <c r="P202" s="119" t="n"/>
      <c r="Q202" s="19" t="n"/>
      <c r="R202" s="19" t="n"/>
      <c r="S202" s="19" t="n"/>
      <c r="T202" s="20" t="n"/>
      <c r="U202" s="123" t="n"/>
    </row>
    <row r="203" hidden="1" outlineLevel="3">
      <c r="A203" s="8" t="n"/>
      <c r="B203" s="14" t="n"/>
      <c r="C203" s="123" t="n"/>
      <c r="D203" s="21" t="n"/>
      <c r="H203" s="22" t="n"/>
      <c r="I203" s="123" t="n"/>
      <c r="J203" s="21" t="n"/>
      <c r="N203" s="22" t="n"/>
      <c r="O203" s="123" t="n"/>
      <c r="P203" s="21" t="n"/>
      <c r="T203" s="22" t="n"/>
      <c r="U203" s="123" t="n"/>
    </row>
    <row r="204" hidden="1" outlineLevel="3">
      <c r="A204" s="8" t="n"/>
      <c r="B204" s="14" t="n"/>
      <c r="C204" s="123" t="n"/>
      <c r="D204" s="21" t="n"/>
      <c r="H204" s="22" t="n"/>
      <c r="I204" s="123" t="n"/>
      <c r="J204" s="21" t="n"/>
      <c r="N204" s="22" t="n"/>
      <c r="O204" s="123" t="n"/>
      <c r="P204" s="21" t="n"/>
      <c r="T204" s="22" t="n"/>
      <c r="U204" s="123" t="n"/>
    </row>
    <row r="205" hidden="1" outlineLevel="3">
      <c r="A205" s="8" t="n"/>
      <c r="B205" s="14" t="n"/>
      <c r="C205" s="123" t="n"/>
      <c r="D205" s="21" t="n"/>
      <c r="H205" s="22" t="n"/>
      <c r="I205" s="123" t="n"/>
      <c r="J205" s="21" t="n"/>
      <c r="N205" s="22" t="n"/>
      <c r="O205" s="123" t="n"/>
      <c r="P205" s="21" t="n"/>
      <c r="T205" s="22" t="n"/>
      <c r="U205" s="123" t="n"/>
    </row>
    <row r="206" hidden="1" outlineLevel="3">
      <c r="A206" s="8" t="n"/>
      <c r="B206" s="14" t="n"/>
      <c r="C206" s="123" t="n"/>
      <c r="D206" s="23" t="n"/>
      <c r="E206" s="24" t="n"/>
      <c r="F206" s="24" t="n"/>
      <c r="G206" s="24" t="n"/>
      <c r="H206" s="25" t="n"/>
      <c r="I206" s="123" t="n"/>
      <c r="J206" s="23" t="n"/>
      <c r="K206" s="24" t="n"/>
      <c r="L206" s="24" t="n"/>
      <c r="M206" s="24" t="n"/>
      <c r="N206" s="25" t="n"/>
      <c r="O206" s="123" t="n"/>
      <c r="P206" s="23" t="n"/>
      <c r="Q206" s="24" t="n"/>
      <c r="R206" s="24" t="n"/>
      <c r="S206" s="24" t="n"/>
      <c r="T206" s="25" t="n"/>
      <c r="U206" s="123" t="n"/>
    </row>
    <row r="207" hidden="1" outlineLevel="2">
      <c r="A207" s="8" t="n"/>
      <c r="B207" s="14" t="n"/>
      <c r="C207" s="123" t="n"/>
      <c r="D207" s="127" t="inlineStr">
        <is>
          <t>Projétil</t>
        </is>
      </c>
      <c r="E207" s="68">
        <f>DADOS_AM!$GS$23</f>
        <v/>
      </c>
      <c r="F207" s="68">
        <f>DADOS_AM!$GP$23</f>
        <v/>
      </c>
      <c r="G207" s="127">
        <f>DADOS_AM!$GR$23</f>
        <v/>
      </c>
      <c r="H207" s="17" t="n"/>
      <c r="I207" s="123" t="n"/>
      <c r="J207" s="127" t="inlineStr">
        <is>
          <t>Projétil</t>
        </is>
      </c>
      <c r="K207" s="68">
        <f>DADOS_AM!$GS$24</f>
        <v/>
      </c>
      <c r="L207" s="68">
        <f>DADOS_AM!$GP$24</f>
        <v/>
      </c>
      <c r="M207" s="127">
        <f>DADOS_AM!$GR$24</f>
        <v/>
      </c>
      <c r="N207" s="17" t="n"/>
      <c r="O207" s="123" t="n"/>
      <c r="P207" s="127" t="inlineStr">
        <is>
          <t>Projétil</t>
        </is>
      </c>
      <c r="Q207" s="68">
        <f>DADOS_AM!$GS$25</f>
        <v/>
      </c>
      <c r="R207" s="68">
        <f>DADOS_AM!$GP$25</f>
        <v/>
      </c>
      <c r="S207" s="127">
        <f>DADOS_AM!$GR$25</f>
        <v/>
      </c>
      <c r="T207" s="17" t="n"/>
      <c r="U207" s="123" t="n"/>
    </row>
    <row r="208" hidden="1" outlineLevel="2">
      <c r="A208" s="8" t="n"/>
      <c r="B208" s="14" t="n"/>
      <c r="C208" s="123" t="n"/>
      <c r="D208" s="127">
        <f>DADOS_AM!$GQ$23</f>
        <v/>
      </c>
      <c r="E208" s="132">
        <f>DADOS_AM!$GX$23</f>
        <v/>
      </c>
      <c r="F208" s="16" t="n"/>
      <c r="G208" s="16" t="n"/>
      <c r="H208" s="17" t="n"/>
      <c r="I208" s="123" t="n"/>
      <c r="J208" s="127">
        <f>DADOS_AM!$GQ$24</f>
        <v/>
      </c>
      <c r="K208" s="132">
        <f>DADOS_AM!$GX$24</f>
        <v/>
      </c>
      <c r="L208" s="16" t="n"/>
      <c r="M208" s="16" t="n"/>
      <c r="N208" s="17" t="n"/>
      <c r="O208" s="123" t="n"/>
      <c r="P208" s="127">
        <f>DADOS_AM!$GQ$25</f>
        <v/>
      </c>
      <c r="Q208" s="132">
        <f>DADOS_AM!$GX$25</f>
        <v/>
      </c>
      <c r="R208" s="16" t="n"/>
      <c r="S208" s="16" t="n"/>
      <c r="T208" s="17" t="n"/>
      <c r="U208" s="123" t="n"/>
    </row>
    <row r="209" hidden="1" outlineLevel="3">
      <c r="A209" s="8" t="n"/>
      <c r="B209" s="14" t="n"/>
      <c r="C209" s="123" t="n"/>
      <c r="D209" s="55" t="inlineStr">
        <is>
          <t>MELHORIAS</t>
        </is>
      </c>
      <c r="E209" s="133" t="n"/>
      <c r="F209" s="17" t="n"/>
      <c r="G209" s="132">
        <f>DADOS_AM!$HA$23</f>
        <v/>
      </c>
      <c r="H209" s="17" t="n"/>
      <c r="I209" s="123" t="n"/>
      <c r="J209" s="55" t="inlineStr">
        <is>
          <t>MELHORIAS</t>
        </is>
      </c>
      <c r="K209" s="133" t="n"/>
      <c r="L209" s="17" t="n"/>
      <c r="M209" s="132">
        <f>DADOS_AM!$HA$24</f>
        <v/>
      </c>
      <c r="N209" s="17" t="n"/>
      <c r="O209" s="123" t="n"/>
      <c r="P209" s="55" t="inlineStr">
        <is>
          <t>MELHORIAS</t>
        </is>
      </c>
      <c r="Q209" s="133" t="n"/>
      <c r="R209" s="17" t="n"/>
      <c r="S209" s="132">
        <f>DADOS_AM!$HA$25</f>
        <v/>
      </c>
      <c r="T209" s="17" t="n"/>
      <c r="U209" s="123" t="n"/>
    </row>
    <row r="210" hidden="1" outlineLevel="3">
      <c r="A210" s="8" t="n"/>
      <c r="B210" s="14" t="n"/>
      <c r="C210" s="123" t="n"/>
      <c r="D210" s="134" t="n"/>
      <c r="E210" s="133" t="n"/>
      <c r="F210" s="17" t="n"/>
      <c r="G210" s="132">
        <f>DADOS_AM!$HB$23</f>
        <v/>
      </c>
      <c r="H210" s="17" t="n"/>
      <c r="I210" s="123" t="n"/>
      <c r="J210" s="134" t="n"/>
      <c r="K210" s="133" t="n"/>
      <c r="L210" s="17" t="n"/>
      <c r="M210" s="132">
        <f>DADOS_AM!$HB$24</f>
        <v/>
      </c>
      <c r="N210" s="17" t="n"/>
      <c r="O210" s="123" t="n"/>
      <c r="P210" s="134" t="n"/>
      <c r="Q210" s="133" t="n"/>
      <c r="R210" s="17" t="n"/>
      <c r="S210" s="132">
        <f>DADOS_AM!$HB$25</f>
        <v/>
      </c>
      <c r="T210" s="17" t="n"/>
      <c r="U210" s="123" t="n"/>
    </row>
    <row r="211" hidden="1" outlineLevel="3">
      <c r="A211" s="8" t="n"/>
      <c r="B211" s="14" t="n"/>
      <c r="C211" s="123" t="n"/>
      <c r="D211" s="134" t="n"/>
      <c r="E211" s="133" t="n"/>
      <c r="F211" s="17" t="n"/>
      <c r="G211" s="132">
        <f>DADOS_AM!$HC$23</f>
        <v/>
      </c>
      <c r="H211" s="17" t="n"/>
      <c r="I211" s="123" t="n"/>
      <c r="J211" s="134" t="n"/>
      <c r="K211" s="133" t="n"/>
      <c r="L211" s="17" t="n"/>
      <c r="M211" s="132">
        <f>DADOS_AM!$HC$24</f>
        <v/>
      </c>
      <c r="N211" s="17" t="n"/>
      <c r="O211" s="123" t="n"/>
      <c r="P211" s="134" t="n"/>
      <c r="Q211" s="133" t="n"/>
      <c r="R211" s="17" t="n"/>
      <c r="S211" s="132">
        <f>DADOS_AM!$HC$25</f>
        <v/>
      </c>
      <c r="T211" s="17" t="n"/>
      <c r="U211" s="123" t="n"/>
    </row>
    <row r="212" hidden="1" outlineLevel="3">
      <c r="A212" s="8" t="n"/>
      <c r="B212" s="14" t="n"/>
      <c r="C212" s="123" t="n"/>
      <c r="D212" s="128" t="n"/>
      <c r="E212" s="133" t="n"/>
      <c r="F212" s="17" t="n"/>
      <c r="G212" s="132">
        <f>DADOS_AM!$HD$23</f>
        <v/>
      </c>
      <c r="H212" s="17" t="n"/>
      <c r="I212" s="123" t="n"/>
      <c r="J212" s="128" t="n"/>
      <c r="K212" s="133" t="n"/>
      <c r="L212" s="17" t="n"/>
      <c r="M212" s="132">
        <f>DADOS_AM!$HD$24</f>
        <v/>
      </c>
      <c r="N212" s="17" t="n"/>
      <c r="O212" s="123" t="n"/>
      <c r="P212" s="128" t="n"/>
      <c r="Q212" s="133" t="n"/>
      <c r="R212" s="17" t="n"/>
      <c r="S212" s="132">
        <f>DADOS_AM!$HD$25</f>
        <v/>
      </c>
      <c r="T212" s="17" t="n"/>
      <c r="U212" s="123" t="n"/>
    </row>
    <row r="213" hidden="1" outlineLevel="3">
      <c r="A213" s="8" t="n"/>
      <c r="B213" s="14" t="n"/>
      <c r="C213" s="123" t="n"/>
      <c r="D213" s="55" t="inlineStr">
        <is>
          <t>RESTRIÇÕES</t>
        </is>
      </c>
      <c r="E213" s="133" t="n"/>
      <c r="F213" s="17" t="n"/>
      <c r="G213" s="132">
        <f>DADOS_AM!$HE$23</f>
        <v/>
      </c>
      <c r="H213" s="17" t="n"/>
      <c r="I213" s="123" t="n"/>
      <c r="J213" s="55" t="inlineStr">
        <is>
          <t>RESTRIÇÕES</t>
        </is>
      </c>
      <c r="K213" s="133" t="n"/>
      <c r="L213" s="17" t="n"/>
      <c r="M213" s="132">
        <f>DADOS_AM!$HE$24</f>
        <v/>
      </c>
      <c r="N213" s="17" t="n"/>
      <c r="O213" s="123" t="n"/>
      <c r="P213" s="55" t="inlineStr">
        <is>
          <t>RESTRIÇÕES</t>
        </is>
      </c>
      <c r="Q213" s="133" t="n"/>
      <c r="R213" s="17" t="n"/>
      <c r="S213" s="132">
        <f>DADOS_AM!$HE$25</f>
        <v/>
      </c>
      <c r="T213" s="17" t="n"/>
      <c r="U213" s="123" t="n"/>
    </row>
    <row r="214" hidden="1" outlineLevel="3">
      <c r="A214" s="8" t="n"/>
      <c r="B214" s="14" t="n"/>
      <c r="C214" s="123" t="n"/>
      <c r="D214" s="128" t="n"/>
      <c r="E214" s="133" t="n"/>
      <c r="F214" s="17" t="n"/>
      <c r="G214" s="132">
        <f>DADOS_AM!$HF$23</f>
        <v/>
      </c>
      <c r="H214" s="17" t="n"/>
      <c r="I214" s="123" t="n"/>
      <c r="J214" s="128" t="n"/>
      <c r="K214" s="133" t="n"/>
      <c r="L214" s="17" t="n"/>
      <c r="M214" s="132">
        <f>DADOS_AM!$HF$24</f>
        <v/>
      </c>
      <c r="N214" s="17" t="n"/>
      <c r="O214" s="123" t="n"/>
      <c r="P214" s="128" t="n"/>
      <c r="Q214" s="133" t="n"/>
      <c r="R214" s="17" t="n"/>
      <c r="S214" s="132">
        <f>DADOS_AM!$HF$25</f>
        <v/>
      </c>
      <c r="T214" s="17" t="n"/>
      <c r="U214" s="123" t="n"/>
    </row>
    <row r="215" hidden="1" outlineLevel="3">
      <c r="A215" s="8" t="n"/>
      <c r="B215" s="14" t="n"/>
      <c r="C215" s="123" t="n"/>
      <c r="D215" s="55" t="inlineStr">
        <is>
          <t>CONTA</t>
        </is>
      </c>
      <c r="E215" s="135">
        <f>DADOS_AM!$GY$23</f>
        <v/>
      </c>
      <c r="F215" s="16" t="n"/>
      <c r="G215" s="16" t="n"/>
      <c r="H215" s="17" t="n"/>
      <c r="I215" s="123" t="n"/>
      <c r="J215" s="55" t="inlineStr">
        <is>
          <t>CONTA</t>
        </is>
      </c>
      <c r="K215" s="135">
        <f>DADOS_AM!$GY$24</f>
        <v/>
      </c>
      <c r="L215" s="16" t="n"/>
      <c r="M215" s="16" t="n"/>
      <c r="N215" s="17" t="n"/>
      <c r="O215" s="123" t="n"/>
      <c r="P215" s="55" t="inlineStr">
        <is>
          <t>CONTA</t>
        </is>
      </c>
      <c r="Q215" s="135">
        <f>DADOS_AM!$GY$25</f>
        <v/>
      </c>
      <c r="R215" s="16" t="n"/>
      <c r="S215" s="16" t="n"/>
      <c r="T215" s="17" t="n"/>
      <c r="U215" s="123" t="n"/>
    </row>
    <row r="216" hidden="1" outlineLevel="3">
      <c r="A216" s="8" t="n"/>
      <c r="B216" s="14" t="n"/>
      <c r="C216" s="123" t="n"/>
      <c r="D216" s="55" t="inlineStr">
        <is>
          <t>AMPLIAR</t>
        </is>
      </c>
      <c r="E216" s="135">
        <f>DADOS_AM!$GZ$23</f>
        <v/>
      </c>
      <c r="F216" s="19" t="n"/>
      <c r="G216" s="19" t="n"/>
      <c r="H216" s="20" t="n"/>
      <c r="I216" s="123" t="n"/>
      <c r="J216" s="55" t="inlineStr">
        <is>
          <t>AMPLIAR</t>
        </is>
      </c>
      <c r="K216" s="135">
        <f>DADOS_AM!$GZ$24</f>
        <v/>
      </c>
      <c r="L216" s="19" t="n"/>
      <c r="M216" s="19" t="n"/>
      <c r="N216" s="20" t="n"/>
      <c r="O216" s="123" t="n"/>
      <c r="P216" s="55" t="inlineStr">
        <is>
          <t>AMPLIAR</t>
        </is>
      </c>
      <c r="Q216" s="135">
        <f>DADOS_AM!$GZ$25</f>
        <v/>
      </c>
      <c r="R216" s="19" t="n"/>
      <c r="S216" s="19" t="n"/>
      <c r="T216" s="20" t="n"/>
      <c r="U216" s="123" t="n"/>
    </row>
    <row r="217" hidden="1" outlineLevel="3">
      <c r="A217" s="8" t="n"/>
      <c r="B217" s="14" t="n"/>
      <c r="C217" s="123" t="n"/>
      <c r="D217" s="128" t="n"/>
      <c r="E217" s="23" t="n"/>
      <c r="F217" s="24" t="n"/>
      <c r="G217" s="24" t="n"/>
      <c r="H217" s="25" t="n"/>
      <c r="I217" s="123" t="n"/>
      <c r="J217" s="128" t="n"/>
      <c r="K217" s="23" t="n"/>
      <c r="L217" s="24" t="n"/>
      <c r="M217" s="24" t="n"/>
      <c r="N217" s="25" t="n"/>
      <c r="O217" s="123" t="n"/>
      <c r="P217" s="128" t="n"/>
      <c r="Q217" s="23" t="n"/>
      <c r="R217" s="24" t="n"/>
      <c r="S217" s="24" t="n"/>
      <c r="T217" s="25" t="n"/>
      <c r="U217" s="123" t="n"/>
    </row>
    <row r="218" hidden="1" outlineLevel="3">
      <c r="A218" s="8" t="n"/>
      <c r="B218" s="14" t="n"/>
      <c r="C218" s="123" t="n"/>
      <c r="D218" s="55" t="inlineStr">
        <is>
          <t>AVISOS</t>
        </is>
      </c>
      <c r="E218" s="135">
        <f>DADOS_AM!$GO$23</f>
        <v/>
      </c>
      <c r="F218" s="19" t="n"/>
      <c r="G218" s="19" t="n"/>
      <c r="H218" s="20" t="n"/>
      <c r="I218" s="123" t="n"/>
      <c r="J218" s="55" t="inlineStr">
        <is>
          <t>AVISOS</t>
        </is>
      </c>
      <c r="K218" s="135">
        <f>DADOS_AM!$GO$24</f>
        <v/>
      </c>
      <c r="L218" s="19" t="n"/>
      <c r="M218" s="19" t="n"/>
      <c r="N218" s="20" t="n"/>
      <c r="O218" s="123" t="n"/>
      <c r="P218" s="55" t="inlineStr">
        <is>
          <t>AVISOS</t>
        </is>
      </c>
      <c r="Q218" s="135">
        <f>DADOS_AM!$GO$25</f>
        <v/>
      </c>
      <c r="R218" s="19" t="n"/>
      <c r="S218" s="19" t="n"/>
      <c r="T218" s="20" t="n"/>
      <c r="U218" s="123" t="n"/>
    </row>
    <row r="219" hidden="1" outlineLevel="3">
      <c r="A219" s="8" t="n"/>
      <c r="B219" s="14" t="n"/>
      <c r="C219" s="123" t="n"/>
      <c r="D219" s="128" t="n"/>
      <c r="E219" s="23" t="n"/>
      <c r="F219" s="24" t="n"/>
      <c r="G219" s="24" t="n"/>
      <c r="H219" s="25" t="n"/>
      <c r="I219" s="123" t="n"/>
      <c r="J219" s="128" t="n"/>
      <c r="K219" s="23" t="n"/>
      <c r="L219" s="24" t="n"/>
      <c r="M219" s="24" t="n"/>
      <c r="N219" s="25" t="n"/>
      <c r="O219" s="123" t="n"/>
      <c r="P219" s="128" t="n"/>
      <c r="Q219" s="23" t="n"/>
      <c r="R219" s="24" t="n"/>
      <c r="S219" s="24" t="n"/>
      <c r="T219" s="25" t="n"/>
      <c r="U219" s="123" t="n"/>
    </row>
    <row r="220" outlineLevel="1">
      <c r="A220" s="8" t="n"/>
      <c r="B220" s="14" t="n"/>
      <c r="C220" s="123" t="n"/>
      <c r="D220" s="123" t="n"/>
      <c r="E220" s="123" t="n"/>
      <c r="F220" s="123" t="n"/>
      <c r="G220" s="123" t="n"/>
      <c r="H220" s="123" t="n"/>
      <c r="I220" s="123" t="n"/>
      <c r="J220" s="123" t="n"/>
      <c r="K220" s="123" t="n"/>
      <c r="L220" s="123" t="n"/>
      <c r="M220" s="123" t="n"/>
      <c r="N220" s="123" t="n"/>
      <c r="O220" s="123" t="n"/>
      <c r="P220" s="123" t="n"/>
      <c r="Q220" s="123" t="n"/>
      <c r="R220" s="123" t="n"/>
      <c r="S220" s="123" t="n"/>
      <c r="T220" s="123" t="n"/>
      <c r="U220" s="123" t="n"/>
    </row>
    <row r="221" outlineLevel="1">
      <c r="A221" s="8" t="n"/>
      <c r="B221" s="14" t="n"/>
      <c r="C221" s="123" t="n"/>
      <c r="D221" s="136">
        <f>DADOS_AM!$KT$35</f>
        <v/>
      </c>
      <c r="E221" s="16" t="n"/>
      <c r="F221" s="16" t="n"/>
      <c r="G221" s="16" t="n"/>
      <c r="H221" s="16" t="n"/>
      <c r="I221" s="16" t="n"/>
      <c r="J221" s="16" t="n"/>
      <c r="K221" s="16" t="n"/>
      <c r="L221" s="16" t="n"/>
      <c r="M221" s="16" t="n"/>
      <c r="N221" s="16" t="n"/>
      <c r="O221" s="16" t="n"/>
      <c r="P221" s="16" t="n"/>
      <c r="Q221" s="16" t="n"/>
      <c r="R221" s="16" t="n"/>
      <c r="S221" s="16" t="n"/>
      <c r="T221" s="17" t="n"/>
      <c r="U221" s="123" t="n"/>
    </row>
    <row r="222" hidden="1" outlineLevel="2">
      <c r="A222" s="8" t="n"/>
      <c r="B222" s="14" t="n"/>
      <c r="C222" s="123" t="n"/>
      <c r="D222" s="123" t="n"/>
      <c r="E222" s="123" t="n"/>
      <c r="F222" s="123" t="n"/>
      <c r="G222" s="123" t="n"/>
      <c r="H222" s="123" t="n"/>
      <c r="I222" s="123" t="n"/>
      <c r="J222" s="123" t="n"/>
      <c r="K222" s="123" t="n"/>
      <c r="L222" s="123" t="n"/>
      <c r="M222" s="123" t="n"/>
      <c r="N222" s="123" t="n"/>
      <c r="O222" s="123" t="n"/>
      <c r="P222" s="123" t="n"/>
      <c r="Q222" s="123" t="n"/>
      <c r="R222" s="123" t="n"/>
      <c r="S222" s="123" t="n"/>
      <c r="T222" s="123" t="n"/>
      <c r="U222" s="123" t="n"/>
    </row>
    <row r="223" hidden="1" outlineLevel="2">
      <c r="A223" s="8" t="n"/>
      <c r="B223" s="14" t="n"/>
      <c r="C223" s="123" t="n"/>
      <c r="D223" s="130" t="n">
        <v>1</v>
      </c>
      <c r="E223" s="118" t="n"/>
      <c r="F223" s="17" t="n"/>
      <c r="G223" s="131">
        <f>DADOS_AM!$GN$26</f>
        <v/>
      </c>
      <c r="H223" s="17" t="n"/>
      <c r="I223" s="123" t="n"/>
      <c r="J223" s="130" t="n">
        <v>1</v>
      </c>
      <c r="K223" s="118" t="n"/>
      <c r="L223" s="17" t="n"/>
      <c r="M223" s="131">
        <f>DADOS_AM!$GN$27</f>
        <v/>
      </c>
      <c r="N223" s="17" t="n"/>
      <c r="O223" s="123" t="n"/>
      <c r="P223" s="130" t="n">
        <v>1</v>
      </c>
      <c r="Q223" s="118" t="n"/>
      <c r="R223" s="17" t="n"/>
      <c r="S223" s="131">
        <f>DADOS_AM!$GN$28</f>
        <v/>
      </c>
      <c r="T223" s="17" t="n"/>
      <c r="U223" s="123" t="n"/>
    </row>
    <row r="224" hidden="1" outlineLevel="3">
      <c r="A224" s="8" t="n"/>
      <c r="B224" s="14" t="n"/>
      <c r="C224" s="123" t="n"/>
      <c r="D224" s="55" t="inlineStr">
        <is>
          <t>COMO É</t>
        </is>
      </c>
      <c r="E224" s="16" t="n"/>
      <c r="F224" s="16" t="n"/>
      <c r="G224" s="16" t="n"/>
      <c r="H224" s="17" t="n"/>
      <c r="I224" s="123" t="n"/>
      <c r="J224" s="55" t="inlineStr">
        <is>
          <t>COMO É</t>
        </is>
      </c>
      <c r="K224" s="16" t="n"/>
      <c r="L224" s="16" t="n"/>
      <c r="M224" s="16" t="n"/>
      <c r="N224" s="17" t="n"/>
      <c r="O224" s="123" t="n"/>
      <c r="P224" s="55" t="inlineStr">
        <is>
          <t>COMO É</t>
        </is>
      </c>
      <c r="Q224" s="16" t="n"/>
      <c r="R224" s="16" t="n"/>
      <c r="S224" s="16" t="n"/>
      <c r="T224" s="17" t="n"/>
      <c r="U224" s="123" t="n"/>
    </row>
    <row r="225" hidden="1" outlineLevel="3">
      <c r="A225" s="8" t="n"/>
      <c r="B225" s="14" t="n"/>
      <c r="C225" s="123" t="n"/>
      <c r="D225" s="119" t="n"/>
      <c r="E225" s="19" t="n"/>
      <c r="F225" s="19" t="n"/>
      <c r="G225" s="19" t="n"/>
      <c r="H225" s="20" t="n"/>
      <c r="I225" s="123" t="n"/>
      <c r="J225" s="119" t="n"/>
      <c r="K225" s="19" t="n"/>
      <c r="L225" s="19" t="n"/>
      <c r="M225" s="19" t="n"/>
      <c r="N225" s="20" t="n"/>
      <c r="O225" s="123" t="n"/>
      <c r="P225" s="119" t="n"/>
      <c r="Q225" s="19" t="n"/>
      <c r="R225" s="19" t="n"/>
      <c r="S225" s="19" t="n"/>
      <c r="T225" s="20" t="n"/>
      <c r="U225" s="123" t="n"/>
    </row>
    <row r="226" hidden="1" outlineLevel="3">
      <c r="A226" s="8" t="n"/>
      <c r="B226" s="14" t="n"/>
      <c r="C226" s="123" t="n"/>
      <c r="D226" s="21" t="n"/>
      <c r="H226" s="22" t="n"/>
      <c r="I226" s="123" t="n"/>
      <c r="J226" s="21" t="n"/>
      <c r="N226" s="22" t="n"/>
      <c r="O226" s="123" t="n"/>
      <c r="P226" s="21" t="n"/>
      <c r="T226" s="22" t="n"/>
      <c r="U226" s="123" t="n"/>
    </row>
    <row r="227" hidden="1" outlineLevel="3">
      <c r="A227" s="8" t="n"/>
      <c r="B227" s="14" t="n"/>
      <c r="C227" s="123" t="n"/>
      <c r="D227" s="21" t="n"/>
      <c r="H227" s="22" t="n"/>
      <c r="I227" s="123" t="n"/>
      <c r="J227" s="21" t="n"/>
      <c r="N227" s="22" t="n"/>
      <c r="O227" s="123" t="n"/>
      <c r="P227" s="21" t="n"/>
      <c r="T227" s="22" t="n"/>
      <c r="U227" s="123" t="n"/>
    </row>
    <row r="228" hidden="1" outlineLevel="3">
      <c r="A228" s="8" t="n"/>
      <c r="B228" s="14" t="n"/>
      <c r="C228" s="123" t="n"/>
      <c r="D228" s="21" t="n"/>
      <c r="H228" s="22" t="n"/>
      <c r="I228" s="123" t="n"/>
      <c r="J228" s="21" t="n"/>
      <c r="N228" s="22" t="n"/>
      <c r="O228" s="123" t="n"/>
      <c r="P228" s="21" t="n"/>
      <c r="T228" s="22" t="n"/>
      <c r="U228" s="123" t="n"/>
    </row>
    <row r="229" hidden="1" outlineLevel="3">
      <c r="A229" s="8" t="n"/>
      <c r="B229" s="14" t="n"/>
      <c r="C229" s="123" t="n"/>
      <c r="D229" s="23" t="n"/>
      <c r="E229" s="24" t="n"/>
      <c r="F229" s="24" t="n"/>
      <c r="G229" s="24" t="n"/>
      <c r="H229" s="25" t="n"/>
      <c r="I229" s="123" t="n"/>
      <c r="J229" s="23" t="n"/>
      <c r="K229" s="24" t="n"/>
      <c r="L229" s="24" t="n"/>
      <c r="M229" s="24" t="n"/>
      <c r="N229" s="25" t="n"/>
      <c r="O229" s="123" t="n"/>
      <c r="P229" s="23" t="n"/>
      <c r="Q229" s="24" t="n"/>
      <c r="R229" s="24" t="n"/>
      <c r="S229" s="24" t="n"/>
      <c r="T229" s="25" t="n"/>
      <c r="U229" s="123" t="n"/>
    </row>
    <row r="230" hidden="1" outlineLevel="2">
      <c r="A230" s="8" t="n"/>
      <c r="B230" s="14" t="n"/>
      <c r="C230" s="123" t="n"/>
      <c r="D230" s="127" t="inlineStr">
        <is>
          <t>Projétil</t>
        </is>
      </c>
      <c r="E230" s="68">
        <f>DADOS_AM!$GS$26</f>
        <v/>
      </c>
      <c r="F230" s="68">
        <f>DADOS_AM!$GP$26</f>
        <v/>
      </c>
      <c r="G230" s="127">
        <f>DADOS_AM!$GR$26</f>
        <v/>
      </c>
      <c r="H230" s="17" t="n"/>
      <c r="I230" s="123" t="n"/>
      <c r="J230" s="127" t="inlineStr">
        <is>
          <t>Projétil</t>
        </is>
      </c>
      <c r="K230" s="68">
        <f>DADOS_AM!$GS$27</f>
        <v/>
      </c>
      <c r="L230" s="68">
        <f>DADOS_AM!$GP$27</f>
        <v/>
      </c>
      <c r="M230" s="127">
        <f>DADOS_AM!$GR$27</f>
        <v/>
      </c>
      <c r="N230" s="17" t="n"/>
      <c r="O230" s="123" t="n"/>
      <c r="P230" s="127" t="inlineStr">
        <is>
          <t>Projétil</t>
        </is>
      </c>
      <c r="Q230" s="68">
        <f>DADOS_AM!$GS$28</f>
        <v/>
      </c>
      <c r="R230" s="68">
        <f>DADOS_AM!$GP$28</f>
        <v/>
      </c>
      <c r="S230" s="127">
        <f>DADOS_AM!$GR$28</f>
        <v/>
      </c>
      <c r="T230" s="17" t="n"/>
      <c r="U230" s="123" t="n"/>
    </row>
    <row r="231" hidden="1" outlineLevel="2">
      <c r="A231" s="8" t="n"/>
      <c r="B231" s="14" t="n"/>
      <c r="C231" s="123" t="n"/>
      <c r="D231" s="127">
        <f>DADOS_AM!$GQ$26</f>
        <v/>
      </c>
      <c r="E231" s="132">
        <f>DADOS_AM!$GX$26</f>
        <v/>
      </c>
      <c r="F231" s="16" t="n"/>
      <c r="G231" s="16" t="n"/>
      <c r="H231" s="17" t="n"/>
      <c r="I231" s="123" t="n"/>
      <c r="J231" s="127">
        <f>DADOS_AM!$GQ$27</f>
        <v/>
      </c>
      <c r="K231" s="132">
        <f>DADOS_AM!$GX$27</f>
        <v/>
      </c>
      <c r="L231" s="16" t="n"/>
      <c r="M231" s="16" t="n"/>
      <c r="N231" s="17" t="n"/>
      <c r="O231" s="123" t="n"/>
      <c r="P231" s="127">
        <f>DADOS_AM!$GQ$28</f>
        <v/>
      </c>
      <c r="Q231" s="132">
        <f>DADOS_AM!$GX$28</f>
        <v/>
      </c>
      <c r="R231" s="16" t="n"/>
      <c r="S231" s="16" t="n"/>
      <c r="T231" s="17" t="n"/>
      <c r="U231" s="123" t="n"/>
    </row>
    <row r="232" hidden="1" outlineLevel="3">
      <c r="A232" s="8" t="n"/>
      <c r="B232" s="14" t="n"/>
      <c r="C232" s="123" t="n"/>
      <c r="D232" s="55" t="inlineStr">
        <is>
          <t>MELHORIAS</t>
        </is>
      </c>
      <c r="E232" s="133" t="n"/>
      <c r="F232" s="17" t="n"/>
      <c r="G232" s="132">
        <f>DADOS_AM!$HA$26</f>
        <v/>
      </c>
      <c r="H232" s="17" t="n"/>
      <c r="I232" s="123" t="n"/>
      <c r="J232" s="55" t="inlineStr">
        <is>
          <t>MELHORIAS</t>
        </is>
      </c>
      <c r="K232" s="133" t="n"/>
      <c r="L232" s="17" t="n"/>
      <c r="M232" s="132">
        <f>DADOS_AM!$HA$27</f>
        <v/>
      </c>
      <c r="N232" s="17" t="n"/>
      <c r="O232" s="123" t="n"/>
      <c r="P232" s="55" t="inlineStr">
        <is>
          <t>MELHORIAS</t>
        </is>
      </c>
      <c r="Q232" s="133" t="n"/>
      <c r="R232" s="17" t="n"/>
      <c r="S232" s="132">
        <f>DADOS_AM!$HA$28</f>
        <v/>
      </c>
      <c r="T232" s="17" t="n"/>
      <c r="U232" s="123" t="n"/>
    </row>
    <row r="233" hidden="1" outlineLevel="3">
      <c r="A233" s="8" t="n"/>
      <c r="B233" s="14" t="n"/>
      <c r="C233" s="123" t="n"/>
      <c r="D233" s="134" t="n"/>
      <c r="E233" s="133" t="n"/>
      <c r="F233" s="17" t="n"/>
      <c r="G233" s="132">
        <f>DADOS_AM!$HB$26</f>
        <v/>
      </c>
      <c r="H233" s="17" t="n"/>
      <c r="I233" s="123" t="n"/>
      <c r="J233" s="134" t="n"/>
      <c r="K233" s="133" t="n"/>
      <c r="L233" s="17" t="n"/>
      <c r="M233" s="132">
        <f>DADOS_AM!$HB$27</f>
        <v/>
      </c>
      <c r="N233" s="17" t="n"/>
      <c r="O233" s="123" t="n"/>
      <c r="P233" s="134" t="n"/>
      <c r="Q233" s="133" t="n"/>
      <c r="R233" s="17" t="n"/>
      <c r="S233" s="132">
        <f>DADOS_AM!$HB$28</f>
        <v/>
      </c>
      <c r="T233" s="17" t="n"/>
      <c r="U233" s="123" t="n"/>
    </row>
    <row r="234" hidden="1" outlineLevel="3">
      <c r="A234" s="8" t="n"/>
      <c r="B234" s="14" t="n"/>
      <c r="C234" s="123" t="n"/>
      <c r="D234" s="134" t="n"/>
      <c r="E234" s="133" t="n"/>
      <c r="F234" s="17" t="n"/>
      <c r="G234" s="132">
        <f>DADOS_AM!$HC$26</f>
        <v/>
      </c>
      <c r="H234" s="17" t="n"/>
      <c r="I234" s="123" t="n"/>
      <c r="J234" s="134" t="n"/>
      <c r="K234" s="133" t="n"/>
      <c r="L234" s="17" t="n"/>
      <c r="M234" s="132">
        <f>DADOS_AM!$HC$27</f>
        <v/>
      </c>
      <c r="N234" s="17" t="n"/>
      <c r="O234" s="123" t="n"/>
      <c r="P234" s="134" t="n"/>
      <c r="Q234" s="133" t="n"/>
      <c r="R234" s="17" t="n"/>
      <c r="S234" s="132">
        <f>DADOS_AM!$HC$28</f>
        <v/>
      </c>
      <c r="T234" s="17" t="n"/>
      <c r="U234" s="123" t="n"/>
    </row>
    <row r="235" hidden="1" outlineLevel="3">
      <c r="A235" s="8" t="n"/>
      <c r="B235" s="14" t="n"/>
      <c r="C235" s="123" t="n"/>
      <c r="D235" s="128" t="n"/>
      <c r="E235" s="133" t="n"/>
      <c r="F235" s="17" t="n"/>
      <c r="G235" s="132">
        <f>DADOS_AM!$HD$26</f>
        <v/>
      </c>
      <c r="H235" s="17" t="n"/>
      <c r="I235" s="123" t="n"/>
      <c r="J235" s="128" t="n"/>
      <c r="K235" s="133" t="n"/>
      <c r="L235" s="17" t="n"/>
      <c r="M235" s="132">
        <f>DADOS_AM!$HD$27</f>
        <v/>
      </c>
      <c r="N235" s="17" t="n"/>
      <c r="O235" s="123" t="n"/>
      <c r="P235" s="128" t="n"/>
      <c r="Q235" s="133" t="n"/>
      <c r="R235" s="17" t="n"/>
      <c r="S235" s="132">
        <f>DADOS_AM!$HD$28</f>
        <v/>
      </c>
      <c r="T235" s="17" t="n"/>
      <c r="U235" s="123" t="n"/>
    </row>
    <row r="236" hidden="1" outlineLevel="3">
      <c r="A236" s="8" t="n"/>
      <c r="B236" s="14" t="n"/>
      <c r="C236" s="123" t="n"/>
      <c r="D236" s="55" t="inlineStr">
        <is>
          <t>RESTRIÇÕES</t>
        </is>
      </c>
      <c r="E236" s="133" t="n"/>
      <c r="F236" s="17" t="n"/>
      <c r="G236" s="132">
        <f>DADOS_AM!$HE$26</f>
        <v/>
      </c>
      <c r="H236" s="17" t="n"/>
      <c r="I236" s="123" t="n"/>
      <c r="J236" s="55" t="inlineStr">
        <is>
          <t>RESTRIÇÕES</t>
        </is>
      </c>
      <c r="K236" s="133" t="n"/>
      <c r="L236" s="17" t="n"/>
      <c r="M236" s="132">
        <f>DADOS_AM!$HE$27</f>
        <v/>
      </c>
      <c r="N236" s="17" t="n"/>
      <c r="O236" s="123" t="n"/>
      <c r="P236" s="55" t="inlineStr">
        <is>
          <t>RESTRIÇÕES</t>
        </is>
      </c>
      <c r="Q236" s="133" t="n"/>
      <c r="R236" s="17" t="n"/>
      <c r="S236" s="132">
        <f>DADOS_AM!$HE$28</f>
        <v/>
      </c>
      <c r="T236" s="17" t="n"/>
      <c r="U236" s="123" t="n"/>
    </row>
    <row r="237" hidden="1" outlineLevel="3">
      <c r="A237" s="8" t="n"/>
      <c r="B237" s="14" t="n"/>
      <c r="C237" s="123" t="n"/>
      <c r="D237" s="128" t="n"/>
      <c r="E237" s="133" t="n"/>
      <c r="F237" s="17" t="n"/>
      <c r="G237" s="132">
        <f>DADOS_AM!$HF$26</f>
        <v/>
      </c>
      <c r="H237" s="17" t="n"/>
      <c r="I237" s="123" t="n"/>
      <c r="J237" s="128" t="n"/>
      <c r="K237" s="133" t="n"/>
      <c r="L237" s="17" t="n"/>
      <c r="M237" s="132">
        <f>DADOS_AM!$HF$27</f>
        <v/>
      </c>
      <c r="N237" s="17" t="n"/>
      <c r="O237" s="123" t="n"/>
      <c r="P237" s="128" t="n"/>
      <c r="Q237" s="133" t="n"/>
      <c r="R237" s="17" t="n"/>
      <c r="S237" s="132">
        <f>DADOS_AM!$HF$28</f>
        <v/>
      </c>
      <c r="T237" s="17" t="n"/>
      <c r="U237" s="123" t="n"/>
    </row>
    <row r="238" hidden="1" outlineLevel="3">
      <c r="A238" s="8" t="n"/>
      <c r="B238" s="14" t="n"/>
      <c r="C238" s="123" t="n"/>
      <c r="D238" s="55" t="inlineStr">
        <is>
          <t>CONTA</t>
        </is>
      </c>
      <c r="E238" s="135">
        <f>DADOS_AM!$GY$26</f>
        <v/>
      </c>
      <c r="F238" s="16" t="n"/>
      <c r="G238" s="16" t="n"/>
      <c r="H238" s="17" t="n"/>
      <c r="I238" s="123" t="n"/>
      <c r="J238" s="55" t="inlineStr">
        <is>
          <t>CONTA</t>
        </is>
      </c>
      <c r="K238" s="135">
        <f>DADOS_AM!$GY$27</f>
        <v/>
      </c>
      <c r="L238" s="16" t="n"/>
      <c r="M238" s="16" t="n"/>
      <c r="N238" s="17" t="n"/>
      <c r="O238" s="123" t="n"/>
      <c r="P238" s="55" t="inlineStr">
        <is>
          <t>CONTA</t>
        </is>
      </c>
      <c r="Q238" s="135">
        <f>DADOS_AM!$GY$28</f>
        <v/>
      </c>
      <c r="R238" s="16" t="n"/>
      <c r="S238" s="16" t="n"/>
      <c r="T238" s="17" t="n"/>
      <c r="U238" s="123" t="n"/>
    </row>
    <row r="239" hidden="1" outlineLevel="3">
      <c r="A239" s="8" t="n"/>
      <c r="B239" s="14" t="n"/>
      <c r="C239" s="123" t="n"/>
      <c r="D239" s="55" t="inlineStr">
        <is>
          <t>AMPLIAR</t>
        </is>
      </c>
      <c r="E239" s="135">
        <f>DADOS_AM!$GZ$26</f>
        <v/>
      </c>
      <c r="F239" s="19" t="n"/>
      <c r="G239" s="19" t="n"/>
      <c r="H239" s="20" t="n"/>
      <c r="I239" s="123" t="n"/>
      <c r="J239" s="55" t="inlineStr">
        <is>
          <t>AMPLIAR</t>
        </is>
      </c>
      <c r="K239" s="135">
        <f>DADOS_AM!$GZ$27</f>
        <v/>
      </c>
      <c r="L239" s="19" t="n"/>
      <c r="M239" s="19" t="n"/>
      <c r="N239" s="20" t="n"/>
      <c r="O239" s="123" t="n"/>
      <c r="P239" s="55" t="inlineStr">
        <is>
          <t>AMPLIAR</t>
        </is>
      </c>
      <c r="Q239" s="135">
        <f>DADOS_AM!$GZ$28</f>
        <v/>
      </c>
      <c r="R239" s="19" t="n"/>
      <c r="S239" s="19" t="n"/>
      <c r="T239" s="20" t="n"/>
      <c r="U239" s="123" t="n"/>
    </row>
    <row r="240" hidden="1" outlineLevel="3">
      <c r="A240" s="8" t="n"/>
      <c r="B240" s="14" t="n"/>
      <c r="C240" s="123" t="n"/>
      <c r="D240" s="128" t="n"/>
      <c r="E240" s="23" t="n"/>
      <c r="F240" s="24" t="n"/>
      <c r="G240" s="24" t="n"/>
      <c r="H240" s="25" t="n"/>
      <c r="I240" s="123" t="n"/>
      <c r="J240" s="128" t="n"/>
      <c r="K240" s="23" t="n"/>
      <c r="L240" s="24" t="n"/>
      <c r="M240" s="24" t="n"/>
      <c r="N240" s="25" t="n"/>
      <c r="O240" s="123" t="n"/>
      <c r="P240" s="128" t="n"/>
      <c r="Q240" s="23" t="n"/>
      <c r="R240" s="24" t="n"/>
      <c r="S240" s="24" t="n"/>
      <c r="T240" s="25" t="n"/>
      <c r="U240" s="123" t="n"/>
    </row>
    <row r="241" hidden="1" outlineLevel="3">
      <c r="A241" s="8" t="n"/>
      <c r="B241" s="14" t="n"/>
      <c r="C241" s="123" t="n"/>
      <c r="D241" s="55" t="inlineStr">
        <is>
          <t>AVISOS</t>
        </is>
      </c>
      <c r="E241" s="135">
        <f>DADOS_AM!$GO$26</f>
        <v/>
      </c>
      <c r="F241" s="19" t="n"/>
      <c r="G241" s="19" t="n"/>
      <c r="H241" s="20" t="n"/>
      <c r="I241" s="123" t="n"/>
      <c r="J241" s="55" t="inlineStr">
        <is>
          <t>AVISOS</t>
        </is>
      </c>
      <c r="K241" s="135">
        <f>DADOS_AM!$GO$27</f>
        <v/>
      </c>
      <c r="L241" s="19" t="n"/>
      <c r="M241" s="19" t="n"/>
      <c r="N241" s="20" t="n"/>
      <c r="O241" s="123" t="n"/>
      <c r="P241" s="55" t="inlineStr">
        <is>
          <t>AVISOS</t>
        </is>
      </c>
      <c r="Q241" s="135">
        <f>DADOS_AM!$GO$28</f>
        <v/>
      </c>
      <c r="R241" s="19" t="n"/>
      <c r="S241" s="19" t="n"/>
      <c r="T241" s="20" t="n"/>
      <c r="U241" s="123" t="n"/>
    </row>
    <row r="242" hidden="1" outlineLevel="3">
      <c r="A242" s="8" t="n"/>
      <c r="B242" s="14" t="n"/>
      <c r="C242" s="123" t="n"/>
      <c r="D242" s="128" t="n"/>
      <c r="E242" s="23" t="n"/>
      <c r="F242" s="24" t="n"/>
      <c r="G242" s="24" t="n"/>
      <c r="H242" s="25" t="n"/>
      <c r="I242" s="123" t="n"/>
      <c r="J242" s="128" t="n"/>
      <c r="K242" s="23" t="n"/>
      <c r="L242" s="24" t="n"/>
      <c r="M242" s="24" t="n"/>
      <c r="N242" s="25" t="n"/>
      <c r="O242" s="123" t="n"/>
      <c r="P242" s="128" t="n"/>
      <c r="Q242" s="23" t="n"/>
      <c r="R242" s="24" t="n"/>
      <c r="S242" s="24" t="n"/>
      <c r="T242" s="25" t="n"/>
      <c r="U242" s="123" t="n"/>
    </row>
    <row r="243" hidden="1" outlineLevel="2">
      <c r="A243" s="8" t="n"/>
      <c r="B243" s="14" t="n"/>
      <c r="C243" s="123" t="n"/>
      <c r="D243" s="123" t="n"/>
      <c r="E243" s="123" t="n"/>
      <c r="F243" s="123" t="n"/>
      <c r="G243" s="123" t="n"/>
      <c r="H243" s="123" t="n"/>
      <c r="I243" s="123" t="n"/>
      <c r="J243" s="123" t="n"/>
      <c r="K243" s="123" t="n"/>
      <c r="L243" s="123" t="n"/>
      <c r="M243" s="123" t="n"/>
      <c r="N243" s="123" t="n"/>
      <c r="O243" s="123" t="n"/>
      <c r="P243" s="123" t="n"/>
      <c r="Q243" s="123" t="n"/>
      <c r="R243" s="123" t="n"/>
      <c r="S243" s="123" t="n"/>
      <c r="T243" s="123" t="n"/>
      <c r="U243" s="123" t="n"/>
    </row>
    <row r="244" hidden="1" outlineLevel="2">
      <c r="A244" s="8" t="n"/>
      <c r="B244" s="14" t="n"/>
      <c r="C244" s="123" t="n"/>
      <c r="D244" s="130" t="n">
        <v>1</v>
      </c>
      <c r="E244" s="118" t="n"/>
      <c r="F244" s="17" t="n"/>
      <c r="G244" s="131">
        <f>DADOS_AM!$GN$29</f>
        <v/>
      </c>
      <c r="H244" s="17" t="n"/>
      <c r="I244" s="123" t="n"/>
      <c r="J244" s="130" t="n">
        <v>1</v>
      </c>
      <c r="K244" s="118" t="n"/>
      <c r="L244" s="17" t="n"/>
      <c r="M244" s="131">
        <f>DADOS_AM!$GN$30</f>
        <v/>
      </c>
      <c r="N244" s="17" t="n"/>
      <c r="O244" s="123" t="n"/>
      <c r="P244" s="130" t="n">
        <v>1</v>
      </c>
      <c r="Q244" s="118" t="n"/>
      <c r="R244" s="17" t="n"/>
      <c r="S244" s="131">
        <f>DADOS_AM!$GN$31</f>
        <v/>
      </c>
      <c r="T244" s="17" t="n"/>
      <c r="U244" s="123" t="n"/>
    </row>
    <row r="245" hidden="1" outlineLevel="3">
      <c r="A245" s="8" t="n"/>
      <c r="B245" s="14" t="n"/>
      <c r="C245" s="123" t="n"/>
      <c r="D245" s="55" t="inlineStr">
        <is>
          <t>COMO É</t>
        </is>
      </c>
      <c r="E245" s="16" t="n"/>
      <c r="F245" s="16" t="n"/>
      <c r="G245" s="16" t="n"/>
      <c r="H245" s="17" t="n"/>
      <c r="I245" s="123" t="n"/>
      <c r="J245" s="55" t="inlineStr">
        <is>
          <t>COMO É</t>
        </is>
      </c>
      <c r="K245" s="16" t="n"/>
      <c r="L245" s="16" t="n"/>
      <c r="M245" s="16" t="n"/>
      <c r="N245" s="17" t="n"/>
      <c r="O245" s="123" t="n"/>
      <c r="P245" s="55" t="inlineStr">
        <is>
          <t>COMO É</t>
        </is>
      </c>
      <c r="Q245" s="16" t="n"/>
      <c r="R245" s="16" t="n"/>
      <c r="S245" s="16" t="n"/>
      <c r="T245" s="17" t="n"/>
      <c r="U245" s="123" t="n"/>
    </row>
    <row r="246" hidden="1" outlineLevel="3">
      <c r="A246" s="8" t="n"/>
      <c r="B246" s="14" t="n"/>
      <c r="C246" s="123" t="n"/>
      <c r="D246" s="119" t="n"/>
      <c r="E246" s="19" t="n"/>
      <c r="F246" s="19" t="n"/>
      <c r="G246" s="19" t="n"/>
      <c r="H246" s="20" t="n"/>
      <c r="I246" s="123" t="n"/>
      <c r="J246" s="119" t="n"/>
      <c r="K246" s="19" t="n"/>
      <c r="L246" s="19" t="n"/>
      <c r="M246" s="19" t="n"/>
      <c r="N246" s="20" t="n"/>
      <c r="O246" s="123" t="n"/>
      <c r="P246" s="119" t="n"/>
      <c r="Q246" s="19" t="n"/>
      <c r="R246" s="19" t="n"/>
      <c r="S246" s="19" t="n"/>
      <c r="T246" s="20" t="n"/>
      <c r="U246" s="123" t="n"/>
    </row>
    <row r="247" hidden="1" outlineLevel="3">
      <c r="A247" s="8" t="n"/>
      <c r="B247" s="14" t="n"/>
      <c r="C247" s="123" t="n"/>
      <c r="D247" s="21" t="n"/>
      <c r="H247" s="22" t="n"/>
      <c r="I247" s="123" t="n"/>
      <c r="J247" s="21" t="n"/>
      <c r="N247" s="22" t="n"/>
      <c r="O247" s="123" t="n"/>
      <c r="P247" s="21" t="n"/>
      <c r="T247" s="22" t="n"/>
      <c r="U247" s="123" t="n"/>
    </row>
    <row r="248" hidden="1" outlineLevel="3">
      <c r="A248" s="8" t="n"/>
      <c r="B248" s="14" t="n"/>
      <c r="C248" s="123" t="n"/>
      <c r="D248" s="21" t="n"/>
      <c r="H248" s="22" t="n"/>
      <c r="I248" s="123" t="n"/>
      <c r="J248" s="21" t="n"/>
      <c r="N248" s="22" t="n"/>
      <c r="O248" s="123" t="n"/>
      <c r="P248" s="21" t="n"/>
      <c r="T248" s="22" t="n"/>
      <c r="U248" s="123" t="n"/>
    </row>
    <row r="249" hidden="1" outlineLevel="3">
      <c r="A249" s="8" t="n"/>
      <c r="B249" s="14" t="n"/>
      <c r="C249" s="123" t="n"/>
      <c r="D249" s="21" t="n"/>
      <c r="H249" s="22" t="n"/>
      <c r="I249" s="123" t="n"/>
      <c r="J249" s="21" t="n"/>
      <c r="N249" s="22" t="n"/>
      <c r="O249" s="123" t="n"/>
      <c r="P249" s="21" t="n"/>
      <c r="T249" s="22" t="n"/>
      <c r="U249" s="123" t="n"/>
    </row>
    <row r="250" hidden="1" outlineLevel="3">
      <c r="A250" s="8" t="n"/>
      <c r="B250" s="14" t="n"/>
      <c r="C250" s="123" t="n"/>
      <c r="D250" s="23" t="n"/>
      <c r="E250" s="24" t="n"/>
      <c r="F250" s="24" t="n"/>
      <c r="G250" s="24" t="n"/>
      <c r="H250" s="25" t="n"/>
      <c r="I250" s="123" t="n"/>
      <c r="J250" s="23" t="n"/>
      <c r="K250" s="24" t="n"/>
      <c r="L250" s="24" t="n"/>
      <c r="M250" s="24" t="n"/>
      <c r="N250" s="25" t="n"/>
      <c r="O250" s="123" t="n"/>
      <c r="P250" s="23" t="n"/>
      <c r="Q250" s="24" t="n"/>
      <c r="R250" s="24" t="n"/>
      <c r="S250" s="24" t="n"/>
      <c r="T250" s="25" t="n"/>
      <c r="U250" s="123" t="n"/>
    </row>
    <row r="251" hidden="1" outlineLevel="2">
      <c r="A251" s="8" t="n"/>
      <c r="B251" s="14" t="n"/>
      <c r="C251" s="123" t="n"/>
      <c r="D251" s="127" t="inlineStr">
        <is>
          <t>Projétil</t>
        </is>
      </c>
      <c r="E251" s="68">
        <f>DADOS_AM!$GS$29</f>
        <v/>
      </c>
      <c r="F251" s="68">
        <f>DADOS_AM!$GP$29</f>
        <v/>
      </c>
      <c r="G251" s="127">
        <f>DADOS_AM!$GR$29</f>
        <v/>
      </c>
      <c r="H251" s="17" t="n"/>
      <c r="I251" s="123" t="n"/>
      <c r="J251" s="127" t="inlineStr">
        <is>
          <t>Projétil</t>
        </is>
      </c>
      <c r="K251" s="68">
        <f>DADOS_AM!$GS$30</f>
        <v/>
      </c>
      <c r="L251" s="68">
        <f>DADOS_AM!$GP$30</f>
        <v/>
      </c>
      <c r="M251" s="127">
        <f>DADOS_AM!$GR$30</f>
        <v/>
      </c>
      <c r="N251" s="17" t="n"/>
      <c r="O251" s="123" t="n"/>
      <c r="P251" s="127" t="inlineStr">
        <is>
          <t>Projétil</t>
        </is>
      </c>
      <c r="Q251" s="68">
        <f>DADOS_AM!$GS$31</f>
        <v/>
      </c>
      <c r="R251" s="68">
        <f>DADOS_AM!$GP$31</f>
        <v/>
      </c>
      <c r="S251" s="127">
        <f>DADOS_AM!$GR$31</f>
        <v/>
      </c>
      <c r="T251" s="17" t="n"/>
      <c r="U251" s="123" t="n"/>
    </row>
    <row r="252" hidden="1" outlineLevel="2">
      <c r="A252" s="8" t="n"/>
      <c r="B252" s="14" t="n"/>
      <c r="C252" s="123" t="n"/>
      <c r="D252" s="127">
        <f>DADOS_AM!$GQ$29</f>
        <v/>
      </c>
      <c r="E252" s="132">
        <f>DADOS_AM!$GX$29</f>
        <v/>
      </c>
      <c r="F252" s="16" t="n"/>
      <c r="G252" s="16" t="n"/>
      <c r="H252" s="17" t="n"/>
      <c r="I252" s="123" t="n"/>
      <c r="J252" s="127">
        <f>DADOS_AM!$GQ$30</f>
        <v/>
      </c>
      <c r="K252" s="132">
        <f>DADOS_AM!$GX$30</f>
        <v/>
      </c>
      <c r="L252" s="16" t="n"/>
      <c r="M252" s="16" t="n"/>
      <c r="N252" s="17" t="n"/>
      <c r="O252" s="123" t="n"/>
      <c r="P252" s="127">
        <f>DADOS_AM!$GQ$31</f>
        <v/>
      </c>
      <c r="Q252" s="132">
        <f>DADOS_AM!$GX$31</f>
        <v/>
      </c>
      <c r="R252" s="16" t="n"/>
      <c r="S252" s="16" t="n"/>
      <c r="T252" s="17" t="n"/>
      <c r="U252" s="123" t="n"/>
    </row>
    <row r="253" hidden="1" outlineLevel="3">
      <c r="A253" s="8" t="n"/>
      <c r="B253" s="14" t="n"/>
      <c r="C253" s="123" t="n"/>
      <c r="D253" s="55" t="inlineStr">
        <is>
          <t>MELHORIAS</t>
        </is>
      </c>
      <c r="E253" s="133" t="n"/>
      <c r="F253" s="17" t="n"/>
      <c r="G253" s="132">
        <f>DADOS_AM!$HA$29</f>
        <v/>
      </c>
      <c r="H253" s="17" t="n"/>
      <c r="I253" s="123" t="n"/>
      <c r="J253" s="55" t="inlineStr">
        <is>
          <t>MELHORIAS</t>
        </is>
      </c>
      <c r="K253" s="133" t="n"/>
      <c r="L253" s="17" t="n"/>
      <c r="M253" s="132">
        <f>DADOS_AM!$HA$30</f>
        <v/>
      </c>
      <c r="N253" s="17" t="n"/>
      <c r="O253" s="123" t="n"/>
      <c r="P253" s="55" t="inlineStr">
        <is>
          <t>MELHORIAS</t>
        </is>
      </c>
      <c r="Q253" s="133" t="n"/>
      <c r="R253" s="17" t="n"/>
      <c r="S253" s="132">
        <f>DADOS_AM!$HA$31</f>
        <v/>
      </c>
      <c r="T253" s="17" t="n"/>
      <c r="U253" s="123" t="n"/>
    </row>
    <row r="254" hidden="1" outlineLevel="3">
      <c r="A254" s="8" t="n"/>
      <c r="B254" s="14" t="n"/>
      <c r="C254" s="123" t="n"/>
      <c r="D254" s="134" t="n"/>
      <c r="E254" s="133" t="n"/>
      <c r="F254" s="17" t="n"/>
      <c r="G254" s="132">
        <f>DADOS_AM!$HB$29</f>
        <v/>
      </c>
      <c r="H254" s="17" t="n"/>
      <c r="I254" s="123" t="n"/>
      <c r="J254" s="134" t="n"/>
      <c r="K254" s="133" t="n"/>
      <c r="L254" s="17" t="n"/>
      <c r="M254" s="132">
        <f>DADOS_AM!$HB$30</f>
        <v/>
      </c>
      <c r="N254" s="17" t="n"/>
      <c r="O254" s="123" t="n"/>
      <c r="P254" s="134" t="n"/>
      <c r="Q254" s="133" t="n"/>
      <c r="R254" s="17" t="n"/>
      <c r="S254" s="132">
        <f>DADOS_AM!$HB$31</f>
        <v/>
      </c>
      <c r="T254" s="17" t="n"/>
      <c r="U254" s="123" t="n"/>
    </row>
    <row r="255" hidden="1" outlineLevel="3">
      <c r="A255" s="8" t="n"/>
      <c r="B255" s="14" t="n"/>
      <c r="C255" s="123" t="n"/>
      <c r="D255" s="134" t="n"/>
      <c r="E255" s="133" t="n"/>
      <c r="F255" s="17" t="n"/>
      <c r="G255" s="132">
        <f>DADOS_AM!$HC$29</f>
        <v/>
      </c>
      <c r="H255" s="17" t="n"/>
      <c r="I255" s="123" t="n"/>
      <c r="J255" s="134" t="n"/>
      <c r="K255" s="133" t="n"/>
      <c r="L255" s="17" t="n"/>
      <c r="M255" s="132">
        <f>DADOS_AM!$HC$30</f>
        <v/>
      </c>
      <c r="N255" s="17" t="n"/>
      <c r="O255" s="123" t="n"/>
      <c r="P255" s="134" t="n"/>
      <c r="Q255" s="133" t="n"/>
      <c r="R255" s="17" t="n"/>
      <c r="S255" s="132">
        <f>DADOS_AM!$HC$31</f>
        <v/>
      </c>
      <c r="T255" s="17" t="n"/>
      <c r="U255" s="123" t="n"/>
    </row>
    <row r="256" hidden="1" outlineLevel="3">
      <c r="A256" s="8" t="n"/>
      <c r="B256" s="14" t="n"/>
      <c r="C256" s="123" t="n"/>
      <c r="D256" s="128" t="n"/>
      <c r="E256" s="133" t="n"/>
      <c r="F256" s="17" t="n"/>
      <c r="G256" s="132">
        <f>DADOS_AM!$HD$29</f>
        <v/>
      </c>
      <c r="H256" s="17" t="n"/>
      <c r="I256" s="123" t="n"/>
      <c r="J256" s="128" t="n"/>
      <c r="K256" s="133" t="n"/>
      <c r="L256" s="17" t="n"/>
      <c r="M256" s="132">
        <f>DADOS_AM!$HD$30</f>
        <v/>
      </c>
      <c r="N256" s="17" t="n"/>
      <c r="O256" s="123" t="n"/>
      <c r="P256" s="128" t="n"/>
      <c r="Q256" s="133" t="n"/>
      <c r="R256" s="17" t="n"/>
      <c r="S256" s="132">
        <f>DADOS_AM!$HD$31</f>
        <v/>
      </c>
      <c r="T256" s="17" t="n"/>
      <c r="U256" s="123" t="n"/>
    </row>
    <row r="257" hidden="1" outlineLevel="3">
      <c r="A257" s="8" t="n"/>
      <c r="B257" s="14" t="n"/>
      <c r="C257" s="123" t="n"/>
      <c r="D257" s="55" t="inlineStr">
        <is>
          <t>RESTRIÇÕES</t>
        </is>
      </c>
      <c r="E257" s="133" t="n"/>
      <c r="F257" s="17" t="n"/>
      <c r="G257" s="132">
        <f>DADOS_AM!$HE$29</f>
        <v/>
      </c>
      <c r="H257" s="17" t="n"/>
      <c r="I257" s="123" t="n"/>
      <c r="J257" s="55" t="inlineStr">
        <is>
          <t>RESTRIÇÕES</t>
        </is>
      </c>
      <c r="K257" s="133" t="n"/>
      <c r="L257" s="17" t="n"/>
      <c r="M257" s="132">
        <f>DADOS_AM!$HE$30</f>
        <v/>
      </c>
      <c r="N257" s="17" t="n"/>
      <c r="O257" s="123" t="n"/>
      <c r="P257" s="55" t="inlineStr">
        <is>
          <t>RESTRIÇÕES</t>
        </is>
      </c>
      <c r="Q257" s="133" t="n"/>
      <c r="R257" s="17" t="n"/>
      <c r="S257" s="132">
        <f>DADOS_AM!$HE$31</f>
        <v/>
      </c>
      <c r="T257" s="17" t="n"/>
      <c r="U257" s="123" t="n"/>
    </row>
    <row r="258" hidden="1" outlineLevel="3">
      <c r="A258" s="8" t="n"/>
      <c r="B258" s="14" t="n"/>
      <c r="C258" s="123" t="n"/>
      <c r="D258" s="128" t="n"/>
      <c r="E258" s="133" t="n"/>
      <c r="F258" s="17" t="n"/>
      <c r="G258" s="132">
        <f>DADOS_AM!$HF$29</f>
        <v/>
      </c>
      <c r="H258" s="17" t="n"/>
      <c r="I258" s="123" t="n"/>
      <c r="J258" s="128" t="n"/>
      <c r="K258" s="133" t="n"/>
      <c r="L258" s="17" t="n"/>
      <c r="M258" s="132">
        <f>DADOS_AM!$HF$30</f>
        <v/>
      </c>
      <c r="N258" s="17" t="n"/>
      <c r="O258" s="123" t="n"/>
      <c r="P258" s="128" t="n"/>
      <c r="Q258" s="133" t="n"/>
      <c r="R258" s="17" t="n"/>
      <c r="S258" s="132">
        <f>DADOS_AM!$HF$31</f>
        <v/>
      </c>
      <c r="T258" s="17" t="n"/>
      <c r="U258" s="123" t="n"/>
    </row>
    <row r="259" hidden="1" outlineLevel="3">
      <c r="A259" s="8" t="n"/>
      <c r="B259" s="14" t="n"/>
      <c r="C259" s="123" t="n"/>
      <c r="D259" s="55" t="inlineStr">
        <is>
          <t>CONTA</t>
        </is>
      </c>
      <c r="E259" s="135">
        <f>DADOS_AM!$GY$29</f>
        <v/>
      </c>
      <c r="F259" s="16" t="n"/>
      <c r="G259" s="16" t="n"/>
      <c r="H259" s="17" t="n"/>
      <c r="I259" s="123" t="n"/>
      <c r="J259" s="55" t="inlineStr">
        <is>
          <t>CONTA</t>
        </is>
      </c>
      <c r="K259" s="135">
        <f>DADOS_AM!$GY$30</f>
        <v/>
      </c>
      <c r="L259" s="16" t="n"/>
      <c r="M259" s="16" t="n"/>
      <c r="N259" s="17" t="n"/>
      <c r="O259" s="123" t="n"/>
      <c r="P259" s="55" t="inlineStr">
        <is>
          <t>CONTA</t>
        </is>
      </c>
      <c r="Q259" s="135">
        <f>DADOS_AM!$GY$31</f>
        <v/>
      </c>
      <c r="R259" s="16" t="n"/>
      <c r="S259" s="16" t="n"/>
      <c r="T259" s="17" t="n"/>
      <c r="U259" s="123" t="n"/>
    </row>
    <row r="260" hidden="1" outlineLevel="3">
      <c r="A260" s="8" t="n"/>
      <c r="B260" s="14" t="n"/>
      <c r="C260" s="123" t="n"/>
      <c r="D260" s="55" t="inlineStr">
        <is>
          <t>AMPLIAR</t>
        </is>
      </c>
      <c r="E260" s="135">
        <f>DADOS_AM!$GZ$29</f>
        <v/>
      </c>
      <c r="F260" s="19" t="n"/>
      <c r="G260" s="19" t="n"/>
      <c r="H260" s="20" t="n"/>
      <c r="I260" s="123" t="n"/>
      <c r="J260" s="55" t="inlineStr">
        <is>
          <t>AMPLIAR</t>
        </is>
      </c>
      <c r="K260" s="135">
        <f>DADOS_AM!$GZ$30</f>
        <v/>
      </c>
      <c r="L260" s="19" t="n"/>
      <c r="M260" s="19" t="n"/>
      <c r="N260" s="20" t="n"/>
      <c r="O260" s="123" t="n"/>
      <c r="P260" s="55" t="inlineStr">
        <is>
          <t>AMPLIAR</t>
        </is>
      </c>
      <c r="Q260" s="135">
        <f>DADOS_AM!$GZ$31</f>
        <v/>
      </c>
      <c r="R260" s="19" t="n"/>
      <c r="S260" s="19" t="n"/>
      <c r="T260" s="20" t="n"/>
      <c r="U260" s="123" t="n"/>
    </row>
    <row r="261" hidden="1" outlineLevel="3">
      <c r="A261" s="8" t="n"/>
      <c r="B261" s="14" t="n"/>
      <c r="C261" s="123" t="n"/>
      <c r="D261" s="128" t="n"/>
      <c r="E261" s="23" t="n"/>
      <c r="F261" s="24" t="n"/>
      <c r="G261" s="24" t="n"/>
      <c r="H261" s="25" t="n"/>
      <c r="I261" s="123" t="n"/>
      <c r="J261" s="128" t="n"/>
      <c r="K261" s="23" t="n"/>
      <c r="L261" s="24" t="n"/>
      <c r="M261" s="24" t="n"/>
      <c r="N261" s="25" t="n"/>
      <c r="O261" s="123" t="n"/>
      <c r="P261" s="128" t="n"/>
      <c r="Q261" s="23" t="n"/>
      <c r="R261" s="24" t="n"/>
      <c r="S261" s="24" t="n"/>
      <c r="T261" s="25" t="n"/>
      <c r="U261" s="123" t="n"/>
    </row>
    <row r="262" hidden="1" outlineLevel="3">
      <c r="A262" s="8" t="n"/>
      <c r="B262" s="14" t="n"/>
      <c r="C262" s="123" t="n"/>
      <c r="D262" s="55" t="inlineStr">
        <is>
          <t>AVISOS</t>
        </is>
      </c>
      <c r="E262" s="135">
        <f>DADOS_AM!$GO$29</f>
        <v/>
      </c>
      <c r="F262" s="19" t="n"/>
      <c r="G262" s="19" t="n"/>
      <c r="H262" s="20" t="n"/>
      <c r="I262" s="123" t="n"/>
      <c r="J262" s="55" t="inlineStr">
        <is>
          <t>AVISOS</t>
        </is>
      </c>
      <c r="K262" s="135">
        <f>DADOS_AM!$GO$30</f>
        <v/>
      </c>
      <c r="L262" s="19" t="n"/>
      <c r="M262" s="19" t="n"/>
      <c r="N262" s="20" t="n"/>
      <c r="O262" s="123" t="n"/>
      <c r="P262" s="55" t="inlineStr">
        <is>
          <t>AVISOS</t>
        </is>
      </c>
      <c r="Q262" s="135">
        <f>DADOS_AM!$GO$31</f>
        <v/>
      </c>
      <c r="R262" s="19" t="n"/>
      <c r="S262" s="19" t="n"/>
      <c r="T262" s="20" t="n"/>
      <c r="U262" s="123" t="n"/>
    </row>
    <row r="263" hidden="1" outlineLevel="3">
      <c r="A263" s="8" t="n"/>
      <c r="B263" s="14" t="n"/>
      <c r="C263" s="123" t="n"/>
      <c r="D263" s="128" t="n"/>
      <c r="E263" s="23" t="n"/>
      <c r="F263" s="24" t="n"/>
      <c r="G263" s="24" t="n"/>
      <c r="H263" s="25" t="n"/>
      <c r="I263" s="123" t="n"/>
      <c r="J263" s="128" t="n"/>
      <c r="K263" s="23" t="n"/>
      <c r="L263" s="24" t="n"/>
      <c r="M263" s="24" t="n"/>
      <c r="N263" s="25" t="n"/>
      <c r="O263" s="123" t="n"/>
      <c r="P263" s="128" t="n"/>
      <c r="Q263" s="23" t="n"/>
      <c r="R263" s="24" t="n"/>
      <c r="S263" s="24" t="n"/>
      <c r="T263" s="25" t="n"/>
      <c r="U263" s="123" t="n"/>
    </row>
    <row r="264" hidden="1" outlineLevel="2">
      <c r="A264" s="8" t="n"/>
      <c r="B264" s="14" t="n"/>
      <c r="C264" s="123" t="n"/>
      <c r="D264" s="123" t="n"/>
      <c r="E264" s="123" t="n"/>
      <c r="F264" s="123" t="n"/>
      <c r="G264" s="123" t="n"/>
      <c r="H264" s="123" t="n"/>
      <c r="I264" s="123" t="n"/>
      <c r="J264" s="123" t="n"/>
      <c r="K264" s="123" t="n"/>
      <c r="L264" s="123" t="n"/>
      <c r="M264" s="123" t="n"/>
      <c r="N264" s="123" t="n"/>
      <c r="O264" s="123" t="n"/>
      <c r="P264" s="123" t="n"/>
      <c r="Q264" s="123" t="n"/>
      <c r="R264" s="123" t="n"/>
      <c r="S264" s="123" t="n"/>
      <c r="T264" s="123" t="n"/>
      <c r="U264" s="123" t="n"/>
    </row>
    <row r="265" hidden="1" outlineLevel="2">
      <c r="A265" s="8" t="n"/>
      <c r="B265" s="14" t="n"/>
      <c r="C265" s="123" t="n"/>
      <c r="D265" s="130" t="n">
        <v>1</v>
      </c>
      <c r="E265" s="118" t="n"/>
      <c r="F265" s="17" t="n"/>
      <c r="G265" s="131">
        <f>DADOS_AM!$GN$32</f>
        <v/>
      </c>
      <c r="H265" s="17" t="n"/>
      <c r="I265" s="123" t="n"/>
      <c r="J265" s="130" t="n">
        <v>1</v>
      </c>
      <c r="K265" s="118" t="n"/>
      <c r="L265" s="17" t="n"/>
      <c r="M265" s="131">
        <f>DADOS_AM!$GN$33</f>
        <v/>
      </c>
      <c r="N265" s="17" t="n"/>
      <c r="O265" s="123" t="n"/>
      <c r="P265" s="130" t="n">
        <v>1</v>
      </c>
      <c r="Q265" s="118" t="n"/>
      <c r="R265" s="17" t="n"/>
      <c r="S265" s="131">
        <f>DADOS_AM!$GN$34</f>
        <v/>
      </c>
      <c r="T265" s="17" t="n"/>
      <c r="U265" s="123" t="n"/>
    </row>
    <row r="266" hidden="1" outlineLevel="3">
      <c r="A266" s="8" t="n"/>
      <c r="B266" s="14" t="n"/>
      <c r="C266" s="123" t="n"/>
      <c r="D266" s="55" t="inlineStr">
        <is>
          <t>COMO É</t>
        </is>
      </c>
      <c r="E266" s="16" t="n"/>
      <c r="F266" s="16" t="n"/>
      <c r="G266" s="16" t="n"/>
      <c r="H266" s="17" t="n"/>
      <c r="I266" s="123" t="n"/>
      <c r="J266" s="55" t="inlineStr">
        <is>
          <t>COMO É</t>
        </is>
      </c>
      <c r="K266" s="16" t="n"/>
      <c r="L266" s="16" t="n"/>
      <c r="M266" s="16" t="n"/>
      <c r="N266" s="17" t="n"/>
      <c r="O266" s="123" t="n"/>
      <c r="P266" s="55" t="inlineStr">
        <is>
          <t>COMO É</t>
        </is>
      </c>
      <c r="Q266" s="16" t="n"/>
      <c r="R266" s="16" t="n"/>
      <c r="S266" s="16" t="n"/>
      <c r="T266" s="17" t="n"/>
      <c r="U266" s="123" t="n"/>
    </row>
    <row r="267" hidden="1" outlineLevel="3">
      <c r="A267" s="8" t="n"/>
      <c r="B267" s="14" t="n"/>
      <c r="C267" s="123" t="n"/>
      <c r="D267" s="119" t="n"/>
      <c r="E267" s="19" t="n"/>
      <c r="F267" s="19" t="n"/>
      <c r="G267" s="19" t="n"/>
      <c r="H267" s="20" t="n"/>
      <c r="I267" s="123" t="n"/>
      <c r="J267" s="119" t="n"/>
      <c r="K267" s="19" t="n"/>
      <c r="L267" s="19" t="n"/>
      <c r="M267" s="19" t="n"/>
      <c r="N267" s="20" t="n"/>
      <c r="O267" s="123" t="n"/>
      <c r="P267" s="119" t="n"/>
      <c r="Q267" s="19" t="n"/>
      <c r="R267" s="19" t="n"/>
      <c r="S267" s="19" t="n"/>
      <c r="T267" s="20" t="n"/>
      <c r="U267" s="123" t="n"/>
    </row>
    <row r="268" hidden="1" outlineLevel="3">
      <c r="A268" s="8" t="n"/>
      <c r="B268" s="14" t="n"/>
      <c r="C268" s="123" t="n"/>
      <c r="D268" s="21" t="n"/>
      <c r="H268" s="22" t="n"/>
      <c r="I268" s="123" t="n"/>
      <c r="J268" s="21" t="n"/>
      <c r="N268" s="22" t="n"/>
      <c r="O268" s="123" t="n"/>
      <c r="P268" s="21" t="n"/>
      <c r="T268" s="22" t="n"/>
      <c r="U268" s="123" t="n"/>
    </row>
    <row r="269" hidden="1" outlineLevel="3">
      <c r="A269" s="8" t="n"/>
      <c r="B269" s="14" t="n"/>
      <c r="C269" s="123" t="n"/>
      <c r="D269" s="21" t="n"/>
      <c r="H269" s="22" t="n"/>
      <c r="I269" s="123" t="n"/>
      <c r="J269" s="21" t="n"/>
      <c r="N269" s="22" t="n"/>
      <c r="O269" s="123" t="n"/>
      <c r="P269" s="21" t="n"/>
      <c r="T269" s="22" t="n"/>
      <c r="U269" s="123" t="n"/>
    </row>
    <row r="270" hidden="1" outlineLevel="3">
      <c r="A270" s="8" t="n"/>
      <c r="B270" s="14" t="n"/>
      <c r="C270" s="123" t="n"/>
      <c r="D270" s="21" t="n"/>
      <c r="H270" s="22" t="n"/>
      <c r="I270" s="123" t="n"/>
      <c r="J270" s="21" t="n"/>
      <c r="N270" s="22" t="n"/>
      <c r="O270" s="123" t="n"/>
      <c r="P270" s="21" t="n"/>
      <c r="T270" s="22" t="n"/>
      <c r="U270" s="123" t="n"/>
    </row>
    <row r="271" hidden="1" outlineLevel="3">
      <c r="A271" s="8" t="n"/>
      <c r="B271" s="14" t="n"/>
      <c r="C271" s="123" t="n"/>
      <c r="D271" s="23" t="n"/>
      <c r="E271" s="24" t="n"/>
      <c r="F271" s="24" t="n"/>
      <c r="G271" s="24" t="n"/>
      <c r="H271" s="25" t="n"/>
      <c r="I271" s="123" t="n"/>
      <c r="J271" s="23" t="n"/>
      <c r="K271" s="24" t="n"/>
      <c r="L271" s="24" t="n"/>
      <c r="M271" s="24" t="n"/>
      <c r="N271" s="25" t="n"/>
      <c r="O271" s="123" t="n"/>
      <c r="P271" s="23" t="n"/>
      <c r="Q271" s="24" t="n"/>
      <c r="R271" s="24" t="n"/>
      <c r="S271" s="24" t="n"/>
      <c r="T271" s="25" t="n"/>
      <c r="U271" s="123" t="n"/>
    </row>
    <row r="272" hidden="1" outlineLevel="2">
      <c r="A272" s="8" t="n"/>
      <c r="B272" s="14" t="n"/>
      <c r="C272" s="123" t="n"/>
      <c r="D272" s="127" t="inlineStr">
        <is>
          <t>Projétil</t>
        </is>
      </c>
      <c r="E272" s="68">
        <f>DADOS_AM!$GS$32</f>
        <v/>
      </c>
      <c r="F272" s="68">
        <f>DADOS_AM!$GP$32</f>
        <v/>
      </c>
      <c r="G272" s="127">
        <f>DADOS_AM!$GR$32</f>
        <v/>
      </c>
      <c r="H272" s="17" t="n"/>
      <c r="I272" s="123" t="n"/>
      <c r="J272" s="127" t="inlineStr">
        <is>
          <t>Projétil</t>
        </is>
      </c>
      <c r="K272" s="68">
        <f>DADOS_AM!$GS$33</f>
        <v/>
      </c>
      <c r="L272" s="68">
        <f>DADOS_AM!$GP$33</f>
        <v/>
      </c>
      <c r="M272" s="127">
        <f>DADOS_AM!$GR$33</f>
        <v/>
      </c>
      <c r="N272" s="17" t="n"/>
      <c r="O272" s="123" t="n"/>
      <c r="P272" s="127" t="inlineStr">
        <is>
          <t>Projétil</t>
        </is>
      </c>
      <c r="Q272" s="68">
        <f>DADOS_AM!$GS$34</f>
        <v/>
      </c>
      <c r="R272" s="68">
        <f>DADOS_AM!$GP$34</f>
        <v/>
      </c>
      <c r="S272" s="127">
        <f>DADOS_AM!$GR$34</f>
        <v/>
      </c>
      <c r="T272" s="17" t="n"/>
      <c r="U272" s="123" t="n"/>
    </row>
    <row r="273" hidden="1" outlineLevel="2">
      <c r="A273" s="8" t="n"/>
      <c r="B273" s="14" t="n"/>
      <c r="C273" s="123" t="n"/>
      <c r="D273" s="127">
        <f>DADOS_AM!$GQ$32</f>
        <v/>
      </c>
      <c r="E273" s="132">
        <f>DADOS_AM!$GX$32</f>
        <v/>
      </c>
      <c r="F273" s="16" t="n"/>
      <c r="G273" s="16" t="n"/>
      <c r="H273" s="17" t="n"/>
      <c r="I273" s="123" t="n"/>
      <c r="J273" s="127">
        <f>DADOS_AM!$GQ$33</f>
        <v/>
      </c>
      <c r="K273" s="132">
        <f>DADOS_AM!$GX$33</f>
        <v/>
      </c>
      <c r="L273" s="16" t="n"/>
      <c r="M273" s="16" t="n"/>
      <c r="N273" s="17" t="n"/>
      <c r="O273" s="123" t="n"/>
      <c r="P273" s="127">
        <f>DADOS_AM!$GQ$34</f>
        <v/>
      </c>
      <c r="Q273" s="132">
        <f>DADOS_AM!$GX$34</f>
        <v/>
      </c>
      <c r="R273" s="16" t="n"/>
      <c r="S273" s="16" t="n"/>
      <c r="T273" s="17" t="n"/>
      <c r="U273" s="123" t="n"/>
    </row>
    <row r="274" hidden="1" outlineLevel="3">
      <c r="A274" s="8" t="n"/>
      <c r="B274" s="14" t="n"/>
      <c r="C274" s="123" t="n"/>
      <c r="D274" s="55" t="inlineStr">
        <is>
          <t>MELHORIAS</t>
        </is>
      </c>
      <c r="E274" s="133" t="n"/>
      <c r="F274" s="17" t="n"/>
      <c r="G274" s="132">
        <f>DADOS_AM!$HA$32</f>
        <v/>
      </c>
      <c r="H274" s="17" t="n"/>
      <c r="I274" s="123" t="n"/>
      <c r="J274" s="55" t="inlineStr">
        <is>
          <t>MELHORIAS</t>
        </is>
      </c>
      <c r="K274" s="133" t="n"/>
      <c r="L274" s="17" t="n"/>
      <c r="M274" s="132">
        <f>DADOS_AM!$HA$33</f>
        <v/>
      </c>
      <c r="N274" s="17" t="n"/>
      <c r="O274" s="123" t="n"/>
      <c r="P274" s="55" t="inlineStr">
        <is>
          <t>MELHORIAS</t>
        </is>
      </c>
      <c r="Q274" s="133" t="n"/>
      <c r="R274" s="17" t="n"/>
      <c r="S274" s="132">
        <f>DADOS_AM!$HA$34</f>
        <v/>
      </c>
      <c r="T274" s="17" t="n"/>
      <c r="U274" s="123" t="n"/>
    </row>
    <row r="275" hidden="1" outlineLevel="3">
      <c r="A275" s="8" t="n"/>
      <c r="B275" s="14" t="n"/>
      <c r="C275" s="123" t="n"/>
      <c r="D275" s="134" t="n"/>
      <c r="E275" s="133" t="n"/>
      <c r="F275" s="17" t="n"/>
      <c r="G275" s="132">
        <f>DADOS_AM!$HB$32</f>
        <v/>
      </c>
      <c r="H275" s="17" t="n"/>
      <c r="I275" s="123" t="n"/>
      <c r="J275" s="134" t="n"/>
      <c r="K275" s="133" t="n"/>
      <c r="L275" s="17" t="n"/>
      <c r="M275" s="132">
        <f>DADOS_AM!$HB$33</f>
        <v/>
      </c>
      <c r="N275" s="17" t="n"/>
      <c r="O275" s="123" t="n"/>
      <c r="P275" s="134" t="n"/>
      <c r="Q275" s="133" t="n"/>
      <c r="R275" s="17" t="n"/>
      <c r="S275" s="132">
        <f>DADOS_AM!$HB$34</f>
        <v/>
      </c>
      <c r="T275" s="17" t="n"/>
      <c r="U275" s="123" t="n"/>
    </row>
    <row r="276" hidden="1" outlineLevel="3">
      <c r="A276" s="8" t="n"/>
      <c r="B276" s="14" t="n"/>
      <c r="C276" s="123" t="n"/>
      <c r="D276" s="134" t="n"/>
      <c r="E276" s="133" t="n"/>
      <c r="F276" s="17" t="n"/>
      <c r="G276" s="132">
        <f>DADOS_AM!$HC$32</f>
        <v/>
      </c>
      <c r="H276" s="17" t="n"/>
      <c r="I276" s="123" t="n"/>
      <c r="J276" s="134" t="n"/>
      <c r="K276" s="133" t="n"/>
      <c r="L276" s="17" t="n"/>
      <c r="M276" s="132">
        <f>DADOS_AM!$HC$33</f>
        <v/>
      </c>
      <c r="N276" s="17" t="n"/>
      <c r="O276" s="123" t="n"/>
      <c r="P276" s="134" t="n"/>
      <c r="Q276" s="133" t="n"/>
      <c r="R276" s="17" t="n"/>
      <c r="S276" s="132">
        <f>DADOS_AM!$HC$34</f>
        <v/>
      </c>
      <c r="T276" s="17" t="n"/>
      <c r="U276" s="123" t="n"/>
    </row>
    <row r="277" hidden="1" outlineLevel="3">
      <c r="A277" s="8" t="n"/>
      <c r="B277" s="14" t="n"/>
      <c r="C277" s="123" t="n"/>
      <c r="D277" s="128" t="n"/>
      <c r="E277" s="133" t="n"/>
      <c r="F277" s="17" t="n"/>
      <c r="G277" s="132">
        <f>DADOS_AM!$HD$32</f>
        <v/>
      </c>
      <c r="H277" s="17" t="n"/>
      <c r="I277" s="123" t="n"/>
      <c r="J277" s="128" t="n"/>
      <c r="K277" s="133" t="n"/>
      <c r="L277" s="17" t="n"/>
      <c r="M277" s="132">
        <f>DADOS_AM!$HD$33</f>
        <v/>
      </c>
      <c r="N277" s="17" t="n"/>
      <c r="O277" s="123" t="n"/>
      <c r="P277" s="128" t="n"/>
      <c r="Q277" s="133" t="n"/>
      <c r="R277" s="17" t="n"/>
      <c r="S277" s="132">
        <f>DADOS_AM!$HD$34</f>
        <v/>
      </c>
      <c r="T277" s="17" t="n"/>
      <c r="U277" s="123" t="n"/>
    </row>
    <row r="278" hidden="1" outlineLevel="3">
      <c r="A278" s="8" t="n"/>
      <c r="B278" s="14" t="n"/>
      <c r="C278" s="123" t="n"/>
      <c r="D278" s="55" t="inlineStr">
        <is>
          <t>RESTRIÇÕES</t>
        </is>
      </c>
      <c r="E278" s="133" t="n"/>
      <c r="F278" s="17" t="n"/>
      <c r="G278" s="132">
        <f>DADOS_AM!$HE$32</f>
        <v/>
      </c>
      <c r="H278" s="17" t="n"/>
      <c r="I278" s="123" t="n"/>
      <c r="J278" s="55" t="inlineStr">
        <is>
          <t>RESTRIÇÕES</t>
        </is>
      </c>
      <c r="K278" s="133" t="n"/>
      <c r="L278" s="17" t="n"/>
      <c r="M278" s="132">
        <f>DADOS_AM!$HE$33</f>
        <v/>
      </c>
      <c r="N278" s="17" t="n"/>
      <c r="O278" s="123" t="n"/>
      <c r="P278" s="55" t="inlineStr">
        <is>
          <t>RESTRIÇÕES</t>
        </is>
      </c>
      <c r="Q278" s="133" t="n"/>
      <c r="R278" s="17" t="n"/>
      <c r="S278" s="132">
        <f>DADOS_AM!$HE$34</f>
        <v/>
      </c>
      <c r="T278" s="17" t="n"/>
      <c r="U278" s="123" t="n"/>
    </row>
    <row r="279" hidden="1" outlineLevel="3">
      <c r="A279" s="8" t="n"/>
      <c r="B279" s="14" t="n"/>
      <c r="C279" s="123" t="n"/>
      <c r="D279" s="128" t="n"/>
      <c r="E279" s="133" t="n"/>
      <c r="F279" s="17" t="n"/>
      <c r="G279" s="132">
        <f>DADOS_AM!$HF$32</f>
        <v/>
      </c>
      <c r="H279" s="17" t="n"/>
      <c r="I279" s="123" t="n"/>
      <c r="J279" s="128" t="n"/>
      <c r="K279" s="133" t="n"/>
      <c r="L279" s="17" t="n"/>
      <c r="M279" s="132">
        <f>DADOS_AM!$HF$33</f>
        <v/>
      </c>
      <c r="N279" s="17" t="n"/>
      <c r="O279" s="123" t="n"/>
      <c r="P279" s="128" t="n"/>
      <c r="Q279" s="133" t="n"/>
      <c r="R279" s="17" t="n"/>
      <c r="S279" s="132">
        <f>DADOS_AM!$HF$34</f>
        <v/>
      </c>
      <c r="T279" s="17" t="n"/>
      <c r="U279" s="123" t="n"/>
    </row>
    <row r="280" hidden="1" outlineLevel="3">
      <c r="A280" s="8" t="n"/>
      <c r="B280" s="14" t="n"/>
      <c r="C280" s="123" t="n"/>
      <c r="D280" s="55" t="inlineStr">
        <is>
          <t>CONTA</t>
        </is>
      </c>
      <c r="E280" s="135">
        <f>DADOS_AM!$GY$32</f>
        <v/>
      </c>
      <c r="F280" s="16" t="n"/>
      <c r="G280" s="16" t="n"/>
      <c r="H280" s="17" t="n"/>
      <c r="I280" s="123" t="n"/>
      <c r="J280" s="55" t="inlineStr">
        <is>
          <t>CONTA</t>
        </is>
      </c>
      <c r="K280" s="135">
        <f>DADOS_AM!$GY$33</f>
        <v/>
      </c>
      <c r="L280" s="16" t="n"/>
      <c r="M280" s="16" t="n"/>
      <c r="N280" s="17" t="n"/>
      <c r="O280" s="123" t="n"/>
      <c r="P280" s="55" t="inlineStr">
        <is>
          <t>CONTA</t>
        </is>
      </c>
      <c r="Q280" s="135">
        <f>DADOS_AM!$GY$34</f>
        <v/>
      </c>
      <c r="R280" s="16" t="n"/>
      <c r="S280" s="16" t="n"/>
      <c r="T280" s="17" t="n"/>
      <c r="U280" s="123" t="n"/>
    </row>
    <row r="281" hidden="1" outlineLevel="3">
      <c r="A281" s="8" t="n"/>
      <c r="B281" s="14" t="n"/>
      <c r="C281" s="123" t="n"/>
      <c r="D281" s="55" t="inlineStr">
        <is>
          <t>AMPLIAR</t>
        </is>
      </c>
      <c r="E281" s="135">
        <f>DADOS_AM!$GZ$32</f>
        <v/>
      </c>
      <c r="F281" s="19" t="n"/>
      <c r="G281" s="19" t="n"/>
      <c r="H281" s="20" t="n"/>
      <c r="I281" s="123" t="n"/>
      <c r="J281" s="55" t="inlineStr">
        <is>
          <t>AMPLIAR</t>
        </is>
      </c>
      <c r="K281" s="135">
        <f>DADOS_AM!$GZ$33</f>
        <v/>
      </c>
      <c r="L281" s="19" t="n"/>
      <c r="M281" s="19" t="n"/>
      <c r="N281" s="20" t="n"/>
      <c r="O281" s="123" t="n"/>
      <c r="P281" s="55" t="inlineStr">
        <is>
          <t>AMPLIAR</t>
        </is>
      </c>
      <c r="Q281" s="135">
        <f>DADOS_AM!$GZ$34</f>
        <v/>
      </c>
      <c r="R281" s="19" t="n"/>
      <c r="S281" s="19" t="n"/>
      <c r="T281" s="20" t="n"/>
      <c r="U281" s="123" t="n"/>
    </row>
    <row r="282" hidden="1" outlineLevel="3">
      <c r="A282" s="8" t="n"/>
      <c r="B282" s="14" t="n"/>
      <c r="C282" s="123" t="n"/>
      <c r="D282" s="128" t="n"/>
      <c r="E282" s="23" t="n"/>
      <c r="F282" s="24" t="n"/>
      <c r="G282" s="24" t="n"/>
      <c r="H282" s="25" t="n"/>
      <c r="I282" s="123" t="n"/>
      <c r="J282" s="128" t="n"/>
      <c r="K282" s="23" t="n"/>
      <c r="L282" s="24" t="n"/>
      <c r="M282" s="24" t="n"/>
      <c r="N282" s="25" t="n"/>
      <c r="O282" s="123" t="n"/>
      <c r="P282" s="128" t="n"/>
      <c r="Q282" s="23" t="n"/>
      <c r="R282" s="24" t="n"/>
      <c r="S282" s="24" t="n"/>
      <c r="T282" s="25" t="n"/>
      <c r="U282" s="123" t="n"/>
    </row>
    <row r="283" hidden="1" outlineLevel="3">
      <c r="A283" s="8" t="n"/>
      <c r="B283" s="14" t="n"/>
      <c r="C283" s="123" t="n"/>
      <c r="D283" s="55" t="inlineStr">
        <is>
          <t>AVISOS</t>
        </is>
      </c>
      <c r="E283" s="135">
        <f>DADOS_AM!$GO$32</f>
        <v/>
      </c>
      <c r="F283" s="19" t="n"/>
      <c r="G283" s="19" t="n"/>
      <c r="H283" s="20" t="n"/>
      <c r="I283" s="123" t="n"/>
      <c r="J283" s="55" t="inlineStr">
        <is>
          <t>AVISOS</t>
        </is>
      </c>
      <c r="K283" s="135">
        <f>DADOS_AM!$GO$33</f>
        <v/>
      </c>
      <c r="L283" s="19" t="n"/>
      <c r="M283" s="19" t="n"/>
      <c r="N283" s="20" t="n"/>
      <c r="O283" s="123" t="n"/>
      <c r="P283" s="55" t="inlineStr">
        <is>
          <t>AVISOS</t>
        </is>
      </c>
      <c r="Q283" s="135">
        <f>DADOS_AM!$GO$34</f>
        <v/>
      </c>
      <c r="R283" s="19" t="n"/>
      <c r="S283" s="19" t="n"/>
      <c r="T283" s="20" t="n"/>
      <c r="U283" s="123" t="n"/>
    </row>
    <row r="284" hidden="1" outlineLevel="3">
      <c r="A284" s="8" t="n"/>
      <c r="B284" s="14" t="n"/>
      <c r="C284" s="123" t="n"/>
      <c r="D284" s="128" t="n"/>
      <c r="E284" s="23" t="n"/>
      <c r="F284" s="24" t="n"/>
      <c r="G284" s="24" t="n"/>
      <c r="H284" s="25" t="n"/>
      <c r="I284" s="123" t="n"/>
      <c r="J284" s="128" t="n"/>
      <c r="K284" s="23" t="n"/>
      <c r="L284" s="24" t="n"/>
      <c r="M284" s="24" t="n"/>
      <c r="N284" s="25" t="n"/>
      <c r="O284" s="123" t="n"/>
      <c r="P284" s="128" t="n"/>
      <c r="Q284" s="23" t="n"/>
      <c r="R284" s="24" t="n"/>
      <c r="S284" s="24" t="n"/>
      <c r="T284" s="25" t="n"/>
      <c r="U284" s="123" t="n"/>
    </row>
    <row r="285" hidden="1" outlineLevel="2">
      <c r="A285" s="8" t="n"/>
      <c r="B285" s="14" t="n"/>
      <c r="C285" s="123" t="n"/>
      <c r="D285" s="123" t="n"/>
      <c r="E285" s="123" t="n"/>
      <c r="F285" s="123" t="n"/>
      <c r="G285" s="123" t="n"/>
      <c r="H285" s="123" t="n"/>
      <c r="I285" s="123" t="n"/>
      <c r="J285" s="123" t="n"/>
      <c r="K285" s="123" t="n"/>
      <c r="L285" s="123" t="n"/>
      <c r="M285" s="123" t="n"/>
      <c r="N285" s="123" t="n"/>
      <c r="O285" s="123" t="n"/>
      <c r="P285" s="123" t="n"/>
      <c r="Q285" s="123" t="n"/>
      <c r="R285" s="123" t="n"/>
      <c r="S285" s="123" t="n"/>
      <c r="T285" s="123" t="n"/>
      <c r="U285" s="123" t="n"/>
    </row>
    <row r="286" hidden="1" outlineLevel="2">
      <c r="A286" s="8" t="n"/>
      <c r="B286" s="14" t="n"/>
      <c r="C286" s="123" t="n"/>
      <c r="D286" s="130" t="n">
        <v>1</v>
      </c>
      <c r="E286" s="118" t="n"/>
      <c r="F286" s="17" t="n"/>
      <c r="G286" s="131">
        <f>DADOS_AM!$GN$35</f>
        <v/>
      </c>
      <c r="H286" s="17" t="n"/>
      <c r="I286" s="123" t="n"/>
      <c r="J286" s="130" t="n">
        <v>1</v>
      </c>
      <c r="K286" s="118" t="n"/>
      <c r="L286" s="17" t="n"/>
      <c r="M286" s="131">
        <f>DADOS_AM!$GN$36</f>
        <v/>
      </c>
      <c r="N286" s="17" t="n"/>
      <c r="O286" s="123" t="n"/>
      <c r="P286" s="130" t="n">
        <v>1</v>
      </c>
      <c r="Q286" s="118" t="n"/>
      <c r="R286" s="17" t="n"/>
      <c r="S286" s="131">
        <f>DADOS_AM!$GN$37</f>
        <v/>
      </c>
      <c r="T286" s="17" t="n"/>
      <c r="U286" s="123" t="n"/>
    </row>
    <row r="287" hidden="1" outlineLevel="3">
      <c r="A287" s="8" t="n"/>
      <c r="B287" s="14" t="n"/>
      <c r="C287" s="123" t="n"/>
      <c r="D287" s="55" t="inlineStr">
        <is>
          <t>COMO É</t>
        </is>
      </c>
      <c r="E287" s="16" t="n"/>
      <c r="F287" s="16" t="n"/>
      <c r="G287" s="16" t="n"/>
      <c r="H287" s="17" t="n"/>
      <c r="I287" s="123" t="n"/>
      <c r="J287" s="55" t="inlineStr">
        <is>
          <t>COMO É</t>
        </is>
      </c>
      <c r="K287" s="16" t="n"/>
      <c r="L287" s="16" t="n"/>
      <c r="M287" s="16" t="n"/>
      <c r="N287" s="17" t="n"/>
      <c r="O287" s="123" t="n"/>
      <c r="P287" s="55" t="inlineStr">
        <is>
          <t>COMO É</t>
        </is>
      </c>
      <c r="Q287" s="16" t="n"/>
      <c r="R287" s="16" t="n"/>
      <c r="S287" s="16" t="n"/>
      <c r="T287" s="17" t="n"/>
      <c r="U287" s="123" t="n"/>
    </row>
    <row r="288" hidden="1" outlineLevel="3">
      <c r="A288" s="8" t="n"/>
      <c r="B288" s="14" t="n"/>
      <c r="C288" s="123" t="n"/>
      <c r="D288" s="119" t="n"/>
      <c r="E288" s="19" t="n"/>
      <c r="F288" s="19" t="n"/>
      <c r="G288" s="19" t="n"/>
      <c r="H288" s="20" t="n"/>
      <c r="I288" s="123" t="n"/>
      <c r="J288" s="119" t="n"/>
      <c r="K288" s="19" t="n"/>
      <c r="L288" s="19" t="n"/>
      <c r="M288" s="19" t="n"/>
      <c r="N288" s="20" t="n"/>
      <c r="O288" s="123" t="n"/>
      <c r="P288" s="119" t="n"/>
      <c r="Q288" s="19" t="n"/>
      <c r="R288" s="19" t="n"/>
      <c r="S288" s="19" t="n"/>
      <c r="T288" s="20" t="n"/>
      <c r="U288" s="123" t="n"/>
    </row>
    <row r="289" hidden="1" outlineLevel="3">
      <c r="A289" s="8" t="n"/>
      <c r="B289" s="14" t="n"/>
      <c r="C289" s="123" t="n"/>
      <c r="D289" s="21" t="n"/>
      <c r="H289" s="22" t="n"/>
      <c r="I289" s="123" t="n"/>
      <c r="J289" s="21" t="n"/>
      <c r="N289" s="22" t="n"/>
      <c r="O289" s="123" t="n"/>
      <c r="P289" s="21" t="n"/>
      <c r="T289" s="22" t="n"/>
      <c r="U289" s="123" t="n"/>
    </row>
    <row r="290" hidden="1" outlineLevel="3">
      <c r="A290" s="8" t="n"/>
      <c r="B290" s="14" t="n"/>
      <c r="C290" s="123" t="n"/>
      <c r="D290" s="21" t="n"/>
      <c r="H290" s="22" t="n"/>
      <c r="I290" s="123" t="n"/>
      <c r="J290" s="21" t="n"/>
      <c r="N290" s="22" t="n"/>
      <c r="O290" s="123" t="n"/>
      <c r="P290" s="21" t="n"/>
      <c r="T290" s="22" t="n"/>
      <c r="U290" s="123" t="n"/>
    </row>
    <row r="291" hidden="1" outlineLevel="3">
      <c r="A291" s="8" t="n"/>
      <c r="B291" s="14" t="n"/>
      <c r="C291" s="123" t="n"/>
      <c r="D291" s="21" t="n"/>
      <c r="H291" s="22" t="n"/>
      <c r="I291" s="123" t="n"/>
      <c r="J291" s="21" t="n"/>
      <c r="N291" s="22" t="n"/>
      <c r="O291" s="123" t="n"/>
      <c r="P291" s="21" t="n"/>
      <c r="T291" s="22" t="n"/>
      <c r="U291" s="123" t="n"/>
    </row>
    <row r="292" hidden="1" outlineLevel="3">
      <c r="A292" s="8" t="n"/>
      <c r="B292" s="14" t="n"/>
      <c r="C292" s="123" t="n"/>
      <c r="D292" s="23" t="n"/>
      <c r="E292" s="24" t="n"/>
      <c r="F292" s="24" t="n"/>
      <c r="G292" s="24" t="n"/>
      <c r="H292" s="25" t="n"/>
      <c r="I292" s="123" t="n"/>
      <c r="J292" s="23" t="n"/>
      <c r="K292" s="24" t="n"/>
      <c r="L292" s="24" t="n"/>
      <c r="M292" s="24" t="n"/>
      <c r="N292" s="25" t="n"/>
      <c r="O292" s="123" t="n"/>
      <c r="P292" s="23" t="n"/>
      <c r="Q292" s="24" t="n"/>
      <c r="R292" s="24" t="n"/>
      <c r="S292" s="24" t="n"/>
      <c r="T292" s="25" t="n"/>
      <c r="U292" s="123" t="n"/>
    </row>
    <row r="293" hidden="1" outlineLevel="2">
      <c r="A293" s="8" t="n"/>
      <c r="B293" s="14" t="n"/>
      <c r="C293" s="123" t="n"/>
      <c r="D293" s="127" t="inlineStr">
        <is>
          <t>Projétil</t>
        </is>
      </c>
      <c r="E293" s="68">
        <f>DADOS_AM!$GS$35</f>
        <v/>
      </c>
      <c r="F293" s="68">
        <f>DADOS_AM!$GP$35</f>
        <v/>
      </c>
      <c r="G293" s="127">
        <f>DADOS_AM!$GR$35</f>
        <v/>
      </c>
      <c r="H293" s="17" t="n"/>
      <c r="I293" s="123" t="n"/>
      <c r="J293" s="127" t="inlineStr">
        <is>
          <t>Projétil</t>
        </is>
      </c>
      <c r="K293" s="68">
        <f>DADOS_AM!$GS$36</f>
        <v/>
      </c>
      <c r="L293" s="68">
        <f>DADOS_AM!$GP$36</f>
        <v/>
      </c>
      <c r="M293" s="127">
        <f>DADOS_AM!$GR$36</f>
        <v/>
      </c>
      <c r="N293" s="17" t="n"/>
      <c r="O293" s="123" t="n"/>
      <c r="P293" s="127" t="inlineStr">
        <is>
          <t>Projétil</t>
        </is>
      </c>
      <c r="Q293" s="68">
        <f>DADOS_AM!$GS$37</f>
        <v/>
      </c>
      <c r="R293" s="68">
        <f>DADOS_AM!$GP$37</f>
        <v/>
      </c>
      <c r="S293" s="127">
        <f>DADOS_AM!$GR$37</f>
        <v/>
      </c>
      <c r="T293" s="17" t="n"/>
      <c r="U293" s="123" t="n"/>
    </row>
    <row r="294" hidden="1" outlineLevel="2">
      <c r="A294" s="8" t="n"/>
      <c r="B294" s="14" t="n"/>
      <c r="C294" s="123" t="n"/>
      <c r="D294" s="127">
        <f>DADOS_AM!$GQ$35</f>
        <v/>
      </c>
      <c r="E294" s="132">
        <f>DADOS_AM!$GX$35</f>
        <v/>
      </c>
      <c r="F294" s="16" t="n"/>
      <c r="G294" s="16" t="n"/>
      <c r="H294" s="17" t="n"/>
      <c r="I294" s="123" t="n"/>
      <c r="J294" s="127">
        <f>DADOS_AM!$GQ$36</f>
        <v/>
      </c>
      <c r="K294" s="132">
        <f>DADOS_AM!$GX$36</f>
        <v/>
      </c>
      <c r="L294" s="16" t="n"/>
      <c r="M294" s="16" t="n"/>
      <c r="N294" s="17" t="n"/>
      <c r="O294" s="123" t="n"/>
      <c r="P294" s="127">
        <f>DADOS_AM!$GQ$37</f>
        <v/>
      </c>
      <c r="Q294" s="132">
        <f>DADOS_AM!$GX$37</f>
        <v/>
      </c>
      <c r="R294" s="16" t="n"/>
      <c r="S294" s="16" t="n"/>
      <c r="T294" s="17" t="n"/>
      <c r="U294" s="123" t="n"/>
    </row>
    <row r="295" hidden="1" outlineLevel="3">
      <c r="A295" s="8" t="n"/>
      <c r="B295" s="14" t="n"/>
      <c r="C295" s="123" t="n"/>
      <c r="D295" s="55" t="inlineStr">
        <is>
          <t>MELHORIAS</t>
        </is>
      </c>
      <c r="E295" s="133" t="n"/>
      <c r="F295" s="17" t="n"/>
      <c r="G295" s="132">
        <f>DADOS_AM!$HA$35</f>
        <v/>
      </c>
      <c r="H295" s="17" t="n"/>
      <c r="I295" s="123" t="n"/>
      <c r="J295" s="55" t="inlineStr">
        <is>
          <t>MELHORIAS</t>
        </is>
      </c>
      <c r="K295" s="133" t="n"/>
      <c r="L295" s="17" t="n"/>
      <c r="M295" s="132">
        <f>DADOS_AM!$HA$36</f>
        <v/>
      </c>
      <c r="N295" s="17" t="n"/>
      <c r="O295" s="123" t="n"/>
      <c r="P295" s="55" t="inlineStr">
        <is>
          <t>MELHORIAS</t>
        </is>
      </c>
      <c r="Q295" s="133" t="n"/>
      <c r="R295" s="17" t="n"/>
      <c r="S295" s="132">
        <f>DADOS_AM!$HA$37</f>
        <v/>
      </c>
      <c r="T295" s="17" t="n"/>
      <c r="U295" s="123" t="n"/>
    </row>
    <row r="296" hidden="1" outlineLevel="3">
      <c r="A296" s="8" t="n"/>
      <c r="B296" s="14" t="n"/>
      <c r="C296" s="123" t="n"/>
      <c r="D296" s="134" t="n"/>
      <c r="E296" s="133" t="n"/>
      <c r="F296" s="17" t="n"/>
      <c r="G296" s="132">
        <f>DADOS_AM!$HB$35</f>
        <v/>
      </c>
      <c r="H296" s="17" t="n"/>
      <c r="I296" s="123" t="n"/>
      <c r="J296" s="134" t="n"/>
      <c r="K296" s="133" t="n"/>
      <c r="L296" s="17" t="n"/>
      <c r="M296" s="132">
        <f>DADOS_AM!$HB$36</f>
        <v/>
      </c>
      <c r="N296" s="17" t="n"/>
      <c r="O296" s="123" t="n"/>
      <c r="P296" s="134" t="n"/>
      <c r="Q296" s="133" t="n"/>
      <c r="R296" s="17" t="n"/>
      <c r="S296" s="132">
        <f>DADOS_AM!$HB$37</f>
        <v/>
      </c>
      <c r="T296" s="17" t="n"/>
      <c r="U296" s="123" t="n"/>
    </row>
    <row r="297" hidden="1" outlineLevel="3">
      <c r="A297" s="8" t="n"/>
      <c r="B297" s="14" t="n"/>
      <c r="C297" s="123" t="n"/>
      <c r="D297" s="134" t="n"/>
      <c r="E297" s="133" t="n"/>
      <c r="F297" s="17" t="n"/>
      <c r="G297" s="132">
        <f>DADOS_AM!$HC$35</f>
        <v/>
      </c>
      <c r="H297" s="17" t="n"/>
      <c r="I297" s="123" t="n"/>
      <c r="J297" s="134" t="n"/>
      <c r="K297" s="133" t="n"/>
      <c r="L297" s="17" t="n"/>
      <c r="M297" s="132">
        <f>DADOS_AM!$HC$36</f>
        <v/>
      </c>
      <c r="N297" s="17" t="n"/>
      <c r="O297" s="123" t="n"/>
      <c r="P297" s="134" t="n"/>
      <c r="Q297" s="133" t="n"/>
      <c r="R297" s="17" t="n"/>
      <c r="S297" s="132">
        <f>DADOS_AM!$HC$37</f>
        <v/>
      </c>
      <c r="T297" s="17" t="n"/>
      <c r="U297" s="123" t="n"/>
    </row>
    <row r="298" hidden="1" outlineLevel="3">
      <c r="A298" s="8" t="n"/>
      <c r="B298" s="14" t="n"/>
      <c r="C298" s="123" t="n"/>
      <c r="D298" s="128" t="n"/>
      <c r="E298" s="133" t="n"/>
      <c r="F298" s="17" t="n"/>
      <c r="G298" s="132">
        <f>DADOS_AM!$HD$35</f>
        <v/>
      </c>
      <c r="H298" s="17" t="n"/>
      <c r="I298" s="123" t="n"/>
      <c r="J298" s="128" t="n"/>
      <c r="K298" s="133" t="n"/>
      <c r="L298" s="17" t="n"/>
      <c r="M298" s="132">
        <f>DADOS_AM!$HD$36</f>
        <v/>
      </c>
      <c r="N298" s="17" t="n"/>
      <c r="O298" s="123" t="n"/>
      <c r="P298" s="128" t="n"/>
      <c r="Q298" s="133" t="n"/>
      <c r="R298" s="17" t="n"/>
      <c r="S298" s="132">
        <f>DADOS_AM!$HD$37</f>
        <v/>
      </c>
      <c r="T298" s="17" t="n"/>
      <c r="U298" s="123" t="n"/>
    </row>
    <row r="299" hidden="1" outlineLevel="3">
      <c r="A299" s="8" t="n"/>
      <c r="B299" s="14" t="n"/>
      <c r="C299" s="123" t="n"/>
      <c r="D299" s="55" t="inlineStr">
        <is>
          <t>RESTRIÇÕES</t>
        </is>
      </c>
      <c r="E299" s="133" t="n"/>
      <c r="F299" s="17" t="n"/>
      <c r="G299" s="132">
        <f>DADOS_AM!$HE$35</f>
        <v/>
      </c>
      <c r="H299" s="17" t="n"/>
      <c r="I299" s="123" t="n"/>
      <c r="J299" s="55" t="inlineStr">
        <is>
          <t>RESTRIÇÕES</t>
        </is>
      </c>
      <c r="K299" s="133" t="n"/>
      <c r="L299" s="17" t="n"/>
      <c r="M299" s="132">
        <f>DADOS_AM!$HE$36</f>
        <v/>
      </c>
      <c r="N299" s="17" t="n"/>
      <c r="O299" s="123" t="n"/>
      <c r="P299" s="55" t="inlineStr">
        <is>
          <t>RESTRIÇÕES</t>
        </is>
      </c>
      <c r="Q299" s="133" t="n"/>
      <c r="R299" s="17" t="n"/>
      <c r="S299" s="132">
        <f>DADOS_AM!$HE$37</f>
        <v/>
      </c>
      <c r="T299" s="17" t="n"/>
      <c r="U299" s="123" t="n"/>
    </row>
    <row r="300" hidden="1" outlineLevel="3">
      <c r="A300" s="8" t="n"/>
      <c r="B300" s="14" t="n"/>
      <c r="C300" s="123" t="n"/>
      <c r="D300" s="128" t="n"/>
      <c r="E300" s="133" t="n"/>
      <c r="F300" s="17" t="n"/>
      <c r="G300" s="132">
        <f>DADOS_AM!$HF$35</f>
        <v/>
      </c>
      <c r="H300" s="17" t="n"/>
      <c r="I300" s="123" t="n"/>
      <c r="J300" s="128" t="n"/>
      <c r="K300" s="133" t="n"/>
      <c r="L300" s="17" t="n"/>
      <c r="M300" s="132">
        <f>DADOS_AM!$HF$36</f>
        <v/>
      </c>
      <c r="N300" s="17" t="n"/>
      <c r="O300" s="123" t="n"/>
      <c r="P300" s="128" t="n"/>
      <c r="Q300" s="133" t="n"/>
      <c r="R300" s="17" t="n"/>
      <c r="S300" s="132">
        <f>DADOS_AM!$HF$37</f>
        <v/>
      </c>
      <c r="T300" s="17" t="n"/>
      <c r="U300" s="123" t="n"/>
    </row>
    <row r="301" hidden="1" outlineLevel="3">
      <c r="A301" s="8" t="n"/>
      <c r="B301" s="14" t="n"/>
      <c r="C301" s="123" t="n"/>
      <c r="D301" s="55" t="inlineStr">
        <is>
          <t>CONTA</t>
        </is>
      </c>
      <c r="E301" s="135">
        <f>DADOS_AM!$GY$35</f>
        <v/>
      </c>
      <c r="F301" s="16" t="n"/>
      <c r="G301" s="16" t="n"/>
      <c r="H301" s="17" t="n"/>
      <c r="I301" s="123" t="n"/>
      <c r="J301" s="55" t="inlineStr">
        <is>
          <t>CONTA</t>
        </is>
      </c>
      <c r="K301" s="135">
        <f>DADOS_AM!$GY$36</f>
        <v/>
      </c>
      <c r="L301" s="16" t="n"/>
      <c r="M301" s="16" t="n"/>
      <c r="N301" s="17" t="n"/>
      <c r="O301" s="123" t="n"/>
      <c r="P301" s="55" t="inlineStr">
        <is>
          <t>CONTA</t>
        </is>
      </c>
      <c r="Q301" s="135">
        <f>DADOS_AM!$GY$37</f>
        <v/>
      </c>
      <c r="R301" s="16" t="n"/>
      <c r="S301" s="16" t="n"/>
      <c r="T301" s="17" t="n"/>
      <c r="U301" s="123" t="n"/>
    </row>
    <row r="302" hidden="1" outlineLevel="3">
      <c r="A302" s="8" t="n"/>
      <c r="B302" s="14" t="n"/>
      <c r="C302" s="123" t="n"/>
      <c r="D302" s="55" t="inlineStr">
        <is>
          <t>AMPLIAR</t>
        </is>
      </c>
      <c r="E302" s="135">
        <f>DADOS_AM!$GZ$35</f>
        <v/>
      </c>
      <c r="F302" s="19" t="n"/>
      <c r="G302" s="19" t="n"/>
      <c r="H302" s="20" t="n"/>
      <c r="I302" s="123" t="n"/>
      <c r="J302" s="55" t="inlineStr">
        <is>
          <t>AMPLIAR</t>
        </is>
      </c>
      <c r="K302" s="135">
        <f>DADOS_AM!$GZ$36</f>
        <v/>
      </c>
      <c r="L302" s="19" t="n"/>
      <c r="M302" s="19" t="n"/>
      <c r="N302" s="20" t="n"/>
      <c r="O302" s="123" t="n"/>
      <c r="P302" s="55" t="inlineStr">
        <is>
          <t>AMPLIAR</t>
        </is>
      </c>
      <c r="Q302" s="135">
        <f>DADOS_AM!$GZ$37</f>
        <v/>
      </c>
      <c r="R302" s="19" t="n"/>
      <c r="S302" s="19" t="n"/>
      <c r="T302" s="20" t="n"/>
      <c r="U302" s="123" t="n"/>
    </row>
    <row r="303" hidden="1" outlineLevel="3">
      <c r="A303" s="8" t="n"/>
      <c r="B303" s="14" t="n"/>
      <c r="C303" s="123" t="n"/>
      <c r="D303" s="128" t="n"/>
      <c r="E303" s="23" t="n"/>
      <c r="F303" s="24" t="n"/>
      <c r="G303" s="24" t="n"/>
      <c r="H303" s="25" t="n"/>
      <c r="I303" s="123" t="n"/>
      <c r="J303" s="128" t="n"/>
      <c r="K303" s="23" t="n"/>
      <c r="L303" s="24" t="n"/>
      <c r="M303" s="24" t="n"/>
      <c r="N303" s="25" t="n"/>
      <c r="O303" s="123" t="n"/>
      <c r="P303" s="128" t="n"/>
      <c r="Q303" s="23" t="n"/>
      <c r="R303" s="24" t="n"/>
      <c r="S303" s="24" t="n"/>
      <c r="T303" s="25" t="n"/>
      <c r="U303" s="123" t="n"/>
    </row>
    <row r="304" hidden="1" outlineLevel="3">
      <c r="A304" s="8" t="n"/>
      <c r="B304" s="14" t="n"/>
      <c r="C304" s="123" t="n"/>
      <c r="D304" s="55" t="inlineStr">
        <is>
          <t>AVISOS</t>
        </is>
      </c>
      <c r="E304" s="135">
        <f>DADOS_AM!$GO$35</f>
        <v/>
      </c>
      <c r="F304" s="19" t="n"/>
      <c r="G304" s="19" t="n"/>
      <c r="H304" s="20" t="n"/>
      <c r="I304" s="123" t="n"/>
      <c r="J304" s="55" t="inlineStr">
        <is>
          <t>AVISOS</t>
        </is>
      </c>
      <c r="K304" s="135">
        <f>DADOS_AM!$GO$36</f>
        <v/>
      </c>
      <c r="L304" s="19" t="n"/>
      <c r="M304" s="19" t="n"/>
      <c r="N304" s="20" t="n"/>
      <c r="O304" s="123" t="n"/>
      <c r="P304" s="55" t="inlineStr">
        <is>
          <t>AVISOS</t>
        </is>
      </c>
      <c r="Q304" s="135">
        <f>DADOS_AM!$GO$37</f>
        <v/>
      </c>
      <c r="R304" s="19" t="n"/>
      <c r="S304" s="19" t="n"/>
      <c r="T304" s="20" t="n"/>
      <c r="U304" s="123" t="n"/>
    </row>
    <row r="305" hidden="1" outlineLevel="3">
      <c r="A305" s="8" t="n"/>
      <c r="B305" s="14" t="n"/>
      <c r="C305" s="123" t="n"/>
      <c r="D305" s="128" t="n"/>
      <c r="E305" s="23" t="n"/>
      <c r="F305" s="24" t="n"/>
      <c r="G305" s="24" t="n"/>
      <c r="H305" s="25" t="n"/>
      <c r="I305" s="123" t="n"/>
      <c r="J305" s="128" t="n"/>
      <c r="K305" s="23" t="n"/>
      <c r="L305" s="24" t="n"/>
      <c r="M305" s="24" t="n"/>
      <c r="N305" s="25" t="n"/>
      <c r="O305" s="123" t="n"/>
      <c r="P305" s="128" t="n"/>
      <c r="Q305" s="23" t="n"/>
      <c r="R305" s="24" t="n"/>
      <c r="S305" s="24" t="n"/>
      <c r="T305" s="25" t="n"/>
      <c r="U305" s="123" t="n"/>
    </row>
    <row r="306">
      <c r="A306" s="8" t="n"/>
      <c r="B306" s="14" t="n"/>
      <c r="C306" s="123" t="n"/>
      <c r="D306" s="123" t="n"/>
      <c r="E306" s="123" t="n"/>
      <c r="F306" s="123" t="n"/>
      <c r="G306" s="123" t="n"/>
      <c r="H306" s="123" t="n"/>
      <c r="I306" s="123" t="n"/>
      <c r="J306" s="123" t="n"/>
      <c r="K306" s="123" t="n"/>
      <c r="L306" s="123" t="n"/>
      <c r="M306" s="123" t="n"/>
      <c r="N306" s="123" t="n"/>
      <c r="O306" s="123" t="n"/>
      <c r="P306" s="123" t="n"/>
      <c r="Q306" s="123" t="n"/>
      <c r="R306" s="123" t="n"/>
      <c r="S306" s="123" t="n"/>
      <c r="T306" s="123" t="n"/>
      <c r="U306" s="123" t="n"/>
    </row>
    <row r="307">
      <c r="A307" s="8" t="n"/>
      <c r="B307" s="14" t="n"/>
      <c r="C307" s="123" t="n"/>
      <c r="D307" s="126"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23" t="n"/>
    </row>
    <row r="308">
      <c r="A308" s="8" t="n"/>
      <c r="B308" s="14" t="n"/>
      <c r="C308" s="123" t="n"/>
      <c r="D308" s="23" t="n"/>
      <c r="E308" s="24" t="n"/>
      <c r="F308" s="24" t="n"/>
      <c r="G308" s="24" t="n"/>
      <c r="H308" s="24" t="n"/>
      <c r="I308" s="24" t="n"/>
      <c r="J308" s="24" t="n"/>
      <c r="K308" s="24" t="n"/>
      <c r="L308" s="24" t="n"/>
      <c r="M308" s="24" t="n"/>
      <c r="N308" s="24" t="n"/>
      <c r="O308" s="24" t="n"/>
      <c r="P308" s="24" t="n"/>
      <c r="Q308" s="24" t="n"/>
      <c r="R308" s="24" t="n"/>
      <c r="S308" s="24" t="n"/>
      <c r="T308" s="25" t="n"/>
      <c r="U308" s="123" t="n"/>
    </row>
    <row r="309" outlineLevel="1">
      <c r="A309" s="8" t="n"/>
      <c r="B309" s="14" t="n"/>
      <c r="C309" s="123" t="n"/>
      <c r="D309" s="55" t="inlineStr">
        <is>
          <t>NOME</t>
        </is>
      </c>
      <c r="E309" s="17" t="n"/>
      <c r="F309" s="55" t="inlineStr">
        <is>
          <t>FORMA</t>
        </is>
      </c>
      <c r="G309" s="16" t="n"/>
      <c r="H309" s="17" t="n"/>
      <c r="I309" s="123" t="n"/>
      <c r="J309" s="55" t="inlineStr">
        <is>
          <t>MELHORIA LEVE</t>
        </is>
      </c>
      <c r="K309" s="17" t="n"/>
      <c r="L309" s="55" t="inlineStr">
        <is>
          <t>RESTRIÇÃO LEVE</t>
        </is>
      </c>
      <c r="M309" s="16" t="n"/>
      <c r="N309" s="17" t="n"/>
      <c r="O309" s="123" t="n"/>
      <c r="P309" s="55" t="inlineStr">
        <is>
          <t>DANO</t>
        </is>
      </c>
      <c r="Q309" s="17" t="n"/>
      <c r="R309" s="55" t="inlineStr">
        <is>
          <t>ALCANCE</t>
        </is>
      </c>
      <c r="S309" s="16" t="n"/>
      <c r="T309" s="17" t="n"/>
      <c r="U309" s="123" t="n"/>
    </row>
    <row r="310" outlineLevel="1">
      <c r="A310" s="8" t="n"/>
      <c r="B310" s="14" t="n"/>
      <c r="C310" s="123" t="n"/>
      <c r="D310" s="133" t="n"/>
      <c r="E310" s="17" t="n"/>
      <c r="F310" s="127" t="inlineStr">
        <is>
          <t>Projétil</t>
        </is>
      </c>
      <c r="G310" s="16" t="n"/>
      <c r="H310" s="17" t="n"/>
      <c r="I310" s="123" t="n"/>
      <c r="J310" s="133" t="n"/>
      <c r="K310" s="17" t="n"/>
      <c r="L310" s="133" t="n"/>
      <c r="M310" s="16" t="n"/>
      <c r="N310" s="17" t="n"/>
      <c r="O310" s="123" t="n"/>
      <c r="P310" s="68">
        <f>DADOS_AM!$IL$2</f>
        <v/>
      </c>
      <c r="Q310" s="17" t="n"/>
      <c r="R310" s="132">
        <f>DADOS_AM!$IM$2</f>
        <v/>
      </c>
      <c r="S310" s="16" t="n"/>
      <c r="T310" s="17" t="n"/>
      <c r="U310" s="123" t="n"/>
    </row>
    <row r="311" outlineLevel="1">
      <c r="A311" s="8" t="n"/>
      <c r="B311" s="14" t="n"/>
      <c r="C311" s="123" t="n"/>
      <c r="D311" s="133" t="n"/>
      <c r="E311" s="17" t="n"/>
      <c r="F311" s="127" t="inlineStr">
        <is>
          <t>Projétil</t>
        </is>
      </c>
      <c r="G311" s="16" t="n"/>
      <c r="H311" s="17" t="n"/>
      <c r="I311" s="123" t="n"/>
      <c r="J311" s="133" t="n"/>
      <c r="K311" s="17" t="n"/>
      <c r="L311" s="133" t="n"/>
      <c r="M311" s="16" t="n"/>
      <c r="N311" s="17" t="n"/>
      <c r="O311" s="123" t="n"/>
      <c r="P311" s="68">
        <f>DADOS_AM!$IL$3</f>
        <v/>
      </c>
      <c r="Q311" s="17" t="n"/>
      <c r="R311" s="132">
        <f>DADOS_AM!$IM$3</f>
        <v/>
      </c>
      <c r="S311" s="16" t="n"/>
      <c r="T311" s="17" t="n"/>
      <c r="U311" s="123" t="n"/>
    </row>
    <row r="312" outlineLevel="1">
      <c r="A312" s="8" t="n"/>
      <c r="B312" s="14" t="n"/>
      <c r="C312" s="123" t="n"/>
      <c r="D312" s="133" t="n"/>
      <c r="E312" s="17" t="n"/>
      <c r="F312" s="127" t="inlineStr">
        <is>
          <t>Projétil</t>
        </is>
      </c>
      <c r="G312" s="16" t="n"/>
      <c r="H312" s="17" t="n"/>
      <c r="I312" s="123" t="n"/>
      <c r="J312" s="133" t="n"/>
      <c r="K312" s="17" t="n"/>
      <c r="L312" s="133" t="n"/>
      <c r="M312" s="16" t="n"/>
      <c r="N312" s="17" t="n"/>
      <c r="O312" s="123" t="n"/>
      <c r="P312" s="68">
        <f>DADOS_AM!$IL$4</f>
        <v/>
      </c>
      <c r="Q312" s="17" t="n"/>
      <c r="R312" s="132">
        <f>DADOS_AM!$IM$4</f>
        <v/>
      </c>
      <c r="S312" s="16" t="n"/>
      <c r="T312" s="17" t="n"/>
      <c r="U312" s="123" t="n"/>
    </row>
    <row r="313" outlineLevel="1">
      <c r="A313" s="8" t="n"/>
      <c r="B313" s="14" t="n"/>
      <c r="C313" s="123" t="n"/>
      <c r="D313" s="133" t="n"/>
      <c r="E313" s="17" t="n"/>
      <c r="F313" s="127" t="inlineStr">
        <is>
          <t>Projétil</t>
        </is>
      </c>
      <c r="G313" s="16" t="n"/>
      <c r="H313" s="17" t="n"/>
      <c r="I313" s="123" t="n"/>
      <c r="J313" s="133" t="n"/>
      <c r="K313" s="17" t="n"/>
      <c r="L313" s="133" t="n"/>
      <c r="M313" s="16" t="n"/>
      <c r="N313" s="17" t="n"/>
      <c r="O313" s="123" t="n"/>
      <c r="P313" s="68">
        <f>DADOS_AM!$IL$5</f>
        <v/>
      </c>
      <c r="Q313" s="17" t="n"/>
      <c r="R313" s="132">
        <f>DADOS_AM!$IM$5</f>
        <v/>
      </c>
      <c r="S313" s="16" t="n"/>
      <c r="T313" s="17" t="n"/>
      <c r="U313" s="123" t="n"/>
    </row>
    <row r="314" outlineLevel="1">
      <c r="A314" s="8" t="n"/>
      <c r="B314" s="14" t="n"/>
      <c r="C314" s="123" t="n"/>
      <c r="D314" s="133" t="n"/>
      <c r="E314" s="17" t="n"/>
      <c r="F314" s="127" t="inlineStr">
        <is>
          <t>Projétil</t>
        </is>
      </c>
      <c r="G314" s="16" t="n"/>
      <c r="H314" s="17" t="n"/>
      <c r="I314" s="123" t="n"/>
      <c r="J314" s="133" t="n"/>
      <c r="K314" s="17" t="n"/>
      <c r="L314" s="133" t="n"/>
      <c r="M314" s="16" t="n"/>
      <c r="N314" s="17" t="n"/>
      <c r="O314" s="123" t="n"/>
      <c r="P314" s="68">
        <f>DADOS_AM!$IL$6</f>
        <v/>
      </c>
      <c r="Q314" s="17" t="n"/>
      <c r="R314" s="132">
        <f>DADOS_AM!$IM$6</f>
        <v/>
      </c>
      <c r="S314" s="16" t="n"/>
      <c r="T314" s="17" t="n"/>
      <c r="U314" s="123" t="n"/>
    </row>
    <row r="315">
      <c r="A315" s="8" t="n"/>
      <c r="B315" s="14" t="n"/>
      <c r="C315" s="123" t="n"/>
      <c r="D315" s="123" t="n"/>
      <c r="E315" s="123" t="n"/>
      <c r="F315" s="123" t="n"/>
      <c r="G315" s="123" t="n"/>
      <c r="H315" s="123" t="n"/>
      <c r="I315" s="123" t="n"/>
      <c r="J315" s="123" t="n"/>
      <c r="K315" s="123" t="n"/>
      <c r="L315" s="123" t="n"/>
      <c r="M315" s="123" t="n"/>
      <c r="N315" s="123" t="n"/>
      <c r="O315" s="123" t="n"/>
      <c r="P315" s="123" t="n"/>
      <c r="Q315" s="123" t="n"/>
      <c r="R315" s="123" t="n"/>
      <c r="S315" s="123" t="n"/>
      <c r="T315" s="123" t="n"/>
      <c r="U315" s="123" t="n"/>
    </row>
    <row r="316">
      <c r="A316" s="8" t="n"/>
      <c r="B316" s="14" t="n"/>
      <c r="C316" s="123" t="n"/>
      <c r="D316" s="126">
        <f>DADOS_AM!$KT$36</f>
        <v/>
      </c>
      <c r="E316" s="19" t="n"/>
      <c r="F316" s="19" t="n"/>
      <c r="G316" s="19" t="n"/>
      <c r="H316" s="19" t="n"/>
      <c r="I316" s="19" t="n"/>
      <c r="J316" s="19" t="n"/>
      <c r="K316" s="19" t="n"/>
      <c r="L316" s="19" t="n"/>
      <c r="M316" s="19" t="n"/>
      <c r="N316" s="19" t="n"/>
      <c r="O316" s="19" t="n"/>
      <c r="P316" s="19" t="n"/>
      <c r="Q316" s="19" t="n"/>
      <c r="R316" s="19" t="n"/>
      <c r="S316" s="19" t="n"/>
      <c r="T316" s="20" t="n"/>
      <c r="U316" s="123" t="n"/>
    </row>
    <row r="317">
      <c r="A317" s="8" t="n"/>
      <c r="B317" s="14" t="n"/>
      <c r="C317" s="123" t="n"/>
      <c r="D317" s="23" t="n"/>
      <c r="E317" s="24" t="n"/>
      <c r="F317" s="24" t="n"/>
      <c r="G317" s="24" t="n"/>
      <c r="H317" s="24" t="n"/>
      <c r="I317" s="24" t="n"/>
      <c r="J317" s="24" t="n"/>
      <c r="K317" s="24" t="n"/>
      <c r="L317" s="24" t="n"/>
      <c r="M317" s="24" t="n"/>
      <c r="N317" s="24" t="n"/>
      <c r="O317" s="24" t="n"/>
      <c r="P317" s="24" t="n"/>
      <c r="Q317" s="24" t="n"/>
      <c r="R317" s="24" t="n"/>
      <c r="S317" s="24" t="n"/>
      <c r="T317" s="25" t="n"/>
      <c r="U317" s="123" t="n"/>
    </row>
    <row r="318" hidden="1" outlineLevel="1">
      <c r="A318" s="8" t="n"/>
      <c r="B318" s="14" t="n"/>
      <c r="C318" s="123" t="n"/>
      <c r="D318" s="123" t="n"/>
      <c r="E318" s="123" t="n"/>
      <c r="F318" s="123" t="n"/>
      <c r="G318" s="123" t="n"/>
      <c r="H318" s="123" t="n"/>
      <c r="I318" s="123" t="n"/>
      <c r="J318" s="123" t="n"/>
      <c r="K318" s="123" t="n"/>
      <c r="L318" s="123" t="n"/>
      <c r="M318" s="123" t="n"/>
      <c r="N318" s="123" t="n"/>
      <c r="O318" s="123" t="n"/>
      <c r="P318" s="123" t="n"/>
      <c r="Q318" s="123" t="n"/>
      <c r="R318" s="123" t="n"/>
      <c r="S318" s="123" t="n"/>
      <c r="T318" s="123" t="n"/>
      <c r="U318" s="123" t="n"/>
    </row>
    <row r="319" hidden="1" outlineLevel="1">
      <c r="A319" s="8" t="n"/>
      <c r="B319" s="14" t="n"/>
      <c r="C319" s="123" t="n"/>
      <c r="D319" s="130" t="n">
        <v>3</v>
      </c>
      <c r="E319" s="118" t="n"/>
      <c r="F319" s="17" t="n"/>
      <c r="G319" s="131">
        <f>DADOS_AM!$GN$38</f>
        <v/>
      </c>
      <c r="H319" s="17" t="n"/>
      <c r="I319" s="123" t="n"/>
      <c r="J319" s="130" t="n">
        <v>3</v>
      </c>
      <c r="K319" s="118" t="n"/>
      <c r="L319" s="17" t="n"/>
      <c r="M319" s="131">
        <f>DADOS_AM!$GN$39</f>
        <v/>
      </c>
      <c r="N319" s="17" t="n"/>
      <c r="O319" s="123" t="n"/>
      <c r="P319" s="130" t="n">
        <v>3</v>
      </c>
      <c r="Q319" s="118" t="n"/>
      <c r="R319" s="17" t="n"/>
      <c r="S319" s="131">
        <f>DADOS_AM!$GN$40</f>
        <v/>
      </c>
      <c r="T319" s="17" t="n"/>
      <c r="U319" s="123" t="n"/>
    </row>
    <row r="320" hidden="1" outlineLevel="2">
      <c r="A320" s="8" t="n"/>
      <c r="B320" s="14" t="n"/>
      <c r="C320" s="123" t="n"/>
      <c r="D320" s="55" t="inlineStr">
        <is>
          <t>COMO É</t>
        </is>
      </c>
      <c r="E320" s="16" t="n"/>
      <c r="F320" s="16" t="n"/>
      <c r="G320" s="16" t="n"/>
      <c r="H320" s="17" t="n"/>
      <c r="I320" s="123" t="n"/>
      <c r="J320" s="55" t="inlineStr">
        <is>
          <t>COMO É</t>
        </is>
      </c>
      <c r="K320" s="16" t="n"/>
      <c r="L320" s="16" t="n"/>
      <c r="M320" s="16" t="n"/>
      <c r="N320" s="17" t="n"/>
      <c r="O320" s="123" t="n"/>
      <c r="P320" s="55" t="inlineStr">
        <is>
          <t>COMO É</t>
        </is>
      </c>
      <c r="Q320" s="16" t="n"/>
      <c r="R320" s="16" t="n"/>
      <c r="S320" s="16" t="n"/>
      <c r="T320" s="17" t="n"/>
      <c r="U320" s="123" t="n"/>
    </row>
    <row r="321" hidden="1" outlineLevel="2">
      <c r="A321" s="8" t="n"/>
      <c r="B321" s="14" t="n"/>
      <c r="C321" s="123" t="n"/>
      <c r="D321" s="119" t="n"/>
      <c r="E321" s="19" t="n"/>
      <c r="F321" s="19" t="n"/>
      <c r="G321" s="19" t="n"/>
      <c r="H321" s="20" t="n"/>
      <c r="I321" s="123" t="n"/>
      <c r="J321" s="119" t="n"/>
      <c r="K321" s="19" t="n"/>
      <c r="L321" s="19" t="n"/>
      <c r="M321" s="19" t="n"/>
      <c r="N321" s="20" t="n"/>
      <c r="O321" s="123" t="n"/>
      <c r="P321" s="119" t="n"/>
      <c r="Q321" s="19" t="n"/>
      <c r="R321" s="19" t="n"/>
      <c r="S321" s="19" t="n"/>
      <c r="T321" s="20" t="n"/>
      <c r="U321" s="123" t="n"/>
    </row>
    <row r="322" hidden="1" outlineLevel="2">
      <c r="A322" s="8" t="n"/>
      <c r="B322" s="14" t="n"/>
      <c r="C322" s="123" t="n"/>
      <c r="D322" s="21" t="n"/>
      <c r="H322" s="22" t="n"/>
      <c r="I322" s="123" t="n"/>
      <c r="J322" s="21" t="n"/>
      <c r="N322" s="22" t="n"/>
      <c r="O322" s="123" t="n"/>
      <c r="P322" s="21" t="n"/>
      <c r="T322" s="22" t="n"/>
      <c r="U322" s="123" t="n"/>
    </row>
    <row r="323" hidden="1" outlineLevel="2">
      <c r="A323" s="8" t="n"/>
      <c r="B323" s="14" t="n"/>
      <c r="C323" s="123" t="n"/>
      <c r="D323" s="21" t="n"/>
      <c r="H323" s="22" t="n"/>
      <c r="I323" s="123" t="n"/>
      <c r="J323" s="21" t="n"/>
      <c r="N323" s="22" t="n"/>
      <c r="O323" s="123" t="n"/>
      <c r="P323" s="21" t="n"/>
      <c r="T323" s="22" t="n"/>
      <c r="U323" s="123" t="n"/>
    </row>
    <row r="324" hidden="1" outlineLevel="2">
      <c r="A324" s="8" t="n"/>
      <c r="B324" s="14" t="n"/>
      <c r="C324" s="123" t="n"/>
      <c r="D324" s="21" t="n"/>
      <c r="H324" s="22" t="n"/>
      <c r="I324" s="123" t="n"/>
      <c r="J324" s="21" t="n"/>
      <c r="N324" s="22" t="n"/>
      <c r="O324" s="123" t="n"/>
      <c r="P324" s="21" t="n"/>
      <c r="T324" s="22" t="n"/>
      <c r="U324" s="123" t="n"/>
    </row>
    <row r="325" hidden="1" outlineLevel="2">
      <c r="A325" s="8" t="n"/>
      <c r="B325" s="14" t="n"/>
      <c r="C325" s="123" t="n"/>
      <c r="D325" s="23" t="n"/>
      <c r="E325" s="24" t="n"/>
      <c r="F325" s="24" t="n"/>
      <c r="G325" s="24" t="n"/>
      <c r="H325" s="25" t="n"/>
      <c r="I325" s="123" t="n"/>
      <c r="J325" s="23" t="n"/>
      <c r="K325" s="24" t="n"/>
      <c r="L325" s="24" t="n"/>
      <c r="M325" s="24" t="n"/>
      <c r="N325" s="25" t="n"/>
      <c r="O325" s="123" t="n"/>
      <c r="P325" s="23" t="n"/>
      <c r="Q325" s="24" t="n"/>
      <c r="R325" s="24" t="n"/>
      <c r="S325" s="24" t="n"/>
      <c r="T325" s="25" t="n"/>
      <c r="U325" s="123" t="n"/>
    </row>
    <row r="326" hidden="1" outlineLevel="1">
      <c r="A326" s="8" t="n"/>
      <c r="B326" s="14" t="n"/>
      <c r="C326" s="123" t="n"/>
      <c r="D326" s="127" t="inlineStr">
        <is>
          <t>Projétil</t>
        </is>
      </c>
      <c r="E326" s="68">
        <f>DADOS_AM!$GS$38</f>
        <v/>
      </c>
      <c r="F326" s="68">
        <f>DADOS_AM!$GP$38</f>
        <v/>
      </c>
      <c r="G326" s="127">
        <f>DADOS_AM!$GR$38</f>
        <v/>
      </c>
      <c r="H326" s="17" t="n"/>
      <c r="I326" s="123" t="n"/>
      <c r="J326" s="127" t="inlineStr">
        <is>
          <t>Projétil</t>
        </is>
      </c>
      <c r="K326" s="68">
        <f>DADOS_AM!$GS$39</f>
        <v/>
      </c>
      <c r="L326" s="68">
        <f>DADOS_AM!$GP$39</f>
        <v/>
      </c>
      <c r="M326" s="127">
        <f>DADOS_AM!$GR$39</f>
        <v/>
      </c>
      <c r="N326" s="17" t="n"/>
      <c r="O326" s="123" t="n"/>
      <c r="P326" s="127" t="inlineStr">
        <is>
          <t>Projétil</t>
        </is>
      </c>
      <c r="Q326" s="68">
        <f>DADOS_AM!$GS$40</f>
        <v/>
      </c>
      <c r="R326" s="68">
        <f>DADOS_AM!$GP$40</f>
        <v/>
      </c>
      <c r="S326" s="127">
        <f>DADOS_AM!$GR$40</f>
        <v/>
      </c>
      <c r="T326" s="17" t="n"/>
      <c r="U326" s="123" t="n"/>
    </row>
    <row r="327" hidden="1" outlineLevel="1">
      <c r="A327" s="8" t="n"/>
      <c r="B327" s="14" t="n"/>
      <c r="C327" s="123" t="n"/>
      <c r="D327" s="127">
        <f>DADOS_AM!$GQ$38</f>
        <v/>
      </c>
      <c r="E327" s="132">
        <f>DADOS_AM!$GX$38</f>
        <v/>
      </c>
      <c r="F327" s="16" t="n"/>
      <c r="G327" s="16" t="n"/>
      <c r="H327" s="17" t="n"/>
      <c r="I327" s="123" t="n"/>
      <c r="J327" s="127">
        <f>DADOS_AM!$GQ$39</f>
        <v/>
      </c>
      <c r="K327" s="132">
        <f>DADOS_AM!$GX$39</f>
        <v/>
      </c>
      <c r="L327" s="16" t="n"/>
      <c r="M327" s="16" t="n"/>
      <c r="N327" s="17" t="n"/>
      <c r="O327" s="123" t="n"/>
      <c r="P327" s="127">
        <f>DADOS_AM!$GQ$40</f>
        <v/>
      </c>
      <c r="Q327" s="132">
        <f>DADOS_AM!$GX$40</f>
        <v/>
      </c>
      <c r="R327" s="16" t="n"/>
      <c r="S327" s="16" t="n"/>
      <c r="T327" s="17" t="n"/>
      <c r="U327" s="123" t="n"/>
    </row>
    <row r="328" hidden="1" outlineLevel="2">
      <c r="A328" s="8" t="n"/>
      <c r="B328" s="14" t="n"/>
      <c r="C328" s="123" t="n"/>
      <c r="D328" s="55" t="inlineStr">
        <is>
          <t>MELHORIAS</t>
        </is>
      </c>
      <c r="E328" s="133" t="n"/>
      <c r="F328" s="17" t="n"/>
      <c r="G328" s="132">
        <f>DADOS_AM!$HA$38</f>
        <v/>
      </c>
      <c r="H328" s="17" t="n"/>
      <c r="I328" s="123" t="n"/>
      <c r="J328" s="55" t="inlineStr">
        <is>
          <t>MELHORIAS</t>
        </is>
      </c>
      <c r="K328" s="133" t="n"/>
      <c r="L328" s="17" t="n"/>
      <c r="M328" s="132">
        <f>DADOS_AM!$HA$39</f>
        <v/>
      </c>
      <c r="N328" s="17" t="n"/>
      <c r="O328" s="123" t="n"/>
      <c r="P328" s="55" t="inlineStr">
        <is>
          <t>MELHORIAS</t>
        </is>
      </c>
      <c r="Q328" s="133" t="n"/>
      <c r="R328" s="17" t="n"/>
      <c r="S328" s="132">
        <f>DADOS_AM!$HA$40</f>
        <v/>
      </c>
      <c r="T328" s="17" t="n"/>
      <c r="U328" s="123" t="n"/>
    </row>
    <row r="329" hidden="1" outlineLevel="2">
      <c r="A329" s="8" t="n"/>
      <c r="B329" s="14" t="n"/>
      <c r="C329" s="123" t="n"/>
      <c r="D329" s="134" t="n"/>
      <c r="E329" s="133" t="n"/>
      <c r="F329" s="17" t="n"/>
      <c r="G329" s="132">
        <f>DADOS_AM!$HB$38</f>
        <v/>
      </c>
      <c r="H329" s="17" t="n"/>
      <c r="I329" s="123" t="n"/>
      <c r="J329" s="134" t="n"/>
      <c r="K329" s="133" t="n"/>
      <c r="L329" s="17" t="n"/>
      <c r="M329" s="132">
        <f>DADOS_AM!$HB$39</f>
        <v/>
      </c>
      <c r="N329" s="17" t="n"/>
      <c r="O329" s="123" t="n"/>
      <c r="P329" s="134" t="n"/>
      <c r="Q329" s="133" t="n"/>
      <c r="R329" s="17" t="n"/>
      <c r="S329" s="132">
        <f>DADOS_AM!$HB$40</f>
        <v/>
      </c>
      <c r="T329" s="17" t="n"/>
      <c r="U329" s="123" t="n"/>
    </row>
    <row r="330" hidden="1" outlineLevel="2">
      <c r="A330" s="8" t="n"/>
      <c r="B330" s="14" t="n"/>
      <c r="C330" s="123" t="n"/>
      <c r="D330" s="134" t="n"/>
      <c r="E330" s="133" t="n"/>
      <c r="F330" s="17" t="n"/>
      <c r="G330" s="132">
        <f>DADOS_AM!$HC$38</f>
        <v/>
      </c>
      <c r="H330" s="17" t="n"/>
      <c r="I330" s="123" t="n"/>
      <c r="J330" s="134" t="n"/>
      <c r="K330" s="133" t="n"/>
      <c r="L330" s="17" t="n"/>
      <c r="M330" s="132">
        <f>DADOS_AM!$HC$39</f>
        <v/>
      </c>
      <c r="N330" s="17" t="n"/>
      <c r="O330" s="123" t="n"/>
      <c r="P330" s="134" t="n"/>
      <c r="Q330" s="133" t="n"/>
      <c r="R330" s="17" t="n"/>
      <c r="S330" s="132">
        <f>DADOS_AM!$HC$40</f>
        <v/>
      </c>
      <c r="T330" s="17" t="n"/>
      <c r="U330" s="123" t="n"/>
    </row>
    <row r="331" hidden="1" outlineLevel="2">
      <c r="A331" s="8" t="n"/>
      <c r="B331" s="14" t="n"/>
      <c r="C331" s="123" t="n"/>
      <c r="D331" s="128" t="n"/>
      <c r="E331" s="133" t="n"/>
      <c r="F331" s="17" t="n"/>
      <c r="G331" s="132">
        <f>DADOS_AM!$HD$38</f>
        <v/>
      </c>
      <c r="H331" s="17" t="n"/>
      <c r="I331" s="123" t="n"/>
      <c r="J331" s="128" t="n"/>
      <c r="K331" s="133" t="n"/>
      <c r="L331" s="17" t="n"/>
      <c r="M331" s="132">
        <f>DADOS_AM!$HD$39</f>
        <v/>
      </c>
      <c r="N331" s="17" t="n"/>
      <c r="O331" s="123" t="n"/>
      <c r="P331" s="128" t="n"/>
      <c r="Q331" s="133" t="n"/>
      <c r="R331" s="17" t="n"/>
      <c r="S331" s="132">
        <f>DADOS_AM!$HD$40</f>
        <v/>
      </c>
      <c r="T331" s="17" t="n"/>
      <c r="U331" s="123" t="n"/>
    </row>
    <row r="332" hidden="1" outlineLevel="2">
      <c r="A332" s="8" t="n"/>
      <c r="B332" s="14" t="n"/>
      <c r="C332" s="123" t="n"/>
      <c r="D332" s="55" t="inlineStr">
        <is>
          <t>RESTRIÇÕES</t>
        </is>
      </c>
      <c r="E332" s="133" t="n"/>
      <c r="F332" s="17" t="n"/>
      <c r="G332" s="132">
        <f>DADOS_AM!$HE$38</f>
        <v/>
      </c>
      <c r="H332" s="17" t="n"/>
      <c r="I332" s="123" t="n"/>
      <c r="J332" s="55" t="inlineStr">
        <is>
          <t>RESTRIÇÕES</t>
        </is>
      </c>
      <c r="K332" s="133" t="n"/>
      <c r="L332" s="17" t="n"/>
      <c r="M332" s="132">
        <f>DADOS_AM!$HE$39</f>
        <v/>
      </c>
      <c r="N332" s="17" t="n"/>
      <c r="O332" s="123" t="n"/>
      <c r="P332" s="55" t="inlineStr">
        <is>
          <t>RESTRIÇÕES</t>
        </is>
      </c>
      <c r="Q332" s="133" t="n"/>
      <c r="R332" s="17" t="n"/>
      <c r="S332" s="132">
        <f>DADOS_AM!$HE$40</f>
        <v/>
      </c>
      <c r="T332" s="17" t="n"/>
      <c r="U332" s="123" t="n"/>
    </row>
    <row r="333" hidden="1" outlineLevel="2">
      <c r="A333" s="8" t="n"/>
      <c r="B333" s="14" t="n"/>
      <c r="C333" s="123" t="n"/>
      <c r="D333" s="128" t="n"/>
      <c r="E333" s="133" t="n"/>
      <c r="F333" s="17" t="n"/>
      <c r="G333" s="132">
        <f>DADOS_AM!$HF$38</f>
        <v/>
      </c>
      <c r="H333" s="17" t="n"/>
      <c r="I333" s="123" t="n"/>
      <c r="J333" s="128" t="n"/>
      <c r="K333" s="133" t="n"/>
      <c r="L333" s="17" t="n"/>
      <c r="M333" s="132">
        <f>DADOS_AM!$HF$39</f>
        <v/>
      </c>
      <c r="N333" s="17" t="n"/>
      <c r="O333" s="123" t="n"/>
      <c r="P333" s="128" t="n"/>
      <c r="Q333" s="133" t="n"/>
      <c r="R333" s="17" t="n"/>
      <c r="S333" s="132">
        <f>DADOS_AM!$HF$40</f>
        <v/>
      </c>
      <c r="T333" s="17" t="n"/>
      <c r="U333" s="123" t="n"/>
    </row>
    <row r="334" hidden="1" outlineLevel="2">
      <c r="A334" s="8" t="n"/>
      <c r="B334" s="14" t="n"/>
      <c r="C334" s="123" t="n"/>
      <c r="D334" s="55" t="inlineStr">
        <is>
          <t>CONTA</t>
        </is>
      </c>
      <c r="E334" s="135">
        <f>DADOS_AM!$GY$38</f>
        <v/>
      </c>
      <c r="F334" s="16" t="n"/>
      <c r="G334" s="16" t="n"/>
      <c r="H334" s="17" t="n"/>
      <c r="I334" s="123" t="n"/>
      <c r="J334" s="55" t="inlineStr">
        <is>
          <t>CONTA</t>
        </is>
      </c>
      <c r="K334" s="135">
        <f>DADOS_AM!$GY$39</f>
        <v/>
      </c>
      <c r="L334" s="16" t="n"/>
      <c r="M334" s="16" t="n"/>
      <c r="N334" s="17" t="n"/>
      <c r="O334" s="123" t="n"/>
      <c r="P334" s="55" t="inlineStr">
        <is>
          <t>CONTA</t>
        </is>
      </c>
      <c r="Q334" s="135">
        <f>DADOS_AM!$GY$40</f>
        <v/>
      </c>
      <c r="R334" s="16" t="n"/>
      <c r="S334" s="16" t="n"/>
      <c r="T334" s="17" t="n"/>
      <c r="U334" s="123" t="n"/>
    </row>
    <row r="335" hidden="1" outlineLevel="2">
      <c r="A335" s="8" t="n"/>
      <c r="B335" s="14" t="n"/>
      <c r="C335" s="123" t="n"/>
      <c r="D335" s="55" t="inlineStr">
        <is>
          <t>AMPLIAR</t>
        </is>
      </c>
      <c r="E335" s="135">
        <f>DADOS_AM!$GZ$38</f>
        <v/>
      </c>
      <c r="F335" s="19" t="n"/>
      <c r="G335" s="19" t="n"/>
      <c r="H335" s="20" t="n"/>
      <c r="I335" s="123" t="n"/>
      <c r="J335" s="55" t="inlineStr">
        <is>
          <t>AMPLIAR</t>
        </is>
      </c>
      <c r="K335" s="135">
        <f>DADOS_AM!$GZ$39</f>
        <v/>
      </c>
      <c r="L335" s="19" t="n"/>
      <c r="M335" s="19" t="n"/>
      <c r="N335" s="20" t="n"/>
      <c r="O335" s="123" t="n"/>
      <c r="P335" s="55" t="inlineStr">
        <is>
          <t>AMPLIAR</t>
        </is>
      </c>
      <c r="Q335" s="135">
        <f>DADOS_AM!$GZ$40</f>
        <v/>
      </c>
      <c r="R335" s="19" t="n"/>
      <c r="S335" s="19" t="n"/>
      <c r="T335" s="20" t="n"/>
      <c r="U335" s="123" t="n"/>
    </row>
    <row r="336" hidden="1" outlineLevel="2">
      <c r="A336" s="8" t="n"/>
      <c r="B336" s="14" t="n"/>
      <c r="C336" s="123" t="n"/>
      <c r="D336" s="128" t="n"/>
      <c r="E336" s="23" t="n"/>
      <c r="F336" s="24" t="n"/>
      <c r="G336" s="24" t="n"/>
      <c r="H336" s="25" t="n"/>
      <c r="I336" s="123" t="n"/>
      <c r="J336" s="128" t="n"/>
      <c r="K336" s="23" t="n"/>
      <c r="L336" s="24" t="n"/>
      <c r="M336" s="24" t="n"/>
      <c r="N336" s="25" t="n"/>
      <c r="O336" s="123" t="n"/>
      <c r="P336" s="128" t="n"/>
      <c r="Q336" s="23" t="n"/>
      <c r="R336" s="24" t="n"/>
      <c r="S336" s="24" t="n"/>
      <c r="T336" s="25" t="n"/>
      <c r="U336" s="123" t="n"/>
    </row>
    <row r="337" hidden="1" outlineLevel="2">
      <c r="A337" s="8" t="n"/>
      <c r="B337" s="14" t="n"/>
      <c r="C337" s="123" t="n"/>
      <c r="D337" s="55" t="inlineStr">
        <is>
          <t>AVISOS</t>
        </is>
      </c>
      <c r="E337" s="135">
        <f>DADOS_AM!$GO$38</f>
        <v/>
      </c>
      <c r="F337" s="19" t="n"/>
      <c r="G337" s="19" t="n"/>
      <c r="H337" s="20" t="n"/>
      <c r="I337" s="123" t="n"/>
      <c r="J337" s="55" t="inlineStr">
        <is>
          <t>AVISOS</t>
        </is>
      </c>
      <c r="K337" s="135">
        <f>DADOS_AM!$GO$39</f>
        <v/>
      </c>
      <c r="L337" s="19" t="n"/>
      <c r="M337" s="19" t="n"/>
      <c r="N337" s="20" t="n"/>
      <c r="O337" s="123" t="n"/>
      <c r="P337" s="55" t="inlineStr">
        <is>
          <t>AVISOS</t>
        </is>
      </c>
      <c r="Q337" s="135">
        <f>DADOS_AM!$GO$40</f>
        <v/>
      </c>
      <c r="R337" s="19" t="n"/>
      <c r="S337" s="19" t="n"/>
      <c r="T337" s="20" t="n"/>
      <c r="U337" s="123" t="n"/>
    </row>
    <row r="338" hidden="1" outlineLevel="2">
      <c r="A338" s="8" t="n"/>
      <c r="B338" s="14" t="n"/>
      <c r="C338" s="123" t="n"/>
      <c r="D338" s="128" t="n"/>
      <c r="E338" s="23" t="n"/>
      <c r="F338" s="24" t="n"/>
      <c r="G338" s="24" t="n"/>
      <c r="H338" s="25" t="n"/>
      <c r="I338" s="123" t="n"/>
      <c r="J338" s="128" t="n"/>
      <c r="K338" s="23" t="n"/>
      <c r="L338" s="24" t="n"/>
      <c r="M338" s="24" t="n"/>
      <c r="N338" s="25" t="n"/>
      <c r="O338" s="123" t="n"/>
      <c r="P338" s="128" t="n"/>
      <c r="Q338" s="23" t="n"/>
      <c r="R338" s="24" t="n"/>
      <c r="S338" s="24" t="n"/>
      <c r="T338" s="25" t="n"/>
      <c r="U338" s="123" t="n"/>
    </row>
    <row r="339">
      <c r="A339" s="8" t="n"/>
      <c r="B339" s="14" t="n"/>
      <c r="C339" s="123" t="n"/>
      <c r="D339" s="123" t="n"/>
      <c r="E339" s="123" t="n"/>
      <c r="F339" s="123" t="n"/>
      <c r="G339" s="123" t="n"/>
      <c r="H339" s="123" t="n"/>
      <c r="I339" s="123" t="n"/>
      <c r="J339" s="123" t="n"/>
      <c r="K339" s="123" t="n"/>
      <c r="L339" s="123" t="n"/>
      <c r="M339" s="123" t="n"/>
      <c r="N339" s="123" t="n"/>
      <c r="O339" s="123" t="n"/>
      <c r="P339" s="123" t="n"/>
      <c r="Q339" s="123" t="n"/>
      <c r="R339" s="123" t="n"/>
      <c r="S339" s="123" t="n"/>
      <c r="T339" s="123" t="n"/>
      <c r="U339" s="123" t="n"/>
    </row>
    <row r="340">
      <c r="A340" s="8" t="n"/>
      <c r="B340" s="14" t="n"/>
      <c r="C340" s="123" t="n"/>
      <c r="D340" s="126">
        <f>DADOS_AM!$KT$37</f>
        <v/>
      </c>
      <c r="E340" s="19" t="n"/>
      <c r="F340" s="19" t="n"/>
      <c r="G340" s="19" t="n"/>
      <c r="H340" s="19" t="n"/>
      <c r="I340" s="19" t="n"/>
      <c r="J340" s="19" t="n"/>
      <c r="K340" s="19" t="n"/>
      <c r="L340" s="19" t="n"/>
      <c r="M340" s="19" t="n"/>
      <c r="N340" s="19" t="n"/>
      <c r="O340" s="19" t="n"/>
      <c r="P340" s="19" t="n"/>
      <c r="Q340" s="19" t="n"/>
      <c r="R340" s="19" t="n"/>
      <c r="S340" s="19" t="n"/>
      <c r="T340" s="20" t="n"/>
      <c r="U340" s="123" t="n"/>
    </row>
    <row r="341">
      <c r="A341" s="8" t="n"/>
      <c r="B341" s="14" t="n"/>
      <c r="C341" s="123" t="n"/>
      <c r="D341" s="23" t="n"/>
      <c r="E341" s="24" t="n"/>
      <c r="F341" s="24" t="n"/>
      <c r="G341" s="24" t="n"/>
      <c r="H341" s="24" t="n"/>
      <c r="I341" s="24" t="n"/>
      <c r="J341" s="24" t="n"/>
      <c r="K341" s="24" t="n"/>
      <c r="L341" s="24" t="n"/>
      <c r="M341" s="24" t="n"/>
      <c r="N341" s="24" t="n"/>
      <c r="O341" s="24" t="n"/>
      <c r="P341" s="24" t="n"/>
      <c r="Q341" s="24" t="n"/>
      <c r="R341" s="24" t="n"/>
      <c r="S341" s="24" t="n"/>
      <c r="T341" s="25" t="n"/>
      <c r="U341" s="123" t="n"/>
    </row>
    <row r="342" hidden="1" outlineLevel="1">
      <c r="A342" s="8" t="n"/>
      <c r="B342" s="14" t="n"/>
      <c r="C342" s="123" t="n"/>
      <c r="D342" s="55" t="inlineStr">
        <is>
          <t>NOME</t>
        </is>
      </c>
      <c r="E342" s="16" t="n"/>
      <c r="F342" s="16" t="n"/>
      <c r="G342" s="16" t="n"/>
      <c r="H342" s="17" t="n"/>
      <c r="I342" s="123" t="n"/>
      <c r="J342" s="55" t="inlineStr">
        <is>
          <t>FORMA</t>
        </is>
      </c>
      <c r="K342" s="17" t="n"/>
      <c r="L342" s="55" t="inlineStr">
        <is>
          <t>DANO</t>
        </is>
      </c>
      <c r="M342" s="16" t="n"/>
      <c r="N342" s="17" t="n"/>
      <c r="O342" s="123" t="n"/>
      <c r="P342" s="55" t="inlineStr">
        <is>
          <t>PE</t>
        </is>
      </c>
      <c r="Q342" s="17" t="n"/>
      <c r="R342" s="55" t="inlineStr">
        <is>
          <t>MONTAGEM</t>
        </is>
      </c>
      <c r="S342" s="16" t="n"/>
      <c r="T342" s="17" t="n"/>
      <c r="U342" s="123" t="n"/>
    </row>
    <row r="343" hidden="1" outlineLevel="1">
      <c r="A343" s="8" t="n"/>
      <c r="B343" s="14" t="n"/>
      <c r="C343" s="123" t="n"/>
      <c r="D343" s="85" t="n"/>
      <c r="E343" s="19" t="n"/>
      <c r="F343" s="19" t="n"/>
      <c r="G343" s="19" t="n"/>
      <c r="H343" s="20" t="n"/>
      <c r="I343" s="123" t="n"/>
      <c r="J343" s="127" t="inlineStr">
        <is>
          <t>Projétil</t>
        </is>
      </c>
      <c r="K343" s="20" t="n"/>
      <c r="L343" s="96">
        <f>DADOS_AM!$KT$38</f>
        <v/>
      </c>
      <c r="M343" s="19" t="n"/>
      <c r="N343" s="20" t="n"/>
      <c r="O343" s="123" t="n"/>
      <c r="P343" s="96">
        <f>DADOS_AM!$KT$39</f>
        <v/>
      </c>
      <c r="Q343" s="20" t="n"/>
      <c r="R343" s="96">
        <f>DADOS_AM!$KT$40</f>
        <v/>
      </c>
      <c r="S343" s="19" t="n"/>
      <c r="T343" s="20" t="n"/>
      <c r="U343" s="123" t="n"/>
    </row>
    <row r="344" hidden="1" outlineLevel="1">
      <c r="A344" s="8" t="n"/>
      <c r="B344" s="14" t="n"/>
      <c r="C344" s="123" t="n"/>
      <c r="D344" s="23" t="n"/>
      <c r="E344" s="24" t="n"/>
      <c r="F344" s="24" t="n"/>
      <c r="G344" s="24" t="n"/>
      <c r="H344" s="25" t="n"/>
      <c r="I344" s="123" t="n"/>
      <c r="J344" s="23" t="n"/>
      <c r="K344" s="25" t="n"/>
      <c r="L344" s="23" t="n"/>
      <c r="M344" s="24" t="n"/>
      <c r="N344" s="25" t="n"/>
      <c r="O344" s="123" t="n"/>
      <c r="P344" s="23" t="n"/>
      <c r="Q344" s="25" t="n"/>
      <c r="R344" s="23" t="n"/>
      <c r="S344" s="24" t="n"/>
      <c r="T344" s="25" t="n"/>
      <c r="U344" s="123" t="n"/>
    </row>
    <row r="345" hidden="1" outlineLevel="1">
      <c r="A345" s="8" t="n"/>
      <c r="B345" s="14" t="n"/>
      <c r="C345" s="123" t="n"/>
      <c r="D345" s="123" t="n"/>
      <c r="E345" s="123" t="n"/>
      <c r="F345" s="123" t="n"/>
      <c r="G345" s="123" t="n"/>
      <c r="H345" s="123" t="n"/>
      <c r="I345" s="123" t="n"/>
      <c r="J345" s="123" t="n"/>
      <c r="K345" s="123" t="n"/>
      <c r="L345" s="123" t="n"/>
      <c r="M345" s="123" t="n"/>
      <c r="N345" s="123" t="n"/>
      <c r="O345" s="123" t="n"/>
      <c r="P345" s="123" t="n"/>
      <c r="Q345" s="123" t="n"/>
      <c r="R345" s="123" t="n"/>
      <c r="S345" s="123" t="n"/>
      <c r="T345" s="123" t="n"/>
      <c r="U345" s="123" t="n"/>
    </row>
    <row r="346" hidden="1" outlineLevel="1">
      <c r="A346" s="8" t="n"/>
      <c r="B346" s="14" t="n"/>
      <c r="C346" s="123" t="n"/>
      <c r="D346" s="55" t="inlineStr">
        <is>
          <t>MELHORIAS · NOS PREÇOS DA MAIOR CLASSE</t>
        </is>
      </c>
      <c r="E346" s="16" t="n"/>
      <c r="F346" s="16" t="n"/>
      <c r="G346" s="16" t="n"/>
      <c r="H346" s="17" t="n"/>
      <c r="I346" s="123" t="n"/>
      <c r="J346" s="133" t="n"/>
      <c r="K346" s="17" t="n"/>
      <c r="L346" s="133" t="n"/>
      <c r="M346" s="16" t="n"/>
      <c r="N346" s="17" t="n"/>
      <c r="O346" s="123" t="n"/>
      <c r="P346" s="133" t="n"/>
      <c r="Q346" s="17" t="n"/>
      <c r="R346" s="133" t="n"/>
      <c r="S346" s="16" t="n"/>
      <c r="T346" s="17" t="n"/>
      <c r="U346" s="123" t="n"/>
    </row>
    <row r="347" hidden="1" outlineLevel="1">
      <c r="A347" s="8" t="n"/>
      <c r="B347" s="14" t="n"/>
      <c r="C347" s="123" t="n"/>
      <c r="D347" s="123" t="n"/>
      <c r="E347" s="123" t="n"/>
      <c r="F347" s="123" t="n"/>
      <c r="G347" s="123" t="n"/>
      <c r="H347" s="123" t="n"/>
      <c r="I347" s="123" t="n"/>
      <c r="J347" s="123" t="n"/>
      <c r="K347" s="123" t="n"/>
      <c r="L347" s="123" t="n"/>
      <c r="M347" s="123" t="n"/>
      <c r="N347" s="123" t="n"/>
      <c r="O347" s="123" t="n"/>
      <c r="P347" s="123" t="n"/>
      <c r="Q347" s="123" t="n"/>
      <c r="R347" s="123" t="n"/>
      <c r="S347" s="123" t="n"/>
      <c r="T347" s="123" t="n"/>
      <c r="U347" s="123" t="n"/>
    </row>
    <row r="348" hidden="1" outlineLevel="1">
      <c r="A348" s="8" t="n"/>
      <c r="B348" s="14" t="n"/>
      <c r="C348" s="123" t="n"/>
      <c r="D348" s="55"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23" t="n"/>
    </row>
    <row r="349" hidden="1" outlineLevel="1">
      <c r="A349" s="8" t="n"/>
      <c r="B349" s="14" t="n"/>
      <c r="C349" s="123" t="n"/>
      <c r="D349" s="119" t="n"/>
      <c r="E349" s="19" t="n"/>
      <c r="F349" s="19" t="n"/>
      <c r="G349" s="19" t="n"/>
      <c r="H349" s="19" t="n"/>
      <c r="I349" s="19" t="n"/>
      <c r="J349" s="19" t="n"/>
      <c r="K349" s="19" t="n"/>
      <c r="L349" s="19" t="n"/>
      <c r="M349" s="19" t="n"/>
      <c r="N349" s="19" t="n"/>
      <c r="O349" s="19" t="n"/>
      <c r="P349" s="19" t="n"/>
      <c r="Q349" s="19" t="n"/>
      <c r="R349" s="19" t="n"/>
      <c r="S349" s="19" t="n"/>
      <c r="T349" s="20" t="n"/>
      <c r="U349" s="123" t="n"/>
    </row>
    <row r="350" hidden="1" outlineLevel="1">
      <c r="A350" s="8" t="n"/>
      <c r="B350" s="14" t="n"/>
      <c r="C350" s="123" t="n"/>
      <c r="D350" s="21" t="n"/>
      <c r="T350" s="22" t="n"/>
      <c r="U350" s="123" t="n"/>
    </row>
    <row r="351" hidden="1" outlineLevel="1">
      <c r="A351" s="8" t="n"/>
      <c r="B351" s="14" t="n"/>
      <c r="C351" s="123" t="n"/>
      <c r="D351" s="21" t="n"/>
      <c r="T351" s="22" t="n"/>
      <c r="U351" s="123" t="n"/>
    </row>
    <row r="352" hidden="1" outlineLevel="1">
      <c r="A352" s="8" t="n"/>
      <c r="B352" s="14" t="n"/>
      <c r="C352" s="123" t="n"/>
      <c r="D352" s="23" t="n"/>
      <c r="E352" s="24" t="n"/>
      <c r="F352" s="24" t="n"/>
      <c r="G352" s="24" t="n"/>
      <c r="H352" s="24" t="n"/>
      <c r="I352" s="24" t="n"/>
      <c r="J352" s="24" t="n"/>
      <c r="K352" s="24" t="n"/>
      <c r="L352" s="24" t="n"/>
      <c r="M352" s="24" t="n"/>
      <c r="N352" s="24" t="n"/>
      <c r="O352" s="24" t="n"/>
      <c r="P352" s="24" t="n"/>
      <c r="Q352" s="24" t="n"/>
      <c r="R352" s="24" t="n"/>
      <c r="S352" s="24" t="n"/>
      <c r="T352" s="25" t="n"/>
      <c r="U352" s="123" t="n"/>
    </row>
    <row r="353">
      <c r="A353" s="8" t="n"/>
      <c r="B353" s="14" t="n"/>
      <c r="C353" s="123" t="n"/>
      <c r="D353" s="123" t="n"/>
      <c r="E353" s="123" t="n"/>
      <c r="F353" s="123" t="n"/>
      <c r="G353" s="123" t="n"/>
      <c r="H353" s="123" t="n"/>
      <c r="I353" s="123" t="n"/>
      <c r="J353" s="123" t="n"/>
      <c r="K353" s="123" t="n"/>
      <c r="L353" s="123" t="n"/>
      <c r="M353" s="123" t="n"/>
      <c r="N353" s="123" t="n"/>
      <c r="O353" s="123" t="n"/>
      <c r="P353" s="123" t="n"/>
      <c r="Q353" s="123" t="n"/>
      <c r="R353" s="123" t="n"/>
      <c r="S353" s="123" t="n"/>
      <c r="T353" s="123" t="n"/>
      <c r="U353" s="123" t="n"/>
    </row>
    <row r="354">
      <c r="A354" s="8" t="n"/>
      <c r="B354" s="14" t="n"/>
      <c r="C354" s="123" t="n"/>
      <c r="D354" s="126">
        <f>DADOS_AM!$KT$41</f>
        <v/>
      </c>
      <c r="E354" s="19" t="n"/>
      <c r="F354" s="19" t="n"/>
      <c r="G354" s="19" t="n"/>
      <c r="H354" s="19" t="n"/>
      <c r="I354" s="19" t="n"/>
      <c r="J354" s="19" t="n"/>
      <c r="K354" s="19" t="n"/>
      <c r="L354" s="19" t="n"/>
      <c r="M354" s="19" t="n"/>
      <c r="N354" s="19" t="n"/>
      <c r="O354" s="19" t="n"/>
      <c r="P354" s="19" t="n"/>
      <c r="Q354" s="19" t="n"/>
      <c r="R354" s="19" t="n"/>
      <c r="S354" s="19" t="n"/>
      <c r="T354" s="20" t="n"/>
      <c r="U354" s="123" t="n"/>
    </row>
    <row r="355">
      <c r="A355" s="8" t="n"/>
      <c r="B355" s="14" t="n"/>
      <c r="C355" s="123" t="n"/>
      <c r="D355" s="23" t="n"/>
      <c r="E355" s="24" t="n"/>
      <c r="F355" s="24" t="n"/>
      <c r="G355" s="24" t="n"/>
      <c r="H355" s="24" t="n"/>
      <c r="I355" s="24" t="n"/>
      <c r="J355" s="24" t="n"/>
      <c r="K355" s="24" t="n"/>
      <c r="L355" s="24" t="n"/>
      <c r="M355" s="24" t="n"/>
      <c r="N355" s="24" t="n"/>
      <c r="O355" s="24" t="n"/>
      <c r="P355" s="24" t="n"/>
      <c r="Q355" s="24" t="n"/>
      <c r="R355" s="24" t="n"/>
      <c r="S355" s="24" t="n"/>
      <c r="T355" s="25" t="n"/>
      <c r="U355" s="123" t="n"/>
    </row>
    <row r="356" hidden="1" outlineLevel="1">
      <c r="A356" s="8" t="n"/>
      <c r="B356" s="14" t="n"/>
      <c r="C356" s="123" t="n"/>
      <c r="D356" s="55" t="inlineStr">
        <is>
          <t>DEGRAU</t>
        </is>
      </c>
      <c r="E356" s="17" t="n"/>
      <c r="F356" s="55" t="inlineStr">
        <is>
          <t>CUSTA</t>
        </is>
      </c>
      <c r="G356" s="16" t="n"/>
      <c r="H356" s="17" t="n"/>
      <c r="I356" s="123" t="n"/>
      <c r="J356" s="55" t="inlineStr">
        <is>
          <t>REQUISITO</t>
        </is>
      </c>
      <c r="K356" s="16" t="n"/>
      <c r="L356" s="16" t="n"/>
      <c r="M356" s="16" t="n"/>
      <c r="N356" s="17" t="n"/>
      <c r="O356" s="123" t="n"/>
      <c r="P356" s="55" t="inlineStr">
        <is>
          <t>REFINO</t>
        </is>
      </c>
      <c r="Q356" s="17" t="n"/>
      <c r="R356" s="55" t="inlineStr">
        <is>
          <t>NA CORRIDA</t>
        </is>
      </c>
      <c r="S356" s="16" t="n"/>
      <c r="T356" s="17" t="n"/>
      <c r="U356" s="123" t="n"/>
    </row>
    <row r="357" hidden="1" outlineLevel="1">
      <c r="A357" s="8" t="n"/>
      <c r="B357" s="14" t="n"/>
      <c r="C357" s="123" t="n"/>
      <c r="D357" s="127" t="n"/>
      <c r="E357" s="20" t="n"/>
      <c r="F357" s="127">
        <f>DADOS_AM!$KT$42</f>
        <v/>
      </c>
      <c r="G357" s="19" t="n"/>
      <c r="H357" s="20" t="n"/>
      <c r="I357" s="123" t="n"/>
      <c r="J357" s="127">
        <f>DADOS_AM!$KT$43</f>
        <v/>
      </c>
      <c r="K357" s="19" t="n"/>
      <c r="L357" s="19" t="n"/>
      <c r="M357" s="19" t="n"/>
      <c r="N357" s="20" t="n"/>
      <c r="O357" s="123" t="n"/>
      <c r="P357" s="96">
        <f>DADOS_AM!$KT$44</f>
        <v/>
      </c>
      <c r="Q357" s="20" t="n"/>
      <c r="R357" s="127">
        <f>DADOS_AM!$KT$45</f>
        <v/>
      </c>
      <c r="S357" s="19" t="n"/>
      <c r="T357" s="20" t="n"/>
      <c r="U357" s="123" t="n"/>
    </row>
    <row r="358" hidden="1" outlineLevel="1">
      <c r="A358" s="8" t="n"/>
      <c r="B358" s="14" t="n"/>
      <c r="C358" s="123" t="n"/>
      <c r="D358" s="23" t="n"/>
      <c r="E358" s="25" t="n"/>
      <c r="F358" s="23" t="n"/>
      <c r="G358" s="24" t="n"/>
      <c r="H358" s="25" t="n"/>
      <c r="I358" s="123" t="n"/>
      <c r="J358" s="23" t="n"/>
      <c r="K358" s="24" t="n"/>
      <c r="L358" s="24" t="n"/>
      <c r="M358" s="24" t="n"/>
      <c r="N358" s="25" t="n"/>
      <c r="O358" s="123" t="n"/>
      <c r="P358" s="23" t="n"/>
      <c r="Q358" s="25" t="n"/>
      <c r="R358" s="23" t="n"/>
      <c r="S358" s="24" t="n"/>
      <c r="T358" s="25" t="n"/>
      <c r="U358" s="123" t="n"/>
    </row>
    <row r="359" hidden="1" outlineLevel="1">
      <c r="A359" s="8" t="n"/>
      <c r="B359" s="14" t="n"/>
      <c r="C359" s="123" t="n"/>
      <c r="D359" s="123" t="n"/>
      <c r="E359" s="123" t="n"/>
      <c r="F359" s="123" t="n"/>
      <c r="G359" s="123" t="n"/>
      <c r="H359" s="123" t="n"/>
      <c r="I359" s="123" t="n"/>
      <c r="J359" s="123" t="n"/>
      <c r="K359" s="123" t="n"/>
      <c r="L359" s="123" t="n"/>
      <c r="M359" s="123" t="n"/>
      <c r="N359" s="123" t="n"/>
      <c r="O359" s="123" t="n"/>
      <c r="P359" s="123" t="n"/>
      <c r="Q359" s="123" t="n"/>
      <c r="R359" s="123" t="n"/>
      <c r="S359" s="123" t="n"/>
      <c r="T359" s="123" t="n"/>
      <c r="U359" s="123" t="n"/>
    </row>
    <row r="360" hidden="1" outlineLevel="1">
      <c r="A360" s="8" t="n"/>
      <c r="B360" s="14" t="n"/>
      <c r="C360" s="123" t="n"/>
      <c r="D360" s="55" t="inlineStr">
        <is>
          <t>AO ABRIR</t>
        </is>
      </c>
      <c r="E360" s="17" t="n"/>
      <c r="F360" s="55" t="inlineStr">
        <is>
          <t>PE</t>
        </is>
      </c>
      <c r="G360" s="55" t="inlineStr">
        <is>
          <t>DURA</t>
        </is>
      </c>
      <c r="H360" s="17" t="n"/>
      <c r="I360" s="123" t="n"/>
      <c r="J360" s="55" t="inlineStr">
        <is>
          <t>RAIO</t>
        </is>
      </c>
      <c r="K360" s="55" t="inlineStr">
        <is>
          <t>FEITIÇO LÁ DENTRO</t>
        </is>
      </c>
      <c r="L360" s="55" t="inlineStr">
        <is>
          <t>BARREIRA</t>
        </is>
      </c>
      <c r="M360" s="55" t="inlineStr">
        <is>
          <t>O ACERTO</t>
        </is>
      </c>
      <c r="N360" s="17" t="n"/>
      <c r="O360" s="123" t="n"/>
      <c r="P360" s="55" t="inlineStr">
        <is>
          <t>NOME DO DOMÍNIO</t>
        </is>
      </c>
      <c r="Q360" s="16" t="n"/>
      <c r="R360" s="16" t="n"/>
      <c r="S360" s="16" t="n"/>
      <c r="T360" s="17" t="n"/>
      <c r="U360" s="123" t="n"/>
    </row>
    <row r="361" hidden="1" outlineLevel="1">
      <c r="A361" s="8" t="n"/>
      <c r="B361" s="14" t="n"/>
      <c r="C361" s="123" t="n"/>
      <c r="D361" s="133">
        <f>DADOS_AM!$KT$46</f>
        <v/>
      </c>
      <c r="E361" s="17" t="n"/>
      <c r="F361" s="127">
        <f>DADOS_AM!$KT$47</f>
        <v/>
      </c>
      <c r="G361" s="127">
        <f>DADOS_AM!$KT$48</f>
        <v/>
      </c>
      <c r="H361" s="17" t="n"/>
      <c r="I361" s="123" t="n"/>
      <c r="J361" s="127">
        <f>DADOS_AM!$KT$49</f>
        <v/>
      </c>
      <c r="K361" s="127">
        <f>DADOS_AM!$KT$50</f>
        <v/>
      </c>
      <c r="L361" s="127" t="inlineStr">
        <is>
          <t>Não fecha</t>
        </is>
      </c>
      <c r="M361" s="127" t="inlineStr">
        <is>
          <t>Rola</t>
        </is>
      </c>
      <c r="N361" s="17" t="n"/>
      <c r="O361" s="123" t="n"/>
      <c r="P361" s="85" t="n"/>
      <c r="Q361" s="19" t="n"/>
      <c r="R361" s="19" t="n"/>
      <c r="S361" s="19" t="n"/>
      <c r="T361" s="20" t="n"/>
      <c r="U361" s="123" t="n"/>
    </row>
    <row r="362" hidden="1" outlineLevel="1">
      <c r="A362" s="8" t="n"/>
      <c r="B362" s="14" t="n"/>
      <c r="C362" s="123" t="n"/>
      <c r="D362" s="133">
        <f>DADOS_AM!$KT$51</f>
        <v/>
      </c>
      <c r="E362" s="17" t="n"/>
      <c r="F362" s="127">
        <f>DADOS_AM!$KT$52</f>
        <v/>
      </c>
      <c r="G362" s="127">
        <f>DADOS_AM!$KT$53</f>
        <v/>
      </c>
      <c r="H362" s="17" t="n"/>
      <c r="I362" s="123" t="n"/>
      <c r="J362" s="127">
        <f>DADOS_AM!$KT$54</f>
        <v/>
      </c>
      <c r="K362" s="127">
        <f>DADOS_AM!$KT$55</f>
        <v/>
      </c>
      <c r="L362" s="127">
        <f>DADOS_AM!$KT$56</f>
        <v/>
      </c>
      <c r="M362" s="127" t="inlineStr">
        <is>
          <t>Acontece</t>
        </is>
      </c>
      <c r="N362" s="17" t="n"/>
      <c r="O362" s="123" t="n"/>
      <c r="P362" s="21" t="n"/>
      <c r="T362" s="22" t="n"/>
      <c r="U362" s="123" t="n"/>
    </row>
    <row r="363" hidden="1" outlineLevel="1">
      <c r="A363" s="8" t="n"/>
      <c r="B363" s="14" t="n"/>
      <c r="C363" s="123" t="n"/>
      <c r="D363" s="133">
        <f>DADOS_AM!$KT$57</f>
        <v/>
      </c>
      <c r="E363" s="17" t="n"/>
      <c r="F363" s="127">
        <f>DADOS_AM!$KT$58</f>
        <v/>
      </c>
      <c r="G363" s="127">
        <f>DADOS_AM!$KT$59</f>
        <v/>
      </c>
      <c r="H363" s="17" t="n"/>
      <c r="I363" s="123" t="n"/>
      <c r="J363" s="127" t="inlineStr">
        <is>
          <t>199,5 m</t>
        </is>
      </c>
      <c r="K363" s="127">
        <f>DADOS_AM!$KT$60</f>
        <v/>
      </c>
      <c r="L363" s="127" t="inlineStr">
        <is>
          <t>Não tem</t>
        </is>
      </c>
      <c r="M363" s="127" t="inlineStr">
        <is>
          <t>Acontece</t>
        </is>
      </c>
      <c r="N363" s="17" t="n"/>
      <c r="O363" s="123" t="n"/>
      <c r="P363" s="23" t="n"/>
      <c r="Q363" s="24" t="n"/>
      <c r="R363" s="24" t="n"/>
      <c r="S363" s="24" t="n"/>
      <c r="T363" s="25" t="n"/>
      <c r="U363" s="123" t="n"/>
    </row>
    <row r="364" hidden="1" outlineLevel="1">
      <c r="A364" s="8" t="n"/>
      <c r="B364" s="14" t="n"/>
      <c r="C364" s="123" t="n"/>
      <c r="D364" s="123" t="n"/>
      <c r="E364" s="123" t="n"/>
      <c r="F364" s="123" t="n"/>
      <c r="G364" s="123" t="n"/>
      <c r="H364" s="123" t="n"/>
      <c r="I364" s="123" t="n"/>
      <c r="J364" s="123" t="n"/>
      <c r="K364" s="123" t="n"/>
      <c r="L364" s="123" t="n"/>
      <c r="M364" s="123" t="n"/>
      <c r="N364" s="123" t="n"/>
      <c r="O364" s="123" t="n"/>
      <c r="P364" s="123" t="n"/>
      <c r="Q364" s="123" t="n"/>
      <c r="R364" s="123" t="n"/>
      <c r="S364" s="123" t="n"/>
      <c r="T364" s="123" t="n"/>
      <c r="U364" s="123" t="n"/>
    </row>
    <row r="365" hidden="1" outlineLevel="1">
      <c r="A365" s="8" t="n"/>
      <c r="B365" s="14" t="n"/>
      <c r="C365" s="123" t="n"/>
      <c r="D365" s="55" t="inlineStr">
        <is>
          <t>ACERTO</t>
        </is>
      </c>
      <c r="E365" s="16" t="n"/>
      <c r="F365" s="16" t="n"/>
      <c r="G365" s="16" t="n"/>
      <c r="H365" s="16" t="n"/>
      <c r="I365" s="16" t="n"/>
      <c r="J365" s="16" t="n"/>
      <c r="K365" s="17" t="n"/>
      <c r="L365" s="55" t="inlineStr">
        <is>
          <t>EFEITO</t>
        </is>
      </c>
      <c r="M365" s="16" t="n"/>
      <c r="N365" s="16" t="n"/>
      <c r="O365" s="16" t="n"/>
      <c r="P365" s="16" t="n"/>
      <c r="Q365" s="16" t="n"/>
      <c r="R365" s="16" t="n"/>
      <c r="S365" s="16" t="n"/>
      <c r="T365" s="17" t="n"/>
      <c r="U365" s="123" t="n"/>
    </row>
    <row r="366" hidden="1" outlineLevel="1">
      <c r="A366" s="8" t="n"/>
      <c r="B366" s="14" t="n"/>
      <c r="C366" s="123" t="n"/>
      <c r="D366" s="119" t="n"/>
      <c r="E366" s="19" t="n"/>
      <c r="F366" s="19" t="n"/>
      <c r="G366" s="19" t="n"/>
      <c r="H366" s="19" t="n"/>
      <c r="I366" s="19" t="n"/>
      <c r="J366" s="19" t="n"/>
      <c r="K366" s="20" t="n"/>
      <c r="L366" s="119" t="n"/>
      <c r="M366" s="19" t="n"/>
      <c r="N366" s="19" t="n"/>
      <c r="O366" s="19" t="n"/>
      <c r="P366" s="19" t="n"/>
      <c r="Q366" s="19" t="n"/>
      <c r="R366" s="19" t="n"/>
      <c r="S366" s="19" t="n"/>
      <c r="T366" s="20" t="n"/>
      <c r="U366" s="123" t="n"/>
    </row>
    <row r="367" hidden="1" outlineLevel="1">
      <c r="A367" s="8" t="n"/>
      <c r="B367" s="14" t="n"/>
      <c r="C367" s="123" t="n"/>
      <c r="D367" s="21" t="n"/>
      <c r="K367" s="22" t="n"/>
      <c r="L367" s="21" t="n"/>
      <c r="T367" s="22" t="n"/>
      <c r="U367" s="123" t="n"/>
    </row>
    <row r="368" hidden="1" outlineLevel="1">
      <c r="A368" s="8" t="n"/>
      <c r="B368" s="14" t="n"/>
      <c r="C368" s="123" t="n"/>
      <c r="D368" s="23" t="n"/>
      <c r="E368" s="24" t="n"/>
      <c r="F368" s="24" t="n"/>
      <c r="G368" s="24" t="n"/>
      <c r="H368" s="24" t="n"/>
      <c r="I368" s="24" t="n"/>
      <c r="J368" s="24" t="n"/>
      <c r="K368" s="25" t="n"/>
      <c r="L368" s="23" t="n"/>
      <c r="M368" s="24" t="n"/>
      <c r="N368" s="24" t="n"/>
      <c r="O368" s="24" t="n"/>
      <c r="P368" s="24" t="n"/>
      <c r="Q368" s="24" t="n"/>
      <c r="R368" s="24" t="n"/>
      <c r="S368" s="24" t="n"/>
      <c r="T368" s="25" t="n"/>
      <c r="U368" s="123" t="n"/>
    </row>
    <row r="369" hidden="1" outlineLevel="1">
      <c r="A369" s="8" t="n"/>
      <c r="B369" s="14" t="n"/>
      <c r="C369" s="123" t="n"/>
      <c r="D369" s="123" t="n"/>
      <c r="E369" s="123" t="n"/>
      <c r="F369" s="123" t="n"/>
      <c r="G369" s="123" t="n"/>
      <c r="H369" s="123" t="n"/>
      <c r="I369" s="123" t="n"/>
      <c r="J369" s="123" t="n"/>
      <c r="K369" s="123" t="n"/>
      <c r="L369" s="123" t="n"/>
      <c r="M369" s="123" t="n"/>
      <c r="N369" s="123" t="n"/>
      <c r="O369" s="123" t="n"/>
      <c r="P369" s="123" t="n"/>
      <c r="Q369" s="123" t="n"/>
      <c r="R369" s="123" t="n"/>
      <c r="S369" s="123" t="n"/>
      <c r="T369" s="123" t="n"/>
      <c r="U369" s="123" t="n"/>
    </row>
    <row r="370" hidden="1" outlineLevel="1">
      <c r="A370" s="8" t="n"/>
      <c r="B370" s="14" t="n"/>
      <c r="C370" s="123" t="n"/>
      <c r="D370" s="55"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23" t="n"/>
    </row>
    <row r="371" hidden="1" outlineLevel="1">
      <c r="A371" s="8" t="n"/>
      <c r="B371" s="14" t="n"/>
      <c r="C371" s="123" t="n"/>
      <c r="D371" s="119" t="n"/>
      <c r="E371" s="19" t="n"/>
      <c r="F371" s="19" t="n"/>
      <c r="G371" s="19" t="n"/>
      <c r="H371" s="19" t="n"/>
      <c r="I371" s="19" t="n"/>
      <c r="J371" s="19" t="n"/>
      <c r="K371" s="19" t="n"/>
      <c r="L371" s="19" t="n"/>
      <c r="M371" s="19" t="n"/>
      <c r="N371" s="19" t="n"/>
      <c r="O371" s="19" t="n"/>
      <c r="P371" s="19" t="n"/>
      <c r="Q371" s="19" t="n"/>
      <c r="R371" s="19" t="n"/>
      <c r="S371" s="19" t="n"/>
      <c r="T371" s="20" t="n"/>
      <c r="U371" s="123" t="n"/>
    </row>
    <row r="372" hidden="1" outlineLevel="1">
      <c r="A372" s="8" t="n"/>
      <c r="B372" s="14" t="n"/>
      <c r="C372" s="123" t="n"/>
      <c r="D372" s="21" t="n"/>
      <c r="T372" s="22" t="n"/>
      <c r="U372" s="123" t="n"/>
    </row>
    <row r="373" hidden="1" outlineLevel="1">
      <c r="A373" s="8" t="n"/>
      <c r="B373" s="14" t="n"/>
      <c r="C373" s="123" t="n"/>
      <c r="D373" s="21" t="n"/>
      <c r="T373" s="22" t="n"/>
      <c r="U373" s="123" t="n"/>
    </row>
    <row r="374" hidden="1" outlineLevel="1">
      <c r="A374" s="8" t="n"/>
      <c r="B374" s="14" t="n"/>
      <c r="C374" s="123" t="n"/>
      <c r="D374" s="23" t="n"/>
      <c r="E374" s="24" t="n"/>
      <c r="F374" s="24" t="n"/>
      <c r="G374" s="24" t="n"/>
      <c r="H374" s="24" t="n"/>
      <c r="I374" s="24" t="n"/>
      <c r="J374" s="24" t="n"/>
      <c r="K374" s="24" t="n"/>
      <c r="L374" s="24" t="n"/>
      <c r="M374" s="24" t="n"/>
      <c r="N374" s="24" t="n"/>
      <c r="O374" s="24" t="n"/>
      <c r="P374" s="24" t="n"/>
      <c r="Q374" s="24" t="n"/>
      <c r="R374" s="24" t="n"/>
      <c r="S374" s="24" t="n"/>
      <c r="T374" s="25" t="n"/>
      <c r="U374" s="123" t="n"/>
    </row>
    <row r="375">
      <c r="A375" s="8" t="n"/>
      <c r="B375" s="14" t="n"/>
      <c r="C375" s="123" t="n"/>
      <c r="D375" s="123" t="n"/>
      <c r="E375" s="123" t="n"/>
      <c r="F375" s="123" t="n"/>
      <c r="G375" s="123" t="n"/>
      <c r="H375" s="123" t="n"/>
      <c r="I375" s="123" t="n"/>
      <c r="J375" s="123" t="n"/>
      <c r="K375" s="123" t="n"/>
      <c r="L375" s="123" t="n"/>
      <c r="M375" s="123" t="n"/>
      <c r="N375" s="123" t="n"/>
      <c r="O375" s="123" t="n"/>
      <c r="P375" s="123" t="n"/>
      <c r="Q375" s="123" t="n"/>
      <c r="R375" s="123" t="n"/>
      <c r="S375" s="123" t="n"/>
      <c r="T375" s="123" t="n"/>
      <c r="U375" s="123" t="n"/>
    </row>
    <row r="376">
      <c r="A376" s="8" t="n"/>
      <c r="B376" s="14" t="n"/>
      <c r="C376" s="123" t="n"/>
      <c r="D376" s="126"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23" t="n"/>
    </row>
    <row r="377">
      <c r="A377" s="8" t="n"/>
      <c r="B377" s="14" t="n"/>
      <c r="C377" s="123" t="n"/>
      <c r="D377" s="23" t="n"/>
      <c r="E377" s="24" t="n"/>
      <c r="F377" s="24" t="n"/>
      <c r="G377" s="24" t="n"/>
      <c r="H377" s="24" t="n"/>
      <c r="I377" s="24" t="n"/>
      <c r="J377" s="24" t="n"/>
      <c r="K377" s="24" t="n"/>
      <c r="L377" s="24" t="n"/>
      <c r="M377" s="24" t="n"/>
      <c r="N377" s="24" t="n"/>
      <c r="O377" s="24" t="n"/>
      <c r="P377" s="24" t="n"/>
      <c r="Q377" s="24" t="n"/>
      <c r="R377" s="24" t="n"/>
      <c r="S377" s="24" t="n"/>
      <c r="T377" s="25" t="n"/>
      <c r="U377" s="123" t="n"/>
    </row>
    <row r="378" outlineLevel="1">
      <c r="A378" s="8" t="n"/>
      <c r="B378" s="14" t="n"/>
      <c r="C378" s="123" t="n"/>
      <c r="D378" s="123" t="n"/>
      <c r="E378" s="123" t="n"/>
      <c r="F378" s="123" t="n"/>
      <c r="G378" s="123" t="n"/>
      <c r="H378" s="123" t="n"/>
      <c r="I378" s="123" t="n"/>
      <c r="J378" s="123" t="n"/>
      <c r="K378" s="123" t="n"/>
      <c r="L378" s="123" t="n"/>
      <c r="M378" s="123" t="n"/>
      <c r="N378" s="123" t="n"/>
      <c r="O378" s="123" t="n"/>
      <c r="P378" s="123" t="n"/>
      <c r="Q378" s="123" t="n"/>
      <c r="R378" s="123" t="n"/>
      <c r="S378" s="123" t="n"/>
      <c r="T378" s="123" t="n"/>
      <c r="U378" s="123" t="n"/>
    </row>
    <row r="379" outlineLevel="1">
      <c r="A379" s="8" t="n"/>
      <c r="B379" s="14" t="n"/>
      <c r="C379" s="123" t="n"/>
      <c r="D379" s="137" t="n"/>
      <c r="E379" s="17" t="n"/>
      <c r="F379" s="132">
        <f>DADOS_AM!$HR$2</f>
        <v/>
      </c>
      <c r="G379" s="132">
        <f>DADOS_AM!$HS$2</f>
        <v/>
      </c>
      <c r="H379" s="17" t="n"/>
      <c r="I379" s="123" t="n"/>
      <c r="J379" s="137" t="n"/>
      <c r="K379" s="17" t="n"/>
      <c r="L379" s="132">
        <f>DADOS_AM!$HR$3</f>
        <v/>
      </c>
      <c r="M379" s="132">
        <f>DADOS_AM!$HS$3</f>
        <v/>
      </c>
      <c r="N379" s="17" t="n"/>
      <c r="O379" s="123" t="n"/>
      <c r="P379" s="137" t="n"/>
      <c r="Q379" s="17" t="n"/>
      <c r="R379" s="132">
        <f>DADOS_AM!$HR$4</f>
        <v/>
      </c>
      <c r="S379" s="132">
        <f>DADOS_AM!$HS$4</f>
        <v/>
      </c>
      <c r="T379" s="17" t="n"/>
      <c r="U379" s="123" t="n"/>
    </row>
    <row r="380" outlineLevel="2">
      <c r="A380" s="8" t="n"/>
      <c r="B380" s="14" t="n"/>
      <c r="C380" s="123" t="n"/>
      <c r="D380" s="55" t="inlineStr">
        <is>
          <t>O QUE FAZ</t>
        </is>
      </c>
      <c r="E380" s="16" t="n"/>
      <c r="F380" s="16" t="n"/>
      <c r="G380" s="16" t="n"/>
      <c r="H380" s="17" t="n"/>
      <c r="I380" s="123" t="n"/>
      <c r="J380" s="55" t="inlineStr">
        <is>
          <t>O QUE FAZ</t>
        </is>
      </c>
      <c r="K380" s="16" t="n"/>
      <c r="L380" s="16" t="n"/>
      <c r="M380" s="16" t="n"/>
      <c r="N380" s="17" t="n"/>
      <c r="O380" s="123" t="n"/>
      <c r="P380" s="55" t="inlineStr">
        <is>
          <t>O QUE FAZ</t>
        </is>
      </c>
      <c r="Q380" s="16" t="n"/>
      <c r="R380" s="16" t="n"/>
      <c r="S380" s="16" t="n"/>
      <c r="T380" s="17" t="n"/>
      <c r="U380" s="123" t="n"/>
    </row>
    <row r="381" outlineLevel="2">
      <c r="A381" s="8" t="n"/>
      <c r="B381" s="14" t="n"/>
      <c r="C381" s="123" t="n"/>
      <c r="D381" s="119">
        <f>DADOS_AM!$HQ$2</f>
        <v/>
      </c>
      <c r="E381" s="19" t="n"/>
      <c r="F381" s="19" t="n"/>
      <c r="G381" s="19" t="n"/>
      <c r="H381" s="20" t="n"/>
      <c r="I381" s="123" t="n"/>
      <c r="J381" s="119">
        <f>DADOS_AM!$HQ$3</f>
        <v/>
      </c>
      <c r="K381" s="19" t="n"/>
      <c r="L381" s="19" t="n"/>
      <c r="M381" s="19" t="n"/>
      <c r="N381" s="20" t="n"/>
      <c r="O381" s="123" t="n"/>
      <c r="P381" s="119">
        <f>DADOS_AM!$HQ$4</f>
        <v/>
      </c>
      <c r="Q381" s="19" t="n"/>
      <c r="R381" s="19" t="n"/>
      <c r="S381" s="19" t="n"/>
      <c r="T381" s="20" t="n"/>
      <c r="U381" s="123" t="n"/>
    </row>
    <row r="382" outlineLevel="2">
      <c r="A382" s="8" t="n"/>
      <c r="B382" s="14" t="n"/>
      <c r="C382" s="123" t="n"/>
      <c r="D382" s="21" t="n"/>
      <c r="H382" s="22" t="n"/>
      <c r="I382" s="123" t="n"/>
      <c r="J382" s="21" t="n"/>
      <c r="N382" s="22" t="n"/>
      <c r="O382" s="123" t="n"/>
      <c r="P382" s="21" t="n"/>
      <c r="T382" s="22" t="n"/>
      <c r="U382" s="123" t="n"/>
    </row>
    <row r="383" outlineLevel="2">
      <c r="A383" s="8" t="n"/>
      <c r="B383" s="14" t="n"/>
      <c r="C383" s="123" t="n"/>
      <c r="D383" s="23" t="n"/>
      <c r="E383" s="24" t="n"/>
      <c r="F383" s="24" t="n"/>
      <c r="G383" s="24" t="n"/>
      <c r="H383" s="25" t="n"/>
      <c r="I383" s="123" t="n"/>
      <c r="J383" s="23" t="n"/>
      <c r="K383" s="24" t="n"/>
      <c r="L383" s="24" t="n"/>
      <c r="M383" s="24" t="n"/>
      <c r="N383" s="25" t="n"/>
      <c r="O383" s="123" t="n"/>
      <c r="P383" s="23" t="n"/>
      <c r="Q383" s="24" t="n"/>
      <c r="R383" s="24" t="n"/>
      <c r="S383" s="24" t="n"/>
      <c r="T383" s="25" t="n"/>
      <c r="U383" s="123" t="n"/>
    </row>
    <row r="384" outlineLevel="2">
      <c r="A384" s="8" t="n"/>
      <c r="B384" s="14" t="n"/>
      <c r="C384" s="123" t="n"/>
      <c r="D384" s="55" t="inlineStr">
        <is>
          <t>SEU TEXTO</t>
        </is>
      </c>
      <c r="E384" s="119" t="n"/>
      <c r="F384" s="19" t="n"/>
      <c r="G384" s="19" t="n"/>
      <c r="H384" s="20" t="n"/>
      <c r="I384" s="123" t="n"/>
      <c r="J384" s="55" t="inlineStr">
        <is>
          <t>SEU TEXTO</t>
        </is>
      </c>
      <c r="K384" s="119" t="n"/>
      <c r="L384" s="19" t="n"/>
      <c r="M384" s="19" t="n"/>
      <c r="N384" s="20" t="n"/>
      <c r="O384" s="123" t="n"/>
      <c r="P384" s="55" t="inlineStr">
        <is>
          <t>SEU TEXTO</t>
        </is>
      </c>
      <c r="Q384" s="119" t="n"/>
      <c r="R384" s="19" t="n"/>
      <c r="S384" s="19" t="n"/>
      <c r="T384" s="20" t="n"/>
      <c r="U384" s="123" t="n"/>
    </row>
    <row r="385" outlineLevel="2">
      <c r="A385" s="8" t="n"/>
      <c r="B385" s="14" t="n"/>
      <c r="C385" s="123" t="n"/>
      <c r="D385" s="128" t="n"/>
      <c r="E385" s="23" t="n"/>
      <c r="F385" s="24" t="n"/>
      <c r="G385" s="24" t="n"/>
      <c r="H385" s="25" t="n"/>
      <c r="I385" s="123" t="n"/>
      <c r="J385" s="128" t="n"/>
      <c r="K385" s="23" t="n"/>
      <c r="L385" s="24" t="n"/>
      <c r="M385" s="24" t="n"/>
      <c r="N385" s="25" t="n"/>
      <c r="O385" s="123" t="n"/>
      <c r="P385" s="128" t="n"/>
      <c r="Q385" s="23" t="n"/>
      <c r="R385" s="24" t="n"/>
      <c r="S385" s="24" t="n"/>
      <c r="T385" s="25" t="n"/>
      <c r="U385" s="123" t="n"/>
    </row>
    <row r="386" outlineLevel="1">
      <c r="A386" s="8" t="n"/>
      <c r="B386" s="14" t="n"/>
      <c r="C386" s="123" t="n"/>
      <c r="D386" s="123" t="n"/>
      <c r="E386" s="123" t="n"/>
      <c r="F386" s="123" t="n"/>
      <c r="G386" s="123" t="n"/>
      <c r="H386" s="123" t="n"/>
      <c r="I386" s="123" t="n"/>
      <c r="J386" s="123" t="n"/>
      <c r="K386" s="123" t="n"/>
      <c r="L386" s="123" t="n"/>
      <c r="M386" s="123" t="n"/>
      <c r="N386" s="123" t="n"/>
      <c r="O386" s="123" t="n"/>
      <c r="P386" s="123" t="n"/>
      <c r="Q386" s="123" t="n"/>
      <c r="R386" s="123" t="n"/>
      <c r="S386" s="123" t="n"/>
      <c r="T386" s="123" t="n"/>
      <c r="U386" s="123" t="n"/>
    </row>
    <row r="387" outlineLevel="1">
      <c r="A387" s="8" t="n"/>
      <c r="B387" s="14" t="n"/>
      <c r="C387" s="123" t="n"/>
      <c r="D387" s="137" t="n"/>
      <c r="E387" s="17" t="n"/>
      <c r="F387" s="132">
        <f>DADOS_AM!$HR$5</f>
        <v/>
      </c>
      <c r="G387" s="132">
        <f>DADOS_AM!$HS$5</f>
        <v/>
      </c>
      <c r="H387" s="17" t="n"/>
      <c r="I387" s="123" t="n"/>
      <c r="J387" s="137" t="n"/>
      <c r="K387" s="17" t="n"/>
      <c r="L387" s="132">
        <f>DADOS_AM!$HR$6</f>
        <v/>
      </c>
      <c r="M387" s="132">
        <f>DADOS_AM!$HS$6</f>
        <v/>
      </c>
      <c r="N387" s="17" t="n"/>
      <c r="O387" s="123" t="n"/>
      <c r="P387" s="123" t="n"/>
      <c r="Q387" s="123" t="n"/>
      <c r="R387" s="123" t="n"/>
      <c r="S387" s="123" t="n"/>
      <c r="T387" s="123" t="n"/>
      <c r="U387" s="123" t="n"/>
    </row>
    <row r="388" hidden="1" outlineLevel="2">
      <c r="A388" s="8" t="n"/>
      <c r="B388" s="14" t="n"/>
      <c r="C388" s="123" t="n"/>
      <c r="D388" s="55" t="inlineStr">
        <is>
          <t>O QUE FAZ</t>
        </is>
      </c>
      <c r="E388" s="16" t="n"/>
      <c r="F388" s="16" t="n"/>
      <c r="G388" s="16" t="n"/>
      <c r="H388" s="17" t="n"/>
      <c r="I388" s="123" t="n"/>
      <c r="J388" s="55" t="inlineStr">
        <is>
          <t>O QUE FAZ</t>
        </is>
      </c>
      <c r="K388" s="16" t="n"/>
      <c r="L388" s="16" t="n"/>
      <c r="M388" s="16" t="n"/>
      <c r="N388" s="17" t="n"/>
      <c r="O388" s="123" t="n"/>
      <c r="P388" s="123" t="n"/>
      <c r="Q388" s="123" t="n"/>
      <c r="R388" s="123" t="n"/>
      <c r="S388" s="123" t="n"/>
      <c r="T388" s="123" t="n"/>
      <c r="U388" s="123" t="n"/>
    </row>
    <row r="389" hidden="1" outlineLevel="2">
      <c r="A389" s="8" t="n"/>
      <c r="B389" s="14" t="n"/>
      <c r="C389" s="123" t="n"/>
      <c r="D389" s="119">
        <f>DADOS_AM!$HQ$5</f>
        <v/>
      </c>
      <c r="E389" s="19" t="n"/>
      <c r="F389" s="19" t="n"/>
      <c r="G389" s="19" t="n"/>
      <c r="H389" s="20" t="n"/>
      <c r="I389" s="123" t="n"/>
      <c r="J389" s="119">
        <f>DADOS_AM!$HQ$6</f>
        <v/>
      </c>
      <c r="K389" s="19" t="n"/>
      <c r="L389" s="19" t="n"/>
      <c r="M389" s="19" t="n"/>
      <c r="N389" s="20" t="n"/>
      <c r="O389" s="123" t="n"/>
      <c r="P389" s="123" t="n"/>
      <c r="Q389" s="123" t="n"/>
      <c r="R389" s="123" t="n"/>
      <c r="S389" s="123" t="n"/>
      <c r="T389" s="123" t="n"/>
      <c r="U389" s="123" t="n"/>
    </row>
    <row r="390" hidden="1" outlineLevel="2">
      <c r="A390" s="8" t="n"/>
      <c r="B390" s="14" t="n"/>
      <c r="C390" s="123" t="n"/>
      <c r="D390" s="21" t="n"/>
      <c r="H390" s="22" t="n"/>
      <c r="I390" s="123" t="n"/>
      <c r="J390" s="21" t="n"/>
      <c r="N390" s="22" t="n"/>
      <c r="O390" s="123" t="n"/>
      <c r="P390" s="123" t="n"/>
      <c r="Q390" s="123" t="n"/>
      <c r="R390" s="123" t="n"/>
      <c r="S390" s="123" t="n"/>
      <c r="T390" s="123" t="n"/>
      <c r="U390" s="123" t="n"/>
    </row>
    <row r="391" hidden="1" outlineLevel="2">
      <c r="A391" s="8" t="n"/>
      <c r="B391" s="14" t="n"/>
      <c r="C391" s="123" t="n"/>
      <c r="D391" s="23" t="n"/>
      <c r="E391" s="24" t="n"/>
      <c r="F391" s="24" t="n"/>
      <c r="G391" s="24" t="n"/>
      <c r="H391" s="25" t="n"/>
      <c r="I391" s="123" t="n"/>
      <c r="J391" s="23" t="n"/>
      <c r="K391" s="24" t="n"/>
      <c r="L391" s="24" t="n"/>
      <c r="M391" s="24" t="n"/>
      <c r="N391" s="25" t="n"/>
      <c r="O391" s="123" t="n"/>
      <c r="P391" s="123" t="n"/>
      <c r="Q391" s="123" t="n"/>
      <c r="R391" s="123" t="n"/>
      <c r="S391" s="123" t="n"/>
      <c r="T391" s="123" t="n"/>
      <c r="U391" s="123" t="n"/>
    </row>
    <row r="392" hidden="1" outlineLevel="2">
      <c r="A392" s="8" t="n"/>
      <c r="B392" s="14" t="n"/>
      <c r="C392" s="123" t="n"/>
      <c r="D392" s="55" t="inlineStr">
        <is>
          <t>SEU TEXTO</t>
        </is>
      </c>
      <c r="E392" s="119" t="n"/>
      <c r="F392" s="19" t="n"/>
      <c r="G392" s="19" t="n"/>
      <c r="H392" s="20" t="n"/>
      <c r="I392" s="123" t="n"/>
      <c r="J392" s="55" t="inlineStr">
        <is>
          <t>SEU TEXTO</t>
        </is>
      </c>
      <c r="K392" s="119" t="n"/>
      <c r="L392" s="19" t="n"/>
      <c r="M392" s="19" t="n"/>
      <c r="N392" s="20" t="n"/>
      <c r="O392" s="123" t="n"/>
      <c r="P392" s="123" t="n"/>
      <c r="Q392" s="123" t="n"/>
      <c r="R392" s="123" t="n"/>
      <c r="S392" s="123" t="n"/>
      <c r="T392" s="123" t="n"/>
      <c r="U392" s="123" t="n"/>
    </row>
    <row r="393" hidden="1" outlineLevel="2">
      <c r="A393" s="8" t="n"/>
      <c r="B393" s="14" t="n"/>
      <c r="C393" s="123" t="n"/>
      <c r="D393" s="128" t="n"/>
      <c r="E393" s="23" t="n"/>
      <c r="F393" s="24" t="n"/>
      <c r="G393" s="24" t="n"/>
      <c r="H393" s="25" t="n"/>
      <c r="I393" s="123" t="n"/>
      <c r="J393" s="128" t="n"/>
      <c r="K393" s="23" t="n"/>
      <c r="L393" s="24" t="n"/>
      <c r="M393" s="24" t="n"/>
      <c r="N393" s="25" t="n"/>
      <c r="O393" s="123" t="n"/>
      <c r="P393" s="123" t="n"/>
      <c r="Q393" s="123" t="n"/>
      <c r="R393" s="123" t="n"/>
      <c r="S393" s="123" t="n"/>
      <c r="T393" s="123" t="n"/>
      <c r="U393" s="123" t="n"/>
    </row>
    <row r="394" outlineLevel="1">
      <c r="A394" s="8" t="n"/>
      <c r="B394" s="14" t="n"/>
      <c r="C394" s="123" t="n"/>
      <c r="D394" s="123" t="n"/>
      <c r="E394" s="123" t="n"/>
      <c r="F394" s="123" t="n"/>
      <c r="G394" s="123" t="n"/>
      <c r="H394" s="123" t="n"/>
      <c r="I394" s="123" t="n"/>
      <c r="J394" s="123" t="n"/>
      <c r="K394" s="123" t="n"/>
      <c r="L394" s="123" t="n"/>
      <c r="M394" s="123" t="n"/>
      <c r="N394" s="123" t="n"/>
      <c r="O394" s="123" t="n"/>
      <c r="P394" s="123" t="n"/>
      <c r="Q394" s="123" t="n"/>
      <c r="R394" s="123" t="n"/>
      <c r="S394" s="123" t="n"/>
      <c r="T394" s="123" t="n"/>
      <c r="U394" s="123" t="n"/>
    </row>
    <row r="395" outlineLevel="1">
      <c r="A395" s="8" t="n"/>
      <c r="B395" s="14" t="n"/>
      <c r="C395" s="123" t="n"/>
      <c r="D395" s="136"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23" t="n"/>
    </row>
    <row r="396" hidden="1" outlineLevel="2">
      <c r="A396" s="8" t="n"/>
      <c r="B396" s="14" t="n"/>
      <c r="C396" s="123" t="n"/>
      <c r="D396" s="123" t="n"/>
      <c r="E396" s="123" t="n"/>
      <c r="F396" s="123" t="n"/>
      <c r="G396" s="123" t="n"/>
      <c r="H396" s="123" t="n"/>
      <c r="I396" s="123" t="n"/>
      <c r="J396" s="123" t="n"/>
      <c r="K396" s="123" t="n"/>
      <c r="L396" s="123" t="n"/>
      <c r="M396" s="123" t="n"/>
      <c r="N396" s="123" t="n"/>
      <c r="O396" s="123" t="n"/>
      <c r="P396" s="123" t="n"/>
      <c r="Q396" s="123" t="n"/>
      <c r="R396" s="123" t="n"/>
      <c r="S396" s="123" t="n"/>
      <c r="T396" s="123" t="n"/>
      <c r="U396" s="123" t="n"/>
    </row>
    <row r="397" hidden="1" outlineLevel="2">
      <c r="A397" s="8" t="n"/>
      <c r="B397" s="14" t="n"/>
      <c r="C397" s="123" t="n"/>
      <c r="D397" s="137" t="n"/>
      <c r="E397" s="17" t="n"/>
      <c r="F397" s="132">
        <f>DADOS_AM!$HR$7</f>
        <v/>
      </c>
      <c r="G397" s="132">
        <f>DADOS_AM!$HS$7</f>
        <v/>
      </c>
      <c r="H397" s="17" t="n"/>
      <c r="I397" s="123" t="n"/>
      <c r="J397" s="137" t="n"/>
      <c r="K397" s="17" t="n"/>
      <c r="L397" s="132">
        <f>DADOS_AM!$HR$8</f>
        <v/>
      </c>
      <c r="M397" s="132">
        <f>DADOS_AM!$HS$8</f>
        <v/>
      </c>
      <c r="N397" s="17" t="n"/>
      <c r="O397" s="123" t="n"/>
      <c r="P397" s="137" t="n"/>
      <c r="Q397" s="17" t="n"/>
      <c r="R397" s="132">
        <f>DADOS_AM!$HR$9</f>
        <v/>
      </c>
      <c r="S397" s="132">
        <f>DADOS_AM!$HS$9</f>
        <v/>
      </c>
      <c r="T397" s="17" t="n"/>
      <c r="U397" s="123" t="n"/>
    </row>
    <row r="398" hidden="1" outlineLevel="3">
      <c r="A398" s="8" t="n"/>
      <c r="B398" s="14" t="n"/>
      <c r="C398" s="123" t="n"/>
      <c r="D398" s="55" t="inlineStr">
        <is>
          <t>O QUE FAZ</t>
        </is>
      </c>
      <c r="E398" s="16" t="n"/>
      <c r="F398" s="16" t="n"/>
      <c r="G398" s="16" t="n"/>
      <c r="H398" s="17" t="n"/>
      <c r="I398" s="123" t="n"/>
      <c r="J398" s="55" t="inlineStr">
        <is>
          <t>O QUE FAZ</t>
        </is>
      </c>
      <c r="K398" s="16" t="n"/>
      <c r="L398" s="16" t="n"/>
      <c r="M398" s="16" t="n"/>
      <c r="N398" s="17" t="n"/>
      <c r="O398" s="123" t="n"/>
      <c r="P398" s="55" t="inlineStr">
        <is>
          <t>O QUE FAZ</t>
        </is>
      </c>
      <c r="Q398" s="16" t="n"/>
      <c r="R398" s="16" t="n"/>
      <c r="S398" s="16" t="n"/>
      <c r="T398" s="17" t="n"/>
      <c r="U398" s="123" t="n"/>
    </row>
    <row r="399" hidden="1" outlineLevel="3">
      <c r="A399" s="8" t="n"/>
      <c r="B399" s="14" t="n"/>
      <c r="C399" s="123" t="n"/>
      <c r="D399" s="119">
        <f>DADOS_AM!$HQ$7</f>
        <v/>
      </c>
      <c r="E399" s="19" t="n"/>
      <c r="F399" s="19" t="n"/>
      <c r="G399" s="19" t="n"/>
      <c r="H399" s="20" t="n"/>
      <c r="I399" s="123" t="n"/>
      <c r="J399" s="119">
        <f>DADOS_AM!$HQ$8</f>
        <v/>
      </c>
      <c r="K399" s="19" t="n"/>
      <c r="L399" s="19" t="n"/>
      <c r="M399" s="19" t="n"/>
      <c r="N399" s="20" t="n"/>
      <c r="O399" s="123" t="n"/>
      <c r="P399" s="119">
        <f>DADOS_AM!$HQ$9</f>
        <v/>
      </c>
      <c r="Q399" s="19" t="n"/>
      <c r="R399" s="19" t="n"/>
      <c r="S399" s="19" t="n"/>
      <c r="T399" s="20" t="n"/>
      <c r="U399" s="123" t="n"/>
    </row>
    <row r="400" hidden="1" outlineLevel="3">
      <c r="A400" s="8" t="n"/>
      <c r="B400" s="14" t="n"/>
      <c r="C400" s="123" t="n"/>
      <c r="D400" s="21" t="n"/>
      <c r="H400" s="22" t="n"/>
      <c r="I400" s="123" t="n"/>
      <c r="J400" s="21" t="n"/>
      <c r="N400" s="22" t="n"/>
      <c r="O400" s="123" t="n"/>
      <c r="P400" s="21" t="n"/>
      <c r="T400" s="22" t="n"/>
      <c r="U400" s="123" t="n"/>
    </row>
    <row r="401" hidden="1" outlineLevel="3">
      <c r="A401" s="8" t="n"/>
      <c r="B401" s="14" t="n"/>
      <c r="C401" s="123" t="n"/>
      <c r="D401" s="23" t="n"/>
      <c r="E401" s="24" t="n"/>
      <c r="F401" s="24" t="n"/>
      <c r="G401" s="24" t="n"/>
      <c r="H401" s="25" t="n"/>
      <c r="I401" s="123" t="n"/>
      <c r="J401" s="23" t="n"/>
      <c r="K401" s="24" t="n"/>
      <c r="L401" s="24" t="n"/>
      <c r="M401" s="24" t="n"/>
      <c r="N401" s="25" t="n"/>
      <c r="O401" s="123" t="n"/>
      <c r="P401" s="23" t="n"/>
      <c r="Q401" s="24" t="n"/>
      <c r="R401" s="24" t="n"/>
      <c r="S401" s="24" t="n"/>
      <c r="T401" s="25" t="n"/>
      <c r="U401" s="123" t="n"/>
    </row>
    <row r="402" hidden="1" outlineLevel="3">
      <c r="A402" s="8" t="n"/>
      <c r="B402" s="14" t="n"/>
      <c r="C402" s="123" t="n"/>
      <c r="D402" s="55" t="inlineStr">
        <is>
          <t>SEU TEXTO</t>
        </is>
      </c>
      <c r="E402" s="119" t="n"/>
      <c r="F402" s="19" t="n"/>
      <c r="G402" s="19" t="n"/>
      <c r="H402" s="20" t="n"/>
      <c r="I402" s="123" t="n"/>
      <c r="J402" s="55" t="inlineStr">
        <is>
          <t>SEU TEXTO</t>
        </is>
      </c>
      <c r="K402" s="119" t="n"/>
      <c r="L402" s="19" t="n"/>
      <c r="M402" s="19" t="n"/>
      <c r="N402" s="20" t="n"/>
      <c r="O402" s="123" t="n"/>
      <c r="P402" s="55" t="inlineStr">
        <is>
          <t>SEU TEXTO</t>
        </is>
      </c>
      <c r="Q402" s="119" t="n"/>
      <c r="R402" s="19" t="n"/>
      <c r="S402" s="19" t="n"/>
      <c r="T402" s="20" t="n"/>
      <c r="U402" s="123" t="n"/>
    </row>
    <row r="403" hidden="1" outlineLevel="3">
      <c r="A403" s="8" t="n"/>
      <c r="B403" s="14" t="n"/>
      <c r="C403" s="123" t="n"/>
      <c r="D403" s="128" t="n"/>
      <c r="E403" s="23" t="n"/>
      <c r="F403" s="24" t="n"/>
      <c r="G403" s="24" t="n"/>
      <c r="H403" s="25" t="n"/>
      <c r="I403" s="123" t="n"/>
      <c r="J403" s="128" t="n"/>
      <c r="K403" s="23" t="n"/>
      <c r="L403" s="24" t="n"/>
      <c r="M403" s="24" t="n"/>
      <c r="N403" s="25" t="n"/>
      <c r="O403" s="123" t="n"/>
      <c r="P403" s="128" t="n"/>
      <c r="Q403" s="23" t="n"/>
      <c r="R403" s="24" t="n"/>
      <c r="S403" s="24" t="n"/>
      <c r="T403" s="25" t="n"/>
      <c r="U403" s="123" t="n"/>
    </row>
    <row r="404" hidden="1" outlineLevel="2">
      <c r="A404" s="8" t="n"/>
      <c r="B404" s="14" t="n"/>
      <c r="C404" s="123" t="n"/>
      <c r="D404" s="123" t="n"/>
      <c r="E404" s="123" t="n"/>
      <c r="F404" s="123" t="n"/>
      <c r="G404" s="123" t="n"/>
      <c r="H404" s="123" t="n"/>
      <c r="I404" s="123" t="n"/>
      <c r="J404" s="123" t="n"/>
      <c r="K404" s="123" t="n"/>
      <c r="L404" s="123" t="n"/>
      <c r="M404" s="123" t="n"/>
      <c r="N404" s="123" t="n"/>
      <c r="O404" s="123" t="n"/>
      <c r="P404" s="123" t="n"/>
      <c r="Q404" s="123" t="n"/>
      <c r="R404" s="123" t="n"/>
      <c r="S404" s="123" t="n"/>
      <c r="T404" s="123" t="n"/>
      <c r="U404" s="123" t="n"/>
    </row>
    <row r="405" hidden="1" outlineLevel="2">
      <c r="A405" s="8" t="n"/>
      <c r="B405" s="14" t="n"/>
      <c r="C405" s="123" t="n"/>
      <c r="D405" s="137" t="n"/>
      <c r="E405" s="17" t="n"/>
      <c r="F405" s="132">
        <f>DADOS_AM!$HR$10</f>
        <v/>
      </c>
      <c r="G405" s="132">
        <f>DADOS_AM!$HS$10</f>
        <v/>
      </c>
      <c r="H405" s="17" t="n"/>
      <c r="I405" s="123" t="n"/>
      <c r="J405" s="137" t="n"/>
      <c r="K405" s="17" t="n"/>
      <c r="L405" s="132">
        <f>DADOS_AM!$HR$11</f>
        <v/>
      </c>
      <c r="M405" s="132">
        <f>DADOS_AM!$HS$11</f>
        <v/>
      </c>
      <c r="N405" s="17" t="n"/>
      <c r="O405" s="123" t="n"/>
      <c r="P405" s="137" t="n"/>
      <c r="Q405" s="17" t="n"/>
      <c r="R405" s="132">
        <f>DADOS_AM!$HR$12</f>
        <v/>
      </c>
      <c r="S405" s="132">
        <f>DADOS_AM!$HS$12</f>
        <v/>
      </c>
      <c r="T405" s="17" t="n"/>
      <c r="U405" s="123" t="n"/>
    </row>
    <row r="406" hidden="1" outlineLevel="3">
      <c r="A406" s="8" t="n"/>
      <c r="B406" s="14" t="n"/>
      <c r="C406" s="123" t="n"/>
      <c r="D406" s="55" t="inlineStr">
        <is>
          <t>O QUE FAZ</t>
        </is>
      </c>
      <c r="E406" s="16" t="n"/>
      <c r="F406" s="16" t="n"/>
      <c r="G406" s="16" t="n"/>
      <c r="H406" s="17" t="n"/>
      <c r="I406" s="123" t="n"/>
      <c r="J406" s="55" t="inlineStr">
        <is>
          <t>O QUE FAZ</t>
        </is>
      </c>
      <c r="K406" s="16" t="n"/>
      <c r="L406" s="16" t="n"/>
      <c r="M406" s="16" t="n"/>
      <c r="N406" s="17" t="n"/>
      <c r="O406" s="123" t="n"/>
      <c r="P406" s="55" t="inlineStr">
        <is>
          <t>O QUE FAZ</t>
        </is>
      </c>
      <c r="Q406" s="16" t="n"/>
      <c r="R406" s="16" t="n"/>
      <c r="S406" s="16" t="n"/>
      <c r="T406" s="17" t="n"/>
      <c r="U406" s="123" t="n"/>
    </row>
    <row r="407" hidden="1" outlineLevel="3">
      <c r="A407" s="8" t="n"/>
      <c r="B407" s="14" t="n"/>
      <c r="C407" s="123" t="n"/>
      <c r="D407" s="119">
        <f>DADOS_AM!$HQ$10</f>
        <v/>
      </c>
      <c r="E407" s="19" t="n"/>
      <c r="F407" s="19" t="n"/>
      <c r="G407" s="19" t="n"/>
      <c r="H407" s="20" t="n"/>
      <c r="I407" s="123" t="n"/>
      <c r="J407" s="119">
        <f>DADOS_AM!$HQ$11</f>
        <v/>
      </c>
      <c r="K407" s="19" t="n"/>
      <c r="L407" s="19" t="n"/>
      <c r="M407" s="19" t="n"/>
      <c r="N407" s="20" t="n"/>
      <c r="O407" s="123" t="n"/>
      <c r="P407" s="119">
        <f>DADOS_AM!$HQ$12</f>
        <v/>
      </c>
      <c r="Q407" s="19" t="n"/>
      <c r="R407" s="19" t="n"/>
      <c r="S407" s="19" t="n"/>
      <c r="T407" s="20" t="n"/>
      <c r="U407" s="123" t="n"/>
    </row>
    <row r="408" hidden="1" outlineLevel="3">
      <c r="A408" s="8" t="n"/>
      <c r="B408" s="14" t="n"/>
      <c r="C408" s="123" t="n"/>
      <c r="D408" s="21" t="n"/>
      <c r="H408" s="22" t="n"/>
      <c r="I408" s="123" t="n"/>
      <c r="J408" s="21" t="n"/>
      <c r="N408" s="22" t="n"/>
      <c r="O408" s="123" t="n"/>
      <c r="P408" s="21" t="n"/>
      <c r="T408" s="22" t="n"/>
      <c r="U408" s="123" t="n"/>
    </row>
    <row r="409" hidden="1" outlineLevel="3">
      <c r="A409" s="8" t="n"/>
      <c r="B409" s="14" t="n"/>
      <c r="C409" s="123" t="n"/>
      <c r="D409" s="23" t="n"/>
      <c r="E409" s="24" t="n"/>
      <c r="F409" s="24" t="n"/>
      <c r="G409" s="24" t="n"/>
      <c r="H409" s="25" t="n"/>
      <c r="I409" s="123" t="n"/>
      <c r="J409" s="23" t="n"/>
      <c r="K409" s="24" t="n"/>
      <c r="L409" s="24" t="n"/>
      <c r="M409" s="24" t="n"/>
      <c r="N409" s="25" t="n"/>
      <c r="O409" s="123" t="n"/>
      <c r="P409" s="23" t="n"/>
      <c r="Q409" s="24" t="n"/>
      <c r="R409" s="24" t="n"/>
      <c r="S409" s="24" t="n"/>
      <c r="T409" s="25" t="n"/>
      <c r="U409" s="123" t="n"/>
    </row>
    <row r="410" hidden="1" outlineLevel="3">
      <c r="A410" s="8" t="n"/>
      <c r="B410" s="14" t="n"/>
      <c r="C410" s="123" t="n"/>
      <c r="D410" s="55" t="inlineStr">
        <is>
          <t>SEU TEXTO</t>
        </is>
      </c>
      <c r="E410" s="119" t="n"/>
      <c r="F410" s="19" t="n"/>
      <c r="G410" s="19" t="n"/>
      <c r="H410" s="20" t="n"/>
      <c r="I410" s="123" t="n"/>
      <c r="J410" s="55" t="inlineStr">
        <is>
          <t>SEU TEXTO</t>
        </is>
      </c>
      <c r="K410" s="119" t="n"/>
      <c r="L410" s="19" t="n"/>
      <c r="M410" s="19" t="n"/>
      <c r="N410" s="20" t="n"/>
      <c r="O410" s="123" t="n"/>
      <c r="P410" s="55" t="inlineStr">
        <is>
          <t>SEU TEXTO</t>
        </is>
      </c>
      <c r="Q410" s="119" t="n"/>
      <c r="R410" s="19" t="n"/>
      <c r="S410" s="19" t="n"/>
      <c r="T410" s="20" t="n"/>
      <c r="U410" s="123" t="n"/>
    </row>
    <row r="411" hidden="1" outlineLevel="3">
      <c r="A411" s="8" t="n"/>
      <c r="B411" s="14" t="n"/>
      <c r="C411" s="123" t="n"/>
      <c r="D411" s="128" t="n"/>
      <c r="E411" s="23" t="n"/>
      <c r="F411" s="24" t="n"/>
      <c r="G411" s="24" t="n"/>
      <c r="H411" s="25" t="n"/>
      <c r="I411" s="123" t="n"/>
      <c r="J411" s="128" t="n"/>
      <c r="K411" s="23" t="n"/>
      <c r="L411" s="24" t="n"/>
      <c r="M411" s="24" t="n"/>
      <c r="N411" s="25" t="n"/>
      <c r="O411" s="123" t="n"/>
      <c r="P411" s="128" t="n"/>
      <c r="Q411" s="23" t="n"/>
      <c r="R411" s="24" t="n"/>
      <c r="S411" s="24" t="n"/>
      <c r="T411" s="25" t="n"/>
      <c r="U411" s="123" t="n"/>
    </row>
    <row r="412" hidden="1" outlineLevel="2">
      <c r="A412" s="8" t="n"/>
      <c r="B412" s="14" t="n"/>
      <c r="C412" s="123" t="n"/>
      <c r="D412" s="123" t="n"/>
      <c r="E412" s="123" t="n"/>
      <c r="F412" s="123" t="n"/>
      <c r="G412" s="123" t="n"/>
      <c r="H412" s="123" t="n"/>
      <c r="I412" s="123" t="n"/>
      <c r="J412" s="123" t="n"/>
      <c r="K412" s="123" t="n"/>
      <c r="L412" s="123" t="n"/>
      <c r="M412" s="123" t="n"/>
      <c r="N412" s="123" t="n"/>
      <c r="O412" s="123" t="n"/>
      <c r="P412" s="123" t="n"/>
      <c r="Q412" s="123" t="n"/>
      <c r="R412" s="123" t="n"/>
      <c r="S412" s="123" t="n"/>
      <c r="T412" s="123" t="n"/>
      <c r="U412" s="123" t="n"/>
    </row>
    <row r="413" hidden="1" outlineLevel="2">
      <c r="A413" s="8" t="n"/>
      <c r="B413" s="14" t="n"/>
      <c r="C413" s="123" t="n"/>
      <c r="D413" s="137" t="n"/>
      <c r="E413" s="17" t="n"/>
      <c r="F413" s="132">
        <f>DADOS_AM!$HR$13</f>
        <v/>
      </c>
      <c r="G413" s="132">
        <f>DADOS_AM!$HS$13</f>
        <v/>
      </c>
      <c r="H413" s="17" t="n"/>
      <c r="I413" s="123" t="n"/>
      <c r="J413" s="123" t="n"/>
      <c r="K413" s="123" t="n"/>
      <c r="L413" s="123" t="n"/>
      <c r="M413" s="123" t="n"/>
      <c r="N413" s="123" t="n"/>
      <c r="O413" s="123" t="n"/>
      <c r="P413" s="123" t="n"/>
      <c r="Q413" s="123" t="n"/>
      <c r="R413" s="123" t="n"/>
      <c r="S413" s="123" t="n"/>
      <c r="T413" s="123" t="n"/>
      <c r="U413" s="123" t="n"/>
    </row>
    <row r="414" hidden="1" outlineLevel="3">
      <c r="A414" s="8" t="n"/>
      <c r="B414" s="14" t="n"/>
      <c r="C414" s="123" t="n"/>
      <c r="D414" s="55" t="inlineStr">
        <is>
          <t>O QUE FAZ</t>
        </is>
      </c>
      <c r="E414" s="16" t="n"/>
      <c r="F414" s="16" t="n"/>
      <c r="G414" s="16" t="n"/>
      <c r="H414" s="17" t="n"/>
      <c r="I414" s="123" t="n"/>
      <c r="J414" s="123" t="n"/>
      <c r="K414" s="123" t="n"/>
      <c r="L414" s="123" t="n"/>
      <c r="M414" s="123" t="n"/>
      <c r="N414" s="123" t="n"/>
      <c r="O414" s="123" t="n"/>
      <c r="P414" s="123" t="n"/>
      <c r="Q414" s="123" t="n"/>
      <c r="R414" s="123" t="n"/>
      <c r="S414" s="123" t="n"/>
      <c r="T414" s="123" t="n"/>
      <c r="U414" s="123" t="n"/>
    </row>
    <row r="415" hidden="1" outlineLevel="3">
      <c r="A415" s="8" t="n"/>
      <c r="B415" s="14" t="n"/>
      <c r="C415" s="123" t="n"/>
      <c r="D415" s="119">
        <f>DADOS_AM!$HQ$13</f>
        <v/>
      </c>
      <c r="E415" s="19" t="n"/>
      <c r="F415" s="19" t="n"/>
      <c r="G415" s="19" t="n"/>
      <c r="H415" s="20" t="n"/>
      <c r="I415" s="123" t="n"/>
      <c r="J415" s="123" t="n"/>
      <c r="K415" s="123" t="n"/>
      <c r="L415" s="123" t="n"/>
      <c r="M415" s="123" t="n"/>
      <c r="N415" s="123" t="n"/>
      <c r="O415" s="123" t="n"/>
      <c r="P415" s="123" t="n"/>
      <c r="Q415" s="123" t="n"/>
      <c r="R415" s="123" t="n"/>
      <c r="S415" s="123" t="n"/>
      <c r="T415" s="123" t="n"/>
      <c r="U415" s="123" t="n"/>
    </row>
    <row r="416" hidden="1" outlineLevel="3">
      <c r="A416" s="8" t="n"/>
      <c r="B416" s="14" t="n"/>
      <c r="C416" s="123" t="n"/>
      <c r="D416" s="21" t="n"/>
      <c r="H416" s="22" t="n"/>
      <c r="I416" s="123" t="n"/>
      <c r="J416" s="123" t="n"/>
      <c r="K416" s="123" t="n"/>
      <c r="L416" s="123" t="n"/>
      <c r="M416" s="123" t="n"/>
      <c r="N416" s="123" t="n"/>
      <c r="O416" s="123" t="n"/>
      <c r="P416" s="123" t="n"/>
      <c r="Q416" s="123" t="n"/>
      <c r="R416" s="123" t="n"/>
      <c r="S416" s="123" t="n"/>
      <c r="T416" s="123" t="n"/>
      <c r="U416" s="123" t="n"/>
    </row>
    <row r="417" hidden="1" outlineLevel="3">
      <c r="A417" s="8" t="n"/>
      <c r="B417" s="14" t="n"/>
      <c r="C417" s="123" t="n"/>
      <c r="D417" s="23" t="n"/>
      <c r="E417" s="24" t="n"/>
      <c r="F417" s="24" t="n"/>
      <c r="G417" s="24" t="n"/>
      <c r="H417" s="25" t="n"/>
      <c r="I417" s="123" t="n"/>
      <c r="J417" s="123" t="n"/>
      <c r="K417" s="123" t="n"/>
      <c r="L417" s="123" t="n"/>
      <c r="M417" s="123" t="n"/>
      <c r="N417" s="123" t="n"/>
      <c r="O417" s="123" t="n"/>
      <c r="P417" s="123" t="n"/>
      <c r="Q417" s="123" t="n"/>
      <c r="R417" s="123" t="n"/>
      <c r="S417" s="123" t="n"/>
      <c r="T417" s="123" t="n"/>
      <c r="U417" s="123" t="n"/>
    </row>
    <row r="418" hidden="1" outlineLevel="3">
      <c r="A418" s="8" t="n"/>
      <c r="B418" s="14" t="n"/>
      <c r="C418" s="123" t="n"/>
      <c r="D418" s="55" t="inlineStr">
        <is>
          <t>SEU TEXTO</t>
        </is>
      </c>
      <c r="E418" s="119" t="n"/>
      <c r="F418" s="19" t="n"/>
      <c r="G418" s="19" t="n"/>
      <c r="H418" s="20" t="n"/>
      <c r="I418" s="123" t="n"/>
      <c r="J418" s="123" t="n"/>
      <c r="K418" s="123" t="n"/>
      <c r="L418" s="123" t="n"/>
      <c r="M418" s="123" t="n"/>
      <c r="N418" s="123" t="n"/>
      <c r="O418" s="123" t="n"/>
      <c r="P418" s="123" t="n"/>
      <c r="Q418" s="123" t="n"/>
      <c r="R418" s="123" t="n"/>
      <c r="S418" s="123" t="n"/>
      <c r="T418" s="123" t="n"/>
      <c r="U418" s="123" t="n"/>
    </row>
    <row r="419" hidden="1" outlineLevel="3">
      <c r="A419" s="8" t="n"/>
      <c r="B419" s="14" t="n"/>
      <c r="C419" s="123" t="n"/>
      <c r="D419" s="128" t="n"/>
      <c r="E419" s="23" t="n"/>
      <c r="F419" s="24" t="n"/>
      <c r="G419" s="24" t="n"/>
      <c r="H419" s="25" t="n"/>
      <c r="I419" s="123" t="n"/>
      <c r="J419" s="123" t="n"/>
      <c r="K419" s="123" t="n"/>
      <c r="L419" s="123" t="n"/>
      <c r="M419" s="123" t="n"/>
      <c r="N419" s="123" t="n"/>
      <c r="O419" s="123" t="n"/>
      <c r="P419" s="123" t="n"/>
      <c r="Q419" s="123" t="n"/>
      <c r="R419" s="123" t="n"/>
      <c r="S419" s="123" t="n"/>
      <c r="T419" s="123" t="n"/>
      <c r="U419" s="123" t="n"/>
    </row>
    <row r="420">
      <c r="A420" s="8" t="n"/>
      <c r="B420" s="14" t="n"/>
      <c r="C420" s="123" t="n"/>
      <c r="D420" s="123" t="n"/>
      <c r="E420" s="123" t="n"/>
      <c r="F420" s="123" t="n"/>
      <c r="G420" s="123" t="n"/>
      <c r="H420" s="123" t="n"/>
      <c r="I420" s="123" t="n"/>
      <c r="J420" s="123" t="n"/>
      <c r="K420" s="123" t="n"/>
      <c r="L420" s="123" t="n"/>
      <c r="M420" s="123" t="n"/>
      <c r="N420" s="123" t="n"/>
      <c r="O420" s="123" t="n"/>
      <c r="P420" s="123" t="n"/>
      <c r="Q420" s="123" t="n"/>
      <c r="R420" s="123" t="n"/>
      <c r="S420" s="123" t="n"/>
      <c r="T420" s="123" t="n"/>
      <c r="U420" s="123" t="n"/>
    </row>
    <row r="421">
      <c r="A421" s="8" t="n"/>
      <c r="B421" s="14" t="n"/>
      <c r="C421" s="123" t="n"/>
      <c r="D421" s="126">
        <f>DADOS_AM!$KT$61</f>
        <v/>
      </c>
      <c r="E421" s="19" t="n"/>
      <c r="F421" s="19" t="n"/>
      <c r="G421" s="19" t="n"/>
      <c r="H421" s="19" t="n"/>
      <c r="I421" s="19" t="n"/>
      <c r="J421" s="19" t="n"/>
      <c r="K421" s="19" t="n"/>
      <c r="L421" s="19" t="n"/>
      <c r="M421" s="19" t="n"/>
      <c r="N421" s="19" t="n"/>
      <c r="O421" s="19" t="n"/>
      <c r="P421" s="19" t="n"/>
      <c r="Q421" s="19" t="n"/>
      <c r="R421" s="19" t="n"/>
      <c r="S421" s="19" t="n"/>
      <c r="T421" s="20" t="n"/>
      <c r="U421" s="123" t="n"/>
    </row>
    <row r="422">
      <c r="A422" s="8" t="n"/>
      <c r="B422" s="14" t="n"/>
      <c r="C422" s="123" t="n"/>
      <c r="D422" s="23" t="n"/>
      <c r="E422" s="24" t="n"/>
      <c r="F422" s="24" t="n"/>
      <c r="G422" s="24" t="n"/>
      <c r="H422" s="24" t="n"/>
      <c r="I422" s="24" t="n"/>
      <c r="J422" s="24" t="n"/>
      <c r="K422" s="24" t="n"/>
      <c r="L422" s="24" t="n"/>
      <c r="M422" s="24" t="n"/>
      <c r="N422" s="24" t="n"/>
      <c r="O422" s="24" t="n"/>
      <c r="P422" s="24" t="n"/>
      <c r="Q422" s="24" t="n"/>
      <c r="R422" s="24" t="n"/>
      <c r="S422" s="24" t="n"/>
      <c r="T422" s="25" t="n"/>
      <c r="U422" s="123" t="n"/>
    </row>
    <row r="423" outlineLevel="1">
      <c r="A423" s="8" t="n"/>
      <c r="B423" s="14" t="n"/>
      <c r="C423" s="123" t="n"/>
      <c r="D423" s="55">
        <f>DADOS_AM!$KT$62</f>
        <v/>
      </c>
      <c r="E423" s="17" t="n"/>
      <c r="F423" s="55" t="inlineStr">
        <is>
          <t>COMPRADAS</t>
        </is>
      </c>
      <c r="G423" s="16" t="n"/>
      <c r="H423" s="17" t="n"/>
      <c r="I423" s="123" t="n"/>
      <c r="J423" s="55">
        <f>DADOS_AM!$KT$64</f>
        <v/>
      </c>
      <c r="K423" s="17" t="n"/>
      <c r="L423" s="55">
        <f>DADOS_AM!$KT$66</f>
        <v/>
      </c>
      <c r="M423" s="16" t="n"/>
      <c r="N423" s="17" t="n"/>
      <c r="O423" s="123" t="n"/>
      <c r="P423" s="55">
        <f>DADOS_AM!$KT$68</f>
        <v/>
      </c>
      <c r="Q423" s="16" t="n"/>
      <c r="R423" s="16" t="n"/>
      <c r="S423" s="16" t="n"/>
      <c r="T423" s="17" t="n"/>
      <c r="U423" s="123" t="n"/>
    </row>
    <row r="424" outlineLevel="1">
      <c r="A424" s="8" t="n"/>
      <c r="B424" s="14" t="n"/>
      <c r="C424" s="123" t="n"/>
      <c r="D424" s="96">
        <f>DADOS_AM!$HK$6</f>
        <v/>
      </c>
      <c r="E424" s="20" t="n"/>
      <c r="F424" s="96">
        <f>DADOS_AM!$KT$63</f>
        <v/>
      </c>
      <c r="G424" s="19" t="n"/>
      <c r="H424" s="20" t="n"/>
      <c r="I424" s="123" t="n"/>
      <c r="J424" s="85">
        <f>DADOS_AM!$KT$65</f>
        <v/>
      </c>
      <c r="K424" s="20" t="n"/>
      <c r="L424" s="85">
        <f>DADOS_AM!$KT$67</f>
        <v/>
      </c>
      <c r="M424" s="19" t="n"/>
      <c r="N424" s="20" t="n"/>
      <c r="O424" s="123" t="n"/>
      <c r="P424" s="85">
        <f>DADOS_AM!$KT$69</f>
        <v/>
      </c>
      <c r="Q424" s="19" t="n"/>
      <c r="R424" s="19" t="n"/>
      <c r="S424" s="19" t="n"/>
      <c r="T424" s="20" t="n"/>
      <c r="U424" s="123" t="n"/>
    </row>
    <row r="425" outlineLevel="1">
      <c r="A425" s="8" t="n"/>
      <c r="B425" s="14" t="n"/>
      <c r="C425" s="123" t="n"/>
      <c r="D425" s="23" t="n"/>
      <c r="E425" s="25" t="n"/>
      <c r="F425" s="23" t="n"/>
      <c r="G425" s="24" t="n"/>
      <c r="H425" s="25" t="n"/>
      <c r="I425" s="123" t="n"/>
      <c r="J425" s="23" t="n"/>
      <c r="K425" s="25" t="n"/>
      <c r="L425" s="23" t="n"/>
      <c r="M425" s="24" t="n"/>
      <c r="N425" s="25" t="n"/>
      <c r="O425" s="123" t="n"/>
      <c r="P425" s="23" t="n"/>
      <c r="Q425" s="24" t="n"/>
      <c r="R425" s="24" t="n"/>
      <c r="S425" s="24" t="n"/>
      <c r="T425" s="25" t="n"/>
      <c r="U425" s="123" t="n"/>
    </row>
    <row r="426" outlineLevel="1">
      <c r="A426" s="8" t="n"/>
      <c r="B426" s="14" t="n"/>
      <c r="C426" s="123" t="n"/>
      <c r="D426" s="123" t="n"/>
      <c r="E426" s="123" t="n"/>
      <c r="F426" s="123" t="n"/>
      <c r="G426" s="123" t="n"/>
      <c r="H426" s="123" t="n"/>
      <c r="I426" s="123" t="n"/>
      <c r="J426" s="123" t="n"/>
      <c r="K426" s="123" t="n"/>
      <c r="L426" s="123" t="n"/>
      <c r="M426" s="123" t="n"/>
      <c r="N426" s="123" t="n"/>
      <c r="O426" s="123" t="n"/>
      <c r="P426" s="123" t="n"/>
      <c r="Q426" s="123" t="n"/>
      <c r="R426" s="123" t="n"/>
      <c r="S426" s="123" t="n"/>
      <c r="T426" s="123" t="n"/>
      <c r="U426" s="123" t="n"/>
    </row>
    <row r="427" outlineLevel="1">
      <c r="A427" s="8" t="n"/>
      <c r="B427" s="14" t="n"/>
      <c r="C427" s="123" t="n"/>
      <c r="D427" s="55">
        <f>DADOS_AM!$KT$70</f>
        <v/>
      </c>
      <c r="E427" s="16" t="n"/>
      <c r="F427" s="16" t="n"/>
      <c r="G427" s="16" t="n"/>
      <c r="H427" s="17" t="n"/>
      <c r="I427" s="123" t="n"/>
      <c r="J427" s="55">
        <f>DADOS_AM!$KT$71</f>
        <v/>
      </c>
      <c r="K427" s="16" t="n"/>
      <c r="L427" s="16" t="n"/>
      <c r="M427" s="16" t="n"/>
      <c r="N427" s="17" t="n"/>
      <c r="O427" s="123" t="n"/>
      <c r="P427" s="55">
        <f>DADOS_AM!$KT$72</f>
        <v/>
      </c>
      <c r="Q427" s="16" t="n"/>
      <c r="R427" s="16" t="n"/>
      <c r="S427" s="16" t="n"/>
      <c r="T427" s="17" t="n"/>
      <c r="U427" s="123" t="n"/>
    </row>
    <row r="428" outlineLevel="1">
      <c r="A428" s="8" t="n"/>
      <c r="B428" s="14" t="n"/>
      <c r="C428" s="123" t="n"/>
      <c r="D428" s="127" t="n"/>
      <c r="E428" s="16" t="n"/>
      <c r="F428" s="16" t="n"/>
      <c r="G428" s="16" t="n"/>
      <c r="H428" s="17" t="n"/>
      <c r="I428" s="123" t="n"/>
      <c r="J428" s="127" t="n"/>
      <c r="K428" s="16" t="n"/>
      <c r="L428" s="16" t="n"/>
      <c r="M428" s="16" t="n"/>
      <c r="N428" s="17" t="n"/>
      <c r="O428" s="123" t="n"/>
      <c r="P428" s="127">
        <f>DADOS_AM!$KT$73</f>
        <v/>
      </c>
      <c r="Q428" s="16" t="n"/>
      <c r="R428" s="16" t="n"/>
      <c r="S428" s="16" t="n"/>
      <c r="T428" s="17" t="n"/>
      <c r="U428" s="123" t="n"/>
    </row>
    <row r="429" outlineLevel="1">
      <c r="A429" s="8" t="n"/>
      <c r="B429" s="14" t="n"/>
      <c r="C429" s="123" t="n"/>
      <c r="D429" s="123" t="n"/>
      <c r="E429" s="123" t="n"/>
      <c r="F429" s="123" t="n"/>
      <c r="G429" s="123" t="n"/>
      <c r="H429" s="123" t="n"/>
      <c r="I429" s="123" t="n"/>
      <c r="J429" s="123" t="n"/>
      <c r="K429" s="123" t="n"/>
      <c r="L429" s="123" t="n"/>
      <c r="M429" s="123" t="n"/>
      <c r="N429" s="123" t="n"/>
      <c r="O429" s="123" t="n"/>
      <c r="P429" s="123" t="n"/>
      <c r="Q429" s="123" t="n"/>
      <c r="R429" s="123" t="n"/>
      <c r="S429" s="123" t="n"/>
      <c r="T429" s="123" t="n"/>
      <c r="U429" s="123" t="n"/>
    </row>
    <row r="430" outlineLevel="1">
      <c r="A430" s="8" t="n"/>
      <c r="B430" s="14" t="n"/>
      <c r="C430" s="123" t="n"/>
      <c r="D430" s="137" t="n"/>
      <c r="E430" s="16" t="n"/>
      <c r="F430" s="17" t="n"/>
      <c r="G430" s="132">
        <f>DADOS_AM!$HZ$2</f>
        <v/>
      </c>
      <c r="H430" s="17" t="n"/>
      <c r="I430" s="123" t="n"/>
      <c r="J430" s="137" t="n"/>
      <c r="K430" s="16" t="n"/>
      <c r="L430" s="17" t="n"/>
      <c r="M430" s="132">
        <f>DADOS_AM!$HZ$3</f>
        <v/>
      </c>
      <c r="N430" s="17" t="n"/>
      <c r="O430" s="123" t="n"/>
      <c r="P430" s="137" t="n"/>
      <c r="Q430" s="16" t="n"/>
      <c r="R430" s="17" t="n"/>
      <c r="S430" s="132">
        <f>DADOS_AM!$HZ$4</f>
        <v/>
      </c>
      <c r="T430" s="17" t="n"/>
      <c r="U430" s="123" t="n"/>
    </row>
    <row r="431" outlineLevel="1">
      <c r="A431" s="8" t="n"/>
      <c r="B431" s="14" t="n"/>
      <c r="C431" s="123" t="n"/>
      <c r="D431" s="138">
        <f>DADOS_AM!$HY$2</f>
        <v/>
      </c>
      <c r="E431" s="19" t="n"/>
      <c r="F431" s="19" t="n"/>
      <c r="G431" s="19" t="n"/>
      <c r="H431" s="20" t="n"/>
      <c r="I431" s="123" t="n"/>
      <c r="J431" s="138">
        <f>DADOS_AM!$HY$3</f>
        <v/>
      </c>
      <c r="K431" s="19" t="n"/>
      <c r="L431" s="19" t="n"/>
      <c r="M431" s="19" t="n"/>
      <c r="N431" s="20" t="n"/>
      <c r="O431" s="123" t="n"/>
      <c r="P431" s="138">
        <f>DADOS_AM!$HY$4</f>
        <v/>
      </c>
      <c r="Q431" s="19" t="n"/>
      <c r="R431" s="19" t="n"/>
      <c r="S431" s="19" t="n"/>
      <c r="T431" s="20" t="n"/>
      <c r="U431" s="123" t="n"/>
    </row>
    <row r="432" outlineLevel="1">
      <c r="A432" s="8" t="n"/>
      <c r="B432" s="14" t="n"/>
      <c r="C432" s="123" t="n"/>
      <c r="D432" s="23" t="n"/>
      <c r="E432" s="24" t="n"/>
      <c r="F432" s="24" t="n"/>
      <c r="G432" s="24" t="n"/>
      <c r="H432" s="25" t="n"/>
      <c r="I432" s="123" t="n"/>
      <c r="J432" s="23" t="n"/>
      <c r="K432" s="24" t="n"/>
      <c r="L432" s="24" t="n"/>
      <c r="M432" s="24" t="n"/>
      <c r="N432" s="25" t="n"/>
      <c r="O432" s="123" t="n"/>
      <c r="P432" s="23" t="n"/>
      <c r="Q432" s="24" t="n"/>
      <c r="R432" s="24" t="n"/>
      <c r="S432" s="24" t="n"/>
      <c r="T432" s="25" t="n"/>
      <c r="U432" s="123" t="n"/>
    </row>
    <row r="433" outlineLevel="2">
      <c r="A433" s="8" t="n"/>
      <c r="B433" s="14" t="n"/>
      <c r="C433" s="123" t="n"/>
      <c r="D433" s="55" t="inlineStr">
        <is>
          <t>O QUE FAZ</t>
        </is>
      </c>
      <c r="E433" s="16" t="n"/>
      <c r="F433" s="16" t="n"/>
      <c r="G433" s="16" t="n"/>
      <c r="H433" s="17" t="n"/>
      <c r="I433" s="123" t="n"/>
      <c r="J433" s="55" t="inlineStr">
        <is>
          <t>O QUE FAZ</t>
        </is>
      </c>
      <c r="K433" s="16" t="n"/>
      <c r="L433" s="16" t="n"/>
      <c r="M433" s="16" t="n"/>
      <c r="N433" s="17" t="n"/>
      <c r="O433" s="123" t="n"/>
      <c r="P433" s="55" t="inlineStr">
        <is>
          <t>O QUE FAZ</t>
        </is>
      </c>
      <c r="Q433" s="16" t="n"/>
      <c r="R433" s="16" t="n"/>
      <c r="S433" s="16" t="n"/>
      <c r="T433" s="17" t="n"/>
      <c r="U433" s="123" t="n"/>
    </row>
    <row r="434" outlineLevel="2">
      <c r="A434" s="8" t="n"/>
      <c r="B434" s="14" t="n"/>
      <c r="C434" s="123" t="n"/>
      <c r="D434" s="139">
        <f>DADOS_AM!$IB$2</f>
        <v/>
      </c>
      <c r="E434" s="19" t="n"/>
      <c r="F434" s="19" t="n"/>
      <c r="G434" s="19" t="n"/>
      <c r="H434" s="20" t="n"/>
      <c r="I434" s="123" t="n"/>
      <c r="J434" s="139">
        <f>DADOS_AM!$IB$3</f>
        <v/>
      </c>
      <c r="K434" s="19" t="n"/>
      <c r="L434" s="19" t="n"/>
      <c r="M434" s="19" t="n"/>
      <c r="N434" s="20" t="n"/>
      <c r="O434" s="123" t="n"/>
      <c r="P434" s="139">
        <f>DADOS_AM!$IB$4</f>
        <v/>
      </c>
      <c r="Q434" s="19" t="n"/>
      <c r="R434" s="19" t="n"/>
      <c r="S434" s="19" t="n"/>
      <c r="T434" s="20" t="n"/>
      <c r="U434" s="123" t="n"/>
    </row>
    <row r="435" outlineLevel="2">
      <c r="A435" s="8" t="n"/>
      <c r="B435" s="14" t="n"/>
      <c r="C435" s="123" t="n"/>
      <c r="D435" s="21" t="n"/>
      <c r="H435" s="22" t="n"/>
      <c r="I435" s="123" t="n"/>
      <c r="J435" s="21" t="n"/>
      <c r="N435" s="22" t="n"/>
      <c r="O435" s="123" t="n"/>
      <c r="P435" s="21" t="n"/>
      <c r="T435" s="22" t="n"/>
      <c r="U435" s="123" t="n"/>
    </row>
    <row r="436" outlineLevel="2">
      <c r="A436" s="8" t="n"/>
      <c r="B436" s="14" t="n"/>
      <c r="C436" s="123" t="n"/>
      <c r="D436" s="21" t="n"/>
      <c r="H436" s="22" t="n"/>
      <c r="I436" s="123" t="n"/>
      <c r="J436" s="21" t="n"/>
      <c r="N436" s="22" t="n"/>
      <c r="O436" s="123" t="n"/>
      <c r="P436" s="21" t="n"/>
      <c r="T436" s="22" t="n"/>
      <c r="U436" s="123" t="n"/>
    </row>
    <row r="437" outlineLevel="2">
      <c r="A437" s="8" t="n"/>
      <c r="B437" s="14" t="n"/>
      <c r="C437" s="123" t="n"/>
      <c r="D437" s="21" t="n"/>
      <c r="H437" s="22" t="n"/>
      <c r="I437" s="123" t="n"/>
      <c r="J437" s="21" t="n"/>
      <c r="N437" s="22" t="n"/>
      <c r="O437" s="123" t="n"/>
      <c r="P437" s="21" t="n"/>
      <c r="T437" s="22" t="n"/>
      <c r="U437" s="123" t="n"/>
    </row>
    <row r="438" outlineLevel="2">
      <c r="A438" s="8" t="n"/>
      <c r="B438" s="14" t="n"/>
      <c r="C438" s="123" t="n"/>
      <c r="D438" s="21" t="n"/>
      <c r="H438" s="22" t="n"/>
      <c r="I438" s="123" t="n"/>
      <c r="J438" s="21" t="n"/>
      <c r="N438" s="22" t="n"/>
      <c r="O438" s="123" t="n"/>
      <c r="P438" s="21" t="n"/>
      <c r="T438" s="22" t="n"/>
      <c r="U438" s="123" t="n"/>
    </row>
    <row r="439" outlineLevel="2">
      <c r="A439" s="8" t="n"/>
      <c r="B439" s="14" t="n"/>
      <c r="C439" s="123" t="n"/>
      <c r="D439" s="21" t="n"/>
      <c r="H439" s="22" t="n"/>
      <c r="I439" s="123" t="n"/>
      <c r="J439" s="21" t="n"/>
      <c r="N439" s="22" t="n"/>
      <c r="O439" s="123" t="n"/>
      <c r="P439" s="21" t="n"/>
      <c r="T439" s="22" t="n"/>
      <c r="U439" s="123" t="n"/>
    </row>
    <row r="440" outlineLevel="2">
      <c r="A440" s="8" t="n"/>
      <c r="B440" s="14" t="n"/>
      <c r="C440" s="123" t="n"/>
      <c r="D440" s="21" t="n"/>
      <c r="H440" s="22" t="n"/>
      <c r="I440" s="123" t="n"/>
      <c r="J440" s="21" t="n"/>
      <c r="N440" s="22" t="n"/>
      <c r="O440" s="123" t="n"/>
      <c r="P440" s="21" t="n"/>
      <c r="T440" s="22" t="n"/>
      <c r="U440" s="123" t="n"/>
    </row>
    <row r="441" outlineLevel="2">
      <c r="A441" s="8" t="n"/>
      <c r="B441" s="14" t="n"/>
      <c r="C441" s="123" t="n"/>
      <c r="D441" s="21" t="n"/>
      <c r="H441" s="22" t="n"/>
      <c r="I441" s="123" t="n"/>
      <c r="J441" s="21" t="n"/>
      <c r="N441" s="22" t="n"/>
      <c r="O441" s="123" t="n"/>
      <c r="P441" s="21" t="n"/>
      <c r="T441" s="22" t="n"/>
      <c r="U441" s="123" t="n"/>
    </row>
    <row r="442" outlineLevel="2">
      <c r="A442" s="8" t="n"/>
      <c r="B442" s="14" t="n"/>
      <c r="C442" s="123" t="n"/>
      <c r="D442" s="21" t="n"/>
      <c r="H442" s="22" t="n"/>
      <c r="I442" s="123" t="n"/>
      <c r="J442" s="21" t="n"/>
      <c r="N442" s="22" t="n"/>
      <c r="O442" s="123" t="n"/>
      <c r="P442" s="21" t="n"/>
      <c r="T442" s="22" t="n"/>
      <c r="U442" s="123" t="n"/>
    </row>
    <row r="443" outlineLevel="2">
      <c r="A443" s="8" t="n"/>
      <c r="B443" s="14" t="n"/>
      <c r="C443" s="123" t="n"/>
      <c r="D443" s="21" t="n"/>
      <c r="H443" s="22" t="n"/>
      <c r="I443" s="123" t="n"/>
      <c r="J443" s="21" t="n"/>
      <c r="N443" s="22" t="n"/>
      <c r="O443" s="123" t="n"/>
      <c r="P443" s="21" t="n"/>
      <c r="T443" s="22" t="n"/>
      <c r="U443" s="123" t="n"/>
    </row>
    <row r="444" outlineLevel="2">
      <c r="A444" s="8" t="n"/>
      <c r="B444" s="14" t="n"/>
      <c r="C444" s="123" t="n"/>
      <c r="D444" s="21" t="n"/>
      <c r="H444" s="22" t="n"/>
      <c r="I444" s="123" t="n"/>
      <c r="J444" s="21" t="n"/>
      <c r="N444" s="22" t="n"/>
      <c r="O444" s="123" t="n"/>
      <c r="P444" s="21" t="n"/>
      <c r="T444" s="22" t="n"/>
      <c r="U444" s="123" t="n"/>
    </row>
    <row r="445" outlineLevel="2">
      <c r="A445" s="8" t="n"/>
      <c r="B445" s="14" t="n"/>
      <c r="C445" s="123" t="n"/>
      <c r="D445" s="23" t="n"/>
      <c r="E445" s="24" t="n"/>
      <c r="F445" s="24" t="n"/>
      <c r="G445" s="24" t="n"/>
      <c r="H445" s="25" t="n"/>
      <c r="I445" s="123" t="n"/>
      <c r="J445" s="23" t="n"/>
      <c r="K445" s="24" t="n"/>
      <c r="L445" s="24" t="n"/>
      <c r="M445" s="24" t="n"/>
      <c r="N445" s="25" t="n"/>
      <c r="O445" s="123" t="n"/>
      <c r="P445" s="23" t="n"/>
      <c r="Q445" s="24" t="n"/>
      <c r="R445" s="24" t="n"/>
      <c r="S445" s="24" t="n"/>
      <c r="T445" s="25" t="n"/>
      <c r="U445" s="123" t="n"/>
    </row>
    <row r="446" outlineLevel="2">
      <c r="A446" s="8" t="n"/>
      <c r="B446" s="14" t="n"/>
      <c r="C446" s="123" t="n"/>
      <c r="D446" s="55">
        <f>DADOS_AM!$KT$74</f>
        <v/>
      </c>
      <c r="E446" s="140">
        <f>DADOS_AM!$IA$2</f>
        <v/>
      </c>
      <c r="F446" s="16" t="n"/>
      <c r="G446" s="16" t="n"/>
      <c r="H446" s="17" t="n"/>
      <c r="I446" s="123" t="n"/>
      <c r="J446" s="55">
        <f>DADOS_AM!$KT$75</f>
        <v/>
      </c>
      <c r="K446" s="140">
        <f>DADOS_AM!$IA$3</f>
        <v/>
      </c>
      <c r="L446" s="16" t="n"/>
      <c r="M446" s="16" t="n"/>
      <c r="N446" s="17" t="n"/>
      <c r="O446" s="123" t="n"/>
      <c r="P446" s="55">
        <f>DADOS_AM!$KT$76</f>
        <v/>
      </c>
      <c r="Q446" s="140">
        <f>DADOS_AM!$IA$4</f>
        <v/>
      </c>
      <c r="R446" s="16" t="n"/>
      <c r="S446" s="16" t="n"/>
      <c r="T446" s="17" t="n"/>
      <c r="U446" s="123" t="n"/>
    </row>
    <row r="447" outlineLevel="2">
      <c r="A447" s="8" t="n"/>
      <c r="B447" s="14" t="n"/>
      <c r="C447" s="123" t="n"/>
      <c r="D447" s="55" t="inlineStr">
        <is>
          <t>SEU TEXTO</t>
        </is>
      </c>
      <c r="E447" s="119" t="n"/>
      <c r="F447" s="19" t="n"/>
      <c r="G447" s="19" t="n"/>
      <c r="H447" s="20" t="n"/>
      <c r="I447" s="123" t="n"/>
      <c r="J447" s="55" t="inlineStr">
        <is>
          <t>SEU TEXTO</t>
        </is>
      </c>
      <c r="K447" s="119" t="n"/>
      <c r="L447" s="19" t="n"/>
      <c r="M447" s="19" t="n"/>
      <c r="N447" s="20" t="n"/>
      <c r="O447" s="123" t="n"/>
      <c r="P447" s="55" t="inlineStr">
        <is>
          <t>SEU TEXTO</t>
        </is>
      </c>
      <c r="Q447" s="119" t="n"/>
      <c r="R447" s="19" t="n"/>
      <c r="S447" s="19" t="n"/>
      <c r="T447" s="20" t="n"/>
      <c r="U447" s="123" t="n"/>
    </row>
    <row r="448" outlineLevel="2">
      <c r="A448" s="8" t="n"/>
      <c r="B448" s="14" t="n"/>
      <c r="C448" s="123" t="n"/>
      <c r="D448" s="128" t="n"/>
      <c r="E448" s="23" t="n"/>
      <c r="F448" s="24" t="n"/>
      <c r="G448" s="24" t="n"/>
      <c r="H448" s="25" t="n"/>
      <c r="I448" s="123" t="n"/>
      <c r="J448" s="128" t="n"/>
      <c r="K448" s="23" t="n"/>
      <c r="L448" s="24" t="n"/>
      <c r="M448" s="24" t="n"/>
      <c r="N448" s="25" t="n"/>
      <c r="O448" s="123" t="n"/>
      <c r="P448" s="128" t="n"/>
      <c r="Q448" s="23" t="n"/>
      <c r="R448" s="24" t="n"/>
      <c r="S448" s="24" t="n"/>
      <c r="T448" s="25" t="n"/>
      <c r="U448" s="123" t="n"/>
    </row>
    <row r="449" outlineLevel="1">
      <c r="A449" s="8" t="n"/>
      <c r="B449" s="14" t="n"/>
      <c r="C449" s="123" t="n"/>
      <c r="D449" s="123" t="n"/>
      <c r="E449" s="123" t="n"/>
      <c r="F449" s="123" t="n"/>
      <c r="G449" s="123" t="n"/>
      <c r="H449" s="123" t="n"/>
      <c r="I449" s="123" t="n"/>
      <c r="J449" s="123" t="n"/>
      <c r="K449" s="123" t="n"/>
      <c r="L449" s="123" t="n"/>
      <c r="M449" s="123" t="n"/>
      <c r="N449" s="123" t="n"/>
      <c r="O449" s="123" t="n"/>
      <c r="P449" s="123" t="n"/>
      <c r="Q449" s="123" t="n"/>
      <c r="R449" s="123" t="n"/>
      <c r="S449" s="123" t="n"/>
      <c r="T449" s="123" t="n"/>
      <c r="U449" s="123" t="n"/>
    </row>
    <row r="450" outlineLevel="1">
      <c r="A450" s="8" t="n"/>
      <c r="B450" s="14" t="n"/>
      <c r="C450" s="123" t="n"/>
      <c r="D450" s="137" t="n"/>
      <c r="E450" s="16" t="n"/>
      <c r="F450" s="17" t="n"/>
      <c r="G450" s="132">
        <f>DADOS_AM!$HZ$5</f>
        <v/>
      </c>
      <c r="H450" s="17" t="n"/>
      <c r="I450" s="123" t="n"/>
      <c r="J450" s="137" t="n"/>
      <c r="K450" s="16" t="n"/>
      <c r="L450" s="17" t="n"/>
      <c r="M450" s="132">
        <f>DADOS_AM!$HZ$6</f>
        <v/>
      </c>
      <c r="N450" s="17" t="n"/>
      <c r="O450" s="123" t="n"/>
      <c r="P450" s="137" t="n"/>
      <c r="Q450" s="16" t="n"/>
      <c r="R450" s="17" t="n"/>
      <c r="S450" s="132">
        <f>DADOS_AM!$HZ$7</f>
        <v/>
      </c>
      <c r="T450" s="17" t="n"/>
      <c r="U450" s="123" t="n"/>
    </row>
    <row r="451" outlineLevel="1">
      <c r="A451" s="8" t="n"/>
      <c r="B451" s="14" t="n"/>
      <c r="C451" s="123" t="n"/>
      <c r="D451" s="138">
        <f>DADOS_AM!$HY$5</f>
        <v/>
      </c>
      <c r="E451" s="19" t="n"/>
      <c r="F451" s="19" t="n"/>
      <c r="G451" s="19" t="n"/>
      <c r="H451" s="20" t="n"/>
      <c r="I451" s="123" t="n"/>
      <c r="J451" s="138">
        <f>DADOS_AM!$HY$6</f>
        <v/>
      </c>
      <c r="K451" s="19" t="n"/>
      <c r="L451" s="19" t="n"/>
      <c r="M451" s="19" t="n"/>
      <c r="N451" s="20" t="n"/>
      <c r="O451" s="123" t="n"/>
      <c r="P451" s="138">
        <f>DADOS_AM!$HY$7</f>
        <v/>
      </c>
      <c r="Q451" s="19" t="n"/>
      <c r="R451" s="19" t="n"/>
      <c r="S451" s="19" t="n"/>
      <c r="T451" s="20" t="n"/>
      <c r="U451" s="123" t="n"/>
    </row>
    <row r="452" outlineLevel="1">
      <c r="A452" s="8" t="n"/>
      <c r="B452" s="14" t="n"/>
      <c r="C452" s="123" t="n"/>
      <c r="D452" s="23" t="n"/>
      <c r="E452" s="24" t="n"/>
      <c r="F452" s="24" t="n"/>
      <c r="G452" s="24" t="n"/>
      <c r="H452" s="25" t="n"/>
      <c r="I452" s="123" t="n"/>
      <c r="J452" s="23" t="n"/>
      <c r="K452" s="24" t="n"/>
      <c r="L452" s="24" t="n"/>
      <c r="M452" s="24" t="n"/>
      <c r="N452" s="25" t="n"/>
      <c r="O452" s="123" t="n"/>
      <c r="P452" s="23" t="n"/>
      <c r="Q452" s="24" t="n"/>
      <c r="R452" s="24" t="n"/>
      <c r="S452" s="24" t="n"/>
      <c r="T452" s="25" t="n"/>
      <c r="U452" s="123" t="n"/>
    </row>
    <row r="453" hidden="1" outlineLevel="2">
      <c r="A453" s="8" t="n"/>
      <c r="B453" s="14" t="n"/>
      <c r="C453" s="123" t="n"/>
      <c r="D453" s="55" t="inlineStr">
        <is>
          <t>O QUE FAZ</t>
        </is>
      </c>
      <c r="E453" s="16" t="n"/>
      <c r="F453" s="16" t="n"/>
      <c r="G453" s="16" t="n"/>
      <c r="H453" s="17" t="n"/>
      <c r="I453" s="123" t="n"/>
      <c r="J453" s="55" t="inlineStr">
        <is>
          <t>O QUE FAZ</t>
        </is>
      </c>
      <c r="K453" s="16" t="n"/>
      <c r="L453" s="16" t="n"/>
      <c r="M453" s="16" t="n"/>
      <c r="N453" s="17" t="n"/>
      <c r="O453" s="123" t="n"/>
      <c r="P453" s="55" t="inlineStr">
        <is>
          <t>O QUE FAZ</t>
        </is>
      </c>
      <c r="Q453" s="16" t="n"/>
      <c r="R453" s="16" t="n"/>
      <c r="S453" s="16" t="n"/>
      <c r="T453" s="17" t="n"/>
      <c r="U453" s="123" t="n"/>
    </row>
    <row r="454" hidden="1" outlineLevel="2">
      <c r="A454" s="8" t="n"/>
      <c r="B454" s="14" t="n"/>
      <c r="C454" s="123" t="n"/>
      <c r="D454" s="139">
        <f>DADOS_AM!$IB$5</f>
        <v/>
      </c>
      <c r="E454" s="19" t="n"/>
      <c r="F454" s="19" t="n"/>
      <c r="G454" s="19" t="n"/>
      <c r="H454" s="20" t="n"/>
      <c r="I454" s="123" t="n"/>
      <c r="J454" s="139">
        <f>DADOS_AM!$IB$6</f>
        <v/>
      </c>
      <c r="K454" s="19" t="n"/>
      <c r="L454" s="19" t="n"/>
      <c r="M454" s="19" t="n"/>
      <c r="N454" s="20" t="n"/>
      <c r="O454" s="123" t="n"/>
      <c r="P454" s="139">
        <f>DADOS_AM!$IB$7</f>
        <v/>
      </c>
      <c r="Q454" s="19" t="n"/>
      <c r="R454" s="19" t="n"/>
      <c r="S454" s="19" t="n"/>
      <c r="T454" s="20" t="n"/>
      <c r="U454" s="123" t="n"/>
    </row>
    <row r="455" hidden="1" outlineLevel="2">
      <c r="A455" s="8" t="n"/>
      <c r="B455" s="14" t="n"/>
      <c r="C455" s="123" t="n"/>
      <c r="D455" s="21" t="n"/>
      <c r="H455" s="22" t="n"/>
      <c r="I455" s="123" t="n"/>
      <c r="J455" s="21" t="n"/>
      <c r="N455" s="22" t="n"/>
      <c r="O455" s="123" t="n"/>
      <c r="P455" s="21" t="n"/>
      <c r="T455" s="22" t="n"/>
      <c r="U455" s="123" t="n"/>
    </row>
    <row r="456" hidden="1" outlineLevel="2">
      <c r="A456" s="8" t="n"/>
      <c r="B456" s="14" t="n"/>
      <c r="C456" s="123" t="n"/>
      <c r="D456" s="21" t="n"/>
      <c r="H456" s="22" t="n"/>
      <c r="I456" s="123" t="n"/>
      <c r="J456" s="21" t="n"/>
      <c r="N456" s="22" t="n"/>
      <c r="O456" s="123" t="n"/>
      <c r="P456" s="21" t="n"/>
      <c r="T456" s="22" t="n"/>
      <c r="U456" s="123" t="n"/>
    </row>
    <row r="457" hidden="1" outlineLevel="2">
      <c r="A457" s="8" t="n"/>
      <c r="B457" s="14" t="n"/>
      <c r="C457" s="123" t="n"/>
      <c r="D457" s="21" t="n"/>
      <c r="H457" s="22" t="n"/>
      <c r="I457" s="123" t="n"/>
      <c r="J457" s="21" t="n"/>
      <c r="N457" s="22" t="n"/>
      <c r="O457" s="123" t="n"/>
      <c r="P457" s="21" t="n"/>
      <c r="T457" s="22" t="n"/>
      <c r="U457" s="123" t="n"/>
    </row>
    <row r="458" hidden="1" outlineLevel="2">
      <c r="A458" s="8" t="n"/>
      <c r="B458" s="14" t="n"/>
      <c r="C458" s="123" t="n"/>
      <c r="D458" s="21" t="n"/>
      <c r="H458" s="22" t="n"/>
      <c r="I458" s="123" t="n"/>
      <c r="J458" s="21" t="n"/>
      <c r="N458" s="22" t="n"/>
      <c r="O458" s="123" t="n"/>
      <c r="P458" s="21" t="n"/>
      <c r="T458" s="22" t="n"/>
      <c r="U458" s="123" t="n"/>
    </row>
    <row r="459" hidden="1" outlineLevel="2">
      <c r="A459" s="8" t="n"/>
      <c r="B459" s="14" t="n"/>
      <c r="C459" s="123" t="n"/>
      <c r="D459" s="21" t="n"/>
      <c r="H459" s="22" t="n"/>
      <c r="I459" s="123" t="n"/>
      <c r="J459" s="21" t="n"/>
      <c r="N459" s="22" t="n"/>
      <c r="O459" s="123" t="n"/>
      <c r="P459" s="21" t="n"/>
      <c r="T459" s="22" t="n"/>
      <c r="U459" s="123" t="n"/>
    </row>
    <row r="460" hidden="1" outlineLevel="2">
      <c r="A460" s="8" t="n"/>
      <c r="B460" s="14" t="n"/>
      <c r="C460" s="123" t="n"/>
      <c r="D460" s="21" t="n"/>
      <c r="H460" s="22" t="n"/>
      <c r="I460" s="123" t="n"/>
      <c r="J460" s="21" t="n"/>
      <c r="N460" s="22" t="n"/>
      <c r="O460" s="123" t="n"/>
      <c r="P460" s="21" t="n"/>
      <c r="T460" s="22" t="n"/>
      <c r="U460" s="123" t="n"/>
    </row>
    <row r="461" hidden="1" outlineLevel="2">
      <c r="A461" s="8" t="n"/>
      <c r="B461" s="14" t="n"/>
      <c r="C461" s="123" t="n"/>
      <c r="D461" s="21" t="n"/>
      <c r="H461" s="22" t="n"/>
      <c r="I461" s="123" t="n"/>
      <c r="J461" s="21" t="n"/>
      <c r="N461" s="22" t="n"/>
      <c r="O461" s="123" t="n"/>
      <c r="P461" s="21" t="n"/>
      <c r="T461" s="22" t="n"/>
      <c r="U461" s="123" t="n"/>
    </row>
    <row r="462" hidden="1" outlineLevel="2">
      <c r="A462" s="8" t="n"/>
      <c r="B462" s="14" t="n"/>
      <c r="C462" s="123" t="n"/>
      <c r="D462" s="21" t="n"/>
      <c r="H462" s="22" t="n"/>
      <c r="I462" s="123" t="n"/>
      <c r="J462" s="21" t="n"/>
      <c r="N462" s="22" t="n"/>
      <c r="O462" s="123" t="n"/>
      <c r="P462" s="21" t="n"/>
      <c r="T462" s="22" t="n"/>
      <c r="U462" s="123" t="n"/>
    </row>
    <row r="463" hidden="1" outlineLevel="2">
      <c r="A463" s="8" t="n"/>
      <c r="B463" s="14" t="n"/>
      <c r="C463" s="123" t="n"/>
      <c r="D463" s="21" t="n"/>
      <c r="H463" s="22" t="n"/>
      <c r="I463" s="123" t="n"/>
      <c r="J463" s="21" t="n"/>
      <c r="N463" s="22" t="n"/>
      <c r="O463" s="123" t="n"/>
      <c r="P463" s="21" t="n"/>
      <c r="T463" s="22" t="n"/>
      <c r="U463" s="123" t="n"/>
    </row>
    <row r="464" hidden="1" outlineLevel="2">
      <c r="A464" s="8" t="n"/>
      <c r="B464" s="14" t="n"/>
      <c r="C464" s="123" t="n"/>
      <c r="D464" s="21" t="n"/>
      <c r="H464" s="22" t="n"/>
      <c r="I464" s="123" t="n"/>
      <c r="J464" s="21" t="n"/>
      <c r="N464" s="22" t="n"/>
      <c r="O464" s="123" t="n"/>
      <c r="P464" s="21" t="n"/>
      <c r="T464" s="22" t="n"/>
      <c r="U464" s="123" t="n"/>
    </row>
    <row r="465" hidden="1" outlineLevel="2">
      <c r="A465" s="8" t="n"/>
      <c r="B465" s="14" t="n"/>
      <c r="C465" s="123" t="n"/>
      <c r="D465" s="23" t="n"/>
      <c r="E465" s="24" t="n"/>
      <c r="F465" s="24" t="n"/>
      <c r="G465" s="24" t="n"/>
      <c r="H465" s="25" t="n"/>
      <c r="I465" s="123" t="n"/>
      <c r="J465" s="23" t="n"/>
      <c r="K465" s="24" t="n"/>
      <c r="L465" s="24" t="n"/>
      <c r="M465" s="24" t="n"/>
      <c r="N465" s="25" t="n"/>
      <c r="O465" s="123" t="n"/>
      <c r="P465" s="23" t="n"/>
      <c r="Q465" s="24" t="n"/>
      <c r="R465" s="24" t="n"/>
      <c r="S465" s="24" t="n"/>
      <c r="T465" s="25" t="n"/>
      <c r="U465" s="123" t="n"/>
    </row>
    <row r="466" hidden="1" outlineLevel="2">
      <c r="A466" s="8" t="n"/>
      <c r="B466" s="14" t="n"/>
      <c r="C466" s="123" t="n"/>
      <c r="D466" s="55">
        <f>DADOS_AM!$KT$77</f>
        <v/>
      </c>
      <c r="E466" s="140">
        <f>DADOS_AM!$IA$5</f>
        <v/>
      </c>
      <c r="F466" s="16" t="n"/>
      <c r="G466" s="16" t="n"/>
      <c r="H466" s="17" t="n"/>
      <c r="I466" s="123" t="n"/>
      <c r="J466" s="55">
        <f>DADOS_AM!$KT$78</f>
        <v/>
      </c>
      <c r="K466" s="140">
        <f>DADOS_AM!$IA$6</f>
        <v/>
      </c>
      <c r="L466" s="16" t="n"/>
      <c r="M466" s="16" t="n"/>
      <c r="N466" s="17" t="n"/>
      <c r="O466" s="123" t="n"/>
      <c r="P466" s="55">
        <f>DADOS_AM!$KT$79</f>
        <v/>
      </c>
      <c r="Q466" s="140">
        <f>DADOS_AM!$IA$7</f>
        <v/>
      </c>
      <c r="R466" s="16" t="n"/>
      <c r="S466" s="16" t="n"/>
      <c r="T466" s="17" t="n"/>
      <c r="U466" s="123" t="n"/>
    </row>
    <row r="467" hidden="1" outlineLevel="2">
      <c r="A467" s="8" t="n"/>
      <c r="B467" s="14" t="n"/>
      <c r="C467" s="123" t="n"/>
      <c r="D467" s="55" t="inlineStr">
        <is>
          <t>SEU TEXTO</t>
        </is>
      </c>
      <c r="E467" s="119" t="n"/>
      <c r="F467" s="19" t="n"/>
      <c r="G467" s="19" t="n"/>
      <c r="H467" s="20" t="n"/>
      <c r="I467" s="123" t="n"/>
      <c r="J467" s="55" t="inlineStr">
        <is>
          <t>SEU TEXTO</t>
        </is>
      </c>
      <c r="K467" s="119" t="n"/>
      <c r="L467" s="19" t="n"/>
      <c r="M467" s="19" t="n"/>
      <c r="N467" s="20" t="n"/>
      <c r="O467" s="123" t="n"/>
      <c r="P467" s="55" t="inlineStr">
        <is>
          <t>SEU TEXTO</t>
        </is>
      </c>
      <c r="Q467" s="119" t="n"/>
      <c r="R467" s="19" t="n"/>
      <c r="S467" s="19" t="n"/>
      <c r="T467" s="20" t="n"/>
      <c r="U467" s="123" t="n"/>
    </row>
    <row r="468" hidden="1" outlineLevel="2">
      <c r="A468" s="8" t="n"/>
      <c r="B468" s="14" t="n"/>
      <c r="C468" s="123" t="n"/>
      <c r="D468" s="128" t="n"/>
      <c r="E468" s="23" t="n"/>
      <c r="F468" s="24" t="n"/>
      <c r="G468" s="24" t="n"/>
      <c r="H468" s="25" t="n"/>
      <c r="I468" s="123" t="n"/>
      <c r="J468" s="128" t="n"/>
      <c r="K468" s="23" t="n"/>
      <c r="L468" s="24" t="n"/>
      <c r="M468" s="24" t="n"/>
      <c r="N468" s="25" t="n"/>
      <c r="O468" s="123" t="n"/>
      <c r="P468" s="128" t="n"/>
      <c r="Q468" s="23" t="n"/>
      <c r="R468" s="24" t="n"/>
      <c r="S468" s="24" t="n"/>
      <c r="T468" s="25" t="n"/>
      <c r="U468" s="123" t="n"/>
    </row>
    <row r="469" outlineLevel="1">
      <c r="A469" s="8" t="n"/>
      <c r="B469" s="14" t="n"/>
      <c r="C469" s="123" t="n"/>
      <c r="D469" s="123" t="n"/>
      <c r="E469" s="123" t="n"/>
      <c r="F469" s="123" t="n"/>
      <c r="G469" s="123" t="n"/>
      <c r="H469" s="123" t="n"/>
      <c r="I469" s="123" t="n"/>
      <c r="J469" s="123" t="n"/>
      <c r="K469" s="123" t="n"/>
      <c r="L469" s="123" t="n"/>
      <c r="M469" s="123" t="n"/>
      <c r="N469" s="123" t="n"/>
      <c r="O469" s="123" t="n"/>
      <c r="P469" s="123" t="n"/>
      <c r="Q469" s="123" t="n"/>
      <c r="R469" s="123" t="n"/>
      <c r="S469" s="123" t="n"/>
      <c r="T469" s="123" t="n"/>
      <c r="U469" s="123" t="n"/>
    </row>
    <row r="470" outlineLevel="1">
      <c r="A470" s="8" t="n"/>
      <c r="B470" s="14" t="n"/>
      <c r="C470" s="123" t="n"/>
      <c r="D470" s="136">
        <f>DADOS_AM!$KT$86</f>
        <v/>
      </c>
      <c r="E470" s="16" t="n"/>
      <c r="F470" s="16" t="n"/>
      <c r="G470" s="16" t="n"/>
      <c r="H470" s="16" t="n"/>
      <c r="I470" s="16" t="n"/>
      <c r="J470" s="16" t="n"/>
      <c r="K470" s="16" t="n"/>
      <c r="L470" s="16" t="n"/>
      <c r="M470" s="16" t="n"/>
      <c r="N470" s="16" t="n"/>
      <c r="O470" s="16" t="n"/>
      <c r="P470" s="16" t="n"/>
      <c r="Q470" s="16" t="n"/>
      <c r="R470" s="16" t="n"/>
      <c r="S470" s="16" t="n"/>
      <c r="T470" s="17" t="n"/>
      <c r="U470" s="123" t="n"/>
    </row>
    <row r="471" hidden="1" outlineLevel="2">
      <c r="A471" s="8" t="n"/>
      <c r="B471" s="14" t="n"/>
      <c r="C471" s="123" t="n"/>
      <c r="D471" s="123" t="n"/>
      <c r="E471" s="123" t="n"/>
      <c r="F471" s="123" t="n"/>
      <c r="G471" s="123" t="n"/>
      <c r="H471" s="123" t="n"/>
      <c r="I471" s="123" t="n"/>
      <c r="J471" s="123" t="n"/>
      <c r="K471" s="123" t="n"/>
      <c r="L471" s="123" t="n"/>
      <c r="M471" s="123" t="n"/>
      <c r="N471" s="123" t="n"/>
      <c r="O471" s="123" t="n"/>
      <c r="P471" s="123" t="n"/>
      <c r="Q471" s="123" t="n"/>
      <c r="R471" s="123" t="n"/>
      <c r="S471" s="123" t="n"/>
      <c r="T471" s="123" t="n"/>
      <c r="U471" s="123" t="n"/>
    </row>
    <row r="472" hidden="1" outlineLevel="2">
      <c r="A472" s="8" t="n"/>
      <c r="B472" s="14" t="n"/>
      <c r="C472" s="123" t="n"/>
      <c r="D472" s="137" t="n"/>
      <c r="E472" s="16" t="n"/>
      <c r="F472" s="17" t="n"/>
      <c r="G472" s="132">
        <f>DADOS_AM!$HZ$8</f>
        <v/>
      </c>
      <c r="H472" s="17" t="n"/>
      <c r="I472" s="123" t="n"/>
      <c r="J472" s="137" t="n"/>
      <c r="K472" s="16" t="n"/>
      <c r="L472" s="17" t="n"/>
      <c r="M472" s="132">
        <f>DADOS_AM!$HZ$9</f>
        <v/>
      </c>
      <c r="N472" s="17" t="n"/>
      <c r="O472" s="123" t="n"/>
      <c r="P472" s="137" t="n"/>
      <c r="Q472" s="16" t="n"/>
      <c r="R472" s="17" t="n"/>
      <c r="S472" s="132">
        <f>DADOS_AM!$HZ$10</f>
        <v/>
      </c>
      <c r="T472" s="17" t="n"/>
      <c r="U472" s="123" t="n"/>
    </row>
    <row r="473" hidden="1" outlineLevel="2">
      <c r="A473" s="8" t="n"/>
      <c r="B473" s="14" t="n"/>
      <c r="C473" s="123" t="n"/>
      <c r="D473" s="138">
        <f>DADOS_AM!$HY$8</f>
        <v/>
      </c>
      <c r="E473" s="19" t="n"/>
      <c r="F473" s="19" t="n"/>
      <c r="G473" s="19" t="n"/>
      <c r="H473" s="20" t="n"/>
      <c r="I473" s="123" t="n"/>
      <c r="J473" s="138">
        <f>DADOS_AM!$HY$9</f>
        <v/>
      </c>
      <c r="K473" s="19" t="n"/>
      <c r="L473" s="19" t="n"/>
      <c r="M473" s="19" t="n"/>
      <c r="N473" s="20" t="n"/>
      <c r="O473" s="123" t="n"/>
      <c r="P473" s="138">
        <f>DADOS_AM!$HY$10</f>
        <v/>
      </c>
      <c r="Q473" s="19" t="n"/>
      <c r="R473" s="19" t="n"/>
      <c r="S473" s="19" t="n"/>
      <c r="T473" s="20" t="n"/>
      <c r="U473" s="123" t="n"/>
    </row>
    <row r="474" hidden="1" outlineLevel="2">
      <c r="A474" s="8" t="n"/>
      <c r="B474" s="14" t="n"/>
      <c r="C474" s="123" t="n"/>
      <c r="D474" s="23" t="n"/>
      <c r="E474" s="24" t="n"/>
      <c r="F474" s="24" t="n"/>
      <c r="G474" s="24" t="n"/>
      <c r="H474" s="25" t="n"/>
      <c r="I474" s="123" t="n"/>
      <c r="J474" s="23" t="n"/>
      <c r="K474" s="24" t="n"/>
      <c r="L474" s="24" t="n"/>
      <c r="M474" s="24" t="n"/>
      <c r="N474" s="25" t="n"/>
      <c r="O474" s="123" t="n"/>
      <c r="P474" s="23" t="n"/>
      <c r="Q474" s="24" t="n"/>
      <c r="R474" s="24" t="n"/>
      <c r="S474" s="24" t="n"/>
      <c r="T474" s="25" t="n"/>
      <c r="U474" s="123" t="n"/>
    </row>
    <row r="475" hidden="1" outlineLevel="3">
      <c r="A475" s="8" t="n"/>
      <c r="B475" s="14" t="n"/>
      <c r="C475" s="123" t="n"/>
      <c r="D475" s="55" t="inlineStr">
        <is>
          <t>O QUE FAZ</t>
        </is>
      </c>
      <c r="E475" s="16" t="n"/>
      <c r="F475" s="16" t="n"/>
      <c r="G475" s="16" t="n"/>
      <c r="H475" s="17" t="n"/>
      <c r="I475" s="123" t="n"/>
      <c r="J475" s="55" t="inlineStr">
        <is>
          <t>O QUE FAZ</t>
        </is>
      </c>
      <c r="K475" s="16" t="n"/>
      <c r="L475" s="16" t="n"/>
      <c r="M475" s="16" t="n"/>
      <c r="N475" s="17" t="n"/>
      <c r="O475" s="123" t="n"/>
      <c r="P475" s="55" t="inlineStr">
        <is>
          <t>O QUE FAZ</t>
        </is>
      </c>
      <c r="Q475" s="16" t="n"/>
      <c r="R475" s="16" t="n"/>
      <c r="S475" s="16" t="n"/>
      <c r="T475" s="17" t="n"/>
      <c r="U475" s="123" t="n"/>
    </row>
    <row r="476" hidden="1" outlineLevel="3">
      <c r="A476" s="8" t="n"/>
      <c r="B476" s="14" t="n"/>
      <c r="C476" s="123" t="n"/>
      <c r="D476" s="139">
        <f>DADOS_AM!$IB$8</f>
        <v/>
      </c>
      <c r="E476" s="19" t="n"/>
      <c r="F476" s="19" t="n"/>
      <c r="G476" s="19" t="n"/>
      <c r="H476" s="20" t="n"/>
      <c r="I476" s="123" t="n"/>
      <c r="J476" s="139">
        <f>DADOS_AM!$IB$9</f>
        <v/>
      </c>
      <c r="K476" s="19" t="n"/>
      <c r="L476" s="19" t="n"/>
      <c r="M476" s="19" t="n"/>
      <c r="N476" s="20" t="n"/>
      <c r="O476" s="123" t="n"/>
      <c r="P476" s="139">
        <f>DADOS_AM!$IB$10</f>
        <v/>
      </c>
      <c r="Q476" s="19" t="n"/>
      <c r="R476" s="19" t="n"/>
      <c r="S476" s="19" t="n"/>
      <c r="T476" s="20" t="n"/>
      <c r="U476" s="123" t="n"/>
    </row>
    <row r="477" hidden="1" outlineLevel="3">
      <c r="A477" s="8" t="n"/>
      <c r="B477" s="14" t="n"/>
      <c r="C477" s="123" t="n"/>
      <c r="D477" s="21" t="n"/>
      <c r="H477" s="22" t="n"/>
      <c r="I477" s="123" t="n"/>
      <c r="J477" s="21" t="n"/>
      <c r="N477" s="22" t="n"/>
      <c r="O477" s="123" t="n"/>
      <c r="P477" s="21" t="n"/>
      <c r="T477" s="22" t="n"/>
      <c r="U477" s="123" t="n"/>
    </row>
    <row r="478" hidden="1" outlineLevel="3">
      <c r="A478" s="8" t="n"/>
      <c r="B478" s="14" t="n"/>
      <c r="C478" s="123" t="n"/>
      <c r="D478" s="21" t="n"/>
      <c r="H478" s="22" t="n"/>
      <c r="I478" s="123" t="n"/>
      <c r="J478" s="21" t="n"/>
      <c r="N478" s="22" t="n"/>
      <c r="O478" s="123" t="n"/>
      <c r="P478" s="21" t="n"/>
      <c r="T478" s="22" t="n"/>
      <c r="U478" s="123" t="n"/>
    </row>
    <row r="479" hidden="1" outlineLevel="3">
      <c r="A479" s="8" t="n"/>
      <c r="B479" s="14" t="n"/>
      <c r="C479" s="123" t="n"/>
      <c r="D479" s="21" t="n"/>
      <c r="H479" s="22" t="n"/>
      <c r="I479" s="123" t="n"/>
      <c r="J479" s="21" t="n"/>
      <c r="N479" s="22" t="n"/>
      <c r="O479" s="123" t="n"/>
      <c r="P479" s="21" t="n"/>
      <c r="T479" s="22" t="n"/>
      <c r="U479" s="123" t="n"/>
    </row>
    <row r="480" hidden="1" outlineLevel="3">
      <c r="A480" s="8" t="n"/>
      <c r="B480" s="14" t="n"/>
      <c r="C480" s="123" t="n"/>
      <c r="D480" s="21" t="n"/>
      <c r="H480" s="22" t="n"/>
      <c r="I480" s="123" t="n"/>
      <c r="J480" s="21" t="n"/>
      <c r="N480" s="22" t="n"/>
      <c r="O480" s="123" t="n"/>
      <c r="P480" s="21" t="n"/>
      <c r="T480" s="22" t="n"/>
      <c r="U480" s="123" t="n"/>
    </row>
    <row r="481" hidden="1" outlineLevel="3">
      <c r="A481" s="8" t="n"/>
      <c r="B481" s="14" t="n"/>
      <c r="C481" s="123" t="n"/>
      <c r="D481" s="21" t="n"/>
      <c r="H481" s="22" t="n"/>
      <c r="I481" s="123" t="n"/>
      <c r="J481" s="21" t="n"/>
      <c r="N481" s="22" t="n"/>
      <c r="O481" s="123" t="n"/>
      <c r="P481" s="21" t="n"/>
      <c r="T481" s="22" t="n"/>
      <c r="U481" s="123" t="n"/>
    </row>
    <row r="482" hidden="1" outlineLevel="3">
      <c r="A482" s="8" t="n"/>
      <c r="B482" s="14" t="n"/>
      <c r="C482" s="123" t="n"/>
      <c r="D482" s="21" t="n"/>
      <c r="H482" s="22" t="n"/>
      <c r="I482" s="123" t="n"/>
      <c r="J482" s="21" t="n"/>
      <c r="N482" s="22" t="n"/>
      <c r="O482" s="123" t="n"/>
      <c r="P482" s="21" t="n"/>
      <c r="T482" s="22" t="n"/>
      <c r="U482" s="123" t="n"/>
    </row>
    <row r="483" hidden="1" outlineLevel="3">
      <c r="A483" s="8" t="n"/>
      <c r="B483" s="14" t="n"/>
      <c r="C483" s="123" t="n"/>
      <c r="D483" s="21" t="n"/>
      <c r="H483" s="22" t="n"/>
      <c r="I483" s="123" t="n"/>
      <c r="J483" s="21" t="n"/>
      <c r="N483" s="22" t="n"/>
      <c r="O483" s="123" t="n"/>
      <c r="P483" s="21" t="n"/>
      <c r="T483" s="22" t="n"/>
      <c r="U483" s="123" t="n"/>
    </row>
    <row r="484" hidden="1" outlineLevel="3">
      <c r="A484" s="8" t="n"/>
      <c r="B484" s="14" t="n"/>
      <c r="C484" s="123" t="n"/>
      <c r="D484" s="21" t="n"/>
      <c r="H484" s="22" t="n"/>
      <c r="I484" s="123" t="n"/>
      <c r="J484" s="21" t="n"/>
      <c r="N484" s="22" t="n"/>
      <c r="O484" s="123" t="n"/>
      <c r="P484" s="21" t="n"/>
      <c r="T484" s="22" t="n"/>
      <c r="U484" s="123" t="n"/>
    </row>
    <row r="485" hidden="1" outlineLevel="3">
      <c r="A485" s="8" t="n"/>
      <c r="B485" s="14" t="n"/>
      <c r="C485" s="123" t="n"/>
      <c r="D485" s="21" t="n"/>
      <c r="H485" s="22" t="n"/>
      <c r="I485" s="123" t="n"/>
      <c r="J485" s="21" t="n"/>
      <c r="N485" s="22" t="n"/>
      <c r="O485" s="123" t="n"/>
      <c r="P485" s="21" t="n"/>
      <c r="T485" s="22" t="n"/>
      <c r="U485" s="123" t="n"/>
    </row>
    <row r="486" hidden="1" outlineLevel="3">
      <c r="A486" s="8" t="n"/>
      <c r="B486" s="14" t="n"/>
      <c r="C486" s="123" t="n"/>
      <c r="D486" s="21" t="n"/>
      <c r="H486" s="22" t="n"/>
      <c r="I486" s="123" t="n"/>
      <c r="J486" s="21" t="n"/>
      <c r="N486" s="22" t="n"/>
      <c r="O486" s="123" t="n"/>
      <c r="P486" s="21" t="n"/>
      <c r="T486" s="22" t="n"/>
      <c r="U486" s="123" t="n"/>
    </row>
    <row r="487" hidden="1" outlineLevel="3">
      <c r="A487" s="8" t="n"/>
      <c r="B487" s="14" t="n"/>
      <c r="C487" s="123" t="n"/>
      <c r="D487" s="23" t="n"/>
      <c r="E487" s="24" t="n"/>
      <c r="F487" s="24" t="n"/>
      <c r="G487" s="24" t="n"/>
      <c r="H487" s="25" t="n"/>
      <c r="I487" s="123" t="n"/>
      <c r="J487" s="23" t="n"/>
      <c r="K487" s="24" t="n"/>
      <c r="L487" s="24" t="n"/>
      <c r="M487" s="24" t="n"/>
      <c r="N487" s="25" t="n"/>
      <c r="O487" s="123" t="n"/>
      <c r="P487" s="23" t="n"/>
      <c r="Q487" s="24" t="n"/>
      <c r="R487" s="24" t="n"/>
      <c r="S487" s="24" t="n"/>
      <c r="T487" s="25" t="n"/>
      <c r="U487" s="123" t="n"/>
    </row>
    <row r="488" hidden="1" outlineLevel="3">
      <c r="A488" s="8" t="n"/>
      <c r="B488" s="14" t="n"/>
      <c r="C488" s="123" t="n"/>
      <c r="D488" s="55">
        <f>DADOS_AM!$KT$80</f>
        <v/>
      </c>
      <c r="E488" s="140">
        <f>DADOS_AM!$IA$8</f>
        <v/>
      </c>
      <c r="F488" s="16" t="n"/>
      <c r="G488" s="16" t="n"/>
      <c r="H488" s="17" t="n"/>
      <c r="I488" s="123" t="n"/>
      <c r="J488" s="55">
        <f>DADOS_AM!$KT$81</f>
        <v/>
      </c>
      <c r="K488" s="140">
        <f>DADOS_AM!$IA$9</f>
        <v/>
      </c>
      <c r="L488" s="16" t="n"/>
      <c r="M488" s="16" t="n"/>
      <c r="N488" s="17" t="n"/>
      <c r="O488" s="123" t="n"/>
      <c r="P488" s="55">
        <f>DADOS_AM!$KT$82</f>
        <v/>
      </c>
      <c r="Q488" s="140">
        <f>DADOS_AM!$IA$10</f>
        <v/>
      </c>
      <c r="R488" s="16" t="n"/>
      <c r="S488" s="16" t="n"/>
      <c r="T488" s="17" t="n"/>
      <c r="U488" s="123" t="n"/>
    </row>
    <row r="489" hidden="1" outlineLevel="3">
      <c r="A489" s="8" t="n"/>
      <c r="B489" s="14" t="n"/>
      <c r="C489" s="123" t="n"/>
      <c r="D489" s="55" t="inlineStr">
        <is>
          <t>SEU TEXTO</t>
        </is>
      </c>
      <c r="E489" s="119" t="n"/>
      <c r="F489" s="19" t="n"/>
      <c r="G489" s="19" t="n"/>
      <c r="H489" s="20" t="n"/>
      <c r="I489" s="123" t="n"/>
      <c r="J489" s="55" t="inlineStr">
        <is>
          <t>SEU TEXTO</t>
        </is>
      </c>
      <c r="K489" s="119" t="n"/>
      <c r="L489" s="19" t="n"/>
      <c r="M489" s="19" t="n"/>
      <c r="N489" s="20" t="n"/>
      <c r="O489" s="123" t="n"/>
      <c r="P489" s="55" t="inlineStr">
        <is>
          <t>SEU TEXTO</t>
        </is>
      </c>
      <c r="Q489" s="119" t="n"/>
      <c r="R489" s="19" t="n"/>
      <c r="S489" s="19" t="n"/>
      <c r="T489" s="20" t="n"/>
      <c r="U489" s="123" t="n"/>
    </row>
    <row r="490" hidden="1" outlineLevel="3">
      <c r="A490" s="8" t="n"/>
      <c r="B490" s="14" t="n"/>
      <c r="C490" s="123" t="n"/>
      <c r="D490" s="128" t="n"/>
      <c r="E490" s="23" t="n"/>
      <c r="F490" s="24" t="n"/>
      <c r="G490" s="24" t="n"/>
      <c r="H490" s="25" t="n"/>
      <c r="I490" s="123" t="n"/>
      <c r="J490" s="128" t="n"/>
      <c r="K490" s="23" t="n"/>
      <c r="L490" s="24" t="n"/>
      <c r="M490" s="24" t="n"/>
      <c r="N490" s="25" t="n"/>
      <c r="O490" s="123" t="n"/>
      <c r="P490" s="128" t="n"/>
      <c r="Q490" s="23" t="n"/>
      <c r="R490" s="24" t="n"/>
      <c r="S490" s="24" t="n"/>
      <c r="T490" s="25" t="n"/>
      <c r="U490" s="123" t="n"/>
    </row>
    <row r="491" hidden="1" outlineLevel="2">
      <c r="A491" s="8" t="n"/>
      <c r="B491" s="14" t="n"/>
      <c r="C491" s="123" t="n"/>
      <c r="D491" s="123" t="n"/>
      <c r="E491" s="123" t="n"/>
      <c r="F491" s="123" t="n"/>
      <c r="G491" s="123" t="n"/>
      <c r="H491" s="123" t="n"/>
      <c r="I491" s="123" t="n"/>
      <c r="J491" s="123" t="n"/>
      <c r="K491" s="123" t="n"/>
      <c r="L491" s="123" t="n"/>
      <c r="M491" s="123" t="n"/>
      <c r="N491" s="123" t="n"/>
      <c r="O491" s="123" t="n"/>
      <c r="P491" s="123" t="n"/>
      <c r="Q491" s="123" t="n"/>
      <c r="R491" s="123" t="n"/>
      <c r="S491" s="123" t="n"/>
      <c r="T491" s="123" t="n"/>
      <c r="U491" s="123" t="n"/>
    </row>
    <row r="492" hidden="1" outlineLevel="2">
      <c r="A492" s="8" t="n"/>
      <c r="B492" s="14" t="n"/>
      <c r="C492" s="123" t="n"/>
      <c r="D492" s="137" t="n"/>
      <c r="E492" s="16" t="n"/>
      <c r="F492" s="17" t="n"/>
      <c r="G492" s="132">
        <f>DADOS_AM!$HZ$11</f>
        <v/>
      </c>
      <c r="H492" s="17" t="n"/>
      <c r="I492" s="123" t="n"/>
      <c r="J492" s="137" t="n"/>
      <c r="K492" s="16" t="n"/>
      <c r="L492" s="17" t="n"/>
      <c r="M492" s="132">
        <f>DADOS_AM!$HZ$12</f>
        <v/>
      </c>
      <c r="N492" s="17" t="n"/>
      <c r="O492" s="123" t="n"/>
      <c r="P492" s="137" t="n"/>
      <c r="Q492" s="16" t="n"/>
      <c r="R492" s="17" t="n"/>
      <c r="S492" s="132">
        <f>DADOS_AM!$HZ$13</f>
        <v/>
      </c>
      <c r="T492" s="17" t="n"/>
      <c r="U492" s="123" t="n"/>
    </row>
    <row r="493" hidden="1" outlineLevel="2">
      <c r="A493" s="8" t="n"/>
      <c r="B493" s="14" t="n"/>
      <c r="C493" s="123" t="n"/>
      <c r="D493" s="138">
        <f>DADOS_AM!$HY$11</f>
        <v/>
      </c>
      <c r="E493" s="19" t="n"/>
      <c r="F493" s="19" t="n"/>
      <c r="G493" s="19" t="n"/>
      <c r="H493" s="20" t="n"/>
      <c r="I493" s="123" t="n"/>
      <c r="J493" s="138">
        <f>DADOS_AM!$HY$12</f>
        <v/>
      </c>
      <c r="K493" s="19" t="n"/>
      <c r="L493" s="19" t="n"/>
      <c r="M493" s="19" t="n"/>
      <c r="N493" s="20" t="n"/>
      <c r="O493" s="123" t="n"/>
      <c r="P493" s="138">
        <f>DADOS_AM!$HY$13</f>
        <v/>
      </c>
      <c r="Q493" s="19" t="n"/>
      <c r="R493" s="19" t="n"/>
      <c r="S493" s="19" t="n"/>
      <c r="T493" s="20" t="n"/>
      <c r="U493" s="123" t="n"/>
    </row>
    <row r="494" hidden="1" outlineLevel="2">
      <c r="A494" s="8" t="n"/>
      <c r="B494" s="14" t="n"/>
      <c r="C494" s="123" t="n"/>
      <c r="D494" s="23" t="n"/>
      <c r="E494" s="24" t="n"/>
      <c r="F494" s="24" t="n"/>
      <c r="G494" s="24" t="n"/>
      <c r="H494" s="25" t="n"/>
      <c r="I494" s="123" t="n"/>
      <c r="J494" s="23" t="n"/>
      <c r="K494" s="24" t="n"/>
      <c r="L494" s="24" t="n"/>
      <c r="M494" s="24" t="n"/>
      <c r="N494" s="25" t="n"/>
      <c r="O494" s="123" t="n"/>
      <c r="P494" s="23" t="n"/>
      <c r="Q494" s="24" t="n"/>
      <c r="R494" s="24" t="n"/>
      <c r="S494" s="24" t="n"/>
      <c r="T494" s="25" t="n"/>
      <c r="U494" s="123" t="n"/>
    </row>
    <row r="495" hidden="1" outlineLevel="3">
      <c r="A495" s="8" t="n"/>
      <c r="B495" s="14" t="n"/>
      <c r="C495" s="123" t="n"/>
      <c r="D495" s="55" t="inlineStr">
        <is>
          <t>O QUE FAZ</t>
        </is>
      </c>
      <c r="E495" s="16" t="n"/>
      <c r="F495" s="16" t="n"/>
      <c r="G495" s="16" t="n"/>
      <c r="H495" s="17" t="n"/>
      <c r="I495" s="123" t="n"/>
      <c r="J495" s="55" t="inlineStr">
        <is>
          <t>O QUE FAZ</t>
        </is>
      </c>
      <c r="K495" s="16" t="n"/>
      <c r="L495" s="16" t="n"/>
      <c r="M495" s="16" t="n"/>
      <c r="N495" s="17" t="n"/>
      <c r="O495" s="123" t="n"/>
      <c r="P495" s="55" t="inlineStr">
        <is>
          <t>O QUE FAZ</t>
        </is>
      </c>
      <c r="Q495" s="16" t="n"/>
      <c r="R495" s="16" t="n"/>
      <c r="S495" s="16" t="n"/>
      <c r="T495" s="17" t="n"/>
      <c r="U495" s="123" t="n"/>
    </row>
    <row r="496" hidden="1" outlineLevel="3">
      <c r="A496" s="8" t="n"/>
      <c r="B496" s="14" t="n"/>
      <c r="C496" s="123" t="n"/>
      <c r="D496" s="139">
        <f>DADOS_AM!$IB$11</f>
        <v/>
      </c>
      <c r="E496" s="19" t="n"/>
      <c r="F496" s="19" t="n"/>
      <c r="G496" s="19" t="n"/>
      <c r="H496" s="20" t="n"/>
      <c r="I496" s="123" t="n"/>
      <c r="J496" s="139">
        <f>DADOS_AM!$IB$12</f>
        <v/>
      </c>
      <c r="K496" s="19" t="n"/>
      <c r="L496" s="19" t="n"/>
      <c r="M496" s="19" t="n"/>
      <c r="N496" s="20" t="n"/>
      <c r="O496" s="123" t="n"/>
      <c r="P496" s="139">
        <f>DADOS_AM!$IB$13</f>
        <v/>
      </c>
      <c r="Q496" s="19" t="n"/>
      <c r="R496" s="19" t="n"/>
      <c r="S496" s="19" t="n"/>
      <c r="T496" s="20" t="n"/>
      <c r="U496" s="123" t="n"/>
    </row>
    <row r="497" hidden="1" outlineLevel="3">
      <c r="A497" s="8" t="n"/>
      <c r="B497" s="14" t="n"/>
      <c r="C497" s="123" t="n"/>
      <c r="D497" s="21" t="n"/>
      <c r="H497" s="22" t="n"/>
      <c r="I497" s="123" t="n"/>
      <c r="J497" s="21" t="n"/>
      <c r="N497" s="22" t="n"/>
      <c r="O497" s="123" t="n"/>
      <c r="P497" s="21" t="n"/>
      <c r="T497" s="22" t="n"/>
      <c r="U497" s="123" t="n"/>
    </row>
    <row r="498" hidden="1" outlineLevel="3">
      <c r="A498" s="8" t="n"/>
      <c r="B498" s="14" t="n"/>
      <c r="C498" s="123" t="n"/>
      <c r="D498" s="21" t="n"/>
      <c r="H498" s="22" t="n"/>
      <c r="I498" s="123" t="n"/>
      <c r="J498" s="21" t="n"/>
      <c r="N498" s="22" t="n"/>
      <c r="O498" s="123" t="n"/>
      <c r="P498" s="21" t="n"/>
      <c r="T498" s="22" t="n"/>
      <c r="U498" s="123" t="n"/>
    </row>
    <row r="499" hidden="1" outlineLevel="3">
      <c r="A499" s="8" t="n"/>
      <c r="B499" s="14" t="n"/>
      <c r="C499" s="123" t="n"/>
      <c r="D499" s="21" t="n"/>
      <c r="H499" s="22" t="n"/>
      <c r="I499" s="123" t="n"/>
      <c r="J499" s="21" t="n"/>
      <c r="N499" s="22" t="n"/>
      <c r="O499" s="123" t="n"/>
      <c r="P499" s="21" t="n"/>
      <c r="T499" s="22" t="n"/>
      <c r="U499" s="123" t="n"/>
    </row>
    <row r="500" hidden="1" outlineLevel="3">
      <c r="A500" s="8" t="n"/>
      <c r="B500" s="14" t="n"/>
      <c r="C500" s="123" t="n"/>
      <c r="D500" s="21" t="n"/>
      <c r="H500" s="22" t="n"/>
      <c r="I500" s="123" t="n"/>
      <c r="J500" s="21" t="n"/>
      <c r="N500" s="22" t="n"/>
      <c r="O500" s="123" t="n"/>
      <c r="P500" s="21" t="n"/>
      <c r="T500" s="22" t="n"/>
      <c r="U500" s="123" t="n"/>
    </row>
    <row r="501" hidden="1" outlineLevel="3">
      <c r="A501" s="8" t="n"/>
      <c r="B501" s="14" t="n"/>
      <c r="C501" s="123" t="n"/>
      <c r="D501" s="21" t="n"/>
      <c r="H501" s="22" t="n"/>
      <c r="I501" s="123" t="n"/>
      <c r="J501" s="21" t="n"/>
      <c r="N501" s="22" t="n"/>
      <c r="O501" s="123" t="n"/>
      <c r="P501" s="21" t="n"/>
      <c r="T501" s="22" t="n"/>
      <c r="U501" s="123" t="n"/>
    </row>
    <row r="502" hidden="1" outlineLevel="3">
      <c r="A502" s="8" t="n"/>
      <c r="B502" s="14" t="n"/>
      <c r="C502" s="123" t="n"/>
      <c r="D502" s="21" t="n"/>
      <c r="H502" s="22" t="n"/>
      <c r="I502" s="123" t="n"/>
      <c r="J502" s="21" t="n"/>
      <c r="N502" s="22" t="n"/>
      <c r="O502" s="123" t="n"/>
      <c r="P502" s="21" t="n"/>
      <c r="T502" s="22" t="n"/>
      <c r="U502" s="123" t="n"/>
    </row>
    <row r="503" hidden="1" outlineLevel="3">
      <c r="A503" s="8" t="n"/>
      <c r="B503" s="14" t="n"/>
      <c r="C503" s="123" t="n"/>
      <c r="D503" s="21" t="n"/>
      <c r="H503" s="22" t="n"/>
      <c r="I503" s="123" t="n"/>
      <c r="J503" s="21" t="n"/>
      <c r="N503" s="22" t="n"/>
      <c r="O503" s="123" t="n"/>
      <c r="P503" s="21" t="n"/>
      <c r="T503" s="22" t="n"/>
      <c r="U503" s="123" t="n"/>
    </row>
    <row r="504" hidden="1" outlineLevel="3">
      <c r="A504" s="8" t="n"/>
      <c r="B504" s="14" t="n"/>
      <c r="C504" s="123" t="n"/>
      <c r="D504" s="21" t="n"/>
      <c r="H504" s="22" t="n"/>
      <c r="I504" s="123" t="n"/>
      <c r="J504" s="21" t="n"/>
      <c r="N504" s="22" t="n"/>
      <c r="O504" s="123" t="n"/>
      <c r="P504" s="21" t="n"/>
      <c r="T504" s="22" t="n"/>
      <c r="U504" s="123" t="n"/>
    </row>
    <row r="505" hidden="1" outlineLevel="3">
      <c r="A505" s="8" t="n"/>
      <c r="B505" s="14" t="n"/>
      <c r="C505" s="123" t="n"/>
      <c r="D505" s="21" t="n"/>
      <c r="H505" s="22" t="n"/>
      <c r="I505" s="123" t="n"/>
      <c r="J505" s="21" t="n"/>
      <c r="N505" s="22" t="n"/>
      <c r="O505" s="123" t="n"/>
      <c r="P505" s="21" t="n"/>
      <c r="T505" s="22" t="n"/>
      <c r="U505" s="123" t="n"/>
    </row>
    <row r="506" hidden="1" outlineLevel="3">
      <c r="A506" s="8" t="n"/>
      <c r="B506" s="14" t="n"/>
      <c r="C506" s="123" t="n"/>
      <c r="D506" s="21" t="n"/>
      <c r="H506" s="22" t="n"/>
      <c r="I506" s="123" t="n"/>
      <c r="J506" s="21" t="n"/>
      <c r="N506" s="22" t="n"/>
      <c r="O506" s="123" t="n"/>
      <c r="P506" s="21" t="n"/>
      <c r="T506" s="22" t="n"/>
      <c r="U506" s="123" t="n"/>
    </row>
    <row r="507" hidden="1" outlineLevel="3">
      <c r="A507" s="8" t="n"/>
      <c r="B507" s="14" t="n"/>
      <c r="C507" s="123" t="n"/>
      <c r="D507" s="23" t="n"/>
      <c r="E507" s="24" t="n"/>
      <c r="F507" s="24" t="n"/>
      <c r="G507" s="24" t="n"/>
      <c r="H507" s="25" t="n"/>
      <c r="I507" s="123" t="n"/>
      <c r="J507" s="23" t="n"/>
      <c r="K507" s="24" t="n"/>
      <c r="L507" s="24" t="n"/>
      <c r="M507" s="24" t="n"/>
      <c r="N507" s="25" t="n"/>
      <c r="O507" s="123" t="n"/>
      <c r="P507" s="23" t="n"/>
      <c r="Q507" s="24" t="n"/>
      <c r="R507" s="24" t="n"/>
      <c r="S507" s="24" t="n"/>
      <c r="T507" s="25" t="n"/>
      <c r="U507" s="123" t="n"/>
    </row>
    <row r="508" hidden="1" outlineLevel="3">
      <c r="A508" s="8" t="n"/>
      <c r="B508" s="14" t="n"/>
      <c r="C508" s="123" t="n"/>
      <c r="D508" s="55">
        <f>DADOS_AM!$KT$83</f>
        <v/>
      </c>
      <c r="E508" s="140">
        <f>DADOS_AM!$IA$11</f>
        <v/>
      </c>
      <c r="F508" s="16" t="n"/>
      <c r="G508" s="16" t="n"/>
      <c r="H508" s="17" t="n"/>
      <c r="I508" s="123" t="n"/>
      <c r="J508" s="55">
        <f>DADOS_AM!$KT$84</f>
        <v/>
      </c>
      <c r="K508" s="140">
        <f>DADOS_AM!$IA$12</f>
        <v/>
      </c>
      <c r="L508" s="16" t="n"/>
      <c r="M508" s="16" t="n"/>
      <c r="N508" s="17" t="n"/>
      <c r="O508" s="123" t="n"/>
      <c r="P508" s="55">
        <f>DADOS_AM!$KT$85</f>
        <v/>
      </c>
      <c r="Q508" s="140">
        <f>DADOS_AM!$IA$13</f>
        <v/>
      </c>
      <c r="R508" s="16" t="n"/>
      <c r="S508" s="16" t="n"/>
      <c r="T508" s="17" t="n"/>
      <c r="U508" s="123" t="n"/>
    </row>
    <row r="509" hidden="1" outlineLevel="3">
      <c r="A509" s="8" t="n"/>
      <c r="B509" s="14" t="n"/>
      <c r="C509" s="123" t="n"/>
      <c r="D509" s="55" t="inlineStr">
        <is>
          <t>SEU TEXTO</t>
        </is>
      </c>
      <c r="E509" s="119" t="n"/>
      <c r="F509" s="19" t="n"/>
      <c r="G509" s="19" t="n"/>
      <c r="H509" s="20" t="n"/>
      <c r="I509" s="123" t="n"/>
      <c r="J509" s="55" t="inlineStr">
        <is>
          <t>SEU TEXTO</t>
        </is>
      </c>
      <c r="K509" s="119" t="n"/>
      <c r="L509" s="19" t="n"/>
      <c r="M509" s="19" t="n"/>
      <c r="N509" s="20" t="n"/>
      <c r="O509" s="123" t="n"/>
      <c r="P509" s="55" t="inlineStr">
        <is>
          <t>SEU TEXTO</t>
        </is>
      </c>
      <c r="Q509" s="119" t="n"/>
      <c r="R509" s="19" t="n"/>
      <c r="S509" s="19" t="n"/>
      <c r="T509" s="20" t="n"/>
      <c r="U509" s="123" t="n"/>
    </row>
    <row r="510" hidden="1" outlineLevel="3">
      <c r="A510" s="8" t="n"/>
      <c r="B510" s="14" t="n"/>
      <c r="C510" s="123" t="n"/>
      <c r="D510" s="128" t="n"/>
      <c r="E510" s="23" t="n"/>
      <c r="F510" s="24" t="n"/>
      <c r="G510" s="24" t="n"/>
      <c r="H510" s="25" t="n"/>
      <c r="I510" s="123" t="n"/>
      <c r="J510" s="128" t="n"/>
      <c r="K510" s="23" t="n"/>
      <c r="L510" s="24" t="n"/>
      <c r="M510" s="24" t="n"/>
      <c r="N510" s="25" t="n"/>
      <c r="O510" s="123" t="n"/>
      <c r="P510" s="128" t="n"/>
      <c r="Q510" s="23" t="n"/>
      <c r="R510" s="24" t="n"/>
      <c r="S510" s="24" t="n"/>
      <c r="T510" s="25" t="n"/>
      <c r="U510" s="123" t="n"/>
    </row>
    <row r="511">
      <c r="A511" s="8" t="n"/>
      <c r="B511" s="14" t="n"/>
      <c r="C511" s="123" t="n"/>
      <c r="D511" s="123" t="n"/>
      <c r="E511" s="123" t="n"/>
      <c r="F511" s="123" t="n"/>
      <c r="G511" s="123" t="n"/>
      <c r="H511" s="123" t="n"/>
      <c r="I511" s="123" t="n"/>
      <c r="J511" s="123" t="n"/>
      <c r="K511" s="123" t="n"/>
      <c r="L511" s="123" t="n"/>
      <c r="M511" s="123" t="n"/>
      <c r="N511" s="123" t="n"/>
      <c r="O511" s="123" t="n"/>
      <c r="P511" s="123" t="n"/>
      <c r="Q511" s="123" t="n"/>
      <c r="R511" s="123" t="n"/>
      <c r="S511" s="123" t="n"/>
      <c r="T511" s="123" t="n"/>
      <c r="U511" s="123" t="n"/>
    </row>
    <row r="512">
      <c r="A512" s="8" t="n"/>
      <c r="B512" s="14" t="n"/>
      <c r="C512" s="123" t="n"/>
      <c r="D512" s="126" t="inlineStr">
        <is>
          <t>PACTOS</t>
        </is>
      </c>
      <c r="E512" s="19" t="n"/>
      <c r="F512" s="19" t="n"/>
      <c r="G512" s="19" t="n"/>
      <c r="H512" s="19" t="n"/>
      <c r="I512" s="19" t="n"/>
      <c r="J512" s="19" t="n"/>
      <c r="K512" s="19" t="n"/>
      <c r="L512" s="19" t="n"/>
      <c r="M512" s="19" t="n"/>
      <c r="N512" s="19" t="n"/>
      <c r="O512" s="19" t="n"/>
      <c r="P512" s="19" t="n"/>
      <c r="Q512" s="19" t="n"/>
      <c r="R512" s="19" t="n"/>
      <c r="S512" s="19" t="n"/>
      <c r="T512" s="20" t="n"/>
      <c r="U512" s="123" t="n"/>
    </row>
    <row r="513">
      <c r="A513" s="8" t="n"/>
      <c r="B513" s="14" t="n"/>
      <c r="C513" s="123" t="n"/>
      <c r="D513" s="23" t="n"/>
      <c r="E513" s="24" t="n"/>
      <c r="F513" s="24" t="n"/>
      <c r="G513" s="24" t="n"/>
      <c r="H513" s="24" t="n"/>
      <c r="I513" s="24" t="n"/>
      <c r="J513" s="24" t="n"/>
      <c r="K513" s="24" t="n"/>
      <c r="L513" s="24" t="n"/>
      <c r="M513" s="24" t="n"/>
      <c r="N513" s="24" t="n"/>
      <c r="O513" s="24" t="n"/>
      <c r="P513" s="24" t="n"/>
      <c r="Q513" s="24" t="n"/>
      <c r="R513" s="24" t="n"/>
      <c r="S513" s="24" t="n"/>
      <c r="T513" s="25" t="n"/>
      <c r="U513" s="123" t="n"/>
    </row>
    <row r="514" outlineLevel="1">
      <c r="A514" s="8" t="n"/>
      <c r="B514" s="14" t="n"/>
      <c r="C514" s="123" t="n"/>
      <c r="D514" s="55" t="inlineStr">
        <is>
          <t>PERMANENTES</t>
        </is>
      </c>
      <c r="E514" s="17" t="n"/>
      <c r="F514" s="55" t="inlineStr">
        <is>
          <t>COMO O PACTO SE FECHA</t>
        </is>
      </c>
      <c r="G514" s="16" t="n"/>
      <c r="H514" s="16" t="n"/>
      <c r="I514" s="16" t="n"/>
      <c r="J514" s="16" t="n"/>
      <c r="K514" s="16" t="n"/>
      <c r="L514" s="16" t="n"/>
      <c r="M514" s="16" t="n"/>
      <c r="N514" s="16" t="n"/>
      <c r="O514" s="16" t="n"/>
      <c r="P514" s="16" t="n"/>
      <c r="Q514" s="16" t="n"/>
      <c r="R514" s="16" t="n"/>
      <c r="S514" s="16" t="n"/>
      <c r="T514" s="17" t="n"/>
      <c r="U514" s="123" t="n"/>
    </row>
    <row r="515" outlineLevel="1">
      <c r="A515" s="8" t="n"/>
      <c r="B515" s="14" t="n"/>
      <c r="C515" s="123" t="n"/>
      <c r="D515" s="96">
        <f>DADOS_AM!$KT$87</f>
        <v/>
      </c>
      <c r="E515" s="20" t="n"/>
      <c r="F515" s="135" t="inlineStr">
        <is>
          <t>Permanente: Fora de cena, com registro aprovado. Temporário: No seu turno, como Ação Bônus ou Reação.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23" t="n"/>
    </row>
    <row r="516" outlineLevel="1">
      <c r="A516" s="8" t="n"/>
      <c r="B516" s="14" t="n"/>
      <c r="C516" s="123" t="n"/>
      <c r="D516" s="23" t="n"/>
      <c r="E516" s="25" t="n"/>
      <c r="F516" s="23" t="n"/>
      <c r="G516" s="24" t="n"/>
      <c r="H516" s="24" t="n"/>
      <c r="I516" s="24" t="n"/>
      <c r="J516" s="24" t="n"/>
      <c r="K516" s="24" t="n"/>
      <c r="L516" s="24" t="n"/>
      <c r="M516" s="24" t="n"/>
      <c r="N516" s="24" t="n"/>
      <c r="O516" s="24" t="n"/>
      <c r="P516" s="24" t="n"/>
      <c r="Q516" s="24" t="n"/>
      <c r="R516" s="24" t="n"/>
      <c r="S516" s="24" t="n"/>
      <c r="T516" s="25" t="n"/>
      <c r="U516" s="123" t="n"/>
    </row>
    <row r="517" outlineLevel="1">
      <c r="A517" s="8" t="n"/>
      <c r="B517" s="14" t="n"/>
      <c r="C517" s="123" t="n"/>
      <c r="D517" s="123" t="n"/>
      <c r="E517" s="123" t="n"/>
      <c r="F517" s="123" t="n"/>
      <c r="G517" s="123" t="n"/>
      <c r="H517" s="123" t="n"/>
      <c r="I517" s="123" t="n"/>
      <c r="J517" s="123" t="n"/>
      <c r="K517" s="123" t="n"/>
      <c r="L517" s="123" t="n"/>
      <c r="M517" s="123" t="n"/>
      <c r="N517" s="123" t="n"/>
      <c r="O517" s="123" t="n"/>
      <c r="P517" s="123" t="n"/>
      <c r="Q517" s="123" t="n"/>
      <c r="R517" s="123" t="n"/>
      <c r="S517" s="123" t="n"/>
      <c r="T517" s="123" t="n"/>
      <c r="U517" s="123" t="n"/>
    </row>
    <row r="518" outlineLevel="1">
      <c r="A518" s="8" t="n"/>
      <c r="B518" s="14" t="n"/>
      <c r="C518" s="123" t="n"/>
      <c r="D518" s="55" t="inlineStr">
        <is>
          <t>PACTO 1</t>
        </is>
      </c>
      <c r="E518" s="118" t="n"/>
      <c r="F518" s="16" t="n"/>
      <c r="G518" s="16" t="n"/>
      <c r="H518" s="16" t="n"/>
      <c r="I518" s="16" t="n"/>
      <c r="J518" s="16" t="n"/>
      <c r="K518" s="17" t="n"/>
      <c r="L518" s="127" t="n"/>
      <c r="M518" s="16" t="n"/>
      <c r="N518" s="17" t="n"/>
      <c r="O518" s="123" t="n"/>
      <c r="P518" s="127" t="n"/>
      <c r="Q518" s="16" t="n"/>
      <c r="R518" s="16" t="n"/>
      <c r="S518" s="16" t="n"/>
      <c r="T518" s="17" t="n"/>
      <c r="U518" s="123" t="n"/>
    </row>
    <row r="519" outlineLevel="2">
      <c r="A519" s="8" t="n"/>
      <c r="B519" s="14" t="n"/>
      <c r="C519" s="123" t="n"/>
      <c r="D519" s="55" t="inlineStr">
        <is>
          <t>O QUE EU DOU</t>
        </is>
      </c>
      <c r="E519" s="16" t="n"/>
      <c r="F519" s="16" t="n"/>
      <c r="G519" s="16" t="n"/>
      <c r="H519" s="16" t="n"/>
      <c r="I519" s="16" t="n"/>
      <c r="J519" s="16" t="n"/>
      <c r="K519" s="17" t="n"/>
      <c r="L519" s="55" t="inlineStr">
        <is>
          <t>O QUE EU RECEBO</t>
        </is>
      </c>
      <c r="M519" s="16" t="n"/>
      <c r="N519" s="16" t="n"/>
      <c r="O519" s="16" t="n"/>
      <c r="P519" s="16" t="n"/>
      <c r="Q519" s="16" t="n"/>
      <c r="R519" s="16" t="n"/>
      <c r="S519" s="16" t="n"/>
      <c r="T519" s="17" t="n"/>
      <c r="U519" s="123" t="n"/>
    </row>
    <row r="520" outlineLevel="2">
      <c r="A520" s="8" t="n"/>
      <c r="B520" s="14" t="n"/>
      <c r="C520" s="123" t="n"/>
      <c r="D520" s="119" t="n"/>
      <c r="E520" s="19" t="n"/>
      <c r="F520" s="19" t="n"/>
      <c r="G520" s="19" t="n"/>
      <c r="H520" s="19" t="n"/>
      <c r="I520" s="19" t="n"/>
      <c r="J520" s="19" t="n"/>
      <c r="K520" s="20" t="n"/>
      <c r="L520" s="119" t="n"/>
      <c r="M520" s="19" t="n"/>
      <c r="N520" s="19" t="n"/>
      <c r="O520" s="19" t="n"/>
      <c r="P520" s="19" t="n"/>
      <c r="Q520" s="19" t="n"/>
      <c r="R520" s="19" t="n"/>
      <c r="S520" s="19" t="n"/>
      <c r="T520" s="20" t="n"/>
      <c r="U520" s="123" t="n"/>
    </row>
    <row r="521" outlineLevel="2">
      <c r="A521" s="8" t="n"/>
      <c r="B521" s="14" t="n"/>
      <c r="C521" s="123" t="n"/>
      <c r="D521" s="21" t="n"/>
      <c r="K521" s="22" t="n"/>
      <c r="L521" s="21" t="n"/>
      <c r="T521" s="22" t="n"/>
      <c r="U521" s="123" t="n"/>
    </row>
    <row r="522" outlineLevel="2">
      <c r="A522" s="8" t="n"/>
      <c r="B522" s="14" t="n"/>
      <c r="C522" s="123" t="n"/>
      <c r="D522" s="21" t="n"/>
      <c r="K522" s="22" t="n"/>
      <c r="L522" s="21" t="n"/>
      <c r="T522" s="22" t="n"/>
      <c r="U522" s="123" t="n"/>
    </row>
    <row r="523" outlineLevel="2">
      <c r="A523" s="8" t="n"/>
      <c r="B523" s="14" t="n"/>
      <c r="C523" s="123" t="n"/>
      <c r="D523" s="23" t="n"/>
      <c r="E523" s="24" t="n"/>
      <c r="F523" s="24" t="n"/>
      <c r="G523" s="24" t="n"/>
      <c r="H523" s="24" t="n"/>
      <c r="I523" s="24" t="n"/>
      <c r="J523" s="24" t="n"/>
      <c r="K523" s="25" t="n"/>
      <c r="L523" s="23" t="n"/>
      <c r="M523" s="24" t="n"/>
      <c r="N523" s="24" t="n"/>
      <c r="O523" s="24" t="n"/>
      <c r="P523" s="24" t="n"/>
      <c r="Q523" s="24" t="n"/>
      <c r="R523" s="24" t="n"/>
      <c r="S523" s="24" t="n"/>
      <c r="T523" s="25" t="n"/>
      <c r="U523" s="123" t="n"/>
    </row>
    <row r="524" outlineLevel="2">
      <c r="A524" s="8" t="n"/>
      <c r="B524" s="14" t="n"/>
      <c r="C524" s="123" t="n"/>
      <c r="D524" s="55"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23" t="n"/>
    </row>
    <row r="525" outlineLevel="2">
      <c r="A525" s="8" t="n"/>
      <c r="B525" s="14" t="n"/>
      <c r="C525" s="123" t="n"/>
      <c r="D525" s="119" t="n"/>
      <c r="E525" s="19" t="n"/>
      <c r="F525" s="19" t="n"/>
      <c r="G525" s="19" t="n"/>
      <c r="H525" s="19" t="n"/>
      <c r="I525" s="19" t="n"/>
      <c r="J525" s="19" t="n"/>
      <c r="K525" s="19" t="n"/>
      <c r="L525" s="19" t="n"/>
      <c r="M525" s="19" t="n"/>
      <c r="N525" s="19" t="n"/>
      <c r="O525" s="19" t="n"/>
      <c r="P525" s="19" t="n"/>
      <c r="Q525" s="19" t="n"/>
      <c r="R525" s="19" t="n"/>
      <c r="S525" s="19" t="n"/>
      <c r="T525" s="20" t="n"/>
      <c r="U525" s="123" t="n"/>
    </row>
    <row r="526" outlineLevel="2">
      <c r="A526" s="8" t="n"/>
      <c r="B526" s="14" t="n"/>
      <c r="C526" s="123" t="n"/>
      <c r="D526" s="23" t="n"/>
      <c r="E526" s="24" t="n"/>
      <c r="F526" s="24" t="n"/>
      <c r="G526" s="24" t="n"/>
      <c r="H526" s="24" t="n"/>
      <c r="I526" s="24" t="n"/>
      <c r="J526" s="24" t="n"/>
      <c r="K526" s="24" t="n"/>
      <c r="L526" s="24" t="n"/>
      <c r="M526" s="24" t="n"/>
      <c r="N526" s="24" t="n"/>
      <c r="O526" s="24" t="n"/>
      <c r="P526" s="24" t="n"/>
      <c r="Q526" s="24" t="n"/>
      <c r="R526" s="24" t="n"/>
      <c r="S526" s="24" t="n"/>
      <c r="T526" s="25" t="n"/>
      <c r="U526" s="123" t="n"/>
    </row>
    <row r="527" outlineLevel="1">
      <c r="A527" s="8" t="n"/>
      <c r="B527" s="14" t="n"/>
      <c r="C527" s="123" t="n"/>
      <c r="D527" s="123" t="n"/>
      <c r="E527" s="123" t="n"/>
      <c r="F527" s="123" t="n"/>
      <c r="G527" s="123" t="n"/>
      <c r="H527" s="123" t="n"/>
      <c r="I527" s="123" t="n"/>
      <c r="J527" s="123" t="n"/>
      <c r="K527" s="123" t="n"/>
      <c r="L527" s="123" t="n"/>
      <c r="M527" s="123" t="n"/>
      <c r="N527" s="123" t="n"/>
      <c r="O527" s="123" t="n"/>
      <c r="P527" s="123" t="n"/>
      <c r="Q527" s="123" t="n"/>
      <c r="R527" s="123" t="n"/>
      <c r="S527" s="123" t="n"/>
      <c r="T527" s="123" t="n"/>
      <c r="U527" s="123" t="n"/>
    </row>
    <row r="528" outlineLevel="1">
      <c r="A528" s="8" t="n"/>
      <c r="B528" s="14" t="n"/>
      <c r="C528" s="123" t="n"/>
      <c r="D528" s="55" t="inlineStr">
        <is>
          <t>PACTO 2</t>
        </is>
      </c>
      <c r="E528" s="118" t="n"/>
      <c r="F528" s="16" t="n"/>
      <c r="G528" s="16" t="n"/>
      <c r="H528" s="16" t="n"/>
      <c r="I528" s="16" t="n"/>
      <c r="J528" s="16" t="n"/>
      <c r="K528" s="17" t="n"/>
      <c r="L528" s="127" t="n"/>
      <c r="M528" s="16" t="n"/>
      <c r="N528" s="17" t="n"/>
      <c r="O528" s="123" t="n"/>
      <c r="P528" s="127" t="n"/>
      <c r="Q528" s="16" t="n"/>
      <c r="R528" s="16" t="n"/>
      <c r="S528" s="16" t="n"/>
      <c r="T528" s="17" t="n"/>
      <c r="U528" s="123" t="n"/>
    </row>
    <row r="529" hidden="1" outlineLevel="2">
      <c r="A529" s="8" t="n"/>
      <c r="B529" s="14" t="n"/>
      <c r="C529" s="123" t="n"/>
      <c r="D529" s="55" t="inlineStr">
        <is>
          <t>O QUE EU DOU</t>
        </is>
      </c>
      <c r="E529" s="16" t="n"/>
      <c r="F529" s="16" t="n"/>
      <c r="G529" s="16" t="n"/>
      <c r="H529" s="16" t="n"/>
      <c r="I529" s="16" t="n"/>
      <c r="J529" s="16" t="n"/>
      <c r="K529" s="17" t="n"/>
      <c r="L529" s="55" t="inlineStr">
        <is>
          <t>O QUE EU RECEBO</t>
        </is>
      </c>
      <c r="M529" s="16" t="n"/>
      <c r="N529" s="16" t="n"/>
      <c r="O529" s="16" t="n"/>
      <c r="P529" s="16" t="n"/>
      <c r="Q529" s="16" t="n"/>
      <c r="R529" s="16" t="n"/>
      <c r="S529" s="16" t="n"/>
      <c r="T529" s="17" t="n"/>
      <c r="U529" s="123" t="n"/>
    </row>
    <row r="530" hidden="1" outlineLevel="2">
      <c r="A530" s="8" t="n"/>
      <c r="B530" s="14" t="n"/>
      <c r="C530" s="123" t="n"/>
      <c r="D530" s="119" t="n"/>
      <c r="E530" s="19" t="n"/>
      <c r="F530" s="19" t="n"/>
      <c r="G530" s="19" t="n"/>
      <c r="H530" s="19" t="n"/>
      <c r="I530" s="19" t="n"/>
      <c r="J530" s="19" t="n"/>
      <c r="K530" s="20" t="n"/>
      <c r="L530" s="119" t="n"/>
      <c r="M530" s="19" t="n"/>
      <c r="N530" s="19" t="n"/>
      <c r="O530" s="19" t="n"/>
      <c r="P530" s="19" t="n"/>
      <c r="Q530" s="19" t="n"/>
      <c r="R530" s="19" t="n"/>
      <c r="S530" s="19" t="n"/>
      <c r="T530" s="20" t="n"/>
      <c r="U530" s="123" t="n"/>
    </row>
    <row r="531" hidden="1" outlineLevel="2">
      <c r="A531" s="8" t="n"/>
      <c r="B531" s="14" t="n"/>
      <c r="C531" s="123" t="n"/>
      <c r="D531" s="21" t="n"/>
      <c r="K531" s="22" t="n"/>
      <c r="L531" s="21" t="n"/>
      <c r="T531" s="22" t="n"/>
      <c r="U531" s="123" t="n"/>
    </row>
    <row r="532" hidden="1" outlineLevel="2">
      <c r="A532" s="8" t="n"/>
      <c r="B532" s="14" t="n"/>
      <c r="C532" s="123" t="n"/>
      <c r="D532" s="21" t="n"/>
      <c r="K532" s="22" t="n"/>
      <c r="L532" s="21" t="n"/>
      <c r="T532" s="22" t="n"/>
      <c r="U532" s="123" t="n"/>
    </row>
    <row r="533" hidden="1" outlineLevel="2">
      <c r="A533" s="8" t="n"/>
      <c r="B533" s="14" t="n"/>
      <c r="C533" s="123" t="n"/>
      <c r="D533" s="23" t="n"/>
      <c r="E533" s="24" t="n"/>
      <c r="F533" s="24" t="n"/>
      <c r="G533" s="24" t="n"/>
      <c r="H533" s="24" t="n"/>
      <c r="I533" s="24" t="n"/>
      <c r="J533" s="24" t="n"/>
      <c r="K533" s="25" t="n"/>
      <c r="L533" s="23" t="n"/>
      <c r="M533" s="24" t="n"/>
      <c r="N533" s="24" t="n"/>
      <c r="O533" s="24" t="n"/>
      <c r="P533" s="24" t="n"/>
      <c r="Q533" s="24" t="n"/>
      <c r="R533" s="24" t="n"/>
      <c r="S533" s="24" t="n"/>
      <c r="T533" s="25" t="n"/>
      <c r="U533" s="123" t="n"/>
    </row>
    <row r="534" hidden="1" outlineLevel="2">
      <c r="A534" s="8" t="n"/>
      <c r="B534" s="14" t="n"/>
      <c r="C534" s="123" t="n"/>
      <c r="D534" s="55"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23" t="n"/>
    </row>
    <row r="535" hidden="1" outlineLevel="2">
      <c r="A535" s="8" t="n"/>
      <c r="B535" s="14" t="n"/>
      <c r="C535" s="123" t="n"/>
      <c r="D535" s="119" t="n"/>
      <c r="E535" s="19" t="n"/>
      <c r="F535" s="19" t="n"/>
      <c r="G535" s="19" t="n"/>
      <c r="H535" s="19" t="n"/>
      <c r="I535" s="19" t="n"/>
      <c r="J535" s="19" t="n"/>
      <c r="K535" s="19" t="n"/>
      <c r="L535" s="19" t="n"/>
      <c r="M535" s="19" t="n"/>
      <c r="N535" s="19" t="n"/>
      <c r="O535" s="19" t="n"/>
      <c r="P535" s="19" t="n"/>
      <c r="Q535" s="19" t="n"/>
      <c r="R535" s="19" t="n"/>
      <c r="S535" s="19" t="n"/>
      <c r="T535" s="20" t="n"/>
      <c r="U535" s="123" t="n"/>
    </row>
    <row r="536" hidden="1" outlineLevel="2">
      <c r="A536" s="8" t="n"/>
      <c r="B536" s="14" t="n"/>
      <c r="C536" s="123" t="n"/>
      <c r="D536" s="23" t="n"/>
      <c r="E536" s="24" t="n"/>
      <c r="F536" s="24" t="n"/>
      <c r="G536" s="24" t="n"/>
      <c r="H536" s="24" t="n"/>
      <c r="I536" s="24" t="n"/>
      <c r="J536" s="24" t="n"/>
      <c r="K536" s="24" t="n"/>
      <c r="L536" s="24" t="n"/>
      <c r="M536" s="24" t="n"/>
      <c r="N536" s="24" t="n"/>
      <c r="O536" s="24" t="n"/>
      <c r="P536" s="24" t="n"/>
      <c r="Q536" s="24" t="n"/>
      <c r="R536" s="24" t="n"/>
      <c r="S536" s="24" t="n"/>
      <c r="T536" s="25" t="n"/>
      <c r="U536" s="123" t="n"/>
    </row>
    <row r="537" outlineLevel="1">
      <c r="A537" s="8" t="n"/>
      <c r="B537" s="14" t="n"/>
      <c r="C537" s="123" t="n"/>
      <c r="D537" s="123" t="n"/>
      <c r="E537" s="123" t="n"/>
      <c r="F537" s="123" t="n"/>
      <c r="G537" s="123" t="n"/>
      <c r="H537" s="123" t="n"/>
      <c r="I537" s="123" t="n"/>
      <c r="J537" s="123" t="n"/>
      <c r="K537" s="123" t="n"/>
      <c r="L537" s="123" t="n"/>
      <c r="M537" s="123" t="n"/>
      <c r="N537" s="123" t="n"/>
      <c r="O537" s="123" t="n"/>
      <c r="P537" s="123" t="n"/>
      <c r="Q537" s="123" t="n"/>
      <c r="R537" s="123" t="n"/>
      <c r="S537" s="123" t="n"/>
      <c r="T537" s="123" t="n"/>
      <c r="U537" s="123" t="n"/>
    </row>
    <row r="538" outlineLevel="1">
      <c r="A538" s="8" t="n"/>
      <c r="B538" s="14" t="n"/>
      <c r="C538" s="123" t="n"/>
      <c r="D538" s="55" t="inlineStr">
        <is>
          <t>PACTO 3</t>
        </is>
      </c>
      <c r="E538" s="118" t="n"/>
      <c r="F538" s="16" t="n"/>
      <c r="G538" s="16" t="n"/>
      <c r="H538" s="16" t="n"/>
      <c r="I538" s="16" t="n"/>
      <c r="J538" s="16" t="n"/>
      <c r="K538" s="17" t="n"/>
      <c r="L538" s="127" t="n"/>
      <c r="M538" s="16" t="n"/>
      <c r="N538" s="17" t="n"/>
      <c r="O538" s="123" t="n"/>
      <c r="P538" s="127" t="n"/>
      <c r="Q538" s="16" t="n"/>
      <c r="R538" s="16" t="n"/>
      <c r="S538" s="16" t="n"/>
      <c r="T538" s="17" t="n"/>
      <c r="U538" s="123" t="n"/>
    </row>
    <row r="539" hidden="1" outlineLevel="2">
      <c r="A539" s="8" t="n"/>
      <c r="B539" s="14" t="n"/>
      <c r="C539" s="123" t="n"/>
      <c r="D539" s="55" t="inlineStr">
        <is>
          <t>O QUE EU DOU</t>
        </is>
      </c>
      <c r="E539" s="16" t="n"/>
      <c r="F539" s="16" t="n"/>
      <c r="G539" s="16" t="n"/>
      <c r="H539" s="16" t="n"/>
      <c r="I539" s="16" t="n"/>
      <c r="J539" s="16" t="n"/>
      <c r="K539" s="17" t="n"/>
      <c r="L539" s="55" t="inlineStr">
        <is>
          <t>O QUE EU RECEBO</t>
        </is>
      </c>
      <c r="M539" s="16" t="n"/>
      <c r="N539" s="16" t="n"/>
      <c r="O539" s="16" t="n"/>
      <c r="P539" s="16" t="n"/>
      <c r="Q539" s="16" t="n"/>
      <c r="R539" s="16" t="n"/>
      <c r="S539" s="16" t="n"/>
      <c r="T539" s="17" t="n"/>
      <c r="U539" s="123" t="n"/>
    </row>
    <row r="540" hidden="1" outlineLevel="2">
      <c r="A540" s="8" t="n"/>
      <c r="B540" s="14" t="n"/>
      <c r="C540" s="123" t="n"/>
      <c r="D540" s="119" t="n"/>
      <c r="E540" s="19" t="n"/>
      <c r="F540" s="19" t="n"/>
      <c r="G540" s="19" t="n"/>
      <c r="H540" s="19" t="n"/>
      <c r="I540" s="19" t="n"/>
      <c r="J540" s="19" t="n"/>
      <c r="K540" s="20" t="n"/>
      <c r="L540" s="119" t="n"/>
      <c r="M540" s="19" t="n"/>
      <c r="N540" s="19" t="n"/>
      <c r="O540" s="19" t="n"/>
      <c r="P540" s="19" t="n"/>
      <c r="Q540" s="19" t="n"/>
      <c r="R540" s="19" t="n"/>
      <c r="S540" s="19" t="n"/>
      <c r="T540" s="20" t="n"/>
      <c r="U540" s="123" t="n"/>
    </row>
    <row r="541" hidden="1" outlineLevel="2">
      <c r="A541" s="8" t="n"/>
      <c r="B541" s="14" t="n"/>
      <c r="C541" s="123" t="n"/>
      <c r="D541" s="21" t="n"/>
      <c r="K541" s="22" t="n"/>
      <c r="L541" s="21" t="n"/>
      <c r="T541" s="22" t="n"/>
      <c r="U541" s="123" t="n"/>
    </row>
    <row r="542" hidden="1" outlineLevel="2">
      <c r="A542" s="8" t="n"/>
      <c r="B542" s="14" t="n"/>
      <c r="C542" s="123" t="n"/>
      <c r="D542" s="21" t="n"/>
      <c r="K542" s="22" t="n"/>
      <c r="L542" s="21" t="n"/>
      <c r="T542" s="22" t="n"/>
      <c r="U542" s="123" t="n"/>
    </row>
    <row r="543" hidden="1" outlineLevel="2">
      <c r="A543" s="8" t="n"/>
      <c r="B543" s="14" t="n"/>
      <c r="C543" s="123" t="n"/>
      <c r="D543" s="23" t="n"/>
      <c r="E543" s="24" t="n"/>
      <c r="F543" s="24" t="n"/>
      <c r="G543" s="24" t="n"/>
      <c r="H543" s="24" t="n"/>
      <c r="I543" s="24" t="n"/>
      <c r="J543" s="24" t="n"/>
      <c r="K543" s="25" t="n"/>
      <c r="L543" s="23" t="n"/>
      <c r="M543" s="24" t="n"/>
      <c r="N543" s="24" t="n"/>
      <c r="O543" s="24" t="n"/>
      <c r="P543" s="24" t="n"/>
      <c r="Q543" s="24" t="n"/>
      <c r="R543" s="24" t="n"/>
      <c r="S543" s="24" t="n"/>
      <c r="T543" s="25" t="n"/>
      <c r="U543" s="123" t="n"/>
    </row>
    <row r="544" hidden="1" outlineLevel="2">
      <c r="A544" s="8" t="n"/>
      <c r="B544" s="14" t="n"/>
      <c r="C544" s="123" t="n"/>
      <c r="D544" s="55"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23" t="n"/>
    </row>
    <row r="545" hidden="1" outlineLevel="2">
      <c r="A545" s="8" t="n"/>
      <c r="B545" s="14" t="n"/>
      <c r="C545" s="123" t="n"/>
      <c r="D545" s="119" t="n"/>
      <c r="E545" s="19" t="n"/>
      <c r="F545" s="19" t="n"/>
      <c r="G545" s="19" t="n"/>
      <c r="H545" s="19" t="n"/>
      <c r="I545" s="19" t="n"/>
      <c r="J545" s="19" t="n"/>
      <c r="K545" s="19" t="n"/>
      <c r="L545" s="19" t="n"/>
      <c r="M545" s="19" t="n"/>
      <c r="N545" s="19" t="n"/>
      <c r="O545" s="19" t="n"/>
      <c r="P545" s="19" t="n"/>
      <c r="Q545" s="19" t="n"/>
      <c r="R545" s="19" t="n"/>
      <c r="S545" s="19" t="n"/>
      <c r="T545" s="20" t="n"/>
      <c r="U545" s="123" t="n"/>
    </row>
    <row r="546" hidden="1" outlineLevel="2">
      <c r="A546" s="8" t="n"/>
      <c r="B546" s="14" t="n"/>
      <c r="C546" s="123" t="n"/>
      <c r="D546" s="23" t="n"/>
      <c r="E546" s="24" t="n"/>
      <c r="F546" s="24" t="n"/>
      <c r="G546" s="24" t="n"/>
      <c r="H546" s="24" t="n"/>
      <c r="I546" s="24" t="n"/>
      <c r="J546" s="24" t="n"/>
      <c r="K546" s="24" t="n"/>
      <c r="L546" s="24" t="n"/>
      <c r="M546" s="24" t="n"/>
      <c r="N546" s="24" t="n"/>
      <c r="O546" s="24" t="n"/>
      <c r="P546" s="24" t="n"/>
      <c r="Q546" s="24" t="n"/>
      <c r="R546" s="24" t="n"/>
      <c r="S546" s="24" t="n"/>
      <c r="T546" s="25" t="n"/>
      <c r="U546" s="123" t="n"/>
    </row>
    <row r="547">
      <c r="A547" s="8" t="n"/>
      <c r="B547" s="14" t="n"/>
      <c r="C547" s="123" t="n"/>
      <c r="D547" s="123" t="n"/>
      <c r="E547" s="123" t="n"/>
      <c r="F547" s="123" t="n"/>
      <c r="G547" s="123" t="n"/>
      <c r="H547" s="123" t="n"/>
      <c r="I547" s="123" t="n"/>
      <c r="J547" s="123" t="n"/>
      <c r="K547" s="123" t="n"/>
      <c r="L547" s="123" t="n"/>
      <c r="M547" s="123" t="n"/>
      <c r="N547" s="123" t="n"/>
      <c r="O547" s="123" t="n"/>
      <c r="P547" s="123" t="n"/>
      <c r="Q547" s="123" t="n"/>
      <c r="R547" s="123" t="n"/>
      <c r="S547" s="123" t="n"/>
      <c r="T547" s="123" t="n"/>
      <c r="U547" s="123" t="n"/>
    </row>
    <row r="548">
      <c r="A548" s="8" t="n"/>
      <c r="B548" s="14" t="n"/>
      <c r="C548" s="123" t="n"/>
      <c r="D548" s="123" t="n"/>
      <c r="E548" s="123" t="n"/>
      <c r="F548" s="123" t="n"/>
      <c r="G548" s="123" t="n"/>
      <c r="H548" s="123" t="n"/>
      <c r="I548" s="123" t="n"/>
      <c r="J548" s="123" t="n"/>
      <c r="K548" s="123" t="n"/>
      <c r="L548" s="123" t="n"/>
      <c r="M548" s="123" t="n"/>
      <c r="N548" s="123" t="n"/>
      <c r="O548" s="123" t="n"/>
      <c r="P548" s="123" t="n"/>
      <c r="Q548" s="123" t="n"/>
      <c r="R548" s="123" t="n"/>
      <c r="S548" s="123" t="n"/>
      <c r="T548" s="123" t="n"/>
      <c r="U548" s="123" t="n"/>
    </row>
  </sheetData>
  <mergeCells count="1362">
    <mergeCell ref="P73:T73"/>
    <mergeCell ref="J127:J128"/>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S41:T41"/>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P528:T528"/>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S42:T43"/>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A33:B5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R42:R4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19">
    <dataValidation sqref="J16" showDropDown="0" showInputMessage="0" showErrorMessage="0" allowBlank="1" type="list">
      <formula1>DADOS_AM!$CS$2:$CS$5</formula1>
    </dataValidation>
    <dataValidation sqref="D18 J18 P18" showDropDown="0" showInputMessage="0" showErrorMessage="0" allowBlank="1" type="list">
      <formula1>DADOS_AM!$CX$2:$CX$14</formula1>
    </dataValidation>
    <dataValidation sqref="P33" showDropDown="0" showInputMessage="0" showErrorMessage="0" allowBlank="1" type="list">
      <formula1>DADOS_AM!$CA$2:$CA$4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DADOS_AM!$BI$2:$BI$84</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DADOS_AM!$BM$2:$BM$24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DADOS_AM!$BJ$2:$BJ$84</formula1>
    </dataValidation>
    <dataValidation sqref="L310:L314" showDropDown="0" showInputMessage="0" showErrorMessage="0" allowBlank="1" type="list">
      <formula1>DADOS_AM!$BQ$2:$BQ$24</formula1>
    </dataValidation>
    <dataValidation sqref="D319 J319 P319" showDropDown="0" showInputMessage="0" showErrorMessage="0" allowBlank="1" type="list">
      <formula1>DADOS_AM!$DF$2:$DF$6</formula1>
    </dataValidation>
    <dataValidation sqref="D357" showDropDown="0" showInputMessage="0" showErrorMessage="0" allowBlank="1" type="list">
      <formula1>DADOS_AM!$DL$2:$DL$4</formula1>
    </dataValidation>
    <dataValidation sqref="D379 D387 D397 D405 D413 J379 J387 J397 J405 P379 P397 P405" showDropDown="0" showInputMessage="0" showErrorMessage="0" allowBlank="1" type="list">
      <formula1>DADOS_AM!$BX$2:$BX$24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DADOS_AM!$CI$2:$CI$33</formula1>
    </dataValidation>
    <dataValidation sqref="L518 L528 L538" showDropDown="0" showInputMessage="0" showErrorMessage="0" allowBlank="1" type="list">
      <formula1>DADOS_AM!$DR$2:$DR$5</formula1>
    </dataValidation>
    <dataValidation sqref="P518 P528 P538" showDropDown="0" showInputMessage="0" showErrorMessage="0" allowBlank="1" type="list">
      <formula1>DADOS_AM!$DU$2:$DU$4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23" t="n"/>
      <c r="AR6" s="123" t="n"/>
      <c r="AS6" s="123" t="n"/>
    </row>
    <row r="7">
      <c r="A7" s="8" t="n"/>
      <c r="B7" s="14" t="n"/>
      <c r="C7" s="123" t="n"/>
      <c r="D7" s="123" t="n"/>
      <c r="E7" s="123" t="n"/>
      <c r="F7" s="123" t="n"/>
      <c r="G7" s="123" t="n"/>
      <c r="H7" s="123" t="n"/>
      <c r="I7" s="123" t="n"/>
      <c r="J7" s="123" t="n"/>
      <c r="K7" s="123" t="n"/>
      <c r="L7" s="123" t="n"/>
      <c r="M7" s="123" t="n"/>
      <c r="N7" s="123" t="n"/>
      <c r="O7" s="123" t="n"/>
      <c r="P7" s="123" t="n"/>
      <c r="Q7" s="123" t="n"/>
      <c r="R7" s="123" t="n"/>
      <c r="S7" s="123" t="n"/>
      <c r="T7" s="123" t="n"/>
      <c r="U7" s="123" t="n"/>
      <c r="V7" s="123" t="n"/>
      <c r="W7" s="123" t="n"/>
      <c r="X7" s="123" t="n"/>
      <c r="Y7" s="123" t="n"/>
      <c r="Z7" s="123" t="n"/>
      <c r="AA7" s="123" t="n"/>
      <c r="AB7" s="123" t="n"/>
      <c r="AC7" s="123" t="n"/>
      <c r="AD7" s="123" t="n"/>
      <c r="AE7" s="123" t="n"/>
      <c r="AF7" s="123" t="n"/>
      <c r="AG7" s="123" t="n"/>
      <c r="AH7" s="123" t="n"/>
      <c r="AI7" s="123" t="n"/>
      <c r="AJ7" s="123" t="n"/>
      <c r="AK7" s="123" t="n"/>
      <c r="AL7" s="123" t="n"/>
      <c r="AM7" s="123" t="n"/>
      <c r="AN7" s="123" t="n"/>
      <c r="AO7" s="123" t="n"/>
      <c r="AP7" s="123" t="n"/>
      <c r="AQ7" s="123" t="n"/>
      <c r="AR7" s="123" t="n"/>
      <c r="AS7" s="123" t="n"/>
    </row>
    <row r="8">
      <c r="A8" s="48" t="inlineStr">
        <is>
          <t>CICLO MALDITO</t>
        </is>
      </c>
      <c r="B8" s="22" t="n"/>
      <c r="C8" s="123" t="n"/>
      <c r="D8" s="123" t="n"/>
      <c r="E8" s="123" t="n"/>
      <c r="F8" s="123" t="n"/>
      <c r="G8" s="123" t="n"/>
      <c r="H8" s="123" t="n"/>
      <c r="I8" s="123" t="n"/>
      <c r="J8" s="123" t="n"/>
      <c r="K8" s="123" t="n"/>
      <c r="L8" s="123" t="n"/>
      <c r="M8" s="123" t="n"/>
      <c r="N8" s="123" t="n"/>
      <c r="O8" s="123" t="n"/>
      <c r="P8" s="123" t="n"/>
      <c r="Q8" s="123" t="n"/>
      <c r="R8" s="123" t="n"/>
      <c r="S8" s="123" t="n"/>
      <c r="T8" s="123" t="n"/>
      <c r="U8" s="123" t="n"/>
      <c r="V8" s="123" t="n"/>
      <c r="W8" s="123" t="n"/>
      <c r="X8" s="123" t="n"/>
      <c r="Y8" s="123" t="n"/>
      <c r="Z8" s="123" t="n"/>
      <c r="AA8" s="123" t="n"/>
      <c r="AB8" s="123" t="n"/>
      <c r="AC8" s="123" t="n"/>
      <c r="AD8" s="123" t="n"/>
      <c r="AE8" s="123" t="n"/>
      <c r="AF8" s="123" t="n"/>
      <c r="AG8" s="123" t="n"/>
      <c r="AH8" s="123" t="n"/>
      <c r="AI8" s="123" t="n"/>
      <c r="AJ8" s="123" t="n"/>
      <c r="AK8" s="123" t="n"/>
      <c r="AL8" s="123" t="n"/>
      <c r="AM8" s="123" t="n"/>
      <c r="AN8" s="123" t="n"/>
      <c r="AO8" s="123" t="n"/>
      <c r="AP8" s="123" t="n"/>
      <c r="AQ8" s="123" t="n"/>
      <c r="AR8" s="123" t="n"/>
      <c r="AS8" s="123" t="n"/>
    </row>
    <row r="9">
      <c r="B9" s="22" t="n"/>
      <c r="C9" s="123" t="n"/>
      <c r="D9" s="126" t="inlineStr">
        <is>
          <t>O CONJUNTO</t>
        </is>
      </c>
      <c r="E9" s="19" t="n"/>
      <c r="F9" s="20" t="n"/>
      <c r="G9" s="123" t="n"/>
      <c r="H9" s="141" t="n">
        <v>1</v>
      </c>
      <c r="I9" s="142" t="n">
        <v>1</v>
      </c>
      <c r="J9" s="126">
        <f>DADOS_INVOC!$HE$2</f>
        <v/>
      </c>
      <c r="K9" s="19" t="n"/>
      <c r="L9" s="19" t="n"/>
      <c r="M9" s="19" t="n"/>
      <c r="N9" s="19" t="n"/>
      <c r="O9" s="19" t="n"/>
      <c r="P9" s="19" t="n"/>
      <c r="Q9" s="19" t="n"/>
      <c r="R9" s="19" t="n"/>
      <c r="S9" s="19" t="n"/>
      <c r="T9" s="19" t="n"/>
      <c r="U9" s="19" t="n"/>
      <c r="V9" s="19" t="n"/>
      <c r="W9" s="19" t="n"/>
      <c r="X9" s="19" t="n"/>
      <c r="Y9" s="20" t="n"/>
      <c r="Z9" s="123" t="n"/>
      <c r="AA9" s="141" t="n">
        <v>7</v>
      </c>
      <c r="AB9" s="142" t="n">
        <v>7</v>
      </c>
      <c r="AC9" s="126">
        <f>DADOS_INVOC!$HE$8</f>
        <v/>
      </c>
      <c r="AD9" s="19" t="n"/>
      <c r="AE9" s="19" t="n"/>
      <c r="AF9" s="19" t="n"/>
      <c r="AG9" s="19" t="n"/>
      <c r="AH9" s="19" t="n"/>
      <c r="AI9" s="19" t="n"/>
      <c r="AJ9" s="19" t="n"/>
      <c r="AK9" s="19" t="n"/>
      <c r="AL9" s="19" t="n"/>
      <c r="AM9" s="19" t="n"/>
      <c r="AN9" s="19" t="n"/>
      <c r="AO9" s="19" t="n"/>
      <c r="AP9" s="19" t="n"/>
      <c r="AQ9" s="19" t="n"/>
      <c r="AR9" s="20" t="n"/>
      <c r="AS9" s="123" t="n"/>
    </row>
    <row r="10">
      <c r="B10" s="22" t="n"/>
      <c r="C10" s="123" t="n"/>
      <c r="D10" s="23" t="n"/>
      <c r="E10" s="24" t="n"/>
      <c r="F10" s="25" t="n"/>
      <c r="G10" s="123" t="n"/>
      <c r="I10" s="128" t="n"/>
      <c r="J10" s="23" t="n"/>
      <c r="K10" s="24" t="n"/>
      <c r="L10" s="24" t="n"/>
      <c r="M10" s="24" t="n"/>
      <c r="N10" s="24" t="n"/>
      <c r="O10" s="24" t="n"/>
      <c r="P10" s="24" t="n"/>
      <c r="Q10" s="24" t="n"/>
      <c r="R10" s="24" t="n"/>
      <c r="S10" s="24" t="n"/>
      <c r="T10" s="24" t="n"/>
      <c r="U10" s="24" t="n"/>
      <c r="V10" s="24" t="n"/>
      <c r="W10" s="24" t="n"/>
      <c r="X10" s="24" t="n"/>
      <c r="Y10" s="25" t="n"/>
      <c r="Z10" s="123" t="n"/>
      <c r="AB10" s="128" t="n"/>
      <c r="AC10" s="23" t="n"/>
      <c r="AD10" s="24" t="n"/>
      <c r="AE10" s="24" t="n"/>
      <c r="AF10" s="24" t="n"/>
      <c r="AG10" s="24" t="n"/>
      <c r="AH10" s="24" t="n"/>
      <c r="AI10" s="24" t="n"/>
      <c r="AJ10" s="24" t="n"/>
      <c r="AK10" s="24" t="n"/>
      <c r="AL10" s="24" t="n"/>
      <c r="AM10" s="24" t="n"/>
      <c r="AN10" s="24" t="n"/>
      <c r="AO10" s="24" t="n"/>
      <c r="AP10" s="24" t="n"/>
      <c r="AQ10" s="24" t="n"/>
      <c r="AR10" s="25" t="n"/>
      <c r="AS10" s="123" t="n"/>
    </row>
    <row r="11">
      <c r="B11" s="22" t="n"/>
      <c r="C11" s="123" t="n"/>
      <c r="D11" s="123" t="n"/>
      <c r="E11" s="123" t="n"/>
      <c r="F11" s="123" t="n"/>
      <c r="G11" s="123" t="n"/>
      <c r="H11" s="143">
        <f>DADOS_INVOC!$HF$2</f>
        <v/>
      </c>
      <c r="I11" s="123" t="n"/>
      <c r="J11" s="123" t="n"/>
      <c r="K11" s="123" t="n"/>
      <c r="L11" s="123" t="n"/>
      <c r="M11" s="123" t="n"/>
      <c r="N11" s="123" t="n"/>
      <c r="O11" s="123" t="n"/>
      <c r="P11" s="123" t="n"/>
      <c r="Q11" s="123" t="n"/>
      <c r="R11" s="123" t="n"/>
      <c r="S11" s="123" t="n"/>
      <c r="T11" s="123" t="n"/>
      <c r="U11" s="123" t="n"/>
      <c r="V11" s="123" t="n"/>
      <c r="W11" s="123" t="n"/>
      <c r="X11" s="123" t="n"/>
      <c r="Y11" s="123" t="n"/>
      <c r="Z11" s="123" t="n"/>
      <c r="AA11" s="143">
        <f>DADOS_INVOC!$HF$8</f>
        <v/>
      </c>
      <c r="AB11" s="123" t="n"/>
      <c r="AC11" s="123" t="n"/>
      <c r="AD11" s="123" t="n"/>
      <c r="AE11" s="123" t="n"/>
      <c r="AF11" s="123" t="n"/>
      <c r="AG11" s="123" t="n"/>
      <c r="AH11" s="123" t="n"/>
      <c r="AI11" s="123" t="n"/>
      <c r="AJ11" s="123" t="n"/>
      <c r="AK11" s="123" t="n"/>
      <c r="AL11" s="123" t="n"/>
      <c r="AM11" s="123" t="n"/>
      <c r="AN11" s="123" t="n"/>
      <c r="AO11" s="123" t="n"/>
      <c r="AP11" s="123" t="n"/>
      <c r="AQ11" s="123" t="n"/>
      <c r="AR11" s="123" t="n"/>
      <c r="AS11" s="123" t="n"/>
    </row>
    <row r="12">
      <c r="B12" s="22" t="n"/>
      <c r="C12" s="123" t="n"/>
      <c r="D12" s="55" t="inlineStr">
        <is>
          <t>SEU NÍVEL</t>
        </is>
      </c>
      <c r="E12" s="55" t="inlineStr">
        <is>
          <t>MAESTRIA</t>
        </is>
      </c>
      <c r="F12" s="55" t="inlineStr">
        <is>
          <t>TRILHA</t>
        </is>
      </c>
      <c r="G12" s="123" t="n"/>
      <c r="I12" s="55" t="inlineStr">
        <is>
          <t>NOME</t>
        </is>
      </c>
      <c r="J12" s="16" t="n"/>
      <c r="K12" s="16" t="n"/>
      <c r="L12" s="16" t="n"/>
      <c r="M12" s="17" t="n"/>
      <c r="N12" s="123" t="n"/>
      <c r="O12" s="55" t="inlineStr">
        <is>
          <t>NÍVEL</t>
        </is>
      </c>
      <c r="P12" s="55" t="inlineStr">
        <is>
          <t>CLASSE</t>
        </is>
      </c>
      <c r="Q12" s="55" t="inlineStr">
        <is>
          <t>MAESTRIA</t>
        </is>
      </c>
      <c r="R12" s="55" t="inlineStr">
        <is>
          <t>ENTRADA</t>
        </is>
      </c>
      <c r="S12" s="55" t="inlineStr">
        <is>
          <t>RETORNO</t>
        </is>
      </c>
      <c r="T12" s="123" t="n"/>
      <c r="U12" s="55" t="inlineStr">
        <is>
          <t>VIDA ATUAL</t>
        </is>
      </c>
      <c r="V12" s="55" t="inlineStr">
        <is>
          <t>VIDA MÁXIMA</t>
        </is>
      </c>
      <c r="W12" s="55" t="inlineStr">
        <is>
          <t>TEMPORÁRIA</t>
        </is>
      </c>
      <c r="X12" s="55" t="inlineStr">
        <is>
          <t>± PERDA / GANHO</t>
        </is>
      </c>
      <c r="Y12" s="55">
        <f>DADOS_INVOC!$HZ$2</f>
        <v/>
      </c>
      <c r="Z12" s="123" t="n"/>
      <c r="AB12" s="55" t="inlineStr">
        <is>
          <t>NOME</t>
        </is>
      </c>
      <c r="AC12" s="16" t="n"/>
      <c r="AD12" s="16" t="n"/>
      <c r="AE12" s="16" t="n"/>
      <c r="AF12" s="17" t="n"/>
      <c r="AG12" s="123" t="n"/>
      <c r="AH12" s="55" t="inlineStr">
        <is>
          <t>NÍVEL</t>
        </is>
      </c>
      <c r="AI12" s="55" t="inlineStr">
        <is>
          <t>CLASSE</t>
        </is>
      </c>
      <c r="AJ12" s="55" t="inlineStr">
        <is>
          <t>MAESTRIA</t>
        </is>
      </c>
      <c r="AK12" s="55" t="inlineStr">
        <is>
          <t>ENTRADA</t>
        </is>
      </c>
      <c r="AL12" s="55" t="inlineStr">
        <is>
          <t>RETORNO</t>
        </is>
      </c>
      <c r="AM12" s="123" t="n"/>
      <c r="AN12" s="55" t="inlineStr">
        <is>
          <t>VIDA ATUAL</t>
        </is>
      </c>
      <c r="AO12" s="55" t="inlineStr">
        <is>
          <t>VIDA MÁXIMA</t>
        </is>
      </c>
      <c r="AP12" s="55" t="inlineStr">
        <is>
          <t>TEMPORÁRIA</t>
        </is>
      </c>
      <c r="AQ12" s="55" t="inlineStr">
        <is>
          <t>± PERDA / GANHO</t>
        </is>
      </c>
      <c r="AR12" s="55">
        <f>DADOS_INVOC!$HZ$8</f>
        <v/>
      </c>
      <c r="AS12" s="123" t="n"/>
    </row>
    <row r="13">
      <c r="B13" s="22" t="n"/>
      <c r="C13" s="123" t="n"/>
      <c r="D13" s="96">
        <f>DADOS_INVOC!$CZ$2</f>
        <v/>
      </c>
      <c r="E13" s="96">
        <f>DADOS_INVOC!$QS$2</f>
        <v/>
      </c>
      <c r="F13" s="127">
        <f>DADOS_INVOC!$QS$3</f>
        <v/>
      </c>
      <c r="G13" s="123" t="n"/>
      <c r="I13" s="85" t="n"/>
      <c r="J13" s="19" t="n"/>
      <c r="K13" s="19" t="n"/>
      <c r="L13" s="19" t="n"/>
      <c r="M13" s="20" t="n"/>
      <c r="N13" s="123" t="n"/>
      <c r="O13" s="96">
        <f>DADOS_INVOC!$FM$2</f>
        <v/>
      </c>
      <c r="P13" s="96">
        <f>DADOS_INVOC!$FN$2</f>
        <v/>
      </c>
      <c r="Q13" s="96">
        <f>DADOS_INVOC!$HG$2</f>
        <v/>
      </c>
      <c r="R13" s="96">
        <f>DADOS_INVOC!$HH$2</f>
        <v/>
      </c>
      <c r="S13" s="96">
        <f>DADOS_INVOC!$HI$2</f>
        <v/>
      </c>
      <c r="T13" s="123" t="n"/>
      <c r="U13" s="96">
        <f>DADOS_INVOC!$GE$2</f>
        <v/>
      </c>
      <c r="V13" s="96">
        <f>DADOS_INVOC!$GD$2</f>
        <v/>
      </c>
      <c r="W13" s="96" t="n"/>
      <c r="X13" s="96" t="n"/>
      <c r="Y13" s="96" t="n"/>
      <c r="Z13" s="123" t="n"/>
      <c r="AB13" s="85" t="n"/>
      <c r="AC13" s="19" t="n"/>
      <c r="AD13" s="19" t="n"/>
      <c r="AE13" s="19" t="n"/>
      <c r="AF13" s="20" t="n"/>
      <c r="AG13" s="123" t="n"/>
      <c r="AH13" s="96">
        <f>DADOS_INVOC!$FM$8</f>
        <v/>
      </c>
      <c r="AI13" s="96">
        <f>DADOS_INVOC!$FN$8</f>
        <v/>
      </c>
      <c r="AJ13" s="96">
        <f>DADOS_INVOC!$HG$8</f>
        <v/>
      </c>
      <c r="AK13" s="96">
        <f>DADOS_INVOC!$HH$8</f>
        <v/>
      </c>
      <c r="AL13" s="96">
        <f>DADOS_INVOC!$HI$8</f>
        <v/>
      </c>
      <c r="AM13" s="123" t="n"/>
      <c r="AN13" s="96">
        <f>DADOS_INVOC!$GE$8</f>
        <v/>
      </c>
      <c r="AO13" s="96">
        <f>DADOS_INVOC!$GD$8</f>
        <v/>
      </c>
      <c r="AP13" s="96" t="n"/>
      <c r="AQ13" s="96" t="n"/>
      <c r="AR13" s="96" t="n"/>
      <c r="AS13" s="123" t="n"/>
    </row>
    <row r="14">
      <c r="B14" s="22" t="n"/>
      <c r="C14" s="123" t="n"/>
      <c r="D14" s="128" t="n"/>
      <c r="E14" s="128" t="n"/>
      <c r="F14" s="128" t="n"/>
      <c r="G14" s="123" t="n"/>
      <c r="I14" s="23" t="n"/>
      <c r="J14" s="24" t="n"/>
      <c r="K14" s="24" t="n"/>
      <c r="L14" s="24" t="n"/>
      <c r="M14" s="25" t="n"/>
      <c r="N14" s="123" t="n"/>
      <c r="O14" s="128" t="n"/>
      <c r="P14" s="128" t="n"/>
      <c r="Q14" s="128" t="n"/>
      <c r="R14" s="128" t="n"/>
      <c r="S14" s="128" t="n"/>
      <c r="T14" s="123" t="n"/>
      <c r="U14" s="128" t="n"/>
      <c r="V14" s="128" t="n"/>
      <c r="W14" s="128" t="n"/>
      <c r="X14" s="128" t="n"/>
      <c r="Y14" s="128" t="n"/>
      <c r="Z14" s="123" t="n"/>
      <c r="AB14" s="23" t="n"/>
      <c r="AC14" s="24" t="n"/>
      <c r="AD14" s="24" t="n"/>
      <c r="AE14" s="24" t="n"/>
      <c r="AF14" s="25" t="n"/>
      <c r="AG14" s="123" t="n"/>
      <c r="AH14" s="128" t="n"/>
      <c r="AI14" s="128" t="n"/>
      <c r="AJ14" s="128" t="n"/>
      <c r="AK14" s="128" t="n"/>
      <c r="AL14" s="128" t="n"/>
      <c r="AM14" s="123" t="n"/>
      <c r="AN14" s="128" t="n"/>
      <c r="AO14" s="128" t="n"/>
      <c r="AP14" s="128" t="n"/>
      <c r="AQ14" s="128" t="n"/>
      <c r="AR14" s="128" t="n"/>
      <c r="AS14" s="123" t="n"/>
    </row>
    <row r="15">
      <c r="B15" s="22" t="n"/>
      <c r="C15" s="123" t="n"/>
      <c r="D15" s="123" t="n"/>
      <c r="E15" s="123" t="n"/>
      <c r="F15" s="123" t="n"/>
      <c r="G15" s="123" t="n"/>
      <c r="I15" s="144" t="inlineStr">
        <is>
          <t>FOTO
式神</t>
        </is>
      </c>
      <c r="J15" s="19" t="n"/>
      <c r="K15" s="19" t="n"/>
      <c r="L15" s="19" t="n"/>
      <c r="M15" s="20" t="n"/>
      <c r="N15" s="123" t="n"/>
      <c r="O15" s="123" t="n"/>
      <c r="P15" s="123" t="n"/>
      <c r="Q15" s="123" t="n"/>
      <c r="R15" s="123" t="n"/>
      <c r="S15" s="123" t="n"/>
      <c r="T15" s="123" t="n"/>
      <c r="U15" s="133">
        <f>IFERROR(SPARKLINE(DADOS_INVOC!$GF$2,{"charttype","bar";"max",MAX(1,DADOS_INVOC!$GD$2);"color1",DADOS_INVOC!$CZ$12}),"")</f>
        <v/>
      </c>
      <c r="V15" s="16" t="n"/>
      <c r="W15" s="16" t="n"/>
      <c r="X15" s="16" t="n"/>
      <c r="Y15" s="17" t="n"/>
      <c r="Z15" s="123" t="n"/>
      <c r="AB15" s="144" t="inlineStr">
        <is>
          <t>FOTO
式神</t>
        </is>
      </c>
      <c r="AC15" s="19" t="n"/>
      <c r="AD15" s="19" t="n"/>
      <c r="AE15" s="19" t="n"/>
      <c r="AF15" s="20" t="n"/>
      <c r="AG15" s="123" t="n"/>
      <c r="AH15" s="123" t="n"/>
      <c r="AI15" s="123" t="n"/>
      <c r="AJ15" s="123" t="n"/>
      <c r="AK15" s="123" t="n"/>
      <c r="AL15" s="123" t="n"/>
      <c r="AM15" s="123" t="n"/>
      <c r="AN15" s="133">
        <f>IFERROR(SPARKLINE(DADOS_INVOC!$GF$8,{"charttype","bar";"max",MAX(1,DADOS_INVOC!$GD$8);"color1",DADOS_INVOC!$CZ$12}),"")</f>
        <v/>
      </c>
      <c r="AO15" s="16" t="n"/>
      <c r="AP15" s="16" t="n"/>
      <c r="AQ15" s="16" t="n"/>
      <c r="AR15" s="17" t="n"/>
      <c r="AS15" s="123" t="n"/>
    </row>
    <row r="16">
      <c r="B16" s="22" t="n"/>
      <c r="C16" s="123" t="n"/>
      <c r="D16" s="55" t="inlineStr">
        <is>
          <t>DEFESA USA</t>
        </is>
      </c>
      <c r="E16" s="55" t="inlineStr">
        <is>
          <t>ATIVAS, NO MÁXIMO</t>
        </is>
      </c>
      <c r="F16" s="55" t="inlineStr">
        <is>
          <t>CORPOS MANTIDOS</t>
        </is>
      </c>
      <c r="G16" s="123" t="n"/>
      <c r="I16" s="21" t="n"/>
      <c r="M16" s="22" t="n"/>
      <c r="N16" s="123" t="n"/>
      <c r="O16" s="55">
        <f>DADOS_INVOC!$HJ$2</f>
        <v/>
      </c>
      <c r="P16" s="16" t="n"/>
      <c r="Q16" s="16" t="n"/>
      <c r="R16" s="16" t="n"/>
      <c r="S16" s="17" t="n"/>
      <c r="T16" s="123" t="n"/>
      <c r="U16" s="123" t="n"/>
      <c r="V16" s="123" t="n"/>
      <c r="W16" s="123" t="n"/>
      <c r="X16" s="123" t="n"/>
      <c r="Y16" s="123" t="n"/>
      <c r="Z16" s="123" t="n"/>
      <c r="AB16" s="21" t="n"/>
      <c r="AF16" s="22" t="n"/>
      <c r="AG16" s="123" t="n"/>
      <c r="AH16" s="55">
        <f>DADOS_INVOC!$HJ$8</f>
        <v/>
      </c>
      <c r="AI16" s="16" t="n"/>
      <c r="AJ16" s="16" t="n"/>
      <c r="AK16" s="16" t="n"/>
      <c r="AL16" s="17" t="n"/>
      <c r="AM16" s="123" t="n"/>
      <c r="AN16" s="123" t="n"/>
      <c r="AO16" s="123" t="n"/>
      <c r="AP16" s="123" t="n"/>
      <c r="AQ16" s="123" t="n"/>
      <c r="AR16" s="123" t="n"/>
      <c r="AS16" s="123" t="n"/>
    </row>
    <row r="17">
      <c r="B17" s="22" t="n"/>
      <c r="C17" s="123" t="n"/>
      <c r="D17" s="127" t="inlineStr">
        <is>
          <t>Essência</t>
        </is>
      </c>
      <c r="E17" s="96">
        <f>DADOS_INVOC!$CZ$8</f>
        <v/>
      </c>
      <c r="F17" s="96">
        <f>DADOS_INVOC!$CZ$9</f>
        <v/>
      </c>
      <c r="G17" s="123" t="n"/>
      <c r="I17" s="21" t="n"/>
      <c r="M17" s="22" t="n"/>
      <c r="N17" s="123" t="n"/>
      <c r="O17" s="55" t="inlineStr">
        <is>
          <t>FOR</t>
        </is>
      </c>
      <c r="P17" s="55" t="inlineStr">
        <is>
          <t>DES</t>
        </is>
      </c>
      <c r="Q17" s="55" t="inlineStr">
        <is>
          <t>CON</t>
        </is>
      </c>
      <c r="R17" s="55" t="inlineStr">
        <is>
          <t>INT</t>
        </is>
      </c>
      <c r="S17" s="55" t="inlineStr">
        <is>
          <t>ESS</t>
        </is>
      </c>
      <c r="T17" s="123" t="n"/>
      <c r="U17" s="55" t="inlineStr">
        <is>
          <t>ALMA</t>
        </is>
      </c>
      <c r="V17" s="55" t="inlineStr">
        <is>
          <t>INTEGRIDADE ATUAL</t>
        </is>
      </c>
      <c r="W17" s="55" t="inlineStr">
        <is>
          <t>INTEGRIDADE MÁXIMA</t>
        </is>
      </c>
      <c r="X17" s="55" t="inlineStr">
        <is>
          <t>ESTÁGIO</t>
        </is>
      </c>
      <c r="Y17" s="17" t="n"/>
      <c r="Z17" s="123" t="n"/>
      <c r="AB17" s="21" t="n"/>
      <c r="AF17" s="22" t="n"/>
      <c r="AG17" s="123" t="n"/>
      <c r="AH17" s="55" t="inlineStr">
        <is>
          <t>FOR</t>
        </is>
      </c>
      <c r="AI17" s="55" t="inlineStr">
        <is>
          <t>DES</t>
        </is>
      </c>
      <c r="AJ17" s="55" t="inlineStr">
        <is>
          <t>CON</t>
        </is>
      </c>
      <c r="AK17" s="55" t="inlineStr">
        <is>
          <t>INT</t>
        </is>
      </c>
      <c r="AL17" s="55" t="inlineStr">
        <is>
          <t>ESS</t>
        </is>
      </c>
      <c r="AM17" s="123" t="n"/>
      <c r="AN17" s="55" t="inlineStr">
        <is>
          <t>ALMA</t>
        </is>
      </c>
      <c r="AO17" s="55" t="inlineStr">
        <is>
          <t>INTEGRIDADE ATUAL</t>
        </is>
      </c>
      <c r="AP17" s="55" t="inlineStr">
        <is>
          <t>INTEGRIDADE MÁXIMA</t>
        </is>
      </c>
      <c r="AQ17" s="55" t="inlineStr">
        <is>
          <t>ESTÁGIO</t>
        </is>
      </c>
      <c r="AR17" s="17" t="n"/>
      <c r="AS17" s="123" t="n"/>
    </row>
    <row r="18">
      <c r="B18" s="22" t="n"/>
      <c r="C18" s="123" t="n"/>
      <c r="D18" s="128" t="n"/>
      <c r="E18" s="128" t="n"/>
      <c r="F18" s="128" t="n"/>
      <c r="G18" s="123" t="n"/>
      <c r="I18" s="21" t="n"/>
      <c r="M18" s="22" t="n"/>
      <c r="N18" s="123" t="n"/>
      <c r="O18" s="96">
        <f>DADOS_INVOC!$FP$2</f>
        <v/>
      </c>
      <c r="P18" s="96">
        <f>DADOS_INVOC!$FQ$2</f>
        <v/>
      </c>
      <c r="Q18" s="96">
        <f>DADOS_INVOC!$FR$2</f>
        <v/>
      </c>
      <c r="R18" s="96">
        <f>DADOS_INVOC!$FS$2</f>
        <v/>
      </c>
      <c r="S18" s="96">
        <f>DADOS_INVOC!$FT$2</f>
        <v/>
      </c>
      <c r="T18" s="123" t="n"/>
      <c r="U18" s="127" t="inlineStr">
        <is>
          <t>Com alma</t>
        </is>
      </c>
      <c r="V18" s="96">
        <f>DADOS_INVOC!$GH$2</f>
        <v/>
      </c>
      <c r="W18" s="96">
        <f>DADOS_INVOC!$GJ$2</f>
        <v/>
      </c>
      <c r="X18" s="127">
        <f>DADOS_INVOC!$GK$2</f>
        <v/>
      </c>
      <c r="Y18" s="20" t="n"/>
      <c r="Z18" s="123" t="n"/>
      <c r="AB18" s="21" t="n"/>
      <c r="AF18" s="22" t="n"/>
      <c r="AG18" s="123" t="n"/>
      <c r="AH18" s="96">
        <f>DADOS_INVOC!$FP$8</f>
        <v/>
      </c>
      <c r="AI18" s="96">
        <f>DADOS_INVOC!$FQ$8</f>
        <v/>
      </c>
      <c r="AJ18" s="96">
        <f>DADOS_INVOC!$FR$8</f>
        <v/>
      </c>
      <c r="AK18" s="96">
        <f>DADOS_INVOC!$FS$8</f>
        <v/>
      </c>
      <c r="AL18" s="96">
        <f>DADOS_INVOC!$FT$8</f>
        <v/>
      </c>
      <c r="AM18" s="123" t="n"/>
      <c r="AN18" s="127" t="inlineStr">
        <is>
          <t>Com alma</t>
        </is>
      </c>
      <c r="AO18" s="96">
        <f>DADOS_INVOC!$GH$8</f>
        <v/>
      </c>
      <c r="AP18" s="96">
        <f>DADOS_INVOC!$GJ$8</f>
        <v/>
      </c>
      <c r="AQ18" s="127">
        <f>DADOS_INVOC!$GK$8</f>
        <v/>
      </c>
      <c r="AR18" s="20" t="n"/>
      <c r="AS18" s="123" t="n"/>
    </row>
    <row r="19">
      <c r="B19" s="22" t="n"/>
      <c r="C19" s="123" t="n"/>
      <c r="D19" s="123" t="n"/>
      <c r="E19" s="123" t="n"/>
      <c r="F19" s="123" t="n"/>
      <c r="G19" s="123" t="n"/>
      <c r="I19" s="21" t="n"/>
      <c r="M19" s="22" t="n"/>
      <c r="N19" s="123" t="n"/>
      <c r="O19" s="128" t="n"/>
      <c r="P19" s="128" t="n"/>
      <c r="Q19" s="128" t="n"/>
      <c r="R19" s="128" t="n"/>
      <c r="S19" s="128" t="n"/>
      <c r="T19" s="123" t="n"/>
      <c r="U19" s="128" t="n"/>
      <c r="V19" s="128" t="n"/>
      <c r="W19" s="128" t="n"/>
      <c r="X19" s="23" t="n"/>
      <c r="Y19" s="25" t="n"/>
      <c r="Z19" s="123" t="n"/>
      <c r="AB19" s="21" t="n"/>
      <c r="AF19" s="22" t="n"/>
      <c r="AG19" s="123" t="n"/>
      <c r="AH19" s="128" t="n"/>
      <c r="AI19" s="128" t="n"/>
      <c r="AJ19" s="128" t="n"/>
      <c r="AK19" s="128" t="n"/>
      <c r="AL19" s="128" t="n"/>
      <c r="AM19" s="123" t="n"/>
      <c r="AN19" s="128" t="n"/>
      <c r="AO19" s="128" t="n"/>
      <c r="AP19" s="128" t="n"/>
      <c r="AQ19" s="23" t="n"/>
      <c r="AR19" s="25" t="n"/>
      <c r="AS19" s="123" t="n"/>
    </row>
    <row r="20">
      <c r="B20" s="22" t="n"/>
      <c r="C20" s="123" t="n"/>
      <c r="D20" s="55">
        <f>DADOS_INVOC!$QS$4</f>
        <v/>
      </c>
      <c r="E20" s="16" t="n"/>
      <c r="F20" s="17" t="n"/>
      <c r="G20" s="123" t="n"/>
      <c r="I20" s="21" t="n"/>
      <c r="M20" s="22" t="n"/>
      <c r="N20" s="123" t="n"/>
      <c r="O20" s="145" t="n">
        <v>0</v>
      </c>
      <c r="P20" s="145" t="n">
        <v>0</v>
      </c>
      <c r="Q20" s="145" t="n">
        <v>0</v>
      </c>
      <c r="R20" s="145" t="n">
        <v>0</v>
      </c>
      <c r="S20" s="145" t="n">
        <v>0</v>
      </c>
      <c r="T20" s="123" t="n"/>
      <c r="U20" s="123" t="n"/>
      <c r="V20" s="123" t="n"/>
      <c r="W20" s="123" t="n"/>
      <c r="X20" s="123" t="n"/>
      <c r="Y20" s="123" t="n"/>
      <c r="Z20" s="123" t="n"/>
      <c r="AB20" s="21" t="n"/>
      <c r="AF20" s="22" t="n"/>
      <c r="AG20" s="123" t="n"/>
      <c r="AH20" s="145" t="n">
        <v>0</v>
      </c>
      <c r="AI20" s="145" t="n">
        <v>0</v>
      </c>
      <c r="AJ20" s="145" t="n">
        <v>0</v>
      </c>
      <c r="AK20" s="145" t="n">
        <v>0</v>
      </c>
      <c r="AL20" s="145" t="n">
        <v>0</v>
      </c>
      <c r="AM20" s="123" t="n"/>
      <c r="AN20" s="123" t="n"/>
      <c r="AO20" s="123" t="n"/>
      <c r="AP20" s="123" t="n"/>
      <c r="AQ20" s="123" t="n"/>
      <c r="AR20" s="123" t="n"/>
      <c r="AS20" s="123" t="n"/>
    </row>
    <row r="21">
      <c r="B21" s="22" t="n"/>
      <c r="C21" s="123" t="n"/>
      <c r="D21" s="146">
        <f>DADOS_INVOC!$JI$2</f>
        <v/>
      </c>
      <c r="E21" s="16" t="n"/>
      <c r="F21" s="17" t="n"/>
      <c r="G21" s="123" t="n"/>
      <c r="I21" s="21" t="n"/>
      <c r="M21" s="22" t="n"/>
      <c r="N21" s="123" t="n"/>
      <c r="O21" s="147" t="n">
        <v>0</v>
      </c>
      <c r="P21" s="147" t="n">
        <v>0</v>
      </c>
      <c r="Q21" s="147" t="n">
        <v>0</v>
      </c>
      <c r="R21" s="147" t="n">
        <v>0</v>
      </c>
      <c r="S21" s="147" t="n">
        <v>0</v>
      </c>
      <c r="T21" s="123" t="n"/>
      <c r="U21" s="55" t="inlineStr">
        <is>
          <t>CONDIÇÕES E USOS GASTOS</t>
        </is>
      </c>
      <c r="V21" s="16" t="n"/>
      <c r="W21" s="16" t="n"/>
      <c r="X21" s="16" t="n"/>
      <c r="Y21" s="17" t="n"/>
      <c r="Z21" s="123" t="n"/>
      <c r="AB21" s="21" t="n"/>
      <c r="AF21" s="22" t="n"/>
      <c r="AG21" s="123" t="n"/>
      <c r="AH21" s="147" t="n">
        <v>0</v>
      </c>
      <c r="AI21" s="147" t="n">
        <v>0</v>
      </c>
      <c r="AJ21" s="147" t="n">
        <v>0</v>
      </c>
      <c r="AK21" s="147" t="n">
        <v>0</v>
      </c>
      <c r="AL21" s="147" t="n">
        <v>0</v>
      </c>
      <c r="AM21" s="123" t="n"/>
      <c r="AN21" s="55" t="inlineStr">
        <is>
          <t>CONDIÇÕES E USOS GASTOS</t>
        </is>
      </c>
      <c r="AO21" s="16" t="n"/>
      <c r="AP21" s="16" t="n"/>
      <c r="AQ21" s="16" t="n"/>
      <c r="AR21" s="17" t="n"/>
      <c r="AS21" s="123" t="n"/>
    </row>
    <row r="22">
      <c r="B22" s="22" t="n"/>
      <c r="C22" s="123" t="n"/>
      <c r="D22" s="146">
        <f>DADOS_INVOC!$JI$3</f>
        <v/>
      </c>
      <c r="E22" s="16" t="n"/>
      <c r="F22" s="17" t="n"/>
      <c r="G22" s="123" t="n"/>
      <c r="I22" s="21" t="n"/>
      <c r="M22" s="22" t="n"/>
      <c r="N22" s="123" t="n"/>
      <c r="O22" s="123" t="n"/>
      <c r="P22" s="123" t="n"/>
      <c r="Q22" s="123" t="n"/>
      <c r="R22" s="123" t="n"/>
      <c r="S22" s="123" t="n"/>
      <c r="T22" s="123" t="n"/>
      <c r="U22" s="119" t="n"/>
      <c r="V22" s="19" t="n"/>
      <c r="W22" s="19" t="n"/>
      <c r="X22" s="19" t="n"/>
      <c r="Y22" s="20" t="n"/>
      <c r="Z22" s="123" t="n"/>
      <c r="AB22" s="21" t="n"/>
      <c r="AF22" s="22" t="n"/>
      <c r="AG22" s="123" t="n"/>
      <c r="AH22" s="123" t="n"/>
      <c r="AI22" s="123" t="n"/>
      <c r="AJ22" s="123" t="n"/>
      <c r="AK22" s="123" t="n"/>
      <c r="AL22" s="123" t="n"/>
      <c r="AM22" s="123" t="n"/>
      <c r="AN22" s="119" t="n"/>
      <c r="AO22" s="19" t="n"/>
      <c r="AP22" s="19" t="n"/>
      <c r="AQ22" s="19" t="n"/>
      <c r="AR22" s="20" t="n"/>
      <c r="AS22" s="123" t="n"/>
    </row>
    <row r="23">
      <c r="B23" s="22" t="n"/>
      <c r="C23" s="123" t="n"/>
      <c r="D23" s="146">
        <f>DADOS_INVOC!$JI$4</f>
        <v/>
      </c>
      <c r="E23" s="16" t="n"/>
      <c r="F23" s="17" t="n"/>
      <c r="G23" s="123" t="n"/>
      <c r="I23" s="21" t="n"/>
      <c r="M23" s="22" t="n"/>
      <c r="N23" s="123" t="n"/>
      <c r="O23" s="55" t="inlineStr">
        <is>
          <t>ATAQUE</t>
        </is>
      </c>
      <c r="P23" s="55" t="inlineStr">
        <is>
          <t>CD</t>
        </is>
      </c>
      <c r="Q23" s="55" t="inlineStr">
        <is>
          <t>DEFESA</t>
        </is>
      </c>
      <c r="R23" s="55" t="inlineStr">
        <is>
          <t>VIDA MÁXIMA</t>
        </is>
      </c>
      <c r="S23" s="55" t="inlineStr">
        <is>
          <t>DESLOCAMENTO</t>
        </is>
      </c>
      <c r="T23" s="123" t="n"/>
      <c r="U23" s="21" t="n"/>
      <c r="Y23" s="22" t="n"/>
      <c r="Z23" s="123" t="n"/>
      <c r="AB23" s="21" t="n"/>
      <c r="AF23" s="22" t="n"/>
      <c r="AG23" s="123" t="n"/>
      <c r="AH23" s="55" t="inlineStr">
        <is>
          <t>ATAQUE</t>
        </is>
      </c>
      <c r="AI23" s="55" t="inlineStr">
        <is>
          <t>CD</t>
        </is>
      </c>
      <c r="AJ23" s="55" t="inlineStr">
        <is>
          <t>DEFESA</t>
        </is>
      </c>
      <c r="AK23" s="55" t="inlineStr">
        <is>
          <t>VIDA MÁXIMA</t>
        </is>
      </c>
      <c r="AL23" s="55" t="inlineStr">
        <is>
          <t>DESLOCAMENTO</t>
        </is>
      </c>
      <c r="AM23" s="123" t="n"/>
      <c r="AN23" s="21" t="n"/>
      <c r="AR23" s="22" t="n"/>
      <c r="AS23" s="123" t="n"/>
    </row>
    <row r="24">
      <c r="B24" s="22" t="n"/>
      <c r="C24" s="123" t="n"/>
      <c r="D24" s="146">
        <f>DADOS_INVOC!$JI$5</f>
        <v/>
      </c>
      <c r="E24" s="16" t="n"/>
      <c r="F24" s="17" t="n"/>
      <c r="G24" s="123" t="n"/>
      <c r="I24" s="21" t="n"/>
      <c r="M24" s="22" t="n"/>
      <c r="N24" s="123" t="n"/>
      <c r="O24" s="96">
        <f>DADOS_INVOC!$HK$2</f>
        <v/>
      </c>
      <c r="P24" s="96">
        <f>DADOS_INVOC!$HL$2</f>
        <v/>
      </c>
      <c r="Q24" s="96">
        <f>DADOS_INVOC!$GB$2</f>
        <v/>
      </c>
      <c r="R24" s="96">
        <f>DADOS_INVOC!$GD$2</f>
        <v/>
      </c>
      <c r="S24" s="96">
        <f>DADOS_INVOC!$HM$2</f>
        <v/>
      </c>
      <c r="T24" s="123" t="n"/>
      <c r="U24" s="23" t="n"/>
      <c r="V24" s="24" t="n"/>
      <c r="W24" s="24" t="n"/>
      <c r="X24" s="24" t="n"/>
      <c r="Y24" s="25" t="n"/>
      <c r="Z24" s="123" t="n"/>
      <c r="AB24" s="21" t="n"/>
      <c r="AF24" s="22" t="n"/>
      <c r="AG24" s="123" t="n"/>
      <c r="AH24" s="96">
        <f>DADOS_INVOC!$HK$8</f>
        <v/>
      </c>
      <c r="AI24" s="96">
        <f>DADOS_INVOC!$HL$8</f>
        <v/>
      </c>
      <c r="AJ24" s="96">
        <f>DADOS_INVOC!$GB$8</f>
        <v/>
      </c>
      <c r="AK24" s="96">
        <f>DADOS_INVOC!$GD$8</f>
        <v/>
      </c>
      <c r="AL24" s="96">
        <f>DADOS_INVOC!$HM$8</f>
        <v/>
      </c>
      <c r="AM24" s="123" t="n"/>
      <c r="AN24" s="23" t="n"/>
      <c r="AO24" s="24" t="n"/>
      <c r="AP24" s="24" t="n"/>
      <c r="AQ24" s="24" t="n"/>
      <c r="AR24" s="25" t="n"/>
      <c r="AS24" s="123" t="n"/>
    </row>
    <row r="25">
      <c r="B25" s="22" t="n"/>
      <c r="C25" s="123" t="n"/>
      <c r="D25" s="146">
        <f>DADOS_INVOC!$JI$6</f>
        <v/>
      </c>
      <c r="E25" s="16" t="n"/>
      <c r="F25" s="17" t="n"/>
      <c r="G25" s="123" t="n"/>
      <c r="I25" s="21" t="n"/>
      <c r="M25" s="22" t="n"/>
      <c r="N25" s="123" t="n"/>
      <c r="O25" s="128" t="n"/>
      <c r="P25" s="128" t="n"/>
      <c r="Q25" s="128" t="n"/>
      <c r="R25" s="128" t="n"/>
      <c r="S25" s="128" t="n"/>
      <c r="T25" s="123" t="n"/>
      <c r="U25" s="123" t="n"/>
      <c r="V25" s="123" t="n"/>
      <c r="W25" s="123" t="n"/>
      <c r="X25" s="123" t="n"/>
      <c r="Y25" s="123" t="n"/>
      <c r="Z25" s="123" t="n"/>
      <c r="AB25" s="21" t="n"/>
      <c r="AF25" s="22" t="n"/>
      <c r="AG25" s="123" t="n"/>
      <c r="AH25" s="128" t="n"/>
      <c r="AI25" s="128" t="n"/>
      <c r="AJ25" s="128" t="n"/>
      <c r="AK25" s="128" t="n"/>
      <c r="AL25" s="128" t="n"/>
      <c r="AM25" s="123" t="n"/>
      <c r="AN25" s="123" t="n"/>
      <c r="AO25" s="123" t="n"/>
      <c r="AP25" s="123" t="n"/>
      <c r="AQ25" s="123" t="n"/>
      <c r="AR25" s="123" t="n"/>
      <c r="AS25" s="123" t="n"/>
    </row>
    <row r="26">
      <c r="B26" s="22" t="n"/>
      <c r="C26" s="123" t="n"/>
      <c r="D26" s="146">
        <f>DADOS_INVOC!$JI$7</f>
        <v/>
      </c>
      <c r="E26" s="16" t="n"/>
      <c r="F26" s="17" t="n"/>
      <c r="G26" s="123" t="n"/>
      <c r="I26" s="21" t="n"/>
      <c r="M26" s="22" t="n"/>
      <c r="N26" s="123" t="n"/>
      <c r="O26" s="147" t="n">
        <v>0</v>
      </c>
      <c r="P26" s="147" t="n">
        <v>0</v>
      </c>
      <c r="Q26" s="147" t="n">
        <v>0</v>
      </c>
      <c r="R26" s="147" t="n">
        <v>0</v>
      </c>
      <c r="S26" s="147" t="n">
        <v>0</v>
      </c>
      <c r="T26" s="123" t="n"/>
      <c r="U26" s="55" t="inlineStr">
        <is>
          <t>ANOTAÇÕES</t>
        </is>
      </c>
      <c r="V26" s="16" t="n"/>
      <c r="W26" s="16" t="n"/>
      <c r="X26" s="16" t="n"/>
      <c r="Y26" s="17" t="n"/>
      <c r="Z26" s="123" t="n"/>
      <c r="AB26" s="21" t="n"/>
      <c r="AF26" s="22" t="n"/>
      <c r="AG26" s="123" t="n"/>
      <c r="AH26" s="147" t="n">
        <v>0</v>
      </c>
      <c r="AI26" s="147" t="n">
        <v>0</v>
      </c>
      <c r="AJ26" s="147" t="n">
        <v>0</v>
      </c>
      <c r="AK26" s="147" t="n">
        <v>0</v>
      </c>
      <c r="AL26" s="147" t="n">
        <v>0</v>
      </c>
      <c r="AM26" s="123" t="n"/>
      <c r="AN26" s="55" t="inlineStr">
        <is>
          <t>ANOTAÇÕES</t>
        </is>
      </c>
      <c r="AO26" s="16" t="n"/>
      <c r="AP26" s="16" t="n"/>
      <c r="AQ26" s="16" t="n"/>
      <c r="AR26" s="17" t="n"/>
      <c r="AS26" s="123" t="n"/>
    </row>
    <row r="27">
      <c r="B27" s="22" t="n"/>
      <c r="C27" s="123" t="n"/>
      <c r="D27" s="146">
        <f>DADOS_INVOC!$JI$8</f>
        <v/>
      </c>
      <c r="E27" s="16" t="n"/>
      <c r="F27" s="17" t="n"/>
      <c r="G27" s="123" t="n"/>
      <c r="I27" s="21" t="n"/>
      <c r="M27" s="22" t="n"/>
      <c r="N27" s="123" t="n"/>
      <c r="O27" s="123" t="n"/>
      <c r="P27" s="123" t="n"/>
      <c r="Q27" s="123" t="n"/>
      <c r="R27" s="123" t="n"/>
      <c r="S27" s="123" t="n"/>
      <c r="T27" s="123" t="n"/>
      <c r="U27" s="119" t="n"/>
      <c r="V27" s="19" t="n"/>
      <c r="W27" s="19" t="n"/>
      <c r="X27" s="19" t="n"/>
      <c r="Y27" s="20" t="n"/>
      <c r="Z27" s="123" t="n"/>
      <c r="AB27" s="21" t="n"/>
      <c r="AF27" s="22" t="n"/>
      <c r="AG27" s="123" t="n"/>
      <c r="AH27" s="123" t="n"/>
      <c r="AI27" s="123" t="n"/>
      <c r="AJ27" s="123" t="n"/>
      <c r="AK27" s="123" t="n"/>
      <c r="AL27" s="123" t="n"/>
      <c r="AM27" s="123" t="n"/>
      <c r="AN27" s="119" t="n"/>
      <c r="AO27" s="19" t="n"/>
      <c r="AP27" s="19" t="n"/>
      <c r="AQ27" s="19" t="n"/>
      <c r="AR27" s="20" t="n"/>
      <c r="AS27" s="123" t="n"/>
    </row>
    <row r="28">
      <c r="B28" s="22" t="n"/>
      <c r="C28" s="123" t="n"/>
      <c r="D28" s="146">
        <f>DADOS_INVOC!$JI$9</f>
        <v/>
      </c>
      <c r="E28" s="16" t="n"/>
      <c r="F28" s="17" t="n"/>
      <c r="G28" s="123" t="n"/>
      <c r="I28" s="21" t="n"/>
      <c r="M28" s="22" t="n"/>
      <c r="N28" s="123" t="n"/>
      <c r="O28" s="55" t="inlineStr">
        <is>
          <t>FÍSICO</t>
        </is>
      </c>
      <c r="P28" s="55" t="inlineStr">
        <is>
          <t>VIGOR</t>
        </is>
      </c>
      <c r="Q28" s="55" t="inlineStr">
        <is>
          <t>INTELECTO</t>
        </is>
      </c>
      <c r="R28" s="55" t="inlineStr">
        <is>
          <t>ESPÍRITO</t>
        </is>
      </c>
      <c r="S28" s="55" t="inlineStr">
        <is>
          <t>TR TREINADO</t>
        </is>
      </c>
      <c r="T28" s="123" t="n"/>
      <c r="U28" s="21" t="n"/>
      <c r="Y28" s="22" t="n"/>
      <c r="Z28" s="123" t="n"/>
      <c r="AB28" s="21" t="n"/>
      <c r="AF28" s="22" t="n"/>
      <c r="AG28" s="123" t="n"/>
      <c r="AH28" s="55" t="inlineStr">
        <is>
          <t>FÍSICO</t>
        </is>
      </c>
      <c r="AI28" s="55" t="inlineStr">
        <is>
          <t>VIGOR</t>
        </is>
      </c>
      <c r="AJ28" s="55" t="inlineStr">
        <is>
          <t>INTELECTO</t>
        </is>
      </c>
      <c r="AK28" s="55" t="inlineStr">
        <is>
          <t>ESPÍRITO</t>
        </is>
      </c>
      <c r="AL28" s="55" t="inlineStr">
        <is>
          <t>TR TREINADO</t>
        </is>
      </c>
      <c r="AM28" s="123" t="n"/>
      <c r="AN28" s="21" t="n"/>
      <c r="AR28" s="22" t="n"/>
      <c r="AS28" s="123" t="n"/>
    </row>
    <row r="29">
      <c r="B29" s="22" t="n"/>
      <c r="C29" s="123" t="n"/>
      <c r="D29" s="146">
        <f>DADOS_INVOC!$JI$10</f>
        <v/>
      </c>
      <c r="E29" s="16" t="n"/>
      <c r="F29" s="17" t="n"/>
      <c r="G29" s="123" t="n"/>
      <c r="I29" s="21" t="n"/>
      <c r="M29" s="22" t="n"/>
      <c r="N29" s="123" t="n"/>
      <c r="O29" s="96">
        <f>DADOS_INVOC!$HN$2</f>
        <v/>
      </c>
      <c r="P29" s="96">
        <f>DADOS_INVOC!$HO$2</f>
        <v/>
      </c>
      <c r="Q29" s="96">
        <f>DADOS_INVOC!$HP$2</f>
        <v/>
      </c>
      <c r="R29" s="96">
        <f>DADOS_INVOC!$HQ$2</f>
        <v/>
      </c>
      <c r="S29" s="127" t="n"/>
      <c r="T29" s="123" t="n"/>
      <c r="U29" s="21" t="n"/>
      <c r="Y29" s="22" t="n"/>
      <c r="Z29" s="123" t="n"/>
      <c r="AB29" s="21" t="n"/>
      <c r="AF29" s="22" t="n"/>
      <c r="AG29" s="123" t="n"/>
      <c r="AH29" s="96">
        <f>DADOS_INVOC!$HN$8</f>
        <v/>
      </c>
      <c r="AI29" s="96">
        <f>DADOS_INVOC!$HO$8</f>
        <v/>
      </c>
      <c r="AJ29" s="96">
        <f>DADOS_INVOC!$HP$8</f>
        <v/>
      </c>
      <c r="AK29" s="96">
        <f>DADOS_INVOC!$HQ$8</f>
        <v/>
      </c>
      <c r="AL29" s="127" t="n"/>
      <c r="AM29" s="123" t="n"/>
      <c r="AN29" s="21" t="n"/>
      <c r="AR29" s="22" t="n"/>
      <c r="AS29" s="123" t="n"/>
    </row>
    <row r="30">
      <c r="A30" s="8" t="n"/>
      <c r="B30" s="14" t="n"/>
      <c r="C30" s="123" t="n"/>
      <c r="D30" s="146">
        <f>DADOS_INVOC!$JI$11</f>
        <v/>
      </c>
      <c r="E30" s="16" t="n"/>
      <c r="F30" s="17" t="n"/>
      <c r="G30" s="123" t="n"/>
      <c r="I30" s="21" t="n"/>
      <c r="M30" s="22" t="n"/>
      <c r="N30" s="123" t="n"/>
      <c r="O30" s="128" t="n"/>
      <c r="P30" s="128" t="n"/>
      <c r="Q30" s="128" t="n"/>
      <c r="R30" s="128" t="n"/>
      <c r="S30" s="128" t="n"/>
      <c r="T30" s="123" t="n"/>
      <c r="U30" s="23" t="n"/>
      <c r="V30" s="24" t="n"/>
      <c r="W30" s="24" t="n"/>
      <c r="X30" s="24" t="n"/>
      <c r="Y30" s="25" t="n"/>
      <c r="Z30" s="123" t="n"/>
      <c r="AB30" s="21" t="n"/>
      <c r="AF30" s="22" t="n"/>
      <c r="AG30" s="123" t="n"/>
      <c r="AH30" s="128" t="n"/>
      <c r="AI30" s="128" t="n"/>
      <c r="AJ30" s="128" t="n"/>
      <c r="AK30" s="128" t="n"/>
      <c r="AL30" s="128" t="n"/>
      <c r="AM30" s="123" t="n"/>
      <c r="AN30" s="23" t="n"/>
      <c r="AO30" s="24" t="n"/>
      <c r="AP30" s="24" t="n"/>
      <c r="AQ30" s="24" t="n"/>
      <c r="AR30" s="25" t="n"/>
      <c r="AS30" s="123" t="n"/>
    </row>
    <row r="31">
      <c r="A31" s="8" t="n"/>
      <c r="B31" s="14" t="n"/>
      <c r="C31" s="123" t="n"/>
      <c r="D31" s="146">
        <f>DADOS_INVOC!$JI$12</f>
        <v/>
      </c>
      <c r="E31" s="16" t="n"/>
      <c r="F31" s="17" t="n"/>
      <c r="G31" s="123" t="n"/>
      <c r="I31" s="21" t="n"/>
      <c r="M31" s="22" t="n"/>
      <c r="N31" s="123" t="n"/>
      <c r="O31" s="147" t="n">
        <v>0</v>
      </c>
      <c r="P31" s="147" t="n">
        <v>0</v>
      </c>
      <c r="Q31" s="147" t="n">
        <v>0</v>
      </c>
      <c r="R31" s="147" t="n">
        <v>0</v>
      </c>
      <c r="S31" s="123" t="n"/>
      <c r="T31" s="123" t="n"/>
      <c r="U31" s="123" t="n"/>
      <c r="V31" s="123" t="n"/>
      <c r="W31" s="123" t="n"/>
      <c r="X31" s="123" t="n"/>
      <c r="Y31" s="123" t="n"/>
      <c r="Z31" s="123" t="n"/>
      <c r="AB31" s="21" t="n"/>
      <c r="AF31" s="22" t="n"/>
      <c r="AG31" s="123" t="n"/>
      <c r="AH31" s="147" t="n">
        <v>0</v>
      </c>
      <c r="AI31" s="147" t="n">
        <v>0</v>
      </c>
      <c r="AJ31" s="147" t="n">
        <v>0</v>
      </c>
      <c r="AK31" s="147" t="n">
        <v>0</v>
      </c>
      <c r="AL31" s="123" t="n"/>
      <c r="AM31" s="123" t="n"/>
      <c r="AN31" s="123" t="n"/>
      <c r="AO31" s="123" t="n"/>
      <c r="AP31" s="123" t="n"/>
      <c r="AQ31" s="123" t="n"/>
      <c r="AR31" s="123" t="n"/>
      <c r="AS31" s="123" t="n"/>
    </row>
    <row r="32">
      <c r="A32" s="8" t="n"/>
      <c r="B32" s="14" t="n"/>
      <c r="C32" s="123" t="n"/>
      <c r="D32" s="146">
        <f>DADOS_INVOC!$JI$13</f>
        <v/>
      </c>
      <c r="E32" s="16" t="n"/>
      <c r="F32" s="17" t="n"/>
      <c r="G32" s="123" t="n"/>
      <c r="I32" s="21" t="n"/>
      <c r="M32" s="22" t="n"/>
      <c r="N32" s="123" t="n"/>
      <c r="O32" s="123" t="n"/>
      <c r="P32" s="123" t="n"/>
      <c r="Q32" s="123" t="n"/>
      <c r="R32" s="123" t="n"/>
      <c r="S32" s="123" t="n"/>
      <c r="T32" s="123" t="n"/>
      <c r="U32" s="55">
        <f>DADOS_INVOC!$IA$2</f>
        <v/>
      </c>
      <c r="V32" s="16" t="n"/>
      <c r="W32" s="16" t="n"/>
      <c r="X32" s="17" t="n"/>
      <c r="Y32" s="55" t="inlineStr">
        <is>
          <t>VOL.</t>
        </is>
      </c>
      <c r="Z32" s="123" t="n"/>
      <c r="AB32" s="21" t="n"/>
      <c r="AF32" s="22" t="n"/>
      <c r="AG32" s="123" t="n"/>
      <c r="AH32" s="123" t="n"/>
      <c r="AI32" s="123" t="n"/>
      <c r="AJ32" s="123" t="n"/>
      <c r="AK32" s="123" t="n"/>
      <c r="AL32" s="123" t="n"/>
      <c r="AM32" s="123" t="n"/>
      <c r="AN32" s="55">
        <f>DADOS_INVOC!$IA$8</f>
        <v/>
      </c>
      <c r="AO32" s="16" t="n"/>
      <c r="AP32" s="16" t="n"/>
      <c r="AQ32" s="17" t="n"/>
      <c r="AR32" s="55" t="inlineStr">
        <is>
          <t>VOL.</t>
        </is>
      </c>
      <c r="AS32" s="123" t="n"/>
    </row>
    <row r="33">
      <c r="A33" s="48" t="inlineStr">
        <is>
          <t>INVOCAÇÕES</t>
        </is>
      </c>
      <c r="B33" s="22" t="n"/>
      <c r="C33" s="123" t="n"/>
      <c r="D33" s="123" t="n"/>
      <c r="E33" s="123" t="n"/>
      <c r="F33" s="123" t="n"/>
      <c r="G33" s="123" t="n"/>
      <c r="I33" s="21" t="n"/>
      <c r="M33" s="22" t="n"/>
      <c r="N33" s="123" t="n"/>
      <c r="O33" s="55" t="inlineStr">
        <is>
          <t>ATRIBUTO DE ACERTO</t>
        </is>
      </c>
      <c r="P33" s="16" t="n"/>
      <c r="Q33" s="17" t="n"/>
      <c r="R33" s="55" t="inlineStr">
        <is>
          <t>FÍSICO USA</t>
        </is>
      </c>
      <c r="S33" s="17" t="n"/>
      <c r="T33" s="123" t="n"/>
      <c r="U33" s="55" t="inlineStr">
        <is>
          <t>MÃO 1</t>
        </is>
      </c>
      <c r="V33" s="133" t="n"/>
      <c r="W33" s="16" t="n"/>
      <c r="X33" s="17" t="n"/>
      <c r="Y33" s="127" t="n"/>
      <c r="Z33" s="123" t="n"/>
      <c r="AB33" s="21" t="n"/>
      <c r="AF33" s="22" t="n"/>
      <c r="AG33" s="123" t="n"/>
      <c r="AH33" s="55" t="inlineStr">
        <is>
          <t>ATRIBUTO DE ACERTO</t>
        </is>
      </c>
      <c r="AI33" s="16" t="n"/>
      <c r="AJ33" s="17" t="n"/>
      <c r="AK33" s="55" t="inlineStr">
        <is>
          <t>FÍSICO USA</t>
        </is>
      </c>
      <c r="AL33" s="17" t="n"/>
      <c r="AM33" s="123" t="n"/>
      <c r="AN33" s="55" t="inlineStr">
        <is>
          <t>MÃO 1</t>
        </is>
      </c>
      <c r="AO33" s="133" t="n"/>
      <c r="AP33" s="16" t="n"/>
      <c r="AQ33" s="17" t="n"/>
      <c r="AR33" s="127" t="n"/>
      <c r="AS33" s="123" t="n"/>
    </row>
    <row r="34">
      <c r="B34" s="22" t="n"/>
      <c r="C34" s="123" t="n"/>
      <c r="D34" s="123" t="n"/>
      <c r="E34" s="123" t="n"/>
      <c r="F34" s="123" t="n"/>
      <c r="G34" s="123" t="n"/>
      <c r="I34" s="21" t="n"/>
      <c r="M34" s="22" t="n"/>
      <c r="N34" s="123" t="n"/>
      <c r="O34" s="127" t="n"/>
      <c r="P34" s="19" t="n"/>
      <c r="Q34" s="20" t="n"/>
      <c r="R34" s="127" t="inlineStr">
        <is>
          <t>Força</t>
        </is>
      </c>
      <c r="S34" s="20" t="n"/>
      <c r="T34" s="123" t="n"/>
      <c r="U34" s="55" t="inlineStr">
        <is>
          <t>MÃO 2</t>
        </is>
      </c>
      <c r="V34" s="133" t="n"/>
      <c r="W34" s="16" t="n"/>
      <c r="X34" s="17" t="n"/>
      <c r="Y34" s="127" t="n"/>
      <c r="Z34" s="123" t="n"/>
      <c r="AB34" s="21" t="n"/>
      <c r="AF34" s="22" t="n"/>
      <c r="AG34" s="123" t="n"/>
      <c r="AH34" s="127" t="n"/>
      <c r="AI34" s="19" t="n"/>
      <c r="AJ34" s="20" t="n"/>
      <c r="AK34" s="127" t="inlineStr">
        <is>
          <t>Força</t>
        </is>
      </c>
      <c r="AL34" s="20" t="n"/>
      <c r="AM34" s="123" t="n"/>
      <c r="AN34" s="55" t="inlineStr">
        <is>
          <t>MÃO 2</t>
        </is>
      </c>
      <c r="AO34" s="133" t="n"/>
      <c r="AP34" s="16" t="n"/>
      <c r="AQ34" s="17" t="n"/>
      <c r="AR34" s="127" t="n"/>
      <c r="AS34" s="123" t="n"/>
    </row>
    <row r="35">
      <c r="B35" s="22" t="n"/>
      <c r="C35" s="123" t="n"/>
      <c r="D35" s="123" t="n"/>
      <c r="E35" s="123" t="n"/>
      <c r="F35" s="123" t="n"/>
      <c r="G35" s="123" t="n"/>
      <c r="I35" s="21" t="n"/>
      <c r="M35" s="22" t="n"/>
      <c r="N35" s="123" t="n"/>
      <c r="O35" s="23" t="n"/>
      <c r="P35" s="24" t="n"/>
      <c r="Q35" s="25" t="n"/>
      <c r="R35" s="23" t="n"/>
      <c r="S35" s="25" t="n"/>
      <c r="T35" s="123" t="n"/>
      <c r="U35" s="55" t="inlineStr">
        <is>
          <t>VESTE</t>
        </is>
      </c>
      <c r="V35" s="133" t="n"/>
      <c r="W35" s="16" t="n"/>
      <c r="X35" s="17" t="n"/>
      <c r="Y35" s="127" t="n"/>
      <c r="Z35" s="123" t="n"/>
      <c r="AB35" s="21" t="n"/>
      <c r="AF35" s="22" t="n"/>
      <c r="AG35" s="123" t="n"/>
      <c r="AH35" s="23" t="n"/>
      <c r="AI35" s="24" t="n"/>
      <c r="AJ35" s="25" t="n"/>
      <c r="AK35" s="23" t="n"/>
      <c r="AL35" s="25" t="n"/>
      <c r="AM35" s="123" t="n"/>
      <c r="AN35" s="55" t="inlineStr">
        <is>
          <t>VESTE</t>
        </is>
      </c>
      <c r="AO35" s="133" t="n"/>
      <c r="AP35" s="16" t="n"/>
      <c r="AQ35" s="17" t="n"/>
      <c r="AR35" s="127" t="n"/>
      <c r="AS35" s="123" t="n"/>
    </row>
    <row r="36">
      <c r="B36" s="22" t="n"/>
      <c r="C36" s="123" t="n"/>
      <c r="D36" s="123" t="n"/>
      <c r="E36" s="123" t="n"/>
      <c r="F36" s="123" t="n"/>
      <c r="G36" s="123" t="n"/>
      <c r="I36" s="21" t="n"/>
      <c r="M36" s="22" t="n"/>
      <c r="N36" s="123" t="n"/>
      <c r="O36" s="123" t="n"/>
      <c r="P36" s="123" t="n"/>
      <c r="Q36" s="123" t="n"/>
      <c r="R36" s="123" t="n"/>
      <c r="S36" s="123" t="n"/>
      <c r="T36" s="123" t="n"/>
      <c r="U36" s="55" t="inlineStr">
        <is>
          <t>GUARDADO · SÓ COM A CARACTERÍSTICA DE TRANSPORTE</t>
        </is>
      </c>
      <c r="V36" s="16" t="n"/>
      <c r="W36" s="16" t="n"/>
      <c r="X36" s="17" t="n"/>
      <c r="Y36" s="55" t="inlineStr">
        <is>
          <t>VOL.</t>
        </is>
      </c>
      <c r="Z36" s="123" t="n"/>
      <c r="AB36" s="21" t="n"/>
      <c r="AF36" s="22" t="n"/>
      <c r="AG36" s="123" t="n"/>
      <c r="AH36" s="123" t="n"/>
      <c r="AI36" s="123" t="n"/>
      <c r="AJ36" s="123" t="n"/>
      <c r="AK36" s="123" t="n"/>
      <c r="AL36" s="123" t="n"/>
      <c r="AM36" s="123" t="n"/>
      <c r="AN36" s="55" t="inlineStr">
        <is>
          <t>GUARDADO · SÓ COM A CARACTERÍSTICA DE TRANSPORTE</t>
        </is>
      </c>
      <c r="AO36" s="16" t="n"/>
      <c r="AP36" s="16" t="n"/>
      <c r="AQ36" s="17" t="n"/>
      <c r="AR36" s="55" t="inlineStr">
        <is>
          <t>VOL.</t>
        </is>
      </c>
      <c r="AS36" s="123" t="n"/>
    </row>
    <row r="37">
      <c r="B37" s="22" t="n"/>
      <c r="C37" s="123" t="n"/>
      <c r="D37" s="123" t="n"/>
      <c r="E37" s="123" t="n"/>
      <c r="F37" s="123" t="n"/>
      <c r="G37" s="123" t="n"/>
      <c r="I37" s="21" t="n"/>
      <c r="M37" s="22" t="n"/>
      <c r="N37" s="123" t="n"/>
      <c r="O37" s="55">
        <f>DADOS_INVOC!$HR$2</f>
        <v/>
      </c>
      <c r="P37" s="16" t="n"/>
      <c r="Q37" s="16" t="n"/>
      <c r="R37" s="16" t="n"/>
      <c r="S37" s="17" t="n"/>
      <c r="T37" s="123" t="n"/>
      <c r="U37" s="133" t="n"/>
      <c r="V37" s="16" t="n"/>
      <c r="W37" s="16" t="n"/>
      <c r="X37" s="17" t="n"/>
      <c r="Y37" s="127" t="n"/>
      <c r="Z37" s="123" t="n"/>
      <c r="AB37" s="21" t="n"/>
      <c r="AF37" s="22" t="n"/>
      <c r="AG37" s="123" t="n"/>
      <c r="AH37" s="55">
        <f>DADOS_INVOC!$HR$8</f>
        <v/>
      </c>
      <c r="AI37" s="16" t="n"/>
      <c r="AJ37" s="16" t="n"/>
      <c r="AK37" s="16" t="n"/>
      <c r="AL37" s="17" t="n"/>
      <c r="AM37" s="123" t="n"/>
      <c r="AN37" s="133" t="n"/>
      <c r="AO37" s="16" t="n"/>
      <c r="AP37" s="16" t="n"/>
      <c r="AQ37" s="17" t="n"/>
      <c r="AR37" s="127" t="n"/>
      <c r="AS37" s="123" t="n"/>
    </row>
    <row r="38">
      <c r="B38" s="22" t="n"/>
      <c r="C38" s="123" t="n"/>
      <c r="D38" s="123" t="n"/>
      <c r="E38" s="123" t="n"/>
      <c r="F38" s="123" t="n"/>
      <c r="G38" s="123" t="n"/>
      <c r="I38" s="21" t="n"/>
      <c r="M38" s="22" t="n"/>
      <c r="N38" s="123" t="n"/>
      <c r="O38" s="133" t="n"/>
      <c r="P38" s="16" t="n"/>
      <c r="Q38" s="17" t="n"/>
      <c r="R38" s="127">
        <f>DADOS_INVOC!$HS$2</f>
        <v/>
      </c>
      <c r="S38" s="17" t="n"/>
      <c r="T38" s="123" t="n"/>
      <c r="U38" s="133" t="n"/>
      <c r="V38" s="16" t="n"/>
      <c r="W38" s="16" t="n"/>
      <c r="X38" s="17" t="n"/>
      <c r="Y38" s="127" t="n"/>
      <c r="Z38" s="123" t="n"/>
      <c r="AB38" s="21" t="n"/>
      <c r="AF38" s="22" t="n"/>
      <c r="AG38" s="123" t="n"/>
      <c r="AH38" s="133" t="n"/>
      <c r="AI38" s="16" t="n"/>
      <c r="AJ38" s="17" t="n"/>
      <c r="AK38" s="127">
        <f>DADOS_INVOC!$HS$8</f>
        <v/>
      </c>
      <c r="AL38" s="17" t="n"/>
      <c r="AM38" s="123" t="n"/>
      <c r="AN38" s="133" t="n"/>
      <c r="AO38" s="16" t="n"/>
      <c r="AP38" s="16" t="n"/>
      <c r="AQ38" s="17" t="n"/>
      <c r="AR38" s="127" t="n"/>
      <c r="AS38" s="123" t="n"/>
    </row>
    <row r="39">
      <c r="B39" s="22" t="n"/>
      <c r="C39" s="123" t="n"/>
      <c r="D39" s="123" t="n"/>
      <c r="E39" s="123" t="n"/>
      <c r="F39" s="123" t="n"/>
      <c r="G39" s="123" t="n"/>
      <c r="I39" s="21" t="n"/>
      <c r="M39" s="22" t="n"/>
      <c r="N39" s="123" t="n"/>
      <c r="O39" s="133" t="n"/>
      <c r="P39" s="16" t="n"/>
      <c r="Q39" s="17" t="n"/>
      <c r="R39" s="127">
        <f>DADOS_INVOC!$HT$2</f>
        <v/>
      </c>
      <c r="S39" s="17" t="n"/>
      <c r="T39" s="123" t="n"/>
      <c r="U39" s="133" t="n"/>
      <c r="V39" s="16" t="n"/>
      <c r="W39" s="16" t="n"/>
      <c r="X39" s="17" t="n"/>
      <c r="Y39" s="127" t="n"/>
      <c r="Z39" s="123" t="n"/>
      <c r="AB39" s="21" t="n"/>
      <c r="AF39" s="22" t="n"/>
      <c r="AG39" s="123" t="n"/>
      <c r="AH39" s="133" t="n"/>
      <c r="AI39" s="16" t="n"/>
      <c r="AJ39" s="17" t="n"/>
      <c r="AK39" s="127">
        <f>DADOS_INVOC!$HT$8</f>
        <v/>
      </c>
      <c r="AL39" s="17" t="n"/>
      <c r="AM39" s="123" t="n"/>
      <c r="AN39" s="133" t="n"/>
      <c r="AO39" s="16" t="n"/>
      <c r="AP39" s="16" t="n"/>
      <c r="AQ39" s="17" t="n"/>
      <c r="AR39" s="127" t="n"/>
      <c r="AS39" s="123" t="n"/>
    </row>
    <row r="40">
      <c r="B40" s="22" t="n"/>
      <c r="C40" s="123" t="n"/>
      <c r="D40" s="123" t="n"/>
      <c r="E40" s="123" t="n"/>
      <c r="F40" s="123" t="n"/>
      <c r="G40" s="123" t="n"/>
      <c r="I40" s="23" t="n"/>
      <c r="J40" s="24" t="n"/>
      <c r="K40" s="24" t="n"/>
      <c r="L40" s="24" t="n"/>
      <c r="M40" s="25" t="n"/>
      <c r="N40" s="123" t="n"/>
      <c r="O40" s="133" t="n"/>
      <c r="P40" s="16" t="n"/>
      <c r="Q40" s="17" t="n"/>
      <c r="R40" s="127">
        <f>DADOS_INVOC!$HU$2</f>
        <v/>
      </c>
      <c r="S40" s="17" t="n"/>
      <c r="T40" s="123" t="n"/>
      <c r="U40" s="133" t="n"/>
      <c r="V40" s="16" t="n"/>
      <c r="W40" s="16" t="n"/>
      <c r="X40" s="17" t="n"/>
      <c r="Y40" s="127" t="n"/>
      <c r="Z40" s="123" t="n"/>
      <c r="AB40" s="23" t="n"/>
      <c r="AC40" s="24" t="n"/>
      <c r="AD40" s="24" t="n"/>
      <c r="AE40" s="24" t="n"/>
      <c r="AF40" s="25" t="n"/>
      <c r="AG40" s="123" t="n"/>
      <c r="AH40" s="133" t="n"/>
      <c r="AI40" s="16" t="n"/>
      <c r="AJ40" s="17" t="n"/>
      <c r="AK40" s="127">
        <f>DADOS_INVOC!$HU$8</f>
        <v/>
      </c>
      <c r="AL40" s="17" t="n"/>
      <c r="AM40" s="123" t="n"/>
      <c r="AN40" s="133" t="n"/>
      <c r="AO40" s="16" t="n"/>
      <c r="AP40" s="16" t="n"/>
      <c r="AQ40" s="17" t="n"/>
      <c r="AR40" s="127" t="n"/>
      <c r="AS40" s="123" t="n"/>
    </row>
    <row r="41">
      <c r="B41" s="22" t="n"/>
      <c r="C41" s="123" t="n"/>
      <c r="D41" s="123" t="n"/>
      <c r="E41" s="123" t="n"/>
      <c r="F41" s="123" t="n"/>
      <c r="G41" s="123" t="n"/>
      <c r="I41" s="123" t="n"/>
      <c r="J41" s="123" t="n"/>
      <c r="K41" s="123" t="n"/>
      <c r="L41" s="123" t="n"/>
      <c r="M41" s="123" t="n"/>
      <c r="N41" s="123" t="n"/>
      <c r="O41" s="133" t="n"/>
      <c r="P41" s="16" t="n"/>
      <c r="Q41" s="17" t="n"/>
      <c r="R41" s="127">
        <f>DADOS_INVOC!$HV$2</f>
        <v/>
      </c>
      <c r="S41" s="17" t="n"/>
      <c r="T41" s="123" t="n"/>
      <c r="U41" s="133" t="n"/>
      <c r="V41" s="16" t="n"/>
      <c r="W41" s="16" t="n"/>
      <c r="X41" s="17" t="n"/>
      <c r="Y41" s="127" t="n"/>
      <c r="Z41" s="123" t="n"/>
      <c r="AB41" s="123" t="n"/>
      <c r="AC41" s="123" t="n"/>
      <c r="AD41" s="123" t="n"/>
      <c r="AE41" s="123" t="n"/>
      <c r="AF41" s="123" t="n"/>
      <c r="AG41" s="123" t="n"/>
      <c r="AH41" s="133" t="n"/>
      <c r="AI41" s="16" t="n"/>
      <c r="AJ41" s="17" t="n"/>
      <c r="AK41" s="127">
        <f>DADOS_INVOC!$HV$8</f>
        <v/>
      </c>
      <c r="AL41" s="17" t="n"/>
      <c r="AM41" s="123" t="n"/>
      <c r="AN41" s="133" t="n"/>
      <c r="AO41" s="16" t="n"/>
      <c r="AP41" s="16" t="n"/>
      <c r="AQ41" s="17" t="n"/>
      <c r="AR41" s="127" t="n"/>
      <c r="AS41" s="123" t="n"/>
    </row>
    <row r="42">
      <c r="B42" s="22" t="n"/>
      <c r="C42" s="123" t="n"/>
      <c r="D42" s="123" t="n"/>
      <c r="E42" s="123" t="n"/>
      <c r="F42" s="123" t="n"/>
      <c r="G42" s="123" t="n"/>
      <c r="I42" s="55" t="inlineStr">
        <is>
          <t>TIPO</t>
        </is>
      </c>
      <c r="J42" s="16" t="n"/>
      <c r="K42" s="16" t="n"/>
      <c r="L42" s="16" t="n"/>
      <c r="M42" s="17" t="n"/>
      <c r="N42" s="123" t="n"/>
      <c r="O42" s="133" t="n"/>
      <c r="P42" s="16" t="n"/>
      <c r="Q42" s="17" t="n"/>
      <c r="R42" s="127">
        <f>DADOS_INVOC!$HW$2</f>
        <v/>
      </c>
      <c r="S42" s="17" t="n"/>
      <c r="T42" s="123" t="n"/>
      <c r="U42" s="133" t="n"/>
      <c r="V42" s="16" t="n"/>
      <c r="W42" s="16" t="n"/>
      <c r="X42" s="17" t="n"/>
      <c r="Y42" s="127" t="n"/>
      <c r="Z42" s="123" t="n"/>
      <c r="AB42" s="55" t="inlineStr">
        <is>
          <t>TIPO</t>
        </is>
      </c>
      <c r="AC42" s="16" t="n"/>
      <c r="AD42" s="16" t="n"/>
      <c r="AE42" s="16" t="n"/>
      <c r="AF42" s="17" t="n"/>
      <c r="AG42" s="123" t="n"/>
      <c r="AH42" s="133" t="n"/>
      <c r="AI42" s="16" t="n"/>
      <c r="AJ42" s="17" t="n"/>
      <c r="AK42" s="127">
        <f>DADOS_INVOC!$HW$8</f>
        <v/>
      </c>
      <c r="AL42" s="17" t="n"/>
      <c r="AM42" s="123" t="n"/>
      <c r="AN42" s="133" t="n"/>
      <c r="AO42" s="16" t="n"/>
      <c r="AP42" s="16" t="n"/>
      <c r="AQ42" s="17" t="n"/>
      <c r="AR42" s="127" t="n"/>
      <c r="AS42" s="123" t="n"/>
    </row>
    <row r="43">
      <c r="B43" s="22" t="n"/>
      <c r="C43" s="123" t="n"/>
      <c r="D43" s="123" t="n"/>
      <c r="E43" s="123" t="n"/>
      <c r="F43" s="123" t="n"/>
      <c r="G43" s="123" t="n"/>
      <c r="I43" s="127" t="inlineStr">
        <is>
          <t>Shikigami de técnica</t>
        </is>
      </c>
      <c r="J43" s="19" t="n"/>
      <c r="K43" s="19" t="n"/>
      <c r="L43" s="19" t="n"/>
      <c r="M43" s="20" t="n"/>
      <c r="N43" s="123" t="n"/>
      <c r="O43" s="133" t="n"/>
      <c r="P43" s="16" t="n"/>
      <c r="Q43" s="17" t="n"/>
      <c r="R43" s="127">
        <f>DADOS_INVOC!$HX$2</f>
        <v/>
      </c>
      <c r="S43" s="17" t="n"/>
      <c r="T43" s="123" t="n"/>
      <c r="U43" s="123" t="n"/>
      <c r="V43" s="123" t="n"/>
      <c r="W43" s="123" t="n"/>
      <c r="X43" s="123" t="n"/>
      <c r="Y43" s="123" t="n"/>
      <c r="Z43" s="123" t="n"/>
      <c r="AB43" s="127" t="inlineStr">
        <is>
          <t>Shikigami de técnica</t>
        </is>
      </c>
      <c r="AC43" s="19" t="n"/>
      <c r="AD43" s="19" t="n"/>
      <c r="AE43" s="19" t="n"/>
      <c r="AF43" s="20" t="n"/>
      <c r="AG43" s="123" t="n"/>
      <c r="AH43" s="133" t="n"/>
      <c r="AI43" s="16" t="n"/>
      <c r="AJ43" s="17" t="n"/>
      <c r="AK43" s="127">
        <f>DADOS_INVOC!$HX$8</f>
        <v/>
      </c>
      <c r="AL43" s="17" t="n"/>
      <c r="AM43" s="123" t="n"/>
      <c r="AN43" s="123" t="n"/>
      <c r="AO43" s="123" t="n"/>
      <c r="AP43" s="123" t="n"/>
      <c r="AQ43" s="123" t="n"/>
      <c r="AR43" s="123" t="n"/>
      <c r="AS43" s="123" t="n"/>
    </row>
    <row r="44">
      <c r="B44" s="22" t="n"/>
      <c r="C44" s="123" t="n"/>
      <c r="D44" s="123" t="n"/>
      <c r="E44" s="123" t="n"/>
      <c r="F44" s="123" t="n"/>
      <c r="G44" s="123" t="n"/>
      <c r="I44" s="23" t="n"/>
      <c r="J44" s="24" t="n"/>
      <c r="K44" s="24" t="n"/>
      <c r="L44" s="24" t="n"/>
      <c r="M44" s="25" t="n"/>
      <c r="N44" s="123" t="n"/>
      <c r="O44" s="133" t="n"/>
      <c r="P44" s="16" t="n"/>
      <c r="Q44" s="17" t="n"/>
      <c r="R44" s="127">
        <f>DADOS_INVOC!$HY$2</f>
        <v/>
      </c>
      <c r="S44" s="17" t="n"/>
      <c r="T44" s="123" t="n"/>
      <c r="U44" s="55" t="inlineStr">
        <is>
          <t>CORPO, SENTIDOS E COMUNICAÇÃO</t>
        </is>
      </c>
      <c r="V44" s="16" t="n"/>
      <c r="W44" s="16" t="n"/>
      <c r="X44" s="16" t="n"/>
      <c r="Y44" s="17" t="n"/>
      <c r="Z44" s="123" t="n"/>
      <c r="AB44" s="23" t="n"/>
      <c r="AC44" s="24" t="n"/>
      <c r="AD44" s="24" t="n"/>
      <c r="AE44" s="24" t="n"/>
      <c r="AF44" s="25" t="n"/>
      <c r="AG44" s="123" t="n"/>
      <c r="AH44" s="133" t="n"/>
      <c r="AI44" s="16" t="n"/>
      <c r="AJ44" s="17" t="n"/>
      <c r="AK44" s="127">
        <f>DADOS_INVOC!$HY$8</f>
        <v/>
      </c>
      <c r="AL44" s="17" t="n"/>
      <c r="AM44" s="123" t="n"/>
      <c r="AN44" s="55" t="inlineStr">
        <is>
          <t>CORPO, SENTIDOS E COMUNICAÇÃO</t>
        </is>
      </c>
      <c r="AO44" s="16" t="n"/>
      <c r="AP44" s="16" t="n"/>
      <c r="AQ44" s="16" t="n"/>
      <c r="AR44" s="17" t="n"/>
      <c r="AS44" s="123" t="n"/>
    </row>
    <row r="45">
      <c r="B45" s="22" t="n"/>
      <c r="C45" s="123" t="n"/>
      <c r="D45" s="123" t="n"/>
      <c r="E45" s="123" t="n"/>
      <c r="F45" s="123" t="n"/>
      <c r="G45" s="123" t="n"/>
      <c r="I45" s="123" t="n"/>
      <c r="J45" s="123" t="n"/>
      <c r="K45" s="123" t="n"/>
      <c r="L45" s="123" t="n"/>
      <c r="M45" s="123" t="n"/>
      <c r="N45" s="123" t="n"/>
      <c r="O45" s="123" t="n"/>
      <c r="P45" s="123" t="n"/>
      <c r="Q45" s="123" t="n"/>
      <c r="R45" s="123" t="n"/>
      <c r="S45" s="123" t="n"/>
      <c r="T45" s="123" t="n"/>
      <c r="U45" s="119" t="n"/>
      <c r="V45" s="19" t="n"/>
      <c r="W45" s="19" t="n"/>
      <c r="X45" s="19" t="n"/>
      <c r="Y45" s="20" t="n"/>
      <c r="Z45" s="123" t="n"/>
      <c r="AB45" s="123" t="n"/>
      <c r="AC45" s="123" t="n"/>
      <c r="AD45" s="123" t="n"/>
      <c r="AE45" s="123" t="n"/>
      <c r="AF45" s="123" t="n"/>
      <c r="AG45" s="123" t="n"/>
      <c r="AH45" s="123" t="n"/>
      <c r="AI45" s="123" t="n"/>
      <c r="AJ45" s="123" t="n"/>
      <c r="AK45" s="123" t="n"/>
      <c r="AL45" s="123" t="n"/>
      <c r="AM45" s="123" t="n"/>
      <c r="AN45" s="119" t="n"/>
      <c r="AO45" s="19" t="n"/>
      <c r="AP45" s="19" t="n"/>
      <c r="AQ45" s="19" t="n"/>
      <c r="AR45" s="20" t="n"/>
      <c r="AS45" s="123" t="n"/>
    </row>
    <row r="46">
      <c r="B46" s="22" t="n"/>
      <c r="C46" s="123" t="n"/>
      <c r="D46" s="123" t="n"/>
      <c r="E46" s="123" t="n"/>
      <c r="F46" s="123" t="n"/>
      <c r="G46" s="123" t="n"/>
      <c r="I46" s="55" t="inlineStr">
        <is>
          <t>AQUISIÇÃO</t>
        </is>
      </c>
      <c r="J46" s="17" t="n"/>
      <c r="K46" s="55" t="inlineStr">
        <is>
          <t>OBTIDA NO NÍVEL</t>
        </is>
      </c>
      <c r="L46" s="55" t="inlineStr">
        <is>
          <t>TALISMÃ</t>
        </is>
      </c>
      <c r="M46" s="17" t="n"/>
      <c r="N46" s="123" t="n"/>
      <c r="O46" s="55">
        <f>DADOS_INVOC!$IB$2</f>
        <v/>
      </c>
      <c r="P46" s="16" t="n"/>
      <c r="Q46" s="16" t="n"/>
      <c r="R46" s="16" t="n"/>
      <c r="S46" s="17" t="n"/>
      <c r="T46" s="123" t="n"/>
      <c r="U46" s="21" t="n"/>
      <c r="Y46" s="22" t="n"/>
      <c r="Z46" s="123" t="n"/>
      <c r="AB46" s="55" t="inlineStr">
        <is>
          <t>AQUISIÇÃO</t>
        </is>
      </c>
      <c r="AC46" s="17" t="n"/>
      <c r="AD46" s="55" t="inlineStr">
        <is>
          <t>OBTIDA NO NÍVEL</t>
        </is>
      </c>
      <c r="AE46" s="55" t="inlineStr">
        <is>
          <t>TALISMÃ</t>
        </is>
      </c>
      <c r="AF46" s="17" t="n"/>
      <c r="AG46" s="123" t="n"/>
      <c r="AH46" s="55">
        <f>DADOS_INVOC!$IB$8</f>
        <v/>
      </c>
      <c r="AI46" s="16" t="n"/>
      <c r="AJ46" s="16" t="n"/>
      <c r="AK46" s="16" t="n"/>
      <c r="AL46" s="17" t="n"/>
      <c r="AM46" s="123" t="n"/>
      <c r="AN46" s="21" t="n"/>
      <c r="AR46" s="22" t="n"/>
      <c r="AS46" s="123" t="n"/>
    </row>
    <row r="47">
      <c r="B47" s="22" t="n"/>
      <c r="C47" s="123" t="n"/>
      <c r="D47" s="123" t="n"/>
      <c r="E47" s="123" t="n"/>
      <c r="F47" s="123" t="n"/>
      <c r="G47" s="123" t="n"/>
      <c r="I47" s="127" t="inlineStr">
        <is>
          <t>Espaço conhecido</t>
        </is>
      </c>
      <c r="J47" s="20" t="n"/>
      <c r="K47" s="127" t="n"/>
      <c r="L47" s="127" t="inlineStr">
        <is>
          <t>Sem carga</t>
        </is>
      </c>
      <c r="M47" s="20" t="n"/>
      <c r="N47" s="123" t="n"/>
      <c r="O47" s="55" t="inlineStr">
        <is>
          <t>LIVRE</t>
        </is>
      </c>
      <c r="P47" s="55" t="inlineStr">
        <is>
          <t>LIVRE · TRILHA</t>
        </is>
      </c>
      <c r="Q47" s="55" t="inlineStr">
        <is>
          <t>ABERTA</t>
        </is>
      </c>
      <c r="R47" s="55" t="inlineStr">
        <is>
          <t>ABERTA</t>
        </is>
      </c>
      <c r="S47" s="55" t="inlineStr">
        <is>
          <t>ABERTA · TRILHA</t>
        </is>
      </c>
      <c r="T47" s="123" t="n"/>
      <c r="U47" s="21" t="n"/>
      <c r="Y47" s="22" t="n"/>
      <c r="Z47" s="123" t="n"/>
      <c r="AB47" s="127" t="inlineStr">
        <is>
          <t>Espaço conhecido</t>
        </is>
      </c>
      <c r="AC47" s="20" t="n"/>
      <c r="AD47" s="127" t="n"/>
      <c r="AE47" s="127" t="inlineStr">
        <is>
          <t>Sem carga</t>
        </is>
      </c>
      <c r="AF47" s="20" t="n"/>
      <c r="AG47" s="123" t="n"/>
      <c r="AH47" s="55" t="inlineStr">
        <is>
          <t>LIVRE</t>
        </is>
      </c>
      <c r="AI47" s="55" t="inlineStr">
        <is>
          <t>LIVRE · TRILHA</t>
        </is>
      </c>
      <c r="AJ47" s="55" t="inlineStr">
        <is>
          <t>ABERTA</t>
        </is>
      </c>
      <c r="AK47" s="55" t="inlineStr">
        <is>
          <t>ABERTA</t>
        </is>
      </c>
      <c r="AL47" s="55" t="inlineStr">
        <is>
          <t>ABERTA · TRILHA</t>
        </is>
      </c>
      <c r="AM47" s="123" t="n"/>
      <c r="AN47" s="21" t="n"/>
      <c r="AR47" s="22" t="n"/>
      <c r="AS47" s="123" t="n"/>
    </row>
    <row r="48">
      <c r="B48" s="22" t="n"/>
      <c r="C48" s="123" t="n"/>
      <c r="D48" s="123" t="n"/>
      <c r="E48" s="123" t="n"/>
      <c r="F48" s="123" t="n"/>
      <c r="G48" s="123" t="n"/>
      <c r="I48" s="23" t="n"/>
      <c r="J48" s="25" t="n"/>
      <c r="K48" s="128" t="n"/>
      <c r="L48" s="23" t="n"/>
      <c r="M48" s="25" t="n"/>
      <c r="N48" s="123" t="n"/>
      <c r="O48" s="127" t="n"/>
      <c r="P48" s="127" t="n"/>
      <c r="Q48" s="127" t="n"/>
      <c r="R48" s="127" t="n"/>
      <c r="S48" s="127" t="n"/>
      <c r="T48" s="123" t="n"/>
      <c r="U48" s="21" t="n"/>
      <c r="Y48" s="22" t="n"/>
      <c r="Z48" s="123" t="n"/>
      <c r="AB48" s="23" t="n"/>
      <c r="AC48" s="25" t="n"/>
      <c r="AD48" s="128" t="n"/>
      <c r="AE48" s="23" t="n"/>
      <c r="AF48" s="25" t="n"/>
      <c r="AG48" s="123" t="n"/>
      <c r="AH48" s="127" t="n"/>
      <c r="AI48" s="127" t="n"/>
      <c r="AJ48" s="127" t="n"/>
      <c r="AK48" s="127" t="n"/>
      <c r="AL48" s="127" t="n"/>
      <c r="AM48" s="123" t="n"/>
      <c r="AN48" s="21" t="n"/>
      <c r="AR48" s="22" t="n"/>
      <c r="AS48" s="123" t="n"/>
    </row>
    <row r="49">
      <c r="B49" s="22" t="n"/>
      <c r="C49" s="123" t="n"/>
      <c r="D49" s="123" t="n"/>
      <c r="E49" s="123" t="n"/>
      <c r="F49" s="123" t="n"/>
      <c r="G49" s="123" t="n"/>
      <c r="I49" s="123" t="n"/>
      <c r="J49" s="123" t="n"/>
      <c r="K49" s="123" t="n"/>
      <c r="L49" s="123" t="n"/>
      <c r="M49" s="123" t="n"/>
      <c r="N49" s="123" t="n"/>
      <c r="O49" s="128" t="n"/>
      <c r="P49" s="128" t="n"/>
      <c r="Q49" s="128" t="n"/>
      <c r="R49" s="128" t="n"/>
      <c r="S49" s="128" t="n"/>
      <c r="T49" s="123" t="n"/>
      <c r="U49" s="23" t="n"/>
      <c r="V49" s="24" t="n"/>
      <c r="W49" s="24" t="n"/>
      <c r="X49" s="24" t="n"/>
      <c r="Y49" s="25" t="n"/>
      <c r="Z49" s="123" t="n"/>
      <c r="AB49" s="123" t="n"/>
      <c r="AC49" s="123" t="n"/>
      <c r="AD49" s="123" t="n"/>
      <c r="AE49" s="123" t="n"/>
      <c r="AF49" s="123" t="n"/>
      <c r="AG49" s="123" t="n"/>
      <c r="AH49" s="128" t="n"/>
      <c r="AI49" s="128" t="n"/>
      <c r="AJ49" s="128" t="n"/>
      <c r="AK49" s="128" t="n"/>
      <c r="AL49" s="128" t="n"/>
      <c r="AM49" s="123" t="n"/>
      <c r="AN49" s="23" t="n"/>
      <c r="AO49" s="24" t="n"/>
      <c r="AP49" s="24" t="n"/>
      <c r="AQ49" s="24" t="n"/>
      <c r="AR49" s="25" t="n"/>
      <c r="AS49" s="123" t="n"/>
    </row>
    <row r="50">
      <c r="B50" s="22" t="n"/>
      <c r="C50" s="123" t="n"/>
      <c r="D50" s="123" t="n"/>
      <c r="E50" s="123" t="n"/>
      <c r="F50" s="123" t="n"/>
      <c r="G50" s="123" t="n"/>
      <c r="I50" s="123" t="n"/>
      <c r="J50" s="123" t="n"/>
      <c r="K50" s="123" t="n"/>
      <c r="L50" s="123" t="n"/>
      <c r="M50" s="123" t="n"/>
      <c r="N50" s="123" t="n"/>
      <c r="O50" s="123" t="n"/>
      <c r="P50" s="123" t="n"/>
      <c r="Q50" s="123" t="n"/>
      <c r="R50" s="123" t="n"/>
      <c r="S50" s="123" t="n"/>
      <c r="T50" s="123" t="n"/>
      <c r="U50" s="123" t="n"/>
      <c r="V50" s="123" t="n"/>
      <c r="W50" s="123" t="n"/>
      <c r="X50" s="123" t="n"/>
      <c r="Y50" s="123" t="n"/>
      <c r="Z50" s="123" t="n"/>
      <c r="AB50" s="123" t="n"/>
      <c r="AC50" s="123" t="n"/>
      <c r="AD50" s="123" t="n"/>
      <c r="AE50" s="123" t="n"/>
      <c r="AF50" s="123" t="n"/>
      <c r="AG50" s="123" t="n"/>
      <c r="AH50" s="123" t="n"/>
      <c r="AI50" s="123" t="n"/>
      <c r="AJ50" s="123" t="n"/>
      <c r="AK50" s="123" t="n"/>
      <c r="AL50" s="123" t="n"/>
      <c r="AM50" s="123" t="n"/>
      <c r="AN50" s="123" t="n"/>
      <c r="AO50" s="123" t="n"/>
      <c r="AP50" s="123" t="n"/>
      <c r="AQ50" s="123" t="n"/>
      <c r="AR50" s="123" t="n"/>
      <c r="AS50" s="123" t="n"/>
    </row>
    <row r="51">
      <c r="B51" s="22" t="n"/>
      <c r="C51" s="123" t="n"/>
      <c r="D51" s="123" t="n"/>
      <c r="E51" s="123" t="n"/>
      <c r="F51" s="123" t="n"/>
      <c r="G51" s="123" t="n"/>
      <c r="I51" s="55" t="inlineStr">
        <is>
          <t>DEFINIÇÃO</t>
        </is>
      </c>
      <c r="J51" s="16" t="n"/>
      <c r="K51" s="16" t="n"/>
      <c r="L51" s="16" t="n"/>
      <c r="M51" s="16" t="n"/>
      <c r="N51" s="16" t="n"/>
      <c r="O51" s="16" t="n"/>
      <c r="P51" s="16" t="n"/>
      <c r="Q51" s="16" t="n"/>
      <c r="R51" s="16" t="n"/>
      <c r="S51" s="16" t="n"/>
      <c r="T51" s="16" t="n"/>
      <c r="U51" s="16" t="n"/>
      <c r="V51" s="16" t="n"/>
      <c r="W51" s="16" t="n"/>
      <c r="X51" s="16" t="n"/>
      <c r="Y51" s="17" t="n"/>
      <c r="Z51" s="123" t="n"/>
      <c r="AB51" s="55" t="inlineStr">
        <is>
          <t>DEFINIÇÃO</t>
        </is>
      </c>
      <c r="AC51" s="16" t="n"/>
      <c r="AD51" s="16" t="n"/>
      <c r="AE51" s="16" t="n"/>
      <c r="AF51" s="16" t="n"/>
      <c r="AG51" s="16" t="n"/>
      <c r="AH51" s="16" t="n"/>
      <c r="AI51" s="16" t="n"/>
      <c r="AJ51" s="16" t="n"/>
      <c r="AK51" s="16" t="n"/>
      <c r="AL51" s="16" t="n"/>
      <c r="AM51" s="16" t="n"/>
      <c r="AN51" s="16" t="n"/>
      <c r="AO51" s="16" t="n"/>
      <c r="AP51" s="16" t="n"/>
      <c r="AQ51" s="16" t="n"/>
      <c r="AR51" s="17" t="n"/>
      <c r="AS51" s="123" t="n"/>
    </row>
    <row r="52">
      <c r="B52" s="22" t="n"/>
      <c r="C52" s="123" t="n"/>
      <c r="D52" s="123" t="n"/>
      <c r="E52" s="123" t="n"/>
      <c r="F52" s="123" t="n"/>
      <c r="G52" s="123" t="n"/>
      <c r="I52" s="119" t="n"/>
      <c r="J52" s="19" t="n"/>
      <c r="K52" s="19" t="n"/>
      <c r="L52" s="19" t="n"/>
      <c r="M52" s="19" t="n"/>
      <c r="N52" s="19" t="n"/>
      <c r="O52" s="19" t="n"/>
      <c r="P52" s="19" t="n"/>
      <c r="Q52" s="19" t="n"/>
      <c r="R52" s="19" t="n"/>
      <c r="S52" s="19" t="n"/>
      <c r="T52" s="19" t="n"/>
      <c r="U52" s="19" t="n"/>
      <c r="V52" s="19" t="n"/>
      <c r="W52" s="19" t="n"/>
      <c r="X52" s="19" t="n"/>
      <c r="Y52" s="20" t="n"/>
      <c r="Z52" s="123" t="n"/>
      <c r="AB52" s="119" t="n"/>
      <c r="AC52" s="19" t="n"/>
      <c r="AD52" s="19" t="n"/>
      <c r="AE52" s="19" t="n"/>
      <c r="AF52" s="19" t="n"/>
      <c r="AG52" s="19" t="n"/>
      <c r="AH52" s="19" t="n"/>
      <c r="AI52" s="19" t="n"/>
      <c r="AJ52" s="19" t="n"/>
      <c r="AK52" s="19" t="n"/>
      <c r="AL52" s="19" t="n"/>
      <c r="AM52" s="19" t="n"/>
      <c r="AN52" s="19" t="n"/>
      <c r="AO52" s="19" t="n"/>
      <c r="AP52" s="19" t="n"/>
      <c r="AQ52" s="19" t="n"/>
      <c r="AR52" s="20" t="n"/>
      <c r="AS52" s="123" t="n"/>
    </row>
    <row r="53">
      <c r="B53" s="22" t="n"/>
      <c r="C53" s="123" t="n"/>
      <c r="D53" s="123" t="n"/>
      <c r="E53" s="123" t="n"/>
      <c r="F53" s="123" t="n"/>
      <c r="G53" s="123" t="n"/>
      <c r="I53" s="23" t="n"/>
      <c r="J53" s="24" t="n"/>
      <c r="K53" s="24" t="n"/>
      <c r="L53" s="24" t="n"/>
      <c r="M53" s="24" t="n"/>
      <c r="N53" s="24" t="n"/>
      <c r="O53" s="24" t="n"/>
      <c r="P53" s="24" t="n"/>
      <c r="Q53" s="24" t="n"/>
      <c r="R53" s="24" t="n"/>
      <c r="S53" s="24" t="n"/>
      <c r="T53" s="24" t="n"/>
      <c r="U53" s="24" t="n"/>
      <c r="V53" s="24" t="n"/>
      <c r="W53" s="24" t="n"/>
      <c r="X53" s="24" t="n"/>
      <c r="Y53" s="25" t="n"/>
      <c r="Z53" s="123" t="n"/>
      <c r="AB53" s="23" t="n"/>
      <c r="AC53" s="24" t="n"/>
      <c r="AD53" s="24" t="n"/>
      <c r="AE53" s="24" t="n"/>
      <c r="AF53" s="24" t="n"/>
      <c r="AG53" s="24" t="n"/>
      <c r="AH53" s="24" t="n"/>
      <c r="AI53" s="24" t="n"/>
      <c r="AJ53" s="24" t="n"/>
      <c r="AK53" s="24" t="n"/>
      <c r="AL53" s="24" t="n"/>
      <c r="AM53" s="24" t="n"/>
      <c r="AN53" s="24" t="n"/>
      <c r="AO53" s="24" t="n"/>
      <c r="AP53" s="24" t="n"/>
      <c r="AQ53" s="24" t="n"/>
      <c r="AR53" s="25" t="n"/>
      <c r="AS53" s="123" t="n"/>
    </row>
    <row r="54">
      <c r="B54" s="22" t="n"/>
      <c r="C54" s="123" t="n"/>
      <c r="D54" s="123" t="n"/>
      <c r="E54" s="123" t="n"/>
      <c r="F54" s="123" t="n"/>
      <c r="G54" s="123" t="n"/>
      <c r="I54" s="123" t="n"/>
      <c r="J54" s="123" t="n"/>
      <c r="K54" s="123" t="n"/>
      <c r="L54" s="123" t="n"/>
      <c r="M54" s="123" t="n"/>
      <c r="N54" s="123" t="n"/>
      <c r="O54" s="123" t="n"/>
      <c r="P54" s="123" t="n"/>
      <c r="Q54" s="123" t="n"/>
      <c r="R54" s="123" t="n"/>
      <c r="S54" s="123" t="n"/>
      <c r="T54" s="123" t="n"/>
      <c r="U54" s="123" t="n"/>
      <c r="V54" s="123" t="n"/>
      <c r="W54" s="123" t="n"/>
      <c r="X54" s="123" t="n"/>
      <c r="Y54" s="123" t="n"/>
      <c r="Z54" s="123" t="n"/>
      <c r="AB54" s="123" t="n"/>
      <c r="AC54" s="123" t="n"/>
      <c r="AD54" s="123" t="n"/>
      <c r="AE54" s="123" t="n"/>
      <c r="AF54" s="123" t="n"/>
      <c r="AG54" s="123" t="n"/>
      <c r="AH54" s="123" t="n"/>
      <c r="AI54" s="123" t="n"/>
      <c r="AJ54" s="123" t="n"/>
      <c r="AK54" s="123" t="n"/>
      <c r="AL54" s="123" t="n"/>
      <c r="AM54" s="123" t="n"/>
      <c r="AN54" s="123" t="n"/>
      <c r="AO54" s="123" t="n"/>
      <c r="AP54" s="123" t="n"/>
      <c r="AQ54" s="123" t="n"/>
      <c r="AR54" s="123" t="n"/>
      <c r="AS54" s="123" t="n"/>
    </row>
    <row r="55">
      <c r="B55" s="22" t="n"/>
      <c r="C55" s="123" t="n"/>
      <c r="D55" s="123" t="n"/>
      <c r="E55" s="123" t="n"/>
      <c r="F55" s="123" t="n"/>
      <c r="G55" s="123" t="n"/>
      <c r="I55" s="136">
        <f>DADOS_INVOC!$IC$2</f>
        <v/>
      </c>
      <c r="J55" s="16" t="n"/>
      <c r="K55" s="16" t="n"/>
      <c r="L55" s="16" t="n"/>
      <c r="M55" s="16" t="n"/>
      <c r="N55" s="16" t="n"/>
      <c r="O55" s="16" t="n"/>
      <c r="P55" s="16" t="n"/>
      <c r="Q55" s="16" t="n"/>
      <c r="R55" s="16" t="n"/>
      <c r="S55" s="16" t="n"/>
      <c r="T55" s="16" t="n"/>
      <c r="U55" s="16" t="n"/>
      <c r="V55" s="16" t="n"/>
      <c r="W55" s="16" t="n"/>
      <c r="X55" s="16" t="n"/>
      <c r="Y55" s="17" t="n"/>
      <c r="Z55" s="123" t="n"/>
      <c r="AB55" s="136">
        <f>DADOS_INVOC!$IC$8</f>
        <v/>
      </c>
      <c r="AC55" s="16" t="n"/>
      <c r="AD55" s="16" t="n"/>
      <c r="AE55" s="16" t="n"/>
      <c r="AF55" s="16" t="n"/>
      <c r="AG55" s="16" t="n"/>
      <c r="AH55" s="16" t="n"/>
      <c r="AI55" s="16" t="n"/>
      <c r="AJ55" s="16" t="n"/>
      <c r="AK55" s="16" t="n"/>
      <c r="AL55" s="16" t="n"/>
      <c r="AM55" s="16" t="n"/>
      <c r="AN55" s="16" t="n"/>
      <c r="AO55" s="16" t="n"/>
      <c r="AP55" s="16" t="n"/>
      <c r="AQ55" s="16" t="n"/>
      <c r="AR55" s="17" t="n"/>
      <c r="AS55" s="123" t="n"/>
    </row>
    <row r="56" outlineLevel="1">
      <c r="B56" s="22" t="n"/>
      <c r="C56" s="123" t="n"/>
      <c r="D56" s="123" t="n"/>
      <c r="E56" s="123" t="n"/>
      <c r="F56" s="123" t="n"/>
      <c r="G56" s="123" t="n"/>
      <c r="I56" s="123" t="n"/>
      <c r="J56" s="123" t="n"/>
      <c r="K56" s="123" t="n"/>
      <c r="L56" s="123" t="n"/>
      <c r="M56" s="123" t="n"/>
      <c r="N56" s="123" t="n"/>
      <c r="O56" s="123" t="n"/>
      <c r="P56" s="123" t="n"/>
      <c r="Q56" s="123" t="n"/>
      <c r="R56" s="123" t="n"/>
      <c r="S56" s="123" t="n"/>
      <c r="T56" s="123" t="n"/>
      <c r="U56" s="123" t="n"/>
      <c r="V56" s="123" t="n"/>
      <c r="W56" s="123" t="n"/>
      <c r="X56" s="123" t="n"/>
      <c r="Y56" s="123" t="n"/>
      <c r="Z56" s="123" t="n"/>
      <c r="AB56" s="123" t="n"/>
      <c r="AC56" s="123" t="n"/>
      <c r="AD56" s="123" t="n"/>
      <c r="AE56" s="123" t="n"/>
      <c r="AF56" s="123" t="n"/>
      <c r="AG56" s="123" t="n"/>
      <c r="AH56" s="123" t="n"/>
      <c r="AI56" s="123" t="n"/>
      <c r="AJ56" s="123" t="n"/>
      <c r="AK56" s="123" t="n"/>
      <c r="AL56" s="123" t="n"/>
      <c r="AM56" s="123" t="n"/>
      <c r="AN56" s="123" t="n"/>
      <c r="AO56" s="123" t="n"/>
      <c r="AP56" s="123" t="n"/>
      <c r="AQ56" s="123" t="n"/>
      <c r="AR56" s="123" t="n"/>
      <c r="AS56" s="123" t="n"/>
    </row>
    <row r="57" outlineLevel="1">
      <c r="B57" s="22" t="n"/>
      <c r="C57" s="123" t="n"/>
      <c r="D57" s="123" t="n"/>
      <c r="E57" s="123" t="n"/>
      <c r="F57" s="123" t="n"/>
      <c r="G57" s="123" t="n"/>
      <c r="I57" s="55">
        <f>DADOS_INVOC!$PX$2</f>
        <v/>
      </c>
      <c r="J57" s="16" t="n"/>
      <c r="K57" s="16" t="n"/>
      <c r="L57" s="16" t="n"/>
      <c r="M57" s="17" t="n"/>
      <c r="N57" s="123" t="n"/>
      <c r="O57" s="55">
        <f>DADOS_INVOC!$PX$3</f>
        <v/>
      </c>
      <c r="P57" s="16" t="n"/>
      <c r="Q57" s="16" t="n"/>
      <c r="R57" s="16" t="n"/>
      <c r="S57" s="17" t="n"/>
      <c r="T57" s="123" t="n"/>
      <c r="U57" s="55">
        <f>DADOS_INVOC!$PX$4</f>
        <v/>
      </c>
      <c r="V57" s="16" t="n"/>
      <c r="W57" s="16" t="n"/>
      <c r="X57" s="16" t="n"/>
      <c r="Y57" s="17" t="n"/>
      <c r="Z57" s="123" t="n"/>
      <c r="AB57" s="55">
        <f>DADOS_INVOC!$PX$80</f>
        <v/>
      </c>
      <c r="AC57" s="16" t="n"/>
      <c r="AD57" s="16" t="n"/>
      <c r="AE57" s="16" t="n"/>
      <c r="AF57" s="17" t="n"/>
      <c r="AG57" s="123" t="n"/>
      <c r="AH57" s="55">
        <f>DADOS_INVOC!$PX$81</f>
        <v/>
      </c>
      <c r="AI57" s="16" t="n"/>
      <c r="AJ57" s="16" t="n"/>
      <c r="AK57" s="16" t="n"/>
      <c r="AL57" s="17" t="n"/>
      <c r="AM57" s="123" t="n"/>
      <c r="AN57" s="55">
        <f>DADOS_INVOC!$PX$82</f>
        <v/>
      </c>
      <c r="AO57" s="16" t="n"/>
      <c r="AP57" s="16" t="n"/>
      <c r="AQ57" s="16" t="n"/>
      <c r="AR57" s="17" t="n"/>
      <c r="AS57" s="123" t="n"/>
    </row>
    <row r="58" outlineLevel="1">
      <c r="B58" s="22" t="n"/>
      <c r="C58" s="123" t="n"/>
      <c r="D58" s="123" t="n"/>
      <c r="E58" s="123" t="n"/>
      <c r="F58" s="123" t="n"/>
      <c r="G58" s="123" t="n"/>
      <c r="I58" s="130" t="n">
        <v>0</v>
      </c>
      <c r="J58" s="118" t="n"/>
      <c r="K58" s="16" t="n"/>
      <c r="L58" s="17" t="n"/>
      <c r="M58" s="131">
        <f>DADOS_INVOC!$PV$2</f>
        <v/>
      </c>
      <c r="N58" s="123" t="n"/>
      <c r="O58" s="130" t="n">
        <v>1</v>
      </c>
      <c r="P58" s="118" t="n"/>
      <c r="Q58" s="16" t="n"/>
      <c r="R58" s="17" t="n"/>
      <c r="S58" s="131">
        <f>DADOS_INVOC!$PV$3</f>
        <v/>
      </c>
      <c r="T58" s="123" t="n"/>
      <c r="U58" s="130" t="n">
        <v>1</v>
      </c>
      <c r="V58" s="118" t="n"/>
      <c r="W58" s="16" t="n"/>
      <c r="X58" s="17" t="n"/>
      <c r="Y58" s="131">
        <f>DADOS_INVOC!$PV$4</f>
        <v/>
      </c>
      <c r="Z58" s="123" t="n"/>
      <c r="AB58" s="130" t="n">
        <v>0</v>
      </c>
      <c r="AC58" s="118" t="n"/>
      <c r="AD58" s="16" t="n"/>
      <c r="AE58" s="17" t="n"/>
      <c r="AF58" s="131">
        <f>DADOS_INVOC!$PV$80</f>
        <v/>
      </c>
      <c r="AG58" s="123" t="n"/>
      <c r="AH58" s="130" t="n">
        <v>1</v>
      </c>
      <c r="AI58" s="118" t="n"/>
      <c r="AJ58" s="16" t="n"/>
      <c r="AK58" s="17" t="n"/>
      <c r="AL58" s="131">
        <f>DADOS_INVOC!$PV$81</f>
        <v/>
      </c>
      <c r="AM58" s="123" t="n"/>
      <c r="AN58" s="130" t="n">
        <v>1</v>
      </c>
      <c r="AO58" s="118" t="n"/>
      <c r="AP58" s="16" t="n"/>
      <c r="AQ58" s="17" t="n"/>
      <c r="AR58" s="131">
        <f>DADOS_INVOC!$PV$82</f>
        <v/>
      </c>
      <c r="AS58" s="123" t="n"/>
    </row>
    <row r="59" outlineLevel="2">
      <c r="B59" s="22" t="n"/>
      <c r="C59" s="123" t="n"/>
      <c r="D59" s="123" t="n"/>
      <c r="E59" s="123" t="n"/>
      <c r="F59" s="123" t="n"/>
      <c r="G59" s="123" t="n"/>
      <c r="I59" s="55" t="inlineStr">
        <is>
          <t>COMO É</t>
        </is>
      </c>
      <c r="J59" s="16" t="n"/>
      <c r="K59" s="16" t="n"/>
      <c r="L59" s="16" t="n"/>
      <c r="M59" s="17" t="n"/>
      <c r="N59" s="123" t="n"/>
      <c r="O59" s="55" t="inlineStr">
        <is>
          <t>COMO É</t>
        </is>
      </c>
      <c r="P59" s="16" t="n"/>
      <c r="Q59" s="16" t="n"/>
      <c r="R59" s="16" t="n"/>
      <c r="S59" s="17" t="n"/>
      <c r="T59" s="123" t="n"/>
      <c r="U59" s="55" t="inlineStr">
        <is>
          <t>COMO É</t>
        </is>
      </c>
      <c r="V59" s="16" t="n"/>
      <c r="W59" s="16" t="n"/>
      <c r="X59" s="16" t="n"/>
      <c r="Y59" s="17" t="n"/>
      <c r="Z59" s="123" t="n"/>
      <c r="AB59" s="55" t="inlineStr">
        <is>
          <t>COMO É</t>
        </is>
      </c>
      <c r="AC59" s="16" t="n"/>
      <c r="AD59" s="16" t="n"/>
      <c r="AE59" s="16" t="n"/>
      <c r="AF59" s="17" t="n"/>
      <c r="AG59" s="123" t="n"/>
      <c r="AH59" s="55" t="inlineStr">
        <is>
          <t>COMO É</t>
        </is>
      </c>
      <c r="AI59" s="16" t="n"/>
      <c r="AJ59" s="16" t="n"/>
      <c r="AK59" s="16" t="n"/>
      <c r="AL59" s="17" t="n"/>
      <c r="AM59" s="123" t="n"/>
      <c r="AN59" s="55" t="inlineStr">
        <is>
          <t>COMO É</t>
        </is>
      </c>
      <c r="AO59" s="16" t="n"/>
      <c r="AP59" s="16" t="n"/>
      <c r="AQ59" s="16" t="n"/>
      <c r="AR59" s="17" t="n"/>
      <c r="AS59" s="123" t="n"/>
    </row>
    <row r="60" outlineLevel="2">
      <c r="A60" s="8" t="n"/>
      <c r="B60" s="14" t="n"/>
      <c r="C60" s="123" t="n"/>
      <c r="D60" s="123" t="n"/>
      <c r="E60" s="123" t="n"/>
      <c r="F60" s="123" t="n"/>
      <c r="G60" s="123" t="n"/>
      <c r="I60" s="119" t="n"/>
      <c r="J60" s="19" t="n"/>
      <c r="K60" s="19" t="n"/>
      <c r="L60" s="19" t="n"/>
      <c r="M60" s="20" t="n"/>
      <c r="N60" s="123" t="n"/>
      <c r="O60" s="119" t="n"/>
      <c r="P60" s="19" t="n"/>
      <c r="Q60" s="19" t="n"/>
      <c r="R60" s="19" t="n"/>
      <c r="S60" s="20" t="n"/>
      <c r="T60" s="123" t="n"/>
      <c r="U60" s="119" t="n"/>
      <c r="V60" s="19" t="n"/>
      <c r="W60" s="19" t="n"/>
      <c r="X60" s="19" t="n"/>
      <c r="Y60" s="20" t="n"/>
      <c r="Z60" s="123" t="n"/>
      <c r="AB60" s="119" t="n"/>
      <c r="AC60" s="19" t="n"/>
      <c r="AD60" s="19" t="n"/>
      <c r="AE60" s="19" t="n"/>
      <c r="AF60" s="20" t="n"/>
      <c r="AG60" s="123" t="n"/>
      <c r="AH60" s="119" t="n"/>
      <c r="AI60" s="19" t="n"/>
      <c r="AJ60" s="19" t="n"/>
      <c r="AK60" s="19" t="n"/>
      <c r="AL60" s="20" t="n"/>
      <c r="AM60" s="123" t="n"/>
      <c r="AN60" s="119" t="n"/>
      <c r="AO60" s="19" t="n"/>
      <c r="AP60" s="19" t="n"/>
      <c r="AQ60" s="19" t="n"/>
      <c r="AR60" s="20" t="n"/>
      <c r="AS60" s="123" t="n"/>
    </row>
    <row r="61" outlineLevel="2">
      <c r="A61" s="8" t="n"/>
      <c r="B61" s="14" t="n"/>
      <c r="C61" s="123" t="n"/>
      <c r="D61" s="123" t="n"/>
      <c r="E61" s="123" t="n"/>
      <c r="F61" s="123" t="n"/>
      <c r="G61" s="123" t="n"/>
      <c r="I61" s="21" t="n"/>
      <c r="M61" s="22" t="n"/>
      <c r="N61" s="123" t="n"/>
      <c r="O61" s="21" t="n"/>
      <c r="S61" s="22" t="n"/>
      <c r="T61" s="123" t="n"/>
      <c r="U61" s="21" t="n"/>
      <c r="Y61" s="22" t="n"/>
      <c r="Z61" s="123" t="n"/>
      <c r="AB61" s="21" t="n"/>
      <c r="AF61" s="22" t="n"/>
      <c r="AG61" s="123" t="n"/>
      <c r="AH61" s="21" t="n"/>
      <c r="AL61" s="22" t="n"/>
      <c r="AM61" s="123" t="n"/>
      <c r="AN61" s="21" t="n"/>
      <c r="AR61" s="22" t="n"/>
      <c r="AS61" s="123" t="n"/>
    </row>
    <row r="62" outlineLevel="2">
      <c r="A62" s="8" t="n"/>
      <c r="B62" s="14" t="n"/>
      <c r="C62" s="123" t="n"/>
      <c r="D62" s="123" t="n"/>
      <c r="E62" s="123" t="n"/>
      <c r="F62" s="123" t="n"/>
      <c r="G62" s="123" t="n"/>
      <c r="I62" s="23" t="n"/>
      <c r="J62" s="24" t="n"/>
      <c r="K62" s="24" t="n"/>
      <c r="L62" s="24" t="n"/>
      <c r="M62" s="25" t="n"/>
      <c r="N62" s="123" t="n"/>
      <c r="O62" s="23" t="n"/>
      <c r="P62" s="24" t="n"/>
      <c r="Q62" s="24" t="n"/>
      <c r="R62" s="24" t="n"/>
      <c r="S62" s="25" t="n"/>
      <c r="T62" s="123" t="n"/>
      <c r="U62" s="23" t="n"/>
      <c r="V62" s="24" t="n"/>
      <c r="W62" s="24" t="n"/>
      <c r="X62" s="24" t="n"/>
      <c r="Y62" s="25" t="n"/>
      <c r="Z62" s="123" t="n"/>
      <c r="AB62" s="23" t="n"/>
      <c r="AC62" s="24" t="n"/>
      <c r="AD62" s="24" t="n"/>
      <c r="AE62" s="24" t="n"/>
      <c r="AF62" s="25" t="n"/>
      <c r="AG62" s="123" t="n"/>
      <c r="AH62" s="23" t="n"/>
      <c r="AI62" s="24" t="n"/>
      <c r="AJ62" s="24" t="n"/>
      <c r="AK62" s="24" t="n"/>
      <c r="AL62" s="25" t="n"/>
      <c r="AM62" s="123" t="n"/>
      <c r="AN62" s="23" t="n"/>
      <c r="AO62" s="24" t="n"/>
      <c r="AP62" s="24" t="n"/>
      <c r="AQ62" s="24" t="n"/>
      <c r="AR62" s="25" t="n"/>
      <c r="AS62" s="123" t="n"/>
    </row>
    <row r="63" outlineLevel="1">
      <c r="A63" s="8" t="n"/>
      <c r="B63" s="14" t="n"/>
      <c r="C63" s="123" t="n"/>
      <c r="D63" s="123" t="n"/>
      <c r="E63" s="123" t="n"/>
      <c r="F63" s="123" t="n"/>
      <c r="G63" s="123" t="n"/>
      <c r="I63" s="127" t="inlineStr">
        <is>
          <t>Projétil</t>
        </is>
      </c>
      <c r="J63" s="17" t="n"/>
      <c r="K63" s="68">
        <f>DADOS_INVOC!$QC$2</f>
        <v/>
      </c>
      <c r="L63" s="17" t="n"/>
      <c r="M63" s="68">
        <f>DADOS_INVOC!$PY$2</f>
        <v/>
      </c>
      <c r="N63" s="123" t="n"/>
      <c r="O63" s="127" t="inlineStr">
        <is>
          <t>Projétil</t>
        </is>
      </c>
      <c r="P63" s="17" t="n"/>
      <c r="Q63" s="68">
        <f>DADOS_INVOC!$QC$3</f>
        <v/>
      </c>
      <c r="R63" s="17" t="n"/>
      <c r="S63" s="68">
        <f>DADOS_INVOC!$PY$3</f>
        <v/>
      </c>
      <c r="T63" s="123" t="n"/>
      <c r="U63" s="127" t="inlineStr">
        <is>
          <t>Projétil</t>
        </is>
      </c>
      <c r="V63" s="17" t="n"/>
      <c r="W63" s="68">
        <f>DADOS_INVOC!$QC$4</f>
        <v/>
      </c>
      <c r="X63" s="17" t="n"/>
      <c r="Y63" s="68">
        <f>DADOS_INVOC!$PY$4</f>
        <v/>
      </c>
      <c r="Z63" s="123" t="n"/>
      <c r="AB63" s="127" t="inlineStr">
        <is>
          <t>Projétil</t>
        </is>
      </c>
      <c r="AC63" s="17" t="n"/>
      <c r="AD63" s="68">
        <f>DADOS_INVOC!$QC$80</f>
        <v/>
      </c>
      <c r="AE63" s="17" t="n"/>
      <c r="AF63" s="68">
        <f>DADOS_INVOC!$PY$80</f>
        <v/>
      </c>
      <c r="AG63" s="123" t="n"/>
      <c r="AH63" s="127" t="inlineStr">
        <is>
          <t>Projétil</t>
        </is>
      </c>
      <c r="AI63" s="17" t="n"/>
      <c r="AJ63" s="68">
        <f>DADOS_INVOC!$QC$81</f>
        <v/>
      </c>
      <c r="AK63" s="17" t="n"/>
      <c r="AL63" s="68">
        <f>DADOS_INVOC!$PY$81</f>
        <v/>
      </c>
      <c r="AM63" s="123" t="n"/>
      <c r="AN63" s="127" t="inlineStr">
        <is>
          <t>Projétil</t>
        </is>
      </c>
      <c r="AO63" s="17" t="n"/>
      <c r="AP63" s="68">
        <f>DADOS_INVOC!$QC$82</f>
        <v/>
      </c>
      <c r="AQ63" s="17" t="n"/>
      <c r="AR63" s="68">
        <f>DADOS_INVOC!$PY$82</f>
        <v/>
      </c>
      <c r="AS63" s="123" t="n"/>
    </row>
    <row r="64" outlineLevel="1">
      <c r="A64" s="8" t="n"/>
      <c r="B64" s="14" t="n"/>
      <c r="C64" s="123" t="n"/>
      <c r="D64" s="123" t="n"/>
      <c r="E64" s="123" t="n"/>
      <c r="F64" s="123" t="n"/>
      <c r="G64" s="123" t="n"/>
      <c r="I64" s="127" t="n"/>
      <c r="J64" s="17" t="n"/>
      <c r="K64" s="127" t="n"/>
      <c r="L64" s="16" t="n"/>
      <c r="M64" s="17" t="n"/>
      <c r="N64" s="123" t="n"/>
      <c r="O64" s="127" t="n"/>
      <c r="P64" s="17" t="n"/>
      <c r="Q64" s="127" t="n"/>
      <c r="R64" s="16" t="n"/>
      <c r="S64" s="17" t="n"/>
      <c r="T64" s="123" t="n"/>
      <c r="U64" s="127" t="n"/>
      <c r="V64" s="17" t="n"/>
      <c r="W64" s="127" t="n"/>
      <c r="X64" s="16" t="n"/>
      <c r="Y64" s="17" t="n"/>
      <c r="Z64" s="123" t="n"/>
      <c r="AB64" s="127" t="n"/>
      <c r="AC64" s="17" t="n"/>
      <c r="AD64" s="127" t="n"/>
      <c r="AE64" s="16" t="n"/>
      <c r="AF64" s="17" t="n"/>
      <c r="AG64" s="123" t="n"/>
      <c r="AH64" s="127" t="n"/>
      <c r="AI64" s="17" t="n"/>
      <c r="AJ64" s="127" t="n"/>
      <c r="AK64" s="16" t="n"/>
      <c r="AL64" s="17" t="n"/>
      <c r="AM64" s="123" t="n"/>
      <c r="AN64" s="127" t="n"/>
      <c r="AO64" s="17" t="n"/>
      <c r="AP64" s="127" t="n"/>
      <c r="AQ64" s="16" t="n"/>
      <c r="AR64" s="17" t="n"/>
      <c r="AS64" s="123" t="n"/>
    </row>
    <row r="65" outlineLevel="1">
      <c r="A65" s="8" t="n"/>
      <c r="B65" s="14" t="n"/>
      <c r="C65" s="123" t="n"/>
      <c r="D65" s="123" t="n"/>
      <c r="E65" s="123" t="n"/>
      <c r="F65" s="123" t="n"/>
      <c r="G65" s="123" t="n"/>
      <c r="I65" s="127">
        <f>DADOS_INVOC!$PZ$2</f>
        <v/>
      </c>
      <c r="J65" s="17" t="n"/>
      <c r="K65" s="127">
        <f>DADOS_INVOC!$QB$2</f>
        <v/>
      </c>
      <c r="L65" s="16" t="n"/>
      <c r="M65" s="17" t="n"/>
      <c r="N65" s="123" t="n"/>
      <c r="O65" s="127">
        <f>DADOS_INVOC!$PZ$3</f>
        <v/>
      </c>
      <c r="P65" s="17" t="n"/>
      <c r="Q65" s="127">
        <f>DADOS_INVOC!$QB$3</f>
        <v/>
      </c>
      <c r="R65" s="16" t="n"/>
      <c r="S65" s="17" t="n"/>
      <c r="T65" s="123" t="n"/>
      <c r="U65" s="127">
        <f>DADOS_INVOC!$PZ$4</f>
        <v/>
      </c>
      <c r="V65" s="17" t="n"/>
      <c r="W65" s="127">
        <f>DADOS_INVOC!$QB$4</f>
        <v/>
      </c>
      <c r="X65" s="16" t="n"/>
      <c r="Y65" s="17" t="n"/>
      <c r="Z65" s="123" t="n"/>
      <c r="AB65" s="127">
        <f>DADOS_INVOC!$PZ$80</f>
        <v/>
      </c>
      <c r="AC65" s="17" t="n"/>
      <c r="AD65" s="127">
        <f>DADOS_INVOC!$QB$80</f>
        <v/>
      </c>
      <c r="AE65" s="16" t="n"/>
      <c r="AF65" s="17" t="n"/>
      <c r="AG65" s="123" t="n"/>
      <c r="AH65" s="127">
        <f>DADOS_INVOC!$PZ$81</f>
        <v/>
      </c>
      <c r="AI65" s="17" t="n"/>
      <c r="AJ65" s="127">
        <f>DADOS_INVOC!$QB$81</f>
        <v/>
      </c>
      <c r="AK65" s="16" t="n"/>
      <c r="AL65" s="17" t="n"/>
      <c r="AM65" s="123" t="n"/>
      <c r="AN65" s="127">
        <f>DADOS_INVOC!$PZ$82</f>
        <v/>
      </c>
      <c r="AO65" s="17" t="n"/>
      <c r="AP65" s="127">
        <f>DADOS_INVOC!$QB$82</f>
        <v/>
      </c>
      <c r="AQ65" s="16" t="n"/>
      <c r="AR65" s="17" t="n"/>
      <c r="AS65" s="123" t="n"/>
    </row>
    <row r="66" outlineLevel="1">
      <c r="A66" s="8" t="n"/>
      <c r="B66" s="14" t="n"/>
      <c r="C66" s="123" t="n"/>
      <c r="D66" s="123" t="n"/>
      <c r="E66" s="123" t="n"/>
      <c r="F66" s="123" t="n"/>
      <c r="G66" s="123" t="n"/>
      <c r="I66" s="132">
        <f>DADOS_INVOC!$QH$2</f>
        <v/>
      </c>
      <c r="J66" s="16" t="n"/>
      <c r="K66" s="16" t="n"/>
      <c r="L66" s="16" t="n"/>
      <c r="M66" s="17" t="n"/>
      <c r="N66" s="123" t="n"/>
      <c r="O66" s="132">
        <f>DADOS_INVOC!$QH$3</f>
        <v/>
      </c>
      <c r="P66" s="16" t="n"/>
      <c r="Q66" s="16" t="n"/>
      <c r="R66" s="16" t="n"/>
      <c r="S66" s="17" t="n"/>
      <c r="T66" s="123" t="n"/>
      <c r="U66" s="132">
        <f>DADOS_INVOC!$QH$4</f>
        <v/>
      </c>
      <c r="V66" s="16" t="n"/>
      <c r="W66" s="16" t="n"/>
      <c r="X66" s="16" t="n"/>
      <c r="Y66" s="17" t="n"/>
      <c r="Z66" s="123" t="n"/>
      <c r="AB66" s="132">
        <f>DADOS_INVOC!$QH$80</f>
        <v/>
      </c>
      <c r="AC66" s="16" t="n"/>
      <c r="AD66" s="16" t="n"/>
      <c r="AE66" s="16" t="n"/>
      <c r="AF66" s="17" t="n"/>
      <c r="AG66" s="123" t="n"/>
      <c r="AH66" s="132">
        <f>DADOS_INVOC!$QH$81</f>
        <v/>
      </c>
      <c r="AI66" s="16" t="n"/>
      <c r="AJ66" s="16" t="n"/>
      <c r="AK66" s="16" t="n"/>
      <c r="AL66" s="17" t="n"/>
      <c r="AM66" s="123" t="n"/>
      <c r="AN66" s="132">
        <f>DADOS_INVOC!$QH$82</f>
        <v/>
      </c>
      <c r="AO66" s="16" t="n"/>
      <c r="AP66" s="16" t="n"/>
      <c r="AQ66" s="16" t="n"/>
      <c r="AR66" s="17" t="n"/>
      <c r="AS66" s="123" t="n"/>
    </row>
    <row r="67" hidden="1" outlineLevel="2">
      <c r="A67" s="8" t="n"/>
      <c r="B67" s="14" t="n"/>
      <c r="C67" s="123" t="n"/>
      <c r="D67" s="123" t="n"/>
      <c r="E67" s="123" t="n"/>
      <c r="F67" s="123" t="n"/>
      <c r="G67" s="123" t="n"/>
      <c r="I67" s="55" t="inlineStr">
        <is>
          <t>MELHORIAS</t>
        </is>
      </c>
      <c r="J67" s="133" t="n"/>
      <c r="K67" s="16" t="n"/>
      <c r="L67" s="17" t="n"/>
      <c r="M67" s="132">
        <f>DADOS_INVOC!$QK$2</f>
        <v/>
      </c>
      <c r="N67" s="123" t="n"/>
      <c r="O67" s="55" t="inlineStr">
        <is>
          <t>MELHORIAS</t>
        </is>
      </c>
      <c r="P67" s="133" t="n"/>
      <c r="Q67" s="16" t="n"/>
      <c r="R67" s="17" t="n"/>
      <c r="S67" s="132">
        <f>DADOS_INVOC!$QK$3</f>
        <v/>
      </c>
      <c r="T67" s="123" t="n"/>
      <c r="U67" s="55" t="inlineStr">
        <is>
          <t>MELHORIAS</t>
        </is>
      </c>
      <c r="V67" s="133" t="n"/>
      <c r="W67" s="16" t="n"/>
      <c r="X67" s="17" t="n"/>
      <c r="Y67" s="132">
        <f>DADOS_INVOC!$QK$4</f>
        <v/>
      </c>
      <c r="Z67" s="123" t="n"/>
      <c r="AB67" s="55" t="inlineStr">
        <is>
          <t>MELHORIAS</t>
        </is>
      </c>
      <c r="AC67" s="133" t="n"/>
      <c r="AD67" s="16" t="n"/>
      <c r="AE67" s="17" t="n"/>
      <c r="AF67" s="132">
        <f>DADOS_INVOC!$QK$80</f>
        <v/>
      </c>
      <c r="AG67" s="123" t="n"/>
      <c r="AH67" s="55" t="inlineStr">
        <is>
          <t>MELHORIAS</t>
        </is>
      </c>
      <c r="AI67" s="133" t="n"/>
      <c r="AJ67" s="16" t="n"/>
      <c r="AK67" s="17" t="n"/>
      <c r="AL67" s="132">
        <f>DADOS_INVOC!$QK$81</f>
        <v/>
      </c>
      <c r="AM67" s="123" t="n"/>
      <c r="AN67" s="55" t="inlineStr">
        <is>
          <t>MELHORIAS</t>
        </is>
      </c>
      <c r="AO67" s="133" t="n"/>
      <c r="AP67" s="16" t="n"/>
      <c r="AQ67" s="17" t="n"/>
      <c r="AR67" s="132">
        <f>DADOS_INVOC!$QK$82</f>
        <v/>
      </c>
      <c r="AS67" s="123" t="n"/>
    </row>
    <row r="68" hidden="1" outlineLevel="2">
      <c r="A68" s="8" t="n"/>
      <c r="B68" s="14" t="n"/>
      <c r="C68" s="123" t="n"/>
      <c r="D68" s="123" t="n"/>
      <c r="E68" s="123" t="n"/>
      <c r="F68" s="123" t="n"/>
      <c r="G68" s="123" t="n"/>
      <c r="I68" s="134" t="n"/>
      <c r="J68" s="133" t="n"/>
      <c r="K68" s="16" t="n"/>
      <c r="L68" s="17" t="n"/>
      <c r="M68" s="132">
        <f>DADOS_INVOC!$QL$2</f>
        <v/>
      </c>
      <c r="N68" s="123" t="n"/>
      <c r="O68" s="134" t="n"/>
      <c r="P68" s="133" t="n"/>
      <c r="Q68" s="16" t="n"/>
      <c r="R68" s="17" t="n"/>
      <c r="S68" s="132">
        <f>DADOS_INVOC!$QL$3</f>
        <v/>
      </c>
      <c r="T68" s="123" t="n"/>
      <c r="U68" s="134" t="n"/>
      <c r="V68" s="133" t="n"/>
      <c r="W68" s="16" t="n"/>
      <c r="X68" s="17" t="n"/>
      <c r="Y68" s="132">
        <f>DADOS_INVOC!$QL$4</f>
        <v/>
      </c>
      <c r="Z68" s="123" t="n"/>
      <c r="AB68" s="134" t="n"/>
      <c r="AC68" s="133" t="n"/>
      <c r="AD68" s="16" t="n"/>
      <c r="AE68" s="17" t="n"/>
      <c r="AF68" s="132">
        <f>DADOS_INVOC!$QL$80</f>
        <v/>
      </c>
      <c r="AG68" s="123" t="n"/>
      <c r="AH68" s="134" t="n"/>
      <c r="AI68" s="133" t="n"/>
      <c r="AJ68" s="16" t="n"/>
      <c r="AK68" s="17" t="n"/>
      <c r="AL68" s="132">
        <f>DADOS_INVOC!$QL$81</f>
        <v/>
      </c>
      <c r="AM68" s="123" t="n"/>
      <c r="AN68" s="134" t="n"/>
      <c r="AO68" s="133" t="n"/>
      <c r="AP68" s="16" t="n"/>
      <c r="AQ68" s="17" t="n"/>
      <c r="AR68" s="132">
        <f>DADOS_INVOC!$QL$82</f>
        <v/>
      </c>
      <c r="AS68" s="123" t="n"/>
    </row>
    <row r="69" hidden="1" outlineLevel="2">
      <c r="A69" s="8" t="n"/>
      <c r="B69" s="14" t="n"/>
      <c r="C69" s="123" t="n"/>
      <c r="D69" s="123" t="n"/>
      <c r="E69" s="123" t="n"/>
      <c r="F69" s="123" t="n"/>
      <c r="G69" s="123" t="n"/>
      <c r="I69" s="134" t="n"/>
      <c r="J69" s="133" t="n"/>
      <c r="K69" s="16" t="n"/>
      <c r="L69" s="17" t="n"/>
      <c r="M69" s="132">
        <f>DADOS_INVOC!$QM$2</f>
        <v/>
      </c>
      <c r="N69" s="123" t="n"/>
      <c r="O69" s="134" t="n"/>
      <c r="P69" s="133" t="n"/>
      <c r="Q69" s="16" t="n"/>
      <c r="R69" s="17" t="n"/>
      <c r="S69" s="132">
        <f>DADOS_INVOC!$QM$3</f>
        <v/>
      </c>
      <c r="T69" s="123" t="n"/>
      <c r="U69" s="134" t="n"/>
      <c r="V69" s="133" t="n"/>
      <c r="W69" s="16" t="n"/>
      <c r="X69" s="17" t="n"/>
      <c r="Y69" s="132">
        <f>DADOS_INVOC!$QM$4</f>
        <v/>
      </c>
      <c r="Z69" s="123" t="n"/>
      <c r="AB69" s="134" t="n"/>
      <c r="AC69" s="133" t="n"/>
      <c r="AD69" s="16" t="n"/>
      <c r="AE69" s="17" t="n"/>
      <c r="AF69" s="132">
        <f>DADOS_INVOC!$QM$80</f>
        <v/>
      </c>
      <c r="AG69" s="123" t="n"/>
      <c r="AH69" s="134" t="n"/>
      <c r="AI69" s="133" t="n"/>
      <c r="AJ69" s="16" t="n"/>
      <c r="AK69" s="17" t="n"/>
      <c r="AL69" s="132">
        <f>DADOS_INVOC!$QM$81</f>
        <v/>
      </c>
      <c r="AM69" s="123" t="n"/>
      <c r="AN69" s="134" t="n"/>
      <c r="AO69" s="133" t="n"/>
      <c r="AP69" s="16" t="n"/>
      <c r="AQ69" s="17" t="n"/>
      <c r="AR69" s="132">
        <f>DADOS_INVOC!$QM$82</f>
        <v/>
      </c>
      <c r="AS69" s="123" t="n"/>
    </row>
    <row r="70" hidden="1" outlineLevel="2">
      <c r="A70" s="8" t="n"/>
      <c r="B70" s="14" t="n"/>
      <c r="C70" s="123" t="n"/>
      <c r="D70" s="123" t="n"/>
      <c r="E70" s="123" t="n"/>
      <c r="F70" s="123" t="n"/>
      <c r="G70" s="123" t="n"/>
      <c r="I70" s="128" t="n"/>
      <c r="J70" s="133" t="n"/>
      <c r="K70" s="16" t="n"/>
      <c r="L70" s="17" t="n"/>
      <c r="M70" s="132">
        <f>DADOS_INVOC!$QN$2</f>
        <v/>
      </c>
      <c r="N70" s="123" t="n"/>
      <c r="O70" s="128" t="n"/>
      <c r="P70" s="133" t="n"/>
      <c r="Q70" s="16" t="n"/>
      <c r="R70" s="17" t="n"/>
      <c r="S70" s="132">
        <f>DADOS_INVOC!$QN$3</f>
        <v/>
      </c>
      <c r="T70" s="123" t="n"/>
      <c r="U70" s="128" t="n"/>
      <c r="V70" s="133" t="n"/>
      <c r="W70" s="16" t="n"/>
      <c r="X70" s="17" t="n"/>
      <c r="Y70" s="132">
        <f>DADOS_INVOC!$QN$4</f>
        <v/>
      </c>
      <c r="Z70" s="123" t="n"/>
      <c r="AB70" s="128" t="n"/>
      <c r="AC70" s="133" t="n"/>
      <c r="AD70" s="16" t="n"/>
      <c r="AE70" s="17" t="n"/>
      <c r="AF70" s="132">
        <f>DADOS_INVOC!$QN$80</f>
        <v/>
      </c>
      <c r="AG70" s="123" t="n"/>
      <c r="AH70" s="128" t="n"/>
      <c r="AI70" s="133" t="n"/>
      <c r="AJ70" s="16" t="n"/>
      <c r="AK70" s="17" t="n"/>
      <c r="AL70" s="132">
        <f>DADOS_INVOC!$QN$81</f>
        <v/>
      </c>
      <c r="AM70" s="123" t="n"/>
      <c r="AN70" s="128" t="n"/>
      <c r="AO70" s="133" t="n"/>
      <c r="AP70" s="16" t="n"/>
      <c r="AQ70" s="17" t="n"/>
      <c r="AR70" s="132">
        <f>DADOS_INVOC!$QN$82</f>
        <v/>
      </c>
      <c r="AS70" s="123" t="n"/>
    </row>
    <row r="71" hidden="1" outlineLevel="2">
      <c r="A71" s="8" t="n"/>
      <c r="B71" s="14" t="n"/>
      <c r="C71" s="123" t="n"/>
      <c r="D71" s="123" t="n"/>
      <c r="E71" s="123" t="n"/>
      <c r="F71" s="123" t="n"/>
      <c r="G71" s="123" t="n"/>
      <c r="I71" s="55" t="inlineStr">
        <is>
          <t>RESTRIÇÕES</t>
        </is>
      </c>
      <c r="J71" s="133" t="n"/>
      <c r="K71" s="16" t="n"/>
      <c r="L71" s="17" t="n"/>
      <c r="M71" s="132">
        <f>DADOS_INVOC!$QO$2</f>
        <v/>
      </c>
      <c r="N71" s="123" t="n"/>
      <c r="O71" s="55" t="inlineStr">
        <is>
          <t>RESTRIÇÕES</t>
        </is>
      </c>
      <c r="P71" s="133" t="n"/>
      <c r="Q71" s="16" t="n"/>
      <c r="R71" s="17" t="n"/>
      <c r="S71" s="132">
        <f>DADOS_INVOC!$QO$3</f>
        <v/>
      </c>
      <c r="T71" s="123" t="n"/>
      <c r="U71" s="55" t="inlineStr">
        <is>
          <t>RESTRIÇÕES</t>
        </is>
      </c>
      <c r="V71" s="133" t="n"/>
      <c r="W71" s="16" t="n"/>
      <c r="X71" s="17" t="n"/>
      <c r="Y71" s="132">
        <f>DADOS_INVOC!$QO$4</f>
        <v/>
      </c>
      <c r="Z71" s="123" t="n"/>
      <c r="AB71" s="55" t="inlineStr">
        <is>
          <t>RESTRIÇÕES</t>
        </is>
      </c>
      <c r="AC71" s="133" t="n"/>
      <c r="AD71" s="16" t="n"/>
      <c r="AE71" s="17" t="n"/>
      <c r="AF71" s="132">
        <f>DADOS_INVOC!$QO$80</f>
        <v/>
      </c>
      <c r="AG71" s="123" t="n"/>
      <c r="AH71" s="55" t="inlineStr">
        <is>
          <t>RESTRIÇÕES</t>
        </is>
      </c>
      <c r="AI71" s="133" t="n"/>
      <c r="AJ71" s="16" t="n"/>
      <c r="AK71" s="17" t="n"/>
      <c r="AL71" s="132">
        <f>DADOS_INVOC!$QO$81</f>
        <v/>
      </c>
      <c r="AM71" s="123" t="n"/>
      <c r="AN71" s="55" t="inlineStr">
        <is>
          <t>RESTRIÇÕES</t>
        </is>
      </c>
      <c r="AO71" s="133" t="n"/>
      <c r="AP71" s="16" t="n"/>
      <c r="AQ71" s="17" t="n"/>
      <c r="AR71" s="132">
        <f>DADOS_INVOC!$QO$82</f>
        <v/>
      </c>
      <c r="AS71" s="123" t="n"/>
    </row>
    <row r="72" hidden="1" outlineLevel="2">
      <c r="A72" s="8" t="n"/>
      <c r="B72" s="14" t="n"/>
      <c r="C72" s="123" t="n"/>
      <c r="D72" s="123" t="n"/>
      <c r="E72" s="123" t="n"/>
      <c r="F72" s="123" t="n"/>
      <c r="G72" s="123" t="n"/>
      <c r="I72" s="128" t="n"/>
      <c r="J72" s="133" t="n"/>
      <c r="K72" s="16" t="n"/>
      <c r="L72" s="17" t="n"/>
      <c r="M72" s="132">
        <f>DADOS_INVOC!$QP$2</f>
        <v/>
      </c>
      <c r="N72" s="123" t="n"/>
      <c r="O72" s="128" t="n"/>
      <c r="P72" s="133" t="n"/>
      <c r="Q72" s="16" t="n"/>
      <c r="R72" s="17" t="n"/>
      <c r="S72" s="132">
        <f>DADOS_INVOC!$QP$3</f>
        <v/>
      </c>
      <c r="T72" s="123" t="n"/>
      <c r="U72" s="128" t="n"/>
      <c r="V72" s="133" t="n"/>
      <c r="W72" s="16" t="n"/>
      <c r="X72" s="17" t="n"/>
      <c r="Y72" s="132">
        <f>DADOS_INVOC!$QP$4</f>
        <v/>
      </c>
      <c r="Z72" s="123" t="n"/>
      <c r="AB72" s="128" t="n"/>
      <c r="AC72" s="133" t="n"/>
      <c r="AD72" s="16" t="n"/>
      <c r="AE72" s="17" t="n"/>
      <c r="AF72" s="132">
        <f>DADOS_INVOC!$QP$80</f>
        <v/>
      </c>
      <c r="AG72" s="123" t="n"/>
      <c r="AH72" s="128" t="n"/>
      <c r="AI72" s="133" t="n"/>
      <c r="AJ72" s="16" t="n"/>
      <c r="AK72" s="17" t="n"/>
      <c r="AL72" s="132">
        <f>DADOS_INVOC!$QP$81</f>
        <v/>
      </c>
      <c r="AM72" s="123" t="n"/>
      <c r="AN72" s="128" t="n"/>
      <c r="AO72" s="133" t="n"/>
      <c r="AP72" s="16" t="n"/>
      <c r="AQ72" s="17" t="n"/>
      <c r="AR72" s="132">
        <f>DADOS_INVOC!$QP$82</f>
        <v/>
      </c>
      <c r="AS72" s="123" t="n"/>
    </row>
    <row r="73" hidden="1" outlineLevel="2">
      <c r="A73" s="8" t="n"/>
      <c r="B73" s="14" t="n"/>
      <c r="C73" s="123" t="n"/>
      <c r="D73" s="123" t="n"/>
      <c r="E73" s="123" t="n"/>
      <c r="F73" s="123" t="n"/>
      <c r="G73" s="123" t="n"/>
      <c r="I73" s="55" t="inlineStr">
        <is>
          <t>CONTA</t>
        </is>
      </c>
      <c r="J73" s="135">
        <f>DADOS_INVOC!$QI$2</f>
        <v/>
      </c>
      <c r="K73" s="16" t="n"/>
      <c r="L73" s="16" t="n"/>
      <c r="M73" s="17" t="n"/>
      <c r="N73" s="123" t="n"/>
      <c r="O73" s="55" t="inlineStr">
        <is>
          <t>CONTA</t>
        </is>
      </c>
      <c r="P73" s="135">
        <f>DADOS_INVOC!$QI$3</f>
        <v/>
      </c>
      <c r="Q73" s="16" t="n"/>
      <c r="R73" s="16" t="n"/>
      <c r="S73" s="17" t="n"/>
      <c r="T73" s="123" t="n"/>
      <c r="U73" s="55" t="inlineStr">
        <is>
          <t>CONTA</t>
        </is>
      </c>
      <c r="V73" s="135">
        <f>DADOS_INVOC!$QI$4</f>
        <v/>
      </c>
      <c r="W73" s="16" t="n"/>
      <c r="X73" s="16" t="n"/>
      <c r="Y73" s="17" t="n"/>
      <c r="Z73" s="123" t="n"/>
      <c r="AB73" s="55" t="inlineStr">
        <is>
          <t>CONTA</t>
        </is>
      </c>
      <c r="AC73" s="135">
        <f>DADOS_INVOC!$QI$80</f>
        <v/>
      </c>
      <c r="AD73" s="16" t="n"/>
      <c r="AE73" s="16" t="n"/>
      <c r="AF73" s="17" t="n"/>
      <c r="AG73" s="123" t="n"/>
      <c r="AH73" s="55" t="inlineStr">
        <is>
          <t>CONTA</t>
        </is>
      </c>
      <c r="AI73" s="135">
        <f>DADOS_INVOC!$QI$81</f>
        <v/>
      </c>
      <c r="AJ73" s="16" t="n"/>
      <c r="AK73" s="16" t="n"/>
      <c r="AL73" s="17" t="n"/>
      <c r="AM73" s="123" t="n"/>
      <c r="AN73" s="55" t="inlineStr">
        <is>
          <t>CONTA</t>
        </is>
      </c>
      <c r="AO73" s="135">
        <f>DADOS_INVOC!$QI$82</f>
        <v/>
      </c>
      <c r="AP73" s="16" t="n"/>
      <c r="AQ73" s="16" t="n"/>
      <c r="AR73" s="17" t="n"/>
      <c r="AS73" s="123" t="n"/>
    </row>
    <row r="74" hidden="1" outlineLevel="2">
      <c r="A74" s="8" t="n"/>
      <c r="B74" s="14" t="n"/>
      <c r="C74" s="123" t="n"/>
      <c r="D74" s="123" t="n"/>
      <c r="E74" s="123" t="n"/>
      <c r="F74" s="123" t="n"/>
      <c r="G74" s="123" t="n"/>
      <c r="I74" s="55" t="inlineStr">
        <is>
          <t>AMPLIAR</t>
        </is>
      </c>
      <c r="J74" s="135">
        <f>DADOS_INVOC!$QJ$2</f>
        <v/>
      </c>
      <c r="K74" s="19" t="n"/>
      <c r="L74" s="19" t="n"/>
      <c r="M74" s="20" t="n"/>
      <c r="N74" s="123" t="n"/>
      <c r="O74" s="55" t="inlineStr">
        <is>
          <t>AMPLIAR</t>
        </is>
      </c>
      <c r="P74" s="135">
        <f>DADOS_INVOC!$QJ$3</f>
        <v/>
      </c>
      <c r="Q74" s="19" t="n"/>
      <c r="R74" s="19" t="n"/>
      <c r="S74" s="20" t="n"/>
      <c r="T74" s="123" t="n"/>
      <c r="U74" s="55" t="inlineStr">
        <is>
          <t>AMPLIAR</t>
        </is>
      </c>
      <c r="V74" s="135">
        <f>DADOS_INVOC!$QJ$4</f>
        <v/>
      </c>
      <c r="W74" s="19" t="n"/>
      <c r="X74" s="19" t="n"/>
      <c r="Y74" s="20" t="n"/>
      <c r="Z74" s="123" t="n"/>
      <c r="AB74" s="55" t="inlineStr">
        <is>
          <t>AMPLIAR</t>
        </is>
      </c>
      <c r="AC74" s="135">
        <f>DADOS_INVOC!$QJ$80</f>
        <v/>
      </c>
      <c r="AD74" s="19" t="n"/>
      <c r="AE74" s="19" t="n"/>
      <c r="AF74" s="20" t="n"/>
      <c r="AG74" s="123" t="n"/>
      <c r="AH74" s="55" t="inlineStr">
        <is>
          <t>AMPLIAR</t>
        </is>
      </c>
      <c r="AI74" s="135">
        <f>DADOS_INVOC!$QJ$81</f>
        <v/>
      </c>
      <c r="AJ74" s="19" t="n"/>
      <c r="AK74" s="19" t="n"/>
      <c r="AL74" s="20" t="n"/>
      <c r="AM74" s="123" t="n"/>
      <c r="AN74" s="55" t="inlineStr">
        <is>
          <t>AMPLIAR</t>
        </is>
      </c>
      <c r="AO74" s="135">
        <f>DADOS_INVOC!$QJ$82</f>
        <v/>
      </c>
      <c r="AP74" s="19" t="n"/>
      <c r="AQ74" s="19" t="n"/>
      <c r="AR74" s="20" t="n"/>
      <c r="AS74" s="123" t="n"/>
    </row>
    <row r="75" hidden="1" outlineLevel="2">
      <c r="A75" s="8" t="n"/>
      <c r="B75" s="14" t="n"/>
      <c r="C75" s="123" t="n"/>
      <c r="D75" s="123" t="n"/>
      <c r="E75" s="123" t="n"/>
      <c r="F75" s="123" t="n"/>
      <c r="G75" s="123" t="n"/>
      <c r="I75" s="128" t="n"/>
      <c r="J75" s="23" t="n"/>
      <c r="K75" s="24" t="n"/>
      <c r="L75" s="24" t="n"/>
      <c r="M75" s="25" t="n"/>
      <c r="N75" s="123" t="n"/>
      <c r="O75" s="128" t="n"/>
      <c r="P75" s="23" t="n"/>
      <c r="Q75" s="24" t="n"/>
      <c r="R75" s="24" t="n"/>
      <c r="S75" s="25" t="n"/>
      <c r="T75" s="123" t="n"/>
      <c r="U75" s="128" t="n"/>
      <c r="V75" s="23" t="n"/>
      <c r="W75" s="24" t="n"/>
      <c r="X75" s="24" t="n"/>
      <c r="Y75" s="25" t="n"/>
      <c r="Z75" s="123" t="n"/>
      <c r="AB75" s="128" t="n"/>
      <c r="AC75" s="23" t="n"/>
      <c r="AD75" s="24" t="n"/>
      <c r="AE75" s="24" t="n"/>
      <c r="AF75" s="25" t="n"/>
      <c r="AG75" s="123" t="n"/>
      <c r="AH75" s="128" t="n"/>
      <c r="AI75" s="23" t="n"/>
      <c r="AJ75" s="24" t="n"/>
      <c r="AK75" s="24" t="n"/>
      <c r="AL75" s="25" t="n"/>
      <c r="AM75" s="123" t="n"/>
      <c r="AN75" s="128" t="n"/>
      <c r="AO75" s="23" t="n"/>
      <c r="AP75" s="24" t="n"/>
      <c r="AQ75" s="24" t="n"/>
      <c r="AR75" s="25" t="n"/>
      <c r="AS75" s="123" t="n"/>
    </row>
    <row r="76" hidden="1" outlineLevel="2">
      <c r="A76" s="8" t="n"/>
      <c r="B76" s="14" t="n"/>
      <c r="C76" s="123" t="n"/>
      <c r="D76" s="123" t="n"/>
      <c r="E76" s="123" t="n"/>
      <c r="F76" s="123" t="n"/>
      <c r="G76" s="123" t="n"/>
      <c r="I76" s="135">
        <f>DADOS_INVOC!$PW$2</f>
        <v/>
      </c>
      <c r="J76" s="19" t="n"/>
      <c r="K76" s="19" t="n"/>
      <c r="L76" s="19" t="n"/>
      <c r="M76" s="20" t="n"/>
      <c r="N76" s="123" t="n"/>
      <c r="O76" s="135">
        <f>DADOS_INVOC!$PW$3</f>
        <v/>
      </c>
      <c r="P76" s="19" t="n"/>
      <c r="Q76" s="19" t="n"/>
      <c r="R76" s="19" t="n"/>
      <c r="S76" s="20" t="n"/>
      <c r="T76" s="123" t="n"/>
      <c r="U76" s="135">
        <f>DADOS_INVOC!$PW$4</f>
        <v/>
      </c>
      <c r="V76" s="19" t="n"/>
      <c r="W76" s="19" t="n"/>
      <c r="X76" s="19" t="n"/>
      <c r="Y76" s="20" t="n"/>
      <c r="Z76" s="123" t="n"/>
      <c r="AB76" s="135">
        <f>DADOS_INVOC!$PW$80</f>
        <v/>
      </c>
      <c r="AC76" s="19" t="n"/>
      <c r="AD76" s="19" t="n"/>
      <c r="AE76" s="19" t="n"/>
      <c r="AF76" s="20" t="n"/>
      <c r="AG76" s="123" t="n"/>
      <c r="AH76" s="135">
        <f>DADOS_INVOC!$PW$81</f>
        <v/>
      </c>
      <c r="AI76" s="19" t="n"/>
      <c r="AJ76" s="19" t="n"/>
      <c r="AK76" s="19" t="n"/>
      <c r="AL76" s="20" t="n"/>
      <c r="AM76" s="123" t="n"/>
      <c r="AN76" s="135">
        <f>DADOS_INVOC!$PW$82</f>
        <v/>
      </c>
      <c r="AO76" s="19" t="n"/>
      <c r="AP76" s="19" t="n"/>
      <c r="AQ76" s="19" t="n"/>
      <c r="AR76" s="20" t="n"/>
      <c r="AS76" s="123" t="n"/>
    </row>
    <row r="77" hidden="1" outlineLevel="2">
      <c r="A77" s="8" t="n"/>
      <c r="B77" s="14" t="n"/>
      <c r="C77" s="123" t="n"/>
      <c r="D77" s="123" t="n"/>
      <c r="E77" s="123" t="n"/>
      <c r="F77" s="123" t="n"/>
      <c r="G77" s="123" t="n"/>
      <c r="I77" s="23" t="n"/>
      <c r="J77" s="24" t="n"/>
      <c r="K77" s="24" t="n"/>
      <c r="L77" s="24" t="n"/>
      <c r="M77" s="25" t="n"/>
      <c r="N77" s="123" t="n"/>
      <c r="O77" s="23" t="n"/>
      <c r="P77" s="24" t="n"/>
      <c r="Q77" s="24" t="n"/>
      <c r="R77" s="24" t="n"/>
      <c r="S77" s="25" t="n"/>
      <c r="T77" s="123" t="n"/>
      <c r="U77" s="23" t="n"/>
      <c r="V77" s="24" t="n"/>
      <c r="W77" s="24" t="n"/>
      <c r="X77" s="24" t="n"/>
      <c r="Y77" s="25" t="n"/>
      <c r="Z77" s="123" t="n"/>
      <c r="AB77" s="23" t="n"/>
      <c r="AC77" s="24" t="n"/>
      <c r="AD77" s="24" t="n"/>
      <c r="AE77" s="24" t="n"/>
      <c r="AF77" s="25" t="n"/>
      <c r="AG77" s="123" t="n"/>
      <c r="AH77" s="23" t="n"/>
      <c r="AI77" s="24" t="n"/>
      <c r="AJ77" s="24" t="n"/>
      <c r="AK77" s="24" t="n"/>
      <c r="AL77" s="25" t="n"/>
      <c r="AM77" s="123" t="n"/>
      <c r="AN77" s="23" t="n"/>
      <c r="AO77" s="24" t="n"/>
      <c r="AP77" s="24" t="n"/>
      <c r="AQ77" s="24" t="n"/>
      <c r="AR77" s="25" t="n"/>
      <c r="AS77" s="123" t="n"/>
    </row>
    <row r="78" outlineLevel="1">
      <c r="A78" s="8" t="n"/>
      <c r="B78" s="14" t="n"/>
      <c r="C78" s="123" t="n"/>
      <c r="D78" s="123" t="n"/>
      <c r="E78" s="123" t="n"/>
      <c r="F78" s="123" t="n"/>
      <c r="G78" s="123" t="n"/>
      <c r="I78" s="123" t="n"/>
      <c r="J78" s="123" t="n"/>
      <c r="K78" s="123" t="n"/>
      <c r="L78" s="123" t="n"/>
      <c r="M78" s="123" t="n"/>
      <c r="N78" s="123" t="n"/>
      <c r="O78" s="123" t="n"/>
      <c r="P78" s="123" t="n"/>
      <c r="Q78" s="123" t="n"/>
      <c r="R78" s="123" t="n"/>
      <c r="S78" s="123" t="n"/>
      <c r="T78" s="123" t="n"/>
      <c r="U78" s="123" t="n"/>
      <c r="V78" s="123" t="n"/>
      <c r="W78" s="123" t="n"/>
      <c r="X78" s="123" t="n"/>
      <c r="Y78" s="123" t="n"/>
      <c r="Z78" s="123" t="n"/>
      <c r="AB78" s="123" t="n"/>
      <c r="AC78" s="123" t="n"/>
      <c r="AD78" s="123" t="n"/>
      <c r="AE78" s="123" t="n"/>
      <c r="AF78" s="123" t="n"/>
      <c r="AG78" s="123" t="n"/>
      <c r="AH78" s="123" t="n"/>
      <c r="AI78" s="123" t="n"/>
      <c r="AJ78" s="123" t="n"/>
      <c r="AK78" s="123" t="n"/>
      <c r="AL78" s="123" t="n"/>
      <c r="AM78" s="123" t="n"/>
      <c r="AN78" s="123" t="n"/>
      <c r="AO78" s="123" t="n"/>
      <c r="AP78" s="123" t="n"/>
      <c r="AQ78" s="123" t="n"/>
      <c r="AR78" s="123" t="n"/>
      <c r="AS78" s="123" t="n"/>
    </row>
    <row r="79" outlineLevel="1">
      <c r="A79" s="8" t="n"/>
      <c r="B79" s="14" t="n"/>
      <c r="C79" s="123" t="n"/>
      <c r="D79" s="123" t="n"/>
      <c r="E79" s="123" t="n"/>
      <c r="F79" s="123" t="n"/>
      <c r="G79" s="123" t="n"/>
      <c r="I79" s="55">
        <f>DADOS_INVOC!$ID$2</f>
        <v/>
      </c>
      <c r="J79" s="16" t="n"/>
      <c r="K79" s="16" t="n"/>
      <c r="L79" s="16" t="n"/>
      <c r="M79" s="16" t="n"/>
      <c r="N79" s="16" t="n"/>
      <c r="O79" s="16" t="n"/>
      <c r="P79" s="16" t="n"/>
      <c r="Q79" s="16" t="n"/>
      <c r="R79" s="16" t="n"/>
      <c r="S79" s="16" t="n"/>
      <c r="T79" s="16" t="n"/>
      <c r="U79" s="16" t="n"/>
      <c r="V79" s="16" t="n"/>
      <c r="W79" s="16" t="n"/>
      <c r="X79" s="16" t="n"/>
      <c r="Y79" s="17" t="n"/>
      <c r="Z79" s="123" t="n"/>
      <c r="AB79" s="55">
        <f>DADOS_INVOC!$ID$8</f>
        <v/>
      </c>
      <c r="AC79" s="16" t="n"/>
      <c r="AD79" s="16" t="n"/>
      <c r="AE79" s="16" t="n"/>
      <c r="AF79" s="16" t="n"/>
      <c r="AG79" s="16" t="n"/>
      <c r="AH79" s="16" t="n"/>
      <c r="AI79" s="16" t="n"/>
      <c r="AJ79" s="16" t="n"/>
      <c r="AK79" s="16" t="n"/>
      <c r="AL79" s="16" t="n"/>
      <c r="AM79" s="16" t="n"/>
      <c r="AN79" s="16" t="n"/>
      <c r="AO79" s="16" t="n"/>
      <c r="AP79" s="16" t="n"/>
      <c r="AQ79" s="16" t="n"/>
      <c r="AR79" s="17" t="n"/>
      <c r="AS79" s="123" t="n"/>
    </row>
    <row r="80" outlineLevel="1">
      <c r="A80" s="8" t="n"/>
      <c r="B80" s="14" t="n"/>
      <c r="C80" s="123" t="n"/>
      <c r="D80" s="123" t="n"/>
      <c r="E80" s="123" t="n"/>
      <c r="F80" s="123" t="n"/>
      <c r="G80" s="123" t="n"/>
      <c r="I80" s="55" t="inlineStr">
        <is>
          <t>NV 1 · CE 1</t>
        </is>
      </c>
      <c r="J80" s="133" t="n"/>
      <c r="K80" s="16" t="n"/>
      <c r="L80" s="17" t="n"/>
      <c r="M80" s="140">
        <f>DADOS_INVOC!$IM$2</f>
        <v/>
      </c>
      <c r="N80" s="16" t="n"/>
      <c r="O80" s="16" t="n"/>
      <c r="P80" s="16" t="n"/>
      <c r="Q80" s="16" t="n"/>
      <c r="R80" s="16" t="n"/>
      <c r="S80" s="16" t="n"/>
      <c r="T80" s="16" t="n"/>
      <c r="U80" s="16" t="n"/>
      <c r="V80" s="16" t="n"/>
      <c r="W80" s="16" t="n"/>
      <c r="X80" s="16" t="n"/>
      <c r="Y80" s="17" t="n"/>
      <c r="Z80" s="123" t="n"/>
      <c r="AB80" s="55" t="inlineStr">
        <is>
          <t>NV 1 · CE 1</t>
        </is>
      </c>
      <c r="AC80" s="133" t="n"/>
      <c r="AD80" s="16" t="n"/>
      <c r="AE80" s="17" t="n"/>
      <c r="AF80" s="140">
        <f>DADOS_INVOC!$IM$8</f>
        <v/>
      </c>
      <c r="AG80" s="16" t="n"/>
      <c r="AH80" s="16" t="n"/>
      <c r="AI80" s="16" t="n"/>
      <c r="AJ80" s="16" t="n"/>
      <c r="AK80" s="16" t="n"/>
      <c r="AL80" s="16" t="n"/>
      <c r="AM80" s="16" t="n"/>
      <c r="AN80" s="16" t="n"/>
      <c r="AO80" s="16" t="n"/>
      <c r="AP80" s="16" t="n"/>
      <c r="AQ80" s="16" t="n"/>
      <c r="AR80" s="17" t="n"/>
      <c r="AS80" s="123" t="n"/>
    </row>
    <row r="81" outlineLevel="1">
      <c r="A81" s="8" t="n"/>
      <c r="B81" s="14" t="n"/>
      <c r="C81" s="123" t="n"/>
      <c r="D81" s="123" t="n"/>
      <c r="E81" s="123" t="n"/>
      <c r="F81" s="123" t="n"/>
      <c r="G81" s="123" t="n"/>
      <c r="I81" s="55" t="inlineStr">
        <is>
          <t>NV 6 · CE 1</t>
        </is>
      </c>
      <c r="J81" s="133" t="n"/>
      <c r="K81" s="16" t="n"/>
      <c r="L81" s="17" t="n"/>
      <c r="M81" s="140">
        <f>DADOS_INVOC!$IN$2</f>
        <v/>
      </c>
      <c r="N81" s="16" t="n"/>
      <c r="O81" s="16" t="n"/>
      <c r="P81" s="16" t="n"/>
      <c r="Q81" s="16" t="n"/>
      <c r="R81" s="16" t="n"/>
      <c r="S81" s="16" t="n"/>
      <c r="T81" s="16" t="n"/>
      <c r="U81" s="16" t="n"/>
      <c r="V81" s="16" t="n"/>
      <c r="W81" s="16" t="n"/>
      <c r="X81" s="16" t="n"/>
      <c r="Y81" s="17" t="n"/>
      <c r="Z81" s="123" t="n"/>
      <c r="AB81" s="55" t="inlineStr">
        <is>
          <t>NV 6 · CE 1</t>
        </is>
      </c>
      <c r="AC81" s="133" t="n"/>
      <c r="AD81" s="16" t="n"/>
      <c r="AE81" s="17" t="n"/>
      <c r="AF81" s="140">
        <f>DADOS_INVOC!$IN$8</f>
        <v/>
      </c>
      <c r="AG81" s="16" t="n"/>
      <c r="AH81" s="16" t="n"/>
      <c r="AI81" s="16" t="n"/>
      <c r="AJ81" s="16" t="n"/>
      <c r="AK81" s="16" t="n"/>
      <c r="AL81" s="16" t="n"/>
      <c r="AM81" s="16" t="n"/>
      <c r="AN81" s="16" t="n"/>
      <c r="AO81" s="16" t="n"/>
      <c r="AP81" s="16" t="n"/>
      <c r="AQ81" s="16" t="n"/>
      <c r="AR81" s="17" t="n"/>
      <c r="AS81" s="123" t="n"/>
    </row>
    <row r="82" outlineLevel="1">
      <c r="A82" s="8" t="n"/>
      <c r="B82" s="14" t="n"/>
      <c r="C82" s="123" t="n"/>
      <c r="D82" s="123" t="n"/>
      <c r="E82" s="123" t="n"/>
      <c r="F82" s="123" t="n"/>
      <c r="G82" s="123" t="n"/>
      <c r="I82" s="55" t="inlineStr">
        <is>
          <t>NV 10 · CE 2</t>
        </is>
      </c>
      <c r="J82" s="133" t="n"/>
      <c r="K82" s="16" t="n"/>
      <c r="L82" s="17" t="n"/>
      <c r="M82" s="140">
        <f>DADOS_INVOC!$IO$2</f>
        <v/>
      </c>
      <c r="N82" s="16" t="n"/>
      <c r="O82" s="16" t="n"/>
      <c r="P82" s="16" t="n"/>
      <c r="Q82" s="16" t="n"/>
      <c r="R82" s="16" t="n"/>
      <c r="S82" s="16" t="n"/>
      <c r="T82" s="16" t="n"/>
      <c r="U82" s="16" t="n"/>
      <c r="V82" s="16" t="n"/>
      <c r="W82" s="16" t="n"/>
      <c r="X82" s="16" t="n"/>
      <c r="Y82" s="17" t="n"/>
      <c r="Z82" s="123" t="n"/>
      <c r="AB82" s="55" t="inlineStr">
        <is>
          <t>NV 10 · CE 2</t>
        </is>
      </c>
      <c r="AC82" s="133" t="n"/>
      <c r="AD82" s="16" t="n"/>
      <c r="AE82" s="17" t="n"/>
      <c r="AF82" s="140">
        <f>DADOS_INVOC!$IO$8</f>
        <v/>
      </c>
      <c r="AG82" s="16" t="n"/>
      <c r="AH82" s="16" t="n"/>
      <c r="AI82" s="16" t="n"/>
      <c r="AJ82" s="16" t="n"/>
      <c r="AK82" s="16" t="n"/>
      <c r="AL82" s="16" t="n"/>
      <c r="AM82" s="16" t="n"/>
      <c r="AN82" s="16" t="n"/>
      <c r="AO82" s="16" t="n"/>
      <c r="AP82" s="16" t="n"/>
      <c r="AQ82" s="16" t="n"/>
      <c r="AR82" s="17" t="n"/>
      <c r="AS82" s="123" t="n"/>
    </row>
    <row r="83" outlineLevel="1">
      <c r="A83" s="8" t="n"/>
      <c r="B83" s="14" t="n"/>
      <c r="C83" s="123" t="n"/>
      <c r="D83" s="123" t="n"/>
      <c r="E83" s="123" t="n"/>
      <c r="F83" s="123" t="n"/>
      <c r="G83" s="123" t="n"/>
      <c r="I83" s="55" t="inlineStr">
        <is>
          <t>NV 14 · CE 3</t>
        </is>
      </c>
      <c r="J83" s="133" t="n"/>
      <c r="K83" s="16" t="n"/>
      <c r="L83" s="17" t="n"/>
      <c r="M83" s="140">
        <f>DADOS_INVOC!$IP$2</f>
        <v/>
      </c>
      <c r="N83" s="16" t="n"/>
      <c r="O83" s="16" t="n"/>
      <c r="P83" s="16" t="n"/>
      <c r="Q83" s="16" t="n"/>
      <c r="R83" s="16" t="n"/>
      <c r="S83" s="16" t="n"/>
      <c r="T83" s="16" t="n"/>
      <c r="U83" s="16" t="n"/>
      <c r="V83" s="16" t="n"/>
      <c r="W83" s="16" t="n"/>
      <c r="X83" s="16" t="n"/>
      <c r="Y83" s="17" t="n"/>
      <c r="Z83" s="123" t="n"/>
      <c r="AB83" s="55" t="inlineStr">
        <is>
          <t>NV 14 · CE 3</t>
        </is>
      </c>
      <c r="AC83" s="133" t="n"/>
      <c r="AD83" s="16" t="n"/>
      <c r="AE83" s="17" t="n"/>
      <c r="AF83" s="140">
        <f>DADOS_INVOC!$IP$8</f>
        <v/>
      </c>
      <c r="AG83" s="16" t="n"/>
      <c r="AH83" s="16" t="n"/>
      <c r="AI83" s="16" t="n"/>
      <c r="AJ83" s="16" t="n"/>
      <c r="AK83" s="16" t="n"/>
      <c r="AL83" s="16" t="n"/>
      <c r="AM83" s="16" t="n"/>
      <c r="AN83" s="16" t="n"/>
      <c r="AO83" s="16" t="n"/>
      <c r="AP83" s="16" t="n"/>
      <c r="AQ83" s="16" t="n"/>
      <c r="AR83" s="17" t="n"/>
      <c r="AS83" s="123" t="n"/>
    </row>
    <row r="84" outlineLevel="1">
      <c r="A84" s="8" t="n"/>
      <c r="B84" s="14" t="n"/>
      <c r="C84" s="123" t="n"/>
      <c r="D84" s="123" t="n"/>
      <c r="E84" s="123" t="n"/>
      <c r="F84" s="123" t="n"/>
      <c r="G84" s="123" t="n"/>
      <c r="I84" s="55" t="inlineStr">
        <is>
          <t>NV 18 · CE 3</t>
        </is>
      </c>
      <c r="J84" s="133" t="n"/>
      <c r="K84" s="16" t="n"/>
      <c r="L84" s="17" t="n"/>
      <c r="M84" s="140">
        <f>DADOS_INVOC!$IQ$2</f>
        <v/>
      </c>
      <c r="N84" s="16" t="n"/>
      <c r="O84" s="16" t="n"/>
      <c r="P84" s="16" t="n"/>
      <c r="Q84" s="16" t="n"/>
      <c r="R84" s="16" t="n"/>
      <c r="S84" s="16" t="n"/>
      <c r="T84" s="16" t="n"/>
      <c r="U84" s="16" t="n"/>
      <c r="V84" s="16" t="n"/>
      <c r="W84" s="16" t="n"/>
      <c r="X84" s="16" t="n"/>
      <c r="Y84" s="17" t="n"/>
      <c r="Z84" s="123" t="n"/>
      <c r="AB84" s="55" t="inlineStr">
        <is>
          <t>NV 18 · CE 3</t>
        </is>
      </c>
      <c r="AC84" s="133" t="n"/>
      <c r="AD84" s="16" t="n"/>
      <c r="AE84" s="17" t="n"/>
      <c r="AF84" s="140">
        <f>DADOS_INVOC!$IQ$8</f>
        <v/>
      </c>
      <c r="AG84" s="16" t="n"/>
      <c r="AH84" s="16" t="n"/>
      <c r="AI84" s="16" t="n"/>
      <c r="AJ84" s="16" t="n"/>
      <c r="AK84" s="16" t="n"/>
      <c r="AL84" s="16" t="n"/>
      <c r="AM84" s="16" t="n"/>
      <c r="AN84" s="16" t="n"/>
      <c r="AO84" s="16" t="n"/>
      <c r="AP84" s="16" t="n"/>
      <c r="AQ84" s="16" t="n"/>
      <c r="AR84" s="17" t="n"/>
      <c r="AS84" s="123" t="n"/>
    </row>
    <row r="85" outlineLevel="1">
      <c r="A85" s="8" t="n"/>
      <c r="B85" s="14" t="n"/>
      <c r="C85" s="123" t="n"/>
      <c r="D85" s="123" t="n"/>
      <c r="E85" s="123" t="n"/>
      <c r="F85" s="123" t="n"/>
      <c r="G85" s="123" t="n"/>
      <c r="I85" s="55" t="inlineStr">
        <is>
          <t>NV 22 · CE 3</t>
        </is>
      </c>
      <c r="J85" s="133" t="n"/>
      <c r="K85" s="16" t="n"/>
      <c r="L85" s="17" t="n"/>
      <c r="M85" s="140">
        <f>DADOS_INVOC!$IR$2</f>
        <v/>
      </c>
      <c r="N85" s="16" t="n"/>
      <c r="O85" s="16" t="n"/>
      <c r="P85" s="16" t="n"/>
      <c r="Q85" s="16" t="n"/>
      <c r="R85" s="16" t="n"/>
      <c r="S85" s="16" t="n"/>
      <c r="T85" s="16" t="n"/>
      <c r="U85" s="16" t="n"/>
      <c r="V85" s="16" t="n"/>
      <c r="W85" s="16" t="n"/>
      <c r="X85" s="16" t="n"/>
      <c r="Y85" s="17" t="n"/>
      <c r="Z85" s="123" t="n"/>
      <c r="AB85" s="55" t="inlineStr">
        <is>
          <t>NV 22 · CE 3</t>
        </is>
      </c>
      <c r="AC85" s="133" t="n"/>
      <c r="AD85" s="16" t="n"/>
      <c r="AE85" s="17" t="n"/>
      <c r="AF85" s="140">
        <f>DADOS_INVOC!$IR$8</f>
        <v/>
      </c>
      <c r="AG85" s="16" t="n"/>
      <c r="AH85" s="16" t="n"/>
      <c r="AI85" s="16" t="n"/>
      <c r="AJ85" s="16" t="n"/>
      <c r="AK85" s="16" t="n"/>
      <c r="AL85" s="16" t="n"/>
      <c r="AM85" s="16" t="n"/>
      <c r="AN85" s="16" t="n"/>
      <c r="AO85" s="16" t="n"/>
      <c r="AP85" s="16" t="n"/>
      <c r="AQ85" s="16" t="n"/>
      <c r="AR85" s="17" t="n"/>
      <c r="AS85" s="123" t="n"/>
    </row>
    <row r="86" outlineLevel="1">
      <c r="A86" s="8" t="n"/>
      <c r="B86" s="14" t="n"/>
      <c r="C86" s="123" t="n"/>
      <c r="D86" s="123" t="n"/>
      <c r="E86" s="123" t="n"/>
      <c r="F86" s="123" t="n"/>
      <c r="G86" s="123" t="n"/>
      <c r="I86" s="55" t="inlineStr">
        <is>
          <t>NV 26 · CE 3</t>
        </is>
      </c>
      <c r="J86" s="133" t="n"/>
      <c r="K86" s="16" t="n"/>
      <c r="L86" s="17" t="n"/>
      <c r="M86" s="140">
        <f>DADOS_INVOC!$IS$2</f>
        <v/>
      </c>
      <c r="N86" s="16" t="n"/>
      <c r="O86" s="16" t="n"/>
      <c r="P86" s="16" t="n"/>
      <c r="Q86" s="16" t="n"/>
      <c r="R86" s="16" t="n"/>
      <c r="S86" s="16" t="n"/>
      <c r="T86" s="16" t="n"/>
      <c r="U86" s="16" t="n"/>
      <c r="V86" s="16" t="n"/>
      <c r="W86" s="16" t="n"/>
      <c r="X86" s="16" t="n"/>
      <c r="Y86" s="17" t="n"/>
      <c r="Z86" s="123" t="n"/>
      <c r="AB86" s="55" t="inlineStr">
        <is>
          <t>NV 26 · CE 3</t>
        </is>
      </c>
      <c r="AC86" s="133" t="n"/>
      <c r="AD86" s="16" t="n"/>
      <c r="AE86" s="17" t="n"/>
      <c r="AF86" s="140">
        <f>DADOS_INVOC!$IS$8</f>
        <v/>
      </c>
      <c r="AG86" s="16" t="n"/>
      <c r="AH86" s="16" t="n"/>
      <c r="AI86" s="16" t="n"/>
      <c r="AJ86" s="16" t="n"/>
      <c r="AK86" s="16" t="n"/>
      <c r="AL86" s="16" t="n"/>
      <c r="AM86" s="16" t="n"/>
      <c r="AN86" s="16" t="n"/>
      <c r="AO86" s="16" t="n"/>
      <c r="AP86" s="16" t="n"/>
      <c r="AQ86" s="16" t="n"/>
      <c r="AR86" s="17" t="n"/>
      <c r="AS86" s="123" t="n"/>
    </row>
    <row r="87" outlineLevel="1">
      <c r="A87" s="8" t="n"/>
      <c r="B87" s="14" t="n"/>
      <c r="C87" s="123" t="n"/>
      <c r="D87" s="123" t="n"/>
      <c r="E87" s="123" t="n"/>
      <c r="F87" s="123" t="n"/>
      <c r="G87" s="123" t="n"/>
      <c r="I87" s="55" t="inlineStr">
        <is>
          <t>NV 30 · CE 3</t>
        </is>
      </c>
      <c r="J87" s="133" t="n"/>
      <c r="K87" s="16" t="n"/>
      <c r="L87" s="17" t="n"/>
      <c r="M87" s="140">
        <f>DADOS_INVOC!$IT$2</f>
        <v/>
      </c>
      <c r="N87" s="16" t="n"/>
      <c r="O87" s="16" t="n"/>
      <c r="P87" s="16" t="n"/>
      <c r="Q87" s="16" t="n"/>
      <c r="R87" s="16" t="n"/>
      <c r="S87" s="16" t="n"/>
      <c r="T87" s="16" t="n"/>
      <c r="U87" s="16" t="n"/>
      <c r="V87" s="16" t="n"/>
      <c r="W87" s="16" t="n"/>
      <c r="X87" s="16" t="n"/>
      <c r="Y87" s="17" t="n"/>
      <c r="Z87" s="123" t="n"/>
      <c r="AB87" s="55" t="inlineStr">
        <is>
          <t>NV 30 · CE 3</t>
        </is>
      </c>
      <c r="AC87" s="133" t="n"/>
      <c r="AD87" s="16" t="n"/>
      <c r="AE87" s="17" t="n"/>
      <c r="AF87" s="140">
        <f>DADOS_INVOC!$IT$8</f>
        <v/>
      </c>
      <c r="AG87" s="16" t="n"/>
      <c r="AH87" s="16" t="n"/>
      <c r="AI87" s="16" t="n"/>
      <c r="AJ87" s="16" t="n"/>
      <c r="AK87" s="16" t="n"/>
      <c r="AL87" s="16" t="n"/>
      <c r="AM87" s="16" t="n"/>
      <c r="AN87" s="16" t="n"/>
      <c r="AO87" s="16" t="n"/>
      <c r="AP87" s="16" t="n"/>
      <c r="AQ87" s="16" t="n"/>
      <c r="AR87" s="17" t="n"/>
      <c r="AS87" s="123" t="n"/>
    </row>
    <row r="88" outlineLevel="1">
      <c r="A88" s="8" t="n"/>
      <c r="B88" s="14" t="n"/>
      <c r="C88" s="123" t="n"/>
      <c r="D88" s="123" t="n"/>
      <c r="E88" s="123" t="n"/>
      <c r="F88" s="123" t="n"/>
      <c r="G88" s="123" t="n"/>
      <c r="I88" s="123" t="n"/>
      <c r="J88" s="123" t="n"/>
      <c r="K88" s="123" t="n"/>
      <c r="L88" s="123" t="n"/>
      <c r="M88" s="123" t="n"/>
      <c r="N88" s="123" t="n"/>
      <c r="O88" s="123" t="n"/>
      <c r="P88" s="123" t="n"/>
      <c r="Q88" s="123" t="n"/>
      <c r="R88" s="123" t="n"/>
      <c r="S88" s="123" t="n"/>
      <c r="T88" s="123" t="n"/>
      <c r="U88" s="123" t="n"/>
      <c r="V88" s="123" t="n"/>
      <c r="W88" s="123" t="n"/>
      <c r="X88" s="123" t="n"/>
      <c r="Y88" s="123" t="n"/>
      <c r="Z88" s="123" t="n"/>
      <c r="AB88" s="123" t="n"/>
      <c r="AC88" s="123" t="n"/>
      <c r="AD88" s="123" t="n"/>
      <c r="AE88" s="123" t="n"/>
      <c r="AF88" s="123" t="n"/>
      <c r="AG88" s="123" t="n"/>
      <c r="AH88" s="123" t="n"/>
      <c r="AI88" s="123" t="n"/>
      <c r="AJ88" s="123" t="n"/>
      <c r="AK88" s="123" t="n"/>
      <c r="AL88" s="123" t="n"/>
      <c r="AM88" s="123" t="n"/>
      <c r="AN88" s="123" t="n"/>
      <c r="AO88" s="123" t="n"/>
      <c r="AP88" s="123" t="n"/>
      <c r="AQ88" s="123" t="n"/>
      <c r="AR88" s="123" t="n"/>
      <c r="AS88" s="123" t="n"/>
    </row>
    <row r="89" outlineLevel="1">
      <c r="A89" s="8" t="n"/>
      <c r="B89" s="14" t="n"/>
      <c r="C89" s="123" t="n"/>
      <c r="D89" s="123" t="n"/>
      <c r="E89" s="123" t="n"/>
      <c r="F89" s="123" t="n"/>
      <c r="G89" s="123" t="n"/>
      <c r="I89" s="136"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23" t="n"/>
      <c r="AB89" s="136"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23" t="n"/>
    </row>
    <row r="90" hidden="1" outlineLevel="2">
      <c r="A90" s="8" t="n"/>
      <c r="B90" s="14" t="n"/>
      <c r="C90" s="123" t="n"/>
      <c r="D90" s="123" t="n"/>
      <c r="E90" s="123" t="n"/>
      <c r="F90" s="123" t="n"/>
      <c r="G90" s="123" t="n"/>
      <c r="I90" s="123" t="n"/>
      <c r="J90" s="123" t="n"/>
      <c r="K90" s="123" t="n"/>
      <c r="L90" s="123" t="n"/>
      <c r="M90" s="123" t="n"/>
      <c r="N90" s="123" t="n"/>
      <c r="O90" s="123" t="n"/>
      <c r="P90" s="123" t="n"/>
      <c r="Q90" s="123" t="n"/>
      <c r="R90" s="123" t="n"/>
      <c r="S90" s="123" t="n"/>
      <c r="T90" s="123" t="n"/>
      <c r="U90" s="123" t="n"/>
      <c r="V90" s="123" t="n"/>
      <c r="W90" s="123" t="n"/>
      <c r="X90" s="123" t="n"/>
      <c r="Y90" s="123" t="n"/>
      <c r="Z90" s="123" t="n"/>
      <c r="AB90" s="123" t="n"/>
      <c r="AC90" s="123" t="n"/>
      <c r="AD90" s="123" t="n"/>
      <c r="AE90" s="123" t="n"/>
      <c r="AF90" s="123" t="n"/>
      <c r="AG90" s="123" t="n"/>
      <c r="AH90" s="123" t="n"/>
      <c r="AI90" s="123" t="n"/>
      <c r="AJ90" s="123" t="n"/>
      <c r="AK90" s="123" t="n"/>
      <c r="AL90" s="123" t="n"/>
      <c r="AM90" s="123" t="n"/>
      <c r="AN90" s="123" t="n"/>
      <c r="AO90" s="123" t="n"/>
      <c r="AP90" s="123" t="n"/>
      <c r="AQ90" s="123" t="n"/>
      <c r="AR90" s="123" t="n"/>
      <c r="AS90" s="123" t="n"/>
    </row>
    <row r="91" hidden="1" outlineLevel="2">
      <c r="A91" s="8" t="n"/>
      <c r="B91" s="14" t="n"/>
      <c r="C91" s="123" t="n"/>
      <c r="D91" s="123" t="n"/>
      <c r="E91" s="123" t="n"/>
      <c r="F91" s="123" t="n"/>
      <c r="G91" s="123" t="n"/>
      <c r="I91" s="55">
        <f>DADOS_INVOC!$PX$5</f>
        <v/>
      </c>
      <c r="J91" s="16" t="n"/>
      <c r="K91" s="16" t="n"/>
      <c r="L91" s="16" t="n"/>
      <c r="M91" s="17" t="n"/>
      <c r="N91" s="123" t="n"/>
      <c r="O91" s="55">
        <f>DADOS_INVOC!$PX$6</f>
        <v/>
      </c>
      <c r="P91" s="16" t="n"/>
      <c r="Q91" s="16" t="n"/>
      <c r="R91" s="16" t="n"/>
      <c r="S91" s="17" t="n"/>
      <c r="T91" s="123" t="n"/>
      <c r="U91" s="55">
        <f>DADOS_INVOC!$PX$7</f>
        <v/>
      </c>
      <c r="V91" s="16" t="n"/>
      <c r="W91" s="16" t="n"/>
      <c r="X91" s="16" t="n"/>
      <c r="Y91" s="17" t="n"/>
      <c r="Z91" s="123" t="n"/>
      <c r="AB91" s="55">
        <f>DADOS_INVOC!$PX$83</f>
        <v/>
      </c>
      <c r="AC91" s="16" t="n"/>
      <c r="AD91" s="16" t="n"/>
      <c r="AE91" s="16" t="n"/>
      <c r="AF91" s="17" t="n"/>
      <c r="AG91" s="123" t="n"/>
      <c r="AH91" s="55">
        <f>DADOS_INVOC!$PX$84</f>
        <v/>
      </c>
      <c r="AI91" s="16" t="n"/>
      <c r="AJ91" s="16" t="n"/>
      <c r="AK91" s="16" t="n"/>
      <c r="AL91" s="17" t="n"/>
      <c r="AM91" s="123" t="n"/>
      <c r="AN91" s="55">
        <f>DADOS_INVOC!$PX$85</f>
        <v/>
      </c>
      <c r="AO91" s="16" t="n"/>
      <c r="AP91" s="16" t="n"/>
      <c r="AQ91" s="16" t="n"/>
      <c r="AR91" s="17" t="n"/>
      <c r="AS91" s="123" t="n"/>
    </row>
    <row r="92" hidden="1" outlineLevel="2">
      <c r="A92" s="8" t="n"/>
      <c r="B92" s="14" t="n"/>
      <c r="C92" s="123" t="n"/>
      <c r="D92" s="123" t="n"/>
      <c r="E92" s="123" t="n"/>
      <c r="F92" s="123" t="n"/>
      <c r="G92" s="123" t="n"/>
      <c r="I92" s="130" t="n">
        <v>0</v>
      </c>
      <c r="J92" s="118" t="n"/>
      <c r="K92" s="16" t="n"/>
      <c r="L92" s="17" t="n"/>
      <c r="M92" s="131">
        <f>DADOS_INVOC!$PV$5</f>
        <v/>
      </c>
      <c r="N92" s="123" t="n"/>
      <c r="O92" s="130" t="n">
        <v>1</v>
      </c>
      <c r="P92" s="118" t="n"/>
      <c r="Q92" s="16" t="n"/>
      <c r="R92" s="17" t="n"/>
      <c r="S92" s="131">
        <f>DADOS_INVOC!$PV$6</f>
        <v/>
      </c>
      <c r="T92" s="123" t="n"/>
      <c r="U92" s="130" t="n">
        <v>1</v>
      </c>
      <c r="V92" s="118" t="n"/>
      <c r="W92" s="16" t="n"/>
      <c r="X92" s="17" t="n"/>
      <c r="Y92" s="131">
        <f>DADOS_INVOC!$PV$7</f>
        <v/>
      </c>
      <c r="Z92" s="123" t="n"/>
      <c r="AB92" s="130" t="n">
        <v>0</v>
      </c>
      <c r="AC92" s="118" t="n"/>
      <c r="AD92" s="16" t="n"/>
      <c r="AE92" s="17" t="n"/>
      <c r="AF92" s="131">
        <f>DADOS_INVOC!$PV$83</f>
        <v/>
      </c>
      <c r="AG92" s="123" t="n"/>
      <c r="AH92" s="130" t="n">
        <v>1</v>
      </c>
      <c r="AI92" s="118" t="n"/>
      <c r="AJ92" s="16" t="n"/>
      <c r="AK92" s="17" t="n"/>
      <c r="AL92" s="131">
        <f>DADOS_INVOC!$PV$84</f>
        <v/>
      </c>
      <c r="AM92" s="123" t="n"/>
      <c r="AN92" s="130" t="n">
        <v>1</v>
      </c>
      <c r="AO92" s="118" t="n"/>
      <c r="AP92" s="16" t="n"/>
      <c r="AQ92" s="17" t="n"/>
      <c r="AR92" s="131">
        <f>DADOS_INVOC!$PV$85</f>
        <v/>
      </c>
      <c r="AS92" s="123" t="n"/>
    </row>
    <row r="93" hidden="1" outlineLevel="3">
      <c r="A93" s="8" t="n"/>
      <c r="B93" s="14" t="n"/>
      <c r="C93" s="123" t="n"/>
      <c r="D93" s="123" t="n"/>
      <c r="E93" s="123" t="n"/>
      <c r="F93" s="123" t="n"/>
      <c r="G93" s="123" t="n"/>
      <c r="I93" s="55" t="inlineStr">
        <is>
          <t>COMO É</t>
        </is>
      </c>
      <c r="J93" s="16" t="n"/>
      <c r="K93" s="16" t="n"/>
      <c r="L93" s="16" t="n"/>
      <c r="M93" s="17" t="n"/>
      <c r="N93" s="123" t="n"/>
      <c r="O93" s="55" t="inlineStr">
        <is>
          <t>COMO É</t>
        </is>
      </c>
      <c r="P93" s="16" t="n"/>
      <c r="Q93" s="16" t="n"/>
      <c r="R93" s="16" t="n"/>
      <c r="S93" s="17" t="n"/>
      <c r="T93" s="123" t="n"/>
      <c r="U93" s="55" t="inlineStr">
        <is>
          <t>COMO É</t>
        </is>
      </c>
      <c r="V93" s="16" t="n"/>
      <c r="W93" s="16" t="n"/>
      <c r="X93" s="16" t="n"/>
      <c r="Y93" s="17" t="n"/>
      <c r="Z93" s="123" t="n"/>
      <c r="AB93" s="55" t="inlineStr">
        <is>
          <t>COMO É</t>
        </is>
      </c>
      <c r="AC93" s="16" t="n"/>
      <c r="AD93" s="16" t="n"/>
      <c r="AE93" s="16" t="n"/>
      <c r="AF93" s="17" t="n"/>
      <c r="AG93" s="123" t="n"/>
      <c r="AH93" s="55" t="inlineStr">
        <is>
          <t>COMO É</t>
        </is>
      </c>
      <c r="AI93" s="16" t="n"/>
      <c r="AJ93" s="16" t="n"/>
      <c r="AK93" s="16" t="n"/>
      <c r="AL93" s="17" t="n"/>
      <c r="AM93" s="123" t="n"/>
      <c r="AN93" s="55" t="inlineStr">
        <is>
          <t>COMO É</t>
        </is>
      </c>
      <c r="AO93" s="16" t="n"/>
      <c r="AP93" s="16" t="n"/>
      <c r="AQ93" s="16" t="n"/>
      <c r="AR93" s="17" t="n"/>
      <c r="AS93" s="123" t="n"/>
    </row>
    <row r="94" hidden="1" outlineLevel="3">
      <c r="A94" s="8" t="n"/>
      <c r="B94" s="14" t="n"/>
      <c r="C94" s="123" t="n"/>
      <c r="D94" s="123" t="n"/>
      <c r="E94" s="123" t="n"/>
      <c r="F94" s="123" t="n"/>
      <c r="G94" s="123" t="n"/>
      <c r="I94" s="119" t="n"/>
      <c r="J94" s="19" t="n"/>
      <c r="K94" s="19" t="n"/>
      <c r="L94" s="19" t="n"/>
      <c r="M94" s="20" t="n"/>
      <c r="N94" s="123" t="n"/>
      <c r="O94" s="119" t="n"/>
      <c r="P94" s="19" t="n"/>
      <c r="Q94" s="19" t="n"/>
      <c r="R94" s="19" t="n"/>
      <c r="S94" s="20" t="n"/>
      <c r="T94" s="123" t="n"/>
      <c r="U94" s="119" t="n"/>
      <c r="V94" s="19" t="n"/>
      <c r="W94" s="19" t="n"/>
      <c r="X94" s="19" t="n"/>
      <c r="Y94" s="20" t="n"/>
      <c r="Z94" s="123" t="n"/>
      <c r="AB94" s="119" t="n"/>
      <c r="AC94" s="19" t="n"/>
      <c r="AD94" s="19" t="n"/>
      <c r="AE94" s="19" t="n"/>
      <c r="AF94" s="20" t="n"/>
      <c r="AG94" s="123" t="n"/>
      <c r="AH94" s="119" t="n"/>
      <c r="AI94" s="19" t="n"/>
      <c r="AJ94" s="19" t="n"/>
      <c r="AK94" s="19" t="n"/>
      <c r="AL94" s="20" t="n"/>
      <c r="AM94" s="123" t="n"/>
      <c r="AN94" s="119" t="n"/>
      <c r="AO94" s="19" t="n"/>
      <c r="AP94" s="19" t="n"/>
      <c r="AQ94" s="19" t="n"/>
      <c r="AR94" s="20" t="n"/>
      <c r="AS94" s="123" t="n"/>
    </row>
    <row r="95" hidden="1" outlineLevel="3">
      <c r="A95" s="8" t="n"/>
      <c r="B95" s="14" t="n"/>
      <c r="C95" s="123" t="n"/>
      <c r="D95" s="123" t="n"/>
      <c r="E95" s="123" t="n"/>
      <c r="F95" s="123" t="n"/>
      <c r="G95" s="123" t="n"/>
      <c r="I95" s="21" t="n"/>
      <c r="M95" s="22" t="n"/>
      <c r="N95" s="123" t="n"/>
      <c r="O95" s="21" t="n"/>
      <c r="S95" s="22" t="n"/>
      <c r="T95" s="123" t="n"/>
      <c r="U95" s="21" t="n"/>
      <c r="Y95" s="22" t="n"/>
      <c r="Z95" s="123" t="n"/>
      <c r="AB95" s="21" t="n"/>
      <c r="AF95" s="22" t="n"/>
      <c r="AG95" s="123" t="n"/>
      <c r="AH95" s="21" t="n"/>
      <c r="AL95" s="22" t="n"/>
      <c r="AM95" s="123" t="n"/>
      <c r="AN95" s="21" t="n"/>
      <c r="AR95" s="22" t="n"/>
      <c r="AS95" s="123" t="n"/>
    </row>
    <row r="96" hidden="1" outlineLevel="3">
      <c r="A96" s="8" t="n"/>
      <c r="B96" s="14" t="n"/>
      <c r="C96" s="123" t="n"/>
      <c r="D96" s="123" t="n"/>
      <c r="E96" s="123" t="n"/>
      <c r="F96" s="123" t="n"/>
      <c r="G96" s="123" t="n"/>
      <c r="I96" s="23" t="n"/>
      <c r="J96" s="24" t="n"/>
      <c r="K96" s="24" t="n"/>
      <c r="L96" s="24" t="n"/>
      <c r="M96" s="25" t="n"/>
      <c r="N96" s="123" t="n"/>
      <c r="O96" s="23" t="n"/>
      <c r="P96" s="24" t="n"/>
      <c r="Q96" s="24" t="n"/>
      <c r="R96" s="24" t="n"/>
      <c r="S96" s="25" t="n"/>
      <c r="T96" s="123" t="n"/>
      <c r="U96" s="23" t="n"/>
      <c r="V96" s="24" t="n"/>
      <c r="W96" s="24" t="n"/>
      <c r="X96" s="24" t="n"/>
      <c r="Y96" s="25" t="n"/>
      <c r="Z96" s="123" t="n"/>
      <c r="AB96" s="23" t="n"/>
      <c r="AC96" s="24" t="n"/>
      <c r="AD96" s="24" t="n"/>
      <c r="AE96" s="24" t="n"/>
      <c r="AF96" s="25" t="n"/>
      <c r="AG96" s="123" t="n"/>
      <c r="AH96" s="23" t="n"/>
      <c r="AI96" s="24" t="n"/>
      <c r="AJ96" s="24" t="n"/>
      <c r="AK96" s="24" t="n"/>
      <c r="AL96" s="25" t="n"/>
      <c r="AM96" s="123" t="n"/>
      <c r="AN96" s="23" t="n"/>
      <c r="AO96" s="24" t="n"/>
      <c r="AP96" s="24" t="n"/>
      <c r="AQ96" s="24" t="n"/>
      <c r="AR96" s="25" t="n"/>
      <c r="AS96" s="123" t="n"/>
    </row>
    <row r="97" hidden="1" outlineLevel="2">
      <c r="A97" s="8" t="n"/>
      <c r="B97" s="14" t="n"/>
      <c r="C97" s="123" t="n"/>
      <c r="D97" s="123" t="n"/>
      <c r="E97" s="123" t="n"/>
      <c r="F97" s="123" t="n"/>
      <c r="G97" s="123" t="n"/>
      <c r="I97" s="127" t="inlineStr">
        <is>
          <t>Projétil</t>
        </is>
      </c>
      <c r="J97" s="17" t="n"/>
      <c r="K97" s="68">
        <f>DADOS_INVOC!$QC$5</f>
        <v/>
      </c>
      <c r="L97" s="17" t="n"/>
      <c r="M97" s="68">
        <f>DADOS_INVOC!$PY$5</f>
        <v/>
      </c>
      <c r="N97" s="123" t="n"/>
      <c r="O97" s="127" t="inlineStr">
        <is>
          <t>Projétil</t>
        </is>
      </c>
      <c r="P97" s="17" t="n"/>
      <c r="Q97" s="68">
        <f>DADOS_INVOC!$QC$6</f>
        <v/>
      </c>
      <c r="R97" s="17" t="n"/>
      <c r="S97" s="68">
        <f>DADOS_INVOC!$PY$6</f>
        <v/>
      </c>
      <c r="T97" s="123" t="n"/>
      <c r="U97" s="127" t="inlineStr">
        <is>
          <t>Projétil</t>
        </is>
      </c>
      <c r="V97" s="17" t="n"/>
      <c r="W97" s="68">
        <f>DADOS_INVOC!$QC$7</f>
        <v/>
      </c>
      <c r="X97" s="17" t="n"/>
      <c r="Y97" s="68">
        <f>DADOS_INVOC!$PY$7</f>
        <v/>
      </c>
      <c r="Z97" s="123" t="n"/>
      <c r="AB97" s="127" t="inlineStr">
        <is>
          <t>Projétil</t>
        </is>
      </c>
      <c r="AC97" s="17" t="n"/>
      <c r="AD97" s="68">
        <f>DADOS_INVOC!$QC$83</f>
        <v/>
      </c>
      <c r="AE97" s="17" t="n"/>
      <c r="AF97" s="68">
        <f>DADOS_INVOC!$PY$83</f>
        <v/>
      </c>
      <c r="AG97" s="123" t="n"/>
      <c r="AH97" s="127" t="inlineStr">
        <is>
          <t>Projétil</t>
        </is>
      </c>
      <c r="AI97" s="17" t="n"/>
      <c r="AJ97" s="68">
        <f>DADOS_INVOC!$QC$84</f>
        <v/>
      </c>
      <c r="AK97" s="17" t="n"/>
      <c r="AL97" s="68">
        <f>DADOS_INVOC!$PY$84</f>
        <v/>
      </c>
      <c r="AM97" s="123" t="n"/>
      <c r="AN97" s="127" t="inlineStr">
        <is>
          <t>Projétil</t>
        </is>
      </c>
      <c r="AO97" s="17" t="n"/>
      <c r="AP97" s="68">
        <f>DADOS_INVOC!$QC$85</f>
        <v/>
      </c>
      <c r="AQ97" s="17" t="n"/>
      <c r="AR97" s="68">
        <f>DADOS_INVOC!$PY$85</f>
        <v/>
      </c>
      <c r="AS97" s="123" t="n"/>
    </row>
    <row r="98" hidden="1" outlineLevel="2">
      <c r="A98" s="8" t="n"/>
      <c r="B98" s="14" t="n"/>
      <c r="C98" s="123" t="n"/>
      <c r="D98" s="123" t="n"/>
      <c r="E98" s="123" t="n"/>
      <c r="F98" s="123" t="n"/>
      <c r="G98" s="123" t="n"/>
      <c r="I98" s="127" t="n"/>
      <c r="J98" s="17" t="n"/>
      <c r="K98" s="127" t="n"/>
      <c r="L98" s="16" t="n"/>
      <c r="M98" s="17" t="n"/>
      <c r="N98" s="123" t="n"/>
      <c r="O98" s="127" t="n"/>
      <c r="P98" s="17" t="n"/>
      <c r="Q98" s="127" t="n"/>
      <c r="R98" s="16" t="n"/>
      <c r="S98" s="17" t="n"/>
      <c r="T98" s="123" t="n"/>
      <c r="U98" s="127" t="n"/>
      <c r="V98" s="17" t="n"/>
      <c r="W98" s="127" t="n"/>
      <c r="X98" s="16" t="n"/>
      <c r="Y98" s="17" t="n"/>
      <c r="Z98" s="123" t="n"/>
      <c r="AB98" s="127" t="n"/>
      <c r="AC98" s="17" t="n"/>
      <c r="AD98" s="127" t="n"/>
      <c r="AE98" s="16" t="n"/>
      <c r="AF98" s="17" t="n"/>
      <c r="AG98" s="123" t="n"/>
      <c r="AH98" s="127" t="n"/>
      <c r="AI98" s="17" t="n"/>
      <c r="AJ98" s="127" t="n"/>
      <c r="AK98" s="16" t="n"/>
      <c r="AL98" s="17" t="n"/>
      <c r="AM98" s="123" t="n"/>
      <c r="AN98" s="127" t="n"/>
      <c r="AO98" s="17" t="n"/>
      <c r="AP98" s="127" t="n"/>
      <c r="AQ98" s="16" t="n"/>
      <c r="AR98" s="17" t="n"/>
      <c r="AS98" s="123" t="n"/>
    </row>
    <row r="99" hidden="1" outlineLevel="2">
      <c r="A99" s="8" t="n"/>
      <c r="B99" s="14" t="n"/>
      <c r="C99" s="123" t="n"/>
      <c r="D99" s="123" t="n"/>
      <c r="E99" s="123" t="n"/>
      <c r="F99" s="123" t="n"/>
      <c r="G99" s="123" t="n"/>
      <c r="I99" s="127">
        <f>DADOS_INVOC!$PZ$5</f>
        <v/>
      </c>
      <c r="J99" s="17" t="n"/>
      <c r="K99" s="127">
        <f>DADOS_INVOC!$QB$5</f>
        <v/>
      </c>
      <c r="L99" s="16" t="n"/>
      <c r="M99" s="17" t="n"/>
      <c r="N99" s="123" t="n"/>
      <c r="O99" s="127">
        <f>DADOS_INVOC!$PZ$6</f>
        <v/>
      </c>
      <c r="P99" s="17" t="n"/>
      <c r="Q99" s="127">
        <f>DADOS_INVOC!$QB$6</f>
        <v/>
      </c>
      <c r="R99" s="16" t="n"/>
      <c r="S99" s="17" t="n"/>
      <c r="T99" s="123" t="n"/>
      <c r="U99" s="127">
        <f>DADOS_INVOC!$PZ$7</f>
        <v/>
      </c>
      <c r="V99" s="17" t="n"/>
      <c r="W99" s="127">
        <f>DADOS_INVOC!$QB$7</f>
        <v/>
      </c>
      <c r="X99" s="16" t="n"/>
      <c r="Y99" s="17" t="n"/>
      <c r="Z99" s="123" t="n"/>
      <c r="AB99" s="127">
        <f>DADOS_INVOC!$PZ$83</f>
        <v/>
      </c>
      <c r="AC99" s="17" t="n"/>
      <c r="AD99" s="127">
        <f>DADOS_INVOC!$QB$83</f>
        <v/>
      </c>
      <c r="AE99" s="16" t="n"/>
      <c r="AF99" s="17" t="n"/>
      <c r="AG99" s="123" t="n"/>
      <c r="AH99" s="127">
        <f>DADOS_INVOC!$PZ$84</f>
        <v/>
      </c>
      <c r="AI99" s="17" t="n"/>
      <c r="AJ99" s="127">
        <f>DADOS_INVOC!$QB$84</f>
        <v/>
      </c>
      <c r="AK99" s="16" t="n"/>
      <c r="AL99" s="17" t="n"/>
      <c r="AM99" s="123" t="n"/>
      <c r="AN99" s="127">
        <f>DADOS_INVOC!$PZ$85</f>
        <v/>
      </c>
      <c r="AO99" s="17" t="n"/>
      <c r="AP99" s="127">
        <f>DADOS_INVOC!$QB$85</f>
        <v/>
      </c>
      <c r="AQ99" s="16" t="n"/>
      <c r="AR99" s="17" t="n"/>
      <c r="AS99" s="123" t="n"/>
    </row>
    <row r="100" hidden="1" outlineLevel="2">
      <c r="A100" s="8" t="n"/>
      <c r="B100" s="14" t="n"/>
      <c r="C100" s="123" t="n"/>
      <c r="D100" s="123" t="n"/>
      <c r="E100" s="123" t="n"/>
      <c r="F100" s="123" t="n"/>
      <c r="G100" s="123" t="n"/>
      <c r="I100" s="132">
        <f>DADOS_INVOC!$QH$5</f>
        <v/>
      </c>
      <c r="J100" s="16" t="n"/>
      <c r="K100" s="16" t="n"/>
      <c r="L100" s="16" t="n"/>
      <c r="M100" s="17" t="n"/>
      <c r="N100" s="123" t="n"/>
      <c r="O100" s="132">
        <f>DADOS_INVOC!$QH$6</f>
        <v/>
      </c>
      <c r="P100" s="16" t="n"/>
      <c r="Q100" s="16" t="n"/>
      <c r="R100" s="16" t="n"/>
      <c r="S100" s="17" t="n"/>
      <c r="T100" s="123" t="n"/>
      <c r="U100" s="132">
        <f>DADOS_INVOC!$QH$7</f>
        <v/>
      </c>
      <c r="V100" s="16" t="n"/>
      <c r="W100" s="16" t="n"/>
      <c r="X100" s="16" t="n"/>
      <c r="Y100" s="17" t="n"/>
      <c r="Z100" s="123" t="n"/>
      <c r="AB100" s="132">
        <f>DADOS_INVOC!$QH$83</f>
        <v/>
      </c>
      <c r="AC100" s="16" t="n"/>
      <c r="AD100" s="16" t="n"/>
      <c r="AE100" s="16" t="n"/>
      <c r="AF100" s="17" t="n"/>
      <c r="AG100" s="123" t="n"/>
      <c r="AH100" s="132">
        <f>DADOS_INVOC!$QH$84</f>
        <v/>
      </c>
      <c r="AI100" s="16" t="n"/>
      <c r="AJ100" s="16" t="n"/>
      <c r="AK100" s="16" t="n"/>
      <c r="AL100" s="17" t="n"/>
      <c r="AM100" s="123" t="n"/>
      <c r="AN100" s="132">
        <f>DADOS_INVOC!$QH$85</f>
        <v/>
      </c>
      <c r="AO100" s="16" t="n"/>
      <c r="AP100" s="16" t="n"/>
      <c r="AQ100" s="16" t="n"/>
      <c r="AR100" s="17" t="n"/>
      <c r="AS100" s="123" t="n"/>
    </row>
    <row r="101" hidden="1" outlineLevel="3">
      <c r="A101" s="8" t="n"/>
      <c r="B101" s="14" t="n"/>
      <c r="C101" s="123" t="n"/>
      <c r="D101" s="123" t="n"/>
      <c r="E101" s="123" t="n"/>
      <c r="F101" s="123" t="n"/>
      <c r="G101" s="123" t="n"/>
      <c r="I101" s="55" t="inlineStr">
        <is>
          <t>MELHORIAS</t>
        </is>
      </c>
      <c r="J101" s="133" t="n"/>
      <c r="K101" s="16" t="n"/>
      <c r="L101" s="17" t="n"/>
      <c r="M101" s="132">
        <f>DADOS_INVOC!$QK$5</f>
        <v/>
      </c>
      <c r="N101" s="123" t="n"/>
      <c r="O101" s="55" t="inlineStr">
        <is>
          <t>MELHORIAS</t>
        </is>
      </c>
      <c r="P101" s="133" t="n"/>
      <c r="Q101" s="16" t="n"/>
      <c r="R101" s="17" t="n"/>
      <c r="S101" s="132">
        <f>DADOS_INVOC!$QK$6</f>
        <v/>
      </c>
      <c r="T101" s="123" t="n"/>
      <c r="U101" s="55" t="inlineStr">
        <is>
          <t>MELHORIAS</t>
        </is>
      </c>
      <c r="V101" s="133" t="n"/>
      <c r="W101" s="16" t="n"/>
      <c r="X101" s="17" t="n"/>
      <c r="Y101" s="132">
        <f>DADOS_INVOC!$QK$7</f>
        <v/>
      </c>
      <c r="Z101" s="123" t="n"/>
      <c r="AB101" s="55" t="inlineStr">
        <is>
          <t>MELHORIAS</t>
        </is>
      </c>
      <c r="AC101" s="133" t="n"/>
      <c r="AD101" s="16" t="n"/>
      <c r="AE101" s="17" t="n"/>
      <c r="AF101" s="132">
        <f>DADOS_INVOC!$QK$83</f>
        <v/>
      </c>
      <c r="AG101" s="123" t="n"/>
      <c r="AH101" s="55" t="inlineStr">
        <is>
          <t>MELHORIAS</t>
        </is>
      </c>
      <c r="AI101" s="133" t="n"/>
      <c r="AJ101" s="16" t="n"/>
      <c r="AK101" s="17" t="n"/>
      <c r="AL101" s="132">
        <f>DADOS_INVOC!$QK$84</f>
        <v/>
      </c>
      <c r="AM101" s="123" t="n"/>
      <c r="AN101" s="55" t="inlineStr">
        <is>
          <t>MELHORIAS</t>
        </is>
      </c>
      <c r="AO101" s="133" t="n"/>
      <c r="AP101" s="16" t="n"/>
      <c r="AQ101" s="17" t="n"/>
      <c r="AR101" s="132">
        <f>DADOS_INVOC!$QK$85</f>
        <v/>
      </c>
      <c r="AS101" s="123" t="n"/>
    </row>
    <row r="102" hidden="1" outlineLevel="3">
      <c r="A102" s="8" t="n"/>
      <c r="B102" s="14" t="n"/>
      <c r="C102" s="123" t="n"/>
      <c r="D102" s="123" t="n"/>
      <c r="E102" s="123" t="n"/>
      <c r="F102" s="123" t="n"/>
      <c r="G102" s="123" t="n"/>
      <c r="I102" s="134" t="n"/>
      <c r="J102" s="133" t="n"/>
      <c r="K102" s="16" t="n"/>
      <c r="L102" s="17" t="n"/>
      <c r="M102" s="132">
        <f>DADOS_INVOC!$QL$5</f>
        <v/>
      </c>
      <c r="N102" s="123" t="n"/>
      <c r="O102" s="134" t="n"/>
      <c r="P102" s="133" t="n"/>
      <c r="Q102" s="16" t="n"/>
      <c r="R102" s="17" t="n"/>
      <c r="S102" s="132">
        <f>DADOS_INVOC!$QL$6</f>
        <v/>
      </c>
      <c r="T102" s="123" t="n"/>
      <c r="U102" s="134" t="n"/>
      <c r="V102" s="133" t="n"/>
      <c r="W102" s="16" t="n"/>
      <c r="X102" s="17" t="n"/>
      <c r="Y102" s="132">
        <f>DADOS_INVOC!$QL$7</f>
        <v/>
      </c>
      <c r="Z102" s="123" t="n"/>
      <c r="AB102" s="134" t="n"/>
      <c r="AC102" s="133" t="n"/>
      <c r="AD102" s="16" t="n"/>
      <c r="AE102" s="17" t="n"/>
      <c r="AF102" s="132">
        <f>DADOS_INVOC!$QL$83</f>
        <v/>
      </c>
      <c r="AG102" s="123" t="n"/>
      <c r="AH102" s="134" t="n"/>
      <c r="AI102" s="133" t="n"/>
      <c r="AJ102" s="16" t="n"/>
      <c r="AK102" s="17" t="n"/>
      <c r="AL102" s="132">
        <f>DADOS_INVOC!$QL$84</f>
        <v/>
      </c>
      <c r="AM102" s="123" t="n"/>
      <c r="AN102" s="134" t="n"/>
      <c r="AO102" s="133" t="n"/>
      <c r="AP102" s="16" t="n"/>
      <c r="AQ102" s="17" t="n"/>
      <c r="AR102" s="132">
        <f>DADOS_INVOC!$QL$85</f>
        <v/>
      </c>
      <c r="AS102" s="123" t="n"/>
    </row>
    <row r="103" hidden="1" outlineLevel="3">
      <c r="A103" s="8" t="n"/>
      <c r="B103" s="14" t="n"/>
      <c r="C103" s="123" t="n"/>
      <c r="D103" s="123" t="n"/>
      <c r="E103" s="123" t="n"/>
      <c r="F103" s="123" t="n"/>
      <c r="G103" s="123" t="n"/>
      <c r="I103" s="134" t="n"/>
      <c r="J103" s="133" t="n"/>
      <c r="K103" s="16" t="n"/>
      <c r="L103" s="17" t="n"/>
      <c r="M103" s="132">
        <f>DADOS_INVOC!$QM$5</f>
        <v/>
      </c>
      <c r="N103" s="123" t="n"/>
      <c r="O103" s="134" t="n"/>
      <c r="P103" s="133" t="n"/>
      <c r="Q103" s="16" t="n"/>
      <c r="R103" s="17" t="n"/>
      <c r="S103" s="132">
        <f>DADOS_INVOC!$QM$6</f>
        <v/>
      </c>
      <c r="T103" s="123" t="n"/>
      <c r="U103" s="134" t="n"/>
      <c r="V103" s="133" t="n"/>
      <c r="W103" s="16" t="n"/>
      <c r="X103" s="17" t="n"/>
      <c r="Y103" s="132">
        <f>DADOS_INVOC!$QM$7</f>
        <v/>
      </c>
      <c r="Z103" s="123" t="n"/>
      <c r="AB103" s="134" t="n"/>
      <c r="AC103" s="133" t="n"/>
      <c r="AD103" s="16" t="n"/>
      <c r="AE103" s="17" t="n"/>
      <c r="AF103" s="132">
        <f>DADOS_INVOC!$QM$83</f>
        <v/>
      </c>
      <c r="AG103" s="123" t="n"/>
      <c r="AH103" s="134" t="n"/>
      <c r="AI103" s="133" t="n"/>
      <c r="AJ103" s="16" t="n"/>
      <c r="AK103" s="17" t="n"/>
      <c r="AL103" s="132">
        <f>DADOS_INVOC!$QM$84</f>
        <v/>
      </c>
      <c r="AM103" s="123" t="n"/>
      <c r="AN103" s="134" t="n"/>
      <c r="AO103" s="133" t="n"/>
      <c r="AP103" s="16" t="n"/>
      <c r="AQ103" s="17" t="n"/>
      <c r="AR103" s="132">
        <f>DADOS_INVOC!$QM$85</f>
        <v/>
      </c>
      <c r="AS103" s="123" t="n"/>
    </row>
    <row r="104" hidden="1" outlineLevel="3">
      <c r="A104" s="8" t="n"/>
      <c r="B104" s="14" t="n"/>
      <c r="C104" s="123" t="n"/>
      <c r="D104" s="123" t="n"/>
      <c r="E104" s="123" t="n"/>
      <c r="F104" s="123" t="n"/>
      <c r="G104" s="123" t="n"/>
      <c r="I104" s="128" t="n"/>
      <c r="J104" s="133" t="n"/>
      <c r="K104" s="16" t="n"/>
      <c r="L104" s="17" t="n"/>
      <c r="M104" s="132">
        <f>DADOS_INVOC!$QN$5</f>
        <v/>
      </c>
      <c r="N104" s="123" t="n"/>
      <c r="O104" s="128" t="n"/>
      <c r="P104" s="133" t="n"/>
      <c r="Q104" s="16" t="n"/>
      <c r="R104" s="17" t="n"/>
      <c r="S104" s="132">
        <f>DADOS_INVOC!$QN$6</f>
        <v/>
      </c>
      <c r="T104" s="123" t="n"/>
      <c r="U104" s="128" t="n"/>
      <c r="V104" s="133" t="n"/>
      <c r="W104" s="16" t="n"/>
      <c r="X104" s="17" t="n"/>
      <c r="Y104" s="132">
        <f>DADOS_INVOC!$QN$7</f>
        <v/>
      </c>
      <c r="Z104" s="123" t="n"/>
      <c r="AB104" s="128" t="n"/>
      <c r="AC104" s="133" t="n"/>
      <c r="AD104" s="16" t="n"/>
      <c r="AE104" s="17" t="n"/>
      <c r="AF104" s="132">
        <f>DADOS_INVOC!$QN$83</f>
        <v/>
      </c>
      <c r="AG104" s="123" t="n"/>
      <c r="AH104" s="128" t="n"/>
      <c r="AI104" s="133" t="n"/>
      <c r="AJ104" s="16" t="n"/>
      <c r="AK104" s="17" t="n"/>
      <c r="AL104" s="132">
        <f>DADOS_INVOC!$QN$84</f>
        <v/>
      </c>
      <c r="AM104" s="123" t="n"/>
      <c r="AN104" s="128" t="n"/>
      <c r="AO104" s="133" t="n"/>
      <c r="AP104" s="16" t="n"/>
      <c r="AQ104" s="17" t="n"/>
      <c r="AR104" s="132">
        <f>DADOS_INVOC!$QN$85</f>
        <v/>
      </c>
      <c r="AS104" s="123" t="n"/>
    </row>
    <row r="105" hidden="1" outlineLevel="3">
      <c r="A105" s="8" t="n"/>
      <c r="B105" s="14" t="n"/>
      <c r="C105" s="123" t="n"/>
      <c r="D105" s="123" t="n"/>
      <c r="E105" s="123" t="n"/>
      <c r="F105" s="123" t="n"/>
      <c r="G105" s="123" t="n"/>
      <c r="I105" s="55" t="inlineStr">
        <is>
          <t>RESTRIÇÕES</t>
        </is>
      </c>
      <c r="J105" s="133" t="n"/>
      <c r="K105" s="16" t="n"/>
      <c r="L105" s="17" t="n"/>
      <c r="M105" s="132">
        <f>DADOS_INVOC!$QO$5</f>
        <v/>
      </c>
      <c r="N105" s="123" t="n"/>
      <c r="O105" s="55" t="inlineStr">
        <is>
          <t>RESTRIÇÕES</t>
        </is>
      </c>
      <c r="P105" s="133" t="n"/>
      <c r="Q105" s="16" t="n"/>
      <c r="R105" s="17" t="n"/>
      <c r="S105" s="132">
        <f>DADOS_INVOC!$QO$6</f>
        <v/>
      </c>
      <c r="T105" s="123" t="n"/>
      <c r="U105" s="55" t="inlineStr">
        <is>
          <t>RESTRIÇÕES</t>
        </is>
      </c>
      <c r="V105" s="133" t="n"/>
      <c r="W105" s="16" t="n"/>
      <c r="X105" s="17" t="n"/>
      <c r="Y105" s="132">
        <f>DADOS_INVOC!$QO$7</f>
        <v/>
      </c>
      <c r="Z105" s="123" t="n"/>
      <c r="AB105" s="55" t="inlineStr">
        <is>
          <t>RESTRIÇÕES</t>
        </is>
      </c>
      <c r="AC105" s="133" t="n"/>
      <c r="AD105" s="16" t="n"/>
      <c r="AE105" s="17" t="n"/>
      <c r="AF105" s="132">
        <f>DADOS_INVOC!$QO$83</f>
        <v/>
      </c>
      <c r="AG105" s="123" t="n"/>
      <c r="AH105" s="55" t="inlineStr">
        <is>
          <t>RESTRIÇÕES</t>
        </is>
      </c>
      <c r="AI105" s="133" t="n"/>
      <c r="AJ105" s="16" t="n"/>
      <c r="AK105" s="17" t="n"/>
      <c r="AL105" s="132">
        <f>DADOS_INVOC!$QO$84</f>
        <v/>
      </c>
      <c r="AM105" s="123" t="n"/>
      <c r="AN105" s="55" t="inlineStr">
        <is>
          <t>RESTRIÇÕES</t>
        </is>
      </c>
      <c r="AO105" s="133" t="n"/>
      <c r="AP105" s="16" t="n"/>
      <c r="AQ105" s="17" t="n"/>
      <c r="AR105" s="132">
        <f>DADOS_INVOC!$QO$85</f>
        <v/>
      </c>
      <c r="AS105" s="123" t="n"/>
    </row>
    <row r="106" hidden="1" outlineLevel="3">
      <c r="A106" s="8" t="n"/>
      <c r="B106" s="14" t="n"/>
      <c r="C106" s="123" t="n"/>
      <c r="D106" s="123" t="n"/>
      <c r="E106" s="123" t="n"/>
      <c r="F106" s="123" t="n"/>
      <c r="G106" s="123" t="n"/>
      <c r="I106" s="128" t="n"/>
      <c r="J106" s="133" t="n"/>
      <c r="K106" s="16" t="n"/>
      <c r="L106" s="17" t="n"/>
      <c r="M106" s="132">
        <f>DADOS_INVOC!$QP$5</f>
        <v/>
      </c>
      <c r="N106" s="123" t="n"/>
      <c r="O106" s="128" t="n"/>
      <c r="P106" s="133" t="n"/>
      <c r="Q106" s="16" t="n"/>
      <c r="R106" s="17" t="n"/>
      <c r="S106" s="132">
        <f>DADOS_INVOC!$QP$6</f>
        <v/>
      </c>
      <c r="T106" s="123" t="n"/>
      <c r="U106" s="128" t="n"/>
      <c r="V106" s="133" t="n"/>
      <c r="W106" s="16" t="n"/>
      <c r="X106" s="17" t="n"/>
      <c r="Y106" s="132">
        <f>DADOS_INVOC!$QP$7</f>
        <v/>
      </c>
      <c r="Z106" s="123" t="n"/>
      <c r="AB106" s="128" t="n"/>
      <c r="AC106" s="133" t="n"/>
      <c r="AD106" s="16" t="n"/>
      <c r="AE106" s="17" t="n"/>
      <c r="AF106" s="132">
        <f>DADOS_INVOC!$QP$83</f>
        <v/>
      </c>
      <c r="AG106" s="123" t="n"/>
      <c r="AH106" s="128" t="n"/>
      <c r="AI106" s="133" t="n"/>
      <c r="AJ106" s="16" t="n"/>
      <c r="AK106" s="17" t="n"/>
      <c r="AL106" s="132">
        <f>DADOS_INVOC!$QP$84</f>
        <v/>
      </c>
      <c r="AM106" s="123" t="n"/>
      <c r="AN106" s="128" t="n"/>
      <c r="AO106" s="133" t="n"/>
      <c r="AP106" s="16" t="n"/>
      <c r="AQ106" s="17" t="n"/>
      <c r="AR106" s="132">
        <f>DADOS_INVOC!$QP$85</f>
        <v/>
      </c>
      <c r="AS106" s="123" t="n"/>
    </row>
    <row r="107" hidden="1" outlineLevel="3">
      <c r="A107" s="8" t="n"/>
      <c r="B107" s="14" t="n"/>
      <c r="C107" s="123" t="n"/>
      <c r="D107" s="123" t="n"/>
      <c r="E107" s="123" t="n"/>
      <c r="F107" s="123" t="n"/>
      <c r="G107" s="123" t="n"/>
      <c r="I107" s="55" t="inlineStr">
        <is>
          <t>CONTA</t>
        </is>
      </c>
      <c r="J107" s="135">
        <f>DADOS_INVOC!$QI$5</f>
        <v/>
      </c>
      <c r="K107" s="16" t="n"/>
      <c r="L107" s="16" t="n"/>
      <c r="M107" s="17" t="n"/>
      <c r="N107" s="123" t="n"/>
      <c r="O107" s="55" t="inlineStr">
        <is>
          <t>CONTA</t>
        </is>
      </c>
      <c r="P107" s="135">
        <f>DADOS_INVOC!$QI$6</f>
        <v/>
      </c>
      <c r="Q107" s="16" t="n"/>
      <c r="R107" s="16" t="n"/>
      <c r="S107" s="17" t="n"/>
      <c r="T107" s="123" t="n"/>
      <c r="U107" s="55" t="inlineStr">
        <is>
          <t>CONTA</t>
        </is>
      </c>
      <c r="V107" s="135">
        <f>DADOS_INVOC!$QI$7</f>
        <v/>
      </c>
      <c r="W107" s="16" t="n"/>
      <c r="X107" s="16" t="n"/>
      <c r="Y107" s="17" t="n"/>
      <c r="Z107" s="123" t="n"/>
      <c r="AB107" s="55" t="inlineStr">
        <is>
          <t>CONTA</t>
        </is>
      </c>
      <c r="AC107" s="135">
        <f>DADOS_INVOC!$QI$83</f>
        <v/>
      </c>
      <c r="AD107" s="16" t="n"/>
      <c r="AE107" s="16" t="n"/>
      <c r="AF107" s="17" t="n"/>
      <c r="AG107" s="123" t="n"/>
      <c r="AH107" s="55" t="inlineStr">
        <is>
          <t>CONTA</t>
        </is>
      </c>
      <c r="AI107" s="135">
        <f>DADOS_INVOC!$QI$84</f>
        <v/>
      </c>
      <c r="AJ107" s="16" t="n"/>
      <c r="AK107" s="16" t="n"/>
      <c r="AL107" s="17" t="n"/>
      <c r="AM107" s="123" t="n"/>
      <c r="AN107" s="55" t="inlineStr">
        <is>
          <t>CONTA</t>
        </is>
      </c>
      <c r="AO107" s="135">
        <f>DADOS_INVOC!$QI$85</f>
        <v/>
      </c>
      <c r="AP107" s="16" t="n"/>
      <c r="AQ107" s="16" t="n"/>
      <c r="AR107" s="17" t="n"/>
      <c r="AS107" s="123" t="n"/>
    </row>
    <row r="108" hidden="1" outlineLevel="3">
      <c r="A108" s="8" t="n"/>
      <c r="B108" s="14" t="n"/>
      <c r="C108" s="123" t="n"/>
      <c r="D108" s="123" t="n"/>
      <c r="E108" s="123" t="n"/>
      <c r="F108" s="123" t="n"/>
      <c r="G108" s="123" t="n"/>
      <c r="I108" s="55" t="inlineStr">
        <is>
          <t>AMPLIAR</t>
        </is>
      </c>
      <c r="J108" s="135">
        <f>DADOS_INVOC!$QJ$5</f>
        <v/>
      </c>
      <c r="K108" s="19" t="n"/>
      <c r="L108" s="19" t="n"/>
      <c r="M108" s="20" t="n"/>
      <c r="N108" s="123" t="n"/>
      <c r="O108" s="55" t="inlineStr">
        <is>
          <t>AMPLIAR</t>
        </is>
      </c>
      <c r="P108" s="135">
        <f>DADOS_INVOC!$QJ$6</f>
        <v/>
      </c>
      <c r="Q108" s="19" t="n"/>
      <c r="R108" s="19" t="n"/>
      <c r="S108" s="20" t="n"/>
      <c r="T108" s="123" t="n"/>
      <c r="U108" s="55" t="inlineStr">
        <is>
          <t>AMPLIAR</t>
        </is>
      </c>
      <c r="V108" s="135">
        <f>DADOS_INVOC!$QJ$7</f>
        <v/>
      </c>
      <c r="W108" s="19" t="n"/>
      <c r="X108" s="19" t="n"/>
      <c r="Y108" s="20" t="n"/>
      <c r="Z108" s="123" t="n"/>
      <c r="AB108" s="55" t="inlineStr">
        <is>
          <t>AMPLIAR</t>
        </is>
      </c>
      <c r="AC108" s="135">
        <f>DADOS_INVOC!$QJ$83</f>
        <v/>
      </c>
      <c r="AD108" s="19" t="n"/>
      <c r="AE108" s="19" t="n"/>
      <c r="AF108" s="20" t="n"/>
      <c r="AG108" s="123" t="n"/>
      <c r="AH108" s="55" t="inlineStr">
        <is>
          <t>AMPLIAR</t>
        </is>
      </c>
      <c r="AI108" s="135">
        <f>DADOS_INVOC!$QJ$84</f>
        <v/>
      </c>
      <c r="AJ108" s="19" t="n"/>
      <c r="AK108" s="19" t="n"/>
      <c r="AL108" s="20" t="n"/>
      <c r="AM108" s="123" t="n"/>
      <c r="AN108" s="55" t="inlineStr">
        <is>
          <t>AMPLIAR</t>
        </is>
      </c>
      <c r="AO108" s="135">
        <f>DADOS_INVOC!$QJ$85</f>
        <v/>
      </c>
      <c r="AP108" s="19" t="n"/>
      <c r="AQ108" s="19" t="n"/>
      <c r="AR108" s="20" t="n"/>
      <c r="AS108" s="123" t="n"/>
    </row>
    <row r="109" hidden="1" outlineLevel="3">
      <c r="A109" s="8" t="n"/>
      <c r="B109" s="14" t="n"/>
      <c r="C109" s="123" t="n"/>
      <c r="D109" s="123" t="n"/>
      <c r="E109" s="123" t="n"/>
      <c r="F109" s="123" t="n"/>
      <c r="G109" s="123" t="n"/>
      <c r="I109" s="128" t="n"/>
      <c r="J109" s="23" t="n"/>
      <c r="K109" s="24" t="n"/>
      <c r="L109" s="24" t="n"/>
      <c r="M109" s="25" t="n"/>
      <c r="N109" s="123" t="n"/>
      <c r="O109" s="128" t="n"/>
      <c r="P109" s="23" t="n"/>
      <c r="Q109" s="24" t="n"/>
      <c r="R109" s="24" t="n"/>
      <c r="S109" s="25" t="n"/>
      <c r="T109" s="123" t="n"/>
      <c r="U109" s="128" t="n"/>
      <c r="V109" s="23" t="n"/>
      <c r="W109" s="24" t="n"/>
      <c r="X109" s="24" t="n"/>
      <c r="Y109" s="25" t="n"/>
      <c r="Z109" s="123" t="n"/>
      <c r="AB109" s="128" t="n"/>
      <c r="AC109" s="23" t="n"/>
      <c r="AD109" s="24" t="n"/>
      <c r="AE109" s="24" t="n"/>
      <c r="AF109" s="25" t="n"/>
      <c r="AG109" s="123" t="n"/>
      <c r="AH109" s="128" t="n"/>
      <c r="AI109" s="23" t="n"/>
      <c r="AJ109" s="24" t="n"/>
      <c r="AK109" s="24" t="n"/>
      <c r="AL109" s="25" t="n"/>
      <c r="AM109" s="123" t="n"/>
      <c r="AN109" s="128" t="n"/>
      <c r="AO109" s="23" t="n"/>
      <c r="AP109" s="24" t="n"/>
      <c r="AQ109" s="24" t="n"/>
      <c r="AR109" s="25" t="n"/>
      <c r="AS109" s="123" t="n"/>
    </row>
    <row r="110" hidden="1" outlineLevel="3">
      <c r="A110" s="8" t="n"/>
      <c r="B110" s="14" t="n"/>
      <c r="C110" s="123" t="n"/>
      <c r="D110" s="123" t="n"/>
      <c r="E110" s="123" t="n"/>
      <c r="F110" s="123" t="n"/>
      <c r="G110" s="123" t="n"/>
      <c r="I110" s="135">
        <f>DADOS_INVOC!$PW$5</f>
        <v/>
      </c>
      <c r="J110" s="19" t="n"/>
      <c r="K110" s="19" t="n"/>
      <c r="L110" s="19" t="n"/>
      <c r="M110" s="20" t="n"/>
      <c r="N110" s="123" t="n"/>
      <c r="O110" s="135">
        <f>DADOS_INVOC!$PW$6</f>
        <v/>
      </c>
      <c r="P110" s="19" t="n"/>
      <c r="Q110" s="19" t="n"/>
      <c r="R110" s="19" t="n"/>
      <c r="S110" s="20" t="n"/>
      <c r="T110" s="123" t="n"/>
      <c r="U110" s="135">
        <f>DADOS_INVOC!$PW$7</f>
        <v/>
      </c>
      <c r="V110" s="19" t="n"/>
      <c r="W110" s="19" t="n"/>
      <c r="X110" s="19" t="n"/>
      <c r="Y110" s="20" t="n"/>
      <c r="Z110" s="123" t="n"/>
      <c r="AB110" s="135">
        <f>DADOS_INVOC!$PW$83</f>
        <v/>
      </c>
      <c r="AC110" s="19" t="n"/>
      <c r="AD110" s="19" t="n"/>
      <c r="AE110" s="19" t="n"/>
      <c r="AF110" s="20" t="n"/>
      <c r="AG110" s="123" t="n"/>
      <c r="AH110" s="135">
        <f>DADOS_INVOC!$PW$84</f>
        <v/>
      </c>
      <c r="AI110" s="19" t="n"/>
      <c r="AJ110" s="19" t="n"/>
      <c r="AK110" s="19" t="n"/>
      <c r="AL110" s="20" t="n"/>
      <c r="AM110" s="123" t="n"/>
      <c r="AN110" s="135">
        <f>DADOS_INVOC!$PW$85</f>
        <v/>
      </c>
      <c r="AO110" s="19" t="n"/>
      <c r="AP110" s="19" t="n"/>
      <c r="AQ110" s="19" t="n"/>
      <c r="AR110" s="20" t="n"/>
      <c r="AS110" s="123" t="n"/>
    </row>
    <row r="111" hidden="1" outlineLevel="3">
      <c r="A111" s="8" t="n"/>
      <c r="B111" s="14" t="n"/>
      <c r="C111" s="123" t="n"/>
      <c r="D111" s="123" t="n"/>
      <c r="E111" s="123" t="n"/>
      <c r="F111" s="123" t="n"/>
      <c r="G111" s="123" t="n"/>
      <c r="I111" s="23" t="n"/>
      <c r="J111" s="24" t="n"/>
      <c r="K111" s="24" t="n"/>
      <c r="L111" s="24" t="n"/>
      <c r="M111" s="25" t="n"/>
      <c r="N111" s="123" t="n"/>
      <c r="O111" s="23" t="n"/>
      <c r="P111" s="24" t="n"/>
      <c r="Q111" s="24" t="n"/>
      <c r="R111" s="24" t="n"/>
      <c r="S111" s="25" t="n"/>
      <c r="T111" s="123" t="n"/>
      <c r="U111" s="23" t="n"/>
      <c r="V111" s="24" t="n"/>
      <c r="W111" s="24" t="n"/>
      <c r="X111" s="24" t="n"/>
      <c r="Y111" s="25" t="n"/>
      <c r="Z111" s="123" t="n"/>
      <c r="AB111" s="23" t="n"/>
      <c r="AC111" s="24" t="n"/>
      <c r="AD111" s="24" t="n"/>
      <c r="AE111" s="24" t="n"/>
      <c r="AF111" s="25" t="n"/>
      <c r="AG111" s="123" t="n"/>
      <c r="AH111" s="23" t="n"/>
      <c r="AI111" s="24" t="n"/>
      <c r="AJ111" s="24" t="n"/>
      <c r="AK111" s="24" t="n"/>
      <c r="AL111" s="25" t="n"/>
      <c r="AM111" s="123" t="n"/>
      <c r="AN111" s="23" t="n"/>
      <c r="AO111" s="24" t="n"/>
      <c r="AP111" s="24" t="n"/>
      <c r="AQ111" s="24" t="n"/>
      <c r="AR111" s="25" t="n"/>
      <c r="AS111" s="123" t="n"/>
    </row>
    <row r="112" hidden="1" outlineLevel="2">
      <c r="A112" s="8" t="n"/>
      <c r="B112" s="14" t="n"/>
      <c r="C112" s="123" t="n"/>
      <c r="D112" s="123" t="n"/>
      <c r="E112" s="123" t="n"/>
      <c r="F112" s="123" t="n"/>
      <c r="G112" s="123" t="n"/>
      <c r="I112" s="123" t="n"/>
      <c r="J112" s="123" t="n"/>
      <c r="K112" s="123" t="n"/>
      <c r="L112" s="123" t="n"/>
      <c r="M112" s="123" t="n"/>
      <c r="N112" s="123" t="n"/>
      <c r="O112" s="123" t="n"/>
      <c r="P112" s="123" t="n"/>
      <c r="Q112" s="123" t="n"/>
      <c r="R112" s="123" t="n"/>
      <c r="S112" s="123" t="n"/>
      <c r="T112" s="123" t="n"/>
      <c r="U112" s="123" t="n"/>
      <c r="V112" s="123" t="n"/>
      <c r="W112" s="123" t="n"/>
      <c r="X112" s="123" t="n"/>
      <c r="Y112" s="123" t="n"/>
      <c r="Z112" s="123" t="n"/>
      <c r="AB112" s="123" t="n"/>
      <c r="AC112" s="123" t="n"/>
      <c r="AD112" s="123" t="n"/>
      <c r="AE112" s="123" t="n"/>
      <c r="AF112" s="123" t="n"/>
      <c r="AG112" s="123" t="n"/>
      <c r="AH112" s="123" t="n"/>
      <c r="AI112" s="123" t="n"/>
      <c r="AJ112" s="123" t="n"/>
      <c r="AK112" s="123" t="n"/>
      <c r="AL112" s="123" t="n"/>
      <c r="AM112" s="123" t="n"/>
      <c r="AN112" s="123" t="n"/>
      <c r="AO112" s="123" t="n"/>
      <c r="AP112" s="123" t="n"/>
      <c r="AQ112" s="123" t="n"/>
      <c r="AR112" s="123" t="n"/>
      <c r="AS112" s="123" t="n"/>
    </row>
    <row r="113" hidden="1" outlineLevel="2">
      <c r="A113" s="8" t="n"/>
      <c r="B113" s="14" t="n"/>
      <c r="C113" s="123" t="n"/>
      <c r="D113" s="123" t="n"/>
      <c r="E113" s="123" t="n"/>
      <c r="F113" s="123" t="n"/>
      <c r="G113" s="123" t="n"/>
      <c r="I113" s="55">
        <f>DADOS_INVOC!$PX$8</f>
        <v/>
      </c>
      <c r="J113" s="16" t="n"/>
      <c r="K113" s="16" t="n"/>
      <c r="L113" s="16" t="n"/>
      <c r="M113" s="17" t="n"/>
      <c r="N113" s="123" t="n"/>
      <c r="O113" s="55">
        <f>DADOS_INVOC!$PX$9</f>
        <v/>
      </c>
      <c r="P113" s="16" t="n"/>
      <c r="Q113" s="16" t="n"/>
      <c r="R113" s="16" t="n"/>
      <c r="S113" s="17" t="n"/>
      <c r="T113" s="123" t="n"/>
      <c r="U113" s="55">
        <f>DADOS_INVOC!$PX$10</f>
        <v/>
      </c>
      <c r="V113" s="16" t="n"/>
      <c r="W113" s="16" t="n"/>
      <c r="X113" s="16" t="n"/>
      <c r="Y113" s="17" t="n"/>
      <c r="Z113" s="123" t="n"/>
      <c r="AB113" s="55">
        <f>DADOS_INVOC!$PX$86</f>
        <v/>
      </c>
      <c r="AC113" s="16" t="n"/>
      <c r="AD113" s="16" t="n"/>
      <c r="AE113" s="16" t="n"/>
      <c r="AF113" s="17" t="n"/>
      <c r="AG113" s="123" t="n"/>
      <c r="AH113" s="55">
        <f>DADOS_INVOC!$PX$87</f>
        <v/>
      </c>
      <c r="AI113" s="16" t="n"/>
      <c r="AJ113" s="16" t="n"/>
      <c r="AK113" s="16" t="n"/>
      <c r="AL113" s="17" t="n"/>
      <c r="AM113" s="123" t="n"/>
      <c r="AN113" s="55">
        <f>DADOS_INVOC!$PX$88</f>
        <v/>
      </c>
      <c r="AO113" s="16" t="n"/>
      <c r="AP113" s="16" t="n"/>
      <c r="AQ113" s="16" t="n"/>
      <c r="AR113" s="17" t="n"/>
      <c r="AS113" s="123" t="n"/>
    </row>
    <row r="114" hidden="1" outlineLevel="2">
      <c r="A114" s="8" t="n"/>
      <c r="B114" s="14" t="n"/>
      <c r="C114" s="123" t="n"/>
      <c r="D114" s="123" t="n"/>
      <c r="E114" s="123" t="n"/>
      <c r="F114" s="123" t="n"/>
      <c r="G114" s="123" t="n"/>
      <c r="I114" s="130" t="n">
        <v>1</v>
      </c>
      <c r="J114" s="118" t="n"/>
      <c r="K114" s="16" t="n"/>
      <c r="L114" s="17" t="n"/>
      <c r="M114" s="131">
        <f>DADOS_INVOC!$PV$8</f>
        <v/>
      </c>
      <c r="N114" s="123" t="n"/>
      <c r="O114" s="130" t="n">
        <v>1</v>
      </c>
      <c r="P114" s="118" t="n"/>
      <c r="Q114" s="16" t="n"/>
      <c r="R114" s="17" t="n"/>
      <c r="S114" s="131">
        <f>DADOS_INVOC!$PV$9</f>
        <v/>
      </c>
      <c r="T114" s="123" t="n"/>
      <c r="U114" s="130" t="n">
        <v>1</v>
      </c>
      <c r="V114" s="118" t="n"/>
      <c r="W114" s="16" t="n"/>
      <c r="X114" s="17" t="n"/>
      <c r="Y114" s="131">
        <f>DADOS_INVOC!$PV$10</f>
        <v/>
      </c>
      <c r="Z114" s="123" t="n"/>
      <c r="AB114" s="130" t="n">
        <v>1</v>
      </c>
      <c r="AC114" s="118" t="n"/>
      <c r="AD114" s="16" t="n"/>
      <c r="AE114" s="17" t="n"/>
      <c r="AF114" s="131">
        <f>DADOS_INVOC!$PV$86</f>
        <v/>
      </c>
      <c r="AG114" s="123" t="n"/>
      <c r="AH114" s="130" t="n">
        <v>1</v>
      </c>
      <c r="AI114" s="118" t="n"/>
      <c r="AJ114" s="16" t="n"/>
      <c r="AK114" s="17" t="n"/>
      <c r="AL114" s="131">
        <f>DADOS_INVOC!$PV$87</f>
        <v/>
      </c>
      <c r="AM114" s="123" t="n"/>
      <c r="AN114" s="130" t="n">
        <v>1</v>
      </c>
      <c r="AO114" s="118" t="n"/>
      <c r="AP114" s="16" t="n"/>
      <c r="AQ114" s="17" t="n"/>
      <c r="AR114" s="131">
        <f>DADOS_INVOC!$PV$88</f>
        <v/>
      </c>
      <c r="AS114" s="123" t="n"/>
    </row>
    <row r="115" hidden="1" outlineLevel="3">
      <c r="A115" s="8" t="n"/>
      <c r="B115" s="14" t="n"/>
      <c r="C115" s="123" t="n"/>
      <c r="D115" s="123" t="n"/>
      <c r="E115" s="123" t="n"/>
      <c r="F115" s="123" t="n"/>
      <c r="G115" s="123" t="n"/>
      <c r="I115" s="55" t="inlineStr">
        <is>
          <t>COMO É</t>
        </is>
      </c>
      <c r="J115" s="16" t="n"/>
      <c r="K115" s="16" t="n"/>
      <c r="L115" s="16" t="n"/>
      <c r="M115" s="17" t="n"/>
      <c r="N115" s="123" t="n"/>
      <c r="O115" s="55" t="inlineStr">
        <is>
          <t>COMO É</t>
        </is>
      </c>
      <c r="P115" s="16" t="n"/>
      <c r="Q115" s="16" t="n"/>
      <c r="R115" s="16" t="n"/>
      <c r="S115" s="17" t="n"/>
      <c r="T115" s="123" t="n"/>
      <c r="U115" s="55" t="inlineStr">
        <is>
          <t>COMO É</t>
        </is>
      </c>
      <c r="V115" s="16" t="n"/>
      <c r="W115" s="16" t="n"/>
      <c r="X115" s="16" t="n"/>
      <c r="Y115" s="17" t="n"/>
      <c r="Z115" s="123" t="n"/>
      <c r="AB115" s="55" t="inlineStr">
        <is>
          <t>COMO É</t>
        </is>
      </c>
      <c r="AC115" s="16" t="n"/>
      <c r="AD115" s="16" t="n"/>
      <c r="AE115" s="16" t="n"/>
      <c r="AF115" s="17" t="n"/>
      <c r="AG115" s="123" t="n"/>
      <c r="AH115" s="55" t="inlineStr">
        <is>
          <t>COMO É</t>
        </is>
      </c>
      <c r="AI115" s="16" t="n"/>
      <c r="AJ115" s="16" t="n"/>
      <c r="AK115" s="16" t="n"/>
      <c r="AL115" s="17" t="n"/>
      <c r="AM115" s="123" t="n"/>
      <c r="AN115" s="55" t="inlineStr">
        <is>
          <t>COMO É</t>
        </is>
      </c>
      <c r="AO115" s="16" t="n"/>
      <c r="AP115" s="16" t="n"/>
      <c r="AQ115" s="16" t="n"/>
      <c r="AR115" s="17" t="n"/>
      <c r="AS115" s="123" t="n"/>
    </row>
    <row r="116" hidden="1" outlineLevel="3">
      <c r="A116" s="8" t="n"/>
      <c r="B116" s="14" t="n"/>
      <c r="C116" s="123" t="n"/>
      <c r="D116" s="123" t="n"/>
      <c r="E116" s="123" t="n"/>
      <c r="F116" s="123" t="n"/>
      <c r="G116" s="123" t="n"/>
      <c r="I116" s="119" t="n"/>
      <c r="J116" s="19" t="n"/>
      <c r="K116" s="19" t="n"/>
      <c r="L116" s="19" t="n"/>
      <c r="M116" s="20" t="n"/>
      <c r="N116" s="123" t="n"/>
      <c r="O116" s="119" t="n"/>
      <c r="P116" s="19" t="n"/>
      <c r="Q116" s="19" t="n"/>
      <c r="R116" s="19" t="n"/>
      <c r="S116" s="20" t="n"/>
      <c r="T116" s="123" t="n"/>
      <c r="U116" s="119" t="n"/>
      <c r="V116" s="19" t="n"/>
      <c r="W116" s="19" t="n"/>
      <c r="X116" s="19" t="n"/>
      <c r="Y116" s="20" t="n"/>
      <c r="Z116" s="123" t="n"/>
      <c r="AB116" s="119" t="n"/>
      <c r="AC116" s="19" t="n"/>
      <c r="AD116" s="19" t="n"/>
      <c r="AE116" s="19" t="n"/>
      <c r="AF116" s="20" t="n"/>
      <c r="AG116" s="123" t="n"/>
      <c r="AH116" s="119" t="n"/>
      <c r="AI116" s="19" t="n"/>
      <c r="AJ116" s="19" t="n"/>
      <c r="AK116" s="19" t="n"/>
      <c r="AL116" s="20" t="n"/>
      <c r="AM116" s="123" t="n"/>
      <c r="AN116" s="119" t="n"/>
      <c r="AO116" s="19" t="n"/>
      <c r="AP116" s="19" t="n"/>
      <c r="AQ116" s="19" t="n"/>
      <c r="AR116" s="20" t="n"/>
      <c r="AS116" s="123" t="n"/>
    </row>
    <row r="117" hidden="1" outlineLevel="3">
      <c r="A117" s="8" t="n"/>
      <c r="B117" s="14" t="n"/>
      <c r="C117" s="123" t="n"/>
      <c r="D117" s="123" t="n"/>
      <c r="E117" s="123" t="n"/>
      <c r="F117" s="123" t="n"/>
      <c r="G117" s="123" t="n"/>
      <c r="I117" s="21" t="n"/>
      <c r="M117" s="22" t="n"/>
      <c r="N117" s="123" t="n"/>
      <c r="O117" s="21" t="n"/>
      <c r="S117" s="22" t="n"/>
      <c r="T117" s="123" t="n"/>
      <c r="U117" s="21" t="n"/>
      <c r="Y117" s="22" t="n"/>
      <c r="Z117" s="123" t="n"/>
      <c r="AB117" s="21" t="n"/>
      <c r="AF117" s="22" t="n"/>
      <c r="AG117" s="123" t="n"/>
      <c r="AH117" s="21" t="n"/>
      <c r="AL117" s="22" t="n"/>
      <c r="AM117" s="123" t="n"/>
      <c r="AN117" s="21" t="n"/>
      <c r="AR117" s="22" t="n"/>
      <c r="AS117" s="123" t="n"/>
    </row>
    <row r="118" hidden="1" outlineLevel="3">
      <c r="A118" s="8" t="n"/>
      <c r="B118" s="14" t="n"/>
      <c r="C118" s="123" t="n"/>
      <c r="D118" s="123" t="n"/>
      <c r="E118" s="123" t="n"/>
      <c r="F118" s="123" t="n"/>
      <c r="G118" s="123" t="n"/>
      <c r="I118" s="23" t="n"/>
      <c r="J118" s="24" t="n"/>
      <c r="K118" s="24" t="n"/>
      <c r="L118" s="24" t="n"/>
      <c r="M118" s="25" t="n"/>
      <c r="N118" s="123" t="n"/>
      <c r="O118" s="23" t="n"/>
      <c r="P118" s="24" t="n"/>
      <c r="Q118" s="24" t="n"/>
      <c r="R118" s="24" t="n"/>
      <c r="S118" s="25" t="n"/>
      <c r="T118" s="123" t="n"/>
      <c r="U118" s="23" t="n"/>
      <c r="V118" s="24" t="n"/>
      <c r="W118" s="24" t="n"/>
      <c r="X118" s="24" t="n"/>
      <c r="Y118" s="25" t="n"/>
      <c r="Z118" s="123" t="n"/>
      <c r="AB118" s="23" t="n"/>
      <c r="AC118" s="24" t="n"/>
      <c r="AD118" s="24" t="n"/>
      <c r="AE118" s="24" t="n"/>
      <c r="AF118" s="25" t="n"/>
      <c r="AG118" s="123" t="n"/>
      <c r="AH118" s="23" t="n"/>
      <c r="AI118" s="24" t="n"/>
      <c r="AJ118" s="24" t="n"/>
      <c r="AK118" s="24" t="n"/>
      <c r="AL118" s="25" t="n"/>
      <c r="AM118" s="123" t="n"/>
      <c r="AN118" s="23" t="n"/>
      <c r="AO118" s="24" t="n"/>
      <c r="AP118" s="24" t="n"/>
      <c r="AQ118" s="24" t="n"/>
      <c r="AR118" s="25" t="n"/>
      <c r="AS118" s="123" t="n"/>
    </row>
    <row r="119" hidden="1" outlineLevel="2">
      <c r="A119" s="8" t="n"/>
      <c r="B119" s="14" t="n"/>
      <c r="C119" s="123" t="n"/>
      <c r="D119" s="123" t="n"/>
      <c r="E119" s="123" t="n"/>
      <c r="F119" s="123" t="n"/>
      <c r="G119" s="123" t="n"/>
      <c r="I119" s="127" t="inlineStr">
        <is>
          <t>Projétil</t>
        </is>
      </c>
      <c r="J119" s="17" t="n"/>
      <c r="K119" s="68">
        <f>DADOS_INVOC!$QC$8</f>
        <v/>
      </c>
      <c r="L119" s="17" t="n"/>
      <c r="M119" s="68">
        <f>DADOS_INVOC!$PY$8</f>
        <v/>
      </c>
      <c r="N119" s="123" t="n"/>
      <c r="O119" s="127" t="inlineStr">
        <is>
          <t>Projétil</t>
        </is>
      </c>
      <c r="P119" s="17" t="n"/>
      <c r="Q119" s="68">
        <f>DADOS_INVOC!$QC$9</f>
        <v/>
      </c>
      <c r="R119" s="17" t="n"/>
      <c r="S119" s="68">
        <f>DADOS_INVOC!$PY$9</f>
        <v/>
      </c>
      <c r="T119" s="123" t="n"/>
      <c r="U119" s="127" t="inlineStr">
        <is>
          <t>Projétil</t>
        </is>
      </c>
      <c r="V119" s="17" t="n"/>
      <c r="W119" s="68">
        <f>DADOS_INVOC!$QC$10</f>
        <v/>
      </c>
      <c r="X119" s="17" t="n"/>
      <c r="Y119" s="68">
        <f>DADOS_INVOC!$PY$10</f>
        <v/>
      </c>
      <c r="Z119" s="123" t="n"/>
      <c r="AB119" s="127" t="inlineStr">
        <is>
          <t>Projétil</t>
        </is>
      </c>
      <c r="AC119" s="17" t="n"/>
      <c r="AD119" s="68">
        <f>DADOS_INVOC!$QC$86</f>
        <v/>
      </c>
      <c r="AE119" s="17" t="n"/>
      <c r="AF119" s="68">
        <f>DADOS_INVOC!$PY$86</f>
        <v/>
      </c>
      <c r="AG119" s="123" t="n"/>
      <c r="AH119" s="127" t="inlineStr">
        <is>
          <t>Projétil</t>
        </is>
      </c>
      <c r="AI119" s="17" t="n"/>
      <c r="AJ119" s="68">
        <f>DADOS_INVOC!$QC$87</f>
        <v/>
      </c>
      <c r="AK119" s="17" t="n"/>
      <c r="AL119" s="68">
        <f>DADOS_INVOC!$PY$87</f>
        <v/>
      </c>
      <c r="AM119" s="123" t="n"/>
      <c r="AN119" s="127" t="inlineStr">
        <is>
          <t>Projétil</t>
        </is>
      </c>
      <c r="AO119" s="17" t="n"/>
      <c r="AP119" s="68">
        <f>DADOS_INVOC!$QC$88</f>
        <v/>
      </c>
      <c r="AQ119" s="17" t="n"/>
      <c r="AR119" s="68">
        <f>DADOS_INVOC!$PY$88</f>
        <v/>
      </c>
      <c r="AS119" s="123" t="n"/>
    </row>
    <row r="120" hidden="1" outlineLevel="2">
      <c r="A120" s="8" t="n"/>
      <c r="B120" s="14" t="n"/>
      <c r="C120" s="123" t="n"/>
      <c r="D120" s="123" t="n"/>
      <c r="E120" s="123" t="n"/>
      <c r="F120" s="123" t="n"/>
      <c r="G120" s="123" t="n"/>
      <c r="I120" s="127" t="n"/>
      <c r="J120" s="17" t="n"/>
      <c r="K120" s="127" t="n"/>
      <c r="L120" s="16" t="n"/>
      <c r="M120" s="17" t="n"/>
      <c r="N120" s="123" t="n"/>
      <c r="O120" s="127" t="n"/>
      <c r="P120" s="17" t="n"/>
      <c r="Q120" s="127" t="n"/>
      <c r="R120" s="16" t="n"/>
      <c r="S120" s="17" t="n"/>
      <c r="T120" s="123" t="n"/>
      <c r="U120" s="127" t="n"/>
      <c r="V120" s="17" t="n"/>
      <c r="W120" s="127" t="n"/>
      <c r="X120" s="16" t="n"/>
      <c r="Y120" s="17" t="n"/>
      <c r="Z120" s="123" t="n"/>
      <c r="AB120" s="127" t="n"/>
      <c r="AC120" s="17" t="n"/>
      <c r="AD120" s="127" t="n"/>
      <c r="AE120" s="16" t="n"/>
      <c r="AF120" s="17" t="n"/>
      <c r="AG120" s="123" t="n"/>
      <c r="AH120" s="127" t="n"/>
      <c r="AI120" s="17" t="n"/>
      <c r="AJ120" s="127" t="n"/>
      <c r="AK120" s="16" t="n"/>
      <c r="AL120" s="17" t="n"/>
      <c r="AM120" s="123" t="n"/>
      <c r="AN120" s="127" t="n"/>
      <c r="AO120" s="17" t="n"/>
      <c r="AP120" s="127" t="n"/>
      <c r="AQ120" s="16" t="n"/>
      <c r="AR120" s="17" t="n"/>
      <c r="AS120" s="123" t="n"/>
    </row>
    <row r="121" hidden="1" outlineLevel="2">
      <c r="A121" s="8" t="n"/>
      <c r="B121" s="14" t="n"/>
      <c r="C121" s="123" t="n"/>
      <c r="D121" s="123" t="n"/>
      <c r="E121" s="123" t="n"/>
      <c r="F121" s="123" t="n"/>
      <c r="G121" s="123" t="n"/>
      <c r="I121" s="127">
        <f>DADOS_INVOC!$PZ$8</f>
        <v/>
      </c>
      <c r="J121" s="17" t="n"/>
      <c r="K121" s="127">
        <f>DADOS_INVOC!$QB$8</f>
        <v/>
      </c>
      <c r="L121" s="16" t="n"/>
      <c r="M121" s="17" t="n"/>
      <c r="N121" s="123" t="n"/>
      <c r="O121" s="127">
        <f>DADOS_INVOC!$PZ$9</f>
        <v/>
      </c>
      <c r="P121" s="17" t="n"/>
      <c r="Q121" s="127">
        <f>DADOS_INVOC!$QB$9</f>
        <v/>
      </c>
      <c r="R121" s="16" t="n"/>
      <c r="S121" s="17" t="n"/>
      <c r="T121" s="123" t="n"/>
      <c r="U121" s="127">
        <f>DADOS_INVOC!$PZ$10</f>
        <v/>
      </c>
      <c r="V121" s="17" t="n"/>
      <c r="W121" s="127">
        <f>DADOS_INVOC!$QB$10</f>
        <v/>
      </c>
      <c r="X121" s="16" t="n"/>
      <c r="Y121" s="17" t="n"/>
      <c r="Z121" s="123" t="n"/>
      <c r="AB121" s="127">
        <f>DADOS_INVOC!$PZ$86</f>
        <v/>
      </c>
      <c r="AC121" s="17" t="n"/>
      <c r="AD121" s="127">
        <f>DADOS_INVOC!$QB$86</f>
        <v/>
      </c>
      <c r="AE121" s="16" t="n"/>
      <c r="AF121" s="17" t="n"/>
      <c r="AG121" s="123" t="n"/>
      <c r="AH121" s="127">
        <f>DADOS_INVOC!$PZ$87</f>
        <v/>
      </c>
      <c r="AI121" s="17" t="n"/>
      <c r="AJ121" s="127">
        <f>DADOS_INVOC!$QB$87</f>
        <v/>
      </c>
      <c r="AK121" s="16" t="n"/>
      <c r="AL121" s="17" t="n"/>
      <c r="AM121" s="123" t="n"/>
      <c r="AN121" s="127">
        <f>DADOS_INVOC!$PZ$88</f>
        <v/>
      </c>
      <c r="AO121" s="17" t="n"/>
      <c r="AP121" s="127">
        <f>DADOS_INVOC!$QB$88</f>
        <v/>
      </c>
      <c r="AQ121" s="16" t="n"/>
      <c r="AR121" s="17" t="n"/>
      <c r="AS121" s="123" t="n"/>
    </row>
    <row r="122" hidden="1" outlineLevel="2">
      <c r="A122" s="8" t="n"/>
      <c r="B122" s="14" t="n"/>
      <c r="C122" s="123" t="n"/>
      <c r="D122" s="123" t="n"/>
      <c r="E122" s="123" t="n"/>
      <c r="F122" s="123" t="n"/>
      <c r="G122" s="123" t="n"/>
      <c r="I122" s="132">
        <f>DADOS_INVOC!$QH$8</f>
        <v/>
      </c>
      <c r="J122" s="16" t="n"/>
      <c r="K122" s="16" t="n"/>
      <c r="L122" s="16" t="n"/>
      <c r="M122" s="17" t="n"/>
      <c r="N122" s="123" t="n"/>
      <c r="O122" s="132">
        <f>DADOS_INVOC!$QH$9</f>
        <v/>
      </c>
      <c r="P122" s="16" t="n"/>
      <c r="Q122" s="16" t="n"/>
      <c r="R122" s="16" t="n"/>
      <c r="S122" s="17" t="n"/>
      <c r="T122" s="123" t="n"/>
      <c r="U122" s="132">
        <f>DADOS_INVOC!$QH$10</f>
        <v/>
      </c>
      <c r="V122" s="16" t="n"/>
      <c r="W122" s="16" t="n"/>
      <c r="X122" s="16" t="n"/>
      <c r="Y122" s="17" t="n"/>
      <c r="Z122" s="123" t="n"/>
      <c r="AB122" s="132">
        <f>DADOS_INVOC!$QH$86</f>
        <v/>
      </c>
      <c r="AC122" s="16" t="n"/>
      <c r="AD122" s="16" t="n"/>
      <c r="AE122" s="16" t="n"/>
      <c r="AF122" s="17" t="n"/>
      <c r="AG122" s="123" t="n"/>
      <c r="AH122" s="132">
        <f>DADOS_INVOC!$QH$87</f>
        <v/>
      </c>
      <c r="AI122" s="16" t="n"/>
      <c r="AJ122" s="16" t="n"/>
      <c r="AK122" s="16" t="n"/>
      <c r="AL122" s="17" t="n"/>
      <c r="AM122" s="123" t="n"/>
      <c r="AN122" s="132">
        <f>DADOS_INVOC!$QH$88</f>
        <v/>
      </c>
      <c r="AO122" s="16" t="n"/>
      <c r="AP122" s="16" t="n"/>
      <c r="AQ122" s="16" t="n"/>
      <c r="AR122" s="17" t="n"/>
      <c r="AS122" s="123" t="n"/>
    </row>
    <row r="123" hidden="1" outlineLevel="3">
      <c r="A123" s="8" t="n"/>
      <c r="B123" s="14" t="n"/>
      <c r="C123" s="123" t="n"/>
      <c r="D123" s="123" t="n"/>
      <c r="E123" s="123" t="n"/>
      <c r="F123" s="123" t="n"/>
      <c r="G123" s="123" t="n"/>
      <c r="I123" s="55" t="inlineStr">
        <is>
          <t>MELHORIAS</t>
        </is>
      </c>
      <c r="J123" s="133" t="n"/>
      <c r="K123" s="16" t="n"/>
      <c r="L123" s="17" t="n"/>
      <c r="M123" s="132">
        <f>DADOS_INVOC!$QK$8</f>
        <v/>
      </c>
      <c r="N123" s="123" t="n"/>
      <c r="O123" s="55" t="inlineStr">
        <is>
          <t>MELHORIAS</t>
        </is>
      </c>
      <c r="P123" s="133" t="n"/>
      <c r="Q123" s="16" t="n"/>
      <c r="R123" s="17" t="n"/>
      <c r="S123" s="132">
        <f>DADOS_INVOC!$QK$9</f>
        <v/>
      </c>
      <c r="T123" s="123" t="n"/>
      <c r="U123" s="55" t="inlineStr">
        <is>
          <t>MELHORIAS</t>
        </is>
      </c>
      <c r="V123" s="133" t="n"/>
      <c r="W123" s="16" t="n"/>
      <c r="X123" s="17" t="n"/>
      <c r="Y123" s="132">
        <f>DADOS_INVOC!$QK$10</f>
        <v/>
      </c>
      <c r="Z123" s="123" t="n"/>
      <c r="AB123" s="55" t="inlineStr">
        <is>
          <t>MELHORIAS</t>
        </is>
      </c>
      <c r="AC123" s="133" t="n"/>
      <c r="AD123" s="16" t="n"/>
      <c r="AE123" s="17" t="n"/>
      <c r="AF123" s="132">
        <f>DADOS_INVOC!$QK$86</f>
        <v/>
      </c>
      <c r="AG123" s="123" t="n"/>
      <c r="AH123" s="55" t="inlineStr">
        <is>
          <t>MELHORIAS</t>
        </is>
      </c>
      <c r="AI123" s="133" t="n"/>
      <c r="AJ123" s="16" t="n"/>
      <c r="AK123" s="17" t="n"/>
      <c r="AL123" s="132">
        <f>DADOS_INVOC!$QK$87</f>
        <v/>
      </c>
      <c r="AM123" s="123" t="n"/>
      <c r="AN123" s="55" t="inlineStr">
        <is>
          <t>MELHORIAS</t>
        </is>
      </c>
      <c r="AO123" s="133" t="n"/>
      <c r="AP123" s="16" t="n"/>
      <c r="AQ123" s="17" t="n"/>
      <c r="AR123" s="132">
        <f>DADOS_INVOC!$QK$88</f>
        <v/>
      </c>
      <c r="AS123" s="123" t="n"/>
    </row>
    <row r="124" hidden="1" outlineLevel="3">
      <c r="A124" s="8" t="n"/>
      <c r="B124" s="14" t="n"/>
      <c r="C124" s="123" t="n"/>
      <c r="D124" s="123" t="n"/>
      <c r="E124" s="123" t="n"/>
      <c r="F124" s="123" t="n"/>
      <c r="G124" s="123" t="n"/>
      <c r="I124" s="134" t="n"/>
      <c r="J124" s="133" t="n"/>
      <c r="K124" s="16" t="n"/>
      <c r="L124" s="17" t="n"/>
      <c r="M124" s="132">
        <f>DADOS_INVOC!$QL$8</f>
        <v/>
      </c>
      <c r="N124" s="123" t="n"/>
      <c r="O124" s="134" t="n"/>
      <c r="P124" s="133" t="n"/>
      <c r="Q124" s="16" t="n"/>
      <c r="R124" s="17" t="n"/>
      <c r="S124" s="132">
        <f>DADOS_INVOC!$QL$9</f>
        <v/>
      </c>
      <c r="T124" s="123" t="n"/>
      <c r="U124" s="134" t="n"/>
      <c r="V124" s="133" t="n"/>
      <c r="W124" s="16" t="n"/>
      <c r="X124" s="17" t="n"/>
      <c r="Y124" s="132">
        <f>DADOS_INVOC!$QL$10</f>
        <v/>
      </c>
      <c r="Z124" s="123" t="n"/>
      <c r="AB124" s="134" t="n"/>
      <c r="AC124" s="133" t="n"/>
      <c r="AD124" s="16" t="n"/>
      <c r="AE124" s="17" t="n"/>
      <c r="AF124" s="132">
        <f>DADOS_INVOC!$QL$86</f>
        <v/>
      </c>
      <c r="AG124" s="123" t="n"/>
      <c r="AH124" s="134" t="n"/>
      <c r="AI124" s="133" t="n"/>
      <c r="AJ124" s="16" t="n"/>
      <c r="AK124" s="17" t="n"/>
      <c r="AL124" s="132">
        <f>DADOS_INVOC!$QL$87</f>
        <v/>
      </c>
      <c r="AM124" s="123" t="n"/>
      <c r="AN124" s="134" t="n"/>
      <c r="AO124" s="133" t="n"/>
      <c r="AP124" s="16" t="n"/>
      <c r="AQ124" s="17" t="n"/>
      <c r="AR124" s="132">
        <f>DADOS_INVOC!$QL$88</f>
        <v/>
      </c>
      <c r="AS124" s="123" t="n"/>
    </row>
    <row r="125" hidden="1" outlineLevel="3">
      <c r="A125" s="8" t="n"/>
      <c r="B125" s="14" t="n"/>
      <c r="C125" s="123" t="n"/>
      <c r="D125" s="123" t="n"/>
      <c r="E125" s="123" t="n"/>
      <c r="F125" s="123" t="n"/>
      <c r="G125" s="123" t="n"/>
      <c r="I125" s="134" t="n"/>
      <c r="J125" s="133" t="n"/>
      <c r="K125" s="16" t="n"/>
      <c r="L125" s="17" t="n"/>
      <c r="M125" s="132">
        <f>DADOS_INVOC!$QM$8</f>
        <v/>
      </c>
      <c r="N125" s="123" t="n"/>
      <c r="O125" s="134" t="n"/>
      <c r="P125" s="133" t="n"/>
      <c r="Q125" s="16" t="n"/>
      <c r="R125" s="17" t="n"/>
      <c r="S125" s="132">
        <f>DADOS_INVOC!$QM$9</f>
        <v/>
      </c>
      <c r="T125" s="123" t="n"/>
      <c r="U125" s="134" t="n"/>
      <c r="V125" s="133" t="n"/>
      <c r="W125" s="16" t="n"/>
      <c r="X125" s="17" t="n"/>
      <c r="Y125" s="132">
        <f>DADOS_INVOC!$QM$10</f>
        <v/>
      </c>
      <c r="Z125" s="123" t="n"/>
      <c r="AB125" s="134" t="n"/>
      <c r="AC125" s="133" t="n"/>
      <c r="AD125" s="16" t="n"/>
      <c r="AE125" s="17" t="n"/>
      <c r="AF125" s="132">
        <f>DADOS_INVOC!$QM$86</f>
        <v/>
      </c>
      <c r="AG125" s="123" t="n"/>
      <c r="AH125" s="134" t="n"/>
      <c r="AI125" s="133" t="n"/>
      <c r="AJ125" s="16" t="n"/>
      <c r="AK125" s="17" t="n"/>
      <c r="AL125" s="132">
        <f>DADOS_INVOC!$QM$87</f>
        <v/>
      </c>
      <c r="AM125" s="123" t="n"/>
      <c r="AN125" s="134" t="n"/>
      <c r="AO125" s="133" t="n"/>
      <c r="AP125" s="16" t="n"/>
      <c r="AQ125" s="17" t="n"/>
      <c r="AR125" s="132">
        <f>DADOS_INVOC!$QM$88</f>
        <v/>
      </c>
      <c r="AS125" s="123" t="n"/>
    </row>
    <row r="126" hidden="1" outlineLevel="3">
      <c r="A126" s="8" t="n"/>
      <c r="B126" s="14" t="n"/>
      <c r="C126" s="123" t="n"/>
      <c r="D126" s="123" t="n"/>
      <c r="E126" s="123" t="n"/>
      <c r="F126" s="123" t="n"/>
      <c r="G126" s="123" t="n"/>
      <c r="I126" s="128" t="n"/>
      <c r="J126" s="133" t="n"/>
      <c r="K126" s="16" t="n"/>
      <c r="L126" s="17" t="n"/>
      <c r="M126" s="132">
        <f>DADOS_INVOC!$QN$8</f>
        <v/>
      </c>
      <c r="N126" s="123" t="n"/>
      <c r="O126" s="128" t="n"/>
      <c r="P126" s="133" t="n"/>
      <c r="Q126" s="16" t="n"/>
      <c r="R126" s="17" t="n"/>
      <c r="S126" s="132">
        <f>DADOS_INVOC!$QN$9</f>
        <v/>
      </c>
      <c r="T126" s="123" t="n"/>
      <c r="U126" s="128" t="n"/>
      <c r="V126" s="133" t="n"/>
      <c r="W126" s="16" t="n"/>
      <c r="X126" s="17" t="n"/>
      <c r="Y126" s="132">
        <f>DADOS_INVOC!$QN$10</f>
        <v/>
      </c>
      <c r="Z126" s="123" t="n"/>
      <c r="AB126" s="128" t="n"/>
      <c r="AC126" s="133" t="n"/>
      <c r="AD126" s="16" t="n"/>
      <c r="AE126" s="17" t="n"/>
      <c r="AF126" s="132">
        <f>DADOS_INVOC!$QN$86</f>
        <v/>
      </c>
      <c r="AG126" s="123" t="n"/>
      <c r="AH126" s="128" t="n"/>
      <c r="AI126" s="133" t="n"/>
      <c r="AJ126" s="16" t="n"/>
      <c r="AK126" s="17" t="n"/>
      <c r="AL126" s="132">
        <f>DADOS_INVOC!$QN$87</f>
        <v/>
      </c>
      <c r="AM126" s="123" t="n"/>
      <c r="AN126" s="128" t="n"/>
      <c r="AO126" s="133" t="n"/>
      <c r="AP126" s="16" t="n"/>
      <c r="AQ126" s="17" t="n"/>
      <c r="AR126" s="132">
        <f>DADOS_INVOC!$QN$88</f>
        <v/>
      </c>
      <c r="AS126" s="123" t="n"/>
    </row>
    <row r="127" hidden="1" outlineLevel="3">
      <c r="A127" s="8" t="n"/>
      <c r="B127" s="14" t="n"/>
      <c r="C127" s="123" t="n"/>
      <c r="D127" s="123" t="n"/>
      <c r="E127" s="123" t="n"/>
      <c r="F127" s="123" t="n"/>
      <c r="G127" s="123" t="n"/>
      <c r="I127" s="55" t="inlineStr">
        <is>
          <t>RESTRIÇÕES</t>
        </is>
      </c>
      <c r="J127" s="133" t="n"/>
      <c r="K127" s="16" t="n"/>
      <c r="L127" s="17" t="n"/>
      <c r="M127" s="132">
        <f>DADOS_INVOC!$QO$8</f>
        <v/>
      </c>
      <c r="N127" s="123" t="n"/>
      <c r="O127" s="55" t="inlineStr">
        <is>
          <t>RESTRIÇÕES</t>
        </is>
      </c>
      <c r="P127" s="133" t="n"/>
      <c r="Q127" s="16" t="n"/>
      <c r="R127" s="17" t="n"/>
      <c r="S127" s="132">
        <f>DADOS_INVOC!$QO$9</f>
        <v/>
      </c>
      <c r="T127" s="123" t="n"/>
      <c r="U127" s="55" t="inlineStr">
        <is>
          <t>RESTRIÇÕES</t>
        </is>
      </c>
      <c r="V127" s="133" t="n"/>
      <c r="W127" s="16" t="n"/>
      <c r="X127" s="17" t="n"/>
      <c r="Y127" s="132">
        <f>DADOS_INVOC!$QO$10</f>
        <v/>
      </c>
      <c r="Z127" s="123" t="n"/>
      <c r="AB127" s="55" t="inlineStr">
        <is>
          <t>RESTRIÇÕES</t>
        </is>
      </c>
      <c r="AC127" s="133" t="n"/>
      <c r="AD127" s="16" t="n"/>
      <c r="AE127" s="17" t="n"/>
      <c r="AF127" s="132">
        <f>DADOS_INVOC!$QO$86</f>
        <v/>
      </c>
      <c r="AG127" s="123" t="n"/>
      <c r="AH127" s="55" t="inlineStr">
        <is>
          <t>RESTRIÇÕES</t>
        </is>
      </c>
      <c r="AI127" s="133" t="n"/>
      <c r="AJ127" s="16" t="n"/>
      <c r="AK127" s="17" t="n"/>
      <c r="AL127" s="132">
        <f>DADOS_INVOC!$QO$87</f>
        <v/>
      </c>
      <c r="AM127" s="123" t="n"/>
      <c r="AN127" s="55" t="inlineStr">
        <is>
          <t>RESTRIÇÕES</t>
        </is>
      </c>
      <c r="AO127" s="133" t="n"/>
      <c r="AP127" s="16" t="n"/>
      <c r="AQ127" s="17" t="n"/>
      <c r="AR127" s="132">
        <f>DADOS_INVOC!$QO$88</f>
        <v/>
      </c>
      <c r="AS127" s="123" t="n"/>
    </row>
    <row r="128" hidden="1" outlineLevel="3">
      <c r="A128" s="8" t="n"/>
      <c r="B128" s="14" t="n"/>
      <c r="C128" s="123" t="n"/>
      <c r="D128" s="123" t="n"/>
      <c r="E128" s="123" t="n"/>
      <c r="F128" s="123" t="n"/>
      <c r="G128" s="123" t="n"/>
      <c r="I128" s="128" t="n"/>
      <c r="J128" s="133" t="n"/>
      <c r="K128" s="16" t="n"/>
      <c r="L128" s="17" t="n"/>
      <c r="M128" s="132">
        <f>DADOS_INVOC!$QP$8</f>
        <v/>
      </c>
      <c r="N128" s="123" t="n"/>
      <c r="O128" s="128" t="n"/>
      <c r="P128" s="133" t="n"/>
      <c r="Q128" s="16" t="n"/>
      <c r="R128" s="17" t="n"/>
      <c r="S128" s="132">
        <f>DADOS_INVOC!$QP$9</f>
        <v/>
      </c>
      <c r="T128" s="123" t="n"/>
      <c r="U128" s="128" t="n"/>
      <c r="V128" s="133" t="n"/>
      <c r="W128" s="16" t="n"/>
      <c r="X128" s="17" t="n"/>
      <c r="Y128" s="132">
        <f>DADOS_INVOC!$QP$10</f>
        <v/>
      </c>
      <c r="Z128" s="123" t="n"/>
      <c r="AB128" s="128" t="n"/>
      <c r="AC128" s="133" t="n"/>
      <c r="AD128" s="16" t="n"/>
      <c r="AE128" s="17" t="n"/>
      <c r="AF128" s="132">
        <f>DADOS_INVOC!$QP$86</f>
        <v/>
      </c>
      <c r="AG128" s="123" t="n"/>
      <c r="AH128" s="128" t="n"/>
      <c r="AI128" s="133" t="n"/>
      <c r="AJ128" s="16" t="n"/>
      <c r="AK128" s="17" t="n"/>
      <c r="AL128" s="132">
        <f>DADOS_INVOC!$QP$87</f>
        <v/>
      </c>
      <c r="AM128" s="123" t="n"/>
      <c r="AN128" s="128" t="n"/>
      <c r="AO128" s="133" t="n"/>
      <c r="AP128" s="16" t="n"/>
      <c r="AQ128" s="17" t="n"/>
      <c r="AR128" s="132">
        <f>DADOS_INVOC!$QP$88</f>
        <v/>
      </c>
      <c r="AS128" s="123" t="n"/>
    </row>
    <row r="129" hidden="1" outlineLevel="3">
      <c r="A129" s="8" t="n"/>
      <c r="B129" s="14" t="n"/>
      <c r="C129" s="123" t="n"/>
      <c r="D129" s="123" t="n"/>
      <c r="E129" s="123" t="n"/>
      <c r="F129" s="123" t="n"/>
      <c r="G129" s="123" t="n"/>
      <c r="I129" s="55" t="inlineStr">
        <is>
          <t>CONTA</t>
        </is>
      </c>
      <c r="J129" s="135">
        <f>DADOS_INVOC!$QI$8</f>
        <v/>
      </c>
      <c r="K129" s="16" t="n"/>
      <c r="L129" s="16" t="n"/>
      <c r="M129" s="17" t="n"/>
      <c r="N129" s="123" t="n"/>
      <c r="O129" s="55" t="inlineStr">
        <is>
          <t>CONTA</t>
        </is>
      </c>
      <c r="P129" s="135">
        <f>DADOS_INVOC!$QI$9</f>
        <v/>
      </c>
      <c r="Q129" s="16" t="n"/>
      <c r="R129" s="16" t="n"/>
      <c r="S129" s="17" t="n"/>
      <c r="T129" s="123" t="n"/>
      <c r="U129" s="55" t="inlineStr">
        <is>
          <t>CONTA</t>
        </is>
      </c>
      <c r="V129" s="135">
        <f>DADOS_INVOC!$QI$10</f>
        <v/>
      </c>
      <c r="W129" s="16" t="n"/>
      <c r="X129" s="16" t="n"/>
      <c r="Y129" s="17" t="n"/>
      <c r="Z129" s="123" t="n"/>
      <c r="AB129" s="55" t="inlineStr">
        <is>
          <t>CONTA</t>
        </is>
      </c>
      <c r="AC129" s="135">
        <f>DADOS_INVOC!$QI$86</f>
        <v/>
      </c>
      <c r="AD129" s="16" t="n"/>
      <c r="AE129" s="16" t="n"/>
      <c r="AF129" s="17" t="n"/>
      <c r="AG129" s="123" t="n"/>
      <c r="AH129" s="55" t="inlineStr">
        <is>
          <t>CONTA</t>
        </is>
      </c>
      <c r="AI129" s="135">
        <f>DADOS_INVOC!$QI$87</f>
        <v/>
      </c>
      <c r="AJ129" s="16" t="n"/>
      <c r="AK129" s="16" t="n"/>
      <c r="AL129" s="17" t="n"/>
      <c r="AM129" s="123" t="n"/>
      <c r="AN129" s="55" t="inlineStr">
        <is>
          <t>CONTA</t>
        </is>
      </c>
      <c r="AO129" s="135">
        <f>DADOS_INVOC!$QI$88</f>
        <v/>
      </c>
      <c r="AP129" s="16" t="n"/>
      <c r="AQ129" s="16" t="n"/>
      <c r="AR129" s="17" t="n"/>
      <c r="AS129" s="123" t="n"/>
    </row>
    <row r="130" hidden="1" outlineLevel="3">
      <c r="A130" s="8" t="n"/>
      <c r="B130" s="14" t="n"/>
      <c r="C130" s="123" t="n"/>
      <c r="D130" s="123" t="n"/>
      <c r="E130" s="123" t="n"/>
      <c r="F130" s="123" t="n"/>
      <c r="G130" s="123" t="n"/>
      <c r="I130" s="55" t="inlineStr">
        <is>
          <t>AMPLIAR</t>
        </is>
      </c>
      <c r="J130" s="135">
        <f>DADOS_INVOC!$QJ$8</f>
        <v/>
      </c>
      <c r="K130" s="19" t="n"/>
      <c r="L130" s="19" t="n"/>
      <c r="M130" s="20" t="n"/>
      <c r="N130" s="123" t="n"/>
      <c r="O130" s="55" t="inlineStr">
        <is>
          <t>AMPLIAR</t>
        </is>
      </c>
      <c r="P130" s="135">
        <f>DADOS_INVOC!$QJ$9</f>
        <v/>
      </c>
      <c r="Q130" s="19" t="n"/>
      <c r="R130" s="19" t="n"/>
      <c r="S130" s="20" t="n"/>
      <c r="T130" s="123" t="n"/>
      <c r="U130" s="55" t="inlineStr">
        <is>
          <t>AMPLIAR</t>
        </is>
      </c>
      <c r="V130" s="135">
        <f>DADOS_INVOC!$QJ$10</f>
        <v/>
      </c>
      <c r="W130" s="19" t="n"/>
      <c r="X130" s="19" t="n"/>
      <c r="Y130" s="20" t="n"/>
      <c r="Z130" s="123" t="n"/>
      <c r="AB130" s="55" t="inlineStr">
        <is>
          <t>AMPLIAR</t>
        </is>
      </c>
      <c r="AC130" s="135">
        <f>DADOS_INVOC!$QJ$86</f>
        <v/>
      </c>
      <c r="AD130" s="19" t="n"/>
      <c r="AE130" s="19" t="n"/>
      <c r="AF130" s="20" t="n"/>
      <c r="AG130" s="123" t="n"/>
      <c r="AH130" s="55" t="inlineStr">
        <is>
          <t>AMPLIAR</t>
        </is>
      </c>
      <c r="AI130" s="135">
        <f>DADOS_INVOC!$QJ$87</f>
        <v/>
      </c>
      <c r="AJ130" s="19" t="n"/>
      <c r="AK130" s="19" t="n"/>
      <c r="AL130" s="20" t="n"/>
      <c r="AM130" s="123" t="n"/>
      <c r="AN130" s="55" t="inlineStr">
        <is>
          <t>AMPLIAR</t>
        </is>
      </c>
      <c r="AO130" s="135">
        <f>DADOS_INVOC!$QJ$88</f>
        <v/>
      </c>
      <c r="AP130" s="19" t="n"/>
      <c r="AQ130" s="19" t="n"/>
      <c r="AR130" s="20" t="n"/>
      <c r="AS130" s="123" t="n"/>
    </row>
    <row r="131" hidden="1" outlineLevel="3">
      <c r="A131" s="8" t="n"/>
      <c r="B131" s="14" t="n"/>
      <c r="C131" s="123" t="n"/>
      <c r="D131" s="123" t="n"/>
      <c r="E131" s="123" t="n"/>
      <c r="F131" s="123" t="n"/>
      <c r="G131" s="123" t="n"/>
      <c r="I131" s="128" t="n"/>
      <c r="J131" s="23" t="n"/>
      <c r="K131" s="24" t="n"/>
      <c r="L131" s="24" t="n"/>
      <c r="M131" s="25" t="n"/>
      <c r="N131" s="123" t="n"/>
      <c r="O131" s="128" t="n"/>
      <c r="P131" s="23" t="n"/>
      <c r="Q131" s="24" t="n"/>
      <c r="R131" s="24" t="n"/>
      <c r="S131" s="25" t="n"/>
      <c r="T131" s="123" t="n"/>
      <c r="U131" s="128" t="n"/>
      <c r="V131" s="23" t="n"/>
      <c r="W131" s="24" t="n"/>
      <c r="X131" s="24" t="n"/>
      <c r="Y131" s="25" t="n"/>
      <c r="Z131" s="123" t="n"/>
      <c r="AB131" s="128" t="n"/>
      <c r="AC131" s="23" t="n"/>
      <c r="AD131" s="24" t="n"/>
      <c r="AE131" s="24" t="n"/>
      <c r="AF131" s="25" t="n"/>
      <c r="AG131" s="123" t="n"/>
      <c r="AH131" s="128" t="n"/>
      <c r="AI131" s="23" t="n"/>
      <c r="AJ131" s="24" t="n"/>
      <c r="AK131" s="24" t="n"/>
      <c r="AL131" s="25" t="n"/>
      <c r="AM131" s="123" t="n"/>
      <c r="AN131" s="128" t="n"/>
      <c r="AO131" s="23" t="n"/>
      <c r="AP131" s="24" t="n"/>
      <c r="AQ131" s="24" t="n"/>
      <c r="AR131" s="25" t="n"/>
      <c r="AS131" s="123" t="n"/>
    </row>
    <row r="132" hidden="1" outlineLevel="3">
      <c r="A132" s="8" t="n"/>
      <c r="B132" s="14" t="n"/>
      <c r="C132" s="123" t="n"/>
      <c r="D132" s="123" t="n"/>
      <c r="E132" s="123" t="n"/>
      <c r="F132" s="123" t="n"/>
      <c r="G132" s="123" t="n"/>
      <c r="I132" s="135">
        <f>DADOS_INVOC!$PW$8</f>
        <v/>
      </c>
      <c r="J132" s="19" t="n"/>
      <c r="K132" s="19" t="n"/>
      <c r="L132" s="19" t="n"/>
      <c r="M132" s="20" t="n"/>
      <c r="N132" s="123" t="n"/>
      <c r="O132" s="135">
        <f>DADOS_INVOC!$PW$9</f>
        <v/>
      </c>
      <c r="P132" s="19" t="n"/>
      <c r="Q132" s="19" t="n"/>
      <c r="R132" s="19" t="n"/>
      <c r="S132" s="20" t="n"/>
      <c r="T132" s="123" t="n"/>
      <c r="U132" s="135">
        <f>DADOS_INVOC!$PW$10</f>
        <v/>
      </c>
      <c r="V132" s="19" t="n"/>
      <c r="W132" s="19" t="n"/>
      <c r="X132" s="19" t="n"/>
      <c r="Y132" s="20" t="n"/>
      <c r="Z132" s="123" t="n"/>
      <c r="AB132" s="135">
        <f>DADOS_INVOC!$PW$86</f>
        <v/>
      </c>
      <c r="AC132" s="19" t="n"/>
      <c r="AD132" s="19" t="n"/>
      <c r="AE132" s="19" t="n"/>
      <c r="AF132" s="20" t="n"/>
      <c r="AG132" s="123" t="n"/>
      <c r="AH132" s="135">
        <f>DADOS_INVOC!$PW$87</f>
        <v/>
      </c>
      <c r="AI132" s="19" t="n"/>
      <c r="AJ132" s="19" t="n"/>
      <c r="AK132" s="19" t="n"/>
      <c r="AL132" s="20" t="n"/>
      <c r="AM132" s="123" t="n"/>
      <c r="AN132" s="135">
        <f>DADOS_INVOC!$PW$88</f>
        <v/>
      </c>
      <c r="AO132" s="19" t="n"/>
      <c r="AP132" s="19" t="n"/>
      <c r="AQ132" s="19" t="n"/>
      <c r="AR132" s="20" t="n"/>
      <c r="AS132" s="123" t="n"/>
    </row>
    <row r="133" hidden="1" outlineLevel="3">
      <c r="A133" s="8" t="n"/>
      <c r="B133" s="14" t="n"/>
      <c r="C133" s="123" t="n"/>
      <c r="D133" s="123" t="n"/>
      <c r="E133" s="123" t="n"/>
      <c r="F133" s="123" t="n"/>
      <c r="G133" s="123" t="n"/>
      <c r="I133" s="23" t="n"/>
      <c r="J133" s="24" t="n"/>
      <c r="K133" s="24" t="n"/>
      <c r="L133" s="24" t="n"/>
      <c r="M133" s="25" t="n"/>
      <c r="N133" s="123" t="n"/>
      <c r="O133" s="23" t="n"/>
      <c r="P133" s="24" t="n"/>
      <c r="Q133" s="24" t="n"/>
      <c r="R133" s="24" t="n"/>
      <c r="S133" s="25" t="n"/>
      <c r="T133" s="123" t="n"/>
      <c r="U133" s="23" t="n"/>
      <c r="V133" s="24" t="n"/>
      <c r="W133" s="24" t="n"/>
      <c r="X133" s="24" t="n"/>
      <c r="Y133" s="25" t="n"/>
      <c r="Z133" s="123" t="n"/>
      <c r="AB133" s="23" t="n"/>
      <c r="AC133" s="24" t="n"/>
      <c r="AD133" s="24" t="n"/>
      <c r="AE133" s="24" t="n"/>
      <c r="AF133" s="25" t="n"/>
      <c r="AG133" s="123" t="n"/>
      <c r="AH133" s="23" t="n"/>
      <c r="AI133" s="24" t="n"/>
      <c r="AJ133" s="24" t="n"/>
      <c r="AK133" s="24" t="n"/>
      <c r="AL133" s="25" t="n"/>
      <c r="AM133" s="123" t="n"/>
      <c r="AN133" s="23" t="n"/>
      <c r="AO133" s="24" t="n"/>
      <c r="AP133" s="24" t="n"/>
      <c r="AQ133" s="24" t="n"/>
      <c r="AR133" s="25" t="n"/>
      <c r="AS133" s="123" t="n"/>
    </row>
    <row r="134" hidden="1" outlineLevel="2">
      <c r="A134" s="8" t="n"/>
      <c r="B134" s="14" t="n"/>
      <c r="C134" s="123" t="n"/>
      <c r="D134" s="123" t="n"/>
      <c r="E134" s="123" t="n"/>
      <c r="F134" s="123" t="n"/>
      <c r="G134" s="123" t="n"/>
      <c r="I134" s="123" t="n"/>
      <c r="J134" s="123" t="n"/>
      <c r="K134" s="123" t="n"/>
      <c r="L134" s="123" t="n"/>
      <c r="M134" s="123" t="n"/>
      <c r="N134" s="123" t="n"/>
      <c r="O134" s="123" t="n"/>
      <c r="P134" s="123" t="n"/>
      <c r="Q134" s="123" t="n"/>
      <c r="R134" s="123" t="n"/>
      <c r="S134" s="123" t="n"/>
      <c r="T134" s="123" t="n"/>
      <c r="U134" s="123" t="n"/>
      <c r="V134" s="123" t="n"/>
      <c r="W134" s="123" t="n"/>
      <c r="X134" s="123" t="n"/>
      <c r="Y134" s="123" t="n"/>
      <c r="Z134" s="123" t="n"/>
      <c r="AB134" s="123" t="n"/>
      <c r="AC134" s="123" t="n"/>
      <c r="AD134" s="123" t="n"/>
      <c r="AE134" s="123" t="n"/>
      <c r="AF134" s="123" t="n"/>
      <c r="AG134" s="123" t="n"/>
      <c r="AH134" s="123" t="n"/>
      <c r="AI134" s="123" t="n"/>
      <c r="AJ134" s="123" t="n"/>
      <c r="AK134" s="123" t="n"/>
      <c r="AL134" s="123" t="n"/>
      <c r="AM134" s="123" t="n"/>
      <c r="AN134" s="123" t="n"/>
      <c r="AO134" s="123" t="n"/>
      <c r="AP134" s="123" t="n"/>
      <c r="AQ134" s="123" t="n"/>
      <c r="AR134" s="123" t="n"/>
      <c r="AS134" s="123" t="n"/>
    </row>
    <row r="135" hidden="1" outlineLevel="2">
      <c r="A135" s="8" t="n"/>
      <c r="B135" s="14" t="n"/>
      <c r="C135" s="123" t="n"/>
      <c r="D135" s="123" t="n"/>
      <c r="E135" s="123" t="n"/>
      <c r="F135" s="123" t="n"/>
      <c r="G135" s="123" t="n"/>
      <c r="I135" s="55">
        <f>DADOS_INVOC!$PX$11</f>
        <v/>
      </c>
      <c r="J135" s="16" t="n"/>
      <c r="K135" s="16" t="n"/>
      <c r="L135" s="16" t="n"/>
      <c r="M135" s="17" t="n"/>
      <c r="N135" s="123" t="n"/>
      <c r="O135" s="123" t="n"/>
      <c r="P135" s="123" t="n"/>
      <c r="Q135" s="123" t="n"/>
      <c r="R135" s="123" t="n"/>
      <c r="S135" s="123" t="n"/>
      <c r="T135" s="123" t="n"/>
      <c r="U135" s="123" t="n"/>
      <c r="V135" s="123" t="n"/>
      <c r="W135" s="123" t="n"/>
      <c r="X135" s="123" t="n"/>
      <c r="Y135" s="123" t="n"/>
      <c r="Z135" s="123" t="n"/>
      <c r="AB135" s="55">
        <f>DADOS_INVOC!$PX$89</f>
        <v/>
      </c>
      <c r="AC135" s="16" t="n"/>
      <c r="AD135" s="16" t="n"/>
      <c r="AE135" s="16" t="n"/>
      <c r="AF135" s="17" t="n"/>
      <c r="AG135" s="123" t="n"/>
      <c r="AH135" s="123" t="n"/>
      <c r="AI135" s="123" t="n"/>
      <c r="AJ135" s="123" t="n"/>
      <c r="AK135" s="123" t="n"/>
      <c r="AL135" s="123" t="n"/>
      <c r="AM135" s="123" t="n"/>
      <c r="AN135" s="123" t="n"/>
      <c r="AO135" s="123" t="n"/>
      <c r="AP135" s="123" t="n"/>
      <c r="AQ135" s="123" t="n"/>
      <c r="AR135" s="123" t="n"/>
      <c r="AS135" s="123" t="n"/>
    </row>
    <row r="136" hidden="1" outlineLevel="2">
      <c r="A136" s="8" t="n"/>
      <c r="B136" s="14" t="n"/>
      <c r="C136" s="123" t="n"/>
      <c r="D136" s="123" t="n"/>
      <c r="E136" s="123" t="n"/>
      <c r="F136" s="123" t="n"/>
      <c r="G136" s="123" t="n"/>
      <c r="I136" s="130" t="n">
        <v>1</v>
      </c>
      <c r="J136" s="118" t="n"/>
      <c r="K136" s="16" t="n"/>
      <c r="L136" s="17" t="n"/>
      <c r="M136" s="131">
        <f>DADOS_INVOC!$PV$11</f>
        <v/>
      </c>
      <c r="N136" s="123" t="n"/>
      <c r="O136" s="123" t="n"/>
      <c r="P136" s="123" t="n"/>
      <c r="Q136" s="123" t="n"/>
      <c r="R136" s="123" t="n"/>
      <c r="S136" s="123" t="n"/>
      <c r="T136" s="123" t="n"/>
      <c r="U136" s="123" t="n"/>
      <c r="V136" s="123" t="n"/>
      <c r="W136" s="123" t="n"/>
      <c r="X136" s="123" t="n"/>
      <c r="Y136" s="123" t="n"/>
      <c r="Z136" s="123" t="n"/>
      <c r="AB136" s="130" t="n">
        <v>1</v>
      </c>
      <c r="AC136" s="118" t="n"/>
      <c r="AD136" s="16" t="n"/>
      <c r="AE136" s="17" t="n"/>
      <c r="AF136" s="131">
        <f>DADOS_INVOC!$PV$89</f>
        <v/>
      </c>
      <c r="AG136" s="123" t="n"/>
      <c r="AH136" s="123" t="n"/>
      <c r="AI136" s="123" t="n"/>
      <c r="AJ136" s="123" t="n"/>
      <c r="AK136" s="123" t="n"/>
      <c r="AL136" s="123" t="n"/>
      <c r="AM136" s="123" t="n"/>
      <c r="AN136" s="123" t="n"/>
      <c r="AO136" s="123" t="n"/>
      <c r="AP136" s="123" t="n"/>
      <c r="AQ136" s="123" t="n"/>
      <c r="AR136" s="123" t="n"/>
      <c r="AS136" s="123" t="n"/>
    </row>
    <row r="137" hidden="1" outlineLevel="3">
      <c r="A137" s="8" t="n"/>
      <c r="B137" s="14" t="n"/>
      <c r="C137" s="123" t="n"/>
      <c r="D137" s="123" t="n"/>
      <c r="E137" s="123" t="n"/>
      <c r="F137" s="123" t="n"/>
      <c r="G137" s="123" t="n"/>
      <c r="I137" s="55" t="inlineStr">
        <is>
          <t>COMO É</t>
        </is>
      </c>
      <c r="J137" s="16" t="n"/>
      <c r="K137" s="16" t="n"/>
      <c r="L137" s="16" t="n"/>
      <c r="M137" s="17" t="n"/>
      <c r="N137" s="123" t="n"/>
      <c r="O137" s="123" t="n"/>
      <c r="P137" s="123" t="n"/>
      <c r="Q137" s="123" t="n"/>
      <c r="R137" s="123" t="n"/>
      <c r="S137" s="123" t="n"/>
      <c r="T137" s="123" t="n"/>
      <c r="U137" s="123" t="n"/>
      <c r="V137" s="123" t="n"/>
      <c r="W137" s="123" t="n"/>
      <c r="X137" s="123" t="n"/>
      <c r="Y137" s="123" t="n"/>
      <c r="Z137" s="123" t="n"/>
      <c r="AB137" s="55" t="inlineStr">
        <is>
          <t>COMO É</t>
        </is>
      </c>
      <c r="AC137" s="16" t="n"/>
      <c r="AD137" s="16" t="n"/>
      <c r="AE137" s="16" t="n"/>
      <c r="AF137" s="17" t="n"/>
      <c r="AG137" s="123" t="n"/>
      <c r="AH137" s="123" t="n"/>
      <c r="AI137" s="123" t="n"/>
      <c r="AJ137" s="123" t="n"/>
      <c r="AK137" s="123" t="n"/>
      <c r="AL137" s="123" t="n"/>
      <c r="AM137" s="123" t="n"/>
      <c r="AN137" s="123" t="n"/>
      <c r="AO137" s="123" t="n"/>
      <c r="AP137" s="123" t="n"/>
      <c r="AQ137" s="123" t="n"/>
      <c r="AR137" s="123" t="n"/>
      <c r="AS137" s="123" t="n"/>
    </row>
    <row r="138" hidden="1" outlineLevel="3">
      <c r="A138" s="8" t="n"/>
      <c r="B138" s="14" t="n"/>
      <c r="C138" s="123" t="n"/>
      <c r="D138" s="123" t="n"/>
      <c r="E138" s="123" t="n"/>
      <c r="F138" s="123" t="n"/>
      <c r="G138" s="123" t="n"/>
      <c r="I138" s="119" t="n"/>
      <c r="J138" s="19" t="n"/>
      <c r="K138" s="19" t="n"/>
      <c r="L138" s="19" t="n"/>
      <c r="M138" s="20" t="n"/>
      <c r="N138" s="123" t="n"/>
      <c r="O138" s="123" t="n"/>
      <c r="P138" s="123" t="n"/>
      <c r="Q138" s="123" t="n"/>
      <c r="R138" s="123" t="n"/>
      <c r="S138" s="123" t="n"/>
      <c r="T138" s="123" t="n"/>
      <c r="U138" s="123" t="n"/>
      <c r="V138" s="123" t="n"/>
      <c r="W138" s="123" t="n"/>
      <c r="X138" s="123" t="n"/>
      <c r="Y138" s="123" t="n"/>
      <c r="Z138" s="123" t="n"/>
      <c r="AB138" s="119" t="n"/>
      <c r="AC138" s="19" t="n"/>
      <c r="AD138" s="19" t="n"/>
      <c r="AE138" s="19" t="n"/>
      <c r="AF138" s="20" t="n"/>
      <c r="AG138" s="123" t="n"/>
      <c r="AH138" s="123" t="n"/>
      <c r="AI138" s="123" t="n"/>
      <c r="AJ138" s="123" t="n"/>
      <c r="AK138" s="123" t="n"/>
      <c r="AL138" s="123" t="n"/>
      <c r="AM138" s="123" t="n"/>
      <c r="AN138" s="123" t="n"/>
      <c r="AO138" s="123" t="n"/>
      <c r="AP138" s="123" t="n"/>
      <c r="AQ138" s="123" t="n"/>
      <c r="AR138" s="123" t="n"/>
      <c r="AS138" s="123" t="n"/>
    </row>
    <row r="139" hidden="1" outlineLevel="3">
      <c r="A139" s="8" t="n"/>
      <c r="B139" s="14" t="n"/>
      <c r="C139" s="123" t="n"/>
      <c r="D139" s="123" t="n"/>
      <c r="E139" s="123" t="n"/>
      <c r="F139" s="123" t="n"/>
      <c r="G139" s="123" t="n"/>
      <c r="I139" s="21" t="n"/>
      <c r="M139" s="22" t="n"/>
      <c r="N139" s="123" t="n"/>
      <c r="O139" s="123" t="n"/>
      <c r="P139" s="123" t="n"/>
      <c r="Q139" s="123" t="n"/>
      <c r="R139" s="123" t="n"/>
      <c r="S139" s="123" t="n"/>
      <c r="T139" s="123" t="n"/>
      <c r="U139" s="123" t="n"/>
      <c r="V139" s="123" t="n"/>
      <c r="W139" s="123" t="n"/>
      <c r="X139" s="123" t="n"/>
      <c r="Y139" s="123" t="n"/>
      <c r="Z139" s="123" t="n"/>
      <c r="AB139" s="21" t="n"/>
      <c r="AF139" s="22" t="n"/>
      <c r="AG139" s="123" t="n"/>
      <c r="AH139" s="123" t="n"/>
      <c r="AI139" s="123" t="n"/>
      <c r="AJ139" s="123" t="n"/>
      <c r="AK139" s="123" t="n"/>
      <c r="AL139" s="123" t="n"/>
      <c r="AM139" s="123" t="n"/>
      <c r="AN139" s="123" t="n"/>
      <c r="AO139" s="123" t="n"/>
      <c r="AP139" s="123" t="n"/>
      <c r="AQ139" s="123" t="n"/>
      <c r="AR139" s="123" t="n"/>
      <c r="AS139" s="123" t="n"/>
    </row>
    <row r="140" hidden="1" outlineLevel="3">
      <c r="A140" s="8" t="n"/>
      <c r="B140" s="14" t="n"/>
      <c r="C140" s="123" t="n"/>
      <c r="D140" s="123" t="n"/>
      <c r="E140" s="123" t="n"/>
      <c r="F140" s="123" t="n"/>
      <c r="G140" s="123" t="n"/>
      <c r="I140" s="23" t="n"/>
      <c r="J140" s="24" t="n"/>
      <c r="K140" s="24" t="n"/>
      <c r="L140" s="24" t="n"/>
      <c r="M140" s="25" t="n"/>
      <c r="N140" s="123" t="n"/>
      <c r="O140" s="123" t="n"/>
      <c r="P140" s="123" t="n"/>
      <c r="Q140" s="123" t="n"/>
      <c r="R140" s="123" t="n"/>
      <c r="S140" s="123" t="n"/>
      <c r="T140" s="123" t="n"/>
      <c r="U140" s="123" t="n"/>
      <c r="V140" s="123" t="n"/>
      <c r="W140" s="123" t="n"/>
      <c r="X140" s="123" t="n"/>
      <c r="Y140" s="123" t="n"/>
      <c r="Z140" s="123" t="n"/>
      <c r="AB140" s="23" t="n"/>
      <c r="AC140" s="24" t="n"/>
      <c r="AD140" s="24" t="n"/>
      <c r="AE140" s="24" t="n"/>
      <c r="AF140" s="25" t="n"/>
      <c r="AG140" s="123" t="n"/>
      <c r="AH140" s="123" t="n"/>
      <c r="AI140" s="123" t="n"/>
      <c r="AJ140" s="123" t="n"/>
      <c r="AK140" s="123" t="n"/>
      <c r="AL140" s="123" t="n"/>
      <c r="AM140" s="123" t="n"/>
      <c r="AN140" s="123" t="n"/>
      <c r="AO140" s="123" t="n"/>
      <c r="AP140" s="123" t="n"/>
      <c r="AQ140" s="123" t="n"/>
      <c r="AR140" s="123" t="n"/>
      <c r="AS140" s="123" t="n"/>
    </row>
    <row r="141" hidden="1" outlineLevel="2">
      <c r="A141" s="8" t="n"/>
      <c r="B141" s="14" t="n"/>
      <c r="C141" s="123" t="n"/>
      <c r="D141" s="123" t="n"/>
      <c r="E141" s="123" t="n"/>
      <c r="F141" s="123" t="n"/>
      <c r="G141" s="123" t="n"/>
      <c r="I141" s="127" t="inlineStr">
        <is>
          <t>Projétil</t>
        </is>
      </c>
      <c r="J141" s="17" t="n"/>
      <c r="K141" s="68">
        <f>DADOS_INVOC!$QC$11</f>
        <v/>
      </c>
      <c r="L141" s="17" t="n"/>
      <c r="M141" s="68">
        <f>DADOS_INVOC!$PY$11</f>
        <v/>
      </c>
      <c r="N141" s="123" t="n"/>
      <c r="O141" s="123" t="n"/>
      <c r="P141" s="123" t="n"/>
      <c r="Q141" s="123" t="n"/>
      <c r="R141" s="123" t="n"/>
      <c r="S141" s="123" t="n"/>
      <c r="T141" s="123" t="n"/>
      <c r="U141" s="123" t="n"/>
      <c r="V141" s="123" t="n"/>
      <c r="W141" s="123" t="n"/>
      <c r="X141" s="123" t="n"/>
      <c r="Y141" s="123" t="n"/>
      <c r="Z141" s="123" t="n"/>
      <c r="AB141" s="127" t="inlineStr">
        <is>
          <t>Projétil</t>
        </is>
      </c>
      <c r="AC141" s="17" t="n"/>
      <c r="AD141" s="68">
        <f>DADOS_INVOC!$QC$89</f>
        <v/>
      </c>
      <c r="AE141" s="17" t="n"/>
      <c r="AF141" s="68">
        <f>DADOS_INVOC!$PY$89</f>
        <v/>
      </c>
      <c r="AG141" s="123" t="n"/>
      <c r="AH141" s="123" t="n"/>
      <c r="AI141" s="123" t="n"/>
      <c r="AJ141" s="123" t="n"/>
      <c r="AK141" s="123" t="n"/>
      <c r="AL141" s="123" t="n"/>
      <c r="AM141" s="123" t="n"/>
      <c r="AN141" s="123" t="n"/>
      <c r="AO141" s="123" t="n"/>
      <c r="AP141" s="123" t="n"/>
      <c r="AQ141" s="123" t="n"/>
      <c r="AR141" s="123" t="n"/>
      <c r="AS141" s="123" t="n"/>
    </row>
    <row r="142" hidden="1" outlineLevel="2">
      <c r="A142" s="8" t="n"/>
      <c r="B142" s="14" t="n"/>
      <c r="C142" s="123" t="n"/>
      <c r="D142" s="123" t="n"/>
      <c r="E142" s="123" t="n"/>
      <c r="F142" s="123" t="n"/>
      <c r="G142" s="123" t="n"/>
      <c r="I142" s="127" t="n"/>
      <c r="J142" s="17" t="n"/>
      <c r="K142" s="127" t="n"/>
      <c r="L142" s="16" t="n"/>
      <c r="M142" s="17" t="n"/>
      <c r="N142" s="123" t="n"/>
      <c r="O142" s="123" t="n"/>
      <c r="P142" s="123" t="n"/>
      <c r="Q142" s="123" t="n"/>
      <c r="R142" s="123" t="n"/>
      <c r="S142" s="123" t="n"/>
      <c r="T142" s="123" t="n"/>
      <c r="U142" s="123" t="n"/>
      <c r="V142" s="123" t="n"/>
      <c r="W142" s="123" t="n"/>
      <c r="X142" s="123" t="n"/>
      <c r="Y142" s="123" t="n"/>
      <c r="Z142" s="123" t="n"/>
      <c r="AB142" s="127" t="n"/>
      <c r="AC142" s="17" t="n"/>
      <c r="AD142" s="127" t="n"/>
      <c r="AE142" s="16" t="n"/>
      <c r="AF142" s="17" t="n"/>
      <c r="AG142" s="123" t="n"/>
      <c r="AH142" s="123" t="n"/>
      <c r="AI142" s="123" t="n"/>
      <c r="AJ142" s="123" t="n"/>
      <c r="AK142" s="123" t="n"/>
      <c r="AL142" s="123" t="n"/>
      <c r="AM142" s="123" t="n"/>
      <c r="AN142" s="123" t="n"/>
      <c r="AO142" s="123" t="n"/>
      <c r="AP142" s="123" t="n"/>
      <c r="AQ142" s="123" t="n"/>
      <c r="AR142" s="123" t="n"/>
      <c r="AS142" s="123" t="n"/>
    </row>
    <row r="143" hidden="1" outlineLevel="2">
      <c r="A143" s="8" t="n"/>
      <c r="B143" s="14" t="n"/>
      <c r="C143" s="123" t="n"/>
      <c r="D143" s="123" t="n"/>
      <c r="E143" s="123" t="n"/>
      <c r="F143" s="123" t="n"/>
      <c r="G143" s="123" t="n"/>
      <c r="I143" s="127">
        <f>DADOS_INVOC!$PZ$11</f>
        <v/>
      </c>
      <c r="J143" s="17" t="n"/>
      <c r="K143" s="127">
        <f>DADOS_INVOC!$QB$11</f>
        <v/>
      </c>
      <c r="L143" s="16" t="n"/>
      <c r="M143" s="17" t="n"/>
      <c r="N143" s="123" t="n"/>
      <c r="O143" s="123" t="n"/>
      <c r="P143" s="123" t="n"/>
      <c r="Q143" s="123" t="n"/>
      <c r="R143" s="123" t="n"/>
      <c r="S143" s="123" t="n"/>
      <c r="T143" s="123" t="n"/>
      <c r="U143" s="123" t="n"/>
      <c r="V143" s="123" t="n"/>
      <c r="W143" s="123" t="n"/>
      <c r="X143" s="123" t="n"/>
      <c r="Y143" s="123" t="n"/>
      <c r="Z143" s="123" t="n"/>
      <c r="AB143" s="127">
        <f>DADOS_INVOC!$PZ$89</f>
        <v/>
      </c>
      <c r="AC143" s="17" t="n"/>
      <c r="AD143" s="127">
        <f>DADOS_INVOC!$QB$89</f>
        <v/>
      </c>
      <c r="AE143" s="16" t="n"/>
      <c r="AF143" s="17" t="n"/>
      <c r="AG143" s="123" t="n"/>
      <c r="AH143" s="123" t="n"/>
      <c r="AI143" s="123" t="n"/>
      <c r="AJ143" s="123" t="n"/>
      <c r="AK143" s="123" t="n"/>
      <c r="AL143" s="123" t="n"/>
      <c r="AM143" s="123" t="n"/>
      <c r="AN143" s="123" t="n"/>
      <c r="AO143" s="123" t="n"/>
      <c r="AP143" s="123" t="n"/>
      <c r="AQ143" s="123" t="n"/>
      <c r="AR143" s="123" t="n"/>
      <c r="AS143" s="123" t="n"/>
    </row>
    <row r="144" hidden="1" outlineLevel="2">
      <c r="A144" s="8" t="n"/>
      <c r="B144" s="14" t="n"/>
      <c r="C144" s="123" t="n"/>
      <c r="D144" s="123" t="n"/>
      <c r="E144" s="123" t="n"/>
      <c r="F144" s="123" t="n"/>
      <c r="G144" s="123" t="n"/>
      <c r="I144" s="132">
        <f>DADOS_INVOC!$QH$11</f>
        <v/>
      </c>
      <c r="J144" s="16" t="n"/>
      <c r="K144" s="16" t="n"/>
      <c r="L144" s="16" t="n"/>
      <c r="M144" s="17" t="n"/>
      <c r="N144" s="123" t="n"/>
      <c r="O144" s="123" t="n"/>
      <c r="P144" s="123" t="n"/>
      <c r="Q144" s="123" t="n"/>
      <c r="R144" s="123" t="n"/>
      <c r="S144" s="123" t="n"/>
      <c r="T144" s="123" t="n"/>
      <c r="U144" s="123" t="n"/>
      <c r="V144" s="123" t="n"/>
      <c r="W144" s="123" t="n"/>
      <c r="X144" s="123" t="n"/>
      <c r="Y144" s="123" t="n"/>
      <c r="Z144" s="123" t="n"/>
      <c r="AB144" s="132">
        <f>DADOS_INVOC!$QH$89</f>
        <v/>
      </c>
      <c r="AC144" s="16" t="n"/>
      <c r="AD144" s="16" t="n"/>
      <c r="AE144" s="16" t="n"/>
      <c r="AF144" s="17" t="n"/>
      <c r="AG144" s="123" t="n"/>
      <c r="AH144" s="123" t="n"/>
      <c r="AI144" s="123" t="n"/>
      <c r="AJ144" s="123" t="n"/>
      <c r="AK144" s="123" t="n"/>
      <c r="AL144" s="123" t="n"/>
      <c r="AM144" s="123" t="n"/>
      <c r="AN144" s="123" t="n"/>
      <c r="AO144" s="123" t="n"/>
      <c r="AP144" s="123" t="n"/>
      <c r="AQ144" s="123" t="n"/>
      <c r="AR144" s="123" t="n"/>
      <c r="AS144" s="123" t="n"/>
    </row>
    <row r="145" hidden="1" outlineLevel="3">
      <c r="A145" s="8" t="n"/>
      <c r="B145" s="14" t="n"/>
      <c r="C145" s="123" t="n"/>
      <c r="D145" s="123" t="n"/>
      <c r="E145" s="123" t="n"/>
      <c r="F145" s="123" t="n"/>
      <c r="G145" s="123" t="n"/>
      <c r="I145" s="55" t="inlineStr">
        <is>
          <t>MELHORIAS</t>
        </is>
      </c>
      <c r="J145" s="133" t="n"/>
      <c r="K145" s="16" t="n"/>
      <c r="L145" s="17" t="n"/>
      <c r="M145" s="132">
        <f>DADOS_INVOC!$QK$11</f>
        <v/>
      </c>
      <c r="N145" s="123" t="n"/>
      <c r="O145" s="123" t="n"/>
      <c r="P145" s="123" t="n"/>
      <c r="Q145" s="123" t="n"/>
      <c r="R145" s="123" t="n"/>
      <c r="S145" s="123" t="n"/>
      <c r="T145" s="123" t="n"/>
      <c r="U145" s="123" t="n"/>
      <c r="V145" s="123" t="n"/>
      <c r="W145" s="123" t="n"/>
      <c r="X145" s="123" t="n"/>
      <c r="Y145" s="123" t="n"/>
      <c r="Z145" s="123" t="n"/>
      <c r="AB145" s="55" t="inlineStr">
        <is>
          <t>MELHORIAS</t>
        </is>
      </c>
      <c r="AC145" s="133" t="n"/>
      <c r="AD145" s="16" t="n"/>
      <c r="AE145" s="17" t="n"/>
      <c r="AF145" s="132">
        <f>DADOS_INVOC!$QK$89</f>
        <v/>
      </c>
      <c r="AG145" s="123" t="n"/>
      <c r="AH145" s="123" t="n"/>
      <c r="AI145" s="123" t="n"/>
      <c r="AJ145" s="123" t="n"/>
      <c r="AK145" s="123" t="n"/>
      <c r="AL145" s="123" t="n"/>
      <c r="AM145" s="123" t="n"/>
      <c r="AN145" s="123" t="n"/>
      <c r="AO145" s="123" t="n"/>
      <c r="AP145" s="123" t="n"/>
      <c r="AQ145" s="123" t="n"/>
      <c r="AR145" s="123" t="n"/>
      <c r="AS145" s="123" t="n"/>
    </row>
    <row r="146" hidden="1" outlineLevel="3">
      <c r="A146" s="8" t="n"/>
      <c r="B146" s="14" t="n"/>
      <c r="C146" s="123" t="n"/>
      <c r="D146" s="123" t="n"/>
      <c r="E146" s="123" t="n"/>
      <c r="F146" s="123" t="n"/>
      <c r="G146" s="123" t="n"/>
      <c r="I146" s="134" t="n"/>
      <c r="J146" s="133" t="n"/>
      <c r="K146" s="16" t="n"/>
      <c r="L146" s="17" t="n"/>
      <c r="M146" s="132">
        <f>DADOS_INVOC!$QL$11</f>
        <v/>
      </c>
      <c r="N146" s="123" t="n"/>
      <c r="O146" s="123" t="n"/>
      <c r="P146" s="123" t="n"/>
      <c r="Q146" s="123" t="n"/>
      <c r="R146" s="123" t="n"/>
      <c r="S146" s="123" t="n"/>
      <c r="T146" s="123" t="n"/>
      <c r="U146" s="123" t="n"/>
      <c r="V146" s="123" t="n"/>
      <c r="W146" s="123" t="n"/>
      <c r="X146" s="123" t="n"/>
      <c r="Y146" s="123" t="n"/>
      <c r="Z146" s="123" t="n"/>
      <c r="AB146" s="134" t="n"/>
      <c r="AC146" s="133" t="n"/>
      <c r="AD146" s="16" t="n"/>
      <c r="AE146" s="17" t="n"/>
      <c r="AF146" s="132">
        <f>DADOS_INVOC!$QL$89</f>
        <v/>
      </c>
      <c r="AG146" s="123" t="n"/>
      <c r="AH146" s="123" t="n"/>
      <c r="AI146" s="123" t="n"/>
      <c r="AJ146" s="123" t="n"/>
      <c r="AK146" s="123" t="n"/>
      <c r="AL146" s="123" t="n"/>
      <c r="AM146" s="123" t="n"/>
      <c r="AN146" s="123" t="n"/>
      <c r="AO146" s="123" t="n"/>
      <c r="AP146" s="123" t="n"/>
      <c r="AQ146" s="123" t="n"/>
      <c r="AR146" s="123" t="n"/>
      <c r="AS146" s="123" t="n"/>
    </row>
    <row r="147" hidden="1" outlineLevel="3">
      <c r="A147" s="8" t="n"/>
      <c r="B147" s="14" t="n"/>
      <c r="C147" s="123" t="n"/>
      <c r="D147" s="123" t="n"/>
      <c r="E147" s="123" t="n"/>
      <c r="F147" s="123" t="n"/>
      <c r="G147" s="123" t="n"/>
      <c r="I147" s="134" t="n"/>
      <c r="J147" s="133" t="n"/>
      <c r="K147" s="16" t="n"/>
      <c r="L147" s="17" t="n"/>
      <c r="M147" s="132">
        <f>DADOS_INVOC!$QM$11</f>
        <v/>
      </c>
      <c r="N147" s="123" t="n"/>
      <c r="O147" s="123" t="n"/>
      <c r="P147" s="123" t="n"/>
      <c r="Q147" s="123" t="n"/>
      <c r="R147" s="123" t="n"/>
      <c r="S147" s="123" t="n"/>
      <c r="T147" s="123" t="n"/>
      <c r="U147" s="123" t="n"/>
      <c r="V147" s="123" t="n"/>
      <c r="W147" s="123" t="n"/>
      <c r="X147" s="123" t="n"/>
      <c r="Y147" s="123" t="n"/>
      <c r="Z147" s="123" t="n"/>
      <c r="AB147" s="134" t="n"/>
      <c r="AC147" s="133" t="n"/>
      <c r="AD147" s="16" t="n"/>
      <c r="AE147" s="17" t="n"/>
      <c r="AF147" s="132">
        <f>DADOS_INVOC!$QM$89</f>
        <v/>
      </c>
      <c r="AG147" s="123" t="n"/>
      <c r="AH147" s="123" t="n"/>
      <c r="AI147" s="123" t="n"/>
      <c r="AJ147" s="123" t="n"/>
      <c r="AK147" s="123" t="n"/>
      <c r="AL147" s="123" t="n"/>
      <c r="AM147" s="123" t="n"/>
      <c r="AN147" s="123" t="n"/>
      <c r="AO147" s="123" t="n"/>
      <c r="AP147" s="123" t="n"/>
      <c r="AQ147" s="123" t="n"/>
      <c r="AR147" s="123" t="n"/>
      <c r="AS147" s="123" t="n"/>
    </row>
    <row r="148" hidden="1" outlineLevel="3">
      <c r="A148" s="8" t="n"/>
      <c r="B148" s="14" t="n"/>
      <c r="C148" s="123" t="n"/>
      <c r="D148" s="123" t="n"/>
      <c r="E148" s="123" t="n"/>
      <c r="F148" s="123" t="n"/>
      <c r="G148" s="123" t="n"/>
      <c r="I148" s="128" t="n"/>
      <c r="J148" s="133" t="n"/>
      <c r="K148" s="16" t="n"/>
      <c r="L148" s="17" t="n"/>
      <c r="M148" s="132">
        <f>DADOS_INVOC!$QN$11</f>
        <v/>
      </c>
      <c r="N148" s="123" t="n"/>
      <c r="O148" s="123" t="n"/>
      <c r="P148" s="123" t="n"/>
      <c r="Q148" s="123" t="n"/>
      <c r="R148" s="123" t="n"/>
      <c r="S148" s="123" t="n"/>
      <c r="T148" s="123" t="n"/>
      <c r="U148" s="123" t="n"/>
      <c r="V148" s="123" t="n"/>
      <c r="W148" s="123" t="n"/>
      <c r="X148" s="123" t="n"/>
      <c r="Y148" s="123" t="n"/>
      <c r="Z148" s="123" t="n"/>
      <c r="AB148" s="128" t="n"/>
      <c r="AC148" s="133" t="n"/>
      <c r="AD148" s="16" t="n"/>
      <c r="AE148" s="17" t="n"/>
      <c r="AF148" s="132">
        <f>DADOS_INVOC!$QN$89</f>
        <v/>
      </c>
      <c r="AG148" s="123" t="n"/>
      <c r="AH148" s="123" t="n"/>
      <c r="AI148" s="123" t="n"/>
      <c r="AJ148" s="123" t="n"/>
      <c r="AK148" s="123" t="n"/>
      <c r="AL148" s="123" t="n"/>
      <c r="AM148" s="123" t="n"/>
      <c r="AN148" s="123" t="n"/>
      <c r="AO148" s="123" t="n"/>
      <c r="AP148" s="123" t="n"/>
      <c r="AQ148" s="123" t="n"/>
      <c r="AR148" s="123" t="n"/>
      <c r="AS148" s="123" t="n"/>
    </row>
    <row r="149" hidden="1" outlineLevel="3">
      <c r="A149" s="8" t="n"/>
      <c r="B149" s="14" t="n"/>
      <c r="C149" s="123" t="n"/>
      <c r="D149" s="123" t="n"/>
      <c r="E149" s="123" t="n"/>
      <c r="F149" s="123" t="n"/>
      <c r="G149" s="123" t="n"/>
      <c r="I149" s="55" t="inlineStr">
        <is>
          <t>RESTRIÇÕES</t>
        </is>
      </c>
      <c r="J149" s="133" t="n"/>
      <c r="K149" s="16" t="n"/>
      <c r="L149" s="17" t="n"/>
      <c r="M149" s="132">
        <f>DADOS_INVOC!$QO$11</f>
        <v/>
      </c>
      <c r="N149" s="123" t="n"/>
      <c r="O149" s="123" t="n"/>
      <c r="P149" s="123" t="n"/>
      <c r="Q149" s="123" t="n"/>
      <c r="R149" s="123" t="n"/>
      <c r="S149" s="123" t="n"/>
      <c r="T149" s="123" t="n"/>
      <c r="U149" s="123" t="n"/>
      <c r="V149" s="123" t="n"/>
      <c r="W149" s="123" t="n"/>
      <c r="X149" s="123" t="n"/>
      <c r="Y149" s="123" t="n"/>
      <c r="Z149" s="123" t="n"/>
      <c r="AB149" s="55" t="inlineStr">
        <is>
          <t>RESTRIÇÕES</t>
        </is>
      </c>
      <c r="AC149" s="133" t="n"/>
      <c r="AD149" s="16" t="n"/>
      <c r="AE149" s="17" t="n"/>
      <c r="AF149" s="132">
        <f>DADOS_INVOC!$QO$89</f>
        <v/>
      </c>
      <c r="AG149" s="123" t="n"/>
      <c r="AH149" s="123" t="n"/>
      <c r="AI149" s="123" t="n"/>
      <c r="AJ149" s="123" t="n"/>
      <c r="AK149" s="123" t="n"/>
      <c r="AL149" s="123" t="n"/>
      <c r="AM149" s="123" t="n"/>
      <c r="AN149" s="123" t="n"/>
      <c r="AO149" s="123" t="n"/>
      <c r="AP149" s="123" t="n"/>
      <c r="AQ149" s="123" t="n"/>
      <c r="AR149" s="123" t="n"/>
      <c r="AS149" s="123" t="n"/>
    </row>
    <row r="150" hidden="1" outlineLevel="3">
      <c r="A150" s="8" t="n"/>
      <c r="B150" s="14" t="n"/>
      <c r="C150" s="123" t="n"/>
      <c r="D150" s="123" t="n"/>
      <c r="E150" s="123" t="n"/>
      <c r="F150" s="123" t="n"/>
      <c r="G150" s="123" t="n"/>
      <c r="I150" s="128" t="n"/>
      <c r="J150" s="133" t="n"/>
      <c r="K150" s="16" t="n"/>
      <c r="L150" s="17" t="n"/>
      <c r="M150" s="132">
        <f>DADOS_INVOC!$QP$11</f>
        <v/>
      </c>
      <c r="N150" s="123" t="n"/>
      <c r="O150" s="123" t="n"/>
      <c r="P150" s="123" t="n"/>
      <c r="Q150" s="123" t="n"/>
      <c r="R150" s="123" t="n"/>
      <c r="S150" s="123" t="n"/>
      <c r="T150" s="123" t="n"/>
      <c r="U150" s="123" t="n"/>
      <c r="V150" s="123" t="n"/>
      <c r="W150" s="123" t="n"/>
      <c r="X150" s="123" t="n"/>
      <c r="Y150" s="123" t="n"/>
      <c r="Z150" s="123" t="n"/>
      <c r="AB150" s="128" t="n"/>
      <c r="AC150" s="133" t="n"/>
      <c r="AD150" s="16" t="n"/>
      <c r="AE150" s="17" t="n"/>
      <c r="AF150" s="132">
        <f>DADOS_INVOC!$QP$89</f>
        <v/>
      </c>
      <c r="AG150" s="123" t="n"/>
      <c r="AH150" s="123" t="n"/>
      <c r="AI150" s="123" t="n"/>
      <c r="AJ150" s="123" t="n"/>
      <c r="AK150" s="123" t="n"/>
      <c r="AL150" s="123" t="n"/>
      <c r="AM150" s="123" t="n"/>
      <c r="AN150" s="123" t="n"/>
      <c r="AO150" s="123" t="n"/>
      <c r="AP150" s="123" t="n"/>
      <c r="AQ150" s="123" t="n"/>
      <c r="AR150" s="123" t="n"/>
      <c r="AS150" s="123" t="n"/>
    </row>
    <row r="151" hidden="1" outlineLevel="3">
      <c r="A151" s="8" t="n"/>
      <c r="B151" s="14" t="n"/>
      <c r="C151" s="123" t="n"/>
      <c r="D151" s="123" t="n"/>
      <c r="E151" s="123" t="n"/>
      <c r="F151" s="123" t="n"/>
      <c r="G151" s="123" t="n"/>
      <c r="I151" s="55" t="inlineStr">
        <is>
          <t>CONTA</t>
        </is>
      </c>
      <c r="J151" s="135">
        <f>DADOS_INVOC!$QI$11</f>
        <v/>
      </c>
      <c r="K151" s="16" t="n"/>
      <c r="L151" s="16" t="n"/>
      <c r="M151" s="17" t="n"/>
      <c r="N151" s="123" t="n"/>
      <c r="O151" s="123" t="n"/>
      <c r="P151" s="123" t="n"/>
      <c r="Q151" s="123" t="n"/>
      <c r="R151" s="123" t="n"/>
      <c r="S151" s="123" t="n"/>
      <c r="T151" s="123" t="n"/>
      <c r="U151" s="123" t="n"/>
      <c r="V151" s="123" t="n"/>
      <c r="W151" s="123" t="n"/>
      <c r="X151" s="123" t="n"/>
      <c r="Y151" s="123" t="n"/>
      <c r="Z151" s="123" t="n"/>
      <c r="AB151" s="55" t="inlineStr">
        <is>
          <t>CONTA</t>
        </is>
      </c>
      <c r="AC151" s="135">
        <f>DADOS_INVOC!$QI$89</f>
        <v/>
      </c>
      <c r="AD151" s="16" t="n"/>
      <c r="AE151" s="16" t="n"/>
      <c r="AF151" s="17" t="n"/>
      <c r="AG151" s="123" t="n"/>
      <c r="AH151" s="123" t="n"/>
      <c r="AI151" s="123" t="n"/>
      <c r="AJ151" s="123" t="n"/>
      <c r="AK151" s="123" t="n"/>
      <c r="AL151" s="123" t="n"/>
      <c r="AM151" s="123" t="n"/>
      <c r="AN151" s="123" t="n"/>
      <c r="AO151" s="123" t="n"/>
      <c r="AP151" s="123" t="n"/>
      <c r="AQ151" s="123" t="n"/>
      <c r="AR151" s="123" t="n"/>
      <c r="AS151" s="123" t="n"/>
    </row>
    <row r="152" hidden="1" outlineLevel="3">
      <c r="A152" s="8" t="n"/>
      <c r="B152" s="14" t="n"/>
      <c r="C152" s="123" t="n"/>
      <c r="D152" s="123" t="n"/>
      <c r="E152" s="123" t="n"/>
      <c r="F152" s="123" t="n"/>
      <c r="G152" s="123" t="n"/>
      <c r="I152" s="55" t="inlineStr">
        <is>
          <t>AMPLIAR</t>
        </is>
      </c>
      <c r="J152" s="135">
        <f>DADOS_INVOC!$QJ$11</f>
        <v/>
      </c>
      <c r="K152" s="19" t="n"/>
      <c r="L152" s="19" t="n"/>
      <c r="M152" s="20" t="n"/>
      <c r="N152" s="123" t="n"/>
      <c r="O152" s="123" t="n"/>
      <c r="P152" s="123" t="n"/>
      <c r="Q152" s="123" t="n"/>
      <c r="R152" s="123" t="n"/>
      <c r="S152" s="123" t="n"/>
      <c r="T152" s="123" t="n"/>
      <c r="U152" s="123" t="n"/>
      <c r="V152" s="123" t="n"/>
      <c r="W152" s="123" t="n"/>
      <c r="X152" s="123" t="n"/>
      <c r="Y152" s="123" t="n"/>
      <c r="Z152" s="123" t="n"/>
      <c r="AB152" s="55" t="inlineStr">
        <is>
          <t>AMPLIAR</t>
        </is>
      </c>
      <c r="AC152" s="135">
        <f>DADOS_INVOC!$QJ$89</f>
        <v/>
      </c>
      <c r="AD152" s="19" t="n"/>
      <c r="AE152" s="19" t="n"/>
      <c r="AF152" s="20" t="n"/>
      <c r="AG152" s="123" t="n"/>
      <c r="AH152" s="123" t="n"/>
      <c r="AI152" s="123" t="n"/>
      <c r="AJ152" s="123" t="n"/>
      <c r="AK152" s="123" t="n"/>
      <c r="AL152" s="123" t="n"/>
      <c r="AM152" s="123" t="n"/>
      <c r="AN152" s="123" t="n"/>
      <c r="AO152" s="123" t="n"/>
      <c r="AP152" s="123" t="n"/>
      <c r="AQ152" s="123" t="n"/>
      <c r="AR152" s="123" t="n"/>
      <c r="AS152" s="123" t="n"/>
    </row>
    <row r="153" hidden="1" outlineLevel="3">
      <c r="A153" s="8" t="n"/>
      <c r="B153" s="14" t="n"/>
      <c r="C153" s="123" t="n"/>
      <c r="D153" s="123" t="n"/>
      <c r="E153" s="123" t="n"/>
      <c r="F153" s="123" t="n"/>
      <c r="G153" s="123" t="n"/>
      <c r="I153" s="128" t="n"/>
      <c r="J153" s="23" t="n"/>
      <c r="K153" s="24" t="n"/>
      <c r="L153" s="24" t="n"/>
      <c r="M153" s="25" t="n"/>
      <c r="N153" s="123" t="n"/>
      <c r="O153" s="123" t="n"/>
      <c r="P153" s="123" t="n"/>
      <c r="Q153" s="123" t="n"/>
      <c r="R153" s="123" t="n"/>
      <c r="S153" s="123" t="n"/>
      <c r="T153" s="123" t="n"/>
      <c r="U153" s="123" t="n"/>
      <c r="V153" s="123" t="n"/>
      <c r="W153" s="123" t="n"/>
      <c r="X153" s="123" t="n"/>
      <c r="Y153" s="123" t="n"/>
      <c r="Z153" s="123" t="n"/>
      <c r="AB153" s="128" t="n"/>
      <c r="AC153" s="23" t="n"/>
      <c r="AD153" s="24" t="n"/>
      <c r="AE153" s="24" t="n"/>
      <c r="AF153" s="25" t="n"/>
      <c r="AG153" s="123" t="n"/>
      <c r="AH153" s="123" t="n"/>
      <c r="AI153" s="123" t="n"/>
      <c r="AJ153" s="123" t="n"/>
      <c r="AK153" s="123" t="n"/>
      <c r="AL153" s="123" t="n"/>
      <c r="AM153" s="123" t="n"/>
      <c r="AN153" s="123" t="n"/>
      <c r="AO153" s="123" t="n"/>
      <c r="AP153" s="123" t="n"/>
      <c r="AQ153" s="123" t="n"/>
      <c r="AR153" s="123" t="n"/>
      <c r="AS153" s="123" t="n"/>
    </row>
    <row r="154" hidden="1" outlineLevel="3">
      <c r="A154" s="8" t="n"/>
      <c r="B154" s="14" t="n"/>
      <c r="C154" s="123" t="n"/>
      <c r="D154" s="123" t="n"/>
      <c r="E154" s="123" t="n"/>
      <c r="F154" s="123" t="n"/>
      <c r="G154" s="123" t="n"/>
      <c r="I154" s="135">
        <f>DADOS_INVOC!$PW$11</f>
        <v/>
      </c>
      <c r="J154" s="19" t="n"/>
      <c r="K154" s="19" t="n"/>
      <c r="L154" s="19" t="n"/>
      <c r="M154" s="20" t="n"/>
      <c r="N154" s="123" t="n"/>
      <c r="O154" s="123" t="n"/>
      <c r="P154" s="123" t="n"/>
      <c r="Q154" s="123" t="n"/>
      <c r="R154" s="123" t="n"/>
      <c r="S154" s="123" t="n"/>
      <c r="T154" s="123" t="n"/>
      <c r="U154" s="123" t="n"/>
      <c r="V154" s="123" t="n"/>
      <c r="W154" s="123" t="n"/>
      <c r="X154" s="123" t="n"/>
      <c r="Y154" s="123" t="n"/>
      <c r="Z154" s="123" t="n"/>
      <c r="AB154" s="135">
        <f>DADOS_INVOC!$PW$89</f>
        <v/>
      </c>
      <c r="AC154" s="19" t="n"/>
      <c r="AD154" s="19" t="n"/>
      <c r="AE154" s="19" t="n"/>
      <c r="AF154" s="20" t="n"/>
      <c r="AG154" s="123" t="n"/>
      <c r="AH154" s="123" t="n"/>
      <c r="AI154" s="123" t="n"/>
      <c r="AJ154" s="123" t="n"/>
      <c r="AK154" s="123" t="n"/>
      <c r="AL154" s="123" t="n"/>
      <c r="AM154" s="123" t="n"/>
      <c r="AN154" s="123" t="n"/>
      <c r="AO154" s="123" t="n"/>
      <c r="AP154" s="123" t="n"/>
      <c r="AQ154" s="123" t="n"/>
      <c r="AR154" s="123" t="n"/>
      <c r="AS154" s="123" t="n"/>
    </row>
    <row r="155" hidden="1" outlineLevel="3">
      <c r="A155" s="8" t="n"/>
      <c r="B155" s="14" t="n"/>
      <c r="C155" s="123" t="n"/>
      <c r="D155" s="123" t="n"/>
      <c r="E155" s="123" t="n"/>
      <c r="F155" s="123" t="n"/>
      <c r="G155" s="123" t="n"/>
      <c r="I155" s="23" t="n"/>
      <c r="J155" s="24" t="n"/>
      <c r="K155" s="24" t="n"/>
      <c r="L155" s="24" t="n"/>
      <c r="M155" s="25" t="n"/>
      <c r="N155" s="123" t="n"/>
      <c r="O155" s="123" t="n"/>
      <c r="P155" s="123" t="n"/>
      <c r="Q155" s="123" t="n"/>
      <c r="R155" s="123" t="n"/>
      <c r="S155" s="123" t="n"/>
      <c r="T155" s="123" t="n"/>
      <c r="U155" s="123" t="n"/>
      <c r="V155" s="123" t="n"/>
      <c r="W155" s="123" t="n"/>
      <c r="X155" s="123" t="n"/>
      <c r="Y155" s="123" t="n"/>
      <c r="Z155" s="123" t="n"/>
      <c r="AB155" s="23" t="n"/>
      <c r="AC155" s="24" t="n"/>
      <c r="AD155" s="24" t="n"/>
      <c r="AE155" s="24" t="n"/>
      <c r="AF155" s="25" t="n"/>
      <c r="AG155" s="123" t="n"/>
      <c r="AH155" s="123" t="n"/>
      <c r="AI155" s="123" t="n"/>
      <c r="AJ155" s="123" t="n"/>
      <c r="AK155" s="123" t="n"/>
      <c r="AL155" s="123" t="n"/>
      <c r="AM155" s="123" t="n"/>
      <c r="AN155" s="123" t="n"/>
      <c r="AO155" s="123" t="n"/>
      <c r="AP155" s="123" t="n"/>
      <c r="AQ155" s="123" t="n"/>
      <c r="AR155" s="123" t="n"/>
      <c r="AS155" s="123" t="n"/>
    </row>
    <row r="156" outlineLevel="1">
      <c r="A156" s="8" t="n"/>
      <c r="B156" s="14" t="n"/>
      <c r="C156" s="123" t="n"/>
      <c r="D156" s="123" t="n"/>
      <c r="E156" s="123" t="n"/>
      <c r="F156" s="123" t="n"/>
      <c r="G156" s="123" t="n"/>
      <c r="I156" s="123" t="n"/>
      <c r="J156" s="123" t="n"/>
      <c r="K156" s="123" t="n"/>
      <c r="L156" s="123" t="n"/>
      <c r="M156" s="123" t="n"/>
      <c r="N156" s="123" t="n"/>
      <c r="O156" s="123" t="n"/>
      <c r="P156" s="123" t="n"/>
      <c r="Q156" s="123" t="n"/>
      <c r="R156" s="123" t="n"/>
      <c r="S156" s="123" t="n"/>
      <c r="T156" s="123" t="n"/>
      <c r="U156" s="123" t="n"/>
      <c r="V156" s="123" t="n"/>
      <c r="W156" s="123" t="n"/>
      <c r="X156" s="123" t="n"/>
      <c r="Y156" s="123" t="n"/>
      <c r="Z156" s="123" t="n"/>
      <c r="AB156" s="123" t="n"/>
      <c r="AC156" s="123" t="n"/>
      <c r="AD156" s="123" t="n"/>
      <c r="AE156" s="123" t="n"/>
      <c r="AF156" s="123" t="n"/>
      <c r="AG156" s="123" t="n"/>
      <c r="AH156" s="123" t="n"/>
      <c r="AI156" s="123" t="n"/>
      <c r="AJ156" s="123" t="n"/>
      <c r="AK156" s="123" t="n"/>
      <c r="AL156" s="123" t="n"/>
      <c r="AM156" s="123" t="n"/>
      <c r="AN156" s="123" t="n"/>
      <c r="AO156" s="123" t="n"/>
      <c r="AP156" s="123" t="n"/>
      <c r="AQ156" s="123" t="n"/>
      <c r="AR156" s="123" t="n"/>
      <c r="AS156" s="123" t="n"/>
    </row>
    <row r="157" outlineLevel="1">
      <c r="A157" s="8" t="n"/>
      <c r="B157" s="14" t="n"/>
      <c r="C157" s="123" t="n"/>
      <c r="D157" s="123" t="n"/>
      <c r="E157" s="123" t="n"/>
      <c r="F157" s="123" t="n"/>
      <c r="G157" s="123" t="n"/>
      <c r="I157" s="136"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23" t="n"/>
      <c r="AB157" s="136"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23" t="n"/>
    </row>
    <row r="158" hidden="1" outlineLevel="2">
      <c r="A158" s="8" t="n"/>
      <c r="B158" s="14" t="n"/>
      <c r="C158" s="123" t="n"/>
      <c r="D158" s="123" t="n"/>
      <c r="E158" s="123" t="n"/>
      <c r="F158" s="123" t="n"/>
      <c r="G158" s="123" t="n"/>
      <c r="I158" s="123" t="n"/>
      <c r="J158" s="123" t="n"/>
      <c r="K158" s="123" t="n"/>
      <c r="L158" s="123" t="n"/>
      <c r="M158" s="123" t="n"/>
      <c r="N158" s="123" t="n"/>
      <c r="O158" s="123" t="n"/>
      <c r="P158" s="123" t="n"/>
      <c r="Q158" s="123" t="n"/>
      <c r="R158" s="123" t="n"/>
      <c r="S158" s="123" t="n"/>
      <c r="T158" s="123" t="n"/>
      <c r="U158" s="123" t="n"/>
      <c r="V158" s="123" t="n"/>
      <c r="W158" s="123" t="n"/>
      <c r="X158" s="123" t="n"/>
      <c r="Y158" s="123" t="n"/>
      <c r="Z158" s="123" t="n"/>
      <c r="AB158" s="123" t="n"/>
      <c r="AC158" s="123" t="n"/>
      <c r="AD158" s="123" t="n"/>
      <c r="AE158" s="123" t="n"/>
      <c r="AF158" s="123" t="n"/>
      <c r="AG158" s="123" t="n"/>
      <c r="AH158" s="123" t="n"/>
      <c r="AI158" s="123" t="n"/>
      <c r="AJ158" s="123" t="n"/>
      <c r="AK158" s="123" t="n"/>
      <c r="AL158" s="123" t="n"/>
      <c r="AM158" s="123" t="n"/>
      <c r="AN158" s="123" t="n"/>
      <c r="AO158" s="123" t="n"/>
      <c r="AP158" s="123" t="n"/>
      <c r="AQ158" s="123" t="n"/>
      <c r="AR158" s="123" t="n"/>
      <c r="AS158" s="123" t="n"/>
    </row>
    <row r="159" hidden="1" outlineLevel="2">
      <c r="A159" s="8" t="n"/>
      <c r="B159" s="14" t="n"/>
      <c r="C159" s="123" t="n"/>
      <c r="D159" s="123" t="n"/>
      <c r="E159" s="123" t="n"/>
      <c r="F159" s="123" t="n"/>
      <c r="G159" s="123" t="n"/>
      <c r="I159" s="55">
        <f>DADOS_INVOC!$PX$12</f>
        <v/>
      </c>
      <c r="J159" s="16" t="n"/>
      <c r="K159" s="16" t="n"/>
      <c r="L159" s="16" t="n"/>
      <c r="M159" s="17" t="n"/>
      <c r="N159" s="123" t="n"/>
      <c r="O159" s="55">
        <f>DADOS_INVOC!$PX$13</f>
        <v/>
      </c>
      <c r="P159" s="16" t="n"/>
      <c r="Q159" s="16" t="n"/>
      <c r="R159" s="16" t="n"/>
      <c r="S159" s="17" t="n"/>
      <c r="T159" s="123" t="n"/>
      <c r="U159" s="55">
        <f>DADOS_INVOC!$PX$14</f>
        <v/>
      </c>
      <c r="V159" s="16" t="n"/>
      <c r="W159" s="16" t="n"/>
      <c r="X159" s="16" t="n"/>
      <c r="Y159" s="17" t="n"/>
      <c r="Z159" s="123" t="n"/>
      <c r="AB159" s="55">
        <f>DADOS_INVOC!$PX$90</f>
        <v/>
      </c>
      <c r="AC159" s="16" t="n"/>
      <c r="AD159" s="16" t="n"/>
      <c r="AE159" s="16" t="n"/>
      <c r="AF159" s="17" t="n"/>
      <c r="AG159" s="123" t="n"/>
      <c r="AH159" s="55">
        <f>DADOS_INVOC!$PX$91</f>
        <v/>
      </c>
      <c r="AI159" s="16" t="n"/>
      <c r="AJ159" s="16" t="n"/>
      <c r="AK159" s="16" t="n"/>
      <c r="AL159" s="17" t="n"/>
      <c r="AM159" s="123" t="n"/>
      <c r="AN159" s="55">
        <f>DADOS_INVOC!$PX$92</f>
        <v/>
      </c>
      <c r="AO159" s="16" t="n"/>
      <c r="AP159" s="16" t="n"/>
      <c r="AQ159" s="16" t="n"/>
      <c r="AR159" s="17" t="n"/>
      <c r="AS159" s="123" t="n"/>
    </row>
    <row r="160" hidden="1" outlineLevel="2">
      <c r="A160" s="8" t="n"/>
      <c r="B160" s="14" t="n"/>
      <c r="C160" s="123" t="n"/>
      <c r="D160" s="123" t="n"/>
      <c r="E160" s="123" t="n"/>
      <c r="F160" s="123" t="n"/>
      <c r="G160" s="123" t="n"/>
      <c r="I160" s="130" t="n">
        <v>1</v>
      </c>
      <c r="J160" s="118" t="n"/>
      <c r="K160" s="16" t="n"/>
      <c r="L160" s="17" t="n"/>
      <c r="M160" s="131">
        <f>DADOS_INVOC!$PV$12</f>
        <v/>
      </c>
      <c r="N160" s="123" t="n"/>
      <c r="O160" s="130" t="n">
        <v>1</v>
      </c>
      <c r="P160" s="118" t="n"/>
      <c r="Q160" s="16" t="n"/>
      <c r="R160" s="17" t="n"/>
      <c r="S160" s="131">
        <f>DADOS_INVOC!$PV$13</f>
        <v/>
      </c>
      <c r="T160" s="123" t="n"/>
      <c r="U160" s="130" t="n">
        <v>1</v>
      </c>
      <c r="V160" s="118" t="n"/>
      <c r="W160" s="16" t="n"/>
      <c r="X160" s="17" t="n"/>
      <c r="Y160" s="131">
        <f>DADOS_INVOC!$PV$14</f>
        <v/>
      </c>
      <c r="Z160" s="123" t="n"/>
      <c r="AB160" s="130" t="n">
        <v>1</v>
      </c>
      <c r="AC160" s="118" t="n"/>
      <c r="AD160" s="16" t="n"/>
      <c r="AE160" s="17" t="n"/>
      <c r="AF160" s="131">
        <f>DADOS_INVOC!$PV$90</f>
        <v/>
      </c>
      <c r="AG160" s="123" t="n"/>
      <c r="AH160" s="130" t="n">
        <v>1</v>
      </c>
      <c r="AI160" s="118" t="n"/>
      <c r="AJ160" s="16" t="n"/>
      <c r="AK160" s="17" t="n"/>
      <c r="AL160" s="131">
        <f>DADOS_INVOC!$PV$91</f>
        <v/>
      </c>
      <c r="AM160" s="123" t="n"/>
      <c r="AN160" s="130" t="n">
        <v>1</v>
      </c>
      <c r="AO160" s="118" t="n"/>
      <c r="AP160" s="16" t="n"/>
      <c r="AQ160" s="17" t="n"/>
      <c r="AR160" s="131">
        <f>DADOS_INVOC!$PV$92</f>
        <v/>
      </c>
      <c r="AS160" s="123" t="n"/>
    </row>
    <row r="161" hidden="1" outlineLevel="3">
      <c r="A161" s="8" t="n"/>
      <c r="B161" s="14" t="n"/>
      <c r="C161" s="123" t="n"/>
      <c r="D161" s="123" t="n"/>
      <c r="E161" s="123" t="n"/>
      <c r="F161" s="123" t="n"/>
      <c r="G161" s="123" t="n"/>
      <c r="I161" s="55" t="inlineStr">
        <is>
          <t>COMO É</t>
        </is>
      </c>
      <c r="J161" s="16" t="n"/>
      <c r="K161" s="16" t="n"/>
      <c r="L161" s="16" t="n"/>
      <c r="M161" s="17" t="n"/>
      <c r="N161" s="123" t="n"/>
      <c r="O161" s="55" t="inlineStr">
        <is>
          <t>COMO É</t>
        </is>
      </c>
      <c r="P161" s="16" t="n"/>
      <c r="Q161" s="16" t="n"/>
      <c r="R161" s="16" t="n"/>
      <c r="S161" s="17" t="n"/>
      <c r="T161" s="123" t="n"/>
      <c r="U161" s="55" t="inlineStr">
        <is>
          <t>COMO É</t>
        </is>
      </c>
      <c r="V161" s="16" t="n"/>
      <c r="W161" s="16" t="n"/>
      <c r="X161" s="16" t="n"/>
      <c r="Y161" s="17" t="n"/>
      <c r="Z161" s="123" t="n"/>
      <c r="AB161" s="55" t="inlineStr">
        <is>
          <t>COMO É</t>
        </is>
      </c>
      <c r="AC161" s="16" t="n"/>
      <c r="AD161" s="16" t="n"/>
      <c r="AE161" s="16" t="n"/>
      <c r="AF161" s="17" t="n"/>
      <c r="AG161" s="123" t="n"/>
      <c r="AH161" s="55" t="inlineStr">
        <is>
          <t>COMO É</t>
        </is>
      </c>
      <c r="AI161" s="16" t="n"/>
      <c r="AJ161" s="16" t="n"/>
      <c r="AK161" s="16" t="n"/>
      <c r="AL161" s="17" t="n"/>
      <c r="AM161" s="123" t="n"/>
      <c r="AN161" s="55" t="inlineStr">
        <is>
          <t>COMO É</t>
        </is>
      </c>
      <c r="AO161" s="16" t="n"/>
      <c r="AP161" s="16" t="n"/>
      <c r="AQ161" s="16" t="n"/>
      <c r="AR161" s="17" t="n"/>
      <c r="AS161" s="123" t="n"/>
    </row>
    <row r="162" hidden="1" outlineLevel="3">
      <c r="A162" s="8" t="n"/>
      <c r="B162" s="14" t="n"/>
      <c r="C162" s="123" t="n"/>
      <c r="D162" s="123" t="n"/>
      <c r="E162" s="123" t="n"/>
      <c r="F162" s="123" t="n"/>
      <c r="G162" s="123" t="n"/>
      <c r="I162" s="119" t="n"/>
      <c r="J162" s="19" t="n"/>
      <c r="K162" s="19" t="n"/>
      <c r="L162" s="19" t="n"/>
      <c r="M162" s="20" t="n"/>
      <c r="N162" s="123" t="n"/>
      <c r="O162" s="119" t="n"/>
      <c r="P162" s="19" t="n"/>
      <c r="Q162" s="19" t="n"/>
      <c r="R162" s="19" t="n"/>
      <c r="S162" s="20" t="n"/>
      <c r="T162" s="123" t="n"/>
      <c r="U162" s="119" t="n"/>
      <c r="V162" s="19" t="n"/>
      <c r="W162" s="19" t="n"/>
      <c r="X162" s="19" t="n"/>
      <c r="Y162" s="20" t="n"/>
      <c r="Z162" s="123" t="n"/>
      <c r="AB162" s="119" t="n"/>
      <c r="AC162" s="19" t="n"/>
      <c r="AD162" s="19" t="n"/>
      <c r="AE162" s="19" t="n"/>
      <c r="AF162" s="20" t="n"/>
      <c r="AG162" s="123" t="n"/>
      <c r="AH162" s="119" t="n"/>
      <c r="AI162" s="19" t="n"/>
      <c r="AJ162" s="19" t="n"/>
      <c r="AK162" s="19" t="n"/>
      <c r="AL162" s="20" t="n"/>
      <c r="AM162" s="123" t="n"/>
      <c r="AN162" s="119" t="n"/>
      <c r="AO162" s="19" t="n"/>
      <c r="AP162" s="19" t="n"/>
      <c r="AQ162" s="19" t="n"/>
      <c r="AR162" s="20" t="n"/>
      <c r="AS162" s="123" t="n"/>
    </row>
    <row r="163" hidden="1" outlineLevel="3">
      <c r="A163" s="8" t="n"/>
      <c r="B163" s="14" t="n"/>
      <c r="C163" s="123" t="n"/>
      <c r="D163" s="123" t="n"/>
      <c r="E163" s="123" t="n"/>
      <c r="F163" s="123" t="n"/>
      <c r="G163" s="123" t="n"/>
      <c r="I163" s="21" t="n"/>
      <c r="M163" s="22" t="n"/>
      <c r="N163" s="123" t="n"/>
      <c r="O163" s="21" t="n"/>
      <c r="S163" s="22" t="n"/>
      <c r="T163" s="123" t="n"/>
      <c r="U163" s="21" t="n"/>
      <c r="Y163" s="22" t="n"/>
      <c r="Z163" s="123" t="n"/>
      <c r="AB163" s="21" t="n"/>
      <c r="AF163" s="22" t="n"/>
      <c r="AG163" s="123" t="n"/>
      <c r="AH163" s="21" t="n"/>
      <c r="AL163" s="22" t="n"/>
      <c r="AM163" s="123" t="n"/>
      <c r="AN163" s="21" t="n"/>
      <c r="AR163" s="22" t="n"/>
      <c r="AS163" s="123" t="n"/>
    </row>
    <row r="164" hidden="1" outlineLevel="3">
      <c r="A164" s="8" t="n"/>
      <c r="B164" s="14" t="n"/>
      <c r="C164" s="123" t="n"/>
      <c r="D164" s="123" t="n"/>
      <c r="E164" s="123" t="n"/>
      <c r="F164" s="123" t="n"/>
      <c r="G164" s="123" t="n"/>
      <c r="I164" s="23" t="n"/>
      <c r="J164" s="24" t="n"/>
      <c r="K164" s="24" t="n"/>
      <c r="L164" s="24" t="n"/>
      <c r="M164" s="25" t="n"/>
      <c r="N164" s="123" t="n"/>
      <c r="O164" s="23" t="n"/>
      <c r="P164" s="24" t="n"/>
      <c r="Q164" s="24" t="n"/>
      <c r="R164" s="24" t="n"/>
      <c r="S164" s="25" t="n"/>
      <c r="T164" s="123" t="n"/>
      <c r="U164" s="23" t="n"/>
      <c r="V164" s="24" t="n"/>
      <c r="W164" s="24" t="n"/>
      <c r="X164" s="24" t="n"/>
      <c r="Y164" s="25" t="n"/>
      <c r="Z164" s="123" t="n"/>
      <c r="AB164" s="23" t="n"/>
      <c r="AC164" s="24" t="n"/>
      <c r="AD164" s="24" t="n"/>
      <c r="AE164" s="24" t="n"/>
      <c r="AF164" s="25" t="n"/>
      <c r="AG164" s="123" t="n"/>
      <c r="AH164" s="23" t="n"/>
      <c r="AI164" s="24" t="n"/>
      <c r="AJ164" s="24" t="n"/>
      <c r="AK164" s="24" t="n"/>
      <c r="AL164" s="25" t="n"/>
      <c r="AM164" s="123" t="n"/>
      <c r="AN164" s="23" t="n"/>
      <c r="AO164" s="24" t="n"/>
      <c r="AP164" s="24" t="n"/>
      <c r="AQ164" s="24" t="n"/>
      <c r="AR164" s="25" t="n"/>
      <c r="AS164" s="123" t="n"/>
    </row>
    <row r="165" hidden="1" outlineLevel="2">
      <c r="A165" s="8" t="n"/>
      <c r="B165" s="14" t="n"/>
      <c r="C165" s="123" t="n"/>
      <c r="D165" s="123" t="n"/>
      <c r="E165" s="123" t="n"/>
      <c r="F165" s="123" t="n"/>
      <c r="G165" s="123" t="n"/>
      <c r="I165" s="127" t="inlineStr">
        <is>
          <t>Projétil</t>
        </is>
      </c>
      <c r="J165" s="17" t="n"/>
      <c r="K165" s="68">
        <f>DADOS_INVOC!$QC$12</f>
        <v/>
      </c>
      <c r="L165" s="17" t="n"/>
      <c r="M165" s="68">
        <f>DADOS_INVOC!$PY$12</f>
        <v/>
      </c>
      <c r="N165" s="123" t="n"/>
      <c r="O165" s="127" t="inlineStr">
        <is>
          <t>Projétil</t>
        </is>
      </c>
      <c r="P165" s="17" t="n"/>
      <c r="Q165" s="68">
        <f>DADOS_INVOC!$QC$13</f>
        <v/>
      </c>
      <c r="R165" s="17" t="n"/>
      <c r="S165" s="68">
        <f>DADOS_INVOC!$PY$13</f>
        <v/>
      </c>
      <c r="T165" s="123" t="n"/>
      <c r="U165" s="127" t="inlineStr">
        <is>
          <t>Projétil</t>
        </is>
      </c>
      <c r="V165" s="17" t="n"/>
      <c r="W165" s="68">
        <f>DADOS_INVOC!$QC$14</f>
        <v/>
      </c>
      <c r="X165" s="17" t="n"/>
      <c r="Y165" s="68">
        <f>DADOS_INVOC!$PY$14</f>
        <v/>
      </c>
      <c r="Z165" s="123" t="n"/>
      <c r="AB165" s="127" t="inlineStr">
        <is>
          <t>Projétil</t>
        </is>
      </c>
      <c r="AC165" s="17" t="n"/>
      <c r="AD165" s="68">
        <f>DADOS_INVOC!$QC$90</f>
        <v/>
      </c>
      <c r="AE165" s="17" t="n"/>
      <c r="AF165" s="68">
        <f>DADOS_INVOC!$PY$90</f>
        <v/>
      </c>
      <c r="AG165" s="123" t="n"/>
      <c r="AH165" s="127" t="inlineStr">
        <is>
          <t>Projétil</t>
        </is>
      </c>
      <c r="AI165" s="17" t="n"/>
      <c r="AJ165" s="68">
        <f>DADOS_INVOC!$QC$91</f>
        <v/>
      </c>
      <c r="AK165" s="17" t="n"/>
      <c r="AL165" s="68">
        <f>DADOS_INVOC!$PY$91</f>
        <v/>
      </c>
      <c r="AM165" s="123" t="n"/>
      <c r="AN165" s="127" t="inlineStr">
        <is>
          <t>Projétil</t>
        </is>
      </c>
      <c r="AO165" s="17" t="n"/>
      <c r="AP165" s="68">
        <f>DADOS_INVOC!$QC$92</f>
        <v/>
      </c>
      <c r="AQ165" s="17" t="n"/>
      <c r="AR165" s="68">
        <f>DADOS_INVOC!$PY$92</f>
        <v/>
      </c>
      <c r="AS165" s="123" t="n"/>
    </row>
    <row r="166" hidden="1" outlineLevel="2">
      <c r="A166" s="8" t="n"/>
      <c r="B166" s="14" t="n"/>
      <c r="C166" s="123" t="n"/>
      <c r="D166" s="123" t="n"/>
      <c r="E166" s="123" t="n"/>
      <c r="F166" s="123" t="n"/>
      <c r="G166" s="123" t="n"/>
      <c r="I166" s="127" t="n"/>
      <c r="J166" s="17" t="n"/>
      <c r="K166" s="127" t="n"/>
      <c r="L166" s="16" t="n"/>
      <c r="M166" s="17" t="n"/>
      <c r="N166" s="123" t="n"/>
      <c r="O166" s="127" t="n"/>
      <c r="P166" s="17" t="n"/>
      <c r="Q166" s="127" t="n"/>
      <c r="R166" s="16" t="n"/>
      <c r="S166" s="17" t="n"/>
      <c r="T166" s="123" t="n"/>
      <c r="U166" s="127" t="n"/>
      <c r="V166" s="17" t="n"/>
      <c r="W166" s="127" t="n"/>
      <c r="X166" s="16" t="n"/>
      <c r="Y166" s="17" t="n"/>
      <c r="Z166" s="123" t="n"/>
      <c r="AB166" s="127" t="n"/>
      <c r="AC166" s="17" t="n"/>
      <c r="AD166" s="127" t="n"/>
      <c r="AE166" s="16" t="n"/>
      <c r="AF166" s="17" t="n"/>
      <c r="AG166" s="123" t="n"/>
      <c r="AH166" s="127" t="n"/>
      <c r="AI166" s="17" t="n"/>
      <c r="AJ166" s="127" t="n"/>
      <c r="AK166" s="16" t="n"/>
      <c r="AL166" s="17" t="n"/>
      <c r="AM166" s="123" t="n"/>
      <c r="AN166" s="127" t="n"/>
      <c r="AO166" s="17" t="n"/>
      <c r="AP166" s="127" t="n"/>
      <c r="AQ166" s="16" t="n"/>
      <c r="AR166" s="17" t="n"/>
      <c r="AS166" s="123" t="n"/>
    </row>
    <row r="167" hidden="1" outlineLevel="2">
      <c r="A167" s="8" t="n"/>
      <c r="B167" s="14" t="n"/>
      <c r="C167" s="123" t="n"/>
      <c r="D167" s="123" t="n"/>
      <c r="E167" s="123" t="n"/>
      <c r="F167" s="123" t="n"/>
      <c r="G167" s="123" t="n"/>
      <c r="I167" s="127">
        <f>DADOS_INVOC!$PZ$12</f>
        <v/>
      </c>
      <c r="J167" s="17" t="n"/>
      <c r="K167" s="127">
        <f>DADOS_INVOC!$QB$12</f>
        <v/>
      </c>
      <c r="L167" s="16" t="n"/>
      <c r="M167" s="17" t="n"/>
      <c r="N167" s="123" t="n"/>
      <c r="O167" s="127">
        <f>DADOS_INVOC!$PZ$13</f>
        <v/>
      </c>
      <c r="P167" s="17" t="n"/>
      <c r="Q167" s="127">
        <f>DADOS_INVOC!$QB$13</f>
        <v/>
      </c>
      <c r="R167" s="16" t="n"/>
      <c r="S167" s="17" t="n"/>
      <c r="T167" s="123" t="n"/>
      <c r="U167" s="127">
        <f>DADOS_INVOC!$PZ$14</f>
        <v/>
      </c>
      <c r="V167" s="17" t="n"/>
      <c r="W167" s="127">
        <f>DADOS_INVOC!$QB$14</f>
        <v/>
      </c>
      <c r="X167" s="16" t="n"/>
      <c r="Y167" s="17" t="n"/>
      <c r="Z167" s="123" t="n"/>
      <c r="AB167" s="127">
        <f>DADOS_INVOC!$PZ$90</f>
        <v/>
      </c>
      <c r="AC167" s="17" t="n"/>
      <c r="AD167" s="127">
        <f>DADOS_INVOC!$QB$90</f>
        <v/>
      </c>
      <c r="AE167" s="16" t="n"/>
      <c r="AF167" s="17" t="n"/>
      <c r="AG167" s="123" t="n"/>
      <c r="AH167" s="127">
        <f>DADOS_INVOC!$PZ$91</f>
        <v/>
      </c>
      <c r="AI167" s="17" t="n"/>
      <c r="AJ167" s="127">
        <f>DADOS_INVOC!$QB$91</f>
        <v/>
      </c>
      <c r="AK167" s="16" t="n"/>
      <c r="AL167" s="17" t="n"/>
      <c r="AM167" s="123" t="n"/>
      <c r="AN167" s="127">
        <f>DADOS_INVOC!$PZ$92</f>
        <v/>
      </c>
      <c r="AO167" s="17" t="n"/>
      <c r="AP167" s="127">
        <f>DADOS_INVOC!$QB$92</f>
        <v/>
      </c>
      <c r="AQ167" s="16" t="n"/>
      <c r="AR167" s="17" t="n"/>
      <c r="AS167" s="123" t="n"/>
    </row>
    <row r="168" hidden="1" outlineLevel="2">
      <c r="A168" s="8" t="n"/>
      <c r="B168" s="14" t="n"/>
      <c r="C168" s="123" t="n"/>
      <c r="D168" s="123" t="n"/>
      <c r="E168" s="123" t="n"/>
      <c r="F168" s="123" t="n"/>
      <c r="G168" s="123" t="n"/>
      <c r="I168" s="132">
        <f>DADOS_INVOC!$QH$12</f>
        <v/>
      </c>
      <c r="J168" s="16" t="n"/>
      <c r="K168" s="16" t="n"/>
      <c r="L168" s="16" t="n"/>
      <c r="M168" s="17" t="n"/>
      <c r="N168" s="123" t="n"/>
      <c r="O168" s="132">
        <f>DADOS_INVOC!$QH$13</f>
        <v/>
      </c>
      <c r="P168" s="16" t="n"/>
      <c r="Q168" s="16" t="n"/>
      <c r="R168" s="16" t="n"/>
      <c r="S168" s="17" t="n"/>
      <c r="T168" s="123" t="n"/>
      <c r="U168" s="132">
        <f>DADOS_INVOC!$QH$14</f>
        <v/>
      </c>
      <c r="V168" s="16" t="n"/>
      <c r="W168" s="16" t="n"/>
      <c r="X168" s="16" t="n"/>
      <c r="Y168" s="17" t="n"/>
      <c r="Z168" s="123" t="n"/>
      <c r="AB168" s="132">
        <f>DADOS_INVOC!$QH$90</f>
        <v/>
      </c>
      <c r="AC168" s="16" t="n"/>
      <c r="AD168" s="16" t="n"/>
      <c r="AE168" s="16" t="n"/>
      <c r="AF168" s="17" t="n"/>
      <c r="AG168" s="123" t="n"/>
      <c r="AH168" s="132">
        <f>DADOS_INVOC!$QH$91</f>
        <v/>
      </c>
      <c r="AI168" s="16" t="n"/>
      <c r="AJ168" s="16" t="n"/>
      <c r="AK168" s="16" t="n"/>
      <c r="AL168" s="17" t="n"/>
      <c r="AM168" s="123" t="n"/>
      <c r="AN168" s="132">
        <f>DADOS_INVOC!$QH$92</f>
        <v/>
      </c>
      <c r="AO168" s="16" t="n"/>
      <c r="AP168" s="16" t="n"/>
      <c r="AQ168" s="16" t="n"/>
      <c r="AR168" s="17" t="n"/>
      <c r="AS168" s="123" t="n"/>
    </row>
    <row r="169" hidden="1" outlineLevel="3">
      <c r="A169" s="8" t="n"/>
      <c r="B169" s="14" t="n"/>
      <c r="C169" s="123" t="n"/>
      <c r="D169" s="123" t="n"/>
      <c r="E169" s="123" t="n"/>
      <c r="F169" s="123" t="n"/>
      <c r="G169" s="123" t="n"/>
      <c r="I169" s="55" t="inlineStr">
        <is>
          <t>MELHORIAS</t>
        </is>
      </c>
      <c r="J169" s="133" t="n"/>
      <c r="K169" s="16" t="n"/>
      <c r="L169" s="17" t="n"/>
      <c r="M169" s="132">
        <f>DADOS_INVOC!$QK$12</f>
        <v/>
      </c>
      <c r="N169" s="123" t="n"/>
      <c r="O169" s="55" t="inlineStr">
        <is>
          <t>MELHORIAS</t>
        </is>
      </c>
      <c r="P169" s="133" t="n"/>
      <c r="Q169" s="16" t="n"/>
      <c r="R169" s="17" t="n"/>
      <c r="S169" s="132">
        <f>DADOS_INVOC!$QK$13</f>
        <v/>
      </c>
      <c r="T169" s="123" t="n"/>
      <c r="U169" s="55" t="inlineStr">
        <is>
          <t>MELHORIAS</t>
        </is>
      </c>
      <c r="V169" s="133" t="n"/>
      <c r="W169" s="16" t="n"/>
      <c r="X169" s="17" t="n"/>
      <c r="Y169" s="132">
        <f>DADOS_INVOC!$QK$14</f>
        <v/>
      </c>
      <c r="Z169" s="123" t="n"/>
      <c r="AB169" s="55" t="inlineStr">
        <is>
          <t>MELHORIAS</t>
        </is>
      </c>
      <c r="AC169" s="133" t="n"/>
      <c r="AD169" s="16" t="n"/>
      <c r="AE169" s="17" t="n"/>
      <c r="AF169" s="132">
        <f>DADOS_INVOC!$QK$90</f>
        <v/>
      </c>
      <c r="AG169" s="123" t="n"/>
      <c r="AH169" s="55" t="inlineStr">
        <is>
          <t>MELHORIAS</t>
        </is>
      </c>
      <c r="AI169" s="133" t="n"/>
      <c r="AJ169" s="16" t="n"/>
      <c r="AK169" s="17" t="n"/>
      <c r="AL169" s="132">
        <f>DADOS_INVOC!$QK$91</f>
        <v/>
      </c>
      <c r="AM169" s="123" t="n"/>
      <c r="AN169" s="55" t="inlineStr">
        <is>
          <t>MELHORIAS</t>
        </is>
      </c>
      <c r="AO169" s="133" t="n"/>
      <c r="AP169" s="16" t="n"/>
      <c r="AQ169" s="17" t="n"/>
      <c r="AR169" s="132">
        <f>DADOS_INVOC!$QK$92</f>
        <v/>
      </c>
      <c r="AS169" s="123" t="n"/>
    </row>
    <row r="170" hidden="1" outlineLevel="3">
      <c r="A170" s="8" t="n"/>
      <c r="B170" s="14" t="n"/>
      <c r="C170" s="123" t="n"/>
      <c r="D170" s="123" t="n"/>
      <c r="E170" s="123" t="n"/>
      <c r="F170" s="123" t="n"/>
      <c r="G170" s="123" t="n"/>
      <c r="I170" s="134" t="n"/>
      <c r="J170" s="133" t="n"/>
      <c r="K170" s="16" t="n"/>
      <c r="L170" s="17" t="n"/>
      <c r="M170" s="132">
        <f>DADOS_INVOC!$QL$12</f>
        <v/>
      </c>
      <c r="N170" s="123" t="n"/>
      <c r="O170" s="134" t="n"/>
      <c r="P170" s="133" t="n"/>
      <c r="Q170" s="16" t="n"/>
      <c r="R170" s="17" t="n"/>
      <c r="S170" s="132">
        <f>DADOS_INVOC!$QL$13</f>
        <v/>
      </c>
      <c r="T170" s="123" t="n"/>
      <c r="U170" s="134" t="n"/>
      <c r="V170" s="133" t="n"/>
      <c r="W170" s="16" t="n"/>
      <c r="X170" s="17" t="n"/>
      <c r="Y170" s="132">
        <f>DADOS_INVOC!$QL$14</f>
        <v/>
      </c>
      <c r="Z170" s="123" t="n"/>
      <c r="AB170" s="134" t="n"/>
      <c r="AC170" s="133" t="n"/>
      <c r="AD170" s="16" t="n"/>
      <c r="AE170" s="17" t="n"/>
      <c r="AF170" s="132">
        <f>DADOS_INVOC!$QL$90</f>
        <v/>
      </c>
      <c r="AG170" s="123" t="n"/>
      <c r="AH170" s="134" t="n"/>
      <c r="AI170" s="133" t="n"/>
      <c r="AJ170" s="16" t="n"/>
      <c r="AK170" s="17" t="n"/>
      <c r="AL170" s="132">
        <f>DADOS_INVOC!$QL$91</f>
        <v/>
      </c>
      <c r="AM170" s="123" t="n"/>
      <c r="AN170" s="134" t="n"/>
      <c r="AO170" s="133" t="n"/>
      <c r="AP170" s="16" t="n"/>
      <c r="AQ170" s="17" t="n"/>
      <c r="AR170" s="132">
        <f>DADOS_INVOC!$QL$92</f>
        <v/>
      </c>
      <c r="AS170" s="123" t="n"/>
    </row>
    <row r="171" hidden="1" outlineLevel="3">
      <c r="A171" s="8" t="n"/>
      <c r="B171" s="14" t="n"/>
      <c r="C171" s="123" t="n"/>
      <c r="D171" s="123" t="n"/>
      <c r="E171" s="123" t="n"/>
      <c r="F171" s="123" t="n"/>
      <c r="G171" s="123" t="n"/>
      <c r="I171" s="134" t="n"/>
      <c r="J171" s="133" t="n"/>
      <c r="K171" s="16" t="n"/>
      <c r="L171" s="17" t="n"/>
      <c r="M171" s="132">
        <f>DADOS_INVOC!$QM$12</f>
        <v/>
      </c>
      <c r="N171" s="123" t="n"/>
      <c r="O171" s="134" t="n"/>
      <c r="P171" s="133" t="n"/>
      <c r="Q171" s="16" t="n"/>
      <c r="R171" s="17" t="n"/>
      <c r="S171" s="132">
        <f>DADOS_INVOC!$QM$13</f>
        <v/>
      </c>
      <c r="T171" s="123" t="n"/>
      <c r="U171" s="134" t="n"/>
      <c r="V171" s="133" t="n"/>
      <c r="W171" s="16" t="n"/>
      <c r="X171" s="17" t="n"/>
      <c r="Y171" s="132">
        <f>DADOS_INVOC!$QM$14</f>
        <v/>
      </c>
      <c r="Z171" s="123" t="n"/>
      <c r="AB171" s="134" t="n"/>
      <c r="AC171" s="133" t="n"/>
      <c r="AD171" s="16" t="n"/>
      <c r="AE171" s="17" t="n"/>
      <c r="AF171" s="132">
        <f>DADOS_INVOC!$QM$90</f>
        <v/>
      </c>
      <c r="AG171" s="123" t="n"/>
      <c r="AH171" s="134" t="n"/>
      <c r="AI171" s="133" t="n"/>
      <c r="AJ171" s="16" t="n"/>
      <c r="AK171" s="17" t="n"/>
      <c r="AL171" s="132">
        <f>DADOS_INVOC!$QM$91</f>
        <v/>
      </c>
      <c r="AM171" s="123" t="n"/>
      <c r="AN171" s="134" t="n"/>
      <c r="AO171" s="133" t="n"/>
      <c r="AP171" s="16" t="n"/>
      <c r="AQ171" s="17" t="n"/>
      <c r="AR171" s="132">
        <f>DADOS_INVOC!$QM$92</f>
        <v/>
      </c>
      <c r="AS171" s="123" t="n"/>
    </row>
    <row r="172" hidden="1" outlineLevel="3">
      <c r="A172" s="8" t="n"/>
      <c r="B172" s="14" t="n"/>
      <c r="C172" s="123" t="n"/>
      <c r="D172" s="123" t="n"/>
      <c r="E172" s="123" t="n"/>
      <c r="F172" s="123" t="n"/>
      <c r="G172" s="123" t="n"/>
      <c r="I172" s="128" t="n"/>
      <c r="J172" s="133" t="n"/>
      <c r="K172" s="16" t="n"/>
      <c r="L172" s="17" t="n"/>
      <c r="M172" s="132">
        <f>DADOS_INVOC!$QN$12</f>
        <v/>
      </c>
      <c r="N172" s="123" t="n"/>
      <c r="O172" s="128" t="n"/>
      <c r="P172" s="133" t="n"/>
      <c r="Q172" s="16" t="n"/>
      <c r="R172" s="17" t="n"/>
      <c r="S172" s="132">
        <f>DADOS_INVOC!$QN$13</f>
        <v/>
      </c>
      <c r="T172" s="123" t="n"/>
      <c r="U172" s="128" t="n"/>
      <c r="V172" s="133" t="n"/>
      <c r="W172" s="16" t="n"/>
      <c r="X172" s="17" t="n"/>
      <c r="Y172" s="132">
        <f>DADOS_INVOC!$QN$14</f>
        <v/>
      </c>
      <c r="Z172" s="123" t="n"/>
      <c r="AB172" s="128" t="n"/>
      <c r="AC172" s="133" t="n"/>
      <c r="AD172" s="16" t="n"/>
      <c r="AE172" s="17" t="n"/>
      <c r="AF172" s="132">
        <f>DADOS_INVOC!$QN$90</f>
        <v/>
      </c>
      <c r="AG172" s="123" t="n"/>
      <c r="AH172" s="128" t="n"/>
      <c r="AI172" s="133" t="n"/>
      <c r="AJ172" s="16" t="n"/>
      <c r="AK172" s="17" t="n"/>
      <c r="AL172" s="132">
        <f>DADOS_INVOC!$QN$91</f>
        <v/>
      </c>
      <c r="AM172" s="123" t="n"/>
      <c r="AN172" s="128" t="n"/>
      <c r="AO172" s="133" t="n"/>
      <c r="AP172" s="16" t="n"/>
      <c r="AQ172" s="17" t="n"/>
      <c r="AR172" s="132">
        <f>DADOS_INVOC!$QN$92</f>
        <v/>
      </c>
      <c r="AS172" s="123" t="n"/>
    </row>
    <row r="173" hidden="1" outlineLevel="3">
      <c r="A173" s="8" t="n"/>
      <c r="B173" s="14" t="n"/>
      <c r="C173" s="123" t="n"/>
      <c r="D173" s="123" t="n"/>
      <c r="E173" s="123" t="n"/>
      <c r="F173" s="123" t="n"/>
      <c r="G173" s="123" t="n"/>
      <c r="I173" s="55" t="inlineStr">
        <is>
          <t>RESTRIÇÕES</t>
        </is>
      </c>
      <c r="J173" s="133" t="n"/>
      <c r="K173" s="16" t="n"/>
      <c r="L173" s="17" t="n"/>
      <c r="M173" s="132">
        <f>DADOS_INVOC!$QO$12</f>
        <v/>
      </c>
      <c r="N173" s="123" t="n"/>
      <c r="O173" s="55" t="inlineStr">
        <is>
          <t>RESTRIÇÕES</t>
        </is>
      </c>
      <c r="P173" s="133" t="n"/>
      <c r="Q173" s="16" t="n"/>
      <c r="R173" s="17" t="n"/>
      <c r="S173" s="132">
        <f>DADOS_INVOC!$QO$13</f>
        <v/>
      </c>
      <c r="T173" s="123" t="n"/>
      <c r="U173" s="55" t="inlineStr">
        <is>
          <t>RESTRIÇÕES</t>
        </is>
      </c>
      <c r="V173" s="133" t="n"/>
      <c r="W173" s="16" t="n"/>
      <c r="X173" s="17" t="n"/>
      <c r="Y173" s="132">
        <f>DADOS_INVOC!$QO$14</f>
        <v/>
      </c>
      <c r="Z173" s="123" t="n"/>
      <c r="AB173" s="55" t="inlineStr">
        <is>
          <t>RESTRIÇÕES</t>
        </is>
      </c>
      <c r="AC173" s="133" t="n"/>
      <c r="AD173" s="16" t="n"/>
      <c r="AE173" s="17" t="n"/>
      <c r="AF173" s="132">
        <f>DADOS_INVOC!$QO$90</f>
        <v/>
      </c>
      <c r="AG173" s="123" t="n"/>
      <c r="AH173" s="55" t="inlineStr">
        <is>
          <t>RESTRIÇÕES</t>
        </is>
      </c>
      <c r="AI173" s="133" t="n"/>
      <c r="AJ173" s="16" t="n"/>
      <c r="AK173" s="17" t="n"/>
      <c r="AL173" s="132">
        <f>DADOS_INVOC!$QO$91</f>
        <v/>
      </c>
      <c r="AM173" s="123" t="n"/>
      <c r="AN173" s="55" t="inlineStr">
        <is>
          <t>RESTRIÇÕES</t>
        </is>
      </c>
      <c r="AO173" s="133" t="n"/>
      <c r="AP173" s="16" t="n"/>
      <c r="AQ173" s="17" t="n"/>
      <c r="AR173" s="132">
        <f>DADOS_INVOC!$QO$92</f>
        <v/>
      </c>
      <c r="AS173" s="123" t="n"/>
    </row>
    <row r="174" hidden="1" outlineLevel="3">
      <c r="A174" s="8" t="n"/>
      <c r="B174" s="14" t="n"/>
      <c r="C174" s="123" t="n"/>
      <c r="D174" s="123" t="n"/>
      <c r="E174" s="123" t="n"/>
      <c r="F174" s="123" t="n"/>
      <c r="G174" s="123" t="n"/>
      <c r="I174" s="128" t="n"/>
      <c r="J174" s="133" t="n"/>
      <c r="K174" s="16" t="n"/>
      <c r="L174" s="17" t="n"/>
      <c r="M174" s="132">
        <f>DADOS_INVOC!$QP$12</f>
        <v/>
      </c>
      <c r="N174" s="123" t="n"/>
      <c r="O174" s="128" t="n"/>
      <c r="P174" s="133" t="n"/>
      <c r="Q174" s="16" t="n"/>
      <c r="R174" s="17" t="n"/>
      <c r="S174" s="132">
        <f>DADOS_INVOC!$QP$13</f>
        <v/>
      </c>
      <c r="T174" s="123" t="n"/>
      <c r="U174" s="128" t="n"/>
      <c r="V174" s="133" t="n"/>
      <c r="W174" s="16" t="n"/>
      <c r="X174" s="17" t="n"/>
      <c r="Y174" s="132">
        <f>DADOS_INVOC!$QP$14</f>
        <v/>
      </c>
      <c r="Z174" s="123" t="n"/>
      <c r="AB174" s="128" t="n"/>
      <c r="AC174" s="133" t="n"/>
      <c r="AD174" s="16" t="n"/>
      <c r="AE174" s="17" t="n"/>
      <c r="AF174" s="132">
        <f>DADOS_INVOC!$QP$90</f>
        <v/>
      </c>
      <c r="AG174" s="123" t="n"/>
      <c r="AH174" s="128" t="n"/>
      <c r="AI174" s="133" t="n"/>
      <c r="AJ174" s="16" t="n"/>
      <c r="AK174" s="17" t="n"/>
      <c r="AL174" s="132">
        <f>DADOS_INVOC!$QP$91</f>
        <v/>
      </c>
      <c r="AM174" s="123" t="n"/>
      <c r="AN174" s="128" t="n"/>
      <c r="AO174" s="133" t="n"/>
      <c r="AP174" s="16" t="n"/>
      <c r="AQ174" s="17" t="n"/>
      <c r="AR174" s="132">
        <f>DADOS_INVOC!$QP$92</f>
        <v/>
      </c>
      <c r="AS174" s="123" t="n"/>
    </row>
    <row r="175" hidden="1" outlineLevel="3">
      <c r="A175" s="8" t="n"/>
      <c r="B175" s="14" t="n"/>
      <c r="C175" s="123" t="n"/>
      <c r="D175" s="123" t="n"/>
      <c r="E175" s="123" t="n"/>
      <c r="F175" s="123" t="n"/>
      <c r="G175" s="123" t="n"/>
      <c r="I175" s="55" t="inlineStr">
        <is>
          <t>CONTA</t>
        </is>
      </c>
      <c r="J175" s="135">
        <f>DADOS_INVOC!$QI$12</f>
        <v/>
      </c>
      <c r="K175" s="16" t="n"/>
      <c r="L175" s="16" t="n"/>
      <c r="M175" s="17" t="n"/>
      <c r="N175" s="123" t="n"/>
      <c r="O175" s="55" t="inlineStr">
        <is>
          <t>CONTA</t>
        </is>
      </c>
      <c r="P175" s="135">
        <f>DADOS_INVOC!$QI$13</f>
        <v/>
      </c>
      <c r="Q175" s="16" t="n"/>
      <c r="R175" s="16" t="n"/>
      <c r="S175" s="17" t="n"/>
      <c r="T175" s="123" t="n"/>
      <c r="U175" s="55" t="inlineStr">
        <is>
          <t>CONTA</t>
        </is>
      </c>
      <c r="V175" s="135">
        <f>DADOS_INVOC!$QI$14</f>
        <v/>
      </c>
      <c r="W175" s="16" t="n"/>
      <c r="X175" s="16" t="n"/>
      <c r="Y175" s="17" t="n"/>
      <c r="Z175" s="123" t="n"/>
      <c r="AB175" s="55" t="inlineStr">
        <is>
          <t>CONTA</t>
        </is>
      </c>
      <c r="AC175" s="135">
        <f>DADOS_INVOC!$QI$90</f>
        <v/>
      </c>
      <c r="AD175" s="16" t="n"/>
      <c r="AE175" s="16" t="n"/>
      <c r="AF175" s="17" t="n"/>
      <c r="AG175" s="123" t="n"/>
      <c r="AH175" s="55" t="inlineStr">
        <is>
          <t>CONTA</t>
        </is>
      </c>
      <c r="AI175" s="135">
        <f>DADOS_INVOC!$QI$91</f>
        <v/>
      </c>
      <c r="AJ175" s="16" t="n"/>
      <c r="AK175" s="16" t="n"/>
      <c r="AL175" s="17" t="n"/>
      <c r="AM175" s="123" t="n"/>
      <c r="AN175" s="55" t="inlineStr">
        <is>
          <t>CONTA</t>
        </is>
      </c>
      <c r="AO175" s="135">
        <f>DADOS_INVOC!$QI$92</f>
        <v/>
      </c>
      <c r="AP175" s="16" t="n"/>
      <c r="AQ175" s="16" t="n"/>
      <c r="AR175" s="17" t="n"/>
      <c r="AS175" s="123" t="n"/>
    </row>
    <row r="176" hidden="1" outlineLevel="3">
      <c r="A176" s="8" t="n"/>
      <c r="B176" s="14" t="n"/>
      <c r="C176" s="123" t="n"/>
      <c r="D176" s="123" t="n"/>
      <c r="E176" s="123" t="n"/>
      <c r="F176" s="123" t="n"/>
      <c r="G176" s="123" t="n"/>
      <c r="I176" s="55" t="inlineStr">
        <is>
          <t>AMPLIAR</t>
        </is>
      </c>
      <c r="J176" s="135">
        <f>DADOS_INVOC!$QJ$12</f>
        <v/>
      </c>
      <c r="K176" s="19" t="n"/>
      <c r="L176" s="19" t="n"/>
      <c r="M176" s="20" t="n"/>
      <c r="N176" s="123" t="n"/>
      <c r="O176" s="55" t="inlineStr">
        <is>
          <t>AMPLIAR</t>
        </is>
      </c>
      <c r="P176" s="135">
        <f>DADOS_INVOC!$QJ$13</f>
        <v/>
      </c>
      <c r="Q176" s="19" t="n"/>
      <c r="R176" s="19" t="n"/>
      <c r="S176" s="20" t="n"/>
      <c r="T176" s="123" t="n"/>
      <c r="U176" s="55" t="inlineStr">
        <is>
          <t>AMPLIAR</t>
        </is>
      </c>
      <c r="V176" s="135">
        <f>DADOS_INVOC!$QJ$14</f>
        <v/>
      </c>
      <c r="W176" s="19" t="n"/>
      <c r="X176" s="19" t="n"/>
      <c r="Y176" s="20" t="n"/>
      <c r="Z176" s="123" t="n"/>
      <c r="AB176" s="55" t="inlineStr">
        <is>
          <t>AMPLIAR</t>
        </is>
      </c>
      <c r="AC176" s="135">
        <f>DADOS_INVOC!$QJ$90</f>
        <v/>
      </c>
      <c r="AD176" s="19" t="n"/>
      <c r="AE176" s="19" t="n"/>
      <c r="AF176" s="20" t="n"/>
      <c r="AG176" s="123" t="n"/>
      <c r="AH176" s="55" t="inlineStr">
        <is>
          <t>AMPLIAR</t>
        </is>
      </c>
      <c r="AI176" s="135">
        <f>DADOS_INVOC!$QJ$91</f>
        <v/>
      </c>
      <c r="AJ176" s="19" t="n"/>
      <c r="AK176" s="19" t="n"/>
      <c r="AL176" s="20" t="n"/>
      <c r="AM176" s="123" t="n"/>
      <c r="AN176" s="55" t="inlineStr">
        <is>
          <t>AMPLIAR</t>
        </is>
      </c>
      <c r="AO176" s="135">
        <f>DADOS_INVOC!$QJ$92</f>
        <v/>
      </c>
      <c r="AP176" s="19" t="n"/>
      <c r="AQ176" s="19" t="n"/>
      <c r="AR176" s="20" t="n"/>
      <c r="AS176" s="123" t="n"/>
    </row>
    <row r="177" hidden="1" outlineLevel="3">
      <c r="A177" s="8" t="n"/>
      <c r="B177" s="14" t="n"/>
      <c r="C177" s="123" t="n"/>
      <c r="D177" s="123" t="n"/>
      <c r="E177" s="123" t="n"/>
      <c r="F177" s="123" t="n"/>
      <c r="G177" s="123" t="n"/>
      <c r="I177" s="128" t="n"/>
      <c r="J177" s="23" t="n"/>
      <c r="K177" s="24" t="n"/>
      <c r="L177" s="24" t="n"/>
      <c r="M177" s="25" t="n"/>
      <c r="N177" s="123" t="n"/>
      <c r="O177" s="128" t="n"/>
      <c r="P177" s="23" t="n"/>
      <c r="Q177" s="24" t="n"/>
      <c r="R177" s="24" t="n"/>
      <c r="S177" s="25" t="n"/>
      <c r="T177" s="123" t="n"/>
      <c r="U177" s="128" t="n"/>
      <c r="V177" s="23" t="n"/>
      <c r="W177" s="24" t="n"/>
      <c r="X177" s="24" t="n"/>
      <c r="Y177" s="25" t="n"/>
      <c r="Z177" s="123" t="n"/>
      <c r="AB177" s="128" t="n"/>
      <c r="AC177" s="23" t="n"/>
      <c r="AD177" s="24" t="n"/>
      <c r="AE177" s="24" t="n"/>
      <c r="AF177" s="25" t="n"/>
      <c r="AG177" s="123" t="n"/>
      <c r="AH177" s="128" t="n"/>
      <c r="AI177" s="23" t="n"/>
      <c r="AJ177" s="24" t="n"/>
      <c r="AK177" s="24" t="n"/>
      <c r="AL177" s="25" t="n"/>
      <c r="AM177" s="123" t="n"/>
      <c r="AN177" s="128" t="n"/>
      <c r="AO177" s="23" t="n"/>
      <c r="AP177" s="24" t="n"/>
      <c r="AQ177" s="24" t="n"/>
      <c r="AR177" s="25" t="n"/>
      <c r="AS177" s="123" t="n"/>
    </row>
    <row r="178" hidden="1" outlineLevel="3">
      <c r="A178" s="8" t="n"/>
      <c r="B178" s="14" t="n"/>
      <c r="C178" s="123" t="n"/>
      <c r="D178" s="123" t="n"/>
      <c r="E178" s="123" t="n"/>
      <c r="F178" s="123" t="n"/>
      <c r="G178" s="123" t="n"/>
      <c r="I178" s="135">
        <f>DADOS_INVOC!$PW$12</f>
        <v/>
      </c>
      <c r="J178" s="19" t="n"/>
      <c r="K178" s="19" t="n"/>
      <c r="L178" s="19" t="n"/>
      <c r="M178" s="20" t="n"/>
      <c r="N178" s="123" t="n"/>
      <c r="O178" s="135">
        <f>DADOS_INVOC!$PW$13</f>
        <v/>
      </c>
      <c r="P178" s="19" t="n"/>
      <c r="Q178" s="19" t="n"/>
      <c r="R178" s="19" t="n"/>
      <c r="S178" s="20" t="n"/>
      <c r="T178" s="123" t="n"/>
      <c r="U178" s="135">
        <f>DADOS_INVOC!$PW$14</f>
        <v/>
      </c>
      <c r="V178" s="19" t="n"/>
      <c r="W178" s="19" t="n"/>
      <c r="X178" s="19" t="n"/>
      <c r="Y178" s="20" t="n"/>
      <c r="Z178" s="123" t="n"/>
      <c r="AB178" s="135">
        <f>DADOS_INVOC!$PW$90</f>
        <v/>
      </c>
      <c r="AC178" s="19" t="n"/>
      <c r="AD178" s="19" t="n"/>
      <c r="AE178" s="19" t="n"/>
      <c r="AF178" s="20" t="n"/>
      <c r="AG178" s="123" t="n"/>
      <c r="AH178" s="135">
        <f>DADOS_INVOC!$PW$91</f>
        <v/>
      </c>
      <c r="AI178" s="19" t="n"/>
      <c r="AJ178" s="19" t="n"/>
      <c r="AK178" s="19" t="n"/>
      <c r="AL178" s="20" t="n"/>
      <c r="AM178" s="123" t="n"/>
      <c r="AN178" s="135">
        <f>DADOS_INVOC!$PW$92</f>
        <v/>
      </c>
      <c r="AO178" s="19" t="n"/>
      <c r="AP178" s="19" t="n"/>
      <c r="AQ178" s="19" t="n"/>
      <c r="AR178" s="20" t="n"/>
      <c r="AS178" s="123" t="n"/>
    </row>
    <row r="179" hidden="1" outlineLevel="3">
      <c r="A179" s="8" t="n"/>
      <c r="B179" s="14" t="n"/>
      <c r="C179" s="123" t="n"/>
      <c r="D179" s="123" t="n"/>
      <c r="E179" s="123" t="n"/>
      <c r="F179" s="123" t="n"/>
      <c r="G179" s="123" t="n"/>
      <c r="I179" s="23" t="n"/>
      <c r="J179" s="24" t="n"/>
      <c r="K179" s="24" t="n"/>
      <c r="L179" s="24" t="n"/>
      <c r="M179" s="25" t="n"/>
      <c r="N179" s="123" t="n"/>
      <c r="O179" s="23" t="n"/>
      <c r="P179" s="24" t="n"/>
      <c r="Q179" s="24" t="n"/>
      <c r="R179" s="24" t="n"/>
      <c r="S179" s="25" t="n"/>
      <c r="T179" s="123" t="n"/>
      <c r="U179" s="23" t="n"/>
      <c r="V179" s="24" t="n"/>
      <c r="W179" s="24" t="n"/>
      <c r="X179" s="24" t="n"/>
      <c r="Y179" s="25" t="n"/>
      <c r="Z179" s="123" t="n"/>
      <c r="AB179" s="23" t="n"/>
      <c r="AC179" s="24" t="n"/>
      <c r="AD179" s="24" t="n"/>
      <c r="AE179" s="24" t="n"/>
      <c r="AF179" s="25" t="n"/>
      <c r="AG179" s="123" t="n"/>
      <c r="AH179" s="23" t="n"/>
      <c r="AI179" s="24" t="n"/>
      <c r="AJ179" s="24" t="n"/>
      <c r="AK179" s="24" t="n"/>
      <c r="AL179" s="25" t="n"/>
      <c r="AM179" s="123" t="n"/>
      <c r="AN179" s="23" t="n"/>
      <c r="AO179" s="24" t="n"/>
      <c r="AP179" s="24" t="n"/>
      <c r="AQ179" s="24" t="n"/>
      <c r="AR179" s="25" t="n"/>
      <c r="AS179" s="123" t="n"/>
    </row>
    <row r="180" hidden="1" outlineLevel="2">
      <c r="A180" s="8" t="n"/>
      <c r="B180" s="14" t="n"/>
      <c r="C180" s="123" t="n"/>
      <c r="D180" s="123" t="n"/>
      <c r="E180" s="123" t="n"/>
      <c r="F180" s="123" t="n"/>
      <c r="G180" s="123" t="n"/>
      <c r="I180" s="123" t="n"/>
      <c r="J180" s="123" t="n"/>
      <c r="K180" s="123" t="n"/>
      <c r="L180" s="123" t="n"/>
      <c r="M180" s="123" t="n"/>
      <c r="N180" s="123" t="n"/>
      <c r="O180" s="123" t="n"/>
      <c r="P180" s="123" t="n"/>
      <c r="Q180" s="123" t="n"/>
      <c r="R180" s="123" t="n"/>
      <c r="S180" s="123" t="n"/>
      <c r="T180" s="123" t="n"/>
      <c r="U180" s="123" t="n"/>
      <c r="V180" s="123" t="n"/>
      <c r="W180" s="123" t="n"/>
      <c r="X180" s="123" t="n"/>
      <c r="Y180" s="123" t="n"/>
      <c r="Z180" s="123" t="n"/>
      <c r="AB180" s="123" t="n"/>
      <c r="AC180" s="123" t="n"/>
      <c r="AD180" s="123" t="n"/>
      <c r="AE180" s="123" t="n"/>
      <c r="AF180" s="123" t="n"/>
      <c r="AG180" s="123" t="n"/>
      <c r="AH180" s="123" t="n"/>
      <c r="AI180" s="123" t="n"/>
      <c r="AJ180" s="123" t="n"/>
      <c r="AK180" s="123" t="n"/>
      <c r="AL180" s="123" t="n"/>
      <c r="AM180" s="123" t="n"/>
      <c r="AN180" s="123" t="n"/>
      <c r="AO180" s="123" t="n"/>
      <c r="AP180" s="123" t="n"/>
      <c r="AQ180" s="123" t="n"/>
      <c r="AR180" s="123" t="n"/>
      <c r="AS180" s="123" t="n"/>
    </row>
    <row r="181" hidden="1" outlineLevel="2">
      <c r="A181" s="8" t="n"/>
      <c r="B181" s="14" t="n"/>
      <c r="C181" s="123" t="n"/>
      <c r="D181" s="123" t="n"/>
      <c r="E181" s="123" t="n"/>
      <c r="F181" s="123" t="n"/>
      <c r="G181" s="123" t="n"/>
      <c r="I181" s="55"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23" t="n"/>
      <c r="AB181" s="55"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23" t="n"/>
    </row>
    <row r="182" hidden="1" outlineLevel="2">
      <c r="A182" s="8" t="n"/>
      <c r="B182" s="14" t="n"/>
      <c r="C182" s="123" t="n"/>
      <c r="D182" s="123" t="n"/>
      <c r="E182" s="123" t="n"/>
      <c r="F182" s="123" t="n"/>
      <c r="G182" s="123" t="n"/>
      <c r="I182" s="55" t="inlineStr">
        <is>
          <t>TRILHA · CE 1</t>
        </is>
      </c>
      <c r="J182" s="133" t="n"/>
      <c r="K182" s="16" t="n"/>
      <c r="L182" s="17" t="n"/>
      <c r="M182" s="140">
        <f>DADOS_INVOC!$IU$2</f>
        <v/>
      </c>
      <c r="N182" s="16" t="n"/>
      <c r="O182" s="16" t="n"/>
      <c r="P182" s="16" t="n"/>
      <c r="Q182" s="16" t="n"/>
      <c r="R182" s="16" t="n"/>
      <c r="S182" s="16" t="n"/>
      <c r="T182" s="16" t="n"/>
      <c r="U182" s="16" t="n"/>
      <c r="V182" s="16" t="n"/>
      <c r="W182" s="16" t="n"/>
      <c r="X182" s="16" t="n"/>
      <c r="Y182" s="17" t="n"/>
      <c r="Z182" s="123" t="n"/>
      <c r="AB182" s="55" t="inlineStr">
        <is>
          <t>TRILHA · CE 1</t>
        </is>
      </c>
      <c r="AC182" s="133" t="n"/>
      <c r="AD182" s="16" t="n"/>
      <c r="AE182" s="17" t="n"/>
      <c r="AF182" s="140">
        <f>DADOS_INVOC!$IU$8</f>
        <v/>
      </c>
      <c r="AG182" s="16" t="n"/>
      <c r="AH182" s="16" t="n"/>
      <c r="AI182" s="16" t="n"/>
      <c r="AJ182" s="16" t="n"/>
      <c r="AK182" s="16" t="n"/>
      <c r="AL182" s="16" t="n"/>
      <c r="AM182" s="16" t="n"/>
      <c r="AN182" s="16" t="n"/>
      <c r="AO182" s="16" t="n"/>
      <c r="AP182" s="16" t="n"/>
      <c r="AQ182" s="16" t="n"/>
      <c r="AR182" s="17" t="n"/>
      <c r="AS182" s="123" t="n"/>
    </row>
    <row r="183" hidden="1" outlineLevel="2">
      <c r="A183" s="8" t="n"/>
      <c r="B183" s="14" t="n"/>
      <c r="C183" s="123" t="n"/>
      <c r="D183" s="123" t="n"/>
      <c r="E183" s="123" t="n"/>
      <c r="F183" s="123" t="n"/>
      <c r="G183" s="123" t="n"/>
      <c r="I183" s="55" t="inlineStr">
        <is>
          <t>TRILHA · CE 1</t>
        </is>
      </c>
      <c r="J183" s="133" t="n"/>
      <c r="K183" s="16" t="n"/>
      <c r="L183" s="17" t="n"/>
      <c r="M183" s="140">
        <f>DADOS_INVOC!$IV$2</f>
        <v/>
      </c>
      <c r="N183" s="16" t="n"/>
      <c r="O183" s="16" t="n"/>
      <c r="P183" s="16" t="n"/>
      <c r="Q183" s="16" t="n"/>
      <c r="R183" s="16" t="n"/>
      <c r="S183" s="16" t="n"/>
      <c r="T183" s="16" t="n"/>
      <c r="U183" s="16" t="n"/>
      <c r="V183" s="16" t="n"/>
      <c r="W183" s="16" t="n"/>
      <c r="X183" s="16" t="n"/>
      <c r="Y183" s="17" t="n"/>
      <c r="Z183" s="123" t="n"/>
      <c r="AB183" s="55" t="inlineStr">
        <is>
          <t>TRILHA · CE 1</t>
        </is>
      </c>
      <c r="AC183" s="133" t="n"/>
      <c r="AD183" s="16" t="n"/>
      <c r="AE183" s="17" t="n"/>
      <c r="AF183" s="140">
        <f>DADOS_INVOC!$IV$8</f>
        <v/>
      </c>
      <c r="AG183" s="16" t="n"/>
      <c r="AH183" s="16" t="n"/>
      <c r="AI183" s="16" t="n"/>
      <c r="AJ183" s="16" t="n"/>
      <c r="AK183" s="16" t="n"/>
      <c r="AL183" s="16" t="n"/>
      <c r="AM183" s="16" t="n"/>
      <c r="AN183" s="16" t="n"/>
      <c r="AO183" s="16" t="n"/>
      <c r="AP183" s="16" t="n"/>
      <c r="AQ183" s="16" t="n"/>
      <c r="AR183" s="17" t="n"/>
      <c r="AS183" s="123" t="n"/>
    </row>
    <row r="184" hidden="1" outlineLevel="2">
      <c r="A184" s="8" t="n"/>
      <c r="B184" s="14" t="n"/>
      <c r="C184" s="123" t="n"/>
      <c r="D184" s="123" t="n"/>
      <c r="E184" s="123" t="n"/>
      <c r="F184" s="123" t="n"/>
      <c r="G184" s="123" t="n"/>
      <c r="I184" s="55" t="inlineStr">
        <is>
          <t>TRILHA · CE 1</t>
        </is>
      </c>
      <c r="J184" s="133" t="n"/>
      <c r="K184" s="16" t="n"/>
      <c r="L184" s="17" t="n"/>
      <c r="M184" s="140">
        <f>DADOS_INVOC!$IW$2</f>
        <v/>
      </c>
      <c r="N184" s="16" t="n"/>
      <c r="O184" s="16" t="n"/>
      <c r="P184" s="16" t="n"/>
      <c r="Q184" s="16" t="n"/>
      <c r="R184" s="16" t="n"/>
      <c r="S184" s="16" t="n"/>
      <c r="T184" s="16" t="n"/>
      <c r="U184" s="16" t="n"/>
      <c r="V184" s="16" t="n"/>
      <c r="W184" s="16" t="n"/>
      <c r="X184" s="16" t="n"/>
      <c r="Y184" s="17" t="n"/>
      <c r="Z184" s="123" t="n"/>
      <c r="AB184" s="55" t="inlineStr">
        <is>
          <t>TRILHA · CE 1</t>
        </is>
      </c>
      <c r="AC184" s="133" t="n"/>
      <c r="AD184" s="16" t="n"/>
      <c r="AE184" s="17" t="n"/>
      <c r="AF184" s="140">
        <f>DADOS_INVOC!$IW$8</f>
        <v/>
      </c>
      <c r="AG184" s="16" t="n"/>
      <c r="AH184" s="16" t="n"/>
      <c r="AI184" s="16" t="n"/>
      <c r="AJ184" s="16" t="n"/>
      <c r="AK184" s="16" t="n"/>
      <c r="AL184" s="16" t="n"/>
      <c r="AM184" s="16" t="n"/>
      <c r="AN184" s="16" t="n"/>
      <c r="AO184" s="16" t="n"/>
      <c r="AP184" s="16" t="n"/>
      <c r="AQ184" s="16" t="n"/>
      <c r="AR184" s="17" t="n"/>
      <c r="AS184" s="123" t="n"/>
    </row>
    <row r="185" outlineLevel="1">
      <c r="A185" s="8" t="n"/>
      <c r="B185" s="14" t="n"/>
      <c r="C185" s="123" t="n"/>
      <c r="D185" s="123" t="n"/>
      <c r="E185" s="123" t="n"/>
      <c r="F185" s="123" t="n"/>
      <c r="G185" s="123" t="n"/>
      <c r="I185" s="123" t="n"/>
      <c r="J185" s="123" t="n"/>
      <c r="K185" s="123" t="n"/>
      <c r="L185" s="123" t="n"/>
      <c r="M185" s="123" t="n"/>
      <c r="N185" s="123" t="n"/>
      <c r="O185" s="123" t="n"/>
      <c r="P185" s="123" t="n"/>
      <c r="Q185" s="123" t="n"/>
      <c r="R185" s="123" t="n"/>
      <c r="S185" s="123" t="n"/>
      <c r="T185" s="123" t="n"/>
      <c r="U185" s="123" t="n"/>
      <c r="V185" s="123" t="n"/>
      <c r="W185" s="123" t="n"/>
      <c r="X185" s="123" t="n"/>
      <c r="Y185" s="123" t="n"/>
      <c r="Z185" s="123" t="n"/>
      <c r="AB185" s="123" t="n"/>
      <c r="AC185" s="123" t="n"/>
      <c r="AD185" s="123" t="n"/>
      <c r="AE185" s="123" t="n"/>
      <c r="AF185" s="123" t="n"/>
      <c r="AG185" s="123" t="n"/>
      <c r="AH185" s="123" t="n"/>
      <c r="AI185" s="123" t="n"/>
      <c r="AJ185" s="123" t="n"/>
      <c r="AK185" s="123" t="n"/>
      <c r="AL185" s="123" t="n"/>
      <c r="AM185" s="123" t="n"/>
      <c r="AN185" s="123" t="n"/>
      <c r="AO185" s="123" t="n"/>
      <c r="AP185" s="123" t="n"/>
      <c r="AQ185" s="123" t="n"/>
      <c r="AR185" s="123" t="n"/>
      <c r="AS185" s="123" t="n"/>
    </row>
    <row r="186" outlineLevel="1">
      <c r="A186" s="8" t="n"/>
      <c r="B186" s="14" t="n"/>
      <c r="C186" s="123" t="n"/>
      <c r="D186" s="123" t="n"/>
      <c r="E186" s="123" t="n"/>
      <c r="F186" s="123" t="n"/>
      <c r="G186" s="123" t="n"/>
      <c r="I186" s="136"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23" t="n"/>
      <c r="AB186" s="136"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23" t="n"/>
    </row>
    <row r="187" hidden="1" outlineLevel="2">
      <c r="A187" s="8" t="n"/>
      <c r="B187" s="14" t="n"/>
      <c r="C187" s="123" t="n"/>
      <c r="D187" s="123" t="n"/>
      <c r="E187" s="123" t="n"/>
      <c r="F187" s="123" t="n"/>
      <c r="G187" s="123" t="n"/>
      <c r="I187" s="123" t="n"/>
      <c r="J187" s="123" t="n"/>
      <c r="K187" s="123" t="n"/>
      <c r="L187" s="123" t="n"/>
      <c r="M187" s="123" t="n"/>
      <c r="N187" s="123" t="n"/>
      <c r="O187" s="123" t="n"/>
      <c r="P187" s="123" t="n"/>
      <c r="Q187" s="123" t="n"/>
      <c r="R187" s="123" t="n"/>
      <c r="S187" s="123" t="n"/>
      <c r="T187" s="123" t="n"/>
      <c r="U187" s="123" t="n"/>
      <c r="V187" s="123" t="n"/>
      <c r="W187" s="123" t="n"/>
      <c r="X187" s="123" t="n"/>
      <c r="Y187" s="123" t="n"/>
      <c r="Z187" s="123" t="n"/>
      <c r="AB187" s="123" t="n"/>
      <c r="AC187" s="123" t="n"/>
      <c r="AD187" s="123" t="n"/>
      <c r="AE187" s="123" t="n"/>
      <c r="AF187" s="123" t="n"/>
      <c r="AG187" s="123" t="n"/>
      <c r="AH187" s="123" t="n"/>
      <c r="AI187" s="123" t="n"/>
      <c r="AJ187" s="123" t="n"/>
      <c r="AK187" s="123" t="n"/>
      <c r="AL187" s="123" t="n"/>
      <c r="AM187" s="123" t="n"/>
      <c r="AN187" s="123" t="n"/>
      <c r="AO187" s="123" t="n"/>
      <c r="AP187" s="123" t="n"/>
      <c r="AQ187" s="123" t="n"/>
      <c r="AR187" s="123" t="n"/>
      <c r="AS187" s="123" t="n"/>
    </row>
    <row r="188" hidden="1" outlineLevel="2">
      <c r="A188" s="8" t="n"/>
      <c r="B188" s="14" t="n"/>
      <c r="C188" s="123" t="n"/>
      <c r="D188" s="123" t="n"/>
      <c r="E188" s="123" t="n"/>
      <c r="F188" s="123" t="n"/>
      <c r="G188" s="123" t="n"/>
      <c r="I188" s="55" t="inlineStr">
        <is>
          <t>LIBERAÇÃO MÁXIMA 1</t>
        </is>
      </c>
      <c r="J188" s="16" t="n"/>
      <c r="K188" s="16" t="n"/>
      <c r="L188" s="16" t="n"/>
      <c r="M188" s="17" t="n"/>
      <c r="N188" s="123" t="n"/>
      <c r="O188" s="55" t="inlineStr">
        <is>
          <t>LIBERAÇÃO MÁXIMA 2</t>
        </is>
      </c>
      <c r="P188" s="16" t="n"/>
      <c r="Q188" s="16" t="n"/>
      <c r="R188" s="16" t="n"/>
      <c r="S188" s="17" t="n"/>
      <c r="T188" s="123" t="n"/>
      <c r="U188" s="55" t="inlineStr">
        <is>
          <t>LIBERAÇÃO MÁXIMA 3</t>
        </is>
      </c>
      <c r="V188" s="16" t="n"/>
      <c r="W188" s="16" t="n"/>
      <c r="X188" s="16" t="n"/>
      <c r="Y188" s="17" t="n"/>
      <c r="Z188" s="123" t="n"/>
      <c r="AB188" s="55" t="inlineStr">
        <is>
          <t>LIBERAÇÃO MÁXIMA 1</t>
        </is>
      </c>
      <c r="AC188" s="16" t="n"/>
      <c r="AD188" s="16" t="n"/>
      <c r="AE188" s="16" t="n"/>
      <c r="AF188" s="17" t="n"/>
      <c r="AG188" s="123" t="n"/>
      <c r="AH188" s="55" t="inlineStr">
        <is>
          <t>LIBERAÇÃO MÁXIMA 2</t>
        </is>
      </c>
      <c r="AI188" s="16" t="n"/>
      <c r="AJ188" s="16" t="n"/>
      <c r="AK188" s="16" t="n"/>
      <c r="AL188" s="17" t="n"/>
      <c r="AM188" s="123" t="n"/>
      <c r="AN188" s="55" t="inlineStr">
        <is>
          <t>LIBERAÇÃO MÁXIMA 3</t>
        </is>
      </c>
      <c r="AO188" s="16" t="n"/>
      <c r="AP188" s="16" t="n"/>
      <c r="AQ188" s="16" t="n"/>
      <c r="AR188" s="17" t="n"/>
      <c r="AS188" s="123" t="n"/>
    </row>
    <row r="189" hidden="1" outlineLevel="2">
      <c r="A189" s="8" t="n"/>
      <c r="B189" s="14" t="n"/>
      <c r="C189" s="123" t="n"/>
      <c r="D189" s="123" t="n"/>
      <c r="E189" s="123" t="n"/>
      <c r="F189" s="123" t="n"/>
      <c r="G189" s="123" t="n"/>
      <c r="I189" s="130" t="n">
        <v>3</v>
      </c>
      <c r="J189" s="118" t="n"/>
      <c r="K189" s="16" t="n"/>
      <c r="L189" s="17" t="n"/>
      <c r="M189" s="131">
        <f>DADOS_INVOC!$IX$2</f>
        <v/>
      </c>
      <c r="N189" s="123" t="n"/>
      <c r="O189" s="130" t="n">
        <v>3</v>
      </c>
      <c r="P189" s="118" t="n"/>
      <c r="Q189" s="16" t="n"/>
      <c r="R189" s="17" t="n"/>
      <c r="S189" s="131">
        <f>DADOS_INVOC!$IY$2</f>
        <v/>
      </c>
      <c r="T189" s="123" t="n"/>
      <c r="U189" s="130" t="n">
        <v>3</v>
      </c>
      <c r="V189" s="118" t="n"/>
      <c r="W189" s="16" t="n"/>
      <c r="X189" s="17" t="n"/>
      <c r="Y189" s="131">
        <f>DADOS_INVOC!$IZ$2</f>
        <v/>
      </c>
      <c r="Z189" s="123" t="n"/>
      <c r="AB189" s="130" t="n">
        <v>3</v>
      </c>
      <c r="AC189" s="118" t="n"/>
      <c r="AD189" s="16" t="n"/>
      <c r="AE189" s="17" t="n"/>
      <c r="AF189" s="131">
        <f>DADOS_INVOC!$IX$8</f>
        <v/>
      </c>
      <c r="AG189" s="123" t="n"/>
      <c r="AH189" s="130" t="n">
        <v>3</v>
      </c>
      <c r="AI189" s="118" t="n"/>
      <c r="AJ189" s="16" t="n"/>
      <c r="AK189" s="17" t="n"/>
      <c r="AL189" s="131">
        <f>DADOS_INVOC!$IY$8</f>
        <v/>
      </c>
      <c r="AM189" s="123" t="n"/>
      <c r="AN189" s="130" t="n">
        <v>3</v>
      </c>
      <c r="AO189" s="118" t="n"/>
      <c r="AP189" s="16" t="n"/>
      <c r="AQ189" s="17" t="n"/>
      <c r="AR189" s="131">
        <f>DADOS_INVOC!$IZ$8</f>
        <v/>
      </c>
      <c r="AS189" s="123" t="n"/>
    </row>
    <row r="190" hidden="1" outlineLevel="2">
      <c r="A190" s="8" t="n"/>
      <c r="B190" s="14" t="n"/>
      <c r="C190" s="123" t="n"/>
      <c r="D190" s="123" t="n"/>
      <c r="E190" s="123" t="n"/>
      <c r="F190" s="123" t="n"/>
      <c r="G190" s="123" t="n"/>
      <c r="I190" s="119" t="n"/>
      <c r="J190" s="19" t="n"/>
      <c r="K190" s="19" t="n"/>
      <c r="L190" s="19" t="n"/>
      <c r="M190" s="20" t="n"/>
      <c r="N190" s="123" t="n"/>
      <c r="O190" s="119" t="n"/>
      <c r="P190" s="19" t="n"/>
      <c r="Q190" s="19" t="n"/>
      <c r="R190" s="19" t="n"/>
      <c r="S190" s="20" t="n"/>
      <c r="T190" s="123" t="n"/>
      <c r="U190" s="119" t="n"/>
      <c r="V190" s="19" t="n"/>
      <c r="W190" s="19" t="n"/>
      <c r="X190" s="19" t="n"/>
      <c r="Y190" s="20" t="n"/>
      <c r="Z190" s="123" t="n"/>
      <c r="AB190" s="119" t="n"/>
      <c r="AC190" s="19" t="n"/>
      <c r="AD190" s="19" t="n"/>
      <c r="AE190" s="19" t="n"/>
      <c r="AF190" s="20" t="n"/>
      <c r="AG190" s="123" t="n"/>
      <c r="AH190" s="119" t="n"/>
      <c r="AI190" s="19" t="n"/>
      <c r="AJ190" s="19" t="n"/>
      <c r="AK190" s="19" t="n"/>
      <c r="AL190" s="20" t="n"/>
      <c r="AM190" s="123" t="n"/>
      <c r="AN190" s="119" t="n"/>
      <c r="AO190" s="19" t="n"/>
      <c r="AP190" s="19" t="n"/>
      <c r="AQ190" s="19" t="n"/>
      <c r="AR190" s="20" t="n"/>
      <c r="AS190" s="123" t="n"/>
    </row>
    <row r="191" hidden="1" outlineLevel="2">
      <c r="A191" s="8" t="n"/>
      <c r="B191" s="14" t="n"/>
      <c r="C191" s="123" t="n"/>
      <c r="D191" s="123" t="n"/>
      <c r="E191" s="123" t="n"/>
      <c r="F191" s="123" t="n"/>
      <c r="G191" s="123" t="n"/>
      <c r="I191" s="21" t="n"/>
      <c r="M191" s="22" t="n"/>
      <c r="N191" s="123" t="n"/>
      <c r="O191" s="21" t="n"/>
      <c r="S191" s="22" t="n"/>
      <c r="T191" s="123" t="n"/>
      <c r="U191" s="21" t="n"/>
      <c r="Y191" s="22" t="n"/>
      <c r="Z191" s="123" t="n"/>
      <c r="AB191" s="21" t="n"/>
      <c r="AF191" s="22" t="n"/>
      <c r="AG191" s="123" t="n"/>
      <c r="AH191" s="21" t="n"/>
      <c r="AL191" s="22" t="n"/>
      <c r="AM191" s="123" t="n"/>
      <c r="AN191" s="21" t="n"/>
      <c r="AR191" s="22" t="n"/>
      <c r="AS191" s="123" t="n"/>
    </row>
    <row r="192" hidden="1" outlineLevel="2">
      <c r="A192" s="8" t="n"/>
      <c r="B192" s="14" t="n"/>
      <c r="C192" s="123" t="n"/>
      <c r="D192" s="123" t="n"/>
      <c r="E192" s="123" t="n"/>
      <c r="F192" s="123" t="n"/>
      <c r="G192" s="123" t="n"/>
      <c r="I192" s="21" t="n"/>
      <c r="M192" s="22" t="n"/>
      <c r="N192" s="123" t="n"/>
      <c r="O192" s="21" t="n"/>
      <c r="S192" s="22" t="n"/>
      <c r="T192" s="123" t="n"/>
      <c r="U192" s="21" t="n"/>
      <c r="Y192" s="22" t="n"/>
      <c r="Z192" s="123" t="n"/>
      <c r="AB192" s="21" t="n"/>
      <c r="AF192" s="22" t="n"/>
      <c r="AG192" s="123" t="n"/>
      <c r="AH192" s="21" t="n"/>
      <c r="AL192" s="22" t="n"/>
      <c r="AM192" s="123" t="n"/>
      <c r="AN192" s="21" t="n"/>
      <c r="AR192" s="22" t="n"/>
      <c r="AS192" s="123" t="n"/>
    </row>
    <row r="193" hidden="1" outlineLevel="2">
      <c r="A193" s="8" t="n"/>
      <c r="B193" s="14" t="n"/>
      <c r="C193" s="123" t="n"/>
      <c r="D193" s="123" t="n"/>
      <c r="E193" s="123" t="n"/>
      <c r="F193" s="123" t="n"/>
      <c r="G193" s="123" t="n"/>
      <c r="I193" s="23" t="n"/>
      <c r="J193" s="24" t="n"/>
      <c r="K193" s="24" t="n"/>
      <c r="L193" s="24" t="n"/>
      <c r="M193" s="25" t="n"/>
      <c r="N193" s="123" t="n"/>
      <c r="O193" s="23" t="n"/>
      <c r="P193" s="24" t="n"/>
      <c r="Q193" s="24" t="n"/>
      <c r="R193" s="24" t="n"/>
      <c r="S193" s="25" t="n"/>
      <c r="T193" s="123" t="n"/>
      <c r="U193" s="23" t="n"/>
      <c r="V193" s="24" t="n"/>
      <c r="W193" s="24" t="n"/>
      <c r="X193" s="24" t="n"/>
      <c r="Y193" s="25" t="n"/>
      <c r="Z193" s="123" t="n"/>
      <c r="AB193" s="23" t="n"/>
      <c r="AC193" s="24" t="n"/>
      <c r="AD193" s="24" t="n"/>
      <c r="AE193" s="24" t="n"/>
      <c r="AF193" s="25" t="n"/>
      <c r="AG193" s="123" t="n"/>
      <c r="AH193" s="23" t="n"/>
      <c r="AI193" s="24" t="n"/>
      <c r="AJ193" s="24" t="n"/>
      <c r="AK193" s="24" t="n"/>
      <c r="AL193" s="25" t="n"/>
      <c r="AM193" s="123" t="n"/>
      <c r="AN193" s="23" t="n"/>
      <c r="AO193" s="24" t="n"/>
      <c r="AP193" s="24" t="n"/>
      <c r="AQ193" s="24" t="n"/>
      <c r="AR193" s="25" t="n"/>
      <c r="AS193" s="123" t="n"/>
    </row>
    <row r="194" hidden="1" outlineLevel="2">
      <c r="A194" s="8" t="n"/>
      <c r="B194" s="14" t="n"/>
      <c r="C194" s="123" t="n"/>
      <c r="D194" s="123" t="n"/>
      <c r="E194" s="123" t="n"/>
      <c r="F194" s="123" t="n"/>
      <c r="G194" s="123" t="n"/>
      <c r="I194" s="68">
        <f>DADOS_INVOC!$JA$2</f>
        <v/>
      </c>
      <c r="J194" s="16" t="n"/>
      <c r="K194" s="16" t="n"/>
      <c r="L194" s="16" t="n"/>
      <c r="M194" s="17" t="n"/>
      <c r="N194" s="123" t="n"/>
      <c r="O194" s="68">
        <f>DADOS_INVOC!$JB$2</f>
        <v/>
      </c>
      <c r="P194" s="16" t="n"/>
      <c r="Q194" s="16" t="n"/>
      <c r="R194" s="16" t="n"/>
      <c r="S194" s="17" t="n"/>
      <c r="T194" s="123" t="n"/>
      <c r="U194" s="68">
        <f>DADOS_INVOC!$JC$2</f>
        <v/>
      </c>
      <c r="V194" s="16" t="n"/>
      <c r="W194" s="16" t="n"/>
      <c r="X194" s="16" t="n"/>
      <c r="Y194" s="17" t="n"/>
      <c r="Z194" s="123" t="n"/>
      <c r="AB194" s="68">
        <f>DADOS_INVOC!$JA$8</f>
        <v/>
      </c>
      <c r="AC194" s="16" t="n"/>
      <c r="AD194" s="16" t="n"/>
      <c r="AE194" s="16" t="n"/>
      <c r="AF194" s="17" t="n"/>
      <c r="AG194" s="123" t="n"/>
      <c r="AH194" s="68">
        <f>DADOS_INVOC!$JB$8</f>
        <v/>
      </c>
      <c r="AI194" s="16" t="n"/>
      <c r="AJ194" s="16" t="n"/>
      <c r="AK194" s="16" t="n"/>
      <c r="AL194" s="17" t="n"/>
      <c r="AM194" s="123" t="n"/>
      <c r="AN194" s="68">
        <f>DADOS_INVOC!$JC$8</f>
        <v/>
      </c>
      <c r="AO194" s="16" t="n"/>
      <c r="AP194" s="16" t="n"/>
      <c r="AQ194" s="16" t="n"/>
      <c r="AR194" s="17" t="n"/>
      <c r="AS194" s="123" t="n"/>
    </row>
    <row r="195" hidden="1" outlineLevel="2">
      <c r="A195" s="8" t="n"/>
      <c r="B195" s="14" t="n"/>
      <c r="C195" s="123" t="n"/>
      <c r="D195" s="123" t="n"/>
      <c r="E195" s="123" t="n"/>
      <c r="F195" s="123" t="n"/>
      <c r="G195" s="123" t="n"/>
      <c r="I195" s="127" t="inlineStr">
        <is>
          <t>Sua Ação Completa + a básica dela</t>
        </is>
      </c>
      <c r="J195" s="16" t="n"/>
      <c r="K195" s="16" t="n"/>
      <c r="L195" s="16" t="n"/>
      <c r="M195" s="17" t="n"/>
      <c r="N195" s="123" t="n"/>
      <c r="O195" s="127" t="inlineStr">
        <is>
          <t>Sua Ação Completa + a básica dela</t>
        </is>
      </c>
      <c r="P195" s="16" t="n"/>
      <c r="Q195" s="16" t="n"/>
      <c r="R195" s="16" t="n"/>
      <c r="S195" s="17" t="n"/>
      <c r="T195" s="123" t="n"/>
      <c r="U195" s="127" t="inlineStr">
        <is>
          <t>Sua Ação Completa + a básica dela</t>
        </is>
      </c>
      <c r="V195" s="16" t="n"/>
      <c r="W195" s="16" t="n"/>
      <c r="X195" s="16" t="n"/>
      <c r="Y195" s="17" t="n"/>
      <c r="Z195" s="123" t="n"/>
      <c r="AB195" s="127" t="inlineStr">
        <is>
          <t>Sua Ação Completa + a básica dela</t>
        </is>
      </c>
      <c r="AC195" s="16" t="n"/>
      <c r="AD195" s="16" t="n"/>
      <c r="AE195" s="16" t="n"/>
      <c r="AF195" s="17" t="n"/>
      <c r="AG195" s="123" t="n"/>
      <c r="AH195" s="127" t="inlineStr">
        <is>
          <t>Sua Ação Completa + a básica dela</t>
        </is>
      </c>
      <c r="AI195" s="16" t="n"/>
      <c r="AJ195" s="16" t="n"/>
      <c r="AK195" s="16" t="n"/>
      <c r="AL195" s="17" t="n"/>
      <c r="AM195" s="123" t="n"/>
      <c r="AN195" s="127" t="inlineStr">
        <is>
          <t>Sua Ação Completa + a básica dela</t>
        </is>
      </c>
      <c r="AO195" s="16" t="n"/>
      <c r="AP195" s="16" t="n"/>
      <c r="AQ195" s="16" t="n"/>
      <c r="AR195" s="17" t="n"/>
      <c r="AS195" s="123" t="n"/>
    </row>
    <row r="196" hidden="1" outlineLevel="2">
      <c r="A196" s="8" t="n"/>
      <c r="B196" s="14" t="n"/>
      <c r="C196" s="123" t="n"/>
      <c r="D196" s="123" t="n"/>
      <c r="E196" s="123" t="n"/>
      <c r="F196" s="123" t="n"/>
      <c r="G196" s="123" t="n"/>
      <c r="I196" s="123" t="n"/>
      <c r="J196" s="123" t="n"/>
      <c r="K196" s="123" t="n"/>
      <c r="L196" s="123" t="n"/>
      <c r="M196" s="123" t="n"/>
      <c r="N196" s="123" t="n"/>
      <c r="O196" s="123" t="n"/>
      <c r="P196" s="123" t="n"/>
      <c r="Q196" s="123" t="n"/>
      <c r="R196" s="123" t="n"/>
      <c r="S196" s="123" t="n"/>
      <c r="T196" s="123" t="n"/>
      <c r="U196" s="123" t="n"/>
      <c r="V196" s="123" t="n"/>
      <c r="W196" s="123" t="n"/>
      <c r="X196" s="123" t="n"/>
      <c r="Y196" s="123" t="n"/>
      <c r="Z196" s="123" t="n"/>
      <c r="AB196" s="123" t="n"/>
      <c r="AC196" s="123" t="n"/>
      <c r="AD196" s="123" t="n"/>
      <c r="AE196" s="123" t="n"/>
      <c r="AF196" s="123" t="n"/>
      <c r="AG196" s="123" t="n"/>
      <c r="AH196" s="123" t="n"/>
      <c r="AI196" s="123" t="n"/>
      <c r="AJ196" s="123" t="n"/>
      <c r="AK196" s="123" t="n"/>
      <c r="AL196" s="123" t="n"/>
      <c r="AM196" s="123" t="n"/>
      <c r="AN196" s="123" t="n"/>
      <c r="AO196" s="123" t="n"/>
      <c r="AP196" s="123" t="n"/>
      <c r="AQ196" s="123" t="n"/>
      <c r="AR196" s="123" t="n"/>
      <c r="AS196" s="123" t="n"/>
    </row>
    <row r="197" hidden="1" outlineLevel="2">
      <c r="A197" s="8" t="n"/>
      <c r="B197" s="14" t="n"/>
      <c r="C197" s="123" t="n"/>
      <c r="D197" s="123" t="n"/>
      <c r="E197" s="123" t="n"/>
      <c r="F197" s="123" t="n"/>
      <c r="G197" s="123" t="n"/>
      <c r="I197" s="55" t="inlineStr">
        <is>
          <t>TÉCNICA MÁXIMA</t>
        </is>
      </c>
      <c r="J197" s="16" t="n"/>
      <c r="K197" s="16" t="n"/>
      <c r="L197" s="16" t="n"/>
      <c r="M197" s="17" t="n"/>
      <c r="N197" s="123" t="n"/>
      <c r="O197" s="55" t="inlineStr">
        <is>
          <t>EXPANSÃO DE DOMÍNIO</t>
        </is>
      </c>
      <c r="P197" s="16" t="n"/>
      <c r="Q197" s="16" t="n"/>
      <c r="R197" s="16" t="n"/>
      <c r="S197" s="17" t="n"/>
      <c r="T197" s="123" t="n"/>
      <c r="U197" s="123" t="n"/>
      <c r="V197" s="123" t="n"/>
      <c r="W197" s="123" t="n"/>
      <c r="X197" s="123" t="n"/>
      <c r="Y197" s="123" t="n"/>
      <c r="Z197" s="123" t="n"/>
      <c r="AB197" s="55" t="inlineStr">
        <is>
          <t>TÉCNICA MÁXIMA</t>
        </is>
      </c>
      <c r="AC197" s="16" t="n"/>
      <c r="AD197" s="16" t="n"/>
      <c r="AE197" s="16" t="n"/>
      <c r="AF197" s="17" t="n"/>
      <c r="AG197" s="123" t="n"/>
      <c r="AH197" s="55" t="inlineStr">
        <is>
          <t>EXPANSÃO DE DOMÍNIO</t>
        </is>
      </c>
      <c r="AI197" s="16" t="n"/>
      <c r="AJ197" s="16" t="n"/>
      <c r="AK197" s="16" t="n"/>
      <c r="AL197" s="17" t="n"/>
      <c r="AM197" s="123" t="n"/>
      <c r="AN197" s="123" t="n"/>
      <c r="AO197" s="123" t="n"/>
      <c r="AP197" s="123" t="n"/>
      <c r="AQ197" s="123" t="n"/>
      <c r="AR197" s="123" t="n"/>
      <c r="AS197" s="123" t="n"/>
    </row>
    <row r="198" hidden="1" outlineLevel="2">
      <c r="A198" s="8" t="n"/>
      <c r="B198" s="14" t="n"/>
      <c r="C198" s="123" t="n"/>
      <c r="D198" s="123" t="n"/>
      <c r="E198" s="123" t="n"/>
      <c r="F198" s="123" t="n"/>
      <c r="G198" s="123" t="n"/>
      <c r="I198" s="118" t="n"/>
      <c r="J198" s="16" t="n"/>
      <c r="K198" s="16" t="n"/>
      <c r="L198" s="17" t="n"/>
      <c r="M198" s="131">
        <f>DADOS_INVOC!$JD$2</f>
        <v/>
      </c>
      <c r="N198" s="123" t="n"/>
      <c r="O198" s="118" t="n"/>
      <c r="P198" s="16" t="n"/>
      <c r="Q198" s="16" t="n"/>
      <c r="R198" s="17" t="n"/>
      <c r="S198" s="131">
        <f>DADOS_INVOC!$JF$2</f>
        <v/>
      </c>
      <c r="T198" s="123" t="n"/>
      <c r="U198" s="123" t="n"/>
      <c r="V198" s="123" t="n"/>
      <c r="W198" s="123" t="n"/>
      <c r="X198" s="123" t="n"/>
      <c r="Y198" s="123" t="n"/>
      <c r="Z198" s="123" t="n"/>
      <c r="AB198" s="118" t="n"/>
      <c r="AC198" s="16" t="n"/>
      <c r="AD198" s="16" t="n"/>
      <c r="AE198" s="17" t="n"/>
      <c r="AF198" s="131">
        <f>DADOS_INVOC!$JD$8</f>
        <v/>
      </c>
      <c r="AG198" s="123" t="n"/>
      <c r="AH198" s="118" t="n"/>
      <c r="AI198" s="16" t="n"/>
      <c r="AJ198" s="16" t="n"/>
      <c r="AK198" s="17" t="n"/>
      <c r="AL198" s="131">
        <f>DADOS_INVOC!$JF$8</f>
        <v/>
      </c>
      <c r="AM198" s="123" t="n"/>
      <c r="AN198" s="123" t="n"/>
      <c r="AO198" s="123" t="n"/>
      <c r="AP198" s="123" t="n"/>
      <c r="AQ198" s="123" t="n"/>
      <c r="AR198" s="123" t="n"/>
      <c r="AS198" s="123" t="n"/>
    </row>
    <row r="199" hidden="1" outlineLevel="2">
      <c r="A199" s="8" t="n"/>
      <c r="B199" s="14" t="n"/>
      <c r="C199" s="123" t="n"/>
      <c r="D199" s="123" t="n"/>
      <c r="E199" s="123" t="n"/>
      <c r="F199" s="123" t="n"/>
      <c r="G199" s="123" t="n"/>
      <c r="I199" s="119" t="n"/>
      <c r="J199" s="19" t="n"/>
      <c r="K199" s="19" t="n"/>
      <c r="L199" s="19" t="n"/>
      <c r="M199" s="20" t="n"/>
      <c r="N199" s="123" t="n"/>
      <c r="O199" s="119" t="n"/>
      <c r="P199" s="19" t="n"/>
      <c r="Q199" s="19" t="n"/>
      <c r="R199" s="19" t="n"/>
      <c r="S199" s="20" t="n"/>
      <c r="T199" s="123" t="n"/>
      <c r="U199" s="123" t="n"/>
      <c r="V199" s="123" t="n"/>
      <c r="W199" s="123" t="n"/>
      <c r="X199" s="123" t="n"/>
      <c r="Y199" s="123" t="n"/>
      <c r="Z199" s="123" t="n"/>
      <c r="AB199" s="119" t="n"/>
      <c r="AC199" s="19" t="n"/>
      <c r="AD199" s="19" t="n"/>
      <c r="AE199" s="19" t="n"/>
      <c r="AF199" s="20" t="n"/>
      <c r="AG199" s="123" t="n"/>
      <c r="AH199" s="119" t="n"/>
      <c r="AI199" s="19" t="n"/>
      <c r="AJ199" s="19" t="n"/>
      <c r="AK199" s="19" t="n"/>
      <c r="AL199" s="20" t="n"/>
      <c r="AM199" s="123" t="n"/>
      <c r="AN199" s="123" t="n"/>
      <c r="AO199" s="123" t="n"/>
      <c r="AP199" s="123" t="n"/>
      <c r="AQ199" s="123" t="n"/>
      <c r="AR199" s="123" t="n"/>
      <c r="AS199" s="123" t="n"/>
    </row>
    <row r="200" hidden="1" outlineLevel="2">
      <c r="A200" s="8" t="n"/>
      <c r="B200" s="14" t="n"/>
      <c r="C200" s="123" t="n"/>
      <c r="D200" s="123" t="n"/>
      <c r="E200" s="123" t="n"/>
      <c r="F200" s="123" t="n"/>
      <c r="G200" s="123" t="n"/>
      <c r="I200" s="21" t="n"/>
      <c r="M200" s="22" t="n"/>
      <c r="N200" s="123" t="n"/>
      <c r="O200" s="21" t="n"/>
      <c r="S200" s="22" t="n"/>
      <c r="T200" s="123" t="n"/>
      <c r="U200" s="123" t="n"/>
      <c r="V200" s="123" t="n"/>
      <c r="W200" s="123" t="n"/>
      <c r="X200" s="123" t="n"/>
      <c r="Y200" s="123" t="n"/>
      <c r="Z200" s="123" t="n"/>
      <c r="AB200" s="21" t="n"/>
      <c r="AF200" s="22" t="n"/>
      <c r="AG200" s="123" t="n"/>
      <c r="AH200" s="21" t="n"/>
      <c r="AL200" s="22" t="n"/>
      <c r="AM200" s="123" t="n"/>
      <c r="AN200" s="123" t="n"/>
      <c r="AO200" s="123" t="n"/>
      <c r="AP200" s="123" t="n"/>
      <c r="AQ200" s="123" t="n"/>
      <c r="AR200" s="123" t="n"/>
      <c r="AS200" s="123" t="n"/>
    </row>
    <row r="201" hidden="1" outlineLevel="2">
      <c r="A201" s="8" t="n"/>
      <c r="B201" s="14" t="n"/>
      <c r="C201" s="123" t="n"/>
      <c r="D201" s="123" t="n"/>
      <c r="E201" s="123" t="n"/>
      <c r="F201" s="123" t="n"/>
      <c r="G201" s="123" t="n"/>
      <c r="I201" s="21" t="n"/>
      <c r="M201" s="22" t="n"/>
      <c r="N201" s="123" t="n"/>
      <c r="O201" s="21" t="n"/>
      <c r="S201" s="22" t="n"/>
      <c r="T201" s="123" t="n"/>
      <c r="U201" s="123" t="n"/>
      <c r="V201" s="123" t="n"/>
      <c r="W201" s="123" t="n"/>
      <c r="X201" s="123" t="n"/>
      <c r="Y201" s="123" t="n"/>
      <c r="Z201" s="123" t="n"/>
      <c r="AB201" s="21" t="n"/>
      <c r="AF201" s="22" t="n"/>
      <c r="AG201" s="123" t="n"/>
      <c r="AH201" s="21" t="n"/>
      <c r="AL201" s="22" t="n"/>
      <c r="AM201" s="123" t="n"/>
      <c r="AN201" s="123" t="n"/>
      <c r="AO201" s="123" t="n"/>
      <c r="AP201" s="123" t="n"/>
      <c r="AQ201" s="123" t="n"/>
      <c r="AR201" s="123" t="n"/>
      <c r="AS201" s="123" t="n"/>
    </row>
    <row r="202" hidden="1" outlineLevel="2">
      <c r="A202" s="8" t="n"/>
      <c r="B202" s="14" t="n"/>
      <c r="C202" s="123" t="n"/>
      <c r="D202" s="123" t="n"/>
      <c r="E202" s="123" t="n"/>
      <c r="F202" s="123" t="n"/>
      <c r="G202" s="123" t="n"/>
      <c r="I202" s="23" t="n"/>
      <c r="J202" s="24" t="n"/>
      <c r="K202" s="24" t="n"/>
      <c r="L202" s="24" t="n"/>
      <c r="M202" s="25" t="n"/>
      <c r="N202" s="123" t="n"/>
      <c r="O202" s="23" t="n"/>
      <c r="P202" s="24" t="n"/>
      <c r="Q202" s="24" t="n"/>
      <c r="R202" s="24" t="n"/>
      <c r="S202" s="25" t="n"/>
      <c r="T202" s="123" t="n"/>
      <c r="U202" s="123" t="n"/>
      <c r="V202" s="123" t="n"/>
      <c r="W202" s="123" t="n"/>
      <c r="X202" s="123" t="n"/>
      <c r="Y202" s="123" t="n"/>
      <c r="Z202" s="123" t="n"/>
      <c r="AB202" s="23" t="n"/>
      <c r="AC202" s="24" t="n"/>
      <c r="AD202" s="24" t="n"/>
      <c r="AE202" s="24" t="n"/>
      <c r="AF202" s="25" t="n"/>
      <c r="AG202" s="123" t="n"/>
      <c r="AH202" s="23" t="n"/>
      <c r="AI202" s="24" t="n"/>
      <c r="AJ202" s="24" t="n"/>
      <c r="AK202" s="24" t="n"/>
      <c r="AL202" s="25" t="n"/>
      <c r="AM202" s="123" t="n"/>
      <c r="AN202" s="123" t="n"/>
      <c r="AO202" s="123" t="n"/>
      <c r="AP202" s="123" t="n"/>
      <c r="AQ202" s="123" t="n"/>
      <c r="AR202" s="123" t="n"/>
      <c r="AS202" s="123" t="n"/>
    </row>
    <row r="203" hidden="1" outlineLevel="2">
      <c r="A203" s="8" t="n"/>
      <c r="B203" s="14" t="n"/>
      <c r="C203" s="123" t="n"/>
      <c r="D203" s="123" t="n"/>
      <c r="E203" s="123" t="n"/>
      <c r="F203" s="123" t="n"/>
      <c r="G203" s="123" t="n"/>
      <c r="I203" s="68">
        <f>DADOS_INVOC!$JE$2</f>
        <v/>
      </c>
      <c r="J203" s="16" t="n"/>
      <c r="K203" s="16" t="n"/>
      <c r="L203" s="16" t="n"/>
      <c r="M203" s="17" t="n"/>
      <c r="N203" s="123" t="n"/>
      <c r="O203" s="127" t="n"/>
      <c r="P203" s="17" t="n"/>
      <c r="Q203" s="68">
        <f>DADOS_INVOC!$JG$2</f>
        <v/>
      </c>
      <c r="R203" s="16" t="n"/>
      <c r="S203" s="17" t="n"/>
      <c r="T203" s="123" t="n"/>
      <c r="U203" s="123" t="n"/>
      <c r="V203" s="123" t="n"/>
      <c r="W203" s="123" t="n"/>
      <c r="X203" s="123" t="n"/>
      <c r="Y203" s="123" t="n"/>
      <c r="Z203" s="123" t="n"/>
      <c r="AB203" s="68">
        <f>DADOS_INVOC!$JE$8</f>
        <v/>
      </c>
      <c r="AC203" s="16" t="n"/>
      <c r="AD203" s="16" t="n"/>
      <c r="AE203" s="16" t="n"/>
      <c r="AF203" s="17" t="n"/>
      <c r="AG203" s="123" t="n"/>
      <c r="AH203" s="127" t="n"/>
      <c r="AI203" s="17" t="n"/>
      <c r="AJ203" s="68">
        <f>DADOS_INVOC!$JG$8</f>
        <v/>
      </c>
      <c r="AK203" s="16" t="n"/>
      <c r="AL203" s="17" t="n"/>
      <c r="AM203" s="123" t="n"/>
      <c r="AN203" s="123" t="n"/>
      <c r="AO203" s="123" t="n"/>
      <c r="AP203" s="123" t="n"/>
      <c r="AQ203" s="123" t="n"/>
      <c r="AR203" s="123" t="n"/>
      <c r="AS203" s="123" t="n"/>
    </row>
    <row r="204" hidden="1" outlineLevel="2">
      <c r="A204" s="8" t="n"/>
      <c r="B204" s="14" t="n"/>
      <c r="C204" s="123" t="n"/>
      <c r="D204" s="123" t="n"/>
      <c r="E204" s="123" t="n"/>
      <c r="F204" s="123" t="n"/>
      <c r="G204" s="123" t="n"/>
      <c r="I204" s="127" t="inlineStr">
        <is>
          <t>Sua Ação Completa + a básica dela</t>
        </is>
      </c>
      <c r="J204" s="16" t="n"/>
      <c r="K204" s="16" t="n"/>
      <c r="L204" s="16" t="n"/>
      <c r="M204" s="17" t="n"/>
      <c r="N204" s="123" t="n"/>
      <c r="O204" s="132">
        <f>DADOS_INVOC!$JH$2</f>
        <v/>
      </c>
      <c r="P204" s="16" t="n"/>
      <c r="Q204" s="16" t="n"/>
      <c r="R204" s="16" t="n"/>
      <c r="S204" s="17" t="n"/>
      <c r="T204" s="123" t="n"/>
      <c r="U204" s="123" t="n"/>
      <c r="V204" s="123" t="n"/>
      <c r="W204" s="123" t="n"/>
      <c r="X204" s="123" t="n"/>
      <c r="Y204" s="123" t="n"/>
      <c r="Z204" s="123" t="n"/>
      <c r="AB204" s="127" t="inlineStr">
        <is>
          <t>Sua Ação Completa + a básica dela</t>
        </is>
      </c>
      <c r="AC204" s="16" t="n"/>
      <c r="AD204" s="16" t="n"/>
      <c r="AE204" s="16" t="n"/>
      <c r="AF204" s="17" t="n"/>
      <c r="AG204" s="123" t="n"/>
      <c r="AH204" s="132">
        <f>DADOS_INVOC!$JH$8</f>
        <v/>
      </c>
      <c r="AI204" s="16" t="n"/>
      <c r="AJ204" s="16" t="n"/>
      <c r="AK204" s="16" t="n"/>
      <c r="AL204" s="17" t="n"/>
      <c r="AM204" s="123" t="n"/>
      <c r="AN204" s="123" t="n"/>
      <c r="AO204" s="123" t="n"/>
      <c r="AP204" s="123" t="n"/>
      <c r="AQ204" s="123" t="n"/>
      <c r="AR204" s="123" t="n"/>
      <c r="AS204" s="123" t="n"/>
    </row>
    <row r="205">
      <c r="A205" s="8" t="n"/>
      <c r="B205" s="14" t="n"/>
      <c r="C205" s="123" t="n"/>
      <c r="D205" s="123" t="n"/>
      <c r="E205" s="123" t="n"/>
      <c r="F205" s="123" t="n"/>
      <c r="G205" s="123" t="n"/>
      <c r="H205" s="123" t="n"/>
      <c r="I205" s="123" t="n"/>
      <c r="J205" s="123" t="n"/>
      <c r="K205" s="123" t="n"/>
      <c r="L205" s="123" t="n"/>
      <c r="M205" s="123" t="n"/>
      <c r="N205" s="123" t="n"/>
      <c r="O205" s="123" t="n"/>
      <c r="P205" s="123" t="n"/>
      <c r="Q205" s="123" t="n"/>
      <c r="R205" s="123" t="n"/>
      <c r="S205" s="123" t="n"/>
      <c r="T205" s="123" t="n"/>
      <c r="U205" s="123" t="n"/>
      <c r="V205" s="123" t="n"/>
      <c r="W205" s="123" t="n"/>
      <c r="X205" s="123" t="n"/>
      <c r="Y205" s="123" t="n"/>
      <c r="Z205" s="123" t="n"/>
      <c r="AA205" s="123" t="n"/>
      <c r="AB205" s="123" t="n"/>
      <c r="AC205" s="123" t="n"/>
      <c r="AD205" s="123" t="n"/>
      <c r="AE205" s="123" t="n"/>
      <c r="AF205" s="123" t="n"/>
      <c r="AG205" s="123" t="n"/>
      <c r="AH205" s="123" t="n"/>
      <c r="AI205" s="123" t="n"/>
      <c r="AJ205" s="123" t="n"/>
      <c r="AK205" s="123" t="n"/>
      <c r="AL205" s="123" t="n"/>
      <c r="AM205" s="123" t="n"/>
      <c r="AN205" s="123" t="n"/>
      <c r="AO205" s="123" t="n"/>
      <c r="AP205" s="123" t="n"/>
      <c r="AQ205" s="123" t="n"/>
      <c r="AR205" s="123" t="n"/>
      <c r="AS205" s="123" t="n"/>
    </row>
    <row r="206">
      <c r="A206" s="8" t="n"/>
      <c r="B206" s="14" t="n"/>
      <c r="C206" s="123" t="n"/>
      <c r="D206" s="123" t="n"/>
      <c r="E206" s="123" t="n"/>
      <c r="F206" s="123" t="n"/>
      <c r="G206" s="123" t="n"/>
      <c r="H206" s="123" t="n"/>
      <c r="I206" s="123" t="n"/>
      <c r="J206" s="123" t="n"/>
      <c r="K206" s="123" t="n"/>
      <c r="L206" s="123" t="n"/>
      <c r="M206" s="123" t="n"/>
      <c r="N206" s="123" t="n"/>
      <c r="O206" s="123" t="n"/>
      <c r="P206" s="123" t="n"/>
      <c r="Q206" s="123" t="n"/>
      <c r="R206" s="123" t="n"/>
      <c r="S206" s="123" t="n"/>
      <c r="T206" s="123" t="n"/>
      <c r="U206" s="123" t="n"/>
      <c r="V206" s="123" t="n"/>
      <c r="W206" s="123" t="n"/>
      <c r="X206" s="123" t="n"/>
      <c r="Y206" s="123" t="n"/>
      <c r="Z206" s="123" t="n"/>
      <c r="AA206" s="123" t="n"/>
      <c r="AB206" s="123" t="n"/>
      <c r="AC206" s="123" t="n"/>
      <c r="AD206" s="123" t="n"/>
      <c r="AE206" s="123" t="n"/>
      <c r="AF206" s="123" t="n"/>
      <c r="AG206" s="123" t="n"/>
      <c r="AH206" s="123" t="n"/>
      <c r="AI206" s="123" t="n"/>
      <c r="AJ206" s="123" t="n"/>
      <c r="AK206" s="123" t="n"/>
      <c r="AL206" s="123" t="n"/>
      <c r="AM206" s="123" t="n"/>
      <c r="AN206" s="123" t="n"/>
      <c r="AO206" s="123" t="n"/>
      <c r="AP206" s="123" t="n"/>
      <c r="AQ206" s="123" t="n"/>
      <c r="AR206" s="123" t="n"/>
      <c r="AS206" s="123" t="n"/>
    </row>
    <row r="207">
      <c r="A207" s="8" t="n"/>
      <c r="B207" s="14" t="n"/>
      <c r="C207" s="123" t="n"/>
      <c r="D207" s="123" t="n"/>
      <c r="E207" s="123" t="n"/>
      <c r="F207" s="123" t="n"/>
      <c r="G207" s="123" t="n"/>
      <c r="H207" s="141" t="n">
        <v>2</v>
      </c>
      <c r="I207" s="142" t="n">
        <v>2</v>
      </c>
      <c r="J207" s="126">
        <f>DADOS_INVOC!$HE$3</f>
        <v/>
      </c>
      <c r="K207" s="19" t="n"/>
      <c r="L207" s="19" t="n"/>
      <c r="M207" s="19" t="n"/>
      <c r="N207" s="19" t="n"/>
      <c r="O207" s="19" t="n"/>
      <c r="P207" s="19" t="n"/>
      <c r="Q207" s="19" t="n"/>
      <c r="R207" s="19" t="n"/>
      <c r="S207" s="19" t="n"/>
      <c r="T207" s="19" t="n"/>
      <c r="U207" s="19" t="n"/>
      <c r="V207" s="19" t="n"/>
      <c r="W207" s="19" t="n"/>
      <c r="X207" s="19" t="n"/>
      <c r="Y207" s="20" t="n"/>
      <c r="Z207" s="123" t="n"/>
      <c r="AA207" s="141" t="n">
        <v>8</v>
      </c>
      <c r="AB207" s="142" t="n">
        <v>8</v>
      </c>
      <c r="AC207" s="126">
        <f>DADOS_INVOC!$HE$9</f>
        <v/>
      </c>
      <c r="AD207" s="19" t="n"/>
      <c r="AE207" s="19" t="n"/>
      <c r="AF207" s="19" t="n"/>
      <c r="AG207" s="19" t="n"/>
      <c r="AH207" s="19" t="n"/>
      <c r="AI207" s="19" t="n"/>
      <c r="AJ207" s="19" t="n"/>
      <c r="AK207" s="19" t="n"/>
      <c r="AL207" s="19" t="n"/>
      <c r="AM207" s="19" t="n"/>
      <c r="AN207" s="19" t="n"/>
      <c r="AO207" s="19" t="n"/>
      <c r="AP207" s="19" t="n"/>
      <c r="AQ207" s="19" t="n"/>
      <c r="AR207" s="20" t="n"/>
      <c r="AS207" s="123" t="n"/>
    </row>
    <row r="208">
      <c r="A208" s="8" t="n"/>
      <c r="B208" s="14" t="n"/>
      <c r="C208" s="123" t="n"/>
      <c r="D208" s="123" t="n"/>
      <c r="E208" s="123" t="n"/>
      <c r="F208" s="123" t="n"/>
      <c r="G208" s="123" t="n"/>
      <c r="I208" s="128" t="n"/>
      <c r="J208" s="23" t="n"/>
      <c r="K208" s="24" t="n"/>
      <c r="L208" s="24" t="n"/>
      <c r="M208" s="24" t="n"/>
      <c r="N208" s="24" t="n"/>
      <c r="O208" s="24" t="n"/>
      <c r="P208" s="24" t="n"/>
      <c r="Q208" s="24" t="n"/>
      <c r="R208" s="24" t="n"/>
      <c r="S208" s="24" t="n"/>
      <c r="T208" s="24" t="n"/>
      <c r="U208" s="24" t="n"/>
      <c r="V208" s="24" t="n"/>
      <c r="W208" s="24" t="n"/>
      <c r="X208" s="24" t="n"/>
      <c r="Y208" s="25" t="n"/>
      <c r="Z208" s="123" t="n"/>
      <c r="AB208" s="128" t="n"/>
      <c r="AC208" s="23" t="n"/>
      <c r="AD208" s="24" t="n"/>
      <c r="AE208" s="24" t="n"/>
      <c r="AF208" s="24" t="n"/>
      <c r="AG208" s="24" t="n"/>
      <c r="AH208" s="24" t="n"/>
      <c r="AI208" s="24" t="n"/>
      <c r="AJ208" s="24" t="n"/>
      <c r="AK208" s="24" t="n"/>
      <c r="AL208" s="24" t="n"/>
      <c r="AM208" s="24" t="n"/>
      <c r="AN208" s="24" t="n"/>
      <c r="AO208" s="24" t="n"/>
      <c r="AP208" s="24" t="n"/>
      <c r="AQ208" s="24" t="n"/>
      <c r="AR208" s="25" t="n"/>
      <c r="AS208" s="123" t="n"/>
    </row>
    <row r="209" hidden="1" outlineLevel="1">
      <c r="A209" s="8" t="n"/>
      <c r="B209" s="14" t="n"/>
      <c r="C209" s="123" t="n"/>
      <c r="D209" s="123" t="n"/>
      <c r="E209" s="123" t="n"/>
      <c r="F209" s="123" t="n"/>
      <c r="G209" s="123" t="n"/>
      <c r="H209" s="143">
        <f>DADOS_INVOC!$HF$3</f>
        <v/>
      </c>
      <c r="I209" s="123" t="n"/>
      <c r="J209" s="123" t="n"/>
      <c r="K209" s="123" t="n"/>
      <c r="L209" s="123" t="n"/>
      <c r="M209" s="123" t="n"/>
      <c r="N209" s="123" t="n"/>
      <c r="O209" s="123" t="n"/>
      <c r="P209" s="123" t="n"/>
      <c r="Q209" s="123" t="n"/>
      <c r="R209" s="123" t="n"/>
      <c r="S209" s="123" t="n"/>
      <c r="T209" s="123" t="n"/>
      <c r="U209" s="123" t="n"/>
      <c r="V209" s="123" t="n"/>
      <c r="W209" s="123" t="n"/>
      <c r="X209" s="123" t="n"/>
      <c r="Y209" s="123" t="n"/>
      <c r="Z209" s="123" t="n"/>
      <c r="AA209" s="143">
        <f>DADOS_INVOC!$HF$9</f>
        <v/>
      </c>
      <c r="AB209" s="123" t="n"/>
      <c r="AC209" s="123" t="n"/>
      <c r="AD209" s="123" t="n"/>
      <c r="AE209" s="123" t="n"/>
      <c r="AF209" s="123" t="n"/>
      <c r="AG209" s="123" t="n"/>
      <c r="AH209" s="123" t="n"/>
      <c r="AI209" s="123" t="n"/>
      <c r="AJ209" s="123" t="n"/>
      <c r="AK209" s="123" t="n"/>
      <c r="AL209" s="123" t="n"/>
      <c r="AM209" s="123" t="n"/>
      <c r="AN209" s="123" t="n"/>
      <c r="AO209" s="123" t="n"/>
      <c r="AP209" s="123" t="n"/>
      <c r="AQ209" s="123" t="n"/>
      <c r="AR209" s="123" t="n"/>
      <c r="AS209" s="123" t="n"/>
    </row>
    <row r="210" hidden="1" outlineLevel="1">
      <c r="A210" s="8" t="n"/>
      <c r="B210" s="14" t="n"/>
      <c r="C210" s="123" t="n"/>
      <c r="D210" s="123" t="n"/>
      <c r="E210" s="123" t="n"/>
      <c r="F210" s="123" t="n"/>
      <c r="G210" s="123" t="n"/>
      <c r="I210" s="55" t="inlineStr">
        <is>
          <t>NOME</t>
        </is>
      </c>
      <c r="J210" s="16" t="n"/>
      <c r="K210" s="16" t="n"/>
      <c r="L210" s="16" t="n"/>
      <c r="M210" s="17" t="n"/>
      <c r="N210" s="123" t="n"/>
      <c r="O210" s="55" t="inlineStr">
        <is>
          <t>NÍVEL</t>
        </is>
      </c>
      <c r="P210" s="55" t="inlineStr">
        <is>
          <t>CLASSE</t>
        </is>
      </c>
      <c r="Q210" s="55" t="inlineStr">
        <is>
          <t>MAESTRIA</t>
        </is>
      </c>
      <c r="R210" s="55" t="inlineStr">
        <is>
          <t>ENTRADA</t>
        </is>
      </c>
      <c r="S210" s="55" t="inlineStr">
        <is>
          <t>RETORNO</t>
        </is>
      </c>
      <c r="T210" s="123" t="n"/>
      <c r="U210" s="55" t="inlineStr">
        <is>
          <t>VIDA ATUAL</t>
        </is>
      </c>
      <c r="V210" s="55" t="inlineStr">
        <is>
          <t>VIDA MÁXIMA</t>
        </is>
      </c>
      <c r="W210" s="55" t="inlineStr">
        <is>
          <t>TEMPORÁRIA</t>
        </is>
      </c>
      <c r="X210" s="55" t="inlineStr">
        <is>
          <t>± PERDA / GANHO</t>
        </is>
      </c>
      <c r="Y210" s="55">
        <f>DADOS_INVOC!$HZ$3</f>
        <v/>
      </c>
      <c r="Z210" s="123" t="n"/>
      <c r="AB210" s="55" t="inlineStr">
        <is>
          <t>NOME</t>
        </is>
      </c>
      <c r="AC210" s="16" t="n"/>
      <c r="AD210" s="16" t="n"/>
      <c r="AE210" s="16" t="n"/>
      <c r="AF210" s="17" t="n"/>
      <c r="AG210" s="123" t="n"/>
      <c r="AH210" s="55" t="inlineStr">
        <is>
          <t>NÍVEL</t>
        </is>
      </c>
      <c r="AI210" s="55" t="inlineStr">
        <is>
          <t>CLASSE</t>
        </is>
      </c>
      <c r="AJ210" s="55" t="inlineStr">
        <is>
          <t>MAESTRIA</t>
        </is>
      </c>
      <c r="AK210" s="55" t="inlineStr">
        <is>
          <t>ENTRADA</t>
        </is>
      </c>
      <c r="AL210" s="55" t="inlineStr">
        <is>
          <t>RETORNO</t>
        </is>
      </c>
      <c r="AM210" s="123" t="n"/>
      <c r="AN210" s="55" t="inlineStr">
        <is>
          <t>VIDA ATUAL</t>
        </is>
      </c>
      <c r="AO210" s="55" t="inlineStr">
        <is>
          <t>VIDA MÁXIMA</t>
        </is>
      </c>
      <c r="AP210" s="55" t="inlineStr">
        <is>
          <t>TEMPORÁRIA</t>
        </is>
      </c>
      <c r="AQ210" s="55" t="inlineStr">
        <is>
          <t>± PERDA / GANHO</t>
        </is>
      </c>
      <c r="AR210" s="55">
        <f>DADOS_INVOC!$HZ$9</f>
        <v/>
      </c>
      <c r="AS210" s="123" t="n"/>
    </row>
    <row r="211" hidden="1" outlineLevel="1">
      <c r="A211" s="8" t="n"/>
      <c r="B211" s="14" t="n"/>
      <c r="C211" s="123" t="n"/>
      <c r="D211" s="123" t="n"/>
      <c r="E211" s="123" t="n"/>
      <c r="F211" s="123" t="n"/>
      <c r="G211" s="123" t="n"/>
      <c r="I211" s="85" t="n"/>
      <c r="J211" s="19" t="n"/>
      <c r="K211" s="19" t="n"/>
      <c r="L211" s="19" t="n"/>
      <c r="M211" s="20" t="n"/>
      <c r="N211" s="123" t="n"/>
      <c r="O211" s="96">
        <f>DADOS_INVOC!$FM$3</f>
        <v/>
      </c>
      <c r="P211" s="96">
        <f>DADOS_INVOC!$FN$3</f>
        <v/>
      </c>
      <c r="Q211" s="96">
        <f>DADOS_INVOC!$HG$3</f>
        <v/>
      </c>
      <c r="R211" s="96">
        <f>DADOS_INVOC!$HH$3</f>
        <v/>
      </c>
      <c r="S211" s="96">
        <f>DADOS_INVOC!$HI$3</f>
        <v/>
      </c>
      <c r="T211" s="123" t="n"/>
      <c r="U211" s="96">
        <f>DADOS_INVOC!$GE$3</f>
        <v/>
      </c>
      <c r="V211" s="96">
        <f>DADOS_INVOC!$GD$3</f>
        <v/>
      </c>
      <c r="W211" s="96" t="n"/>
      <c r="X211" s="96" t="n"/>
      <c r="Y211" s="96" t="n"/>
      <c r="Z211" s="123" t="n"/>
      <c r="AB211" s="85" t="n"/>
      <c r="AC211" s="19" t="n"/>
      <c r="AD211" s="19" t="n"/>
      <c r="AE211" s="19" t="n"/>
      <c r="AF211" s="20" t="n"/>
      <c r="AG211" s="123" t="n"/>
      <c r="AH211" s="96">
        <f>DADOS_INVOC!$FM$9</f>
        <v/>
      </c>
      <c r="AI211" s="96">
        <f>DADOS_INVOC!$FN$9</f>
        <v/>
      </c>
      <c r="AJ211" s="96">
        <f>DADOS_INVOC!$HG$9</f>
        <v/>
      </c>
      <c r="AK211" s="96">
        <f>DADOS_INVOC!$HH$9</f>
        <v/>
      </c>
      <c r="AL211" s="96">
        <f>DADOS_INVOC!$HI$9</f>
        <v/>
      </c>
      <c r="AM211" s="123" t="n"/>
      <c r="AN211" s="96">
        <f>DADOS_INVOC!$GE$9</f>
        <v/>
      </c>
      <c r="AO211" s="96">
        <f>DADOS_INVOC!$GD$9</f>
        <v/>
      </c>
      <c r="AP211" s="96" t="n"/>
      <c r="AQ211" s="96" t="n"/>
      <c r="AR211" s="96" t="n"/>
      <c r="AS211" s="123" t="n"/>
    </row>
    <row r="212" hidden="1" outlineLevel="1">
      <c r="A212" s="8" t="n"/>
      <c r="B212" s="14" t="n"/>
      <c r="C212" s="123" t="n"/>
      <c r="D212" s="123" t="n"/>
      <c r="E212" s="123" t="n"/>
      <c r="F212" s="123" t="n"/>
      <c r="G212" s="123" t="n"/>
      <c r="I212" s="23" t="n"/>
      <c r="J212" s="24" t="n"/>
      <c r="K212" s="24" t="n"/>
      <c r="L212" s="24" t="n"/>
      <c r="M212" s="25" t="n"/>
      <c r="N212" s="123" t="n"/>
      <c r="O212" s="128" t="n"/>
      <c r="P212" s="128" t="n"/>
      <c r="Q212" s="128" t="n"/>
      <c r="R212" s="128" t="n"/>
      <c r="S212" s="128" t="n"/>
      <c r="T212" s="123" t="n"/>
      <c r="U212" s="128" t="n"/>
      <c r="V212" s="128" t="n"/>
      <c r="W212" s="128" t="n"/>
      <c r="X212" s="128" t="n"/>
      <c r="Y212" s="128" t="n"/>
      <c r="Z212" s="123" t="n"/>
      <c r="AB212" s="23" t="n"/>
      <c r="AC212" s="24" t="n"/>
      <c r="AD212" s="24" t="n"/>
      <c r="AE212" s="24" t="n"/>
      <c r="AF212" s="25" t="n"/>
      <c r="AG212" s="123" t="n"/>
      <c r="AH212" s="128" t="n"/>
      <c r="AI212" s="128" t="n"/>
      <c r="AJ212" s="128" t="n"/>
      <c r="AK212" s="128" t="n"/>
      <c r="AL212" s="128" t="n"/>
      <c r="AM212" s="123" t="n"/>
      <c r="AN212" s="128" t="n"/>
      <c r="AO212" s="128" t="n"/>
      <c r="AP212" s="128" t="n"/>
      <c r="AQ212" s="128" t="n"/>
      <c r="AR212" s="128" t="n"/>
      <c r="AS212" s="123" t="n"/>
    </row>
    <row r="213" hidden="1" outlineLevel="1">
      <c r="A213" s="8" t="n"/>
      <c r="B213" s="14" t="n"/>
      <c r="C213" s="123" t="n"/>
      <c r="D213" s="123" t="n"/>
      <c r="E213" s="123" t="n"/>
      <c r="F213" s="123" t="n"/>
      <c r="G213" s="123" t="n"/>
      <c r="I213" s="144" t="inlineStr">
        <is>
          <t>FOTO
式神</t>
        </is>
      </c>
      <c r="J213" s="19" t="n"/>
      <c r="K213" s="19" t="n"/>
      <c r="L213" s="19" t="n"/>
      <c r="M213" s="20" t="n"/>
      <c r="N213" s="123" t="n"/>
      <c r="O213" s="123" t="n"/>
      <c r="P213" s="123" t="n"/>
      <c r="Q213" s="123" t="n"/>
      <c r="R213" s="123" t="n"/>
      <c r="S213" s="123" t="n"/>
      <c r="T213" s="123" t="n"/>
      <c r="U213" s="133">
        <f>IFERROR(SPARKLINE(DADOS_INVOC!$GF$3,{"charttype","bar";"max",MAX(1,DADOS_INVOC!$GD$3);"color1",DADOS_INVOC!$CZ$12}),"")</f>
        <v/>
      </c>
      <c r="V213" s="16" t="n"/>
      <c r="W213" s="16" t="n"/>
      <c r="X213" s="16" t="n"/>
      <c r="Y213" s="17" t="n"/>
      <c r="Z213" s="123" t="n"/>
      <c r="AB213" s="144" t="inlineStr">
        <is>
          <t>FOTO
式神</t>
        </is>
      </c>
      <c r="AC213" s="19" t="n"/>
      <c r="AD213" s="19" t="n"/>
      <c r="AE213" s="19" t="n"/>
      <c r="AF213" s="20" t="n"/>
      <c r="AG213" s="123" t="n"/>
      <c r="AH213" s="123" t="n"/>
      <c r="AI213" s="123" t="n"/>
      <c r="AJ213" s="123" t="n"/>
      <c r="AK213" s="123" t="n"/>
      <c r="AL213" s="123" t="n"/>
      <c r="AM213" s="123" t="n"/>
      <c r="AN213" s="133">
        <f>IFERROR(SPARKLINE(DADOS_INVOC!$GF$9,{"charttype","bar";"max",MAX(1,DADOS_INVOC!$GD$9);"color1",DADOS_INVOC!$CZ$12}),"")</f>
        <v/>
      </c>
      <c r="AO213" s="16" t="n"/>
      <c r="AP213" s="16" t="n"/>
      <c r="AQ213" s="16" t="n"/>
      <c r="AR213" s="17" t="n"/>
      <c r="AS213" s="123" t="n"/>
    </row>
    <row r="214" hidden="1" outlineLevel="1">
      <c r="A214" s="8" t="n"/>
      <c r="B214" s="14" t="n"/>
      <c r="C214" s="123" t="n"/>
      <c r="D214" s="123" t="n"/>
      <c r="E214" s="123" t="n"/>
      <c r="F214" s="123" t="n"/>
      <c r="G214" s="123" t="n"/>
      <c r="I214" s="21" t="n"/>
      <c r="M214" s="22" t="n"/>
      <c r="N214" s="123" t="n"/>
      <c r="O214" s="55">
        <f>DADOS_INVOC!$HJ$3</f>
        <v/>
      </c>
      <c r="P214" s="16" t="n"/>
      <c r="Q214" s="16" t="n"/>
      <c r="R214" s="16" t="n"/>
      <c r="S214" s="17" t="n"/>
      <c r="T214" s="123" t="n"/>
      <c r="U214" s="123" t="n"/>
      <c r="V214" s="123" t="n"/>
      <c r="W214" s="123" t="n"/>
      <c r="X214" s="123" t="n"/>
      <c r="Y214" s="123" t="n"/>
      <c r="Z214" s="123" t="n"/>
      <c r="AB214" s="21" t="n"/>
      <c r="AF214" s="22" t="n"/>
      <c r="AG214" s="123" t="n"/>
      <c r="AH214" s="55">
        <f>DADOS_INVOC!$HJ$9</f>
        <v/>
      </c>
      <c r="AI214" s="16" t="n"/>
      <c r="AJ214" s="16" t="n"/>
      <c r="AK214" s="16" t="n"/>
      <c r="AL214" s="17" t="n"/>
      <c r="AM214" s="123" t="n"/>
      <c r="AN214" s="123" t="n"/>
      <c r="AO214" s="123" t="n"/>
      <c r="AP214" s="123" t="n"/>
      <c r="AQ214" s="123" t="n"/>
      <c r="AR214" s="123" t="n"/>
      <c r="AS214" s="123" t="n"/>
    </row>
    <row r="215" hidden="1" outlineLevel="1">
      <c r="A215" s="8" t="n"/>
      <c r="B215" s="14" t="n"/>
      <c r="C215" s="123" t="n"/>
      <c r="D215" s="123" t="n"/>
      <c r="E215" s="123" t="n"/>
      <c r="F215" s="123" t="n"/>
      <c r="G215" s="123" t="n"/>
      <c r="I215" s="21" t="n"/>
      <c r="M215" s="22" t="n"/>
      <c r="N215" s="123" t="n"/>
      <c r="O215" s="55" t="inlineStr">
        <is>
          <t>FOR</t>
        </is>
      </c>
      <c r="P215" s="55" t="inlineStr">
        <is>
          <t>DES</t>
        </is>
      </c>
      <c r="Q215" s="55" t="inlineStr">
        <is>
          <t>CON</t>
        </is>
      </c>
      <c r="R215" s="55" t="inlineStr">
        <is>
          <t>INT</t>
        </is>
      </c>
      <c r="S215" s="55" t="inlineStr">
        <is>
          <t>ESS</t>
        </is>
      </c>
      <c r="T215" s="123" t="n"/>
      <c r="U215" s="55" t="inlineStr">
        <is>
          <t>ALMA</t>
        </is>
      </c>
      <c r="V215" s="55" t="inlineStr">
        <is>
          <t>INTEGRIDADE ATUAL</t>
        </is>
      </c>
      <c r="W215" s="55" t="inlineStr">
        <is>
          <t>INTEGRIDADE MÁXIMA</t>
        </is>
      </c>
      <c r="X215" s="55" t="inlineStr">
        <is>
          <t>ESTÁGIO</t>
        </is>
      </c>
      <c r="Y215" s="17" t="n"/>
      <c r="Z215" s="123" t="n"/>
      <c r="AB215" s="21" t="n"/>
      <c r="AF215" s="22" t="n"/>
      <c r="AG215" s="123" t="n"/>
      <c r="AH215" s="55" t="inlineStr">
        <is>
          <t>FOR</t>
        </is>
      </c>
      <c r="AI215" s="55" t="inlineStr">
        <is>
          <t>DES</t>
        </is>
      </c>
      <c r="AJ215" s="55" t="inlineStr">
        <is>
          <t>CON</t>
        </is>
      </c>
      <c r="AK215" s="55" t="inlineStr">
        <is>
          <t>INT</t>
        </is>
      </c>
      <c r="AL215" s="55" t="inlineStr">
        <is>
          <t>ESS</t>
        </is>
      </c>
      <c r="AM215" s="123" t="n"/>
      <c r="AN215" s="55" t="inlineStr">
        <is>
          <t>ALMA</t>
        </is>
      </c>
      <c r="AO215" s="55" t="inlineStr">
        <is>
          <t>INTEGRIDADE ATUAL</t>
        </is>
      </c>
      <c r="AP215" s="55" t="inlineStr">
        <is>
          <t>INTEGRIDADE MÁXIMA</t>
        </is>
      </c>
      <c r="AQ215" s="55" t="inlineStr">
        <is>
          <t>ESTÁGIO</t>
        </is>
      </c>
      <c r="AR215" s="17" t="n"/>
      <c r="AS215" s="123" t="n"/>
    </row>
    <row r="216" hidden="1" outlineLevel="1">
      <c r="A216" s="8" t="n"/>
      <c r="B216" s="14" t="n"/>
      <c r="C216" s="123" t="n"/>
      <c r="D216" s="123" t="n"/>
      <c r="E216" s="123" t="n"/>
      <c r="F216" s="123" t="n"/>
      <c r="G216" s="123" t="n"/>
      <c r="I216" s="21" t="n"/>
      <c r="M216" s="22" t="n"/>
      <c r="N216" s="123" t="n"/>
      <c r="O216" s="96">
        <f>DADOS_INVOC!$FP$3</f>
        <v/>
      </c>
      <c r="P216" s="96">
        <f>DADOS_INVOC!$FQ$3</f>
        <v/>
      </c>
      <c r="Q216" s="96">
        <f>DADOS_INVOC!$FR$3</f>
        <v/>
      </c>
      <c r="R216" s="96">
        <f>DADOS_INVOC!$FS$3</f>
        <v/>
      </c>
      <c r="S216" s="96">
        <f>DADOS_INVOC!$FT$3</f>
        <v/>
      </c>
      <c r="T216" s="123" t="n"/>
      <c r="U216" s="127" t="inlineStr">
        <is>
          <t>Com alma</t>
        </is>
      </c>
      <c r="V216" s="96">
        <f>DADOS_INVOC!$GH$3</f>
        <v/>
      </c>
      <c r="W216" s="96">
        <f>DADOS_INVOC!$GJ$3</f>
        <v/>
      </c>
      <c r="X216" s="127">
        <f>DADOS_INVOC!$GK$3</f>
        <v/>
      </c>
      <c r="Y216" s="20" t="n"/>
      <c r="Z216" s="123" t="n"/>
      <c r="AB216" s="21" t="n"/>
      <c r="AF216" s="22" t="n"/>
      <c r="AG216" s="123" t="n"/>
      <c r="AH216" s="96">
        <f>DADOS_INVOC!$FP$9</f>
        <v/>
      </c>
      <c r="AI216" s="96">
        <f>DADOS_INVOC!$FQ$9</f>
        <v/>
      </c>
      <c r="AJ216" s="96">
        <f>DADOS_INVOC!$FR$9</f>
        <v/>
      </c>
      <c r="AK216" s="96">
        <f>DADOS_INVOC!$FS$9</f>
        <v/>
      </c>
      <c r="AL216" s="96">
        <f>DADOS_INVOC!$FT$9</f>
        <v/>
      </c>
      <c r="AM216" s="123" t="n"/>
      <c r="AN216" s="127" t="inlineStr">
        <is>
          <t>Com alma</t>
        </is>
      </c>
      <c r="AO216" s="96">
        <f>DADOS_INVOC!$GH$9</f>
        <v/>
      </c>
      <c r="AP216" s="96">
        <f>DADOS_INVOC!$GJ$9</f>
        <v/>
      </c>
      <c r="AQ216" s="127">
        <f>DADOS_INVOC!$GK$9</f>
        <v/>
      </c>
      <c r="AR216" s="20" t="n"/>
      <c r="AS216" s="123" t="n"/>
    </row>
    <row r="217" hidden="1" outlineLevel="1">
      <c r="A217" s="8" t="n"/>
      <c r="B217" s="14" t="n"/>
      <c r="C217" s="123" t="n"/>
      <c r="D217" s="123" t="n"/>
      <c r="E217" s="123" t="n"/>
      <c r="F217" s="123" t="n"/>
      <c r="G217" s="123" t="n"/>
      <c r="I217" s="21" t="n"/>
      <c r="M217" s="22" t="n"/>
      <c r="N217" s="123" t="n"/>
      <c r="O217" s="128" t="n"/>
      <c r="P217" s="128" t="n"/>
      <c r="Q217" s="128" t="n"/>
      <c r="R217" s="128" t="n"/>
      <c r="S217" s="128" t="n"/>
      <c r="T217" s="123" t="n"/>
      <c r="U217" s="128" t="n"/>
      <c r="V217" s="128" t="n"/>
      <c r="W217" s="128" t="n"/>
      <c r="X217" s="23" t="n"/>
      <c r="Y217" s="25" t="n"/>
      <c r="Z217" s="123" t="n"/>
      <c r="AB217" s="21" t="n"/>
      <c r="AF217" s="22" t="n"/>
      <c r="AG217" s="123" t="n"/>
      <c r="AH217" s="128" t="n"/>
      <c r="AI217" s="128" t="n"/>
      <c r="AJ217" s="128" t="n"/>
      <c r="AK217" s="128" t="n"/>
      <c r="AL217" s="128" t="n"/>
      <c r="AM217" s="123" t="n"/>
      <c r="AN217" s="128" t="n"/>
      <c r="AO217" s="128" t="n"/>
      <c r="AP217" s="128" t="n"/>
      <c r="AQ217" s="23" t="n"/>
      <c r="AR217" s="25" t="n"/>
      <c r="AS217" s="123" t="n"/>
    </row>
    <row r="218" hidden="1" outlineLevel="1">
      <c r="A218" s="8" t="n"/>
      <c r="B218" s="14" t="n"/>
      <c r="C218" s="123" t="n"/>
      <c r="D218" s="123" t="n"/>
      <c r="E218" s="123" t="n"/>
      <c r="F218" s="123" t="n"/>
      <c r="G218" s="123" t="n"/>
      <c r="I218" s="21" t="n"/>
      <c r="M218" s="22" t="n"/>
      <c r="N218" s="123" t="n"/>
      <c r="O218" s="145" t="n">
        <v>0</v>
      </c>
      <c r="P218" s="145" t="n">
        <v>0</v>
      </c>
      <c r="Q218" s="145" t="n">
        <v>0</v>
      </c>
      <c r="R218" s="145" t="n">
        <v>0</v>
      </c>
      <c r="S218" s="145" t="n">
        <v>0</v>
      </c>
      <c r="T218" s="123" t="n"/>
      <c r="U218" s="123" t="n"/>
      <c r="V218" s="123" t="n"/>
      <c r="W218" s="123" t="n"/>
      <c r="X218" s="123" t="n"/>
      <c r="Y218" s="123" t="n"/>
      <c r="Z218" s="123" t="n"/>
      <c r="AB218" s="21" t="n"/>
      <c r="AF218" s="22" t="n"/>
      <c r="AG218" s="123" t="n"/>
      <c r="AH218" s="145" t="n">
        <v>0</v>
      </c>
      <c r="AI218" s="145" t="n">
        <v>0</v>
      </c>
      <c r="AJ218" s="145" t="n">
        <v>0</v>
      </c>
      <c r="AK218" s="145" t="n">
        <v>0</v>
      </c>
      <c r="AL218" s="145" t="n">
        <v>0</v>
      </c>
      <c r="AM218" s="123" t="n"/>
      <c r="AN218" s="123" t="n"/>
      <c r="AO218" s="123" t="n"/>
      <c r="AP218" s="123" t="n"/>
      <c r="AQ218" s="123" t="n"/>
      <c r="AR218" s="123" t="n"/>
      <c r="AS218" s="123" t="n"/>
    </row>
    <row r="219" hidden="1" outlineLevel="1">
      <c r="A219" s="8" t="n"/>
      <c r="B219" s="14" t="n"/>
      <c r="C219" s="123" t="n"/>
      <c r="D219" s="123" t="n"/>
      <c r="E219" s="123" t="n"/>
      <c r="F219" s="123" t="n"/>
      <c r="G219" s="123" t="n"/>
      <c r="I219" s="21" t="n"/>
      <c r="M219" s="22" t="n"/>
      <c r="N219" s="123" t="n"/>
      <c r="O219" s="147" t="n">
        <v>0</v>
      </c>
      <c r="P219" s="147" t="n">
        <v>0</v>
      </c>
      <c r="Q219" s="147" t="n">
        <v>0</v>
      </c>
      <c r="R219" s="147" t="n">
        <v>0</v>
      </c>
      <c r="S219" s="147" t="n">
        <v>0</v>
      </c>
      <c r="T219" s="123" t="n"/>
      <c r="U219" s="55" t="inlineStr">
        <is>
          <t>CONDIÇÕES E USOS GASTOS</t>
        </is>
      </c>
      <c r="V219" s="16" t="n"/>
      <c r="W219" s="16" t="n"/>
      <c r="X219" s="16" t="n"/>
      <c r="Y219" s="17" t="n"/>
      <c r="Z219" s="123" t="n"/>
      <c r="AB219" s="21" t="n"/>
      <c r="AF219" s="22" t="n"/>
      <c r="AG219" s="123" t="n"/>
      <c r="AH219" s="147" t="n">
        <v>0</v>
      </c>
      <c r="AI219" s="147" t="n">
        <v>0</v>
      </c>
      <c r="AJ219" s="147" t="n">
        <v>0</v>
      </c>
      <c r="AK219" s="147" t="n">
        <v>0</v>
      </c>
      <c r="AL219" s="147" t="n">
        <v>0</v>
      </c>
      <c r="AM219" s="123" t="n"/>
      <c r="AN219" s="55" t="inlineStr">
        <is>
          <t>CONDIÇÕES E USOS GASTOS</t>
        </is>
      </c>
      <c r="AO219" s="16" t="n"/>
      <c r="AP219" s="16" t="n"/>
      <c r="AQ219" s="16" t="n"/>
      <c r="AR219" s="17" t="n"/>
      <c r="AS219" s="123" t="n"/>
    </row>
    <row r="220" hidden="1" outlineLevel="1">
      <c r="A220" s="8" t="n"/>
      <c r="B220" s="14" t="n"/>
      <c r="C220" s="123" t="n"/>
      <c r="D220" s="123" t="n"/>
      <c r="E220" s="123" t="n"/>
      <c r="F220" s="123" t="n"/>
      <c r="G220" s="123" t="n"/>
      <c r="I220" s="21" t="n"/>
      <c r="M220" s="22" t="n"/>
      <c r="N220" s="123" t="n"/>
      <c r="O220" s="123" t="n"/>
      <c r="P220" s="123" t="n"/>
      <c r="Q220" s="123" t="n"/>
      <c r="R220" s="123" t="n"/>
      <c r="S220" s="123" t="n"/>
      <c r="T220" s="123" t="n"/>
      <c r="U220" s="119" t="n"/>
      <c r="V220" s="19" t="n"/>
      <c r="W220" s="19" t="n"/>
      <c r="X220" s="19" t="n"/>
      <c r="Y220" s="20" t="n"/>
      <c r="Z220" s="123" t="n"/>
      <c r="AB220" s="21" t="n"/>
      <c r="AF220" s="22" t="n"/>
      <c r="AG220" s="123" t="n"/>
      <c r="AH220" s="123" t="n"/>
      <c r="AI220" s="123" t="n"/>
      <c r="AJ220" s="123" t="n"/>
      <c r="AK220" s="123" t="n"/>
      <c r="AL220" s="123" t="n"/>
      <c r="AM220" s="123" t="n"/>
      <c r="AN220" s="119" t="n"/>
      <c r="AO220" s="19" t="n"/>
      <c r="AP220" s="19" t="n"/>
      <c r="AQ220" s="19" t="n"/>
      <c r="AR220" s="20" t="n"/>
      <c r="AS220" s="123" t="n"/>
    </row>
    <row r="221" hidden="1" outlineLevel="1">
      <c r="A221" s="8" t="n"/>
      <c r="B221" s="14" t="n"/>
      <c r="C221" s="123" t="n"/>
      <c r="D221" s="123" t="n"/>
      <c r="E221" s="123" t="n"/>
      <c r="F221" s="123" t="n"/>
      <c r="G221" s="123" t="n"/>
      <c r="I221" s="21" t="n"/>
      <c r="M221" s="22" t="n"/>
      <c r="N221" s="123" t="n"/>
      <c r="O221" s="55" t="inlineStr">
        <is>
          <t>ATAQUE</t>
        </is>
      </c>
      <c r="P221" s="55" t="inlineStr">
        <is>
          <t>CD</t>
        </is>
      </c>
      <c r="Q221" s="55" t="inlineStr">
        <is>
          <t>DEFESA</t>
        </is>
      </c>
      <c r="R221" s="55" t="inlineStr">
        <is>
          <t>VIDA MÁXIMA</t>
        </is>
      </c>
      <c r="S221" s="55" t="inlineStr">
        <is>
          <t>DESLOCAMENTO</t>
        </is>
      </c>
      <c r="T221" s="123" t="n"/>
      <c r="U221" s="21" t="n"/>
      <c r="Y221" s="22" t="n"/>
      <c r="Z221" s="123" t="n"/>
      <c r="AB221" s="21" t="n"/>
      <c r="AF221" s="22" t="n"/>
      <c r="AG221" s="123" t="n"/>
      <c r="AH221" s="55" t="inlineStr">
        <is>
          <t>ATAQUE</t>
        </is>
      </c>
      <c r="AI221" s="55" t="inlineStr">
        <is>
          <t>CD</t>
        </is>
      </c>
      <c r="AJ221" s="55" t="inlineStr">
        <is>
          <t>DEFESA</t>
        </is>
      </c>
      <c r="AK221" s="55" t="inlineStr">
        <is>
          <t>VIDA MÁXIMA</t>
        </is>
      </c>
      <c r="AL221" s="55" t="inlineStr">
        <is>
          <t>DESLOCAMENTO</t>
        </is>
      </c>
      <c r="AM221" s="123" t="n"/>
      <c r="AN221" s="21" t="n"/>
      <c r="AR221" s="22" t="n"/>
      <c r="AS221" s="123" t="n"/>
    </row>
    <row r="222" hidden="1" outlineLevel="1">
      <c r="A222" s="8" t="n"/>
      <c r="B222" s="14" t="n"/>
      <c r="C222" s="123" t="n"/>
      <c r="D222" s="123" t="n"/>
      <c r="E222" s="123" t="n"/>
      <c r="F222" s="123" t="n"/>
      <c r="G222" s="123" t="n"/>
      <c r="I222" s="21" t="n"/>
      <c r="M222" s="22" t="n"/>
      <c r="N222" s="123" t="n"/>
      <c r="O222" s="96">
        <f>DADOS_INVOC!$HK$3</f>
        <v/>
      </c>
      <c r="P222" s="96">
        <f>DADOS_INVOC!$HL$3</f>
        <v/>
      </c>
      <c r="Q222" s="96">
        <f>DADOS_INVOC!$GB$3</f>
        <v/>
      </c>
      <c r="R222" s="96">
        <f>DADOS_INVOC!$GD$3</f>
        <v/>
      </c>
      <c r="S222" s="96">
        <f>DADOS_INVOC!$HM$3</f>
        <v/>
      </c>
      <c r="T222" s="123" t="n"/>
      <c r="U222" s="23" t="n"/>
      <c r="V222" s="24" t="n"/>
      <c r="W222" s="24" t="n"/>
      <c r="X222" s="24" t="n"/>
      <c r="Y222" s="25" t="n"/>
      <c r="Z222" s="123" t="n"/>
      <c r="AB222" s="21" t="n"/>
      <c r="AF222" s="22" t="n"/>
      <c r="AG222" s="123" t="n"/>
      <c r="AH222" s="96">
        <f>DADOS_INVOC!$HK$9</f>
        <v/>
      </c>
      <c r="AI222" s="96">
        <f>DADOS_INVOC!$HL$9</f>
        <v/>
      </c>
      <c r="AJ222" s="96">
        <f>DADOS_INVOC!$GB$9</f>
        <v/>
      </c>
      <c r="AK222" s="96">
        <f>DADOS_INVOC!$GD$9</f>
        <v/>
      </c>
      <c r="AL222" s="96">
        <f>DADOS_INVOC!$HM$9</f>
        <v/>
      </c>
      <c r="AM222" s="123" t="n"/>
      <c r="AN222" s="23" t="n"/>
      <c r="AO222" s="24" t="n"/>
      <c r="AP222" s="24" t="n"/>
      <c r="AQ222" s="24" t="n"/>
      <c r="AR222" s="25" t="n"/>
      <c r="AS222" s="123" t="n"/>
    </row>
    <row r="223" hidden="1" outlineLevel="1">
      <c r="A223" s="8" t="n"/>
      <c r="B223" s="14" t="n"/>
      <c r="C223" s="123" t="n"/>
      <c r="D223" s="123" t="n"/>
      <c r="E223" s="123" t="n"/>
      <c r="F223" s="123" t="n"/>
      <c r="G223" s="123" t="n"/>
      <c r="I223" s="21" t="n"/>
      <c r="M223" s="22" t="n"/>
      <c r="N223" s="123" t="n"/>
      <c r="O223" s="128" t="n"/>
      <c r="P223" s="128" t="n"/>
      <c r="Q223" s="128" t="n"/>
      <c r="R223" s="128" t="n"/>
      <c r="S223" s="128" t="n"/>
      <c r="T223" s="123" t="n"/>
      <c r="U223" s="123" t="n"/>
      <c r="V223" s="123" t="n"/>
      <c r="W223" s="123" t="n"/>
      <c r="X223" s="123" t="n"/>
      <c r="Y223" s="123" t="n"/>
      <c r="Z223" s="123" t="n"/>
      <c r="AB223" s="21" t="n"/>
      <c r="AF223" s="22" t="n"/>
      <c r="AG223" s="123" t="n"/>
      <c r="AH223" s="128" t="n"/>
      <c r="AI223" s="128" t="n"/>
      <c r="AJ223" s="128" t="n"/>
      <c r="AK223" s="128" t="n"/>
      <c r="AL223" s="128" t="n"/>
      <c r="AM223" s="123" t="n"/>
      <c r="AN223" s="123" t="n"/>
      <c r="AO223" s="123" t="n"/>
      <c r="AP223" s="123" t="n"/>
      <c r="AQ223" s="123" t="n"/>
      <c r="AR223" s="123" t="n"/>
      <c r="AS223" s="123" t="n"/>
    </row>
    <row r="224" hidden="1" outlineLevel="1">
      <c r="A224" s="8" t="n"/>
      <c r="B224" s="14" t="n"/>
      <c r="C224" s="123" t="n"/>
      <c r="D224" s="123" t="n"/>
      <c r="E224" s="123" t="n"/>
      <c r="F224" s="123" t="n"/>
      <c r="G224" s="123" t="n"/>
      <c r="I224" s="21" t="n"/>
      <c r="M224" s="22" t="n"/>
      <c r="N224" s="123" t="n"/>
      <c r="O224" s="147" t="n">
        <v>0</v>
      </c>
      <c r="P224" s="147" t="n">
        <v>0</v>
      </c>
      <c r="Q224" s="147" t="n">
        <v>0</v>
      </c>
      <c r="R224" s="147" t="n">
        <v>0</v>
      </c>
      <c r="S224" s="147" t="n">
        <v>0</v>
      </c>
      <c r="T224" s="123" t="n"/>
      <c r="U224" s="55" t="inlineStr">
        <is>
          <t>ANOTAÇÕES</t>
        </is>
      </c>
      <c r="V224" s="16" t="n"/>
      <c r="W224" s="16" t="n"/>
      <c r="X224" s="16" t="n"/>
      <c r="Y224" s="17" t="n"/>
      <c r="Z224" s="123" t="n"/>
      <c r="AB224" s="21" t="n"/>
      <c r="AF224" s="22" t="n"/>
      <c r="AG224" s="123" t="n"/>
      <c r="AH224" s="147" t="n">
        <v>0</v>
      </c>
      <c r="AI224" s="147" t="n">
        <v>0</v>
      </c>
      <c r="AJ224" s="147" t="n">
        <v>0</v>
      </c>
      <c r="AK224" s="147" t="n">
        <v>0</v>
      </c>
      <c r="AL224" s="147" t="n">
        <v>0</v>
      </c>
      <c r="AM224" s="123" t="n"/>
      <c r="AN224" s="55" t="inlineStr">
        <is>
          <t>ANOTAÇÕES</t>
        </is>
      </c>
      <c r="AO224" s="16" t="n"/>
      <c r="AP224" s="16" t="n"/>
      <c r="AQ224" s="16" t="n"/>
      <c r="AR224" s="17" t="n"/>
      <c r="AS224" s="123" t="n"/>
    </row>
    <row r="225" hidden="1" outlineLevel="1">
      <c r="A225" s="8" t="n"/>
      <c r="B225" s="14" t="n"/>
      <c r="C225" s="123" t="n"/>
      <c r="D225" s="123" t="n"/>
      <c r="E225" s="123" t="n"/>
      <c r="F225" s="123" t="n"/>
      <c r="G225" s="123" t="n"/>
      <c r="I225" s="21" t="n"/>
      <c r="M225" s="22" t="n"/>
      <c r="N225" s="123" t="n"/>
      <c r="O225" s="123" t="n"/>
      <c r="P225" s="123" t="n"/>
      <c r="Q225" s="123" t="n"/>
      <c r="R225" s="123" t="n"/>
      <c r="S225" s="123" t="n"/>
      <c r="T225" s="123" t="n"/>
      <c r="U225" s="119" t="n"/>
      <c r="V225" s="19" t="n"/>
      <c r="W225" s="19" t="n"/>
      <c r="X225" s="19" t="n"/>
      <c r="Y225" s="20" t="n"/>
      <c r="Z225" s="123" t="n"/>
      <c r="AB225" s="21" t="n"/>
      <c r="AF225" s="22" t="n"/>
      <c r="AG225" s="123" t="n"/>
      <c r="AH225" s="123" t="n"/>
      <c r="AI225" s="123" t="n"/>
      <c r="AJ225" s="123" t="n"/>
      <c r="AK225" s="123" t="n"/>
      <c r="AL225" s="123" t="n"/>
      <c r="AM225" s="123" t="n"/>
      <c r="AN225" s="119" t="n"/>
      <c r="AO225" s="19" t="n"/>
      <c r="AP225" s="19" t="n"/>
      <c r="AQ225" s="19" t="n"/>
      <c r="AR225" s="20" t="n"/>
      <c r="AS225" s="123" t="n"/>
    </row>
    <row r="226" hidden="1" outlineLevel="1">
      <c r="A226" s="8" t="n"/>
      <c r="B226" s="14" t="n"/>
      <c r="C226" s="123" t="n"/>
      <c r="D226" s="123" t="n"/>
      <c r="E226" s="123" t="n"/>
      <c r="F226" s="123" t="n"/>
      <c r="G226" s="123" t="n"/>
      <c r="I226" s="21" t="n"/>
      <c r="M226" s="22" t="n"/>
      <c r="N226" s="123" t="n"/>
      <c r="O226" s="55" t="inlineStr">
        <is>
          <t>FÍSICO</t>
        </is>
      </c>
      <c r="P226" s="55" t="inlineStr">
        <is>
          <t>VIGOR</t>
        </is>
      </c>
      <c r="Q226" s="55" t="inlineStr">
        <is>
          <t>INTELECTO</t>
        </is>
      </c>
      <c r="R226" s="55" t="inlineStr">
        <is>
          <t>ESPÍRITO</t>
        </is>
      </c>
      <c r="S226" s="55" t="inlineStr">
        <is>
          <t>TR TREINADO</t>
        </is>
      </c>
      <c r="T226" s="123" t="n"/>
      <c r="U226" s="21" t="n"/>
      <c r="Y226" s="22" t="n"/>
      <c r="Z226" s="123" t="n"/>
      <c r="AB226" s="21" t="n"/>
      <c r="AF226" s="22" t="n"/>
      <c r="AG226" s="123" t="n"/>
      <c r="AH226" s="55" t="inlineStr">
        <is>
          <t>FÍSICO</t>
        </is>
      </c>
      <c r="AI226" s="55" t="inlineStr">
        <is>
          <t>VIGOR</t>
        </is>
      </c>
      <c r="AJ226" s="55" t="inlineStr">
        <is>
          <t>INTELECTO</t>
        </is>
      </c>
      <c r="AK226" s="55" t="inlineStr">
        <is>
          <t>ESPÍRITO</t>
        </is>
      </c>
      <c r="AL226" s="55" t="inlineStr">
        <is>
          <t>TR TREINADO</t>
        </is>
      </c>
      <c r="AM226" s="123" t="n"/>
      <c r="AN226" s="21" t="n"/>
      <c r="AR226" s="22" t="n"/>
      <c r="AS226" s="123" t="n"/>
    </row>
    <row r="227" hidden="1" outlineLevel="1">
      <c r="A227" s="8" t="n"/>
      <c r="B227" s="14" t="n"/>
      <c r="C227" s="123" t="n"/>
      <c r="D227" s="123" t="n"/>
      <c r="E227" s="123" t="n"/>
      <c r="F227" s="123" t="n"/>
      <c r="G227" s="123" t="n"/>
      <c r="I227" s="21" t="n"/>
      <c r="M227" s="22" t="n"/>
      <c r="N227" s="123" t="n"/>
      <c r="O227" s="96">
        <f>DADOS_INVOC!$HN$3</f>
        <v/>
      </c>
      <c r="P227" s="96">
        <f>DADOS_INVOC!$HO$3</f>
        <v/>
      </c>
      <c r="Q227" s="96">
        <f>DADOS_INVOC!$HP$3</f>
        <v/>
      </c>
      <c r="R227" s="96">
        <f>DADOS_INVOC!$HQ$3</f>
        <v/>
      </c>
      <c r="S227" s="127" t="n"/>
      <c r="T227" s="123" t="n"/>
      <c r="U227" s="21" t="n"/>
      <c r="Y227" s="22" t="n"/>
      <c r="Z227" s="123" t="n"/>
      <c r="AB227" s="21" t="n"/>
      <c r="AF227" s="22" t="n"/>
      <c r="AG227" s="123" t="n"/>
      <c r="AH227" s="96">
        <f>DADOS_INVOC!$HN$9</f>
        <v/>
      </c>
      <c r="AI227" s="96">
        <f>DADOS_INVOC!$HO$9</f>
        <v/>
      </c>
      <c r="AJ227" s="96">
        <f>DADOS_INVOC!$HP$9</f>
        <v/>
      </c>
      <c r="AK227" s="96">
        <f>DADOS_INVOC!$HQ$9</f>
        <v/>
      </c>
      <c r="AL227" s="127" t="n"/>
      <c r="AM227" s="123" t="n"/>
      <c r="AN227" s="21" t="n"/>
      <c r="AR227" s="22" t="n"/>
      <c r="AS227" s="123" t="n"/>
    </row>
    <row r="228" hidden="1" outlineLevel="1">
      <c r="A228" s="8" t="n"/>
      <c r="B228" s="14" t="n"/>
      <c r="C228" s="123" t="n"/>
      <c r="D228" s="123" t="n"/>
      <c r="E228" s="123" t="n"/>
      <c r="F228" s="123" t="n"/>
      <c r="G228" s="123" t="n"/>
      <c r="I228" s="21" t="n"/>
      <c r="M228" s="22" t="n"/>
      <c r="N228" s="123" t="n"/>
      <c r="O228" s="128" t="n"/>
      <c r="P228" s="128" t="n"/>
      <c r="Q228" s="128" t="n"/>
      <c r="R228" s="128" t="n"/>
      <c r="S228" s="128" t="n"/>
      <c r="T228" s="123" t="n"/>
      <c r="U228" s="23" t="n"/>
      <c r="V228" s="24" t="n"/>
      <c r="W228" s="24" t="n"/>
      <c r="X228" s="24" t="n"/>
      <c r="Y228" s="25" t="n"/>
      <c r="Z228" s="123" t="n"/>
      <c r="AB228" s="21" t="n"/>
      <c r="AF228" s="22" t="n"/>
      <c r="AG228" s="123" t="n"/>
      <c r="AH228" s="128" t="n"/>
      <c r="AI228" s="128" t="n"/>
      <c r="AJ228" s="128" t="n"/>
      <c r="AK228" s="128" t="n"/>
      <c r="AL228" s="128" t="n"/>
      <c r="AM228" s="123" t="n"/>
      <c r="AN228" s="23" t="n"/>
      <c r="AO228" s="24" t="n"/>
      <c r="AP228" s="24" t="n"/>
      <c r="AQ228" s="24" t="n"/>
      <c r="AR228" s="25" t="n"/>
      <c r="AS228" s="123" t="n"/>
    </row>
    <row r="229" hidden="1" outlineLevel="1">
      <c r="A229" s="8" t="n"/>
      <c r="B229" s="14" t="n"/>
      <c r="C229" s="123" t="n"/>
      <c r="D229" s="123" t="n"/>
      <c r="E229" s="123" t="n"/>
      <c r="F229" s="123" t="n"/>
      <c r="G229" s="123" t="n"/>
      <c r="I229" s="21" t="n"/>
      <c r="M229" s="22" t="n"/>
      <c r="N229" s="123" t="n"/>
      <c r="O229" s="147" t="n">
        <v>0</v>
      </c>
      <c r="P229" s="147" t="n">
        <v>0</v>
      </c>
      <c r="Q229" s="147" t="n">
        <v>0</v>
      </c>
      <c r="R229" s="147" t="n">
        <v>0</v>
      </c>
      <c r="S229" s="123" t="n"/>
      <c r="T229" s="123" t="n"/>
      <c r="U229" s="123" t="n"/>
      <c r="V229" s="123" t="n"/>
      <c r="W229" s="123" t="n"/>
      <c r="X229" s="123" t="n"/>
      <c r="Y229" s="123" t="n"/>
      <c r="Z229" s="123" t="n"/>
      <c r="AB229" s="21" t="n"/>
      <c r="AF229" s="22" t="n"/>
      <c r="AG229" s="123" t="n"/>
      <c r="AH229" s="147" t="n">
        <v>0</v>
      </c>
      <c r="AI229" s="147" t="n">
        <v>0</v>
      </c>
      <c r="AJ229" s="147" t="n">
        <v>0</v>
      </c>
      <c r="AK229" s="147" t="n">
        <v>0</v>
      </c>
      <c r="AL229" s="123" t="n"/>
      <c r="AM229" s="123" t="n"/>
      <c r="AN229" s="123" t="n"/>
      <c r="AO229" s="123" t="n"/>
      <c r="AP229" s="123" t="n"/>
      <c r="AQ229" s="123" t="n"/>
      <c r="AR229" s="123" t="n"/>
      <c r="AS229" s="123" t="n"/>
    </row>
    <row r="230" hidden="1" outlineLevel="1">
      <c r="A230" s="8" t="n"/>
      <c r="B230" s="14" t="n"/>
      <c r="C230" s="123" t="n"/>
      <c r="D230" s="123" t="n"/>
      <c r="E230" s="123" t="n"/>
      <c r="F230" s="123" t="n"/>
      <c r="G230" s="123" t="n"/>
      <c r="I230" s="21" t="n"/>
      <c r="M230" s="22" t="n"/>
      <c r="N230" s="123" t="n"/>
      <c r="O230" s="123" t="n"/>
      <c r="P230" s="123" t="n"/>
      <c r="Q230" s="123" t="n"/>
      <c r="R230" s="123" t="n"/>
      <c r="S230" s="123" t="n"/>
      <c r="T230" s="123" t="n"/>
      <c r="U230" s="55">
        <f>DADOS_INVOC!$IA$3</f>
        <v/>
      </c>
      <c r="V230" s="16" t="n"/>
      <c r="W230" s="16" t="n"/>
      <c r="X230" s="17" t="n"/>
      <c r="Y230" s="55" t="inlineStr">
        <is>
          <t>VOL.</t>
        </is>
      </c>
      <c r="Z230" s="123" t="n"/>
      <c r="AB230" s="21" t="n"/>
      <c r="AF230" s="22" t="n"/>
      <c r="AG230" s="123" t="n"/>
      <c r="AH230" s="123" t="n"/>
      <c r="AI230" s="123" t="n"/>
      <c r="AJ230" s="123" t="n"/>
      <c r="AK230" s="123" t="n"/>
      <c r="AL230" s="123" t="n"/>
      <c r="AM230" s="123" t="n"/>
      <c r="AN230" s="55">
        <f>DADOS_INVOC!$IA$9</f>
        <v/>
      </c>
      <c r="AO230" s="16" t="n"/>
      <c r="AP230" s="16" t="n"/>
      <c r="AQ230" s="17" t="n"/>
      <c r="AR230" s="55" t="inlineStr">
        <is>
          <t>VOL.</t>
        </is>
      </c>
      <c r="AS230" s="123" t="n"/>
    </row>
    <row r="231" hidden="1" outlineLevel="1">
      <c r="A231" s="8" t="n"/>
      <c r="B231" s="14" t="n"/>
      <c r="C231" s="123" t="n"/>
      <c r="D231" s="123" t="n"/>
      <c r="E231" s="123" t="n"/>
      <c r="F231" s="123" t="n"/>
      <c r="G231" s="123" t="n"/>
      <c r="I231" s="21" t="n"/>
      <c r="M231" s="22" t="n"/>
      <c r="N231" s="123" t="n"/>
      <c r="O231" s="55" t="inlineStr">
        <is>
          <t>ATRIBUTO DE ACERTO</t>
        </is>
      </c>
      <c r="P231" s="16" t="n"/>
      <c r="Q231" s="17" t="n"/>
      <c r="R231" s="55" t="inlineStr">
        <is>
          <t>FÍSICO USA</t>
        </is>
      </c>
      <c r="S231" s="17" t="n"/>
      <c r="T231" s="123" t="n"/>
      <c r="U231" s="55" t="inlineStr">
        <is>
          <t>MÃO 1</t>
        </is>
      </c>
      <c r="V231" s="133" t="n"/>
      <c r="W231" s="16" t="n"/>
      <c r="X231" s="17" t="n"/>
      <c r="Y231" s="127" t="n"/>
      <c r="Z231" s="123" t="n"/>
      <c r="AB231" s="21" t="n"/>
      <c r="AF231" s="22" t="n"/>
      <c r="AG231" s="123" t="n"/>
      <c r="AH231" s="55" t="inlineStr">
        <is>
          <t>ATRIBUTO DE ACERTO</t>
        </is>
      </c>
      <c r="AI231" s="16" t="n"/>
      <c r="AJ231" s="17" t="n"/>
      <c r="AK231" s="55" t="inlineStr">
        <is>
          <t>FÍSICO USA</t>
        </is>
      </c>
      <c r="AL231" s="17" t="n"/>
      <c r="AM231" s="123" t="n"/>
      <c r="AN231" s="55" t="inlineStr">
        <is>
          <t>MÃO 1</t>
        </is>
      </c>
      <c r="AO231" s="133" t="n"/>
      <c r="AP231" s="16" t="n"/>
      <c r="AQ231" s="17" t="n"/>
      <c r="AR231" s="127" t="n"/>
      <c r="AS231" s="123" t="n"/>
    </row>
    <row r="232" hidden="1" outlineLevel="1">
      <c r="A232" s="8" t="n"/>
      <c r="B232" s="14" t="n"/>
      <c r="C232" s="123" t="n"/>
      <c r="D232" s="123" t="n"/>
      <c r="E232" s="123" t="n"/>
      <c r="F232" s="123" t="n"/>
      <c r="G232" s="123" t="n"/>
      <c r="I232" s="21" t="n"/>
      <c r="M232" s="22" t="n"/>
      <c r="N232" s="123" t="n"/>
      <c r="O232" s="127" t="n"/>
      <c r="P232" s="19" t="n"/>
      <c r="Q232" s="20" t="n"/>
      <c r="R232" s="127" t="inlineStr">
        <is>
          <t>Força</t>
        </is>
      </c>
      <c r="S232" s="20" t="n"/>
      <c r="T232" s="123" t="n"/>
      <c r="U232" s="55" t="inlineStr">
        <is>
          <t>MÃO 2</t>
        </is>
      </c>
      <c r="V232" s="133" t="n"/>
      <c r="W232" s="16" t="n"/>
      <c r="X232" s="17" t="n"/>
      <c r="Y232" s="127" t="n"/>
      <c r="Z232" s="123" t="n"/>
      <c r="AB232" s="21" t="n"/>
      <c r="AF232" s="22" t="n"/>
      <c r="AG232" s="123" t="n"/>
      <c r="AH232" s="127" t="n"/>
      <c r="AI232" s="19" t="n"/>
      <c r="AJ232" s="20" t="n"/>
      <c r="AK232" s="127" t="inlineStr">
        <is>
          <t>Força</t>
        </is>
      </c>
      <c r="AL232" s="20" t="n"/>
      <c r="AM232" s="123" t="n"/>
      <c r="AN232" s="55" t="inlineStr">
        <is>
          <t>MÃO 2</t>
        </is>
      </c>
      <c r="AO232" s="133" t="n"/>
      <c r="AP232" s="16" t="n"/>
      <c r="AQ232" s="17" t="n"/>
      <c r="AR232" s="127" t="n"/>
      <c r="AS232" s="123" t="n"/>
    </row>
    <row r="233" hidden="1" outlineLevel="1">
      <c r="A233" s="8" t="n"/>
      <c r="B233" s="14" t="n"/>
      <c r="C233" s="123" t="n"/>
      <c r="D233" s="123" t="n"/>
      <c r="E233" s="123" t="n"/>
      <c r="F233" s="123" t="n"/>
      <c r="G233" s="123" t="n"/>
      <c r="I233" s="21" t="n"/>
      <c r="M233" s="22" t="n"/>
      <c r="N233" s="123" t="n"/>
      <c r="O233" s="23" t="n"/>
      <c r="P233" s="24" t="n"/>
      <c r="Q233" s="25" t="n"/>
      <c r="R233" s="23" t="n"/>
      <c r="S233" s="25" t="n"/>
      <c r="T233" s="123" t="n"/>
      <c r="U233" s="55" t="inlineStr">
        <is>
          <t>VESTE</t>
        </is>
      </c>
      <c r="V233" s="133" t="n"/>
      <c r="W233" s="16" t="n"/>
      <c r="X233" s="17" t="n"/>
      <c r="Y233" s="127" t="n"/>
      <c r="Z233" s="123" t="n"/>
      <c r="AB233" s="21" t="n"/>
      <c r="AF233" s="22" t="n"/>
      <c r="AG233" s="123" t="n"/>
      <c r="AH233" s="23" t="n"/>
      <c r="AI233" s="24" t="n"/>
      <c r="AJ233" s="25" t="n"/>
      <c r="AK233" s="23" t="n"/>
      <c r="AL233" s="25" t="n"/>
      <c r="AM233" s="123" t="n"/>
      <c r="AN233" s="55" t="inlineStr">
        <is>
          <t>VESTE</t>
        </is>
      </c>
      <c r="AO233" s="133" t="n"/>
      <c r="AP233" s="16" t="n"/>
      <c r="AQ233" s="17" t="n"/>
      <c r="AR233" s="127" t="n"/>
      <c r="AS233" s="123" t="n"/>
    </row>
    <row r="234" hidden="1" outlineLevel="1">
      <c r="A234" s="8" t="n"/>
      <c r="B234" s="14" t="n"/>
      <c r="C234" s="123" t="n"/>
      <c r="D234" s="123" t="n"/>
      <c r="E234" s="123" t="n"/>
      <c r="F234" s="123" t="n"/>
      <c r="G234" s="123" t="n"/>
      <c r="I234" s="21" t="n"/>
      <c r="M234" s="22" t="n"/>
      <c r="N234" s="123" t="n"/>
      <c r="O234" s="123" t="n"/>
      <c r="P234" s="123" t="n"/>
      <c r="Q234" s="123" t="n"/>
      <c r="R234" s="123" t="n"/>
      <c r="S234" s="123" t="n"/>
      <c r="T234" s="123" t="n"/>
      <c r="U234" s="55" t="inlineStr">
        <is>
          <t>GUARDADO · SÓ COM A CARACTERÍSTICA DE TRANSPORTE</t>
        </is>
      </c>
      <c r="V234" s="16" t="n"/>
      <c r="W234" s="16" t="n"/>
      <c r="X234" s="17" t="n"/>
      <c r="Y234" s="55" t="inlineStr">
        <is>
          <t>VOL.</t>
        </is>
      </c>
      <c r="Z234" s="123" t="n"/>
      <c r="AB234" s="21" t="n"/>
      <c r="AF234" s="22" t="n"/>
      <c r="AG234" s="123" t="n"/>
      <c r="AH234" s="123" t="n"/>
      <c r="AI234" s="123" t="n"/>
      <c r="AJ234" s="123" t="n"/>
      <c r="AK234" s="123" t="n"/>
      <c r="AL234" s="123" t="n"/>
      <c r="AM234" s="123" t="n"/>
      <c r="AN234" s="55" t="inlineStr">
        <is>
          <t>GUARDADO · SÓ COM A CARACTERÍSTICA DE TRANSPORTE</t>
        </is>
      </c>
      <c r="AO234" s="16" t="n"/>
      <c r="AP234" s="16" t="n"/>
      <c r="AQ234" s="17" t="n"/>
      <c r="AR234" s="55" t="inlineStr">
        <is>
          <t>VOL.</t>
        </is>
      </c>
      <c r="AS234" s="123" t="n"/>
    </row>
    <row r="235" hidden="1" outlineLevel="1">
      <c r="A235" s="8" t="n"/>
      <c r="B235" s="14" t="n"/>
      <c r="C235" s="123" t="n"/>
      <c r="D235" s="123" t="n"/>
      <c r="E235" s="123" t="n"/>
      <c r="F235" s="123" t="n"/>
      <c r="G235" s="123" t="n"/>
      <c r="I235" s="21" t="n"/>
      <c r="M235" s="22" t="n"/>
      <c r="N235" s="123" t="n"/>
      <c r="O235" s="55">
        <f>DADOS_INVOC!$HR$3</f>
        <v/>
      </c>
      <c r="P235" s="16" t="n"/>
      <c r="Q235" s="16" t="n"/>
      <c r="R235" s="16" t="n"/>
      <c r="S235" s="17" t="n"/>
      <c r="T235" s="123" t="n"/>
      <c r="U235" s="133" t="n"/>
      <c r="V235" s="16" t="n"/>
      <c r="W235" s="16" t="n"/>
      <c r="X235" s="17" t="n"/>
      <c r="Y235" s="127" t="n"/>
      <c r="Z235" s="123" t="n"/>
      <c r="AB235" s="21" t="n"/>
      <c r="AF235" s="22" t="n"/>
      <c r="AG235" s="123" t="n"/>
      <c r="AH235" s="55">
        <f>DADOS_INVOC!$HR$9</f>
        <v/>
      </c>
      <c r="AI235" s="16" t="n"/>
      <c r="AJ235" s="16" t="n"/>
      <c r="AK235" s="16" t="n"/>
      <c r="AL235" s="17" t="n"/>
      <c r="AM235" s="123" t="n"/>
      <c r="AN235" s="133" t="n"/>
      <c r="AO235" s="16" t="n"/>
      <c r="AP235" s="16" t="n"/>
      <c r="AQ235" s="17" t="n"/>
      <c r="AR235" s="127" t="n"/>
      <c r="AS235" s="123" t="n"/>
    </row>
    <row r="236" hidden="1" outlineLevel="1">
      <c r="A236" s="8" t="n"/>
      <c r="B236" s="14" t="n"/>
      <c r="C236" s="123" t="n"/>
      <c r="D236" s="123" t="n"/>
      <c r="E236" s="123" t="n"/>
      <c r="F236" s="123" t="n"/>
      <c r="G236" s="123" t="n"/>
      <c r="I236" s="21" t="n"/>
      <c r="M236" s="22" t="n"/>
      <c r="N236" s="123" t="n"/>
      <c r="O236" s="133" t="n"/>
      <c r="P236" s="16" t="n"/>
      <c r="Q236" s="17" t="n"/>
      <c r="R236" s="127">
        <f>DADOS_INVOC!$HS$3</f>
        <v/>
      </c>
      <c r="S236" s="17" t="n"/>
      <c r="T236" s="123" t="n"/>
      <c r="U236" s="133" t="n"/>
      <c r="V236" s="16" t="n"/>
      <c r="W236" s="16" t="n"/>
      <c r="X236" s="17" t="n"/>
      <c r="Y236" s="127" t="n"/>
      <c r="Z236" s="123" t="n"/>
      <c r="AB236" s="21" t="n"/>
      <c r="AF236" s="22" t="n"/>
      <c r="AG236" s="123" t="n"/>
      <c r="AH236" s="133" t="n"/>
      <c r="AI236" s="16" t="n"/>
      <c r="AJ236" s="17" t="n"/>
      <c r="AK236" s="127">
        <f>DADOS_INVOC!$HS$9</f>
        <v/>
      </c>
      <c r="AL236" s="17" t="n"/>
      <c r="AM236" s="123" t="n"/>
      <c r="AN236" s="133" t="n"/>
      <c r="AO236" s="16" t="n"/>
      <c r="AP236" s="16" t="n"/>
      <c r="AQ236" s="17" t="n"/>
      <c r="AR236" s="127" t="n"/>
      <c r="AS236" s="123" t="n"/>
    </row>
    <row r="237" hidden="1" outlineLevel="1">
      <c r="A237" s="8" t="n"/>
      <c r="B237" s="14" t="n"/>
      <c r="C237" s="123" t="n"/>
      <c r="D237" s="123" t="n"/>
      <c r="E237" s="123" t="n"/>
      <c r="F237" s="123" t="n"/>
      <c r="G237" s="123" t="n"/>
      <c r="I237" s="21" t="n"/>
      <c r="M237" s="22" t="n"/>
      <c r="N237" s="123" t="n"/>
      <c r="O237" s="133" t="n"/>
      <c r="P237" s="16" t="n"/>
      <c r="Q237" s="17" t="n"/>
      <c r="R237" s="127">
        <f>DADOS_INVOC!$HT$3</f>
        <v/>
      </c>
      <c r="S237" s="17" t="n"/>
      <c r="T237" s="123" t="n"/>
      <c r="U237" s="133" t="n"/>
      <c r="V237" s="16" t="n"/>
      <c r="W237" s="16" t="n"/>
      <c r="X237" s="17" t="n"/>
      <c r="Y237" s="127" t="n"/>
      <c r="Z237" s="123" t="n"/>
      <c r="AB237" s="21" t="n"/>
      <c r="AF237" s="22" t="n"/>
      <c r="AG237" s="123" t="n"/>
      <c r="AH237" s="133" t="n"/>
      <c r="AI237" s="16" t="n"/>
      <c r="AJ237" s="17" t="n"/>
      <c r="AK237" s="127">
        <f>DADOS_INVOC!$HT$9</f>
        <v/>
      </c>
      <c r="AL237" s="17" t="n"/>
      <c r="AM237" s="123" t="n"/>
      <c r="AN237" s="133" t="n"/>
      <c r="AO237" s="16" t="n"/>
      <c r="AP237" s="16" t="n"/>
      <c r="AQ237" s="17" t="n"/>
      <c r="AR237" s="127" t="n"/>
      <c r="AS237" s="123" t="n"/>
    </row>
    <row r="238" hidden="1" outlineLevel="1">
      <c r="A238" s="8" t="n"/>
      <c r="B238" s="14" t="n"/>
      <c r="C238" s="123" t="n"/>
      <c r="D238" s="123" t="n"/>
      <c r="E238" s="123" t="n"/>
      <c r="F238" s="123" t="n"/>
      <c r="G238" s="123" t="n"/>
      <c r="I238" s="23" t="n"/>
      <c r="J238" s="24" t="n"/>
      <c r="K238" s="24" t="n"/>
      <c r="L238" s="24" t="n"/>
      <c r="M238" s="25" t="n"/>
      <c r="N238" s="123" t="n"/>
      <c r="O238" s="133" t="n"/>
      <c r="P238" s="16" t="n"/>
      <c r="Q238" s="17" t="n"/>
      <c r="R238" s="127">
        <f>DADOS_INVOC!$HU$3</f>
        <v/>
      </c>
      <c r="S238" s="17" t="n"/>
      <c r="T238" s="123" t="n"/>
      <c r="U238" s="133" t="n"/>
      <c r="V238" s="16" t="n"/>
      <c r="W238" s="16" t="n"/>
      <c r="X238" s="17" t="n"/>
      <c r="Y238" s="127" t="n"/>
      <c r="Z238" s="123" t="n"/>
      <c r="AB238" s="23" t="n"/>
      <c r="AC238" s="24" t="n"/>
      <c r="AD238" s="24" t="n"/>
      <c r="AE238" s="24" t="n"/>
      <c r="AF238" s="25" t="n"/>
      <c r="AG238" s="123" t="n"/>
      <c r="AH238" s="133" t="n"/>
      <c r="AI238" s="16" t="n"/>
      <c r="AJ238" s="17" t="n"/>
      <c r="AK238" s="127">
        <f>DADOS_INVOC!$HU$9</f>
        <v/>
      </c>
      <c r="AL238" s="17" t="n"/>
      <c r="AM238" s="123" t="n"/>
      <c r="AN238" s="133" t="n"/>
      <c r="AO238" s="16" t="n"/>
      <c r="AP238" s="16" t="n"/>
      <c r="AQ238" s="17" t="n"/>
      <c r="AR238" s="127" t="n"/>
      <c r="AS238" s="123" t="n"/>
    </row>
    <row r="239" hidden="1" outlineLevel="1">
      <c r="A239" s="8" t="n"/>
      <c r="B239" s="14" t="n"/>
      <c r="C239" s="123" t="n"/>
      <c r="D239" s="123" t="n"/>
      <c r="E239" s="123" t="n"/>
      <c r="F239" s="123" t="n"/>
      <c r="G239" s="123" t="n"/>
      <c r="I239" s="123" t="n"/>
      <c r="J239" s="123" t="n"/>
      <c r="K239" s="123" t="n"/>
      <c r="L239" s="123" t="n"/>
      <c r="M239" s="123" t="n"/>
      <c r="N239" s="123" t="n"/>
      <c r="O239" s="133" t="n"/>
      <c r="P239" s="16" t="n"/>
      <c r="Q239" s="17" t="n"/>
      <c r="R239" s="127">
        <f>DADOS_INVOC!$HV$3</f>
        <v/>
      </c>
      <c r="S239" s="17" t="n"/>
      <c r="T239" s="123" t="n"/>
      <c r="U239" s="133" t="n"/>
      <c r="V239" s="16" t="n"/>
      <c r="W239" s="16" t="n"/>
      <c r="X239" s="17" t="n"/>
      <c r="Y239" s="127" t="n"/>
      <c r="Z239" s="123" t="n"/>
      <c r="AB239" s="123" t="n"/>
      <c r="AC239" s="123" t="n"/>
      <c r="AD239" s="123" t="n"/>
      <c r="AE239" s="123" t="n"/>
      <c r="AF239" s="123" t="n"/>
      <c r="AG239" s="123" t="n"/>
      <c r="AH239" s="133" t="n"/>
      <c r="AI239" s="16" t="n"/>
      <c r="AJ239" s="17" t="n"/>
      <c r="AK239" s="127">
        <f>DADOS_INVOC!$HV$9</f>
        <v/>
      </c>
      <c r="AL239" s="17" t="n"/>
      <c r="AM239" s="123" t="n"/>
      <c r="AN239" s="133" t="n"/>
      <c r="AO239" s="16" t="n"/>
      <c r="AP239" s="16" t="n"/>
      <c r="AQ239" s="17" t="n"/>
      <c r="AR239" s="127" t="n"/>
      <c r="AS239" s="123" t="n"/>
    </row>
    <row r="240" hidden="1" outlineLevel="1">
      <c r="A240" s="8" t="n"/>
      <c r="B240" s="14" t="n"/>
      <c r="C240" s="123" t="n"/>
      <c r="D240" s="123" t="n"/>
      <c r="E240" s="123" t="n"/>
      <c r="F240" s="123" t="n"/>
      <c r="G240" s="123" t="n"/>
      <c r="I240" s="55" t="inlineStr">
        <is>
          <t>TIPO</t>
        </is>
      </c>
      <c r="J240" s="16" t="n"/>
      <c r="K240" s="16" t="n"/>
      <c r="L240" s="16" t="n"/>
      <c r="M240" s="17" t="n"/>
      <c r="N240" s="123" t="n"/>
      <c r="O240" s="133" t="n"/>
      <c r="P240" s="16" t="n"/>
      <c r="Q240" s="17" t="n"/>
      <c r="R240" s="127">
        <f>DADOS_INVOC!$HW$3</f>
        <v/>
      </c>
      <c r="S240" s="17" t="n"/>
      <c r="T240" s="123" t="n"/>
      <c r="U240" s="133" t="n"/>
      <c r="V240" s="16" t="n"/>
      <c r="W240" s="16" t="n"/>
      <c r="X240" s="17" t="n"/>
      <c r="Y240" s="127" t="n"/>
      <c r="Z240" s="123" t="n"/>
      <c r="AB240" s="55" t="inlineStr">
        <is>
          <t>TIPO</t>
        </is>
      </c>
      <c r="AC240" s="16" t="n"/>
      <c r="AD240" s="16" t="n"/>
      <c r="AE240" s="16" t="n"/>
      <c r="AF240" s="17" t="n"/>
      <c r="AG240" s="123" t="n"/>
      <c r="AH240" s="133" t="n"/>
      <c r="AI240" s="16" t="n"/>
      <c r="AJ240" s="17" t="n"/>
      <c r="AK240" s="127">
        <f>DADOS_INVOC!$HW$9</f>
        <v/>
      </c>
      <c r="AL240" s="17" t="n"/>
      <c r="AM240" s="123" t="n"/>
      <c r="AN240" s="133" t="n"/>
      <c r="AO240" s="16" t="n"/>
      <c r="AP240" s="16" t="n"/>
      <c r="AQ240" s="17" t="n"/>
      <c r="AR240" s="127" t="n"/>
      <c r="AS240" s="123" t="n"/>
    </row>
    <row r="241" hidden="1" outlineLevel="1">
      <c r="A241" s="8" t="n"/>
      <c r="B241" s="14" t="n"/>
      <c r="C241" s="123" t="n"/>
      <c r="D241" s="123" t="n"/>
      <c r="E241" s="123" t="n"/>
      <c r="F241" s="123" t="n"/>
      <c r="G241" s="123" t="n"/>
      <c r="I241" s="127" t="inlineStr">
        <is>
          <t>Shikigami de técnica</t>
        </is>
      </c>
      <c r="J241" s="19" t="n"/>
      <c r="K241" s="19" t="n"/>
      <c r="L241" s="19" t="n"/>
      <c r="M241" s="20" t="n"/>
      <c r="N241" s="123" t="n"/>
      <c r="O241" s="133" t="n"/>
      <c r="P241" s="16" t="n"/>
      <c r="Q241" s="17" t="n"/>
      <c r="R241" s="127">
        <f>DADOS_INVOC!$HX$3</f>
        <v/>
      </c>
      <c r="S241" s="17" t="n"/>
      <c r="T241" s="123" t="n"/>
      <c r="U241" s="123" t="n"/>
      <c r="V241" s="123" t="n"/>
      <c r="W241" s="123" t="n"/>
      <c r="X241" s="123" t="n"/>
      <c r="Y241" s="123" t="n"/>
      <c r="Z241" s="123" t="n"/>
      <c r="AB241" s="127" t="inlineStr">
        <is>
          <t>Shikigami de técnica</t>
        </is>
      </c>
      <c r="AC241" s="19" t="n"/>
      <c r="AD241" s="19" t="n"/>
      <c r="AE241" s="19" t="n"/>
      <c r="AF241" s="20" t="n"/>
      <c r="AG241" s="123" t="n"/>
      <c r="AH241" s="133" t="n"/>
      <c r="AI241" s="16" t="n"/>
      <c r="AJ241" s="17" t="n"/>
      <c r="AK241" s="127">
        <f>DADOS_INVOC!$HX$9</f>
        <v/>
      </c>
      <c r="AL241" s="17" t="n"/>
      <c r="AM241" s="123" t="n"/>
      <c r="AN241" s="123" t="n"/>
      <c r="AO241" s="123" t="n"/>
      <c r="AP241" s="123" t="n"/>
      <c r="AQ241" s="123" t="n"/>
      <c r="AR241" s="123" t="n"/>
      <c r="AS241" s="123" t="n"/>
    </row>
    <row r="242" hidden="1" outlineLevel="1">
      <c r="A242" s="8" t="n"/>
      <c r="B242" s="14" t="n"/>
      <c r="C242" s="123" t="n"/>
      <c r="D242" s="123" t="n"/>
      <c r="E242" s="123" t="n"/>
      <c r="F242" s="123" t="n"/>
      <c r="G242" s="123" t="n"/>
      <c r="I242" s="23" t="n"/>
      <c r="J242" s="24" t="n"/>
      <c r="K242" s="24" t="n"/>
      <c r="L242" s="24" t="n"/>
      <c r="M242" s="25" t="n"/>
      <c r="N242" s="123" t="n"/>
      <c r="O242" s="133" t="n"/>
      <c r="P242" s="16" t="n"/>
      <c r="Q242" s="17" t="n"/>
      <c r="R242" s="127">
        <f>DADOS_INVOC!$HY$3</f>
        <v/>
      </c>
      <c r="S242" s="17" t="n"/>
      <c r="T242" s="123" t="n"/>
      <c r="U242" s="55" t="inlineStr">
        <is>
          <t>CORPO, SENTIDOS E COMUNICAÇÃO</t>
        </is>
      </c>
      <c r="V242" s="16" t="n"/>
      <c r="W242" s="16" t="n"/>
      <c r="X242" s="16" t="n"/>
      <c r="Y242" s="17" t="n"/>
      <c r="Z242" s="123" t="n"/>
      <c r="AB242" s="23" t="n"/>
      <c r="AC242" s="24" t="n"/>
      <c r="AD242" s="24" t="n"/>
      <c r="AE242" s="24" t="n"/>
      <c r="AF242" s="25" t="n"/>
      <c r="AG242" s="123" t="n"/>
      <c r="AH242" s="133" t="n"/>
      <c r="AI242" s="16" t="n"/>
      <c r="AJ242" s="17" t="n"/>
      <c r="AK242" s="127">
        <f>DADOS_INVOC!$HY$9</f>
        <v/>
      </c>
      <c r="AL242" s="17" t="n"/>
      <c r="AM242" s="123" t="n"/>
      <c r="AN242" s="55" t="inlineStr">
        <is>
          <t>CORPO, SENTIDOS E COMUNICAÇÃO</t>
        </is>
      </c>
      <c r="AO242" s="16" t="n"/>
      <c r="AP242" s="16" t="n"/>
      <c r="AQ242" s="16" t="n"/>
      <c r="AR242" s="17" t="n"/>
      <c r="AS242" s="123" t="n"/>
    </row>
    <row r="243" hidden="1" outlineLevel="1">
      <c r="A243" s="8" t="n"/>
      <c r="B243" s="14" t="n"/>
      <c r="C243" s="123" t="n"/>
      <c r="D243" s="123" t="n"/>
      <c r="E243" s="123" t="n"/>
      <c r="F243" s="123" t="n"/>
      <c r="G243" s="123" t="n"/>
      <c r="I243" s="123" t="n"/>
      <c r="J243" s="123" t="n"/>
      <c r="K243" s="123" t="n"/>
      <c r="L243" s="123" t="n"/>
      <c r="M243" s="123" t="n"/>
      <c r="N243" s="123" t="n"/>
      <c r="O243" s="123" t="n"/>
      <c r="P243" s="123" t="n"/>
      <c r="Q243" s="123" t="n"/>
      <c r="R243" s="123" t="n"/>
      <c r="S243" s="123" t="n"/>
      <c r="T243" s="123" t="n"/>
      <c r="U243" s="119" t="n"/>
      <c r="V243" s="19" t="n"/>
      <c r="W243" s="19" t="n"/>
      <c r="X243" s="19" t="n"/>
      <c r="Y243" s="20" t="n"/>
      <c r="Z243" s="123" t="n"/>
      <c r="AB243" s="123" t="n"/>
      <c r="AC243" s="123" t="n"/>
      <c r="AD243" s="123" t="n"/>
      <c r="AE243" s="123" t="n"/>
      <c r="AF243" s="123" t="n"/>
      <c r="AG243" s="123" t="n"/>
      <c r="AH243" s="123" t="n"/>
      <c r="AI243" s="123" t="n"/>
      <c r="AJ243" s="123" t="n"/>
      <c r="AK243" s="123" t="n"/>
      <c r="AL243" s="123" t="n"/>
      <c r="AM243" s="123" t="n"/>
      <c r="AN243" s="119" t="n"/>
      <c r="AO243" s="19" t="n"/>
      <c r="AP243" s="19" t="n"/>
      <c r="AQ243" s="19" t="n"/>
      <c r="AR243" s="20" t="n"/>
      <c r="AS243" s="123" t="n"/>
    </row>
    <row r="244" hidden="1" outlineLevel="1">
      <c r="A244" s="8" t="n"/>
      <c r="B244" s="14" t="n"/>
      <c r="C244" s="123" t="n"/>
      <c r="D244" s="123" t="n"/>
      <c r="E244" s="123" t="n"/>
      <c r="F244" s="123" t="n"/>
      <c r="G244" s="123" t="n"/>
      <c r="I244" s="55" t="inlineStr">
        <is>
          <t>AQUISIÇÃO</t>
        </is>
      </c>
      <c r="J244" s="17" t="n"/>
      <c r="K244" s="55" t="inlineStr">
        <is>
          <t>OBTIDA NO NÍVEL</t>
        </is>
      </c>
      <c r="L244" s="55" t="inlineStr">
        <is>
          <t>TALISMÃ</t>
        </is>
      </c>
      <c r="M244" s="17" t="n"/>
      <c r="N244" s="123" t="n"/>
      <c r="O244" s="55">
        <f>DADOS_INVOC!$IB$3</f>
        <v/>
      </c>
      <c r="P244" s="16" t="n"/>
      <c r="Q244" s="16" t="n"/>
      <c r="R244" s="16" t="n"/>
      <c r="S244" s="17" t="n"/>
      <c r="T244" s="123" t="n"/>
      <c r="U244" s="21" t="n"/>
      <c r="Y244" s="22" t="n"/>
      <c r="Z244" s="123" t="n"/>
      <c r="AB244" s="55" t="inlineStr">
        <is>
          <t>AQUISIÇÃO</t>
        </is>
      </c>
      <c r="AC244" s="17" t="n"/>
      <c r="AD244" s="55" t="inlineStr">
        <is>
          <t>OBTIDA NO NÍVEL</t>
        </is>
      </c>
      <c r="AE244" s="55" t="inlineStr">
        <is>
          <t>TALISMÃ</t>
        </is>
      </c>
      <c r="AF244" s="17" t="n"/>
      <c r="AG244" s="123" t="n"/>
      <c r="AH244" s="55">
        <f>DADOS_INVOC!$IB$9</f>
        <v/>
      </c>
      <c r="AI244" s="16" t="n"/>
      <c r="AJ244" s="16" t="n"/>
      <c r="AK244" s="16" t="n"/>
      <c r="AL244" s="17" t="n"/>
      <c r="AM244" s="123" t="n"/>
      <c r="AN244" s="21" t="n"/>
      <c r="AR244" s="22" t="n"/>
      <c r="AS244" s="123" t="n"/>
    </row>
    <row r="245" hidden="1" outlineLevel="1">
      <c r="A245" s="8" t="n"/>
      <c r="B245" s="14" t="n"/>
      <c r="C245" s="123" t="n"/>
      <c r="D245" s="123" t="n"/>
      <c r="E245" s="123" t="n"/>
      <c r="F245" s="123" t="n"/>
      <c r="G245" s="123" t="n"/>
      <c r="I245" s="127" t="inlineStr">
        <is>
          <t>Espaço conhecido</t>
        </is>
      </c>
      <c r="J245" s="20" t="n"/>
      <c r="K245" s="127" t="n"/>
      <c r="L245" s="127" t="inlineStr">
        <is>
          <t>Sem carga</t>
        </is>
      </c>
      <c r="M245" s="20" t="n"/>
      <c r="N245" s="123" t="n"/>
      <c r="O245" s="55" t="inlineStr">
        <is>
          <t>LIVRE</t>
        </is>
      </c>
      <c r="P245" s="55" t="inlineStr">
        <is>
          <t>LIVRE · TRILHA</t>
        </is>
      </c>
      <c r="Q245" s="55" t="inlineStr">
        <is>
          <t>ABERTA</t>
        </is>
      </c>
      <c r="R245" s="55" t="inlineStr">
        <is>
          <t>ABERTA</t>
        </is>
      </c>
      <c r="S245" s="55" t="inlineStr">
        <is>
          <t>ABERTA · TRILHA</t>
        </is>
      </c>
      <c r="T245" s="123" t="n"/>
      <c r="U245" s="21" t="n"/>
      <c r="Y245" s="22" t="n"/>
      <c r="Z245" s="123" t="n"/>
      <c r="AB245" s="127" t="inlineStr">
        <is>
          <t>Espaço conhecido</t>
        </is>
      </c>
      <c r="AC245" s="20" t="n"/>
      <c r="AD245" s="127" t="n"/>
      <c r="AE245" s="127" t="inlineStr">
        <is>
          <t>Sem carga</t>
        </is>
      </c>
      <c r="AF245" s="20" t="n"/>
      <c r="AG245" s="123" t="n"/>
      <c r="AH245" s="55" t="inlineStr">
        <is>
          <t>LIVRE</t>
        </is>
      </c>
      <c r="AI245" s="55" t="inlineStr">
        <is>
          <t>LIVRE · TRILHA</t>
        </is>
      </c>
      <c r="AJ245" s="55" t="inlineStr">
        <is>
          <t>ABERTA</t>
        </is>
      </c>
      <c r="AK245" s="55" t="inlineStr">
        <is>
          <t>ABERTA</t>
        </is>
      </c>
      <c r="AL245" s="55" t="inlineStr">
        <is>
          <t>ABERTA · TRILHA</t>
        </is>
      </c>
      <c r="AM245" s="123" t="n"/>
      <c r="AN245" s="21" t="n"/>
      <c r="AR245" s="22" t="n"/>
      <c r="AS245" s="123" t="n"/>
    </row>
    <row r="246" hidden="1" outlineLevel="1">
      <c r="A246" s="8" t="n"/>
      <c r="B246" s="14" t="n"/>
      <c r="C246" s="123" t="n"/>
      <c r="D246" s="123" t="n"/>
      <c r="E246" s="123" t="n"/>
      <c r="F246" s="123" t="n"/>
      <c r="G246" s="123" t="n"/>
      <c r="I246" s="23" t="n"/>
      <c r="J246" s="25" t="n"/>
      <c r="K246" s="128" t="n"/>
      <c r="L246" s="23" t="n"/>
      <c r="M246" s="25" t="n"/>
      <c r="N246" s="123" t="n"/>
      <c r="O246" s="127" t="n"/>
      <c r="P246" s="127" t="n"/>
      <c r="Q246" s="127" t="n"/>
      <c r="R246" s="127" t="n"/>
      <c r="S246" s="127" t="n"/>
      <c r="T246" s="123" t="n"/>
      <c r="U246" s="21" t="n"/>
      <c r="Y246" s="22" t="n"/>
      <c r="Z246" s="123" t="n"/>
      <c r="AB246" s="23" t="n"/>
      <c r="AC246" s="25" t="n"/>
      <c r="AD246" s="128" t="n"/>
      <c r="AE246" s="23" t="n"/>
      <c r="AF246" s="25" t="n"/>
      <c r="AG246" s="123" t="n"/>
      <c r="AH246" s="127" t="n"/>
      <c r="AI246" s="127" t="n"/>
      <c r="AJ246" s="127" t="n"/>
      <c r="AK246" s="127" t="n"/>
      <c r="AL246" s="127" t="n"/>
      <c r="AM246" s="123" t="n"/>
      <c r="AN246" s="21" t="n"/>
      <c r="AR246" s="22" t="n"/>
      <c r="AS246" s="123" t="n"/>
    </row>
    <row r="247" hidden="1" outlineLevel="1">
      <c r="A247" s="8" t="n"/>
      <c r="B247" s="14" t="n"/>
      <c r="C247" s="123" t="n"/>
      <c r="D247" s="123" t="n"/>
      <c r="E247" s="123" t="n"/>
      <c r="F247" s="123" t="n"/>
      <c r="G247" s="123" t="n"/>
      <c r="I247" s="123" t="n"/>
      <c r="J247" s="123" t="n"/>
      <c r="K247" s="123" t="n"/>
      <c r="L247" s="123" t="n"/>
      <c r="M247" s="123" t="n"/>
      <c r="N247" s="123" t="n"/>
      <c r="O247" s="128" t="n"/>
      <c r="P247" s="128" t="n"/>
      <c r="Q247" s="128" t="n"/>
      <c r="R247" s="128" t="n"/>
      <c r="S247" s="128" t="n"/>
      <c r="T247" s="123" t="n"/>
      <c r="U247" s="23" t="n"/>
      <c r="V247" s="24" t="n"/>
      <c r="W247" s="24" t="n"/>
      <c r="X247" s="24" t="n"/>
      <c r="Y247" s="25" t="n"/>
      <c r="Z247" s="123" t="n"/>
      <c r="AB247" s="123" t="n"/>
      <c r="AC247" s="123" t="n"/>
      <c r="AD247" s="123" t="n"/>
      <c r="AE247" s="123" t="n"/>
      <c r="AF247" s="123" t="n"/>
      <c r="AG247" s="123" t="n"/>
      <c r="AH247" s="128" t="n"/>
      <c r="AI247" s="128" t="n"/>
      <c r="AJ247" s="128" t="n"/>
      <c r="AK247" s="128" t="n"/>
      <c r="AL247" s="128" t="n"/>
      <c r="AM247" s="123" t="n"/>
      <c r="AN247" s="23" t="n"/>
      <c r="AO247" s="24" t="n"/>
      <c r="AP247" s="24" t="n"/>
      <c r="AQ247" s="24" t="n"/>
      <c r="AR247" s="25" t="n"/>
      <c r="AS247" s="123" t="n"/>
    </row>
    <row r="248" hidden="1" outlineLevel="1">
      <c r="A248" s="8" t="n"/>
      <c r="B248" s="14" t="n"/>
      <c r="C248" s="123" t="n"/>
      <c r="D248" s="123" t="n"/>
      <c r="E248" s="123" t="n"/>
      <c r="F248" s="123" t="n"/>
      <c r="G248" s="123" t="n"/>
      <c r="I248" s="123" t="n"/>
      <c r="J248" s="123" t="n"/>
      <c r="K248" s="123" t="n"/>
      <c r="L248" s="123" t="n"/>
      <c r="M248" s="123" t="n"/>
      <c r="N248" s="123" t="n"/>
      <c r="O248" s="123" t="n"/>
      <c r="P248" s="123" t="n"/>
      <c r="Q248" s="123" t="n"/>
      <c r="R248" s="123" t="n"/>
      <c r="S248" s="123" t="n"/>
      <c r="T248" s="123" t="n"/>
      <c r="U248" s="123" t="n"/>
      <c r="V248" s="123" t="n"/>
      <c r="W248" s="123" t="n"/>
      <c r="X248" s="123" t="n"/>
      <c r="Y248" s="123" t="n"/>
      <c r="Z248" s="123" t="n"/>
      <c r="AB248" s="123" t="n"/>
      <c r="AC248" s="123" t="n"/>
      <c r="AD248" s="123" t="n"/>
      <c r="AE248" s="123" t="n"/>
      <c r="AF248" s="123" t="n"/>
      <c r="AG248" s="123" t="n"/>
      <c r="AH248" s="123" t="n"/>
      <c r="AI248" s="123" t="n"/>
      <c r="AJ248" s="123" t="n"/>
      <c r="AK248" s="123" t="n"/>
      <c r="AL248" s="123" t="n"/>
      <c r="AM248" s="123" t="n"/>
      <c r="AN248" s="123" t="n"/>
      <c r="AO248" s="123" t="n"/>
      <c r="AP248" s="123" t="n"/>
      <c r="AQ248" s="123" t="n"/>
      <c r="AR248" s="123" t="n"/>
      <c r="AS248" s="123" t="n"/>
    </row>
    <row r="249" hidden="1" outlineLevel="1">
      <c r="A249" s="8" t="n"/>
      <c r="B249" s="14" t="n"/>
      <c r="C249" s="123" t="n"/>
      <c r="D249" s="123" t="n"/>
      <c r="E249" s="123" t="n"/>
      <c r="F249" s="123" t="n"/>
      <c r="G249" s="123" t="n"/>
      <c r="I249" s="55" t="inlineStr">
        <is>
          <t>DEFINIÇÃO</t>
        </is>
      </c>
      <c r="J249" s="16" t="n"/>
      <c r="K249" s="16" t="n"/>
      <c r="L249" s="16" t="n"/>
      <c r="M249" s="16" t="n"/>
      <c r="N249" s="16" t="n"/>
      <c r="O249" s="16" t="n"/>
      <c r="P249" s="16" t="n"/>
      <c r="Q249" s="16" t="n"/>
      <c r="R249" s="16" t="n"/>
      <c r="S249" s="16" t="n"/>
      <c r="T249" s="16" t="n"/>
      <c r="U249" s="16" t="n"/>
      <c r="V249" s="16" t="n"/>
      <c r="W249" s="16" t="n"/>
      <c r="X249" s="16" t="n"/>
      <c r="Y249" s="17" t="n"/>
      <c r="Z249" s="123" t="n"/>
      <c r="AB249" s="55" t="inlineStr">
        <is>
          <t>DEFINIÇÃO</t>
        </is>
      </c>
      <c r="AC249" s="16" t="n"/>
      <c r="AD249" s="16" t="n"/>
      <c r="AE249" s="16" t="n"/>
      <c r="AF249" s="16" t="n"/>
      <c r="AG249" s="16" t="n"/>
      <c r="AH249" s="16" t="n"/>
      <c r="AI249" s="16" t="n"/>
      <c r="AJ249" s="16" t="n"/>
      <c r="AK249" s="16" t="n"/>
      <c r="AL249" s="16" t="n"/>
      <c r="AM249" s="16" t="n"/>
      <c r="AN249" s="16" t="n"/>
      <c r="AO249" s="16" t="n"/>
      <c r="AP249" s="16" t="n"/>
      <c r="AQ249" s="16" t="n"/>
      <c r="AR249" s="17" t="n"/>
      <c r="AS249" s="123" t="n"/>
    </row>
    <row r="250" hidden="1" outlineLevel="1">
      <c r="A250" s="8" t="n"/>
      <c r="B250" s="14" t="n"/>
      <c r="C250" s="123" t="n"/>
      <c r="D250" s="123" t="n"/>
      <c r="E250" s="123" t="n"/>
      <c r="F250" s="123" t="n"/>
      <c r="G250" s="123" t="n"/>
      <c r="I250" s="119" t="n"/>
      <c r="J250" s="19" t="n"/>
      <c r="K250" s="19" t="n"/>
      <c r="L250" s="19" t="n"/>
      <c r="M250" s="19" t="n"/>
      <c r="N250" s="19" t="n"/>
      <c r="O250" s="19" t="n"/>
      <c r="P250" s="19" t="n"/>
      <c r="Q250" s="19" t="n"/>
      <c r="R250" s="19" t="n"/>
      <c r="S250" s="19" t="n"/>
      <c r="T250" s="19" t="n"/>
      <c r="U250" s="19" t="n"/>
      <c r="V250" s="19" t="n"/>
      <c r="W250" s="19" t="n"/>
      <c r="X250" s="19" t="n"/>
      <c r="Y250" s="20" t="n"/>
      <c r="Z250" s="123" t="n"/>
      <c r="AB250" s="119" t="n"/>
      <c r="AC250" s="19" t="n"/>
      <c r="AD250" s="19" t="n"/>
      <c r="AE250" s="19" t="n"/>
      <c r="AF250" s="19" t="n"/>
      <c r="AG250" s="19" t="n"/>
      <c r="AH250" s="19" t="n"/>
      <c r="AI250" s="19" t="n"/>
      <c r="AJ250" s="19" t="n"/>
      <c r="AK250" s="19" t="n"/>
      <c r="AL250" s="19" t="n"/>
      <c r="AM250" s="19" t="n"/>
      <c r="AN250" s="19" t="n"/>
      <c r="AO250" s="19" t="n"/>
      <c r="AP250" s="19" t="n"/>
      <c r="AQ250" s="19" t="n"/>
      <c r="AR250" s="20" t="n"/>
      <c r="AS250" s="123" t="n"/>
    </row>
    <row r="251" hidden="1" outlineLevel="1">
      <c r="A251" s="8" t="n"/>
      <c r="B251" s="14" t="n"/>
      <c r="C251" s="123" t="n"/>
      <c r="D251" s="123" t="n"/>
      <c r="E251" s="123" t="n"/>
      <c r="F251" s="123" t="n"/>
      <c r="G251" s="123" t="n"/>
      <c r="I251" s="23" t="n"/>
      <c r="J251" s="24" t="n"/>
      <c r="K251" s="24" t="n"/>
      <c r="L251" s="24" t="n"/>
      <c r="M251" s="24" t="n"/>
      <c r="N251" s="24" t="n"/>
      <c r="O251" s="24" t="n"/>
      <c r="P251" s="24" t="n"/>
      <c r="Q251" s="24" t="n"/>
      <c r="R251" s="24" t="n"/>
      <c r="S251" s="24" t="n"/>
      <c r="T251" s="24" t="n"/>
      <c r="U251" s="24" t="n"/>
      <c r="V251" s="24" t="n"/>
      <c r="W251" s="24" t="n"/>
      <c r="X251" s="24" t="n"/>
      <c r="Y251" s="25" t="n"/>
      <c r="Z251" s="123" t="n"/>
      <c r="AB251" s="23" t="n"/>
      <c r="AC251" s="24" t="n"/>
      <c r="AD251" s="24" t="n"/>
      <c r="AE251" s="24" t="n"/>
      <c r="AF251" s="24" t="n"/>
      <c r="AG251" s="24" t="n"/>
      <c r="AH251" s="24" t="n"/>
      <c r="AI251" s="24" t="n"/>
      <c r="AJ251" s="24" t="n"/>
      <c r="AK251" s="24" t="n"/>
      <c r="AL251" s="24" t="n"/>
      <c r="AM251" s="24" t="n"/>
      <c r="AN251" s="24" t="n"/>
      <c r="AO251" s="24" t="n"/>
      <c r="AP251" s="24" t="n"/>
      <c r="AQ251" s="24" t="n"/>
      <c r="AR251" s="25" t="n"/>
      <c r="AS251" s="123" t="n"/>
    </row>
    <row r="252" hidden="1" outlineLevel="1">
      <c r="A252" s="8" t="n"/>
      <c r="B252" s="14" t="n"/>
      <c r="C252" s="123" t="n"/>
      <c r="D252" s="123" t="n"/>
      <c r="E252" s="123" t="n"/>
      <c r="F252" s="123" t="n"/>
      <c r="G252" s="123" t="n"/>
      <c r="I252" s="123" t="n"/>
      <c r="J252" s="123" t="n"/>
      <c r="K252" s="123" t="n"/>
      <c r="L252" s="123" t="n"/>
      <c r="M252" s="123" t="n"/>
      <c r="N252" s="123" t="n"/>
      <c r="O252" s="123" t="n"/>
      <c r="P252" s="123" t="n"/>
      <c r="Q252" s="123" t="n"/>
      <c r="R252" s="123" t="n"/>
      <c r="S252" s="123" t="n"/>
      <c r="T252" s="123" t="n"/>
      <c r="U252" s="123" t="n"/>
      <c r="V252" s="123" t="n"/>
      <c r="W252" s="123" t="n"/>
      <c r="X252" s="123" t="n"/>
      <c r="Y252" s="123" t="n"/>
      <c r="Z252" s="123" t="n"/>
      <c r="AB252" s="123" t="n"/>
      <c r="AC252" s="123" t="n"/>
      <c r="AD252" s="123" t="n"/>
      <c r="AE252" s="123" t="n"/>
      <c r="AF252" s="123" t="n"/>
      <c r="AG252" s="123" t="n"/>
      <c r="AH252" s="123" t="n"/>
      <c r="AI252" s="123" t="n"/>
      <c r="AJ252" s="123" t="n"/>
      <c r="AK252" s="123" t="n"/>
      <c r="AL252" s="123" t="n"/>
      <c r="AM252" s="123" t="n"/>
      <c r="AN252" s="123" t="n"/>
      <c r="AO252" s="123" t="n"/>
      <c r="AP252" s="123" t="n"/>
      <c r="AQ252" s="123" t="n"/>
      <c r="AR252" s="123" t="n"/>
      <c r="AS252" s="123" t="n"/>
    </row>
    <row r="253" hidden="1" outlineLevel="1">
      <c r="A253" s="8" t="n"/>
      <c r="B253" s="14" t="n"/>
      <c r="C253" s="123" t="n"/>
      <c r="D253" s="123" t="n"/>
      <c r="E253" s="123" t="n"/>
      <c r="F253" s="123" t="n"/>
      <c r="G253" s="123" t="n"/>
      <c r="I253" s="136">
        <f>DADOS_INVOC!$IC$3</f>
        <v/>
      </c>
      <c r="J253" s="16" t="n"/>
      <c r="K253" s="16" t="n"/>
      <c r="L253" s="16" t="n"/>
      <c r="M253" s="16" t="n"/>
      <c r="N253" s="16" t="n"/>
      <c r="O253" s="16" t="n"/>
      <c r="P253" s="16" t="n"/>
      <c r="Q253" s="16" t="n"/>
      <c r="R253" s="16" t="n"/>
      <c r="S253" s="16" t="n"/>
      <c r="T253" s="16" t="n"/>
      <c r="U253" s="16" t="n"/>
      <c r="V253" s="16" t="n"/>
      <c r="W253" s="16" t="n"/>
      <c r="X253" s="16" t="n"/>
      <c r="Y253" s="17" t="n"/>
      <c r="Z253" s="123" t="n"/>
      <c r="AB253" s="136">
        <f>DADOS_INVOC!$IC$9</f>
        <v/>
      </c>
      <c r="AC253" s="16" t="n"/>
      <c r="AD253" s="16" t="n"/>
      <c r="AE253" s="16" t="n"/>
      <c r="AF253" s="16" t="n"/>
      <c r="AG253" s="16" t="n"/>
      <c r="AH253" s="16" t="n"/>
      <c r="AI253" s="16" t="n"/>
      <c r="AJ253" s="16" t="n"/>
      <c r="AK253" s="16" t="n"/>
      <c r="AL253" s="16" t="n"/>
      <c r="AM253" s="16" t="n"/>
      <c r="AN253" s="16" t="n"/>
      <c r="AO253" s="16" t="n"/>
      <c r="AP253" s="16" t="n"/>
      <c r="AQ253" s="16" t="n"/>
      <c r="AR253" s="17" t="n"/>
      <c r="AS253" s="123" t="n"/>
    </row>
    <row r="254" hidden="1" outlineLevel="1">
      <c r="A254" s="8" t="n"/>
      <c r="B254" s="14" t="n"/>
      <c r="C254" s="123" t="n"/>
      <c r="D254" s="123" t="n"/>
      <c r="E254" s="123" t="n"/>
      <c r="F254" s="123" t="n"/>
      <c r="G254" s="123" t="n"/>
      <c r="I254" s="123" t="n"/>
      <c r="J254" s="123" t="n"/>
      <c r="K254" s="123" t="n"/>
      <c r="L254" s="123" t="n"/>
      <c r="M254" s="123" t="n"/>
      <c r="N254" s="123" t="n"/>
      <c r="O254" s="123" t="n"/>
      <c r="P254" s="123" t="n"/>
      <c r="Q254" s="123" t="n"/>
      <c r="R254" s="123" t="n"/>
      <c r="S254" s="123" t="n"/>
      <c r="T254" s="123" t="n"/>
      <c r="U254" s="123" t="n"/>
      <c r="V254" s="123" t="n"/>
      <c r="W254" s="123" t="n"/>
      <c r="X254" s="123" t="n"/>
      <c r="Y254" s="123" t="n"/>
      <c r="Z254" s="123" t="n"/>
      <c r="AB254" s="123" t="n"/>
      <c r="AC254" s="123" t="n"/>
      <c r="AD254" s="123" t="n"/>
      <c r="AE254" s="123" t="n"/>
      <c r="AF254" s="123" t="n"/>
      <c r="AG254" s="123" t="n"/>
      <c r="AH254" s="123" t="n"/>
      <c r="AI254" s="123" t="n"/>
      <c r="AJ254" s="123" t="n"/>
      <c r="AK254" s="123" t="n"/>
      <c r="AL254" s="123" t="n"/>
      <c r="AM254" s="123" t="n"/>
      <c r="AN254" s="123" t="n"/>
      <c r="AO254" s="123" t="n"/>
      <c r="AP254" s="123" t="n"/>
      <c r="AQ254" s="123" t="n"/>
      <c r="AR254" s="123" t="n"/>
      <c r="AS254" s="123" t="n"/>
    </row>
    <row r="255" hidden="1" outlineLevel="1">
      <c r="A255" s="8" t="n"/>
      <c r="B255" s="14" t="n"/>
      <c r="C255" s="123" t="n"/>
      <c r="D255" s="123" t="n"/>
      <c r="E255" s="123" t="n"/>
      <c r="F255" s="123" t="n"/>
      <c r="G255" s="123" t="n"/>
      <c r="I255" s="55">
        <f>DADOS_INVOC!$PX$15</f>
        <v/>
      </c>
      <c r="J255" s="16" t="n"/>
      <c r="K255" s="16" t="n"/>
      <c r="L255" s="16" t="n"/>
      <c r="M255" s="17" t="n"/>
      <c r="N255" s="123" t="n"/>
      <c r="O255" s="55">
        <f>DADOS_INVOC!$PX$16</f>
        <v/>
      </c>
      <c r="P255" s="16" t="n"/>
      <c r="Q255" s="16" t="n"/>
      <c r="R255" s="16" t="n"/>
      <c r="S255" s="17" t="n"/>
      <c r="T255" s="123" t="n"/>
      <c r="U255" s="55">
        <f>DADOS_INVOC!$PX$17</f>
        <v/>
      </c>
      <c r="V255" s="16" t="n"/>
      <c r="W255" s="16" t="n"/>
      <c r="X255" s="16" t="n"/>
      <c r="Y255" s="17" t="n"/>
      <c r="Z255" s="123" t="n"/>
      <c r="AB255" s="55">
        <f>DADOS_INVOC!$PX$93</f>
        <v/>
      </c>
      <c r="AC255" s="16" t="n"/>
      <c r="AD255" s="16" t="n"/>
      <c r="AE255" s="16" t="n"/>
      <c r="AF255" s="17" t="n"/>
      <c r="AG255" s="123" t="n"/>
      <c r="AH255" s="55">
        <f>DADOS_INVOC!$PX$94</f>
        <v/>
      </c>
      <c r="AI255" s="16" t="n"/>
      <c r="AJ255" s="16" t="n"/>
      <c r="AK255" s="16" t="n"/>
      <c r="AL255" s="17" t="n"/>
      <c r="AM255" s="123" t="n"/>
      <c r="AN255" s="55">
        <f>DADOS_INVOC!$PX$95</f>
        <v/>
      </c>
      <c r="AO255" s="16" t="n"/>
      <c r="AP255" s="16" t="n"/>
      <c r="AQ255" s="16" t="n"/>
      <c r="AR255" s="17" t="n"/>
      <c r="AS255" s="123" t="n"/>
    </row>
    <row r="256" hidden="1" outlineLevel="1">
      <c r="A256" s="8" t="n"/>
      <c r="B256" s="14" t="n"/>
      <c r="C256" s="123" t="n"/>
      <c r="D256" s="123" t="n"/>
      <c r="E256" s="123" t="n"/>
      <c r="F256" s="123" t="n"/>
      <c r="G256" s="123" t="n"/>
      <c r="I256" s="130" t="n">
        <v>0</v>
      </c>
      <c r="J256" s="118" t="n"/>
      <c r="K256" s="16" t="n"/>
      <c r="L256" s="17" t="n"/>
      <c r="M256" s="131">
        <f>DADOS_INVOC!$PV$15</f>
        <v/>
      </c>
      <c r="N256" s="123" t="n"/>
      <c r="O256" s="130" t="n">
        <v>1</v>
      </c>
      <c r="P256" s="118" t="n"/>
      <c r="Q256" s="16" t="n"/>
      <c r="R256" s="17" t="n"/>
      <c r="S256" s="131">
        <f>DADOS_INVOC!$PV$16</f>
        <v/>
      </c>
      <c r="T256" s="123" t="n"/>
      <c r="U256" s="130" t="n">
        <v>1</v>
      </c>
      <c r="V256" s="118" t="n"/>
      <c r="W256" s="16" t="n"/>
      <c r="X256" s="17" t="n"/>
      <c r="Y256" s="131">
        <f>DADOS_INVOC!$PV$17</f>
        <v/>
      </c>
      <c r="Z256" s="123" t="n"/>
      <c r="AB256" s="130" t="n">
        <v>0</v>
      </c>
      <c r="AC256" s="118" t="n"/>
      <c r="AD256" s="16" t="n"/>
      <c r="AE256" s="17" t="n"/>
      <c r="AF256" s="131">
        <f>DADOS_INVOC!$PV$93</f>
        <v/>
      </c>
      <c r="AG256" s="123" t="n"/>
      <c r="AH256" s="130" t="n">
        <v>1</v>
      </c>
      <c r="AI256" s="118" t="n"/>
      <c r="AJ256" s="16" t="n"/>
      <c r="AK256" s="17" t="n"/>
      <c r="AL256" s="131">
        <f>DADOS_INVOC!$PV$94</f>
        <v/>
      </c>
      <c r="AM256" s="123" t="n"/>
      <c r="AN256" s="130" t="n">
        <v>1</v>
      </c>
      <c r="AO256" s="118" t="n"/>
      <c r="AP256" s="16" t="n"/>
      <c r="AQ256" s="17" t="n"/>
      <c r="AR256" s="131">
        <f>DADOS_INVOC!$PV$95</f>
        <v/>
      </c>
      <c r="AS256" s="123" t="n"/>
    </row>
    <row r="257" hidden="1" outlineLevel="2">
      <c r="A257" s="8" t="n"/>
      <c r="B257" s="14" t="n"/>
      <c r="C257" s="123" t="n"/>
      <c r="D257" s="123" t="n"/>
      <c r="E257" s="123" t="n"/>
      <c r="F257" s="123" t="n"/>
      <c r="G257" s="123" t="n"/>
      <c r="I257" s="55" t="inlineStr">
        <is>
          <t>COMO É</t>
        </is>
      </c>
      <c r="J257" s="16" t="n"/>
      <c r="K257" s="16" t="n"/>
      <c r="L257" s="16" t="n"/>
      <c r="M257" s="17" t="n"/>
      <c r="N257" s="123" t="n"/>
      <c r="O257" s="55" t="inlineStr">
        <is>
          <t>COMO É</t>
        </is>
      </c>
      <c r="P257" s="16" t="n"/>
      <c r="Q257" s="16" t="n"/>
      <c r="R257" s="16" t="n"/>
      <c r="S257" s="17" t="n"/>
      <c r="T257" s="123" t="n"/>
      <c r="U257" s="55" t="inlineStr">
        <is>
          <t>COMO É</t>
        </is>
      </c>
      <c r="V257" s="16" t="n"/>
      <c r="W257" s="16" t="n"/>
      <c r="X257" s="16" t="n"/>
      <c r="Y257" s="17" t="n"/>
      <c r="Z257" s="123" t="n"/>
      <c r="AB257" s="55" t="inlineStr">
        <is>
          <t>COMO É</t>
        </is>
      </c>
      <c r="AC257" s="16" t="n"/>
      <c r="AD257" s="16" t="n"/>
      <c r="AE257" s="16" t="n"/>
      <c r="AF257" s="17" t="n"/>
      <c r="AG257" s="123" t="n"/>
      <c r="AH257" s="55" t="inlineStr">
        <is>
          <t>COMO É</t>
        </is>
      </c>
      <c r="AI257" s="16" t="n"/>
      <c r="AJ257" s="16" t="n"/>
      <c r="AK257" s="16" t="n"/>
      <c r="AL257" s="17" t="n"/>
      <c r="AM257" s="123" t="n"/>
      <c r="AN257" s="55" t="inlineStr">
        <is>
          <t>COMO É</t>
        </is>
      </c>
      <c r="AO257" s="16" t="n"/>
      <c r="AP257" s="16" t="n"/>
      <c r="AQ257" s="16" t="n"/>
      <c r="AR257" s="17" t="n"/>
      <c r="AS257" s="123" t="n"/>
    </row>
    <row r="258" hidden="1" outlineLevel="2">
      <c r="A258" s="8" t="n"/>
      <c r="B258" s="14" t="n"/>
      <c r="C258" s="123" t="n"/>
      <c r="D258" s="123" t="n"/>
      <c r="E258" s="123" t="n"/>
      <c r="F258" s="123" t="n"/>
      <c r="G258" s="123" t="n"/>
      <c r="I258" s="119" t="n"/>
      <c r="J258" s="19" t="n"/>
      <c r="K258" s="19" t="n"/>
      <c r="L258" s="19" t="n"/>
      <c r="M258" s="20" t="n"/>
      <c r="N258" s="123" t="n"/>
      <c r="O258" s="119" t="n"/>
      <c r="P258" s="19" t="n"/>
      <c r="Q258" s="19" t="n"/>
      <c r="R258" s="19" t="n"/>
      <c r="S258" s="20" t="n"/>
      <c r="T258" s="123" t="n"/>
      <c r="U258" s="119" t="n"/>
      <c r="V258" s="19" t="n"/>
      <c r="W258" s="19" t="n"/>
      <c r="X258" s="19" t="n"/>
      <c r="Y258" s="20" t="n"/>
      <c r="Z258" s="123" t="n"/>
      <c r="AB258" s="119" t="n"/>
      <c r="AC258" s="19" t="n"/>
      <c r="AD258" s="19" t="n"/>
      <c r="AE258" s="19" t="n"/>
      <c r="AF258" s="20" t="n"/>
      <c r="AG258" s="123" t="n"/>
      <c r="AH258" s="119" t="n"/>
      <c r="AI258" s="19" t="n"/>
      <c r="AJ258" s="19" t="n"/>
      <c r="AK258" s="19" t="n"/>
      <c r="AL258" s="20" t="n"/>
      <c r="AM258" s="123" t="n"/>
      <c r="AN258" s="119" t="n"/>
      <c r="AO258" s="19" t="n"/>
      <c r="AP258" s="19" t="n"/>
      <c r="AQ258" s="19" t="n"/>
      <c r="AR258" s="20" t="n"/>
      <c r="AS258" s="123" t="n"/>
    </row>
    <row r="259" hidden="1" outlineLevel="2">
      <c r="A259" s="8" t="n"/>
      <c r="B259" s="14" t="n"/>
      <c r="C259" s="123" t="n"/>
      <c r="D259" s="123" t="n"/>
      <c r="E259" s="123" t="n"/>
      <c r="F259" s="123" t="n"/>
      <c r="G259" s="123" t="n"/>
      <c r="I259" s="21" t="n"/>
      <c r="M259" s="22" t="n"/>
      <c r="N259" s="123" t="n"/>
      <c r="O259" s="21" t="n"/>
      <c r="S259" s="22" t="n"/>
      <c r="T259" s="123" t="n"/>
      <c r="U259" s="21" t="n"/>
      <c r="Y259" s="22" t="n"/>
      <c r="Z259" s="123" t="n"/>
      <c r="AB259" s="21" t="n"/>
      <c r="AF259" s="22" t="n"/>
      <c r="AG259" s="123" t="n"/>
      <c r="AH259" s="21" t="n"/>
      <c r="AL259" s="22" t="n"/>
      <c r="AM259" s="123" t="n"/>
      <c r="AN259" s="21" t="n"/>
      <c r="AR259" s="22" t="n"/>
      <c r="AS259" s="123" t="n"/>
    </row>
    <row r="260" hidden="1" outlineLevel="2">
      <c r="A260" s="8" t="n"/>
      <c r="B260" s="14" t="n"/>
      <c r="C260" s="123" t="n"/>
      <c r="D260" s="123" t="n"/>
      <c r="E260" s="123" t="n"/>
      <c r="F260" s="123" t="n"/>
      <c r="G260" s="123" t="n"/>
      <c r="I260" s="23" t="n"/>
      <c r="J260" s="24" t="n"/>
      <c r="K260" s="24" t="n"/>
      <c r="L260" s="24" t="n"/>
      <c r="M260" s="25" t="n"/>
      <c r="N260" s="123" t="n"/>
      <c r="O260" s="23" t="n"/>
      <c r="P260" s="24" t="n"/>
      <c r="Q260" s="24" t="n"/>
      <c r="R260" s="24" t="n"/>
      <c r="S260" s="25" t="n"/>
      <c r="T260" s="123" t="n"/>
      <c r="U260" s="23" t="n"/>
      <c r="V260" s="24" t="n"/>
      <c r="W260" s="24" t="n"/>
      <c r="X260" s="24" t="n"/>
      <c r="Y260" s="25" t="n"/>
      <c r="Z260" s="123" t="n"/>
      <c r="AB260" s="23" t="n"/>
      <c r="AC260" s="24" t="n"/>
      <c r="AD260" s="24" t="n"/>
      <c r="AE260" s="24" t="n"/>
      <c r="AF260" s="25" t="n"/>
      <c r="AG260" s="123" t="n"/>
      <c r="AH260" s="23" t="n"/>
      <c r="AI260" s="24" t="n"/>
      <c r="AJ260" s="24" t="n"/>
      <c r="AK260" s="24" t="n"/>
      <c r="AL260" s="25" t="n"/>
      <c r="AM260" s="123" t="n"/>
      <c r="AN260" s="23" t="n"/>
      <c r="AO260" s="24" t="n"/>
      <c r="AP260" s="24" t="n"/>
      <c r="AQ260" s="24" t="n"/>
      <c r="AR260" s="25" t="n"/>
      <c r="AS260" s="123" t="n"/>
    </row>
    <row r="261" hidden="1" outlineLevel="1">
      <c r="A261" s="8" t="n"/>
      <c r="B261" s="14" t="n"/>
      <c r="C261" s="123" t="n"/>
      <c r="D261" s="123" t="n"/>
      <c r="E261" s="123" t="n"/>
      <c r="F261" s="123" t="n"/>
      <c r="G261" s="123" t="n"/>
      <c r="I261" s="127" t="inlineStr">
        <is>
          <t>Projétil</t>
        </is>
      </c>
      <c r="J261" s="17" t="n"/>
      <c r="K261" s="68">
        <f>DADOS_INVOC!$QC$15</f>
        <v/>
      </c>
      <c r="L261" s="17" t="n"/>
      <c r="M261" s="68">
        <f>DADOS_INVOC!$PY$15</f>
        <v/>
      </c>
      <c r="N261" s="123" t="n"/>
      <c r="O261" s="127" t="inlineStr">
        <is>
          <t>Projétil</t>
        </is>
      </c>
      <c r="P261" s="17" t="n"/>
      <c r="Q261" s="68">
        <f>DADOS_INVOC!$QC$16</f>
        <v/>
      </c>
      <c r="R261" s="17" t="n"/>
      <c r="S261" s="68">
        <f>DADOS_INVOC!$PY$16</f>
        <v/>
      </c>
      <c r="T261" s="123" t="n"/>
      <c r="U261" s="127" t="inlineStr">
        <is>
          <t>Projétil</t>
        </is>
      </c>
      <c r="V261" s="17" t="n"/>
      <c r="W261" s="68">
        <f>DADOS_INVOC!$QC$17</f>
        <v/>
      </c>
      <c r="X261" s="17" t="n"/>
      <c r="Y261" s="68">
        <f>DADOS_INVOC!$PY$17</f>
        <v/>
      </c>
      <c r="Z261" s="123" t="n"/>
      <c r="AB261" s="127" t="inlineStr">
        <is>
          <t>Projétil</t>
        </is>
      </c>
      <c r="AC261" s="17" t="n"/>
      <c r="AD261" s="68">
        <f>DADOS_INVOC!$QC$93</f>
        <v/>
      </c>
      <c r="AE261" s="17" t="n"/>
      <c r="AF261" s="68">
        <f>DADOS_INVOC!$PY$93</f>
        <v/>
      </c>
      <c r="AG261" s="123" t="n"/>
      <c r="AH261" s="127" t="inlineStr">
        <is>
          <t>Projétil</t>
        </is>
      </c>
      <c r="AI261" s="17" t="n"/>
      <c r="AJ261" s="68">
        <f>DADOS_INVOC!$QC$94</f>
        <v/>
      </c>
      <c r="AK261" s="17" t="n"/>
      <c r="AL261" s="68">
        <f>DADOS_INVOC!$PY$94</f>
        <v/>
      </c>
      <c r="AM261" s="123" t="n"/>
      <c r="AN261" s="127" t="inlineStr">
        <is>
          <t>Projétil</t>
        </is>
      </c>
      <c r="AO261" s="17" t="n"/>
      <c r="AP261" s="68">
        <f>DADOS_INVOC!$QC$95</f>
        <v/>
      </c>
      <c r="AQ261" s="17" t="n"/>
      <c r="AR261" s="68">
        <f>DADOS_INVOC!$PY$95</f>
        <v/>
      </c>
      <c r="AS261" s="123" t="n"/>
    </row>
    <row r="262" hidden="1" outlineLevel="1">
      <c r="A262" s="8" t="n"/>
      <c r="B262" s="14" t="n"/>
      <c r="C262" s="123" t="n"/>
      <c r="D262" s="123" t="n"/>
      <c r="E262" s="123" t="n"/>
      <c r="F262" s="123" t="n"/>
      <c r="G262" s="123" t="n"/>
      <c r="I262" s="127" t="n"/>
      <c r="J262" s="17" t="n"/>
      <c r="K262" s="127" t="n"/>
      <c r="L262" s="16" t="n"/>
      <c r="M262" s="17" t="n"/>
      <c r="N262" s="123" t="n"/>
      <c r="O262" s="127" t="n"/>
      <c r="P262" s="17" t="n"/>
      <c r="Q262" s="127" t="n"/>
      <c r="R262" s="16" t="n"/>
      <c r="S262" s="17" t="n"/>
      <c r="T262" s="123" t="n"/>
      <c r="U262" s="127" t="n"/>
      <c r="V262" s="17" t="n"/>
      <c r="W262" s="127" t="n"/>
      <c r="X262" s="16" t="n"/>
      <c r="Y262" s="17" t="n"/>
      <c r="Z262" s="123" t="n"/>
      <c r="AB262" s="127" t="n"/>
      <c r="AC262" s="17" t="n"/>
      <c r="AD262" s="127" t="n"/>
      <c r="AE262" s="16" t="n"/>
      <c r="AF262" s="17" t="n"/>
      <c r="AG262" s="123" t="n"/>
      <c r="AH262" s="127" t="n"/>
      <c r="AI262" s="17" t="n"/>
      <c r="AJ262" s="127" t="n"/>
      <c r="AK262" s="16" t="n"/>
      <c r="AL262" s="17" t="n"/>
      <c r="AM262" s="123" t="n"/>
      <c r="AN262" s="127" t="n"/>
      <c r="AO262" s="17" t="n"/>
      <c r="AP262" s="127" t="n"/>
      <c r="AQ262" s="16" t="n"/>
      <c r="AR262" s="17" t="n"/>
      <c r="AS262" s="123" t="n"/>
    </row>
    <row r="263" hidden="1" outlineLevel="1">
      <c r="A263" s="8" t="n"/>
      <c r="B263" s="14" t="n"/>
      <c r="C263" s="123" t="n"/>
      <c r="D263" s="123" t="n"/>
      <c r="E263" s="123" t="n"/>
      <c r="F263" s="123" t="n"/>
      <c r="G263" s="123" t="n"/>
      <c r="I263" s="127">
        <f>DADOS_INVOC!$PZ$15</f>
        <v/>
      </c>
      <c r="J263" s="17" t="n"/>
      <c r="K263" s="127">
        <f>DADOS_INVOC!$QB$15</f>
        <v/>
      </c>
      <c r="L263" s="16" t="n"/>
      <c r="M263" s="17" t="n"/>
      <c r="N263" s="123" t="n"/>
      <c r="O263" s="127">
        <f>DADOS_INVOC!$PZ$16</f>
        <v/>
      </c>
      <c r="P263" s="17" t="n"/>
      <c r="Q263" s="127">
        <f>DADOS_INVOC!$QB$16</f>
        <v/>
      </c>
      <c r="R263" s="16" t="n"/>
      <c r="S263" s="17" t="n"/>
      <c r="T263" s="123" t="n"/>
      <c r="U263" s="127">
        <f>DADOS_INVOC!$PZ$17</f>
        <v/>
      </c>
      <c r="V263" s="17" t="n"/>
      <c r="W263" s="127">
        <f>DADOS_INVOC!$QB$17</f>
        <v/>
      </c>
      <c r="X263" s="16" t="n"/>
      <c r="Y263" s="17" t="n"/>
      <c r="Z263" s="123" t="n"/>
      <c r="AB263" s="127">
        <f>DADOS_INVOC!$PZ$93</f>
        <v/>
      </c>
      <c r="AC263" s="17" t="n"/>
      <c r="AD263" s="127">
        <f>DADOS_INVOC!$QB$93</f>
        <v/>
      </c>
      <c r="AE263" s="16" t="n"/>
      <c r="AF263" s="17" t="n"/>
      <c r="AG263" s="123" t="n"/>
      <c r="AH263" s="127">
        <f>DADOS_INVOC!$PZ$94</f>
        <v/>
      </c>
      <c r="AI263" s="17" t="n"/>
      <c r="AJ263" s="127">
        <f>DADOS_INVOC!$QB$94</f>
        <v/>
      </c>
      <c r="AK263" s="16" t="n"/>
      <c r="AL263" s="17" t="n"/>
      <c r="AM263" s="123" t="n"/>
      <c r="AN263" s="127">
        <f>DADOS_INVOC!$PZ$95</f>
        <v/>
      </c>
      <c r="AO263" s="17" t="n"/>
      <c r="AP263" s="127">
        <f>DADOS_INVOC!$QB$95</f>
        <v/>
      </c>
      <c r="AQ263" s="16" t="n"/>
      <c r="AR263" s="17" t="n"/>
      <c r="AS263" s="123" t="n"/>
    </row>
    <row r="264" hidden="1" outlineLevel="1">
      <c r="A264" s="8" t="n"/>
      <c r="B264" s="14" t="n"/>
      <c r="C264" s="123" t="n"/>
      <c r="D264" s="123" t="n"/>
      <c r="E264" s="123" t="n"/>
      <c r="F264" s="123" t="n"/>
      <c r="G264" s="123" t="n"/>
      <c r="I264" s="132">
        <f>DADOS_INVOC!$QH$15</f>
        <v/>
      </c>
      <c r="J264" s="16" t="n"/>
      <c r="K264" s="16" t="n"/>
      <c r="L264" s="16" t="n"/>
      <c r="M264" s="17" t="n"/>
      <c r="N264" s="123" t="n"/>
      <c r="O264" s="132">
        <f>DADOS_INVOC!$QH$16</f>
        <v/>
      </c>
      <c r="P264" s="16" t="n"/>
      <c r="Q264" s="16" t="n"/>
      <c r="R264" s="16" t="n"/>
      <c r="S264" s="17" t="n"/>
      <c r="T264" s="123" t="n"/>
      <c r="U264" s="132">
        <f>DADOS_INVOC!$QH$17</f>
        <v/>
      </c>
      <c r="V264" s="16" t="n"/>
      <c r="W264" s="16" t="n"/>
      <c r="X264" s="16" t="n"/>
      <c r="Y264" s="17" t="n"/>
      <c r="Z264" s="123" t="n"/>
      <c r="AB264" s="132">
        <f>DADOS_INVOC!$QH$93</f>
        <v/>
      </c>
      <c r="AC264" s="16" t="n"/>
      <c r="AD264" s="16" t="n"/>
      <c r="AE264" s="16" t="n"/>
      <c r="AF264" s="17" t="n"/>
      <c r="AG264" s="123" t="n"/>
      <c r="AH264" s="132">
        <f>DADOS_INVOC!$QH$94</f>
        <v/>
      </c>
      <c r="AI264" s="16" t="n"/>
      <c r="AJ264" s="16" t="n"/>
      <c r="AK264" s="16" t="n"/>
      <c r="AL264" s="17" t="n"/>
      <c r="AM264" s="123" t="n"/>
      <c r="AN264" s="132">
        <f>DADOS_INVOC!$QH$95</f>
        <v/>
      </c>
      <c r="AO264" s="16" t="n"/>
      <c r="AP264" s="16" t="n"/>
      <c r="AQ264" s="16" t="n"/>
      <c r="AR264" s="17" t="n"/>
      <c r="AS264" s="123" t="n"/>
    </row>
    <row r="265" hidden="1" outlineLevel="2">
      <c r="A265" s="8" t="n"/>
      <c r="B265" s="14" t="n"/>
      <c r="C265" s="123" t="n"/>
      <c r="D265" s="123" t="n"/>
      <c r="E265" s="123" t="n"/>
      <c r="F265" s="123" t="n"/>
      <c r="G265" s="123" t="n"/>
      <c r="I265" s="55" t="inlineStr">
        <is>
          <t>MELHORIAS</t>
        </is>
      </c>
      <c r="J265" s="133" t="n"/>
      <c r="K265" s="16" t="n"/>
      <c r="L265" s="17" t="n"/>
      <c r="M265" s="132">
        <f>DADOS_INVOC!$QK$15</f>
        <v/>
      </c>
      <c r="N265" s="123" t="n"/>
      <c r="O265" s="55" t="inlineStr">
        <is>
          <t>MELHORIAS</t>
        </is>
      </c>
      <c r="P265" s="133" t="n"/>
      <c r="Q265" s="16" t="n"/>
      <c r="R265" s="17" t="n"/>
      <c r="S265" s="132">
        <f>DADOS_INVOC!$QK$16</f>
        <v/>
      </c>
      <c r="T265" s="123" t="n"/>
      <c r="U265" s="55" t="inlineStr">
        <is>
          <t>MELHORIAS</t>
        </is>
      </c>
      <c r="V265" s="133" t="n"/>
      <c r="W265" s="16" t="n"/>
      <c r="X265" s="17" t="n"/>
      <c r="Y265" s="132">
        <f>DADOS_INVOC!$QK$17</f>
        <v/>
      </c>
      <c r="Z265" s="123" t="n"/>
      <c r="AB265" s="55" t="inlineStr">
        <is>
          <t>MELHORIAS</t>
        </is>
      </c>
      <c r="AC265" s="133" t="n"/>
      <c r="AD265" s="16" t="n"/>
      <c r="AE265" s="17" t="n"/>
      <c r="AF265" s="132">
        <f>DADOS_INVOC!$QK$93</f>
        <v/>
      </c>
      <c r="AG265" s="123" t="n"/>
      <c r="AH265" s="55" t="inlineStr">
        <is>
          <t>MELHORIAS</t>
        </is>
      </c>
      <c r="AI265" s="133" t="n"/>
      <c r="AJ265" s="16" t="n"/>
      <c r="AK265" s="17" t="n"/>
      <c r="AL265" s="132">
        <f>DADOS_INVOC!$QK$94</f>
        <v/>
      </c>
      <c r="AM265" s="123" t="n"/>
      <c r="AN265" s="55" t="inlineStr">
        <is>
          <t>MELHORIAS</t>
        </is>
      </c>
      <c r="AO265" s="133" t="n"/>
      <c r="AP265" s="16" t="n"/>
      <c r="AQ265" s="17" t="n"/>
      <c r="AR265" s="132">
        <f>DADOS_INVOC!$QK$95</f>
        <v/>
      </c>
      <c r="AS265" s="123" t="n"/>
    </row>
    <row r="266" hidden="1" outlineLevel="2">
      <c r="A266" s="8" t="n"/>
      <c r="B266" s="14" t="n"/>
      <c r="C266" s="123" t="n"/>
      <c r="D266" s="123" t="n"/>
      <c r="E266" s="123" t="n"/>
      <c r="F266" s="123" t="n"/>
      <c r="G266" s="123" t="n"/>
      <c r="I266" s="134" t="n"/>
      <c r="J266" s="133" t="n"/>
      <c r="K266" s="16" t="n"/>
      <c r="L266" s="17" t="n"/>
      <c r="M266" s="132">
        <f>DADOS_INVOC!$QL$15</f>
        <v/>
      </c>
      <c r="N266" s="123" t="n"/>
      <c r="O266" s="134" t="n"/>
      <c r="P266" s="133" t="n"/>
      <c r="Q266" s="16" t="n"/>
      <c r="R266" s="17" t="n"/>
      <c r="S266" s="132">
        <f>DADOS_INVOC!$QL$16</f>
        <v/>
      </c>
      <c r="T266" s="123" t="n"/>
      <c r="U266" s="134" t="n"/>
      <c r="V266" s="133" t="n"/>
      <c r="W266" s="16" t="n"/>
      <c r="X266" s="17" t="n"/>
      <c r="Y266" s="132">
        <f>DADOS_INVOC!$QL$17</f>
        <v/>
      </c>
      <c r="Z266" s="123" t="n"/>
      <c r="AB266" s="134" t="n"/>
      <c r="AC266" s="133" t="n"/>
      <c r="AD266" s="16" t="n"/>
      <c r="AE266" s="17" t="n"/>
      <c r="AF266" s="132">
        <f>DADOS_INVOC!$QL$93</f>
        <v/>
      </c>
      <c r="AG266" s="123" t="n"/>
      <c r="AH266" s="134" t="n"/>
      <c r="AI266" s="133" t="n"/>
      <c r="AJ266" s="16" t="n"/>
      <c r="AK266" s="17" t="n"/>
      <c r="AL266" s="132">
        <f>DADOS_INVOC!$QL$94</f>
        <v/>
      </c>
      <c r="AM266" s="123" t="n"/>
      <c r="AN266" s="134" t="n"/>
      <c r="AO266" s="133" t="n"/>
      <c r="AP266" s="16" t="n"/>
      <c r="AQ266" s="17" t="n"/>
      <c r="AR266" s="132">
        <f>DADOS_INVOC!$QL$95</f>
        <v/>
      </c>
      <c r="AS266" s="123" t="n"/>
    </row>
    <row r="267" hidden="1" outlineLevel="2">
      <c r="A267" s="8" t="n"/>
      <c r="B267" s="14" t="n"/>
      <c r="C267" s="123" t="n"/>
      <c r="D267" s="123" t="n"/>
      <c r="E267" s="123" t="n"/>
      <c r="F267" s="123" t="n"/>
      <c r="G267" s="123" t="n"/>
      <c r="I267" s="134" t="n"/>
      <c r="J267" s="133" t="n"/>
      <c r="K267" s="16" t="n"/>
      <c r="L267" s="17" t="n"/>
      <c r="M267" s="132">
        <f>DADOS_INVOC!$QM$15</f>
        <v/>
      </c>
      <c r="N267" s="123" t="n"/>
      <c r="O267" s="134" t="n"/>
      <c r="P267" s="133" t="n"/>
      <c r="Q267" s="16" t="n"/>
      <c r="R267" s="17" t="n"/>
      <c r="S267" s="132">
        <f>DADOS_INVOC!$QM$16</f>
        <v/>
      </c>
      <c r="T267" s="123" t="n"/>
      <c r="U267" s="134" t="n"/>
      <c r="V267" s="133" t="n"/>
      <c r="W267" s="16" t="n"/>
      <c r="X267" s="17" t="n"/>
      <c r="Y267" s="132">
        <f>DADOS_INVOC!$QM$17</f>
        <v/>
      </c>
      <c r="Z267" s="123" t="n"/>
      <c r="AB267" s="134" t="n"/>
      <c r="AC267" s="133" t="n"/>
      <c r="AD267" s="16" t="n"/>
      <c r="AE267" s="17" t="n"/>
      <c r="AF267" s="132">
        <f>DADOS_INVOC!$QM$93</f>
        <v/>
      </c>
      <c r="AG267" s="123" t="n"/>
      <c r="AH267" s="134" t="n"/>
      <c r="AI267" s="133" t="n"/>
      <c r="AJ267" s="16" t="n"/>
      <c r="AK267" s="17" t="n"/>
      <c r="AL267" s="132">
        <f>DADOS_INVOC!$QM$94</f>
        <v/>
      </c>
      <c r="AM267" s="123" t="n"/>
      <c r="AN267" s="134" t="n"/>
      <c r="AO267" s="133" t="n"/>
      <c r="AP267" s="16" t="n"/>
      <c r="AQ267" s="17" t="n"/>
      <c r="AR267" s="132">
        <f>DADOS_INVOC!$QM$95</f>
        <v/>
      </c>
      <c r="AS267" s="123" t="n"/>
    </row>
    <row r="268" hidden="1" outlineLevel="2">
      <c r="A268" s="8" t="n"/>
      <c r="B268" s="14" t="n"/>
      <c r="C268" s="123" t="n"/>
      <c r="D268" s="123" t="n"/>
      <c r="E268" s="123" t="n"/>
      <c r="F268" s="123" t="n"/>
      <c r="G268" s="123" t="n"/>
      <c r="I268" s="128" t="n"/>
      <c r="J268" s="133" t="n"/>
      <c r="K268" s="16" t="n"/>
      <c r="L268" s="17" t="n"/>
      <c r="M268" s="132">
        <f>DADOS_INVOC!$QN$15</f>
        <v/>
      </c>
      <c r="N268" s="123" t="n"/>
      <c r="O268" s="128" t="n"/>
      <c r="P268" s="133" t="n"/>
      <c r="Q268" s="16" t="n"/>
      <c r="R268" s="17" t="n"/>
      <c r="S268" s="132">
        <f>DADOS_INVOC!$QN$16</f>
        <v/>
      </c>
      <c r="T268" s="123" t="n"/>
      <c r="U268" s="128" t="n"/>
      <c r="V268" s="133" t="n"/>
      <c r="W268" s="16" t="n"/>
      <c r="X268" s="17" t="n"/>
      <c r="Y268" s="132">
        <f>DADOS_INVOC!$QN$17</f>
        <v/>
      </c>
      <c r="Z268" s="123" t="n"/>
      <c r="AB268" s="128" t="n"/>
      <c r="AC268" s="133" t="n"/>
      <c r="AD268" s="16" t="n"/>
      <c r="AE268" s="17" t="n"/>
      <c r="AF268" s="132">
        <f>DADOS_INVOC!$QN$93</f>
        <v/>
      </c>
      <c r="AG268" s="123" t="n"/>
      <c r="AH268" s="128" t="n"/>
      <c r="AI268" s="133" t="n"/>
      <c r="AJ268" s="16" t="n"/>
      <c r="AK268" s="17" t="n"/>
      <c r="AL268" s="132">
        <f>DADOS_INVOC!$QN$94</f>
        <v/>
      </c>
      <c r="AM268" s="123" t="n"/>
      <c r="AN268" s="128" t="n"/>
      <c r="AO268" s="133" t="n"/>
      <c r="AP268" s="16" t="n"/>
      <c r="AQ268" s="17" t="n"/>
      <c r="AR268" s="132">
        <f>DADOS_INVOC!$QN$95</f>
        <v/>
      </c>
      <c r="AS268" s="123" t="n"/>
    </row>
    <row r="269" hidden="1" outlineLevel="2">
      <c r="A269" s="8" t="n"/>
      <c r="B269" s="14" t="n"/>
      <c r="C269" s="123" t="n"/>
      <c r="D269" s="123" t="n"/>
      <c r="E269" s="123" t="n"/>
      <c r="F269" s="123" t="n"/>
      <c r="G269" s="123" t="n"/>
      <c r="I269" s="55" t="inlineStr">
        <is>
          <t>RESTRIÇÕES</t>
        </is>
      </c>
      <c r="J269" s="133" t="n"/>
      <c r="K269" s="16" t="n"/>
      <c r="L269" s="17" t="n"/>
      <c r="M269" s="132">
        <f>DADOS_INVOC!$QO$15</f>
        <v/>
      </c>
      <c r="N269" s="123" t="n"/>
      <c r="O269" s="55" t="inlineStr">
        <is>
          <t>RESTRIÇÕES</t>
        </is>
      </c>
      <c r="P269" s="133" t="n"/>
      <c r="Q269" s="16" t="n"/>
      <c r="R269" s="17" t="n"/>
      <c r="S269" s="132">
        <f>DADOS_INVOC!$QO$16</f>
        <v/>
      </c>
      <c r="T269" s="123" t="n"/>
      <c r="U269" s="55" t="inlineStr">
        <is>
          <t>RESTRIÇÕES</t>
        </is>
      </c>
      <c r="V269" s="133" t="n"/>
      <c r="W269" s="16" t="n"/>
      <c r="X269" s="17" t="n"/>
      <c r="Y269" s="132">
        <f>DADOS_INVOC!$QO$17</f>
        <v/>
      </c>
      <c r="Z269" s="123" t="n"/>
      <c r="AB269" s="55" t="inlineStr">
        <is>
          <t>RESTRIÇÕES</t>
        </is>
      </c>
      <c r="AC269" s="133" t="n"/>
      <c r="AD269" s="16" t="n"/>
      <c r="AE269" s="17" t="n"/>
      <c r="AF269" s="132">
        <f>DADOS_INVOC!$QO$93</f>
        <v/>
      </c>
      <c r="AG269" s="123" t="n"/>
      <c r="AH269" s="55" t="inlineStr">
        <is>
          <t>RESTRIÇÕES</t>
        </is>
      </c>
      <c r="AI269" s="133" t="n"/>
      <c r="AJ269" s="16" t="n"/>
      <c r="AK269" s="17" t="n"/>
      <c r="AL269" s="132">
        <f>DADOS_INVOC!$QO$94</f>
        <v/>
      </c>
      <c r="AM269" s="123" t="n"/>
      <c r="AN269" s="55" t="inlineStr">
        <is>
          <t>RESTRIÇÕES</t>
        </is>
      </c>
      <c r="AO269" s="133" t="n"/>
      <c r="AP269" s="16" t="n"/>
      <c r="AQ269" s="17" t="n"/>
      <c r="AR269" s="132">
        <f>DADOS_INVOC!$QO$95</f>
        <v/>
      </c>
      <c r="AS269" s="123" t="n"/>
    </row>
    <row r="270" hidden="1" outlineLevel="2">
      <c r="A270" s="8" t="n"/>
      <c r="B270" s="14" t="n"/>
      <c r="C270" s="123" t="n"/>
      <c r="D270" s="123" t="n"/>
      <c r="E270" s="123" t="n"/>
      <c r="F270" s="123" t="n"/>
      <c r="G270" s="123" t="n"/>
      <c r="I270" s="128" t="n"/>
      <c r="J270" s="133" t="n"/>
      <c r="K270" s="16" t="n"/>
      <c r="L270" s="17" t="n"/>
      <c r="M270" s="132">
        <f>DADOS_INVOC!$QP$15</f>
        <v/>
      </c>
      <c r="N270" s="123" t="n"/>
      <c r="O270" s="128" t="n"/>
      <c r="P270" s="133" t="n"/>
      <c r="Q270" s="16" t="n"/>
      <c r="R270" s="17" t="n"/>
      <c r="S270" s="132">
        <f>DADOS_INVOC!$QP$16</f>
        <v/>
      </c>
      <c r="T270" s="123" t="n"/>
      <c r="U270" s="128" t="n"/>
      <c r="V270" s="133" t="n"/>
      <c r="W270" s="16" t="n"/>
      <c r="X270" s="17" t="n"/>
      <c r="Y270" s="132">
        <f>DADOS_INVOC!$QP$17</f>
        <v/>
      </c>
      <c r="Z270" s="123" t="n"/>
      <c r="AB270" s="128" t="n"/>
      <c r="AC270" s="133" t="n"/>
      <c r="AD270" s="16" t="n"/>
      <c r="AE270" s="17" t="n"/>
      <c r="AF270" s="132">
        <f>DADOS_INVOC!$QP$93</f>
        <v/>
      </c>
      <c r="AG270" s="123" t="n"/>
      <c r="AH270" s="128" t="n"/>
      <c r="AI270" s="133" t="n"/>
      <c r="AJ270" s="16" t="n"/>
      <c r="AK270" s="17" t="n"/>
      <c r="AL270" s="132">
        <f>DADOS_INVOC!$QP$94</f>
        <v/>
      </c>
      <c r="AM270" s="123" t="n"/>
      <c r="AN270" s="128" t="n"/>
      <c r="AO270" s="133" t="n"/>
      <c r="AP270" s="16" t="n"/>
      <c r="AQ270" s="17" t="n"/>
      <c r="AR270" s="132">
        <f>DADOS_INVOC!$QP$95</f>
        <v/>
      </c>
      <c r="AS270" s="123" t="n"/>
    </row>
    <row r="271" hidden="1" outlineLevel="2">
      <c r="A271" s="8" t="n"/>
      <c r="B271" s="14" t="n"/>
      <c r="C271" s="123" t="n"/>
      <c r="D271" s="123" t="n"/>
      <c r="E271" s="123" t="n"/>
      <c r="F271" s="123" t="n"/>
      <c r="G271" s="123" t="n"/>
      <c r="I271" s="55" t="inlineStr">
        <is>
          <t>CONTA</t>
        </is>
      </c>
      <c r="J271" s="135">
        <f>DADOS_INVOC!$QI$15</f>
        <v/>
      </c>
      <c r="K271" s="16" t="n"/>
      <c r="L271" s="16" t="n"/>
      <c r="M271" s="17" t="n"/>
      <c r="N271" s="123" t="n"/>
      <c r="O271" s="55" t="inlineStr">
        <is>
          <t>CONTA</t>
        </is>
      </c>
      <c r="P271" s="135">
        <f>DADOS_INVOC!$QI$16</f>
        <v/>
      </c>
      <c r="Q271" s="16" t="n"/>
      <c r="R271" s="16" t="n"/>
      <c r="S271" s="17" t="n"/>
      <c r="T271" s="123" t="n"/>
      <c r="U271" s="55" t="inlineStr">
        <is>
          <t>CONTA</t>
        </is>
      </c>
      <c r="V271" s="135">
        <f>DADOS_INVOC!$QI$17</f>
        <v/>
      </c>
      <c r="W271" s="16" t="n"/>
      <c r="X271" s="16" t="n"/>
      <c r="Y271" s="17" t="n"/>
      <c r="Z271" s="123" t="n"/>
      <c r="AB271" s="55" t="inlineStr">
        <is>
          <t>CONTA</t>
        </is>
      </c>
      <c r="AC271" s="135">
        <f>DADOS_INVOC!$QI$93</f>
        <v/>
      </c>
      <c r="AD271" s="16" t="n"/>
      <c r="AE271" s="16" t="n"/>
      <c r="AF271" s="17" t="n"/>
      <c r="AG271" s="123" t="n"/>
      <c r="AH271" s="55" t="inlineStr">
        <is>
          <t>CONTA</t>
        </is>
      </c>
      <c r="AI271" s="135">
        <f>DADOS_INVOC!$QI$94</f>
        <v/>
      </c>
      <c r="AJ271" s="16" t="n"/>
      <c r="AK271" s="16" t="n"/>
      <c r="AL271" s="17" t="n"/>
      <c r="AM271" s="123" t="n"/>
      <c r="AN271" s="55" t="inlineStr">
        <is>
          <t>CONTA</t>
        </is>
      </c>
      <c r="AO271" s="135">
        <f>DADOS_INVOC!$QI$95</f>
        <v/>
      </c>
      <c r="AP271" s="16" t="n"/>
      <c r="AQ271" s="16" t="n"/>
      <c r="AR271" s="17" t="n"/>
      <c r="AS271" s="123" t="n"/>
    </row>
    <row r="272" hidden="1" outlineLevel="2">
      <c r="A272" s="8" t="n"/>
      <c r="B272" s="14" t="n"/>
      <c r="C272" s="123" t="n"/>
      <c r="D272" s="123" t="n"/>
      <c r="E272" s="123" t="n"/>
      <c r="F272" s="123" t="n"/>
      <c r="G272" s="123" t="n"/>
      <c r="I272" s="55" t="inlineStr">
        <is>
          <t>AMPLIAR</t>
        </is>
      </c>
      <c r="J272" s="135">
        <f>DADOS_INVOC!$QJ$15</f>
        <v/>
      </c>
      <c r="K272" s="19" t="n"/>
      <c r="L272" s="19" t="n"/>
      <c r="M272" s="20" t="n"/>
      <c r="N272" s="123" t="n"/>
      <c r="O272" s="55" t="inlineStr">
        <is>
          <t>AMPLIAR</t>
        </is>
      </c>
      <c r="P272" s="135">
        <f>DADOS_INVOC!$QJ$16</f>
        <v/>
      </c>
      <c r="Q272" s="19" t="n"/>
      <c r="R272" s="19" t="n"/>
      <c r="S272" s="20" t="n"/>
      <c r="T272" s="123" t="n"/>
      <c r="U272" s="55" t="inlineStr">
        <is>
          <t>AMPLIAR</t>
        </is>
      </c>
      <c r="V272" s="135">
        <f>DADOS_INVOC!$QJ$17</f>
        <v/>
      </c>
      <c r="W272" s="19" t="n"/>
      <c r="X272" s="19" t="n"/>
      <c r="Y272" s="20" t="n"/>
      <c r="Z272" s="123" t="n"/>
      <c r="AB272" s="55" t="inlineStr">
        <is>
          <t>AMPLIAR</t>
        </is>
      </c>
      <c r="AC272" s="135">
        <f>DADOS_INVOC!$QJ$93</f>
        <v/>
      </c>
      <c r="AD272" s="19" t="n"/>
      <c r="AE272" s="19" t="n"/>
      <c r="AF272" s="20" t="n"/>
      <c r="AG272" s="123" t="n"/>
      <c r="AH272" s="55" t="inlineStr">
        <is>
          <t>AMPLIAR</t>
        </is>
      </c>
      <c r="AI272" s="135">
        <f>DADOS_INVOC!$QJ$94</f>
        <v/>
      </c>
      <c r="AJ272" s="19" t="n"/>
      <c r="AK272" s="19" t="n"/>
      <c r="AL272" s="20" t="n"/>
      <c r="AM272" s="123" t="n"/>
      <c r="AN272" s="55" t="inlineStr">
        <is>
          <t>AMPLIAR</t>
        </is>
      </c>
      <c r="AO272" s="135">
        <f>DADOS_INVOC!$QJ$95</f>
        <v/>
      </c>
      <c r="AP272" s="19" t="n"/>
      <c r="AQ272" s="19" t="n"/>
      <c r="AR272" s="20" t="n"/>
      <c r="AS272" s="123" t="n"/>
    </row>
    <row r="273" hidden="1" outlineLevel="2">
      <c r="A273" s="8" t="n"/>
      <c r="B273" s="14" t="n"/>
      <c r="C273" s="123" t="n"/>
      <c r="D273" s="123" t="n"/>
      <c r="E273" s="123" t="n"/>
      <c r="F273" s="123" t="n"/>
      <c r="G273" s="123" t="n"/>
      <c r="I273" s="128" t="n"/>
      <c r="J273" s="23" t="n"/>
      <c r="K273" s="24" t="n"/>
      <c r="L273" s="24" t="n"/>
      <c r="M273" s="25" t="n"/>
      <c r="N273" s="123" t="n"/>
      <c r="O273" s="128" t="n"/>
      <c r="P273" s="23" t="n"/>
      <c r="Q273" s="24" t="n"/>
      <c r="R273" s="24" t="n"/>
      <c r="S273" s="25" t="n"/>
      <c r="T273" s="123" t="n"/>
      <c r="U273" s="128" t="n"/>
      <c r="V273" s="23" t="n"/>
      <c r="W273" s="24" t="n"/>
      <c r="X273" s="24" t="n"/>
      <c r="Y273" s="25" t="n"/>
      <c r="Z273" s="123" t="n"/>
      <c r="AB273" s="128" t="n"/>
      <c r="AC273" s="23" t="n"/>
      <c r="AD273" s="24" t="n"/>
      <c r="AE273" s="24" t="n"/>
      <c r="AF273" s="25" t="n"/>
      <c r="AG273" s="123" t="n"/>
      <c r="AH273" s="128" t="n"/>
      <c r="AI273" s="23" t="n"/>
      <c r="AJ273" s="24" t="n"/>
      <c r="AK273" s="24" t="n"/>
      <c r="AL273" s="25" t="n"/>
      <c r="AM273" s="123" t="n"/>
      <c r="AN273" s="128" t="n"/>
      <c r="AO273" s="23" t="n"/>
      <c r="AP273" s="24" t="n"/>
      <c r="AQ273" s="24" t="n"/>
      <c r="AR273" s="25" t="n"/>
      <c r="AS273" s="123" t="n"/>
    </row>
    <row r="274" hidden="1" outlineLevel="2">
      <c r="A274" s="8" t="n"/>
      <c r="B274" s="14" t="n"/>
      <c r="C274" s="123" t="n"/>
      <c r="D274" s="123" t="n"/>
      <c r="E274" s="123" t="n"/>
      <c r="F274" s="123" t="n"/>
      <c r="G274" s="123" t="n"/>
      <c r="I274" s="135">
        <f>DADOS_INVOC!$PW$15</f>
        <v/>
      </c>
      <c r="J274" s="19" t="n"/>
      <c r="K274" s="19" t="n"/>
      <c r="L274" s="19" t="n"/>
      <c r="M274" s="20" t="n"/>
      <c r="N274" s="123" t="n"/>
      <c r="O274" s="135">
        <f>DADOS_INVOC!$PW$16</f>
        <v/>
      </c>
      <c r="P274" s="19" t="n"/>
      <c r="Q274" s="19" t="n"/>
      <c r="R274" s="19" t="n"/>
      <c r="S274" s="20" t="n"/>
      <c r="T274" s="123" t="n"/>
      <c r="U274" s="135">
        <f>DADOS_INVOC!$PW$17</f>
        <v/>
      </c>
      <c r="V274" s="19" t="n"/>
      <c r="W274" s="19" t="n"/>
      <c r="X274" s="19" t="n"/>
      <c r="Y274" s="20" t="n"/>
      <c r="Z274" s="123" t="n"/>
      <c r="AB274" s="135">
        <f>DADOS_INVOC!$PW$93</f>
        <v/>
      </c>
      <c r="AC274" s="19" t="n"/>
      <c r="AD274" s="19" t="n"/>
      <c r="AE274" s="19" t="n"/>
      <c r="AF274" s="20" t="n"/>
      <c r="AG274" s="123" t="n"/>
      <c r="AH274" s="135">
        <f>DADOS_INVOC!$PW$94</f>
        <v/>
      </c>
      <c r="AI274" s="19" t="n"/>
      <c r="AJ274" s="19" t="n"/>
      <c r="AK274" s="19" t="n"/>
      <c r="AL274" s="20" t="n"/>
      <c r="AM274" s="123" t="n"/>
      <c r="AN274" s="135">
        <f>DADOS_INVOC!$PW$95</f>
        <v/>
      </c>
      <c r="AO274" s="19" t="n"/>
      <c r="AP274" s="19" t="n"/>
      <c r="AQ274" s="19" t="n"/>
      <c r="AR274" s="20" t="n"/>
      <c r="AS274" s="123" t="n"/>
    </row>
    <row r="275" hidden="1" outlineLevel="2">
      <c r="A275" s="8" t="n"/>
      <c r="B275" s="14" t="n"/>
      <c r="C275" s="123" t="n"/>
      <c r="D275" s="123" t="n"/>
      <c r="E275" s="123" t="n"/>
      <c r="F275" s="123" t="n"/>
      <c r="G275" s="123" t="n"/>
      <c r="I275" s="23" t="n"/>
      <c r="J275" s="24" t="n"/>
      <c r="K275" s="24" t="n"/>
      <c r="L275" s="24" t="n"/>
      <c r="M275" s="25" t="n"/>
      <c r="N275" s="123" t="n"/>
      <c r="O275" s="23" t="n"/>
      <c r="P275" s="24" t="n"/>
      <c r="Q275" s="24" t="n"/>
      <c r="R275" s="24" t="n"/>
      <c r="S275" s="25" t="n"/>
      <c r="T275" s="123" t="n"/>
      <c r="U275" s="23" t="n"/>
      <c r="V275" s="24" t="n"/>
      <c r="W275" s="24" t="n"/>
      <c r="X275" s="24" t="n"/>
      <c r="Y275" s="25" t="n"/>
      <c r="Z275" s="123" t="n"/>
      <c r="AB275" s="23" t="n"/>
      <c r="AC275" s="24" t="n"/>
      <c r="AD275" s="24" t="n"/>
      <c r="AE275" s="24" t="n"/>
      <c r="AF275" s="25" t="n"/>
      <c r="AG275" s="123" t="n"/>
      <c r="AH275" s="23" t="n"/>
      <c r="AI275" s="24" t="n"/>
      <c r="AJ275" s="24" t="n"/>
      <c r="AK275" s="24" t="n"/>
      <c r="AL275" s="25" t="n"/>
      <c r="AM275" s="123" t="n"/>
      <c r="AN275" s="23" t="n"/>
      <c r="AO275" s="24" t="n"/>
      <c r="AP275" s="24" t="n"/>
      <c r="AQ275" s="24" t="n"/>
      <c r="AR275" s="25" t="n"/>
      <c r="AS275" s="123" t="n"/>
    </row>
    <row r="276" hidden="1" outlineLevel="1">
      <c r="A276" s="8" t="n"/>
      <c r="B276" s="14" t="n"/>
      <c r="C276" s="123" t="n"/>
      <c r="D276" s="123" t="n"/>
      <c r="E276" s="123" t="n"/>
      <c r="F276" s="123" t="n"/>
      <c r="G276" s="123" t="n"/>
      <c r="I276" s="123" t="n"/>
      <c r="J276" s="123" t="n"/>
      <c r="K276" s="123" t="n"/>
      <c r="L276" s="123" t="n"/>
      <c r="M276" s="123" t="n"/>
      <c r="N276" s="123" t="n"/>
      <c r="O276" s="123" t="n"/>
      <c r="P276" s="123" t="n"/>
      <c r="Q276" s="123" t="n"/>
      <c r="R276" s="123" t="n"/>
      <c r="S276" s="123" t="n"/>
      <c r="T276" s="123" t="n"/>
      <c r="U276" s="123" t="n"/>
      <c r="V276" s="123" t="n"/>
      <c r="W276" s="123" t="n"/>
      <c r="X276" s="123" t="n"/>
      <c r="Y276" s="123" t="n"/>
      <c r="Z276" s="123" t="n"/>
      <c r="AB276" s="123" t="n"/>
      <c r="AC276" s="123" t="n"/>
      <c r="AD276" s="123" t="n"/>
      <c r="AE276" s="123" t="n"/>
      <c r="AF276" s="123" t="n"/>
      <c r="AG276" s="123" t="n"/>
      <c r="AH276" s="123" t="n"/>
      <c r="AI276" s="123" t="n"/>
      <c r="AJ276" s="123" t="n"/>
      <c r="AK276" s="123" t="n"/>
      <c r="AL276" s="123" t="n"/>
      <c r="AM276" s="123" t="n"/>
      <c r="AN276" s="123" t="n"/>
      <c r="AO276" s="123" t="n"/>
      <c r="AP276" s="123" t="n"/>
      <c r="AQ276" s="123" t="n"/>
      <c r="AR276" s="123" t="n"/>
      <c r="AS276" s="123" t="n"/>
    </row>
    <row r="277" hidden="1" outlineLevel="1">
      <c r="A277" s="8" t="n"/>
      <c r="B277" s="14" t="n"/>
      <c r="C277" s="123" t="n"/>
      <c r="D277" s="123" t="n"/>
      <c r="E277" s="123" t="n"/>
      <c r="F277" s="123" t="n"/>
      <c r="G277" s="123" t="n"/>
      <c r="I277" s="55">
        <f>DADOS_INVOC!$ID$3</f>
        <v/>
      </c>
      <c r="J277" s="16" t="n"/>
      <c r="K277" s="16" t="n"/>
      <c r="L277" s="16" t="n"/>
      <c r="M277" s="16" t="n"/>
      <c r="N277" s="16" t="n"/>
      <c r="O277" s="16" t="n"/>
      <c r="P277" s="16" t="n"/>
      <c r="Q277" s="16" t="n"/>
      <c r="R277" s="16" t="n"/>
      <c r="S277" s="16" t="n"/>
      <c r="T277" s="16" t="n"/>
      <c r="U277" s="16" t="n"/>
      <c r="V277" s="16" t="n"/>
      <c r="W277" s="16" t="n"/>
      <c r="X277" s="16" t="n"/>
      <c r="Y277" s="17" t="n"/>
      <c r="Z277" s="123" t="n"/>
      <c r="AB277" s="55">
        <f>DADOS_INVOC!$ID$9</f>
        <v/>
      </c>
      <c r="AC277" s="16" t="n"/>
      <c r="AD277" s="16" t="n"/>
      <c r="AE277" s="16" t="n"/>
      <c r="AF277" s="16" t="n"/>
      <c r="AG277" s="16" t="n"/>
      <c r="AH277" s="16" t="n"/>
      <c r="AI277" s="16" t="n"/>
      <c r="AJ277" s="16" t="n"/>
      <c r="AK277" s="16" t="n"/>
      <c r="AL277" s="16" t="n"/>
      <c r="AM277" s="16" t="n"/>
      <c r="AN277" s="16" t="n"/>
      <c r="AO277" s="16" t="n"/>
      <c r="AP277" s="16" t="n"/>
      <c r="AQ277" s="16" t="n"/>
      <c r="AR277" s="17" t="n"/>
      <c r="AS277" s="123" t="n"/>
    </row>
    <row r="278" hidden="1" outlineLevel="1">
      <c r="A278" s="8" t="n"/>
      <c r="B278" s="14" t="n"/>
      <c r="C278" s="123" t="n"/>
      <c r="D278" s="123" t="n"/>
      <c r="E278" s="123" t="n"/>
      <c r="F278" s="123" t="n"/>
      <c r="G278" s="123" t="n"/>
      <c r="I278" s="55" t="inlineStr">
        <is>
          <t>NV 1 · CE 1</t>
        </is>
      </c>
      <c r="J278" s="133" t="n"/>
      <c r="K278" s="16" t="n"/>
      <c r="L278" s="17" t="n"/>
      <c r="M278" s="140">
        <f>DADOS_INVOC!$IM$3</f>
        <v/>
      </c>
      <c r="N278" s="16" t="n"/>
      <c r="O278" s="16" t="n"/>
      <c r="P278" s="16" t="n"/>
      <c r="Q278" s="16" t="n"/>
      <c r="R278" s="16" t="n"/>
      <c r="S278" s="16" t="n"/>
      <c r="T278" s="16" t="n"/>
      <c r="U278" s="16" t="n"/>
      <c r="V278" s="16" t="n"/>
      <c r="W278" s="16" t="n"/>
      <c r="X278" s="16" t="n"/>
      <c r="Y278" s="17" t="n"/>
      <c r="Z278" s="123" t="n"/>
      <c r="AB278" s="55" t="inlineStr">
        <is>
          <t>NV 1 · CE 1</t>
        </is>
      </c>
      <c r="AC278" s="133" t="n"/>
      <c r="AD278" s="16" t="n"/>
      <c r="AE278" s="17" t="n"/>
      <c r="AF278" s="140">
        <f>DADOS_INVOC!$IM$9</f>
        <v/>
      </c>
      <c r="AG278" s="16" t="n"/>
      <c r="AH278" s="16" t="n"/>
      <c r="AI278" s="16" t="n"/>
      <c r="AJ278" s="16" t="n"/>
      <c r="AK278" s="16" t="n"/>
      <c r="AL278" s="16" t="n"/>
      <c r="AM278" s="16" t="n"/>
      <c r="AN278" s="16" t="n"/>
      <c r="AO278" s="16" t="n"/>
      <c r="AP278" s="16" t="n"/>
      <c r="AQ278" s="16" t="n"/>
      <c r="AR278" s="17" t="n"/>
      <c r="AS278" s="123" t="n"/>
    </row>
    <row r="279" hidden="1" outlineLevel="1">
      <c r="A279" s="8" t="n"/>
      <c r="B279" s="14" t="n"/>
      <c r="C279" s="123" t="n"/>
      <c r="D279" s="123" t="n"/>
      <c r="E279" s="123" t="n"/>
      <c r="F279" s="123" t="n"/>
      <c r="G279" s="123" t="n"/>
      <c r="I279" s="55" t="inlineStr">
        <is>
          <t>NV 6 · CE 1</t>
        </is>
      </c>
      <c r="J279" s="133" t="n"/>
      <c r="K279" s="16" t="n"/>
      <c r="L279" s="17" t="n"/>
      <c r="M279" s="140">
        <f>DADOS_INVOC!$IN$3</f>
        <v/>
      </c>
      <c r="N279" s="16" t="n"/>
      <c r="O279" s="16" t="n"/>
      <c r="P279" s="16" t="n"/>
      <c r="Q279" s="16" t="n"/>
      <c r="R279" s="16" t="n"/>
      <c r="S279" s="16" t="n"/>
      <c r="T279" s="16" t="n"/>
      <c r="U279" s="16" t="n"/>
      <c r="V279" s="16" t="n"/>
      <c r="W279" s="16" t="n"/>
      <c r="X279" s="16" t="n"/>
      <c r="Y279" s="17" t="n"/>
      <c r="Z279" s="123" t="n"/>
      <c r="AB279" s="55" t="inlineStr">
        <is>
          <t>NV 6 · CE 1</t>
        </is>
      </c>
      <c r="AC279" s="133" t="n"/>
      <c r="AD279" s="16" t="n"/>
      <c r="AE279" s="17" t="n"/>
      <c r="AF279" s="140">
        <f>DADOS_INVOC!$IN$9</f>
        <v/>
      </c>
      <c r="AG279" s="16" t="n"/>
      <c r="AH279" s="16" t="n"/>
      <c r="AI279" s="16" t="n"/>
      <c r="AJ279" s="16" t="n"/>
      <c r="AK279" s="16" t="n"/>
      <c r="AL279" s="16" t="n"/>
      <c r="AM279" s="16" t="n"/>
      <c r="AN279" s="16" t="n"/>
      <c r="AO279" s="16" t="n"/>
      <c r="AP279" s="16" t="n"/>
      <c r="AQ279" s="16" t="n"/>
      <c r="AR279" s="17" t="n"/>
      <c r="AS279" s="123" t="n"/>
    </row>
    <row r="280" hidden="1" outlineLevel="1">
      <c r="A280" s="8" t="n"/>
      <c r="B280" s="14" t="n"/>
      <c r="C280" s="123" t="n"/>
      <c r="D280" s="123" t="n"/>
      <c r="E280" s="123" t="n"/>
      <c r="F280" s="123" t="n"/>
      <c r="G280" s="123" t="n"/>
      <c r="I280" s="55" t="inlineStr">
        <is>
          <t>NV 10 · CE 2</t>
        </is>
      </c>
      <c r="J280" s="133" t="n"/>
      <c r="K280" s="16" t="n"/>
      <c r="L280" s="17" t="n"/>
      <c r="M280" s="140">
        <f>DADOS_INVOC!$IO$3</f>
        <v/>
      </c>
      <c r="N280" s="16" t="n"/>
      <c r="O280" s="16" t="n"/>
      <c r="P280" s="16" t="n"/>
      <c r="Q280" s="16" t="n"/>
      <c r="R280" s="16" t="n"/>
      <c r="S280" s="16" t="n"/>
      <c r="T280" s="16" t="n"/>
      <c r="U280" s="16" t="n"/>
      <c r="V280" s="16" t="n"/>
      <c r="W280" s="16" t="n"/>
      <c r="X280" s="16" t="n"/>
      <c r="Y280" s="17" t="n"/>
      <c r="Z280" s="123" t="n"/>
      <c r="AB280" s="55" t="inlineStr">
        <is>
          <t>NV 10 · CE 2</t>
        </is>
      </c>
      <c r="AC280" s="133" t="n"/>
      <c r="AD280" s="16" t="n"/>
      <c r="AE280" s="17" t="n"/>
      <c r="AF280" s="140">
        <f>DADOS_INVOC!$IO$9</f>
        <v/>
      </c>
      <c r="AG280" s="16" t="n"/>
      <c r="AH280" s="16" t="n"/>
      <c r="AI280" s="16" t="n"/>
      <c r="AJ280" s="16" t="n"/>
      <c r="AK280" s="16" t="n"/>
      <c r="AL280" s="16" t="n"/>
      <c r="AM280" s="16" t="n"/>
      <c r="AN280" s="16" t="n"/>
      <c r="AO280" s="16" t="n"/>
      <c r="AP280" s="16" t="n"/>
      <c r="AQ280" s="16" t="n"/>
      <c r="AR280" s="17" t="n"/>
      <c r="AS280" s="123" t="n"/>
    </row>
    <row r="281" hidden="1" outlineLevel="1">
      <c r="A281" s="8" t="n"/>
      <c r="B281" s="14" t="n"/>
      <c r="C281" s="123" t="n"/>
      <c r="D281" s="123" t="n"/>
      <c r="E281" s="123" t="n"/>
      <c r="F281" s="123" t="n"/>
      <c r="G281" s="123" t="n"/>
      <c r="I281" s="55" t="inlineStr">
        <is>
          <t>NV 14 · CE 3</t>
        </is>
      </c>
      <c r="J281" s="133" t="n"/>
      <c r="K281" s="16" t="n"/>
      <c r="L281" s="17" t="n"/>
      <c r="M281" s="140">
        <f>DADOS_INVOC!$IP$3</f>
        <v/>
      </c>
      <c r="N281" s="16" t="n"/>
      <c r="O281" s="16" t="n"/>
      <c r="P281" s="16" t="n"/>
      <c r="Q281" s="16" t="n"/>
      <c r="R281" s="16" t="n"/>
      <c r="S281" s="16" t="n"/>
      <c r="T281" s="16" t="n"/>
      <c r="U281" s="16" t="n"/>
      <c r="V281" s="16" t="n"/>
      <c r="W281" s="16" t="n"/>
      <c r="X281" s="16" t="n"/>
      <c r="Y281" s="17" t="n"/>
      <c r="Z281" s="123" t="n"/>
      <c r="AB281" s="55" t="inlineStr">
        <is>
          <t>NV 14 · CE 3</t>
        </is>
      </c>
      <c r="AC281" s="133" t="n"/>
      <c r="AD281" s="16" t="n"/>
      <c r="AE281" s="17" t="n"/>
      <c r="AF281" s="140">
        <f>DADOS_INVOC!$IP$9</f>
        <v/>
      </c>
      <c r="AG281" s="16" t="n"/>
      <c r="AH281" s="16" t="n"/>
      <c r="AI281" s="16" t="n"/>
      <c r="AJ281" s="16" t="n"/>
      <c r="AK281" s="16" t="n"/>
      <c r="AL281" s="16" t="n"/>
      <c r="AM281" s="16" t="n"/>
      <c r="AN281" s="16" t="n"/>
      <c r="AO281" s="16" t="n"/>
      <c r="AP281" s="16" t="n"/>
      <c r="AQ281" s="16" t="n"/>
      <c r="AR281" s="17" t="n"/>
      <c r="AS281" s="123" t="n"/>
    </row>
    <row r="282" hidden="1" outlineLevel="1">
      <c r="A282" s="8" t="n"/>
      <c r="B282" s="14" t="n"/>
      <c r="C282" s="123" t="n"/>
      <c r="D282" s="123" t="n"/>
      <c r="E282" s="123" t="n"/>
      <c r="F282" s="123" t="n"/>
      <c r="G282" s="123" t="n"/>
      <c r="I282" s="55" t="inlineStr">
        <is>
          <t>NV 18 · CE 3</t>
        </is>
      </c>
      <c r="J282" s="133" t="n"/>
      <c r="K282" s="16" t="n"/>
      <c r="L282" s="17" t="n"/>
      <c r="M282" s="140">
        <f>DADOS_INVOC!$IQ$3</f>
        <v/>
      </c>
      <c r="N282" s="16" t="n"/>
      <c r="O282" s="16" t="n"/>
      <c r="P282" s="16" t="n"/>
      <c r="Q282" s="16" t="n"/>
      <c r="R282" s="16" t="n"/>
      <c r="S282" s="16" t="n"/>
      <c r="T282" s="16" t="n"/>
      <c r="U282" s="16" t="n"/>
      <c r="V282" s="16" t="n"/>
      <c r="W282" s="16" t="n"/>
      <c r="X282" s="16" t="n"/>
      <c r="Y282" s="17" t="n"/>
      <c r="Z282" s="123" t="n"/>
      <c r="AB282" s="55" t="inlineStr">
        <is>
          <t>NV 18 · CE 3</t>
        </is>
      </c>
      <c r="AC282" s="133" t="n"/>
      <c r="AD282" s="16" t="n"/>
      <c r="AE282" s="17" t="n"/>
      <c r="AF282" s="140">
        <f>DADOS_INVOC!$IQ$9</f>
        <v/>
      </c>
      <c r="AG282" s="16" t="n"/>
      <c r="AH282" s="16" t="n"/>
      <c r="AI282" s="16" t="n"/>
      <c r="AJ282" s="16" t="n"/>
      <c r="AK282" s="16" t="n"/>
      <c r="AL282" s="16" t="n"/>
      <c r="AM282" s="16" t="n"/>
      <c r="AN282" s="16" t="n"/>
      <c r="AO282" s="16" t="n"/>
      <c r="AP282" s="16" t="n"/>
      <c r="AQ282" s="16" t="n"/>
      <c r="AR282" s="17" t="n"/>
      <c r="AS282" s="123" t="n"/>
    </row>
    <row r="283" hidden="1" outlineLevel="1">
      <c r="A283" s="8" t="n"/>
      <c r="B283" s="14" t="n"/>
      <c r="C283" s="123" t="n"/>
      <c r="D283" s="123" t="n"/>
      <c r="E283" s="123" t="n"/>
      <c r="F283" s="123" t="n"/>
      <c r="G283" s="123" t="n"/>
      <c r="I283" s="55" t="inlineStr">
        <is>
          <t>NV 22 · CE 3</t>
        </is>
      </c>
      <c r="J283" s="133" t="n"/>
      <c r="K283" s="16" t="n"/>
      <c r="L283" s="17" t="n"/>
      <c r="M283" s="140">
        <f>DADOS_INVOC!$IR$3</f>
        <v/>
      </c>
      <c r="N283" s="16" t="n"/>
      <c r="O283" s="16" t="n"/>
      <c r="P283" s="16" t="n"/>
      <c r="Q283" s="16" t="n"/>
      <c r="R283" s="16" t="n"/>
      <c r="S283" s="16" t="n"/>
      <c r="T283" s="16" t="n"/>
      <c r="U283" s="16" t="n"/>
      <c r="V283" s="16" t="n"/>
      <c r="W283" s="16" t="n"/>
      <c r="X283" s="16" t="n"/>
      <c r="Y283" s="17" t="n"/>
      <c r="Z283" s="123" t="n"/>
      <c r="AB283" s="55" t="inlineStr">
        <is>
          <t>NV 22 · CE 3</t>
        </is>
      </c>
      <c r="AC283" s="133" t="n"/>
      <c r="AD283" s="16" t="n"/>
      <c r="AE283" s="17" t="n"/>
      <c r="AF283" s="140">
        <f>DADOS_INVOC!$IR$9</f>
        <v/>
      </c>
      <c r="AG283" s="16" t="n"/>
      <c r="AH283" s="16" t="n"/>
      <c r="AI283" s="16" t="n"/>
      <c r="AJ283" s="16" t="n"/>
      <c r="AK283" s="16" t="n"/>
      <c r="AL283" s="16" t="n"/>
      <c r="AM283" s="16" t="n"/>
      <c r="AN283" s="16" t="n"/>
      <c r="AO283" s="16" t="n"/>
      <c r="AP283" s="16" t="n"/>
      <c r="AQ283" s="16" t="n"/>
      <c r="AR283" s="17" t="n"/>
      <c r="AS283" s="123" t="n"/>
    </row>
    <row r="284" hidden="1" outlineLevel="1">
      <c r="A284" s="8" t="n"/>
      <c r="B284" s="14" t="n"/>
      <c r="C284" s="123" t="n"/>
      <c r="D284" s="123" t="n"/>
      <c r="E284" s="123" t="n"/>
      <c r="F284" s="123" t="n"/>
      <c r="G284" s="123" t="n"/>
      <c r="I284" s="55" t="inlineStr">
        <is>
          <t>NV 26 · CE 3</t>
        </is>
      </c>
      <c r="J284" s="133" t="n"/>
      <c r="K284" s="16" t="n"/>
      <c r="L284" s="17" t="n"/>
      <c r="M284" s="140">
        <f>DADOS_INVOC!$IS$3</f>
        <v/>
      </c>
      <c r="N284" s="16" t="n"/>
      <c r="O284" s="16" t="n"/>
      <c r="P284" s="16" t="n"/>
      <c r="Q284" s="16" t="n"/>
      <c r="R284" s="16" t="n"/>
      <c r="S284" s="16" t="n"/>
      <c r="T284" s="16" t="n"/>
      <c r="U284" s="16" t="n"/>
      <c r="V284" s="16" t="n"/>
      <c r="W284" s="16" t="n"/>
      <c r="X284" s="16" t="n"/>
      <c r="Y284" s="17" t="n"/>
      <c r="Z284" s="123" t="n"/>
      <c r="AB284" s="55" t="inlineStr">
        <is>
          <t>NV 26 · CE 3</t>
        </is>
      </c>
      <c r="AC284" s="133" t="n"/>
      <c r="AD284" s="16" t="n"/>
      <c r="AE284" s="17" t="n"/>
      <c r="AF284" s="140">
        <f>DADOS_INVOC!$IS$9</f>
        <v/>
      </c>
      <c r="AG284" s="16" t="n"/>
      <c r="AH284" s="16" t="n"/>
      <c r="AI284" s="16" t="n"/>
      <c r="AJ284" s="16" t="n"/>
      <c r="AK284" s="16" t="n"/>
      <c r="AL284" s="16" t="n"/>
      <c r="AM284" s="16" t="n"/>
      <c r="AN284" s="16" t="n"/>
      <c r="AO284" s="16" t="n"/>
      <c r="AP284" s="16" t="n"/>
      <c r="AQ284" s="16" t="n"/>
      <c r="AR284" s="17" t="n"/>
      <c r="AS284" s="123" t="n"/>
    </row>
    <row r="285" hidden="1" outlineLevel="1">
      <c r="A285" s="8" t="n"/>
      <c r="B285" s="14" t="n"/>
      <c r="C285" s="123" t="n"/>
      <c r="D285" s="123" t="n"/>
      <c r="E285" s="123" t="n"/>
      <c r="F285" s="123" t="n"/>
      <c r="G285" s="123" t="n"/>
      <c r="I285" s="55" t="inlineStr">
        <is>
          <t>NV 30 · CE 3</t>
        </is>
      </c>
      <c r="J285" s="133" t="n"/>
      <c r="K285" s="16" t="n"/>
      <c r="L285" s="17" t="n"/>
      <c r="M285" s="140">
        <f>DADOS_INVOC!$IT$3</f>
        <v/>
      </c>
      <c r="N285" s="16" t="n"/>
      <c r="O285" s="16" t="n"/>
      <c r="P285" s="16" t="n"/>
      <c r="Q285" s="16" t="n"/>
      <c r="R285" s="16" t="n"/>
      <c r="S285" s="16" t="n"/>
      <c r="T285" s="16" t="n"/>
      <c r="U285" s="16" t="n"/>
      <c r="V285" s="16" t="n"/>
      <c r="W285" s="16" t="n"/>
      <c r="X285" s="16" t="n"/>
      <c r="Y285" s="17" t="n"/>
      <c r="Z285" s="123" t="n"/>
      <c r="AB285" s="55" t="inlineStr">
        <is>
          <t>NV 30 · CE 3</t>
        </is>
      </c>
      <c r="AC285" s="133" t="n"/>
      <c r="AD285" s="16" t="n"/>
      <c r="AE285" s="17" t="n"/>
      <c r="AF285" s="140">
        <f>DADOS_INVOC!$IT$9</f>
        <v/>
      </c>
      <c r="AG285" s="16" t="n"/>
      <c r="AH285" s="16" t="n"/>
      <c r="AI285" s="16" t="n"/>
      <c r="AJ285" s="16" t="n"/>
      <c r="AK285" s="16" t="n"/>
      <c r="AL285" s="16" t="n"/>
      <c r="AM285" s="16" t="n"/>
      <c r="AN285" s="16" t="n"/>
      <c r="AO285" s="16" t="n"/>
      <c r="AP285" s="16" t="n"/>
      <c r="AQ285" s="16" t="n"/>
      <c r="AR285" s="17" t="n"/>
      <c r="AS285" s="123" t="n"/>
    </row>
    <row r="286" hidden="1" outlineLevel="1">
      <c r="A286" s="8" t="n"/>
      <c r="B286" s="14" t="n"/>
      <c r="C286" s="123" t="n"/>
      <c r="D286" s="123" t="n"/>
      <c r="E286" s="123" t="n"/>
      <c r="F286" s="123" t="n"/>
      <c r="G286" s="123" t="n"/>
      <c r="I286" s="123" t="n"/>
      <c r="J286" s="123" t="n"/>
      <c r="K286" s="123" t="n"/>
      <c r="L286" s="123" t="n"/>
      <c r="M286" s="123" t="n"/>
      <c r="N286" s="123" t="n"/>
      <c r="O286" s="123" t="n"/>
      <c r="P286" s="123" t="n"/>
      <c r="Q286" s="123" t="n"/>
      <c r="R286" s="123" t="n"/>
      <c r="S286" s="123" t="n"/>
      <c r="T286" s="123" t="n"/>
      <c r="U286" s="123" t="n"/>
      <c r="V286" s="123" t="n"/>
      <c r="W286" s="123" t="n"/>
      <c r="X286" s="123" t="n"/>
      <c r="Y286" s="123" t="n"/>
      <c r="Z286" s="123" t="n"/>
      <c r="AB286" s="123" t="n"/>
      <c r="AC286" s="123" t="n"/>
      <c r="AD286" s="123" t="n"/>
      <c r="AE286" s="123" t="n"/>
      <c r="AF286" s="123" t="n"/>
      <c r="AG286" s="123" t="n"/>
      <c r="AH286" s="123" t="n"/>
      <c r="AI286" s="123" t="n"/>
      <c r="AJ286" s="123" t="n"/>
      <c r="AK286" s="123" t="n"/>
      <c r="AL286" s="123" t="n"/>
      <c r="AM286" s="123" t="n"/>
      <c r="AN286" s="123" t="n"/>
      <c r="AO286" s="123" t="n"/>
      <c r="AP286" s="123" t="n"/>
      <c r="AQ286" s="123" t="n"/>
      <c r="AR286" s="123" t="n"/>
      <c r="AS286" s="123" t="n"/>
    </row>
    <row r="287" hidden="1" outlineLevel="1">
      <c r="A287" s="8" t="n"/>
      <c r="B287" s="14" t="n"/>
      <c r="C287" s="123" t="n"/>
      <c r="D287" s="123" t="n"/>
      <c r="E287" s="123" t="n"/>
      <c r="F287" s="123" t="n"/>
      <c r="G287" s="123" t="n"/>
      <c r="I287" s="136"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23" t="n"/>
      <c r="AB287" s="136"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23" t="n"/>
    </row>
    <row r="288" hidden="1" outlineLevel="2">
      <c r="A288" s="8" t="n"/>
      <c r="B288" s="14" t="n"/>
      <c r="C288" s="123" t="n"/>
      <c r="D288" s="123" t="n"/>
      <c r="E288" s="123" t="n"/>
      <c r="F288" s="123" t="n"/>
      <c r="G288" s="123" t="n"/>
      <c r="I288" s="123" t="n"/>
      <c r="J288" s="123" t="n"/>
      <c r="K288" s="123" t="n"/>
      <c r="L288" s="123" t="n"/>
      <c r="M288" s="123" t="n"/>
      <c r="N288" s="123" t="n"/>
      <c r="O288" s="123" t="n"/>
      <c r="P288" s="123" t="n"/>
      <c r="Q288" s="123" t="n"/>
      <c r="R288" s="123" t="n"/>
      <c r="S288" s="123" t="n"/>
      <c r="T288" s="123" t="n"/>
      <c r="U288" s="123" t="n"/>
      <c r="V288" s="123" t="n"/>
      <c r="W288" s="123" t="n"/>
      <c r="X288" s="123" t="n"/>
      <c r="Y288" s="123" t="n"/>
      <c r="Z288" s="123" t="n"/>
      <c r="AB288" s="123" t="n"/>
      <c r="AC288" s="123" t="n"/>
      <c r="AD288" s="123" t="n"/>
      <c r="AE288" s="123" t="n"/>
      <c r="AF288" s="123" t="n"/>
      <c r="AG288" s="123" t="n"/>
      <c r="AH288" s="123" t="n"/>
      <c r="AI288" s="123" t="n"/>
      <c r="AJ288" s="123" t="n"/>
      <c r="AK288" s="123" t="n"/>
      <c r="AL288" s="123" t="n"/>
      <c r="AM288" s="123" t="n"/>
      <c r="AN288" s="123" t="n"/>
      <c r="AO288" s="123" t="n"/>
      <c r="AP288" s="123" t="n"/>
      <c r="AQ288" s="123" t="n"/>
      <c r="AR288" s="123" t="n"/>
      <c r="AS288" s="123" t="n"/>
    </row>
    <row r="289" hidden="1" outlineLevel="2">
      <c r="A289" s="8" t="n"/>
      <c r="B289" s="14" t="n"/>
      <c r="C289" s="123" t="n"/>
      <c r="D289" s="123" t="n"/>
      <c r="E289" s="123" t="n"/>
      <c r="F289" s="123" t="n"/>
      <c r="G289" s="123" t="n"/>
      <c r="I289" s="55">
        <f>DADOS_INVOC!$PX$18</f>
        <v/>
      </c>
      <c r="J289" s="16" t="n"/>
      <c r="K289" s="16" t="n"/>
      <c r="L289" s="16" t="n"/>
      <c r="M289" s="17" t="n"/>
      <c r="N289" s="123" t="n"/>
      <c r="O289" s="55">
        <f>DADOS_INVOC!$PX$19</f>
        <v/>
      </c>
      <c r="P289" s="16" t="n"/>
      <c r="Q289" s="16" t="n"/>
      <c r="R289" s="16" t="n"/>
      <c r="S289" s="17" t="n"/>
      <c r="T289" s="123" t="n"/>
      <c r="U289" s="55">
        <f>DADOS_INVOC!$PX$20</f>
        <v/>
      </c>
      <c r="V289" s="16" t="n"/>
      <c r="W289" s="16" t="n"/>
      <c r="X289" s="16" t="n"/>
      <c r="Y289" s="17" t="n"/>
      <c r="Z289" s="123" t="n"/>
      <c r="AB289" s="55">
        <f>DADOS_INVOC!$PX$96</f>
        <v/>
      </c>
      <c r="AC289" s="16" t="n"/>
      <c r="AD289" s="16" t="n"/>
      <c r="AE289" s="16" t="n"/>
      <c r="AF289" s="17" t="n"/>
      <c r="AG289" s="123" t="n"/>
      <c r="AH289" s="55">
        <f>DADOS_INVOC!$PX$97</f>
        <v/>
      </c>
      <c r="AI289" s="16" t="n"/>
      <c r="AJ289" s="16" t="n"/>
      <c r="AK289" s="16" t="n"/>
      <c r="AL289" s="17" t="n"/>
      <c r="AM289" s="123" t="n"/>
      <c r="AN289" s="55">
        <f>DADOS_INVOC!$PX$98</f>
        <v/>
      </c>
      <c r="AO289" s="16" t="n"/>
      <c r="AP289" s="16" t="n"/>
      <c r="AQ289" s="16" t="n"/>
      <c r="AR289" s="17" t="n"/>
      <c r="AS289" s="123" t="n"/>
    </row>
    <row r="290" hidden="1" outlineLevel="2">
      <c r="A290" s="8" t="n"/>
      <c r="B290" s="14" t="n"/>
      <c r="C290" s="123" t="n"/>
      <c r="D290" s="123" t="n"/>
      <c r="E290" s="123" t="n"/>
      <c r="F290" s="123" t="n"/>
      <c r="G290" s="123" t="n"/>
      <c r="I290" s="130" t="n">
        <v>0</v>
      </c>
      <c r="J290" s="118" t="n"/>
      <c r="K290" s="16" t="n"/>
      <c r="L290" s="17" t="n"/>
      <c r="M290" s="131">
        <f>DADOS_INVOC!$PV$18</f>
        <v/>
      </c>
      <c r="N290" s="123" t="n"/>
      <c r="O290" s="130" t="n">
        <v>1</v>
      </c>
      <c r="P290" s="118" t="n"/>
      <c r="Q290" s="16" t="n"/>
      <c r="R290" s="17" t="n"/>
      <c r="S290" s="131">
        <f>DADOS_INVOC!$PV$19</f>
        <v/>
      </c>
      <c r="T290" s="123" t="n"/>
      <c r="U290" s="130" t="n">
        <v>1</v>
      </c>
      <c r="V290" s="118" t="n"/>
      <c r="W290" s="16" t="n"/>
      <c r="X290" s="17" t="n"/>
      <c r="Y290" s="131">
        <f>DADOS_INVOC!$PV$20</f>
        <v/>
      </c>
      <c r="Z290" s="123" t="n"/>
      <c r="AB290" s="130" t="n">
        <v>0</v>
      </c>
      <c r="AC290" s="118" t="n"/>
      <c r="AD290" s="16" t="n"/>
      <c r="AE290" s="17" t="n"/>
      <c r="AF290" s="131">
        <f>DADOS_INVOC!$PV$96</f>
        <v/>
      </c>
      <c r="AG290" s="123" t="n"/>
      <c r="AH290" s="130" t="n">
        <v>1</v>
      </c>
      <c r="AI290" s="118" t="n"/>
      <c r="AJ290" s="16" t="n"/>
      <c r="AK290" s="17" t="n"/>
      <c r="AL290" s="131">
        <f>DADOS_INVOC!$PV$97</f>
        <v/>
      </c>
      <c r="AM290" s="123" t="n"/>
      <c r="AN290" s="130" t="n">
        <v>1</v>
      </c>
      <c r="AO290" s="118" t="n"/>
      <c r="AP290" s="16" t="n"/>
      <c r="AQ290" s="17" t="n"/>
      <c r="AR290" s="131">
        <f>DADOS_INVOC!$PV$98</f>
        <v/>
      </c>
      <c r="AS290" s="123" t="n"/>
    </row>
    <row r="291" hidden="1" outlineLevel="3">
      <c r="A291" s="8" t="n"/>
      <c r="B291" s="14" t="n"/>
      <c r="C291" s="123" t="n"/>
      <c r="D291" s="123" t="n"/>
      <c r="E291" s="123" t="n"/>
      <c r="F291" s="123" t="n"/>
      <c r="G291" s="123" t="n"/>
      <c r="I291" s="55" t="inlineStr">
        <is>
          <t>COMO É</t>
        </is>
      </c>
      <c r="J291" s="16" t="n"/>
      <c r="K291" s="16" t="n"/>
      <c r="L291" s="16" t="n"/>
      <c r="M291" s="17" t="n"/>
      <c r="N291" s="123" t="n"/>
      <c r="O291" s="55" t="inlineStr">
        <is>
          <t>COMO É</t>
        </is>
      </c>
      <c r="P291" s="16" t="n"/>
      <c r="Q291" s="16" t="n"/>
      <c r="R291" s="16" t="n"/>
      <c r="S291" s="17" t="n"/>
      <c r="T291" s="123" t="n"/>
      <c r="U291" s="55" t="inlineStr">
        <is>
          <t>COMO É</t>
        </is>
      </c>
      <c r="V291" s="16" t="n"/>
      <c r="W291" s="16" t="n"/>
      <c r="X291" s="16" t="n"/>
      <c r="Y291" s="17" t="n"/>
      <c r="Z291" s="123" t="n"/>
      <c r="AB291" s="55" t="inlineStr">
        <is>
          <t>COMO É</t>
        </is>
      </c>
      <c r="AC291" s="16" t="n"/>
      <c r="AD291" s="16" t="n"/>
      <c r="AE291" s="16" t="n"/>
      <c r="AF291" s="17" t="n"/>
      <c r="AG291" s="123" t="n"/>
      <c r="AH291" s="55" t="inlineStr">
        <is>
          <t>COMO É</t>
        </is>
      </c>
      <c r="AI291" s="16" t="n"/>
      <c r="AJ291" s="16" t="n"/>
      <c r="AK291" s="16" t="n"/>
      <c r="AL291" s="17" t="n"/>
      <c r="AM291" s="123" t="n"/>
      <c r="AN291" s="55" t="inlineStr">
        <is>
          <t>COMO É</t>
        </is>
      </c>
      <c r="AO291" s="16" t="n"/>
      <c r="AP291" s="16" t="n"/>
      <c r="AQ291" s="16" t="n"/>
      <c r="AR291" s="17" t="n"/>
      <c r="AS291" s="123" t="n"/>
    </row>
    <row r="292" hidden="1" outlineLevel="3">
      <c r="A292" s="8" t="n"/>
      <c r="B292" s="14" t="n"/>
      <c r="C292" s="123" t="n"/>
      <c r="D292" s="123" t="n"/>
      <c r="E292" s="123" t="n"/>
      <c r="F292" s="123" t="n"/>
      <c r="G292" s="123" t="n"/>
      <c r="I292" s="119" t="n"/>
      <c r="J292" s="19" t="n"/>
      <c r="K292" s="19" t="n"/>
      <c r="L292" s="19" t="n"/>
      <c r="M292" s="20" t="n"/>
      <c r="N292" s="123" t="n"/>
      <c r="O292" s="119" t="n"/>
      <c r="P292" s="19" t="n"/>
      <c r="Q292" s="19" t="n"/>
      <c r="R292" s="19" t="n"/>
      <c r="S292" s="20" t="n"/>
      <c r="T292" s="123" t="n"/>
      <c r="U292" s="119" t="n"/>
      <c r="V292" s="19" t="n"/>
      <c r="W292" s="19" t="n"/>
      <c r="X292" s="19" t="n"/>
      <c r="Y292" s="20" t="n"/>
      <c r="Z292" s="123" t="n"/>
      <c r="AB292" s="119" t="n"/>
      <c r="AC292" s="19" t="n"/>
      <c r="AD292" s="19" t="n"/>
      <c r="AE292" s="19" t="n"/>
      <c r="AF292" s="20" t="n"/>
      <c r="AG292" s="123" t="n"/>
      <c r="AH292" s="119" t="n"/>
      <c r="AI292" s="19" t="n"/>
      <c r="AJ292" s="19" t="n"/>
      <c r="AK292" s="19" t="n"/>
      <c r="AL292" s="20" t="n"/>
      <c r="AM292" s="123" t="n"/>
      <c r="AN292" s="119" t="n"/>
      <c r="AO292" s="19" t="n"/>
      <c r="AP292" s="19" t="n"/>
      <c r="AQ292" s="19" t="n"/>
      <c r="AR292" s="20" t="n"/>
      <c r="AS292" s="123" t="n"/>
    </row>
    <row r="293" hidden="1" outlineLevel="3">
      <c r="A293" s="8" t="n"/>
      <c r="B293" s="14" t="n"/>
      <c r="C293" s="123" t="n"/>
      <c r="D293" s="123" t="n"/>
      <c r="E293" s="123" t="n"/>
      <c r="F293" s="123" t="n"/>
      <c r="G293" s="123" t="n"/>
      <c r="I293" s="21" t="n"/>
      <c r="M293" s="22" t="n"/>
      <c r="N293" s="123" t="n"/>
      <c r="O293" s="21" t="n"/>
      <c r="S293" s="22" t="n"/>
      <c r="T293" s="123" t="n"/>
      <c r="U293" s="21" t="n"/>
      <c r="Y293" s="22" t="n"/>
      <c r="Z293" s="123" t="n"/>
      <c r="AB293" s="21" t="n"/>
      <c r="AF293" s="22" t="n"/>
      <c r="AG293" s="123" t="n"/>
      <c r="AH293" s="21" t="n"/>
      <c r="AL293" s="22" t="n"/>
      <c r="AM293" s="123" t="n"/>
      <c r="AN293" s="21" t="n"/>
      <c r="AR293" s="22" t="n"/>
      <c r="AS293" s="123" t="n"/>
    </row>
    <row r="294" hidden="1" outlineLevel="3">
      <c r="A294" s="8" t="n"/>
      <c r="B294" s="14" t="n"/>
      <c r="C294" s="123" t="n"/>
      <c r="D294" s="123" t="n"/>
      <c r="E294" s="123" t="n"/>
      <c r="F294" s="123" t="n"/>
      <c r="G294" s="123" t="n"/>
      <c r="I294" s="23" t="n"/>
      <c r="J294" s="24" t="n"/>
      <c r="K294" s="24" t="n"/>
      <c r="L294" s="24" t="n"/>
      <c r="M294" s="25" t="n"/>
      <c r="N294" s="123" t="n"/>
      <c r="O294" s="23" t="n"/>
      <c r="P294" s="24" t="n"/>
      <c r="Q294" s="24" t="n"/>
      <c r="R294" s="24" t="n"/>
      <c r="S294" s="25" t="n"/>
      <c r="T294" s="123" t="n"/>
      <c r="U294" s="23" t="n"/>
      <c r="V294" s="24" t="n"/>
      <c r="W294" s="24" t="n"/>
      <c r="X294" s="24" t="n"/>
      <c r="Y294" s="25" t="n"/>
      <c r="Z294" s="123" t="n"/>
      <c r="AB294" s="23" t="n"/>
      <c r="AC294" s="24" t="n"/>
      <c r="AD294" s="24" t="n"/>
      <c r="AE294" s="24" t="n"/>
      <c r="AF294" s="25" t="n"/>
      <c r="AG294" s="123" t="n"/>
      <c r="AH294" s="23" t="n"/>
      <c r="AI294" s="24" t="n"/>
      <c r="AJ294" s="24" t="n"/>
      <c r="AK294" s="24" t="n"/>
      <c r="AL294" s="25" t="n"/>
      <c r="AM294" s="123" t="n"/>
      <c r="AN294" s="23" t="n"/>
      <c r="AO294" s="24" t="n"/>
      <c r="AP294" s="24" t="n"/>
      <c r="AQ294" s="24" t="n"/>
      <c r="AR294" s="25" t="n"/>
      <c r="AS294" s="123" t="n"/>
    </row>
    <row r="295" hidden="1" outlineLevel="2">
      <c r="A295" s="8" t="n"/>
      <c r="B295" s="14" t="n"/>
      <c r="C295" s="123" t="n"/>
      <c r="D295" s="123" t="n"/>
      <c r="E295" s="123" t="n"/>
      <c r="F295" s="123" t="n"/>
      <c r="G295" s="123" t="n"/>
      <c r="I295" s="127" t="inlineStr">
        <is>
          <t>Projétil</t>
        </is>
      </c>
      <c r="J295" s="17" t="n"/>
      <c r="K295" s="68">
        <f>DADOS_INVOC!$QC$18</f>
        <v/>
      </c>
      <c r="L295" s="17" t="n"/>
      <c r="M295" s="68">
        <f>DADOS_INVOC!$PY$18</f>
        <v/>
      </c>
      <c r="N295" s="123" t="n"/>
      <c r="O295" s="127" t="inlineStr">
        <is>
          <t>Projétil</t>
        </is>
      </c>
      <c r="P295" s="17" t="n"/>
      <c r="Q295" s="68">
        <f>DADOS_INVOC!$QC$19</f>
        <v/>
      </c>
      <c r="R295" s="17" t="n"/>
      <c r="S295" s="68">
        <f>DADOS_INVOC!$PY$19</f>
        <v/>
      </c>
      <c r="T295" s="123" t="n"/>
      <c r="U295" s="127" t="inlineStr">
        <is>
          <t>Projétil</t>
        </is>
      </c>
      <c r="V295" s="17" t="n"/>
      <c r="W295" s="68">
        <f>DADOS_INVOC!$QC$20</f>
        <v/>
      </c>
      <c r="X295" s="17" t="n"/>
      <c r="Y295" s="68">
        <f>DADOS_INVOC!$PY$20</f>
        <v/>
      </c>
      <c r="Z295" s="123" t="n"/>
      <c r="AB295" s="127" t="inlineStr">
        <is>
          <t>Projétil</t>
        </is>
      </c>
      <c r="AC295" s="17" t="n"/>
      <c r="AD295" s="68">
        <f>DADOS_INVOC!$QC$96</f>
        <v/>
      </c>
      <c r="AE295" s="17" t="n"/>
      <c r="AF295" s="68">
        <f>DADOS_INVOC!$PY$96</f>
        <v/>
      </c>
      <c r="AG295" s="123" t="n"/>
      <c r="AH295" s="127" t="inlineStr">
        <is>
          <t>Projétil</t>
        </is>
      </c>
      <c r="AI295" s="17" t="n"/>
      <c r="AJ295" s="68">
        <f>DADOS_INVOC!$QC$97</f>
        <v/>
      </c>
      <c r="AK295" s="17" t="n"/>
      <c r="AL295" s="68">
        <f>DADOS_INVOC!$PY$97</f>
        <v/>
      </c>
      <c r="AM295" s="123" t="n"/>
      <c r="AN295" s="127" t="inlineStr">
        <is>
          <t>Projétil</t>
        </is>
      </c>
      <c r="AO295" s="17" t="n"/>
      <c r="AP295" s="68">
        <f>DADOS_INVOC!$QC$98</f>
        <v/>
      </c>
      <c r="AQ295" s="17" t="n"/>
      <c r="AR295" s="68">
        <f>DADOS_INVOC!$PY$98</f>
        <v/>
      </c>
      <c r="AS295" s="123" t="n"/>
    </row>
    <row r="296" hidden="1" outlineLevel="2">
      <c r="A296" s="8" t="n"/>
      <c r="B296" s="14" t="n"/>
      <c r="C296" s="123" t="n"/>
      <c r="D296" s="123" t="n"/>
      <c r="E296" s="123" t="n"/>
      <c r="F296" s="123" t="n"/>
      <c r="G296" s="123" t="n"/>
      <c r="I296" s="127" t="n"/>
      <c r="J296" s="17" t="n"/>
      <c r="K296" s="127" t="n"/>
      <c r="L296" s="16" t="n"/>
      <c r="M296" s="17" t="n"/>
      <c r="N296" s="123" t="n"/>
      <c r="O296" s="127" t="n"/>
      <c r="P296" s="17" t="n"/>
      <c r="Q296" s="127" t="n"/>
      <c r="R296" s="16" t="n"/>
      <c r="S296" s="17" t="n"/>
      <c r="T296" s="123" t="n"/>
      <c r="U296" s="127" t="n"/>
      <c r="V296" s="17" t="n"/>
      <c r="W296" s="127" t="n"/>
      <c r="X296" s="16" t="n"/>
      <c r="Y296" s="17" t="n"/>
      <c r="Z296" s="123" t="n"/>
      <c r="AB296" s="127" t="n"/>
      <c r="AC296" s="17" t="n"/>
      <c r="AD296" s="127" t="n"/>
      <c r="AE296" s="16" t="n"/>
      <c r="AF296" s="17" t="n"/>
      <c r="AG296" s="123" t="n"/>
      <c r="AH296" s="127" t="n"/>
      <c r="AI296" s="17" t="n"/>
      <c r="AJ296" s="127" t="n"/>
      <c r="AK296" s="16" t="n"/>
      <c r="AL296" s="17" t="n"/>
      <c r="AM296" s="123" t="n"/>
      <c r="AN296" s="127" t="n"/>
      <c r="AO296" s="17" t="n"/>
      <c r="AP296" s="127" t="n"/>
      <c r="AQ296" s="16" t="n"/>
      <c r="AR296" s="17" t="n"/>
      <c r="AS296" s="123" t="n"/>
    </row>
    <row r="297" hidden="1" outlineLevel="2">
      <c r="A297" s="8" t="n"/>
      <c r="B297" s="14" t="n"/>
      <c r="C297" s="123" t="n"/>
      <c r="D297" s="123" t="n"/>
      <c r="E297" s="123" t="n"/>
      <c r="F297" s="123" t="n"/>
      <c r="G297" s="123" t="n"/>
      <c r="I297" s="127">
        <f>DADOS_INVOC!$PZ$18</f>
        <v/>
      </c>
      <c r="J297" s="17" t="n"/>
      <c r="K297" s="127">
        <f>DADOS_INVOC!$QB$18</f>
        <v/>
      </c>
      <c r="L297" s="16" t="n"/>
      <c r="M297" s="17" t="n"/>
      <c r="N297" s="123" t="n"/>
      <c r="O297" s="127">
        <f>DADOS_INVOC!$PZ$19</f>
        <v/>
      </c>
      <c r="P297" s="17" t="n"/>
      <c r="Q297" s="127">
        <f>DADOS_INVOC!$QB$19</f>
        <v/>
      </c>
      <c r="R297" s="16" t="n"/>
      <c r="S297" s="17" t="n"/>
      <c r="T297" s="123" t="n"/>
      <c r="U297" s="127">
        <f>DADOS_INVOC!$PZ$20</f>
        <v/>
      </c>
      <c r="V297" s="17" t="n"/>
      <c r="W297" s="127">
        <f>DADOS_INVOC!$QB$20</f>
        <v/>
      </c>
      <c r="X297" s="16" t="n"/>
      <c r="Y297" s="17" t="n"/>
      <c r="Z297" s="123" t="n"/>
      <c r="AB297" s="127">
        <f>DADOS_INVOC!$PZ$96</f>
        <v/>
      </c>
      <c r="AC297" s="17" t="n"/>
      <c r="AD297" s="127">
        <f>DADOS_INVOC!$QB$96</f>
        <v/>
      </c>
      <c r="AE297" s="16" t="n"/>
      <c r="AF297" s="17" t="n"/>
      <c r="AG297" s="123" t="n"/>
      <c r="AH297" s="127">
        <f>DADOS_INVOC!$PZ$97</f>
        <v/>
      </c>
      <c r="AI297" s="17" t="n"/>
      <c r="AJ297" s="127">
        <f>DADOS_INVOC!$QB$97</f>
        <v/>
      </c>
      <c r="AK297" s="16" t="n"/>
      <c r="AL297" s="17" t="n"/>
      <c r="AM297" s="123" t="n"/>
      <c r="AN297" s="127">
        <f>DADOS_INVOC!$PZ$98</f>
        <v/>
      </c>
      <c r="AO297" s="17" t="n"/>
      <c r="AP297" s="127">
        <f>DADOS_INVOC!$QB$98</f>
        <v/>
      </c>
      <c r="AQ297" s="16" t="n"/>
      <c r="AR297" s="17" t="n"/>
      <c r="AS297" s="123" t="n"/>
    </row>
    <row r="298" hidden="1" outlineLevel="2">
      <c r="A298" s="8" t="n"/>
      <c r="B298" s="14" t="n"/>
      <c r="C298" s="123" t="n"/>
      <c r="D298" s="123" t="n"/>
      <c r="E298" s="123" t="n"/>
      <c r="F298" s="123" t="n"/>
      <c r="G298" s="123" t="n"/>
      <c r="I298" s="132">
        <f>DADOS_INVOC!$QH$18</f>
        <v/>
      </c>
      <c r="J298" s="16" t="n"/>
      <c r="K298" s="16" t="n"/>
      <c r="L298" s="16" t="n"/>
      <c r="M298" s="17" t="n"/>
      <c r="N298" s="123" t="n"/>
      <c r="O298" s="132">
        <f>DADOS_INVOC!$QH$19</f>
        <v/>
      </c>
      <c r="P298" s="16" t="n"/>
      <c r="Q298" s="16" t="n"/>
      <c r="R298" s="16" t="n"/>
      <c r="S298" s="17" t="n"/>
      <c r="T298" s="123" t="n"/>
      <c r="U298" s="132">
        <f>DADOS_INVOC!$QH$20</f>
        <v/>
      </c>
      <c r="V298" s="16" t="n"/>
      <c r="W298" s="16" t="n"/>
      <c r="X298" s="16" t="n"/>
      <c r="Y298" s="17" t="n"/>
      <c r="Z298" s="123" t="n"/>
      <c r="AB298" s="132">
        <f>DADOS_INVOC!$QH$96</f>
        <v/>
      </c>
      <c r="AC298" s="16" t="n"/>
      <c r="AD298" s="16" t="n"/>
      <c r="AE298" s="16" t="n"/>
      <c r="AF298" s="17" t="n"/>
      <c r="AG298" s="123" t="n"/>
      <c r="AH298" s="132">
        <f>DADOS_INVOC!$QH$97</f>
        <v/>
      </c>
      <c r="AI298" s="16" t="n"/>
      <c r="AJ298" s="16" t="n"/>
      <c r="AK298" s="16" t="n"/>
      <c r="AL298" s="17" t="n"/>
      <c r="AM298" s="123" t="n"/>
      <c r="AN298" s="132">
        <f>DADOS_INVOC!$QH$98</f>
        <v/>
      </c>
      <c r="AO298" s="16" t="n"/>
      <c r="AP298" s="16" t="n"/>
      <c r="AQ298" s="16" t="n"/>
      <c r="AR298" s="17" t="n"/>
      <c r="AS298" s="123" t="n"/>
    </row>
    <row r="299" hidden="1" outlineLevel="3">
      <c r="A299" s="8" t="n"/>
      <c r="B299" s="14" t="n"/>
      <c r="C299" s="123" t="n"/>
      <c r="D299" s="123" t="n"/>
      <c r="E299" s="123" t="n"/>
      <c r="F299" s="123" t="n"/>
      <c r="G299" s="123" t="n"/>
      <c r="I299" s="55" t="inlineStr">
        <is>
          <t>MELHORIAS</t>
        </is>
      </c>
      <c r="J299" s="133" t="n"/>
      <c r="K299" s="16" t="n"/>
      <c r="L299" s="17" t="n"/>
      <c r="M299" s="132">
        <f>DADOS_INVOC!$QK$18</f>
        <v/>
      </c>
      <c r="N299" s="123" t="n"/>
      <c r="O299" s="55" t="inlineStr">
        <is>
          <t>MELHORIAS</t>
        </is>
      </c>
      <c r="P299" s="133" t="n"/>
      <c r="Q299" s="16" t="n"/>
      <c r="R299" s="17" t="n"/>
      <c r="S299" s="132">
        <f>DADOS_INVOC!$QK$19</f>
        <v/>
      </c>
      <c r="T299" s="123" t="n"/>
      <c r="U299" s="55" t="inlineStr">
        <is>
          <t>MELHORIAS</t>
        </is>
      </c>
      <c r="V299" s="133" t="n"/>
      <c r="W299" s="16" t="n"/>
      <c r="X299" s="17" t="n"/>
      <c r="Y299" s="132">
        <f>DADOS_INVOC!$QK$20</f>
        <v/>
      </c>
      <c r="Z299" s="123" t="n"/>
      <c r="AB299" s="55" t="inlineStr">
        <is>
          <t>MELHORIAS</t>
        </is>
      </c>
      <c r="AC299" s="133" t="n"/>
      <c r="AD299" s="16" t="n"/>
      <c r="AE299" s="17" t="n"/>
      <c r="AF299" s="132">
        <f>DADOS_INVOC!$QK$96</f>
        <v/>
      </c>
      <c r="AG299" s="123" t="n"/>
      <c r="AH299" s="55" t="inlineStr">
        <is>
          <t>MELHORIAS</t>
        </is>
      </c>
      <c r="AI299" s="133" t="n"/>
      <c r="AJ299" s="16" t="n"/>
      <c r="AK299" s="17" t="n"/>
      <c r="AL299" s="132">
        <f>DADOS_INVOC!$QK$97</f>
        <v/>
      </c>
      <c r="AM299" s="123" t="n"/>
      <c r="AN299" s="55" t="inlineStr">
        <is>
          <t>MELHORIAS</t>
        </is>
      </c>
      <c r="AO299" s="133" t="n"/>
      <c r="AP299" s="16" t="n"/>
      <c r="AQ299" s="17" t="n"/>
      <c r="AR299" s="132">
        <f>DADOS_INVOC!$QK$98</f>
        <v/>
      </c>
      <c r="AS299" s="123" t="n"/>
    </row>
    <row r="300" hidden="1" outlineLevel="3">
      <c r="A300" s="8" t="n"/>
      <c r="B300" s="14" t="n"/>
      <c r="C300" s="123" t="n"/>
      <c r="D300" s="123" t="n"/>
      <c r="E300" s="123" t="n"/>
      <c r="F300" s="123" t="n"/>
      <c r="G300" s="123" t="n"/>
      <c r="I300" s="134" t="n"/>
      <c r="J300" s="133" t="n"/>
      <c r="K300" s="16" t="n"/>
      <c r="L300" s="17" t="n"/>
      <c r="M300" s="132">
        <f>DADOS_INVOC!$QL$18</f>
        <v/>
      </c>
      <c r="N300" s="123" t="n"/>
      <c r="O300" s="134" t="n"/>
      <c r="P300" s="133" t="n"/>
      <c r="Q300" s="16" t="n"/>
      <c r="R300" s="17" t="n"/>
      <c r="S300" s="132">
        <f>DADOS_INVOC!$QL$19</f>
        <v/>
      </c>
      <c r="T300" s="123" t="n"/>
      <c r="U300" s="134" t="n"/>
      <c r="V300" s="133" t="n"/>
      <c r="W300" s="16" t="n"/>
      <c r="X300" s="17" t="n"/>
      <c r="Y300" s="132">
        <f>DADOS_INVOC!$QL$20</f>
        <v/>
      </c>
      <c r="Z300" s="123" t="n"/>
      <c r="AB300" s="134" t="n"/>
      <c r="AC300" s="133" t="n"/>
      <c r="AD300" s="16" t="n"/>
      <c r="AE300" s="17" t="n"/>
      <c r="AF300" s="132">
        <f>DADOS_INVOC!$QL$96</f>
        <v/>
      </c>
      <c r="AG300" s="123" t="n"/>
      <c r="AH300" s="134" t="n"/>
      <c r="AI300" s="133" t="n"/>
      <c r="AJ300" s="16" t="n"/>
      <c r="AK300" s="17" t="n"/>
      <c r="AL300" s="132">
        <f>DADOS_INVOC!$QL$97</f>
        <v/>
      </c>
      <c r="AM300" s="123" t="n"/>
      <c r="AN300" s="134" t="n"/>
      <c r="AO300" s="133" t="n"/>
      <c r="AP300" s="16" t="n"/>
      <c r="AQ300" s="17" t="n"/>
      <c r="AR300" s="132">
        <f>DADOS_INVOC!$QL$98</f>
        <v/>
      </c>
      <c r="AS300" s="123" t="n"/>
    </row>
    <row r="301" hidden="1" outlineLevel="3">
      <c r="A301" s="8" t="n"/>
      <c r="B301" s="14" t="n"/>
      <c r="C301" s="123" t="n"/>
      <c r="D301" s="123" t="n"/>
      <c r="E301" s="123" t="n"/>
      <c r="F301" s="123" t="n"/>
      <c r="G301" s="123" t="n"/>
      <c r="I301" s="134" t="n"/>
      <c r="J301" s="133" t="n"/>
      <c r="K301" s="16" t="n"/>
      <c r="L301" s="17" t="n"/>
      <c r="M301" s="132">
        <f>DADOS_INVOC!$QM$18</f>
        <v/>
      </c>
      <c r="N301" s="123" t="n"/>
      <c r="O301" s="134" t="n"/>
      <c r="P301" s="133" t="n"/>
      <c r="Q301" s="16" t="n"/>
      <c r="R301" s="17" t="n"/>
      <c r="S301" s="132">
        <f>DADOS_INVOC!$QM$19</f>
        <v/>
      </c>
      <c r="T301" s="123" t="n"/>
      <c r="U301" s="134" t="n"/>
      <c r="V301" s="133" t="n"/>
      <c r="W301" s="16" t="n"/>
      <c r="X301" s="17" t="n"/>
      <c r="Y301" s="132">
        <f>DADOS_INVOC!$QM$20</f>
        <v/>
      </c>
      <c r="Z301" s="123" t="n"/>
      <c r="AB301" s="134" t="n"/>
      <c r="AC301" s="133" t="n"/>
      <c r="AD301" s="16" t="n"/>
      <c r="AE301" s="17" t="n"/>
      <c r="AF301" s="132">
        <f>DADOS_INVOC!$QM$96</f>
        <v/>
      </c>
      <c r="AG301" s="123" t="n"/>
      <c r="AH301" s="134" t="n"/>
      <c r="AI301" s="133" t="n"/>
      <c r="AJ301" s="16" t="n"/>
      <c r="AK301" s="17" t="n"/>
      <c r="AL301" s="132">
        <f>DADOS_INVOC!$QM$97</f>
        <v/>
      </c>
      <c r="AM301" s="123" t="n"/>
      <c r="AN301" s="134" t="n"/>
      <c r="AO301" s="133" t="n"/>
      <c r="AP301" s="16" t="n"/>
      <c r="AQ301" s="17" t="n"/>
      <c r="AR301" s="132">
        <f>DADOS_INVOC!$QM$98</f>
        <v/>
      </c>
      <c r="AS301" s="123" t="n"/>
    </row>
    <row r="302" hidden="1" outlineLevel="3">
      <c r="A302" s="8" t="n"/>
      <c r="B302" s="14" t="n"/>
      <c r="C302" s="123" t="n"/>
      <c r="D302" s="123" t="n"/>
      <c r="E302" s="123" t="n"/>
      <c r="F302" s="123" t="n"/>
      <c r="G302" s="123" t="n"/>
      <c r="I302" s="128" t="n"/>
      <c r="J302" s="133" t="n"/>
      <c r="K302" s="16" t="n"/>
      <c r="L302" s="17" t="n"/>
      <c r="M302" s="132">
        <f>DADOS_INVOC!$QN$18</f>
        <v/>
      </c>
      <c r="N302" s="123" t="n"/>
      <c r="O302" s="128" t="n"/>
      <c r="P302" s="133" t="n"/>
      <c r="Q302" s="16" t="n"/>
      <c r="R302" s="17" t="n"/>
      <c r="S302" s="132">
        <f>DADOS_INVOC!$QN$19</f>
        <v/>
      </c>
      <c r="T302" s="123" t="n"/>
      <c r="U302" s="128" t="n"/>
      <c r="V302" s="133" t="n"/>
      <c r="W302" s="16" t="n"/>
      <c r="X302" s="17" t="n"/>
      <c r="Y302" s="132">
        <f>DADOS_INVOC!$QN$20</f>
        <v/>
      </c>
      <c r="Z302" s="123" t="n"/>
      <c r="AB302" s="128" t="n"/>
      <c r="AC302" s="133" t="n"/>
      <c r="AD302" s="16" t="n"/>
      <c r="AE302" s="17" t="n"/>
      <c r="AF302" s="132">
        <f>DADOS_INVOC!$QN$96</f>
        <v/>
      </c>
      <c r="AG302" s="123" t="n"/>
      <c r="AH302" s="128" t="n"/>
      <c r="AI302" s="133" t="n"/>
      <c r="AJ302" s="16" t="n"/>
      <c r="AK302" s="17" t="n"/>
      <c r="AL302" s="132">
        <f>DADOS_INVOC!$QN$97</f>
        <v/>
      </c>
      <c r="AM302" s="123" t="n"/>
      <c r="AN302" s="128" t="n"/>
      <c r="AO302" s="133" t="n"/>
      <c r="AP302" s="16" t="n"/>
      <c r="AQ302" s="17" t="n"/>
      <c r="AR302" s="132">
        <f>DADOS_INVOC!$QN$98</f>
        <v/>
      </c>
      <c r="AS302" s="123" t="n"/>
    </row>
    <row r="303" hidden="1" outlineLevel="3">
      <c r="A303" s="8" t="n"/>
      <c r="B303" s="14" t="n"/>
      <c r="C303" s="123" t="n"/>
      <c r="D303" s="123" t="n"/>
      <c r="E303" s="123" t="n"/>
      <c r="F303" s="123" t="n"/>
      <c r="G303" s="123" t="n"/>
      <c r="I303" s="55" t="inlineStr">
        <is>
          <t>RESTRIÇÕES</t>
        </is>
      </c>
      <c r="J303" s="133" t="n"/>
      <c r="K303" s="16" t="n"/>
      <c r="L303" s="17" t="n"/>
      <c r="M303" s="132">
        <f>DADOS_INVOC!$QO$18</f>
        <v/>
      </c>
      <c r="N303" s="123" t="n"/>
      <c r="O303" s="55" t="inlineStr">
        <is>
          <t>RESTRIÇÕES</t>
        </is>
      </c>
      <c r="P303" s="133" t="n"/>
      <c r="Q303" s="16" t="n"/>
      <c r="R303" s="17" t="n"/>
      <c r="S303" s="132">
        <f>DADOS_INVOC!$QO$19</f>
        <v/>
      </c>
      <c r="T303" s="123" t="n"/>
      <c r="U303" s="55" t="inlineStr">
        <is>
          <t>RESTRIÇÕES</t>
        </is>
      </c>
      <c r="V303" s="133" t="n"/>
      <c r="W303" s="16" t="n"/>
      <c r="X303" s="17" t="n"/>
      <c r="Y303" s="132">
        <f>DADOS_INVOC!$QO$20</f>
        <v/>
      </c>
      <c r="Z303" s="123" t="n"/>
      <c r="AB303" s="55" t="inlineStr">
        <is>
          <t>RESTRIÇÕES</t>
        </is>
      </c>
      <c r="AC303" s="133" t="n"/>
      <c r="AD303" s="16" t="n"/>
      <c r="AE303" s="17" t="n"/>
      <c r="AF303" s="132">
        <f>DADOS_INVOC!$QO$96</f>
        <v/>
      </c>
      <c r="AG303" s="123" t="n"/>
      <c r="AH303" s="55" t="inlineStr">
        <is>
          <t>RESTRIÇÕES</t>
        </is>
      </c>
      <c r="AI303" s="133" t="n"/>
      <c r="AJ303" s="16" t="n"/>
      <c r="AK303" s="17" t="n"/>
      <c r="AL303" s="132">
        <f>DADOS_INVOC!$QO$97</f>
        <v/>
      </c>
      <c r="AM303" s="123" t="n"/>
      <c r="AN303" s="55" t="inlineStr">
        <is>
          <t>RESTRIÇÕES</t>
        </is>
      </c>
      <c r="AO303" s="133" t="n"/>
      <c r="AP303" s="16" t="n"/>
      <c r="AQ303" s="17" t="n"/>
      <c r="AR303" s="132">
        <f>DADOS_INVOC!$QO$98</f>
        <v/>
      </c>
      <c r="AS303" s="123" t="n"/>
    </row>
    <row r="304" hidden="1" outlineLevel="3">
      <c r="A304" s="8" t="n"/>
      <c r="B304" s="14" t="n"/>
      <c r="C304" s="123" t="n"/>
      <c r="D304" s="123" t="n"/>
      <c r="E304" s="123" t="n"/>
      <c r="F304" s="123" t="n"/>
      <c r="G304" s="123" t="n"/>
      <c r="I304" s="128" t="n"/>
      <c r="J304" s="133" t="n"/>
      <c r="K304" s="16" t="n"/>
      <c r="L304" s="17" t="n"/>
      <c r="M304" s="132">
        <f>DADOS_INVOC!$QP$18</f>
        <v/>
      </c>
      <c r="N304" s="123" t="n"/>
      <c r="O304" s="128" t="n"/>
      <c r="P304" s="133" t="n"/>
      <c r="Q304" s="16" t="n"/>
      <c r="R304" s="17" t="n"/>
      <c r="S304" s="132">
        <f>DADOS_INVOC!$QP$19</f>
        <v/>
      </c>
      <c r="T304" s="123" t="n"/>
      <c r="U304" s="128" t="n"/>
      <c r="V304" s="133" t="n"/>
      <c r="W304" s="16" t="n"/>
      <c r="X304" s="17" t="n"/>
      <c r="Y304" s="132">
        <f>DADOS_INVOC!$QP$20</f>
        <v/>
      </c>
      <c r="Z304" s="123" t="n"/>
      <c r="AB304" s="128" t="n"/>
      <c r="AC304" s="133" t="n"/>
      <c r="AD304" s="16" t="n"/>
      <c r="AE304" s="17" t="n"/>
      <c r="AF304" s="132">
        <f>DADOS_INVOC!$QP$96</f>
        <v/>
      </c>
      <c r="AG304" s="123" t="n"/>
      <c r="AH304" s="128" t="n"/>
      <c r="AI304" s="133" t="n"/>
      <c r="AJ304" s="16" t="n"/>
      <c r="AK304" s="17" t="n"/>
      <c r="AL304" s="132">
        <f>DADOS_INVOC!$QP$97</f>
        <v/>
      </c>
      <c r="AM304" s="123" t="n"/>
      <c r="AN304" s="128" t="n"/>
      <c r="AO304" s="133" t="n"/>
      <c r="AP304" s="16" t="n"/>
      <c r="AQ304" s="17" t="n"/>
      <c r="AR304" s="132">
        <f>DADOS_INVOC!$QP$98</f>
        <v/>
      </c>
      <c r="AS304" s="123" t="n"/>
    </row>
    <row r="305" hidden="1" outlineLevel="3">
      <c r="A305" s="8" t="n"/>
      <c r="B305" s="14" t="n"/>
      <c r="C305" s="123" t="n"/>
      <c r="D305" s="123" t="n"/>
      <c r="E305" s="123" t="n"/>
      <c r="F305" s="123" t="n"/>
      <c r="G305" s="123" t="n"/>
      <c r="I305" s="55" t="inlineStr">
        <is>
          <t>CONTA</t>
        </is>
      </c>
      <c r="J305" s="135">
        <f>DADOS_INVOC!$QI$18</f>
        <v/>
      </c>
      <c r="K305" s="16" t="n"/>
      <c r="L305" s="16" t="n"/>
      <c r="M305" s="17" t="n"/>
      <c r="N305" s="123" t="n"/>
      <c r="O305" s="55" t="inlineStr">
        <is>
          <t>CONTA</t>
        </is>
      </c>
      <c r="P305" s="135">
        <f>DADOS_INVOC!$QI$19</f>
        <v/>
      </c>
      <c r="Q305" s="16" t="n"/>
      <c r="R305" s="16" t="n"/>
      <c r="S305" s="17" t="n"/>
      <c r="T305" s="123" t="n"/>
      <c r="U305" s="55" t="inlineStr">
        <is>
          <t>CONTA</t>
        </is>
      </c>
      <c r="V305" s="135">
        <f>DADOS_INVOC!$QI$20</f>
        <v/>
      </c>
      <c r="W305" s="16" t="n"/>
      <c r="X305" s="16" t="n"/>
      <c r="Y305" s="17" t="n"/>
      <c r="Z305" s="123" t="n"/>
      <c r="AB305" s="55" t="inlineStr">
        <is>
          <t>CONTA</t>
        </is>
      </c>
      <c r="AC305" s="135">
        <f>DADOS_INVOC!$QI$96</f>
        <v/>
      </c>
      <c r="AD305" s="16" t="n"/>
      <c r="AE305" s="16" t="n"/>
      <c r="AF305" s="17" t="n"/>
      <c r="AG305" s="123" t="n"/>
      <c r="AH305" s="55" t="inlineStr">
        <is>
          <t>CONTA</t>
        </is>
      </c>
      <c r="AI305" s="135">
        <f>DADOS_INVOC!$QI$97</f>
        <v/>
      </c>
      <c r="AJ305" s="16" t="n"/>
      <c r="AK305" s="16" t="n"/>
      <c r="AL305" s="17" t="n"/>
      <c r="AM305" s="123" t="n"/>
      <c r="AN305" s="55" t="inlineStr">
        <is>
          <t>CONTA</t>
        </is>
      </c>
      <c r="AO305" s="135">
        <f>DADOS_INVOC!$QI$98</f>
        <v/>
      </c>
      <c r="AP305" s="16" t="n"/>
      <c r="AQ305" s="16" t="n"/>
      <c r="AR305" s="17" t="n"/>
      <c r="AS305" s="123" t="n"/>
    </row>
    <row r="306" hidden="1" outlineLevel="3">
      <c r="A306" s="8" t="n"/>
      <c r="B306" s="14" t="n"/>
      <c r="C306" s="123" t="n"/>
      <c r="D306" s="123" t="n"/>
      <c r="E306" s="123" t="n"/>
      <c r="F306" s="123" t="n"/>
      <c r="G306" s="123" t="n"/>
      <c r="I306" s="55" t="inlineStr">
        <is>
          <t>AMPLIAR</t>
        </is>
      </c>
      <c r="J306" s="135">
        <f>DADOS_INVOC!$QJ$18</f>
        <v/>
      </c>
      <c r="K306" s="19" t="n"/>
      <c r="L306" s="19" t="n"/>
      <c r="M306" s="20" t="n"/>
      <c r="N306" s="123" t="n"/>
      <c r="O306" s="55" t="inlineStr">
        <is>
          <t>AMPLIAR</t>
        </is>
      </c>
      <c r="P306" s="135">
        <f>DADOS_INVOC!$QJ$19</f>
        <v/>
      </c>
      <c r="Q306" s="19" t="n"/>
      <c r="R306" s="19" t="n"/>
      <c r="S306" s="20" t="n"/>
      <c r="T306" s="123" t="n"/>
      <c r="U306" s="55" t="inlineStr">
        <is>
          <t>AMPLIAR</t>
        </is>
      </c>
      <c r="V306" s="135">
        <f>DADOS_INVOC!$QJ$20</f>
        <v/>
      </c>
      <c r="W306" s="19" t="n"/>
      <c r="X306" s="19" t="n"/>
      <c r="Y306" s="20" t="n"/>
      <c r="Z306" s="123" t="n"/>
      <c r="AB306" s="55" t="inlineStr">
        <is>
          <t>AMPLIAR</t>
        </is>
      </c>
      <c r="AC306" s="135">
        <f>DADOS_INVOC!$QJ$96</f>
        <v/>
      </c>
      <c r="AD306" s="19" t="n"/>
      <c r="AE306" s="19" t="n"/>
      <c r="AF306" s="20" t="n"/>
      <c r="AG306" s="123" t="n"/>
      <c r="AH306" s="55" t="inlineStr">
        <is>
          <t>AMPLIAR</t>
        </is>
      </c>
      <c r="AI306" s="135">
        <f>DADOS_INVOC!$QJ$97</f>
        <v/>
      </c>
      <c r="AJ306" s="19" t="n"/>
      <c r="AK306" s="19" t="n"/>
      <c r="AL306" s="20" t="n"/>
      <c r="AM306" s="123" t="n"/>
      <c r="AN306" s="55" t="inlineStr">
        <is>
          <t>AMPLIAR</t>
        </is>
      </c>
      <c r="AO306" s="135">
        <f>DADOS_INVOC!$QJ$98</f>
        <v/>
      </c>
      <c r="AP306" s="19" t="n"/>
      <c r="AQ306" s="19" t="n"/>
      <c r="AR306" s="20" t="n"/>
      <c r="AS306" s="123" t="n"/>
    </row>
    <row r="307" hidden="1" outlineLevel="3">
      <c r="A307" s="8" t="n"/>
      <c r="B307" s="14" t="n"/>
      <c r="C307" s="123" t="n"/>
      <c r="D307" s="123" t="n"/>
      <c r="E307" s="123" t="n"/>
      <c r="F307" s="123" t="n"/>
      <c r="G307" s="123" t="n"/>
      <c r="I307" s="128" t="n"/>
      <c r="J307" s="23" t="n"/>
      <c r="K307" s="24" t="n"/>
      <c r="L307" s="24" t="n"/>
      <c r="M307" s="25" t="n"/>
      <c r="N307" s="123" t="n"/>
      <c r="O307" s="128" t="n"/>
      <c r="P307" s="23" t="n"/>
      <c r="Q307" s="24" t="n"/>
      <c r="R307" s="24" t="n"/>
      <c r="S307" s="25" t="n"/>
      <c r="T307" s="123" t="n"/>
      <c r="U307" s="128" t="n"/>
      <c r="V307" s="23" t="n"/>
      <c r="W307" s="24" t="n"/>
      <c r="X307" s="24" t="n"/>
      <c r="Y307" s="25" t="n"/>
      <c r="Z307" s="123" t="n"/>
      <c r="AB307" s="128" t="n"/>
      <c r="AC307" s="23" t="n"/>
      <c r="AD307" s="24" t="n"/>
      <c r="AE307" s="24" t="n"/>
      <c r="AF307" s="25" t="n"/>
      <c r="AG307" s="123" t="n"/>
      <c r="AH307" s="128" t="n"/>
      <c r="AI307" s="23" t="n"/>
      <c r="AJ307" s="24" t="n"/>
      <c r="AK307" s="24" t="n"/>
      <c r="AL307" s="25" t="n"/>
      <c r="AM307" s="123" t="n"/>
      <c r="AN307" s="128" t="n"/>
      <c r="AO307" s="23" t="n"/>
      <c r="AP307" s="24" t="n"/>
      <c r="AQ307" s="24" t="n"/>
      <c r="AR307" s="25" t="n"/>
      <c r="AS307" s="123" t="n"/>
    </row>
    <row r="308" hidden="1" outlineLevel="3">
      <c r="A308" s="8" t="n"/>
      <c r="B308" s="14" t="n"/>
      <c r="C308" s="123" t="n"/>
      <c r="D308" s="123" t="n"/>
      <c r="E308" s="123" t="n"/>
      <c r="F308" s="123" t="n"/>
      <c r="G308" s="123" t="n"/>
      <c r="I308" s="135">
        <f>DADOS_INVOC!$PW$18</f>
        <v/>
      </c>
      <c r="J308" s="19" t="n"/>
      <c r="K308" s="19" t="n"/>
      <c r="L308" s="19" t="n"/>
      <c r="M308" s="20" t="n"/>
      <c r="N308" s="123" t="n"/>
      <c r="O308" s="135">
        <f>DADOS_INVOC!$PW$19</f>
        <v/>
      </c>
      <c r="P308" s="19" t="n"/>
      <c r="Q308" s="19" t="n"/>
      <c r="R308" s="19" t="n"/>
      <c r="S308" s="20" t="n"/>
      <c r="T308" s="123" t="n"/>
      <c r="U308" s="135">
        <f>DADOS_INVOC!$PW$20</f>
        <v/>
      </c>
      <c r="V308" s="19" t="n"/>
      <c r="W308" s="19" t="n"/>
      <c r="X308" s="19" t="n"/>
      <c r="Y308" s="20" t="n"/>
      <c r="Z308" s="123" t="n"/>
      <c r="AB308" s="135">
        <f>DADOS_INVOC!$PW$96</f>
        <v/>
      </c>
      <c r="AC308" s="19" t="n"/>
      <c r="AD308" s="19" t="n"/>
      <c r="AE308" s="19" t="n"/>
      <c r="AF308" s="20" t="n"/>
      <c r="AG308" s="123" t="n"/>
      <c r="AH308" s="135">
        <f>DADOS_INVOC!$PW$97</f>
        <v/>
      </c>
      <c r="AI308" s="19" t="n"/>
      <c r="AJ308" s="19" t="n"/>
      <c r="AK308" s="19" t="n"/>
      <c r="AL308" s="20" t="n"/>
      <c r="AM308" s="123" t="n"/>
      <c r="AN308" s="135">
        <f>DADOS_INVOC!$PW$98</f>
        <v/>
      </c>
      <c r="AO308" s="19" t="n"/>
      <c r="AP308" s="19" t="n"/>
      <c r="AQ308" s="19" t="n"/>
      <c r="AR308" s="20" t="n"/>
      <c r="AS308" s="123" t="n"/>
    </row>
    <row r="309" hidden="1" outlineLevel="3">
      <c r="A309" s="8" t="n"/>
      <c r="B309" s="14" t="n"/>
      <c r="C309" s="123" t="n"/>
      <c r="D309" s="123" t="n"/>
      <c r="E309" s="123" t="n"/>
      <c r="F309" s="123" t="n"/>
      <c r="G309" s="123" t="n"/>
      <c r="I309" s="23" t="n"/>
      <c r="J309" s="24" t="n"/>
      <c r="K309" s="24" t="n"/>
      <c r="L309" s="24" t="n"/>
      <c r="M309" s="25" t="n"/>
      <c r="N309" s="123" t="n"/>
      <c r="O309" s="23" t="n"/>
      <c r="P309" s="24" t="n"/>
      <c r="Q309" s="24" t="n"/>
      <c r="R309" s="24" t="n"/>
      <c r="S309" s="25" t="n"/>
      <c r="T309" s="123" t="n"/>
      <c r="U309" s="23" t="n"/>
      <c r="V309" s="24" t="n"/>
      <c r="W309" s="24" t="n"/>
      <c r="X309" s="24" t="n"/>
      <c r="Y309" s="25" t="n"/>
      <c r="Z309" s="123" t="n"/>
      <c r="AB309" s="23" t="n"/>
      <c r="AC309" s="24" t="n"/>
      <c r="AD309" s="24" t="n"/>
      <c r="AE309" s="24" t="n"/>
      <c r="AF309" s="25" t="n"/>
      <c r="AG309" s="123" t="n"/>
      <c r="AH309" s="23" t="n"/>
      <c r="AI309" s="24" t="n"/>
      <c r="AJ309" s="24" t="n"/>
      <c r="AK309" s="24" t="n"/>
      <c r="AL309" s="25" t="n"/>
      <c r="AM309" s="123" t="n"/>
      <c r="AN309" s="23" t="n"/>
      <c r="AO309" s="24" t="n"/>
      <c r="AP309" s="24" t="n"/>
      <c r="AQ309" s="24" t="n"/>
      <c r="AR309" s="25" t="n"/>
      <c r="AS309" s="123" t="n"/>
    </row>
    <row r="310" hidden="1" outlineLevel="2">
      <c r="A310" s="8" t="n"/>
      <c r="B310" s="14" t="n"/>
      <c r="C310" s="123" t="n"/>
      <c r="D310" s="123" t="n"/>
      <c r="E310" s="123" t="n"/>
      <c r="F310" s="123" t="n"/>
      <c r="G310" s="123" t="n"/>
      <c r="I310" s="123" t="n"/>
      <c r="J310" s="123" t="n"/>
      <c r="K310" s="123" t="n"/>
      <c r="L310" s="123" t="n"/>
      <c r="M310" s="123" t="n"/>
      <c r="N310" s="123" t="n"/>
      <c r="O310" s="123" t="n"/>
      <c r="P310" s="123" t="n"/>
      <c r="Q310" s="123" t="n"/>
      <c r="R310" s="123" t="n"/>
      <c r="S310" s="123" t="n"/>
      <c r="T310" s="123" t="n"/>
      <c r="U310" s="123" t="n"/>
      <c r="V310" s="123" t="n"/>
      <c r="W310" s="123" t="n"/>
      <c r="X310" s="123" t="n"/>
      <c r="Y310" s="123" t="n"/>
      <c r="Z310" s="123" t="n"/>
      <c r="AB310" s="123" t="n"/>
      <c r="AC310" s="123" t="n"/>
      <c r="AD310" s="123" t="n"/>
      <c r="AE310" s="123" t="n"/>
      <c r="AF310" s="123" t="n"/>
      <c r="AG310" s="123" t="n"/>
      <c r="AH310" s="123" t="n"/>
      <c r="AI310" s="123" t="n"/>
      <c r="AJ310" s="123" t="n"/>
      <c r="AK310" s="123" t="n"/>
      <c r="AL310" s="123" t="n"/>
      <c r="AM310" s="123" t="n"/>
      <c r="AN310" s="123" t="n"/>
      <c r="AO310" s="123" t="n"/>
      <c r="AP310" s="123" t="n"/>
      <c r="AQ310" s="123" t="n"/>
      <c r="AR310" s="123" t="n"/>
      <c r="AS310" s="123" t="n"/>
    </row>
    <row r="311" hidden="1" outlineLevel="2">
      <c r="A311" s="8" t="n"/>
      <c r="B311" s="14" t="n"/>
      <c r="C311" s="123" t="n"/>
      <c r="D311" s="123" t="n"/>
      <c r="E311" s="123" t="n"/>
      <c r="F311" s="123" t="n"/>
      <c r="G311" s="123" t="n"/>
      <c r="I311" s="55">
        <f>DADOS_INVOC!$PX$21</f>
        <v/>
      </c>
      <c r="J311" s="16" t="n"/>
      <c r="K311" s="16" t="n"/>
      <c r="L311" s="16" t="n"/>
      <c r="M311" s="17" t="n"/>
      <c r="N311" s="123" t="n"/>
      <c r="O311" s="55">
        <f>DADOS_INVOC!$PX$22</f>
        <v/>
      </c>
      <c r="P311" s="16" t="n"/>
      <c r="Q311" s="16" t="n"/>
      <c r="R311" s="16" t="n"/>
      <c r="S311" s="17" t="n"/>
      <c r="T311" s="123" t="n"/>
      <c r="U311" s="55">
        <f>DADOS_INVOC!$PX$23</f>
        <v/>
      </c>
      <c r="V311" s="16" t="n"/>
      <c r="W311" s="16" t="n"/>
      <c r="X311" s="16" t="n"/>
      <c r="Y311" s="17" t="n"/>
      <c r="Z311" s="123" t="n"/>
      <c r="AB311" s="55">
        <f>DADOS_INVOC!$PX$99</f>
        <v/>
      </c>
      <c r="AC311" s="16" t="n"/>
      <c r="AD311" s="16" t="n"/>
      <c r="AE311" s="16" t="n"/>
      <c r="AF311" s="17" t="n"/>
      <c r="AG311" s="123" t="n"/>
      <c r="AH311" s="55">
        <f>DADOS_INVOC!$PX$100</f>
        <v/>
      </c>
      <c r="AI311" s="16" t="n"/>
      <c r="AJ311" s="16" t="n"/>
      <c r="AK311" s="16" t="n"/>
      <c r="AL311" s="17" t="n"/>
      <c r="AM311" s="123" t="n"/>
      <c r="AN311" s="55">
        <f>DADOS_INVOC!$PX$101</f>
        <v/>
      </c>
      <c r="AO311" s="16" t="n"/>
      <c r="AP311" s="16" t="n"/>
      <c r="AQ311" s="16" t="n"/>
      <c r="AR311" s="17" t="n"/>
      <c r="AS311" s="123" t="n"/>
    </row>
    <row r="312" hidden="1" outlineLevel="2">
      <c r="A312" s="8" t="n"/>
      <c r="B312" s="14" t="n"/>
      <c r="C312" s="123" t="n"/>
      <c r="D312" s="123" t="n"/>
      <c r="E312" s="123" t="n"/>
      <c r="F312" s="123" t="n"/>
      <c r="G312" s="123" t="n"/>
      <c r="I312" s="130" t="n">
        <v>1</v>
      </c>
      <c r="J312" s="118" t="n"/>
      <c r="K312" s="16" t="n"/>
      <c r="L312" s="17" t="n"/>
      <c r="M312" s="131">
        <f>DADOS_INVOC!$PV$21</f>
        <v/>
      </c>
      <c r="N312" s="123" t="n"/>
      <c r="O312" s="130" t="n">
        <v>1</v>
      </c>
      <c r="P312" s="118" t="n"/>
      <c r="Q312" s="16" t="n"/>
      <c r="R312" s="17" t="n"/>
      <c r="S312" s="131">
        <f>DADOS_INVOC!$PV$22</f>
        <v/>
      </c>
      <c r="T312" s="123" t="n"/>
      <c r="U312" s="130" t="n">
        <v>1</v>
      </c>
      <c r="V312" s="118" t="n"/>
      <c r="W312" s="16" t="n"/>
      <c r="X312" s="17" t="n"/>
      <c r="Y312" s="131">
        <f>DADOS_INVOC!$PV$23</f>
        <v/>
      </c>
      <c r="Z312" s="123" t="n"/>
      <c r="AB312" s="130" t="n">
        <v>1</v>
      </c>
      <c r="AC312" s="118" t="n"/>
      <c r="AD312" s="16" t="n"/>
      <c r="AE312" s="17" t="n"/>
      <c r="AF312" s="131">
        <f>DADOS_INVOC!$PV$99</f>
        <v/>
      </c>
      <c r="AG312" s="123" t="n"/>
      <c r="AH312" s="130" t="n">
        <v>1</v>
      </c>
      <c r="AI312" s="118" t="n"/>
      <c r="AJ312" s="16" t="n"/>
      <c r="AK312" s="17" t="n"/>
      <c r="AL312" s="131">
        <f>DADOS_INVOC!$PV$100</f>
        <v/>
      </c>
      <c r="AM312" s="123" t="n"/>
      <c r="AN312" s="130" t="n">
        <v>1</v>
      </c>
      <c r="AO312" s="118" t="n"/>
      <c r="AP312" s="16" t="n"/>
      <c r="AQ312" s="17" t="n"/>
      <c r="AR312" s="131">
        <f>DADOS_INVOC!$PV$101</f>
        <v/>
      </c>
      <c r="AS312" s="123" t="n"/>
    </row>
    <row r="313" hidden="1" outlineLevel="3">
      <c r="A313" s="8" t="n"/>
      <c r="B313" s="14" t="n"/>
      <c r="C313" s="123" t="n"/>
      <c r="D313" s="123" t="n"/>
      <c r="E313" s="123" t="n"/>
      <c r="F313" s="123" t="n"/>
      <c r="G313" s="123" t="n"/>
      <c r="I313" s="55" t="inlineStr">
        <is>
          <t>COMO É</t>
        </is>
      </c>
      <c r="J313" s="16" t="n"/>
      <c r="K313" s="16" t="n"/>
      <c r="L313" s="16" t="n"/>
      <c r="M313" s="17" t="n"/>
      <c r="N313" s="123" t="n"/>
      <c r="O313" s="55" t="inlineStr">
        <is>
          <t>COMO É</t>
        </is>
      </c>
      <c r="P313" s="16" t="n"/>
      <c r="Q313" s="16" t="n"/>
      <c r="R313" s="16" t="n"/>
      <c r="S313" s="17" t="n"/>
      <c r="T313" s="123" t="n"/>
      <c r="U313" s="55" t="inlineStr">
        <is>
          <t>COMO É</t>
        </is>
      </c>
      <c r="V313" s="16" t="n"/>
      <c r="W313" s="16" t="n"/>
      <c r="X313" s="16" t="n"/>
      <c r="Y313" s="17" t="n"/>
      <c r="Z313" s="123" t="n"/>
      <c r="AB313" s="55" t="inlineStr">
        <is>
          <t>COMO É</t>
        </is>
      </c>
      <c r="AC313" s="16" t="n"/>
      <c r="AD313" s="16" t="n"/>
      <c r="AE313" s="16" t="n"/>
      <c r="AF313" s="17" t="n"/>
      <c r="AG313" s="123" t="n"/>
      <c r="AH313" s="55" t="inlineStr">
        <is>
          <t>COMO É</t>
        </is>
      </c>
      <c r="AI313" s="16" t="n"/>
      <c r="AJ313" s="16" t="n"/>
      <c r="AK313" s="16" t="n"/>
      <c r="AL313" s="17" t="n"/>
      <c r="AM313" s="123" t="n"/>
      <c r="AN313" s="55" t="inlineStr">
        <is>
          <t>COMO É</t>
        </is>
      </c>
      <c r="AO313" s="16" t="n"/>
      <c r="AP313" s="16" t="n"/>
      <c r="AQ313" s="16" t="n"/>
      <c r="AR313" s="17" t="n"/>
      <c r="AS313" s="123" t="n"/>
    </row>
    <row r="314" hidden="1" outlineLevel="3">
      <c r="A314" s="8" t="n"/>
      <c r="B314" s="14" t="n"/>
      <c r="C314" s="123" t="n"/>
      <c r="D314" s="123" t="n"/>
      <c r="E314" s="123" t="n"/>
      <c r="F314" s="123" t="n"/>
      <c r="G314" s="123" t="n"/>
      <c r="I314" s="119" t="n"/>
      <c r="J314" s="19" t="n"/>
      <c r="K314" s="19" t="n"/>
      <c r="L314" s="19" t="n"/>
      <c r="M314" s="20" t="n"/>
      <c r="N314" s="123" t="n"/>
      <c r="O314" s="119" t="n"/>
      <c r="P314" s="19" t="n"/>
      <c r="Q314" s="19" t="n"/>
      <c r="R314" s="19" t="n"/>
      <c r="S314" s="20" t="n"/>
      <c r="T314" s="123" t="n"/>
      <c r="U314" s="119" t="n"/>
      <c r="V314" s="19" t="n"/>
      <c r="W314" s="19" t="n"/>
      <c r="X314" s="19" t="n"/>
      <c r="Y314" s="20" t="n"/>
      <c r="Z314" s="123" t="n"/>
      <c r="AB314" s="119" t="n"/>
      <c r="AC314" s="19" t="n"/>
      <c r="AD314" s="19" t="n"/>
      <c r="AE314" s="19" t="n"/>
      <c r="AF314" s="20" t="n"/>
      <c r="AG314" s="123" t="n"/>
      <c r="AH314" s="119" t="n"/>
      <c r="AI314" s="19" t="n"/>
      <c r="AJ314" s="19" t="n"/>
      <c r="AK314" s="19" t="n"/>
      <c r="AL314" s="20" t="n"/>
      <c r="AM314" s="123" t="n"/>
      <c r="AN314" s="119" t="n"/>
      <c r="AO314" s="19" t="n"/>
      <c r="AP314" s="19" t="n"/>
      <c r="AQ314" s="19" t="n"/>
      <c r="AR314" s="20" t="n"/>
      <c r="AS314" s="123" t="n"/>
    </row>
    <row r="315" hidden="1" outlineLevel="3">
      <c r="A315" s="8" t="n"/>
      <c r="B315" s="14" t="n"/>
      <c r="C315" s="123" t="n"/>
      <c r="D315" s="123" t="n"/>
      <c r="E315" s="123" t="n"/>
      <c r="F315" s="123" t="n"/>
      <c r="G315" s="123" t="n"/>
      <c r="I315" s="21" t="n"/>
      <c r="M315" s="22" t="n"/>
      <c r="N315" s="123" t="n"/>
      <c r="O315" s="21" t="n"/>
      <c r="S315" s="22" t="n"/>
      <c r="T315" s="123" t="n"/>
      <c r="U315" s="21" t="n"/>
      <c r="Y315" s="22" t="n"/>
      <c r="Z315" s="123" t="n"/>
      <c r="AB315" s="21" t="n"/>
      <c r="AF315" s="22" t="n"/>
      <c r="AG315" s="123" t="n"/>
      <c r="AH315" s="21" t="n"/>
      <c r="AL315" s="22" t="n"/>
      <c r="AM315" s="123" t="n"/>
      <c r="AN315" s="21" t="n"/>
      <c r="AR315" s="22" t="n"/>
      <c r="AS315" s="123" t="n"/>
    </row>
    <row r="316" hidden="1" outlineLevel="3">
      <c r="A316" s="8" t="n"/>
      <c r="B316" s="14" t="n"/>
      <c r="C316" s="123" t="n"/>
      <c r="D316" s="123" t="n"/>
      <c r="E316" s="123" t="n"/>
      <c r="F316" s="123" t="n"/>
      <c r="G316" s="123" t="n"/>
      <c r="I316" s="23" t="n"/>
      <c r="J316" s="24" t="n"/>
      <c r="K316" s="24" t="n"/>
      <c r="L316" s="24" t="n"/>
      <c r="M316" s="25" t="n"/>
      <c r="N316" s="123" t="n"/>
      <c r="O316" s="23" t="n"/>
      <c r="P316" s="24" t="n"/>
      <c r="Q316" s="24" t="n"/>
      <c r="R316" s="24" t="n"/>
      <c r="S316" s="25" t="n"/>
      <c r="T316" s="123" t="n"/>
      <c r="U316" s="23" t="n"/>
      <c r="V316" s="24" t="n"/>
      <c r="W316" s="24" t="n"/>
      <c r="X316" s="24" t="n"/>
      <c r="Y316" s="25" t="n"/>
      <c r="Z316" s="123" t="n"/>
      <c r="AB316" s="23" t="n"/>
      <c r="AC316" s="24" t="n"/>
      <c r="AD316" s="24" t="n"/>
      <c r="AE316" s="24" t="n"/>
      <c r="AF316" s="25" t="n"/>
      <c r="AG316" s="123" t="n"/>
      <c r="AH316" s="23" t="n"/>
      <c r="AI316" s="24" t="n"/>
      <c r="AJ316" s="24" t="n"/>
      <c r="AK316" s="24" t="n"/>
      <c r="AL316" s="25" t="n"/>
      <c r="AM316" s="123" t="n"/>
      <c r="AN316" s="23" t="n"/>
      <c r="AO316" s="24" t="n"/>
      <c r="AP316" s="24" t="n"/>
      <c r="AQ316" s="24" t="n"/>
      <c r="AR316" s="25" t="n"/>
      <c r="AS316" s="123" t="n"/>
    </row>
    <row r="317" hidden="1" outlineLevel="2">
      <c r="A317" s="8" t="n"/>
      <c r="B317" s="14" t="n"/>
      <c r="C317" s="123" t="n"/>
      <c r="D317" s="123" t="n"/>
      <c r="E317" s="123" t="n"/>
      <c r="F317" s="123" t="n"/>
      <c r="G317" s="123" t="n"/>
      <c r="I317" s="127" t="inlineStr">
        <is>
          <t>Projétil</t>
        </is>
      </c>
      <c r="J317" s="17" t="n"/>
      <c r="K317" s="68">
        <f>DADOS_INVOC!$QC$21</f>
        <v/>
      </c>
      <c r="L317" s="17" t="n"/>
      <c r="M317" s="68">
        <f>DADOS_INVOC!$PY$21</f>
        <v/>
      </c>
      <c r="N317" s="123" t="n"/>
      <c r="O317" s="127" t="inlineStr">
        <is>
          <t>Projétil</t>
        </is>
      </c>
      <c r="P317" s="17" t="n"/>
      <c r="Q317" s="68">
        <f>DADOS_INVOC!$QC$22</f>
        <v/>
      </c>
      <c r="R317" s="17" t="n"/>
      <c r="S317" s="68">
        <f>DADOS_INVOC!$PY$22</f>
        <v/>
      </c>
      <c r="T317" s="123" t="n"/>
      <c r="U317" s="127" t="inlineStr">
        <is>
          <t>Projétil</t>
        </is>
      </c>
      <c r="V317" s="17" t="n"/>
      <c r="W317" s="68">
        <f>DADOS_INVOC!$QC$23</f>
        <v/>
      </c>
      <c r="X317" s="17" t="n"/>
      <c r="Y317" s="68">
        <f>DADOS_INVOC!$PY$23</f>
        <v/>
      </c>
      <c r="Z317" s="123" t="n"/>
      <c r="AB317" s="127" t="inlineStr">
        <is>
          <t>Projétil</t>
        </is>
      </c>
      <c r="AC317" s="17" t="n"/>
      <c r="AD317" s="68">
        <f>DADOS_INVOC!$QC$99</f>
        <v/>
      </c>
      <c r="AE317" s="17" t="n"/>
      <c r="AF317" s="68">
        <f>DADOS_INVOC!$PY$99</f>
        <v/>
      </c>
      <c r="AG317" s="123" t="n"/>
      <c r="AH317" s="127" t="inlineStr">
        <is>
          <t>Projétil</t>
        </is>
      </c>
      <c r="AI317" s="17" t="n"/>
      <c r="AJ317" s="68">
        <f>DADOS_INVOC!$QC$100</f>
        <v/>
      </c>
      <c r="AK317" s="17" t="n"/>
      <c r="AL317" s="68">
        <f>DADOS_INVOC!$PY$100</f>
        <v/>
      </c>
      <c r="AM317" s="123" t="n"/>
      <c r="AN317" s="127" t="inlineStr">
        <is>
          <t>Projétil</t>
        </is>
      </c>
      <c r="AO317" s="17" t="n"/>
      <c r="AP317" s="68">
        <f>DADOS_INVOC!$QC$101</f>
        <v/>
      </c>
      <c r="AQ317" s="17" t="n"/>
      <c r="AR317" s="68">
        <f>DADOS_INVOC!$PY$101</f>
        <v/>
      </c>
      <c r="AS317" s="123" t="n"/>
    </row>
    <row r="318" hidden="1" outlineLevel="2">
      <c r="A318" s="8" t="n"/>
      <c r="B318" s="14" t="n"/>
      <c r="C318" s="123" t="n"/>
      <c r="D318" s="123" t="n"/>
      <c r="E318" s="123" t="n"/>
      <c r="F318" s="123" t="n"/>
      <c r="G318" s="123" t="n"/>
      <c r="I318" s="127" t="n"/>
      <c r="J318" s="17" t="n"/>
      <c r="K318" s="127" t="n"/>
      <c r="L318" s="16" t="n"/>
      <c r="M318" s="17" t="n"/>
      <c r="N318" s="123" t="n"/>
      <c r="O318" s="127" t="n"/>
      <c r="P318" s="17" t="n"/>
      <c r="Q318" s="127" t="n"/>
      <c r="R318" s="16" t="n"/>
      <c r="S318" s="17" t="n"/>
      <c r="T318" s="123" t="n"/>
      <c r="U318" s="127" t="n"/>
      <c r="V318" s="17" t="n"/>
      <c r="W318" s="127" t="n"/>
      <c r="X318" s="16" t="n"/>
      <c r="Y318" s="17" t="n"/>
      <c r="Z318" s="123" t="n"/>
      <c r="AB318" s="127" t="n"/>
      <c r="AC318" s="17" t="n"/>
      <c r="AD318" s="127" t="n"/>
      <c r="AE318" s="16" t="n"/>
      <c r="AF318" s="17" t="n"/>
      <c r="AG318" s="123" t="n"/>
      <c r="AH318" s="127" t="n"/>
      <c r="AI318" s="17" t="n"/>
      <c r="AJ318" s="127" t="n"/>
      <c r="AK318" s="16" t="n"/>
      <c r="AL318" s="17" t="n"/>
      <c r="AM318" s="123" t="n"/>
      <c r="AN318" s="127" t="n"/>
      <c r="AO318" s="17" t="n"/>
      <c r="AP318" s="127" t="n"/>
      <c r="AQ318" s="16" t="n"/>
      <c r="AR318" s="17" t="n"/>
      <c r="AS318" s="123" t="n"/>
    </row>
    <row r="319" hidden="1" outlineLevel="2">
      <c r="A319" s="8" t="n"/>
      <c r="B319" s="14" t="n"/>
      <c r="C319" s="123" t="n"/>
      <c r="D319" s="123" t="n"/>
      <c r="E319" s="123" t="n"/>
      <c r="F319" s="123" t="n"/>
      <c r="G319" s="123" t="n"/>
      <c r="I319" s="127">
        <f>DADOS_INVOC!$PZ$21</f>
        <v/>
      </c>
      <c r="J319" s="17" t="n"/>
      <c r="K319" s="127">
        <f>DADOS_INVOC!$QB$21</f>
        <v/>
      </c>
      <c r="L319" s="16" t="n"/>
      <c r="M319" s="17" t="n"/>
      <c r="N319" s="123" t="n"/>
      <c r="O319" s="127">
        <f>DADOS_INVOC!$PZ$22</f>
        <v/>
      </c>
      <c r="P319" s="17" t="n"/>
      <c r="Q319" s="127">
        <f>DADOS_INVOC!$QB$22</f>
        <v/>
      </c>
      <c r="R319" s="16" t="n"/>
      <c r="S319" s="17" t="n"/>
      <c r="T319" s="123" t="n"/>
      <c r="U319" s="127">
        <f>DADOS_INVOC!$PZ$23</f>
        <v/>
      </c>
      <c r="V319" s="17" t="n"/>
      <c r="W319" s="127">
        <f>DADOS_INVOC!$QB$23</f>
        <v/>
      </c>
      <c r="X319" s="16" t="n"/>
      <c r="Y319" s="17" t="n"/>
      <c r="Z319" s="123" t="n"/>
      <c r="AB319" s="127">
        <f>DADOS_INVOC!$PZ$99</f>
        <v/>
      </c>
      <c r="AC319" s="17" t="n"/>
      <c r="AD319" s="127">
        <f>DADOS_INVOC!$QB$99</f>
        <v/>
      </c>
      <c r="AE319" s="16" t="n"/>
      <c r="AF319" s="17" t="n"/>
      <c r="AG319" s="123" t="n"/>
      <c r="AH319" s="127">
        <f>DADOS_INVOC!$PZ$100</f>
        <v/>
      </c>
      <c r="AI319" s="17" t="n"/>
      <c r="AJ319" s="127">
        <f>DADOS_INVOC!$QB$100</f>
        <v/>
      </c>
      <c r="AK319" s="16" t="n"/>
      <c r="AL319" s="17" t="n"/>
      <c r="AM319" s="123" t="n"/>
      <c r="AN319" s="127">
        <f>DADOS_INVOC!$PZ$101</f>
        <v/>
      </c>
      <c r="AO319" s="17" t="n"/>
      <c r="AP319" s="127">
        <f>DADOS_INVOC!$QB$101</f>
        <v/>
      </c>
      <c r="AQ319" s="16" t="n"/>
      <c r="AR319" s="17" t="n"/>
      <c r="AS319" s="123" t="n"/>
    </row>
    <row r="320" hidden="1" outlineLevel="2">
      <c r="A320" s="8" t="n"/>
      <c r="B320" s="14" t="n"/>
      <c r="C320" s="123" t="n"/>
      <c r="D320" s="123" t="n"/>
      <c r="E320" s="123" t="n"/>
      <c r="F320" s="123" t="n"/>
      <c r="G320" s="123" t="n"/>
      <c r="I320" s="132">
        <f>DADOS_INVOC!$QH$21</f>
        <v/>
      </c>
      <c r="J320" s="16" t="n"/>
      <c r="K320" s="16" t="n"/>
      <c r="L320" s="16" t="n"/>
      <c r="M320" s="17" t="n"/>
      <c r="N320" s="123" t="n"/>
      <c r="O320" s="132">
        <f>DADOS_INVOC!$QH$22</f>
        <v/>
      </c>
      <c r="P320" s="16" t="n"/>
      <c r="Q320" s="16" t="n"/>
      <c r="R320" s="16" t="n"/>
      <c r="S320" s="17" t="n"/>
      <c r="T320" s="123" t="n"/>
      <c r="U320" s="132">
        <f>DADOS_INVOC!$QH$23</f>
        <v/>
      </c>
      <c r="V320" s="16" t="n"/>
      <c r="W320" s="16" t="n"/>
      <c r="X320" s="16" t="n"/>
      <c r="Y320" s="17" t="n"/>
      <c r="Z320" s="123" t="n"/>
      <c r="AB320" s="132">
        <f>DADOS_INVOC!$QH$99</f>
        <v/>
      </c>
      <c r="AC320" s="16" t="n"/>
      <c r="AD320" s="16" t="n"/>
      <c r="AE320" s="16" t="n"/>
      <c r="AF320" s="17" t="n"/>
      <c r="AG320" s="123" t="n"/>
      <c r="AH320" s="132">
        <f>DADOS_INVOC!$QH$100</f>
        <v/>
      </c>
      <c r="AI320" s="16" t="n"/>
      <c r="AJ320" s="16" t="n"/>
      <c r="AK320" s="16" t="n"/>
      <c r="AL320" s="17" t="n"/>
      <c r="AM320" s="123" t="n"/>
      <c r="AN320" s="132">
        <f>DADOS_INVOC!$QH$101</f>
        <v/>
      </c>
      <c r="AO320" s="16" t="n"/>
      <c r="AP320" s="16" t="n"/>
      <c r="AQ320" s="16" t="n"/>
      <c r="AR320" s="17" t="n"/>
      <c r="AS320" s="123" t="n"/>
    </row>
    <row r="321" hidden="1" outlineLevel="3">
      <c r="A321" s="8" t="n"/>
      <c r="B321" s="14" t="n"/>
      <c r="C321" s="123" t="n"/>
      <c r="D321" s="123" t="n"/>
      <c r="E321" s="123" t="n"/>
      <c r="F321" s="123" t="n"/>
      <c r="G321" s="123" t="n"/>
      <c r="I321" s="55" t="inlineStr">
        <is>
          <t>MELHORIAS</t>
        </is>
      </c>
      <c r="J321" s="133" t="n"/>
      <c r="K321" s="16" t="n"/>
      <c r="L321" s="17" t="n"/>
      <c r="M321" s="132">
        <f>DADOS_INVOC!$QK$21</f>
        <v/>
      </c>
      <c r="N321" s="123" t="n"/>
      <c r="O321" s="55" t="inlineStr">
        <is>
          <t>MELHORIAS</t>
        </is>
      </c>
      <c r="P321" s="133" t="n"/>
      <c r="Q321" s="16" t="n"/>
      <c r="R321" s="17" t="n"/>
      <c r="S321" s="132">
        <f>DADOS_INVOC!$QK$22</f>
        <v/>
      </c>
      <c r="T321" s="123" t="n"/>
      <c r="U321" s="55" t="inlineStr">
        <is>
          <t>MELHORIAS</t>
        </is>
      </c>
      <c r="V321" s="133" t="n"/>
      <c r="W321" s="16" t="n"/>
      <c r="X321" s="17" t="n"/>
      <c r="Y321" s="132">
        <f>DADOS_INVOC!$QK$23</f>
        <v/>
      </c>
      <c r="Z321" s="123" t="n"/>
      <c r="AB321" s="55" t="inlineStr">
        <is>
          <t>MELHORIAS</t>
        </is>
      </c>
      <c r="AC321" s="133" t="n"/>
      <c r="AD321" s="16" t="n"/>
      <c r="AE321" s="17" t="n"/>
      <c r="AF321" s="132">
        <f>DADOS_INVOC!$QK$99</f>
        <v/>
      </c>
      <c r="AG321" s="123" t="n"/>
      <c r="AH321" s="55" t="inlineStr">
        <is>
          <t>MELHORIAS</t>
        </is>
      </c>
      <c r="AI321" s="133" t="n"/>
      <c r="AJ321" s="16" t="n"/>
      <c r="AK321" s="17" t="n"/>
      <c r="AL321" s="132">
        <f>DADOS_INVOC!$QK$100</f>
        <v/>
      </c>
      <c r="AM321" s="123" t="n"/>
      <c r="AN321" s="55" t="inlineStr">
        <is>
          <t>MELHORIAS</t>
        </is>
      </c>
      <c r="AO321" s="133" t="n"/>
      <c r="AP321" s="16" t="n"/>
      <c r="AQ321" s="17" t="n"/>
      <c r="AR321" s="132">
        <f>DADOS_INVOC!$QK$101</f>
        <v/>
      </c>
      <c r="AS321" s="123" t="n"/>
    </row>
    <row r="322" hidden="1" outlineLevel="3">
      <c r="A322" s="8" t="n"/>
      <c r="B322" s="14" t="n"/>
      <c r="C322" s="123" t="n"/>
      <c r="D322" s="123" t="n"/>
      <c r="E322" s="123" t="n"/>
      <c r="F322" s="123" t="n"/>
      <c r="G322" s="123" t="n"/>
      <c r="I322" s="134" t="n"/>
      <c r="J322" s="133" t="n"/>
      <c r="K322" s="16" t="n"/>
      <c r="L322" s="17" t="n"/>
      <c r="M322" s="132">
        <f>DADOS_INVOC!$QL$21</f>
        <v/>
      </c>
      <c r="N322" s="123" t="n"/>
      <c r="O322" s="134" t="n"/>
      <c r="P322" s="133" t="n"/>
      <c r="Q322" s="16" t="n"/>
      <c r="R322" s="17" t="n"/>
      <c r="S322" s="132">
        <f>DADOS_INVOC!$QL$22</f>
        <v/>
      </c>
      <c r="T322" s="123" t="n"/>
      <c r="U322" s="134" t="n"/>
      <c r="V322" s="133" t="n"/>
      <c r="W322" s="16" t="n"/>
      <c r="X322" s="17" t="n"/>
      <c r="Y322" s="132">
        <f>DADOS_INVOC!$QL$23</f>
        <v/>
      </c>
      <c r="Z322" s="123" t="n"/>
      <c r="AB322" s="134" t="n"/>
      <c r="AC322" s="133" t="n"/>
      <c r="AD322" s="16" t="n"/>
      <c r="AE322" s="17" t="n"/>
      <c r="AF322" s="132">
        <f>DADOS_INVOC!$QL$99</f>
        <v/>
      </c>
      <c r="AG322" s="123" t="n"/>
      <c r="AH322" s="134" t="n"/>
      <c r="AI322" s="133" t="n"/>
      <c r="AJ322" s="16" t="n"/>
      <c r="AK322" s="17" t="n"/>
      <c r="AL322" s="132">
        <f>DADOS_INVOC!$QL$100</f>
        <v/>
      </c>
      <c r="AM322" s="123" t="n"/>
      <c r="AN322" s="134" t="n"/>
      <c r="AO322" s="133" t="n"/>
      <c r="AP322" s="16" t="n"/>
      <c r="AQ322" s="17" t="n"/>
      <c r="AR322" s="132">
        <f>DADOS_INVOC!$QL$101</f>
        <v/>
      </c>
      <c r="AS322" s="123" t="n"/>
    </row>
    <row r="323" hidden="1" outlineLevel="3">
      <c r="A323" s="8" t="n"/>
      <c r="B323" s="14" t="n"/>
      <c r="C323" s="123" t="n"/>
      <c r="D323" s="123" t="n"/>
      <c r="E323" s="123" t="n"/>
      <c r="F323" s="123" t="n"/>
      <c r="G323" s="123" t="n"/>
      <c r="I323" s="134" t="n"/>
      <c r="J323" s="133" t="n"/>
      <c r="K323" s="16" t="n"/>
      <c r="L323" s="17" t="n"/>
      <c r="M323" s="132">
        <f>DADOS_INVOC!$QM$21</f>
        <v/>
      </c>
      <c r="N323" s="123" t="n"/>
      <c r="O323" s="134" t="n"/>
      <c r="P323" s="133" t="n"/>
      <c r="Q323" s="16" t="n"/>
      <c r="R323" s="17" t="n"/>
      <c r="S323" s="132">
        <f>DADOS_INVOC!$QM$22</f>
        <v/>
      </c>
      <c r="T323" s="123" t="n"/>
      <c r="U323" s="134" t="n"/>
      <c r="V323" s="133" t="n"/>
      <c r="W323" s="16" t="n"/>
      <c r="X323" s="17" t="n"/>
      <c r="Y323" s="132">
        <f>DADOS_INVOC!$QM$23</f>
        <v/>
      </c>
      <c r="Z323" s="123" t="n"/>
      <c r="AB323" s="134" t="n"/>
      <c r="AC323" s="133" t="n"/>
      <c r="AD323" s="16" t="n"/>
      <c r="AE323" s="17" t="n"/>
      <c r="AF323" s="132">
        <f>DADOS_INVOC!$QM$99</f>
        <v/>
      </c>
      <c r="AG323" s="123" t="n"/>
      <c r="AH323" s="134" t="n"/>
      <c r="AI323" s="133" t="n"/>
      <c r="AJ323" s="16" t="n"/>
      <c r="AK323" s="17" t="n"/>
      <c r="AL323" s="132">
        <f>DADOS_INVOC!$QM$100</f>
        <v/>
      </c>
      <c r="AM323" s="123" t="n"/>
      <c r="AN323" s="134" t="n"/>
      <c r="AO323" s="133" t="n"/>
      <c r="AP323" s="16" t="n"/>
      <c r="AQ323" s="17" t="n"/>
      <c r="AR323" s="132">
        <f>DADOS_INVOC!$QM$101</f>
        <v/>
      </c>
      <c r="AS323" s="123" t="n"/>
    </row>
    <row r="324" hidden="1" outlineLevel="3">
      <c r="A324" s="8" t="n"/>
      <c r="B324" s="14" t="n"/>
      <c r="C324" s="123" t="n"/>
      <c r="D324" s="123" t="n"/>
      <c r="E324" s="123" t="n"/>
      <c r="F324" s="123" t="n"/>
      <c r="G324" s="123" t="n"/>
      <c r="I324" s="128" t="n"/>
      <c r="J324" s="133" t="n"/>
      <c r="K324" s="16" t="n"/>
      <c r="L324" s="17" t="n"/>
      <c r="M324" s="132">
        <f>DADOS_INVOC!$QN$21</f>
        <v/>
      </c>
      <c r="N324" s="123" t="n"/>
      <c r="O324" s="128" t="n"/>
      <c r="P324" s="133" t="n"/>
      <c r="Q324" s="16" t="n"/>
      <c r="R324" s="17" t="n"/>
      <c r="S324" s="132">
        <f>DADOS_INVOC!$QN$22</f>
        <v/>
      </c>
      <c r="T324" s="123" t="n"/>
      <c r="U324" s="128" t="n"/>
      <c r="V324" s="133" t="n"/>
      <c r="W324" s="16" t="n"/>
      <c r="X324" s="17" t="n"/>
      <c r="Y324" s="132">
        <f>DADOS_INVOC!$QN$23</f>
        <v/>
      </c>
      <c r="Z324" s="123" t="n"/>
      <c r="AB324" s="128" t="n"/>
      <c r="AC324" s="133" t="n"/>
      <c r="AD324" s="16" t="n"/>
      <c r="AE324" s="17" t="n"/>
      <c r="AF324" s="132">
        <f>DADOS_INVOC!$QN$99</f>
        <v/>
      </c>
      <c r="AG324" s="123" t="n"/>
      <c r="AH324" s="128" t="n"/>
      <c r="AI324" s="133" t="n"/>
      <c r="AJ324" s="16" t="n"/>
      <c r="AK324" s="17" t="n"/>
      <c r="AL324" s="132">
        <f>DADOS_INVOC!$QN$100</f>
        <v/>
      </c>
      <c r="AM324" s="123" t="n"/>
      <c r="AN324" s="128" t="n"/>
      <c r="AO324" s="133" t="n"/>
      <c r="AP324" s="16" t="n"/>
      <c r="AQ324" s="17" t="n"/>
      <c r="AR324" s="132">
        <f>DADOS_INVOC!$QN$101</f>
        <v/>
      </c>
      <c r="AS324" s="123" t="n"/>
    </row>
    <row r="325" hidden="1" outlineLevel="3">
      <c r="A325" s="8" t="n"/>
      <c r="B325" s="14" t="n"/>
      <c r="C325" s="123" t="n"/>
      <c r="D325" s="123" t="n"/>
      <c r="E325" s="123" t="n"/>
      <c r="F325" s="123" t="n"/>
      <c r="G325" s="123" t="n"/>
      <c r="I325" s="55" t="inlineStr">
        <is>
          <t>RESTRIÇÕES</t>
        </is>
      </c>
      <c r="J325" s="133" t="n"/>
      <c r="K325" s="16" t="n"/>
      <c r="L325" s="17" t="n"/>
      <c r="M325" s="132">
        <f>DADOS_INVOC!$QO$21</f>
        <v/>
      </c>
      <c r="N325" s="123" t="n"/>
      <c r="O325" s="55" t="inlineStr">
        <is>
          <t>RESTRIÇÕES</t>
        </is>
      </c>
      <c r="P325" s="133" t="n"/>
      <c r="Q325" s="16" t="n"/>
      <c r="R325" s="17" t="n"/>
      <c r="S325" s="132">
        <f>DADOS_INVOC!$QO$22</f>
        <v/>
      </c>
      <c r="T325" s="123" t="n"/>
      <c r="U325" s="55" t="inlineStr">
        <is>
          <t>RESTRIÇÕES</t>
        </is>
      </c>
      <c r="V325" s="133" t="n"/>
      <c r="W325" s="16" t="n"/>
      <c r="X325" s="17" t="n"/>
      <c r="Y325" s="132">
        <f>DADOS_INVOC!$QO$23</f>
        <v/>
      </c>
      <c r="Z325" s="123" t="n"/>
      <c r="AB325" s="55" t="inlineStr">
        <is>
          <t>RESTRIÇÕES</t>
        </is>
      </c>
      <c r="AC325" s="133" t="n"/>
      <c r="AD325" s="16" t="n"/>
      <c r="AE325" s="17" t="n"/>
      <c r="AF325" s="132">
        <f>DADOS_INVOC!$QO$99</f>
        <v/>
      </c>
      <c r="AG325" s="123" t="n"/>
      <c r="AH325" s="55" t="inlineStr">
        <is>
          <t>RESTRIÇÕES</t>
        </is>
      </c>
      <c r="AI325" s="133" t="n"/>
      <c r="AJ325" s="16" t="n"/>
      <c r="AK325" s="17" t="n"/>
      <c r="AL325" s="132">
        <f>DADOS_INVOC!$QO$100</f>
        <v/>
      </c>
      <c r="AM325" s="123" t="n"/>
      <c r="AN325" s="55" t="inlineStr">
        <is>
          <t>RESTRIÇÕES</t>
        </is>
      </c>
      <c r="AO325" s="133" t="n"/>
      <c r="AP325" s="16" t="n"/>
      <c r="AQ325" s="17" t="n"/>
      <c r="AR325" s="132">
        <f>DADOS_INVOC!$QO$101</f>
        <v/>
      </c>
      <c r="AS325" s="123" t="n"/>
    </row>
    <row r="326" hidden="1" outlineLevel="3">
      <c r="A326" s="8" t="n"/>
      <c r="B326" s="14" t="n"/>
      <c r="C326" s="123" t="n"/>
      <c r="D326" s="123" t="n"/>
      <c r="E326" s="123" t="n"/>
      <c r="F326" s="123" t="n"/>
      <c r="G326" s="123" t="n"/>
      <c r="I326" s="128" t="n"/>
      <c r="J326" s="133" t="n"/>
      <c r="K326" s="16" t="n"/>
      <c r="L326" s="17" t="n"/>
      <c r="M326" s="132">
        <f>DADOS_INVOC!$QP$21</f>
        <v/>
      </c>
      <c r="N326" s="123" t="n"/>
      <c r="O326" s="128" t="n"/>
      <c r="P326" s="133" t="n"/>
      <c r="Q326" s="16" t="n"/>
      <c r="R326" s="17" t="n"/>
      <c r="S326" s="132">
        <f>DADOS_INVOC!$QP$22</f>
        <v/>
      </c>
      <c r="T326" s="123" t="n"/>
      <c r="U326" s="128" t="n"/>
      <c r="V326" s="133" t="n"/>
      <c r="W326" s="16" t="n"/>
      <c r="X326" s="17" t="n"/>
      <c r="Y326" s="132">
        <f>DADOS_INVOC!$QP$23</f>
        <v/>
      </c>
      <c r="Z326" s="123" t="n"/>
      <c r="AB326" s="128" t="n"/>
      <c r="AC326" s="133" t="n"/>
      <c r="AD326" s="16" t="n"/>
      <c r="AE326" s="17" t="n"/>
      <c r="AF326" s="132">
        <f>DADOS_INVOC!$QP$99</f>
        <v/>
      </c>
      <c r="AG326" s="123" t="n"/>
      <c r="AH326" s="128" t="n"/>
      <c r="AI326" s="133" t="n"/>
      <c r="AJ326" s="16" t="n"/>
      <c r="AK326" s="17" t="n"/>
      <c r="AL326" s="132">
        <f>DADOS_INVOC!$QP$100</f>
        <v/>
      </c>
      <c r="AM326" s="123" t="n"/>
      <c r="AN326" s="128" t="n"/>
      <c r="AO326" s="133" t="n"/>
      <c r="AP326" s="16" t="n"/>
      <c r="AQ326" s="17" t="n"/>
      <c r="AR326" s="132">
        <f>DADOS_INVOC!$QP$101</f>
        <v/>
      </c>
      <c r="AS326" s="123" t="n"/>
    </row>
    <row r="327" hidden="1" outlineLevel="3">
      <c r="A327" s="8" t="n"/>
      <c r="B327" s="14" t="n"/>
      <c r="C327" s="123" t="n"/>
      <c r="D327" s="123" t="n"/>
      <c r="E327" s="123" t="n"/>
      <c r="F327" s="123" t="n"/>
      <c r="G327" s="123" t="n"/>
      <c r="I327" s="55" t="inlineStr">
        <is>
          <t>CONTA</t>
        </is>
      </c>
      <c r="J327" s="135">
        <f>DADOS_INVOC!$QI$21</f>
        <v/>
      </c>
      <c r="K327" s="16" t="n"/>
      <c r="L327" s="16" t="n"/>
      <c r="M327" s="17" t="n"/>
      <c r="N327" s="123" t="n"/>
      <c r="O327" s="55" t="inlineStr">
        <is>
          <t>CONTA</t>
        </is>
      </c>
      <c r="P327" s="135">
        <f>DADOS_INVOC!$QI$22</f>
        <v/>
      </c>
      <c r="Q327" s="16" t="n"/>
      <c r="R327" s="16" t="n"/>
      <c r="S327" s="17" t="n"/>
      <c r="T327" s="123" t="n"/>
      <c r="U327" s="55" t="inlineStr">
        <is>
          <t>CONTA</t>
        </is>
      </c>
      <c r="V327" s="135">
        <f>DADOS_INVOC!$QI$23</f>
        <v/>
      </c>
      <c r="W327" s="16" t="n"/>
      <c r="X327" s="16" t="n"/>
      <c r="Y327" s="17" t="n"/>
      <c r="Z327" s="123" t="n"/>
      <c r="AB327" s="55" t="inlineStr">
        <is>
          <t>CONTA</t>
        </is>
      </c>
      <c r="AC327" s="135">
        <f>DADOS_INVOC!$QI$99</f>
        <v/>
      </c>
      <c r="AD327" s="16" t="n"/>
      <c r="AE327" s="16" t="n"/>
      <c r="AF327" s="17" t="n"/>
      <c r="AG327" s="123" t="n"/>
      <c r="AH327" s="55" t="inlineStr">
        <is>
          <t>CONTA</t>
        </is>
      </c>
      <c r="AI327" s="135">
        <f>DADOS_INVOC!$QI$100</f>
        <v/>
      </c>
      <c r="AJ327" s="16" t="n"/>
      <c r="AK327" s="16" t="n"/>
      <c r="AL327" s="17" t="n"/>
      <c r="AM327" s="123" t="n"/>
      <c r="AN327" s="55" t="inlineStr">
        <is>
          <t>CONTA</t>
        </is>
      </c>
      <c r="AO327" s="135">
        <f>DADOS_INVOC!$QI$101</f>
        <v/>
      </c>
      <c r="AP327" s="16" t="n"/>
      <c r="AQ327" s="16" t="n"/>
      <c r="AR327" s="17" t="n"/>
      <c r="AS327" s="123" t="n"/>
    </row>
    <row r="328" hidden="1" outlineLevel="3">
      <c r="A328" s="8" t="n"/>
      <c r="B328" s="14" t="n"/>
      <c r="C328" s="123" t="n"/>
      <c r="D328" s="123" t="n"/>
      <c r="E328" s="123" t="n"/>
      <c r="F328" s="123" t="n"/>
      <c r="G328" s="123" t="n"/>
      <c r="I328" s="55" t="inlineStr">
        <is>
          <t>AMPLIAR</t>
        </is>
      </c>
      <c r="J328" s="135">
        <f>DADOS_INVOC!$QJ$21</f>
        <v/>
      </c>
      <c r="K328" s="19" t="n"/>
      <c r="L328" s="19" t="n"/>
      <c r="M328" s="20" t="n"/>
      <c r="N328" s="123" t="n"/>
      <c r="O328" s="55" t="inlineStr">
        <is>
          <t>AMPLIAR</t>
        </is>
      </c>
      <c r="P328" s="135">
        <f>DADOS_INVOC!$QJ$22</f>
        <v/>
      </c>
      <c r="Q328" s="19" t="n"/>
      <c r="R328" s="19" t="n"/>
      <c r="S328" s="20" t="n"/>
      <c r="T328" s="123" t="n"/>
      <c r="U328" s="55" t="inlineStr">
        <is>
          <t>AMPLIAR</t>
        </is>
      </c>
      <c r="V328" s="135">
        <f>DADOS_INVOC!$QJ$23</f>
        <v/>
      </c>
      <c r="W328" s="19" t="n"/>
      <c r="X328" s="19" t="n"/>
      <c r="Y328" s="20" t="n"/>
      <c r="Z328" s="123" t="n"/>
      <c r="AB328" s="55" t="inlineStr">
        <is>
          <t>AMPLIAR</t>
        </is>
      </c>
      <c r="AC328" s="135">
        <f>DADOS_INVOC!$QJ$99</f>
        <v/>
      </c>
      <c r="AD328" s="19" t="n"/>
      <c r="AE328" s="19" t="n"/>
      <c r="AF328" s="20" t="n"/>
      <c r="AG328" s="123" t="n"/>
      <c r="AH328" s="55" t="inlineStr">
        <is>
          <t>AMPLIAR</t>
        </is>
      </c>
      <c r="AI328" s="135">
        <f>DADOS_INVOC!$QJ$100</f>
        <v/>
      </c>
      <c r="AJ328" s="19" t="n"/>
      <c r="AK328" s="19" t="n"/>
      <c r="AL328" s="20" t="n"/>
      <c r="AM328" s="123" t="n"/>
      <c r="AN328" s="55" t="inlineStr">
        <is>
          <t>AMPLIAR</t>
        </is>
      </c>
      <c r="AO328" s="135">
        <f>DADOS_INVOC!$QJ$101</f>
        <v/>
      </c>
      <c r="AP328" s="19" t="n"/>
      <c r="AQ328" s="19" t="n"/>
      <c r="AR328" s="20" t="n"/>
      <c r="AS328" s="123" t="n"/>
    </row>
    <row r="329" hidden="1" outlineLevel="3">
      <c r="A329" s="8" t="n"/>
      <c r="B329" s="14" t="n"/>
      <c r="C329" s="123" t="n"/>
      <c r="D329" s="123" t="n"/>
      <c r="E329" s="123" t="n"/>
      <c r="F329" s="123" t="n"/>
      <c r="G329" s="123" t="n"/>
      <c r="I329" s="128" t="n"/>
      <c r="J329" s="23" t="n"/>
      <c r="K329" s="24" t="n"/>
      <c r="L329" s="24" t="n"/>
      <c r="M329" s="25" t="n"/>
      <c r="N329" s="123" t="n"/>
      <c r="O329" s="128" t="n"/>
      <c r="P329" s="23" t="n"/>
      <c r="Q329" s="24" t="n"/>
      <c r="R329" s="24" t="n"/>
      <c r="S329" s="25" t="n"/>
      <c r="T329" s="123" t="n"/>
      <c r="U329" s="128" t="n"/>
      <c r="V329" s="23" t="n"/>
      <c r="W329" s="24" t="n"/>
      <c r="X329" s="24" t="n"/>
      <c r="Y329" s="25" t="n"/>
      <c r="Z329" s="123" t="n"/>
      <c r="AB329" s="128" t="n"/>
      <c r="AC329" s="23" t="n"/>
      <c r="AD329" s="24" t="n"/>
      <c r="AE329" s="24" t="n"/>
      <c r="AF329" s="25" t="n"/>
      <c r="AG329" s="123" t="n"/>
      <c r="AH329" s="128" t="n"/>
      <c r="AI329" s="23" t="n"/>
      <c r="AJ329" s="24" t="n"/>
      <c r="AK329" s="24" t="n"/>
      <c r="AL329" s="25" t="n"/>
      <c r="AM329" s="123" t="n"/>
      <c r="AN329" s="128" t="n"/>
      <c r="AO329" s="23" t="n"/>
      <c r="AP329" s="24" t="n"/>
      <c r="AQ329" s="24" t="n"/>
      <c r="AR329" s="25" t="n"/>
      <c r="AS329" s="123" t="n"/>
    </row>
    <row r="330" hidden="1" outlineLevel="3">
      <c r="A330" s="8" t="n"/>
      <c r="B330" s="14" t="n"/>
      <c r="C330" s="123" t="n"/>
      <c r="D330" s="123" t="n"/>
      <c r="E330" s="123" t="n"/>
      <c r="F330" s="123" t="n"/>
      <c r="G330" s="123" t="n"/>
      <c r="I330" s="135">
        <f>DADOS_INVOC!$PW$21</f>
        <v/>
      </c>
      <c r="J330" s="19" t="n"/>
      <c r="K330" s="19" t="n"/>
      <c r="L330" s="19" t="n"/>
      <c r="M330" s="20" t="n"/>
      <c r="N330" s="123" t="n"/>
      <c r="O330" s="135">
        <f>DADOS_INVOC!$PW$22</f>
        <v/>
      </c>
      <c r="P330" s="19" t="n"/>
      <c r="Q330" s="19" t="n"/>
      <c r="R330" s="19" t="n"/>
      <c r="S330" s="20" t="n"/>
      <c r="T330" s="123" t="n"/>
      <c r="U330" s="135">
        <f>DADOS_INVOC!$PW$23</f>
        <v/>
      </c>
      <c r="V330" s="19" t="n"/>
      <c r="W330" s="19" t="n"/>
      <c r="X330" s="19" t="n"/>
      <c r="Y330" s="20" t="n"/>
      <c r="Z330" s="123" t="n"/>
      <c r="AB330" s="135">
        <f>DADOS_INVOC!$PW$99</f>
        <v/>
      </c>
      <c r="AC330" s="19" t="n"/>
      <c r="AD330" s="19" t="n"/>
      <c r="AE330" s="19" t="n"/>
      <c r="AF330" s="20" t="n"/>
      <c r="AG330" s="123" t="n"/>
      <c r="AH330" s="135">
        <f>DADOS_INVOC!$PW$100</f>
        <v/>
      </c>
      <c r="AI330" s="19" t="n"/>
      <c r="AJ330" s="19" t="n"/>
      <c r="AK330" s="19" t="n"/>
      <c r="AL330" s="20" t="n"/>
      <c r="AM330" s="123" t="n"/>
      <c r="AN330" s="135">
        <f>DADOS_INVOC!$PW$101</f>
        <v/>
      </c>
      <c r="AO330" s="19" t="n"/>
      <c r="AP330" s="19" t="n"/>
      <c r="AQ330" s="19" t="n"/>
      <c r="AR330" s="20" t="n"/>
      <c r="AS330" s="123" t="n"/>
    </row>
    <row r="331" hidden="1" outlineLevel="3">
      <c r="A331" s="8" t="n"/>
      <c r="B331" s="14" t="n"/>
      <c r="C331" s="123" t="n"/>
      <c r="D331" s="123" t="n"/>
      <c r="E331" s="123" t="n"/>
      <c r="F331" s="123" t="n"/>
      <c r="G331" s="123" t="n"/>
      <c r="I331" s="23" t="n"/>
      <c r="J331" s="24" t="n"/>
      <c r="K331" s="24" t="n"/>
      <c r="L331" s="24" t="n"/>
      <c r="M331" s="25" t="n"/>
      <c r="N331" s="123" t="n"/>
      <c r="O331" s="23" t="n"/>
      <c r="P331" s="24" t="n"/>
      <c r="Q331" s="24" t="n"/>
      <c r="R331" s="24" t="n"/>
      <c r="S331" s="25" t="n"/>
      <c r="T331" s="123" t="n"/>
      <c r="U331" s="23" t="n"/>
      <c r="V331" s="24" t="n"/>
      <c r="W331" s="24" t="n"/>
      <c r="X331" s="24" t="n"/>
      <c r="Y331" s="25" t="n"/>
      <c r="Z331" s="123" t="n"/>
      <c r="AB331" s="23" t="n"/>
      <c r="AC331" s="24" t="n"/>
      <c r="AD331" s="24" t="n"/>
      <c r="AE331" s="24" t="n"/>
      <c r="AF331" s="25" t="n"/>
      <c r="AG331" s="123" t="n"/>
      <c r="AH331" s="23" t="n"/>
      <c r="AI331" s="24" t="n"/>
      <c r="AJ331" s="24" t="n"/>
      <c r="AK331" s="24" t="n"/>
      <c r="AL331" s="25" t="n"/>
      <c r="AM331" s="123" t="n"/>
      <c r="AN331" s="23" t="n"/>
      <c r="AO331" s="24" t="n"/>
      <c r="AP331" s="24" t="n"/>
      <c r="AQ331" s="24" t="n"/>
      <c r="AR331" s="25" t="n"/>
      <c r="AS331" s="123" t="n"/>
    </row>
    <row r="332" hidden="1" outlineLevel="2">
      <c r="A332" s="8" t="n"/>
      <c r="B332" s="14" t="n"/>
      <c r="C332" s="123" t="n"/>
      <c r="D332" s="123" t="n"/>
      <c r="E332" s="123" t="n"/>
      <c r="F332" s="123" t="n"/>
      <c r="G332" s="123" t="n"/>
      <c r="I332" s="123" t="n"/>
      <c r="J332" s="123" t="n"/>
      <c r="K332" s="123" t="n"/>
      <c r="L332" s="123" t="n"/>
      <c r="M332" s="123" t="n"/>
      <c r="N332" s="123" t="n"/>
      <c r="O332" s="123" t="n"/>
      <c r="P332" s="123" t="n"/>
      <c r="Q332" s="123" t="n"/>
      <c r="R332" s="123" t="n"/>
      <c r="S332" s="123" t="n"/>
      <c r="T332" s="123" t="n"/>
      <c r="U332" s="123" t="n"/>
      <c r="V332" s="123" t="n"/>
      <c r="W332" s="123" t="n"/>
      <c r="X332" s="123" t="n"/>
      <c r="Y332" s="123" t="n"/>
      <c r="Z332" s="123" t="n"/>
      <c r="AB332" s="123" t="n"/>
      <c r="AC332" s="123" t="n"/>
      <c r="AD332" s="123" t="n"/>
      <c r="AE332" s="123" t="n"/>
      <c r="AF332" s="123" t="n"/>
      <c r="AG332" s="123" t="n"/>
      <c r="AH332" s="123" t="n"/>
      <c r="AI332" s="123" t="n"/>
      <c r="AJ332" s="123" t="n"/>
      <c r="AK332" s="123" t="n"/>
      <c r="AL332" s="123" t="n"/>
      <c r="AM332" s="123" t="n"/>
      <c r="AN332" s="123" t="n"/>
      <c r="AO332" s="123" t="n"/>
      <c r="AP332" s="123" t="n"/>
      <c r="AQ332" s="123" t="n"/>
      <c r="AR332" s="123" t="n"/>
      <c r="AS332" s="123" t="n"/>
    </row>
    <row r="333" hidden="1" outlineLevel="2">
      <c r="A333" s="8" t="n"/>
      <c r="B333" s="14" t="n"/>
      <c r="C333" s="123" t="n"/>
      <c r="D333" s="123" t="n"/>
      <c r="E333" s="123" t="n"/>
      <c r="F333" s="123" t="n"/>
      <c r="G333" s="123" t="n"/>
      <c r="I333" s="55">
        <f>DADOS_INVOC!$PX$24</f>
        <v/>
      </c>
      <c r="J333" s="16" t="n"/>
      <c r="K333" s="16" t="n"/>
      <c r="L333" s="16" t="n"/>
      <c r="M333" s="17" t="n"/>
      <c r="N333" s="123" t="n"/>
      <c r="O333" s="123" t="n"/>
      <c r="P333" s="123" t="n"/>
      <c r="Q333" s="123" t="n"/>
      <c r="R333" s="123" t="n"/>
      <c r="S333" s="123" t="n"/>
      <c r="T333" s="123" t="n"/>
      <c r="U333" s="123" t="n"/>
      <c r="V333" s="123" t="n"/>
      <c r="W333" s="123" t="n"/>
      <c r="X333" s="123" t="n"/>
      <c r="Y333" s="123" t="n"/>
      <c r="Z333" s="123" t="n"/>
      <c r="AB333" s="55">
        <f>DADOS_INVOC!$PX$102</f>
        <v/>
      </c>
      <c r="AC333" s="16" t="n"/>
      <c r="AD333" s="16" t="n"/>
      <c r="AE333" s="16" t="n"/>
      <c r="AF333" s="17" t="n"/>
      <c r="AG333" s="123" t="n"/>
      <c r="AH333" s="123" t="n"/>
      <c r="AI333" s="123" t="n"/>
      <c r="AJ333" s="123" t="n"/>
      <c r="AK333" s="123" t="n"/>
      <c r="AL333" s="123" t="n"/>
      <c r="AM333" s="123" t="n"/>
      <c r="AN333" s="123" t="n"/>
      <c r="AO333" s="123" t="n"/>
      <c r="AP333" s="123" t="n"/>
      <c r="AQ333" s="123" t="n"/>
      <c r="AR333" s="123" t="n"/>
      <c r="AS333" s="123" t="n"/>
    </row>
    <row r="334" hidden="1" outlineLevel="2">
      <c r="A334" s="8" t="n"/>
      <c r="B334" s="14" t="n"/>
      <c r="C334" s="123" t="n"/>
      <c r="D334" s="123" t="n"/>
      <c r="E334" s="123" t="n"/>
      <c r="F334" s="123" t="n"/>
      <c r="G334" s="123" t="n"/>
      <c r="I334" s="130" t="n">
        <v>1</v>
      </c>
      <c r="J334" s="118" t="n"/>
      <c r="K334" s="16" t="n"/>
      <c r="L334" s="17" t="n"/>
      <c r="M334" s="131">
        <f>DADOS_INVOC!$PV$24</f>
        <v/>
      </c>
      <c r="N334" s="123" t="n"/>
      <c r="O334" s="123" t="n"/>
      <c r="P334" s="123" t="n"/>
      <c r="Q334" s="123" t="n"/>
      <c r="R334" s="123" t="n"/>
      <c r="S334" s="123" t="n"/>
      <c r="T334" s="123" t="n"/>
      <c r="U334" s="123" t="n"/>
      <c r="V334" s="123" t="n"/>
      <c r="W334" s="123" t="n"/>
      <c r="X334" s="123" t="n"/>
      <c r="Y334" s="123" t="n"/>
      <c r="Z334" s="123" t="n"/>
      <c r="AB334" s="130" t="n">
        <v>1</v>
      </c>
      <c r="AC334" s="118" t="n"/>
      <c r="AD334" s="16" t="n"/>
      <c r="AE334" s="17" t="n"/>
      <c r="AF334" s="131">
        <f>DADOS_INVOC!$PV$102</f>
        <v/>
      </c>
      <c r="AG334" s="123" t="n"/>
      <c r="AH334" s="123" t="n"/>
      <c r="AI334" s="123" t="n"/>
      <c r="AJ334" s="123" t="n"/>
      <c r="AK334" s="123" t="n"/>
      <c r="AL334" s="123" t="n"/>
      <c r="AM334" s="123" t="n"/>
      <c r="AN334" s="123" t="n"/>
      <c r="AO334" s="123" t="n"/>
      <c r="AP334" s="123" t="n"/>
      <c r="AQ334" s="123" t="n"/>
      <c r="AR334" s="123" t="n"/>
      <c r="AS334" s="123" t="n"/>
    </row>
    <row r="335" hidden="1" outlineLevel="3">
      <c r="A335" s="8" t="n"/>
      <c r="B335" s="14" t="n"/>
      <c r="C335" s="123" t="n"/>
      <c r="D335" s="123" t="n"/>
      <c r="E335" s="123" t="n"/>
      <c r="F335" s="123" t="n"/>
      <c r="G335" s="123" t="n"/>
      <c r="I335" s="55" t="inlineStr">
        <is>
          <t>COMO É</t>
        </is>
      </c>
      <c r="J335" s="16" t="n"/>
      <c r="K335" s="16" t="n"/>
      <c r="L335" s="16" t="n"/>
      <c r="M335" s="17" t="n"/>
      <c r="N335" s="123" t="n"/>
      <c r="O335" s="123" t="n"/>
      <c r="P335" s="123" t="n"/>
      <c r="Q335" s="123" t="n"/>
      <c r="R335" s="123" t="n"/>
      <c r="S335" s="123" t="n"/>
      <c r="T335" s="123" t="n"/>
      <c r="U335" s="123" t="n"/>
      <c r="V335" s="123" t="n"/>
      <c r="W335" s="123" t="n"/>
      <c r="X335" s="123" t="n"/>
      <c r="Y335" s="123" t="n"/>
      <c r="Z335" s="123" t="n"/>
      <c r="AB335" s="55" t="inlineStr">
        <is>
          <t>COMO É</t>
        </is>
      </c>
      <c r="AC335" s="16" t="n"/>
      <c r="AD335" s="16" t="n"/>
      <c r="AE335" s="16" t="n"/>
      <c r="AF335" s="17" t="n"/>
      <c r="AG335" s="123" t="n"/>
      <c r="AH335" s="123" t="n"/>
      <c r="AI335" s="123" t="n"/>
      <c r="AJ335" s="123" t="n"/>
      <c r="AK335" s="123" t="n"/>
      <c r="AL335" s="123" t="n"/>
      <c r="AM335" s="123" t="n"/>
      <c r="AN335" s="123" t="n"/>
      <c r="AO335" s="123" t="n"/>
      <c r="AP335" s="123" t="n"/>
      <c r="AQ335" s="123" t="n"/>
      <c r="AR335" s="123" t="n"/>
      <c r="AS335" s="123" t="n"/>
    </row>
    <row r="336" hidden="1" outlineLevel="3">
      <c r="A336" s="8" t="n"/>
      <c r="B336" s="14" t="n"/>
      <c r="C336" s="123" t="n"/>
      <c r="D336" s="123" t="n"/>
      <c r="E336" s="123" t="n"/>
      <c r="F336" s="123" t="n"/>
      <c r="G336" s="123" t="n"/>
      <c r="I336" s="119" t="n"/>
      <c r="J336" s="19" t="n"/>
      <c r="K336" s="19" t="n"/>
      <c r="L336" s="19" t="n"/>
      <c r="M336" s="20" t="n"/>
      <c r="N336" s="123" t="n"/>
      <c r="O336" s="123" t="n"/>
      <c r="P336" s="123" t="n"/>
      <c r="Q336" s="123" t="n"/>
      <c r="R336" s="123" t="n"/>
      <c r="S336" s="123" t="n"/>
      <c r="T336" s="123" t="n"/>
      <c r="U336" s="123" t="n"/>
      <c r="V336" s="123" t="n"/>
      <c r="W336" s="123" t="n"/>
      <c r="X336" s="123" t="n"/>
      <c r="Y336" s="123" t="n"/>
      <c r="Z336" s="123" t="n"/>
      <c r="AB336" s="119" t="n"/>
      <c r="AC336" s="19" t="n"/>
      <c r="AD336" s="19" t="n"/>
      <c r="AE336" s="19" t="n"/>
      <c r="AF336" s="20" t="n"/>
      <c r="AG336" s="123" t="n"/>
      <c r="AH336" s="123" t="n"/>
      <c r="AI336" s="123" t="n"/>
      <c r="AJ336" s="123" t="n"/>
      <c r="AK336" s="123" t="n"/>
      <c r="AL336" s="123" t="n"/>
      <c r="AM336" s="123" t="n"/>
      <c r="AN336" s="123" t="n"/>
      <c r="AO336" s="123" t="n"/>
      <c r="AP336" s="123" t="n"/>
      <c r="AQ336" s="123" t="n"/>
      <c r="AR336" s="123" t="n"/>
      <c r="AS336" s="123" t="n"/>
    </row>
    <row r="337" hidden="1" outlineLevel="3">
      <c r="A337" s="8" t="n"/>
      <c r="B337" s="14" t="n"/>
      <c r="C337" s="123" t="n"/>
      <c r="D337" s="123" t="n"/>
      <c r="E337" s="123" t="n"/>
      <c r="F337" s="123" t="n"/>
      <c r="G337" s="123" t="n"/>
      <c r="I337" s="21" t="n"/>
      <c r="M337" s="22" t="n"/>
      <c r="N337" s="123" t="n"/>
      <c r="O337" s="123" t="n"/>
      <c r="P337" s="123" t="n"/>
      <c r="Q337" s="123" t="n"/>
      <c r="R337" s="123" t="n"/>
      <c r="S337" s="123" t="n"/>
      <c r="T337" s="123" t="n"/>
      <c r="U337" s="123" t="n"/>
      <c r="V337" s="123" t="n"/>
      <c r="W337" s="123" t="n"/>
      <c r="X337" s="123" t="n"/>
      <c r="Y337" s="123" t="n"/>
      <c r="Z337" s="123" t="n"/>
      <c r="AB337" s="21" t="n"/>
      <c r="AF337" s="22" t="n"/>
      <c r="AG337" s="123" t="n"/>
      <c r="AH337" s="123" t="n"/>
      <c r="AI337" s="123" t="n"/>
      <c r="AJ337" s="123" t="n"/>
      <c r="AK337" s="123" t="n"/>
      <c r="AL337" s="123" t="n"/>
      <c r="AM337" s="123" t="n"/>
      <c r="AN337" s="123" t="n"/>
      <c r="AO337" s="123" t="n"/>
      <c r="AP337" s="123" t="n"/>
      <c r="AQ337" s="123" t="n"/>
      <c r="AR337" s="123" t="n"/>
      <c r="AS337" s="123" t="n"/>
    </row>
    <row r="338" hidden="1" outlineLevel="3">
      <c r="A338" s="8" t="n"/>
      <c r="B338" s="14" t="n"/>
      <c r="C338" s="123" t="n"/>
      <c r="D338" s="123" t="n"/>
      <c r="E338" s="123" t="n"/>
      <c r="F338" s="123" t="n"/>
      <c r="G338" s="123" t="n"/>
      <c r="I338" s="23" t="n"/>
      <c r="J338" s="24" t="n"/>
      <c r="K338" s="24" t="n"/>
      <c r="L338" s="24" t="n"/>
      <c r="M338" s="25" t="n"/>
      <c r="N338" s="123" t="n"/>
      <c r="O338" s="123" t="n"/>
      <c r="P338" s="123" t="n"/>
      <c r="Q338" s="123" t="n"/>
      <c r="R338" s="123" t="n"/>
      <c r="S338" s="123" t="n"/>
      <c r="T338" s="123" t="n"/>
      <c r="U338" s="123" t="n"/>
      <c r="V338" s="123" t="n"/>
      <c r="W338" s="123" t="n"/>
      <c r="X338" s="123" t="n"/>
      <c r="Y338" s="123" t="n"/>
      <c r="Z338" s="123" t="n"/>
      <c r="AB338" s="23" t="n"/>
      <c r="AC338" s="24" t="n"/>
      <c r="AD338" s="24" t="n"/>
      <c r="AE338" s="24" t="n"/>
      <c r="AF338" s="25" t="n"/>
      <c r="AG338" s="123" t="n"/>
      <c r="AH338" s="123" t="n"/>
      <c r="AI338" s="123" t="n"/>
      <c r="AJ338" s="123" t="n"/>
      <c r="AK338" s="123" t="n"/>
      <c r="AL338" s="123" t="n"/>
      <c r="AM338" s="123" t="n"/>
      <c r="AN338" s="123" t="n"/>
      <c r="AO338" s="123" t="n"/>
      <c r="AP338" s="123" t="n"/>
      <c r="AQ338" s="123" t="n"/>
      <c r="AR338" s="123" t="n"/>
      <c r="AS338" s="123" t="n"/>
    </row>
    <row r="339" hidden="1" outlineLevel="2">
      <c r="A339" s="8" t="n"/>
      <c r="B339" s="14" t="n"/>
      <c r="C339" s="123" t="n"/>
      <c r="D339" s="123" t="n"/>
      <c r="E339" s="123" t="n"/>
      <c r="F339" s="123" t="n"/>
      <c r="G339" s="123" t="n"/>
      <c r="I339" s="127" t="inlineStr">
        <is>
          <t>Projétil</t>
        </is>
      </c>
      <c r="J339" s="17" t="n"/>
      <c r="K339" s="68">
        <f>DADOS_INVOC!$QC$24</f>
        <v/>
      </c>
      <c r="L339" s="17" t="n"/>
      <c r="M339" s="68">
        <f>DADOS_INVOC!$PY$24</f>
        <v/>
      </c>
      <c r="N339" s="123" t="n"/>
      <c r="O339" s="123" t="n"/>
      <c r="P339" s="123" t="n"/>
      <c r="Q339" s="123" t="n"/>
      <c r="R339" s="123" t="n"/>
      <c r="S339" s="123" t="n"/>
      <c r="T339" s="123" t="n"/>
      <c r="U339" s="123" t="n"/>
      <c r="V339" s="123" t="n"/>
      <c r="W339" s="123" t="n"/>
      <c r="X339" s="123" t="n"/>
      <c r="Y339" s="123" t="n"/>
      <c r="Z339" s="123" t="n"/>
      <c r="AB339" s="127" t="inlineStr">
        <is>
          <t>Projétil</t>
        </is>
      </c>
      <c r="AC339" s="17" t="n"/>
      <c r="AD339" s="68">
        <f>DADOS_INVOC!$QC$102</f>
        <v/>
      </c>
      <c r="AE339" s="17" t="n"/>
      <c r="AF339" s="68">
        <f>DADOS_INVOC!$PY$102</f>
        <v/>
      </c>
      <c r="AG339" s="123" t="n"/>
      <c r="AH339" s="123" t="n"/>
      <c r="AI339" s="123" t="n"/>
      <c r="AJ339" s="123" t="n"/>
      <c r="AK339" s="123" t="n"/>
      <c r="AL339" s="123" t="n"/>
      <c r="AM339" s="123" t="n"/>
      <c r="AN339" s="123" t="n"/>
      <c r="AO339" s="123" t="n"/>
      <c r="AP339" s="123" t="n"/>
      <c r="AQ339" s="123" t="n"/>
      <c r="AR339" s="123" t="n"/>
      <c r="AS339" s="123" t="n"/>
    </row>
    <row r="340" hidden="1" outlineLevel="2">
      <c r="A340" s="8" t="n"/>
      <c r="B340" s="14" t="n"/>
      <c r="C340" s="123" t="n"/>
      <c r="D340" s="123" t="n"/>
      <c r="E340" s="123" t="n"/>
      <c r="F340" s="123" t="n"/>
      <c r="G340" s="123" t="n"/>
      <c r="I340" s="127" t="n"/>
      <c r="J340" s="17" t="n"/>
      <c r="K340" s="127" t="n"/>
      <c r="L340" s="16" t="n"/>
      <c r="M340" s="17" t="n"/>
      <c r="N340" s="123" t="n"/>
      <c r="O340" s="123" t="n"/>
      <c r="P340" s="123" t="n"/>
      <c r="Q340" s="123" t="n"/>
      <c r="R340" s="123" t="n"/>
      <c r="S340" s="123" t="n"/>
      <c r="T340" s="123" t="n"/>
      <c r="U340" s="123" t="n"/>
      <c r="V340" s="123" t="n"/>
      <c r="W340" s="123" t="n"/>
      <c r="X340" s="123" t="n"/>
      <c r="Y340" s="123" t="n"/>
      <c r="Z340" s="123" t="n"/>
      <c r="AB340" s="127" t="n"/>
      <c r="AC340" s="17" t="n"/>
      <c r="AD340" s="127" t="n"/>
      <c r="AE340" s="16" t="n"/>
      <c r="AF340" s="17" t="n"/>
      <c r="AG340" s="123" t="n"/>
      <c r="AH340" s="123" t="n"/>
      <c r="AI340" s="123" t="n"/>
      <c r="AJ340" s="123" t="n"/>
      <c r="AK340" s="123" t="n"/>
      <c r="AL340" s="123" t="n"/>
      <c r="AM340" s="123" t="n"/>
      <c r="AN340" s="123" t="n"/>
      <c r="AO340" s="123" t="n"/>
      <c r="AP340" s="123" t="n"/>
      <c r="AQ340" s="123" t="n"/>
      <c r="AR340" s="123" t="n"/>
      <c r="AS340" s="123" t="n"/>
    </row>
    <row r="341" hidden="1" outlineLevel="2">
      <c r="A341" s="8" t="n"/>
      <c r="B341" s="14" t="n"/>
      <c r="C341" s="123" t="n"/>
      <c r="D341" s="123" t="n"/>
      <c r="E341" s="123" t="n"/>
      <c r="F341" s="123" t="n"/>
      <c r="G341" s="123" t="n"/>
      <c r="I341" s="127">
        <f>DADOS_INVOC!$PZ$24</f>
        <v/>
      </c>
      <c r="J341" s="17" t="n"/>
      <c r="K341" s="127">
        <f>DADOS_INVOC!$QB$24</f>
        <v/>
      </c>
      <c r="L341" s="16" t="n"/>
      <c r="M341" s="17" t="n"/>
      <c r="N341" s="123" t="n"/>
      <c r="O341" s="123" t="n"/>
      <c r="P341" s="123" t="n"/>
      <c r="Q341" s="123" t="n"/>
      <c r="R341" s="123" t="n"/>
      <c r="S341" s="123" t="n"/>
      <c r="T341" s="123" t="n"/>
      <c r="U341" s="123" t="n"/>
      <c r="V341" s="123" t="n"/>
      <c r="W341" s="123" t="n"/>
      <c r="X341" s="123" t="n"/>
      <c r="Y341" s="123" t="n"/>
      <c r="Z341" s="123" t="n"/>
      <c r="AB341" s="127">
        <f>DADOS_INVOC!$PZ$102</f>
        <v/>
      </c>
      <c r="AC341" s="17" t="n"/>
      <c r="AD341" s="127">
        <f>DADOS_INVOC!$QB$102</f>
        <v/>
      </c>
      <c r="AE341" s="16" t="n"/>
      <c r="AF341" s="17" t="n"/>
      <c r="AG341" s="123" t="n"/>
      <c r="AH341" s="123" t="n"/>
      <c r="AI341" s="123" t="n"/>
      <c r="AJ341" s="123" t="n"/>
      <c r="AK341" s="123" t="n"/>
      <c r="AL341" s="123" t="n"/>
      <c r="AM341" s="123" t="n"/>
      <c r="AN341" s="123" t="n"/>
      <c r="AO341" s="123" t="n"/>
      <c r="AP341" s="123" t="n"/>
      <c r="AQ341" s="123" t="n"/>
      <c r="AR341" s="123" t="n"/>
      <c r="AS341" s="123" t="n"/>
    </row>
    <row r="342" hidden="1" outlineLevel="2">
      <c r="A342" s="8" t="n"/>
      <c r="B342" s="14" t="n"/>
      <c r="C342" s="123" t="n"/>
      <c r="D342" s="123" t="n"/>
      <c r="E342" s="123" t="n"/>
      <c r="F342" s="123" t="n"/>
      <c r="G342" s="123" t="n"/>
      <c r="I342" s="132">
        <f>DADOS_INVOC!$QH$24</f>
        <v/>
      </c>
      <c r="J342" s="16" t="n"/>
      <c r="K342" s="16" t="n"/>
      <c r="L342" s="16" t="n"/>
      <c r="M342" s="17" t="n"/>
      <c r="N342" s="123" t="n"/>
      <c r="O342" s="123" t="n"/>
      <c r="P342" s="123" t="n"/>
      <c r="Q342" s="123" t="n"/>
      <c r="R342" s="123" t="n"/>
      <c r="S342" s="123" t="n"/>
      <c r="T342" s="123" t="n"/>
      <c r="U342" s="123" t="n"/>
      <c r="V342" s="123" t="n"/>
      <c r="W342" s="123" t="n"/>
      <c r="X342" s="123" t="n"/>
      <c r="Y342" s="123" t="n"/>
      <c r="Z342" s="123" t="n"/>
      <c r="AB342" s="132">
        <f>DADOS_INVOC!$QH$102</f>
        <v/>
      </c>
      <c r="AC342" s="16" t="n"/>
      <c r="AD342" s="16" t="n"/>
      <c r="AE342" s="16" t="n"/>
      <c r="AF342" s="17" t="n"/>
      <c r="AG342" s="123" t="n"/>
      <c r="AH342" s="123" t="n"/>
      <c r="AI342" s="123" t="n"/>
      <c r="AJ342" s="123" t="n"/>
      <c r="AK342" s="123" t="n"/>
      <c r="AL342" s="123" t="n"/>
      <c r="AM342" s="123" t="n"/>
      <c r="AN342" s="123" t="n"/>
      <c r="AO342" s="123" t="n"/>
      <c r="AP342" s="123" t="n"/>
      <c r="AQ342" s="123" t="n"/>
      <c r="AR342" s="123" t="n"/>
      <c r="AS342" s="123" t="n"/>
    </row>
    <row r="343" hidden="1" outlineLevel="3">
      <c r="A343" s="8" t="n"/>
      <c r="B343" s="14" t="n"/>
      <c r="C343" s="123" t="n"/>
      <c r="D343" s="123" t="n"/>
      <c r="E343" s="123" t="n"/>
      <c r="F343" s="123" t="n"/>
      <c r="G343" s="123" t="n"/>
      <c r="I343" s="55" t="inlineStr">
        <is>
          <t>MELHORIAS</t>
        </is>
      </c>
      <c r="J343" s="133" t="n"/>
      <c r="K343" s="16" t="n"/>
      <c r="L343" s="17" t="n"/>
      <c r="M343" s="132">
        <f>DADOS_INVOC!$QK$24</f>
        <v/>
      </c>
      <c r="N343" s="123" t="n"/>
      <c r="O343" s="123" t="n"/>
      <c r="P343" s="123" t="n"/>
      <c r="Q343" s="123" t="n"/>
      <c r="R343" s="123" t="n"/>
      <c r="S343" s="123" t="n"/>
      <c r="T343" s="123" t="n"/>
      <c r="U343" s="123" t="n"/>
      <c r="V343" s="123" t="n"/>
      <c r="W343" s="123" t="n"/>
      <c r="X343" s="123" t="n"/>
      <c r="Y343" s="123" t="n"/>
      <c r="Z343" s="123" t="n"/>
      <c r="AB343" s="55" t="inlineStr">
        <is>
          <t>MELHORIAS</t>
        </is>
      </c>
      <c r="AC343" s="133" t="n"/>
      <c r="AD343" s="16" t="n"/>
      <c r="AE343" s="17" t="n"/>
      <c r="AF343" s="132">
        <f>DADOS_INVOC!$QK$102</f>
        <v/>
      </c>
      <c r="AG343" s="123" t="n"/>
      <c r="AH343" s="123" t="n"/>
      <c r="AI343" s="123" t="n"/>
      <c r="AJ343" s="123" t="n"/>
      <c r="AK343" s="123" t="n"/>
      <c r="AL343" s="123" t="n"/>
      <c r="AM343" s="123" t="n"/>
      <c r="AN343" s="123" t="n"/>
      <c r="AO343" s="123" t="n"/>
      <c r="AP343" s="123" t="n"/>
      <c r="AQ343" s="123" t="n"/>
      <c r="AR343" s="123" t="n"/>
      <c r="AS343" s="123" t="n"/>
    </row>
    <row r="344" hidden="1" outlineLevel="3">
      <c r="A344" s="8" t="n"/>
      <c r="B344" s="14" t="n"/>
      <c r="C344" s="123" t="n"/>
      <c r="D344" s="123" t="n"/>
      <c r="E344" s="123" t="n"/>
      <c r="F344" s="123" t="n"/>
      <c r="G344" s="123" t="n"/>
      <c r="I344" s="134" t="n"/>
      <c r="J344" s="133" t="n"/>
      <c r="K344" s="16" t="n"/>
      <c r="L344" s="17" t="n"/>
      <c r="M344" s="132">
        <f>DADOS_INVOC!$QL$24</f>
        <v/>
      </c>
      <c r="N344" s="123" t="n"/>
      <c r="O344" s="123" t="n"/>
      <c r="P344" s="123" t="n"/>
      <c r="Q344" s="123" t="n"/>
      <c r="R344" s="123" t="n"/>
      <c r="S344" s="123" t="n"/>
      <c r="T344" s="123" t="n"/>
      <c r="U344" s="123" t="n"/>
      <c r="V344" s="123" t="n"/>
      <c r="W344" s="123" t="n"/>
      <c r="X344" s="123" t="n"/>
      <c r="Y344" s="123" t="n"/>
      <c r="Z344" s="123" t="n"/>
      <c r="AB344" s="134" t="n"/>
      <c r="AC344" s="133" t="n"/>
      <c r="AD344" s="16" t="n"/>
      <c r="AE344" s="17" t="n"/>
      <c r="AF344" s="132">
        <f>DADOS_INVOC!$QL$102</f>
        <v/>
      </c>
      <c r="AG344" s="123" t="n"/>
      <c r="AH344" s="123" t="n"/>
      <c r="AI344" s="123" t="n"/>
      <c r="AJ344" s="123" t="n"/>
      <c r="AK344" s="123" t="n"/>
      <c r="AL344" s="123" t="n"/>
      <c r="AM344" s="123" t="n"/>
      <c r="AN344" s="123" t="n"/>
      <c r="AO344" s="123" t="n"/>
      <c r="AP344" s="123" t="n"/>
      <c r="AQ344" s="123" t="n"/>
      <c r="AR344" s="123" t="n"/>
      <c r="AS344" s="123" t="n"/>
    </row>
    <row r="345" hidden="1" outlineLevel="3">
      <c r="A345" s="8" t="n"/>
      <c r="B345" s="14" t="n"/>
      <c r="C345" s="123" t="n"/>
      <c r="D345" s="123" t="n"/>
      <c r="E345" s="123" t="n"/>
      <c r="F345" s="123" t="n"/>
      <c r="G345" s="123" t="n"/>
      <c r="I345" s="134" t="n"/>
      <c r="J345" s="133" t="n"/>
      <c r="K345" s="16" t="n"/>
      <c r="L345" s="17" t="n"/>
      <c r="M345" s="132">
        <f>DADOS_INVOC!$QM$24</f>
        <v/>
      </c>
      <c r="N345" s="123" t="n"/>
      <c r="O345" s="123" t="n"/>
      <c r="P345" s="123" t="n"/>
      <c r="Q345" s="123" t="n"/>
      <c r="R345" s="123" t="n"/>
      <c r="S345" s="123" t="n"/>
      <c r="T345" s="123" t="n"/>
      <c r="U345" s="123" t="n"/>
      <c r="V345" s="123" t="n"/>
      <c r="W345" s="123" t="n"/>
      <c r="X345" s="123" t="n"/>
      <c r="Y345" s="123" t="n"/>
      <c r="Z345" s="123" t="n"/>
      <c r="AB345" s="134" t="n"/>
      <c r="AC345" s="133" t="n"/>
      <c r="AD345" s="16" t="n"/>
      <c r="AE345" s="17" t="n"/>
      <c r="AF345" s="132">
        <f>DADOS_INVOC!$QM$102</f>
        <v/>
      </c>
      <c r="AG345" s="123" t="n"/>
      <c r="AH345" s="123" t="n"/>
      <c r="AI345" s="123" t="n"/>
      <c r="AJ345" s="123" t="n"/>
      <c r="AK345" s="123" t="n"/>
      <c r="AL345" s="123" t="n"/>
      <c r="AM345" s="123" t="n"/>
      <c r="AN345" s="123" t="n"/>
      <c r="AO345" s="123" t="n"/>
      <c r="AP345" s="123" t="n"/>
      <c r="AQ345" s="123" t="n"/>
      <c r="AR345" s="123" t="n"/>
      <c r="AS345" s="123" t="n"/>
    </row>
    <row r="346" hidden="1" outlineLevel="3">
      <c r="A346" s="8" t="n"/>
      <c r="B346" s="14" t="n"/>
      <c r="C346" s="123" t="n"/>
      <c r="D346" s="123" t="n"/>
      <c r="E346" s="123" t="n"/>
      <c r="F346" s="123" t="n"/>
      <c r="G346" s="123" t="n"/>
      <c r="I346" s="128" t="n"/>
      <c r="J346" s="133" t="n"/>
      <c r="K346" s="16" t="n"/>
      <c r="L346" s="17" t="n"/>
      <c r="M346" s="132">
        <f>DADOS_INVOC!$QN$24</f>
        <v/>
      </c>
      <c r="N346" s="123" t="n"/>
      <c r="O346" s="123" t="n"/>
      <c r="P346" s="123" t="n"/>
      <c r="Q346" s="123" t="n"/>
      <c r="R346" s="123" t="n"/>
      <c r="S346" s="123" t="n"/>
      <c r="T346" s="123" t="n"/>
      <c r="U346" s="123" t="n"/>
      <c r="V346" s="123" t="n"/>
      <c r="W346" s="123" t="n"/>
      <c r="X346" s="123" t="n"/>
      <c r="Y346" s="123" t="n"/>
      <c r="Z346" s="123" t="n"/>
      <c r="AB346" s="128" t="n"/>
      <c r="AC346" s="133" t="n"/>
      <c r="AD346" s="16" t="n"/>
      <c r="AE346" s="17" t="n"/>
      <c r="AF346" s="132">
        <f>DADOS_INVOC!$QN$102</f>
        <v/>
      </c>
      <c r="AG346" s="123" t="n"/>
      <c r="AH346" s="123" t="n"/>
      <c r="AI346" s="123" t="n"/>
      <c r="AJ346" s="123" t="n"/>
      <c r="AK346" s="123" t="n"/>
      <c r="AL346" s="123" t="n"/>
      <c r="AM346" s="123" t="n"/>
      <c r="AN346" s="123" t="n"/>
      <c r="AO346" s="123" t="n"/>
      <c r="AP346" s="123" t="n"/>
      <c r="AQ346" s="123" t="n"/>
      <c r="AR346" s="123" t="n"/>
      <c r="AS346" s="123" t="n"/>
    </row>
    <row r="347" hidden="1" outlineLevel="3">
      <c r="A347" s="8" t="n"/>
      <c r="B347" s="14" t="n"/>
      <c r="C347" s="123" t="n"/>
      <c r="D347" s="123" t="n"/>
      <c r="E347" s="123" t="n"/>
      <c r="F347" s="123" t="n"/>
      <c r="G347" s="123" t="n"/>
      <c r="I347" s="55" t="inlineStr">
        <is>
          <t>RESTRIÇÕES</t>
        </is>
      </c>
      <c r="J347" s="133" t="n"/>
      <c r="K347" s="16" t="n"/>
      <c r="L347" s="17" t="n"/>
      <c r="M347" s="132">
        <f>DADOS_INVOC!$QO$24</f>
        <v/>
      </c>
      <c r="N347" s="123" t="n"/>
      <c r="O347" s="123" t="n"/>
      <c r="P347" s="123" t="n"/>
      <c r="Q347" s="123" t="n"/>
      <c r="R347" s="123" t="n"/>
      <c r="S347" s="123" t="n"/>
      <c r="T347" s="123" t="n"/>
      <c r="U347" s="123" t="n"/>
      <c r="V347" s="123" t="n"/>
      <c r="W347" s="123" t="n"/>
      <c r="X347" s="123" t="n"/>
      <c r="Y347" s="123" t="n"/>
      <c r="Z347" s="123" t="n"/>
      <c r="AB347" s="55" t="inlineStr">
        <is>
          <t>RESTRIÇÕES</t>
        </is>
      </c>
      <c r="AC347" s="133" t="n"/>
      <c r="AD347" s="16" t="n"/>
      <c r="AE347" s="17" t="n"/>
      <c r="AF347" s="132">
        <f>DADOS_INVOC!$QO$102</f>
        <v/>
      </c>
      <c r="AG347" s="123" t="n"/>
      <c r="AH347" s="123" t="n"/>
      <c r="AI347" s="123" t="n"/>
      <c r="AJ347" s="123" t="n"/>
      <c r="AK347" s="123" t="n"/>
      <c r="AL347" s="123" t="n"/>
      <c r="AM347" s="123" t="n"/>
      <c r="AN347" s="123" t="n"/>
      <c r="AO347" s="123" t="n"/>
      <c r="AP347" s="123" t="n"/>
      <c r="AQ347" s="123" t="n"/>
      <c r="AR347" s="123" t="n"/>
      <c r="AS347" s="123" t="n"/>
    </row>
    <row r="348" hidden="1" outlineLevel="3">
      <c r="A348" s="8" t="n"/>
      <c r="B348" s="14" t="n"/>
      <c r="C348" s="123" t="n"/>
      <c r="D348" s="123" t="n"/>
      <c r="E348" s="123" t="n"/>
      <c r="F348" s="123" t="n"/>
      <c r="G348" s="123" t="n"/>
      <c r="I348" s="128" t="n"/>
      <c r="J348" s="133" t="n"/>
      <c r="K348" s="16" t="n"/>
      <c r="L348" s="17" t="n"/>
      <c r="M348" s="132">
        <f>DADOS_INVOC!$QP$24</f>
        <v/>
      </c>
      <c r="N348" s="123" t="n"/>
      <c r="O348" s="123" t="n"/>
      <c r="P348" s="123" t="n"/>
      <c r="Q348" s="123" t="n"/>
      <c r="R348" s="123" t="n"/>
      <c r="S348" s="123" t="n"/>
      <c r="T348" s="123" t="n"/>
      <c r="U348" s="123" t="n"/>
      <c r="V348" s="123" t="n"/>
      <c r="W348" s="123" t="n"/>
      <c r="X348" s="123" t="n"/>
      <c r="Y348" s="123" t="n"/>
      <c r="Z348" s="123" t="n"/>
      <c r="AB348" s="128" t="n"/>
      <c r="AC348" s="133" t="n"/>
      <c r="AD348" s="16" t="n"/>
      <c r="AE348" s="17" t="n"/>
      <c r="AF348" s="132">
        <f>DADOS_INVOC!$QP$102</f>
        <v/>
      </c>
      <c r="AG348" s="123" t="n"/>
      <c r="AH348" s="123" t="n"/>
      <c r="AI348" s="123" t="n"/>
      <c r="AJ348" s="123" t="n"/>
      <c r="AK348" s="123" t="n"/>
      <c r="AL348" s="123" t="n"/>
      <c r="AM348" s="123" t="n"/>
      <c r="AN348" s="123" t="n"/>
      <c r="AO348" s="123" t="n"/>
      <c r="AP348" s="123" t="n"/>
      <c r="AQ348" s="123" t="n"/>
      <c r="AR348" s="123" t="n"/>
      <c r="AS348" s="123" t="n"/>
    </row>
    <row r="349" hidden="1" outlineLevel="3">
      <c r="A349" s="8" t="n"/>
      <c r="B349" s="14" t="n"/>
      <c r="C349" s="123" t="n"/>
      <c r="D349" s="123" t="n"/>
      <c r="E349" s="123" t="n"/>
      <c r="F349" s="123" t="n"/>
      <c r="G349" s="123" t="n"/>
      <c r="I349" s="55" t="inlineStr">
        <is>
          <t>CONTA</t>
        </is>
      </c>
      <c r="J349" s="135">
        <f>DADOS_INVOC!$QI$24</f>
        <v/>
      </c>
      <c r="K349" s="16" t="n"/>
      <c r="L349" s="16" t="n"/>
      <c r="M349" s="17" t="n"/>
      <c r="N349" s="123" t="n"/>
      <c r="O349" s="123" t="n"/>
      <c r="P349" s="123" t="n"/>
      <c r="Q349" s="123" t="n"/>
      <c r="R349" s="123" t="n"/>
      <c r="S349" s="123" t="n"/>
      <c r="T349" s="123" t="n"/>
      <c r="U349" s="123" t="n"/>
      <c r="V349" s="123" t="n"/>
      <c r="W349" s="123" t="n"/>
      <c r="X349" s="123" t="n"/>
      <c r="Y349" s="123" t="n"/>
      <c r="Z349" s="123" t="n"/>
      <c r="AB349" s="55" t="inlineStr">
        <is>
          <t>CONTA</t>
        </is>
      </c>
      <c r="AC349" s="135">
        <f>DADOS_INVOC!$QI$102</f>
        <v/>
      </c>
      <c r="AD349" s="16" t="n"/>
      <c r="AE349" s="16" t="n"/>
      <c r="AF349" s="17" t="n"/>
      <c r="AG349" s="123" t="n"/>
      <c r="AH349" s="123" t="n"/>
      <c r="AI349" s="123" t="n"/>
      <c r="AJ349" s="123" t="n"/>
      <c r="AK349" s="123" t="n"/>
      <c r="AL349" s="123" t="n"/>
      <c r="AM349" s="123" t="n"/>
      <c r="AN349" s="123" t="n"/>
      <c r="AO349" s="123" t="n"/>
      <c r="AP349" s="123" t="n"/>
      <c r="AQ349" s="123" t="n"/>
      <c r="AR349" s="123" t="n"/>
      <c r="AS349" s="123" t="n"/>
    </row>
    <row r="350" hidden="1" outlineLevel="3">
      <c r="A350" s="8" t="n"/>
      <c r="B350" s="14" t="n"/>
      <c r="C350" s="123" t="n"/>
      <c r="D350" s="123" t="n"/>
      <c r="E350" s="123" t="n"/>
      <c r="F350" s="123" t="n"/>
      <c r="G350" s="123" t="n"/>
      <c r="I350" s="55" t="inlineStr">
        <is>
          <t>AMPLIAR</t>
        </is>
      </c>
      <c r="J350" s="135">
        <f>DADOS_INVOC!$QJ$24</f>
        <v/>
      </c>
      <c r="K350" s="19" t="n"/>
      <c r="L350" s="19" t="n"/>
      <c r="M350" s="20" t="n"/>
      <c r="N350" s="123" t="n"/>
      <c r="O350" s="123" t="n"/>
      <c r="P350" s="123" t="n"/>
      <c r="Q350" s="123" t="n"/>
      <c r="R350" s="123" t="n"/>
      <c r="S350" s="123" t="n"/>
      <c r="T350" s="123" t="n"/>
      <c r="U350" s="123" t="n"/>
      <c r="V350" s="123" t="n"/>
      <c r="W350" s="123" t="n"/>
      <c r="X350" s="123" t="n"/>
      <c r="Y350" s="123" t="n"/>
      <c r="Z350" s="123" t="n"/>
      <c r="AB350" s="55" t="inlineStr">
        <is>
          <t>AMPLIAR</t>
        </is>
      </c>
      <c r="AC350" s="135">
        <f>DADOS_INVOC!$QJ$102</f>
        <v/>
      </c>
      <c r="AD350" s="19" t="n"/>
      <c r="AE350" s="19" t="n"/>
      <c r="AF350" s="20" t="n"/>
      <c r="AG350" s="123" t="n"/>
      <c r="AH350" s="123" t="n"/>
      <c r="AI350" s="123" t="n"/>
      <c r="AJ350" s="123" t="n"/>
      <c r="AK350" s="123" t="n"/>
      <c r="AL350" s="123" t="n"/>
      <c r="AM350" s="123" t="n"/>
      <c r="AN350" s="123" t="n"/>
      <c r="AO350" s="123" t="n"/>
      <c r="AP350" s="123" t="n"/>
      <c r="AQ350" s="123" t="n"/>
      <c r="AR350" s="123" t="n"/>
      <c r="AS350" s="123" t="n"/>
    </row>
    <row r="351" hidden="1" outlineLevel="3">
      <c r="A351" s="8" t="n"/>
      <c r="B351" s="14" t="n"/>
      <c r="C351" s="123" t="n"/>
      <c r="D351" s="123" t="n"/>
      <c r="E351" s="123" t="n"/>
      <c r="F351" s="123" t="n"/>
      <c r="G351" s="123" t="n"/>
      <c r="I351" s="128" t="n"/>
      <c r="J351" s="23" t="n"/>
      <c r="K351" s="24" t="n"/>
      <c r="L351" s="24" t="n"/>
      <c r="M351" s="25" t="n"/>
      <c r="N351" s="123" t="n"/>
      <c r="O351" s="123" t="n"/>
      <c r="P351" s="123" t="n"/>
      <c r="Q351" s="123" t="n"/>
      <c r="R351" s="123" t="n"/>
      <c r="S351" s="123" t="n"/>
      <c r="T351" s="123" t="n"/>
      <c r="U351" s="123" t="n"/>
      <c r="V351" s="123" t="n"/>
      <c r="W351" s="123" t="n"/>
      <c r="X351" s="123" t="n"/>
      <c r="Y351" s="123" t="n"/>
      <c r="Z351" s="123" t="n"/>
      <c r="AB351" s="128" t="n"/>
      <c r="AC351" s="23" t="n"/>
      <c r="AD351" s="24" t="n"/>
      <c r="AE351" s="24" t="n"/>
      <c r="AF351" s="25" t="n"/>
      <c r="AG351" s="123" t="n"/>
      <c r="AH351" s="123" t="n"/>
      <c r="AI351" s="123" t="n"/>
      <c r="AJ351" s="123" t="n"/>
      <c r="AK351" s="123" t="n"/>
      <c r="AL351" s="123" t="n"/>
      <c r="AM351" s="123" t="n"/>
      <c r="AN351" s="123" t="n"/>
      <c r="AO351" s="123" t="n"/>
      <c r="AP351" s="123" t="n"/>
      <c r="AQ351" s="123" t="n"/>
      <c r="AR351" s="123" t="n"/>
      <c r="AS351" s="123" t="n"/>
    </row>
    <row r="352" hidden="1" outlineLevel="3">
      <c r="A352" s="8" t="n"/>
      <c r="B352" s="14" t="n"/>
      <c r="C352" s="123" t="n"/>
      <c r="D352" s="123" t="n"/>
      <c r="E352" s="123" t="n"/>
      <c r="F352" s="123" t="n"/>
      <c r="G352" s="123" t="n"/>
      <c r="I352" s="135">
        <f>DADOS_INVOC!$PW$24</f>
        <v/>
      </c>
      <c r="J352" s="19" t="n"/>
      <c r="K352" s="19" t="n"/>
      <c r="L352" s="19" t="n"/>
      <c r="M352" s="20" t="n"/>
      <c r="N352" s="123" t="n"/>
      <c r="O352" s="123" t="n"/>
      <c r="P352" s="123" t="n"/>
      <c r="Q352" s="123" t="n"/>
      <c r="R352" s="123" t="n"/>
      <c r="S352" s="123" t="n"/>
      <c r="T352" s="123" t="n"/>
      <c r="U352" s="123" t="n"/>
      <c r="V352" s="123" t="n"/>
      <c r="W352" s="123" t="n"/>
      <c r="X352" s="123" t="n"/>
      <c r="Y352" s="123" t="n"/>
      <c r="Z352" s="123" t="n"/>
      <c r="AB352" s="135">
        <f>DADOS_INVOC!$PW$102</f>
        <v/>
      </c>
      <c r="AC352" s="19" t="n"/>
      <c r="AD352" s="19" t="n"/>
      <c r="AE352" s="19" t="n"/>
      <c r="AF352" s="20" t="n"/>
      <c r="AG352" s="123" t="n"/>
      <c r="AH352" s="123" t="n"/>
      <c r="AI352" s="123" t="n"/>
      <c r="AJ352" s="123" t="n"/>
      <c r="AK352" s="123" t="n"/>
      <c r="AL352" s="123" t="n"/>
      <c r="AM352" s="123" t="n"/>
      <c r="AN352" s="123" t="n"/>
      <c r="AO352" s="123" t="n"/>
      <c r="AP352" s="123" t="n"/>
      <c r="AQ352" s="123" t="n"/>
      <c r="AR352" s="123" t="n"/>
      <c r="AS352" s="123" t="n"/>
    </row>
    <row r="353" hidden="1" outlineLevel="3">
      <c r="A353" s="8" t="n"/>
      <c r="B353" s="14" t="n"/>
      <c r="C353" s="123" t="n"/>
      <c r="D353" s="123" t="n"/>
      <c r="E353" s="123" t="n"/>
      <c r="F353" s="123" t="n"/>
      <c r="G353" s="123" t="n"/>
      <c r="I353" s="23" t="n"/>
      <c r="J353" s="24" t="n"/>
      <c r="K353" s="24" t="n"/>
      <c r="L353" s="24" t="n"/>
      <c r="M353" s="25" t="n"/>
      <c r="N353" s="123" t="n"/>
      <c r="O353" s="123" t="n"/>
      <c r="P353" s="123" t="n"/>
      <c r="Q353" s="123" t="n"/>
      <c r="R353" s="123" t="n"/>
      <c r="S353" s="123" t="n"/>
      <c r="T353" s="123" t="n"/>
      <c r="U353" s="123" t="n"/>
      <c r="V353" s="123" t="n"/>
      <c r="W353" s="123" t="n"/>
      <c r="X353" s="123" t="n"/>
      <c r="Y353" s="123" t="n"/>
      <c r="Z353" s="123" t="n"/>
      <c r="AB353" s="23" t="n"/>
      <c r="AC353" s="24" t="n"/>
      <c r="AD353" s="24" t="n"/>
      <c r="AE353" s="24" t="n"/>
      <c r="AF353" s="25" t="n"/>
      <c r="AG353" s="123" t="n"/>
      <c r="AH353" s="123" t="n"/>
      <c r="AI353" s="123" t="n"/>
      <c r="AJ353" s="123" t="n"/>
      <c r="AK353" s="123" t="n"/>
      <c r="AL353" s="123" t="n"/>
      <c r="AM353" s="123" t="n"/>
      <c r="AN353" s="123" t="n"/>
      <c r="AO353" s="123" t="n"/>
      <c r="AP353" s="123" t="n"/>
      <c r="AQ353" s="123" t="n"/>
      <c r="AR353" s="123" t="n"/>
      <c r="AS353" s="123" t="n"/>
    </row>
    <row r="354" hidden="1" outlineLevel="1">
      <c r="A354" s="8" t="n"/>
      <c r="B354" s="14" t="n"/>
      <c r="C354" s="123" t="n"/>
      <c r="D354" s="123" t="n"/>
      <c r="E354" s="123" t="n"/>
      <c r="F354" s="123" t="n"/>
      <c r="G354" s="123" t="n"/>
      <c r="I354" s="123" t="n"/>
      <c r="J354" s="123" t="n"/>
      <c r="K354" s="123" t="n"/>
      <c r="L354" s="123" t="n"/>
      <c r="M354" s="123" t="n"/>
      <c r="N354" s="123" t="n"/>
      <c r="O354" s="123" t="n"/>
      <c r="P354" s="123" t="n"/>
      <c r="Q354" s="123" t="n"/>
      <c r="R354" s="123" t="n"/>
      <c r="S354" s="123" t="n"/>
      <c r="T354" s="123" t="n"/>
      <c r="U354" s="123" t="n"/>
      <c r="V354" s="123" t="n"/>
      <c r="W354" s="123" t="n"/>
      <c r="X354" s="123" t="n"/>
      <c r="Y354" s="123" t="n"/>
      <c r="Z354" s="123" t="n"/>
      <c r="AB354" s="123" t="n"/>
      <c r="AC354" s="123" t="n"/>
      <c r="AD354" s="123" t="n"/>
      <c r="AE354" s="123" t="n"/>
      <c r="AF354" s="123" t="n"/>
      <c r="AG354" s="123" t="n"/>
      <c r="AH354" s="123" t="n"/>
      <c r="AI354" s="123" t="n"/>
      <c r="AJ354" s="123" t="n"/>
      <c r="AK354" s="123" t="n"/>
      <c r="AL354" s="123" t="n"/>
      <c r="AM354" s="123" t="n"/>
      <c r="AN354" s="123" t="n"/>
      <c r="AO354" s="123" t="n"/>
      <c r="AP354" s="123" t="n"/>
      <c r="AQ354" s="123" t="n"/>
      <c r="AR354" s="123" t="n"/>
      <c r="AS354" s="123" t="n"/>
    </row>
    <row r="355" hidden="1" outlineLevel="1">
      <c r="A355" s="8" t="n"/>
      <c r="B355" s="14" t="n"/>
      <c r="C355" s="123" t="n"/>
      <c r="D355" s="123" t="n"/>
      <c r="E355" s="123" t="n"/>
      <c r="F355" s="123" t="n"/>
      <c r="G355" s="123" t="n"/>
      <c r="I355" s="136"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23" t="n"/>
      <c r="AB355" s="136"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23" t="n"/>
    </row>
    <row r="356" hidden="1" outlineLevel="2">
      <c r="A356" s="8" t="n"/>
      <c r="B356" s="14" t="n"/>
      <c r="C356" s="123" t="n"/>
      <c r="D356" s="123" t="n"/>
      <c r="E356" s="123" t="n"/>
      <c r="F356" s="123" t="n"/>
      <c r="G356" s="123" t="n"/>
      <c r="I356" s="123" t="n"/>
      <c r="J356" s="123" t="n"/>
      <c r="K356" s="123" t="n"/>
      <c r="L356" s="123" t="n"/>
      <c r="M356" s="123" t="n"/>
      <c r="N356" s="123" t="n"/>
      <c r="O356" s="123" t="n"/>
      <c r="P356" s="123" t="n"/>
      <c r="Q356" s="123" t="n"/>
      <c r="R356" s="123" t="n"/>
      <c r="S356" s="123" t="n"/>
      <c r="T356" s="123" t="n"/>
      <c r="U356" s="123" t="n"/>
      <c r="V356" s="123" t="n"/>
      <c r="W356" s="123" t="n"/>
      <c r="X356" s="123" t="n"/>
      <c r="Y356" s="123" t="n"/>
      <c r="Z356" s="123" t="n"/>
      <c r="AB356" s="123" t="n"/>
      <c r="AC356" s="123" t="n"/>
      <c r="AD356" s="123" t="n"/>
      <c r="AE356" s="123" t="n"/>
      <c r="AF356" s="123" t="n"/>
      <c r="AG356" s="123" t="n"/>
      <c r="AH356" s="123" t="n"/>
      <c r="AI356" s="123" t="n"/>
      <c r="AJ356" s="123" t="n"/>
      <c r="AK356" s="123" t="n"/>
      <c r="AL356" s="123" t="n"/>
      <c r="AM356" s="123" t="n"/>
      <c r="AN356" s="123" t="n"/>
      <c r="AO356" s="123" t="n"/>
      <c r="AP356" s="123" t="n"/>
      <c r="AQ356" s="123" t="n"/>
      <c r="AR356" s="123" t="n"/>
      <c r="AS356" s="123" t="n"/>
    </row>
    <row r="357" hidden="1" outlineLevel="2">
      <c r="A357" s="8" t="n"/>
      <c r="B357" s="14" t="n"/>
      <c r="C357" s="123" t="n"/>
      <c r="D357" s="123" t="n"/>
      <c r="E357" s="123" t="n"/>
      <c r="F357" s="123" t="n"/>
      <c r="G357" s="123" t="n"/>
      <c r="I357" s="55">
        <f>DADOS_INVOC!$PX$25</f>
        <v/>
      </c>
      <c r="J357" s="16" t="n"/>
      <c r="K357" s="16" t="n"/>
      <c r="L357" s="16" t="n"/>
      <c r="M357" s="17" t="n"/>
      <c r="N357" s="123" t="n"/>
      <c r="O357" s="55">
        <f>DADOS_INVOC!$PX$26</f>
        <v/>
      </c>
      <c r="P357" s="16" t="n"/>
      <c r="Q357" s="16" t="n"/>
      <c r="R357" s="16" t="n"/>
      <c r="S357" s="17" t="n"/>
      <c r="T357" s="123" t="n"/>
      <c r="U357" s="55">
        <f>DADOS_INVOC!$PX$27</f>
        <v/>
      </c>
      <c r="V357" s="16" t="n"/>
      <c r="W357" s="16" t="n"/>
      <c r="X357" s="16" t="n"/>
      <c r="Y357" s="17" t="n"/>
      <c r="Z357" s="123" t="n"/>
      <c r="AB357" s="55">
        <f>DADOS_INVOC!$PX$103</f>
        <v/>
      </c>
      <c r="AC357" s="16" t="n"/>
      <c r="AD357" s="16" t="n"/>
      <c r="AE357" s="16" t="n"/>
      <c r="AF357" s="17" t="n"/>
      <c r="AG357" s="123" t="n"/>
      <c r="AH357" s="55">
        <f>DADOS_INVOC!$PX$104</f>
        <v/>
      </c>
      <c r="AI357" s="16" t="n"/>
      <c r="AJ357" s="16" t="n"/>
      <c r="AK357" s="16" t="n"/>
      <c r="AL357" s="17" t="n"/>
      <c r="AM357" s="123" t="n"/>
      <c r="AN357" s="55">
        <f>DADOS_INVOC!$PX$105</f>
        <v/>
      </c>
      <c r="AO357" s="16" t="n"/>
      <c r="AP357" s="16" t="n"/>
      <c r="AQ357" s="16" t="n"/>
      <c r="AR357" s="17" t="n"/>
      <c r="AS357" s="123" t="n"/>
    </row>
    <row r="358" hidden="1" outlineLevel="2">
      <c r="A358" s="8" t="n"/>
      <c r="B358" s="14" t="n"/>
      <c r="C358" s="123" t="n"/>
      <c r="D358" s="123" t="n"/>
      <c r="E358" s="123" t="n"/>
      <c r="F358" s="123" t="n"/>
      <c r="G358" s="123" t="n"/>
      <c r="I358" s="130" t="n">
        <v>1</v>
      </c>
      <c r="J358" s="118" t="n"/>
      <c r="K358" s="16" t="n"/>
      <c r="L358" s="17" t="n"/>
      <c r="M358" s="131">
        <f>DADOS_INVOC!$PV$25</f>
        <v/>
      </c>
      <c r="N358" s="123" t="n"/>
      <c r="O358" s="130" t="n">
        <v>1</v>
      </c>
      <c r="P358" s="118" t="n"/>
      <c r="Q358" s="16" t="n"/>
      <c r="R358" s="17" t="n"/>
      <c r="S358" s="131">
        <f>DADOS_INVOC!$PV$26</f>
        <v/>
      </c>
      <c r="T358" s="123" t="n"/>
      <c r="U358" s="130" t="n">
        <v>1</v>
      </c>
      <c r="V358" s="118" t="n"/>
      <c r="W358" s="16" t="n"/>
      <c r="X358" s="17" t="n"/>
      <c r="Y358" s="131">
        <f>DADOS_INVOC!$PV$27</f>
        <v/>
      </c>
      <c r="Z358" s="123" t="n"/>
      <c r="AB358" s="130" t="n">
        <v>1</v>
      </c>
      <c r="AC358" s="118" t="n"/>
      <c r="AD358" s="16" t="n"/>
      <c r="AE358" s="17" t="n"/>
      <c r="AF358" s="131">
        <f>DADOS_INVOC!$PV$103</f>
        <v/>
      </c>
      <c r="AG358" s="123" t="n"/>
      <c r="AH358" s="130" t="n">
        <v>1</v>
      </c>
      <c r="AI358" s="118" t="n"/>
      <c r="AJ358" s="16" t="n"/>
      <c r="AK358" s="17" t="n"/>
      <c r="AL358" s="131">
        <f>DADOS_INVOC!$PV$104</f>
        <v/>
      </c>
      <c r="AM358" s="123" t="n"/>
      <c r="AN358" s="130" t="n">
        <v>1</v>
      </c>
      <c r="AO358" s="118" t="n"/>
      <c r="AP358" s="16" t="n"/>
      <c r="AQ358" s="17" t="n"/>
      <c r="AR358" s="131">
        <f>DADOS_INVOC!$PV$105</f>
        <v/>
      </c>
      <c r="AS358" s="123" t="n"/>
    </row>
    <row r="359" hidden="1" outlineLevel="3">
      <c r="A359" s="8" t="n"/>
      <c r="B359" s="14" t="n"/>
      <c r="C359" s="123" t="n"/>
      <c r="D359" s="123" t="n"/>
      <c r="E359" s="123" t="n"/>
      <c r="F359" s="123" t="n"/>
      <c r="G359" s="123" t="n"/>
      <c r="I359" s="55" t="inlineStr">
        <is>
          <t>COMO É</t>
        </is>
      </c>
      <c r="J359" s="16" t="n"/>
      <c r="K359" s="16" t="n"/>
      <c r="L359" s="16" t="n"/>
      <c r="M359" s="17" t="n"/>
      <c r="N359" s="123" t="n"/>
      <c r="O359" s="55" t="inlineStr">
        <is>
          <t>COMO É</t>
        </is>
      </c>
      <c r="P359" s="16" t="n"/>
      <c r="Q359" s="16" t="n"/>
      <c r="R359" s="16" t="n"/>
      <c r="S359" s="17" t="n"/>
      <c r="T359" s="123" t="n"/>
      <c r="U359" s="55" t="inlineStr">
        <is>
          <t>COMO É</t>
        </is>
      </c>
      <c r="V359" s="16" t="n"/>
      <c r="W359" s="16" t="n"/>
      <c r="X359" s="16" t="n"/>
      <c r="Y359" s="17" t="n"/>
      <c r="Z359" s="123" t="n"/>
      <c r="AB359" s="55" t="inlineStr">
        <is>
          <t>COMO É</t>
        </is>
      </c>
      <c r="AC359" s="16" t="n"/>
      <c r="AD359" s="16" t="n"/>
      <c r="AE359" s="16" t="n"/>
      <c r="AF359" s="17" t="n"/>
      <c r="AG359" s="123" t="n"/>
      <c r="AH359" s="55" t="inlineStr">
        <is>
          <t>COMO É</t>
        </is>
      </c>
      <c r="AI359" s="16" t="n"/>
      <c r="AJ359" s="16" t="n"/>
      <c r="AK359" s="16" t="n"/>
      <c r="AL359" s="17" t="n"/>
      <c r="AM359" s="123" t="n"/>
      <c r="AN359" s="55" t="inlineStr">
        <is>
          <t>COMO É</t>
        </is>
      </c>
      <c r="AO359" s="16" t="n"/>
      <c r="AP359" s="16" t="n"/>
      <c r="AQ359" s="16" t="n"/>
      <c r="AR359" s="17" t="n"/>
      <c r="AS359" s="123" t="n"/>
    </row>
    <row r="360" hidden="1" outlineLevel="3">
      <c r="A360" s="8" t="n"/>
      <c r="B360" s="14" t="n"/>
      <c r="C360" s="123" t="n"/>
      <c r="D360" s="123" t="n"/>
      <c r="E360" s="123" t="n"/>
      <c r="F360" s="123" t="n"/>
      <c r="G360" s="123" t="n"/>
      <c r="I360" s="119" t="n"/>
      <c r="J360" s="19" t="n"/>
      <c r="K360" s="19" t="n"/>
      <c r="L360" s="19" t="n"/>
      <c r="M360" s="20" t="n"/>
      <c r="N360" s="123" t="n"/>
      <c r="O360" s="119" t="n"/>
      <c r="P360" s="19" t="n"/>
      <c r="Q360" s="19" t="n"/>
      <c r="R360" s="19" t="n"/>
      <c r="S360" s="20" t="n"/>
      <c r="T360" s="123" t="n"/>
      <c r="U360" s="119" t="n"/>
      <c r="V360" s="19" t="n"/>
      <c r="W360" s="19" t="n"/>
      <c r="X360" s="19" t="n"/>
      <c r="Y360" s="20" t="n"/>
      <c r="Z360" s="123" t="n"/>
      <c r="AB360" s="119" t="n"/>
      <c r="AC360" s="19" t="n"/>
      <c r="AD360" s="19" t="n"/>
      <c r="AE360" s="19" t="n"/>
      <c r="AF360" s="20" t="n"/>
      <c r="AG360" s="123" t="n"/>
      <c r="AH360" s="119" t="n"/>
      <c r="AI360" s="19" t="n"/>
      <c r="AJ360" s="19" t="n"/>
      <c r="AK360" s="19" t="n"/>
      <c r="AL360" s="20" t="n"/>
      <c r="AM360" s="123" t="n"/>
      <c r="AN360" s="119" t="n"/>
      <c r="AO360" s="19" t="n"/>
      <c r="AP360" s="19" t="n"/>
      <c r="AQ360" s="19" t="n"/>
      <c r="AR360" s="20" t="n"/>
      <c r="AS360" s="123" t="n"/>
    </row>
    <row r="361" hidden="1" outlineLevel="3">
      <c r="A361" s="8" t="n"/>
      <c r="B361" s="14" t="n"/>
      <c r="C361" s="123" t="n"/>
      <c r="D361" s="123" t="n"/>
      <c r="E361" s="123" t="n"/>
      <c r="F361" s="123" t="n"/>
      <c r="G361" s="123" t="n"/>
      <c r="I361" s="21" t="n"/>
      <c r="M361" s="22" t="n"/>
      <c r="N361" s="123" t="n"/>
      <c r="O361" s="21" t="n"/>
      <c r="S361" s="22" t="n"/>
      <c r="T361" s="123" t="n"/>
      <c r="U361" s="21" t="n"/>
      <c r="Y361" s="22" t="n"/>
      <c r="Z361" s="123" t="n"/>
      <c r="AB361" s="21" t="n"/>
      <c r="AF361" s="22" t="n"/>
      <c r="AG361" s="123" t="n"/>
      <c r="AH361" s="21" t="n"/>
      <c r="AL361" s="22" t="n"/>
      <c r="AM361" s="123" t="n"/>
      <c r="AN361" s="21" t="n"/>
      <c r="AR361" s="22" t="n"/>
      <c r="AS361" s="123" t="n"/>
    </row>
    <row r="362" hidden="1" outlineLevel="3">
      <c r="A362" s="8" t="n"/>
      <c r="B362" s="14" t="n"/>
      <c r="C362" s="123" t="n"/>
      <c r="D362" s="123" t="n"/>
      <c r="E362" s="123" t="n"/>
      <c r="F362" s="123" t="n"/>
      <c r="G362" s="123" t="n"/>
      <c r="I362" s="23" t="n"/>
      <c r="J362" s="24" t="n"/>
      <c r="K362" s="24" t="n"/>
      <c r="L362" s="24" t="n"/>
      <c r="M362" s="25" t="n"/>
      <c r="N362" s="123" t="n"/>
      <c r="O362" s="23" t="n"/>
      <c r="P362" s="24" t="n"/>
      <c r="Q362" s="24" t="n"/>
      <c r="R362" s="24" t="n"/>
      <c r="S362" s="25" t="n"/>
      <c r="T362" s="123" t="n"/>
      <c r="U362" s="23" t="n"/>
      <c r="V362" s="24" t="n"/>
      <c r="W362" s="24" t="n"/>
      <c r="X362" s="24" t="n"/>
      <c r="Y362" s="25" t="n"/>
      <c r="Z362" s="123" t="n"/>
      <c r="AB362" s="23" t="n"/>
      <c r="AC362" s="24" t="n"/>
      <c r="AD362" s="24" t="n"/>
      <c r="AE362" s="24" t="n"/>
      <c r="AF362" s="25" t="n"/>
      <c r="AG362" s="123" t="n"/>
      <c r="AH362" s="23" t="n"/>
      <c r="AI362" s="24" t="n"/>
      <c r="AJ362" s="24" t="n"/>
      <c r="AK362" s="24" t="n"/>
      <c r="AL362" s="25" t="n"/>
      <c r="AM362" s="123" t="n"/>
      <c r="AN362" s="23" t="n"/>
      <c r="AO362" s="24" t="n"/>
      <c r="AP362" s="24" t="n"/>
      <c r="AQ362" s="24" t="n"/>
      <c r="AR362" s="25" t="n"/>
      <c r="AS362" s="123" t="n"/>
    </row>
    <row r="363" hidden="1" outlineLevel="2">
      <c r="A363" s="8" t="n"/>
      <c r="B363" s="14" t="n"/>
      <c r="C363" s="123" t="n"/>
      <c r="D363" s="123" t="n"/>
      <c r="E363" s="123" t="n"/>
      <c r="F363" s="123" t="n"/>
      <c r="G363" s="123" t="n"/>
      <c r="I363" s="127" t="inlineStr">
        <is>
          <t>Projétil</t>
        </is>
      </c>
      <c r="J363" s="17" t="n"/>
      <c r="K363" s="68">
        <f>DADOS_INVOC!$QC$25</f>
        <v/>
      </c>
      <c r="L363" s="17" t="n"/>
      <c r="M363" s="68">
        <f>DADOS_INVOC!$PY$25</f>
        <v/>
      </c>
      <c r="N363" s="123" t="n"/>
      <c r="O363" s="127" t="inlineStr">
        <is>
          <t>Projétil</t>
        </is>
      </c>
      <c r="P363" s="17" t="n"/>
      <c r="Q363" s="68">
        <f>DADOS_INVOC!$QC$26</f>
        <v/>
      </c>
      <c r="R363" s="17" t="n"/>
      <c r="S363" s="68">
        <f>DADOS_INVOC!$PY$26</f>
        <v/>
      </c>
      <c r="T363" s="123" t="n"/>
      <c r="U363" s="127" t="inlineStr">
        <is>
          <t>Projétil</t>
        </is>
      </c>
      <c r="V363" s="17" t="n"/>
      <c r="W363" s="68">
        <f>DADOS_INVOC!$QC$27</f>
        <v/>
      </c>
      <c r="X363" s="17" t="n"/>
      <c r="Y363" s="68">
        <f>DADOS_INVOC!$PY$27</f>
        <v/>
      </c>
      <c r="Z363" s="123" t="n"/>
      <c r="AB363" s="127" t="inlineStr">
        <is>
          <t>Projétil</t>
        </is>
      </c>
      <c r="AC363" s="17" t="n"/>
      <c r="AD363" s="68">
        <f>DADOS_INVOC!$QC$103</f>
        <v/>
      </c>
      <c r="AE363" s="17" t="n"/>
      <c r="AF363" s="68">
        <f>DADOS_INVOC!$PY$103</f>
        <v/>
      </c>
      <c r="AG363" s="123" t="n"/>
      <c r="AH363" s="127" t="inlineStr">
        <is>
          <t>Projétil</t>
        </is>
      </c>
      <c r="AI363" s="17" t="n"/>
      <c r="AJ363" s="68">
        <f>DADOS_INVOC!$QC$104</f>
        <v/>
      </c>
      <c r="AK363" s="17" t="n"/>
      <c r="AL363" s="68">
        <f>DADOS_INVOC!$PY$104</f>
        <v/>
      </c>
      <c r="AM363" s="123" t="n"/>
      <c r="AN363" s="127" t="inlineStr">
        <is>
          <t>Projétil</t>
        </is>
      </c>
      <c r="AO363" s="17" t="n"/>
      <c r="AP363" s="68">
        <f>DADOS_INVOC!$QC$105</f>
        <v/>
      </c>
      <c r="AQ363" s="17" t="n"/>
      <c r="AR363" s="68">
        <f>DADOS_INVOC!$PY$105</f>
        <v/>
      </c>
      <c r="AS363" s="123" t="n"/>
    </row>
    <row r="364" hidden="1" outlineLevel="2">
      <c r="A364" s="8" t="n"/>
      <c r="B364" s="14" t="n"/>
      <c r="C364" s="123" t="n"/>
      <c r="D364" s="123" t="n"/>
      <c r="E364" s="123" t="n"/>
      <c r="F364" s="123" t="n"/>
      <c r="G364" s="123" t="n"/>
      <c r="I364" s="127" t="n"/>
      <c r="J364" s="17" t="n"/>
      <c r="K364" s="127" t="n"/>
      <c r="L364" s="16" t="n"/>
      <c r="M364" s="17" t="n"/>
      <c r="N364" s="123" t="n"/>
      <c r="O364" s="127" t="n"/>
      <c r="P364" s="17" t="n"/>
      <c r="Q364" s="127" t="n"/>
      <c r="R364" s="16" t="n"/>
      <c r="S364" s="17" t="n"/>
      <c r="T364" s="123" t="n"/>
      <c r="U364" s="127" t="n"/>
      <c r="V364" s="17" t="n"/>
      <c r="W364" s="127" t="n"/>
      <c r="X364" s="16" t="n"/>
      <c r="Y364" s="17" t="n"/>
      <c r="Z364" s="123" t="n"/>
      <c r="AB364" s="127" t="n"/>
      <c r="AC364" s="17" t="n"/>
      <c r="AD364" s="127" t="n"/>
      <c r="AE364" s="16" t="n"/>
      <c r="AF364" s="17" t="n"/>
      <c r="AG364" s="123" t="n"/>
      <c r="AH364" s="127" t="n"/>
      <c r="AI364" s="17" t="n"/>
      <c r="AJ364" s="127" t="n"/>
      <c r="AK364" s="16" t="n"/>
      <c r="AL364" s="17" t="n"/>
      <c r="AM364" s="123" t="n"/>
      <c r="AN364" s="127" t="n"/>
      <c r="AO364" s="17" t="n"/>
      <c r="AP364" s="127" t="n"/>
      <c r="AQ364" s="16" t="n"/>
      <c r="AR364" s="17" t="n"/>
      <c r="AS364" s="123" t="n"/>
    </row>
    <row r="365" hidden="1" outlineLevel="2">
      <c r="A365" s="8" t="n"/>
      <c r="B365" s="14" t="n"/>
      <c r="C365" s="123" t="n"/>
      <c r="D365" s="123" t="n"/>
      <c r="E365" s="123" t="n"/>
      <c r="F365" s="123" t="n"/>
      <c r="G365" s="123" t="n"/>
      <c r="I365" s="127">
        <f>DADOS_INVOC!$PZ$25</f>
        <v/>
      </c>
      <c r="J365" s="17" t="n"/>
      <c r="K365" s="127">
        <f>DADOS_INVOC!$QB$25</f>
        <v/>
      </c>
      <c r="L365" s="16" t="n"/>
      <c r="M365" s="17" t="n"/>
      <c r="N365" s="123" t="n"/>
      <c r="O365" s="127">
        <f>DADOS_INVOC!$PZ$26</f>
        <v/>
      </c>
      <c r="P365" s="17" t="n"/>
      <c r="Q365" s="127">
        <f>DADOS_INVOC!$QB$26</f>
        <v/>
      </c>
      <c r="R365" s="16" t="n"/>
      <c r="S365" s="17" t="n"/>
      <c r="T365" s="123" t="n"/>
      <c r="U365" s="127">
        <f>DADOS_INVOC!$PZ$27</f>
        <v/>
      </c>
      <c r="V365" s="17" t="n"/>
      <c r="W365" s="127">
        <f>DADOS_INVOC!$QB$27</f>
        <v/>
      </c>
      <c r="X365" s="16" t="n"/>
      <c r="Y365" s="17" t="n"/>
      <c r="Z365" s="123" t="n"/>
      <c r="AB365" s="127">
        <f>DADOS_INVOC!$PZ$103</f>
        <v/>
      </c>
      <c r="AC365" s="17" t="n"/>
      <c r="AD365" s="127">
        <f>DADOS_INVOC!$QB$103</f>
        <v/>
      </c>
      <c r="AE365" s="16" t="n"/>
      <c r="AF365" s="17" t="n"/>
      <c r="AG365" s="123" t="n"/>
      <c r="AH365" s="127">
        <f>DADOS_INVOC!$PZ$104</f>
        <v/>
      </c>
      <c r="AI365" s="17" t="n"/>
      <c r="AJ365" s="127">
        <f>DADOS_INVOC!$QB$104</f>
        <v/>
      </c>
      <c r="AK365" s="16" t="n"/>
      <c r="AL365" s="17" t="n"/>
      <c r="AM365" s="123" t="n"/>
      <c r="AN365" s="127">
        <f>DADOS_INVOC!$PZ$105</f>
        <v/>
      </c>
      <c r="AO365" s="17" t="n"/>
      <c r="AP365" s="127">
        <f>DADOS_INVOC!$QB$105</f>
        <v/>
      </c>
      <c r="AQ365" s="16" t="n"/>
      <c r="AR365" s="17" t="n"/>
      <c r="AS365" s="123" t="n"/>
    </row>
    <row r="366" hidden="1" outlineLevel="2">
      <c r="A366" s="8" t="n"/>
      <c r="B366" s="14" t="n"/>
      <c r="C366" s="123" t="n"/>
      <c r="D366" s="123" t="n"/>
      <c r="E366" s="123" t="n"/>
      <c r="F366" s="123" t="n"/>
      <c r="G366" s="123" t="n"/>
      <c r="I366" s="132">
        <f>DADOS_INVOC!$QH$25</f>
        <v/>
      </c>
      <c r="J366" s="16" t="n"/>
      <c r="K366" s="16" t="n"/>
      <c r="L366" s="16" t="n"/>
      <c r="M366" s="17" t="n"/>
      <c r="N366" s="123" t="n"/>
      <c r="O366" s="132">
        <f>DADOS_INVOC!$QH$26</f>
        <v/>
      </c>
      <c r="P366" s="16" t="n"/>
      <c r="Q366" s="16" t="n"/>
      <c r="R366" s="16" t="n"/>
      <c r="S366" s="17" t="n"/>
      <c r="T366" s="123" t="n"/>
      <c r="U366" s="132">
        <f>DADOS_INVOC!$QH$27</f>
        <v/>
      </c>
      <c r="V366" s="16" t="n"/>
      <c r="W366" s="16" t="n"/>
      <c r="X366" s="16" t="n"/>
      <c r="Y366" s="17" t="n"/>
      <c r="Z366" s="123" t="n"/>
      <c r="AB366" s="132">
        <f>DADOS_INVOC!$QH$103</f>
        <v/>
      </c>
      <c r="AC366" s="16" t="n"/>
      <c r="AD366" s="16" t="n"/>
      <c r="AE366" s="16" t="n"/>
      <c r="AF366" s="17" t="n"/>
      <c r="AG366" s="123" t="n"/>
      <c r="AH366" s="132">
        <f>DADOS_INVOC!$QH$104</f>
        <v/>
      </c>
      <c r="AI366" s="16" t="n"/>
      <c r="AJ366" s="16" t="n"/>
      <c r="AK366" s="16" t="n"/>
      <c r="AL366" s="17" t="n"/>
      <c r="AM366" s="123" t="n"/>
      <c r="AN366" s="132">
        <f>DADOS_INVOC!$QH$105</f>
        <v/>
      </c>
      <c r="AO366" s="16" t="n"/>
      <c r="AP366" s="16" t="n"/>
      <c r="AQ366" s="16" t="n"/>
      <c r="AR366" s="17" t="n"/>
      <c r="AS366" s="123" t="n"/>
    </row>
    <row r="367" hidden="1" outlineLevel="3">
      <c r="A367" s="8" t="n"/>
      <c r="B367" s="14" t="n"/>
      <c r="C367" s="123" t="n"/>
      <c r="D367" s="123" t="n"/>
      <c r="E367" s="123" t="n"/>
      <c r="F367" s="123" t="n"/>
      <c r="G367" s="123" t="n"/>
      <c r="I367" s="55" t="inlineStr">
        <is>
          <t>MELHORIAS</t>
        </is>
      </c>
      <c r="J367" s="133" t="n"/>
      <c r="K367" s="16" t="n"/>
      <c r="L367" s="17" t="n"/>
      <c r="M367" s="132">
        <f>DADOS_INVOC!$QK$25</f>
        <v/>
      </c>
      <c r="N367" s="123" t="n"/>
      <c r="O367" s="55" t="inlineStr">
        <is>
          <t>MELHORIAS</t>
        </is>
      </c>
      <c r="P367" s="133" t="n"/>
      <c r="Q367" s="16" t="n"/>
      <c r="R367" s="17" t="n"/>
      <c r="S367" s="132">
        <f>DADOS_INVOC!$QK$26</f>
        <v/>
      </c>
      <c r="T367" s="123" t="n"/>
      <c r="U367" s="55" t="inlineStr">
        <is>
          <t>MELHORIAS</t>
        </is>
      </c>
      <c r="V367" s="133" t="n"/>
      <c r="W367" s="16" t="n"/>
      <c r="X367" s="17" t="n"/>
      <c r="Y367" s="132">
        <f>DADOS_INVOC!$QK$27</f>
        <v/>
      </c>
      <c r="Z367" s="123" t="n"/>
      <c r="AB367" s="55" t="inlineStr">
        <is>
          <t>MELHORIAS</t>
        </is>
      </c>
      <c r="AC367" s="133" t="n"/>
      <c r="AD367" s="16" t="n"/>
      <c r="AE367" s="17" t="n"/>
      <c r="AF367" s="132">
        <f>DADOS_INVOC!$QK$103</f>
        <v/>
      </c>
      <c r="AG367" s="123" t="n"/>
      <c r="AH367" s="55" t="inlineStr">
        <is>
          <t>MELHORIAS</t>
        </is>
      </c>
      <c r="AI367" s="133" t="n"/>
      <c r="AJ367" s="16" t="n"/>
      <c r="AK367" s="17" t="n"/>
      <c r="AL367" s="132">
        <f>DADOS_INVOC!$QK$104</f>
        <v/>
      </c>
      <c r="AM367" s="123" t="n"/>
      <c r="AN367" s="55" t="inlineStr">
        <is>
          <t>MELHORIAS</t>
        </is>
      </c>
      <c r="AO367" s="133" t="n"/>
      <c r="AP367" s="16" t="n"/>
      <c r="AQ367" s="17" t="n"/>
      <c r="AR367" s="132">
        <f>DADOS_INVOC!$QK$105</f>
        <v/>
      </c>
      <c r="AS367" s="123" t="n"/>
    </row>
    <row r="368" hidden="1" outlineLevel="3">
      <c r="A368" s="8" t="n"/>
      <c r="B368" s="14" t="n"/>
      <c r="C368" s="123" t="n"/>
      <c r="D368" s="123" t="n"/>
      <c r="E368" s="123" t="n"/>
      <c r="F368" s="123" t="n"/>
      <c r="G368" s="123" t="n"/>
      <c r="I368" s="134" t="n"/>
      <c r="J368" s="133" t="n"/>
      <c r="K368" s="16" t="n"/>
      <c r="L368" s="17" t="n"/>
      <c r="M368" s="132">
        <f>DADOS_INVOC!$QL$25</f>
        <v/>
      </c>
      <c r="N368" s="123" t="n"/>
      <c r="O368" s="134" t="n"/>
      <c r="P368" s="133" t="n"/>
      <c r="Q368" s="16" t="n"/>
      <c r="R368" s="17" t="n"/>
      <c r="S368" s="132">
        <f>DADOS_INVOC!$QL$26</f>
        <v/>
      </c>
      <c r="T368" s="123" t="n"/>
      <c r="U368" s="134" t="n"/>
      <c r="V368" s="133" t="n"/>
      <c r="W368" s="16" t="n"/>
      <c r="X368" s="17" t="n"/>
      <c r="Y368" s="132">
        <f>DADOS_INVOC!$QL$27</f>
        <v/>
      </c>
      <c r="Z368" s="123" t="n"/>
      <c r="AB368" s="134" t="n"/>
      <c r="AC368" s="133" t="n"/>
      <c r="AD368" s="16" t="n"/>
      <c r="AE368" s="17" t="n"/>
      <c r="AF368" s="132">
        <f>DADOS_INVOC!$QL$103</f>
        <v/>
      </c>
      <c r="AG368" s="123" t="n"/>
      <c r="AH368" s="134" t="n"/>
      <c r="AI368" s="133" t="n"/>
      <c r="AJ368" s="16" t="n"/>
      <c r="AK368" s="17" t="n"/>
      <c r="AL368" s="132">
        <f>DADOS_INVOC!$QL$104</f>
        <v/>
      </c>
      <c r="AM368" s="123" t="n"/>
      <c r="AN368" s="134" t="n"/>
      <c r="AO368" s="133" t="n"/>
      <c r="AP368" s="16" t="n"/>
      <c r="AQ368" s="17" t="n"/>
      <c r="AR368" s="132">
        <f>DADOS_INVOC!$QL$105</f>
        <v/>
      </c>
      <c r="AS368" s="123" t="n"/>
    </row>
    <row r="369" hidden="1" outlineLevel="3">
      <c r="A369" s="8" t="n"/>
      <c r="B369" s="14" t="n"/>
      <c r="C369" s="123" t="n"/>
      <c r="D369" s="123" t="n"/>
      <c r="E369" s="123" t="n"/>
      <c r="F369" s="123" t="n"/>
      <c r="G369" s="123" t="n"/>
      <c r="I369" s="134" t="n"/>
      <c r="J369" s="133" t="n"/>
      <c r="K369" s="16" t="n"/>
      <c r="L369" s="17" t="n"/>
      <c r="M369" s="132">
        <f>DADOS_INVOC!$QM$25</f>
        <v/>
      </c>
      <c r="N369" s="123" t="n"/>
      <c r="O369" s="134" t="n"/>
      <c r="P369" s="133" t="n"/>
      <c r="Q369" s="16" t="n"/>
      <c r="R369" s="17" t="n"/>
      <c r="S369" s="132">
        <f>DADOS_INVOC!$QM$26</f>
        <v/>
      </c>
      <c r="T369" s="123" t="n"/>
      <c r="U369" s="134" t="n"/>
      <c r="V369" s="133" t="n"/>
      <c r="W369" s="16" t="n"/>
      <c r="X369" s="17" t="n"/>
      <c r="Y369" s="132">
        <f>DADOS_INVOC!$QM$27</f>
        <v/>
      </c>
      <c r="Z369" s="123" t="n"/>
      <c r="AB369" s="134" t="n"/>
      <c r="AC369" s="133" t="n"/>
      <c r="AD369" s="16" t="n"/>
      <c r="AE369" s="17" t="n"/>
      <c r="AF369" s="132">
        <f>DADOS_INVOC!$QM$103</f>
        <v/>
      </c>
      <c r="AG369" s="123" t="n"/>
      <c r="AH369" s="134" t="n"/>
      <c r="AI369" s="133" t="n"/>
      <c r="AJ369" s="16" t="n"/>
      <c r="AK369" s="17" t="n"/>
      <c r="AL369" s="132">
        <f>DADOS_INVOC!$QM$104</f>
        <v/>
      </c>
      <c r="AM369" s="123" t="n"/>
      <c r="AN369" s="134" t="n"/>
      <c r="AO369" s="133" t="n"/>
      <c r="AP369" s="16" t="n"/>
      <c r="AQ369" s="17" t="n"/>
      <c r="AR369" s="132">
        <f>DADOS_INVOC!$QM$105</f>
        <v/>
      </c>
      <c r="AS369" s="123" t="n"/>
    </row>
    <row r="370" hidden="1" outlineLevel="3">
      <c r="A370" s="8" t="n"/>
      <c r="B370" s="14" t="n"/>
      <c r="C370" s="123" t="n"/>
      <c r="D370" s="123" t="n"/>
      <c r="E370" s="123" t="n"/>
      <c r="F370" s="123" t="n"/>
      <c r="G370" s="123" t="n"/>
      <c r="I370" s="128" t="n"/>
      <c r="J370" s="133" t="n"/>
      <c r="K370" s="16" t="n"/>
      <c r="L370" s="17" t="n"/>
      <c r="M370" s="132">
        <f>DADOS_INVOC!$QN$25</f>
        <v/>
      </c>
      <c r="N370" s="123" t="n"/>
      <c r="O370" s="128" t="n"/>
      <c r="P370" s="133" t="n"/>
      <c r="Q370" s="16" t="n"/>
      <c r="R370" s="17" t="n"/>
      <c r="S370" s="132">
        <f>DADOS_INVOC!$QN$26</f>
        <v/>
      </c>
      <c r="T370" s="123" t="n"/>
      <c r="U370" s="128" t="n"/>
      <c r="V370" s="133" t="n"/>
      <c r="W370" s="16" t="n"/>
      <c r="X370" s="17" t="n"/>
      <c r="Y370" s="132">
        <f>DADOS_INVOC!$QN$27</f>
        <v/>
      </c>
      <c r="Z370" s="123" t="n"/>
      <c r="AB370" s="128" t="n"/>
      <c r="AC370" s="133" t="n"/>
      <c r="AD370" s="16" t="n"/>
      <c r="AE370" s="17" t="n"/>
      <c r="AF370" s="132">
        <f>DADOS_INVOC!$QN$103</f>
        <v/>
      </c>
      <c r="AG370" s="123" t="n"/>
      <c r="AH370" s="128" t="n"/>
      <c r="AI370" s="133" t="n"/>
      <c r="AJ370" s="16" t="n"/>
      <c r="AK370" s="17" t="n"/>
      <c r="AL370" s="132">
        <f>DADOS_INVOC!$QN$104</f>
        <v/>
      </c>
      <c r="AM370" s="123" t="n"/>
      <c r="AN370" s="128" t="n"/>
      <c r="AO370" s="133" t="n"/>
      <c r="AP370" s="16" t="n"/>
      <c r="AQ370" s="17" t="n"/>
      <c r="AR370" s="132">
        <f>DADOS_INVOC!$QN$105</f>
        <v/>
      </c>
      <c r="AS370" s="123" t="n"/>
    </row>
    <row r="371" hidden="1" outlineLevel="3">
      <c r="A371" s="8" t="n"/>
      <c r="B371" s="14" t="n"/>
      <c r="C371" s="123" t="n"/>
      <c r="D371" s="123" t="n"/>
      <c r="E371" s="123" t="n"/>
      <c r="F371" s="123" t="n"/>
      <c r="G371" s="123" t="n"/>
      <c r="I371" s="55" t="inlineStr">
        <is>
          <t>RESTRIÇÕES</t>
        </is>
      </c>
      <c r="J371" s="133" t="n"/>
      <c r="K371" s="16" t="n"/>
      <c r="L371" s="17" t="n"/>
      <c r="M371" s="132">
        <f>DADOS_INVOC!$QO$25</f>
        <v/>
      </c>
      <c r="N371" s="123" t="n"/>
      <c r="O371" s="55" t="inlineStr">
        <is>
          <t>RESTRIÇÕES</t>
        </is>
      </c>
      <c r="P371" s="133" t="n"/>
      <c r="Q371" s="16" t="n"/>
      <c r="R371" s="17" t="n"/>
      <c r="S371" s="132">
        <f>DADOS_INVOC!$QO$26</f>
        <v/>
      </c>
      <c r="T371" s="123" t="n"/>
      <c r="U371" s="55" t="inlineStr">
        <is>
          <t>RESTRIÇÕES</t>
        </is>
      </c>
      <c r="V371" s="133" t="n"/>
      <c r="W371" s="16" t="n"/>
      <c r="X371" s="17" t="n"/>
      <c r="Y371" s="132">
        <f>DADOS_INVOC!$QO$27</f>
        <v/>
      </c>
      <c r="Z371" s="123" t="n"/>
      <c r="AB371" s="55" t="inlineStr">
        <is>
          <t>RESTRIÇÕES</t>
        </is>
      </c>
      <c r="AC371" s="133" t="n"/>
      <c r="AD371" s="16" t="n"/>
      <c r="AE371" s="17" t="n"/>
      <c r="AF371" s="132">
        <f>DADOS_INVOC!$QO$103</f>
        <v/>
      </c>
      <c r="AG371" s="123" t="n"/>
      <c r="AH371" s="55" t="inlineStr">
        <is>
          <t>RESTRIÇÕES</t>
        </is>
      </c>
      <c r="AI371" s="133" t="n"/>
      <c r="AJ371" s="16" t="n"/>
      <c r="AK371" s="17" t="n"/>
      <c r="AL371" s="132">
        <f>DADOS_INVOC!$QO$104</f>
        <v/>
      </c>
      <c r="AM371" s="123" t="n"/>
      <c r="AN371" s="55" t="inlineStr">
        <is>
          <t>RESTRIÇÕES</t>
        </is>
      </c>
      <c r="AO371" s="133" t="n"/>
      <c r="AP371" s="16" t="n"/>
      <c r="AQ371" s="17" t="n"/>
      <c r="AR371" s="132">
        <f>DADOS_INVOC!$QO$105</f>
        <v/>
      </c>
      <c r="AS371" s="123" t="n"/>
    </row>
    <row r="372" hidden="1" outlineLevel="3">
      <c r="A372" s="8" t="n"/>
      <c r="B372" s="14" t="n"/>
      <c r="C372" s="123" t="n"/>
      <c r="D372" s="123" t="n"/>
      <c r="E372" s="123" t="n"/>
      <c r="F372" s="123" t="n"/>
      <c r="G372" s="123" t="n"/>
      <c r="I372" s="128" t="n"/>
      <c r="J372" s="133" t="n"/>
      <c r="K372" s="16" t="n"/>
      <c r="L372" s="17" t="n"/>
      <c r="M372" s="132">
        <f>DADOS_INVOC!$QP$25</f>
        <v/>
      </c>
      <c r="N372" s="123" t="n"/>
      <c r="O372" s="128" t="n"/>
      <c r="P372" s="133" t="n"/>
      <c r="Q372" s="16" t="n"/>
      <c r="R372" s="17" t="n"/>
      <c r="S372" s="132">
        <f>DADOS_INVOC!$QP$26</f>
        <v/>
      </c>
      <c r="T372" s="123" t="n"/>
      <c r="U372" s="128" t="n"/>
      <c r="V372" s="133" t="n"/>
      <c r="W372" s="16" t="n"/>
      <c r="X372" s="17" t="n"/>
      <c r="Y372" s="132">
        <f>DADOS_INVOC!$QP$27</f>
        <v/>
      </c>
      <c r="Z372" s="123" t="n"/>
      <c r="AB372" s="128" t="n"/>
      <c r="AC372" s="133" t="n"/>
      <c r="AD372" s="16" t="n"/>
      <c r="AE372" s="17" t="n"/>
      <c r="AF372" s="132">
        <f>DADOS_INVOC!$QP$103</f>
        <v/>
      </c>
      <c r="AG372" s="123" t="n"/>
      <c r="AH372" s="128" t="n"/>
      <c r="AI372" s="133" t="n"/>
      <c r="AJ372" s="16" t="n"/>
      <c r="AK372" s="17" t="n"/>
      <c r="AL372" s="132">
        <f>DADOS_INVOC!$QP$104</f>
        <v/>
      </c>
      <c r="AM372" s="123" t="n"/>
      <c r="AN372" s="128" t="n"/>
      <c r="AO372" s="133" t="n"/>
      <c r="AP372" s="16" t="n"/>
      <c r="AQ372" s="17" t="n"/>
      <c r="AR372" s="132">
        <f>DADOS_INVOC!$QP$105</f>
        <v/>
      </c>
      <c r="AS372" s="123" t="n"/>
    </row>
    <row r="373" hidden="1" outlineLevel="3">
      <c r="A373" s="8" t="n"/>
      <c r="B373" s="14" t="n"/>
      <c r="C373" s="123" t="n"/>
      <c r="D373" s="123" t="n"/>
      <c r="E373" s="123" t="n"/>
      <c r="F373" s="123" t="n"/>
      <c r="G373" s="123" t="n"/>
      <c r="I373" s="55" t="inlineStr">
        <is>
          <t>CONTA</t>
        </is>
      </c>
      <c r="J373" s="135">
        <f>DADOS_INVOC!$QI$25</f>
        <v/>
      </c>
      <c r="K373" s="16" t="n"/>
      <c r="L373" s="16" t="n"/>
      <c r="M373" s="17" t="n"/>
      <c r="N373" s="123" t="n"/>
      <c r="O373" s="55" t="inlineStr">
        <is>
          <t>CONTA</t>
        </is>
      </c>
      <c r="P373" s="135">
        <f>DADOS_INVOC!$QI$26</f>
        <v/>
      </c>
      <c r="Q373" s="16" t="n"/>
      <c r="R373" s="16" t="n"/>
      <c r="S373" s="17" t="n"/>
      <c r="T373" s="123" t="n"/>
      <c r="U373" s="55" t="inlineStr">
        <is>
          <t>CONTA</t>
        </is>
      </c>
      <c r="V373" s="135">
        <f>DADOS_INVOC!$QI$27</f>
        <v/>
      </c>
      <c r="W373" s="16" t="n"/>
      <c r="X373" s="16" t="n"/>
      <c r="Y373" s="17" t="n"/>
      <c r="Z373" s="123" t="n"/>
      <c r="AB373" s="55" t="inlineStr">
        <is>
          <t>CONTA</t>
        </is>
      </c>
      <c r="AC373" s="135">
        <f>DADOS_INVOC!$QI$103</f>
        <v/>
      </c>
      <c r="AD373" s="16" t="n"/>
      <c r="AE373" s="16" t="n"/>
      <c r="AF373" s="17" t="n"/>
      <c r="AG373" s="123" t="n"/>
      <c r="AH373" s="55" t="inlineStr">
        <is>
          <t>CONTA</t>
        </is>
      </c>
      <c r="AI373" s="135">
        <f>DADOS_INVOC!$QI$104</f>
        <v/>
      </c>
      <c r="AJ373" s="16" t="n"/>
      <c r="AK373" s="16" t="n"/>
      <c r="AL373" s="17" t="n"/>
      <c r="AM373" s="123" t="n"/>
      <c r="AN373" s="55" t="inlineStr">
        <is>
          <t>CONTA</t>
        </is>
      </c>
      <c r="AO373" s="135">
        <f>DADOS_INVOC!$QI$105</f>
        <v/>
      </c>
      <c r="AP373" s="16" t="n"/>
      <c r="AQ373" s="16" t="n"/>
      <c r="AR373" s="17" t="n"/>
      <c r="AS373" s="123" t="n"/>
    </row>
    <row r="374" hidden="1" outlineLevel="3">
      <c r="A374" s="8" t="n"/>
      <c r="B374" s="14" t="n"/>
      <c r="C374" s="123" t="n"/>
      <c r="D374" s="123" t="n"/>
      <c r="E374" s="123" t="n"/>
      <c r="F374" s="123" t="n"/>
      <c r="G374" s="123" t="n"/>
      <c r="I374" s="55" t="inlineStr">
        <is>
          <t>AMPLIAR</t>
        </is>
      </c>
      <c r="J374" s="135">
        <f>DADOS_INVOC!$QJ$25</f>
        <v/>
      </c>
      <c r="K374" s="19" t="n"/>
      <c r="L374" s="19" t="n"/>
      <c r="M374" s="20" t="n"/>
      <c r="N374" s="123" t="n"/>
      <c r="O374" s="55" t="inlineStr">
        <is>
          <t>AMPLIAR</t>
        </is>
      </c>
      <c r="P374" s="135">
        <f>DADOS_INVOC!$QJ$26</f>
        <v/>
      </c>
      <c r="Q374" s="19" t="n"/>
      <c r="R374" s="19" t="n"/>
      <c r="S374" s="20" t="n"/>
      <c r="T374" s="123" t="n"/>
      <c r="U374" s="55" t="inlineStr">
        <is>
          <t>AMPLIAR</t>
        </is>
      </c>
      <c r="V374" s="135">
        <f>DADOS_INVOC!$QJ$27</f>
        <v/>
      </c>
      <c r="W374" s="19" t="n"/>
      <c r="X374" s="19" t="n"/>
      <c r="Y374" s="20" t="n"/>
      <c r="Z374" s="123" t="n"/>
      <c r="AB374" s="55" t="inlineStr">
        <is>
          <t>AMPLIAR</t>
        </is>
      </c>
      <c r="AC374" s="135">
        <f>DADOS_INVOC!$QJ$103</f>
        <v/>
      </c>
      <c r="AD374" s="19" t="n"/>
      <c r="AE374" s="19" t="n"/>
      <c r="AF374" s="20" t="n"/>
      <c r="AG374" s="123" t="n"/>
      <c r="AH374" s="55" t="inlineStr">
        <is>
          <t>AMPLIAR</t>
        </is>
      </c>
      <c r="AI374" s="135">
        <f>DADOS_INVOC!$QJ$104</f>
        <v/>
      </c>
      <c r="AJ374" s="19" t="n"/>
      <c r="AK374" s="19" t="n"/>
      <c r="AL374" s="20" t="n"/>
      <c r="AM374" s="123" t="n"/>
      <c r="AN374" s="55" t="inlineStr">
        <is>
          <t>AMPLIAR</t>
        </is>
      </c>
      <c r="AO374" s="135">
        <f>DADOS_INVOC!$QJ$105</f>
        <v/>
      </c>
      <c r="AP374" s="19" t="n"/>
      <c r="AQ374" s="19" t="n"/>
      <c r="AR374" s="20" t="n"/>
      <c r="AS374" s="123" t="n"/>
    </row>
    <row r="375" hidden="1" outlineLevel="3">
      <c r="A375" s="8" t="n"/>
      <c r="B375" s="14" t="n"/>
      <c r="C375" s="123" t="n"/>
      <c r="D375" s="123" t="n"/>
      <c r="E375" s="123" t="n"/>
      <c r="F375" s="123" t="n"/>
      <c r="G375" s="123" t="n"/>
      <c r="I375" s="128" t="n"/>
      <c r="J375" s="23" t="n"/>
      <c r="K375" s="24" t="n"/>
      <c r="L375" s="24" t="n"/>
      <c r="M375" s="25" t="n"/>
      <c r="N375" s="123" t="n"/>
      <c r="O375" s="128" t="n"/>
      <c r="P375" s="23" t="n"/>
      <c r="Q375" s="24" t="n"/>
      <c r="R375" s="24" t="n"/>
      <c r="S375" s="25" t="n"/>
      <c r="T375" s="123" t="n"/>
      <c r="U375" s="128" t="n"/>
      <c r="V375" s="23" t="n"/>
      <c r="W375" s="24" t="n"/>
      <c r="X375" s="24" t="n"/>
      <c r="Y375" s="25" t="n"/>
      <c r="Z375" s="123" t="n"/>
      <c r="AB375" s="128" t="n"/>
      <c r="AC375" s="23" t="n"/>
      <c r="AD375" s="24" t="n"/>
      <c r="AE375" s="24" t="n"/>
      <c r="AF375" s="25" t="n"/>
      <c r="AG375" s="123" t="n"/>
      <c r="AH375" s="128" t="n"/>
      <c r="AI375" s="23" t="n"/>
      <c r="AJ375" s="24" t="n"/>
      <c r="AK375" s="24" t="n"/>
      <c r="AL375" s="25" t="n"/>
      <c r="AM375" s="123" t="n"/>
      <c r="AN375" s="128" t="n"/>
      <c r="AO375" s="23" t="n"/>
      <c r="AP375" s="24" t="n"/>
      <c r="AQ375" s="24" t="n"/>
      <c r="AR375" s="25" t="n"/>
      <c r="AS375" s="123" t="n"/>
    </row>
    <row r="376" hidden="1" outlineLevel="3">
      <c r="A376" s="8" t="n"/>
      <c r="B376" s="14" t="n"/>
      <c r="C376" s="123" t="n"/>
      <c r="D376" s="123" t="n"/>
      <c r="E376" s="123" t="n"/>
      <c r="F376" s="123" t="n"/>
      <c r="G376" s="123" t="n"/>
      <c r="I376" s="135">
        <f>DADOS_INVOC!$PW$25</f>
        <v/>
      </c>
      <c r="J376" s="19" t="n"/>
      <c r="K376" s="19" t="n"/>
      <c r="L376" s="19" t="n"/>
      <c r="M376" s="20" t="n"/>
      <c r="N376" s="123" t="n"/>
      <c r="O376" s="135">
        <f>DADOS_INVOC!$PW$26</f>
        <v/>
      </c>
      <c r="P376" s="19" t="n"/>
      <c r="Q376" s="19" t="n"/>
      <c r="R376" s="19" t="n"/>
      <c r="S376" s="20" t="n"/>
      <c r="T376" s="123" t="n"/>
      <c r="U376" s="135">
        <f>DADOS_INVOC!$PW$27</f>
        <v/>
      </c>
      <c r="V376" s="19" t="n"/>
      <c r="W376" s="19" t="n"/>
      <c r="X376" s="19" t="n"/>
      <c r="Y376" s="20" t="n"/>
      <c r="Z376" s="123" t="n"/>
      <c r="AB376" s="135">
        <f>DADOS_INVOC!$PW$103</f>
        <v/>
      </c>
      <c r="AC376" s="19" t="n"/>
      <c r="AD376" s="19" t="n"/>
      <c r="AE376" s="19" t="n"/>
      <c r="AF376" s="20" t="n"/>
      <c r="AG376" s="123" t="n"/>
      <c r="AH376" s="135">
        <f>DADOS_INVOC!$PW$104</f>
        <v/>
      </c>
      <c r="AI376" s="19" t="n"/>
      <c r="AJ376" s="19" t="n"/>
      <c r="AK376" s="19" t="n"/>
      <c r="AL376" s="20" t="n"/>
      <c r="AM376" s="123" t="n"/>
      <c r="AN376" s="135">
        <f>DADOS_INVOC!$PW$105</f>
        <v/>
      </c>
      <c r="AO376" s="19" t="n"/>
      <c r="AP376" s="19" t="n"/>
      <c r="AQ376" s="19" t="n"/>
      <c r="AR376" s="20" t="n"/>
      <c r="AS376" s="123" t="n"/>
    </row>
    <row r="377" hidden="1" outlineLevel="3">
      <c r="A377" s="8" t="n"/>
      <c r="B377" s="14" t="n"/>
      <c r="C377" s="123" t="n"/>
      <c r="D377" s="123" t="n"/>
      <c r="E377" s="123" t="n"/>
      <c r="F377" s="123" t="n"/>
      <c r="G377" s="123" t="n"/>
      <c r="I377" s="23" t="n"/>
      <c r="J377" s="24" t="n"/>
      <c r="K377" s="24" t="n"/>
      <c r="L377" s="24" t="n"/>
      <c r="M377" s="25" t="n"/>
      <c r="N377" s="123" t="n"/>
      <c r="O377" s="23" t="n"/>
      <c r="P377" s="24" t="n"/>
      <c r="Q377" s="24" t="n"/>
      <c r="R377" s="24" t="n"/>
      <c r="S377" s="25" t="n"/>
      <c r="T377" s="123" t="n"/>
      <c r="U377" s="23" t="n"/>
      <c r="V377" s="24" t="n"/>
      <c r="W377" s="24" t="n"/>
      <c r="X377" s="24" t="n"/>
      <c r="Y377" s="25" t="n"/>
      <c r="Z377" s="123" t="n"/>
      <c r="AB377" s="23" t="n"/>
      <c r="AC377" s="24" t="n"/>
      <c r="AD377" s="24" t="n"/>
      <c r="AE377" s="24" t="n"/>
      <c r="AF377" s="25" t="n"/>
      <c r="AG377" s="123" t="n"/>
      <c r="AH377" s="23" t="n"/>
      <c r="AI377" s="24" t="n"/>
      <c r="AJ377" s="24" t="n"/>
      <c r="AK377" s="24" t="n"/>
      <c r="AL377" s="25" t="n"/>
      <c r="AM377" s="123" t="n"/>
      <c r="AN377" s="23" t="n"/>
      <c r="AO377" s="24" t="n"/>
      <c r="AP377" s="24" t="n"/>
      <c r="AQ377" s="24" t="n"/>
      <c r="AR377" s="25" t="n"/>
      <c r="AS377" s="123" t="n"/>
    </row>
    <row r="378" hidden="1" outlineLevel="2">
      <c r="A378" s="8" t="n"/>
      <c r="B378" s="14" t="n"/>
      <c r="C378" s="123" t="n"/>
      <c r="D378" s="123" t="n"/>
      <c r="E378" s="123" t="n"/>
      <c r="F378" s="123" t="n"/>
      <c r="G378" s="123" t="n"/>
      <c r="I378" s="123" t="n"/>
      <c r="J378" s="123" t="n"/>
      <c r="K378" s="123" t="n"/>
      <c r="L378" s="123" t="n"/>
      <c r="M378" s="123" t="n"/>
      <c r="N378" s="123" t="n"/>
      <c r="O378" s="123" t="n"/>
      <c r="P378" s="123" t="n"/>
      <c r="Q378" s="123" t="n"/>
      <c r="R378" s="123" t="n"/>
      <c r="S378" s="123" t="n"/>
      <c r="T378" s="123" t="n"/>
      <c r="U378" s="123" t="n"/>
      <c r="V378" s="123" t="n"/>
      <c r="W378" s="123" t="n"/>
      <c r="X378" s="123" t="n"/>
      <c r="Y378" s="123" t="n"/>
      <c r="Z378" s="123" t="n"/>
      <c r="AB378" s="123" t="n"/>
      <c r="AC378" s="123" t="n"/>
      <c r="AD378" s="123" t="n"/>
      <c r="AE378" s="123" t="n"/>
      <c r="AF378" s="123" t="n"/>
      <c r="AG378" s="123" t="n"/>
      <c r="AH378" s="123" t="n"/>
      <c r="AI378" s="123" t="n"/>
      <c r="AJ378" s="123" t="n"/>
      <c r="AK378" s="123" t="n"/>
      <c r="AL378" s="123" t="n"/>
      <c r="AM378" s="123" t="n"/>
      <c r="AN378" s="123" t="n"/>
      <c r="AO378" s="123" t="n"/>
      <c r="AP378" s="123" t="n"/>
      <c r="AQ378" s="123" t="n"/>
      <c r="AR378" s="123" t="n"/>
      <c r="AS378" s="123" t="n"/>
    </row>
    <row r="379" hidden="1" outlineLevel="2">
      <c r="A379" s="8" t="n"/>
      <c r="B379" s="14" t="n"/>
      <c r="C379" s="123" t="n"/>
      <c r="D379" s="123" t="n"/>
      <c r="E379" s="123" t="n"/>
      <c r="F379" s="123" t="n"/>
      <c r="G379" s="123" t="n"/>
      <c r="I379" s="55"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23" t="n"/>
      <c r="AB379" s="55"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23" t="n"/>
    </row>
    <row r="380" hidden="1" outlineLevel="2">
      <c r="A380" s="8" t="n"/>
      <c r="B380" s="14" t="n"/>
      <c r="C380" s="123" t="n"/>
      <c r="D380" s="123" t="n"/>
      <c r="E380" s="123" t="n"/>
      <c r="F380" s="123" t="n"/>
      <c r="G380" s="123" t="n"/>
      <c r="I380" s="55" t="inlineStr">
        <is>
          <t>TRILHA · CE 1</t>
        </is>
      </c>
      <c r="J380" s="133" t="n"/>
      <c r="K380" s="16" t="n"/>
      <c r="L380" s="17" t="n"/>
      <c r="M380" s="140">
        <f>DADOS_INVOC!$IU$3</f>
        <v/>
      </c>
      <c r="N380" s="16" t="n"/>
      <c r="O380" s="16" t="n"/>
      <c r="P380" s="16" t="n"/>
      <c r="Q380" s="16" t="n"/>
      <c r="R380" s="16" t="n"/>
      <c r="S380" s="16" t="n"/>
      <c r="T380" s="16" t="n"/>
      <c r="U380" s="16" t="n"/>
      <c r="V380" s="16" t="n"/>
      <c r="W380" s="16" t="n"/>
      <c r="X380" s="16" t="n"/>
      <c r="Y380" s="17" t="n"/>
      <c r="Z380" s="123" t="n"/>
      <c r="AB380" s="55" t="inlineStr">
        <is>
          <t>TRILHA · CE 1</t>
        </is>
      </c>
      <c r="AC380" s="133" t="n"/>
      <c r="AD380" s="16" t="n"/>
      <c r="AE380" s="17" t="n"/>
      <c r="AF380" s="140">
        <f>DADOS_INVOC!$IU$9</f>
        <v/>
      </c>
      <c r="AG380" s="16" t="n"/>
      <c r="AH380" s="16" t="n"/>
      <c r="AI380" s="16" t="n"/>
      <c r="AJ380" s="16" t="n"/>
      <c r="AK380" s="16" t="n"/>
      <c r="AL380" s="16" t="n"/>
      <c r="AM380" s="16" t="n"/>
      <c r="AN380" s="16" t="n"/>
      <c r="AO380" s="16" t="n"/>
      <c r="AP380" s="16" t="n"/>
      <c r="AQ380" s="16" t="n"/>
      <c r="AR380" s="17" t="n"/>
      <c r="AS380" s="123" t="n"/>
    </row>
    <row r="381" hidden="1" outlineLevel="2">
      <c r="A381" s="8" t="n"/>
      <c r="B381" s="14" t="n"/>
      <c r="C381" s="123" t="n"/>
      <c r="D381" s="123" t="n"/>
      <c r="E381" s="123" t="n"/>
      <c r="F381" s="123" t="n"/>
      <c r="G381" s="123" t="n"/>
      <c r="I381" s="55" t="inlineStr">
        <is>
          <t>TRILHA · CE 1</t>
        </is>
      </c>
      <c r="J381" s="133" t="n"/>
      <c r="K381" s="16" t="n"/>
      <c r="L381" s="17" t="n"/>
      <c r="M381" s="140">
        <f>DADOS_INVOC!$IV$3</f>
        <v/>
      </c>
      <c r="N381" s="16" t="n"/>
      <c r="O381" s="16" t="n"/>
      <c r="P381" s="16" t="n"/>
      <c r="Q381" s="16" t="n"/>
      <c r="R381" s="16" t="n"/>
      <c r="S381" s="16" t="n"/>
      <c r="T381" s="16" t="n"/>
      <c r="U381" s="16" t="n"/>
      <c r="V381" s="16" t="n"/>
      <c r="W381" s="16" t="n"/>
      <c r="X381" s="16" t="n"/>
      <c r="Y381" s="17" t="n"/>
      <c r="Z381" s="123" t="n"/>
      <c r="AB381" s="55" t="inlineStr">
        <is>
          <t>TRILHA · CE 1</t>
        </is>
      </c>
      <c r="AC381" s="133" t="n"/>
      <c r="AD381" s="16" t="n"/>
      <c r="AE381" s="17" t="n"/>
      <c r="AF381" s="140">
        <f>DADOS_INVOC!$IV$9</f>
        <v/>
      </c>
      <c r="AG381" s="16" t="n"/>
      <c r="AH381" s="16" t="n"/>
      <c r="AI381" s="16" t="n"/>
      <c r="AJ381" s="16" t="n"/>
      <c r="AK381" s="16" t="n"/>
      <c r="AL381" s="16" t="n"/>
      <c r="AM381" s="16" t="n"/>
      <c r="AN381" s="16" t="n"/>
      <c r="AO381" s="16" t="n"/>
      <c r="AP381" s="16" t="n"/>
      <c r="AQ381" s="16" t="n"/>
      <c r="AR381" s="17" t="n"/>
      <c r="AS381" s="123" t="n"/>
    </row>
    <row r="382" hidden="1" outlineLevel="2">
      <c r="A382" s="8" t="n"/>
      <c r="B382" s="14" t="n"/>
      <c r="C382" s="123" t="n"/>
      <c r="D382" s="123" t="n"/>
      <c r="E382" s="123" t="n"/>
      <c r="F382" s="123" t="n"/>
      <c r="G382" s="123" t="n"/>
      <c r="I382" s="55" t="inlineStr">
        <is>
          <t>TRILHA · CE 1</t>
        </is>
      </c>
      <c r="J382" s="133" t="n"/>
      <c r="K382" s="16" t="n"/>
      <c r="L382" s="17" t="n"/>
      <c r="M382" s="140">
        <f>DADOS_INVOC!$IW$3</f>
        <v/>
      </c>
      <c r="N382" s="16" t="n"/>
      <c r="O382" s="16" t="n"/>
      <c r="P382" s="16" t="n"/>
      <c r="Q382" s="16" t="n"/>
      <c r="R382" s="16" t="n"/>
      <c r="S382" s="16" t="n"/>
      <c r="T382" s="16" t="n"/>
      <c r="U382" s="16" t="n"/>
      <c r="V382" s="16" t="n"/>
      <c r="W382" s="16" t="n"/>
      <c r="X382" s="16" t="n"/>
      <c r="Y382" s="17" t="n"/>
      <c r="Z382" s="123" t="n"/>
      <c r="AB382" s="55" t="inlineStr">
        <is>
          <t>TRILHA · CE 1</t>
        </is>
      </c>
      <c r="AC382" s="133" t="n"/>
      <c r="AD382" s="16" t="n"/>
      <c r="AE382" s="17" t="n"/>
      <c r="AF382" s="140">
        <f>DADOS_INVOC!$IW$9</f>
        <v/>
      </c>
      <c r="AG382" s="16" t="n"/>
      <c r="AH382" s="16" t="n"/>
      <c r="AI382" s="16" t="n"/>
      <c r="AJ382" s="16" t="n"/>
      <c r="AK382" s="16" t="n"/>
      <c r="AL382" s="16" t="n"/>
      <c r="AM382" s="16" t="n"/>
      <c r="AN382" s="16" t="n"/>
      <c r="AO382" s="16" t="n"/>
      <c r="AP382" s="16" t="n"/>
      <c r="AQ382" s="16" t="n"/>
      <c r="AR382" s="17" t="n"/>
      <c r="AS382" s="123" t="n"/>
    </row>
    <row r="383" hidden="1" outlineLevel="1">
      <c r="A383" s="8" t="n"/>
      <c r="B383" s="14" t="n"/>
      <c r="C383" s="123" t="n"/>
      <c r="D383" s="123" t="n"/>
      <c r="E383" s="123" t="n"/>
      <c r="F383" s="123" t="n"/>
      <c r="G383" s="123" t="n"/>
      <c r="I383" s="123" t="n"/>
      <c r="J383" s="123" t="n"/>
      <c r="K383" s="123" t="n"/>
      <c r="L383" s="123" t="n"/>
      <c r="M383" s="123" t="n"/>
      <c r="N383" s="123" t="n"/>
      <c r="O383" s="123" t="n"/>
      <c r="P383" s="123" t="n"/>
      <c r="Q383" s="123" t="n"/>
      <c r="R383" s="123" t="n"/>
      <c r="S383" s="123" t="n"/>
      <c r="T383" s="123" t="n"/>
      <c r="U383" s="123" t="n"/>
      <c r="V383" s="123" t="n"/>
      <c r="W383" s="123" t="n"/>
      <c r="X383" s="123" t="n"/>
      <c r="Y383" s="123" t="n"/>
      <c r="Z383" s="123" t="n"/>
      <c r="AB383" s="123" t="n"/>
      <c r="AC383" s="123" t="n"/>
      <c r="AD383" s="123" t="n"/>
      <c r="AE383" s="123" t="n"/>
      <c r="AF383" s="123" t="n"/>
      <c r="AG383" s="123" t="n"/>
      <c r="AH383" s="123" t="n"/>
      <c r="AI383" s="123" t="n"/>
      <c r="AJ383" s="123" t="n"/>
      <c r="AK383" s="123" t="n"/>
      <c r="AL383" s="123" t="n"/>
      <c r="AM383" s="123" t="n"/>
      <c r="AN383" s="123" t="n"/>
      <c r="AO383" s="123" t="n"/>
      <c r="AP383" s="123" t="n"/>
      <c r="AQ383" s="123" t="n"/>
      <c r="AR383" s="123" t="n"/>
      <c r="AS383" s="123" t="n"/>
    </row>
    <row r="384" hidden="1" outlineLevel="1">
      <c r="A384" s="8" t="n"/>
      <c r="B384" s="14" t="n"/>
      <c r="C384" s="123" t="n"/>
      <c r="D384" s="123" t="n"/>
      <c r="E384" s="123" t="n"/>
      <c r="F384" s="123" t="n"/>
      <c r="G384" s="123" t="n"/>
      <c r="I384" s="136"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23" t="n"/>
      <c r="AB384" s="136"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23" t="n"/>
    </row>
    <row r="385" hidden="1" outlineLevel="2">
      <c r="A385" s="8" t="n"/>
      <c r="B385" s="14" t="n"/>
      <c r="C385" s="123" t="n"/>
      <c r="D385" s="123" t="n"/>
      <c r="E385" s="123" t="n"/>
      <c r="F385" s="123" t="n"/>
      <c r="G385" s="123" t="n"/>
      <c r="I385" s="123" t="n"/>
      <c r="J385" s="123" t="n"/>
      <c r="K385" s="123" t="n"/>
      <c r="L385" s="123" t="n"/>
      <c r="M385" s="123" t="n"/>
      <c r="N385" s="123" t="n"/>
      <c r="O385" s="123" t="n"/>
      <c r="P385" s="123" t="n"/>
      <c r="Q385" s="123" t="n"/>
      <c r="R385" s="123" t="n"/>
      <c r="S385" s="123" t="n"/>
      <c r="T385" s="123" t="n"/>
      <c r="U385" s="123" t="n"/>
      <c r="V385" s="123" t="n"/>
      <c r="W385" s="123" t="n"/>
      <c r="X385" s="123" t="n"/>
      <c r="Y385" s="123" t="n"/>
      <c r="Z385" s="123" t="n"/>
      <c r="AB385" s="123" t="n"/>
      <c r="AC385" s="123" t="n"/>
      <c r="AD385" s="123" t="n"/>
      <c r="AE385" s="123" t="n"/>
      <c r="AF385" s="123" t="n"/>
      <c r="AG385" s="123" t="n"/>
      <c r="AH385" s="123" t="n"/>
      <c r="AI385" s="123" t="n"/>
      <c r="AJ385" s="123" t="n"/>
      <c r="AK385" s="123" t="n"/>
      <c r="AL385" s="123" t="n"/>
      <c r="AM385" s="123" t="n"/>
      <c r="AN385" s="123" t="n"/>
      <c r="AO385" s="123" t="n"/>
      <c r="AP385" s="123" t="n"/>
      <c r="AQ385" s="123" t="n"/>
      <c r="AR385" s="123" t="n"/>
      <c r="AS385" s="123" t="n"/>
    </row>
    <row r="386" hidden="1" outlineLevel="2">
      <c r="A386" s="8" t="n"/>
      <c r="B386" s="14" t="n"/>
      <c r="C386" s="123" t="n"/>
      <c r="D386" s="123" t="n"/>
      <c r="E386" s="123" t="n"/>
      <c r="F386" s="123" t="n"/>
      <c r="G386" s="123" t="n"/>
      <c r="I386" s="55" t="inlineStr">
        <is>
          <t>LIBERAÇÃO MÁXIMA 1</t>
        </is>
      </c>
      <c r="J386" s="16" t="n"/>
      <c r="K386" s="16" t="n"/>
      <c r="L386" s="16" t="n"/>
      <c r="M386" s="17" t="n"/>
      <c r="N386" s="123" t="n"/>
      <c r="O386" s="55" t="inlineStr">
        <is>
          <t>LIBERAÇÃO MÁXIMA 2</t>
        </is>
      </c>
      <c r="P386" s="16" t="n"/>
      <c r="Q386" s="16" t="n"/>
      <c r="R386" s="16" t="n"/>
      <c r="S386" s="17" t="n"/>
      <c r="T386" s="123" t="n"/>
      <c r="U386" s="55" t="inlineStr">
        <is>
          <t>LIBERAÇÃO MÁXIMA 3</t>
        </is>
      </c>
      <c r="V386" s="16" t="n"/>
      <c r="W386" s="16" t="n"/>
      <c r="X386" s="16" t="n"/>
      <c r="Y386" s="17" t="n"/>
      <c r="Z386" s="123" t="n"/>
      <c r="AB386" s="55" t="inlineStr">
        <is>
          <t>LIBERAÇÃO MÁXIMA 1</t>
        </is>
      </c>
      <c r="AC386" s="16" t="n"/>
      <c r="AD386" s="16" t="n"/>
      <c r="AE386" s="16" t="n"/>
      <c r="AF386" s="17" t="n"/>
      <c r="AG386" s="123" t="n"/>
      <c r="AH386" s="55" t="inlineStr">
        <is>
          <t>LIBERAÇÃO MÁXIMA 2</t>
        </is>
      </c>
      <c r="AI386" s="16" t="n"/>
      <c r="AJ386" s="16" t="n"/>
      <c r="AK386" s="16" t="n"/>
      <c r="AL386" s="17" t="n"/>
      <c r="AM386" s="123" t="n"/>
      <c r="AN386" s="55" t="inlineStr">
        <is>
          <t>LIBERAÇÃO MÁXIMA 3</t>
        </is>
      </c>
      <c r="AO386" s="16" t="n"/>
      <c r="AP386" s="16" t="n"/>
      <c r="AQ386" s="16" t="n"/>
      <c r="AR386" s="17" t="n"/>
      <c r="AS386" s="123" t="n"/>
    </row>
    <row r="387" hidden="1" outlineLevel="2">
      <c r="A387" s="8" t="n"/>
      <c r="B387" s="14" t="n"/>
      <c r="C387" s="123" t="n"/>
      <c r="D387" s="123" t="n"/>
      <c r="E387" s="123" t="n"/>
      <c r="F387" s="123" t="n"/>
      <c r="G387" s="123" t="n"/>
      <c r="I387" s="130" t="n">
        <v>3</v>
      </c>
      <c r="J387" s="118" t="n"/>
      <c r="K387" s="16" t="n"/>
      <c r="L387" s="17" t="n"/>
      <c r="M387" s="131">
        <f>DADOS_INVOC!$IX$3</f>
        <v/>
      </c>
      <c r="N387" s="123" t="n"/>
      <c r="O387" s="130" t="n">
        <v>3</v>
      </c>
      <c r="P387" s="118" t="n"/>
      <c r="Q387" s="16" t="n"/>
      <c r="R387" s="17" t="n"/>
      <c r="S387" s="131">
        <f>DADOS_INVOC!$IY$3</f>
        <v/>
      </c>
      <c r="T387" s="123" t="n"/>
      <c r="U387" s="130" t="n">
        <v>3</v>
      </c>
      <c r="V387" s="118" t="n"/>
      <c r="W387" s="16" t="n"/>
      <c r="X387" s="17" t="n"/>
      <c r="Y387" s="131">
        <f>DADOS_INVOC!$IZ$3</f>
        <v/>
      </c>
      <c r="Z387" s="123" t="n"/>
      <c r="AB387" s="130" t="n">
        <v>3</v>
      </c>
      <c r="AC387" s="118" t="n"/>
      <c r="AD387" s="16" t="n"/>
      <c r="AE387" s="17" t="n"/>
      <c r="AF387" s="131">
        <f>DADOS_INVOC!$IX$9</f>
        <v/>
      </c>
      <c r="AG387" s="123" t="n"/>
      <c r="AH387" s="130" t="n">
        <v>3</v>
      </c>
      <c r="AI387" s="118" t="n"/>
      <c r="AJ387" s="16" t="n"/>
      <c r="AK387" s="17" t="n"/>
      <c r="AL387" s="131">
        <f>DADOS_INVOC!$IY$9</f>
        <v/>
      </c>
      <c r="AM387" s="123" t="n"/>
      <c r="AN387" s="130" t="n">
        <v>3</v>
      </c>
      <c r="AO387" s="118" t="n"/>
      <c r="AP387" s="16" t="n"/>
      <c r="AQ387" s="17" t="n"/>
      <c r="AR387" s="131">
        <f>DADOS_INVOC!$IZ$9</f>
        <v/>
      </c>
      <c r="AS387" s="123" t="n"/>
    </row>
    <row r="388" hidden="1" outlineLevel="2">
      <c r="A388" s="8" t="n"/>
      <c r="B388" s="14" t="n"/>
      <c r="C388" s="123" t="n"/>
      <c r="D388" s="123" t="n"/>
      <c r="E388" s="123" t="n"/>
      <c r="F388" s="123" t="n"/>
      <c r="G388" s="123" t="n"/>
      <c r="I388" s="119" t="n"/>
      <c r="J388" s="19" t="n"/>
      <c r="K388" s="19" t="n"/>
      <c r="L388" s="19" t="n"/>
      <c r="M388" s="20" t="n"/>
      <c r="N388" s="123" t="n"/>
      <c r="O388" s="119" t="n"/>
      <c r="P388" s="19" t="n"/>
      <c r="Q388" s="19" t="n"/>
      <c r="R388" s="19" t="n"/>
      <c r="S388" s="20" t="n"/>
      <c r="T388" s="123" t="n"/>
      <c r="U388" s="119" t="n"/>
      <c r="V388" s="19" t="n"/>
      <c r="W388" s="19" t="n"/>
      <c r="X388" s="19" t="n"/>
      <c r="Y388" s="20" t="n"/>
      <c r="Z388" s="123" t="n"/>
      <c r="AB388" s="119" t="n"/>
      <c r="AC388" s="19" t="n"/>
      <c r="AD388" s="19" t="n"/>
      <c r="AE388" s="19" t="n"/>
      <c r="AF388" s="20" t="n"/>
      <c r="AG388" s="123" t="n"/>
      <c r="AH388" s="119" t="n"/>
      <c r="AI388" s="19" t="n"/>
      <c r="AJ388" s="19" t="n"/>
      <c r="AK388" s="19" t="n"/>
      <c r="AL388" s="20" t="n"/>
      <c r="AM388" s="123" t="n"/>
      <c r="AN388" s="119" t="n"/>
      <c r="AO388" s="19" t="n"/>
      <c r="AP388" s="19" t="n"/>
      <c r="AQ388" s="19" t="n"/>
      <c r="AR388" s="20" t="n"/>
      <c r="AS388" s="123" t="n"/>
    </row>
    <row r="389" hidden="1" outlineLevel="2">
      <c r="A389" s="8" t="n"/>
      <c r="B389" s="14" t="n"/>
      <c r="C389" s="123" t="n"/>
      <c r="D389" s="123" t="n"/>
      <c r="E389" s="123" t="n"/>
      <c r="F389" s="123" t="n"/>
      <c r="G389" s="123" t="n"/>
      <c r="I389" s="21" t="n"/>
      <c r="M389" s="22" t="n"/>
      <c r="N389" s="123" t="n"/>
      <c r="O389" s="21" t="n"/>
      <c r="S389" s="22" t="n"/>
      <c r="T389" s="123" t="n"/>
      <c r="U389" s="21" t="n"/>
      <c r="Y389" s="22" t="n"/>
      <c r="Z389" s="123" t="n"/>
      <c r="AB389" s="21" t="n"/>
      <c r="AF389" s="22" t="n"/>
      <c r="AG389" s="123" t="n"/>
      <c r="AH389" s="21" t="n"/>
      <c r="AL389" s="22" t="n"/>
      <c r="AM389" s="123" t="n"/>
      <c r="AN389" s="21" t="n"/>
      <c r="AR389" s="22" t="n"/>
      <c r="AS389" s="123" t="n"/>
    </row>
    <row r="390" hidden="1" outlineLevel="2">
      <c r="A390" s="8" t="n"/>
      <c r="B390" s="14" t="n"/>
      <c r="C390" s="123" t="n"/>
      <c r="D390" s="123" t="n"/>
      <c r="E390" s="123" t="n"/>
      <c r="F390" s="123" t="n"/>
      <c r="G390" s="123" t="n"/>
      <c r="I390" s="21" t="n"/>
      <c r="M390" s="22" t="n"/>
      <c r="N390" s="123" t="n"/>
      <c r="O390" s="21" t="n"/>
      <c r="S390" s="22" t="n"/>
      <c r="T390" s="123" t="n"/>
      <c r="U390" s="21" t="n"/>
      <c r="Y390" s="22" t="n"/>
      <c r="Z390" s="123" t="n"/>
      <c r="AB390" s="21" t="n"/>
      <c r="AF390" s="22" t="n"/>
      <c r="AG390" s="123" t="n"/>
      <c r="AH390" s="21" t="n"/>
      <c r="AL390" s="22" t="n"/>
      <c r="AM390" s="123" t="n"/>
      <c r="AN390" s="21" t="n"/>
      <c r="AR390" s="22" t="n"/>
      <c r="AS390" s="123" t="n"/>
    </row>
    <row r="391" hidden="1" outlineLevel="2">
      <c r="A391" s="8" t="n"/>
      <c r="B391" s="14" t="n"/>
      <c r="C391" s="123" t="n"/>
      <c r="D391" s="123" t="n"/>
      <c r="E391" s="123" t="n"/>
      <c r="F391" s="123" t="n"/>
      <c r="G391" s="123" t="n"/>
      <c r="I391" s="23" t="n"/>
      <c r="J391" s="24" t="n"/>
      <c r="K391" s="24" t="n"/>
      <c r="L391" s="24" t="n"/>
      <c r="M391" s="25" t="n"/>
      <c r="N391" s="123" t="n"/>
      <c r="O391" s="23" t="n"/>
      <c r="P391" s="24" t="n"/>
      <c r="Q391" s="24" t="n"/>
      <c r="R391" s="24" t="n"/>
      <c r="S391" s="25" t="n"/>
      <c r="T391" s="123" t="n"/>
      <c r="U391" s="23" t="n"/>
      <c r="V391" s="24" t="n"/>
      <c r="W391" s="24" t="n"/>
      <c r="X391" s="24" t="n"/>
      <c r="Y391" s="25" t="n"/>
      <c r="Z391" s="123" t="n"/>
      <c r="AB391" s="23" t="n"/>
      <c r="AC391" s="24" t="n"/>
      <c r="AD391" s="24" t="n"/>
      <c r="AE391" s="24" t="n"/>
      <c r="AF391" s="25" t="n"/>
      <c r="AG391" s="123" t="n"/>
      <c r="AH391" s="23" t="n"/>
      <c r="AI391" s="24" t="n"/>
      <c r="AJ391" s="24" t="n"/>
      <c r="AK391" s="24" t="n"/>
      <c r="AL391" s="25" t="n"/>
      <c r="AM391" s="123" t="n"/>
      <c r="AN391" s="23" t="n"/>
      <c r="AO391" s="24" t="n"/>
      <c r="AP391" s="24" t="n"/>
      <c r="AQ391" s="24" t="n"/>
      <c r="AR391" s="25" t="n"/>
      <c r="AS391" s="123" t="n"/>
    </row>
    <row r="392" hidden="1" outlineLevel="2">
      <c r="A392" s="8" t="n"/>
      <c r="B392" s="14" t="n"/>
      <c r="C392" s="123" t="n"/>
      <c r="D392" s="123" t="n"/>
      <c r="E392" s="123" t="n"/>
      <c r="F392" s="123" t="n"/>
      <c r="G392" s="123" t="n"/>
      <c r="I392" s="68">
        <f>DADOS_INVOC!$JA$3</f>
        <v/>
      </c>
      <c r="J392" s="16" t="n"/>
      <c r="K392" s="16" t="n"/>
      <c r="L392" s="16" t="n"/>
      <c r="M392" s="17" t="n"/>
      <c r="N392" s="123" t="n"/>
      <c r="O392" s="68">
        <f>DADOS_INVOC!$JB$3</f>
        <v/>
      </c>
      <c r="P392" s="16" t="n"/>
      <c r="Q392" s="16" t="n"/>
      <c r="R392" s="16" t="n"/>
      <c r="S392" s="17" t="n"/>
      <c r="T392" s="123" t="n"/>
      <c r="U392" s="68">
        <f>DADOS_INVOC!$JC$3</f>
        <v/>
      </c>
      <c r="V392" s="16" t="n"/>
      <c r="W392" s="16" t="n"/>
      <c r="X392" s="16" t="n"/>
      <c r="Y392" s="17" t="n"/>
      <c r="Z392" s="123" t="n"/>
      <c r="AB392" s="68">
        <f>DADOS_INVOC!$JA$9</f>
        <v/>
      </c>
      <c r="AC392" s="16" t="n"/>
      <c r="AD392" s="16" t="n"/>
      <c r="AE392" s="16" t="n"/>
      <c r="AF392" s="17" t="n"/>
      <c r="AG392" s="123" t="n"/>
      <c r="AH392" s="68">
        <f>DADOS_INVOC!$JB$9</f>
        <v/>
      </c>
      <c r="AI392" s="16" t="n"/>
      <c r="AJ392" s="16" t="n"/>
      <c r="AK392" s="16" t="n"/>
      <c r="AL392" s="17" t="n"/>
      <c r="AM392" s="123" t="n"/>
      <c r="AN392" s="68">
        <f>DADOS_INVOC!$JC$9</f>
        <v/>
      </c>
      <c r="AO392" s="16" t="n"/>
      <c r="AP392" s="16" t="n"/>
      <c r="AQ392" s="16" t="n"/>
      <c r="AR392" s="17" t="n"/>
      <c r="AS392" s="123" t="n"/>
    </row>
    <row r="393" hidden="1" outlineLevel="2">
      <c r="A393" s="8" t="n"/>
      <c r="B393" s="14" t="n"/>
      <c r="C393" s="123" t="n"/>
      <c r="D393" s="123" t="n"/>
      <c r="E393" s="123" t="n"/>
      <c r="F393" s="123" t="n"/>
      <c r="G393" s="123" t="n"/>
      <c r="I393" s="127" t="inlineStr">
        <is>
          <t>Sua Ação Completa + a básica dela</t>
        </is>
      </c>
      <c r="J393" s="16" t="n"/>
      <c r="K393" s="16" t="n"/>
      <c r="L393" s="16" t="n"/>
      <c r="M393" s="17" t="n"/>
      <c r="N393" s="123" t="n"/>
      <c r="O393" s="127" t="inlineStr">
        <is>
          <t>Sua Ação Completa + a básica dela</t>
        </is>
      </c>
      <c r="P393" s="16" t="n"/>
      <c r="Q393" s="16" t="n"/>
      <c r="R393" s="16" t="n"/>
      <c r="S393" s="17" t="n"/>
      <c r="T393" s="123" t="n"/>
      <c r="U393" s="127" t="inlineStr">
        <is>
          <t>Sua Ação Completa + a básica dela</t>
        </is>
      </c>
      <c r="V393" s="16" t="n"/>
      <c r="W393" s="16" t="n"/>
      <c r="X393" s="16" t="n"/>
      <c r="Y393" s="17" t="n"/>
      <c r="Z393" s="123" t="n"/>
      <c r="AB393" s="127" t="inlineStr">
        <is>
          <t>Sua Ação Completa + a básica dela</t>
        </is>
      </c>
      <c r="AC393" s="16" t="n"/>
      <c r="AD393" s="16" t="n"/>
      <c r="AE393" s="16" t="n"/>
      <c r="AF393" s="17" t="n"/>
      <c r="AG393" s="123" t="n"/>
      <c r="AH393" s="127" t="inlineStr">
        <is>
          <t>Sua Ação Completa + a básica dela</t>
        </is>
      </c>
      <c r="AI393" s="16" t="n"/>
      <c r="AJ393" s="16" t="n"/>
      <c r="AK393" s="16" t="n"/>
      <c r="AL393" s="17" t="n"/>
      <c r="AM393" s="123" t="n"/>
      <c r="AN393" s="127" t="inlineStr">
        <is>
          <t>Sua Ação Completa + a básica dela</t>
        </is>
      </c>
      <c r="AO393" s="16" t="n"/>
      <c r="AP393" s="16" t="n"/>
      <c r="AQ393" s="16" t="n"/>
      <c r="AR393" s="17" t="n"/>
      <c r="AS393" s="123" t="n"/>
    </row>
    <row r="394" hidden="1" outlineLevel="2">
      <c r="A394" s="8" t="n"/>
      <c r="B394" s="14" t="n"/>
      <c r="C394" s="123" t="n"/>
      <c r="D394" s="123" t="n"/>
      <c r="E394" s="123" t="n"/>
      <c r="F394" s="123" t="n"/>
      <c r="G394" s="123" t="n"/>
      <c r="I394" s="123" t="n"/>
      <c r="J394" s="123" t="n"/>
      <c r="K394" s="123" t="n"/>
      <c r="L394" s="123" t="n"/>
      <c r="M394" s="123" t="n"/>
      <c r="N394" s="123" t="n"/>
      <c r="O394" s="123" t="n"/>
      <c r="P394" s="123" t="n"/>
      <c r="Q394" s="123" t="n"/>
      <c r="R394" s="123" t="n"/>
      <c r="S394" s="123" t="n"/>
      <c r="T394" s="123" t="n"/>
      <c r="U394" s="123" t="n"/>
      <c r="V394" s="123" t="n"/>
      <c r="W394" s="123" t="n"/>
      <c r="X394" s="123" t="n"/>
      <c r="Y394" s="123" t="n"/>
      <c r="Z394" s="123" t="n"/>
      <c r="AB394" s="123" t="n"/>
      <c r="AC394" s="123" t="n"/>
      <c r="AD394" s="123" t="n"/>
      <c r="AE394" s="123" t="n"/>
      <c r="AF394" s="123" t="n"/>
      <c r="AG394" s="123" t="n"/>
      <c r="AH394" s="123" t="n"/>
      <c r="AI394" s="123" t="n"/>
      <c r="AJ394" s="123" t="n"/>
      <c r="AK394" s="123" t="n"/>
      <c r="AL394" s="123" t="n"/>
      <c r="AM394" s="123" t="n"/>
      <c r="AN394" s="123" t="n"/>
      <c r="AO394" s="123" t="n"/>
      <c r="AP394" s="123" t="n"/>
      <c r="AQ394" s="123" t="n"/>
      <c r="AR394" s="123" t="n"/>
      <c r="AS394" s="123" t="n"/>
    </row>
    <row r="395" hidden="1" outlineLevel="2">
      <c r="A395" s="8" t="n"/>
      <c r="B395" s="14" t="n"/>
      <c r="C395" s="123" t="n"/>
      <c r="D395" s="123" t="n"/>
      <c r="E395" s="123" t="n"/>
      <c r="F395" s="123" t="n"/>
      <c r="G395" s="123" t="n"/>
      <c r="I395" s="55" t="inlineStr">
        <is>
          <t>TÉCNICA MÁXIMA</t>
        </is>
      </c>
      <c r="J395" s="16" t="n"/>
      <c r="K395" s="16" t="n"/>
      <c r="L395" s="16" t="n"/>
      <c r="M395" s="17" t="n"/>
      <c r="N395" s="123" t="n"/>
      <c r="O395" s="55" t="inlineStr">
        <is>
          <t>EXPANSÃO DE DOMÍNIO</t>
        </is>
      </c>
      <c r="P395" s="16" t="n"/>
      <c r="Q395" s="16" t="n"/>
      <c r="R395" s="16" t="n"/>
      <c r="S395" s="17" t="n"/>
      <c r="T395" s="123" t="n"/>
      <c r="U395" s="123" t="n"/>
      <c r="V395" s="123" t="n"/>
      <c r="W395" s="123" t="n"/>
      <c r="X395" s="123" t="n"/>
      <c r="Y395" s="123" t="n"/>
      <c r="Z395" s="123" t="n"/>
      <c r="AB395" s="55" t="inlineStr">
        <is>
          <t>TÉCNICA MÁXIMA</t>
        </is>
      </c>
      <c r="AC395" s="16" t="n"/>
      <c r="AD395" s="16" t="n"/>
      <c r="AE395" s="16" t="n"/>
      <c r="AF395" s="17" t="n"/>
      <c r="AG395" s="123" t="n"/>
      <c r="AH395" s="55" t="inlineStr">
        <is>
          <t>EXPANSÃO DE DOMÍNIO</t>
        </is>
      </c>
      <c r="AI395" s="16" t="n"/>
      <c r="AJ395" s="16" t="n"/>
      <c r="AK395" s="16" t="n"/>
      <c r="AL395" s="17" t="n"/>
      <c r="AM395" s="123" t="n"/>
      <c r="AN395" s="123" t="n"/>
      <c r="AO395" s="123" t="n"/>
      <c r="AP395" s="123" t="n"/>
      <c r="AQ395" s="123" t="n"/>
      <c r="AR395" s="123" t="n"/>
      <c r="AS395" s="123" t="n"/>
    </row>
    <row r="396" hidden="1" outlineLevel="2">
      <c r="A396" s="8" t="n"/>
      <c r="B396" s="14" t="n"/>
      <c r="C396" s="123" t="n"/>
      <c r="D396" s="123" t="n"/>
      <c r="E396" s="123" t="n"/>
      <c r="F396" s="123" t="n"/>
      <c r="G396" s="123" t="n"/>
      <c r="I396" s="118" t="n"/>
      <c r="J396" s="16" t="n"/>
      <c r="K396" s="16" t="n"/>
      <c r="L396" s="17" t="n"/>
      <c r="M396" s="131">
        <f>DADOS_INVOC!$JD$3</f>
        <v/>
      </c>
      <c r="N396" s="123" t="n"/>
      <c r="O396" s="118" t="n"/>
      <c r="P396" s="16" t="n"/>
      <c r="Q396" s="16" t="n"/>
      <c r="R396" s="17" t="n"/>
      <c r="S396" s="131">
        <f>DADOS_INVOC!$JF$3</f>
        <v/>
      </c>
      <c r="T396" s="123" t="n"/>
      <c r="U396" s="123" t="n"/>
      <c r="V396" s="123" t="n"/>
      <c r="W396" s="123" t="n"/>
      <c r="X396" s="123" t="n"/>
      <c r="Y396" s="123" t="n"/>
      <c r="Z396" s="123" t="n"/>
      <c r="AB396" s="118" t="n"/>
      <c r="AC396" s="16" t="n"/>
      <c r="AD396" s="16" t="n"/>
      <c r="AE396" s="17" t="n"/>
      <c r="AF396" s="131">
        <f>DADOS_INVOC!$JD$9</f>
        <v/>
      </c>
      <c r="AG396" s="123" t="n"/>
      <c r="AH396" s="118" t="n"/>
      <c r="AI396" s="16" t="n"/>
      <c r="AJ396" s="16" t="n"/>
      <c r="AK396" s="17" t="n"/>
      <c r="AL396" s="131">
        <f>DADOS_INVOC!$JF$9</f>
        <v/>
      </c>
      <c r="AM396" s="123" t="n"/>
      <c r="AN396" s="123" t="n"/>
      <c r="AO396" s="123" t="n"/>
      <c r="AP396" s="123" t="n"/>
      <c r="AQ396" s="123" t="n"/>
      <c r="AR396" s="123" t="n"/>
      <c r="AS396" s="123" t="n"/>
    </row>
    <row r="397" hidden="1" outlineLevel="2">
      <c r="A397" s="8" t="n"/>
      <c r="B397" s="14" t="n"/>
      <c r="C397" s="123" t="n"/>
      <c r="D397" s="123" t="n"/>
      <c r="E397" s="123" t="n"/>
      <c r="F397" s="123" t="n"/>
      <c r="G397" s="123" t="n"/>
      <c r="I397" s="119" t="n"/>
      <c r="J397" s="19" t="n"/>
      <c r="K397" s="19" t="n"/>
      <c r="L397" s="19" t="n"/>
      <c r="M397" s="20" t="n"/>
      <c r="N397" s="123" t="n"/>
      <c r="O397" s="119" t="n"/>
      <c r="P397" s="19" t="n"/>
      <c r="Q397" s="19" t="n"/>
      <c r="R397" s="19" t="n"/>
      <c r="S397" s="20" t="n"/>
      <c r="T397" s="123" t="n"/>
      <c r="U397" s="123" t="n"/>
      <c r="V397" s="123" t="n"/>
      <c r="W397" s="123" t="n"/>
      <c r="X397" s="123" t="n"/>
      <c r="Y397" s="123" t="n"/>
      <c r="Z397" s="123" t="n"/>
      <c r="AB397" s="119" t="n"/>
      <c r="AC397" s="19" t="n"/>
      <c r="AD397" s="19" t="n"/>
      <c r="AE397" s="19" t="n"/>
      <c r="AF397" s="20" t="n"/>
      <c r="AG397" s="123" t="n"/>
      <c r="AH397" s="119" t="n"/>
      <c r="AI397" s="19" t="n"/>
      <c r="AJ397" s="19" t="n"/>
      <c r="AK397" s="19" t="n"/>
      <c r="AL397" s="20" t="n"/>
      <c r="AM397" s="123" t="n"/>
      <c r="AN397" s="123" t="n"/>
      <c r="AO397" s="123" t="n"/>
      <c r="AP397" s="123" t="n"/>
      <c r="AQ397" s="123" t="n"/>
      <c r="AR397" s="123" t="n"/>
      <c r="AS397" s="123" t="n"/>
    </row>
    <row r="398" hidden="1" outlineLevel="2">
      <c r="A398" s="8" t="n"/>
      <c r="B398" s="14" t="n"/>
      <c r="C398" s="123" t="n"/>
      <c r="D398" s="123" t="n"/>
      <c r="E398" s="123" t="n"/>
      <c r="F398" s="123" t="n"/>
      <c r="G398" s="123" t="n"/>
      <c r="I398" s="21" t="n"/>
      <c r="M398" s="22" t="n"/>
      <c r="N398" s="123" t="n"/>
      <c r="O398" s="21" t="n"/>
      <c r="S398" s="22" t="n"/>
      <c r="T398" s="123" t="n"/>
      <c r="U398" s="123" t="n"/>
      <c r="V398" s="123" t="n"/>
      <c r="W398" s="123" t="n"/>
      <c r="X398" s="123" t="n"/>
      <c r="Y398" s="123" t="n"/>
      <c r="Z398" s="123" t="n"/>
      <c r="AB398" s="21" t="n"/>
      <c r="AF398" s="22" t="n"/>
      <c r="AG398" s="123" t="n"/>
      <c r="AH398" s="21" t="n"/>
      <c r="AL398" s="22" t="n"/>
      <c r="AM398" s="123" t="n"/>
      <c r="AN398" s="123" t="n"/>
      <c r="AO398" s="123" t="n"/>
      <c r="AP398" s="123" t="n"/>
      <c r="AQ398" s="123" t="n"/>
      <c r="AR398" s="123" t="n"/>
      <c r="AS398" s="123" t="n"/>
    </row>
    <row r="399" hidden="1" outlineLevel="2">
      <c r="A399" s="8" t="n"/>
      <c r="B399" s="14" t="n"/>
      <c r="C399" s="123" t="n"/>
      <c r="D399" s="123" t="n"/>
      <c r="E399" s="123" t="n"/>
      <c r="F399" s="123" t="n"/>
      <c r="G399" s="123" t="n"/>
      <c r="I399" s="21" t="n"/>
      <c r="M399" s="22" t="n"/>
      <c r="N399" s="123" t="n"/>
      <c r="O399" s="21" t="n"/>
      <c r="S399" s="22" t="n"/>
      <c r="T399" s="123" t="n"/>
      <c r="U399" s="123" t="n"/>
      <c r="V399" s="123" t="n"/>
      <c r="W399" s="123" t="n"/>
      <c r="X399" s="123" t="n"/>
      <c r="Y399" s="123" t="n"/>
      <c r="Z399" s="123" t="n"/>
      <c r="AB399" s="21" t="n"/>
      <c r="AF399" s="22" t="n"/>
      <c r="AG399" s="123" t="n"/>
      <c r="AH399" s="21" t="n"/>
      <c r="AL399" s="22" t="n"/>
      <c r="AM399" s="123" t="n"/>
      <c r="AN399" s="123" t="n"/>
      <c r="AO399" s="123" t="n"/>
      <c r="AP399" s="123" t="n"/>
      <c r="AQ399" s="123" t="n"/>
      <c r="AR399" s="123" t="n"/>
      <c r="AS399" s="123" t="n"/>
    </row>
    <row r="400" hidden="1" outlineLevel="2">
      <c r="A400" s="8" t="n"/>
      <c r="B400" s="14" t="n"/>
      <c r="C400" s="123" t="n"/>
      <c r="D400" s="123" t="n"/>
      <c r="E400" s="123" t="n"/>
      <c r="F400" s="123" t="n"/>
      <c r="G400" s="123" t="n"/>
      <c r="I400" s="23" t="n"/>
      <c r="J400" s="24" t="n"/>
      <c r="K400" s="24" t="n"/>
      <c r="L400" s="24" t="n"/>
      <c r="M400" s="25" t="n"/>
      <c r="N400" s="123" t="n"/>
      <c r="O400" s="23" t="n"/>
      <c r="P400" s="24" t="n"/>
      <c r="Q400" s="24" t="n"/>
      <c r="R400" s="24" t="n"/>
      <c r="S400" s="25" t="n"/>
      <c r="T400" s="123" t="n"/>
      <c r="U400" s="123" t="n"/>
      <c r="V400" s="123" t="n"/>
      <c r="W400" s="123" t="n"/>
      <c r="X400" s="123" t="n"/>
      <c r="Y400" s="123" t="n"/>
      <c r="Z400" s="123" t="n"/>
      <c r="AB400" s="23" t="n"/>
      <c r="AC400" s="24" t="n"/>
      <c r="AD400" s="24" t="n"/>
      <c r="AE400" s="24" t="n"/>
      <c r="AF400" s="25" t="n"/>
      <c r="AG400" s="123" t="n"/>
      <c r="AH400" s="23" t="n"/>
      <c r="AI400" s="24" t="n"/>
      <c r="AJ400" s="24" t="n"/>
      <c r="AK400" s="24" t="n"/>
      <c r="AL400" s="25" t="n"/>
      <c r="AM400" s="123" t="n"/>
      <c r="AN400" s="123" t="n"/>
      <c r="AO400" s="123" t="n"/>
      <c r="AP400" s="123" t="n"/>
      <c r="AQ400" s="123" t="n"/>
      <c r="AR400" s="123" t="n"/>
      <c r="AS400" s="123" t="n"/>
    </row>
    <row r="401" hidden="1" outlineLevel="2">
      <c r="A401" s="8" t="n"/>
      <c r="B401" s="14" t="n"/>
      <c r="C401" s="123" t="n"/>
      <c r="D401" s="123" t="n"/>
      <c r="E401" s="123" t="n"/>
      <c r="F401" s="123" t="n"/>
      <c r="G401" s="123" t="n"/>
      <c r="I401" s="68">
        <f>DADOS_INVOC!$JE$3</f>
        <v/>
      </c>
      <c r="J401" s="16" t="n"/>
      <c r="K401" s="16" t="n"/>
      <c r="L401" s="16" t="n"/>
      <c r="M401" s="17" t="n"/>
      <c r="N401" s="123" t="n"/>
      <c r="O401" s="127" t="n"/>
      <c r="P401" s="17" t="n"/>
      <c r="Q401" s="68">
        <f>DADOS_INVOC!$JG$3</f>
        <v/>
      </c>
      <c r="R401" s="16" t="n"/>
      <c r="S401" s="17" t="n"/>
      <c r="T401" s="123" t="n"/>
      <c r="U401" s="123" t="n"/>
      <c r="V401" s="123" t="n"/>
      <c r="W401" s="123" t="n"/>
      <c r="X401" s="123" t="n"/>
      <c r="Y401" s="123" t="n"/>
      <c r="Z401" s="123" t="n"/>
      <c r="AB401" s="68">
        <f>DADOS_INVOC!$JE$9</f>
        <v/>
      </c>
      <c r="AC401" s="16" t="n"/>
      <c r="AD401" s="16" t="n"/>
      <c r="AE401" s="16" t="n"/>
      <c r="AF401" s="17" t="n"/>
      <c r="AG401" s="123" t="n"/>
      <c r="AH401" s="127" t="n"/>
      <c r="AI401" s="17" t="n"/>
      <c r="AJ401" s="68">
        <f>DADOS_INVOC!$JG$9</f>
        <v/>
      </c>
      <c r="AK401" s="16" t="n"/>
      <c r="AL401" s="17" t="n"/>
      <c r="AM401" s="123" t="n"/>
      <c r="AN401" s="123" t="n"/>
      <c r="AO401" s="123" t="n"/>
      <c r="AP401" s="123" t="n"/>
      <c r="AQ401" s="123" t="n"/>
      <c r="AR401" s="123" t="n"/>
      <c r="AS401" s="123" t="n"/>
    </row>
    <row r="402" hidden="1" outlineLevel="2">
      <c r="A402" s="8" t="n"/>
      <c r="B402" s="14" t="n"/>
      <c r="C402" s="123" t="n"/>
      <c r="D402" s="123" t="n"/>
      <c r="E402" s="123" t="n"/>
      <c r="F402" s="123" t="n"/>
      <c r="G402" s="123" t="n"/>
      <c r="I402" s="127" t="inlineStr">
        <is>
          <t>Sua Ação Completa + a básica dela</t>
        </is>
      </c>
      <c r="J402" s="16" t="n"/>
      <c r="K402" s="16" t="n"/>
      <c r="L402" s="16" t="n"/>
      <c r="M402" s="17" t="n"/>
      <c r="N402" s="123" t="n"/>
      <c r="O402" s="132">
        <f>DADOS_INVOC!$JH$3</f>
        <v/>
      </c>
      <c r="P402" s="16" t="n"/>
      <c r="Q402" s="16" t="n"/>
      <c r="R402" s="16" t="n"/>
      <c r="S402" s="17" t="n"/>
      <c r="T402" s="123" t="n"/>
      <c r="U402" s="123" t="n"/>
      <c r="V402" s="123" t="n"/>
      <c r="W402" s="123" t="n"/>
      <c r="X402" s="123" t="n"/>
      <c r="Y402" s="123" t="n"/>
      <c r="Z402" s="123" t="n"/>
      <c r="AB402" s="127" t="inlineStr">
        <is>
          <t>Sua Ação Completa + a básica dela</t>
        </is>
      </c>
      <c r="AC402" s="16" t="n"/>
      <c r="AD402" s="16" t="n"/>
      <c r="AE402" s="16" t="n"/>
      <c r="AF402" s="17" t="n"/>
      <c r="AG402" s="123" t="n"/>
      <c r="AH402" s="132">
        <f>DADOS_INVOC!$JH$9</f>
        <v/>
      </c>
      <c r="AI402" s="16" t="n"/>
      <c r="AJ402" s="16" t="n"/>
      <c r="AK402" s="16" t="n"/>
      <c r="AL402" s="17" t="n"/>
      <c r="AM402" s="123" t="n"/>
      <c r="AN402" s="123" t="n"/>
      <c r="AO402" s="123" t="n"/>
      <c r="AP402" s="123" t="n"/>
      <c r="AQ402" s="123" t="n"/>
      <c r="AR402" s="123" t="n"/>
      <c r="AS402" s="123" t="n"/>
    </row>
    <row r="403">
      <c r="A403" s="8" t="n"/>
      <c r="B403" s="14" t="n"/>
      <c r="C403" s="123" t="n"/>
      <c r="D403" s="123" t="n"/>
      <c r="E403" s="123" t="n"/>
      <c r="F403" s="123" t="n"/>
      <c r="G403" s="123" t="n"/>
      <c r="H403" s="123" t="n"/>
      <c r="I403" s="123" t="n"/>
      <c r="J403" s="123" t="n"/>
      <c r="K403" s="123" t="n"/>
      <c r="L403" s="123" t="n"/>
      <c r="M403" s="123" t="n"/>
      <c r="N403" s="123" t="n"/>
      <c r="O403" s="123" t="n"/>
      <c r="P403" s="123" t="n"/>
      <c r="Q403" s="123" t="n"/>
      <c r="R403" s="123" t="n"/>
      <c r="S403" s="123" t="n"/>
      <c r="T403" s="123" t="n"/>
      <c r="U403" s="123" t="n"/>
      <c r="V403" s="123" t="n"/>
      <c r="W403" s="123" t="n"/>
      <c r="X403" s="123" t="n"/>
      <c r="Y403" s="123" t="n"/>
      <c r="Z403" s="123" t="n"/>
      <c r="AA403" s="123" t="n"/>
      <c r="AB403" s="123" t="n"/>
      <c r="AC403" s="123" t="n"/>
      <c r="AD403" s="123" t="n"/>
      <c r="AE403" s="123" t="n"/>
      <c r="AF403" s="123" t="n"/>
      <c r="AG403" s="123" t="n"/>
      <c r="AH403" s="123" t="n"/>
      <c r="AI403" s="123" t="n"/>
      <c r="AJ403" s="123" t="n"/>
      <c r="AK403" s="123" t="n"/>
      <c r="AL403" s="123" t="n"/>
      <c r="AM403" s="123" t="n"/>
      <c r="AN403" s="123" t="n"/>
      <c r="AO403" s="123" t="n"/>
      <c r="AP403" s="123" t="n"/>
      <c r="AQ403" s="123" t="n"/>
      <c r="AR403" s="123" t="n"/>
      <c r="AS403" s="123" t="n"/>
    </row>
    <row r="404">
      <c r="A404" s="8" t="n"/>
      <c r="B404" s="14" t="n"/>
      <c r="C404" s="123" t="n"/>
      <c r="D404" s="123" t="n"/>
      <c r="E404" s="123" t="n"/>
      <c r="F404" s="123" t="n"/>
      <c r="G404" s="123" t="n"/>
      <c r="H404" s="123" t="n"/>
      <c r="I404" s="123" t="n"/>
      <c r="J404" s="123" t="n"/>
      <c r="K404" s="123" t="n"/>
      <c r="L404" s="123" t="n"/>
      <c r="M404" s="123" t="n"/>
      <c r="N404" s="123" t="n"/>
      <c r="O404" s="123" t="n"/>
      <c r="P404" s="123" t="n"/>
      <c r="Q404" s="123" t="n"/>
      <c r="R404" s="123" t="n"/>
      <c r="S404" s="123" t="n"/>
      <c r="T404" s="123" t="n"/>
      <c r="U404" s="123" t="n"/>
      <c r="V404" s="123" t="n"/>
      <c r="W404" s="123" t="n"/>
      <c r="X404" s="123" t="n"/>
      <c r="Y404" s="123" t="n"/>
      <c r="Z404" s="123" t="n"/>
      <c r="AA404" s="123" t="n"/>
      <c r="AB404" s="123" t="n"/>
      <c r="AC404" s="123" t="n"/>
      <c r="AD404" s="123" t="n"/>
      <c r="AE404" s="123" t="n"/>
      <c r="AF404" s="123" t="n"/>
      <c r="AG404" s="123" t="n"/>
      <c r="AH404" s="123" t="n"/>
      <c r="AI404" s="123" t="n"/>
      <c r="AJ404" s="123" t="n"/>
      <c r="AK404" s="123" t="n"/>
      <c r="AL404" s="123" t="n"/>
      <c r="AM404" s="123" t="n"/>
      <c r="AN404" s="123" t="n"/>
      <c r="AO404" s="123" t="n"/>
      <c r="AP404" s="123" t="n"/>
      <c r="AQ404" s="123" t="n"/>
      <c r="AR404" s="123" t="n"/>
      <c r="AS404" s="123" t="n"/>
    </row>
    <row r="405">
      <c r="A405" s="8" t="n"/>
      <c r="B405" s="14" t="n"/>
      <c r="C405" s="123" t="n"/>
      <c r="D405" s="123" t="n"/>
      <c r="E405" s="123" t="n"/>
      <c r="F405" s="123" t="n"/>
      <c r="G405" s="123" t="n"/>
      <c r="H405" s="141" t="n">
        <v>3</v>
      </c>
      <c r="I405" s="142" t="n">
        <v>3</v>
      </c>
      <c r="J405" s="126">
        <f>DADOS_INVOC!$HE$4</f>
        <v/>
      </c>
      <c r="K405" s="19" t="n"/>
      <c r="L405" s="19" t="n"/>
      <c r="M405" s="19" t="n"/>
      <c r="N405" s="19" t="n"/>
      <c r="O405" s="19" t="n"/>
      <c r="P405" s="19" t="n"/>
      <c r="Q405" s="19" t="n"/>
      <c r="R405" s="19" t="n"/>
      <c r="S405" s="19" t="n"/>
      <c r="T405" s="19" t="n"/>
      <c r="U405" s="19" t="n"/>
      <c r="V405" s="19" t="n"/>
      <c r="W405" s="19" t="n"/>
      <c r="X405" s="19" t="n"/>
      <c r="Y405" s="20" t="n"/>
      <c r="Z405" s="123" t="n"/>
      <c r="AA405" s="141" t="n">
        <v>9</v>
      </c>
      <c r="AB405" s="142" t="n">
        <v>9</v>
      </c>
      <c r="AC405" s="126">
        <f>DADOS_INVOC!$HE$10</f>
        <v/>
      </c>
      <c r="AD405" s="19" t="n"/>
      <c r="AE405" s="19" t="n"/>
      <c r="AF405" s="19" t="n"/>
      <c r="AG405" s="19" t="n"/>
      <c r="AH405" s="19" t="n"/>
      <c r="AI405" s="19" t="n"/>
      <c r="AJ405" s="19" t="n"/>
      <c r="AK405" s="19" t="n"/>
      <c r="AL405" s="19" t="n"/>
      <c r="AM405" s="19" t="n"/>
      <c r="AN405" s="19" t="n"/>
      <c r="AO405" s="19" t="n"/>
      <c r="AP405" s="19" t="n"/>
      <c r="AQ405" s="19" t="n"/>
      <c r="AR405" s="20" t="n"/>
      <c r="AS405" s="123" t="n"/>
    </row>
    <row r="406">
      <c r="A406" s="8" t="n"/>
      <c r="B406" s="14" t="n"/>
      <c r="C406" s="123" t="n"/>
      <c r="D406" s="123" t="n"/>
      <c r="E406" s="123" t="n"/>
      <c r="F406" s="123" t="n"/>
      <c r="G406" s="123" t="n"/>
      <c r="I406" s="128" t="n"/>
      <c r="J406" s="23" t="n"/>
      <c r="K406" s="24" t="n"/>
      <c r="L406" s="24" t="n"/>
      <c r="M406" s="24" t="n"/>
      <c r="N406" s="24" t="n"/>
      <c r="O406" s="24" t="n"/>
      <c r="P406" s="24" t="n"/>
      <c r="Q406" s="24" t="n"/>
      <c r="R406" s="24" t="n"/>
      <c r="S406" s="24" t="n"/>
      <c r="T406" s="24" t="n"/>
      <c r="U406" s="24" t="n"/>
      <c r="V406" s="24" t="n"/>
      <c r="W406" s="24" t="n"/>
      <c r="X406" s="24" t="n"/>
      <c r="Y406" s="25" t="n"/>
      <c r="Z406" s="123" t="n"/>
      <c r="AB406" s="128" t="n"/>
      <c r="AC406" s="23" t="n"/>
      <c r="AD406" s="24" t="n"/>
      <c r="AE406" s="24" t="n"/>
      <c r="AF406" s="24" t="n"/>
      <c r="AG406" s="24" t="n"/>
      <c r="AH406" s="24" t="n"/>
      <c r="AI406" s="24" t="n"/>
      <c r="AJ406" s="24" t="n"/>
      <c r="AK406" s="24" t="n"/>
      <c r="AL406" s="24" t="n"/>
      <c r="AM406" s="24" t="n"/>
      <c r="AN406" s="24" t="n"/>
      <c r="AO406" s="24" t="n"/>
      <c r="AP406" s="24" t="n"/>
      <c r="AQ406" s="24" t="n"/>
      <c r="AR406" s="25" t="n"/>
      <c r="AS406" s="123" t="n"/>
    </row>
    <row r="407" hidden="1" outlineLevel="1">
      <c r="A407" s="8" t="n"/>
      <c r="B407" s="14" t="n"/>
      <c r="C407" s="123" t="n"/>
      <c r="D407" s="123" t="n"/>
      <c r="E407" s="123" t="n"/>
      <c r="F407" s="123" t="n"/>
      <c r="G407" s="123" t="n"/>
      <c r="H407" s="143">
        <f>DADOS_INVOC!$HF$4</f>
        <v/>
      </c>
      <c r="I407" s="123" t="n"/>
      <c r="J407" s="123" t="n"/>
      <c r="K407" s="123" t="n"/>
      <c r="L407" s="123" t="n"/>
      <c r="M407" s="123" t="n"/>
      <c r="N407" s="123" t="n"/>
      <c r="O407" s="123" t="n"/>
      <c r="P407" s="123" t="n"/>
      <c r="Q407" s="123" t="n"/>
      <c r="R407" s="123" t="n"/>
      <c r="S407" s="123" t="n"/>
      <c r="T407" s="123" t="n"/>
      <c r="U407" s="123" t="n"/>
      <c r="V407" s="123" t="n"/>
      <c r="W407" s="123" t="n"/>
      <c r="X407" s="123" t="n"/>
      <c r="Y407" s="123" t="n"/>
      <c r="Z407" s="123" t="n"/>
      <c r="AA407" s="143">
        <f>DADOS_INVOC!$HF$10</f>
        <v/>
      </c>
      <c r="AB407" s="123" t="n"/>
      <c r="AC407" s="123" t="n"/>
      <c r="AD407" s="123" t="n"/>
      <c r="AE407" s="123" t="n"/>
      <c r="AF407" s="123" t="n"/>
      <c r="AG407" s="123" t="n"/>
      <c r="AH407" s="123" t="n"/>
      <c r="AI407" s="123" t="n"/>
      <c r="AJ407" s="123" t="n"/>
      <c r="AK407" s="123" t="n"/>
      <c r="AL407" s="123" t="n"/>
      <c r="AM407" s="123" t="n"/>
      <c r="AN407" s="123" t="n"/>
      <c r="AO407" s="123" t="n"/>
      <c r="AP407" s="123" t="n"/>
      <c r="AQ407" s="123" t="n"/>
      <c r="AR407" s="123" t="n"/>
      <c r="AS407" s="123" t="n"/>
    </row>
    <row r="408" hidden="1" outlineLevel="1">
      <c r="A408" s="8" t="n"/>
      <c r="B408" s="14" t="n"/>
      <c r="C408" s="123" t="n"/>
      <c r="D408" s="123" t="n"/>
      <c r="E408" s="123" t="n"/>
      <c r="F408" s="123" t="n"/>
      <c r="G408" s="123" t="n"/>
      <c r="I408" s="55" t="inlineStr">
        <is>
          <t>NOME</t>
        </is>
      </c>
      <c r="J408" s="16" t="n"/>
      <c r="K408" s="16" t="n"/>
      <c r="L408" s="16" t="n"/>
      <c r="M408" s="17" t="n"/>
      <c r="N408" s="123" t="n"/>
      <c r="O408" s="55" t="inlineStr">
        <is>
          <t>NÍVEL</t>
        </is>
      </c>
      <c r="P408" s="55" t="inlineStr">
        <is>
          <t>CLASSE</t>
        </is>
      </c>
      <c r="Q408" s="55" t="inlineStr">
        <is>
          <t>MAESTRIA</t>
        </is>
      </c>
      <c r="R408" s="55" t="inlineStr">
        <is>
          <t>ENTRADA</t>
        </is>
      </c>
      <c r="S408" s="55" t="inlineStr">
        <is>
          <t>RETORNO</t>
        </is>
      </c>
      <c r="T408" s="123" t="n"/>
      <c r="U408" s="55" t="inlineStr">
        <is>
          <t>VIDA ATUAL</t>
        </is>
      </c>
      <c r="V408" s="55" t="inlineStr">
        <is>
          <t>VIDA MÁXIMA</t>
        </is>
      </c>
      <c r="W408" s="55" t="inlineStr">
        <is>
          <t>TEMPORÁRIA</t>
        </is>
      </c>
      <c r="X408" s="55" t="inlineStr">
        <is>
          <t>± PERDA / GANHO</t>
        </is>
      </c>
      <c r="Y408" s="55">
        <f>DADOS_INVOC!$HZ$4</f>
        <v/>
      </c>
      <c r="Z408" s="123" t="n"/>
      <c r="AB408" s="55" t="inlineStr">
        <is>
          <t>NOME</t>
        </is>
      </c>
      <c r="AC408" s="16" t="n"/>
      <c r="AD408" s="16" t="n"/>
      <c r="AE408" s="16" t="n"/>
      <c r="AF408" s="17" t="n"/>
      <c r="AG408" s="123" t="n"/>
      <c r="AH408" s="55" t="inlineStr">
        <is>
          <t>NÍVEL</t>
        </is>
      </c>
      <c r="AI408" s="55" t="inlineStr">
        <is>
          <t>CLASSE</t>
        </is>
      </c>
      <c r="AJ408" s="55" t="inlineStr">
        <is>
          <t>MAESTRIA</t>
        </is>
      </c>
      <c r="AK408" s="55" t="inlineStr">
        <is>
          <t>ENTRADA</t>
        </is>
      </c>
      <c r="AL408" s="55" t="inlineStr">
        <is>
          <t>RETORNO</t>
        </is>
      </c>
      <c r="AM408" s="123" t="n"/>
      <c r="AN408" s="55" t="inlineStr">
        <is>
          <t>VIDA ATUAL</t>
        </is>
      </c>
      <c r="AO408" s="55" t="inlineStr">
        <is>
          <t>VIDA MÁXIMA</t>
        </is>
      </c>
      <c r="AP408" s="55" t="inlineStr">
        <is>
          <t>TEMPORÁRIA</t>
        </is>
      </c>
      <c r="AQ408" s="55" t="inlineStr">
        <is>
          <t>± PERDA / GANHO</t>
        </is>
      </c>
      <c r="AR408" s="55">
        <f>DADOS_INVOC!$HZ$10</f>
        <v/>
      </c>
      <c r="AS408" s="123" t="n"/>
    </row>
    <row r="409" hidden="1" outlineLevel="1">
      <c r="A409" s="8" t="n"/>
      <c r="B409" s="14" t="n"/>
      <c r="C409" s="123" t="n"/>
      <c r="D409" s="123" t="n"/>
      <c r="E409" s="123" t="n"/>
      <c r="F409" s="123" t="n"/>
      <c r="G409" s="123" t="n"/>
      <c r="I409" s="85" t="n"/>
      <c r="J409" s="19" t="n"/>
      <c r="K409" s="19" t="n"/>
      <c r="L409" s="19" t="n"/>
      <c r="M409" s="20" t="n"/>
      <c r="N409" s="123" t="n"/>
      <c r="O409" s="96">
        <f>DADOS_INVOC!$FM$4</f>
        <v/>
      </c>
      <c r="P409" s="96">
        <f>DADOS_INVOC!$FN$4</f>
        <v/>
      </c>
      <c r="Q409" s="96">
        <f>DADOS_INVOC!$HG$4</f>
        <v/>
      </c>
      <c r="R409" s="96">
        <f>DADOS_INVOC!$HH$4</f>
        <v/>
      </c>
      <c r="S409" s="96">
        <f>DADOS_INVOC!$HI$4</f>
        <v/>
      </c>
      <c r="T409" s="123" t="n"/>
      <c r="U409" s="96">
        <f>DADOS_INVOC!$GE$4</f>
        <v/>
      </c>
      <c r="V409" s="96">
        <f>DADOS_INVOC!$GD$4</f>
        <v/>
      </c>
      <c r="W409" s="96" t="n"/>
      <c r="X409" s="96" t="n"/>
      <c r="Y409" s="96" t="n"/>
      <c r="Z409" s="123" t="n"/>
      <c r="AB409" s="85" t="n"/>
      <c r="AC409" s="19" t="n"/>
      <c r="AD409" s="19" t="n"/>
      <c r="AE409" s="19" t="n"/>
      <c r="AF409" s="20" t="n"/>
      <c r="AG409" s="123" t="n"/>
      <c r="AH409" s="96">
        <f>DADOS_INVOC!$FM$10</f>
        <v/>
      </c>
      <c r="AI409" s="96">
        <f>DADOS_INVOC!$FN$10</f>
        <v/>
      </c>
      <c r="AJ409" s="96">
        <f>DADOS_INVOC!$HG$10</f>
        <v/>
      </c>
      <c r="AK409" s="96">
        <f>DADOS_INVOC!$HH$10</f>
        <v/>
      </c>
      <c r="AL409" s="96">
        <f>DADOS_INVOC!$HI$10</f>
        <v/>
      </c>
      <c r="AM409" s="123" t="n"/>
      <c r="AN409" s="96">
        <f>DADOS_INVOC!$GE$10</f>
        <v/>
      </c>
      <c r="AO409" s="96">
        <f>DADOS_INVOC!$GD$10</f>
        <v/>
      </c>
      <c r="AP409" s="96" t="n"/>
      <c r="AQ409" s="96" t="n"/>
      <c r="AR409" s="96" t="n"/>
      <c r="AS409" s="123" t="n"/>
    </row>
    <row r="410" hidden="1" outlineLevel="1">
      <c r="A410" s="8" t="n"/>
      <c r="B410" s="14" t="n"/>
      <c r="C410" s="123" t="n"/>
      <c r="D410" s="123" t="n"/>
      <c r="E410" s="123" t="n"/>
      <c r="F410" s="123" t="n"/>
      <c r="G410" s="123" t="n"/>
      <c r="I410" s="23" t="n"/>
      <c r="J410" s="24" t="n"/>
      <c r="K410" s="24" t="n"/>
      <c r="L410" s="24" t="n"/>
      <c r="M410" s="25" t="n"/>
      <c r="N410" s="123" t="n"/>
      <c r="O410" s="128" t="n"/>
      <c r="P410" s="128" t="n"/>
      <c r="Q410" s="128" t="n"/>
      <c r="R410" s="128" t="n"/>
      <c r="S410" s="128" t="n"/>
      <c r="T410" s="123" t="n"/>
      <c r="U410" s="128" t="n"/>
      <c r="V410" s="128" t="n"/>
      <c r="W410" s="128" t="n"/>
      <c r="X410" s="128" t="n"/>
      <c r="Y410" s="128" t="n"/>
      <c r="Z410" s="123" t="n"/>
      <c r="AB410" s="23" t="n"/>
      <c r="AC410" s="24" t="n"/>
      <c r="AD410" s="24" t="n"/>
      <c r="AE410" s="24" t="n"/>
      <c r="AF410" s="25" t="n"/>
      <c r="AG410" s="123" t="n"/>
      <c r="AH410" s="128" t="n"/>
      <c r="AI410" s="128" t="n"/>
      <c r="AJ410" s="128" t="n"/>
      <c r="AK410" s="128" t="n"/>
      <c r="AL410" s="128" t="n"/>
      <c r="AM410" s="123" t="n"/>
      <c r="AN410" s="128" t="n"/>
      <c r="AO410" s="128" t="n"/>
      <c r="AP410" s="128" t="n"/>
      <c r="AQ410" s="128" t="n"/>
      <c r="AR410" s="128" t="n"/>
      <c r="AS410" s="123" t="n"/>
    </row>
    <row r="411" hidden="1" outlineLevel="1">
      <c r="A411" s="8" t="n"/>
      <c r="B411" s="14" t="n"/>
      <c r="C411" s="123" t="n"/>
      <c r="D411" s="123" t="n"/>
      <c r="E411" s="123" t="n"/>
      <c r="F411" s="123" t="n"/>
      <c r="G411" s="123" t="n"/>
      <c r="I411" s="144" t="inlineStr">
        <is>
          <t>FOTO
式神</t>
        </is>
      </c>
      <c r="J411" s="19" t="n"/>
      <c r="K411" s="19" t="n"/>
      <c r="L411" s="19" t="n"/>
      <c r="M411" s="20" t="n"/>
      <c r="N411" s="123" t="n"/>
      <c r="O411" s="123" t="n"/>
      <c r="P411" s="123" t="n"/>
      <c r="Q411" s="123" t="n"/>
      <c r="R411" s="123" t="n"/>
      <c r="S411" s="123" t="n"/>
      <c r="T411" s="123" t="n"/>
      <c r="U411" s="133">
        <f>IFERROR(SPARKLINE(DADOS_INVOC!$GF$4,{"charttype","bar";"max",MAX(1,DADOS_INVOC!$GD$4);"color1",DADOS_INVOC!$CZ$12}),"")</f>
        <v/>
      </c>
      <c r="V411" s="16" t="n"/>
      <c r="W411" s="16" t="n"/>
      <c r="X411" s="16" t="n"/>
      <c r="Y411" s="17" t="n"/>
      <c r="Z411" s="123" t="n"/>
      <c r="AB411" s="144" t="inlineStr">
        <is>
          <t>FOTO
式神</t>
        </is>
      </c>
      <c r="AC411" s="19" t="n"/>
      <c r="AD411" s="19" t="n"/>
      <c r="AE411" s="19" t="n"/>
      <c r="AF411" s="20" t="n"/>
      <c r="AG411" s="123" t="n"/>
      <c r="AH411" s="123" t="n"/>
      <c r="AI411" s="123" t="n"/>
      <c r="AJ411" s="123" t="n"/>
      <c r="AK411" s="123" t="n"/>
      <c r="AL411" s="123" t="n"/>
      <c r="AM411" s="123" t="n"/>
      <c r="AN411" s="133">
        <f>IFERROR(SPARKLINE(DADOS_INVOC!$GF$10,{"charttype","bar";"max",MAX(1,DADOS_INVOC!$GD$10);"color1",DADOS_INVOC!$CZ$12}),"")</f>
        <v/>
      </c>
      <c r="AO411" s="16" t="n"/>
      <c r="AP411" s="16" t="n"/>
      <c r="AQ411" s="16" t="n"/>
      <c r="AR411" s="17" t="n"/>
      <c r="AS411" s="123" t="n"/>
    </row>
    <row r="412" hidden="1" outlineLevel="1">
      <c r="A412" s="8" t="n"/>
      <c r="B412" s="14" t="n"/>
      <c r="C412" s="123" t="n"/>
      <c r="D412" s="123" t="n"/>
      <c r="E412" s="123" t="n"/>
      <c r="F412" s="123" t="n"/>
      <c r="G412" s="123" t="n"/>
      <c r="I412" s="21" t="n"/>
      <c r="M412" s="22" t="n"/>
      <c r="N412" s="123" t="n"/>
      <c r="O412" s="55">
        <f>DADOS_INVOC!$HJ$4</f>
        <v/>
      </c>
      <c r="P412" s="16" t="n"/>
      <c r="Q412" s="16" t="n"/>
      <c r="R412" s="16" t="n"/>
      <c r="S412" s="17" t="n"/>
      <c r="T412" s="123" t="n"/>
      <c r="U412" s="123" t="n"/>
      <c r="V412" s="123" t="n"/>
      <c r="W412" s="123" t="n"/>
      <c r="X412" s="123" t="n"/>
      <c r="Y412" s="123" t="n"/>
      <c r="Z412" s="123" t="n"/>
      <c r="AB412" s="21" t="n"/>
      <c r="AF412" s="22" t="n"/>
      <c r="AG412" s="123" t="n"/>
      <c r="AH412" s="55">
        <f>DADOS_INVOC!$HJ$10</f>
        <v/>
      </c>
      <c r="AI412" s="16" t="n"/>
      <c r="AJ412" s="16" t="n"/>
      <c r="AK412" s="16" t="n"/>
      <c r="AL412" s="17" t="n"/>
      <c r="AM412" s="123" t="n"/>
      <c r="AN412" s="123" t="n"/>
      <c r="AO412" s="123" t="n"/>
      <c r="AP412" s="123" t="n"/>
      <c r="AQ412" s="123" t="n"/>
      <c r="AR412" s="123" t="n"/>
      <c r="AS412" s="123" t="n"/>
    </row>
    <row r="413" hidden="1" outlineLevel="1">
      <c r="A413" s="8" t="n"/>
      <c r="B413" s="14" t="n"/>
      <c r="C413" s="123" t="n"/>
      <c r="D413" s="123" t="n"/>
      <c r="E413" s="123" t="n"/>
      <c r="F413" s="123" t="n"/>
      <c r="G413" s="123" t="n"/>
      <c r="I413" s="21" t="n"/>
      <c r="M413" s="22" t="n"/>
      <c r="N413" s="123" t="n"/>
      <c r="O413" s="55" t="inlineStr">
        <is>
          <t>FOR</t>
        </is>
      </c>
      <c r="P413" s="55" t="inlineStr">
        <is>
          <t>DES</t>
        </is>
      </c>
      <c r="Q413" s="55" t="inlineStr">
        <is>
          <t>CON</t>
        </is>
      </c>
      <c r="R413" s="55" t="inlineStr">
        <is>
          <t>INT</t>
        </is>
      </c>
      <c r="S413" s="55" t="inlineStr">
        <is>
          <t>ESS</t>
        </is>
      </c>
      <c r="T413" s="123" t="n"/>
      <c r="U413" s="55" t="inlineStr">
        <is>
          <t>ALMA</t>
        </is>
      </c>
      <c r="V413" s="55" t="inlineStr">
        <is>
          <t>INTEGRIDADE ATUAL</t>
        </is>
      </c>
      <c r="W413" s="55" t="inlineStr">
        <is>
          <t>INTEGRIDADE MÁXIMA</t>
        </is>
      </c>
      <c r="X413" s="55" t="inlineStr">
        <is>
          <t>ESTÁGIO</t>
        </is>
      </c>
      <c r="Y413" s="17" t="n"/>
      <c r="Z413" s="123" t="n"/>
      <c r="AB413" s="21" t="n"/>
      <c r="AF413" s="22" t="n"/>
      <c r="AG413" s="123" t="n"/>
      <c r="AH413" s="55" t="inlineStr">
        <is>
          <t>FOR</t>
        </is>
      </c>
      <c r="AI413" s="55" t="inlineStr">
        <is>
          <t>DES</t>
        </is>
      </c>
      <c r="AJ413" s="55" t="inlineStr">
        <is>
          <t>CON</t>
        </is>
      </c>
      <c r="AK413" s="55" t="inlineStr">
        <is>
          <t>INT</t>
        </is>
      </c>
      <c r="AL413" s="55" t="inlineStr">
        <is>
          <t>ESS</t>
        </is>
      </c>
      <c r="AM413" s="123" t="n"/>
      <c r="AN413" s="55" t="inlineStr">
        <is>
          <t>ALMA</t>
        </is>
      </c>
      <c r="AO413" s="55" t="inlineStr">
        <is>
          <t>INTEGRIDADE ATUAL</t>
        </is>
      </c>
      <c r="AP413" s="55" t="inlineStr">
        <is>
          <t>INTEGRIDADE MÁXIMA</t>
        </is>
      </c>
      <c r="AQ413" s="55" t="inlineStr">
        <is>
          <t>ESTÁGIO</t>
        </is>
      </c>
      <c r="AR413" s="17" t="n"/>
      <c r="AS413" s="123" t="n"/>
    </row>
    <row r="414" hidden="1" outlineLevel="1">
      <c r="A414" s="8" t="n"/>
      <c r="B414" s="14" t="n"/>
      <c r="C414" s="123" t="n"/>
      <c r="D414" s="123" t="n"/>
      <c r="E414" s="123" t="n"/>
      <c r="F414" s="123" t="n"/>
      <c r="G414" s="123" t="n"/>
      <c r="I414" s="21" t="n"/>
      <c r="M414" s="22" t="n"/>
      <c r="N414" s="123" t="n"/>
      <c r="O414" s="96">
        <f>DADOS_INVOC!$FP$4</f>
        <v/>
      </c>
      <c r="P414" s="96">
        <f>DADOS_INVOC!$FQ$4</f>
        <v/>
      </c>
      <c r="Q414" s="96">
        <f>DADOS_INVOC!$FR$4</f>
        <v/>
      </c>
      <c r="R414" s="96">
        <f>DADOS_INVOC!$FS$4</f>
        <v/>
      </c>
      <c r="S414" s="96">
        <f>DADOS_INVOC!$FT$4</f>
        <v/>
      </c>
      <c r="T414" s="123" t="n"/>
      <c r="U414" s="127" t="inlineStr">
        <is>
          <t>Com alma</t>
        </is>
      </c>
      <c r="V414" s="96">
        <f>DADOS_INVOC!$GH$4</f>
        <v/>
      </c>
      <c r="W414" s="96">
        <f>DADOS_INVOC!$GJ$4</f>
        <v/>
      </c>
      <c r="X414" s="127">
        <f>DADOS_INVOC!$GK$4</f>
        <v/>
      </c>
      <c r="Y414" s="20" t="n"/>
      <c r="Z414" s="123" t="n"/>
      <c r="AB414" s="21" t="n"/>
      <c r="AF414" s="22" t="n"/>
      <c r="AG414" s="123" t="n"/>
      <c r="AH414" s="96">
        <f>DADOS_INVOC!$FP$10</f>
        <v/>
      </c>
      <c r="AI414" s="96">
        <f>DADOS_INVOC!$FQ$10</f>
        <v/>
      </c>
      <c r="AJ414" s="96">
        <f>DADOS_INVOC!$FR$10</f>
        <v/>
      </c>
      <c r="AK414" s="96">
        <f>DADOS_INVOC!$FS$10</f>
        <v/>
      </c>
      <c r="AL414" s="96">
        <f>DADOS_INVOC!$FT$10</f>
        <v/>
      </c>
      <c r="AM414" s="123" t="n"/>
      <c r="AN414" s="127" t="inlineStr">
        <is>
          <t>Com alma</t>
        </is>
      </c>
      <c r="AO414" s="96">
        <f>DADOS_INVOC!$GH$10</f>
        <v/>
      </c>
      <c r="AP414" s="96">
        <f>DADOS_INVOC!$GJ$10</f>
        <v/>
      </c>
      <c r="AQ414" s="127">
        <f>DADOS_INVOC!$GK$10</f>
        <v/>
      </c>
      <c r="AR414" s="20" t="n"/>
      <c r="AS414" s="123" t="n"/>
    </row>
    <row r="415" hidden="1" outlineLevel="1">
      <c r="A415" s="8" t="n"/>
      <c r="B415" s="14" t="n"/>
      <c r="C415" s="123" t="n"/>
      <c r="D415" s="123" t="n"/>
      <c r="E415" s="123" t="n"/>
      <c r="F415" s="123" t="n"/>
      <c r="G415" s="123" t="n"/>
      <c r="I415" s="21" t="n"/>
      <c r="M415" s="22" t="n"/>
      <c r="N415" s="123" t="n"/>
      <c r="O415" s="128" t="n"/>
      <c r="P415" s="128" t="n"/>
      <c r="Q415" s="128" t="n"/>
      <c r="R415" s="128" t="n"/>
      <c r="S415" s="128" t="n"/>
      <c r="T415" s="123" t="n"/>
      <c r="U415" s="128" t="n"/>
      <c r="V415" s="128" t="n"/>
      <c r="W415" s="128" t="n"/>
      <c r="X415" s="23" t="n"/>
      <c r="Y415" s="25" t="n"/>
      <c r="Z415" s="123" t="n"/>
      <c r="AB415" s="21" t="n"/>
      <c r="AF415" s="22" t="n"/>
      <c r="AG415" s="123" t="n"/>
      <c r="AH415" s="128" t="n"/>
      <c r="AI415" s="128" t="n"/>
      <c r="AJ415" s="128" t="n"/>
      <c r="AK415" s="128" t="n"/>
      <c r="AL415" s="128" t="n"/>
      <c r="AM415" s="123" t="n"/>
      <c r="AN415" s="128" t="n"/>
      <c r="AO415" s="128" t="n"/>
      <c r="AP415" s="128" t="n"/>
      <c r="AQ415" s="23" t="n"/>
      <c r="AR415" s="25" t="n"/>
      <c r="AS415" s="123" t="n"/>
    </row>
    <row r="416" hidden="1" outlineLevel="1">
      <c r="A416" s="8" t="n"/>
      <c r="B416" s="14" t="n"/>
      <c r="C416" s="123" t="n"/>
      <c r="D416" s="123" t="n"/>
      <c r="E416" s="123" t="n"/>
      <c r="F416" s="123" t="n"/>
      <c r="G416" s="123" t="n"/>
      <c r="I416" s="21" t="n"/>
      <c r="M416" s="22" t="n"/>
      <c r="N416" s="123" t="n"/>
      <c r="O416" s="145" t="n">
        <v>0</v>
      </c>
      <c r="P416" s="145" t="n">
        <v>0</v>
      </c>
      <c r="Q416" s="145" t="n">
        <v>0</v>
      </c>
      <c r="R416" s="145" t="n">
        <v>0</v>
      </c>
      <c r="S416" s="145" t="n">
        <v>0</v>
      </c>
      <c r="T416" s="123" t="n"/>
      <c r="U416" s="123" t="n"/>
      <c r="V416" s="123" t="n"/>
      <c r="W416" s="123" t="n"/>
      <c r="X416" s="123" t="n"/>
      <c r="Y416" s="123" t="n"/>
      <c r="Z416" s="123" t="n"/>
      <c r="AB416" s="21" t="n"/>
      <c r="AF416" s="22" t="n"/>
      <c r="AG416" s="123" t="n"/>
      <c r="AH416" s="145" t="n">
        <v>0</v>
      </c>
      <c r="AI416" s="145" t="n">
        <v>0</v>
      </c>
      <c r="AJ416" s="145" t="n">
        <v>0</v>
      </c>
      <c r="AK416" s="145" t="n">
        <v>0</v>
      </c>
      <c r="AL416" s="145" t="n">
        <v>0</v>
      </c>
      <c r="AM416" s="123" t="n"/>
      <c r="AN416" s="123" t="n"/>
      <c r="AO416" s="123" t="n"/>
      <c r="AP416" s="123" t="n"/>
      <c r="AQ416" s="123" t="n"/>
      <c r="AR416" s="123" t="n"/>
      <c r="AS416" s="123" t="n"/>
    </row>
    <row r="417" hidden="1" outlineLevel="1">
      <c r="A417" s="8" t="n"/>
      <c r="B417" s="14" t="n"/>
      <c r="C417" s="123" t="n"/>
      <c r="D417" s="123" t="n"/>
      <c r="E417" s="123" t="n"/>
      <c r="F417" s="123" t="n"/>
      <c r="G417" s="123" t="n"/>
      <c r="I417" s="21" t="n"/>
      <c r="M417" s="22" t="n"/>
      <c r="N417" s="123" t="n"/>
      <c r="O417" s="147" t="n">
        <v>0</v>
      </c>
      <c r="P417" s="147" t="n">
        <v>0</v>
      </c>
      <c r="Q417" s="147" t="n">
        <v>0</v>
      </c>
      <c r="R417" s="147" t="n">
        <v>0</v>
      </c>
      <c r="S417" s="147" t="n">
        <v>0</v>
      </c>
      <c r="T417" s="123" t="n"/>
      <c r="U417" s="55" t="inlineStr">
        <is>
          <t>CONDIÇÕES E USOS GASTOS</t>
        </is>
      </c>
      <c r="V417" s="16" t="n"/>
      <c r="W417" s="16" t="n"/>
      <c r="X417" s="16" t="n"/>
      <c r="Y417" s="17" t="n"/>
      <c r="Z417" s="123" t="n"/>
      <c r="AB417" s="21" t="n"/>
      <c r="AF417" s="22" t="n"/>
      <c r="AG417" s="123" t="n"/>
      <c r="AH417" s="147" t="n">
        <v>0</v>
      </c>
      <c r="AI417" s="147" t="n">
        <v>0</v>
      </c>
      <c r="AJ417" s="147" t="n">
        <v>0</v>
      </c>
      <c r="AK417" s="147" t="n">
        <v>0</v>
      </c>
      <c r="AL417" s="147" t="n">
        <v>0</v>
      </c>
      <c r="AM417" s="123" t="n"/>
      <c r="AN417" s="55" t="inlineStr">
        <is>
          <t>CONDIÇÕES E USOS GASTOS</t>
        </is>
      </c>
      <c r="AO417" s="16" t="n"/>
      <c r="AP417" s="16" t="n"/>
      <c r="AQ417" s="16" t="n"/>
      <c r="AR417" s="17" t="n"/>
      <c r="AS417" s="123" t="n"/>
    </row>
    <row r="418" hidden="1" outlineLevel="1">
      <c r="A418" s="8" t="n"/>
      <c r="B418" s="14" t="n"/>
      <c r="C418" s="123" t="n"/>
      <c r="D418" s="123" t="n"/>
      <c r="E418" s="123" t="n"/>
      <c r="F418" s="123" t="n"/>
      <c r="G418" s="123" t="n"/>
      <c r="I418" s="21" t="n"/>
      <c r="M418" s="22" t="n"/>
      <c r="N418" s="123" t="n"/>
      <c r="O418" s="123" t="n"/>
      <c r="P418" s="123" t="n"/>
      <c r="Q418" s="123" t="n"/>
      <c r="R418" s="123" t="n"/>
      <c r="S418" s="123" t="n"/>
      <c r="T418" s="123" t="n"/>
      <c r="U418" s="119" t="n"/>
      <c r="V418" s="19" t="n"/>
      <c r="W418" s="19" t="n"/>
      <c r="X418" s="19" t="n"/>
      <c r="Y418" s="20" t="n"/>
      <c r="Z418" s="123" t="n"/>
      <c r="AB418" s="21" t="n"/>
      <c r="AF418" s="22" t="n"/>
      <c r="AG418" s="123" t="n"/>
      <c r="AH418" s="123" t="n"/>
      <c r="AI418" s="123" t="n"/>
      <c r="AJ418" s="123" t="n"/>
      <c r="AK418" s="123" t="n"/>
      <c r="AL418" s="123" t="n"/>
      <c r="AM418" s="123" t="n"/>
      <c r="AN418" s="119" t="n"/>
      <c r="AO418" s="19" t="n"/>
      <c r="AP418" s="19" t="n"/>
      <c r="AQ418" s="19" t="n"/>
      <c r="AR418" s="20" t="n"/>
      <c r="AS418" s="123" t="n"/>
    </row>
    <row r="419" hidden="1" outlineLevel="1">
      <c r="A419" s="8" t="n"/>
      <c r="B419" s="14" t="n"/>
      <c r="C419" s="123" t="n"/>
      <c r="D419" s="123" t="n"/>
      <c r="E419" s="123" t="n"/>
      <c r="F419" s="123" t="n"/>
      <c r="G419" s="123" t="n"/>
      <c r="I419" s="21" t="n"/>
      <c r="M419" s="22" t="n"/>
      <c r="N419" s="123" t="n"/>
      <c r="O419" s="55" t="inlineStr">
        <is>
          <t>ATAQUE</t>
        </is>
      </c>
      <c r="P419" s="55" t="inlineStr">
        <is>
          <t>CD</t>
        </is>
      </c>
      <c r="Q419" s="55" t="inlineStr">
        <is>
          <t>DEFESA</t>
        </is>
      </c>
      <c r="R419" s="55" t="inlineStr">
        <is>
          <t>VIDA MÁXIMA</t>
        </is>
      </c>
      <c r="S419" s="55" t="inlineStr">
        <is>
          <t>DESLOCAMENTO</t>
        </is>
      </c>
      <c r="T419" s="123" t="n"/>
      <c r="U419" s="21" t="n"/>
      <c r="Y419" s="22" t="n"/>
      <c r="Z419" s="123" t="n"/>
      <c r="AB419" s="21" t="n"/>
      <c r="AF419" s="22" t="n"/>
      <c r="AG419" s="123" t="n"/>
      <c r="AH419" s="55" t="inlineStr">
        <is>
          <t>ATAQUE</t>
        </is>
      </c>
      <c r="AI419" s="55" t="inlineStr">
        <is>
          <t>CD</t>
        </is>
      </c>
      <c r="AJ419" s="55" t="inlineStr">
        <is>
          <t>DEFESA</t>
        </is>
      </c>
      <c r="AK419" s="55" t="inlineStr">
        <is>
          <t>VIDA MÁXIMA</t>
        </is>
      </c>
      <c r="AL419" s="55" t="inlineStr">
        <is>
          <t>DESLOCAMENTO</t>
        </is>
      </c>
      <c r="AM419" s="123" t="n"/>
      <c r="AN419" s="21" t="n"/>
      <c r="AR419" s="22" t="n"/>
      <c r="AS419" s="123" t="n"/>
    </row>
    <row r="420" hidden="1" outlineLevel="1">
      <c r="A420" s="8" t="n"/>
      <c r="B420" s="14" t="n"/>
      <c r="C420" s="123" t="n"/>
      <c r="D420" s="123" t="n"/>
      <c r="E420" s="123" t="n"/>
      <c r="F420" s="123" t="n"/>
      <c r="G420" s="123" t="n"/>
      <c r="I420" s="21" t="n"/>
      <c r="M420" s="22" t="n"/>
      <c r="N420" s="123" t="n"/>
      <c r="O420" s="96">
        <f>DADOS_INVOC!$HK$4</f>
        <v/>
      </c>
      <c r="P420" s="96">
        <f>DADOS_INVOC!$HL$4</f>
        <v/>
      </c>
      <c r="Q420" s="96">
        <f>DADOS_INVOC!$GB$4</f>
        <v/>
      </c>
      <c r="R420" s="96">
        <f>DADOS_INVOC!$GD$4</f>
        <v/>
      </c>
      <c r="S420" s="96">
        <f>DADOS_INVOC!$HM$4</f>
        <v/>
      </c>
      <c r="T420" s="123" t="n"/>
      <c r="U420" s="23" t="n"/>
      <c r="V420" s="24" t="n"/>
      <c r="W420" s="24" t="n"/>
      <c r="X420" s="24" t="n"/>
      <c r="Y420" s="25" t="n"/>
      <c r="Z420" s="123" t="n"/>
      <c r="AB420" s="21" t="n"/>
      <c r="AF420" s="22" t="n"/>
      <c r="AG420" s="123" t="n"/>
      <c r="AH420" s="96">
        <f>DADOS_INVOC!$HK$10</f>
        <v/>
      </c>
      <c r="AI420" s="96">
        <f>DADOS_INVOC!$HL$10</f>
        <v/>
      </c>
      <c r="AJ420" s="96">
        <f>DADOS_INVOC!$GB$10</f>
        <v/>
      </c>
      <c r="AK420" s="96">
        <f>DADOS_INVOC!$GD$10</f>
        <v/>
      </c>
      <c r="AL420" s="96">
        <f>DADOS_INVOC!$HM$10</f>
        <v/>
      </c>
      <c r="AM420" s="123" t="n"/>
      <c r="AN420" s="23" t="n"/>
      <c r="AO420" s="24" t="n"/>
      <c r="AP420" s="24" t="n"/>
      <c r="AQ420" s="24" t="n"/>
      <c r="AR420" s="25" t="n"/>
      <c r="AS420" s="123" t="n"/>
    </row>
    <row r="421" hidden="1" outlineLevel="1">
      <c r="A421" s="8" t="n"/>
      <c r="B421" s="14" t="n"/>
      <c r="C421" s="123" t="n"/>
      <c r="D421" s="123" t="n"/>
      <c r="E421" s="123" t="n"/>
      <c r="F421" s="123" t="n"/>
      <c r="G421" s="123" t="n"/>
      <c r="I421" s="21" t="n"/>
      <c r="M421" s="22" t="n"/>
      <c r="N421" s="123" t="n"/>
      <c r="O421" s="128" t="n"/>
      <c r="P421" s="128" t="n"/>
      <c r="Q421" s="128" t="n"/>
      <c r="R421" s="128" t="n"/>
      <c r="S421" s="128" t="n"/>
      <c r="T421" s="123" t="n"/>
      <c r="U421" s="123" t="n"/>
      <c r="V421" s="123" t="n"/>
      <c r="W421" s="123" t="n"/>
      <c r="X421" s="123" t="n"/>
      <c r="Y421" s="123" t="n"/>
      <c r="Z421" s="123" t="n"/>
      <c r="AB421" s="21" t="n"/>
      <c r="AF421" s="22" t="n"/>
      <c r="AG421" s="123" t="n"/>
      <c r="AH421" s="128" t="n"/>
      <c r="AI421" s="128" t="n"/>
      <c r="AJ421" s="128" t="n"/>
      <c r="AK421" s="128" t="n"/>
      <c r="AL421" s="128" t="n"/>
      <c r="AM421" s="123" t="n"/>
      <c r="AN421" s="123" t="n"/>
      <c r="AO421" s="123" t="n"/>
      <c r="AP421" s="123" t="n"/>
      <c r="AQ421" s="123" t="n"/>
      <c r="AR421" s="123" t="n"/>
      <c r="AS421" s="123" t="n"/>
    </row>
    <row r="422" hidden="1" outlineLevel="1">
      <c r="A422" s="8" t="n"/>
      <c r="B422" s="14" t="n"/>
      <c r="C422" s="123" t="n"/>
      <c r="D422" s="123" t="n"/>
      <c r="E422" s="123" t="n"/>
      <c r="F422" s="123" t="n"/>
      <c r="G422" s="123" t="n"/>
      <c r="I422" s="21" t="n"/>
      <c r="M422" s="22" t="n"/>
      <c r="N422" s="123" t="n"/>
      <c r="O422" s="147" t="n">
        <v>0</v>
      </c>
      <c r="P422" s="147" t="n">
        <v>0</v>
      </c>
      <c r="Q422" s="147" t="n">
        <v>0</v>
      </c>
      <c r="R422" s="147" t="n">
        <v>0</v>
      </c>
      <c r="S422" s="147" t="n">
        <v>0</v>
      </c>
      <c r="T422" s="123" t="n"/>
      <c r="U422" s="55" t="inlineStr">
        <is>
          <t>ANOTAÇÕES</t>
        </is>
      </c>
      <c r="V422" s="16" t="n"/>
      <c r="W422" s="16" t="n"/>
      <c r="X422" s="16" t="n"/>
      <c r="Y422" s="17" t="n"/>
      <c r="Z422" s="123" t="n"/>
      <c r="AB422" s="21" t="n"/>
      <c r="AF422" s="22" t="n"/>
      <c r="AG422" s="123" t="n"/>
      <c r="AH422" s="147" t="n">
        <v>0</v>
      </c>
      <c r="AI422" s="147" t="n">
        <v>0</v>
      </c>
      <c r="AJ422" s="147" t="n">
        <v>0</v>
      </c>
      <c r="AK422" s="147" t="n">
        <v>0</v>
      </c>
      <c r="AL422" s="147" t="n">
        <v>0</v>
      </c>
      <c r="AM422" s="123" t="n"/>
      <c r="AN422" s="55" t="inlineStr">
        <is>
          <t>ANOTAÇÕES</t>
        </is>
      </c>
      <c r="AO422" s="16" t="n"/>
      <c r="AP422" s="16" t="n"/>
      <c r="AQ422" s="16" t="n"/>
      <c r="AR422" s="17" t="n"/>
      <c r="AS422" s="123" t="n"/>
    </row>
    <row r="423" hidden="1" outlineLevel="1">
      <c r="A423" s="8" t="n"/>
      <c r="B423" s="14" t="n"/>
      <c r="C423" s="123" t="n"/>
      <c r="D423" s="123" t="n"/>
      <c r="E423" s="123" t="n"/>
      <c r="F423" s="123" t="n"/>
      <c r="G423" s="123" t="n"/>
      <c r="I423" s="21" t="n"/>
      <c r="M423" s="22" t="n"/>
      <c r="N423" s="123" t="n"/>
      <c r="O423" s="123" t="n"/>
      <c r="P423" s="123" t="n"/>
      <c r="Q423" s="123" t="n"/>
      <c r="R423" s="123" t="n"/>
      <c r="S423" s="123" t="n"/>
      <c r="T423" s="123" t="n"/>
      <c r="U423" s="119" t="n"/>
      <c r="V423" s="19" t="n"/>
      <c r="W423" s="19" t="n"/>
      <c r="X423" s="19" t="n"/>
      <c r="Y423" s="20" t="n"/>
      <c r="Z423" s="123" t="n"/>
      <c r="AB423" s="21" t="n"/>
      <c r="AF423" s="22" t="n"/>
      <c r="AG423" s="123" t="n"/>
      <c r="AH423" s="123" t="n"/>
      <c r="AI423" s="123" t="n"/>
      <c r="AJ423" s="123" t="n"/>
      <c r="AK423" s="123" t="n"/>
      <c r="AL423" s="123" t="n"/>
      <c r="AM423" s="123" t="n"/>
      <c r="AN423" s="119" t="n"/>
      <c r="AO423" s="19" t="n"/>
      <c r="AP423" s="19" t="n"/>
      <c r="AQ423" s="19" t="n"/>
      <c r="AR423" s="20" t="n"/>
      <c r="AS423" s="123" t="n"/>
    </row>
    <row r="424" hidden="1" outlineLevel="1">
      <c r="A424" s="8" t="n"/>
      <c r="B424" s="14" t="n"/>
      <c r="C424" s="123" t="n"/>
      <c r="D424" s="123" t="n"/>
      <c r="E424" s="123" t="n"/>
      <c r="F424" s="123" t="n"/>
      <c r="G424" s="123" t="n"/>
      <c r="I424" s="21" t="n"/>
      <c r="M424" s="22" t="n"/>
      <c r="N424" s="123" t="n"/>
      <c r="O424" s="55" t="inlineStr">
        <is>
          <t>FÍSICO</t>
        </is>
      </c>
      <c r="P424" s="55" t="inlineStr">
        <is>
          <t>VIGOR</t>
        </is>
      </c>
      <c r="Q424" s="55" t="inlineStr">
        <is>
          <t>INTELECTO</t>
        </is>
      </c>
      <c r="R424" s="55" t="inlineStr">
        <is>
          <t>ESPÍRITO</t>
        </is>
      </c>
      <c r="S424" s="55" t="inlineStr">
        <is>
          <t>TR TREINADO</t>
        </is>
      </c>
      <c r="T424" s="123" t="n"/>
      <c r="U424" s="21" t="n"/>
      <c r="Y424" s="22" t="n"/>
      <c r="Z424" s="123" t="n"/>
      <c r="AB424" s="21" t="n"/>
      <c r="AF424" s="22" t="n"/>
      <c r="AG424" s="123" t="n"/>
      <c r="AH424" s="55" t="inlineStr">
        <is>
          <t>FÍSICO</t>
        </is>
      </c>
      <c r="AI424" s="55" t="inlineStr">
        <is>
          <t>VIGOR</t>
        </is>
      </c>
      <c r="AJ424" s="55" t="inlineStr">
        <is>
          <t>INTELECTO</t>
        </is>
      </c>
      <c r="AK424" s="55" t="inlineStr">
        <is>
          <t>ESPÍRITO</t>
        </is>
      </c>
      <c r="AL424" s="55" t="inlineStr">
        <is>
          <t>TR TREINADO</t>
        </is>
      </c>
      <c r="AM424" s="123" t="n"/>
      <c r="AN424" s="21" t="n"/>
      <c r="AR424" s="22" t="n"/>
      <c r="AS424" s="123" t="n"/>
    </row>
    <row r="425" hidden="1" outlineLevel="1">
      <c r="A425" s="8" t="n"/>
      <c r="B425" s="14" t="n"/>
      <c r="C425" s="123" t="n"/>
      <c r="D425" s="123" t="n"/>
      <c r="E425" s="123" t="n"/>
      <c r="F425" s="123" t="n"/>
      <c r="G425" s="123" t="n"/>
      <c r="I425" s="21" t="n"/>
      <c r="M425" s="22" t="n"/>
      <c r="N425" s="123" t="n"/>
      <c r="O425" s="96">
        <f>DADOS_INVOC!$HN$4</f>
        <v/>
      </c>
      <c r="P425" s="96">
        <f>DADOS_INVOC!$HO$4</f>
        <v/>
      </c>
      <c r="Q425" s="96">
        <f>DADOS_INVOC!$HP$4</f>
        <v/>
      </c>
      <c r="R425" s="96">
        <f>DADOS_INVOC!$HQ$4</f>
        <v/>
      </c>
      <c r="S425" s="127" t="n"/>
      <c r="T425" s="123" t="n"/>
      <c r="U425" s="21" t="n"/>
      <c r="Y425" s="22" t="n"/>
      <c r="Z425" s="123" t="n"/>
      <c r="AB425" s="21" t="n"/>
      <c r="AF425" s="22" t="n"/>
      <c r="AG425" s="123" t="n"/>
      <c r="AH425" s="96">
        <f>DADOS_INVOC!$HN$10</f>
        <v/>
      </c>
      <c r="AI425" s="96">
        <f>DADOS_INVOC!$HO$10</f>
        <v/>
      </c>
      <c r="AJ425" s="96">
        <f>DADOS_INVOC!$HP$10</f>
        <v/>
      </c>
      <c r="AK425" s="96">
        <f>DADOS_INVOC!$HQ$10</f>
        <v/>
      </c>
      <c r="AL425" s="127" t="n"/>
      <c r="AM425" s="123" t="n"/>
      <c r="AN425" s="21" t="n"/>
      <c r="AR425" s="22" t="n"/>
      <c r="AS425" s="123" t="n"/>
    </row>
    <row r="426" hidden="1" outlineLevel="1">
      <c r="A426" s="8" t="n"/>
      <c r="B426" s="14" t="n"/>
      <c r="C426" s="123" t="n"/>
      <c r="D426" s="123" t="n"/>
      <c r="E426" s="123" t="n"/>
      <c r="F426" s="123" t="n"/>
      <c r="G426" s="123" t="n"/>
      <c r="I426" s="21" t="n"/>
      <c r="M426" s="22" t="n"/>
      <c r="N426" s="123" t="n"/>
      <c r="O426" s="128" t="n"/>
      <c r="P426" s="128" t="n"/>
      <c r="Q426" s="128" t="n"/>
      <c r="R426" s="128" t="n"/>
      <c r="S426" s="128" t="n"/>
      <c r="T426" s="123" t="n"/>
      <c r="U426" s="23" t="n"/>
      <c r="V426" s="24" t="n"/>
      <c r="W426" s="24" t="n"/>
      <c r="X426" s="24" t="n"/>
      <c r="Y426" s="25" t="n"/>
      <c r="Z426" s="123" t="n"/>
      <c r="AB426" s="21" t="n"/>
      <c r="AF426" s="22" t="n"/>
      <c r="AG426" s="123" t="n"/>
      <c r="AH426" s="128" t="n"/>
      <c r="AI426" s="128" t="n"/>
      <c r="AJ426" s="128" t="n"/>
      <c r="AK426" s="128" t="n"/>
      <c r="AL426" s="128" t="n"/>
      <c r="AM426" s="123" t="n"/>
      <c r="AN426" s="23" t="n"/>
      <c r="AO426" s="24" t="n"/>
      <c r="AP426" s="24" t="n"/>
      <c r="AQ426" s="24" t="n"/>
      <c r="AR426" s="25" t="n"/>
      <c r="AS426" s="123" t="n"/>
    </row>
    <row r="427" hidden="1" outlineLevel="1">
      <c r="A427" s="8" t="n"/>
      <c r="B427" s="14" t="n"/>
      <c r="C427" s="123" t="n"/>
      <c r="D427" s="123" t="n"/>
      <c r="E427" s="123" t="n"/>
      <c r="F427" s="123" t="n"/>
      <c r="G427" s="123" t="n"/>
      <c r="I427" s="21" t="n"/>
      <c r="M427" s="22" t="n"/>
      <c r="N427" s="123" t="n"/>
      <c r="O427" s="147" t="n">
        <v>0</v>
      </c>
      <c r="P427" s="147" t="n">
        <v>0</v>
      </c>
      <c r="Q427" s="147" t="n">
        <v>0</v>
      </c>
      <c r="R427" s="147" t="n">
        <v>0</v>
      </c>
      <c r="S427" s="123" t="n"/>
      <c r="T427" s="123" t="n"/>
      <c r="U427" s="123" t="n"/>
      <c r="V427" s="123" t="n"/>
      <c r="W427" s="123" t="n"/>
      <c r="X427" s="123" t="n"/>
      <c r="Y427" s="123" t="n"/>
      <c r="Z427" s="123" t="n"/>
      <c r="AB427" s="21" t="n"/>
      <c r="AF427" s="22" t="n"/>
      <c r="AG427" s="123" t="n"/>
      <c r="AH427" s="147" t="n">
        <v>0</v>
      </c>
      <c r="AI427" s="147" t="n">
        <v>0</v>
      </c>
      <c r="AJ427" s="147" t="n">
        <v>0</v>
      </c>
      <c r="AK427" s="147" t="n">
        <v>0</v>
      </c>
      <c r="AL427" s="123" t="n"/>
      <c r="AM427" s="123" t="n"/>
      <c r="AN427" s="123" t="n"/>
      <c r="AO427" s="123" t="n"/>
      <c r="AP427" s="123" t="n"/>
      <c r="AQ427" s="123" t="n"/>
      <c r="AR427" s="123" t="n"/>
      <c r="AS427" s="123" t="n"/>
    </row>
    <row r="428" hidden="1" outlineLevel="1">
      <c r="A428" s="8" t="n"/>
      <c r="B428" s="14" t="n"/>
      <c r="C428" s="123" t="n"/>
      <c r="D428" s="123" t="n"/>
      <c r="E428" s="123" t="n"/>
      <c r="F428" s="123" t="n"/>
      <c r="G428" s="123" t="n"/>
      <c r="I428" s="21" t="n"/>
      <c r="M428" s="22" t="n"/>
      <c r="N428" s="123" t="n"/>
      <c r="O428" s="123" t="n"/>
      <c r="P428" s="123" t="n"/>
      <c r="Q428" s="123" t="n"/>
      <c r="R428" s="123" t="n"/>
      <c r="S428" s="123" t="n"/>
      <c r="T428" s="123" t="n"/>
      <c r="U428" s="55">
        <f>DADOS_INVOC!$IA$4</f>
        <v/>
      </c>
      <c r="V428" s="16" t="n"/>
      <c r="W428" s="16" t="n"/>
      <c r="X428" s="17" t="n"/>
      <c r="Y428" s="55" t="inlineStr">
        <is>
          <t>VOL.</t>
        </is>
      </c>
      <c r="Z428" s="123" t="n"/>
      <c r="AB428" s="21" t="n"/>
      <c r="AF428" s="22" t="n"/>
      <c r="AG428" s="123" t="n"/>
      <c r="AH428" s="123" t="n"/>
      <c r="AI428" s="123" t="n"/>
      <c r="AJ428" s="123" t="n"/>
      <c r="AK428" s="123" t="n"/>
      <c r="AL428" s="123" t="n"/>
      <c r="AM428" s="123" t="n"/>
      <c r="AN428" s="55">
        <f>DADOS_INVOC!$IA$10</f>
        <v/>
      </c>
      <c r="AO428" s="16" t="n"/>
      <c r="AP428" s="16" t="n"/>
      <c r="AQ428" s="17" t="n"/>
      <c r="AR428" s="55" t="inlineStr">
        <is>
          <t>VOL.</t>
        </is>
      </c>
      <c r="AS428" s="123" t="n"/>
    </row>
    <row r="429" hidden="1" outlineLevel="1">
      <c r="A429" s="8" t="n"/>
      <c r="B429" s="14" t="n"/>
      <c r="C429" s="123" t="n"/>
      <c r="D429" s="123" t="n"/>
      <c r="E429" s="123" t="n"/>
      <c r="F429" s="123" t="n"/>
      <c r="G429" s="123" t="n"/>
      <c r="I429" s="21" t="n"/>
      <c r="M429" s="22" t="n"/>
      <c r="N429" s="123" t="n"/>
      <c r="O429" s="55" t="inlineStr">
        <is>
          <t>ATRIBUTO DE ACERTO</t>
        </is>
      </c>
      <c r="P429" s="16" t="n"/>
      <c r="Q429" s="17" t="n"/>
      <c r="R429" s="55" t="inlineStr">
        <is>
          <t>FÍSICO USA</t>
        </is>
      </c>
      <c r="S429" s="17" t="n"/>
      <c r="T429" s="123" t="n"/>
      <c r="U429" s="55" t="inlineStr">
        <is>
          <t>MÃO 1</t>
        </is>
      </c>
      <c r="V429" s="133" t="n"/>
      <c r="W429" s="16" t="n"/>
      <c r="X429" s="17" t="n"/>
      <c r="Y429" s="127" t="n"/>
      <c r="Z429" s="123" t="n"/>
      <c r="AB429" s="21" t="n"/>
      <c r="AF429" s="22" t="n"/>
      <c r="AG429" s="123" t="n"/>
      <c r="AH429" s="55" t="inlineStr">
        <is>
          <t>ATRIBUTO DE ACERTO</t>
        </is>
      </c>
      <c r="AI429" s="16" t="n"/>
      <c r="AJ429" s="17" t="n"/>
      <c r="AK429" s="55" t="inlineStr">
        <is>
          <t>FÍSICO USA</t>
        </is>
      </c>
      <c r="AL429" s="17" t="n"/>
      <c r="AM429" s="123" t="n"/>
      <c r="AN429" s="55" t="inlineStr">
        <is>
          <t>MÃO 1</t>
        </is>
      </c>
      <c r="AO429" s="133" t="n"/>
      <c r="AP429" s="16" t="n"/>
      <c r="AQ429" s="17" t="n"/>
      <c r="AR429" s="127" t="n"/>
      <c r="AS429" s="123" t="n"/>
    </row>
    <row r="430" hidden="1" outlineLevel="1">
      <c r="A430" s="8" t="n"/>
      <c r="B430" s="14" t="n"/>
      <c r="C430" s="123" t="n"/>
      <c r="D430" s="123" t="n"/>
      <c r="E430" s="123" t="n"/>
      <c r="F430" s="123" t="n"/>
      <c r="G430" s="123" t="n"/>
      <c r="I430" s="21" t="n"/>
      <c r="M430" s="22" t="n"/>
      <c r="N430" s="123" t="n"/>
      <c r="O430" s="127" t="n"/>
      <c r="P430" s="19" t="n"/>
      <c r="Q430" s="20" t="n"/>
      <c r="R430" s="127" t="inlineStr">
        <is>
          <t>Força</t>
        </is>
      </c>
      <c r="S430" s="20" t="n"/>
      <c r="T430" s="123" t="n"/>
      <c r="U430" s="55" t="inlineStr">
        <is>
          <t>MÃO 2</t>
        </is>
      </c>
      <c r="V430" s="133" t="n"/>
      <c r="W430" s="16" t="n"/>
      <c r="X430" s="17" t="n"/>
      <c r="Y430" s="127" t="n"/>
      <c r="Z430" s="123" t="n"/>
      <c r="AB430" s="21" t="n"/>
      <c r="AF430" s="22" t="n"/>
      <c r="AG430" s="123" t="n"/>
      <c r="AH430" s="127" t="n"/>
      <c r="AI430" s="19" t="n"/>
      <c r="AJ430" s="20" t="n"/>
      <c r="AK430" s="127" t="inlineStr">
        <is>
          <t>Força</t>
        </is>
      </c>
      <c r="AL430" s="20" t="n"/>
      <c r="AM430" s="123" t="n"/>
      <c r="AN430" s="55" t="inlineStr">
        <is>
          <t>MÃO 2</t>
        </is>
      </c>
      <c r="AO430" s="133" t="n"/>
      <c r="AP430" s="16" t="n"/>
      <c r="AQ430" s="17" t="n"/>
      <c r="AR430" s="127" t="n"/>
      <c r="AS430" s="123" t="n"/>
    </row>
    <row r="431" hidden="1" outlineLevel="1">
      <c r="A431" s="8" t="n"/>
      <c r="B431" s="14" t="n"/>
      <c r="C431" s="123" t="n"/>
      <c r="D431" s="123" t="n"/>
      <c r="E431" s="123" t="n"/>
      <c r="F431" s="123" t="n"/>
      <c r="G431" s="123" t="n"/>
      <c r="I431" s="21" t="n"/>
      <c r="M431" s="22" t="n"/>
      <c r="N431" s="123" t="n"/>
      <c r="O431" s="23" t="n"/>
      <c r="P431" s="24" t="n"/>
      <c r="Q431" s="25" t="n"/>
      <c r="R431" s="23" t="n"/>
      <c r="S431" s="25" t="n"/>
      <c r="T431" s="123" t="n"/>
      <c r="U431" s="55" t="inlineStr">
        <is>
          <t>VESTE</t>
        </is>
      </c>
      <c r="V431" s="133" t="n"/>
      <c r="W431" s="16" t="n"/>
      <c r="X431" s="17" t="n"/>
      <c r="Y431" s="127" t="n"/>
      <c r="Z431" s="123" t="n"/>
      <c r="AB431" s="21" t="n"/>
      <c r="AF431" s="22" t="n"/>
      <c r="AG431" s="123" t="n"/>
      <c r="AH431" s="23" t="n"/>
      <c r="AI431" s="24" t="n"/>
      <c r="AJ431" s="25" t="n"/>
      <c r="AK431" s="23" t="n"/>
      <c r="AL431" s="25" t="n"/>
      <c r="AM431" s="123" t="n"/>
      <c r="AN431" s="55" t="inlineStr">
        <is>
          <t>VESTE</t>
        </is>
      </c>
      <c r="AO431" s="133" t="n"/>
      <c r="AP431" s="16" t="n"/>
      <c r="AQ431" s="17" t="n"/>
      <c r="AR431" s="127" t="n"/>
      <c r="AS431" s="123" t="n"/>
    </row>
    <row r="432" hidden="1" outlineLevel="1">
      <c r="A432" s="8" t="n"/>
      <c r="B432" s="14" t="n"/>
      <c r="C432" s="123" t="n"/>
      <c r="D432" s="123" t="n"/>
      <c r="E432" s="123" t="n"/>
      <c r="F432" s="123" t="n"/>
      <c r="G432" s="123" t="n"/>
      <c r="I432" s="21" t="n"/>
      <c r="M432" s="22" t="n"/>
      <c r="N432" s="123" t="n"/>
      <c r="O432" s="123" t="n"/>
      <c r="P432" s="123" t="n"/>
      <c r="Q432" s="123" t="n"/>
      <c r="R432" s="123" t="n"/>
      <c r="S432" s="123" t="n"/>
      <c r="T432" s="123" t="n"/>
      <c r="U432" s="55" t="inlineStr">
        <is>
          <t>GUARDADO · SÓ COM A CARACTERÍSTICA DE TRANSPORTE</t>
        </is>
      </c>
      <c r="V432" s="16" t="n"/>
      <c r="W432" s="16" t="n"/>
      <c r="X432" s="17" t="n"/>
      <c r="Y432" s="55" t="inlineStr">
        <is>
          <t>VOL.</t>
        </is>
      </c>
      <c r="Z432" s="123" t="n"/>
      <c r="AB432" s="21" t="n"/>
      <c r="AF432" s="22" t="n"/>
      <c r="AG432" s="123" t="n"/>
      <c r="AH432" s="123" t="n"/>
      <c r="AI432" s="123" t="n"/>
      <c r="AJ432" s="123" t="n"/>
      <c r="AK432" s="123" t="n"/>
      <c r="AL432" s="123" t="n"/>
      <c r="AM432" s="123" t="n"/>
      <c r="AN432" s="55" t="inlineStr">
        <is>
          <t>GUARDADO · SÓ COM A CARACTERÍSTICA DE TRANSPORTE</t>
        </is>
      </c>
      <c r="AO432" s="16" t="n"/>
      <c r="AP432" s="16" t="n"/>
      <c r="AQ432" s="17" t="n"/>
      <c r="AR432" s="55" t="inlineStr">
        <is>
          <t>VOL.</t>
        </is>
      </c>
      <c r="AS432" s="123" t="n"/>
    </row>
    <row r="433" hidden="1" outlineLevel="1">
      <c r="A433" s="8" t="n"/>
      <c r="B433" s="14" t="n"/>
      <c r="C433" s="123" t="n"/>
      <c r="D433" s="123" t="n"/>
      <c r="E433" s="123" t="n"/>
      <c r="F433" s="123" t="n"/>
      <c r="G433" s="123" t="n"/>
      <c r="I433" s="21" t="n"/>
      <c r="M433" s="22" t="n"/>
      <c r="N433" s="123" t="n"/>
      <c r="O433" s="55">
        <f>DADOS_INVOC!$HR$4</f>
        <v/>
      </c>
      <c r="P433" s="16" t="n"/>
      <c r="Q433" s="16" t="n"/>
      <c r="R433" s="16" t="n"/>
      <c r="S433" s="17" t="n"/>
      <c r="T433" s="123" t="n"/>
      <c r="U433" s="133" t="n"/>
      <c r="V433" s="16" t="n"/>
      <c r="W433" s="16" t="n"/>
      <c r="X433" s="17" t="n"/>
      <c r="Y433" s="127" t="n"/>
      <c r="Z433" s="123" t="n"/>
      <c r="AB433" s="21" t="n"/>
      <c r="AF433" s="22" t="n"/>
      <c r="AG433" s="123" t="n"/>
      <c r="AH433" s="55">
        <f>DADOS_INVOC!$HR$10</f>
        <v/>
      </c>
      <c r="AI433" s="16" t="n"/>
      <c r="AJ433" s="16" t="n"/>
      <c r="AK433" s="16" t="n"/>
      <c r="AL433" s="17" t="n"/>
      <c r="AM433" s="123" t="n"/>
      <c r="AN433" s="133" t="n"/>
      <c r="AO433" s="16" t="n"/>
      <c r="AP433" s="16" t="n"/>
      <c r="AQ433" s="17" t="n"/>
      <c r="AR433" s="127" t="n"/>
      <c r="AS433" s="123" t="n"/>
    </row>
    <row r="434" hidden="1" outlineLevel="1">
      <c r="A434" s="8" t="n"/>
      <c r="B434" s="14" t="n"/>
      <c r="C434" s="123" t="n"/>
      <c r="D434" s="123" t="n"/>
      <c r="E434" s="123" t="n"/>
      <c r="F434" s="123" t="n"/>
      <c r="G434" s="123" t="n"/>
      <c r="I434" s="21" t="n"/>
      <c r="M434" s="22" t="n"/>
      <c r="N434" s="123" t="n"/>
      <c r="O434" s="133" t="n"/>
      <c r="P434" s="16" t="n"/>
      <c r="Q434" s="17" t="n"/>
      <c r="R434" s="127">
        <f>DADOS_INVOC!$HS$4</f>
        <v/>
      </c>
      <c r="S434" s="17" t="n"/>
      <c r="T434" s="123" t="n"/>
      <c r="U434" s="133" t="n"/>
      <c r="V434" s="16" t="n"/>
      <c r="W434" s="16" t="n"/>
      <c r="X434" s="17" t="n"/>
      <c r="Y434" s="127" t="n"/>
      <c r="Z434" s="123" t="n"/>
      <c r="AB434" s="21" t="n"/>
      <c r="AF434" s="22" t="n"/>
      <c r="AG434" s="123" t="n"/>
      <c r="AH434" s="133" t="n"/>
      <c r="AI434" s="16" t="n"/>
      <c r="AJ434" s="17" t="n"/>
      <c r="AK434" s="127">
        <f>DADOS_INVOC!$HS$10</f>
        <v/>
      </c>
      <c r="AL434" s="17" t="n"/>
      <c r="AM434" s="123" t="n"/>
      <c r="AN434" s="133" t="n"/>
      <c r="AO434" s="16" t="n"/>
      <c r="AP434" s="16" t="n"/>
      <c r="AQ434" s="17" t="n"/>
      <c r="AR434" s="127" t="n"/>
      <c r="AS434" s="123" t="n"/>
    </row>
    <row r="435" hidden="1" outlineLevel="1">
      <c r="A435" s="8" t="n"/>
      <c r="B435" s="14" t="n"/>
      <c r="C435" s="123" t="n"/>
      <c r="D435" s="123" t="n"/>
      <c r="E435" s="123" t="n"/>
      <c r="F435" s="123" t="n"/>
      <c r="G435" s="123" t="n"/>
      <c r="I435" s="21" t="n"/>
      <c r="M435" s="22" t="n"/>
      <c r="N435" s="123" t="n"/>
      <c r="O435" s="133" t="n"/>
      <c r="P435" s="16" t="n"/>
      <c r="Q435" s="17" t="n"/>
      <c r="R435" s="127">
        <f>DADOS_INVOC!$HT$4</f>
        <v/>
      </c>
      <c r="S435" s="17" t="n"/>
      <c r="T435" s="123" t="n"/>
      <c r="U435" s="133" t="n"/>
      <c r="V435" s="16" t="n"/>
      <c r="W435" s="16" t="n"/>
      <c r="X435" s="17" t="n"/>
      <c r="Y435" s="127" t="n"/>
      <c r="Z435" s="123" t="n"/>
      <c r="AB435" s="21" t="n"/>
      <c r="AF435" s="22" t="n"/>
      <c r="AG435" s="123" t="n"/>
      <c r="AH435" s="133" t="n"/>
      <c r="AI435" s="16" t="n"/>
      <c r="AJ435" s="17" t="n"/>
      <c r="AK435" s="127">
        <f>DADOS_INVOC!$HT$10</f>
        <v/>
      </c>
      <c r="AL435" s="17" t="n"/>
      <c r="AM435" s="123" t="n"/>
      <c r="AN435" s="133" t="n"/>
      <c r="AO435" s="16" t="n"/>
      <c r="AP435" s="16" t="n"/>
      <c r="AQ435" s="17" t="n"/>
      <c r="AR435" s="127" t="n"/>
      <c r="AS435" s="123" t="n"/>
    </row>
    <row r="436" hidden="1" outlineLevel="1">
      <c r="A436" s="8" t="n"/>
      <c r="B436" s="14" t="n"/>
      <c r="C436" s="123" t="n"/>
      <c r="D436" s="123" t="n"/>
      <c r="E436" s="123" t="n"/>
      <c r="F436" s="123" t="n"/>
      <c r="G436" s="123" t="n"/>
      <c r="I436" s="23" t="n"/>
      <c r="J436" s="24" t="n"/>
      <c r="K436" s="24" t="n"/>
      <c r="L436" s="24" t="n"/>
      <c r="M436" s="25" t="n"/>
      <c r="N436" s="123" t="n"/>
      <c r="O436" s="133" t="n"/>
      <c r="P436" s="16" t="n"/>
      <c r="Q436" s="17" t="n"/>
      <c r="R436" s="127">
        <f>DADOS_INVOC!$HU$4</f>
        <v/>
      </c>
      <c r="S436" s="17" t="n"/>
      <c r="T436" s="123" t="n"/>
      <c r="U436" s="133" t="n"/>
      <c r="V436" s="16" t="n"/>
      <c r="W436" s="16" t="n"/>
      <c r="X436" s="17" t="n"/>
      <c r="Y436" s="127" t="n"/>
      <c r="Z436" s="123" t="n"/>
      <c r="AB436" s="23" t="n"/>
      <c r="AC436" s="24" t="n"/>
      <c r="AD436" s="24" t="n"/>
      <c r="AE436" s="24" t="n"/>
      <c r="AF436" s="25" t="n"/>
      <c r="AG436" s="123" t="n"/>
      <c r="AH436" s="133" t="n"/>
      <c r="AI436" s="16" t="n"/>
      <c r="AJ436" s="17" t="n"/>
      <c r="AK436" s="127">
        <f>DADOS_INVOC!$HU$10</f>
        <v/>
      </c>
      <c r="AL436" s="17" t="n"/>
      <c r="AM436" s="123" t="n"/>
      <c r="AN436" s="133" t="n"/>
      <c r="AO436" s="16" t="n"/>
      <c r="AP436" s="16" t="n"/>
      <c r="AQ436" s="17" t="n"/>
      <c r="AR436" s="127" t="n"/>
      <c r="AS436" s="123" t="n"/>
    </row>
    <row r="437" hidden="1" outlineLevel="1">
      <c r="A437" s="8" t="n"/>
      <c r="B437" s="14" t="n"/>
      <c r="C437" s="123" t="n"/>
      <c r="D437" s="123" t="n"/>
      <c r="E437" s="123" t="n"/>
      <c r="F437" s="123" t="n"/>
      <c r="G437" s="123" t="n"/>
      <c r="I437" s="123" t="n"/>
      <c r="J437" s="123" t="n"/>
      <c r="K437" s="123" t="n"/>
      <c r="L437" s="123" t="n"/>
      <c r="M437" s="123" t="n"/>
      <c r="N437" s="123" t="n"/>
      <c r="O437" s="133" t="n"/>
      <c r="P437" s="16" t="n"/>
      <c r="Q437" s="17" t="n"/>
      <c r="R437" s="127">
        <f>DADOS_INVOC!$HV$4</f>
        <v/>
      </c>
      <c r="S437" s="17" t="n"/>
      <c r="T437" s="123" t="n"/>
      <c r="U437" s="133" t="n"/>
      <c r="V437" s="16" t="n"/>
      <c r="W437" s="16" t="n"/>
      <c r="X437" s="17" t="n"/>
      <c r="Y437" s="127" t="n"/>
      <c r="Z437" s="123" t="n"/>
      <c r="AB437" s="123" t="n"/>
      <c r="AC437" s="123" t="n"/>
      <c r="AD437" s="123" t="n"/>
      <c r="AE437" s="123" t="n"/>
      <c r="AF437" s="123" t="n"/>
      <c r="AG437" s="123" t="n"/>
      <c r="AH437" s="133" t="n"/>
      <c r="AI437" s="16" t="n"/>
      <c r="AJ437" s="17" t="n"/>
      <c r="AK437" s="127">
        <f>DADOS_INVOC!$HV$10</f>
        <v/>
      </c>
      <c r="AL437" s="17" t="n"/>
      <c r="AM437" s="123" t="n"/>
      <c r="AN437" s="133" t="n"/>
      <c r="AO437" s="16" t="n"/>
      <c r="AP437" s="16" t="n"/>
      <c r="AQ437" s="17" t="n"/>
      <c r="AR437" s="127" t="n"/>
      <c r="AS437" s="123" t="n"/>
    </row>
    <row r="438" hidden="1" outlineLevel="1">
      <c r="A438" s="8" t="n"/>
      <c r="B438" s="14" t="n"/>
      <c r="C438" s="123" t="n"/>
      <c r="D438" s="123" t="n"/>
      <c r="E438" s="123" t="n"/>
      <c r="F438" s="123" t="n"/>
      <c r="G438" s="123" t="n"/>
      <c r="I438" s="55" t="inlineStr">
        <is>
          <t>TIPO</t>
        </is>
      </c>
      <c r="J438" s="16" t="n"/>
      <c r="K438" s="16" t="n"/>
      <c r="L438" s="16" t="n"/>
      <c r="M438" s="17" t="n"/>
      <c r="N438" s="123" t="n"/>
      <c r="O438" s="133" t="n"/>
      <c r="P438" s="16" t="n"/>
      <c r="Q438" s="17" t="n"/>
      <c r="R438" s="127">
        <f>DADOS_INVOC!$HW$4</f>
        <v/>
      </c>
      <c r="S438" s="17" t="n"/>
      <c r="T438" s="123" t="n"/>
      <c r="U438" s="133" t="n"/>
      <c r="V438" s="16" t="n"/>
      <c r="W438" s="16" t="n"/>
      <c r="X438" s="17" t="n"/>
      <c r="Y438" s="127" t="n"/>
      <c r="Z438" s="123" t="n"/>
      <c r="AB438" s="55" t="inlineStr">
        <is>
          <t>TIPO</t>
        </is>
      </c>
      <c r="AC438" s="16" t="n"/>
      <c r="AD438" s="16" t="n"/>
      <c r="AE438" s="16" t="n"/>
      <c r="AF438" s="17" t="n"/>
      <c r="AG438" s="123" t="n"/>
      <c r="AH438" s="133" t="n"/>
      <c r="AI438" s="16" t="n"/>
      <c r="AJ438" s="17" t="n"/>
      <c r="AK438" s="127">
        <f>DADOS_INVOC!$HW$10</f>
        <v/>
      </c>
      <c r="AL438" s="17" t="n"/>
      <c r="AM438" s="123" t="n"/>
      <c r="AN438" s="133" t="n"/>
      <c r="AO438" s="16" t="n"/>
      <c r="AP438" s="16" t="n"/>
      <c r="AQ438" s="17" t="n"/>
      <c r="AR438" s="127" t="n"/>
      <c r="AS438" s="123" t="n"/>
    </row>
    <row r="439" hidden="1" outlineLevel="1">
      <c r="A439" s="8" t="n"/>
      <c r="B439" s="14" t="n"/>
      <c r="C439" s="123" t="n"/>
      <c r="D439" s="123" t="n"/>
      <c r="E439" s="123" t="n"/>
      <c r="F439" s="123" t="n"/>
      <c r="G439" s="123" t="n"/>
      <c r="I439" s="127" t="inlineStr">
        <is>
          <t>Shikigami de técnica</t>
        </is>
      </c>
      <c r="J439" s="19" t="n"/>
      <c r="K439" s="19" t="n"/>
      <c r="L439" s="19" t="n"/>
      <c r="M439" s="20" t="n"/>
      <c r="N439" s="123" t="n"/>
      <c r="O439" s="133" t="n"/>
      <c r="P439" s="16" t="n"/>
      <c r="Q439" s="17" t="n"/>
      <c r="R439" s="127">
        <f>DADOS_INVOC!$HX$4</f>
        <v/>
      </c>
      <c r="S439" s="17" t="n"/>
      <c r="T439" s="123" t="n"/>
      <c r="U439" s="123" t="n"/>
      <c r="V439" s="123" t="n"/>
      <c r="W439" s="123" t="n"/>
      <c r="X439" s="123" t="n"/>
      <c r="Y439" s="123" t="n"/>
      <c r="Z439" s="123" t="n"/>
      <c r="AB439" s="127" t="inlineStr">
        <is>
          <t>Shikigami de técnica</t>
        </is>
      </c>
      <c r="AC439" s="19" t="n"/>
      <c r="AD439" s="19" t="n"/>
      <c r="AE439" s="19" t="n"/>
      <c r="AF439" s="20" t="n"/>
      <c r="AG439" s="123" t="n"/>
      <c r="AH439" s="133" t="n"/>
      <c r="AI439" s="16" t="n"/>
      <c r="AJ439" s="17" t="n"/>
      <c r="AK439" s="127">
        <f>DADOS_INVOC!$HX$10</f>
        <v/>
      </c>
      <c r="AL439" s="17" t="n"/>
      <c r="AM439" s="123" t="n"/>
      <c r="AN439" s="123" t="n"/>
      <c r="AO439" s="123" t="n"/>
      <c r="AP439" s="123" t="n"/>
      <c r="AQ439" s="123" t="n"/>
      <c r="AR439" s="123" t="n"/>
      <c r="AS439" s="123" t="n"/>
    </row>
    <row r="440" hidden="1" outlineLevel="1">
      <c r="A440" s="8" t="n"/>
      <c r="B440" s="14" t="n"/>
      <c r="C440" s="123" t="n"/>
      <c r="D440" s="123" t="n"/>
      <c r="E440" s="123" t="n"/>
      <c r="F440" s="123" t="n"/>
      <c r="G440" s="123" t="n"/>
      <c r="I440" s="23" t="n"/>
      <c r="J440" s="24" t="n"/>
      <c r="K440" s="24" t="n"/>
      <c r="L440" s="24" t="n"/>
      <c r="M440" s="25" t="n"/>
      <c r="N440" s="123" t="n"/>
      <c r="O440" s="133" t="n"/>
      <c r="P440" s="16" t="n"/>
      <c r="Q440" s="17" t="n"/>
      <c r="R440" s="127">
        <f>DADOS_INVOC!$HY$4</f>
        <v/>
      </c>
      <c r="S440" s="17" t="n"/>
      <c r="T440" s="123" t="n"/>
      <c r="U440" s="55" t="inlineStr">
        <is>
          <t>CORPO, SENTIDOS E COMUNICAÇÃO</t>
        </is>
      </c>
      <c r="V440" s="16" t="n"/>
      <c r="W440" s="16" t="n"/>
      <c r="X440" s="16" t="n"/>
      <c r="Y440" s="17" t="n"/>
      <c r="Z440" s="123" t="n"/>
      <c r="AB440" s="23" t="n"/>
      <c r="AC440" s="24" t="n"/>
      <c r="AD440" s="24" t="n"/>
      <c r="AE440" s="24" t="n"/>
      <c r="AF440" s="25" t="n"/>
      <c r="AG440" s="123" t="n"/>
      <c r="AH440" s="133" t="n"/>
      <c r="AI440" s="16" t="n"/>
      <c r="AJ440" s="17" t="n"/>
      <c r="AK440" s="127">
        <f>DADOS_INVOC!$HY$10</f>
        <v/>
      </c>
      <c r="AL440" s="17" t="n"/>
      <c r="AM440" s="123" t="n"/>
      <c r="AN440" s="55" t="inlineStr">
        <is>
          <t>CORPO, SENTIDOS E COMUNICAÇÃO</t>
        </is>
      </c>
      <c r="AO440" s="16" t="n"/>
      <c r="AP440" s="16" t="n"/>
      <c r="AQ440" s="16" t="n"/>
      <c r="AR440" s="17" t="n"/>
      <c r="AS440" s="123" t="n"/>
    </row>
    <row r="441" hidden="1" outlineLevel="1">
      <c r="A441" s="8" t="n"/>
      <c r="B441" s="14" t="n"/>
      <c r="C441" s="123" t="n"/>
      <c r="D441" s="123" t="n"/>
      <c r="E441" s="123" t="n"/>
      <c r="F441" s="123" t="n"/>
      <c r="G441" s="123" t="n"/>
      <c r="I441" s="123" t="n"/>
      <c r="J441" s="123" t="n"/>
      <c r="K441" s="123" t="n"/>
      <c r="L441" s="123" t="n"/>
      <c r="M441" s="123" t="n"/>
      <c r="N441" s="123" t="n"/>
      <c r="O441" s="123" t="n"/>
      <c r="P441" s="123" t="n"/>
      <c r="Q441" s="123" t="n"/>
      <c r="R441" s="123" t="n"/>
      <c r="S441" s="123" t="n"/>
      <c r="T441" s="123" t="n"/>
      <c r="U441" s="119" t="n"/>
      <c r="V441" s="19" t="n"/>
      <c r="W441" s="19" t="n"/>
      <c r="X441" s="19" t="n"/>
      <c r="Y441" s="20" t="n"/>
      <c r="Z441" s="123" t="n"/>
      <c r="AB441" s="123" t="n"/>
      <c r="AC441" s="123" t="n"/>
      <c r="AD441" s="123" t="n"/>
      <c r="AE441" s="123" t="n"/>
      <c r="AF441" s="123" t="n"/>
      <c r="AG441" s="123" t="n"/>
      <c r="AH441" s="123" t="n"/>
      <c r="AI441" s="123" t="n"/>
      <c r="AJ441" s="123" t="n"/>
      <c r="AK441" s="123" t="n"/>
      <c r="AL441" s="123" t="n"/>
      <c r="AM441" s="123" t="n"/>
      <c r="AN441" s="119" t="n"/>
      <c r="AO441" s="19" t="n"/>
      <c r="AP441" s="19" t="n"/>
      <c r="AQ441" s="19" t="n"/>
      <c r="AR441" s="20" t="n"/>
      <c r="AS441" s="123" t="n"/>
    </row>
    <row r="442" hidden="1" outlineLevel="1">
      <c r="A442" s="8" t="n"/>
      <c r="B442" s="14" t="n"/>
      <c r="C442" s="123" t="n"/>
      <c r="D442" s="123" t="n"/>
      <c r="E442" s="123" t="n"/>
      <c r="F442" s="123" t="n"/>
      <c r="G442" s="123" t="n"/>
      <c r="I442" s="55" t="inlineStr">
        <is>
          <t>AQUISIÇÃO</t>
        </is>
      </c>
      <c r="J442" s="17" t="n"/>
      <c r="K442" s="55" t="inlineStr">
        <is>
          <t>OBTIDA NO NÍVEL</t>
        </is>
      </c>
      <c r="L442" s="55" t="inlineStr">
        <is>
          <t>TALISMÃ</t>
        </is>
      </c>
      <c r="M442" s="17" t="n"/>
      <c r="N442" s="123" t="n"/>
      <c r="O442" s="55">
        <f>DADOS_INVOC!$IB$4</f>
        <v/>
      </c>
      <c r="P442" s="16" t="n"/>
      <c r="Q442" s="16" t="n"/>
      <c r="R442" s="16" t="n"/>
      <c r="S442" s="17" t="n"/>
      <c r="T442" s="123" t="n"/>
      <c r="U442" s="21" t="n"/>
      <c r="Y442" s="22" t="n"/>
      <c r="Z442" s="123" t="n"/>
      <c r="AB442" s="55" t="inlineStr">
        <is>
          <t>AQUISIÇÃO</t>
        </is>
      </c>
      <c r="AC442" s="17" t="n"/>
      <c r="AD442" s="55" t="inlineStr">
        <is>
          <t>OBTIDA NO NÍVEL</t>
        </is>
      </c>
      <c r="AE442" s="55" t="inlineStr">
        <is>
          <t>TALISMÃ</t>
        </is>
      </c>
      <c r="AF442" s="17" t="n"/>
      <c r="AG442" s="123" t="n"/>
      <c r="AH442" s="55">
        <f>DADOS_INVOC!$IB$10</f>
        <v/>
      </c>
      <c r="AI442" s="16" t="n"/>
      <c r="AJ442" s="16" t="n"/>
      <c r="AK442" s="16" t="n"/>
      <c r="AL442" s="17" t="n"/>
      <c r="AM442" s="123" t="n"/>
      <c r="AN442" s="21" t="n"/>
      <c r="AR442" s="22" t="n"/>
      <c r="AS442" s="123" t="n"/>
    </row>
    <row r="443" hidden="1" outlineLevel="1">
      <c r="A443" s="8" t="n"/>
      <c r="B443" s="14" t="n"/>
      <c r="C443" s="123" t="n"/>
      <c r="D443" s="123" t="n"/>
      <c r="E443" s="123" t="n"/>
      <c r="F443" s="123" t="n"/>
      <c r="G443" s="123" t="n"/>
      <c r="I443" s="127" t="inlineStr">
        <is>
          <t>Espaço conhecido</t>
        </is>
      </c>
      <c r="J443" s="20" t="n"/>
      <c r="K443" s="127" t="n"/>
      <c r="L443" s="127" t="inlineStr">
        <is>
          <t>Sem carga</t>
        </is>
      </c>
      <c r="M443" s="20" t="n"/>
      <c r="N443" s="123" t="n"/>
      <c r="O443" s="55" t="inlineStr">
        <is>
          <t>LIVRE</t>
        </is>
      </c>
      <c r="P443" s="55" t="inlineStr">
        <is>
          <t>LIVRE · TRILHA</t>
        </is>
      </c>
      <c r="Q443" s="55" t="inlineStr">
        <is>
          <t>ABERTA</t>
        </is>
      </c>
      <c r="R443" s="55" t="inlineStr">
        <is>
          <t>ABERTA</t>
        </is>
      </c>
      <c r="S443" s="55" t="inlineStr">
        <is>
          <t>ABERTA · TRILHA</t>
        </is>
      </c>
      <c r="T443" s="123" t="n"/>
      <c r="U443" s="21" t="n"/>
      <c r="Y443" s="22" t="n"/>
      <c r="Z443" s="123" t="n"/>
      <c r="AB443" s="127" t="inlineStr">
        <is>
          <t>Espaço conhecido</t>
        </is>
      </c>
      <c r="AC443" s="20" t="n"/>
      <c r="AD443" s="127" t="n"/>
      <c r="AE443" s="127" t="inlineStr">
        <is>
          <t>Sem carga</t>
        </is>
      </c>
      <c r="AF443" s="20" t="n"/>
      <c r="AG443" s="123" t="n"/>
      <c r="AH443" s="55" t="inlineStr">
        <is>
          <t>LIVRE</t>
        </is>
      </c>
      <c r="AI443" s="55" t="inlineStr">
        <is>
          <t>LIVRE · TRILHA</t>
        </is>
      </c>
      <c r="AJ443" s="55" t="inlineStr">
        <is>
          <t>ABERTA</t>
        </is>
      </c>
      <c r="AK443" s="55" t="inlineStr">
        <is>
          <t>ABERTA</t>
        </is>
      </c>
      <c r="AL443" s="55" t="inlineStr">
        <is>
          <t>ABERTA · TRILHA</t>
        </is>
      </c>
      <c r="AM443" s="123" t="n"/>
      <c r="AN443" s="21" t="n"/>
      <c r="AR443" s="22" t="n"/>
      <c r="AS443" s="123" t="n"/>
    </row>
    <row r="444" hidden="1" outlineLevel="1">
      <c r="A444" s="8" t="n"/>
      <c r="B444" s="14" t="n"/>
      <c r="C444" s="123" t="n"/>
      <c r="D444" s="123" t="n"/>
      <c r="E444" s="123" t="n"/>
      <c r="F444" s="123" t="n"/>
      <c r="G444" s="123" t="n"/>
      <c r="I444" s="23" t="n"/>
      <c r="J444" s="25" t="n"/>
      <c r="K444" s="128" t="n"/>
      <c r="L444" s="23" t="n"/>
      <c r="M444" s="25" t="n"/>
      <c r="N444" s="123" t="n"/>
      <c r="O444" s="127" t="n"/>
      <c r="P444" s="127" t="n"/>
      <c r="Q444" s="127" t="n"/>
      <c r="R444" s="127" t="n"/>
      <c r="S444" s="127" t="n"/>
      <c r="T444" s="123" t="n"/>
      <c r="U444" s="21" t="n"/>
      <c r="Y444" s="22" t="n"/>
      <c r="Z444" s="123" t="n"/>
      <c r="AB444" s="23" t="n"/>
      <c r="AC444" s="25" t="n"/>
      <c r="AD444" s="128" t="n"/>
      <c r="AE444" s="23" t="n"/>
      <c r="AF444" s="25" t="n"/>
      <c r="AG444" s="123" t="n"/>
      <c r="AH444" s="127" t="n"/>
      <c r="AI444" s="127" t="n"/>
      <c r="AJ444" s="127" t="n"/>
      <c r="AK444" s="127" t="n"/>
      <c r="AL444" s="127" t="n"/>
      <c r="AM444" s="123" t="n"/>
      <c r="AN444" s="21" t="n"/>
      <c r="AR444" s="22" t="n"/>
      <c r="AS444" s="123" t="n"/>
    </row>
    <row r="445" hidden="1" outlineLevel="1">
      <c r="A445" s="8" t="n"/>
      <c r="B445" s="14" t="n"/>
      <c r="C445" s="123" t="n"/>
      <c r="D445" s="123" t="n"/>
      <c r="E445" s="123" t="n"/>
      <c r="F445" s="123" t="n"/>
      <c r="G445" s="123" t="n"/>
      <c r="I445" s="123" t="n"/>
      <c r="J445" s="123" t="n"/>
      <c r="K445" s="123" t="n"/>
      <c r="L445" s="123" t="n"/>
      <c r="M445" s="123" t="n"/>
      <c r="N445" s="123" t="n"/>
      <c r="O445" s="128" t="n"/>
      <c r="P445" s="128" t="n"/>
      <c r="Q445" s="128" t="n"/>
      <c r="R445" s="128" t="n"/>
      <c r="S445" s="128" t="n"/>
      <c r="T445" s="123" t="n"/>
      <c r="U445" s="23" t="n"/>
      <c r="V445" s="24" t="n"/>
      <c r="W445" s="24" t="n"/>
      <c r="X445" s="24" t="n"/>
      <c r="Y445" s="25" t="n"/>
      <c r="Z445" s="123" t="n"/>
      <c r="AB445" s="123" t="n"/>
      <c r="AC445" s="123" t="n"/>
      <c r="AD445" s="123" t="n"/>
      <c r="AE445" s="123" t="n"/>
      <c r="AF445" s="123" t="n"/>
      <c r="AG445" s="123" t="n"/>
      <c r="AH445" s="128" t="n"/>
      <c r="AI445" s="128" t="n"/>
      <c r="AJ445" s="128" t="n"/>
      <c r="AK445" s="128" t="n"/>
      <c r="AL445" s="128" t="n"/>
      <c r="AM445" s="123" t="n"/>
      <c r="AN445" s="23" t="n"/>
      <c r="AO445" s="24" t="n"/>
      <c r="AP445" s="24" t="n"/>
      <c r="AQ445" s="24" t="n"/>
      <c r="AR445" s="25" t="n"/>
      <c r="AS445" s="123" t="n"/>
    </row>
    <row r="446" hidden="1" outlineLevel="1">
      <c r="A446" s="8" t="n"/>
      <c r="B446" s="14" t="n"/>
      <c r="C446" s="123" t="n"/>
      <c r="D446" s="123" t="n"/>
      <c r="E446" s="123" t="n"/>
      <c r="F446" s="123" t="n"/>
      <c r="G446" s="123" t="n"/>
      <c r="I446" s="123" t="n"/>
      <c r="J446" s="123" t="n"/>
      <c r="K446" s="123" t="n"/>
      <c r="L446" s="123" t="n"/>
      <c r="M446" s="123" t="n"/>
      <c r="N446" s="123" t="n"/>
      <c r="O446" s="123" t="n"/>
      <c r="P446" s="123" t="n"/>
      <c r="Q446" s="123" t="n"/>
      <c r="R446" s="123" t="n"/>
      <c r="S446" s="123" t="n"/>
      <c r="T446" s="123" t="n"/>
      <c r="U446" s="123" t="n"/>
      <c r="V446" s="123" t="n"/>
      <c r="W446" s="123" t="n"/>
      <c r="X446" s="123" t="n"/>
      <c r="Y446" s="123" t="n"/>
      <c r="Z446" s="123" t="n"/>
      <c r="AB446" s="123" t="n"/>
      <c r="AC446" s="123" t="n"/>
      <c r="AD446" s="123" t="n"/>
      <c r="AE446" s="123" t="n"/>
      <c r="AF446" s="123" t="n"/>
      <c r="AG446" s="123" t="n"/>
      <c r="AH446" s="123" t="n"/>
      <c r="AI446" s="123" t="n"/>
      <c r="AJ446" s="123" t="n"/>
      <c r="AK446" s="123" t="n"/>
      <c r="AL446" s="123" t="n"/>
      <c r="AM446" s="123" t="n"/>
      <c r="AN446" s="123" t="n"/>
      <c r="AO446" s="123" t="n"/>
      <c r="AP446" s="123" t="n"/>
      <c r="AQ446" s="123" t="n"/>
      <c r="AR446" s="123" t="n"/>
      <c r="AS446" s="123" t="n"/>
    </row>
    <row r="447" hidden="1" outlineLevel="1">
      <c r="A447" s="8" t="n"/>
      <c r="B447" s="14" t="n"/>
      <c r="C447" s="123" t="n"/>
      <c r="D447" s="123" t="n"/>
      <c r="E447" s="123" t="n"/>
      <c r="F447" s="123" t="n"/>
      <c r="G447" s="123" t="n"/>
      <c r="I447" s="55" t="inlineStr">
        <is>
          <t>DEFINIÇÃO</t>
        </is>
      </c>
      <c r="J447" s="16" t="n"/>
      <c r="K447" s="16" t="n"/>
      <c r="L447" s="16" t="n"/>
      <c r="M447" s="16" t="n"/>
      <c r="N447" s="16" t="n"/>
      <c r="O447" s="16" t="n"/>
      <c r="P447" s="16" t="n"/>
      <c r="Q447" s="16" t="n"/>
      <c r="R447" s="16" t="n"/>
      <c r="S447" s="16" t="n"/>
      <c r="T447" s="16" t="n"/>
      <c r="U447" s="16" t="n"/>
      <c r="V447" s="16" t="n"/>
      <c r="W447" s="16" t="n"/>
      <c r="X447" s="16" t="n"/>
      <c r="Y447" s="17" t="n"/>
      <c r="Z447" s="123" t="n"/>
      <c r="AB447" s="55" t="inlineStr">
        <is>
          <t>DEFINIÇÃO</t>
        </is>
      </c>
      <c r="AC447" s="16" t="n"/>
      <c r="AD447" s="16" t="n"/>
      <c r="AE447" s="16" t="n"/>
      <c r="AF447" s="16" t="n"/>
      <c r="AG447" s="16" t="n"/>
      <c r="AH447" s="16" t="n"/>
      <c r="AI447" s="16" t="n"/>
      <c r="AJ447" s="16" t="n"/>
      <c r="AK447" s="16" t="n"/>
      <c r="AL447" s="16" t="n"/>
      <c r="AM447" s="16" t="n"/>
      <c r="AN447" s="16" t="n"/>
      <c r="AO447" s="16" t="n"/>
      <c r="AP447" s="16" t="n"/>
      <c r="AQ447" s="16" t="n"/>
      <c r="AR447" s="17" t="n"/>
      <c r="AS447" s="123" t="n"/>
    </row>
    <row r="448" hidden="1" outlineLevel="1">
      <c r="A448" s="8" t="n"/>
      <c r="B448" s="14" t="n"/>
      <c r="C448" s="123" t="n"/>
      <c r="D448" s="123" t="n"/>
      <c r="E448" s="123" t="n"/>
      <c r="F448" s="123" t="n"/>
      <c r="G448" s="123" t="n"/>
      <c r="I448" s="119" t="n"/>
      <c r="J448" s="19" t="n"/>
      <c r="K448" s="19" t="n"/>
      <c r="L448" s="19" t="n"/>
      <c r="M448" s="19" t="n"/>
      <c r="N448" s="19" t="n"/>
      <c r="O448" s="19" t="n"/>
      <c r="P448" s="19" t="n"/>
      <c r="Q448" s="19" t="n"/>
      <c r="R448" s="19" t="n"/>
      <c r="S448" s="19" t="n"/>
      <c r="T448" s="19" t="n"/>
      <c r="U448" s="19" t="n"/>
      <c r="V448" s="19" t="n"/>
      <c r="W448" s="19" t="n"/>
      <c r="X448" s="19" t="n"/>
      <c r="Y448" s="20" t="n"/>
      <c r="Z448" s="123" t="n"/>
      <c r="AB448" s="119" t="n"/>
      <c r="AC448" s="19" t="n"/>
      <c r="AD448" s="19" t="n"/>
      <c r="AE448" s="19" t="n"/>
      <c r="AF448" s="19" t="n"/>
      <c r="AG448" s="19" t="n"/>
      <c r="AH448" s="19" t="n"/>
      <c r="AI448" s="19" t="n"/>
      <c r="AJ448" s="19" t="n"/>
      <c r="AK448" s="19" t="n"/>
      <c r="AL448" s="19" t="n"/>
      <c r="AM448" s="19" t="n"/>
      <c r="AN448" s="19" t="n"/>
      <c r="AO448" s="19" t="n"/>
      <c r="AP448" s="19" t="n"/>
      <c r="AQ448" s="19" t="n"/>
      <c r="AR448" s="20" t="n"/>
      <c r="AS448" s="123" t="n"/>
    </row>
    <row r="449" hidden="1" outlineLevel="1">
      <c r="A449" s="8" t="n"/>
      <c r="B449" s="14" t="n"/>
      <c r="C449" s="123" t="n"/>
      <c r="D449" s="123" t="n"/>
      <c r="E449" s="123" t="n"/>
      <c r="F449" s="123" t="n"/>
      <c r="G449" s="123" t="n"/>
      <c r="I449" s="23" t="n"/>
      <c r="J449" s="24" t="n"/>
      <c r="K449" s="24" t="n"/>
      <c r="L449" s="24" t="n"/>
      <c r="M449" s="24" t="n"/>
      <c r="N449" s="24" t="n"/>
      <c r="O449" s="24" t="n"/>
      <c r="P449" s="24" t="n"/>
      <c r="Q449" s="24" t="n"/>
      <c r="R449" s="24" t="n"/>
      <c r="S449" s="24" t="n"/>
      <c r="T449" s="24" t="n"/>
      <c r="U449" s="24" t="n"/>
      <c r="V449" s="24" t="n"/>
      <c r="W449" s="24" t="n"/>
      <c r="X449" s="24" t="n"/>
      <c r="Y449" s="25" t="n"/>
      <c r="Z449" s="123" t="n"/>
      <c r="AB449" s="23" t="n"/>
      <c r="AC449" s="24" t="n"/>
      <c r="AD449" s="24" t="n"/>
      <c r="AE449" s="24" t="n"/>
      <c r="AF449" s="24" t="n"/>
      <c r="AG449" s="24" t="n"/>
      <c r="AH449" s="24" t="n"/>
      <c r="AI449" s="24" t="n"/>
      <c r="AJ449" s="24" t="n"/>
      <c r="AK449" s="24" t="n"/>
      <c r="AL449" s="24" t="n"/>
      <c r="AM449" s="24" t="n"/>
      <c r="AN449" s="24" t="n"/>
      <c r="AO449" s="24" t="n"/>
      <c r="AP449" s="24" t="n"/>
      <c r="AQ449" s="24" t="n"/>
      <c r="AR449" s="25" t="n"/>
      <c r="AS449" s="123" t="n"/>
    </row>
    <row r="450" hidden="1" outlineLevel="1">
      <c r="A450" s="8" t="n"/>
      <c r="B450" s="14" t="n"/>
      <c r="C450" s="123" t="n"/>
      <c r="D450" s="123" t="n"/>
      <c r="E450" s="123" t="n"/>
      <c r="F450" s="123" t="n"/>
      <c r="G450" s="123" t="n"/>
      <c r="I450" s="123" t="n"/>
      <c r="J450" s="123" t="n"/>
      <c r="K450" s="123" t="n"/>
      <c r="L450" s="123" t="n"/>
      <c r="M450" s="123" t="n"/>
      <c r="N450" s="123" t="n"/>
      <c r="O450" s="123" t="n"/>
      <c r="P450" s="123" t="n"/>
      <c r="Q450" s="123" t="n"/>
      <c r="R450" s="123" t="n"/>
      <c r="S450" s="123" t="n"/>
      <c r="T450" s="123" t="n"/>
      <c r="U450" s="123" t="n"/>
      <c r="V450" s="123" t="n"/>
      <c r="W450" s="123" t="n"/>
      <c r="X450" s="123" t="n"/>
      <c r="Y450" s="123" t="n"/>
      <c r="Z450" s="123" t="n"/>
      <c r="AB450" s="123" t="n"/>
      <c r="AC450" s="123" t="n"/>
      <c r="AD450" s="123" t="n"/>
      <c r="AE450" s="123" t="n"/>
      <c r="AF450" s="123" t="n"/>
      <c r="AG450" s="123" t="n"/>
      <c r="AH450" s="123" t="n"/>
      <c r="AI450" s="123" t="n"/>
      <c r="AJ450" s="123" t="n"/>
      <c r="AK450" s="123" t="n"/>
      <c r="AL450" s="123" t="n"/>
      <c r="AM450" s="123" t="n"/>
      <c r="AN450" s="123" t="n"/>
      <c r="AO450" s="123" t="n"/>
      <c r="AP450" s="123" t="n"/>
      <c r="AQ450" s="123" t="n"/>
      <c r="AR450" s="123" t="n"/>
      <c r="AS450" s="123" t="n"/>
    </row>
    <row r="451" hidden="1" outlineLevel="1">
      <c r="A451" s="8" t="n"/>
      <c r="B451" s="14" t="n"/>
      <c r="C451" s="123" t="n"/>
      <c r="D451" s="123" t="n"/>
      <c r="E451" s="123" t="n"/>
      <c r="F451" s="123" t="n"/>
      <c r="G451" s="123" t="n"/>
      <c r="I451" s="136">
        <f>DADOS_INVOC!$IC$4</f>
        <v/>
      </c>
      <c r="J451" s="16" t="n"/>
      <c r="K451" s="16" t="n"/>
      <c r="L451" s="16" t="n"/>
      <c r="M451" s="16" t="n"/>
      <c r="N451" s="16" t="n"/>
      <c r="O451" s="16" t="n"/>
      <c r="P451" s="16" t="n"/>
      <c r="Q451" s="16" t="n"/>
      <c r="R451" s="16" t="n"/>
      <c r="S451" s="16" t="n"/>
      <c r="T451" s="16" t="n"/>
      <c r="U451" s="16" t="n"/>
      <c r="V451" s="16" t="n"/>
      <c r="W451" s="16" t="n"/>
      <c r="X451" s="16" t="n"/>
      <c r="Y451" s="17" t="n"/>
      <c r="Z451" s="123" t="n"/>
      <c r="AB451" s="136">
        <f>DADOS_INVOC!$IC$10</f>
        <v/>
      </c>
      <c r="AC451" s="16" t="n"/>
      <c r="AD451" s="16" t="n"/>
      <c r="AE451" s="16" t="n"/>
      <c r="AF451" s="16" t="n"/>
      <c r="AG451" s="16" t="n"/>
      <c r="AH451" s="16" t="n"/>
      <c r="AI451" s="16" t="n"/>
      <c r="AJ451" s="16" t="n"/>
      <c r="AK451" s="16" t="n"/>
      <c r="AL451" s="16" t="n"/>
      <c r="AM451" s="16" t="n"/>
      <c r="AN451" s="16" t="n"/>
      <c r="AO451" s="16" t="n"/>
      <c r="AP451" s="16" t="n"/>
      <c r="AQ451" s="16" t="n"/>
      <c r="AR451" s="17" t="n"/>
      <c r="AS451" s="123" t="n"/>
    </row>
    <row r="452" hidden="1" outlineLevel="1">
      <c r="A452" s="8" t="n"/>
      <c r="B452" s="14" t="n"/>
      <c r="C452" s="123" t="n"/>
      <c r="D452" s="123" t="n"/>
      <c r="E452" s="123" t="n"/>
      <c r="F452" s="123" t="n"/>
      <c r="G452" s="123" t="n"/>
      <c r="I452" s="123" t="n"/>
      <c r="J452" s="123" t="n"/>
      <c r="K452" s="123" t="n"/>
      <c r="L452" s="123" t="n"/>
      <c r="M452" s="123" t="n"/>
      <c r="N452" s="123" t="n"/>
      <c r="O452" s="123" t="n"/>
      <c r="P452" s="123" t="n"/>
      <c r="Q452" s="123" t="n"/>
      <c r="R452" s="123" t="n"/>
      <c r="S452" s="123" t="n"/>
      <c r="T452" s="123" t="n"/>
      <c r="U452" s="123" t="n"/>
      <c r="V452" s="123" t="n"/>
      <c r="W452" s="123" t="n"/>
      <c r="X452" s="123" t="n"/>
      <c r="Y452" s="123" t="n"/>
      <c r="Z452" s="123" t="n"/>
      <c r="AB452" s="123" t="n"/>
      <c r="AC452" s="123" t="n"/>
      <c r="AD452" s="123" t="n"/>
      <c r="AE452" s="123" t="n"/>
      <c r="AF452" s="123" t="n"/>
      <c r="AG452" s="123" t="n"/>
      <c r="AH452" s="123" t="n"/>
      <c r="AI452" s="123" t="n"/>
      <c r="AJ452" s="123" t="n"/>
      <c r="AK452" s="123" t="n"/>
      <c r="AL452" s="123" t="n"/>
      <c r="AM452" s="123" t="n"/>
      <c r="AN452" s="123" t="n"/>
      <c r="AO452" s="123" t="n"/>
      <c r="AP452" s="123" t="n"/>
      <c r="AQ452" s="123" t="n"/>
      <c r="AR452" s="123" t="n"/>
      <c r="AS452" s="123" t="n"/>
    </row>
    <row r="453" hidden="1" outlineLevel="1">
      <c r="A453" s="8" t="n"/>
      <c r="B453" s="14" t="n"/>
      <c r="C453" s="123" t="n"/>
      <c r="D453" s="123" t="n"/>
      <c r="E453" s="123" t="n"/>
      <c r="F453" s="123" t="n"/>
      <c r="G453" s="123" t="n"/>
      <c r="I453" s="55">
        <f>DADOS_INVOC!$PX$28</f>
        <v/>
      </c>
      <c r="J453" s="16" t="n"/>
      <c r="K453" s="16" t="n"/>
      <c r="L453" s="16" t="n"/>
      <c r="M453" s="17" t="n"/>
      <c r="N453" s="123" t="n"/>
      <c r="O453" s="55">
        <f>DADOS_INVOC!$PX$29</f>
        <v/>
      </c>
      <c r="P453" s="16" t="n"/>
      <c r="Q453" s="16" t="n"/>
      <c r="R453" s="16" t="n"/>
      <c r="S453" s="17" t="n"/>
      <c r="T453" s="123" t="n"/>
      <c r="U453" s="55">
        <f>DADOS_INVOC!$PX$30</f>
        <v/>
      </c>
      <c r="V453" s="16" t="n"/>
      <c r="W453" s="16" t="n"/>
      <c r="X453" s="16" t="n"/>
      <c r="Y453" s="17" t="n"/>
      <c r="Z453" s="123" t="n"/>
      <c r="AB453" s="55">
        <f>DADOS_INVOC!$PX$106</f>
        <v/>
      </c>
      <c r="AC453" s="16" t="n"/>
      <c r="AD453" s="16" t="n"/>
      <c r="AE453" s="16" t="n"/>
      <c r="AF453" s="17" t="n"/>
      <c r="AG453" s="123" t="n"/>
      <c r="AH453" s="55">
        <f>DADOS_INVOC!$PX$107</f>
        <v/>
      </c>
      <c r="AI453" s="16" t="n"/>
      <c r="AJ453" s="16" t="n"/>
      <c r="AK453" s="16" t="n"/>
      <c r="AL453" s="17" t="n"/>
      <c r="AM453" s="123" t="n"/>
      <c r="AN453" s="55">
        <f>DADOS_INVOC!$PX$108</f>
        <v/>
      </c>
      <c r="AO453" s="16" t="n"/>
      <c r="AP453" s="16" t="n"/>
      <c r="AQ453" s="16" t="n"/>
      <c r="AR453" s="17" t="n"/>
      <c r="AS453" s="123" t="n"/>
    </row>
    <row r="454" hidden="1" outlineLevel="1">
      <c r="A454" s="8" t="n"/>
      <c r="B454" s="14" t="n"/>
      <c r="C454" s="123" t="n"/>
      <c r="D454" s="123" t="n"/>
      <c r="E454" s="123" t="n"/>
      <c r="F454" s="123" t="n"/>
      <c r="G454" s="123" t="n"/>
      <c r="I454" s="130" t="n">
        <v>0</v>
      </c>
      <c r="J454" s="118" t="n"/>
      <c r="K454" s="16" t="n"/>
      <c r="L454" s="17" t="n"/>
      <c r="M454" s="131">
        <f>DADOS_INVOC!$PV$28</f>
        <v/>
      </c>
      <c r="N454" s="123" t="n"/>
      <c r="O454" s="130" t="n">
        <v>1</v>
      </c>
      <c r="P454" s="118" t="n"/>
      <c r="Q454" s="16" t="n"/>
      <c r="R454" s="17" t="n"/>
      <c r="S454" s="131">
        <f>DADOS_INVOC!$PV$29</f>
        <v/>
      </c>
      <c r="T454" s="123" t="n"/>
      <c r="U454" s="130" t="n">
        <v>1</v>
      </c>
      <c r="V454" s="118" t="n"/>
      <c r="W454" s="16" t="n"/>
      <c r="X454" s="17" t="n"/>
      <c r="Y454" s="131">
        <f>DADOS_INVOC!$PV$30</f>
        <v/>
      </c>
      <c r="Z454" s="123" t="n"/>
      <c r="AB454" s="130" t="n">
        <v>0</v>
      </c>
      <c r="AC454" s="118" t="n"/>
      <c r="AD454" s="16" t="n"/>
      <c r="AE454" s="17" t="n"/>
      <c r="AF454" s="131">
        <f>DADOS_INVOC!$PV$106</f>
        <v/>
      </c>
      <c r="AG454" s="123" t="n"/>
      <c r="AH454" s="130" t="n">
        <v>1</v>
      </c>
      <c r="AI454" s="118" t="n"/>
      <c r="AJ454" s="16" t="n"/>
      <c r="AK454" s="17" t="n"/>
      <c r="AL454" s="131">
        <f>DADOS_INVOC!$PV$107</f>
        <v/>
      </c>
      <c r="AM454" s="123" t="n"/>
      <c r="AN454" s="130" t="n">
        <v>1</v>
      </c>
      <c r="AO454" s="118" t="n"/>
      <c r="AP454" s="16" t="n"/>
      <c r="AQ454" s="17" t="n"/>
      <c r="AR454" s="131">
        <f>DADOS_INVOC!$PV$108</f>
        <v/>
      </c>
      <c r="AS454" s="123" t="n"/>
    </row>
    <row r="455" hidden="1" outlineLevel="2">
      <c r="A455" s="8" t="n"/>
      <c r="B455" s="14" t="n"/>
      <c r="C455" s="123" t="n"/>
      <c r="D455" s="123" t="n"/>
      <c r="E455" s="123" t="n"/>
      <c r="F455" s="123" t="n"/>
      <c r="G455" s="123" t="n"/>
      <c r="I455" s="55" t="inlineStr">
        <is>
          <t>COMO É</t>
        </is>
      </c>
      <c r="J455" s="16" t="n"/>
      <c r="K455" s="16" t="n"/>
      <c r="L455" s="16" t="n"/>
      <c r="M455" s="17" t="n"/>
      <c r="N455" s="123" t="n"/>
      <c r="O455" s="55" t="inlineStr">
        <is>
          <t>COMO É</t>
        </is>
      </c>
      <c r="P455" s="16" t="n"/>
      <c r="Q455" s="16" t="n"/>
      <c r="R455" s="16" t="n"/>
      <c r="S455" s="17" t="n"/>
      <c r="T455" s="123" t="n"/>
      <c r="U455" s="55" t="inlineStr">
        <is>
          <t>COMO É</t>
        </is>
      </c>
      <c r="V455" s="16" t="n"/>
      <c r="W455" s="16" t="n"/>
      <c r="X455" s="16" t="n"/>
      <c r="Y455" s="17" t="n"/>
      <c r="Z455" s="123" t="n"/>
      <c r="AB455" s="55" t="inlineStr">
        <is>
          <t>COMO É</t>
        </is>
      </c>
      <c r="AC455" s="16" t="n"/>
      <c r="AD455" s="16" t="n"/>
      <c r="AE455" s="16" t="n"/>
      <c r="AF455" s="17" t="n"/>
      <c r="AG455" s="123" t="n"/>
      <c r="AH455" s="55" t="inlineStr">
        <is>
          <t>COMO É</t>
        </is>
      </c>
      <c r="AI455" s="16" t="n"/>
      <c r="AJ455" s="16" t="n"/>
      <c r="AK455" s="16" t="n"/>
      <c r="AL455" s="17" t="n"/>
      <c r="AM455" s="123" t="n"/>
      <c r="AN455" s="55" t="inlineStr">
        <is>
          <t>COMO É</t>
        </is>
      </c>
      <c r="AO455" s="16" t="n"/>
      <c r="AP455" s="16" t="n"/>
      <c r="AQ455" s="16" t="n"/>
      <c r="AR455" s="17" t="n"/>
      <c r="AS455" s="123" t="n"/>
    </row>
    <row r="456" hidden="1" outlineLevel="2">
      <c r="A456" s="8" t="n"/>
      <c r="B456" s="14" t="n"/>
      <c r="C456" s="123" t="n"/>
      <c r="D456" s="123" t="n"/>
      <c r="E456" s="123" t="n"/>
      <c r="F456" s="123" t="n"/>
      <c r="G456" s="123" t="n"/>
      <c r="I456" s="119" t="n"/>
      <c r="J456" s="19" t="n"/>
      <c r="K456" s="19" t="n"/>
      <c r="L456" s="19" t="n"/>
      <c r="M456" s="20" t="n"/>
      <c r="N456" s="123" t="n"/>
      <c r="O456" s="119" t="n"/>
      <c r="P456" s="19" t="n"/>
      <c r="Q456" s="19" t="n"/>
      <c r="R456" s="19" t="n"/>
      <c r="S456" s="20" t="n"/>
      <c r="T456" s="123" t="n"/>
      <c r="U456" s="119" t="n"/>
      <c r="V456" s="19" t="n"/>
      <c r="W456" s="19" t="n"/>
      <c r="X456" s="19" t="n"/>
      <c r="Y456" s="20" t="n"/>
      <c r="Z456" s="123" t="n"/>
      <c r="AB456" s="119" t="n"/>
      <c r="AC456" s="19" t="n"/>
      <c r="AD456" s="19" t="n"/>
      <c r="AE456" s="19" t="n"/>
      <c r="AF456" s="20" t="n"/>
      <c r="AG456" s="123" t="n"/>
      <c r="AH456" s="119" t="n"/>
      <c r="AI456" s="19" t="n"/>
      <c r="AJ456" s="19" t="n"/>
      <c r="AK456" s="19" t="n"/>
      <c r="AL456" s="20" t="n"/>
      <c r="AM456" s="123" t="n"/>
      <c r="AN456" s="119" t="n"/>
      <c r="AO456" s="19" t="n"/>
      <c r="AP456" s="19" t="n"/>
      <c r="AQ456" s="19" t="n"/>
      <c r="AR456" s="20" t="n"/>
      <c r="AS456" s="123" t="n"/>
    </row>
    <row r="457" hidden="1" outlineLevel="2">
      <c r="A457" s="8" t="n"/>
      <c r="B457" s="14" t="n"/>
      <c r="C457" s="123" t="n"/>
      <c r="D457" s="123" t="n"/>
      <c r="E457" s="123" t="n"/>
      <c r="F457" s="123" t="n"/>
      <c r="G457" s="123" t="n"/>
      <c r="I457" s="21" t="n"/>
      <c r="M457" s="22" t="n"/>
      <c r="N457" s="123" t="n"/>
      <c r="O457" s="21" t="n"/>
      <c r="S457" s="22" t="n"/>
      <c r="T457" s="123" t="n"/>
      <c r="U457" s="21" t="n"/>
      <c r="Y457" s="22" t="n"/>
      <c r="Z457" s="123" t="n"/>
      <c r="AB457" s="21" t="n"/>
      <c r="AF457" s="22" t="n"/>
      <c r="AG457" s="123" t="n"/>
      <c r="AH457" s="21" t="n"/>
      <c r="AL457" s="22" t="n"/>
      <c r="AM457" s="123" t="n"/>
      <c r="AN457" s="21" t="n"/>
      <c r="AR457" s="22" t="n"/>
      <c r="AS457" s="123" t="n"/>
    </row>
    <row r="458" hidden="1" outlineLevel="2">
      <c r="A458" s="8" t="n"/>
      <c r="B458" s="14" t="n"/>
      <c r="C458" s="123" t="n"/>
      <c r="D458" s="123" t="n"/>
      <c r="E458" s="123" t="n"/>
      <c r="F458" s="123" t="n"/>
      <c r="G458" s="123" t="n"/>
      <c r="I458" s="23" t="n"/>
      <c r="J458" s="24" t="n"/>
      <c r="K458" s="24" t="n"/>
      <c r="L458" s="24" t="n"/>
      <c r="M458" s="25" t="n"/>
      <c r="N458" s="123" t="n"/>
      <c r="O458" s="23" t="n"/>
      <c r="P458" s="24" t="n"/>
      <c r="Q458" s="24" t="n"/>
      <c r="R458" s="24" t="n"/>
      <c r="S458" s="25" t="n"/>
      <c r="T458" s="123" t="n"/>
      <c r="U458" s="23" t="n"/>
      <c r="V458" s="24" t="n"/>
      <c r="W458" s="24" t="n"/>
      <c r="X458" s="24" t="n"/>
      <c r="Y458" s="25" t="n"/>
      <c r="Z458" s="123" t="n"/>
      <c r="AB458" s="23" t="n"/>
      <c r="AC458" s="24" t="n"/>
      <c r="AD458" s="24" t="n"/>
      <c r="AE458" s="24" t="n"/>
      <c r="AF458" s="25" t="n"/>
      <c r="AG458" s="123" t="n"/>
      <c r="AH458" s="23" t="n"/>
      <c r="AI458" s="24" t="n"/>
      <c r="AJ458" s="24" t="n"/>
      <c r="AK458" s="24" t="n"/>
      <c r="AL458" s="25" t="n"/>
      <c r="AM458" s="123" t="n"/>
      <c r="AN458" s="23" t="n"/>
      <c r="AO458" s="24" t="n"/>
      <c r="AP458" s="24" t="n"/>
      <c r="AQ458" s="24" t="n"/>
      <c r="AR458" s="25" t="n"/>
      <c r="AS458" s="123" t="n"/>
    </row>
    <row r="459" hidden="1" outlineLevel="1">
      <c r="A459" s="8" t="n"/>
      <c r="B459" s="14" t="n"/>
      <c r="C459" s="123" t="n"/>
      <c r="D459" s="123" t="n"/>
      <c r="E459" s="123" t="n"/>
      <c r="F459" s="123" t="n"/>
      <c r="G459" s="123" t="n"/>
      <c r="I459" s="127" t="inlineStr">
        <is>
          <t>Projétil</t>
        </is>
      </c>
      <c r="J459" s="17" t="n"/>
      <c r="K459" s="68">
        <f>DADOS_INVOC!$QC$28</f>
        <v/>
      </c>
      <c r="L459" s="17" t="n"/>
      <c r="M459" s="68">
        <f>DADOS_INVOC!$PY$28</f>
        <v/>
      </c>
      <c r="N459" s="123" t="n"/>
      <c r="O459" s="127" t="inlineStr">
        <is>
          <t>Projétil</t>
        </is>
      </c>
      <c r="P459" s="17" t="n"/>
      <c r="Q459" s="68">
        <f>DADOS_INVOC!$QC$29</f>
        <v/>
      </c>
      <c r="R459" s="17" t="n"/>
      <c r="S459" s="68">
        <f>DADOS_INVOC!$PY$29</f>
        <v/>
      </c>
      <c r="T459" s="123" t="n"/>
      <c r="U459" s="127" t="inlineStr">
        <is>
          <t>Projétil</t>
        </is>
      </c>
      <c r="V459" s="17" t="n"/>
      <c r="W459" s="68">
        <f>DADOS_INVOC!$QC$30</f>
        <v/>
      </c>
      <c r="X459" s="17" t="n"/>
      <c r="Y459" s="68">
        <f>DADOS_INVOC!$PY$30</f>
        <v/>
      </c>
      <c r="Z459" s="123" t="n"/>
      <c r="AB459" s="127" t="inlineStr">
        <is>
          <t>Projétil</t>
        </is>
      </c>
      <c r="AC459" s="17" t="n"/>
      <c r="AD459" s="68">
        <f>DADOS_INVOC!$QC$106</f>
        <v/>
      </c>
      <c r="AE459" s="17" t="n"/>
      <c r="AF459" s="68">
        <f>DADOS_INVOC!$PY$106</f>
        <v/>
      </c>
      <c r="AG459" s="123" t="n"/>
      <c r="AH459" s="127" t="inlineStr">
        <is>
          <t>Projétil</t>
        </is>
      </c>
      <c r="AI459" s="17" t="n"/>
      <c r="AJ459" s="68">
        <f>DADOS_INVOC!$QC$107</f>
        <v/>
      </c>
      <c r="AK459" s="17" t="n"/>
      <c r="AL459" s="68">
        <f>DADOS_INVOC!$PY$107</f>
        <v/>
      </c>
      <c r="AM459" s="123" t="n"/>
      <c r="AN459" s="127" t="inlineStr">
        <is>
          <t>Projétil</t>
        </is>
      </c>
      <c r="AO459" s="17" t="n"/>
      <c r="AP459" s="68">
        <f>DADOS_INVOC!$QC$108</f>
        <v/>
      </c>
      <c r="AQ459" s="17" t="n"/>
      <c r="AR459" s="68">
        <f>DADOS_INVOC!$PY$108</f>
        <v/>
      </c>
      <c r="AS459" s="123" t="n"/>
    </row>
    <row r="460" hidden="1" outlineLevel="1">
      <c r="A460" s="8" t="n"/>
      <c r="B460" s="14" t="n"/>
      <c r="C460" s="123" t="n"/>
      <c r="D460" s="123" t="n"/>
      <c r="E460" s="123" t="n"/>
      <c r="F460" s="123" t="n"/>
      <c r="G460" s="123" t="n"/>
      <c r="I460" s="127" t="n"/>
      <c r="J460" s="17" t="n"/>
      <c r="K460" s="127" t="n"/>
      <c r="L460" s="16" t="n"/>
      <c r="M460" s="17" t="n"/>
      <c r="N460" s="123" t="n"/>
      <c r="O460" s="127" t="n"/>
      <c r="P460" s="17" t="n"/>
      <c r="Q460" s="127" t="n"/>
      <c r="R460" s="16" t="n"/>
      <c r="S460" s="17" t="n"/>
      <c r="T460" s="123" t="n"/>
      <c r="U460" s="127" t="n"/>
      <c r="V460" s="17" t="n"/>
      <c r="W460" s="127" t="n"/>
      <c r="X460" s="16" t="n"/>
      <c r="Y460" s="17" t="n"/>
      <c r="Z460" s="123" t="n"/>
      <c r="AB460" s="127" t="n"/>
      <c r="AC460" s="17" t="n"/>
      <c r="AD460" s="127" t="n"/>
      <c r="AE460" s="16" t="n"/>
      <c r="AF460" s="17" t="n"/>
      <c r="AG460" s="123" t="n"/>
      <c r="AH460" s="127" t="n"/>
      <c r="AI460" s="17" t="n"/>
      <c r="AJ460" s="127" t="n"/>
      <c r="AK460" s="16" t="n"/>
      <c r="AL460" s="17" t="n"/>
      <c r="AM460" s="123" t="n"/>
      <c r="AN460" s="127" t="n"/>
      <c r="AO460" s="17" t="n"/>
      <c r="AP460" s="127" t="n"/>
      <c r="AQ460" s="16" t="n"/>
      <c r="AR460" s="17" t="n"/>
      <c r="AS460" s="123" t="n"/>
    </row>
    <row r="461" hidden="1" outlineLevel="1">
      <c r="A461" s="8" t="n"/>
      <c r="B461" s="14" t="n"/>
      <c r="C461" s="123" t="n"/>
      <c r="D461" s="123" t="n"/>
      <c r="E461" s="123" t="n"/>
      <c r="F461" s="123" t="n"/>
      <c r="G461" s="123" t="n"/>
      <c r="I461" s="127">
        <f>DADOS_INVOC!$PZ$28</f>
        <v/>
      </c>
      <c r="J461" s="17" t="n"/>
      <c r="K461" s="127">
        <f>DADOS_INVOC!$QB$28</f>
        <v/>
      </c>
      <c r="L461" s="16" t="n"/>
      <c r="M461" s="17" t="n"/>
      <c r="N461" s="123" t="n"/>
      <c r="O461" s="127">
        <f>DADOS_INVOC!$PZ$29</f>
        <v/>
      </c>
      <c r="P461" s="17" t="n"/>
      <c r="Q461" s="127">
        <f>DADOS_INVOC!$QB$29</f>
        <v/>
      </c>
      <c r="R461" s="16" t="n"/>
      <c r="S461" s="17" t="n"/>
      <c r="T461" s="123" t="n"/>
      <c r="U461" s="127">
        <f>DADOS_INVOC!$PZ$30</f>
        <v/>
      </c>
      <c r="V461" s="17" t="n"/>
      <c r="W461" s="127">
        <f>DADOS_INVOC!$QB$30</f>
        <v/>
      </c>
      <c r="X461" s="16" t="n"/>
      <c r="Y461" s="17" t="n"/>
      <c r="Z461" s="123" t="n"/>
      <c r="AB461" s="127">
        <f>DADOS_INVOC!$PZ$106</f>
        <v/>
      </c>
      <c r="AC461" s="17" t="n"/>
      <c r="AD461" s="127">
        <f>DADOS_INVOC!$QB$106</f>
        <v/>
      </c>
      <c r="AE461" s="16" t="n"/>
      <c r="AF461" s="17" t="n"/>
      <c r="AG461" s="123" t="n"/>
      <c r="AH461" s="127">
        <f>DADOS_INVOC!$PZ$107</f>
        <v/>
      </c>
      <c r="AI461" s="17" t="n"/>
      <c r="AJ461" s="127">
        <f>DADOS_INVOC!$QB$107</f>
        <v/>
      </c>
      <c r="AK461" s="16" t="n"/>
      <c r="AL461" s="17" t="n"/>
      <c r="AM461" s="123" t="n"/>
      <c r="AN461" s="127">
        <f>DADOS_INVOC!$PZ$108</f>
        <v/>
      </c>
      <c r="AO461" s="17" t="n"/>
      <c r="AP461" s="127">
        <f>DADOS_INVOC!$QB$108</f>
        <v/>
      </c>
      <c r="AQ461" s="16" t="n"/>
      <c r="AR461" s="17" t="n"/>
      <c r="AS461" s="123" t="n"/>
    </row>
    <row r="462" hidden="1" outlineLevel="1">
      <c r="A462" s="8" t="n"/>
      <c r="B462" s="14" t="n"/>
      <c r="C462" s="123" t="n"/>
      <c r="D462" s="123" t="n"/>
      <c r="E462" s="123" t="n"/>
      <c r="F462" s="123" t="n"/>
      <c r="G462" s="123" t="n"/>
      <c r="I462" s="132">
        <f>DADOS_INVOC!$QH$28</f>
        <v/>
      </c>
      <c r="J462" s="16" t="n"/>
      <c r="K462" s="16" t="n"/>
      <c r="L462" s="16" t="n"/>
      <c r="M462" s="17" t="n"/>
      <c r="N462" s="123" t="n"/>
      <c r="O462" s="132">
        <f>DADOS_INVOC!$QH$29</f>
        <v/>
      </c>
      <c r="P462" s="16" t="n"/>
      <c r="Q462" s="16" t="n"/>
      <c r="R462" s="16" t="n"/>
      <c r="S462" s="17" t="n"/>
      <c r="T462" s="123" t="n"/>
      <c r="U462" s="132">
        <f>DADOS_INVOC!$QH$30</f>
        <v/>
      </c>
      <c r="V462" s="16" t="n"/>
      <c r="W462" s="16" t="n"/>
      <c r="X462" s="16" t="n"/>
      <c r="Y462" s="17" t="n"/>
      <c r="Z462" s="123" t="n"/>
      <c r="AB462" s="132">
        <f>DADOS_INVOC!$QH$106</f>
        <v/>
      </c>
      <c r="AC462" s="16" t="n"/>
      <c r="AD462" s="16" t="n"/>
      <c r="AE462" s="16" t="n"/>
      <c r="AF462" s="17" t="n"/>
      <c r="AG462" s="123" t="n"/>
      <c r="AH462" s="132">
        <f>DADOS_INVOC!$QH$107</f>
        <v/>
      </c>
      <c r="AI462" s="16" t="n"/>
      <c r="AJ462" s="16" t="n"/>
      <c r="AK462" s="16" t="n"/>
      <c r="AL462" s="17" t="n"/>
      <c r="AM462" s="123" t="n"/>
      <c r="AN462" s="132">
        <f>DADOS_INVOC!$QH$108</f>
        <v/>
      </c>
      <c r="AO462" s="16" t="n"/>
      <c r="AP462" s="16" t="n"/>
      <c r="AQ462" s="16" t="n"/>
      <c r="AR462" s="17" t="n"/>
      <c r="AS462" s="123" t="n"/>
    </row>
    <row r="463" hidden="1" outlineLevel="2">
      <c r="A463" s="8" t="n"/>
      <c r="B463" s="14" t="n"/>
      <c r="C463" s="123" t="n"/>
      <c r="D463" s="123" t="n"/>
      <c r="E463" s="123" t="n"/>
      <c r="F463" s="123" t="n"/>
      <c r="G463" s="123" t="n"/>
      <c r="I463" s="55" t="inlineStr">
        <is>
          <t>MELHORIAS</t>
        </is>
      </c>
      <c r="J463" s="133" t="n"/>
      <c r="K463" s="16" t="n"/>
      <c r="L463" s="17" t="n"/>
      <c r="M463" s="132">
        <f>DADOS_INVOC!$QK$28</f>
        <v/>
      </c>
      <c r="N463" s="123" t="n"/>
      <c r="O463" s="55" t="inlineStr">
        <is>
          <t>MELHORIAS</t>
        </is>
      </c>
      <c r="P463" s="133" t="n"/>
      <c r="Q463" s="16" t="n"/>
      <c r="R463" s="17" t="n"/>
      <c r="S463" s="132">
        <f>DADOS_INVOC!$QK$29</f>
        <v/>
      </c>
      <c r="T463" s="123" t="n"/>
      <c r="U463" s="55" t="inlineStr">
        <is>
          <t>MELHORIAS</t>
        </is>
      </c>
      <c r="V463" s="133" t="n"/>
      <c r="W463" s="16" t="n"/>
      <c r="X463" s="17" t="n"/>
      <c r="Y463" s="132">
        <f>DADOS_INVOC!$QK$30</f>
        <v/>
      </c>
      <c r="Z463" s="123" t="n"/>
      <c r="AB463" s="55" t="inlineStr">
        <is>
          <t>MELHORIAS</t>
        </is>
      </c>
      <c r="AC463" s="133" t="n"/>
      <c r="AD463" s="16" t="n"/>
      <c r="AE463" s="17" t="n"/>
      <c r="AF463" s="132">
        <f>DADOS_INVOC!$QK$106</f>
        <v/>
      </c>
      <c r="AG463" s="123" t="n"/>
      <c r="AH463" s="55" t="inlineStr">
        <is>
          <t>MELHORIAS</t>
        </is>
      </c>
      <c r="AI463" s="133" t="n"/>
      <c r="AJ463" s="16" t="n"/>
      <c r="AK463" s="17" t="n"/>
      <c r="AL463" s="132">
        <f>DADOS_INVOC!$QK$107</f>
        <v/>
      </c>
      <c r="AM463" s="123" t="n"/>
      <c r="AN463" s="55" t="inlineStr">
        <is>
          <t>MELHORIAS</t>
        </is>
      </c>
      <c r="AO463" s="133" t="n"/>
      <c r="AP463" s="16" t="n"/>
      <c r="AQ463" s="17" t="n"/>
      <c r="AR463" s="132">
        <f>DADOS_INVOC!$QK$108</f>
        <v/>
      </c>
      <c r="AS463" s="123" t="n"/>
    </row>
    <row r="464" hidden="1" outlineLevel="2">
      <c r="A464" s="8" t="n"/>
      <c r="B464" s="14" t="n"/>
      <c r="C464" s="123" t="n"/>
      <c r="D464" s="123" t="n"/>
      <c r="E464" s="123" t="n"/>
      <c r="F464" s="123" t="n"/>
      <c r="G464" s="123" t="n"/>
      <c r="I464" s="134" t="n"/>
      <c r="J464" s="133" t="n"/>
      <c r="K464" s="16" t="n"/>
      <c r="L464" s="17" t="n"/>
      <c r="M464" s="132">
        <f>DADOS_INVOC!$QL$28</f>
        <v/>
      </c>
      <c r="N464" s="123" t="n"/>
      <c r="O464" s="134" t="n"/>
      <c r="P464" s="133" t="n"/>
      <c r="Q464" s="16" t="n"/>
      <c r="R464" s="17" t="n"/>
      <c r="S464" s="132">
        <f>DADOS_INVOC!$QL$29</f>
        <v/>
      </c>
      <c r="T464" s="123" t="n"/>
      <c r="U464" s="134" t="n"/>
      <c r="V464" s="133" t="n"/>
      <c r="W464" s="16" t="n"/>
      <c r="X464" s="17" t="n"/>
      <c r="Y464" s="132">
        <f>DADOS_INVOC!$QL$30</f>
        <v/>
      </c>
      <c r="Z464" s="123" t="n"/>
      <c r="AB464" s="134" t="n"/>
      <c r="AC464" s="133" t="n"/>
      <c r="AD464" s="16" t="n"/>
      <c r="AE464" s="17" t="n"/>
      <c r="AF464" s="132">
        <f>DADOS_INVOC!$QL$106</f>
        <v/>
      </c>
      <c r="AG464" s="123" t="n"/>
      <c r="AH464" s="134" t="n"/>
      <c r="AI464" s="133" t="n"/>
      <c r="AJ464" s="16" t="n"/>
      <c r="AK464" s="17" t="n"/>
      <c r="AL464" s="132">
        <f>DADOS_INVOC!$QL$107</f>
        <v/>
      </c>
      <c r="AM464" s="123" t="n"/>
      <c r="AN464" s="134" t="n"/>
      <c r="AO464" s="133" t="n"/>
      <c r="AP464" s="16" t="n"/>
      <c r="AQ464" s="17" t="n"/>
      <c r="AR464" s="132">
        <f>DADOS_INVOC!$QL$108</f>
        <v/>
      </c>
      <c r="AS464" s="123" t="n"/>
    </row>
    <row r="465" hidden="1" outlineLevel="2">
      <c r="A465" s="8" t="n"/>
      <c r="B465" s="14" t="n"/>
      <c r="C465" s="123" t="n"/>
      <c r="D465" s="123" t="n"/>
      <c r="E465" s="123" t="n"/>
      <c r="F465" s="123" t="n"/>
      <c r="G465" s="123" t="n"/>
      <c r="I465" s="134" t="n"/>
      <c r="J465" s="133" t="n"/>
      <c r="K465" s="16" t="n"/>
      <c r="L465" s="17" t="n"/>
      <c r="M465" s="132">
        <f>DADOS_INVOC!$QM$28</f>
        <v/>
      </c>
      <c r="N465" s="123" t="n"/>
      <c r="O465" s="134" t="n"/>
      <c r="P465" s="133" t="n"/>
      <c r="Q465" s="16" t="n"/>
      <c r="R465" s="17" t="n"/>
      <c r="S465" s="132">
        <f>DADOS_INVOC!$QM$29</f>
        <v/>
      </c>
      <c r="T465" s="123" t="n"/>
      <c r="U465" s="134" t="n"/>
      <c r="V465" s="133" t="n"/>
      <c r="W465" s="16" t="n"/>
      <c r="X465" s="17" t="n"/>
      <c r="Y465" s="132">
        <f>DADOS_INVOC!$QM$30</f>
        <v/>
      </c>
      <c r="Z465" s="123" t="n"/>
      <c r="AB465" s="134" t="n"/>
      <c r="AC465" s="133" t="n"/>
      <c r="AD465" s="16" t="n"/>
      <c r="AE465" s="17" t="n"/>
      <c r="AF465" s="132">
        <f>DADOS_INVOC!$QM$106</f>
        <v/>
      </c>
      <c r="AG465" s="123" t="n"/>
      <c r="AH465" s="134" t="n"/>
      <c r="AI465" s="133" t="n"/>
      <c r="AJ465" s="16" t="n"/>
      <c r="AK465" s="17" t="n"/>
      <c r="AL465" s="132">
        <f>DADOS_INVOC!$QM$107</f>
        <v/>
      </c>
      <c r="AM465" s="123" t="n"/>
      <c r="AN465" s="134" t="n"/>
      <c r="AO465" s="133" t="n"/>
      <c r="AP465" s="16" t="n"/>
      <c r="AQ465" s="17" t="n"/>
      <c r="AR465" s="132">
        <f>DADOS_INVOC!$QM$108</f>
        <v/>
      </c>
      <c r="AS465" s="123" t="n"/>
    </row>
    <row r="466" hidden="1" outlineLevel="2">
      <c r="A466" s="8" t="n"/>
      <c r="B466" s="14" t="n"/>
      <c r="C466" s="123" t="n"/>
      <c r="D466" s="123" t="n"/>
      <c r="E466" s="123" t="n"/>
      <c r="F466" s="123" t="n"/>
      <c r="G466" s="123" t="n"/>
      <c r="I466" s="128" t="n"/>
      <c r="J466" s="133" t="n"/>
      <c r="K466" s="16" t="n"/>
      <c r="L466" s="17" t="n"/>
      <c r="M466" s="132">
        <f>DADOS_INVOC!$QN$28</f>
        <v/>
      </c>
      <c r="N466" s="123" t="n"/>
      <c r="O466" s="128" t="n"/>
      <c r="P466" s="133" t="n"/>
      <c r="Q466" s="16" t="n"/>
      <c r="R466" s="17" t="n"/>
      <c r="S466" s="132">
        <f>DADOS_INVOC!$QN$29</f>
        <v/>
      </c>
      <c r="T466" s="123" t="n"/>
      <c r="U466" s="128" t="n"/>
      <c r="V466" s="133" t="n"/>
      <c r="W466" s="16" t="n"/>
      <c r="X466" s="17" t="n"/>
      <c r="Y466" s="132">
        <f>DADOS_INVOC!$QN$30</f>
        <v/>
      </c>
      <c r="Z466" s="123" t="n"/>
      <c r="AB466" s="128" t="n"/>
      <c r="AC466" s="133" t="n"/>
      <c r="AD466" s="16" t="n"/>
      <c r="AE466" s="17" t="n"/>
      <c r="AF466" s="132">
        <f>DADOS_INVOC!$QN$106</f>
        <v/>
      </c>
      <c r="AG466" s="123" t="n"/>
      <c r="AH466" s="128" t="n"/>
      <c r="AI466" s="133" t="n"/>
      <c r="AJ466" s="16" t="n"/>
      <c r="AK466" s="17" t="n"/>
      <c r="AL466" s="132">
        <f>DADOS_INVOC!$QN$107</f>
        <v/>
      </c>
      <c r="AM466" s="123" t="n"/>
      <c r="AN466" s="128" t="n"/>
      <c r="AO466" s="133" t="n"/>
      <c r="AP466" s="16" t="n"/>
      <c r="AQ466" s="17" t="n"/>
      <c r="AR466" s="132">
        <f>DADOS_INVOC!$QN$108</f>
        <v/>
      </c>
      <c r="AS466" s="123" t="n"/>
    </row>
    <row r="467" hidden="1" outlineLevel="2">
      <c r="A467" s="8" t="n"/>
      <c r="B467" s="14" t="n"/>
      <c r="C467" s="123" t="n"/>
      <c r="D467" s="123" t="n"/>
      <c r="E467" s="123" t="n"/>
      <c r="F467" s="123" t="n"/>
      <c r="G467" s="123" t="n"/>
      <c r="I467" s="55" t="inlineStr">
        <is>
          <t>RESTRIÇÕES</t>
        </is>
      </c>
      <c r="J467" s="133" t="n"/>
      <c r="K467" s="16" t="n"/>
      <c r="L467" s="17" t="n"/>
      <c r="M467" s="132">
        <f>DADOS_INVOC!$QO$28</f>
        <v/>
      </c>
      <c r="N467" s="123" t="n"/>
      <c r="O467" s="55" t="inlineStr">
        <is>
          <t>RESTRIÇÕES</t>
        </is>
      </c>
      <c r="P467" s="133" t="n"/>
      <c r="Q467" s="16" t="n"/>
      <c r="R467" s="17" t="n"/>
      <c r="S467" s="132">
        <f>DADOS_INVOC!$QO$29</f>
        <v/>
      </c>
      <c r="T467" s="123" t="n"/>
      <c r="U467" s="55" t="inlineStr">
        <is>
          <t>RESTRIÇÕES</t>
        </is>
      </c>
      <c r="V467" s="133" t="n"/>
      <c r="W467" s="16" t="n"/>
      <c r="X467" s="17" t="n"/>
      <c r="Y467" s="132">
        <f>DADOS_INVOC!$QO$30</f>
        <v/>
      </c>
      <c r="Z467" s="123" t="n"/>
      <c r="AB467" s="55" t="inlineStr">
        <is>
          <t>RESTRIÇÕES</t>
        </is>
      </c>
      <c r="AC467" s="133" t="n"/>
      <c r="AD467" s="16" t="n"/>
      <c r="AE467" s="17" t="n"/>
      <c r="AF467" s="132">
        <f>DADOS_INVOC!$QO$106</f>
        <v/>
      </c>
      <c r="AG467" s="123" t="n"/>
      <c r="AH467" s="55" t="inlineStr">
        <is>
          <t>RESTRIÇÕES</t>
        </is>
      </c>
      <c r="AI467" s="133" t="n"/>
      <c r="AJ467" s="16" t="n"/>
      <c r="AK467" s="17" t="n"/>
      <c r="AL467" s="132">
        <f>DADOS_INVOC!$QO$107</f>
        <v/>
      </c>
      <c r="AM467" s="123" t="n"/>
      <c r="AN467" s="55" t="inlineStr">
        <is>
          <t>RESTRIÇÕES</t>
        </is>
      </c>
      <c r="AO467" s="133" t="n"/>
      <c r="AP467" s="16" t="n"/>
      <c r="AQ467" s="17" t="n"/>
      <c r="AR467" s="132">
        <f>DADOS_INVOC!$QO$108</f>
        <v/>
      </c>
      <c r="AS467" s="123" t="n"/>
    </row>
    <row r="468" hidden="1" outlineLevel="2">
      <c r="A468" s="8" t="n"/>
      <c r="B468" s="14" t="n"/>
      <c r="C468" s="123" t="n"/>
      <c r="D468" s="123" t="n"/>
      <c r="E468" s="123" t="n"/>
      <c r="F468" s="123" t="n"/>
      <c r="G468" s="123" t="n"/>
      <c r="I468" s="128" t="n"/>
      <c r="J468" s="133" t="n"/>
      <c r="K468" s="16" t="n"/>
      <c r="L468" s="17" t="n"/>
      <c r="M468" s="132">
        <f>DADOS_INVOC!$QP$28</f>
        <v/>
      </c>
      <c r="N468" s="123" t="n"/>
      <c r="O468" s="128" t="n"/>
      <c r="P468" s="133" t="n"/>
      <c r="Q468" s="16" t="n"/>
      <c r="R468" s="17" t="n"/>
      <c r="S468" s="132">
        <f>DADOS_INVOC!$QP$29</f>
        <v/>
      </c>
      <c r="T468" s="123" t="n"/>
      <c r="U468" s="128" t="n"/>
      <c r="V468" s="133" t="n"/>
      <c r="W468" s="16" t="n"/>
      <c r="X468" s="17" t="n"/>
      <c r="Y468" s="132">
        <f>DADOS_INVOC!$QP$30</f>
        <v/>
      </c>
      <c r="Z468" s="123" t="n"/>
      <c r="AB468" s="128" t="n"/>
      <c r="AC468" s="133" t="n"/>
      <c r="AD468" s="16" t="n"/>
      <c r="AE468" s="17" t="n"/>
      <c r="AF468" s="132">
        <f>DADOS_INVOC!$QP$106</f>
        <v/>
      </c>
      <c r="AG468" s="123" t="n"/>
      <c r="AH468" s="128" t="n"/>
      <c r="AI468" s="133" t="n"/>
      <c r="AJ468" s="16" t="n"/>
      <c r="AK468" s="17" t="n"/>
      <c r="AL468" s="132">
        <f>DADOS_INVOC!$QP$107</f>
        <v/>
      </c>
      <c r="AM468" s="123" t="n"/>
      <c r="AN468" s="128" t="n"/>
      <c r="AO468" s="133" t="n"/>
      <c r="AP468" s="16" t="n"/>
      <c r="AQ468" s="17" t="n"/>
      <c r="AR468" s="132">
        <f>DADOS_INVOC!$QP$108</f>
        <v/>
      </c>
      <c r="AS468" s="123" t="n"/>
    </row>
    <row r="469" hidden="1" outlineLevel="2">
      <c r="A469" s="8" t="n"/>
      <c r="B469" s="14" t="n"/>
      <c r="C469" s="123" t="n"/>
      <c r="D469" s="123" t="n"/>
      <c r="E469" s="123" t="n"/>
      <c r="F469" s="123" t="n"/>
      <c r="G469" s="123" t="n"/>
      <c r="I469" s="55" t="inlineStr">
        <is>
          <t>CONTA</t>
        </is>
      </c>
      <c r="J469" s="135">
        <f>DADOS_INVOC!$QI$28</f>
        <v/>
      </c>
      <c r="K469" s="16" t="n"/>
      <c r="L469" s="16" t="n"/>
      <c r="M469" s="17" t="n"/>
      <c r="N469" s="123" t="n"/>
      <c r="O469" s="55" t="inlineStr">
        <is>
          <t>CONTA</t>
        </is>
      </c>
      <c r="P469" s="135">
        <f>DADOS_INVOC!$QI$29</f>
        <v/>
      </c>
      <c r="Q469" s="16" t="n"/>
      <c r="R469" s="16" t="n"/>
      <c r="S469" s="17" t="n"/>
      <c r="T469" s="123" t="n"/>
      <c r="U469" s="55" t="inlineStr">
        <is>
          <t>CONTA</t>
        </is>
      </c>
      <c r="V469" s="135">
        <f>DADOS_INVOC!$QI$30</f>
        <v/>
      </c>
      <c r="W469" s="16" t="n"/>
      <c r="X469" s="16" t="n"/>
      <c r="Y469" s="17" t="n"/>
      <c r="Z469" s="123" t="n"/>
      <c r="AB469" s="55" t="inlineStr">
        <is>
          <t>CONTA</t>
        </is>
      </c>
      <c r="AC469" s="135">
        <f>DADOS_INVOC!$QI$106</f>
        <v/>
      </c>
      <c r="AD469" s="16" t="n"/>
      <c r="AE469" s="16" t="n"/>
      <c r="AF469" s="17" t="n"/>
      <c r="AG469" s="123" t="n"/>
      <c r="AH469" s="55" t="inlineStr">
        <is>
          <t>CONTA</t>
        </is>
      </c>
      <c r="AI469" s="135">
        <f>DADOS_INVOC!$QI$107</f>
        <v/>
      </c>
      <c r="AJ469" s="16" t="n"/>
      <c r="AK469" s="16" t="n"/>
      <c r="AL469" s="17" t="n"/>
      <c r="AM469" s="123" t="n"/>
      <c r="AN469" s="55" t="inlineStr">
        <is>
          <t>CONTA</t>
        </is>
      </c>
      <c r="AO469" s="135">
        <f>DADOS_INVOC!$QI$108</f>
        <v/>
      </c>
      <c r="AP469" s="16" t="n"/>
      <c r="AQ469" s="16" t="n"/>
      <c r="AR469" s="17" t="n"/>
      <c r="AS469" s="123" t="n"/>
    </row>
    <row r="470" hidden="1" outlineLevel="2">
      <c r="A470" s="8" t="n"/>
      <c r="B470" s="14" t="n"/>
      <c r="C470" s="123" t="n"/>
      <c r="D470" s="123" t="n"/>
      <c r="E470" s="123" t="n"/>
      <c r="F470" s="123" t="n"/>
      <c r="G470" s="123" t="n"/>
      <c r="I470" s="55" t="inlineStr">
        <is>
          <t>AMPLIAR</t>
        </is>
      </c>
      <c r="J470" s="135">
        <f>DADOS_INVOC!$QJ$28</f>
        <v/>
      </c>
      <c r="K470" s="19" t="n"/>
      <c r="L470" s="19" t="n"/>
      <c r="M470" s="20" t="n"/>
      <c r="N470" s="123" t="n"/>
      <c r="O470" s="55" t="inlineStr">
        <is>
          <t>AMPLIAR</t>
        </is>
      </c>
      <c r="P470" s="135">
        <f>DADOS_INVOC!$QJ$29</f>
        <v/>
      </c>
      <c r="Q470" s="19" t="n"/>
      <c r="R470" s="19" t="n"/>
      <c r="S470" s="20" t="n"/>
      <c r="T470" s="123" t="n"/>
      <c r="U470" s="55" t="inlineStr">
        <is>
          <t>AMPLIAR</t>
        </is>
      </c>
      <c r="V470" s="135">
        <f>DADOS_INVOC!$QJ$30</f>
        <v/>
      </c>
      <c r="W470" s="19" t="n"/>
      <c r="X470" s="19" t="n"/>
      <c r="Y470" s="20" t="n"/>
      <c r="Z470" s="123" t="n"/>
      <c r="AB470" s="55" t="inlineStr">
        <is>
          <t>AMPLIAR</t>
        </is>
      </c>
      <c r="AC470" s="135">
        <f>DADOS_INVOC!$QJ$106</f>
        <v/>
      </c>
      <c r="AD470" s="19" t="n"/>
      <c r="AE470" s="19" t="n"/>
      <c r="AF470" s="20" t="n"/>
      <c r="AG470" s="123" t="n"/>
      <c r="AH470" s="55" t="inlineStr">
        <is>
          <t>AMPLIAR</t>
        </is>
      </c>
      <c r="AI470" s="135">
        <f>DADOS_INVOC!$QJ$107</f>
        <v/>
      </c>
      <c r="AJ470" s="19" t="n"/>
      <c r="AK470" s="19" t="n"/>
      <c r="AL470" s="20" t="n"/>
      <c r="AM470" s="123" t="n"/>
      <c r="AN470" s="55" t="inlineStr">
        <is>
          <t>AMPLIAR</t>
        </is>
      </c>
      <c r="AO470" s="135">
        <f>DADOS_INVOC!$QJ$108</f>
        <v/>
      </c>
      <c r="AP470" s="19" t="n"/>
      <c r="AQ470" s="19" t="n"/>
      <c r="AR470" s="20" t="n"/>
      <c r="AS470" s="123" t="n"/>
    </row>
    <row r="471" hidden="1" outlineLevel="2">
      <c r="A471" s="8" t="n"/>
      <c r="B471" s="14" t="n"/>
      <c r="C471" s="123" t="n"/>
      <c r="D471" s="123" t="n"/>
      <c r="E471" s="123" t="n"/>
      <c r="F471" s="123" t="n"/>
      <c r="G471" s="123" t="n"/>
      <c r="I471" s="128" t="n"/>
      <c r="J471" s="23" t="n"/>
      <c r="K471" s="24" t="n"/>
      <c r="L471" s="24" t="n"/>
      <c r="M471" s="25" t="n"/>
      <c r="N471" s="123" t="n"/>
      <c r="O471" s="128" t="n"/>
      <c r="P471" s="23" t="n"/>
      <c r="Q471" s="24" t="n"/>
      <c r="R471" s="24" t="n"/>
      <c r="S471" s="25" t="n"/>
      <c r="T471" s="123" t="n"/>
      <c r="U471" s="128" t="n"/>
      <c r="V471" s="23" t="n"/>
      <c r="W471" s="24" t="n"/>
      <c r="X471" s="24" t="n"/>
      <c r="Y471" s="25" t="n"/>
      <c r="Z471" s="123" t="n"/>
      <c r="AB471" s="128" t="n"/>
      <c r="AC471" s="23" t="n"/>
      <c r="AD471" s="24" t="n"/>
      <c r="AE471" s="24" t="n"/>
      <c r="AF471" s="25" t="n"/>
      <c r="AG471" s="123" t="n"/>
      <c r="AH471" s="128" t="n"/>
      <c r="AI471" s="23" t="n"/>
      <c r="AJ471" s="24" t="n"/>
      <c r="AK471" s="24" t="n"/>
      <c r="AL471" s="25" t="n"/>
      <c r="AM471" s="123" t="n"/>
      <c r="AN471" s="128" t="n"/>
      <c r="AO471" s="23" t="n"/>
      <c r="AP471" s="24" t="n"/>
      <c r="AQ471" s="24" t="n"/>
      <c r="AR471" s="25" t="n"/>
      <c r="AS471" s="123" t="n"/>
    </row>
    <row r="472" hidden="1" outlineLevel="2">
      <c r="A472" s="8" t="n"/>
      <c r="B472" s="14" t="n"/>
      <c r="C472" s="123" t="n"/>
      <c r="D472" s="123" t="n"/>
      <c r="E472" s="123" t="n"/>
      <c r="F472" s="123" t="n"/>
      <c r="G472" s="123" t="n"/>
      <c r="I472" s="135">
        <f>DADOS_INVOC!$PW$28</f>
        <v/>
      </c>
      <c r="J472" s="19" t="n"/>
      <c r="K472" s="19" t="n"/>
      <c r="L472" s="19" t="n"/>
      <c r="M472" s="20" t="n"/>
      <c r="N472" s="123" t="n"/>
      <c r="O472" s="135">
        <f>DADOS_INVOC!$PW$29</f>
        <v/>
      </c>
      <c r="P472" s="19" t="n"/>
      <c r="Q472" s="19" t="n"/>
      <c r="R472" s="19" t="n"/>
      <c r="S472" s="20" t="n"/>
      <c r="T472" s="123" t="n"/>
      <c r="U472" s="135">
        <f>DADOS_INVOC!$PW$30</f>
        <v/>
      </c>
      <c r="V472" s="19" t="n"/>
      <c r="W472" s="19" t="n"/>
      <c r="X472" s="19" t="n"/>
      <c r="Y472" s="20" t="n"/>
      <c r="Z472" s="123" t="n"/>
      <c r="AB472" s="135">
        <f>DADOS_INVOC!$PW$106</f>
        <v/>
      </c>
      <c r="AC472" s="19" t="n"/>
      <c r="AD472" s="19" t="n"/>
      <c r="AE472" s="19" t="n"/>
      <c r="AF472" s="20" t="n"/>
      <c r="AG472" s="123" t="n"/>
      <c r="AH472" s="135">
        <f>DADOS_INVOC!$PW$107</f>
        <v/>
      </c>
      <c r="AI472" s="19" t="n"/>
      <c r="AJ472" s="19" t="n"/>
      <c r="AK472" s="19" t="n"/>
      <c r="AL472" s="20" t="n"/>
      <c r="AM472" s="123" t="n"/>
      <c r="AN472" s="135">
        <f>DADOS_INVOC!$PW$108</f>
        <v/>
      </c>
      <c r="AO472" s="19" t="n"/>
      <c r="AP472" s="19" t="n"/>
      <c r="AQ472" s="19" t="n"/>
      <c r="AR472" s="20" t="n"/>
      <c r="AS472" s="123" t="n"/>
    </row>
    <row r="473" hidden="1" outlineLevel="2">
      <c r="A473" s="8" t="n"/>
      <c r="B473" s="14" t="n"/>
      <c r="C473" s="123" t="n"/>
      <c r="D473" s="123" t="n"/>
      <c r="E473" s="123" t="n"/>
      <c r="F473" s="123" t="n"/>
      <c r="G473" s="123" t="n"/>
      <c r="I473" s="23" t="n"/>
      <c r="J473" s="24" t="n"/>
      <c r="K473" s="24" t="n"/>
      <c r="L473" s="24" t="n"/>
      <c r="M473" s="25" t="n"/>
      <c r="N473" s="123" t="n"/>
      <c r="O473" s="23" t="n"/>
      <c r="P473" s="24" t="n"/>
      <c r="Q473" s="24" t="n"/>
      <c r="R473" s="24" t="n"/>
      <c r="S473" s="25" t="n"/>
      <c r="T473" s="123" t="n"/>
      <c r="U473" s="23" t="n"/>
      <c r="V473" s="24" t="n"/>
      <c r="W473" s="24" t="n"/>
      <c r="X473" s="24" t="n"/>
      <c r="Y473" s="25" t="n"/>
      <c r="Z473" s="123" t="n"/>
      <c r="AB473" s="23" t="n"/>
      <c r="AC473" s="24" t="n"/>
      <c r="AD473" s="24" t="n"/>
      <c r="AE473" s="24" t="n"/>
      <c r="AF473" s="25" t="n"/>
      <c r="AG473" s="123" t="n"/>
      <c r="AH473" s="23" t="n"/>
      <c r="AI473" s="24" t="n"/>
      <c r="AJ473" s="24" t="n"/>
      <c r="AK473" s="24" t="n"/>
      <c r="AL473" s="25" t="n"/>
      <c r="AM473" s="123" t="n"/>
      <c r="AN473" s="23" t="n"/>
      <c r="AO473" s="24" t="n"/>
      <c r="AP473" s="24" t="n"/>
      <c r="AQ473" s="24" t="n"/>
      <c r="AR473" s="25" t="n"/>
      <c r="AS473" s="123" t="n"/>
    </row>
    <row r="474" hidden="1" outlineLevel="1">
      <c r="A474" s="8" t="n"/>
      <c r="B474" s="14" t="n"/>
      <c r="C474" s="123" t="n"/>
      <c r="D474" s="123" t="n"/>
      <c r="E474" s="123" t="n"/>
      <c r="F474" s="123" t="n"/>
      <c r="G474" s="123" t="n"/>
      <c r="I474" s="123" t="n"/>
      <c r="J474" s="123" t="n"/>
      <c r="K474" s="123" t="n"/>
      <c r="L474" s="123" t="n"/>
      <c r="M474" s="123" t="n"/>
      <c r="N474" s="123" t="n"/>
      <c r="O474" s="123" t="n"/>
      <c r="P474" s="123" t="n"/>
      <c r="Q474" s="123" t="n"/>
      <c r="R474" s="123" t="n"/>
      <c r="S474" s="123" t="n"/>
      <c r="T474" s="123" t="n"/>
      <c r="U474" s="123" t="n"/>
      <c r="V474" s="123" t="n"/>
      <c r="W474" s="123" t="n"/>
      <c r="X474" s="123" t="n"/>
      <c r="Y474" s="123" t="n"/>
      <c r="Z474" s="123" t="n"/>
      <c r="AB474" s="123" t="n"/>
      <c r="AC474" s="123" t="n"/>
      <c r="AD474" s="123" t="n"/>
      <c r="AE474" s="123" t="n"/>
      <c r="AF474" s="123" t="n"/>
      <c r="AG474" s="123" t="n"/>
      <c r="AH474" s="123" t="n"/>
      <c r="AI474" s="123" t="n"/>
      <c r="AJ474" s="123" t="n"/>
      <c r="AK474" s="123" t="n"/>
      <c r="AL474" s="123" t="n"/>
      <c r="AM474" s="123" t="n"/>
      <c r="AN474" s="123" t="n"/>
      <c r="AO474" s="123" t="n"/>
      <c r="AP474" s="123" t="n"/>
      <c r="AQ474" s="123" t="n"/>
      <c r="AR474" s="123" t="n"/>
      <c r="AS474" s="123" t="n"/>
    </row>
    <row r="475" hidden="1" outlineLevel="1">
      <c r="A475" s="8" t="n"/>
      <c r="B475" s="14" t="n"/>
      <c r="C475" s="123" t="n"/>
      <c r="D475" s="123" t="n"/>
      <c r="E475" s="123" t="n"/>
      <c r="F475" s="123" t="n"/>
      <c r="G475" s="123" t="n"/>
      <c r="I475" s="55">
        <f>DADOS_INVOC!$ID$4</f>
        <v/>
      </c>
      <c r="J475" s="16" t="n"/>
      <c r="K475" s="16" t="n"/>
      <c r="L475" s="16" t="n"/>
      <c r="M475" s="16" t="n"/>
      <c r="N475" s="16" t="n"/>
      <c r="O475" s="16" t="n"/>
      <c r="P475" s="16" t="n"/>
      <c r="Q475" s="16" t="n"/>
      <c r="R475" s="16" t="n"/>
      <c r="S475" s="16" t="n"/>
      <c r="T475" s="16" t="n"/>
      <c r="U475" s="16" t="n"/>
      <c r="V475" s="16" t="n"/>
      <c r="W475" s="16" t="n"/>
      <c r="X475" s="16" t="n"/>
      <c r="Y475" s="17" t="n"/>
      <c r="Z475" s="123" t="n"/>
      <c r="AB475" s="55">
        <f>DADOS_INVOC!$ID$10</f>
        <v/>
      </c>
      <c r="AC475" s="16" t="n"/>
      <c r="AD475" s="16" t="n"/>
      <c r="AE475" s="16" t="n"/>
      <c r="AF475" s="16" t="n"/>
      <c r="AG475" s="16" t="n"/>
      <c r="AH475" s="16" t="n"/>
      <c r="AI475" s="16" t="n"/>
      <c r="AJ475" s="16" t="n"/>
      <c r="AK475" s="16" t="n"/>
      <c r="AL475" s="16" t="n"/>
      <c r="AM475" s="16" t="n"/>
      <c r="AN475" s="16" t="n"/>
      <c r="AO475" s="16" t="n"/>
      <c r="AP475" s="16" t="n"/>
      <c r="AQ475" s="16" t="n"/>
      <c r="AR475" s="17" t="n"/>
      <c r="AS475" s="123" t="n"/>
    </row>
    <row r="476" hidden="1" outlineLevel="1">
      <c r="A476" s="8" t="n"/>
      <c r="B476" s="14" t="n"/>
      <c r="C476" s="123" t="n"/>
      <c r="D476" s="123" t="n"/>
      <c r="E476" s="123" t="n"/>
      <c r="F476" s="123" t="n"/>
      <c r="G476" s="123" t="n"/>
      <c r="I476" s="55" t="inlineStr">
        <is>
          <t>NV 1 · CE 1</t>
        </is>
      </c>
      <c r="J476" s="133" t="n"/>
      <c r="K476" s="16" t="n"/>
      <c r="L476" s="17" t="n"/>
      <c r="M476" s="140">
        <f>DADOS_INVOC!$IM$4</f>
        <v/>
      </c>
      <c r="N476" s="16" t="n"/>
      <c r="O476" s="16" t="n"/>
      <c r="P476" s="16" t="n"/>
      <c r="Q476" s="16" t="n"/>
      <c r="R476" s="16" t="n"/>
      <c r="S476" s="16" t="n"/>
      <c r="T476" s="16" t="n"/>
      <c r="U476" s="16" t="n"/>
      <c r="V476" s="16" t="n"/>
      <c r="W476" s="16" t="n"/>
      <c r="X476" s="16" t="n"/>
      <c r="Y476" s="17" t="n"/>
      <c r="Z476" s="123" t="n"/>
      <c r="AB476" s="55" t="inlineStr">
        <is>
          <t>NV 1 · CE 1</t>
        </is>
      </c>
      <c r="AC476" s="133" t="n"/>
      <c r="AD476" s="16" t="n"/>
      <c r="AE476" s="17" t="n"/>
      <c r="AF476" s="140">
        <f>DADOS_INVOC!$IM$10</f>
        <v/>
      </c>
      <c r="AG476" s="16" t="n"/>
      <c r="AH476" s="16" t="n"/>
      <c r="AI476" s="16" t="n"/>
      <c r="AJ476" s="16" t="n"/>
      <c r="AK476" s="16" t="n"/>
      <c r="AL476" s="16" t="n"/>
      <c r="AM476" s="16" t="n"/>
      <c r="AN476" s="16" t="n"/>
      <c r="AO476" s="16" t="n"/>
      <c r="AP476" s="16" t="n"/>
      <c r="AQ476" s="16" t="n"/>
      <c r="AR476" s="17" t="n"/>
      <c r="AS476" s="123" t="n"/>
    </row>
    <row r="477" hidden="1" outlineLevel="1">
      <c r="A477" s="8" t="n"/>
      <c r="B477" s="14" t="n"/>
      <c r="C477" s="123" t="n"/>
      <c r="D477" s="123" t="n"/>
      <c r="E477" s="123" t="n"/>
      <c r="F477" s="123" t="n"/>
      <c r="G477" s="123" t="n"/>
      <c r="I477" s="55" t="inlineStr">
        <is>
          <t>NV 6 · CE 1</t>
        </is>
      </c>
      <c r="J477" s="133" t="n"/>
      <c r="K477" s="16" t="n"/>
      <c r="L477" s="17" t="n"/>
      <c r="M477" s="140">
        <f>DADOS_INVOC!$IN$4</f>
        <v/>
      </c>
      <c r="N477" s="16" t="n"/>
      <c r="O477" s="16" t="n"/>
      <c r="P477" s="16" t="n"/>
      <c r="Q477" s="16" t="n"/>
      <c r="R477" s="16" t="n"/>
      <c r="S477" s="16" t="n"/>
      <c r="T477" s="16" t="n"/>
      <c r="U477" s="16" t="n"/>
      <c r="V477" s="16" t="n"/>
      <c r="W477" s="16" t="n"/>
      <c r="X477" s="16" t="n"/>
      <c r="Y477" s="17" t="n"/>
      <c r="Z477" s="123" t="n"/>
      <c r="AB477" s="55" t="inlineStr">
        <is>
          <t>NV 6 · CE 1</t>
        </is>
      </c>
      <c r="AC477" s="133" t="n"/>
      <c r="AD477" s="16" t="n"/>
      <c r="AE477" s="17" t="n"/>
      <c r="AF477" s="140">
        <f>DADOS_INVOC!$IN$10</f>
        <v/>
      </c>
      <c r="AG477" s="16" t="n"/>
      <c r="AH477" s="16" t="n"/>
      <c r="AI477" s="16" t="n"/>
      <c r="AJ477" s="16" t="n"/>
      <c r="AK477" s="16" t="n"/>
      <c r="AL477" s="16" t="n"/>
      <c r="AM477" s="16" t="n"/>
      <c r="AN477" s="16" t="n"/>
      <c r="AO477" s="16" t="n"/>
      <c r="AP477" s="16" t="n"/>
      <c r="AQ477" s="16" t="n"/>
      <c r="AR477" s="17" t="n"/>
      <c r="AS477" s="123" t="n"/>
    </row>
    <row r="478" hidden="1" outlineLevel="1">
      <c r="A478" s="8" t="n"/>
      <c r="B478" s="14" t="n"/>
      <c r="C478" s="123" t="n"/>
      <c r="D478" s="123" t="n"/>
      <c r="E478" s="123" t="n"/>
      <c r="F478" s="123" t="n"/>
      <c r="G478" s="123" t="n"/>
      <c r="I478" s="55" t="inlineStr">
        <is>
          <t>NV 10 · CE 2</t>
        </is>
      </c>
      <c r="J478" s="133" t="n"/>
      <c r="K478" s="16" t="n"/>
      <c r="L478" s="17" t="n"/>
      <c r="M478" s="140">
        <f>DADOS_INVOC!$IO$4</f>
        <v/>
      </c>
      <c r="N478" s="16" t="n"/>
      <c r="O478" s="16" t="n"/>
      <c r="P478" s="16" t="n"/>
      <c r="Q478" s="16" t="n"/>
      <c r="R478" s="16" t="n"/>
      <c r="S478" s="16" t="n"/>
      <c r="T478" s="16" t="n"/>
      <c r="U478" s="16" t="n"/>
      <c r="V478" s="16" t="n"/>
      <c r="W478" s="16" t="n"/>
      <c r="X478" s="16" t="n"/>
      <c r="Y478" s="17" t="n"/>
      <c r="Z478" s="123" t="n"/>
      <c r="AB478" s="55" t="inlineStr">
        <is>
          <t>NV 10 · CE 2</t>
        </is>
      </c>
      <c r="AC478" s="133" t="n"/>
      <c r="AD478" s="16" t="n"/>
      <c r="AE478" s="17" t="n"/>
      <c r="AF478" s="140">
        <f>DADOS_INVOC!$IO$10</f>
        <v/>
      </c>
      <c r="AG478" s="16" t="n"/>
      <c r="AH478" s="16" t="n"/>
      <c r="AI478" s="16" t="n"/>
      <c r="AJ478" s="16" t="n"/>
      <c r="AK478" s="16" t="n"/>
      <c r="AL478" s="16" t="n"/>
      <c r="AM478" s="16" t="n"/>
      <c r="AN478" s="16" t="n"/>
      <c r="AO478" s="16" t="n"/>
      <c r="AP478" s="16" t="n"/>
      <c r="AQ478" s="16" t="n"/>
      <c r="AR478" s="17" t="n"/>
      <c r="AS478" s="123" t="n"/>
    </row>
    <row r="479" hidden="1" outlineLevel="1">
      <c r="A479" s="8" t="n"/>
      <c r="B479" s="14" t="n"/>
      <c r="C479" s="123" t="n"/>
      <c r="D479" s="123" t="n"/>
      <c r="E479" s="123" t="n"/>
      <c r="F479" s="123" t="n"/>
      <c r="G479" s="123" t="n"/>
      <c r="I479" s="55" t="inlineStr">
        <is>
          <t>NV 14 · CE 3</t>
        </is>
      </c>
      <c r="J479" s="133" t="n"/>
      <c r="K479" s="16" t="n"/>
      <c r="L479" s="17" t="n"/>
      <c r="M479" s="140">
        <f>DADOS_INVOC!$IP$4</f>
        <v/>
      </c>
      <c r="N479" s="16" t="n"/>
      <c r="O479" s="16" t="n"/>
      <c r="P479" s="16" t="n"/>
      <c r="Q479" s="16" t="n"/>
      <c r="R479" s="16" t="n"/>
      <c r="S479" s="16" t="n"/>
      <c r="T479" s="16" t="n"/>
      <c r="U479" s="16" t="n"/>
      <c r="V479" s="16" t="n"/>
      <c r="W479" s="16" t="n"/>
      <c r="X479" s="16" t="n"/>
      <c r="Y479" s="17" t="n"/>
      <c r="Z479" s="123" t="n"/>
      <c r="AB479" s="55" t="inlineStr">
        <is>
          <t>NV 14 · CE 3</t>
        </is>
      </c>
      <c r="AC479" s="133" t="n"/>
      <c r="AD479" s="16" t="n"/>
      <c r="AE479" s="17" t="n"/>
      <c r="AF479" s="140">
        <f>DADOS_INVOC!$IP$10</f>
        <v/>
      </c>
      <c r="AG479" s="16" t="n"/>
      <c r="AH479" s="16" t="n"/>
      <c r="AI479" s="16" t="n"/>
      <c r="AJ479" s="16" t="n"/>
      <c r="AK479" s="16" t="n"/>
      <c r="AL479" s="16" t="n"/>
      <c r="AM479" s="16" t="n"/>
      <c r="AN479" s="16" t="n"/>
      <c r="AO479" s="16" t="n"/>
      <c r="AP479" s="16" t="n"/>
      <c r="AQ479" s="16" t="n"/>
      <c r="AR479" s="17" t="n"/>
      <c r="AS479" s="123" t="n"/>
    </row>
    <row r="480" hidden="1" outlineLevel="1">
      <c r="A480" s="8" t="n"/>
      <c r="B480" s="14" t="n"/>
      <c r="C480" s="123" t="n"/>
      <c r="D480" s="123" t="n"/>
      <c r="E480" s="123" t="n"/>
      <c r="F480" s="123" t="n"/>
      <c r="G480" s="123" t="n"/>
      <c r="I480" s="55" t="inlineStr">
        <is>
          <t>NV 18 · CE 3</t>
        </is>
      </c>
      <c r="J480" s="133" t="n"/>
      <c r="K480" s="16" t="n"/>
      <c r="L480" s="17" t="n"/>
      <c r="M480" s="140">
        <f>DADOS_INVOC!$IQ$4</f>
        <v/>
      </c>
      <c r="N480" s="16" t="n"/>
      <c r="O480" s="16" t="n"/>
      <c r="P480" s="16" t="n"/>
      <c r="Q480" s="16" t="n"/>
      <c r="R480" s="16" t="n"/>
      <c r="S480" s="16" t="n"/>
      <c r="T480" s="16" t="n"/>
      <c r="U480" s="16" t="n"/>
      <c r="V480" s="16" t="n"/>
      <c r="W480" s="16" t="n"/>
      <c r="X480" s="16" t="n"/>
      <c r="Y480" s="17" t="n"/>
      <c r="Z480" s="123" t="n"/>
      <c r="AB480" s="55" t="inlineStr">
        <is>
          <t>NV 18 · CE 3</t>
        </is>
      </c>
      <c r="AC480" s="133" t="n"/>
      <c r="AD480" s="16" t="n"/>
      <c r="AE480" s="17" t="n"/>
      <c r="AF480" s="140">
        <f>DADOS_INVOC!$IQ$10</f>
        <v/>
      </c>
      <c r="AG480" s="16" t="n"/>
      <c r="AH480" s="16" t="n"/>
      <c r="AI480" s="16" t="n"/>
      <c r="AJ480" s="16" t="n"/>
      <c r="AK480" s="16" t="n"/>
      <c r="AL480" s="16" t="n"/>
      <c r="AM480" s="16" t="n"/>
      <c r="AN480" s="16" t="n"/>
      <c r="AO480" s="16" t="n"/>
      <c r="AP480" s="16" t="n"/>
      <c r="AQ480" s="16" t="n"/>
      <c r="AR480" s="17" t="n"/>
      <c r="AS480" s="123" t="n"/>
    </row>
    <row r="481" hidden="1" outlineLevel="1">
      <c r="A481" s="8" t="n"/>
      <c r="B481" s="14" t="n"/>
      <c r="C481" s="123" t="n"/>
      <c r="D481" s="123" t="n"/>
      <c r="E481" s="123" t="n"/>
      <c r="F481" s="123" t="n"/>
      <c r="G481" s="123" t="n"/>
      <c r="I481" s="55" t="inlineStr">
        <is>
          <t>NV 22 · CE 3</t>
        </is>
      </c>
      <c r="J481" s="133" t="n"/>
      <c r="K481" s="16" t="n"/>
      <c r="L481" s="17" t="n"/>
      <c r="M481" s="140">
        <f>DADOS_INVOC!$IR$4</f>
        <v/>
      </c>
      <c r="N481" s="16" t="n"/>
      <c r="O481" s="16" t="n"/>
      <c r="P481" s="16" t="n"/>
      <c r="Q481" s="16" t="n"/>
      <c r="R481" s="16" t="n"/>
      <c r="S481" s="16" t="n"/>
      <c r="T481" s="16" t="n"/>
      <c r="U481" s="16" t="n"/>
      <c r="V481" s="16" t="n"/>
      <c r="W481" s="16" t="n"/>
      <c r="X481" s="16" t="n"/>
      <c r="Y481" s="17" t="n"/>
      <c r="Z481" s="123" t="n"/>
      <c r="AB481" s="55" t="inlineStr">
        <is>
          <t>NV 22 · CE 3</t>
        </is>
      </c>
      <c r="AC481" s="133" t="n"/>
      <c r="AD481" s="16" t="n"/>
      <c r="AE481" s="17" t="n"/>
      <c r="AF481" s="140">
        <f>DADOS_INVOC!$IR$10</f>
        <v/>
      </c>
      <c r="AG481" s="16" t="n"/>
      <c r="AH481" s="16" t="n"/>
      <c r="AI481" s="16" t="n"/>
      <c r="AJ481" s="16" t="n"/>
      <c r="AK481" s="16" t="n"/>
      <c r="AL481" s="16" t="n"/>
      <c r="AM481" s="16" t="n"/>
      <c r="AN481" s="16" t="n"/>
      <c r="AO481" s="16" t="n"/>
      <c r="AP481" s="16" t="n"/>
      <c r="AQ481" s="16" t="n"/>
      <c r="AR481" s="17" t="n"/>
      <c r="AS481" s="123" t="n"/>
    </row>
    <row r="482" hidden="1" outlineLevel="1">
      <c r="A482" s="8" t="n"/>
      <c r="B482" s="14" t="n"/>
      <c r="C482" s="123" t="n"/>
      <c r="D482" s="123" t="n"/>
      <c r="E482" s="123" t="n"/>
      <c r="F482" s="123" t="n"/>
      <c r="G482" s="123" t="n"/>
      <c r="I482" s="55" t="inlineStr">
        <is>
          <t>NV 26 · CE 3</t>
        </is>
      </c>
      <c r="J482" s="133" t="n"/>
      <c r="K482" s="16" t="n"/>
      <c r="L482" s="17" t="n"/>
      <c r="M482" s="140">
        <f>DADOS_INVOC!$IS$4</f>
        <v/>
      </c>
      <c r="N482" s="16" t="n"/>
      <c r="O482" s="16" t="n"/>
      <c r="P482" s="16" t="n"/>
      <c r="Q482" s="16" t="n"/>
      <c r="R482" s="16" t="n"/>
      <c r="S482" s="16" t="n"/>
      <c r="T482" s="16" t="n"/>
      <c r="U482" s="16" t="n"/>
      <c r="V482" s="16" t="n"/>
      <c r="W482" s="16" t="n"/>
      <c r="X482" s="16" t="n"/>
      <c r="Y482" s="17" t="n"/>
      <c r="Z482" s="123" t="n"/>
      <c r="AB482" s="55" t="inlineStr">
        <is>
          <t>NV 26 · CE 3</t>
        </is>
      </c>
      <c r="AC482" s="133" t="n"/>
      <c r="AD482" s="16" t="n"/>
      <c r="AE482" s="17" t="n"/>
      <c r="AF482" s="140">
        <f>DADOS_INVOC!$IS$10</f>
        <v/>
      </c>
      <c r="AG482" s="16" t="n"/>
      <c r="AH482" s="16" t="n"/>
      <c r="AI482" s="16" t="n"/>
      <c r="AJ482" s="16" t="n"/>
      <c r="AK482" s="16" t="n"/>
      <c r="AL482" s="16" t="n"/>
      <c r="AM482" s="16" t="n"/>
      <c r="AN482" s="16" t="n"/>
      <c r="AO482" s="16" t="n"/>
      <c r="AP482" s="16" t="n"/>
      <c r="AQ482" s="16" t="n"/>
      <c r="AR482" s="17" t="n"/>
      <c r="AS482" s="123" t="n"/>
    </row>
    <row r="483" hidden="1" outlineLevel="1">
      <c r="A483" s="8" t="n"/>
      <c r="B483" s="14" t="n"/>
      <c r="C483" s="123" t="n"/>
      <c r="D483" s="123" t="n"/>
      <c r="E483" s="123" t="n"/>
      <c r="F483" s="123" t="n"/>
      <c r="G483" s="123" t="n"/>
      <c r="I483" s="55" t="inlineStr">
        <is>
          <t>NV 30 · CE 3</t>
        </is>
      </c>
      <c r="J483" s="133" t="n"/>
      <c r="K483" s="16" t="n"/>
      <c r="L483" s="17" t="n"/>
      <c r="M483" s="140">
        <f>DADOS_INVOC!$IT$4</f>
        <v/>
      </c>
      <c r="N483" s="16" t="n"/>
      <c r="O483" s="16" t="n"/>
      <c r="P483" s="16" t="n"/>
      <c r="Q483" s="16" t="n"/>
      <c r="R483" s="16" t="n"/>
      <c r="S483" s="16" t="n"/>
      <c r="T483" s="16" t="n"/>
      <c r="U483" s="16" t="n"/>
      <c r="V483" s="16" t="n"/>
      <c r="W483" s="16" t="n"/>
      <c r="X483" s="16" t="n"/>
      <c r="Y483" s="17" t="n"/>
      <c r="Z483" s="123" t="n"/>
      <c r="AB483" s="55" t="inlineStr">
        <is>
          <t>NV 30 · CE 3</t>
        </is>
      </c>
      <c r="AC483" s="133" t="n"/>
      <c r="AD483" s="16" t="n"/>
      <c r="AE483" s="17" t="n"/>
      <c r="AF483" s="140">
        <f>DADOS_INVOC!$IT$10</f>
        <v/>
      </c>
      <c r="AG483" s="16" t="n"/>
      <c r="AH483" s="16" t="n"/>
      <c r="AI483" s="16" t="n"/>
      <c r="AJ483" s="16" t="n"/>
      <c r="AK483" s="16" t="n"/>
      <c r="AL483" s="16" t="n"/>
      <c r="AM483" s="16" t="n"/>
      <c r="AN483" s="16" t="n"/>
      <c r="AO483" s="16" t="n"/>
      <c r="AP483" s="16" t="n"/>
      <c r="AQ483" s="16" t="n"/>
      <c r="AR483" s="17" t="n"/>
      <c r="AS483" s="123" t="n"/>
    </row>
    <row r="484" hidden="1" outlineLevel="1">
      <c r="A484" s="8" t="n"/>
      <c r="B484" s="14" t="n"/>
      <c r="C484" s="123" t="n"/>
      <c r="D484" s="123" t="n"/>
      <c r="E484" s="123" t="n"/>
      <c r="F484" s="123" t="n"/>
      <c r="G484" s="123" t="n"/>
      <c r="I484" s="123" t="n"/>
      <c r="J484" s="123" t="n"/>
      <c r="K484" s="123" t="n"/>
      <c r="L484" s="123" t="n"/>
      <c r="M484" s="123" t="n"/>
      <c r="N484" s="123" t="n"/>
      <c r="O484" s="123" t="n"/>
      <c r="P484" s="123" t="n"/>
      <c r="Q484" s="123" t="n"/>
      <c r="R484" s="123" t="n"/>
      <c r="S484" s="123" t="n"/>
      <c r="T484" s="123" t="n"/>
      <c r="U484" s="123" t="n"/>
      <c r="V484" s="123" t="n"/>
      <c r="W484" s="123" t="n"/>
      <c r="X484" s="123" t="n"/>
      <c r="Y484" s="123" t="n"/>
      <c r="Z484" s="123" t="n"/>
      <c r="AB484" s="123" t="n"/>
      <c r="AC484" s="123" t="n"/>
      <c r="AD484" s="123" t="n"/>
      <c r="AE484" s="123" t="n"/>
      <c r="AF484" s="123" t="n"/>
      <c r="AG484" s="123" t="n"/>
      <c r="AH484" s="123" t="n"/>
      <c r="AI484" s="123" t="n"/>
      <c r="AJ484" s="123" t="n"/>
      <c r="AK484" s="123" t="n"/>
      <c r="AL484" s="123" t="n"/>
      <c r="AM484" s="123" t="n"/>
      <c r="AN484" s="123" t="n"/>
      <c r="AO484" s="123" t="n"/>
      <c r="AP484" s="123" t="n"/>
      <c r="AQ484" s="123" t="n"/>
      <c r="AR484" s="123" t="n"/>
      <c r="AS484" s="123" t="n"/>
    </row>
    <row r="485" hidden="1" outlineLevel="1">
      <c r="A485" s="8" t="n"/>
      <c r="B485" s="14" t="n"/>
      <c r="C485" s="123" t="n"/>
      <c r="D485" s="123" t="n"/>
      <c r="E485" s="123" t="n"/>
      <c r="F485" s="123" t="n"/>
      <c r="G485" s="123" t="n"/>
      <c r="I485" s="136"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23" t="n"/>
      <c r="AB485" s="136"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23" t="n"/>
    </row>
    <row r="486" hidden="1" outlineLevel="2">
      <c r="A486" s="8" t="n"/>
      <c r="B486" s="14" t="n"/>
      <c r="C486" s="123" t="n"/>
      <c r="D486" s="123" t="n"/>
      <c r="E486" s="123" t="n"/>
      <c r="F486" s="123" t="n"/>
      <c r="G486" s="123" t="n"/>
      <c r="I486" s="123" t="n"/>
      <c r="J486" s="123" t="n"/>
      <c r="K486" s="123" t="n"/>
      <c r="L486" s="123" t="n"/>
      <c r="M486" s="123" t="n"/>
      <c r="N486" s="123" t="n"/>
      <c r="O486" s="123" t="n"/>
      <c r="P486" s="123" t="n"/>
      <c r="Q486" s="123" t="n"/>
      <c r="R486" s="123" t="n"/>
      <c r="S486" s="123" t="n"/>
      <c r="T486" s="123" t="n"/>
      <c r="U486" s="123" t="n"/>
      <c r="V486" s="123" t="n"/>
      <c r="W486" s="123" t="n"/>
      <c r="X486" s="123" t="n"/>
      <c r="Y486" s="123" t="n"/>
      <c r="Z486" s="123" t="n"/>
      <c r="AB486" s="123" t="n"/>
      <c r="AC486" s="123" t="n"/>
      <c r="AD486" s="123" t="n"/>
      <c r="AE486" s="123" t="n"/>
      <c r="AF486" s="123" t="n"/>
      <c r="AG486" s="123" t="n"/>
      <c r="AH486" s="123" t="n"/>
      <c r="AI486" s="123" t="n"/>
      <c r="AJ486" s="123" t="n"/>
      <c r="AK486" s="123" t="n"/>
      <c r="AL486" s="123" t="n"/>
      <c r="AM486" s="123" t="n"/>
      <c r="AN486" s="123" t="n"/>
      <c r="AO486" s="123" t="n"/>
      <c r="AP486" s="123" t="n"/>
      <c r="AQ486" s="123" t="n"/>
      <c r="AR486" s="123" t="n"/>
      <c r="AS486" s="123" t="n"/>
    </row>
    <row r="487" hidden="1" outlineLevel="2">
      <c r="A487" s="8" t="n"/>
      <c r="B487" s="14" t="n"/>
      <c r="C487" s="123" t="n"/>
      <c r="D487" s="123" t="n"/>
      <c r="E487" s="123" t="n"/>
      <c r="F487" s="123" t="n"/>
      <c r="G487" s="123" t="n"/>
      <c r="I487" s="55">
        <f>DADOS_INVOC!$PX$31</f>
        <v/>
      </c>
      <c r="J487" s="16" t="n"/>
      <c r="K487" s="16" t="n"/>
      <c r="L487" s="16" t="n"/>
      <c r="M487" s="17" t="n"/>
      <c r="N487" s="123" t="n"/>
      <c r="O487" s="55">
        <f>DADOS_INVOC!$PX$32</f>
        <v/>
      </c>
      <c r="P487" s="16" t="n"/>
      <c r="Q487" s="16" t="n"/>
      <c r="R487" s="16" t="n"/>
      <c r="S487" s="17" t="n"/>
      <c r="T487" s="123" t="n"/>
      <c r="U487" s="55">
        <f>DADOS_INVOC!$PX$33</f>
        <v/>
      </c>
      <c r="V487" s="16" t="n"/>
      <c r="W487" s="16" t="n"/>
      <c r="X487" s="16" t="n"/>
      <c r="Y487" s="17" t="n"/>
      <c r="Z487" s="123" t="n"/>
      <c r="AB487" s="55">
        <f>DADOS_INVOC!$PX$109</f>
        <v/>
      </c>
      <c r="AC487" s="16" t="n"/>
      <c r="AD487" s="16" t="n"/>
      <c r="AE487" s="16" t="n"/>
      <c r="AF487" s="17" t="n"/>
      <c r="AG487" s="123" t="n"/>
      <c r="AH487" s="55">
        <f>DADOS_INVOC!$PX$110</f>
        <v/>
      </c>
      <c r="AI487" s="16" t="n"/>
      <c r="AJ487" s="16" t="n"/>
      <c r="AK487" s="16" t="n"/>
      <c r="AL487" s="17" t="n"/>
      <c r="AM487" s="123" t="n"/>
      <c r="AN487" s="55">
        <f>DADOS_INVOC!$PX$111</f>
        <v/>
      </c>
      <c r="AO487" s="16" t="n"/>
      <c r="AP487" s="16" t="n"/>
      <c r="AQ487" s="16" t="n"/>
      <c r="AR487" s="17" t="n"/>
      <c r="AS487" s="123" t="n"/>
    </row>
    <row r="488" hidden="1" outlineLevel="2">
      <c r="A488" s="8" t="n"/>
      <c r="B488" s="14" t="n"/>
      <c r="C488" s="123" t="n"/>
      <c r="D488" s="123" t="n"/>
      <c r="E488" s="123" t="n"/>
      <c r="F488" s="123" t="n"/>
      <c r="G488" s="123" t="n"/>
      <c r="I488" s="130" t="n">
        <v>0</v>
      </c>
      <c r="J488" s="118" t="n"/>
      <c r="K488" s="16" t="n"/>
      <c r="L488" s="17" t="n"/>
      <c r="M488" s="131">
        <f>DADOS_INVOC!$PV$31</f>
        <v/>
      </c>
      <c r="N488" s="123" t="n"/>
      <c r="O488" s="130" t="n">
        <v>1</v>
      </c>
      <c r="P488" s="118" t="n"/>
      <c r="Q488" s="16" t="n"/>
      <c r="R488" s="17" t="n"/>
      <c r="S488" s="131">
        <f>DADOS_INVOC!$PV$32</f>
        <v/>
      </c>
      <c r="T488" s="123" t="n"/>
      <c r="U488" s="130" t="n">
        <v>1</v>
      </c>
      <c r="V488" s="118" t="n"/>
      <c r="W488" s="16" t="n"/>
      <c r="X488" s="17" t="n"/>
      <c r="Y488" s="131">
        <f>DADOS_INVOC!$PV$33</f>
        <v/>
      </c>
      <c r="Z488" s="123" t="n"/>
      <c r="AB488" s="130" t="n">
        <v>0</v>
      </c>
      <c r="AC488" s="118" t="n"/>
      <c r="AD488" s="16" t="n"/>
      <c r="AE488" s="17" t="n"/>
      <c r="AF488" s="131">
        <f>DADOS_INVOC!$PV$109</f>
        <v/>
      </c>
      <c r="AG488" s="123" t="n"/>
      <c r="AH488" s="130" t="n">
        <v>1</v>
      </c>
      <c r="AI488" s="118" t="n"/>
      <c r="AJ488" s="16" t="n"/>
      <c r="AK488" s="17" t="n"/>
      <c r="AL488" s="131">
        <f>DADOS_INVOC!$PV$110</f>
        <v/>
      </c>
      <c r="AM488" s="123" t="n"/>
      <c r="AN488" s="130" t="n">
        <v>1</v>
      </c>
      <c r="AO488" s="118" t="n"/>
      <c r="AP488" s="16" t="n"/>
      <c r="AQ488" s="17" t="n"/>
      <c r="AR488" s="131">
        <f>DADOS_INVOC!$PV$111</f>
        <v/>
      </c>
      <c r="AS488" s="123" t="n"/>
    </row>
    <row r="489" hidden="1" outlineLevel="3">
      <c r="A489" s="8" t="n"/>
      <c r="B489" s="14" t="n"/>
      <c r="C489" s="123" t="n"/>
      <c r="D489" s="123" t="n"/>
      <c r="E489" s="123" t="n"/>
      <c r="F489" s="123" t="n"/>
      <c r="G489" s="123" t="n"/>
      <c r="I489" s="55" t="inlineStr">
        <is>
          <t>COMO É</t>
        </is>
      </c>
      <c r="J489" s="16" t="n"/>
      <c r="K489" s="16" t="n"/>
      <c r="L489" s="16" t="n"/>
      <c r="M489" s="17" t="n"/>
      <c r="N489" s="123" t="n"/>
      <c r="O489" s="55" t="inlineStr">
        <is>
          <t>COMO É</t>
        </is>
      </c>
      <c r="P489" s="16" t="n"/>
      <c r="Q489" s="16" t="n"/>
      <c r="R489" s="16" t="n"/>
      <c r="S489" s="17" t="n"/>
      <c r="T489" s="123" t="n"/>
      <c r="U489" s="55" t="inlineStr">
        <is>
          <t>COMO É</t>
        </is>
      </c>
      <c r="V489" s="16" t="n"/>
      <c r="W489" s="16" t="n"/>
      <c r="X489" s="16" t="n"/>
      <c r="Y489" s="17" t="n"/>
      <c r="Z489" s="123" t="n"/>
      <c r="AB489" s="55" t="inlineStr">
        <is>
          <t>COMO É</t>
        </is>
      </c>
      <c r="AC489" s="16" t="n"/>
      <c r="AD489" s="16" t="n"/>
      <c r="AE489" s="16" t="n"/>
      <c r="AF489" s="17" t="n"/>
      <c r="AG489" s="123" t="n"/>
      <c r="AH489" s="55" t="inlineStr">
        <is>
          <t>COMO É</t>
        </is>
      </c>
      <c r="AI489" s="16" t="n"/>
      <c r="AJ489" s="16" t="n"/>
      <c r="AK489" s="16" t="n"/>
      <c r="AL489" s="17" t="n"/>
      <c r="AM489" s="123" t="n"/>
      <c r="AN489" s="55" t="inlineStr">
        <is>
          <t>COMO É</t>
        </is>
      </c>
      <c r="AO489" s="16" t="n"/>
      <c r="AP489" s="16" t="n"/>
      <c r="AQ489" s="16" t="n"/>
      <c r="AR489" s="17" t="n"/>
      <c r="AS489" s="123" t="n"/>
    </row>
    <row r="490" hidden="1" outlineLevel="3">
      <c r="A490" s="8" t="n"/>
      <c r="B490" s="14" t="n"/>
      <c r="C490" s="123" t="n"/>
      <c r="D490" s="123" t="n"/>
      <c r="E490" s="123" t="n"/>
      <c r="F490" s="123" t="n"/>
      <c r="G490" s="123" t="n"/>
      <c r="I490" s="119" t="n"/>
      <c r="J490" s="19" t="n"/>
      <c r="K490" s="19" t="n"/>
      <c r="L490" s="19" t="n"/>
      <c r="M490" s="20" t="n"/>
      <c r="N490" s="123" t="n"/>
      <c r="O490" s="119" t="n"/>
      <c r="P490" s="19" t="n"/>
      <c r="Q490" s="19" t="n"/>
      <c r="R490" s="19" t="n"/>
      <c r="S490" s="20" t="n"/>
      <c r="T490" s="123" t="n"/>
      <c r="U490" s="119" t="n"/>
      <c r="V490" s="19" t="n"/>
      <c r="W490" s="19" t="n"/>
      <c r="X490" s="19" t="n"/>
      <c r="Y490" s="20" t="n"/>
      <c r="Z490" s="123" t="n"/>
      <c r="AB490" s="119" t="n"/>
      <c r="AC490" s="19" t="n"/>
      <c r="AD490" s="19" t="n"/>
      <c r="AE490" s="19" t="n"/>
      <c r="AF490" s="20" t="n"/>
      <c r="AG490" s="123" t="n"/>
      <c r="AH490" s="119" t="n"/>
      <c r="AI490" s="19" t="n"/>
      <c r="AJ490" s="19" t="n"/>
      <c r="AK490" s="19" t="n"/>
      <c r="AL490" s="20" t="n"/>
      <c r="AM490" s="123" t="n"/>
      <c r="AN490" s="119" t="n"/>
      <c r="AO490" s="19" t="n"/>
      <c r="AP490" s="19" t="n"/>
      <c r="AQ490" s="19" t="n"/>
      <c r="AR490" s="20" t="n"/>
      <c r="AS490" s="123" t="n"/>
    </row>
    <row r="491" hidden="1" outlineLevel="3">
      <c r="A491" s="8" t="n"/>
      <c r="B491" s="14" t="n"/>
      <c r="C491" s="123" t="n"/>
      <c r="D491" s="123" t="n"/>
      <c r="E491" s="123" t="n"/>
      <c r="F491" s="123" t="n"/>
      <c r="G491" s="123" t="n"/>
      <c r="I491" s="21" t="n"/>
      <c r="M491" s="22" t="n"/>
      <c r="N491" s="123" t="n"/>
      <c r="O491" s="21" t="n"/>
      <c r="S491" s="22" t="n"/>
      <c r="T491" s="123" t="n"/>
      <c r="U491" s="21" t="n"/>
      <c r="Y491" s="22" t="n"/>
      <c r="Z491" s="123" t="n"/>
      <c r="AB491" s="21" t="n"/>
      <c r="AF491" s="22" t="n"/>
      <c r="AG491" s="123" t="n"/>
      <c r="AH491" s="21" t="n"/>
      <c r="AL491" s="22" t="n"/>
      <c r="AM491" s="123" t="n"/>
      <c r="AN491" s="21" t="n"/>
      <c r="AR491" s="22" t="n"/>
      <c r="AS491" s="123" t="n"/>
    </row>
    <row r="492" hidden="1" outlineLevel="3">
      <c r="A492" s="8" t="n"/>
      <c r="B492" s="14" t="n"/>
      <c r="C492" s="123" t="n"/>
      <c r="D492" s="123" t="n"/>
      <c r="E492" s="123" t="n"/>
      <c r="F492" s="123" t="n"/>
      <c r="G492" s="123" t="n"/>
      <c r="I492" s="23" t="n"/>
      <c r="J492" s="24" t="n"/>
      <c r="K492" s="24" t="n"/>
      <c r="L492" s="24" t="n"/>
      <c r="M492" s="25" t="n"/>
      <c r="N492" s="123" t="n"/>
      <c r="O492" s="23" t="n"/>
      <c r="P492" s="24" t="n"/>
      <c r="Q492" s="24" t="n"/>
      <c r="R492" s="24" t="n"/>
      <c r="S492" s="25" t="n"/>
      <c r="T492" s="123" t="n"/>
      <c r="U492" s="23" t="n"/>
      <c r="V492" s="24" t="n"/>
      <c r="W492" s="24" t="n"/>
      <c r="X492" s="24" t="n"/>
      <c r="Y492" s="25" t="n"/>
      <c r="Z492" s="123" t="n"/>
      <c r="AB492" s="23" t="n"/>
      <c r="AC492" s="24" t="n"/>
      <c r="AD492" s="24" t="n"/>
      <c r="AE492" s="24" t="n"/>
      <c r="AF492" s="25" t="n"/>
      <c r="AG492" s="123" t="n"/>
      <c r="AH492" s="23" t="n"/>
      <c r="AI492" s="24" t="n"/>
      <c r="AJ492" s="24" t="n"/>
      <c r="AK492" s="24" t="n"/>
      <c r="AL492" s="25" t="n"/>
      <c r="AM492" s="123" t="n"/>
      <c r="AN492" s="23" t="n"/>
      <c r="AO492" s="24" t="n"/>
      <c r="AP492" s="24" t="n"/>
      <c r="AQ492" s="24" t="n"/>
      <c r="AR492" s="25" t="n"/>
      <c r="AS492" s="123" t="n"/>
    </row>
    <row r="493" hidden="1" outlineLevel="2">
      <c r="A493" s="8" t="n"/>
      <c r="B493" s="14" t="n"/>
      <c r="C493" s="123" t="n"/>
      <c r="D493" s="123" t="n"/>
      <c r="E493" s="123" t="n"/>
      <c r="F493" s="123" t="n"/>
      <c r="G493" s="123" t="n"/>
      <c r="I493" s="127" t="inlineStr">
        <is>
          <t>Projétil</t>
        </is>
      </c>
      <c r="J493" s="17" t="n"/>
      <c r="K493" s="68">
        <f>DADOS_INVOC!$QC$31</f>
        <v/>
      </c>
      <c r="L493" s="17" t="n"/>
      <c r="M493" s="68">
        <f>DADOS_INVOC!$PY$31</f>
        <v/>
      </c>
      <c r="N493" s="123" t="n"/>
      <c r="O493" s="127" t="inlineStr">
        <is>
          <t>Projétil</t>
        </is>
      </c>
      <c r="P493" s="17" t="n"/>
      <c r="Q493" s="68">
        <f>DADOS_INVOC!$QC$32</f>
        <v/>
      </c>
      <c r="R493" s="17" t="n"/>
      <c r="S493" s="68">
        <f>DADOS_INVOC!$PY$32</f>
        <v/>
      </c>
      <c r="T493" s="123" t="n"/>
      <c r="U493" s="127" t="inlineStr">
        <is>
          <t>Projétil</t>
        </is>
      </c>
      <c r="V493" s="17" t="n"/>
      <c r="W493" s="68">
        <f>DADOS_INVOC!$QC$33</f>
        <v/>
      </c>
      <c r="X493" s="17" t="n"/>
      <c r="Y493" s="68">
        <f>DADOS_INVOC!$PY$33</f>
        <v/>
      </c>
      <c r="Z493" s="123" t="n"/>
      <c r="AB493" s="127" t="inlineStr">
        <is>
          <t>Projétil</t>
        </is>
      </c>
      <c r="AC493" s="17" t="n"/>
      <c r="AD493" s="68">
        <f>DADOS_INVOC!$QC$109</f>
        <v/>
      </c>
      <c r="AE493" s="17" t="n"/>
      <c r="AF493" s="68">
        <f>DADOS_INVOC!$PY$109</f>
        <v/>
      </c>
      <c r="AG493" s="123" t="n"/>
      <c r="AH493" s="127" t="inlineStr">
        <is>
          <t>Projétil</t>
        </is>
      </c>
      <c r="AI493" s="17" t="n"/>
      <c r="AJ493" s="68">
        <f>DADOS_INVOC!$QC$110</f>
        <v/>
      </c>
      <c r="AK493" s="17" t="n"/>
      <c r="AL493" s="68">
        <f>DADOS_INVOC!$PY$110</f>
        <v/>
      </c>
      <c r="AM493" s="123" t="n"/>
      <c r="AN493" s="127" t="inlineStr">
        <is>
          <t>Projétil</t>
        </is>
      </c>
      <c r="AO493" s="17" t="n"/>
      <c r="AP493" s="68">
        <f>DADOS_INVOC!$QC$111</f>
        <v/>
      </c>
      <c r="AQ493" s="17" t="n"/>
      <c r="AR493" s="68">
        <f>DADOS_INVOC!$PY$111</f>
        <v/>
      </c>
      <c r="AS493" s="123" t="n"/>
    </row>
    <row r="494" hidden="1" outlineLevel="2">
      <c r="A494" s="8" t="n"/>
      <c r="B494" s="14" t="n"/>
      <c r="C494" s="123" t="n"/>
      <c r="D494" s="123" t="n"/>
      <c r="E494" s="123" t="n"/>
      <c r="F494" s="123" t="n"/>
      <c r="G494" s="123" t="n"/>
      <c r="I494" s="127" t="n"/>
      <c r="J494" s="17" t="n"/>
      <c r="K494" s="127" t="n"/>
      <c r="L494" s="16" t="n"/>
      <c r="M494" s="17" t="n"/>
      <c r="N494" s="123" t="n"/>
      <c r="O494" s="127" t="n"/>
      <c r="P494" s="17" t="n"/>
      <c r="Q494" s="127" t="n"/>
      <c r="R494" s="16" t="n"/>
      <c r="S494" s="17" t="n"/>
      <c r="T494" s="123" t="n"/>
      <c r="U494" s="127" t="n"/>
      <c r="V494" s="17" t="n"/>
      <c r="W494" s="127" t="n"/>
      <c r="X494" s="16" t="n"/>
      <c r="Y494" s="17" t="n"/>
      <c r="Z494" s="123" t="n"/>
      <c r="AB494" s="127" t="n"/>
      <c r="AC494" s="17" t="n"/>
      <c r="AD494" s="127" t="n"/>
      <c r="AE494" s="16" t="n"/>
      <c r="AF494" s="17" t="n"/>
      <c r="AG494" s="123" t="n"/>
      <c r="AH494" s="127" t="n"/>
      <c r="AI494" s="17" t="n"/>
      <c r="AJ494" s="127" t="n"/>
      <c r="AK494" s="16" t="n"/>
      <c r="AL494" s="17" t="n"/>
      <c r="AM494" s="123" t="n"/>
      <c r="AN494" s="127" t="n"/>
      <c r="AO494" s="17" t="n"/>
      <c r="AP494" s="127" t="n"/>
      <c r="AQ494" s="16" t="n"/>
      <c r="AR494" s="17" t="n"/>
      <c r="AS494" s="123" t="n"/>
    </row>
    <row r="495" hidden="1" outlineLevel="2">
      <c r="A495" s="8" t="n"/>
      <c r="B495" s="14" t="n"/>
      <c r="C495" s="123" t="n"/>
      <c r="D495" s="123" t="n"/>
      <c r="E495" s="123" t="n"/>
      <c r="F495" s="123" t="n"/>
      <c r="G495" s="123" t="n"/>
      <c r="I495" s="127">
        <f>DADOS_INVOC!$PZ$31</f>
        <v/>
      </c>
      <c r="J495" s="17" t="n"/>
      <c r="K495" s="127">
        <f>DADOS_INVOC!$QB$31</f>
        <v/>
      </c>
      <c r="L495" s="16" t="n"/>
      <c r="M495" s="17" t="n"/>
      <c r="N495" s="123" t="n"/>
      <c r="O495" s="127">
        <f>DADOS_INVOC!$PZ$32</f>
        <v/>
      </c>
      <c r="P495" s="17" t="n"/>
      <c r="Q495" s="127">
        <f>DADOS_INVOC!$QB$32</f>
        <v/>
      </c>
      <c r="R495" s="16" t="n"/>
      <c r="S495" s="17" t="n"/>
      <c r="T495" s="123" t="n"/>
      <c r="U495" s="127">
        <f>DADOS_INVOC!$PZ$33</f>
        <v/>
      </c>
      <c r="V495" s="17" t="n"/>
      <c r="W495" s="127">
        <f>DADOS_INVOC!$QB$33</f>
        <v/>
      </c>
      <c r="X495" s="16" t="n"/>
      <c r="Y495" s="17" t="n"/>
      <c r="Z495" s="123" t="n"/>
      <c r="AB495" s="127">
        <f>DADOS_INVOC!$PZ$109</f>
        <v/>
      </c>
      <c r="AC495" s="17" t="n"/>
      <c r="AD495" s="127">
        <f>DADOS_INVOC!$QB$109</f>
        <v/>
      </c>
      <c r="AE495" s="16" t="n"/>
      <c r="AF495" s="17" t="n"/>
      <c r="AG495" s="123" t="n"/>
      <c r="AH495" s="127">
        <f>DADOS_INVOC!$PZ$110</f>
        <v/>
      </c>
      <c r="AI495" s="17" t="n"/>
      <c r="AJ495" s="127">
        <f>DADOS_INVOC!$QB$110</f>
        <v/>
      </c>
      <c r="AK495" s="16" t="n"/>
      <c r="AL495" s="17" t="n"/>
      <c r="AM495" s="123" t="n"/>
      <c r="AN495" s="127">
        <f>DADOS_INVOC!$PZ$111</f>
        <v/>
      </c>
      <c r="AO495" s="17" t="n"/>
      <c r="AP495" s="127">
        <f>DADOS_INVOC!$QB$111</f>
        <v/>
      </c>
      <c r="AQ495" s="16" t="n"/>
      <c r="AR495" s="17" t="n"/>
      <c r="AS495" s="123" t="n"/>
    </row>
    <row r="496" hidden="1" outlineLevel="2">
      <c r="A496" s="8" t="n"/>
      <c r="B496" s="14" t="n"/>
      <c r="C496" s="123" t="n"/>
      <c r="D496" s="123" t="n"/>
      <c r="E496" s="123" t="n"/>
      <c r="F496" s="123" t="n"/>
      <c r="G496" s="123" t="n"/>
      <c r="I496" s="132">
        <f>DADOS_INVOC!$QH$31</f>
        <v/>
      </c>
      <c r="J496" s="16" t="n"/>
      <c r="K496" s="16" t="n"/>
      <c r="L496" s="16" t="n"/>
      <c r="M496" s="17" t="n"/>
      <c r="N496" s="123" t="n"/>
      <c r="O496" s="132">
        <f>DADOS_INVOC!$QH$32</f>
        <v/>
      </c>
      <c r="P496" s="16" t="n"/>
      <c r="Q496" s="16" t="n"/>
      <c r="R496" s="16" t="n"/>
      <c r="S496" s="17" t="n"/>
      <c r="T496" s="123" t="n"/>
      <c r="U496" s="132">
        <f>DADOS_INVOC!$QH$33</f>
        <v/>
      </c>
      <c r="V496" s="16" t="n"/>
      <c r="W496" s="16" t="n"/>
      <c r="X496" s="16" t="n"/>
      <c r="Y496" s="17" t="n"/>
      <c r="Z496" s="123" t="n"/>
      <c r="AB496" s="132">
        <f>DADOS_INVOC!$QH$109</f>
        <v/>
      </c>
      <c r="AC496" s="16" t="n"/>
      <c r="AD496" s="16" t="n"/>
      <c r="AE496" s="16" t="n"/>
      <c r="AF496" s="17" t="n"/>
      <c r="AG496" s="123" t="n"/>
      <c r="AH496" s="132">
        <f>DADOS_INVOC!$QH$110</f>
        <v/>
      </c>
      <c r="AI496" s="16" t="n"/>
      <c r="AJ496" s="16" t="n"/>
      <c r="AK496" s="16" t="n"/>
      <c r="AL496" s="17" t="n"/>
      <c r="AM496" s="123" t="n"/>
      <c r="AN496" s="132">
        <f>DADOS_INVOC!$QH$111</f>
        <v/>
      </c>
      <c r="AO496" s="16" t="n"/>
      <c r="AP496" s="16" t="n"/>
      <c r="AQ496" s="16" t="n"/>
      <c r="AR496" s="17" t="n"/>
      <c r="AS496" s="123" t="n"/>
    </row>
    <row r="497" hidden="1" outlineLevel="3">
      <c r="A497" s="8" t="n"/>
      <c r="B497" s="14" t="n"/>
      <c r="C497" s="123" t="n"/>
      <c r="D497" s="123" t="n"/>
      <c r="E497" s="123" t="n"/>
      <c r="F497" s="123" t="n"/>
      <c r="G497" s="123" t="n"/>
      <c r="I497" s="55" t="inlineStr">
        <is>
          <t>MELHORIAS</t>
        </is>
      </c>
      <c r="J497" s="133" t="n"/>
      <c r="K497" s="16" t="n"/>
      <c r="L497" s="17" t="n"/>
      <c r="M497" s="132">
        <f>DADOS_INVOC!$QK$31</f>
        <v/>
      </c>
      <c r="N497" s="123" t="n"/>
      <c r="O497" s="55" t="inlineStr">
        <is>
          <t>MELHORIAS</t>
        </is>
      </c>
      <c r="P497" s="133" t="n"/>
      <c r="Q497" s="16" t="n"/>
      <c r="R497" s="17" t="n"/>
      <c r="S497" s="132">
        <f>DADOS_INVOC!$QK$32</f>
        <v/>
      </c>
      <c r="T497" s="123" t="n"/>
      <c r="U497" s="55" t="inlineStr">
        <is>
          <t>MELHORIAS</t>
        </is>
      </c>
      <c r="V497" s="133" t="n"/>
      <c r="W497" s="16" t="n"/>
      <c r="X497" s="17" t="n"/>
      <c r="Y497" s="132">
        <f>DADOS_INVOC!$QK$33</f>
        <v/>
      </c>
      <c r="Z497" s="123" t="n"/>
      <c r="AB497" s="55" t="inlineStr">
        <is>
          <t>MELHORIAS</t>
        </is>
      </c>
      <c r="AC497" s="133" t="n"/>
      <c r="AD497" s="16" t="n"/>
      <c r="AE497" s="17" t="n"/>
      <c r="AF497" s="132">
        <f>DADOS_INVOC!$QK$109</f>
        <v/>
      </c>
      <c r="AG497" s="123" t="n"/>
      <c r="AH497" s="55" t="inlineStr">
        <is>
          <t>MELHORIAS</t>
        </is>
      </c>
      <c r="AI497" s="133" t="n"/>
      <c r="AJ497" s="16" t="n"/>
      <c r="AK497" s="17" t="n"/>
      <c r="AL497" s="132">
        <f>DADOS_INVOC!$QK$110</f>
        <v/>
      </c>
      <c r="AM497" s="123" t="n"/>
      <c r="AN497" s="55" t="inlineStr">
        <is>
          <t>MELHORIAS</t>
        </is>
      </c>
      <c r="AO497" s="133" t="n"/>
      <c r="AP497" s="16" t="n"/>
      <c r="AQ497" s="17" t="n"/>
      <c r="AR497" s="132">
        <f>DADOS_INVOC!$QK$111</f>
        <v/>
      </c>
      <c r="AS497" s="123" t="n"/>
    </row>
    <row r="498" hidden="1" outlineLevel="3">
      <c r="A498" s="8" t="n"/>
      <c r="B498" s="14" t="n"/>
      <c r="C498" s="123" t="n"/>
      <c r="D498" s="123" t="n"/>
      <c r="E498" s="123" t="n"/>
      <c r="F498" s="123" t="n"/>
      <c r="G498" s="123" t="n"/>
      <c r="I498" s="134" t="n"/>
      <c r="J498" s="133" t="n"/>
      <c r="K498" s="16" t="n"/>
      <c r="L498" s="17" t="n"/>
      <c r="M498" s="132">
        <f>DADOS_INVOC!$QL$31</f>
        <v/>
      </c>
      <c r="N498" s="123" t="n"/>
      <c r="O498" s="134" t="n"/>
      <c r="P498" s="133" t="n"/>
      <c r="Q498" s="16" t="n"/>
      <c r="R498" s="17" t="n"/>
      <c r="S498" s="132">
        <f>DADOS_INVOC!$QL$32</f>
        <v/>
      </c>
      <c r="T498" s="123" t="n"/>
      <c r="U498" s="134" t="n"/>
      <c r="V498" s="133" t="n"/>
      <c r="W498" s="16" t="n"/>
      <c r="X498" s="17" t="n"/>
      <c r="Y498" s="132">
        <f>DADOS_INVOC!$QL$33</f>
        <v/>
      </c>
      <c r="Z498" s="123" t="n"/>
      <c r="AB498" s="134" t="n"/>
      <c r="AC498" s="133" t="n"/>
      <c r="AD498" s="16" t="n"/>
      <c r="AE498" s="17" t="n"/>
      <c r="AF498" s="132">
        <f>DADOS_INVOC!$QL$109</f>
        <v/>
      </c>
      <c r="AG498" s="123" t="n"/>
      <c r="AH498" s="134" t="n"/>
      <c r="AI498" s="133" t="n"/>
      <c r="AJ498" s="16" t="n"/>
      <c r="AK498" s="17" t="n"/>
      <c r="AL498" s="132">
        <f>DADOS_INVOC!$QL$110</f>
        <v/>
      </c>
      <c r="AM498" s="123" t="n"/>
      <c r="AN498" s="134" t="n"/>
      <c r="AO498" s="133" t="n"/>
      <c r="AP498" s="16" t="n"/>
      <c r="AQ498" s="17" t="n"/>
      <c r="AR498" s="132">
        <f>DADOS_INVOC!$QL$111</f>
        <v/>
      </c>
      <c r="AS498" s="123" t="n"/>
    </row>
    <row r="499" hidden="1" outlineLevel="3">
      <c r="A499" s="8" t="n"/>
      <c r="B499" s="14" t="n"/>
      <c r="C499" s="123" t="n"/>
      <c r="D499" s="123" t="n"/>
      <c r="E499" s="123" t="n"/>
      <c r="F499" s="123" t="n"/>
      <c r="G499" s="123" t="n"/>
      <c r="I499" s="134" t="n"/>
      <c r="J499" s="133" t="n"/>
      <c r="K499" s="16" t="n"/>
      <c r="L499" s="17" t="n"/>
      <c r="M499" s="132">
        <f>DADOS_INVOC!$QM$31</f>
        <v/>
      </c>
      <c r="N499" s="123" t="n"/>
      <c r="O499" s="134" t="n"/>
      <c r="P499" s="133" t="n"/>
      <c r="Q499" s="16" t="n"/>
      <c r="R499" s="17" t="n"/>
      <c r="S499" s="132">
        <f>DADOS_INVOC!$QM$32</f>
        <v/>
      </c>
      <c r="T499" s="123" t="n"/>
      <c r="U499" s="134" t="n"/>
      <c r="V499" s="133" t="n"/>
      <c r="W499" s="16" t="n"/>
      <c r="X499" s="17" t="n"/>
      <c r="Y499" s="132">
        <f>DADOS_INVOC!$QM$33</f>
        <v/>
      </c>
      <c r="Z499" s="123" t="n"/>
      <c r="AB499" s="134" t="n"/>
      <c r="AC499" s="133" t="n"/>
      <c r="AD499" s="16" t="n"/>
      <c r="AE499" s="17" t="n"/>
      <c r="AF499" s="132">
        <f>DADOS_INVOC!$QM$109</f>
        <v/>
      </c>
      <c r="AG499" s="123" t="n"/>
      <c r="AH499" s="134" t="n"/>
      <c r="AI499" s="133" t="n"/>
      <c r="AJ499" s="16" t="n"/>
      <c r="AK499" s="17" t="n"/>
      <c r="AL499" s="132">
        <f>DADOS_INVOC!$QM$110</f>
        <v/>
      </c>
      <c r="AM499" s="123" t="n"/>
      <c r="AN499" s="134" t="n"/>
      <c r="AO499" s="133" t="n"/>
      <c r="AP499" s="16" t="n"/>
      <c r="AQ499" s="17" t="n"/>
      <c r="AR499" s="132">
        <f>DADOS_INVOC!$QM$111</f>
        <v/>
      </c>
      <c r="AS499" s="123" t="n"/>
    </row>
    <row r="500" hidden="1" outlineLevel="3">
      <c r="A500" s="8" t="n"/>
      <c r="B500" s="14" t="n"/>
      <c r="C500" s="123" t="n"/>
      <c r="D500" s="123" t="n"/>
      <c r="E500" s="123" t="n"/>
      <c r="F500" s="123" t="n"/>
      <c r="G500" s="123" t="n"/>
      <c r="I500" s="128" t="n"/>
      <c r="J500" s="133" t="n"/>
      <c r="K500" s="16" t="n"/>
      <c r="L500" s="17" t="n"/>
      <c r="M500" s="132">
        <f>DADOS_INVOC!$QN$31</f>
        <v/>
      </c>
      <c r="N500" s="123" t="n"/>
      <c r="O500" s="128" t="n"/>
      <c r="P500" s="133" t="n"/>
      <c r="Q500" s="16" t="n"/>
      <c r="R500" s="17" t="n"/>
      <c r="S500" s="132">
        <f>DADOS_INVOC!$QN$32</f>
        <v/>
      </c>
      <c r="T500" s="123" t="n"/>
      <c r="U500" s="128" t="n"/>
      <c r="V500" s="133" t="n"/>
      <c r="W500" s="16" t="n"/>
      <c r="X500" s="17" t="n"/>
      <c r="Y500" s="132">
        <f>DADOS_INVOC!$QN$33</f>
        <v/>
      </c>
      <c r="Z500" s="123" t="n"/>
      <c r="AB500" s="128" t="n"/>
      <c r="AC500" s="133" t="n"/>
      <c r="AD500" s="16" t="n"/>
      <c r="AE500" s="17" t="n"/>
      <c r="AF500" s="132">
        <f>DADOS_INVOC!$QN$109</f>
        <v/>
      </c>
      <c r="AG500" s="123" t="n"/>
      <c r="AH500" s="128" t="n"/>
      <c r="AI500" s="133" t="n"/>
      <c r="AJ500" s="16" t="n"/>
      <c r="AK500" s="17" t="n"/>
      <c r="AL500" s="132">
        <f>DADOS_INVOC!$QN$110</f>
        <v/>
      </c>
      <c r="AM500" s="123" t="n"/>
      <c r="AN500" s="128" t="n"/>
      <c r="AO500" s="133" t="n"/>
      <c r="AP500" s="16" t="n"/>
      <c r="AQ500" s="17" t="n"/>
      <c r="AR500" s="132">
        <f>DADOS_INVOC!$QN$111</f>
        <v/>
      </c>
      <c r="AS500" s="123" t="n"/>
    </row>
    <row r="501" hidden="1" outlineLevel="3">
      <c r="A501" s="8" t="n"/>
      <c r="B501" s="14" t="n"/>
      <c r="C501" s="123" t="n"/>
      <c r="D501" s="123" t="n"/>
      <c r="E501" s="123" t="n"/>
      <c r="F501" s="123" t="n"/>
      <c r="G501" s="123" t="n"/>
      <c r="I501" s="55" t="inlineStr">
        <is>
          <t>RESTRIÇÕES</t>
        </is>
      </c>
      <c r="J501" s="133" t="n"/>
      <c r="K501" s="16" t="n"/>
      <c r="L501" s="17" t="n"/>
      <c r="M501" s="132">
        <f>DADOS_INVOC!$QO$31</f>
        <v/>
      </c>
      <c r="N501" s="123" t="n"/>
      <c r="O501" s="55" t="inlineStr">
        <is>
          <t>RESTRIÇÕES</t>
        </is>
      </c>
      <c r="P501" s="133" t="n"/>
      <c r="Q501" s="16" t="n"/>
      <c r="R501" s="17" t="n"/>
      <c r="S501" s="132">
        <f>DADOS_INVOC!$QO$32</f>
        <v/>
      </c>
      <c r="T501" s="123" t="n"/>
      <c r="U501" s="55" t="inlineStr">
        <is>
          <t>RESTRIÇÕES</t>
        </is>
      </c>
      <c r="V501" s="133" t="n"/>
      <c r="W501" s="16" t="n"/>
      <c r="X501" s="17" t="n"/>
      <c r="Y501" s="132">
        <f>DADOS_INVOC!$QO$33</f>
        <v/>
      </c>
      <c r="Z501" s="123" t="n"/>
      <c r="AB501" s="55" t="inlineStr">
        <is>
          <t>RESTRIÇÕES</t>
        </is>
      </c>
      <c r="AC501" s="133" t="n"/>
      <c r="AD501" s="16" t="n"/>
      <c r="AE501" s="17" t="n"/>
      <c r="AF501" s="132">
        <f>DADOS_INVOC!$QO$109</f>
        <v/>
      </c>
      <c r="AG501" s="123" t="n"/>
      <c r="AH501" s="55" t="inlineStr">
        <is>
          <t>RESTRIÇÕES</t>
        </is>
      </c>
      <c r="AI501" s="133" t="n"/>
      <c r="AJ501" s="16" t="n"/>
      <c r="AK501" s="17" t="n"/>
      <c r="AL501" s="132">
        <f>DADOS_INVOC!$QO$110</f>
        <v/>
      </c>
      <c r="AM501" s="123" t="n"/>
      <c r="AN501" s="55" t="inlineStr">
        <is>
          <t>RESTRIÇÕES</t>
        </is>
      </c>
      <c r="AO501" s="133" t="n"/>
      <c r="AP501" s="16" t="n"/>
      <c r="AQ501" s="17" t="n"/>
      <c r="AR501" s="132">
        <f>DADOS_INVOC!$QO$111</f>
        <v/>
      </c>
      <c r="AS501" s="123" t="n"/>
    </row>
    <row r="502" hidden="1" outlineLevel="3">
      <c r="A502" s="8" t="n"/>
      <c r="B502" s="14" t="n"/>
      <c r="C502" s="123" t="n"/>
      <c r="D502" s="123" t="n"/>
      <c r="E502" s="123" t="n"/>
      <c r="F502" s="123" t="n"/>
      <c r="G502" s="123" t="n"/>
      <c r="I502" s="128" t="n"/>
      <c r="J502" s="133" t="n"/>
      <c r="K502" s="16" t="n"/>
      <c r="L502" s="17" t="n"/>
      <c r="M502" s="132">
        <f>DADOS_INVOC!$QP$31</f>
        <v/>
      </c>
      <c r="N502" s="123" t="n"/>
      <c r="O502" s="128" t="n"/>
      <c r="P502" s="133" t="n"/>
      <c r="Q502" s="16" t="n"/>
      <c r="R502" s="17" t="n"/>
      <c r="S502" s="132">
        <f>DADOS_INVOC!$QP$32</f>
        <v/>
      </c>
      <c r="T502" s="123" t="n"/>
      <c r="U502" s="128" t="n"/>
      <c r="V502" s="133" t="n"/>
      <c r="W502" s="16" t="n"/>
      <c r="X502" s="17" t="n"/>
      <c r="Y502" s="132">
        <f>DADOS_INVOC!$QP$33</f>
        <v/>
      </c>
      <c r="Z502" s="123" t="n"/>
      <c r="AB502" s="128" t="n"/>
      <c r="AC502" s="133" t="n"/>
      <c r="AD502" s="16" t="n"/>
      <c r="AE502" s="17" t="n"/>
      <c r="AF502" s="132">
        <f>DADOS_INVOC!$QP$109</f>
        <v/>
      </c>
      <c r="AG502" s="123" t="n"/>
      <c r="AH502" s="128" t="n"/>
      <c r="AI502" s="133" t="n"/>
      <c r="AJ502" s="16" t="n"/>
      <c r="AK502" s="17" t="n"/>
      <c r="AL502" s="132">
        <f>DADOS_INVOC!$QP$110</f>
        <v/>
      </c>
      <c r="AM502" s="123" t="n"/>
      <c r="AN502" s="128" t="n"/>
      <c r="AO502" s="133" t="n"/>
      <c r="AP502" s="16" t="n"/>
      <c r="AQ502" s="17" t="n"/>
      <c r="AR502" s="132">
        <f>DADOS_INVOC!$QP$111</f>
        <v/>
      </c>
      <c r="AS502" s="123" t="n"/>
    </row>
    <row r="503" hidden="1" outlineLevel="3">
      <c r="A503" s="8" t="n"/>
      <c r="B503" s="14" t="n"/>
      <c r="C503" s="123" t="n"/>
      <c r="D503" s="123" t="n"/>
      <c r="E503" s="123" t="n"/>
      <c r="F503" s="123" t="n"/>
      <c r="G503" s="123" t="n"/>
      <c r="I503" s="55" t="inlineStr">
        <is>
          <t>CONTA</t>
        </is>
      </c>
      <c r="J503" s="135">
        <f>DADOS_INVOC!$QI$31</f>
        <v/>
      </c>
      <c r="K503" s="16" t="n"/>
      <c r="L503" s="16" t="n"/>
      <c r="M503" s="17" t="n"/>
      <c r="N503" s="123" t="n"/>
      <c r="O503" s="55" t="inlineStr">
        <is>
          <t>CONTA</t>
        </is>
      </c>
      <c r="P503" s="135">
        <f>DADOS_INVOC!$QI$32</f>
        <v/>
      </c>
      <c r="Q503" s="16" t="n"/>
      <c r="R503" s="16" t="n"/>
      <c r="S503" s="17" t="n"/>
      <c r="T503" s="123" t="n"/>
      <c r="U503" s="55" t="inlineStr">
        <is>
          <t>CONTA</t>
        </is>
      </c>
      <c r="V503" s="135">
        <f>DADOS_INVOC!$QI$33</f>
        <v/>
      </c>
      <c r="W503" s="16" t="n"/>
      <c r="X503" s="16" t="n"/>
      <c r="Y503" s="17" t="n"/>
      <c r="Z503" s="123" t="n"/>
      <c r="AB503" s="55" t="inlineStr">
        <is>
          <t>CONTA</t>
        </is>
      </c>
      <c r="AC503" s="135">
        <f>DADOS_INVOC!$QI$109</f>
        <v/>
      </c>
      <c r="AD503" s="16" t="n"/>
      <c r="AE503" s="16" t="n"/>
      <c r="AF503" s="17" t="n"/>
      <c r="AG503" s="123" t="n"/>
      <c r="AH503" s="55" t="inlineStr">
        <is>
          <t>CONTA</t>
        </is>
      </c>
      <c r="AI503" s="135">
        <f>DADOS_INVOC!$QI$110</f>
        <v/>
      </c>
      <c r="AJ503" s="16" t="n"/>
      <c r="AK503" s="16" t="n"/>
      <c r="AL503" s="17" t="n"/>
      <c r="AM503" s="123" t="n"/>
      <c r="AN503" s="55" t="inlineStr">
        <is>
          <t>CONTA</t>
        </is>
      </c>
      <c r="AO503" s="135">
        <f>DADOS_INVOC!$QI$111</f>
        <v/>
      </c>
      <c r="AP503" s="16" t="n"/>
      <c r="AQ503" s="16" t="n"/>
      <c r="AR503" s="17" t="n"/>
      <c r="AS503" s="123" t="n"/>
    </row>
    <row r="504" hidden="1" outlineLevel="3">
      <c r="A504" s="8" t="n"/>
      <c r="B504" s="14" t="n"/>
      <c r="C504" s="123" t="n"/>
      <c r="D504" s="123" t="n"/>
      <c r="E504" s="123" t="n"/>
      <c r="F504" s="123" t="n"/>
      <c r="G504" s="123" t="n"/>
      <c r="I504" s="55" t="inlineStr">
        <is>
          <t>AMPLIAR</t>
        </is>
      </c>
      <c r="J504" s="135">
        <f>DADOS_INVOC!$QJ$31</f>
        <v/>
      </c>
      <c r="K504" s="19" t="n"/>
      <c r="L504" s="19" t="n"/>
      <c r="M504" s="20" t="n"/>
      <c r="N504" s="123" t="n"/>
      <c r="O504" s="55" t="inlineStr">
        <is>
          <t>AMPLIAR</t>
        </is>
      </c>
      <c r="P504" s="135">
        <f>DADOS_INVOC!$QJ$32</f>
        <v/>
      </c>
      <c r="Q504" s="19" t="n"/>
      <c r="R504" s="19" t="n"/>
      <c r="S504" s="20" t="n"/>
      <c r="T504" s="123" t="n"/>
      <c r="U504" s="55" t="inlineStr">
        <is>
          <t>AMPLIAR</t>
        </is>
      </c>
      <c r="V504" s="135">
        <f>DADOS_INVOC!$QJ$33</f>
        <v/>
      </c>
      <c r="W504" s="19" t="n"/>
      <c r="X504" s="19" t="n"/>
      <c r="Y504" s="20" t="n"/>
      <c r="Z504" s="123" t="n"/>
      <c r="AB504" s="55" t="inlineStr">
        <is>
          <t>AMPLIAR</t>
        </is>
      </c>
      <c r="AC504" s="135">
        <f>DADOS_INVOC!$QJ$109</f>
        <v/>
      </c>
      <c r="AD504" s="19" t="n"/>
      <c r="AE504" s="19" t="n"/>
      <c r="AF504" s="20" t="n"/>
      <c r="AG504" s="123" t="n"/>
      <c r="AH504" s="55" t="inlineStr">
        <is>
          <t>AMPLIAR</t>
        </is>
      </c>
      <c r="AI504" s="135">
        <f>DADOS_INVOC!$QJ$110</f>
        <v/>
      </c>
      <c r="AJ504" s="19" t="n"/>
      <c r="AK504" s="19" t="n"/>
      <c r="AL504" s="20" t="n"/>
      <c r="AM504" s="123" t="n"/>
      <c r="AN504" s="55" t="inlineStr">
        <is>
          <t>AMPLIAR</t>
        </is>
      </c>
      <c r="AO504" s="135">
        <f>DADOS_INVOC!$QJ$111</f>
        <v/>
      </c>
      <c r="AP504" s="19" t="n"/>
      <c r="AQ504" s="19" t="n"/>
      <c r="AR504" s="20" t="n"/>
      <c r="AS504" s="123" t="n"/>
    </row>
    <row r="505" hidden="1" outlineLevel="3">
      <c r="A505" s="8" t="n"/>
      <c r="B505" s="14" t="n"/>
      <c r="C505" s="123" t="n"/>
      <c r="D505" s="123" t="n"/>
      <c r="E505" s="123" t="n"/>
      <c r="F505" s="123" t="n"/>
      <c r="G505" s="123" t="n"/>
      <c r="I505" s="128" t="n"/>
      <c r="J505" s="23" t="n"/>
      <c r="K505" s="24" t="n"/>
      <c r="L505" s="24" t="n"/>
      <c r="M505" s="25" t="n"/>
      <c r="N505" s="123" t="n"/>
      <c r="O505" s="128" t="n"/>
      <c r="P505" s="23" t="n"/>
      <c r="Q505" s="24" t="n"/>
      <c r="R505" s="24" t="n"/>
      <c r="S505" s="25" t="n"/>
      <c r="T505" s="123" t="n"/>
      <c r="U505" s="128" t="n"/>
      <c r="V505" s="23" t="n"/>
      <c r="W505" s="24" t="n"/>
      <c r="X505" s="24" t="n"/>
      <c r="Y505" s="25" t="n"/>
      <c r="Z505" s="123" t="n"/>
      <c r="AB505" s="128" t="n"/>
      <c r="AC505" s="23" t="n"/>
      <c r="AD505" s="24" t="n"/>
      <c r="AE505" s="24" t="n"/>
      <c r="AF505" s="25" t="n"/>
      <c r="AG505" s="123" t="n"/>
      <c r="AH505" s="128" t="n"/>
      <c r="AI505" s="23" t="n"/>
      <c r="AJ505" s="24" t="n"/>
      <c r="AK505" s="24" t="n"/>
      <c r="AL505" s="25" t="n"/>
      <c r="AM505" s="123" t="n"/>
      <c r="AN505" s="128" t="n"/>
      <c r="AO505" s="23" t="n"/>
      <c r="AP505" s="24" t="n"/>
      <c r="AQ505" s="24" t="n"/>
      <c r="AR505" s="25" t="n"/>
      <c r="AS505" s="123" t="n"/>
    </row>
    <row r="506" hidden="1" outlineLevel="3">
      <c r="A506" s="8" t="n"/>
      <c r="B506" s="14" t="n"/>
      <c r="C506" s="123" t="n"/>
      <c r="D506" s="123" t="n"/>
      <c r="E506" s="123" t="n"/>
      <c r="F506" s="123" t="n"/>
      <c r="G506" s="123" t="n"/>
      <c r="I506" s="135">
        <f>DADOS_INVOC!$PW$31</f>
        <v/>
      </c>
      <c r="J506" s="19" t="n"/>
      <c r="K506" s="19" t="n"/>
      <c r="L506" s="19" t="n"/>
      <c r="M506" s="20" t="n"/>
      <c r="N506" s="123" t="n"/>
      <c r="O506" s="135">
        <f>DADOS_INVOC!$PW$32</f>
        <v/>
      </c>
      <c r="P506" s="19" t="n"/>
      <c r="Q506" s="19" t="n"/>
      <c r="R506" s="19" t="n"/>
      <c r="S506" s="20" t="n"/>
      <c r="T506" s="123" t="n"/>
      <c r="U506" s="135">
        <f>DADOS_INVOC!$PW$33</f>
        <v/>
      </c>
      <c r="V506" s="19" t="n"/>
      <c r="W506" s="19" t="n"/>
      <c r="X506" s="19" t="n"/>
      <c r="Y506" s="20" t="n"/>
      <c r="Z506" s="123" t="n"/>
      <c r="AB506" s="135">
        <f>DADOS_INVOC!$PW$109</f>
        <v/>
      </c>
      <c r="AC506" s="19" t="n"/>
      <c r="AD506" s="19" t="n"/>
      <c r="AE506" s="19" t="n"/>
      <c r="AF506" s="20" t="n"/>
      <c r="AG506" s="123" t="n"/>
      <c r="AH506" s="135">
        <f>DADOS_INVOC!$PW$110</f>
        <v/>
      </c>
      <c r="AI506" s="19" t="n"/>
      <c r="AJ506" s="19" t="n"/>
      <c r="AK506" s="19" t="n"/>
      <c r="AL506" s="20" t="n"/>
      <c r="AM506" s="123" t="n"/>
      <c r="AN506" s="135">
        <f>DADOS_INVOC!$PW$111</f>
        <v/>
      </c>
      <c r="AO506" s="19" t="n"/>
      <c r="AP506" s="19" t="n"/>
      <c r="AQ506" s="19" t="n"/>
      <c r="AR506" s="20" t="n"/>
      <c r="AS506" s="123" t="n"/>
    </row>
    <row r="507" hidden="1" outlineLevel="3">
      <c r="A507" s="8" t="n"/>
      <c r="B507" s="14" t="n"/>
      <c r="C507" s="123" t="n"/>
      <c r="D507" s="123" t="n"/>
      <c r="E507" s="123" t="n"/>
      <c r="F507" s="123" t="n"/>
      <c r="G507" s="123" t="n"/>
      <c r="I507" s="23" t="n"/>
      <c r="J507" s="24" t="n"/>
      <c r="K507" s="24" t="n"/>
      <c r="L507" s="24" t="n"/>
      <c r="M507" s="25" t="n"/>
      <c r="N507" s="123" t="n"/>
      <c r="O507" s="23" t="n"/>
      <c r="P507" s="24" t="n"/>
      <c r="Q507" s="24" t="n"/>
      <c r="R507" s="24" t="n"/>
      <c r="S507" s="25" t="n"/>
      <c r="T507" s="123" t="n"/>
      <c r="U507" s="23" t="n"/>
      <c r="V507" s="24" t="n"/>
      <c r="W507" s="24" t="n"/>
      <c r="X507" s="24" t="n"/>
      <c r="Y507" s="25" t="n"/>
      <c r="Z507" s="123" t="n"/>
      <c r="AB507" s="23" t="n"/>
      <c r="AC507" s="24" t="n"/>
      <c r="AD507" s="24" t="n"/>
      <c r="AE507" s="24" t="n"/>
      <c r="AF507" s="25" t="n"/>
      <c r="AG507" s="123" t="n"/>
      <c r="AH507" s="23" t="n"/>
      <c r="AI507" s="24" t="n"/>
      <c r="AJ507" s="24" t="n"/>
      <c r="AK507" s="24" t="n"/>
      <c r="AL507" s="25" t="n"/>
      <c r="AM507" s="123" t="n"/>
      <c r="AN507" s="23" t="n"/>
      <c r="AO507" s="24" t="n"/>
      <c r="AP507" s="24" t="n"/>
      <c r="AQ507" s="24" t="n"/>
      <c r="AR507" s="25" t="n"/>
      <c r="AS507" s="123" t="n"/>
    </row>
    <row r="508" hidden="1" outlineLevel="2">
      <c r="A508" s="8" t="n"/>
      <c r="B508" s="14" t="n"/>
      <c r="C508" s="123" t="n"/>
      <c r="D508" s="123" t="n"/>
      <c r="E508" s="123" t="n"/>
      <c r="F508" s="123" t="n"/>
      <c r="G508" s="123" t="n"/>
      <c r="I508" s="123" t="n"/>
      <c r="J508" s="123" t="n"/>
      <c r="K508" s="123" t="n"/>
      <c r="L508" s="123" t="n"/>
      <c r="M508" s="123" t="n"/>
      <c r="N508" s="123" t="n"/>
      <c r="O508" s="123" t="n"/>
      <c r="P508" s="123" t="n"/>
      <c r="Q508" s="123" t="n"/>
      <c r="R508" s="123" t="n"/>
      <c r="S508" s="123" t="n"/>
      <c r="T508" s="123" t="n"/>
      <c r="U508" s="123" t="n"/>
      <c r="V508" s="123" t="n"/>
      <c r="W508" s="123" t="n"/>
      <c r="X508" s="123" t="n"/>
      <c r="Y508" s="123" t="n"/>
      <c r="Z508" s="123" t="n"/>
      <c r="AB508" s="123" t="n"/>
      <c r="AC508" s="123" t="n"/>
      <c r="AD508" s="123" t="n"/>
      <c r="AE508" s="123" t="n"/>
      <c r="AF508" s="123" t="n"/>
      <c r="AG508" s="123" t="n"/>
      <c r="AH508" s="123" t="n"/>
      <c r="AI508" s="123" t="n"/>
      <c r="AJ508" s="123" t="n"/>
      <c r="AK508" s="123" t="n"/>
      <c r="AL508" s="123" t="n"/>
      <c r="AM508" s="123" t="n"/>
      <c r="AN508" s="123" t="n"/>
      <c r="AO508" s="123" t="n"/>
      <c r="AP508" s="123" t="n"/>
      <c r="AQ508" s="123" t="n"/>
      <c r="AR508" s="123" t="n"/>
      <c r="AS508" s="123" t="n"/>
    </row>
    <row r="509" hidden="1" outlineLevel="2">
      <c r="A509" s="8" t="n"/>
      <c r="B509" s="14" t="n"/>
      <c r="C509" s="123" t="n"/>
      <c r="D509" s="123" t="n"/>
      <c r="E509" s="123" t="n"/>
      <c r="F509" s="123" t="n"/>
      <c r="G509" s="123" t="n"/>
      <c r="I509" s="55">
        <f>DADOS_INVOC!$PX$34</f>
        <v/>
      </c>
      <c r="J509" s="16" t="n"/>
      <c r="K509" s="16" t="n"/>
      <c r="L509" s="16" t="n"/>
      <c r="M509" s="17" t="n"/>
      <c r="N509" s="123" t="n"/>
      <c r="O509" s="55">
        <f>DADOS_INVOC!$PX$35</f>
        <v/>
      </c>
      <c r="P509" s="16" t="n"/>
      <c r="Q509" s="16" t="n"/>
      <c r="R509" s="16" t="n"/>
      <c r="S509" s="17" t="n"/>
      <c r="T509" s="123" t="n"/>
      <c r="U509" s="55">
        <f>DADOS_INVOC!$PX$36</f>
        <v/>
      </c>
      <c r="V509" s="16" t="n"/>
      <c r="W509" s="16" t="n"/>
      <c r="X509" s="16" t="n"/>
      <c r="Y509" s="17" t="n"/>
      <c r="Z509" s="123" t="n"/>
      <c r="AB509" s="55">
        <f>DADOS_INVOC!$PX$112</f>
        <v/>
      </c>
      <c r="AC509" s="16" t="n"/>
      <c r="AD509" s="16" t="n"/>
      <c r="AE509" s="16" t="n"/>
      <c r="AF509" s="17" t="n"/>
      <c r="AG509" s="123" t="n"/>
      <c r="AH509" s="55">
        <f>DADOS_INVOC!$PX$113</f>
        <v/>
      </c>
      <c r="AI509" s="16" t="n"/>
      <c r="AJ509" s="16" t="n"/>
      <c r="AK509" s="16" t="n"/>
      <c r="AL509" s="17" t="n"/>
      <c r="AM509" s="123" t="n"/>
      <c r="AN509" s="55">
        <f>DADOS_INVOC!$PX$114</f>
        <v/>
      </c>
      <c r="AO509" s="16" t="n"/>
      <c r="AP509" s="16" t="n"/>
      <c r="AQ509" s="16" t="n"/>
      <c r="AR509" s="17" t="n"/>
      <c r="AS509" s="123" t="n"/>
    </row>
    <row r="510" hidden="1" outlineLevel="2">
      <c r="A510" s="8" t="n"/>
      <c r="B510" s="14" t="n"/>
      <c r="C510" s="123" t="n"/>
      <c r="D510" s="123" t="n"/>
      <c r="E510" s="123" t="n"/>
      <c r="F510" s="123" t="n"/>
      <c r="G510" s="123" t="n"/>
      <c r="I510" s="130" t="n">
        <v>1</v>
      </c>
      <c r="J510" s="118" t="n"/>
      <c r="K510" s="16" t="n"/>
      <c r="L510" s="17" t="n"/>
      <c r="M510" s="131">
        <f>DADOS_INVOC!$PV$34</f>
        <v/>
      </c>
      <c r="N510" s="123" t="n"/>
      <c r="O510" s="130" t="n">
        <v>1</v>
      </c>
      <c r="P510" s="118" t="n"/>
      <c r="Q510" s="16" t="n"/>
      <c r="R510" s="17" t="n"/>
      <c r="S510" s="131">
        <f>DADOS_INVOC!$PV$35</f>
        <v/>
      </c>
      <c r="T510" s="123" t="n"/>
      <c r="U510" s="130" t="n">
        <v>1</v>
      </c>
      <c r="V510" s="118" t="n"/>
      <c r="W510" s="16" t="n"/>
      <c r="X510" s="17" t="n"/>
      <c r="Y510" s="131">
        <f>DADOS_INVOC!$PV$36</f>
        <v/>
      </c>
      <c r="Z510" s="123" t="n"/>
      <c r="AB510" s="130" t="n">
        <v>1</v>
      </c>
      <c r="AC510" s="118" t="n"/>
      <c r="AD510" s="16" t="n"/>
      <c r="AE510" s="17" t="n"/>
      <c r="AF510" s="131">
        <f>DADOS_INVOC!$PV$112</f>
        <v/>
      </c>
      <c r="AG510" s="123" t="n"/>
      <c r="AH510" s="130" t="n">
        <v>1</v>
      </c>
      <c r="AI510" s="118" t="n"/>
      <c r="AJ510" s="16" t="n"/>
      <c r="AK510" s="17" t="n"/>
      <c r="AL510" s="131">
        <f>DADOS_INVOC!$PV$113</f>
        <v/>
      </c>
      <c r="AM510" s="123" t="n"/>
      <c r="AN510" s="130" t="n">
        <v>1</v>
      </c>
      <c r="AO510" s="118" t="n"/>
      <c r="AP510" s="16" t="n"/>
      <c r="AQ510" s="17" t="n"/>
      <c r="AR510" s="131">
        <f>DADOS_INVOC!$PV$114</f>
        <v/>
      </c>
      <c r="AS510" s="123" t="n"/>
    </row>
    <row r="511" hidden="1" outlineLevel="3">
      <c r="A511" s="8" t="n"/>
      <c r="B511" s="14" t="n"/>
      <c r="C511" s="123" t="n"/>
      <c r="D511" s="123" t="n"/>
      <c r="E511" s="123" t="n"/>
      <c r="F511" s="123" t="n"/>
      <c r="G511" s="123" t="n"/>
      <c r="I511" s="55" t="inlineStr">
        <is>
          <t>COMO É</t>
        </is>
      </c>
      <c r="J511" s="16" t="n"/>
      <c r="K511" s="16" t="n"/>
      <c r="L511" s="16" t="n"/>
      <c r="M511" s="17" t="n"/>
      <c r="N511" s="123" t="n"/>
      <c r="O511" s="55" t="inlineStr">
        <is>
          <t>COMO É</t>
        </is>
      </c>
      <c r="P511" s="16" t="n"/>
      <c r="Q511" s="16" t="n"/>
      <c r="R511" s="16" t="n"/>
      <c r="S511" s="17" t="n"/>
      <c r="T511" s="123" t="n"/>
      <c r="U511" s="55" t="inlineStr">
        <is>
          <t>COMO É</t>
        </is>
      </c>
      <c r="V511" s="16" t="n"/>
      <c r="W511" s="16" t="n"/>
      <c r="X511" s="16" t="n"/>
      <c r="Y511" s="17" t="n"/>
      <c r="Z511" s="123" t="n"/>
      <c r="AB511" s="55" t="inlineStr">
        <is>
          <t>COMO É</t>
        </is>
      </c>
      <c r="AC511" s="16" t="n"/>
      <c r="AD511" s="16" t="n"/>
      <c r="AE511" s="16" t="n"/>
      <c r="AF511" s="17" t="n"/>
      <c r="AG511" s="123" t="n"/>
      <c r="AH511" s="55" t="inlineStr">
        <is>
          <t>COMO É</t>
        </is>
      </c>
      <c r="AI511" s="16" t="n"/>
      <c r="AJ511" s="16" t="n"/>
      <c r="AK511" s="16" t="n"/>
      <c r="AL511" s="17" t="n"/>
      <c r="AM511" s="123" t="n"/>
      <c r="AN511" s="55" t="inlineStr">
        <is>
          <t>COMO É</t>
        </is>
      </c>
      <c r="AO511" s="16" t="n"/>
      <c r="AP511" s="16" t="n"/>
      <c r="AQ511" s="16" t="n"/>
      <c r="AR511" s="17" t="n"/>
      <c r="AS511" s="123" t="n"/>
    </row>
    <row r="512" hidden="1" outlineLevel="3">
      <c r="A512" s="8" t="n"/>
      <c r="B512" s="14" t="n"/>
      <c r="C512" s="123" t="n"/>
      <c r="D512" s="123" t="n"/>
      <c r="E512" s="123" t="n"/>
      <c r="F512" s="123" t="n"/>
      <c r="G512" s="123" t="n"/>
      <c r="I512" s="119" t="n"/>
      <c r="J512" s="19" t="n"/>
      <c r="K512" s="19" t="n"/>
      <c r="L512" s="19" t="n"/>
      <c r="M512" s="20" t="n"/>
      <c r="N512" s="123" t="n"/>
      <c r="O512" s="119" t="n"/>
      <c r="P512" s="19" t="n"/>
      <c r="Q512" s="19" t="n"/>
      <c r="R512" s="19" t="n"/>
      <c r="S512" s="20" t="n"/>
      <c r="T512" s="123" t="n"/>
      <c r="U512" s="119" t="n"/>
      <c r="V512" s="19" t="n"/>
      <c r="W512" s="19" t="n"/>
      <c r="X512" s="19" t="n"/>
      <c r="Y512" s="20" t="n"/>
      <c r="Z512" s="123" t="n"/>
      <c r="AB512" s="119" t="n"/>
      <c r="AC512" s="19" t="n"/>
      <c r="AD512" s="19" t="n"/>
      <c r="AE512" s="19" t="n"/>
      <c r="AF512" s="20" t="n"/>
      <c r="AG512" s="123" t="n"/>
      <c r="AH512" s="119" t="n"/>
      <c r="AI512" s="19" t="n"/>
      <c r="AJ512" s="19" t="n"/>
      <c r="AK512" s="19" t="n"/>
      <c r="AL512" s="20" t="n"/>
      <c r="AM512" s="123" t="n"/>
      <c r="AN512" s="119" t="n"/>
      <c r="AO512" s="19" t="n"/>
      <c r="AP512" s="19" t="n"/>
      <c r="AQ512" s="19" t="n"/>
      <c r="AR512" s="20" t="n"/>
      <c r="AS512" s="123" t="n"/>
    </row>
    <row r="513" hidden="1" outlineLevel="3">
      <c r="A513" s="8" t="n"/>
      <c r="B513" s="14" t="n"/>
      <c r="C513" s="123" t="n"/>
      <c r="D513" s="123" t="n"/>
      <c r="E513" s="123" t="n"/>
      <c r="F513" s="123" t="n"/>
      <c r="G513" s="123" t="n"/>
      <c r="I513" s="21" t="n"/>
      <c r="M513" s="22" t="n"/>
      <c r="N513" s="123" t="n"/>
      <c r="O513" s="21" t="n"/>
      <c r="S513" s="22" t="n"/>
      <c r="T513" s="123" t="n"/>
      <c r="U513" s="21" t="n"/>
      <c r="Y513" s="22" t="n"/>
      <c r="Z513" s="123" t="n"/>
      <c r="AB513" s="21" t="n"/>
      <c r="AF513" s="22" t="n"/>
      <c r="AG513" s="123" t="n"/>
      <c r="AH513" s="21" t="n"/>
      <c r="AL513" s="22" t="n"/>
      <c r="AM513" s="123" t="n"/>
      <c r="AN513" s="21" t="n"/>
      <c r="AR513" s="22" t="n"/>
      <c r="AS513" s="123" t="n"/>
    </row>
    <row r="514" hidden="1" outlineLevel="3">
      <c r="A514" s="8" t="n"/>
      <c r="B514" s="14" t="n"/>
      <c r="C514" s="123" t="n"/>
      <c r="D514" s="123" t="n"/>
      <c r="E514" s="123" t="n"/>
      <c r="F514" s="123" t="n"/>
      <c r="G514" s="123" t="n"/>
      <c r="I514" s="23" t="n"/>
      <c r="J514" s="24" t="n"/>
      <c r="K514" s="24" t="n"/>
      <c r="L514" s="24" t="n"/>
      <c r="M514" s="25" t="n"/>
      <c r="N514" s="123" t="n"/>
      <c r="O514" s="23" t="n"/>
      <c r="P514" s="24" t="n"/>
      <c r="Q514" s="24" t="n"/>
      <c r="R514" s="24" t="n"/>
      <c r="S514" s="25" t="n"/>
      <c r="T514" s="123" t="n"/>
      <c r="U514" s="23" t="n"/>
      <c r="V514" s="24" t="n"/>
      <c r="W514" s="24" t="n"/>
      <c r="X514" s="24" t="n"/>
      <c r="Y514" s="25" t="n"/>
      <c r="Z514" s="123" t="n"/>
      <c r="AB514" s="23" t="n"/>
      <c r="AC514" s="24" t="n"/>
      <c r="AD514" s="24" t="n"/>
      <c r="AE514" s="24" t="n"/>
      <c r="AF514" s="25" t="n"/>
      <c r="AG514" s="123" t="n"/>
      <c r="AH514" s="23" t="n"/>
      <c r="AI514" s="24" t="n"/>
      <c r="AJ514" s="24" t="n"/>
      <c r="AK514" s="24" t="n"/>
      <c r="AL514" s="25" t="n"/>
      <c r="AM514" s="123" t="n"/>
      <c r="AN514" s="23" t="n"/>
      <c r="AO514" s="24" t="n"/>
      <c r="AP514" s="24" t="n"/>
      <c r="AQ514" s="24" t="n"/>
      <c r="AR514" s="25" t="n"/>
      <c r="AS514" s="123" t="n"/>
    </row>
    <row r="515" hidden="1" outlineLevel="2">
      <c r="A515" s="8" t="n"/>
      <c r="B515" s="14" t="n"/>
      <c r="C515" s="123" t="n"/>
      <c r="D515" s="123" t="n"/>
      <c r="E515" s="123" t="n"/>
      <c r="F515" s="123" t="n"/>
      <c r="G515" s="123" t="n"/>
      <c r="I515" s="127" t="inlineStr">
        <is>
          <t>Projétil</t>
        </is>
      </c>
      <c r="J515" s="17" t="n"/>
      <c r="K515" s="68">
        <f>DADOS_INVOC!$QC$34</f>
        <v/>
      </c>
      <c r="L515" s="17" t="n"/>
      <c r="M515" s="68">
        <f>DADOS_INVOC!$PY$34</f>
        <v/>
      </c>
      <c r="N515" s="123" t="n"/>
      <c r="O515" s="127" t="inlineStr">
        <is>
          <t>Projétil</t>
        </is>
      </c>
      <c r="P515" s="17" t="n"/>
      <c r="Q515" s="68">
        <f>DADOS_INVOC!$QC$35</f>
        <v/>
      </c>
      <c r="R515" s="17" t="n"/>
      <c r="S515" s="68">
        <f>DADOS_INVOC!$PY$35</f>
        <v/>
      </c>
      <c r="T515" s="123" t="n"/>
      <c r="U515" s="127" t="inlineStr">
        <is>
          <t>Projétil</t>
        </is>
      </c>
      <c r="V515" s="17" t="n"/>
      <c r="W515" s="68">
        <f>DADOS_INVOC!$QC$36</f>
        <v/>
      </c>
      <c r="X515" s="17" t="n"/>
      <c r="Y515" s="68">
        <f>DADOS_INVOC!$PY$36</f>
        <v/>
      </c>
      <c r="Z515" s="123" t="n"/>
      <c r="AB515" s="127" t="inlineStr">
        <is>
          <t>Projétil</t>
        </is>
      </c>
      <c r="AC515" s="17" t="n"/>
      <c r="AD515" s="68">
        <f>DADOS_INVOC!$QC$112</f>
        <v/>
      </c>
      <c r="AE515" s="17" t="n"/>
      <c r="AF515" s="68">
        <f>DADOS_INVOC!$PY$112</f>
        <v/>
      </c>
      <c r="AG515" s="123" t="n"/>
      <c r="AH515" s="127" t="inlineStr">
        <is>
          <t>Projétil</t>
        </is>
      </c>
      <c r="AI515" s="17" t="n"/>
      <c r="AJ515" s="68">
        <f>DADOS_INVOC!$QC$113</f>
        <v/>
      </c>
      <c r="AK515" s="17" t="n"/>
      <c r="AL515" s="68">
        <f>DADOS_INVOC!$PY$113</f>
        <v/>
      </c>
      <c r="AM515" s="123" t="n"/>
      <c r="AN515" s="127" t="inlineStr">
        <is>
          <t>Projétil</t>
        </is>
      </c>
      <c r="AO515" s="17" t="n"/>
      <c r="AP515" s="68">
        <f>DADOS_INVOC!$QC$114</f>
        <v/>
      </c>
      <c r="AQ515" s="17" t="n"/>
      <c r="AR515" s="68">
        <f>DADOS_INVOC!$PY$114</f>
        <v/>
      </c>
      <c r="AS515" s="123" t="n"/>
    </row>
    <row r="516" hidden="1" outlineLevel="2">
      <c r="A516" s="8" t="n"/>
      <c r="B516" s="14" t="n"/>
      <c r="C516" s="123" t="n"/>
      <c r="D516" s="123" t="n"/>
      <c r="E516" s="123" t="n"/>
      <c r="F516" s="123" t="n"/>
      <c r="G516" s="123" t="n"/>
      <c r="I516" s="127" t="n"/>
      <c r="J516" s="17" t="n"/>
      <c r="K516" s="127" t="n"/>
      <c r="L516" s="16" t="n"/>
      <c r="M516" s="17" t="n"/>
      <c r="N516" s="123" t="n"/>
      <c r="O516" s="127" t="n"/>
      <c r="P516" s="17" t="n"/>
      <c r="Q516" s="127" t="n"/>
      <c r="R516" s="16" t="n"/>
      <c r="S516" s="17" t="n"/>
      <c r="T516" s="123" t="n"/>
      <c r="U516" s="127" t="n"/>
      <c r="V516" s="17" t="n"/>
      <c r="W516" s="127" t="n"/>
      <c r="X516" s="16" t="n"/>
      <c r="Y516" s="17" t="n"/>
      <c r="Z516" s="123" t="n"/>
      <c r="AB516" s="127" t="n"/>
      <c r="AC516" s="17" t="n"/>
      <c r="AD516" s="127" t="n"/>
      <c r="AE516" s="16" t="n"/>
      <c r="AF516" s="17" t="n"/>
      <c r="AG516" s="123" t="n"/>
      <c r="AH516" s="127" t="n"/>
      <c r="AI516" s="17" t="n"/>
      <c r="AJ516" s="127" t="n"/>
      <c r="AK516" s="16" t="n"/>
      <c r="AL516" s="17" t="n"/>
      <c r="AM516" s="123" t="n"/>
      <c r="AN516" s="127" t="n"/>
      <c r="AO516" s="17" t="n"/>
      <c r="AP516" s="127" t="n"/>
      <c r="AQ516" s="16" t="n"/>
      <c r="AR516" s="17" t="n"/>
      <c r="AS516" s="123" t="n"/>
    </row>
    <row r="517" hidden="1" outlineLevel="2">
      <c r="A517" s="8" t="n"/>
      <c r="B517" s="14" t="n"/>
      <c r="C517" s="123" t="n"/>
      <c r="D517" s="123" t="n"/>
      <c r="E517" s="123" t="n"/>
      <c r="F517" s="123" t="n"/>
      <c r="G517" s="123" t="n"/>
      <c r="I517" s="127">
        <f>DADOS_INVOC!$PZ$34</f>
        <v/>
      </c>
      <c r="J517" s="17" t="n"/>
      <c r="K517" s="127">
        <f>DADOS_INVOC!$QB$34</f>
        <v/>
      </c>
      <c r="L517" s="16" t="n"/>
      <c r="M517" s="17" t="n"/>
      <c r="N517" s="123" t="n"/>
      <c r="O517" s="127">
        <f>DADOS_INVOC!$PZ$35</f>
        <v/>
      </c>
      <c r="P517" s="17" t="n"/>
      <c r="Q517" s="127">
        <f>DADOS_INVOC!$QB$35</f>
        <v/>
      </c>
      <c r="R517" s="16" t="n"/>
      <c r="S517" s="17" t="n"/>
      <c r="T517" s="123" t="n"/>
      <c r="U517" s="127">
        <f>DADOS_INVOC!$PZ$36</f>
        <v/>
      </c>
      <c r="V517" s="17" t="n"/>
      <c r="W517" s="127">
        <f>DADOS_INVOC!$QB$36</f>
        <v/>
      </c>
      <c r="X517" s="16" t="n"/>
      <c r="Y517" s="17" t="n"/>
      <c r="Z517" s="123" t="n"/>
      <c r="AB517" s="127">
        <f>DADOS_INVOC!$PZ$112</f>
        <v/>
      </c>
      <c r="AC517" s="17" t="n"/>
      <c r="AD517" s="127">
        <f>DADOS_INVOC!$QB$112</f>
        <v/>
      </c>
      <c r="AE517" s="16" t="n"/>
      <c r="AF517" s="17" t="n"/>
      <c r="AG517" s="123" t="n"/>
      <c r="AH517" s="127">
        <f>DADOS_INVOC!$PZ$113</f>
        <v/>
      </c>
      <c r="AI517" s="17" t="n"/>
      <c r="AJ517" s="127">
        <f>DADOS_INVOC!$QB$113</f>
        <v/>
      </c>
      <c r="AK517" s="16" t="n"/>
      <c r="AL517" s="17" t="n"/>
      <c r="AM517" s="123" t="n"/>
      <c r="AN517" s="127">
        <f>DADOS_INVOC!$PZ$114</f>
        <v/>
      </c>
      <c r="AO517" s="17" t="n"/>
      <c r="AP517" s="127">
        <f>DADOS_INVOC!$QB$114</f>
        <v/>
      </c>
      <c r="AQ517" s="16" t="n"/>
      <c r="AR517" s="17" t="n"/>
      <c r="AS517" s="123" t="n"/>
    </row>
    <row r="518" hidden="1" outlineLevel="2">
      <c r="A518" s="8" t="n"/>
      <c r="B518" s="14" t="n"/>
      <c r="C518" s="123" t="n"/>
      <c r="D518" s="123" t="n"/>
      <c r="E518" s="123" t="n"/>
      <c r="F518" s="123" t="n"/>
      <c r="G518" s="123" t="n"/>
      <c r="I518" s="132">
        <f>DADOS_INVOC!$QH$34</f>
        <v/>
      </c>
      <c r="J518" s="16" t="n"/>
      <c r="K518" s="16" t="n"/>
      <c r="L518" s="16" t="n"/>
      <c r="M518" s="17" t="n"/>
      <c r="N518" s="123" t="n"/>
      <c r="O518" s="132">
        <f>DADOS_INVOC!$QH$35</f>
        <v/>
      </c>
      <c r="P518" s="16" t="n"/>
      <c r="Q518" s="16" t="n"/>
      <c r="R518" s="16" t="n"/>
      <c r="S518" s="17" t="n"/>
      <c r="T518" s="123" t="n"/>
      <c r="U518" s="132">
        <f>DADOS_INVOC!$QH$36</f>
        <v/>
      </c>
      <c r="V518" s="16" t="n"/>
      <c r="W518" s="16" t="n"/>
      <c r="X518" s="16" t="n"/>
      <c r="Y518" s="17" t="n"/>
      <c r="Z518" s="123" t="n"/>
      <c r="AB518" s="132">
        <f>DADOS_INVOC!$QH$112</f>
        <v/>
      </c>
      <c r="AC518" s="16" t="n"/>
      <c r="AD518" s="16" t="n"/>
      <c r="AE518" s="16" t="n"/>
      <c r="AF518" s="17" t="n"/>
      <c r="AG518" s="123" t="n"/>
      <c r="AH518" s="132">
        <f>DADOS_INVOC!$QH$113</f>
        <v/>
      </c>
      <c r="AI518" s="16" t="n"/>
      <c r="AJ518" s="16" t="n"/>
      <c r="AK518" s="16" t="n"/>
      <c r="AL518" s="17" t="n"/>
      <c r="AM518" s="123" t="n"/>
      <c r="AN518" s="132">
        <f>DADOS_INVOC!$QH$114</f>
        <v/>
      </c>
      <c r="AO518" s="16" t="n"/>
      <c r="AP518" s="16" t="n"/>
      <c r="AQ518" s="16" t="n"/>
      <c r="AR518" s="17" t="n"/>
      <c r="AS518" s="123" t="n"/>
    </row>
    <row r="519" hidden="1" outlineLevel="3">
      <c r="A519" s="8" t="n"/>
      <c r="B519" s="14" t="n"/>
      <c r="C519" s="123" t="n"/>
      <c r="D519" s="123" t="n"/>
      <c r="E519" s="123" t="n"/>
      <c r="F519" s="123" t="n"/>
      <c r="G519" s="123" t="n"/>
      <c r="I519" s="55" t="inlineStr">
        <is>
          <t>MELHORIAS</t>
        </is>
      </c>
      <c r="J519" s="133" t="n"/>
      <c r="K519" s="16" t="n"/>
      <c r="L519" s="17" t="n"/>
      <c r="M519" s="132">
        <f>DADOS_INVOC!$QK$34</f>
        <v/>
      </c>
      <c r="N519" s="123" t="n"/>
      <c r="O519" s="55" t="inlineStr">
        <is>
          <t>MELHORIAS</t>
        </is>
      </c>
      <c r="P519" s="133" t="n"/>
      <c r="Q519" s="16" t="n"/>
      <c r="R519" s="17" t="n"/>
      <c r="S519" s="132">
        <f>DADOS_INVOC!$QK$35</f>
        <v/>
      </c>
      <c r="T519" s="123" t="n"/>
      <c r="U519" s="55" t="inlineStr">
        <is>
          <t>MELHORIAS</t>
        </is>
      </c>
      <c r="V519" s="133" t="n"/>
      <c r="W519" s="16" t="n"/>
      <c r="X519" s="17" t="n"/>
      <c r="Y519" s="132">
        <f>DADOS_INVOC!$QK$36</f>
        <v/>
      </c>
      <c r="Z519" s="123" t="n"/>
      <c r="AB519" s="55" t="inlineStr">
        <is>
          <t>MELHORIAS</t>
        </is>
      </c>
      <c r="AC519" s="133" t="n"/>
      <c r="AD519" s="16" t="n"/>
      <c r="AE519" s="17" t="n"/>
      <c r="AF519" s="132">
        <f>DADOS_INVOC!$QK$112</f>
        <v/>
      </c>
      <c r="AG519" s="123" t="n"/>
      <c r="AH519" s="55" t="inlineStr">
        <is>
          <t>MELHORIAS</t>
        </is>
      </c>
      <c r="AI519" s="133" t="n"/>
      <c r="AJ519" s="16" t="n"/>
      <c r="AK519" s="17" t="n"/>
      <c r="AL519" s="132">
        <f>DADOS_INVOC!$QK$113</f>
        <v/>
      </c>
      <c r="AM519" s="123" t="n"/>
      <c r="AN519" s="55" t="inlineStr">
        <is>
          <t>MELHORIAS</t>
        </is>
      </c>
      <c r="AO519" s="133" t="n"/>
      <c r="AP519" s="16" t="n"/>
      <c r="AQ519" s="17" t="n"/>
      <c r="AR519" s="132">
        <f>DADOS_INVOC!$QK$114</f>
        <v/>
      </c>
      <c r="AS519" s="123" t="n"/>
    </row>
    <row r="520" hidden="1" outlineLevel="3">
      <c r="A520" s="8" t="n"/>
      <c r="B520" s="14" t="n"/>
      <c r="C520" s="123" t="n"/>
      <c r="D520" s="123" t="n"/>
      <c r="E520" s="123" t="n"/>
      <c r="F520" s="123" t="n"/>
      <c r="G520" s="123" t="n"/>
      <c r="I520" s="134" t="n"/>
      <c r="J520" s="133" t="n"/>
      <c r="K520" s="16" t="n"/>
      <c r="L520" s="17" t="n"/>
      <c r="M520" s="132">
        <f>DADOS_INVOC!$QL$34</f>
        <v/>
      </c>
      <c r="N520" s="123" t="n"/>
      <c r="O520" s="134" t="n"/>
      <c r="P520" s="133" t="n"/>
      <c r="Q520" s="16" t="n"/>
      <c r="R520" s="17" t="n"/>
      <c r="S520" s="132">
        <f>DADOS_INVOC!$QL$35</f>
        <v/>
      </c>
      <c r="T520" s="123" t="n"/>
      <c r="U520" s="134" t="n"/>
      <c r="V520" s="133" t="n"/>
      <c r="W520" s="16" t="n"/>
      <c r="X520" s="17" t="n"/>
      <c r="Y520" s="132">
        <f>DADOS_INVOC!$QL$36</f>
        <v/>
      </c>
      <c r="Z520" s="123" t="n"/>
      <c r="AB520" s="134" t="n"/>
      <c r="AC520" s="133" t="n"/>
      <c r="AD520" s="16" t="n"/>
      <c r="AE520" s="17" t="n"/>
      <c r="AF520" s="132">
        <f>DADOS_INVOC!$QL$112</f>
        <v/>
      </c>
      <c r="AG520" s="123" t="n"/>
      <c r="AH520" s="134" t="n"/>
      <c r="AI520" s="133" t="n"/>
      <c r="AJ520" s="16" t="n"/>
      <c r="AK520" s="17" t="n"/>
      <c r="AL520" s="132">
        <f>DADOS_INVOC!$QL$113</f>
        <v/>
      </c>
      <c r="AM520" s="123" t="n"/>
      <c r="AN520" s="134" t="n"/>
      <c r="AO520" s="133" t="n"/>
      <c r="AP520" s="16" t="n"/>
      <c r="AQ520" s="17" t="n"/>
      <c r="AR520" s="132">
        <f>DADOS_INVOC!$QL$114</f>
        <v/>
      </c>
      <c r="AS520" s="123" t="n"/>
    </row>
    <row r="521" hidden="1" outlineLevel="3">
      <c r="A521" s="8" t="n"/>
      <c r="B521" s="14" t="n"/>
      <c r="C521" s="123" t="n"/>
      <c r="D521" s="123" t="n"/>
      <c r="E521" s="123" t="n"/>
      <c r="F521" s="123" t="n"/>
      <c r="G521" s="123" t="n"/>
      <c r="I521" s="134" t="n"/>
      <c r="J521" s="133" t="n"/>
      <c r="K521" s="16" t="n"/>
      <c r="L521" s="17" t="n"/>
      <c r="M521" s="132">
        <f>DADOS_INVOC!$QM$34</f>
        <v/>
      </c>
      <c r="N521" s="123" t="n"/>
      <c r="O521" s="134" t="n"/>
      <c r="P521" s="133" t="n"/>
      <c r="Q521" s="16" t="n"/>
      <c r="R521" s="17" t="n"/>
      <c r="S521" s="132">
        <f>DADOS_INVOC!$QM$35</f>
        <v/>
      </c>
      <c r="T521" s="123" t="n"/>
      <c r="U521" s="134" t="n"/>
      <c r="V521" s="133" t="n"/>
      <c r="W521" s="16" t="n"/>
      <c r="X521" s="17" t="n"/>
      <c r="Y521" s="132">
        <f>DADOS_INVOC!$QM$36</f>
        <v/>
      </c>
      <c r="Z521" s="123" t="n"/>
      <c r="AB521" s="134" t="n"/>
      <c r="AC521" s="133" t="n"/>
      <c r="AD521" s="16" t="n"/>
      <c r="AE521" s="17" t="n"/>
      <c r="AF521" s="132">
        <f>DADOS_INVOC!$QM$112</f>
        <v/>
      </c>
      <c r="AG521" s="123" t="n"/>
      <c r="AH521" s="134" t="n"/>
      <c r="AI521" s="133" t="n"/>
      <c r="AJ521" s="16" t="n"/>
      <c r="AK521" s="17" t="n"/>
      <c r="AL521" s="132">
        <f>DADOS_INVOC!$QM$113</f>
        <v/>
      </c>
      <c r="AM521" s="123" t="n"/>
      <c r="AN521" s="134" t="n"/>
      <c r="AO521" s="133" t="n"/>
      <c r="AP521" s="16" t="n"/>
      <c r="AQ521" s="17" t="n"/>
      <c r="AR521" s="132">
        <f>DADOS_INVOC!$QM$114</f>
        <v/>
      </c>
      <c r="AS521" s="123" t="n"/>
    </row>
    <row r="522" hidden="1" outlineLevel="3">
      <c r="A522" s="8" t="n"/>
      <c r="B522" s="14" t="n"/>
      <c r="C522" s="123" t="n"/>
      <c r="D522" s="123" t="n"/>
      <c r="E522" s="123" t="n"/>
      <c r="F522" s="123" t="n"/>
      <c r="G522" s="123" t="n"/>
      <c r="I522" s="128" t="n"/>
      <c r="J522" s="133" t="n"/>
      <c r="K522" s="16" t="n"/>
      <c r="L522" s="17" t="n"/>
      <c r="M522" s="132">
        <f>DADOS_INVOC!$QN$34</f>
        <v/>
      </c>
      <c r="N522" s="123" t="n"/>
      <c r="O522" s="128" t="n"/>
      <c r="P522" s="133" t="n"/>
      <c r="Q522" s="16" t="n"/>
      <c r="R522" s="17" t="n"/>
      <c r="S522" s="132">
        <f>DADOS_INVOC!$QN$35</f>
        <v/>
      </c>
      <c r="T522" s="123" t="n"/>
      <c r="U522" s="128" t="n"/>
      <c r="V522" s="133" t="n"/>
      <c r="W522" s="16" t="n"/>
      <c r="X522" s="17" t="n"/>
      <c r="Y522" s="132">
        <f>DADOS_INVOC!$QN$36</f>
        <v/>
      </c>
      <c r="Z522" s="123" t="n"/>
      <c r="AB522" s="128" t="n"/>
      <c r="AC522" s="133" t="n"/>
      <c r="AD522" s="16" t="n"/>
      <c r="AE522" s="17" t="n"/>
      <c r="AF522" s="132">
        <f>DADOS_INVOC!$QN$112</f>
        <v/>
      </c>
      <c r="AG522" s="123" t="n"/>
      <c r="AH522" s="128" t="n"/>
      <c r="AI522" s="133" t="n"/>
      <c r="AJ522" s="16" t="n"/>
      <c r="AK522" s="17" t="n"/>
      <c r="AL522" s="132">
        <f>DADOS_INVOC!$QN$113</f>
        <v/>
      </c>
      <c r="AM522" s="123" t="n"/>
      <c r="AN522" s="128" t="n"/>
      <c r="AO522" s="133" t="n"/>
      <c r="AP522" s="16" t="n"/>
      <c r="AQ522" s="17" t="n"/>
      <c r="AR522" s="132">
        <f>DADOS_INVOC!$QN$114</f>
        <v/>
      </c>
      <c r="AS522" s="123" t="n"/>
    </row>
    <row r="523" hidden="1" outlineLevel="3">
      <c r="A523" s="8" t="n"/>
      <c r="B523" s="14" t="n"/>
      <c r="C523" s="123" t="n"/>
      <c r="D523" s="123" t="n"/>
      <c r="E523" s="123" t="n"/>
      <c r="F523" s="123" t="n"/>
      <c r="G523" s="123" t="n"/>
      <c r="I523" s="55" t="inlineStr">
        <is>
          <t>RESTRIÇÕES</t>
        </is>
      </c>
      <c r="J523" s="133" t="n"/>
      <c r="K523" s="16" t="n"/>
      <c r="L523" s="17" t="n"/>
      <c r="M523" s="132">
        <f>DADOS_INVOC!$QO$34</f>
        <v/>
      </c>
      <c r="N523" s="123" t="n"/>
      <c r="O523" s="55" t="inlineStr">
        <is>
          <t>RESTRIÇÕES</t>
        </is>
      </c>
      <c r="P523" s="133" t="n"/>
      <c r="Q523" s="16" t="n"/>
      <c r="R523" s="17" t="n"/>
      <c r="S523" s="132">
        <f>DADOS_INVOC!$QO$35</f>
        <v/>
      </c>
      <c r="T523" s="123" t="n"/>
      <c r="U523" s="55" t="inlineStr">
        <is>
          <t>RESTRIÇÕES</t>
        </is>
      </c>
      <c r="V523" s="133" t="n"/>
      <c r="W523" s="16" t="n"/>
      <c r="X523" s="17" t="n"/>
      <c r="Y523" s="132">
        <f>DADOS_INVOC!$QO$36</f>
        <v/>
      </c>
      <c r="Z523" s="123" t="n"/>
      <c r="AB523" s="55" t="inlineStr">
        <is>
          <t>RESTRIÇÕES</t>
        </is>
      </c>
      <c r="AC523" s="133" t="n"/>
      <c r="AD523" s="16" t="n"/>
      <c r="AE523" s="17" t="n"/>
      <c r="AF523" s="132">
        <f>DADOS_INVOC!$QO$112</f>
        <v/>
      </c>
      <c r="AG523" s="123" t="n"/>
      <c r="AH523" s="55" t="inlineStr">
        <is>
          <t>RESTRIÇÕES</t>
        </is>
      </c>
      <c r="AI523" s="133" t="n"/>
      <c r="AJ523" s="16" t="n"/>
      <c r="AK523" s="17" t="n"/>
      <c r="AL523" s="132">
        <f>DADOS_INVOC!$QO$113</f>
        <v/>
      </c>
      <c r="AM523" s="123" t="n"/>
      <c r="AN523" s="55" t="inlineStr">
        <is>
          <t>RESTRIÇÕES</t>
        </is>
      </c>
      <c r="AO523" s="133" t="n"/>
      <c r="AP523" s="16" t="n"/>
      <c r="AQ523" s="17" t="n"/>
      <c r="AR523" s="132">
        <f>DADOS_INVOC!$QO$114</f>
        <v/>
      </c>
      <c r="AS523" s="123" t="n"/>
    </row>
    <row r="524" hidden="1" outlineLevel="3">
      <c r="A524" s="8" t="n"/>
      <c r="B524" s="14" t="n"/>
      <c r="C524" s="123" t="n"/>
      <c r="D524" s="123" t="n"/>
      <c r="E524" s="123" t="n"/>
      <c r="F524" s="123" t="n"/>
      <c r="G524" s="123" t="n"/>
      <c r="I524" s="128" t="n"/>
      <c r="J524" s="133" t="n"/>
      <c r="K524" s="16" t="n"/>
      <c r="L524" s="17" t="n"/>
      <c r="M524" s="132">
        <f>DADOS_INVOC!$QP$34</f>
        <v/>
      </c>
      <c r="N524" s="123" t="n"/>
      <c r="O524" s="128" t="n"/>
      <c r="P524" s="133" t="n"/>
      <c r="Q524" s="16" t="n"/>
      <c r="R524" s="17" t="n"/>
      <c r="S524" s="132">
        <f>DADOS_INVOC!$QP$35</f>
        <v/>
      </c>
      <c r="T524" s="123" t="n"/>
      <c r="U524" s="128" t="n"/>
      <c r="V524" s="133" t="n"/>
      <c r="W524" s="16" t="n"/>
      <c r="X524" s="17" t="n"/>
      <c r="Y524" s="132">
        <f>DADOS_INVOC!$QP$36</f>
        <v/>
      </c>
      <c r="Z524" s="123" t="n"/>
      <c r="AB524" s="128" t="n"/>
      <c r="AC524" s="133" t="n"/>
      <c r="AD524" s="16" t="n"/>
      <c r="AE524" s="17" t="n"/>
      <c r="AF524" s="132">
        <f>DADOS_INVOC!$QP$112</f>
        <v/>
      </c>
      <c r="AG524" s="123" t="n"/>
      <c r="AH524" s="128" t="n"/>
      <c r="AI524" s="133" t="n"/>
      <c r="AJ524" s="16" t="n"/>
      <c r="AK524" s="17" t="n"/>
      <c r="AL524" s="132">
        <f>DADOS_INVOC!$QP$113</f>
        <v/>
      </c>
      <c r="AM524" s="123" t="n"/>
      <c r="AN524" s="128" t="n"/>
      <c r="AO524" s="133" t="n"/>
      <c r="AP524" s="16" t="n"/>
      <c r="AQ524" s="17" t="n"/>
      <c r="AR524" s="132">
        <f>DADOS_INVOC!$QP$114</f>
        <v/>
      </c>
      <c r="AS524" s="123" t="n"/>
    </row>
    <row r="525" hidden="1" outlineLevel="3">
      <c r="A525" s="8" t="n"/>
      <c r="B525" s="14" t="n"/>
      <c r="C525" s="123" t="n"/>
      <c r="D525" s="123" t="n"/>
      <c r="E525" s="123" t="n"/>
      <c r="F525" s="123" t="n"/>
      <c r="G525" s="123" t="n"/>
      <c r="I525" s="55" t="inlineStr">
        <is>
          <t>CONTA</t>
        </is>
      </c>
      <c r="J525" s="135">
        <f>DADOS_INVOC!$QI$34</f>
        <v/>
      </c>
      <c r="K525" s="16" t="n"/>
      <c r="L525" s="16" t="n"/>
      <c r="M525" s="17" t="n"/>
      <c r="N525" s="123" t="n"/>
      <c r="O525" s="55" t="inlineStr">
        <is>
          <t>CONTA</t>
        </is>
      </c>
      <c r="P525" s="135">
        <f>DADOS_INVOC!$QI$35</f>
        <v/>
      </c>
      <c r="Q525" s="16" t="n"/>
      <c r="R525" s="16" t="n"/>
      <c r="S525" s="17" t="n"/>
      <c r="T525" s="123" t="n"/>
      <c r="U525" s="55" t="inlineStr">
        <is>
          <t>CONTA</t>
        </is>
      </c>
      <c r="V525" s="135">
        <f>DADOS_INVOC!$QI$36</f>
        <v/>
      </c>
      <c r="W525" s="16" t="n"/>
      <c r="X525" s="16" t="n"/>
      <c r="Y525" s="17" t="n"/>
      <c r="Z525" s="123" t="n"/>
      <c r="AB525" s="55" t="inlineStr">
        <is>
          <t>CONTA</t>
        </is>
      </c>
      <c r="AC525" s="135">
        <f>DADOS_INVOC!$QI$112</f>
        <v/>
      </c>
      <c r="AD525" s="16" t="n"/>
      <c r="AE525" s="16" t="n"/>
      <c r="AF525" s="17" t="n"/>
      <c r="AG525" s="123" t="n"/>
      <c r="AH525" s="55" t="inlineStr">
        <is>
          <t>CONTA</t>
        </is>
      </c>
      <c r="AI525" s="135">
        <f>DADOS_INVOC!$QI$113</f>
        <v/>
      </c>
      <c r="AJ525" s="16" t="n"/>
      <c r="AK525" s="16" t="n"/>
      <c r="AL525" s="17" t="n"/>
      <c r="AM525" s="123" t="n"/>
      <c r="AN525" s="55" t="inlineStr">
        <is>
          <t>CONTA</t>
        </is>
      </c>
      <c r="AO525" s="135">
        <f>DADOS_INVOC!$QI$114</f>
        <v/>
      </c>
      <c r="AP525" s="16" t="n"/>
      <c r="AQ525" s="16" t="n"/>
      <c r="AR525" s="17" t="n"/>
      <c r="AS525" s="123" t="n"/>
    </row>
    <row r="526" hidden="1" outlineLevel="3">
      <c r="A526" s="8" t="n"/>
      <c r="B526" s="14" t="n"/>
      <c r="C526" s="123" t="n"/>
      <c r="D526" s="123" t="n"/>
      <c r="E526" s="123" t="n"/>
      <c r="F526" s="123" t="n"/>
      <c r="G526" s="123" t="n"/>
      <c r="I526" s="55" t="inlineStr">
        <is>
          <t>AMPLIAR</t>
        </is>
      </c>
      <c r="J526" s="135">
        <f>DADOS_INVOC!$QJ$34</f>
        <v/>
      </c>
      <c r="K526" s="19" t="n"/>
      <c r="L526" s="19" t="n"/>
      <c r="M526" s="20" t="n"/>
      <c r="N526" s="123" t="n"/>
      <c r="O526" s="55" t="inlineStr">
        <is>
          <t>AMPLIAR</t>
        </is>
      </c>
      <c r="P526" s="135">
        <f>DADOS_INVOC!$QJ$35</f>
        <v/>
      </c>
      <c r="Q526" s="19" t="n"/>
      <c r="R526" s="19" t="n"/>
      <c r="S526" s="20" t="n"/>
      <c r="T526" s="123" t="n"/>
      <c r="U526" s="55" t="inlineStr">
        <is>
          <t>AMPLIAR</t>
        </is>
      </c>
      <c r="V526" s="135">
        <f>DADOS_INVOC!$QJ$36</f>
        <v/>
      </c>
      <c r="W526" s="19" t="n"/>
      <c r="X526" s="19" t="n"/>
      <c r="Y526" s="20" t="n"/>
      <c r="Z526" s="123" t="n"/>
      <c r="AB526" s="55" t="inlineStr">
        <is>
          <t>AMPLIAR</t>
        </is>
      </c>
      <c r="AC526" s="135">
        <f>DADOS_INVOC!$QJ$112</f>
        <v/>
      </c>
      <c r="AD526" s="19" t="n"/>
      <c r="AE526" s="19" t="n"/>
      <c r="AF526" s="20" t="n"/>
      <c r="AG526" s="123" t="n"/>
      <c r="AH526" s="55" t="inlineStr">
        <is>
          <t>AMPLIAR</t>
        </is>
      </c>
      <c r="AI526" s="135">
        <f>DADOS_INVOC!$QJ$113</f>
        <v/>
      </c>
      <c r="AJ526" s="19" t="n"/>
      <c r="AK526" s="19" t="n"/>
      <c r="AL526" s="20" t="n"/>
      <c r="AM526" s="123" t="n"/>
      <c r="AN526" s="55" t="inlineStr">
        <is>
          <t>AMPLIAR</t>
        </is>
      </c>
      <c r="AO526" s="135">
        <f>DADOS_INVOC!$QJ$114</f>
        <v/>
      </c>
      <c r="AP526" s="19" t="n"/>
      <c r="AQ526" s="19" t="n"/>
      <c r="AR526" s="20" t="n"/>
      <c r="AS526" s="123" t="n"/>
    </row>
    <row r="527" hidden="1" outlineLevel="3">
      <c r="A527" s="8" t="n"/>
      <c r="B527" s="14" t="n"/>
      <c r="C527" s="123" t="n"/>
      <c r="D527" s="123" t="n"/>
      <c r="E527" s="123" t="n"/>
      <c r="F527" s="123" t="n"/>
      <c r="G527" s="123" t="n"/>
      <c r="I527" s="128" t="n"/>
      <c r="J527" s="23" t="n"/>
      <c r="K527" s="24" t="n"/>
      <c r="L527" s="24" t="n"/>
      <c r="M527" s="25" t="n"/>
      <c r="N527" s="123" t="n"/>
      <c r="O527" s="128" t="n"/>
      <c r="P527" s="23" t="n"/>
      <c r="Q527" s="24" t="n"/>
      <c r="R527" s="24" t="n"/>
      <c r="S527" s="25" t="n"/>
      <c r="T527" s="123" t="n"/>
      <c r="U527" s="128" t="n"/>
      <c r="V527" s="23" t="n"/>
      <c r="W527" s="24" t="n"/>
      <c r="X527" s="24" t="n"/>
      <c r="Y527" s="25" t="n"/>
      <c r="Z527" s="123" t="n"/>
      <c r="AB527" s="128" t="n"/>
      <c r="AC527" s="23" t="n"/>
      <c r="AD527" s="24" t="n"/>
      <c r="AE527" s="24" t="n"/>
      <c r="AF527" s="25" t="n"/>
      <c r="AG527" s="123" t="n"/>
      <c r="AH527" s="128" t="n"/>
      <c r="AI527" s="23" t="n"/>
      <c r="AJ527" s="24" t="n"/>
      <c r="AK527" s="24" t="n"/>
      <c r="AL527" s="25" t="n"/>
      <c r="AM527" s="123" t="n"/>
      <c r="AN527" s="128" t="n"/>
      <c r="AO527" s="23" t="n"/>
      <c r="AP527" s="24" t="n"/>
      <c r="AQ527" s="24" t="n"/>
      <c r="AR527" s="25" t="n"/>
      <c r="AS527" s="123" t="n"/>
    </row>
    <row r="528" hidden="1" outlineLevel="3">
      <c r="A528" s="8" t="n"/>
      <c r="B528" s="14" t="n"/>
      <c r="C528" s="123" t="n"/>
      <c r="D528" s="123" t="n"/>
      <c r="E528" s="123" t="n"/>
      <c r="F528" s="123" t="n"/>
      <c r="G528" s="123" t="n"/>
      <c r="I528" s="135">
        <f>DADOS_INVOC!$PW$34</f>
        <v/>
      </c>
      <c r="J528" s="19" t="n"/>
      <c r="K528" s="19" t="n"/>
      <c r="L528" s="19" t="n"/>
      <c r="M528" s="20" t="n"/>
      <c r="N528" s="123" t="n"/>
      <c r="O528" s="135">
        <f>DADOS_INVOC!$PW$35</f>
        <v/>
      </c>
      <c r="P528" s="19" t="n"/>
      <c r="Q528" s="19" t="n"/>
      <c r="R528" s="19" t="n"/>
      <c r="S528" s="20" t="n"/>
      <c r="T528" s="123" t="n"/>
      <c r="U528" s="135">
        <f>DADOS_INVOC!$PW$36</f>
        <v/>
      </c>
      <c r="V528" s="19" t="n"/>
      <c r="W528" s="19" t="n"/>
      <c r="X528" s="19" t="n"/>
      <c r="Y528" s="20" t="n"/>
      <c r="Z528" s="123" t="n"/>
      <c r="AB528" s="135">
        <f>DADOS_INVOC!$PW$112</f>
        <v/>
      </c>
      <c r="AC528" s="19" t="n"/>
      <c r="AD528" s="19" t="n"/>
      <c r="AE528" s="19" t="n"/>
      <c r="AF528" s="20" t="n"/>
      <c r="AG528" s="123" t="n"/>
      <c r="AH528" s="135">
        <f>DADOS_INVOC!$PW$113</f>
        <v/>
      </c>
      <c r="AI528" s="19" t="n"/>
      <c r="AJ528" s="19" t="n"/>
      <c r="AK528" s="19" t="n"/>
      <c r="AL528" s="20" t="n"/>
      <c r="AM528" s="123" t="n"/>
      <c r="AN528" s="135">
        <f>DADOS_INVOC!$PW$114</f>
        <v/>
      </c>
      <c r="AO528" s="19" t="n"/>
      <c r="AP528" s="19" t="n"/>
      <c r="AQ528" s="19" t="n"/>
      <c r="AR528" s="20" t="n"/>
      <c r="AS528" s="123" t="n"/>
    </row>
    <row r="529" hidden="1" outlineLevel="3">
      <c r="A529" s="8" t="n"/>
      <c r="B529" s="14" t="n"/>
      <c r="C529" s="123" t="n"/>
      <c r="D529" s="123" t="n"/>
      <c r="E529" s="123" t="n"/>
      <c r="F529" s="123" t="n"/>
      <c r="G529" s="123" t="n"/>
      <c r="I529" s="23" t="n"/>
      <c r="J529" s="24" t="n"/>
      <c r="K529" s="24" t="n"/>
      <c r="L529" s="24" t="n"/>
      <c r="M529" s="25" t="n"/>
      <c r="N529" s="123" t="n"/>
      <c r="O529" s="23" t="n"/>
      <c r="P529" s="24" t="n"/>
      <c r="Q529" s="24" t="n"/>
      <c r="R529" s="24" t="n"/>
      <c r="S529" s="25" t="n"/>
      <c r="T529" s="123" t="n"/>
      <c r="U529" s="23" t="n"/>
      <c r="V529" s="24" t="n"/>
      <c r="W529" s="24" t="n"/>
      <c r="X529" s="24" t="n"/>
      <c r="Y529" s="25" t="n"/>
      <c r="Z529" s="123" t="n"/>
      <c r="AB529" s="23" t="n"/>
      <c r="AC529" s="24" t="n"/>
      <c r="AD529" s="24" t="n"/>
      <c r="AE529" s="24" t="n"/>
      <c r="AF529" s="25" t="n"/>
      <c r="AG529" s="123" t="n"/>
      <c r="AH529" s="23" t="n"/>
      <c r="AI529" s="24" t="n"/>
      <c r="AJ529" s="24" t="n"/>
      <c r="AK529" s="24" t="n"/>
      <c r="AL529" s="25" t="n"/>
      <c r="AM529" s="123" t="n"/>
      <c r="AN529" s="23" t="n"/>
      <c r="AO529" s="24" t="n"/>
      <c r="AP529" s="24" t="n"/>
      <c r="AQ529" s="24" t="n"/>
      <c r="AR529" s="25" t="n"/>
      <c r="AS529" s="123" t="n"/>
    </row>
    <row r="530" hidden="1" outlineLevel="2">
      <c r="A530" s="8" t="n"/>
      <c r="B530" s="14" t="n"/>
      <c r="C530" s="123" t="n"/>
      <c r="D530" s="123" t="n"/>
      <c r="E530" s="123" t="n"/>
      <c r="F530" s="123" t="n"/>
      <c r="G530" s="123" t="n"/>
      <c r="I530" s="123" t="n"/>
      <c r="J530" s="123" t="n"/>
      <c r="K530" s="123" t="n"/>
      <c r="L530" s="123" t="n"/>
      <c r="M530" s="123" t="n"/>
      <c r="N530" s="123" t="n"/>
      <c r="O530" s="123" t="n"/>
      <c r="P530" s="123" t="n"/>
      <c r="Q530" s="123" t="n"/>
      <c r="R530" s="123" t="n"/>
      <c r="S530" s="123" t="n"/>
      <c r="T530" s="123" t="n"/>
      <c r="U530" s="123" t="n"/>
      <c r="V530" s="123" t="n"/>
      <c r="W530" s="123" t="n"/>
      <c r="X530" s="123" t="n"/>
      <c r="Y530" s="123" t="n"/>
      <c r="Z530" s="123" t="n"/>
      <c r="AB530" s="123" t="n"/>
      <c r="AC530" s="123" t="n"/>
      <c r="AD530" s="123" t="n"/>
      <c r="AE530" s="123" t="n"/>
      <c r="AF530" s="123" t="n"/>
      <c r="AG530" s="123" t="n"/>
      <c r="AH530" s="123" t="n"/>
      <c r="AI530" s="123" t="n"/>
      <c r="AJ530" s="123" t="n"/>
      <c r="AK530" s="123" t="n"/>
      <c r="AL530" s="123" t="n"/>
      <c r="AM530" s="123" t="n"/>
      <c r="AN530" s="123" t="n"/>
      <c r="AO530" s="123" t="n"/>
      <c r="AP530" s="123" t="n"/>
      <c r="AQ530" s="123" t="n"/>
      <c r="AR530" s="123" t="n"/>
      <c r="AS530" s="123" t="n"/>
    </row>
    <row r="531" hidden="1" outlineLevel="2">
      <c r="A531" s="8" t="n"/>
      <c r="B531" s="14" t="n"/>
      <c r="C531" s="123" t="n"/>
      <c r="D531" s="123" t="n"/>
      <c r="E531" s="123" t="n"/>
      <c r="F531" s="123" t="n"/>
      <c r="G531" s="123" t="n"/>
      <c r="I531" s="55">
        <f>DADOS_INVOC!$PX$37</f>
        <v/>
      </c>
      <c r="J531" s="16" t="n"/>
      <c r="K531" s="16" t="n"/>
      <c r="L531" s="16" t="n"/>
      <c r="M531" s="17" t="n"/>
      <c r="N531" s="123" t="n"/>
      <c r="O531" s="123" t="n"/>
      <c r="P531" s="123" t="n"/>
      <c r="Q531" s="123" t="n"/>
      <c r="R531" s="123" t="n"/>
      <c r="S531" s="123" t="n"/>
      <c r="T531" s="123" t="n"/>
      <c r="U531" s="123" t="n"/>
      <c r="V531" s="123" t="n"/>
      <c r="W531" s="123" t="n"/>
      <c r="X531" s="123" t="n"/>
      <c r="Y531" s="123" t="n"/>
      <c r="Z531" s="123" t="n"/>
      <c r="AB531" s="55">
        <f>DADOS_INVOC!$PX$115</f>
        <v/>
      </c>
      <c r="AC531" s="16" t="n"/>
      <c r="AD531" s="16" t="n"/>
      <c r="AE531" s="16" t="n"/>
      <c r="AF531" s="17" t="n"/>
      <c r="AG531" s="123" t="n"/>
      <c r="AH531" s="123" t="n"/>
      <c r="AI531" s="123" t="n"/>
      <c r="AJ531" s="123" t="n"/>
      <c r="AK531" s="123" t="n"/>
      <c r="AL531" s="123" t="n"/>
      <c r="AM531" s="123" t="n"/>
      <c r="AN531" s="123" t="n"/>
      <c r="AO531" s="123" t="n"/>
      <c r="AP531" s="123" t="n"/>
      <c r="AQ531" s="123" t="n"/>
      <c r="AR531" s="123" t="n"/>
      <c r="AS531" s="123" t="n"/>
    </row>
    <row r="532" hidden="1" outlineLevel="2">
      <c r="A532" s="8" t="n"/>
      <c r="B532" s="14" t="n"/>
      <c r="C532" s="123" t="n"/>
      <c r="D532" s="123" t="n"/>
      <c r="E532" s="123" t="n"/>
      <c r="F532" s="123" t="n"/>
      <c r="G532" s="123" t="n"/>
      <c r="I532" s="130" t="n">
        <v>1</v>
      </c>
      <c r="J532" s="118" t="n"/>
      <c r="K532" s="16" t="n"/>
      <c r="L532" s="17" t="n"/>
      <c r="M532" s="131">
        <f>DADOS_INVOC!$PV$37</f>
        <v/>
      </c>
      <c r="N532" s="123" t="n"/>
      <c r="O532" s="123" t="n"/>
      <c r="P532" s="123" t="n"/>
      <c r="Q532" s="123" t="n"/>
      <c r="R532" s="123" t="n"/>
      <c r="S532" s="123" t="n"/>
      <c r="T532" s="123" t="n"/>
      <c r="U532" s="123" t="n"/>
      <c r="V532" s="123" t="n"/>
      <c r="W532" s="123" t="n"/>
      <c r="X532" s="123" t="n"/>
      <c r="Y532" s="123" t="n"/>
      <c r="Z532" s="123" t="n"/>
      <c r="AB532" s="130" t="n">
        <v>1</v>
      </c>
      <c r="AC532" s="118" t="n"/>
      <c r="AD532" s="16" t="n"/>
      <c r="AE532" s="17" t="n"/>
      <c r="AF532" s="131">
        <f>DADOS_INVOC!$PV$115</f>
        <v/>
      </c>
      <c r="AG532" s="123" t="n"/>
      <c r="AH532" s="123" t="n"/>
      <c r="AI532" s="123" t="n"/>
      <c r="AJ532" s="123" t="n"/>
      <c r="AK532" s="123" t="n"/>
      <c r="AL532" s="123" t="n"/>
      <c r="AM532" s="123" t="n"/>
      <c r="AN532" s="123" t="n"/>
      <c r="AO532" s="123" t="n"/>
      <c r="AP532" s="123" t="n"/>
      <c r="AQ532" s="123" t="n"/>
      <c r="AR532" s="123" t="n"/>
      <c r="AS532" s="123" t="n"/>
    </row>
    <row r="533" hidden="1" outlineLevel="3">
      <c r="A533" s="8" t="n"/>
      <c r="B533" s="14" t="n"/>
      <c r="C533" s="123" t="n"/>
      <c r="D533" s="123" t="n"/>
      <c r="E533" s="123" t="n"/>
      <c r="F533" s="123" t="n"/>
      <c r="G533" s="123" t="n"/>
      <c r="I533" s="55" t="inlineStr">
        <is>
          <t>COMO É</t>
        </is>
      </c>
      <c r="J533" s="16" t="n"/>
      <c r="K533" s="16" t="n"/>
      <c r="L533" s="16" t="n"/>
      <c r="M533" s="17" t="n"/>
      <c r="N533" s="123" t="n"/>
      <c r="O533" s="123" t="n"/>
      <c r="P533" s="123" t="n"/>
      <c r="Q533" s="123" t="n"/>
      <c r="R533" s="123" t="n"/>
      <c r="S533" s="123" t="n"/>
      <c r="T533" s="123" t="n"/>
      <c r="U533" s="123" t="n"/>
      <c r="V533" s="123" t="n"/>
      <c r="W533" s="123" t="n"/>
      <c r="X533" s="123" t="n"/>
      <c r="Y533" s="123" t="n"/>
      <c r="Z533" s="123" t="n"/>
      <c r="AB533" s="55" t="inlineStr">
        <is>
          <t>COMO É</t>
        </is>
      </c>
      <c r="AC533" s="16" t="n"/>
      <c r="AD533" s="16" t="n"/>
      <c r="AE533" s="16" t="n"/>
      <c r="AF533" s="17" t="n"/>
      <c r="AG533" s="123" t="n"/>
      <c r="AH533" s="123" t="n"/>
      <c r="AI533" s="123" t="n"/>
      <c r="AJ533" s="123" t="n"/>
      <c r="AK533" s="123" t="n"/>
      <c r="AL533" s="123" t="n"/>
      <c r="AM533" s="123" t="n"/>
      <c r="AN533" s="123" t="n"/>
      <c r="AO533" s="123" t="n"/>
      <c r="AP533" s="123" t="n"/>
      <c r="AQ533" s="123" t="n"/>
      <c r="AR533" s="123" t="n"/>
      <c r="AS533" s="123" t="n"/>
    </row>
    <row r="534" hidden="1" outlineLevel="3">
      <c r="A534" s="8" t="n"/>
      <c r="B534" s="14" t="n"/>
      <c r="C534" s="123" t="n"/>
      <c r="D534" s="123" t="n"/>
      <c r="E534" s="123" t="n"/>
      <c r="F534" s="123" t="n"/>
      <c r="G534" s="123" t="n"/>
      <c r="I534" s="119" t="n"/>
      <c r="J534" s="19" t="n"/>
      <c r="K534" s="19" t="n"/>
      <c r="L534" s="19" t="n"/>
      <c r="M534" s="20" t="n"/>
      <c r="N534" s="123" t="n"/>
      <c r="O534" s="123" t="n"/>
      <c r="P534" s="123" t="n"/>
      <c r="Q534" s="123" t="n"/>
      <c r="R534" s="123" t="n"/>
      <c r="S534" s="123" t="n"/>
      <c r="T534" s="123" t="n"/>
      <c r="U534" s="123" t="n"/>
      <c r="V534" s="123" t="n"/>
      <c r="W534" s="123" t="n"/>
      <c r="X534" s="123" t="n"/>
      <c r="Y534" s="123" t="n"/>
      <c r="Z534" s="123" t="n"/>
      <c r="AB534" s="119" t="n"/>
      <c r="AC534" s="19" t="n"/>
      <c r="AD534" s="19" t="n"/>
      <c r="AE534" s="19" t="n"/>
      <c r="AF534" s="20" t="n"/>
      <c r="AG534" s="123" t="n"/>
      <c r="AH534" s="123" t="n"/>
      <c r="AI534" s="123" t="n"/>
      <c r="AJ534" s="123" t="n"/>
      <c r="AK534" s="123" t="n"/>
      <c r="AL534" s="123" t="n"/>
      <c r="AM534" s="123" t="n"/>
      <c r="AN534" s="123" t="n"/>
      <c r="AO534" s="123" t="n"/>
      <c r="AP534" s="123" t="n"/>
      <c r="AQ534" s="123" t="n"/>
      <c r="AR534" s="123" t="n"/>
      <c r="AS534" s="123" t="n"/>
    </row>
    <row r="535" hidden="1" outlineLevel="3">
      <c r="A535" s="8" t="n"/>
      <c r="B535" s="14" t="n"/>
      <c r="C535" s="123" t="n"/>
      <c r="D535" s="123" t="n"/>
      <c r="E535" s="123" t="n"/>
      <c r="F535" s="123" t="n"/>
      <c r="G535" s="123" t="n"/>
      <c r="I535" s="21" t="n"/>
      <c r="M535" s="22" t="n"/>
      <c r="N535" s="123" t="n"/>
      <c r="O535" s="123" t="n"/>
      <c r="P535" s="123" t="n"/>
      <c r="Q535" s="123" t="n"/>
      <c r="R535" s="123" t="n"/>
      <c r="S535" s="123" t="n"/>
      <c r="T535" s="123" t="n"/>
      <c r="U535" s="123" t="n"/>
      <c r="V535" s="123" t="n"/>
      <c r="W535" s="123" t="n"/>
      <c r="X535" s="123" t="n"/>
      <c r="Y535" s="123" t="n"/>
      <c r="Z535" s="123" t="n"/>
      <c r="AB535" s="21" t="n"/>
      <c r="AF535" s="22" t="n"/>
      <c r="AG535" s="123" t="n"/>
      <c r="AH535" s="123" t="n"/>
      <c r="AI535" s="123" t="n"/>
      <c r="AJ535" s="123" t="n"/>
      <c r="AK535" s="123" t="n"/>
      <c r="AL535" s="123" t="n"/>
      <c r="AM535" s="123" t="n"/>
      <c r="AN535" s="123" t="n"/>
      <c r="AO535" s="123" t="n"/>
      <c r="AP535" s="123" t="n"/>
      <c r="AQ535" s="123" t="n"/>
      <c r="AR535" s="123" t="n"/>
      <c r="AS535" s="123" t="n"/>
    </row>
    <row r="536" hidden="1" outlineLevel="3">
      <c r="A536" s="8" t="n"/>
      <c r="B536" s="14" t="n"/>
      <c r="C536" s="123" t="n"/>
      <c r="D536" s="123" t="n"/>
      <c r="E536" s="123" t="n"/>
      <c r="F536" s="123" t="n"/>
      <c r="G536" s="123" t="n"/>
      <c r="I536" s="23" t="n"/>
      <c r="J536" s="24" t="n"/>
      <c r="K536" s="24" t="n"/>
      <c r="L536" s="24" t="n"/>
      <c r="M536" s="25" t="n"/>
      <c r="N536" s="123" t="n"/>
      <c r="O536" s="123" t="n"/>
      <c r="P536" s="123" t="n"/>
      <c r="Q536" s="123" t="n"/>
      <c r="R536" s="123" t="n"/>
      <c r="S536" s="123" t="n"/>
      <c r="T536" s="123" t="n"/>
      <c r="U536" s="123" t="n"/>
      <c r="V536" s="123" t="n"/>
      <c r="W536" s="123" t="n"/>
      <c r="X536" s="123" t="n"/>
      <c r="Y536" s="123" t="n"/>
      <c r="Z536" s="123" t="n"/>
      <c r="AB536" s="23" t="n"/>
      <c r="AC536" s="24" t="n"/>
      <c r="AD536" s="24" t="n"/>
      <c r="AE536" s="24" t="n"/>
      <c r="AF536" s="25" t="n"/>
      <c r="AG536" s="123" t="n"/>
      <c r="AH536" s="123" t="n"/>
      <c r="AI536" s="123" t="n"/>
      <c r="AJ536" s="123" t="n"/>
      <c r="AK536" s="123" t="n"/>
      <c r="AL536" s="123" t="n"/>
      <c r="AM536" s="123" t="n"/>
      <c r="AN536" s="123" t="n"/>
      <c r="AO536" s="123" t="n"/>
      <c r="AP536" s="123" t="n"/>
      <c r="AQ536" s="123" t="n"/>
      <c r="AR536" s="123" t="n"/>
      <c r="AS536" s="123" t="n"/>
    </row>
    <row r="537" hidden="1" outlineLevel="2">
      <c r="A537" s="8" t="n"/>
      <c r="B537" s="14" t="n"/>
      <c r="C537" s="123" t="n"/>
      <c r="D537" s="123" t="n"/>
      <c r="E537" s="123" t="n"/>
      <c r="F537" s="123" t="n"/>
      <c r="G537" s="123" t="n"/>
      <c r="I537" s="127" t="inlineStr">
        <is>
          <t>Projétil</t>
        </is>
      </c>
      <c r="J537" s="17" t="n"/>
      <c r="K537" s="68">
        <f>DADOS_INVOC!$QC$37</f>
        <v/>
      </c>
      <c r="L537" s="17" t="n"/>
      <c r="M537" s="68">
        <f>DADOS_INVOC!$PY$37</f>
        <v/>
      </c>
      <c r="N537" s="123" t="n"/>
      <c r="O537" s="123" t="n"/>
      <c r="P537" s="123" t="n"/>
      <c r="Q537" s="123" t="n"/>
      <c r="R537" s="123" t="n"/>
      <c r="S537" s="123" t="n"/>
      <c r="T537" s="123" t="n"/>
      <c r="U537" s="123" t="n"/>
      <c r="V537" s="123" t="n"/>
      <c r="W537" s="123" t="n"/>
      <c r="X537" s="123" t="n"/>
      <c r="Y537" s="123" t="n"/>
      <c r="Z537" s="123" t="n"/>
      <c r="AB537" s="127" t="inlineStr">
        <is>
          <t>Projétil</t>
        </is>
      </c>
      <c r="AC537" s="17" t="n"/>
      <c r="AD537" s="68">
        <f>DADOS_INVOC!$QC$115</f>
        <v/>
      </c>
      <c r="AE537" s="17" t="n"/>
      <c r="AF537" s="68">
        <f>DADOS_INVOC!$PY$115</f>
        <v/>
      </c>
      <c r="AG537" s="123" t="n"/>
      <c r="AH537" s="123" t="n"/>
      <c r="AI537" s="123" t="n"/>
      <c r="AJ537" s="123" t="n"/>
      <c r="AK537" s="123" t="n"/>
      <c r="AL537" s="123" t="n"/>
      <c r="AM537" s="123" t="n"/>
      <c r="AN537" s="123" t="n"/>
      <c r="AO537" s="123" t="n"/>
      <c r="AP537" s="123" t="n"/>
      <c r="AQ537" s="123" t="n"/>
      <c r="AR537" s="123" t="n"/>
      <c r="AS537" s="123" t="n"/>
    </row>
    <row r="538" hidden="1" outlineLevel="2">
      <c r="A538" s="8" t="n"/>
      <c r="B538" s="14" t="n"/>
      <c r="C538" s="123" t="n"/>
      <c r="D538" s="123" t="n"/>
      <c r="E538" s="123" t="n"/>
      <c r="F538" s="123" t="n"/>
      <c r="G538" s="123" t="n"/>
      <c r="I538" s="127" t="n"/>
      <c r="J538" s="17" t="n"/>
      <c r="K538" s="127" t="n"/>
      <c r="L538" s="16" t="n"/>
      <c r="M538" s="17" t="n"/>
      <c r="N538" s="123" t="n"/>
      <c r="O538" s="123" t="n"/>
      <c r="P538" s="123" t="n"/>
      <c r="Q538" s="123" t="n"/>
      <c r="R538" s="123" t="n"/>
      <c r="S538" s="123" t="n"/>
      <c r="T538" s="123" t="n"/>
      <c r="U538" s="123" t="n"/>
      <c r="V538" s="123" t="n"/>
      <c r="W538" s="123" t="n"/>
      <c r="X538" s="123" t="n"/>
      <c r="Y538" s="123" t="n"/>
      <c r="Z538" s="123" t="n"/>
      <c r="AB538" s="127" t="n"/>
      <c r="AC538" s="17" t="n"/>
      <c r="AD538" s="127" t="n"/>
      <c r="AE538" s="16" t="n"/>
      <c r="AF538" s="17" t="n"/>
      <c r="AG538" s="123" t="n"/>
      <c r="AH538" s="123" t="n"/>
      <c r="AI538" s="123" t="n"/>
      <c r="AJ538" s="123" t="n"/>
      <c r="AK538" s="123" t="n"/>
      <c r="AL538" s="123" t="n"/>
      <c r="AM538" s="123" t="n"/>
      <c r="AN538" s="123" t="n"/>
      <c r="AO538" s="123" t="n"/>
      <c r="AP538" s="123" t="n"/>
      <c r="AQ538" s="123" t="n"/>
      <c r="AR538" s="123" t="n"/>
      <c r="AS538" s="123" t="n"/>
    </row>
    <row r="539" hidden="1" outlineLevel="2">
      <c r="A539" s="8" t="n"/>
      <c r="B539" s="14" t="n"/>
      <c r="C539" s="123" t="n"/>
      <c r="D539" s="123" t="n"/>
      <c r="E539" s="123" t="n"/>
      <c r="F539" s="123" t="n"/>
      <c r="G539" s="123" t="n"/>
      <c r="I539" s="127">
        <f>DADOS_INVOC!$PZ$37</f>
        <v/>
      </c>
      <c r="J539" s="17" t="n"/>
      <c r="K539" s="127">
        <f>DADOS_INVOC!$QB$37</f>
        <v/>
      </c>
      <c r="L539" s="16" t="n"/>
      <c r="M539" s="17" t="n"/>
      <c r="N539" s="123" t="n"/>
      <c r="O539" s="123" t="n"/>
      <c r="P539" s="123" t="n"/>
      <c r="Q539" s="123" t="n"/>
      <c r="R539" s="123" t="n"/>
      <c r="S539" s="123" t="n"/>
      <c r="T539" s="123" t="n"/>
      <c r="U539" s="123" t="n"/>
      <c r="V539" s="123" t="n"/>
      <c r="W539" s="123" t="n"/>
      <c r="X539" s="123" t="n"/>
      <c r="Y539" s="123" t="n"/>
      <c r="Z539" s="123" t="n"/>
      <c r="AB539" s="127">
        <f>DADOS_INVOC!$PZ$115</f>
        <v/>
      </c>
      <c r="AC539" s="17" t="n"/>
      <c r="AD539" s="127">
        <f>DADOS_INVOC!$QB$115</f>
        <v/>
      </c>
      <c r="AE539" s="16" t="n"/>
      <c r="AF539" s="17" t="n"/>
      <c r="AG539" s="123" t="n"/>
      <c r="AH539" s="123" t="n"/>
      <c r="AI539" s="123" t="n"/>
      <c r="AJ539" s="123" t="n"/>
      <c r="AK539" s="123" t="n"/>
      <c r="AL539" s="123" t="n"/>
      <c r="AM539" s="123" t="n"/>
      <c r="AN539" s="123" t="n"/>
      <c r="AO539" s="123" t="n"/>
      <c r="AP539" s="123" t="n"/>
      <c r="AQ539" s="123" t="n"/>
      <c r="AR539" s="123" t="n"/>
      <c r="AS539" s="123" t="n"/>
    </row>
    <row r="540" hidden="1" outlineLevel="2">
      <c r="A540" s="8" t="n"/>
      <c r="B540" s="14" t="n"/>
      <c r="C540" s="123" t="n"/>
      <c r="D540" s="123" t="n"/>
      <c r="E540" s="123" t="n"/>
      <c r="F540" s="123" t="n"/>
      <c r="G540" s="123" t="n"/>
      <c r="I540" s="132">
        <f>DADOS_INVOC!$QH$37</f>
        <v/>
      </c>
      <c r="J540" s="16" t="n"/>
      <c r="K540" s="16" t="n"/>
      <c r="L540" s="16" t="n"/>
      <c r="M540" s="17" t="n"/>
      <c r="N540" s="123" t="n"/>
      <c r="O540" s="123" t="n"/>
      <c r="P540" s="123" t="n"/>
      <c r="Q540" s="123" t="n"/>
      <c r="R540" s="123" t="n"/>
      <c r="S540" s="123" t="n"/>
      <c r="T540" s="123" t="n"/>
      <c r="U540" s="123" t="n"/>
      <c r="V540" s="123" t="n"/>
      <c r="W540" s="123" t="n"/>
      <c r="X540" s="123" t="n"/>
      <c r="Y540" s="123" t="n"/>
      <c r="Z540" s="123" t="n"/>
      <c r="AB540" s="132">
        <f>DADOS_INVOC!$QH$115</f>
        <v/>
      </c>
      <c r="AC540" s="16" t="n"/>
      <c r="AD540" s="16" t="n"/>
      <c r="AE540" s="16" t="n"/>
      <c r="AF540" s="17" t="n"/>
      <c r="AG540" s="123" t="n"/>
      <c r="AH540" s="123" t="n"/>
      <c r="AI540" s="123" t="n"/>
      <c r="AJ540" s="123" t="n"/>
      <c r="AK540" s="123" t="n"/>
      <c r="AL540" s="123" t="n"/>
      <c r="AM540" s="123" t="n"/>
      <c r="AN540" s="123" t="n"/>
      <c r="AO540" s="123" t="n"/>
      <c r="AP540" s="123" t="n"/>
      <c r="AQ540" s="123" t="n"/>
      <c r="AR540" s="123" t="n"/>
      <c r="AS540" s="123" t="n"/>
    </row>
    <row r="541" hidden="1" outlineLevel="3">
      <c r="A541" s="8" t="n"/>
      <c r="B541" s="14" t="n"/>
      <c r="C541" s="123" t="n"/>
      <c r="D541" s="123" t="n"/>
      <c r="E541" s="123" t="n"/>
      <c r="F541" s="123" t="n"/>
      <c r="G541" s="123" t="n"/>
      <c r="I541" s="55" t="inlineStr">
        <is>
          <t>MELHORIAS</t>
        </is>
      </c>
      <c r="J541" s="133" t="n"/>
      <c r="K541" s="16" t="n"/>
      <c r="L541" s="17" t="n"/>
      <c r="M541" s="132">
        <f>DADOS_INVOC!$QK$37</f>
        <v/>
      </c>
      <c r="N541" s="123" t="n"/>
      <c r="O541" s="123" t="n"/>
      <c r="P541" s="123" t="n"/>
      <c r="Q541" s="123" t="n"/>
      <c r="R541" s="123" t="n"/>
      <c r="S541" s="123" t="n"/>
      <c r="T541" s="123" t="n"/>
      <c r="U541" s="123" t="n"/>
      <c r="V541" s="123" t="n"/>
      <c r="W541" s="123" t="n"/>
      <c r="X541" s="123" t="n"/>
      <c r="Y541" s="123" t="n"/>
      <c r="Z541" s="123" t="n"/>
      <c r="AB541" s="55" t="inlineStr">
        <is>
          <t>MELHORIAS</t>
        </is>
      </c>
      <c r="AC541" s="133" t="n"/>
      <c r="AD541" s="16" t="n"/>
      <c r="AE541" s="17" t="n"/>
      <c r="AF541" s="132">
        <f>DADOS_INVOC!$QK$115</f>
        <v/>
      </c>
      <c r="AG541" s="123" t="n"/>
      <c r="AH541" s="123" t="n"/>
      <c r="AI541" s="123" t="n"/>
      <c r="AJ541" s="123" t="n"/>
      <c r="AK541" s="123" t="n"/>
      <c r="AL541" s="123" t="n"/>
      <c r="AM541" s="123" t="n"/>
      <c r="AN541" s="123" t="n"/>
      <c r="AO541" s="123" t="n"/>
      <c r="AP541" s="123" t="n"/>
      <c r="AQ541" s="123" t="n"/>
      <c r="AR541" s="123" t="n"/>
      <c r="AS541" s="123" t="n"/>
    </row>
    <row r="542" hidden="1" outlineLevel="3">
      <c r="A542" s="8" t="n"/>
      <c r="B542" s="14" t="n"/>
      <c r="C542" s="123" t="n"/>
      <c r="D542" s="123" t="n"/>
      <c r="E542" s="123" t="n"/>
      <c r="F542" s="123" t="n"/>
      <c r="G542" s="123" t="n"/>
      <c r="I542" s="134" t="n"/>
      <c r="J542" s="133" t="n"/>
      <c r="K542" s="16" t="n"/>
      <c r="L542" s="17" t="n"/>
      <c r="M542" s="132">
        <f>DADOS_INVOC!$QL$37</f>
        <v/>
      </c>
      <c r="N542" s="123" t="n"/>
      <c r="O542" s="123" t="n"/>
      <c r="P542" s="123" t="n"/>
      <c r="Q542" s="123" t="n"/>
      <c r="R542" s="123" t="n"/>
      <c r="S542" s="123" t="n"/>
      <c r="T542" s="123" t="n"/>
      <c r="U542" s="123" t="n"/>
      <c r="V542" s="123" t="n"/>
      <c r="W542" s="123" t="n"/>
      <c r="X542" s="123" t="n"/>
      <c r="Y542" s="123" t="n"/>
      <c r="Z542" s="123" t="n"/>
      <c r="AB542" s="134" t="n"/>
      <c r="AC542" s="133" t="n"/>
      <c r="AD542" s="16" t="n"/>
      <c r="AE542" s="17" t="n"/>
      <c r="AF542" s="132">
        <f>DADOS_INVOC!$QL$115</f>
        <v/>
      </c>
      <c r="AG542" s="123" t="n"/>
      <c r="AH542" s="123" t="n"/>
      <c r="AI542" s="123" t="n"/>
      <c r="AJ542" s="123" t="n"/>
      <c r="AK542" s="123" t="n"/>
      <c r="AL542" s="123" t="n"/>
      <c r="AM542" s="123" t="n"/>
      <c r="AN542" s="123" t="n"/>
      <c r="AO542" s="123" t="n"/>
      <c r="AP542" s="123" t="n"/>
      <c r="AQ542" s="123" t="n"/>
      <c r="AR542" s="123" t="n"/>
      <c r="AS542" s="123" t="n"/>
    </row>
    <row r="543" hidden="1" outlineLevel="3">
      <c r="A543" s="8" t="n"/>
      <c r="B543" s="14" t="n"/>
      <c r="C543" s="123" t="n"/>
      <c r="D543" s="123" t="n"/>
      <c r="E543" s="123" t="n"/>
      <c r="F543" s="123" t="n"/>
      <c r="G543" s="123" t="n"/>
      <c r="I543" s="134" t="n"/>
      <c r="J543" s="133" t="n"/>
      <c r="K543" s="16" t="n"/>
      <c r="L543" s="17" t="n"/>
      <c r="M543" s="132">
        <f>DADOS_INVOC!$QM$37</f>
        <v/>
      </c>
      <c r="N543" s="123" t="n"/>
      <c r="O543" s="123" t="n"/>
      <c r="P543" s="123" t="n"/>
      <c r="Q543" s="123" t="n"/>
      <c r="R543" s="123" t="n"/>
      <c r="S543" s="123" t="n"/>
      <c r="T543" s="123" t="n"/>
      <c r="U543" s="123" t="n"/>
      <c r="V543" s="123" t="n"/>
      <c r="W543" s="123" t="n"/>
      <c r="X543" s="123" t="n"/>
      <c r="Y543" s="123" t="n"/>
      <c r="Z543" s="123" t="n"/>
      <c r="AB543" s="134" t="n"/>
      <c r="AC543" s="133" t="n"/>
      <c r="AD543" s="16" t="n"/>
      <c r="AE543" s="17" t="n"/>
      <c r="AF543" s="132">
        <f>DADOS_INVOC!$QM$115</f>
        <v/>
      </c>
      <c r="AG543" s="123" t="n"/>
      <c r="AH543" s="123" t="n"/>
      <c r="AI543" s="123" t="n"/>
      <c r="AJ543" s="123" t="n"/>
      <c r="AK543" s="123" t="n"/>
      <c r="AL543" s="123" t="n"/>
      <c r="AM543" s="123" t="n"/>
      <c r="AN543" s="123" t="n"/>
      <c r="AO543" s="123" t="n"/>
      <c r="AP543" s="123" t="n"/>
      <c r="AQ543" s="123" t="n"/>
      <c r="AR543" s="123" t="n"/>
      <c r="AS543" s="123" t="n"/>
    </row>
    <row r="544" hidden="1" outlineLevel="3">
      <c r="A544" s="8" t="n"/>
      <c r="B544" s="14" t="n"/>
      <c r="C544" s="123" t="n"/>
      <c r="D544" s="123" t="n"/>
      <c r="E544" s="123" t="n"/>
      <c r="F544" s="123" t="n"/>
      <c r="G544" s="123" t="n"/>
      <c r="I544" s="128" t="n"/>
      <c r="J544" s="133" t="n"/>
      <c r="K544" s="16" t="n"/>
      <c r="L544" s="17" t="n"/>
      <c r="M544" s="132">
        <f>DADOS_INVOC!$QN$37</f>
        <v/>
      </c>
      <c r="N544" s="123" t="n"/>
      <c r="O544" s="123" t="n"/>
      <c r="P544" s="123" t="n"/>
      <c r="Q544" s="123" t="n"/>
      <c r="R544" s="123" t="n"/>
      <c r="S544" s="123" t="n"/>
      <c r="T544" s="123" t="n"/>
      <c r="U544" s="123" t="n"/>
      <c r="V544" s="123" t="n"/>
      <c r="W544" s="123" t="n"/>
      <c r="X544" s="123" t="n"/>
      <c r="Y544" s="123" t="n"/>
      <c r="Z544" s="123" t="n"/>
      <c r="AB544" s="128" t="n"/>
      <c r="AC544" s="133" t="n"/>
      <c r="AD544" s="16" t="n"/>
      <c r="AE544" s="17" t="n"/>
      <c r="AF544" s="132">
        <f>DADOS_INVOC!$QN$115</f>
        <v/>
      </c>
      <c r="AG544" s="123" t="n"/>
      <c r="AH544" s="123" t="n"/>
      <c r="AI544" s="123" t="n"/>
      <c r="AJ544" s="123" t="n"/>
      <c r="AK544" s="123" t="n"/>
      <c r="AL544" s="123" t="n"/>
      <c r="AM544" s="123" t="n"/>
      <c r="AN544" s="123" t="n"/>
      <c r="AO544" s="123" t="n"/>
      <c r="AP544" s="123" t="n"/>
      <c r="AQ544" s="123" t="n"/>
      <c r="AR544" s="123" t="n"/>
      <c r="AS544" s="123" t="n"/>
    </row>
    <row r="545" hidden="1" outlineLevel="3">
      <c r="A545" s="8" t="n"/>
      <c r="B545" s="14" t="n"/>
      <c r="C545" s="123" t="n"/>
      <c r="D545" s="123" t="n"/>
      <c r="E545" s="123" t="n"/>
      <c r="F545" s="123" t="n"/>
      <c r="G545" s="123" t="n"/>
      <c r="I545" s="55" t="inlineStr">
        <is>
          <t>RESTRIÇÕES</t>
        </is>
      </c>
      <c r="J545" s="133" t="n"/>
      <c r="K545" s="16" t="n"/>
      <c r="L545" s="17" t="n"/>
      <c r="M545" s="132">
        <f>DADOS_INVOC!$QO$37</f>
        <v/>
      </c>
      <c r="N545" s="123" t="n"/>
      <c r="O545" s="123" t="n"/>
      <c r="P545" s="123" t="n"/>
      <c r="Q545" s="123" t="n"/>
      <c r="R545" s="123" t="n"/>
      <c r="S545" s="123" t="n"/>
      <c r="T545" s="123" t="n"/>
      <c r="U545" s="123" t="n"/>
      <c r="V545" s="123" t="n"/>
      <c r="W545" s="123" t="n"/>
      <c r="X545" s="123" t="n"/>
      <c r="Y545" s="123" t="n"/>
      <c r="Z545" s="123" t="n"/>
      <c r="AB545" s="55" t="inlineStr">
        <is>
          <t>RESTRIÇÕES</t>
        </is>
      </c>
      <c r="AC545" s="133" t="n"/>
      <c r="AD545" s="16" t="n"/>
      <c r="AE545" s="17" t="n"/>
      <c r="AF545" s="132">
        <f>DADOS_INVOC!$QO$115</f>
        <v/>
      </c>
      <c r="AG545" s="123" t="n"/>
      <c r="AH545" s="123" t="n"/>
      <c r="AI545" s="123" t="n"/>
      <c r="AJ545" s="123" t="n"/>
      <c r="AK545" s="123" t="n"/>
      <c r="AL545" s="123" t="n"/>
      <c r="AM545" s="123" t="n"/>
      <c r="AN545" s="123" t="n"/>
      <c r="AO545" s="123" t="n"/>
      <c r="AP545" s="123" t="n"/>
      <c r="AQ545" s="123" t="n"/>
      <c r="AR545" s="123" t="n"/>
      <c r="AS545" s="123" t="n"/>
    </row>
    <row r="546" hidden="1" outlineLevel="3">
      <c r="A546" s="8" t="n"/>
      <c r="B546" s="14" t="n"/>
      <c r="C546" s="123" t="n"/>
      <c r="D546" s="123" t="n"/>
      <c r="E546" s="123" t="n"/>
      <c r="F546" s="123" t="n"/>
      <c r="G546" s="123" t="n"/>
      <c r="I546" s="128" t="n"/>
      <c r="J546" s="133" t="n"/>
      <c r="K546" s="16" t="n"/>
      <c r="L546" s="17" t="n"/>
      <c r="M546" s="132">
        <f>DADOS_INVOC!$QP$37</f>
        <v/>
      </c>
      <c r="N546" s="123" t="n"/>
      <c r="O546" s="123" t="n"/>
      <c r="P546" s="123" t="n"/>
      <c r="Q546" s="123" t="n"/>
      <c r="R546" s="123" t="n"/>
      <c r="S546" s="123" t="n"/>
      <c r="T546" s="123" t="n"/>
      <c r="U546" s="123" t="n"/>
      <c r="V546" s="123" t="n"/>
      <c r="W546" s="123" t="n"/>
      <c r="X546" s="123" t="n"/>
      <c r="Y546" s="123" t="n"/>
      <c r="Z546" s="123" t="n"/>
      <c r="AB546" s="128" t="n"/>
      <c r="AC546" s="133" t="n"/>
      <c r="AD546" s="16" t="n"/>
      <c r="AE546" s="17" t="n"/>
      <c r="AF546" s="132">
        <f>DADOS_INVOC!$QP$115</f>
        <v/>
      </c>
      <c r="AG546" s="123" t="n"/>
      <c r="AH546" s="123" t="n"/>
      <c r="AI546" s="123" t="n"/>
      <c r="AJ546" s="123" t="n"/>
      <c r="AK546" s="123" t="n"/>
      <c r="AL546" s="123" t="n"/>
      <c r="AM546" s="123" t="n"/>
      <c r="AN546" s="123" t="n"/>
      <c r="AO546" s="123" t="n"/>
      <c r="AP546" s="123" t="n"/>
      <c r="AQ546" s="123" t="n"/>
      <c r="AR546" s="123" t="n"/>
      <c r="AS546" s="123" t="n"/>
    </row>
    <row r="547" hidden="1" outlineLevel="3">
      <c r="A547" s="8" t="n"/>
      <c r="B547" s="14" t="n"/>
      <c r="C547" s="123" t="n"/>
      <c r="D547" s="123" t="n"/>
      <c r="E547" s="123" t="n"/>
      <c r="F547" s="123" t="n"/>
      <c r="G547" s="123" t="n"/>
      <c r="I547" s="55" t="inlineStr">
        <is>
          <t>CONTA</t>
        </is>
      </c>
      <c r="J547" s="135">
        <f>DADOS_INVOC!$QI$37</f>
        <v/>
      </c>
      <c r="K547" s="16" t="n"/>
      <c r="L547" s="16" t="n"/>
      <c r="M547" s="17" t="n"/>
      <c r="N547" s="123" t="n"/>
      <c r="O547" s="123" t="n"/>
      <c r="P547" s="123" t="n"/>
      <c r="Q547" s="123" t="n"/>
      <c r="R547" s="123" t="n"/>
      <c r="S547" s="123" t="n"/>
      <c r="T547" s="123" t="n"/>
      <c r="U547" s="123" t="n"/>
      <c r="V547" s="123" t="n"/>
      <c r="W547" s="123" t="n"/>
      <c r="X547" s="123" t="n"/>
      <c r="Y547" s="123" t="n"/>
      <c r="Z547" s="123" t="n"/>
      <c r="AB547" s="55" t="inlineStr">
        <is>
          <t>CONTA</t>
        </is>
      </c>
      <c r="AC547" s="135">
        <f>DADOS_INVOC!$QI$115</f>
        <v/>
      </c>
      <c r="AD547" s="16" t="n"/>
      <c r="AE547" s="16" t="n"/>
      <c r="AF547" s="17" t="n"/>
      <c r="AG547" s="123" t="n"/>
      <c r="AH547" s="123" t="n"/>
      <c r="AI547" s="123" t="n"/>
      <c r="AJ547" s="123" t="n"/>
      <c r="AK547" s="123" t="n"/>
      <c r="AL547" s="123" t="n"/>
      <c r="AM547" s="123" t="n"/>
      <c r="AN547" s="123" t="n"/>
      <c r="AO547" s="123" t="n"/>
      <c r="AP547" s="123" t="n"/>
      <c r="AQ547" s="123" t="n"/>
      <c r="AR547" s="123" t="n"/>
      <c r="AS547" s="123" t="n"/>
    </row>
    <row r="548" hidden="1" outlineLevel="3">
      <c r="A548" s="8" t="n"/>
      <c r="B548" s="14" t="n"/>
      <c r="C548" s="123" t="n"/>
      <c r="D548" s="123" t="n"/>
      <c r="E548" s="123" t="n"/>
      <c r="F548" s="123" t="n"/>
      <c r="G548" s="123" t="n"/>
      <c r="I548" s="55" t="inlineStr">
        <is>
          <t>AMPLIAR</t>
        </is>
      </c>
      <c r="J548" s="135">
        <f>DADOS_INVOC!$QJ$37</f>
        <v/>
      </c>
      <c r="K548" s="19" t="n"/>
      <c r="L548" s="19" t="n"/>
      <c r="M548" s="20" t="n"/>
      <c r="N548" s="123" t="n"/>
      <c r="O548" s="123" t="n"/>
      <c r="P548" s="123" t="n"/>
      <c r="Q548" s="123" t="n"/>
      <c r="R548" s="123" t="n"/>
      <c r="S548" s="123" t="n"/>
      <c r="T548" s="123" t="n"/>
      <c r="U548" s="123" t="n"/>
      <c r="V548" s="123" t="n"/>
      <c r="W548" s="123" t="n"/>
      <c r="X548" s="123" t="n"/>
      <c r="Y548" s="123" t="n"/>
      <c r="Z548" s="123" t="n"/>
      <c r="AB548" s="55" t="inlineStr">
        <is>
          <t>AMPLIAR</t>
        </is>
      </c>
      <c r="AC548" s="135">
        <f>DADOS_INVOC!$QJ$115</f>
        <v/>
      </c>
      <c r="AD548" s="19" t="n"/>
      <c r="AE548" s="19" t="n"/>
      <c r="AF548" s="20" t="n"/>
      <c r="AG548" s="123" t="n"/>
      <c r="AH548" s="123" t="n"/>
      <c r="AI548" s="123" t="n"/>
      <c r="AJ548" s="123" t="n"/>
      <c r="AK548" s="123" t="n"/>
      <c r="AL548" s="123" t="n"/>
      <c r="AM548" s="123" t="n"/>
      <c r="AN548" s="123" t="n"/>
      <c r="AO548" s="123" t="n"/>
      <c r="AP548" s="123" t="n"/>
      <c r="AQ548" s="123" t="n"/>
      <c r="AR548" s="123" t="n"/>
      <c r="AS548" s="123" t="n"/>
    </row>
    <row r="549" hidden="1" outlineLevel="3">
      <c r="A549" s="8" t="n"/>
      <c r="B549" s="14" t="n"/>
      <c r="C549" s="123" t="n"/>
      <c r="D549" s="123" t="n"/>
      <c r="E549" s="123" t="n"/>
      <c r="F549" s="123" t="n"/>
      <c r="G549" s="123" t="n"/>
      <c r="I549" s="128" t="n"/>
      <c r="J549" s="23" t="n"/>
      <c r="K549" s="24" t="n"/>
      <c r="L549" s="24" t="n"/>
      <c r="M549" s="25" t="n"/>
      <c r="N549" s="123" t="n"/>
      <c r="O549" s="123" t="n"/>
      <c r="P549" s="123" t="n"/>
      <c r="Q549" s="123" t="n"/>
      <c r="R549" s="123" t="n"/>
      <c r="S549" s="123" t="n"/>
      <c r="T549" s="123" t="n"/>
      <c r="U549" s="123" t="n"/>
      <c r="V549" s="123" t="n"/>
      <c r="W549" s="123" t="n"/>
      <c r="X549" s="123" t="n"/>
      <c r="Y549" s="123" t="n"/>
      <c r="Z549" s="123" t="n"/>
      <c r="AB549" s="128" t="n"/>
      <c r="AC549" s="23" t="n"/>
      <c r="AD549" s="24" t="n"/>
      <c r="AE549" s="24" t="n"/>
      <c r="AF549" s="25" t="n"/>
      <c r="AG549" s="123" t="n"/>
      <c r="AH549" s="123" t="n"/>
      <c r="AI549" s="123" t="n"/>
      <c r="AJ549" s="123" t="n"/>
      <c r="AK549" s="123" t="n"/>
      <c r="AL549" s="123" t="n"/>
      <c r="AM549" s="123" t="n"/>
      <c r="AN549" s="123" t="n"/>
      <c r="AO549" s="123" t="n"/>
      <c r="AP549" s="123" t="n"/>
      <c r="AQ549" s="123" t="n"/>
      <c r="AR549" s="123" t="n"/>
      <c r="AS549" s="123" t="n"/>
    </row>
    <row r="550" hidden="1" outlineLevel="3">
      <c r="A550" s="8" t="n"/>
      <c r="B550" s="14" t="n"/>
      <c r="C550" s="123" t="n"/>
      <c r="D550" s="123" t="n"/>
      <c r="E550" s="123" t="n"/>
      <c r="F550" s="123" t="n"/>
      <c r="G550" s="123" t="n"/>
      <c r="I550" s="135">
        <f>DADOS_INVOC!$PW$37</f>
        <v/>
      </c>
      <c r="J550" s="19" t="n"/>
      <c r="K550" s="19" t="n"/>
      <c r="L550" s="19" t="n"/>
      <c r="M550" s="20" t="n"/>
      <c r="N550" s="123" t="n"/>
      <c r="O550" s="123" t="n"/>
      <c r="P550" s="123" t="n"/>
      <c r="Q550" s="123" t="n"/>
      <c r="R550" s="123" t="n"/>
      <c r="S550" s="123" t="n"/>
      <c r="T550" s="123" t="n"/>
      <c r="U550" s="123" t="n"/>
      <c r="V550" s="123" t="n"/>
      <c r="W550" s="123" t="n"/>
      <c r="X550" s="123" t="n"/>
      <c r="Y550" s="123" t="n"/>
      <c r="Z550" s="123" t="n"/>
      <c r="AB550" s="135">
        <f>DADOS_INVOC!$PW$115</f>
        <v/>
      </c>
      <c r="AC550" s="19" t="n"/>
      <c r="AD550" s="19" t="n"/>
      <c r="AE550" s="19" t="n"/>
      <c r="AF550" s="20" t="n"/>
      <c r="AG550" s="123" t="n"/>
      <c r="AH550" s="123" t="n"/>
      <c r="AI550" s="123" t="n"/>
      <c r="AJ550" s="123" t="n"/>
      <c r="AK550" s="123" t="n"/>
      <c r="AL550" s="123" t="n"/>
      <c r="AM550" s="123" t="n"/>
      <c r="AN550" s="123" t="n"/>
      <c r="AO550" s="123" t="n"/>
      <c r="AP550" s="123" t="n"/>
      <c r="AQ550" s="123" t="n"/>
      <c r="AR550" s="123" t="n"/>
      <c r="AS550" s="123" t="n"/>
    </row>
    <row r="551" hidden="1" outlineLevel="3">
      <c r="A551" s="8" t="n"/>
      <c r="B551" s="14" t="n"/>
      <c r="C551" s="123" t="n"/>
      <c r="D551" s="123" t="n"/>
      <c r="E551" s="123" t="n"/>
      <c r="F551" s="123" t="n"/>
      <c r="G551" s="123" t="n"/>
      <c r="I551" s="23" t="n"/>
      <c r="J551" s="24" t="n"/>
      <c r="K551" s="24" t="n"/>
      <c r="L551" s="24" t="n"/>
      <c r="M551" s="25" t="n"/>
      <c r="N551" s="123" t="n"/>
      <c r="O551" s="123" t="n"/>
      <c r="P551" s="123" t="n"/>
      <c r="Q551" s="123" t="n"/>
      <c r="R551" s="123" t="n"/>
      <c r="S551" s="123" t="n"/>
      <c r="T551" s="123" t="n"/>
      <c r="U551" s="123" t="n"/>
      <c r="V551" s="123" t="n"/>
      <c r="W551" s="123" t="n"/>
      <c r="X551" s="123" t="n"/>
      <c r="Y551" s="123" t="n"/>
      <c r="Z551" s="123" t="n"/>
      <c r="AB551" s="23" t="n"/>
      <c r="AC551" s="24" t="n"/>
      <c r="AD551" s="24" t="n"/>
      <c r="AE551" s="24" t="n"/>
      <c r="AF551" s="25" t="n"/>
      <c r="AG551" s="123" t="n"/>
      <c r="AH551" s="123" t="n"/>
      <c r="AI551" s="123" t="n"/>
      <c r="AJ551" s="123" t="n"/>
      <c r="AK551" s="123" t="n"/>
      <c r="AL551" s="123" t="n"/>
      <c r="AM551" s="123" t="n"/>
      <c r="AN551" s="123" t="n"/>
      <c r="AO551" s="123" t="n"/>
      <c r="AP551" s="123" t="n"/>
      <c r="AQ551" s="123" t="n"/>
      <c r="AR551" s="123" t="n"/>
      <c r="AS551" s="123" t="n"/>
    </row>
    <row r="552" hidden="1" outlineLevel="1">
      <c r="A552" s="8" t="n"/>
      <c r="B552" s="14" t="n"/>
      <c r="C552" s="123" t="n"/>
      <c r="D552" s="123" t="n"/>
      <c r="E552" s="123" t="n"/>
      <c r="F552" s="123" t="n"/>
      <c r="G552" s="123" t="n"/>
      <c r="I552" s="123" t="n"/>
      <c r="J552" s="123" t="n"/>
      <c r="K552" s="123" t="n"/>
      <c r="L552" s="123" t="n"/>
      <c r="M552" s="123" t="n"/>
      <c r="N552" s="123" t="n"/>
      <c r="O552" s="123" t="n"/>
      <c r="P552" s="123" t="n"/>
      <c r="Q552" s="123" t="n"/>
      <c r="R552" s="123" t="n"/>
      <c r="S552" s="123" t="n"/>
      <c r="T552" s="123" t="n"/>
      <c r="U552" s="123" t="n"/>
      <c r="V552" s="123" t="n"/>
      <c r="W552" s="123" t="n"/>
      <c r="X552" s="123" t="n"/>
      <c r="Y552" s="123" t="n"/>
      <c r="Z552" s="123" t="n"/>
      <c r="AB552" s="123" t="n"/>
      <c r="AC552" s="123" t="n"/>
      <c r="AD552" s="123" t="n"/>
      <c r="AE552" s="123" t="n"/>
      <c r="AF552" s="123" t="n"/>
      <c r="AG552" s="123" t="n"/>
      <c r="AH552" s="123" t="n"/>
      <c r="AI552" s="123" t="n"/>
      <c r="AJ552" s="123" t="n"/>
      <c r="AK552" s="123" t="n"/>
      <c r="AL552" s="123" t="n"/>
      <c r="AM552" s="123" t="n"/>
      <c r="AN552" s="123" t="n"/>
      <c r="AO552" s="123" t="n"/>
      <c r="AP552" s="123" t="n"/>
      <c r="AQ552" s="123" t="n"/>
      <c r="AR552" s="123" t="n"/>
      <c r="AS552" s="123" t="n"/>
    </row>
    <row r="553" hidden="1" outlineLevel="1">
      <c r="A553" s="8" t="n"/>
      <c r="B553" s="14" t="n"/>
      <c r="C553" s="123" t="n"/>
      <c r="D553" s="123" t="n"/>
      <c r="E553" s="123" t="n"/>
      <c r="F553" s="123" t="n"/>
      <c r="G553" s="123" t="n"/>
      <c r="I553" s="136"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23" t="n"/>
      <c r="AB553" s="136"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23" t="n"/>
    </row>
    <row r="554" hidden="1" outlineLevel="2">
      <c r="A554" s="8" t="n"/>
      <c r="B554" s="14" t="n"/>
      <c r="C554" s="123" t="n"/>
      <c r="D554" s="123" t="n"/>
      <c r="E554" s="123" t="n"/>
      <c r="F554" s="123" t="n"/>
      <c r="G554" s="123" t="n"/>
      <c r="I554" s="123" t="n"/>
      <c r="J554" s="123" t="n"/>
      <c r="K554" s="123" t="n"/>
      <c r="L554" s="123" t="n"/>
      <c r="M554" s="123" t="n"/>
      <c r="N554" s="123" t="n"/>
      <c r="O554" s="123" t="n"/>
      <c r="P554" s="123" t="n"/>
      <c r="Q554" s="123" t="n"/>
      <c r="R554" s="123" t="n"/>
      <c r="S554" s="123" t="n"/>
      <c r="T554" s="123" t="n"/>
      <c r="U554" s="123" t="n"/>
      <c r="V554" s="123" t="n"/>
      <c r="W554" s="123" t="n"/>
      <c r="X554" s="123" t="n"/>
      <c r="Y554" s="123" t="n"/>
      <c r="Z554" s="123" t="n"/>
      <c r="AB554" s="123" t="n"/>
      <c r="AC554" s="123" t="n"/>
      <c r="AD554" s="123" t="n"/>
      <c r="AE554" s="123" t="n"/>
      <c r="AF554" s="123" t="n"/>
      <c r="AG554" s="123" t="n"/>
      <c r="AH554" s="123" t="n"/>
      <c r="AI554" s="123" t="n"/>
      <c r="AJ554" s="123" t="n"/>
      <c r="AK554" s="123" t="n"/>
      <c r="AL554" s="123" t="n"/>
      <c r="AM554" s="123" t="n"/>
      <c r="AN554" s="123" t="n"/>
      <c r="AO554" s="123" t="n"/>
      <c r="AP554" s="123" t="n"/>
      <c r="AQ554" s="123" t="n"/>
      <c r="AR554" s="123" t="n"/>
      <c r="AS554" s="123" t="n"/>
    </row>
    <row r="555" hidden="1" outlineLevel="2">
      <c r="A555" s="8" t="n"/>
      <c r="B555" s="14" t="n"/>
      <c r="C555" s="123" t="n"/>
      <c r="D555" s="123" t="n"/>
      <c r="E555" s="123" t="n"/>
      <c r="F555" s="123" t="n"/>
      <c r="G555" s="123" t="n"/>
      <c r="I555" s="55">
        <f>DADOS_INVOC!$PX$38</f>
        <v/>
      </c>
      <c r="J555" s="16" t="n"/>
      <c r="K555" s="16" t="n"/>
      <c r="L555" s="16" t="n"/>
      <c r="M555" s="17" t="n"/>
      <c r="N555" s="123" t="n"/>
      <c r="O555" s="55">
        <f>DADOS_INVOC!$PX$39</f>
        <v/>
      </c>
      <c r="P555" s="16" t="n"/>
      <c r="Q555" s="16" t="n"/>
      <c r="R555" s="16" t="n"/>
      <c r="S555" s="17" t="n"/>
      <c r="T555" s="123" t="n"/>
      <c r="U555" s="55">
        <f>DADOS_INVOC!$PX$40</f>
        <v/>
      </c>
      <c r="V555" s="16" t="n"/>
      <c r="W555" s="16" t="n"/>
      <c r="X555" s="16" t="n"/>
      <c r="Y555" s="17" t="n"/>
      <c r="Z555" s="123" t="n"/>
      <c r="AB555" s="55">
        <f>DADOS_INVOC!$PX$116</f>
        <v/>
      </c>
      <c r="AC555" s="16" t="n"/>
      <c r="AD555" s="16" t="n"/>
      <c r="AE555" s="16" t="n"/>
      <c r="AF555" s="17" t="n"/>
      <c r="AG555" s="123" t="n"/>
      <c r="AH555" s="55">
        <f>DADOS_INVOC!$PX$117</f>
        <v/>
      </c>
      <c r="AI555" s="16" t="n"/>
      <c r="AJ555" s="16" t="n"/>
      <c r="AK555" s="16" t="n"/>
      <c r="AL555" s="17" t="n"/>
      <c r="AM555" s="123" t="n"/>
      <c r="AN555" s="55">
        <f>DADOS_INVOC!$PX$118</f>
        <v/>
      </c>
      <c r="AO555" s="16" t="n"/>
      <c r="AP555" s="16" t="n"/>
      <c r="AQ555" s="16" t="n"/>
      <c r="AR555" s="17" t="n"/>
      <c r="AS555" s="123" t="n"/>
    </row>
    <row r="556" hidden="1" outlineLevel="2">
      <c r="A556" s="8" t="n"/>
      <c r="B556" s="14" t="n"/>
      <c r="C556" s="123" t="n"/>
      <c r="D556" s="123" t="n"/>
      <c r="E556" s="123" t="n"/>
      <c r="F556" s="123" t="n"/>
      <c r="G556" s="123" t="n"/>
      <c r="I556" s="130" t="n">
        <v>1</v>
      </c>
      <c r="J556" s="118" t="n"/>
      <c r="K556" s="16" t="n"/>
      <c r="L556" s="17" t="n"/>
      <c r="M556" s="131">
        <f>DADOS_INVOC!$PV$38</f>
        <v/>
      </c>
      <c r="N556" s="123" t="n"/>
      <c r="O556" s="130" t="n">
        <v>1</v>
      </c>
      <c r="P556" s="118" t="n"/>
      <c r="Q556" s="16" t="n"/>
      <c r="R556" s="17" t="n"/>
      <c r="S556" s="131">
        <f>DADOS_INVOC!$PV$39</f>
        <v/>
      </c>
      <c r="T556" s="123" t="n"/>
      <c r="U556" s="130" t="n">
        <v>1</v>
      </c>
      <c r="V556" s="118" t="n"/>
      <c r="W556" s="16" t="n"/>
      <c r="X556" s="17" t="n"/>
      <c r="Y556" s="131">
        <f>DADOS_INVOC!$PV$40</f>
        <v/>
      </c>
      <c r="Z556" s="123" t="n"/>
      <c r="AB556" s="130" t="n">
        <v>1</v>
      </c>
      <c r="AC556" s="118" t="n"/>
      <c r="AD556" s="16" t="n"/>
      <c r="AE556" s="17" t="n"/>
      <c r="AF556" s="131">
        <f>DADOS_INVOC!$PV$116</f>
        <v/>
      </c>
      <c r="AG556" s="123" t="n"/>
      <c r="AH556" s="130" t="n">
        <v>1</v>
      </c>
      <c r="AI556" s="118" t="n"/>
      <c r="AJ556" s="16" t="n"/>
      <c r="AK556" s="17" t="n"/>
      <c r="AL556" s="131">
        <f>DADOS_INVOC!$PV$117</f>
        <v/>
      </c>
      <c r="AM556" s="123" t="n"/>
      <c r="AN556" s="130" t="n">
        <v>1</v>
      </c>
      <c r="AO556" s="118" t="n"/>
      <c r="AP556" s="16" t="n"/>
      <c r="AQ556" s="17" t="n"/>
      <c r="AR556" s="131">
        <f>DADOS_INVOC!$PV$118</f>
        <v/>
      </c>
      <c r="AS556" s="123" t="n"/>
    </row>
    <row r="557" hidden="1" outlineLevel="3">
      <c r="A557" s="8" t="n"/>
      <c r="B557" s="14" t="n"/>
      <c r="C557" s="123" t="n"/>
      <c r="D557" s="123" t="n"/>
      <c r="E557" s="123" t="n"/>
      <c r="F557" s="123" t="n"/>
      <c r="G557" s="123" t="n"/>
      <c r="I557" s="55" t="inlineStr">
        <is>
          <t>COMO É</t>
        </is>
      </c>
      <c r="J557" s="16" t="n"/>
      <c r="K557" s="16" t="n"/>
      <c r="L557" s="16" t="n"/>
      <c r="M557" s="17" t="n"/>
      <c r="N557" s="123" t="n"/>
      <c r="O557" s="55" t="inlineStr">
        <is>
          <t>COMO É</t>
        </is>
      </c>
      <c r="P557" s="16" t="n"/>
      <c r="Q557" s="16" t="n"/>
      <c r="R557" s="16" t="n"/>
      <c r="S557" s="17" t="n"/>
      <c r="T557" s="123" t="n"/>
      <c r="U557" s="55" t="inlineStr">
        <is>
          <t>COMO É</t>
        </is>
      </c>
      <c r="V557" s="16" t="n"/>
      <c r="W557" s="16" t="n"/>
      <c r="X557" s="16" t="n"/>
      <c r="Y557" s="17" t="n"/>
      <c r="Z557" s="123" t="n"/>
      <c r="AB557" s="55" t="inlineStr">
        <is>
          <t>COMO É</t>
        </is>
      </c>
      <c r="AC557" s="16" t="n"/>
      <c r="AD557" s="16" t="n"/>
      <c r="AE557" s="16" t="n"/>
      <c r="AF557" s="17" t="n"/>
      <c r="AG557" s="123" t="n"/>
      <c r="AH557" s="55" t="inlineStr">
        <is>
          <t>COMO É</t>
        </is>
      </c>
      <c r="AI557" s="16" t="n"/>
      <c r="AJ557" s="16" t="n"/>
      <c r="AK557" s="16" t="n"/>
      <c r="AL557" s="17" t="n"/>
      <c r="AM557" s="123" t="n"/>
      <c r="AN557" s="55" t="inlineStr">
        <is>
          <t>COMO É</t>
        </is>
      </c>
      <c r="AO557" s="16" t="n"/>
      <c r="AP557" s="16" t="n"/>
      <c r="AQ557" s="16" t="n"/>
      <c r="AR557" s="17" t="n"/>
      <c r="AS557" s="123" t="n"/>
    </row>
    <row r="558" hidden="1" outlineLevel="3">
      <c r="A558" s="8" t="n"/>
      <c r="B558" s="14" t="n"/>
      <c r="C558" s="123" t="n"/>
      <c r="D558" s="123" t="n"/>
      <c r="E558" s="123" t="n"/>
      <c r="F558" s="123" t="n"/>
      <c r="G558" s="123" t="n"/>
      <c r="I558" s="119" t="n"/>
      <c r="J558" s="19" t="n"/>
      <c r="K558" s="19" t="n"/>
      <c r="L558" s="19" t="n"/>
      <c r="M558" s="20" t="n"/>
      <c r="N558" s="123" t="n"/>
      <c r="O558" s="119" t="n"/>
      <c r="P558" s="19" t="n"/>
      <c r="Q558" s="19" t="n"/>
      <c r="R558" s="19" t="n"/>
      <c r="S558" s="20" t="n"/>
      <c r="T558" s="123" t="n"/>
      <c r="U558" s="119" t="n"/>
      <c r="V558" s="19" t="n"/>
      <c r="W558" s="19" t="n"/>
      <c r="X558" s="19" t="n"/>
      <c r="Y558" s="20" t="n"/>
      <c r="Z558" s="123" t="n"/>
      <c r="AB558" s="119" t="n"/>
      <c r="AC558" s="19" t="n"/>
      <c r="AD558" s="19" t="n"/>
      <c r="AE558" s="19" t="n"/>
      <c r="AF558" s="20" t="n"/>
      <c r="AG558" s="123" t="n"/>
      <c r="AH558" s="119" t="n"/>
      <c r="AI558" s="19" t="n"/>
      <c r="AJ558" s="19" t="n"/>
      <c r="AK558" s="19" t="n"/>
      <c r="AL558" s="20" t="n"/>
      <c r="AM558" s="123" t="n"/>
      <c r="AN558" s="119" t="n"/>
      <c r="AO558" s="19" t="n"/>
      <c r="AP558" s="19" t="n"/>
      <c r="AQ558" s="19" t="n"/>
      <c r="AR558" s="20" t="n"/>
      <c r="AS558" s="123" t="n"/>
    </row>
    <row r="559" hidden="1" outlineLevel="3">
      <c r="A559" s="8" t="n"/>
      <c r="B559" s="14" t="n"/>
      <c r="C559" s="123" t="n"/>
      <c r="D559" s="123" t="n"/>
      <c r="E559" s="123" t="n"/>
      <c r="F559" s="123" t="n"/>
      <c r="G559" s="123" t="n"/>
      <c r="I559" s="21" t="n"/>
      <c r="M559" s="22" t="n"/>
      <c r="N559" s="123" t="n"/>
      <c r="O559" s="21" t="n"/>
      <c r="S559" s="22" t="n"/>
      <c r="T559" s="123" t="n"/>
      <c r="U559" s="21" t="n"/>
      <c r="Y559" s="22" t="n"/>
      <c r="Z559" s="123" t="n"/>
      <c r="AB559" s="21" t="n"/>
      <c r="AF559" s="22" t="n"/>
      <c r="AG559" s="123" t="n"/>
      <c r="AH559" s="21" t="n"/>
      <c r="AL559" s="22" t="n"/>
      <c r="AM559" s="123" t="n"/>
      <c r="AN559" s="21" t="n"/>
      <c r="AR559" s="22" t="n"/>
      <c r="AS559" s="123" t="n"/>
    </row>
    <row r="560" hidden="1" outlineLevel="3">
      <c r="A560" s="8" t="n"/>
      <c r="B560" s="14" t="n"/>
      <c r="C560" s="123" t="n"/>
      <c r="D560" s="123" t="n"/>
      <c r="E560" s="123" t="n"/>
      <c r="F560" s="123" t="n"/>
      <c r="G560" s="123" t="n"/>
      <c r="I560" s="23" t="n"/>
      <c r="J560" s="24" t="n"/>
      <c r="K560" s="24" t="n"/>
      <c r="L560" s="24" t="n"/>
      <c r="M560" s="25" t="n"/>
      <c r="N560" s="123" t="n"/>
      <c r="O560" s="23" t="n"/>
      <c r="P560" s="24" t="n"/>
      <c r="Q560" s="24" t="n"/>
      <c r="R560" s="24" t="n"/>
      <c r="S560" s="25" t="n"/>
      <c r="T560" s="123" t="n"/>
      <c r="U560" s="23" t="n"/>
      <c r="V560" s="24" t="n"/>
      <c r="W560" s="24" t="n"/>
      <c r="X560" s="24" t="n"/>
      <c r="Y560" s="25" t="n"/>
      <c r="Z560" s="123" t="n"/>
      <c r="AB560" s="23" t="n"/>
      <c r="AC560" s="24" t="n"/>
      <c r="AD560" s="24" t="n"/>
      <c r="AE560" s="24" t="n"/>
      <c r="AF560" s="25" t="n"/>
      <c r="AG560" s="123" t="n"/>
      <c r="AH560" s="23" t="n"/>
      <c r="AI560" s="24" t="n"/>
      <c r="AJ560" s="24" t="n"/>
      <c r="AK560" s="24" t="n"/>
      <c r="AL560" s="25" t="n"/>
      <c r="AM560" s="123" t="n"/>
      <c r="AN560" s="23" t="n"/>
      <c r="AO560" s="24" t="n"/>
      <c r="AP560" s="24" t="n"/>
      <c r="AQ560" s="24" t="n"/>
      <c r="AR560" s="25" t="n"/>
      <c r="AS560" s="123" t="n"/>
    </row>
    <row r="561" hidden="1" outlineLevel="2">
      <c r="A561" s="8" t="n"/>
      <c r="B561" s="14" t="n"/>
      <c r="C561" s="123" t="n"/>
      <c r="D561" s="123" t="n"/>
      <c r="E561" s="123" t="n"/>
      <c r="F561" s="123" t="n"/>
      <c r="G561" s="123" t="n"/>
      <c r="I561" s="127" t="inlineStr">
        <is>
          <t>Projétil</t>
        </is>
      </c>
      <c r="J561" s="17" t="n"/>
      <c r="K561" s="68">
        <f>DADOS_INVOC!$QC$38</f>
        <v/>
      </c>
      <c r="L561" s="17" t="n"/>
      <c r="M561" s="68">
        <f>DADOS_INVOC!$PY$38</f>
        <v/>
      </c>
      <c r="N561" s="123" t="n"/>
      <c r="O561" s="127" t="inlineStr">
        <is>
          <t>Projétil</t>
        </is>
      </c>
      <c r="P561" s="17" t="n"/>
      <c r="Q561" s="68">
        <f>DADOS_INVOC!$QC$39</f>
        <v/>
      </c>
      <c r="R561" s="17" t="n"/>
      <c r="S561" s="68">
        <f>DADOS_INVOC!$PY$39</f>
        <v/>
      </c>
      <c r="T561" s="123" t="n"/>
      <c r="U561" s="127" t="inlineStr">
        <is>
          <t>Projétil</t>
        </is>
      </c>
      <c r="V561" s="17" t="n"/>
      <c r="W561" s="68">
        <f>DADOS_INVOC!$QC$40</f>
        <v/>
      </c>
      <c r="X561" s="17" t="n"/>
      <c r="Y561" s="68">
        <f>DADOS_INVOC!$PY$40</f>
        <v/>
      </c>
      <c r="Z561" s="123" t="n"/>
      <c r="AB561" s="127" t="inlineStr">
        <is>
          <t>Projétil</t>
        </is>
      </c>
      <c r="AC561" s="17" t="n"/>
      <c r="AD561" s="68">
        <f>DADOS_INVOC!$QC$116</f>
        <v/>
      </c>
      <c r="AE561" s="17" t="n"/>
      <c r="AF561" s="68">
        <f>DADOS_INVOC!$PY$116</f>
        <v/>
      </c>
      <c r="AG561" s="123" t="n"/>
      <c r="AH561" s="127" t="inlineStr">
        <is>
          <t>Projétil</t>
        </is>
      </c>
      <c r="AI561" s="17" t="n"/>
      <c r="AJ561" s="68">
        <f>DADOS_INVOC!$QC$117</f>
        <v/>
      </c>
      <c r="AK561" s="17" t="n"/>
      <c r="AL561" s="68">
        <f>DADOS_INVOC!$PY$117</f>
        <v/>
      </c>
      <c r="AM561" s="123" t="n"/>
      <c r="AN561" s="127" t="inlineStr">
        <is>
          <t>Projétil</t>
        </is>
      </c>
      <c r="AO561" s="17" t="n"/>
      <c r="AP561" s="68">
        <f>DADOS_INVOC!$QC$118</f>
        <v/>
      </c>
      <c r="AQ561" s="17" t="n"/>
      <c r="AR561" s="68">
        <f>DADOS_INVOC!$PY$118</f>
        <v/>
      </c>
      <c r="AS561" s="123" t="n"/>
    </row>
    <row r="562" hidden="1" outlineLevel="2">
      <c r="A562" s="8" t="n"/>
      <c r="B562" s="14" t="n"/>
      <c r="C562" s="123" t="n"/>
      <c r="D562" s="123" t="n"/>
      <c r="E562" s="123" t="n"/>
      <c r="F562" s="123" t="n"/>
      <c r="G562" s="123" t="n"/>
      <c r="I562" s="127" t="n"/>
      <c r="J562" s="17" t="n"/>
      <c r="K562" s="127" t="n"/>
      <c r="L562" s="16" t="n"/>
      <c r="M562" s="17" t="n"/>
      <c r="N562" s="123" t="n"/>
      <c r="O562" s="127" t="n"/>
      <c r="P562" s="17" t="n"/>
      <c r="Q562" s="127" t="n"/>
      <c r="R562" s="16" t="n"/>
      <c r="S562" s="17" t="n"/>
      <c r="T562" s="123" t="n"/>
      <c r="U562" s="127" t="n"/>
      <c r="V562" s="17" t="n"/>
      <c r="W562" s="127" t="n"/>
      <c r="X562" s="16" t="n"/>
      <c r="Y562" s="17" t="n"/>
      <c r="Z562" s="123" t="n"/>
      <c r="AB562" s="127" t="n"/>
      <c r="AC562" s="17" t="n"/>
      <c r="AD562" s="127" t="n"/>
      <c r="AE562" s="16" t="n"/>
      <c r="AF562" s="17" t="n"/>
      <c r="AG562" s="123" t="n"/>
      <c r="AH562" s="127" t="n"/>
      <c r="AI562" s="17" t="n"/>
      <c r="AJ562" s="127" t="n"/>
      <c r="AK562" s="16" t="n"/>
      <c r="AL562" s="17" t="n"/>
      <c r="AM562" s="123" t="n"/>
      <c r="AN562" s="127" t="n"/>
      <c r="AO562" s="17" t="n"/>
      <c r="AP562" s="127" t="n"/>
      <c r="AQ562" s="16" t="n"/>
      <c r="AR562" s="17" t="n"/>
      <c r="AS562" s="123" t="n"/>
    </row>
    <row r="563" hidden="1" outlineLevel="2">
      <c r="A563" s="8" t="n"/>
      <c r="B563" s="14" t="n"/>
      <c r="C563" s="123" t="n"/>
      <c r="D563" s="123" t="n"/>
      <c r="E563" s="123" t="n"/>
      <c r="F563" s="123" t="n"/>
      <c r="G563" s="123" t="n"/>
      <c r="I563" s="127">
        <f>DADOS_INVOC!$PZ$38</f>
        <v/>
      </c>
      <c r="J563" s="17" t="n"/>
      <c r="K563" s="127">
        <f>DADOS_INVOC!$QB$38</f>
        <v/>
      </c>
      <c r="L563" s="16" t="n"/>
      <c r="M563" s="17" t="n"/>
      <c r="N563" s="123" t="n"/>
      <c r="O563" s="127">
        <f>DADOS_INVOC!$PZ$39</f>
        <v/>
      </c>
      <c r="P563" s="17" t="n"/>
      <c r="Q563" s="127">
        <f>DADOS_INVOC!$QB$39</f>
        <v/>
      </c>
      <c r="R563" s="16" t="n"/>
      <c r="S563" s="17" t="n"/>
      <c r="T563" s="123" t="n"/>
      <c r="U563" s="127">
        <f>DADOS_INVOC!$PZ$40</f>
        <v/>
      </c>
      <c r="V563" s="17" t="n"/>
      <c r="W563" s="127">
        <f>DADOS_INVOC!$QB$40</f>
        <v/>
      </c>
      <c r="X563" s="16" t="n"/>
      <c r="Y563" s="17" t="n"/>
      <c r="Z563" s="123" t="n"/>
      <c r="AB563" s="127">
        <f>DADOS_INVOC!$PZ$116</f>
        <v/>
      </c>
      <c r="AC563" s="17" t="n"/>
      <c r="AD563" s="127">
        <f>DADOS_INVOC!$QB$116</f>
        <v/>
      </c>
      <c r="AE563" s="16" t="n"/>
      <c r="AF563" s="17" t="n"/>
      <c r="AG563" s="123" t="n"/>
      <c r="AH563" s="127">
        <f>DADOS_INVOC!$PZ$117</f>
        <v/>
      </c>
      <c r="AI563" s="17" t="n"/>
      <c r="AJ563" s="127">
        <f>DADOS_INVOC!$QB$117</f>
        <v/>
      </c>
      <c r="AK563" s="16" t="n"/>
      <c r="AL563" s="17" t="n"/>
      <c r="AM563" s="123" t="n"/>
      <c r="AN563" s="127">
        <f>DADOS_INVOC!$PZ$118</f>
        <v/>
      </c>
      <c r="AO563" s="17" t="n"/>
      <c r="AP563" s="127">
        <f>DADOS_INVOC!$QB$118</f>
        <v/>
      </c>
      <c r="AQ563" s="16" t="n"/>
      <c r="AR563" s="17" t="n"/>
      <c r="AS563" s="123" t="n"/>
    </row>
    <row r="564" hidden="1" outlineLevel="2">
      <c r="A564" s="8" t="n"/>
      <c r="B564" s="14" t="n"/>
      <c r="C564" s="123" t="n"/>
      <c r="D564" s="123" t="n"/>
      <c r="E564" s="123" t="n"/>
      <c r="F564" s="123" t="n"/>
      <c r="G564" s="123" t="n"/>
      <c r="I564" s="132">
        <f>DADOS_INVOC!$QH$38</f>
        <v/>
      </c>
      <c r="J564" s="16" t="n"/>
      <c r="K564" s="16" t="n"/>
      <c r="L564" s="16" t="n"/>
      <c r="M564" s="17" t="n"/>
      <c r="N564" s="123" t="n"/>
      <c r="O564" s="132">
        <f>DADOS_INVOC!$QH$39</f>
        <v/>
      </c>
      <c r="P564" s="16" t="n"/>
      <c r="Q564" s="16" t="n"/>
      <c r="R564" s="16" t="n"/>
      <c r="S564" s="17" t="n"/>
      <c r="T564" s="123" t="n"/>
      <c r="U564" s="132">
        <f>DADOS_INVOC!$QH$40</f>
        <v/>
      </c>
      <c r="V564" s="16" t="n"/>
      <c r="W564" s="16" t="n"/>
      <c r="X564" s="16" t="n"/>
      <c r="Y564" s="17" t="n"/>
      <c r="Z564" s="123" t="n"/>
      <c r="AB564" s="132">
        <f>DADOS_INVOC!$QH$116</f>
        <v/>
      </c>
      <c r="AC564" s="16" t="n"/>
      <c r="AD564" s="16" t="n"/>
      <c r="AE564" s="16" t="n"/>
      <c r="AF564" s="17" t="n"/>
      <c r="AG564" s="123" t="n"/>
      <c r="AH564" s="132">
        <f>DADOS_INVOC!$QH$117</f>
        <v/>
      </c>
      <c r="AI564" s="16" t="n"/>
      <c r="AJ564" s="16" t="n"/>
      <c r="AK564" s="16" t="n"/>
      <c r="AL564" s="17" t="n"/>
      <c r="AM564" s="123" t="n"/>
      <c r="AN564" s="132">
        <f>DADOS_INVOC!$QH$118</f>
        <v/>
      </c>
      <c r="AO564" s="16" t="n"/>
      <c r="AP564" s="16" t="n"/>
      <c r="AQ564" s="16" t="n"/>
      <c r="AR564" s="17" t="n"/>
      <c r="AS564" s="123" t="n"/>
    </row>
    <row r="565" hidden="1" outlineLevel="3">
      <c r="A565" s="8" t="n"/>
      <c r="B565" s="14" t="n"/>
      <c r="C565" s="123" t="n"/>
      <c r="D565" s="123" t="n"/>
      <c r="E565" s="123" t="n"/>
      <c r="F565" s="123" t="n"/>
      <c r="G565" s="123" t="n"/>
      <c r="I565" s="55" t="inlineStr">
        <is>
          <t>MELHORIAS</t>
        </is>
      </c>
      <c r="J565" s="133" t="n"/>
      <c r="K565" s="16" t="n"/>
      <c r="L565" s="17" t="n"/>
      <c r="M565" s="132">
        <f>DADOS_INVOC!$QK$38</f>
        <v/>
      </c>
      <c r="N565" s="123" t="n"/>
      <c r="O565" s="55" t="inlineStr">
        <is>
          <t>MELHORIAS</t>
        </is>
      </c>
      <c r="P565" s="133" t="n"/>
      <c r="Q565" s="16" t="n"/>
      <c r="R565" s="17" t="n"/>
      <c r="S565" s="132">
        <f>DADOS_INVOC!$QK$39</f>
        <v/>
      </c>
      <c r="T565" s="123" t="n"/>
      <c r="U565" s="55" t="inlineStr">
        <is>
          <t>MELHORIAS</t>
        </is>
      </c>
      <c r="V565" s="133" t="n"/>
      <c r="W565" s="16" t="n"/>
      <c r="X565" s="17" t="n"/>
      <c r="Y565" s="132">
        <f>DADOS_INVOC!$QK$40</f>
        <v/>
      </c>
      <c r="Z565" s="123" t="n"/>
      <c r="AB565" s="55" t="inlineStr">
        <is>
          <t>MELHORIAS</t>
        </is>
      </c>
      <c r="AC565" s="133" t="n"/>
      <c r="AD565" s="16" t="n"/>
      <c r="AE565" s="17" t="n"/>
      <c r="AF565" s="132">
        <f>DADOS_INVOC!$QK$116</f>
        <v/>
      </c>
      <c r="AG565" s="123" t="n"/>
      <c r="AH565" s="55" t="inlineStr">
        <is>
          <t>MELHORIAS</t>
        </is>
      </c>
      <c r="AI565" s="133" t="n"/>
      <c r="AJ565" s="16" t="n"/>
      <c r="AK565" s="17" t="n"/>
      <c r="AL565" s="132">
        <f>DADOS_INVOC!$QK$117</f>
        <v/>
      </c>
      <c r="AM565" s="123" t="n"/>
      <c r="AN565" s="55" t="inlineStr">
        <is>
          <t>MELHORIAS</t>
        </is>
      </c>
      <c r="AO565" s="133" t="n"/>
      <c r="AP565" s="16" t="n"/>
      <c r="AQ565" s="17" t="n"/>
      <c r="AR565" s="132">
        <f>DADOS_INVOC!$QK$118</f>
        <v/>
      </c>
      <c r="AS565" s="123" t="n"/>
    </row>
    <row r="566" hidden="1" outlineLevel="3">
      <c r="A566" s="8" t="n"/>
      <c r="B566" s="14" t="n"/>
      <c r="C566" s="123" t="n"/>
      <c r="D566" s="123" t="n"/>
      <c r="E566" s="123" t="n"/>
      <c r="F566" s="123" t="n"/>
      <c r="G566" s="123" t="n"/>
      <c r="I566" s="134" t="n"/>
      <c r="J566" s="133" t="n"/>
      <c r="K566" s="16" t="n"/>
      <c r="L566" s="17" t="n"/>
      <c r="M566" s="132">
        <f>DADOS_INVOC!$QL$38</f>
        <v/>
      </c>
      <c r="N566" s="123" t="n"/>
      <c r="O566" s="134" t="n"/>
      <c r="P566" s="133" t="n"/>
      <c r="Q566" s="16" t="n"/>
      <c r="R566" s="17" t="n"/>
      <c r="S566" s="132">
        <f>DADOS_INVOC!$QL$39</f>
        <v/>
      </c>
      <c r="T566" s="123" t="n"/>
      <c r="U566" s="134" t="n"/>
      <c r="V566" s="133" t="n"/>
      <c r="W566" s="16" t="n"/>
      <c r="X566" s="17" t="n"/>
      <c r="Y566" s="132">
        <f>DADOS_INVOC!$QL$40</f>
        <v/>
      </c>
      <c r="Z566" s="123" t="n"/>
      <c r="AB566" s="134" t="n"/>
      <c r="AC566" s="133" t="n"/>
      <c r="AD566" s="16" t="n"/>
      <c r="AE566" s="17" t="n"/>
      <c r="AF566" s="132">
        <f>DADOS_INVOC!$QL$116</f>
        <v/>
      </c>
      <c r="AG566" s="123" t="n"/>
      <c r="AH566" s="134" t="n"/>
      <c r="AI566" s="133" t="n"/>
      <c r="AJ566" s="16" t="n"/>
      <c r="AK566" s="17" t="n"/>
      <c r="AL566" s="132">
        <f>DADOS_INVOC!$QL$117</f>
        <v/>
      </c>
      <c r="AM566" s="123" t="n"/>
      <c r="AN566" s="134" t="n"/>
      <c r="AO566" s="133" t="n"/>
      <c r="AP566" s="16" t="n"/>
      <c r="AQ566" s="17" t="n"/>
      <c r="AR566" s="132">
        <f>DADOS_INVOC!$QL$118</f>
        <v/>
      </c>
      <c r="AS566" s="123" t="n"/>
    </row>
    <row r="567" hidden="1" outlineLevel="3">
      <c r="A567" s="8" t="n"/>
      <c r="B567" s="14" t="n"/>
      <c r="C567" s="123" t="n"/>
      <c r="D567" s="123" t="n"/>
      <c r="E567" s="123" t="n"/>
      <c r="F567" s="123" t="n"/>
      <c r="G567" s="123" t="n"/>
      <c r="I567" s="134" t="n"/>
      <c r="J567" s="133" t="n"/>
      <c r="K567" s="16" t="n"/>
      <c r="L567" s="17" t="n"/>
      <c r="M567" s="132">
        <f>DADOS_INVOC!$QM$38</f>
        <v/>
      </c>
      <c r="N567" s="123" t="n"/>
      <c r="O567" s="134" t="n"/>
      <c r="P567" s="133" t="n"/>
      <c r="Q567" s="16" t="n"/>
      <c r="R567" s="17" t="n"/>
      <c r="S567" s="132">
        <f>DADOS_INVOC!$QM$39</f>
        <v/>
      </c>
      <c r="T567" s="123" t="n"/>
      <c r="U567" s="134" t="n"/>
      <c r="V567" s="133" t="n"/>
      <c r="W567" s="16" t="n"/>
      <c r="X567" s="17" t="n"/>
      <c r="Y567" s="132">
        <f>DADOS_INVOC!$QM$40</f>
        <v/>
      </c>
      <c r="Z567" s="123" t="n"/>
      <c r="AB567" s="134" t="n"/>
      <c r="AC567" s="133" t="n"/>
      <c r="AD567" s="16" t="n"/>
      <c r="AE567" s="17" t="n"/>
      <c r="AF567" s="132">
        <f>DADOS_INVOC!$QM$116</f>
        <v/>
      </c>
      <c r="AG567" s="123" t="n"/>
      <c r="AH567" s="134" t="n"/>
      <c r="AI567" s="133" t="n"/>
      <c r="AJ567" s="16" t="n"/>
      <c r="AK567" s="17" t="n"/>
      <c r="AL567" s="132">
        <f>DADOS_INVOC!$QM$117</f>
        <v/>
      </c>
      <c r="AM567" s="123" t="n"/>
      <c r="AN567" s="134" t="n"/>
      <c r="AO567" s="133" t="n"/>
      <c r="AP567" s="16" t="n"/>
      <c r="AQ567" s="17" t="n"/>
      <c r="AR567" s="132">
        <f>DADOS_INVOC!$QM$118</f>
        <v/>
      </c>
      <c r="AS567" s="123" t="n"/>
    </row>
    <row r="568" hidden="1" outlineLevel="3">
      <c r="A568" s="8" t="n"/>
      <c r="B568" s="14" t="n"/>
      <c r="C568" s="123" t="n"/>
      <c r="D568" s="123" t="n"/>
      <c r="E568" s="123" t="n"/>
      <c r="F568" s="123" t="n"/>
      <c r="G568" s="123" t="n"/>
      <c r="I568" s="128" t="n"/>
      <c r="J568" s="133" t="n"/>
      <c r="K568" s="16" t="n"/>
      <c r="L568" s="17" t="n"/>
      <c r="M568" s="132">
        <f>DADOS_INVOC!$QN$38</f>
        <v/>
      </c>
      <c r="N568" s="123" t="n"/>
      <c r="O568" s="128" t="n"/>
      <c r="P568" s="133" t="n"/>
      <c r="Q568" s="16" t="n"/>
      <c r="R568" s="17" t="n"/>
      <c r="S568" s="132">
        <f>DADOS_INVOC!$QN$39</f>
        <v/>
      </c>
      <c r="T568" s="123" t="n"/>
      <c r="U568" s="128" t="n"/>
      <c r="V568" s="133" t="n"/>
      <c r="W568" s="16" t="n"/>
      <c r="X568" s="17" t="n"/>
      <c r="Y568" s="132">
        <f>DADOS_INVOC!$QN$40</f>
        <v/>
      </c>
      <c r="Z568" s="123" t="n"/>
      <c r="AB568" s="128" t="n"/>
      <c r="AC568" s="133" t="n"/>
      <c r="AD568" s="16" t="n"/>
      <c r="AE568" s="17" t="n"/>
      <c r="AF568" s="132">
        <f>DADOS_INVOC!$QN$116</f>
        <v/>
      </c>
      <c r="AG568" s="123" t="n"/>
      <c r="AH568" s="128" t="n"/>
      <c r="AI568" s="133" t="n"/>
      <c r="AJ568" s="16" t="n"/>
      <c r="AK568" s="17" t="n"/>
      <c r="AL568" s="132">
        <f>DADOS_INVOC!$QN$117</f>
        <v/>
      </c>
      <c r="AM568" s="123" t="n"/>
      <c r="AN568" s="128" t="n"/>
      <c r="AO568" s="133" t="n"/>
      <c r="AP568" s="16" t="n"/>
      <c r="AQ568" s="17" t="n"/>
      <c r="AR568" s="132">
        <f>DADOS_INVOC!$QN$118</f>
        <v/>
      </c>
      <c r="AS568" s="123" t="n"/>
    </row>
    <row r="569" hidden="1" outlineLevel="3">
      <c r="A569" s="8" t="n"/>
      <c r="B569" s="14" t="n"/>
      <c r="C569" s="123" t="n"/>
      <c r="D569" s="123" t="n"/>
      <c r="E569" s="123" t="n"/>
      <c r="F569" s="123" t="n"/>
      <c r="G569" s="123" t="n"/>
      <c r="I569" s="55" t="inlineStr">
        <is>
          <t>RESTRIÇÕES</t>
        </is>
      </c>
      <c r="J569" s="133" t="n"/>
      <c r="K569" s="16" t="n"/>
      <c r="L569" s="17" t="n"/>
      <c r="M569" s="132">
        <f>DADOS_INVOC!$QO$38</f>
        <v/>
      </c>
      <c r="N569" s="123" t="n"/>
      <c r="O569" s="55" t="inlineStr">
        <is>
          <t>RESTRIÇÕES</t>
        </is>
      </c>
      <c r="P569" s="133" t="n"/>
      <c r="Q569" s="16" t="n"/>
      <c r="R569" s="17" t="n"/>
      <c r="S569" s="132">
        <f>DADOS_INVOC!$QO$39</f>
        <v/>
      </c>
      <c r="T569" s="123" t="n"/>
      <c r="U569" s="55" t="inlineStr">
        <is>
          <t>RESTRIÇÕES</t>
        </is>
      </c>
      <c r="V569" s="133" t="n"/>
      <c r="W569" s="16" t="n"/>
      <c r="X569" s="17" t="n"/>
      <c r="Y569" s="132">
        <f>DADOS_INVOC!$QO$40</f>
        <v/>
      </c>
      <c r="Z569" s="123" t="n"/>
      <c r="AB569" s="55" t="inlineStr">
        <is>
          <t>RESTRIÇÕES</t>
        </is>
      </c>
      <c r="AC569" s="133" t="n"/>
      <c r="AD569" s="16" t="n"/>
      <c r="AE569" s="17" t="n"/>
      <c r="AF569" s="132">
        <f>DADOS_INVOC!$QO$116</f>
        <v/>
      </c>
      <c r="AG569" s="123" t="n"/>
      <c r="AH569" s="55" t="inlineStr">
        <is>
          <t>RESTRIÇÕES</t>
        </is>
      </c>
      <c r="AI569" s="133" t="n"/>
      <c r="AJ569" s="16" t="n"/>
      <c r="AK569" s="17" t="n"/>
      <c r="AL569" s="132">
        <f>DADOS_INVOC!$QO$117</f>
        <v/>
      </c>
      <c r="AM569" s="123" t="n"/>
      <c r="AN569" s="55" t="inlineStr">
        <is>
          <t>RESTRIÇÕES</t>
        </is>
      </c>
      <c r="AO569" s="133" t="n"/>
      <c r="AP569" s="16" t="n"/>
      <c r="AQ569" s="17" t="n"/>
      <c r="AR569" s="132">
        <f>DADOS_INVOC!$QO$118</f>
        <v/>
      </c>
      <c r="AS569" s="123" t="n"/>
    </row>
    <row r="570" hidden="1" outlineLevel="3">
      <c r="A570" s="8" t="n"/>
      <c r="B570" s="14" t="n"/>
      <c r="C570" s="123" t="n"/>
      <c r="D570" s="123" t="n"/>
      <c r="E570" s="123" t="n"/>
      <c r="F570" s="123" t="n"/>
      <c r="G570" s="123" t="n"/>
      <c r="I570" s="128" t="n"/>
      <c r="J570" s="133" t="n"/>
      <c r="K570" s="16" t="n"/>
      <c r="L570" s="17" t="n"/>
      <c r="M570" s="132">
        <f>DADOS_INVOC!$QP$38</f>
        <v/>
      </c>
      <c r="N570" s="123" t="n"/>
      <c r="O570" s="128" t="n"/>
      <c r="P570" s="133" t="n"/>
      <c r="Q570" s="16" t="n"/>
      <c r="R570" s="17" t="n"/>
      <c r="S570" s="132">
        <f>DADOS_INVOC!$QP$39</f>
        <v/>
      </c>
      <c r="T570" s="123" t="n"/>
      <c r="U570" s="128" t="n"/>
      <c r="V570" s="133" t="n"/>
      <c r="W570" s="16" t="n"/>
      <c r="X570" s="17" t="n"/>
      <c r="Y570" s="132">
        <f>DADOS_INVOC!$QP$40</f>
        <v/>
      </c>
      <c r="Z570" s="123" t="n"/>
      <c r="AB570" s="128" t="n"/>
      <c r="AC570" s="133" t="n"/>
      <c r="AD570" s="16" t="n"/>
      <c r="AE570" s="17" t="n"/>
      <c r="AF570" s="132">
        <f>DADOS_INVOC!$QP$116</f>
        <v/>
      </c>
      <c r="AG570" s="123" t="n"/>
      <c r="AH570" s="128" t="n"/>
      <c r="AI570" s="133" t="n"/>
      <c r="AJ570" s="16" t="n"/>
      <c r="AK570" s="17" t="n"/>
      <c r="AL570" s="132">
        <f>DADOS_INVOC!$QP$117</f>
        <v/>
      </c>
      <c r="AM570" s="123" t="n"/>
      <c r="AN570" s="128" t="n"/>
      <c r="AO570" s="133" t="n"/>
      <c r="AP570" s="16" t="n"/>
      <c r="AQ570" s="17" t="n"/>
      <c r="AR570" s="132">
        <f>DADOS_INVOC!$QP$118</f>
        <v/>
      </c>
      <c r="AS570" s="123" t="n"/>
    </row>
    <row r="571" hidden="1" outlineLevel="3">
      <c r="A571" s="8" t="n"/>
      <c r="B571" s="14" t="n"/>
      <c r="C571" s="123" t="n"/>
      <c r="D571" s="123" t="n"/>
      <c r="E571" s="123" t="n"/>
      <c r="F571" s="123" t="n"/>
      <c r="G571" s="123" t="n"/>
      <c r="I571" s="55" t="inlineStr">
        <is>
          <t>CONTA</t>
        </is>
      </c>
      <c r="J571" s="135">
        <f>DADOS_INVOC!$QI$38</f>
        <v/>
      </c>
      <c r="K571" s="16" t="n"/>
      <c r="L571" s="16" t="n"/>
      <c r="M571" s="17" t="n"/>
      <c r="N571" s="123" t="n"/>
      <c r="O571" s="55" t="inlineStr">
        <is>
          <t>CONTA</t>
        </is>
      </c>
      <c r="P571" s="135">
        <f>DADOS_INVOC!$QI$39</f>
        <v/>
      </c>
      <c r="Q571" s="16" t="n"/>
      <c r="R571" s="16" t="n"/>
      <c r="S571" s="17" t="n"/>
      <c r="T571" s="123" t="n"/>
      <c r="U571" s="55" t="inlineStr">
        <is>
          <t>CONTA</t>
        </is>
      </c>
      <c r="V571" s="135">
        <f>DADOS_INVOC!$QI$40</f>
        <v/>
      </c>
      <c r="W571" s="16" t="n"/>
      <c r="X571" s="16" t="n"/>
      <c r="Y571" s="17" t="n"/>
      <c r="Z571" s="123" t="n"/>
      <c r="AB571" s="55" t="inlineStr">
        <is>
          <t>CONTA</t>
        </is>
      </c>
      <c r="AC571" s="135">
        <f>DADOS_INVOC!$QI$116</f>
        <v/>
      </c>
      <c r="AD571" s="16" t="n"/>
      <c r="AE571" s="16" t="n"/>
      <c r="AF571" s="17" t="n"/>
      <c r="AG571" s="123" t="n"/>
      <c r="AH571" s="55" t="inlineStr">
        <is>
          <t>CONTA</t>
        </is>
      </c>
      <c r="AI571" s="135">
        <f>DADOS_INVOC!$QI$117</f>
        <v/>
      </c>
      <c r="AJ571" s="16" t="n"/>
      <c r="AK571" s="16" t="n"/>
      <c r="AL571" s="17" t="n"/>
      <c r="AM571" s="123" t="n"/>
      <c r="AN571" s="55" t="inlineStr">
        <is>
          <t>CONTA</t>
        </is>
      </c>
      <c r="AO571" s="135">
        <f>DADOS_INVOC!$QI$118</f>
        <v/>
      </c>
      <c r="AP571" s="16" t="n"/>
      <c r="AQ571" s="16" t="n"/>
      <c r="AR571" s="17" t="n"/>
      <c r="AS571" s="123" t="n"/>
    </row>
    <row r="572" hidden="1" outlineLevel="3">
      <c r="A572" s="8" t="n"/>
      <c r="B572" s="14" t="n"/>
      <c r="C572" s="123" t="n"/>
      <c r="D572" s="123" t="n"/>
      <c r="E572" s="123" t="n"/>
      <c r="F572" s="123" t="n"/>
      <c r="G572" s="123" t="n"/>
      <c r="I572" s="55" t="inlineStr">
        <is>
          <t>AMPLIAR</t>
        </is>
      </c>
      <c r="J572" s="135">
        <f>DADOS_INVOC!$QJ$38</f>
        <v/>
      </c>
      <c r="K572" s="19" t="n"/>
      <c r="L572" s="19" t="n"/>
      <c r="M572" s="20" t="n"/>
      <c r="N572" s="123" t="n"/>
      <c r="O572" s="55" t="inlineStr">
        <is>
          <t>AMPLIAR</t>
        </is>
      </c>
      <c r="P572" s="135">
        <f>DADOS_INVOC!$QJ$39</f>
        <v/>
      </c>
      <c r="Q572" s="19" t="n"/>
      <c r="R572" s="19" t="n"/>
      <c r="S572" s="20" t="n"/>
      <c r="T572" s="123" t="n"/>
      <c r="U572" s="55" t="inlineStr">
        <is>
          <t>AMPLIAR</t>
        </is>
      </c>
      <c r="V572" s="135">
        <f>DADOS_INVOC!$QJ$40</f>
        <v/>
      </c>
      <c r="W572" s="19" t="n"/>
      <c r="X572" s="19" t="n"/>
      <c r="Y572" s="20" t="n"/>
      <c r="Z572" s="123" t="n"/>
      <c r="AB572" s="55" t="inlineStr">
        <is>
          <t>AMPLIAR</t>
        </is>
      </c>
      <c r="AC572" s="135">
        <f>DADOS_INVOC!$QJ$116</f>
        <v/>
      </c>
      <c r="AD572" s="19" t="n"/>
      <c r="AE572" s="19" t="n"/>
      <c r="AF572" s="20" t="n"/>
      <c r="AG572" s="123" t="n"/>
      <c r="AH572" s="55" t="inlineStr">
        <is>
          <t>AMPLIAR</t>
        </is>
      </c>
      <c r="AI572" s="135">
        <f>DADOS_INVOC!$QJ$117</f>
        <v/>
      </c>
      <c r="AJ572" s="19" t="n"/>
      <c r="AK572" s="19" t="n"/>
      <c r="AL572" s="20" t="n"/>
      <c r="AM572" s="123" t="n"/>
      <c r="AN572" s="55" t="inlineStr">
        <is>
          <t>AMPLIAR</t>
        </is>
      </c>
      <c r="AO572" s="135">
        <f>DADOS_INVOC!$QJ$118</f>
        <v/>
      </c>
      <c r="AP572" s="19" t="n"/>
      <c r="AQ572" s="19" t="n"/>
      <c r="AR572" s="20" t="n"/>
      <c r="AS572" s="123" t="n"/>
    </row>
    <row r="573" hidden="1" outlineLevel="3">
      <c r="A573" s="8" t="n"/>
      <c r="B573" s="14" t="n"/>
      <c r="C573" s="123" t="n"/>
      <c r="D573" s="123" t="n"/>
      <c r="E573" s="123" t="n"/>
      <c r="F573" s="123" t="n"/>
      <c r="G573" s="123" t="n"/>
      <c r="I573" s="128" t="n"/>
      <c r="J573" s="23" t="n"/>
      <c r="K573" s="24" t="n"/>
      <c r="L573" s="24" t="n"/>
      <c r="M573" s="25" t="n"/>
      <c r="N573" s="123" t="n"/>
      <c r="O573" s="128" t="n"/>
      <c r="P573" s="23" t="n"/>
      <c r="Q573" s="24" t="n"/>
      <c r="R573" s="24" t="n"/>
      <c r="S573" s="25" t="n"/>
      <c r="T573" s="123" t="n"/>
      <c r="U573" s="128" t="n"/>
      <c r="V573" s="23" t="n"/>
      <c r="W573" s="24" t="n"/>
      <c r="X573" s="24" t="n"/>
      <c r="Y573" s="25" t="n"/>
      <c r="Z573" s="123" t="n"/>
      <c r="AB573" s="128" t="n"/>
      <c r="AC573" s="23" t="n"/>
      <c r="AD573" s="24" t="n"/>
      <c r="AE573" s="24" t="n"/>
      <c r="AF573" s="25" t="n"/>
      <c r="AG573" s="123" t="n"/>
      <c r="AH573" s="128" t="n"/>
      <c r="AI573" s="23" t="n"/>
      <c r="AJ573" s="24" t="n"/>
      <c r="AK573" s="24" t="n"/>
      <c r="AL573" s="25" t="n"/>
      <c r="AM573" s="123" t="n"/>
      <c r="AN573" s="128" t="n"/>
      <c r="AO573" s="23" t="n"/>
      <c r="AP573" s="24" t="n"/>
      <c r="AQ573" s="24" t="n"/>
      <c r="AR573" s="25" t="n"/>
      <c r="AS573" s="123" t="n"/>
    </row>
    <row r="574" hidden="1" outlineLevel="3">
      <c r="A574" s="8" t="n"/>
      <c r="B574" s="14" t="n"/>
      <c r="C574" s="123" t="n"/>
      <c r="D574" s="123" t="n"/>
      <c r="E574" s="123" t="n"/>
      <c r="F574" s="123" t="n"/>
      <c r="G574" s="123" t="n"/>
      <c r="I574" s="135">
        <f>DADOS_INVOC!$PW$38</f>
        <v/>
      </c>
      <c r="J574" s="19" t="n"/>
      <c r="K574" s="19" t="n"/>
      <c r="L574" s="19" t="n"/>
      <c r="M574" s="20" t="n"/>
      <c r="N574" s="123" t="n"/>
      <c r="O574" s="135">
        <f>DADOS_INVOC!$PW$39</f>
        <v/>
      </c>
      <c r="P574" s="19" t="n"/>
      <c r="Q574" s="19" t="n"/>
      <c r="R574" s="19" t="n"/>
      <c r="S574" s="20" t="n"/>
      <c r="T574" s="123" t="n"/>
      <c r="U574" s="135">
        <f>DADOS_INVOC!$PW$40</f>
        <v/>
      </c>
      <c r="V574" s="19" t="n"/>
      <c r="W574" s="19" t="n"/>
      <c r="X574" s="19" t="n"/>
      <c r="Y574" s="20" t="n"/>
      <c r="Z574" s="123" t="n"/>
      <c r="AB574" s="135">
        <f>DADOS_INVOC!$PW$116</f>
        <v/>
      </c>
      <c r="AC574" s="19" t="n"/>
      <c r="AD574" s="19" t="n"/>
      <c r="AE574" s="19" t="n"/>
      <c r="AF574" s="20" t="n"/>
      <c r="AG574" s="123" t="n"/>
      <c r="AH574" s="135">
        <f>DADOS_INVOC!$PW$117</f>
        <v/>
      </c>
      <c r="AI574" s="19" t="n"/>
      <c r="AJ574" s="19" t="n"/>
      <c r="AK574" s="19" t="n"/>
      <c r="AL574" s="20" t="n"/>
      <c r="AM574" s="123" t="n"/>
      <c r="AN574" s="135">
        <f>DADOS_INVOC!$PW$118</f>
        <v/>
      </c>
      <c r="AO574" s="19" t="n"/>
      <c r="AP574" s="19" t="n"/>
      <c r="AQ574" s="19" t="n"/>
      <c r="AR574" s="20" t="n"/>
      <c r="AS574" s="123" t="n"/>
    </row>
    <row r="575" hidden="1" outlineLevel="3">
      <c r="A575" s="8" t="n"/>
      <c r="B575" s="14" t="n"/>
      <c r="C575" s="123" t="n"/>
      <c r="D575" s="123" t="n"/>
      <c r="E575" s="123" t="n"/>
      <c r="F575" s="123" t="n"/>
      <c r="G575" s="123" t="n"/>
      <c r="I575" s="23" t="n"/>
      <c r="J575" s="24" t="n"/>
      <c r="K575" s="24" t="n"/>
      <c r="L575" s="24" t="n"/>
      <c r="M575" s="25" t="n"/>
      <c r="N575" s="123" t="n"/>
      <c r="O575" s="23" t="n"/>
      <c r="P575" s="24" t="n"/>
      <c r="Q575" s="24" t="n"/>
      <c r="R575" s="24" t="n"/>
      <c r="S575" s="25" t="n"/>
      <c r="T575" s="123" t="n"/>
      <c r="U575" s="23" t="n"/>
      <c r="V575" s="24" t="n"/>
      <c r="W575" s="24" t="n"/>
      <c r="X575" s="24" t="n"/>
      <c r="Y575" s="25" t="n"/>
      <c r="Z575" s="123" t="n"/>
      <c r="AB575" s="23" t="n"/>
      <c r="AC575" s="24" t="n"/>
      <c r="AD575" s="24" t="n"/>
      <c r="AE575" s="24" t="n"/>
      <c r="AF575" s="25" t="n"/>
      <c r="AG575" s="123" t="n"/>
      <c r="AH575" s="23" t="n"/>
      <c r="AI575" s="24" t="n"/>
      <c r="AJ575" s="24" t="n"/>
      <c r="AK575" s="24" t="n"/>
      <c r="AL575" s="25" t="n"/>
      <c r="AM575" s="123" t="n"/>
      <c r="AN575" s="23" t="n"/>
      <c r="AO575" s="24" t="n"/>
      <c r="AP575" s="24" t="n"/>
      <c r="AQ575" s="24" t="n"/>
      <c r="AR575" s="25" t="n"/>
      <c r="AS575" s="123" t="n"/>
    </row>
    <row r="576" hidden="1" outlineLevel="2">
      <c r="A576" s="8" t="n"/>
      <c r="B576" s="14" t="n"/>
      <c r="C576" s="123" t="n"/>
      <c r="D576" s="123" t="n"/>
      <c r="E576" s="123" t="n"/>
      <c r="F576" s="123" t="n"/>
      <c r="G576" s="123" t="n"/>
      <c r="I576" s="123" t="n"/>
      <c r="J576" s="123" t="n"/>
      <c r="K576" s="123" t="n"/>
      <c r="L576" s="123" t="n"/>
      <c r="M576" s="123" t="n"/>
      <c r="N576" s="123" t="n"/>
      <c r="O576" s="123" t="n"/>
      <c r="P576" s="123" t="n"/>
      <c r="Q576" s="123" t="n"/>
      <c r="R576" s="123" t="n"/>
      <c r="S576" s="123" t="n"/>
      <c r="T576" s="123" t="n"/>
      <c r="U576" s="123" t="n"/>
      <c r="V576" s="123" t="n"/>
      <c r="W576" s="123" t="n"/>
      <c r="X576" s="123" t="n"/>
      <c r="Y576" s="123" t="n"/>
      <c r="Z576" s="123" t="n"/>
      <c r="AB576" s="123" t="n"/>
      <c r="AC576" s="123" t="n"/>
      <c r="AD576" s="123" t="n"/>
      <c r="AE576" s="123" t="n"/>
      <c r="AF576" s="123" t="n"/>
      <c r="AG576" s="123" t="n"/>
      <c r="AH576" s="123" t="n"/>
      <c r="AI576" s="123" t="n"/>
      <c r="AJ576" s="123" t="n"/>
      <c r="AK576" s="123" t="n"/>
      <c r="AL576" s="123" t="n"/>
      <c r="AM576" s="123" t="n"/>
      <c r="AN576" s="123" t="n"/>
      <c r="AO576" s="123" t="n"/>
      <c r="AP576" s="123" t="n"/>
      <c r="AQ576" s="123" t="n"/>
      <c r="AR576" s="123" t="n"/>
      <c r="AS576" s="123" t="n"/>
    </row>
    <row r="577" hidden="1" outlineLevel="2">
      <c r="A577" s="8" t="n"/>
      <c r="B577" s="14" t="n"/>
      <c r="C577" s="123" t="n"/>
      <c r="D577" s="123" t="n"/>
      <c r="E577" s="123" t="n"/>
      <c r="F577" s="123" t="n"/>
      <c r="G577" s="123" t="n"/>
      <c r="I577" s="55"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23" t="n"/>
      <c r="AB577" s="55"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23" t="n"/>
    </row>
    <row r="578" hidden="1" outlineLevel="2">
      <c r="A578" s="8" t="n"/>
      <c r="B578" s="14" t="n"/>
      <c r="C578" s="123" t="n"/>
      <c r="D578" s="123" t="n"/>
      <c r="E578" s="123" t="n"/>
      <c r="F578" s="123" t="n"/>
      <c r="G578" s="123" t="n"/>
      <c r="I578" s="55" t="inlineStr">
        <is>
          <t>TRILHA · CE 1</t>
        </is>
      </c>
      <c r="J578" s="133" t="n"/>
      <c r="K578" s="16" t="n"/>
      <c r="L578" s="17" t="n"/>
      <c r="M578" s="140">
        <f>DADOS_INVOC!$IU$4</f>
        <v/>
      </c>
      <c r="N578" s="16" t="n"/>
      <c r="O578" s="16" t="n"/>
      <c r="P578" s="16" t="n"/>
      <c r="Q578" s="16" t="n"/>
      <c r="R578" s="16" t="n"/>
      <c r="S578" s="16" t="n"/>
      <c r="T578" s="16" t="n"/>
      <c r="U578" s="16" t="n"/>
      <c r="V578" s="16" t="n"/>
      <c r="W578" s="16" t="n"/>
      <c r="X578" s="16" t="n"/>
      <c r="Y578" s="17" t="n"/>
      <c r="Z578" s="123" t="n"/>
      <c r="AB578" s="55" t="inlineStr">
        <is>
          <t>TRILHA · CE 1</t>
        </is>
      </c>
      <c r="AC578" s="133" t="n"/>
      <c r="AD578" s="16" t="n"/>
      <c r="AE578" s="17" t="n"/>
      <c r="AF578" s="140">
        <f>DADOS_INVOC!$IU$10</f>
        <v/>
      </c>
      <c r="AG578" s="16" t="n"/>
      <c r="AH578" s="16" t="n"/>
      <c r="AI578" s="16" t="n"/>
      <c r="AJ578" s="16" t="n"/>
      <c r="AK578" s="16" t="n"/>
      <c r="AL578" s="16" t="n"/>
      <c r="AM578" s="16" t="n"/>
      <c r="AN578" s="16" t="n"/>
      <c r="AO578" s="16" t="n"/>
      <c r="AP578" s="16" t="n"/>
      <c r="AQ578" s="16" t="n"/>
      <c r="AR578" s="17" t="n"/>
      <c r="AS578" s="123" t="n"/>
    </row>
    <row r="579" hidden="1" outlineLevel="2">
      <c r="A579" s="8" t="n"/>
      <c r="B579" s="14" t="n"/>
      <c r="C579" s="123" t="n"/>
      <c r="D579" s="123" t="n"/>
      <c r="E579" s="123" t="n"/>
      <c r="F579" s="123" t="n"/>
      <c r="G579" s="123" t="n"/>
      <c r="I579" s="55" t="inlineStr">
        <is>
          <t>TRILHA · CE 1</t>
        </is>
      </c>
      <c r="J579" s="133" t="n"/>
      <c r="K579" s="16" t="n"/>
      <c r="L579" s="17" t="n"/>
      <c r="M579" s="140">
        <f>DADOS_INVOC!$IV$4</f>
        <v/>
      </c>
      <c r="N579" s="16" t="n"/>
      <c r="O579" s="16" t="n"/>
      <c r="P579" s="16" t="n"/>
      <c r="Q579" s="16" t="n"/>
      <c r="R579" s="16" t="n"/>
      <c r="S579" s="16" t="n"/>
      <c r="T579" s="16" t="n"/>
      <c r="U579" s="16" t="n"/>
      <c r="V579" s="16" t="n"/>
      <c r="W579" s="16" t="n"/>
      <c r="X579" s="16" t="n"/>
      <c r="Y579" s="17" t="n"/>
      <c r="Z579" s="123" t="n"/>
      <c r="AB579" s="55" t="inlineStr">
        <is>
          <t>TRILHA · CE 1</t>
        </is>
      </c>
      <c r="AC579" s="133" t="n"/>
      <c r="AD579" s="16" t="n"/>
      <c r="AE579" s="17" t="n"/>
      <c r="AF579" s="140">
        <f>DADOS_INVOC!$IV$10</f>
        <v/>
      </c>
      <c r="AG579" s="16" t="n"/>
      <c r="AH579" s="16" t="n"/>
      <c r="AI579" s="16" t="n"/>
      <c r="AJ579" s="16" t="n"/>
      <c r="AK579" s="16" t="n"/>
      <c r="AL579" s="16" t="n"/>
      <c r="AM579" s="16" t="n"/>
      <c r="AN579" s="16" t="n"/>
      <c r="AO579" s="16" t="n"/>
      <c r="AP579" s="16" t="n"/>
      <c r="AQ579" s="16" t="n"/>
      <c r="AR579" s="17" t="n"/>
      <c r="AS579" s="123" t="n"/>
    </row>
    <row r="580" hidden="1" outlineLevel="2">
      <c r="A580" s="8" t="n"/>
      <c r="B580" s="14" t="n"/>
      <c r="C580" s="123" t="n"/>
      <c r="D580" s="123" t="n"/>
      <c r="E580" s="123" t="n"/>
      <c r="F580" s="123" t="n"/>
      <c r="G580" s="123" t="n"/>
      <c r="I580" s="55" t="inlineStr">
        <is>
          <t>TRILHA · CE 1</t>
        </is>
      </c>
      <c r="J580" s="133" t="n"/>
      <c r="K580" s="16" t="n"/>
      <c r="L580" s="17" t="n"/>
      <c r="M580" s="140">
        <f>DADOS_INVOC!$IW$4</f>
        <v/>
      </c>
      <c r="N580" s="16" t="n"/>
      <c r="O580" s="16" t="n"/>
      <c r="P580" s="16" t="n"/>
      <c r="Q580" s="16" t="n"/>
      <c r="R580" s="16" t="n"/>
      <c r="S580" s="16" t="n"/>
      <c r="T580" s="16" t="n"/>
      <c r="U580" s="16" t="n"/>
      <c r="V580" s="16" t="n"/>
      <c r="W580" s="16" t="n"/>
      <c r="X580" s="16" t="n"/>
      <c r="Y580" s="17" t="n"/>
      <c r="Z580" s="123" t="n"/>
      <c r="AB580" s="55" t="inlineStr">
        <is>
          <t>TRILHA · CE 1</t>
        </is>
      </c>
      <c r="AC580" s="133" t="n"/>
      <c r="AD580" s="16" t="n"/>
      <c r="AE580" s="17" t="n"/>
      <c r="AF580" s="140">
        <f>DADOS_INVOC!$IW$10</f>
        <v/>
      </c>
      <c r="AG580" s="16" t="n"/>
      <c r="AH580" s="16" t="n"/>
      <c r="AI580" s="16" t="n"/>
      <c r="AJ580" s="16" t="n"/>
      <c r="AK580" s="16" t="n"/>
      <c r="AL580" s="16" t="n"/>
      <c r="AM580" s="16" t="n"/>
      <c r="AN580" s="16" t="n"/>
      <c r="AO580" s="16" t="n"/>
      <c r="AP580" s="16" t="n"/>
      <c r="AQ580" s="16" t="n"/>
      <c r="AR580" s="17" t="n"/>
      <c r="AS580" s="123" t="n"/>
    </row>
    <row r="581" hidden="1" outlineLevel="1">
      <c r="A581" s="8" t="n"/>
      <c r="B581" s="14" t="n"/>
      <c r="C581" s="123" t="n"/>
      <c r="D581" s="123" t="n"/>
      <c r="E581" s="123" t="n"/>
      <c r="F581" s="123" t="n"/>
      <c r="G581" s="123" t="n"/>
      <c r="I581" s="123" t="n"/>
      <c r="J581" s="123" t="n"/>
      <c r="K581" s="123" t="n"/>
      <c r="L581" s="123" t="n"/>
      <c r="M581" s="123" t="n"/>
      <c r="N581" s="123" t="n"/>
      <c r="O581" s="123" t="n"/>
      <c r="P581" s="123" t="n"/>
      <c r="Q581" s="123" t="n"/>
      <c r="R581" s="123" t="n"/>
      <c r="S581" s="123" t="n"/>
      <c r="T581" s="123" t="n"/>
      <c r="U581" s="123" t="n"/>
      <c r="V581" s="123" t="n"/>
      <c r="W581" s="123" t="n"/>
      <c r="X581" s="123" t="n"/>
      <c r="Y581" s="123" t="n"/>
      <c r="Z581" s="123" t="n"/>
      <c r="AB581" s="123" t="n"/>
      <c r="AC581" s="123" t="n"/>
      <c r="AD581" s="123" t="n"/>
      <c r="AE581" s="123" t="n"/>
      <c r="AF581" s="123" t="n"/>
      <c r="AG581" s="123" t="n"/>
      <c r="AH581" s="123" t="n"/>
      <c r="AI581" s="123" t="n"/>
      <c r="AJ581" s="123" t="n"/>
      <c r="AK581" s="123" t="n"/>
      <c r="AL581" s="123" t="n"/>
      <c r="AM581" s="123" t="n"/>
      <c r="AN581" s="123" t="n"/>
      <c r="AO581" s="123" t="n"/>
      <c r="AP581" s="123" t="n"/>
      <c r="AQ581" s="123" t="n"/>
      <c r="AR581" s="123" t="n"/>
      <c r="AS581" s="123" t="n"/>
    </row>
    <row r="582" hidden="1" outlineLevel="1">
      <c r="A582" s="8" t="n"/>
      <c r="B582" s="14" t="n"/>
      <c r="C582" s="123" t="n"/>
      <c r="D582" s="123" t="n"/>
      <c r="E582" s="123" t="n"/>
      <c r="F582" s="123" t="n"/>
      <c r="G582" s="123" t="n"/>
      <c r="I582" s="136"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23" t="n"/>
      <c r="AB582" s="136"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23" t="n"/>
    </row>
    <row r="583" hidden="1" outlineLevel="2">
      <c r="A583" s="8" t="n"/>
      <c r="B583" s="14" t="n"/>
      <c r="C583" s="123" t="n"/>
      <c r="D583" s="123" t="n"/>
      <c r="E583" s="123" t="n"/>
      <c r="F583" s="123" t="n"/>
      <c r="G583" s="123" t="n"/>
      <c r="I583" s="123" t="n"/>
      <c r="J583" s="123" t="n"/>
      <c r="K583" s="123" t="n"/>
      <c r="L583" s="123" t="n"/>
      <c r="M583" s="123" t="n"/>
      <c r="N583" s="123" t="n"/>
      <c r="O583" s="123" t="n"/>
      <c r="P583" s="123" t="n"/>
      <c r="Q583" s="123" t="n"/>
      <c r="R583" s="123" t="n"/>
      <c r="S583" s="123" t="n"/>
      <c r="T583" s="123" t="n"/>
      <c r="U583" s="123" t="n"/>
      <c r="V583" s="123" t="n"/>
      <c r="W583" s="123" t="n"/>
      <c r="X583" s="123" t="n"/>
      <c r="Y583" s="123" t="n"/>
      <c r="Z583" s="123" t="n"/>
      <c r="AB583" s="123" t="n"/>
      <c r="AC583" s="123" t="n"/>
      <c r="AD583" s="123" t="n"/>
      <c r="AE583" s="123" t="n"/>
      <c r="AF583" s="123" t="n"/>
      <c r="AG583" s="123" t="n"/>
      <c r="AH583" s="123" t="n"/>
      <c r="AI583" s="123" t="n"/>
      <c r="AJ583" s="123" t="n"/>
      <c r="AK583" s="123" t="n"/>
      <c r="AL583" s="123" t="n"/>
      <c r="AM583" s="123" t="n"/>
      <c r="AN583" s="123" t="n"/>
      <c r="AO583" s="123" t="n"/>
      <c r="AP583" s="123" t="n"/>
      <c r="AQ583" s="123" t="n"/>
      <c r="AR583" s="123" t="n"/>
      <c r="AS583" s="123" t="n"/>
    </row>
    <row r="584" hidden="1" outlineLevel="2">
      <c r="A584" s="8" t="n"/>
      <c r="B584" s="14" t="n"/>
      <c r="C584" s="123" t="n"/>
      <c r="D584" s="123" t="n"/>
      <c r="E584" s="123" t="n"/>
      <c r="F584" s="123" t="n"/>
      <c r="G584" s="123" t="n"/>
      <c r="I584" s="55" t="inlineStr">
        <is>
          <t>LIBERAÇÃO MÁXIMA 1</t>
        </is>
      </c>
      <c r="J584" s="16" t="n"/>
      <c r="K584" s="16" t="n"/>
      <c r="L584" s="16" t="n"/>
      <c r="M584" s="17" t="n"/>
      <c r="N584" s="123" t="n"/>
      <c r="O584" s="55" t="inlineStr">
        <is>
          <t>LIBERAÇÃO MÁXIMA 2</t>
        </is>
      </c>
      <c r="P584" s="16" t="n"/>
      <c r="Q584" s="16" t="n"/>
      <c r="R584" s="16" t="n"/>
      <c r="S584" s="17" t="n"/>
      <c r="T584" s="123" t="n"/>
      <c r="U584" s="55" t="inlineStr">
        <is>
          <t>LIBERAÇÃO MÁXIMA 3</t>
        </is>
      </c>
      <c r="V584" s="16" t="n"/>
      <c r="W584" s="16" t="n"/>
      <c r="X584" s="16" t="n"/>
      <c r="Y584" s="17" t="n"/>
      <c r="Z584" s="123" t="n"/>
      <c r="AB584" s="55" t="inlineStr">
        <is>
          <t>LIBERAÇÃO MÁXIMA 1</t>
        </is>
      </c>
      <c r="AC584" s="16" t="n"/>
      <c r="AD584" s="16" t="n"/>
      <c r="AE584" s="16" t="n"/>
      <c r="AF584" s="17" t="n"/>
      <c r="AG584" s="123" t="n"/>
      <c r="AH584" s="55" t="inlineStr">
        <is>
          <t>LIBERAÇÃO MÁXIMA 2</t>
        </is>
      </c>
      <c r="AI584" s="16" t="n"/>
      <c r="AJ584" s="16" t="n"/>
      <c r="AK584" s="16" t="n"/>
      <c r="AL584" s="17" t="n"/>
      <c r="AM584" s="123" t="n"/>
      <c r="AN584" s="55" t="inlineStr">
        <is>
          <t>LIBERAÇÃO MÁXIMA 3</t>
        </is>
      </c>
      <c r="AO584" s="16" t="n"/>
      <c r="AP584" s="16" t="n"/>
      <c r="AQ584" s="16" t="n"/>
      <c r="AR584" s="17" t="n"/>
      <c r="AS584" s="123" t="n"/>
    </row>
    <row r="585" hidden="1" outlineLevel="2">
      <c r="A585" s="8" t="n"/>
      <c r="B585" s="14" t="n"/>
      <c r="C585" s="123" t="n"/>
      <c r="D585" s="123" t="n"/>
      <c r="E585" s="123" t="n"/>
      <c r="F585" s="123" t="n"/>
      <c r="G585" s="123" t="n"/>
      <c r="I585" s="130" t="n">
        <v>3</v>
      </c>
      <c r="J585" s="118" t="n"/>
      <c r="K585" s="16" t="n"/>
      <c r="L585" s="17" t="n"/>
      <c r="M585" s="131">
        <f>DADOS_INVOC!$IX$4</f>
        <v/>
      </c>
      <c r="N585" s="123" t="n"/>
      <c r="O585" s="130" t="n">
        <v>3</v>
      </c>
      <c r="P585" s="118" t="n"/>
      <c r="Q585" s="16" t="n"/>
      <c r="R585" s="17" t="n"/>
      <c r="S585" s="131">
        <f>DADOS_INVOC!$IY$4</f>
        <v/>
      </c>
      <c r="T585" s="123" t="n"/>
      <c r="U585" s="130" t="n">
        <v>3</v>
      </c>
      <c r="V585" s="118" t="n"/>
      <c r="W585" s="16" t="n"/>
      <c r="X585" s="17" t="n"/>
      <c r="Y585" s="131">
        <f>DADOS_INVOC!$IZ$4</f>
        <v/>
      </c>
      <c r="Z585" s="123" t="n"/>
      <c r="AB585" s="130" t="n">
        <v>3</v>
      </c>
      <c r="AC585" s="118" t="n"/>
      <c r="AD585" s="16" t="n"/>
      <c r="AE585" s="17" t="n"/>
      <c r="AF585" s="131">
        <f>DADOS_INVOC!$IX$10</f>
        <v/>
      </c>
      <c r="AG585" s="123" t="n"/>
      <c r="AH585" s="130" t="n">
        <v>3</v>
      </c>
      <c r="AI585" s="118" t="n"/>
      <c r="AJ585" s="16" t="n"/>
      <c r="AK585" s="17" t="n"/>
      <c r="AL585" s="131">
        <f>DADOS_INVOC!$IY$10</f>
        <v/>
      </c>
      <c r="AM585" s="123" t="n"/>
      <c r="AN585" s="130" t="n">
        <v>3</v>
      </c>
      <c r="AO585" s="118" t="n"/>
      <c r="AP585" s="16" t="n"/>
      <c r="AQ585" s="17" t="n"/>
      <c r="AR585" s="131">
        <f>DADOS_INVOC!$IZ$10</f>
        <v/>
      </c>
      <c r="AS585" s="123" t="n"/>
    </row>
    <row r="586" hidden="1" outlineLevel="2">
      <c r="A586" s="8" t="n"/>
      <c r="B586" s="14" t="n"/>
      <c r="C586" s="123" t="n"/>
      <c r="D586" s="123" t="n"/>
      <c r="E586" s="123" t="n"/>
      <c r="F586" s="123" t="n"/>
      <c r="G586" s="123" t="n"/>
      <c r="I586" s="119" t="n"/>
      <c r="J586" s="19" t="n"/>
      <c r="K586" s="19" t="n"/>
      <c r="L586" s="19" t="n"/>
      <c r="M586" s="20" t="n"/>
      <c r="N586" s="123" t="n"/>
      <c r="O586" s="119" t="n"/>
      <c r="P586" s="19" t="n"/>
      <c r="Q586" s="19" t="n"/>
      <c r="R586" s="19" t="n"/>
      <c r="S586" s="20" t="n"/>
      <c r="T586" s="123" t="n"/>
      <c r="U586" s="119" t="n"/>
      <c r="V586" s="19" t="n"/>
      <c r="W586" s="19" t="n"/>
      <c r="X586" s="19" t="n"/>
      <c r="Y586" s="20" t="n"/>
      <c r="Z586" s="123" t="n"/>
      <c r="AB586" s="119" t="n"/>
      <c r="AC586" s="19" t="n"/>
      <c r="AD586" s="19" t="n"/>
      <c r="AE586" s="19" t="n"/>
      <c r="AF586" s="20" t="n"/>
      <c r="AG586" s="123" t="n"/>
      <c r="AH586" s="119" t="n"/>
      <c r="AI586" s="19" t="n"/>
      <c r="AJ586" s="19" t="n"/>
      <c r="AK586" s="19" t="n"/>
      <c r="AL586" s="20" t="n"/>
      <c r="AM586" s="123" t="n"/>
      <c r="AN586" s="119" t="n"/>
      <c r="AO586" s="19" t="n"/>
      <c r="AP586" s="19" t="n"/>
      <c r="AQ586" s="19" t="n"/>
      <c r="AR586" s="20" t="n"/>
      <c r="AS586" s="123" t="n"/>
    </row>
    <row r="587" hidden="1" outlineLevel="2">
      <c r="A587" s="8" t="n"/>
      <c r="B587" s="14" t="n"/>
      <c r="C587" s="123" t="n"/>
      <c r="D587" s="123" t="n"/>
      <c r="E587" s="123" t="n"/>
      <c r="F587" s="123" t="n"/>
      <c r="G587" s="123" t="n"/>
      <c r="I587" s="21" t="n"/>
      <c r="M587" s="22" t="n"/>
      <c r="N587" s="123" t="n"/>
      <c r="O587" s="21" t="n"/>
      <c r="S587" s="22" t="n"/>
      <c r="T587" s="123" t="n"/>
      <c r="U587" s="21" t="n"/>
      <c r="Y587" s="22" t="n"/>
      <c r="Z587" s="123" t="n"/>
      <c r="AB587" s="21" t="n"/>
      <c r="AF587" s="22" t="n"/>
      <c r="AG587" s="123" t="n"/>
      <c r="AH587" s="21" t="n"/>
      <c r="AL587" s="22" t="n"/>
      <c r="AM587" s="123" t="n"/>
      <c r="AN587" s="21" t="n"/>
      <c r="AR587" s="22" t="n"/>
      <c r="AS587" s="123" t="n"/>
    </row>
    <row r="588" hidden="1" outlineLevel="2">
      <c r="A588" s="8" t="n"/>
      <c r="B588" s="14" t="n"/>
      <c r="C588" s="123" t="n"/>
      <c r="D588" s="123" t="n"/>
      <c r="E588" s="123" t="n"/>
      <c r="F588" s="123" t="n"/>
      <c r="G588" s="123" t="n"/>
      <c r="I588" s="21" t="n"/>
      <c r="M588" s="22" t="n"/>
      <c r="N588" s="123" t="n"/>
      <c r="O588" s="21" t="n"/>
      <c r="S588" s="22" t="n"/>
      <c r="T588" s="123" t="n"/>
      <c r="U588" s="21" t="n"/>
      <c r="Y588" s="22" t="n"/>
      <c r="Z588" s="123" t="n"/>
      <c r="AB588" s="21" t="n"/>
      <c r="AF588" s="22" t="n"/>
      <c r="AG588" s="123" t="n"/>
      <c r="AH588" s="21" t="n"/>
      <c r="AL588" s="22" t="n"/>
      <c r="AM588" s="123" t="n"/>
      <c r="AN588" s="21" t="n"/>
      <c r="AR588" s="22" t="n"/>
      <c r="AS588" s="123" t="n"/>
    </row>
    <row r="589" hidden="1" outlineLevel="2">
      <c r="A589" s="8" t="n"/>
      <c r="B589" s="14" t="n"/>
      <c r="C589" s="123" t="n"/>
      <c r="D589" s="123" t="n"/>
      <c r="E589" s="123" t="n"/>
      <c r="F589" s="123" t="n"/>
      <c r="G589" s="123" t="n"/>
      <c r="I589" s="23" t="n"/>
      <c r="J589" s="24" t="n"/>
      <c r="K589" s="24" t="n"/>
      <c r="L589" s="24" t="n"/>
      <c r="M589" s="25" t="n"/>
      <c r="N589" s="123" t="n"/>
      <c r="O589" s="23" t="n"/>
      <c r="P589" s="24" t="n"/>
      <c r="Q589" s="24" t="n"/>
      <c r="R589" s="24" t="n"/>
      <c r="S589" s="25" t="n"/>
      <c r="T589" s="123" t="n"/>
      <c r="U589" s="23" t="n"/>
      <c r="V589" s="24" t="n"/>
      <c r="W589" s="24" t="n"/>
      <c r="X589" s="24" t="n"/>
      <c r="Y589" s="25" t="n"/>
      <c r="Z589" s="123" t="n"/>
      <c r="AB589" s="23" t="n"/>
      <c r="AC589" s="24" t="n"/>
      <c r="AD589" s="24" t="n"/>
      <c r="AE589" s="24" t="n"/>
      <c r="AF589" s="25" t="n"/>
      <c r="AG589" s="123" t="n"/>
      <c r="AH589" s="23" t="n"/>
      <c r="AI589" s="24" t="n"/>
      <c r="AJ589" s="24" t="n"/>
      <c r="AK589" s="24" t="n"/>
      <c r="AL589" s="25" t="n"/>
      <c r="AM589" s="123" t="n"/>
      <c r="AN589" s="23" t="n"/>
      <c r="AO589" s="24" t="n"/>
      <c r="AP589" s="24" t="n"/>
      <c r="AQ589" s="24" t="n"/>
      <c r="AR589" s="25" t="n"/>
      <c r="AS589" s="123" t="n"/>
    </row>
    <row r="590" hidden="1" outlineLevel="2">
      <c r="A590" s="8" t="n"/>
      <c r="B590" s="14" t="n"/>
      <c r="C590" s="123" t="n"/>
      <c r="D590" s="123" t="n"/>
      <c r="E590" s="123" t="n"/>
      <c r="F590" s="123" t="n"/>
      <c r="G590" s="123" t="n"/>
      <c r="I590" s="68">
        <f>DADOS_INVOC!$JA$4</f>
        <v/>
      </c>
      <c r="J590" s="16" t="n"/>
      <c r="K590" s="16" t="n"/>
      <c r="L590" s="16" t="n"/>
      <c r="M590" s="17" t="n"/>
      <c r="N590" s="123" t="n"/>
      <c r="O590" s="68">
        <f>DADOS_INVOC!$JB$4</f>
        <v/>
      </c>
      <c r="P590" s="16" t="n"/>
      <c r="Q590" s="16" t="n"/>
      <c r="R590" s="16" t="n"/>
      <c r="S590" s="17" t="n"/>
      <c r="T590" s="123" t="n"/>
      <c r="U590" s="68">
        <f>DADOS_INVOC!$JC$4</f>
        <v/>
      </c>
      <c r="V590" s="16" t="n"/>
      <c r="W590" s="16" t="n"/>
      <c r="X590" s="16" t="n"/>
      <c r="Y590" s="17" t="n"/>
      <c r="Z590" s="123" t="n"/>
      <c r="AB590" s="68">
        <f>DADOS_INVOC!$JA$10</f>
        <v/>
      </c>
      <c r="AC590" s="16" t="n"/>
      <c r="AD590" s="16" t="n"/>
      <c r="AE590" s="16" t="n"/>
      <c r="AF590" s="17" t="n"/>
      <c r="AG590" s="123" t="n"/>
      <c r="AH590" s="68">
        <f>DADOS_INVOC!$JB$10</f>
        <v/>
      </c>
      <c r="AI590" s="16" t="n"/>
      <c r="AJ590" s="16" t="n"/>
      <c r="AK590" s="16" t="n"/>
      <c r="AL590" s="17" t="n"/>
      <c r="AM590" s="123" t="n"/>
      <c r="AN590" s="68">
        <f>DADOS_INVOC!$JC$10</f>
        <v/>
      </c>
      <c r="AO590" s="16" t="n"/>
      <c r="AP590" s="16" t="n"/>
      <c r="AQ590" s="16" t="n"/>
      <c r="AR590" s="17" t="n"/>
      <c r="AS590" s="123" t="n"/>
    </row>
    <row r="591" hidden="1" outlineLevel="2">
      <c r="A591" s="8" t="n"/>
      <c r="B591" s="14" t="n"/>
      <c r="C591" s="123" t="n"/>
      <c r="D591" s="123" t="n"/>
      <c r="E591" s="123" t="n"/>
      <c r="F591" s="123" t="n"/>
      <c r="G591" s="123" t="n"/>
      <c r="I591" s="127" t="inlineStr">
        <is>
          <t>Sua Ação Completa + a básica dela</t>
        </is>
      </c>
      <c r="J591" s="16" t="n"/>
      <c r="K591" s="16" t="n"/>
      <c r="L591" s="16" t="n"/>
      <c r="M591" s="17" t="n"/>
      <c r="N591" s="123" t="n"/>
      <c r="O591" s="127" t="inlineStr">
        <is>
          <t>Sua Ação Completa + a básica dela</t>
        </is>
      </c>
      <c r="P591" s="16" t="n"/>
      <c r="Q591" s="16" t="n"/>
      <c r="R591" s="16" t="n"/>
      <c r="S591" s="17" t="n"/>
      <c r="T591" s="123" t="n"/>
      <c r="U591" s="127" t="inlineStr">
        <is>
          <t>Sua Ação Completa + a básica dela</t>
        </is>
      </c>
      <c r="V591" s="16" t="n"/>
      <c r="W591" s="16" t="n"/>
      <c r="X591" s="16" t="n"/>
      <c r="Y591" s="17" t="n"/>
      <c r="Z591" s="123" t="n"/>
      <c r="AB591" s="127" t="inlineStr">
        <is>
          <t>Sua Ação Completa + a básica dela</t>
        </is>
      </c>
      <c r="AC591" s="16" t="n"/>
      <c r="AD591" s="16" t="n"/>
      <c r="AE591" s="16" t="n"/>
      <c r="AF591" s="17" t="n"/>
      <c r="AG591" s="123" t="n"/>
      <c r="AH591" s="127" t="inlineStr">
        <is>
          <t>Sua Ação Completa + a básica dela</t>
        </is>
      </c>
      <c r="AI591" s="16" t="n"/>
      <c r="AJ591" s="16" t="n"/>
      <c r="AK591" s="16" t="n"/>
      <c r="AL591" s="17" t="n"/>
      <c r="AM591" s="123" t="n"/>
      <c r="AN591" s="127" t="inlineStr">
        <is>
          <t>Sua Ação Completa + a básica dela</t>
        </is>
      </c>
      <c r="AO591" s="16" t="n"/>
      <c r="AP591" s="16" t="n"/>
      <c r="AQ591" s="16" t="n"/>
      <c r="AR591" s="17" t="n"/>
      <c r="AS591" s="123" t="n"/>
    </row>
    <row r="592" hidden="1" outlineLevel="2">
      <c r="A592" s="8" t="n"/>
      <c r="B592" s="14" t="n"/>
      <c r="C592" s="123" t="n"/>
      <c r="D592" s="123" t="n"/>
      <c r="E592" s="123" t="n"/>
      <c r="F592" s="123" t="n"/>
      <c r="G592" s="123" t="n"/>
      <c r="I592" s="123" t="n"/>
      <c r="J592" s="123" t="n"/>
      <c r="K592" s="123" t="n"/>
      <c r="L592" s="123" t="n"/>
      <c r="M592" s="123" t="n"/>
      <c r="N592" s="123" t="n"/>
      <c r="O592" s="123" t="n"/>
      <c r="P592" s="123" t="n"/>
      <c r="Q592" s="123" t="n"/>
      <c r="R592" s="123" t="n"/>
      <c r="S592" s="123" t="n"/>
      <c r="T592" s="123" t="n"/>
      <c r="U592" s="123" t="n"/>
      <c r="V592" s="123" t="n"/>
      <c r="W592" s="123" t="n"/>
      <c r="X592" s="123" t="n"/>
      <c r="Y592" s="123" t="n"/>
      <c r="Z592" s="123" t="n"/>
      <c r="AB592" s="123" t="n"/>
      <c r="AC592" s="123" t="n"/>
      <c r="AD592" s="123" t="n"/>
      <c r="AE592" s="123" t="n"/>
      <c r="AF592" s="123" t="n"/>
      <c r="AG592" s="123" t="n"/>
      <c r="AH592" s="123" t="n"/>
      <c r="AI592" s="123" t="n"/>
      <c r="AJ592" s="123" t="n"/>
      <c r="AK592" s="123" t="n"/>
      <c r="AL592" s="123" t="n"/>
      <c r="AM592" s="123" t="n"/>
      <c r="AN592" s="123" t="n"/>
      <c r="AO592" s="123" t="n"/>
      <c r="AP592" s="123" t="n"/>
      <c r="AQ592" s="123" t="n"/>
      <c r="AR592" s="123" t="n"/>
      <c r="AS592" s="123" t="n"/>
    </row>
    <row r="593" hidden="1" outlineLevel="2">
      <c r="A593" s="8" t="n"/>
      <c r="B593" s="14" t="n"/>
      <c r="C593" s="123" t="n"/>
      <c r="D593" s="123" t="n"/>
      <c r="E593" s="123" t="n"/>
      <c r="F593" s="123" t="n"/>
      <c r="G593" s="123" t="n"/>
      <c r="I593" s="55" t="inlineStr">
        <is>
          <t>TÉCNICA MÁXIMA</t>
        </is>
      </c>
      <c r="J593" s="16" t="n"/>
      <c r="K593" s="16" t="n"/>
      <c r="L593" s="16" t="n"/>
      <c r="M593" s="17" t="n"/>
      <c r="N593" s="123" t="n"/>
      <c r="O593" s="55" t="inlineStr">
        <is>
          <t>EXPANSÃO DE DOMÍNIO</t>
        </is>
      </c>
      <c r="P593" s="16" t="n"/>
      <c r="Q593" s="16" t="n"/>
      <c r="R593" s="16" t="n"/>
      <c r="S593" s="17" t="n"/>
      <c r="T593" s="123" t="n"/>
      <c r="U593" s="123" t="n"/>
      <c r="V593" s="123" t="n"/>
      <c r="W593" s="123" t="n"/>
      <c r="X593" s="123" t="n"/>
      <c r="Y593" s="123" t="n"/>
      <c r="Z593" s="123" t="n"/>
      <c r="AB593" s="55" t="inlineStr">
        <is>
          <t>TÉCNICA MÁXIMA</t>
        </is>
      </c>
      <c r="AC593" s="16" t="n"/>
      <c r="AD593" s="16" t="n"/>
      <c r="AE593" s="16" t="n"/>
      <c r="AF593" s="17" t="n"/>
      <c r="AG593" s="123" t="n"/>
      <c r="AH593" s="55" t="inlineStr">
        <is>
          <t>EXPANSÃO DE DOMÍNIO</t>
        </is>
      </c>
      <c r="AI593" s="16" t="n"/>
      <c r="AJ593" s="16" t="n"/>
      <c r="AK593" s="16" t="n"/>
      <c r="AL593" s="17" t="n"/>
      <c r="AM593" s="123" t="n"/>
      <c r="AN593" s="123" t="n"/>
      <c r="AO593" s="123" t="n"/>
      <c r="AP593" s="123" t="n"/>
      <c r="AQ593" s="123" t="n"/>
      <c r="AR593" s="123" t="n"/>
      <c r="AS593" s="123" t="n"/>
    </row>
    <row r="594" hidden="1" outlineLevel="2">
      <c r="A594" s="8" t="n"/>
      <c r="B594" s="14" t="n"/>
      <c r="C594" s="123" t="n"/>
      <c r="D594" s="123" t="n"/>
      <c r="E594" s="123" t="n"/>
      <c r="F594" s="123" t="n"/>
      <c r="G594" s="123" t="n"/>
      <c r="I594" s="118" t="n"/>
      <c r="J594" s="16" t="n"/>
      <c r="K594" s="16" t="n"/>
      <c r="L594" s="17" t="n"/>
      <c r="M594" s="131">
        <f>DADOS_INVOC!$JD$4</f>
        <v/>
      </c>
      <c r="N594" s="123" t="n"/>
      <c r="O594" s="118" t="n"/>
      <c r="P594" s="16" t="n"/>
      <c r="Q594" s="16" t="n"/>
      <c r="R594" s="17" t="n"/>
      <c r="S594" s="131">
        <f>DADOS_INVOC!$JF$4</f>
        <v/>
      </c>
      <c r="T594" s="123" t="n"/>
      <c r="U594" s="123" t="n"/>
      <c r="V594" s="123" t="n"/>
      <c r="W594" s="123" t="n"/>
      <c r="X594" s="123" t="n"/>
      <c r="Y594" s="123" t="n"/>
      <c r="Z594" s="123" t="n"/>
      <c r="AB594" s="118" t="n"/>
      <c r="AC594" s="16" t="n"/>
      <c r="AD594" s="16" t="n"/>
      <c r="AE594" s="17" t="n"/>
      <c r="AF594" s="131">
        <f>DADOS_INVOC!$JD$10</f>
        <v/>
      </c>
      <c r="AG594" s="123" t="n"/>
      <c r="AH594" s="118" t="n"/>
      <c r="AI594" s="16" t="n"/>
      <c r="AJ594" s="16" t="n"/>
      <c r="AK594" s="17" t="n"/>
      <c r="AL594" s="131">
        <f>DADOS_INVOC!$JF$10</f>
        <v/>
      </c>
      <c r="AM594" s="123" t="n"/>
      <c r="AN594" s="123" t="n"/>
      <c r="AO594" s="123" t="n"/>
      <c r="AP594" s="123" t="n"/>
      <c r="AQ594" s="123" t="n"/>
      <c r="AR594" s="123" t="n"/>
      <c r="AS594" s="123" t="n"/>
    </row>
    <row r="595" hidden="1" outlineLevel="2">
      <c r="A595" s="8" t="n"/>
      <c r="B595" s="14" t="n"/>
      <c r="C595" s="123" t="n"/>
      <c r="D595" s="123" t="n"/>
      <c r="E595" s="123" t="n"/>
      <c r="F595" s="123" t="n"/>
      <c r="G595" s="123" t="n"/>
      <c r="I595" s="119" t="n"/>
      <c r="J595" s="19" t="n"/>
      <c r="K595" s="19" t="n"/>
      <c r="L595" s="19" t="n"/>
      <c r="M595" s="20" t="n"/>
      <c r="N595" s="123" t="n"/>
      <c r="O595" s="119" t="n"/>
      <c r="P595" s="19" t="n"/>
      <c r="Q595" s="19" t="n"/>
      <c r="R595" s="19" t="n"/>
      <c r="S595" s="20" t="n"/>
      <c r="T595" s="123" t="n"/>
      <c r="U595" s="123" t="n"/>
      <c r="V595" s="123" t="n"/>
      <c r="W595" s="123" t="n"/>
      <c r="X595" s="123" t="n"/>
      <c r="Y595" s="123" t="n"/>
      <c r="Z595" s="123" t="n"/>
      <c r="AB595" s="119" t="n"/>
      <c r="AC595" s="19" t="n"/>
      <c r="AD595" s="19" t="n"/>
      <c r="AE595" s="19" t="n"/>
      <c r="AF595" s="20" t="n"/>
      <c r="AG595" s="123" t="n"/>
      <c r="AH595" s="119" t="n"/>
      <c r="AI595" s="19" t="n"/>
      <c r="AJ595" s="19" t="n"/>
      <c r="AK595" s="19" t="n"/>
      <c r="AL595" s="20" t="n"/>
      <c r="AM595" s="123" t="n"/>
      <c r="AN595" s="123" t="n"/>
      <c r="AO595" s="123" t="n"/>
      <c r="AP595" s="123" t="n"/>
      <c r="AQ595" s="123" t="n"/>
      <c r="AR595" s="123" t="n"/>
      <c r="AS595" s="123" t="n"/>
    </row>
    <row r="596" hidden="1" outlineLevel="2">
      <c r="A596" s="8" t="n"/>
      <c r="B596" s="14" t="n"/>
      <c r="C596" s="123" t="n"/>
      <c r="D596" s="123" t="n"/>
      <c r="E596" s="123" t="n"/>
      <c r="F596" s="123" t="n"/>
      <c r="G596" s="123" t="n"/>
      <c r="I596" s="21" t="n"/>
      <c r="M596" s="22" t="n"/>
      <c r="N596" s="123" t="n"/>
      <c r="O596" s="21" t="n"/>
      <c r="S596" s="22" t="n"/>
      <c r="T596" s="123" t="n"/>
      <c r="U596" s="123" t="n"/>
      <c r="V596" s="123" t="n"/>
      <c r="W596" s="123" t="n"/>
      <c r="X596" s="123" t="n"/>
      <c r="Y596" s="123" t="n"/>
      <c r="Z596" s="123" t="n"/>
      <c r="AB596" s="21" t="n"/>
      <c r="AF596" s="22" t="n"/>
      <c r="AG596" s="123" t="n"/>
      <c r="AH596" s="21" t="n"/>
      <c r="AL596" s="22" t="n"/>
      <c r="AM596" s="123" t="n"/>
      <c r="AN596" s="123" t="n"/>
      <c r="AO596" s="123" t="n"/>
      <c r="AP596" s="123" t="n"/>
      <c r="AQ596" s="123" t="n"/>
      <c r="AR596" s="123" t="n"/>
      <c r="AS596" s="123" t="n"/>
    </row>
    <row r="597" hidden="1" outlineLevel="2">
      <c r="A597" s="8" t="n"/>
      <c r="B597" s="14" t="n"/>
      <c r="C597" s="123" t="n"/>
      <c r="D597" s="123" t="n"/>
      <c r="E597" s="123" t="n"/>
      <c r="F597" s="123" t="n"/>
      <c r="G597" s="123" t="n"/>
      <c r="I597" s="21" t="n"/>
      <c r="M597" s="22" t="n"/>
      <c r="N597" s="123" t="n"/>
      <c r="O597" s="21" t="n"/>
      <c r="S597" s="22" t="n"/>
      <c r="T597" s="123" t="n"/>
      <c r="U597" s="123" t="n"/>
      <c r="V597" s="123" t="n"/>
      <c r="W597" s="123" t="n"/>
      <c r="X597" s="123" t="n"/>
      <c r="Y597" s="123" t="n"/>
      <c r="Z597" s="123" t="n"/>
      <c r="AB597" s="21" t="n"/>
      <c r="AF597" s="22" t="n"/>
      <c r="AG597" s="123" t="n"/>
      <c r="AH597" s="21" t="n"/>
      <c r="AL597" s="22" t="n"/>
      <c r="AM597" s="123" t="n"/>
      <c r="AN597" s="123" t="n"/>
      <c r="AO597" s="123" t="n"/>
      <c r="AP597" s="123" t="n"/>
      <c r="AQ597" s="123" t="n"/>
      <c r="AR597" s="123" t="n"/>
      <c r="AS597" s="123" t="n"/>
    </row>
    <row r="598" hidden="1" outlineLevel="2">
      <c r="A598" s="8" t="n"/>
      <c r="B598" s="14" t="n"/>
      <c r="C598" s="123" t="n"/>
      <c r="D598" s="123" t="n"/>
      <c r="E598" s="123" t="n"/>
      <c r="F598" s="123" t="n"/>
      <c r="G598" s="123" t="n"/>
      <c r="I598" s="23" t="n"/>
      <c r="J598" s="24" t="n"/>
      <c r="K598" s="24" t="n"/>
      <c r="L598" s="24" t="n"/>
      <c r="M598" s="25" t="n"/>
      <c r="N598" s="123" t="n"/>
      <c r="O598" s="23" t="n"/>
      <c r="P598" s="24" t="n"/>
      <c r="Q598" s="24" t="n"/>
      <c r="R598" s="24" t="n"/>
      <c r="S598" s="25" t="n"/>
      <c r="T598" s="123" t="n"/>
      <c r="U598" s="123" t="n"/>
      <c r="V598" s="123" t="n"/>
      <c r="W598" s="123" t="n"/>
      <c r="X598" s="123" t="n"/>
      <c r="Y598" s="123" t="n"/>
      <c r="Z598" s="123" t="n"/>
      <c r="AB598" s="23" t="n"/>
      <c r="AC598" s="24" t="n"/>
      <c r="AD598" s="24" t="n"/>
      <c r="AE598" s="24" t="n"/>
      <c r="AF598" s="25" t="n"/>
      <c r="AG598" s="123" t="n"/>
      <c r="AH598" s="23" t="n"/>
      <c r="AI598" s="24" t="n"/>
      <c r="AJ598" s="24" t="n"/>
      <c r="AK598" s="24" t="n"/>
      <c r="AL598" s="25" t="n"/>
      <c r="AM598" s="123" t="n"/>
      <c r="AN598" s="123" t="n"/>
      <c r="AO598" s="123" t="n"/>
      <c r="AP598" s="123" t="n"/>
      <c r="AQ598" s="123" t="n"/>
      <c r="AR598" s="123" t="n"/>
      <c r="AS598" s="123" t="n"/>
    </row>
    <row r="599" hidden="1" outlineLevel="2">
      <c r="A599" s="8" t="n"/>
      <c r="B599" s="14" t="n"/>
      <c r="C599" s="123" t="n"/>
      <c r="D599" s="123" t="n"/>
      <c r="E599" s="123" t="n"/>
      <c r="F599" s="123" t="n"/>
      <c r="G599" s="123" t="n"/>
      <c r="I599" s="68">
        <f>DADOS_INVOC!$JE$4</f>
        <v/>
      </c>
      <c r="J599" s="16" t="n"/>
      <c r="K599" s="16" t="n"/>
      <c r="L599" s="16" t="n"/>
      <c r="M599" s="17" t="n"/>
      <c r="N599" s="123" t="n"/>
      <c r="O599" s="127" t="n"/>
      <c r="P599" s="17" t="n"/>
      <c r="Q599" s="68">
        <f>DADOS_INVOC!$JG$4</f>
        <v/>
      </c>
      <c r="R599" s="16" t="n"/>
      <c r="S599" s="17" t="n"/>
      <c r="T599" s="123" t="n"/>
      <c r="U599" s="123" t="n"/>
      <c r="V599" s="123" t="n"/>
      <c r="W599" s="123" t="n"/>
      <c r="X599" s="123" t="n"/>
      <c r="Y599" s="123" t="n"/>
      <c r="Z599" s="123" t="n"/>
      <c r="AB599" s="68">
        <f>DADOS_INVOC!$JE$10</f>
        <v/>
      </c>
      <c r="AC599" s="16" t="n"/>
      <c r="AD599" s="16" t="n"/>
      <c r="AE599" s="16" t="n"/>
      <c r="AF599" s="17" t="n"/>
      <c r="AG599" s="123" t="n"/>
      <c r="AH599" s="127" t="n"/>
      <c r="AI599" s="17" t="n"/>
      <c r="AJ599" s="68">
        <f>DADOS_INVOC!$JG$10</f>
        <v/>
      </c>
      <c r="AK599" s="16" t="n"/>
      <c r="AL599" s="17" t="n"/>
      <c r="AM599" s="123" t="n"/>
      <c r="AN599" s="123" t="n"/>
      <c r="AO599" s="123" t="n"/>
      <c r="AP599" s="123" t="n"/>
      <c r="AQ599" s="123" t="n"/>
      <c r="AR599" s="123" t="n"/>
      <c r="AS599" s="123" t="n"/>
    </row>
    <row r="600" hidden="1" outlineLevel="2">
      <c r="A600" s="8" t="n"/>
      <c r="B600" s="14" t="n"/>
      <c r="C600" s="123" t="n"/>
      <c r="D600" s="123" t="n"/>
      <c r="E600" s="123" t="n"/>
      <c r="F600" s="123" t="n"/>
      <c r="G600" s="123" t="n"/>
      <c r="I600" s="127" t="inlineStr">
        <is>
          <t>Sua Ação Completa + a básica dela</t>
        </is>
      </c>
      <c r="J600" s="16" t="n"/>
      <c r="K600" s="16" t="n"/>
      <c r="L600" s="16" t="n"/>
      <c r="M600" s="17" t="n"/>
      <c r="N600" s="123" t="n"/>
      <c r="O600" s="132">
        <f>DADOS_INVOC!$JH$4</f>
        <v/>
      </c>
      <c r="P600" s="16" t="n"/>
      <c r="Q600" s="16" t="n"/>
      <c r="R600" s="16" t="n"/>
      <c r="S600" s="17" t="n"/>
      <c r="T600" s="123" t="n"/>
      <c r="U600" s="123" t="n"/>
      <c r="V600" s="123" t="n"/>
      <c r="W600" s="123" t="n"/>
      <c r="X600" s="123" t="n"/>
      <c r="Y600" s="123" t="n"/>
      <c r="Z600" s="123" t="n"/>
      <c r="AB600" s="127" t="inlineStr">
        <is>
          <t>Sua Ação Completa + a básica dela</t>
        </is>
      </c>
      <c r="AC600" s="16" t="n"/>
      <c r="AD600" s="16" t="n"/>
      <c r="AE600" s="16" t="n"/>
      <c r="AF600" s="17" t="n"/>
      <c r="AG600" s="123" t="n"/>
      <c r="AH600" s="132">
        <f>DADOS_INVOC!$JH$10</f>
        <v/>
      </c>
      <c r="AI600" s="16" t="n"/>
      <c r="AJ600" s="16" t="n"/>
      <c r="AK600" s="16" t="n"/>
      <c r="AL600" s="17" t="n"/>
      <c r="AM600" s="123" t="n"/>
      <c r="AN600" s="123" t="n"/>
      <c r="AO600" s="123" t="n"/>
      <c r="AP600" s="123" t="n"/>
      <c r="AQ600" s="123" t="n"/>
      <c r="AR600" s="123" t="n"/>
      <c r="AS600" s="123" t="n"/>
    </row>
    <row r="601">
      <c r="A601" s="8" t="n"/>
      <c r="B601" s="14" t="n"/>
      <c r="C601" s="123" t="n"/>
      <c r="D601" s="123" t="n"/>
      <c r="E601" s="123" t="n"/>
      <c r="F601" s="123" t="n"/>
      <c r="G601" s="123" t="n"/>
      <c r="H601" s="123" t="n"/>
      <c r="I601" s="123" t="n"/>
      <c r="J601" s="123" t="n"/>
      <c r="K601" s="123" t="n"/>
      <c r="L601" s="123" t="n"/>
      <c r="M601" s="123" t="n"/>
      <c r="N601" s="123" t="n"/>
      <c r="O601" s="123" t="n"/>
      <c r="P601" s="123" t="n"/>
      <c r="Q601" s="123" t="n"/>
      <c r="R601" s="123" t="n"/>
      <c r="S601" s="123" t="n"/>
      <c r="T601" s="123" t="n"/>
      <c r="U601" s="123" t="n"/>
      <c r="V601" s="123" t="n"/>
      <c r="W601" s="123" t="n"/>
      <c r="X601" s="123" t="n"/>
      <c r="Y601" s="123" t="n"/>
      <c r="Z601" s="123" t="n"/>
      <c r="AA601" s="123" t="n"/>
      <c r="AB601" s="123" t="n"/>
      <c r="AC601" s="123" t="n"/>
      <c r="AD601" s="123" t="n"/>
      <c r="AE601" s="123" t="n"/>
      <c r="AF601" s="123" t="n"/>
      <c r="AG601" s="123" t="n"/>
      <c r="AH601" s="123" t="n"/>
      <c r="AI601" s="123" t="n"/>
      <c r="AJ601" s="123" t="n"/>
      <c r="AK601" s="123" t="n"/>
      <c r="AL601" s="123" t="n"/>
      <c r="AM601" s="123" t="n"/>
      <c r="AN601" s="123" t="n"/>
      <c r="AO601" s="123" t="n"/>
      <c r="AP601" s="123" t="n"/>
      <c r="AQ601" s="123" t="n"/>
      <c r="AR601" s="123" t="n"/>
      <c r="AS601" s="123" t="n"/>
    </row>
    <row r="602">
      <c r="A602" s="8" t="n"/>
      <c r="B602" s="14" t="n"/>
      <c r="C602" s="123" t="n"/>
      <c r="D602" s="123" t="n"/>
      <c r="E602" s="123" t="n"/>
      <c r="F602" s="123" t="n"/>
      <c r="G602" s="123" t="n"/>
      <c r="H602" s="123" t="n"/>
      <c r="I602" s="123" t="n"/>
      <c r="J602" s="123" t="n"/>
      <c r="K602" s="123" t="n"/>
      <c r="L602" s="123" t="n"/>
      <c r="M602" s="123" t="n"/>
      <c r="N602" s="123" t="n"/>
      <c r="O602" s="123" t="n"/>
      <c r="P602" s="123" t="n"/>
      <c r="Q602" s="123" t="n"/>
      <c r="R602" s="123" t="n"/>
      <c r="S602" s="123" t="n"/>
      <c r="T602" s="123" t="n"/>
      <c r="U602" s="123" t="n"/>
      <c r="V602" s="123" t="n"/>
      <c r="W602" s="123" t="n"/>
      <c r="X602" s="123" t="n"/>
      <c r="Y602" s="123" t="n"/>
      <c r="Z602" s="123" t="n"/>
      <c r="AA602" s="123" t="n"/>
      <c r="AB602" s="123" t="n"/>
      <c r="AC602" s="123" t="n"/>
      <c r="AD602" s="123" t="n"/>
      <c r="AE602" s="123" t="n"/>
      <c r="AF602" s="123" t="n"/>
      <c r="AG602" s="123" t="n"/>
      <c r="AH602" s="123" t="n"/>
      <c r="AI602" s="123" t="n"/>
      <c r="AJ602" s="123" t="n"/>
      <c r="AK602" s="123" t="n"/>
      <c r="AL602" s="123" t="n"/>
      <c r="AM602" s="123" t="n"/>
      <c r="AN602" s="123" t="n"/>
      <c r="AO602" s="123" t="n"/>
      <c r="AP602" s="123" t="n"/>
      <c r="AQ602" s="123" t="n"/>
      <c r="AR602" s="123" t="n"/>
      <c r="AS602" s="123" t="n"/>
    </row>
    <row r="603">
      <c r="A603" s="8" t="n"/>
      <c r="B603" s="14" t="n"/>
      <c r="C603" s="123" t="n"/>
      <c r="D603" s="123" t="n"/>
      <c r="E603" s="123" t="n"/>
      <c r="F603" s="123" t="n"/>
      <c r="G603" s="123" t="n"/>
      <c r="H603" s="141" t="n">
        <v>4</v>
      </c>
      <c r="I603" s="142" t="n">
        <v>4</v>
      </c>
      <c r="J603" s="126">
        <f>DADOS_INVOC!$HE$5</f>
        <v/>
      </c>
      <c r="K603" s="19" t="n"/>
      <c r="L603" s="19" t="n"/>
      <c r="M603" s="19" t="n"/>
      <c r="N603" s="19" t="n"/>
      <c r="O603" s="19" t="n"/>
      <c r="P603" s="19" t="n"/>
      <c r="Q603" s="19" t="n"/>
      <c r="R603" s="19" t="n"/>
      <c r="S603" s="19" t="n"/>
      <c r="T603" s="19" t="n"/>
      <c r="U603" s="19" t="n"/>
      <c r="V603" s="19" t="n"/>
      <c r="W603" s="19" t="n"/>
      <c r="X603" s="19" t="n"/>
      <c r="Y603" s="20" t="n"/>
      <c r="Z603" s="123" t="n"/>
      <c r="AA603" s="141" t="n">
        <v>10</v>
      </c>
      <c r="AB603" s="142" t="n">
        <v>10</v>
      </c>
      <c r="AC603" s="126">
        <f>DADOS_INVOC!$HE$11</f>
        <v/>
      </c>
      <c r="AD603" s="19" t="n"/>
      <c r="AE603" s="19" t="n"/>
      <c r="AF603" s="19" t="n"/>
      <c r="AG603" s="19" t="n"/>
      <c r="AH603" s="19" t="n"/>
      <c r="AI603" s="19" t="n"/>
      <c r="AJ603" s="19" t="n"/>
      <c r="AK603" s="19" t="n"/>
      <c r="AL603" s="19" t="n"/>
      <c r="AM603" s="19" t="n"/>
      <c r="AN603" s="19" t="n"/>
      <c r="AO603" s="19" t="n"/>
      <c r="AP603" s="19" t="n"/>
      <c r="AQ603" s="19" t="n"/>
      <c r="AR603" s="20" t="n"/>
      <c r="AS603" s="123" t="n"/>
    </row>
    <row r="604">
      <c r="A604" s="8" t="n"/>
      <c r="B604" s="14" t="n"/>
      <c r="C604" s="123" t="n"/>
      <c r="D604" s="123" t="n"/>
      <c r="E604" s="123" t="n"/>
      <c r="F604" s="123" t="n"/>
      <c r="G604" s="123" t="n"/>
      <c r="I604" s="128" t="n"/>
      <c r="J604" s="23" t="n"/>
      <c r="K604" s="24" t="n"/>
      <c r="L604" s="24" t="n"/>
      <c r="M604" s="24" t="n"/>
      <c r="N604" s="24" t="n"/>
      <c r="O604" s="24" t="n"/>
      <c r="P604" s="24" t="n"/>
      <c r="Q604" s="24" t="n"/>
      <c r="R604" s="24" t="n"/>
      <c r="S604" s="24" t="n"/>
      <c r="T604" s="24" t="n"/>
      <c r="U604" s="24" t="n"/>
      <c r="V604" s="24" t="n"/>
      <c r="W604" s="24" t="n"/>
      <c r="X604" s="24" t="n"/>
      <c r="Y604" s="25" t="n"/>
      <c r="Z604" s="123" t="n"/>
      <c r="AB604" s="128" t="n"/>
      <c r="AC604" s="23" t="n"/>
      <c r="AD604" s="24" t="n"/>
      <c r="AE604" s="24" t="n"/>
      <c r="AF604" s="24" t="n"/>
      <c r="AG604" s="24" t="n"/>
      <c r="AH604" s="24" t="n"/>
      <c r="AI604" s="24" t="n"/>
      <c r="AJ604" s="24" t="n"/>
      <c r="AK604" s="24" t="n"/>
      <c r="AL604" s="24" t="n"/>
      <c r="AM604" s="24" t="n"/>
      <c r="AN604" s="24" t="n"/>
      <c r="AO604" s="24" t="n"/>
      <c r="AP604" s="24" t="n"/>
      <c r="AQ604" s="24" t="n"/>
      <c r="AR604" s="25" t="n"/>
      <c r="AS604" s="123" t="n"/>
    </row>
    <row r="605" hidden="1" outlineLevel="1">
      <c r="A605" s="8" t="n"/>
      <c r="B605" s="14" t="n"/>
      <c r="C605" s="123" t="n"/>
      <c r="D605" s="123" t="n"/>
      <c r="E605" s="123" t="n"/>
      <c r="F605" s="123" t="n"/>
      <c r="G605" s="123" t="n"/>
      <c r="H605" s="143">
        <f>DADOS_INVOC!$HF$5</f>
        <v/>
      </c>
      <c r="I605" s="123" t="n"/>
      <c r="J605" s="123" t="n"/>
      <c r="K605" s="123" t="n"/>
      <c r="L605" s="123" t="n"/>
      <c r="M605" s="123" t="n"/>
      <c r="N605" s="123" t="n"/>
      <c r="O605" s="123" t="n"/>
      <c r="P605" s="123" t="n"/>
      <c r="Q605" s="123" t="n"/>
      <c r="R605" s="123" t="n"/>
      <c r="S605" s="123" t="n"/>
      <c r="T605" s="123" t="n"/>
      <c r="U605" s="123" t="n"/>
      <c r="V605" s="123" t="n"/>
      <c r="W605" s="123" t="n"/>
      <c r="X605" s="123" t="n"/>
      <c r="Y605" s="123" t="n"/>
      <c r="Z605" s="123" t="n"/>
      <c r="AA605" s="143">
        <f>DADOS_INVOC!$HF$11</f>
        <v/>
      </c>
      <c r="AB605" s="123" t="n"/>
      <c r="AC605" s="123" t="n"/>
      <c r="AD605" s="123" t="n"/>
      <c r="AE605" s="123" t="n"/>
      <c r="AF605" s="123" t="n"/>
      <c r="AG605" s="123" t="n"/>
      <c r="AH605" s="123" t="n"/>
      <c r="AI605" s="123" t="n"/>
      <c r="AJ605" s="123" t="n"/>
      <c r="AK605" s="123" t="n"/>
      <c r="AL605" s="123" t="n"/>
      <c r="AM605" s="123" t="n"/>
      <c r="AN605" s="123" t="n"/>
      <c r="AO605" s="123" t="n"/>
      <c r="AP605" s="123" t="n"/>
      <c r="AQ605" s="123" t="n"/>
      <c r="AR605" s="123" t="n"/>
      <c r="AS605" s="123" t="n"/>
    </row>
    <row r="606" hidden="1" outlineLevel="1">
      <c r="A606" s="8" t="n"/>
      <c r="B606" s="14" t="n"/>
      <c r="C606" s="123" t="n"/>
      <c r="D606" s="123" t="n"/>
      <c r="E606" s="123" t="n"/>
      <c r="F606" s="123" t="n"/>
      <c r="G606" s="123" t="n"/>
      <c r="I606" s="55" t="inlineStr">
        <is>
          <t>NOME</t>
        </is>
      </c>
      <c r="J606" s="16" t="n"/>
      <c r="K606" s="16" t="n"/>
      <c r="L606" s="16" t="n"/>
      <c r="M606" s="17" t="n"/>
      <c r="N606" s="123" t="n"/>
      <c r="O606" s="55" t="inlineStr">
        <is>
          <t>NÍVEL</t>
        </is>
      </c>
      <c r="P606" s="55" t="inlineStr">
        <is>
          <t>CLASSE</t>
        </is>
      </c>
      <c r="Q606" s="55" t="inlineStr">
        <is>
          <t>MAESTRIA</t>
        </is>
      </c>
      <c r="R606" s="55" t="inlineStr">
        <is>
          <t>ENTRADA</t>
        </is>
      </c>
      <c r="S606" s="55" t="inlineStr">
        <is>
          <t>RETORNO</t>
        </is>
      </c>
      <c r="T606" s="123" t="n"/>
      <c r="U606" s="55" t="inlineStr">
        <is>
          <t>VIDA ATUAL</t>
        </is>
      </c>
      <c r="V606" s="55" t="inlineStr">
        <is>
          <t>VIDA MÁXIMA</t>
        </is>
      </c>
      <c r="W606" s="55" t="inlineStr">
        <is>
          <t>TEMPORÁRIA</t>
        </is>
      </c>
      <c r="X606" s="55" t="inlineStr">
        <is>
          <t>± PERDA / GANHO</t>
        </is>
      </c>
      <c r="Y606" s="55">
        <f>DADOS_INVOC!$HZ$5</f>
        <v/>
      </c>
      <c r="Z606" s="123" t="n"/>
      <c r="AB606" s="55" t="inlineStr">
        <is>
          <t>NOME</t>
        </is>
      </c>
      <c r="AC606" s="16" t="n"/>
      <c r="AD606" s="16" t="n"/>
      <c r="AE606" s="16" t="n"/>
      <c r="AF606" s="17" t="n"/>
      <c r="AG606" s="123" t="n"/>
      <c r="AH606" s="55" t="inlineStr">
        <is>
          <t>NÍVEL</t>
        </is>
      </c>
      <c r="AI606" s="55" t="inlineStr">
        <is>
          <t>CLASSE</t>
        </is>
      </c>
      <c r="AJ606" s="55" t="inlineStr">
        <is>
          <t>MAESTRIA</t>
        </is>
      </c>
      <c r="AK606" s="55" t="inlineStr">
        <is>
          <t>ENTRADA</t>
        </is>
      </c>
      <c r="AL606" s="55" t="inlineStr">
        <is>
          <t>RETORNO</t>
        </is>
      </c>
      <c r="AM606" s="123" t="n"/>
      <c r="AN606" s="55" t="inlineStr">
        <is>
          <t>VIDA ATUAL</t>
        </is>
      </c>
      <c r="AO606" s="55" t="inlineStr">
        <is>
          <t>VIDA MÁXIMA</t>
        </is>
      </c>
      <c r="AP606" s="55" t="inlineStr">
        <is>
          <t>TEMPORÁRIA</t>
        </is>
      </c>
      <c r="AQ606" s="55" t="inlineStr">
        <is>
          <t>± PERDA / GANHO</t>
        </is>
      </c>
      <c r="AR606" s="55">
        <f>DADOS_INVOC!$HZ$11</f>
        <v/>
      </c>
      <c r="AS606" s="123" t="n"/>
    </row>
    <row r="607" hidden="1" outlineLevel="1">
      <c r="A607" s="8" t="n"/>
      <c r="B607" s="14" t="n"/>
      <c r="C607" s="123" t="n"/>
      <c r="D607" s="123" t="n"/>
      <c r="E607" s="123" t="n"/>
      <c r="F607" s="123" t="n"/>
      <c r="G607" s="123" t="n"/>
      <c r="I607" s="85" t="n"/>
      <c r="J607" s="19" t="n"/>
      <c r="K607" s="19" t="n"/>
      <c r="L607" s="19" t="n"/>
      <c r="M607" s="20" t="n"/>
      <c r="N607" s="123" t="n"/>
      <c r="O607" s="96">
        <f>DADOS_INVOC!$FM$5</f>
        <v/>
      </c>
      <c r="P607" s="96">
        <f>DADOS_INVOC!$FN$5</f>
        <v/>
      </c>
      <c r="Q607" s="96">
        <f>DADOS_INVOC!$HG$5</f>
        <v/>
      </c>
      <c r="R607" s="96">
        <f>DADOS_INVOC!$HH$5</f>
        <v/>
      </c>
      <c r="S607" s="96">
        <f>DADOS_INVOC!$HI$5</f>
        <v/>
      </c>
      <c r="T607" s="123" t="n"/>
      <c r="U607" s="96">
        <f>DADOS_INVOC!$GE$5</f>
        <v/>
      </c>
      <c r="V607" s="96">
        <f>DADOS_INVOC!$GD$5</f>
        <v/>
      </c>
      <c r="W607" s="96" t="n"/>
      <c r="X607" s="96" t="n"/>
      <c r="Y607" s="96" t="n"/>
      <c r="Z607" s="123" t="n"/>
      <c r="AB607" s="85" t="n"/>
      <c r="AC607" s="19" t="n"/>
      <c r="AD607" s="19" t="n"/>
      <c r="AE607" s="19" t="n"/>
      <c r="AF607" s="20" t="n"/>
      <c r="AG607" s="123" t="n"/>
      <c r="AH607" s="96">
        <f>DADOS_INVOC!$FM$11</f>
        <v/>
      </c>
      <c r="AI607" s="96">
        <f>DADOS_INVOC!$FN$11</f>
        <v/>
      </c>
      <c r="AJ607" s="96">
        <f>DADOS_INVOC!$HG$11</f>
        <v/>
      </c>
      <c r="AK607" s="96">
        <f>DADOS_INVOC!$HH$11</f>
        <v/>
      </c>
      <c r="AL607" s="96">
        <f>DADOS_INVOC!$HI$11</f>
        <v/>
      </c>
      <c r="AM607" s="123" t="n"/>
      <c r="AN607" s="96">
        <f>DADOS_INVOC!$GE$11</f>
        <v/>
      </c>
      <c r="AO607" s="96">
        <f>DADOS_INVOC!$GD$11</f>
        <v/>
      </c>
      <c r="AP607" s="96" t="n"/>
      <c r="AQ607" s="96" t="n"/>
      <c r="AR607" s="96" t="n"/>
      <c r="AS607" s="123" t="n"/>
    </row>
    <row r="608" hidden="1" outlineLevel="1">
      <c r="A608" s="8" t="n"/>
      <c r="B608" s="14" t="n"/>
      <c r="C608" s="123" t="n"/>
      <c r="D608" s="123" t="n"/>
      <c r="E608" s="123" t="n"/>
      <c r="F608" s="123" t="n"/>
      <c r="G608" s="123" t="n"/>
      <c r="I608" s="23" t="n"/>
      <c r="J608" s="24" t="n"/>
      <c r="K608" s="24" t="n"/>
      <c r="L608" s="24" t="n"/>
      <c r="M608" s="25" t="n"/>
      <c r="N608" s="123" t="n"/>
      <c r="O608" s="128" t="n"/>
      <c r="P608" s="128" t="n"/>
      <c r="Q608" s="128" t="n"/>
      <c r="R608" s="128" t="n"/>
      <c r="S608" s="128" t="n"/>
      <c r="T608" s="123" t="n"/>
      <c r="U608" s="128" t="n"/>
      <c r="V608" s="128" t="n"/>
      <c r="W608" s="128" t="n"/>
      <c r="X608" s="128" t="n"/>
      <c r="Y608" s="128" t="n"/>
      <c r="Z608" s="123" t="n"/>
      <c r="AB608" s="23" t="n"/>
      <c r="AC608" s="24" t="n"/>
      <c r="AD608" s="24" t="n"/>
      <c r="AE608" s="24" t="n"/>
      <c r="AF608" s="25" t="n"/>
      <c r="AG608" s="123" t="n"/>
      <c r="AH608" s="128" t="n"/>
      <c r="AI608" s="128" t="n"/>
      <c r="AJ608" s="128" t="n"/>
      <c r="AK608" s="128" t="n"/>
      <c r="AL608" s="128" t="n"/>
      <c r="AM608" s="123" t="n"/>
      <c r="AN608" s="128" t="n"/>
      <c r="AO608" s="128" t="n"/>
      <c r="AP608" s="128" t="n"/>
      <c r="AQ608" s="128" t="n"/>
      <c r="AR608" s="128" t="n"/>
      <c r="AS608" s="123" t="n"/>
    </row>
    <row r="609" hidden="1" outlineLevel="1">
      <c r="A609" s="8" t="n"/>
      <c r="B609" s="14" t="n"/>
      <c r="C609" s="123" t="n"/>
      <c r="D609" s="123" t="n"/>
      <c r="E609" s="123" t="n"/>
      <c r="F609" s="123" t="n"/>
      <c r="G609" s="123" t="n"/>
      <c r="I609" s="144" t="inlineStr">
        <is>
          <t>FOTO
式神</t>
        </is>
      </c>
      <c r="J609" s="19" t="n"/>
      <c r="K609" s="19" t="n"/>
      <c r="L609" s="19" t="n"/>
      <c r="M609" s="20" t="n"/>
      <c r="N609" s="123" t="n"/>
      <c r="O609" s="123" t="n"/>
      <c r="P609" s="123" t="n"/>
      <c r="Q609" s="123" t="n"/>
      <c r="R609" s="123" t="n"/>
      <c r="S609" s="123" t="n"/>
      <c r="T609" s="123" t="n"/>
      <c r="U609" s="133">
        <f>IFERROR(SPARKLINE(DADOS_INVOC!$GF$5,{"charttype","bar";"max",MAX(1,DADOS_INVOC!$GD$5);"color1",DADOS_INVOC!$CZ$12}),"")</f>
        <v/>
      </c>
      <c r="V609" s="16" t="n"/>
      <c r="W609" s="16" t="n"/>
      <c r="X609" s="16" t="n"/>
      <c r="Y609" s="17" t="n"/>
      <c r="Z609" s="123" t="n"/>
      <c r="AB609" s="144" t="inlineStr">
        <is>
          <t>FOTO
式神</t>
        </is>
      </c>
      <c r="AC609" s="19" t="n"/>
      <c r="AD609" s="19" t="n"/>
      <c r="AE609" s="19" t="n"/>
      <c r="AF609" s="20" t="n"/>
      <c r="AG609" s="123" t="n"/>
      <c r="AH609" s="123" t="n"/>
      <c r="AI609" s="123" t="n"/>
      <c r="AJ609" s="123" t="n"/>
      <c r="AK609" s="123" t="n"/>
      <c r="AL609" s="123" t="n"/>
      <c r="AM609" s="123" t="n"/>
      <c r="AN609" s="133">
        <f>IFERROR(SPARKLINE(DADOS_INVOC!$GF$11,{"charttype","bar";"max",MAX(1,DADOS_INVOC!$GD$11);"color1",DADOS_INVOC!$CZ$12}),"")</f>
        <v/>
      </c>
      <c r="AO609" s="16" t="n"/>
      <c r="AP609" s="16" t="n"/>
      <c r="AQ609" s="16" t="n"/>
      <c r="AR609" s="17" t="n"/>
      <c r="AS609" s="123" t="n"/>
    </row>
    <row r="610" hidden="1" outlineLevel="1">
      <c r="A610" s="8" t="n"/>
      <c r="B610" s="14" t="n"/>
      <c r="C610" s="123" t="n"/>
      <c r="D610" s="123" t="n"/>
      <c r="E610" s="123" t="n"/>
      <c r="F610" s="123" t="n"/>
      <c r="G610" s="123" t="n"/>
      <c r="I610" s="21" t="n"/>
      <c r="M610" s="22" t="n"/>
      <c r="N610" s="123" t="n"/>
      <c r="O610" s="55">
        <f>DADOS_INVOC!$HJ$5</f>
        <v/>
      </c>
      <c r="P610" s="16" t="n"/>
      <c r="Q610" s="16" t="n"/>
      <c r="R610" s="16" t="n"/>
      <c r="S610" s="17" t="n"/>
      <c r="T610" s="123" t="n"/>
      <c r="U610" s="123" t="n"/>
      <c r="V610" s="123" t="n"/>
      <c r="W610" s="123" t="n"/>
      <c r="X610" s="123" t="n"/>
      <c r="Y610" s="123" t="n"/>
      <c r="Z610" s="123" t="n"/>
      <c r="AB610" s="21" t="n"/>
      <c r="AF610" s="22" t="n"/>
      <c r="AG610" s="123" t="n"/>
      <c r="AH610" s="55">
        <f>DADOS_INVOC!$HJ$11</f>
        <v/>
      </c>
      <c r="AI610" s="16" t="n"/>
      <c r="AJ610" s="16" t="n"/>
      <c r="AK610" s="16" t="n"/>
      <c r="AL610" s="17" t="n"/>
      <c r="AM610" s="123" t="n"/>
      <c r="AN610" s="123" t="n"/>
      <c r="AO610" s="123" t="n"/>
      <c r="AP610" s="123" t="n"/>
      <c r="AQ610" s="123" t="n"/>
      <c r="AR610" s="123" t="n"/>
      <c r="AS610" s="123" t="n"/>
    </row>
    <row r="611" hidden="1" outlineLevel="1">
      <c r="A611" s="8" t="n"/>
      <c r="B611" s="14" t="n"/>
      <c r="C611" s="123" t="n"/>
      <c r="D611" s="123" t="n"/>
      <c r="E611" s="123" t="n"/>
      <c r="F611" s="123" t="n"/>
      <c r="G611" s="123" t="n"/>
      <c r="I611" s="21" t="n"/>
      <c r="M611" s="22" t="n"/>
      <c r="N611" s="123" t="n"/>
      <c r="O611" s="55" t="inlineStr">
        <is>
          <t>FOR</t>
        </is>
      </c>
      <c r="P611" s="55" t="inlineStr">
        <is>
          <t>DES</t>
        </is>
      </c>
      <c r="Q611" s="55" t="inlineStr">
        <is>
          <t>CON</t>
        </is>
      </c>
      <c r="R611" s="55" t="inlineStr">
        <is>
          <t>INT</t>
        </is>
      </c>
      <c r="S611" s="55" t="inlineStr">
        <is>
          <t>ESS</t>
        </is>
      </c>
      <c r="T611" s="123" t="n"/>
      <c r="U611" s="55" t="inlineStr">
        <is>
          <t>ALMA</t>
        </is>
      </c>
      <c r="V611" s="55" t="inlineStr">
        <is>
          <t>INTEGRIDADE ATUAL</t>
        </is>
      </c>
      <c r="W611" s="55" t="inlineStr">
        <is>
          <t>INTEGRIDADE MÁXIMA</t>
        </is>
      </c>
      <c r="X611" s="55" t="inlineStr">
        <is>
          <t>ESTÁGIO</t>
        </is>
      </c>
      <c r="Y611" s="17" t="n"/>
      <c r="Z611" s="123" t="n"/>
      <c r="AB611" s="21" t="n"/>
      <c r="AF611" s="22" t="n"/>
      <c r="AG611" s="123" t="n"/>
      <c r="AH611" s="55" t="inlineStr">
        <is>
          <t>FOR</t>
        </is>
      </c>
      <c r="AI611" s="55" t="inlineStr">
        <is>
          <t>DES</t>
        </is>
      </c>
      <c r="AJ611" s="55" t="inlineStr">
        <is>
          <t>CON</t>
        </is>
      </c>
      <c r="AK611" s="55" t="inlineStr">
        <is>
          <t>INT</t>
        </is>
      </c>
      <c r="AL611" s="55" t="inlineStr">
        <is>
          <t>ESS</t>
        </is>
      </c>
      <c r="AM611" s="123" t="n"/>
      <c r="AN611" s="55" t="inlineStr">
        <is>
          <t>ALMA</t>
        </is>
      </c>
      <c r="AO611" s="55" t="inlineStr">
        <is>
          <t>INTEGRIDADE ATUAL</t>
        </is>
      </c>
      <c r="AP611" s="55" t="inlineStr">
        <is>
          <t>INTEGRIDADE MÁXIMA</t>
        </is>
      </c>
      <c r="AQ611" s="55" t="inlineStr">
        <is>
          <t>ESTÁGIO</t>
        </is>
      </c>
      <c r="AR611" s="17" t="n"/>
      <c r="AS611" s="123" t="n"/>
    </row>
    <row r="612" hidden="1" outlineLevel="1">
      <c r="A612" s="8" t="n"/>
      <c r="B612" s="14" t="n"/>
      <c r="C612" s="123" t="n"/>
      <c r="D612" s="123" t="n"/>
      <c r="E612" s="123" t="n"/>
      <c r="F612" s="123" t="n"/>
      <c r="G612" s="123" t="n"/>
      <c r="I612" s="21" t="n"/>
      <c r="M612" s="22" t="n"/>
      <c r="N612" s="123" t="n"/>
      <c r="O612" s="96">
        <f>DADOS_INVOC!$FP$5</f>
        <v/>
      </c>
      <c r="P612" s="96">
        <f>DADOS_INVOC!$FQ$5</f>
        <v/>
      </c>
      <c r="Q612" s="96">
        <f>DADOS_INVOC!$FR$5</f>
        <v/>
      </c>
      <c r="R612" s="96">
        <f>DADOS_INVOC!$FS$5</f>
        <v/>
      </c>
      <c r="S612" s="96">
        <f>DADOS_INVOC!$FT$5</f>
        <v/>
      </c>
      <c r="T612" s="123" t="n"/>
      <c r="U612" s="127" t="inlineStr">
        <is>
          <t>Com alma</t>
        </is>
      </c>
      <c r="V612" s="96">
        <f>DADOS_INVOC!$GH$5</f>
        <v/>
      </c>
      <c r="W612" s="96">
        <f>DADOS_INVOC!$GJ$5</f>
        <v/>
      </c>
      <c r="X612" s="127">
        <f>DADOS_INVOC!$GK$5</f>
        <v/>
      </c>
      <c r="Y612" s="20" t="n"/>
      <c r="Z612" s="123" t="n"/>
      <c r="AB612" s="21" t="n"/>
      <c r="AF612" s="22" t="n"/>
      <c r="AG612" s="123" t="n"/>
      <c r="AH612" s="96">
        <f>DADOS_INVOC!$FP$11</f>
        <v/>
      </c>
      <c r="AI612" s="96">
        <f>DADOS_INVOC!$FQ$11</f>
        <v/>
      </c>
      <c r="AJ612" s="96">
        <f>DADOS_INVOC!$FR$11</f>
        <v/>
      </c>
      <c r="AK612" s="96">
        <f>DADOS_INVOC!$FS$11</f>
        <v/>
      </c>
      <c r="AL612" s="96">
        <f>DADOS_INVOC!$FT$11</f>
        <v/>
      </c>
      <c r="AM612" s="123" t="n"/>
      <c r="AN612" s="127" t="inlineStr">
        <is>
          <t>Com alma</t>
        </is>
      </c>
      <c r="AO612" s="96">
        <f>DADOS_INVOC!$GH$11</f>
        <v/>
      </c>
      <c r="AP612" s="96">
        <f>DADOS_INVOC!$GJ$11</f>
        <v/>
      </c>
      <c r="AQ612" s="127">
        <f>DADOS_INVOC!$GK$11</f>
        <v/>
      </c>
      <c r="AR612" s="20" t="n"/>
      <c r="AS612" s="123" t="n"/>
    </row>
    <row r="613" hidden="1" outlineLevel="1">
      <c r="A613" s="8" t="n"/>
      <c r="B613" s="14" t="n"/>
      <c r="C613" s="123" t="n"/>
      <c r="D613" s="123" t="n"/>
      <c r="E613" s="123" t="n"/>
      <c r="F613" s="123" t="n"/>
      <c r="G613" s="123" t="n"/>
      <c r="I613" s="21" t="n"/>
      <c r="M613" s="22" t="n"/>
      <c r="N613" s="123" t="n"/>
      <c r="O613" s="128" t="n"/>
      <c r="P613" s="128" t="n"/>
      <c r="Q613" s="128" t="n"/>
      <c r="R613" s="128" t="n"/>
      <c r="S613" s="128" t="n"/>
      <c r="T613" s="123" t="n"/>
      <c r="U613" s="128" t="n"/>
      <c r="V613" s="128" t="n"/>
      <c r="W613" s="128" t="n"/>
      <c r="X613" s="23" t="n"/>
      <c r="Y613" s="25" t="n"/>
      <c r="Z613" s="123" t="n"/>
      <c r="AB613" s="21" t="n"/>
      <c r="AF613" s="22" t="n"/>
      <c r="AG613" s="123" t="n"/>
      <c r="AH613" s="128" t="n"/>
      <c r="AI613" s="128" t="n"/>
      <c r="AJ613" s="128" t="n"/>
      <c r="AK613" s="128" t="n"/>
      <c r="AL613" s="128" t="n"/>
      <c r="AM613" s="123" t="n"/>
      <c r="AN613" s="128" t="n"/>
      <c r="AO613" s="128" t="n"/>
      <c r="AP613" s="128" t="n"/>
      <c r="AQ613" s="23" t="n"/>
      <c r="AR613" s="25" t="n"/>
      <c r="AS613" s="123" t="n"/>
    </row>
    <row r="614" hidden="1" outlineLevel="1">
      <c r="A614" s="8" t="n"/>
      <c r="B614" s="14" t="n"/>
      <c r="C614" s="123" t="n"/>
      <c r="D614" s="123" t="n"/>
      <c r="E614" s="123" t="n"/>
      <c r="F614" s="123" t="n"/>
      <c r="G614" s="123" t="n"/>
      <c r="I614" s="21" t="n"/>
      <c r="M614" s="22" t="n"/>
      <c r="N614" s="123" t="n"/>
      <c r="O614" s="145" t="n">
        <v>0</v>
      </c>
      <c r="P614" s="145" t="n">
        <v>0</v>
      </c>
      <c r="Q614" s="145" t="n">
        <v>0</v>
      </c>
      <c r="R614" s="145" t="n">
        <v>0</v>
      </c>
      <c r="S614" s="145" t="n">
        <v>0</v>
      </c>
      <c r="T614" s="123" t="n"/>
      <c r="U614" s="123" t="n"/>
      <c r="V614" s="123" t="n"/>
      <c r="W614" s="123" t="n"/>
      <c r="X614" s="123" t="n"/>
      <c r="Y614" s="123" t="n"/>
      <c r="Z614" s="123" t="n"/>
      <c r="AB614" s="21" t="n"/>
      <c r="AF614" s="22" t="n"/>
      <c r="AG614" s="123" t="n"/>
      <c r="AH614" s="145" t="n">
        <v>0</v>
      </c>
      <c r="AI614" s="145" t="n">
        <v>0</v>
      </c>
      <c r="AJ614" s="145" t="n">
        <v>0</v>
      </c>
      <c r="AK614" s="145" t="n">
        <v>0</v>
      </c>
      <c r="AL614" s="145" t="n">
        <v>0</v>
      </c>
      <c r="AM614" s="123" t="n"/>
      <c r="AN614" s="123" t="n"/>
      <c r="AO614" s="123" t="n"/>
      <c r="AP614" s="123" t="n"/>
      <c r="AQ614" s="123" t="n"/>
      <c r="AR614" s="123" t="n"/>
      <c r="AS614" s="123" t="n"/>
    </row>
    <row r="615" hidden="1" outlineLevel="1">
      <c r="A615" s="8" t="n"/>
      <c r="B615" s="14" t="n"/>
      <c r="C615" s="123" t="n"/>
      <c r="D615" s="123" t="n"/>
      <c r="E615" s="123" t="n"/>
      <c r="F615" s="123" t="n"/>
      <c r="G615" s="123" t="n"/>
      <c r="I615" s="21" t="n"/>
      <c r="M615" s="22" t="n"/>
      <c r="N615" s="123" t="n"/>
      <c r="O615" s="147" t="n">
        <v>0</v>
      </c>
      <c r="P615" s="147" t="n">
        <v>0</v>
      </c>
      <c r="Q615" s="147" t="n">
        <v>0</v>
      </c>
      <c r="R615" s="147" t="n">
        <v>0</v>
      </c>
      <c r="S615" s="147" t="n">
        <v>0</v>
      </c>
      <c r="T615" s="123" t="n"/>
      <c r="U615" s="55" t="inlineStr">
        <is>
          <t>CONDIÇÕES E USOS GASTOS</t>
        </is>
      </c>
      <c r="V615" s="16" t="n"/>
      <c r="W615" s="16" t="n"/>
      <c r="X615" s="16" t="n"/>
      <c r="Y615" s="17" t="n"/>
      <c r="Z615" s="123" t="n"/>
      <c r="AB615" s="21" t="n"/>
      <c r="AF615" s="22" t="n"/>
      <c r="AG615" s="123" t="n"/>
      <c r="AH615" s="147" t="n">
        <v>0</v>
      </c>
      <c r="AI615" s="147" t="n">
        <v>0</v>
      </c>
      <c r="AJ615" s="147" t="n">
        <v>0</v>
      </c>
      <c r="AK615" s="147" t="n">
        <v>0</v>
      </c>
      <c r="AL615" s="147" t="n">
        <v>0</v>
      </c>
      <c r="AM615" s="123" t="n"/>
      <c r="AN615" s="55" t="inlineStr">
        <is>
          <t>CONDIÇÕES E USOS GASTOS</t>
        </is>
      </c>
      <c r="AO615" s="16" t="n"/>
      <c r="AP615" s="16" t="n"/>
      <c r="AQ615" s="16" t="n"/>
      <c r="AR615" s="17" t="n"/>
      <c r="AS615" s="123" t="n"/>
    </row>
    <row r="616" hidden="1" outlineLevel="1">
      <c r="A616" s="8" t="n"/>
      <c r="B616" s="14" t="n"/>
      <c r="C616" s="123" t="n"/>
      <c r="D616" s="123" t="n"/>
      <c r="E616" s="123" t="n"/>
      <c r="F616" s="123" t="n"/>
      <c r="G616" s="123" t="n"/>
      <c r="I616" s="21" t="n"/>
      <c r="M616" s="22" t="n"/>
      <c r="N616" s="123" t="n"/>
      <c r="O616" s="123" t="n"/>
      <c r="P616" s="123" t="n"/>
      <c r="Q616" s="123" t="n"/>
      <c r="R616" s="123" t="n"/>
      <c r="S616" s="123" t="n"/>
      <c r="T616" s="123" t="n"/>
      <c r="U616" s="119" t="n"/>
      <c r="V616" s="19" t="n"/>
      <c r="W616" s="19" t="n"/>
      <c r="X616" s="19" t="n"/>
      <c r="Y616" s="20" t="n"/>
      <c r="Z616" s="123" t="n"/>
      <c r="AB616" s="21" t="n"/>
      <c r="AF616" s="22" t="n"/>
      <c r="AG616" s="123" t="n"/>
      <c r="AH616" s="123" t="n"/>
      <c r="AI616" s="123" t="n"/>
      <c r="AJ616" s="123" t="n"/>
      <c r="AK616" s="123" t="n"/>
      <c r="AL616" s="123" t="n"/>
      <c r="AM616" s="123" t="n"/>
      <c r="AN616" s="119" t="n"/>
      <c r="AO616" s="19" t="n"/>
      <c r="AP616" s="19" t="n"/>
      <c r="AQ616" s="19" t="n"/>
      <c r="AR616" s="20" t="n"/>
      <c r="AS616" s="123" t="n"/>
    </row>
    <row r="617" hidden="1" outlineLevel="1">
      <c r="A617" s="8" t="n"/>
      <c r="B617" s="14" t="n"/>
      <c r="C617" s="123" t="n"/>
      <c r="D617" s="123" t="n"/>
      <c r="E617" s="123" t="n"/>
      <c r="F617" s="123" t="n"/>
      <c r="G617" s="123" t="n"/>
      <c r="I617" s="21" t="n"/>
      <c r="M617" s="22" t="n"/>
      <c r="N617" s="123" t="n"/>
      <c r="O617" s="55" t="inlineStr">
        <is>
          <t>ATAQUE</t>
        </is>
      </c>
      <c r="P617" s="55" t="inlineStr">
        <is>
          <t>CD</t>
        </is>
      </c>
      <c r="Q617" s="55" t="inlineStr">
        <is>
          <t>DEFESA</t>
        </is>
      </c>
      <c r="R617" s="55" t="inlineStr">
        <is>
          <t>VIDA MÁXIMA</t>
        </is>
      </c>
      <c r="S617" s="55" t="inlineStr">
        <is>
          <t>DESLOCAMENTO</t>
        </is>
      </c>
      <c r="T617" s="123" t="n"/>
      <c r="U617" s="21" t="n"/>
      <c r="Y617" s="22" t="n"/>
      <c r="Z617" s="123" t="n"/>
      <c r="AB617" s="21" t="n"/>
      <c r="AF617" s="22" t="n"/>
      <c r="AG617" s="123" t="n"/>
      <c r="AH617" s="55" t="inlineStr">
        <is>
          <t>ATAQUE</t>
        </is>
      </c>
      <c r="AI617" s="55" t="inlineStr">
        <is>
          <t>CD</t>
        </is>
      </c>
      <c r="AJ617" s="55" t="inlineStr">
        <is>
          <t>DEFESA</t>
        </is>
      </c>
      <c r="AK617" s="55" t="inlineStr">
        <is>
          <t>VIDA MÁXIMA</t>
        </is>
      </c>
      <c r="AL617" s="55" t="inlineStr">
        <is>
          <t>DESLOCAMENTO</t>
        </is>
      </c>
      <c r="AM617" s="123" t="n"/>
      <c r="AN617" s="21" t="n"/>
      <c r="AR617" s="22" t="n"/>
      <c r="AS617" s="123" t="n"/>
    </row>
    <row r="618" hidden="1" outlineLevel="1">
      <c r="A618" s="8" t="n"/>
      <c r="B618" s="14" t="n"/>
      <c r="C618" s="123" t="n"/>
      <c r="D618" s="123" t="n"/>
      <c r="E618" s="123" t="n"/>
      <c r="F618" s="123" t="n"/>
      <c r="G618" s="123" t="n"/>
      <c r="I618" s="21" t="n"/>
      <c r="M618" s="22" t="n"/>
      <c r="N618" s="123" t="n"/>
      <c r="O618" s="96">
        <f>DADOS_INVOC!$HK$5</f>
        <v/>
      </c>
      <c r="P618" s="96">
        <f>DADOS_INVOC!$HL$5</f>
        <v/>
      </c>
      <c r="Q618" s="96">
        <f>DADOS_INVOC!$GB$5</f>
        <v/>
      </c>
      <c r="R618" s="96">
        <f>DADOS_INVOC!$GD$5</f>
        <v/>
      </c>
      <c r="S618" s="96">
        <f>DADOS_INVOC!$HM$5</f>
        <v/>
      </c>
      <c r="T618" s="123" t="n"/>
      <c r="U618" s="23" t="n"/>
      <c r="V618" s="24" t="n"/>
      <c r="W618" s="24" t="n"/>
      <c r="X618" s="24" t="n"/>
      <c r="Y618" s="25" t="n"/>
      <c r="Z618" s="123" t="n"/>
      <c r="AB618" s="21" t="n"/>
      <c r="AF618" s="22" t="n"/>
      <c r="AG618" s="123" t="n"/>
      <c r="AH618" s="96">
        <f>DADOS_INVOC!$HK$11</f>
        <v/>
      </c>
      <c r="AI618" s="96">
        <f>DADOS_INVOC!$HL$11</f>
        <v/>
      </c>
      <c r="AJ618" s="96">
        <f>DADOS_INVOC!$GB$11</f>
        <v/>
      </c>
      <c r="AK618" s="96">
        <f>DADOS_INVOC!$GD$11</f>
        <v/>
      </c>
      <c r="AL618" s="96">
        <f>DADOS_INVOC!$HM$11</f>
        <v/>
      </c>
      <c r="AM618" s="123" t="n"/>
      <c r="AN618" s="23" t="n"/>
      <c r="AO618" s="24" t="n"/>
      <c r="AP618" s="24" t="n"/>
      <c r="AQ618" s="24" t="n"/>
      <c r="AR618" s="25" t="n"/>
      <c r="AS618" s="123" t="n"/>
    </row>
    <row r="619" hidden="1" outlineLevel="1">
      <c r="A619" s="8" t="n"/>
      <c r="B619" s="14" t="n"/>
      <c r="C619" s="123" t="n"/>
      <c r="D619" s="123" t="n"/>
      <c r="E619" s="123" t="n"/>
      <c r="F619" s="123" t="n"/>
      <c r="G619" s="123" t="n"/>
      <c r="I619" s="21" t="n"/>
      <c r="M619" s="22" t="n"/>
      <c r="N619" s="123" t="n"/>
      <c r="O619" s="128" t="n"/>
      <c r="P619" s="128" t="n"/>
      <c r="Q619" s="128" t="n"/>
      <c r="R619" s="128" t="n"/>
      <c r="S619" s="128" t="n"/>
      <c r="T619" s="123" t="n"/>
      <c r="U619" s="123" t="n"/>
      <c r="V619" s="123" t="n"/>
      <c r="W619" s="123" t="n"/>
      <c r="X619" s="123" t="n"/>
      <c r="Y619" s="123" t="n"/>
      <c r="Z619" s="123" t="n"/>
      <c r="AB619" s="21" t="n"/>
      <c r="AF619" s="22" t="n"/>
      <c r="AG619" s="123" t="n"/>
      <c r="AH619" s="128" t="n"/>
      <c r="AI619" s="128" t="n"/>
      <c r="AJ619" s="128" t="n"/>
      <c r="AK619" s="128" t="n"/>
      <c r="AL619" s="128" t="n"/>
      <c r="AM619" s="123" t="n"/>
      <c r="AN619" s="123" t="n"/>
      <c r="AO619" s="123" t="n"/>
      <c r="AP619" s="123" t="n"/>
      <c r="AQ619" s="123" t="n"/>
      <c r="AR619" s="123" t="n"/>
      <c r="AS619" s="123" t="n"/>
    </row>
    <row r="620" hidden="1" outlineLevel="1">
      <c r="A620" s="8" t="n"/>
      <c r="B620" s="14" t="n"/>
      <c r="C620" s="123" t="n"/>
      <c r="D620" s="123" t="n"/>
      <c r="E620" s="123" t="n"/>
      <c r="F620" s="123" t="n"/>
      <c r="G620" s="123" t="n"/>
      <c r="I620" s="21" t="n"/>
      <c r="M620" s="22" t="n"/>
      <c r="N620" s="123" t="n"/>
      <c r="O620" s="147" t="n">
        <v>0</v>
      </c>
      <c r="P620" s="147" t="n">
        <v>0</v>
      </c>
      <c r="Q620" s="147" t="n">
        <v>0</v>
      </c>
      <c r="R620" s="147" t="n">
        <v>0</v>
      </c>
      <c r="S620" s="147" t="n">
        <v>0</v>
      </c>
      <c r="T620" s="123" t="n"/>
      <c r="U620" s="55" t="inlineStr">
        <is>
          <t>ANOTAÇÕES</t>
        </is>
      </c>
      <c r="V620" s="16" t="n"/>
      <c r="W620" s="16" t="n"/>
      <c r="X620" s="16" t="n"/>
      <c r="Y620" s="17" t="n"/>
      <c r="Z620" s="123" t="n"/>
      <c r="AB620" s="21" t="n"/>
      <c r="AF620" s="22" t="n"/>
      <c r="AG620" s="123" t="n"/>
      <c r="AH620" s="147" t="n">
        <v>0</v>
      </c>
      <c r="AI620" s="147" t="n">
        <v>0</v>
      </c>
      <c r="AJ620" s="147" t="n">
        <v>0</v>
      </c>
      <c r="AK620" s="147" t="n">
        <v>0</v>
      </c>
      <c r="AL620" s="147" t="n">
        <v>0</v>
      </c>
      <c r="AM620" s="123" t="n"/>
      <c r="AN620" s="55" t="inlineStr">
        <is>
          <t>ANOTAÇÕES</t>
        </is>
      </c>
      <c r="AO620" s="16" t="n"/>
      <c r="AP620" s="16" t="n"/>
      <c r="AQ620" s="16" t="n"/>
      <c r="AR620" s="17" t="n"/>
      <c r="AS620" s="123" t="n"/>
    </row>
    <row r="621" hidden="1" outlineLevel="1">
      <c r="A621" s="8" t="n"/>
      <c r="B621" s="14" t="n"/>
      <c r="C621" s="123" t="n"/>
      <c r="D621" s="123" t="n"/>
      <c r="E621" s="123" t="n"/>
      <c r="F621" s="123" t="n"/>
      <c r="G621" s="123" t="n"/>
      <c r="I621" s="21" t="n"/>
      <c r="M621" s="22" t="n"/>
      <c r="N621" s="123" t="n"/>
      <c r="O621" s="123" t="n"/>
      <c r="P621" s="123" t="n"/>
      <c r="Q621" s="123" t="n"/>
      <c r="R621" s="123" t="n"/>
      <c r="S621" s="123" t="n"/>
      <c r="T621" s="123" t="n"/>
      <c r="U621" s="119" t="n"/>
      <c r="V621" s="19" t="n"/>
      <c r="W621" s="19" t="n"/>
      <c r="X621" s="19" t="n"/>
      <c r="Y621" s="20" t="n"/>
      <c r="Z621" s="123" t="n"/>
      <c r="AB621" s="21" t="n"/>
      <c r="AF621" s="22" t="n"/>
      <c r="AG621" s="123" t="n"/>
      <c r="AH621" s="123" t="n"/>
      <c r="AI621" s="123" t="n"/>
      <c r="AJ621" s="123" t="n"/>
      <c r="AK621" s="123" t="n"/>
      <c r="AL621" s="123" t="n"/>
      <c r="AM621" s="123" t="n"/>
      <c r="AN621" s="119" t="n"/>
      <c r="AO621" s="19" t="n"/>
      <c r="AP621" s="19" t="n"/>
      <c r="AQ621" s="19" t="n"/>
      <c r="AR621" s="20" t="n"/>
      <c r="AS621" s="123" t="n"/>
    </row>
    <row r="622" hidden="1" outlineLevel="1">
      <c r="A622" s="8" t="n"/>
      <c r="B622" s="14" t="n"/>
      <c r="C622" s="123" t="n"/>
      <c r="D622" s="123" t="n"/>
      <c r="E622" s="123" t="n"/>
      <c r="F622" s="123" t="n"/>
      <c r="G622" s="123" t="n"/>
      <c r="I622" s="21" t="n"/>
      <c r="M622" s="22" t="n"/>
      <c r="N622" s="123" t="n"/>
      <c r="O622" s="55" t="inlineStr">
        <is>
          <t>FÍSICO</t>
        </is>
      </c>
      <c r="P622" s="55" t="inlineStr">
        <is>
          <t>VIGOR</t>
        </is>
      </c>
      <c r="Q622" s="55" t="inlineStr">
        <is>
          <t>INTELECTO</t>
        </is>
      </c>
      <c r="R622" s="55" t="inlineStr">
        <is>
          <t>ESPÍRITO</t>
        </is>
      </c>
      <c r="S622" s="55" t="inlineStr">
        <is>
          <t>TR TREINADO</t>
        </is>
      </c>
      <c r="T622" s="123" t="n"/>
      <c r="U622" s="21" t="n"/>
      <c r="Y622" s="22" t="n"/>
      <c r="Z622" s="123" t="n"/>
      <c r="AB622" s="21" t="n"/>
      <c r="AF622" s="22" t="n"/>
      <c r="AG622" s="123" t="n"/>
      <c r="AH622" s="55" t="inlineStr">
        <is>
          <t>FÍSICO</t>
        </is>
      </c>
      <c r="AI622" s="55" t="inlineStr">
        <is>
          <t>VIGOR</t>
        </is>
      </c>
      <c r="AJ622" s="55" t="inlineStr">
        <is>
          <t>INTELECTO</t>
        </is>
      </c>
      <c r="AK622" s="55" t="inlineStr">
        <is>
          <t>ESPÍRITO</t>
        </is>
      </c>
      <c r="AL622" s="55" t="inlineStr">
        <is>
          <t>TR TREINADO</t>
        </is>
      </c>
      <c r="AM622" s="123" t="n"/>
      <c r="AN622" s="21" t="n"/>
      <c r="AR622" s="22" t="n"/>
      <c r="AS622" s="123" t="n"/>
    </row>
    <row r="623" hidden="1" outlineLevel="1">
      <c r="A623" s="8" t="n"/>
      <c r="B623" s="14" t="n"/>
      <c r="C623" s="123" t="n"/>
      <c r="D623" s="123" t="n"/>
      <c r="E623" s="123" t="n"/>
      <c r="F623" s="123" t="n"/>
      <c r="G623" s="123" t="n"/>
      <c r="I623" s="21" t="n"/>
      <c r="M623" s="22" t="n"/>
      <c r="N623" s="123" t="n"/>
      <c r="O623" s="96">
        <f>DADOS_INVOC!$HN$5</f>
        <v/>
      </c>
      <c r="P623" s="96">
        <f>DADOS_INVOC!$HO$5</f>
        <v/>
      </c>
      <c r="Q623" s="96">
        <f>DADOS_INVOC!$HP$5</f>
        <v/>
      </c>
      <c r="R623" s="96">
        <f>DADOS_INVOC!$HQ$5</f>
        <v/>
      </c>
      <c r="S623" s="127" t="n"/>
      <c r="T623" s="123" t="n"/>
      <c r="U623" s="21" t="n"/>
      <c r="Y623" s="22" t="n"/>
      <c r="Z623" s="123" t="n"/>
      <c r="AB623" s="21" t="n"/>
      <c r="AF623" s="22" t="n"/>
      <c r="AG623" s="123" t="n"/>
      <c r="AH623" s="96">
        <f>DADOS_INVOC!$HN$11</f>
        <v/>
      </c>
      <c r="AI623" s="96">
        <f>DADOS_INVOC!$HO$11</f>
        <v/>
      </c>
      <c r="AJ623" s="96">
        <f>DADOS_INVOC!$HP$11</f>
        <v/>
      </c>
      <c r="AK623" s="96">
        <f>DADOS_INVOC!$HQ$11</f>
        <v/>
      </c>
      <c r="AL623" s="127" t="n"/>
      <c r="AM623" s="123" t="n"/>
      <c r="AN623" s="21" t="n"/>
      <c r="AR623" s="22" t="n"/>
      <c r="AS623" s="123" t="n"/>
    </row>
    <row r="624" hidden="1" outlineLevel="1">
      <c r="A624" s="8" t="n"/>
      <c r="B624" s="14" t="n"/>
      <c r="C624" s="123" t="n"/>
      <c r="D624" s="123" t="n"/>
      <c r="E624" s="123" t="n"/>
      <c r="F624" s="123" t="n"/>
      <c r="G624" s="123" t="n"/>
      <c r="I624" s="21" t="n"/>
      <c r="M624" s="22" t="n"/>
      <c r="N624" s="123" t="n"/>
      <c r="O624" s="128" t="n"/>
      <c r="P624" s="128" t="n"/>
      <c r="Q624" s="128" t="n"/>
      <c r="R624" s="128" t="n"/>
      <c r="S624" s="128" t="n"/>
      <c r="T624" s="123" t="n"/>
      <c r="U624" s="23" t="n"/>
      <c r="V624" s="24" t="n"/>
      <c r="W624" s="24" t="n"/>
      <c r="X624" s="24" t="n"/>
      <c r="Y624" s="25" t="n"/>
      <c r="Z624" s="123" t="n"/>
      <c r="AB624" s="21" t="n"/>
      <c r="AF624" s="22" t="n"/>
      <c r="AG624" s="123" t="n"/>
      <c r="AH624" s="128" t="n"/>
      <c r="AI624" s="128" t="n"/>
      <c r="AJ624" s="128" t="n"/>
      <c r="AK624" s="128" t="n"/>
      <c r="AL624" s="128" t="n"/>
      <c r="AM624" s="123" t="n"/>
      <c r="AN624" s="23" t="n"/>
      <c r="AO624" s="24" t="n"/>
      <c r="AP624" s="24" t="n"/>
      <c r="AQ624" s="24" t="n"/>
      <c r="AR624" s="25" t="n"/>
      <c r="AS624" s="123" t="n"/>
    </row>
    <row r="625" hidden="1" outlineLevel="1">
      <c r="A625" s="8" t="n"/>
      <c r="B625" s="14" t="n"/>
      <c r="C625" s="123" t="n"/>
      <c r="D625" s="123" t="n"/>
      <c r="E625" s="123" t="n"/>
      <c r="F625" s="123" t="n"/>
      <c r="G625" s="123" t="n"/>
      <c r="I625" s="21" t="n"/>
      <c r="M625" s="22" t="n"/>
      <c r="N625" s="123" t="n"/>
      <c r="O625" s="147" t="n">
        <v>0</v>
      </c>
      <c r="P625" s="147" t="n">
        <v>0</v>
      </c>
      <c r="Q625" s="147" t="n">
        <v>0</v>
      </c>
      <c r="R625" s="147" t="n">
        <v>0</v>
      </c>
      <c r="S625" s="123" t="n"/>
      <c r="T625" s="123" t="n"/>
      <c r="U625" s="123" t="n"/>
      <c r="V625" s="123" t="n"/>
      <c r="W625" s="123" t="n"/>
      <c r="X625" s="123" t="n"/>
      <c r="Y625" s="123" t="n"/>
      <c r="Z625" s="123" t="n"/>
      <c r="AB625" s="21" t="n"/>
      <c r="AF625" s="22" t="n"/>
      <c r="AG625" s="123" t="n"/>
      <c r="AH625" s="147" t="n">
        <v>0</v>
      </c>
      <c r="AI625" s="147" t="n">
        <v>0</v>
      </c>
      <c r="AJ625" s="147" t="n">
        <v>0</v>
      </c>
      <c r="AK625" s="147" t="n">
        <v>0</v>
      </c>
      <c r="AL625" s="123" t="n"/>
      <c r="AM625" s="123" t="n"/>
      <c r="AN625" s="123" t="n"/>
      <c r="AO625" s="123" t="n"/>
      <c r="AP625" s="123" t="n"/>
      <c r="AQ625" s="123" t="n"/>
      <c r="AR625" s="123" t="n"/>
      <c r="AS625" s="123" t="n"/>
    </row>
    <row r="626" hidden="1" outlineLevel="1">
      <c r="A626" s="8" t="n"/>
      <c r="B626" s="14" t="n"/>
      <c r="C626" s="123" t="n"/>
      <c r="D626" s="123" t="n"/>
      <c r="E626" s="123" t="n"/>
      <c r="F626" s="123" t="n"/>
      <c r="G626" s="123" t="n"/>
      <c r="I626" s="21" t="n"/>
      <c r="M626" s="22" t="n"/>
      <c r="N626" s="123" t="n"/>
      <c r="O626" s="123" t="n"/>
      <c r="P626" s="123" t="n"/>
      <c r="Q626" s="123" t="n"/>
      <c r="R626" s="123" t="n"/>
      <c r="S626" s="123" t="n"/>
      <c r="T626" s="123" t="n"/>
      <c r="U626" s="55">
        <f>DADOS_INVOC!$IA$5</f>
        <v/>
      </c>
      <c r="V626" s="16" t="n"/>
      <c r="W626" s="16" t="n"/>
      <c r="X626" s="17" t="n"/>
      <c r="Y626" s="55" t="inlineStr">
        <is>
          <t>VOL.</t>
        </is>
      </c>
      <c r="Z626" s="123" t="n"/>
      <c r="AB626" s="21" t="n"/>
      <c r="AF626" s="22" t="n"/>
      <c r="AG626" s="123" t="n"/>
      <c r="AH626" s="123" t="n"/>
      <c r="AI626" s="123" t="n"/>
      <c r="AJ626" s="123" t="n"/>
      <c r="AK626" s="123" t="n"/>
      <c r="AL626" s="123" t="n"/>
      <c r="AM626" s="123" t="n"/>
      <c r="AN626" s="55">
        <f>DADOS_INVOC!$IA$11</f>
        <v/>
      </c>
      <c r="AO626" s="16" t="n"/>
      <c r="AP626" s="16" t="n"/>
      <c r="AQ626" s="17" t="n"/>
      <c r="AR626" s="55" t="inlineStr">
        <is>
          <t>VOL.</t>
        </is>
      </c>
      <c r="AS626" s="123" t="n"/>
    </row>
    <row r="627" hidden="1" outlineLevel="1">
      <c r="A627" s="8" t="n"/>
      <c r="B627" s="14" t="n"/>
      <c r="C627" s="123" t="n"/>
      <c r="D627" s="123" t="n"/>
      <c r="E627" s="123" t="n"/>
      <c r="F627" s="123" t="n"/>
      <c r="G627" s="123" t="n"/>
      <c r="I627" s="21" t="n"/>
      <c r="M627" s="22" t="n"/>
      <c r="N627" s="123" t="n"/>
      <c r="O627" s="55" t="inlineStr">
        <is>
          <t>ATRIBUTO DE ACERTO</t>
        </is>
      </c>
      <c r="P627" s="16" t="n"/>
      <c r="Q627" s="17" t="n"/>
      <c r="R627" s="55" t="inlineStr">
        <is>
          <t>FÍSICO USA</t>
        </is>
      </c>
      <c r="S627" s="17" t="n"/>
      <c r="T627" s="123" t="n"/>
      <c r="U627" s="55" t="inlineStr">
        <is>
          <t>MÃO 1</t>
        </is>
      </c>
      <c r="V627" s="133" t="n"/>
      <c r="W627" s="16" t="n"/>
      <c r="X627" s="17" t="n"/>
      <c r="Y627" s="127" t="n"/>
      <c r="Z627" s="123" t="n"/>
      <c r="AB627" s="21" t="n"/>
      <c r="AF627" s="22" t="n"/>
      <c r="AG627" s="123" t="n"/>
      <c r="AH627" s="55" t="inlineStr">
        <is>
          <t>ATRIBUTO DE ACERTO</t>
        </is>
      </c>
      <c r="AI627" s="16" t="n"/>
      <c r="AJ627" s="17" t="n"/>
      <c r="AK627" s="55" t="inlineStr">
        <is>
          <t>FÍSICO USA</t>
        </is>
      </c>
      <c r="AL627" s="17" t="n"/>
      <c r="AM627" s="123" t="n"/>
      <c r="AN627" s="55" t="inlineStr">
        <is>
          <t>MÃO 1</t>
        </is>
      </c>
      <c r="AO627" s="133" t="n"/>
      <c r="AP627" s="16" t="n"/>
      <c r="AQ627" s="17" t="n"/>
      <c r="AR627" s="127" t="n"/>
      <c r="AS627" s="123" t="n"/>
    </row>
    <row r="628" hidden="1" outlineLevel="1">
      <c r="A628" s="8" t="n"/>
      <c r="B628" s="14" t="n"/>
      <c r="C628" s="123" t="n"/>
      <c r="D628" s="123" t="n"/>
      <c r="E628" s="123" t="n"/>
      <c r="F628" s="123" t="n"/>
      <c r="G628" s="123" t="n"/>
      <c r="I628" s="21" t="n"/>
      <c r="M628" s="22" t="n"/>
      <c r="N628" s="123" t="n"/>
      <c r="O628" s="127" t="n"/>
      <c r="P628" s="19" t="n"/>
      <c r="Q628" s="20" t="n"/>
      <c r="R628" s="127" t="inlineStr">
        <is>
          <t>Força</t>
        </is>
      </c>
      <c r="S628" s="20" t="n"/>
      <c r="T628" s="123" t="n"/>
      <c r="U628" s="55" t="inlineStr">
        <is>
          <t>MÃO 2</t>
        </is>
      </c>
      <c r="V628" s="133" t="n"/>
      <c r="W628" s="16" t="n"/>
      <c r="X628" s="17" t="n"/>
      <c r="Y628" s="127" t="n"/>
      <c r="Z628" s="123" t="n"/>
      <c r="AB628" s="21" t="n"/>
      <c r="AF628" s="22" t="n"/>
      <c r="AG628" s="123" t="n"/>
      <c r="AH628" s="127" t="n"/>
      <c r="AI628" s="19" t="n"/>
      <c r="AJ628" s="20" t="n"/>
      <c r="AK628" s="127" t="inlineStr">
        <is>
          <t>Força</t>
        </is>
      </c>
      <c r="AL628" s="20" t="n"/>
      <c r="AM628" s="123" t="n"/>
      <c r="AN628" s="55" t="inlineStr">
        <is>
          <t>MÃO 2</t>
        </is>
      </c>
      <c r="AO628" s="133" t="n"/>
      <c r="AP628" s="16" t="n"/>
      <c r="AQ628" s="17" t="n"/>
      <c r="AR628" s="127" t="n"/>
      <c r="AS628" s="123" t="n"/>
    </row>
    <row r="629" hidden="1" outlineLevel="1">
      <c r="A629" s="8" t="n"/>
      <c r="B629" s="14" t="n"/>
      <c r="C629" s="123" t="n"/>
      <c r="D629" s="123" t="n"/>
      <c r="E629" s="123" t="n"/>
      <c r="F629" s="123" t="n"/>
      <c r="G629" s="123" t="n"/>
      <c r="I629" s="21" t="n"/>
      <c r="M629" s="22" t="n"/>
      <c r="N629" s="123" t="n"/>
      <c r="O629" s="23" t="n"/>
      <c r="P629" s="24" t="n"/>
      <c r="Q629" s="25" t="n"/>
      <c r="R629" s="23" t="n"/>
      <c r="S629" s="25" t="n"/>
      <c r="T629" s="123" t="n"/>
      <c r="U629" s="55" t="inlineStr">
        <is>
          <t>VESTE</t>
        </is>
      </c>
      <c r="V629" s="133" t="n"/>
      <c r="W629" s="16" t="n"/>
      <c r="X629" s="17" t="n"/>
      <c r="Y629" s="127" t="n"/>
      <c r="Z629" s="123" t="n"/>
      <c r="AB629" s="21" t="n"/>
      <c r="AF629" s="22" t="n"/>
      <c r="AG629" s="123" t="n"/>
      <c r="AH629" s="23" t="n"/>
      <c r="AI629" s="24" t="n"/>
      <c r="AJ629" s="25" t="n"/>
      <c r="AK629" s="23" t="n"/>
      <c r="AL629" s="25" t="n"/>
      <c r="AM629" s="123" t="n"/>
      <c r="AN629" s="55" t="inlineStr">
        <is>
          <t>VESTE</t>
        </is>
      </c>
      <c r="AO629" s="133" t="n"/>
      <c r="AP629" s="16" t="n"/>
      <c r="AQ629" s="17" t="n"/>
      <c r="AR629" s="127" t="n"/>
      <c r="AS629" s="123" t="n"/>
    </row>
    <row r="630" hidden="1" outlineLevel="1">
      <c r="A630" s="8" t="n"/>
      <c r="B630" s="14" t="n"/>
      <c r="C630" s="123" t="n"/>
      <c r="D630" s="123" t="n"/>
      <c r="E630" s="123" t="n"/>
      <c r="F630" s="123" t="n"/>
      <c r="G630" s="123" t="n"/>
      <c r="I630" s="21" t="n"/>
      <c r="M630" s="22" t="n"/>
      <c r="N630" s="123" t="n"/>
      <c r="O630" s="123" t="n"/>
      <c r="P630" s="123" t="n"/>
      <c r="Q630" s="123" t="n"/>
      <c r="R630" s="123" t="n"/>
      <c r="S630" s="123" t="n"/>
      <c r="T630" s="123" t="n"/>
      <c r="U630" s="55" t="inlineStr">
        <is>
          <t>GUARDADO · SÓ COM A CARACTERÍSTICA DE TRANSPORTE</t>
        </is>
      </c>
      <c r="V630" s="16" t="n"/>
      <c r="W630" s="16" t="n"/>
      <c r="X630" s="17" t="n"/>
      <c r="Y630" s="55" t="inlineStr">
        <is>
          <t>VOL.</t>
        </is>
      </c>
      <c r="Z630" s="123" t="n"/>
      <c r="AB630" s="21" t="n"/>
      <c r="AF630" s="22" t="n"/>
      <c r="AG630" s="123" t="n"/>
      <c r="AH630" s="123" t="n"/>
      <c r="AI630" s="123" t="n"/>
      <c r="AJ630" s="123" t="n"/>
      <c r="AK630" s="123" t="n"/>
      <c r="AL630" s="123" t="n"/>
      <c r="AM630" s="123" t="n"/>
      <c r="AN630" s="55" t="inlineStr">
        <is>
          <t>GUARDADO · SÓ COM A CARACTERÍSTICA DE TRANSPORTE</t>
        </is>
      </c>
      <c r="AO630" s="16" t="n"/>
      <c r="AP630" s="16" t="n"/>
      <c r="AQ630" s="17" t="n"/>
      <c r="AR630" s="55" t="inlineStr">
        <is>
          <t>VOL.</t>
        </is>
      </c>
      <c r="AS630" s="123" t="n"/>
    </row>
    <row r="631" hidden="1" outlineLevel="1">
      <c r="A631" s="8" t="n"/>
      <c r="B631" s="14" t="n"/>
      <c r="C631" s="123" t="n"/>
      <c r="D631" s="123" t="n"/>
      <c r="E631" s="123" t="n"/>
      <c r="F631" s="123" t="n"/>
      <c r="G631" s="123" t="n"/>
      <c r="I631" s="21" t="n"/>
      <c r="M631" s="22" t="n"/>
      <c r="N631" s="123" t="n"/>
      <c r="O631" s="55">
        <f>DADOS_INVOC!$HR$5</f>
        <v/>
      </c>
      <c r="P631" s="16" t="n"/>
      <c r="Q631" s="16" t="n"/>
      <c r="R631" s="16" t="n"/>
      <c r="S631" s="17" t="n"/>
      <c r="T631" s="123" t="n"/>
      <c r="U631" s="133" t="n"/>
      <c r="V631" s="16" t="n"/>
      <c r="W631" s="16" t="n"/>
      <c r="X631" s="17" t="n"/>
      <c r="Y631" s="127" t="n"/>
      <c r="Z631" s="123" t="n"/>
      <c r="AB631" s="21" t="n"/>
      <c r="AF631" s="22" t="n"/>
      <c r="AG631" s="123" t="n"/>
      <c r="AH631" s="55">
        <f>DADOS_INVOC!$HR$11</f>
        <v/>
      </c>
      <c r="AI631" s="16" t="n"/>
      <c r="AJ631" s="16" t="n"/>
      <c r="AK631" s="16" t="n"/>
      <c r="AL631" s="17" t="n"/>
      <c r="AM631" s="123" t="n"/>
      <c r="AN631" s="133" t="n"/>
      <c r="AO631" s="16" t="n"/>
      <c r="AP631" s="16" t="n"/>
      <c r="AQ631" s="17" t="n"/>
      <c r="AR631" s="127" t="n"/>
      <c r="AS631" s="123" t="n"/>
    </row>
    <row r="632" hidden="1" outlineLevel="1">
      <c r="A632" s="8" t="n"/>
      <c r="B632" s="14" t="n"/>
      <c r="C632" s="123" t="n"/>
      <c r="D632" s="123" t="n"/>
      <c r="E632" s="123" t="n"/>
      <c r="F632" s="123" t="n"/>
      <c r="G632" s="123" t="n"/>
      <c r="I632" s="21" t="n"/>
      <c r="M632" s="22" t="n"/>
      <c r="N632" s="123" t="n"/>
      <c r="O632" s="133" t="n"/>
      <c r="P632" s="16" t="n"/>
      <c r="Q632" s="17" t="n"/>
      <c r="R632" s="127">
        <f>DADOS_INVOC!$HS$5</f>
        <v/>
      </c>
      <c r="S632" s="17" t="n"/>
      <c r="T632" s="123" t="n"/>
      <c r="U632" s="133" t="n"/>
      <c r="V632" s="16" t="n"/>
      <c r="W632" s="16" t="n"/>
      <c r="X632" s="17" t="n"/>
      <c r="Y632" s="127" t="n"/>
      <c r="Z632" s="123" t="n"/>
      <c r="AB632" s="21" t="n"/>
      <c r="AF632" s="22" t="n"/>
      <c r="AG632" s="123" t="n"/>
      <c r="AH632" s="133" t="n"/>
      <c r="AI632" s="16" t="n"/>
      <c r="AJ632" s="17" t="n"/>
      <c r="AK632" s="127">
        <f>DADOS_INVOC!$HS$11</f>
        <v/>
      </c>
      <c r="AL632" s="17" t="n"/>
      <c r="AM632" s="123" t="n"/>
      <c r="AN632" s="133" t="n"/>
      <c r="AO632" s="16" t="n"/>
      <c r="AP632" s="16" t="n"/>
      <c r="AQ632" s="17" t="n"/>
      <c r="AR632" s="127" t="n"/>
      <c r="AS632" s="123" t="n"/>
    </row>
    <row r="633" hidden="1" outlineLevel="1">
      <c r="A633" s="8" t="n"/>
      <c r="B633" s="14" t="n"/>
      <c r="C633" s="123" t="n"/>
      <c r="D633" s="123" t="n"/>
      <c r="E633" s="123" t="n"/>
      <c r="F633" s="123" t="n"/>
      <c r="G633" s="123" t="n"/>
      <c r="I633" s="21" t="n"/>
      <c r="M633" s="22" t="n"/>
      <c r="N633" s="123" t="n"/>
      <c r="O633" s="133" t="n"/>
      <c r="P633" s="16" t="n"/>
      <c r="Q633" s="17" t="n"/>
      <c r="R633" s="127">
        <f>DADOS_INVOC!$HT$5</f>
        <v/>
      </c>
      <c r="S633" s="17" t="n"/>
      <c r="T633" s="123" t="n"/>
      <c r="U633" s="133" t="n"/>
      <c r="V633" s="16" t="n"/>
      <c r="W633" s="16" t="n"/>
      <c r="X633" s="17" t="n"/>
      <c r="Y633" s="127" t="n"/>
      <c r="Z633" s="123" t="n"/>
      <c r="AB633" s="21" t="n"/>
      <c r="AF633" s="22" t="n"/>
      <c r="AG633" s="123" t="n"/>
      <c r="AH633" s="133" t="n"/>
      <c r="AI633" s="16" t="n"/>
      <c r="AJ633" s="17" t="n"/>
      <c r="AK633" s="127">
        <f>DADOS_INVOC!$HT$11</f>
        <v/>
      </c>
      <c r="AL633" s="17" t="n"/>
      <c r="AM633" s="123" t="n"/>
      <c r="AN633" s="133" t="n"/>
      <c r="AO633" s="16" t="n"/>
      <c r="AP633" s="16" t="n"/>
      <c r="AQ633" s="17" t="n"/>
      <c r="AR633" s="127" t="n"/>
      <c r="AS633" s="123" t="n"/>
    </row>
    <row r="634" hidden="1" outlineLevel="1">
      <c r="A634" s="8" t="n"/>
      <c r="B634" s="14" t="n"/>
      <c r="C634" s="123" t="n"/>
      <c r="D634" s="123" t="n"/>
      <c r="E634" s="123" t="n"/>
      <c r="F634" s="123" t="n"/>
      <c r="G634" s="123" t="n"/>
      <c r="I634" s="23" t="n"/>
      <c r="J634" s="24" t="n"/>
      <c r="K634" s="24" t="n"/>
      <c r="L634" s="24" t="n"/>
      <c r="M634" s="25" t="n"/>
      <c r="N634" s="123" t="n"/>
      <c r="O634" s="133" t="n"/>
      <c r="P634" s="16" t="n"/>
      <c r="Q634" s="17" t="n"/>
      <c r="R634" s="127">
        <f>DADOS_INVOC!$HU$5</f>
        <v/>
      </c>
      <c r="S634" s="17" t="n"/>
      <c r="T634" s="123" t="n"/>
      <c r="U634" s="133" t="n"/>
      <c r="V634" s="16" t="n"/>
      <c r="W634" s="16" t="n"/>
      <c r="X634" s="17" t="n"/>
      <c r="Y634" s="127" t="n"/>
      <c r="Z634" s="123" t="n"/>
      <c r="AB634" s="23" t="n"/>
      <c r="AC634" s="24" t="n"/>
      <c r="AD634" s="24" t="n"/>
      <c r="AE634" s="24" t="n"/>
      <c r="AF634" s="25" t="n"/>
      <c r="AG634" s="123" t="n"/>
      <c r="AH634" s="133" t="n"/>
      <c r="AI634" s="16" t="n"/>
      <c r="AJ634" s="17" t="n"/>
      <c r="AK634" s="127">
        <f>DADOS_INVOC!$HU$11</f>
        <v/>
      </c>
      <c r="AL634" s="17" t="n"/>
      <c r="AM634" s="123" t="n"/>
      <c r="AN634" s="133" t="n"/>
      <c r="AO634" s="16" t="n"/>
      <c r="AP634" s="16" t="n"/>
      <c r="AQ634" s="17" t="n"/>
      <c r="AR634" s="127" t="n"/>
      <c r="AS634" s="123" t="n"/>
    </row>
    <row r="635" hidden="1" outlineLevel="1">
      <c r="A635" s="8" t="n"/>
      <c r="B635" s="14" t="n"/>
      <c r="C635" s="123" t="n"/>
      <c r="D635" s="123" t="n"/>
      <c r="E635" s="123" t="n"/>
      <c r="F635" s="123" t="n"/>
      <c r="G635" s="123" t="n"/>
      <c r="I635" s="123" t="n"/>
      <c r="J635" s="123" t="n"/>
      <c r="K635" s="123" t="n"/>
      <c r="L635" s="123" t="n"/>
      <c r="M635" s="123" t="n"/>
      <c r="N635" s="123" t="n"/>
      <c r="O635" s="133" t="n"/>
      <c r="P635" s="16" t="n"/>
      <c r="Q635" s="17" t="n"/>
      <c r="R635" s="127">
        <f>DADOS_INVOC!$HV$5</f>
        <v/>
      </c>
      <c r="S635" s="17" t="n"/>
      <c r="T635" s="123" t="n"/>
      <c r="U635" s="133" t="n"/>
      <c r="V635" s="16" t="n"/>
      <c r="W635" s="16" t="n"/>
      <c r="X635" s="17" t="n"/>
      <c r="Y635" s="127" t="n"/>
      <c r="Z635" s="123" t="n"/>
      <c r="AB635" s="123" t="n"/>
      <c r="AC635" s="123" t="n"/>
      <c r="AD635" s="123" t="n"/>
      <c r="AE635" s="123" t="n"/>
      <c r="AF635" s="123" t="n"/>
      <c r="AG635" s="123" t="n"/>
      <c r="AH635" s="133" t="n"/>
      <c r="AI635" s="16" t="n"/>
      <c r="AJ635" s="17" t="n"/>
      <c r="AK635" s="127">
        <f>DADOS_INVOC!$HV$11</f>
        <v/>
      </c>
      <c r="AL635" s="17" t="n"/>
      <c r="AM635" s="123" t="n"/>
      <c r="AN635" s="133" t="n"/>
      <c r="AO635" s="16" t="n"/>
      <c r="AP635" s="16" t="n"/>
      <c r="AQ635" s="17" t="n"/>
      <c r="AR635" s="127" t="n"/>
      <c r="AS635" s="123" t="n"/>
    </row>
    <row r="636" hidden="1" outlineLevel="1">
      <c r="A636" s="8" t="n"/>
      <c r="B636" s="14" t="n"/>
      <c r="C636" s="123" t="n"/>
      <c r="D636" s="123" t="n"/>
      <c r="E636" s="123" t="n"/>
      <c r="F636" s="123" t="n"/>
      <c r="G636" s="123" t="n"/>
      <c r="I636" s="55" t="inlineStr">
        <is>
          <t>TIPO</t>
        </is>
      </c>
      <c r="J636" s="16" t="n"/>
      <c r="K636" s="16" t="n"/>
      <c r="L636" s="16" t="n"/>
      <c r="M636" s="17" t="n"/>
      <c r="N636" s="123" t="n"/>
      <c r="O636" s="133" t="n"/>
      <c r="P636" s="16" t="n"/>
      <c r="Q636" s="17" t="n"/>
      <c r="R636" s="127">
        <f>DADOS_INVOC!$HW$5</f>
        <v/>
      </c>
      <c r="S636" s="17" t="n"/>
      <c r="T636" s="123" t="n"/>
      <c r="U636" s="133" t="n"/>
      <c r="V636" s="16" t="n"/>
      <c r="W636" s="16" t="n"/>
      <c r="X636" s="17" t="n"/>
      <c r="Y636" s="127" t="n"/>
      <c r="Z636" s="123" t="n"/>
      <c r="AB636" s="55" t="inlineStr">
        <is>
          <t>TIPO</t>
        </is>
      </c>
      <c r="AC636" s="16" t="n"/>
      <c r="AD636" s="16" t="n"/>
      <c r="AE636" s="16" t="n"/>
      <c r="AF636" s="17" t="n"/>
      <c r="AG636" s="123" t="n"/>
      <c r="AH636" s="133" t="n"/>
      <c r="AI636" s="16" t="n"/>
      <c r="AJ636" s="17" t="n"/>
      <c r="AK636" s="127">
        <f>DADOS_INVOC!$HW$11</f>
        <v/>
      </c>
      <c r="AL636" s="17" t="n"/>
      <c r="AM636" s="123" t="n"/>
      <c r="AN636" s="133" t="n"/>
      <c r="AO636" s="16" t="n"/>
      <c r="AP636" s="16" t="n"/>
      <c r="AQ636" s="17" t="n"/>
      <c r="AR636" s="127" t="n"/>
      <c r="AS636" s="123" t="n"/>
    </row>
    <row r="637" hidden="1" outlineLevel="1">
      <c r="A637" s="8" t="n"/>
      <c r="B637" s="14" t="n"/>
      <c r="C637" s="123" t="n"/>
      <c r="D637" s="123" t="n"/>
      <c r="E637" s="123" t="n"/>
      <c r="F637" s="123" t="n"/>
      <c r="G637" s="123" t="n"/>
      <c r="I637" s="127" t="inlineStr">
        <is>
          <t>Shikigami de técnica</t>
        </is>
      </c>
      <c r="J637" s="19" t="n"/>
      <c r="K637" s="19" t="n"/>
      <c r="L637" s="19" t="n"/>
      <c r="M637" s="20" t="n"/>
      <c r="N637" s="123" t="n"/>
      <c r="O637" s="133" t="n"/>
      <c r="P637" s="16" t="n"/>
      <c r="Q637" s="17" t="n"/>
      <c r="R637" s="127">
        <f>DADOS_INVOC!$HX$5</f>
        <v/>
      </c>
      <c r="S637" s="17" t="n"/>
      <c r="T637" s="123" t="n"/>
      <c r="U637" s="123" t="n"/>
      <c r="V637" s="123" t="n"/>
      <c r="W637" s="123" t="n"/>
      <c r="X637" s="123" t="n"/>
      <c r="Y637" s="123" t="n"/>
      <c r="Z637" s="123" t="n"/>
      <c r="AB637" s="127" t="inlineStr">
        <is>
          <t>Shikigami de técnica</t>
        </is>
      </c>
      <c r="AC637" s="19" t="n"/>
      <c r="AD637" s="19" t="n"/>
      <c r="AE637" s="19" t="n"/>
      <c r="AF637" s="20" t="n"/>
      <c r="AG637" s="123" t="n"/>
      <c r="AH637" s="133" t="n"/>
      <c r="AI637" s="16" t="n"/>
      <c r="AJ637" s="17" t="n"/>
      <c r="AK637" s="127">
        <f>DADOS_INVOC!$HX$11</f>
        <v/>
      </c>
      <c r="AL637" s="17" t="n"/>
      <c r="AM637" s="123" t="n"/>
      <c r="AN637" s="123" t="n"/>
      <c r="AO637" s="123" t="n"/>
      <c r="AP637" s="123" t="n"/>
      <c r="AQ637" s="123" t="n"/>
      <c r="AR637" s="123" t="n"/>
      <c r="AS637" s="123" t="n"/>
    </row>
    <row r="638" hidden="1" outlineLevel="1">
      <c r="A638" s="8" t="n"/>
      <c r="B638" s="14" t="n"/>
      <c r="C638" s="123" t="n"/>
      <c r="D638" s="123" t="n"/>
      <c r="E638" s="123" t="n"/>
      <c r="F638" s="123" t="n"/>
      <c r="G638" s="123" t="n"/>
      <c r="I638" s="23" t="n"/>
      <c r="J638" s="24" t="n"/>
      <c r="K638" s="24" t="n"/>
      <c r="L638" s="24" t="n"/>
      <c r="M638" s="25" t="n"/>
      <c r="N638" s="123" t="n"/>
      <c r="O638" s="133" t="n"/>
      <c r="P638" s="16" t="n"/>
      <c r="Q638" s="17" t="n"/>
      <c r="R638" s="127">
        <f>DADOS_INVOC!$HY$5</f>
        <v/>
      </c>
      <c r="S638" s="17" t="n"/>
      <c r="T638" s="123" t="n"/>
      <c r="U638" s="55" t="inlineStr">
        <is>
          <t>CORPO, SENTIDOS E COMUNICAÇÃO</t>
        </is>
      </c>
      <c r="V638" s="16" t="n"/>
      <c r="W638" s="16" t="n"/>
      <c r="X638" s="16" t="n"/>
      <c r="Y638" s="17" t="n"/>
      <c r="Z638" s="123" t="n"/>
      <c r="AB638" s="23" t="n"/>
      <c r="AC638" s="24" t="n"/>
      <c r="AD638" s="24" t="n"/>
      <c r="AE638" s="24" t="n"/>
      <c r="AF638" s="25" t="n"/>
      <c r="AG638" s="123" t="n"/>
      <c r="AH638" s="133" t="n"/>
      <c r="AI638" s="16" t="n"/>
      <c r="AJ638" s="17" t="n"/>
      <c r="AK638" s="127">
        <f>DADOS_INVOC!$HY$11</f>
        <v/>
      </c>
      <c r="AL638" s="17" t="n"/>
      <c r="AM638" s="123" t="n"/>
      <c r="AN638" s="55" t="inlineStr">
        <is>
          <t>CORPO, SENTIDOS E COMUNICAÇÃO</t>
        </is>
      </c>
      <c r="AO638" s="16" t="n"/>
      <c r="AP638" s="16" t="n"/>
      <c r="AQ638" s="16" t="n"/>
      <c r="AR638" s="17" t="n"/>
      <c r="AS638" s="123" t="n"/>
    </row>
    <row r="639" hidden="1" outlineLevel="1">
      <c r="A639" s="8" t="n"/>
      <c r="B639" s="14" t="n"/>
      <c r="C639" s="123" t="n"/>
      <c r="D639" s="123" t="n"/>
      <c r="E639" s="123" t="n"/>
      <c r="F639" s="123" t="n"/>
      <c r="G639" s="123" t="n"/>
      <c r="I639" s="123" t="n"/>
      <c r="J639" s="123" t="n"/>
      <c r="K639" s="123" t="n"/>
      <c r="L639" s="123" t="n"/>
      <c r="M639" s="123" t="n"/>
      <c r="N639" s="123" t="n"/>
      <c r="O639" s="123" t="n"/>
      <c r="P639" s="123" t="n"/>
      <c r="Q639" s="123" t="n"/>
      <c r="R639" s="123" t="n"/>
      <c r="S639" s="123" t="n"/>
      <c r="T639" s="123" t="n"/>
      <c r="U639" s="119" t="n"/>
      <c r="V639" s="19" t="n"/>
      <c r="W639" s="19" t="n"/>
      <c r="X639" s="19" t="n"/>
      <c r="Y639" s="20" t="n"/>
      <c r="Z639" s="123" t="n"/>
      <c r="AB639" s="123" t="n"/>
      <c r="AC639" s="123" t="n"/>
      <c r="AD639" s="123" t="n"/>
      <c r="AE639" s="123" t="n"/>
      <c r="AF639" s="123" t="n"/>
      <c r="AG639" s="123" t="n"/>
      <c r="AH639" s="123" t="n"/>
      <c r="AI639" s="123" t="n"/>
      <c r="AJ639" s="123" t="n"/>
      <c r="AK639" s="123" t="n"/>
      <c r="AL639" s="123" t="n"/>
      <c r="AM639" s="123" t="n"/>
      <c r="AN639" s="119" t="n"/>
      <c r="AO639" s="19" t="n"/>
      <c r="AP639" s="19" t="n"/>
      <c r="AQ639" s="19" t="n"/>
      <c r="AR639" s="20" t="n"/>
      <c r="AS639" s="123" t="n"/>
    </row>
    <row r="640" hidden="1" outlineLevel="1">
      <c r="A640" s="8" t="n"/>
      <c r="B640" s="14" t="n"/>
      <c r="C640" s="123" t="n"/>
      <c r="D640" s="123" t="n"/>
      <c r="E640" s="123" t="n"/>
      <c r="F640" s="123" t="n"/>
      <c r="G640" s="123" t="n"/>
      <c r="I640" s="55" t="inlineStr">
        <is>
          <t>AQUISIÇÃO</t>
        </is>
      </c>
      <c r="J640" s="17" t="n"/>
      <c r="K640" s="55" t="inlineStr">
        <is>
          <t>OBTIDA NO NÍVEL</t>
        </is>
      </c>
      <c r="L640" s="55" t="inlineStr">
        <is>
          <t>TALISMÃ</t>
        </is>
      </c>
      <c r="M640" s="17" t="n"/>
      <c r="N640" s="123" t="n"/>
      <c r="O640" s="55">
        <f>DADOS_INVOC!$IB$5</f>
        <v/>
      </c>
      <c r="P640" s="16" t="n"/>
      <c r="Q640" s="16" t="n"/>
      <c r="R640" s="16" t="n"/>
      <c r="S640" s="17" t="n"/>
      <c r="T640" s="123" t="n"/>
      <c r="U640" s="21" t="n"/>
      <c r="Y640" s="22" t="n"/>
      <c r="Z640" s="123" t="n"/>
      <c r="AB640" s="55" t="inlineStr">
        <is>
          <t>AQUISIÇÃO</t>
        </is>
      </c>
      <c r="AC640" s="17" t="n"/>
      <c r="AD640" s="55" t="inlineStr">
        <is>
          <t>OBTIDA NO NÍVEL</t>
        </is>
      </c>
      <c r="AE640" s="55" t="inlineStr">
        <is>
          <t>TALISMÃ</t>
        </is>
      </c>
      <c r="AF640" s="17" t="n"/>
      <c r="AG640" s="123" t="n"/>
      <c r="AH640" s="55">
        <f>DADOS_INVOC!$IB$11</f>
        <v/>
      </c>
      <c r="AI640" s="16" t="n"/>
      <c r="AJ640" s="16" t="n"/>
      <c r="AK640" s="16" t="n"/>
      <c r="AL640" s="17" t="n"/>
      <c r="AM640" s="123" t="n"/>
      <c r="AN640" s="21" t="n"/>
      <c r="AR640" s="22" t="n"/>
      <c r="AS640" s="123" t="n"/>
    </row>
    <row r="641" hidden="1" outlineLevel="1">
      <c r="A641" s="8" t="n"/>
      <c r="B641" s="14" t="n"/>
      <c r="C641" s="123" t="n"/>
      <c r="D641" s="123" t="n"/>
      <c r="E641" s="123" t="n"/>
      <c r="F641" s="123" t="n"/>
      <c r="G641" s="123" t="n"/>
      <c r="I641" s="127" t="inlineStr">
        <is>
          <t>Espaço conhecido</t>
        </is>
      </c>
      <c r="J641" s="20" t="n"/>
      <c r="K641" s="127" t="n"/>
      <c r="L641" s="127" t="inlineStr">
        <is>
          <t>Sem carga</t>
        </is>
      </c>
      <c r="M641" s="20" t="n"/>
      <c r="N641" s="123" t="n"/>
      <c r="O641" s="55" t="inlineStr">
        <is>
          <t>LIVRE</t>
        </is>
      </c>
      <c r="P641" s="55" t="inlineStr">
        <is>
          <t>LIVRE · TRILHA</t>
        </is>
      </c>
      <c r="Q641" s="55" t="inlineStr">
        <is>
          <t>ABERTA</t>
        </is>
      </c>
      <c r="R641" s="55" t="inlineStr">
        <is>
          <t>ABERTA</t>
        </is>
      </c>
      <c r="S641" s="55" t="inlineStr">
        <is>
          <t>ABERTA · TRILHA</t>
        </is>
      </c>
      <c r="T641" s="123" t="n"/>
      <c r="U641" s="21" t="n"/>
      <c r="Y641" s="22" t="n"/>
      <c r="Z641" s="123" t="n"/>
      <c r="AB641" s="127" t="inlineStr">
        <is>
          <t>Espaço conhecido</t>
        </is>
      </c>
      <c r="AC641" s="20" t="n"/>
      <c r="AD641" s="127" t="n"/>
      <c r="AE641" s="127" t="inlineStr">
        <is>
          <t>Sem carga</t>
        </is>
      </c>
      <c r="AF641" s="20" t="n"/>
      <c r="AG641" s="123" t="n"/>
      <c r="AH641" s="55" t="inlineStr">
        <is>
          <t>LIVRE</t>
        </is>
      </c>
      <c r="AI641" s="55" t="inlineStr">
        <is>
          <t>LIVRE · TRILHA</t>
        </is>
      </c>
      <c r="AJ641" s="55" t="inlineStr">
        <is>
          <t>ABERTA</t>
        </is>
      </c>
      <c r="AK641" s="55" t="inlineStr">
        <is>
          <t>ABERTA</t>
        </is>
      </c>
      <c r="AL641" s="55" t="inlineStr">
        <is>
          <t>ABERTA · TRILHA</t>
        </is>
      </c>
      <c r="AM641" s="123" t="n"/>
      <c r="AN641" s="21" t="n"/>
      <c r="AR641" s="22" t="n"/>
      <c r="AS641" s="123" t="n"/>
    </row>
    <row r="642" hidden="1" outlineLevel="1">
      <c r="A642" s="8" t="n"/>
      <c r="B642" s="14" t="n"/>
      <c r="C642" s="123" t="n"/>
      <c r="D642" s="123" t="n"/>
      <c r="E642" s="123" t="n"/>
      <c r="F642" s="123" t="n"/>
      <c r="G642" s="123" t="n"/>
      <c r="I642" s="23" t="n"/>
      <c r="J642" s="25" t="n"/>
      <c r="K642" s="128" t="n"/>
      <c r="L642" s="23" t="n"/>
      <c r="M642" s="25" t="n"/>
      <c r="N642" s="123" t="n"/>
      <c r="O642" s="127" t="n"/>
      <c r="P642" s="127" t="n"/>
      <c r="Q642" s="127" t="n"/>
      <c r="R642" s="127" t="n"/>
      <c r="S642" s="127" t="n"/>
      <c r="T642" s="123" t="n"/>
      <c r="U642" s="21" t="n"/>
      <c r="Y642" s="22" t="n"/>
      <c r="Z642" s="123" t="n"/>
      <c r="AB642" s="23" t="n"/>
      <c r="AC642" s="25" t="n"/>
      <c r="AD642" s="128" t="n"/>
      <c r="AE642" s="23" t="n"/>
      <c r="AF642" s="25" t="n"/>
      <c r="AG642" s="123" t="n"/>
      <c r="AH642" s="127" t="n"/>
      <c r="AI642" s="127" t="n"/>
      <c r="AJ642" s="127" t="n"/>
      <c r="AK642" s="127" t="n"/>
      <c r="AL642" s="127" t="n"/>
      <c r="AM642" s="123" t="n"/>
      <c r="AN642" s="21" t="n"/>
      <c r="AR642" s="22" t="n"/>
      <c r="AS642" s="123" t="n"/>
    </row>
    <row r="643" hidden="1" outlineLevel="1">
      <c r="A643" s="8" t="n"/>
      <c r="B643" s="14" t="n"/>
      <c r="C643" s="123" t="n"/>
      <c r="D643" s="123" t="n"/>
      <c r="E643" s="123" t="n"/>
      <c r="F643" s="123" t="n"/>
      <c r="G643" s="123" t="n"/>
      <c r="I643" s="123" t="n"/>
      <c r="J643" s="123" t="n"/>
      <c r="K643" s="123" t="n"/>
      <c r="L643" s="123" t="n"/>
      <c r="M643" s="123" t="n"/>
      <c r="N643" s="123" t="n"/>
      <c r="O643" s="128" t="n"/>
      <c r="P643" s="128" t="n"/>
      <c r="Q643" s="128" t="n"/>
      <c r="R643" s="128" t="n"/>
      <c r="S643" s="128" t="n"/>
      <c r="T643" s="123" t="n"/>
      <c r="U643" s="23" t="n"/>
      <c r="V643" s="24" t="n"/>
      <c r="W643" s="24" t="n"/>
      <c r="X643" s="24" t="n"/>
      <c r="Y643" s="25" t="n"/>
      <c r="Z643" s="123" t="n"/>
      <c r="AB643" s="123" t="n"/>
      <c r="AC643" s="123" t="n"/>
      <c r="AD643" s="123" t="n"/>
      <c r="AE643" s="123" t="n"/>
      <c r="AF643" s="123" t="n"/>
      <c r="AG643" s="123" t="n"/>
      <c r="AH643" s="128" t="n"/>
      <c r="AI643" s="128" t="n"/>
      <c r="AJ643" s="128" t="n"/>
      <c r="AK643" s="128" t="n"/>
      <c r="AL643" s="128" t="n"/>
      <c r="AM643" s="123" t="n"/>
      <c r="AN643" s="23" t="n"/>
      <c r="AO643" s="24" t="n"/>
      <c r="AP643" s="24" t="n"/>
      <c r="AQ643" s="24" t="n"/>
      <c r="AR643" s="25" t="n"/>
      <c r="AS643" s="123" t="n"/>
    </row>
    <row r="644" hidden="1" outlineLevel="1">
      <c r="A644" s="8" t="n"/>
      <c r="B644" s="14" t="n"/>
      <c r="C644" s="123" t="n"/>
      <c r="D644" s="123" t="n"/>
      <c r="E644" s="123" t="n"/>
      <c r="F644" s="123" t="n"/>
      <c r="G644" s="123" t="n"/>
      <c r="I644" s="123" t="n"/>
      <c r="J644" s="123" t="n"/>
      <c r="K644" s="123" t="n"/>
      <c r="L644" s="123" t="n"/>
      <c r="M644" s="123" t="n"/>
      <c r="N644" s="123" t="n"/>
      <c r="O644" s="123" t="n"/>
      <c r="P644" s="123" t="n"/>
      <c r="Q644" s="123" t="n"/>
      <c r="R644" s="123" t="n"/>
      <c r="S644" s="123" t="n"/>
      <c r="T644" s="123" t="n"/>
      <c r="U644" s="123" t="n"/>
      <c r="V644" s="123" t="n"/>
      <c r="W644" s="123" t="n"/>
      <c r="X644" s="123" t="n"/>
      <c r="Y644" s="123" t="n"/>
      <c r="Z644" s="123" t="n"/>
      <c r="AB644" s="123" t="n"/>
      <c r="AC644" s="123" t="n"/>
      <c r="AD644" s="123" t="n"/>
      <c r="AE644" s="123" t="n"/>
      <c r="AF644" s="123" t="n"/>
      <c r="AG644" s="123" t="n"/>
      <c r="AH644" s="123" t="n"/>
      <c r="AI644" s="123" t="n"/>
      <c r="AJ644" s="123" t="n"/>
      <c r="AK644" s="123" t="n"/>
      <c r="AL644" s="123" t="n"/>
      <c r="AM644" s="123" t="n"/>
      <c r="AN644" s="123" t="n"/>
      <c r="AO644" s="123" t="n"/>
      <c r="AP644" s="123" t="n"/>
      <c r="AQ644" s="123" t="n"/>
      <c r="AR644" s="123" t="n"/>
      <c r="AS644" s="123" t="n"/>
    </row>
    <row r="645" hidden="1" outlineLevel="1">
      <c r="A645" s="8" t="n"/>
      <c r="B645" s="14" t="n"/>
      <c r="C645" s="123" t="n"/>
      <c r="D645" s="123" t="n"/>
      <c r="E645" s="123" t="n"/>
      <c r="F645" s="123" t="n"/>
      <c r="G645" s="123" t="n"/>
      <c r="I645" s="55" t="inlineStr">
        <is>
          <t>DEFINIÇÃO</t>
        </is>
      </c>
      <c r="J645" s="16" t="n"/>
      <c r="K645" s="16" t="n"/>
      <c r="L645" s="16" t="n"/>
      <c r="M645" s="16" t="n"/>
      <c r="N645" s="16" t="n"/>
      <c r="O645" s="16" t="n"/>
      <c r="P645" s="16" t="n"/>
      <c r="Q645" s="16" t="n"/>
      <c r="R645" s="16" t="n"/>
      <c r="S645" s="16" t="n"/>
      <c r="T645" s="16" t="n"/>
      <c r="U645" s="16" t="n"/>
      <c r="V645" s="16" t="n"/>
      <c r="W645" s="16" t="n"/>
      <c r="X645" s="16" t="n"/>
      <c r="Y645" s="17" t="n"/>
      <c r="Z645" s="123" t="n"/>
      <c r="AB645" s="55" t="inlineStr">
        <is>
          <t>DEFINIÇÃO</t>
        </is>
      </c>
      <c r="AC645" s="16" t="n"/>
      <c r="AD645" s="16" t="n"/>
      <c r="AE645" s="16" t="n"/>
      <c r="AF645" s="16" t="n"/>
      <c r="AG645" s="16" t="n"/>
      <c r="AH645" s="16" t="n"/>
      <c r="AI645" s="16" t="n"/>
      <c r="AJ645" s="16" t="n"/>
      <c r="AK645" s="16" t="n"/>
      <c r="AL645" s="16" t="n"/>
      <c r="AM645" s="16" t="n"/>
      <c r="AN645" s="16" t="n"/>
      <c r="AO645" s="16" t="n"/>
      <c r="AP645" s="16" t="n"/>
      <c r="AQ645" s="16" t="n"/>
      <c r="AR645" s="17" t="n"/>
      <c r="AS645" s="123" t="n"/>
    </row>
    <row r="646" hidden="1" outlineLevel="1">
      <c r="A646" s="8" t="n"/>
      <c r="B646" s="14" t="n"/>
      <c r="C646" s="123" t="n"/>
      <c r="D646" s="123" t="n"/>
      <c r="E646" s="123" t="n"/>
      <c r="F646" s="123" t="n"/>
      <c r="G646" s="123" t="n"/>
      <c r="I646" s="119" t="n"/>
      <c r="J646" s="19" t="n"/>
      <c r="K646" s="19" t="n"/>
      <c r="L646" s="19" t="n"/>
      <c r="M646" s="19" t="n"/>
      <c r="N646" s="19" t="n"/>
      <c r="O646" s="19" t="n"/>
      <c r="P646" s="19" t="n"/>
      <c r="Q646" s="19" t="n"/>
      <c r="R646" s="19" t="n"/>
      <c r="S646" s="19" t="n"/>
      <c r="T646" s="19" t="n"/>
      <c r="U646" s="19" t="n"/>
      <c r="V646" s="19" t="n"/>
      <c r="W646" s="19" t="n"/>
      <c r="X646" s="19" t="n"/>
      <c r="Y646" s="20" t="n"/>
      <c r="Z646" s="123" t="n"/>
      <c r="AB646" s="119" t="n"/>
      <c r="AC646" s="19" t="n"/>
      <c r="AD646" s="19" t="n"/>
      <c r="AE646" s="19" t="n"/>
      <c r="AF646" s="19" t="n"/>
      <c r="AG646" s="19" t="n"/>
      <c r="AH646" s="19" t="n"/>
      <c r="AI646" s="19" t="n"/>
      <c r="AJ646" s="19" t="n"/>
      <c r="AK646" s="19" t="n"/>
      <c r="AL646" s="19" t="n"/>
      <c r="AM646" s="19" t="n"/>
      <c r="AN646" s="19" t="n"/>
      <c r="AO646" s="19" t="n"/>
      <c r="AP646" s="19" t="n"/>
      <c r="AQ646" s="19" t="n"/>
      <c r="AR646" s="20" t="n"/>
      <c r="AS646" s="123" t="n"/>
    </row>
    <row r="647" hidden="1" outlineLevel="1">
      <c r="A647" s="8" t="n"/>
      <c r="B647" s="14" t="n"/>
      <c r="C647" s="123" t="n"/>
      <c r="D647" s="123" t="n"/>
      <c r="E647" s="123" t="n"/>
      <c r="F647" s="123" t="n"/>
      <c r="G647" s="123" t="n"/>
      <c r="I647" s="23" t="n"/>
      <c r="J647" s="24" t="n"/>
      <c r="K647" s="24" t="n"/>
      <c r="L647" s="24" t="n"/>
      <c r="M647" s="24" t="n"/>
      <c r="N647" s="24" t="n"/>
      <c r="O647" s="24" t="n"/>
      <c r="P647" s="24" t="n"/>
      <c r="Q647" s="24" t="n"/>
      <c r="R647" s="24" t="n"/>
      <c r="S647" s="24" t="n"/>
      <c r="T647" s="24" t="n"/>
      <c r="U647" s="24" t="n"/>
      <c r="V647" s="24" t="n"/>
      <c r="W647" s="24" t="n"/>
      <c r="X647" s="24" t="n"/>
      <c r="Y647" s="25" t="n"/>
      <c r="Z647" s="123" t="n"/>
      <c r="AB647" s="23" t="n"/>
      <c r="AC647" s="24" t="n"/>
      <c r="AD647" s="24" t="n"/>
      <c r="AE647" s="24" t="n"/>
      <c r="AF647" s="24" t="n"/>
      <c r="AG647" s="24" t="n"/>
      <c r="AH647" s="24" t="n"/>
      <c r="AI647" s="24" t="n"/>
      <c r="AJ647" s="24" t="n"/>
      <c r="AK647" s="24" t="n"/>
      <c r="AL647" s="24" t="n"/>
      <c r="AM647" s="24" t="n"/>
      <c r="AN647" s="24" t="n"/>
      <c r="AO647" s="24" t="n"/>
      <c r="AP647" s="24" t="n"/>
      <c r="AQ647" s="24" t="n"/>
      <c r="AR647" s="25" t="n"/>
      <c r="AS647" s="123" t="n"/>
    </row>
    <row r="648" hidden="1" outlineLevel="1">
      <c r="A648" s="8" t="n"/>
      <c r="B648" s="14" t="n"/>
      <c r="C648" s="123" t="n"/>
      <c r="D648" s="123" t="n"/>
      <c r="E648" s="123" t="n"/>
      <c r="F648" s="123" t="n"/>
      <c r="G648" s="123" t="n"/>
      <c r="I648" s="123" t="n"/>
      <c r="J648" s="123" t="n"/>
      <c r="K648" s="123" t="n"/>
      <c r="L648" s="123" t="n"/>
      <c r="M648" s="123" t="n"/>
      <c r="N648" s="123" t="n"/>
      <c r="O648" s="123" t="n"/>
      <c r="P648" s="123" t="n"/>
      <c r="Q648" s="123" t="n"/>
      <c r="R648" s="123" t="n"/>
      <c r="S648" s="123" t="n"/>
      <c r="T648" s="123" t="n"/>
      <c r="U648" s="123" t="n"/>
      <c r="V648" s="123" t="n"/>
      <c r="W648" s="123" t="n"/>
      <c r="X648" s="123" t="n"/>
      <c r="Y648" s="123" t="n"/>
      <c r="Z648" s="123" t="n"/>
      <c r="AB648" s="123" t="n"/>
      <c r="AC648" s="123" t="n"/>
      <c r="AD648" s="123" t="n"/>
      <c r="AE648" s="123" t="n"/>
      <c r="AF648" s="123" t="n"/>
      <c r="AG648" s="123" t="n"/>
      <c r="AH648" s="123" t="n"/>
      <c r="AI648" s="123" t="n"/>
      <c r="AJ648" s="123" t="n"/>
      <c r="AK648" s="123" t="n"/>
      <c r="AL648" s="123" t="n"/>
      <c r="AM648" s="123" t="n"/>
      <c r="AN648" s="123" t="n"/>
      <c r="AO648" s="123" t="n"/>
      <c r="AP648" s="123" t="n"/>
      <c r="AQ648" s="123" t="n"/>
      <c r="AR648" s="123" t="n"/>
      <c r="AS648" s="123" t="n"/>
    </row>
    <row r="649" hidden="1" outlineLevel="1">
      <c r="A649" s="8" t="n"/>
      <c r="B649" s="14" t="n"/>
      <c r="C649" s="123" t="n"/>
      <c r="D649" s="123" t="n"/>
      <c r="E649" s="123" t="n"/>
      <c r="F649" s="123" t="n"/>
      <c r="G649" s="123" t="n"/>
      <c r="I649" s="136">
        <f>DADOS_INVOC!$IC$5</f>
        <v/>
      </c>
      <c r="J649" s="16" t="n"/>
      <c r="K649" s="16" t="n"/>
      <c r="L649" s="16" t="n"/>
      <c r="M649" s="16" t="n"/>
      <c r="N649" s="16" t="n"/>
      <c r="O649" s="16" t="n"/>
      <c r="P649" s="16" t="n"/>
      <c r="Q649" s="16" t="n"/>
      <c r="R649" s="16" t="n"/>
      <c r="S649" s="16" t="n"/>
      <c r="T649" s="16" t="n"/>
      <c r="U649" s="16" t="n"/>
      <c r="V649" s="16" t="n"/>
      <c r="W649" s="16" t="n"/>
      <c r="X649" s="16" t="n"/>
      <c r="Y649" s="17" t="n"/>
      <c r="Z649" s="123" t="n"/>
      <c r="AB649" s="136">
        <f>DADOS_INVOC!$IC$11</f>
        <v/>
      </c>
      <c r="AC649" s="16" t="n"/>
      <c r="AD649" s="16" t="n"/>
      <c r="AE649" s="16" t="n"/>
      <c r="AF649" s="16" t="n"/>
      <c r="AG649" s="16" t="n"/>
      <c r="AH649" s="16" t="n"/>
      <c r="AI649" s="16" t="n"/>
      <c r="AJ649" s="16" t="n"/>
      <c r="AK649" s="16" t="n"/>
      <c r="AL649" s="16" t="n"/>
      <c r="AM649" s="16" t="n"/>
      <c r="AN649" s="16" t="n"/>
      <c r="AO649" s="16" t="n"/>
      <c r="AP649" s="16" t="n"/>
      <c r="AQ649" s="16" t="n"/>
      <c r="AR649" s="17" t="n"/>
      <c r="AS649" s="123" t="n"/>
    </row>
    <row r="650" hidden="1" outlineLevel="1">
      <c r="A650" s="8" t="n"/>
      <c r="B650" s="14" t="n"/>
      <c r="C650" s="123" t="n"/>
      <c r="D650" s="123" t="n"/>
      <c r="E650" s="123" t="n"/>
      <c r="F650" s="123" t="n"/>
      <c r="G650" s="123" t="n"/>
      <c r="I650" s="123" t="n"/>
      <c r="J650" s="123" t="n"/>
      <c r="K650" s="123" t="n"/>
      <c r="L650" s="123" t="n"/>
      <c r="M650" s="123" t="n"/>
      <c r="N650" s="123" t="n"/>
      <c r="O650" s="123" t="n"/>
      <c r="P650" s="123" t="n"/>
      <c r="Q650" s="123" t="n"/>
      <c r="R650" s="123" t="n"/>
      <c r="S650" s="123" t="n"/>
      <c r="T650" s="123" t="n"/>
      <c r="U650" s="123" t="n"/>
      <c r="V650" s="123" t="n"/>
      <c r="W650" s="123" t="n"/>
      <c r="X650" s="123" t="n"/>
      <c r="Y650" s="123" t="n"/>
      <c r="Z650" s="123" t="n"/>
      <c r="AB650" s="123" t="n"/>
      <c r="AC650" s="123" t="n"/>
      <c r="AD650" s="123" t="n"/>
      <c r="AE650" s="123" t="n"/>
      <c r="AF650" s="123" t="n"/>
      <c r="AG650" s="123" t="n"/>
      <c r="AH650" s="123" t="n"/>
      <c r="AI650" s="123" t="n"/>
      <c r="AJ650" s="123" t="n"/>
      <c r="AK650" s="123" t="n"/>
      <c r="AL650" s="123" t="n"/>
      <c r="AM650" s="123" t="n"/>
      <c r="AN650" s="123" t="n"/>
      <c r="AO650" s="123" t="n"/>
      <c r="AP650" s="123" t="n"/>
      <c r="AQ650" s="123" t="n"/>
      <c r="AR650" s="123" t="n"/>
      <c r="AS650" s="123" t="n"/>
    </row>
    <row r="651" hidden="1" outlineLevel="1">
      <c r="A651" s="8" t="n"/>
      <c r="B651" s="14" t="n"/>
      <c r="C651" s="123" t="n"/>
      <c r="D651" s="123" t="n"/>
      <c r="E651" s="123" t="n"/>
      <c r="F651" s="123" t="n"/>
      <c r="G651" s="123" t="n"/>
      <c r="I651" s="55">
        <f>DADOS_INVOC!$PX$41</f>
        <v/>
      </c>
      <c r="J651" s="16" t="n"/>
      <c r="K651" s="16" t="n"/>
      <c r="L651" s="16" t="n"/>
      <c r="M651" s="17" t="n"/>
      <c r="N651" s="123" t="n"/>
      <c r="O651" s="55">
        <f>DADOS_INVOC!$PX$42</f>
        <v/>
      </c>
      <c r="P651" s="16" t="n"/>
      <c r="Q651" s="16" t="n"/>
      <c r="R651" s="16" t="n"/>
      <c r="S651" s="17" t="n"/>
      <c r="T651" s="123" t="n"/>
      <c r="U651" s="55">
        <f>DADOS_INVOC!$PX$43</f>
        <v/>
      </c>
      <c r="V651" s="16" t="n"/>
      <c r="W651" s="16" t="n"/>
      <c r="X651" s="16" t="n"/>
      <c r="Y651" s="17" t="n"/>
      <c r="Z651" s="123" t="n"/>
      <c r="AB651" s="55">
        <f>DADOS_INVOC!$PX$119</f>
        <v/>
      </c>
      <c r="AC651" s="16" t="n"/>
      <c r="AD651" s="16" t="n"/>
      <c r="AE651" s="16" t="n"/>
      <c r="AF651" s="17" t="n"/>
      <c r="AG651" s="123" t="n"/>
      <c r="AH651" s="55">
        <f>DADOS_INVOC!$PX$120</f>
        <v/>
      </c>
      <c r="AI651" s="16" t="n"/>
      <c r="AJ651" s="16" t="n"/>
      <c r="AK651" s="16" t="n"/>
      <c r="AL651" s="17" t="n"/>
      <c r="AM651" s="123" t="n"/>
      <c r="AN651" s="55">
        <f>DADOS_INVOC!$PX$121</f>
        <v/>
      </c>
      <c r="AO651" s="16" t="n"/>
      <c r="AP651" s="16" t="n"/>
      <c r="AQ651" s="16" t="n"/>
      <c r="AR651" s="17" t="n"/>
      <c r="AS651" s="123" t="n"/>
    </row>
    <row r="652" hidden="1" outlineLevel="1">
      <c r="A652" s="8" t="n"/>
      <c r="B652" s="14" t="n"/>
      <c r="C652" s="123" t="n"/>
      <c r="D652" s="123" t="n"/>
      <c r="E652" s="123" t="n"/>
      <c r="F652" s="123" t="n"/>
      <c r="G652" s="123" t="n"/>
      <c r="I652" s="130" t="n">
        <v>0</v>
      </c>
      <c r="J652" s="118" t="n"/>
      <c r="K652" s="16" t="n"/>
      <c r="L652" s="17" t="n"/>
      <c r="M652" s="131">
        <f>DADOS_INVOC!$PV$41</f>
        <v/>
      </c>
      <c r="N652" s="123" t="n"/>
      <c r="O652" s="130" t="n">
        <v>1</v>
      </c>
      <c r="P652" s="118" t="n"/>
      <c r="Q652" s="16" t="n"/>
      <c r="R652" s="17" t="n"/>
      <c r="S652" s="131">
        <f>DADOS_INVOC!$PV$42</f>
        <v/>
      </c>
      <c r="T652" s="123" t="n"/>
      <c r="U652" s="130" t="n">
        <v>1</v>
      </c>
      <c r="V652" s="118" t="n"/>
      <c r="W652" s="16" t="n"/>
      <c r="X652" s="17" t="n"/>
      <c r="Y652" s="131">
        <f>DADOS_INVOC!$PV$43</f>
        <v/>
      </c>
      <c r="Z652" s="123" t="n"/>
      <c r="AB652" s="130" t="n">
        <v>0</v>
      </c>
      <c r="AC652" s="118" t="n"/>
      <c r="AD652" s="16" t="n"/>
      <c r="AE652" s="17" t="n"/>
      <c r="AF652" s="131">
        <f>DADOS_INVOC!$PV$119</f>
        <v/>
      </c>
      <c r="AG652" s="123" t="n"/>
      <c r="AH652" s="130" t="n">
        <v>1</v>
      </c>
      <c r="AI652" s="118" t="n"/>
      <c r="AJ652" s="16" t="n"/>
      <c r="AK652" s="17" t="n"/>
      <c r="AL652" s="131">
        <f>DADOS_INVOC!$PV$120</f>
        <v/>
      </c>
      <c r="AM652" s="123" t="n"/>
      <c r="AN652" s="130" t="n">
        <v>1</v>
      </c>
      <c r="AO652" s="118" t="n"/>
      <c r="AP652" s="16" t="n"/>
      <c r="AQ652" s="17" t="n"/>
      <c r="AR652" s="131">
        <f>DADOS_INVOC!$PV$121</f>
        <v/>
      </c>
      <c r="AS652" s="123" t="n"/>
    </row>
    <row r="653" hidden="1" outlineLevel="2">
      <c r="A653" s="8" t="n"/>
      <c r="B653" s="14" t="n"/>
      <c r="C653" s="123" t="n"/>
      <c r="D653" s="123" t="n"/>
      <c r="E653" s="123" t="n"/>
      <c r="F653" s="123" t="n"/>
      <c r="G653" s="123" t="n"/>
      <c r="I653" s="55" t="inlineStr">
        <is>
          <t>COMO É</t>
        </is>
      </c>
      <c r="J653" s="16" t="n"/>
      <c r="K653" s="16" t="n"/>
      <c r="L653" s="16" t="n"/>
      <c r="M653" s="17" t="n"/>
      <c r="N653" s="123" t="n"/>
      <c r="O653" s="55" t="inlineStr">
        <is>
          <t>COMO É</t>
        </is>
      </c>
      <c r="P653" s="16" t="n"/>
      <c r="Q653" s="16" t="n"/>
      <c r="R653" s="16" t="n"/>
      <c r="S653" s="17" t="n"/>
      <c r="T653" s="123" t="n"/>
      <c r="U653" s="55" t="inlineStr">
        <is>
          <t>COMO É</t>
        </is>
      </c>
      <c r="V653" s="16" t="n"/>
      <c r="W653" s="16" t="n"/>
      <c r="X653" s="16" t="n"/>
      <c r="Y653" s="17" t="n"/>
      <c r="Z653" s="123" t="n"/>
      <c r="AB653" s="55" t="inlineStr">
        <is>
          <t>COMO É</t>
        </is>
      </c>
      <c r="AC653" s="16" t="n"/>
      <c r="AD653" s="16" t="n"/>
      <c r="AE653" s="16" t="n"/>
      <c r="AF653" s="17" t="n"/>
      <c r="AG653" s="123" t="n"/>
      <c r="AH653" s="55" t="inlineStr">
        <is>
          <t>COMO É</t>
        </is>
      </c>
      <c r="AI653" s="16" t="n"/>
      <c r="AJ653" s="16" t="n"/>
      <c r="AK653" s="16" t="n"/>
      <c r="AL653" s="17" t="n"/>
      <c r="AM653" s="123" t="n"/>
      <c r="AN653" s="55" t="inlineStr">
        <is>
          <t>COMO É</t>
        </is>
      </c>
      <c r="AO653" s="16" t="n"/>
      <c r="AP653" s="16" t="n"/>
      <c r="AQ653" s="16" t="n"/>
      <c r="AR653" s="17" t="n"/>
      <c r="AS653" s="123" t="n"/>
    </row>
    <row r="654" hidden="1" outlineLevel="2">
      <c r="A654" s="8" t="n"/>
      <c r="B654" s="14" t="n"/>
      <c r="C654" s="123" t="n"/>
      <c r="D654" s="123" t="n"/>
      <c r="E654" s="123" t="n"/>
      <c r="F654" s="123" t="n"/>
      <c r="G654" s="123" t="n"/>
      <c r="I654" s="119" t="n"/>
      <c r="J654" s="19" t="n"/>
      <c r="K654" s="19" t="n"/>
      <c r="L654" s="19" t="n"/>
      <c r="M654" s="20" t="n"/>
      <c r="N654" s="123" t="n"/>
      <c r="O654" s="119" t="n"/>
      <c r="P654" s="19" t="n"/>
      <c r="Q654" s="19" t="n"/>
      <c r="R654" s="19" t="n"/>
      <c r="S654" s="20" t="n"/>
      <c r="T654" s="123" t="n"/>
      <c r="U654" s="119" t="n"/>
      <c r="V654" s="19" t="n"/>
      <c r="W654" s="19" t="n"/>
      <c r="X654" s="19" t="n"/>
      <c r="Y654" s="20" t="n"/>
      <c r="Z654" s="123" t="n"/>
      <c r="AB654" s="119" t="n"/>
      <c r="AC654" s="19" t="n"/>
      <c r="AD654" s="19" t="n"/>
      <c r="AE654" s="19" t="n"/>
      <c r="AF654" s="20" t="n"/>
      <c r="AG654" s="123" t="n"/>
      <c r="AH654" s="119" t="n"/>
      <c r="AI654" s="19" t="n"/>
      <c r="AJ654" s="19" t="n"/>
      <c r="AK654" s="19" t="n"/>
      <c r="AL654" s="20" t="n"/>
      <c r="AM654" s="123" t="n"/>
      <c r="AN654" s="119" t="n"/>
      <c r="AO654" s="19" t="n"/>
      <c r="AP654" s="19" t="n"/>
      <c r="AQ654" s="19" t="n"/>
      <c r="AR654" s="20" t="n"/>
      <c r="AS654" s="123" t="n"/>
    </row>
    <row r="655" hidden="1" outlineLevel="2">
      <c r="A655" s="8" t="n"/>
      <c r="B655" s="14" t="n"/>
      <c r="C655" s="123" t="n"/>
      <c r="D655" s="123" t="n"/>
      <c r="E655" s="123" t="n"/>
      <c r="F655" s="123" t="n"/>
      <c r="G655" s="123" t="n"/>
      <c r="I655" s="21" t="n"/>
      <c r="M655" s="22" t="n"/>
      <c r="N655" s="123" t="n"/>
      <c r="O655" s="21" t="n"/>
      <c r="S655" s="22" t="n"/>
      <c r="T655" s="123" t="n"/>
      <c r="U655" s="21" t="n"/>
      <c r="Y655" s="22" t="n"/>
      <c r="Z655" s="123" t="n"/>
      <c r="AB655" s="21" t="n"/>
      <c r="AF655" s="22" t="n"/>
      <c r="AG655" s="123" t="n"/>
      <c r="AH655" s="21" t="n"/>
      <c r="AL655" s="22" t="n"/>
      <c r="AM655" s="123" t="n"/>
      <c r="AN655" s="21" t="n"/>
      <c r="AR655" s="22" t="n"/>
      <c r="AS655" s="123" t="n"/>
    </row>
    <row r="656" hidden="1" outlineLevel="2">
      <c r="A656" s="8" t="n"/>
      <c r="B656" s="14" t="n"/>
      <c r="C656" s="123" t="n"/>
      <c r="D656" s="123" t="n"/>
      <c r="E656" s="123" t="n"/>
      <c r="F656" s="123" t="n"/>
      <c r="G656" s="123" t="n"/>
      <c r="I656" s="23" t="n"/>
      <c r="J656" s="24" t="n"/>
      <c r="K656" s="24" t="n"/>
      <c r="L656" s="24" t="n"/>
      <c r="M656" s="25" t="n"/>
      <c r="N656" s="123" t="n"/>
      <c r="O656" s="23" t="n"/>
      <c r="P656" s="24" t="n"/>
      <c r="Q656" s="24" t="n"/>
      <c r="R656" s="24" t="n"/>
      <c r="S656" s="25" t="n"/>
      <c r="T656" s="123" t="n"/>
      <c r="U656" s="23" t="n"/>
      <c r="V656" s="24" t="n"/>
      <c r="W656" s="24" t="n"/>
      <c r="X656" s="24" t="n"/>
      <c r="Y656" s="25" t="n"/>
      <c r="Z656" s="123" t="n"/>
      <c r="AB656" s="23" t="n"/>
      <c r="AC656" s="24" t="n"/>
      <c r="AD656" s="24" t="n"/>
      <c r="AE656" s="24" t="n"/>
      <c r="AF656" s="25" t="n"/>
      <c r="AG656" s="123" t="n"/>
      <c r="AH656" s="23" t="n"/>
      <c r="AI656" s="24" t="n"/>
      <c r="AJ656" s="24" t="n"/>
      <c r="AK656" s="24" t="n"/>
      <c r="AL656" s="25" t="n"/>
      <c r="AM656" s="123" t="n"/>
      <c r="AN656" s="23" t="n"/>
      <c r="AO656" s="24" t="n"/>
      <c r="AP656" s="24" t="n"/>
      <c r="AQ656" s="24" t="n"/>
      <c r="AR656" s="25" t="n"/>
      <c r="AS656" s="123" t="n"/>
    </row>
    <row r="657" hidden="1" outlineLevel="1">
      <c r="A657" s="8" t="n"/>
      <c r="B657" s="14" t="n"/>
      <c r="C657" s="123" t="n"/>
      <c r="D657" s="123" t="n"/>
      <c r="E657" s="123" t="n"/>
      <c r="F657" s="123" t="n"/>
      <c r="G657" s="123" t="n"/>
      <c r="I657" s="127" t="inlineStr">
        <is>
          <t>Projétil</t>
        </is>
      </c>
      <c r="J657" s="17" t="n"/>
      <c r="K657" s="68">
        <f>DADOS_INVOC!$QC$41</f>
        <v/>
      </c>
      <c r="L657" s="17" t="n"/>
      <c r="M657" s="68">
        <f>DADOS_INVOC!$PY$41</f>
        <v/>
      </c>
      <c r="N657" s="123" t="n"/>
      <c r="O657" s="127" t="inlineStr">
        <is>
          <t>Projétil</t>
        </is>
      </c>
      <c r="P657" s="17" t="n"/>
      <c r="Q657" s="68">
        <f>DADOS_INVOC!$QC$42</f>
        <v/>
      </c>
      <c r="R657" s="17" t="n"/>
      <c r="S657" s="68">
        <f>DADOS_INVOC!$PY$42</f>
        <v/>
      </c>
      <c r="T657" s="123" t="n"/>
      <c r="U657" s="127" t="inlineStr">
        <is>
          <t>Projétil</t>
        </is>
      </c>
      <c r="V657" s="17" t="n"/>
      <c r="W657" s="68">
        <f>DADOS_INVOC!$QC$43</f>
        <v/>
      </c>
      <c r="X657" s="17" t="n"/>
      <c r="Y657" s="68">
        <f>DADOS_INVOC!$PY$43</f>
        <v/>
      </c>
      <c r="Z657" s="123" t="n"/>
      <c r="AB657" s="127" t="inlineStr">
        <is>
          <t>Projétil</t>
        </is>
      </c>
      <c r="AC657" s="17" t="n"/>
      <c r="AD657" s="68">
        <f>DADOS_INVOC!$QC$119</f>
        <v/>
      </c>
      <c r="AE657" s="17" t="n"/>
      <c r="AF657" s="68">
        <f>DADOS_INVOC!$PY$119</f>
        <v/>
      </c>
      <c r="AG657" s="123" t="n"/>
      <c r="AH657" s="127" t="inlineStr">
        <is>
          <t>Projétil</t>
        </is>
      </c>
      <c r="AI657" s="17" t="n"/>
      <c r="AJ657" s="68">
        <f>DADOS_INVOC!$QC$120</f>
        <v/>
      </c>
      <c r="AK657" s="17" t="n"/>
      <c r="AL657" s="68">
        <f>DADOS_INVOC!$PY$120</f>
        <v/>
      </c>
      <c r="AM657" s="123" t="n"/>
      <c r="AN657" s="127" t="inlineStr">
        <is>
          <t>Projétil</t>
        </is>
      </c>
      <c r="AO657" s="17" t="n"/>
      <c r="AP657" s="68">
        <f>DADOS_INVOC!$QC$121</f>
        <v/>
      </c>
      <c r="AQ657" s="17" t="n"/>
      <c r="AR657" s="68">
        <f>DADOS_INVOC!$PY$121</f>
        <v/>
      </c>
      <c r="AS657" s="123" t="n"/>
    </row>
    <row r="658" hidden="1" outlineLevel="1">
      <c r="A658" s="8" t="n"/>
      <c r="B658" s="14" t="n"/>
      <c r="C658" s="123" t="n"/>
      <c r="D658" s="123" t="n"/>
      <c r="E658" s="123" t="n"/>
      <c r="F658" s="123" t="n"/>
      <c r="G658" s="123" t="n"/>
      <c r="I658" s="127" t="n"/>
      <c r="J658" s="17" t="n"/>
      <c r="K658" s="127" t="n"/>
      <c r="L658" s="16" t="n"/>
      <c r="M658" s="17" t="n"/>
      <c r="N658" s="123" t="n"/>
      <c r="O658" s="127" t="n"/>
      <c r="P658" s="17" t="n"/>
      <c r="Q658" s="127" t="n"/>
      <c r="R658" s="16" t="n"/>
      <c r="S658" s="17" t="n"/>
      <c r="T658" s="123" t="n"/>
      <c r="U658" s="127" t="n"/>
      <c r="V658" s="17" t="n"/>
      <c r="W658" s="127" t="n"/>
      <c r="X658" s="16" t="n"/>
      <c r="Y658" s="17" t="n"/>
      <c r="Z658" s="123" t="n"/>
      <c r="AB658" s="127" t="n"/>
      <c r="AC658" s="17" t="n"/>
      <c r="AD658" s="127" t="n"/>
      <c r="AE658" s="16" t="n"/>
      <c r="AF658" s="17" t="n"/>
      <c r="AG658" s="123" t="n"/>
      <c r="AH658" s="127" t="n"/>
      <c r="AI658" s="17" t="n"/>
      <c r="AJ658" s="127" t="n"/>
      <c r="AK658" s="16" t="n"/>
      <c r="AL658" s="17" t="n"/>
      <c r="AM658" s="123" t="n"/>
      <c r="AN658" s="127" t="n"/>
      <c r="AO658" s="17" t="n"/>
      <c r="AP658" s="127" t="n"/>
      <c r="AQ658" s="16" t="n"/>
      <c r="AR658" s="17" t="n"/>
      <c r="AS658" s="123" t="n"/>
    </row>
    <row r="659" hidden="1" outlineLevel="1">
      <c r="A659" s="8" t="n"/>
      <c r="B659" s="14" t="n"/>
      <c r="C659" s="123" t="n"/>
      <c r="D659" s="123" t="n"/>
      <c r="E659" s="123" t="n"/>
      <c r="F659" s="123" t="n"/>
      <c r="G659" s="123" t="n"/>
      <c r="I659" s="127">
        <f>DADOS_INVOC!$PZ$41</f>
        <v/>
      </c>
      <c r="J659" s="17" t="n"/>
      <c r="K659" s="127">
        <f>DADOS_INVOC!$QB$41</f>
        <v/>
      </c>
      <c r="L659" s="16" t="n"/>
      <c r="M659" s="17" t="n"/>
      <c r="N659" s="123" t="n"/>
      <c r="O659" s="127">
        <f>DADOS_INVOC!$PZ$42</f>
        <v/>
      </c>
      <c r="P659" s="17" t="n"/>
      <c r="Q659" s="127">
        <f>DADOS_INVOC!$QB$42</f>
        <v/>
      </c>
      <c r="R659" s="16" t="n"/>
      <c r="S659" s="17" t="n"/>
      <c r="T659" s="123" t="n"/>
      <c r="U659" s="127">
        <f>DADOS_INVOC!$PZ$43</f>
        <v/>
      </c>
      <c r="V659" s="17" t="n"/>
      <c r="W659" s="127">
        <f>DADOS_INVOC!$QB$43</f>
        <v/>
      </c>
      <c r="X659" s="16" t="n"/>
      <c r="Y659" s="17" t="n"/>
      <c r="Z659" s="123" t="n"/>
      <c r="AB659" s="127">
        <f>DADOS_INVOC!$PZ$119</f>
        <v/>
      </c>
      <c r="AC659" s="17" t="n"/>
      <c r="AD659" s="127">
        <f>DADOS_INVOC!$QB$119</f>
        <v/>
      </c>
      <c r="AE659" s="16" t="n"/>
      <c r="AF659" s="17" t="n"/>
      <c r="AG659" s="123" t="n"/>
      <c r="AH659" s="127">
        <f>DADOS_INVOC!$PZ$120</f>
        <v/>
      </c>
      <c r="AI659" s="17" t="n"/>
      <c r="AJ659" s="127">
        <f>DADOS_INVOC!$QB$120</f>
        <v/>
      </c>
      <c r="AK659" s="16" t="n"/>
      <c r="AL659" s="17" t="n"/>
      <c r="AM659" s="123" t="n"/>
      <c r="AN659" s="127">
        <f>DADOS_INVOC!$PZ$121</f>
        <v/>
      </c>
      <c r="AO659" s="17" t="n"/>
      <c r="AP659" s="127">
        <f>DADOS_INVOC!$QB$121</f>
        <v/>
      </c>
      <c r="AQ659" s="16" t="n"/>
      <c r="AR659" s="17" t="n"/>
      <c r="AS659" s="123" t="n"/>
    </row>
    <row r="660" hidden="1" outlineLevel="1">
      <c r="A660" s="8" t="n"/>
      <c r="B660" s="14" t="n"/>
      <c r="C660" s="123" t="n"/>
      <c r="D660" s="123" t="n"/>
      <c r="E660" s="123" t="n"/>
      <c r="F660" s="123" t="n"/>
      <c r="G660" s="123" t="n"/>
      <c r="I660" s="132">
        <f>DADOS_INVOC!$QH$41</f>
        <v/>
      </c>
      <c r="J660" s="16" t="n"/>
      <c r="K660" s="16" t="n"/>
      <c r="L660" s="16" t="n"/>
      <c r="M660" s="17" t="n"/>
      <c r="N660" s="123" t="n"/>
      <c r="O660" s="132">
        <f>DADOS_INVOC!$QH$42</f>
        <v/>
      </c>
      <c r="P660" s="16" t="n"/>
      <c r="Q660" s="16" t="n"/>
      <c r="R660" s="16" t="n"/>
      <c r="S660" s="17" t="n"/>
      <c r="T660" s="123" t="n"/>
      <c r="U660" s="132">
        <f>DADOS_INVOC!$QH$43</f>
        <v/>
      </c>
      <c r="V660" s="16" t="n"/>
      <c r="W660" s="16" t="n"/>
      <c r="X660" s="16" t="n"/>
      <c r="Y660" s="17" t="n"/>
      <c r="Z660" s="123" t="n"/>
      <c r="AB660" s="132">
        <f>DADOS_INVOC!$QH$119</f>
        <v/>
      </c>
      <c r="AC660" s="16" t="n"/>
      <c r="AD660" s="16" t="n"/>
      <c r="AE660" s="16" t="n"/>
      <c r="AF660" s="17" t="n"/>
      <c r="AG660" s="123" t="n"/>
      <c r="AH660" s="132">
        <f>DADOS_INVOC!$QH$120</f>
        <v/>
      </c>
      <c r="AI660" s="16" t="n"/>
      <c r="AJ660" s="16" t="n"/>
      <c r="AK660" s="16" t="n"/>
      <c r="AL660" s="17" t="n"/>
      <c r="AM660" s="123" t="n"/>
      <c r="AN660" s="132">
        <f>DADOS_INVOC!$QH$121</f>
        <v/>
      </c>
      <c r="AO660" s="16" t="n"/>
      <c r="AP660" s="16" t="n"/>
      <c r="AQ660" s="16" t="n"/>
      <c r="AR660" s="17" t="n"/>
      <c r="AS660" s="123" t="n"/>
    </row>
    <row r="661" hidden="1" outlineLevel="2">
      <c r="A661" s="8" t="n"/>
      <c r="B661" s="14" t="n"/>
      <c r="C661" s="123" t="n"/>
      <c r="D661" s="123" t="n"/>
      <c r="E661" s="123" t="n"/>
      <c r="F661" s="123" t="n"/>
      <c r="G661" s="123" t="n"/>
      <c r="I661" s="55" t="inlineStr">
        <is>
          <t>MELHORIAS</t>
        </is>
      </c>
      <c r="J661" s="133" t="n"/>
      <c r="K661" s="16" t="n"/>
      <c r="L661" s="17" t="n"/>
      <c r="M661" s="132">
        <f>DADOS_INVOC!$QK$41</f>
        <v/>
      </c>
      <c r="N661" s="123" t="n"/>
      <c r="O661" s="55" t="inlineStr">
        <is>
          <t>MELHORIAS</t>
        </is>
      </c>
      <c r="P661" s="133" t="n"/>
      <c r="Q661" s="16" t="n"/>
      <c r="R661" s="17" t="n"/>
      <c r="S661" s="132">
        <f>DADOS_INVOC!$QK$42</f>
        <v/>
      </c>
      <c r="T661" s="123" t="n"/>
      <c r="U661" s="55" t="inlineStr">
        <is>
          <t>MELHORIAS</t>
        </is>
      </c>
      <c r="V661" s="133" t="n"/>
      <c r="W661" s="16" t="n"/>
      <c r="X661" s="17" t="n"/>
      <c r="Y661" s="132">
        <f>DADOS_INVOC!$QK$43</f>
        <v/>
      </c>
      <c r="Z661" s="123" t="n"/>
      <c r="AB661" s="55" t="inlineStr">
        <is>
          <t>MELHORIAS</t>
        </is>
      </c>
      <c r="AC661" s="133" t="n"/>
      <c r="AD661" s="16" t="n"/>
      <c r="AE661" s="17" t="n"/>
      <c r="AF661" s="132">
        <f>DADOS_INVOC!$QK$119</f>
        <v/>
      </c>
      <c r="AG661" s="123" t="n"/>
      <c r="AH661" s="55" t="inlineStr">
        <is>
          <t>MELHORIAS</t>
        </is>
      </c>
      <c r="AI661" s="133" t="n"/>
      <c r="AJ661" s="16" t="n"/>
      <c r="AK661" s="17" t="n"/>
      <c r="AL661" s="132">
        <f>DADOS_INVOC!$QK$120</f>
        <v/>
      </c>
      <c r="AM661" s="123" t="n"/>
      <c r="AN661" s="55" t="inlineStr">
        <is>
          <t>MELHORIAS</t>
        </is>
      </c>
      <c r="AO661" s="133" t="n"/>
      <c r="AP661" s="16" t="n"/>
      <c r="AQ661" s="17" t="n"/>
      <c r="AR661" s="132">
        <f>DADOS_INVOC!$QK$121</f>
        <v/>
      </c>
      <c r="AS661" s="123" t="n"/>
    </row>
    <row r="662" hidden="1" outlineLevel="2">
      <c r="A662" s="8" t="n"/>
      <c r="B662" s="14" t="n"/>
      <c r="C662" s="123" t="n"/>
      <c r="D662" s="123" t="n"/>
      <c r="E662" s="123" t="n"/>
      <c r="F662" s="123" t="n"/>
      <c r="G662" s="123" t="n"/>
      <c r="I662" s="134" t="n"/>
      <c r="J662" s="133" t="n"/>
      <c r="K662" s="16" t="n"/>
      <c r="L662" s="17" t="n"/>
      <c r="M662" s="132">
        <f>DADOS_INVOC!$QL$41</f>
        <v/>
      </c>
      <c r="N662" s="123" t="n"/>
      <c r="O662" s="134" t="n"/>
      <c r="P662" s="133" t="n"/>
      <c r="Q662" s="16" t="n"/>
      <c r="R662" s="17" t="n"/>
      <c r="S662" s="132">
        <f>DADOS_INVOC!$QL$42</f>
        <v/>
      </c>
      <c r="T662" s="123" t="n"/>
      <c r="U662" s="134" t="n"/>
      <c r="V662" s="133" t="n"/>
      <c r="W662" s="16" t="n"/>
      <c r="X662" s="17" t="n"/>
      <c r="Y662" s="132">
        <f>DADOS_INVOC!$QL$43</f>
        <v/>
      </c>
      <c r="Z662" s="123" t="n"/>
      <c r="AB662" s="134" t="n"/>
      <c r="AC662" s="133" t="n"/>
      <c r="AD662" s="16" t="n"/>
      <c r="AE662" s="17" t="n"/>
      <c r="AF662" s="132">
        <f>DADOS_INVOC!$QL$119</f>
        <v/>
      </c>
      <c r="AG662" s="123" t="n"/>
      <c r="AH662" s="134" t="n"/>
      <c r="AI662" s="133" t="n"/>
      <c r="AJ662" s="16" t="n"/>
      <c r="AK662" s="17" t="n"/>
      <c r="AL662" s="132">
        <f>DADOS_INVOC!$QL$120</f>
        <v/>
      </c>
      <c r="AM662" s="123" t="n"/>
      <c r="AN662" s="134" t="n"/>
      <c r="AO662" s="133" t="n"/>
      <c r="AP662" s="16" t="n"/>
      <c r="AQ662" s="17" t="n"/>
      <c r="AR662" s="132">
        <f>DADOS_INVOC!$QL$121</f>
        <v/>
      </c>
      <c r="AS662" s="123" t="n"/>
    </row>
    <row r="663" hidden="1" outlineLevel="2">
      <c r="A663" s="8" t="n"/>
      <c r="B663" s="14" t="n"/>
      <c r="C663" s="123" t="n"/>
      <c r="D663" s="123" t="n"/>
      <c r="E663" s="123" t="n"/>
      <c r="F663" s="123" t="n"/>
      <c r="G663" s="123" t="n"/>
      <c r="I663" s="134" t="n"/>
      <c r="J663" s="133" t="n"/>
      <c r="K663" s="16" t="n"/>
      <c r="L663" s="17" t="n"/>
      <c r="M663" s="132">
        <f>DADOS_INVOC!$QM$41</f>
        <v/>
      </c>
      <c r="N663" s="123" t="n"/>
      <c r="O663" s="134" t="n"/>
      <c r="P663" s="133" t="n"/>
      <c r="Q663" s="16" t="n"/>
      <c r="R663" s="17" t="n"/>
      <c r="S663" s="132">
        <f>DADOS_INVOC!$QM$42</f>
        <v/>
      </c>
      <c r="T663" s="123" t="n"/>
      <c r="U663" s="134" t="n"/>
      <c r="V663" s="133" t="n"/>
      <c r="W663" s="16" t="n"/>
      <c r="X663" s="17" t="n"/>
      <c r="Y663" s="132">
        <f>DADOS_INVOC!$QM$43</f>
        <v/>
      </c>
      <c r="Z663" s="123" t="n"/>
      <c r="AB663" s="134" t="n"/>
      <c r="AC663" s="133" t="n"/>
      <c r="AD663" s="16" t="n"/>
      <c r="AE663" s="17" t="n"/>
      <c r="AF663" s="132">
        <f>DADOS_INVOC!$QM$119</f>
        <v/>
      </c>
      <c r="AG663" s="123" t="n"/>
      <c r="AH663" s="134" t="n"/>
      <c r="AI663" s="133" t="n"/>
      <c r="AJ663" s="16" t="n"/>
      <c r="AK663" s="17" t="n"/>
      <c r="AL663" s="132">
        <f>DADOS_INVOC!$QM$120</f>
        <v/>
      </c>
      <c r="AM663" s="123" t="n"/>
      <c r="AN663" s="134" t="n"/>
      <c r="AO663" s="133" t="n"/>
      <c r="AP663" s="16" t="n"/>
      <c r="AQ663" s="17" t="n"/>
      <c r="AR663" s="132">
        <f>DADOS_INVOC!$QM$121</f>
        <v/>
      </c>
      <c r="AS663" s="123" t="n"/>
    </row>
    <row r="664" hidden="1" outlineLevel="2">
      <c r="A664" s="8" t="n"/>
      <c r="B664" s="14" t="n"/>
      <c r="C664" s="123" t="n"/>
      <c r="D664" s="123" t="n"/>
      <c r="E664" s="123" t="n"/>
      <c r="F664" s="123" t="n"/>
      <c r="G664" s="123" t="n"/>
      <c r="I664" s="128" t="n"/>
      <c r="J664" s="133" t="n"/>
      <c r="K664" s="16" t="n"/>
      <c r="L664" s="17" t="n"/>
      <c r="M664" s="132">
        <f>DADOS_INVOC!$QN$41</f>
        <v/>
      </c>
      <c r="N664" s="123" t="n"/>
      <c r="O664" s="128" t="n"/>
      <c r="P664" s="133" t="n"/>
      <c r="Q664" s="16" t="n"/>
      <c r="R664" s="17" t="n"/>
      <c r="S664" s="132">
        <f>DADOS_INVOC!$QN$42</f>
        <v/>
      </c>
      <c r="T664" s="123" t="n"/>
      <c r="U664" s="128" t="n"/>
      <c r="V664" s="133" t="n"/>
      <c r="W664" s="16" t="n"/>
      <c r="X664" s="17" t="n"/>
      <c r="Y664" s="132">
        <f>DADOS_INVOC!$QN$43</f>
        <v/>
      </c>
      <c r="Z664" s="123" t="n"/>
      <c r="AB664" s="128" t="n"/>
      <c r="AC664" s="133" t="n"/>
      <c r="AD664" s="16" t="n"/>
      <c r="AE664" s="17" t="n"/>
      <c r="AF664" s="132">
        <f>DADOS_INVOC!$QN$119</f>
        <v/>
      </c>
      <c r="AG664" s="123" t="n"/>
      <c r="AH664" s="128" t="n"/>
      <c r="AI664" s="133" t="n"/>
      <c r="AJ664" s="16" t="n"/>
      <c r="AK664" s="17" t="n"/>
      <c r="AL664" s="132">
        <f>DADOS_INVOC!$QN$120</f>
        <v/>
      </c>
      <c r="AM664" s="123" t="n"/>
      <c r="AN664" s="128" t="n"/>
      <c r="AO664" s="133" t="n"/>
      <c r="AP664" s="16" t="n"/>
      <c r="AQ664" s="17" t="n"/>
      <c r="AR664" s="132">
        <f>DADOS_INVOC!$QN$121</f>
        <v/>
      </c>
      <c r="AS664" s="123" t="n"/>
    </row>
    <row r="665" hidden="1" outlineLevel="2">
      <c r="A665" s="8" t="n"/>
      <c r="B665" s="14" t="n"/>
      <c r="C665" s="123" t="n"/>
      <c r="D665" s="123" t="n"/>
      <c r="E665" s="123" t="n"/>
      <c r="F665" s="123" t="n"/>
      <c r="G665" s="123" t="n"/>
      <c r="I665" s="55" t="inlineStr">
        <is>
          <t>RESTRIÇÕES</t>
        </is>
      </c>
      <c r="J665" s="133" t="n"/>
      <c r="K665" s="16" t="n"/>
      <c r="L665" s="17" t="n"/>
      <c r="M665" s="132">
        <f>DADOS_INVOC!$QO$41</f>
        <v/>
      </c>
      <c r="N665" s="123" t="n"/>
      <c r="O665" s="55" t="inlineStr">
        <is>
          <t>RESTRIÇÕES</t>
        </is>
      </c>
      <c r="P665" s="133" t="n"/>
      <c r="Q665" s="16" t="n"/>
      <c r="R665" s="17" t="n"/>
      <c r="S665" s="132">
        <f>DADOS_INVOC!$QO$42</f>
        <v/>
      </c>
      <c r="T665" s="123" t="n"/>
      <c r="U665" s="55" t="inlineStr">
        <is>
          <t>RESTRIÇÕES</t>
        </is>
      </c>
      <c r="V665" s="133" t="n"/>
      <c r="W665" s="16" t="n"/>
      <c r="X665" s="17" t="n"/>
      <c r="Y665" s="132">
        <f>DADOS_INVOC!$QO$43</f>
        <v/>
      </c>
      <c r="Z665" s="123" t="n"/>
      <c r="AB665" s="55" t="inlineStr">
        <is>
          <t>RESTRIÇÕES</t>
        </is>
      </c>
      <c r="AC665" s="133" t="n"/>
      <c r="AD665" s="16" t="n"/>
      <c r="AE665" s="17" t="n"/>
      <c r="AF665" s="132">
        <f>DADOS_INVOC!$QO$119</f>
        <v/>
      </c>
      <c r="AG665" s="123" t="n"/>
      <c r="AH665" s="55" t="inlineStr">
        <is>
          <t>RESTRIÇÕES</t>
        </is>
      </c>
      <c r="AI665" s="133" t="n"/>
      <c r="AJ665" s="16" t="n"/>
      <c r="AK665" s="17" t="n"/>
      <c r="AL665" s="132">
        <f>DADOS_INVOC!$QO$120</f>
        <v/>
      </c>
      <c r="AM665" s="123" t="n"/>
      <c r="AN665" s="55" t="inlineStr">
        <is>
          <t>RESTRIÇÕES</t>
        </is>
      </c>
      <c r="AO665" s="133" t="n"/>
      <c r="AP665" s="16" t="n"/>
      <c r="AQ665" s="17" t="n"/>
      <c r="AR665" s="132">
        <f>DADOS_INVOC!$QO$121</f>
        <v/>
      </c>
      <c r="AS665" s="123" t="n"/>
    </row>
    <row r="666" hidden="1" outlineLevel="2">
      <c r="A666" s="8" t="n"/>
      <c r="B666" s="14" t="n"/>
      <c r="C666" s="123" t="n"/>
      <c r="D666" s="123" t="n"/>
      <c r="E666" s="123" t="n"/>
      <c r="F666" s="123" t="n"/>
      <c r="G666" s="123" t="n"/>
      <c r="I666" s="128" t="n"/>
      <c r="J666" s="133" t="n"/>
      <c r="K666" s="16" t="n"/>
      <c r="L666" s="17" t="n"/>
      <c r="M666" s="132">
        <f>DADOS_INVOC!$QP$41</f>
        <v/>
      </c>
      <c r="N666" s="123" t="n"/>
      <c r="O666" s="128" t="n"/>
      <c r="P666" s="133" t="n"/>
      <c r="Q666" s="16" t="n"/>
      <c r="R666" s="17" t="n"/>
      <c r="S666" s="132">
        <f>DADOS_INVOC!$QP$42</f>
        <v/>
      </c>
      <c r="T666" s="123" t="n"/>
      <c r="U666" s="128" t="n"/>
      <c r="V666" s="133" t="n"/>
      <c r="W666" s="16" t="n"/>
      <c r="X666" s="17" t="n"/>
      <c r="Y666" s="132">
        <f>DADOS_INVOC!$QP$43</f>
        <v/>
      </c>
      <c r="Z666" s="123" t="n"/>
      <c r="AB666" s="128" t="n"/>
      <c r="AC666" s="133" t="n"/>
      <c r="AD666" s="16" t="n"/>
      <c r="AE666" s="17" t="n"/>
      <c r="AF666" s="132">
        <f>DADOS_INVOC!$QP$119</f>
        <v/>
      </c>
      <c r="AG666" s="123" t="n"/>
      <c r="AH666" s="128" t="n"/>
      <c r="AI666" s="133" t="n"/>
      <c r="AJ666" s="16" t="n"/>
      <c r="AK666" s="17" t="n"/>
      <c r="AL666" s="132">
        <f>DADOS_INVOC!$QP$120</f>
        <v/>
      </c>
      <c r="AM666" s="123" t="n"/>
      <c r="AN666" s="128" t="n"/>
      <c r="AO666" s="133" t="n"/>
      <c r="AP666" s="16" t="n"/>
      <c r="AQ666" s="17" t="n"/>
      <c r="AR666" s="132">
        <f>DADOS_INVOC!$QP$121</f>
        <v/>
      </c>
      <c r="AS666" s="123" t="n"/>
    </row>
    <row r="667" hidden="1" outlineLevel="2">
      <c r="A667" s="8" t="n"/>
      <c r="B667" s="14" t="n"/>
      <c r="C667" s="123" t="n"/>
      <c r="D667" s="123" t="n"/>
      <c r="E667" s="123" t="n"/>
      <c r="F667" s="123" t="n"/>
      <c r="G667" s="123" t="n"/>
      <c r="I667" s="55" t="inlineStr">
        <is>
          <t>CONTA</t>
        </is>
      </c>
      <c r="J667" s="135">
        <f>DADOS_INVOC!$QI$41</f>
        <v/>
      </c>
      <c r="K667" s="16" t="n"/>
      <c r="L667" s="16" t="n"/>
      <c r="M667" s="17" t="n"/>
      <c r="N667" s="123" t="n"/>
      <c r="O667" s="55" t="inlineStr">
        <is>
          <t>CONTA</t>
        </is>
      </c>
      <c r="P667" s="135">
        <f>DADOS_INVOC!$QI$42</f>
        <v/>
      </c>
      <c r="Q667" s="16" t="n"/>
      <c r="R667" s="16" t="n"/>
      <c r="S667" s="17" t="n"/>
      <c r="T667" s="123" t="n"/>
      <c r="U667" s="55" t="inlineStr">
        <is>
          <t>CONTA</t>
        </is>
      </c>
      <c r="V667" s="135">
        <f>DADOS_INVOC!$QI$43</f>
        <v/>
      </c>
      <c r="W667" s="16" t="n"/>
      <c r="X667" s="16" t="n"/>
      <c r="Y667" s="17" t="n"/>
      <c r="Z667" s="123" t="n"/>
      <c r="AB667" s="55" t="inlineStr">
        <is>
          <t>CONTA</t>
        </is>
      </c>
      <c r="AC667" s="135">
        <f>DADOS_INVOC!$QI$119</f>
        <v/>
      </c>
      <c r="AD667" s="16" t="n"/>
      <c r="AE667" s="16" t="n"/>
      <c r="AF667" s="17" t="n"/>
      <c r="AG667" s="123" t="n"/>
      <c r="AH667" s="55" t="inlineStr">
        <is>
          <t>CONTA</t>
        </is>
      </c>
      <c r="AI667" s="135">
        <f>DADOS_INVOC!$QI$120</f>
        <v/>
      </c>
      <c r="AJ667" s="16" t="n"/>
      <c r="AK667" s="16" t="n"/>
      <c r="AL667" s="17" t="n"/>
      <c r="AM667" s="123" t="n"/>
      <c r="AN667" s="55" t="inlineStr">
        <is>
          <t>CONTA</t>
        </is>
      </c>
      <c r="AO667" s="135">
        <f>DADOS_INVOC!$QI$121</f>
        <v/>
      </c>
      <c r="AP667" s="16" t="n"/>
      <c r="AQ667" s="16" t="n"/>
      <c r="AR667" s="17" t="n"/>
      <c r="AS667" s="123" t="n"/>
    </row>
    <row r="668" hidden="1" outlineLevel="2">
      <c r="A668" s="8" t="n"/>
      <c r="B668" s="14" t="n"/>
      <c r="C668" s="123" t="n"/>
      <c r="D668" s="123" t="n"/>
      <c r="E668" s="123" t="n"/>
      <c r="F668" s="123" t="n"/>
      <c r="G668" s="123" t="n"/>
      <c r="I668" s="55" t="inlineStr">
        <is>
          <t>AMPLIAR</t>
        </is>
      </c>
      <c r="J668" s="135">
        <f>DADOS_INVOC!$QJ$41</f>
        <v/>
      </c>
      <c r="K668" s="19" t="n"/>
      <c r="L668" s="19" t="n"/>
      <c r="M668" s="20" t="n"/>
      <c r="N668" s="123" t="n"/>
      <c r="O668" s="55" t="inlineStr">
        <is>
          <t>AMPLIAR</t>
        </is>
      </c>
      <c r="P668" s="135">
        <f>DADOS_INVOC!$QJ$42</f>
        <v/>
      </c>
      <c r="Q668" s="19" t="n"/>
      <c r="R668" s="19" t="n"/>
      <c r="S668" s="20" t="n"/>
      <c r="T668" s="123" t="n"/>
      <c r="U668" s="55" t="inlineStr">
        <is>
          <t>AMPLIAR</t>
        </is>
      </c>
      <c r="V668" s="135">
        <f>DADOS_INVOC!$QJ$43</f>
        <v/>
      </c>
      <c r="W668" s="19" t="n"/>
      <c r="X668" s="19" t="n"/>
      <c r="Y668" s="20" t="n"/>
      <c r="Z668" s="123" t="n"/>
      <c r="AB668" s="55" t="inlineStr">
        <is>
          <t>AMPLIAR</t>
        </is>
      </c>
      <c r="AC668" s="135">
        <f>DADOS_INVOC!$QJ$119</f>
        <v/>
      </c>
      <c r="AD668" s="19" t="n"/>
      <c r="AE668" s="19" t="n"/>
      <c r="AF668" s="20" t="n"/>
      <c r="AG668" s="123" t="n"/>
      <c r="AH668" s="55" t="inlineStr">
        <is>
          <t>AMPLIAR</t>
        </is>
      </c>
      <c r="AI668" s="135">
        <f>DADOS_INVOC!$QJ$120</f>
        <v/>
      </c>
      <c r="AJ668" s="19" t="n"/>
      <c r="AK668" s="19" t="n"/>
      <c r="AL668" s="20" t="n"/>
      <c r="AM668" s="123" t="n"/>
      <c r="AN668" s="55" t="inlineStr">
        <is>
          <t>AMPLIAR</t>
        </is>
      </c>
      <c r="AO668" s="135">
        <f>DADOS_INVOC!$QJ$121</f>
        <v/>
      </c>
      <c r="AP668" s="19" t="n"/>
      <c r="AQ668" s="19" t="n"/>
      <c r="AR668" s="20" t="n"/>
      <c r="AS668" s="123" t="n"/>
    </row>
    <row r="669" hidden="1" outlineLevel="2">
      <c r="A669" s="8" t="n"/>
      <c r="B669" s="14" t="n"/>
      <c r="C669" s="123" t="n"/>
      <c r="D669" s="123" t="n"/>
      <c r="E669" s="123" t="n"/>
      <c r="F669" s="123" t="n"/>
      <c r="G669" s="123" t="n"/>
      <c r="I669" s="128" t="n"/>
      <c r="J669" s="23" t="n"/>
      <c r="K669" s="24" t="n"/>
      <c r="L669" s="24" t="n"/>
      <c r="M669" s="25" t="n"/>
      <c r="N669" s="123" t="n"/>
      <c r="O669" s="128" t="n"/>
      <c r="P669" s="23" t="n"/>
      <c r="Q669" s="24" t="n"/>
      <c r="R669" s="24" t="n"/>
      <c r="S669" s="25" t="n"/>
      <c r="T669" s="123" t="n"/>
      <c r="U669" s="128" t="n"/>
      <c r="V669" s="23" t="n"/>
      <c r="W669" s="24" t="n"/>
      <c r="X669" s="24" t="n"/>
      <c r="Y669" s="25" t="n"/>
      <c r="Z669" s="123" t="n"/>
      <c r="AB669" s="128" t="n"/>
      <c r="AC669" s="23" t="n"/>
      <c r="AD669" s="24" t="n"/>
      <c r="AE669" s="24" t="n"/>
      <c r="AF669" s="25" t="n"/>
      <c r="AG669" s="123" t="n"/>
      <c r="AH669" s="128" t="n"/>
      <c r="AI669" s="23" t="n"/>
      <c r="AJ669" s="24" t="n"/>
      <c r="AK669" s="24" t="n"/>
      <c r="AL669" s="25" t="n"/>
      <c r="AM669" s="123" t="n"/>
      <c r="AN669" s="128" t="n"/>
      <c r="AO669" s="23" t="n"/>
      <c r="AP669" s="24" t="n"/>
      <c r="AQ669" s="24" t="n"/>
      <c r="AR669" s="25" t="n"/>
      <c r="AS669" s="123" t="n"/>
    </row>
    <row r="670" hidden="1" outlineLevel="2">
      <c r="A670" s="8" t="n"/>
      <c r="B670" s="14" t="n"/>
      <c r="C670" s="123" t="n"/>
      <c r="D670" s="123" t="n"/>
      <c r="E670" s="123" t="n"/>
      <c r="F670" s="123" t="n"/>
      <c r="G670" s="123" t="n"/>
      <c r="I670" s="135">
        <f>DADOS_INVOC!$PW$41</f>
        <v/>
      </c>
      <c r="J670" s="19" t="n"/>
      <c r="K670" s="19" t="n"/>
      <c r="L670" s="19" t="n"/>
      <c r="M670" s="20" t="n"/>
      <c r="N670" s="123" t="n"/>
      <c r="O670" s="135">
        <f>DADOS_INVOC!$PW$42</f>
        <v/>
      </c>
      <c r="P670" s="19" t="n"/>
      <c r="Q670" s="19" t="n"/>
      <c r="R670" s="19" t="n"/>
      <c r="S670" s="20" t="n"/>
      <c r="T670" s="123" t="n"/>
      <c r="U670" s="135">
        <f>DADOS_INVOC!$PW$43</f>
        <v/>
      </c>
      <c r="V670" s="19" t="n"/>
      <c r="W670" s="19" t="n"/>
      <c r="X670" s="19" t="n"/>
      <c r="Y670" s="20" t="n"/>
      <c r="Z670" s="123" t="n"/>
      <c r="AB670" s="135">
        <f>DADOS_INVOC!$PW$119</f>
        <v/>
      </c>
      <c r="AC670" s="19" t="n"/>
      <c r="AD670" s="19" t="n"/>
      <c r="AE670" s="19" t="n"/>
      <c r="AF670" s="20" t="n"/>
      <c r="AG670" s="123" t="n"/>
      <c r="AH670" s="135">
        <f>DADOS_INVOC!$PW$120</f>
        <v/>
      </c>
      <c r="AI670" s="19" t="n"/>
      <c r="AJ670" s="19" t="n"/>
      <c r="AK670" s="19" t="n"/>
      <c r="AL670" s="20" t="n"/>
      <c r="AM670" s="123" t="n"/>
      <c r="AN670" s="135">
        <f>DADOS_INVOC!$PW$121</f>
        <v/>
      </c>
      <c r="AO670" s="19" t="n"/>
      <c r="AP670" s="19" t="n"/>
      <c r="AQ670" s="19" t="n"/>
      <c r="AR670" s="20" t="n"/>
      <c r="AS670" s="123" t="n"/>
    </row>
    <row r="671" hidden="1" outlineLevel="2">
      <c r="A671" s="8" t="n"/>
      <c r="B671" s="14" t="n"/>
      <c r="C671" s="123" t="n"/>
      <c r="D671" s="123" t="n"/>
      <c r="E671" s="123" t="n"/>
      <c r="F671" s="123" t="n"/>
      <c r="G671" s="123" t="n"/>
      <c r="I671" s="23" t="n"/>
      <c r="J671" s="24" t="n"/>
      <c r="K671" s="24" t="n"/>
      <c r="L671" s="24" t="n"/>
      <c r="M671" s="25" t="n"/>
      <c r="N671" s="123" t="n"/>
      <c r="O671" s="23" t="n"/>
      <c r="P671" s="24" t="n"/>
      <c r="Q671" s="24" t="n"/>
      <c r="R671" s="24" t="n"/>
      <c r="S671" s="25" t="n"/>
      <c r="T671" s="123" t="n"/>
      <c r="U671" s="23" t="n"/>
      <c r="V671" s="24" t="n"/>
      <c r="W671" s="24" t="n"/>
      <c r="X671" s="24" t="n"/>
      <c r="Y671" s="25" t="n"/>
      <c r="Z671" s="123" t="n"/>
      <c r="AB671" s="23" t="n"/>
      <c r="AC671" s="24" t="n"/>
      <c r="AD671" s="24" t="n"/>
      <c r="AE671" s="24" t="n"/>
      <c r="AF671" s="25" t="n"/>
      <c r="AG671" s="123" t="n"/>
      <c r="AH671" s="23" t="n"/>
      <c r="AI671" s="24" t="n"/>
      <c r="AJ671" s="24" t="n"/>
      <c r="AK671" s="24" t="n"/>
      <c r="AL671" s="25" t="n"/>
      <c r="AM671" s="123" t="n"/>
      <c r="AN671" s="23" t="n"/>
      <c r="AO671" s="24" t="n"/>
      <c r="AP671" s="24" t="n"/>
      <c r="AQ671" s="24" t="n"/>
      <c r="AR671" s="25" t="n"/>
      <c r="AS671" s="123" t="n"/>
    </row>
    <row r="672" hidden="1" outlineLevel="1">
      <c r="A672" s="8" t="n"/>
      <c r="B672" s="14" t="n"/>
      <c r="C672" s="123" t="n"/>
      <c r="D672" s="123" t="n"/>
      <c r="E672" s="123" t="n"/>
      <c r="F672" s="123" t="n"/>
      <c r="G672" s="123" t="n"/>
      <c r="I672" s="123" t="n"/>
      <c r="J672" s="123" t="n"/>
      <c r="K672" s="123" t="n"/>
      <c r="L672" s="123" t="n"/>
      <c r="M672" s="123" t="n"/>
      <c r="N672" s="123" t="n"/>
      <c r="O672" s="123" t="n"/>
      <c r="P672" s="123" t="n"/>
      <c r="Q672" s="123" t="n"/>
      <c r="R672" s="123" t="n"/>
      <c r="S672" s="123" t="n"/>
      <c r="T672" s="123" t="n"/>
      <c r="U672" s="123" t="n"/>
      <c r="V672" s="123" t="n"/>
      <c r="W672" s="123" t="n"/>
      <c r="X672" s="123" t="n"/>
      <c r="Y672" s="123" t="n"/>
      <c r="Z672" s="123" t="n"/>
      <c r="AB672" s="123" t="n"/>
      <c r="AC672" s="123" t="n"/>
      <c r="AD672" s="123" t="n"/>
      <c r="AE672" s="123" t="n"/>
      <c r="AF672" s="123" t="n"/>
      <c r="AG672" s="123" t="n"/>
      <c r="AH672" s="123" t="n"/>
      <c r="AI672" s="123" t="n"/>
      <c r="AJ672" s="123" t="n"/>
      <c r="AK672" s="123" t="n"/>
      <c r="AL672" s="123" t="n"/>
      <c r="AM672" s="123" t="n"/>
      <c r="AN672" s="123" t="n"/>
      <c r="AO672" s="123" t="n"/>
      <c r="AP672" s="123" t="n"/>
      <c r="AQ672" s="123" t="n"/>
      <c r="AR672" s="123" t="n"/>
      <c r="AS672" s="123" t="n"/>
    </row>
    <row r="673" hidden="1" outlineLevel="1">
      <c r="A673" s="8" t="n"/>
      <c r="B673" s="14" t="n"/>
      <c r="C673" s="123" t="n"/>
      <c r="D673" s="123" t="n"/>
      <c r="E673" s="123" t="n"/>
      <c r="F673" s="123" t="n"/>
      <c r="G673" s="123" t="n"/>
      <c r="I673" s="55">
        <f>DADOS_INVOC!$ID$5</f>
        <v/>
      </c>
      <c r="J673" s="16" t="n"/>
      <c r="K673" s="16" t="n"/>
      <c r="L673" s="16" t="n"/>
      <c r="M673" s="16" t="n"/>
      <c r="N673" s="16" t="n"/>
      <c r="O673" s="16" t="n"/>
      <c r="P673" s="16" t="n"/>
      <c r="Q673" s="16" t="n"/>
      <c r="R673" s="16" t="n"/>
      <c r="S673" s="16" t="n"/>
      <c r="T673" s="16" t="n"/>
      <c r="U673" s="16" t="n"/>
      <c r="V673" s="16" t="n"/>
      <c r="W673" s="16" t="n"/>
      <c r="X673" s="16" t="n"/>
      <c r="Y673" s="17" t="n"/>
      <c r="Z673" s="123" t="n"/>
      <c r="AB673" s="55">
        <f>DADOS_INVOC!$ID$11</f>
        <v/>
      </c>
      <c r="AC673" s="16" t="n"/>
      <c r="AD673" s="16" t="n"/>
      <c r="AE673" s="16" t="n"/>
      <c r="AF673" s="16" t="n"/>
      <c r="AG673" s="16" t="n"/>
      <c r="AH673" s="16" t="n"/>
      <c r="AI673" s="16" t="n"/>
      <c r="AJ673" s="16" t="n"/>
      <c r="AK673" s="16" t="n"/>
      <c r="AL673" s="16" t="n"/>
      <c r="AM673" s="16" t="n"/>
      <c r="AN673" s="16" t="n"/>
      <c r="AO673" s="16" t="n"/>
      <c r="AP673" s="16" t="n"/>
      <c r="AQ673" s="16" t="n"/>
      <c r="AR673" s="17" t="n"/>
      <c r="AS673" s="123" t="n"/>
    </row>
    <row r="674" hidden="1" outlineLevel="1">
      <c r="A674" s="8" t="n"/>
      <c r="B674" s="14" t="n"/>
      <c r="C674" s="123" t="n"/>
      <c r="D674" s="123" t="n"/>
      <c r="E674" s="123" t="n"/>
      <c r="F674" s="123" t="n"/>
      <c r="G674" s="123" t="n"/>
      <c r="I674" s="55" t="inlineStr">
        <is>
          <t>NV 1 · CE 1</t>
        </is>
      </c>
      <c r="J674" s="133" t="n"/>
      <c r="K674" s="16" t="n"/>
      <c r="L674" s="17" t="n"/>
      <c r="M674" s="140">
        <f>DADOS_INVOC!$IM$5</f>
        <v/>
      </c>
      <c r="N674" s="16" t="n"/>
      <c r="O674" s="16" t="n"/>
      <c r="P674" s="16" t="n"/>
      <c r="Q674" s="16" t="n"/>
      <c r="R674" s="16" t="n"/>
      <c r="S674" s="16" t="n"/>
      <c r="T674" s="16" t="n"/>
      <c r="U674" s="16" t="n"/>
      <c r="V674" s="16" t="n"/>
      <c r="W674" s="16" t="n"/>
      <c r="X674" s="16" t="n"/>
      <c r="Y674" s="17" t="n"/>
      <c r="Z674" s="123" t="n"/>
      <c r="AB674" s="55" t="inlineStr">
        <is>
          <t>NV 1 · CE 1</t>
        </is>
      </c>
      <c r="AC674" s="133" t="n"/>
      <c r="AD674" s="16" t="n"/>
      <c r="AE674" s="17" t="n"/>
      <c r="AF674" s="140">
        <f>DADOS_INVOC!$IM$11</f>
        <v/>
      </c>
      <c r="AG674" s="16" t="n"/>
      <c r="AH674" s="16" t="n"/>
      <c r="AI674" s="16" t="n"/>
      <c r="AJ674" s="16" t="n"/>
      <c r="AK674" s="16" t="n"/>
      <c r="AL674" s="16" t="n"/>
      <c r="AM674" s="16" t="n"/>
      <c r="AN674" s="16" t="n"/>
      <c r="AO674" s="16" t="n"/>
      <c r="AP674" s="16" t="n"/>
      <c r="AQ674" s="16" t="n"/>
      <c r="AR674" s="17" t="n"/>
      <c r="AS674" s="123" t="n"/>
    </row>
    <row r="675" hidden="1" outlineLevel="1">
      <c r="A675" s="8" t="n"/>
      <c r="B675" s="14" t="n"/>
      <c r="C675" s="123" t="n"/>
      <c r="D675" s="123" t="n"/>
      <c r="E675" s="123" t="n"/>
      <c r="F675" s="123" t="n"/>
      <c r="G675" s="123" t="n"/>
      <c r="I675" s="55" t="inlineStr">
        <is>
          <t>NV 6 · CE 1</t>
        </is>
      </c>
      <c r="J675" s="133" t="n"/>
      <c r="K675" s="16" t="n"/>
      <c r="L675" s="17" t="n"/>
      <c r="M675" s="140">
        <f>DADOS_INVOC!$IN$5</f>
        <v/>
      </c>
      <c r="N675" s="16" t="n"/>
      <c r="O675" s="16" t="n"/>
      <c r="P675" s="16" t="n"/>
      <c r="Q675" s="16" t="n"/>
      <c r="R675" s="16" t="n"/>
      <c r="S675" s="16" t="n"/>
      <c r="T675" s="16" t="n"/>
      <c r="U675" s="16" t="n"/>
      <c r="V675" s="16" t="n"/>
      <c r="W675" s="16" t="n"/>
      <c r="X675" s="16" t="n"/>
      <c r="Y675" s="17" t="n"/>
      <c r="Z675" s="123" t="n"/>
      <c r="AB675" s="55" t="inlineStr">
        <is>
          <t>NV 6 · CE 1</t>
        </is>
      </c>
      <c r="AC675" s="133" t="n"/>
      <c r="AD675" s="16" t="n"/>
      <c r="AE675" s="17" t="n"/>
      <c r="AF675" s="140">
        <f>DADOS_INVOC!$IN$11</f>
        <v/>
      </c>
      <c r="AG675" s="16" t="n"/>
      <c r="AH675" s="16" t="n"/>
      <c r="AI675" s="16" t="n"/>
      <c r="AJ675" s="16" t="n"/>
      <c r="AK675" s="16" t="n"/>
      <c r="AL675" s="16" t="n"/>
      <c r="AM675" s="16" t="n"/>
      <c r="AN675" s="16" t="n"/>
      <c r="AO675" s="16" t="n"/>
      <c r="AP675" s="16" t="n"/>
      <c r="AQ675" s="16" t="n"/>
      <c r="AR675" s="17" t="n"/>
      <c r="AS675" s="123" t="n"/>
    </row>
    <row r="676" hidden="1" outlineLevel="1">
      <c r="A676" s="8" t="n"/>
      <c r="B676" s="14" t="n"/>
      <c r="C676" s="123" t="n"/>
      <c r="D676" s="123" t="n"/>
      <c r="E676" s="123" t="n"/>
      <c r="F676" s="123" t="n"/>
      <c r="G676" s="123" t="n"/>
      <c r="I676" s="55" t="inlineStr">
        <is>
          <t>NV 10 · CE 2</t>
        </is>
      </c>
      <c r="J676" s="133" t="n"/>
      <c r="K676" s="16" t="n"/>
      <c r="L676" s="17" t="n"/>
      <c r="M676" s="140">
        <f>DADOS_INVOC!$IO$5</f>
        <v/>
      </c>
      <c r="N676" s="16" t="n"/>
      <c r="O676" s="16" t="n"/>
      <c r="P676" s="16" t="n"/>
      <c r="Q676" s="16" t="n"/>
      <c r="R676" s="16" t="n"/>
      <c r="S676" s="16" t="n"/>
      <c r="T676" s="16" t="n"/>
      <c r="U676" s="16" t="n"/>
      <c r="V676" s="16" t="n"/>
      <c r="W676" s="16" t="n"/>
      <c r="X676" s="16" t="n"/>
      <c r="Y676" s="17" t="n"/>
      <c r="Z676" s="123" t="n"/>
      <c r="AB676" s="55" t="inlineStr">
        <is>
          <t>NV 10 · CE 2</t>
        </is>
      </c>
      <c r="AC676" s="133" t="n"/>
      <c r="AD676" s="16" t="n"/>
      <c r="AE676" s="17" t="n"/>
      <c r="AF676" s="140">
        <f>DADOS_INVOC!$IO$11</f>
        <v/>
      </c>
      <c r="AG676" s="16" t="n"/>
      <c r="AH676" s="16" t="n"/>
      <c r="AI676" s="16" t="n"/>
      <c r="AJ676" s="16" t="n"/>
      <c r="AK676" s="16" t="n"/>
      <c r="AL676" s="16" t="n"/>
      <c r="AM676" s="16" t="n"/>
      <c r="AN676" s="16" t="n"/>
      <c r="AO676" s="16" t="n"/>
      <c r="AP676" s="16" t="n"/>
      <c r="AQ676" s="16" t="n"/>
      <c r="AR676" s="17" t="n"/>
      <c r="AS676" s="123" t="n"/>
    </row>
    <row r="677" hidden="1" outlineLevel="1">
      <c r="A677" s="8" t="n"/>
      <c r="B677" s="14" t="n"/>
      <c r="C677" s="123" t="n"/>
      <c r="D677" s="123" t="n"/>
      <c r="E677" s="123" t="n"/>
      <c r="F677" s="123" t="n"/>
      <c r="G677" s="123" t="n"/>
      <c r="I677" s="55" t="inlineStr">
        <is>
          <t>NV 14 · CE 3</t>
        </is>
      </c>
      <c r="J677" s="133" t="n"/>
      <c r="K677" s="16" t="n"/>
      <c r="L677" s="17" t="n"/>
      <c r="M677" s="140">
        <f>DADOS_INVOC!$IP$5</f>
        <v/>
      </c>
      <c r="N677" s="16" t="n"/>
      <c r="O677" s="16" t="n"/>
      <c r="P677" s="16" t="n"/>
      <c r="Q677" s="16" t="n"/>
      <c r="R677" s="16" t="n"/>
      <c r="S677" s="16" t="n"/>
      <c r="T677" s="16" t="n"/>
      <c r="U677" s="16" t="n"/>
      <c r="V677" s="16" t="n"/>
      <c r="W677" s="16" t="n"/>
      <c r="X677" s="16" t="n"/>
      <c r="Y677" s="17" t="n"/>
      <c r="Z677" s="123" t="n"/>
      <c r="AB677" s="55" t="inlineStr">
        <is>
          <t>NV 14 · CE 3</t>
        </is>
      </c>
      <c r="AC677" s="133" t="n"/>
      <c r="AD677" s="16" t="n"/>
      <c r="AE677" s="17" t="n"/>
      <c r="AF677" s="140">
        <f>DADOS_INVOC!$IP$11</f>
        <v/>
      </c>
      <c r="AG677" s="16" t="n"/>
      <c r="AH677" s="16" t="n"/>
      <c r="AI677" s="16" t="n"/>
      <c r="AJ677" s="16" t="n"/>
      <c r="AK677" s="16" t="n"/>
      <c r="AL677" s="16" t="n"/>
      <c r="AM677" s="16" t="n"/>
      <c r="AN677" s="16" t="n"/>
      <c r="AO677" s="16" t="n"/>
      <c r="AP677" s="16" t="n"/>
      <c r="AQ677" s="16" t="n"/>
      <c r="AR677" s="17" t="n"/>
      <c r="AS677" s="123" t="n"/>
    </row>
    <row r="678" hidden="1" outlineLevel="1">
      <c r="A678" s="8" t="n"/>
      <c r="B678" s="14" t="n"/>
      <c r="C678" s="123" t="n"/>
      <c r="D678" s="123" t="n"/>
      <c r="E678" s="123" t="n"/>
      <c r="F678" s="123" t="n"/>
      <c r="G678" s="123" t="n"/>
      <c r="I678" s="55" t="inlineStr">
        <is>
          <t>NV 18 · CE 3</t>
        </is>
      </c>
      <c r="J678" s="133" t="n"/>
      <c r="K678" s="16" t="n"/>
      <c r="L678" s="17" t="n"/>
      <c r="M678" s="140">
        <f>DADOS_INVOC!$IQ$5</f>
        <v/>
      </c>
      <c r="N678" s="16" t="n"/>
      <c r="O678" s="16" t="n"/>
      <c r="P678" s="16" t="n"/>
      <c r="Q678" s="16" t="n"/>
      <c r="R678" s="16" t="n"/>
      <c r="S678" s="16" t="n"/>
      <c r="T678" s="16" t="n"/>
      <c r="U678" s="16" t="n"/>
      <c r="V678" s="16" t="n"/>
      <c r="W678" s="16" t="n"/>
      <c r="X678" s="16" t="n"/>
      <c r="Y678" s="17" t="n"/>
      <c r="Z678" s="123" t="n"/>
      <c r="AB678" s="55" t="inlineStr">
        <is>
          <t>NV 18 · CE 3</t>
        </is>
      </c>
      <c r="AC678" s="133" t="n"/>
      <c r="AD678" s="16" t="n"/>
      <c r="AE678" s="17" t="n"/>
      <c r="AF678" s="140">
        <f>DADOS_INVOC!$IQ$11</f>
        <v/>
      </c>
      <c r="AG678" s="16" t="n"/>
      <c r="AH678" s="16" t="n"/>
      <c r="AI678" s="16" t="n"/>
      <c r="AJ678" s="16" t="n"/>
      <c r="AK678" s="16" t="n"/>
      <c r="AL678" s="16" t="n"/>
      <c r="AM678" s="16" t="n"/>
      <c r="AN678" s="16" t="n"/>
      <c r="AO678" s="16" t="n"/>
      <c r="AP678" s="16" t="n"/>
      <c r="AQ678" s="16" t="n"/>
      <c r="AR678" s="17" t="n"/>
      <c r="AS678" s="123" t="n"/>
    </row>
    <row r="679" hidden="1" outlineLevel="1">
      <c r="A679" s="8" t="n"/>
      <c r="B679" s="14" t="n"/>
      <c r="C679" s="123" t="n"/>
      <c r="D679" s="123" t="n"/>
      <c r="E679" s="123" t="n"/>
      <c r="F679" s="123" t="n"/>
      <c r="G679" s="123" t="n"/>
      <c r="I679" s="55" t="inlineStr">
        <is>
          <t>NV 22 · CE 3</t>
        </is>
      </c>
      <c r="J679" s="133" t="n"/>
      <c r="K679" s="16" t="n"/>
      <c r="L679" s="17" t="n"/>
      <c r="M679" s="140">
        <f>DADOS_INVOC!$IR$5</f>
        <v/>
      </c>
      <c r="N679" s="16" t="n"/>
      <c r="O679" s="16" t="n"/>
      <c r="P679" s="16" t="n"/>
      <c r="Q679" s="16" t="n"/>
      <c r="R679" s="16" t="n"/>
      <c r="S679" s="16" t="n"/>
      <c r="T679" s="16" t="n"/>
      <c r="U679" s="16" t="n"/>
      <c r="V679" s="16" t="n"/>
      <c r="W679" s="16" t="n"/>
      <c r="X679" s="16" t="n"/>
      <c r="Y679" s="17" t="n"/>
      <c r="Z679" s="123" t="n"/>
      <c r="AB679" s="55" t="inlineStr">
        <is>
          <t>NV 22 · CE 3</t>
        </is>
      </c>
      <c r="AC679" s="133" t="n"/>
      <c r="AD679" s="16" t="n"/>
      <c r="AE679" s="17" t="n"/>
      <c r="AF679" s="140">
        <f>DADOS_INVOC!$IR$11</f>
        <v/>
      </c>
      <c r="AG679" s="16" t="n"/>
      <c r="AH679" s="16" t="n"/>
      <c r="AI679" s="16" t="n"/>
      <c r="AJ679" s="16" t="n"/>
      <c r="AK679" s="16" t="n"/>
      <c r="AL679" s="16" t="n"/>
      <c r="AM679" s="16" t="n"/>
      <c r="AN679" s="16" t="n"/>
      <c r="AO679" s="16" t="n"/>
      <c r="AP679" s="16" t="n"/>
      <c r="AQ679" s="16" t="n"/>
      <c r="AR679" s="17" t="n"/>
      <c r="AS679" s="123" t="n"/>
    </row>
    <row r="680" hidden="1" outlineLevel="1">
      <c r="A680" s="8" t="n"/>
      <c r="B680" s="14" t="n"/>
      <c r="C680" s="123" t="n"/>
      <c r="D680" s="123" t="n"/>
      <c r="E680" s="123" t="n"/>
      <c r="F680" s="123" t="n"/>
      <c r="G680" s="123" t="n"/>
      <c r="I680" s="55" t="inlineStr">
        <is>
          <t>NV 26 · CE 3</t>
        </is>
      </c>
      <c r="J680" s="133" t="n"/>
      <c r="K680" s="16" t="n"/>
      <c r="L680" s="17" t="n"/>
      <c r="M680" s="140">
        <f>DADOS_INVOC!$IS$5</f>
        <v/>
      </c>
      <c r="N680" s="16" t="n"/>
      <c r="O680" s="16" t="n"/>
      <c r="P680" s="16" t="n"/>
      <c r="Q680" s="16" t="n"/>
      <c r="R680" s="16" t="n"/>
      <c r="S680" s="16" t="n"/>
      <c r="T680" s="16" t="n"/>
      <c r="U680" s="16" t="n"/>
      <c r="V680" s="16" t="n"/>
      <c r="W680" s="16" t="n"/>
      <c r="X680" s="16" t="n"/>
      <c r="Y680" s="17" t="n"/>
      <c r="Z680" s="123" t="n"/>
      <c r="AB680" s="55" t="inlineStr">
        <is>
          <t>NV 26 · CE 3</t>
        </is>
      </c>
      <c r="AC680" s="133" t="n"/>
      <c r="AD680" s="16" t="n"/>
      <c r="AE680" s="17" t="n"/>
      <c r="AF680" s="140">
        <f>DADOS_INVOC!$IS$11</f>
        <v/>
      </c>
      <c r="AG680" s="16" t="n"/>
      <c r="AH680" s="16" t="n"/>
      <c r="AI680" s="16" t="n"/>
      <c r="AJ680" s="16" t="n"/>
      <c r="AK680" s="16" t="n"/>
      <c r="AL680" s="16" t="n"/>
      <c r="AM680" s="16" t="n"/>
      <c r="AN680" s="16" t="n"/>
      <c r="AO680" s="16" t="n"/>
      <c r="AP680" s="16" t="n"/>
      <c r="AQ680" s="16" t="n"/>
      <c r="AR680" s="17" t="n"/>
      <c r="AS680" s="123" t="n"/>
    </row>
    <row r="681" hidden="1" outlineLevel="1">
      <c r="A681" s="8" t="n"/>
      <c r="B681" s="14" t="n"/>
      <c r="C681" s="123" t="n"/>
      <c r="D681" s="123" t="n"/>
      <c r="E681" s="123" t="n"/>
      <c r="F681" s="123" t="n"/>
      <c r="G681" s="123" t="n"/>
      <c r="I681" s="55" t="inlineStr">
        <is>
          <t>NV 30 · CE 3</t>
        </is>
      </c>
      <c r="J681" s="133" t="n"/>
      <c r="K681" s="16" t="n"/>
      <c r="L681" s="17" t="n"/>
      <c r="M681" s="140">
        <f>DADOS_INVOC!$IT$5</f>
        <v/>
      </c>
      <c r="N681" s="16" t="n"/>
      <c r="O681" s="16" t="n"/>
      <c r="P681" s="16" t="n"/>
      <c r="Q681" s="16" t="n"/>
      <c r="R681" s="16" t="n"/>
      <c r="S681" s="16" t="n"/>
      <c r="T681" s="16" t="n"/>
      <c r="U681" s="16" t="n"/>
      <c r="V681" s="16" t="n"/>
      <c r="W681" s="16" t="n"/>
      <c r="X681" s="16" t="n"/>
      <c r="Y681" s="17" t="n"/>
      <c r="Z681" s="123" t="n"/>
      <c r="AB681" s="55" t="inlineStr">
        <is>
          <t>NV 30 · CE 3</t>
        </is>
      </c>
      <c r="AC681" s="133" t="n"/>
      <c r="AD681" s="16" t="n"/>
      <c r="AE681" s="17" t="n"/>
      <c r="AF681" s="140">
        <f>DADOS_INVOC!$IT$11</f>
        <v/>
      </c>
      <c r="AG681" s="16" t="n"/>
      <c r="AH681" s="16" t="n"/>
      <c r="AI681" s="16" t="n"/>
      <c r="AJ681" s="16" t="n"/>
      <c r="AK681" s="16" t="n"/>
      <c r="AL681" s="16" t="n"/>
      <c r="AM681" s="16" t="n"/>
      <c r="AN681" s="16" t="n"/>
      <c r="AO681" s="16" t="n"/>
      <c r="AP681" s="16" t="n"/>
      <c r="AQ681" s="16" t="n"/>
      <c r="AR681" s="17" t="n"/>
      <c r="AS681" s="123" t="n"/>
    </row>
    <row r="682" hidden="1" outlineLevel="1">
      <c r="A682" s="8" t="n"/>
      <c r="B682" s="14" t="n"/>
      <c r="C682" s="123" t="n"/>
      <c r="D682" s="123" t="n"/>
      <c r="E682" s="123" t="n"/>
      <c r="F682" s="123" t="n"/>
      <c r="G682" s="123" t="n"/>
      <c r="I682" s="123" t="n"/>
      <c r="J682" s="123" t="n"/>
      <c r="K682" s="123" t="n"/>
      <c r="L682" s="123" t="n"/>
      <c r="M682" s="123" t="n"/>
      <c r="N682" s="123" t="n"/>
      <c r="O682" s="123" t="n"/>
      <c r="P682" s="123" t="n"/>
      <c r="Q682" s="123" t="n"/>
      <c r="R682" s="123" t="n"/>
      <c r="S682" s="123" t="n"/>
      <c r="T682" s="123" t="n"/>
      <c r="U682" s="123" t="n"/>
      <c r="V682" s="123" t="n"/>
      <c r="W682" s="123" t="n"/>
      <c r="X682" s="123" t="n"/>
      <c r="Y682" s="123" t="n"/>
      <c r="Z682" s="123" t="n"/>
      <c r="AB682" s="123" t="n"/>
      <c r="AC682" s="123" t="n"/>
      <c r="AD682" s="123" t="n"/>
      <c r="AE682" s="123" t="n"/>
      <c r="AF682" s="123" t="n"/>
      <c r="AG682" s="123" t="n"/>
      <c r="AH682" s="123" t="n"/>
      <c r="AI682" s="123" t="n"/>
      <c r="AJ682" s="123" t="n"/>
      <c r="AK682" s="123" t="n"/>
      <c r="AL682" s="123" t="n"/>
      <c r="AM682" s="123" t="n"/>
      <c r="AN682" s="123" t="n"/>
      <c r="AO682" s="123" t="n"/>
      <c r="AP682" s="123" t="n"/>
      <c r="AQ682" s="123" t="n"/>
      <c r="AR682" s="123" t="n"/>
      <c r="AS682" s="123" t="n"/>
    </row>
    <row r="683" hidden="1" outlineLevel="1">
      <c r="A683" s="8" t="n"/>
      <c r="B683" s="14" t="n"/>
      <c r="C683" s="123" t="n"/>
      <c r="D683" s="123" t="n"/>
      <c r="E683" s="123" t="n"/>
      <c r="F683" s="123" t="n"/>
      <c r="G683" s="123" t="n"/>
      <c r="I683" s="136"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23" t="n"/>
      <c r="AB683" s="136"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23" t="n"/>
    </row>
    <row r="684" hidden="1" outlineLevel="2">
      <c r="A684" s="8" t="n"/>
      <c r="B684" s="14" t="n"/>
      <c r="C684" s="123" t="n"/>
      <c r="D684" s="123" t="n"/>
      <c r="E684" s="123" t="n"/>
      <c r="F684" s="123" t="n"/>
      <c r="G684" s="123" t="n"/>
      <c r="I684" s="123" t="n"/>
      <c r="J684" s="123" t="n"/>
      <c r="K684" s="123" t="n"/>
      <c r="L684" s="123" t="n"/>
      <c r="M684" s="123" t="n"/>
      <c r="N684" s="123" t="n"/>
      <c r="O684" s="123" t="n"/>
      <c r="P684" s="123" t="n"/>
      <c r="Q684" s="123" t="n"/>
      <c r="R684" s="123" t="n"/>
      <c r="S684" s="123" t="n"/>
      <c r="T684" s="123" t="n"/>
      <c r="U684" s="123" t="n"/>
      <c r="V684" s="123" t="n"/>
      <c r="W684" s="123" t="n"/>
      <c r="X684" s="123" t="n"/>
      <c r="Y684" s="123" t="n"/>
      <c r="Z684" s="123" t="n"/>
      <c r="AB684" s="123" t="n"/>
      <c r="AC684" s="123" t="n"/>
      <c r="AD684" s="123" t="n"/>
      <c r="AE684" s="123" t="n"/>
      <c r="AF684" s="123" t="n"/>
      <c r="AG684" s="123" t="n"/>
      <c r="AH684" s="123" t="n"/>
      <c r="AI684" s="123" t="n"/>
      <c r="AJ684" s="123" t="n"/>
      <c r="AK684" s="123" t="n"/>
      <c r="AL684" s="123" t="n"/>
      <c r="AM684" s="123" t="n"/>
      <c r="AN684" s="123" t="n"/>
      <c r="AO684" s="123" t="n"/>
      <c r="AP684" s="123" t="n"/>
      <c r="AQ684" s="123" t="n"/>
      <c r="AR684" s="123" t="n"/>
      <c r="AS684" s="123" t="n"/>
    </row>
    <row r="685" hidden="1" outlineLevel="2">
      <c r="A685" s="8" t="n"/>
      <c r="B685" s="14" t="n"/>
      <c r="C685" s="123" t="n"/>
      <c r="D685" s="123" t="n"/>
      <c r="E685" s="123" t="n"/>
      <c r="F685" s="123" t="n"/>
      <c r="G685" s="123" t="n"/>
      <c r="I685" s="55">
        <f>DADOS_INVOC!$PX$44</f>
        <v/>
      </c>
      <c r="J685" s="16" t="n"/>
      <c r="K685" s="16" t="n"/>
      <c r="L685" s="16" t="n"/>
      <c r="M685" s="17" t="n"/>
      <c r="N685" s="123" t="n"/>
      <c r="O685" s="55">
        <f>DADOS_INVOC!$PX$45</f>
        <v/>
      </c>
      <c r="P685" s="16" t="n"/>
      <c r="Q685" s="16" t="n"/>
      <c r="R685" s="16" t="n"/>
      <c r="S685" s="17" t="n"/>
      <c r="T685" s="123" t="n"/>
      <c r="U685" s="55">
        <f>DADOS_INVOC!$PX$46</f>
        <v/>
      </c>
      <c r="V685" s="16" t="n"/>
      <c r="W685" s="16" t="n"/>
      <c r="X685" s="16" t="n"/>
      <c r="Y685" s="17" t="n"/>
      <c r="Z685" s="123" t="n"/>
      <c r="AB685" s="55">
        <f>DADOS_INVOC!$PX$122</f>
        <v/>
      </c>
      <c r="AC685" s="16" t="n"/>
      <c r="AD685" s="16" t="n"/>
      <c r="AE685" s="16" t="n"/>
      <c r="AF685" s="17" t="n"/>
      <c r="AG685" s="123" t="n"/>
      <c r="AH685" s="55">
        <f>DADOS_INVOC!$PX$123</f>
        <v/>
      </c>
      <c r="AI685" s="16" t="n"/>
      <c r="AJ685" s="16" t="n"/>
      <c r="AK685" s="16" t="n"/>
      <c r="AL685" s="17" t="n"/>
      <c r="AM685" s="123" t="n"/>
      <c r="AN685" s="55">
        <f>DADOS_INVOC!$PX$124</f>
        <v/>
      </c>
      <c r="AO685" s="16" t="n"/>
      <c r="AP685" s="16" t="n"/>
      <c r="AQ685" s="16" t="n"/>
      <c r="AR685" s="17" t="n"/>
      <c r="AS685" s="123" t="n"/>
    </row>
    <row r="686" hidden="1" outlineLevel="2">
      <c r="A686" s="8" t="n"/>
      <c r="B686" s="14" t="n"/>
      <c r="C686" s="123" t="n"/>
      <c r="D686" s="123" t="n"/>
      <c r="E686" s="123" t="n"/>
      <c r="F686" s="123" t="n"/>
      <c r="G686" s="123" t="n"/>
      <c r="I686" s="130" t="n">
        <v>0</v>
      </c>
      <c r="J686" s="118" t="n"/>
      <c r="K686" s="16" t="n"/>
      <c r="L686" s="17" t="n"/>
      <c r="M686" s="131">
        <f>DADOS_INVOC!$PV$44</f>
        <v/>
      </c>
      <c r="N686" s="123" t="n"/>
      <c r="O686" s="130" t="n">
        <v>1</v>
      </c>
      <c r="P686" s="118" t="n"/>
      <c r="Q686" s="16" t="n"/>
      <c r="R686" s="17" t="n"/>
      <c r="S686" s="131">
        <f>DADOS_INVOC!$PV$45</f>
        <v/>
      </c>
      <c r="T686" s="123" t="n"/>
      <c r="U686" s="130" t="n">
        <v>1</v>
      </c>
      <c r="V686" s="118" t="n"/>
      <c r="W686" s="16" t="n"/>
      <c r="X686" s="17" t="n"/>
      <c r="Y686" s="131">
        <f>DADOS_INVOC!$PV$46</f>
        <v/>
      </c>
      <c r="Z686" s="123" t="n"/>
      <c r="AB686" s="130" t="n">
        <v>0</v>
      </c>
      <c r="AC686" s="118" t="n"/>
      <c r="AD686" s="16" t="n"/>
      <c r="AE686" s="17" t="n"/>
      <c r="AF686" s="131">
        <f>DADOS_INVOC!$PV$122</f>
        <v/>
      </c>
      <c r="AG686" s="123" t="n"/>
      <c r="AH686" s="130" t="n">
        <v>1</v>
      </c>
      <c r="AI686" s="118" t="n"/>
      <c r="AJ686" s="16" t="n"/>
      <c r="AK686" s="17" t="n"/>
      <c r="AL686" s="131">
        <f>DADOS_INVOC!$PV$123</f>
        <v/>
      </c>
      <c r="AM686" s="123" t="n"/>
      <c r="AN686" s="130" t="n">
        <v>1</v>
      </c>
      <c r="AO686" s="118" t="n"/>
      <c r="AP686" s="16" t="n"/>
      <c r="AQ686" s="17" t="n"/>
      <c r="AR686" s="131">
        <f>DADOS_INVOC!$PV$124</f>
        <v/>
      </c>
      <c r="AS686" s="123" t="n"/>
    </row>
    <row r="687" hidden="1" outlineLevel="3">
      <c r="A687" s="8" t="n"/>
      <c r="B687" s="14" t="n"/>
      <c r="C687" s="123" t="n"/>
      <c r="D687" s="123" t="n"/>
      <c r="E687" s="123" t="n"/>
      <c r="F687" s="123" t="n"/>
      <c r="G687" s="123" t="n"/>
      <c r="I687" s="55" t="inlineStr">
        <is>
          <t>COMO É</t>
        </is>
      </c>
      <c r="J687" s="16" t="n"/>
      <c r="K687" s="16" t="n"/>
      <c r="L687" s="16" t="n"/>
      <c r="M687" s="17" t="n"/>
      <c r="N687" s="123" t="n"/>
      <c r="O687" s="55" t="inlineStr">
        <is>
          <t>COMO É</t>
        </is>
      </c>
      <c r="P687" s="16" t="n"/>
      <c r="Q687" s="16" t="n"/>
      <c r="R687" s="16" t="n"/>
      <c r="S687" s="17" t="n"/>
      <c r="T687" s="123" t="n"/>
      <c r="U687" s="55" t="inlineStr">
        <is>
          <t>COMO É</t>
        </is>
      </c>
      <c r="V687" s="16" t="n"/>
      <c r="W687" s="16" t="n"/>
      <c r="X687" s="16" t="n"/>
      <c r="Y687" s="17" t="n"/>
      <c r="Z687" s="123" t="n"/>
      <c r="AB687" s="55" t="inlineStr">
        <is>
          <t>COMO É</t>
        </is>
      </c>
      <c r="AC687" s="16" t="n"/>
      <c r="AD687" s="16" t="n"/>
      <c r="AE687" s="16" t="n"/>
      <c r="AF687" s="17" t="n"/>
      <c r="AG687" s="123" t="n"/>
      <c r="AH687" s="55" t="inlineStr">
        <is>
          <t>COMO É</t>
        </is>
      </c>
      <c r="AI687" s="16" t="n"/>
      <c r="AJ687" s="16" t="n"/>
      <c r="AK687" s="16" t="n"/>
      <c r="AL687" s="17" t="n"/>
      <c r="AM687" s="123" t="n"/>
      <c r="AN687" s="55" t="inlineStr">
        <is>
          <t>COMO É</t>
        </is>
      </c>
      <c r="AO687" s="16" t="n"/>
      <c r="AP687" s="16" t="n"/>
      <c r="AQ687" s="16" t="n"/>
      <c r="AR687" s="17" t="n"/>
      <c r="AS687" s="123" t="n"/>
    </row>
    <row r="688" hidden="1" outlineLevel="3">
      <c r="A688" s="8" t="n"/>
      <c r="B688" s="14" t="n"/>
      <c r="C688" s="123" t="n"/>
      <c r="D688" s="123" t="n"/>
      <c r="E688" s="123" t="n"/>
      <c r="F688" s="123" t="n"/>
      <c r="G688" s="123" t="n"/>
      <c r="I688" s="119" t="n"/>
      <c r="J688" s="19" t="n"/>
      <c r="K688" s="19" t="n"/>
      <c r="L688" s="19" t="n"/>
      <c r="M688" s="20" t="n"/>
      <c r="N688" s="123" t="n"/>
      <c r="O688" s="119" t="n"/>
      <c r="P688" s="19" t="n"/>
      <c r="Q688" s="19" t="n"/>
      <c r="R688" s="19" t="n"/>
      <c r="S688" s="20" t="n"/>
      <c r="T688" s="123" t="n"/>
      <c r="U688" s="119" t="n"/>
      <c r="V688" s="19" t="n"/>
      <c r="W688" s="19" t="n"/>
      <c r="X688" s="19" t="n"/>
      <c r="Y688" s="20" t="n"/>
      <c r="Z688" s="123" t="n"/>
      <c r="AB688" s="119" t="n"/>
      <c r="AC688" s="19" t="n"/>
      <c r="AD688" s="19" t="n"/>
      <c r="AE688" s="19" t="n"/>
      <c r="AF688" s="20" t="n"/>
      <c r="AG688" s="123" t="n"/>
      <c r="AH688" s="119" t="n"/>
      <c r="AI688" s="19" t="n"/>
      <c r="AJ688" s="19" t="n"/>
      <c r="AK688" s="19" t="n"/>
      <c r="AL688" s="20" t="n"/>
      <c r="AM688" s="123" t="n"/>
      <c r="AN688" s="119" t="n"/>
      <c r="AO688" s="19" t="n"/>
      <c r="AP688" s="19" t="n"/>
      <c r="AQ688" s="19" t="n"/>
      <c r="AR688" s="20" t="n"/>
      <c r="AS688" s="123" t="n"/>
    </row>
    <row r="689" hidden="1" outlineLevel="3">
      <c r="A689" s="8" t="n"/>
      <c r="B689" s="14" t="n"/>
      <c r="C689" s="123" t="n"/>
      <c r="D689" s="123" t="n"/>
      <c r="E689" s="123" t="n"/>
      <c r="F689" s="123" t="n"/>
      <c r="G689" s="123" t="n"/>
      <c r="I689" s="21" t="n"/>
      <c r="M689" s="22" t="n"/>
      <c r="N689" s="123" t="n"/>
      <c r="O689" s="21" t="n"/>
      <c r="S689" s="22" t="n"/>
      <c r="T689" s="123" t="n"/>
      <c r="U689" s="21" t="n"/>
      <c r="Y689" s="22" t="n"/>
      <c r="Z689" s="123" t="n"/>
      <c r="AB689" s="21" t="n"/>
      <c r="AF689" s="22" t="n"/>
      <c r="AG689" s="123" t="n"/>
      <c r="AH689" s="21" t="n"/>
      <c r="AL689" s="22" t="n"/>
      <c r="AM689" s="123" t="n"/>
      <c r="AN689" s="21" t="n"/>
      <c r="AR689" s="22" t="n"/>
      <c r="AS689" s="123" t="n"/>
    </row>
    <row r="690" hidden="1" outlineLevel="3">
      <c r="A690" s="8" t="n"/>
      <c r="B690" s="14" t="n"/>
      <c r="C690" s="123" t="n"/>
      <c r="D690" s="123" t="n"/>
      <c r="E690" s="123" t="n"/>
      <c r="F690" s="123" t="n"/>
      <c r="G690" s="123" t="n"/>
      <c r="I690" s="23" t="n"/>
      <c r="J690" s="24" t="n"/>
      <c r="K690" s="24" t="n"/>
      <c r="L690" s="24" t="n"/>
      <c r="M690" s="25" t="n"/>
      <c r="N690" s="123" t="n"/>
      <c r="O690" s="23" t="n"/>
      <c r="P690" s="24" t="n"/>
      <c r="Q690" s="24" t="n"/>
      <c r="R690" s="24" t="n"/>
      <c r="S690" s="25" t="n"/>
      <c r="T690" s="123" t="n"/>
      <c r="U690" s="23" t="n"/>
      <c r="V690" s="24" t="n"/>
      <c r="W690" s="24" t="n"/>
      <c r="X690" s="24" t="n"/>
      <c r="Y690" s="25" t="n"/>
      <c r="Z690" s="123" t="n"/>
      <c r="AB690" s="23" t="n"/>
      <c r="AC690" s="24" t="n"/>
      <c r="AD690" s="24" t="n"/>
      <c r="AE690" s="24" t="n"/>
      <c r="AF690" s="25" t="n"/>
      <c r="AG690" s="123" t="n"/>
      <c r="AH690" s="23" t="n"/>
      <c r="AI690" s="24" t="n"/>
      <c r="AJ690" s="24" t="n"/>
      <c r="AK690" s="24" t="n"/>
      <c r="AL690" s="25" t="n"/>
      <c r="AM690" s="123" t="n"/>
      <c r="AN690" s="23" t="n"/>
      <c r="AO690" s="24" t="n"/>
      <c r="AP690" s="24" t="n"/>
      <c r="AQ690" s="24" t="n"/>
      <c r="AR690" s="25" t="n"/>
      <c r="AS690" s="123" t="n"/>
    </row>
    <row r="691" hidden="1" outlineLevel="2">
      <c r="A691" s="8" t="n"/>
      <c r="B691" s="14" t="n"/>
      <c r="C691" s="123" t="n"/>
      <c r="D691" s="123" t="n"/>
      <c r="E691" s="123" t="n"/>
      <c r="F691" s="123" t="n"/>
      <c r="G691" s="123" t="n"/>
      <c r="I691" s="127" t="inlineStr">
        <is>
          <t>Projétil</t>
        </is>
      </c>
      <c r="J691" s="17" t="n"/>
      <c r="K691" s="68">
        <f>DADOS_INVOC!$QC$44</f>
        <v/>
      </c>
      <c r="L691" s="17" t="n"/>
      <c r="M691" s="68">
        <f>DADOS_INVOC!$PY$44</f>
        <v/>
      </c>
      <c r="N691" s="123" t="n"/>
      <c r="O691" s="127" t="inlineStr">
        <is>
          <t>Projétil</t>
        </is>
      </c>
      <c r="P691" s="17" t="n"/>
      <c r="Q691" s="68">
        <f>DADOS_INVOC!$QC$45</f>
        <v/>
      </c>
      <c r="R691" s="17" t="n"/>
      <c r="S691" s="68">
        <f>DADOS_INVOC!$PY$45</f>
        <v/>
      </c>
      <c r="T691" s="123" t="n"/>
      <c r="U691" s="127" t="inlineStr">
        <is>
          <t>Projétil</t>
        </is>
      </c>
      <c r="V691" s="17" t="n"/>
      <c r="W691" s="68">
        <f>DADOS_INVOC!$QC$46</f>
        <v/>
      </c>
      <c r="X691" s="17" t="n"/>
      <c r="Y691" s="68">
        <f>DADOS_INVOC!$PY$46</f>
        <v/>
      </c>
      <c r="Z691" s="123" t="n"/>
      <c r="AB691" s="127" t="inlineStr">
        <is>
          <t>Projétil</t>
        </is>
      </c>
      <c r="AC691" s="17" t="n"/>
      <c r="AD691" s="68">
        <f>DADOS_INVOC!$QC$122</f>
        <v/>
      </c>
      <c r="AE691" s="17" t="n"/>
      <c r="AF691" s="68">
        <f>DADOS_INVOC!$PY$122</f>
        <v/>
      </c>
      <c r="AG691" s="123" t="n"/>
      <c r="AH691" s="127" t="inlineStr">
        <is>
          <t>Projétil</t>
        </is>
      </c>
      <c r="AI691" s="17" t="n"/>
      <c r="AJ691" s="68">
        <f>DADOS_INVOC!$QC$123</f>
        <v/>
      </c>
      <c r="AK691" s="17" t="n"/>
      <c r="AL691" s="68">
        <f>DADOS_INVOC!$PY$123</f>
        <v/>
      </c>
      <c r="AM691" s="123" t="n"/>
      <c r="AN691" s="127" t="inlineStr">
        <is>
          <t>Projétil</t>
        </is>
      </c>
      <c r="AO691" s="17" t="n"/>
      <c r="AP691" s="68">
        <f>DADOS_INVOC!$QC$124</f>
        <v/>
      </c>
      <c r="AQ691" s="17" t="n"/>
      <c r="AR691" s="68">
        <f>DADOS_INVOC!$PY$124</f>
        <v/>
      </c>
      <c r="AS691" s="123" t="n"/>
    </row>
    <row r="692" hidden="1" outlineLevel="2">
      <c r="A692" s="8" t="n"/>
      <c r="B692" s="14" t="n"/>
      <c r="C692" s="123" t="n"/>
      <c r="D692" s="123" t="n"/>
      <c r="E692" s="123" t="n"/>
      <c r="F692" s="123" t="n"/>
      <c r="G692" s="123" t="n"/>
      <c r="I692" s="127" t="n"/>
      <c r="J692" s="17" t="n"/>
      <c r="K692" s="127" t="n"/>
      <c r="L692" s="16" t="n"/>
      <c r="M692" s="17" t="n"/>
      <c r="N692" s="123" t="n"/>
      <c r="O692" s="127" t="n"/>
      <c r="P692" s="17" t="n"/>
      <c r="Q692" s="127" t="n"/>
      <c r="R692" s="16" t="n"/>
      <c r="S692" s="17" t="n"/>
      <c r="T692" s="123" t="n"/>
      <c r="U692" s="127" t="n"/>
      <c r="V692" s="17" t="n"/>
      <c r="W692" s="127" t="n"/>
      <c r="X692" s="16" t="n"/>
      <c r="Y692" s="17" t="n"/>
      <c r="Z692" s="123" t="n"/>
      <c r="AB692" s="127" t="n"/>
      <c r="AC692" s="17" t="n"/>
      <c r="AD692" s="127" t="n"/>
      <c r="AE692" s="16" t="n"/>
      <c r="AF692" s="17" t="n"/>
      <c r="AG692" s="123" t="n"/>
      <c r="AH692" s="127" t="n"/>
      <c r="AI692" s="17" t="n"/>
      <c r="AJ692" s="127" t="n"/>
      <c r="AK692" s="16" t="n"/>
      <c r="AL692" s="17" t="n"/>
      <c r="AM692" s="123" t="n"/>
      <c r="AN692" s="127" t="n"/>
      <c r="AO692" s="17" t="n"/>
      <c r="AP692" s="127" t="n"/>
      <c r="AQ692" s="16" t="n"/>
      <c r="AR692" s="17" t="n"/>
      <c r="AS692" s="123" t="n"/>
    </row>
    <row r="693" hidden="1" outlineLevel="2">
      <c r="A693" s="8" t="n"/>
      <c r="B693" s="14" t="n"/>
      <c r="C693" s="123" t="n"/>
      <c r="D693" s="123" t="n"/>
      <c r="E693" s="123" t="n"/>
      <c r="F693" s="123" t="n"/>
      <c r="G693" s="123" t="n"/>
      <c r="I693" s="127">
        <f>DADOS_INVOC!$PZ$44</f>
        <v/>
      </c>
      <c r="J693" s="17" t="n"/>
      <c r="K693" s="127">
        <f>DADOS_INVOC!$QB$44</f>
        <v/>
      </c>
      <c r="L693" s="16" t="n"/>
      <c r="M693" s="17" t="n"/>
      <c r="N693" s="123" t="n"/>
      <c r="O693" s="127">
        <f>DADOS_INVOC!$PZ$45</f>
        <v/>
      </c>
      <c r="P693" s="17" t="n"/>
      <c r="Q693" s="127">
        <f>DADOS_INVOC!$QB$45</f>
        <v/>
      </c>
      <c r="R693" s="16" t="n"/>
      <c r="S693" s="17" t="n"/>
      <c r="T693" s="123" t="n"/>
      <c r="U693" s="127">
        <f>DADOS_INVOC!$PZ$46</f>
        <v/>
      </c>
      <c r="V693" s="17" t="n"/>
      <c r="W693" s="127">
        <f>DADOS_INVOC!$QB$46</f>
        <v/>
      </c>
      <c r="X693" s="16" t="n"/>
      <c r="Y693" s="17" t="n"/>
      <c r="Z693" s="123" t="n"/>
      <c r="AB693" s="127">
        <f>DADOS_INVOC!$PZ$122</f>
        <v/>
      </c>
      <c r="AC693" s="17" t="n"/>
      <c r="AD693" s="127">
        <f>DADOS_INVOC!$QB$122</f>
        <v/>
      </c>
      <c r="AE693" s="16" t="n"/>
      <c r="AF693" s="17" t="n"/>
      <c r="AG693" s="123" t="n"/>
      <c r="AH693" s="127">
        <f>DADOS_INVOC!$PZ$123</f>
        <v/>
      </c>
      <c r="AI693" s="17" t="n"/>
      <c r="AJ693" s="127">
        <f>DADOS_INVOC!$QB$123</f>
        <v/>
      </c>
      <c r="AK693" s="16" t="n"/>
      <c r="AL693" s="17" t="n"/>
      <c r="AM693" s="123" t="n"/>
      <c r="AN693" s="127">
        <f>DADOS_INVOC!$PZ$124</f>
        <v/>
      </c>
      <c r="AO693" s="17" t="n"/>
      <c r="AP693" s="127">
        <f>DADOS_INVOC!$QB$124</f>
        <v/>
      </c>
      <c r="AQ693" s="16" t="n"/>
      <c r="AR693" s="17" t="n"/>
      <c r="AS693" s="123" t="n"/>
    </row>
    <row r="694" hidden="1" outlineLevel="2">
      <c r="A694" s="8" t="n"/>
      <c r="B694" s="14" t="n"/>
      <c r="C694" s="123" t="n"/>
      <c r="D694" s="123" t="n"/>
      <c r="E694" s="123" t="n"/>
      <c r="F694" s="123" t="n"/>
      <c r="G694" s="123" t="n"/>
      <c r="I694" s="132">
        <f>DADOS_INVOC!$QH$44</f>
        <v/>
      </c>
      <c r="J694" s="16" t="n"/>
      <c r="K694" s="16" t="n"/>
      <c r="L694" s="16" t="n"/>
      <c r="M694" s="17" t="n"/>
      <c r="N694" s="123" t="n"/>
      <c r="O694" s="132">
        <f>DADOS_INVOC!$QH$45</f>
        <v/>
      </c>
      <c r="P694" s="16" t="n"/>
      <c r="Q694" s="16" t="n"/>
      <c r="R694" s="16" t="n"/>
      <c r="S694" s="17" t="n"/>
      <c r="T694" s="123" t="n"/>
      <c r="U694" s="132">
        <f>DADOS_INVOC!$QH$46</f>
        <v/>
      </c>
      <c r="V694" s="16" t="n"/>
      <c r="W694" s="16" t="n"/>
      <c r="X694" s="16" t="n"/>
      <c r="Y694" s="17" t="n"/>
      <c r="Z694" s="123" t="n"/>
      <c r="AB694" s="132">
        <f>DADOS_INVOC!$QH$122</f>
        <v/>
      </c>
      <c r="AC694" s="16" t="n"/>
      <c r="AD694" s="16" t="n"/>
      <c r="AE694" s="16" t="n"/>
      <c r="AF694" s="17" t="n"/>
      <c r="AG694" s="123" t="n"/>
      <c r="AH694" s="132">
        <f>DADOS_INVOC!$QH$123</f>
        <v/>
      </c>
      <c r="AI694" s="16" t="n"/>
      <c r="AJ694" s="16" t="n"/>
      <c r="AK694" s="16" t="n"/>
      <c r="AL694" s="17" t="n"/>
      <c r="AM694" s="123" t="n"/>
      <c r="AN694" s="132">
        <f>DADOS_INVOC!$QH$124</f>
        <v/>
      </c>
      <c r="AO694" s="16" t="n"/>
      <c r="AP694" s="16" t="n"/>
      <c r="AQ694" s="16" t="n"/>
      <c r="AR694" s="17" t="n"/>
      <c r="AS694" s="123" t="n"/>
    </row>
    <row r="695" hidden="1" outlineLevel="3">
      <c r="A695" s="8" t="n"/>
      <c r="B695" s="14" t="n"/>
      <c r="C695" s="123" t="n"/>
      <c r="D695" s="123" t="n"/>
      <c r="E695" s="123" t="n"/>
      <c r="F695" s="123" t="n"/>
      <c r="G695" s="123" t="n"/>
      <c r="I695" s="55" t="inlineStr">
        <is>
          <t>MELHORIAS</t>
        </is>
      </c>
      <c r="J695" s="133" t="n"/>
      <c r="K695" s="16" t="n"/>
      <c r="L695" s="17" t="n"/>
      <c r="M695" s="132">
        <f>DADOS_INVOC!$QK$44</f>
        <v/>
      </c>
      <c r="N695" s="123" t="n"/>
      <c r="O695" s="55" t="inlineStr">
        <is>
          <t>MELHORIAS</t>
        </is>
      </c>
      <c r="P695" s="133" t="n"/>
      <c r="Q695" s="16" t="n"/>
      <c r="R695" s="17" t="n"/>
      <c r="S695" s="132">
        <f>DADOS_INVOC!$QK$45</f>
        <v/>
      </c>
      <c r="T695" s="123" t="n"/>
      <c r="U695" s="55" t="inlineStr">
        <is>
          <t>MELHORIAS</t>
        </is>
      </c>
      <c r="V695" s="133" t="n"/>
      <c r="W695" s="16" t="n"/>
      <c r="X695" s="17" t="n"/>
      <c r="Y695" s="132">
        <f>DADOS_INVOC!$QK$46</f>
        <v/>
      </c>
      <c r="Z695" s="123" t="n"/>
      <c r="AB695" s="55" t="inlineStr">
        <is>
          <t>MELHORIAS</t>
        </is>
      </c>
      <c r="AC695" s="133" t="n"/>
      <c r="AD695" s="16" t="n"/>
      <c r="AE695" s="17" t="n"/>
      <c r="AF695" s="132">
        <f>DADOS_INVOC!$QK$122</f>
        <v/>
      </c>
      <c r="AG695" s="123" t="n"/>
      <c r="AH695" s="55" t="inlineStr">
        <is>
          <t>MELHORIAS</t>
        </is>
      </c>
      <c r="AI695" s="133" t="n"/>
      <c r="AJ695" s="16" t="n"/>
      <c r="AK695" s="17" t="n"/>
      <c r="AL695" s="132">
        <f>DADOS_INVOC!$QK$123</f>
        <v/>
      </c>
      <c r="AM695" s="123" t="n"/>
      <c r="AN695" s="55" t="inlineStr">
        <is>
          <t>MELHORIAS</t>
        </is>
      </c>
      <c r="AO695" s="133" t="n"/>
      <c r="AP695" s="16" t="n"/>
      <c r="AQ695" s="17" t="n"/>
      <c r="AR695" s="132">
        <f>DADOS_INVOC!$QK$124</f>
        <v/>
      </c>
      <c r="AS695" s="123" t="n"/>
    </row>
    <row r="696" hidden="1" outlineLevel="3">
      <c r="A696" s="8" t="n"/>
      <c r="B696" s="14" t="n"/>
      <c r="C696" s="123" t="n"/>
      <c r="D696" s="123" t="n"/>
      <c r="E696" s="123" t="n"/>
      <c r="F696" s="123" t="n"/>
      <c r="G696" s="123" t="n"/>
      <c r="I696" s="134" t="n"/>
      <c r="J696" s="133" t="n"/>
      <c r="K696" s="16" t="n"/>
      <c r="L696" s="17" t="n"/>
      <c r="M696" s="132">
        <f>DADOS_INVOC!$QL$44</f>
        <v/>
      </c>
      <c r="N696" s="123" t="n"/>
      <c r="O696" s="134" t="n"/>
      <c r="P696" s="133" t="n"/>
      <c r="Q696" s="16" t="n"/>
      <c r="R696" s="17" t="n"/>
      <c r="S696" s="132">
        <f>DADOS_INVOC!$QL$45</f>
        <v/>
      </c>
      <c r="T696" s="123" t="n"/>
      <c r="U696" s="134" t="n"/>
      <c r="V696" s="133" t="n"/>
      <c r="W696" s="16" t="n"/>
      <c r="X696" s="17" t="n"/>
      <c r="Y696" s="132">
        <f>DADOS_INVOC!$QL$46</f>
        <v/>
      </c>
      <c r="Z696" s="123" t="n"/>
      <c r="AB696" s="134" t="n"/>
      <c r="AC696" s="133" t="n"/>
      <c r="AD696" s="16" t="n"/>
      <c r="AE696" s="17" t="n"/>
      <c r="AF696" s="132">
        <f>DADOS_INVOC!$QL$122</f>
        <v/>
      </c>
      <c r="AG696" s="123" t="n"/>
      <c r="AH696" s="134" t="n"/>
      <c r="AI696" s="133" t="n"/>
      <c r="AJ696" s="16" t="n"/>
      <c r="AK696" s="17" t="n"/>
      <c r="AL696" s="132">
        <f>DADOS_INVOC!$QL$123</f>
        <v/>
      </c>
      <c r="AM696" s="123" t="n"/>
      <c r="AN696" s="134" t="n"/>
      <c r="AO696" s="133" t="n"/>
      <c r="AP696" s="16" t="n"/>
      <c r="AQ696" s="17" t="n"/>
      <c r="AR696" s="132">
        <f>DADOS_INVOC!$QL$124</f>
        <v/>
      </c>
      <c r="AS696" s="123" t="n"/>
    </row>
    <row r="697" hidden="1" outlineLevel="3">
      <c r="A697" s="8" t="n"/>
      <c r="B697" s="14" t="n"/>
      <c r="C697" s="123" t="n"/>
      <c r="D697" s="123" t="n"/>
      <c r="E697" s="123" t="n"/>
      <c r="F697" s="123" t="n"/>
      <c r="G697" s="123" t="n"/>
      <c r="I697" s="134" t="n"/>
      <c r="J697" s="133" t="n"/>
      <c r="K697" s="16" t="n"/>
      <c r="L697" s="17" t="n"/>
      <c r="M697" s="132">
        <f>DADOS_INVOC!$QM$44</f>
        <v/>
      </c>
      <c r="N697" s="123" t="n"/>
      <c r="O697" s="134" t="n"/>
      <c r="P697" s="133" t="n"/>
      <c r="Q697" s="16" t="n"/>
      <c r="R697" s="17" t="n"/>
      <c r="S697" s="132">
        <f>DADOS_INVOC!$QM$45</f>
        <v/>
      </c>
      <c r="T697" s="123" t="n"/>
      <c r="U697" s="134" t="n"/>
      <c r="V697" s="133" t="n"/>
      <c r="W697" s="16" t="n"/>
      <c r="X697" s="17" t="n"/>
      <c r="Y697" s="132">
        <f>DADOS_INVOC!$QM$46</f>
        <v/>
      </c>
      <c r="Z697" s="123" t="n"/>
      <c r="AB697" s="134" t="n"/>
      <c r="AC697" s="133" t="n"/>
      <c r="AD697" s="16" t="n"/>
      <c r="AE697" s="17" t="n"/>
      <c r="AF697" s="132">
        <f>DADOS_INVOC!$QM$122</f>
        <v/>
      </c>
      <c r="AG697" s="123" t="n"/>
      <c r="AH697" s="134" t="n"/>
      <c r="AI697" s="133" t="n"/>
      <c r="AJ697" s="16" t="n"/>
      <c r="AK697" s="17" t="n"/>
      <c r="AL697" s="132">
        <f>DADOS_INVOC!$QM$123</f>
        <v/>
      </c>
      <c r="AM697" s="123" t="n"/>
      <c r="AN697" s="134" t="n"/>
      <c r="AO697" s="133" t="n"/>
      <c r="AP697" s="16" t="n"/>
      <c r="AQ697" s="17" t="n"/>
      <c r="AR697" s="132">
        <f>DADOS_INVOC!$QM$124</f>
        <v/>
      </c>
      <c r="AS697" s="123" t="n"/>
    </row>
    <row r="698" hidden="1" outlineLevel="3">
      <c r="A698" s="8" t="n"/>
      <c r="B698" s="14" t="n"/>
      <c r="C698" s="123" t="n"/>
      <c r="D698" s="123" t="n"/>
      <c r="E698" s="123" t="n"/>
      <c r="F698" s="123" t="n"/>
      <c r="G698" s="123" t="n"/>
      <c r="I698" s="128" t="n"/>
      <c r="J698" s="133" t="n"/>
      <c r="K698" s="16" t="n"/>
      <c r="L698" s="17" t="n"/>
      <c r="M698" s="132">
        <f>DADOS_INVOC!$QN$44</f>
        <v/>
      </c>
      <c r="N698" s="123" t="n"/>
      <c r="O698" s="128" t="n"/>
      <c r="P698" s="133" t="n"/>
      <c r="Q698" s="16" t="n"/>
      <c r="R698" s="17" t="n"/>
      <c r="S698" s="132">
        <f>DADOS_INVOC!$QN$45</f>
        <v/>
      </c>
      <c r="T698" s="123" t="n"/>
      <c r="U698" s="128" t="n"/>
      <c r="V698" s="133" t="n"/>
      <c r="W698" s="16" t="n"/>
      <c r="X698" s="17" t="n"/>
      <c r="Y698" s="132">
        <f>DADOS_INVOC!$QN$46</f>
        <v/>
      </c>
      <c r="Z698" s="123" t="n"/>
      <c r="AB698" s="128" t="n"/>
      <c r="AC698" s="133" t="n"/>
      <c r="AD698" s="16" t="n"/>
      <c r="AE698" s="17" t="n"/>
      <c r="AF698" s="132">
        <f>DADOS_INVOC!$QN$122</f>
        <v/>
      </c>
      <c r="AG698" s="123" t="n"/>
      <c r="AH698" s="128" t="n"/>
      <c r="AI698" s="133" t="n"/>
      <c r="AJ698" s="16" t="n"/>
      <c r="AK698" s="17" t="n"/>
      <c r="AL698" s="132">
        <f>DADOS_INVOC!$QN$123</f>
        <v/>
      </c>
      <c r="AM698" s="123" t="n"/>
      <c r="AN698" s="128" t="n"/>
      <c r="AO698" s="133" t="n"/>
      <c r="AP698" s="16" t="n"/>
      <c r="AQ698" s="17" t="n"/>
      <c r="AR698" s="132">
        <f>DADOS_INVOC!$QN$124</f>
        <v/>
      </c>
      <c r="AS698" s="123" t="n"/>
    </row>
    <row r="699" hidden="1" outlineLevel="3">
      <c r="A699" s="8" t="n"/>
      <c r="B699" s="14" t="n"/>
      <c r="C699" s="123" t="n"/>
      <c r="D699" s="123" t="n"/>
      <c r="E699" s="123" t="n"/>
      <c r="F699" s="123" t="n"/>
      <c r="G699" s="123" t="n"/>
      <c r="I699" s="55" t="inlineStr">
        <is>
          <t>RESTRIÇÕES</t>
        </is>
      </c>
      <c r="J699" s="133" t="n"/>
      <c r="K699" s="16" t="n"/>
      <c r="L699" s="17" t="n"/>
      <c r="M699" s="132">
        <f>DADOS_INVOC!$QO$44</f>
        <v/>
      </c>
      <c r="N699" s="123" t="n"/>
      <c r="O699" s="55" t="inlineStr">
        <is>
          <t>RESTRIÇÕES</t>
        </is>
      </c>
      <c r="P699" s="133" t="n"/>
      <c r="Q699" s="16" t="n"/>
      <c r="R699" s="17" t="n"/>
      <c r="S699" s="132">
        <f>DADOS_INVOC!$QO$45</f>
        <v/>
      </c>
      <c r="T699" s="123" t="n"/>
      <c r="U699" s="55" t="inlineStr">
        <is>
          <t>RESTRIÇÕES</t>
        </is>
      </c>
      <c r="V699" s="133" t="n"/>
      <c r="W699" s="16" t="n"/>
      <c r="X699" s="17" t="n"/>
      <c r="Y699" s="132">
        <f>DADOS_INVOC!$QO$46</f>
        <v/>
      </c>
      <c r="Z699" s="123" t="n"/>
      <c r="AB699" s="55" t="inlineStr">
        <is>
          <t>RESTRIÇÕES</t>
        </is>
      </c>
      <c r="AC699" s="133" t="n"/>
      <c r="AD699" s="16" t="n"/>
      <c r="AE699" s="17" t="n"/>
      <c r="AF699" s="132">
        <f>DADOS_INVOC!$QO$122</f>
        <v/>
      </c>
      <c r="AG699" s="123" t="n"/>
      <c r="AH699" s="55" t="inlineStr">
        <is>
          <t>RESTRIÇÕES</t>
        </is>
      </c>
      <c r="AI699" s="133" t="n"/>
      <c r="AJ699" s="16" t="n"/>
      <c r="AK699" s="17" t="n"/>
      <c r="AL699" s="132">
        <f>DADOS_INVOC!$QO$123</f>
        <v/>
      </c>
      <c r="AM699" s="123" t="n"/>
      <c r="AN699" s="55" t="inlineStr">
        <is>
          <t>RESTRIÇÕES</t>
        </is>
      </c>
      <c r="AO699" s="133" t="n"/>
      <c r="AP699" s="16" t="n"/>
      <c r="AQ699" s="17" t="n"/>
      <c r="AR699" s="132">
        <f>DADOS_INVOC!$QO$124</f>
        <v/>
      </c>
      <c r="AS699" s="123" t="n"/>
    </row>
    <row r="700" hidden="1" outlineLevel="3">
      <c r="A700" s="8" t="n"/>
      <c r="B700" s="14" t="n"/>
      <c r="C700" s="123" t="n"/>
      <c r="D700" s="123" t="n"/>
      <c r="E700" s="123" t="n"/>
      <c r="F700" s="123" t="n"/>
      <c r="G700" s="123" t="n"/>
      <c r="I700" s="128" t="n"/>
      <c r="J700" s="133" t="n"/>
      <c r="K700" s="16" t="n"/>
      <c r="L700" s="17" t="n"/>
      <c r="M700" s="132">
        <f>DADOS_INVOC!$QP$44</f>
        <v/>
      </c>
      <c r="N700" s="123" t="n"/>
      <c r="O700" s="128" t="n"/>
      <c r="P700" s="133" t="n"/>
      <c r="Q700" s="16" t="n"/>
      <c r="R700" s="17" t="n"/>
      <c r="S700" s="132">
        <f>DADOS_INVOC!$QP$45</f>
        <v/>
      </c>
      <c r="T700" s="123" t="n"/>
      <c r="U700" s="128" t="n"/>
      <c r="V700" s="133" t="n"/>
      <c r="W700" s="16" t="n"/>
      <c r="X700" s="17" t="n"/>
      <c r="Y700" s="132">
        <f>DADOS_INVOC!$QP$46</f>
        <v/>
      </c>
      <c r="Z700" s="123" t="n"/>
      <c r="AB700" s="128" t="n"/>
      <c r="AC700" s="133" t="n"/>
      <c r="AD700" s="16" t="n"/>
      <c r="AE700" s="17" t="n"/>
      <c r="AF700" s="132">
        <f>DADOS_INVOC!$QP$122</f>
        <v/>
      </c>
      <c r="AG700" s="123" t="n"/>
      <c r="AH700" s="128" t="n"/>
      <c r="AI700" s="133" t="n"/>
      <c r="AJ700" s="16" t="n"/>
      <c r="AK700" s="17" t="n"/>
      <c r="AL700" s="132">
        <f>DADOS_INVOC!$QP$123</f>
        <v/>
      </c>
      <c r="AM700" s="123" t="n"/>
      <c r="AN700" s="128" t="n"/>
      <c r="AO700" s="133" t="n"/>
      <c r="AP700" s="16" t="n"/>
      <c r="AQ700" s="17" t="n"/>
      <c r="AR700" s="132">
        <f>DADOS_INVOC!$QP$124</f>
        <v/>
      </c>
      <c r="AS700" s="123" t="n"/>
    </row>
    <row r="701" hidden="1" outlineLevel="3">
      <c r="A701" s="8" t="n"/>
      <c r="B701" s="14" t="n"/>
      <c r="C701" s="123" t="n"/>
      <c r="D701" s="123" t="n"/>
      <c r="E701" s="123" t="n"/>
      <c r="F701" s="123" t="n"/>
      <c r="G701" s="123" t="n"/>
      <c r="I701" s="55" t="inlineStr">
        <is>
          <t>CONTA</t>
        </is>
      </c>
      <c r="J701" s="135">
        <f>DADOS_INVOC!$QI$44</f>
        <v/>
      </c>
      <c r="K701" s="16" t="n"/>
      <c r="L701" s="16" t="n"/>
      <c r="M701" s="17" t="n"/>
      <c r="N701" s="123" t="n"/>
      <c r="O701" s="55" t="inlineStr">
        <is>
          <t>CONTA</t>
        </is>
      </c>
      <c r="P701" s="135">
        <f>DADOS_INVOC!$QI$45</f>
        <v/>
      </c>
      <c r="Q701" s="16" t="n"/>
      <c r="R701" s="16" t="n"/>
      <c r="S701" s="17" t="n"/>
      <c r="T701" s="123" t="n"/>
      <c r="U701" s="55" t="inlineStr">
        <is>
          <t>CONTA</t>
        </is>
      </c>
      <c r="V701" s="135">
        <f>DADOS_INVOC!$QI$46</f>
        <v/>
      </c>
      <c r="W701" s="16" t="n"/>
      <c r="X701" s="16" t="n"/>
      <c r="Y701" s="17" t="n"/>
      <c r="Z701" s="123" t="n"/>
      <c r="AB701" s="55" t="inlineStr">
        <is>
          <t>CONTA</t>
        </is>
      </c>
      <c r="AC701" s="135">
        <f>DADOS_INVOC!$QI$122</f>
        <v/>
      </c>
      <c r="AD701" s="16" t="n"/>
      <c r="AE701" s="16" t="n"/>
      <c r="AF701" s="17" t="n"/>
      <c r="AG701" s="123" t="n"/>
      <c r="AH701" s="55" t="inlineStr">
        <is>
          <t>CONTA</t>
        </is>
      </c>
      <c r="AI701" s="135">
        <f>DADOS_INVOC!$QI$123</f>
        <v/>
      </c>
      <c r="AJ701" s="16" t="n"/>
      <c r="AK701" s="16" t="n"/>
      <c r="AL701" s="17" t="n"/>
      <c r="AM701" s="123" t="n"/>
      <c r="AN701" s="55" t="inlineStr">
        <is>
          <t>CONTA</t>
        </is>
      </c>
      <c r="AO701" s="135">
        <f>DADOS_INVOC!$QI$124</f>
        <v/>
      </c>
      <c r="AP701" s="16" t="n"/>
      <c r="AQ701" s="16" t="n"/>
      <c r="AR701" s="17" t="n"/>
      <c r="AS701" s="123" t="n"/>
    </row>
    <row r="702" hidden="1" outlineLevel="3">
      <c r="A702" s="8" t="n"/>
      <c r="B702" s="14" t="n"/>
      <c r="C702" s="123" t="n"/>
      <c r="D702" s="123" t="n"/>
      <c r="E702" s="123" t="n"/>
      <c r="F702" s="123" t="n"/>
      <c r="G702" s="123" t="n"/>
      <c r="I702" s="55" t="inlineStr">
        <is>
          <t>AMPLIAR</t>
        </is>
      </c>
      <c r="J702" s="135">
        <f>DADOS_INVOC!$QJ$44</f>
        <v/>
      </c>
      <c r="K702" s="19" t="n"/>
      <c r="L702" s="19" t="n"/>
      <c r="M702" s="20" t="n"/>
      <c r="N702" s="123" t="n"/>
      <c r="O702" s="55" t="inlineStr">
        <is>
          <t>AMPLIAR</t>
        </is>
      </c>
      <c r="P702" s="135">
        <f>DADOS_INVOC!$QJ$45</f>
        <v/>
      </c>
      <c r="Q702" s="19" t="n"/>
      <c r="R702" s="19" t="n"/>
      <c r="S702" s="20" t="n"/>
      <c r="T702" s="123" t="n"/>
      <c r="U702" s="55" t="inlineStr">
        <is>
          <t>AMPLIAR</t>
        </is>
      </c>
      <c r="V702" s="135">
        <f>DADOS_INVOC!$QJ$46</f>
        <v/>
      </c>
      <c r="W702" s="19" t="n"/>
      <c r="X702" s="19" t="n"/>
      <c r="Y702" s="20" t="n"/>
      <c r="Z702" s="123" t="n"/>
      <c r="AB702" s="55" t="inlineStr">
        <is>
          <t>AMPLIAR</t>
        </is>
      </c>
      <c r="AC702" s="135">
        <f>DADOS_INVOC!$QJ$122</f>
        <v/>
      </c>
      <c r="AD702" s="19" t="n"/>
      <c r="AE702" s="19" t="n"/>
      <c r="AF702" s="20" t="n"/>
      <c r="AG702" s="123" t="n"/>
      <c r="AH702" s="55" t="inlineStr">
        <is>
          <t>AMPLIAR</t>
        </is>
      </c>
      <c r="AI702" s="135">
        <f>DADOS_INVOC!$QJ$123</f>
        <v/>
      </c>
      <c r="AJ702" s="19" t="n"/>
      <c r="AK702" s="19" t="n"/>
      <c r="AL702" s="20" t="n"/>
      <c r="AM702" s="123" t="n"/>
      <c r="AN702" s="55" t="inlineStr">
        <is>
          <t>AMPLIAR</t>
        </is>
      </c>
      <c r="AO702" s="135">
        <f>DADOS_INVOC!$QJ$124</f>
        <v/>
      </c>
      <c r="AP702" s="19" t="n"/>
      <c r="AQ702" s="19" t="n"/>
      <c r="AR702" s="20" t="n"/>
      <c r="AS702" s="123" t="n"/>
    </row>
    <row r="703" hidden="1" outlineLevel="3">
      <c r="A703" s="8" t="n"/>
      <c r="B703" s="14" t="n"/>
      <c r="C703" s="123" t="n"/>
      <c r="D703" s="123" t="n"/>
      <c r="E703" s="123" t="n"/>
      <c r="F703" s="123" t="n"/>
      <c r="G703" s="123" t="n"/>
      <c r="I703" s="128" t="n"/>
      <c r="J703" s="23" t="n"/>
      <c r="K703" s="24" t="n"/>
      <c r="L703" s="24" t="n"/>
      <c r="M703" s="25" t="n"/>
      <c r="N703" s="123" t="n"/>
      <c r="O703" s="128" t="n"/>
      <c r="P703" s="23" t="n"/>
      <c r="Q703" s="24" t="n"/>
      <c r="R703" s="24" t="n"/>
      <c r="S703" s="25" t="n"/>
      <c r="T703" s="123" t="n"/>
      <c r="U703" s="128" t="n"/>
      <c r="V703" s="23" t="n"/>
      <c r="W703" s="24" t="n"/>
      <c r="X703" s="24" t="n"/>
      <c r="Y703" s="25" t="n"/>
      <c r="Z703" s="123" t="n"/>
      <c r="AB703" s="128" t="n"/>
      <c r="AC703" s="23" t="n"/>
      <c r="AD703" s="24" t="n"/>
      <c r="AE703" s="24" t="n"/>
      <c r="AF703" s="25" t="n"/>
      <c r="AG703" s="123" t="n"/>
      <c r="AH703" s="128" t="n"/>
      <c r="AI703" s="23" t="n"/>
      <c r="AJ703" s="24" t="n"/>
      <c r="AK703" s="24" t="n"/>
      <c r="AL703" s="25" t="n"/>
      <c r="AM703" s="123" t="n"/>
      <c r="AN703" s="128" t="n"/>
      <c r="AO703" s="23" t="n"/>
      <c r="AP703" s="24" t="n"/>
      <c r="AQ703" s="24" t="n"/>
      <c r="AR703" s="25" t="n"/>
      <c r="AS703" s="123" t="n"/>
    </row>
    <row r="704" hidden="1" outlineLevel="3">
      <c r="A704" s="8" t="n"/>
      <c r="B704" s="14" t="n"/>
      <c r="C704" s="123" t="n"/>
      <c r="D704" s="123" t="n"/>
      <c r="E704" s="123" t="n"/>
      <c r="F704" s="123" t="n"/>
      <c r="G704" s="123" t="n"/>
      <c r="I704" s="135">
        <f>DADOS_INVOC!$PW$44</f>
        <v/>
      </c>
      <c r="J704" s="19" t="n"/>
      <c r="K704" s="19" t="n"/>
      <c r="L704" s="19" t="n"/>
      <c r="M704" s="20" t="n"/>
      <c r="N704" s="123" t="n"/>
      <c r="O704" s="135">
        <f>DADOS_INVOC!$PW$45</f>
        <v/>
      </c>
      <c r="P704" s="19" t="n"/>
      <c r="Q704" s="19" t="n"/>
      <c r="R704" s="19" t="n"/>
      <c r="S704" s="20" t="n"/>
      <c r="T704" s="123" t="n"/>
      <c r="U704" s="135">
        <f>DADOS_INVOC!$PW$46</f>
        <v/>
      </c>
      <c r="V704" s="19" t="n"/>
      <c r="W704" s="19" t="n"/>
      <c r="X704" s="19" t="n"/>
      <c r="Y704" s="20" t="n"/>
      <c r="Z704" s="123" t="n"/>
      <c r="AB704" s="135">
        <f>DADOS_INVOC!$PW$122</f>
        <v/>
      </c>
      <c r="AC704" s="19" t="n"/>
      <c r="AD704" s="19" t="n"/>
      <c r="AE704" s="19" t="n"/>
      <c r="AF704" s="20" t="n"/>
      <c r="AG704" s="123" t="n"/>
      <c r="AH704" s="135">
        <f>DADOS_INVOC!$PW$123</f>
        <v/>
      </c>
      <c r="AI704" s="19" t="n"/>
      <c r="AJ704" s="19" t="n"/>
      <c r="AK704" s="19" t="n"/>
      <c r="AL704" s="20" t="n"/>
      <c r="AM704" s="123" t="n"/>
      <c r="AN704" s="135">
        <f>DADOS_INVOC!$PW$124</f>
        <v/>
      </c>
      <c r="AO704" s="19" t="n"/>
      <c r="AP704" s="19" t="n"/>
      <c r="AQ704" s="19" t="n"/>
      <c r="AR704" s="20" t="n"/>
      <c r="AS704" s="123" t="n"/>
    </row>
    <row r="705" hidden="1" outlineLevel="3">
      <c r="A705" s="8" t="n"/>
      <c r="B705" s="14" t="n"/>
      <c r="C705" s="123" t="n"/>
      <c r="D705" s="123" t="n"/>
      <c r="E705" s="123" t="n"/>
      <c r="F705" s="123" t="n"/>
      <c r="G705" s="123" t="n"/>
      <c r="I705" s="23" t="n"/>
      <c r="J705" s="24" t="n"/>
      <c r="K705" s="24" t="n"/>
      <c r="L705" s="24" t="n"/>
      <c r="M705" s="25" t="n"/>
      <c r="N705" s="123" t="n"/>
      <c r="O705" s="23" t="n"/>
      <c r="P705" s="24" t="n"/>
      <c r="Q705" s="24" t="n"/>
      <c r="R705" s="24" t="n"/>
      <c r="S705" s="25" t="n"/>
      <c r="T705" s="123" t="n"/>
      <c r="U705" s="23" t="n"/>
      <c r="V705" s="24" t="n"/>
      <c r="W705" s="24" t="n"/>
      <c r="X705" s="24" t="n"/>
      <c r="Y705" s="25" t="n"/>
      <c r="Z705" s="123" t="n"/>
      <c r="AB705" s="23" t="n"/>
      <c r="AC705" s="24" t="n"/>
      <c r="AD705" s="24" t="n"/>
      <c r="AE705" s="24" t="n"/>
      <c r="AF705" s="25" t="n"/>
      <c r="AG705" s="123" t="n"/>
      <c r="AH705" s="23" t="n"/>
      <c r="AI705" s="24" t="n"/>
      <c r="AJ705" s="24" t="n"/>
      <c r="AK705" s="24" t="n"/>
      <c r="AL705" s="25" t="n"/>
      <c r="AM705" s="123" t="n"/>
      <c r="AN705" s="23" t="n"/>
      <c r="AO705" s="24" t="n"/>
      <c r="AP705" s="24" t="n"/>
      <c r="AQ705" s="24" t="n"/>
      <c r="AR705" s="25" t="n"/>
      <c r="AS705" s="123" t="n"/>
    </row>
    <row r="706" hidden="1" outlineLevel="2">
      <c r="A706" s="8" t="n"/>
      <c r="B706" s="14" t="n"/>
      <c r="C706" s="123" t="n"/>
      <c r="D706" s="123" t="n"/>
      <c r="E706" s="123" t="n"/>
      <c r="F706" s="123" t="n"/>
      <c r="G706" s="123" t="n"/>
      <c r="I706" s="123" t="n"/>
      <c r="J706" s="123" t="n"/>
      <c r="K706" s="123" t="n"/>
      <c r="L706" s="123" t="n"/>
      <c r="M706" s="123" t="n"/>
      <c r="N706" s="123" t="n"/>
      <c r="O706" s="123" t="n"/>
      <c r="P706" s="123" t="n"/>
      <c r="Q706" s="123" t="n"/>
      <c r="R706" s="123" t="n"/>
      <c r="S706" s="123" t="n"/>
      <c r="T706" s="123" t="n"/>
      <c r="U706" s="123" t="n"/>
      <c r="V706" s="123" t="n"/>
      <c r="W706" s="123" t="n"/>
      <c r="X706" s="123" t="n"/>
      <c r="Y706" s="123" t="n"/>
      <c r="Z706" s="123" t="n"/>
      <c r="AB706" s="123" t="n"/>
      <c r="AC706" s="123" t="n"/>
      <c r="AD706" s="123" t="n"/>
      <c r="AE706" s="123" t="n"/>
      <c r="AF706" s="123" t="n"/>
      <c r="AG706" s="123" t="n"/>
      <c r="AH706" s="123" t="n"/>
      <c r="AI706" s="123" t="n"/>
      <c r="AJ706" s="123" t="n"/>
      <c r="AK706" s="123" t="n"/>
      <c r="AL706" s="123" t="n"/>
      <c r="AM706" s="123" t="n"/>
      <c r="AN706" s="123" t="n"/>
      <c r="AO706" s="123" t="n"/>
      <c r="AP706" s="123" t="n"/>
      <c r="AQ706" s="123" t="n"/>
      <c r="AR706" s="123" t="n"/>
      <c r="AS706" s="123" t="n"/>
    </row>
    <row r="707" hidden="1" outlineLevel="2">
      <c r="A707" s="8" t="n"/>
      <c r="B707" s="14" t="n"/>
      <c r="C707" s="123" t="n"/>
      <c r="D707" s="123" t="n"/>
      <c r="E707" s="123" t="n"/>
      <c r="F707" s="123" t="n"/>
      <c r="G707" s="123" t="n"/>
      <c r="I707" s="55">
        <f>DADOS_INVOC!$PX$47</f>
        <v/>
      </c>
      <c r="J707" s="16" t="n"/>
      <c r="K707" s="16" t="n"/>
      <c r="L707" s="16" t="n"/>
      <c r="M707" s="17" t="n"/>
      <c r="N707" s="123" t="n"/>
      <c r="O707" s="55">
        <f>DADOS_INVOC!$PX$48</f>
        <v/>
      </c>
      <c r="P707" s="16" t="n"/>
      <c r="Q707" s="16" t="n"/>
      <c r="R707" s="16" t="n"/>
      <c r="S707" s="17" t="n"/>
      <c r="T707" s="123" t="n"/>
      <c r="U707" s="55">
        <f>DADOS_INVOC!$PX$49</f>
        <v/>
      </c>
      <c r="V707" s="16" t="n"/>
      <c r="W707" s="16" t="n"/>
      <c r="X707" s="16" t="n"/>
      <c r="Y707" s="17" t="n"/>
      <c r="Z707" s="123" t="n"/>
      <c r="AB707" s="55">
        <f>DADOS_INVOC!$PX$125</f>
        <v/>
      </c>
      <c r="AC707" s="16" t="n"/>
      <c r="AD707" s="16" t="n"/>
      <c r="AE707" s="16" t="n"/>
      <c r="AF707" s="17" t="n"/>
      <c r="AG707" s="123" t="n"/>
      <c r="AH707" s="55">
        <f>DADOS_INVOC!$PX$126</f>
        <v/>
      </c>
      <c r="AI707" s="16" t="n"/>
      <c r="AJ707" s="16" t="n"/>
      <c r="AK707" s="16" t="n"/>
      <c r="AL707" s="17" t="n"/>
      <c r="AM707" s="123" t="n"/>
      <c r="AN707" s="55">
        <f>DADOS_INVOC!$PX$127</f>
        <v/>
      </c>
      <c r="AO707" s="16" t="n"/>
      <c r="AP707" s="16" t="n"/>
      <c r="AQ707" s="16" t="n"/>
      <c r="AR707" s="17" t="n"/>
      <c r="AS707" s="123" t="n"/>
    </row>
    <row r="708" hidden="1" outlineLevel="2">
      <c r="A708" s="8" t="n"/>
      <c r="B708" s="14" t="n"/>
      <c r="C708" s="123" t="n"/>
      <c r="D708" s="123" t="n"/>
      <c r="E708" s="123" t="n"/>
      <c r="F708" s="123" t="n"/>
      <c r="G708" s="123" t="n"/>
      <c r="I708" s="130" t="n">
        <v>1</v>
      </c>
      <c r="J708" s="118" t="n"/>
      <c r="K708" s="16" t="n"/>
      <c r="L708" s="17" t="n"/>
      <c r="M708" s="131">
        <f>DADOS_INVOC!$PV$47</f>
        <v/>
      </c>
      <c r="N708" s="123" t="n"/>
      <c r="O708" s="130" t="n">
        <v>1</v>
      </c>
      <c r="P708" s="118" t="n"/>
      <c r="Q708" s="16" t="n"/>
      <c r="R708" s="17" t="n"/>
      <c r="S708" s="131">
        <f>DADOS_INVOC!$PV$48</f>
        <v/>
      </c>
      <c r="T708" s="123" t="n"/>
      <c r="U708" s="130" t="n">
        <v>1</v>
      </c>
      <c r="V708" s="118" t="n"/>
      <c r="W708" s="16" t="n"/>
      <c r="X708" s="17" t="n"/>
      <c r="Y708" s="131">
        <f>DADOS_INVOC!$PV$49</f>
        <v/>
      </c>
      <c r="Z708" s="123" t="n"/>
      <c r="AB708" s="130" t="n">
        <v>1</v>
      </c>
      <c r="AC708" s="118" t="n"/>
      <c r="AD708" s="16" t="n"/>
      <c r="AE708" s="17" t="n"/>
      <c r="AF708" s="131">
        <f>DADOS_INVOC!$PV$125</f>
        <v/>
      </c>
      <c r="AG708" s="123" t="n"/>
      <c r="AH708" s="130" t="n">
        <v>1</v>
      </c>
      <c r="AI708" s="118" t="n"/>
      <c r="AJ708" s="16" t="n"/>
      <c r="AK708" s="17" t="n"/>
      <c r="AL708" s="131">
        <f>DADOS_INVOC!$PV$126</f>
        <v/>
      </c>
      <c r="AM708" s="123" t="n"/>
      <c r="AN708" s="130" t="n">
        <v>1</v>
      </c>
      <c r="AO708" s="118" t="n"/>
      <c r="AP708" s="16" t="n"/>
      <c r="AQ708" s="17" t="n"/>
      <c r="AR708" s="131">
        <f>DADOS_INVOC!$PV$127</f>
        <v/>
      </c>
      <c r="AS708" s="123" t="n"/>
    </row>
    <row r="709" hidden="1" outlineLevel="3">
      <c r="A709" s="8" t="n"/>
      <c r="B709" s="14" t="n"/>
      <c r="C709" s="123" t="n"/>
      <c r="D709" s="123" t="n"/>
      <c r="E709" s="123" t="n"/>
      <c r="F709" s="123" t="n"/>
      <c r="G709" s="123" t="n"/>
      <c r="I709" s="55" t="inlineStr">
        <is>
          <t>COMO É</t>
        </is>
      </c>
      <c r="J709" s="16" t="n"/>
      <c r="K709" s="16" t="n"/>
      <c r="L709" s="16" t="n"/>
      <c r="M709" s="17" t="n"/>
      <c r="N709" s="123" t="n"/>
      <c r="O709" s="55" t="inlineStr">
        <is>
          <t>COMO É</t>
        </is>
      </c>
      <c r="P709" s="16" t="n"/>
      <c r="Q709" s="16" t="n"/>
      <c r="R709" s="16" t="n"/>
      <c r="S709" s="17" t="n"/>
      <c r="T709" s="123" t="n"/>
      <c r="U709" s="55" t="inlineStr">
        <is>
          <t>COMO É</t>
        </is>
      </c>
      <c r="V709" s="16" t="n"/>
      <c r="W709" s="16" t="n"/>
      <c r="X709" s="16" t="n"/>
      <c r="Y709" s="17" t="n"/>
      <c r="Z709" s="123" t="n"/>
      <c r="AB709" s="55" t="inlineStr">
        <is>
          <t>COMO É</t>
        </is>
      </c>
      <c r="AC709" s="16" t="n"/>
      <c r="AD709" s="16" t="n"/>
      <c r="AE709" s="16" t="n"/>
      <c r="AF709" s="17" t="n"/>
      <c r="AG709" s="123" t="n"/>
      <c r="AH709" s="55" t="inlineStr">
        <is>
          <t>COMO É</t>
        </is>
      </c>
      <c r="AI709" s="16" t="n"/>
      <c r="AJ709" s="16" t="n"/>
      <c r="AK709" s="16" t="n"/>
      <c r="AL709" s="17" t="n"/>
      <c r="AM709" s="123" t="n"/>
      <c r="AN709" s="55" t="inlineStr">
        <is>
          <t>COMO É</t>
        </is>
      </c>
      <c r="AO709" s="16" t="n"/>
      <c r="AP709" s="16" t="n"/>
      <c r="AQ709" s="16" t="n"/>
      <c r="AR709" s="17" t="n"/>
      <c r="AS709" s="123" t="n"/>
    </row>
    <row r="710" hidden="1" outlineLevel="3">
      <c r="A710" s="8" t="n"/>
      <c r="B710" s="14" t="n"/>
      <c r="C710" s="123" t="n"/>
      <c r="D710" s="123" t="n"/>
      <c r="E710" s="123" t="n"/>
      <c r="F710" s="123" t="n"/>
      <c r="G710" s="123" t="n"/>
      <c r="I710" s="119" t="n"/>
      <c r="J710" s="19" t="n"/>
      <c r="K710" s="19" t="n"/>
      <c r="L710" s="19" t="n"/>
      <c r="M710" s="20" t="n"/>
      <c r="N710" s="123" t="n"/>
      <c r="O710" s="119" t="n"/>
      <c r="P710" s="19" t="n"/>
      <c r="Q710" s="19" t="n"/>
      <c r="R710" s="19" t="n"/>
      <c r="S710" s="20" t="n"/>
      <c r="T710" s="123" t="n"/>
      <c r="U710" s="119" t="n"/>
      <c r="V710" s="19" t="n"/>
      <c r="W710" s="19" t="n"/>
      <c r="X710" s="19" t="n"/>
      <c r="Y710" s="20" t="n"/>
      <c r="Z710" s="123" t="n"/>
      <c r="AB710" s="119" t="n"/>
      <c r="AC710" s="19" t="n"/>
      <c r="AD710" s="19" t="n"/>
      <c r="AE710" s="19" t="n"/>
      <c r="AF710" s="20" t="n"/>
      <c r="AG710" s="123" t="n"/>
      <c r="AH710" s="119" t="n"/>
      <c r="AI710" s="19" t="n"/>
      <c r="AJ710" s="19" t="n"/>
      <c r="AK710" s="19" t="n"/>
      <c r="AL710" s="20" t="n"/>
      <c r="AM710" s="123" t="n"/>
      <c r="AN710" s="119" t="n"/>
      <c r="AO710" s="19" t="n"/>
      <c r="AP710" s="19" t="n"/>
      <c r="AQ710" s="19" t="n"/>
      <c r="AR710" s="20" t="n"/>
      <c r="AS710" s="123" t="n"/>
    </row>
    <row r="711" hidden="1" outlineLevel="3">
      <c r="A711" s="8" t="n"/>
      <c r="B711" s="14" t="n"/>
      <c r="C711" s="123" t="n"/>
      <c r="D711" s="123" t="n"/>
      <c r="E711" s="123" t="n"/>
      <c r="F711" s="123" t="n"/>
      <c r="G711" s="123" t="n"/>
      <c r="I711" s="21" t="n"/>
      <c r="M711" s="22" t="n"/>
      <c r="N711" s="123" t="n"/>
      <c r="O711" s="21" t="n"/>
      <c r="S711" s="22" t="n"/>
      <c r="T711" s="123" t="n"/>
      <c r="U711" s="21" t="n"/>
      <c r="Y711" s="22" t="n"/>
      <c r="Z711" s="123" t="n"/>
      <c r="AB711" s="21" t="n"/>
      <c r="AF711" s="22" t="n"/>
      <c r="AG711" s="123" t="n"/>
      <c r="AH711" s="21" t="n"/>
      <c r="AL711" s="22" t="n"/>
      <c r="AM711" s="123" t="n"/>
      <c r="AN711" s="21" t="n"/>
      <c r="AR711" s="22" t="n"/>
      <c r="AS711" s="123" t="n"/>
    </row>
    <row r="712" hidden="1" outlineLevel="3">
      <c r="A712" s="8" t="n"/>
      <c r="B712" s="14" t="n"/>
      <c r="C712" s="123" t="n"/>
      <c r="D712" s="123" t="n"/>
      <c r="E712" s="123" t="n"/>
      <c r="F712" s="123" t="n"/>
      <c r="G712" s="123" t="n"/>
      <c r="I712" s="23" t="n"/>
      <c r="J712" s="24" t="n"/>
      <c r="K712" s="24" t="n"/>
      <c r="L712" s="24" t="n"/>
      <c r="M712" s="25" t="n"/>
      <c r="N712" s="123" t="n"/>
      <c r="O712" s="23" t="n"/>
      <c r="P712" s="24" t="n"/>
      <c r="Q712" s="24" t="n"/>
      <c r="R712" s="24" t="n"/>
      <c r="S712" s="25" t="n"/>
      <c r="T712" s="123" t="n"/>
      <c r="U712" s="23" t="n"/>
      <c r="V712" s="24" t="n"/>
      <c r="W712" s="24" t="n"/>
      <c r="X712" s="24" t="n"/>
      <c r="Y712" s="25" t="n"/>
      <c r="Z712" s="123" t="n"/>
      <c r="AB712" s="23" t="n"/>
      <c r="AC712" s="24" t="n"/>
      <c r="AD712" s="24" t="n"/>
      <c r="AE712" s="24" t="n"/>
      <c r="AF712" s="25" t="n"/>
      <c r="AG712" s="123" t="n"/>
      <c r="AH712" s="23" t="n"/>
      <c r="AI712" s="24" t="n"/>
      <c r="AJ712" s="24" t="n"/>
      <c r="AK712" s="24" t="n"/>
      <c r="AL712" s="25" t="n"/>
      <c r="AM712" s="123" t="n"/>
      <c r="AN712" s="23" t="n"/>
      <c r="AO712" s="24" t="n"/>
      <c r="AP712" s="24" t="n"/>
      <c r="AQ712" s="24" t="n"/>
      <c r="AR712" s="25" t="n"/>
      <c r="AS712" s="123" t="n"/>
    </row>
    <row r="713" hidden="1" outlineLevel="2">
      <c r="A713" s="8" t="n"/>
      <c r="B713" s="14" t="n"/>
      <c r="C713" s="123" t="n"/>
      <c r="D713" s="123" t="n"/>
      <c r="E713" s="123" t="n"/>
      <c r="F713" s="123" t="n"/>
      <c r="G713" s="123" t="n"/>
      <c r="I713" s="127" t="inlineStr">
        <is>
          <t>Projétil</t>
        </is>
      </c>
      <c r="J713" s="17" t="n"/>
      <c r="K713" s="68">
        <f>DADOS_INVOC!$QC$47</f>
        <v/>
      </c>
      <c r="L713" s="17" t="n"/>
      <c r="M713" s="68">
        <f>DADOS_INVOC!$PY$47</f>
        <v/>
      </c>
      <c r="N713" s="123" t="n"/>
      <c r="O713" s="127" t="inlineStr">
        <is>
          <t>Projétil</t>
        </is>
      </c>
      <c r="P713" s="17" t="n"/>
      <c r="Q713" s="68">
        <f>DADOS_INVOC!$QC$48</f>
        <v/>
      </c>
      <c r="R713" s="17" t="n"/>
      <c r="S713" s="68">
        <f>DADOS_INVOC!$PY$48</f>
        <v/>
      </c>
      <c r="T713" s="123" t="n"/>
      <c r="U713" s="127" t="inlineStr">
        <is>
          <t>Projétil</t>
        </is>
      </c>
      <c r="V713" s="17" t="n"/>
      <c r="W713" s="68">
        <f>DADOS_INVOC!$QC$49</f>
        <v/>
      </c>
      <c r="X713" s="17" t="n"/>
      <c r="Y713" s="68">
        <f>DADOS_INVOC!$PY$49</f>
        <v/>
      </c>
      <c r="Z713" s="123" t="n"/>
      <c r="AB713" s="127" t="inlineStr">
        <is>
          <t>Projétil</t>
        </is>
      </c>
      <c r="AC713" s="17" t="n"/>
      <c r="AD713" s="68">
        <f>DADOS_INVOC!$QC$125</f>
        <v/>
      </c>
      <c r="AE713" s="17" t="n"/>
      <c r="AF713" s="68">
        <f>DADOS_INVOC!$PY$125</f>
        <v/>
      </c>
      <c r="AG713" s="123" t="n"/>
      <c r="AH713" s="127" t="inlineStr">
        <is>
          <t>Projétil</t>
        </is>
      </c>
      <c r="AI713" s="17" t="n"/>
      <c r="AJ713" s="68">
        <f>DADOS_INVOC!$QC$126</f>
        <v/>
      </c>
      <c r="AK713" s="17" t="n"/>
      <c r="AL713" s="68">
        <f>DADOS_INVOC!$PY$126</f>
        <v/>
      </c>
      <c r="AM713" s="123" t="n"/>
      <c r="AN713" s="127" t="inlineStr">
        <is>
          <t>Projétil</t>
        </is>
      </c>
      <c r="AO713" s="17" t="n"/>
      <c r="AP713" s="68">
        <f>DADOS_INVOC!$QC$127</f>
        <v/>
      </c>
      <c r="AQ713" s="17" t="n"/>
      <c r="AR713" s="68">
        <f>DADOS_INVOC!$PY$127</f>
        <v/>
      </c>
      <c r="AS713" s="123" t="n"/>
    </row>
    <row r="714" hidden="1" outlineLevel="2">
      <c r="A714" s="8" t="n"/>
      <c r="B714" s="14" t="n"/>
      <c r="C714" s="123" t="n"/>
      <c r="D714" s="123" t="n"/>
      <c r="E714" s="123" t="n"/>
      <c r="F714" s="123" t="n"/>
      <c r="G714" s="123" t="n"/>
      <c r="I714" s="127" t="n"/>
      <c r="J714" s="17" t="n"/>
      <c r="K714" s="127" t="n"/>
      <c r="L714" s="16" t="n"/>
      <c r="M714" s="17" t="n"/>
      <c r="N714" s="123" t="n"/>
      <c r="O714" s="127" t="n"/>
      <c r="P714" s="17" t="n"/>
      <c r="Q714" s="127" t="n"/>
      <c r="R714" s="16" t="n"/>
      <c r="S714" s="17" t="n"/>
      <c r="T714" s="123" t="n"/>
      <c r="U714" s="127" t="n"/>
      <c r="V714" s="17" t="n"/>
      <c r="W714" s="127" t="n"/>
      <c r="X714" s="16" t="n"/>
      <c r="Y714" s="17" t="n"/>
      <c r="Z714" s="123" t="n"/>
      <c r="AB714" s="127" t="n"/>
      <c r="AC714" s="17" t="n"/>
      <c r="AD714" s="127" t="n"/>
      <c r="AE714" s="16" t="n"/>
      <c r="AF714" s="17" t="n"/>
      <c r="AG714" s="123" t="n"/>
      <c r="AH714" s="127" t="n"/>
      <c r="AI714" s="17" t="n"/>
      <c r="AJ714" s="127" t="n"/>
      <c r="AK714" s="16" t="n"/>
      <c r="AL714" s="17" t="n"/>
      <c r="AM714" s="123" t="n"/>
      <c r="AN714" s="127" t="n"/>
      <c r="AO714" s="17" t="n"/>
      <c r="AP714" s="127" t="n"/>
      <c r="AQ714" s="16" t="n"/>
      <c r="AR714" s="17" t="n"/>
      <c r="AS714" s="123" t="n"/>
    </row>
    <row r="715" hidden="1" outlineLevel="2">
      <c r="A715" s="8" t="n"/>
      <c r="B715" s="14" t="n"/>
      <c r="C715" s="123" t="n"/>
      <c r="D715" s="123" t="n"/>
      <c r="E715" s="123" t="n"/>
      <c r="F715" s="123" t="n"/>
      <c r="G715" s="123" t="n"/>
      <c r="I715" s="127">
        <f>DADOS_INVOC!$PZ$47</f>
        <v/>
      </c>
      <c r="J715" s="17" t="n"/>
      <c r="K715" s="127">
        <f>DADOS_INVOC!$QB$47</f>
        <v/>
      </c>
      <c r="L715" s="16" t="n"/>
      <c r="M715" s="17" t="n"/>
      <c r="N715" s="123" t="n"/>
      <c r="O715" s="127">
        <f>DADOS_INVOC!$PZ$48</f>
        <v/>
      </c>
      <c r="P715" s="17" t="n"/>
      <c r="Q715" s="127">
        <f>DADOS_INVOC!$QB$48</f>
        <v/>
      </c>
      <c r="R715" s="16" t="n"/>
      <c r="S715" s="17" t="n"/>
      <c r="T715" s="123" t="n"/>
      <c r="U715" s="127">
        <f>DADOS_INVOC!$PZ$49</f>
        <v/>
      </c>
      <c r="V715" s="17" t="n"/>
      <c r="W715" s="127">
        <f>DADOS_INVOC!$QB$49</f>
        <v/>
      </c>
      <c r="X715" s="16" t="n"/>
      <c r="Y715" s="17" t="n"/>
      <c r="Z715" s="123" t="n"/>
      <c r="AB715" s="127">
        <f>DADOS_INVOC!$PZ$125</f>
        <v/>
      </c>
      <c r="AC715" s="17" t="n"/>
      <c r="AD715" s="127">
        <f>DADOS_INVOC!$QB$125</f>
        <v/>
      </c>
      <c r="AE715" s="16" t="n"/>
      <c r="AF715" s="17" t="n"/>
      <c r="AG715" s="123" t="n"/>
      <c r="AH715" s="127">
        <f>DADOS_INVOC!$PZ$126</f>
        <v/>
      </c>
      <c r="AI715" s="17" t="n"/>
      <c r="AJ715" s="127">
        <f>DADOS_INVOC!$QB$126</f>
        <v/>
      </c>
      <c r="AK715" s="16" t="n"/>
      <c r="AL715" s="17" t="n"/>
      <c r="AM715" s="123" t="n"/>
      <c r="AN715" s="127">
        <f>DADOS_INVOC!$PZ$127</f>
        <v/>
      </c>
      <c r="AO715" s="17" t="n"/>
      <c r="AP715" s="127">
        <f>DADOS_INVOC!$QB$127</f>
        <v/>
      </c>
      <c r="AQ715" s="16" t="n"/>
      <c r="AR715" s="17" t="n"/>
      <c r="AS715" s="123" t="n"/>
    </row>
    <row r="716" hidden="1" outlineLevel="2">
      <c r="A716" s="8" t="n"/>
      <c r="B716" s="14" t="n"/>
      <c r="C716" s="123" t="n"/>
      <c r="D716" s="123" t="n"/>
      <c r="E716" s="123" t="n"/>
      <c r="F716" s="123" t="n"/>
      <c r="G716" s="123" t="n"/>
      <c r="I716" s="132">
        <f>DADOS_INVOC!$QH$47</f>
        <v/>
      </c>
      <c r="J716" s="16" t="n"/>
      <c r="K716" s="16" t="n"/>
      <c r="L716" s="16" t="n"/>
      <c r="M716" s="17" t="n"/>
      <c r="N716" s="123" t="n"/>
      <c r="O716" s="132">
        <f>DADOS_INVOC!$QH$48</f>
        <v/>
      </c>
      <c r="P716" s="16" t="n"/>
      <c r="Q716" s="16" t="n"/>
      <c r="R716" s="16" t="n"/>
      <c r="S716" s="17" t="n"/>
      <c r="T716" s="123" t="n"/>
      <c r="U716" s="132">
        <f>DADOS_INVOC!$QH$49</f>
        <v/>
      </c>
      <c r="V716" s="16" t="n"/>
      <c r="W716" s="16" t="n"/>
      <c r="X716" s="16" t="n"/>
      <c r="Y716" s="17" t="n"/>
      <c r="Z716" s="123" t="n"/>
      <c r="AB716" s="132">
        <f>DADOS_INVOC!$QH$125</f>
        <v/>
      </c>
      <c r="AC716" s="16" t="n"/>
      <c r="AD716" s="16" t="n"/>
      <c r="AE716" s="16" t="n"/>
      <c r="AF716" s="17" t="n"/>
      <c r="AG716" s="123" t="n"/>
      <c r="AH716" s="132">
        <f>DADOS_INVOC!$QH$126</f>
        <v/>
      </c>
      <c r="AI716" s="16" t="n"/>
      <c r="AJ716" s="16" t="n"/>
      <c r="AK716" s="16" t="n"/>
      <c r="AL716" s="17" t="n"/>
      <c r="AM716" s="123" t="n"/>
      <c r="AN716" s="132">
        <f>DADOS_INVOC!$QH$127</f>
        <v/>
      </c>
      <c r="AO716" s="16" t="n"/>
      <c r="AP716" s="16" t="n"/>
      <c r="AQ716" s="16" t="n"/>
      <c r="AR716" s="17" t="n"/>
      <c r="AS716" s="123" t="n"/>
    </row>
    <row r="717" hidden="1" outlineLevel="3">
      <c r="A717" s="8" t="n"/>
      <c r="B717" s="14" t="n"/>
      <c r="C717" s="123" t="n"/>
      <c r="D717" s="123" t="n"/>
      <c r="E717" s="123" t="n"/>
      <c r="F717" s="123" t="n"/>
      <c r="G717" s="123" t="n"/>
      <c r="I717" s="55" t="inlineStr">
        <is>
          <t>MELHORIAS</t>
        </is>
      </c>
      <c r="J717" s="133" t="n"/>
      <c r="K717" s="16" t="n"/>
      <c r="L717" s="17" t="n"/>
      <c r="M717" s="132">
        <f>DADOS_INVOC!$QK$47</f>
        <v/>
      </c>
      <c r="N717" s="123" t="n"/>
      <c r="O717" s="55" t="inlineStr">
        <is>
          <t>MELHORIAS</t>
        </is>
      </c>
      <c r="P717" s="133" t="n"/>
      <c r="Q717" s="16" t="n"/>
      <c r="R717" s="17" t="n"/>
      <c r="S717" s="132">
        <f>DADOS_INVOC!$QK$48</f>
        <v/>
      </c>
      <c r="T717" s="123" t="n"/>
      <c r="U717" s="55" t="inlineStr">
        <is>
          <t>MELHORIAS</t>
        </is>
      </c>
      <c r="V717" s="133" t="n"/>
      <c r="W717" s="16" t="n"/>
      <c r="X717" s="17" t="n"/>
      <c r="Y717" s="132">
        <f>DADOS_INVOC!$QK$49</f>
        <v/>
      </c>
      <c r="Z717" s="123" t="n"/>
      <c r="AB717" s="55" t="inlineStr">
        <is>
          <t>MELHORIAS</t>
        </is>
      </c>
      <c r="AC717" s="133" t="n"/>
      <c r="AD717" s="16" t="n"/>
      <c r="AE717" s="17" t="n"/>
      <c r="AF717" s="132">
        <f>DADOS_INVOC!$QK$125</f>
        <v/>
      </c>
      <c r="AG717" s="123" t="n"/>
      <c r="AH717" s="55" t="inlineStr">
        <is>
          <t>MELHORIAS</t>
        </is>
      </c>
      <c r="AI717" s="133" t="n"/>
      <c r="AJ717" s="16" t="n"/>
      <c r="AK717" s="17" t="n"/>
      <c r="AL717" s="132">
        <f>DADOS_INVOC!$QK$126</f>
        <v/>
      </c>
      <c r="AM717" s="123" t="n"/>
      <c r="AN717" s="55" t="inlineStr">
        <is>
          <t>MELHORIAS</t>
        </is>
      </c>
      <c r="AO717" s="133" t="n"/>
      <c r="AP717" s="16" t="n"/>
      <c r="AQ717" s="17" t="n"/>
      <c r="AR717" s="132">
        <f>DADOS_INVOC!$QK$127</f>
        <v/>
      </c>
      <c r="AS717" s="123" t="n"/>
    </row>
    <row r="718" hidden="1" outlineLevel="3">
      <c r="A718" s="8" t="n"/>
      <c r="B718" s="14" t="n"/>
      <c r="C718" s="123" t="n"/>
      <c r="D718" s="123" t="n"/>
      <c r="E718" s="123" t="n"/>
      <c r="F718" s="123" t="n"/>
      <c r="G718" s="123" t="n"/>
      <c r="I718" s="134" t="n"/>
      <c r="J718" s="133" t="n"/>
      <c r="K718" s="16" t="n"/>
      <c r="L718" s="17" t="n"/>
      <c r="M718" s="132">
        <f>DADOS_INVOC!$QL$47</f>
        <v/>
      </c>
      <c r="N718" s="123" t="n"/>
      <c r="O718" s="134" t="n"/>
      <c r="P718" s="133" t="n"/>
      <c r="Q718" s="16" t="n"/>
      <c r="R718" s="17" t="n"/>
      <c r="S718" s="132">
        <f>DADOS_INVOC!$QL$48</f>
        <v/>
      </c>
      <c r="T718" s="123" t="n"/>
      <c r="U718" s="134" t="n"/>
      <c r="V718" s="133" t="n"/>
      <c r="W718" s="16" t="n"/>
      <c r="X718" s="17" t="n"/>
      <c r="Y718" s="132">
        <f>DADOS_INVOC!$QL$49</f>
        <v/>
      </c>
      <c r="Z718" s="123" t="n"/>
      <c r="AB718" s="134" t="n"/>
      <c r="AC718" s="133" t="n"/>
      <c r="AD718" s="16" t="n"/>
      <c r="AE718" s="17" t="n"/>
      <c r="AF718" s="132">
        <f>DADOS_INVOC!$QL$125</f>
        <v/>
      </c>
      <c r="AG718" s="123" t="n"/>
      <c r="AH718" s="134" t="n"/>
      <c r="AI718" s="133" t="n"/>
      <c r="AJ718" s="16" t="n"/>
      <c r="AK718" s="17" t="n"/>
      <c r="AL718" s="132">
        <f>DADOS_INVOC!$QL$126</f>
        <v/>
      </c>
      <c r="AM718" s="123" t="n"/>
      <c r="AN718" s="134" t="n"/>
      <c r="AO718" s="133" t="n"/>
      <c r="AP718" s="16" t="n"/>
      <c r="AQ718" s="17" t="n"/>
      <c r="AR718" s="132">
        <f>DADOS_INVOC!$QL$127</f>
        <v/>
      </c>
      <c r="AS718" s="123" t="n"/>
    </row>
    <row r="719" hidden="1" outlineLevel="3">
      <c r="A719" s="8" t="n"/>
      <c r="B719" s="14" t="n"/>
      <c r="C719" s="123" t="n"/>
      <c r="D719" s="123" t="n"/>
      <c r="E719" s="123" t="n"/>
      <c r="F719" s="123" t="n"/>
      <c r="G719" s="123" t="n"/>
      <c r="I719" s="134" t="n"/>
      <c r="J719" s="133" t="n"/>
      <c r="K719" s="16" t="n"/>
      <c r="L719" s="17" t="n"/>
      <c r="M719" s="132">
        <f>DADOS_INVOC!$QM$47</f>
        <v/>
      </c>
      <c r="N719" s="123" t="n"/>
      <c r="O719" s="134" t="n"/>
      <c r="P719" s="133" t="n"/>
      <c r="Q719" s="16" t="n"/>
      <c r="R719" s="17" t="n"/>
      <c r="S719" s="132">
        <f>DADOS_INVOC!$QM$48</f>
        <v/>
      </c>
      <c r="T719" s="123" t="n"/>
      <c r="U719" s="134" t="n"/>
      <c r="V719" s="133" t="n"/>
      <c r="W719" s="16" t="n"/>
      <c r="X719" s="17" t="n"/>
      <c r="Y719" s="132">
        <f>DADOS_INVOC!$QM$49</f>
        <v/>
      </c>
      <c r="Z719" s="123" t="n"/>
      <c r="AB719" s="134" t="n"/>
      <c r="AC719" s="133" t="n"/>
      <c r="AD719" s="16" t="n"/>
      <c r="AE719" s="17" t="n"/>
      <c r="AF719" s="132">
        <f>DADOS_INVOC!$QM$125</f>
        <v/>
      </c>
      <c r="AG719" s="123" t="n"/>
      <c r="AH719" s="134" t="n"/>
      <c r="AI719" s="133" t="n"/>
      <c r="AJ719" s="16" t="n"/>
      <c r="AK719" s="17" t="n"/>
      <c r="AL719" s="132">
        <f>DADOS_INVOC!$QM$126</f>
        <v/>
      </c>
      <c r="AM719" s="123" t="n"/>
      <c r="AN719" s="134" t="n"/>
      <c r="AO719" s="133" t="n"/>
      <c r="AP719" s="16" t="n"/>
      <c r="AQ719" s="17" t="n"/>
      <c r="AR719" s="132">
        <f>DADOS_INVOC!$QM$127</f>
        <v/>
      </c>
      <c r="AS719" s="123" t="n"/>
    </row>
    <row r="720" hidden="1" outlineLevel="3">
      <c r="A720" s="8" t="n"/>
      <c r="B720" s="14" t="n"/>
      <c r="C720" s="123" t="n"/>
      <c r="D720" s="123" t="n"/>
      <c r="E720" s="123" t="n"/>
      <c r="F720" s="123" t="n"/>
      <c r="G720" s="123" t="n"/>
      <c r="I720" s="128" t="n"/>
      <c r="J720" s="133" t="n"/>
      <c r="K720" s="16" t="n"/>
      <c r="L720" s="17" t="n"/>
      <c r="M720" s="132">
        <f>DADOS_INVOC!$QN$47</f>
        <v/>
      </c>
      <c r="N720" s="123" t="n"/>
      <c r="O720" s="128" t="n"/>
      <c r="P720" s="133" t="n"/>
      <c r="Q720" s="16" t="n"/>
      <c r="R720" s="17" t="n"/>
      <c r="S720" s="132">
        <f>DADOS_INVOC!$QN$48</f>
        <v/>
      </c>
      <c r="T720" s="123" t="n"/>
      <c r="U720" s="128" t="n"/>
      <c r="V720" s="133" t="n"/>
      <c r="W720" s="16" t="n"/>
      <c r="X720" s="17" t="n"/>
      <c r="Y720" s="132">
        <f>DADOS_INVOC!$QN$49</f>
        <v/>
      </c>
      <c r="Z720" s="123" t="n"/>
      <c r="AB720" s="128" t="n"/>
      <c r="AC720" s="133" t="n"/>
      <c r="AD720" s="16" t="n"/>
      <c r="AE720" s="17" t="n"/>
      <c r="AF720" s="132">
        <f>DADOS_INVOC!$QN$125</f>
        <v/>
      </c>
      <c r="AG720" s="123" t="n"/>
      <c r="AH720" s="128" t="n"/>
      <c r="AI720" s="133" t="n"/>
      <c r="AJ720" s="16" t="n"/>
      <c r="AK720" s="17" t="n"/>
      <c r="AL720" s="132">
        <f>DADOS_INVOC!$QN$126</f>
        <v/>
      </c>
      <c r="AM720" s="123" t="n"/>
      <c r="AN720" s="128" t="n"/>
      <c r="AO720" s="133" t="n"/>
      <c r="AP720" s="16" t="n"/>
      <c r="AQ720" s="17" t="n"/>
      <c r="AR720" s="132">
        <f>DADOS_INVOC!$QN$127</f>
        <v/>
      </c>
      <c r="AS720" s="123" t="n"/>
    </row>
    <row r="721" hidden="1" outlineLevel="3">
      <c r="A721" s="8" t="n"/>
      <c r="B721" s="14" t="n"/>
      <c r="C721" s="123" t="n"/>
      <c r="D721" s="123" t="n"/>
      <c r="E721" s="123" t="n"/>
      <c r="F721" s="123" t="n"/>
      <c r="G721" s="123" t="n"/>
      <c r="I721" s="55" t="inlineStr">
        <is>
          <t>RESTRIÇÕES</t>
        </is>
      </c>
      <c r="J721" s="133" t="n"/>
      <c r="K721" s="16" t="n"/>
      <c r="L721" s="17" t="n"/>
      <c r="M721" s="132">
        <f>DADOS_INVOC!$QO$47</f>
        <v/>
      </c>
      <c r="N721" s="123" t="n"/>
      <c r="O721" s="55" t="inlineStr">
        <is>
          <t>RESTRIÇÕES</t>
        </is>
      </c>
      <c r="P721" s="133" t="n"/>
      <c r="Q721" s="16" t="n"/>
      <c r="R721" s="17" t="n"/>
      <c r="S721" s="132">
        <f>DADOS_INVOC!$QO$48</f>
        <v/>
      </c>
      <c r="T721" s="123" t="n"/>
      <c r="U721" s="55" t="inlineStr">
        <is>
          <t>RESTRIÇÕES</t>
        </is>
      </c>
      <c r="V721" s="133" t="n"/>
      <c r="W721" s="16" t="n"/>
      <c r="X721" s="17" t="n"/>
      <c r="Y721" s="132">
        <f>DADOS_INVOC!$QO$49</f>
        <v/>
      </c>
      <c r="Z721" s="123" t="n"/>
      <c r="AB721" s="55" t="inlineStr">
        <is>
          <t>RESTRIÇÕES</t>
        </is>
      </c>
      <c r="AC721" s="133" t="n"/>
      <c r="AD721" s="16" t="n"/>
      <c r="AE721" s="17" t="n"/>
      <c r="AF721" s="132">
        <f>DADOS_INVOC!$QO$125</f>
        <v/>
      </c>
      <c r="AG721" s="123" t="n"/>
      <c r="AH721" s="55" t="inlineStr">
        <is>
          <t>RESTRIÇÕES</t>
        </is>
      </c>
      <c r="AI721" s="133" t="n"/>
      <c r="AJ721" s="16" t="n"/>
      <c r="AK721" s="17" t="n"/>
      <c r="AL721" s="132">
        <f>DADOS_INVOC!$QO$126</f>
        <v/>
      </c>
      <c r="AM721" s="123" t="n"/>
      <c r="AN721" s="55" t="inlineStr">
        <is>
          <t>RESTRIÇÕES</t>
        </is>
      </c>
      <c r="AO721" s="133" t="n"/>
      <c r="AP721" s="16" t="n"/>
      <c r="AQ721" s="17" t="n"/>
      <c r="AR721" s="132">
        <f>DADOS_INVOC!$QO$127</f>
        <v/>
      </c>
      <c r="AS721" s="123" t="n"/>
    </row>
    <row r="722" hidden="1" outlineLevel="3">
      <c r="A722" s="8" t="n"/>
      <c r="B722" s="14" t="n"/>
      <c r="C722" s="123" t="n"/>
      <c r="D722" s="123" t="n"/>
      <c r="E722" s="123" t="n"/>
      <c r="F722" s="123" t="n"/>
      <c r="G722" s="123" t="n"/>
      <c r="I722" s="128" t="n"/>
      <c r="J722" s="133" t="n"/>
      <c r="K722" s="16" t="n"/>
      <c r="L722" s="17" t="n"/>
      <c r="M722" s="132">
        <f>DADOS_INVOC!$QP$47</f>
        <v/>
      </c>
      <c r="N722" s="123" t="n"/>
      <c r="O722" s="128" t="n"/>
      <c r="P722" s="133" t="n"/>
      <c r="Q722" s="16" t="n"/>
      <c r="R722" s="17" t="n"/>
      <c r="S722" s="132">
        <f>DADOS_INVOC!$QP$48</f>
        <v/>
      </c>
      <c r="T722" s="123" t="n"/>
      <c r="U722" s="128" t="n"/>
      <c r="V722" s="133" t="n"/>
      <c r="W722" s="16" t="n"/>
      <c r="X722" s="17" t="n"/>
      <c r="Y722" s="132">
        <f>DADOS_INVOC!$QP$49</f>
        <v/>
      </c>
      <c r="Z722" s="123" t="n"/>
      <c r="AB722" s="128" t="n"/>
      <c r="AC722" s="133" t="n"/>
      <c r="AD722" s="16" t="n"/>
      <c r="AE722" s="17" t="n"/>
      <c r="AF722" s="132">
        <f>DADOS_INVOC!$QP$125</f>
        <v/>
      </c>
      <c r="AG722" s="123" t="n"/>
      <c r="AH722" s="128" t="n"/>
      <c r="AI722" s="133" t="n"/>
      <c r="AJ722" s="16" t="n"/>
      <c r="AK722" s="17" t="n"/>
      <c r="AL722" s="132">
        <f>DADOS_INVOC!$QP$126</f>
        <v/>
      </c>
      <c r="AM722" s="123" t="n"/>
      <c r="AN722" s="128" t="n"/>
      <c r="AO722" s="133" t="n"/>
      <c r="AP722" s="16" t="n"/>
      <c r="AQ722" s="17" t="n"/>
      <c r="AR722" s="132">
        <f>DADOS_INVOC!$QP$127</f>
        <v/>
      </c>
      <c r="AS722" s="123" t="n"/>
    </row>
    <row r="723" hidden="1" outlineLevel="3">
      <c r="A723" s="8" t="n"/>
      <c r="B723" s="14" t="n"/>
      <c r="C723" s="123" t="n"/>
      <c r="D723" s="123" t="n"/>
      <c r="E723" s="123" t="n"/>
      <c r="F723" s="123" t="n"/>
      <c r="G723" s="123" t="n"/>
      <c r="I723" s="55" t="inlineStr">
        <is>
          <t>CONTA</t>
        </is>
      </c>
      <c r="J723" s="135">
        <f>DADOS_INVOC!$QI$47</f>
        <v/>
      </c>
      <c r="K723" s="16" t="n"/>
      <c r="L723" s="16" t="n"/>
      <c r="M723" s="17" t="n"/>
      <c r="N723" s="123" t="n"/>
      <c r="O723" s="55" t="inlineStr">
        <is>
          <t>CONTA</t>
        </is>
      </c>
      <c r="P723" s="135">
        <f>DADOS_INVOC!$QI$48</f>
        <v/>
      </c>
      <c r="Q723" s="16" t="n"/>
      <c r="R723" s="16" t="n"/>
      <c r="S723" s="17" t="n"/>
      <c r="T723" s="123" t="n"/>
      <c r="U723" s="55" t="inlineStr">
        <is>
          <t>CONTA</t>
        </is>
      </c>
      <c r="V723" s="135">
        <f>DADOS_INVOC!$QI$49</f>
        <v/>
      </c>
      <c r="W723" s="16" t="n"/>
      <c r="X723" s="16" t="n"/>
      <c r="Y723" s="17" t="n"/>
      <c r="Z723" s="123" t="n"/>
      <c r="AB723" s="55" t="inlineStr">
        <is>
          <t>CONTA</t>
        </is>
      </c>
      <c r="AC723" s="135">
        <f>DADOS_INVOC!$QI$125</f>
        <v/>
      </c>
      <c r="AD723" s="16" t="n"/>
      <c r="AE723" s="16" t="n"/>
      <c r="AF723" s="17" t="n"/>
      <c r="AG723" s="123" t="n"/>
      <c r="AH723" s="55" t="inlineStr">
        <is>
          <t>CONTA</t>
        </is>
      </c>
      <c r="AI723" s="135">
        <f>DADOS_INVOC!$QI$126</f>
        <v/>
      </c>
      <c r="AJ723" s="16" t="n"/>
      <c r="AK723" s="16" t="n"/>
      <c r="AL723" s="17" t="n"/>
      <c r="AM723" s="123" t="n"/>
      <c r="AN723" s="55" t="inlineStr">
        <is>
          <t>CONTA</t>
        </is>
      </c>
      <c r="AO723" s="135">
        <f>DADOS_INVOC!$QI$127</f>
        <v/>
      </c>
      <c r="AP723" s="16" t="n"/>
      <c r="AQ723" s="16" t="n"/>
      <c r="AR723" s="17" t="n"/>
      <c r="AS723" s="123" t="n"/>
    </row>
    <row r="724" hidden="1" outlineLevel="3">
      <c r="A724" s="8" t="n"/>
      <c r="B724" s="14" t="n"/>
      <c r="C724" s="123" t="n"/>
      <c r="D724" s="123" t="n"/>
      <c r="E724" s="123" t="n"/>
      <c r="F724" s="123" t="n"/>
      <c r="G724" s="123" t="n"/>
      <c r="I724" s="55" t="inlineStr">
        <is>
          <t>AMPLIAR</t>
        </is>
      </c>
      <c r="J724" s="135">
        <f>DADOS_INVOC!$QJ$47</f>
        <v/>
      </c>
      <c r="K724" s="19" t="n"/>
      <c r="L724" s="19" t="n"/>
      <c r="M724" s="20" t="n"/>
      <c r="N724" s="123" t="n"/>
      <c r="O724" s="55" t="inlineStr">
        <is>
          <t>AMPLIAR</t>
        </is>
      </c>
      <c r="P724" s="135">
        <f>DADOS_INVOC!$QJ$48</f>
        <v/>
      </c>
      <c r="Q724" s="19" t="n"/>
      <c r="R724" s="19" t="n"/>
      <c r="S724" s="20" t="n"/>
      <c r="T724" s="123" t="n"/>
      <c r="U724" s="55" t="inlineStr">
        <is>
          <t>AMPLIAR</t>
        </is>
      </c>
      <c r="V724" s="135">
        <f>DADOS_INVOC!$QJ$49</f>
        <v/>
      </c>
      <c r="W724" s="19" t="n"/>
      <c r="X724" s="19" t="n"/>
      <c r="Y724" s="20" t="n"/>
      <c r="Z724" s="123" t="n"/>
      <c r="AB724" s="55" t="inlineStr">
        <is>
          <t>AMPLIAR</t>
        </is>
      </c>
      <c r="AC724" s="135">
        <f>DADOS_INVOC!$QJ$125</f>
        <v/>
      </c>
      <c r="AD724" s="19" t="n"/>
      <c r="AE724" s="19" t="n"/>
      <c r="AF724" s="20" t="n"/>
      <c r="AG724" s="123" t="n"/>
      <c r="AH724" s="55" t="inlineStr">
        <is>
          <t>AMPLIAR</t>
        </is>
      </c>
      <c r="AI724" s="135">
        <f>DADOS_INVOC!$QJ$126</f>
        <v/>
      </c>
      <c r="AJ724" s="19" t="n"/>
      <c r="AK724" s="19" t="n"/>
      <c r="AL724" s="20" t="n"/>
      <c r="AM724" s="123" t="n"/>
      <c r="AN724" s="55" t="inlineStr">
        <is>
          <t>AMPLIAR</t>
        </is>
      </c>
      <c r="AO724" s="135">
        <f>DADOS_INVOC!$QJ$127</f>
        <v/>
      </c>
      <c r="AP724" s="19" t="n"/>
      <c r="AQ724" s="19" t="n"/>
      <c r="AR724" s="20" t="n"/>
      <c r="AS724" s="123" t="n"/>
    </row>
    <row r="725" hidden="1" outlineLevel="3">
      <c r="A725" s="8" t="n"/>
      <c r="B725" s="14" t="n"/>
      <c r="C725" s="123" t="n"/>
      <c r="D725" s="123" t="n"/>
      <c r="E725" s="123" t="n"/>
      <c r="F725" s="123" t="n"/>
      <c r="G725" s="123" t="n"/>
      <c r="I725" s="128" t="n"/>
      <c r="J725" s="23" t="n"/>
      <c r="K725" s="24" t="n"/>
      <c r="L725" s="24" t="n"/>
      <c r="M725" s="25" t="n"/>
      <c r="N725" s="123" t="n"/>
      <c r="O725" s="128" t="n"/>
      <c r="P725" s="23" t="n"/>
      <c r="Q725" s="24" t="n"/>
      <c r="R725" s="24" t="n"/>
      <c r="S725" s="25" t="n"/>
      <c r="T725" s="123" t="n"/>
      <c r="U725" s="128" t="n"/>
      <c r="V725" s="23" t="n"/>
      <c r="W725" s="24" t="n"/>
      <c r="X725" s="24" t="n"/>
      <c r="Y725" s="25" t="n"/>
      <c r="Z725" s="123" t="n"/>
      <c r="AB725" s="128" t="n"/>
      <c r="AC725" s="23" t="n"/>
      <c r="AD725" s="24" t="n"/>
      <c r="AE725" s="24" t="n"/>
      <c r="AF725" s="25" t="n"/>
      <c r="AG725" s="123" t="n"/>
      <c r="AH725" s="128" t="n"/>
      <c r="AI725" s="23" t="n"/>
      <c r="AJ725" s="24" t="n"/>
      <c r="AK725" s="24" t="n"/>
      <c r="AL725" s="25" t="n"/>
      <c r="AM725" s="123" t="n"/>
      <c r="AN725" s="128" t="n"/>
      <c r="AO725" s="23" t="n"/>
      <c r="AP725" s="24" t="n"/>
      <c r="AQ725" s="24" t="n"/>
      <c r="AR725" s="25" t="n"/>
      <c r="AS725" s="123" t="n"/>
    </row>
    <row r="726" hidden="1" outlineLevel="3">
      <c r="A726" s="8" t="n"/>
      <c r="B726" s="14" t="n"/>
      <c r="C726" s="123" t="n"/>
      <c r="D726" s="123" t="n"/>
      <c r="E726" s="123" t="n"/>
      <c r="F726" s="123" t="n"/>
      <c r="G726" s="123" t="n"/>
      <c r="I726" s="135">
        <f>DADOS_INVOC!$PW$47</f>
        <v/>
      </c>
      <c r="J726" s="19" t="n"/>
      <c r="K726" s="19" t="n"/>
      <c r="L726" s="19" t="n"/>
      <c r="M726" s="20" t="n"/>
      <c r="N726" s="123" t="n"/>
      <c r="O726" s="135">
        <f>DADOS_INVOC!$PW$48</f>
        <v/>
      </c>
      <c r="P726" s="19" t="n"/>
      <c r="Q726" s="19" t="n"/>
      <c r="R726" s="19" t="n"/>
      <c r="S726" s="20" t="n"/>
      <c r="T726" s="123" t="n"/>
      <c r="U726" s="135">
        <f>DADOS_INVOC!$PW$49</f>
        <v/>
      </c>
      <c r="V726" s="19" t="n"/>
      <c r="W726" s="19" t="n"/>
      <c r="X726" s="19" t="n"/>
      <c r="Y726" s="20" t="n"/>
      <c r="Z726" s="123" t="n"/>
      <c r="AB726" s="135">
        <f>DADOS_INVOC!$PW$125</f>
        <v/>
      </c>
      <c r="AC726" s="19" t="n"/>
      <c r="AD726" s="19" t="n"/>
      <c r="AE726" s="19" t="n"/>
      <c r="AF726" s="20" t="n"/>
      <c r="AG726" s="123" t="n"/>
      <c r="AH726" s="135">
        <f>DADOS_INVOC!$PW$126</f>
        <v/>
      </c>
      <c r="AI726" s="19" t="n"/>
      <c r="AJ726" s="19" t="n"/>
      <c r="AK726" s="19" t="n"/>
      <c r="AL726" s="20" t="n"/>
      <c r="AM726" s="123" t="n"/>
      <c r="AN726" s="135">
        <f>DADOS_INVOC!$PW$127</f>
        <v/>
      </c>
      <c r="AO726" s="19" t="n"/>
      <c r="AP726" s="19" t="n"/>
      <c r="AQ726" s="19" t="n"/>
      <c r="AR726" s="20" t="n"/>
      <c r="AS726" s="123" t="n"/>
    </row>
    <row r="727" hidden="1" outlineLevel="3">
      <c r="A727" s="8" t="n"/>
      <c r="B727" s="14" t="n"/>
      <c r="C727" s="123" t="n"/>
      <c r="D727" s="123" t="n"/>
      <c r="E727" s="123" t="n"/>
      <c r="F727" s="123" t="n"/>
      <c r="G727" s="123" t="n"/>
      <c r="I727" s="23" t="n"/>
      <c r="J727" s="24" t="n"/>
      <c r="K727" s="24" t="n"/>
      <c r="L727" s="24" t="n"/>
      <c r="M727" s="25" t="n"/>
      <c r="N727" s="123" t="n"/>
      <c r="O727" s="23" t="n"/>
      <c r="P727" s="24" t="n"/>
      <c r="Q727" s="24" t="n"/>
      <c r="R727" s="24" t="n"/>
      <c r="S727" s="25" t="n"/>
      <c r="T727" s="123" t="n"/>
      <c r="U727" s="23" t="n"/>
      <c r="V727" s="24" t="n"/>
      <c r="W727" s="24" t="n"/>
      <c r="X727" s="24" t="n"/>
      <c r="Y727" s="25" t="n"/>
      <c r="Z727" s="123" t="n"/>
      <c r="AB727" s="23" t="n"/>
      <c r="AC727" s="24" t="n"/>
      <c r="AD727" s="24" t="n"/>
      <c r="AE727" s="24" t="n"/>
      <c r="AF727" s="25" t="n"/>
      <c r="AG727" s="123" t="n"/>
      <c r="AH727" s="23" t="n"/>
      <c r="AI727" s="24" t="n"/>
      <c r="AJ727" s="24" t="n"/>
      <c r="AK727" s="24" t="n"/>
      <c r="AL727" s="25" t="n"/>
      <c r="AM727" s="123" t="n"/>
      <c r="AN727" s="23" t="n"/>
      <c r="AO727" s="24" t="n"/>
      <c r="AP727" s="24" t="n"/>
      <c r="AQ727" s="24" t="n"/>
      <c r="AR727" s="25" t="n"/>
      <c r="AS727" s="123" t="n"/>
    </row>
    <row r="728" hidden="1" outlineLevel="2">
      <c r="A728" s="8" t="n"/>
      <c r="B728" s="14" t="n"/>
      <c r="C728" s="123" t="n"/>
      <c r="D728" s="123" t="n"/>
      <c r="E728" s="123" t="n"/>
      <c r="F728" s="123" t="n"/>
      <c r="G728" s="123" t="n"/>
      <c r="I728" s="123" t="n"/>
      <c r="J728" s="123" t="n"/>
      <c r="K728" s="123" t="n"/>
      <c r="L728" s="123" t="n"/>
      <c r="M728" s="123" t="n"/>
      <c r="N728" s="123" t="n"/>
      <c r="O728" s="123" t="n"/>
      <c r="P728" s="123" t="n"/>
      <c r="Q728" s="123" t="n"/>
      <c r="R728" s="123" t="n"/>
      <c r="S728" s="123" t="n"/>
      <c r="T728" s="123" t="n"/>
      <c r="U728" s="123" t="n"/>
      <c r="V728" s="123" t="n"/>
      <c r="W728" s="123" t="n"/>
      <c r="X728" s="123" t="n"/>
      <c r="Y728" s="123" t="n"/>
      <c r="Z728" s="123" t="n"/>
      <c r="AB728" s="123" t="n"/>
      <c r="AC728" s="123" t="n"/>
      <c r="AD728" s="123" t="n"/>
      <c r="AE728" s="123" t="n"/>
      <c r="AF728" s="123" t="n"/>
      <c r="AG728" s="123" t="n"/>
      <c r="AH728" s="123" t="n"/>
      <c r="AI728" s="123" t="n"/>
      <c r="AJ728" s="123" t="n"/>
      <c r="AK728" s="123" t="n"/>
      <c r="AL728" s="123" t="n"/>
      <c r="AM728" s="123" t="n"/>
      <c r="AN728" s="123" t="n"/>
      <c r="AO728" s="123" t="n"/>
      <c r="AP728" s="123" t="n"/>
      <c r="AQ728" s="123" t="n"/>
      <c r="AR728" s="123" t="n"/>
      <c r="AS728" s="123" t="n"/>
    </row>
    <row r="729" hidden="1" outlineLevel="2">
      <c r="A729" s="8" t="n"/>
      <c r="B729" s="14" t="n"/>
      <c r="C729" s="123" t="n"/>
      <c r="D729" s="123" t="n"/>
      <c r="E729" s="123" t="n"/>
      <c r="F729" s="123" t="n"/>
      <c r="G729" s="123" t="n"/>
      <c r="I729" s="55">
        <f>DADOS_INVOC!$PX$50</f>
        <v/>
      </c>
      <c r="J729" s="16" t="n"/>
      <c r="K729" s="16" t="n"/>
      <c r="L729" s="16" t="n"/>
      <c r="M729" s="17" t="n"/>
      <c r="N729" s="123" t="n"/>
      <c r="O729" s="123" t="n"/>
      <c r="P729" s="123" t="n"/>
      <c r="Q729" s="123" t="n"/>
      <c r="R729" s="123" t="n"/>
      <c r="S729" s="123" t="n"/>
      <c r="T729" s="123" t="n"/>
      <c r="U729" s="123" t="n"/>
      <c r="V729" s="123" t="n"/>
      <c r="W729" s="123" t="n"/>
      <c r="X729" s="123" t="n"/>
      <c r="Y729" s="123" t="n"/>
      <c r="Z729" s="123" t="n"/>
      <c r="AB729" s="55">
        <f>DADOS_INVOC!$PX$128</f>
        <v/>
      </c>
      <c r="AC729" s="16" t="n"/>
      <c r="AD729" s="16" t="n"/>
      <c r="AE729" s="16" t="n"/>
      <c r="AF729" s="17" t="n"/>
      <c r="AG729" s="123" t="n"/>
      <c r="AH729" s="123" t="n"/>
      <c r="AI729" s="123" t="n"/>
      <c r="AJ729" s="123" t="n"/>
      <c r="AK729" s="123" t="n"/>
      <c r="AL729" s="123" t="n"/>
      <c r="AM729" s="123" t="n"/>
      <c r="AN729" s="123" t="n"/>
      <c r="AO729" s="123" t="n"/>
      <c r="AP729" s="123" t="n"/>
      <c r="AQ729" s="123" t="n"/>
      <c r="AR729" s="123" t="n"/>
      <c r="AS729" s="123" t="n"/>
    </row>
    <row r="730" hidden="1" outlineLevel="2">
      <c r="A730" s="8" t="n"/>
      <c r="B730" s="14" t="n"/>
      <c r="C730" s="123" t="n"/>
      <c r="D730" s="123" t="n"/>
      <c r="E730" s="123" t="n"/>
      <c r="F730" s="123" t="n"/>
      <c r="G730" s="123" t="n"/>
      <c r="I730" s="130" t="n">
        <v>1</v>
      </c>
      <c r="J730" s="118" t="n"/>
      <c r="K730" s="16" t="n"/>
      <c r="L730" s="17" t="n"/>
      <c r="M730" s="131">
        <f>DADOS_INVOC!$PV$50</f>
        <v/>
      </c>
      <c r="N730" s="123" t="n"/>
      <c r="O730" s="123" t="n"/>
      <c r="P730" s="123" t="n"/>
      <c r="Q730" s="123" t="n"/>
      <c r="R730" s="123" t="n"/>
      <c r="S730" s="123" t="n"/>
      <c r="T730" s="123" t="n"/>
      <c r="U730" s="123" t="n"/>
      <c r="V730" s="123" t="n"/>
      <c r="W730" s="123" t="n"/>
      <c r="X730" s="123" t="n"/>
      <c r="Y730" s="123" t="n"/>
      <c r="Z730" s="123" t="n"/>
      <c r="AB730" s="130" t="n">
        <v>1</v>
      </c>
      <c r="AC730" s="118" t="n"/>
      <c r="AD730" s="16" t="n"/>
      <c r="AE730" s="17" t="n"/>
      <c r="AF730" s="131">
        <f>DADOS_INVOC!$PV$128</f>
        <v/>
      </c>
      <c r="AG730" s="123" t="n"/>
      <c r="AH730" s="123" t="n"/>
      <c r="AI730" s="123" t="n"/>
      <c r="AJ730" s="123" t="n"/>
      <c r="AK730" s="123" t="n"/>
      <c r="AL730" s="123" t="n"/>
      <c r="AM730" s="123" t="n"/>
      <c r="AN730" s="123" t="n"/>
      <c r="AO730" s="123" t="n"/>
      <c r="AP730" s="123" t="n"/>
      <c r="AQ730" s="123" t="n"/>
      <c r="AR730" s="123" t="n"/>
      <c r="AS730" s="123" t="n"/>
    </row>
    <row r="731" hidden="1" outlineLevel="3">
      <c r="A731" s="8" t="n"/>
      <c r="B731" s="14" t="n"/>
      <c r="C731" s="123" t="n"/>
      <c r="D731" s="123" t="n"/>
      <c r="E731" s="123" t="n"/>
      <c r="F731" s="123" t="n"/>
      <c r="G731" s="123" t="n"/>
      <c r="I731" s="55" t="inlineStr">
        <is>
          <t>COMO É</t>
        </is>
      </c>
      <c r="J731" s="16" t="n"/>
      <c r="K731" s="16" t="n"/>
      <c r="L731" s="16" t="n"/>
      <c r="M731" s="17" t="n"/>
      <c r="N731" s="123" t="n"/>
      <c r="O731" s="123" t="n"/>
      <c r="P731" s="123" t="n"/>
      <c r="Q731" s="123" t="n"/>
      <c r="R731" s="123" t="n"/>
      <c r="S731" s="123" t="n"/>
      <c r="T731" s="123" t="n"/>
      <c r="U731" s="123" t="n"/>
      <c r="V731" s="123" t="n"/>
      <c r="W731" s="123" t="n"/>
      <c r="X731" s="123" t="n"/>
      <c r="Y731" s="123" t="n"/>
      <c r="Z731" s="123" t="n"/>
      <c r="AB731" s="55" t="inlineStr">
        <is>
          <t>COMO É</t>
        </is>
      </c>
      <c r="AC731" s="16" t="n"/>
      <c r="AD731" s="16" t="n"/>
      <c r="AE731" s="16" t="n"/>
      <c r="AF731" s="17" t="n"/>
      <c r="AG731" s="123" t="n"/>
      <c r="AH731" s="123" t="n"/>
      <c r="AI731" s="123" t="n"/>
      <c r="AJ731" s="123" t="n"/>
      <c r="AK731" s="123" t="n"/>
      <c r="AL731" s="123" t="n"/>
      <c r="AM731" s="123" t="n"/>
      <c r="AN731" s="123" t="n"/>
      <c r="AO731" s="123" t="n"/>
      <c r="AP731" s="123" t="n"/>
      <c r="AQ731" s="123" t="n"/>
      <c r="AR731" s="123" t="n"/>
      <c r="AS731" s="123" t="n"/>
    </row>
    <row r="732" hidden="1" outlineLevel="3">
      <c r="A732" s="8" t="n"/>
      <c r="B732" s="14" t="n"/>
      <c r="C732" s="123" t="n"/>
      <c r="D732" s="123" t="n"/>
      <c r="E732" s="123" t="n"/>
      <c r="F732" s="123" t="n"/>
      <c r="G732" s="123" t="n"/>
      <c r="I732" s="119" t="n"/>
      <c r="J732" s="19" t="n"/>
      <c r="K732" s="19" t="n"/>
      <c r="L732" s="19" t="n"/>
      <c r="M732" s="20" t="n"/>
      <c r="N732" s="123" t="n"/>
      <c r="O732" s="123" t="n"/>
      <c r="P732" s="123" t="n"/>
      <c r="Q732" s="123" t="n"/>
      <c r="R732" s="123" t="n"/>
      <c r="S732" s="123" t="n"/>
      <c r="T732" s="123" t="n"/>
      <c r="U732" s="123" t="n"/>
      <c r="V732" s="123" t="n"/>
      <c r="W732" s="123" t="n"/>
      <c r="X732" s="123" t="n"/>
      <c r="Y732" s="123" t="n"/>
      <c r="Z732" s="123" t="n"/>
      <c r="AB732" s="119" t="n"/>
      <c r="AC732" s="19" t="n"/>
      <c r="AD732" s="19" t="n"/>
      <c r="AE732" s="19" t="n"/>
      <c r="AF732" s="20" t="n"/>
      <c r="AG732" s="123" t="n"/>
      <c r="AH732" s="123" t="n"/>
      <c r="AI732" s="123" t="n"/>
      <c r="AJ732" s="123" t="n"/>
      <c r="AK732" s="123" t="n"/>
      <c r="AL732" s="123" t="n"/>
      <c r="AM732" s="123" t="n"/>
      <c r="AN732" s="123" t="n"/>
      <c r="AO732" s="123" t="n"/>
      <c r="AP732" s="123" t="n"/>
      <c r="AQ732" s="123" t="n"/>
      <c r="AR732" s="123" t="n"/>
      <c r="AS732" s="123" t="n"/>
    </row>
    <row r="733" hidden="1" outlineLevel="3">
      <c r="A733" s="8" t="n"/>
      <c r="B733" s="14" t="n"/>
      <c r="C733" s="123" t="n"/>
      <c r="D733" s="123" t="n"/>
      <c r="E733" s="123" t="n"/>
      <c r="F733" s="123" t="n"/>
      <c r="G733" s="123" t="n"/>
      <c r="I733" s="21" t="n"/>
      <c r="M733" s="22" t="n"/>
      <c r="N733" s="123" t="n"/>
      <c r="O733" s="123" t="n"/>
      <c r="P733" s="123" t="n"/>
      <c r="Q733" s="123" t="n"/>
      <c r="R733" s="123" t="n"/>
      <c r="S733" s="123" t="n"/>
      <c r="T733" s="123" t="n"/>
      <c r="U733" s="123" t="n"/>
      <c r="V733" s="123" t="n"/>
      <c r="W733" s="123" t="n"/>
      <c r="X733" s="123" t="n"/>
      <c r="Y733" s="123" t="n"/>
      <c r="Z733" s="123" t="n"/>
      <c r="AB733" s="21" t="n"/>
      <c r="AF733" s="22" t="n"/>
      <c r="AG733" s="123" t="n"/>
      <c r="AH733" s="123" t="n"/>
      <c r="AI733" s="123" t="n"/>
      <c r="AJ733" s="123" t="n"/>
      <c r="AK733" s="123" t="n"/>
      <c r="AL733" s="123" t="n"/>
      <c r="AM733" s="123" t="n"/>
      <c r="AN733" s="123" t="n"/>
      <c r="AO733" s="123" t="n"/>
      <c r="AP733" s="123" t="n"/>
      <c r="AQ733" s="123" t="n"/>
      <c r="AR733" s="123" t="n"/>
      <c r="AS733" s="123" t="n"/>
    </row>
    <row r="734" hidden="1" outlineLevel="3">
      <c r="A734" s="8" t="n"/>
      <c r="B734" s="14" t="n"/>
      <c r="C734" s="123" t="n"/>
      <c r="D734" s="123" t="n"/>
      <c r="E734" s="123" t="n"/>
      <c r="F734" s="123" t="n"/>
      <c r="G734" s="123" t="n"/>
      <c r="I734" s="23" t="n"/>
      <c r="J734" s="24" t="n"/>
      <c r="K734" s="24" t="n"/>
      <c r="L734" s="24" t="n"/>
      <c r="M734" s="25" t="n"/>
      <c r="N734" s="123" t="n"/>
      <c r="O734" s="123" t="n"/>
      <c r="P734" s="123" t="n"/>
      <c r="Q734" s="123" t="n"/>
      <c r="R734" s="123" t="n"/>
      <c r="S734" s="123" t="n"/>
      <c r="T734" s="123" t="n"/>
      <c r="U734" s="123" t="n"/>
      <c r="V734" s="123" t="n"/>
      <c r="W734" s="123" t="n"/>
      <c r="X734" s="123" t="n"/>
      <c r="Y734" s="123" t="n"/>
      <c r="Z734" s="123" t="n"/>
      <c r="AB734" s="23" t="n"/>
      <c r="AC734" s="24" t="n"/>
      <c r="AD734" s="24" t="n"/>
      <c r="AE734" s="24" t="n"/>
      <c r="AF734" s="25" t="n"/>
      <c r="AG734" s="123" t="n"/>
      <c r="AH734" s="123" t="n"/>
      <c r="AI734" s="123" t="n"/>
      <c r="AJ734" s="123" t="n"/>
      <c r="AK734" s="123" t="n"/>
      <c r="AL734" s="123" t="n"/>
      <c r="AM734" s="123" t="n"/>
      <c r="AN734" s="123" t="n"/>
      <c r="AO734" s="123" t="n"/>
      <c r="AP734" s="123" t="n"/>
      <c r="AQ734" s="123" t="n"/>
      <c r="AR734" s="123" t="n"/>
      <c r="AS734" s="123" t="n"/>
    </row>
    <row r="735" hidden="1" outlineLevel="2">
      <c r="A735" s="8" t="n"/>
      <c r="B735" s="14" t="n"/>
      <c r="C735" s="123" t="n"/>
      <c r="D735" s="123" t="n"/>
      <c r="E735" s="123" t="n"/>
      <c r="F735" s="123" t="n"/>
      <c r="G735" s="123" t="n"/>
      <c r="I735" s="127" t="inlineStr">
        <is>
          <t>Projétil</t>
        </is>
      </c>
      <c r="J735" s="17" t="n"/>
      <c r="K735" s="68">
        <f>DADOS_INVOC!$QC$50</f>
        <v/>
      </c>
      <c r="L735" s="17" t="n"/>
      <c r="M735" s="68">
        <f>DADOS_INVOC!$PY$50</f>
        <v/>
      </c>
      <c r="N735" s="123" t="n"/>
      <c r="O735" s="123" t="n"/>
      <c r="P735" s="123" t="n"/>
      <c r="Q735" s="123" t="n"/>
      <c r="R735" s="123" t="n"/>
      <c r="S735" s="123" t="n"/>
      <c r="T735" s="123" t="n"/>
      <c r="U735" s="123" t="n"/>
      <c r="V735" s="123" t="n"/>
      <c r="W735" s="123" t="n"/>
      <c r="X735" s="123" t="n"/>
      <c r="Y735" s="123" t="n"/>
      <c r="Z735" s="123" t="n"/>
      <c r="AB735" s="127" t="inlineStr">
        <is>
          <t>Projétil</t>
        </is>
      </c>
      <c r="AC735" s="17" t="n"/>
      <c r="AD735" s="68">
        <f>DADOS_INVOC!$QC$128</f>
        <v/>
      </c>
      <c r="AE735" s="17" t="n"/>
      <c r="AF735" s="68">
        <f>DADOS_INVOC!$PY$128</f>
        <v/>
      </c>
      <c r="AG735" s="123" t="n"/>
      <c r="AH735" s="123" t="n"/>
      <c r="AI735" s="123" t="n"/>
      <c r="AJ735" s="123" t="n"/>
      <c r="AK735" s="123" t="n"/>
      <c r="AL735" s="123" t="n"/>
      <c r="AM735" s="123" t="n"/>
      <c r="AN735" s="123" t="n"/>
      <c r="AO735" s="123" t="n"/>
      <c r="AP735" s="123" t="n"/>
      <c r="AQ735" s="123" t="n"/>
      <c r="AR735" s="123" t="n"/>
      <c r="AS735" s="123" t="n"/>
    </row>
    <row r="736" hidden="1" outlineLevel="2">
      <c r="A736" s="8" t="n"/>
      <c r="B736" s="14" t="n"/>
      <c r="C736" s="123" t="n"/>
      <c r="D736" s="123" t="n"/>
      <c r="E736" s="123" t="n"/>
      <c r="F736" s="123" t="n"/>
      <c r="G736" s="123" t="n"/>
      <c r="I736" s="127" t="n"/>
      <c r="J736" s="17" t="n"/>
      <c r="K736" s="127" t="n"/>
      <c r="L736" s="16" t="n"/>
      <c r="M736" s="17" t="n"/>
      <c r="N736" s="123" t="n"/>
      <c r="O736" s="123" t="n"/>
      <c r="P736" s="123" t="n"/>
      <c r="Q736" s="123" t="n"/>
      <c r="R736" s="123" t="n"/>
      <c r="S736" s="123" t="n"/>
      <c r="T736" s="123" t="n"/>
      <c r="U736" s="123" t="n"/>
      <c r="V736" s="123" t="n"/>
      <c r="W736" s="123" t="n"/>
      <c r="X736" s="123" t="n"/>
      <c r="Y736" s="123" t="n"/>
      <c r="Z736" s="123" t="n"/>
      <c r="AB736" s="127" t="n"/>
      <c r="AC736" s="17" t="n"/>
      <c r="AD736" s="127" t="n"/>
      <c r="AE736" s="16" t="n"/>
      <c r="AF736" s="17" t="n"/>
      <c r="AG736" s="123" t="n"/>
      <c r="AH736" s="123" t="n"/>
      <c r="AI736" s="123" t="n"/>
      <c r="AJ736" s="123" t="n"/>
      <c r="AK736" s="123" t="n"/>
      <c r="AL736" s="123" t="n"/>
      <c r="AM736" s="123" t="n"/>
      <c r="AN736" s="123" t="n"/>
      <c r="AO736" s="123" t="n"/>
      <c r="AP736" s="123" t="n"/>
      <c r="AQ736" s="123" t="n"/>
      <c r="AR736" s="123" t="n"/>
      <c r="AS736" s="123" t="n"/>
    </row>
    <row r="737" hidden="1" outlineLevel="2">
      <c r="A737" s="8" t="n"/>
      <c r="B737" s="14" t="n"/>
      <c r="C737" s="123" t="n"/>
      <c r="D737" s="123" t="n"/>
      <c r="E737" s="123" t="n"/>
      <c r="F737" s="123" t="n"/>
      <c r="G737" s="123" t="n"/>
      <c r="I737" s="127">
        <f>DADOS_INVOC!$PZ$50</f>
        <v/>
      </c>
      <c r="J737" s="17" t="n"/>
      <c r="K737" s="127">
        <f>DADOS_INVOC!$QB$50</f>
        <v/>
      </c>
      <c r="L737" s="16" t="n"/>
      <c r="M737" s="17" t="n"/>
      <c r="N737" s="123" t="n"/>
      <c r="O737" s="123" t="n"/>
      <c r="P737" s="123" t="n"/>
      <c r="Q737" s="123" t="n"/>
      <c r="R737" s="123" t="n"/>
      <c r="S737" s="123" t="n"/>
      <c r="T737" s="123" t="n"/>
      <c r="U737" s="123" t="n"/>
      <c r="V737" s="123" t="n"/>
      <c r="W737" s="123" t="n"/>
      <c r="X737" s="123" t="n"/>
      <c r="Y737" s="123" t="n"/>
      <c r="Z737" s="123" t="n"/>
      <c r="AB737" s="127">
        <f>DADOS_INVOC!$PZ$128</f>
        <v/>
      </c>
      <c r="AC737" s="17" t="n"/>
      <c r="AD737" s="127">
        <f>DADOS_INVOC!$QB$128</f>
        <v/>
      </c>
      <c r="AE737" s="16" t="n"/>
      <c r="AF737" s="17" t="n"/>
      <c r="AG737" s="123" t="n"/>
      <c r="AH737" s="123" t="n"/>
      <c r="AI737" s="123" t="n"/>
      <c r="AJ737" s="123" t="n"/>
      <c r="AK737" s="123" t="n"/>
      <c r="AL737" s="123" t="n"/>
      <c r="AM737" s="123" t="n"/>
      <c r="AN737" s="123" t="n"/>
      <c r="AO737" s="123" t="n"/>
      <c r="AP737" s="123" t="n"/>
      <c r="AQ737" s="123" t="n"/>
      <c r="AR737" s="123" t="n"/>
      <c r="AS737" s="123" t="n"/>
    </row>
    <row r="738" hidden="1" outlineLevel="2">
      <c r="A738" s="8" t="n"/>
      <c r="B738" s="14" t="n"/>
      <c r="C738" s="123" t="n"/>
      <c r="D738" s="123" t="n"/>
      <c r="E738" s="123" t="n"/>
      <c r="F738" s="123" t="n"/>
      <c r="G738" s="123" t="n"/>
      <c r="I738" s="132">
        <f>DADOS_INVOC!$QH$50</f>
        <v/>
      </c>
      <c r="J738" s="16" t="n"/>
      <c r="K738" s="16" t="n"/>
      <c r="L738" s="16" t="n"/>
      <c r="M738" s="17" t="n"/>
      <c r="N738" s="123" t="n"/>
      <c r="O738" s="123" t="n"/>
      <c r="P738" s="123" t="n"/>
      <c r="Q738" s="123" t="n"/>
      <c r="R738" s="123" t="n"/>
      <c r="S738" s="123" t="n"/>
      <c r="T738" s="123" t="n"/>
      <c r="U738" s="123" t="n"/>
      <c r="V738" s="123" t="n"/>
      <c r="W738" s="123" t="n"/>
      <c r="X738" s="123" t="n"/>
      <c r="Y738" s="123" t="n"/>
      <c r="Z738" s="123" t="n"/>
      <c r="AB738" s="132">
        <f>DADOS_INVOC!$QH$128</f>
        <v/>
      </c>
      <c r="AC738" s="16" t="n"/>
      <c r="AD738" s="16" t="n"/>
      <c r="AE738" s="16" t="n"/>
      <c r="AF738" s="17" t="n"/>
      <c r="AG738" s="123" t="n"/>
      <c r="AH738" s="123" t="n"/>
      <c r="AI738" s="123" t="n"/>
      <c r="AJ738" s="123" t="n"/>
      <c r="AK738" s="123" t="n"/>
      <c r="AL738" s="123" t="n"/>
      <c r="AM738" s="123" t="n"/>
      <c r="AN738" s="123" t="n"/>
      <c r="AO738" s="123" t="n"/>
      <c r="AP738" s="123" t="n"/>
      <c r="AQ738" s="123" t="n"/>
      <c r="AR738" s="123" t="n"/>
      <c r="AS738" s="123" t="n"/>
    </row>
    <row r="739" hidden="1" outlineLevel="3">
      <c r="A739" s="8" t="n"/>
      <c r="B739" s="14" t="n"/>
      <c r="C739" s="123" t="n"/>
      <c r="D739" s="123" t="n"/>
      <c r="E739" s="123" t="n"/>
      <c r="F739" s="123" t="n"/>
      <c r="G739" s="123" t="n"/>
      <c r="I739" s="55" t="inlineStr">
        <is>
          <t>MELHORIAS</t>
        </is>
      </c>
      <c r="J739" s="133" t="n"/>
      <c r="K739" s="16" t="n"/>
      <c r="L739" s="17" t="n"/>
      <c r="M739" s="132">
        <f>DADOS_INVOC!$QK$50</f>
        <v/>
      </c>
      <c r="N739" s="123" t="n"/>
      <c r="O739" s="123" t="n"/>
      <c r="P739" s="123" t="n"/>
      <c r="Q739" s="123" t="n"/>
      <c r="R739" s="123" t="n"/>
      <c r="S739" s="123" t="n"/>
      <c r="T739" s="123" t="n"/>
      <c r="U739" s="123" t="n"/>
      <c r="V739" s="123" t="n"/>
      <c r="W739" s="123" t="n"/>
      <c r="X739" s="123" t="n"/>
      <c r="Y739" s="123" t="n"/>
      <c r="Z739" s="123" t="n"/>
      <c r="AB739" s="55" t="inlineStr">
        <is>
          <t>MELHORIAS</t>
        </is>
      </c>
      <c r="AC739" s="133" t="n"/>
      <c r="AD739" s="16" t="n"/>
      <c r="AE739" s="17" t="n"/>
      <c r="AF739" s="132">
        <f>DADOS_INVOC!$QK$128</f>
        <v/>
      </c>
      <c r="AG739" s="123" t="n"/>
      <c r="AH739" s="123" t="n"/>
      <c r="AI739" s="123" t="n"/>
      <c r="AJ739" s="123" t="n"/>
      <c r="AK739" s="123" t="n"/>
      <c r="AL739" s="123" t="n"/>
      <c r="AM739" s="123" t="n"/>
      <c r="AN739" s="123" t="n"/>
      <c r="AO739" s="123" t="n"/>
      <c r="AP739" s="123" t="n"/>
      <c r="AQ739" s="123" t="n"/>
      <c r="AR739" s="123" t="n"/>
      <c r="AS739" s="123" t="n"/>
    </row>
    <row r="740" hidden="1" outlineLevel="3">
      <c r="A740" s="8" t="n"/>
      <c r="B740" s="14" t="n"/>
      <c r="C740" s="123" t="n"/>
      <c r="D740" s="123" t="n"/>
      <c r="E740" s="123" t="n"/>
      <c r="F740" s="123" t="n"/>
      <c r="G740" s="123" t="n"/>
      <c r="I740" s="134" t="n"/>
      <c r="J740" s="133" t="n"/>
      <c r="K740" s="16" t="n"/>
      <c r="L740" s="17" t="n"/>
      <c r="M740" s="132">
        <f>DADOS_INVOC!$QL$50</f>
        <v/>
      </c>
      <c r="N740" s="123" t="n"/>
      <c r="O740" s="123" t="n"/>
      <c r="P740" s="123" t="n"/>
      <c r="Q740" s="123" t="n"/>
      <c r="R740" s="123" t="n"/>
      <c r="S740" s="123" t="n"/>
      <c r="T740" s="123" t="n"/>
      <c r="U740" s="123" t="n"/>
      <c r="V740" s="123" t="n"/>
      <c r="W740" s="123" t="n"/>
      <c r="X740" s="123" t="n"/>
      <c r="Y740" s="123" t="n"/>
      <c r="Z740" s="123" t="n"/>
      <c r="AB740" s="134" t="n"/>
      <c r="AC740" s="133" t="n"/>
      <c r="AD740" s="16" t="n"/>
      <c r="AE740" s="17" t="n"/>
      <c r="AF740" s="132">
        <f>DADOS_INVOC!$QL$128</f>
        <v/>
      </c>
      <c r="AG740" s="123" t="n"/>
      <c r="AH740" s="123" t="n"/>
      <c r="AI740" s="123" t="n"/>
      <c r="AJ740" s="123" t="n"/>
      <c r="AK740" s="123" t="n"/>
      <c r="AL740" s="123" t="n"/>
      <c r="AM740" s="123" t="n"/>
      <c r="AN740" s="123" t="n"/>
      <c r="AO740" s="123" t="n"/>
      <c r="AP740" s="123" t="n"/>
      <c r="AQ740" s="123" t="n"/>
      <c r="AR740" s="123" t="n"/>
      <c r="AS740" s="123" t="n"/>
    </row>
    <row r="741" hidden="1" outlineLevel="3">
      <c r="A741" s="8" t="n"/>
      <c r="B741" s="14" t="n"/>
      <c r="C741" s="123" t="n"/>
      <c r="D741" s="123" t="n"/>
      <c r="E741" s="123" t="n"/>
      <c r="F741" s="123" t="n"/>
      <c r="G741" s="123" t="n"/>
      <c r="I741" s="134" t="n"/>
      <c r="J741" s="133" t="n"/>
      <c r="K741" s="16" t="n"/>
      <c r="L741" s="17" t="n"/>
      <c r="M741" s="132">
        <f>DADOS_INVOC!$QM$50</f>
        <v/>
      </c>
      <c r="N741" s="123" t="n"/>
      <c r="O741" s="123" t="n"/>
      <c r="P741" s="123" t="n"/>
      <c r="Q741" s="123" t="n"/>
      <c r="R741" s="123" t="n"/>
      <c r="S741" s="123" t="n"/>
      <c r="T741" s="123" t="n"/>
      <c r="U741" s="123" t="n"/>
      <c r="V741" s="123" t="n"/>
      <c r="W741" s="123" t="n"/>
      <c r="X741" s="123" t="n"/>
      <c r="Y741" s="123" t="n"/>
      <c r="Z741" s="123" t="n"/>
      <c r="AB741" s="134" t="n"/>
      <c r="AC741" s="133" t="n"/>
      <c r="AD741" s="16" t="n"/>
      <c r="AE741" s="17" t="n"/>
      <c r="AF741" s="132">
        <f>DADOS_INVOC!$QM$128</f>
        <v/>
      </c>
      <c r="AG741" s="123" t="n"/>
      <c r="AH741" s="123" t="n"/>
      <c r="AI741" s="123" t="n"/>
      <c r="AJ741" s="123" t="n"/>
      <c r="AK741" s="123" t="n"/>
      <c r="AL741" s="123" t="n"/>
      <c r="AM741" s="123" t="n"/>
      <c r="AN741" s="123" t="n"/>
      <c r="AO741" s="123" t="n"/>
      <c r="AP741" s="123" t="n"/>
      <c r="AQ741" s="123" t="n"/>
      <c r="AR741" s="123" t="n"/>
      <c r="AS741" s="123" t="n"/>
    </row>
    <row r="742" hidden="1" outlineLevel="3">
      <c r="A742" s="8" t="n"/>
      <c r="B742" s="14" t="n"/>
      <c r="C742" s="123" t="n"/>
      <c r="D742" s="123" t="n"/>
      <c r="E742" s="123" t="n"/>
      <c r="F742" s="123" t="n"/>
      <c r="G742" s="123" t="n"/>
      <c r="I742" s="128" t="n"/>
      <c r="J742" s="133" t="n"/>
      <c r="K742" s="16" t="n"/>
      <c r="L742" s="17" t="n"/>
      <c r="M742" s="132">
        <f>DADOS_INVOC!$QN$50</f>
        <v/>
      </c>
      <c r="N742" s="123" t="n"/>
      <c r="O742" s="123" t="n"/>
      <c r="P742" s="123" t="n"/>
      <c r="Q742" s="123" t="n"/>
      <c r="R742" s="123" t="n"/>
      <c r="S742" s="123" t="n"/>
      <c r="T742" s="123" t="n"/>
      <c r="U742" s="123" t="n"/>
      <c r="V742" s="123" t="n"/>
      <c r="W742" s="123" t="n"/>
      <c r="X742" s="123" t="n"/>
      <c r="Y742" s="123" t="n"/>
      <c r="Z742" s="123" t="n"/>
      <c r="AB742" s="128" t="n"/>
      <c r="AC742" s="133" t="n"/>
      <c r="AD742" s="16" t="n"/>
      <c r="AE742" s="17" t="n"/>
      <c r="AF742" s="132">
        <f>DADOS_INVOC!$QN$128</f>
        <v/>
      </c>
      <c r="AG742" s="123" t="n"/>
      <c r="AH742" s="123" t="n"/>
      <c r="AI742" s="123" t="n"/>
      <c r="AJ742" s="123" t="n"/>
      <c r="AK742" s="123" t="n"/>
      <c r="AL742" s="123" t="n"/>
      <c r="AM742" s="123" t="n"/>
      <c r="AN742" s="123" t="n"/>
      <c r="AO742" s="123" t="n"/>
      <c r="AP742" s="123" t="n"/>
      <c r="AQ742" s="123" t="n"/>
      <c r="AR742" s="123" t="n"/>
      <c r="AS742" s="123" t="n"/>
    </row>
    <row r="743" hidden="1" outlineLevel="3">
      <c r="A743" s="8" t="n"/>
      <c r="B743" s="14" t="n"/>
      <c r="C743" s="123" t="n"/>
      <c r="D743" s="123" t="n"/>
      <c r="E743" s="123" t="n"/>
      <c r="F743" s="123" t="n"/>
      <c r="G743" s="123" t="n"/>
      <c r="I743" s="55" t="inlineStr">
        <is>
          <t>RESTRIÇÕES</t>
        </is>
      </c>
      <c r="J743" s="133" t="n"/>
      <c r="K743" s="16" t="n"/>
      <c r="L743" s="17" t="n"/>
      <c r="M743" s="132">
        <f>DADOS_INVOC!$QO$50</f>
        <v/>
      </c>
      <c r="N743" s="123" t="n"/>
      <c r="O743" s="123" t="n"/>
      <c r="P743" s="123" t="n"/>
      <c r="Q743" s="123" t="n"/>
      <c r="R743" s="123" t="n"/>
      <c r="S743" s="123" t="n"/>
      <c r="T743" s="123" t="n"/>
      <c r="U743" s="123" t="n"/>
      <c r="V743" s="123" t="n"/>
      <c r="W743" s="123" t="n"/>
      <c r="X743" s="123" t="n"/>
      <c r="Y743" s="123" t="n"/>
      <c r="Z743" s="123" t="n"/>
      <c r="AB743" s="55" t="inlineStr">
        <is>
          <t>RESTRIÇÕES</t>
        </is>
      </c>
      <c r="AC743" s="133" t="n"/>
      <c r="AD743" s="16" t="n"/>
      <c r="AE743" s="17" t="n"/>
      <c r="AF743" s="132">
        <f>DADOS_INVOC!$QO$128</f>
        <v/>
      </c>
      <c r="AG743" s="123" t="n"/>
      <c r="AH743" s="123" t="n"/>
      <c r="AI743" s="123" t="n"/>
      <c r="AJ743" s="123" t="n"/>
      <c r="AK743" s="123" t="n"/>
      <c r="AL743" s="123" t="n"/>
      <c r="AM743" s="123" t="n"/>
      <c r="AN743" s="123" t="n"/>
      <c r="AO743" s="123" t="n"/>
      <c r="AP743" s="123" t="n"/>
      <c r="AQ743" s="123" t="n"/>
      <c r="AR743" s="123" t="n"/>
      <c r="AS743" s="123" t="n"/>
    </row>
    <row r="744" hidden="1" outlineLevel="3">
      <c r="A744" s="8" t="n"/>
      <c r="B744" s="14" t="n"/>
      <c r="C744" s="123" t="n"/>
      <c r="D744" s="123" t="n"/>
      <c r="E744" s="123" t="n"/>
      <c r="F744" s="123" t="n"/>
      <c r="G744" s="123" t="n"/>
      <c r="I744" s="128" t="n"/>
      <c r="J744" s="133" t="n"/>
      <c r="K744" s="16" t="n"/>
      <c r="L744" s="17" t="n"/>
      <c r="M744" s="132">
        <f>DADOS_INVOC!$QP$50</f>
        <v/>
      </c>
      <c r="N744" s="123" t="n"/>
      <c r="O744" s="123" t="n"/>
      <c r="P744" s="123" t="n"/>
      <c r="Q744" s="123" t="n"/>
      <c r="R744" s="123" t="n"/>
      <c r="S744" s="123" t="n"/>
      <c r="T744" s="123" t="n"/>
      <c r="U744" s="123" t="n"/>
      <c r="V744" s="123" t="n"/>
      <c r="W744" s="123" t="n"/>
      <c r="X744" s="123" t="n"/>
      <c r="Y744" s="123" t="n"/>
      <c r="Z744" s="123" t="n"/>
      <c r="AB744" s="128" t="n"/>
      <c r="AC744" s="133" t="n"/>
      <c r="AD744" s="16" t="n"/>
      <c r="AE744" s="17" t="n"/>
      <c r="AF744" s="132">
        <f>DADOS_INVOC!$QP$128</f>
        <v/>
      </c>
      <c r="AG744" s="123" t="n"/>
      <c r="AH744" s="123" t="n"/>
      <c r="AI744" s="123" t="n"/>
      <c r="AJ744" s="123" t="n"/>
      <c r="AK744" s="123" t="n"/>
      <c r="AL744" s="123" t="n"/>
      <c r="AM744" s="123" t="n"/>
      <c r="AN744" s="123" t="n"/>
      <c r="AO744" s="123" t="n"/>
      <c r="AP744" s="123" t="n"/>
      <c r="AQ744" s="123" t="n"/>
      <c r="AR744" s="123" t="n"/>
      <c r="AS744" s="123" t="n"/>
    </row>
    <row r="745" hidden="1" outlineLevel="3">
      <c r="A745" s="8" t="n"/>
      <c r="B745" s="14" t="n"/>
      <c r="C745" s="123" t="n"/>
      <c r="D745" s="123" t="n"/>
      <c r="E745" s="123" t="n"/>
      <c r="F745" s="123" t="n"/>
      <c r="G745" s="123" t="n"/>
      <c r="I745" s="55" t="inlineStr">
        <is>
          <t>CONTA</t>
        </is>
      </c>
      <c r="J745" s="135">
        <f>DADOS_INVOC!$QI$50</f>
        <v/>
      </c>
      <c r="K745" s="16" t="n"/>
      <c r="L745" s="16" t="n"/>
      <c r="M745" s="17" t="n"/>
      <c r="N745" s="123" t="n"/>
      <c r="O745" s="123" t="n"/>
      <c r="P745" s="123" t="n"/>
      <c r="Q745" s="123" t="n"/>
      <c r="R745" s="123" t="n"/>
      <c r="S745" s="123" t="n"/>
      <c r="T745" s="123" t="n"/>
      <c r="U745" s="123" t="n"/>
      <c r="V745" s="123" t="n"/>
      <c r="W745" s="123" t="n"/>
      <c r="X745" s="123" t="n"/>
      <c r="Y745" s="123" t="n"/>
      <c r="Z745" s="123" t="n"/>
      <c r="AB745" s="55" t="inlineStr">
        <is>
          <t>CONTA</t>
        </is>
      </c>
      <c r="AC745" s="135">
        <f>DADOS_INVOC!$QI$128</f>
        <v/>
      </c>
      <c r="AD745" s="16" t="n"/>
      <c r="AE745" s="16" t="n"/>
      <c r="AF745" s="17" t="n"/>
      <c r="AG745" s="123" t="n"/>
      <c r="AH745" s="123" t="n"/>
      <c r="AI745" s="123" t="n"/>
      <c r="AJ745" s="123" t="n"/>
      <c r="AK745" s="123" t="n"/>
      <c r="AL745" s="123" t="n"/>
      <c r="AM745" s="123" t="n"/>
      <c r="AN745" s="123" t="n"/>
      <c r="AO745" s="123" t="n"/>
      <c r="AP745" s="123" t="n"/>
      <c r="AQ745" s="123" t="n"/>
      <c r="AR745" s="123" t="n"/>
      <c r="AS745" s="123" t="n"/>
    </row>
    <row r="746" hidden="1" outlineLevel="3">
      <c r="A746" s="8" t="n"/>
      <c r="B746" s="14" t="n"/>
      <c r="C746" s="123" t="n"/>
      <c r="D746" s="123" t="n"/>
      <c r="E746" s="123" t="n"/>
      <c r="F746" s="123" t="n"/>
      <c r="G746" s="123" t="n"/>
      <c r="I746" s="55" t="inlineStr">
        <is>
          <t>AMPLIAR</t>
        </is>
      </c>
      <c r="J746" s="135">
        <f>DADOS_INVOC!$QJ$50</f>
        <v/>
      </c>
      <c r="K746" s="19" t="n"/>
      <c r="L746" s="19" t="n"/>
      <c r="M746" s="20" t="n"/>
      <c r="N746" s="123" t="n"/>
      <c r="O746" s="123" t="n"/>
      <c r="P746" s="123" t="n"/>
      <c r="Q746" s="123" t="n"/>
      <c r="R746" s="123" t="n"/>
      <c r="S746" s="123" t="n"/>
      <c r="T746" s="123" t="n"/>
      <c r="U746" s="123" t="n"/>
      <c r="V746" s="123" t="n"/>
      <c r="W746" s="123" t="n"/>
      <c r="X746" s="123" t="n"/>
      <c r="Y746" s="123" t="n"/>
      <c r="Z746" s="123" t="n"/>
      <c r="AB746" s="55" t="inlineStr">
        <is>
          <t>AMPLIAR</t>
        </is>
      </c>
      <c r="AC746" s="135">
        <f>DADOS_INVOC!$QJ$128</f>
        <v/>
      </c>
      <c r="AD746" s="19" t="n"/>
      <c r="AE746" s="19" t="n"/>
      <c r="AF746" s="20" t="n"/>
      <c r="AG746" s="123" t="n"/>
      <c r="AH746" s="123" t="n"/>
      <c r="AI746" s="123" t="n"/>
      <c r="AJ746" s="123" t="n"/>
      <c r="AK746" s="123" t="n"/>
      <c r="AL746" s="123" t="n"/>
      <c r="AM746" s="123" t="n"/>
      <c r="AN746" s="123" t="n"/>
      <c r="AO746" s="123" t="n"/>
      <c r="AP746" s="123" t="n"/>
      <c r="AQ746" s="123" t="n"/>
      <c r="AR746" s="123" t="n"/>
      <c r="AS746" s="123" t="n"/>
    </row>
    <row r="747" hidden="1" outlineLevel="3">
      <c r="A747" s="8" t="n"/>
      <c r="B747" s="14" t="n"/>
      <c r="C747" s="123" t="n"/>
      <c r="D747" s="123" t="n"/>
      <c r="E747" s="123" t="n"/>
      <c r="F747" s="123" t="n"/>
      <c r="G747" s="123" t="n"/>
      <c r="I747" s="128" t="n"/>
      <c r="J747" s="23" t="n"/>
      <c r="K747" s="24" t="n"/>
      <c r="L747" s="24" t="n"/>
      <c r="M747" s="25" t="n"/>
      <c r="N747" s="123" t="n"/>
      <c r="O747" s="123" t="n"/>
      <c r="P747" s="123" t="n"/>
      <c r="Q747" s="123" t="n"/>
      <c r="R747" s="123" t="n"/>
      <c r="S747" s="123" t="n"/>
      <c r="T747" s="123" t="n"/>
      <c r="U747" s="123" t="n"/>
      <c r="V747" s="123" t="n"/>
      <c r="W747" s="123" t="n"/>
      <c r="X747" s="123" t="n"/>
      <c r="Y747" s="123" t="n"/>
      <c r="Z747" s="123" t="n"/>
      <c r="AB747" s="128" t="n"/>
      <c r="AC747" s="23" t="n"/>
      <c r="AD747" s="24" t="n"/>
      <c r="AE747" s="24" t="n"/>
      <c r="AF747" s="25" t="n"/>
      <c r="AG747" s="123" t="n"/>
      <c r="AH747" s="123" t="n"/>
      <c r="AI747" s="123" t="n"/>
      <c r="AJ747" s="123" t="n"/>
      <c r="AK747" s="123" t="n"/>
      <c r="AL747" s="123" t="n"/>
      <c r="AM747" s="123" t="n"/>
      <c r="AN747" s="123" t="n"/>
      <c r="AO747" s="123" t="n"/>
      <c r="AP747" s="123" t="n"/>
      <c r="AQ747" s="123" t="n"/>
      <c r="AR747" s="123" t="n"/>
      <c r="AS747" s="123" t="n"/>
    </row>
    <row r="748" hidden="1" outlineLevel="3">
      <c r="A748" s="8" t="n"/>
      <c r="B748" s="14" t="n"/>
      <c r="C748" s="123" t="n"/>
      <c r="D748" s="123" t="n"/>
      <c r="E748" s="123" t="n"/>
      <c r="F748" s="123" t="n"/>
      <c r="G748" s="123" t="n"/>
      <c r="I748" s="135">
        <f>DADOS_INVOC!$PW$50</f>
        <v/>
      </c>
      <c r="J748" s="19" t="n"/>
      <c r="K748" s="19" t="n"/>
      <c r="L748" s="19" t="n"/>
      <c r="M748" s="20" t="n"/>
      <c r="N748" s="123" t="n"/>
      <c r="O748" s="123" t="n"/>
      <c r="P748" s="123" t="n"/>
      <c r="Q748" s="123" t="n"/>
      <c r="R748" s="123" t="n"/>
      <c r="S748" s="123" t="n"/>
      <c r="T748" s="123" t="n"/>
      <c r="U748" s="123" t="n"/>
      <c r="V748" s="123" t="n"/>
      <c r="W748" s="123" t="n"/>
      <c r="X748" s="123" t="n"/>
      <c r="Y748" s="123" t="n"/>
      <c r="Z748" s="123" t="n"/>
      <c r="AB748" s="135">
        <f>DADOS_INVOC!$PW$128</f>
        <v/>
      </c>
      <c r="AC748" s="19" t="n"/>
      <c r="AD748" s="19" t="n"/>
      <c r="AE748" s="19" t="n"/>
      <c r="AF748" s="20" t="n"/>
      <c r="AG748" s="123" t="n"/>
      <c r="AH748" s="123" t="n"/>
      <c r="AI748" s="123" t="n"/>
      <c r="AJ748" s="123" t="n"/>
      <c r="AK748" s="123" t="n"/>
      <c r="AL748" s="123" t="n"/>
      <c r="AM748" s="123" t="n"/>
      <c r="AN748" s="123" t="n"/>
      <c r="AO748" s="123" t="n"/>
      <c r="AP748" s="123" t="n"/>
      <c r="AQ748" s="123" t="n"/>
      <c r="AR748" s="123" t="n"/>
      <c r="AS748" s="123" t="n"/>
    </row>
    <row r="749" hidden="1" outlineLevel="3">
      <c r="A749" s="8" t="n"/>
      <c r="B749" s="14" t="n"/>
      <c r="C749" s="123" t="n"/>
      <c r="D749" s="123" t="n"/>
      <c r="E749" s="123" t="n"/>
      <c r="F749" s="123" t="n"/>
      <c r="G749" s="123" t="n"/>
      <c r="I749" s="23" t="n"/>
      <c r="J749" s="24" t="n"/>
      <c r="K749" s="24" t="n"/>
      <c r="L749" s="24" t="n"/>
      <c r="M749" s="25" t="n"/>
      <c r="N749" s="123" t="n"/>
      <c r="O749" s="123" t="n"/>
      <c r="P749" s="123" t="n"/>
      <c r="Q749" s="123" t="n"/>
      <c r="R749" s="123" t="n"/>
      <c r="S749" s="123" t="n"/>
      <c r="T749" s="123" t="n"/>
      <c r="U749" s="123" t="n"/>
      <c r="V749" s="123" t="n"/>
      <c r="W749" s="123" t="n"/>
      <c r="X749" s="123" t="n"/>
      <c r="Y749" s="123" t="n"/>
      <c r="Z749" s="123" t="n"/>
      <c r="AB749" s="23" t="n"/>
      <c r="AC749" s="24" t="n"/>
      <c r="AD749" s="24" t="n"/>
      <c r="AE749" s="24" t="n"/>
      <c r="AF749" s="25" t="n"/>
      <c r="AG749" s="123" t="n"/>
      <c r="AH749" s="123" t="n"/>
      <c r="AI749" s="123" t="n"/>
      <c r="AJ749" s="123" t="n"/>
      <c r="AK749" s="123" t="n"/>
      <c r="AL749" s="123" t="n"/>
      <c r="AM749" s="123" t="n"/>
      <c r="AN749" s="123" t="n"/>
      <c r="AO749" s="123" t="n"/>
      <c r="AP749" s="123" t="n"/>
      <c r="AQ749" s="123" t="n"/>
      <c r="AR749" s="123" t="n"/>
      <c r="AS749" s="123" t="n"/>
    </row>
    <row r="750" hidden="1" outlineLevel="1">
      <c r="A750" s="8" t="n"/>
      <c r="B750" s="14" t="n"/>
      <c r="C750" s="123" t="n"/>
      <c r="D750" s="123" t="n"/>
      <c r="E750" s="123" t="n"/>
      <c r="F750" s="123" t="n"/>
      <c r="G750" s="123" t="n"/>
      <c r="I750" s="123" t="n"/>
      <c r="J750" s="123" t="n"/>
      <c r="K750" s="123" t="n"/>
      <c r="L750" s="123" t="n"/>
      <c r="M750" s="123" t="n"/>
      <c r="N750" s="123" t="n"/>
      <c r="O750" s="123" t="n"/>
      <c r="P750" s="123" t="n"/>
      <c r="Q750" s="123" t="n"/>
      <c r="R750" s="123" t="n"/>
      <c r="S750" s="123" t="n"/>
      <c r="T750" s="123" t="n"/>
      <c r="U750" s="123" t="n"/>
      <c r="V750" s="123" t="n"/>
      <c r="W750" s="123" t="n"/>
      <c r="X750" s="123" t="n"/>
      <c r="Y750" s="123" t="n"/>
      <c r="Z750" s="123" t="n"/>
      <c r="AB750" s="123" t="n"/>
      <c r="AC750" s="123" t="n"/>
      <c r="AD750" s="123" t="n"/>
      <c r="AE750" s="123" t="n"/>
      <c r="AF750" s="123" t="n"/>
      <c r="AG750" s="123" t="n"/>
      <c r="AH750" s="123" t="n"/>
      <c r="AI750" s="123" t="n"/>
      <c r="AJ750" s="123" t="n"/>
      <c r="AK750" s="123" t="n"/>
      <c r="AL750" s="123" t="n"/>
      <c r="AM750" s="123" t="n"/>
      <c r="AN750" s="123" t="n"/>
      <c r="AO750" s="123" t="n"/>
      <c r="AP750" s="123" t="n"/>
      <c r="AQ750" s="123" t="n"/>
      <c r="AR750" s="123" t="n"/>
      <c r="AS750" s="123" t="n"/>
    </row>
    <row r="751" hidden="1" outlineLevel="1">
      <c r="A751" s="8" t="n"/>
      <c r="B751" s="14" t="n"/>
      <c r="C751" s="123" t="n"/>
      <c r="D751" s="123" t="n"/>
      <c r="E751" s="123" t="n"/>
      <c r="F751" s="123" t="n"/>
      <c r="G751" s="123" t="n"/>
      <c r="I751" s="136"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23" t="n"/>
      <c r="AB751" s="136"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23" t="n"/>
    </row>
    <row r="752" hidden="1" outlineLevel="2">
      <c r="A752" s="8" t="n"/>
      <c r="B752" s="14" t="n"/>
      <c r="C752" s="123" t="n"/>
      <c r="D752" s="123" t="n"/>
      <c r="E752" s="123" t="n"/>
      <c r="F752" s="123" t="n"/>
      <c r="G752" s="123" t="n"/>
      <c r="I752" s="123" t="n"/>
      <c r="J752" s="123" t="n"/>
      <c r="K752" s="123" t="n"/>
      <c r="L752" s="123" t="n"/>
      <c r="M752" s="123" t="n"/>
      <c r="N752" s="123" t="n"/>
      <c r="O752" s="123" t="n"/>
      <c r="P752" s="123" t="n"/>
      <c r="Q752" s="123" t="n"/>
      <c r="R752" s="123" t="n"/>
      <c r="S752" s="123" t="n"/>
      <c r="T752" s="123" t="n"/>
      <c r="U752" s="123" t="n"/>
      <c r="V752" s="123" t="n"/>
      <c r="W752" s="123" t="n"/>
      <c r="X752" s="123" t="n"/>
      <c r="Y752" s="123" t="n"/>
      <c r="Z752" s="123" t="n"/>
      <c r="AB752" s="123" t="n"/>
      <c r="AC752" s="123" t="n"/>
      <c r="AD752" s="123" t="n"/>
      <c r="AE752" s="123" t="n"/>
      <c r="AF752" s="123" t="n"/>
      <c r="AG752" s="123" t="n"/>
      <c r="AH752" s="123" t="n"/>
      <c r="AI752" s="123" t="n"/>
      <c r="AJ752" s="123" t="n"/>
      <c r="AK752" s="123" t="n"/>
      <c r="AL752" s="123" t="n"/>
      <c r="AM752" s="123" t="n"/>
      <c r="AN752" s="123" t="n"/>
      <c r="AO752" s="123" t="n"/>
      <c r="AP752" s="123" t="n"/>
      <c r="AQ752" s="123" t="n"/>
      <c r="AR752" s="123" t="n"/>
      <c r="AS752" s="123" t="n"/>
    </row>
    <row r="753" hidden="1" outlineLevel="2">
      <c r="A753" s="8" t="n"/>
      <c r="B753" s="14" t="n"/>
      <c r="C753" s="123" t="n"/>
      <c r="D753" s="123" t="n"/>
      <c r="E753" s="123" t="n"/>
      <c r="F753" s="123" t="n"/>
      <c r="G753" s="123" t="n"/>
      <c r="I753" s="55">
        <f>DADOS_INVOC!$PX$51</f>
        <v/>
      </c>
      <c r="J753" s="16" t="n"/>
      <c r="K753" s="16" t="n"/>
      <c r="L753" s="16" t="n"/>
      <c r="M753" s="17" t="n"/>
      <c r="N753" s="123" t="n"/>
      <c r="O753" s="55">
        <f>DADOS_INVOC!$PX$52</f>
        <v/>
      </c>
      <c r="P753" s="16" t="n"/>
      <c r="Q753" s="16" t="n"/>
      <c r="R753" s="16" t="n"/>
      <c r="S753" s="17" t="n"/>
      <c r="T753" s="123" t="n"/>
      <c r="U753" s="55">
        <f>DADOS_INVOC!$PX$53</f>
        <v/>
      </c>
      <c r="V753" s="16" t="n"/>
      <c r="W753" s="16" t="n"/>
      <c r="X753" s="16" t="n"/>
      <c r="Y753" s="17" t="n"/>
      <c r="Z753" s="123" t="n"/>
      <c r="AB753" s="55">
        <f>DADOS_INVOC!$PX$129</f>
        <v/>
      </c>
      <c r="AC753" s="16" t="n"/>
      <c r="AD753" s="16" t="n"/>
      <c r="AE753" s="16" t="n"/>
      <c r="AF753" s="17" t="n"/>
      <c r="AG753" s="123" t="n"/>
      <c r="AH753" s="55">
        <f>DADOS_INVOC!$PX$130</f>
        <v/>
      </c>
      <c r="AI753" s="16" t="n"/>
      <c r="AJ753" s="16" t="n"/>
      <c r="AK753" s="16" t="n"/>
      <c r="AL753" s="17" t="n"/>
      <c r="AM753" s="123" t="n"/>
      <c r="AN753" s="55">
        <f>DADOS_INVOC!$PX$131</f>
        <v/>
      </c>
      <c r="AO753" s="16" t="n"/>
      <c r="AP753" s="16" t="n"/>
      <c r="AQ753" s="16" t="n"/>
      <c r="AR753" s="17" t="n"/>
      <c r="AS753" s="123" t="n"/>
    </row>
    <row r="754" hidden="1" outlineLevel="2">
      <c r="A754" s="8" t="n"/>
      <c r="B754" s="14" t="n"/>
      <c r="C754" s="123" t="n"/>
      <c r="D754" s="123" t="n"/>
      <c r="E754" s="123" t="n"/>
      <c r="F754" s="123" t="n"/>
      <c r="G754" s="123" t="n"/>
      <c r="I754" s="130" t="n">
        <v>1</v>
      </c>
      <c r="J754" s="118" t="n"/>
      <c r="K754" s="16" t="n"/>
      <c r="L754" s="17" t="n"/>
      <c r="M754" s="131">
        <f>DADOS_INVOC!$PV$51</f>
        <v/>
      </c>
      <c r="N754" s="123" t="n"/>
      <c r="O754" s="130" t="n">
        <v>1</v>
      </c>
      <c r="P754" s="118" t="n"/>
      <c r="Q754" s="16" t="n"/>
      <c r="R754" s="17" t="n"/>
      <c r="S754" s="131">
        <f>DADOS_INVOC!$PV$52</f>
        <v/>
      </c>
      <c r="T754" s="123" t="n"/>
      <c r="U754" s="130" t="n">
        <v>1</v>
      </c>
      <c r="V754" s="118" t="n"/>
      <c r="W754" s="16" t="n"/>
      <c r="X754" s="17" t="n"/>
      <c r="Y754" s="131">
        <f>DADOS_INVOC!$PV$53</f>
        <v/>
      </c>
      <c r="Z754" s="123" t="n"/>
      <c r="AB754" s="130" t="n">
        <v>1</v>
      </c>
      <c r="AC754" s="118" t="n"/>
      <c r="AD754" s="16" t="n"/>
      <c r="AE754" s="17" t="n"/>
      <c r="AF754" s="131">
        <f>DADOS_INVOC!$PV$129</f>
        <v/>
      </c>
      <c r="AG754" s="123" t="n"/>
      <c r="AH754" s="130" t="n">
        <v>1</v>
      </c>
      <c r="AI754" s="118" t="n"/>
      <c r="AJ754" s="16" t="n"/>
      <c r="AK754" s="17" t="n"/>
      <c r="AL754" s="131">
        <f>DADOS_INVOC!$PV$130</f>
        <v/>
      </c>
      <c r="AM754" s="123" t="n"/>
      <c r="AN754" s="130" t="n">
        <v>1</v>
      </c>
      <c r="AO754" s="118" t="n"/>
      <c r="AP754" s="16" t="n"/>
      <c r="AQ754" s="17" t="n"/>
      <c r="AR754" s="131">
        <f>DADOS_INVOC!$PV$131</f>
        <v/>
      </c>
      <c r="AS754" s="123" t="n"/>
    </row>
    <row r="755" hidden="1" outlineLevel="3">
      <c r="A755" s="8" t="n"/>
      <c r="B755" s="14" t="n"/>
      <c r="C755" s="123" t="n"/>
      <c r="D755" s="123" t="n"/>
      <c r="E755" s="123" t="n"/>
      <c r="F755" s="123" t="n"/>
      <c r="G755" s="123" t="n"/>
      <c r="I755" s="55" t="inlineStr">
        <is>
          <t>COMO É</t>
        </is>
      </c>
      <c r="J755" s="16" t="n"/>
      <c r="K755" s="16" t="n"/>
      <c r="L755" s="16" t="n"/>
      <c r="M755" s="17" t="n"/>
      <c r="N755" s="123" t="n"/>
      <c r="O755" s="55" t="inlineStr">
        <is>
          <t>COMO É</t>
        </is>
      </c>
      <c r="P755" s="16" t="n"/>
      <c r="Q755" s="16" t="n"/>
      <c r="R755" s="16" t="n"/>
      <c r="S755" s="17" t="n"/>
      <c r="T755" s="123" t="n"/>
      <c r="U755" s="55" t="inlineStr">
        <is>
          <t>COMO É</t>
        </is>
      </c>
      <c r="V755" s="16" t="n"/>
      <c r="W755" s="16" t="n"/>
      <c r="X755" s="16" t="n"/>
      <c r="Y755" s="17" t="n"/>
      <c r="Z755" s="123" t="n"/>
      <c r="AB755" s="55" t="inlineStr">
        <is>
          <t>COMO É</t>
        </is>
      </c>
      <c r="AC755" s="16" t="n"/>
      <c r="AD755" s="16" t="n"/>
      <c r="AE755" s="16" t="n"/>
      <c r="AF755" s="17" t="n"/>
      <c r="AG755" s="123" t="n"/>
      <c r="AH755" s="55" t="inlineStr">
        <is>
          <t>COMO É</t>
        </is>
      </c>
      <c r="AI755" s="16" t="n"/>
      <c r="AJ755" s="16" t="n"/>
      <c r="AK755" s="16" t="n"/>
      <c r="AL755" s="17" t="n"/>
      <c r="AM755" s="123" t="n"/>
      <c r="AN755" s="55" t="inlineStr">
        <is>
          <t>COMO É</t>
        </is>
      </c>
      <c r="AO755" s="16" t="n"/>
      <c r="AP755" s="16" t="n"/>
      <c r="AQ755" s="16" t="n"/>
      <c r="AR755" s="17" t="n"/>
      <c r="AS755" s="123" t="n"/>
    </row>
    <row r="756" hidden="1" outlineLevel="3">
      <c r="A756" s="8" t="n"/>
      <c r="B756" s="14" t="n"/>
      <c r="C756" s="123" t="n"/>
      <c r="D756" s="123" t="n"/>
      <c r="E756" s="123" t="n"/>
      <c r="F756" s="123" t="n"/>
      <c r="G756" s="123" t="n"/>
      <c r="I756" s="119" t="n"/>
      <c r="J756" s="19" t="n"/>
      <c r="K756" s="19" t="n"/>
      <c r="L756" s="19" t="n"/>
      <c r="M756" s="20" t="n"/>
      <c r="N756" s="123" t="n"/>
      <c r="O756" s="119" t="n"/>
      <c r="P756" s="19" t="n"/>
      <c r="Q756" s="19" t="n"/>
      <c r="R756" s="19" t="n"/>
      <c r="S756" s="20" t="n"/>
      <c r="T756" s="123" t="n"/>
      <c r="U756" s="119" t="n"/>
      <c r="V756" s="19" t="n"/>
      <c r="W756" s="19" t="n"/>
      <c r="X756" s="19" t="n"/>
      <c r="Y756" s="20" t="n"/>
      <c r="Z756" s="123" t="n"/>
      <c r="AB756" s="119" t="n"/>
      <c r="AC756" s="19" t="n"/>
      <c r="AD756" s="19" t="n"/>
      <c r="AE756" s="19" t="n"/>
      <c r="AF756" s="20" t="n"/>
      <c r="AG756" s="123" t="n"/>
      <c r="AH756" s="119" t="n"/>
      <c r="AI756" s="19" t="n"/>
      <c r="AJ756" s="19" t="n"/>
      <c r="AK756" s="19" t="n"/>
      <c r="AL756" s="20" t="n"/>
      <c r="AM756" s="123" t="n"/>
      <c r="AN756" s="119" t="n"/>
      <c r="AO756" s="19" t="n"/>
      <c r="AP756" s="19" t="n"/>
      <c r="AQ756" s="19" t="n"/>
      <c r="AR756" s="20" t="n"/>
      <c r="AS756" s="123" t="n"/>
    </row>
    <row r="757" hidden="1" outlineLevel="3">
      <c r="A757" s="8" t="n"/>
      <c r="B757" s="14" t="n"/>
      <c r="C757" s="123" t="n"/>
      <c r="D757" s="123" t="n"/>
      <c r="E757" s="123" t="n"/>
      <c r="F757" s="123" t="n"/>
      <c r="G757" s="123" t="n"/>
      <c r="I757" s="21" t="n"/>
      <c r="M757" s="22" t="n"/>
      <c r="N757" s="123" t="n"/>
      <c r="O757" s="21" t="n"/>
      <c r="S757" s="22" t="n"/>
      <c r="T757" s="123" t="n"/>
      <c r="U757" s="21" t="n"/>
      <c r="Y757" s="22" t="n"/>
      <c r="Z757" s="123" t="n"/>
      <c r="AB757" s="21" t="n"/>
      <c r="AF757" s="22" t="n"/>
      <c r="AG757" s="123" t="n"/>
      <c r="AH757" s="21" t="n"/>
      <c r="AL757" s="22" t="n"/>
      <c r="AM757" s="123" t="n"/>
      <c r="AN757" s="21" t="n"/>
      <c r="AR757" s="22" t="n"/>
      <c r="AS757" s="123" t="n"/>
    </row>
    <row r="758" hidden="1" outlineLevel="3">
      <c r="A758" s="8" t="n"/>
      <c r="B758" s="14" t="n"/>
      <c r="C758" s="123" t="n"/>
      <c r="D758" s="123" t="n"/>
      <c r="E758" s="123" t="n"/>
      <c r="F758" s="123" t="n"/>
      <c r="G758" s="123" t="n"/>
      <c r="I758" s="23" t="n"/>
      <c r="J758" s="24" t="n"/>
      <c r="K758" s="24" t="n"/>
      <c r="L758" s="24" t="n"/>
      <c r="M758" s="25" t="n"/>
      <c r="N758" s="123" t="n"/>
      <c r="O758" s="23" t="n"/>
      <c r="P758" s="24" t="n"/>
      <c r="Q758" s="24" t="n"/>
      <c r="R758" s="24" t="n"/>
      <c r="S758" s="25" t="n"/>
      <c r="T758" s="123" t="n"/>
      <c r="U758" s="23" t="n"/>
      <c r="V758" s="24" t="n"/>
      <c r="W758" s="24" t="n"/>
      <c r="X758" s="24" t="n"/>
      <c r="Y758" s="25" t="n"/>
      <c r="Z758" s="123" t="n"/>
      <c r="AB758" s="23" t="n"/>
      <c r="AC758" s="24" t="n"/>
      <c r="AD758" s="24" t="n"/>
      <c r="AE758" s="24" t="n"/>
      <c r="AF758" s="25" t="n"/>
      <c r="AG758" s="123" t="n"/>
      <c r="AH758" s="23" t="n"/>
      <c r="AI758" s="24" t="n"/>
      <c r="AJ758" s="24" t="n"/>
      <c r="AK758" s="24" t="n"/>
      <c r="AL758" s="25" t="n"/>
      <c r="AM758" s="123" t="n"/>
      <c r="AN758" s="23" t="n"/>
      <c r="AO758" s="24" t="n"/>
      <c r="AP758" s="24" t="n"/>
      <c r="AQ758" s="24" t="n"/>
      <c r="AR758" s="25" t="n"/>
      <c r="AS758" s="123" t="n"/>
    </row>
    <row r="759" hidden="1" outlineLevel="2">
      <c r="A759" s="8" t="n"/>
      <c r="B759" s="14" t="n"/>
      <c r="C759" s="123" t="n"/>
      <c r="D759" s="123" t="n"/>
      <c r="E759" s="123" t="n"/>
      <c r="F759" s="123" t="n"/>
      <c r="G759" s="123" t="n"/>
      <c r="I759" s="127" t="inlineStr">
        <is>
          <t>Projétil</t>
        </is>
      </c>
      <c r="J759" s="17" t="n"/>
      <c r="K759" s="68">
        <f>DADOS_INVOC!$QC$51</f>
        <v/>
      </c>
      <c r="L759" s="17" t="n"/>
      <c r="M759" s="68">
        <f>DADOS_INVOC!$PY$51</f>
        <v/>
      </c>
      <c r="N759" s="123" t="n"/>
      <c r="O759" s="127" t="inlineStr">
        <is>
          <t>Projétil</t>
        </is>
      </c>
      <c r="P759" s="17" t="n"/>
      <c r="Q759" s="68">
        <f>DADOS_INVOC!$QC$52</f>
        <v/>
      </c>
      <c r="R759" s="17" t="n"/>
      <c r="S759" s="68">
        <f>DADOS_INVOC!$PY$52</f>
        <v/>
      </c>
      <c r="T759" s="123" t="n"/>
      <c r="U759" s="127" t="inlineStr">
        <is>
          <t>Projétil</t>
        </is>
      </c>
      <c r="V759" s="17" t="n"/>
      <c r="W759" s="68">
        <f>DADOS_INVOC!$QC$53</f>
        <v/>
      </c>
      <c r="X759" s="17" t="n"/>
      <c r="Y759" s="68">
        <f>DADOS_INVOC!$PY$53</f>
        <v/>
      </c>
      <c r="Z759" s="123" t="n"/>
      <c r="AB759" s="127" t="inlineStr">
        <is>
          <t>Projétil</t>
        </is>
      </c>
      <c r="AC759" s="17" t="n"/>
      <c r="AD759" s="68">
        <f>DADOS_INVOC!$QC$129</f>
        <v/>
      </c>
      <c r="AE759" s="17" t="n"/>
      <c r="AF759" s="68">
        <f>DADOS_INVOC!$PY$129</f>
        <v/>
      </c>
      <c r="AG759" s="123" t="n"/>
      <c r="AH759" s="127" t="inlineStr">
        <is>
          <t>Projétil</t>
        </is>
      </c>
      <c r="AI759" s="17" t="n"/>
      <c r="AJ759" s="68">
        <f>DADOS_INVOC!$QC$130</f>
        <v/>
      </c>
      <c r="AK759" s="17" t="n"/>
      <c r="AL759" s="68">
        <f>DADOS_INVOC!$PY$130</f>
        <v/>
      </c>
      <c r="AM759" s="123" t="n"/>
      <c r="AN759" s="127" t="inlineStr">
        <is>
          <t>Projétil</t>
        </is>
      </c>
      <c r="AO759" s="17" t="n"/>
      <c r="AP759" s="68">
        <f>DADOS_INVOC!$QC$131</f>
        <v/>
      </c>
      <c r="AQ759" s="17" t="n"/>
      <c r="AR759" s="68">
        <f>DADOS_INVOC!$PY$131</f>
        <v/>
      </c>
      <c r="AS759" s="123" t="n"/>
    </row>
    <row r="760" hidden="1" outlineLevel="2">
      <c r="A760" s="8" t="n"/>
      <c r="B760" s="14" t="n"/>
      <c r="C760" s="123" t="n"/>
      <c r="D760" s="123" t="n"/>
      <c r="E760" s="123" t="n"/>
      <c r="F760" s="123" t="n"/>
      <c r="G760" s="123" t="n"/>
      <c r="I760" s="127" t="n"/>
      <c r="J760" s="17" t="n"/>
      <c r="K760" s="127" t="n"/>
      <c r="L760" s="16" t="n"/>
      <c r="M760" s="17" t="n"/>
      <c r="N760" s="123" t="n"/>
      <c r="O760" s="127" t="n"/>
      <c r="P760" s="17" t="n"/>
      <c r="Q760" s="127" t="n"/>
      <c r="R760" s="16" t="n"/>
      <c r="S760" s="17" t="n"/>
      <c r="T760" s="123" t="n"/>
      <c r="U760" s="127" t="n"/>
      <c r="V760" s="17" t="n"/>
      <c r="W760" s="127" t="n"/>
      <c r="X760" s="16" t="n"/>
      <c r="Y760" s="17" t="n"/>
      <c r="Z760" s="123" t="n"/>
      <c r="AB760" s="127" t="n"/>
      <c r="AC760" s="17" t="n"/>
      <c r="AD760" s="127" t="n"/>
      <c r="AE760" s="16" t="n"/>
      <c r="AF760" s="17" t="n"/>
      <c r="AG760" s="123" t="n"/>
      <c r="AH760" s="127" t="n"/>
      <c r="AI760" s="17" t="n"/>
      <c r="AJ760" s="127" t="n"/>
      <c r="AK760" s="16" t="n"/>
      <c r="AL760" s="17" t="n"/>
      <c r="AM760" s="123" t="n"/>
      <c r="AN760" s="127" t="n"/>
      <c r="AO760" s="17" t="n"/>
      <c r="AP760" s="127" t="n"/>
      <c r="AQ760" s="16" t="n"/>
      <c r="AR760" s="17" t="n"/>
      <c r="AS760" s="123" t="n"/>
    </row>
    <row r="761" hidden="1" outlineLevel="2">
      <c r="A761" s="8" t="n"/>
      <c r="B761" s="14" t="n"/>
      <c r="C761" s="123" t="n"/>
      <c r="D761" s="123" t="n"/>
      <c r="E761" s="123" t="n"/>
      <c r="F761" s="123" t="n"/>
      <c r="G761" s="123" t="n"/>
      <c r="I761" s="127">
        <f>DADOS_INVOC!$PZ$51</f>
        <v/>
      </c>
      <c r="J761" s="17" t="n"/>
      <c r="K761" s="127">
        <f>DADOS_INVOC!$QB$51</f>
        <v/>
      </c>
      <c r="L761" s="16" t="n"/>
      <c r="M761" s="17" t="n"/>
      <c r="N761" s="123" t="n"/>
      <c r="O761" s="127">
        <f>DADOS_INVOC!$PZ$52</f>
        <v/>
      </c>
      <c r="P761" s="17" t="n"/>
      <c r="Q761" s="127">
        <f>DADOS_INVOC!$QB$52</f>
        <v/>
      </c>
      <c r="R761" s="16" t="n"/>
      <c r="S761" s="17" t="n"/>
      <c r="T761" s="123" t="n"/>
      <c r="U761" s="127">
        <f>DADOS_INVOC!$PZ$53</f>
        <v/>
      </c>
      <c r="V761" s="17" t="n"/>
      <c r="W761" s="127">
        <f>DADOS_INVOC!$QB$53</f>
        <v/>
      </c>
      <c r="X761" s="16" t="n"/>
      <c r="Y761" s="17" t="n"/>
      <c r="Z761" s="123" t="n"/>
      <c r="AB761" s="127">
        <f>DADOS_INVOC!$PZ$129</f>
        <v/>
      </c>
      <c r="AC761" s="17" t="n"/>
      <c r="AD761" s="127">
        <f>DADOS_INVOC!$QB$129</f>
        <v/>
      </c>
      <c r="AE761" s="16" t="n"/>
      <c r="AF761" s="17" t="n"/>
      <c r="AG761" s="123" t="n"/>
      <c r="AH761" s="127">
        <f>DADOS_INVOC!$PZ$130</f>
        <v/>
      </c>
      <c r="AI761" s="17" t="n"/>
      <c r="AJ761" s="127">
        <f>DADOS_INVOC!$QB$130</f>
        <v/>
      </c>
      <c r="AK761" s="16" t="n"/>
      <c r="AL761" s="17" t="n"/>
      <c r="AM761" s="123" t="n"/>
      <c r="AN761" s="127">
        <f>DADOS_INVOC!$PZ$131</f>
        <v/>
      </c>
      <c r="AO761" s="17" t="n"/>
      <c r="AP761" s="127">
        <f>DADOS_INVOC!$QB$131</f>
        <v/>
      </c>
      <c r="AQ761" s="16" t="n"/>
      <c r="AR761" s="17" t="n"/>
      <c r="AS761" s="123" t="n"/>
    </row>
    <row r="762" hidden="1" outlineLevel="2">
      <c r="A762" s="8" t="n"/>
      <c r="B762" s="14" t="n"/>
      <c r="C762" s="123" t="n"/>
      <c r="D762" s="123" t="n"/>
      <c r="E762" s="123" t="n"/>
      <c r="F762" s="123" t="n"/>
      <c r="G762" s="123" t="n"/>
      <c r="I762" s="132">
        <f>DADOS_INVOC!$QH$51</f>
        <v/>
      </c>
      <c r="J762" s="16" t="n"/>
      <c r="K762" s="16" t="n"/>
      <c r="L762" s="16" t="n"/>
      <c r="M762" s="17" t="n"/>
      <c r="N762" s="123" t="n"/>
      <c r="O762" s="132">
        <f>DADOS_INVOC!$QH$52</f>
        <v/>
      </c>
      <c r="P762" s="16" t="n"/>
      <c r="Q762" s="16" t="n"/>
      <c r="R762" s="16" t="n"/>
      <c r="S762" s="17" t="n"/>
      <c r="T762" s="123" t="n"/>
      <c r="U762" s="132">
        <f>DADOS_INVOC!$QH$53</f>
        <v/>
      </c>
      <c r="V762" s="16" t="n"/>
      <c r="W762" s="16" t="n"/>
      <c r="X762" s="16" t="n"/>
      <c r="Y762" s="17" t="n"/>
      <c r="Z762" s="123" t="n"/>
      <c r="AB762" s="132">
        <f>DADOS_INVOC!$QH$129</f>
        <v/>
      </c>
      <c r="AC762" s="16" t="n"/>
      <c r="AD762" s="16" t="n"/>
      <c r="AE762" s="16" t="n"/>
      <c r="AF762" s="17" t="n"/>
      <c r="AG762" s="123" t="n"/>
      <c r="AH762" s="132">
        <f>DADOS_INVOC!$QH$130</f>
        <v/>
      </c>
      <c r="AI762" s="16" t="n"/>
      <c r="AJ762" s="16" t="n"/>
      <c r="AK762" s="16" t="n"/>
      <c r="AL762" s="17" t="n"/>
      <c r="AM762" s="123" t="n"/>
      <c r="AN762" s="132">
        <f>DADOS_INVOC!$QH$131</f>
        <v/>
      </c>
      <c r="AO762" s="16" t="n"/>
      <c r="AP762" s="16" t="n"/>
      <c r="AQ762" s="16" t="n"/>
      <c r="AR762" s="17" t="n"/>
      <c r="AS762" s="123" t="n"/>
    </row>
    <row r="763" hidden="1" outlineLevel="3">
      <c r="A763" s="8" t="n"/>
      <c r="B763" s="14" t="n"/>
      <c r="C763" s="123" t="n"/>
      <c r="D763" s="123" t="n"/>
      <c r="E763" s="123" t="n"/>
      <c r="F763" s="123" t="n"/>
      <c r="G763" s="123" t="n"/>
      <c r="I763" s="55" t="inlineStr">
        <is>
          <t>MELHORIAS</t>
        </is>
      </c>
      <c r="J763" s="133" t="n"/>
      <c r="K763" s="16" t="n"/>
      <c r="L763" s="17" t="n"/>
      <c r="M763" s="132">
        <f>DADOS_INVOC!$QK$51</f>
        <v/>
      </c>
      <c r="N763" s="123" t="n"/>
      <c r="O763" s="55" t="inlineStr">
        <is>
          <t>MELHORIAS</t>
        </is>
      </c>
      <c r="P763" s="133" t="n"/>
      <c r="Q763" s="16" t="n"/>
      <c r="R763" s="17" t="n"/>
      <c r="S763" s="132">
        <f>DADOS_INVOC!$QK$52</f>
        <v/>
      </c>
      <c r="T763" s="123" t="n"/>
      <c r="U763" s="55" t="inlineStr">
        <is>
          <t>MELHORIAS</t>
        </is>
      </c>
      <c r="V763" s="133" t="n"/>
      <c r="W763" s="16" t="n"/>
      <c r="X763" s="17" t="n"/>
      <c r="Y763" s="132">
        <f>DADOS_INVOC!$QK$53</f>
        <v/>
      </c>
      <c r="Z763" s="123" t="n"/>
      <c r="AB763" s="55" t="inlineStr">
        <is>
          <t>MELHORIAS</t>
        </is>
      </c>
      <c r="AC763" s="133" t="n"/>
      <c r="AD763" s="16" t="n"/>
      <c r="AE763" s="17" t="n"/>
      <c r="AF763" s="132">
        <f>DADOS_INVOC!$QK$129</f>
        <v/>
      </c>
      <c r="AG763" s="123" t="n"/>
      <c r="AH763" s="55" t="inlineStr">
        <is>
          <t>MELHORIAS</t>
        </is>
      </c>
      <c r="AI763" s="133" t="n"/>
      <c r="AJ763" s="16" t="n"/>
      <c r="AK763" s="17" t="n"/>
      <c r="AL763" s="132">
        <f>DADOS_INVOC!$QK$130</f>
        <v/>
      </c>
      <c r="AM763" s="123" t="n"/>
      <c r="AN763" s="55" t="inlineStr">
        <is>
          <t>MELHORIAS</t>
        </is>
      </c>
      <c r="AO763" s="133" t="n"/>
      <c r="AP763" s="16" t="n"/>
      <c r="AQ763" s="17" t="n"/>
      <c r="AR763" s="132">
        <f>DADOS_INVOC!$QK$131</f>
        <v/>
      </c>
      <c r="AS763" s="123" t="n"/>
    </row>
    <row r="764" hidden="1" outlineLevel="3">
      <c r="A764" s="8" t="n"/>
      <c r="B764" s="14" t="n"/>
      <c r="C764" s="123" t="n"/>
      <c r="D764" s="123" t="n"/>
      <c r="E764" s="123" t="n"/>
      <c r="F764" s="123" t="n"/>
      <c r="G764" s="123" t="n"/>
      <c r="I764" s="134" t="n"/>
      <c r="J764" s="133" t="n"/>
      <c r="K764" s="16" t="n"/>
      <c r="L764" s="17" t="n"/>
      <c r="M764" s="132">
        <f>DADOS_INVOC!$QL$51</f>
        <v/>
      </c>
      <c r="N764" s="123" t="n"/>
      <c r="O764" s="134" t="n"/>
      <c r="P764" s="133" t="n"/>
      <c r="Q764" s="16" t="n"/>
      <c r="R764" s="17" t="n"/>
      <c r="S764" s="132">
        <f>DADOS_INVOC!$QL$52</f>
        <v/>
      </c>
      <c r="T764" s="123" t="n"/>
      <c r="U764" s="134" t="n"/>
      <c r="V764" s="133" t="n"/>
      <c r="W764" s="16" t="n"/>
      <c r="X764" s="17" t="n"/>
      <c r="Y764" s="132">
        <f>DADOS_INVOC!$QL$53</f>
        <v/>
      </c>
      <c r="Z764" s="123" t="n"/>
      <c r="AB764" s="134" t="n"/>
      <c r="AC764" s="133" t="n"/>
      <c r="AD764" s="16" t="n"/>
      <c r="AE764" s="17" t="n"/>
      <c r="AF764" s="132">
        <f>DADOS_INVOC!$QL$129</f>
        <v/>
      </c>
      <c r="AG764" s="123" t="n"/>
      <c r="AH764" s="134" t="n"/>
      <c r="AI764" s="133" t="n"/>
      <c r="AJ764" s="16" t="n"/>
      <c r="AK764" s="17" t="n"/>
      <c r="AL764" s="132">
        <f>DADOS_INVOC!$QL$130</f>
        <v/>
      </c>
      <c r="AM764" s="123" t="n"/>
      <c r="AN764" s="134" t="n"/>
      <c r="AO764" s="133" t="n"/>
      <c r="AP764" s="16" t="n"/>
      <c r="AQ764" s="17" t="n"/>
      <c r="AR764" s="132">
        <f>DADOS_INVOC!$QL$131</f>
        <v/>
      </c>
      <c r="AS764" s="123" t="n"/>
    </row>
    <row r="765" hidden="1" outlineLevel="3">
      <c r="A765" s="8" t="n"/>
      <c r="B765" s="14" t="n"/>
      <c r="C765" s="123" t="n"/>
      <c r="D765" s="123" t="n"/>
      <c r="E765" s="123" t="n"/>
      <c r="F765" s="123" t="n"/>
      <c r="G765" s="123" t="n"/>
      <c r="I765" s="134" t="n"/>
      <c r="J765" s="133" t="n"/>
      <c r="K765" s="16" t="n"/>
      <c r="L765" s="17" t="n"/>
      <c r="M765" s="132">
        <f>DADOS_INVOC!$QM$51</f>
        <v/>
      </c>
      <c r="N765" s="123" t="n"/>
      <c r="O765" s="134" t="n"/>
      <c r="P765" s="133" t="n"/>
      <c r="Q765" s="16" t="n"/>
      <c r="R765" s="17" t="n"/>
      <c r="S765" s="132">
        <f>DADOS_INVOC!$QM$52</f>
        <v/>
      </c>
      <c r="T765" s="123" t="n"/>
      <c r="U765" s="134" t="n"/>
      <c r="V765" s="133" t="n"/>
      <c r="W765" s="16" t="n"/>
      <c r="X765" s="17" t="n"/>
      <c r="Y765" s="132">
        <f>DADOS_INVOC!$QM$53</f>
        <v/>
      </c>
      <c r="Z765" s="123" t="n"/>
      <c r="AB765" s="134" t="n"/>
      <c r="AC765" s="133" t="n"/>
      <c r="AD765" s="16" t="n"/>
      <c r="AE765" s="17" t="n"/>
      <c r="AF765" s="132">
        <f>DADOS_INVOC!$QM$129</f>
        <v/>
      </c>
      <c r="AG765" s="123" t="n"/>
      <c r="AH765" s="134" t="n"/>
      <c r="AI765" s="133" t="n"/>
      <c r="AJ765" s="16" t="n"/>
      <c r="AK765" s="17" t="n"/>
      <c r="AL765" s="132">
        <f>DADOS_INVOC!$QM$130</f>
        <v/>
      </c>
      <c r="AM765" s="123" t="n"/>
      <c r="AN765" s="134" t="n"/>
      <c r="AO765" s="133" t="n"/>
      <c r="AP765" s="16" t="n"/>
      <c r="AQ765" s="17" t="n"/>
      <c r="AR765" s="132">
        <f>DADOS_INVOC!$QM$131</f>
        <v/>
      </c>
      <c r="AS765" s="123" t="n"/>
    </row>
    <row r="766" hidden="1" outlineLevel="3">
      <c r="A766" s="8" t="n"/>
      <c r="B766" s="14" t="n"/>
      <c r="C766" s="123" t="n"/>
      <c r="D766" s="123" t="n"/>
      <c r="E766" s="123" t="n"/>
      <c r="F766" s="123" t="n"/>
      <c r="G766" s="123" t="n"/>
      <c r="I766" s="128" t="n"/>
      <c r="J766" s="133" t="n"/>
      <c r="K766" s="16" t="n"/>
      <c r="L766" s="17" t="n"/>
      <c r="M766" s="132">
        <f>DADOS_INVOC!$QN$51</f>
        <v/>
      </c>
      <c r="N766" s="123" t="n"/>
      <c r="O766" s="128" t="n"/>
      <c r="P766" s="133" t="n"/>
      <c r="Q766" s="16" t="n"/>
      <c r="R766" s="17" t="n"/>
      <c r="S766" s="132">
        <f>DADOS_INVOC!$QN$52</f>
        <v/>
      </c>
      <c r="T766" s="123" t="n"/>
      <c r="U766" s="128" t="n"/>
      <c r="V766" s="133" t="n"/>
      <c r="W766" s="16" t="n"/>
      <c r="X766" s="17" t="n"/>
      <c r="Y766" s="132">
        <f>DADOS_INVOC!$QN$53</f>
        <v/>
      </c>
      <c r="Z766" s="123" t="n"/>
      <c r="AB766" s="128" t="n"/>
      <c r="AC766" s="133" t="n"/>
      <c r="AD766" s="16" t="n"/>
      <c r="AE766" s="17" t="n"/>
      <c r="AF766" s="132">
        <f>DADOS_INVOC!$QN$129</f>
        <v/>
      </c>
      <c r="AG766" s="123" t="n"/>
      <c r="AH766" s="128" t="n"/>
      <c r="AI766" s="133" t="n"/>
      <c r="AJ766" s="16" t="n"/>
      <c r="AK766" s="17" t="n"/>
      <c r="AL766" s="132">
        <f>DADOS_INVOC!$QN$130</f>
        <v/>
      </c>
      <c r="AM766" s="123" t="n"/>
      <c r="AN766" s="128" t="n"/>
      <c r="AO766" s="133" t="n"/>
      <c r="AP766" s="16" t="n"/>
      <c r="AQ766" s="17" t="n"/>
      <c r="AR766" s="132">
        <f>DADOS_INVOC!$QN$131</f>
        <v/>
      </c>
      <c r="AS766" s="123" t="n"/>
    </row>
    <row r="767" hidden="1" outlineLevel="3">
      <c r="A767" s="8" t="n"/>
      <c r="B767" s="14" t="n"/>
      <c r="C767" s="123" t="n"/>
      <c r="D767" s="123" t="n"/>
      <c r="E767" s="123" t="n"/>
      <c r="F767" s="123" t="n"/>
      <c r="G767" s="123" t="n"/>
      <c r="I767" s="55" t="inlineStr">
        <is>
          <t>RESTRIÇÕES</t>
        </is>
      </c>
      <c r="J767" s="133" t="n"/>
      <c r="K767" s="16" t="n"/>
      <c r="L767" s="17" t="n"/>
      <c r="M767" s="132">
        <f>DADOS_INVOC!$QO$51</f>
        <v/>
      </c>
      <c r="N767" s="123" t="n"/>
      <c r="O767" s="55" t="inlineStr">
        <is>
          <t>RESTRIÇÕES</t>
        </is>
      </c>
      <c r="P767" s="133" t="n"/>
      <c r="Q767" s="16" t="n"/>
      <c r="R767" s="17" t="n"/>
      <c r="S767" s="132">
        <f>DADOS_INVOC!$QO$52</f>
        <v/>
      </c>
      <c r="T767" s="123" t="n"/>
      <c r="U767" s="55" t="inlineStr">
        <is>
          <t>RESTRIÇÕES</t>
        </is>
      </c>
      <c r="V767" s="133" t="n"/>
      <c r="W767" s="16" t="n"/>
      <c r="X767" s="17" t="n"/>
      <c r="Y767" s="132">
        <f>DADOS_INVOC!$QO$53</f>
        <v/>
      </c>
      <c r="Z767" s="123" t="n"/>
      <c r="AB767" s="55" t="inlineStr">
        <is>
          <t>RESTRIÇÕES</t>
        </is>
      </c>
      <c r="AC767" s="133" t="n"/>
      <c r="AD767" s="16" t="n"/>
      <c r="AE767" s="17" t="n"/>
      <c r="AF767" s="132">
        <f>DADOS_INVOC!$QO$129</f>
        <v/>
      </c>
      <c r="AG767" s="123" t="n"/>
      <c r="AH767" s="55" t="inlineStr">
        <is>
          <t>RESTRIÇÕES</t>
        </is>
      </c>
      <c r="AI767" s="133" t="n"/>
      <c r="AJ767" s="16" t="n"/>
      <c r="AK767" s="17" t="n"/>
      <c r="AL767" s="132">
        <f>DADOS_INVOC!$QO$130</f>
        <v/>
      </c>
      <c r="AM767" s="123" t="n"/>
      <c r="AN767" s="55" t="inlineStr">
        <is>
          <t>RESTRIÇÕES</t>
        </is>
      </c>
      <c r="AO767" s="133" t="n"/>
      <c r="AP767" s="16" t="n"/>
      <c r="AQ767" s="17" t="n"/>
      <c r="AR767" s="132">
        <f>DADOS_INVOC!$QO$131</f>
        <v/>
      </c>
      <c r="AS767" s="123" t="n"/>
    </row>
    <row r="768" hidden="1" outlineLevel="3">
      <c r="A768" s="8" t="n"/>
      <c r="B768" s="14" t="n"/>
      <c r="C768" s="123" t="n"/>
      <c r="D768" s="123" t="n"/>
      <c r="E768" s="123" t="n"/>
      <c r="F768" s="123" t="n"/>
      <c r="G768" s="123" t="n"/>
      <c r="I768" s="128" t="n"/>
      <c r="J768" s="133" t="n"/>
      <c r="K768" s="16" t="n"/>
      <c r="L768" s="17" t="n"/>
      <c r="M768" s="132">
        <f>DADOS_INVOC!$QP$51</f>
        <v/>
      </c>
      <c r="N768" s="123" t="n"/>
      <c r="O768" s="128" t="n"/>
      <c r="P768" s="133" t="n"/>
      <c r="Q768" s="16" t="n"/>
      <c r="R768" s="17" t="n"/>
      <c r="S768" s="132">
        <f>DADOS_INVOC!$QP$52</f>
        <v/>
      </c>
      <c r="T768" s="123" t="n"/>
      <c r="U768" s="128" t="n"/>
      <c r="V768" s="133" t="n"/>
      <c r="W768" s="16" t="n"/>
      <c r="X768" s="17" t="n"/>
      <c r="Y768" s="132">
        <f>DADOS_INVOC!$QP$53</f>
        <v/>
      </c>
      <c r="Z768" s="123" t="n"/>
      <c r="AB768" s="128" t="n"/>
      <c r="AC768" s="133" t="n"/>
      <c r="AD768" s="16" t="n"/>
      <c r="AE768" s="17" t="n"/>
      <c r="AF768" s="132">
        <f>DADOS_INVOC!$QP$129</f>
        <v/>
      </c>
      <c r="AG768" s="123" t="n"/>
      <c r="AH768" s="128" t="n"/>
      <c r="AI768" s="133" t="n"/>
      <c r="AJ768" s="16" t="n"/>
      <c r="AK768" s="17" t="n"/>
      <c r="AL768" s="132">
        <f>DADOS_INVOC!$QP$130</f>
        <v/>
      </c>
      <c r="AM768" s="123" t="n"/>
      <c r="AN768" s="128" t="n"/>
      <c r="AO768" s="133" t="n"/>
      <c r="AP768" s="16" t="n"/>
      <c r="AQ768" s="17" t="n"/>
      <c r="AR768" s="132">
        <f>DADOS_INVOC!$QP$131</f>
        <v/>
      </c>
      <c r="AS768" s="123" t="n"/>
    </row>
    <row r="769" hidden="1" outlineLevel="3">
      <c r="A769" s="8" t="n"/>
      <c r="B769" s="14" t="n"/>
      <c r="C769" s="123" t="n"/>
      <c r="D769" s="123" t="n"/>
      <c r="E769" s="123" t="n"/>
      <c r="F769" s="123" t="n"/>
      <c r="G769" s="123" t="n"/>
      <c r="I769" s="55" t="inlineStr">
        <is>
          <t>CONTA</t>
        </is>
      </c>
      <c r="J769" s="135">
        <f>DADOS_INVOC!$QI$51</f>
        <v/>
      </c>
      <c r="K769" s="16" t="n"/>
      <c r="L769" s="16" t="n"/>
      <c r="M769" s="17" t="n"/>
      <c r="N769" s="123" t="n"/>
      <c r="O769" s="55" t="inlineStr">
        <is>
          <t>CONTA</t>
        </is>
      </c>
      <c r="P769" s="135">
        <f>DADOS_INVOC!$QI$52</f>
        <v/>
      </c>
      <c r="Q769" s="16" t="n"/>
      <c r="R769" s="16" t="n"/>
      <c r="S769" s="17" t="n"/>
      <c r="T769" s="123" t="n"/>
      <c r="U769" s="55" t="inlineStr">
        <is>
          <t>CONTA</t>
        </is>
      </c>
      <c r="V769" s="135">
        <f>DADOS_INVOC!$QI$53</f>
        <v/>
      </c>
      <c r="W769" s="16" t="n"/>
      <c r="X769" s="16" t="n"/>
      <c r="Y769" s="17" t="n"/>
      <c r="Z769" s="123" t="n"/>
      <c r="AB769" s="55" t="inlineStr">
        <is>
          <t>CONTA</t>
        </is>
      </c>
      <c r="AC769" s="135">
        <f>DADOS_INVOC!$QI$129</f>
        <v/>
      </c>
      <c r="AD769" s="16" t="n"/>
      <c r="AE769" s="16" t="n"/>
      <c r="AF769" s="17" t="n"/>
      <c r="AG769" s="123" t="n"/>
      <c r="AH769" s="55" t="inlineStr">
        <is>
          <t>CONTA</t>
        </is>
      </c>
      <c r="AI769" s="135">
        <f>DADOS_INVOC!$QI$130</f>
        <v/>
      </c>
      <c r="AJ769" s="16" t="n"/>
      <c r="AK769" s="16" t="n"/>
      <c r="AL769" s="17" t="n"/>
      <c r="AM769" s="123" t="n"/>
      <c r="AN769" s="55" t="inlineStr">
        <is>
          <t>CONTA</t>
        </is>
      </c>
      <c r="AO769" s="135">
        <f>DADOS_INVOC!$QI$131</f>
        <v/>
      </c>
      <c r="AP769" s="16" t="n"/>
      <c r="AQ769" s="16" t="n"/>
      <c r="AR769" s="17" t="n"/>
      <c r="AS769" s="123" t="n"/>
    </row>
    <row r="770" hidden="1" outlineLevel="3">
      <c r="A770" s="8" t="n"/>
      <c r="B770" s="14" t="n"/>
      <c r="C770" s="123" t="n"/>
      <c r="D770" s="123" t="n"/>
      <c r="E770" s="123" t="n"/>
      <c r="F770" s="123" t="n"/>
      <c r="G770" s="123" t="n"/>
      <c r="I770" s="55" t="inlineStr">
        <is>
          <t>AMPLIAR</t>
        </is>
      </c>
      <c r="J770" s="135">
        <f>DADOS_INVOC!$QJ$51</f>
        <v/>
      </c>
      <c r="K770" s="19" t="n"/>
      <c r="L770" s="19" t="n"/>
      <c r="M770" s="20" t="n"/>
      <c r="N770" s="123" t="n"/>
      <c r="O770" s="55" t="inlineStr">
        <is>
          <t>AMPLIAR</t>
        </is>
      </c>
      <c r="P770" s="135">
        <f>DADOS_INVOC!$QJ$52</f>
        <v/>
      </c>
      <c r="Q770" s="19" t="n"/>
      <c r="R770" s="19" t="n"/>
      <c r="S770" s="20" t="n"/>
      <c r="T770" s="123" t="n"/>
      <c r="U770" s="55" t="inlineStr">
        <is>
          <t>AMPLIAR</t>
        </is>
      </c>
      <c r="V770" s="135">
        <f>DADOS_INVOC!$QJ$53</f>
        <v/>
      </c>
      <c r="W770" s="19" t="n"/>
      <c r="X770" s="19" t="n"/>
      <c r="Y770" s="20" t="n"/>
      <c r="Z770" s="123" t="n"/>
      <c r="AB770" s="55" t="inlineStr">
        <is>
          <t>AMPLIAR</t>
        </is>
      </c>
      <c r="AC770" s="135">
        <f>DADOS_INVOC!$QJ$129</f>
        <v/>
      </c>
      <c r="AD770" s="19" t="n"/>
      <c r="AE770" s="19" t="n"/>
      <c r="AF770" s="20" t="n"/>
      <c r="AG770" s="123" t="n"/>
      <c r="AH770" s="55" t="inlineStr">
        <is>
          <t>AMPLIAR</t>
        </is>
      </c>
      <c r="AI770" s="135">
        <f>DADOS_INVOC!$QJ$130</f>
        <v/>
      </c>
      <c r="AJ770" s="19" t="n"/>
      <c r="AK770" s="19" t="n"/>
      <c r="AL770" s="20" t="n"/>
      <c r="AM770" s="123" t="n"/>
      <c r="AN770" s="55" t="inlineStr">
        <is>
          <t>AMPLIAR</t>
        </is>
      </c>
      <c r="AO770" s="135">
        <f>DADOS_INVOC!$QJ$131</f>
        <v/>
      </c>
      <c r="AP770" s="19" t="n"/>
      <c r="AQ770" s="19" t="n"/>
      <c r="AR770" s="20" t="n"/>
      <c r="AS770" s="123" t="n"/>
    </row>
    <row r="771" hidden="1" outlineLevel="3">
      <c r="A771" s="8" t="n"/>
      <c r="B771" s="14" t="n"/>
      <c r="C771" s="123" t="n"/>
      <c r="D771" s="123" t="n"/>
      <c r="E771" s="123" t="n"/>
      <c r="F771" s="123" t="n"/>
      <c r="G771" s="123" t="n"/>
      <c r="I771" s="128" t="n"/>
      <c r="J771" s="23" t="n"/>
      <c r="K771" s="24" t="n"/>
      <c r="L771" s="24" t="n"/>
      <c r="M771" s="25" t="n"/>
      <c r="N771" s="123" t="n"/>
      <c r="O771" s="128" t="n"/>
      <c r="P771" s="23" t="n"/>
      <c r="Q771" s="24" t="n"/>
      <c r="R771" s="24" t="n"/>
      <c r="S771" s="25" t="n"/>
      <c r="T771" s="123" t="n"/>
      <c r="U771" s="128" t="n"/>
      <c r="V771" s="23" t="n"/>
      <c r="W771" s="24" t="n"/>
      <c r="X771" s="24" t="n"/>
      <c r="Y771" s="25" t="n"/>
      <c r="Z771" s="123" t="n"/>
      <c r="AB771" s="128" t="n"/>
      <c r="AC771" s="23" t="n"/>
      <c r="AD771" s="24" t="n"/>
      <c r="AE771" s="24" t="n"/>
      <c r="AF771" s="25" t="n"/>
      <c r="AG771" s="123" t="n"/>
      <c r="AH771" s="128" t="n"/>
      <c r="AI771" s="23" t="n"/>
      <c r="AJ771" s="24" t="n"/>
      <c r="AK771" s="24" t="n"/>
      <c r="AL771" s="25" t="n"/>
      <c r="AM771" s="123" t="n"/>
      <c r="AN771" s="128" t="n"/>
      <c r="AO771" s="23" t="n"/>
      <c r="AP771" s="24" t="n"/>
      <c r="AQ771" s="24" t="n"/>
      <c r="AR771" s="25" t="n"/>
      <c r="AS771" s="123" t="n"/>
    </row>
    <row r="772" hidden="1" outlineLevel="3">
      <c r="A772" s="8" t="n"/>
      <c r="B772" s="14" t="n"/>
      <c r="C772" s="123" t="n"/>
      <c r="D772" s="123" t="n"/>
      <c r="E772" s="123" t="n"/>
      <c r="F772" s="123" t="n"/>
      <c r="G772" s="123" t="n"/>
      <c r="I772" s="135">
        <f>DADOS_INVOC!$PW$51</f>
        <v/>
      </c>
      <c r="J772" s="19" t="n"/>
      <c r="K772" s="19" t="n"/>
      <c r="L772" s="19" t="n"/>
      <c r="M772" s="20" t="n"/>
      <c r="N772" s="123" t="n"/>
      <c r="O772" s="135">
        <f>DADOS_INVOC!$PW$52</f>
        <v/>
      </c>
      <c r="P772" s="19" t="n"/>
      <c r="Q772" s="19" t="n"/>
      <c r="R772" s="19" t="n"/>
      <c r="S772" s="20" t="n"/>
      <c r="T772" s="123" t="n"/>
      <c r="U772" s="135">
        <f>DADOS_INVOC!$PW$53</f>
        <v/>
      </c>
      <c r="V772" s="19" t="n"/>
      <c r="W772" s="19" t="n"/>
      <c r="X772" s="19" t="n"/>
      <c r="Y772" s="20" t="n"/>
      <c r="Z772" s="123" t="n"/>
      <c r="AB772" s="135">
        <f>DADOS_INVOC!$PW$129</f>
        <v/>
      </c>
      <c r="AC772" s="19" t="n"/>
      <c r="AD772" s="19" t="n"/>
      <c r="AE772" s="19" t="n"/>
      <c r="AF772" s="20" t="n"/>
      <c r="AG772" s="123" t="n"/>
      <c r="AH772" s="135">
        <f>DADOS_INVOC!$PW$130</f>
        <v/>
      </c>
      <c r="AI772" s="19" t="n"/>
      <c r="AJ772" s="19" t="n"/>
      <c r="AK772" s="19" t="n"/>
      <c r="AL772" s="20" t="n"/>
      <c r="AM772" s="123" t="n"/>
      <c r="AN772" s="135">
        <f>DADOS_INVOC!$PW$131</f>
        <v/>
      </c>
      <c r="AO772" s="19" t="n"/>
      <c r="AP772" s="19" t="n"/>
      <c r="AQ772" s="19" t="n"/>
      <c r="AR772" s="20" t="n"/>
      <c r="AS772" s="123" t="n"/>
    </row>
    <row r="773" hidden="1" outlineLevel="3">
      <c r="A773" s="8" t="n"/>
      <c r="B773" s="14" t="n"/>
      <c r="C773" s="123" t="n"/>
      <c r="D773" s="123" t="n"/>
      <c r="E773" s="123" t="n"/>
      <c r="F773" s="123" t="n"/>
      <c r="G773" s="123" t="n"/>
      <c r="I773" s="23" t="n"/>
      <c r="J773" s="24" t="n"/>
      <c r="K773" s="24" t="n"/>
      <c r="L773" s="24" t="n"/>
      <c r="M773" s="25" t="n"/>
      <c r="N773" s="123" t="n"/>
      <c r="O773" s="23" t="n"/>
      <c r="P773" s="24" t="n"/>
      <c r="Q773" s="24" t="n"/>
      <c r="R773" s="24" t="n"/>
      <c r="S773" s="25" t="n"/>
      <c r="T773" s="123" t="n"/>
      <c r="U773" s="23" t="n"/>
      <c r="V773" s="24" t="n"/>
      <c r="W773" s="24" t="n"/>
      <c r="X773" s="24" t="n"/>
      <c r="Y773" s="25" t="n"/>
      <c r="Z773" s="123" t="n"/>
      <c r="AB773" s="23" t="n"/>
      <c r="AC773" s="24" t="n"/>
      <c r="AD773" s="24" t="n"/>
      <c r="AE773" s="24" t="n"/>
      <c r="AF773" s="25" t="n"/>
      <c r="AG773" s="123" t="n"/>
      <c r="AH773" s="23" t="n"/>
      <c r="AI773" s="24" t="n"/>
      <c r="AJ773" s="24" t="n"/>
      <c r="AK773" s="24" t="n"/>
      <c r="AL773" s="25" t="n"/>
      <c r="AM773" s="123" t="n"/>
      <c r="AN773" s="23" t="n"/>
      <c r="AO773" s="24" t="n"/>
      <c r="AP773" s="24" t="n"/>
      <c r="AQ773" s="24" t="n"/>
      <c r="AR773" s="25" t="n"/>
      <c r="AS773" s="123" t="n"/>
    </row>
    <row r="774" hidden="1" outlineLevel="2">
      <c r="A774" s="8" t="n"/>
      <c r="B774" s="14" t="n"/>
      <c r="C774" s="123" t="n"/>
      <c r="D774" s="123" t="n"/>
      <c r="E774" s="123" t="n"/>
      <c r="F774" s="123" t="n"/>
      <c r="G774" s="123" t="n"/>
      <c r="I774" s="123" t="n"/>
      <c r="J774" s="123" t="n"/>
      <c r="K774" s="123" t="n"/>
      <c r="L774" s="123" t="n"/>
      <c r="M774" s="123" t="n"/>
      <c r="N774" s="123" t="n"/>
      <c r="O774" s="123" t="n"/>
      <c r="P774" s="123" t="n"/>
      <c r="Q774" s="123" t="n"/>
      <c r="R774" s="123" t="n"/>
      <c r="S774" s="123" t="n"/>
      <c r="T774" s="123" t="n"/>
      <c r="U774" s="123" t="n"/>
      <c r="V774" s="123" t="n"/>
      <c r="W774" s="123" t="n"/>
      <c r="X774" s="123" t="n"/>
      <c r="Y774" s="123" t="n"/>
      <c r="Z774" s="123" t="n"/>
      <c r="AB774" s="123" t="n"/>
      <c r="AC774" s="123" t="n"/>
      <c r="AD774" s="123" t="n"/>
      <c r="AE774" s="123" t="n"/>
      <c r="AF774" s="123" t="n"/>
      <c r="AG774" s="123" t="n"/>
      <c r="AH774" s="123" t="n"/>
      <c r="AI774" s="123" t="n"/>
      <c r="AJ774" s="123" t="n"/>
      <c r="AK774" s="123" t="n"/>
      <c r="AL774" s="123" t="n"/>
      <c r="AM774" s="123" t="n"/>
      <c r="AN774" s="123" t="n"/>
      <c r="AO774" s="123" t="n"/>
      <c r="AP774" s="123" t="n"/>
      <c r="AQ774" s="123" t="n"/>
      <c r="AR774" s="123" t="n"/>
      <c r="AS774" s="123" t="n"/>
    </row>
    <row r="775" hidden="1" outlineLevel="2">
      <c r="A775" s="8" t="n"/>
      <c r="B775" s="14" t="n"/>
      <c r="C775" s="123" t="n"/>
      <c r="D775" s="123" t="n"/>
      <c r="E775" s="123" t="n"/>
      <c r="F775" s="123" t="n"/>
      <c r="G775" s="123" t="n"/>
      <c r="I775" s="55"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23" t="n"/>
      <c r="AB775" s="55"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23" t="n"/>
    </row>
    <row r="776" hidden="1" outlineLevel="2">
      <c r="A776" s="8" t="n"/>
      <c r="B776" s="14" t="n"/>
      <c r="C776" s="123" t="n"/>
      <c r="D776" s="123" t="n"/>
      <c r="E776" s="123" t="n"/>
      <c r="F776" s="123" t="n"/>
      <c r="G776" s="123" t="n"/>
      <c r="I776" s="55" t="inlineStr">
        <is>
          <t>TRILHA · CE 1</t>
        </is>
      </c>
      <c r="J776" s="133" t="n"/>
      <c r="K776" s="16" t="n"/>
      <c r="L776" s="17" t="n"/>
      <c r="M776" s="140">
        <f>DADOS_INVOC!$IU$5</f>
        <v/>
      </c>
      <c r="N776" s="16" t="n"/>
      <c r="O776" s="16" t="n"/>
      <c r="P776" s="16" t="n"/>
      <c r="Q776" s="16" t="n"/>
      <c r="R776" s="16" t="n"/>
      <c r="S776" s="16" t="n"/>
      <c r="T776" s="16" t="n"/>
      <c r="U776" s="16" t="n"/>
      <c r="V776" s="16" t="n"/>
      <c r="W776" s="16" t="n"/>
      <c r="X776" s="16" t="n"/>
      <c r="Y776" s="17" t="n"/>
      <c r="Z776" s="123" t="n"/>
      <c r="AB776" s="55" t="inlineStr">
        <is>
          <t>TRILHA · CE 1</t>
        </is>
      </c>
      <c r="AC776" s="133" t="n"/>
      <c r="AD776" s="16" t="n"/>
      <c r="AE776" s="17" t="n"/>
      <c r="AF776" s="140">
        <f>DADOS_INVOC!$IU$11</f>
        <v/>
      </c>
      <c r="AG776" s="16" t="n"/>
      <c r="AH776" s="16" t="n"/>
      <c r="AI776" s="16" t="n"/>
      <c r="AJ776" s="16" t="n"/>
      <c r="AK776" s="16" t="n"/>
      <c r="AL776" s="16" t="n"/>
      <c r="AM776" s="16" t="n"/>
      <c r="AN776" s="16" t="n"/>
      <c r="AO776" s="16" t="n"/>
      <c r="AP776" s="16" t="n"/>
      <c r="AQ776" s="16" t="n"/>
      <c r="AR776" s="17" t="n"/>
      <c r="AS776" s="123" t="n"/>
    </row>
    <row r="777" hidden="1" outlineLevel="2">
      <c r="A777" s="8" t="n"/>
      <c r="B777" s="14" t="n"/>
      <c r="C777" s="123" t="n"/>
      <c r="D777" s="123" t="n"/>
      <c r="E777" s="123" t="n"/>
      <c r="F777" s="123" t="n"/>
      <c r="G777" s="123" t="n"/>
      <c r="I777" s="55" t="inlineStr">
        <is>
          <t>TRILHA · CE 1</t>
        </is>
      </c>
      <c r="J777" s="133" t="n"/>
      <c r="K777" s="16" t="n"/>
      <c r="L777" s="17" t="n"/>
      <c r="M777" s="140">
        <f>DADOS_INVOC!$IV$5</f>
        <v/>
      </c>
      <c r="N777" s="16" t="n"/>
      <c r="O777" s="16" t="n"/>
      <c r="P777" s="16" t="n"/>
      <c r="Q777" s="16" t="n"/>
      <c r="R777" s="16" t="n"/>
      <c r="S777" s="16" t="n"/>
      <c r="T777" s="16" t="n"/>
      <c r="U777" s="16" t="n"/>
      <c r="V777" s="16" t="n"/>
      <c r="W777" s="16" t="n"/>
      <c r="X777" s="16" t="n"/>
      <c r="Y777" s="17" t="n"/>
      <c r="Z777" s="123" t="n"/>
      <c r="AB777" s="55" t="inlineStr">
        <is>
          <t>TRILHA · CE 1</t>
        </is>
      </c>
      <c r="AC777" s="133" t="n"/>
      <c r="AD777" s="16" t="n"/>
      <c r="AE777" s="17" t="n"/>
      <c r="AF777" s="140">
        <f>DADOS_INVOC!$IV$11</f>
        <v/>
      </c>
      <c r="AG777" s="16" t="n"/>
      <c r="AH777" s="16" t="n"/>
      <c r="AI777" s="16" t="n"/>
      <c r="AJ777" s="16" t="n"/>
      <c r="AK777" s="16" t="n"/>
      <c r="AL777" s="16" t="n"/>
      <c r="AM777" s="16" t="n"/>
      <c r="AN777" s="16" t="n"/>
      <c r="AO777" s="16" t="n"/>
      <c r="AP777" s="16" t="n"/>
      <c r="AQ777" s="16" t="n"/>
      <c r="AR777" s="17" t="n"/>
      <c r="AS777" s="123" t="n"/>
    </row>
    <row r="778" hidden="1" outlineLevel="2">
      <c r="A778" s="8" t="n"/>
      <c r="B778" s="14" t="n"/>
      <c r="C778" s="123" t="n"/>
      <c r="D778" s="123" t="n"/>
      <c r="E778" s="123" t="n"/>
      <c r="F778" s="123" t="n"/>
      <c r="G778" s="123" t="n"/>
      <c r="I778" s="55" t="inlineStr">
        <is>
          <t>TRILHA · CE 1</t>
        </is>
      </c>
      <c r="J778" s="133" t="n"/>
      <c r="K778" s="16" t="n"/>
      <c r="L778" s="17" t="n"/>
      <c r="M778" s="140">
        <f>DADOS_INVOC!$IW$5</f>
        <v/>
      </c>
      <c r="N778" s="16" t="n"/>
      <c r="O778" s="16" t="n"/>
      <c r="P778" s="16" t="n"/>
      <c r="Q778" s="16" t="n"/>
      <c r="R778" s="16" t="n"/>
      <c r="S778" s="16" t="n"/>
      <c r="T778" s="16" t="n"/>
      <c r="U778" s="16" t="n"/>
      <c r="V778" s="16" t="n"/>
      <c r="W778" s="16" t="n"/>
      <c r="X778" s="16" t="n"/>
      <c r="Y778" s="17" t="n"/>
      <c r="Z778" s="123" t="n"/>
      <c r="AB778" s="55" t="inlineStr">
        <is>
          <t>TRILHA · CE 1</t>
        </is>
      </c>
      <c r="AC778" s="133" t="n"/>
      <c r="AD778" s="16" t="n"/>
      <c r="AE778" s="17" t="n"/>
      <c r="AF778" s="140">
        <f>DADOS_INVOC!$IW$11</f>
        <v/>
      </c>
      <c r="AG778" s="16" t="n"/>
      <c r="AH778" s="16" t="n"/>
      <c r="AI778" s="16" t="n"/>
      <c r="AJ778" s="16" t="n"/>
      <c r="AK778" s="16" t="n"/>
      <c r="AL778" s="16" t="n"/>
      <c r="AM778" s="16" t="n"/>
      <c r="AN778" s="16" t="n"/>
      <c r="AO778" s="16" t="n"/>
      <c r="AP778" s="16" t="n"/>
      <c r="AQ778" s="16" t="n"/>
      <c r="AR778" s="17" t="n"/>
      <c r="AS778" s="123" t="n"/>
    </row>
    <row r="779" hidden="1" outlineLevel="1">
      <c r="A779" s="8" t="n"/>
      <c r="B779" s="14" t="n"/>
      <c r="C779" s="123" t="n"/>
      <c r="D779" s="123" t="n"/>
      <c r="E779" s="123" t="n"/>
      <c r="F779" s="123" t="n"/>
      <c r="G779" s="123" t="n"/>
      <c r="I779" s="123" t="n"/>
      <c r="J779" s="123" t="n"/>
      <c r="K779" s="123" t="n"/>
      <c r="L779" s="123" t="n"/>
      <c r="M779" s="123" t="n"/>
      <c r="N779" s="123" t="n"/>
      <c r="O779" s="123" t="n"/>
      <c r="P779" s="123" t="n"/>
      <c r="Q779" s="123" t="n"/>
      <c r="R779" s="123" t="n"/>
      <c r="S779" s="123" t="n"/>
      <c r="T779" s="123" t="n"/>
      <c r="U779" s="123" t="n"/>
      <c r="V779" s="123" t="n"/>
      <c r="W779" s="123" t="n"/>
      <c r="X779" s="123" t="n"/>
      <c r="Y779" s="123" t="n"/>
      <c r="Z779" s="123" t="n"/>
      <c r="AB779" s="123" t="n"/>
      <c r="AC779" s="123" t="n"/>
      <c r="AD779" s="123" t="n"/>
      <c r="AE779" s="123" t="n"/>
      <c r="AF779" s="123" t="n"/>
      <c r="AG779" s="123" t="n"/>
      <c r="AH779" s="123" t="n"/>
      <c r="AI779" s="123" t="n"/>
      <c r="AJ779" s="123" t="n"/>
      <c r="AK779" s="123" t="n"/>
      <c r="AL779" s="123" t="n"/>
      <c r="AM779" s="123" t="n"/>
      <c r="AN779" s="123" t="n"/>
      <c r="AO779" s="123" t="n"/>
      <c r="AP779" s="123" t="n"/>
      <c r="AQ779" s="123" t="n"/>
      <c r="AR779" s="123" t="n"/>
      <c r="AS779" s="123" t="n"/>
    </row>
    <row r="780" hidden="1" outlineLevel="1">
      <c r="A780" s="8" t="n"/>
      <c r="B780" s="14" t="n"/>
      <c r="C780" s="123" t="n"/>
      <c r="D780" s="123" t="n"/>
      <c r="E780" s="123" t="n"/>
      <c r="F780" s="123" t="n"/>
      <c r="G780" s="123" t="n"/>
      <c r="I780" s="136"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23" t="n"/>
      <c r="AB780" s="136"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23" t="n"/>
    </row>
    <row r="781" hidden="1" outlineLevel="2">
      <c r="A781" s="8" t="n"/>
      <c r="B781" s="14" t="n"/>
      <c r="C781" s="123" t="n"/>
      <c r="D781" s="123" t="n"/>
      <c r="E781" s="123" t="n"/>
      <c r="F781" s="123" t="n"/>
      <c r="G781" s="123" t="n"/>
      <c r="I781" s="123" t="n"/>
      <c r="J781" s="123" t="n"/>
      <c r="K781" s="123" t="n"/>
      <c r="L781" s="123" t="n"/>
      <c r="M781" s="123" t="n"/>
      <c r="N781" s="123" t="n"/>
      <c r="O781" s="123" t="n"/>
      <c r="P781" s="123" t="n"/>
      <c r="Q781" s="123" t="n"/>
      <c r="R781" s="123" t="n"/>
      <c r="S781" s="123" t="n"/>
      <c r="T781" s="123" t="n"/>
      <c r="U781" s="123" t="n"/>
      <c r="V781" s="123" t="n"/>
      <c r="W781" s="123" t="n"/>
      <c r="X781" s="123" t="n"/>
      <c r="Y781" s="123" t="n"/>
      <c r="Z781" s="123" t="n"/>
      <c r="AB781" s="123" t="n"/>
      <c r="AC781" s="123" t="n"/>
      <c r="AD781" s="123" t="n"/>
      <c r="AE781" s="123" t="n"/>
      <c r="AF781" s="123" t="n"/>
      <c r="AG781" s="123" t="n"/>
      <c r="AH781" s="123" t="n"/>
      <c r="AI781" s="123" t="n"/>
      <c r="AJ781" s="123" t="n"/>
      <c r="AK781" s="123" t="n"/>
      <c r="AL781" s="123" t="n"/>
      <c r="AM781" s="123" t="n"/>
      <c r="AN781" s="123" t="n"/>
      <c r="AO781" s="123" t="n"/>
      <c r="AP781" s="123" t="n"/>
      <c r="AQ781" s="123" t="n"/>
      <c r="AR781" s="123" t="n"/>
      <c r="AS781" s="123" t="n"/>
    </row>
    <row r="782" hidden="1" outlineLevel="2">
      <c r="A782" s="8" t="n"/>
      <c r="B782" s="14" t="n"/>
      <c r="C782" s="123" t="n"/>
      <c r="D782" s="123" t="n"/>
      <c r="E782" s="123" t="n"/>
      <c r="F782" s="123" t="n"/>
      <c r="G782" s="123" t="n"/>
      <c r="I782" s="55" t="inlineStr">
        <is>
          <t>LIBERAÇÃO MÁXIMA 1</t>
        </is>
      </c>
      <c r="J782" s="16" t="n"/>
      <c r="K782" s="16" t="n"/>
      <c r="L782" s="16" t="n"/>
      <c r="M782" s="17" t="n"/>
      <c r="N782" s="123" t="n"/>
      <c r="O782" s="55" t="inlineStr">
        <is>
          <t>LIBERAÇÃO MÁXIMA 2</t>
        </is>
      </c>
      <c r="P782" s="16" t="n"/>
      <c r="Q782" s="16" t="n"/>
      <c r="R782" s="16" t="n"/>
      <c r="S782" s="17" t="n"/>
      <c r="T782" s="123" t="n"/>
      <c r="U782" s="55" t="inlineStr">
        <is>
          <t>LIBERAÇÃO MÁXIMA 3</t>
        </is>
      </c>
      <c r="V782" s="16" t="n"/>
      <c r="W782" s="16" t="n"/>
      <c r="X782" s="16" t="n"/>
      <c r="Y782" s="17" t="n"/>
      <c r="Z782" s="123" t="n"/>
      <c r="AB782" s="55" t="inlineStr">
        <is>
          <t>LIBERAÇÃO MÁXIMA 1</t>
        </is>
      </c>
      <c r="AC782" s="16" t="n"/>
      <c r="AD782" s="16" t="n"/>
      <c r="AE782" s="16" t="n"/>
      <c r="AF782" s="17" t="n"/>
      <c r="AG782" s="123" t="n"/>
      <c r="AH782" s="55" t="inlineStr">
        <is>
          <t>LIBERAÇÃO MÁXIMA 2</t>
        </is>
      </c>
      <c r="AI782" s="16" t="n"/>
      <c r="AJ782" s="16" t="n"/>
      <c r="AK782" s="16" t="n"/>
      <c r="AL782" s="17" t="n"/>
      <c r="AM782" s="123" t="n"/>
      <c r="AN782" s="55" t="inlineStr">
        <is>
          <t>LIBERAÇÃO MÁXIMA 3</t>
        </is>
      </c>
      <c r="AO782" s="16" t="n"/>
      <c r="AP782" s="16" t="n"/>
      <c r="AQ782" s="16" t="n"/>
      <c r="AR782" s="17" t="n"/>
      <c r="AS782" s="123" t="n"/>
    </row>
    <row r="783" hidden="1" outlineLevel="2">
      <c r="A783" s="8" t="n"/>
      <c r="B783" s="14" t="n"/>
      <c r="C783" s="123" t="n"/>
      <c r="D783" s="123" t="n"/>
      <c r="E783" s="123" t="n"/>
      <c r="F783" s="123" t="n"/>
      <c r="G783" s="123" t="n"/>
      <c r="I783" s="130" t="n">
        <v>3</v>
      </c>
      <c r="J783" s="118" t="n"/>
      <c r="K783" s="16" t="n"/>
      <c r="L783" s="17" t="n"/>
      <c r="M783" s="131">
        <f>DADOS_INVOC!$IX$5</f>
        <v/>
      </c>
      <c r="N783" s="123" t="n"/>
      <c r="O783" s="130" t="n">
        <v>3</v>
      </c>
      <c r="P783" s="118" t="n"/>
      <c r="Q783" s="16" t="n"/>
      <c r="R783" s="17" t="n"/>
      <c r="S783" s="131">
        <f>DADOS_INVOC!$IY$5</f>
        <v/>
      </c>
      <c r="T783" s="123" t="n"/>
      <c r="U783" s="130" t="n">
        <v>3</v>
      </c>
      <c r="V783" s="118" t="n"/>
      <c r="W783" s="16" t="n"/>
      <c r="X783" s="17" t="n"/>
      <c r="Y783" s="131">
        <f>DADOS_INVOC!$IZ$5</f>
        <v/>
      </c>
      <c r="Z783" s="123" t="n"/>
      <c r="AB783" s="130" t="n">
        <v>3</v>
      </c>
      <c r="AC783" s="118" t="n"/>
      <c r="AD783" s="16" t="n"/>
      <c r="AE783" s="17" t="n"/>
      <c r="AF783" s="131">
        <f>DADOS_INVOC!$IX$11</f>
        <v/>
      </c>
      <c r="AG783" s="123" t="n"/>
      <c r="AH783" s="130" t="n">
        <v>3</v>
      </c>
      <c r="AI783" s="118" t="n"/>
      <c r="AJ783" s="16" t="n"/>
      <c r="AK783" s="17" t="n"/>
      <c r="AL783" s="131">
        <f>DADOS_INVOC!$IY$11</f>
        <v/>
      </c>
      <c r="AM783" s="123" t="n"/>
      <c r="AN783" s="130" t="n">
        <v>3</v>
      </c>
      <c r="AO783" s="118" t="n"/>
      <c r="AP783" s="16" t="n"/>
      <c r="AQ783" s="17" t="n"/>
      <c r="AR783" s="131">
        <f>DADOS_INVOC!$IZ$11</f>
        <v/>
      </c>
      <c r="AS783" s="123" t="n"/>
    </row>
    <row r="784" hidden="1" outlineLevel="2">
      <c r="A784" s="8" t="n"/>
      <c r="B784" s="14" t="n"/>
      <c r="C784" s="123" t="n"/>
      <c r="D784" s="123" t="n"/>
      <c r="E784" s="123" t="n"/>
      <c r="F784" s="123" t="n"/>
      <c r="G784" s="123" t="n"/>
      <c r="I784" s="119" t="n"/>
      <c r="J784" s="19" t="n"/>
      <c r="K784" s="19" t="n"/>
      <c r="L784" s="19" t="n"/>
      <c r="M784" s="20" t="n"/>
      <c r="N784" s="123" t="n"/>
      <c r="O784" s="119" t="n"/>
      <c r="P784" s="19" t="n"/>
      <c r="Q784" s="19" t="n"/>
      <c r="R784" s="19" t="n"/>
      <c r="S784" s="20" t="n"/>
      <c r="T784" s="123" t="n"/>
      <c r="U784" s="119" t="n"/>
      <c r="V784" s="19" t="n"/>
      <c r="W784" s="19" t="n"/>
      <c r="X784" s="19" t="n"/>
      <c r="Y784" s="20" t="n"/>
      <c r="Z784" s="123" t="n"/>
      <c r="AB784" s="119" t="n"/>
      <c r="AC784" s="19" t="n"/>
      <c r="AD784" s="19" t="n"/>
      <c r="AE784" s="19" t="n"/>
      <c r="AF784" s="20" t="n"/>
      <c r="AG784" s="123" t="n"/>
      <c r="AH784" s="119" t="n"/>
      <c r="AI784" s="19" t="n"/>
      <c r="AJ784" s="19" t="n"/>
      <c r="AK784" s="19" t="n"/>
      <c r="AL784" s="20" t="n"/>
      <c r="AM784" s="123" t="n"/>
      <c r="AN784" s="119" t="n"/>
      <c r="AO784" s="19" t="n"/>
      <c r="AP784" s="19" t="n"/>
      <c r="AQ784" s="19" t="n"/>
      <c r="AR784" s="20" t="n"/>
      <c r="AS784" s="123" t="n"/>
    </row>
    <row r="785" hidden="1" outlineLevel="2">
      <c r="A785" s="8" t="n"/>
      <c r="B785" s="14" t="n"/>
      <c r="C785" s="123" t="n"/>
      <c r="D785" s="123" t="n"/>
      <c r="E785" s="123" t="n"/>
      <c r="F785" s="123" t="n"/>
      <c r="G785" s="123" t="n"/>
      <c r="I785" s="21" t="n"/>
      <c r="M785" s="22" t="n"/>
      <c r="N785" s="123" t="n"/>
      <c r="O785" s="21" t="n"/>
      <c r="S785" s="22" t="n"/>
      <c r="T785" s="123" t="n"/>
      <c r="U785" s="21" t="n"/>
      <c r="Y785" s="22" t="n"/>
      <c r="Z785" s="123" t="n"/>
      <c r="AB785" s="21" t="n"/>
      <c r="AF785" s="22" t="n"/>
      <c r="AG785" s="123" t="n"/>
      <c r="AH785" s="21" t="n"/>
      <c r="AL785" s="22" t="n"/>
      <c r="AM785" s="123" t="n"/>
      <c r="AN785" s="21" t="n"/>
      <c r="AR785" s="22" t="n"/>
      <c r="AS785" s="123" t="n"/>
    </row>
    <row r="786" hidden="1" outlineLevel="2">
      <c r="A786" s="8" t="n"/>
      <c r="B786" s="14" t="n"/>
      <c r="C786" s="123" t="n"/>
      <c r="D786" s="123" t="n"/>
      <c r="E786" s="123" t="n"/>
      <c r="F786" s="123" t="n"/>
      <c r="G786" s="123" t="n"/>
      <c r="I786" s="21" t="n"/>
      <c r="M786" s="22" t="n"/>
      <c r="N786" s="123" t="n"/>
      <c r="O786" s="21" t="n"/>
      <c r="S786" s="22" t="n"/>
      <c r="T786" s="123" t="n"/>
      <c r="U786" s="21" t="n"/>
      <c r="Y786" s="22" t="n"/>
      <c r="Z786" s="123" t="n"/>
      <c r="AB786" s="21" t="n"/>
      <c r="AF786" s="22" t="n"/>
      <c r="AG786" s="123" t="n"/>
      <c r="AH786" s="21" t="n"/>
      <c r="AL786" s="22" t="n"/>
      <c r="AM786" s="123" t="n"/>
      <c r="AN786" s="21" t="n"/>
      <c r="AR786" s="22" t="n"/>
      <c r="AS786" s="123" t="n"/>
    </row>
    <row r="787" hidden="1" outlineLevel="2">
      <c r="A787" s="8" t="n"/>
      <c r="B787" s="14" t="n"/>
      <c r="C787" s="123" t="n"/>
      <c r="D787" s="123" t="n"/>
      <c r="E787" s="123" t="n"/>
      <c r="F787" s="123" t="n"/>
      <c r="G787" s="123" t="n"/>
      <c r="I787" s="23" t="n"/>
      <c r="J787" s="24" t="n"/>
      <c r="K787" s="24" t="n"/>
      <c r="L787" s="24" t="n"/>
      <c r="M787" s="25" t="n"/>
      <c r="N787" s="123" t="n"/>
      <c r="O787" s="23" t="n"/>
      <c r="P787" s="24" t="n"/>
      <c r="Q787" s="24" t="n"/>
      <c r="R787" s="24" t="n"/>
      <c r="S787" s="25" t="n"/>
      <c r="T787" s="123" t="n"/>
      <c r="U787" s="23" t="n"/>
      <c r="V787" s="24" t="n"/>
      <c r="W787" s="24" t="n"/>
      <c r="X787" s="24" t="n"/>
      <c r="Y787" s="25" t="n"/>
      <c r="Z787" s="123" t="n"/>
      <c r="AB787" s="23" t="n"/>
      <c r="AC787" s="24" t="n"/>
      <c r="AD787" s="24" t="n"/>
      <c r="AE787" s="24" t="n"/>
      <c r="AF787" s="25" t="n"/>
      <c r="AG787" s="123" t="n"/>
      <c r="AH787" s="23" t="n"/>
      <c r="AI787" s="24" t="n"/>
      <c r="AJ787" s="24" t="n"/>
      <c r="AK787" s="24" t="n"/>
      <c r="AL787" s="25" t="n"/>
      <c r="AM787" s="123" t="n"/>
      <c r="AN787" s="23" t="n"/>
      <c r="AO787" s="24" t="n"/>
      <c r="AP787" s="24" t="n"/>
      <c r="AQ787" s="24" t="n"/>
      <c r="AR787" s="25" t="n"/>
      <c r="AS787" s="123" t="n"/>
    </row>
    <row r="788" hidden="1" outlineLevel="2">
      <c r="A788" s="8" t="n"/>
      <c r="B788" s="14" t="n"/>
      <c r="C788" s="123" t="n"/>
      <c r="D788" s="123" t="n"/>
      <c r="E788" s="123" t="n"/>
      <c r="F788" s="123" t="n"/>
      <c r="G788" s="123" t="n"/>
      <c r="I788" s="68">
        <f>DADOS_INVOC!$JA$5</f>
        <v/>
      </c>
      <c r="J788" s="16" t="n"/>
      <c r="K788" s="16" t="n"/>
      <c r="L788" s="16" t="n"/>
      <c r="M788" s="17" t="n"/>
      <c r="N788" s="123" t="n"/>
      <c r="O788" s="68">
        <f>DADOS_INVOC!$JB$5</f>
        <v/>
      </c>
      <c r="P788" s="16" t="n"/>
      <c r="Q788" s="16" t="n"/>
      <c r="R788" s="16" t="n"/>
      <c r="S788" s="17" t="n"/>
      <c r="T788" s="123" t="n"/>
      <c r="U788" s="68">
        <f>DADOS_INVOC!$JC$5</f>
        <v/>
      </c>
      <c r="V788" s="16" t="n"/>
      <c r="W788" s="16" t="n"/>
      <c r="X788" s="16" t="n"/>
      <c r="Y788" s="17" t="n"/>
      <c r="Z788" s="123" t="n"/>
      <c r="AB788" s="68">
        <f>DADOS_INVOC!$JA$11</f>
        <v/>
      </c>
      <c r="AC788" s="16" t="n"/>
      <c r="AD788" s="16" t="n"/>
      <c r="AE788" s="16" t="n"/>
      <c r="AF788" s="17" t="n"/>
      <c r="AG788" s="123" t="n"/>
      <c r="AH788" s="68">
        <f>DADOS_INVOC!$JB$11</f>
        <v/>
      </c>
      <c r="AI788" s="16" t="n"/>
      <c r="AJ788" s="16" t="n"/>
      <c r="AK788" s="16" t="n"/>
      <c r="AL788" s="17" t="n"/>
      <c r="AM788" s="123" t="n"/>
      <c r="AN788" s="68">
        <f>DADOS_INVOC!$JC$11</f>
        <v/>
      </c>
      <c r="AO788" s="16" t="n"/>
      <c r="AP788" s="16" t="n"/>
      <c r="AQ788" s="16" t="n"/>
      <c r="AR788" s="17" t="n"/>
      <c r="AS788" s="123" t="n"/>
    </row>
    <row r="789" hidden="1" outlineLevel="2">
      <c r="A789" s="8" t="n"/>
      <c r="B789" s="14" t="n"/>
      <c r="C789" s="123" t="n"/>
      <c r="D789" s="123" t="n"/>
      <c r="E789" s="123" t="n"/>
      <c r="F789" s="123" t="n"/>
      <c r="G789" s="123" t="n"/>
      <c r="I789" s="127" t="inlineStr">
        <is>
          <t>Sua Ação Completa + a básica dela</t>
        </is>
      </c>
      <c r="J789" s="16" t="n"/>
      <c r="K789" s="16" t="n"/>
      <c r="L789" s="16" t="n"/>
      <c r="M789" s="17" t="n"/>
      <c r="N789" s="123" t="n"/>
      <c r="O789" s="127" t="inlineStr">
        <is>
          <t>Sua Ação Completa + a básica dela</t>
        </is>
      </c>
      <c r="P789" s="16" t="n"/>
      <c r="Q789" s="16" t="n"/>
      <c r="R789" s="16" t="n"/>
      <c r="S789" s="17" t="n"/>
      <c r="T789" s="123" t="n"/>
      <c r="U789" s="127" t="inlineStr">
        <is>
          <t>Sua Ação Completa + a básica dela</t>
        </is>
      </c>
      <c r="V789" s="16" t="n"/>
      <c r="W789" s="16" t="n"/>
      <c r="X789" s="16" t="n"/>
      <c r="Y789" s="17" t="n"/>
      <c r="Z789" s="123" t="n"/>
      <c r="AB789" s="127" t="inlineStr">
        <is>
          <t>Sua Ação Completa + a básica dela</t>
        </is>
      </c>
      <c r="AC789" s="16" t="n"/>
      <c r="AD789" s="16" t="n"/>
      <c r="AE789" s="16" t="n"/>
      <c r="AF789" s="17" t="n"/>
      <c r="AG789" s="123" t="n"/>
      <c r="AH789" s="127" t="inlineStr">
        <is>
          <t>Sua Ação Completa + a básica dela</t>
        </is>
      </c>
      <c r="AI789" s="16" t="n"/>
      <c r="AJ789" s="16" t="n"/>
      <c r="AK789" s="16" t="n"/>
      <c r="AL789" s="17" t="n"/>
      <c r="AM789" s="123" t="n"/>
      <c r="AN789" s="127" t="inlineStr">
        <is>
          <t>Sua Ação Completa + a básica dela</t>
        </is>
      </c>
      <c r="AO789" s="16" t="n"/>
      <c r="AP789" s="16" t="n"/>
      <c r="AQ789" s="16" t="n"/>
      <c r="AR789" s="17" t="n"/>
      <c r="AS789" s="123" t="n"/>
    </row>
    <row r="790" hidden="1" outlineLevel="2">
      <c r="A790" s="8" t="n"/>
      <c r="B790" s="14" t="n"/>
      <c r="C790" s="123" t="n"/>
      <c r="D790" s="123" t="n"/>
      <c r="E790" s="123" t="n"/>
      <c r="F790" s="123" t="n"/>
      <c r="G790" s="123" t="n"/>
      <c r="I790" s="123" t="n"/>
      <c r="J790" s="123" t="n"/>
      <c r="K790" s="123" t="n"/>
      <c r="L790" s="123" t="n"/>
      <c r="M790" s="123" t="n"/>
      <c r="N790" s="123" t="n"/>
      <c r="O790" s="123" t="n"/>
      <c r="P790" s="123" t="n"/>
      <c r="Q790" s="123" t="n"/>
      <c r="R790" s="123" t="n"/>
      <c r="S790" s="123" t="n"/>
      <c r="T790" s="123" t="n"/>
      <c r="U790" s="123" t="n"/>
      <c r="V790" s="123" t="n"/>
      <c r="W790" s="123" t="n"/>
      <c r="X790" s="123" t="n"/>
      <c r="Y790" s="123" t="n"/>
      <c r="Z790" s="123" t="n"/>
      <c r="AB790" s="123" t="n"/>
      <c r="AC790" s="123" t="n"/>
      <c r="AD790" s="123" t="n"/>
      <c r="AE790" s="123" t="n"/>
      <c r="AF790" s="123" t="n"/>
      <c r="AG790" s="123" t="n"/>
      <c r="AH790" s="123" t="n"/>
      <c r="AI790" s="123" t="n"/>
      <c r="AJ790" s="123" t="n"/>
      <c r="AK790" s="123" t="n"/>
      <c r="AL790" s="123" t="n"/>
      <c r="AM790" s="123" t="n"/>
      <c r="AN790" s="123" t="n"/>
      <c r="AO790" s="123" t="n"/>
      <c r="AP790" s="123" t="n"/>
      <c r="AQ790" s="123" t="n"/>
      <c r="AR790" s="123" t="n"/>
      <c r="AS790" s="123" t="n"/>
    </row>
    <row r="791" hidden="1" outlineLevel="2">
      <c r="A791" s="8" t="n"/>
      <c r="B791" s="14" t="n"/>
      <c r="C791" s="123" t="n"/>
      <c r="D791" s="123" t="n"/>
      <c r="E791" s="123" t="n"/>
      <c r="F791" s="123" t="n"/>
      <c r="G791" s="123" t="n"/>
      <c r="I791" s="55" t="inlineStr">
        <is>
          <t>TÉCNICA MÁXIMA</t>
        </is>
      </c>
      <c r="J791" s="16" t="n"/>
      <c r="K791" s="16" t="n"/>
      <c r="L791" s="16" t="n"/>
      <c r="M791" s="17" t="n"/>
      <c r="N791" s="123" t="n"/>
      <c r="O791" s="55" t="inlineStr">
        <is>
          <t>EXPANSÃO DE DOMÍNIO</t>
        </is>
      </c>
      <c r="P791" s="16" t="n"/>
      <c r="Q791" s="16" t="n"/>
      <c r="R791" s="16" t="n"/>
      <c r="S791" s="17" t="n"/>
      <c r="T791" s="123" t="n"/>
      <c r="U791" s="123" t="n"/>
      <c r="V791" s="123" t="n"/>
      <c r="W791" s="123" t="n"/>
      <c r="X791" s="123" t="n"/>
      <c r="Y791" s="123" t="n"/>
      <c r="Z791" s="123" t="n"/>
      <c r="AB791" s="55" t="inlineStr">
        <is>
          <t>TÉCNICA MÁXIMA</t>
        </is>
      </c>
      <c r="AC791" s="16" t="n"/>
      <c r="AD791" s="16" t="n"/>
      <c r="AE791" s="16" t="n"/>
      <c r="AF791" s="17" t="n"/>
      <c r="AG791" s="123" t="n"/>
      <c r="AH791" s="55" t="inlineStr">
        <is>
          <t>EXPANSÃO DE DOMÍNIO</t>
        </is>
      </c>
      <c r="AI791" s="16" t="n"/>
      <c r="AJ791" s="16" t="n"/>
      <c r="AK791" s="16" t="n"/>
      <c r="AL791" s="17" t="n"/>
      <c r="AM791" s="123" t="n"/>
      <c r="AN791" s="123" t="n"/>
      <c r="AO791" s="123" t="n"/>
      <c r="AP791" s="123" t="n"/>
      <c r="AQ791" s="123" t="n"/>
      <c r="AR791" s="123" t="n"/>
      <c r="AS791" s="123" t="n"/>
    </row>
    <row r="792" hidden="1" outlineLevel="2">
      <c r="A792" s="8" t="n"/>
      <c r="B792" s="14" t="n"/>
      <c r="C792" s="123" t="n"/>
      <c r="D792" s="123" t="n"/>
      <c r="E792" s="123" t="n"/>
      <c r="F792" s="123" t="n"/>
      <c r="G792" s="123" t="n"/>
      <c r="I792" s="118" t="n"/>
      <c r="J792" s="16" t="n"/>
      <c r="K792" s="16" t="n"/>
      <c r="L792" s="17" t="n"/>
      <c r="M792" s="131">
        <f>DADOS_INVOC!$JD$5</f>
        <v/>
      </c>
      <c r="N792" s="123" t="n"/>
      <c r="O792" s="118" t="n"/>
      <c r="P792" s="16" t="n"/>
      <c r="Q792" s="16" t="n"/>
      <c r="R792" s="17" t="n"/>
      <c r="S792" s="131">
        <f>DADOS_INVOC!$JF$5</f>
        <v/>
      </c>
      <c r="T792" s="123" t="n"/>
      <c r="U792" s="123" t="n"/>
      <c r="V792" s="123" t="n"/>
      <c r="W792" s="123" t="n"/>
      <c r="X792" s="123" t="n"/>
      <c r="Y792" s="123" t="n"/>
      <c r="Z792" s="123" t="n"/>
      <c r="AB792" s="118" t="n"/>
      <c r="AC792" s="16" t="n"/>
      <c r="AD792" s="16" t="n"/>
      <c r="AE792" s="17" t="n"/>
      <c r="AF792" s="131">
        <f>DADOS_INVOC!$JD$11</f>
        <v/>
      </c>
      <c r="AG792" s="123" t="n"/>
      <c r="AH792" s="118" t="n"/>
      <c r="AI792" s="16" t="n"/>
      <c r="AJ792" s="16" t="n"/>
      <c r="AK792" s="17" t="n"/>
      <c r="AL792" s="131">
        <f>DADOS_INVOC!$JF$11</f>
        <v/>
      </c>
      <c r="AM792" s="123" t="n"/>
      <c r="AN792" s="123" t="n"/>
      <c r="AO792" s="123" t="n"/>
      <c r="AP792" s="123" t="n"/>
      <c r="AQ792" s="123" t="n"/>
      <c r="AR792" s="123" t="n"/>
      <c r="AS792" s="123" t="n"/>
    </row>
    <row r="793" hidden="1" outlineLevel="2">
      <c r="A793" s="8" t="n"/>
      <c r="B793" s="14" t="n"/>
      <c r="C793" s="123" t="n"/>
      <c r="D793" s="123" t="n"/>
      <c r="E793" s="123" t="n"/>
      <c r="F793" s="123" t="n"/>
      <c r="G793" s="123" t="n"/>
      <c r="I793" s="119" t="n"/>
      <c r="J793" s="19" t="n"/>
      <c r="K793" s="19" t="n"/>
      <c r="L793" s="19" t="n"/>
      <c r="M793" s="20" t="n"/>
      <c r="N793" s="123" t="n"/>
      <c r="O793" s="119" t="n"/>
      <c r="P793" s="19" t="n"/>
      <c r="Q793" s="19" t="n"/>
      <c r="R793" s="19" t="n"/>
      <c r="S793" s="20" t="n"/>
      <c r="T793" s="123" t="n"/>
      <c r="U793" s="123" t="n"/>
      <c r="V793" s="123" t="n"/>
      <c r="W793" s="123" t="n"/>
      <c r="X793" s="123" t="n"/>
      <c r="Y793" s="123" t="n"/>
      <c r="Z793" s="123" t="n"/>
      <c r="AB793" s="119" t="n"/>
      <c r="AC793" s="19" t="n"/>
      <c r="AD793" s="19" t="n"/>
      <c r="AE793" s="19" t="n"/>
      <c r="AF793" s="20" t="n"/>
      <c r="AG793" s="123" t="n"/>
      <c r="AH793" s="119" t="n"/>
      <c r="AI793" s="19" t="n"/>
      <c r="AJ793" s="19" t="n"/>
      <c r="AK793" s="19" t="n"/>
      <c r="AL793" s="20" t="n"/>
      <c r="AM793" s="123" t="n"/>
      <c r="AN793" s="123" t="n"/>
      <c r="AO793" s="123" t="n"/>
      <c r="AP793" s="123" t="n"/>
      <c r="AQ793" s="123" t="n"/>
      <c r="AR793" s="123" t="n"/>
      <c r="AS793" s="123" t="n"/>
    </row>
    <row r="794" hidden="1" outlineLevel="2">
      <c r="A794" s="8" t="n"/>
      <c r="B794" s="14" t="n"/>
      <c r="C794" s="123" t="n"/>
      <c r="D794" s="123" t="n"/>
      <c r="E794" s="123" t="n"/>
      <c r="F794" s="123" t="n"/>
      <c r="G794" s="123" t="n"/>
      <c r="I794" s="21" t="n"/>
      <c r="M794" s="22" t="n"/>
      <c r="N794" s="123" t="n"/>
      <c r="O794" s="21" t="n"/>
      <c r="S794" s="22" t="n"/>
      <c r="T794" s="123" t="n"/>
      <c r="U794" s="123" t="n"/>
      <c r="V794" s="123" t="n"/>
      <c r="W794" s="123" t="n"/>
      <c r="X794" s="123" t="n"/>
      <c r="Y794" s="123" t="n"/>
      <c r="Z794" s="123" t="n"/>
      <c r="AB794" s="21" t="n"/>
      <c r="AF794" s="22" t="n"/>
      <c r="AG794" s="123" t="n"/>
      <c r="AH794" s="21" t="n"/>
      <c r="AL794" s="22" t="n"/>
      <c r="AM794" s="123" t="n"/>
      <c r="AN794" s="123" t="n"/>
      <c r="AO794" s="123" t="n"/>
      <c r="AP794" s="123" t="n"/>
      <c r="AQ794" s="123" t="n"/>
      <c r="AR794" s="123" t="n"/>
      <c r="AS794" s="123" t="n"/>
    </row>
    <row r="795" hidden="1" outlineLevel="2">
      <c r="A795" s="8" t="n"/>
      <c r="B795" s="14" t="n"/>
      <c r="C795" s="123" t="n"/>
      <c r="D795" s="123" t="n"/>
      <c r="E795" s="123" t="n"/>
      <c r="F795" s="123" t="n"/>
      <c r="G795" s="123" t="n"/>
      <c r="I795" s="21" t="n"/>
      <c r="M795" s="22" t="n"/>
      <c r="N795" s="123" t="n"/>
      <c r="O795" s="21" t="n"/>
      <c r="S795" s="22" t="n"/>
      <c r="T795" s="123" t="n"/>
      <c r="U795" s="123" t="n"/>
      <c r="V795" s="123" t="n"/>
      <c r="W795" s="123" t="n"/>
      <c r="X795" s="123" t="n"/>
      <c r="Y795" s="123" t="n"/>
      <c r="Z795" s="123" t="n"/>
      <c r="AB795" s="21" t="n"/>
      <c r="AF795" s="22" t="n"/>
      <c r="AG795" s="123" t="n"/>
      <c r="AH795" s="21" t="n"/>
      <c r="AL795" s="22" t="n"/>
      <c r="AM795" s="123" t="n"/>
      <c r="AN795" s="123" t="n"/>
      <c r="AO795" s="123" t="n"/>
      <c r="AP795" s="123" t="n"/>
      <c r="AQ795" s="123" t="n"/>
      <c r="AR795" s="123" t="n"/>
      <c r="AS795" s="123" t="n"/>
    </row>
    <row r="796" hidden="1" outlineLevel="2">
      <c r="A796" s="8" t="n"/>
      <c r="B796" s="14" t="n"/>
      <c r="C796" s="123" t="n"/>
      <c r="D796" s="123" t="n"/>
      <c r="E796" s="123" t="n"/>
      <c r="F796" s="123" t="n"/>
      <c r="G796" s="123" t="n"/>
      <c r="I796" s="23" t="n"/>
      <c r="J796" s="24" t="n"/>
      <c r="K796" s="24" t="n"/>
      <c r="L796" s="24" t="n"/>
      <c r="M796" s="25" t="n"/>
      <c r="N796" s="123" t="n"/>
      <c r="O796" s="23" t="n"/>
      <c r="P796" s="24" t="n"/>
      <c r="Q796" s="24" t="n"/>
      <c r="R796" s="24" t="n"/>
      <c r="S796" s="25" t="n"/>
      <c r="T796" s="123" t="n"/>
      <c r="U796" s="123" t="n"/>
      <c r="V796" s="123" t="n"/>
      <c r="W796" s="123" t="n"/>
      <c r="X796" s="123" t="n"/>
      <c r="Y796" s="123" t="n"/>
      <c r="Z796" s="123" t="n"/>
      <c r="AB796" s="23" t="n"/>
      <c r="AC796" s="24" t="n"/>
      <c r="AD796" s="24" t="n"/>
      <c r="AE796" s="24" t="n"/>
      <c r="AF796" s="25" t="n"/>
      <c r="AG796" s="123" t="n"/>
      <c r="AH796" s="23" t="n"/>
      <c r="AI796" s="24" t="n"/>
      <c r="AJ796" s="24" t="n"/>
      <c r="AK796" s="24" t="n"/>
      <c r="AL796" s="25" t="n"/>
      <c r="AM796" s="123" t="n"/>
      <c r="AN796" s="123" t="n"/>
      <c r="AO796" s="123" t="n"/>
      <c r="AP796" s="123" t="n"/>
      <c r="AQ796" s="123" t="n"/>
      <c r="AR796" s="123" t="n"/>
      <c r="AS796" s="123" t="n"/>
    </row>
    <row r="797" hidden="1" outlineLevel="2">
      <c r="A797" s="8" t="n"/>
      <c r="B797" s="14" t="n"/>
      <c r="C797" s="123" t="n"/>
      <c r="D797" s="123" t="n"/>
      <c r="E797" s="123" t="n"/>
      <c r="F797" s="123" t="n"/>
      <c r="G797" s="123" t="n"/>
      <c r="I797" s="68">
        <f>DADOS_INVOC!$JE$5</f>
        <v/>
      </c>
      <c r="J797" s="16" t="n"/>
      <c r="K797" s="16" t="n"/>
      <c r="L797" s="16" t="n"/>
      <c r="M797" s="17" t="n"/>
      <c r="N797" s="123" t="n"/>
      <c r="O797" s="127" t="n"/>
      <c r="P797" s="17" t="n"/>
      <c r="Q797" s="68">
        <f>DADOS_INVOC!$JG$5</f>
        <v/>
      </c>
      <c r="R797" s="16" t="n"/>
      <c r="S797" s="17" t="n"/>
      <c r="T797" s="123" t="n"/>
      <c r="U797" s="123" t="n"/>
      <c r="V797" s="123" t="n"/>
      <c r="W797" s="123" t="n"/>
      <c r="X797" s="123" t="n"/>
      <c r="Y797" s="123" t="n"/>
      <c r="Z797" s="123" t="n"/>
      <c r="AB797" s="68">
        <f>DADOS_INVOC!$JE$11</f>
        <v/>
      </c>
      <c r="AC797" s="16" t="n"/>
      <c r="AD797" s="16" t="n"/>
      <c r="AE797" s="16" t="n"/>
      <c r="AF797" s="17" t="n"/>
      <c r="AG797" s="123" t="n"/>
      <c r="AH797" s="127" t="n"/>
      <c r="AI797" s="17" t="n"/>
      <c r="AJ797" s="68">
        <f>DADOS_INVOC!$JG$11</f>
        <v/>
      </c>
      <c r="AK797" s="16" t="n"/>
      <c r="AL797" s="17" t="n"/>
      <c r="AM797" s="123" t="n"/>
      <c r="AN797" s="123" t="n"/>
      <c r="AO797" s="123" t="n"/>
      <c r="AP797" s="123" t="n"/>
      <c r="AQ797" s="123" t="n"/>
      <c r="AR797" s="123" t="n"/>
      <c r="AS797" s="123" t="n"/>
    </row>
    <row r="798" hidden="1" outlineLevel="2">
      <c r="A798" s="8" t="n"/>
      <c r="B798" s="14" t="n"/>
      <c r="C798" s="123" t="n"/>
      <c r="D798" s="123" t="n"/>
      <c r="E798" s="123" t="n"/>
      <c r="F798" s="123" t="n"/>
      <c r="G798" s="123" t="n"/>
      <c r="I798" s="127" t="inlineStr">
        <is>
          <t>Sua Ação Completa + a básica dela</t>
        </is>
      </c>
      <c r="J798" s="16" t="n"/>
      <c r="K798" s="16" t="n"/>
      <c r="L798" s="16" t="n"/>
      <c r="M798" s="17" t="n"/>
      <c r="N798" s="123" t="n"/>
      <c r="O798" s="132">
        <f>DADOS_INVOC!$JH$5</f>
        <v/>
      </c>
      <c r="P798" s="16" t="n"/>
      <c r="Q798" s="16" t="n"/>
      <c r="R798" s="16" t="n"/>
      <c r="S798" s="17" t="n"/>
      <c r="T798" s="123" t="n"/>
      <c r="U798" s="123" t="n"/>
      <c r="V798" s="123" t="n"/>
      <c r="W798" s="123" t="n"/>
      <c r="X798" s="123" t="n"/>
      <c r="Y798" s="123" t="n"/>
      <c r="Z798" s="123" t="n"/>
      <c r="AB798" s="127" t="inlineStr">
        <is>
          <t>Sua Ação Completa + a básica dela</t>
        </is>
      </c>
      <c r="AC798" s="16" t="n"/>
      <c r="AD798" s="16" t="n"/>
      <c r="AE798" s="16" t="n"/>
      <c r="AF798" s="17" t="n"/>
      <c r="AG798" s="123" t="n"/>
      <c r="AH798" s="132">
        <f>DADOS_INVOC!$JH$11</f>
        <v/>
      </c>
      <c r="AI798" s="16" t="n"/>
      <c r="AJ798" s="16" t="n"/>
      <c r="AK798" s="16" t="n"/>
      <c r="AL798" s="17" t="n"/>
      <c r="AM798" s="123" t="n"/>
      <c r="AN798" s="123" t="n"/>
      <c r="AO798" s="123" t="n"/>
      <c r="AP798" s="123" t="n"/>
      <c r="AQ798" s="123" t="n"/>
      <c r="AR798" s="123" t="n"/>
      <c r="AS798" s="123" t="n"/>
    </row>
    <row r="799">
      <c r="A799" s="8" t="n"/>
      <c r="B799" s="14" t="n"/>
      <c r="C799" s="123" t="n"/>
      <c r="D799" s="123" t="n"/>
      <c r="E799" s="123" t="n"/>
      <c r="F799" s="123" t="n"/>
      <c r="G799" s="123" t="n"/>
      <c r="H799" s="123" t="n"/>
      <c r="I799" s="123" t="n"/>
      <c r="J799" s="123" t="n"/>
      <c r="K799" s="123" t="n"/>
      <c r="L799" s="123" t="n"/>
      <c r="M799" s="123" t="n"/>
      <c r="N799" s="123" t="n"/>
      <c r="O799" s="123" t="n"/>
      <c r="P799" s="123" t="n"/>
      <c r="Q799" s="123" t="n"/>
      <c r="R799" s="123" t="n"/>
      <c r="S799" s="123" t="n"/>
      <c r="T799" s="123" t="n"/>
      <c r="U799" s="123" t="n"/>
      <c r="V799" s="123" t="n"/>
      <c r="W799" s="123" t="n"/>
      <c r="X799" s="123" t="n"/>
      <c r="Y799" s="123" t="n"/>
      <c r="Z799" s="123" t="n"/>
      <c r="AA799" s="123" t="n"/>
      <c r="AB799" s="123" t="n"/>
      <c r="AC799" s="123" t="n"/>
      <c r="AD799" s="123" t="n"/>
      <c r="AE799" s="123" t="n"/>
      <c r="AF799" s="123" t="n"/>
      <c r="AG799" s="123" t="n"/>
      <c r="AH799" s="123" t="n"/>
      <c r="AI799" s="123" t="n"/>
      <c r="AJ799" s="123" t="n"/>
      <c r="AK799" s="123" t="n"/>
      <c r="AL799" s="123" t="n"/>
      <c r="AM799" s="123" t="n"/>
      <c r="AN799" s="123" t="n"/>
      <c r="AO799" s="123" t="n"/>
      <c r="AP799" s="123" t="n"/>
      <c r="AQ799" s="123" t="n"/>
      <c r="AR799" s="123" t="n"/>
      <c r="AS799" s="123" t="n"/>
    </row>
    <row r="800">
      <c r="A800" s="8" t="n"/>
      <c r="B800" s="14" t="n"/>
      <c r="C800" s="123" t="n"/>
      <c r="D800" s="123" t="n"/>
      <c r="E800" s="123" t="n"/>
      <c r="F800" s="123" t="n"/>
      <c r="G800" s="123" t="n"/>
      <c r="H800" s="123" t="n"/>
      <c r="I800" s="123" t="n"/>
      <c r="J800" s="123" t="n"/>
      <c r="K800" s="123" t="n"/>
      <c r="L800" s="123" t="n"/>
      <c r="M800" s="123" t="n"/>
      <c r="N800" s="123" t="n"/>
      <c r="O800" s="123" t="n"/>
      <c r="P800" s="123" t="n"/>
      <c r="Q800" s="123" t="n"/>
      <c r="R800" s="123" t="n"/>
      <c r="S800" s="123" t="n"/>
      <c r="T800" s="123" t="n"/>
      <c r="U800" s="123" t="n"/>
      <c r="V800" s="123" t="n"/>
      <c r="W800" s="123" t="n"/>
      <c r="X800" s="123" t="n"/>
      <c r="Y800" s="123" t="n"/>
      <c r="Z800" s="123" t="n"/>
      <c r="AA800" s="123" t="n"/>
      <c r="AB800" s="123" t="n"/>
      <c r="AC800" s="123" t="n"/>
      <c r="AD800" s="123" t="n"/>
      <c r="AE800" s="123" t="n"/>
      <c r="AF800" s="123" t="n"/>
      <c r="AG800" s="123" t="n"/>
      <c r="AH800" s="123" t="n"/>
      <c r="AI800" s="123" t="n"/>
      <c r="AJ800" s="123" t="n"/>
      <c r="AK800" s="123" t="n"/>
      <c r="AL800" s="123" t="n"/>
      <c r="AM800" s="123" t="n"/>
      <c r="AN800" s="123" t="n"/>
      <c r="AO800" s="123" t="n"/>
      <c r="AP800" s="123" t="n"/>
      <c r="AQ800" s="123" t="n"/>
      <c r="AR800" s="123" t="n"/>
      <c r="AS800" s="123" t="n"/>
    </row>
    <row r="801">
      <c r="A801" s="8" t="n"/>
      <c r="B801" s="14" t="n"/>
      <c r="C801" s="123" t="n"/>
      <c r="D801" s="123" t="n"/>
      <c r="E801" s="123" t="n"/>
      <c r="F801" s="123" t="n"/>
      <c r="G801" s="123" t="n"/>
      <c r="H801" s="141" t="n">
        <v>5</v>
      </c>
      <c r="I801" s="142" t="n">
        <v>5</v>
      </c>
      <c r="J801" s="126">
        <f>DADOS_INVOC!$HE$6</f>
        <v/>
      </c>
      <c r="K801" s="19" t="n"/>
      <c r="L801" s="19" t="n"/>
      <c r="M801" s="19" t="n"/>
      <c r="N801" s="19" t="n"/>
      <c r="O801" s="19" t="n"/>
      <c r="P801" s="19" t="n"/>
      <c r="Q801" s="19" t="n"/>
      <c r="R801" s="19" t="n"/>
      <c r="S801" s="19" t="n"/>
      <c r="T801" s="19" t="n"/>
      <c r="U801" s="19" t="n"/>
      <c r="V801" s="19" t="n"/>
      <c r="W801" s="19" t="n"/>
      <c r="X801" s="19" t="n"/>
      <c r="Y801" s="20" t="n"/>
      <c r="Z801" s="123" t="n"/>
      <c r="AA801" s="141" t="n">
        <v>11</v>
      </c>
      <c r="AB801" s="142" t="n">
        <v>11</v>
      </c>
      <c r="AC801" s="126">
        <f>DADOS_INVOC!$HE$12</f>
        <v/>
      </c>
      <c r="AD801" s="19" t="n"/>
      <c r="AE801" s="19" t="n"/>
      <c r="AF801" s="19" t="n"/>
      <c r="AG801" s="19" t="n"/>
      <c r="AH801" s="19" t="n"/>
      <c r="AI801" s="19" t="n"/>
      <c r="AJ801" s="19" t="n"/>
      <c r="AK801" s="19" t="n"/>
      <c r="AL801" s="19" t="n"/>
      <c r="AM801" s="19" t="n"/>
      <c r="AN801" s="19" t="n"/>
      <c r="AO801" s="19" t="n"/>
      <c r="AP801" s="19" t="n"/>
      <c r="AQ801" s="19" t="n"/>
      <c r="AR801" s="20" t="n"/>
      <c r="AS801" s="123" t="n"/>
    </row>
    <row r="802">
      <c r="A802" s="8" t="n"/>
      <c r="B802" s="14" t="n"/>
      <c r="C802" s="123" t="n"/>
      <c r="D802" s="123" t="n"/>
      <c r="E802" s="123" t="n"/>
      <c r="F802" s="123" t="n"/>
      <c r="G802" s="123" t="n"/>
      <c r="I802" s="128" t="n"/>
      <c r="J802" s="23" t="n"/>
      <c r="K802" s="24" t="n"/>
      <c r="L802" s="24" t="n"/>
      <c r="M802" s="24" t="n"/>
      <c r="N802" s="24" t="n"/>
      <c r="O802" s="24" t="n"/>
      <c r="P802" s="24" t="n"/>
      <c r="Q802" s="24" t="n"/>
      <c r="R802" s="24" t="n"/>
      <c r="S802" s="24" t="n"/>
      <c r="T802" s="24" t="n"/>
      <c r="U802" s="24" t="n"/>
      <c r="V802" s="24" t="n"/>
      <c r="W802" s="24" t="n"/>
      <c r="X802" s="24" t="n"/>
      <c r="Y802" s="25" t="n"/>
      <c r="Z802" s="123" t="n"/>
      <c r="AB802" s="128" t="n"/>
      <c r="AC802" s="23" t="n"/>
      <c r="AD802" s="24" t="n"/>
      <c r="AE802" s="24" t="n"/>
      <c r="AF802" s="24" t="n"/>
      <c r="AG802" s="24" t="n"/>
      <c r="AH802" s="24" t="n"/>
      <c r="AI802" s="24" t="n"/>
      <c r="AJ802" s="24" t="n"/>
      <c r="AK802" s="24" t="n"/>
      <c r="AL802" s="24" t="n"/>
      <c r="AM802" s="24" t="n"/>
      <c r="AN802" s="24" t="n"/>
      <c r="AO802" s="24" t="n"/>
      <c r="AP802" s="24" t="n"/>
      <c r="AQ802" s="24" t="n"/>
      <c r="AR802" s="25" t="n"/>
      <c r="AS802" s="123" t="n"/>
    </row>
    <row r="803" hidden="1" outlineLevel="1">
      <c r="A803" s="8" t="n"/>
      <c r="B803" s="14" t="n"/>
      <c r="C803" s="123" t="n"/>
      <c r="D803" s="123" t="n"/>
      <c r="E803" s="123" t="n"/>
      <c r="F803" s="123" t="n"/>
      <c r="G803" s="123" t="n"/>
      <c r="H803" s="143">
        <f>DADOS_INVOC!$HF$6</f>
        <v/>
      </c>
      <c r="I803" s="123" t="n"/>
      <c r="J803" s="123" t="n"/>
      <c r="K803" s="123" t="n"/>
      <c r="L803" s="123" t="n"/>
      <c r="M803" s="123" t="n"/>
      <c r="N803" s="123" t="n"/>
      <c r="O803" s="123" t="n"/>
      <c r="P803" s="123" t="n"/>
      <c r="Q803" s="123" t="n"/>
      <c r="R803" s="123" t="n"/>
      <c r="S803" s="123" t="n"/>
      <c r="T803" s="123" t="n"/>
      <c r="U803" s="123" t="n"/>
      <c r="V803" s="123" t="n"/>
      <c r="W803" s="123" t="n"/>
      <c r="X803" s="123" t="n"/>
      <c r="Y803" s="123" t="n"/>
      <c r="Z803" s="123" t="n"/>
      <c r="AA803" s="143">
        <f>DADOS_INVOC!$HF$12</f>
        <v/>
      </c>
      <c r="AB803" s="123" t="n"/>
      <c r="AC803" s="123" t="n"/>
      <c r="AD803" s="123" t="n"/>
      <c r="AE803" s="123" t="n"/>
      <c r="AF803" s="123" t="n"/>
      <c r="AG803" s="123" t="n"/>
      <c r="AH803" s="123" t="n"/>
      <c r="AI803" s="123" t="n"/>
      <c r="AJ803" s="123" t="n"/>
      <c r="AK803" s="123" t="n"/>
      <c r="AL803" s="123" t="n"/>
      <c r="AM803" s="123" t="n"/>
      <c r="AN803" s="123" t="n"/>
      <c r="AO803" s="123" t="n"/>
      <c r="AP803" s="123" t="n"/>
      <c r="AQ803" s="123" t="n"/>
      <c r="AR803" s="123" t="n"/>
      <c r="AS803" s="123" t="n"/>
    </row>
    <row r="804" hidden="1" outlineLevel="1">
      <c r="A804" s="8" t="n"/>
      <c r="B804" s="14" t="n"/>
      <c r="C804" s="123" t="n"/>
      <c r="D804" s="123" t="n"/>
      <c r="E804" s="123" t="n"/>
      <c r="F804" s="123" t="n"/>
      <c r="G804" s="123" t="n"/>
      <c r="I804" s="55" t="inlineStr">
        <is>
          <t>NOME</t>
        </is>
      </c>
      <c r="J804" s="16" t="n"/>
      <c r="K804" s="16" t="n"/>
      <c r="L804" s="16" t="n"/>
      <c r="M804" s="17" t="n"/>
      <c r="N804" s="123" t="n"/>
      <c r="O804" s="55" t="inlineStr">
        <is>
          <t>NÍVEL</t>
        </is>
      </c>
      <c r="P804" s="55" t="inlineStr">
        <is>
          <t>CLASSE</t>
        </is>
      </c>
      <c r="Q804" s="55" t="inlineStr">
        <is>
          <t>MAESTRIA</t>
        </is>
      </c>
      <c r="R804" s="55" t="inlineStr">
        <is>
          <t>ENTRADA</t>
        </is>
      </c>
      <c r="S804" s="55" t="inlineStr">
        <is>
          <t>RETORNO</t>
        </is>
      </c>
      <c r="T804" s="123" t="n"/>
      <c r="U804" s="55" t="inlineStr">
        <is>
          <t>VIDA ATUAL</t>
        </is>
      </c>
      <c r="V804" s="55" t="inlineStr">
        <is>
          <t>VIDA MÁXIMA</t>
        </is>
      </c>
      <c r="W804" s="55" t="inlineStr">
        <is>
          <t>TEMPORÁRIA</t>
        </is>
      </c>
      <c r="X804" s="55" t="inlineStr">
        <is>
          <t>± PERDA / GANHO</t>
        </is>
      </c>
      <c r="Y804" s="55">
        <f>DADOS_INVOC!$HZ$6</f>
        <v/>
      </c>
      <c r="Z804" s="123" t="n"/>
      <c r="AB804" s="55" t="inlineStr">
        <is>
          <t>NOME</t>
        </is>
      </c>
      <c r="AC804" s="16" t="n"/>
      <c r="AD804" s="16" t="n"/>
      <c r="AE804" s="16" t="n"/>
      <c r="AF804" s="17" t="n"/>
      <c r="AG804" s="123" t="n"/>
      <c r="AH804" s="55" t="inlineStr">
        <is>
          <t>NÍVEL</t>
        </is>
      </c>
      <c r="AI804" s="55" t="inlineStr">
        <is>
          <t>CLASSE</t>
        </is>
      </c>
      <c r="AJ804" s="55" t="inlineStr">
        <is>
          <t>MAESTRIA</t>
        </is>
      </c>
      <c r="AK804" s="55" t="inlineStr">
        <is>
          <t>ENTRADA</t>
        </is>
      </c>
      <c r="AL804" s="55" t="inlineStr">
        <is>
          <t>RETORNO</t>
        </is>
      </c>
      <c r="AM804" s="123" t="n"/>
      <c r="AN804" s="55" t="inlineStr">
        <is>
          <t>VIDA ATUAL</t>
        </is>
      </c>
      <c r="AO804" s="55" t="inlineStr">
        <is>
          <t>VIDA MÁXIMA</t>
        </is>
      </c>
      <c r="AP804" s="55" t="inlineStr">
        <is>
          <t>TEMPORÁRIA</t>
        </is>
      </c>
      <c r="AQ804" s="55" t="inlineStr">
        <is>
          <t>± PERDA / GANHO</t>
        </is>
      </c>
      <c r="AR804" s="55">
        <f>DADOS_INVOC!$HZ$12</f>
        <v/>
      </c>
      <c r="AS804" s="123" t="n"/>
    </row>
    <row r="805" hidden="1" outlineLevel="1">
      <c r="A805" s="8" t="n"/>
      <c r="B805" s="14" t="n"/>
      <c r="C805" s="123" t="n"/>
      <c r="D805" s="123" t="n"/>
      <c r="E805" s="123" t="n"/>
      <c r="F805" s="123" t="n"/>
      <c r="G805" s="123" t="n"/>
      <c r="I805" s="85" t="n"/>
      <c r="J805" s="19" t="n"/>
      <c r="K805" s="19" t="n"/>
      <c r="L805" s="19" t="n"/>
      <c r="M805" s="20" t="n"/>
      <c r="N805" s="123" t="n"/>
      <c r="O805" s="96">
        <f>DADOS_INVOC!$FM$6</f>
        <v/>
      </c>
      <c r="P805" s="96">
        <f>DADOS_INVOC!$FN$6</f>
        <v/>
      </c>
      <c r="Q805" s="96">
        <f>DADOS_INVOC!$HG$6</f>
        <v/>
      </c>
      <c r="R805" s="96">
        <f>DADOS_INVOC!$HH$6</f>
        <v/>
      </c>
      <c r="S805" s="96">
        <f>DADOS_INVOC!$HI$6</f>
        <v/>
      </c>
      <c r="T805" s="123" t="n"/>
      <c r="U805" s="96">
        <f>DADOS_INVOC!$GE$6</f>
        <v/>
      </c>
      <c r="V805" s="96">
        <f>DADOS_INVOC!$GD$6</f>
        <v/>
      </c>
      <c r="W805" s="96" t="n"/>
      <c r="X805" s="96" t="n"/>
      <c r="Y805" s="96" t="n"/>
      <c r="Z805" s="123" t="n"/>
      <c r="AB805" s="85" t="n"/>
      <c r="AC805" s="19" t="n"/>
      <c r="AD805" s="19" t="n"/>
      <c r="AE805" s="19" t="n"/>
      <c r="AF805" s="20" t="n"/>
      <c r="AG805" s="123" t="n"/>
      <c r="AH805" s="96">
        <f>DADOS_INVOC!$FM$12</f>
        <v/>
      </c>
      <c r="AI805" s="96">
        <f>DADOS_INVOC!$FN$12</f>
        <v/>
      </c>
      <c r="AJ805" s="96">
        <f>DADOS_INVOC!$HG$12</f>
        <v/>
      </c>
      <c r="AK805" s="96">
        <f>DADOS_INVOC!$HH$12</f>
        <v/>
      </c>
      <c r="AL805" s="96">
        <f>DADOS_INVOC!$HI$12</f>
        <v/>
      </c>
      <c r="AM805" s="123" t="n"/>
      <c r="AN805" s="96">
        <f>DADOS_INVOC!$GE$12</f>
        <v/>
      </c>
      <c r="AO805" s="96">
        <f>DADOS_INVOC!$GD$12</f>
        <v/>
      </c>
      <c r="AP805" s="96" t="n"/>
      <c r="AQ805" s="96" t="n"/>
      <c r="AR805" s="96" t="n"/>
      <c r="AS805" s="123" t="n"/>
    </row>
    <row r="806" hidden="1" outlineLevel="1">
      <c r="A806" s="8" t="n"/>
      <c r="B806" s="14" t="n"/>
      <c r="C806" s="123" t="n"/>
      <c r="D806" s="123" t="n"/>
      <c r="E806" s="123" t="n"/>
      <c r="F806" s="123" t="n"/>
      <c r="G806" s="123" t="n"/>
      <c r="I806" s="23" t="n"/>
      <c r="J806" s="24" t="n"/>
      <c r="K806" s="24" t="n"/>
      <c r="L806" s="24" t="n"/>
      <c r="M806" s="25" t="n"/>
      <c r="N806" s="123" t="n"/>
      <c r="O806" s="128" t="n"/>
      <c r="P806" s="128" t="n"/>
      <c r="Q806" s="128" t="n"/>
      <c r="R806" s="128" t="n"/>
      <c r="S806" s="128" t="n"/>
      <c r="T806" s="123" t="n"/>
      <c r="U806" s="128" t="n"/>
      <c r="V806" s="128" t="n"/>
      <c r="W806" s="128" t="n"/>
      <c r="X806" s="128" t="n"/>
      <c r="Y806" s="128" t="n"/>
      <c r="Z806" s="123" t="n"/>
      <c r="AB806" s="23" t="n"/>
      <c r="AC806" s="24" t="n"/>
      <c r="AD806" s="24" t="n"/>
      <c r="AE806" s="24" t="n"/>
      <c r="AF806" s="25" t="n"/>
      <c r="AG806" s="123" t="n"/>
      <c r="AH806" s="128" t="n"/>
      <c r="AI806" s="128" t="n"/>
      <c r="AJ806" s="128" t="n"/>
      <c r="AK806" s="128" t="n"/>
      <c r="AL806" s="128" t="n"/>
      <c r="AM806" s="123" t="n"/>
      <c r="AN806" s="128" t="n"/>
      <c r="AO806" s="128" t="n"/>
      <c r="AP806" s="128" t="n"/>
      <c r="AQ806" s="128" t="n"/>
      <c r="AR806" s="128" t="n"/>
      <c r="AS806" s="123" t="n"/>
    </row>
    <row r="807" hidden="1" outlineLevel="1">
      <c r="A807" s="8" t="n"/>
      <c r="B807" s="14" t="n"/>
      <c r="C807" s="123" t="n"/>
      <c r="D807" s="123" t="n"/>
      <c r="E807" s="123" t="n"/>
      <c r="F807" s="123" t="n"/>
      <c r="G807" s="123" t="n"/>
      <c r="I807" s="144" t="inlineStr">
        <is>
          <t>FOTO
式神</t>
        </is>
      </c>
      <c r="J807" s="19" t="n"/>
      <c r="K807" s="19" t="n"/>
      <c r="L807" s="19" t="n"/>
      <c r="M807" s="20" t="n"/>
      <c r="N807" s="123" t="n"/>
      <c r="O807" s="123" t="n"/>
      <c r="P807" s="123" t="n"/>
      <c r="Q807" s="123" t="n"/>
      <c r="R807" s="123" t="n"/>
      <c r="S807" s="123" t="n"/>
      <c r="T807" s="123" t="n"/>
      <c r="U807" s="133">
        <f>IFERROR(SPARKLINE(DADOS_INVOC!$GF$6,{"charttype","bar";"max",MAX(1,DADOS_INVOC!$GD$6);"color1",DADOS_INVOC!$CZ$12}),"")</f>
        <v/>
      </c>
      <c r="V807" s="16" t="n"/>
      <c r="W807" s="16" t="n"/>
      <c r="X807" s="16" t="n"/>
      <c r="Y807" s="17" t="n"/>
      <c r="Z807" s="123" t="n"/>
      <c r="AB807" s="144" t="inlineStr">
        <is>
          <t>FOTO
式神</t>
        </is>
      </c>
      <c r="AC807" s="19" t="n"/>
      <c r="AD807" s="19" t="n"/>
      <c r="AE807" s="19" t="n"/>
      <c r="AF807" s="20" t="n"/>
      <c r="AG807" s="123" t="n"/>
      <c r="AH807" s="123" t="n"/>
      <c r="AI807" s="123" t="n"/>
      <c r="AJ807" s="123" t="n"/>
      <c r="AK807" s="123" t="n"/>
      <c r="AL807" s="123" t="n"/>
      <c r="AM807" s="123" t="n"/>
      <c r="AN807" s="133">
        <f>IFERROR(SPARKLINE(DADOS_INVOC!$GF$12,{"charttype","bar";"max",MAX(1,DADOS_INVOC!$GD$12);"color1",DADOS_INVOC!$CZ$12}),"")</f>
        <v/>
      </c>
      <c r="AO807" s="16" t="n"/>
      <c r="AP807" s="16" t="n"/>
      <c r="AQ807" s="16" t="n"/>
      <c r="AR807" s="17" t="n"/>
      <c r="AS807" s="123" t="n"/>
    </row>
    <row r="808" hidden="1" outlineLevel="1">
      <c r="A808" s="8" t="n"/>
      <c r="B808" s="14" t="n"/>
      <c r="C808" s="123" t="n"/>
      <c r="D808" s="123" t="n"/>
      <c r="E808" s="123" t="n"/>
      <c r="F808" s="123" t="n"/>
      <c r="G808" s="123" t="n"/>
      <c r="I808" s="21" t="n"/>
      <c r="M808" s="22" t="n"/>
      <c r="N808" s="123" t="n"/>
      <c r="O808" s="55">
        <f>DADOS_INVOC!$HJ$6</f>
        <v/>
      </c>
      <c r="P808" s="16" t="n"/>
      <c r="Q808" s="16" t="n"/>
      <c r="R808" s="16" t="n"/>
      <c r="S808" s="17" t="n"/>
      <c r="T808" s="123" t="n"/>
      <c r="U808" s="123" t="n"/>
      <c r="V808" s="123" t="n"/>
      <c r="W808" s="123" t="n"/>
      <c r="X808" s="123" t="n"/>
      <c r="Y808" s="123" t="n"/>
      <c r="Z808" s="123" t="n"/>
      <c r="AB808" s="21" t="n"/>
      <c r="AF808" s="22" t="n"/>
      <c r="AG808" s="123" t="n"/>
      <c r="AH808" s="55">
        <f>DADOS_INVOC!$HJ$12</f>
        <v/>
      </c>
      <c r="AI808" s="16" t="n"/>
      <c r="AJ808" s="16" t="n"/>
      <c r="AK808" s="16" t="n"/>
      <c r="AL808" s="17" t="n"/>
      <c r="AM808" s="123" t="n"/>
      <c r="AN808" s="123" t="n"/>
      <c r="AO808" s="123" t="n"/>
      <c r="AP808" s="123" t="n"/>
      <c r="AQ808" s="123" t="n"/>
      <c r="AR808" s="123" t="n"/>
      <c r="AS808" s="123" t="n"/>
    </row>
    <row r="809" hidden="1" outlineLevel="1">
      <c r="A809" s="8" t="n"/>
      <c r="B809" s="14" t="n"/>
      <c r="C809" s="123" t="n"/>
      <c r="D809" s="123" t="n"/>
      <c r="E809" s="123" t="n"/>
      <c r="F809" s="123" t="n"/>
      <c r="G809" s="123" t="n"/>
      <c r="I809" s="21" t="n"/>
      <c r="M809" s="22" t="n"/>
      <c r="N809" s="123" t="n"/>
      <c r="O809" s="55" t="inlineStr">
        <is>
          <t>FOR</t>
        </is>
      </c>
      <c r="P809" s="55" t="inlineStr">
        <is>
          <t>DES</t>
        </is>
      </c>
      <c r="Q809" s="55" t="inlineStr">
        <is>
          <t>CON</t>
        </is>
      </c>
      <c r="R809" s="55" t="inlineStr">
        <is>
          <t>INT</t>
        </is>
      </c>
      <c r="S809" s="55" t="inlineStr">
        <is>
          <t>ESS</t>
        </is>
      </c>
      <c r="T809" s="123" t="n"/>
      <c r="U809" s="55" t="inlineStr">
        <is>
          <t>ALMA</t>
        </is>
      </c>
      <c r="V809" s="55" t="inlineStr">
        <is>
          <t>INTEGRIDADE ATUAL</t>
        </is>
      </c>
      <c r="W809" s="55" t="inlineStr">
        <is>
          <t>INTEGRIDADE MÁXIMA</t>
        </is>
      </c>
      <c r="X809" s="55" t="inlineStr">
        <is>
          <t>ESTÁGIO</t>
        </is>
      </c>
      <c r="Y809" s="17" t="n"/>
      <c r="Z809" s="123" t="n"/>
      <c r="AB809" s="21" t="n"/>
      <c r="AF809" s="22" t="n"/>
      <c r="AG809" s="123" t="n"/>
      <c r="AH809" s="55" t="inlineStr">
        <is>
          <t>FOR</t>
        </is>
      </c>
      <c r="AI809" s="55" t="inlineStr">
        <is>
          <t>DES</t>
        </is>
      </c>
      <c r="AJ809" s="55" t="inlineStr">
        <is>
          <t>CON</t>
        </is>
      </c>
      <c r="AK809" s="55" t="inlineStr">
        <is>
          <t>INT</t>
        </is>
      </c>
      <c r="AL809" s="55" t="inlineStr">
        <is>
          <t>ESS</t>
        </is>
      </c>
      <c r="AM809" s="123" t="n"/>
      <c r="AN809" s="55" t="inlineStr">
        <is>
          <t>ALMA</t>
        </is>
      </c>
      <c r="AO809" s="55" t="inlineStr">
        <is>
          <t>INTEGRIDADE ATUAL</t>
        </is>
      </c>
      <c r="AP809" s="55" t="inlineStr">
        <is>
          <t>INTEGRIDADE MÁXIMA</t>
        </is>
      </c>
      <c r="AQ809" s="55" t="inlineStr">
        <is>
          <t>ESTÁGIO</t>
        </is>
      </c>
      <c r="AR809" s="17" t="n"/>
      <c r="AS809" s="123" t="n"/>
    </row>
    <row r="810" hidden="1" outlineLevel="1">
      <c r="A810" s="8" t="n"/>
      <c r="B810" s="14" t="n"/>
      <c r="C810" s="123" t="n"/>
      <c r="D810" s="123" t="n"/>
      <c r="E810" s="123" t="n"/>
      <c r="F810" s="123" t="n"/>
      <c r="G810" s="123" t="n"/>
      <c r="I810" s="21" t="n"/>
      <c r="M810" s="22" t="n"/>
      <c r="N810" s="123" t="n"/>
      <c r="O810" s="96">
        <f>DADOS_INVOC!$FP$6</f>
        <v/>
      </c>
      <c r="P810" s="96">
        <f>DADOS_INVOC!$FQ$6</f>
        <v/>
      </c>
      <c r="Q810" s="96">
        <f>DADOS_INVOC!$FR$6</f>
        <v/>
      </c>
      <c r="R810" s="96">
        <f>DADOS_INVOC!$FS$6</f>
        <v/>
      </c>
      <c r="S810" s="96">
        <f>DADOS_INVOC!$FT$6</f>
        <v/>
      </c>
      <c r="T810" s="123" t="n"/>
      <c r="U810" s="127" t="inlineStr">
        <is>
          <t>Com alma</t>
        </is>
      </c>
      <c r="V810" s="96">
        <f>DADOS_INVOC!$GH$6</f>
        <v/>
      </c>
      <c r="W810" s="96">
        <f>DADOS_INVOC!$GJ$6</f>
        <v/>
      </c>
      <c r="X810" s="127">
        <f>DADOS_INVOC!$GK$6</f>
        <v/>
      </c>
      <c r="Y810" s="20" t="n"/>
      <c r="Z810" s="123" t="n"/>
      <c r="AB810" s="21" t="n"/>
      <c r="AF810" s="22" t="n"/>
      <c r="AG810" s="123" t="n"/>
      <c r="AH810" s="96">
        <f>DADOS_INVOC!$FP$12</f>
        <v/>
      </c>
      <c r="AI810" s="96">
        <f>DADOS_INVOC!$FQ$12</f>
        <v/>
      </c>
      <c r="AJ810" s="96">
        <f>DADOS_INVOC!$FR$12</f>
        <v/>
      </c>
      <c r="AK810" s="96">
        <f>DADOS_INVOC!$FS$12</f>
        <v/>
      </c>
      <c r="AL810" s="96">
        <f>DADOS_INVOC!$FT$12</f>
        <v/>
      </c>
      <c r="AM810" s="123" t="n"/>
      <c r="AN810" s="127" t="inlineStr">
        <is>
          <t>Com alma</t>
        </is>
      </c>
      <c r="AO810" s="96">
        <f>DADOS_INVOC!$GH$12</f>
        <v/>
      </c>
      <c r="AP810" s="96">
        <f>DADOS_INVOC!$GJ$12</f>
        <v/>
      </c>
      <c r="AQ810" s="127">
        <f>DADOS_INVOC!$GK$12</f>
        <v/>
      </c>
      <c r="AR810" s="20" t="n"/>
      <c r="AS810" s="123" t="n"/>
    </row>
    <row r="811" hidden="1" outlineLevel="1">
      <c r="A811" s="8" t="n"/>
      <c r="B811" s="14" t="n"/>
      <c r="C811" s="123" t="n"/>
      <c r="D811" s="123" t="n"/>
      <c r="E811" s="123" t="n"/>
      <c r="F811" s="123" t="n"/>
      <c r="G811" s="123" t="n"/>
      <c r="I811" s="21" t="n"/>
      <c r="M811" s="22" t="n"/>
      <c r="N811" s="123" t="n"/>
      <c r="O811" s="128" t="n"/>
      <c r="P811" s="128" t="n"/>
      <c r="Q811" s="128" t="n"/>
      <c r="R811" s="128" t="n"/>
      <c r="S811" s="128" t="n"/>
      <c r="T811" s="123" t="n"/>
      <c r="U811" s="128" t="n"/>
      <c r="V811" s="128" t="n"/>
      <c r="W811" s="128" t="n"/>
      <c r="X811" s="23" t="n"/>
      <c r="Y811" s="25" t="n"/>
      <c r="Z811" s="123" t="n"/>
      <c r="AB811" s="21" t="n"/>
      <c r="AF811" s="22" t="n"/>
      <c r="AG811" s="123" t="n"/>
      <c r="AH811" s="128" t="n"/>
      <c r="AI811" s="128" t="n"/>
      <c r="AJ811" s="128" t="n"/>
      <c r="AK811" s="128" t="n"/>
      <c r="AL811" s="128" t="n"/>
      <c r="AM811" s="123" t="n"/>
      <c r="AN811" s="128" t="n"/>
      <c r="AO811" s="128" t="n"/>
      <c r="AP811" s="128" t="n"/>
      <c r="AQ811" s="23" t="n"/>
      <c r="AR811" s="25" t="n"/>
      <c r="AS811" s="123" t="n"/>
    </row>
    <row r="812" hidden="1" outlineLevel="1">
      <c r="A812" s="8" t="n"/>
      <c r="B812" s="14" t="n"/>
      <c r="C812" s="123" t="n"/>
      <c r="D812" s="123" t="n"/>
      <c r="E812" s="123" t="n"/>
      <c r="F812" s="123" t="n"/>
      <c r="G812" s="123" t="n"/>
      <c r="I812" s="21" t="n"/>
      <c r="M812" s="22" t="n"/>
      <c r="N812" s="123" t="n"/>
      <c r="O812" s="145" t="n">
        <v>0</v>
      </c>
      <c r="P812" s="145" t="n">
        <v>0</v>
      </c>
      <c r="Q812" s="145" t="n">
        <v>0</v>
      </c>
      <c r="R812" s="145" t="n">
        <v>0</v>
      </c>
      <c r="S812" s="145" t="n">
        <v>0</v>
      </c>
      <c r="T812" s="123" t="n"/>
      <c r="U812" s="123" t="n"/>
      <c r="V812" s="123" t="n"/>
      <c r="W812" s="123" t="n"/>
      <c r="X812" s="123" t="n"/>
      <c r="Y812" s="123" t="n"/>
      <c r="Z812" s="123" t="n"/>
      <c r="AB812" s="21" t="n"/>
      <c r="AF812" s="22" t="n"/>
      <c r="AG812" s="123" t="n"/>
      <c r="AH812" s="145" t="n">
        <v>0</v>
      </c>
      <c r="AI812" s="145" t="n">
        <v>0</v>
      </c>
      <c r="AJ812" s="145" t="n">
        <v>0</v>
      </c>
      <c r="AK812" s="145" t="n">
        <v>0</v>
      </c>
      <c r="AL812" s="145" t="n">
        <v>0</v>
      </c>
      <c r="AM812" s="123" t="n"/>
      <c r="AN812" s="123" t="n"/>
      <c r="AO812" s="123" t="n"/>
      <c r="AP812" s="123" t="n"/>
      <c r="AQ812" s="123" t="n"/>
      <c r="AR812" s="123" t="n"/>
      <c r="AS812" s="123" t="n"/>
    </row>
    <row r="813" hidden="1" outlineLevel="1">
      <c r="A813" s="8" t="n"/>
      <c r="B813" s="14" t="n"/>
      <c r="C813" s="123" t="n"/>
      <c r="D813" s="123" t="n"/>
      <c r="E813" s="123" t="n"/>
      <c r="F813" s="123" t="n"/>
      <c r="G813" s="123" t="n"/>
      <c r="I813" s="21" t="n"/>
      <c r="M813" s="22" t="n"/>
      <c r="N813" s="123" t="n"/>
      <c r="O813" s="147" t="n">
        <v>0</v>
      </c>
      <c r="P813" s="147" t="n">
        <v>0</v>
      </c>
      <c r="Q813" s="147" t="n">
        <v>0</v>
      </c>
      <c r="R813" s="147" t="n">
        <v>0</v>
      </c>
      <c r="S813" s="147" t="n">
        <v>0</v>
      </c>
      <c r="T813" s="123" t="n"/>
      <c r="U813" s="55" t="inlineStr">
        <is>
          <t>CONDIÇÕES E USOS GASTOS</t>
        </is>
      </c>
      <c r="V813" s="16" t="n"/>
      <c r="W813" s="16" t="n"/>
      <c r="X813" s="16" t="n"/>
      <c r="Y813" s="17" t="n"/>
      <c r="Z813" s="123" t="n"/>
      <c r="AB813" s="21" t="n"/>
      <c r="AF813" s="22" t="n"/>
      <c r="AG813" s="123" t="n"/>
      <c r="AH813" s="147" t="n">
        <v>0</v>
      </c>
      <c r="AI813" s="147" t="n">
        <v>0</v>
      </c>
      <c r="AJ813" s="147" t="n">
        <v>0</v>
      </c>
      <c r="AK813" s="147" t="n">
        <v>0</v>
      </c>
      <c r="AL813" s="147" t="n">
        <v>0</v>
      </c>
      <c r="AM813" s="123" t="n"/>
      <c r="AN813" s="55" t="inlineStr">
        <is>
          <t>CONDIÇÕES E USOS GASTOS</t>
        </is>
      </c>
      <c r="AO813" s="16" t="n"/>
      <c r="AP813" s="16" t="n"/>
      <c r="AQ813" s="16" t="n"/>
      <c r="AR813" s="17" t="n"/>
      <c r="AS813" s="123" t="n"/>
    </row>
    <row r="814" hidden="1" outlineLevel="1">
      <c r="A814" s="8" t="n"/>
      <c r="B814" s="14" t="n"/>
      <c r="C814" s="123" t="n"/>
      <c r="D814" s="123" t="n"/>
      <c r="E814" s="123" t="n"/>
      <c r="F814" s="123" t="n"/>
      <c r="G814" s="123" t="n"/>
      <c r="I814" s="21" t="n"/>
      <c r="M814" s="22" t="n"/>
      <c r="N814" s="123" t="n"/>
      <c r="O814" s="123" t="n"/>
      <c r="P814" s="123" t="n"/>
      <c r="Q814" s="123" t="n"/>
      <c r="R814" s="123" t="n"/>
      <c r="S814" s="123" t="n"/>
      <c r="T814" s="123" t="n"/>
      <c r="U814" s="119" t="n"/>
      <c r="V814" s="19" t="n"/>
      <c r="W814" s="19" t="n"/>
      <c r="X814" s="19" t="n"/>
      <c r="Y814" s="20" t="n"/>
      <c r="Z814" s="123" t="n"/>
      <c r="AB814" s="21" t="n"/>
      <c r="AF814" s="22" t="n"/>
      <c r="AG814" s="123" t="n"/>
      <c r="AH814" s="123" t="n"/>
      <c r="AI814" s="123" t="n"/>
      <c r="AJ814" s="123" t="n"/>
      <c r="AK814" s="123" t="n"/>
      <c r="AL814" s="123" t="n"/>
      <c r="AM814" s="123" t="n"/>
      <c r="AN814" s="119" t="n"/>
      <c r="AO814" s="19" t="n"/>
      <c r="AP814" s="19" t="n"/>
      <c r="AQ814" s="19" t="n"/>
      <c r="AR814" s="20" t="n"/>
      <c r="AS814" s="123" t="n"/>
    </row>
    <row r="815" hidden="1" outlineLevel="1">
      <c r="A815" s="8" t="n"/>
      <c r="B815" s="14" t="n"/>
      <c r="C815" s="123" t="n"/>
      <c r="D815" s="123" t="n"/>
      <c r="E815" s="123" t="n"/>
      <c r="F815" s="123" t="n"/>
      <c r="G815" s="123" t="n"/>
      <c r="I815" s="21" t="n"/>
      <c r="M815" s="22" t="n"/>
      <c r="N815" s="123" t="n"/>
      <c r="O815" s="55" t="inlineStr">
        <is>
          <t>ATAQUE</t>
        </is>
      </c>
      <c r="P815" s="55" t="inlineStr">
        <is>
          <t>CD</t>
        </is>
      </c>
      <c r="Q815" s="55" t="inlineStr">
        <is>
          <t>DEFESA</t>
        </is>
      </c>
      <c r="R815" s="55" t="inlineStr">
        <is>
          <t>VIDA MÁXIMA</t>
        </is>
      </c>
      <c r="S815" s="55" t="inlineStr">
        <is>
          <t>DESLOCAMENTO</t>
        </is>
      </c>
      <c r="T815" s="123" t="n"/>
      <c r="U815" s="21" t="n"/>
      <c r="Y815" s="22" t="n"/>
      <c r="Z815" s="123" t="n"/>
      <c r="AB815" s="21" t="n"/>
      <c r="AF815" s="22" t="n"/>
      <c r="AG815" s="123" t="n"/>
      <c r="AH815" s="55" t="inlineStr">
        <is>
          <t>ATAQUE</t>
        </is>
      </c>
      <c r="AI815" s="55" t="inlineStr">
        <is>
          <t>CD</t>
        </is>
      </c>
      <c r="AJ815" s="55" t="inlineStr">
        <is>
          <t>DEFESA</t>
        </is>
      </c>
      <c r="AK815" s="55" t="inlineStr">
        <is>
          <t>VIDA MÁXIMA</t>
        </is>
      </c>
      <c r="AL815" s="55" t="inlineStr">
        <is>
          <t>DESLOCAMENTO</t>
        </is>
      </c>
      <c r="AM815" s="123" t="n"/>
      <c r="AN815" s="21" t="n"/>
      <c r="AR815" s="22" t="n"/>
      <c r="AS815" s="123" t="n"/>
    </row>
    <row r="816" hidden="1" outlineLevel="1">
      <c r="A816" s="8" t="n"/>
      <c r="B816" s="14" t="n"/>
      <c r="C816" s="123" t="n"/>
      <c r="D816" s="123" t="n"/>
      <c r="E816" s="123" t="n"/>
      <c r="F816" s="123" t="n"/>
      <c r="G816" s="123" t="n"/>
      <c r="I816" s="21" t="n"/>
      <c r="M816" s="22" t="n"/>
      <c r="N816" s="123" t="n"/>
      <c r="O816" s="96">
        <f>DADOS_INVOC!$HK$6</f>
        <v/>
      </c>
      <c r="P816" s="96">
        <f>DADOS_INVOC!$HL$6</f>
        <v/>
      </c>
      <c r="Q816" s="96">
        <f>DADOS_INVOC!$GB$6</f>
        <v/>
      </c>
      <c r="R816" s="96">
        <f>DADOS_INVOC!$GD$6</f>
        <v/>
      </c>
      <c r="S816" s="96">
        <f>DADOS_INVOC!$HM$6</f>
        <v/>
      </c>
      <c r="T816" s="123" t="n"/>
      <c r="U816" s="23" t="n"/>
      <c r="V816" s="24" t="n"/>
      <c r="W816" s="24" t="n"/>
      <c r="X816" s="24" t="n"/>
      <c r="Y816" s="25" t="n"/>
      <c r="Z816" s="123" t="n"/>
      <c r="AB816" s="21" t="n"/>
      <c r="AF816" s="22" t="n"/>
      <c r="AG816" s="123" t="n"/>
      <c r="AH816" s="96">
        <f>DADOS_INVOC!$HK$12</f>
        <v/>
      </c>
      <c r="AI816" s="96">
        <f>DADOS_INVOC!$HL$12</f>
        <v/>
      </c>
      <c r="AJ816" s="96">
        <f>DADOS_INVOC!$GB$12</f>
        <v/>
      </c>
      <c r="AK816" s="96">
        <f>DADOS_INVOC!$GD$12</f>
        <v/>
      </c>
      <c r="AL816" s="96">
        <f>DADOS_INVOC!$HM$12</f>
        <v/>
      </c>
      <c r="AM816" s="123" t="n"/>
      <c r="AN816" s="23" t="n"/>
      <c r="AO816" s="24" t="n"/>
      <c r="AP816" s="24" t="n"/>
      <c r="AQ816" s="24" t="n"/>
      <c r="AR816" s="25" t="n"/>
      <c r="AS816" s="123" t="n"/>
    </row>
    <row r="817" hidden="1" outlineLevel="1">
      <c r="A817" s="8" t="n"/>
      <c r="B817" s="14" t="n"/>
      <c r="C817" s="123" t="n"/>
      <c r="D817" s="123" t="n"/>
      <c r="E817" s="123" t="n"/>
      <c r="F817" s="123" t="n"/>
      <c r="G817" s="123" t="n"/>
      <c r="I817" s="21" t="n"/>
      <c r="M817" s="22" t="n"/>
      <c r="N817" s="123" t="n"/>
      <c r="O817" s="128" t="n"/>
      <c r="P817" s="128" t="n"/>
      <c r="Q817" s="128" t="n"/>
      <c r="R817" s="128" t="n"/>
      <c r="S817" s="128" t="n"/>
      <c r="T817" s="123" t="n"/>
      <c r="U817" s="123" t="n"/>
      <c r="V817" s="123" t="n"/>
      <c r="W817" s="123" t="n"/>
      <c r="X817" s="123" t="n"/>
      <c r="Y817" s="123" t="n"/>
      <c r="Z817" s="123" t="n"/>
      <c r="AB817" s="21" t="n"/>
      <c r="AF817" s="22" t="n"/>
      <c r="AG817" s="123" t="n"/>
      <c r="AH817" s="128" t="n"/>
      <c r="AI817" s="128" t="n"/>
      <c r="AJ817" s="128" t="n"/>
      <c r="AK817" s="128" t="n"/>
      <c r="AL817" s="128" t="n"/>
      <c r="AM817" s="123" t="n"/>
      <c r="AN817" s="123" t="n"/>
      <c r="AO817" s="123" t="n"/>
      <c r="AP817" s="123" t="n"/>
      <c r="AQ817" s="123" t="n"/>
      <c r="AR817" s="123" t="n"/>
      <c r="AS817" s="123" t="n"/>
    </row>
    <row r="818" hidden="1" outlineLevel="1">
      <c r="A818" s="8" t="n"/>
      <c r="B818" s="14" t="n"/>
      <c r="C818" s="123" t="n"/>
      <c r="D818" s="123" t="n"/>
      <c r="E818" s="123" t="n"/>
      <c r="F818" s="123" t="n"/>
      <c r="G818" s="123" t="n"/>
      <c r="I818" s="21" t="n"/>
      <c r="M818" s="22" t="n"/>
      <c r="N818" s="123" t="n"/>
      <c r="O818" s="147" t="n">
        <v>0</v>
      </c>
      <c r="P818" s="147" t="n">
        <v>0</v>
      </c>
      <c r="Q818" s="147" t="n">
        <v>0</v>
      </c>
      <c r="R818" s="147" t="n">
        <v>0</v>
      </c>
      <c r="S818" s="147" t="n">
        <v>0</v>
      </c>
      <c r="T818" s="123" t="n"/>
      <c r="U818" s="55" t="inlineStr">
        <is>
          <t>ANOTAÇÕES</t>
        </is>
      </c>
      <c r="V818" s="16" t="n"/>
      <c r="W818" s="16" t="n"/>
      <c r="X818" s="16" t="n"/>
      <c r="Y818" s="17" t="n"/>
      <c r="Z818" s="123" t="n"/>
      <c r="AB818" s="21" t="n"/>
      <c r="AF818" s="22" t="n"/>
      <c r="AG818" s="123" t="n"/>
      <c r="AH818" s="147" t="n">
        <v>0</v>
      </c>
      <c r="AI818" s="147" t="n">
        <v>0</v>
      </c>
      <c r="AJ818" s="147" t="n">
        <v>0</v>
      </c>
      <c r="AK818" s="147" t="n">
        <v>0</v>
      </c>
      <c r="AL818" s="147" t="n">
        <v>0</v>
      </c>
      <c r="AM818" s="123" t="n"/>
      <c r="AN818" s="55" t="inlineStr">
        <is>
          <t>ANOTAÇÕES</t>
        </is>
      </c>
      <c r="AO818" s="16" t="n"/>
      <c r="AP818" s="16" t="n"/>
      <c r="AQ818" s="16" t="n"/>
      <c r="AR818" s="17" t="n"/>
      <c r="AS818" s="123" t="n"/>
    </row>
    <row r="819" hidden="1" outlineLevel="1">
      <c r="A819" s="8" t="n"/>
      <c r="B819" s="14" t="n"/>
      <c r="C819" s="123" t="n"/>
      <c r="D819" s="123" t="n"/>
      <c r="E819" s="123" t="n"/>
      <c r="F819" s="123" t="n"/>
      <c r="G819" s="123" t="n"/>
      <c r="I819" s="21" t="n"/>
      <c r="M819" s="22" t="n"/>
      <c r="N819" s="123" t="n"/>
      <c r="O819" s="123" t="n"/>
      <c r="P819" s="123" t="n"/>
      <c r="Q819" s="123" t="n"/>
      <c r="R819" s="123" t="n"/>
      <c r="S819" s="123" t="n"/>
      <c r="T819" s="123" t="n"/>
      <c r="U819" s="119" t="n"/>
      <c r="V819" s="19" t="n"/>
      <c r="W819" s="19" t="n"/>
      <c r="X819" s="19" t="n"/>
      <c r="Y819" s="20" t="n"/>
      <c r="Z819" s="123" t="n"/>
      <c r="AB819" s="21" t="n"/>
      <c r="AF819" s="22" t="n"/>
      <c r="AG819" s="123" t="n"/>
      <c r="AH819" s="123" t="n"/>
      <c r="AI819" s="123" t="n"/>
      <c r="AJ819" s="123" t="n"/>
      <c r="AK819" s="123" t="n"/>
      <c r="AL819" s="123" t="n"/>
      <c r="AM819" s="123" t="n"/>
      <c r="AN819" s="119" t="n"/>
      <c r="AO819" s="19" t="n"/>
      <c r="AP819" s="19" t="n"/>
      <c r="AQ819" s="19" t="n"/>
      <c r="AR819" s="20" t="n"/>
      <c r="AS819" s="123" t="n"/>
    </row>
    <row r="820" hidden="1" outlineLevel="1">
      <c r="A820" s="8" t="n"/>
      <c r="B820" s="14" t="n"/>
      <c r="C820" s="123" t="n"/>
      <c r="D820" s="123" t="n"/>
      <c r="E820" s="123" t="n"/>
      <c r="F820" s="123" t="n"/>
      <c r="G820" s="123" t="n"/>
      <c r="I820" s="21" t="n"/>
      <c r="M820" s="22" t="n"/>
      <c r="N820" s="123" t="n"/>
      <c r="O820" s="55" t="inlineStr">
        <is>
          <t>FÍSICO</t>
        </is>
      </c>
      <c r="P820" s="55" t="inlineStr">
        <is>
          <t>VIGOR</t>
        </is>
      </c>
      <c r="Q820" s="55" t="inlineStr">
        <is>
          <t>INTELECTO</t>
        </is>
      </c>
      <c r="R820" s="55" t="inlineStr">
        <is>
          <t>ESPÍRITO</t>
        </is>
      </c>
      <c r="S820" s="55" t="inlineStr">
        <is>
          <t>TR TREINADO</t>
        </is>
      </c>
      <c r="T820" s="123" t="n"/>
      <c r="U820" s="21" t="n"/>
      <c r="Y820" s="22" t="n"/>
      <c r="Z820" s="123" t="n"/>
      <c r="AB820" s="21" t="n"/>
      <c r="AF820" s="22" t="n"/>
      <c r="AG820" s="123" t="n"/>
      <c r="AH820" s="55" t="inlineStr">
        <is>
          <t>FÍSICO</t>
        </is>
      </c>
      <c r="AI820" s="55" t="inlineStr">
        <is>
          <t>VIGOR</t>
        </is>
      </c>
      <c r="AJ820" s="55" t="inlineStr">
        <is>
          <t>INTELECTO</t>
        </is>
      </c>
      <c r="AK820" s="55" t="inlineStr">
        <is>
          <t>ESPÍRITO</t>
        </is>
      </c>
      <c r="AL820" s="55" t="inlineStr">
        <is>
          <t>TR TREINADO</t>
        </is>
      </c>
      <c r="AM820" s="123" t="n"/>
      <c r="AN820" s="21" t="n"/>
      <c r="AR820" s="22" t="n"/>
      <c r="AS820" s="123" t="n"/>
    </row>
    <row r="821" hidden="1" outlineLevel="1">
      <c r="A821" s="8" t="n"/>
      <c r="B821" s="14" t="n"/>
      <c r="C821" s="123" t="n"/>
      <c r="D821" s="123" t="n"/>
      <c r="E821" s="123" t="n"/>
      <c r="F821" s="123" t="n"/>
      <c r="G821" s="123" t="n"/>
      <c r="I821" s="21" t="n"/>
      <c r="M821" s="22" t="n"/>
      <c r="N821" s="123" t="n"/>
      <c r="O821" s="96">
        <f>DADOS_INVOC!$HN$6</f>
        <v/>
      </c>
      <c r="P821" s="96">
        <f>DADOS_INVOC!$HO$6</f>
        <v/>
      </c>
      <c r="Q821" s="96">
        <f>DADOS_INVOC!$HP$6</f>
        <v/>
      </c>
      <c r="R821" s="96">
        <f>DADOS_INVOC!$HQ$6</f>
        <v/>
      </c>
      <c r="S821" s="127" t="n"/>
      <c r="T821" s="123" t="n"/>
      <c r="U821" s="21" t="n"/>
      <c r="Y821" s="22" t="n"/>
      <c r="Z821" s="123" t="n"/>
      <c r="AB821" s="21" t="n"/>
      <c r="AF821" s="22" t="n"/>
      <c r="AG821" s="123" t="n"/>
      <c r="AH821" s="96">
        <f>DADOS_INVOC!$HN$12</f>
        <v/>
      </c>
      <c r="AI821" s="96">
        <f>DADOS_INVOC!$HO$12</f>
        <v/>
      </c>
      <c r="AJ821" s="96">
        <f>DADOS_INVOC!$HP$12</f>
        <v/>
      </c>
      <c r="AK821" s="96">
        <f>DADOS_INVOC!$HQ$12</f>
        <v/>
      </c>
      <c r="AL821" s="127" t="n"/>
      <c r="AM821" s="123" t="n"/>
      <c r="AN821" s="21" t="n"/>
      <c r="AR821" s="22" t="n"/>
      <c r="AS821" s="123" t="n"/>
    </row>
    <row r="822" hidden="1" outlineLevel="1">
      <c r="A822" s="8" t="n"/>
      <c r="B822" s="14" t="n"/>
      <c r="C822" s="123" t="n"/>
      <c r="D822" s="123" t="n"/>
      <c r="E822" s="123" t="n"/>
      <c r="F822" s="123" t="n"/>
      <c r="G822" s="123" t="n"/>
      <c r="I822" s="21" t="n"/>
      <c r="M822" s="22" t="n"/>
      <c r="N822" s="123" t="n"/>
      <c r="O822" s="128" t="n"/>
      <c r="P822" s="128" t="n"/>
      <c r="Q822" s="128" t="n"/>
      <c r="R822" s="128" t="n"/>
      <c r="S822" s="128" t="n"/>
      <c r="T822" s="123" t="n"/>
      <c r="U822" s="23" t="n"/>
      <c r="V822" s="24" t="n"/>
      <c r="W822" s="24" t="n"/>
      <c r="X822" s="24" t="n"/>
      <c r="Y822" s="25" t="n"/>
      <c r="Z822" s="123" t="n"/>
      <c r="AB822" s="21" t="n"/>
      <c r="AF822" s="22" t="n"/>
      <c r="AG822" s="123" t="n"/>
      <c r="AH822" s="128" t="n"/>
      <c r="AI822" s="128" t="n"/>
      <c r="AJ822" s="128" t="n"/>
      <c r="AK822" s="128" t="n"/>
      <c r="AL822" s="128" t="n"/>
      <c r="AM822" s="123" t="n"/>
      <c r="AN822" s="23" t="n"/>
      <c r="AO822" s="24" t="n"/>
      <c r="AP822" s="24" t="n"/>
      <c r="AQ822" s="24" t="n"/>
      <c r="AR822" s="25" t="n"/>
      <c r="AS822" s="123" t="n"/>
    </row>
    <row r="823" hidden="1" outlineLevel="1">
      <c r="A823" s="8" t="n"/>
      <c r="B823" s="14" t="n"/>
      <c r="C823" s="123" t="n"/>
      <c r="D823" s="123" t="n"/>
      <c r="E823" s="123" t="n"/>
      <c r="F823" s="123" t="n"/>
      <c r="G823" s="123" t="n"/>
      <c r="I823" s="21" t="n"/>
      <c r="M823" s="22" t="n"/>
      <c r="N823" s="123" t="n"/>
      <c r="O823" s="147" t="n">
        <v>0</v>
      </c>
      <c r="P823" s="147" t="n">
        <v>0</v>
      </c>
      <c r="Q823" s="147" t="n">
        <v>0</v>
      </c>
      <c r="R823" s="147" t="n">
        <v>0</v>
      </c>
      <c r="S823" s="123" t="n"/>
      <c r="T823" s="123" t="n"/>
      <c r="U823" s="123" t="n"/>
      <c r="V823" s="123" t="n"/>
      <c r="W823" s="123" t="n"/>
      <c r="X823" s="123" t="n"/>
      <c r="Y823" s="123" t="n"/>
      <c r="Z823" s="123" t="n"/>
      <c r="AB823" s="21" t="n"/>
      <c r="AF823" s="22" t="n"/>
      <c r="AG823" s="123" t="n"/>
      <c r="AH823" s="147" t="n">
        <v>0</v>
      </c>
      <c r="AI823" s="147" t="n">
        <v>0</v>
      </c>
      <c r="AJ823" s="147" t="n">
        <v>0</v>
      </c>
      <c r="AK823" s="147" t="n">
        <v>0</v>
      </c>
      <c r="AL823" s="123" t="n"/>
      <c r="AM823" s="123" t="n"/>
      <c r="AN823" s="123" t="n"/>
      <c r="AO823" s="123" t="n"/>
      <c r="AP823" s="123" t="n"/>
      <c r="AQ823" s="123" t="n"/>
      <c r="AR823" s="123" t="n"/>
      <c r="AS823" s="123" t="n"/>
    </row>
    <row r="824" hidden="1" outlineLevel="1">
      <c r="A824" s="8" t="n"/>
      <c r="B824" s="14" t="n"/>
      <c r="C824" s="123" t="n"/>
      <c r="D824" s="123" t="n"/>
      <c r="E824" s="123" t="n"/>
      <c r="F824" s="123" t="n"/>
      <c r="G824" s="123" t="n"/>
      <c r="I824" s="21" t="n"/>
      <c r="M824" s="22" t="n"/>
      <c r="N824" s="123" t="n"/>
      <c r="O824" s="123" t="n"/>
      <c r="P824" s="123" t="n"/>
      <c r="Q824" s="123" t="n"/>
      <c r="R824" s="123" t="n"/>
      <c r="S824" s="123" t="n"/>
      <c r="T824" s="123" t="n"/>
      <c r="U824" s="55">
        <f>DADOS_INVOC!$IA$6</f>
        <v/>
      </c>
      <c r="V824" s="16" t="n"/>
      <c r="W824" s="16" t="n"/>
      <c r="X824" s="17" t="n"/>
      <c r="Y824" s="55" t="inlineStr">
        <is>
          <t>VOL.</t>
        </is>
      </c>
      <c r="Z824" s="123" t="n"/>
      <c r="AB824" s="21" t="n"/>
      <c r="AF824" s="22" t="n"/>
      <c r="AG824" s="123" t="n"/>
      <c r="AH824" s="123" t="n"/>
      <c r="AI824" s="123" t="n"/>
      <c r="AJ824" s="123" t="n"/>
      <c r="AK824" s="123" t="n"/>
      <c r="AL824" s="123" t="n"/>
      <c r="AM824" s="123" t="n"/>
      <c r="AN824" s="55">
        <f>DADOS_INVOC!$IA$12</f>
        <v/>
      </c>
      <c r="AO824" s="16" t="n"/>
      <c r="AP824" s="16" t="n"/>
      <c r="AQ824" s="17" t="n"/>
      <c r="AR824" s="55" t="inlineStr">
        <is>
          <t>VOL.</t>
        </is>
      </c>
      <c r="AS824" s="123" t="n"/>
    </row>
    <row r="825" hidden="1" outlineLevel="1">
      <c r="A825" s="8" t="n"/>
      <c r="B825" s="14" t="n"/>
      <c r="C825" s="123" t="n"/>
      <c r="D825" s="123" t="n"/>
      <c r="E825" s="123" t="n"/>
      <c r="F825" s="123" t="n"/>
      <c r="G825" s="123" t="n"/>
      <c r="I825" s="21" t="n"/>
      <c r="M825" s="22" t="n"/>
      <c r="N825" s="123" t="n"/>
      <c r="O825" s="55" t="inlineStr">
        <is>
          <t>ATRIBUTO DE ACERTO</t>
        </is>
      </c>
      <c r="P825" s="16" t="n"/>
      <c r="Q825" s="17" t="n"/>
      <c r="R825" s="55" t="inlineStr">
        <is>
          <t>FÍSICO USA</t>
        </is>
      </c>
      <c r="S825" s="17" t="n"/>
      <c r="T825" s="123" t="n"/>
      <c r="U825" s="55" t="inlineStr">
        <is>
          <t>MÃO 1</t>
        </is>
      </c>
      <c r="V825" s="133" t="n"/>
      <c r="W825" s="16" t="n"/>
      <c r="X825" s="17" t="n"/>
      <c r="Y825" s="127" t="n"/>
      <c r="Z825" s="123" t="n"/>
      <c r="AB825" s="21" t="n"/>
      <c r="AF825" s="22" t="n"/>
      <c r="AG825" s="123" t="n"/>
      <c r="AH825" s="55" t="inlineStr">
        <is>
          <t>ATRIBUTO DE ACERTO</t>
        </is>
      </c>
      <c r="AI825" s="16" t="n"/>
      <c r="AJ825" s="17" t="n"/>
      <c r="AK825" s="55" t="inlineStr">
        <is>
          <t>FÍSICO USA</t>
        </is>
      </c>
      <c r="AL825" s="17" t="n"/>
      <c r="AM825" s="123" t="n"/>
      <c r="AN825" s="55" t="inlineStr">
        <is>
          <t>MÃO 1</t>
        </is>
      </c>
      <c r="AO825" s="133" t="n"/>
      <c r="AP825" s="16" t="n"/>
      <c r="AQ825" s="17" t="n"/>
      <c r="AR825" s="127" t="n"/>
      <c r="AS825" s="123" t="n"/>
    </row>
    <row r="826" hidden="1" outlineLevel="1">
      <c r="A826" s="8" t="n"/>
      <c r="B826" s="14" t="n"/>
      <c r="C826" s="123" t="n"/>
      <c r="D826" s="123" t="n"/>
      <c r="E826" s="123" t="n"/>
      <c r="F826" s="123" t="n"/>
      <c r="G826" s="123" t="n"/>
      <c r="I826" s="21" t="n"/>
      <c r="M826" s="22" t="n"/>
      <c r="N826" s="123" t="n"/>
      <c r="O826" s="127" t="n"/>
      <c r="P826" s="19" t="n"/>
      <c r="Q826" s="20" t="n"/>
      <c r="R826" s="127" t="inlineStr">
        <is>
          <t>Força</t>
        </is>
      </c>
      <c r="S826" s="20" t="n"/>
      <c r="T826" s="123" t="n"/>
      <c r="U826" s="55" t="inlineStr">
        <is>
          <t>MÃO 2</t>
        </is>
      </c>
      <c r="V826" s="133" t="n"/>
      <c r="W826" s="16" t="n"/>
      <c r="X826" s="17" t="n"/>
      <c r="Y826" s="127" t="n"/>
      <c r="Z826" s="123" t="n"/>
      <c r="AB826" s="21" t="n"/>
      <c r="AF826" s="22" t="n"/>
      <c r="AG826" s="123" t="n"/>
      <c r="AH826" s="127" t="n"/>
      <c r="AI826" s="19" t="n"/>
      <c r="AJ826" s="20" t="n"/>
      <c r="AK826" s="127" t="inlineStr">
        <is>
          <t>Força</t>
        </is>
      </c>
      <c r="AL826" s="20" t="n"/>
      <c r="AM826" s="123" t="n"/>
      <c r="AN826" s="55" t="inlineStr">
        <is>
          <t>MÃO 2</t>
        </is>
      </c>
      <c r="AO826" s="133" t="n"/>
      <c r="AP826" s="16" t="n"/>
      <c r="AQ826" s="17" t="n"/>
      <c r="AR826" s="127" t="n"/>
      <c r="AS826" s="123" t="n"/>
    </row>
    <row r="827" hidden="1" outlineLevel="1">
      <c r="A827" s="8" t="n"/>
      <c r="B827" s="14" t="n"/>
      <c r="C827" s="123" t="n"/>
      <c r="D827" s="123" t="n"/>
      <c r="E827" s="123" t="n"/>
      <c r="F827" s="123" t="n"/>
      <c r="G827" s="123" t="n"/>
      <c r="I827" s="21" t="n"/>
      <c r="M827" s="22" t="n"/>
      <c r="N827" s="123" t="n"/>
      <c r="O827" s="23" t="n"/>
      <c r="P827" s="24" t="n"/>
      <c r="Q827" s="25" t="n"/>
      <c r="R827" s="23" t="n"/>
      <c r="S827" s="25" t="n"/>
      <c r="T827" s="123" t="n"/>
      <c r="U827" s="55" t="inlineStr">
        <is>
          <t>VESTE</t>
        </is>
      </c>
      <c r="V827" s="133" t="n"/>
      <c r="W827" s="16" t="n"/>
      <c r="X827" s="17" t="n"/>
      <c r="Y827" s="127" t="n"/>
      <c r="Z827" s="123" t="n"/>
      <c r="AB827" s="21" t="n"/>
      <c r="AF827" s="22" t="n"/>
      <c r="AG827" s="123" t="n"/>
      <c r="AH827" s="23" t="n"/>
      <c r="AI827" s="24" t="n"/>
      <c r="AJ827" s="25" t="n"/>
      <c r="AK827" s="23" t="n"/>
      <c r="AL827" s="25" t="n"/>
      <c r="AM827" s="123" t="n"/>
      <c r="AN827" s="55" t="inlineStr">
        <is>
          <t>VESTE</t>
        </is>
      </c>
      <c r="AO827" s="133" t="n"/>
      <c r="AP827" s="16" t="n"/>
      <c r="AQ827" s="17" t="n"/>
      <c r="AR827" s="127" t="n"/>
      <c r="AS827" s="123" t="n"/>
    </row>
    <row r="828" hidden="1" outlineLevel="1">
      <c r="A828" s="8" t="n"/>
      <c r="B828" s="14" t="n"/>
      <c r="C828" s="123" t="n"/>
      <c r="D828" s="123" t="n"/>
      <c r="E828" s="123" t="n"/>
      <c r="F828" s="123" t="n"/>
      <c r="G828" s="123" t="n"/>
      <c r="I828" s="21" t="n"/>
      <c r="M828" s="22" t="n"/>
      <c r="N828" s="123" t="n"/>
      <c r="O828" s="123" t="n"/>
      <c r="P828" s="123" t="n"/>
      <c r="Q828" s="123" t="n"/>
      <c r="R828" s="123" t="n"/>
      <c r="S828" s="123" t="n"/>
      <c r="T828" s="123" t="n"/>
      <c r="U828" s="55" t="inlineStr">
        <is>
          <t>GUARDADO · SÓ COM A CARACTERÍSTICA DE TRANSPORTE</t>
        </is>
      </c>
      <c r="V828" s="16" t="n"/>
      <c r="W828" s="16" t="n"/>
      <c r="X828" s="17" t="n"/>
      <c r="Y828" s="55" t="inlineStr">
        <is>
          <t>VOL.</t>
        </is>
      </c>
      <c r="Z828" s="123" t="n"/>
      <c r="AB828" s="21" t="n"/>
      <c r="AF828" s="22" t="n"/>
      <c r="AG828" s="123" t="n"/>
      <c r="AH828" s="123" t="n"/>
      <c r="AI828" s="123" t="n"/>
      <c r="AJ828" s="123" t="n"/>
      <c r="AK828" s="123" t="n"/>
      <c r="AL828" s="123" t="n"/>
      <c r="AM828" s="123" t="n"/>
      <c r="AN828" s="55" t="inlineStr">
        <is>
          <t>GUARDADO · SÓ COM A CARACTERÍSTICA DE TRANSPORTE</t>
        </is>
      </c>
      <c r="AO828" s="16" t="n"/>
      <c r="AP828" s="16" t="n"/>
      <c r="AQ828" s="17" t="n"/>
      <c r="AR828" s="55" t="inlineStr">
        <is>
          <t>VOL.</t>
        </is>
      </c>
      <c r="AS828" s="123" t="n"/>
    </row>
    <row r="829" hidden="1" outlineLevel="1">
      <c r="A829" s="8" t="n"/>
      <c r="B829" s="14" t="n"/>
      <c r="C829" s="123" t="n"/>
      <c r="D829" s="123" t="n"/>
      <c r="E829" s="123" t="n"/>
      <c r="F829" s="123" t="n"/>
      <c r="G829" s="123" t="n"/>
      <c r="I829" s="21" t="n"/>
      <c r="M829" s="22" t="n"/>
      <c r="N829" s="123" t="n"/>
      <c r="O829" s="55">
        <f>DADOS_INVOC!$HR$6</f>
        <v/>
      </c>
      <c r="P829" s="16" t="n"/>
      <c r="Q829" s="16" t="n"/>
      <c r="R829" s="16" t="n"/>
      <c r="S829" s="17" t="n"/>
      <c r="T829" s="123" t="n"/>
      <c r="U829" s="133" t="n"/>
      <c r="V829" s="16" t="n"/>
      <c r="W829" s="16" t="n"/>
      <c r="X829" s="17" t="n"/>
      <c r="Y829" s="127" t="n"/>
      <c r="Z829" s="123" t="n"/>
      <c r="AB829" s="21" t="n"/>
      <c r="AF829" s="22" t="n"/>
      <c r="AG829" s="123" t="n"/>
      <c r="AH829" s="55">
        <f>DADOS_INVOC!$HR$12</f>
        <v/>
      </c>
      <c r="AI829" s="16" t="n"/>
      <c r="AJ829" s="16" t="n"/>
      <c r="AK829" s="16" t="n"/>
      <c r="AL829" s="17" t="n"/>
      <c r="AM829" s="123" t="n"/>
      <c r="AN829" s="133" t="n"/>
      <c r="AO829" s="16" t="n"/>
      <c r="AP829" s="16" t="n"/>
      <c r="AQ829" s="17" t="n"/>
      <c r="AR829" s="127" t="n"/>
      <c r="AS829" s="123" t="n"/>
    </row>
    <row r="830" hidden="1" outlineLevel="1">
      <c r="A830" s="8" t="n"/>
      <c r="B830" s="14" t="n"/>
      <c r="C830" s="123" t="n"/>
      <c r="D830" s="123" t="n"/>
      <c r="E830" s="123" t="n"/>
      <c r="F830" s="123" t="n"/>
      <c r="G830" s="123" t="n"/>
      <c r="I830" s="21" t="n"/>
      <c r="M830" s="22" t="n"/>
      <c r="N830" s="123" t="n"/>
      <c r="O830" s="133" t="n"/>
      <c r="P830" s="16" t="n"/>
      <c r="Q830" s="17" t="n"/>
      <c r="R830" s="127">
        <f>DADOS_INVOC!$HS$6</f>
        <v/>
      </c>
      <c r="S830" s="17" t="n"/>
      <c r="T830" s="123" t="n"/>
      <c r="U830" s="133" t="n"/>
      <c r="V830" s="16" t="n"/>
      <c r="W830" s="16" t="n"/>
      <c r="X830" s="17" t="n"/>
      <c r="Y830" s="127" t="n"/>
      <c r="Z830" s="123" t="n"/>
      <c r="AB830" s="21" t="n"/>
      <c r="AF830" s="22" t="n"/>
      <c r="AG830" s="123" t="n"/>
      <c r="AH830" s="133" t="n"/>
      <c r="AI830" s="16" t="n"/>
      <c r="AJ830" s="17" t="n"/>
      <c r="AK830" s="127">
        <f>DADOS_INVOC!$HS$12</f>
        <v/>
      </c>
      <c r="AL830" s="17" t="n"/>
      <c r="AM830" s="123" t="n"/>
      <c r="AN830" s="133" t="n"/>
      <c r="AO830" s="16" t="n"/>
      <c r="AP830" s="16" t="n"/>
      <c r="AQ830" s="17" t="n"/>
      <c r="AR830" s="127" t="n"/>
      <c r="AS830" s="123" t="n"/>
    </row>
    <row r="831" hidden="1" outlineLevel="1">
      <c r="A831" s="8" t="n"/>
      <c r="B831" s="14" t="n"/>
      <c r="C831" s="123" t="n"/>
      <c r="D831" s="123" t="n"/>
      <c r="E831" s="123" t="n"/>
      <c r="F831" s="123" t="n"/>
      <c r="G831" s="123" t="n"/>
      <c r="I831" s="21" t="n"/>
      <c r="M831" s="22" t="n"/>
      <c r="N831" s="123" t="n"/>
      <c r="O831" s="133" t="n"/>
      <c r="P831" s="16" t="n"/>
      <c r="Q831" s="17" t="n"/>
      <c r="R831" s="127">
        <f>DADOS_INVOC!$HT$6</f>
        <v/>
      </c>
      <c r="S831" s="17" t="n"/>
      <c r="T831" s="123" t="n"/>
      <c r="U831" s="133" t="n"/>
      <c r="V831" s="16" t="n"/>
      <c r="W831" s="16" t="n"/>
      <c r="X831" s="17" t="n"/>
      <c r="Y831" s="127" t="n"/>
      <c r="Z831" s="123" t="n"/>
      <c r="AB831" s="21" t="n"/>
      <c r="AF831" s="22" t="n"/>
      <c r="AG831" s="123" t="n"/>
      <c r="AH831" s="133" t="n"/>
      <c r="AI831" s="16" t="n"/>
      <c r="AJ831" s="17" t="n"/>
      <c r="AK831" s="127">
        <f>DADOS_INVOC!$HT$12</f>
        <v/>
      </c>
      <c r="AL831" s="17" t="n"/>
      <c r="AM831" s="123" t="n"/>
      <c r="AN831" s="133" t="n"/>
      <c r="AO831" s="16" t="n"/>
      <c r="AP831" s="16" t="n"/>
      <c r="AQ831" s="17" t="n"/>
      <c r="AR831" s="127" t="n"/>
      <c r="AS831" s="123" t="n"/>
    </row>
    <row r="832" hidden="1" outlineLevel="1">
      <c r="A832" s="8" t="n"/>
      <c r="B832" s="14" t="n"/>
      <c r="C832" s="123" t="n"/>
      <c r="D832" s="123" t="n"/>
      <c r="E832" s="123" t="n"/>
      <c r="F832" s="123" t="n"/>
      <c r="G832" s="123" t="n"/>
      <c r="I832" s="23" t="n"/>
      <c r="J832" s="24" t="n"/>
      <c r="K832" s="24" t="n"/>
      <c r="L832" s="24" t="n"/>
      <c r="M832" s="25" t="n"/>
      <c r="N832" s="123" t="n"/>
      <c r="O832" s="133" t="n"/>
      <c r="P832" s="16" t="n"/>
      <c r="Q832" s="17" t="n"/>
      <c r="R832" s="127">
        <f>DADOS_INVOC!$HU$6</f>
        <v/>
      </c>
      <c r="S832" s="17" t="n"/>
      <c r="T832" s="123" t="n"/>
      <c r="U832" s="133" t="n"/>
      <c r="V832" s="16" t="n"/>
      <c r="W832" s="16" t="n"/>
      <c r="X832" s="17" t="n"/>
      <c r="Y832" s="127" t="n"/>
      <c r="Z832" s="123" t="n"/>
      <c r="AB832" s="23" t="n"/>
      <c r="AC832" s="24" t="n"/>
      <c r="AD832" s="24" t="n"/>
      <c r="AE832" s="24" t="n"/>
      <c r="AF832" s="25" t="n"/>
      <c r="AG832" s="123" t="n"/>
      <c r="AH832" s="133" t="n"/>
      <c r="AI832" s="16" t="n"/>
      <c r="AJ832" s="17" t="n"/>
      <c r="AK832" s="127">
        <f>DADOS_INVOC!$HU$12</f>
        <v/>
      </c>
      <c r="AL832" s="17" t="n"/>
      <c r="AM832" s="123" t="n"/>
      <c r="AN832" s="133" t="n"/>
      <c r="AO832" s="16" t="n"/>
      <c r="AP832" s="16" t="n"/>
      <c r="AQ832" s="17" t="n"/>
      <c r="AR832" s="127" t="n"/>
      <c r="AS832" s="123" t="n"/>
    </row>
    <row r="833" hidden="1" outlineLevel="1">
      <c r="A833" s="8" t="n"/>
      <c r="B833" s="14" t="n"/>
      <c r="C833" s="123" t="n"/>
      <c r="D833" s="123" t="n"/>
      <c r="E833" s="123" t="n"/>
      <c r="F833" s="123" t="n"/>
      <c r="G833" s="123" t="n"/>
      <c r="I833" s="123" t="n"/>
      <c r="J833" s="123" t="n"/>
      <c r="K833" s="123" t="n"/>
      <c r="L833" s="123" t="n"/>
      <c r="M833" s="123" t="n"/>
      <c r="N833" s="123" t="n"/>
      <c r="O833" s="133" t="n"/>
      <c r="P833" s="16" t="n"/>
      <c r="Q833" s="17" t="n"/>
      <c r="R833" s="127">
        <f>DADOS_INVOC!$HV$6</f>
        <v/>
      </c>
      <c r="S833" s="17" t="n"/>
      <c r="T833" s="123" t="n"/>
      <c r="U833" s="133" t="n"/>
      <c r="V833" s="16" t="n"/>
      <c r="W833" s="16" t="n"/>
      <c r="X833" s="17" t="n"/>
      <c r="Y833" s="127" t="n"/>
      <c r="Z833" s="123" t="n"/>
      <c r="AB833" s="123" t="n"/>
      <c r="AC833" s="123" t="n"/>
      <c r="AD833" s="123" t="n"/>
      <c r="AE833" s="123" t="n"/>
      <c r="AF833" s="123" t="n"/>
      <c r="AG833" s="123" t="n"/>
      <c r="AH833" s="133" t="n"/>
      <c r="AI833" s="16" t="n"/>
      <c r="AJ833" s="17" t="n"/>
      <c r="AK833" s="127">
        <f>DADOS_INVOC!$HV$12</f>
        <v/>
      </c>
      <c r="AL833" s="17" t="n"/>
      <c r="AM833" s="123" t="n"/>
      <c r="AN833" s="133" t="n"/>
      <c r="AO833" s="16" t="n"/>
      <c r="AP833" s="16" t="n"/>
      <c r="AQ833" s="17" t="n"/>
      <c r="AR833" s="127" t="n"/>
      <c r="AS833" s="123" t="n"/>
    </row>
    <row r="834" hidden="1" outlineLevel="1">
      <c r="A834" s="8" t="n"/>
      <c r="B834" s="14" t="n"/>
      <c r="C834" s="123" t="n"/>
      <c r="D834" s="123" t="n"/>
      <c r="E834" s="123" t="n"/>
      <c r="F834" s="123" t="n"/>
      <c r="G834" s="123" t="n"/>
      <c r="I834" s="55" t="inlineStr">
        <is>
          <t>TIPO</t>
        </is>
      </c>
      <c r="J834" s="16" t="n"/>
      <c r="K834" s="16" t="n"/>
      <c r="L834" s="16" t="n"/>
      <c r="M834" s="17" t="n"/>
      <c r="N834" s="123" t="n"/>
      <c r="O834" s="133" t="n"/>
      <c r="P834" s="16" t="n"/>
      <c r="Q834" s="17" t="n"/>
      <c r="R834" s="127">
        <f>DADOS_INVOC!$HW$6</f>
        <v/>
      </c>
      <c r="S834" s="17" t="n"/>
      <c r="T834" s="123" t="n"/>
      <c r="U834" s="133" t="n"/>
      <c r="V834" s="16" t="n"/>
      <c r="W834" s="16" t="n"/>
      <c r="X834" s="17" t="n"/>
      <c r="Y834" s="127" t="n"/>
      <c r="Z834" s="123" t="n"/>
      <c r="AB834" s="55" t="inlineStr">
        <is>
          <t>TIPO</t>
        </is>
      </c>
      <c r="AC834" s="16" t="n"/>
      <c r="AD834" s="16" t="n"/>
      <c r="AE834" s="16" t="n"/>
      <c r="AF834" s="17" t="n"/>
      <c r="AG834" s="123" t="n"/>
      <c r="AH834" s="133" t="n"/>
      <c r="AI834" s="16" t="n"/>
      <c r="AJ834" s="17" t="n"/>
      <c r="AK834" s="127">
        <f>DADOS_INVOC!$HW$12</f>
        <v/>
      </c>
      <c r="AL834" s="17" t="n"/>
      <c r="AM834" s="123" t="n"/>
      <c r="AN834" s="133" t="n"/>
      <c r="AO834" s="16" t="n"/>
      <c r="AP834" s="16" t="n"/>
      <c r="AQ834" s="17" t="n"/>
      <c r="AR834" s="127" t="n"/>
      <c r="AS834" s="123" t="n"/>
    </row>
    <row r="835" hidden="1" outlineLevel="1">
      <c r="A835" s="8" t="n"/>
      <c r="B835" s="14" t="n"/>
      <c r="C835" s="123" t="n"/>
      <c r="D835" s="123" t="n"/>
      <c r="E835" s="123" t="n"/>
      <c r="F835" s="123" t="n"/>
      <c r="G835" s="123" t="n"/>
      <c r="I835" s="127" t="inlineStr">
        <is>
          <t>Shikigami de técnica</t>
        </is>
      </c>
      <c r="J835" s="19" t="n"/>
      <c r="K835" s="19" t="n"/>
      <c r="L835" s="19" t="n"/>
      <c r="M835" s="20" t="n"/>
      <c r="N835" s="123" t="n"/>
      <c r="O835" s="133" t="n"/>
      <c r="P835" s="16" t="n"/>
      <c r="Q835" s="17" t="n"/>
      <c r="R835" s="127">
        <f>DADOS_INVOC!$HX$6</f>
        <v/>
      </c>
      <c r="S835" s="17" t="n"/>
      <c r="T835" s="123" t="n"/>
      <c r="U835" s="123" t="n"/>
      <c r="V835" s="123" t="n"/>
      <c r="W835" s="123" t="n"/>
      <c r="X835" s="123" t="n"/>
      <c r="Y835" s="123" t="n"/>
      <c r="Z835" s="123" t="n"/>
      <c r="AB835" s="127" t="inlineStr">
        <is>
          <t>Shikigami de técnica</t>
        </is>
      </c>
      <c r="AC835" s="19" t="n"/>
      <c r="AD835" s="19" t="n"/>
      <c r="AE835" s="19" t="n"/>
      <c r="AF835" s="20" t="n"/>
      <c r="AG835" s="123" t="n"/>
      <c r="AH835" s="133" t="n"/>
      <c r="AI835" s="16" t="n"/>
      <c r="AJ835" s="17" t="n"/>
      <c r="AK835" s="127">
        <f>DADOS_INVOC!$HX$12</f>
        <v/>
      </c>
      <c r="AL835" s="17" t="n"/>
      <c r="AM835" s="123" t="n"/>
      <c r="AN835" s="123" t="n"/>
      <c r="AO835" s="123" t="n"/>
      <c r="AP835" s="123" t="n"/>
      <c r="AQ835" s="123" t="n"/>
      <c r="AR835" s="123" t="n"/>
      <c r="AS835" s="123" t="n"/>
    </row>
    <row r="836" hidden="1" outlineLevel="1">
      <c r="A836" s="8" t="n"/>
      <c r="B836" s="14" t="n"/>
      <c r="C836" s="123" t="n"/>
      <c r="D836" s="123" t="n"/>
      <c r="E836" s="123" t="n"/>
      <c r="F836" s="123" t="n"/>
      <c r="G836" s="123" t="n"/>
      <c r="I836" s="23" t="n"/>
      <c r="J836" s="24" t="n"/>
      <c r="K836" s="24" t="n"/>
      <c r="L836" s="24" t="n"/>
      <c r="M836" s="25" t="n"/>
      <c r="N836" s="123" t="n"/>
      <c r="O836" s="133" t="n"/>
      <c r="P836" s="16" t="n"/>
      <c r="Q836" s="17" t="n"/>
      <c r="R836" s="127">
        <f>DADOS_INVOC!$HY$6</f>
        <v/>
      </c>
      <c r="S836" s="17" t="n"/>
      <c r="T836" s="123" t="n"/>
      <c r="U836" s="55" t="inlineStr">
        <is>
          <t>CORPO, SENTIDOS E COMUNICAÇÃO</t>
        </is>
      </c>
      <c r="V836" s="16" t="n"/>
      <c r="W836" s="16" t="n"/>
      <c r="X836" s="16" t="n"/>
      <c r="Y836" s="17" t="n"/>
      <c r="Z836" s="123" t="n"/>
      <c r="AB836" s="23" t="n"/>
      <c r="AC836" s="24" t="n"/>
      <c r="AD836" s="24" t="n"/>
      <c r="AE836" s="24" t="n"/>
      <c r="AF836" s="25" t="n"/>
      <c r="AG836" s="123" t="n"/>
      <c r="AH836" s="133" t="n"/>
      <c r="AI836" s="16" t="n"/>
      <c r="AJ836" s="17" t="n"/>
      <c r="AK836" s="127">
        <f>DADOS_INVOC!$HY$12</f>
        <v/>
      </c>
      <c r="AL836" s="17" t="n"/>
      <c r="AM836" s="123" t="n"/>
      <c r="AN836" s="55" t="inlineStr">
        <is>
          <t>CORPO, SENTIDOS E COMUNICAÇÃO</t>
        </is>
      </c>
      <c r="AO836" s="16" t="n"/>
      <c r="AP836" s="16" t="n"/>
      <c r="AQ836" s="16" t="n"/>
      <c r="AR836" s="17" t="n"/>
      <c r="AS836" s="123" t="n"/>
    </row>
    <row r="837" hidden="1" outlineLevel="1">
      <c r="A837" s="8" t="n"/>
      <c r="B837" s="14" t="n"/>
      <c r="C837" s="123" t="n"/>
      <c r="D837" s="123" t="n"/>
      <c r="E837" s="123" t="n"/>
      <c r="F837" s="123" t="n"/>
      <c r="G837" s="123" t="n"/>
      <c r="I837" s="123" t="n"/>
      <c r="J837" s="123" t="n"/>
      <c r="K837" s="123" t="n"/>
      <c r="L837" s="123" t="n"/>
      <c r="M837" s="123" t="n"/>
      <c r="N837" s="123" t="n"/>
      <c r="O837" s="123" t="n"/>
      <c r="P837" s="123" t="n"/>
      <c r="Q837" s="123" t="n"/>
      <c r="R837" s="123" t="n"/>
      <c r="S837" s="123" t="n"/>
      <c r="T837" s="123" t="n"/>
      <c r="U837" s="119" t="n"/>
      <c r="V837" s="19" t="n"/>
      <c r="W837" s="19" t="n"/>
      <c r="X837" s="19" t="n"/>
      <c r="Y837" s="20" t="n"/>
      <c r="Z837" s="123" t="n"/>
      <c r="AB837" s="123" t="n"/>
      <c r="AC837" s="123" t="n"/>
      <c r="AD837" s="123" t="n"/>
      <c r="AE837" s="123" t="n"/>
      <c r="AF837" s="123" t="n"/>
      <c r="AG837" s="123" t="n"/>
      <c r="AH837" s="123" t="n"/>
      <c r="AI837" s="123" t="n"/>
      <c r="AJ837" s="123" t="n"/>
      <c r="AK837" s="123" t="n"/>
      <c r="AL837" s="123" t="n"/>
      <c r="AM837" s="123" t="n"/>
      <c r="AN837" s="119" t="n"/>
      <c r="AO837" s="19" t="n"/>
      <c r="AP837" s="19" t="n"/>
      <c r="AQ837" s="19" t="n"/>
      <c r="AR837" s="20" t="n"/>
      <c r="AS837" s="123" t="n"/>
    </row>
    <row r="838" hidden="1" outlineLevel="1">
      <c r="A838" s="8" t="n"/>
      <c r="B838" s="14" t="n"/>
      <c r="C838" s="123" t="n"/>
      <c r="D838" s="123" t="n"/>
      <c r="E838" s="123" t="n"/>
      <c r="F838" s="123" t="n"/>
      <c r="G838" s="123" t="n"/>
      <c r="I838" s="55" t="inlineStr">
        <is>
          <t>AQUISIÇÃO</t>
        </is>
      </c>
      <c r="J838" s="17" t="n"/>
      <c r="K838" s="55" t="inlineStr">
        <is>
          <t>OBTIDA NO NÍVEL</t>
        </is>
      </c>
      <c r="L838" s="55" t="inlineStr">
        <is>
          <t>TALISMÃ</t>
        </is>
      </c>
      <c r="M838" s="17" t="n"/>
      <c r="N838" s="123" t="n"/>
      <c r="O838" s="55">
        <f>DADOS_INVOC!$IB$6</f>
        <v/>
      </c>
      <c r="P838" s="16" t="n"/>
      <c r="Q838" s="16" t="n"/>
      <c r="R838" s="16" t="n"/>
      <c r="S838" s="17" t="n"/>
      <c r="T838" s="123" t="n"/>
      <c r="U838" s="21" t="n"/>
      <c r="Y838" s="22" t="n"/>
      <c r="Z838" s="123" t="n"/>
      <c r="AB838" s="55" t="inlineStr">
        <is>
          <t>AQUISIÇÃO</t>
        </is>
      </c>
      <c r="AC838" s="17" t="n"/>
      <c r="AD838" s="55" t="inlineStr">
        <is>
          <t>OBTIDA NO NÍVEL</t>
        </is>
      </c>
      <c r="AE838" s="55" t="inlineStr">
        <is>
          <t>TALISMÃ</t>
        </is>
      </c>
      <c r="AF838" s="17" t="n"/>
      <c r="AG838" s="123" t="n"/>
      <c r="AH838" s="55">
        <f>DADOS_INVOC!$IB$12</f>
        <v/>
      </c>
      <c r="AI838" s="16" t="n"/>
      <c r="AJ838" s="16" t="n"/>
      <c r="AK838" s="16" t="n"/>
      <c r="AL838" s="17" t="n"/>
      <c r="AM838" s="123" t="n"/>
      <c r="AN838" s="21" t="n"/>
      <c r="AR838" s="22" t="n"/>
      <c r="AS838" s="123" t="n"/>
    </row>
    <row r="839" hidden="1" outlineLevel="1">
      <c r="A839" s="8" t="n"/>
      <c r="B839" s="14" t="n"/>
      <c r="C839" s="123" t="n"/>
      <c r="D839" s="123" t="n"/>
      <c r="E839" s="123" t="n"/>
      <c r="F839" s="123" t="n"/>
      <c r="G839" s="123" t="n"/>
      <c r="I839" s="127" t="inlineStr">
        <is>
          <t>Espaço conhecido</t>
        </is>
      </c>
      <c r="J839" s="20" t="n"/>
      <c r="K839" s="127" t="n"/>
      <c r="L839" s="127" t="inlineStr">
        <is>
          <t>Sem carga</t>
        </is>
      </c>
      <c r="M839" s="20" t="n"/>
      <c r="N839" s="123" t="n"/>
      <c r="O839" s="55" t="inlineStr">
        <is>
          <t>LIVRE</t>
        </is>
      </c>
      <c r="P839" s="55" t="inlineStr">
        <is>
          <t>LIVRE · TRILHA</t>
        </is>
      </c>
      <c r="Q839" s="55" t="inlineStr">
        <is>
          <t>ABERTA</t>
        </is>
      </c>
      <c r="R839" s="55" t="inlineStr">
        <is>
          <t>ABERTA</t>
        </is>
      </c>
      <c r="S839" s="55" t="inlineStr">
        <is>
          <t>ABERTA · TRILHA</t>
        </is>
      </c>
      <c r="T839" s="123" t="n"/>
      <c r="U839" s="21" t="n"/>
      <c r="Y839" s="22" t="n"/>
      <c r="Z839" s="123" t="n"/>
      <c r="AB839" s="127" t="inlineStr">
        <is>
          <t>Espaço conhecido</t>
        </is>
      </c>
      <c r="AC839" s="20" t="n"/>
      <c r="AD839" s="127" t="n"/>
      <c r="AE839" s="127" t="inlineStr">
        <is>
          <t>Sem carga</t>
        </is>
      </c>
      <c r="AF839" s="20" t="n"/>
      <c r="AG839" s="123" t="n"/>
      <c r="AH839" s="55" t="inlineStr">
        <is>
          <t>LIVRE</t>
        </is>
      </c>
      <c r="AI839" s="55" t="inlineStr">
        <is>
          <t>LIVRE · TRILHA</t>
        </is>
      </c>
      <c r="AJ839" s="55" t="inlineStr">
        <is>
          <t>ABERTA</t>
        </is>
      </c>
      <c r="AK839" s="55" t="inlineStr">
        <is>
          <t>ABERTA</t>
        </is>
      </c>
      <c r="AL839" s="55" t="inlineStr">
        <is>
          <t>ABERTA · TRILHA</t>
        </is>
      </c>
      <c r="AM839" s="123" t="n"/>
      <c r="AN839" s="21" t="n"/>
      <c r="AR839" s="22" t="n"/>
      <c r="AS839" s="123" t="n"/>
    </row>
    <row r="840" hidden="1" outlineLevel="1">
      <c r="A840" s="8" t="n"/>
      <c r="B840" s="14" t="n"/>
      <c r="C840" s="123" t="n"/>
      <c r="D840" s="123" t="n"/>
      <c r="E840" s="123" t="n"/>
      <c r="F840" s="123" t="n"/>
      <c r="G840" s="123" t="n"/>
      <c r="I840" s="23" t="n"/>
      <c r="J840" s="25" t="n"/>
      <c r="K840" s="128" t="n"/>
      <c r="L840" s="23" t="n"/>
      <c r="M840" s="25" t="n"/>
      <c r="N840" s="123" t="n"/>
      <c r="O840" s="127" t="n"/>
      <c r="P840" s="127" t="n"/>
      <c r="Q840" s="127" t="n"/>
      <c r="R840" s="127" t="n"/>
      <c r="S840" s="127" t="n"/>
      <c r="T840" s="123" t="n"/>
      <c r="U840" s="21" t="n"/>
      <c r="Y840" s="22" t="n"/>
      <c r="Z840" s="123" t="n"/>
      <c r="AB840" s="23" t="n"/>
      <c r="AC840" s="25" t="n"/>
      <c r="AD840" s="128" t="n"/>
      <c r="AE840" s="23" t="n"/>
      <c r="AF840" s="25" t="n"/>
      <c r="AG840" s="123" t="n"/>
      <c r="AH840" s="127" t="n"/>
      <c r="AI840" s="127" t="n"/>
      <c r="AJ840" s="127" t="n"/>
      <c r="AK840" s="127" t="n"/>
      <c r="AL840" s="127" t="n"/>
      <c r="AM840" s="123" t="n"/>
      <c r="AN840" s="21" t="n"/>
      <c r="AR840" s="22" t="n"/>
      <c r="AS840" s="123" t="n"/>
    </row>
    <row r="841" hidden="1" outlineLevel="1">
      <c r="A841" s="8" t="n"/>
      <c r="B841" s="14" t="n"/>
      <c r="C841" s="123" t="n"/>
      <c r="D841" s="123" t="n"/>
      <c r="E841" s="123" t="n"/>
      <c r="F841" s="123" t="n"/>
      <c r="G841" s="123" t="n"/>
      <c r="I841" s="123" t="n"/>
      <c r="J841" s="123" t="n"/>
      <c r="K841" s="123" t="n"/>
      <c r="L841" s="123" t="n"/>
      <c r="M841" s="123" t="n"/>
      <c r="N841" s="123" t="n"/>
      <c r="O841" s="128" t="n"/>
      <c r="P841" s="128" t="n"/>
      <c r="Q841" s="128" t="n"/>
      <c r="R841" s="128" t="n"/>
      <c r="S841" s="128" t="n"/>
      <c r="T841" s="123" t="n"/>
      <c r="U841" s="23" t="n"/>
      <c r="V841" s="24" t="n"/>
      <c r="W841" s="24" t="n"/>
      <c r="X841" s="24" t="n"/>
      <c r="Y841" s="25" t="n"/>
      <c r="Z841" s="123" t="n"/>
      <c r="AB841" s="123" t="n"/>
      <c r="AC841" s="123" t="n"/>
      <c r="AD841" s="123" t="n"/>
      <c r="AE841" s="123" t="n"/>
      <c r="AF841" s="123" t="n"/>
      <c r="AG841" s="123" t="n"/>
      <c r="AH841" s="128" t="n"/>
      <c r="AI841" s="128" t="n"/>
      <c r="AJ841" s="128" t="n"/>
      <c r="AK841" s="128" t="n"/>
      <c r="AL841" s="128" t="n"/>
      <c r="AM841" s="123" t="n"/>
      <c r="AN841" s="23" t="n"/>
      <c r="AO841" s="24" t="n"/>
      <c r="AP841" s="24" t="n"/>
      <c r="AQ841" s="24" t="n"/>
      <c r="AR841" s="25" t="n"/>
      <c r="AS841" s="123" t="n"/>
    </row>
    <row r="842" hidden="1" outlineLevel="1">
      <c r="A842" s="8" t="n"/>
      <c r="B842" s="14" t="n"/>
      <c r="C842" s="123" t="n"/>
      <c r="D842" s="123" t="n"/>
      <c r="E842" s="123" t="n"/>
      <c r="F842" s="123" t="n"/>
      <c r="G842" s="123" t="n"/>
      <c r="I842" s="123" t="n"/>
      <c r="J842" s="123" t="n"/>
      <c r="K842" s="123" t="n"/>
      <c r="L842" s="123" t="n"/>
      <c r="M842" s="123" t="n"/>
      <c r="N842" s="123" t="n"/>
      <c r="O842" s="123" t="n"/>
      <c r="P842" s="123" t="n"/>
      <c r="Q842" s="123" t="n"/>
      <c r="R842" s="123" t="n"/>
      <c r="S842" s="123" t="n"/>
      <c r="T842" s="123" t="n"/>
      <c r="U842" s="123" t="n"/>
      <c r="V842" s="123" t="n"/>
      <c r="W842" s="123" t="n"/>
      <c r="X842" s="123" t="n"/>
      <c r="Y842" s="123" t="n"/>
      <c r="Z842" s="123" t="n"/>
      <c r="AB842" s="123" t="n"/>
      <c r="AC842" s="123" t="n"/>
      <c r="AD842" s="123" t="n"/>
      <c r="AE842" s="123" t="n"/>
      <c r="AF842" s="123" t="n"/>
      <c r="AG842" s="123" t="n"/>
      <c r="AH842" s="123" t="n"/>
      <c r="AI842" s="123" t="n"/>
      <c r="AJ842" s="123" t="n"/>
      <c r="AK842" s="123" t="n"/>
      <c r="AL842" s="123" t="n"/>
      <c r="AM842" s="123" t="n"/>
      <c r="AN842" s="123" t="n"/>
      <c r="AO842" s="123" t="n"/>
      <c r="AP842" s="123" t="n"/>
      <c r="AQ842" s="123" t="n"/>
      <c r="AR842" s="123" t="n"/>
      <c r="AS842" s="123" t="n"/>
    </row>
    <row r="843" hidden="1" outlineLevel="1">
      <c r="A843" s="8" t="n"/>
      <c r="B843" s="14" t="n"/>
      <c r="C843" s="123" t="n"/>
      <c r="D843" s="123" t="n"/>
      <c r="E843" s="123" t="n"/>
      <c r="F843" s="123" t="n"/>
      <c r="G843" s="123" t="n"/>
      <c r="I843" s="55" t="inlineStr">
        <is>
          <t>DEFINIÇÃO</t>
        </is>
      </c>
      <c r="J843" s="16" t="n"/>
      <c r="K843" s="16" t="n"/>
      <c r="L843" s="16" t="n"/>
      <c r="M843" s="16" t="n"/>
      <c r="N843" s="16" t="n"/>
      <c r="O843" s="16" t="n"/>
      <c r="P843" s="16" t="n"/>
      <c r="Q843" s="16" t="n"/>
      <c r="R843" s="16" t="n"/>
      <c r="S843" s="16" t="n"/>
      <c r="T843" s="16" t="n"/>
      <c r="U843" s="16" t="n"/>
      <c r="V843" s="16" t="n"/>
      <c r="W843" s="16" t="n"/>
      <c r="X843" s="16" t="n"/>
      <c r="Y843" s="17" t="n"/>
      <c r="Z843" s="123" t="n"/>
      <c r="AB843" s="55" t="inlineStr">
        <is>
          <t>DEFINIÇÃO</t>
        </is>
      </c>
      <c r="AC843" s="16" t="n"/>
      <c r="AD843" s="16" t="n"/>
      <c r="AE843" s="16" t="n"/>
      <c r="AF843" s="16" t="n"/>
      <c r="AG843" s="16" t="n"/>
      <c r="AH843" s="16" t="n"/>
      <c r="AI843" s="16" t="n"/>
      <c r="AJ843" s="16" t="n"/>
      <c r="AK843" s="16" t="n"/>
      <c r="AL843" s="16" t="n"/>
      <c r="AM843" s="16" t="n"/>
      <c r="AN843" s="16" t="n"/>
      <c r="AO843" s="16" t="n"/>
      <c r="AP843" s="16" t="n"/>
      <c r="AQ843" s="16" t="n"/>
      <c r="AR843" s="17" t="n"/>
      <c r="AS843" s="123" t="n"/>
    </row>
    <row r="844" hidden="1" outlineLevel="1">
      <c r="A844" s="8" t="n"/>
      <c r="B844" s="14" t="n"/>
      <c r="C844" s="123" t="n"/>
      <c r="D844" s="123" t="n"/>
      <c r="E844" s="123" t="n"/>
      <c r="F844" s="123" t="n"/>
      <c r="G844" s="123" t="n"/>
      <c r="I844" s="119" t="n"/>
      <c r="J844" s="19" t="n"/>
      <c r="K844" s="19" t="n"/>
      <c r="L844" s="19" t="n"/>
      <c r="M844" s="19" t="n"/>
      <c r="N844" s="19" t="n"/>
      <c r="O844" s="19" t="n"/>
      <c r="P844" s="19" t="n"/>
      <c r="Q844" s="19" t="n"/>
      <c r="R844" s="19" t="n"/>
      <c r="S844" s="19" t="n"/>
      <c r="T844" s="19" t="n"/>
      <c r="U844" s="19" t="n"/>
      <c r="V844" s="19" t="n"/>
      <c r="W844" s="19" t="n"/>
      <c r="X844" s="19" t="n"/>
      <c r="Y844" s="20" t="n"/>
      <c r="Z844" s="123" t="n"/>
      <c r="AB844" s="119" t="n"/>
      <c r="AC844" s="19" t="n"/>
      <c r="AD844" s="19" t="n"/>
      <c r="AE844" s="19" t="n"/>
      <c r="AF844" s="19" t="n"/>
      <c r="AG844" s="19" t="n"/>
      <c r="AH844" s="19" t="n"/>
      <c r="AI844" s="19" t="n"/>
      <c r="AJ844" s="19" t="n"/>
      <c r="AK844" s="19" t="n"/>
      <c r="AL844" s="19" t="n"/>
      <c r="AM844" s="19" t="n"/>
      <c r="AN844" s="19" t="n"/>
      <c r="AO844" s="19" t="n"/>
      <c r="AP844" s="19" t="n"/>
      <c r="AQ844" s="19" t="n"/>
      <c r="AR844" s="20" t="n"/>
      <c r="AS844" s="123" t="n"/>
    </row>
    <row r="845" hidden="1" outlineLevel="1">
      <c r="A845" s="8" t="n"/>
      <c r="B845" s="14" t="n"/>
      <c r="C845" s="123" t="n"/>
      <c r="D845" s="123" t="n"/>
      <c r="E845" s="123" t="n"/>
      <c r="F845" s="123" t="n"/>
      <c r="G845" s="123" t="n"/>
      <c r="I845" s="23" t="n"/>
      <c r="J845" s="24" t="n"/>
      <c r="K845" s="24" t="n"/>
      <c r="L845" s="24" t="n"/>
      <c r="M845" s="24" t="n"/>
      <c r="N845" s="24" t="n"/>
      <c r="O845" s="24" t="n"/>
      <c r="P845" s="24" t="n"/>
      <c r="Q845" s="24" t="n"/>
      <c r="R845" s="24" t="n"/>
      <c r="S845" s="24" t="n"/>
      <c r="T845" s="24" t="n"/>
      <c r="U845" s="24" t="n"/>
      <c r="V845" s="24" t="n"/>
      <c r="W845" s="24" t="n"/>
      <c r="X845" s="24" t="n"/>
      <c r="Y845" s="25" t="n"/>
      <c r="Z845" s="123" t="n"/>
      <c r="AB845" s="23" t="n"/>
      <c r="AC845" s="24" t="n"/>
      <c r="AD845" s="24" t="n"/>
      <c r="AE845" s="24" t="n"/>
      <c r="AF845" s="24" t="n"/>
      <c r="AG845" s="24" t="n"/>
      <c r="AH845" s="24" t="n"/>
      <c r="AI845" s="24" t="n"/>
      <c r="AJ845" s="24" t="n"/>
      <c r="AK845" s="24" t="n"/>
      <c r="AL845" s="24" t="n"/>
      <c r="AM845" s="24" t="n"/>
      <c r="AN845" s="24" t="n"/>
      <c r="AO845" s="24" t="n"/>
      <c r="AP845" s="24" t="n"/>
      <c r="AQ845" s="24" t="n"/>
      <c r="AR845" s="25" t="n"/>
      <c r="AS845" s="123" t="n"/>
    </row>
    <row r="846" hidden="1" outlineLevel="1">
      <c r="A846" s="8" t="n"/>
      <c r="B846" s="14" t="n"/>
      <c r="C846" s="123" t="n"/>
      <c r="D846" s="123" t="n"/>
      <c r="E846" s="123" t="n"/>
      <c r="F846" s="123" t="n"/>
      <c r="G846" s="123" t="n"/>
      <c r="I846" s="123" t="n"/>
      <c r="J846" s="123" t="n"/>
      <c r="K846" s="123" t="n"/>
      <c r="L846" s="123" t="n"/>
      <c r="M846" s="123" t="n"/>
      <c r="N846" s="123" t="n"/>
      <c r="O846" s="123" t="n"/>
      <c r="P846" s="123" t="n"/>
      <c r="Q846" s="123" t="n"/>
      <c r="R846" s="123" t="n"/>
      <c r="S846" s="123" t="n"/>
      <c r="T846" s="123" t="n"/>
      <c r="U846" s="123" t="n"/>
      <c r="V846" s="123" t="n"/>
      <c r="W846" s="123" t="n"/>
      <c r="X846" s="123" t="n"/>
      <c r="Y846" s="123" t="n"/>
      <c r="Z846" s="123" t="n"/>
      <c r="AB846" s="123" t="n"/>
      <c r="AC846" s="123" t="n"/>
      <c r="AD846" s="123" t="n"/>
      <c r="AE846" s="123" t="n"/>
      <c r="AF846" s="123" t="n"/>
      <c r="AG846" s="123" t="n"/>
      <c r="AH846" s="123" t="n"/>
      <c r="AI846" s="123" t="n"/>
      <c r="AJ846" s="123" t="n"/>
      <c r="AK846" s="123" t="n"/>
      <c r="AL846" s="123" t="n"/>
      <c r="AM846" s="123" t="n"/>
      <c r="AN846" s="123" t="n"/>
      <c r="AO846" s="123" t="n"/>
      <c r="AP846" s="123" t="n"/>
      <c r="AQ846" s="123" t="n"/>
      <c r="AR846" s="123" t="n"/>
      <c r="AS846" s="123" t="n"/>
    </row>
    <row r="847" hidden="1" outlineLevel="1">
      <c r="A847" s="8" t="n"/>
      <c r="B847" s="14" t="n"/>
      <c r="C847" s="123" t="n"/>
      <c r="D847" s="123" t="n"/>
      <c r="E847" s="123" t="n"/>
      <c r="F847" s="123" t="n"/>
      <c r="G847" s="123" t="n"/>
      <c r="I847" s="136">
        <f>DADOS_INVOC!$IC$6</f>
        <v/>
      </c>
      <c r="J847" s="16" t="n"/>
      <c r="K847" s="16" t="n"/>
      <c r="L847" s="16" t="n"/>
      <c r="M847" s="16" t="n"/>
      <c r="N847" s="16" t="n"/>
      <c r="O847" s="16" t="n"/>
      <c r="P847" s="16" t="n"/>
      <c r="Q847" s="16" t="n"/>
      <c r="R847" s="16" t="n"/>
      <c r="S847" s="16" t="n"/>
      <c r="T847" s="16" t="n"/>
      <c r="U847" s="16" t="n"/>
      <c r="V847" s="16" t="n"/>
      <c r="W847" s="16" t="n"/>
      <c r="X847" s="16" t="n"/>
      <c r="Y847" s="17" t="n"/>
      <c r="Z847" s="123" t="n"/>
      <c r="AB847" s="136">
        <f>DADOS_INVOC!$IC$12</f>
        <v/>
      </c>
      <c r="AC847" s="16" t="n"/>
      <c r="AD847" s="16" t="n"/>
      <c r="AE847" s="16" t="n"/>
      <c r="AF847" s="16" t="n"/>
      <c r="AG847" s="16" t="n"/>
      <c r="AH847" s="16" t="n"/>
      <c r="AI847" s="16" t="n"/>
      <c r="AJ847" s="16" t="n"/>
      <c r="AK847" s="16" t="n"/>
      <c r="AL847" s="16" t="n"/>
      <c r="AM847" s="16" t="n"/>
      <c r="AN847" s="16" t="n"/>
      <c r="AO847" s="16" t="n"/>
      <c r="AP847" s="16" t="n"/>
      <c r="AQ847" s="16" t="n"/>
      <c r="AR847" s="17" t="n"/>
      <c r="AS847" s="123" t="n"/>
    </row>
    <row r="848" hidden="1" outlineLevel="1">
      <c r="A848" s="8" t="n"/>
      <c r="B848" s="14" t="n"/>
      <c r="C848" s="123" t="n"/>
      <c r="D848" s="123" t="n"/>
      <c r="E848" s="123" t="n"/>
      <c r="F848" s="123" t="n"/>
      <c r="G848" s="123" t="n"/>
      <c r="I848" s="123" t="n"/>
      <c r="J848" s="123" t="n"/>
      <c r="K848" s="123" t="n"/>
      <c r="L848" s="123" t="n"/>
      <c r="M848" s="123" t="n"/>
      <c r="N848" s="123" t="n"/>
      <c r="O848" s="123" t="n"/>
      <c r="P848" s="123" t="n"/>
      <c r="Q848" s="123" t="n"/>
      <c r="R848" s="123" t="n"/>
      <c r="S848" s="123" t="n"/>
      <c r="T848" s="123" t="n"/>
      <c r="U848" s="123" t="n"/>
      <c r="V848" s="123" t="n"/>
      <c r="W848" s="123" t="n"/>
      <c r="X848" s="123" t="n"/>
      <c r="Y848" s="123" t="n"/>
      <c r="Z848" s="123" t="n"/>
      <c r="AB848" s="123" t="n"/>
      <c r="AC848" s="123" t="n"/>
      <c r="AD848" s="123" t="n"/>
      <c r="AE848" s="123" t="n"/>
      <c r="AF848" s="123" t="n"/>
      <c r="AG848" s="123" t="n"/>
      <c r="AH848" s="123" t="n"/>
      <c r="AI848" s="123" t="n"/>
      <c r="AJ848" s="123" t="n"/>
      <c r="AK848" s="123" t="n"/>
      <c r="AL848" s="123" t="n"/>
      <c r="AM848" s="123" t="n"/>
      <c r="AN848" s="123" t="n"/>
      <c r="AO848" s="123" t="n"/>
      <c r="AP848" s="123" t="n"/>
      <c r="AQ848" s="123" t="n"/>
      <c r="AR848" s="123" t="n"/>
      <c r="AS848" s="123" t="n"/>
    </row>
    <row r="849" hidden="1" outlineLevel="1">
      <c r="A849" s="8" t="n"/>
      <c r="B849" s="14" t="n"/>
      <c r="C849" s="123" t="n"/>
      <c r="D849" s="123" t="n"/>
      <c r="E849" s="123" t="n"/>
      <c r="F849" s="123" t="n"/>
      <c r="G849" s="123" t="n"/>
      <c r="I849" s="55">
        <f>DADOS_INVOC!$PX$54</f>
        <v/>
      </c>
      <c r="J849" s="16" t="n"/>
      <c r="K849" s="16" t="n"/>
      <c r="L849" s="16" t="n"/>
      <c r="M849" s="17" t="n"/>
      <c r="N849" s="123" t="n"/>
      <c r="O849" s="55">
        <f>DADOS_INVOC!$PX$55</f>
        <v/>
      </c>
      <c r="P849" s="16" t="n"/>
      <c r="Q849" s="16" t="n"/>
      <c r="R849" s="16" t="n"/>
      <c r="S849" s="17" t="n"/>
      <c r="T849" s="123" t="n"/>
      <c r="U849" s="55">
        <f>DADOS_INVOC!$PX$56</f>
        <v/>
      </c>
      <c r="V849" s="16" t="n"/>
      <c r="W849" s="16" t="n"/>
      <c r="X849" s="16" t="n"/>
      <c r="Y849" s="17" t="n"/>
      <c r="Z849" s="123" t="n"/>
      <c r="AB849" s="55">
        <f>DADOS_INVOC!$PX$132</f>
        <v/>
      </c>
      <c r="AC849" s="16" t="n"/>
      <c r="AD849" s="16" t="n"/>
      <c r="AE849" s="16" t="n"/>
      <c r="AF849" s="17" t="n"/>
      <c r="AG849" s="123" t="n"/>
      <c r="AH849" s="55">
        <f>DADOS_INVOC!$PX$133</f>
        <v/>
      </c>
      <c r="AI849" s="16" t="n"/>
      <c r="AJ849" s="16" t="n"/>
      <c r="AK849" s="16" t="n"/>
      <c r="AL849" s="17" t="n"/>
      <c r="AM849" s="123" t="n"/>
      <c r="AN849" s="55">
        <f>DADOS_INVOC!$PX$134</f>
        <v/>
      </c>
      <c r="AO849" s="16" t="n"/>
      <c r="AP849" s="16" t="n"/>
      <c r="AQ849" s="16" t="n"/>
      <c r="AR849" s="17" t="n"/>
      <c r="AS849" s="123" t="n"/>
    </row>
    <row r="850" hidden="1" outlineLevel="1">
      <c r="A850" s="8" t="n"/>
      <c r="B850" s="14" t="n"/>
      <c r="C850" s="123" t="n"/>
      <c r="D850" s="123" t="n"/>
      <c r="E850" s="123" t="n"/>
      <c r="F850" s="123" t="n"/>
      <c r="G850" s="123" t="n"/>
      <c r="I850" s="130" t="n">
        <v>0</v>
      </c>
      <c r="J850" s="118" t="n"/>
      <c r="K850" s="16" t="n"/>
      <c r="L850" s="17" t="n"/>
      <c r="M850" s="131">
        <f>DADOS_INVOC!$PV$54</f>
        <v/>
      </c>
      <c r="N850" s="123" t="n"/>
      <c r="O850" s="130" t="n">
        <v>1</v>
      </c>
      <c r="P850" s="118" t="n"/>
      <c r="Q850" s="16" t="n"/>
      <c r="R850" s="17" t="n"/>
      <c r="S850" s="131">
        <f>DADOS_INVOC!$PV$55</f>
        <v/>
      </c>
      <c r="T850" s="123" t="n"/>
      <c r="U850" s="130" t="n">
        <v>1</v>
      </c>
      <c r="V850" s="118" t="n"/>
      <c r="W850" s="16" t="n"/>
      <c r="X850" s="17" t="n"/>
      <c r="Y850" s="131">
        <f>DADOS_INVOC!$PV$56</f>
        <v/>
      </c>
      <c r="Z850" s="123" t="n"/>
      <c r="AB850" s="130" t="n">
        <v>0</v>
      </c>
      <c r="AC850" s="118" t="n"/>
      <c r="AD850" s="16" t="n"/>
      <c r="AE850" s="17" t="n"/>
      <c r="AF850" s="131">
        <f>DADOS_INVOC!$PV$132</f>
        <v/>
      </c>
      <c r="AG850" s="123" t="n"/>
      <c r="AH850" s="130" t="n">
        <v>1</v>
      </c>
      <c r="AI850" s="118" t="n"/>
      <c r="AJ850" s="16" t="n"/>
      <c r="AK850" s="17" t="n"/>
      <c r="AL850" s="131">
        <f>DADOS_INVOC!$PV$133</f>
        <v/>
      </c>
      <c r="AM850" s="123" t="n"/>
      <c r="AN850" s="130" t="n">
        <v>1</v>
      </c>
      <c r="AO850" s="118" t="n"/>
      <c r="AP850" s="16" t="n"/>
      <c r="AQ850" s="17" t="n"/>
      <c r="AR850" s="131">
        <f>DADOS_INVOC!$PV$134</f>
        <v/>
      </c>
      <c r="AS850" s="123" t="n"/>
    </row>
    <row r="851" hidden="1" outlineLevel="2">
      <c r="A851" s="8" t="n"/>
      <c r="B851" s="14" t="n"/>
      <c r="C851" s="123" t="n"/>
      <c r="D851" s="123" t="n"/>
      <c r="E851" s="123" t="n"/>
      <c r="F851" s="123" t="n"/>
      <c r="G851" s="123" t="n"/>
      <c r="I851" s="55" t="inlineStr">
        <is>
          <t>COMO É</t>
        </is>
      </c>
      <c r="J851" s="16" t="n"/>
      <c r="K851" s="16" t="n"/>
      <c r="L851" s="16" t="n"/>
      <c r="M851" s="17" t="n"/>
      <c r="N851" s="123" t="n"/>
      <c r="O851" s="55" t="inlineStr">
        <is>
          <t>COMO É</t>
        </is>
      </c>
      <c r="P851" s="16" t="n"/>
      <c r="Q851" s="16" t="n"/>
      <c r="R851" s="16" t="n"/>
      <c r="S851" s="17" t="n"/>
      <c r="T851" s="123" t="n"/>
      <c r="U851" s="55" t="inlineStr">
        <is>
          <t>COMO É</t>
        </is>
      </c>
      <c r="V851" s="16" t="n"/>
      <c r="W851" s="16" t="n"/>
      <c r="X851" s="16" t="n"/>
      <c r="Y851" s="17" t="n"/>
      <c r="Z851" s="123" t="n"/>
      <c r="AB851" s="55" t="inlineStr">
        <is>
          <t>COMO É</t>
        </is>
      </c>
      <c r="AC851" s="16" t="n"/>
      <c r="AD851" s="16" t="n"/>
      <c r="AE851" s="16" t="n"/>
      <c r="AF851" s="17" t="n"/>
      <c r="AG851" s="123" t="n"/>
      <c r="AH851" s="55" t="inlineStr">
        <is>
          <t>COMO É</t>
        </is>
      </c>
      <c r="AI851" s="16" t="n"/>
      <c r="AJ851" s="16" t="n"/>
      <c r="AK851" s="16" t="n"/>
      <c r="AL851" s="17" t="n"/>
      <c r="AM851" s="123" t="n"/>
      <c r="AN851" s="55" t="inlineStr">
        <is>
          <t>COMO É</t>
        </is>
      </c>
      <c r="AO851" s="16" t="n"/>
      <c r="AP851" s="16" t="n"/>
      <c r="AQ851" s="16" t="n"/>
      <c r="AR851" s="17" t="n"/>
      <c r="AS851" s="123" t="n"/>
    </row>
    <row r="852" hidden="1" outlineLevel="2">
      <c r="A852" s="8" t="n"/>
      <c r="B852" s="14" t="n"/>
      <c r="C852" s="123" t="n"/>
      <c r="D852" s="123" t="n"/>
      <c r="E852" s="123" t="n"/>
      <c r="F852" s="123" t="n"/>
      <c r="G852" s="123" t="n"/>
      <c r="I852" s="119" t="n"/>
      <c r="J852" s="19" t="n"/>
      <c r="K852" s="19" t="n"/>
      <c r="L852" s="19" t="n"/>
      <c r="M852" s="20" t="n"/>
      <c r="N852" s="123" t="n"/>
      <c r="O852" s="119" t="n"/>
      <c r="P852" s="19" t="n"/>
      <c r="Q852" s="19" t="n"/>
      <c r="R852" s="19" t="n"/>
      <c r="S852" s="20" t="n"/>
      <c r="T852" s="123" t="n"/>
      <c r="U852" s="119" t="n"/>
      <c r="V852" s="19" t="n"/>
      <c r="W852" s="19" t="n"/>
      <c r="X852" s="19" t="n"/>
      <c r="Y852" s="20" t="n"/>
      <c r="Z852" s="123" t="n"/>
      <c r="AB852" s="119" t="n"/>
      <c r="AC852" s="19" t="n"/>
      <c r="AD852" s="19" t="n"/>
      <c r="AE852" s="19" t="n"/>
      <c r="AF852" s="20" t="n"/>
      <c r="AG852" s="123" t="n"/>
      <c r="AH852" s="119" t="n"/>
      <c r="AI852" s="19" t="n"/>
      <c r="AJ852" s="19" t="n"/>
      <c r="AK852" s="19" t="n"/>
      <c r="AL852" s="20" t="n"/>
      <c r="AM852" s="123" t="n"/>
      <c r="AN852" s="119" t="n"/>
      <c r="AO852" s="19" t="n"/>
      <c r="AP852" s="19" t="n"/>
      <c r="AQ852" s="19" t="n"/>
      <c r="AR852" s="20" t="n"/>
      <c r="AS852" s="123" t="n"/>
    </row>
    <row r="853" hidden="1" outlineLevel="2">
      <c r="A853" s="8" t="n"/>
      <c r="B853" s="14" t="n"/>
      <c r="C853" s="123" t="n"/>
      <c r="D853" s="123" t="n"/>
      <c r="E853" s="123" t="n"/>
      <c r="F853" s="123" t="n"/>
      <c r="G853" s="123" t="n"/>
      <c r="I853" s="21" t="n"/>
      <c r="M853" s="22" t="n"/>
      <c r="N853" s="123" t="n"/>
      <c r="O853" s="21" t="n"/>
      <c r="S853" s="22" t="n"/>
      <c r="T853" s="123" t="n"/>
      <c r="U853" s="21" t="n"/>
      <c r="Y853" s="22" t="n"/>
      <c r="Z853" s="123" t="n"/>
      <c r="AB853" s="21" t="n"/>
      <c r="AF853" s="22" t="n"/>
      <c r="AG853" s="123" t="n"/>
      <c r="AH853" s="21" t="n"/>
      <c r="AL853" s="22" t="n"/>
      <c r="AM853" s="123" t="n"/>
      <c r="AN853" s="21" t="n"/>
      <c r="AR853" s="22" t="n"/>
      <c r="AS853" s="123" t="n"/>
    </row>
    <row r="854" hidden="1" outlineLevel="2">
      <c r="A854" s="8" t="n"/>
      <c r="B854" s="14" t="n"/>
      <c r="C854" s="123" t="n"/>
      <c r="D854" s="123" t="n"/>
      <c r="E854" s="123" t="n"/>
      <c r="F854" s="123" t="n"/>
      <c r="G854" s="123" t="n"/>
      <c r="I854" s="23" t="n"/>
      <c r="J854" s="24" t="n"/>
      <c r="K854" s="24" t="n"/>
      <c r="L854" s="24" t="n"/>
      <c r="M854" s="25" t="n"/>
      <c r="N854" s="123" t="n"/>
      <c r="O854" s="23" t="n"/>
      <c r="P854" s="24" t="n"/>
      <c r="Q854" s="24" t="n"/>
      <c r="R854" s="24" t="n"/>
      <c r="S854" s="25" t="n"/>
      <c r="T854" s="123" t="n"/>
      <c r="U854" s="23" t="n"/>
      <c r="V854" s="24" t="n"/>
      <c r="W854" s="24" t="n"/>
      <c r="X854" s="24" t="n"/>
      <c r="Y854" s="25" t="n"/>
      <c r="Z854" s="123" t="n"/>
      <c r="AB854" s="23" t="n"/>
      <c r="AC854" s="24" t="n"/>
      <c r="AD854" s="24" t="n"/>
      <c r="AE854" s="24" t="n"/>
      <c r="AF854" s="25" t="n"/>
      <c r="AG854" s="123" t="n"/>
      <c r="AH854" s="23" t="n"/>
      <c r="AI854" s="24" t="n"/>
      <c r="AJ854" s="24" t="n"/>
      <c r="AK854" s="24" t="n"/>
      <c r="AL854" s="25" t="n"/>
      <c r="AM854" s="123" t="n"/>
      <c r="AN854" s="23" t="n"/>
      <c r="AO854" s="24" t="n"/>
      <c r="AP854" s="24" t="n"/>
      <c r="AQ854" s="24" t="n"/>
      <c r="AR854" s="25" t="n"/>
      <c r="AS854" s="123" t="n"/>
    </row>
    <row r="855" hidden="1" outlineLevel="1">
      <c r="A855" s="8" t="n"/>
      <c r="B855" s="14" t="n"/>
      <c r="C855" s="123" t="n"/>
      <c r="D855" s="123" t="n"/>
      <c r="E855" s="123" t="n"/>
      <c r="F855" s="123" t="n"/>
      <c r="G855" s="123" t="n"/>
      <c r="I855" s="127" t="inlineStr">
        <is>
          <t>Projétil</t>
        </is>
      </c>
      <c r="J855" s="17" t="n"/>
      <c r="K855" s="68">
        <f>DADOS_INVOC!$QC$54</f>
        <v/>
      </c>
      <c r="L855" s="17" t="n"/>
      <c r="M855" s="68">
        <f>DADOS_INVOC!$PY$54</f>
        <v/>
      </c>
      <c r="N855" s="123" t="n"/>
      <c r="O855" s="127" t="inlineStr">
        <is>
          <t>Projétil</t>
        </is>
      </c>
      <c r="P855" s="17" t="n"/>
      <c r="Q855" s="68">
        <f>DADOS_INVOC!$QC$55</f>
        <v/>
      </c>
      <c r="R855" s="17" t="n"/>
      <c r="S855" s="68">
        <f>DADOS_INVOC!$PY$55</f>
        <v/>
      </c>
      <c r="T855" s="123" t="n"/>
      <c r="U855" s="127" t="inlineStr">
        <is>
          <t>Projétil</t>
        </is>
      </c>
      <c r="V855" s="17" t="n"/>
      <c r="W855" s="68">
        <f>DADOS_INVOC!$QC$56</f>
        <v/>
      </c>
      <c r="X855" s="17" t="n"/>
      <c r="Y855" s="68">
        <f>DADOS_INVOC!$PY$56</f>
        <v/>
      </c>
      <c r="Z855" s="123" t="n"/>
      <c r="AB855" s="127" t="inlineStr">
        <is>
          <t>Projétil</t>
        </is>
      </c>
      <c r="AC855" s="17" t="n"/>
      <c r="AD855" s="68">
        <f>DADOS_INVOC!$QC$132</f>
        <v/>
      </c>
      <c r="AE855" s="17" t="n"/>
      <c r="AF855" s="68">
        <f>DADOS_INVOC!$PY$132</f>
        <v/>
      </c>
      <c r="AG855" s="123" t="n"/>
      <c r="AH855" s="127" t="inlineStr">
        <is>
          <t>Projétil</t>
        </is>
      </c>
      <c r="AI855" s="17" t="n"/>
      <c r="AJ855" s="68">
        <f>DADOS_INVOC!$QC$133</f>
        <v/>
      </c>
      <c r="AK855" s="17" t="n"/>
      <c r="AL855" s="68">
        <f>DADOS_INVOC!$PY$133</f>
        <v/>
      </c>
      <c r="AM855" s="123" t="n"/>
      <c r="AN855" s="127" t="inlineStr">
        <is>
          <t>Projétil</t>
        </is>
      </c>
      <c r="AO855" s="17" t="n"/>
      <c r="AP855" s="68">
        <f>DADOS_INVOC!$QC$134</f>
        <v/>
      </c>
      <c r="AQ855" s="17" t="n"/>
      <c r="AR855" s="68">
        <f>DADOS_INVOC!$PY$134</f>
        <v/>
      </c>
      <c r="AS855" s="123" t="n"/>
    </row>
    <row r="856" hidden="1" outlineLevel="1">
      <c r="A856" s="8" t="n"/>
      <c r="B856" s="14" t="n"/>
      <c r="C856" s="123" t="n"/>
      <c r="D856" s="123" t="n"/>
      <c r="E856" s="123" t="n"/>
      <c r="F856" s="123" t="n"/>
      <c r="G856" s="123" t="n"/>
      <c r="I856" s="127" t="n"/>
      <c r="J856" s="17" t="n"/>
      <c r="K856" s="127" t="n"/>
      <c r="L856" s="16" t="n"/>
      <c r="M856" s="17" t="n"/>
      <c r="N856" s="123" t="n"/>
      <c r="O856" s="127" t="n"/>
      <c r="P856" s="17" t="n"/>
      <c r="Q856" s="127" t="n"/>
      <c r="R856" s="16" t="n"/>
      <c r="S856" s="17" t="n"/>
      <c r="T856" s="123" t="n"/>
      <c r="U856" s="127" t="n"/>
      <c r="V856" s="17" t="n"/>
      <c r="W856" s="127" t="n"/>
      <c r="X856" s="16" t="n"/>
      <c r="Y856" s="17" t="n"/>
      <c r="Z856" s="123" t="n"/>
      <c r="AB856" s="127" t="n"/>
      <c r="AC856" s="17" t="n"/>
      <c r="AD856" s="127" t="n"/>
      <c r="AE856" s="16" t="n"/>
      <c r="AF856" s="17" t="n"/>
      <c r="AG856" s="123" t="n"/>
      <c r="AH856" s="127" t="n"/>
      <c r="AI856" s="17" t="n"/>
      <c r="AJ856" s="127" t="n"/>
      <c r="AK856" s="16" t="n"/>
      <c r="AL856" s="17" t="n"/>
      <c r="AM856" s="123" t="n"/>
      <c r="AN856" s="127" t="n"/>
      <c r="AO856" s="17" t="n"/>
      <c r="AP856" s="127" t="n"/>
      <c r="AQ856" s="16" t="n"/>
      <c r="AR856" s="17" t="n"/>
      <c r="AS856" s="123" t="n"/>
    </row>
    <row r="857" hidden="1" outlineLevel="1">
      <c r="A857" s="8" t="n"/>
      <c r="B857" s="14" t="n"/>
      <c r="C857" s="123" t="n"/>
      <c r="D857" s="123" t="n"/>
      <c r="E857" s="123" t="n"/>
      <c r="F857" s="123" t="n"/>
      <c r="G857" s="123" t="n"/>
      <c r="I857" s="127">
        <f>DADOS_INVOC!$PZ$54</f>
        <v/>
      </c>
      <c r="J857" s="17" t="n"/>
      <c r="K857" s="127">
        <f>DADOS_INVOC!$QB$54</f>
        <v/>
      </c>
      <c r="L857" s="16" t="n"/>
      <c r="M857" s="17" t="n"/>
      <c r="N857" s="123" t="n"/>
      <c r="O857" s="127">
        <f>DADOS_INVOC!$PZ$55</f>
        <v/>
      </c>
      <c r="P857" s="17" t="n"/>
      <c r="Q857" s="127">
        <f>DADOS_INVOC!$QB$55</f>
        <v/>
      </c>
      <c r="R857" s="16" t="n"/>
      <c r="S857" s="17" t="n"/>
      <c r="T857" s="123" t="n"/>
      <c r="U857" s="127">
        <f>DADOS_INVOC!$PZ$56</f>
        <v/>
      </c>
      <c r="V857" s="17" t="n"/>
      <c r="W857" s="127">
        <f>DADOS_INVOC!$QB$56</f>
        <v/>
      </c>
      <c r="X857" s="16" t="n"/>
      <c r="Y857" s="17" t="n"/>
      <c r="Z857" s="123" t="n"/>
      <c r="AB857" s="127">
        <f>DADOS_INVOC!$PZ$132</f>
        <v/>
      </c>
      <c r="AC857" s="17" t="n"/>
      <c r="AD857" s="127">
        <f>DADOS_INVOC!$QB$132</f>
        <v/>
      </c>
      <c r="AE857" s="16" t="n"/>
      <c r="AF857" s="17" t="n"/>
      <c r="AG857" s="123" t="n"/>
      <c r="AH857" s="127">
        <f>DADOS_INVOC!$PZ$133</f>
        <v/>
      </c>
      <c r="AI857" s="17" t="n"/>
      <c r="AJ857" s="127">
        <f>DADOS_INVOC!$QB$133</f>
        <v/>
      </c>
      <c r="AK857" s="16" t="n"/>
      <c r="AL857" s="17" t="n"/>
      <c r="AM857" s="123" t="n"/>
      <c r="AN857" s="127">
        <f>DADOS_INVOC!$PZ$134</f>
        <v/>
      </c>
      <c r="AO857" s="17" t="n"/>
      <c r="AP857" s="127">
        <f>DADOS_INVOC!$QB$134</f>
        <v/>
      </c>
      <c r="AQ857" s="16" t="n"/>
      <c r="AR857" s="17" t="n"/>
      <c r="AS857" s="123" t="n"/>
    </row>
    <row r="858" hidden="1" outlineLevel="1">
      <c r="A858" s="8" t="n"/>
      <c r="B858" s="14" t="n"/>
      <c r="C858" s="123" t="n"/>
      <c r="D858" s="123" t="n"/>
      <c r="E858" s="123" t="n"/>
      <c r="F858" s="123" t="n"/>
      <c r="G858" s="123" t="n"/>
      <c r="I858" s="132">
        <f>DADOS_INVOC!$QH$54</f>
        <v/>
      </c>
      <c r="J858" s="16" t="n"/>
      <c r="K858" s="16" t="n"/>
      <c r="L858" s="16" t="n"/>
      <c r="M858" s="17" t="n"/>
      <c r="N858" s="123" t="n"/>
      <c r="O858" s="132">
        <f>DADOS_INVOC!$QH$55</f>
        <v/>
      </c>
      <c r="P858" s="16" t="n"/>
      <c r="Q858" s="16" t="n"/>
      <c r="R858" s="16" t="n"/>
      <c r="S858" s="17" t="n"/>
      <c r="T858" s="123" t="n"/>
      <c r="U858" s="132">
        <f>DADOS_INVOC!$QH$56</f>
        <v/>
      </c>
      <c r="V858" s="16" t="n"/>
      <c r="W858" s="16" t="n"/>
      <c r="X858" s="16" t="n"/>
      <c r="Y858" s="17" t="n"/>
      <c r="Z858" s="123" t="n"/>
      <c r="AB858" s="132">
        <f>DADOS_INVOC!$QH$132</f>
        <v/>
      </c>
      <c r="AC858" s="16" t="n"/>
      <c r="AD858" s="16" t="n"/>
      <c r="AE858" s="16" t="n"/>
      <c r="AF858" s="17" t="n"/>
      <c r="AG858" s="123" t="n"/>
      <c r="AH858" s="132">
        <f>DADOS_INVOC!$QH$133</f>
        <v/>
      </c>
      <c r="AI858" s="16" t="n"/>
      <c r="AJ858" s="16" t="n"/>
      <c r="AK858" s="16" t="n"/>
      <c r="AL858" s="17" t="n"/>
      <c r="AM858" s="123" t="n"/>
      <c r="AN858" s="132">
        <f>DADOS_INVOC!$QH$134</f>
        <v/>
      </c>
      <c r="AO858" s="16" t="n"/>
      <c r="AP858" s="16" t="n"/>
      <c r="AQ858" s="16" t="n"/>
      <c r="AR858" s="17" t="n"/>
      <c r="AS858" s="123" t="n"/>
    </row>
    <row r="859" hidden="1" outlineLevel="2">
      <c r="A859" s="8" t="n"/>
      <c r="B859" s="14" t="n"/>
      <c r="C859" s="123" t="n"/>
      <c r="D859" s="123" t="n"/>
      <c r="E859" s="123" t="n"/>
      <c r="F859" s="123" t="n"/>
      <c r="G859" s="123" t="n"/>
      <c r="I859" s="55" t="inlineStr">
        <is>
          <t>MELHORIAS</t>
        </is>
      </c>
      <c r="J859" s="133" t="n"/>
      <c r="K859" s="16" t="n"/>
      <c r="L859" s="17" t="n"/>
      <c r="M859" s="132">
        <f>DADOS_INVOC!$QK$54</f>
        <v/>
      </c>
      <c r="N859" s="123" t="n"/>
      <c r="O859" s="55" t="inlineStr">
        <is>
          <t>MELHORIAS</t>
        </is>
      </c>
      <c r="P859" s="133" t="n"/>
      <c r="Q859" s="16" t="n"/>
      <c r="R859" s="17" t="n"/>
      <c r="S859" s="132">
        <f>DADOS_INVOC!$QK$55</f>
        <v/>
      </c>
      <c r="T859" s="123" t="n"/>
      <c r="U859" s="55" t="inlineStr">
        <is>
          <t>MELHORIAS</t>
        </is>
      </c>
      <c r="V859" s="133" t="n"/>
      <c r="W859" s="16" t="n"/>
      <c r="X859" s="17" t="n"/>
      <c r="Y859" s="132">
        <f>DADOS_INVOC!$QK$56</f>
        <v/>
      </c>
      <c r="Z859" s="123" t="n"/>
      <c r="AB859" s="55" t="inlineStr">
        <is>
          <t>MELHORIAS</t>
        </is>
      </c>
      <c r="AC859" s="133" t="n"/>
      <c r="AD859" s="16" t="n"/>
      <c r="AE859" s="17" t="n"/>
      <c r="AF859" s="132">
        <f>DADOS_INVOC!$QK$132</f>
        <v/>
      </c>
      <c r="AG859" s="123" t="n"/>
      <c r="AH859" s="55" t="inlineStr">
        <is>
          <t>MELHORIAS</t>
        </is>
      </c>
      <c r="AI859" s="133" t="n"/>
      <c r="AJ859" s="16" t="n"/>
      <c r="AK859" s="17" t="n"/>
      <c r="AL859" s="132">
        <f>DADOS_INVOC!$QK$133</f>
        <v/>
      </c>
      <c r="AM859" s="123" t="n"/>
      <c r="AN859" s="55" t="inlineStr">
        <is>
          <t>MELHORIAS</t>
        </is>
      </c>
      <c r="AO859" s="133" t="n"/>
      <c r="AP859" s="16" t="n"/>
      <c r="AQ859" s="17" t="n"/>
      <c r="AR859" s="132">
        <f>DADOS_INVOC!$QK$134</f>
        <v/>
      </c>
      <c r="AS859" s="123" t="n"/>
    </row>
    <row r="860" hidden="1" outlineLevel="2">
      <c r="A860" s="8" t="n"/>
      <c r="B860" s="14" t="n"/>
      <c r="C860" s="123" t="n"/>
      <c r="D860" s="123" t="n"/>
      <c r="E860" s="123" t="n"/>
      <c r="F860" s="123" t="n"/>
      <c r="G860" s="123" t="n"/>
      <c r="I860" s="134" t="n"/>
      <c r="J860" s="133" t="n"/>
      <c r="K860" s="16" t="n"/>
      <c r="L860" s="17" t="n"/>
      <c r="M860" s="132">
        <f>DADOS_INVOC!$QL$54</f>
        <v/>
      </c>
      <c r="N860" s="123" t="n"/>
      <c r="O860" s="134" t="n"/>
      <c r="P860" s="133" t="n"/>
      <c r="Q860" s="16" t="n"/>
      <c r="R860" s="17" t="n"/>
      <c r="S860" s="132">
        <f>DADOS_INVOC!$QL$55</f>
        <v/>
      </c>
      <c r="T860" s="123" t="n"/>
      <c r="U860" s="134" t="n"/>
      <c r="V860" s="133" t="n"/>
      <c r="W860" s="16" t="n"/>
      <c r="X860" s="17" t="n"/>
      <c r="Y860" s="132">
        <f>DADOS_INVOC!$QL$56</f>
        <v/>
      </c>
      <c r="Z860" s="123" t="n"/>
      <c r="AB860" s="134" t="n"/>
      <c r="AC860" s="133" t="n"/>
      <c r="AD860" s="16" t="n"/>
      <c r="AE860" s="17" t="n"/>
      <c r="AF860" s="132">
        <f>DADOS_INVOC!$QL$132</f>
        <v/>
      </c>
      <c r="AG860" s="123" t="n"/>
      <c r="AH860" s="134" t="n"/>
      <c r="AI860" s="133" t="n"/>
      <c r="AJ860" s="16" t="n"/>
      <c r="AK860" s="17" t="n"/>
      <c r="AL860" s="132">
        <f>DADOS_INVOC!$QL$133</f>
        <v/>
      </c>
      <c r="AM860" s="123" t="n"/>
      <c r="AN860" s="134" t="n"/>
      <c r="AO860" s="133" t="n"/>
      <c r="AP860" s="16" t="n"/>
      <c r="AQ860" s="17" t="n"/>
      <c r="AR860" s="132">
        <f>DADOS_INVOC!$QL$134</f>
        <v/>
      </c>
      <c r="AS860" s="123" t="n"/>
    </row>
    <row r="861" hidden="1" outlineLevel="2">
      <c r="A861" s="8" t="n"/>
      <c r="B861" s="14" t="n"/>
      <c r="C861" s="123" t="n"/>
      <c r="D861" s="123" t="n"/>
      <c r="E861" s="123" t="n"/>
      <c r="F861" s="123" t="n"/>
      <c r="G861" s="123" t="n"/>
      <c r="I861" s="134" t="n"/>
      <c r="J861" s="133" t="n"/>
      <c r="K861" s="16" t="n"/>
      <c r="L861" s="17" t="n"/>
      <c r="M861" s="132">
        <f>DADOS_INVOC!$QM$54</f>
        <v/>
      </c>
      <c r="N861" s="123" t="n"/>
      <c r="O861" s="134" t="n"/>
      <c r="P861" s="133" t="n"/>
      <c r="Q861" s="16" t="n"/>
      <c r="R861" s="17" t="n"/>
      <c r="S861" s="132">
        <f>DADOS_INVOC!$QM$55</f>
        <v/>
      </c>
      <c r="T861" s="123" t="n"/>
      <c r="U861" s="134" t="n"/>
      <c r="V861" s="133" t="n"/>
      <c r="W861" s="16" t="n"/>
      <c r="X861" s="17" t="n"/>
      <c r="Y861" s="132">
        <f>DADOS_INVOC!$QM$56</f>
        <v/>
      </c>
      <c r="Z861" s="123" t="n"/>
      <c r="AB861" s="134" t="n"/>
      <c r="AC861" s="133" t="n"/>
      <c r="AD861" s="16" t="n"/>
      <c r="AE861" s="17" t="n"/>
      <c r="AF861" s="132">
        <f>DADOS_INVOC!$QM$132</f>
        <v/>
      </c>
      <c r="AG861" s="123" t="n"/>
      <c r="AH861" s="134" t="n"/>
      <c r="AI861" s="133" t="n"/>
      <c r="AJ861" s="16" t="n"/>
      <c r="AK861" s="17" t="n"/>
      <c r="AL861" s="132">
        <f>DADOS_INVOC!$QM$133</f>
        <v/>
      </c>
      <c r="AM861" s="123" t="n"/>
      <c r="AN861" s="134" t="n"/>
      <c r="AO861" s="133" t="n"/>
      <c r="AP861" s="16" t="n"/>
      <c r="AQ861" s="17" t="n"/>
      <c r="AR861" s="132">
        <f>DADOS_INVOC!$QM$134</f>
        <v/>
      </c>
      <c r="AS861" s="123" t="n"/>
    </row>
    <row r="862" hidden="1" outlineLevel="2">
      <c r="A862" s="8" t="n"/>
      <c r="B862" s="14" t="n"/>
      <c r="C862" s="123" t="n"/>
      <c r="D862" s="123" t="n"/>
      <c r="E862" s="123" t="n"/>
      <c r="F862" s="123" t="n"/>
      <c r="G862" s="123" t="n"/>
      <c r="I862" s="128" t="n"/>
      <c r="J862" s="133" t="n"/>
      <c r="K862" s="16" t="n"/>
      <c r="L862" s="17" t="n"/>
      <c r="M862" s="132">
        <f>DADOS_INVOC!$QN$54</f>
        <v/>
      </c>
      <c r="N862" s="123" t="n"/>
      <c r="O862" s="128" t="n"/>
      <c r="P862" s="133" t="n"/>
      <c r="Q862" s="16" t="n"/>
      <c r="R862" s="17" t="n"/>
      <c r="S862" s="132">
        <f>DADOS_INVOC!$QN$55</f>
        <v/>
      </c>
      <c r="T862" s="123" t="n"/>
      <c r="U862" s="128" t="n"/>
      <c r="V862" s="133" t="n"/>
      <c r="W862" s="16" t="n"/>
      <c r="X862" s="17" t="n"/>
      <c r="Y862" s="132">
        <f>DADOS_INVOC!$QN$56</f>
        <v/>
      </c>
      <c r="Z862" s="123" t="n"/>
      <c r="AB862" s="128" t="n"/>
      <c r="AC862" s="133" t="n"/>
      <c r="AD862" s="16" t="n"/>
      <c r="AE862" s="17" t="n"/>
      <c r="AF862" s="132">
        <f>DADOS_INVOC!$QN$132</f>
        <v/>
      </c>
      <c r="AG862" s="123" t="n"/>
      <c r="AH862" s="128" t="n"/>
      <c r="AI862" s="133" t="n"/>
      <c r="AJ862" s="16" t="n"/>
      <c r="AK862" s="17" t="n"/>
      <c r="AL862" s="132">
        <f>DADOS_INVOC!$QN$133</f>
        <v/>
      </c>
      <c r="AM862" s="123" t="n"/>
      <c r="AN862" s="128" t="n"/>
      <c r="AO862" s="133" t="n"/>
      <c r="AP862" s="16" t="n"/>
      <c r="AQ862" s="17" t="n"/>
      <c r="AR862" s="132">
        <f>DADOS_INVOC!$QN$134</f>
        <v/>
      </c>
      <c r="AS862" s="123" t="n"/>
    </row>
    <row r="863" hidden="1" outlineLevel="2">
      <c r="A863" s="8" t="n"/>
      <c r="B863" s="14" t="n"/>
      <c r="C863" s="123" t="n"/>
      <c r="D863" s="123" t="n"/>
      <c r="E863" s="123" t="n"/>
      <c r="F863" s="123" t="n"/>
      <c r="G863" s="123" t="n"/>
      <c r="I863" s="55" t="inlineStr">
        <is>
          <t>RESTRIÇÕES</t>
        </is>
      </c>
      <c r="J863" s="133" t="n"/>
      <c r="K863" s="16" t="n"/>
      <c r="L863" s="17" t="n"/>
      <c r="M863" s="132">
        <f>DADOS_INVOC!$QO$54</f>
        <v/>
      </c>
      <c r="N863" s="123" t="n"/>
      <c r="O863" s="55" t="inlineStr">
        <is>
          <t>RESTRIÇÕES</t>
        </is>
      </c>
      <c r="P863" s="133" t="n"/>
      <c r="Q863" s="16" t="n"/>
      <c r="R863" s="17" t="n"/>
      <c r="S863" s="132">
        <f>DADOS_INVOC!$QO$55</f>
        <v/>
      </c>
      <c r="T863" s="123" t="n"/>
      <c r="U863" s="55" t="inlineStr">
        <is>
          <t>RESTRIÇÕES</t>
        </is>
      </c>
      <c r="V863" s="133" t="n"/>
      <c r="W863" s="16" t="n"/>
      <c r="X863" s="17" t="n"/>
      <c r="Y863" s="132">
        <f>DADOS_INVOC!$QO$56</f>
        <v/>
      </c>
      <c r="Z863" s="123" t="n"/>
      <c r="AB863" s="55" t="inlineStr">
        <is>
          <t>RESTRIÇÕES</t>
        </is>
      </c>
      <c r="AC863" s="133" t="n"/>
      <c r="AD863" s="16" t="n"/>
      <c r="AE863" s="17" t="n"/>
      <c r="AF863" s="132">
        <f>DADOS_INVOC!$QO$132</f>
        <v/>
      </c>
      <c r="AG863" s="123" t="n"/>
      <c r="AH863" s="55" t="inlineStr">
        <is>
          <t>RESTRIÇÕES</t>
        </is>
      </c>
      <c r="AI863" s="133" t="n"/>
      <c r="AJ863" s="16" t="n"/>
      <c r="AK863" s="17" t="n"/>
      <c r="AL863" s="132">
        <f>DADOS_INVOC!$QO$133</f>
        <v/>
      </c>
      <c r="AM863" s="123" t="n"/>
      <c r="AN863" s="55" t="inlineStr">
        <is>
          <t>RESTRIÇÕES</t>
        </is>
      </c>
      <c r="AO863" s="133" t="n"/>
      <c r="AP863" s="16" t="n"/>
      <c r="AQ863" s="17" t="n"/>
      <c r="AR863" s="132">
        <f>DADOS_INVOC!$QO$134</f>
        <v/>
      </c>
      <c r="AS863" s="123" t="n"/>
    </row>
    <row r="864" hidden="1" outlineLevel="2">
      <c r="A864" s="8" t="n"/>
      <c r="B864" s="14" t="n"/>
      <c r="C864" s="123" t="n"/>
      <c r="D864" s="123" t="n"/>
      <c r="E864" s="123" t="n"/>
      <c r="F864" s="123" t="n"/>
      <c r="G864" s="123" t="n"/>
      <c r="I864" s="128" t="n"/>
      <c r="J864" s="133" t="n"/>
      <c r="K864" s="16" t="n"/>
      <c r="L864" s="17" t="n"/>
      <c r="M864" s="132">
        <f>DADOS_INVOC!$QP$54</f>
        <v/>
      </c>
      <c r="N864" s="123" t="n"/>
      <c r="O864" s="128" t="n"/>
      <c r="P864" s="133" t="n"/>
      <c r="Q864" s="16" t="n"/>
      <c r="R864" s="17" t="n"/>
      <c r="S864" s="132">
        <f>DADOS_INVOC!$QP$55</f>
        <v/>
      </c>
      <c r="T864" s="123" t="n"/>
      <c r="U864" s="128" t="n"/>
      <c r="V864" s="133" t="n"/>
      <c r="W864" s="16" t="n"/>
      <c r="X864" s="17" t="n"/>
      <c r="Y864" s="132">
        <f>DADOS_INVOC!$QP$56</f>
        <v/>
      </c>
      <c r="Z864" s="123" t="n"/>
      <c r="AB864" s="128" t="n"/>
      <c r="AC864" s="133" t="n"/>
      <c r="AD864" s="16" t="n"/>
      <c r="AE864" s="17" t="n"/>
      <c r="AF864" s="132">
        <f>DADOS_INVOC!$QP$132</f>
        <v/>
      </c>
      <c r="AG864" s="123" t="n"/>
      <c r="AH864" s="128" t="n"/>
      <c r="AI864" s="133" t="n"/>
      <c r="AJ864" s="16" t="n"/>
      <c r="AK864" s="17" t="n"/>
      <c r="AL864" s="132">
        <f>DADOS_INVOC!$QP$133</f>
        <v/>
      </c>
      <c r="AM864" s="123" t="n"/>
      <c r="AN864" s="128" t="n"/>
      <c r="AO864" s="133" t="n"/>
      <c r="AP864" s="16" t="n"/>
      <c r="AQ864" s="17" t="n"/>
      <c r="AR864" s="132">
        <f>DADOS_INVOC!$QP$134</f>
        <v/>
      </c>
      <c r="AS864" s="123" t="n"/>
    </row>
    <row r="865" hidden="1" outlineLevel="2">
      <c r="A865" s="8" t="n"/>
      <c r="B865" s="14" t="n"/>
      <c r="C865" s="123" t="n"/>
      <c r="D865" s="123" t="n"/>
      <c r="E865" s="123" t="n"/>
      <c r="F865" s="123" t="n"/>
      <c r="G865" s="123" t="n"/>
      <c r="I865" s="55" t="inlineStr">
        <is>
          <t>CONTA</t>
        </is>
      </c>
      <c r="J865" s="135">
        <f>DADOS_INVOC!$QI$54</f>
        <v/>
      </c>
      <c r="K865" s="16" t="n"/>
      <c r="L865" s="16" t="n"/>
      <c r="M865" s="17" t="n"/>
      <c r="N865" s="123" t="n"/>
      <c r="O865" s="55" t="inlineStr">
        <is>
          <t>CONTA</t>
        </is>
      </c>
      <c r="P865" s="135">
        <f>DADOS_INVOC!$QI$55</f>
        <v/>
      </c>
      <c r="Q865" s="16" t="n"/>
      <c r="R865" s="16" t="n"/>
      <c r="S865" s="17" t="n"/>
      <c r="T865" s="123" t="n"/>
      <c r="U865" s="55" t="inlineStr">
        <is>
          <t>CONTA</t>
        </is>
      </c>
      <c r="V865" s="135">
        <f>DADOS_INVOC!$QI$56</f>
        <v/>
      </c>
      <c r="W865" s="16" t="n"/>
      <c r="X865" s="16" t="n"/>
      <c r="Y865" s="17" t="n"/>
      <c r="Z865" s="123" t="n"/>
      <c r="AB865" s="55" t="inlineStr">
        <is>
          <t>CONTA</t>
        </is>
      </c>
      <c r="AC865" s="135">
        <f>DADOS_INVOC!$QI$132</f>
        <v/>
      </c>
      <c r="AD865" s="16" t="n"/>
      <c r="AE865" s="16" t="n"/>
      <c r="AF865" s="17" t="n"/>
      <c r="AG865" s="123" t="n"/>
      <c r="AH865" s="55" t="inlineStr">
        <is>
          <t>CONTA</t>
        </is>
      </c>
      <c r="AI865" s="135">
        <f>DADOS_INVOC!$QI$133</f>
        <v/>
      </c>
      <c r="AJ865" s="16" t="n"/>
      <c r="AK865" s="16" t="n"/>
      <c r="AL865" s="17" t="n"/>
      <c r="AM865" s="123" t="n"/>
      <c r="AN865" s="55" t="inlineStr">
        <is>
          <t>CONTA</t>
        </is>
      </c>
      <c r="AO865" s="135">
        <f>DADOS_INVOC!$QI$134</f>
        <v/>
      </c>
      <c r="AP865" s="16" t="n"/>
      <c r="AQ865" s="16" t="n"/>
      <c r="AR865" s="17" t="n"/>
      <c r="AS865" s="123" t="n"/>
    </row>
    <row r="866" hidden="1" outlineLevel="2">
      <c r="A866" s="8" t="n"/>
      <c r="B866" s="14" t="n"/>
      <c r="C866" s="123" t="n"/>
      <c r="D866" s="123" t="n"/>
      <c r="E866" s="123" t="n"/>
      <c r="F866" s="123" t="n"/>
      <c r="G866" s="123" t="n"/>
      <c r="I866" s="55" t="inlineStr">
        <is>
          <t>AMPLIAR</t>
        </is>
      </c>
      <c r="J866" s="135">
        <f>DADOS_INVOC!$QJ$54</f>
        <v/>
      </c>
      <c r="K866" s="19" t="n"/>
      <c r="L866" s="19" t="n"/>
      <c r="M866" s="20" t="n"/>
      <c r="N866" s="123" t="n"/>
      <c r="O866" s="55" t="inlineStr">
        <is>
          <t>AMPLIAR</t>
        </is>
      </c>
      <c r="P866" s="135">
        <f>DADOS_INVOC!$QJ$55</f>
        <v/>
      </c>
      <c r="Q866" s="19" t="n"/>
      <c r="R866" s="19" t="n"/>
      <c r="S866" s="20" t="n"/>
      <c r="T866" s="123" t="n"/>
      <c r="U866" s="55" t="inlineStr">
        <is>
          <t>AMPLIAR</t>
        </is>
      </c>
      <c r="V866" s="135">
        <f>DADOS_INVOC!$QJ$56</f>
        <v/>
      </c>
      <c r="W866" s="19" t="n"/>
      <c r="X866" s="19" t="n"/>
      <c r="Y866" s="20" t="n"/>
      <c r="Z866" s="123" t="n"/>
      <c r="AB866" s="55" t="inlineStr">
        <is>
          <t>AMPLIAR</t>
        </is>
      </c>
      <c r="AC866" s="135">
        <f>DADOS_INVOC!$QJ$132</f>
        <v/>
      </c>
      <c r="AD866" s="19" t="n"/>
      <c r="AE866" s="19" t="n"/>
      <c r="AF866" s="20" t="n"/>
      <c r="AG866" s="123" t="n"/>
      <c r="AH866" s="55" t="inlineStr">
        <is>
          <t>AMPLIAR</t>
        </is>
      </c>
      <c r="AI866" s="135">
        <f>DADOS_INVOC!$QJ$133</f>
        <v/>
      </c>
      <c r="AJ866" s="19" t="n"/>
      <c r="AK866" s="19" t="n"/>
      <c r="AL866" s="20" t="n"/>
      <c r="AM866" s="123" t="n"/>
      <c r="AN866" s="55" t="inlineStr">
        <is>
          <t>AMPLIAR</t>
        </is>
      </c>
      <c r="AO866" s="135">
        <f>DADOS_INVOC!$QJ$134</f>
        <v/>
      </c>
      <c r="AP866" s="19" t="n"/>
      <c r="AQ866" s="19" t="n"/>
      <c r="AR866" s="20" t="n"/>
      <c r="AS866" s="123" t="n"/>
    </row>
    <row r="867" hidden="1" outlineLevel="2">
      <c r="A867" s="8" t="n"/>
      <c r="B867" s="14" t="n"/>
      <c r="C867" s="123" t="n"/>
      <c r="D867" s="123" t="n"/>
      <c r="E867" s="123" t="n"/>
      <c r="F867" s="123" t="n"/>
      <c r="G867" s="123" t="n"/>
      <c r="I867" s="128" t="n"/>
      <c r="J867" s="23" t="n"/>
      <c r="K867" s="24" t="n"/>
      <c r="L867" s="24" t="n"/>
      <c r="M867" s="25" t="n"/>
      <c r="N867" s="123" t="n"/>
      <c r="O867" s="128" t="n"/>
      <c r="P867" s="23" t="n"/>
      <c r="Q867" s="24" t="n"/>
      <c r="R867" s="24" t="n"/>
      <c r="S867" s="25" t="n"/>
      <c r="T867" s="123" t="n"/>
      <c r="U867" s="128" t="n"/>
      <c r="V867" s="23" t="n"/>
      <c r="W867" s="24" t="n"/>
      <c r="X867" s="24" t="n"/>
      <c r="Y867" s="25" t="n"/>
      <c r="Z867" s="123" t="n"/>
      <c r="AB867" s="128" t="n"/>
      <c r="AC867" s="23" t="n"/>
      <c r="AD867" s="24" t="n"/>
      <c r="AE867" s="24" t="n"/>
      <c r="AF867" s="25" t="n"/>
      <c r="AG867" s="123" t="n"/>
      <c r="AH867" s="128" t="n"/>
      <c r="AI867" s="23" t="n"/>
      <c r="AJ867" s="24" t="n"/>
      <c r="AK867" s="24" t="n"/>
      <c r="AL867" s="25" t="n"/>
      <c r="AM867" s="123" t="n"/>
      <c r="AN867" s="128" t="n"/>
      <c r="AO867" s="23" t="n"/>
      <c r="AP867" s="24" t="n"/>
      <c r="AQ867" s="24" t="n"/>
      <c r="AR867" s="25" t="n"/>
      <c r="AS867" s="123" t="n"/>
    </row>
    <row r="868" hidden="1" outlineLevel="2">
      <c r="A868" s="8" t="n"/>
      <c r="B868" s="14" t="n"/>
      <c r="C868" s="123" t="n"/>
      <c r="D868" s="123" t="n"/>
      <c r="E868" s="123" t="n"/>
      <c r="F868" s="123" t="n"/>
      <c r="G868" s="123" t="n"/>
      <c r="I868" s="135">
        <f>DADOS_INVOC!$PW$54</f>
        <v/>
      </c>
      <c r="J868" s="19" t="n"/>
      <c r="K868" s="19" t="n"/>
      <c r="L868" s="19" t="n"/>
      <c r="M868" s="20" t="n"/>
      <c r="N868" s="123" t="n"/>
      <c r="O868" s="135">
        <f>DADOS_INVOC!$PW$55</f>
        <v/>
      </c>
      <c r="P868" s="19" t="n"/>
      <c r="Q868" s="19" t="n"/>
      <c r="R868" s="19" t="n"/>
      <c r="S868" s="20" t="n"/>
      <c r="T868" s="123" t="n"/>
      <c r="U868" s="135">
        <f>DADOS_INVOC!$PW$56</f>
        <v/>
      </c>
      <c r="V868" s="19" t="n"/>
      <c r="W868" s="19" t="n"/>
      <c r="X868" s="19" t="n"/>
      <c r="Y868" s="20" t="n"/>
      <c r="Z868" s="123" t="n"/>
      <c r="AB868" s="135">
        <f>DADOS_INVOC!$PW$132</f>
        <v/>
      </c>
      <c r="AC868" s="19" t="n"/>
      <c r="AD868" s="19" t="n"/>
      <c r="AE868" s="19" t="n"/>
      <c r="AF868" s="20" t="n"/>
      <c r="AG868" s="123" t="n"/>
      <c r="AH868" s="135">
        <f>DADOS_INVOC!$PW$133</f>
        <v/>
      </c>
      <c r="AI868" s="19" t="n"/>
      <c r="AJ868" s="19" t="n"/>
      <c r="AK868" s="19" t="n"/>
      <c r="AL868" s="20" t="n"/>
      <c r="AM868" s="123" t="n"/>
      <c r="AN868" s="135">
        <f>DADOS_INVOC!$PW$134</f>
        <v/>
      </c>
      <c r="AO868" s="19" t="n"/>
      <c r="AP868" s="19" t="n"/>
      <c r="AQ868" s="19" t="n"/>
      <c r="AR868" s="20" t="n"/>
      <c r="AS868" s="123" t="n"/>
    </row>
    <row r="869" hidden="1" outlineLevel="2">
      <c r="A869" s="8" t="n"/>
      <c r="B869" s="14" t="n"/>
      <c r="C869" s="123" t="n"/>
      <c r="D869" s="123" t="n"/>
      <c r="E869" s="123" t="n"/>
      <c r="F869" s="123" t="n"/>
      <c r="G869" s="123" t="n"/>
      <c r="I869" s="23" t="n"/>
      <c r="J869" s="24" t="n"/>
      <c r="K869" s="24" t="n"/>
      <c r="L869" s="24" t="n"/>
      <c r="M869" s="25" t="n"/>
      <c r="N869" s="123" t="n"/>
      <c r="O869" s="23" t="n"/>
      <c r="P869" s="24" t="n"/>
      <c r="Q869" s="24" t="n"/>
      <c r="R869" s="24" t="n"/>
      <c r="S869" s="25" t="n"/>
      <c r="T869" s="123" t="n"/>
      <c r="U869" s="23" t="n"/>
      <c r="V869" s="24" t="n"/>
      <c r="W869" s="24" t="n"/>
      <c r="X869" s="24" t="n"/>
      <c r="Y869" s="25" t="n"/>
      <c r="Z869" s="123" t="n"/>
      <c r="AB869" s="23" t="n"/>
      <c r="AC869" s="24" t="n"/>
      <c r="AD869" s="24" t="n"/>
      <c r="AE869" s="24" t="n"/>
      <c r="AF869" s="25" t="n"/>
      <c r="AG869" s="123" t="n"/>
      <c r="AH869" s="23" t="n"/>
      <c r="AI869" s="24" t="n"/>
      <c r="AJ869" s="24" t="n"/>
      <c r="AK869" s="24" t="n"/>
      <c r="AL869" s="25" t="n"/>
      <c r="AM869" s="123" t="n"/>
      <c r="AN869" s="23" t="n"/>
      <c r="AO869" s="24" t="n"/>
      <c r="AP869" s="24" t="n"/>
      <c r="AQ869" s="24" t="n"/>
      <c r="AR869" s="25" t="n"/>
      <c r="AS869" s="123" t="n"/>
    </row>
    <row r="870" hidden="1" outlineLevel="1">
      <c r="A870" s="8" t="n"/>
      <c r="B870" s="14" t="n"/>
      <c r="C870" s="123" t="n"/>
      <c r="D870" s="123" t="n"/>
      <c r="E870" s="123" t="n"/>
      <c r="F870" s="123" t="n"/>
      <c r="G870" s="123" t="n"/>
      <c r="I870" s="123" t="n"/>
      <c r="J870" s="123" t="n"/>
      <c r="K870" s="123" t="n"/>
      <c r="L870" s="123" t="n"/>
      <c r="M870" s="123" t="n"/>
      <c r="N870" s="123" t="n"/>
      <c r="O870" s="123" t="n"/>
      <c r="P870" s="123" t="n"/>
      <c r="Q870" s="123" t="n"/>
      <c r="R870" s="123" t="n"/>
      <c r="S870" s="123" t="n"/>
      <c r="T870" s="123" t="n"/>
      <c r="U870" s="123" t="n"/>
      <c r="V870" s="123" t="n"/>
      <c r="W870" s="123" t="n"/>
      <c r="X870" s="123" t="n"/>
      <c r="Y870" s="123" t="n"/>
      <c r="Z870" s="123" t="n"/>
      <c r="AB870" s="123" t="n"/>
      <c r="AC870" s="123" t="n"/>
      <c r="AD870" s="123" t="n"/>
      <c r="AE870" s="123" t="n"/>
      <c r="AF870" s="123" t="n"/>
      <c r="AG870" s="123" t="n"/>
      <c r="AH870" s="123" t="n"/>
      <c r="AI870" s="123" t="n"/>
      <c r="AJ870" s="123" t="n"/>
      <c r="AK870" s="123" t="n"/>
      <c r="AL870" s="123" t="n"/>
      <c r="AM870" s="123" t="n"/>
      <c r="AN870" s="123" t="n"/>
      <c r="AO870" s="123" t="n"/>
      <c r="AP870" s="123" t="n"/>
      <c r="AQ870" s="123" t="n"/>
      <c r="AR870" s="123" t="n"/>
      <c r="AS870" s="123" t="n"/>
    </row>
    <row r="871" hidden="1" outlineLevel="1">
      <c r="A871" s="8" t="n"/>
      <c r="B871" s="14" t="n"/>
      <c r="C871" s="123" t="n"/>
      <c r="D871" s="123" t="n"/>
      <c r="E871" s="123" t="n"/>
      <c r="F871" s="123" t="n"/>
      <c r="G871" s="123" t="n"/>
      <c r="I871" s="55">
        <f>DADOS_INVOC!$ID$6</f>
        <v/>
      </c>
      <c r="J871" s="16" t="n"/>
      <c r="K871" s="16" t="n"/>
      <c r="L871" s="16" t="n"/>
      <c r="M871" s="16" t="n"/>
      <c r="N871" s="16" t="n"/>
      <c r="O871" s="16" t="n"/>
      <c r="P871" s="16" t="n"/>
      <c r="Q871" s="16" t="n"/>
      <c r="R871" s="16" t="n"/>
      <c r="S871" s="16" t="n"/>
      <c r="T871" s="16" t="n"/>
      <c r="U871" s="16" t="n"/>
      <c r="V871" s="16" t="n"/>
      <c r="W871" s="16" t="n"/>
      <c r="X871" s="16" t="n"/>
      <c r="Y871" s="17" t="n"/>
      <c r="Z871" s="123" t="n"/>
      <c r="AB871" s="55">
        <f>DADOS_INVOC!$ID$12</f>
        <v/>
      </c>
      <c r="AC871" s="16" t="n"/>
      <c r="AD871" s="16" t="n"/>
      <c r="AE871" s="16" t="n"/>
      <c r="AF871" s="16" t="n"/>
      <c r="AG871" s="16" t="n"/>
      <c r="AH871" s="16" t="n"/>
      <c r="AI871" s="16" t="n"/>
      <c r="AJ871" s="16" t="n"/>
      <c r="AK871" s="16" t="n"/>
      <c r="AL871" s="16" t="n"/>
      <c r="AM871" s="16" t="n"/>
      <c r="AN871" s="16" t="n"/>
      <c r="AO871" s="16" t="n"/>
      <c r="AP871" s="16" t="n"/>
      <c r="AQ871" s="16" t="n"/>
      <c r="AR871" s="17" t="n"/>
      <c r="AS871" s="123" t="n"/>
    </row>
    <row r="872" hidden="1" outlineLevel="1">
      <c r="A872" s="8" t="n"/>
      <c r="B872" s="14" t="n"/>
      <c r="C872" s="123" t="n"/>
      <c r="D872" s="123" t="n"/>
      <c r="E872" s="123" t="n"/>
      <c r="F872" s="123" t="n"/>
      <c r="G872" s="123" t="n"/>
      <c r="I872" s="55" t="inlineStr">
        <is>
          <t>NV 1 · CE 1</t>
        </is>
      </c>
      <c r="J872" s="133" t="n"/>
      <c r="K872" s="16" t="n"/>
      <c r="L872" s="17" t="n"/>
      <c r="M872" s="140">
        <f>DADOS_INVOC!$IM$6</f>
        <v/>
      </c>
      <c r="N872" s="16" t="n"/>
      <c r="O872" s="16" t="n"/>
      <c r="P872" s="16" t="n"/>
      <c r="Q872" s="16" t="n"/>
      <c r="R872" s="16" t="n"/>
      <c r="S872" s="16" t="n"/>
      <c r="T872" s="16" t="n"/>
      <c r="U872" s="16" t="n"/>
      <c r="V872" s="16" t="n"/>
      <c r="W872" s="16" t="n"/>
      <c r="X872" s="16" t="n"/>
      <c r="Y872" s="17" t="n"/>
      <c r="Z872" s="123" t="n"/>
      <c r="AB872" s="55" t="inlineStr">
        <is>
          <t>NV 1 · CE 1</t>
        </is>
      </c>
      <c r="AC872" s="133" t="n"/>
      <c r="AD872" s="16" t="n"/>
      <c r="AE872" s="17" t="n"/>
      <c r="AF872" s="140">
        <f>DADOS_INVOC!$IM$12</f>
        <v/>
      </c>
      <c r="AG872" s="16" t="n"/>
      <c r="AH872" s="16" t="n"/>
      <c r="AI872" s="16" t="n"/>
      <c r="AJ872" s="16" t="n"/>
      <c r="AK872" s="16" t="n"/>
      <c r="AL872" s="16" t="n"/>
      <c r="AM872" s="16" t="n"/>
      <c r="AN872" s="16" t="n"/>
      <c r="AO872" s="16" t="n"/>
      <c r="AP872" s="16" t="n"/>
      <c r="AQ872" s="16" t="n"/>
      <c r="AR872" s="17" t="n"/>
      <c r="AS872" s="123" t="n"/>
    </row>
    <row r="873" hidden="1" outlineLevel="1">
      <c r="A873" s="8" t="n"/>
      <c r="B873" s="14" t="n"/>
      <c r="C873" s="123" t="n"/>
      <c r="D873" s="123" t="n"/>
      <c r="E873" s="123" t="n"/>
      <c r="F873" s="123" t="n"/>
      <c r="G873" s="123" t="n"/>
      <c r="I873" s="55" t="inlineStr">
        <is>
          <t>NV 6 · CE 1</t>
        </is>
      </c>
      <c r="J873" s="133" t="n"/>
      <c r="K873" s="16" t="n"/>
      <c r="L873" s="17" t="n"/>
      <c r="M873" s="140">
        <f>DADOS_INVOC!$IN$6</f>
        <v/>
      </c>
      <c r="N873" s="16" t="n"/>
      <c r="O873" s="16" t="n"/>
      <c r="P873" s="16" t="n"/>
      <c r="Q873" s="16" t="n"/>
      <c r="R873" s="16" t="n"/>
      <c r="S873" s="16" t="n"/>
      <c r="T873" s="16" t="n"/>
      <c r="U873" s="16" t="n"/>
      <c r="V873" s="16" t="n"/>
      <c r="W873" s="16" t="n"/>
      <c r="X873" s="16" t="n"/>
      <c r="Y873" s="17" t="n"/>
      <c r="Z873" s="123" t="n"/>
      <c r="AB873" s="55" t="inlineStr">
        <is>
          <t>NV 6 · CE 1</t>
        </is>
      </c>
      <c r="AC873" s="133" t="n"/>
      <c r="AD873" s="16" t="n"/>
      <c r="AE873" s="17" t="n"/>
      <c r="AF873" s="140">
        <f>DADOS_INVOC!$IN$12</f>
        <v/>
      </c>
      <c r="AG873" s="16" t="n"/>
      <c r="AH873" s="16" t="n"/>
      <c r="AI873" s="16" t="n"/>
      <c r="AJ873" s="16" t="n"/>
      <c r="AK873" s="16" t="n"/>
      <c r="AL873" s="16" t="n"/>
      <c r="AM873" s="16" t="n"/>
      <c r="AN873" s="16" t="n"/>
      <c r="AO873" s="16" t="n"/>
      <c r="AP873" s="16" t="n"/>
      <c r="AQ873" s="16" t="n"/>
      <c r="AR873" s="17" t="n"/>
      <c r="AS873" s="123" t="n"/>
    </row>
    <row r="874" hidden="1" outlineLevel="1">
      <c r="A874" s="8" t="n"/>
      <c r="B874" s="14" t="n"/>
      <c r="C874" s="123" t="n"/>
      <c r="D874" s="123" t="n"/>
      <c r="E874" s="123" t="n"/>
      <c r="F874" s="123" t="n"/>
      <c r="G874" s="123" t="n"/>
      <c r="I874" s="55" t="inlineStr">
        <is>
          <t>NV 10 · CE 2</t>
        </is>
      </c>
      <c r="J874" s="133" t="n"/>
      <c r="K874" s="16" t="n"/>
      <c r="L874" s="17" t="n"/>
      <c r="M874" s="140">
        <f>DADOS_INVOC!$IO$6</f>
        <v/>
      </c>
      <c r="N874" s="16" t="n"/>
      <c r="O874" s="16" t="n"/>
      <c r="P874" s="16" t="n"/>
      <c r="Q874" s="16" t="n"/>
      <c r="R874" s="16" t="n"/>
      <c r="S874" s="16" t="n"/>
      <c r="T874" s="16" t="n"/>
      <c r="U874" s="16" t="n"/>
      <c r="V874" s="16" t="n"/>
      <c r="W874" s="16" t="n"/>
      <c r="X874" s="16" t="n"/>
      <c r="Y874" s="17" t="n"/>
      <c r="Z874" s="123" t="n"/>
      <c r="AB874" s="55" t="inlineStr">
        <is>
          <t>NV 10 · CE 2</t>
        </is>
      </c>
      <c r="AC874" s="133" t="n"/>
      <c r="AD874" s="16" t="n"/>
      <c r="AE874" s="17" t="n"/>
      <c r="AF874" s="140">
        <f>DADOS_INVOC!$IO$12</f>
        <v/>
      </c>
      <c r="AG874" s="16" t="n"/>
      <c r="AH874" s="16" t="n"/>
      <c r="AI874" s="16" t="n"/>
      <c r="AJ874" s="16" t="n"/>
      <c r="AK874" s="16" t="n"/>
      <c r="AL874" s="16" t="n"/>
      <c r="AM874" s="16" t="n"/>
      <c r="AN874" s="16" t="n"/>
      <c r="AO874" s="16" t="n"/>
      <c r="AP874" s="16" t="n"/>
      <c r="AQ874" s="16" t="n"/>
      <c r="AR874" s="17" t="n"/>
      <c r="AS874" s="123" t="n"/>
    </row>
    <row r="875" hidden="1" outlineLevel="1">
      <c r="A875" s="8" t="n"/>
      <c r="B875" s="14" t="n"/>
      <c r="C875" s="123" t="n"/>
      <c r="D875" s="123" t="n"/>
      <c r="E875" s="123" t="n"/>
      <c r="F875" s="123" t="n"/>
      <c r="G875" s="123" t="n"/>
      <c r="I875" s="55" t="inlineStr">
        <is>
          <t>NV 14 · CE 3</t>
        </is>
      </c>
      <c r="J875" s="133" t="n"/>
      <c r="K875" s="16" t="n"/>
      <c r="L875" s="17" t="n"/>
      <c r="M875" s="140">
        <f>DADOS_INVOC!$IP$6</f>
        <v/>
      </c>
      <c r="N875" s="16" t="n"/>
      <c r="O875" s="16" t="n"/>
      <c r="P875" s="16" t="n"/>
      <c r="Q875" s="16" t="n"/>
      <c r="R875" s="16" t="n"/>
      <c r="S875" s="16" t="n"/>
      <c r="T875" s="16" t="n"/>
      <c r="U875" s="16" t="n"/>
      <c r="V875" s="16" t="n"/>
      <c r="W875" s="16" t="n"/>
      <c r="X875" s="16" t="n"/>
      <c r="Y875" s="17" t="n"/>
      <c r="Z875" s="123" t="n"/>
      <c r="AB875" s="55" t="inlineStr">
        <is>
          <t>NV 14 · CE 3</t>
        </is>
      </c>
      <c r="AC875" s="133" t="n"/>
      <c r="AD875" s="16" t="n"/>
      <c r="AE875" s="17" t="n"/>
      <c r="AF875" s="140">
        <f>DADOS_INVOC!$IP$12</f>
        <v/>
      </c>
      <c r="AG875" s="16" t="n"/>
      <c r="AH875" s="16" t="n"/>
      <c r="AI875" s="16" t="n"/>
      <c r="AJ875" s="16" t="n"/>
      <c r="AK875" s="16" t="n"/>
      <c r="AL875" s="16" t="n"/>
      <c r="AM875" s="16" t="n"/>
      <c r="AN875" s="16" t="n"/>
      <c r="AO875" s="16" t="n"/>
      <c r="AP875" s="16" t="n"/>
      <c r="AQ875" s="16" t="n"/>
      <c r="AR875" s="17" t="n"/>
      <c r="AS875" s="123" t="n"/>
    </row>
    <row r="876" hidden="1" outlineLevel="1">
      <c r="A876" s="8" t="n"/>
      <c r="B876" s="14" t="n"/>
      <c r="C876" s="123" t="n"/>
      <c r="D876" s="123" t="n"/>
      <c r="E876" s="123" t="n"/>
      <c r="F876" s="123" t="n"/>
      <c r="G876" s="123" t="n"/>
      <c r="I876" s="55" t="inlineStr">
        <is>
          <t>NV 18 · CE 3</t>
        </is>
      </c>
      <c r="J876" s="133" t="n"/>
      <c r="K876" s="16" t="n"/>
      <c r="L876" s="17" t="n"/>
      <c r="M876" s="140">
        <f>DADOS_INVOC!$IQ$6</f>
        <v/>
      </c>
      <c r="N876" s="16" t="n"/>
      <c r="O876" s="16" t="n"/>
      <c r="P876" s="16" t="n"/>
      <c r="Q876" s="16" t="n"/>
      <c r="R876" s="16" t="n"/>
      <c r="S876" s="16" t="n"/>
      <c r="T876" s="16" t="n"/>
      <c r="U876" s="16" t="n"/>
      <c r="V876" s="16" t="n"/>
      <c r="W876" s="16" t="n"/>
      <c r="X876" s="16" t="n"/>
      <c r="Y876" s="17" t="n"/>
      <c r="Z876" s="123" t="n"/>
      <c r="AB876" s="55" t="inlineStr">
        <is>
          <t>NV 18 · CE 3</t>
        </is>
      </c>
      <c r="AC876" s="133" t="n"/>
      <c r="AD876" s="16" t="n"/>
      <c r="AE876" s="17" t="n"/>
      <c r="AF876" s="140">
        <f>DADOS_INVOC!$IQ$12</f>
        <v/>
      </c>
      <c r="AG876" s="16" t="n"/>
      <c r="AH876" s="16" t="n"/>
      <c r="AI876" s="16" t="n"/>
      <c r="AJ876" s="16" t="n"/>
      <c r="AK876" s="16" t="n"/>
      <c r="AL876" s="16" t="n"/>
      <c r="AM876" s="16" t="n"/>
      <c r="AN876" s="16" t="n"/>
      <c r="AO876" s="16" t="n"/>
      <c r="AP876" s="16" t="n"/>
      <c r="AQ876" s="16" t="n"/>
      <c r="AR876" s="17" t="n"/>
      <c r="AS876" s="123" t="n"/>
    </row>
    <row r="877" hidden="1" outlineLevel="1">
      <c r="A877" s="8" t="n"/>
      <c r="B877" s="14" t="n"/>
      <c r="C877" s="123" t="n"/>
      <c r="D877" s="123" t="n"/>
      <c r="E877" s="123" t="n"/>
      <c r="F877" s="123" t="n"/>
      <c r="G877" s="123" t="n"/>
      <c r="I877" s="55" t="inlineStr">
        <is>
          <t>NV 22 · CE 3</t>
        </is>
      </c>
      <c r="J877" s="133" t="n"/>
      <c r="K877" s="16" t="n"/>
      <c r="L877" s="17" t="n"/>
      <c r="M877" s="140">
        <f>DADOS_INVOC!$IR$6</f>
        <v/>
      </c>
      <c r="N877" s="16" t="n"/>
      <c r="O877" s="16" t="n"/>
      <c r="P877" s="16" t="n"/>
      <c r="Q877" s="16" t="n"/>
      <c r="R877" s="16" t="n"/>
      <c r="S877" s="16" t="n"/>
      <c r="T877" s="16" t="n"/>
      <c r="U877" s="16" t="n"/>
      <c r="V877" s="16" t="n"/>
      <c r="W877" s="16" t="n"/>
      <c r="X877" s="16" t="n"/>
      <c r="Y877" s="17" t="n"/>
      <c r="Z877" s="123" t="n"/>
      <c r="AB877" s="55" t="inlineStr">
        <is>
          <t>NV 22 · CE 3</t>
        </is>
      </c>
      <c r="AC877" s="133" t="n"/>
      <c r="AD877" s="16" t="n"/>
      <c r="AE877" s="17" t="n"/>
      <c r="AF877" s="140">
        <f>DADOS_INVOC!$IR$12</f>
        <v/>
      </c>
      <c r="AG877" s="16" t="n"/>
      <c r="AH877" s="16" t="n"/>
      <c r="AI877" s="16" t="n"/>
      <c r="AJ877" s="16" t="n"/>
      <c r="AK877" s="16" t="n"/>
      <c r="AL877" s="16" t="n"/>
      <c r="AM877" s="16" t="n"/>
      <c r="AN877" s="16" t="n"/>
      <c r="AO877" s="16" t="n"/>
      <c r="AP877" s="16" t="n"/>
      <c r="AQ877" s="16" t="n"/>
      <c r="AR877" s="17" t="n"/>
      <c r="AS877" s="123" t="n"/>
    </row>
    <row r="878" hidden="1" outlineLevel="1">
      <c r="A878" s="8" t="n"/>
      <c r="B878" s="14" t="n"/>
      <c r="C878" s="123" t="n"/>
      <c r="D878" s="123" t="n"/>
      <c r="E878" s="123" t="n"/>
      <c r="F878" s="123" t="n"/>
      <c r="G878" s="123" t="n"/>
      <c r="I878" s="55" t="inlineStr">
        <is>
          <t>NV 26 · CE 3</t>
        </is>
      </c>
      <c r="J878" s="133" t="n"/>
      <c r="K878" s="16" t="n"/>
      <c r="L878" s="17" t="n"/>
      <c r="M878" s="140">
        <f>DADOS_INVOC!$IS$6</f>
        <v/>
      </c>
      <c r="N878" s="16" t="n"/>
      <c r="O878" s="16" t="n"/>
      <c r="P878" s="16" t="n"/>
      <c r="Q878" s="16" t="n"/>
      <c r="R878" s="16" t="n"/>
      <c r="S878" s="16" t="n"/>
      <c r="T878" s="16" t="n"/>
      <c r="U878" s="16" t="n"/>
      <c r="V878" s="16" t="n"/>
      <c r="W878" s="16" t="n"/>
      <c r="X878" s="16" t="n"/>
      <c r="Y878" s="17" t="n"/>
      <c r="Z878" s="123" t="n"/>
      <c r="AB878" s="55" t="inlineStr">
        <is>
          <t>NV 26 · CE 3</t>
        </is>
      </c>
      <c r="AC878" s="133" t="n"/>
      <c r="AD878" s="16" t="n"/>
      <c r="AE878" s="17" t="n"/>
      <c r="AF878" s="140">
        <f>DADOS_INVOC!$IS$12</f>
        <v/>
      </c>
      <c r="AG878" s="16" t="n"/>
      <c r="AH878" s="16" t="n"/>
      <c r="AI878" s="16" t="n"/>
      <c r="AJ878" s="16" t="n"/>
      <c r="AK878" s="16" t="n"/>
      <c r="AL878" s="16" t="n"/>
      <c r="AM878" s="16" t="n"/>
      <c r="AN878" s="16" t="n"/>
      <c r="AO878" s="16" t="n"/>
      <c r="AP878" s="16" t="n"/>
      <c r="AQ878" s="16" t="n"/>
      <c r="AR878" s="17" t="n"/>
      <c r="AS878" s="123" t="n"/>
    </row>
    <row r="879" hidden="1" outlineLevel="1">
      <c r="A879" s="8" t="n"/>
      <c r="B879" s="14" t="n"/>
      <c r="C879" s="123" t="n"/>
      <c r="D879" s="123" t="n"/>
      <c r="E879" s="123" t="n"/>
      <c r="F879" s="123" t="n"/>
      <c r="G879" s="123" t="n"/>
      <c r="I879" s="55" t="inlineStr">
        <is>
          <t>NV 30 · CE 3</t>
        </is>
      </c>
      <c r="J879" s="133" t="n"/>
      <c r="K879" s="16" t="n"/>
      <c r="L879" s="17" t="n"/>
      <c r="M879" s="140">
        <f>DADOS_INVOC!$IT$6</f>
        <v/>
      </c>
      <c r="N879" s="16" t="n"/>
      <c r="O879" s="16" t="n"/>
      <c r="P879" s="16" t="n"/>
      <c r="Q879" s="16" t="n"/>
      <c r="R879" s="16" t="n"/>
      <c r="S879" s="16" t="n"/>
      <c r="T879" s="16" t="n"/>
      <c r="U879" s="16" t="n"/>
      <c r="V879" s="16" t="n"/>
      <c r="W879" s="16" t="n"/>
      <c r="X879" s="16" t="n"/>
      <c r="Y879" s="17" t="n"/>
      <c r="Z879" s="123" t="n"/>
      <c r="AB879" s="55" t="inlineStr">
        <is>
          <t>NV 30 · CE 3</t>
        </is>
      </c>
      <c r="AC879" s="133" t="n"/>
      <c r="AD879" s="16" t="n"/>
      <c r="AE879" s="17" t="n"/>
      <c r="AF879" s="140">
        <f>DADOS_INVOC!$IT$12</f>
        <v/>
      </c>
      <c r="AG879" s="16" t="n"/>
      <c r="AH879" s="16" t="n"/>
      <c r="AI879" s="16" t="n"/>
      <c r="AJ879" s="16" t="n"/>
      <c r="AK879" s="16" t="n"/>
      <c r="AL879" s="16" t="n"/>
      <c r="AM879" s="16" t="n"/>
      <c r="AN879" s="16" t="n"/>
      <c r="AO879" s="16" t="n"/>
      <c r="AP879" s="16" t="n"/>
      <c r="AQ879" s="16" t="n"/>
      <c r="AR879" s="17" t="n"/>
      <c r="AS879" s="123" t="n"/>
    </row>
    <row r="880" hidden="1" outlineLevel="1">
      <c r="A880" s="8" t="n"/>
      <c r="B880" s="14" t="n"/>
      <c r="C880" s="123" t="n"/>
      <c r="D880" s="123" t="n"/>
      <c r="E880" s="123" t="n"/>
      <c r="F880" s="123" t="n"/>
      <c r="G880" s="123" t="n"/>
      <c r="I880" s="123" t="n"/>
      <c r="J880" s="123" t="n"/>
      <c r="K880" s="123" t="n"/>
      <c r="L880" s="123" t="n"/>
      <c r="M880" s="123" t="n"/>
      <c r="N880" s="123" t="n"/>
      <c r="O880" s="123" t="n"/>
      <c r="P880" s="123" t="n"/>
      <c r="Q880" s="123" t="n"/>
      <c r="R880" s="123" t="n"/>
      <c r="S880" s="123" t="n"/>
      <c r="T880" s="123" t="n"/>
      <c r="U880" s="123" t="n"/>
      <c r="V880" s="123" t="n"/>
      <c r="W880" s="123" t="n"/>
      <c r="X880" s="123" t="n"/>
      <c r="Y880" s="123" t="n"/>
      <c r="Z880" s="123" t="n"/>
      <c r="AB880" s="123" t="n"/>
      <c r="AC880" s="123" t="n"/>
      <c r="AD880" s="123" t="n"/>
      <c r="AE880" s="123" t="n"/>
      <c r="AF880" s="123" t="n"/>
      <c r="AG880" s="123" t="n"/>
      <c r="AH880" s="123" t="n"/>
      <c r="AI880" s="123" t="n"/>
      <c r="AJ880" s="123" t="n"/>
      <c r="AK880" s="123" t="n"/>
      <c r="AL880" s="123" t="n"/>
      <c r="AM880" s="123" t="n"/>
      <c r="AN880" s="123" t="n"/>
      <c r="AO880" s="123" t="n"/>
      <c r="AP880" s="123" t="n"/>
      <c r="AQ880" s="123" t="n"/>
      <c r="AR880" s="123" t="n"/>
      <c r="AS880" s="123" t="n"/>
    </row>
    <row r="881" hidden="1" outlineLevel="1">
      <c r="A881" s="8" t="n"/>
      <c r="B881" s="14" t="n"/>
      <c r="C881" s="123" t="n"/>
      <c r="D881" s="123" t="n"/>
      <c r="E881" s="123" t="n"/>
      <c r="F881" s="123" t="n"/>
      <c r="G881" s="123" t="n"/>
      <c r="I881" s="136"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23" t="n"/>
      <c r="AB881" s="136"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23" t="n"/>
    </row>
    <row r="882" hidden="1" outlineLevel="2">
      <c r="A882" s="8" t="n"/>
      <c r="B882" s="14" t="n"/>
      <c r="C882" s="123" t="n"/>
      <c r="D882" s="123" t="n"/>
      <c r="E882" s="123" t="n"/>
      <c r="F882" s="123" t="n"/>
      <c r="G882" s="123" t="n"/>
      <c r="I882" s="123" t="n"/>
      <c r="J882" s="123" t="n"/>
      <c r="K882" s="123" t="n"/>
      <c r="L882" s="123" t="n"/>
      <c r="M882" s="123" t="n"/>
      <c r="N882" s="123" t="n"/>
      <c r="O882" s="123" t="n"/>
      <c r="P882" s="123" t="n"/>
      <c r="Q882" s="123" t="n"/>
      <c r="R882" s="123" t="n"/>
      <c r="S882" s="123" t="n"/>
      <c r="T882" s="123" t="n"/>
      <c r="U882" s="123" t="n"/>
      <c r="V882" s="123" t="n"/>
      <c r="W882" s="123" t="n"/>
      <c r="X882" s="123" t="n"/>
      <c r="Y882" s="123" t="n"/>
      <c r="Z882" s="123" t="n"/>
      <c r="AB882" s="123" t="n"/>
      <c r="AC882" s="123" t="n"/>
      <c r="AD882" s="123" t="n"/>
      <c r="AE882" s="123" t="n"/>
      <c r="AF882" s="123" t="n"/>
      <c r="AG882" s="123" t="n"/>
      <c r="AH882" s="123" t="n"/>
      <c r="AI882" s="123" t="n"/>
      <c r="AJ882" s="123" t="n"/>
      <c r="AK882" s="123" t="n"/>
      <c r="AL882" s="123" t="n"/>
      <c r="AM882" s="123" t="n"/>
      <c r="AN882" s="123" t="n"/>
      <c r="AO882" s="123" t="n"/>
      <c r="AP882" s="123" t="n"/>
      <c r="AQ882" s="123" t="n"/>
      <c r="AR882" s="123" t="n"/>
      <c r="AS882" s="123" t="n"/>
    </row>
    <row r="883" hidden="1" outlineLevel="2">
      <c r="A883" s="8" t="n"/>
      <c r="B883" s="14" t="n"/>
      <c r="C883" s="123" t="n"/>
      <c r="D883" s="123" t="n"/>
      <c r="E883" s="123" t="n"/>
      <c r="F883" s="123" t="n"/>
      <c r="G883" s="123" t="n"/>
      <c r="I883" s="55">
        <f>DADOS_INVOC!$PX$57</f>
        <v/>
      </c>
      <c r="J883" s="16" t="n"/>
      <c r="K883" s="16" t="n"/>
      <c r="L883" s="16" t="n"/>
      <c r="M883" s="17" t="n"/>
      <c r="N883" s="123" t="n"/>
      <c r="O883" s="55">
        <f>DADOS_INVOC!$PX$58</f>
        <v/>
      </c>
      <c r="P883" s="16" t="n"/>
      <c r="Q883" s="16" t="n"/>
      <c r="R883" s="16" t="n"/>
      <c r="S883" s="17" t="n"/>
      <c r="T883" s="123" t="n"/>
      <c r="U883" s="55">
        <f>DADOS_INVOC!$PX$59</f>
        <v/>
      </c>
      <c r="V883" s="16" t="n"/>
      <c r="W883" s="16" t="n"/>
      <c r="X883" s="16" t="n"/>
      <c r="Y883" s="17" t="n"/>
      <c r="Z883" s="123" t="n"/>
      <c r="AB883" s="55">
        <f>DADOS_INVOC!$PX$135</f>
        <v/>
      </c>
      <c r="AC883" s="16" t="n"/>
      <c r="AD883" s="16" t="n"/>
      <c r="AE883" s="16" t="n"/>
      <c r="AF883" s="17" t="n"/>
      <c r="AG883" s="123" t="n"/>
      <c r="AH883" s="55">
        <f>DADOS_INVOC!$PX$136</f>
        <v/>
      </c>
      <c r="AI883" s="16" t="n"/>
      <c r="AJ883" s="16" t="n"/>
      <c r="AK883" s="16" t="n"/>
      <c r="AL883" s="17" t="n"/>
      <c r="AM883" s="123" t="n"/>
      <c r="AN883" s="55">
        <f>DADOS_INVOC!$PX$137</f>
        <v/>
      </c>
      <c r="AO883" s="16" t="n"/>
      <c r="AP883" s="16" t="n"/>
      <c r="AQ883" s="16" t="n"/>
      <c r="AR883" s="17" t="n"/>
      <c r="AS883" s="123" t="n"/>
    </row>
    <row r="884" hidden="1" outlineLevel="2">
      <c r="A884" s="8" t="n"/>
      <c r="B884" s="14" t="n"/>
      <c r="C884" s="123" t="n"/>
      <c r="D884" s="123" t="n"/>
      <c r="E884" s="123" t="n"/>
      <c r="F884" s="123" t="n"/>
      <c r="G884" s="123" t="n"/>
      <c r="I884" s="130" t="n">
        <v>0</v>
      </c>
      <c r="J884" s="118" t="n"/>
      <c r="K884" s="16" t="n"/>
      <c r="L884" s="17" t="n"/>
      <c r="M884" s="131">
        <f>DADOS_INVOC!$PV$57</f>
        <v/>
      </c>
      <c r="N884" s="123" t="n"/>
      <c r="O884" s="130" t="n">
        <v>1</v>
      </c>
      <c r="P884" s="118" t="n"/>
      <c r="Q884" s="16" t="n"/>
      <c r="R884" s="17" t="n"/>
      <c r="S884" s="131">
        <f>DADOS_INVOC!$PV$58</f>
        <v/>
      </c>
      <c r="T884" s="123" t="n"/>
      <c r="U884" s="130" t="n">
        <v>1</v>
      </c>
      <c r="V884" s="118" t="n"/>
      <c r="W884" s="16" t="n"/>
      <c r="X884" s="17" t="n"/>
      <c r="Y884" s="131">
        <f>DADOS_INVOC!$PV$59</f>
        <v/>
      </c>
      <c r="Z884" s="123" t="n"/>
      <c r="AB884" s="130" t="n">
        <v>0</v>
      </c>
      <c r="AC884" s="118" t="n"/>
      <c r="AD884" s="16" t="n"/>
      <c r="AE884" s="17" t="n"/>
      <c r="AF884" s="131">
        <f>DADOS_INVOC!$PV$135</f>
        <v/>
      </c>
      <c r="AG884" s="123" t="n"/>
      <c r="AH884" s="130" t="n">
        <v>1</v>
      </c>
      <c r="AI884" s="118" t="n"/>
      <c r="AJ884" s="16" t="n"/>
      <c r="AK884" s="17" t="n"/>
      <c r="AL884" s="131">
        <f>DADOS_INVOC!$PV$136</f>
        <v/>
      </c>
      <c r="AM884" s="123" t="n"/>
      <c r="AN884" s="130" t="n">
        <v>1</v>
      </c>
      <c r="AO884" s="118" t="n"/>
      <c r="AP884" s="16" t="n"/>
      <c r="AQ884" s="17" t="n"/>
      <c r="AR884" s="131">
        <f>DADOS_INVOC!$PV$137</f>
        <v/>
      </c>
      <c r="AS884" s="123" t="n"/>
    </row>
    <row r="885" hidden="1" outlineLevel="3">
      <c r="A885" s="8" t="n"/>
      <c r="B885" s="14" t="n"/>
      <c r="C885" s="123" t="n"/>
      <c r="D885" s="123" t="n"/>
      <c r="E885" s="123" t="n"/>
      <c r="F885" s="123" t="n"/>
      <c r="G885" s="123" t="n"/>
      <c r="I885" s="55" t="inlineStr">
        <is>
          <t>COMO É</t>
        </is>
      </c>
      <c r="J885" s="16" t="n"/>
      <c r="K885" s="16" t="n"/>
      <c r="L885" s="16" t="n"/>
      <c r="M885" s="17" t="n"/>
      <c r="N885" s="123" t="n"/>
      <c r="O885" s="55" t="inlineStr">
        <is>
          <t>COMO É</t>
        </is>
      </c>
      <c r="P885" s="16" t="n"/>
      <c r="Q885" s="16" t="n"/>
      <c r="R885" s="16" t="n"/>
      <c r="S885" s="17" t="n"/>
      <c r="T885" s="123" t="n"/>
      <c r="U885" s="55" t="inlineStr">
        <is>
          <t>COMO É</t>
        </is>
      </c>
      <c r="V885" s="16" t="n"/>
      <c r="W885" s="16" t="n"/>
      <c r="X885" s="16" t="n"/>
      <c r="Y885" s="17" t="n"/>
      <c r="Z885" s="123" t="n"/>
      <c r="AB885" s="55" t="inlineStr">
        <is>
          <t>COMO É</t>
        </is>
      </c>
      <c r="AC885" s="16" t="n"/>
      <c r="AD885" s="16" t="n"/>
      <c r="AE885" s="16" t="n"/>
      <c r="AF885" s="17" t="n"/>
      <c r="AG885" s="123" t="n"/>
      <c r="AH885" s="55" t="inlineStr">
        <is>
          <t>COMO É</t>
        </is>
      </c>
      <c r="AI885" s="16" t="n"/>
      <c r="AJ885" s="16" t="n"/>
      <c r="AK885" s="16" t="n"/>
      <c r="AL885" s="17" t="n"/>
      <c r="AM885" s="123" t="n"/>
      <c r="AN885" s="55" t="inlineStr">
        <is>
          <t>COMO É</t>
        </is>
      </c>
      <c r="AO885" s="16" t="n"/>
      <c r="AP885" s="16" t="n"/>
      <c r="AQ885" s="16" t="n"/>
      <c r="AR885" s="17" t="n"/>
      <c r="AS885" s="123" t="n"/>
    </row>
    <row r="886" hidden="1" outlineLevel="3">
      <c r="A886" s="8" t="n"/>
      <c r="B886" s="14" t="n"/>
      <c r="C886" s="123" t="n"/>
      <c r="D886" s="123" t="n"/>
      <c r="E886" s="123" t="n"/>
      <c r="F886" s="123" t="n"/>
      <c r="G886" s="123" t="n"/>
      <c r="I886" s="119" t="n"/>
      <c r="J886" s="19" t="n"/>
      <c r="K886" s="19" t="n"/>
      <c r="L886" s="19" t="n"/>
      <c r="M886" s="20" t="n"/>
      <c r="N886" s="123" t="n"/>
      <c r="O886" s="119" t="n"/>
      <c r="P886" s="19" t="n"/>
      <c r="Q886" s="19" t="n"/>
      <c r="R886" s="19" t="n"/>
      <c r="S886" s="20" t="n"/>
      <c r="T886" s="123" t="n"/>
      <c r="U886" s="119" t="n"/>
      <c r="V886" s="19" t="n"/>
      <c r="W886" s="19" t="n"/>
      <c r="X886" s="19" t="n"/>
      <c r="Y886" s="20" t="n"/>
      <c r="Z886" s="123" t="n"/>
      <c r="AB886" s="119" t="n"/>
      <c r="AC886" s="19" t="n"/>
      <c r="AD886" s="19" t="n"/>
      <c r="AE886" s="19" t="n"/>
      <c r="AF886" s="20" t="n"/>
      <c r="AG886" s="123" t="n"/>
      <c r="AH886" s="119" t="n"/>
      <c r="AI886" s="19" t="n"/>
      <c r="AJ886" s="19" t="n"/>
      <c r="AK886" s="19" t="n"/>
      <c r="AL886" s="20" t="n"/>
      <c r="AM886" s="123" t="n"/>
      <c r="AN886" s="119" t="n"/>
      <c r="AO886" s="19" t="n"/>
      <c r="AP886" s="19" t="n"/>
      <c r="AQ886" s="19" t="n"/>
      <c r="AR886" s="20" t="n"/>
      <c r="AS886" s="123" t="n"/>
    </row>
    <row r="887" hidden="1" outlineLevel="3">
      <c r="A887" s="8" t="n"/>
      <c r="B887" s="14" t="n"/>
      <c r="C887" s="123" t="n"/>
      <c r="D887" s="123" t="n"/>
      <c r="E887" s="123" t="n"/>
      <c r="F887" s="123" t="n"/>
      <c r="G887" s="123" t="n"/>
      <c r="I887" s="21" t="n"/>
      <c r="M887" s="22" t="n"/>
      <c r="N887" s="123" t="n"/>
      <c r="O887" s="21" t="n"/>
      <c r="S887" s="22" t="n"/>
      <c r="T887" s="123" t="n"/>
      <c r="U887" s="21" t="n"/>
      <c r="Y887" s="22" t="n"/>
      <c r="Z887" s="123" t="n"/>
      <c r="AB887" s="21" t="n"/>
      <c r="AF887" s="22" t="n"/>
      <c r="AG887" s="123" t="n"/>
      <c r="AH887" s="21" t="n"/>
      <c r="AL887" s="22" t="n"/>
      <c r="AM887" s="123" t="n"/>
      <c r="AN887" s="21" t="n"/>
      <c r="AR887" s="22" t="n"/>
      <c r="AS887" s="123" t="n"/>
    </row>
    <row r="888" hidden="1" outlineLevel="3">
      <c r="A888" s="8" t="n"/>
      <c r="B888" s="14" t="n"/>
      <c r="C888" s="123" t="n"/>
      <c r="D888" s="123" t="n"/>
      <c r="E888" s="123" t="n"/>
      <c r="F888" s="123" t="n"/>
      <c r="G888" s="123" t="n"/>
      <c r="I888" s="23" t="n"/>
      <c r="J888" s="24" t="n"/>
      <c r="K888" s="24" t="n"/>
      <c r="L888" s="24" t="n"/>
      <c r="M888" s="25" t="n"/>
      <c r="N888" s="123" t="n"/>
      <c r="O888" s="23" t="n"/>
      <c r="P888" s="24" t="n"/>
      <c r="Q888" s="24" t="n"/>
      <c r="R888" s="24" t="n"/>
      <c r="S888" s="25" t="n"/>
      <c r="T888" s="123" t="n"/>
      <c r="U888" s="23" t="n"/>
      <c r="V888" s="24" t="n"/>
      <c r="W888" s="24" t="n"/>
      <c r="X888" s="24" t="n"/>
      <c r="Y888" s="25" t="n"/>
      <c r="Z888" s="123" t="n"/>
      <c r="AB888" s="23" t="n"/>
      <c r="AC888" s="24" t="n"/>
      <c r="AD888" s="24" t="n"/>
      <c r="AE888" s="24" t="n"/>
      <c r="AF888" s="25" t="n"/>
      <c r="AG888" s="123" t="n"/>
      <c r="AH888" s="23" t="n"/>
      <c r="AI888" s="24" t="n"/>
      <c r="AJ888" s="24" t="n"/>
      <c r="AK888" s="24" t="n"/>
      <c r="AL888" s="25" t="n"/>
      <c r="AM888" s="123" t="n"/>
      <c r="AN888" s="23" t="n"/>
      <c r="AO888" s="24" t="n"/>
      <c r="AP888" s="24" t="n"/>
      <c r="AQ888" s="24" t="n"/>
      <c r="AR888" s="25" t="n"/>
      <c r="AS888" s="123" t="n"/>
    </row>
    <row r="889" hidden="1" outlineLevel="2">
      <c r="A889" s="8" t="n"/>
      <c r="B889" s="14" t="n"/>
      <c r="C889" s="123" t="n"/>
      <c r="D889" s="123" t="n"/>
      <c r="E889" s="123" t="n"/>
      <c r="F889" s="123" t="n"/>
      <c r="G889" s="123" t="n"/>
      <c r="I889" s="127" t="inlineStr">
        <is>
          <t>Projétil</t>
        </is>
      </c>
      <c r="J889" s="17" t="n"/>
      <c r="K889" s="68">
        <f>DADOS_INVOC!$QC$57</f>
        <v/>
      </c>
      <c r="L889" s="17" t="n"/>
      <c r="M889" s="68">
        <f>DADOS_INVOC!$PY$57</f>
        <v/>
      </c>
      <c r="N889" s="123" t="n"/>
      <c r="O889" s="127" t="inlineStr">
        <is>
          <t>Projétil</t>
        </is>
      </c>
      <c r="P889" s="17" t="n"/>
      <c r="Q889" s="68">
        <f>DADOS_INVOC!$QC$58</f>
        <v/>
      </c>
      <c r="R889" s="17" t="n"/>
      <c r="S889" s="68">
        <f>DADOS_INVOC!$PY$58</f>
        <v/>
      </c>
      <c r="T889" s="123" t="n"/>
      <c r="U889" s="127" t="inlineStr">
        <is>
          <t>Projétil</t>
        </is>
      </c>
      <c r="V889" s="17" t="n"/>
      <c r="W889" s="68">
        <f>DADOS_INVOC!$QC$59</f>
        <v/>
      </c>
      <c r="X889" s="17" t="n"/>
      <c r="Y889" s="68">
        <f>DADOS_INVOC!$PY$59</f>
        <v/>
      </c>
      <c r="Z889" s="123" t="n"/>
      <c r="AB889" s="127" t="inlineStr">
        <is>
          <t>Projétil</t>
        </is>
      </c>
      <c r="AC889" s="17" t="n"/>
      <c r="AD889" s="68">
        <f>DADOS_INVOC!$QC$135</f>
        <v/>
      </c>
      <c r="AE889" s="17" t="n"/>
      <c r="AF889" s="68">
        <f>DADOS_INVOC!$PY$135</f>
        <v/>
      </c>
      <c r="AG889" s="123" t="n"/>
      <c r="AH889" s="127" t="inlineStr">
        <is>
          <t>Projétil</t>
        </is>
      </c>
      <c r="AI889" s="17" t="n"/>
      <c r="AJ889" s="68">
        <f>DADOS_INVOC!$QC$136</f>
        <v/>
      </c>
      <c r="AK889" s="17" t="n"/>
      <c r="AL889" s="68">
        <f>DADOS_INVOC!$PY$136</f>
        <v/>
      </c>
      <c r="AM889" s="123" t="n"/>
      <c r="AN889" s="127" t="inlineStr">
        <is>
          <t>Projétil</t>
        </is>
      </c>
      <c r="AO889" s="17" t="n"/>
      <c r="AP889" s="68">
        <f>DADOS_INVOC!$QC$137</f>
        <v/>
      </c>
      <c r="AQ889" s="17" t="n"/>
      <c r="AR889" s="68">
        <f>DADOS_INVOC!$PY$137</f>
        <v/>
      </c>
      <c r="AS889" s="123" t="n"/>
    </row>
    <row r="890" hidden="1" outlineLevel="2">
      <c r="A890" s="8" t="n"/>
      <c r="B890" s="14" t="n"/>
      <c r="C890" s="123" t="n"/>
      <c r="D890" s="123" t="n"/>
      <c r="E890" s="123" t="n"/>
      <c r="F890" s="123" t="n"/>
      <c r="G890" s="123" t="n"/>
      <c r="I890" s="127" t="n"/>
      <c r="J890" s="17" t="n"/>
      <c r="K890" s="127" t="n"/>
      <c r="L890" s="16" t="n"/>
      <c r="M890" s="17" t="n"/>
      <c r="N890" s="123" t="n"/>
      <c r="O890" s="127" t="n"/>
      <c r="P890" s="17" t="n"/>
      <c r="Q890" s="127" t="n"/>
      <c r="R890" s="16" t="n"/>
      <c r="S890" s="17" t="n"/>
      <c r="T890" s="123" t="n"/>
      <c r="U890" s="127" t="n"/>
      <c r="V890" s="17" t="n"/>
      <c r="W890" s="127" t="n"/>
      <c r="X890" s="16" t="n"/>
      <c r="Y890" s="17" t="n"/>
      <c r="Z890" s="123" t="n"/>
      <c r="AB890" s="127" t="n"/>
      <c r="AC890" s="17" t="n"/>
      <c r="AD890" s="127" t="n"/>
      <c r="AE890" s="16" t="n"/>
      <c r="AF890" s="17" t="n"/>
      <c r="AG890" s="123" t="n"/>
      <c r="AH890" s="127" t="n"/>
      <c r="AI890" s="17" t="n"/>
      <c r="AJ890" s="127" t="n"/>
      <c r="AK890" s="16" t="n"/>
      <c r="AL890" s="17" t="n"/>
      <c r="AM890" s="123" t="n"/>
      <c r="AN890" s="127" t="n"/>
      <c r="AO890" s="17" t="n"/>
      <c r="AP890" s="127" t="n"/>
      <c r="AQ890" s="16" t="n"/>
      <c r="AR890" s="17" t="n"/>
      <c r="AS890" s="123" t="n"/>
    </row>
    <row r="891" hidden="1" outlineLevel="2">
      <c r="A891" s="8" t="n"/>
      <c r="B891" s="14" t="n"/>
      <c r="C891" s="123" t="n"/>
      <c r="D891" s="123" t="n"/>
      <c r="E891" s="123" t="n"/>
      <c r="F891" s="123" t="n"/>
      <c r="G891" s="123" t="n"/>
      <c r="I891" s="127">
        <f>DADOS_INVOC!$PZ$57</f>
        <v/>
      </c>
      <c r="J891" s="17" t="n"/>
      <c r="K891" s="127">
        <f>DADOS_INVOC!$QB$57</f>
        <v/>
      </c>
      <c r="L891" s="16" t="n"/>
      <c r="M891" s="17" t="n"/>
      <c r="N891" s="123" t="n"/>
      <c r="O891" s="127">
        <f>DADOS_INVOC!$PZ$58</f>
        <v/>
      </c>
      <c r="P891" s="17" t="n"/>
      <c r="Q891" s="127">
        <f>DADOS_INVOC!$QB$58</f>
        <v/>
      </c>
      <c r="R891" s="16" t="n"/>
      <c r="S891" s="17" t="n"/>
      <c r="T891" s="123" t="n"/>
      <c r="U891" s="127">
        <f>DADOS_INVOC!$PZ$59</f>
        <v/>
      </c>
      <c r="V891" s="17" t="n"/>
      <c r="W891" s="127">
        <f>DADOS_INVOC!$QB$59</f>
        <v/>
      </c>
      <c r="X891" s="16" t="n"/>
      <c r="Y891" s="17" t="n"/>
      <c r="Z891" s="123" t="n"/>
      <c r="AB891" s="127">
        <f>DADOS_INVOC!$PZ$135</f>
        <v/>
      </c>
      <c r="AC891" s="17" t="n"/>
      <c r="AD891" s="127">
        <f>DADOS_INVOC!$QB$135</f>
        <v/>
      </c>
      <c r="AE891" s="16" t="n"/>
      <c r="AF891" s="17" t="n"/>
      <c r="AG891" s="123" t="n"/>
      <c r="AH891" s="127">
        <f>DADOS_INVOC!$PZ$136</f>
        <v/>
      </c>
      <c r="AI891" s="17" t="n"/>
      <c r="AJ891" s="127">
        <f>DADOS_INVOC!$QB$136</f>
        <v/>
      </c>
      <c r="AK891" s="16" t="n"/>
      <c r="AL891" s="17" t="n"/>
      <c r="AM891" s="123" t="n"/>
      <c r="AN891" s="127">
        <f>DADOS_INVOC!$PZ$137</f>
        <v/>
      </c>
      <c r="AO891" s="17" t="n"/>
      <c r="AP891" s="127">
        <f>DADOS_INVOC!$QB$137</f>
        <v/>
      </c>
      <c r="AQ891" s="16" t="n"/>
      <c r="AR891" s="17" t="n"/>
      <c r="AS891" s="123" t="n"/>
    </row>
    <row r="892" hidden="1" outlineLevel="2">
      <c r="A892" s="8" t="n"/>
      <c r="B892" s="14" t="n"/>
      <c r="C892" s="123" t="n"/>
      <c r="D892" s="123" t="n"/>
      <c r="E892" s="123" t="n"/>
      <c r="F892" s="123" t="n"/>
      <c r="G892" s="123" t="n"/>
      <c r="I892" s="132">
        <f>DADOS_INVOC!$QH$57</f>
        <v/>
      </c>
      <c r="J892" s="16" t="n"/>
      <c r="K892" s="16" t="n"/>
      <c r="L892" s="16" t="n"/>
      <c r="M892" s="17" t="n"/>
      <c r="N892" s="123" t="n"/>
      <c r="O892" s="132">
        <f>DADOS_INVOC!$QH$58</f>
        <v/>
      </c>
      <c r="P892" s="16" t="n"/>
      <c r="Q892" s="16" t="n"/>
      <c r="R892" s="16" t="n"/>
      <c r="S892" s="17" t="n"/>
      <c r="T892" s="123" t="n"/>
      <c r="U892" s="132">
        <f>DADOS_INVOC!$QH$59</f>
        <v/>
      </c>
      <c r="V892" s="16" t="n"/>
      <c r="W892" s="16" t="n"/>
      <c r="X892" s="16" t="n"/>
      <c r="Y892" s="17" t="n"/>
      <c r="Z892" s="123" t="n"/>
      <c r="AB892" s="132">
        <f>DADOS_INVOC!$QH$135</f>
        <v/>
      </c>
      <c r="AC892" s="16" t="n"/>
      <c r="AD892" s="16" t="n"/>
      <c r="AE892" s="16" t="n"/>
      <c r="AF892" s="17" t="n"/>
      <c r="AG892" s="123" t="n"/>
      <c r="AH892" s="132">
        <f>DADOS_INVOC!$QH$136</f>
        <v/>
      </c>
      <c r="AI892" s="16" t="n"/>
      <c r="AJ892" s="16" t="n"/>
      <c r="AK892" s="16" t="n"/>
      <c r="AL892" s="17" t="n"/>
      <c r="AM892" s="123" t="n"/>
      <c r="AN892" s="132">
        <f>DADOS_INVOC!$QH$137</f>
        <v/>
      </c>
      <c r="AO892" s="16" t="n"/>
      <c r="AP892" s="16" t="n"/>
      <c r="AQ892" s="16" t="n"/>
      <c r="AR892" s="17" t="n"/>
      <c r="AS892" s="123" t="n"/>
    </row>
    <row r="893" hidden="1" outlineLevel="3">
      <c r="A893" s="8" t="n"/>
      <c r="B893" s="14" t="n"/>
      <c r="C893" s="123" t="n"/>
      <c r="D893" s="123" t="n"/>
      <c r="E893" s="123" t="n"/>
      <c r="F893" s="123" t="n"/>
      <c r="G893" s="123" t="n"/>
      <c r="I893" s="55" t="inlineStr">
        <is>
          <t>MELHORIAS</t>
        </is>
      </c>
      <c r="J893" s="133" t="n"/>
      <c r="K893" s="16" t="n"/>
      <c r="L893" s="17" t="n"/>
      <c r="M893" s="132">
        <f>DADOS_INVOC!$QK$57</f>
        <v/>
      </c>
      <c r="N893" s="123" t="n"/>
      <c r="O893" s="55" t="inlineStr">
        <is>
          <t>MELHORIAS</t>
        </is>
      </c>
      <c r="P893" s="133" t="n"/>
      <c r="Q893" s="16" t="n"/>
      <c r="R893" s="17" t="n"/>
      <c r="S893" s="132">
        <f>DADOS_INVOC!$QK$58</f>
        <v/>
      </c>
      <c r="T893" s="123" t="n"/>
      <c r="U893" s="55" t="inlineStr">
        <is>
          <t>MELHORIAS</t>
        </is>
      </c>
      <c r="V893" s="133" t="n"/>
      <c r="W893" s="16" t="n"/>
      <c r="X893" s="17" t="n"/>
      <c r="Y893" s="132">
        <f>DADOS_INVOC!$QK$59</f>
        <v/>
      </c>
      <c r="Z893" s="123" t="n"/>
      <c r="AB893" s="55" t="inlineStr">
        <is>
          <t>MELHORIAS</t>
        </is>
      </c>
      <c r="AC893" s="133" t="n"/>
      <c r="AD893" s="16" t="n"/>
      <c r="AE893" s="17" t="n"/>
      <c r="AF893" s="132">
        <f>DADOS_INVOC!$QK$135</f>
        <v/>
      </c>
      <c r="AG893" s="123" t="n"/>
      <c r="AH893" s="55" t="inlineStr">
        <is>
          <t>MELHORIAS</t>
        </is>
      </c>
      <c r="AI893" s="133" t="n"/>
      <c r="AJ893" s="16" t="n"/>
      <c r="AK893" s="17" t="n"/>
      <c r="AL893" s="132">
        <f>DADOS_INVOC!$QK$136</f>
        <v/>
      </c>
      <c r="AM893" s="123" t="n"/>
      <c r="AN893" s="55" t="inlineStr">
        <is>
          <t>MELHORIAS</t>
        </is>
      </c>
      <c r="AO893" s="133" t="n"/>
      <c r="AP893" s="16" t="n"/>
      <c r="AQ893" s="17" t="n"/>
      <c r="AR893" s="132">
        <f>DADOS_INVOC!$QK$137</f>
        <v/>
      </c>
      <c r="AS893" s="123" t="n"/>
    </row>
    <row r="894" hidden="1" outlineLevel="3">
      <c r="A894" s="8" t="n"/>
      <c r="B894" s="14" t="n"/>
      <c r="C894" s="123" t="n"/>
      <c r="D894" s="123" t="n"/>
      <c r="E894" s="123" t="n"/>
      <c r="F894" s="123" t="n"/>
      <c r="G894" s="123" t="n"/>
      <c r="I894" s="134" t="n"/>
      <c r="J894" s="133" t="n"/>
      <c r="K894" s="16" t="n"/>
      <c r="L894" s="17" t="n"/>
      <c r="M894" s="132">
        <f>DADOS_INVOC!$QL$57</f>
        <v/>
      </c>
      <c r="N894" s="123" t="n"/>
      <c r="O894" s="134" t="n"/>
      <c r="P894" s="133" t="n"/>
      <c r="Q894" s="16" t="n"/>
      <c r="R894" s="17" t="n"/>
      <c r="S894" s="132">
        <f>DADOS_INVOC!$QL$58</f>
        <v/>
      </c>
      <c r="T894" s="123" t="n"/>
      <c r="U894" s="134" t="n"/>
      <c r="V894" s="133" t="n"/>
      <c r="W894" s="16" t="n"/>
      <c r="X894" s="17" t="n"/>
      <c r="Y894" s="132">
        <f>DADOS_INVOC!$QL$59</f>
        <v/>
      </c>
      <c r="Z894" s="123" t="n"/>
      <c r="AB894" s="134" t="n"/>
      <c r="AC894" s="133" t="n"/>
      <c r="AD894" s="16" t="n"/>
      <c r="AE894" s="17" t="n"/>
      <c r="AF894" s="132">
        <f>DADOS_INVOC!$QL$135</f>
        <v/>
      </c>
      <c r="AG894" s="123" t="n"/>
      <c r="AH894" s="134" t="n"/>
      <c r="AI894" s="133" t="n"/>
      <c r="AJ894" s="16" t="n"/>
      <c r="AK894" s="17" t="n"/>
      <c r="AL894" s="132">
        <f>DADOS_INVOC!$QL$136</f>
        <v/>
      </c>
      <c r="AM894" s="123" t="n"/>
      <c r="AN894" s="134" t="n"/>
      <c r="AO894" s="133" t="n"/>
      <c r="AP894" s="16" t="n"/>
      <c r="AQ894" s="17" t="n"/>
      <c r="AR894" s="132">
        <f>DADOS_INVOC!$QL$137</f>
        <v/>
      </c>
      <c r="AS894" s="123" t="n"/>
    </row>
    <row r="895" hidden="1" outlineLevel="3">
      <c r="A895" s="8" t="n"/>
      <c r="B895" s="14" t="n"/>
      <c r="C895" s="123" t="n"/>
      <c r="D895" s="123" t="n"/>
      <c r="E895" s="123" t="n"/>
      <c r="F895" s="123" t="n"/>
      <c r="G895" s="123" t="n"/>
      <c r="I895" s="134" t="n"/>
      <c r="J895" s="133" t="n"/>
      <c r="K895" s="16" t="n"/>
      <c r="L895" s="17" t="n"/>
      <c r="M895" s="132">
        <f>DADOS_INVOC!$QM$57</f>
        <v/>
      </c>
      <c r="N895" s="123" t="n"/>
      <c r="O895" s="134" t="n"/>
      <c r="P895" s="133" t="n"/>
      <c r="Q895" s="16" t="n"/>
      <c r="R895" s="17" t="n"/>
      <c r="S895" s="132">
        <f>DADOS_INVOC!$QM$58</f>
        <v/>
      </c>
      <c r="T895" s="123" t="n"/>
      <c r="U895" s="134" t="n"/>
      <c r="V895" s="133" t="n"/>
      <c r="W895" s="16" t="n"/>
      <c r="X895" s="17" t="n"/>
      <c r="Y895" s="132">
        <f>DADOS_INVOC!$QM$59</f>
        <v/>
      </c>
      <c r="Z895" s="123" t="n"/>
      <c r="AB895" s="134" t="n"/>
      <c r="AC895" s="133" t="n"/>
      <c r="AD895" s="16" t="n"/>
      <c r="AE895" s="17" t="n"/>
      <c r="AF895" s="132">
        <f>DADOS_INVOC!$QM$135</f>
        <v/>
      </c>
      <c r="AG895" s="123" t="n"/>
      <c r="AH895" s="134" t="n"/>
      <c r="AI895" s="133" t="n"/>
      <c r="AJ895" s="16" t="n"/>
      <c r="AK895" s="17" t="n"/>
      <c r="AL895" s="132">
        <f>DADOS_INVOC!$QM$136</f>
        <v/>
      </c>
      <c r="AM895" s="123" t="n"/>
      <c r="AN895" s="134" t="n"/>
      <c r="AO895" s="133" t="n"/>
      <c r="AP895" s="16" t="n"/>
      <c r="AQ895" s="17" t="n"/>
      <c r="AR895" s="132">
        <f>DADOS_INVOC!$QM$137</f>
        <v/>
      </c>
      <c r="AS895" s="123" t="n"/>
    </row>
    <row r="896" hidden="1" outlineLevel="3">
      <c r="A896" s="8" t="n"/>
      <c r="B896" s="14" t="n"/>
      <c r="C896" s="123" t="n"/>
      <c r="D896" s="123" t="n"/>
      <c r="E896" s="123" t="n"/>
      <c r="F896" s="123" t="n"/>
      <c r="G896" s="123" t="n"/>
      <c r="I896" s="128" t="n"/>
      <c r="J896" s="133" t="n"/>
      <c r="K896" s="16" t="n"/>
      <c r="L896" s="17" t="n"/>
      <c r="M896" s="132">
        <f>DADOS_INVOC!$QN$57</f>
        <v/>
      </c>
      <c r="N896" s="123" t="n"/>
      <c r="O896" s="128" t="n"/>
      <c r="P896" s="133" t="n"/>
      <c r="Q896" s="16" t="n"/>
      <c r="R896" s="17" t="n"/>
      <c r="S896" s="132">
        <f>DADOS_INVOC!$QN$58</f>
        <v/>
      </c>
      <c r="T896" s="123" t="n"/>
      <c r="U896" s="128" t="n"/>
      <c r="V896" s="133" t="n"/>
      <c r="W896" s="16" t="n"/>
      <c r="X896" s="17" t="n"/>
      <c r="Y896" s="132">
        <f>DADOS_INVOC!$QN$59</f>
        <v/>
      </c>
      <c r="Z896" s="123" t="n"/>
      <c r="AB896" s="128" t="n"/>
      <c r="AC896" s="133" t="n"/>
      <c r="AD896" s="16" t="n"/>
      <c r="AE896" s="17" t="n"/>
      <c r="AF896" s="132">
        <f>DADOS_INVOC!$QN$135</f>
        <v/>
      </c>
      <c r="AG896" s="123" t="n"/>
      <c r="AH896" s="128" t="n"/>
      <c r="AI896" s="133" t="n"/>
      <c r="AJ896" s="16" t="n"/>
      <c r="AK896" s="17" t="n"/>
      <c r="AL896" s="132">
        <f>DADOS_INVOC!$QN$136</f>
        <v/>
      </c>
      <c r="AM896" s="123" t="n"/>
      <c r="AN896" s="128" t="n"/>
      <c r="AO896" s="133" t="n"/>
      <c r="AP896" s="16" t="n"/>
      <c r="AQ896" s="17" t="n"/>
      <c r="AR896" s="132">
        <f>DADOS_INVOC!$QN$137</f>
        <v/>
      </c>
      <c r="AS896" s="123" t="n"/>
    </row>
    <row r="897" hidden="1" outlineLevel="3">
      <c r="A897" s="8" t="n"/>
      <c r="B897" s="14" t="n"/>
      <c r="C897" s="123" t="n"/>
      <c r="D897" s="123" t="n"/>
      <c r="E897" s="123" t="n"/>
      <c r="F897" s="123" t="n"/>
      <c r="G897" s="123" t="n"/>
      <c r="I897" s="55" t="inlineStr">
        <is>
          <t>RESTRIÇÕES</t>
        </is>
      </c>
      <c r="J897" s="133" t="n"/>
      <c r="K897" s="16" t="n"/>
      <c r="L897" s="17" t="n"/>
      <c r="M897" s="132">
        <f>DADOS_INVOC!$QO$57</f>
        <v/>
      </c>
      <c r="N897" s="123" t="n"/>
      <c r="O897" s="55" t="inlineStr">
        <is>
          <t>RESTRIÇÕES</t>
        </is>
      </c>
      <c r="P897" s="133" t="n"/>
      <c r="Q897" s="16" t="n"/>
      <c r="R897" s="17" t="n"/>
      <c r="S897" s="132">
        <f>DADOS_INVOC!$QO$58</f>
        <v/>
      </c>
      <c r="T897" s="123" t="n"/>
      <c r="U897" s="55" t="inlineStr">
        <is>
          <t>RESTRIÇÕES</t>
        </is>
      </c>
      <c r="V897" s="133" t="n"/>
      <c r="W897" s="16" t="n"/>
      <c r="X897" s="17" t="n"/>
      <c r="Y897" s="132">
        <f>DADOS_INVOC!$QO$59</f>
        <v/>
      </c>
      <c r="Z897" s="123" t="n"/>
      <c r="AB897" s="55" t="inlineStr">
        <is>
          <t>RESTRIÇÕES</t>
        </is>
      </c>
      <c r="AC897" s="133" t="n"/>
      <c r="AD897" s="16" t="n"/>
      <c r="AE897" s="17" t="n"/>
      <c r="AF897" s="132">
        <f>DADOS_INVOC!$QO$135</f>
        <v/>
      </c>
      <c r="AG897" s="123" t="n"/>
      <c r="AH897" s="55" t="inlineStr">
        <is>
          <t>RESTRIÇÕES</t>
        </is>
      </c>
      <c r="AI897" s="133" t="n"/>
      <c r="AJ897" s="16" t="n"/>
      <c r="AK897" s="17" t="n"/>
      <c r="AL897" s="132">
        <f>DADOS_INVOC!$QO$136</f>
        <v/>
      </c>
      <c r="AM897" s="123" t="n"/>
      <c r="AN897" s="55" t="inlineStr">
        <is>
          <t>RESTRIÇÕES</t>
        </is>
      </c>
      <c r="AO897" s="133" t="n"/>
      <c r="AP897" s="16" t="n"/>
      <c r="AQ897" s="17" t="n"/>
      <c r="AR897" s="132">
        <f>DADOS_INVOC!$QO$137</f>
        <v/>
      </c>
      <c r="AS897" s="123" t="n"/>
    </row>
    <row r="898" hidden="1" outlineLevel="3">
      <c r="A898" s="8" t="n"/>
      <c r="B898" s="14" t="n"/>
      <c r="C898" s="123" t="n"/>
      <c r="D898" s="123" t="n"/>
      <c r="E898" s="123" t="n"/>
      <c r="F898" s="123" t="n"/>
      <c r="G898" s="123" t="n"/>
      <c r="I898" s="128" t="n"/>
      <c r="J898" s="133" t="n"/>
      <c r="K898" s="16" t="n"/>
      <c r="L898" s="17" t="n"/>
      <c r="M898" s="132">
        <f>DADOS_INVOC!$QP$57</f>
        <v/>
      </c>
      <c r="N898" s="123" t="n"/>
      <c r="O898" s="128" t="n"/>
      <c r="P898" s="133" t="n"/>
      <c r="Q898" s="16" t="n"/>
      <c r="R898" s="17" t="n"/>
      <c r="S898" s="132">
        <f>DADOS_INVOC!$QP$58</f>
        <v/>
      </c>
      <c r="T898" s="123" t="n"/>
      <c r="U898" s="128" t="n"/>
      <c r="V898" s="133" t="n"/>
      <c r="W898" s="16" t="n"/>
      <c r="X898" s="17" t="n"/>
      <c r="Y898" s="132">
        <f>DADOS_INVOC!$QP$59</f>
        <v/>
      </c>
      <c r="Z898" s="123" t="n"/>
      <c r="AB898" s="128" t="n"/>
      <c r="AC898" s="133" t="n"/>
      <c r="AD898" s="16" t="n"/>
      <c r="AE898" s="17" t="n"/>
      <c r="AF898" s="132">
        <f>DADOS_INVOC!$QP$135</f>
        <v/>
      </c>
      <c r="AG898" s="123" t="n"/>
      <c r="AH898" s="128" t="n"/>
      <c r="AI898" s="133" t="n"/>
      <c r="AJ898" s="16" t="n"/>
      <c r="AK898" s="17" t="n"/>
      <c r="AL898" s="132">
        <f>DADOS_INVOC!$QP$136</f>
        <v/>
      </c>
      <c r="AM898" s="123" t="n"/>
      <c r="AN898" s="128" t="n"/>
      <c r="AO898" s="133" t="n"/>
      <c r="AP898" s="16" t="n"/>
      <c r="AQ898" s="17" t="n"/>
      <c r="AR898" s="132">
        <f>DADOS_INVOC!$QP$137</f>
        <v/>
      </c>
      <c r="AS898" s="123" t="n"/>
    </row>
    <row r="899" hidden="1" outlineLevel="3">
      <c r="A899" s="8" t="n"/>
      <c r="B899" s="14" t="n"/>
      <c r="C899" s="123" t="n"/>
      <c r="D899" s="123" t="n"/>
      <c r="E899" s="123" t="n"/>
      <c r="F899" s="123" t="n"/>
      <c r="G899" s="123" t="n"/>
      <c r="I899" s="55" t="inlineStr">
        <is>
          <t>CONTA</t>
        </is>
      </c>
      <c r="J899" s="135">
        <f>DADOS_INVOC!$QI$57</f>
        <v/>
      </c>
      <c r="K899" s="16" t="n"/>
      <c r="L899" s="16" t="n"/>
      <c r="M899" s="17" t="n"/>
      <c r="N899" s="123" t="n"/>
      <c r="O899" s="55" t="inlineStr">
        <is>
          <t>CONTA</t>
        </is>
      </c>
      <c r="P899" s="135">
        <f>DADOS_INVOC!$QI$58</f>
        <v/>
      </c>
      <c r="Q899" s="16" t="n"/>
      <c r="R899" s="16" t="n"/>
      <c r="S899" s="17" t="n"/>
      <c r="T899" s="123" t="n"/>
      <c r="U899" s="55" t="inlineStr">
        <is>
          <t>CONTA</t>
        </is>
      </c>
      <c r="V899" s="135">
        <f>DADOS_INVOC!$QI$59</f>
        <v/>
      </c>
      <c r="W899" s="16" t="n"/>
      <c r="X899" s="16" t="n"/>
      <c r="Y899" s="17" t="n"/>
      <c r="Z899" s="123" t="n"/>
      <c r="AB899" s="55" t="inlineStr">
        <is>
          <t>CONTA</t>
        </is>
      </c>
      <c r="AC899" s="135">
        <f>DADOS_INVOC!$QI$135</f>
        <v/>
      </c>
      <c r="AD899" s="16" t="n"/>
      <c r="AE899" s="16" t="n"/>
      <c r="AF899" s="17" t="n"/>
      <c r="AG899" s="123" t="n"/>
      <c r="AH899" s="55" t="inlineStr">
        <is>
          <t>CONTA</t>
        </is>
      </c>
      <c r="AI899" s="135">
        <f>DADOS_INVOC!$QI$136</f>
        <v/>
      </c>
      <c r="AJ899" s="16" t="n"/>
      <c r="AK899" s="16" t="n"/>
      <c r="AL899" s="17" t="n"/>
      <c r="AM899" s="123" t="n"/>
      <c r="AN899" s="55" t="inlineStr">
        <is>
          <t>CONTA</t>
        </is>
      </c>
      <c r="AO899" s="135">
        <f>DADOS_INVOC!$QI$137</f>
        <v/>
      </c>
      <c r="AP899" s="16" t="n"/>
      <c r="AQ899" s="16" t="n"/>
      <c r="AR899" s="17" t="n"/>
      <c r="AS899" s="123" t="n"/>
    </row>
    <row r="900" hidden="1" outlineLevel="3">
      <c r="A900" s="8" t="n"/>
      <c r="B900" s="14" t="n"/>
      <c r="C900" s="123" t="n"/>
      <c r="D900" s="123" t="n"/>
      <c r="E900" s="123" t="n"/>
      <c r="F900" s="123" t="n"/>
      <c r="G900" s="123" t="n"/>
      <c r="I900" s="55" t="inlineStr">
        <is>
          <t>AMPLIAR</t>
        </is>
      </c>
      <c r="J900" s="135">
        <f>DADOS_INVOC!$QJ$57</f>
        <v/>
      </c>
      <c r="K900" s="19" t="n"/>
      <c r="L900" s="19" t="n"/>
      <c r="M900" s="20" t="n"/>
      <c r="N900" s="123" t="n"/>
      <c r="O900" s="55" t="inlineStr">
        <is>
          <t>AMPLIAR</t>
        </is>
      </c>
      <c r="P900" s="135">
        <f>DADOS_INVOC!$QJ$58</f>
        <v/>
      </c>
      <c r="Q900" s="19" t="n"/>
      <c r="R900" s="19" t="n"/>
      <c r="S900" s="20" t="n"/>
      <c r="T900" s="123" t="n"/>
      <c r="U900" s="55" t="inlineStr">
        <is>
          <t>AMPLIAR</t>
        </is>
      </c>
      <c r="V900" s="135">
        <f>DADOS_INVOC!$QJ$59</f>
        <v/>
      </c>
      <c r="W900" s="19" t="n"/>
      <c r="X900" s="19" t="n"/>
      <c r="Y900" s="20" t="n"/>
      <c r="Z900" s="123" t="n"/>
      <c r="AB900" s="55" t="inlineStr">
        <is>
          <t>AMPLIAR</t>
        </is>
      </c>
      <c r="AC900" s="135">
        <f>DADOS_INVOC!$QJ$135</f>
        <v/>
      </c>
      <c r="AD900" s="19" t="n"/>
      <c r="AE900" s="19" t="n"/>
      <c r="AF900" s="20" t="n"/>
      <c r="AG900" s="123" t="n"/>
      <c r="AH900" s="55" t="inlineStr">
        <is>
          <t>AMPLIAR</t>
        </is>
      </c>
      <c r="AI900" s="135">
        <f>DADOS_INVOC!$QJ$136</f>
        <v/>
      </c>
      <c r="AJ900" s="19" t="n"/>
      <c r="AK900" s="19" t="n"/>
      <c r="AL900" s="20" t="n"/>
      <c r="AM900" s="123" t="n"/>
      <c r="AN900" s="55" t="inlineStr">
        <is>
          <t>AMPLIAR</t>
        </is>
      </c>
      <c r="AO900" s="135">
        <f>DADOS_INVOC!$QJ$137</f>
        <v/>
      </c>
      <c r="AP900" s="19" t="n"/>
      <c r="AQ900" s="19" t="n"/>
      <c r="AR900" s="20" t="n"/>
      <c r="AS900" s="123" t="n"/>
    </row>
    <row r="901" hidden="1" outlineLevel="3">
      <c r="A901" s="8" t="n"/>
      <c r="B901" s="14" t="n"/>
      <c r="C901" s="123" t="n"/>
      <c r="D901" s="123" t="n"/>
      <c r="E901" s="123" t="n"/>
      <c r="F901" s="123" t="n"/>
      <c r="G901" s="123" t="n"/>
      <c r="I901" s="128" t="n"/>
      <c r="J901" s="23" t="n"/>
      <c r="K901" s="24" t="n"/>
      <c r="L901" s="24" t="n"/>
      <c r="M901" s="25" t="n"/>
      <c r="N901" s="123" t="n"/>
      <c r="O901" s="128" t="n"/>
      <c r="P901" s="23" t="n"/>
      <c r="Q901" s="24" t="n"/>
      <c r="R901" s="24" t="n"/>
      <c r="S901" s="25" t="n"/>
      <c r="T901" s="123" t="n"/>
      <c r="U901" s="128" t="n"/>
      <c r="V901" s="23" t="n"/>
      <c r="W901" s="24" t="n"/>
      <c r="X901" s="24" t="n"/>
      <c r="Y901" s="25" t="n"/>
      <c r="Z901" s="123" t="n"/>
      <c r="AB901" s="128" t="n"/>
      <c r="AC901" s="23" t="n"/>
      <c r="AD901" s="24" t="n"/>
      <c r="AE901" s="24" t="n"/>
      <c r="AF901" s="25" t="n"/>
      <c r="AG901" s="123" t="n"/>
      <c r="AH901" s="128" t="n"/>
      <c r="AI901" s="23" t="n"/>
      <c r="AJ901" s="24" t="n"/>
      <c r="AK901" s="24" t="n"/>
      <c r="AL901" s="25" t="n"/>
      <c r="AM901" s="123" t="n"/>
      <c r="AN901" s="128" t="n"/>
      <c r="AO901" s="23" t="n"/>
      <c r="AP901" s="24" t="n"/>
      <c r="AQ901" s="24" t="n"/>
      <c r="AR901" s="25" t="n"/>
      <c r="AS901" s="123" t="n"/>
    </row>
    <row r="902" hidden="1" outlineLevel="3">
      <c r="A902" s="8" t="n"/>
      <c r="B902" s="14" t="n"/>
      <c r="C902" s="123" t="n"/>
      <c r="D902" s="123" t="n"/>
      <c r="E902" s="123" t="n"/>
      <c r="F902" s="123" t="n"/>
      <c r="G902" s="123" t="n"/>
      <c r="I902" s="135">
        <f>DADOS_INVOC!$PW$57</f>
        <v/>
      </c>
      <c r="J902" s="19" t="n"/>
      <c r="K902" s="19" t="n"/>
      <c r="L902" s="19" t="n"/>
      <c r="M902" s="20" t="n"/>
      <c r="N902" s="123" t="n"/>
      <c r="O902" s="135">
        <f>DADOS_INVOC!$PW$58</f>
        <v/>
      </c>
      <c r="P902" s="19" t="n"/>
      <c r="Q902" s="19" t="n"/>
      <c r="R902" s="19" t="n"/>
      <c r="S902" s="20" t="n"/>
      <c r="T902" s="123" t="n"/>
      <c r="U902" s="135">
        <f>DADOS_INVOC!$PW$59</f>
        <v/>
      </c>
      <c r="V902" s="19" t="n"/>
      <c r="W902" s="19" t="n"/>
      <c r="X902" s="19" t="n"/>
      <c r="Y902" s="20" t="n"/>
      <c r="Z902" s="123" t="n"/>
      <c r="AB902" s="135">
        <f>DADOS_INVOC!$PW$135</f>
        <v/>
      </c>
      <c r="AC902" s="19" t="n"/>
      <c r="AD902" s="19" t="n"/>
      <c r="AE902" s="19" t="n"/>
      <c r="AF902" s="20" t="n"/>
      <c r="AG902" s="123" t="n"/>
      <c r="AH902" s="135">
        <f>DADOS_INVOC!$PW$136</f>
        <v/>
      </c>
      <c r="AI902" s="19" t="n"/>
      <c r="AJ902" s="19" t="n"/>
      <c r="AK902" s="19" t="n"/>
      <c r="AL902" s="20" t="n"/>
      <c r="AM902" s="123" t="n"/>
      <c r="AN902" s="135">
        <f>DADOS_INVOC!$PW$137</f>
        <v/>
      </c>
      <c r="AO902" s="19" t="n"/>
      <c r="AP902" s="19" t="n"/>
      <c r="AQ902" s="19" t="n"/>
      <c r="AR902" s="20" t="n"/>
      <c r="AS902" s="123" t="n"/>
    </row>
    <row r="903" hidden="1" outlineLevel="3">
      <c r="A903" s="8" t="n"/>
      <c r="B903" s="14" t="n"/>
      <c r="C903" s="123" t="n"/>
      <c r="D903" s="123" t="n"/>
      <c r="E903" s="123" t="n"/>
      <c r="F903" s="123" t="n"/>
      <c r="G903" s="123" t="n"/>
      <c r="I903" s="23" t="n"/>
      <c r="J903" s="24" t="n"/>
      <c r="K903" s="24" t="n"/>
      <c r="L903" s="24" t="n"/>
      <c r="M903" s="25" t="n"/>
      <c r="N903" s="123" t="n"/>
      <c r="O903" s="23" t="n"/>
      <c r="P903" s="24" t="n"/>
      <c r="Q903" s="24" t="n"/>
      <c r="R903" s="24" t="n"/>
      <c r="S903" s="25" t="n"/>
      <c r="T903" s="123" t="n"/>
      <c r="U903" s="23" t="n"/>
      <c r="V903" s="24" t="n"/>
      <c r="W903" s="24" t="n"/>
      <c r="X903" s="24" t="n"/>
      <c r="Y903" s="25" t="n"/>
      <c r="Z903" s="123" t="n"/>
      <c r="AB903" s="23" t="n"/>
      <c r="AC903" s="24" t="n"/>
      <c r="AD903" s="24" t="n"/>
      <c r="AE903" s="24" t="n"/>
      <c r="AF903" s="25" t="n"/>
      <c r="AG903" s="123" t="n"/>
      <c r="AH903" s="23" t="n"/>
      <c r="AI903" s="24" t="n"/>
      <c r="AJ903" s="24" t="n"/>
      <c r="AK903" s="24" t="n"/>
      <c r="AL903" s="25" t="n"/>
      <c r="AM903" s="123" t="n"/>
      <c r="AN903" s="23" t="n"/>
      <c r="AO903" s="24" t="n"/>
      <c r="AP903" s="24" t="n"/>
      <c r="AQ903" s="24" t="n"/>
      <c r="AR903" s="25" t="n"/>
      <c r="AS903" s="123" t="n"/>
    </row>
    <row r="904" hidden="1" outlineLevel="2">
      <c r="A904" s="8" t="n"/>
      <c r="B904" s="14" t="n"/>
      <c r="C904" s="123" t="n"/>
      <c r="D904" s="123" t="n"/>
      <c r="E904" s="123" t="n"/>
      <c r="F904" s="123" t="n"/>
      <c r="G904" s="123" t="n"/>
      <c r="I904" s="123" t="n"/>
      <c r="J904" s="123" t="n"/>
      <c r="K904" s="123" t="n"/>
      <c r="L904" s="123" t="n"/>
      <c r="M904" s="123" t="n"/>
      <c r="N904" s="123" t="n"/>
      <c r="O904" s="123" t="n"/>
      <c r="P904" s="123" t="n"/>
      <c r="Q904" s="123" t="n"/>
      <c r="R904" s="123" t="n"/>
      <c r="S904" s="123" t="n"/>
      <c r="T904" s="123" t="n"/>
      <c r="U904" s="123" t="n"/>
      <c r="V904" s="123" t="n"/>
      <c r="W904" s="123" t="n"/>
      <c r="X904" s="123" t="n"/>
      <c r="Y904" s="123" t="n"/>
      <c r="Z904" s="123" t="n"/>
      <c r="AB904" s="123" t="n"/>
      <c r="AC904" s="123" t="n"/>
      <c r="AD904" s="123" t="n"/>
      <c r="AE904" s="123" t="n"/>
      <c r="AF904" s="123" t="n"/>
      <c r="AG904" s="123" t="n"/>
      <c r="AH904" s="123" t="n"/>
      <c r="AI904" s="123" t="n"/>
      <c r="AJ904" s="123" t="n"/>
      <c r="AK904" s="123" t="n"/>
      <c r="AL904" s="123" t="n"/>
      <c r="AM904" s="123" t="n"/>
      <c r="AN904" s="123" t="n"/>
      <c r="AO904" s="123" t="n"/>
      <c r="AP904" s="123" t="n"/>
      <c r="AQ904" s="123" t="n"/>
      <c r="AR904" s="123" t="n"/>
      <c r="AS904" s="123" t="n"/>
    </row>
    <row r="905" hidden="1" outlineLevel="2">
      <c r="A905" s="8" t="n"/>
      <c r="B905" s="14" t="n"/>
      <c r="C905" s="123" t="n"/>
      <c r="D905" s="123" t="n"/>
      <c r="E905" s="123" t="n"/>
      <c r="F905" s="123" t="n"/>
      <c r="G905" s="123" t="n"/>
      <c r="I905" s="55">
        <f>DADOS_INVOC!$PX$60</f>
        <v/>
      </c>
      <c r="J905" s="16" t="n"/>
      <c r="K905" s="16" t="n"/>
      <c r="L905" s="16" t="n"/>
      <c r="M905" s="17" t="n"/>
      <c r="N905" s="123" t="n"/>
      <c r="O905" s="55">
        <f>DADOS_INVOC!$PX$61</f>
        <v/>
      </c>
      <c r="P905" s="16" t="n"/>
      <c r="Q905" s="16" t="n"/>
      <c r="R905" s="16" t="n"/>
      <c r="S905" s="17" t="n"/>
      <c r="T905" s="123" t="n"/>
      <c r="U905" s="55">
        <f>DADOS_INVOC!$PX$62</f>
        <v/>
      </c>
      <c r="V905" s="16" t="n"/>
      <c r="W905" s="16" t="n"/>
      <c r="X905" s="16" t="n"/>
      <c r="Y905" s="17" t="n"/>
      <c r="Z905" s="123" t="n"/>
      <c r="AB905" s="55">
        <f>DADOS_INVOC!$PX$138</f>
        <v/>
      </c>
      <c r="AC905" s="16" t="n"/>
      <c r="AD905" s="16" t="n"/>
      <c r="AE905" s="16" t="n"/>
      <c r="AF905" s="17" t="n"/>
      <c r="AG905" s="123" t="n"/>
      <c r="AH905" s="55">
        <f>DADOS_INVOC!$PX$139</f>
        <v/>
      </c>
      <c r="AI905" s="16" t="n"/>
      <c r="AJ905" s="16" t="n"/>
      <c r="AK905" s="16" t="n"/>
      <c r="AL905" s="17" t="n"/>
      <c r="AM905" s="123" t="n"/>
      <c r="AN905" s="55">
        <f>DADOS_INVOC!$PX$140</f>
        <v/>
      </c>
      <c r="AO905" s="16" t="n"/>
      <c r="AP905" s="16" t="n"/>
      <c r="AQ905" s="16" t="n"/>
      <c r="AR905" s="17" t="n"/>
      <c r="AS905" s="123" t="n"/>
    </row>
    <row r="906" hidden="1" outlineLevel="2">
      <c r="A906" s="8" t="n"/>
      <c r="B906" s="14" t="n"/>
      <c r="C906" s="123" t="n"/>
      <c r="D906" s="123" t="n"/>
      <c r="E906" s="123" t="n"/>
      <c r="F906" s="123" t="n"/>
      <c r="G906" s="123" t="n"/>
      <c r="I906" s="130" t="n">
        <v>1</v>
      </c>
      <c r="J906" s="118" t="n"/>
      <c r="K906" s="16" t="n"/>
      <c r="L906" s="17" t="n"/>
      <c r="M906" s="131">
        <f>DADOS_INVOC!$PV$60</f>
        <v/>
      </c>
      <c r="N906" s="123" t="n"/>
      <c r="O906" s="130" t="n">
        <v>1</v>
      </c>
      <c r="P906" s="118" t="n"/>
      <c r="Q906" s="16" t="n"/>
      <c r="R906" s="17" t="n"/>
      <c r="S906" s="131">
        <f>DADOS_INVOC!$PV$61</f>
        <v/>
      </c>
      <c r="T906" s="123" t="n"/>
      <c r="U906" s="130" t="n">
        <v>1</v>
      </c>
      <c r="V906" s="118" t="n"/>
      <c r="W906" s="16" t="n"/>
      <c r="X906" s="17" t="n"/>
      <c r="Y906" s="131">
        <f>DADOS_INVOC!$PV$62</f>
        <v/>
      </c>
      <c r="Z906" s="123" t="n"/>
      <c r="AB906" s="130" t="n">
        <v>1</v>
      </c>
      <c r="AC906" s="118" t="n"/>
      <c r="AD906" s="16" t="n"/>
      <c r="AE906" s="17" t="n"/>
      <c r="AF906" s="131">
        <f>DADOS_INVOC!$PV$138</f>
        <v/>
      </c>
      <c r="AG906" s="123" t="n"/>
      <c r="AH906" s="130" t="n">
        <v>1</v>
      </c>
      <c r="AI906" s="118" t="n"/>
      <c r="AJ906" s="16" t="n"/>
      <c r="AK906" s="17" t="n"/>
      <c r="AL906" s="131">
        <f>DADOS_INVOC!$PV$139</f>
        <v/>
      </c>
      <c r="AM906" s="123" t="n"/>
      <c r="AN906" s="130" t="n">
        <v>1</v>
      </c>
      <c r="AO906" s="118" t="n"/>
      <c r="AP906" s="16" t="n"/>
      <c r="AQ906" s="17" t="n"/>
      <c r="AR906" s="131">
        <f>DADOS_INVOC!$PV$140</f>
        <v/>
      </c>
      <c r="AS906" s="123" t="n"/>
    </row>
    <row r="907" hidden="1" outlineLevel="3">
      <c r="A907" s="8" t="n"/>
      <c r="B907" s="14" t="n"/>
      <c r="C907" s="123" t="n"/>
      <c r="D907" s="123" t="n"/>
      <c r="E907" s="123" t="n"/>
      <c r="F907" s="123" t="n"/>
      <c r="G907" s="123" t="n"/>
      <c r="I907" s="55" t="inlineStr">
        <is>
          <t>COMO É</t>
        </is>
      </c>
      <c r="J907" s="16" t="n"/>
      <c r="K907" s="16" t="n"/>
      <c r="L907" s="16" t="n"/>
      <c r="M907" s="17" t="n"/>
      <c r="N907" s="123" t="n"/>
      <c r="O907" s="55" t="inlineStr">
        <is>
          <t>COMO É</t>
        </is>
      </c>
      <c r="P907" s="16" t="n"/>
      <c r="Q907" s="16" t="n"/>
      <c r="R907" s="16" t="n"/>
      <c r="S907" s="17" t="n"/>
      <c r="T907" s="123" t="n"/>
      <c r="U907" s="55" t="inlineStr">
        <is>
          <t>COMO É</t>
        </is>
      </c>
      <c r="V907" s="16" t="n"/>
      <c r="W907" s="16" t="n"/>
      <c r="X907" s="16" t="n"/>
      <c r="Y907" s="17" t="n"/>
      <c r="Z907" s="123" t="n"/>
      <c r="AB907" s="55" t="inlineStr">
        <is>
          <t>COMO É</t>
        </is>
      </c>
      <c r="AC907" s="16" t="n"/>
      <c r="AD907" s="16" t="n"/>
      <c r="AE907" s="16" t="n"/>
      <c r="AF907" s="17" t="n"/>
      <c r="AG907" s="123" t="n"/>
      <c r="AH907" s="55" t="inlineStr">
        <is>
          <t>COMO É</t>
        </is>
      </c>
      <c r="AI907" s="16" t="n"/>
      <c r="AJ907" s="16" t="n"/>
      <c r="AK907" s="16" t="n"/>
      <c r="AL907" s="17" t="n"/>
      <c r="AM907" s="123" t="n"/>
      <c r="AN907" s="55" t="inlineStr">
        <is>
          <t>COMO É</t>
        </is>
      </c>
      <c r="AO907" s="16" t="n"/>
      <c r="AP907" s="16" t="n"/>
      <c r="AQ907" s="16" t="n"/>
      <c r="AR907" s="17" t="n"/>
      <c r="AS907" s="123" t="n"/>
    </row>
    <row r="908" hidden="1" outlineLevel="3">
      <c r="A908" s="8" t="n"/>
      <c r="B908" s="14" t="n"/>
      <c r="C908" s="123" t="n"/>
      <c r="D908" s="123" t="n"/>
      <c r="E908" s="123" t="n"/>
      <c r="F908" s="123" t="n"/>
      <c r="G908" s="123" t="n"/>
      <c r="I908" s="119" t="n"/>
      <c r="J908" s="19" t="n"/>
      <c r="K908" s="19" t="n"/>
      <c r="L908" s="19" t="n"/>
      <c r="M908" s="20" t="n"/>
      <c r="N908" s="123" t="n"/>
      <c r="O908" s="119" t="n"/>
      <c r="P908" s="19" t="n"/>
      <c r="Q908" s="19" t="n"/>
      <c r="R908" s="19" t="n"/>
      <c r="S908" s="20" t="n"/>
      <c r="T908" s="123" t="n"/>
      <c r="U908" s="119" t="n"/>
      <c r="V908" s="19" t="n"/>
      <c r="W908" s="19" t="n"/>
      <c r="X908" s="19" t="n"/>
      <c r="Y908" s="20" t="n"/>
      <c r="Z908" s="123" t="n"/>
      <c r="AB908" s="119" t="n"/>
      <c r="AC908" s="19" t="n"/>
      <c r="AD908" s="19" t="n"/>
      <c r="AE908" s="19" t="n"/>
      <c r="AF908" s="20" t="n"/>
      <c r="AG908" s="123" t="n"/>
      <c r="AH908" s="119" t="n"/>
      <c r="AI908" s="19" t="n"/>
      <c r="AJ908" s="19" t="n"/>
      <c r="AK908" s="19" t="n"/>
      <c r="AL908" s="20" t="n"/>
      <c r="AM908" s="123" t="n"/>
      <c r="AN908" s="119" t="n"/>
      <c r="AO908" s="19" t="n"/>
      <c r="AP908" s="19" t="n"/>
      <c r="AQ908" s="19" t="n"/>
      <c r="AR908" s="20" t="n"/>
      <c r="AS908" s="123" t="n"/>
    </row>
    <row r="909" hidden="1" outlineLevel="3">
      <c r="A909" s="8" t="n"/>
      <c r="B909" s="14" t="n"/>
      <c r="C909" s="123" t="n"/>
      <c r="D909" s="123" t="n"/>
      <c r="E909" s="123" t="n"/>
      <c r="F909" s="123" t="n"/>
      <c r="G909" s="123" t="n"/>
      <c r="I909" s="21" t="n"/>
      <c r="M909" s="22" t="n"/>
      <c r="N909" s="123" t="n"/>
      <c r="O909" s="21" t="n"/>
      <c r="S909" s="22" t="n"/>
      <c r="T909" s="123" t="n"/>
      <c r="U909" s="21" t="n"/>
      <c r="Y909" s="22" t="n"/>
      <c r="Z909" s="123" t="n"/>
      <c r="AB909" s="21" t="n"/>
      <c r="AF909" s="22" t="n"/>
      <c r="AG909" s="123" t="n"/>
      <c r="AH909" s="21" t="n"/>
      <c r="AL909" s="22" t="n"/>
      <c r="AM909" s="123" t="n"/>
      <c r="AN909" s="21" t="n"/>
      <c r="AR909" s="22" t="n"/>
      <c r="AS909" s="123" t="n"/>
    </row>
    <row r="910" hidden="1" outlineLevel="3">
      <c r="A910" s="8" t="n"/>
      <c r="B910" s="14" t="n"/>
      <c r="C910" s="123" t="n"/>
      <c r="D910" s="123" t="n"/>
      <c r="E910" s="123" t="n"/>
      <c r="F910" s="123" t="n"/>
      <c r="G910" s="123" t="n"/>
      <c r="I910" s="23" t="n"/>
      <c r="J910" s="24" t="n"/>
      <c r="K910" s="24" t="n"/>
      <c r="L910" s="24" t="n"/>
      <c r="M910" s="25" t="n"/>
      <c r="N910" s="123" t="n"/>
      <c r="O910" s="23" t="n"/>
      <c r="P910" s="24" t="n"/>
      <c r="Q910" s="24" t="n"/>
      <c r="R910" s="24" t="n"/>
      <c r="S910" s="25" t="n"/>
      <c r="T910" s="123" t="n"/>
      <c r="U910" s="23" t="n"/>
      <c r="V910" s="24" t="n"/>
      <c r="W910" s="24" t="n"/>
      <c r="X910" s="24" t="n"/>
      <c r="Y910" s="25" t="n"/>
      <c r="Z910" s="123" t="n"/>
      <c r="AB910" s="23" t="n"/>
      <c r="AC910" s="24" t="n"/>
      <c r="AD910" s="24" t="n"/>
      <c r="AE910" s="24" t="n"/>
      <c r="AF910" s="25" t="n"/>
      <c r="AG910" s="123" t="n"/>
      <c r="AH910" s="23" t="n"/>
      <c r="AI910" s="24" t="n"/>
      <c r="AJ910" s="24" t="n"/>
      <c r="AK910" s="24" t="n"/>
      <c r="AL910" s="25" t="n"/>
      <c r="AM910" s="123" t="n"/>
      <c r="AN910" s="23" t="n"/>
      <c r="AO910" s="24" t="n"/>
      <c r="AP910" s="24" t="n"/>
      <c r="AQ910" s="24" t="n"/>
      <c r="AR910" s="25" t="n"/>
      <c r="AS910" s="123" t="n"/>
    </row>
    <row r="911" hidden="1" outlineLevel="2">
      <c r="A911" s="8" t="n"/>
      <c r="B911" s="14" t="n"/>
      <c r="C911" s="123" t="n"/>
      <c r="D911" s="123" t="n"/>
      <c r="E911" s="123" t="n"/>
      <c r="F911" s="123" t="n"/>
      <c r="G911" s="123" t="n"/>
      <c r="I911" s="127" t="inlineStr">
        <is>
          <t>Projétil</t>
        </is>
      </c>
      <c r="J911" s="17" t="n"/>
      <c r="K911" s="68">
        <f>DADOS_INVOC!$QC$60</f>
        <v/>
      </c>
      <c r="L911" s="17" t="n"/>
      <c r="M911" s="68">
        <f>DADOS_INVOC!$PY$60</f>
        <v/>
      </c>
      <c r="N911" s="123" t="n"/>
      <c r="O911" s="127" t="inlineStr">
        <is>
          <t>Projétil</t>
        </is>
      </c>
      <c r="P911" s="17" t="n"/>
      <c r="Q911" s="68">
        <f>DADOS_INVOC!$QC$61</f>
        <v/>
      </c>
      <c r="R911" s="17" t="n"/>
      <c r="S911" s="68">
        <f>DADOS_INVOC!$PY$61</f>
        <v/>
      </c>
      <c r="T911" s="123" t="n"/>
      <c r="U911" s="127" t="inlineStr">
        <is>
          <t>Projétil</t>
        </is>
      </c>
      <c r="V911" s="17" t="n"/>
      <c r="W911" s="68">
        <f>DADOS_INVOC!$QC$62</f>
        <v/>
      </c>
      <c r="X911" s="17" t="n"/>
      <c r="Y911" s="68">
        <f>DADOS_INVOC!$PY$62</f>
        <v/>
      </c>
      <c r="Z911" s="123" t="n"/>
      <c r="AB911" s="127" t="inlineStr">
        <is>
          <t>Projétil</t>
        </is>
      </c>
      <c r="AC911" s="17" t="n"/>
      <c r="AD911" s="68">
        <f>DADOS_INVOC!$QC$138</f>
        <v/>
      </c>
      <c r="AE911" s="17" t="n"/>
      <c r="AF911" s="68">
        <f>DADOS_INVOC!$PY$138</f>
        <v/>
      </c>
      <c r="AG911" s="123" t="n"/>
      <c r="AH911" s="127" t="inlineStr">
        <is>
          <t>Projétil</t>
        </is>
      </c>
      <c r="AI911" s="17" t="n"/>
      <c r="AJ911" s="68">
        <f>DADOS_INVOC!$QC$139</f>
        <v/>
      </c>
      <c r="AK911" s="17" t="n"/>
      <c r="AL911" s="68">
        <f>DADOS_INVOC!$PY$139</f>
        <v/>
      </c>
      <c r="AM911" s="123" t="n"/>
      <c r="AN911" s="127" t="inlineStr">
        <is>
          <t>Projétil</t>
        </is>
      </c>
      <c r="AO911" s="17" t="n"/>
      <c r="AP911" s="68">
        <f>DADOS_INVOC!$QC$140</f>
        <v/>
      </c>
      <c r="AQ911" s="17" t="n"/>
      <c r="AR911" s="68">
        <f>DADOS_INVOC!$PY$140</f>
        <v/>
      </c>
      <c r="AS911" s="123" t="n"/>
    </row>
    <row r="912" hidden="1" outlineLevel="2">
      <c r="A912" s="8" t="n"/>
      <c r="B912" s="14" t="n"/>
      <c r="C912" s="123" t="n"/>
      <c r="D912" s="123" t="n"/>
      <c r="E912" s="123" t="n"/>
      <c r="F912" s="123" t="n"/>
      <c r="G912" s="123" t="n"/>
      <c r="I912" s="127" t="n"/>
      <c r="J912" s="17" t="n"/>
      <c r="K912" s="127" t="n"/>
      <c r="L912" s="16" t="n"/>
      <c r="M912" s="17" t="n"/>
      <c r="N912" s="123" t="n"/>
      <c r="O912" s="127" t="n"/>
      <c r="P912" s="17" t="n"/>
      <c r="Q912" s="127" t="n"/>
      <c r="R912" s="16" t="n"/>
      <c r="S912" s="17" t="n"/>
      <c r="T912" s="123" t="n"/>
      <c r="U912" s="127" t="n"/>
      <c r="V912" s="17" t="n"/>
      <c r="W912" s="127" t="n"/>
      <c r="X912" s="16" t="n"/>
      <c r="Y912" s="17" t="n"/>
      <c r="Z912" s="123" t="n"/>
      <c r="AB912" s="127" t="n"/>
      <c r="AC912" s="17" t="n"/>
      <c r="AD912" s="127" t="n"/>
      <c r="AE912" s="16" t="n"/>
      <c r="AF912" s="17" t="n"/>
      <c r="AG912" s="123" t="n"/>
      <c r="AH912" s="127" t="n"/>
      <c r="AI912" s="17" t="n"/>
      <c r="AJ912" s="127" t="n"/>
      <c r="AK912" s="16" t="n"/>
      <c r="AL912" s="17" t="n"/>
      <c r="AM912" s="123" t="n"/>
      <c r="AN912" s="127" t="n"/>
      <c r="AO912" s="17" t="n"/>
      <c r="AP912" s="127" t="n"/>
      <c r="AQ912" s="16" t="n"/>
      <c r="AR912" s="17" t="n"/>
      <c r="AS912" s="123" t="n"/>
    </row>
    <row r="913" hidden="1" outlineLevel="2">
      <c r="A913" s="8" t="n"/>
      <c r="B913" s="14" t="n"/>
      <c r="C913" s="123" t="n"/>
      <c r="D913" s="123" t="n"/>
      <c r="E913" s="123" t="n"/>
      <c r="F913" s="123" t="n"/>
      <c r="G913" s="123" t="n"/>
      <c r="I913" s="127">
        <f>DADOS_INVOC!$PZ$60</f>
        <v/>
      </c>
      <c r="J913" s="17" t="n"/>
      <c r="K913" s="127">
        <f>DADOS_INVOC!$QB$60</f>
        <v/>
      </c>
      <c r="L913" s="16" t="n"/>
      <c r="M913" s="17" t="n"/>
      <c r="N913" s="123" t="n"/>
      <c r="O913" s="127">
        <f>DADOS_INVOC!$PZ$61</f>
        <v/>
      </c>
      <c r="P913" s="17" t="n"/>
      <c r="Q913" s="127">
        <f>DADOS_INVOC!$QB$61</f>
        <v/>
      </c>
      <c r="R913" s="16" t="n"/>
      <c r="S913" s="17" t="n"/>
      <c r="T913" s="123" t="n"/>
      <c r="U913" s="127">
        <f>DADOS_INVOC!$PZ$62</f>
        <v/>
      </c>
      <c r="V913" s="17" t="n"/>
      <c r="W913" s="127">
        <f>DADOS_INVOC!$QB$62</f>
        <v/>
      </c>
      <c r="X913" s="16" t="n"/>
      <c r="Y913" s="17" t="n"/>
      <c r="Z913" s="123" t="n"/>
      <c r="AB913" s="127">
        <f>DADOS_INVOC!$PZ$138</f>
        <v/>
      </c>
      <c r="AC913" s="17" t="n"/>
      <c r="AD913" s="127">
        <f>DADOS_INVOC!$QB$138</f>
        <v/>
      </c>
      <c r="AE913" s="16" t="n"/>
      <c r="AF913" s="17" t="n"/>
      <c r="AG913" s="123" t="n"/>
      <c r="AH913" s="127">
        <f>DADOS_INVOC!$PZ$139</f>
        <v/>
      </c>
      <c r="AI913" s="17" t="n"/>
      <c r="AJ913" s="127">
        <f>DADOS_INVOC!$QB$139</f>
        <v/>
      </c>
      <c r="AK913" s="16" t="n"/>
      <c r="AL913" s="17" t="n"/>
      <c r="AM913" s="123" t="n"/>
      <c r="AN913" s="127">
        <f>DADOS_INVOC!$PZ$140</f>
        <v/>
      </c>
      <c r="AO913" s="17" t="n"/>
      <c r="AP913" s="127">
        <f>DADOS_INVOC!$QB$140</f>
        <v/>
      </c>
      <c r="AQ913" s="16" t="n"/>
      <c r="AR913" s="17" t="n"/>
      <c r="AS913" s="123" t="n"/>
    </row>
    <row r="914" hidden="1" outlineLevel="2">
      <c r="A914" s="8" t="n"/>
      <c r="B914" s="14" t="n"/>
      <c r="C914" s="123" t="n"/>
      <c r="D914" s="123" t="n"/>
      <c r="E914" s="123" t="n"/>
      <c r="F914" s="123" t="n"/>
      <c r="G914" s="123" t="n"/>
      <c r="I914" s="132">
        <f>DADOS_INVOC!$QH$60</f>
        <v/>
      </c>
      <c r="J914" s="16" t="n"/>
      <c r="K914" s="16" t="n"/>
      <c r="L914" s="16" t="n"/>
      <c r="M914" s="17" t="n"/>
      <c r="N914" s="123" t="n"/>
      <c r="O914" s="132">
        <f>DADOS_INVOC!$QH$61</f>
        <v/>
      </c>
      <c r="P914" s="16" t="n"/>
      <c r="Q914" s="16" t="n"/>
      <c r="R914" s="16" t="n"/>
      <c r="S914" s="17" t="n"/>
      <c r="T914" s="123" t="n"/>
      <c r="U914" s="132">
        <f>DADOS_INVOC!$QH$62</f>
        <v/>
      </c>
      <c r="V914" s="16" t="n"/>
      <c r="W914" s="16" t="n"/>
      <c r="X914" s="16" t="n"/>
      <c r="Y914" s="17" t="n"/>
      <c r="Z914" s="123" t="n"/>
      <c r="AB914" s="132">
        <f>DADOS_INVOC!$QH$138</f>
        <v/>
      </c>
      <c r="AC914" s="16" t="n"/>
      <c r="AD914" s="16" t="n"/>
      <c r="AE914" s="16" t="n"/>
      <c r="AF914" s="17" t="n"/>
      <c r="AG914" s="123" t="n"/>
      <c r="AH914" s="132">
        <f>DADOS_INVOC!$QH$139</f>
        <v/>
      </c>
      <c r="AI914" s="16" t="n"/>
      <c r="AJ914" s="16" t="n"/>
      <c r="AK914" s="16" t="n"/>
      <c r="AL914" s="17" t="n"/>
      <c r="AM914" s="123" t="n"/>
      <c r="AN914" s="132">
        <f>DADOS_INVOC!$QH$140</f>
        <v/>
      </c>
      <c r="AO914" s="16" t="n"/>
      <c r="AP914" s="16" t="n"/>
      <c r="AQ914" s="16" t="n"/>
      <c r="AR914" s="17" t="n"/>
      <c r="AS914" s="123" t="n"/>
    </row>
    <row r="915" hidden="1" outlineLevel="3">
      <c r="A915" s="8" t="n"/>
      <c r="B915" s="14" t="n"/>
      <c r="C915" s="123" t="n"/>
      <c r="D915" s="123" t="n"/>
      <c r="E915" s="123" t="n"/>
      <c r="F915" s="123" t="n"/>
      <c r="G915" s="123" t="n"/>
      <c r="I915" s="55" t="inlineStr">
        <is>
          <t>MELHORIAS</t>
        </is>
      </c>
      <c r="J915" s="133" t="n"/>
      <c r="K915" s="16" t="n"/>
      <c r="L915" s="17" t="n"/>
      <c r="M915" s="132">
        <f>DADOS_INVOC!$QK$60</f>
        <v/>
      </c>
      <c r="N915" s="123" t="n"/>
      <c r="O915" s="55" t="inlineStr">
        <is>
          <t>MELHORIAS</t>
        </is>
      </c>
      <c r="P915" s="133" t="n"/>
      <c r="Q915" s="16" t="n"/>
      <c r="R915" s="17" t="n"/>
      <c r="S915" s="132">
        <f>DADOS_INVOC!$QK$61</f>
        <v/>
      </c>
      <c r="T915" s="123" t="n"/>
      <c r="U915" s="55" t="inlineStr">
        <is>
          <t>MELHORIAS</t>
        </is>
      </c>
      <c r="V915" s="133" t="n"/>
      <c r="W915" s="16" t="n"/>
      <c r="X915" s="17" t="n"/>
      <c r="Y915" s="132">
        <f>DADOS_INVOC!$QK$62</f>
        <v/>
      </c>
      <c r="Z915" s="123" t="n"/>
      <c r="AB915" s="55" t="inlineStr">
        <is>
          <t>MELHORIAS</t>
        </is>
      </c>
      <c r="AC915" s="133" t="n"/>
      <c r="AD915" s="16" t="n"/>
      <c r="AE915" s="17" t="n"/>
      <c r="AF915" s="132">
        <f>DADOS_INVOC!$QK$138</f>
        <v/>
      </c>
      <c r="AG915" s="123" t="n"/>
      <c r="AH915" s="55" t="inlineStr">
        <is>
          <t>MELHORIAS</t>
        </is>
      </c>
      <c r="AI915" s="133" t="n"/>
      <c r="AJ915" s="16" t="n"/>
      <c r="AK915" s="17" t="n"/>
      <c r="AL915" s="132">
        <f>DADOS_INVOC!$QK$139</f>
        <v/>
      </c>
      <c r="AM915" s="123" t="n"/>
      <c r="AN915" s="55" t="inlineStr">
        <is>
          <t>MELHORIAS</t>
        </is>
      </c>
      <c r="AO915" s="133" t="n"/>
      <c r="AP915" s="16" t="n"/>
      <c r="AQ915" s="17" t="n"/>
      <c r="AR915" s="132">
        <f>DADOS_INVOC!$QK$140</f>
        <v/>
      </c>
      <c r="AS915" s="123" t="n"/>
    </row>
    <row r="916" hidden="1" outlineLevel="3">
      <c r="A916" s="8" t="n"/>
      <c r="B916" s="14" t="n"/>
      <c r="C916" s="123" t="n"/>
      <c r="D916" s="123" t="n"/>
      <c r="E916" s="123" t="n"/>
      <c r="F916" s="123" t="n"/>
      <c r="G916" s="123" t="n"/>
      <c r="I916" s="134" t="n"/>
      <c r="J916" s="133" t="n"/>
      <c r="K916" s="16" t="n"/>
      <c r="L916" s="17" t="n"/>
      <c r="M916" s="132">
        <f>DADOS_INVOC!$QL$60</f>
        <v/>
      </c>
      <c r="N916" s="123" t="n"/>
      <c r="O916" s="134" t="n"/>
      <c r="P916" s="133" t="n"/>
      <c r="Q916" s="16" t="n"/>
      <c r="R916" s="17" t="n"/>
      <c r="S916" s="132">
        <f>DADOS_INVOC!$QL$61</f>
        <v/>
      </c>
      <c r="T916" s="123" t="n"/>
      <c r="U916" s="134" t="n"/>
      <c r="V916" s="133" t="n"/>
      <c r="W916" s="16" t="n"/>
      <c r="X916" s="17" t="n"/>
      <c r="Y916" s="132">
        <f>DADOS_INVOC!$QL$62</f>
        <v/>
      </c>
      <c r="Z916" s="123" t="n"/>
      <c r="AB916" s="134" t="n"/>
      <c r="AC916" s="133" t="n"/>
      <c r="AD916" s="16" t="n"/>
      <c r="AE916" s="17" t="n"/>
      <c r="AF916" s="132">
        <f>DADOS_INVOC!$QL$138</f>
        <v/>
      </c>
      <c r="AG916" s="123" t="n"/>
      <c r="AH916" s="134" t="n"/>
      <c r="AI916" s="133" t="n"/>
      <c r="AJ916" s="16" t="n"/>
      <c r="AK916" s="17" t="n"/>
      <c r="AL916" s="132">
        <f>DADOS_INVOC!$QL$139</f>
        <v/>
      </c>
      <c r="AM916" s="123" t="n"/>
      <c r="AN916" s="134" t="n"/>
      <c r="AO916" s="133" t="n"/>
      <c r="AP916" s="16" t="n"/>
      <c r="AQ916" s="17" t="n"/>
      <c r="AR916" s="132">
        <f>DADOS_INVOC!$QL$140</f>
        <v/>
      </c>
      <c r="AS916" s="123" t="n"/>
    </row>
    <row r="917" hidden="1" outlineLevel="3">
      <c r="A917" s="8" t="n"/>
      <c r="B917" s="14" t="n"/>
      <c r="C917" s="123" t="n"/>
      <c r="D917" s="123" t="n"/>
      <c r="E917" s="123" t="n"/>
      <c r="F917" s="123" t="n"/>
      <c r="G917" s="123" t="n"/>
      <c r="I917" s="134" t="n"/>
      <c r="J917" s="133" t="n"/>
      <c r="K917" s="16" t="n"/>
      <c r="L917" s="17" t="n"/>
      <c r="M917" s="132">
        <f>DADOS_INVOC!$QM$60</f>
        <v/>
      </c>
      <c r="N917" s="123" t="n"/>
      <c r="O917" s="134" t="n"/>
      <c r="P917" s="133" t="n"/>
      <c r="Q917" s="16" t="n"/>
      <c r="R917" s="17" t="n"/>
      <c r="S917" s="132">
        <f>DADOS_INVOC!$QM$61</f>
        <v/>
      </c>
      <c r="T917" s="123" t="n"/>
      <c r="U917" s="134" t="n"/>
      <c r="V917" s="133" t="n"/>
      <c r="W917" s="16" t="n"/>
      <c r="X917" s="17" t="n"/>
      <c r="Y917" s="132">
        <f>DADOS_INVOC!$QM$62</f>
        <v/>
      </c>
      <c r="Z917" s="123" t="n"/>
      <c r="AB917" s="134" t="n"/>
      <c r="AC917" s="133" t="n"/>
      <c r="AD917" s="16" t="n"/>
      <c r="AE917" s="17" t="n"/>
      <c r="AF917" s="132">
        <f>DADOS_INVOC!$QM$138</f>
        <v/>
      </c>
      <c r="AG917" s="123" t="n"/>
      <c r="AH917" s="134" t="n"/>
      <c r="AI917" s="133" t="n"/>
      <c r="AJ917" s="16" t="n"/>
      <c r="AK917" s="17" t="n"/>
      <c r="AL917" s="132">
        <f>DADOS_INVOC!$QM$139</f>
        <v/>
      </c>
      <c r="AM917" s="123" t="n"/>
      <c r="AN917" s="134" t="n"/>
      <c r="AO917" s="133" t="n"/>
      <c r="AP917" s="16" t="n"/>
      <c r="AQ917" s="17" t="n"/>
      <c r="AR917" s="132">
        <f>DADOS_INVOC!$QM$140</f>
        <v/>
      </c>
      <c r="AS917" s="123" t="n"/>
    </row>
    <row r="918" hidden="1" outlineLevel="3">
      <c r="A918" s="8" t="n"/>
      <c r="B918" s="14" t="n"/>
      <c r="C918" s="123" t="n"/>
      <c r="D918" s="123" t="n"/>
      <c r="E918" s="123" t="n"/>
      <c r="F918" s="123" t="n"/>
      <c r="G918" s="123" t="n"/>
      <c r="I918" s="128" t="n"/>
      <c r="J918" s="133" t="n"/>
      <c r="K918" s="16" t="n"/>
      <c r="L918" s="17" t="n"/>
      <c r="M918" s="132">
        <f>DADOS_INVOC!$QN$60</f>
        <v/>
      </c>
      <c r="N918" s="123" t="n"/>
      <c r="O918" s="128" t="n"/>
      <c r="P918" s="133" t="n"/>
      <c r="Q918" s="16" t="n"/>
      <c r="R918" s="17" t="n"/>
      <c r="S918" s="132">
        <f>DADOS_INVOC!$QN$61</f>
        <v/>
      </c>
      <c r="T918" s="123" t="n"/>
      <c r="U918" s="128" t="n"/>
      <c r="V918" s="133" t="n"/>
      <c r="W918" s="16" t="n"/>
      <c r="X918" s="17" t="n"/>
      <c r="Y918" s="132">
        <f>DADOS_INVOC!$QN$62</f>
        <v/>
      </c>
      <c r="Z918" s="123" t="n"/>
      <c r="AB918" s="128" t="n"/>
      <c r="AC918" s="133" t="n"/>
      <c r="AD918" s="16" t="n"/>
      <c r="AE918" s="17" t="n"/>
      <c r="AF918" s="132">
        <f>DADOS_INVOC!$QN$138</f>
        <v/>
      </c>
      <c r="AG918" s="123" t="n"/>
      <c r="AH918" s="128" t="n"/>
      <c r="AI918" s="133" t="n"/>
      <c r="AJ918" s="16" t="n"/>
      <c r="AK918" s="17" t="n"/>
      <c r="AL918" s="132">
        <f>DADOS_INVOC!$QN$139</f>
        <v/>
      </c>
      <c r="AM918" s="123" t="n"/>
      <c r="AN918" s="128" t="n"/>
      <c r="AO918" s="133" t="n"/>
      <c r="AP918" s="16" t="n"/>
      <c r="AQ918" s="17" t="n"/>
      <c r="AR918" s="132">
        <f>DADOS_INVOC!$QN$140</f>
        <v/>
      </c>
      <c r="AS918" s="123" t="n"/>
    </row>
    <row r="919" hidden="1" outlineLevel="3">
      <c r="A919" s="8" t="n"/>
      <c r="B919" s="14" t="n"/>
      <c r="C919" s="123" t="n"/>
      <c r="D919" s="123" t="n"/>
      <c r="E919" s="123" t="n"/>
      <c r="F919" s="123" t="n"/>
      <c r="G919" s="123" t="n"/>
      <c r="I919" s="55" t="inlineStr">
        <is>
          <t>RESTRIÇÕES</t>
        </is>
      </c>
      <c r="J919" s="133" t="n"/>
      <c r="K919" s="16" t="n"/>
      <c r="L919" s="17" t="n"/>
      <c r="M919" s="132">
        <f>DADOS_INVOC!$QO$60</f>
        <v/>
      </c>
      <c r="N919" s="123" t="n"/>
      <c r="O919" s="55" t="inlineStr">
        <is>
          <t>RESTRIÇÕES</t>
        </is>
      </c>
      <c r="P919" s="133" t="n"/>
      <c r="Q919" s="16" t="n"/>
      <c r="R919" s="17" t="n"/>
      <c r="S919" s="132">
        <f>DADOS_INVOC!$QO$61</f>
        <v/>
      </c>
      <c r="T919" s="123" t="n"/>
      <c r="U919" s="55" t="inlineStr">
        <is>
          <t>RESTRIÇÕES</t>
        </is>
      </c>
      <c r="V919" s="133" t="n"/>
      <c r="W919" s="16" t="n"/>
      <c r="X919" s="17" t="n"/>
      <c r="Y919" s="132">
        <f>DADOS_INVOC!$QO$62</f>
        <v/>
      </c>
      <c r="Z919" s="123" t="n"/>
      <c r="AB919" s="55" t="inlineStr">
        <is>
          <t>RESTRIÇÕES</t>
        </is>
      </c>
      <c r="AC919" s="133" t="n"/>
      <c r="AD919" s="16" t="n"/>
      <c r="AE919" s="17" t="n"/>
      <c r="AF919" s="132">
        <f>DADOS_INVOC!$QO$138</f>
        <v/>
      </c>
      <c r="AG919" s="123" t="n"/>
      <c r="AH919" s="55" t="inlineStr">
        <is>
          <t>RESTRIÇÕES</t>
        </is>
      </c>
      <c r="AI919" s="133" t="n"/>
      <c r="AJ919" s="16" t="n"/>
      <c r="AK919" s="17" t="n"/>
      <c r="AL919" s="132">
        <f>DADOS_INVOC!$QO$139</f>
        <v/>
      </c>
      <c r="AM919" s="123" t="n"/>
      <c r="AN919" s="55" t="inlineStr">
        <is>
          <t>RESTRIÇÕES</t>
        </is>
      </c>
      <c r="AO919" s="133" t="n"/>
      <c r="AP919" s="16" t="n"/>
      <c r="AQ919" s="17" t="n"/>
      <c r="AR919" s="132">
        <f>DADOS_INVOC!$QO$140</f>
        <v/>
      </c>
      <c r="AS919" s="123" t="n"/>
    </row>
    <row r="920" hidden="1" outlineLevel="3">
      <c r="A920" s="8" t="n"/>
      <c r="B920" s="14" t="n"/>
      <c r="C920" s="123" t="n"/>
      <c r="D920" s="123" t="n"/>
      <c r="E920" s="123" t="n"/>
      <c r="F920" s="123" t="n"/>
      <c r="G920" s="123" t="n"/>
      <c r="I920" s="128" t="n"/>
      <c r="J920" s="133" t="n"/>
      <c r="K920" s="16" t="n"/>
      <c r="L920" s="17" t="n"/>
      <c r="M920" s="132">
        <f>DADOS_INVOC!$QP$60</f>
        <v/>
      </c>
      <c r="N920" s="123" t="n"/>
      <c r="O920" s="128" t="n"/>
      <c r="P920" s="133" t="n"/>
      <c r="Q920" s="16" t="n"/>
      <c r="R920" s="17" t="n"/>
      <c r="S920" s="132">
        <f>DADOS_INVOC!$QP$61</f>
        <v/>
      </c>
      <c r="T920" s="123" t="n"/>
      <c r="U920" s="128" t="n"/>
      <c r="V920" s="133" t="n"/>
      <c r="W920" s="16" t="n"/>
      <c r="X920" s="17" t="n"/>
      <c r="Y920" s="132">
        <f>DADOS_INVOC!$QP$62</f>
        <v/>
      </c>
      <c r="Z920" s="123" t="n"/>
      <c r="AB920" s="128" t="n"/>
      <c r="AC920" s="133" t="n"/>
      <c r="AD920" s="16" t="n"/>
      <c r="AE920" s="17" t="n"/>
      <c r="AF920" s="132">
        <f>DADOS_INVOC!$QP$138</f>
        <v/>
      </c>
      <c r="AG920" s="123" t="n"/>
      <c r="AH920" s="128" t="n"/>
      <c r="AI920" s="133" t="n"/>
      <c r="AJ920" s="16" t="n"/>
      <c r="AK920" s="17" t="n"/>
      <c r="AL920" s="132">
        <f>DADOS_INVOC!$QP$139</f>
        <v/>
      </c>
      <c r="AM920" s="123" t="n"/>
      <c r="AN920" s="128" t="n"/>
      <c r="AO920" s="133" t="n"/>
      <c r="AP920" s="16" t="n"/>
      <c r="AQ920" s="17" t="n"/>
      <c r="AR920" s="132">
        <f>DADOS_INVOC!$QP$140</f>
        <v/>
      </c>
      <c r="AS920" s="123" t="n"/>
    </row>
    <row r="921" hidden="1" outlineLevel="3">
      <c r="A921" s="8" t="n"/>
      <c r="B921" s="14" t="n"/>
      <c r="C921" s="123" t="n"/>
      <c r="D921" s="123" t="n"/>
      <c r="E921" s="123" t="n"/>
      <c r="F921" s="123" t="n"/>
      <c r="G921" s="123" t="n"/>
      <c r="I921" s="55" t="inlineStr">
        <is>
          <t>CONTA</t>
        </is>
      </c>
      <c r="J921" s="135">
        <f>DADOS_INVOC!$QI$60</f>
        <v/>
      </c>
      <c r="K921" s="16" t="n"/>
      <c r="L921" s="16" t="n"/>
      <c r="M921" s="17" t="n"/>
      <c r="N921" s="123" t="n"/>
      <c r="O921" s="55" t="inlineStr">
        <is>
          <t>CONTA</t>
        </is>
      </c>
      <c r="P921" s="135">
        <f>DADOS_INVOC!$QI$61</f>
        <v/>
      </c>
      <c r="Q921" s="16" t="n"/>
      <c r="R921" s="16" t="n"/>
      <c r="S921" s="17" t="n"/>
      <c r="T921" s="123" t="n"/>
      <c r="U921" s="55" t="inlineStr">
        <is>
          <t>CONTA</t>
        </is>
      </c>
      <c r="V921" s="135">
        <f>DADOS_INVOC!$QI$62</f>
        <v/>
      </c>
      <c r="W921" s="16" t="n"/>
      <c r="X921" s="16" t="n"/>
      <c r="Y921" s="17" t="n"/>
      <c r="Z921" s="123" t="n"/>
      <c r="AB921" s="55" t="inlineStr">
        <is>
          <t>CONTA</t>
        </is>
      </c>
      <c r="AC921" s="135">
        <f>DADOS_INVOC!$QI$138</f>
        <v/>
      </c>
      <c r="AD921" s="16" t="n"/>
      <c r="AE921" s="16" t="n"/>
      <c r="AF921" s="17" t="n"/>
      <c r="AG921" s="123" t="n"/>
      <c r="AH921" s="55" t="inlineStr">
        <is>
          <t>CONTA</t>
        </is>
      </c>
      <c r="AI921" s="135">
        <f>DADOS_INVOC!$QI$139</f>
        <v/>
      </c>
      <c r="AJ921" s="16" t="n"/>
      <c r="AK921" s="16" t="n"/>
      <c r="AL921" s="17" t="n"/>
      <c r="AM921" s="123" t="n"/>
      <c r="AN921" s="55" t="inlineStr">
        <is>
          <t>CONTA</t>
        </is>
      </c>
      <c r="AO921" s="135">
        <f>DADOS_INVOC!$QI$140</f>
        <v/>
      </c>
      <c r="AP921" s="16" t="n"/>
      <c r="AQ921" s="16" t="n"/>
      <c r="AR921" s="17" t="n"/>
      <c r="AS921" s="123" t="n"/>
    </row>
    <row r="922" hidden="1" outlineLevel="3">
      <c r="A922" s="8" t="n"/>
      <c r="B922" s="14" t="n"/>
      <c r="C922" s="123" t="n"/>
      <c r="D922" s="123" t="n"/>
      <c r="E922" s="123" t="n"/>
      <c r="F922" s="123" t="n"/>
      <c r="G922" s="123" t="n"/>
      <c r="I922" s="55" t="inlineStr">
        <is>
          <t>AMPLIAR</t>
        </is>
      </c>
      <c r="J922" s="135">
        <f>DADOS_INVOC!$QJ$60</f>
        <v/>
      </c>
      <c r="K922" s="19" t="n"/>
      <c r="L922" s="19" t="n"/>
      <c r="M922" s="20" t="n"/>
      <c r="N922" s="123" t="n"/>
      <c r="O922" s="55" t="inlineStr">
        <is>
          <t>AMPLIAR</t>
        </is>
      </c>
      <c r="P922" s="135">
        <f>DADOS_INVOC!$QJ$61</f>
        <v/>
      </c>
      <c r="Q922" s="19" t="n"/>
      <c r="R922" s="19" t="n"/>
      <c r="S922" s="20" t="n"/>
      <c r="T922" s="123" t="n"/>
      <c r="U922" s="55" t="inlineStr">
        <is>
          <t>AMPLIAR</t>
        </is>
      </c>
      <c r="V922" s="135">
        <f>DADOS_INVOC!$QJ$62</f>
        <v/>
      </c>
      <c r="W922" s="19" t="n"/>
      <c r="X922" s="19" t="n"/>
      <c r="Y922" s="20" t="n"/>
      <c r="Z922" s="123" t="n"/>
      <c r="AB922" s="55" t="inlineStr">
        <is>
          <t>AMPLIAR</t>
        </is>
      </c>
      <c r="AC922" s="135">
        <f>DADOS_INVOC!$QJ$138</f>
        <v/>
      </c>
      <c r="AD922" s="19" t="n"/>
      <c r="AE922" s="19" t="n"/>
      <c r="AF922" s="20" t="n"/>
      <c r="AG922" s="123" t="n"/>
      <c r="AH922" s="55" t="inlineStr">
        <is>
          <t>AMPLIAR</t>
        </is>
      </c>
      <c r="AI922" s="135">
        <f>DADOS_INVOC!$QJ$139</f>
        <v/>
      </c>
      <c r="AJ922" s="19" t="n"/>
      <c r="AK922" s="19" t="n"/>
      <c r="AL922" s="20" t="n"/>
      <c r="AM922" s="123" t="n"/>
      <c r="AN922" s="55" t="inlineStr">
        <is>
          <t>AMPLIAR</t>
        </is>
      </c>
      <c r="AO922" s="135">
        <f>DADOS_INVOC!$QJ$140</f>
        <v/>
      </c>
      <c r="AP922" s="19" t="n"/>
      <c r="AQ922" s="19" t="n"/>
      <c r="AR922" s="20" t="n"/>
      <c r="AS922" s="123" t="n"/>
    </row>
    <row r="923" hidden="1" outlineLevel="3">
      <c r="A923" s="8" t="n"/>
      <c r="B923" s="14" t="n"/>
      <c r="C923" s="123" t="n"/>
      <c r="D923" s="123" t="n"/>
      <c r="E923" s="123" t="n"/>
      <c r="F923" s="123" t="n"/>
      <c r="G923" s="123" t="n"/>
      <c r="I923" s="128" t="n"/>
      <c r="J923" s="23" t="n"/>
      <c r="K923" s="24" t="n"/>
      <c r="L923" s="24" t="n"/>
      <c r="M923" s="25" t="n"/>
      <c r="N923" s="123" t="n"/>
      <c r="O923" s="128" t="n"/>
      <c r="P923" s="23" t="n"/>
      <c r="Q923" s="24" t="n"/>
      <c r="R923" s="24" t="n"/>
      <c r="S923" s="25" t="n"/>
      <c r="T923" s="123" t="n"/>
      <c r="U923" s="128" t="n"/>
      <c r="V923" s="23" t="n"/>
      <c r="W923" s="24" t="n"/>
      <c r="X923" s="24" t="n"/>
      <c r="Y923" s="25" t="n"/>
      <c r="Z923" s="123" t="n"/>
      <c r="AB923" s="128" t="n"/>
      <c r="AC923" s="23" t="n"/>
      <c r="AD923" s="24" t="n"/>
      <c r="AE923" s="24" t="n"/>
      <c r="AF923" s="25" t="n"/>
      <c r="AG923" s="123" t="n"/>
      <c r="AH923" s="128" t="n"/>
      <c r="AI923" s="23" t="n"/>
      <c r="AJ923" s="24" t="n"/>
      <c r="AK923" s="24" t="n"/>
      <c r="AL923" s="25" t="n"/>
      <c r="AM923" s="123" t="n"/>
      <c r="AN923" s="128" t="n"/>
      <c r="AO923" s="23" t="n"/>
      <c r="AP923" s="24" t="n"/>
      <c r="AQ923" s="24" t="n"/>
      <c r="AR923" s="25" t="n"/>
      <c r="AS923" s="123" t="n"/>
    </row>
    <row r="924" hidden="1" outlineLevel="3">
      <c r="A924" s="8" t="n"/>
      <c r="B924" s="14" t="n"/>
      <c r="C924" s="123" t="n"/>
      <c r="D924" s="123" t="n"/>
      <c r="E924" s="123" t="n"/>
      <c r="F924" s="123" t="n"/>
      <c r="G924" s="123" t="n"/>
      <c r="I924" s="135">
        <f>DADOS_INVOC!$PW$60</f>
        <v/>
      </c>
      <c r="J924" s="19" t="n"/>
      <c r="K924" s="19" t="n"/>
      <c r="L924" s="19" t="n"/>
      <c r="M924" s="20" t="n"/>
      <c r="N924" s="123" t="n"/>
      <c r="O924" s="135">
        <f>DADOS_INVOC!$PW$61</f>
        <v/>
      </c>
      <c r="P924" s="19" t="n"/>
      <c r="Q924" s="19" t="n"/>
      <c r="R924" s="19" t="n"/>
      <c r="S924" s="20" t="n"/>
      <c r="T924" s="123" t="n"/>
      <c r="U924" s="135">
        <f>DADOS_INVOC!$PW$62</f>
        <v/>
      </c>
      <c r="V924" s="19" t="n"/>
      <c r="W924" s="19" t="n"/>
      <c r="X924" s="19" t="n"/>
      <c r="Y924" s="20" t="n"/>
      <c r="Z924" s="123" t="n"/>
      <c r="AB924" s="135">
        <f>DADOS_INVOC!$PW$138</f>
        <v/>
      </c>
      <c r="AC924" s="19" t="n"/>
      <c r="AD924" s="19" t="n"/>
      <c r="AE924" s="19" t="n"/>
      <c r="AF924" s="20" t="n"/>
      <c r="AG924" s="123" t="n"/>
      <c r="AH924" s="135">
        <f>DADOS_INVOC!$PW$139</f>
        <v/>
      </c>
      <c r="AI924" s="19" t="n"/>
      <c r="AJ924" s="19" t="n"/>
      <c r="AK924" s="19" t="n"/>
      <c r="AL924" s="20" t="n"/>
      <c r="AM924" s="123" t="n"/>
      <c r="AN924" s="135">
        <f>DADOS_INVOC!$PW$140</f>
        <v/>
      </c>
      <c r="AO924" s="19" t="n"/>
      <c r="AP924" s="19" t="n"/>
      <c r="AQ924" s="19" t="n"/>
      <c r="AR924" s="20" t="n"/>
      <c r="AS924" s="123" t="n"/>
    </row>
    <row r="925" hidden="1" outlineLevel="3">
      <c r="A925" s="8" t="n"/>
      <c r="B925" s="14" t="n"/>
      <c r="C925" s="123" t="n"/>
      <c r="D925" s="123" t="n"/>
      <c r="E925" s="123" t="n"/>
      <c r="F925" s="123" t="n"/>
      <c r="G925" s="123" t="n"/>
      <c r="I925" s="23" t="n"/>
      <c r="J925" s="24" t="n"/>
      <c r="K925" s="24" t="n"/>
      <c r="L925" s="24" t="n"/>
      <c r="M925" s="25" t="n"/>
      <c r="N925" s="123" t="n"/>
      <c r="O925" s="23" t="n"/>
      <c r="P925" s="24" t="n"/>
      <c r="Q925" s="24" t="n"/>
      <c r="R925" s="24" t="n"/>
      <c r="S925" s="25" t="n"/>
      <c r="T925" s="123" t="n"/>
      <c r="U925" s="23" t="n"/>
      <c r="V925" s="24" t="n"/>
      <c r="W925" s="24" t="n"/>
      <c r="X925" s="24" t="n"/>
      <c r="Y925" s="25" t="n"/>
      <c r="Z925" s="123" t="n"/>
      <c r="AB925" s="23" t="n"/>
      <c r="AC925" s="24" t="n"/>
      <c r="AD925" s="24" t="n"/>
      <c r="AE925" s="24" t="n"/>
      <c r="AF925" s="25" t="n"/>
      <c r="AG925" s="123" t="n"/>
      <c r="AH925" s="23" t="n"/>
      <c r="AI925" s="24" t="n"/>
      <c r="AJ925" s="24" t="n"/>
      <c r="AK925" s="24" t="n"/>
      <c r="AL925" s="25" t="n"/>
      <c r="AM925" s="123" t="n"/>
      <c r="AN925" s="23" t="n"/>
      <c r="AO925" s="24" t="n"/>
      <c r="AP925" s="24" t="n"/>
      <c r="AQ925" s="24" t="n"/>
      <c r="AR925" s="25" t="n"/>
      <c r="AS925" s="123" t="n"/>
    </row>
    <row r="926" hidden="1" outlineLevel="2">
      <c r="A926" s="8" t="n"/>
      <c r="B926" s="14" t="n"/>
      <c r="C926" s="123" t="n"/>
      <c r="D926" s="123" t="n"/>
      <c r="E926" s="123" t="n"/>
      <c r="F926" s="123" t="n"/>
      <c r="G926" s="123" t="n"/>
      <c r="I926" s="123" t="n"/>
      <c r="J926" s="123" t="n"/>
      <c r="K926" s="123" t="n"/>
      <c r="L926" s="123" t="n"/>
      <c r="M926" s="123" t="n"/>
      <c r="N926" s="123" t="n"/>
      <c r="O926" s="123" t="n"/>
      <c r="P926" s="123" t="n"/>
      <c r="Q926" s="123" t="n"/>
      <c r="R926" s="123" t="n"/>
      <c r="S926" s="123" t="n"/>
      <c r="T926" s="123" t="n"/>
      <c r="U926" s="123" t="n"/>
      <c r="V926" s="123" t="n"/>
      <c r="W926" s="123" t="n"/>
      <c r="X926" s="123" t="n"/>
      <c r="Y926" s="123" t="n"/>
      <c r="Z926" s="123" t="n"/>
      <c r="AB926" s="123" t="n"/>
      <c r="AC926" s="123" t="n"/>
      <c r="AD926" s="123" t="n"/>
      <c r="AE926" s="123" t="n"/>
      <c r="AF926" s="123" t="n"/>
      <c r="AG926" s="123" t="n"/>
      <c r="AH926" s="123" t="n"/>
      <c r="AI926" s="123" t="n"/>
      <c r="AJ926" s="123" t="n"/>
      <c r="AK926" s="123" t="n"/>
      <c r="AL926" s="123" t="n"/>
      <c r="AM926" s="123" t="n"/>
      <c r="AN926" s="123" t="n"/>
      <c r="AO926" s="123" t="n"/>
      <c r="AP926" s="123" t="n"/>
      <c r="AQ926" s="123" t="n"/>
      <c r="AR926" s="123" t="n"/>
      <c r="AS926" s="123" t="n"/>
    </row>
    <row r="927" hidden="1" outlineLevel="2">
      <c r="A927" s="8" t="n"/>
      <c r="B927" s="14" t="n"/>
      <c r="C927" s="123" t="n"/>
      <c r="D927" s="123" t="n"/>
      <c r="E927" s="123" t="n"/>
      <c r="F927" s="123" t="n"/>
      <c r="G927" s="123" t="n"/>
      <c r="I927" s="55">
        <f>DADOS_INVOC!$PX$63</f>
        <v/>
      </c>
      <c r="J927" s="16" t="n"/>
      <c r="K927" s="16" t="n"/>
      <c r="L927" s="16" t="n"/>
      <c r="M927" s="17" t="n"/>
      <c r="N927" s="123" t="n"/>
      <c r="O927" s="123" t="n"/>
      <c r="P927" s="123" t="n"/>
      <c r="Q927" s="123" t="n"/>
      <c r="R927" s="123" t="n"/>
      <c r="S927" s="123" t="n"/>
      <c r="T927" s="123" t="n"/>
      <c r="U927" s="123" t="n"/>
      <c r="V927" s="123" t="n"/>
      <c r="W927" s="123" t="n"/>
      <c r="X927" s="123" t="n"/>
      <c r="Y927" s="123" t="n"/>
      <c r="Z927" s="123" t="n"/>
      <c r="AB927" s="55">
        <f>DADOS_INVOC!$PX$141</f>
        <v/>
      </c>
      <c r="AC927" s="16" t="n"/>
      <c r="AD927" s="16" t="n"/>
      <c r="AE927" s="16" t="n"/>
      <c r="AF927" s="17" t="n"/>
      <c r="AG927" s="123" t="n"/>
      <c r="AH927" s="123" t="n"/>
      <c r="AI927" s="123" t="n"/>
      <c r="AJ927" s="123" t="n"/>
      <c r="AK927" s="123" t="n"/>
      <c r="AL927" s="123" t="n"/>
      <c r="AM927" s="123" t="n"/>
      <c r="AN927" s="123" t="n"/>
      <c r="AO927" s="123" t="n"/>
      <c r="AP927" s="123" t="n"/>
      <c r="AQ927" s="123" t="n"/>
      <c r="AR927" s="123" t="n"/>
      <c r="AS927" s="123" t="n"/>
    </row>
    <row r="928" hidden="1" outlineLevel="2">
      <c r="A928" s="8" t="n"/>
      <c r="B928" s="14" t="n"/>
      <c r="C928" s="123" t="n"/>
      <c r="D928" s="123" t="n"/>
      <c r="E928" s="123" t="n"/>
      <c r="F928" s="123" t="n"/>
      <c r="G928" s="123" t="n"/>
      <c r="I928" s="130" t="n">
        <v>1</v>
      </c>
      <c r="J928" s="118" t="n"/>
      <c r="K928" s="16" t="n"/>
      <c r="L928" s="17" t="n"/>
      <c r="M928" s="131">
        <f>DADOS_INVOC!$PV$63</f>
        <v/>
      </c>
      <c r="N928" s="123" t="n"/>
      <c r="O928" s="123" t="n"/>
      <c r="P928" s="123" t="n"/>
      <c r="Q928" s="123" t="n"/>
      <c r="R928" s="123" t="n"/>
      <c r="S928" s="123" t="n"/>
      <c r="T928" s="123" t="n"/>
      <c r="U928" s="123" t="n"/>
      <c r="V928" s="123" t="n"/>
      <c r="W928" s="123" t="n"/>
      <c r="X928" s="123" t="n"/>
      <c r="Y928" s="123" t="n"/>
      <c r="Z928" s="123" t="n"/>
      <c r="AB928" s="130" t="n">
        <v>1</v>
      </c>
      <c r="AC928" s="118" t="n"/>
      <c r="AD928" s="16" t="n"/>
      <c r="AE928" s="17" t="n"/>
      <c r="AF928" s="131">
        <f>DADOS_INVOC!$PV$141</f>
        <v/>
      </c>
      <c r="AG928" s="123" t="n"/>
      <c r="AH928" s="123" t="n"/>
      <c r="AI928" s="123" t="n"/>
      <c r="AJ928" s="123" t="n"/>
      <c r="AK928" s="123" t="n"/>
      <c r="AL928" s="123" t="n"/>
      <c r="AM928" s="123" t="n"/>
      <c r="AN928" s="123" t="n"/>
      <c r="AO928" s="123" t="n"/>
      <c r="AP928" s="123" t="n"/>
      <c r="AQ928" s="123" t="n"/>
      <c r="AR928" s="123" t="n"/>
      <c r="AS928" s="123" t="n"/>
    </row>
    <row r="929" hidden="1" outlineLevel="3">
      <c r="A929" s="8" t="n"/>
      <c r="B929" s="14" t="n"/>
      <c r="C929" s="123" t="n"/>
      <c r="D929" s="123" t="n"/>
      <c r="E929" s="123" t="n"/>
      <c r="F929" s="123" t="n"/>
      <c r="G929" s="123" t="n"/>
      <c r="I929" s="55" t="inlineStr">
        <is>
          <t>COMO É</t>
        </is>
      </c>
      <c r="J929" s="16" t="n"/>
      <c r="K929" s="16" t="n"/>
      <c r="L929" s="16" t="n"/>
      <c r="M929" s="17" t="n"/>
      <c r="N929" s="123" t="n"/>
      <c r="O929" s="123" t="n"/>
      <c r="P929" s="123" t="n"/>
      <c r="Q929" s="123" t="n"/>
      <c r="R929" s="123" t="n"/>
      <c r="S929" s="123" t="n"/>
      <c r="T929" s="123" t="n"/>
      <c r="U929" s="123" t="n"/>
      <c r="V929" s="123" t="n"/>
      <c r="W929" s="123" t="n"/>
      <c r="X929" s="123" t="n"/>
      <c r="Y929" s="123" t="n"/>
      <c r="Z929" s="123" t="n"/>
      <c r="AB929" s="55" t="inlineStr">
        <is>
          <t>COMO É</t>
        </is>
      </c>
      <c r="AC929" s="16" t="n"/>
      <c r="AD929" s="16" t="n"/>
      <c r="AE929" s="16" t="n"/>
      <c r="AF929" s="17" t="n"/>
      <c r="AG929" s="123" t="n"/>
      <c r="AH929" s="123" t="n"/>
      <c r="AI929" s="123" t="n"/>
      <c r="AJ929" s="123" t="n"/>
      <c r="AK929" s="123" t="n"/>
      <c r="AL929" s="123" t="n"/>
      <c r="AM929" s="123" t="n"/>
      <c r="AN929" s="123" t="n"/>
      <c r="AO929" s="123" t="n"/>
      <c r="AP929" s="123" t="n"/>
      <c r="AQ929" s="123" t="n"/>
      <c r="AR929" s="123" t="n"/>
      <c r="AS929" s="123" t="n"/>
    </row>
    <row r="930" hidden="1" outlineLevel="3">
      <c r="A930" s="8" t="n"/>
      <c r="B930" s="14" t="n"/>
      <c r="C930" s="123" t="n"/>
      <c r="D930" s="123" t="n"/>
      <c r="E930" s="123" t="n"/>
      <c r="F930" s="123" t="n"/>
      <c r="G930" s="123" t="n"/>
      <c r="I930" s="119" t="n"/>
      <c r="J930" s="19" t="n"/>
      <c r="K930" s="19" t="n"/>
      <c r="L930" s="19" t="n"/>
      <c r="M930" s="20" t="n"/>
      <c r="N930" s="123" t="n"/>
      <c r="O930" s="123" t="n"/>
      <c r="P930" s="123" t="n"/>
      <c r="Q930" s="123" t="n"/>
      <c r="R930" s="123" t="n"/>
      <c r="S930" s="123" t="n"/>
      <c r="T930" s="123" t="n"/>
      <c r="U930" s="123" t="n"/>
      <c r="V930" s="123" t="n"/>
      <c r="W930" s="123" t="n"/>
      <c r="X930" s="123" t="n"/>
      <c r="Y930" s="123" t="n"/>
      <c r="Z930" s="123" t="n"/>
      <c r="AB930" s="119" t="n"/>
      <c r="AC930" s="19" t="n"/>
      <c r="AD930" s="19" t="n"/>
      <c r="AE930" s="19" t="n"/>
      <c r="AF930" s="20" t="n"/>
      <c r="AG930" s="123" t="n"/>
      <c r="AH930" s="123" t="n"/>
      <c r="AI930" s="123" t="n"/>
      <c r="AJ930" s="123" t="n"/>
      <c r="AK930" s="123" t="n"/>
      <c r="AL930" s="123" t="n"/>
      <c r="AM930" s="123" t="n"/>
      <c r="AN930" s="123" t="n"/>
      <c r="AO930" s="123" t="n"/>
      <c r="AP930" s="123" t="n"/>
      <c r="AQ930" s="123" t="n"/>
      <c r="AR930" s="123" t="n"/>
      <c r="AS930" s="123" t="n"/>
    </row>
    <row r="931" hidden="1" outlineLevel="3">
      <c r="A931" s="8" t="n"/>
      <c r="B931" s="14" t="n"/>
      <c r="C931" s="123" t="n"/>
      <c r="D931" s="123" t="n"/>
      <c r="E931" s="123" t="n"/>
      <c r="F931" s="123" t="n"/>
      <c r="G931" s="123" t="n"/>
      <c r="I931" s="21" t="n"/>
      <c r="M931" s="22" t="n"/>
      <c r="N931" s="123" t="n"/>
      <c r="O931" s="123" t="n"/>
      <c r="P931" s="123" t="n"/>
      <c r="Q931" s="123" t="n"/>
      <c r="R931" s="123" t="n"/>
      <c r="S931" s="123" t="n"/>
      <c r="T931" s="123" t="n"/>
      <c r="U931" s="123" t="n"/>
      <c r="V931" s="123" t="n"/>
      <c r="W931" s="123" t="n"/>
      <c r="X931" s="123" t="n"/>
      <c r="Y931" s="123" t="n"/>
      <c r="Z931" s="123" t="n"/>
      <c r="AB931" s="21" t="n"/>
      <c r="AF931" s="22" t="n"/>
      <c r="AG931" s="123" t="n"/>
      <c r="AH931" s="123" t="n"/>
      <c r="AI931" s="123" t="n"/>
      <c r="AJ931" s="123" t="n"/>
      <c r="AK931" s="123" t="n"/>
      <c r="AL931" s="123" t="n"/>
      <c r="AM931" s="123" t="n"/>
      <c r="AN931" s="123" t="n"/>
      <c r="AO931" s="123" t="n"/>
      <c r="AP931" s="123" t="n"/>
      <c r="AQ931" s="123" t="n"/>
      <c r="AR931" s="123" t="n"/>
      <c r="AS931" s="123" t="n"/>
    </row>
    <row r="932" hidden="1" outlineLevel="3">
      <c r="A932" s="8" t="n"/>
      <c r="B932" s="14" t="n"/>
      <c r="C932" s="123" t="n"/>
      <c r="D932" s="123" t="n"/>
      <c r="E932" s="123" t="n"/>
      <c r="F932" s="123" t="n"/>
      <c r="G932" s="123" t="n"/>
      <c r="I932" s="23" t="n"/>
      <c r="J932" s="24" t="n"/>
      <c r="K932" s="24" t="n"/>
      <c r="L932" s="24" t="n"/>
      <c r="M932" s="25" t="n"/>
      <c r="N932" s="123" t="n"/>
      <c r="O932" s="123" t="n"/>
      <c r="P932" s="123" t="n"/>
      <c r="Q932" s="123" t="n"/>
      <c r="R932" s="123" t="n"/>
      <c r="S932" s="123" t="n"/>
      <c r="T932" s="123" t="n"/>
      <c r="U932" s="123" t="n"/>
      <c r="V932" s="123" t="n"/>
      <c r="W932" s="123" t="n"/>
      <c r="X932" s="123" t="n"/>
      <c r="Y932" s="123" t="n"/>
      <c r="Z932" s="123" t="n"/>
      <c r="AB932" s="23" t="n"/>
      <c r="AC932" s="24" t="n"/>
      <c r="AD932" s="24" t="n"/>
      <c r="AE932" s="24" t="n"/>
      <c r="AF932" s="25" t="n"/>
      <c r="AG932" s="123" t="n"/>
      <c r="AH932" s="123" t="n"/>
      <c r="AI932" s="123" t="n"/>
      <c r="AJ932" s="123" t="n"/>
      <c r="AK932" s="123" t="n"/>
      <c r="AL932" s="123" t="n"/>
      <c r="AM932" s="123" t="n"/>
      <c r="AN932" s="123" t="n"/>
      <c r="AO932" s="123" t="n"/>
      <c r="AP932" s="123" t="n"/>
      <c r="AQ932" s="123" t="n"/>
      <c r="AR932" s="123" t="n"/>
      <c r="AS932" s="123" t="n"/>
    </row>
    <row r="933" hidden="1" outlineLevel="2">
      <c r="A933" s="8" t="n"/>
      <c r="B933" s="14" t="n"/>
      <c r="C933" s="123" t="n"/>
      <c r="D933" s="123" t="n"/>
      <c r="E933" s="123" t="n"/>
      <c r="F933" s="123" t="n"/>
      <c r="G933" s="123" t="n"/>
      <c r="I933" s="127" t="inlineStr">
        <is>
          <t>Projétil</t>
        </is>
      </c>
      <c r="J933" s="17" t="n"/>
      <c r="K933" s="68">
        <f>DADOS_INVOC!$QC$63</f>
        <v/>
      </c>
      <c r="L933" s="17" t="n"/>
      <c r="M933" s="68">
        <f>DADOS_INVOC!$PY$63</f>
        <v/>
      </c>
      <c r="N933" s="123" t="n"/>
      <c r="O933" s="123" t="n"/>
      <c r="P933" s="123" t="n"/>
      <c r="Q933" s="123" t="n"/>
      <c r="R933" s="123" t="n"/>
      <c r="S933" s="123" t="n"/>
      <c r="T933" s="123" t="n"/>
      <c r="U933" s="123" t="n"/>
      <c r="V933" s="123" t="n"/>
      <c r="W933" s="123" t="n"/>
      <c r="X933" s="123" t="n"/>
      <c r="Y933" s="123" t="n"/>
      <c r="Z933" s="123" t="n"/>
      <c r="AB933" s="127" t="inlineStr">
        <is>
          <t>Projétil</t>
        </is>
      </c>
      <c r="AC933" s="17" t="n"/>
      <c r="AD933" s="68">
        <f>DADOS_INVOC!$QC$141</f>
        <v/>
      </c>
      <c r="AE933" s="17" t="n"/>
      <c r="AF933" s="68">
        <f>DADOS_INVOC!$PY$141</f>
        <v/>
      </c>
      <c r="AG933" s="123" t="n"/>
      <c r="AH933" s="123" t="n"/>
      <c r="AI933" s="123" t="n"/>
      <c r="AJ933" s="123" t="n"/>
      <c r="AK933" s="123" t="n"/>
      <c r="AL933" s="123" t="n"/>
      <c r="AM933" s="123" t="n"/>
      <c r="AN933" s="123" t="n"/>
      <c r="AO933" s="123" t="n"/>
      <c r="AP933" s="123" t="n"/>
      <c r="AQ933" s="123" t="n"/>
      <c r="AR933" s="123" t="n"/>
      <c r="AS933" s="123" t="n"/>
    </row>
    <row r="934" hidden="1" outlineLevel="2">
      <c r="A934" s="8" t="n"/>
      <c r="B934" s="14" t="n"/>
      <c r="C934" s="123" t="n"/>
      <c r="D934" s="123" t="n"/>
      <c r="E934" s="123" t="n"/>
      <c r="F934" s="123" t="n"/>
      <c r="G934" s="123" t="n"/>
      <c r="I934" s="127" t="n"/>
      <c r="J934" s="17" t="n"/>
      <c r="K934" s="127" t="n"/>
      <c r="L934" s="16" t="n"/>
      <c r="M934" s="17" t="n"/>
      <c r="N934" s="123" t="n"/>
      <c r="O934" s="123" t="n"/>
      <c r="P934" s="123" t="n"/>
      <c r="Q934" s="123" t="n"/>
      <c r="R934" s="123" t="n"/>
      <c r="S934" s="123" t="n"/>
      <c r="T934" s="123" t="n"/>
      <c r="U934" s="123" t="n"/>
      <c r="V934" s="123" t="n"/>
      <c r="W934" s="123" t="n"/>
      <c r="X934" s="123" t="n"/>
      <c r="Y934" s="123" t="n"/>
      <c r="Z934" s="123" t="n"/>
      <c r="AB934" s="127" t="n"/>
      <c r="AC934" s="17" t="n"/>
      <c r="AD934" s="127" t="n"/>
      <c r="AE934" s="16" t="n"/>
      <c r="AF934" s="17" t="n"/>
      <c r="AG934" s="123" t="n"/>
      <c r="AH934" s="123" t="n"/>
      <c r="AI934" s="123" t="n"/>
      <c r="AJ934" s="123" t="n"/>
      <c r="AK934" s="123" t="n"/>
      <c r="AL934" s="123" t="n"/>
      <c r="AM934" s="123" t="n"/>
      <c r="AN934" s="123" t="n"/>
      <c r="AO934" s="123" t="n"/>
      <c r="AP934" s="123" t="n"/>
      <c r="AQ934" s="123" t="n"/>
      <c r="AR934" s="123" t="n"/>
      <c r="AS934" s="123" t="n"/>
    </row>
    <row r="935" hidden="1" outlineLevel="2">
      <c r="A935" s="8" t="n"/>
      <c r="B935" s="14" t="n"/>
      <c r="C935" s="123" t="n"/>
      <c r="D935" s="123" t="n"/>
      <c r="E935" s="123" t="n"/>
      <c r="F935" s="123" t="n"/>
      <c r="G935" s="123" t="n"/>
      <c r="I935" s="127">
        <f>DADOS_INVOC!$PZ$63</f>
        <v/>
      </c>
      <c r="J935" s="17" t="n"/>
      <c r="K935" s="127">
        <f>DADOS_INVOC!$QB$63</f>
        <v/>
      </c>
      <c r="L935" s="16" t="n"/>
      <c r="M935" s="17" t="n"/>
      <c r="N935" s="123" t="n"/>
      <c r="O935" s="123" t="n"/>
      <c r="P935" s="123" t="n"/>
      <c r="Q935" s="123" t="n"/>
      <c r="R935" s="123" t="n"/>
      <c r="S935" s="123" t="n"/>
      <c r="T935" s="123" t="n"/>
      <c r="U935" s="123" t="n"/>
      <c r="V935" s="123" t="n"/>
      <c r="W935" s="123" t="n"/>
      <c r="X935" s="123" t="n"/>
      <c r="Y935" s="123" t="n"/>
      <c r="Z935" s="123" t="n"/>
      <c r="AB935" s="127">
        <f>DADOS_INVOC!$PZ$141</f>
        <v/>
      </c>
      <c r="AC935" s="17" t="n"/>
      <c r="AD935" s="127">
        <f>DADOS_INVOC!$QB$141</f>
        <v/>
      </c>
      <c r="AE935" s="16" t="n"/>
      <c r="AF935" s="17" t="n"/>
      <c r="AG935" s="123" t="n"/>
      <c r="AH935" s="123" t="n"/>
      <c r="AI935" s="123" t="n"/>
      <c r="AJ935" s="123" t="n"/>
      <c r="AK935" s="123" t="n"/>
      <c r="AL935" s="123" t="n"/>
      <c r="AM935" s="123" t="n"/>
      <c r="AN935" s="123" t="n"/>
      <c r="AO935" s="123" t="n"/>
      <c r="AP935" s="123" t="n"/>
      <c r="AQ935" s="123" t="n"/>
      <c r="AR935" s="123" t="n"/>
      <c r="AS935" s="123" t="n"/>
    </row>
    <row r="936" hidden="1" outlineLevel="2">
      <c r="A936" s="8" t="n"/>
      <c r="B936" s="14" t="n"/>
      <c r="C936" s="123" t="n"/>
      <c r="D936" s="123" t="n"/>
      <c r="E936" s="123" t="n"/>
      <c r="F936" s="123" t="n"/>
      <c r="G936" s="123" t="n"/>
      <c r="I936" s="132">
        <f>DADOS_INVOC!$QH$63</f>
        <v/>
      </c>
      <c r="J936" s="16" t="n"/>
      <c r="K936" s="16" t="n"/>
      <c r="L936" s="16" t="n"/>
      <c r="M936" s="17" t="n"/>
      <c r="N936" s="123" t="n"/>
      <c r="O936" s="123" t="n"/>
      <c r="P936" s="123" t="n"/>
      <c r="Q936" s="123" t="n"/>
      <c r="R936" s="123" t="n"/>
      <c r="S936" s="123" t="n"/>
      <c r="T936" s="123" t="n"/>
      <c r="U936" s="123" t="n"/>
      <c r="V936" s="123" t="n"/>
      <c r="W936" s="123" t="n"/>
      <c r="X936" s="123" t="n"/>
      <c r="Y936" s="123" t="n"/>
      <c r="Z936" s="123" t="n"/>
      <c r="AB936" s="132">
        <f>DADOS_INVOC!$QH$141</f>
        <v/>
      </c>
      <c r="AC936" s="16" t="n"/>
      <c r="AD936" s="16" t="n"/>
      <c r="AE936" s="16" t="n"/>
      <c r="AF936" s="17" t="n"/>
      <c r="AG936" s="123" t="n"/>
      <c r="AH936" s="123" t="n"/>
      <c r="AI936" s="123" t="n"/>
      <c r="AJ936" s="123" t="n"/>
      <c r="AK936" s="123" t="n"/>
      <c r="AL936" s="123" t="n"/>
      <c r="AM936" s="123" t="n"/>
      <c r="AN936" s="123" t="n"/>
      <c r="AO936" s="123" t="n"/>
      <c r="AP936" s="123" t="n"/>
      <c r="AQ936" s="123" t="n"/>
      <c r="AR936" s="123" t="n"/>
      <c r="AS936" s="123" t="n"/>
    </row>
    <row r="937" hidden="1" outlineLevel="3">
      <c r="A937" s="8" t="n"/>
      <c r="B937" s="14" t="n"/>
      <c r="C937" s="123" t="n"/>
      <c r="D937" s="123" t="n"/>
      <c r="E937" s="123" t="n"/>
      <c r="F937" s="123" t="n"/>
      <c r="G937" s="123" t="n"/>
      <c r="I937" s="55" t="inlineStr">
        <is>
          <t>MELHORIAS</t>
        </is>
      </c>
      <c r="J937" s="133" t="n"/>
      <c r="K937" s="16" t="n"/>
      <c r="L937" s="17" t="n"/>
      <c r="M937" s="132">
        <f>DADOS_INVOC!$QK$63</f>
        <v/>
      </c>
      <c r="N937" s="123" t="n"/>
      <c r="O937" s="123" t="n"/>
      <c r="P937" s="123" t="n"/>
      <c r="Q937" s="123" t="n"/>
      <c r="R937" s="123" t="n"/>
      <c r="S937" s="123" t="n"/>
      <c r="T937" s="123" t="n"/>
      <c r="U937" s="123" t="n"/>
      <c r="V937" s="123" t="n"/>
      <c r="W937" s="123" t="n"/>
      <c r="X937" s="123" t="n"/>
      <c r="Y937" s="123" t="n"/>
      <c r="Z937" s="123" t="n"/>
      <c r="AB937" s="55" t="inlineStr">
        <is>
          <t>MELHORIAS</t>
        </is>
      </c>
      <c r="AC937" s="133" t="n"/>
      <c r="AD937" s="16" t="n"/>
      <c r="AE937" s="17" t="n"/>
      <c r="AF937" s="132">
        <f>DADOS_INVOC!$QK$141</f>
        <v/>
      </c>
      <c r="AG937" s="123" t="n"/>
      <c r="AH937" s="123" t="n"/>
      <c r="AI937" s="123" t="n"/>
      <c r="AJ937" s="123" t="n"/>
      <c r="AK937" s="123" t="n"/>
      <c r="AL937" s="123" t="n"/>
      <c r="AM937" s="123" t="n"/>
      <c r="AN937" s="123" t="n"/>
      <c r="AO937" s="123" t="n"/>
      <c r="AP937" s="123" t="n"/>
      <c r="AQ937" s="123" t="n"/>
      <c r="AR937" s="123" t="n"/>
      <c r="AS937" s="123" t="n"/>
    </row>
    <row r="938" hidden="1" outlineLevel="3">
      <c r="A938" s="8" t="n"/>
      <c r="B938" s="14" t="n"/>
      <c r="C938" s="123" t="n"/>
      <c r="D938" s="123" t="n"/>
      <c r="E938" s="123" t="n"/>
      <c r="F938" s="123" t="n"/>
      <c r="G938" s="123" t="n"/>
      <c r="I938" s="134" t="n"/>
      <c r="J938" s="133" t="n"/>
      <c r="K938" s="16" t="n"/>
      <c r="L938" s="17" t="n"/>
      <c r="M938" s="132">
        <f>DADOS_INVOC!$QL$63</f>
        <v/>
      </c>
      <c r="N938" s="123" t="n"/>
      <c r="O938" s="123" t="n"/>
      <c r="P938" s="123" t="n"/>
      <c r="Q938" s="123" t="n"/>
      <c r="R938" s="123" t="n"/>
      <c r="S938" s="123" t="n"/>
      <c r="T938" s="123" t="n"/>
      <c r="U938" s="123" t="n"/>
      <c r="V938" s="123" t="n"/>
      <c r="W938" s="123" t="n"/>
      <c r="X938" s="123" t="n"/>
      <c r="Y938" s="123" t="n"/>
      <c r="Z938" s="123" t="n"/>
      <c r="AB938" s="134" t="n"/>
      <c r="AC938" s="133" t="n"/>
      <c r="AD938" s="16" t="n"/>
      <c r="AE938" s="17" t="n"/>
      <c r="AF938" s="132">
        <f>DADOS_INVOC!$QL$141</f>
        <v/>
      </c>
      <c r="AG938" s="123" t="n"/>
      <c r="AH938" s="123" t="n"/>
      <c r="AI938" s="123" t="n"/>
      <c r="AJ938" s="123" t="n"/>
      <c r="AK938" s="123" t="n"/>
      <c r="AL938" s="123" t="n"/>
      <c r="AM938" s="123" t="n"/>
      <c r="AN938" s="123" t="n"/>
      <c r="AO938" s="123" t="n"/>
      <c r="AP938" s="123" t="n"/>
      <c r="AQ938" s="123" t="n"/>
      <c r="AR938" s="123" t="n"/>
      <c r="AS938" s="123" t="n"/>
    </row>
    <row r="939" hidden="1" outlineLevel="3">
      <c r="A939" s="8" t="n"/>
      <c r="B939" s="14" t="n"/>
      <c r="C939" s="123" t="n"/>
      <c r="D939" s="123" t="n"/>
      <c r="E939" s="123" t="n"/>
      <c r="F939" s="123" t="n"/>
      <c r="G939" s="123" t="n"/>
      <c r="I939" s="134" t="n"/>
      <c r="J939" s="133" t="n"/>
      <c r="K939" s="16" t="n"/>
      <c r="L939" s="17" t="n"/>
      <c r="M939" s="132">
        <f>DADOS_INVOC!$QM$63</f>
        <v/>
      </c>
      <c r="N939" s="123" t="n"/>
      <c r="O939" s="123" t="n"/>
      <c r="P939" s="123" t="n"/>
      <c r="Q939" s="123" t="n"/>
      <c r="R939" s="123" t="n"/>
      <c r="S939" s="123" t="n"/>
      <c r="T939" s="123" t="n"/>
      <c r="U939" s="123" t="n"/>
      <c r="V939" s="123" t="n"/>
      <c r="W939" s="123" t="n"/>
      <c r="X939" s="123" t="n"/>
      <c r="Y939" s="123" t="n"/>
      <c r="Z939" s="123" t="n"/>
      <c r="AB939" s="134" t="n"/>
      <c r="AC939" s="133" t="n"/>
      <c r="AD939" s="16" t="n"/>
      <c r="AE939" s="17" t="n"/>
      <c r="AF939" s="132">
        <f>DADOS_INVOC!$QM$141</f>
        <v/>
      </c>
      <c r="AG939" s="123" t="n"/>
      <c r="AH939" s="123" t="n"/>
      <c r="AI939" s="123" t="n"/>
      <c r="AJ939" s="123" t="n"/>
      <c r="AK939" s="123" t="n"/>
      <c r="AL939" s="123" t="n"/>
      <c r="AM939" s="123" t="n"/>
      <c r="AN939" s="123" t="n"/>
      <c r="AO939" s="123" t="n"/>
      <c r="AP939" s="123" t="n"/>
      <c r="AQ939" s="123" t="n"/>
      <c r="AR939" s="123" t="n"/>
      <c r="AS939" s="123" t="n"/>
    </row>
    <row r="940" hidden="1" outlineLevel="3">
      <c r="A940" s="8" t="n"/>
      <c r="B940" s="14" t="n"/>
      <c r="C940" s="123" t="n"/>
      <c r="D940" s="123" t="n"/>
      <c r="E940" s="123" t="n"/>
      <c r="F940" s="123" t="n"/>
      <c r="G940" s="123" t="n"/>
      <c r="I940" s="128" t="n"/>
      <c r="J940" s="133" t="n"/>
      <c r="K940" s="16" t="n"/>
      <c r="L940" s="17" t="n"/>
      <c r="M940" s="132">
        <f>DADOS_INVOC!$QN$63</f>
        <v/>
      </c>
      <c r="N940" s="123" t="n"/>
      <c r="O940" s="123" t="n"/>
      <c r="P940" s="123" t="n"/>
      <c r="Q940" s="123" t="n"/>
      <c r="R940" s="123" t="n"/>
      <c r="S940" s="123" t="n"/>
      <c r="T940" s="123" t="n"/>
      <c r="U940" s="123" t="n"/>
      <c r="V940" s="123" t="n"/>
      <c r="W940" s="123" t="n"/>
      <c r="X940" s="123" t="n"/>
      <c r="Y940" s="123" t="n"/>
      <c r="Z940" s="123" t="n"/>
      <c r="AB940" s="128" t="n"/>
      <c r="AC940" s="133" t="n"/>
      <c r="AD940" s="16" t="n"/>
      <c r="AE940" s="17" t="n"/>
      <c r="AF940" s="132">
        <f>DADOS_INVOC!$QN$141</f>
        <v/>
      </c>
      <c r="AG940" s="123" t="n"/>
      <c r="AH940" s="123" t="n"/>
      <c r="AI940" s="123" t="n"/>
      <c r="AJ940" s="123" t="n"/>
      <c r="AK940" s="123" t="n"/>
      <c r="AL940" s="123" t="n"/>
      <c r="AM940" s="123" t="n"/>
      <c r="AN940" s="123" t="n"/>
      <c r="AO940" s="123" t="n"/>
      <c r="AP940" s="123" t="n"/>
      <c r="AQ940" s="123" t="n"/>
      <c r="AR940" s="123" t="n"/>
      <c r="AS940" s="123" t="n"/>
    </row>
    <row r="941" hidden="1" outlineLevel="3">
      <c r="A941" s="8" t="n"/>
      <c r="B941" s="14" t="n"/>
      <c r="C941" s="123" t="n"/>
      <c r="D941" s="123" t="n"/>
      <c r="E941" s="123" t="n"/>
      <c r="F941" s="123" t="n"/>
      <c r="G941" s="123" t="n"/>
      <c r="I941" s="55" t="inlineStr">
        <is>
          <t>RESTRIÇÕES</t>
        </is>
      </c>
      <c r="J941" s="133" t="n"/>
      <c r="K941" s="16" t="n"/>
      <c r="L941" s="17" t="n"/>
      <c r="M941" s="132">
        <f>DADOS_INVOC!$QO$63</f>
        <v/>
      </c>
      <c r="N941" s="123" t="n"/>
      <c r="O941" s="123" t="n"/>
      <c r="P941" s="123" t="n"/>
      <c r="Q941" s="123" t="n"/>
      <c r="R941" s="123" t="n"/>
      <c r="S941" s="123" t="n"/>
      <c r="T941" s="123" t="n"/>
      <c r="U941" s="123" t="n"/>
      <c r="V941" s="123" t="n"/>
      <c r="W941" s="123" t="n"/>
      <c r="X941" s="123" t="n"/>
      <c r="Y941" s="123" t="n"/>
      <c r="Z941" s="123" t="n"/>
      <c r="AB941" s="55" t="inlineStr">
        <is>
          <t>RESTRIÇÕES</t>
        </is>
      </c>
      <c r="AC941" s="133" t="n"/>
      <c r="AD941" s="16" t="n"/>
      <c r="AE941" s="17" t="n"/>
      <c r="AF941" s="132">
        <f>DADOS_INVOC!$QO$141</f>
        <v/>
      </c>
      <c r="AG941" s="123" t="n"/>
      <c r="AH941" s="123" t="n"/>
      <c r="AI941" s="123" t="n"/>
      <c r="AJ941" s="123" t="n"/>
      <c r="AK941" s="123" t="n"/>
      <c r="AL941" s="123" t="n"/>
      <c r="AM941" s="123" t="n"/>
      <c r="AN941" s="123" t="n"/>
      <c r="AO941" s="123" t="n"/>
      <c r="AP941" s="123" t="n"/>
      <c r="AQ941" s="123" t="n"/>
      <c r="AR941" s="123" t="n"/>
      <c r="AS941" s="123" t="n"/>
    </row>
    <row r="942" hidden="1" outlineLevel="3">
      <c r="A942" s="8" t="n"/>
      <c r="B942" s="14" t="n"/>
      <c r="C942" s="123" t="n"/>
      <c r="D942" s="123" t="n"/>
      <c r="E942" s="123" t="n"/>
      <c r="F942" s="123" t="n"/>
      <c r="G942" s="123" t="n"/>
      <c r="I942" s="128" t="n"/>
      <c r="J942" s="133" t="n"/>
      <c r="K942" s="16" t="n"/>
      <c r="L942" s="17" t="n"/>
      <c r="M942" s="132">
        <f>DADOS_INVOC!$QP$63</f>
        <v/>
      </c>
      <c r="N942" s="123" t="n"/>
      <c r="O942" s="123" t="n"/>
      <c r="P942" s="123" t="n"/>
      <c r="Q942" s="123" t="n"/>
      <c r="R942" s="123" t="n"/>
      <c r="S942" s="123" t="n"/>
      <c r="T942" s="123" t="n"/>
      <c r="U942" s="123" t="n"/>
      <c r="V942" s="123" t="n"/>
      <c r="W942" s="123" t="n"/>
      <c r="X942" s="123" t="n"/>
      <c r="Y942" s="123" t="n"/>
      <c r="Z942" s="123" t="n"/>
      <c r="AB942" s="128" t="n"/>
      <c r="AC942" s="133" t="n"/>
      <c r="AD942" s="16" t="n"/>
      <c r="AE942" s="17" t="n"/>
      <c r="AF942" s="132">
        <f>DADOS_INVOC!$QP$141</f>
        <v/>
      </c>
      <c r="AG942" s="123" t="n"/>
      <c r="AH942" s="123" t="n"/>
      <c r="AI942" s="123" t="n"/>
      <c r="AJ942" s="123" t="n"/>
      <c r="AK942" s="123" t="n"/>
      <c r="AL942" s="123" t="n"/>
      <c r="AM942" s="123" t="n"/>
      <c r="AN942" s="123" t="n"/>
      <c r="AO942" s="123" t="n"/>
      <c r="AP942" s="123" t="n"/>
      <c r="AQ942" s="123" t="n"/>
      <c r="AR942" s="123" t="n"/>
      <c r="AS942" s="123" t="n"/>
    </row>
    <row r="943" hidden="1" outlineLevel="3">
      <c r="A943" s="8" t="n"/>
      <c r="B943" s="14" t="n"/>
      <c r="C943" s="123" t="n"/>
      <c r="D943" s="123" t="n"/>
      <c r="E943" s="123" t="n"/>
      <c r="F943" s="123" t="n"/>
      <c r="G943" s="123" t="n"/>
      <c r="I943" s="55" t="inlineStr">
        <is>
          <t>CONTA</t>
        </is>
      </c>
      <c r="J943" s="135">
        <f>DADOS_INVOC!$QI$63</f>
        <v/>
      </c>
      <c r="K943" s="16" t="n"/>
      <c r="L943" s="16" t="n"/>
      <c r="M943" s="17" t="n"/>
      <c r="N943" s="123" t="n"/>
      <c r="O943" s="123" t="n"/>
      <c r="P943" s="123" t="n"/>
      <c r="Q943" s="123" t="n"/>
      <c r="R943" s="123" t="n"/>
      <c r="S943" s="123" t="n"/>
      <c r="T943" s="123" t="n"/>
      <c r="U943" s="123" t="n"/>
      <c r="V943" s="123" t="n"/>
      <c r="W943" s="123" t="n"/>
      <c r="X943" s="123" t="n"/>
      <c r="Y943" s="123" t="n"/>
      <c r="Z943" s="123" t="n"/>
      <c r="AB943" s="55" t="inlineStr">
        <is>
          <t>CONTA</t>
        </is>
      </c>
      <c r="AC943" s="135">
        <f>DADOS_INVOC!$QI$141</f>
        <v/>
      </c>
      <c r="AD943" s="16" t="n"/>
      <c r="AE943" s="16" t="n"/>
      <c r="AF943" s="17" t="n"/>
      <c r="AG943" s="123" t="n"/>
      <c r="AH943" s="123" t="n"/>
      <c r="AI943" s="123" t="n"/>
      <c r="AJ943" s="123" t="n"/>
      <c r="AK943" s="123" t="n"/>
      <c r="AL943" s="123" t="n"/>
      <c r="AM943" s="123" t="n"/>
      <c r="AN943" s="123" t="n"/>
      <c r="AO943" s="123" t="n"/>
      <c r="AP943" s="123" t="n"/>
      <c r="AQ943" s="123" t="n"/>
      <c r="AR943" s="123" t="n"/>
      <c r="AS943" s="123" t="n"/>
    </row>
    <row r="944" hidden="1" outlineLevel="3">
      <c r="A944" s="8" t="n"/>
      <c r="B944" s="14" t="n"/>
      <c r="C944" s="123" t="n"/>
      <c r="D944" s="123" t="n"/>
      <c r="E944" s="123" t="n"/>
      <c r="F944" s="123" t="n"/>
      <c r="G944" s="123" t="n"/>
      <c r="I944" s="55" t="inlineStr">
        <is>
          <t>AMPLIAR</t>
        </is>
      </c>
      <c r="J944" s="135">
        <f>DADOS_INVOC!$QJ$63</f>
        <v/>
      </c>
      <c r="K944" s="19" t="n"/>
      <c r="L944" s="19" t="n"/>
      <c r="M944" s="20" t="n"/>
      <c r="N944" s="123" t="n"/>
      <c r="O944" s="123" t="n"/>
      <c r="P944" s="123" t="n"/>
      <c r="Q944" s="123" t="n"/>
      <c r="R944" s="123" t="n"/>
      <c r="S944" s="123" t="n"/>
      <c r="T944" s="123" t="n"/>
      <c r="U944" s="123" t="n"/>
      <c r="V944" s="123" t="n"/>
      <c r="W944" s="123" t="n"/>
      <c r="X944" s="123" t="n"/>
      <c r="Y944" s="123" t="n"/>
      <c r="Z944" s="123" t="n"/>
      <c r="AB944" s="55" t="inlineStr">
        <is>
          <t>AMPLIAR</t>
        </is>
      </c>
      <c r="AC944" s="135">
        <f>DADOS_INVOC!$QJ$141</f>
        <v/>
      </c>
      <c r="AD944" s="19" t="n"/>
      <c r="AE944" s="19" t="n"/>
      <c r="AF944" s="20" t="n"/>
      <c r="AG944" s="123" t="n"/>
      <c r="AH944" s="123" t="n"/>
      <c r="AI944" s="123" t="n"/>
      <c r="AJ944" s="123" t="n"/>
      <c r="AK944" s="123" t="n"/>
      <c r="AL944" s="123" t="n"/>
      <c r="AM944" s="123" t="n"/>
      <c r="AN944" s="123" t="n"/>
      <c r="AO944" s="123" t="n"/>
      <c r="AP944" s="123" t="n"/>
      <c r="AQ944" s="123" t="n"/>
      <c r="AR944" s="123" t="n"/>
      <c r="AS944" s="123" t="n"/>
    </row>
    <row r="945" hidden="1" outlineLevel="3">
      <c r="A945" s="8" t="n"/>
      <c r="B945" s="14" t="n"/>
      <c r="C945" s="123" t="n"/>
      <c r="D945" s="123" t="n"/>
      <c r="E945" s="123" t="n"/>
      <c r="F945" s="123" t="n"/>
      <c r="G945" s="123" t="n"/>
      <c r="I945" s="128" t="n"/>
      <c r="J945" s="23" t="n"/>
      <c r="K945" s="24" t="n"/>
      <c r="L945" s="24" t="n"/>
      <c r="M945" s="25" t="n"/>
      <c r="N945" s="123" t="n"/>
      <c r="O945" s="123" t="n"/>
      <c r="P945" s="123" t="n"/>
      <c r="Q945" s="123" t="n"/>
      <c r="R945" s="123" t="n"/>
      <c r="S945" s="123" t="n"/>
      <c r="T945" s="123" t="n"/>
      <c r="U945" s="123" t="n"/>
      <c r="V945" s="123" t="n"/>
      <c r="W945" s="123" t="n"/>
      <c r="X945" s="123" t="n"/>
      <c r="Y945" s="123" t="n"/>
      <c r="Z945" s="123" t="n"/>
      <c r="AB945" s="128" t="n"/>
      <c r="AC945" s="23" t="n"/>
      <c r="AD945" s="24" t="n"/>
      <c r="AE945" s="24" t="n"/>
      <c r="AF945" s="25" t="n"/>
      <c r="AG945" s="123" t="n"/>
      <c r="AH945" s="123" t="n"/>
      <c r="AI945" s="123" t="n"/>
      <c r="AJ945" s="123" t="n"/>
      <c r="AK945" s="123" t="n"/>
      <c r="AL945" s="123" t="n"/>
      <c r="AM945" s="123" t="n"/>
      <c r="AN945" s="123" t="n"/>
      <c r="AO945" s="123" t="n"/>
      <c r="AP945" s="123" t="n"/>
      <c r="AQ945" s="123" t="n"/>
      <c r="AR945" s="123" t="n"/>
      <c r="AS945" s="123" t="n"/>
    </row>
    <row r="946" hidden="1" outlineLevel="3">
      <c r="A946" s="8" t="n"/>
      <c r="B946" s="14" t="n"/>
      <c r="C946" s="123" t="n"/>
      <c r="D946" s="123" t="n"/>
      <c r="E946" s="123" t="n"/>
      <c r="F946" s="123" t="n"/>
      <c r="G946" s="123" t="n"/>
      <c r="I946" s="135">
        <f>DADOS_INVOC!$PW$63</f>
        <v/>
      </c>
      <c r="J946" s="19" t="n"/>
      <c r="K946" s="19" t="n"/>
      <c r="L946" s="19" t="n"/>
      <c r="M946" s="20" t="n"/>
      <c r="N946" s="123" t="n"/>
      <c r="O946" s="123" t="n"/>
      <c r="P946" s="123" t="n"/>
      <c r="Q946" s="123" t="n"/>
      <c r="R946" s="123" t="n"/>
      <c r="S946" s="123" t="n"/>
      <c r="T946" s="123" t="n"/>
      <c r="U946" s="123" t="n"/>
      <c r="V946" s="123" t="n"/>
      <c r="W946" s="123" t="n"/>
      <c r="X946" s="123" t="n"/>
      <c r="Y946" s="123" t="n"/>
      <c r="Z946" s="123" t="n"/>
      <c r="AB946" s="135">
        <f>DADOS_INVOC!$PW$141</f>
        <v/>
      </c>
      <c r="AC946" s="19" t="n"/>
      <c r="AD946" s="19" t="n"/>
      <c r="AE946" s="19" t="n"/>
      <c r="AF946" s="20" t="n"/>
      <c r="AG946" s="123" t="n"/>
      <c r="AH946" s="123" t="n"/>
      <c r="AI946" s="123" t="n"/>
      <c r="AJ946" s="123" t="n"/>
      <c r="AK946" s="123" t="n"/>
      <c r="AL946" s="123" t="n"/>
      <c r="AM946" s="123" t="n"/>
      <c r="AN946" s="123" t="n"/>
      <c r="AO946" s="123" t="n"/>
      <c r="AP946" s="123" t="n"/>
      <c r="AQ946" s="123" t="n"/>
      <c r="AR946" s="123" t="n"/>
      <c r="AS946" s="123" t="n"/>
    </row>
    <row r="947" hidden="1" outlineLevel="3">
      <c r="A947" s="8" t="n"/>
      <c r="B947" s="14" t="n"/>
      <c r="C947" s="123" t="n"/>
      <c r="D947" s="123" t="n"/>
      <c r="E947" s="123" t="n"/>
      <c r="F947" s="123" t="n"/>
      <c r="G947" s="123" t="n"/>
      <c r="I947" s="23" t="n"/>
      <c r="J947" s="24" t="n"/>
      <c r="K947" s="24" t="n"/>
      <c r="L947" s="24" t="n"/>
      <c r="M947" s="25" t="n"/>
      <c r="N947" s="123" t="n"/>
      <c r="O947" s="123" t="n"/>
      <c r="P947" s="123" t="n"/>
      <c r="Q947" s="123" t="n"/>
      <c r="R947" s="123" t="n"/>
      <c r="S947" s="123" t="n"/>
      <c r="T947" s="123" t="n"/>
      <c r="U947" s="123" t="n"/>
      <c r="V947" s="123" t="n"/>
      <c r="W947" s="123" t="n"/>
      <c r="X947" s="123" t="n"/>
      <c r="Y947" s="123" t="n"/>
      <c r="Z947" s="123" t="n"/>
      <c r="AB947" s="23" t="n"/>
      <c r="AC947" s="24" t="n"/>
      <c r="AD947" s="24" t="n"/>
      <c r="AE947" s="24" t="n"/>
      <c r="AF947" s="25" t="n"/>
      <c r="AG947" s="123" t="n"/>
      <c r="AH947" s="123" t="n"/>
      <c r="AI947" s="123" t="n"/>
      <c r="AJ947" s="123" t="n"/>
      <c r="AK947" s="123" t="n"/>
      <c r="AL947" s="123" t="n"/>
      <c r="AM947" s="123" t="n"/>
      <c r="AN947" s="123" t="n"/>
      <c r="AO947" s="123" t="n"/>
      <c r="AP947" s="123" t="n"/>
      <c r="AQ947" s="123" t="n"/>
      <c r="AR947" s="123" t="n"/>
      <c r="AS947" s="123" t="n"/>
    </row>
    <row r="948" hidden="1" outlineLevel="1">
      <c r="A948" s="8" t="n"/>
      <c r="B948" s="14" t="n"/>
      <c r="C948" s="123" t="n"/>
      <c r="D948" s="123" t="n"/>
      <c r="E948" s="123" t="n"/>
      <c r="F948" s="123" t="n"/>
      <c r="G948" s="123" t="n"/>
      <c r="I948" s="123" t="n"/>
      <c r="J948" s="123" t="n"/>
      <c r="K948" s="123" t="n"/>
      <c r="L948" s="123" t="n"/>
      <c r="M948" s="123" t="n"/>
      <c r="N948" s="123" t="n"/>
      <c r="O948" s="123" t="n"/>
      <c r="P948" s="123" t="n"/>
      <c r="Q948" s="123" t="n"/>
      <c r="R948" s="123" t="n"/>
      <c r="S948" s="123" t="n"/>
      <c r="T948" s="123" t="n"/>
      <c r="U948" s="123" t="n"/>
      <c r="V948" s="123" t="n"/>
      <c r="W948" s="123" t="n"/>
      <c r="X948" s="123" t="n"/>
      <c r="Y948" s="123" t="n"/>
      <c r="Z948" s="123" t="n"/>
      <c r="AB948" s="123" t="n"/>
      <c r="AC948" s="123" t="n"/>
      <c r="AD948" s="123" t="n"/>
      <c r="AE948" s="123" t="n"/>
      <c r="AF948" s="123" t="n"/>
      <c r="AG948" s="123" t="n"/>
      <c r="AH948" s="123" t="n"/>
      <c r="AI948" s="123" t="n"/>
      <c r="AJ948" s="123" t="n"/>
      <c r="AK948" s="123" t="n"/>
      <c r="AL948" s="123" t="n"/>
      <c r="AM948" s="123" t="n"/>
      <c r="AN948" s="123" t="n"/>
      <c r="AO948" s="123" t="n"/>
      <c r="AP948" s="123" t="n"/>
      <c r="AQ948" s="123" t="n"/>
      <c r="AR948" s="123" t="n"/>
      <c r="AS948" s="123" t="n"/>
    </row>
    <row r="949" hidden="1" outlineLevel="1">
      <c r="A949" s="8" t="n"/>
      <c r="B949" s="14" t="n"/>
      <c r="C949" s="123" t="n"/>
      <c r="D949" s="123" t="n"/>
      <c r="E949" s="123" t="n"/>
      <c r="F949" s="123" t="n"/>
      <c r="G949" s="123" t="n"/>
      <c r="I949" s="136"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23" t="n"/>
      <c r="AB949" s="136"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23" t="n"/>
    </row>
    <row r="950" hidden="1" outlineLevel="2">
      <c r="A950" s="8" t="n"/>
      <c r="B950" s="14" t="n"/>
      <c r="C950" s="123" t="n"/>
      <c r="D950" s="123" t="n"/>
      <c r="E950" s="123" t="n"/>
      <c r="F950" s="123" t="n"/>
      <c r="G950" s="123" t="n"/>
      <c r="I950" s="123" t="n"/>
      <c r="J950" s="123" t="n"/>
      <c r="K950" s="123" t="n"/>
      <c r="L950" s="123" t="n"/>
      <c r="M950" s="123" t="n"/>
      <c r="N950" s="123" t="n"/>
      <c r="O950" s="123" t="n"/>
      <c r="P950" s="123" t="n"/>
      <c r="Q950" s="123" t="n"/>
      <c r="R950" s="123" t="n"/>
      <c r="S950" s="123" t="n"/>
      <c r="T950" s="123" t="n"/>
      <c r="U950" s="123" t="n"/>
      <c r="V950" s="123" t="n"/>
      <c r="W950" s="123" t="n"/>
      <c r="X950" s="123" t="n"/>
      <c r="Y950" s="123" t="n"/>
      <c r="Z950" s="123" t="n"/>
      <c r="AB950" s="123" t="n"/>
      <c r="AC950" s="123" t="n"/>
      <c r="AD950" s="123" t="n"/>
      <c r="AE950" s="123" t="n"/>
      <c r="AF950" s="123" t="n"/>
      <c r="AG950" s="123" t="n"/>
      <c r="AH950" s="123" t="n"/>
      <c r="AI950" s="123" t="n"/>
      <c r="AJ950" s="123" t="n"/>
      <c r="AK950" s="123" t="n"/>
      <c r="AL950" s="123" t="n"/>
      <c r="AM950" s="123" t="n"/>
      <c r="AN950" s="123" t="n"/>
      <c r="AO950" s="123" t="n"/>
      <c r="AP950" s="123" t="n"/>
      <c r="AQ950" s="123" t="n"/>
      <c r="AR950" s="123" t="n"/>
      <c r="AS950" s="123" t="n"/>
    </row>
    <row r="951" hidden="1" outlineLevel="2">
      <c r="A951" s="8" t="n"/>
      <c r="B951" s="14" t="n"/>
      <c r="C951" s="123" t="n"/>
      <c r="D951" s="123" t="n"/>
      <c r="E951" s="123" t="n"/>
      <c r="F951" s="123" t="n"/>
      <c r="G951" s="123" t="n"/>
      <c r="I951" s="55">
        <f>DADOS_INVOC!$PX$64</f>
        <v/>
      </c>
      <c r="J951" s="16" t="n"/>
      <c r="K951" s="16" t="n"/>
      <c r="L951" s="16" t="n"/>
      <c r="M951" s="17" t="n"/>
      <c r="N951" s="123" t="n"/>
      <c r="O951" s="55">
        <f>DADOS_INVOC!$PX$65</f>
        <v/>
      </c>
      <c r="P951" s="16" t="n"/>
      <c r="Q951" s="16" t="n"/>
      <c r="R951" s="16" t="n"/>
      <c r="S951" s="17" t="n"/>
      <c r="T951" s="123" t="n"/>
      <c r="U951" s="55">
        <f>DADOS_INVOC!$PX$66</f>
        <v/>
      </c>
      <c r="V951" s="16" t="n"/>
      <c r="W951" s="16" t="n"/>
      <c r="X951" s="16" t="n"/>
      <c r="Y951" s="17" t="n"/>
      <c r="Z951" s="123" t="n"/>
      <c r="AB951" s="55">
        <f>DADOS_INVOC!$PX$142</f>
        <v/>
      </c>
      <c r="AC951" s="16" t="n"/>
      <c r="AD951" s="16" t="n"/>
      <c r="AE951" s="16" t="n"/>
      <c r="AF951" s="17" t="n"/>
      <c r="AG951" s="123" t="n"/>
      <c r="AH951" s="55">
        <f>DADOS_INVOC!$PX$143</f>
        <v/>
      </c>
      <c r="AI951" s="16" t="n"/>
      <c r="AJ951" s="16" t="n"/>
      <c r="AK951" s="16" t="n"/>
      <c r="AL951" s="17" t="n"/>
      <c r="AM951" s="123" t="n"/>
      <c r="AN951" s="55">
        <f>DADOS_INVOC!$PX$144</f>
        <v/>
      </c>
      <c r="AO951" s="16" t="n"/>
      <c r="AP951" s="16" t="n"/>
      <c r="AQ951" s="16" t="n"/>
      <c r="AR951" s="17" t="n"/>
      <c r="AS951" s="123" t="n"/>
    </row>
    <row r="952" hidden="1" outlineLevel="2">
      <c r="A952" s="8" t="n"/>
      <c r="B952" s="14" t="n"/>
      <c r="C952" s="123" t="n"/>
      <c r="D952" s="123" t="n"/>
      <c r="E952" s="123" t="n"/>
      <c r="F952" s="123" t="n"/>
      <c r="G952" s="123" t="n"/>
      <c r="I952" s="130" t="n">
        <v>1</v>
      </c>
      <c r="J952" s="118" t="n"/>
      <c r="K952" s="16" t="n"/>
      <c r="L952" s="17" t="n"/>
      <c r="M952" s="131">
        <f>DADOS_INVOC!$PV$64</f>
        <v/>
      </c>
      <c r="N952" s="123" t="n"/>
      <c r="O952" s="130" t="n">
        <v>1</v>
      </c>
      <c r="P952" s="118" t="n"/>
      <c r="Q952" s="16" t="n"/>
      <c r="R952" s="17" t="n"/>
      <c r="S952" s="131">
        <f>DADOS_INVOC!$PV$65</f>
        <v/>
      </c>
      <c r="T952" s="123" t="n"/>
      <c r="U952" s="130" t="n">
        <v>1</v>
      </c>
      <c r="V952" s="118" t="n"/>
      <c r="W952" s="16" t="n"/>
      <c r="X952" s="17" t="n"/>
      <c r="Y952" s="131">
        <f>DADOS_INVOC!$PV$66</f>
        <v/>
      </c>
      <c r="Z952" s="123" t="n"/>
      <c r="AB952" s="130" t="n">
        <v>1</v>
      </c>
      <c r="AC952" s="118" t="n"/>
      <c r="AD952" s="16" t="n"/>
      <c r="AE952" s="17" t="n"/>
      <c r="AF952" s="131">
        <f>DADOS_INVOC!$PV$142</f>
        <v/>
      </c>
      <c r="AG952" s="123" t="n"/>
      <c r="AH952" s="130" t="n">
        <v>1</v>
      </c>
      <c r="AI952" s="118" t="n"/>
      <c r="AJ952" s="16" t="n"/>
      <c r="AK952" s="17" t="n"/>
      <c r="AL952" s="131">
        <f>DADOS_INVOC!$PV$143</f>
        <v/>
      </c>
      <c r="AM952" s="123" t="n"/>
      <c r="AN952" s="130" t="n">
        <v>1</v>
      </c>
      <c r="AO952" s="118" t="n"/>
      <c r="AP952" s="16" t="n"/>
      <c r="AQ952" s="17" t="n"/>
      <c r="AR952" s="131">
        <f>DADOS_INVOC!$PV$144</f>
        <v/>
      </c>
      <c r="AS952" s="123" t="n"/>
    </row>
    <row r="953" hidden="1" outlineLevel="3">
      <c r="A953" s="8" t="n"/>
      <c r="B953" s="14" t="n"/>
      <c r="C953" s="123" t="n"/>
      <c r="D953" s="123" t="n"/>
      <c r="E953" s="123" t="n"/>
      <c r="F953" s="123" t="n"/>
      <c r="G953" s="123" t="n"/>
      <c r="I953" s="55" t="inlineStr">
        <is>
          <t>COMO É</t>
        </is>
      </c>
      <c r="J953" s="16" t="n"/>
      <c r="K953" s="16" t="n"/>
      <c r="L953" s="16" t="n"/>
      <c r="M953" s="17" t="n"/>
      <c r="N953" s="123" t="n"/>
      <c r="O953" s="55" t="inlineStr">
        <is>
          <t>COMO É</t>
        </is>
      </c>
      <c r="P953" s="16" t="n"/>
      <c r="Q953" s="16" t="n"/>
      <c r="R953" s="16" t="n"/>
      <c r="S953" s="17" t="n"/>
      <c r="T953" s="123" t="n"/>
      <c r="U953" s="55" t="inlineStr">
        <is>
          <t>COMO É</t>
        </is>
      </c>
      <c r="V953" s="16" t="n"/>
      <c r="W953" s="16" t="n"/>
      <c r="X953" s="16" t="n"/>
      <c r="Y953" s="17" t="n"/>
      <c r="Z953" s="123" t="n"/>
      <c r="AB953" s="55" t="inlineStr">
        <is>
          <t>COMO É</t>
        </is>
      </c>
      <c r="AC953" s="16" t="n"/>
      <c r="AD953" s="16" t="n"/>
      <c r="AE953" s="16" t="n"/>
      <c r="AF953" s="17" t="n"/>
      <c r="AG953" s="123" t="n"/>
      <c r="AH953" s="55" t="inlineStr">
        <is>
          <t>COMO É</t>
        </is>
      </c>
      <c r="AI953" s="16" t="n"/>
      <c r="AJ953" s="16" t="n"/>
      <c r="AK953" s="16" t="n"/>
      <c r="AL953" s="17" t="n"/>
      <c r="AM953" s="123" t="n"/>
      <c r="AN953" s="55" t="inlineStr">
        <is>
          <t>COMO É</t>
        </is>
      </c>
      <c r="AO953" s="16" t="n"/>
      <c r="AP953" s="16" t="n"/>
      <c r="AQ953" s="16" t="n"/>
      <c r="AR953" s="17" t="n"/>
      <c r="AS953" s="123" t="n"/>
    </row>
    <row r="954" hidden="1" outlineLevel="3">
      <c r="A954" s="8" t="n"/>
      <c r="B954" s="14" t="n"/>
      <c r="C954" s="123" t="n"/>
      <c r="D954" s="123" t="n"/>
      <c r="E954" s="123" t="n"/>
      <c r="F954" s="123" t="n"/>
      <c r="G954" s="123" t="n"/>
      <c r="I954" s="119" t="n"/>
      <c r="J954" s="19" t="n"/>
      <c r="K954" s="19" t="n"/>
      <c r="L954" s="19" t="n"/>
      <c r="M954" s="20" t="n"/>
      <c r="N954" s="123" t="n"/>
      <c r="O954" s="119" t="n"/>
      <c r="P954" s="19" t="n"/>
      <c r="Q954" s="19" t="n"/>
      <c r="R954" s="19" t="n"/>
      <c r="S954" s="20" t="n"/>
      <c r="T954" s="123" t="n"/>
      <c r="U954" s="119" t="n"/>
      <c r="V954" s="19" t="n"/>
      <c r="W954" s="19" t="n"/>
      <c r="X954" s="19" t="n"/>
      <c r="Y954" s="20" t="n"/>
      <c r="Z954" s="123" t="n"/>
      <c r="AB954" s="119" t="n"/>
      <c r="AC954" s="19" t="n"/>
      <c r="AD954" s="19" t="n"/>
      <c r="AE954" s="19" t="n"/>
      <c r="AF954" s="20" t="n"/>
      <c r="AG954" s="123" t="n"/>
      <c r="AH954" s="119" t="n"/>
      <c r="AI954" s="19" t="n"/>
      <c r="AJ954" s="19" t="n"/>
      <c r="AK954" s="19" t="n"/>
      <c r="AL954" s="20" t="n"/>
      <c r="AM954" s="123" t="n"/>
      <c r="AN954" s="119" t="n"/>
      <c r="AO954" s="19" t="n"/>
      <c r="AP954" s="19" t="n"/>
      <c r="AQ954" s="19" t="n"/>
      <c r="AR954" s="20" t="n"/>
      <c r="AS954" s="123" t="n"/>
    </row>
    <row r="955" hidden="1" outlineLevel="3">
      <c r="A955" s="8" t="n"/>
      <c r="B955" s="14" t="n"/>
      <c r="C955" s="123" t="n"/>
      <c r="D955" s="123" t="n"/>
      <c r="E955" s="123" t="n"/>
      <c r="F955" s="123" t="n"/>
      <c r="G955" s="123" t="n"/>
      <c r="I955" s="21" t="n"/>
      <c r="M955" s="22" t="n"/>
      <c r="N955" s="123" t="n"/>
      <c r="O955" s="21" t="n"/>
      <c r="S955" s="22" t="n"/>
      <c r="T955" s="123" t="n"/>
      <c r="U955" s="21" t="n"/>
      <c r="Y955" s="22" t="n"/>
      <c r="Z955" s="123" t="n"/>
      <c r="AB955" s="21" t="n"/>
      <c r="AF955" s="22" t="n"/>
      <c r="AG955" s="123" t="n"/>
      <c r="AH955" s="21" t="n"/>
      <c r="AL955" s="22" t="n"/>
      <c r="AM955" s="123" t="n"/>
      <c r="AN955" s="21" t="n"/>
      <c r="AR955" s="22" t="n"/>
      <c r="AS955" s="123" t="n"/>
    </row>
    <row r="956" hidden="1" outlineLevel="3">
      <c r="A956" s="8" t="n"/>
      <c r="B956" s="14" t="n"/>
      <c r="C956" s="123" t="n"/>
      <c r="D956" s="123" t="n"/>
      <c r="E956" s="123" t="n"/>
      <c r="F956" s="123" t="n"/>
      <c r="G956" s="123" t="n"/>
      <c r="I956" s="23" t="n"/>
      <c r="J956" s="24" t="n"/>
      <c r="K956" s="24" t="n"/>
      <c r="L956" s="24" t="n"/>
      <c r="M956" s="25" t="n"/>
      <c r="N956" s="123" t="n"/>
      <c r="O956" s="23" t="n"/>
      <c r="P956" s="24" t="n"/>
      <c r="Q956" s="24" t="n"/>
      <c r="R956" s="24" t="n"/>
      <c r="S956" s="25" t="n"/>
      <c r="T956" s="123" t="n"/>
      <c r="U956" s="23" t="n"/>
      <c r="V956" s="24" t="n"/>
      <c r="W956" s="24" t="n"/>
      <c r="X956" s="24" t="n"/>
      <c r="Y956" s="25" t="n"/>
      <c r="Z956" s="123" t="n"/>
      <c r="AB956" s="23" t="n"/>
      <c r="AC956" s="24" t="n"/>
      <c r="AD956" s="24" t="n"/>
      <c r="AE956" s="24" t="n"/>
      <c r="AF956" s="25" t="n"/>
      <c r="AG956" s="123" t="n"/>
      <c r="AH956" s="23" t="n"/>
      <c r="AI956" s="24" t="n"/>
      <c r="AJ956" s="24" t="n"/>
      <c r="AK956" s="24" t="n"/>
      <c r="AL956" s="25" t="n"/>
      <c r="AM956" s="123" t="n"/>
      <c r="AN956" s="23" t="n"/>
      <c r="AO956" s="24" t="n"/>
      <c r="AP956" s="24" t="n"/>
      <c r="AQ956" s="24" t="n"/>
      <c r="AR956" s="25" t="n"/>
      <c r="AS956" s="123" t="n"/>
    </row>
    <row r="957" hidden="1" outlineLevel="2">
      <c r="A957" s="8" t="n"/>
      <c r="B957" s="14" t="n"/>
      <c r="C957" s="123" t="n"/>
      <c r="D957" s="123" t="n"/>
      <c r="E957" s="123" t="n"/>
      <c r="F957" s="123" t="n"/>
      <c r="G957" s="123" t="n"/>
      <c r="I957" s="127" t="inlineStr">
        <is>
          <t>Projétil</t>
        </is>
      </c>
      <c r="J957" s="17" t="n"/>
      <c r="K957" s="68">
        <f>DADOS_INVOC!$QC$64</f>
        <v/>
      </c>
      <c r="L957" s="17" t="n"/>
      <c r="M957" s="68">
        <f>DADOS_INVOC!$PY$64</f>
        <v/>
      </c>
      <c r="N957" s="123" t="n"/>
      <c r="O957" s="127" t="inlineStr">
        <is>
          <t>Projétil</t>
        </is>
      </c>
      <c r="P957" s="17" t="n"/>
      <c r="Q957" s="68">
        <f>DADOS_INVOC!$QC$65</f>
        <v/>
      </c>
      <c r="R957" s="17" t="n"/>
      <c r="S957" s="68">
        <f>DADOS_INVOC!$PY$65</f>
        <v/>
      </c>
      <c r="T957" s="123" t="n"/>
      <c r="U957" s="127" t="inlineStr">
        <is>
          <t>Projétil</t>
        </is>
      </c>
      <c r="V957" s="17" t="n"/>
      <c r="W957" s="68">
        <f>DADOS_INVOC!$QC$66</f>
        <v/>
      </c>
      <c r="X957" s="17" t="n"/>
      <c r="Y957" s="68">
        <f>DADOS_INVOC!$PY$66</f>
        <v/>
      </c>
      <c r="Z957" s="123" t="n"/>
      <c r="AB957" s="127" t="inlineStr">
        <is>
          <t>Projétil</t>
        </is>
      </c>
      <c r="AC957" s="17" t="n"/>
      <c r="AD957" s="68">
        <f>DADOS_INVOC!$QC$142</f>
        <v/>
      </c>
      <c r="AE957" s="17" t="n"/>
      <c r="AF957" s="68">
        <f>DADOS_INVOC!$PY$142</f>
        <v/>
      </c>
      <c r="AG957" s="123" t="n"/>
      <c r="AH957" s="127" t="inlineStr">
        <is>
          <t>Projétil</t>
        </is>
      </c>
      <c r="AI957" s="17" t="n"/>
      <c r="AJ957" s="68">
        <f>DADOS_INVOC!$QC$143</f>
        <v/>
      </c>
      <c r="AK957" s="17" t="n"/>
      <c r="AL957" s="68">
        <f>DADOS_INVOC!$PY$143</f>
        <v/>
      </c>
      <c r="AM957" s="123" t="n"/>
      <c r="AN957" s="127" t="inlineStr">
        <is>
          <t>Projétil</t>
        </is>
      </c>
      <c r="AO957" s="17" t="n"/>
      <c r="AP957" s="68">
        <f>DADOS_INVOC!$QC$144</f>
        <v/>
      </c>
      <c r="AQ957" s="17" t="n"/>
      <c r="AR957" s="68">
        <f>DADOS_INVOC!$PY$144</f>
        <v/>
      </c>
      <c r="AS957" s="123" t="n"/>
    </row>
    <row r="958" hidden="1" outlineLevel="2">
      <c r="A958" s="8" t="n"/>
      <c r="B958" s="14" t="n"/>
      <c r="C958" s="123" t="n"/>
      <c r="D958" s="123" t="n"/>
      <c r="E958" s="123" t="n"/>
      <c r="F958" s="123" t="n"/>
      <c r="G958" s="123" t="n"/>
      <c r="I958" s="127" t="n"/>
      <c r="J958" s="17" t="n"/>
      <c r="K958" s="127" t="n"/>
      <c r="L958" s="16" t="n"/>
      <c r="M958" s="17" t="n"/>
      <c r="N958" s="123" t="n"/>
      <c r="O958" s="127" t="n"/>
      <c r="P958" s="17" t="n"/>
      <c r="Q958" s="127" t="n"/>
      <c r="R958" s="16" t="n"/>
      <c r="S958" s="17" t="n"/>
      <c r="T958" s="123" t="n"/>
      <c r="U958" s="127" t="n"/>
      <c r="V958" s="17" t="n"/>
      <c r="W958" s="127" t="n"/>
      <c r="X958" s="16" t="n"/>
      <c r="Y958" s="17" t="n"/>
      <c r="Z958" s="123" t="n"/>
      <c r="AB958" s="127" t="n"/>
      <c r="AC958" s="17" t="n"/>
      <c r="AD958" s="127" t="n"/>
      <c r="AE958" s="16" t="n"/>
      <c r="AF958" s="17" t="n"/>
      <c r="AG958" s="123" t="n"/>
      <c r="AH958" s="127" t="n"/>
      <c r="AI958" s="17" t="n"/>
      <c r="AJ958" s="127" t="n"/>
      <c r="AK958" s="16" t="n"/>
      <c r="AL958" s="17" t="n"/>
      <c r="AM958" s="123" t="n"/>
      <c r="AN958" s="127" t="n"/>
      <c r="AO958" s="17" t="n"/>
      <c r="AP958" s="127" t="n"/>
      <c r="AQ958" s="16" t="n"/>
      <c r="AR958" s="17" t="n"/>
      <c r="AS958" s="123" t="n"/>
    </row>
    <row r="959" hidden="1" outlineLevel="2">
      <c r="A959" s="8" t="n"/>
      <c r="B959" s="14" t="n"/>
      <c r="C959" s="123" t="n"/>
      <c r="D959" s="123" t="n"/>
      <c r="E959" s="123" t="n"/>
      <c r="F959" s="123" t="n"/>
      <c r="G959" s="123" t="n"/>
      <c r="I959" s="127">
        <f>DADOS_INVOC!$PZ$64</f>
        <v/>
      </c>
      <c r="J959" s="17" t="n"/>
      <c r="K959" s="127">
        <f>DADOS_INVOC!$QB$64</f>
        <v/>
      </c>
      <c r="L959" s="16" t="n"/>
      <c r="M959" s="17" t="n"/>
      <c r="N959" s="123" t="n"/>
      <c r="O959" s="127">
        <f>DADOS_INVOC!$PZ$65</f>
        <v/>
      </c>
      <c r="P959" s="17" t="n"/>
      <c r="Q959" s="127">
        <f>DADOS_INVOC!$QB$65</f>
        <v/>
      </c>
      <c r="R959" s="16" t="n"/>
      <c r="S959" s="17" t="n"/>
      <c r="T959" s="123" t="n"/>
      <c r="U959" s="127">
        <f>DADOS_INVOC!$PZ$66</f>
        <v/>
      </c>
      <c r="V959" s="17" t="n"/>
      <c r="W959" s="127">
        <f>DADOS_INVOC!$QB$66</f>
        <v/>
      </c>
      <c r="X959" s="16" t="n"/>
      <c r="Y959" s="17" t="n"/>
      <c r="Z959" s="123" t="n"/>
      <c r="AB959" s="127">
        <f>DADOS_INVOC!$PZ$142</f>
        <v/>
      </c>
      <c r="AC959" s="17" t="n"/>
      <c r="AD959" s="127">
        <f>DADOS_INVOC!$QB$142</f>
        <v/>
      </c>
      <c r="AE959" s="16" t="n"/>
      <c r="AF959" s="17" t="n"/>
      <c r="AG959" s="123" t="n"/>
      <c r="AH959" s="127">
        <f>DADOS_INVOC!$PZ$143</f>
        <v/>
      </c>
      <c r="AI959" s="17" t="n"/>
      <c r="AJ959" s="127">
        <f>DADOS_INVOC!$QB$143</f>
        <v/>
      </c>
      <c r="AK959" s="16" t="n"/>
      <c r="AL959" s="17" t="n"/>
      <c r="AM959" s="123" t="n"/>
      <c r="AN959" s="127">
        <f>DADOS_INVOC!$PZ$144</f>
        <v/>
      </c>
      <c r="AO959" s="17" t="n"/>
      <c r="AP959" s="127">
        <f>DADOS_INVOC!$QB$144</f>
        <v/>
      </c>
      <c r="AQ959" s="16" t="n"/>
      <c r="AR959" s="17" t="n"/>
      <c r="AS959" s="123" t="n"/>
    </row>
    <row r="960" hidden="1" outlineLevel="2">
      <c r="A960" s="8" t="n"/>
      <c r="B960" s="14" t="n"/>
      <c r="C960" s="123" t="n"/>
      <c r="D960" s="123" t="n"/>
      <c r="E960" s="123" t="n"/>
      <c r="F960" s="123" t="n"/>
      <c r="G960" s="123" t="n"/>
      <c r="I960" s="132">
        <f>DADOS_INVOC!$QH$64</f>
        <v/>
      </c>
      <c r="J960" s="16" t="n"/>
      <c r="K960" s="16" t="n"/>
      <c r="L960" s="16" t="n"/>
      <c r="M960" s="17" t="n"/>
      <c r="N960" s="123" t="n"/>
      <c r="O960" s="132">
        <f>DADOS_INVOC!$QH$65</f>
        <v/>
      </c>
      <c r="P960" s="16" t="n"/>
      <c r="Q960" s="16" t="n"/>
      <c r="R960" s="16" t="n"/>
      <c r="S960" s="17" t="n"/>
      <c r="T960" s="123" t="n"/>
      <c r="U960" s="132">
        <f>DADOS_INVOC!$QH$66</f>
        <v/>
      </c>
      <c r="V960" s="16" t="n"/>
      <c r="W960" s="16" t="n"/>
      <c r="X960" s="16" t="n"/>
      <c r="Y960" s="17" t="n"/>
      <c r="Z960" s="123" t="n"/>
      <c r="AB960" s="132">
        <f>DADOS_INVOC!$QH$142</f>
        <v/>
      </c>
      <c r="AC960" s="16" t="n"/>
      <c r="AD960" s="16" t="n"/>
      <c r="AE960" s="16" t="n"/>
      <c r="AF960" s="17" t="n"/>
      <c r="AG960" s="123" t="n"/>
      <c r="AH960" s="132">
        <f>DADOS_INVOC!$QH$143</f>
        <v/>
      </c>
      <c r="AI960" s="16" t="n"/>
      <c r="AJ960" s="16" t="n"/>
      <c r="AK960" s="16" t="n"/>
      <c r="AL960" s="17" t="n"/>
      <c r="AM960" s="123" t="n"/>
      <c r="AN960" s="132">
        <f>DADOS_INVOC!$QH$144</f>
        <v/>
      </c>
      <c r="AO960" s="16" t="n"/>
      <c r="AP960" s="16" t="n"/>
      <c r="AQ960" s="16" t="n"/>
      <c r="AR960" s="17" t="n"/>
      <c r="AS960" s="123" t="n"/>
    </row>
    <row r="961" hidden="1" outlineLevel="3">
      <c r="A961" s="8" t="n"/>
      <c r="B961" s="14" t="n"/>
      <c r="C961" s="123" t="n"/>
      <c r="D961" s="123" t="n"/>
      <c r="E961" s="123" t="n"/>
      <c r="F961" s="123" t="n"/>
      <c r="G961" s="123" t="n"/>
      <c r="I961" s="55" t="inlineStr">
        <is>
          <t>MELHORIAS</t>
        </is>
      </c>
      <c r="J961" s="133" t="n"/>
      <c r="K961" s="16" t="n"/>
      <c r="L961" s="17" t="n"/>
      <c r="M961" s="132">
        <f>DADOS_INVOC!$QK$64</f>
        <v/>
      </c>
      <c r="N961" s="123" t="n"/>
      <c r="O961" s="55" t="inlineStr">
        <is>
          <t>MELHORIAS</t>
        </is>
      </c>
      <c r="P961" s="133" t="n"/>
      <c r="Q961" s="16" t="n"/>
      <c r="R961" s="17" t="n"/>
      <c r="S961" s="132">
        <f>DADOS_INVOC!$QK$65</f>
        <v/>
      </c>
      <c r="T961" s="123" t="n"/>
      <c r="U961" s="55" t="inlineStr">
        <is>
          <t>MELHORIAS</t>
        </is>
      </c>
      <c r="V961" s="133" t="n"/>
      <c r="W961" s="16" t="n"/>
      <c r="X961" s="17" t="n"/>
      <c r="Y961" s="132">
        <f>DADOS_INVOC!$QK$66</f>
        <v/>
      </c>
      <c r="Z961" s="123" t="n"/>
      <c r="AB961" s="55" t="inlineStr">
        <is>
          <t>MELHORIAS</t>
        </is>
      </c>
      <c r="AC961" s="133" t="n"/>
      <c r="AD961" s="16" t="n"/>
      <c r="AE961" s="17" t="n"/>
      <c r="AF961" s="132">
        <f>DADOS_INVOC!$QK$142</f>
        <v/>
      </c>
      <c r="AG961" s="123" t="n"/>
      <c r="AH961" s="55" t="inlineStr">
        <is>
          <t>MELHORIAS</t>
        </is>
      </c>
      <c r="AI961" s="133" t="n"/>
      <c r="AJ961" s="16" t="n"/>
      <c r="AK961" s="17" t="n"/>
      <c r="AL961" s="132">
        <f>DADOS_INVOC!$QK$143</f>
        <v/>
      </c>
      <c r="AM961" s="123" t="n"/>
      <c r="AN961" s="55" t="inlineStr">
        <is>
          <t>MELHORIAS</t>
        </is>
      </c>
      <c r="AO961" s="133" t="n"/>
      <c r="AP961" s="16" t="n"/>
      <c r="AQ961" s="17" t="n"/>
      <c r="AR961" s="132">
        <f>DADOS_INVOC!$QK$144</f>
        <v/>
      </c>
      <c r="AS961" s="123" t="n"/>
    </row>
    <row r="962" hidden="1" outlineLevel="3">
      <c r="A962" s="8" t="n"/>
      <c r="B962" s="14" t="n"/>
      <c r="C962" s="123" t="n"/>
      <c r="D962" s="123" t="n"/>
      <c r="E962" s="123" t="n"/>
      <c r="F962" s="123" t="n"/>
      <c r="G962" s="123" t="n"/>
      <c r="I962" s="134" t="n"/>
      <c r="J962" s="133" t="n"/>
      <c r="K962" s="16" t="n"/>
      <c r="L962" s="17" t="n"/>
      <c r="M962" s="132">
        <f>DADOS_INVOC!$QL$64</f>
        <v/>
      </c>
      <c r="N962" s="123" t="n"/>
      <c r="O962" s="134" t="n"/>
      <c r="P962" s="133" t="n"/>
      <c r="Q962" s="16" t="n"/>
      <c r="R962" s="17" t="n"/>
      <c r="S962" s="132">
        <f>DADOS_INVOC!$QL$65</f>
        <v/>
      </c>
      <c r="T962" s="123" t="n"/>
      <c r="U962" s="134" t="n"/>
      <c r="V962" s="133" t="n"/>
      <c r="W962" s="16" t="n"/>
      <c r="X962" s="17" t="n"/>
      <c r="Y962" s="132">
        <f>DADOS_INVOC!$QL$66</f>
        <v/>
      </c>
      <c r="Z962" s="123" t="n"/>
      <c r="AB962" s="134" t="n"/>
      <c r="AC962" s="133" t="n"/>
      <c r="AD962" s="16" t="n"/>
      <c r="AE962" s="17" t="n"/>
      <c r="AF962" s="132">
        <f>DADOS_INVOC!$QL$142</f>
        <v/>
      </c>
      <c r="AG962" s="123" t="n"/>
      <c r="AH962" s="134" t="n"/>
      <c r="AI962" s="133" t="n"/>
      <c r="AJ962" s="16" t="n"/>
      <c r="AK962" s="17" t="n"/>
      <c r="AL962" s="132">
        <f>DADOS_INVOC!$QL$143</f>
        <v/>
      </c>
      <c r="AM962" s="123" t="n"/>
      <c r="AN962" s="134" t="n"/>
      <c r="AO962" s="133" t="n"/>
      <c r="AP962" s="16" t="n"/>
      <c r="AQ962" s="17" t="n"/>
      <c r="AR962" s="132">
        <f>DADOS_INVOC!$QL$144</f>
        <v/>
      </c>
      <c r="AS962" s="123" t="n"/>
    </row>
    <row r="963" hidden="1" outlineLevel="3">
      <c r="A963" s="8" t="n"/>
      <c r="B963" s="14" t="n"/>
      <c r="C963" s="123" t="n"/>
      <c r="D963" s="123" t="n"/>
      <c r="E963" s="123" t="n"/>
      <c r="F963" s="123" t="n"/>
      <c r="G963" s="123" t="n"/>
      <c r="I963" s="134" t="n"/>
      <c r="J963" s="133" t="n"/>
      <c r="K963" s="16" t="n"/>
      <c r="L963" s="17" t="n"/>
      <c r="M963" s="132">
        <f>DADOS_INVOC!$QM$64</f>
        <v/>
      </c>
      <c r="N963" s="123" t="n"/>
      <c r="O963" s="134" t="n"/>
      <c r="P963" s="133" t="n"/>
      <c r="Q963" s="16" t="n"/>
      <c r="R963" s="17" t="n"/>
      <c r="S963" s="132">
        <f>DADOS_INVOC!$QM$65</f>
        <v/>
      </c>
      <c r="T963" s="123" t="n"/>
      <c r="U963" s="134" t="n"/>
      <c r="V963" s="133" t="n"/>
      <c r="W963" s="16" t="n"/>
      <c r="X963" s="17" t="n"/>
      <c r="Y963" s="132">
        <f>DADOS_INVOC!$QM$66</f>
        <v/>
      </c>
      <c r="Z963" s="123" t="n"/>
      <c r="AB963" s="134" t="n"/>
      <c r="AC963" s="133" t="n"/>
      <c r="AD963" s="16" t="n"/>
      <c r="AE963" s="17" t="n"/>
      <c r="AF963" s="132">
        <f>DADOS_INVOC!$QM$142</f>
        <v/>
      </c>
      <c r="AG963" s="123" t="n"/>
      <c r="AH963" s="134" t="n"/>
      <c r="AI963" s="133" t="n"/>
      <c r="AJ963" s="16" t="n"/>
      <c r="AK963" s="17" t="n"/>
      <c r="AL963" s="132">
        <f>DADOS_INVOC!$QM$143</f>
        <v/>
      </c>
      <c r="AM963" s="123" t="n"/>
      <c r="AN963" s="134" t="n"/>
      <c r="AO963" s="133" t="n"/>
      <c r="AP963" s="16" t="n"/>
      <c r="AQ963" s="17" t="n"/>
      <c r="AR963" s="132">
        <f>DADOS_INVOC!$QM$144</f>
        <v/>
      </c>
      <c r="AS963" s="123" t="n"/>
    </row>
    <row r="964" hidden="1" outlineLevel="3">
      <c r="A964" s="8" t="n"/>
      <c r="B964" s="14" t="n"/>
      <c r="C964" s="123" t="n"/>
      <c r="D964" s="123" t="n"/>
      <c r="E964" s="123" t="n"/>
      <c r="F964" s="123" t="n"/>
      <c r="G964" s="123" t="n"/>
      <c r="I964" s="128" t="n"/>
      <c r="J964" s="133" t="n"/>
      <c r="K964" s="16" t="n"/>
      <c r="L964" s="17" t="n"/>
      <c r="M964" s="132">
        <f>DADOS_INVOC!$QN$64</f>
        <v/>
      </c>
      <c r="N964" s="123" t="n"/>
      <c r="O964" s="128" t="n"/>
      <c r="P964" s="133" t="n"/>
      <c r="Q964" s="16" t="n"/>
      <c r="R964" s="17" t="n"/>
      <c r="S964" s="132">
        <f>DADOS_INVOC!$QN$65</f>
        <v/>
      </c>
      <c r="T964" s="123" t="n"/>
      <c r="U964" s="128" t="n"/>
      <c r="V964" s="133" t="n"/>
      <c r="W964" s="16" t="n"/>
      <c r="X964" s="17" t="n"/>
      <c r="Y964" s="132">
        <f>DADOS_INVOC!$QN$66</f>
        <v/>
      </c>
      <c r="Z964" s="123" t="n"/>
      <c r="AB964" s="128" t="n"/>
      <c r="AC964" s="133" t="n"/>
      <c r="AD964" s="16" t="n"/>
      <c r="AE964" s="17" t="n"/>
      <c r="AF964" s="132">
        <f>DADOS_INVOC!$QN$142</f>
        <v/>
      </c>
      <c r="AG964" s="123" t="n"/>
      <c r="AH964" s="128" t="n"/>
      <c r="AI964" s="133" t="n"/>
      <c r="AJ964" s="16" t="n"/>
      <c r="AK964" s="17" t="n"/>
      <c r="AL964" s="132">
        <f>DADOS_INVOC!$QN$143</f>
        <v/>
      </c>
      <c r="AM964" s="123" t="n"/>
      <c r="AN964" s="128" t="n"/>
      <c r="AO964" s="133" t="n"/>
      <c r="AP964" s="16" t="n"/>
      <c r="AQ964" s="17" t="n"/>
      <c r="AR964" s="132">
        <f>DADOS_INVOC!$QN$144</f>
        <v/>
      </c>
      <c r="AS964" s="123" t="n"/>
    </row>
    <row r="965" hidden="1" outlineLevel="3">
      <c r="A965" s="8" t="n"/>
      <c r="B965" s="14" t="n"/>
      <c r="C965" s="123" t="n"/>
      <c r="D965" s="123" t="n"/>
      <c r="E965" s="123" t="n"/>
      <c r="F965" s="123" t="n"/>
      <c r="G965" s="123" t="n"/>
      <c r="I965" s="55" t="inlineStr">
        <is>
          <t>RESTRIÇÕES</t>
        </is>
      </c>
      <c r="J965" s="133" t="n"/>
      <c r="K965" s="16" t="n"/>
      <c r="L965" s="17" t="n"/>
      <c r="M965" s="132">
        <f>DADOS_INVOC!$QO$64</f>
        <v/>
      </c>
      <c r="N965" s="123" t="n"/>
      <c r="O965" s="55" t="inlineStr">
        <is>
          <t>RESTRIÇÕES</t>
        </is>
      </c>
      <c r="P965" s="133" t="n"/>
      <c r="Q965" s="16" t="n"/>
      <c r="R965" s="17" t="n"/>
      <c r="S965" s="132">
        <f>DADOS_INVOC!$QO$65</f>
        <v/>
      </c>
      <c r="T965" s="123" t="n"/>
      <c r="U965" s="55" t="inlineStr">
        <is>
          <t>RESTRIÇÕES</t>
        </is>
      </c>
      <c r="V965" s="133" t="n"/>
      <c r="W965" s="16" t="n"/>
      <c r="X965" s="17" t="n"/>
      <c r="Y965" s="132">
        <f>DADOS_INVOC!$QO$66</f>
        <v/>
      </c>
      <c r="Z965" s="123" t="n"/>
      <c r="AB965" s="55" t="inlineStr">
        <is>
          <t>RESTRIÇÕES</t>
        </is>
      </c>
      <c r="AC965" s="133" t="n"/>
      <c r="AD965" s="16" t="n"/>
      <c r="AE965" s="17" t="n"/>
      <c r="AF965" s="132">
        <f>DADOS_INVOC!$QO$142</f>
        <v/>
      </c>
      <c r="AG965" s="123" t="n"/>
      <c r="AH965" s="55" t="inlineStr">
        <is>
          <t>RESTRIÇÕES</t>
        </is>
      </c>
      <c r="AI965" s="133" t="n"/>
      <c r="AJ965" s="16" t="n"/>
      <c r="AK965" s="17" t="n"/>
      <c r="AL965" s="132">
        <f>DADOS_INVOC!$QO$143</f>
        <v/>
      </c>
      <c r="AM965" s="123" t="n"/>
      <c r="AN965" s="55" t="inlineStr">
        <is>
          <t>RESTRIÇÕES</t>
        </is>
      </c>
      <c r="AO965" s="133" t="n"/>
      <c r="AP965" s="16" t="n"/>
      <c r="AQ965" s="17" t="n"/>
      <c r="AR965" s="132">
        <f>DADOS_INVOC!$QO$144</f>
        <v/>
      </c>
      <c r="AS965" s="123" t="n"/>
    </row>
    <row r="966" hidden="1" outlineLevel="3">
      <c r="A966" s="8" t="n"/>
      <c r="B966" s="14" t="n"/>
      <c r="C966" s="123" t="n"/>
      <c r="D966" s="123" t="n"/>
      <c r="E966" s="123" t="n"/>
      <c r="F966" s="123" t="n"/>
      <c r="G966" s="123" t="n"/>
      <c r="I966" s="128" t="n"/>
      <c r="J966" s="133" t="n"/>
      <c r="K966" s="16" t="n"/>
      <c r="L966" s="17" t="n"/>
      <c r="M966" s="132">
        <f>DADOS_INVOC!$QP$64</f>
        <v/>
      </c>
      <c r="N966" s="123" t="n"/>
      <c r="O966" s="128" t="n"/>
      <c r="P966" s="133" t="n"/>
      <c r="Q966" s="16" t="n"/>
      <c r="R966" s="17" t="n"/>
      <c r="S966" s="132">
        <f>DADOS_INVOC!$QP$65</f>
        <v/>
      </c>
      <c r="T966" s="123" t="n"/>
      <c r="U966" s="128" t="n"/>
      <c r="V966" s="133" t="n"/>
      <c r="W966" s="16" t="n"/>
      <c r="X966" s="17" t="n"/>
      <c r="Y966" s="132">
        <f>DADOS_INVOC!$QP$66</f>
        <v/>
      </c>
      <c r="Z966" s="123" t="n"/>
      <c r="AB966" s="128" t="n"/>
      <c r="AC966" s="133" t="n"/>
      <c r="AD966" s="16" t="n"/>
      <c r="AE966" s="17" t="n"/>
      <c r="AF966" s="132">
        <f>DADOS_INVOC!$QP$142</f>
        <v/>
      </c>
      <c r="AG966" s="123" t="n"/>
      <c r="AH966" s="128" t="n"/>
      <c r="AI966" s="133" t="n"/>
      <c r="AJ966" s="16" t="n"/>
      <c r="AK966" s="17" t="n"/>
      <c r="AL966" s="132">
        <f>DADOS_INVOC!$QP$143</f>
        <v/>
      </c>
      <c r="AM966" s="123" t="n"/>
      <c r="AN966" s="128" t="n"/>
      <c r="AO966" s="133" t="n"/>
      <c r="AP966" s="16" t="n"/>
      <c r="AQ966" s="17" t="n"/>
      <c r="AR966" s="132">
        <f>DADOS_INVOC!$QP$144</f>
        <v/>
      </c>
      <c r="AS966" s="123" t="n"/>
    </row>
    <row r="967" hidden="1" outlineLevel="3">
      <c r="A967" s="8" t="n"/>
      <c r="B967" s="14" t="n"/>
      <c r="C967" s="123" t="n"/>
      <c r="D967" s="123" t="n"/>
      <c r="E967" s="123" t="n"/>
      <c r="F967" s="123" t="n"/>
      <c r="G967" s="123" t="n"/>
      <c r="I967" s="55" t="inlineStr">
        <is>
          <t>CONTA</t>
        </is>
      </c>
      <c r="J967" s="135">
        <f>DADOS_INVOC!$QI$64</f>
        <v/>
      </c>
      <c r="K967" s="16" t="n"/>
      <c r="L967" s="16" t="n"/>
      <c r="M967" s="17" t="n"/>
      <c r="N967" s="123" t="n"/>
      <c r="O967" s="55" t="inlineStr">
        <is>
          <t>CONTA</t>
        </is>
      </c>
      <c r="P967" s="135">
        <f>DADOS_INVOC!$QI$65</f>
        <v/>
      </c>
      <c r="Q967" s="16" t="n"/>
      <c r="R967" s="16" t="n"/>
      <c r="S967" s="17" t="n"/>
      <c r="T967" s="123" t="n"/>
      <c r="U967" s="55" t="inlineStr">
        <is>
          <t>CONTA</t>
        </is>
      </c>
      <c r="V967" s="135">
        <f>DADOS_INVOC!$QI$66</f>
        <v/>
      </c>
      <c r="W967" s="16" t="n"/>
      <c r="X967" s="16" t="n"/>
      <c r="Y967" s="17" t="n"/>
      <c r="Z967" s="123" t="n"/>
      <c r="AB967" s="55" t="inlineStr">
        <is>
          <t>CONTA</t>
        </is>
      </c>
      <c r="AC967" s="135">
        <f>DADOS_INVOC!$QI$142</f>
        <v/>
      </c>
      <c r="AD967" s="16" t="n"/>
      <c r="AE967" s="16" t="n"/>
      <c r="AF967" s="17" t="n"/>
      <c r="AG967" s="123" t="n"/>
      <c r="AH967" s="55" t="inlineStr">
        <is>
          <t>CONTA</t>
        </is>
      </c>
      <c r="AI967" s="135">
        <f>DADOS_INVOC!$QI$143</f>
        <v/>
      </c>
      <c r="AJ967" s="16" t="n"/>
      <c r="AK967" s="16" t="n"/>
      <c r="AL967" s="17" t="n"/>
      <c r="AM967" s="123" t="n"/>
      <c r="AN967" s="55" t="inlineStr">
        <is>
          <t>CONTA</t>
        </is>
      </c>
      <c r="AO967" s="135">
        <f>DADOS_INVOC!$QI$144</f>
        <v/>
      </c>
      <c r="AP967" s="16" t="n"/>
      <c r="AQ967" s="16" t="n"/>
      <c r="AR967" s="17" t="n"/>
      <c r="AS967" s="123" t="n"/>
    </row>
    <row r="968" hidden="1" outlineLevel="3">
      <c r="A968" s="8" t="n"/>
      <c r="B968" s="14" t="n"/>
      <c r="C968" s="123" t="n"/>
      <c r="D968" s="123" t="n"/>
      <c r="E968" s="123" t="n"/>
      <c r="F968" s="123" t="n"/>
      <c r="G968" s="123" t="n"/>
      <c r="I968" s="55" t="inlineStr">
        <is>
          <t>AMPLIAR</t>
        </is>
      </c>
      <c r="J968" s="135">
        <f>DADOS_INVOC!$QJ$64</f>
        <v/>
      </c>
      <c r="K968" s="19" t="n"/>
      <c r="L968" s="19" t="n"/>
      <c r="M968" s="20" t="n"/>
      <c r="N968" s="123" t="n"/>
      <c r="O968" s="55" t="inlineStr">
        <is>
          <t>AMPLIAR</t>
        </is>
      </c>
      <c r="P968" s="135">
        <f>DADOS_INVOC!$QJ$65</f>
        <v/>
      </c>
      <c r="Q968" s="19" t="n"/>
      <c r="R968" s="19" t="n"/>
      <c r="S968" s="20" t="n"/>
      <c r="T968" s="123" t="n"/>
      <c r="U968" s="55" t="inlineStr">
        <is>
          <t>AMPLIAR</t>
        </is>
      </c>
      <c r="V968" s="135">
        <f>DADOS_INVOC!$QJ$66</f>
        <v/>
      </c>
      <c r="W968" s="19" t="n"/>
      <c r="X968" s="19" t="n"/>
      <c r="Y968" s="20" t="n"/>
      <c r="Z968" s="123" t="n"/>
      <c r="AB968" s="55" t="inlineStr">
        <is>
          <t>AMPLIAR</t>
        </is>
      </c>
      <c r="AC968" s="135">
        <f>DADOS_INVOC!$QJ$142</f>
        <v/>
      </c>
      <c r="AD968" s="19" t="n"/>
      <c r="AE968" s="19" t="n"/>
      <c r="AF968" s="20" t="n"/>
      <c r="AG968" s="123" t="n"/>
      <c r="AH968" s="55" t="inlineStr">
        <is>
          <t>AMPLIAR</t>
        </is>
      </c>
      <c r="AI968" s="135">
        <f>DADOS_INVOC!$QJ$143</f>
        <v/>
      </c>
      <c r="AJ968" s="19" t="n"/>
      <c r="AK968" s="19" t="n"/>
      <c r="AL968" s="20" t="n"/>
      <c r="AM968" s="123" t="n"/>
      <c r="AN968" s="55" t="inlineStr">
        <is>
          <t>AMPLIAR</t>
        </is>
      </c>
      <c r="AO968" s="135">
        <f>DADOS_INVOC!$QJ$144</f>
        <v/>
      </c>
      <c r="AP968" s="19" t="n"/>
      <c r="AQ968" s="19" t="n"/>
      <c r="AR968" s="20" t="n"/>
      <c r="AS968" s="123" t="n"/>
    </row>
    <row r="969" hidden="1" outlineLevel="3">
      <c r="A969" s="8" t="n"/>
      <c r="B969" s="14" t="n"/>
      <c r="C969" s="123" t="n"/>
      <c r="D969" s="123" t="n"/>
      <c r="E969" s="123" t="n"/>
      <c r="F969" s="123" t="n"/>
      <c r="G969" s="123" t="n"/>
      <c r="I969" s="128" t="n"/>
      <c r="J969" s="23" t="n"/>
      <c r="K969" s="24" t="n"/>
      <c r="L969" s="24" t="n"/>
      <c r="M969" s="25" t="n"/>
      <c r="N969" s="123" t="n"/>
      <c r="O969" s="128" t="n"/>
      <c r="P969" s="23" t="n"/>
      <c r="Q969" s="24" t="n"/>
      <c r="R969" s="24" t="n"/>
      <c r="S969" s="25" t="n"/>
      <c r="T969" s="123" t="n"/>
      <c r="U969" s="128" t="n"/>
      <c r="V969" s="23" t="n"/>
      <c r="W969" s="24" t="n"/>
      <c r="X969" s="24" t="n"/>
      <c r="Y969" s="25" t="n"/>
      <c r="Z969" s="123" t="n"/>
      <c r="AB969" s="128" t="n"/>
      <c r="AC969" s="23" t="n"/>
      <c r="AD969" s="24" t="n"/>
      <c r="AE969" s="24" t="n"/>
      <c r="AF969" s="25" t="n"/>
      <c r="AG969" s="123" t="n"/>
      <c r="AH969" s="128" t="n"/>
      <c r="AI969" s="23" t="n"/>
      <c r="AJ969" s="24" t="n"/>
      <c r="AK969" s="24" t="n"/>
      <c r="AL969" s="25" t="n"/>
      <c r="AM969" s="123" t="n"/>
      <c r="AN969" s="128" t="n"/>
      <c r="AO969" s="23" t="n"/>
      <c r="AP969" s="24" t="n"/>
      <c r="AQ969" s="24" t="n"/>
      <c r="AR969" s="25" t="n"/>
      <c r="AS969" s="123" t="n"/>
    </row>
    <row r="970" hidden="1" outlineLevel="3">
      <c r="A970" s="8" t="n"/>
      <c r="B970" s="14" t="n"/>
      <c r="C970" s="123" t="n"/>
      <c r="D970" s="123" t="n"/>
      <c r="E970" s="123" t="n"/>
      <c r="F970" s="123" t="n"/>
      <c r="G970" s="123" t="n"/>
      <c r="I970" s="135">
        <f>DADOS_INVOC!$PW$64</f>
        <v/>
      </c>
      <c r="J970" s="19" t="n"/>
      <c r="K970" s="19" t="n"/>
      <c r="L970" s="19" t="n"/>
      <c r="M970" s="20" t="n"/>
      <c r="N970" s="123" t="n"/>
      <c r="O970" s="135">
        <f>DADOS_INVOC!$PW$65</f>
        <v/>
      </c>
      <c r="P970" s="19" t="n"/>
      <c r="Q970" s="19" t="n"/>
      <c r="R970" s="19" t="n"/>
      <c r="S970" s="20" t="n"/>
      <c r="T970" s="123" t="n"/>
      <c r="U970" s="135">
        <f>DADOS_INVOC!$PW$66</f>
        <v/>
      </c>
      <c r="V970" s="19" t="n"/>
      <c r="W970" s="19" t="n"/>
      <c r="X970" s="19" t="n"/>
      <c r="Y970" s="20" t="n"/>
      <c r="Z970" s="123" t="n"/>
      <c r="AB970" s="135">
        <f>DADOS_INVOC!$PW$142</f>
        <v/>
      </c>
      <c r="AC970" s="19" t="n"/>
      <c r="AD970" s="19" t="n"/>
      <c r="AE970" s="19" t="n"/>
      <c r="AF970" s="20" t="n"/>
      <c r="AG970" s="123" t="n"/>
      <c r="AH970" s="135">
        <f>DADOS_INVOC!$PW$143</f>
        <v/>
      </c>
      <c r="AI970" s="19" t="n"/>
      <c r="AJ970" s="19" t="n"/>
      <c r="AK970" s="19" t="n"/>
      <c r="AL970" s="20" t="n"/>
      <c r="AM970" s="123" t="n"/>
      <c r="AN970" s="135">
        <f>DADOS_INVOC!$PW$144</f>
        <v/>
      </c>
      <c r="AO970" s="19" t="n"/>
      <c r="AP970" s="19" t="n"/>
      <c r="AQ970" s="19" t="n"/>
      <c r="AR970" s="20" t="n"/>
      <c r="AS970" s="123" t="n"/>
    </row>
    <row r="971" hidden="1" outlineLevel="3">
      <c r="A971" s="8" t="n"/>
      <c r="B971" s="14" t="n"/>
      <c r="C971" s="123" t="n"/>
      <c r="D971" s="123" t="n"/>
      <c r="E971" s="123" t="n"/>
      <c r="F971" s="123" t="n"/>
      <c r="G971" s="123" t="n"/>
      <c r="I971" s="23" t="n"/>
      <c r="J971" s="24" t="n"/>
      <c r="K971" s="24" t="n"/>
      <c r="L971" s="24" t="n"/>
      <c r="M971" s="25" t="n"/>
      <c r="N971" s="123" t="n"/>
      <c r="O971" s="23" t="n"/>
      <c r="P971" s="24" t="n"/>
      <c r="Q971" s="24" t="n"/>
      <c r="R971" s="24" t="n"/>
      <c r="S971" s="25" t="n"/>
      <c r="T971" s="123" t="n"/>
      <c r="U971" s="23" t="n"/>
      <c r="V971" s="24" t="n"/>
      <c r="W971" s="24" t="n"/>
      <c r="X971" s="24" t="n"/>
      <c r="Y971" s="25" t="n"/>
      <c r="Z971" s="123" t="n"/>
      <c r="AB971" s="23" t="n"/>
      <c r="AC971" s="24" t="n"/>
      <c r="AD971" s="24" t="n"/>
      <c r="AE971" s="24" t="n"/>
      <c r="AF971" s="25" t="n"/>
      <c r="AG971" s="123" t="n"/>
      <c r="AH971" s="23" t="n"/>
      <c r="AI971" s="24" t="n"/>
      <c r="AJ971" s="24" t="n"/>
      <c r="AK971" s="24" t="n"/>
      <c r="AL971" s="25" t="n"/>
      <c r="AM971" s="123" t="n"/>
      <c r="AN971" s="23" t="n"/>
      <c r="AO971" s="24" t="n"/>
      <c r="AP971" s="24" t="n"/>
      <c r="AQ971" s="24" t="n"/>
      <c r="AR971" s="25" t="n"/>
      <c r="AS971" s="123" t="n"/>
    </row>
    <row r="972" hidden="1" outlineLevel="2">
      <c r="A972" s="8" t="n"/>
      <c r="B972" s="14" t="n"/>
      <c r="C972" s="123" t="n"/>
      <c r="D972" s="123" t="n"/>
      <c r="E972" s="123" t="n"/>
      <c r="F972" s="123" t="n"/>
      <c r="G972" s="123" t="n"/>
      <c r="I972" s="123" t="n"/>
      <c r="J972" s="123" t="n"/>
      <c r="K972" s="123" t="n"/>
      <c r="L972" s="123" t="n"/>
      <c r="M972" s="123" t="n"/>
      <c r="N972" s="123" t="n"/>
      <c r="O972" s="123" t="n"/>
      <c r="P972" s="123" t="n"/>
      <c r="Q972" s="123" t="n"/>
      <c r="R972" s="123" t="n"/>
      <c r="S972" s="123" t="n"/>
      <c r="T972" s="123" t="n"/>
      <c r="U972" s="123" t="n"/>
      <c r="V972" s="123" t="n"/>
      <c r="W972" s="123" t="n"/>
      <c r="X972" s="123" t="n"/>
      <c r="Y972" s="123" t="n"/>
      <c r="Z972" s="123" t="n"/>
      <c r="AB972" s="123" t="n"/>
      <c r="AC972" s="123" t="n"/>
      <c r="AD972" s="123" t="n"/>
      <c r="AE972" s="123" t="n"/>
      <c r="AF972" s="123" t="n"/>
      <c r="AG972" s="123" t="n"/>
      <c r="AH972" s="123" t="n"/>
      <c r="AI972" s="123" t="n"/>
      <c r="AJ972" s="123" t="n"/>
      <c r="AK972" s="123" t="n"/>
      <c r="AL972" s="123" t="n"/>
      <c r="AM972" s="123" t="n"/>
      <c r="AN972" s="123" t="n"/>
      <c r="AO972" s="123" t="n"/>
      <c r="AP972" s="123" t="n"/>
      <c r="AQ972" s="123" t="n"/>
      <c r="AR972" s="123" t="n"/>
      <c r="AS972" s="123" t="n"/>
    </row>
    <row r="973" hidden="1" outlineLevel="2">
      <c r="A973" s="8" t="n"/>
      <c r="B973" s="14" t="n"/>
      <c r="C973" s="123" t="n"/>
      <c r="D973" s="123" t="n"/>
      <c r="E973" s="123" t="n"/>
      <c r="F973" s="123" t="n"/>
      <c r="G973" s="123" t="n"/>
      <c r="I973" s="55"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23" t="n"/>
      <c r="AB973" s="55"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23" t="n"/>
    </row>
    <row r="974" hidden="1" outlineLevel="2">
      <c r="A974" s="8" t="n"/>
      <c r="B974" s="14" t="n"/>
      <c r="C974" s="123" t="n"/>
      <c r="D974" s="123" t="n"/>
      <c r="E974" s="123" t="n"/>
      <c r="F974" s="123" t="n"/>
      <c r="G974" s="123" t="n"/>
      <c r="I974" s="55" t="inlineStr">
        <is>
          <t>TRILHA · CE 1</t>
        </is>
      </c>
      <c r="J974" s="133" t="n"/>
      <c r="K974" s="16" t="n"/>
      <c r="L974" s="17" t="n"/>
      <c r="M974" s="140">
        <f>DADOS_INVOC!$IU$6</f>
        <v/>
      </c>
      <c r="N974" s="16" t="n"/>
      <c r="O974" s="16" t="n"/>
      <c r="P974" s="16" t="n"/>
      <c r="Q974" s="16" t="n"/>
      <c r="R974" s="16" t="n"/>
      <c r="S974" s="16" t="n"/>
      <c r="T974" s="16" t="n"/>
      <c r="U974" s="16" t="n"/>
      <c r="V974" s="16" t="n"/>
      <c r="W974" s="16" t="n"/>
      <c r="X974" s="16" t="n"/>
      <c r="Y974" s="17" t="n"/>
      <c r="Z974" s="123" t="n"/>
      <c r="AB974" s="55" t="inlineStr">
        <is>
          <t>TRILHA · CE 1</t>
        </is>
      </c>
      <c r="AC974" s="133" t="n"/>
      <c r="AD974" s="16" t="n"/>
      <c r="AE974" s="17" t="n"/>
      <c r="AF974" s="140">
        <f>DADOS_INVOC!$IU$12</f>
        <v/>
      </c>
      <c r="AG974" s="16" t="n"/>
      <c r="AH974" s="16" t="n"/>
      <c r="AI974" s="16" t="n"/>
      <c r="AJ974" s="16" t="n"/>
      <c r="AK974" s="16" t="n"/>
      <c r="AL974" s="16" t="n"/>
      <c r="AM974" s="16" t="n"/>
      <c r="AN974" s="16" t="n"/>
      <c r="AO974" s="16" t="n"/>
      <c r="AP974" s="16" t="n"/>
      <c r="AQ974" s="16" t="n"/>
      <c r="AR974" s="17" t="n"/>
      <c r="AS974" s="123" t="n"/>
    </row>
    <row r="975" hidden="1" outlineLevel="2">
      <c r="A975" s="8" t="n"/>
      <c r="B975" s="14" t="n"/>
      <c r="C975" s="123" t="n"/>
      <c r="D975" s="123" t="n"/>
      <c r="E975" s="123" t="n"/>
      <c r="F975" s="123" t="n"/>
      <c r="G975" s="123" t="n"/>
      <c r="I975" s="55" t="inlineStr">
        <is>
          <t>TRILHA · CE 1</t>
        </is>
      </c>
      <c r="J975" s="133" t="n"/>
      <c r="K975" s="16" t="n"/>
      <c r="L975" s="17" t="n"/>
      <c r="M975" s="140">
        <f>DADOS_INVOC!$IV$6</f>
        <v/>
      </c>
      <c r="N975" s="16" t="n"/>
      <c r="O975" s="16" t="n"/>
      <c r="P975" s="16" t="n"/>
      <c r="Q975" s="16" t="n"/>
      <c r="R975" s="16" t="n"/>
      <c r="S975" s="16" t="n"/>
      <c r="T975" s="16" t="n"/>
      <c r="U975" s="16" t="n"/>
      <c r="V975" s="16" t="n"/>
      <c r="W975" s="16" t="n"/>
      <c r="X975" s="16" t="n"/>
      <c r="Y975" s="17" t="n"/>
      <c r="Z975" s="123" t="n"/>
      <c r="AB975" s="55" t="inlineStr">
        <is>
          <t>TRILHA · CE 1</t>
        </is>
      </c>
      <c r="AC975" s="133" t="n"/>
      <c r="AD975" s="16" t="n"/>
      <c r="AE975" s="17" t="n"/>
      <c r="AF975" s="140">
        <f>DADOS_INVOC!$IV$12</f>
        <v/>
      </c>
      <c r="AG975" s="16" t="n"/>
      <c r="AH975" s="16" t="n"/>
      <c r="AI975" s="16" t="n"/>
      <c r="AJ975" s="16" t="n"/>
      <c r="AK975" s="16" t="n"/>
      <c r="AL975" s="16" t="n"/>
      <c r="AM975" s="16" t="n"/>
      <c r="AN975" s="16" t="n"/>
      <c r="AO975" s="16" t="n"/>
      <c r="AP975" s="16" t="n"/>
      <c r="AQ975" s="16" t="n"/>
      <c r="AR975" s="17" t="n"/>
      <c r="AS975" s="123" t="n"/>
    </row>
    <row r="976" hidden="1" outlineLevel="2">
      <c r="A976" s="8" t="n"/>
      <c r="B976" s="14" t="n"/>
      <c r="C976" s="123" t="n"/>
      <c r="D976" s="123" t="n"/>
      <c r="E976" s="123" t="n"/>
      <c r="F976" s="123" t="n"/>
      <c r="G976" s="123" t="n"/>
      <c r="I976" s="55" t="inlineStr">
        <is>
          <t>TRILHA · CE 1</t>
        </is>
      </c>
      <c r="J976" s="133" t="n"/>
      <c r="K976" s="16" t="n"/>
      <c r="L976" s="17" t="n"/>
      <c r="M976" s="140">
        <f>DADOS_INVOC!$IW$6</f>
        <v/>
      </c>
      <c r="N976" s="16" t="n"/>
      <c r="O976" s="16" t="n"/>
      <c r="P976" s="16" t="n"/>
      <c r="Q976" s="16" t="n"/>
      <c r="R976" s="16" t="n"/>
      <c r="S976" s="16" t="n"/>
      <c r="T976" s="16" t="n"/>
      <c r="U976" s="16" t="n"/>
      <c r="V976" s="16" t="n"/>
      <c r="W976" s="16" t="n"/>
      <c r="X976" s="16" t="n"/>
      <c r="Y976" s="17" t="n"/>
      <c r="Z976" s="123" t="n"/>
      <c r="AB976" s="55" t="inlineStr">
        <is>
          <t>TRILHA · CE 1</t>
        </is>
      </c>
      <c r="AC976" s="133" t="n"/>
      <c r="AD976" s="16" t="n"/>
      <c r="AE976" s="17" t="n"/>
      <c r="AF976" s="140">
        <f>DADOS_INVOC!$IW$12</f>
        <v/>
      </c>
      <c r="AG976" s="16" t="n"/>
      <c r="AH976" s="16" t="n"/>
      <c r="AI976" s="16" t="n"/>
      <c r="AJ976" s="16" t="n"/>
      <c r="AK976" s="16" t="n"/>
      <c r="AL976" s="16" t="n"/>
      <c r="AM976" s="16" t="n"/>
      <c r="AN976" s="16" t="n"/>
      <c r="AO976" s="16" t="n"/>
      <c r="AP976" s="16" t="n"/>
      <c r="AQ976" s="16" t="n"/>
      <c r="AR976" s="17" t="n"/>
      <c r="AS976" s="123" t="n"/>
    </row>
    <row r="977" hidden="1" outlineLevel="1">
      <c r="A977" s="8" t="n"/>
      <c r="B977" s="14" t="n"/>
      <c r="C977" s="123" t="n"/>
      <c r="D977" s="123" t="n"/>
      <c r="E977" s="123" t="n"/>
      <c r="F977" s="123" t="n"/>
      <c r="G977" s="123" t="n"/>
      <c r="I977" s="123" t="n"/>
      <c r="J977" s="123" t="n"/>
      <c r="K977" s="123" t="n"/>
      <c r="L977" s="123" t="n"/>
      <c r="M977" s="123" t="n"/>
      <c r="N977" s="123" t="n"/>
      <c r="O977" s="123" t="n"/>
      <c r="P977" s="123" t="n"/>
      <c r="Q977" s="123" t="n"/>
      <c r="R977" s="123" t="n"/>
      <c r="S977" s="123" t="n"/>
      <c r="T977" s="123" t="n"/>
      <c r="U977" s="123" t="n"/>
      <c r="V977" s="123" t="n"/>
      <c r="W977" s="123" t="n"/>
      <c r="X977" s="123" t="n"/>
      <c r="Y977" s="123" t="n"/>
      <c r="Z977" s="123" t="n"/>
      <c r="AB977" s="123" t="n"/>
      <c r="AC977" s="123" t="n"/>
      <c r="AD977" s="123" t="n"/>
      <c r="AE977" s="123" t="n"/>
      <c r="AF977" s="123" t="n"/>
      <c r="AG977" s="123" t="n"/>
      <c r="AH977" s="123" t="n"/>
      <c r="AI977" s="123" t="n"/>
      <c r="AJ977" s="123" t="n"/>
      <c r="AK977" s="123" t="n"/>
      <c r="AL977" s="123" t="n"/>
      <c r="AM977" s="123" t="n"/>
      <c r="AN977" s="123" t="n"/>
      <c r="AO977" s="123" t="n"/>
      <c r="AP977" s="123" t="n"/>
      <c r="AQ977" s="123" t="n"/>
      <c r="AR977" s="123" t="n"/>
      <c r="AS977" s="123" t="n"/>
    </row>
    <row r="978" hidden="1" outlineLevel="1">
      <c r="A978" s="8" t="n"/>
      <c r="B978" s="14" t="n"/>
      <c r="C978" s="123" t="n"/>
      <c r="D978" s="123" t="n"/>
      <c r="E978" s="123" t="n"/>
      <c r="F978" s="123" t="n"/>
      <c r="G978" s="123" t="n"/>
      <c r="I978" s="136"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23" t="n"/>
      <c r="AB978" s="136"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23" t="n"/>
    </row>
    <row r="979" hidden="1" outlineLevel="2">
      <c r="A979" s="8" t="n"/>
      <c r="B979" s="14" t="n"/>
      <c r="C979" s="123" t="n"/>
      <c r="D979" s="123" t="n"/>
      <c r="E979" s="123" t="n"/>
      <c r="F979" s="123" t="n"/>
      <c r="G979" s="123" t="n"/>
      <c r="I979" s="123" t="n"/>
      <c r="J979" s="123" t="n"/>
      <c r="K979" s="123" t="n"/>
      <c r="L979" s="123" t="n"/>
      <c r="M979" s="123" t="n"/>
      <c r="N979" s="123" t="n"/>
      <c r="O979" s="123" t="n"/>
      <c r="P979" s="123" t="n"/>
      <c r="Q979" s="123" t="n"/>
      <c r="R979" s="123" t="n"/>
      <c r="S979" s="123" t="n"/>
      <c r="T979" s="123" t="n"/>
      <c r="U979" s="123" t="n"/>
      <c r="V979" s="123" t="n"/>
      <c r="W979" s="123" t="n"/>
      <c r="X979" s="123" t="n"/>
      <c r="Y979" s="123" t="n"/>
      <c r="Z979" s="123" t="n"/>
      <c r="AB979" s="123" t="n"/>
      <c r="AC979" s="123" t="n"/>
      <c r="AD979" s="123" t="n"/>
      <c r="AE979" s="123" t="n"/>
      <c r="AF979" s="123" t="n"/>
      <c r="AG979" s="123" t="n"/>
      <c r="AH979" s="123" t="n"/>
      <c r="AI979" s="123" t="n"/>
      <c r="AJ979" s="123" t="n"/>
      <c r="AK979" s="123" t="n"/>
      <c r="AL979" s="123" t="n"/>
      <c r="AM979" s="123" t="n"/>
      <c r="AN979" s="123" t="n"/>
      <c r="AO979" s="123" t="n"/>
      <c r="AP979" s="123" t="n"/>
      <c r="AQ979" s="123" t="n"/>
      <c r="AR979" s="123" t="n"/>
      <c r="AS979" s="123" t="n"/>
    </row>
    <row r="980" hidden="1" outlineLevel="2">
      <c r="A980" s="8" t="n"/>
      <c r="B980" s="14" t="n"/>
      <c r="C980" s="123" t="n"/>
      <c r="D980" s="123" t="n"/>
      <c r="E980" s="123" t="n"/>
      <c r="F980" s="123" t="n"/>
      <c r="G980" s="123" t="n"/>
      <c r="I980" s="55" t="inlineStr">
        <is>
          <t>LIBERAÇÃO MÁXIMA 1</t>
        </is>
      </c>
      <c r="J980" s="16" t="n"/>
      <c r="K980" s="16" t="n"/>
      <c r="L980" s="16" t="n"/>
      <c r="M980" s="17" t="n"/>
      <c r="N980" s="123" t="n"/>
      <c r="O980" s="55" t="inlineStr">
        <is>
          <t>LIBERAÇÃO MÁXIMA 2</t>
        </is>
      </c>
      <c r="P980" s="16" t="n"/>
      <c r="Q980" s="16" t="n"/>
      <c r="R980" s="16" t="n"/>
      <c r="S980" s="17" t="n"/>
      <c r="T980" s="123" t="n"/>
      <c r="U980" s="55" t="inlineStr">
        <is>
          <t>LIBERAÇÃO MÁXIMA 3</t>
        </is>
      </c>
      <c r="V980" s="16" t="n"/>
      <c r="W980" s="16" t="n"/>
      <c r="X980" s="16" t="n"/>
      <c r="Y980" s="17" t="n"/>
      <c r="Z980" s="123" t="n"/>
      <c r="AB980" s="55" t="inlineStr">
        <is>
          <t>LIBERAÇÃO MÁXIMA 1</t>
        </is>
      </c>
      <c r="AC980" s="16" t="n"/>
      <c r="AD980" s="16" t="n"/>
      <c r="AE980" s="16" t="n"/>
      <c r="AF980" s="17" t="n"/>
      <c r="AG980" s="123" t="n"/>
      <c r="AH980" s="55" t="inlineStr">
        <is>
          <t>LIBERAÇÃO MÁXIMA 2</t>
        </is>
      </c>
      <c r="AI980" s="16" t="n"/>
      <c r="AJ980" s="16" t="n"/>
      <c r="AK980" s="16" t="n"/>
      <c r="AL980" s="17" t="n"/>
      <c r="AM980" s="123" t="n"/>
      <c r="AN980" s="55" t="inlineStr">
        <is>
          <t>LIBERAÇÃO MÁXIMA 3</t>
        </is>
      </c>
      <c r="AO980" s="16" t="n"/>
      <c r="AP980" s="16" t="n"/>
      <c r="AQ980" s="16" t="n"/>
      <c r="AR980" s="17" t="n"/>
      <c r="AS980" s="123" t="n"/>
    </row>
    <row r="981" hidden="1" outlineLevel="2">
      <c r="A981" s="8" t="n"/>
      <c r="B981" s="14" t="n"/>
      <c r="C981" s="123" t="n"/>
      <c r="D981" s="123" t="n"/>
      <c r="E981" s="123" t="n"/>
      <c r="F981" s="123" t="n"/>
      <c r="G981" s="123" t="n"/>
      <c r="I981" s="130" t="n">
        <v>3</v>
      </c>
      <c r="J981" s="118" t="n"/>
      <c r="K981" s="16" t="n"/>
      <c r="L981" s="17" t="n"/>
      <c r="M981" s="131">
        <f>DADOS_INVOC!$IX$6</f>
        <v/>
      </c>
      <c r="N981" s="123" t="n"/>
      <c r="O981" s="130" t="n">
        <v>3</v>
      </c>
      <c r="P981" s="118" t="n"/>
      <c r="Q981" s="16" t="n"/>
      <c r="R981" s="17" t="n"/>
      <c r="S981" s="131">
        <f>DADOS_INVOC!$IY$6</f>
        <v/>
      </c>
      <c r="T981" s="123" t="n"/>
      <c r="U981" s="130" t="n">
        <v>3</v>
      </c>
      <c r="V981" s="118" t="n"/>
      <c r="W981" s="16" t="n"/>
      <c r="X981" s="17" t="n"/>
      <c r="Y981" s="131">
        <f>DADOS_INVOC!$IZ$6</f>
        <v/>
      </c>
      <c r="Z981" s="123" t="n"/>
      <c r="AB981" s="130" t="n">
        <v>3</v>
      </c>
      <c r="AC981" s="118" t="n"/>
      <c r="AD981" s="16" t="n"/>
      <c r="AE981" s="17" t="n"/>
      <c r="AF981" s="131">
        <f>DADOS_INVOC!$IX$12</f>
        <v/>
      </c>
      <c r="AG981" s="123" t="n"/>
      <c r="AH981" s="130" t="n">
        <v>3</v>
      </c>
      <c r="AI981" s="118" t="n"/>
      <c r="AJ981" s="16" t="n"/>
      <c r="AK981" s="17" t="n"/>
      <c r="AL981" s="131">
        <f>DADOS_INVOC!$IY$12</f>
        <v/>
      </c>
      <c r="AM981" s="123" t="n"/>
      <c r="AN981" s="130" t="n">
        <v>3</v>
      </c>
      <c r="AO981" s="118" t="n"/>
      <c r="AP981" s="16" t="n"/>
      <c r="AQ981" s="17" t="n"/>
      <c r="AR981" s="131">
        <f>DADOS_INVOC!$IZ$12</f>
        <v/>
      </c>
      <c r="AS981" s="123" t="n"/>
    </row>
    <row r="982" hidden="1" outlineLevel="2">
      <c r="A982" s="8" t="n"/>
      <c r="B982" s="14" t="n"/>
      <c r="C982" s="123" t="n"/>
      <c r="D982" s="123" t="n"/>
      <c r="E982" s="123" t="n"/>
      <c r="F982" s="123" t="n"/>
      <c r="G982" s="123" t="n"/>
      <c r="I982" s="119" t="n"/>
      <c r="J982" s="19" t="n"/>
      <c r="K982" s="19" t="n"/>
      <c r="L982" s="19" t="n"/>
      <c r="M982" s="20" t="n"/>
      <c r="N982" s="123" t="n"/>
      <c r="O982" s="119" t="n"/>
      <c r="P982" s="19" t="n"/>
      <c r="Q982" s="19" t="n"/>
      <c r="R982" s="19" t="n"/>
      <c r="S982" s="20" t="n"/>
      <c r="T982" s="123" t="n"/>
      <c r="U982" s="119" t="n"/>
      <c r="V982" s="19" t="n"/>
      <c r="W982" s="19" t="n"/>
      <c r="X982" s="19" t="n"/>
      <c r="Y982" s="20" t="n"/>
      <c r="Z982" s="123" t="n"/>
      <c r="AB982" s="119" t="n"/>
      <c r="AC982" s="19" t="n"/>
      <c r="AD982" s="19" t="n"/>
      <c r="AE982" s="19" t="n"/>
      <c r="AF982" s="20" t="n"/>
      <c r="AG982" s="123" t="n"/>
      <c r="AH982" s="119" t="n"/>
      <c r="AI982" s="19" t="n"/>
      <c r="AJ982" s="19" t="n"/>
      <c r="AK982" s="19" t="n"/>
      <c r="AL982" s="20" t="n"/>
      <c r="AM982" s="123" t="n"/>
      <c r="AN982" s="119" t="n"/>
      <c r="AO982" s="19" t="n"/>
      <c r="AP982" s="19" t="n"/>
      <c r="AQ982" s="19" t="n"/>
      <c r="AR982" s="20" t="n"/>
      <c r="AS982" s="123" t="n"/>
    </row>
    <row r="983" hidden="1" outlineLevel="2">
      <c r="A983" s="8" t="n"/>
      <c r="B983" s="14" t="n"/>
      <c r="C983" s="123" t="n"/>
      <c r="D983" s="123" t="n"/>
      <c r="E983" s="123" t="n"/>
      <c r="F983" s="123" t="n"/>
      <c r="G983" s="123" t="n"/>
      <c r="I983" s="21" t="n"/>
      <c r="M983" s="22" t="n"/>
      <c r="N983" s="123" t="n"/>
      <c r="O983" s="21" t="n"/>
      <c r="S983" s="22" t="n"/>
      <c r="T983" s="123" t="n"/>
      <c r="U983" s="21" t="n"/>
      <c r="Y983" s="22" t="n"/>
      <c r="Z983" s="123" t="n"/>
      <c r="AB983" s="21" t="n"/>
      <c r="AF983" s="22" t="n"/>
      <c r="AG983" s="123" t="n"/>
      <c r="AH983" s="21" t="n"/>
      <c r="AL983" s="22" t="n"/>
      <c r="AM983" s="123" t="n"/>
      <c r="AN983" s="21" t="n"/>
      <c r="AR983" s="22" t="n"/>
      <c r="AS983" s="123" t="n"/>
    </row>
    <row r="984" hidden="1" outlineLevel="2">
      <c r="A984" s="8" t="n"/>
      <c r="B984" s="14" t="n"/>
      <c r="C984" s="123" t="n"/>
      <c r="D984" s="123" t="n"/>
      <c r="E984" s="123" t="n"/>
      <c r="F984" s="123" t="n"/>
      <c r="G984" s="123" t="n"/>
      <c r="I984" s="21" t="n"/>
      <c r="M984" s="22" t="n"/>
      <c r="N984" s="123" t="n"/>
      <c r="O984" s="21" t="n"/>
      <c r="S984" s="22" t="n"/>
      <c r="T984" s="123" t="n"/>
      <c r="U984" s="21" t="n"/>
      <c r="Y984" s="22" t="n"/>
      <c r="Z984" s="123" t="n"/>
      <c r="AB984" s="21" t="n"/>
      <c r="AF984" s="22" t="n"/>
      <c r="AG984" s="123" t="n"/>
      <c r="AH984" s="21" t="n"/>
      <c r="AL984" s="22" t="n"/>
      <c r="AM984" s="123" t="n"/>
      <c r="AN984" s="21" t="n"/>
      <c r="AR984" s="22" t="n"/>
      <c r="AS984" s="123" t="n"/>
    </row>
    <row r="985" hidden="1" outlineLevel="2">
      <c r="A985" s="8" t="n"/>
      <c r="B985" s="14" t="n"/>
      <c r="C985" s="123" t="n"/>
      <c r="D985" s="123" t="n"/>
      <c r="E985" s="123" t="n"/>
      <c r="F985" s="123" t="n"/>
      <c r="G985" s="123" t="n"/>
      <c r="I985" s="23" t="n"/>
      <c r="J985" s="24" t="n"/>
      <c r="K985" s="24" t="n"/>
      <c r="L985" s="24" t="n"/>
      <c r="M985" s="25" t="n"/>
      <c r="N985" s="123" t="n"/>
      <c r="O985" s="23" t="n"/>
      <c r="P985" s="24" t="n"/>
      <c r="Q985" s="24" t="n"/>
      <c r="R985" s="24" t="n"/>
      <c r="S985" s="25" t="n"/>
      <c r="T985" s="123" t="n"/>
      <c r="U985" s="23" t="n"/>
      <c r="V985" s="24" t="n"/>
      <c r="W985" s="24" t="n"/>
      <c r="X985" s="24" t="n"/>
      <c r="Y985" s="25" t="n"/>
      <c r="Z985" s="123" t="n"/>
      <c r="AB985" s="23" t="n"/>
      <c r="AC985" s="24" t="n"/>
      <c r="AD985" s="24" t="n"/>
      <c r="AE985" s="24" t="n"/>
      <c r="AF985" s="25" t="n"/>
      <c r="AG985" s="123" t="n"/>
      <c r="AH985" s="23" t="n"/>
      <c r="AI985" s="24" t="n"/>
      <c r="AJ985" s="24" t="n"/>
      <c r="AK985" s="24" t="n"/>
      <c r="AL985" s="25" t="n"/>
      <c r="AM985" s="123" t="n"/>
      <c r="AN985" s="23" t="n"/>
      <c r="AO985" s="24" t="n"/>
      <c r="AP985" s="24" t="n"/>
      <c r="AQ985" s="24" t="n"/>
      <c r="AR985" s="25" t="n"/>
      <c r="AS985" s="123" t="n"/>
    </row>
    <row r="986" hidden="1" outlineLevel="2">
      <c r="A986" s="8" t="n"/>
      <c r="B986" s="14" t="n"/>
      <c r="C986" s="123" t="n"/>
      <c r="D986" s="123" t="n"/>
      <c r="E986" s="123" t="n"/>
      <c r="F986" s="123" t="n"/>
      <c r="G986" s="123" t="n"/>
      <c r="I986" s="68">
        <f>DADOS_INVOC!$JA$6</f>
        <v/>
      </c>
      <c r="J986" s="16" t="n"/>
      <c r="K986" s="16" t="n"/>
      <c r="L986" s="16" t="n"/>
      <c r="M986" s="17" t="n"/>
      <c r="N986" s="123" t="n"/>
      <c r="O986" s="68">
        <f>DADOS_INVOC!$JB$6</f>
        <v/>
      </c>
      <c r="P986" s="16" t="n"/>
      <c r="Q986" s="16" t="n"/>
      <c r="R986" s="16" t="n"/>
      <c r="S986" s="17" t="n"/>
      <c r="T986" s="123" t="n"/>
      <c r="U986" s="68">
        <f>DADOS_INVOC!$JC$6</f>
        <v/>
      </c>
      <c r="V986" s="16" t="n"/>
      <c r="W986" s="16" t="n"/>
      <c r="X986" s="16" t="n"/>
      <c r="Y986" s="17" t="n"/>
      <c r="Z986" s="123" t="n"/>
      <c r="AB986" s="68">
        <f>DADOS_INVOC!$JA$12</f>
        <v/>
      </c>
      <c r="AC986" s="16" t="n"/>
      <c r="AD986" s="16" t="n"/>
      <c r="AE986" s="16" t="n"/>
      <c r="AF986" s="17" t="n"/>
      <c r="AG986" s="123" t="n"/>
      <c r="AH986" s="68">
        <f>DADOS_INVOC!$JB$12</f>
        <v/>
      </c>
      <c r="AI986" s="16" t="n"/>
      <c r="AJ986" s="16" t="n"/>
      <c r="AK986" s="16" t="n"/>
      <c r="AL986" s="17" t="n"/>
      <c r="AM986" s="123" t="n"/>
      <c r="AN986" s="68">
        <f>DADOS_INVOC!$JC$12</f>
        <v/>
      </c>
      <c r="AO986" s="16" t="n"/>
      <c r="AP986" s="16" t="n"/>
      <c r="AQ986" s="16" t="n"/>
      <c r="AR986" s="17" t="n"/>
      <c r="AS986" s="123" t="n"/>
    </row>
    <row r="987" hidden="1" outlineLevel="2">
      <c r="A987" s="8" t="n"/>
      <c r="B987" s="14" t="n"/>
      <c r="C987" s="123" t="n"/>
      <c r="D987" s="123" t="n"/>
      <c r="E987" s="123" t="n"/>
      <c r="F987" s="123" t="n"/>
      <c r="G987" s="123" t="n"/>
      <c r="I987" s="127" t="inlineStr">
        <is>
          <t>Sua Ação Completa + a básica dela</t>
        </is>
      </c>
      <c r="J987" s="16" t="n"/>
      <c r="K987" s="16" t="n"/>
      <c r="L987" s="16" t="n"/>
      <c r="M987" s="17" t="n"/>
      <c r="N987" s="123" t="n"/>
      <c r="O987" s="127" t="inlineStr">
        <is>
          <t>Sua Ação Completa + a básica dela</t>
        </is>
      </c>
      <c r="P987" s="16" t="n"/>
      <c r="Q987" s="16" t="n"/>
      <c r="R987" s="16" t="n"/>
      <c r="S987" s="17" t="n"/>
      <c r="T987" s="123" t="n"/>
      <c r="U987" s="127" t="inlineStr">
        <is>
          <t>Sua Ação Completa + a básica dela</t>
        </is>
      </c>
      <c r="V987" s="16" t="n"/>
      <c r="W987" s="16" t="n"/>
      <c r="X987" s="16" t="n"/>
      <c r="Y987" s="17" t="n"/>
      <c r="Z987" s="123" t="n"/>
      <c r="AB987" s="127" t="inlineStr">
        <is>
          <t>Sua Ação Completa + a básica dela</t>
        </is>
      </c>
      <c r="AC987" s="16" t="n"/>
      <c r="AD987" s="16" t="n"/>
      <c r="AE987" s="16" t="n"/>
      <c r="AF987" s="17" t="n"/>
      <c r="AG987" s="123" t="n"/>
      <c r="AH987" s="127" t="inlineStr">
        <is>
          <t>Sua Ação Completa + a básica dela</t>
        </is>
      </c>
      <c r="AI987" s="16" t="n"/>
      <c r="AJ987" s="16" t="n"/>
      <c r="AK987" s="16" t="n"/>
      <c r="AL987" s="17" t="n"/>
      <c r="AM987" s="123" t="n"/>
      <c r="AN987" s="127" t="inlineStr">
        <is>
          <t>Sua Ação Completa + a básica dela</t>
        </is>
      </c>
      <c r="AO987" s="16" t="n"/>
      <c r="AP987" s="16" t="n"/>
      <c r="AQ987" s="16" t="n"/>
      <c r="AR987" s="17" t="n"/>
      <c r="AS987" s="123" t="n"/>
    </row>
    <row r="988" hidden="1" outlineLevel="2">
      <c r="A988" s="8" t="n"/>
      <c r="B988" s="14" t="n"/>
      <c r="C988" s="123" t="n"/>
      <c r="D988" s="123" t="n"/>
      <c r="E988" s="123" t="n"/>
      <c r="F988" s="123" t="n"/>
      <c r="G988" s="123" t="n"/>
      <c r="I988" s="123" t="n"/>
      <c r="J988" s="123" t="n"/>
      <c r="K988" s="123" t="n"/>
      <c r="L988" s="123" t="n"/>
      <c r="M988" s="123" t="n"/>
      <c r="N988" s="123" t="n"/>
      <c r="O988" s="123" t="n"/>
      <c r="P988" s="123" t="n"/>
      <c r="Q988" s="123" t="n"/>
      <c r="R988" s="123" t="n"/>
      <c r="S988" s="123" t="n"/>
      <c r="T988" s="123" t="n"/>
      <c r="U988" s="123" t="n"/>
      <c r="V988" s="123" t="n"/>
      <c r="W988" s="123" t="n"/>
      <c r="X988" s="123" t="n"/>
      <c r="Y988" s="123" t="n"/>
      <c r="Z988" s="123" t="n"/>
      <c r="AB988" s="123" t="n"/>
      <c r="AC988" s="123" t="n"/>
      <c r="AD988" s="123" t="n"/>
      <c r="AE988" s="123" t="n"/>
      <c r="AF988" s="123" t="n"/>
      <c r="AG988" s="123" t="n"/>
      <c r="AH988" s="123" t="n"/>
      <c r="AI988" s="123" t="n"/>
      <c r="AJ988" s="123" t="n"/>
      <c r="AK988" s="123" t="n"/>
      <c r="AL988" s="123" t="n"/>
      <c r="AM988" s="123" t="n"/>
      <c r="AN988" s="123" t="n"/>
      <c r="AO988" s="123" t="n"/>
      <c r="AP988" s="123" t="n"/>
      <c r="AQ988" s="123" t="n"/>
      <c r="AR988" s="123" t="n"/>
      <c r="AS988" s="123" t="n"/>
    </row>
    <row r="989" hidden="1" outlineLevel="2">
      <c r="A989" s="8" t="n"/>
      <c r="B989" s="14" t="n"/>
      <c r="C989" s="123" t="n"/>
      <c r="D989" s="123" t="n"/>
      <c r="E989" s="123" t="n"/>
      <c r="F989" s="123" t="n"/>
      <c r="G989" s="123" t="n"/>
      <c r="I989" s="55" t="inlineStr">
        <is>
          <t>TÉCNICA MÁXIMA</t>
        </is>
      </c>
      <c r="J989" s="16" t="n"/>
      <c r="K989" s="16" t="n"/>
      <c r="L989" s="16" t="n"/>
      <c r="M989" s="17" t="n"/>
      <c r="N989" s="123" t="n"/>
      <c r="O989" s="55" t="inlineStr">
        <is>
          <t>EXPANSÃO DE DOMÍNIO</t>
        </is>
      </c>
      <c r="P989" s="16" t="n"/>
      <c r="Q989" s="16" t="n"/>
      <c r="R989" s="16" t="n"/>
      <c r="S989" s="17" t="n"/>
      <c r="T989" s="123" t="n"/>
      <c r="U989" s="123" t="n"/>
      <c r="V989" s="123" t="n"/>
      <c r="W989" s="123" t="n"/>
      <c r="X989" s="123" t="n"/>
      <c r="Y989" s="123" t="n"/>
      <c r="Z989" s="123" t="n"/>
      <c r="AB989" s="55" t="inlineStr">
        <is>
          <t>TÉCNICA MÁXIMA</t>
        </is>
      </c>
      <c r="AC989" s="16" t="n"/>
      <c r="AD989" s="16" t="n"/>
      <c r="AE989" s="16" t="n"/>
      <c r="AF989" s="17" t="n"/>
      <c r="AG989" s="123" t="n"/>
      <c r="AH989" s="55" t="inlineStr">
        <is>
          <t>EXPANSÃO DE DOMÍNIO</t>
        </is>
      </c>
      <c r="AI989" s="16" t="n"/>
      <c r="AJ989" s="16" t="n"/>
      <c r="AK989" s="16" t="n"/>
      <c r="AL989" s="17" t="n"/>
      <c r="AM989" s="123" t="n"/>
      <c r="AN989" s="123" t="n"/>
      <c r="AO989" s="123" t="n"/>
      <c r="AP989" s="123" t="n"/>
      <c r="AQ989" s="123" t="n"/>
      <c r="AR989" s="123" t="n"/>
      <c r="AS989" s="123" t="n"/>
    </row>
    <row r="990" hidden="1" outlineLevel="2">
      <c r="A990" s="8" t="n"/>
      <c r="B990" s="14" t="n"/>
      <c r="C990" s="123" t="n"/>
      <c r="D990" s="123" t="n"/>
      <c r="E990" s="123" t="n"/>
      <c r="F990" s="123" t="n"/>
      <c r="G990" s="123" t="n"/>
      <c r="I990" s="118" t="n"/>
      <c r="J990" s="16" t="n"/>
      <c r="K990" s="16" t="n"/>
      <c r="L990" s="17" t="n"/>
      <c r="M990" s="131">
        <f>DADOS_INVOC!$JD$6</f>
        <v/>
      </c>
      <c r="N990" s="123" t="n"/>
      <c r="O990" s="118" t="n"/>
      <c r="P990" s="16" t="n"/>
      <c r="Q990" s="16" t="n"/>
      <c r="R990" s="17" t="n"/>
      <c r="S990" s="131">
        <f>DADOS_INVOC!$JF$6</f>
        <v/>
      </c>
      <c r="T990" s="123" t="n"/>
      <c r="U990" s="123" t="n"/>
      <c r="V990" s="123" t="n"/>
      <c r="W990" s="123" t="n"/>
      <c r="X990" s="123" t="n"/>
      <c r="Y990" s="123" t="n"/>
      <c r="Z990" s="123" t="n"/>
      <c r="AB990" s="118" t="n"/>
      <c r="AC990" s="16" t="n"/>
      <c r="AD990" s="16" t="n"/>
      <c r="AE990" s="17" t="n"/>
      <c r="AF990" s="131">
        <f>DADOS_INVOC!$JD$12</f>
        <v/>
      </c>
      <c r="AG990" s="123" t="n"/>
      <c r="AH990" s="118" t="n"/>
      <c r="AI990" s="16" t="n"/>
      <c r="AJ990" s="16" t="n"/>
      <c r="AK990" s="17" t="n"/>
      <c r="AL990" s="131">
        <f>DADOS_INVOC!$JF$12</f>
        <v/>
      </c>
      <c r="AM990" s="123" t="n"/>
      <c r="AN990" s="123" t="n"/>
      <c r="AO990" s="123" t="n"/>
      <c r="AP990" s="123" t="n"/>
      <c r="AQ990" s="123" t="n"/>
      <c r="AR990" s="123" t="n"/>
      <c r="AS990" s="123" t="n"/>
    </row>
    <row r="991" hidden="1" outlineLevel="2">
      <c r="A991" s="8" t="n"/>
      <c r="B991" s="14" t="n"/>
      <c r="C991" s="123" t="n"/>
      <c r="D991" s="123" t="n"/>
      <c r="E991" s="123" t="n"/>
      <c r="F991" s="123" t="n"/>
      <c r="G991" s="123" t="n"/>
      <c r="I991" s="119" t="n"/>
      <c r="J991" s="19" t="n"/>
      <c r="K991" s="19" t="n"/>
      <c r="L991" s="19" t="n"/>
      <c r="M991" s="20" t="n"/>
      <c r="N991" s="123" t="n"/>
      <c r="O991" s="119" t="n"/>
      <c r="P991" s="19" t="n"/>
      <c r="Q991" s="19" t="n"/>
      <c r="R991" s="19" t="n"/>
      <c r="S991" s="20" t="n"/>
      <c r="T991" s="123" t="n"/>
      <c r="U991" s="123" t="n"/>
      <c r="V991" s="123" t="n"/>
      <c r="W991" s="123" t="n"/>
      <c r="X991" s="123" t="n"/>
      <c r="Y991" s="123" t="n"/>
      <c r="Z991" s="123" t="n"/>
      <c r="AB991" s="119" t="n"/>
      <c r="AC991" s="19" t="n"/>
      <c r="AD991" s="19" t="n"/>
      <c r="AE991" s="19" t="n"/>
      <c r="AF991" s="20" t="n"/>
      <c r="AG991" s="123" t="n"/>
      <c r="AH991" s="119" t="n"/>
      <c r="AI991" s="19" t="n"/>
      <c r="AJ991" s="19" t="n"/>
      <c r="AK991" s="19" t="n"/>
      <c r="AL991" s="20" t="n"/>
      <c r="AM991" s="123" t="n"/>
      <c r="AN991" s="123" t="n"/>
      <c r="AO991" s="123" t="n"/>
      <c r="AP991" s="123" t="n"/>
      <c r="AQ991" s="123" t="n"/>
      <c r="AR991" s="123" t="n"/>
      <c r="AS991" s="123" t="n"/>
    </row>
    <row r="992" hidden="1" outlineLevel="2">
      <c r="A992" s="8" t="n"/>
      <c r="B992" s="14" t="n"/>
      <c r="C992" s="123" t="n"/>
      <c r="D992" s="123" t="n"/>
      <c r="E992" s="123" t="n"/>
      <c r="F992" s="123" t="n"/>
      <c r="G992" s="123" t="n"/>
      <c r="I992" s="21" t="n"/>
      <c r="M992" s="22" t="n"/>
      <c r="N992" s="123" t="n"/>
      <c r="O992" s="21" t="n"/>
      <c r="S992" s="22" t="n"/>
      <c r="T992" s="123" t="n"/>
      <c r="U992" s="123" t="n"/>
      <c r="V992" s="123" t="n"/>
      <c r="W992" s="123" t="n"/>
      <c r="X992" s="123" t="n"/>
      <c r="Y992" s="123" t="n"/>
      <c r="Z992" s="123" t="n"/>
      <c r="AB992" s="21" t="n"/>
      <c r="AF992" s="22" t="n"/>
      <c r="AG992" s="123" t="n"/>
      <c r="AH992" s="21" t="n"/>
      <c r="AL992" s="22" t="n"/>
      <c r="AM992" s="123" t="n"/>
      <c r="AN992" s="123" t="n"/>
      <c r="AO992" s="123" t="n"/>
      <c r="AP992" s="123" t="n"/>
      <c r="AQ992" s="123" t="n"/>
      <c r="AR992" s="123" t="n"/>
      <c r="AS992" s="123" t="n"/>
    </row>
    <row r="993" hidden="1" outlineLevel="2">
      <c r="A993" s="8" t="n"/>
      <c r="B993" s="14" t="n"/>
      <c r="C993" s="123" t="n"/>
      <c r="D993" s="123" t="n"/>
      <c r="E993" s="123" t="n"/>
      <c r="F993" s="123" t="n"/>
      <c r="G993" s="123" t="n"/>
      <c r="I993" s="21" t="n"/>
      <c r="M993" s="22" t="n"/>
      <c r="N993" s="123" t="n"/>
      <c r="O993" s="21" t="n"/>
      <c r="S993" s="22" t="n"/>
      <c r="T993" s="123" t="n"/>
      <c r="U993" s="123" t="n"/>
      <c r="V993" s="123" t="n"/>
      <c r="W993" s="123" t="n"/>
      <c r="X993" s="123" t="n"/>
      <c r="Y993" s="123" t="n"/>
      <c r="Z993" s="123" t="n"/>
      <c r="AB993" s="21" t="n"/>
      <c r="AF993" s="22" t="n"/>
      <c r="AG993" s="123" t="n"/>
      <c r="AH993" s="21" t="n"/>
      <c r="AL993" s="22" t="n"/>
      <c r="AM993" s="123" t="n"/>
      <c r="AN993" s="123" t="n"/>
      <c r="AO993" s="123" t="n"/>
      <c r="AP993" s="123" t="n"/>
      <c r="AQ993" s="123" t="n"/>
      <c r="AR993" s="123" t="n"/>
      <c r="AS993" s="123" t="n"/>
    </row>
    <row r="994" hidden="1" outlineLevel="2">
      <c r="A994" s="8" t="n"/>
      <c r="B994" s="14" t="n"/>
      <c r="C994" s="123" t="n"/>
      <c r="D994" s="123" t="n"/>
      <c r="E994" s="123" t="n"/>
      <c r="F994" s="123" t="n"/>
      <c r="G994" s="123" t="n"/>
      <c r="I994" s="23" t="n"/>
      <c r="J994" s="24" t="n"/>
      <c r="K994" s="24" t="n"/>
      <c r="L994" s="24" t="n"/>
      <c r="M994" s="25" t="n"/>
      <c r="N994" s="123" t="n"/>
      <c r="O994" s="23" t="n"/>
      <c r="P994" s="24" t="n"/>
      <c r="Q994" s="24" t="n"/>
      <c r="R994" s="24" t="n"/>
      <c r="S994" s="25" t="n"/>
      <c r="T994" s="123" t="n"/>
      <c r="U994" s="123" t="n"/>
      <c r="V994" s="123" t="n"/>
      <c r="W994" s="123" t="n"/>
      <c r="X994" s="123" t="n"/>
      <c r="Y994" s="123" t="n"/>
      <c r="Z994" s="123" t="n"/>
      <c r="AB994" s="23" t="n"/>
      <c r="AC994" s="24" t="n"/>
      <c r="AD994" s="24" t="n"/>
      <c r="AE994" s="24" t="n"/>
      <c r="AF994" s="25" t="n"/>
      <c r="AG994" s="123" t="n"/>
      <c r="AH994" s="23" t="n"/>
      <c r="AI994" s="24" t="n"/>
      <c r="AJ994" s="24" t="n"/>
      <c r="AK994" s="24" t="n"/>
      <c r="AL994" s="25" t="n"/>
      <c r="AM994" s="123" t="n"/>
      <c r="AN994" s="123" t="n"/>
      <c r="AO994" s="123" t="n"/>
      <c r="AP994" s="123" t="n"/>
      <c r="AQ994" s="123" t="n"/>
      <c r="AR994" s="123" t="n"/>
      <c r="AS994" s="123" t="n"/>
    </row>
    <row r="995" hidden="1" outlineLevel="2">
      <c r="A995" s="8" t="n"/>
      <c r="B995" s="14" t="n"/>
      <c r="C995" s="123" t="n"/>
      <c r="D995" s="123" t="n"/>
      <c r="E995" s="123" t="n"/>
      <c r="F995" s="123" t="n"/>
      <c r="G995" s="123" t="n"/>
      <c r="I995" s="68">
        <f>DADOS_INVOC!$JE$6</f>
        <v/>
      </c>
      <c r="J995" s="16" t="n"/>
      <c r="K995" s="16" t="n"/>
      <c r="L995" s="16" t="n"/>
      <c r="M995" s="17" t="n"/>
      <c r="N995" s="123" t="n"/>
      <c r="O995" s="127" t="n"/>
      <c r="P995" s="17" t="n"/>
      <c r="Q995" s="68">
        <f>DADOS_INVOC!$JG$6</f>
        <v/>
      </c>
      <c r="R995" s="16" t="n"/>
      <c r="S995" s="17" t="n"/>
      <c r="T995" s="123" t="n"/>
      <c r="U995" s="123" t="n"/>
      <c r="V995" s="123" t="n"/>
      <c r="W995" s="123" t="n"/>
      <c r="X995" s="123" t="n"/>
      <c r="Y995" s="123" t="n"/>
      <c r="Z995" s="123" t="n"/>
      <c r="AB995" s="68">
        <f>DADOS_INVOC!$JE$12</f>
        <v/>
      </c>
      <c r="AC995" s="16" t="n"/>
      <c r="AD995" s="16" t="n"/>
      <c r="AE995" s="16" t="n"/>
      <c r="AF995" s="17" t="n"/>
      <c r="AG995" s="123" t="n"/>
      <c r="AH995" s="127" t="n"/>
      <c r="AI995" s="17" t="n"/>
      <c r="AJ995" s="68">
        <f>DADOS_INVOC!$JG$12</f>
        <v/>
      </c>
      <c r="AK995" s="16" t="n"/>
      <c r="AL995" s="17" t="n"/>
      <c r="AM995" s="123" t="n"/>
      <c r="AN995" s="123" t="n"/>
      <c r="AO995" s="123" t="n"/>
      <c r="AP995" s="123" t="n"/>
      <c r="AQ995" s="123" t="n"/>
      <c r="AR995" s="123" t="n"/>
      <c r="AS995" s="123" t="n"/>
    </row>
    <row r="996" hidden="1" outlineLevel="2">
      <c r="A996" s="8" t="n"/>
      <c r="B996" s="14" t="n"/>
      <c r="C996" s="123" t="n"/>
      <c r="D996" s="123" t="n"/>
      <c r="E996" s="123" t="n"/>
      <c r="F996" s="123" t="n"/>
      <c r="G996" s="123" t="n"/>
      <c r="I996" s="127" t="inlineStr">
        <is>
          <t>Sua Ação Completa + a básica dela</t>
        </is>
      </c>
      <c r="J996" s="16" t="n"/>
      <c r="K996" s="16" t="n"/>
      <c r="L996" s="16" t="n"/>
      <c r="M996" s="17" t="n"/>
      <c r="N996" s="123" t="n"/>
      <c r="O996" s="132">
        <f>DADOS_INVOC!$JH$6</f>
        <v/>
      </c>
      <c r="P996" s="16" t="n"/>
      <c r="Q996" s="16" t="n"/>
      <c r="R996" s="16" t="n"/>
      <c r="S996" s="17" t="n"/>
      <c r="T996" s="123" t="n"/>
      <c r="U996" s="123" t="n"/>
      <c r="V996" s="123" t="n"/>
      <c r="W996" s="123" t="n"/>
      <c r="X996" s="123" t="n"/>
      <c r="Y996" s="123" t="n"/>
      <c r="Z996" s="123" t="n"/>
      <c r="AB996" s="127" t="inlineStr">
        <is>
          <t>Sua Ação Completa + a básica dela</t>
        </is>
      </c>
      <c r="AC996" s="16" t="n"/>
      <c r="AD996" s="16" t="n"/>
      <c r="AE996" s="16" t="n"/>
      <c r="AF996" s="17" t="n"/>
      <c r="AG996" s="123" t="n"/>
      <c r="AH996" s="132">
        <f>DADOS_INVOC!$JH$12</f>
        <v/>
      </c>
      <c r="AI996" s="16" t="n"/>
      <c r="AJ996" s="16" t="n"/>
      <c r="AK996" s="16" t="n"/>
      <c r="AL996" s="17" t="n"/>
      <c r="AM996" s="123" t="n"/>
      <c r="AN996" s="123" t="n"/>
      <c r="AO996" s="123" t="n"/>
      <c r="AP996" s="123" t="n"/>
      <c r="AQ996" s="123" t="n"/>
      <c r="AR996" s="123" t="n"/>
      <c r="AS996" s="123" t="n"/>
    </row>
    <row r="997">
      <c r="A997" s="8" t="n"/>
      <c r="B997" s="14" t="n"/>
      <c r="C997" s="123" t="n"/>
      <c r="D997" s="123" t="n"/>
      <c r="E997" s="123" t="n"/>
      <c r="F997" s="123" t="n"/>
      <c r="G997" s="123" t="n"/>
      <c r="H997" s="123" t="n"/>
      <c r="I997" s="123" t="n"/>
      <c r="J997" s="123" t="n"/>
      <c r="K997" s="123" t="n"/>
      <c r="L997" s="123" t="n"/>
      <c r="M997" s="123" t="n"/>
      <c r="N997" s="123" t="n"/>
      <c r="O997" s="123" t="n"/>
      <c r="P997" s="123" t="n"/>
      <c r="Q997" s="123" t="n"/>
      <c r="R997" s="123" t="n"/>
      <c r="S997" s="123" t="n"/>
      <c r="T997" s="123" t="n"/>
      <c r="U997" s="123" t="n"/>
      <c r="V997" s="123" t="n"/>
      <c r="W997" s="123" t="n"/>
      <c r="X997" s="123" t="n"/>
      <c r="Y997" s="123" t="n"/>
      <c r="Z997" s="123" t="n"/>
      <c r="AA997" s="123" t="n"/>
      <c r="AB997" s="123" t="n"/>
      <c r="AC997" s="123" t="n"/>
      <c r="AD997" s="123" t="n"/>
      <c r="AE997" s="123" t="n"/>
      <c r="AF997" s="123" t="n"/>
      <c r="AG997" s="123" t="n"/>
      <c r="AH997" s="123" t="n"/>
      <c r="AI997" s="123" t="n"/>
      <c r="AJ997" s="123" t="n"/>
      <c r="AK997" s="123" t="n"/>
      <c r="AL997" s="123" t="n"/>
      <c r="AM997" s="123" t="n"/>
      <c r="AN997" s="123" t="n"/>
      <c r="AO997" s="123" t="n"/>
      <c r="AP997" s="123" t="n"/>
      <c r="AQ997" s="123" t="n"/>
      <c r="AR997" s="123" t="n"/>
      <c r="AS997" s="123" t="n"/>
    </row>
    <row r="998">
      <c r="A998" s="8" t="n"/>
      <c r="B998" s="14" t="n"/>
      <c r="C998" s="123" t="n"/>
      <c r="D998" s="123" t="n"/>
      <c r="E998" s="123" t="n"/>
      <c r="F998" s="123" t="n"/>
      <c r="G998" s="123" t="n"/>
      <c r="H998" s="123" t="n"/>
      <c r="I998" s="123" t="n"/>
      <c r="J998" s="123" t="n"/>
      <c r="K998" s="123" t="n"/>
      <c r="L998" s="123" t="n"/>
      <c r="M998" s="123" t="n"/>
      <c r="N998" s="123" t="n"/>
      <c r="O998" s="123" t="n"/>
      <c r="P998" s="123" t="n"/>
      <c r="Q998" s="123" t="n"/>
      <c r="R998" s="123" t="n"/>
      <c r="S998" s="123" t="n"/>
      <c r="T998" s="123" t="n"/>
      <c r="U998" s="123" t="n"/>
      <c r="V998" s="123" t="n"/>
      <c r="W998" s="123" t="n"/>
      <c r="X998" s="123" t="n"/>
      <c r="Y998" s="123" t="n"/>
      <c r="Z998" s="123" t="n"/>
      <c r="AA998" s="123" t="n"/>
      <c r="AB998" s="123" t="n"/>
      <c r="AC998" s="123" t="n"/>
      <c r="AD998" s="123" t="n"/>
      <c r="AE998" s="123" t="n"/>
      <c r="AF998" s="123" t="n"/>
      <c r="AG998" s="123" t="n"/>
      <c r="AH998" s="123" t="n"/>
      <c r="AI998" s="123" t="n"/>
      <c r="AJ998" s="123" t="n"/>
      <c r="AK998" s="123" t="n"/>
      <c r="AL998" s="123" t="n"/>
      <c r="AM998" s="123" t="n"/>
      <c r="AN998" s="123" t="n"/>
      <c r="AO998" s="123" t="n"/>
      <c r="AP998" s="123" t="n"/>
      <c r="AQ998" s="123" t="n"/>
      <c r="AR998" s="123" t="n"/>
      <c r="AS998" s="123" t="n"/>
    </row>
    <row r="999">
      <c r="A999" s="8" t="n"/>
      <c r="B999" s="14" t="n"/>
      <c r="C999" s="123" t="n"/>
      <c r="D999" s="123" t="n"/>
      <c r="E999" s="123" t="n"/>
      <c r="F999" s="123" t="n"/>
      <c r="G999" s="123" t="n"/>
      <c r="H999" s="141" t="n">
        <v>6</v>
      </c>
      <c r="I999" s="142" t="n">
        <v>6</v>
      </c>
      <c r="J999" s="126">
        <f>DADOS_INVOC!$HE$7</f>
        <v/>
      </c>
      <c r="K999" s="19" t="n"/>
      <c r="L999" s="19" t="n"/>
      <c r="M999" s="19" t="n"/>
      <c r="N999" s="19" t="n"/>
      <c r="O999" s="19" t="n"/>
      <c r="P999" s="19" t="n"/>
      <c r="Q999" s="19" t="n"/>
      <c r="R999" s="19" t="n"/>
      <c r="S999" s="19" t="n"/>
      <c r="T999" s="19" t="n"/>
      <c r="U999" s="19" t="n"/>
      <c r="V999" s="19" t="n"/>
      <c r="W999" s="19" t="n"/>
      <c r="X999" s="19" t="n"/>
      <c r="Y999" s="20" t="n"/>
      <c r="Z999" s="123" t="n"/>
      <c r="AA999" s="141" t="n">
        <v>12</v>
      </c>
      <c r="AB999" s="142" t="n">
        <v>12</v>
      </c>
      <c r="AC999" s="126">
        <f>DADOS_INVOC!$HE$13</f>
        <v/>
      </c>
      <c r="AD999" s="19" t="n"/>
      <c r="AE999" s="19" t="n"/>
      <c r="AF999" s="19" t="n"/>
      <c r="AG999" s="19" t="n"/>
      <c r="AH999" s="19" t="n"/>
      <c r="AI999" s="19" t="n"/>
      <c r="AJ999" s="19" t="n"/>
      <c r="AK999" s="19" t="n"/>
      <c r="AL999" s="19" t="n"/>
      <c r="AM999" s="19" t="n"/>
      <c r="AN999" s="19" t="n"/>
      <c r="AO999" s="19" t="n"/>
      <c r="AP999" s="19" t="n"/>
      <c r="AQ999" s="19" t="n"/>
      <c r="AR999" s="20" t="n"/>
      <c r="AS999" s="123" t="n"/>
    </row>
    <row r="1000">
      <c r="A1000" s="8" t="n"/>
      <c r="B1000" s="14" t="n"/>
      <c r="C1000" s="123" t="n"/>
      <c r="D1000" s="123" t="n"/>
      <c r="E1000" s="123" t="n"/>
      <c r="F1000" s="123" t="n"/>
      <c r="G1000" s="123" t="n"/>
      <c r="I1000" s="128" t="n"/>
      <c r="J1000" s="23" t="n"/>
      <c r="K1000" s="24" t="n"/>
      <c r="L1000" s="24" t="n"/>
      <c r="M1000" s="24" t="n"/>
      <c r="N1000" s="24" t="n"/>
      <c r="O1000" s="24" t="n"/>
      <c r="P1000" s="24" t="n"/>
      <c r="Q1000" s="24" t="n"/>
      <c r="R1000" s="24" t="n"/>
      <c r="S1000" s="24" t="n"/>
      <c r="T1000" s="24" t="n"/>
      <c r="U1000" s="24" t="n"/>
      <c r="V1000" s="24" t="n"/>
      <c r="W1000" s="24" t="n"/>
      <c r="X1000" s="24" t="n"/>
      <c r="Y1000" s="25" t="n"/>
      <c r="Z1000" s="123" t="n"/>
      <c r="AB1000" s="128"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23" t="n"/>
    </row>
    <row r="1001" hidden="1" outlineLevel="1">
      <c r="A1001" s="8" t="n"/>
      <c r="B1001" s="14" t="n"/>
      <c r="C1001" s="123" t="n"/>
      <c r="D1001" s="123" t="n"/>
      <c r="E1001" s="123" t="n"/>
      <c r="F1001" s="123" t="n"/>
      <c r="G1001" s="123" t="n"/>
      <c r="H1001" s="143">
        <f>DADOS_INVOC!$HF$7</f>
        <v/>
      </c>
      <c r="I1001" s="123" t="n"/>
      <c r="J1001" s="123" t="n"/>
      <c r="K1001" s="123" t="n"/>
      <c r="L1001" s="123" t="n"/>
      <c r="M1001" s="123" t="n"/>
      <c r="N1001" s="123" t="n"/>
      <c r="O1001" s="123" t="n"/>
      <c r="P1001" s="123" t="n"/>
      <c r="Q1001" s="123" t="n"/>
      <c r="R1001" s="123" t="n"/>
      <c r="S1001" s="123" t="n"/>
      <c r="T1001" s="123" t="n"/>
      <c r="U1001" s="123" t="n"/>
      <c r="V1001" s="123" t="n"/>
      <c r="W1001" s="123" t="n"/>
      <c r="X1001" s="123" t="n"/>
      <c r="Y1001" s="123" t="n"/>
      <c r="Z1001" s="123" t="n"/>
      <c r="AA1001" s="143">
        <f>DADOS_INVOC!$HF$13</f>
        <v/>
      </c>
      <c r="AB1001" s="123" t="n"/>
      <c r="AC1001" s="123" t="n"/>
      <c r="AD1001" s="123" t="n"/>
      <c r="AE1001" s="123" t="n"/>
      <c r="AF1001" s="123" t="n"/>
      <c r="AG1001" s="123" t="n"/>
      <c r="AH1001" s="123" t="n"/>
      <c r="AI1001" s="123" t="n"/>
      <c r="AJ1001" s="123" t="n"/>
      <c r="AK1001" s="123" t="n"/>
      <c r="AL1001" s="123" t="n"/>
      <c r="AM1001" s="123" t="n"/>
      <c r="AN1001" s="123" t="n"/>
      <c r="AO1001" s="123" t="n"/>
      <c r="AP1001" s="123" t="n"/>
      <c r="AQ1001" s="123" t="n"/>
      <c r="AR1001" s="123" t="n"/>
      <c r="AS1001" s="123" t="n"/>
    </row>
    <row r="1002" hidden="1" outlineLevel="1">
      <c r="A1002" s="8" t="n"/>
      <c r="B1002" s="14" t="n"/>
      <c r="C1002" s="123" t="n"/>
      <c r="D1002" s="123" t="n"/>
      <c r="E1002" s="123" t="n"/>
      <c r="F1002" s="123" t="n"/>
      <c r="G1002" s="123" t="n"/>
      <c r="I1002" s="55" t="inlineStr">
        <is>
          <t>NOME</t>
        </is>
      </c>
      <c r="J1002" s="16" t="n"/>
      <c r="K1002" s="16" t="n"/>
      <c r="L1002" s="16" t="n"/>
      <c r="M1002" s="17" t="n"/>
      <c r="N1002" s="123" t="n"/>
      <c r="O1002" s="55" t="inlineStr">
        <is>
          <t>NÍVEL</t>
        </is>
      </c>
      <c r="P1002" s="55" t="inlineStr">
        <is>
          <t>CLASSE</t>
        </is>
      </c>
      <c r="Q1002" s="55" t="inlineStr">
        <is>
          <t>MAESTRIA</t>
        </is>
      </c>
      <c r="R1002" s="55" t="inlineStr">
        <is>
          <t>ENTRADA</t>
        </is>
      </c>
      <c r="S1002" s="55" t="inlineStr">
        <is>
          <t>RETORNO</t>
        </is>
      </c>
      <c r="T1002" s="123" t="n"/>
      <c r="U1002" s="55" t="inlineStr">
        <is>
          <t>VIDA ATUAL</t>
        </is>
      </c>
      <c r="V1002" s="55" t="inlineStr">
        <is>
          <t>VIDA MÁXIMA</t>
        </is>
      </c>
      <c r="W1002" s="55" t="inlineStr">
        <is>
          <t>TEMPORÁRIA</t>
        </is>
      </c>
      <c r="X1002" s="55" t="inlineStr">
        <is>
          <t>± PERDA / GANHO</t>
        </is>
      </c>
      <c r="Y1002" s="55">
        <f>DADOS_INVOC!$HZ$7</f>
        <v/>
      </c>
      <c r="Z1002" s="123" t="n"/>
      <c r="AB1002" s="55" t="inlineStr">
        <is>
          <t>NOME</t>
        </is>
      </c>
      <c r="AC1002" s="16" t="n"/>
      <c r="AD1002" s="16" t="n"/>
      <c r="AE1002" s="16" t="n"/>
      <c r="AF1002" s="17" t="n"/>
      <c r="AG1002" s="123" t="n"/>
      <c r="AH1002" s="55" t="inlineStr">
        <is>
          <t>NÍVEL</t>
        </is>
      </c>
      <c r="AI1002" s="55" t="inlineStr">
        <is>
          <t>CLASSE</t>
        </is>
      </c>
      <c r="AJ1002" s="55" t="inlineStr">
        <is>
          <t>MAESTRIA</t>
        </is>
      </c>
      <c r="AK1002" s="55" t="inlineStr">
        <is>
          <t>ENTRADA</t>
        </is>
      </c>
      <c r="AL1002" s="55" t="inlineStr">
        <is>
          <t>RETORNO</t>
        </is>
      </c>
      <c r="AM1002" s="123" t="n"/>
      <c r="AN1002" s="55" t="inlineStr">
        <is>
          <t>VIDA ATUAL</t>
        </is>
      </c>
      <c r="AO1002" s="55" t="inlineStr">
        <is>
          <t>VIDA MÁXIMA</t>
        </is>
      </c>
      <c r="AP1002" s="55" t="inlineStr">
        <is>
          <t>TEMPORÁRIA</t>
        </is>
      </c>
      <c r="AQ1002" s="55" t="inlineStr">
        <is>
          <t>± PERDA / GANHO</t>
        </is>
      </c>
      <c r="AR1002" s="55">
        <f>DADOS_INVOC!$HZ$13</f>
        <v/>
      </c>
      <c r="AS1002" s="123" t="n"/>
    </row>
    <row r="1003" hidden="1" outlineLevel="1">
      <c r="A1003" s="8" t="n"/>
      <c r="B1003" s="14" t="n"/>
      <c r="C1003" s="123" t="n"/>
      <c r="D1003" s="123" t="n"/>
      <c r="E1003" s="123" t="n"/>
      <c r="F1003" s="123" t="n"/>
      <c r="G1003" s="123" t="n"/>
      <c r="I1003" s="85" t="n"/>
      <c r="J1003" s="19" t="n"/>
      <c r="K1003" s="19" t="n"/>
      <c r="L1003" s="19" t="n"/>
      <c r="M1003" s="20" t="n"/>
      <c r="N1003" s="123" t="n"/>
      <c r="O1003" s="96">
        <f>DADOS_INVOC!$FM$7</f>
        <v/>
      </c>
      <c r="P1003" s="96">
        <f>DADOS_INVOC!$FN$7</f>
        <v/>
      </c>
      <c r="Q1003" s="96">
        <f>DADOS_INVOC!$HG$7</f>
        <v/>
      </c>
      <c r="R1003" s="96">
        <f>DADOS_INVOC!$HH$7</f>
        <v/>
      </c>
      <c r="S1003" s="96">
        <f>DADOS_INVOC!$HI$7</f>
        <v/>
      </c>
      <c r="T1003" s="123" t="n"/>
      <c r="U1003" s="96">
        <f>DADOS_INVOC!$GE$7</f>
        <v/>
      </c>
      <c r="V1003" s="96">
        <f>DADOS_INVOC!$GD$7</f>
        <v/>
      </c>
      <c r="W1003" s="96" t="n"/>
      <c r="X1003" s="96" t="n"/>
      <c r="Y1003" s="96" t="n"/>
      <c r="Z1003" s="123" t="n"/>
      <c r="AB1003" s="85" t="n"/>
      <c r="AC1003" s="19" t="n"/>
      <c r="AD1003" s="19" t="n"/>
      <c r="AE1003" s="19" t="n"/>
      <c r="AF1003" s="20" t="n"/>
      <c r="AG1003" s="123" t="n"/>
      <c r="AH1003" s="96">
        <f>DADOS_INVOC!$FM$13</f>
        <v/>
      </c>
      <c r="AI1003" s="96">
        <f>DADOS_INVOC!$FN$13</f>
        <v/>
      </c>
      <c r="AJ1003" s="96">
        <f>DADOS_INVOC!$HG$13</f>
        <v/>
      </c>
      <c r="AK1003" s="96">
        <f>DADOS_INVOC!$HH$13</f>
        <v/>
      </c>
      <c r="AL1003" s="96">
        <f>DADOS_INVOC!$HI$13</f>
        <v/>
      </c>
      <c r="AM1003" s="123" t="n"/>
      <c r="AN1003" s="96">
        <f>DADOS_INVOC!$GE$13</f>
        <v/>
      </c>
      <c r="AO1003" s="96">
        <f>DADOS_INVOC!$GD$13</f>
        <v/>
      </c>
      <c r="AP1003" s="96" t="n"/>
      <c r="AQ1003" s="96" t="n"/>
      <c r="AR1003" s="96" t="n"/>
      <c r="AS1003" s="123" t="n"/>
    </row>
    <row r="1004" hidden="1" outlineLevel="1">
      <c r="A1004" s="8" t="n"/>
      <c r="B1004" s="14" t="n"/>
      <c r="C1004" s="123" t="n"/>
      <c r="D1004" s="123" t="n"/>
      <c r="E1004" s="123" t="n"/>
      <c r="F1004" s="123" t="n"/>
      <c r="G1004" s="123" t="n"/>
      <c r="I1004" s="23" t="n"/>
      <c r="J1004" s="24" t="n"/>
      <c r="K1004" s="24" t="n"/>
      <c r="L1004" s="24" t="n"/>
      <c r="M1004" s="25" t="n"/>
      <c r="N1004" s="123" t="n"/>
      <c r="O1004" s="128" t="n"/>
      <c r="P1004" s="128" t="n"/>
      <c r="Q1004" s="128" t="n"/>
      <c r="R1004" s="128" t="n"/>
      <c r="S1004" s="128" t="n"/>
      <c r="T1004" s="123" t="n"/>
      <c r="U1004" s="128" t="n"/>
      <c r="V1004" s="128" t="n"/>
      <c r="W1004" s="128" t="n"/>
      <c r="X1004" s="128" t="n"/>
      <c r="Y1004" s="128" t="n"/>
      <c r="Z1004" s="123" t="n"/>
      <c r="AB1004" s="23" t="n"/>
      <c r="AC1004" s="24" t="n"/>
      <c r="AD1004" s="24" t="n"/>
      <c r="AE1004" s="24" t="n"/>
      <c r="AF1004" s="25" t="n"/>
      <c r="AG1004" s="123" t="n"/>
      <c r="AH1004" s="128" t="n"/>
      <c r="AI1004" s="128" t="n"/>
      <c r="AJ1004" s="128" t="n"/>
      <c r="AK1004" s="128" t="n"/>
      <c r="AL1004" s="128" t="n"/>
      <c r="AM1004" s="123" t="n"/>
      <c r="AN1004" s="128" t="n"/>
      <c r="AO1004" s="128" t="n"/>
      <c r="AP1004" s="128" t="n"/>
      <c r="AQ1004" s="128" t="n"/>
      <c r="AR1004" s="128" t="n"/>
      <c r="AS1004" s="123" t="n"/>
    </row>
    <row r="1005" hidden="1" outlineLevel="1">
      <c r="A1005" s="8" t="n"/>
      <c r="B1005" s="14" t="n"/>
      <c r="C1005" s="123" t="n"/>
      <c r="D1005" s="123" t="n"/>
      <c r="E1005" s="123" t="n"/>
      <c r="F1005" s="123" t="n"/>
      <c r="G1005" s="123" t="n"/>
      <c r="I1005" s="144" t="inlineStr">
        <is>
          <t>FOTO
式神</t>
        </is>
      </c>
      <c r="J1005" s="19" t="n"/>
      <c r="K1005" s="19" t="n"/>
      <c r="L1005" s="19" t="n"/>
      <c r="M1005" s="20" t="n"/>
      <c r="N1005" s="123" t="n"/>
      <c r="O1005" s="123" t="n"/>
      <c r="P1005" s="123" t="n"/>
      <c r="Q1005" s="123" t="n"/>
      <c r="R1005" s="123" t="n"/>
      <c r="S1005" s="123" t="n"/>
      <c r="T1005" s="123" t="n"/>
      <c r="U1005" s="133">
        <f>IFERROR(SPARKLINE(DADOS_INVOC!$GF$7,{"charttype","bar";"max",MAX(1,DADOS_INVOC!$GD$7);"color1",DADOS_INVOC!$CZ$12}),"")</f>
        <v/>
      </c>
      <c r="V1005" s="16" t="n"/>
      <c r="W1005" s="16" t="n"/>
      <c r="X1005" s="16" t="n"/>
      <c r="Y1005" s="17" t="n"/>
      <c r="Z1005" s="123" t="n"/>
      <c r="AB1005" s="144" t="inlineStr">
        <is>
          <t>FOTO
式神</t>
        </is>
      </c>
      <c r="AC1005" s="19" t="n"/>
      <c r="AD1005" s="19" t="n"/>
      <c r="AE1005" s="19" t="n"/>
      <c r="AF1005" s="20" t="n"/>
      <c r="AG1005" s="123" t="n"/>
      <c r="AH1005" s="123" t="n"/>
      <c r="AI1005" s="123" t="n"/>
      <c r="AJ1005" s="123" t="n"/>
      <c r="AK1005" s="123" t="n"/>
      <c r="AL1005" s="123" t="n"/>
      <c r="AM1005" s="123" t="n"/>
      <c r="AN1005" s="133">
        <f>IFERROR(SPARKLINE(DADOS_INVOC!$GF$13,{"charttype","bar";"max",MAX(1,DADOS_INVOC!$GD$13);"color1",DADOS_INVOC!$CZ$12}),"")</f>
        <v/>
      </c>
      <c r="AO1005" s="16" t="n"/>
      <c r="AP1005" s="16" t="n"/>
      <c r="AQ1005" s="16" t="n"/>
      <c r="AR1005" s="17" t="n"/>
      <c r="AS1005" s="123" t="n"/>
    </row>
    <row r="1006" hidden="1" outlineLevel="1">
      <c r="A1006" s="8" t="n"/>
      <c r="B1006" s="14" t="n"/>
      <c r="C1006" s="123" t="n"/>
      <c r="D1006" s="123" t="n"/>
      <c r="E1006" s="123" t="n"/>
      <c r="F1006" s="123" t="n"/>
      <c r="G1006" s="123" t="n"/>
      <c r="I1006" s="21" t="n"/>
      <c r="M1006" s="22" t="n"/>
      <c r="N1006" s="123" t="n"/>
      <c r="O1006" s="55">
        <f>DADOS_INVOC!$HJ$7</f>
        <v/>
      </c>
      <c r="P1006" s="16" t="n"/>
      <c r="Q1006" s="16" t="n"/>
      <c r="R1006" s="16" t="n"/>
      <c r="S1006" s="17" t="n"/>
      <c r="T1006" s="123" t="n"/>
      <c r="U1006" s="123" t="n"/>
      <c r="V1006" s="123" t="n"/>
      <c r="W1006" s="123" t="n"/>
      <c r="X1006" s="123" t="n"/>
      <c r="Y1006" s="123" t="n"/>
      <c r="Z1006" s="123" t="n"/>
      <c r="AB1006" s="21" t="n"/>
      <c r="AF1006" s="22" t="n"/>
      <c r="AG1006" s="123" t="n"/>
      <c r="AH1006" s="55">
        <f>DADOS_INVOC!$HJ$13</f>
        <v/>
      </c>
      <c r="AI1006" s="16" t="n"/>
      <c r="AJ1006" s="16" t="n"/>
      <c r="AK1006" s="16" t="n"/>
      <c r="AL1006" s="17" t="n"/>
      <c r="AM1006" s="123" t="n"/>
      <c r="AN1006" s="123" t="n"/>
      <c r="AO1006" s="123" t="n"/>
      <c r="AP1006" s="123" t="n"/>
      <c r="AQ1006" s="123" t="n"/>
      <c r="AR1006" s="123" t="n"/>
      <c r="AS1006" s="123" t="n"/>
    </row>
    <row r="1007" hidden="1" outlineLevel="1">
      <c r="A1007" s="8" t="n"/>
      <c r="B1007" s="14" t="n"/>
      <c r="C1007" s="123" t="n"/>
      <c r="D1007" s="123" t="n"/>
      <c r="E1007" s="123" t="n"/>
      <c r="F1007" s="123" t="n"/>
      <c r="G1007" s="123" t="n"/>
      <c r="I1007" s="21" t="n"/>
      <c r="M1007" s="22" t="n"/>
      <c r="N1007" s="123" t="n"/>
      <c r="O1007" s="55" t="inlineStr">
        <is>
          <t>FOR</t>
        </is>
      </c>
      <c r="P1007" s="55" t="inlineStr">
        <is>
          <t>DES</t>
        </is>
      </c>
      <c r="Q1007" s="55" t="inlineStr">
        <is>
          <t>CON</t>
        </is>
      </c>
      <c r="R1007" s="55" t="inlineStr">
        <is>
          <t>INT</t>
        </is>
      </c>
      <c r="S1007" s="55" t="inlineStr">
        <is>
          <t>ESS</t>
        </is>
      </c>
      <c r="T1007" s="123" t="n"/>
      <c r="U1007" s="55" t="inlineStr">
        <is>
          <t>ALMA</t>
        </is>
      </c>
      <c r="V1007" s="55" t="inlineStr">
        <is>
          <t>INTEGRIDADE ATUAL</t>
        </is>
      </c>
      <c r="W1007" s="55" t="inlineStr">
        <is>
          <t>INTEGRIDADE MÁXIMA</t>
        </is>
      </c>
      <c r="X1007" s="55" t="inlineStr">
        <is>
          <t>ESTÁGIO</t>
        </is>
      </c>
      <c r="Y1007" s="17" t="n"/>
      <c r="Z1007" s="123" t="n"/>
      <c r="AB1007" s="21" t="n"/>
      <c r="AF1007" s="22" t="n"/>
      <c r="AG1007" s="123" t="n"/>
      <c r="AH1007" s="55" t="inlineStr">
        <is>
          <t>FOR</t>
        </is>
      </c>
      <c r="AI1007" s="55" t="inlineStr">
        <is>
          <t>DES</t>
        </is>
      </c>
      <c r="AJ1007" s="55" t="inlineStr">
        <is>
          <t>CON</t>
        </is>
      </c>
      <c r="AK1007" s="55" t="inlineStr">
        <is>
          <t>INT</t>
        </is>
      </c>
      <c r="AL1007" s="55" t="inlineStr">
        <is>
          <t>ESS</t>
        </is>
      </c>
      <c r="AM1007" s="123" t="n"/>
      <c r="AN1007" s="55" t="inlineStr">
        <is>
          <t>ALMA</t>
        </is>
      </c>
      <c r="AO1007" s="55" t="inlineStr">
        <is>
          <t>INTEGRIDADE ATUAL</t>
        </is>
      </c>
      <c r="AP1007" s="55" t="inlineStr">
        <is>
          <t>INTEGRIDADE MÁXIMA</t>
        </is>
      </c>
      <c r="AQ1007" s="55" t="inlineStr">
        <is>
          <t>ESTÁGIO</t>
        </is>
      </c>
      <c r="AR1007" s="17" t="n"/>
      <c r="AS1007" s="123" t="n"/>
    </row>
    <row r="1008" hidden="1" outlineLevel="1">
      <c r="A1008" s="8" t="n"/>
      <c r="B1008" s="14" t="n"/>
      <c r="C1008" s="123" t="n"/>
      <c r="D1008" s="123" t="n"/>
      <c r="E1008" s="123" t="n"/>
      <c r="F1008" s="123" t="n"/>
      <c r="G1008" s="123" t="n"/>
      <c r="I1008" s="21" t="n"/>
      <c r="M1008" s="22" t="n"/>
      <c r="N1008" s="123" t="n"/>
      <c r="O1008" s="96">
        <f>DADOS_INVOC!$FP$7</f>
        <v/>
      </c>
      <c r="P1008" s="96">
        <f>DADOS_INVOC!$FQ$7</f>
        <v/>
      </c>
      <c r="Q1008" s="96">
        <f>DADOS_INVOC!$FR$7</f>
        <v/>
      </c>
      <c r="R1008" s="96">
        <f>DADOS_INVOC!$FS$7</f>
        <v/>
      </c>
      <c r="S1008" s="96">
        <f>DADOS_INVOC!$FT$7</f>
        <v/>
      </c>
      <c r="T1008" s="123" t="n"/>
      <c r="U1008" s="127" t="inlineStr">
        <is>
          <t>Com alma</t>
        </is>
      </c>
      <c r="V1008" s="96">
        <f>DADOS_INVOC!$GH$7</f>
        <v/>
      </c>
      <c r="W1008" s="96">
        <f>DADOS_INVOC!$GJ$7</f>
        <v/>
      </c>
      <c r="X1008" s="127">
        <f>DADOS_INVOC!$GK$7</f>
        <v/>
      </c>
      <c r="Y1008" s="20" t="n"/>
      <c r="Z1008" s="123" t="n"/>
      <c r="AB1008" s="21" t="n"/>
      <c r="AF1008" s="22" t="n"/>
      <c r="AG1008" s="123" t="n"/>
      <c r="AH1008" s="96">
        <f>DADOS_INVOC!$FP$13</f>
        <v/>
      </c>
      <c r="AI1008" s="96">
        <f>DADOS_INVOC!$FQ$13</f>
        <v/>
      </c>
      <c r="AJ1008" s="96">
        <f>DADOS_INVOC!$FR$13</f>
        <v/>
      </c>
      <c r="AK1008" s="96">
        <f>DADOS_INVOC!$FS$13</f>
        <v/>
      </c>
      <c r="AL1008" s="96">
        <f>DADOS_INVOC!$FT$13</f>
        <v/>
      </c>
      <c r="AM1008" s="123" t="n"/>
      <c r="AN1008" s="127" t="inlineStr">
        <is>
          <t>Com alma</t>
        </is>
      </c>
      <c r="AO1008" s="96">
        <f>DADOS_INVOC!$GH$13</f>
        <v/>
      </c>
      <c r="AP1008" s="96">
        <f>DADOS_INVOC!$GJ$13</f>
        <v/>
      </c>
      <c r="AQ1008" s="127">
        <f>DADOS_INVOC!$GK$13</f>
        <v/>
      </c>
      <c r="AR1008" s="20" t="n"/>
      <c r="AS1008" s="123" t="n"/>
    </row>
    <row r="1009" hidden="1" outlineLevel="1">
      <c r="A1009" s="8" t="n"/>
      <c r="B1009" s="14" t="n"/>
      <c r="C1009" s="123" t="n"/>
      <c r="D1009" s="123" t="n"/>
      <c r="E1009" s="123" t="n"/>
      <c r="F1009" s="123" t="n"/>
      <c r="G1009" s="123" t="n"/>
      <c r="I1009" s="21" t="n"/>
      <c r="M1009" s="22" t="n"/>
      <c r="N1009" s="123" t="n"/>
      <c r="O1009" s="128" t="n"/>
      <c r="P1009" s="128" t="n"/>
      <c r="Q1009" s="128" t="n"/>
      <c r="R1009" s="128" t="n"/>
      <c r="S1009" s="128" t="n"/>
      <c r="T1009" s="123" t="n"/>
      <c r="U1009" s="128" t="n"/>
      <c r="V1009" s="128" t="n"/>
      <c r="W1009" s="128" t="n"/>
      <c r="X1009" s="23" t="n"/>
      <c r="Y1009" s="25" t="n"/>
      <c r="Z1009" s="123" t="n"/>
      <c r="AB1009" s="21" t="n"/>
      <c r="AF1009" s="22" t="n"/>
      <c r="AG1009" s="123" t="n"/>
      <c r="AH1009" s="128" t="n"/>
      <c r="AI1009" s="128" t="n"/>
      <c r="AJ1009" s="128" t="n"/>
      <c r="AK1009" s="128" t="n"/>
      <c r="AL1009" s="128" t="n"/>
      <c r="AM1009" s="123" t="n"/>
      <c r="AN1009" s="128" t="n"/>
      <c r="AO1009" s="128" t="n"/>
      <c r="AP1009" s="128" t="n"/>
      <c r="AQ1009" s="23" t="n"/>
      <c r="AR1009" s="25" t="n"/>
      <c r="AS1009" s="123" t="n"/>
    </row>
    <row r="1010" hidden="1" outlineLevel="1">
      <c r="A1010" s="8" t="n"/>
      <c r="B1010" s="14" t="n"/>
      <c r="C1010" s="123" t="n"/>
      <c r="D1010" s="123" t="n"/>
      <c r="E1010" s="123" t="n"/>
      <c r="F1010" s="123" t="n"/>
      <c r="G1010" s="123" t="n"/>
      <c r="I1010" s="21" t="n"/>
      <c r="M1010" s="22" t="n"/>
      <c r="N1010" s="123" t="n"/>
      <c r="O1010" s="145" t="n">
        <v>0</v>
      </c>
      <c r="P1010" s="145" t="n">
        <v>0</v>
      </c>
      <c r="Q1010" s="145" t="n">
        <v>0</v>
      </c>
      <c r="R1010" s="145" t="n">
        <v>0</v>
      </c>
      <c r="S1010" s="145" t="n">
        <v>0</v>
      </c>
      <c r="T1010" s="123" t="n"/>
      <c r="U1010" s="123" t="n"/>
      <c r="V1010" s="123" t="n"/>
      <c r="W1010" s="123" t="n"/>
      <c r="X1010" s="123" t="n"/>
      <c r="Y1010" s="123" t="n"/>
      <c r="Z1010" s="123" t="n"/>
      <c r="AB1010" s="21" t="n"/>
      <c r="AF1010" s="22" t="n"/>
      <c r="AG1010" s="123" t="n"/>
      <c r="AH1010" s="145" t="n">
        <v>0</v>
      </c>
      <c r="AI1010" s="145" t="n">
        <v>0</v>
      </c>
      <c r="AJ1010" s="145" t="n">
        <v>0</v>
      </c>
      <c r="AK1010" s="145" t="n">
        <v>0</v>
      </c>
      <c r="AL1010" s="145" t="n">
        <v>0</v>
      </c>
      <c r="AM1010" s="123" t="n"/>
      <c r="AN1010" s="123" t="n"/>
      <c r="AO1010" s="123" t="n"/>
      <c r="AP1010" s="123" t="n"/>
      <c r="AQ1010" s="123" t="n"/>
      <c r="AR1010" s="123" t="n"/>
      <c r="AS1010" s="123" t="n"/>
    </row>
    <row r="1011" hidden="1" outlineLevel="1">
      <c r="A1011" s="8" t="n"/>
      <c r="B1011" s="14" t="n"/>
      <c r="C1011" s="123" t="n"/>
      <c r="D1011" s="123" t="n"/>
      <c r="E1011" s="123" t="n"/>
      <c r="F1011" s="123" t="n"/>
      <c r="G1011" s="123" t="n"/>
      <c r="I1011" s="21" t="n"/>
      <c r="M1011" s="22" t="n"/>
      <c r="N1011" s="123" t="n"/>
      <c r="O1011" s="147" t="n">
        <v>0</v>
      </c>
      <c r="P1011" s="147" t="n">
        <v>0</v>
      </c>
      <c r="Q1011" s="147" t="n">
        <v>0</v>
      </c>
      <c r="R1011" s="147" t="n">
        <v>0</v>
      </c>
      <c r="S1011" s="147" t="n">
        <v>0</v>
      </c>
      <c r="T1011" s="123" t="n"/>
      <c r="U1011" s="55" t="inlineStr">
        <is>
          <t>CONDIÇÕES E USOS GASTOS</t>
        </is>
      </c>
      <c r="V1011" s="16" t="n"/>
      <c r="W1011" s="16" t="n"/>
      <c r="X1011" s="16" t="n"/>
      <c r="Y1011" s="17" t="n"/>
      <c r="Z1011" s="123" t="n"/>
      <c r="AB1011" s="21" t="n"/>
      <c r="AF1011" s="22" t="n"/>
      <c r="AG1011" s="123" t="n"/>
      <c r="AH1011" s="147" t="n">
        <v>0</v>
      </c>
      <c r="AI1011" s="147" t="n">
        <v>0</v>
      </c>
      <c r="AJ1011" s="147" t="n">
        <v>0</v>
      </c>
      <c r="AK1011" s="147" t="n">
        <v>0</v>
      </c>
      <c r="AL1011" s="147" t="n">
        <v>0</v>
      </c>
      <c r="AM1011" s="123" t="n"/>
      <c r="AN1011" s="55" t="inlineStr">
        <is>
          <t>CONDIÇÕES E USOS GASTOS</t>
        </is>
      </c>
      <c r="AO1011" s="16" t="n"/>
      <c r="AP1011" s="16" t="n"/>
      <c r="AQ1011" s="16" t="n"/>
      <c r="AR1011" s="17" t="n"/>
      <c r="AS1011" s="123" t="n"/>
    </row>
    <row r="1012" hidden="1" outlineLevel="1">
      <c r="A1012" s="8" t="n"/>
      <c r="B1012" s="14" t="n"/>
      <c r="C1012" s="123" t="n"/>
      <c r="D1012" s="123" t="n"/>
      <c r="E1012" s="123" t="n"/>
      <c r="F1012" s="123" t="n"/>
      <c r="G1012" s="123" t="n"/>
      <c r="I1012" s="21" t="n"/>
      <c r="M1012" s="22" t="n"/>
      <c r="N1012" s="123" t="n"/>
      <c r="O1012" s="123" t="n"/>
      <c r="P1012" s="123" t="n"/>
      <c r="Q1012" s="123" t="n"/>
      <c r="R1012" s="123" t="n"/>
      <c r="S1012" s="123" t="n"/>
      <c r="T1012" s="123" t="n"/>
      <c r="U1012" s="119" t="n"/>
      <c r="V1012" s="19" t="n"/>
      <c r="W1012" s="19" t="n"/>
      <c r="X1012" s="19" t="n"/>
      <c r="Y1012" s="20" t="n"/>
      <c r="Z1012" s="123" t="n"/>
      <c r="AB1012" s="21" t="n"/>
      <c r="AF1012" s="22" t="n"/>
      <c r="AG1012" s="123" t="n"/>
      <c r="AH1012" s="123" t="n"/>
      <c r="AI1012" s="123" t="n"/>
      <c r="AJ1012" s="123" t="n"/>
      <c r="AK1012" s="123" t="n"/>
      <c r="AL1012" s="123" t="n"/>
      <c r="AM1012" s="123" t="n"/>
      <c r="AN1012" s="119" t="n"/>
      <c r="AO1012" s="19" t="n"/>
      <c r="AP1012" s="19" t="n"/>
      <c r="AQ1012" s="19" t="n"/>
      <c r="AR1012" s="20" t="n"/>
      <c r="AS1012" s="123" t="n"/>
    </row>
    <row r="1013" hidden="1" outlineLevel="1">
      <c r="A1013" s="8" t="n"/>
      <c r="B1013" s="14" t="n"/>
      <c r="C1013" s="123" t="n"/>
      <c r="D1013" s="123" t="n"/>
      <c r="E1013" s="123" t="n"/>
      <c r="F1013" s="123" t="n"/>
      <c r="G1013" s="123" t="n"/>
      <c r="I1013" s="21" t="n"/>
      <c r="M1013" s="22" t="n"/>
      <c r="N1013" s="123" t="n"/>
      <c r="O1013" s="55" t="inlineStr">
        <is>
          <t>ATAQUE</t>
        </is>
      </c>
      <c r="P1013" s="55" t="inlineStr">
        <is>
          <t>CD</t>
        </is>
      </c>
      <c r="Q1013" s="55" t="inlineStr">
        <is>
          <t>DEFESA</t>
        </is>
      </c>
      <c r="R1013" s="55" t="inlineStr">
        <is>
          <t>VIDA MÁXIMA</t>
        </is>
      </c>
      <c r="S1013" s="55" t="inlineStr">
        <is>
          <t>DESLOCAMENTO</t>
        </is>
      </c>
      <c r="T1013" s="123" t="n"/>
      <c r="U1013" s="21" t="n"/>
      <c r="Y1013" s="22" t="n"/>
      <c r="Z1013" s="123" t="n"/>
      <c r="AB1013" s="21" t="n"/>
      <c r="AF1013" s="22" t="n"/>
      <c r="AG1013" s="123" t="n"/>
      <c r="AH1013" s="55" t="inlineStr">
        <is>
          <t>ATAQUE</t>
        </is>
      </c>
      <c r="AI1013" s="55" t="inlineStr">
        <is>
          <t>CD</t>
        </is>
      </c>
      <c r="AJ1013" s="55" t="inlineStr">
        <is>
          <t>DEFESA</t>
        </is>
      </c>
      <c r="AK1013" s="55" t="inlineStr">
        <is>
          <t>VIDA MÁXIMA</t>
        </is>
      </c>
      <c r="AL1013" s="55" t="inlineStr">
        <is>
          <t>DESLOCAMENTO</t>
        </is>
      </c>
      <c r="AM1013" s="123" t="n"/>
      <c r="AN1013" s="21" t="n"/>
      <c r="AR1013" s="22" t="n"/>
      <c r="AS1013" s="123" t="n"/>
    </row>
    <row r="1014" hidden="1" outlineLevel="1">
      <c r="A1014" s="8" t="n"/>
      <c r="B1014" s="14" t="n"/>
      <c r="C1014" s="123" t="n"/>
      <c r="D1014" s="123" t="n"/>
      <c r="E1014" s="123" t="n"/>
      <c r="F1014" s="123" t="n"/>
      <c r="G1014" s="123" t="n"/>
      <c r="I1014" s="21" t="n"/>
      <c r="M1014" s="22" t="n"/>
      <c r="N1014" s="123" t="n"/>
      <c r="O1014" s="96">
        <f>DADOS_INVOC!$HK$7</f>
        <v/>
      </c>
      <c r="P1014" s="96">
        <f>DADOS_INVOC!$HL$7</f>
        <v/>
      </c>
      <c r="Q1014" s="96">
        <f>DADOS_INVOC!$GB$7</f>
        <v/>
      </c>
      <c r="R1014" s="96">
        <f>DADOS_INVOC!$GD$7</f>
        <v/>
      </c>
      <c r="S1014" s="96">
        <f>DADOS_INVOC!$HM$7</f>
        <v/>
      </c>
      <c r="T1014" s="123" t="n"/>
      <c r="U1014" s="23" t="n"/>
      <c r="V1014" s="24" t="n"/>
      <c r="W1014" s="24" t="n"/>
      <c r="X1014" s="24" t="n"/>
      <c r="Y1014" s="25" t="n"/>
      <c r="Z1014" s="123" t="n"/>
      <c r="AB1014" s="21" t="n"/>
      <c r="AF1014" s="22" t="n"/>
      <c r="AG1014" s="123" t="n"/>
      <c r="AH1014" s="96">
        <f>DADOS_INVOC!$HK$13</f>
        <v/>
      </c>
      <c r="AI1014" s="96">
        <f>DADOS_INVOC!$HL$13</f>
        <v/>
      </c>
      <c r="AJ1014" s="96">
        <f>DADOS_INVOC!$GB$13</f>
        <v/>
      </c>
      <c r="AK1014" s="96">
        <f>DADOS_INVOC!$GD$13</f>
        <v/>
      </c>
      <c r="AL1014" s="96">
        <f>DADOS_INVOC!$HM$13</f>
        <v/>
      </c>
      <c r="AM1014" s="123" t="n"/>
      <c r="AN1014" s="23" t="n"/>
      <c r="AO1014" s="24" t="n"/>
      <c r="AP1014" s="24" t="n"/>
      <c r="AQ1014" s="24" t="n"/>
      <c r="AR1014" s="25" t="n"/>
      <c r="AS1014" s="123" t="n"/>
    </row>
    <row r="1015" hidden="1" outlineLevel="1">
      <c r="A1015" s="8" t="n"/>
      <c r="B1015" s="14" t="n"/>
      <c r="C1015" s="123" t="n"/>
      <c r="D1015" s="123" t="n"/>
      <c r="E1015" s="123" t="n"/>
      <c r="F1015" s="123" t="n"/>
      <c r="G1015" s="123" t="n"/>
      <c r="I1015" s="21" t="n"/>
      <c r="M1015" s="22" t="n"/>
      <c r="N1015" s="123" t="n"/>
      <c r="O1015" s="128" t="n"/>
      <c r="P1015" s="128" t="n"/>
      <c r="Q1015" s="128" t="n"/>
      <c r="R1015" s="128" t="n"/>
      <c r="S1015" s="128" t="n"/>
      <c r="T1015" s="123" t="n"/>
      <c r="U1015" s="123" t="n"/>
      <c r="V1015" s="123" t="n"/>
      <c r="W1015" s="123" t="n"/>
      <c r="X1015" s="123" t="n"/>
      <c r="Y1015" s="123" t="n"/>
      <c r="Z1015" s="123" t="n"/>
      <c r="AB1015" s="21" t="n"/>
      <c r="AF1015" s="22" t="n"/>
      <c r="AG1015" s="123" t="n"/>
      <c r="AH1015" s="128" t="n"/>
      <c r="AI1015" s="128" t="n"/>
      <c r="AJ1015" s="128" t="n"/>
      <c r="AK1015" s="128" t="n"/>
      <c r="AL1015" s="128" t="n"/>
      <c r="AM1015" s="123" t="n"/>
      <c r="AN1015" s="123" t="n"/>
      <c r="AO1015" s="123" t="n"/>
      <c r="AP1015" s="123" t="n"/>
      <c r="AQ1015" s="123" t="n"/>
      <c r="AR1015" s="123" t="n"/>
      <c r="AS1015" s="123" t="n"/>
    </row>
    <row r="1016" hidden="1" outlineLevel="1">
      <c r="A1016" s="8" t="n"/>
      <c r="B1016" s="14" t="n"/>
      <c r="C1016" s="123" t="n"/>
      <c r="D1016" s="123" t="n"/>
      <c r="E1016" s="123" t="n"/>
      <c r="F1016" s="123" t="n"/>
      <c r="G1016" s="123" t="n"/>
      <c r="I1016" s="21" t="n"/>
      <c r="M1016" s="22" t="n"/>
      <c r="N1016" s="123" t="n"/>
      <c r="O1016" s="147" t="n">
        <v>0</v>
      </c>
      <c r="P1016" s="147" t="n">
        <v>0</v>
      </c>
      <c r="Q1016" s="147" t="n">
        <v>0</v>
      </c>
      <c r="R1016" s="147" t="n">
        <v>0</v>
      </c>
      <c r="S1016" s="147" t="n">
        <v>0</v>
      </c>
      <c r="T1016" s="123" t="n"/>
      <c r="U1016" s="55" t="inlineStr">
        <is>
          <t>ANOTAÇÕES</t>
        </is>
      </c>
      <c r="V1016" s="16" t="n"/>
      <c r="W1016" s="16" t="n"/>
      <c r="X1016" s="16" t="n"/>
      <c r="Y1016" s="17" t="n"/>
      <c r="Z1016" s="123" t="n"/>
      <c r="AB1016" s="21" t="n"/>
      <c r="AF1016" s="22" t="n"/>
      <c r="AG1016" s="123" t="n"/>
      <c r="AH1016" s="147" t="n">
        <v>0</v>
      </c>
      <c r="AI1016" s="147" t="n">
        <v>0</v>
      </c>
      <c r="AJ1016" s="147" t="n">
        <v>0</v>
      </c>
      <c r="AK1016" s="147" t="n">
        <v>0</v>
      </c>
      <c r="AL1016" s="147" t="n">
        <v>0</v>
      </c>
      <c r="AM1016" s="123" t="n"/>
      <c r="AN1016" s="55" t="inlineStr">
        <is>
          <t>ANOTAÇÕES</t>
        </is>
      </c>
      <c r="AO1016" s="16" t="n"/>
      <c r="AP1016" s="16" t="n"/>
      <c r="AQ1016" s="16" t="n"/>
      <c r="AR1016" s="17" t="n"/>
      <c r="AS1016" s="123" t="n"/>
    </row>
    <row r="1017" hidden="1" outlineLevel="1">
      <c r="A1017" s="8" t="n"/>
      <c r="B1017" s="14" t="n"/>
      <c r="C1017" s="123" t="n"/>
      <c r="D1017" s="123" t="n"/>
      <c r="E1017" s="123" t="n"/>
      <c r="F1017" s="123" t="n"/>
      <c r="G1017" s="123" t="n"/>
      <c r="I1017" s="21" t="n"/>
      <c r="M1017" s="22" t="n"/>
      <c r="N1017" s="123" t="n"/>
      <c r="O1017" s="123" t="n"/>
      <c r="P1017" s="123" t="n"/>
      <c r="Q1017" s="123" t="n"/>
      <c r="R1017" s="123" t="n"/>
      <c r="S1017" s="123" t="n"/>
      <c r="T1017" s="123" t="n"/>
      <c r="U1017" s="119" t="n"/>
      <c r="V1017" s="19" t="n"/>
      <c r="W1017" s="19" t="n"/>
      <c r="X1017" s="19" t="n"/>
      <c r="Y1017" s="20" t="n"/>
      <c r="Z1017" s="123" t="n"/>
      <c r="AB1017" s="21" t="n"/>
      <c r="AF1017" s="22" t="n"/>
      <c r="AG1017" s="123" t="n"/>
      <c r="AH1017" s="123" t="n"/>
      <c r="AI1017" s="123" t="n"/>
      <c r="AJ1017" s="123" t="n"/>
      <c r="AK1017" s="123" t="n"/>
      <c r="AL1017" s="123" t="n"/>
      <c r="AM1017" s="123" t="n"/>
      <c r="AN1017" s="119" t="n"/>
      <c r="AO1017" s="19" t="n"/>
      <c r="AP1017" s="19" t="n"/>
      <c r="AQ1017" s="19" t="n"/>
      <c r="AR1017" s="20" t="n"/>
      <c r="AS1017" s="123" t="n"/>
    </row>
    <row r="1018" hidden="1" outlineLevel="1">
      <c r="A1018" s="8" t="n"/>
      <c r="B1018" s="14" t="n"/>
      <c r="C1018" s="123" t="n"/>
      <c r="D1018" s="123" t="n"/>
      <c r="E1018" s="123" t="n"/>
      <c r="F1018" s="123" t="n"/>
      <c r="G1018" s="123" t="n"/>
      <c r="I1018" s="21" t="n"/>
      <c r="M1018" s="22" t="n"/>
      <c r="N1018" s="123" t="n"/>
      <c r="O1018" s="55" t="inlineStr">
        <is>
          <t>FÍSICO</t>
        </is>
      </c>
      <c r="P1018" s="55" t="inlineStr">
        <is>
          <t>VIGOR</t>
        </is>
      </c>
      <c r="Q1018" s="55" t="inlineStr">
        <is>
          <t>INTELECTO</t>
        </is>
      </c>
      <c r="R1018" s="55" t="inlineStr">
        <is>
          <t>ESPÍRITO</t>
        </is>
      </c>
      <c r="S1018" s="55" t="inlineStr">
        <is>
          <t>TR TREINADO</t>
        </is>
      </c>
      <c r="T1018" s="123" t="n"/>
      <c r="U1018" s="21" t="n"/>
      <c r="Y1018" s="22" t="n"/>
      <c r="Z1018" s="123" t="n"/>
      <c r="AB1018" s="21" t="n"/>
      <c r="AF1018" s="22" t="n"/>
      <c r="AG1018" s="123" t="n"/>
      <c r="AH1018" s="55" t="inlineStr">
        <is>
          <t>FÍSICO</t>
        </is>
      </c>
      <c r="AI1018" s="55" t="inlineStr">
        <is>
          <t>VIGOR</t>
        </is>
      </c>
      <c r="AJ1018" s="55" t="inlineStr">
        <is>
          <t>INTELECTO</t>
        </is>
      </c>
      <c r="AK1018" s="55" t="inlineStr">
        <is>
          <t>ESPÍRITO</t>
        </is>
      </c>
      <c r="AL1018" s="55" t="inlineStr">
        <is>
          <t>TR TREINADO</t>
        </is>
      </c>
      <c r="AM1018" s="123" t="n"/>
      <c r="AN1018" s="21" t="n"/>
      <c r="AR1018" s="22" t="n"/>
      <c r="AS1018" s="123" t="n"/>
    </row>
    <row r="1019" hidden="1" outlineLevel="1">
      <c r="A1019" s="8" t="n"/>
      <c r="B1019" s="14" t="n"/>
      <c r="C1019" s="123" t="n"/>
      <c r="D1019" s="123" t="n"/>
      <c r="E1019" s="123" t="n"/>
      <c r="F1019" s="123" t="n"/>
      <c r="G1019" s="123" t="n"/>
      <c r="I1019" s="21" t="n"/>
      <c r="M1019" s="22" t="n"/>
      <c r="N1019" s="123" t="n"/>
      <c r="O1019" s="96">
        <f>DADOS_INVOC!$HN$7</f>
        <v/>
      </c>
      <c r="P1019" s="96">
        <f>DADOS_INVOC!$HO$7</f>
        <v/>
      </c>
      <c r="Q1019" s="96">
        <f>DADOS_INVOC!$HP$7</f>
        <v/>
      </c>
      <c r="R1019" s="96">
        <f>DADOS_INVOC!$HQ$7</f>
        <v/>
      </c>
      <c r="S1019" s="127" t="n"/>
      <c r="T1019" s="123" t="n"/>
      <c r="U1019" s="21" t="n"/>
      <c r="Y1019" s="22" t="n"/>
      <c r="Z1019" s="123" t="n"/>
      <c r="AB1019" s="21" t="n"/>
      <c r="AF1019" s="22" t="n"/>
      <c r="AG1019" s="123" t="n"/>
      <c r="AH1019" s="96">
        <f>DADOS_INVOC!$HN$13</f>
        <v/>
      </c>
      <c r="AI1019" s="96">
        <f>DADOS_INVOC!$HO$13</f>
        <v/>
      </c>
      <c r="AJ1019" s="96">
        <f>DADOS_INVOC!$HP$13</f>
        <v/>
      </c>
      <c r="AK1019" s="96">
        <f>DADOS_INVOC!$HQ$13</f>
        <v/>
      </c>
      <c r="AL1019" s="127" t="n"/>
      <c r="AM1019" s="123" t="n"/>
      <c r="AN1019" s="21" t="n"/>
      <c r="AR1019" s="22" t="n"/>
      <c r="AS1019" s="123" t="n"/>
    </row>
    <row r="1020" hidden="1" outlineLevel="1">
      <c r="A1020" s="8" t="n"/>
      <c r="B1020" s="14" t="n"/>
      <c r="C1020" s="123" t="n"/>
      <c r="D1020" s="123" t="n"/>
      <c r="E1020" s="123" t="n"/>
      <c r="F1020" s="123" t="n"/>
      <c r="G1020" s="123" t="n"/>
      <c r="I1020" s="21" t="n"/>
      <c r="M1020" s="22" t="n"/>
      <c r="N1020" s="123" t="n"/>
      <c r="O1020" s="128" t="n"/>
      <c r="P1020" s="128" t="n"/>
      <c r="Q1020" s="128" t="n"/>
      <c r="R1020" s="128" t="n"/>
      <c r="S1020" s="128" t="n"/>
      <c r="T1020" s="123" t="n"/>
      <c r="U1020" s="23" t="n"/>
      <c r="V1020" s="24" t="n"/>
      <c r="W1020" s="24" t="n"/>
      <c r="X1020" s="24" t="n"/>
      <c r="Y1020" s="25" t="n"/>
      <c r="Z1020" s="123" t="n"/>
      <c r="AB1020" s="21" t="n"/>
      <c r="AF1020" s="22" t="n"/>
      <c r="AG1020" s="123" t="n"/>
      <c r="AH1020" s="128" t="n"/>
      <c r="AI1020" s="128" t="n"/>
      <c r="AJ1020" s="128" t="n"/>
      <c r="AK1020" s="128" t="n"/>
      <c r="AL1020" s="128" t="n"/>
      <c r="AM1020" s="123" t="n"/>
      <c r="AN1020" s="23" t="n"/>
      <c r="AO1020" s="24" t="n"/>
      <c r="AP1020" s="24" t="n"/>
      <c r="AQ1020" s="24" t="n"/>
      <c r="AR1020" s="25" t="n"/>
      <c r="AS1020" s="123" t="n"/>
    </row>
    <row r="1021" hidden="1" outlineLevel="1">
      <c r="A1021" s="8" t="n"/>
      <c r="B1021" s="14" t="n"/>
      <c r="C1021" s="123" t="n"/>
      <c r="D1021" s="123" t="n"/>
      <c r="E1021" s="123" t="n"/>
      <c r="F1021" s="123" t="n"/>
      <c r="G1021" s="123" t="n"/>
      <c r="I1021" s="21" t="n"/>
      <c r="M1021" s="22" t="n"/>
      <c r="N1021" s="123" t="n"/>
      <c r="O1021" s="147" t="n">
        <v>0</v>
      </c>
      <c r="P1021" s="147" t="n">
        <v>0</v>
      </c>
      <c r="Q1021" s="147" t="n">
        <v>0</v>
      </c>
      <c r="R1021" s="147" t="n">
        <v>0</v>
      </c>
      <c r="S1021" s="123" t="n"/>
      <c r="T1021" s="123" t="n"/>
      <c r="U1021" s="123" t="n"/>
      <c r="V1021" s="123" t="n"/>
      <c r="W1021" s="123" t="n"/>
      <c r="X1021" s="123" t="n"/>
      <c r="Y1021" s="123" t="n"/>
      <c r="Z1021" s="123" t="n"/>
      <c r="AB1021" s="21" t="n"/>
      <c r="AF1021" s="22" t="n"/>
      <c r="AG1021" s="123" t="n"/>
      <c r="AH1021" s="147" t="n">
        <v>0</v>
      </c>
      <c r="AI1021" s="147" t="n">
        <v>0</v>
      </c>
      <c r="AJ1021" s="147" t="n">
        <v>0</v>
      </c>
      <c r="AK1021" s="147" t="n">
        <v>0</v>
      </c>
      <c r="AL1021" s="123" t="n"/>
      <c r="AM1021" s="123" t="n"/>
      <c r="AN1021" s="123" t="n"/>
      <c r="AO1021" s="123" t="n"/>
      <c r="AP1021" s="123" t="n"/>
      <c r="AQ1021" s="123" t="n"/>
      <c r="AR1021" s="123" t="n"/>
      <c r="AS1021" s="123" t="n"/>
    </row>
    <row r="1022" hidden="1" outlineLevel="1">
      <c r="A1022" s="8" t="n"/>
      <c r="B1022" s="14" t="n"/>
      <c r="C1022" s="123" t="n"/>
      <c r="D1022" s="123" t="n"/>
      <c r="E1022" s="123" t="n"/>
      <c r="F1022" s="123" t="n"/>
      <c r="G1022" s="123" t="n"/>
      <c r="I1022" s="21" t="n"/>
      <c r="M1022" s="22" t="n"/>
      <c r="N1022" s="123" t="n"/>
      <c r="O1022" s="123" t="n"/>
      <c r="P1022" s="123" t="n"/>
      <c r="Q1022" s="123" t="n"/>
      <c r="R1022" s="123" t="n"/>
      <c r="S1022" s="123" t="n"/>
      <c r="T1022" s="123" t="n"/>
      <c r="U1022" s="55">
        <f>DADOS_INVOC!$IA$7</f>
        <v/>
      </c>
      <c r="V1022" s="16" t="n"/>
      <c r="W1022" s="16" t="n"/>
      <c r="X1022" s="17" t="n"/>
      <c r="Y1022" s="55" t="inlineStr">
        <is>
          <t>VOL.</t>
        </is>
      </c>
      <c r="Z1022" s="123" t="n"/>
      <c r="AB1022" s="21" t="n"/>
      <c r="AF1022" s="22" t="n"/>
      <c r="AG1022" s="123" t="n"/>
      <c r="AH1022" s="123" t="n"/>
      <c r="AI1022" s="123" t="n"/>
      <c r="AJ1022" s="123" t="n"/>
      <c r="AK1022" s="123" t="n"/>
      <c r="AL1022" s="123" t="n"/>
      <c r="AM1022" s="123" t="n"/>
      <c r="AN1022" s="55">
        <f>DADOS_INVOC!$IA$13</f>
        <v/>
      </c>
      <c r="AO1022" s="16" t="n"/>
      <c r="AP1022" s="16" t="n"/>
      <c r="AQ1022" s="17" t="n"/>
      <c r="AR1022" s="55" t="inlineStr">
        <is>
          <t>VOL.</t>
        </is>
      </c>
      <c r="AS1022" s="123" t="n"/>
    </row>
    <row r="1023" hidden="1" outlineLevel="1">
      <c r="A1023" s="8" t="n"/>
      <c r="B1023" s="14" t="n"/>
      <c r="C1023" s="123" t="n"/>
      <c r="D1023" s="123" t="n"/>
      <c r="E1023" s="123" t="n"/>
      <c r="F1023" s="123" t="n"/>
      <c r="G1023" s="123" t="n"/>
      <c r="I1023" s="21" t="n"/>
      <c r="M1023" s="22" t="n"/>
      <c r="N1023" s="123" t="n"/>
      <c r="O1023" s="55" t="inlineStr">
        <is>
          <t>ATRIBUTO DE ACERTO</t>
        </is>
      </c>
      <c r="P1023" s="16" t="n"/>
      <c r="Q1023" s="17" t="n"/>
      <c r="R1023" s="55" t="inlineStr">
        <is>
          <t>FÍSICO USA</t>
        </is>
      </c>
      <c r="S1023" s="17" t="n"/>
      <c r="T1023" s="123" t="n"/>
      <c r="U1023" s="55" t="inlineStr">
        <is>
          <t>MÃO 1</t>
        </is>
      </c>
      <c r="V1023" s="133" t="n"/>
      <c r="W1023" s="16" t="n"/>
      <c r="X1023" s="17" t="n"/>
      <c r="Y1023" s="127" t="n"/>
      <c r="Z1023" s="123" t="n"/>
      <c r="AB1023" s="21" t="n"/>
      <c r="AF1023" s="22" t="n"/>
      <c r="AG1023" s="123" t="n"/>
      <c r="AH1023" s="55" t="inlineStr">
        <is>
          <t>ATRIBUTO DE ACERTO</t>
        </is>
      </c>
      <c r="AI1023" s="16" t="n"/>
      <c r="AJ1023" s="17" t="n"/>
      <c r="AK1023" s="55" t="inlineStr">
        <is>
          <t>FÍSICO USA</t>
        </is>
      </c>
      <c r="AL1023" s="17" t="n"/>
      <c r="AM1023" s="123" t="n"/>
      <c r="AN1023" s="55" t="inlineStr">
        <is>
          <t>MÃO 1</t>
        </is>
      </c>
      <c r="AO1023" s="133" t="n"/>
      <c r="AP1023" s="16" t="n"/>
      <c r="AQ1023" s="17" t="n"/>
      <c r="AR1023" s="127" t="n"/>
      <c r="AS1023" s="123" t="n"/>
    </row>
    <row r="1024" hidden="1" outlineLevel="1">
      <c r="A1024" s="8" t="n"/>
      <c r="B1024" s="14" t="n"/>
      <c r="C1024" s="123" t="n"/>
      <c r="D1024" s="123" t="n"/>
      <c r="E1024" s="123" t="n"/>
      <c r="F1024" s="123" t="n"/>
      <c r="G1024" s="123" t="n"/>
      <c r="I1024" s="21" t="n"/>
      <c r="M1024" s="22" t="n"/>
      <c r="N1024" s="123" t="n"/>
      <c r="O1024" s="127" t="n"/>
      <c r="P1024" s="19" t="n"/>
      <c r="Q1024" s="20" t="n"/>
      <c r="R1024" s="127" t="inlineStr">
        <is>
          <t>Força</t>
        </is>
      </c>
      <c r="S1024" s="20" t="n"/>
      <c r="T1024" s="123" t="n"/>
      <c r="U1024" s="55" t="inlineStr">
        <is>
          <t>MÃO 2</t>
        </is>
      </c>
      <c r="V1024" s="133" t="n"/>
      <c r="W1024" s="16" t="n"/>
      <c r="X1024" s="17" t="n"/>
      <c r="Y1024" s="127" t="n"/>
      <c r="Z1024" s="123" t="n"/>
      <c r="AB1024" s="21" t="n"/>
      <c r="AF1024" s="22" t="n"/>
      <c r="AG1024" s="123" t="n"/>
      <c r="AH1024" s="127" t="n"/>
      <c r="AI1024" s="19" t="n"/>
      <c r="AJ1024" s="20" t="n"/>
      <c r="AK1024" s="127" t="inlineStr">
        <is>
          <t>Força</t>
        </is>
      </c>
      <c r="AL1024" s="20" t="n"/>
      <c r="AM1024" s="123" t="n"/>
      <c r="AN1024" s="55" t="inlineStr">
        <is>
          <t>MÃO 2</t>
        </is>
      </c>
      <c r="AO1024" s="133" t="n"/>
      <c r="AP1024" s="16" t="n"/>
      <c r="AQ1024" s="17" t="n"/>
      <c r="AR1024" s="127" t="n"/>
      <c r="AS1024" s="123" t="n"/>
    </row>
    <row r="1025" hidden="1" outlineLevel="1">
      <c r="A1025" s="8" t="n"/>
      <c r="B1025" s="14" t="n"/>
      <c r="C1025" s="123" t="n"/>
      <c r="D1025" s="123" t="n"/>
      <c r="E1025" s="123" t="n"/>
      <c r="F1025" s="123" t="n"/>
      <c r="G1025" s="123" t="n"/>
      <c r="I1025" s="21" t="n"/>
      <c r="M1025" s="22" t="n"/>
      <c r="N1025" s="123" t="n"/>
      <c r="O1025" s="23" t="n"/>
      <c r="P1025" s="24" t="n"/>
      <c r="Q1025" s="25" t="n"/>
      <c r="R1025" s="23" t="n"/>
      <c r="S1025" s="25" t="n"/>
      <c r="T1025" s="123" t="n"/>
      <c r="U1025" s="55" t="inlineStr">
        <is>
          <t>VESTE</t>
        </is>
      </c>
      <c r="V1025" s="133" t="n"/>
      <c r="W1025" s="16" t="n"/>
      <c r="X1025" s="17" t="n"/>
      <c r="Y1025" s="127" t="n"/>
      <c r="Z1025" s="123" t="n"/>
      <c r="AB1025" s="21" t="n"/>
      <c r="AF1025" s="22" t="n"/>
      <c r="AG1025" s="123" t="n"/>
      <c r="AH1025" s="23" t="n"/>
      <c r="AI1025" s="24" t="n"/>
      <c r="AJ1025" s="25" t="n"/>
      <c r="AK1025" s="23" t="n"/>
      <c r="AL1025" s="25" t="n"/>
      <c r="AM1025" s="123" t="n"/>
      <c r="AN1025" s="55" t="inlineStr">
        <is>
          <t>VESTE</t>
        </is>
      </c>
      <c r="AO1025" s="133" t="n"/>
      <c r="AP1025" s="16" t="n"/>
      <c r="AQ1025" s="17" t="n"/>
      <c r="AR1025" s="127" t="n"/>
      <c r="AS1025" s="123" t="n"/>
    </row>
    <row r="1026" hidden="1" outlineLevel="1">
      <c r="A1026" s="8" t="n"/>
      <c r="B1026" s="14" t="n"/>
      <c r="C1026" s="123" t="n"/>
      <c r="D1026" s="123" t="n"/>
      <c r="E1026" s="123" t="n"/>
      <c r="F1026" s="123" t="n"/>
      <c r="G1026" s="123" t="n"/>
      <c r="I1026" s="21" t="n"/>
      <c r="M1026" s="22" t="n"/>
      <c r="N1026" s="123" t="n"/>
      <c r="O1026" s="123" t="n"/>
      <c r="P1026" s="123" t="n"/>
      <c r="Q1026" s="123" t="n"/>
      <c r="R1026" s="123" t="n"/>
      <c r="S1026" s="123" t="n"/>
      <c r="T1026" s="123" t="n"/>
      <c r="U1026" s="55" t="inlineStr">
        <is>
          <t>GUARDADO · SÓ COM A CARACTERÍSTICA DE TRANSPORTE</t>
        </is>
      </c>
      <c r="V1026" s="16" t="n"/>
      <c r="W1026" s="16" t="n"/>
      <c r="X1026" s="17" t="n"/>
      <c r="Y1026" s="55" t="inlineStr">
        <is>
          <t>VOL.</t>
        </is>
      </c>
      <c r="Z1026" s="123" t="n"/>
      <c r="AB1026" s="21" t="n"/>
      <c r="AF1026" s="22" t="n"/>
      <c r="AG1026" s="123" t="n"/>
      <c r="AH1026" s="123" t="n"/>
      <c r="AI1026" s="123" t="n"/>
      <c r="AJ1026" s="123" t="n"/>
      <c r="AK1026" s="123" t="n"/>
      <c r="AL1026" s="123" t="n"/>
      <c r="AM1026" s="123" t="n"/>
      <c r="AN1026" s="55" t="inlineStr">
        <is>
          <t>GUARDADO · SÓ COM A CARACTERÍSTICA DE TRANSPORTE</t>
        </is>
      </c>
      <c r="AO1026" s="16" t="n"/>
      <c r="AP1026" s="16" t="n"/>
      <c r="AQ1026" s="17" t="n"/>
      <c r="AR1026" s="55" t="inlineStr">
        <is>
          <t>VOL.</t>
        </is>
      </c>
      <c r="AS1026" s="123" t="n"/>
    </row>
    <row r="1027" hidden="1" outlineLevel="1">
      <c r="A1027" s="8" t="n"/>
      <c r="B1027" s="14" t="n"/>
      <c r="C1027" s="123" t="n"/>
      <c r="D1027" s="123" t="n"/>
      <c r="E1027" s="123" t="n"/>
      <c r="F1027" s="123" t="n"/>
      <c r="G1027" s="123" t="n"/>
      <c r="I1027" s="21" t="n"/>
      <c r="M1027" s="22" t="n"/>
      <c r="N1027" s="123" t="n"/>
      <c r="O1027" s="55">
        <f>DADOS_INVOC!$HR$7</f>
        <v/>
      </c>
      <c r="P1027" s="16" t="n"/>
      <c r="Q1027" s="16" t="n"/>
      <c r="R1027" s="16" t="n"/>
      <c r="S1027" s="17" t="n"/>
      <c r="T1027" s="123" t="n"/>
      <c r="U1027" s="133" t="n"/>
      <c r="V1027" s="16" t="n"/>
      <c r="W1027" s="16" t="n"/>
      <c r="X1027" s="17" t="n"/>
      <c r="Y1027" s="127" t="n"/>
      <c r="Z1027" s="123" t="n"/>
      <c r="AB1027" s="21" t="n"/>
      <c r="AF1027" s="22" t="n"/>
      <c r="AG1027" s="123" t="n"/>
      <c r="AH1027" s="55">
        <f>DADOS_INVOC!$HR$13</f>
        <v/>
      </c>
      <c r="AI1027" s="16" t="n"/>
      <c r="AJ1027" s="16" t="n"/>
      <c r="AK1027" s="16" t="n"/>
      <c r="AL1027" s="17" t="n"/>
      <c r="AM1027" s="123" t="n"/>
      <c r="AN1027" s="133" t="n"/>
      <c r="AO1027" s="16" t="n"/>
      <c r="AP1027" s="16" t="n"/>
      <c r="AQ1027" s="17" t="n"/>
      <c r="AR1027" s="127" t="n"/>
      <c r="AS1027" s="123" t="n"/>
    </row>
    <row r="1028" hidden="1" outlineLevel="1">
      <c r="A1028" s="8" t="n"/>
      <c r="B1028" s="14" t="n"/>
      <c r="C1028" s="123" t="n"/>
      <c r="D1028" s="123" t="n"/>
      <c r="E1028" s="123" t="n"/>
      <c r="F1028" s="123" t="n"/>
      <c r="G1028" s="123" t="n"/>
      <c r="I1028" s="21" t="n"/>
      <c r="M1028" s="22" t="n"/>
      <c r="N1028" s="123" t="n"/>
      <c r="O1028" s="133" t="n"/>
      <c r="P1028" s="16" t="n"/>
      <c r="Q1028" s="17" t="n"/>
      <c r="R1028" s="127">
        <f>DADOS_INVOC!$HS$7</f>
        <v/>
      </c>
      <c r="S1028" s="17" t="n"/>
      <c r="T1028" s="123" t="n"/>
      <c r="U1028" s="133" t="n"/>
      <c r="V1028" s="16" t="n"/>
      <c r="W1028" s="16" t="n"/>
      <c r="X1028" s="17" t="n"/>
      <c r="Y1028" s="127" t="n"/>
      <c r="Z1028" s="123" t="n"/>
      <c r="AB1028" s="21" t="n"/>
      <c r="AF1028" s="22" t="n"/>
      <c r="AG1028" s="123" t="n"/>
      <c r="AH1028" s="133" t="n"/>
      <c r="AI1028" s="16" t="n"/>
      <c r="AJ1028" s="17" t="n"/>
      <c r="AK1028" s="127">
        <f>DADOS_INVOC!$HS$13</f>
        <v/>
      </c>
      <c r="AL1028" s="17" t="n"/>
      <c r="AM1028" s="123" t="n"/>
      <c r="AN1028" s="133" t="n"/>
      <c r="AO1028" s="16" t="n"/>
      <c r="AP1028" s="16" t="n"/>
      <c r="AQ1028" s="17" t="n"/>
      <c r="AR1028" s="127" t="n"/>
      <c r="AS1028" s="123" t="n"/>
    </row>
    <row r="1029" hidden="1" outlineLevel="1">
      <c r="A1029" s="8" t="n"/>
      <c r="B1029" s="14" t="n"/>
      <c r="C1029" s="123" t="n"/>
      <c r="D1029" s="123" t="n"/>
      <c r="E1029" s="123" t="n"/>
      <c r="F1029" s="123" t="n"/>
      <c r="G1029" s="123" t="n"/>
      <c r="I1029" s="21" t="n"/>
      <c r="M1029" s="22" t="n"/>
      <c r="N1029" s="123" t="n"/>
      <c r="O1029" s="133" t="n"/>
      <c r="P1029" s="16" t="n"/>
      <c r="Q1029" s="17" t="n"/>
      <c r="R1029" s="127">
        <f>DADOS_INVOC!$HT$7</f>
        <v/>
      </c>
      <c r="S1029" s="17" t="n"/>
      <c r="T1029" s="123" t="n"/>
      <c r="U1029" s="133" t="n"/>
      <c r="V1029" s="16" t="n"/>
      <c r="W1029" s="16" t="n"/>
      <c r="X1029" s="17" t="n"/>
      <c r="Y1029" s="127" t="n"/>
      <c r="Z1029" s="123" t="n"/>
      <c r="AB1029" s="21" t="n"/>
      <c r="AF1029" s="22" t="n"/>
      <c r="AG1029" s="123" t="n"/>
      <c r="AH1029" s="133" t="n"/>
      <c r="AI1029" s="16" t="n"/>
      <c r="AJ1029" s="17" t="n"/>
      <c r="AK1029" s="127">
        <f>DADOS_INVOC!$HT$13</f>
        <v/>
      </c>
      <c r="AL1029" s="17" t="n"/>
      <c r="AM1029" s="123" t="n"/>
      <c r="AN1029" s="133" t="n"/>
      <c r="AO1029" s="16" t="n"/>
      <c r="AP1029" s="16" t="n"/>
      <c r="AQ1029" s="17" t="n"/>
      <c r="AR1029" s="127" t="n"/>
      <c r="AS1029" s="123" t="n"/>
    </row>
    <row r="1030" hidden="1" outlineLevel="1">
      <c r="A1030" s="8" t="n"/>
      <c r="B1030" s="14" t="n"/>
      <c r="C1030" s="123" t="n"/>
      <c r="D1030" s="123" t="n"/>
      <c r="E1030" s="123" t="n"/>
      <c r="F1030" s="123" t="n"/>
      <c r="G1030" s="123" t="n"/>
      <c r="I1030" s="23" t="n"/>
      <c r="J1030" s="24" t="n"/>
      <c r="K1030" s="24" t="n"/>
      <c r="L1030" s="24" t="n"/>
      <c r="M1030" s="25" t="n"/>
      <c r="N1030" s="123" t="n"/>
      <c r="O1030" s="133" t="n"/>
      <c r="P1030" s="16" t="n"/>
      <c r="Q1030" s="17" t="n"/>
      <c r="R1030" s="127">
        <f>DADOS_INVOC!$HU$7</f>
        <v/>
      </c>
      <c r="S1030" s="17" t="n"/>
      <c r="T1030" s="123" t="n"/>
      <c r="U1030" s="133" t="n"/>
      <c r="V1030" s="16" t="n"/>
      <c r="W1030" s="16" t="n"/>
      <c r="X1030" s="17" t="n"/>
      <c r="Y1030" s="127" t="n"/>
      <c r="Z1030" s="123" t="n"/>
      <c r="AB1030" s="23" t="n"/>
      <c r="AC1030" s="24" t="n"/>
      <c r="AD1030" s="24" t="n"/>
      <c r="AE1030" s="24" t="n"/>
      <c r="AF1030" s="25" t="n"/>
      <c r="AG1030" s="123" t="n"/>
      <c r="AH1030" s="133" t="n"/>
      <c r="AI1030" s="16" t="n"/>
      <c r="AJ1030" s="17" t="n"/>
      <c r="AK1030" s="127">
        <f>DADOS_INVOC!$HU$13</f>
        <v/>
      </c>
      <c r="AL1030" s="17" t="n"/>
      <c r="AM1030" s="123" t="n"/>
      <c r="AN1030" s="133" t="n"/>
      <c r="AO1030" s="16" t="n"/>
      <c r="AP1030" s="16" t="n"/>
      <c r="AQ1030" s="17" t="n"/>
      <c r="AR1030" s="127" t="n"/>
      <c r="AS1030" s="123" t="n"/>
    </row>
    <row r="1031" hidden="1" outlineLevel="1">
      <c r="A1031" s="8" t="n"/>
      <c r="B1031" s="14" t="n"/>
      <c r="C1031" s="123" t="n"/>
      <c r="D1031" s="123" t="n"/>
      <c r="E1031" s="123" t="n"/>
      <c r="F1031" s="123" t="n"/>
      <c r="G1031" s="123" t="n"/>
      <c r="I1031" s="123" t="n"/>
      <c r="J1031" s="123" t="n"/>
      <c r="K1031" s="123" t="n"/>
      <c r="L1031" s="123" t="n"/>
      <c r="M1031" s="123" t="n"/>
      <c r="N1031" s="123" t="n"/>
      <c r="O1031" s="133" t="n"/>
      <c r="P1031" s="16" t="n"/>
      <c r="Q1031" s="17" t="n"/>
      <c r="R1031" s="127">
        <f>DADOS_INVOC!$HV$7</f>
        <v/>
      </c>
      <c r="S1031" s="17" t="n"/>
      <c r="T1031" s="123" t="n"/>
      <c r="U1031" s="133" t="n"/>
      <c r="V1031" s="16" t="n"/>
      <c r="W1031" s="16" t="n"/>
      <c r="X1031" s="17" t="n"/>
      <c r="Y1031" s="127" t="n"/>
      <c r="Z1031" s="123" t="n"/>
      <c r="AB1031" s="123" t="n"/>
      <c r="AC1031" s="123" t="n"/>
      <c r="AD1031" s="123" t="n"/>
      <c r="AE1031" s="123" t="n"/>
      <c r="AF1031" s="123" t="n"/>
      <c r="AG1031" s="123" t="n"/>
      <c r="AH1031" s="133" t="n"/>
      <c r="AI1031" s="16" t="n"/>
      <c r="AJ1031" s="17" t="n"/>
      <c r="AK1031" s="127">
        <f>DADOS_INVOC!$HV$13</f>
        <v/>
      </c>
      <c r="AL1031" s="17" t="n"/>
      <c r="AM1031" s="123" t="n"/>
      <c r="AN1031" s="133" t="n"/>
      <c r="AO1031" s="16" t="n"/>
      <c r="AP1031" s="16" t="n"/>
      <c r="AQ1031" s="17" t="n"/>
      <c r="AR1031" s="127" t="n"/>
      <c r="AS1031" s="123" t="n"/>
    </row>
    <row r="1032" hidden="1" outlineLevel="1">
      <c r="A1032" s="8" t="n"/>
      <c r="B1032" s="14" t="n"/>
      <c r="C1032" s="123" t="n"/>
      <c r="D1032" s="123" t="n"/>
      <c r="E1032" s="123" t="n"/>
      <c r="F1032" s="123" t="n"/>
      <c r="G1032" s="123" t="n"/>
      <c r="I1032" s="55" t="inlineStr">
        <is>
          <t>TIPO</t>
        </is>
      </c>
      <c r="J1032" s="16" t="n"/>
      <c r="K1032" s="16" t="n"/>
      <c r="L1032" s="16" t="n"/>
      <c r="M1032" s="17" t="n"/>
      <c r="N1032" s="123" t="n"/>
      <c r="O1032" s="133" t="n"/>
      <c r="P1032" s="16" t="n"/>
      <c r="Q1032" s="17" t="n"/>
      <c r="R1032" s="127">
        <f>DADOS_INVOC!$HW$7</f>
        <v/>
      </c>
      <c r="S1032" s="17" t="n"/>
      <c r="T1032" s="123" t="n"/>
      <c r="U1032" s="133" t="n"/>
      <c r="V1032" s="16" t="n"/>
      <c r="W1032" s="16" t="n"/>
      <c r="X1032" s="17" t="n"/>
      <c r="Y1032" s="127" t="n"/>
      <c r="Z1032" s="123" t="n"/>
      <c r="AB1032" s="55" t="inlineStr">
        <is>
          <t>TIPO</t>
        </is>
      </c>
      <c r="AC1032" s="16" t="n"/>
      <c r="AD1032" s="16" t="n"/>
      <c r="AE1032" s="16" t="n"/>
      <c r="AF1032" s="17" t="n"/>
      <c r="AG1032" s="123" t="n"/>
      <c r="AH1032" s="133" t="n"/>
      <c r="AI1032" s="16" t="n"/>
      <c r="AJ1032" s="17" t="n"/>
      <c r="AK1032" s="127">
        <f>DADOS_INVOC!$HW$13</f>
        <v/>
      </c>
      <c r="AL1032" s="17" t="n"/>
      <c r="AM1032" s="123" t="n"/>
      <c r="AN1032" s="133" t="n"/>
      <c r="AO1032" s="16" t="n"/>
      <c r="AP1032" s="16" t="n"/>
      <c r="AQ1032" s="17" t="n"/>
      <c r="AR1032" s="127" t="n"/>
      <c r="AS1032" s="123" t="n"/>
    </row>
    <row r="1033" hidden="1" outlineLevel="1">
      <c r="A1033" s="8" t="n"/>
      <c r="B1033" s="14" t="n"/>
      <c r="C1033" s="123" t="n"/>
      <c r="D1033" s="123" t="n"/>
      <c r="E1033" s="123" t="n"/>
      <c r="F1033" s="123" t="n"/>
      <c r="G1033" s="123" t="n"/>
      <c r="I1033" s="127" t="inlineStr">
        <is>
          <t>Shikigami de técnica</t>
        </is>
      </c>
      <c r="J1033" s="19" t="n"/>
      <c r="K1033" s="19" t="n"/>
      <c r="L1033" s="19" t="n"/>
      <c r="M1033" s="20" t="n"/>
      <c r="N1033" s="123" t="n"/>
      <c r="O1033" s="133" t="n"/>
      <c r="P1033" s="16" t="n"/>
      <c r="Q1033" s="17" t="n"/>
      <c r="R1033" s="127">
        <f>DADOS_INVOC!$HX$7</f>
        <v/>
      </c>
      <c r="S1033" s="17" t="n"/>
      <c r="T1033" s="123" t="n"/>
      <c r="U1033" s="123" t="n"/>
      <c r="V1033" s="123" t="n"/>
      <c r="W1033" s="123" t="n"/>
      <c r="X1033" s="123" t="n"/>
      <c r="Y1033" s="123" t="n"/>
      <c r="Z1033" s="123" t="n"/>
      <c r="AB1033" s="127" t="inlineStr">
        <is>
          <t>Shikigami de técnica</t>
        </is>
      </c>
      <c r="AC1033" s="19" t="n"/>
      <c r="AD1033" s="19" t="n"/>
      <c r="AE1033" s="19" t="n"/>
      <c r="AF1033" s="20" t="n"/>
      <c r="AG1033" s="123" t="n"/>
      <c r="AH1033" s="133" t="n"/>
      <c r="AI1033" s="16" t="n"/>
      <c r="AJ1033" s="17" t="n"/>
      <c r="AK1033" s="127">
        <f>DADOS_INVOC!$HX$13</f>
        <v/>
      </c>
      <c r="AL1033" s="17" t="n"/>
      <c r="AM1033" s="123" t="n"/>
      <c r="AN1033" s="123" t="n"/>
      <c r="AO1033" s="123" t="n"/>
      <c r="AP1033" s="123" t="n"/>
      <c r="AQ1033" s="123" t="n"/>
      <c r="AR1033" s="123" t="n"/>
      <c r="AS1033" s="123" t="n"/>
    </row>
    <row r="1034" hidden="1" outlineLevel="1">
      <c r="A1034" s="8" t="n"/>
      <c r="B1034" s="14" t="n"/>
      <c r="C1034" s="123" t="n"/>
      <c r="D1034" s="123" t="n"/>
      <c r="E1034" s="123" t="n"/>
      <c r="F1034" s="123" t="n"/>
      <c r="G1034" s="123" t="n"/>
      <c r="I1034" s="23" t="n"/>
      <c r="J1034" s="24" t="n"/>
      <c r="K1034" s="24" t="n"/>
      <c r="L1034" s="24" t="n"/>
      <c r="M1034" s="25" t="n"/>
      <c r="N1034" s="123" t="n"/>
      <c r="O1034" s="133" t="n"/>
      <c r="P1034" s="16" t="n"/>
      <c r="Q1034" s="17" t="n"/>
      <c r="R1034" s="127">
        <f>DADOS_INVOC!$HY$7</f>
        <v/>
      </c>
      <c r="S1034" s="17" t="n"/>
      <c r="T1034" s="123" t="n"/>
      <c r="U1034" s="55" t="inlineStr">
        <is>
          <t>CORPO, SENTIDOS E COMUNICAÇÃO</t>
        </is>
      </c>
      <c r="V1034" s="16" t="n"/>
      <c r="W1034" s="16" t="n"/>
      <c r="X1034" s="16" t="n"/>
      <c r="Y1034" s="17" t="n"/>
      <c r="Z1034" s="123" t="n"/>
      <c r="AB1034" s="23" t="n"/>
      <c r="AC1034" s="24" t="n"/>
      <c r="AD1034" s="24" t="n"/>
      <c r="AE1034" s="24" t="n"/>
      <c r="AF1034" s="25" t="n"/>
      <c r="AG1034" s="123" t="n"/>
      <c r="AH1034" s="133" t="n"/>
      <c r="AI1034" s="16" t="n"/>
      <c r="AJ1034" s="17" t="n"/>
      <c r="AK1034" s="127">
        <f>DADOS_INVOC!$HY$13</f>
        <v/>
      </c>
      <c r="AL1034" s="17" t="n"/>
      <c r="AM1034" s="123" t="n"/>
      <c r="AN1034" s="55" t="inlineStr">
        <is>
          <t>CORPO, SENTIDOS E COMUNICAÇÃO</t>
        </is>
      </c>
      <c r="AO1034" s="16" t="n"/>
      <c r="AP1034" s="16" t="n"/>
      <c r="AQ1034" s="16" t="n"/>
      <c r="AR1034" s="17" t="n"/>
      <c r="AS1034" s="123" t="n"/>
    </row>
    <row r="1035" hidden="1" outlineLevel="1">
      <c r="A1035" s="8" t="n"/>
      <c r="B1035" s="14" t="n"/>
      <c r="C1035" s="123" t="n"/>
      <c r="D1035" s="123" t="n"/>
      <c r="E1035" s="123" t="n"/>
      <c r="F1035" s="123" t="n"/>
      <c r="G1035" s="123" t="n"/>
      <c r="I1035" s="123" t="n"/>
      <c r="J1035" s="123" t="n"/>
      <c r="K1035" s="123" t="n"/>
      <c r="L1035" s="123" t="n"/>
      <c r="M1035" s="123" t="n"/>
      <c r="N1035" s="123" t="n"/>
      <c r="O1035" s="123" t="n"/>
      <c r="P1035" s="123" t="n"/>
      <c r="Q1035" s="123" t="n"/>
      <c r="R1035" s="123" t="n"/>
      <c r="S1035" s="123" t="n"/>
      <c r="T1035" s="123" t="n"/>
      <c r="U1035" s="119" t="n"/>
      <c r="V1035" s="19" t="n"/>
      <c r="W1035" s="19" t="n"/>
      <c r="X1035" s="19" t="n"/>
      <c r="Y1035" s="20" t="n"/>
      <c r="Z1035" s="123" t="n"/>
      <c r="AB1035" s="123" t="n"/>
      <c r="AC1035" s="123" t="n"/>
      <c r="AD1035" s="123" t="n"/>
      <c r="AE1035" s="123" t="n"/>
      <c r="AF1035" s="123" t="n"/>
      <c r="AG1035" s="123" t="n"/>
      <c r="AH1035" s="123" t="n"/>
      <c r="AI1035" s="123" t="n"/>
      <c r="AJ1035" s="123" t="n"/>
      <c r="AK1035" s="123" t="n"/>
      <c r="AL1035" s="123" t="n"/>
      <c r="AM1035" s="123" t="n"/>
      <c r="AN1035" s="119" t="n"/>
      <c r="AO1035" s="19" t="n"/>
      <c r="AP1035" s="19" t="n"/>
      <c r="AQ1035" s="19" t="n"/>
      <c r="AR1035" s="20" t="n"/>
      <c r="AS1035" s="123" t="n"/>
    </row>
    <row r="1036" hidden="1" outlineLevel="1">
      <c r="A1036" s="8" t="n"/>
      <c r="B1036" s="14" t="n"/>
      <c r="C1036" s="123" t="n"/>
      <c r="D1036" s="123" t="n"/>
      <c r="E1036" s="123" t="n"/>
      <c r="F1036" s="123" t="n"/>
      <c r="G1036" s="123" t="n"/>
      <c r="I1036" s="55" t="inlineStr">
        <is>
          <t>AQUISIÇÃO</t>
        </is>
      </c>
      <c r="J1036" s="17" t="n"/>
      <c r="K1036" s="55" t="inlineStr">
        <is>
          <t>OBTIDA NO NÍVEL</t>
        </is>
      </c>
      <c r="L1036" s="55" t="inlineStr">
        <is>
          <t>TALISMÃ</t>
        </is>
      </c>
      <c r="M1036" s="17" t="n"/>
      <c r="N1036" s="123" t="n"/>
      <c r="O1036" s="55">
        <f>DADOS_INVOC!$IB$7</f>
        <v/>
      </c>
      <c r="P1036" s="16" t="n"/>
      <c r="Q1036" s="16" t="n"/>
      <c r="R1036" s="16" t="n"/>
      <c r="S1036" s="17" t="n"/>
      <c r="T1036" s="123" t="n"/>
      <c r="U1036" s="21" t="n"/>
      <c r="Y1036" s="22" t="n"/>
      <c r="Z1036" s="123" t="n"/>
      <c r="AB1036" s="55" t="inlineStr">
        <is>
          <t>AQUISIÇÃO</t>
        </is>
      </c>
      <c r="AC1036" s="17" t="n"/>
      <c r="AD1036" s="55" t="inlineStr">
        <is>
          <t>OBTIDA NO NÍVEL</t>
        </is>
      </c>
      <c r="AE1036" s="55" t="inlineStr">
        <is>
          <t>TALISMÃ</t>
        </is>
      </c>
      <c r="AF1036" s="17" t="n"/>
      <c r="AG1036" s="123" t="n"/>
      <c r="AH1036" s="55">
        <f>DADOS_INVOC!$IB$13</f>
        <v/>
      </c>
      <c r="AI1036" s="16" t="n"/>
      <c r="AJ1036" s="16" t="n"/>
      <c r="AK1036" s="16" t="n"/>
      <c r="AL1036" s="17" t="n"/>
      <c r="AM1036" s="123" t="n"/>
      <c r="AN1036" s="21" t="n"/>
      <c r="AR1036" s="22" t="n"/>
      <c r="AS1036" s="123" t="n"/>
    </row>
    <row r="1037" hidden="1" outlineLevel="1">
      <c r="A1037" s="8" t="n"/>
      <c r="B1037" s="14" t="n"/>
      <c r="C1037" s="123" t="n"/>
      <c r="D1037" s="123" t="n"/>
      <c r="E1037" s="123" t="n"/>
      <c r="F1037" s="123" t="n"/>
      <c r="G1037" s="123" t="n"/>
      <c r="I1037" s="127" t="inlineStr">
        <is>
          <t>Espaço conhecido</t>
        </is>
      </c>
      <c r="J1037" s="20" t="n"/>
      <c r="K1037" s="127" t="n"/>
      <c r="L1037" s="127" t="inlineStr">
        <is>
          <t>Sem carga</t>
        </is>
      </c>
      <c r="M1037" s="20" t="n"/>
      <c r="N1037" s="123" t="n"/>
      <c r="O1037" s="55" t="inlineStr">
        <is>
          <t>LIVRE</t>
        </is>
      </c>
      <c r="P1037" s="55" t="inlineStr">
        <is>
          <t>LIVRE · TRILHA</t>
        </is>
      </c>
      <c r="Q1037" s="55" t="inlineStr">
        <is>
          <t>ABERTA</t>
        </is>
      </c>
      <c r="R1037" s="55" t="inlineStr">
        <is>
          <t>ABERTA</t>
        </is>
      </c>
      <c r="S1037" s="55" t="inlineStr">
        <is>
          <t>ABERTA · TRILHA</t>
        </is>
      </c>
      <c r="T1037" s="123" t="n"/>
      <c r="U1037" s="21" t="n"/>
      <c r="Y1037" s="22" t="n"/>
      <c r="Z1037" s="123" t="n"/>
      <c r="AB1037" s="127" t="inlineStr">
        <is>
          <t>Espaço conhecido</t>
        </is>
      </c>
      <c r="AC1037" s="20" t="n"/>
      <c r="AD1037" s="127" t="n"/>
      <c r="AE1037" s="127" t="inlineStr">
        <is>
          <t>Sem carga</t>
        </is>
      </c>
      <c r="AF1037" s="20" t="n"/>
      <c r="AG1037" s="123" t="n"/>
      <c r="AH1037" s="55" t="inlineStr">
        <is>
          <t>LIVRE</t>
        </is>
      </c>
      <c r="AI1037" s="55" t="inlineStr">
        <is>
          <t>LIVRE · TRILHA</t>
        </is>
      </c>
      <c r="AJ1037" s="55" t="inlineStr">
        <is>
          <t>ABERTA</t>
        </is>
      </c>
      <c r="AK1037" s="55" t="inlineStr">
        <is>
          <t>ABERTA</t>
        </is>
      </c>
      <c r="AL1037" s="55" t="inlineStr">
        <is>
          <t>ABERTA · TRILHA</t>
        </is>
      </c>
      <c r="AM1037" s="123" t="n"/>
      <c r="AN1037" s="21" t="n"/>
      <c r="AR1037" s="22" t="n"/>
      <c r="AS1037" s="123" t="n"/>
    </row>
    <row r="1038" hidden="1" outlineLevel="1">
      <c r="A1038" s="8" t="n"/>
      <c r="B1038" s="14" t="n"/>
      <c r="C1038" s="123" t="n"/>
      <c r="D1038" s="123" t="n"/>
      <c r="E1038" s="123" t="n"/>
      <c r="F1038" s="123" t="n"/>
      <c r="G1038" s="123" t="n"/>
      <c r="I1038" s="23" t="n"/>
      <c r="J1038" s="25" t="n"/>
      <c r="K1038" s="128" t="n"/>
      <c r="L1038" s="23" t="n"/>
      <c r="M1038" s="25" t="n"/>
      <c r="N1038" s="123" t="n"/>
      <c r="O1038" s="127" t="n"/>
      <c r="P1038" s="127" t="n"/>
      <c r="Q1038" s="127" t="n"/>
      <c r="R1038" s="127" t="n"/>
      <c r="S1038" s="127" t="n"/>
      <c r="T1038" s="123" t="n"/>
      <c r="U1038" s="21" t="n"/>
      <c r="Y1038" s="22" t="n"/>
      <c r="Z1038" s="123" t="n"/>
      <c r="AB1038" s="23" t="n"/>
      <c r="AC1038" s="25" t="n"/>
      <c r="AD1038" s="128" t="n"/>
      <c r="AE1038" s="23" t="n"/>
      <c r="AF1038" s="25" t="n"/>
      <c r="AG1038" s="123" t="n"/>
      <c r="AH1038" s="127" t="n"/>
      <c r="AI1038" s="127" t="n"/>
      <c r="AJ1038" s="127" t="n"/>
      <c r="AK1038" s="127" t="n"/>
      <c r="AL1038" s="127" t="n"/>
      <c r="AM1038" s="123" t="n"/>
      <c r="AN1038" s="21" t="n"/>
      <c r="AR1038" s="22" t="n"/>
      <c r="AS1038" s="123" t="n"/>
    </row>
    <row r="1039" hidden="1" outlineLevel="1">
      <c r="A1039" s="8" t="n"/>
      <c r="B1039" s="14" t="n"/>
      <c r="C1039" s="123" t="n"/>
      <c r="D1039" s="123" t="n"/>
      <c r="E1039" s="123" t="n"/>
      <c r="F1039" s="123" t="n"/>
      <c r="G1039" s="123" t="n"/>
      <c r="I1039" s="123" t="n"/>
      <c r="J1039" s="123" t="n"/>
      <c r="K1039" s="123" t="n"/>
      <c r="L1039" s="123" t="n"/>
      <c r="M1039" s="123" t="n"/>
      <c r="N1039" s="123" t="n"/>
      <c r="O1039" s="128" t="n"/>
      <c r="P1039" s="128" t="n"/>
      <c r="Q1039" s="128" t="n"/>
      <c r="R1039" s="128" t="n"/>
      <c r="S1039" s="128" t="n"/>
      <c r="T1039" s="123" t="n"/>
      <c r="U1039" s="23" t="n"/>
      <c r="V1039" s="24" t="n"/>
      <c r="W1039" s="24" t="n"/>
      <c r="X1039" s="24" t="n"/>
      <c r="Y1039" s="25" t="n"/>
      <c r="Z1039" s="123" t="n"/>
      <c r="AB1039" s="123" t="n"/>
      <c r="AC1039" s="123" t="n"/>
      <c r="AD1039" s="123" t="n"/>
      <c r="AE1039" s="123" t="n"/>
      <c r="AF1039" s="123" t="n"/>
      <c r="AG1039" s="123" t="n"/>
      <c r="AH1039" s="128" t="n"/>
      <c r="AI1039" s="128" t="n"/>
      <c r="AJ1039" s="128" t="n"/>
      <c r="AK1039" s="128" t="n"/>
      <c r="AL1039" s="128" t="n"/>
      <c r="AM1039" s="123" t="n"/>
      <c r="AN1039" s="23" t="n"/>
      <c r="AO1039" s="24" t="n"/>
      <c r="AP1039" s="24" t="n"/>
      <c r="AQ1039" s="24" t="n"/>
      <c r="AR1039" s="25" t="n"/>
      <c r="AS1039" s="123" t="n"/>
    </row>
    <row r="1040" hidden="1" outlineLevel="1">
      <c r="A1040" s="8" t="n"/>
      <c r="B1040" s="14" t="n"/>
      <c r="C1040" s="123" t="n"/>
      <c r="D1040" s="123" t="n"/>
      <c r="E1040" s="123" t="n"/>
      <c r="F1040" s="123" t="n"/>
      <c r="G1040" s="123" t="n"/>
      <c r="I1040" s="123" t="n"/>
      <c r="J1040" s="123" t="n"/>
      <c r="K1040" s="123" t="n"/>
      <c r="L1040" s="123" t="n"/>
      <c r="M1040" s="123" t="n"/>
      <c r="N1040" s="123" t="n"/>
      <c r="O1040" s="123" t="n"/>
      <c r="P1040" s="123" t="n"/>
      <c r="Q1040" s="123" t="n"/>
      <c r="R1040" s="123" t="n"/>
      <c r="S1040" s="123" t="n"/>
      <c r="T1040" s="123" t="n"/>
      <c r="U1040" s="123" t="n"/>
      <c r="V1040" s="123" t="n"/>
      <c r="W1040" s="123" t="n"/>
      <c r="X1040" s="123" t="n"/>
      <c r="Y1040" s="123" t="n"/>
      <c r="Z1040" s="123" t="n"/>
      <c r="AB1040" s="123" t="n"/>
      <c r="AC1040" s="123" t="n"/>
      <c r="AD1040" s="123" t="n"/>
      <c r="AE1040" s="123" t="n"/>
      <c r="AF1040" s="123" t="n"/>
      <c r="AG1040" s="123" t="n"/>
      <c r="AH1040" s="123" t="n"/>
      <c r="AI1040" s="123" t="n"/>
      <c r="AJ1040" s="123" t="n"/>
      <c r="AK1040" s="123" t="n"/>
      <c r="AL1040" s="123" t="n"/>
      <c r="AM1040" s="123" t="n"/>
      <c r="AN1040" s="123" t="n"/>
      <c r="AO1040" s="123" t="n"/>
      <c r="AP1040" s="123" t="n"/>
      <c r="AQ1040" s="123" t="n"/>
      <c r="AR1040" s="123" t="n"/>
      <c r="AS1040" s="123" t="n"/>
    </row>
    <row r="1041" hidden="1" outlineLevel="1">
      <c r="A1041" s="8" t="n"/>
      <c r="B1041" s="14" t="n"/>
      <c r="C1041" s="123" t="n"/>
      <c r="D1041" s="123" t="n"/>
      <c r="E1041" s="123" t="n"/>
      <c r="F1041" s="123" t="n"/>
      <c r="G1041" s="123" t="n"/>
      <c r="I1041" s="55" t="inlineStr">
        <is>
          <t>DEFINIÇÃO</t>
        </is>
      </c>
      <c r="J1041" s="16" t="n"/>
      <c r="K1041" s="16" t="n"/>
      <c r="L1041" s="16" t="n"/>
      <c r="M1041" s="16" t="n"/>
      <c r="N1041" s="16" t="n"/>
      <c r="O1041" s="16" t="n"/>
      <c r="P1041" s="16" t="n"/>
      <c r="Q1041" s="16" t="n"/>
      <c r="R1041" s="16" t="n"/>
      <c r="S1041" s="16" t="n"/>
      <c r="T1041" s="16" t="n"/>
      <c r="U1041" s="16" t="n"/>
      <c r="V1041" s="16" t="n"/>
      <c r="W1041" s="16" t="n"/>
      <c r="X1041" s="16" t="n"/>
      <c r="Y1041" s="17" t="n"/>
      <c r="Z1041" s="123" t="n"/>
      <c r="AB1041" s="55" t="inlineStr">
        <is>
          <t>DEFINIÇÃO</t>
        </is>
      </c>
      <c r="AC1041" s="16" t="n"/>
      <c r="AD1041" s="16" t="n"/>
      <c r="AE1041" s="16" t="n"/>
      <c r="AF1041" s="16" t="n"/>
      <c r="AG1041" s="16" t="n"/>
      <c r="AH1041" s="16" t="n"/>
      <c r="AI1041" s="16" t="n"/>
      <c r="AJ1041" s="16" t="n"/>
      <c r="AK1041" s="16" t="n"/>
      <c r="AL1041" s="16" t="n"/>
      <c r="AM1041" s="16" t="n"/>
      <c r="AN1041" s="16" t="n"/>
      <c r="AO1041" s="16" t="n"/>
      <c r="AP1041" s="16" t="n"/>
      <c r="AQ1041" s="16" t="n"/>
      <c r="AR1041" s="17" t="n"/>
      <c r="AS1041" s="123" t="n"/>
    </row>
    <row r="1042" hidden="1" outlineLevel="1">
      <c r="A1042" s="8" t="n"/>
      <c r="B1042" s="14" t="n"/>
      <c r="C1042" s="123" t="n"/>
      <c r="D1042" s="123" t="n"/>
      <c r="E1042" s="123" t="n"/>
      <c r="F1042" s="123" t="n"/>
      <c r="G1042" s="123" t="n"/>
      <c r="I1042" s="119" t="n"/>
      <c r="J1042" s="19" t="n"/>
      <c r="K1042" s="19" t="n"/>
      <c r="L1042" s="19" t="n"/>
      <c r="M1042" s="19" t="n"/>
      <c r="N1042" s="19" t="n"/>
      <c r="O1042" s="19" t="n"/>
      <c r="P1042" s="19" t="n"/>
      <c r="Q1042" s="19" t="n"/>
      <c r="R1042" s="19" t="n"/>
      <c r="S1042" s="19" t="n"/>
      <c r="T1042" s="19" t="n"/>
      <c r="U1042" s="19" t="n"/>
      <c r="V1042" s="19" t="n"/>
      <c r="W1042" s="19" t="n"/>
      <c r="X1042" s="19" t="n"/>
      <c r="Y1042" s="20" t="n"/>
      <c r="Z1042" s="123" t="n"/>
      <c r="AB1042" s="119" t="n"/>
      <c r="AC1042" s="19" t="n"/>
      <c r="AD1042" s="19" t="n"/>
      <c r="AE1042" s="19" t="n"/>
      <c r="AF1042" s="19" t="n"/>
      <c r="AG1042" s="19" t="n"/>
      <c r="AH1042" s="19" t="n"/>
      <c r="AI1042" s="19" t="n"/>
      <c r="AJ1042" s="19" t="n"/>
      <c r="AK1042" s="19" t="n"/>
      <c r="AL1042" s="19" t="n"/>
      <c r="AM1042" s="19" t="n"/>
      <c r="AN1042" s="19" t="n"/>
      <c r="AO1042" s="19" t="n"/>
      <c r="AP1042" s="19" t="n"/>
      <c r="AQ1042" s="19" t="n"/>
      <c r="AR1042" s="20" t="n"/>
      <c r="AS1042" s="123" t="n"/>
    </row>
    <row r="1043" hidden="1" outlineLevel="1">
      <c r="A1043" s="8" t="n"/>
      <c r="B1043" s="14" t="n"/>
      <c r="C1043" s="123" t="n"/>
      <c r="D1043" s="123" t="n"/>
      <c r="E1043" s="123" t="n"/>
      <c r="F1043" s="123" t="n"/>
      <c r="G1043" s="123" t="n"/>
      <c r="I1043" s="23" t="n"/>
      <c r="J1043" s="24" t="n"/>
      <c r="K1043" s="24" t="n"/>
      <c r="L1043" s="24" t="n"/>
      <c r="M1043" s="24" t="n"/>
      <c r="N1043" s="24" t="n"/>
      <c r="O1043" s="24" t="n"/>
      <c r="P1043" s="24" t="n"/>
      <c r="Q1043" s="24" t="n"/>
      <c r="R1043" s="24" t="n"/>
      <c r="S1043" s="24" t="n"/>
      <c r="T1043" s="24" t="n"/>
      <c r="U1043" s="24" t="n"/>
      <c r="V1043" s="24" t="n"/>
      <c r="W1043" s="24" t="n"/>
      <c r="X1043" s="24" t="n"/>
      <c r="Y1043" s="25" t="n"/>
      <c r="Z1043" s="123" t="n"/>
      <c r="AB1043" s="23" t="n"/>
      <c r="AC1043" s="24" t="n"/>
      <c r="AD1043" s="24" t="n"/>
      <c r="AE1043" s="24" t="n"/>
      <c r="AF1043" s="24" t="n"/>
      <c r="AG1043" s="24" t="n"/>
      <c r="AH1043" s="24" t="n"/>
      <c r="AI1043" s="24" t="n"/>
      <c r="AJ1043" s="24" t="n"/>
      <c r="AK1043" s="24" t="n"/>
      <c r="AL1043" s="24" t="n"/>
      <c r="AM1043" s="24" t="n"/>
      <c r="AN1043" s="24" t="n"/>
      <c r="AO1043" s="24" t="n"/>
      <c r="AP1043" s="24" t="n"/>
      <c r="AQ1043" s="24" t="n"/>
      <c r="AR1043" s="25" t="n"/>
      <c r="AS1043" s="123" t="n"/>
    </row>
    <row r="1044" hidden="1" outlineLevel="1">
      <c r="A1044" s="8" t="n"/>
      <c r="B1044" s="14" t="n"/>
      <c r="C1044" s="123" t="n"/>
      <c r="D1044" s="123" t="n"/>
      <c r="E1044" s="123" t="n"/>
      <c r="F1044" s="123" t="n"/>
      <c r="G1044" s="123" t="n"/>
      <c r="I1044" s="123" t="n"/>
      <c r="J1044" s="123" t="n"/>
      <c r="K1044" s="123" t="n"/>
      <c r="L1044" s="123" t="n"/>
      <c r="M1044" s="123" t="n"/>
      <c r="N1044" s="123" t="n"/>
      <c r="O1044" s="123" t="n"/>
      <c r="P1044" s="123" t="n"/>
      <c r="Q1044" s="123" t="n"/>
      <c r="R1044" s="123" t="n"/>
      <c r="S1044" s="123" t="n"/>
      <c r="T1044" s="123" t="n"/>
      <c r="U1044" s="123" t="n"/>
      <c r="V1044" s="123" t="n"/>
      <c r="W1044" s="123" t="n"/>
      <c r="X1044" s="123" t="n"/>
      <c r="Y1044" s="123" t="n"/>
      <c r="Z1044" s="123" t="n"/>
      <c r="AB1044" s="123" t="n"/>
      <c r="AC1044" s="123" t="n"/>
      <c r="AD1044" s="123" t="n"/>
      <c r="AE1044" s="123" t="n"/>
      <c r="AF1044" s="123" t="n"/>
      <c r="AG1044" s="123" t="n"/>
      <c r="AH1044" s="123" t="n"/>
      <c r="AI1044" s="123" t="n"/>
      <c r="AJ1044" s="123" t="n"/>
      <c r="AK1044" s="123" t="n"/>
      <c r="AL1044" s="123" t="n"/>
      <c r="AM1044" s="123" t="n"/>
      <c r="AN1044" s="123" t="n"/>
      <c r="AO1044" s="123" t="n"/>
      <c r="AP1044" s="123" t="n"/>
      <c r="AQ1044" s="123" t="n"/>
      <c r="AR1044" s="123" t="n"/>
      <c r="AS1044" s="123" t="n"/>
    </row>
    <row r="1045" hidden="1" outlineLevel="1">
      <c r="A1045" s="8" t="n"/>
      <c r="B1045" s="14" t="n"/>
      <c r="C1045" s="123" t="n"/>
      <c r="D1045" s="123" t="n"/>
      <c r="E1045" s="123" t="n"/>
      <c r="F1045" s="123" t="n"/>
      <c r="G1045" s="123" t="n"/>
      <c r="I1045" s="136">
        <f>DADOS_INVOC!$IC$7</f>
        <v/>
      </c>
      <c r="J1045" s="16" t="n"/>
      <c r="K1045" s="16" t="n"/>
      <c r="L1045" s="16" t="n"/>
      <c r="M1045" s="16" t="n"/>
      <c r="N1045" s="16" t="n"/>
      <c r="O1045" s="16" t="n"/>
      <c r="P1045" s="16" t="n"/>
      <c r="Q1045" s="16" t="n"/>
      <c r="R1045" s="16" t="n"/>
      <c r="S1045" s="16" t="n"/>
      <c r="T1045" s="16" t="n"/>
      <c r="U1045" s="16" t="n"/>
      <c r="V1045" s="16" t="n"/>
      <c r="W1045" s="16" t="n"/>
      <c r="X1045" s="16" t="n"/>
      <c r="Y1045" s="17" t="n"/>
      <c r="Z1045" s="123" t="n"/>
      <c r="AB1045" s="136">
        <f>DADOS_INVOC!$IC$13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23" t="n"/>
    </row>
    <row r="1046" hidden="1" outlineLevel="1">
      <c r="A1046" s="8" t="n"/>
      <c r="B1046" s="14" t="n"/>
      <c r="C1046" s="123" t="n"/>
      <c r="D1046" s="123" t="n"/>
      <c r="E1046" s="123" t="n"/>
      <c r="F1046" s="123" t="n"/>
      <c r="G1046" s="123" t="n"/>
      <c r="I1046" s="123" t="n"/>
      <c r="J1046" s="123" t="n"/>
      <c r="K1046" s="123" t="n"/>
      <c r="L1046" s="123" t="n"/>
      <c r="M1046" s="123" t="n"/>
      <c r="N1046" s="123" t="n"/>
      <c r="O1046" s="123" t="n"/>
      <c r="P1046" s="123" t="n"/>
      <c r="Q1046" s="123" t="n"/>
      <c r="R1046" s="123" t="n"/>
      <c r="S1046" s="123" t="n"/>
      <c r="T1046" s="123" t="n"/>
      <c r="U1046" s="123" t="n"/>
      <c r="V1046" s="123" t="n"/>
      <c r="W1046" s="123" t="n"/>
      <c r="X1046" s="123" t="n"/>
      <c r="Y1046" s="123" t="n"/>
      <c r="Z1046" s="123" t="n"/>
      <c r="AB1046" s="123" t="n"/>
      <c r="AC1046" s="123" t="n"/>
      <c r="AD1046" s="123" t="n"/>
      <c r="AE1046" s="123" t="n"/>
      <c r="AF1046" s="123" t="n"/>
      <c r="AG1046" s="123" t="n"/>
      <c r="AH1046" s="123" t="n"/>
      <c r="AI1046" s="123" t="n"/>
      <c r="AJ1046" s="123" t="n"/>
      <c r="AK1046" s="123" t="n"/>
      <c r="AL1046" s="123" t="n"/>
      <c r="AM1046" s="123" t="n"/>
      <c r="AN1046" s="123" t="n"/>
      <c r="AO1046" s="123" t="n"/>
      <c r="AP1046" s="123" t="n"/>
      <c r="AQ1046" s="123" t="n"/>
      <c r="AR1046" s="123" t="n"/>
      <c r="AS1046" s="123" t="n"/>
    </row>
    <row r="1047" hidden="1" outlineLevel="1">
      <c r="A1047" s="8" t="n"/>
      <c r="B1047" s="14" t="n"/>
      <c r="C1047" s="123" t="n"/>
      <c r="D1047" s="123" t="n"/>
      <c r="E1047" s="123" t="n"/>
      <c r="F1047" s="123" t="n"/>
      <c r="G1047" s="123" t="n"/>
      <c r="I1047" s="55">
        <f>DADOS_INVOC!$PX$67</f>
        <v/>
      </c>
      <c r="J1047" s="16" t="n"/>
      <c r="K1047" s="16" t="n"/>
      <c r="L1047" s="16" t="n"/>
      <c r="M1047" s="17" t="n"/>
      <c r="N1047" s="123" t="n"/>
      <c r="O1047" s="55">
        <f>DADOS_INVOC!$PX$68</f>
        <v/>
      </c>
      <c r="P1047" s="16" t="n"/>
      <c r="Q1047" s="16" t="n"/>
      <c r="R1047" s="16" t="n"/>
      <c r="S1047" s="17" t="n"/>
      <c r="T1047" s="123" t="n"/>
      <c r="U1047" s="55">
        <f>DADOS_INVOC!$PX$69</f>
        <v/>
      </c>
      <c r="V1047" s="16" t="n"/>
      <c r="W1047" s="16" t="n"/>
      <c r="X1047" s="16" t="n"/>
      <c r="Y1047" s="17" t="n"/>
      <c r="Z1047" s="123" t="n"/>
      <c r="AB1047" s="55">
        <f>DADOS_INVOC!$PX$145</f>
        <v/>
      </c>
      <c r="AC1047" s="16" t="n"/>
      <c r="AD1047" s="16" t="n"/>
      <c r="AE1047" s="16" t="n"/>
      <c r="AF1047" s="17" t="n"/>
      <c r="AG1047" s="123" t="n"/>
      <c r="AH1047" s="55">
        <f>DADOS_INVOC!$PX$146</f>
        <v/>
      </c>
      <c r="AI1047" s="16" t="n"/>
      <c r="AJ1047" s="16" t="n"/>
      <c r="AK1047" s="16" t="n"/>
      <c r="AL1047" s="17" t="n"/>
      <c r="AM1047" s="123" t="n"/>
      <c r="AN1047" s="55">
        <f>DADOS_INVOC!$PX$147</f>
        <v/>
      </c>
      <c r="AO1047" s="16" t="n"/>
      <c r="AP1047" s="16" t="n"/>
      <c r="AQ1047" s="16" t="n"/>
      <c r="AR1047" s="17" t="n"/>
      <c r="AS1047" s="123" t="n"/>
    </row>
    <row r="1048" hidden="1" outlineLevel="1">
      <c r="A1048" s="8" t="n"/>
      <c r="B1048" s="14" t="n"/>
      <c r="C1048" s="123" t="n"/>
      <c r="D1048" s="123" t="n"/>
      <c r="E1048" s="123" t="n"/>
      <c r="F1048" s="123" t="n"/>
      <c r="G1048" s="123" t="n"/>
      <c r="I1048" s="130" t="n">
        <v>0</v>
      </c>
      <c r="J1048" s="118" t="n"/>
      <c r="K1048" s="16" t="n"/>
      <c r="L1048" s="17" t="n"/>
      <c r="M1048" s="131">
        <f>DADOS_INVOC!$PV$67</f>
        <v/>
      </c>
      <c r="N1048" s="123" t="n"/>
      <c r="O1048" s="130" t="n">
        <v>1</v>
      </c>
      <c r="P1048" s="118" t="n"/>
      <c r="Q1048" s="16" t="n"/>
      <c r="R1048" s="17" t="n"/>
      <c r="S1048" s="131">
        <f>DADOS_INVOC!$PV$68</f>
        <v/>
      </c>
      <c r="T1048" s="123" t="n"/>
      <c r="U1048" s="130" t="n">
        <v>1</v>
      </c>
      <c r="V1048" s="118" t="n"/>
      <c r="W1048" s="16" t="n"/>
      <c r="X1048" s="17" t="n"/>
      <c r="Y1048" s="131">
        <f>DADOS_INVOC!$PV$69</f>
        <v/>
      </c>
      <c r="Z1048" s="123" t="n"/>
      <c r="AB1048" s="130" t="n">
        <v>0</v>
      </c>
      <c r="AC1048" s="118" t="n"/>
      <c r="AD1048" s="16" t="n"/>
      <c r="AE1048" s="17" t="n"/>
      <c r="AF1048" s="131">
        <f>DADOS_INVOC!$PV$145</f>
        <v/>
      </c>
      <c r="AG1048" s="123" t="n"/>
      <c r="AH1048" s="130" t="n">
        <v>1</v>
      </c>
      <c r="AI1048" s="118" t="n"/>
      <c r="AJ1048" s="16" t="n"/>
      <c r="AK1048" s="17" t="n"/>
      <c r="AL1048" s="131">
        <f>DADOS_INVOC!$PV$146</f>
        <v/>
      </c>
      <c r="AM1048" s="123" t="n"/>
      <c r="AN1048" s="130" t="n">
        <v>1</v>
      </c>
      <c r="AO1048" s="118" t="n"/>
      <c r="AP1048" s="16" t="n"/>
      <c r="AQ1048" s="17" t="n"/>
      <c r="AR1048" s="131">
        <f>DADOS_INVOC!$PV$147</f>
        <v/>
      </c>
      <c r="AS1048" s="123" t="n"/>
    </row>
    <row r="1049" hidden="1" outlineLevel="2">
      <c r="A1049" s="8" t="n"/>
      <c r="B1049" s="14" t="n"/>
      <c r="C1049" s="123" t="n"/>
      <c r="D1049" s="123" t="n"/>
      <c r="E1049" s="123" t="n"/>
      <c r="F1049" s="123" t="n"/>
      <c r="G1049" s="123" t="n"/>
      <c r="I1049" s="55" t="inlineStr">
        <is>
          <t>COMO É</t>
        </is>
      </c>
      <c r="J1049" s="16" t="n"/>
      <c r="K1049" s="16" t="n"/>
      <c r="L1049" s="16" t="n"/>
      <c r="M1049" s="17" t="n"/>
      <c r="N1049" s="123" t="n"/>
      <c r="O1049" s="55" t="inlineStr">
        <is>
          <t>COMO É</t>
        </is>
      </c>
      <c r="P1049" s="16" t="n"/>
      <c r="Q1049" s="16" t="n"/>
      <c r="R1049" s="16" t="n"/>
      <c r="S1049" s="17" t="n"/>
      <c r="T1049" s="123" t="n"/>
      <c r="U1049" s="55" t="inlineStr">
        <is>
          <t>COMO É</t>
        </is>
      </c>
      <c r="V1049" s="16" t="n"/>
      <c r="W1049" s="16" t="n"/>
      <c r="X1049" s="16" t="n"/>
      <c r="Y1049" s="17" t="n"/>
      <c r="Z1049" s="123" t="n"/>
      <c r="AB1049" s="55" t="inlineStr">
        <is>
          <t>COMO É</t>
        </is>
      </c>
      <c r="AC1049" s="16" t="n"/>
      <c r="AD1049" s="16" t="n"/>
      <c r="AE1049" s="16" t="n"/>
      <c r="AF1049" s="17" t="n"/>
      <c r="AG1049" s="123" t="n"/>
      <c r="AH1049" s="55" t="inlineStr">
        <is>
          <t>COMO É</t>
        </is>
      </c>
      <c r="AI1049" s="16" t="n"/>
      <c r="AJ1049" s="16" t="n"/>
      <c r="AK1049" s="16" t="n"/>
      <c r="AL1049" s="17" t="n"/>
      <c r="AM1049" s="123" t="n"/>
      <c r="AN1049" s="55" t="inlineStr">
        <is>
          <t>COMO É</t>
        </is>
      </c>
      <c r="AO1049" s="16" t="n"/>
      <c r="AP1049" s="16" t="n"/>
      <c r="AQ1049" s="16" t="n"/>
      <c r="AR1049" s="17" t="n"/>
      <c r="AS1049" s="123" t="n"/>
    </row>
    <row r="1050" hidden="1" outlineLevel="2">
      <c r="A1050" s="8" t="n"/>
      <c r="B1050" s="14" t="n"/>
      <c r="C1050" s="123" t="n"/>
      <c r="D1050" s="123" t="n"/>
      <c r="E1050" s="123" t="n"/>
      <c r="F1050" s="123" t="n"/>
      <c r="G1050" s="123" t="n"/>
      <c r="I1050" s="119" t="n"/>
      <c r="J1050" s="19" t="n"/>
      <c r="K1050" s="19" t="n"/>
      <c r="L1050" s="19" t="n"/>
      <c r="M1050" s="20" t="n"/>
      <c r="N1050" s="123" t="n"/>
      <c r="O1050" s="119" t="n"/>
      <c r="P1050" s="19" t="n"/>
      <c r="Q1050" s="19" t="n"/>
      <c r="R1050" s="19" t="n"/>
      <c r="S1050" s="20" t="n"/>
      <c r="T1050" s="123" t="n"/>
      <c r="U1050" s="119" t="n"/>
      <c r="V1050" s="19" t="n"/>
      <c r="W1050" s="19" t="n"/>
      <c r="X1050" s="19" t="n"/>
      <c r="Y1050" s="20" t="n"/>
      <c r="Z1050" s="123" t="n"/>
      <c r="AB1050" s="119" t="n"/>
      <c r="AC1050" s="19" t="n"/>
      <c r="AD1050" s="19" t="n"/>
      <c r="AE1050" s="19" t="n"/>
      <c r="AF1050" s="20" t="n"/>
      <c r="AG1050" s="123" t="n"/>
      <c r="AH1050" s="119" t="n"/>
      <c r="AI1050" s="19" t="n"/>
      <c r="AJ1050" s="19" t="n"/>
      <c r="AK1050" s="19" t="n"/>
      <c r="AL1050" s="20" t="n"/>
      <c r="AM1050" s="123" t="n"/>
      <c r="AN1050" s="119" t="n"/>
      <c r="AO1050" s="19" t="n"/>
      <c r="AP1050" s="19" t="n"/>
      <c r="AQ1050" s="19" t="n"/>
      <c r="AR1050" s="20" t="n"/>
      <c r="AS1050" s="123" t="n"/>
    </row>
    <row r="1051" hidden="1" outlineLevel="2">
      <c r="A1051" s="8" t="n"/>
      <c r="B1051" s="14" t="n"/>
      <c r="C1051" s="123" t="n"/>
      <c r="D1051" s="123" t="n"/>
      <c r="E1051" s="123" t="n"/>
      <c r="F1051" s="123" t="n"/>
      <c r="G1051" s="123" t="n"/>
      <c r="I1051" s="21" t="n"/>
      <c r="M1051" s="22" t="n"/>
      <c r="N1051" s="123" t="n"/>
      <c r="O1051" s="21" t="n"/>
      <c r="S1051" s="22" t="n"/>
      <c r="T1051" s="123" t="n"/>
      <c r="U1051" s="21" t="n"/>
      <c r="Y1051" s="22" t="n"/>
      <c r="Z1051" s="123" t="n"/>
      <c r="AB1051" s="21" t="n"/>
      <c r="AF1051" s="22" t="n"/>
      <c r="AG1051" s="123" t="n"/>
      <c r="AH1051" s="21" t="n"/>
      <c r="AL1051" s="22" t="n"/>
      <c r="AM1051" s="123" t="n"/>
      <c r="AN1051" s="21" t="n"/>
      <c r="AR1051" s="22" t="n"/>
      <c r="AS1051" s="123" t="n"/>
    </row>
    <row r="1052" hidden="1" outlineLevel="2">
      <c r="A1052" s="8" t="n"/>
      <c r="B1052" s="14" t="n"/>
      <c r="C1052" s="123" t="n"/>
      <c r="D1052" s="123" t="n"/>
      <c r="E1052" s="123" t="n"/>
      <c r="F1052" s="123" t="n"/>
      <c r="G1052" s="123" t="n"/>
      <c r="I1052" s="23" t="n"/>
      <c r="J1052" s="24" t="n"/>
      <c r="K1052" s="24" t="n"/>
      <c r="L1052" s="24" t="n"/>
      <c r="M1052" s="25" t="n"/>
      <c r="N1052" s="123" t="n"/>
      <c r="O1052" s="23" t="n"/>
      <c r="P1052" s="24" t="n"/>
      <c r="Q1052" s="24" t="n"/>
      <c r="R1052" s="24" t="n"/>
      <c r="S1052" s="25" t="n"/>
      <c r="T1052" s="123" t="n"/>
      <c r="U1052" s="23" t="n"/>
      <c r="V1052" s="24" t="n"/>
      <c r="W1052" s="24" t="n"/>
      <c r="X1052" s="24" t="n"/>
      <c r="Y1052" s="25" t="n"/>
      <c r="Z1052" s="123" t="n"/>
      <c r="AB1052" s="23" t="n"/>
      <c r="AC1052" s="24" t="n"/>
      <c r="AD1052" s="24" t="n"/>
      <c r="AE1052" s="24" t="n"/>
      <c r="AF1052" s="25" t="n"/>
      <c r="AG1052" s="123" t="n"/>
      <c r="AH1052" s="23" t="n"/>
      <c r="AI1052" s="24" t="n"/>
      <c r="AJ1052" s="24" t="n"/>
      <c r="AK1052" s="24" t="n"/>
      <c r="AL1052" s="25" t="n"/>
      <c r="AM1052" s="123" t="n"/>
      <c r="AN1052" s="23" t="n"/>
      <c r="AO1052" s="24" t="n"/>
      <c r="AP1052" s="24" t="n"/>
      <c r="AQ1052" s="24" t="n"/>
      <c r="AR1052" s="25" t="n"/>
      <c r="AS1052" s="123" t="n"/>
    </row>
    <row r="1053" hidden="1" outlineLevel="1">
      <c r="A1053" s="8" t="n"/>
      <c r="B1053" s="14" t="n"/>
      <c r="C1053" s="123" t="n"/>
      <c r="D1053" s="123" t="n"/>
      <c r="E1053" s="123" t="n"/>
      <c r="F1053" s="123" t="n"/>
      <c r="G1053" s="123" t="n"/>
      <c r="I1053" s="127" t="inlineStr">
        <is>
          <t>Projétil</t>
        </is>
      </c>
      <c r="J1053" s="17" t="n"/>
      <c r="K1053" s="68">
        <f>DADOS_INVOC!$QC$67</f>
        <v/>
      </c>
      <c r="L1053" s="17" t="n"/>
      <c r="M1053" s="68">
        <f>DADOS_INVOC!$PY$67</f>
        <v/>
      </c>
      <c r="N1053" s="123" t="n"/>
      <c r="O1053" s="127" t="inlineStr">
        <is>
          <t>Projétil</t>
        </is>
      </c>
      <c r="P1053" s="17" t="n"/>
      <c r="Q1053" s="68">
        <f>DADOS_INVOC!$QC$68</f>
        <v/>
      </c>
      <c r="R1053" s="17" t="n"/>
      <c r="S1053" s="68">
        <f>DADOS_INVOC!$PY$68</f>
        <v/>
      </c>
      <c r="T1053" s="123" t="n"/>
      <c r="U1053" s="127" t="inlineStr">
        <is>
          <t>Projétil</t>
        </is>
      </c>
      <c r="V1053" s="17" t="n"/>
      <c r="W1053" s="68">
        <f>DADOS_INVOC!$QC$69</f>
        <v/>
      </c>
      <c r="X1053" s="17" t="n"/>
      <c r="Y1053" s="68">
        <f>DADOS_INVOC!$PY$69</f>
        <v/>
      </c>
      <c r="Z1053" s="123" t="n"/>
      <c r="AB1053" s="127" t="inlineStr">
        <is>
          <t>Projétil</t>
        </is>
      </c>
      <c r="AC1053" s="17" t="n"/>
      <c r="AD1053" s="68">
        <f>DADOS_INVOC!$QC$145</f>
        <v/>
      </c>
      <c r="AE1053" s="17" t="n"/>
      <c r="AF1053" s="68">
        <f>DADOS_INVOC!$PY$145</f>
        <v/>
      </c>
      <c r="AG1053" s="123" t="n"/>
      <c r="AH1053" s="127" t="inlineStr">
        <is>
          <t>Projétil</t>
        </is>
      </c>
      <c r="AI1053" s="17" t="n"/>
      <c r="AJ1053" s="68">
        <f>DADOS_INVOC!$QC$146</f>
        <v/>
      </c>
      <c r="AK1053" s="17" t="n"/>
      <c r="AL1053" s="68">
        <f>DADOS_INVOC!$PY$146</f>
        <v/>
      </c>
      <c r="AM1053" s="123" t="n"/>
      <c r="AN1053" s="127" t="inlineStr">
        <is>
          <t>Projétil</t>
        </is>
      </c>
      <c r="AO1053" s="17" t="n"/>
      <c r="AP1053" s="68">
        <f>DADOS_INVOC!$QC$147</f>
        <v/>
      </c>
      <c r="AQ1053" s="17" t="n"/>
      <c r="AR1053" s="68">
        <f>DADOS_INVOC!$PY$147</f>
        <v/>
      </c>
      <c r="AS1053" s="123" t="n"/>
    </row>
    <row r="1054" hidden="1" outlineLevel="1">
      <c r="A1054" s="8" t="n"/>
      <c r="B1054" s="14" t="n"/>
      <c r="C1054" s="123" t="n"/>
      <c r="D1054" s="123" t="n"/>
      <c r="E1054" s="123" t="n"/>
      <c r="F1054" s="123" t="n"/>
      <c r="G1054" s="123" t="n"/>
      <c r="I1054" s="127" t="n"/>
      <c r="J1054" s="17" t="n"/>
      <c r="K1054" s="127" t="n"/>
      <c r="L1054" s="16" t="n"/>
      <c r="M1054" s="17" t="n"/>
      <c r="N1054" s="123" t="n"/>
      <c r="O1054" s="127" t="n"/>
      <c r="P1054" s="17" t="n"/>
      <c r="Q1054" s="127" t="n"/>
      <c r="R1054" s="16" t="n"/>
      <c r="S1054" s="17" t="n"/>
      <c r="T1054" s="123" t="n"/>
      <c r="U1054" s="127" t="n"/>
      <c r="V1054" s="17" t="n"/>
      <c r="W1054" s="127" t="n"/>
      <c r="X1054" s="16" t="n"/>
      <c r="Y1054" s="17" t="n"/>
      <c r="Z1054" s="123" t="n"/>
      <c r="AB1054" s="127" t="n"/>
      <c r="AC1054" s="17" t="n"/>
      <c r="AD1054" s="127" t="n"/>
      <c r="AE1054" s="16" t="n"/>
      <c r="AF1054" s="17" t="n"/>
      <c r="AG1054" s="123" t="n"/>
      <c r="AH1054" s="127" t="n"/>
      <c r="AI1054" s="17" t="n"/>
      <c r="AJ1054" s="127" t="n"/>
      <c r="AK1054" s="16" t="n"/>
      <c r="AL1054" s="17" t="n"/>
      <c r="AM1054" s="123" t="n"/>
      <c r="AN1054" s="127" t="n"/>
      <c r="AO1054" s="17" t="n"/>
      <c r="AP1054" s="127" t="n"/>
      <c r="AQ1054" s="16" t="n"/>
      <c r="AR1054" s="17" t="n"/>
      <c r="AS1054" s="123" t="n"/>
    </row>
    <row r="1055" hidden="1" outlineLevel="1">
      <c r="A1055" s="8" t="n"/>
      <c r="B1055" s="14" t="n"/>
      <c r="C1055" s="123" t="n"/>
      <c r="D1055" s="123" t="n"/>
      <c r="E1055" s="123" t="n"/>
      <c r="F1055" s="123" t="n"/>
      <c r="G1055" s="123" t="n"/>
      <c r="I1055" s="127">
        <f>DADOS_INVOC!$PZ$67</f>
        <v/>
      </c>
      <c r="J1055" s="17" t="n"/>
      <c r="K1055" s="127">
        <f>DADOS_INVOC!$QB$67</f>
        <v/>
      </c>
      <c r="L1055" s="16" t="n"/>
      <c r="M1055" s="17" t="n"/>
      <c r="N1055" s="123" t="n"/>
      <c r="O1055" s="127">
        <f>DADOS_INVOC!$PZ$68</f>
        <v/>
      </c>
      <c r="P1055" s="17" t="n"/>
      <c r="Q1055" s="127">
        <f>DADOS_INVOC!$QB$68</f>
        <v/>
      </c>
      <c r="R1055" s="16" t="n"/>
      <c r="S1055" s="17" t="n"/>
      <c r="T1055" s="123" t="n"/>
      <c r="U1055" s="127">
        <f>DADOS_INVOC!$PZ$69</f>
        <v/>
      </c>
      <c r="V1055" s="17" t="n"/>
      <c r="W1055" s="127">
        <f>DADOS_INVOC!$QB$69</f>
        <v/>
      </c>
      <c r="X1055" s="16" t="n"/>
      <c r="Y1055" s="17" t="n"/>
      <c r="Z1055" s="123" t="n"/>
      <c r="AB1055" s="127">
        <f>DADOS_INVOC!$PZ$145</f>
        <v/>
      </c>
      <c r="AC1055" s="17" t="n"/>
      <c r="AD1055" s="127">
        <f>DADOS_INVOC!$QB$145</f>
        <v/>
      </c>
      <c r="AE1055" s="16" t="n"/>
      <c r="AF1055" s="17" t="n"/>
      <c r="AG1055" s="123" t="n"/>
      <c r="AH1055" s="127">
        <f>DADOS_INVOC!$PZ$146</f>
        <v/>
      </c>
      <c r="AI1055" s="17" t="n"/>
      <c r="AJ1055" s="127">
        <f>DADOS_INVOC!$QB$146</f>
        <v/>
      </c>
      <c r="AK1055" s="16" t="n"/>
      <c r="AL1055" s="17" t="n"/>
      <c r="AM1055" s="123" t="n"/>
      <c r="AN1055" s="127">
        <f>DADOS_INVOC!$PZ$147</f>
        <v/>
      </c>
      <c r="AO1055" s="17" t="n"/>
      <c r="AP1055" s="127">
        <f>DADOS_INVOC!$QB$147</f>
        <v/>
      </c>
      <c r="AQ1055" s="16" t="n"/>
      <c r="AR1055" s="17" t="n"/>
      <c r="AS1055" s="123" t="n"/>
    </row>
    <row r="1056" hidden="1" outlineLevel="1">
      <c r="A1056" s="8" t="n"/>
      <c r="B1056" s="14" t="n"/>
      <c r="C1056" s="123" t="n"/>
      <c r="D1056" s="123" t="n"/>
      <c r="E1056" s="123" t="n"/>
      <c r="F1056" s="123" t="n"/>
      <c r="G1056" s="123" t="n"/>
      <c r="I1056" s="132">
        <f>DADOS_INVOC!$QH$67</f>
        <v/>
      </c>
      <c r="J1056" s="16" t="n"/>
      <c r="K1056" s="16" t="n"/>
      <c r="L1056" s="16" t="n"/>
      <c r="M1056" s="17" t="n"/>
      <c r="N1056" s="123" t="n"/>
      <c r="O1056" s="132">
        <f>DADOS_INVOC!$QH$68</f>
        <v/>
      </c>
      <c r="P1056" s="16" t="n"/>
      <c r="Q1056" s="16" t="n"/>
      <c r="R1056" s="16" t="n"/>
      <c r="S1056" s="17" t="n"/>
      <c r="T1056" s="123" t="n"/>
      <c r="U1056" s="132">
        <f>DADOS_INVOC!$QH$69</f>
        <v/>
      </c>
      <c r="V1056" s="16" t="n"/>
      <c r="W1056" s="16" t="n"/>
      <c r="X1056" s="16" t="n"/>
      <c r="Y1056" s="17" t="n"/>
      <c r="Z1056" s="123" t="n"/>
      <c r="AB1056" s="132">
        <f>DADOS_INVOC!$QH$145</f>
        <v/>
      </c>
      <c r="AC1056" s="16" t="n"/>
      <c r="AD1056" s="16" t="n"/>
      <c r="AE1056" s="16" t="n"/>
      <c r="AF1056" s="17" t="n"/>
      <c r="AG1056" s="123" t="n"/>
      <c r="AH1056" s="132">
        <f>DADOS_INVOC!$QH$146</f>
        <v/>
      </c>
      <c r="AI1056" s="16" t="n"/>
      <c r="AJ1056" s="16" t="n"/>
      <c r="AK1056" s="16" t="n"/>
      <c r="AL1056" s="17" t="n"/>
      <c r="AM1056" s="123" t="n"/>
      <c r="AN1056" s="132">
        <f>DADOS_INVOC!$QH$147</f>
        <v/>
      </c>
      <c r="AO1056" s="16" t="n"/>
      <c r="AP1056" s="16" t="n"/>
      <c r="AQ1056" s="16" t="n"/>
      <c r="AR1056" s="17" t="n"/>
      <c r="AS1056" s="123" t="n"/>
    </row>
    <row r="1057" hidden="1" outlineLevel="2">
      <c r="A1057" s="8" t="n"/>
      <c r="B1057" s="14" t="n"/>
      <c r="C1057" s="123" t="n"/>
      <c r="D1057" s="123" t="n"/>
      <c r="E1057" s="123" t="n"/>
      <c r="F1057" s="123" t="n"/>
      <c r="G1057" s="123" t="n"/>
      <c r="I1057" s="55" t="inlineStr">
        <is>
          <t>MELHORIAS</t>
        </is>
      </c>
      <c r="J1057" s="133" t="n"/>
      <c r="K1057" s="16" t="n"/>
      <c r="L1057" s="17" t="n"/>
      <c r="M1057" s="132">
        <f>DADOS_INVOC!$QK$67</f>
        <v/>
      </c>
      <c r="N1057" s="123" t="n"/>
      <c r="O1057" s="55" t="inlineStr">
        <is>
          <t>MELHORIAS</t>
        </is>
      </c>
      <c r="P1057" s="133" t="n"/>
      <c r="Q1057" s="16" t="n"/>
      <c r="R1057" s="17" t="n"/>
      <c r="S1057" s="132">
        <f>DADOS_INVOC!$QK$68</f>
        <v/>
      </c>
      <c r="T1057" s="123" t="n"/>
      <c r="U1057" s="55" t="inlineStr">
        <is>
          <t>MELHORIAS</t>
        </is>
      </c>
      <c r="V1057" s="133" t="n"/>
      <c r="W1057" s="16" t="n"/>
      <c r="X1057" s="17" t="n"/>
      <c r="Y1057" s="132">
        <f>DADOS_INVOC!$QK$69</f>
        <v/>
      </c>
      <c r="Z1057" s="123" t="n"/>
      <c r="AB1057" s="55" t="inlineStr">
        <is>
          <t>MELHORIAS</t>
        </is>
      </c>
      <c r="AC1057" s="133" t="n"/>
      <c r="AD1057" s="16" t="n"/>
      <c r="AE1057" s="17" t="n"/>
      <c r="AF1057" s="132">
        <f>DADOS_INVOC!$QK$145</f>
        <v/>
      </c>
      <c r="AG1057" s="123" t="n"/>
      <c r="AH1057" s="55" t="inlineStr">
        <is>
          <t>MELHORIAS</t>
        </is>
      </c>
      <c r="AI1057" s="133" t="n"/>
      <c r="AJ1057" s="16" t="n"/>
      <c r="AK1057" s="17" t="n"/>
      <c r="AL1057" s="132">
        <f>DADOS_INVOC!$QK$146</f>
        <v/>
      </c>
      <c r="AM1057" s="123" t="n"/>
      <c r="AN1057" s="55" t="inlineStr">
        <is>
          <t>MELHORIAS</t>
        </is>
      </c>
      <c r="AO1057" s="133" t="n"/>
      <c r="AP1057" s="16" t="n"/>
      <c r="AQ1057" s="17" t="n"/>
      <c r="AR1057" s="132">
        <f>DADOS_INVOC!$QK$147</f>
        <v/>
      </c>
      <c r="AS1057" s="123" t="n"/>
    </row>
    <row r="1058" hidden="1" outlineLevel="2">
      <c r="A1058" s="8" t="n"/>
      <c r="B1058" s="14" t="n"/>
      <c r="C1058" s="123" t="n"/>
      <c r="D1058" s="123" t="n"/>
      <c r="E1058" s="123" t="n"/>
      <c r="F1058" s="123" t="n"/>
      <c r="G1058" s="123" t="n"/>
      <c r="I1058" s="134" t="n"/>
      <c r="J1058" s="133" t="n"/>
      <c r="K1058" s="16" t="n"/>
      <c r="L1058" s="17" t="n"/>
      <c r="M1058" s="132">
        <f>DADOS_INVOC!$QL$67</f>
        <v/>
      </c>
      <c r="N1058" s="123" t="n"/>
      <c r="O1058" s="134" t="n"/>
      <c r="P1058" s="133" t="n"/>
      <c r="Q1058" s="16" t="n"/>
      <c r="R1058" s="17" t="n"/>
      <c r="S1058" s="132">
        <f>DADOS_INVOC!$QL$68</f>
        <v/>
      </c>
      <c r="T1058" s="123" t="n"/>
      <c r="U1058" s="134" t="n"/>
      <c r="V1058" s="133" t="n"/>
      <c r="W1058" s="16" t="n"/>
      <c r="X1058" s="17" t="n"/>
      <c r="Y1058" s="132">
        <f>DADOS_INVOC!$QL$69</f>
        <v/>
      </c>
      <c r="Z1058" s="123" t="n"/>
      <c r="AB1058" s="134" t="n"/>
      <c r="AC1058" s="133" t="n"/>
      <c r="AD1058" s="16" t="n"/>
      <c r="AE1058" s="17" t="n"/>
      <c r="AF1058" s="132">
        <f>DADOS_INVOC!$QL$145</f>
        <v/>
      </c>
      <c r="AG1058" s="123" t="n"/>
      <c r="AH1058" s="134" t="n"/>
      <c r="AI1058" s="133" t="n"/>
      <c r="AJ1058" s="16" t="n"/>
      <c r="AK1058" s="17" t="n"/>
      <c r="AL1058" s="132">
        <f>DADOS_INVOC!$QL$146</f>
        <v/>
      </c>
      <c r="AM1058" s="123" t="n"/>
      <c r="AN1058" s="134" t="n"/>
      <c r="AO1058" s="133" t="n"/>
      <c r="AP1058" s="16" t="n"/>
      <c r="AQ1058" s="17" t="n"/>
      <c r="AR1058" s="132">
        <f>DADOS_INVOC!$QL$147</f>
        <v/>
      </c>
      <c r="AS1058" s="123" t="n"/>
    </row>
    <row r="1059" hidden="1" outlineLevel="2">
      <c r="A1059" s="8" t="n"/>
      <c r="B1059" s="14" t="n"/>
      <c r="C1059" s="123" t="n"/>
      <c r="D1059" s="123" t="n"/>
      <c r="E1059" s="123" t="n"/>
      <c r="F1059" s="123" t="n"/>
      <c r="G1059" s="123" t="n"/>
      <c r="I1059" s="134" t="n"/>
      <c r="J1059" s="133" t="n"/>
      <c r="K1059" s="16" t="n"/>
      <c r="L1059" s="17" t="n"/>
      <c r="M1059" s="132">
        <f>DADOS_INVOC!$QM$67</f>
        <v/>
      </c>
      <c r="N1059" s="123" t="n"/>
      <c r="O1059" s="134" t="n"/>
      <c r="P1059" s="133" t="n"/>
      <c r="Q1059" s="16" t="n"/>
      <c r="R1059" s="17" t="n"/>
      <c r="S1059" s="132">
        <f>DADOS_INVOC!$QM$68</f>
        <v/>
      </c>
      <c r="T1059" s="123" t="n"/>
      <c r="U1059" s="134" t="n"/>
      <c r="V1059" s="133" t="n"/>
      <c r="W1059" s="16" t="n"/>
      <c r="X1059" s="17" t="n"/>
      <c r="Y1059" s="132">
        <f>DADOS_INVOC!$QM$69</f>
        <v/>
      </c>
      <c r="Z1059" s="123" t="n"/>
      <c r="AB1059" s="134" t="n"/>
      <c r="AC1059" s="133" t="n"/>
      <c r="AD1059" s="16" t="n"/>
      <c r="AE1059" s="17" t="n"/>
      <c r="AF1059" s="132">
        <f>DADOS_INVOC!$QM$145</f>
        <v/>
      </c>
      <c r="AG1059" s="123" t="n"/>
      <c r="AH1059" s="134" t="n"/>
      <c r="AI1059" s="133" t="n"/>
      <c r="AJ1059" s="16" t="n"/>
      <c r="AK1059" s="17" t="n"/>
      <c r="AL1059" s="132">
        <f>DADOS_INVOC!$QM$146</f>
        <v/>
      </c>
      <c r="AM1059" s="123" t="n"/>
      <c r="AN1059" s="134" t="n"/>
      <c r="AO1059" s="133" t="n"/>
      <c r="AP1059" s="16" t="n"/>
      <c r="AQ1059" s="17" t="n"/>
      <c r="AR1059" s="132">
        <f>DADOS_INVOC!$QM$147</f>
        <v/>
      </c>
      <c r="AS1059" s="123" t="n"/>
    </row>
    <row r="1060" hidden="1" outlineLevel="2">
      <c r="A1060" s="8" t="n"/>
      <c r="B1060" s="14" t="n"/>
      <c r="C1060" s="123" t="n"/>
      <c r="D1060" s="123" t="n"/>
      <c r="E1060" s="123" t="n"/>
      <c r="F1060" s="123" t="n"/>
      <c r="G1060" s="123" t="n"/>
      <c r="I1060" s="128" t="n"/>
      <c r="J1060" s="133" t="n"/>
      <c r="K1060" s="16" t="n"/>
      <c r="L1060" s="17" t="n"/>
      <c r="M1060" s="132">
        <f>DADOS_INVOC!$QN$67</f>
        <v/>
      </c>
      <c r="N1060" s="123" t="n"/>
      <c r="O1060" s="128" t="n"/>
      <c r="P1060" s="133" t="n"/>
      <c r="Q1060" s="16" t="n"/>
      <c r="R1060" s="17" t="n"/>
      <c r="S1060" s="132">
        <f>DADOS_INVOC!$QN$68</f>
        <v/>
      </c>
      <c r="T1060" s="123" t="n"/>
      <c r="U1060" s="128" t="n"/>
      <c r="V1060" s="133" t="n"/>
      <c r="W1060" s="16" t="n"/>
      <c r="X1060" s="17" t="n"/>
      <c r="Y1060" s="132">
        <f>DADOS_INVOC!$QN$69</f>
        <v/>
      </c>
      <c r="Z1060" s="123" t="n"/>
      <c r="AB1060" s="128" t="n"/>
      <c r="AC1060" s="133" t="n"/>
      <c r="AD1060" s="16" t="n"/>
      <c r="AE1060" s="17" t="n"/>
      <c r="AF1060" s="132">
        <f>DADOS_INVOC!$QN$145</f>
        <v/>
      </c>
      <c r="AG1060" s="123" t="n"/>
      <c r="AH1060" s="128" t="n"/>
      <c r="AI1060" s="133" t="n"/>
      <c r="AJ1060" s="16" t="n"/>
      <c r="AK1060" s="17" t="n"/>
      <c r="AL1060" s="132">
        <f>DADOS_INVOC!$QN$146</f>
        <v/>
      </c>
      <c r="AM1060" s="123" t="n"/>
      <c r="AN1060" s="128" t="n"/>
      <c r="AO1060" s="133" t="n"/>
      <c r="AP1060" s="16" t="n"/>
      <c r="AQ1060" s="17" t="n"/>
      <c r="AR1060" s="132">
        <f>DADOS_INVOC!$QN$147</f>
        <v/>
      </c>
      <c r="AS1060" s="123" t="n"/>
    </row>
    <row r="1061" hidden="1" outlineLevel="2">
      <c r="A1061" s="8" t="n"/>
      <c r="B1061" s="14" t="n"/>
      <c r="C1061" s="123" t="n"/>
      <c r="D1061" s="123" t="n"/>
      <c r="E1061" s="123" t="n"/>
      <c r="F1061" s="123" t="n"/>
      <c r="G1061" s="123" t="n"/>
      <c r="I1061" s="55" t="inlineStr">
        <is>
          <t>RESTRIÇÕES</t>
        </is>
      </c>
      <c r="J1061" s="133" t="n"/>
      <c r="K1061" s="16" t="n"/>
      <c r="L1061" s="17" t="n"/>
      <c r="M1061" s="132">
        <f>DADOS_INVOC!$QO$67</f>
        <v/>
      </c>
      <c r="N1061" s="123" t="n"/>
      <c r="O1061" s="55" t="inlineStr">
        <is>
          <t>RESTRIÇÕES</t>
        </is>
      </c>
      <c r="P1061" s="133" t="n"/>
      <c r="Q1061" s="16" t="n"/>
      <c r="R1061" s="17" t="n"/>
      <c r="S1061" s="132">
        <f>DADOS_INVOC!$QO$68</f>
        <v/>
      </c>
      <c r="T1061" s="123" t="n"/>
      <c r="U1061" s="55" t="inlineStr">
        <is>
          <t>RESTRIÇÕES</t>
        </is>
      </c>
      <c r="V1061" s="133" t="n"/>
      <c r="W1061" s="16" t="n"/>
      <c r="X1061" s="17" t="n"/>
      <c r="Y1061" s="132">
        <f>DADOS_INVOC!$QO$69</f>
        <v/>
      </c>
      <c r="Z1061" s="123" t="n"/>
      <c r="AB1061" s="55" t="inlineStr">
        <is>
          <t>RESTRIÇÕES</t>
        </is>
      </c>
      <c r="AC1061" s="133" t="n"/>
      <c r="AD1061" s="16" t="n"/>
      <c r="AE1061" s="17" t="n"/>
      <c r="AF1061" s="132">
        <f>DADOS_INVOC!$QO$145</f>
        <v/>
      </c>
      <c r="AG1061" s="123" t="n"/>
      <c r="AH1061" s="55" t="inlineStr">
        <is>
          <t>RESTRIÇÕES</t>
        </is>
      </c>
      <c r="AI1061" s="133" t="n"/>
      <c r="AJ1061" s="16" t="n"/>
      <c r="AK1061" s="17" t="n"/>
      <c r="AL1061" s="132">
        <f>DADOS_INVOC!$QO$146</f>
        <v/>
      </c>
      <c r="AM1061" s="123" t="n"/>
      <c r="AN1061" s="55" t="inlineStr">
        <is>
          <t>RESTRIÇÕES</t>
        </is>
      </c>
      <c r="AO1061" s="133" t="n"/>
      <c r="AP1061" s="16" t="n"/>
      <c r="AQ1061" s="17" t="n"/>
      <c r="AR1061" s="132">
        <f>DADOS_INVOC!$QO$147</f>
        <v/>
      </c>
      <c r="AS1061" s="123" t="n"/>
    </row>
    <row r="1062" hidden="1" outlineLevel="2">
      <c r="A1062" s="8" t="n"/>
      <c r="B1062" s="14" t="n"/>
      <c r="C1062" s="123" t="n"/>
      <c r="D1062" s="123" t="n"/>
      <c r="E1062" s="123" t="n"/>
      <c r="F1062" s="123" t="n"/>
      <c r="G1062" s="123" t="n"/>
      <c r="I1062" s="128" t="n"/>
      <c r="J1062" s="133" t="n"/>
      <c r="K1062" s="16" t="n"/>
      <c r="L1062" s="17" t="n"/>
      <c r="M1062" s="132">
        <f>DADOS_INVOC!$QP$67</f>
        <v/>
      </c>
      <c r="N1062" s="123" t="n"/>
      <c r="O1062" s="128" t="n"/>
      <c r="P1062" s="133" t="n"/>
      <c r="Q1062" s="16" t="n"/>
      <c r="R1062" s="17" t="n"/>
      <c r="S1062" s="132">
        <f>DADOS_INVOC!$QP$68</f>
        <v/>
      </c>
      <c r="T1062" s="123" t="n"/>
      <c r="U1062" s="128" t="n"/>
      <c r="V1062" s="133" t="n"/>
      <c r="W1062" s="16" t="n"/>
      <c r="X1062" s="17" t="n"/>
      <c r="Y1062" s="132">
        <f>DADOS_INVOC!$QP$69</f>
        <v/>
      </c>
      <c r="Z1062" s="123" t="n"/>
      <c r="AB1062" s="128" t="n"/>
      <c r="AC1062" s="133" t="n"/>
      <c r="AD1062" s="16" t="n"/>
      <c r="AE1062" s="17" t="n"/>
      <c r="AF1062" s="132">
        <f>DADOS_INVOC!$QP$145</f>
        <v/>
      </c>
      <c r="AG1062" s="123" t="n"/>
      <c r="AH1062" s="128" t="n"/>
      <c r="AI1062" s="133" t="n"/>
      <c r="AJ1062" s="16" t="n"/>
      <c r="AK1062" s="17" t="n"/>
      <c r="AL1062" s="132">
        <f>DADOS_INVOC!$QP$146</f>
        <v/>
      </c>
      <c r="AM1062" s="123" t="n"/>
      <c r="AN1062" s="128" t="n"/>
      <c r="AO1062" s="133" t="n"/>
      <c r="AP1062" s="16" t="n"/>
      <c r="AQ1062" s="17" t="n"/>
      <c r="AR1062" s="132">
        <f>DADOS_INVOC!$QP$147</f>
        <v/>
      </c>
      <c r="AS1062" s="123" t="n"/>
    </row>
    <row r="1063" hidden="1" outlineLevel="2">
      <c r="A1063" s="8" t="n"/>
      <c r="B1063" s="14" t="n"/>
      <c r="C1063" s="123" t="n"/>
      <c r="D1063" s="123" t="n"/>
      <c r="E1063" s="123" t="n"/>
      <c r="F1063" s="123" t="n"/>
      <c r="G1063" s="123" t="n"/>
      <c r="I1063" s="55" t="inlineStr">
        <is>
          <t>CONTA</t>
        </is>
      </c>
      <c r="J1063" s="135">
        <f>DADOS_INVOC!$QI$67</f>
        <v/>
      </c>
      <c r="K1063" s="16" t="n"/>
      <c r="L1063" s="16" t="n"/>
      <c r="M1063" s="17" t="n"/>
      <c r="N1063" s="123" t="n"/>
      <c r="O1063" s="55" t="inlineStr">
        <is>
          <t>CONTA</t>
        </is>
      </c>
      <c r="P1063" s="135">
        <f>DADOS_INVOC!$QI$68</f>
        <v/>
      </c>
      <c r="Q1063" s="16" t="n"/>
      <c r="R1063" s="16" t="n"/>
      <c r="S1063" s="17" t="n"/>
      <c r="T1063" s="123" t="n"/>
      <c r="U1063" s="55" t="inlineStr">
        <is>
          <t>CONTA</t>
        </is>
      </c>
      <c r="V1063" s="135">
        <f>DADOS_INVOC!$QI$69</f>
        <v/>
      </c>
      <c r="W1063" s="16" t="n"/>
      <c r="X1063" s="16" t="n"/>
      <c r="Y1063" s="17" t="n"/>
      <c r="Z1063" s="123" t="n"/>
      <c r="AB1063" s="55" t="inlineStr">
        <is>
          <t>CONTA</t>
        </is>
      </c>
      <c r="AC1063" s="135">
        <f>DADOS_INVOC!$QI$145</f>
        <v/>
      </c>
      <c r="AD1063" s="16" t="n"/>
      <c r="AE1063" s="16" t="n"/>
      <c r="AF1063" s="17" t="n"/>
      <c r="AG1063" s="123" t="n"/>
      <c r="AH1063" s="55" t="inlineStr">
        <is>
          <t>CONTA</t>
        </is>
      </c>
      <c r="AI1063" s="135">
        <f>DADOS_INVOC!$QI$146</f>
        <v/>
      </c>
      <c r="AJ1063" s="16" t="n"/>
      <c r="AK1063" s="16" t="n"/>
      <c r="AL1063" s="17" t="n"/>
      <c r="AM1063" s="123" t="n"/>
      <c r="AN1063" s="55" t="inlineStr">
        <is>
          <t>CONTA</t>
        </is>
      </c>
      <c r="AO1063" s="135">
        <f>DADOS_INVOC!$QI$147</f>
        <v/>
      </c>
      <c r="AP1063" s="16" t="n"/>
      <c r="AQ1063" s="16" t="n"/>
      <c r="AR1063" s="17" t="n"/>
      <c r="AS1063" s="123" t="n"/>
    </row>
    <row r="1064" hidden="1" outlineLevel="2">
      <c r="A1064" s="8" t="n"/>
      <c r="B1064" s="14" t="n"/>
      <c r="C1064" s="123" t="n"/>
      <c r="D1064" s="123" t="n"/>
      <c r="E1064" s="123" t="n"/>
      <c r="F1064" s="123" t="n"/>
      <c r="G1064" s="123" t="n"/>
      <c r="I1064" s="55" t="inlineStr">
        <is>
          <t>AMPLIAR</t>
        </is>
      </c>
      <c r="J1064" s="135">
        <f>DADOS_INVOC!$QJ$67</f>
        <v/>
      </c>
      <c r="K1064" s="19" t="n"/>
      <c r="L1064" s="19" t="n"/>
      <c r="M1064" s="20" t="n"/>
      <c r="N1064" s="123" t="n"/>
      <c r="O1064" s="55" t="inlineStr">
        <is>
          <t>AMPLIAR</t>
        </is>
      </c>
      <c r="P1064" s="135">
        <f>DADOS_INVOC!$QJ$68</f>
        <v/>
      </c>
      <c r="Q1064" s="19" t="n"/>
      <c r="R1064" s="19" t="n"/>
      <c r="S1064" s="20" t="n"/>
      <c r="T1064" s="123" t="n"/>
      <c r="U1064" s="55" t="inlineStr">
        <is>
          <t>AMPLIAR</t>
        </is>
      </c>
      <c r="V1064" s="135">
        <f>DADOS_INVOC!$QJ$69</f>
        <v/>
      </c>
      <c r="W1064" s="19" t="n"/>
      <c r="X1064" s="19" t="n"/>
      <c r="Y1064" s="20" t="n"/>
      <c r="Z1064" s="123" t="n"/>
      <c r="AB1064" s="55" t="inlineStr">
        <is>
          <t>AMPLIAR</t>
        </is>
      </c>
      <c r="AC1064" s="135">
        <f>DADOS_INVOC!$QJ$145</f>
        <v/>
      </c>
      <c r="AD1064" s="19" t="n"/>
      <c r="AE1064" s="19" t="n"/>
      <c r="AF1064" s="20" t="n"/>
      <c r="AG1064" s="123" t="n"/>
      <c r="AH1064" s="55" t="inlineStr">
        <is>
          <t>AMPLIAR</t>
        </is>
      </c>
      <c r="AI1064" s="135">
        <f>DADOS_INVOC!$QJ$146</f>
        <v/>
      </c>
      <c r="AJ1064" s="19" t="n"/>
      <c r="AK1064" s="19" t="n"/>
      <c r="AL1064" s="20" t="n"/>
      <c r="AM1064" s="123" t="n"/>
      <c r="AN1064" s="55" t="inlineStr">
        <is>
          <t>AMPLIAR</t>
        </is>
      </c>
      <c r="AO1064" s="135">
        <f>DADOS_INVOC!$QJ$147</f>
        <v/>
      </c>
      <c r="AP1064" s="19" t="n"/>
      <c r="AQ1064" s="19" t="n"/>
      <c r="AR1064" s="20" t="n"/>
      <c r="AS1064" s="123" t="n"/>
    </row>
    <row r="1065" hidden="1" outlineLevel="2">
      <c r="A1065" s="8" t="n"/>
      <c r="B1065" s="14" t="n"/>
      <c r="C1065" s="123" t="n"/>
      <c r="D1065" s="123" t="n"/>
      <c r="E1065" s="123" t="n"/>
      <c r="F1065" s="123" t="n"/>
      <c r="G1065" s="123" t="n"/>
      <c r="I1065" s="128" t="n"/>
      <c r="J1065" s="23" t="n"/>
      <c r="K1065" s="24" t="n"/>
      <c r="L1065" s="24" t="n"/>
      <c r="M1065" s="25" t="n"/>
      <c r="N1065" s="123" t="n"/>
      <c r="O1065" s="128" t="n"/>
      <c r="P1065" s="23" t="n"/>
      <c r="Q1065" s="24" t="n"/>
      <c r="R1065" s="24" t="n"/>
      <c r="S1065" s="25" t="n"/>
      <c r="T1065" s="123" t="n"/>
      <c r="U1065" s="128" t="n"/>
      <c r="V1065" s="23" t="n"/>
      <c r="W1065" s="24" t="n"/>
      <c r="X1065" s="24" t="n"/>
      <c r="Y1065" s="25" t="n"/>
      <c r="Z1065" s="123" t="n"/>
      <c r="AB1065" s="128" t="n"/>
      <c r="AC1065" s="23" t="n"/>
      <c r="AD1065" s="24" t="n"/>
      <c r="AE1065" s="24" t="n"/>
      <c r="AF1065" s="25" t="n"/>
      <c r="AG1065" s="123" t="n"/>
      <c r="AH1065" s="128" t="n"/>
      <c r="AI1065" s="23" t="n"/>
      <c r="AJ1065" s="24" t="n"/>
      <c r="AK1065" s="24" t="n"/>
      <c r="AL1065" s="25" t="n"/>
      <c r="AM1065" s="123" t="n"/>
      <c r="AN1065" s="128" t="n"/>
      <c r="AO1065" s="23" t="n"/>
      <c r="AP1065" s="24" t="n"/>
      <c r="AQ1065" s="24" t="n"/>
      <c r="AR1065" s="25" t="n"/>
      <c r="AS1065" s="123" t="n"/>
    </row>
    <row r="1066" hidden="1" outlineLevel="2">
      <c r="A1066" s="8" t="n"/>
      <c r="B1066" s="14" t="n"/>
      <c r="C1066" s="123" t="n"/>
      <c r="D1066" s="123" t="n"/>
      <c r="E1066" s="123" t="n"/>
      <c r="F1066" s="123" t="n"/>
      <c r="G1066" s="123" t="n"/>
      <c r="I1066" s="135">
        <f>DADOS_INVOC!$PW$67</f>
        <v/>
      </c>
      <c r="J1066" s="19" t="n"/>
      <c r="K1066" s="19" t="n"/>
      <c r="L1066" s="19" t="n"/>
      <c r="M1066" s="20" t="n"/>
      <c r="N1066" s="123" t="n"/>
      <c r="O1066" s="135">
        <f>DADOS_INVOC!$PW$68</f>
        <v/>
      </c>
      <c r="P1066" s="19" t="n"/>
      <c r="Q1066" s="19" t="n"/>
      <c r="R1066" s="19" t="n"/>
      <c r="S1066" s="20" t="n"/>
      <c r="T1066" s="123" t="n"/>
      <c r="U1066" s="135">
        <f>DADOS_INVOC!$PW$69</f>
        <v/>
      </c>
      <c r="V1066" s="19" t="n"/>
      <c r="W1066" s="19" t="n"/>
      <c r="X1066" s="19" t="n"/>
      <c r="Y1066" s="20" t="n"/>
      <c r="Z1066" s="123" t="n"/>
      <c r="AB1066" s="135">
        <f>DADOS_INVOC!$PW$145</f>
        <v/>
      </c>
      <c r="AC1066" s="19" t="n"/>
      <c r="AD1066" s="19" t="n"/>
      <c r="AE1066" s="19" t="n"/>
      <c r="AF1066" s="20" t="n"/>
      <c r="AG1066" s="123" t="n"/>
      <c r="AH1066" s="135">
        <f>DADOS_INVOC!$PW$146</f>
        <v/>
      </c>
      <c r="AI1066" s="19" t="n"/>
      <c r="AJ1066" s="19" t="n"/>
      <c r="AK1066" s="19" t="n"/>
      <c r="AL1066" s="20" t="n"/>
      <c r="AM1066" s="123" t="n"/>
      <c r="AN1066" s="135">
        <f>DADOS_INVOC!$PW$147</f>
        <v/>
      </c>
      <c r="AO1066" s="19" t="n"/>
      <c r="AP1066" s="19" t="n"/>
      <c r="AQ1066" s="19" t="n"/>
      <c r="AR1066" s="20" t="n"/>
      <c r="AS1066" s="123" t="n"/>
    </row>
    <row r="1067" hidden="1" outlineLevel="2">
      <c r="A1067" s="8" t="n"/>
      <c r="B1067" s="14" t="n"/>
      <c r="C1067" s="123" t="n"/>
      <c r="D1067" s="123" t="n"/>
      <c r="E1067" s="123" t="n"/>
      <c r="F1067" s="123" t="n"/>
      <c r="G1067" s="123" t="n"/>
      <c r="I1067" s="23" t="n"/>
      <c r="J1067" s="24" t="n"/>
      <c r="K1067" s="24" t="n"/>
      <c r="L1067" s="24" t="n"/>
      <c r="M1067" s="25" t="n"/>
      <c r="N1067" s="123" t="n"/>
      <c r="O1067" s="23" t="n"/>
      <c r="P1067" s="24" t="n"/>
      <c r="Q1067" s="24" t="n"/>
      <c r="R1067" s="24" t="n"/>
      <c r="S1067" s="25" t="n"/>
      <c r="T1067" s="123" t="n"/>
      <c r="U1067" s="23" t="n"/>
      <c r="V1067" s="24" t="n"/>
      <c r="W1067" s="24" t="n"/>
      <c r="X1067" s="24" t="n"/>
      <c r="Y1067" s="25" t="n"/>
      <c r="Z1067" s="123" t="n"/>
      <c r="AB1067" s="23" t="n"/>
      <c r="AC1067" s="24" t="n"/>
      <c r="AD1067" s="24" t="n"/>
      <c r="AE1067" s="24" t="n"/>
      <c r="AF1067" s="25" t="n"/>
      <c r="AG1067" s="123" t="n"/>
      <c r="AH1067" s="23" t="n"/>
      <c r="AI1067" s="24" t="n"/>
      <c r="AJ1067" s="24" t="n"/>
      <c r="AK1067" s="24" t="n"/>
      <c r="AL1067" s="25" t="n"/>
      <c r="AM1067" s="123" t="n"/>
      <c r="AN1067" s="23" t="n"/>
      <c r="AO1067" s="24" t="n"/>
      <c r="AP1067" s="24" t="n"/>
      <c r="AQ1067" s="24" t="n"/>
      <c r="AR1067" s="25" t="n"/>
      <c r="AS1067" s="123" t="n"/>
    </row>
    <row r="1068" hidden="1" outlineLevel="1">
      <c r="A1068" s="8" t="n"/>
      <c r="B1068" s="14" t="n"/>
      <c r="C1068" s="123" t="n"/>
      <c r="D1068" s="123" t="n"/>
      <c r="E1068" s="123" t="n"/>
      <c r="F1068" s="123" t="n"/>
      <c r="G1068" s="123" t="n"/>
      <c r="I1068" s="123" t="n"/>
      <c r="J1068" s="123" t="n"/>
      <c r="K1068" s="123" t="n"/>
      <c r="L1068" s="123" t="n"/>
      <c r="M1068" s="123" t="n"/>
      <c r="N1068" s="123" t="n"/>
      <c r="O1068" s="123" t="n"/>
      <c r="P1068" s="123" t="n"/>
      <c r="Q1068" s="123" t="n"/>
      <c r="R1068" s="123" t="n"/>
      <c r="S1068" s="123" t="n"/>
      <c r="T1068" s="123" t="n"/>
      <c r="U1068" s="123" t="n"/>
      <c r="V1068" s="123" t="n"/>
      <c r="W1068" s="123" t="n"/>
      <c r="X1068" s="123" t="n"/>
      <c r="Y1068" s="123" t="n"/>
      <c r="Z1068" s="123" t="n"/>
      <c r="AB1068" s="123" t="n"/>
      <c r="AC1068" s="123" t="n"/>
      <c r="AD1068" s="123" t="n"/>
      <c r="AE1068" s="123" t="n"/>
      <c r="AF1068" s="123" t="n"/>
      <c r="AG1068" s="123" t="n"/>
      <c r="AH1068" s="123" t="n"/>
      <c r="AI1068" s="123" t="n"/>
      <c r="AJ1068" s="123" t="n"/>
      <c r="AK1068" s="123" t="n"/>
      <c r="AL1068" s="123" t="n"/>
      <c r="AM1068" s="123" t="n"/>
      <c r="AN1068" s="123" t="n"/>
      <c r="AO1068" s="123" t="n"/>
      <c r="AP1068" s="123" t="n"/>
      <c r="AQ1068" s="123" t="n"/>
      <c r="AR1068" s="123" t="n"/>
      <c r="AS1068" s="123" t="n"/>
    </row>
    <row r="1069" hidden="1" outlineLevel="1">
      <c r="A1069" s="8" t="n"/>
      <c r="B1069" s="14" t="n"/>
      <c r="C1069" s="123" t="n"/>
      <c r="D1069" s="123" t="n"/>
      <c r="E1069" s="123" t="n"/>
      <c r="F1069" s="123" t="n"/>
      <c r="G1069" s="123" t="n"/>
      <c r="I1069" s="55">
        <f>DADOS_INVOC!$ID$7</f>
        <v/>
      </c>
      <c r="J1069" s="16" t="n"/>
      <c r="K1069" s="16" t="n"/>
      <c r="L1069" s="16" t="n"/>
      <c r="M1069" s="16" t="n"/>
      <c r="N1069" s="16" t="n"/>
      <c r="O1069" s="16" t="n"/>
      <c r="P1069" s="16" t="n"/>
      <c r="Q1069" s="16" t="n"/>
      <c r="R1069" s="16" t="n"/>
      <c r="S1069" s="16" t="n"/>
      <c r="T1069" s="16" t="n"/>
      <c r="U1069" s="16" t="n"/>
      <c r="V1069" s="16" t="n"/>
      <c r="W1069" s="16" t="n"/>
      <c r="X1069" s="16" t="n"/>
      <c r="Y1069" s="17" t="n"/>
      <c r="Z1069" s="123" t="n"/>
      <c r="AB1069" s="55">
        <f>DADOS_INVOC!$ID$13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23" t="n"/>
    </row>
    <row r="1070" hidden="1" outlineLevel="1">
      <c r="A1070" s="8" t="n"/>
      <c r="B1070" s="14" t="n"/>
      <c r="C1070" s="123" t="n"/>
      <c r="D1070" s="123" t="n"/>
      <c r="E1070" s="123" t="n"/>
      <c r="F1070" s="123" t="n"/>
      <c r="G1070" s="123" t="n"/>
      <c r="I1070" s="55" t="inlineStr">
        <is>
          <t>NV 1 · CE 1</t>
        </is>
      </c>
      <c r="J1070" s="133" t="n"/>
      <c r="K1070" s="16" t="n"/>
      <c r="L1070" s="17" t="n"/>
      <c r="M1070" s="140">
        <f>DADOS_INVOC!$IM$7</f>
        <v/>
      </c>
      <c r="N1070" s="16" t="n"/>
      <c r="O1070" s="16" t="n"/>
      <c r="P1070" s="16" t="n"/>
      <c r="Q1070" s="16" t="n"/>
      <c r="R1070" s="16" t="n"/>
      <c r="S1070" s="16" t="n"/>
      <c r="T1070" s="16" t="n"/>
      <c r="U1070" s="16" t="n"/>
      <c r="V1070" s="16" t="n"/>
      <c r="W1070" s="16" t="n"/>
      <c r="X1070" s="16" t="n"/>
      <c r="Y1070" s="17" t="n"/>
      <c r="Z1070" s="123" t="n"/>
      <c r="AB1070" s="55" t="inlineStr">
        <is>
          <t>NV 1 · CE 1</t>
        </is>
      </c>
      <c r="AC1070" s="133" t="n"/>
      <c r="AD1070" s="16" t="n"/>
      <c r="AE1070" s="17" t="n"/>
      <c r="AF1070" s="140">
        <f>DADOS_INVOC!$IM$13</f>
        <v/>
      </c>
      <c r="AG1070" s="16" t="n"/>
      <c r="AH1070" s="16" t="n"/>
      <c r="AI1070" s="16" t="n"/>
      <c r="AJ1070" s="16" t="n"/>
      <c r="AK1070" s="16" t="n"/>
      <c r="AL1070" s="16" t="n"/>
      <c r="AM1070" s="16" t="n"/>
      <c r="AN1070" s="16" t="n"/>
      <c r="AO1070" s="16" t="n"/>
      <c r="AP1070" s="16" t="n"/>
      <c r="AQ1070" s="16" t="n"/>
      <c r="AR1070" s="17" t="n"/>
      <c r="AS1070" s="123" t="n"/>
    </row>
    <row r="1071" hidden="1" outlineLevel="1">
      <c r="A1071" s="8" t="n"/>
      <c r="B1071" s="14" t="n"/>
      <c r="C1071" s="123" t="n"/>
      <c r="D1071" s="123" t="n"/>
      <c r="E1071" s="123" t="n"/>
      <c r="F1071" s="123" t="n"/>
      <c r="G1071" s="123" t="n"/>
      <c r="I1071" s="55" t="inlineStr">
        <is>
          <t>NV 6 · CE 1</t>
        </is>
      </c>
      <c r="J1071" s="133" t="n"/>
      <c r="K1071" s="16" t="n"/>
      <c r="L1071" s="17" t="n"/>
      <c r="M1071" s="140">
        <f>DADOS_INVOC!$IN$7</f>
        <v/>
      </c>
      <c r="N1071" s="16" t="n"/>
      <c r="O1071" s="16" t="n"/>
      <c r="P1071" s="16" t="n"/>
      <c r="Q1071" s="16" t="n"/>
      <c r="R1071" s="16" t="n"/>
      <c r="S1071" s="16" t="n"/>
      <c r="T1071" s="16" t="n"/>
      <c r="U1071" s="16" t="n"/>
      <c r="V1071" s="16" t="n"/>
      <c r="W1071" s="16" t="n"/>
      <c r="X1071" s="16" t="n"/>
      <c r="Y1071" s="17" t="n"/>
      <c r="Z1071" s="123" t="n"/>
      <c r="AB1071" s="55" t="inlineStr">
        <is>
          <t>NV 6 · CE 1</t>
        </is>
      </c>
      <c r="AC1071" s="133" t="n"/>
      <c r="AD1071" s="16" t="n"/>
      <c r="AE1071" s="17" t="n"/>
      <c r="AF1071" s="140">
        <f>DADOS_INVOC!$IN$13</f>
        <v/>
      </c>
      <c r="AG1071" s="16" t="n"/>
      <c r="AH1071" s="16" t="n"/>
      <c r="AI1071" s="16" t="n"/>
      <c r="AJ1071" s="16" t="n"/>
      <c r="AK1071" s="16" t="n"/>
      <c r="AL1071" s="16" t="n"/>
      <c r="AM1071" s="16" t="n"/>
      <c r="AN1071" s="16" t="n"/>
      <c r="AO1071" s="16" t="n"/>
      <c r="AP1071" s="16" t="n"/>
      <c r="AQ1071" s="16" t="n"/>
      <c r="AR1071" s="17" t="n"/>
      <c r="AS1071" s="123" t="n"/>
    </row>
    <row r="1072" hidden="1" outlineLevel="1">
      <c r="A1072" s="8" t="n"/>
      <c r="B1072" s="14" t="n"/>
      <c r="C1072" s="123" t="n"/>
      <c r="D1072" s="123" t="n"/>
      <c r="E1072" s="123" t="n"/>
      <c r="F1072" s="123" t="n"/>
      <c r="G1072" s="123" t="n"/>
      <c r="I1072" s="55" t="inlineStr">
        <is>
          <t>NV 10 · CE 2</t>
        </is>
      </c>
      <c r="J1072" s="133" t="n"/>
      <c r="K1072" s="16" t="n"/>
      <c r="L1072" s="17" t="n"/>
      <c r="M1072" s="140">
        <f>DADOS_INVOC!$IO$7</f>
        <v/>
      </c>
      <c r="N1072" s="16" t="n"/>
      <c r="O1072" s="16" t="n"/>
      <c r="P1072" s="16" t="n"/>
      <c r="Q1072" s="16" t="n"/>
      <c r="R1072" s="16" t="n"/>
      <c r="S1072" s="16" t="n"/>
      <c r="T1072" s="16" t="n"/>
      <c r="U1072" s="16" t="n"/>
      <c r="V1072" s="16" t="n"/>
      <c r="W1072" s="16" t="n"/>
      <c r="X1072" s="16" t="n"/>
      <c r="Y1072" s="17" t="n"/>
      <c r="Z1072" s="123" t="n"/>
      <c r="AB1072" s="55" t="inlineStr">
        <is>
          <t>NV 10 · CE 2</t>
        </is>
      </c>
      <c r="AC1072" s="133" t="n"/>
      <c r="AD1072" s="16" t="n"/>
      <c r="AE1072" s="17" t="n"/>
      <c r="AF1072" s="140">
        <f>DADOS_INVOC!$IO$13</f>
        <v/>
      </c>
      <c r="AG1072" s="16" t="n"/>
      <c r="AH1072" s="16" t="n"/>
      <c r="AI1072" s="16" t="n"/>
      <c r="AJ1072" s="16" t="n"/>
      <c r="AK1072" s="16" t="n"/>
      <c r="AL1072" s="16" t="n"/>
      <c r="AM1072" s="16" t="n"/>
      <c r="AN1072" s="16" t="n"/>
      <c r="AO1072" s="16" t="n"/>
      <c r="AP1072" s="16" t="n"/>
      <c r="AQ1072" s="16" t="n"/>
      <c r="AR1072" s="17" t="n"/>
      <c r="AS1072" s="123" t="n"/>
    </row>
    <row r="1073" hidden="1" outlineLevel="1">
      <c r="A1073" s="8" t="n"/>
      <c r="B1073" s="14" t="n"/>
      <c r="C1073" s="123" t="n"/>
      <c r="D1073" s="123" t="n"/>
      <c r="E1073" s="123" t="n"/>
      <c r="F1073" s="123" t="n"/>
      <c r="G1073" s="123" t="n"/>
      <c r="I1073" s="55" t="inlineStr">
        <is>
          <t>NV 14 · CE 3</t>
        </is>
      </c>
      <c r="J1073" s="133" t="n"/>
      <c r="K1073" s="16" t="n"/>
      <c r="L1073" s="17" t="n"/>
      <c r="M1073" s="140">
        <f>DADOS_INVOC!$IP$7</f>
        <v/>
      </c>
      <c r="N1073" s="16" t="n"/>
      <c r="O1073" s="16" t="n"/>
      <c r="P1073" s="16" t="n"/>
      <c r="Q1073" s="16" t="n"/>
      <c r="R1073" s="16" t="n"/>
      <c r="S1073" s="16" t="n"/>
      <c r="T1073" s="16" t="n"/>
      <c r="U1073" s="16" t="n"/>
      <c r="V1073" s="16" t="n"/>
      <c r="W1073" s="16" t="n"/>
      <c r="X1073" s="16" t="n"/>
      <c r="Y1073" s="17" t="n"/>
      <c r="Z1073" s="123" t="n"/>
      <c r="AB1073" s="55" t="inlineStr">
        <is>
          <t>NV 14 · CE 3</t>
        </is>
      </c>
      <c r="AC1073" s="133" t="n"/>
      <c r="AD1073" s="16" t="n"/>
      <c r="AE1073" s="17" t="n"/>
      <c r="AF1073" s="140">
        <f>DADOS_INVOC!$IP$13</f>
        <v/>
      </c>
      <c r="AG1073" s="16" t="n"/>
      <c r="AH1073" s="16" t="n"/>
      <c r="AI1073" s="16" t="n"/>
      <c r="AJ1073" s="16" t="n"/>
      <c r="AK1073" s="16" t="n"/>
      <c r="AL1073" s="16" t="n"/>
      <c r="AM1073" s="16" t="n"/>
      <c r="AN1073" s="16" t="n"/>
      <c r="AO1073" s="16" t="n"/>
      <c r="AP1073" s="16" t="n"/>
      <c r="AQ1073" s="16" t="n"/>
      <c r="AR1073" s="17" t="n"/>
      <c r="AS1073" s="123" t="n"/>
    </row>
    <row r="1074" hidden="1" outlineLevel="1">
      <c r="A1074" s="8" t="n"/>
      <c r="B1074" s="14" t="n"/>
      <c r="C1074" s="123" t="n"/>
      <c r="D1074" s="123" t="n"/>
      <c r="E1074" s="123" t="n"/>
      <c r="F1074" s="123" t="n"/>
      <c r="G1074" s="123" t="n"/>
      <c r="I1074" s="55" t="inlineStr">
        <is>
          <t>NV 18 · CE 3</t>
        </is>
      </c>
      <c r="J1074" s="133" t="n"/>
      <c r="K1074" s="16" t="n"/>
      <c r="L1074" s="17" t="n"/>
      <c r="M1074" s="140">
        <f>DADOS_INVOC!$IQ$7</f>
        <v/>
      </c>
      <c r="N1074" s="16" t="n"/>
      <c r="O1074" s="16" t="n"/>
      <c r="P1074" s="16" t="n"/>
      <c r="Q1074" s="16" t="n"/>
      <c r="R1074" s="16" t="n"/>
      <c r="S1074" s="16" t="n"/>
      <c r="T1074" s="16" t="n"/>
      <c r="U1074" s="16" t="n"/>
      <c r="V1074" s="16" t="n"/>
      <c r="W1074" s="16" t="n"/>
      <c r="X1074" s="16" t="n"/>
      <c r="Y1074" s="17" t="n"/>
      <c r="Z1074" s="123" t="n"/>
      <c r="AB1074" s="55" t="inlineStr">
        <is>
          <t>NV 18 · CE 3</t>
        </is>
      </c>
      <c r="AC1074" s="133" t="n"/>
      <c r="AD1074" s="16" t="n"/>
      <c r="AE1074" s="17" t="n"/>
      <c r="AF1074" s="140">
        <f>DADOS_INVOC!$IQ$13</f>
        <v/>
      </c>
      <c r="AG1074" s="16" t="n"/>
      <c r="AH1074" s="16" t="n"/>
      <c r="AI1074" s="16" t="n"/>
      <c r="AJ1074" s="16" t="n"/>
      <c r="AK1074" s="16" t="n"/>
      <c r="AL1074" s="16" t="n"/>
      <c r="AM1074" s="16" t="n"/>
      <c r="AN1074" s="16" t="n"/>
      <c r="AO1074" s="16" t="n"/>
      <c r="AP1074" s="16" t="n"/>
      <c r="AQ1074" s="16" t="n"/>
      <c r="AR1074" s="17" t="n"/>
      <c r="AS1074" s="123" t="n"/>
    </row>
    <row r="1075" hidden="1" outlineLevel="1">
      <c r="A1075" s="8" t="n"/>
      <c r="B1075" s="14" t="n"/>
      <c r="C1075" s="123" t="n"/>
      <c r="D1075" s="123" t="n"/>
      <c r="E1075" s="123" t="n"/>
      <c r="F1075" s="123" t="n"/>
      <c r="G1075" s="123" t="n"/>
      <c r="I1075" s="55" t="inlineStr">
        <is>
          <t>NV 22 · CE 3</t>
        </is>
      </c>
      <c r="J1075" s="133" t="n"/>
      <c r="K1075" s="16" t="n"/>
      <c r="L1075" s="17" t="n"/>
      <c r="M1075" s="140">
        <f>DADOS_INVOC!$IR$7</f>
        <v/>
      </c>
      <c r="N1075" s="16" t="n"/>
      <c r="O1075" s="16" t="n"/>
      <c r="P1075" s="16" t="n"/>
      <c r="Q1075" s="16" t="n"/>
      <c r="R1075" s="16" t="n"/>
      <c r="S1075" s="16" t="n"/>
      <c r="T1075" s="16" t="n"/>
      <c r="U1075" s="16" t="n"/>
      <c r="V1075" s="16" t="n"/>
      <c r="W1075" s="16" t="n"/>
      <c r="X1075" s="16" t="n"/>
      <c r="Y1075" s="17" t="n"/>
      <c r="Z1075" s="123" t="n"/>
      <c r="AB1075" s="55" t="inlineStr">
        <is>
          <t>NV 22 · CE 3</t>
        </is>
      </c>
      <c r="AC1075" s="133" t="n"/>
      <c r="AD1075" s="16" t="n"/>
      <c r="AE1075" s="17" t="n"/>
      <c r="AF1075" s="140">
        <f>DADOS_INVOC!$IR$13</f>
        <v/>
      </c>
      <c r="AG1075" s="16" t="n"/>
      <c r="AH1075" s="16" t="n"/>
      <c r="AI1075" s="16" t="n"/>
      <c r="AJ1075" s="16" t="n"/>
      <c r="AK1075" s="16" t="n"/>
      <c r="AL1075" s="16" t="n"/>
      <c r="AM1075" s="16" t="n"/>
      <c r="AN1075" s="16" t="n"/>
      <c r="AO1075" s="16" t="n"/>
      <c r="AP1075" s="16" t="n"/>
      <c r="AQ1075" s="16" t="n"/>
      <c r="AR1075" s="17" t="n"/>
      <c r="AS1075" s="123" t="n"/>
    </row>
    <row r="1076" hidden="1" outlineLevel="1">
      <c r="A1076" s="8" t="n"/>
      <c r="B1076" s="14" t="n"/>
      <c r="C1076" s="123" t="n"/>
      <c r="D1076" s="123" t="n"/>
      <c r="E1076" s="123" t="n"/>
      <c r="F1076" s="123" t="n"/>
      <c r="G1076" s="123" t="n"/>
      <c r="I1076" s="55" t="inlineStr">
        <is>
          <t>NV 26 · CE 3</t>
        </is>
      </c>
      <c r="J1076" s="133" t="n"/>
      <c r="K1076" s="16" t="n"/>
      <c r="L1076" s="17" t="n"/>
      <c r="M1076" s="140">
        <f>DADOS_INVOC!$IS$7</f>
        <v/>
      </c>
      <c r="N1076" s="16" t="n"/>
      <c r="O1076" s="16" t="n"/>
      <c r="P1076" s="16" t="n"/>
      <c r="Q1076" s="16" t="n"/>
      <c r="R1076" s="16" t="n"/>
      <c r="S1076" s="16" t="n"/>
      <c r="T1076" s="16" t="n"/>
      <c r="U1076" s="16" t="n"/>
      <c r="V1076" s="16" t="n"/>
      <c r="W1076" s="16" t="n"/>
      <c r="X1076" s="16" t="n"/>
      <c r="Y1076" s="17" t="n"/>
      <c r="Z1076" s="123" t="n"/>
      <c r="AB1076" s="55" t="inlineStr">
        <is>
          <t>NV 26 · CE 3</t>
        </is>
      </c>
      <c r="AC1076" s="133" t="n"/>
      <c r="AD1076" s="16" t="n"/>
      <c r="AE1076" s="17" t="n"/>
      <c r="AF1076" s="140">
        <f>DADOS_INVOC!$IS$13</f>
        <v/>
      </c>
      <c r="AG1076" s="16" t="n"/>
      <c r="AH1076" s="16" t="n"/>
      <c r="AI1076" s="16" t="n"/>
      <c r="AJ1076" s="16" t="n"/>
      <c r="AK1076" s="16" t="n"/>
      <c r="AL1076" s="16" t="n"/>
      <c r="AM1076" s="16" t="n"/>
      <c r="AN1076" s="16" t="n"/>
      <c r="AO1076" s="16" t="n"/>
      <c r="AP1076" s="16" t="n"/>
      <c r="AQ1076" s="16" t="n"/>
      <c r="AR1076" s="17" t="n"/>
      <c r="AS1076" s="123" t="n"/>
    </row>
    <row r="1077" hidden="1" outlineLevel="1">
      <c r="A1077" s="8" t="n"/>
      <c r="B1077" s="14" t="n"/>
      <c r="C1077" s="123" t="n"/>
      <c r="D1077" s="123" t="n"/>
      <c r="E1077" s="123" t="n"/>
      <c r="F1077" s="123" t="n"/>
      <c r="G1077" s="123" t="n"/>
      <c r="I1077" s="55" t="inlineStr">
        <is>
          <t>NV 30 · CE 3</t>
        </is>
      </c>
      <c r="J1077" s="133" t="n"/>
      <c r="K1077" s="16" t="n"/>
      <c r="L1077" s="17" t="n"/>
      <c r="M1077" s="140">
        <f>DADOS_INVOC!$IT$7</f>
        <v/>
      </c>
      <c r="N1077" s="16" t="n"/>
      <c r="O1077" s="16" t="n"/>
      <c r="P1077" s="16" t="n"/>
      <c r="Q1077" s="16" t="n"/>
      <c r="R1077" s="16" t="n"/>
      <c r="S1077" s="16" t="n"/>
      <c r="T1077" s="16" t="n"/>
      <c r="U1077" s="16" t="n"/>
      <c r="V1077" s="16" t="n"/>
      <c r="W1077" s="16" t="n"/>
      <c r="X1077" s="16" t="n"/>
      <c r="Y1077" s="17" t="n"/>
      <c r="Z1077" s="123" t="n"/>
      <c r="AB1077" s="55" t="inlineStr">
        <is>
          <t>NV 30 · CE 3</t>
        </is>
      </c>
      <c r="AC1077" s="133" t="n"/>
      <c r="AD1077" s="16" t="n"/>
      <c r="AE1077" s="17" t="n"/>
      <c r="AF1077" s="140">
        <f>DADOS_INVOC!$IT$13</f>
        <v/>
      </c>
      <c r="AG1077" s="16" t="n"/>
      <c r="AH1077" s="16" t="n"/>
      <c r="AI1077" s="16" t="n"/>
      <c r="AJ1077" s="16" t="n"/>
      <c r="AK1077" s="16" t="n"/>
      <c r="AL1077" s="16" t="n"/>
      <c r="AM1077" s="16" t="n"/>
      <c r="AN1077" s="16" t="n"/>
      <c r="AO1077" s="16" t="n"/>
      <c r="AP1077" s="16" t="n"/>
      <c r="AQ1077" s="16" t="n"/>
      <c r="AR1077" s="17" t="n"/>
      <c r="AS1077" s="123" t="n"/>
    </row>
    <row r="1078" hidden="1" outlineLevel="1">
      <c r="A1078" s="8" t="n"/>
      <c r="B1078" s="14" t="n"/>
      <c r="C1078" s="123" t="n"/>
      <c r="D1078" s="123" t="n"/>
      <c r="E1078" s="123" t="n"/>
      <c r="F1078" s="123" t="n"/>
      <c r="G1078" s="123" t="n"/>
      <c r="I1078" s="123" t="n"/>
      <c r="J1078" s="123" t="n"/>
      <c r="K1078" s="123" t="n"/>
      <c r="L1078" s="123" t="n"/>
      <c r="M1078" s="123" t="n"/>
      <c r="N1078" s="123" t="n"/>
      <c r="O1078" s="123" t="n"/>
      <c r="P1078" s="123" t="n"/>
      <c r="Q1078" s="123" t="n"/>
      <c r="R1078" s="123" t="n"/>
      <c r="S1078" s="123" t="n"/>
      <c r="T1078" s="123" t="n"/>
      <c r="U1078" s="123" t="n"/>
      <c r="V1078" s="123" t="n"/>
      <c r="W1078" s="123" t="n"/>
      <c r="X1078" s="123" t="n"/>
      <c r="Y1078" s="123" t="n"/>
      <c r="Z1078" s="123" t="n"/>
      <c r="AB1078" s="123" t="n"/>
      <c r="AC1078" s="123" t="n"/>
      <c r="AD1078" s="123" t="n"/>
      <c r="AE1078" s="123" t="n"/>
      <c r="AF1078" s="123" t="n"/>
      <c r="AG1078" s="123" t="n"/>
      <c r="AH1078" s="123" t="n"/>
      <c r="AI1078" s="123" t="n"/>
      <c r="AJ1078" s="123" t="n"/>
      <c r="AK1078" s="123" t="n"/>
      <c r="AL1078" s="123" t="n"/>
      <c r="AM1078" s="123" t="n"/>
      <c r="AN1078" s="123" t="n"/>
      <c r="AO1078" s="123" t="n"/>
      <c r="AP1078" s="123" t="n"/>
      <c r="AQ1078" s="123" t="n"/>
      <c r="AR1078" s="123" t="n"/>
      <c r="AS1078" s="123" t="n"/>
    </row>
    <row r="1079" hidden="1" outlineLevel="1">
      <c r="A1079" s="8" t="n"/>
      <c r="B1079" s="14" t="n"/>
      <c r="C1079" s="123" t="n"/>
      <c r="D1079" s="123" t="n"/>
      <c r="E1079" s="123" t="n"/>
      <c r="F1079" s="123" t="n"/>
      <c r="G1079" s="123" t="n"/>
      <c r="I1079" s="136"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23" t="n"/>
      <c r="AB1079" s="136"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23" t="n"/>
    </row>
    <row r="1080" hidden="1" outlineLevel="2">
      <c r="A1080" s="8" t="n"/>
      <c r="B1080" s="14" t="n"/>
      <c r="C1080" s="123" t="n"/>
      <c r="D1080" s="123" t="n"/>
      <c r="E1080" s="123" t="n"/>
      <c r="F1080" s="123" t="n"/>
      <c r="G1080" s="123" t="n"/>
      <c r="I1080" s="123" t="n"/>
      <c r="J1080" s="123" t="n"/>
      <c r="K1080" s="123" t="n"/>
      <c r="L1080" s="123" t="n"/>
      <c r="M1080" s="123" t="n"/>
      <c r="N1080" s="123" t="n"/>
      <c r="O1080" s="123" t="n"/>
      <c r="P1080" s="123" t="n"/>
      <c r="Q1080" s="123" t="n"/>
      <c r="R1080" s="123" t="n"/>
      <c r="S1080" s="123" t="n"/>
      <c r="T1080" s="123" t="n"/>
      <c r="U1080" s="123" t="n"/>
      <c r="V1080" s="123" t="n"/>
      <c r="W1080" s="123" t="n"/>
      <c r="X1080" s="123" t="n"/>
      <c r="Y1080" s="123" t="n"/>
      <c r="Z1080" s="123" t="n"/>
      <c r="AB1080" s="123" t="n"/>
      <c r="AC1080" s="123" t="n"/>
      <c r="AD1080" s="123" t="n"/>
      <c r="AE1080" s="123" t="n"/>
      <c r="AF1080" s="123" t="n"/>
      <c r="AG1080" s="123" t="n"/>
      <c r="AH1080" s="123" t="n"/>
      <c r="AI1080" s="123" t="n"/>
      <c r="AJ1080" s="123" t="n"/>
      <c r="AK1080" s="123" t="n"/>
      <c r="AL1080" s="123" t="n"/>
      <c r="AM1080" s="123" t="n"/>
      <c r="AN1080" s="123" t="n"/>
      <c r="AO1080" s="123" t="n"/>
      <c r="AP1080" s="123" t="n"/>
      <c r="AQ1080" s="123" t="n"/>
      <c r="AR1080" s="123" t="n"/>
      <c r="AS1080" s="123" t="n"/>
    </row>
    <row r="1081" hidden="1" outlineLevel="2">
      <c r="A1081" s="8" t="n"/>
      <c r="B1081" s="14" t="n"/>
      <c r="C1081" s="123" t="n"/>
      <c r="D1081" s="123" t="n"/>
      <c r="E1081" s="123" t="n"/>
      <c r="F1081" s="123" t="n"/>
      <c r="G1081" s="123" t="n"/>
      <c r="I1081" s="55">
        <f>DADOS_INVOC!$PX$70</f>
        <v/>
      </c>
      <c r="J1081" s="16" t="n"/>
      <c r="K1081" s="16" t="n"/>
      <c r="L1081" s="16" t="n"/>
      <c r="M1081" s="17" t="n"/>
      <c r="N1081" s="123" t="n"/>
      <c r="O1081" s="55">
        <f>DADOS_INVOC!$PX$71</f>
        <v/>
      </c>
      <c r="P1081" s="16" t="n"/>
      <c r="Q1081" s="16" t="n"/>
      <c r="R1081" s="16" t="n"/>
      <c r="S1081" s="17" t="n"/>
      <c r="T1081" s="123" t="n"/>
      <c r="U1081" s="55">
        <f>DADOS_INVOC!$PX$72</f>
        <v/>
      </c>
      <c r="V1081" s="16" t="n"/>
      <c r="W1081" s="16" t="n"/>
      <c r="X1081" s="16" t="n"/>
      <c r="Y1081" s="17" t="n"/>
      <c r="Z1081" s="123" t="n"/>
      <c r="AB1081" s="55">
        <f>DADOS_INVOC!$PX$148</f>
        <v/>
      </c>
      <c r="AC1081" s="16" t="n"/>
      <c r="AD1081" s="16" t="n"/>
      <c r="AE1081" s="16" t="n"/>
      <c r="AF1081" s="17" t="n"/>
      <c r="AG1081" s="123" t="n"/>
      <c r="AH1081" s="55">
        <f>DADOS_INVOC!$PX$149</f>
        <v/>
      </c>
      <c r="AI1081" s="16" t="n"/>
      <c r="AJ1081" s="16" t="n"/>
      <c r="AK1081" s="16" t="n"/>
      <c r="AL1081" s="17" t="n"/>
      <c r="AM1081" s="123" t="n"/>
      <c r="AN1081" s="55">
        <f>DADOS_INVOC!$PX$150</f>
        <v/>
      </c>
      <c r="AO1081" s="16" t="n"/>
      <c r="AP1081" s="16" t="n"/>
      <c r="AQ1081" s="16" t="n"/>
      <c r="AR1081" s="17" t="n"/>
      <c r="AS1081" s="123" t="n"/>
    </row>
    <row r="1082" hidden="1" outlineLevel="2">
      <c r="A1082" s="8" t="n"/>
      <c r="B1082" s="14" t="n"/>
      <c r="C1082" s="123" t="n"/>
      <c r="D1082" s="123" t="n"/>
      <c r="E1082" s="123" t="n"/>
      <c r="F1082" s="123" t="n"/>
      <c r="G1082" s="123" t="n"/>
      <c r="I1082" s="130" t="n">
        <v>0</v>
      </c>
      <c r="J1082" s="118" t="n"/>
      <c r="K1082" s="16" t="n"/>
      <c r="L1082" s="17" t="n"/>
      <c r="M1082" s="131">
        <f>DADOS_INVOC!$PV$70</f>
        <v/>
      </c>
      <c r="N1082" s="123" t="n"/>
      <c r="O1082" s="130" t="n">
        <v>1</v>
      </c>
      <c r="P1082" s="118" t="n"/>
      <c r="Q1082" s="16" t="n"/>
      <c r="R1082" s="17" t="n"/>
      <c r="S1082" s="131">
        <f>DADOS_INVOC!$PV$71</f>
        <v/>
      </c>
      <c r="T1082" s="123" t="n"/>
      <c r="U1082" s="130" t="n">
        <v>1</v>
      </c>
      <c r="V1082" s="118" t="n"/>
      <c r="W1082" s="16" t="n"/>
      <c r="X1082" s="17" t="n"/>
      <c r="Y1082" s="131">
        <f>DADOS_INVOC!$PV$72</f>
        <v/>
      </c>
      <c r="Z1082" s="123" t="n"/>
      <c r="AB1082" s="130" t="n">
        <v>0</v>
      </c>
      <c r="AC1082" s="118" t="n"/>
      <c r="AD1082" s="16" t="n"/>
      <c r="AE1082" s="17" t="n"/>
      <c r="AF1082" s="131">
        <f>DADOS_INVOC!$PV$148</f>
        <v/>
      </c>
      <c r="AG1082" s="123" t="n"/>
      <c r="AH1082" s="130" t="n">
        <v>1</v>
      </c>
      <c r="AI1082" s="118" t="n"/>
      <c r="AJ1082" s="16" t="n"/>
      <c r="AK1082" s="17" t="n"/>
      <c r="AL1082" s="131">
        <f>DADOS_INVOC!$PV$149</f>
        <v/>
      </c>
      <c r="AM1082" s="123" t="n"/>
      <c r="AN1082" s="130" t="n">
        <v>1</v>
      </c>
      <c r="AO1082" s="118" t="n"/>
      <c r="AP1082" s="16" t="n"/>
      <c r="AQ1082" s="17" t="n"/>
      <c r="AR1082" s="131">
        <f>DADOS_INVOC!$PV$150</f>
        <v/>
      </c>
      <c r="AS1082" s="123" t="n"/>
    </row>
    <row r="1083" hidden="1" outlineLevel="3">
      <c r="A1083" s="8" t="n"/>
      <c r="B1083" s="14" t="n"/>
      <c r="C1083" s="123" t="n"/>
      <c r="D1083" s="123" t="n"/>
      <c r="E1083" s="123" t="n"/>
      <c r="F1083" s="123" t="n"/>
      <c r="G1083" s="123" t="n"/>
      <c r="I1083" s="55" t="inlineStr">
        <is>
          <t>COMO É</t>
        </is>
      </c>
      <c r="J1083" s="16" t="n"/>
      <c r="K1083" s="16" t="n"/>
      <c r="L1083" s="16" t="n"/>
      <c r="M1083" s="17" t="n"/>
      <c r="N1083" s="123" t="n"/>
      <c r="O1083" s="55" t="inlineStr">
        <is>
          <t>COMO É</t>
        </is>
      </c>
      <c r="P1083" s="16" t="n"/>
      <c r="Q1083" s="16" t="n"/>
      <c r="R1083" s="16" t="n"/>
      <c r="S1083" s="17" t="n"/>
      <c r="T1083" s="123" t="n"/>
      <c r="U1083" s="55" t="inlineStr">
        <is>
          <t>COMO É</t>
        </is>
      </c>
      <c r="V1083" s="16" t="n"/>
      <c r="W1083" s="16" t="n"/>
      <c r="X1083" s="16" t="n"/>
      <c r="Y1083" s="17" t="n"/>
      <c r="Z1083" s="123" t="n"/>
      <c r="AB1083" s="55" t="inlineStr">
        <is>
          <t>COMO É</t>
        </is>
      </c>
      <c r="AC1083" s="16" t="n"/>
      <c r="AD1083" s="16" t="n"/>
      <c r="AE1083" s="16" t="n"/>
      <c r="AF1083" s="17" t="n"/>
      <c r="AG1083" s="123" t="n"/>
      <c r="AH1083" s="55" t="inlineStr">
        <is>
          <t>COMO É</t>
        </is>
      </c>
      <c r="AI1083" s="16" t="n"/>
      <c r="AJ1083" s="16" t="n"/>
      <c r="AK1083" s="16" t="n"/>
      <c r="AL1083" s="17" t="n"/>
      <c r="AM1083" s="123" t="n"/>
      <c r="AN1083" s="55" t="inlineStr">
        <is>
          <t>COMO É</t>
        </is>
      </c>
      <c r="AO1083" s="16" t="n"/>
      <c r="AP1083" s="16" t="n"/>
      <c r="AQ1083" s="16" t="n"/>
      <c r="AR1083" s="17" t="n"/>
      <c r="AS1083" s="123" t="n"/>
    </row>
    <row r="1084" hidden="1" outlineLevel="3">
      <c r="A1084" s="8" t="n"/>
      <c r="B1084" s="14" t="n"/>
      <c r="C1084" s="123" t="n"/>
      <c r="D1084" s="123" t="n"/>
      <c r="E1084" s="123" t="n"/>
      <c r="F1084" s="123" t="n"/>
      <c r="G1084" s="123" t="n"/>
      <c r="I1084" s="119" t="n"/>
      <c r="J1084" s="19" t="n"/>
      <c r="K1084" s="19" t="n"/>
      <c r="L1084" s="19" t="n"/>
      <c r="M1084" s="20" t="n"/>
      <c r="N1084" s="123" t="n"/>
      <c r="O1084" s="119" t="n"/>
      <c r="P1084" s="19" t="n"/>
      <c r="Q1084" s="19" t="n"/>
      <c r="R1084" s="19" t="n"/>
      <c r="S1084" s="20" t="n"/>
      <c r="T1084" s="123" t="n"/>
      <c r="U1084" s="119" t="n"/>
      <c r="V1084" s="19" t="n"/>
      <c r="W1084" s="19" t="n"/>
      <c r="X1084" s="19" t="n"/>
      <c r="Y1084" s="20" t="n"/>
      <c r="Z1084" s="123" t="n"/>
      <c r="AB1084" s="119" t="n"/>
      <c r="AC1084" s="19" t="n"/>
      <c r="AD1084" s="19" t="n"/>
      <c r="AE1084" s="19" t="n"/>
      <c r="AF1084" s="20" t="n"/>
      <c r="AG1084" s="123" t="n"/>
      <c r="AH1084" s="119" t="n"/>
      <c r="AI1084" s="19" t="n"/>
      <c r="AJ1084" s="19" t="n"/>
      <c r="AK1084" s="19" t="n"/>
      <c r="AL1084" s="20" t="n"/>
      <c r="AM1084" s="123" t="n"/>
      <c r="AN1084" s="119" t="n"/>
      <c r="AO1084" s="19" t="n"/>
      <c r="AP1084" s="19" t="n"/>
      <c r="AQ1084" s="19" t="n"/>
      <c r="AR1084" s="20" t="n"/>
      <c r="AS1084" s="123" t="n"/>
    </row>
    <row r="1085" hidden="1" outlineLevel="3">
      <c r="A1085" s="8" t="n"/>
      <c r="B1085" s="14" t="n"/>
      <c r="C1085" s="123" t="n"/>
      <c r="D1085" s="123" t="n"/>
      <c r="E1085" s="123" t="n"/>
      <c r="F1085" s="123" t="n"/>
      <c r="G1085" s="123" t="n"/>
      <c r="I1085" s="21" t="n"/>
      <c r="M1085" s="22" t="n"/>
      <c r="N1085" s="123" t="n"/>
      <c r="O1085" s="21" t="n"/>
      <c r="S1085" s="22" t="n"/>
      <c r="T1085" s="123" t="n"/>
      <c r="U1085" s="21" t="n"/>
      <c r="Y1085" s="22" t="n"/>
      <c r="Z1085" s="123" t="n"/>
      <c r="AB1085" s="21" t="n"/>
      <c r="AF1085" s="22" t="n"/>
      <c r="AG1085" s="123" t="n"/>
      <c r="AH1085" s="21" t="n"/>
      <c r="AL1085" s="22" t="n"/>
      <c r="AM1085" s="123" t="n"/>
      <c r="AN1085" s="21" t="n"/>
      <c r="AR1085" s="22" t="n"/>
      <c r="AS1085" s="123" t="n"/>
    </row>
    <row r="1086" hidden="1" outlineLevel="3">
      <c r="A1086" s="8" t="n"/>
      <c r="B1086" s="14" t="n"/>
      <c r="C1086" s="123" t="n"/>
      <c r="D1086" s="123" t="n"/>
      <c r="E1086" s="123" t="n"/>
      <c r="F1086" s="123" t="n"/>
      <c r="G1086" s="123" t="n"/>
      <c r="I1086" s="23" t="n"/>
      <c r="J1086" s="24" t="n"/>
      <c r="K1086" s="24" t="n"/>
      <c r="L1086" s="24" t="n"/>
      <c r="M1086" s="25" t="n"/>
      <c r="N1086" s="123" t="n"/>
      <c r="O1086" s="23" t="n"/>
      <c r="P1086" s="24" t="n"/>
      <c r="Q1086" s="24" t="n"/>
      <c r="R1086" s="24" t="n"/>
      <c r="S1086" s="25" t="n"/>
      <c r="T1086" s="123" t="n"/>
      <c r="U1086" s="23" t="n"/>
      <c r="V1086" s="24" t="n"/>
      <c r="W1086" s="24" t="n"/>
      <c r="X1086" s="24" t="n"/>
      <c r="Y1086" s="25" t="n"/>
      <c r="Z1086" s="123" t="n"/>
      <c r="AB1086" s="23" t="n"/>
      <c r="AC1086" s="24" t="n"/>
      <c r="AD1086" s="24" t="n"/>
      <c r="AE1086" s="24" t="n"/>
      <c r="AF1086" s="25" t="n"/>
      <c r="AG1086" s="123" t="n"/>
      <c r="AH1086" s="23" t="n"/>
      <c r="AI1086" s="24" t="n"/>
      <c r="AJ1086" s="24" t="n"/>
      <c r="AK1086" s="24" t="n"/>
      <c r="AL1086" s="25" t="n"/>
      <c r="AM1086" s="123" t="n"/>
      <c r="AN1086" s="23" t="n"/>
      <c r="AO1086" s="24" t="n"/>
      <c r="AP1086" s="24" t="n"/>
      <c r="AQ1086" s="24" t="n"/>
      <c r="AR1086" s="25" t="n"/>
      <c r="AS1086" s="123" t="n"/>
    </row>
    <row r="1087" hidden="1" outlineLevel="2">
      <c r="A1087" s="8" t="n"/>
      <c r="B1087" s="14" t="n"/>
      <c r="C1087" s="123" t="n"/>
      <c r="D1087" s="123" t="n"/>
      <c r="E1087" s="123" t="n"/>
      <c r="F1087" s="123" t="n"/>
      <c r="G1087" s="123" t="n"/>
      <c r="I1087" s="127" t="inlineStr">
        <is>
          <t>Projétil</t>
        </is>
      </c>
      <c r="J1087" s="17" t="n"/>
      <c r="K1087" s="68">
        <f>DADOS_INVOC!$QC$70</f>
        <v/>
      </c>
      <c r="L1087" s="17" t="n"/>
      <c r="M1087" s="68">
        <f>DADOS_INVOC!$PY$70</f>
        <v/>
      </c>
      <c r="N1087" s="123" t="n"/>
      <c r="O1087" s="127" t="inlineStr">
        <is>
          <t>Projétil</t>
        </is>
      </c>
      <c r="P1087" s="17" t="n"/>
      <c r="Q1087" s="68">
        <f>DADOS_INVOC!$QC$71</f>
        <v/>
      </c>
      <c r="R1087" s="17" t="n"/>
      <c r="S1087" s="68">
        <f>DADOS_INVOC!$PY$71</f>
        <v/>
      </c>
      <c r="T1087" s="123" t="n"/>
      <c r="U1087" s="127" t="inlineStr">
        <is>
          <t>Projétil</t>
        </is>
      </c>
      <c r="V1087" s="17" t="n"/>
      <c r="W1087" s="68">
        <f>DADOS_INVOC!$QC$72</f>
        <v/>
      </c>
      <c r="X1087" s="17" t="n"/>
      <c r="Y1087" s="68">
        <f>DADOS_INVOC!$PY$72</f>
        <v/>
      </c>
      <c r="Z1087" s="123" t="n"/>
      <c r="AB1087" s="127" t="inlineStr">
        <is>
          <t>Projétil</t>
        </is>
      </c>
      <c r="AC1087" s="17" t="n"/>
      <c r="AD1087" s="68">
        <f>DADOS_INVOC!$QC$148</f>
        <v/>
      </c>
      <c r="AE1087" s="17" t="n"/>
      <c r="AF1087" s="68">
        <f>DADOS_INVOC!$PY$148</f>
        <v/>
      </c>
      <c r="AG1087" s="123" t="n"/>
      <c r="AH1087" s="127" t="inlineStr">
        <is>
          <t>Projétil</t>
        </is>
      </c>
      <c r="AI1087" s="17" t="n"/>
      <c r="AJ1087" s="68">
        <f>DADOS_INVOC!$QC$149</f>
        <v/>
      </c>
      <c r="AK1087" s="17" t="n"/>
      <c r="AL1087" s="68">
        <f>DADOS_INVOC!$PY$149</f>
        <v/>
      </c>
      <c r="AM1087" s="123" t="n"/>
      <c r="AN1087" s="127" t="inlineStr">
        <is>
          <t>Projétil</t>
        </is>
      </c>
      <c r="AO1087" s="17" t="n"/>
      <c r="AP1087" s="68">
        <f>DADOS_INVOC!$QC$150</f>
        <v/>
      </c>
      <c r="AQ1087" s="17" t="n"/>
      <c r="AR1087" s="68">
        <f>DADOS_INVOC!$PY$150</f>
        <v/>
      </c>
      <c r="AS1087" s="123" t="n"/>
    </row>
    <row r="1088" hidden="1" outlineLevel="2">
      <c r="A1088" s="8" t="n"/>
      <c r="B1088" s="14" t="n"/>
      <c r="C1088" s="123" t="n"/>
      <c r="D1088" s="123" t="n"/>
      <c r="E1088" s="123" t="n"/>
      <c r="F1088" s="123" t="n"/>
      <c r="G1088" s="123" t="n"/>
      <c r="I1088" s="127" t="n"/>
      <c r="J1088" s="17" t="n"/>
      <c r="K1088" s="127" t="n"/>
      <c r="L1088" s="16" t="n"/>
      <c r="M1088" s="17" t="n"/>
      <c r="N1088" s="123" t="n"/>
      <c r="O1088" s="127" t="n"/>
      <c r="P1088" s="17" t="n"/>
      <c r="Q1088" s="127" t="n"/>
      <c r="R1088" s="16" t="n"/>
      <c r="S1088" s="17" t="n"/>
      <c r="T1088" s="123" t="n"/>
      <c r="U1088" s="127" t="n"/>
      <c r="V1088" s="17" t="n"/>
      <c r="W1088" s="127" t="n"/>
      <c r="X1088" s="16" t="n"/>
      <c r="Y1088" s="17" t="n"/>
      <c r="Z1088" s="123" t="n"/>
      <c r="AB1088" s="127" t="n"/>
      <c r="AC1088" s="17" t="n"/>
      <c r="AD1088" s="127" t="n"/>
      <c r="AE1088" s="16" t="n"/>
      <c r="AF1088" s="17" t="n"/>
      <c r="AG1088" s="123" t="n"/>
      <c r="AH1088" s="127" t="n"/>
      <c r="AI1088" s="17" t="n"/>
      <c r="AJ1088" s="127" t="n"/>
      <c r="AK1088" s="16" t="n"/>
      <c r="AL1088" s="17" t="n"/>
      <c r="AM1088" s="123" t="n"/>
      <c r="AN1088" s="127" t="n"/>
      <c r="AO1088" s="17" t="n"/>
      <c r="AP1088" s="127" t="n"/>
      <c r="AQ1088" s="16" t="n"/>
      <c r="AR1088" s="17" t="n"/>
      <c r="AS1088" s="123" t="n"/>
    </row>
    <row r="1089" hidden="1" outlineLevel="2">
      <c r="A1089" s="8" t="n"/>
      <c r="B1089" s="14" t="n"/>
      <c r="C1089" s="123" t="n"/>
      <c r="D1089" s="123" t="n"/>
      <c r="E1089" s="123" t="n"/>
      <c r="F1089" s="123" t="n"/>
      <c r="G1089" s="123" t="n"/>
      <c r="I1089" s="127">
        <f>DADOS_INVOC!$PZ$70</f>
        <v/>
      </c>
      <c r="J1089" s="17" t="n"/>
      <c r="K1089" s="127">
        <f>DADOS_INVOC!$QB$70</f>
        <v/>
      </c>
      <c r="L1089" s="16" t="n"/>
      <c r="M1089" s="17" t="n"/>
      <c r="N1089" s="123" t="n"/>
      <c r="O1089" s="127">
        <f>DADOS_INVOC!$PZ$71</f>
        <v/>
      </c>
      <c r="P1089" s="17" t="n"/>
      <c r="Q1089" s="127">
        <f>DADOS_INVOC!$QB$71</f>
        <v/>
      </c>
      <c r="R1089" s="16" t="n"/>
      <c r="S1089" s="17" t="n"/>
      <c r="T1089" s="123" t="n"/>
      <c r="U1089" s="127">
        <f>DADOS_INVOC!$PZ$72</f>
        <v/>
      </c>
      <c r="V1089" s="17" t="n"/>
      <c r="W1089" s="127">
        <f>DADOS_INVOC!$QB$72</f>
        <v/>
      </c>
      <c r="X1089" s="16" t="n"/>
      <c r="Y1089" s="17" t="n"/>
      <c r="Z1089" s="123" t="n"/>
      <c r="AB1089" s="127">
        <f>DADOS_INVOC!$PZ$148</f>
        <v/>
      </c>
      <c r="AC1089" s="17" t="n"/>
      <c r="AD1089" s="127">
        <f>DADOS_INVOC!$QB$148</f>
        <v/>
      </c>
      <c r="AE1089" s="16" t="n"/>
      <c r="AF1089" s="17" t="n"/>
      <c r="AG1089" s="123" t="n"/>
      <c r="AH1089" s="127">
        <f>DADOS_INVOC!$PZ$149</f>
        <v/>
      </c>
      <c r="AI1089" s="17" t="n"/>
      <c r="AJ1089" s="127">
        <f>DADOS_INVOC!$QB$149</f>
        <v/>
      </c>
      <c r="AK1089" s="16" t="n"/>
      <c r="AL1089" s="17" t="n"/>
      <c r="AM1089" s="123" t="n"/>
      <c r="AN1089" s="127">
        <f>DADOS_INVOC!$PZ$150</f>
        <v/>
      </c>
      <c r="AO1089" s="17" t="n"/>
      <c r="AP1089" s="127">
        <f>DADOS_INVOC!$QB$150</f>
        <v/>
      </c>
      <c r="AQ1089" s="16" t="n"/>
      <c r="AR1089" s="17" t="n"/>
      <c r="AS1089" s="123" t="n"/>
    </row>
    <row r="1090" hidden="1" outlineLevel="2">
      <c r="A1090" s="8" t="n"/>
      <c r="B1090" s="14" t="n"/>
      <c r="C1090" s="123" t="n"/>
      <c r="D1090" s="123" t="n"/>
      <c r="E1090" s="123" t="n"/>
      <c r="F1090" s="123" t="n"/>
      <c r="G1090" s="123" t="n"/>
      <c r="I1090" s="132">
        <f>DADOS_INVOC!$QH$70</f>
        <v/>
      </c>
      <c r="J1090" s="16" t="n"/>
      <c r="K1090" s="16" t="n"/>
      <c r="L1090" s="16" t="n"/>
      <c r="M1090" s="17" t="n"/>
      <c r="N1090" s="123" t="n"/>
      <c r="O1090" s="132">
        <f>DADOS_INVOC!$QH$71</f>
        <v/>
      </c>
      <c r="P1090" s="16" t="n"/>
      <c r="Q1090" s="16" t="n"/>
      <c r="R1090" s="16" t="n"/>
      <c r="S1090" s="17" t="n"/>
      <c r="T1090" s="123" t="n"/>
      <c r="U1090" s="132">
        <f>DADOS_INVOC!$QH$72</f>
        <v/>
      </c>
      <c r="V1090" s="16" t="n"/>
      <c r="W1090" s="16" t="n"/>
      <c r="X1090" s="16" t="n"/>
      <c r="Y1090" s="17" t="n"/>
      <c r="Z1090" s="123" t="n"/>
      <c r="AB1090" s="132">
        <f>DADOS_INVOC!$QH$148</f>
        <v/>
      </c>
      <c r="AC1090" s="16" t="n"/>
      <c r="AD1090" s="16" t="n"/>
      <c r="AE1090" s="16" t="n"/>
      <c r="AF1090" s="17" t="n"/>
      <c r="AG1090" s="123" t="n"/>
      <c r="AH1090" s="132">
        <f>DADOS_INVOC!$QH$149</f>
        <v/>
      </c>
      <c r="AI1090" s="16" t="n"/>
      <c r="AJ1090" s="16" t="n"/>
      <c r="AK1090" s="16" t="n"/>
      <c r="AL1090" s="17" t="n"/>
      <c r="AM1090" s="123" t="n"/>
      <c r="AN1090" s="132">
        <f>DADOS_INVOC!$QH$150</f>
        <v/>
      </c>
      <c r="AO1090" s="16" t="n"/>
      <c r="AP1090" s="16" t="n"/>
      <c r="AQ1090" s="16" t="n"/>
      <c r="AR1090" s="17" t="n"/>
      <c r="AS1090" s="123" t="n"/>
    </row>
    <row r="1091" hidden="1" outlineLevel="3">
      <c r="A1091" s="8" t="n"/>
      <c r="B1091" s="14" t="n"/>
      <c r="C1091" s="123" t="n"/>
      <c r="D1091" s="123" t="n"/>
      <c r="E1091" s="123" t="n"/>
      <c r="F1091" s="123" t="n"/>
      <c r="G1091" s="123" t="n"/>
      <c r="I1091" s="55" t="inlineStr">
        <is>
          <t>MELHORIAS</t>
        </is>
      </c>
      <c r="J1091" s="133" t="n"/>
      <c r="K1091" s="16" t="n"/>
      <c r="L1091" s="17" t="n"/>
      <c r="M1091" s="132">
        <f>DADOS_INVOC!$QK$70</f>
        <v/>
      </c>
      <c r="N1091" s="123" t="n"/>
      <c r="O1091" s="55" t="inlineStr">
        <is>
          <t>MELHORIAS</t>
        </is>
      </c>
      <c r="P1091" s="133" t="n"/>
      <c r="Q1091" s="16" t="n"/>
      <c r="R1091" s="17" t="n"/>
      <c r="S1091" s="132">
        <f>DADOS_INVOC!$QK$71</f>
        <v/>
      </c>
      <c r="T1091" s="123" t="n"/>
      <c r="U1091" s="55" t="inlineStr">
        <is>
          <t>MELHORIAS</t>
        </is>
      </c>
      <c r="V1091" s="133" t="n"/>
      <c r="W1091" s="16" t="n"/>
      <c r="X1091" s="17" t="n"/>
      <c r="Y1091" s="132">
        <f>DADOS_INVOC!$QK$72</f>
        <v/>
      </c>
      <c r="Z1091" s="123" t="n"/>
      <c r="AB1091" s="55" t="inlineStr">
        <is>
          <t>MELHORIAS</t>
        </is>
      </c>
      <c r="AC1091" s="133" t="n"/>
      <c r="AD1091" s="16" t="n"/>
      <c r="AE1091" s="17" t="n"/>
      <c r="AF1091" s="132">
        <f>DADOS_INVOC!$QK$148</f>
        <v/>
      </c>
      <c r="AG1091" s="123" t="n"/>
      <c r="AH1091" s="55" t="inlineStr">
        <is>
          <t>MELHORIAS</t>
        </is>
      </c>
      <c r="AI1091" s="133" t="n"/>
      <c r="AJ1091" s="16" t="n"/>
      <c r="AK1091" s="17" t="n"/>
      <c r="AL1091" s="132">
        <f>DADOS_INVOC!$QK$149</f>
        <v/>
      </c>
      <c r="AM1091" s="123" t="n"/>
      <c r="AN1091" s="55" t="inlineStr">
        <is>
          <t>MELHORIAS</t>
        </is>
      </c>
      <c r="AO1091" s="133" t="n"/>
      <c r="AP1091" s="16" t="n"/>
      <c r="AQ1091" s="17" t="n"/>
      <c r="AR1091" s="132">
        <f>DADOS_INVOC!$QK$150</f>
        <v/>
      </c>
      <c r="AS1091" s="123" t="n"/>
    </row>
    <row r="1092" hidden="1" outlineLevel="3">
      <c r="A1092" s="8" t="n"/>
      <c r="B1092" s="14" t="n"/>
      <c r="C1092" s="123" t="n"/>
      <c r="D1092" s="123" t="n"/>
      <c r="E1092" s="123" t="n"/>
      <c r="F1092" s="123" t="n"/>
      <c r="G1092" s="123" t="n"/>
      <c r="I1092" s="134" t="n"/>
      <c r="J1092" s="133" t="n"/>
      <c r="K1092" s="16" t="n"/>
      <c r="L1092" s="17" t="n"/>
      <c r="M1092" s="132">
        <f>DADOS_INVOC!$QL$70</f>
        <v/>
      </c>
      <c r="N1092" s="123" t="n"/>
      <c r="O1092" s="134" t="n"/>
      <c r="P1092" s="133" t="n"/>
      <c r="Q1092" s="16" t="n"/>
      <c r="R1092" s="17" t="n"/>
      <c r="S1092" s="132">
        <f>DADOS_INVOC!$QL$71</f>
        <v/>
      </c>
      <c r="T1092" s="123" t="n"/>
      <c r="U1092" s="134" t="n"/>
      <c r="V1092" s="133" t="n"/>
      <c r="W1092" s="16" t="n"/>
      <c r="X1092" s="17" t="n"/>
      <c r="Y1092" s="132">
        <f>DADOS_INVOC!$QL$72</f>
        <v/>
      </c>
      <c r="Z1092" s="123" t="n"/>
      <c r="AB1092" s="134" t="n"/>
      <c r="AC1092" s="133" t="n"/>
      <c r="AD1092" s="16" t="n"/>
      <c r="AE1092" s="17" t="n"/>
      <c r="AF1092" s="132">
        <f>DADOS_INVOC!$QL$148</f>
        <v/>
      </c>
      <c r="AG1092" s="123" t="n"/>
      <c r="AH1092" s="134" t="n"/>
      <c r="AI1092" s="133" t="n"/>
      <c r="AJ1092" s="16" t="n"/>
      <c r="AK1092" s="17" t="n"/>
      <c r="AL1092" s="132">
        <f>DADOS_INVOC!$QL$149</f>
        <v/>
      </c>
      <c r="AM1092" s="123" t="n"/>
      <c r="AN1092" s="134" t="n"/>
      <c r="AO1092" s="133" t="n"/>
      <c r="AP1092" s="16" t="n"/>
      <c r="AQ1092" s="17" t="n"/>
      <c r="AR1092" s="132">
        <f>DADOS_INVOC!$QL$150</f>
        <v/>
      </c>
      <c r="AS1092" s="123" t="n"/>
    </row>
    <row r="1093" hidden="1" outlineLevel="3">
      <c r="A1093" s="8" t="n"/>
      <c r="B1093" s="14" t="n"/>
      <c r="C1093" s="123" t="n"/>
      <c r="D1093" s="123" t="n"/>
      <c r="E1093" s="123" t="n"/>
      <c r="F1093" s="123" t="n"/>
      <c r="G1093" s="123" t="n"/>
      <c r="I1093" s="134" t="n"/>
      <c r="J1093" s="133" t="n"/>
      <c r="K1093" s="16" t="n"/>
      <c r="L1093" s="17" t="n"/>
      <c r="M1093" s="132">
        <f>DADOS_INVOC!$QM$70</f>
        <v/>
      </c>
      <c r="N1093" s="123" t="n"/>
      <c r="O1093" s="134" t="n"/>
      <c r="P1093" s="133" t="n"/>
      <c r="Q1093" s="16" t="n"/>
      <c r="R1093" s="17" t="n"/>
      <c r="S1093" s="132">
        <f>DADOS_INVOC!$QM$71</f>
        <v/>
      </c>
      <c r="T1093" s="123" t="n"/>
      <c r="U1093" s="134" t="n"/>
      <c r="V1093" s="133" t="n"/>
      <c r="W1093" s="16" t="n"/>
      <c r="X1093" s="17" t="n"/>
      <c r="Y1093" s="132">
        <f>DADOS_INVOC!$QM$72</f>
        <v/>
      </c>
      <c r="Z1093" s="123" t="n"/>
      <c r="AB1093" s="134" t="n"/>
      <c r="AC1093" s="133" t="n"/>
      <c r="AD1093" s="16" t="n"/>
      <c r="AE1093" s="17" t="n"/>
      <c r="AF1093" s="132">
        <f>DADOS_INVOC!$QM$148</f>
        <v/>
      </c>
      <c r="AG1093" s="123" t="n"/>
      <c r="AH1093" s="134" t="n"/>
      <c r="AI1093" s="133" t="n"/>
      <c r="AJ1093" s="16" t="n"/>
      <c r="AK1093" s="17" t="n"/>
      <c r="AL1093" s="132">
        <f>DADOS_INVOC!$QM$149</f>
        <v/>
      </c>
      <c r="AM1093" s="123" t="n"/>
      <c r="AN1093" s="134" t="n"/>
      <c r="AO1093" s="133" t="n"/>
      <c r="AP1093" s="16" t="n"/>
      <c r="AQ1093" s="17" t="n"/>
      <c r="AR1093" s="132">
        <f>DADOS_INVOC!$QM$150</f>
        <v/>
      </c>
      <c r="AS1093" s="123" t="n"/>
    </row>
    <row r="1094" hidden="1" outlineLevel="3">
      <c r="A1094" s="8" t="n"/>
      <c r="B1094" s="14" t="n"/>
      <c r="C1094" s="123" t="n"/>
      <c r="D1094" s="123" t="n"/>
      <c r="E1094" s="123" t="n"/>
      <c r="F1094" s="123" t="n"/>
      <c r="G1094" s="123" t="n"/>
      <c r="I1094" s="128" t="n"/>
      <c r="J1094" s="133" t="n"/>
      <c r="K1094" s="16" t="n"/>
      <c r="L1094" s="17" t="n"/>
      <c r="M1094" s="132">
        <f>DADOS_INVOC!$QN$70</f>
        <v/>
      </c>
      <c r="N1094" s="123" t="n"/>
      <c r="O1094" s="128" t="n"/>
      <c r="P1094" s="133" t="n"/>
      <c r="Q1094" s="16" t="n"/>
      <c r="R1094" s="17" t="n"/>
      <c r="S1094" s="132">
        <f>DADOS_INVOC!$QN$71</f>
        <v/>
      </c>
      <c r="T1094" s="123" t="n"/>
      <c r="U1094" s="128" t="n"/>
      <c r="V1094" s="133" t="n"/>
      <c r="W1094" s="16" t="n"/>
      <c r="X1094" s="17" t="n"/>
      <c r="Y1094" s="132">
        <f>DADOS_INVOC!$QN$72</f>
        <v/>
      </c>
      <c r="Z1094" s="123" t="n"/>
      <c r="AB1094" s="128" t="n"/>
      <c r="AC1094" s="133" t="n"/>
      <c r="AD1094" s="16" t="n"/>
      <c r="AE1094" s="17" t="n"/>
      <c r="AF1094" s="132">
        <f>DADOS_INVOC!$QN$148</f>
        <v/>
      </c>
      <c r="AG1094" s="123" t="n"/>
      <c r="AH1094" s="128" t="n"/>
      <c r="AI1094" s="133" t="n"/>
      <c r="AJ1094" s="16" t="n"/>
      <c r="AK1094" s="17" t="n"/>
      <c r="AL1094" s="132">
        <f>DADOS_INVOC!$QN$149</f>
        <v/>
      </c>
      <c r="AM1094" s="123" t="n"/>
      <c r="AN1094" s="128" t="n"/>
      <c r="AO1094" s="133" t="n"/>
      <c r="AP1094" s="16" t="n"/>
      <c r="AQ1094" s="17" t="n"/>
      <c r="AR1094" s="132">
        <f>DADOS_INVOC!$QN$150</f>
        <v/>
      </c>
      <c r="AS1094" s="123" t="n"/>
    </row>
    <row r="1095" hidden="1" outlineLevel="3">
      <c r="A1095" s="8" t="n"/>
      <c r="B1095" s="14" t="n"/>
      <c r="C1095" s="123" t="n"/>
      <c r="D1095" s="123" t="n"/>
      <c r="E1095" s="123" t="n"/>
      <c r="F1095" s="123" t="n"/>
      <c r="G1095" s="123" t="n"/>
      <c r="I1095" s="55" t="inlineStr">
        <is>
          <t>RESTRIÇÕES</t>
        </is>
      </c>
      <c r="J1095" s="133" t="n"/>
      <c r="K1095" s="16" t="n"/>
      <c r="L1095" s="17" t="n"/>
      <c r="M1095" s="132">
        <f>DADOS_INVOC!$QO$70</f>
        <v/>
      </c>
      <c r="N1095" s="123" t="n"/>
      <c r="O1095" s="55" t="inlineStr">
        <is>
          <t>RESTRIÇÕES</t>
        </is>
      </c>
      <c r="P1095" s="133" t="n"/>
      <c r="Q1095" s="16" t="n"/>
      <c r="R1095" s="17" t="n"/>
      <c r="S1095" s="132">
        <f>DADOS_INVOC!$QO$71</f>
        <v/>
      </c>
      <c r="T1095" s="123" t="n"/>
      <c r="U1095" s="55" t="inlineStr">
        <is>
          <t>RESTRIÇÕES</t>
        </is>
      </c>
      <c r="V1095" s="133" t="n"/>
      <c r="W1095" s="16" t="n"/>
      <c r="X1095" s="17" t="n"/>
      <c r="Y1095" s="132">
        <f>DADOS_INVOC!$QO$72</f>
        <v/>
      </c>
      <c r="Z1095" s="123" t="n"/>
      <c r="AB1095" s="55" t="inlineStr">
        <is>
          <t>RESTRIÇÕES</t>
        </is>
      </c>
      <c r="AC1095" s="133" t="n"/>
      <c r="AD1095" s="16" t="n"/>
      <c r="AE1095" s="17" t="n"/>
      <c r="AF1095" s="132">
        <f>DADOS_INVOC!$QO$148</f>
        <v/>
      </c>
      <c r="AG1095" s="123" t="n"/>
      <c r="AH1095" s="55" t="inlineStr">
        <is>
          <t>RESTRIÇÕES</t>
        </is>
      </c>
      <c r="AI1095" s="133" t="n"/>
      <c r="AJ1095" s="16" t="n"/>
      <c r="AK1095" s="17" t="n"/>
      <c r="AL1095" s="132">
        <f>DADOS_INVOC!$QO$149</f>
        <v/>
      </c>
      <c r="AM1095" s="123" t="n"/>
      <c r="AN1095" s="55" t="inlineStr">
        <is>
          <t>RESTRIÇÕES</t>
        </is>
      </c>
      <c r="AO1095" s="133" t="n"/>
      <c r="AP1095" s="16" t="n"/>
      <c r="AQ1095" s="17" t="n"/>
      <c r="AR1095" s="132">
        <f>DADOS_INVOC!$QO$150</f>
        <v/>
      </c>
      <c r="AS1095" s="123" t="n"/>
    </row>
    <row r="1096" hidden="1" outlineLevel="3">
      <c r="A1096" s="8" t="n"/>
      <c r="B1096" s="14" t="n"/>
      <c r="C1096" s="123" t="n"/>
      <c r="D1096" s="123" t="n"/>
      <c r="E1096" s="123" t="n"/>
      <c r="F1096" s="123" t="n"/>
      <c r="G1096" s="123" t="n"/>
      <c r="I1096" s="128" t="n"/>
      <c r="J1096" s="133" t="n"/>
      <c r="K1096" s="16" t="n"/>
      <c r="L1096" s="17" t="n"/>
      <c r="M1096" s="132">
        <f>DADOS_INVOC!$QP$70</f>
        <v/>
      </c>
      <c r="N1096" s="123" t="n"/>
      <c r="O1096" s="128" t="n"/>
      <c r="P1096" s="133" t="n"/>
      <c r="Q1096" s="16" t="n"/>
      <c r="R1096" s="17" t="n"/>
      <c r="S1096" s="132">
        <f>DADOS_INVOC!$QP$71</f>
        <v/>
      </c>
      <c r="T1096" s="123" t="n"/>
      <c r="U1096" s="128" t="n"/>
      <c r="V1096" s="133" t="n"/>
      <c r="W1096" s="16" t="n"/>
      <c r="X1096" s="17" t="n"/>
      <c r="Y1096" s="132">
        <f>DADOS_INVOC!$QP$72</f>
        <v/>
      </c>
      <c r="Z1096" s="123" t="n"/>
      <c r="AB1096" s="128" t="n"/>
      <c r="AC1096" s="133" t="n"/>
      <c r="AD1096" s="16" t="n"/>
      <c r="AE1096" s="17" t="n"/>
      <c r="AF1096" s="132">
        <f>DADOS_INVOC!$QP$148</f>
        <v/>
      </c>
      <c r="AG1096" s="123" t="n"/>
      <c r="AH1096" s="128" t="n"/>
      <c r="AI1096" s="133" t="n"/>
      <c r="AJ1096" s="16" t="n"/>
      <c r="AK1096" s="17" t="n"/>
      <c r="AL1096" s="132">
        <f>DADOS_INVOC!$QP$149</f>
        <v/>
      </c>
      <c r="AM1096" s="123" t="n"/>
      <c r="AN1096" s="128" t="n"/>
      <c r="AO1096" s="133" t="n"/>
      <c r="AP1096" s="16" t="n"/>
      <c r="AQ1096" s="17" t="n"/>
      <c r="AR1096" s="132">
        <f>DADOS_INVOC!$QP$150</f>
        <v/>
      </c>
      <c r="AS1096" s="123" t="n"/>
    </row>
    <row r="1097" hidden="1" outlineLevel="3">
      <c r="A1097" s="8" t="n"/>
      <c r="B1097" s="14" t="n"/>
      <c r="C1097" s="123" t="n"/>
      <c r="D1097" s="123" t="n"/>
      <c r="E1097" s="123" t="n"/>
      <c r="F1097" s="123" t="n"/>
      <c r="G1097" s="123" t="n"/>
      <c r="I1097" s="55" t="inlineStr">
        <is>
          <t>CONTA</t>
        </is>
      </c>
      <c r="J1097" s="135">
        <f>DADOS_INVOC!$QI$70</f>
        <v/>
      </c>
      <c r="K1097" s="16" t="n"/>
      <c r="L1097" s="16" t="n"/>
      <c r="M1097" s="17" t="n"/>
      <c r="N1097" s="123" t="n"/>
      <c r="O1097" s="55" t="inlineStr">
        <is>
          <t>CONTA</t>
        </is>
      </c>
      <c r="P1097" s="135">
        <f>DADOS_INVOC!$QI$71</f>
        <v/>
      </c>
      <c r="Q1097" s="16" t="n"/>
      <c r="R1097" s="16" t="n"/>
      <c r="S1097" s="17" t="n"/>
      <c r="T1097" s="123" t="n"/>
      <c r="U1097" s="55" t="inlineStr">
        <is>
          <t>CONTA</t>
        </is>
      </c>
      <c r="V1097" s="135">
        <f>DADOS_INVOC!$QI$72</f>
        <v/>
      </c>
      <c r="W1097" s="16" t="n"/>
      <c r="X1097" s="16" t="n"/>
      <c r="Y1097" s="17" t="n"/>
      <c r="Z1097" s="123" t="n"/>
      <c r="AB1097" s="55" t="inlineStr">
        <is>
          <t>CONTA</t>
        </is>
      </c>
      <c r="AC1097" s="135">
        <f>DADOS_INVOC!$QI$148</f>
        <v/>
      </c>
      <c r="AD1097" s="16" t="n"/>
      <c r="AE1097" s="16" t="n"/>
      <c r="AF1097" s="17" t="n"/>
      <c r="AG1097" s="123" t="n"/>
      <c r="AH1097" s="55" t="inlineStr">
        <is>
          <t>CONTA</t>
        </is>
      </c>
      <c r="AI1097" s="135">
        <f>DADOS_INVOC!$QI$149</f>
        <v/>
      </c>
      <c r="AJ1097" s="16" t="n"/>
      <c r="AK1097" s="16" t="n"/>
      <c r="AL1097" s="17" t="n"/>
      <c r="AM1097" s="123" t="n"/>
      <c r="AN1097" s="55" t="inlineStr">
        <is>
          <t>CONTA</t>
        </is>
      </c>
      <c r="AO1097" s="135">
        <f>DADOS_INVOC!$QI$150</f>
        <v/>
      </c>
      <c r="AP1097" s="16" t="n"/>
      <c r="AQ1097" s="16" t="n"/>
      <c r="AR1097" s="17" t="n"/>
      <c r="AS1097" s="123" t="n"/>
    </row>
    <row r="1098" hidden="1" outlineLevel="3">
      <c r="A1098" s="8" t="n"/>
      <c r="B1098" s="14" t="n"/>
      <c r="C1098" s="123" t="n"/>
      <c r="D1098" s="123" t="n"/>
      <c r="E1098" s="123" t="n"/>
      <c r="F1098" s="123" t="n"/>
      <c r="G1098" s="123" t="n"/>
      <c r="I1098" s="55" t="inlineStr">
        <is>
          <t>AMPLIAR</t>
        </is>
      </c>
      <c r="J1098" s="135">
        <f>DADOS_INVOC!$QJ$70</f>
        <v/>
      </c>
      <c r="K1098" s="19" t="n"/>
      <c r="L1098" s="19" t="n"/>
      <c r="M1098" s="20" t="n"/>
      <c r="N1098" s="123" t="n"/>
      <c r="O1098" s="55" t="inlineStr">
        <is>
          <t>AMPLIAR</t>
        </is>
      </c>
      <c r="P1098" s="135">
        <f>DADOS_INVOC!$QJ$71</f>
        <v/>
      </c>
      <c r="Q1098" s="19" t="n"/>
      <c r="R1098" s="19" t="n"/>
      <c r="S1098" s="20" t="n"/>
      <c r="T1098" s="123" t="n"/>
      <c r="U1098" s="55" t="inlineStr">
        <is>
          <t>AMPLIAR</t>
        </is>
      </c>
      <c r="V1098" s="135">
        <f>DADOS_INVOC!$QJ$72</f>
        <v/>
      </c>
      <c r="W1098" s="19" t="n"/>
      <c r="X1098" s="19" t="n"/>
      <c r="Y1098" s="20" t="n"/>
      <c r="Z1098" s="123" t="n"/>
      <c r="AB1098" s="55" t="inlineStr">
        <is>
          <t>AMPLIAR</t>
        </is>
      </c>
      <c r="AC1098" s="135">
        <f>DADOS_INVOC!$QJ$148</f>
        <v/>
      </c>
      <c r="AD1098" s="19" t="n"/>
      <c r="AE1098" s="19" t="n"/>
      <c r="AF1098" s="20" t="n"/>
      <c r="AG1098" s="123" t="n"/>
      <c r="AH1098" s="55" t="inlineStr">
        <is>
          <t>AMPLIAR</t>
        </is>
      </c>
      <c r="AI1098" s="135">
        <f>DADOS_INVOC!$QJ$149</f>
        <v/>
      </c>
      <c r="AJ1098" s="19" t="n"/>
      <c r="AK1098" s="19" t="n"/>
      <c r="AL1098" s="20" t="n"/>
      <c r="AM1098" s="123" t="n"/>
      <c r="AN1098" s="55" t="inlineStr">
        <is>
          <t>AMPLIAR</t>
        </is>
      </c>
      <c r="AO1098" s="135">
        <f>DADOS_INVOC!$QJ$150</f>
        <v/>
      </c>
      <c r="AP1098" s="19" t="n"/>
      <c r="AQ1098" s="19" t="n"/>
      <c r="AR1098" s="20" t="n"/>
      <c r="AS1098" s="123" t="n"/>
    </row>
    <row r="1099" hidden="1" outlineLevel="3">
      <c r="A1099" s="8" t="n"/>
      <c r="B1099" s="14" t="n"/>
      <c r="C1099" s="123" t="n"/>
      <c r="D1099" s="123" t="n"/>
      <c r="E1099" s="123" t="n"/>
      <c r="F1099" s="123" t="n"/>
      <c r="G1099" s="123" t="n"/>
      <c r="I1099" s="128" t="n"/>
      <c r="J1099" s="23" t="n"/>
      <c r="K1099" s="24" t="n"/>
      <c r="L1099" s="24" t="n"/>
      <c r="M1099" s="25" t="n"/>
      <c r="N1099" s="123" t="n"/>
      <c r="O1099" s="128" t="n"/>
      <c r="P1099" s="23" t="n"/>
      <c r="Q1099" s="24" t="n"/>
      <c r="R1099" s="24" t="n"/>
      <c r="S1099" s="25" t="n"/>
      <c r="T1099" s="123" t="n"/>
      <c r="U1099" s="128" t="n"/>
      <c r="V1099" s="23" t="n"/>
      <c r="W1099" s="24" t="n"/>
      <c r="X1099" s="24" t="n"/>
      <c r="Y1099" s="25" t="n"/>
      <c r="Z1099" s="123" t="n"/>
      <c r="AB1099" s="128" t="n"/>
      <c r="AC1099" s="23" t="n"/>
      <c r="AD1099" s="24" t="n"/>
      <c r="AE1099" s="24" t="n"/>
      <c r="AF1099" s="25" t="n"/>
      <c r="AG1099" s="123" t="n"/>
      <c r="AH1099" s="128" t="n"/>
      <c r="AI1099" s="23" t="n"/>
      <c r="AJ1099" s="24" t="n"/>
      <c r="AK1099" s="24" t="n"/>
      <c r="AL1099" s="25" t="n"/>
      <c r="AM1099" s="123" t="n"/>
      <c r="AN1099" s="128" t="n"/>
      <c r="AO1099" s="23" t="n"/>
      <c r="AP1099" s="24" t="n"/>
      <c r="AQ1099" s="24" t="n"/>
      <c r="AR1099" s="25" t="n"/>
      <c r="AS1099" s="123" t="n"/>
    </row>
    <row r="1100" hidden="1" outlineLevel="3">
      <c r="A1100" s="8" t="n"/>
      <c r="B1100" s="14" t="n"/>
      <c r="C1100" s="123" t="n"/>
      <c r="D1100" s="123" t="n"/>
      <c r="E1100" s="123" t="n"/>
      <c r="F1100" s="123" t="n"/>
      <c r="G1100" s="123" t="n"/>
      <c r="I1100" s="135">
        <f>DADOS_INVOC!$PW$70</f>
        <v/>
      </c>
      <c r="J1100" s="19" t="n"/>
      <c r="K1100" s="19" t="n"/>
      <c r="L1100" s="19" t="n"/>
      <c r="M1100" s="20" t="n"/>
      <c r="N1100" s="123" t="n"/>
      <c r="O1100" s="135">
        <f>DADOS_INVOC!$PW$71</f>
        <v/>
      </c>
      <c r="P1100" s="19" t="n"/>
      <c r="Q1100" s="19" t="n"/>
      <c r="R1100" s="19" t="n"/>
      <c r="S1100" s="20" t="n"/>
      <c r="T1100" s="123" t="n"/>
      <c r="U1100" s="135">
        <f>DADOS_INVOC!$PW$72</f>
        <v/>
      </c>
      <c r="V1100" s="19" t="n"/>
      <c r="W1100" s="19" t="n"/>
      <c r="X1100" s="19" t="n"/>
      <c r="Y1100" s="20" t="n"/>
      <c r="Z1100" s="123" t="n"/>
      <c r="AB1100" s="135">
        <f>DADOS_INVOC!$PW$148</f>
        <v/>
      </c>
      <c r="AC1100" s="19" t="n"/>
      <c r="AD1100" s="19" t="n"/>
      <c r="AE1100" s="19" t="n"/>
      <c r="AF1100" s="20" t="n"/>
      <c r="AG1100" s="123" t="n"/>
      <c r="AH1100" s="135">
        <f>DADOS_INVOC!$PW$149</f>
        <v/>
      </c>
      <c r="AI1100" s="19" t="n"/>
      <c r="AJ1100" s="19" t="n"/>
      <c r="AK1100" s="19" t="n"/>
      <c r="AL1100" s="20" t="n"/>
      <c r="AM1100" s="123" t="n"/>
      <c r="AN1100" s="135">
        <f>DADOS_INVOC!$PW$150</f>
        <v/>
      </c>
      <c r="AO1100" s="19" t="n"/>
      <c r="AP1100" s="19" t="n"/>
      <c r="AQ1100" s="19" t="n"/>
      <c r="AR1100" s="20" t="n"/>
      <c r="AS1100" s="123" t="n"/>
    </row>
    <row r="1101" hidden="1" outlineLevel="3">
      <c r="A1101" s="8" t="n"/>
      <c r="B1101" s="14" t="n"/>
      <c r="C1101" s="123" t="n"/>
      <c r="D1101" s="123" t="n"/>
      <c r="E1101" s="123" t="n"/>
      <c r="F1101" s="123" t="n"/>
      <c r="G1101" s="123" t="n"/>
      <c r="I1101" s="23" t="n"/>
      <c r="J1101" s="24" t="n"/>
      <c r="K1101" s="24" t="n"/>
      <c r="L1101" s="24" t="n"/>
      <c r="M1101" s="25" t="n"/>
      <c r="N1101" s="123" t="n"/>
      <c r="O1101" s="23" t="n"/>
      <c r="P1101" s="24" t="n"/>
      <c r="Q1101" s="24" t="n"/>
      <c r="R1101" s="24" t="n"/>
      <c r="S1101" s="25" t="n"/>
      <c r="T1101" s="123" t="n"/>
      <c r="U1101" s="23" t="n"/>
      <c r="V1101" s="24" t="n"/>
      <c r="W1101" s="24" t="n"/>
      <c r="X1101" s="24" t="n"/>
      <c r="Y1101" s="25" t="n"/>
      <c r="Z1101" s="123" t="n"/>
      <c r="AB1101" s="23" t="n"/>
      <c r="AC1101" s="24" t="n"/>
      <c r="AD1101" s="24" t="n"/>
      <c r="AE1101" s="24" t="n"/>
      <c r="AF1101" s="25" t="n"/>
      <c r="AG1101" s="123" t="n"/>
      <c r="AH1101" s="23" t="n"/>
      <c r="AI1101" s="24" t="n"/>
      <c r="AJ1101" s="24" t="n"/>
      <c r="AK1101" s="24" t="n"/>
      <c r="AL1101" s="25" t="n"/>
      <c r="AM1101" s="123" t="n"/>
      <c r="AN1101" s="23" t="n"/>
      <c r="AO1101" s="24" t="n"/>
      <c r="AP1101" s="24" t="n"/>
      <c r="AQ1101" s="24" t="n"/>
      <c r="AR1101" s="25" t="n"/>
      <c r="AS1101" s="123" t="n"/>
    </row>
    <row r="1102" hidden="1" outlineLevel="2">
      <c r="A1102" s="8" t="n"/>
      <c r="B1102" s="14" t="n"/>
      <c r="C1102" s="123" t="n"/>
      <c r="D1102" s="123" t="n"/>
      <c r="E1102" s="123" t="n"/>
      <c r="F1102" s="123" t="n"/>
      <c r="G1102" s="123" t="n"/>
      <c r="I1102" s="123" t="n"/>
      <c r="J1102" s="123" t="n"/>
      <c r="K1102" s="123" t="n"/>
      <c r="L1102" s="123" t="n"/>
      <c r="M1102" s="123" t="n"/>
      <c r="N1102" s="123" t="n"/>
      <c r="O1102" s="123" t="n"/>
      <c r="P1102" s="123" t="n"/>
      <c r="Q1102" s="123" t="n"/>
      <c r="R1102" s="123" t="n"/>
      <c r="S1102" s="123" t="n"/>
      <c r="T1102" s="123" t="n"/>
      <c r="U1102" s="123" t="n"/>
      <c r="V1102" s="123" t="n"/>
      <c r="W1102" s="123" t="n"/>
      <c r="X1102" s="123" t="n"/>
      <c r="Y1102" s="123" t="n"/>
      <c r="Z1102" s="123" t="n"/>
      <c r="AB1102" s="123" t="n"/>
      <c r="AC1102" s="123" t="n"/>
      <c r="AD1102" s="123" t="n"/>
      <c r="AE1102" s="123" t="n"/>
      <c r="AF1102" s="123" t="n"/>
      <c r="AG1102" s="123" t="n"/>
      <c r="AH1102" s="123" t="n"/>
      <c r="AI1102" s="123" t="n"/>
      <c r="AJ1102" s="123" t="n"/>
      <c r="AK1102" s="123" t="n"/>
      <c r="AL1102" s="123" t="n"/>
      <c r="AM1102" s="123" t="n"/>
      <c r="AN1102" s="123" t="n"/>
      <c r="AO1102" s="123" t="n"/>
      <c r="AP1102" s="123" t="n"/>
      <c r="AQ1102" s="123" t="n"/>
      <c r="AR1102" s="123" t="n"/>
      <c r="AS1102" s="123" t="n"/>
    </row>
    <row r="1103" hidden="1" outlineLevel="2">
      <c r="A1103" s="8" t="n"/>
      <c r="B1103" s="14" t="n"/>
      <c r="C1103" s="123" t="n"/>
      <c r="D1103" s="123" t="n"/>
      <c r="E1103" s="123" t="n"/>
      <c r="F1103" s="123" t="n"/>
      <c r="G1103" s="123" t="n"/>
      <c r="I1103" s="55">
        <f>DADOS_INVOC!$PX$73</f>
        <v/>
      </c>
      <c r="J1103" s="16" t="n"/>
      <c r="K1103" s="16" t="n"/>
      <c r="L1103" s="16" t="n"/>
      <c r="M1103" s="17" t="n"/>
      <c r="N1103" s="123" t="n"/>
      <c r="O1103" s="55">
        <f>DADOS_INVOC!$PX$74</f>
        <v/>
      </c>
      <c r="P1103" s="16" t="n"/>
      <c r="Q1103" s="16" t="n"/>
      <c r="R1103" s="16" t="n"/>
      <c r="S1103" s="17" t="n"/>
      <c r="T1103" s="123" t="n"/>
      <c r="U1103" s="55">
        <f>DADOS_INVOC!$PX$75</f>
        <v/>
      </c>
      <c r="V1103" s="16" t="n"/>
      <c r="W1103" s="16" t="n"/>
      <c r="X1103" s="16" t="n"/>
      <c r="Y1103" s="17" t="n"/>
      <c r="Z1103" s="123" t="n"/>
      <c r="AB1103" s="55">
        <f>DADOS_INVOC!$PX$151</f>
        <v/>
      </c>
      <c r="AC1103" s="16" t="n"/>
      <c r="AD1103" s="16" t="n"/>
      <c r="AE1103" s="16" t="n"/>
      <c r="AF1103" s="17" t="n"/>
      <c r="AG1103" s="123" t="n"/>
      <c r="AH1103" s="55">
        <f>DADOS_INVOC!$PX$152</f>
        <v/>
      </c>
      <c r="AI1103" s="16" t="n"/>
      <c r="AJ1103" s="16" t="n"/>
      <c r="AK1103" s="16" t="n"/>
      <c r="AL1103" s="17" t="n"/>
      <c r="AM1103" s="123" t="n"/>
      <c r="AN1103" s="55">
        <f>DADOS_INVOC!$PX$153</f>
        <v/>
      </c>
      <c r="AO1103" s="16" t="n"/>
      <c r="AP1103" s="16" t="n"/>
      <c r="AQ1103" s="16" t="n"/>
      <c r="AR1103" s="17" t="n"/>
      <c r="AS1103" s="123" t="n"/>
    </row>
    <row r="1104" hidden="1" outlineLevel="2">
      <c r="A1104" s="8" t="n"/>
      <c r="B1104" s="14" t="n"/>
      <c r="C1104" s="123" t="n"/>
      <c r="D1104" s="123" t="n"/>
      <c r="E1104" s="123" t="n"/>
      <c r="F1104" s="123" t="n"/>
      <c r="G1104" s="123" t="n"/>
      <c r="I1104" s="130" t="n">
        <v>1</v>
      </c>
      <c r="J1104" s="118" t="n"/>
      <c r="K1104" s="16" t="n"/>
      <c r="L1104" s="17" t="n"/>
      <c r="M1104" s="131">
        <f>DADOS_INVOC!$PV$73</f>
        <v/>
      </c>
      <c r="N1104" s="123" t="n"/>
      <c r="O1104" s="130" t="n">
        <v>1</v>
      </c>
      <c r="P1104" s="118" t="n"/>
      <c r="Q1104" s="16" t="n"/>
      <c r="R1104" s="17" t="n"/>
      <c r="S1104" s="131">
        <f>DADOS_INVOC!$PV$74</f>
        <v/>
      </c>
      <c r="T1104" s="123" t="n"/>
      <c r="U1104" s="130" t="n">
        <v>1</v>
      </c>
      <c r="V1104" s="118" t="n"/>
      <c r="W1104" s="16" t="n"/>
      <c r="X1104" s="17" t="n"/>
      <c r="Y1104" s="131">
        <f>DADOS_INVOC!$PV$75</f>
        <v/>
      </c>
      <c r="Z1104" s="123" t="n"/>
      <c r="AB1104" s="130" t="n">
        <v>1</v>
      </c>
      <c r="AC1104" s="118" t="n"/>
      <c r="AD1104" s="16" t="n"/>
      <c r="AE1104" s="17" t="n"/>
      <c r="AF1104" s="131">
        <f>DADOS_INVOC!$PV$151</f>
        <v/>
      </c>
      <c r="AG1104" s="123" t="n"/>
      <c r="AH1104" s="130" t="n">
        <v>1</v>
      </c>
      <c r="AI1104" s="118" t="n"/>
      <c r="AJ1104" s="16" t="n"/>
      <c r="AK1104" s="17" t="n"/>
      <c r="AL1104" s="131">
        <f>DADOS_INVOC!$PV$152</f>
        <v/>
      </c>
      <c r="AM1104" s="123" t="n"/>
      <c r="AN1104" s="130" t="n">
        <v>1</v>
      </c>
      <c r="AO1104" s="118" t="n"/>
      <c r="AP1104" s="16" t="n"/>
      <c r="AQ1104" s="17" t="n"/>
      <c r="AR1104" s="131">
        <f>DADOS_INVOC!$PV$153</f>
        <v/>
      </c>
      <c r="AS1104" s="123" t="n"/>
    </row>
    <row r="1105" hidden="1" outlineLevel="3">
      <c r="A1105" s="8" t="n"/>
      <c r="B1105" s="14" t="n"/>
      <c r="C1105" s="123" t="n"/>
      <c r="D1105" s="123" t="n"/>
      <c r="E1105" s="123" t="n"/>
      <c r="F1105" s="123" t="n"/>
      <c r="G1105" s="123" t="n"/>
      <c r="I1105" s="55" t="inlineStr">
        <is>
          <t>COMO É</t>
        </is>
      </c>
      <c r="J1105" s="16" t="n"/>
      <c r="K1105" s="16" t="n"/>
      <c r="L1105" s="16" t="n"/>
      <c r="M1105" s="17" t="n"/>
      <c r="N1105" s="123" t="n"/>
      <c r="O1105" s="55" t="inlineStr">
        <is>
          <t>COMO É</t>
        </is>
      </c>
      <c r="P1105" s="16" t="n"/>
      <c r="Q1105" s="16" t="n"/>
      <c r="R1105" s="16" t="n"/>
      <c r="S1105" s="17" t="n"/>
      <c r="T1105" s="123" t="n"/>
      <c r="U1105" s="55" t="inlineStr">
        <is>
          <t>COMO É</t>
        </is>
      </c>
      <c r="V1105" s="16" t="n"/>
      <c r="W1105" s="16" t="n"/>
      <c r="X1105" s="16" t="n"/>
      <c r="Y1105" s="17" t="n"/>
      <c r="Z1105" s="123" t="n"/>
      <c r="AB1105" s="55" t="inlineStr">
        <is>
          <t>COMO É</t>
        </is>
      </c>
      <c r="AC1105" s="16" t="n"/>
      <c r="AD1105" s="16" t="n"/>
      <c r="AE1105" s="16" t="n"/>
      <c r="AF1105" s="17" t="n"/>
      <c r="AG1105" s="123" t="n"/>
      <c r="AH1105" s="55" t="inlineStr">
        <is>
          <t>COMO É</t>
        </is>
      </c>
      <c r="AI1105" s="16" t="n"/>
      <c r="AJ1105" s="16" t="n"/>
      <c r="AK1105" s="16" t="n"/>
      <c r="AL1105" s="17" t="n"/>
      <c r="AM1105" s="123" t="n"/>
      <c r="AN1105" s="55" t="inlineStr">
        <is>
          <t>COMO É</t>
        </is>
      </c>
      <c r="AO1105" s="16" t="n"/>
      <c r="AP1105" s="16" t="n"/>
      <c r="AQ1105" s="16" t="n"/>
      <c r="AR1105" s="17" t="n"/>
      <c r="AS1105" s="123" t="n"/>
    </row>
    <row r="1106" hidden="1" outlineLevel="3">
      <c r="A1106" s="8" t="n"/>
      <c r="B1106" s="14" t="n"/>
      <c r="C1106" s="123" t="n"/>
      <c r="D1106" s="123" t="n"/>
      <c r="E1106" s="123" t="n"/>
      <c r="F1106" s="123" t="n"/>
      <c r="G1106" s="123" t="n"/>
      <c r="I1106" s="119" t="n"/>
      <c r="J1106" s="19" t="n"/>
      <c r="K1106" s="19" t="n"/>
      <c r="L1106" s="19" t="n"/>
      <c r="M1106" s="20" t="n"/>
      <c r="N1106" s="123" t="n"/>
      <c r="O1106" s="119" t="n"/>
      <c r="P1106" s="19" t="n"/>
      <c r="Q1106" s="19" t="n"/>
      <c r="R1106" s="19" t="n"/>
      <c r="S1106" s="20" t="n"/>
      <c r="T1106" s="123" t="n"/>
      <c r="U1106" s="119" t="n"/>
      <c r="V1106" s="19" t="n"/>
      <c r="W1106" s="19" t="n"/>
      <c r="X1106" s="19" t="n"/>
      <c r="Y1106" s="20" t="n"/>
      <c r="Z1106" s="123" t="n"/>
      <c r="AB1106" s="119" t="n"/>
      <c r="AC1106" s="19" t="n"/>
      <c r="AD1106" s="19" t="n"/>
      <c r="AE1106" s="19" t="n"/>
      <c r="AF1106" s="20" t="n"/>
      <c r="AG1106" s="123" t="n"/>
      <c r="AH1106" s="119" t="n"/>
      <c r="AI1106" s="19" t="n"/>
      <c r="AJ1106" s="19" t="n"/>
      <c r="AK1106" s="19" t="n"/>
      <c r="AL1106" s="20" t="n"/>
      <c r="AM1106" s="123" t="n"/>
      <c r="AN1106" s="119" t="n"/>
      <c r="AO1106" s="19" t="n"/>
      <c r="AP1106" s="19" t="n"/>
      <c r="AQ1106" s="19" t="n"/>
      <c r="AR1106" s="20" t="n"/>
      <c r="AS1106" s="123" t="n"/>
    </row>
    <row r="1107" hidden="1" outlineLevel="3">
      <c r="A1107" s="8" t="n"/>
      <c r="B1107" s="14" t="n"/>
      <c r="C1107" s="123" t="n"/>
      <c r="D1107" s="123" t="n"/>
      <c r="E1107" s="123" t="n"/>
      <c r="F1107" s="123" t="n"/>
      <c r="G1107" s="123" t="n"/>
      <c r="I1107" s="21" t="n"/>
      <c r="M1107" s="22" t="n"/>
      <c r="N1107" s="123" t="n"/>
      <c r="O1107" s="21" t="n"/>
      <c r="S1107" s="22" t="n"/>
      <c r="T1107" s="123" t="n"/>
      <c r="U1107" s="21" t="n"/>
      <c r="Y1107" s="22" t="n"/>
      <c r="Z1107" s="123" t="n"/>
      <c r="AB1107" s="21" t="n"/>
      <c r="AF1107" s="22" t="n"/>
      <c r="AG1107" s="123" t="n"/>
      <c r="AH1107" s="21" t="n"/>
      <c r="AL1107" s="22" t="n"/>
      <c r="AM1107" s="123" t="n"/>
      <c r="AN1107" s="21" t="n"/>
      <c r="AR1107" s="22" t="n"/>
      <c r="AS1107" s="123" t="n"/>
    </row>
    <row r="1108" hidden="1" outlineLevel="3">
      <c r="A1108" s="8" t="n"/>
      <c r="B1108" s="14" t="n"/>
      <c r="C1108" s="123" t="n"/>
      <c r="D1108" s="123" t="n"/>
      <c r="E1108" s="123" t="n"/>
      <c r="F1108" s="123" t="n"/>
      <c r="G1108" s="123" t="n"/>
      <c r="I1108" s="23" t="n"/>
      <c r="J1108" s="24" t="n"/>
      <c r="K1108" s="24" t="n"/>
      <c r="L1108" s="24" t="n"/>
      <c r="M1108" s="25" t="n"/>
      <c r="N1108" s="123" t="n"/>
      <c r="O1108" s="23" t="n"/>
      <c r="P1108" s="24" t="n"/>
      <c r="Q1108" s="24" t="n"/>
      <c r="R1108" s="24" t="n"/>
      <c r="S1108" s="25" t="n"/>
      <c r="T1108" s="123" t="n"/>
      <c r="U1108" s="23" t="n"/>
      <c r="V1108" s="24" t="n"/>
      <c r="W1108" s="24" t="n"/>
      <c r="X1108" s="24" t="n"/>
      <c r="Y1108" s="25" t="n"/>
      <c r="Z1108" s="123" t="n"/>
      <c r="AB1108" s="23" t="n"/>
      <c r="AC1108" s="24" t="n"/>
      <c r="AD1108" s="24" t="n"/>
      <c r="AE1108" s="24" t="n"/>
      <c r="AF1108" s="25" t="n"/>
      <c r="AG1108" s="123" t="n"/>
      <c r="AH1108" s="23" t="n"/>
      <c r="AI1108" s="24" t="n"/>
      <c r="AJ1108" s="24" t="n"/>
      <c r="AK1108" s="24" t="n"/>
      <c r="AL1108" s="25" t="n"/>
      <c r="AM1108" s="123" t="n"/>
      <c r="AN1108" s="23" t="n"/>
      <c r="AO1108" s="24" t="n"/>
      <c r="AP1108" s="24" t="n"/>
      <c r="AQ1108" s="24" t="n"/>
      <c r="AR1108" s="25" t="n"/>
      <c r="AS1108" s="123" t="n"/>
    </row>
    <row r="1109" hidden="1" outlineLevel="2">
      <c r="A1109" s="8" t="n"/>
      <c r="B1109" s="14" t="n"/>
      <c r="C1109" s="123" t="n"/>
      <c r="D1109" s="123" t="n"/>
      <c r="E1109" s="123" t="n"/>
      <c r="F1109" s="123" t="n"/>
      <c r="G1109" s="123" t="n"/>
      <c r="I1109" s="127" t="inlineStr">
        <is>
          <t>Projétil</t>
        </is>
      </c>
      <c r="J1109" s="17" t="n"/>
      <c r="K1109" s="68">
        <f>DADOS_INVOC!$QC$73</f>
        <v/>
      </c>
      <c r="L1109" s="17" t="n"/>
      <c r="M1109" s="68">
        <f>DADOS_INVOC!$PY$73</f>
        <v/>
      </c>
      <c r="N1109" s="123" t="n"/>
      <c r="O1109" s="127" t="inlineStr">
        <is>
          <t>Projétil</t>
        </is>
      </c>
      <c r="P1109" s="17" t="n"/>
      <c r="Q1109" s="68">
        <f>DADOS_INVOC!$QC$74</f>
        <v/>
      </c>
      <c r="R1109" s="17" t="n"/>
      <c r="S1109" s="68">
        <f>DADOS_INVOC!$PY$74</f>
        <v/>
      </c>
      <c r="T1109" s="123" t="n"/>
      <c r="U1109" s="127" t="inlineStr">
        <is>
          <t>Projétil</t>
        </is>
      </c>
      <c r="V1109" s="17" t="n"/>
      <c r="W1109" s="68">
        <f>DADOS_INVOC!$QC$75</f>
        <v/>
      </c>
      <c r="X1109" s="17" t="n"/>
      <c r="Y1109" s="68">
        <f>DADOS_INVOC!$PY$75</f>
        <v/>
      </c>
      <c r="Z1109" s="123" t="n"/>
      <c r="AB1109" s="127" t="inlineStr">
        <is>
          <t>Projétil</t>
        </is>
      </c>
      <c r="AC1109" s="17" t="n"/>
      <c r="AD1109" s="68">
        <f>DADOS_INVOC!$QC$151</f>
        <v/>
      </c>
      <c r="AE1109" s="17" t="n"/>
      <c r="AF1109" s="68">
        <f>DADOS_INVOC!$PY$151</f>
        <v/>
      </c>
      <c r="AG1109" s="123" t="n"/>
      <c r="AH1109" s="127" t="inlineStr">
        <is>
          <t>Projétil</t>
        </is>
      </c>
      <c r="AI1109" s="17" t="n"/>
      <c r="AJ1109" s="68">
        <f>DADOS_INVOC!$QC$152</f>
        <v/>
      </c>
      <c r="AK1109" s="17" t="n"/>
      <c r="AL1109" s="68">
        <f>DADOS_INVOC!$PY$152</f>
        <v/>
      </c>
      <c r="AM1109" s="123" t="n"/>
      <c r="AN1109" s="127" t="inlineStr">
        <is>
          <t>Projétil</t>
        </is>
      </c>
      <c r="AO1109" s="17" t="n"/>
      <c r="AP1109" s="68">
        <f>DADOS_INVOC!$QC$153</f>
        <v/>
      </c>
      <c r="AQ1109" s="17" t="n"/>
      <c r="AR1109" s="68">
        <f>DADOS_INVOC!$PY$153</f>
        <v/>
      </c>
      <c r="AS1109" s="123" t="n"/>
    </row>
    <row r="1110" hidden="1" outlineLevel="2">
      <c r="A1110" s="8" t="n"/>
      <c r="B1110" s="14" t="n"/>
      <c r="C1110" s="123" t="n"/>
      <c r="D1110" s="123" t="n"/>
      <c r="E1110" s="123" t="n"/>
      <c r="F1110" s="123" t="n"/>
      <c r="G1110" s="123" t="n"/>
      <c r="I1110" s="127" t="n"/>
      <c r="J1110" s="17" t="n"/>
      <c r="K1110" s="127" t="n"/>
      <c r="L1110" s="16" t="n"/>
      <c r="M1110" s="17" t="n"/>
      <c r="N1110" s="123" t="n"/>
      <c r="O1110" s="127" t="n"/>
      <c r="P1110" s="17" t="n"/>
      <c r="Q1110" s="127" t="n"/>
      <c r="R1110" s="16" t="n"/>
      <c r="S1110" s="17" t="n"/>
      <c r="T1110" s="123" t="n"/>
      <c r="U1110" s="127" t="n"/>
      <c r="V1110" s="17" t="n"/>
      <c r="W1110" s="127" t="n"/>
      <c r="X1110" s="16" t="n"/>
      <c r="Y1110" s="17" t="n"/>
      <c r="Z1110" s="123" t="n"/>
      <c r="AB1110" s="127" t="n"/>
      <c r="AC1110" s="17" t="n"/>
      <c r="AD1110" s="127" t="n"/>
      <c r="AE1110" s="16" t="n"/>
      <c r="AF1110" s="17" t="n"/>
      <c r="AG1110" s="123" t="n"/>
      <c r="AH1110" s="127" t="n"/>
      <c r="AI1110" s="17" t="n"/>
      <c r="AJ1110" s="127" t="n"/>
      <c r="AK1110" s="16" t="n"/>
      <c r="AL1110" s="17" t="n"/>
      <c r="AM1110" s="123" t="n"/>
      <c r="AN1110" s="127" t="n"/>
      <c r="AO1110" s="17" t="n"/>
      <c r="AP1110" s="127" t="n"/>
      <c r="AQ1110" s="16" t="n"/>
      <c r="AR1110" s="17" t="n"/>
      <c r="AS1110" s="123" t="n"/>
    </row>
    <row r="1111" hidden="1" outlineLevel="2">
      <c r="A1111" s="8" t="n"/>
      <c r="B1111" s="14" t="n"/>
      <c r="C1111" s="123" t="n"/>
      <c r="D1111" s="123" t="n"/>
      <c r="E1111" s="123" t="n"/>
      <c r="F1111" s="123" t="n"/>
      <c r="G1111" s="123" t="n"/>
      <c r="I1111" s="127">
        <f>DADOS_INVOC!$PZ$73</f>
        <v/>
      </c>
      <c r="J1111" s="17" t="n"/>
      <c r="K1111" s="127">
        <f>DADOS_INVOC!$QB$73</f>
        <v/>
      </c>
      <c r="L1111" s="16" t="n"/>
      <c r="M1111" s="17" t="n"/>
      <c r="N1111" s="123" t="n"/>
      <c r="O1111" s="127">
        <f>DADOS_INVOC!$PZ$74</f>
        <v/>
      </c>
      <c r="P1111" s="17" t="n"/>
      <c r="Q1111" s="127">
        <f>DADOS_INVOC!$QB$74</f>
        <v/>
      </c>
      <c r="R1111" s="16" t="n"/>
      <c r="S1111" s="17" t="n"/>
      <c r="T1111" s="123" t="n"/>
      <c r="U1111" s="127">
        <f>DADOS_INVOC!$PZ$75</f>
        <v/>
      </c>
      <c r="V1111" s="17" t="n"/>
      <c r="W1111" s="127">
        <f>DADOS_INVOC!$QB$75</f>
        <v/>
      </c>
      <c r="X1111" s="16" t="n"/>
      <c r="Y1111" s="17" t="n"/>
      <c r="Z1111" s="123" t="n"/>
      <c r="AB1111" s="127">
        <f>DADOS_INVOC!$PZ$151</f>
        <v/>
      </c>
      <c r="AC1111" s="17" t="n"/>
      <c r="AD1111" s="127">
        <f>DADOS_INVOC!$QB$151</f>
        <v/>
      </c>
      <c r="AE1111" s="16" t="n"/>
      <c r="AF1111" s="17" t="n"/>
      <c r="AG1111" s="123" t="n"/>
      <c r="AH1111" s="127">
        <f>DADOS_INVOC!$PZ$152</f>
        <v/>
      </c>
      <c r="AI1111" s="17" t="n"/>
      <c r="AJ1111" s="127">
        <f>DADOS_INVOC!$QB$152</f>
        <v/>
      </c>
      <c r="AK1111" s="16" t="n"/>
      <c r="AL1111" s="17" t="n"/>
      <c r="AM1111" s="123" t="n"/>
      <c r="AN1111" s="127">
        <f>DADOS_INVOC!$PZ$153</f>
        <v/>
      </c>
      <c r="AO1111" s="17" t="n"/>
      <c r="AP1111" s="127">
        <f>DADOS_INVOC!$QB$153</f>
        <v/>
      </c>
      <c r="AQ1111" s="16" t="n"/>
      <c r="AR1111" s="17" t="n"/>
      <c r="AS1111" s="123" t="n"/>
    </row>
    <row r="1112" hidden="1" outlineLevel="2">
      <c r="A1112" s="8" t="n"/>
      <c r="B1112" s="14" t="n"/>
      <c r="C1112" s="123" t="n"/>
      <c r="D1112" s="123" t="n"/>
      <c r="E1112" s="123" t="n"/>
      <c r="F1112" s="123" t="n"/>
      <c r="G1112" s="123" t="n"/>
      <c r="I1112" s="132">
        <f>DADOS_INVOC!$QH$73</f>
        <v/>
      </c>
      <c r="J1112" s="16" t="n"/>
      <c r="K1112" s="16" t="n"/>
      <c r="L1112" s="16" t="n"/>
      <c r="M1112" s="17" t="n"/>
      <c r="N1112" s="123" t="n"/>
      <c r="O1112" s="132">
        <f>DADOS_INVOC!$QH$74</f>
        <v/>
      </c>
      <c r="P1112" s="16" t="n"/>
      <c r="Q1112" s="16" t="n"/>
      <c r="R1112" s="16" t="n"/>
      <c r="S1112" s="17" t="n"/>
      <c r="T1112" s="123" t="n"/>
      <c r="U1112" s="132">
        <f>DADOS_INVOC!$QH$75</f>
        <v/>
      </c>
      <c r="V1112" s="16" t="n"/>
      <c r="W1112" s="16" t="n"/>
      <c r="X1112" s="16" t="n"/>
      <c r="Y1112" s="17" t="n"/>
      <c r="Z1112" s="123" t="n"/>
      <c r="AB1112" s="132">
        <f>DADOS_INVOC!$QH$151</f>
        <v/>
      </c>
      <c r="AC1112" s="16" t="n"/>
      <c r="AD1112" s="16" t="n"/>
      <c r="AE1112" s="16" t="n"/>
      <c r="AF1112" s="17" t="n"/>
      <c r="AG1112" s="123" t="n"/>
      <c r="AH1112" s="132">
        <f>DADOS_INVOC!$QH$152</f>
        <v/>
      </c>
      <c r="AI1112" s="16" t="n"/>
      <c r="AJ1112" s="16" t="n"/>
      <c r="AK1112" s="16" t="n"/>
      <c r="AL1112" s="17" t="n"/>
      <c r="AM1112" s="123" t="n"/>
      <c r="AN1112" s="132">
        <f>DADOS_INVOC!$QH$153</f>
        <v/>
      </c>
      <c r="AO1112" s="16" t="n"/>
      <c r="AP1112" s="16" t="n"/>
      <c r="AQ1112" s="16" t="n"/>
      <c r="AR1112" s="17" t="n"/>
      <c r="AS1112" s="123" t="n"/>
    </row>
    <row r="1113" hidden="1" outlineLevel="3">
      <c r="A1113" s="8" t="n"/>
      <c r="B1113" s="14" t="n"/>
      <c r="C1113" s="123" t="n"/>
      <c r="D1113" s="123" t="n"/>
      <c r="E1113" s="123" t="n"/>
      <c r="F1113" s="123" t="n"/>
      <c r="G1113" s="123" t="n"/>
      <c r="I1113" s="55" t="inlineStr">
        <is>
          <t>MELHORIAS</t>
        </is>
      </c>
      <c r="J1113" s="133" t="n"/>
      <c r="K1113" s="16" t="n"/>
      <c r="L1113" s="17" t="n"/>
      <c r="M1113" s="132">
        <f>DADOS_INVOC!$QK$73</f>
        <v/>
      </c>
      <c r="N1113" s="123" t="n"/>
      <c r="O1113" s="55" t="inlineStr">
        <is>
          <t>MELHORIAS</t>
        </is>
      </c>
      <c r="P1113" s="133" t="n"/>
      <c r="Q1113" s="16" t="n"/>
      <c r="R1113" s="17" t="n"/>
      <c r="S1113" s="132">
        <f>DADOS_INVOC!$QK$74</f>
        <v/>
      </c>
      <c r="T1113" s="123" t="n"/>
      <c r="U1113" s="55" t="inlineStr">
        <is>
          <t>MELHORIAS</t>
        </is>
      </c>
      <c r="V1113" s="133" t="n"/>
      <c r="W1113" s="16" t="n"/>
      <c r="X1113" s="17" t="n"/>
      <c r="Y1113" s="132">
        <f>DADOS_INVOC!$QK$75</f>
        <v/>
      </c>
      <c r="Z1113" s="123" t="n"/>
      <c r="AB1113" s="55" t="inlineStr">
        <is>
          <t>MELHORIAS</t>
        </is>
      </c>
      <c r="AC1113" s="133" t="n"/>
      <c r="AD1113" s="16" t="n"/>
      <c r="AE1113" s="17" t="n"/>
      <c r="AF1113" s="132">
        <f>DADOS_INVOC!$QK$151</f>
        <v/>
      </c>
      <c r="AG1113" s="123" t="n"/>
      <c r="AH1113" s="55" t="inlineStr">
        <is>
          <t>MELHORIAS</t>
        </is>
      </c>
      <c r="AI1113" s="133" t="n"/>
      <c r="AJ1113" s="16" t="n"/>
      <c r="AK1113" s="17" t="n"/>
      <c r="AL1113" s="132">
        <f>DADOS_INVOC!$QK$152</f>
        <v/>
      </c>
      <c r="AM1113" s="123" t="n"/>
      <c r="AN1113" s="55" t="inlineStr">
        <is>
          <t>MELHORIAS</t>
        </is>
      </c>
      <c r="AO1113" s="133" t="n"/>
      <c r="AP1113" s="16" t="n"/>
      <c r="AQ1113" s="17" t="n"/>
      <c r="AR1113" s="132">
        <f>DADOS_INVOC!$QK$153</f>
        <v/>
      </c>
      <c r="AS1113" s="123" t="n"/>
    </row>
    <row r="1114" hidden="1" outlineLevel="3">
      <c r="A1114" s="8" t="n"/>
      <c r="B1114" s="14" t="n"/>
      <c r="C1114" s="123" t="n"/>
      <c r="D1114" s="123" t="n"/>
      <c r="E1114" s="123" t="n"/>
      <c r="F1114" s="123" t="n"/>
      <c r="G1114" s="123" t="n"/>
      <c r="I1114" s="134" t="n"/>
      <c r="J1114" s="133" t="n"/>
      <c r="K1114" s="16" t="n"/>
      <c r="L1114" s="17" t="n"/>
      <c r="M1114" s="132">
        <f>DADOS_INVOC!$QL$73</f>
        <v/>
      </c>
      <c r="N1114" s="123" t="n"/>
      <c r="O1114" s="134" t="n"/>
      <c r="P1114" s="133" t="n"/>
      <c r="Q1114" s="16" t="n"/>
      <c r="R1114" s="17" t="n"/>
      <c r="S1114" s="132">
        <f>DADOS_INVOC!$QL$74</f>
        <v/>
      </c>
      <c r="T1114" s="123" t="n"/>
      <c r="U1114" s="134" t="n"/>
      <c r="V1114" s="133" t="n"/>
      <c r="W1114" s="16" t="n"/>
      <c r="X1114" s="17" t="n"/>
      <c r="Y1114" s="132">
        <f>DADOS_INVOC!$QL$75</f>
        <v/>
      </c>
      <c r="Z1114" s="123" t="n"/>
      <c r="AB1114" s="134" t="n"/>
      <c r="AC1114" s="133" t="n"/>
      <c r="AD1114" s="16" t="n"/>
      <c r="AE1114" s="17" t="n"/>
      <c r="AF1114" s="132">
        <f>DADOS_INVOC!$QL$151</f>
        <v/>
      </c>
      <c r="AG1114" s="123" t="n"/>
      <c r="AH1114" s="134" t="n"/>
      <c r="AI1114" s="133" t="n"/>
      <c r="AJ1114" s="16" t="n"/>
      <c r="AK1114" s="17" t="n"/>
      <c r="AL1114" s="132">
        <f>DADOS_INVOC!$QL$152</f>
        <v/>
      </c>
      <c r="AM1114" s="123" t="n"/>
      <c r="AN1114" s="134" t="n"/>
      <c r="AO1114" s="133" t="n"/>
      <c r="AP1114" s="16" t="n"/>
      <c r="AQ1114" s="17" t="n"/>
      <c r="AR1114" s="132">
        <f>DADOS_INVOC!$QL$153</f>
        <v/>
      </c>
      <c r="AS1114" s="123" t="n"/>
    </row>
    <row r="1115" hidden="1" outlineLevel="3">
      <c r="A1115" s="8" t="n"/>
      <c r="B1115" s="14" t="n"/>
      <c r="C1115" s="123" t="n"/>
      <c r="D1115" s="123" t="n"/>
      <c r="E1115" s="123" t="n"/>
      <c r="F1115" s="123" t="n"/>
      <c r="G1115" s="123" t="n"/>
      <c r="I1115" s="134" t="n"/>
      <c r="J1115" s="133" t="n"/>
      <c r="K1115" s="16" t="n"/>
      <c r="L1115" s="17" t="n"/>
      <c r="M1115" s="132">
        <f>DADOS_INVOC!$QM$73</f>
        <v/>
      </c>
      <c r="N1115" s="123" t="n"/>
      <c r="O1115" s="134" t="n"/>
      <c r="P1115" s="133" t="n"/>
      <c r="Q1115" s="16" t="n"/>
      <c r="R1115" s="17" t="n"/>
      <c r="S1115" s="132">
        <f>DADOS_INVOC!$QM$74</f>
        <v/>
      </c>
      <c r="T1115" s="123" t="n"/>
      <c r="U1115" s="134" t="n"/>
      <c r="V1115" s="133" t="n"/>
      <c r="W1115" s="16" t="n"/>
      <c r="X1115" s="17" t="n"/>
      <c r="Y1115" s="132">
        <f>DADOS_INVOC!$QM$75</f>
        <v/>
      </c>
      <c r="Z1115" s="123" t="n"/>
      <c r="AB1115" s="134" t="n"/>
      <c r="AC1115" s="133" t="n"/>
      <c r="AD1115" s="16" t="n"/>
      <c r="AE1115" s="17" t="n"/>
      <c r="AF1115" s="132">
        <f>DADOS_INVOC!$QM$151</f>
        <v/>
      </c>
      <c r="AG1115" s="123" t="n"/>
      <c r="AH1115" s="134" t="n"/>
      <c r="AI1115" s="133" t="n"/>
      <c r="AJ1115" s="16" t="n"/>
      <c r="AK1115" s="17" t="n"/>
      <c r="AL1115" s="132">
        <f>DADOS_INVOC!$QM$152</f>
        <v/>
      </c>
      <c r="AM1115" s="123" t="n"/>
      <c r="AN1115" s="134" t="n"/>
      <c r="AO1115" s="133" t="n"/>
      <c r="AP1115" s="16" t="n"/>
      <c r="AQ1115" s="17" t="n"/>
      <c r="AR1115" s="132">
        <f>DADOS_INVOC!$QM$153</f>
        <v/>
      </c>
      <c r="AS1115" s="123" t="n"/>
    </row>
    <row r="1116" hidden="1" outlineLevel="3">
      <c r="A1116" s="8" t="n"/>
      <c r="B1116" s="14" t="n"/>
      <c r="C1116" s="123" t="n"/>
      <c r="D1116" s="123" t="n"/>
      <c r="E1116" s="123" t="n"/>
      <c r="F1116" s="123" t="n"/>
      <c r="G1116" s="123" t="n"/>
      <c r="I1116" s="128" t="n"/>
      <c r="J1116" s="133" t="n"/>
      <c r="K1116" s="16" t="n"/>
      <c r="L1116" s="17" t="n"/>
      <c r="M1116" s="132">
        <f>DADOS_INVOC!$QN$73</f>
        <v/>
      </c>
      <c r="N1116" s="123" t="n"/>
      <c r="O1116" s="128" t="n"/>
      <c r="P1116" s="133" t="n"/>
      <c r="Q1116" s="16" t="n"/>
      <c r="R1116" s="17" t="n"/>
      <c r="S1116" s="132">
        <f>DADOS_INVOC!$QN$74</f>
        <v/>
      </c>
      <c r="T1116" s="123" t="n"/>
      <c r="U1116" s="128" t="n"/>
      <c r="V1116" s="133" t="n"/>
      <c r="W1116" s="16" t="n"/>
      <c r="X1116" s="17" t="n"/>
      <c r="Y1116" s="132">
        <f>DADOS_INVOC!$QN$75</f>
        <v/>
      </c>
      <c r="Z1116" s="123" t="n"/>
      <c r="AB1116" s="128" t="n"/>
      <c r="AC1116" s="133" t="n"/>
      <c r="AD1116" s="16" t="n"/>
      <c r="AE1116" s="17" t="n"/>
      <c r="AF1116" s="132">
        <f>DADOS_INVOC!$QN$151</f>
        <v/>
      </c>
      <c r="AG1116" s="123" t="n"/>
      <c r="AH1116" s="128" t="n"/>
      <c r="AI1116" s="133" t="n"/>
      <c r="AJ1116" s="16" t="n"/>
      <c r="AK1116" s="17" t="n"/>
      <c r="AL1116" s="132">
        <f>DADOS_INVOC!$QN$152</f>
        <v/>
      </c>
      <c r="AM1116" s="123" t="n"/>
      <c r="AN1116" s="128" t="n"/>
      <c r="AO1116" s="133" t="n"/>
      <c r="AP1116" s="16" t="n"/>
      <c r="AQ1116" s="17" t="n"/>
      <c r="AR1116" s="132">
        <f>DADOS_INVOC!$QN$153</f>
        <v/>
      </c>
      <c r="AS1116" s="123" t="n"/>
    </row>
    <row r="1117" hidden="1" outlineLevel="3">
      <c r="A1117" s="8" t="n"/>
      <c r="B1117" s="14" t="n"/>
      <c r="C1117" s="123" t="n"/>
      <c r="D1117" s="123" t="n"/>
      <c r="E1117" s="123" t="n"/>
      <c r="F1117" s="123" t="n"/>
      <c r="G1117" s="123" t="n"/>
      <c r="I1117" s="55" t="inlineStr">
        <is>
          <t>RESTRIÇÕES</t>
        </is>
      </c>
      <c r="J1117" s="133" t="n"/>
      <c r="K1117" s="16" t="n"/>
      <c r="L1117" s="17" t="n"/>
      <c r="M1117" s="132">
        <f>DADOS_INVOC!$QO$73</f>
        <v/>
      </c>
      <c r="N1117" s="123" t="n"/>
      <c r="O1117" s="55" t="inlineStr">
        <is>
          <t>RESTRIÇÕES</t>
        </is>
      </c>
      <c r="P1117" s="133" t="n"/>
      <c r="Q1117" s="16" t="n"/>
      <c r="R1117" s="17" t="n"/>
      <c r="S1117" s="132">
        <f>DADOS_INVOC!$QO$74</f>
        <v/>
      </c>
      <c r="T1117" s="123" t="n"/>
      <c r="U1117" s="55" t="inlineStr">
        <is>
          <t>RESTRIÇÕES</t>
        </is>
      </c>
      <c r="V1117" s="133" t="n"/>
      <c r="W1117" s="16" t="n"/>
      <c r="X1117" s="17" t="n"/>
      <c r="Y1117" s="132">
        <f>DADOS_INVOC!$QO$75</f>
        <v/>
      </c>
      <c r="Z1117" s="123" t="n"/>
      <c r="AB1117" s="55" t="inlineStr">
        <is>
          <t>RESTRIÇÕES</t>
        </is>
      </c>
      <c r="AC1117" s="133" t="n"/>
      <c r="AD1117" s="16" t="n"/>
      <c r="AE1117" s="17" t="n"/>
      <c r="AF1117" s="132">
        <f>DADOS_INVOC!$QO$151</f>
        <v/>
      </c>
      <c r="AG1117" s="123" t="n"/>
      <c r="AH1117" s="55" t="inlineStr">
        <is>
          <t>RESTRIÇÕES</t>
        </is>
      </c>
      <c r="AI1117" s="133" t="n"/>
      <c r="AJ1117" s="16" t="n"/>
      <c r="AK1117" s="17" t="n"/>
      <c r="AL1117" s="132">
        <f>DADOS_INVOC!$QO$152</f>
        <v/>
      </c>
      <c r="AM1117" s="123" t="n"/>
      <c r="AN1117" s="55" t="inlineStr">
        <is>
          <t>RESTRIÇÕES</t>
        </is>
      </c>
      <c r="AO1117" s="133" t="n"/>
      <c r="AP1117" s="16" t="n"/>
      <c r="AQ1117" s="17" t="n"/>
      <c r="AR1117" s="132">
        <f>DADOS_INVOC!$QO$153</f>
        <v/>
      </c>
      <c r="AS1117" s="123" t="n"/>
    </row>
    <row r="1118" hidden="1" outlineLevel="3">
      <c r="A1118" s="8" t="n"/>
      <c r="B1118" s="14" t="n"/>
      <c r="C1118" s="123" t="n"/>
      <c r="D1118" s="123" t="n"/>
      <c r="E1118" s="123" t="n"/>
      <c r="F1118" s="123" t="n"/>
      <c r="G1118" s="123" t="n"/>
      <c r="I1118" s="128" t="n"/>
      <c r="J1118" s="133" t="n"/>
      <c r="K1118" s="16" t="n"/>
      <c r="L1118" s="17" t="n"/>
      <c r="M1118" s="132">
        <f>DADOS_INVOC!$QP$73</f>
        <v/>
      </c>
      <c r="N1118" s="123" t="n"/>
      <c r="O1118" s="128" t="n"/>
      <c r="P1118" s="133" t="n"/>
      <c r="Q1118" s="16" t="n"/>
      <c r="R1118" s="17" t="n"/>
      <c r="S1118" s="132">
        <f>DADOS_INVOC!$QP$74</f>
        <v/>
      </c>
      <c r="T1118" s="123" t="n"/>
      <c r="U1118" s="128" t="n"/>
      <c r="V1118" s="133" t="n"/>
      <c r="W1118" s="16" t="n"/>
      <c r="X1118" s="17" t="n"/>
      <c r="Y1118" s="132">
        <f>DADOS_INVOC!$QP$75</f>
        <v/>
      </c>
      <c r="Z1118" s="123" t="n"/>
      <c r="AB1118" s="128" t="n"/>
      <c r="AC1118" s="133" t="n"/>
      <c r="AD1118" s="16" t="n"/>
      <c r="AE1118" s="17" t="n"/>
      <c r="AF1118" s="132">
        <f>DADOS_INVOC!$QP$151</f>
        <v/>
      </c>
      <c r="AG1118" s="123" t="n"/>
      <c r="AH1118" s="128" t="n"/>
      <c r="AI1118" s="133" t="n"/>
      <c r="AJ1118" s="16" t="n"/>
      <c r="AK1118" s="17" t="n"/>
      <c r="AL1118" s="132">
        <f>DADOS_INVOC!$QP$152</f>
        <v/>
      </c>
      <c r="AM1118" s="123" t="n"/>
      <c r="AN1118" s="128" t="n"/>
      <c r="AO1118" s="133" t="n"/>
      <c r="AP1118" s="16" t="n"/>
      <c r="AQ1118" s="17" t="n"/>
      <c r="AR1118" s="132">
        <f>DADOS_INVOC!$QP$153</f>
        <v/>
      </c>
      <c r="AS1118" s="123" t="n"/>
    </row>
    <row r="1119" hidden="1" outlineLevel="3">
      <c r="A1119" s="8" t="n"/>
      <c r="B1119" s="14" t="n"/>
      <c r="C1119" s="123" t="n"/>
      <c r="D1119" s="123" t="n"/>
      <c r="E1119" s="123" t="n"/>
      <c r="F1119" s="123" t="n"/>
      <c r="G1119" s="123" t="n"/>
      <c r="I1119" s="55" t="inlineStr">
        <is>
          <t>CONTA</t>
        </is>
      </c>
      <c r="J1119" s="135">
        <f>DADOS_INVOC!$QI$73</f>
        <v/>
      </c>
      <c r="K1119" s="16" t="n"/>
      <c r="L1119" s="16" t="n"/>
      <c r="M1119" s="17" t="n"/>
      <c r="N1119" s="123" t="n"/>
      <c r="O1119" s="55" t="inlineStr">
        <is>
          <t>CONTA</t>
        </is>
      </c>
      <c r="P1119" s="135">
        <f>DADOS_INVOC!$QI$74</f>
        <v/>
      </c>
      <c r="Q1119" s="16" t="n"/>
      <c r="R1119" s="16" t="n"/>
      <c r="S1119" s="17" t="n"/>
      <c r="T1119" s="123" t="n"/>
      <c r="U1119" s="55" t="inlineStr">
        <is>
          <t>CONTA</t>
        </is>
      </c>
      <c r="V1119" s="135">
        <f>DADOS_INVOC!$QI$75</f>
        <v/>
      </c>
      <c r="W1119" s="16" t="n"/>
      <c r="X1119" s="16" t="n"/>
      <c r="Y1119" s="17" t="n"/>
      <c r="Z1119" s="123" t="n"/>
      <c r="AB1119" s="55" t="inlineStr">
        <is>
          <t>CONTA</t>
        </is>
      </c>
      <c r="AC1119" s="135">
        <f>DADOS_INVOC!$QI$151</f>
        <v/>
      </c>
      <c r="AD1119" s="16" t="n"/>
      <c r="AE1119" s="16" t="n"/>
      <c r="AF1119" s="17" t="n"/>
      <c r="AG1119" s="123" t="n"/>
      <c r="AH1119" s="55" t="inlineStr">
        <is>
          <t>CONTA</t>
        </is>
      </c>
      <c r="AI1119" s="135">
        <f>DADOS_INVOC!$QI$152</f>
        <v/>
      </c>
      <c r="AJ1119" s="16" t="n"/>
      <c r="AK1119" s="16" t="n"/>
      <c r="AL1119" s="17" t="n"/>
      <c r="AM1119" s="123" t="n"/>
      <c r="AN1119" s="55" t="inlineStr">
        <is>
          <t>CONTA</t>
        </is>
      </c>
      <c r="AO1119" s="135">
        <f>DADOS_INVOC!$QI$153</f>
        <v/>
      </c>
      <c r="AP1119" s="16" t="n"/>
      <c r="AQ1119" s="16" t="n"/>
      <c r="AR1119" s="17" t="n"/>
      <c r="AS1119" s="123" t="n"/>
    </row>
    <row r="1120" hidden="1" outlineLevel="3">
      <c r="A1120" s="8" t="n"/>
      <c r="B1120" s="14" t="n"/>
      <c r="C1120" s="123" t="n"/>
      <c r="D1120" s="123" t="n"/>
      <c r="E1120" s="123" t="n"/>
      <c r="F1120" s="123" t="n"/>
      <c r="G1120" s="123" t="n"/>
      <c r="I1120" s="55" t="inlineStr">
        <is>
          <t>AMPLIAR</t>
        </is>
      </c>
      <c r="J1120" s="135">
        <f>DADOS_INVOC!$QJ$73</f>
        <v/>
      </c>
      <c r="K1120" s="19" t="n"/>
      <c r="L1120" s="19" t="n"/>
      <c r="M1120" s="20" t="n"/>
      <c r="N1120" s="123" t="n"/>
      <c r="O1120" s="55" t="inlineStr">
        <is>
          <t>AMPLIAR</t>
        </is>
      </c>
      <c r="P1120" s="135">
        <f>DADOS_INVOC!$QJ$74</f>
        <v/>
      </c>
      <c r="Q1120" s="19" t="n"/>
      <c r="R1120" s="19" t="n"/>
      <c r="S1120" s="20" t="n"/>
      <c r="T1120" s="123" t="n"/>
      <c r="U1120" s="55" t="inlineStr">
        <is>
          <t>AMPLIAR</t>
        </is>
      </c>
      <c r="V1120" s="135">
        <f>DADOS_INVOC!$QJ$75</f>
        <v/>
      </c>
      <c r="W1120" s="19" t="n"/>
      <c r="X1120" s="19" t="n"/>
      <c r="Y1120" s="20" t="n"/>
      <c r="Z1120" s="123" t="n"/>
      <c r="AB1120" s="55" t="inlineStr">
        <is>
          <t>AMPLIAR</t>
        </is>
      </c>
      <c r="AC1120" s="135">
        <f>DADOS_INVOC!$QJ$151</f>
        <v/>
      </c>
      <c r="AD1120" s="19" t="n"/>
      <c r="AE1120" s="19" t="n"/>
      <c r="AF1120" s="20" t="n"/>
      <c r="AG1120" s="123" t="n"/>
      <c r="AH1120" s="55" t="inlineStr">
        <is>
          <t>AMPLIAR</t>
        </is>
      </c>
      <c r="AI1120" s="135">
        <f>DADOS_INVOC!$QJ$152</f>
        <v/>
      </c>
      <c r="AJ1120" s="19" t="n"/>
      <c r="AK1120" s="19" t="n"/>
      <c r="AL1120" s="20" t="n"/>
      <c r="AM1120" s="123" t="n"/>
      <c r="AN1120" s="55" t="inlineStr">
        <is>
          <t>AMPLIAR</t>
        </is>
      </c>
      <c r="AO1120" s="135">
        <f>DADOS_INVOC!$QJ$153</f>
        <v/>
      </c>
      <c r="AP1120" s="19" t="n"/>
      <c r="AQ1120" s="19" t="n"/>
      <c r="AR1120" s="20" t="n"/>
      <c r="AS1120" s="123" t="n"/>
    </row>
    <row r="1121" hidden="1" outlineLevel="3">
      <c r="A1121" s="8" t="n"/>
      <c r="B1121" s="14" t="n"/>
      <c r="C1121" s="123" t="n"/>
      <c r="D1121" s="123" t="n"/>
      <c r="E1121" s="123" t="n"/>
      <c r="F1121" s="123" t="n"/>
      <c r="G1121" s="123" t="n"/>
      <c r="I1121" s="128" t="n"/>
      <c r="J1121" s="23" t="n"/>
      <c r="K1121" s="24" t="n"/>
      <c r="L1121" s="24" t="n"/>
      <c r="M1121" s="25" t="n"/>
      <c r="N1121" s="123" t="n"/>
      <c r="O1121" s="128" t="n"/>
      <c r="P1121" s="23" t="n"/>
      <c r="Q1121" s="24" t="n"/>
      <c r="R1121" s="24" t="n"/>
      <c r="S1121" s="25" t="n"/>
      <c r="T1121" s="123" t="n"/>
      <c r="U1121" s="128" t="n"/>
      <c r="V1121" s="23" t="n"/>
      <c r="W1121" s="24" t="n"/>
      <c r="X1121" s="24" t="n"/>
      <c r="Y1121" s="25" t="n"/>
      <c r="Z1121" s="123" t="n"/>
      <c r="AB1121" s="128" t="n"/>
      <c r="AC1121" s="23" t="n"/>
      <c r="AD1121" s="24" t="n"/>
      <c r="AE1121" s="24" t="n"/>
      <c r="AF1121" s="25" t="n"/>
      <c r="AG1121" s="123" t="n"/>
      <c r="AH1121" s="128" t="n"/>
      <c r="AI1121" s="23" t="n"/>
      <c r="AJ1121" s="24" t="n"/>
      <c r="AK1121" s="24" t="n"/>
      <c r="AL1121" s="25" t="n"/>
      <c r="AM1121" s="123" t="n"/>
      <c r="AN1121" s="128" t="n"/>
      <c r="AO1121" s="23" t="n"/>
      <c r="AP1121" s="24" t="n"/>
      <c r="AQ1121" s="24" t="n"/>
      <c r="AR1121" s="25" t="n"/>
      <c r="AS1121" s="123" t="n"/>
    </row>
    <row r="1122" hidden="1" outlineLevel="3">
      <c r="A1122" s="8" t="n"/>
      <c r="B1122" s="14" t="n"/>
      <c r="C1122" s="123" t="n"/>
      <c r="D1122" s="123" t="n"/>
      <c r="E1122" s="123" t="n"/>
      <c r="F1122" s="123" t="n"/>
      <c r="G1122" s="123" t="n"/>
      <c r="I1122" s="135">
        <f>DADOS_INVOC!$PW$73</f>
        <v/>
      </c>
      <c r="J1122" s="19" t="n"/>
      <c r="K1122" s="19" t="n"/>
      <c r="L1122" s="19" t="n"/>
      <c r="M1122" s="20" t="n"/>
      <c r="N1122" s="123" t="n"/>
      <c r="O1122" s="135">
        <f>DADOS_INVOC!$PW$74</f>
        <v/>
      </c>
      <c r="P1122" s="19" t="n"/>
      <c r="Q1122" s="19" t="n"/>
      <c r="R1122" s="19" t="n"/>
      <c r="S1122" s="20" t="n"/>
      <c r="T1122" s="123" t="n"/>
      <c r="U1122" s="135">
        <f>DADOS_INVOC!$PW$75</f>
        <v/>
      </c>
      <c r="V1122" s="19" t="n"/>
      <c r="W1122" s="19" t="n"/>
      <c r="X1122" s="19" t="n"/>
      <c r="Y1122" s="20" t="n"/>
      <c r="Z1122" s="123" t="n"/>
      <c r="AB1122" s="135">
        <f>DADOS_INVOC!$PW$151</f>
        <v/>
      </c>
      <c r="AC1122" s="19" t="n"/>
      <c r="AD1122" s="19" t="n"/>
      <c r="AE1122" s="19" t="n"/>
      <c r="AF1122" s="20" t="n"/>
      <c r="AG1122" s="123" t="n"/>
      <c r="AH1122" s="135">
        <f>DADOS_INVOC!$PW$152</f>
        <v/>
      </c>
      <c r="AI1122" s="19" t="n"/>
      <c r="AJ1122" s="19" t="n"/>
      <c r="AK1122" s="19" t="n"/>
      <c r="AL1122" s="20" t="n"/>
      <c r="AM1122" s="123" t="n"/>
      <c r="AN1122" s="135">
        <f>DADOS_INVOC!$PW$153</f>
        <v/>
      </c>
      <c r="AO1122" s="19" t="n"/>
      <c r="AP1122" s="19" t="n"/>
      <c r="AQ1122" s="19" t="n"/>
      <c r="AR1122" s="20" t="n"/>
      <c r="AS1122" s="123" t="n"/>
    </row>
    <row r="1123" hidden="1" outlineLevel="3">
      <c r="A1123" s="8" t="n"/>
      <c r="B1123" s="14" t="n"/>
      <c r="C1123" s="123" t="n"/>
      <c r="D1123" s="123" t="n"/>
      <c r="E1123" s="123" t="n"/>
      <c r="F1123" s="123" t="n"/>
      <c r="G1123" s="123" t="n"/>
      <c r="I1123" s="23" t="n"/>
      <c r="J1123" s="24" t="n"/>
      <c r="K1123" s="24" t="n"/>
      <c r="L1123" s="24" t="n"/>
      <c r="M1123" s="25" t="n"/>
      <c r="N1123" s="123" t="n"/>
      <c r="O1123" s="23" t="n"/>
      <c r="P1123" s="24" t="n"/>
      <c r="Q1123" s="24" t="n"/>
      <c r="R1123" s="24" t="n"/>
      <c r="S1123" s="25" t="n"/>
      <c r="T1123" s="123" t="n"/>
      <c r="U1123" s="23" t="n"/>
      <c r="V1123" s="24" t="n"/>
      <c r="W1123" s="24" t="n"/>
      <c r="X1123" s="24" t="n"/>
      <c r="Y1123" s="25" t="n"/>
      <c r="Z1123" s="123" t="n"/>
      <c r="AB1123" s="23" t="n"/>
      <c r="AC1123" s="24" t="n"/>
      <c r="AD1123" s="24" t="n"/>
      <c r="AE1123" s="24" t="n"/>
      <c r="AF1123" s="25" t="n"/>
      <c r="AG1123" s="123" t="n"/>
      <c r="AH1123" s="23" t="n"/>
      <c r="AI1123" s="24" t="n"/>
      <c r="AJ1123" s="24" t="n"/>
      <c r="AK1123" s="24" t="n"/>
      <c r="AL1123" s="25" t="n"/>
      <c r="AM1123" s="123" t="n"/>
      <c r="AN1123" s="23" t="n"/>
      <c r="AO1123" s="24" t="n"/>
      <c r="AP1123" s="24" t="n"/>
      <c r="AQ1123" s="24" t="n"/>
      <c r="AR1123" s="25" t="n"/>
      <c r="AS1123" s="123" t="n"/>
    </row>
    <row r="1124" hidden="1" outlineLevel="2">
      <c r="A1124" s="8" t="n"/>
      <c r="B1124" s="14" t="n"/>
      <c r="C1124" s="123" t="n"/>
      <c r="D1124" s="123" t="n"/>
      <c r="E1124" s="123" t="n"/>
      <c r="F1124" s="123" t="n"/>
      <c r="G1124" s="123" t="n"/>
      <c r="I1124" s="123" t="n"/>
      <c r="J1124" s="123" t="n"/>
      <c r="K1124" s="123" t="n"/>
      <c r="L1124" s="123" t="n"/>
      <c r="M1124" s="123" t="n"/>
      <c r="N1124" s="123" t="n"/>
      <c r="O1124" s="123" t="n"/>
      <c r="P1124" s="123" t="n"/>
      <c r="Q1124" s="123" t="n"/>
      <c r="R1124" s="123" t="n"/>
      <c r="S1124" s="123" t="n"/>
      <c r="T1124" s="123" t="n"/>
      <c r="U1124" s="123" t="n"/>
      <c r="V1124" s="123" t="n"/>
      <c r="W1124" s="123" t="n"/>
      <c r="X1124" s="123" t="n"/>
      <c r="Y1124" s="123" t="n"/>
      <c r="Z1124" s="123" t="n"/>
      <c r="AB1124" s="123" t="n"/>
      <c r="AC1124" s="123" t="n"/>
      <c r="AD1124" s="123" t="n"/>
      <c r="AE1124" s="123" t="n"/>
      <c r="AF1124" s="123" t="n"/>
      <c r="AG1124" s="123" t="n"/>
      <c r="AH1124" s="123" t="n"/>
      <c r="AI1124" s="123" t="n"/>
      <c r="AJ1124" s="123" t="n"/>
      <c r="AK1124" s="123" t="n"/>
      <c r="AL1124" s="123" t="n"/>
      <c r="AM1124" s="123" t="n"/>
      <c r="AN1124" s="123" t="n"/>
      <c r="AO1124" s="123" t="n"/>
      <c r="AP1124" s="123" t="n"/>
      <c r="AQ1124" s="123" t="n"/>
      <c r="AR1124" s="123" t="n"/>
      <c r="AS1124" s="123" t="n"/>
    </row>
    <row r="1125" hidden="1" outlineLevel="2">
      <c r="A1125" s="8" t="n"/>
      <c r="B1125" s="14" t="n"/>
      <c r="C1125" s="123" t="n"/>
      <c r="D1125" s="123" t="n"/>
      <c r="E1125" s="123" t="n"/>
      <c r="F1125" s="123" t="n"/>
      <c r="G1125" s="123" t="n"/>
      <c r="I1125" s="55">
        <f>DADOS_INVOC!$PX$76</f>
        <v/>
      </c>
      <c r="J1125" s="16" t="n"/>
      <c r="K1125" s="16" t="n"/>
      <c r="L1125" s="16" t="n"/>
      <c r="M1125" s="17" t="n"/>
      <c r="N1125" s="123" t="n"/>
      <c r="O1125" s="123" t="n"/>
      <c r="P1125" s="123" t="n"/>
      <c r="Q1125" s="123" t="n"/>
      <c r="R1125" s="123" t="n"/>
      <c r="S1125" s="123" t="n"/>
      <c r="T1125" s="123" t="n"/>
      <c r="U1125" s="123" t="n"/>
      <c r="V1125" s="123" t="n"/>
      <c r="W1125" s="123" t="n"/>
      <c r="X1125" s="123" t="n"/>
      <c r="Y1125" s="123" t="n"/>
      <c r="Z1125" s="123" t="n"/>
      <c r="AB1125" s="55">
        <f>DADOS_INVOC!$PX$154</f>
        <v/>
      </c>
      <c r="AC1125" s="16" t="n"/>
      <c r="AD1125" s="16" t="n"/>
      <c r="AE1125" s="16" t="n"/>
      <c r="AF1125" s="17" t="n"/>
      <c r="AG1125" s="123" t="n"/>
      <c r="AH1125" s="123" t="n"/>
      <c r="AI1125" s="123" t="n"/>
      <c r="AJ1125" s="123" t="n"/>
      <c r="AK1125" s="123" t="n"/>
      <c r="AL1125" s="123" t="n"/>
      <c r="AM1125" s="123" t="n"/>
      <c r="AN1125" s="123" t="n"/>
      <c r="AO1125" s="123" t="n"/>
      <c r="AP1125" s="123" t="n"/>
      <c r="AQ1125" s="123" t="n"/>
      <c r="AR1125" s="123" t="n"/>
      <c r="AS1125" s="123" t="n"/>
    </row>
    <row r="1126" hidden="1" outlineLevel="2">
      <c r="A1126" s="8" t="n"/>
      <c r="B1126" s="14" t="n"/>
      <c r="C1126" s="123" t="n"/>
      <c r="D1126" s="123" t="n"/>
      <c r="E1126" s="123" t="n"/>
      <c r="F1126" s="123" t="n"/>
      <c r="G1126" s="123" t="n"/>
      <c r="I1126" s="130" t="n">
        <v>1</v>
      </c>
      <c r="J1126" s="118" t="n"/>
      <c r="K1126" s="16" t="n"/>
      <c r="L1126" s="17" t="n"/>
      <c r="M1126" s="131">
        <f>DADOS_INVOC!$PV$76</f>
        <v/>
      </c>
      <c r="N1126" s="123" t="n"/>
      <c r="O1126" s="123" t="n"/>
      <c r="P1126" s="123" t="n"/>
      <c r="Q1126" s="123" t="n"/>
      <c r="R1126" s="123" t="n"/>
      <c r="S1126" s="123" t="n"/>
      <c r="T1126" s="123" t="n"/>
      <c r="U1126" s="123" t="n"/>
      <c r="V1126" s="123" t="n"/>
      <c r="W1126" s="123" t="n"/>
      <c r="X1126" s="123" t="n"/>
      <c r="Y1126" s="123" t="n"/>
      <c r="Z1126" s="123" t="n"/>
      <c r="AB1126" s="130" t="n">
        <v>1</v>
      </c>
      <c r="AC1126" s="118" t="n"/>
      <c r="AD1126" s="16" t="n"/>
      <c r="AE1126" s="17" t="n"/>
      <c r="AF1126" s="131">
        <f>DADOS_INVOC!$PV$154</f>
        <v/>
      </c>
      <c r="AG1126" s="123" t="n"/>
      <c r="AH1126" s="123" t="n"/>
      <c r="AI1126" s="123" t="n"/>
      <c r="AJ1126" s="123" t="n"/>
      <c r="AK1126" s="123" t="n"/>
      <c r="AL1126" s="123" t="n"/>
      <c r="AM1126" s="123" t="n"/>
      <c r="AN1126" s="123" t="n"/>
      <c r="AO1126" s="123" t="n"/>
      <c r="AP1126" s="123" t="n"/>
      <c r="AQ1126" s="123" t="n"/>
      <c r="AR1126" s="123" t="n"/>
      <c r="AS1126" s="123" t="n"/>
    </row>
    <row r="1127" hidden="1" outlineLevel="3">
      <c r="A1127" s="8" t="n"/>
      <c r="B1127" s="14" t="n"/>
      <c r="C1127" s="123" t="n"/>
      <c r="D1127" s="123" t="n"/>
      <c r="E1127" s="123" t="n"/>
      <c r="F1127" s="123" t="n"/>
      <c r="G1127" s="123" t="n"/>
      <c r="I1127" s="55" t="inlineStr">
        <is>
          <t>COMO É</t>
        </is>
      </c>
      <c r="J1127" s="16" t="n"/>
      <c r="K1127" s="16" t="n"/>
      <c r="L1127" s="16" t="n"/>
      <c r="M1127" s="17" t="n"/>
      <c r="N1127" s="123" t="n"/>
      <c r="O1127" s="123" t="n"/>
      <c r="P1127" s="123" t="n"/>
      <c r="Q1127" s="123" t="n"/>
      <c r="R1127" s="123" t="n"/>
      <c r="S1127" s="123" t="n"/>
      <c r="T1127" s="123" t="n"/>
      <c r="U1127" s="123" t="n"/>
      <c r="V1127" s="123" t="n"/>
      <c r="W1127" s="123" t="n"/>
      <c r="X1127" s="123" t="n"/>
      <c r="Y1127" s="123" t="n"/>
      <c r="Z1127" s="123" t="n"/>
      <c r="AB1127" s="55" t="inlineStr">
        <is>
          <t>COMO É</t>
        </is>
      </c>
      <c r="AC1127" s="16" t="n"/>
      <c r="AD1127" s="16" t="n"/>
      <c r="AE1127" s="16" t="n"/>
      <c r="AF1127" s="17" t="n"/>
      <c r="AG1127" s="123" t="n"/>
      <c r="AH1127" s="123" t="n"/>
      <c r="AI1127" s="123" t="n"/>
      <c r="AJ1127" s="123" t="n"/>
      <c r="AK1127" s="123" t="n"/>
      <c r="AL1127" s="123" t="n"/>
      <c r="AM1127" s="123" t="n"/>
      <c r="AN1127" s="123" t="n"/>
      <c r="AO1127" s="123" t="n"/>
      <c r="AP1127" s="123" t="n"/>
      <c r="AQ1127" s="123" t="n"/>
      <c r="AR1127" s="123" t="n"/>
      <c r="AS1127" s="123" t="n"/>
    </row>
    <row r="1128" hidden="1" outlineLevel="3">
      <c r="A1128" s="8" t="n"/>
      <c r="B1128" s="14" t="n"/>
      <c r="C1128" s="123" t="n"/>
      <c r="D1128" s="123" t="n"/>
      <c r="E1128" s="123" t="n"/>
      <c r="F1128" s="123" t="n"/>
      <c r="G1128" s="123" t="n"/>
      <c r="I1128" s="119" t="n"/>
      <c r="J1128" s="19" t="n"/>
      <c r="K1128" s="19" t="n"/>
      <c r="L1128" s="19" t="n"/>
      <c r="M1128" s="20" t="n"/>
      <c r="N1128" s="123" t="n"/>
      <c r="O1128" s="123" t="n"/>
      <c r="P1128" s="123" t="n"/>
      <c r="Q1128" s="123" t="n"/>
      <c r="R1128" s="123" t="n"/>
      <c r="S1128" s="123" t="n"/>
      <c r="T1128" s="123" t="n"/>
      <c r="U1128" s="123" t="n"/>
      <c r="V1128" s="123" t="n"/>
      <c r="W1128" s="123" t="n"/>
      <c r="X1128" s="123" t="n"/>
      <c r="Y1128" s="123" t="n"/>
      <c r="Z1128" s="123" t="n"/>
      <c r="AB1128" s="119" t="n"/>
      <c r="AC1128" s="19" t="n"/>
      <c r="AD1128" s="19" t="n"/>
      <c r="AE1128" s="19" t="n"/>
      <c r="AF1128" s="20" t="n"/>
      <c r="AG1128" s="123" t="n"/>
      <c r="AH1128" s="123" t="n"/>
      <c r="AI1128" s="123" t="n"/>
      <c r="AJ1128" s="123" t="n"/>
      <c r="AK1128" s="123" t="n"/>
      <c r="AL1128" s="123" t="n"/>
      <c r="AM1128" s="123" t="n"/>
      <c r="AN1128" s="123" t="n"/>
      <c r="AO1128" s="123" t="n"/>
      <c r="AP1128" s="123" t="n"/>
      <c r="AQ1128" s="123" t="n"/>
      <c r="AR1128" s="123" t="n"/>
      <c r="AS1128" s="123" t="n"/>
    </row>
    <row r="1129" hidden="1" outlineLevel="3">
      <c r="A1129" s="8" t="n"/>
      <c r="B1129" s="14" t="n"/>
      <c r="C1129" s="123" t="n"/>
      <c r="D1129" s="123" t="n"/>
      <c r="E1129" s="123" t="n"/>
      <c r="F1129" s="123" t="n"/>
      <c r="G1129" s="123" t="n"/>
      <c r="I1129" s="21" t="n"/>
      <c r="M1129" s="22" t="n"/>
      <c r="N1129" s="123" t="n"/>
      <c r="O1129" s="123" t="n"/>
      <c r="P1129" s="123" t="n"/>
      <c r="Q1129" s="123" t="n"/>
      <c r="R1129" s="123" t="n"/>
      <c r="S1129" s="123" t="n"/>
      <c r="T1129" s="123" t="n"/>
      <c r="U1129" s="123" t="n"/>
      <c r="V1129" s="123" t="n"/>
      <c r="W1129" s="123" t="n"/>
      <c r="X1129" s="123" t="n"/>
      <c r="Y1129" s="123" t="n"/>
      <c r="Z1129" s="123" t="n"/>
      <c r="AB1129" s="21" t="n"/>
      <c r="AF1129" s="22" t="n"/>
      <c r="AG1129" s="123" t="n"/>
      <c r="AH1129" s="123" t="n"/>
      <c r="AI1129" s="123" t="n"/>
      <c r="AJ1129" s="123" t="n"/>
      <c r="AK1129" s="123" t="n"/>
      <c r="AL1129" s="123" t="n"/>
      <c r="AM1129" s="123" t="n"/>
      <c r="AN1129" s="123" t="n"/>
      <c r="AO1129" s="123" t="n"/>
      <c r="AP1129" s="123" t="n"/>
      <c r="AQ1129" s="123" t="n"/>
      <c r="AR1129" s="123" t="n"/>
      <c r="AS1129" s="123" t="n"/>
    </row>
    <row r="1130" hidden="1" outlineLevel="3">
      <c r="A1130" s="8" t="n"/>
      <c r="B1130" s="14" t="n"/>
      <c r="C1130" s="123" t="n"/>
      <c r="D1130" s="123" t="n"/>
      <c r="E1130" s="123" t="n"/>
      <c r="F1130" s="123" t="n"/>
      <c r="G1130" s="123" t="n"/>
      <c r="I1130" s="23" t="n"/>
      <c r="J1130" s="24" t="n"/>
      <c r="K1130" s="24" t="n"/>
      <c r="L1130" s="24" t="n"/>
      <c r="M1130" s="25" t="n"/>
      <c r="N1130" s="123" t="n"/>
      <c r="O1130" s="123" t="n"/>
      <c r="P1130" s="123" t="n"/>
      <c r="Q1130" s="123" t="n"/>
      <c r="R1130" s="123" t="n"/>
      <c r="S1130" s="123" t="n"/>
      <c r="T1130" s="123" t="n"/>
      <c r="U1130" s="123" t="n"/>
      <c r="V1130" s="123" t="n"/>
      <c r="W1130" s="123" t="n"/>
      <c r="X1130" s="123" t="n"/>
      <c r="Y1130" s="123" t="n"/>
      <c r="Z1130" s="123" t="n"/>
      <c r="AB1130" s="23" t="n"/>
      <c r="AC1130" s="24" t="n"/>
      <c r="AD1130" s="24" t="n"/>
      <c r="AE1130" s="24" t="n"/>
      <c r="AF1130" s="25" t="n"/>
      <c r="AG1130" s="123" t="n"/>
      <c r="AH1130" s="123" t="n"/>
      <c r="AI1130" s="123" t="n"/>
      <c r="AJ1130" s="123" t="n"/>
      <c r="AK1130" s="123" t="n"/>
      <c r="AL1130" s="123" t="n"/>
      <c r="AM1130" s="123" t="n"/>
      <c r="AN1130" s="123" t="n"/>
      <c r="AO1130" s="123" t="n"/>
      <c r="AP1130" s="123" t="n"/>
      <c r="AQ1130" s="123" t="n"/>
      <c r="AR1130" s="123" t="n"/>
      <c r="AS1130" s="123" t="n"/>
    </row>
    <row r="1131" hidden="1" outlineLevel="2">
      <c r="A1131" s="8" t="n"/>
      <c r="B1131" s="14" t="n"/>
      <c r="C1131" s="123" t="n"/>
      <c r="D1131" s="123" t="n"/>
      <c r="E1131" s="123" t="n"/>
      <c r="F1131" s="123" t="n"/>
      <c r="G1131" s="123" t="n"/>
      <c r="I1131" s="127" t="inlineStr">
        <is>
          <t>Projétil</t>
        </is>
      </c>
      <c r="J1131" s="17" t="n"/>
      <c r="K1131" s="68">
        <f>DADOS_INVOC!$QC$76</f>
        <v/>
      </c>
      <c r="L1131" s="17" t="n"/>
      <c r="M1131" s="68">
        <f>DADOS_INVOC!$PY$76</f>
        <v/>
      </c>
      <c r="N1131" s="123" t="n"/>
      <c r="O1131" s="123" t="n"/>
      <c r="P1131" s="123" t="n"/>
      <c r="Q1131" s="123" t="n"/>
      <c r="R1131" s="123" t="n"/>
      <c r="S1131" s="123" t="n"/>
      <c r="T1131" s="123" t="n"/>
      <c r="U1131" s="123" t="n"/>
      <c r="V1131" s="123" t="n"/>
      <c r="W1131" s="123" t="n"/>
      <c r="X1131" s="123" t="n"/>
      <c r="Y1131" s="123" t="n"/>
      <c r="Z1131" s="123" t="n"/>
      <c r="AB1131" s="127" t="inlineStr">
        <is>
          <t>Projétil</t>
        </is>
      </c>
      <c r="AC1131" s="17" t="n"/>
      <c r="AD1131" s="68">
        <f>DADOS_INVOC!$QC$154</f>
        <v/>
      </c>
      <c r="AE1131" s="17" t="n"/>
      <c r="AF1131" s="68">
        <f>DADOS_INVOC!$PY$154</f>
        <v/>
      </c>
      <c r="AG1131" s="123" t="n"/>
      <c r="AH1131" s="123" t="n"/>
      <c r="AI1131" s="123" t="n"/>
      <c r="AJ1131" s="123" t="n"/>
      <c r="AK1131" s="123" t="n"/>
      <c r="AL1131" s="123" t="n"/>
      <c r="AM1131" s="123" t="n"/>
      <c r="AN1131" s="123" t="n"/>
      <c r="AO1131" s="123" t="n"/>
      <c r="AP1131" s="123" t="n"/>
      <c r="AQ1131" s="123" t="n"/>
      <c r="AR1131" s="123" t="n"/>
      <c r="AS1131" s="123" t="n"/>
    </row>
    <row r="1132" hidden="1" outlineLevel="2">
      <c r="A1132" s="8" t="n"/>
      <c r="B1132" s="14" t="n"/>
      <c r="C1132" s="123" t="n"/>
      <c r="D1132" s="123" t="n"/>
      <c r="E1132" s="123" t="n"/>
      <c r="F1132" s="123" t="n"/>
      <c r="G1132" s="123" t="n"/>
      <c r="I1132" s="127" t="n"/>
      <c r="J1132" s="17" t="n"/>
      <c r="K1132" s="127" t="n"/>
      <c r="L1132" s="16" t="n"/>
      <c r="M1132" s="17" t="n"/>
      <c r="N1132" s="123" t="n"/>
      <c r="O1132" s="123" t="n"/>
      <c r="P1132" s="123" t="n"/>
      <c r="Q1132" s="123" t="n"/>
      <c r="R1132" s="123" t="n"/>
      <c r="S1132" s="123" t="n"/>
      <c r="T1132" s="123" t="n"/>
      <c r="U1132" s="123" t="n"/>
      <c r="V1132" s="123" t="n"/>
      <c r="W1132" s="123" t="n"/>
      <c r="X1132" s="123" t="n"/>
      <c r="Y1132" s="123" t="n"/>
      <c r="Z1132" s="123" t="n"/>
      <c r="AB1132" s="127" t="n"/>
      <c r="AC1132" s="17" t="n"/>
      <c r="AD1132" s="127" t="n"/>
      <c r="AE1132" s="16" t="n"/>
      <c r="AF1132" s="17" t="n"/>
      <c r="AG1132" s="123" t="n"/>
      <c r="AH1132" s="123" t="n"/>
      <c r="AI1132" s="123" t="n"/>
      <c r="AJ1132" s="123" t="n"/>
      <c r="AK1132" s="123" t="n"/>
      <c r="AL1132" s="123" t="n"/>
      <c r="AM1132" s="123" t="n"/>
      <c r="AN1132" s="123" t="n"/>
      <c r="AO1132" s="123" t="n"/>
      <c r="AP1132" s="123" t="n"/>
      <c r="AQ1132" s="123" t="n"/>
      <c r="AR1132" s="123" t="n"/>
      <c r="AS1132" s="123" t="n"/>
    </row>
    <row r="1133" hidden="1" outlineLevel="2">
      <c r="A1133" s="8" t="n"/>
      <c r="B1133" s="14" t="n"/>
      <c r="C1133" s="123" t="n"/>
      <c r="D1133" s="123" t="n"/>
      <c r="E1133" s="123" t="n"/>
      <c r="F1133" s="123" t="n"/>
      <c r="G1133" s="123" t="n"/>
      <c r="I1133" s="127">
        <f>DADOS_INVOC!$PZ$76</f>
        <v/>
      </c>
      <c r="J1133" s="17" t="n"/>
      <c r="K1133" s="127">
        <f>DADOS_INVOC!$QB$76</f>
        <v/>
      </c>
      <c r="L1133" s="16" t="n"/>
      <c r="M1133" s="17" t="n"/>
      <c r="N1133" s="123" t="n"/>
      <c r="O1133" s="123" t="n"/>
      <c r="P1133" s="123" t="n"/>
      <c r="Q1133" s="123" t="n"/>
      <c r="R1133" s="123" t="n"/>
      <c r="S1133" s="123" t="n"/>
      <c r="T1133" s="123" t="n"/>
      <c r="U1133" s="123" t="n"/>
      <c r="V1133" s="123" t="n"/>
      <c r="W1133" s="123" t="n"/>
      <c r="X1133" s="123" t="n"/>
      <c r="Y1133" s="123" t="n"/>
      <c r="Z1133" s="123" t="n"/>
      <c r="AB1133" s="127">
        <f>DADOS_INVOC!$PZ$154</f>
        <v/>
      </c>
      <c r="AC1133" s="17" t="n"/>
      <c r="AD1133" s="127">
        <f>DADOS_INVOC!$QB$154</f>
        <v/>
      </c>
      <c r="AE1133" s="16" t="n"/>
      <c r="AF1133" s="17" t="n"/>
      <c r="AG1133" s="123" t="n"/>
      <c r="AH1133" s="123" t="n"/>
      <c r="AI1133" s="123" t="n"/>
      <c r="AJ1133" s="123" t="n"/>
      <c r="AK1133" s="123" t="n"/>
      <c r="AL1133" s="123" t="n"/>
      <c r="AM1133" s="123" t="n"/>
      <c r="AN1133" s="123" t="n"/>
      <c r="AO1133" s="123" t="n"/>
      <c r="AP1133" s="123" t="n"/>
      <c r="AQ1133" s="123" t="n"/>
      <c r="AR1133" s="123" t="n"/>
      <c r="AS1133" s="123" t="n"/>
    </row>
    <row r="1134" hidden="1" outlineLevel="2">
      <c r="A1134" s="8" t="n"/>
      <c r="B1134" s="14" t="n"/>
      <c r="C1134" s="123" t="n"/>
      <c r="D1134" s="123" t="n"/>
      <c r="E1134" s="123" t="n"/>
      <c r="F1134" s="123" t="n"/>
      <c r="G1134" s="123" t="n"/>
      <c r="I1134" s="132">
        <f>DADOS_INVOC!$QH$76</f>
        <v/>
      </c>
      <c r="J1134" s="16" t="n"/>
      <c r="K1134" s="16" t="n"/>
      <c r="L1134" s="16" t="n"/>
      <c r="M1134" s="17" t="n"/>
      <c r="N1134" s="123" t="n"/>
      <c r="O1134" s="123" t="n"/>
      <c r="P1134" s="123" t="n"/>
      <c r="Q1134" s="123" t="n"/>
      <c r="R1134" s="123" t="n"/>
      <c r="S1134" s="123" t="n"/>
      <c r="T1134" s="123" t="n"/>
      <c r="U1134" s="123" t="n"/>
      <c r="V1134" s="123" t="n"/>
      <c r="W1134" s="123" t="n"/>
      <c r="X1134" s="123" t="n"/>
      <c r="Y1134" s="123" t="n"/>
      <c r="Z1134" s="123" t="n"/>
      <c r="AB1134" s="132">
        <f>DADOS_INVOC!$QH$154</f>
        <v/>
      </c>
      <c r="AC1134" s="16" t="n"/>
      <c r="AD1134" s="16" t="n"/>
      <c r="AE1134" s="16" t="n"/>
      <c r="AF1134" s="17" t="n"/>
      <c r="AG1134" s="123" t="n"/>
      <c r="AH1134" s="123" t="n"/>
      <c r="AI1134" s="123" t="n"/>
      <c r="AJ1134" s="123" t="n"/>
      <c r="AK1134" s="123" t="n"/>
      <c r="AL1134" s="123" t="n"/>
      <c r="AM1134" s="123" t="n"/>
      <c r="AN1134" s="123" t="n"/>
      <c r="AO1134" s="123" t="n"/>
      <c r="AP1134" s="123" t="n"/>
      <c r="AQ1134" s="123" t="n"/>
      <c r="AR1134" s="123" t="n"/>
      <c r="AS1134" s="123" t="n"/>
    </row>
    <row r="1135" hidden="1" outlineLevel="3">
      <c r="A1135" s="8" t="n"/>
      <c r="B1135" s="14" t="n"/>
      <c r="C1135" s="123" t="n"/>
      <c r="D1135" s="123" t="n"/>
      <c r="E1135" s="123" t="n"/>
      <c r="F1135" s="123" t="n"/>
      <c r="G1135" s="123" t="n"/>
      <c r="I1135" s="55" t="inlineStr">
        <is>
          <t>MELHORIAS</t>
        </is>
      </c>
      <c r="J1135" s="133" t="n"/>
      <c r="K1135" s="16" t="n"/>
      <c r="L1135" s="17" t="n"/>
      <c r="M1135" s="132">
        <f>DADOS_INVOC!$QK$76</f>
        <v/>
      </c>
      <c r="N1135" s="123" t="n"/>
      <c r="O1135" s="123" t="n"/>
      <c r="P1135" s="123" t="n"/>
      <c r="Q1135" s="123" t="n"/>
      <c r="R1135" s="123" t="n"/>
      <c r="S1135" s="123" t="n"/>
      <c r="T1135" s="123" t="n"/>
      <c r="U1135" s="123" t="n"/>
      <c r="V1135" s="123" t="n"/>
      <c r="W1135" s="123" t="n"/>
      <c r="X1135" s="123" t="n"/>
      <c r="Y1135" s="123" t="n"/>
      <c r="Z1135" s="123" t="n"/>
      <c r="AB1135" s="55" t="inlineStr">
        <is>
          <t>MELHORIAS</t>
        </is>
      </c>
      <c r="AC1135" s="133" t="n"/>
      <c r="AD1135" s="16" t="n"/>
      <c r="AE1135" s="17" t="n"/>
      <c r="AF1135" s="132">
        <f>DADOS_INVOC!$QK$154</f>
        <v/>
      </c>
      <c r="AG1135" s="123" t="n"/>
      <c r="AH1135" s="123" t="n"/>
      <c r="AI1135" s="123" t="n"/>
      <c r="AJ1135" s="123" t="n"/>
      <c r="AK1135" s="123" t="n"/>
      <c r="AL1135" s="123" t="n"/>
      <c r="AM1135" s="123" t="n"/>
      <c r="AN1135" s="123" t="n"/>
      <c r="AO1135" s="123" t="n"/>
      <c r="AP1135" s="123" t="n"/>
      <c r="AQ1135" s="123" t="n"/>
      <c r="AR1135" s="123" t="n"/>
      <c r="AS1135" s="123" t="n"/>
    </row>
    <row r="1136" hidden="1" outlineLevel="3">
      <c r="A1136" s="8" t="n"/>
      <c r="B1136" s="14" t="n"/>
      <c r="C1136" s="123" t="n"/>
      <c r="D1136" s="123" t="n"/>
      <c r="E1136" s="123" t="n"/>
      <c r="F1136" s="123" t="n"/>
      <c r="G1136" s="123" t="n"/>
      <c r="I1136" s="134" t="n"/>
      <c r="J1136" s="133" t="n"/>
      <c r="K1136" s="16" t="n"/>
      <c r="L1136" s="17" t="n"/>
      <c r="M1136" s="132">
        <f>DADOS_INVOC!$QL$76</f>
        <v/>
      </c>
      <c r="N1136" s="123" t="n"/>
      <c r="O1136" s="123" t="n"/>
      <c r="P1136" s="123" t="n"/>
      <c r="Q1136" s="123" t="n"/>
      <c r="R1136" s="123" t="n"/>
      <c r="S1136" s="123" t="n"/>
      <c r="T1136" s="123" t="n"/>
      <c r="U1136" s="123" t="n"/>
      <c r="V1136" s="123" t="n"/>
      <c r="W1136" s="123" t="n"/>
      <c r="X1136" s="123" t="n"/>
      <c r="Y1136" s="123" t="n"/>
      <c r="Z1136" s="123" t="n"/>
      <c r="AB1136" s="134" t="n"/>
      <c r="AC1136" s="133" t="n"/>
      <c r="AD1136" s="16" t="n"/>
      <c r="AE1136" s="17" t="n"/>
      <c r="AF1136" s="132">
        <f>DADOS_INVOC!$QL$154</f>
        <v/>
      </c>
      <c r="AG1136" s="123" t="n"/>
      <c r="AH1136" s="123" t="n"/>
      <c r="AI1136" s="123" t="n"/>
      <c r="AJ1136" s="123" t="n"/>
      <c r="AK1136" s="123" t="n"/>
      <c r="AL1136" s="123" t="n"/>
      <c r="AM1136" s="123" t="n"/>
      <c r="AN1136" s="123" t="n"/>
      <c r="AO1136" s="123" t="n"/>
      <c r="AP1136" s="123" t="n"/>
      <c r="AQ1136" s="123" t="n"/>
      <c r="AR1136" s="123" t="n"/>
      <c r="AS1136" s="123" t="n"/>
    </row>
    <row r="1137" hidden="1" outlineLevel="3">
      <c r="A1137" s="8" t="n"/>
      <c r="B1137" s="14" t="n"/>
      <c r="C1137" s="123" t="n"/>
      <c r="D1137" s="123" t="n"/>
      <c r="E1137" s="123" t="n"/>
      <c r="F1137" s="123" t="n"/>
      <c r="G1137" s="123" t="n"/>
      <c r="I1137" s="134" t="n"/>
      <c r="J1137" s="133" t="n"/>
      <c r="K1137" s="16" t="n"/>
      <c r="L1137" s="17" t="n"/>
      <c r="M1137" s="132">
        <f>DADOS_INVOC!$QM$76</f>
        <v/>
      </c>
      <c r="N1137" s="123" t="n"/>
      <c r="O1137" s="123" t="n"/>
      <c r="P1137" s="123" t="n"/>
      <c r="Q1137" s="123" t="n"/>
      <c r="R1137" s="123" t="n"/>
      <c r="S1137" s="123" t="n"/>
      <c r="T1137" s="123" t="n"/>
      <c r="U1137" s="123" t="n"/>
      <c r="V1137" s="123" t="n"/>
      <c r="W1137" s="123" t="n"/>
      <c r="X1137" s="123" t="n"/>
      <c r="Y1137" s="123" t="n"/>
      <c r="Z1137" s="123" t="n"/>
      <c r="AB1137" s="134" t="n"/>
      <c r="AC1137" s="133" t="n"/>
      <c r="AD1137" s="16" t="n"/>
      <c r="AE1137" s="17" t="n"/>
      <c r="AF1137" s="132">
        <f>DADOS_INVOC!$QM$154</f>
        <v/>
      </c>
      <c r="AG1137" s="123" t="n"/>
      <c r="AH1137" s="123" t="n"/>
      <c r="AI1137" s="123" t="n"/>
      <c r="AJ1137" s="123" t="n"/>
      <c r="AK1137" s="123" t="n"/>
      <c r="AL1137" s="123" t="n"/>
      <c r="AM1137" s="123" t="n"/>
      <c r="AN1137" s="123" t="n"/>
      <c r="AO1137" s="123" t="n"/>
      <c r="AP1137" s="123" t="n"/>
      <c r="AQ1137" s="123" t="n"/>
      <c r="AR1137" s="123" t="n"/>
      <c r="AS1137" s="123" t="n"/>
    </row>
    <row r="1138" hidden="1" outlineLevel="3">
      <c r="A1138" s="8" t="n"/>
      <c r="B1138" s="14" t="n"/>
      <c r="C1138" s="123" t="n"/>
      <c r="D1138" s="123" t="n"/>
      <c r="E1138" s="123" t="n"/>
      <c r="F1138" s="123" t="n"/>
      <c r="G1138" s="123" t="n"/>
      <c r="I1138" s="128" t="n"/>
      <c r="J1138" s="133" t="n"/>
      <c r="K1138" s="16" t="n"/>
      <c r="L1138" s="17" t="n"/>
      <c r="M1138" s="132">
        <f>DADOS_INVOC!$QN$76</f>
        <v/>
      </c>
      <c r="N1138" s="123" t="n"/>
      <c r="O1138" s="123" t="n"/>
      <c r="P1138" s="123" t="n"/>
      <c r="Q1138" s="123" t="n"/>
      <c r="R1138" s="123" t="n"/>
      <c r="S1138" s="123" t="n"/>
      <c r="T1138" s="123" t="n"/>
      <c r="U1138" s="123" t="n"/>
      <c r="V1138" s="123" t="n"/>
      <c r="W1138" s="123" t="n"/>
      <c r="X1138" s="123" t="n"/>
      <c r="Y1138" s="123" t="n"/>
      <c r="Z1138" s="123" t="n"/>
      <c r="AB1138" s="128" t="n"/>
      <c r="AC1138" s="133" t="n"/>
      <c r="AD1138" s="16" t="n"/>
      <c r="AE1138" s="17" t="n"/>
      <c r="AF1138" s="132">
        <f>DADOS_INVOC!$QN$154</f>
        <v/>
      </c>
      <c r="AG1138" s="123" t="n"/>
      <c r="AH1138" s="123" t="n"/>
      <c r="AI1138" s="123" t="n"/>
      <c r="AJ1138" s="123" t="n"/>
      <c r="AK1138" s="123" t="n"/>
      <c r="AL1138" s="123" t="n"/>
      <c r="AM1138" s="123" t="n"/>
      <c r="AN1138" s="123" t="n"/>
      <c r="AO1138" s="123" t="n"/>
      <c r="AP1138" s="123" t="n"/>
      <c r="AQ1138" s="123" t="n"/>
      <c r="AR1138" s="123" t="n"/>
      <c r="AS1138" s="123" t="n"/>
    </row>
    <row r="1139" hidden="1" outlineLevel="3">
      <c r="A1139" s="8" t="n"/>
      <c r="B1139" s="14" t="n"/>
      <c r="C1139" s="123" t="n"/>
      <c r="D1139" s="123" t="n"/>
      <c r="E1139" s="123" t="n"/>
      <c r="F1139" s="123" t="n"/>
      <c r="G1139" s="123" t="n"/>
      <c r="I1139" s="55" t="inlineStr">
        <is>
          <t>RESTRIÇÕES</t>
        </is>
      </c>
      <c r="J1139" s="133" t="n"/>
      <c r="K1139" s="16" t="n"/>
      <c r="L1139" s="17" t="n"/>
      <c r="M1139" s="132">
        <f>DADOS_INVOC!$QO$76</f>
        <v/>
      </c>
      <c r="N1139" s="123" t="n"/>
      <c r="O1139" s="123" t="n"/>
      <c r="P1139" s="123" t="n"/>
      <c r="Q1139" s="123" t="n"/>
      <c r="R1139" s="123" t="n"/>
      <c r="S1139" s="123" t="n"/>
      <c r="T1139" s="123" t="n"/>
      <c r="U1139" s="123" t="n"/>
      <c r="V1139" s="123" t="n"/>
      <c r="W1139" s="123" t="n"/>
      <c r="X1139" s="123" t="n"/>
      <c r="Y1139" s="123" t="n"/>
      <c r="Z1139" s="123" t="n"/>
      <c r="AB1139" s="55" t="inlineStr">
        <is>
          <t>RESTRIÇÕES</t>
        </is>
      </c>
      <c r="AC1139" s="133" t="n"/>
      <c r="AD1139" s="16" t="n"/>
      <c r="AE1139" s="17" t="n"/>
      <c r="AF1139" s="132">
        <f>DADOS_INVOC!$QO$154</f>
        <v/>
      </c>
      <c r="AG1139" s="123" t="n"/>
      <c r="AH1139" s="123" t="n"/>
      <c r="AI1139" s="123" t="n"/>
      <c r="AJ1139" s="123" t="n"/>
      <c r="AK1139" s="123" t="n"/>
      <c r="AL1139" s="123" t="n"/>
      <c r="AM1139" s="123" t="n"/>
      <c r="AN1139" s="123" t="n"/>
      <c r="AO1139" s="123" t="n"/>
      <c r="AP1139" s="123" t="n"/>
      <c r="AQ1139" s="123" t="n"/>
      <c r="AR1139" s="123" t="n"/>
      <c r="AS1139" s="123" t="n"/>
    </row>
    <row r="1140" hidden="1" outlineLevel="3">
      <c r="A1140" s="8" t="n"/>
      <c r="B1140" s="14" t="n"/>
      <c r="C1140" s="123" t="n"/>
      <c r="D1140" s="123" t="n"/>
      <c r="E1140" s="123" t="n"/>
      <c r="F1140" s="123" t="n"/>
      <c r="G1140" s="123" t="n"/>
      <c r="I1140" s="128" t="n"/>
      <c r="J1140" s="133" t="n"/>
      <c r="K1140" s="16" t="n"/>
      <c r="L1140" s="17" t="n"/>
      <c r="M1140" s="132">
        <f>DADOS_INVOC!$QP$76</f>
        <v/>
      </c>
      <c r="N1140" s="123" t="n"/>
      <c r="O1140" s="123" t="n"/>
      <c r="P1140" s="123" t="n"/>
      <c r="Q1140" s="123" t="n"/>
      <c r="R1140" s="123" t="n"/>
      <c r="S1140" s="123" t="n"/>
      <c r="T1140" s="123" t="n"/>
      <c r="U1140" s="123" t="n"/>
      <c r="V1140" s="123" t="n"/>
      <c r="W1140" s="123" t="n"/>
      <c r="X1140" s="123" t="n"/>
      <c r="Y1140" s="123" t="n"/>
      <c r="Z1140" s="123" t="n"/>
      <c r="AB1140" s="128" t="n"/>
      <c r="AC1140" s="133" t="n"/>
      <c r="AD1140" s="16" t="n"/>
      <c r="AE1140" s="17" t="n"/>
      <c r="AF1140" s="132">
        <f>DADOS_INVOC!$QP$154</f>
        <v/>
      </c>
      <c r="AG1140" s="123" t="n"/>
      <c r="AH1140" s="123" t="n"/>
      <c r="AI1140" s="123" t="n"/>
      <c r="AJ1140" s="123" t="n"/>
      <c r="AK1140" s="123" t="n"/>
      <c r="AL1140" s="123" t="n"/>
      <c r="AM1140" s="123" t="n"/>
      <c r="AN1140" s="123" t="n"/>
      <c r="AO1140" s="123" t="n"/>
      <c r="AP1140" s="123" t="n"/>
      <c r="AQ1140" s="123" t="n"/>
      <c r="AR1140" s="123" t="n"/>
      <c r="AS1140" s="123" t="n"/>
    </row>
    <row r="1141" hidden="1" outlineLevel="3">
      <c r="A1141" s="8" t="n"/>
      <c r="B1141" s="14" t="n"/>
      <c r="C1141" s="123" t="n"/>
      <c r="D1141" s="123" t="n"/>
      <c r="E1141" s="123" t="n"/>
      <c r="F1141" s="123" t="n"/>
      <c r="G1141" s="123" t="n"/>
      <c r="I1141" s="55" t="inlineStr">
        <is>
          <t>CONTA</t>
        </is>
      </c>
      <c r="J1141" s="135">
        <f>DADOS_INVOC!$QI$76</f>
        <v/>
      </c>
      <c r="K1141" s="16" t="n"/>
      <c r="L1141" s="16" t="n"/>
      <c r="M1141" s="17" t="n"/>
      <c r="N1141" s="123" t="n"/>
      <c r="O1141" s="123" t="n"/>
      <c r="P1141" s="123" t="n"/>
      <c r="Q1141" s="123" t="n"/>
      <c r="R1141" s="123" t="n"/>
      <c r="S1141" s="123" t="n"/>
      <c r="T1141" s="123" t="n"/>
      <c r="U1141" s="123" t="n"/>
      <c r="V1141" s="123" t="n"/>
      <c r="W1141" s="123" t="n"/>
      <c r="X1141" s="123" t="n"/>
      <c r="Y1141" s="123" t="n"/>
      <c r="Z1141" s="123" t="n"/>
      <c r="AB1141" s="55" t="inlineStr">
        <is>
          <t>CONTA</t>
        </is>
      </c>
      <c r="AC1141" s="135">
        <f>DADOS_INVOC!$QI$154</f>
        <v/>
      </c>
      <c r="AD1141" s="16" t="n"/>
      <c r="AE1141" s="16" t="n"/>
      <c r="AF1141" s="17" t="n"/>
      <c r="AG1141" s="123" t="n"/>
      <c r="AH1141" s="123" t="n"/>
      <c r="AI1141" s="123" t="n"/>
      <c r="AJ1141" s="123" t="n"/>
      <c r="AK1141" s="123" t="n"/>
      <c r="AL1141" s="123" t="n"/>
      <c r="AM1141" s="123" t="n"/>
      <c r="AN1141" s="123" t="n"/>
      <c r="AO1141" s="123" t="n"/>
      <c r="AP1141" s="123" t="n"/>
      <c r="AQ1141" s="123" t="n"/>
      <c r="AR1141" s="123" t="n"/>
      <c r="AS1141" s="123" t="n"/>
    </row>
    <row r="1142" hidden="1" outlineLevel="3">
      <c r="A1142" s="8" t="n"/>
      <c r="B1142" s="14" t="n"/>
      <c r="C1142" s="123" t="n"/>
      <c r="D1142" s="123" t="n"/>
      <c r="E1142" s="123" t="n"/>
      <c r="F1142" s="123" t="n"/>
      <c r="G1142" s="123" t="n"/>
      <c r="I1142" s="55" t="inlineStr">
        <is>
          <t>AMPLIAR</t>
        </is>
      </c>
      <c r="J1142" s="135">
        <f>DADOS_INVOC!$QJ$76</f>
        <v/>
      </c>
      <c r="K1142" s="19" t="n"/>
      <c r="L1142" s="19" t="n"/>
      <c r="M1142" s="20" t="n"/>
      <c r="N1142" s="123" t="n"/>
      <c r="O1142" s="123" t="n"/>
      <c r="P1142" s="123" t="n"/>
      <c r="Q1142" s="123" t="n"/>
      <c r="R1142" s="123" t="n"/>
      <c r="S1142" s="123" t="n"/>
      <c r="T1142" s="123" t="n"/>
      <c r="U1142" s="123" t="n"/>
      <c r="V1142" s="123" t="n"/>
      <c r="W1142" s="123" t="n"/>
      <c r="X1142" s="123" t="n"/>
      <c r="Y1142" s="123" t="n"/>
      <c r="Z1142" s="123" t="n"/>
      <c r="AB1142" s="55" t="inlineStr">
        <is>
          <t>AMPLIAR</t>
        </is>
      </c>
      <c r="AC1142" s="135">
        <f>DADOS_INVOC!$QJ$154</f>
        <v/>
      </c>
      <c r="AD1142" s="19" t="n"/>
      <c r="AE1142" s="19" t="n"/>
      <c r="AF1142" s="20" t="n"/>
      <c r="AG1142" s="123" t="n"/>
      <c r="AH1142" s="123" t="n"/>
      <c r="AI1142" s="123" t="n"/>
      <c r="AJ1142" s="123" t="n"/>
      <c r="AK1142" s="123" t="n"/>
      <c r="AL1142" s="123" t="n"/>
      <c r="AM1142" s="123" t="n"/>
      <c r="AN1142" s="123" t="n"/>
      <c r="AO1142" s="123" t="n"/>
      <c r="AP1142" s="123" t="n"/>
      <c r="AQ1142" s="123" t="n"/>
      <c r="AR1142" s="123" t="n"/>
      <c r="AS1142" s="123" t="n"/>
    </row>
    <row r="1143" hidden="1" outlineLevel="3">
      <c r="A1143" s="8" t="n"/>
      <c r="B1143" s="14" t="n"/>
      <c r="C1143" s="123" t="n"/>
      <c r="D1143" s="123" t="n"/>
      <c r="E1143" s="123" t="n"/>
      <c r="F1143" s="123" t="n"/>
      <c r="G1143" s="123" t="n"/>
      <c r="I1143" s="128" t="n"/>
      <c r="J1143" s="23" t="n"/>
      <c r="K1143" s="24" t="n"/>
      <c r="L1143" s="24" t="n"/>
      <c r="M1143" s="25" t="n"/>
      <c r="N1143" s="123" t="n"/>
      <c r="O1143" s="123" t="n"/>
      <c r="P1143" s="123" t="n"/>
      <c r="Q1143" s="123" t="n"/>
      <c r="R1143" s="123" t="n"/>
      <c r="S1143" s="123" t="n"/>
      <c r="T1143" s="123" t="n"/>
      <c r="U1143" s="123" t="n"/>
      <c r="V1143" s="123" t="n"/>
      <c r="W1143" s="123" t="n"/>
      <c r="X1143" s="123" t="n"/>
      <c r="Y1143" s="123" t="n"/>
      <c r="Z1143" s="123" t="n"/>
      <c r="AB1143" s="128" t="n"/>
      <c r="AC1143" s="23" t="n"/>
      <c r="AD1143" s="24" t="n"/>
      <c r="AE1143" s="24" t="n"/>
      <c r="AF1143" s="25" t="n"/>
      <c r="AG1143" s="123" t="n"/>
      <c r="AH1143" s="123" t="n"/>
      <c r="AI1143" s="123" t="n"/>
      <c r="AJ1143" s="123" t="n"/>
      <c r="AK1143" s="123" t="n"/>
      <c r="AL1143" s="123" t="n"/>
      <c r="AM1143" s="123" t="n"/>
      <c r="AN1143" s="123" t="n"/>
      <c r="AO1143" s="123" t="n"/>
      <c r="AP1143" s="123" t="n"/>
      <c r="AQ1143" s="123" t="n"/>
      <c r="AR1143" s="123" t="n"/>
      <c r="AS1143" s="123" t="n"/>
    </row>
    <row r="1144" hidden="1" outlineLevel="3">
      <c r="A1144" s="8" t="n"/>
      <c r="B1144" s="14" t="n"/>
      <c r="C1144" s="123" t="n"/>
      <c r="D1144" s="123" t="n"/>
      <c r="E1144" s="123" t="n"/>
      <c r="F1144" s="123" t="n"/>
      <c r="G1144" s="123" t="n"/>
      <c r="I1144" s="135">
        <f>DADOS_INVOC!$PW$76</f>
        <v/>
      </c>
      <c r="J1144" s="19" t="n"/>
      <c r="K1144" s="19" t="n"/>
      <c r="L1144" s="19" t="n"/>
      <c r="M1144" s="20" t="n"/>
      <c r="N1144" s="123" t="n"/>
      <c r="O1144" s="123" t="n"/>
      <c r="P1144" s="123" t="n"/>
      <c r="Q1144" s="123" t="n"/>
      <c r="R1144" s="123" t="n"/>
      <c r="S1144" s="123" t="n"/>
      <c r="T1144" s="123" t="n"/>
      <c r="U1144" s="123" t="n"/>
      <c r="V1144" s="123" t="n"/>
      <c r="W1144" s="123" t="n"/>
      <c r="X1144" s="123" t="n"/>
      <c r="Y1144" s="123" t="n"/>
      <c r="Z1144" s="123" t="n"/>
      <c r="AB1144" s="135">
        <f>DADOS_INVOC!$PW$154</f>
        <v/>
      </c>
      <c r="AC1144" s="19" t="n"/>
      <c r="AD1144" s="19" t="n"/>
      <c r="AE1144" s="19" t="n"/>
      <c r="AF1144" s="20" t="n"/>
      <c r="AG1144" s="123" t="n"/>
      <c r="AH1144" s="123" t="n"/>
      <c r="AI1144" s="123" t="n"/>
      <c r="AJ1144" s="123" t="n"/>
      <c r="AK1144" s="123" t="n"/>
      <c r="AL1144" s="123" t="n"/>
      <c r="AM1144" s="123" t="n"/>
      <c r="AN1144" s="123" t="n"/>
      <c r="AO1144" s="123" t="n"/>
      <c r="AP1144" s="123" t="n"/>
      <c r="AQ1144" s="123" t="n"/>
      <c r="AR1144" s="123" t="n"/>
      <c r="AS1144" s="123" t="n"/>
    </row>
    <row r="1145" hidden="1" outlineLevel="3">
      <c r="A1145" s="8" t="n"/>
      <c r="B1145" s="14" t="n"/>
      <c r="C1145" s="123" t="n"/>
      <c r="D1145" s="123" t="n"/>
      <c r="E1145" s="123" t="n"/>
      <c r="F1145" s="123" t="n"/>
      <c r="G1145" s="123" t="n"/>
      <c r="I1145" s="23" t="n"/>
      <c r="J1145" s="24" t="n"/>
      <c r="K1145" s="24" t="n"/>
      <c r="L1145" s="24" t="n"/>
      <c r="M1145" s="25" t="n"/>
      <c r="N1145" s="123" t="n"/>
      <c r="O1145" s="123" t="n"/>
      <c r="P1145" s="123" t="n"/>
      <c r="Q1145" s="123" t="n"/>
      <c r="R1145" s="123" t="n"/>
      <c r="S1145" s="123" t="n"/>
      <c r="T1145" s="123" t="n"/>
      <c r="U1145" s="123" t="n"/>
      <c r="V1145" s="123" t="n"/>
      <c r="W1145" s="123" t="n"/>
      <c r="X1145" s="123" t="n"/>
      <c r="Y1145" s="123" t="n"/>
      <c r="Z1145" s="123" t="n"/>
      <c r="AB1145" s="23" t="n"/>
      <c r="AC1145" s="24" t="n"/>
      <c r="AD1145" s="24" t="n"/>
      <c r="AE1145" s="24" t="n"/>
      <c r="AF1145" s="25" t="n"/>
      <c r="AG1145" s="123" t="n"/>
      <c r="AH1145" s="123" t="n"/>
      <c r="AI1145" s="123" t="n"/>
      <c r="AJ1145" s="123" t="n"/>
      <c r="AK1145" s="123" t="n"/>
      <c r="AL1145" s="123" t="n"/>
      <c r="AM1145" s="123" t="n"/>
      <c r="AN1145" s="123" t="n"/>
      <c r="AO1145" s="123" t="n"/>
      <c r="AP1145" s="123" t="n"/>
      <c r="AQ1145" s="123" t="n"/>
      <c r="AR1145" s="123" t="n"/>
      <c r="AS1145" s="123" t="n"/>
    </row>
    <row r="1146" hidden="1" outlineLevel="1">
      <c r="A1146" s="8" t="n"/>
      <c r="B1146" s="14" t="n"/>
      <c r="C1146" s="123" t="n"/>
      <c r="D1146" s="123" t="n"/>
      <c r="E1146" s="123" t="n"/>
      <c r="F1146" s="123" t="n"/>
      <c r="G1146" s="123" t="n"/>
      <c r="I1146" s="123" t="n"/>
      <c r="J1146" s="123" t="n"/>
      <c r="K1146" s="123" t="n"/>
      <c r="L1146" s="123" t="n"/>
      <c r="M1146" s="123" t="n"/>
      <c r="N1146" s="123" t="n"/>
      <c r="O1146" s="123" t="n"/>
      <c r="P1146" s="123" t="n"/>
      <c r="Q1146" s="123" t="n"/>
      <c r="R1146" s="123" t="n"/>
      <c r="S1146" s="123" t="n"/>
      <c r="T1146" s="123" t="n"/>
      <c r="U1146" s="123" t="n"/>
      <c r="V1146" s="123" t="n"/>
      <c r="W1146" s="123" t="n"/>
      <c r="X1146" s="123" t="n"/>
      <c r="Y1146" s="123" t="n"/>
      <c r="Z1146" s="123" t="n"/>
      <c r="AB1146" s="123" t="n"/>
      <c r="AC1146" s="123" t="n"/>
      <c r="AD1146" s="123" t="n"/>
      <c r="AE1146" s="123" t="n"/>
      <c r="AF1146" s="123" t="n"/>
      <c r="AG1146" s="123" t="n"/>
      <c r="AH1146" s="123" t="n"/>
      <c r="AI1146" s="123" t="n"/>
      <c r="AJ1146" s="123" t="n"/>
      <c r="AK1146" s="123" t="n"/>
      <c r="AL1146" s="123" t="n"/>
      <c r="AM1146" s="123" t="n"/>
      <c r="AN1146" s="123" t="n"/>
      <c r="AO1146" s="123" t="n"/>
      <c r="AP1146" s="123" t="n"/>
      <c r="AQ1146" s="123" t="n"/>
      <c r="AR1146" s="123" t="n"/>
      <c r="AS1146" s="123" t="n"/>
    </row>
    <row r="1147" hidden="1" outlineLevel="1">
      <c r="A1147" s="8" t="n"/>
      <c r="B1147" s="14" t="n"/>
      <c r="C1147" s="123" t="n"/>
      <c r="D1147" s="123" t="n"/>
      <c r="E1147" s="123" t="n"/>
      <c r="F1147" s="123" t="n"/>
      <c r="G1147" s="123" t="n"/>
      <c r="I1147" s="136"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23" t="n"/>
      <c r="AB1147" s="136"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23" t="n"/>
    </row>
    <row r="1148" hidden="1" outlineLevel="2">
      <c r="A1148" s="8" t="n"/>
      <c r="B1148" s="14" t="n"/>
      <c r="C1148" s="123" t="n"/>
      <c r="D1148" s="123" t="n"/>
      <c r="E1148" s="123" t="n"/>
      <c r="F1148" s="123" t="n"/>
      <c r="G1148" s="123" t="n"/>
      <c r="I1148" s="123" t="n"/>
      <c r="J1148" s="123" t="n"/>
      <c r="K1148" s="123" t="n"/>
      <c r="L1148" s="123" t="n"/>
      <c r="M1148" s="123" t="n"/>
      <c r="N1148" s="123" t="n"/>
      <c r="O1148" s="123" t="n"/>
      <c r="P1148" s="123" t="n"/>
      <c r="Q1148" s="123" t="n"/>
      <c r="R1148" s="123" t="n"/>
      <c r="S1148" s="123" t="n"/>
      <c r="T1148" s="123" t="n"/>
      <c r="U1148" s="123" t="n"/>
      <c r="V1148" s="123" t="n"/>
      <c r="W1148" s="123" t="n"/>
      <c r="X1148" s="123" t="n"/>
      <c r="Y1148" s="123" t="n"/>
      <c r="Z1148" s="123" t="n"/>
      <c r="AB1148" s="123" t="n"/>
      <c r="AC1148" s="123" t="n"/>
      <c r="AD1148" s="123" t="n"/>
      <c r="AE1148" s="123" t="n"/>
      <c r="AF1148" s="123" t="n"/>
      <c r="AG1148" s="123" t="n"/>
      <c r="AH1148" s="123" t="n"/>
      <c r="AI1148" s="123" t="n"/>
      <c r="AJ1148" s="123" t="n"/>
      <c r="AK1148" s="123" t="n"/>
      <c r="AL1148" s="123" t="n"/>
      <c r="AM1148" s="123" t="n"/>
      <c r="AN1148" s="123" t="n"/>
      <c r="AO1148" s="123" t="n"/>
      <c r="AP1148" s="123" t="n"/>
      <c r="AQ1148" s="123" t="n"/>
      <c r="AR1148" s="123" t="n"/>
      <c r="AS1148" s="123" t="n"/>
    </row>
    <row r="1149" hidden="1" outlineLevel="2">
      <c r="A1149" s="8" t="n"/>
      <c r="B1149" s="14" t="n"/>
      <c r="C1149" s="123" t="n"/>
      <c r="D1149" s="123" t="n"/>
      <c r="E1149" s="123" t="n"/>
      <c r="F1149" s="123" t="n"/>
      <c r="G1149" s="123" t="n"/>
      <c r="I1149" s="55">
        <f>DADOS_INVOC!$PX$77</f>
        <v/>
      </c>
      <c r="J1149" s="16" t="n"/>
      <c r="K1149" s="16" t="n"/>
      <c r="L1149" s="16" t="n"/>
      <c r="M1149" s="17" t="n"/>
      <c r="N1149" s="123" t="n"/>
      <c r="O1149" s="55">
        <f>DADOS_INVOC!$PX$78</f>
        <v/>
      </c>
      <c r="P1149" s="16" t="n"/>
      <c r="Q1149" s="16" t="n"/>
      <c r="R1149" s="16" t="n"/>
      <c r="S1149" s="17" t="n"/>
      <c r="T1149" s="123" t="n"/>
      <c r="U1149" s="55">
        <f>DADOS_INVOC!$PX$79</f>
        <v/>
      </c>
      <c r="V1149" s="16" t="n"/>
      <c r="W1149" s="16" t="n"/>
      <c r="X1149" s="16" t="n"/>
      <c r="Y1149" s="17" t="n"/>
      <c r="Z1149" s="123" t="n"/>
      <c r="AB1149" s="55">
        <f>DADOS_INVOC!$PX$155</f>
        <v/>
      </c>
      <c r="AC1149" s="16" t="n"/>
      <c r="AD1149" s="16" t="n"/>
      <c r="AE1149" s="16" t="n"/>
      <c r="AF1149" s="17" t="n"/>
      <c r="AG1149" s="123" t="n"/>
      <c r="AH1149" s="55">
        <f>DADOS_INVOC!$PX$156</f>
        <v/>
      </c>
      <c r="AI1149" s="16" t="n"/>
      <c r="AJ1149" s="16" t="n"/>
      <c r="AK1149" s="16" t="n"/>
      <c r="AL1149" s="17" t="n"/>
      <c r="AM1149" s="123" t="n"/>
      <c r="AN1149" s="55">
        <f>DADOS_INVOC!$PX$157</f>
        <v/>
      </c>
      <c r="AO1149" s="16" t="n"/>
      <c r="AP1149" s="16" t="n"/>
      <c r="AQ1149" s="16" t="n"/>
      <c r="AR1149" s="17" t="n"/>
      <c r="AS1149" s="123" t="n"/>
    </row>
    <row r="1150" hidden="1" outlineLevel="2">
      <c r="A1150" s="8" t="n"/>
      <c r="B1150" s="14" t="n"/>
      <c r="C1150" s="123" t="n"/>
      <c r="D1150" s="123" t="n"/>
      <c r="E1150" s="123" t="n"/>
      <c r="F1150" s="123" t="n"/>
      <c r="G1150" s="123" t="n"/>
      <c r="I1150" s="130" t="n">
        <v>1</v>
      </c>
      <c r="J1150" s="118" t="n"/>
      <c r="K1150" s="16" t="n"/>
      <c r="L1150" s="17" t="n"/>
      <c r="M1150" s="131">
        <f>DADOS_INVOC!$PV$77</f>
        <v/>
      </c>
      <c r="N1150" s="123" t="n"/>
      <c r="O1150" s="130" t="n">
        <v>1</v>
      </c>
      <c r="P1150" s="118" t="n"/>
      <c r="Q1150" s="16" t="n"/>
      <c r="R1150" s="17" t="n"/>
      <c r="S1150" s="131">
        <f>DADOS_INVOC!$PV$78</f>
        <v/>
      </c>
      <c r="T1150" s="123" t="n"/>
      <c r="U1150" s="130" t="n">
        <v>1</v>
      </c>
      <c r="V1150" s="118" t="n"/>
      <c r="W1150" s="16" t="n"/>
      <c r="X1150" s="17" t="n"/>
      <c r="Y1150" s="131">
        <f>DADOS_INVOC!$PV$79</f>
        <v/>
      </c>
      <c r="Z1150" s="123" t="n"/>
      <c r="AB1150" s="130" t="n">
        <v>1</v>
      </c>
      <c r="AC1150" s="118" t="n"/>
      <c r="AD1150" s="16" t="n"/>
      <c r="AE1150" s="17" t="n"/>
      <c r="AF1150" s="131">
        <f>DADOS_INVOC!$PV$155</f>
        <v/>
      </c>
      <c r="AG1150" s="123" t="n"/>
      <c r="AH1150" s="130" t="n">
        <v>1</v>
      </c>
      <c r="AI1150" s="118" t="n"/>
      <c r="AJ1150" s="16" t="n"/>
      <c r="AK1150" s="17" t="n"/>
      <c r="AL1150" s="131">
        <f>DADOS_INVOC!$PV$156</f>
        <v/>
      </c>
      <c r="AM1150" s="123" t="n"/>
      <c r="AN1150" s="130" t="n">
        <v>1</v>
      </c>
      <c r="AO1150" s="118" t="n"/>
      <c r="AP1150" s="16" t="n"/>
      <c r="AQ1150" s="17" t="n"/>
      <c r="AR1150" s="131">
        <f>DADOS_INVOC!$PV$157</f>
        <v/>
      </c>
      <c r="AS1150" s="123" t="n"/>
    </row>
    <row r="1151" hidden="1" outlineLevel="3">
      <c r="A1151" s="8" t="n"/>
      <c r="B1151" s="14" t="n"/>
      <c r="C1151" s="123" t="n"/>
      <c r="D1151" s="123" t="n"/>
      <c r="E1151" s="123" t="n"/>
      <c r="F1151" s="123" t="n"/>
      <c r="G1151" s="123" t="n"/>
      <c r="I1151" s="55" t="inlineStr">
        <is>
          <t>COMO É</t>
        </is>
      </c>
      <c r="J1151" s="16" t="n"/>
      <c r="K1151" s="16" t="n"/>
      <c r="L1151" s="16" t="n"/>
      <c r="M1151" s="17" t="n"/>
      <c r="N1151" s="123" t="n"/>
      <c r="O1151" s="55" t="inlineStr">
        <is>
          <t>COMO É</t>
        </is>
      </c>
      <c r="P1151" s="16" t="n"/>
      <c r="Q1151" s="16" t="n"/>
      <c r="R1151" s="16" t="n"/>
      <c r="S1151" s="17" t="n"/>
      <c r="T1151" s="123" t="n"/>
      <c r="U1151" s="55" t="inlineStr">
        <is>
          <t>COMO É</t>
        </is>
      </c>
      <c r="V1151" s="16" t="n"/>
      <c r="W1151" s="16" t="n"/>
      <c r="X1151" s="16" t="n"/>
      <c r="Y1151" s="17" t="n"/>
      <c r="Z1151" s="123" t="n"/>
      <c r="AB1151" s="55" t="inlineStr">
        <is>
          <t>COMO É</t>
        </is>
      </c>
      <c r="AC1151" s="16" t="n"/>
      <c r="AD1151" s="16" t="n"/>
      <c r="AE1151" s="16" t="n"/>
      <c r="AF1151" s="17" t="n"/>
      <c r="AG1151" s="123" t="n"/>
      <c r="AH1151" s="55" t="inlineStr">
        <is>
          <t>COMO É</t>
        </is>
      </c>
      <c r="AI1151" s="16" t="n"/>
      <c r="AJ1151" s="16" t="n"/>
      <c r="AK1151" s="16" t="n"/>
      <c r="AL1151" s="17" t="n"/>
      <c r="AM1151" s="123" t="n"/>
      <c r="AN1151" s="55" t="inlineStr">
        <is>
          <t>COMO É</t>
        </is>
      </c>
      <c r="AO1151" s="16" t="n"/>
      <c r="AP1151" s="16" t="n"/>
      <c r="AQ1151" s="16" t="n"/>
      <c r="AR1151" s="17" t="n"/>
      <c r="AS1151" s="123" t="n"/>
    </row>
    <row r="1152" hidden="1" outlineLevel="3">
      <c r="A1152" s="8" t="n"/>
      <c r="B1152" s="14" t="n"/>
      <c r="C1152" s="123" t="n"/>
      <c r="D1152" s="123" t="n"/>
      <c r="E1152" s="123" t="n"/>
      <c r="F1152" s="123" t="n"/>
      <c r="G1152" s="123" t="n"/>
      <c r="I1152" s="119" t="n"/>
      <c r="J1152" s="19" t="n"/>
      <c r="K1152" s="19" t="n"/>
      <c r="L1152" s="19" t="n"/>
      <c r="M1152" s="20" t="n"/>
      <c r="N1152" s="123" t="n"/>
      <c r="O1152" s="119" t="n"/>
      <c r="P1152" s="19" t="n"/>
      <c r="Q1152" s="19" t="n"/>
      <c r="R1152" s="19" t="n"/>
      <c r="S1152" s="20" t="n"/>
      <c r="T1152" s="123" t="n"/>
      <c r="U1152" s="119" t="n"/>
      <c r="V1152" s="19" t="n"/>
      <c r="W1152" s="19" t="n"/>
      <c r="X1152" s="19" t="n"/>
      <c r="Y1152" s="20" t="n"/>
      <c r="Z1152" s="123" t="n"/>
      <c r="AB1152" s="119" t="n"/>
      <c r="AC1152" s="19" t="n"/>
      <c r="AD1152" s="19" t="n"/>
      <c r="AE1152" s="19" t="n"/>
      <c r="AF1152" s="20" t="n"/>
      <c r="AG1152" s="123" t="n"/>
      <c r="AH1152" s="119" t="n"/>
      <c r="AI1152" s="19" t="n"/>
      <c r="AJ1152" s="19" t="n"/>
      <c r="AK1152" s="19" t="n"/>
      <c r="AL1152" s="20" t="n"/>
      <c r="AM1152" s="123" t="n"/>
      <c r="AN1152" s="119" t="n"/>
      <c r="AO1152" s="19" t="n"/>
      <c r="AP1152" s="19" t="n"/>
      <c r="AQ1152" s="19" t="n"/>
      <c r="AR1152" s="20" t="n"/>
      <c r="AS1152" s="123" t="n"/>
    </row>
    <row r="1153" hidden="1" outlineLevel="3">
      <c r="A1153" s="8" t="n"/>
      <c r="B1153" s="14" t="n"/>
      <c r="C1153" s="123" t="n"/>
      <c r="D1153" s="123" t="n"/>
      <c r="E1153" s="123" t="n"/>
      <c r="F1153" s="123" t="n"/>
      <c r="G1153" s="123" t="n"/>
      <c r="I1153" s="21" t="n"/>
      <c r="M1153" s="22" t="n"/>
      <c r="N1153" s="123" t="n"/>
      <c r="O1153" s="21" t="n"/>
      <c r="S1153" s="22" t="n"/>
      <c r="T1153" s="123" t="n"/>
      <c r="U1153" s="21" t="n"/>
      <c r="Y1153" s="22" t="n"/>
      <c r="Z1153" s="123" t="n"/>
      <c r="AB1153" s="21" t="n"/>
      <c r="AF1153" s="22" t="n"/>
      <c r="AG1153" s="123" t="n"/>
      <c r="AH1153" s="21" t="n"/>
      <c r="AL1153" s="22" t="n"/>
      <c r="AM1153" s="123" t="n"/>
      <c r="AN1153" s="21" t="n"/>
      <c r="AR1153" s="22" t="n"/>
      <c r="AS1153" s="123" t="n"/>
    </row>
    <row r="1154" hidden="1" outlineLevel="3">
      <c r="A1154" s="8" t="n"/>
      <c r="B1154" s="14" t="n"/>
      <c r="C1154" s="123" t="n"/>
      <c r="D1154" s="123" t="n"/>
      <c r="E1154" s="123" t="n"/>
      <c r="F1154" s="123" t="n"/>
      <c r="G1154" s="123" t="n"/>
      <c r="I1154" s="23" t="n"/>
      <c r="J1154" s="24" t="n"/>
      <c r="K1154" s="24" t="n"/>
      <c r="L1154" s="24" t="n"/>
      <c r="M1154" s="25" t="n"/>
      <c r="N1154" s="123" t="n"/>
      <c r="O1154" s="23" t="n"/>
      <c r="P1154" s="24" t="n"/>
      <c r="Q1154" s="24" t="n"/>
      <c r="R1154" s="24" t="n"/>
      <c r="S1154" s="25" t="n"/>
      <c r="T1154" s="123" t="n"/>
      <c r="U1154" s="23" t="n"/>
      <c r="V1154" s="24" t="n"/>
      <c r="W1154" s="24" t="n"/>
      <c r="X1154" s="24" t="n"/>
      <c r="Y1154" s="25" t="n"/>
      <c r="Z1154" s="123" t="n"/>
      <c r="AB1154" s="23" t="n"/>
      <c r="AC1154" s="24" t="n"/>
      <c r="AD1154" s="24" t="n"/>
      <c r="AE1154" s="24" t="n"/>
      <c r="AF1154" s="25" t="n"/>
      <c r="AG1154" s="123" t="n"/>
      <c r="AH1154" s="23" t="n"/>
      <c r="AI1154" s="24" t="n"/>
      <c r="AJ1154" s="24" t="n"/>
      <c r="AK1154" s="24" t="n"/>
      <c r="AL1154" s="25" t="n"/>
      <c r="AM1154" s="123" t="n"/>
      <c r="AN1154" s="23" t="n"/>
      <c r="AO1154" s="24" t="n"/>
      <c r="AP1154" s="24" t="n"/>
      <c r="AQ1154" s="24" t="n"/>
      <c r="AR1154" s="25" t="n"/>
      <c r="AS1154" s="123" t="n"/>
    </row>
    <row r="1155" hidden="1" outlineLevel="2">
      <c r="A1155" s="8" t="n"/>
      <c r="B1155" s="14" t="n"/>
      <c r="C1155" s="123" t="n"/>
      <c r="D1155" s="123" t="n"/>
      <c r="E1155" s="123" t="n"/>
      <c r="F1155" s="123" t="n"/>
      <c r="G1155" s="123" t="n"/>
      <c r="I1155" s="127" t="inlineStr">
        <is>
          <t>Projétil</t>
        </is>
      </c>
      <c r="J1155" s="17" t="n"/>
      <c r="K1155" s="68">
        <f>DADOS_INVOC!$QC$77</f>
        <v/>
      </c>
      <c r="L1155" s="17" t="n"/>
      <c r="M1155" s="68">
        <f>DADOS_INVOC!$PY$77</f>
        <v/>
      </c>
      <c r="N1155" s="123" t="n"/>
      <c r="O1155" s="127" t="inlineStr">
        <is>
          <t>Projétil</t>
        </is>
      </c>
      <c r="P1155" s="17" t="n"/>
      <c r="Q1155" s="68">
        <f>DADOS_INVOC!$QC$78</f>
        <v/>
      </c>
      <c r="R1155" s="17" t="n"/>
      <c r="S1155" s="68">
        <f>DADOS_INVOC!$PY$78</f>
        <v/>
      </c>
      <c r="T1155" s="123" t="n"/>
      <c r="U1155" s="127" t="inlineStr">
        <is>
          <t>Projétil</t>
        </is>
      </c>
      <c r="V1155" s="17" t="n"/>
      <c r="W1155" s="68">
        <f>DADOS_INVOC!$QC$79</f>
        <v/>
      </c>
      <c r="X1155" s="17" t="n"/>
      <c r="Y1155" s="68">
        <f>DADOS_INVOC!$PY$79</f>
        <v/>
      </c>
      <c r="Z1155" s="123" t="n"/>
      <c r="AB1155" s="127" t="inlineStr">
        <is>
          <t>Projétil</t>
        </is>
      </c>
      <c r="AC1155" s="17" t="n"/>
      <c r="AD1155" s="68">
        <f>DADOS_INVOC!$QC$155</f>
        <v/>
      </c>
      <c r="AE1155" s="17" t="n"/>
      <c r="AF1155" s="68">
        <f>DADOS_INVOC!$PY$155</f>
        <v/>
      </c>
      <c r="AG1155" s="123" t="n"/>
      <c r="AH1155" s="127" t="inlineStr">
        <is>
          <t>Projétil</t>
        </is>
      </c>
      <c r="AI1155" s="17" t="n"/>
      <c r="AJ1155" s="68">
        <f>DADOS_INVOC!$QC$156</f>
        <v/>
      </c>
      <c r="AK1155" s="17" t="n"/>
      <c r="AL1155" s="68">
        <f>DADOS_INVOC!$PY$156</f>
        <v/>
      </c>
      <c r="AM1155" s="123" t="n"/>
      <c r="AN1155" s="127" t="inlineStr">
        <is>
          <t>Projétil</t>
        </is>
      </c>
      <c r="AO1155" s="17" t="n"/>
      <c r="AP1155" s="68">
        <f>DADOS_INVOC!$QC$157</f>
        <v/>
      </c>
      <c r="AQ1155" s="17" t="n"/>
      <c r="AR1155" s="68">
        <f>DADOS_INVOC!$PY$157</f>
        <v/>
      </c>
      <c r="AS1155" s="123" t="n"/>
    </row>
    <row r="1156" hidden="1" outlineLevel="2">
      <c r="A1156" s="8" t="n"/>
      <c r="B1156" s="14" t="n"/>
      <c r="C1156" s="123" t="n"/>
      <c r="D1156" s="123" t="n"/>
      <c r="E1156" s="123" t="n"/>
      <c r="F1156" s="123" t="n"/>
      <c r="G1156" s="123" t="n"/>
      <c r="I1156" s="127" t="n"/>
      <c r="J1156" s="17" t="n"/>
      <c r="K1156" s="127" t="n"/>
      <c r="L1156" s="16" t="n"/>
      <c r="M1156" s="17" t="n"/>
      <c r="N1156" s="123" t="n"/>
      <c r="O1156" s="127" t="n"/>
      <c r="P1156" s="17" t="n"/>
      <c r="Q1156" s="127" t="n"/>
      <c r="R1156" s="16" t="n"/>
      <c r="S1156" s="17" t="n"/>
      <c r="T1156" s="123" t="n"/>
      <c r="U1156" s="127" t="n"/>
      <c r="V1156" s="17" t="n"/>
      <c r="W1156" s="127" t="n"/>
      <c r="X1156" s="16" t="n"/>
      <c r="Y1156" s="17" t="n"/>
      <c r="Z1156" s="123" t="n"/>
      <c r="AB1156" s="127" t="n"/>
      <c r="AC1156" s="17" t="n"/>
      <c r="AD1156" s="127" t="n"/>
      <c r="AE1156" s="16" t="n"/>
      <c r="AF1156" s="17" t="n"/>
      <c r="AG1156" s="123" t="n"/>
      <c r="AH1156" s="127" t="n"/>
      <c r="AI1156" s="17" t="n"/>
      <c r="AJ1156" s="127" t="n"/>
      <c r="AK1156" s="16" t="n"/>
      <c r="AL1156" s="17" t="n"/>
      <c r="AM1156" s="123" t="n"/>
      <c r="AN1156" s="127" t="n"/>
      <c r="AO1156" s="17" t="n"/>
      <c r="AP1156" s="127" t="n"/>
      <c r="AQ1156" s="16" t="n"/>
      <c r="AR1156" s="17" t="n"/>
      <c r="AS1156" s="123" t="n"/>
    </row>
    <row r="1157" hidden="1" outlineLevel="2">
      <c r="A1157" s="8" t="n"/>
      <c r="B1157" s="14" t="n"/>
      <c r="C1157" s="123" t="n"/>
      <c r="D1157" s="123" t="n"/>
      <c r="E1157" s="123" t="n"/>
      <c r="F1157" s="123" t="n"/>
      <c r="G1157" s="123" t="n"/>
      <c r="I1157" s="127">
        <f>DADOS_INVOC!$PZ$77</f>
        <v/>
      </c>
      <c r="J1157" s="17" t="n"/>
      <c r="K1157" s="127">
        <f>DADOS_INVOC!$QB$77</f>
        <v/>
      </c>
      <c r="L1157" s="16" t="n"/>
      <c r="M1157" s="17" t="n"/>
      <c r="N1157" s="123" t="n"/>
      <c r="O1157" s="127">
        <f>DADOS_INVOC!$PZ$78</f>
        <v/>
      </c>
      <c r="P1157" s="17" t="n"/>
      <c r="Q1157" s="127">
        <f>DADOS_INVOC!$QB$78</f>
        <v/>
      </c>
      <c r="R1157" s="16" t="n"/>
      <c r="S1157" s="17" t="n"/>
      <c r="T1157" s="123" t="n"/>
      <c r="U1157" s="127">
        <f>DADOS_INVOC!$PZ$79</f>
        <v/>
      </c>
      <c r="V1157" s="17" t="n"/>
      <c r="W1157" s="127">
        <f>DADOS_INVOC!$QB$79</f>
        <v/>
      </c>
      <c r="X1157" s="16" t="n"/>
      <c r="Y1157" s="17" t="n"/>
      <c r="Z1157" s="123" t="n"/>
      <c r="AB1157" s="127">
        <f>DADOS_INVOC!$PZ$155</f>
        <v/>
      </c>
      <c r="AC1157" s="17" t="n"/>
      <c r="AD1157" s="127">
        <f>DADOS_INVOC!$QB$155</f>
        <v/>
      </c>
      <c r="AE1157" s="16" t="n"/>
      <c r="AF1157" s="17" t="n"/>
      <c r="AG1157" s="123" t="n"/>
      <c r="AH1157" s="127">
        <f>DADOS_INVOC!$PZ$156</f>
        <v/>
      </c>
      <c r="AI1157" s="17" t="n"/>
      <c r="AJ1157" s="127">
        <f>DADOS_INVOC!$QB$156</f>
        <v/>
      </c>
      <c r="AK1157" s="16" t="n"/>
      <c r="AL1157" s="17" t="n"/>
      <c r="AM1157" s="123" t="n"/>
      <c r="AN1157" s="127">
        <f>DADOS_INVOC!$PZ$157</f>
        <v/>
      </c>
      <c r="AO1157" s="17" t="n"/>
      <c r="AP1157" s="127">
        <f>DADOS_INVOC!$QB$157</f>
        <v/>
      </c>
      <c r="AQ1157" s="16" t="n"/>
      <c r="AR1157" s="17" t="n"/>
      <c r="AS1157" s="123" t="n"/>
    </row>
    <row r="1158" hidden="1" outlineLevel="2">
      <c r="A1158" s="8" t="n"/>
      <c r="B1158" s="14" t="n"/>
      <c r="C1158" s="123" t="n"/>
      <c r="D1158" s="123" t="n"/>
      <c r="E1158" s="123" t="n"/>
      <c r="F1158" s="123" t="n"/>
      <c r="G1158" s="123" t="n"/>
      <c r="I1158" s="132">
        <f>DADOS_INVOC!$QH$77</f>
        <v/>
      </c>
      <c r="J1158" s="16" t="n"/>
      <c r="K1158" s="16" t="n"/>
      <c r="L1158" s="16" t="n"/>
      <c r="M1158" s="17" t="n"/>
      <c r="N1158" s="123" t="n"/>
      <c r="O1158" s="132">
        <f>DADOS_INVOC!$QH$78</f>
        <v/>
      </c>
      <c r="P1158" s="16" t="n"/>
      <c r="Q1158" s="16" t="n"/>
      <c r="R1158" s="16" t="n"/>
      <c r="S1158" s="17" t="n"/>
      <c r="T1158" s="123" t="n"/>
      <c r="U1158" s="132">
        <f>DADOS_INVOC!$QH$79</f>
        <v/>
      </c>
      <c r="V1158" s="16" t="n"/>
      <c r="W1158" s="16" t="n"/>
      <c r="X1158" s="16" t="n"/>
      <c r="Y1158" s="17" t="n"/>
      <c r="Z1158" s="123" t="n"/>
      <c r="AB1158" s="132">
        <f>DADOS_INVOC!$QH$155</f>
        <v/>
      </c>
      <c r="AC1158" s="16" t="n"/>
      <c r="AD1158" s="16" t="n"/>
      <c r="AE1158" s="16" t="n"/>
      <c r="AF1158" s="17" t="n"/>
      <c r="AG1158" s="123" t="n"/>
      <c r="AH1158" s="132">
        <f>DADOS_INVOC!$QH$156</f>
        <v/>
      </c>
      <c r="AI1158" s="16" t="n"/>
      <c r="AJ1158" s="16" t="n"/>
      <c r="AK1158" s="16" t="n"/>
      <c r="AL1158" s="17" t="n"/>
      <c r="AM1158" s="123" t="n"/>
      <c r="AN1158" s="132">
        <f>DADOS_INVOC!$QH$157</f>
        <v/>
      </c>
      <c r="AO1158" s="16" t="n"/>
      <c r="AP1158" s="16" t="n"/>
      <c r="AQ1158" s="16" t="n"/>
      <c r="AR1158" s="17" t="n"/>
      <c r="AS1158" s="123" t="n"/>
    </row>
    <row r="1159" hidden="1" outlineLevel="3">
      <c r="A1159" s="8" t="n"/>
      <c r="B1159" s="14" t="n"/>
      <c r="C1159" s="123" t="n"/>
      <c r="D1159" s="123" t="n"/>
      <c r="E1159" s="123" t="n"/>
      <c r="F1159" s="123" t="n"/>
      <c r="G1159" s="123" t="n"/>
      <c r="I1159" s="55" t="inlineStr">
        <is>
          <t>MELHORIAS</t>
        </is>
      </c>
      <c r="J1159" s="133" t="n"/>
      <c r="K1159" s="16" t="n"/>
      <c r="L1159" s="17" t="n"/>
      <c r="M1159" s="132">
        <f>DADOS_INVOC!$QK$77</f>
        <v/>
      </c>
      <c r="N1159" s="123" t="n"/>
      <c r="O1159" s="55" t="inlineStr">
        <is>
          <t>MELHORIAS</t>
        </is>
      </c>
      <c r="P1159" s="133" t="n"/>
      <c r="Q1159" s="16" t="n"/>
      <c r="R1159" s="17" t="n"/>
      <c r="S1159" s="132">
        <f>DADOS_INVOC!$QK$78</f>
        <v/>
      </c>
      <c r="T1159" s="123" t="n"/>
      <c r="U1159" s="55" t="inlineStr">
        <is>
          <t>MELHORIAS</t>
        </is>
      </c>
      <c r="V1159" s="133" t="n"/>
      <c r="W1159" s="16" t="n"/>
      <c r="X1159" s="17" t="n"/>
      <c r="Y1159" s="132">
        <f>DADOS_INVOC!$QK$79</f>
        <v/>
      </c>
      <c r="Z1159" s="123" t="n"/>
      <c r="AB1159" s="55" t="inlineStr">
        <is>
          <t>MELHORIAS</t>
        </is>
      </c>
      <c r="AC1159" s="133" t="n"/>
      <c r="AD1159" s="16" t="n"/>
      <c r="AE1159" s="17" t="n"/>
      <c r="AF1159" s="132">
        <f>DADOS_INVOC!$QK$155</f>
        <v/>
      </c>
      <c r="AG1159" s="123" t="n"/>
      <c r="AH1159" s="55" t="inlineStr">
        <is>
          <t>MELHORIAS</t>
        </is>
      </c>
      <c r="AI1159" s="133" t="n"/>
      <c r="AJ1159" s="16" t="n"/>
      <c r="AK1159" s="17" t="n"/>
      <c r="AL1159" s="132">
        <f>DADOS_INVOC!$QK$156</f>
        <v/>
      </c>
      <c r="AM1159" s="123" t="n"/>
      <c r="AN1159" s="55" t="inlineStr">
        <is>
          <t>MELHORIAS</t>
        </is>
      </c>
      <c r="AO1159" s="133" t="n"/>
      <c r="AP1159" s="16" t="n"/>
      <c r="AQ1159" s="17" t="n"/>
      <c r="AR1159" s="132">
        <f>DADOS_INVOC!$QK$157</f>
        <v/>
      </c>
      <c r="AS1159" s="123" t="n"/>
    </row>
    <row r="1160" hidden="1" outlineLevel="3">
      <c r="A1160" s="8" t="n"/>
      <c r="B1160" s="14" t="n"/>
      <c r="C1160" s="123" t="n"/>
      <c r="D1160" s="123" t="n"/>
      <c r="E1160" s="123" t="n"/>
      <c r="F1160" s="123" t="n"/>
      <c r="G1160" s="123" t="n"/>
      <c r="I1160" s="134" t="n"/>
      <c r="J1160" s="133" t="n"/>
      <c r="K1160" s="16" t="n"/>
      <c r="L1160" s="17" t="n"/>
      <c r="M1160" s="132">
        <f>DADOS_INVOC!$QL$77</f>
        <v/>
      </c>
      <c r="N1160" s="123" t="n"/>
      <c r="O1160" s="134" t="n"/>
      <c r="P1160" s="133" t="n"/>
      <c r="Q1160" s="16" t="n"/>
      <c r="R1160" s="17" t="n"/>
      <c r="S1160" s="132">
        <f>DADOS_INVOC!$QL$78</f>
        <v/>
      </c>
      <c r="T1160" s="123" t="n"/>
      <c r="U1160" s="134" t="n"/>
      <c r="V1160" s="133" t="n"/>
      <c r="W1160" s="16" t="n"/>
      <c r="X1160" s="17" t="n"/>
      <c r="Y1160" s="132">
        <f>DADOS_INVOC!$QL$79</f>
        <v/>
      </c>
      <c r="Z1160" s="123" t="n"/>
      <c r="AB1160" s="134" t="n"/>
      <c r="AC1160" s="133" t="n"/>
      <c r="AD1160" s="16" t="n"/>
      <c r="AE1160" s="17" t="n"/>
      <c r="AF1160" s="132">
        <f>DADOS_INVOC!$QL$155</f>
        <v/>
      </c>
      <c r="AG1160" s="123" t="n"/>
      <c r="AH1160" s="134" t="n"/>
      <c r="AI1160" s="133" t="n"/>
      <c r="AJ1160" s="16" t="n"/>
      <c r="AK1160" s="17" t="n"/>
      <c r="AL1160" s="132">
        <f>DADOS_INVOC!$QL$156</f>
        <v/>
      </c>
      <c r="AM1160" s="123" t="n"/>
      <c r="AN1160" s="134" t="n"/>
      <c r="AO1160" s="133" t="n"/>
      <c r="AP1160" s="16" t="n"/>
      <c r="AQ1160" s="17" t="n"/>
      <c r="AR1160" s="132">
        <f>DADOS_INVOC!$QL$157</f>
        <v/>
      </c>
      <c r="AS1160" s="123" t="n"/>
    </row>
    <row r="1161" hidden="1" outlineLevel="3">
      <c r="A1161" s="8" t="n"/>
      <c r="B1161" s="14" t="n"/>
      <c r="C1161" s="123" t="n"/>
      <c r="D1161" s="123" t="n"/>
      <c r="E1161" s="123" t="n"/>
      <c r="F1161" s="123" t="n"/>
      <c r="G1161" s="123" t="n"/>
      <c r="I1161" s="134" t="n"/>
      <c r="J1161" s="133" t="n"/>
      <c r="K1161" s="16" t="n"/>
      <c r="L1161" s="17" t="n"/>
      <c r="M1161" s="132">
        <f>DADOS_INVOC!$QM$77</f>
        <v/>
      </c>
      <c r="N1161" s="123" t="n"/>
      <c r="O1161" s="134" t="n"/>
      <c r="P1161" s="133" t="n"/>
      <c r="Q1161" s="16" t="n"/>
      <c r="R1161" s="17" t="n"/>
      <c r="S1161" s="132">
        <f>DADOS_INVOC!$QM$78</f>
        <v/>
      </c>
      <c r="T1161" s="123" t="n"/>
      <c r="U1161" s="134" t="n"/>
      <c r="V1161" s="133" t="n"/>
      <c r="W1161" s="16" t="n"/>
      <c r="X1161" s="17" t="n"/>
      <c r="Y1161" s="132">
        <f>DADOS_INVOC!$QM$79</f>
        <v/>
      </c>
      <c r="Z1161" s="123" t="n"/>
      <c r="AB1161" s="134" t="n"/>
      <c r="AC1161" s="133" t="n"/>
      <c r="AD1161" s="16" t="n"/>
      <c r="AE1161" s="17" t="n"/>
      <c r="AF1161" s="132">
        <f>DADOS_INVOC!$QM$155</f>
        <v/>
      </c>
      <c r="AG1161" s="123" t="n"/>
      <c r="AH1161" s="134" t="n"/>
      <c r="AI1161" s="133" t="n"/>
      <c r="AJ1161" s="16" t="n"/>
      <c r="AK1161" s="17" t="n"/>
      <c r="AL1161" s="132">
        <f>DADOS_INVOC!$QM$156</f>
        <v/>
      </c>
      <c r="AM1161" s="123" t="n"/>
      <c r="AN1161" s="134" t="n"/>
      <c r="AO1161" s="133" t="n"/>
      <c r="AP1161" s="16" t="n"/>
      <c r="AQ1161" s="17" t="n"/>
      <c r="AR1161" s="132">
        <f>DADOS_INVOC!$QM$157</f>
        <v/>
      </c>
      <c r="AS1161" s="123" t="n"/>
    </row>
    <row r="1162" hidden="1" outlineLevel="3">
      <c r="A1162" s="8" t="n"/>
      <c r="B1162" s="14" t="n"/>
      <c r="C1162" s="123" t="n"/>
      <c r="D1162" s="123" t="n"/>
      <c r="E1162" s="123" t="n"/>
      <c r="F1162" s="123" t="n"/>
      <c r="G1162" s="123" t="n"/>
      <c r="I1162" s="128" t="n"/>
      <c r="J1162" s="133" t="n"/>
      <c r="K1162" s="16" t="n"/>
      <c r="L1162" s="17" t="n"/>
      <c r="M1162" s="132">
        <f>DADOS_INVOC!$QN$77</f>
        <v/>
      </c>
      <c r="N1162" s="123" t="n"/>
      <c r="O1162" s="128" t="n"/>
      <c r="P1162" s="133" t="n"/>
      <c r="Q1162" s="16" t="n"/>
      <c r="R1162" s="17" t="n"/>
      <c r="S1162" s="132">
        <f>DADOS_INVOC!$QN$78</f>
        <v/>
      </c>
      <c r="T1162" s="123" t="n"/>
      <c r="U1162" s="128" t="n"/>
      <c r="V1162" s="133" t="n"/>
      <c r="W1162" s="16" t="n"/>
      <c r="X1162" s="17" t="n"/>
      <c r="Y1162" s="132">
        <f>DADOS_INVOC!$QN$79</f>
        <v/>
      </c>
      <c r="Z1162" s="123" t="n"/>
      <c r="AB1162" s="128" t="n"/>
      <c r="AC1162" s="133" t="n"/>
      <c r="AD1162" s="16" t="n"/>
      <c r="AE1162" s="17" t="n"/>
      <c r="AF1162" s="132">
        <f>DADOS_INVOC!$QN$155</f>
        <v/>
      </c>
      <c r="AG1162" s="123" t="n"/>
      <c r="AH1162" s="128" t="n"/>
      <c r="AI1162" s="133" t="n"/>
      <c r="AJ1162" s="16" t="n"/>
      <c r="AK1162" s="17" t="n"/>
      <c r="AL1162" s="132">
        <f>DADOS_INVOC!$QN$156</f>
        <v/>
      </c>
      <c r="AM1162" s="123" t="n"/>
      <c r="AN1162" s="128" t="n"/>
      <c r="AO1162" s="133" t="n"/>
      <c r="AP1162" s="16" t="n"/>
      <c r="AQ1162" s="17" t="n"/>
      <c r="AR1162" s="132">
        <f>DADOS_INVOC!$QN$157</f>
        <v/>
      </c>
      <c r="AS1162" s="123" t="n"/>
    </row>
    <row r="1163" hidden="1" outlineLevel="3">
      <c r="A1163" s="8" t="n"/>
      <c r="B1163" s="14" t="n"/>
      <c r="C1163" s="123" t="n"/>
      <c r="D1163" s="123" t="n"/>
      <c r="E1163" s="123" t="n"/>
      <c r="F1163" s="123" t="n"/>
      <c r="G1163" s="123" t="n"/>
      <c r="I1163" s="55" t="inlineStr">
        <is>
          <t>RESTRIÇÕES</t>
        </is>
      </c>
      <c r="J1163" s="133" t="n"/>
      <c r="K1163" s="16" t="n"/>
      <c r="L1163" s="17" t="n"/>
      <c r="M1163" s="132">
        <f>DADOS_INVOC!$QO$77</f>
        <v/>
      </c>
      <c r="N1163" s="123" t="n"/>
      <c r="O1163" s="55" t="inlineStr">
        <is>
          <t>RESTRIÇÕES</t>
        </is>
      </c>
      <c r="P1163" s="133" t="n"/>
      <c r="Q1163" s="16" t="n"/>
      <c r="R1163" s="17" t="n"/>
      <c r="S1163" s="132">
        <f>DADOS_INVOC!$QO$78</f>
        <v/>
      </c>
      <c r="T1163" s="123" t="n"/>
      <c r="U1163" s="55" t="inlineStr">
        <is>
          <t>RESTRIÇÕES</t>
        </is>
      </c>
      <c r="V1163" s="133" t="n"/>
      <c r="W1163" s="16" t="n"/>
      <c r="X1163" s="17" t="n"/>
      <c r="Y1163" s="132">
        <f>DADOS_INVOC!$QO$79</f>
        <v/>
      </c>
      <c r="Z1163" s="123" t="n"/>
      <c r="AB1163" s="55" t="inlineStr">
        <is>
          <t>RESTRIÇÕES</t>
        </is>
      </c>
      <c r="AC1163" s="133" t="n"/>
      <c r="AD1163" s="16" t="n"/>
      <c r="AE1163" s="17" t="n"/>
      <c r="AF1163" s="132">
        <f>DADOS_INVOC!$QO$155</f>
        <v/>
      </c>
      <c r="AG1163" s="123" t="n"/>
      <c r="AH1163" s="55" t="inlineStr">
        <is>
          <t>RESTRIÇÕES</t>
        </is>
      </c>
      <c r="AI1163" s="133" t="n"/>
      <c r="AJ1163" s="16" t="n"/>
      <c r="AK1163" s="17" t="n"/>
      <c r="AL1163" s="132">
        <f>DADOS_INVOC!$QO$156</f>
        <v/>
      </c>
      <c r="AM1163" s="123" t="n"/>
      <c r="AN1163" s="55" t="inlineStr">
        <is>
          <t>RESTRIÇÕES</t>
        </is>
      </c>
      <c r="AO1163" s="133" t="n"/>
      <c r="AP1163" s="16" t="n"/>
      <c r="AQ1163" s="17" t="n"/>
      <c r="AR1163" s="132">
        <f>DADOS_INVOC!$QO$157</f>
        <v/>
      </c>
      <c r="AS1163" s="123" t="n"/>
    </row>
    <row r="1164" hidden="1" outlineLevel="3">
      <c r="A1164" s="8" t="n"/>
      <c r="B1164" s="14" t="n"/>
      <c r="C1164" s="123" t="n"/>
      <c r="D1164" s="123" t="n"/>
      <c r="E1164" s="123" t="n"/>
      <c r="F1164" s="123" t="n"/>
      <c r="G1164" s="123" t="n"/>
      <c r="I1164" s="128" t="n"/>
      <c r="J1164" s="133" t="n"/>
      <c r="K1164" s="16" t="n"/>
      <c r="L1164" s="17" t="n"/>
      <c r="M1164" s="132">
        <f>DADOS_INVOC!$QP$77</f>
        <v/>
      </c>
      <c r="N1164" s="123" t="n"/>
      <c r="O1164" s="128" t="n"/>
      <c r="P1164" s="133" t="n"/>
      <c r="Q1164" s="16" t="n"/>
      <c r="R1164" s="17" t="n"/>
      <c r="S1164" s="132">
        <f>DADOS_INVOC!$QP$78</f>
        <v/>
      </c>
      <c r="T1164" s="123" t="n"/>
      <c r="U1164" s="128" t="n"/>
      <c r="V1164" s="133" t="n"/>
      <c r="W1164" s="16" t="n"/>
      <c r="X1164" s="17" t="n"/>
      <c r="Y1164" s="132">
        <f>DADOS_INVOC!$QP$79</f>
        <v/>
      </c>
      <c r="Z1164" s="123" t="n"/>
      <c r="AB1164" s="128" t="n"/>
      <c r="AC1164" s="133" t="n"/>
      <c r="AD1164" s="16" t="n"/>
      <c r="AE1164" s="17" t="n"/>
      <c r="AF1164" s="132">
        <f>DADOS_INVOC!$QP$155</f>
        <v/>
      </c>
      <c r="AG1164" s="123" t="n"/>
      <c r="AH1164" s="128" t="n"/>
      <c r="AI1164" s="133" t="n"/>
      <c r="AJ1164" s="16" t="n"/>
      <c r="AK1164" s="17" t="n"/>
      <c r="AL1164" s="132">
        <f>DADOS_INVOC!$QP$156</f>
        <v/>
      </c>
      <c r="AM1164" s="123" t="n"/>
      <c r="AN1164" s="128" t="n"/>
      <c r="AO1164" s="133" t="n"/>
      <c r="AP1164" s="16" t="n"/>
      <c r="AQ1164" s="17" t="n"/>
      <c r="AR1164" s="132">
        <f>DADOS_INVOC!$QP$157</f>
        <v/>
      </c>
      <c r="AS1164" s="123" t="n"/>
    </row>
    <row r="1165" hidden="1" outlineLevel="3">
      <c r="A1165" s="8" t="n"/>
      <c r="B1165" s="14" t="n"/>
      <c r="C1165" s="123" t="n"/>
      <c r="D1165" s="123" t="n"/>
      <c r="E1165" s="123" t="n"/>
      <c r="F1165" s="123" t="n"/>
      <c r="G1165" s="123" t="n"/>
      <c r="I1165" s="55" t="inlineStr">
        <is>
          <t>CONTA</t>
        </is>
      </c>
      <c r="J1165" s="135">
        <f>DADOS_INVOC!$QI$77</f>
        <v/>
      </c>
      <c r="K1165" s="16" t="n"/>
      <c r="L1165" s="16" t="n"/>
      <c r="M1165" s="17" t="n"/>
      <c r="N1165" s="123" t="n"/>
      <c r="O1165" s="55" t="inlineStr">
        <is>
          <t>CONTA</t>
        </is>
      </c>
      <c r="P1165" s="135">
        <f>DADOS_INVOC!$QI$78</f>
        <v/>
      </c>
      <c r="Q1165" s="16" t="n"/>
      <c r="R1165" s="16" t="n"/>
      <c r="S1165" s="17" t="n"/>
      <c r="T1165" s="123" t="n"/>
      <c r="U1165" s="55" t="inlineStr">
        <is>
          <t>CONTA</t>
        </is>
      </c>
      <c r="V1165" s="135">
        <f>DADOS_INVOC!$QI$79</f>
        <v/>
      </c>
      <c r="W1165" s="16" t="n"/>
      <c r="X1165" s="16" t="n"/>
      <c r="Y1165" s="17" t="n"/>
      <c r="Z1165" s="123" t="n"/>
      <c r="AB1165" s="55" t="inlineStr">
        <is>
          <t>CONTA</t>
        </is>
      </c>
      <c r="AC1165" s="135">
        <f>DADOS_INVOC!$QI$155</f>
        <v/>
      </c>
      <c r="AD1165" s="16" t="n"/>
      <c r="AE1165" s="16" t="n"/>
      <c r="AF1165" s="17" t="n"/>
      <c r="AG1165" s="123" t="n"/>
      <c r="AH1165" s="55" t="inlineStr">
        <is>
          <t>CONTA</t>
        </is>
      </c>
      <c r="AI1165" s="135">
        <f>DADOS_INVOC!$QI$156</f>
        <v/>
      </c>
      <c r="AJ1165" s="16" t="n"/>
      <c r="AK1165" s="16" t="n"/>
      <c r="AL1165" s="17" t="n"/>
      <c r="AM1165" s="123" t="n"/>
      <c r="AN1165" s="55" t="inlineStr">
        <is>
          <t>CONTA</t>
        </is>
      </c>
      <c r="AO1165" s="135">
        <f>DADOS_INVOC!$QI$157</f>
        <v/>
      </c>
      <c r="AP1165" s="16" t="n"/>
      <c r="AQ1165" s="16" t="n"/>
      <c r="AR1165" s="17" t="n"/>
      <c r="AS1165" s="123" t="n"/>
    </row>
    <row r="1166" hidden="1" outlineLevel="3">
      <c r="A1166" s="8" t="n"/>
      <c r="B1166" s="14" t="n"/>
      <c r="C1166" s="123" t="n"/>
      <c r="D1166" s="123" t="n"/>
      <c r="E1166" s="123" t="n"/>
      <c r="F1166" s="123" t="n"/>
      <c r="G1166" s="123" t="n"/>
      <c r="I1166" s="55" t="inlineStr">
        <is>
          <t>AMPLIAR</t>
        </is>
      </c>
      <c r="J1166" s="135">
        <f>DADOS_INVOC!$QJ$77</f>
        <v/>
      </c>
      <c r="K1166" s="19" t="n"/>
      <c r="L1166" s="19" t="n"/>
      <c r="M1166" s="20" t="n"/>
      <c r="N1166" s="123" t="n"/>
      <c r="O1166" s="55" t="inlineStr">
        <is>
          <t>AMPLIAR</t>
        </is>
      </c>
      <c r="P1166" s="135">
        <f>DADOS_INVOC!$QJ$78</f>
        <v/>
      </c>
      <c r="Q1166" s="19" t="n"/>
      <c r="R1166" s="19" t="n"/>
      <c r="S1166" s="20" t="n"/>
      <c r="T1166" s="123" t="n"/>
      <c r="U1166" s="55" t="inlineStr">
        <is>
          <t>AMPLIAR</t>
        </is>
      </c>
      <c r="V1166" s="135">
        <f>DADOS_INVOC!$QJ$79</f>
        <v/>
      </c>
      <c r="W1166" s="19" t="n"/>
      <c r="X1166" s="19" t="n"/>
      <c r="Y1166" s="20" t="n"/>
      <c r="Z1166" s="123" t="n"/>
      <c r="AB1166" s="55" t="inlineStr">
        <is>
          <t>AMPLIAR</t>
        </is>
      </c>
      <c r="AC1166" s="135">
        <f>DADOS_INVOC!$QJ$155</f>
        <v/>
      </c>
      <c r="AD1166" s="19" t="n"/>
      <c r="AE1166" s="19" t="n"/>
      <c r="AF1166" s="20" t="n"/>
      <c r="AG1166" s="123" t="n"/>
      <c r="AH1166" s="55" t="inlineStr">
        <is>
          <t>AMPLIAR</t>
        </is>
      </c>
      <c r="AI1166" s="135">
        <f>DADOS_INVOC!$QJ$156</f>
        <v/>
      </c>
      <c r="AJ1166" s="19" t="n"/>
      <c r="AK1166" s="19" t="n"/>
      <c r="AL1166" s="20" t="n"/>
      <c r="AM1166" s="123" t="n"/>
      <c r="AN1166" s="55" t="inlineStr">
        <is>
          <t>AMPLIAR</t>
        </is>
      </c>
      <c r="AO1166" s="135">
        <f>DADOS_INVOC!$QJ$157</f>
        <v/>
      </c>
      <c r="AP1166" s="19" t="n"/>
      <c r="AQ1166" s="19" t="n"/>
      <c r="AR1166" s="20" t="n"/>
      <c r="AS1166" s="123" t="n"/>
    </row>
    <row r="1167" hidden="1" outlineLevel="3">
      <c r="A1167" s="8" t="n"/>
      <c r="B1167" s="14" t="n"/>
      <c r="C1167" s="123" t="n"/>
      <c r="D1167" s="123" t="n"/>
      <c r="E1167" s="123" t="n"/>
      <c r="F1167" s="123" t="n"/>
      <c r="G1167" s="123" t="n"/>
      <c r="I1167" s="128" t="n"/>
      <c r="J1167" s="23" t="n"/>
      <c r="K1167" s="24" t="n"/>
      <c r="L1167" s="24" t="n"/>
      <c r="M1167" s="25" t="n"/>
      <c r="N1167" s="123" t="n"/>
      <c r="O1167" s="128" t="n"/>
      <c r="P1167" s="23" t="n"/>
      <c r="Q1167" s="24" t="n"/>
      <c r="R1167" s="24" t="n"/>
      <c r="S1167" s="25" t="n"/>
      <c r="T1167" s="123" t="n"/>
      <c r="U1167" s="128" t="n"/>
      <c r="V1167" s="23" t="n"/>
      <c r="W1167" s="24" t="n"/>
      <c r="X1167" s="24" t="n"/>
      <c r="Y1167" s="25" t="n"/>
      <c r="Z1167" s="123" t="n"/>
      <c r="AB1167" s="128" t="n"/>
      <c r="AC1167" s="23" t="n"/>
      <c r="AD1167" s="24" t="n"/>
      <c r="AE1167" s="24" t="n"/>
      <c r="AF1167" s="25" t="n"/>
      <c r="AG1167" s="123" t="n"/>
      <c r="AH1167" s="128" t="n"/>
      <c r="AI1167" s="23" t="n"/>
      <c r="AJ1167" s="24" t="n"/>
      <c r="AK1167" s="24" t="n"/>
      <c r="AL1167" s="25" t="n"/>
      <c r="AM1167" s="123" t="n"/>
      <c r="AN1167" s="128" t="n"/>
      <c r="AO1167" s="23" t="n"/>
      <c r="AP1167" s="24" t="n"/>
      <c r="AQ1167" s="24" t="n"/>
      <c r="AR1167" s="25" t="n"/>
      <c r="AS1167" s="123" t="n"/>
    </row>
    <row r="1168" hidden="1" outlineLevel="3">
      <c r="A1168" s="8" t="n"/>
      <c r="B1168" s="14" t="n"/>
      <c r="C1168" s="123" t="n"/>
      <c r="D1168" s="123" t="n"/>
      <c r="E1168" s="123" t="n"/>
      <c r="F1168" s="123" t="n"/>
      <c r="G1168" s="123" t="n"/>
      <c r="I1168" s="135">
        <f>DADOS_INVOC!$PW$77</f>
        <v/>
      </c>
      <c r="J1168" s="19" t="n"/>
      <c r="K1168" s="19" t="n"/>
      <c r="L1168" s="19" t="n"/>
      <c r="M1168" s="20" t="n"/>
      <c r="N1168" s="123" t="n"/>
      <c r="O1168" s="135">
        <f>DADOS_INVOC!$PW$78</f>
        <v/>
      </c>
      <c r="P1168" s="19" t="n"/>
      <c r="Q1168" s="19" t="n"/>
      <c r="R1168" s="19" t="n"/>
      <c r="S1168" s="20" t="n"/>
      <c r="T1168" s="123" t="n"/>
      <c r="U1168" s="135">
        <f>DADOS_INVOC!$PW$79</f>
        <v/>
      </c>
      <c r="V1168" s="19" t="n"/>
      <c r="W1168" s="19" t="n"/>
      <c r="X1168" s="19" t="n"/>
      <c r="Y1168" s="20" t="n"/>
      <c r="Z1168" s="123" t="n"/>
      <c r="AB1168" s="135">
        <f>DADOS_INVOC!$PW$155</f>
        <v/>
      </c>
      <c r="AC1168" s="19" t="n"/>
      <c r="AD1168" s="19" t="n"/>
      <c r="AE1168" s="19" t="n"/>
      <c r="AF1168" s="20" t="n"/>
      <c r="AG1168" s="123" t="n"/>
      <c r="AH1168" s="135">
        <f>DADOS_INVOC!$PW$156</f>
        <v/>
      </c>
      <c r="AI1168" s="19" t="n"/>
      <c r="AJ1168" s="19" t="n"/>
      <c r="AK1168" s="19" t="n"/>
      <c r="AL1168" s="20" t="n"/>
      <c r="AM1168" s="123" t="n"/>
      <c r="AN1168" s="135">
        <f>DADOS_INVOC!$PW$157</f>
        <v/>
      </c>
      <c r="AO1168" s="19" t="n"/>
      <c r="AP1168" s="19" t="n"/>
      <c r="AQ1168" s="19" t="n"/>
      <c r="AR1168" s="20" t="n"/>
      <c r="AS1168" s="123" t="n"/>
    </row>
    <row r="1169" hidden="1" outlineLevel="3">
      <c r="A1169" s="8" t="n"/>
      <c r="B1169" s="14" t="n"/>
      <c r="C1169" s="123" t="n"/>
      <c r="D1169" s="123" t="n"/>
      <c r="E1169" s="123" t="n"/>
      <c r="F1169" s="123" t="n"/>
      <c r="G1169" s="123" t="n"/>
      <c r="I1169" s="23" t="n"/>
      <c r="J1169" s="24" t="n"/>
      <c r="K1169" s="24" t="n"/>
      <c r="L1169" s="24" t="n"/>
      <c r="M1169" s="25" t="n"/>
      <c r="N1169" s="123" t="n"/>
      <c r="O1169" s="23" t="n"/>
      <c r="P1169" s="24" t="n"/>
      <c r="Q1169" s="24" t="n"/>
      <c r="R1169" s="24" t="n"/>
      <c r="S1169" s="25" t="n"/>
      <c r="T1169" s="123" t="n"/>
      <c r="U1169" s="23" t="n"/>
      <c r="V1169" s="24" t="n"/>
      <c r="W1169" s="24" t="n"/>
      <c r="X1169" s="24" t="n"/>
      <c r="Y1169" s="25" t="n"/>
      <c r="Z1169" s="123" t="n"/>
      <c r="AB1169" s="23" t="n"/>
      <c r="AC1169" s="24" t="n"/>
      <c r="AD1169" s="24" t="n"/>
      <c r="AE1169" s="24" t="n"/>
      <c r="AF1169" s="25" t="n"/>
      <c r="AG1169" s="123" t="n"/>
      <c r="AH1169" s="23" t="n"/>
      <c r="AI1169" s="24" t="n"/>
      <c r="AJ1169" s="24" t="n"/>
      <c r="AK1169" s="24" t="n"/>
      <c r="AL1169" s="25" t="n"/>
      <c r="AM1169" s="123" t="n"/>
      <c r="AN1169" s="23" t="n"/>
      <c r="AO1169" s="24" t="n"/>
      <c r="AP1169" s="24" t="n"/>
      <c r="AQ1169" s="24" t="n"/>
      <c r="AR1169" s="25" t="n"/>
      <c r="AS1169" s="123" t="n"/>
    </row>
    <row r="1170" hidden="1" outlineLevel="2">
      <c r="A1170" s="8" t="n"/>
      <c r="B1170" s="14" t="n"/>
      <c r="C1170" s="123" t="n"/>
      <c r="D1170" s="123" t="n"/>
      <c r="E1170" s="123" t="n"/>
      <c r="F1170" s="123" t="n"/>
      <c r="G1170" s="123" t="n"/>
      <c r="I1170" s="123" t="n"/>
      <c r="J1170" s="123" t="n"/>
      <c r="K1170" s="123" t="n"/>
      <c r="L1170" s="123" t="n"/>
      <c r="M1170" s="123" t="n"/>
      <c r="N1170" s="123" t="n"/>
      <c r="O1170" s="123" t="n"/>
      <c r="P1170" s="123" t="n"/>
      <c r="Q1170" s="123" t="n"/>
      <c r="R1170" s="123" t="n"/>
      <c r="S1170" s="123" t="n"/>
      <c r="T1170" s="123" t="n"/>
      <c r="U1170" s="123" t="n"/>
      <c r="V1170" s="123" t="n"/>
      <c r="W1170" s="123" t="n"/>
      <c r="X1170" s="123" t="n"/>
      <c r="Y1170" s="123" t="n"/>
      <c r="Z1170" s="123" t="n"/>
      <c r="AB1170" s="123" t="n"/>
      <c r="AC1170" s="123" t="n"/>
      <c r="AD1170" s="123" t="n"/>
      <c r="AE1170" s="123" t="n"/>
      <c r="AF1170" s="123" t="n"/>
      <c r="AG1170" s="123" t="n"/>
      <c r="AH1170" s="123" t="n"/>
      <c r="AI1170" s="123" t="n"/>
      <c r="AJ1170" s="123" t="n"/>
      <c r="AK1170" s="123" t="n"/>
      <c r="AL1170" s="123" t="n"/>
      <c r="AM1170" s="123" t="n"/>
      <c r="AN1170" s="123" t="n"/>
      <c r="AO1170" s="123" t="n"/>
      <c r="AP1170" s="123" t="n"/>
      <c r="AQ1170" s="123" t="n"/>
      <c r="AR1170" s="123" t="n"/>
      <c r="AS1170" s="123" t="n"/>
    </row>
    <row r="1171" hidden="1" outlineLevel="2">
      <c r="A1171" s="8" t="n"/>
      <c r="B1171" s="14" t="n"/>
      <c r="C1171" s="123" t="n"/>
      <c r="D1171" s="123" t="n"/>
      <c r="E1171" s="123" t="n"/>
      <c r="F1171" s="123" t="n"/>
      <c r="G1171" s="123" t="n"/>
      <c r="I1171" s="55"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23" t="n"/>
      <c r="AB1171" s="55"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23" t="n"/>
    </row>
    <row r="1172" hidden="1" outlineLevel="2">
      <c r="A1172" s="8" t="n"/>
      <c r="B1172" s="14" t="n"/>
      <c r="C1172" s="123" t="n"/>
      <c r="D1172" s="123" t="n"/>
      <c r="E1172" s="123" t="n"/>
      <c r="F1172" s="123" t="n"/>
      <c r="G1172" s="123" t="n"/>
      <c r="I1172" s="55" t="inlineStr">
        <is>
          <t>TRILHA · CE 1</t>
        </is>
      </c>
      <c r="J1172" s="133" t="n"/>
      <c r="K1172" s="16" t="n"/>
      <c r="L1172" s="17" t="n"/>
      <c r="M1172" s="140">
        <f>DADOS_INVOC!$IU$7</f>
        <v/>
      </c>
      <c r="N1172" s="16" t="n"/>
      <c r="O1172" s="16" t="n"/>
      <c r="P1172" s="16" t="n"/>
      <c r="Q1172" s="16" t="n"/>
      <c r="R1172" s="16" t="n"/>
      <c r="S1172" s="16" t="n"/>
      <c r="T1172" s="16" t="n"/>
      <c r="U1172" s="16" t="n"/>
      <c r="V1172" s="16" t="n"/>
      <c r="W1172" s="16" t="n"/>
      <c r="X1172" s="16" t="n"/>
      <c r="Y1172" s="17" t="n"/>
      <c r="Z1172" s="123" t="n"/>
      <c r="AB1172" s="55" t="inlineStr">
        <is>
          <t>TRILHA · CE 1</t>
        </is>
      </c>
      <c r="AC1172" s="133" t="n"/>
      <c r="AD1172" s="16" t="n"/>
      <c r="AE1172" s="17" t="n"/>
      <c r="AF1172" s="140">
        <f>DADOS_INVOC!$IU$13</f>
        <v/>
      </c>
      <c r="AG1172" s="16" t="n"/>
      <c r="AH1172" s="16" t="n"/>
      <c r="AI1172" s="16" t="n"/>
      <c r="AJ1172" s="16" t="n"/>
      <c r="AK1172" s="16" t="n"/>
      <c r="AL1172" s="16" t="n"/>
      <c r="AM1172" s="16" t="n"/>
      <c r="AN1172" s="16" t="n"/>
      <c r="AO1172" s="16" t="n"/>
      <c r="AP1172" s="16" t="n"/>
      <c r="AQ1172" s="16" t="n"/>
      <c r="AR1172" s="17" t="n"/>
      <c r="AS1172" s="123" t="n"/>
    </row>
    <row r="1173" hidden="1" outlineLevel="2">
      <c r="A1173" s="8" t="n"/>
      <c r="B1173" s="14" t="n"/>
      <c r="C1173" s="123" t="n"/>
      <c r="D1173" s="123" t="n"/>
      <c r="E1173" s="123" t="n"/>
      <c r="F1173" s="123" t="n"/>
      <c r="G1173" s="123" t="n"/>
      <c r="I1173" s="55" t="inlineStr">
        <is>
          <t>TRILHA · CE 1</t>
        </is>
      </c>
      <c r="J1173" s="133" t="n"/>
      <c r="K1173" s="16" t="n"/>
      <c r="L1173" s="17" t="n"/>
      <c r="M1173" s="140">
        <f>DADOS_INVOC!$IV$7</f>
        <v/>
      </c>
      <c r="N1173" s="16" t="n"/>
      <c r="O1173" s="16" t="n"/>
      <c r="P1173" s="16" t="n"/>
      <c r="Q1173" s="16" t="n"/>
      <c r="R1173" s="16" t="n"/>
      <c r="S1173" s="16" t="n"/>
      <c r="T1173" s="16" t="n"/>
      <c r="U1173" s="16" t="n"/>
      <c r="V1173" s="16" t="n"/>
      <c r="W1173" s="16" t="n"/>
      <c r="X1173" s="16" t="n"/>
      <c r="Y1173" s="17" t="n"/>
      <c r="Z1173" s="123" t="n"/>
      <c r="AB1173" s="55" t="inlineStr">
        <is>
          <t>TRILHA · CE 1</t>
        </is>
      </c>
      <c r="AC1173" s="133" t="n"/>
      <c r="AD1173" s="16" t="n"/>
      <c r="AE1173" s="17" t="n"/>
      <c r="AF1173" s="140">
        <f>DADOS_INVOC!$IV$13</f>
        <v/>
      </c>
      <c r="AG1173" s="16" t="n"/>
      <c r="AH1173" s="16" t="n"/>
      <c r="AI1173" s="16" t="n"/>
      <c r="AJ1173" s="16" t="n"/>
      <c r="AK1173" s="16" t="n"/>
      <c r="AL1173" s="16" t="n"/>
      <c r="AM1173" s="16" t="n"/>
      <c r="AN1173" s="16" t="n"/>
      <c r="AO1173" s="16" t="n"/>
      <c r="AP1173" s="16" t="n"/>
      <c r="AQ1173" s="16" t="n"/>
      <c r="AR1173" s="17" t="n"/>
      <c r="AS1173" s="123" t="n"/>
    </row>
    <row r="1174" hidden="1" outlineLevel="2">
      <c r="A1174" s="8" t="n"/>
      <c r="B1174" s="14" t="n"/>
      <c r="C1174" s="123" t="n"/>
      <c r="D1174" s="123" t="n"/>
      <c r="E1174" s="123" t="n"/>
      <c r="F1174" s="123" t="n"/>
      <c r="G1174" s="123" t="n"/>
      <c r="I1174" s="55" t="inlineStr">
        <is>
          <t>TRILHA · CE 1</t>
        </is>
      </c>
      <c r="J1174" s="133" t="n"/>
      <c r="K1174" s="16" t="n"/>
      <c r="L1174" s="17" t="n"/>
      <c r="M1174" s="140">
        <f>DADOS_INVOC!$IW$7</f>
        <v/>
      </c>
      <c r="N1174" s="16" t="n"/>
      <c r="O1174" s="16" t="n"/>
      <c r="P1174" s="16" t="n"/>
      <c r="Q1174" s="16" t="n"/>
      <c r="R1174" s="16" t="n"/>
      <c r="S1174" s="16" t="n"/>
      <c r="T1174" s="16" t="n"/>
      <c r="U1174" s="16" t="n"/>
      <c r="V1174" s="16" t="n"/>
      <c r="W1174" s="16" t="n"/>
      <c r="X1174" s="16" t="n"/>
      <c r="Y1174" s="17" t="n"/>
      <c r="Z1174" s="123" t="n"/>
      <c r="AB1174" s="55" t="inlineStr">
        <is>
          <t>TRILHA · CE 1</t>
        </is>
      </c>
      <c r="AC1174" s="133" t="n"/>
      <c r="AD1174" s="16" t="n"/>
      <c r="AE1174" s="17" t="n"/>
      <c r="AF1174" s="140">
        <f>DADOS_INVOC!$IW$13</f>
        <v/>
      </c>
      <c r="AG1174" s="16" t="n"/>
      <c r="AH1174" s="16" t="n"/>
      <c r="AI1174" s="16" t="n"/>
      <c r="AJ1174" s="16" t="n"/>
      <c r="AK1174" s="16" t="n"/>
      <c r="AL1174" s="16" t="n"/>
      <c r="AM1174" s="16" t="n"/>
      <c r="AN1174" s="16" t="n"/>
      <c r="AO1174" s="16" t="n"/>
      <c r="AP1174" s="16" t="n"/>
      <c r="AQ1174" s="16" t="n"/>
      <c r="AR1174" s="17" t="n"/>
      <c r="AS1174" s="123" t="n"/>
    </row>
    <row r="1175" hidden="1" outlineLevel="1">
      <c r="A1175" s="8" t="n"/>
      <c r="B1175" s="14" t="n"/>
      <c r="C1175" s="123" t="n"/>
      <c r="D1175" s="123" t="n"/>
      <c r="E1175" s="123" t="n"/>
      <c r="F1175" s="123" t="n"/>
      <c r="G1175" s="123" t="n"/>
      <c r="I1175" s="123" t="n"/>
      <c r="J1175" s="123" t="n"/>
      <c r="K1175" s="123" t="n"/>
      <c r="L1175" s="123" t="n"/>
      <c r="M1175" s="123" t="n"/>
      <c r="N1175" s="123" t="n"/>
      <c r="O1175" s="123" t="n"/>
      <c r="P1175" s="123" t="n"/>
      <c r="Q1175" s="123" t="n"/>
      <c r="R1175" s="123" t="n"/>
      <c r="S1175" s="123" t="n"/>
      <c r="T1175" s="123" t="n"/>
      <c r="U1175" s="123" t="n"/>
      <c r="V1175" s="123" t="n"/>
      <c r="W1175" s="123" t="n"/>
      <c r="X1175" s="123" t="n"/>
      <c r="Y1175" s="123" t="n"/>
      <c r="Z1175" s="123" t="n"/>
      <c r="AB1175" s="123" t="n"/>
      <c r="AC1175" s="123" t="n"/>
      <c r="AD1175" s="123" t="n"/>
      <c r="AE1175" s="123" t="n"/>
      <c r="AF1175" s="123" t="n"/>
      <c r="AG1175" s="123" t="n"/>
      <c r="AH1175" s="123" t="n"/>
      <c r="AI1175" s="123" t="n"/>
      <c r="AJ1175" s="123" t="n"/>
      <c r="AK1175" s="123" t="n"/>
      <c r="AL1175" s="123" t="n"/>
      <c r="AM1175" s="123" t="n"/>
      <c r="AN1175" s="123" t="n"/>
      <c r="AO1175" s="123" t="n"/>
      <c r="AP1175" s="123" t="n"/>
      <c r="AQ1175" s="123" t="n"/>
      <c r="AR1175" s="123" t="n"/>
      <c r="AS1175" s="123" t="n"/>
    </row>
    <row r="1176" hidden="1" outlineLevel="1">
      <c r="A1176" s="8" t="n"/>
      <c r="B1176" s="14" t="n"/>
      <c r="C1176" s="123" t="n"/>
      <c r="D1176" s="123" t="n"/>
      <c r="E1176" s="123" t="n"/>
      <c r="F1176" s="123" t="n"/>
      <c r="G1176" s="123" t="n"/>
      <c r="I1176" s="136"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23" t="n"/>
      <c r="AB1176" s="136"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23" t="n"/>
    </row>
    <row r="1177" hidden="1" outlineLevel="2">
      <c r="A1177" s="8" t="n"/>
      <c r="B1177" s="14" t="n"/>
      <c r="C1177" s="123" t="n"/>
      <c r="D1177" s="123" t="n"/>
      <c r="E1177" s="123" t="n"/>
      <c r="F1177" s="123" t="n"/>
      <c r="G1177" s="123" t="n"/>
      <c r="I1177" s="123" t="n"/>
      <c r="J1177" s="123" t="n"/>
      <c r="K1177" s="123" t="n"/>
      <c r="L1177" s="123" t="n"/>
      <c r="M1177" s="123" t="n"/>
      <c r="N1177" s="123" t="n"/>
      <c r="O1177" s="123" t="n"/>
      <c r="P1177" s="123" t="n"/>
      <c r="Q1177" s="123" t="n"/>
      <c r="R1177" s="123" t="n"/>
      <c r="S1177" s="123" t="n"/>
      <c r="T1177" s="123" t="n"/>
      <c r="U1177" s="123" t="n"/>
      <c r="V1177" s="123" t="n"/>
      <c r="W1177" s="123" t="n"/>
      <c r="X1177" s="123" t="n"/>
      <c r="Y1177" s="123" t="n"/>
      <c r="Z1177" s="123" t="n"/>
      <c r="AB1177" s="123" t="n"/>
      <c r="AC1177" s="123" t="n"/>
      <c r="AD1177" s="123" t="n"/>
      <c r="AE1177" s="123" t="n"/>
      <c r="AF1177" s="123" t="n"/>
      <c r="AG1177" s="123" t="n"/>
      <c r="AH1177" s="123" t="n"/>
      <c r="AI1177" s="123" t="n"/>
      <c r="AJ1177" s="123" t="n"/>
      <c r="AK1177" s="123" t="n"/>
      <c r="AL1177" s="123" t="n"/>
      <c r="AM1177" s="123" t="n"/>
      <c r="AN1177" s="123" t="n"/>
      <c r="AO1177" s="123" t="n"/>
      <c r="AP1177" s="123" t="n"/>
      <c r="AQ1177" s="123" t="n"/>
      <c r="AR1177" s="123" t="n"/>
      <c r="AS1177" s="123" t="n"/>
    </row>
    <row r="1178" hidden="1" outlineLevel="2">
      <c r="A1178" s="8" t="n"/>
      <c r="B1178" s="14" t="n"/>
      <c r="C1178" s="123" t="n"/>
      <c r="D1178" s="123" t="n"/>
      <c r="E1178" s="123" t="n"/>
      <c r="F1178" s="123" t="n"/>
      <c r="G1178" s="123" t="n"/>
      <c r="I1178" s="55" t="inlineStr">
        <is>
          <t>LIBERAÇÃO MÁXIMA 1</t>
        </is>
      </c>
      <c r="J1178" s="16" t="n"/>
      <c r="K1178" s="16" t="n"/>
      <c r="L1178" s="16" t="n"/>
      <c r="M1178" s="17" t="n"/>
      <c r="N1178" s="123" t="n"/>
      <c r="O1178" s="55" t="inlineStr">
        <is>
          <t>LIBERAÇÃO MÁXIMA 2</t>
        </is>
      </c>
      <c r="P1178" s="16" t="n"/>
      <c r="Q1178" s="16" t="n"/>
      <c r="R1178" s="16" t="n"/>
      <c r="S1178" s="17" t="n"/>
      <c r="T1178" s="123" t="n"/>
      <c r="U1178" s="55" t="inlineStr">
        <is>
          <t>LIBERAÇÃO MÁXIMA 3</t>
        </is>
      </c>
      <c r="V1178" s="16" t="n"/>
      <c r="W1178" s="16" t="n"/>
      <c r="X1178" s="16" t="n"/>
      <c r="Y1178" s="17" t="n"/>
      <c r="Z1178" s="123" t="n"/>
      <c r="AB1178" s="55" t="inlineStr">
        <is>
          <t>LIBERAÇÃO MÁXIMA 1</t>
        </is>
      </c>
      <c r="AC1178" s="16" t="n"/>
      <c r="AD1178" s="16" t="n"/>
      <c r="AE1178" s="16" t="n"/>
      <c r="AF1178" s="17" t="n"/>
      <c r="AG1178" s="123" t="n"/>
      <c r="AH1178" s="55" t="inlineStr">
        <is>
          <t>LIBERAÇÃO MÁXIMA 2</t>
        </is>
      </c>
      <c r="AI1178" s="16" t="n"/>
      <c r="AJ1178" s="16" t="n"/>
      <c r="AK1178" s="16" t="n"/>
      <c r="AL1178" s="17" t="n"/>
      <c r="AM1178" s="123" t="n"/>
      <c r="AN1178" s="55" t="inlineStr">
        <is>
          <t>LIBERAÇÃO MÁXIMA 3</t>
        </is>
      </c>
      <c r="AO1178" s="16" t="n"/>
      <c r="AP1178" s="16" t="n"/>
      <c r="AQ1178" s="16" t="n"/>
      <c r="AR1178" s="17" t="n"/>
      <c r="AS1178" s="123" t="n"/>
    </row>
    <row r="1179" hidden="1" outlineLevel="2">
      <c r="A1179" s="8" t="n"/>
      <c r="B1179" s="14" t="n"/>
      <c r="C1179" s="123" t="n"/>
      <c r="D1179" s="123" t="n"/>
      <c r="E1179" s="123" t="n"/>
      <c r="F1179" s="123" t="n"/>
      <c r="G1179" s="123" t="n"/>
      <c r="I1179" s="130" t="n">
        <v>3</v>
      </c>
      <c r="J1179" s="118" t="n"/>
      <c r="K1179" s="16" t="n"/>
      <c r="L1179" s="17" t="n"/>
      <c r="M1179" s="131">
        <f>DADOS_INVOC!$IX$7</f>
        <v/>
      </c>
      <c r="N1179" s="123" t="n"/>
      <c r="O1179" s="130" t="n">
        <v>3</v>
      </c>
      <c r="P1179" s="118" t="n"/>
      <c r="Q1179" s="16" t="n"/>
      <c r="R1179" s="17" t="n"/>
      <c r="S1179" s="131">
        <f>DADOS_INVOC!$IY$7</f>
        <v/>
      </c>
      <c r="T1179" s="123" t="n"/>
      <c r="U1179" s="130" t="n">
        <v>3</v>
      </c>
      <c r="V1179" s="118" t="n"/>
      <c r="W1179" s="16" t="n"/>
      <c r="X1179" s="17" t="n"/>
      <c r="Y1179" s="131">
        <f>DADOS_INVOC!$IZ$7</f>
        <v/>
      </c>
      <c r="Z1179" s="123" t="n"/>
      <c r="AB1179" s="130" t="n">
        <v>3</v>
      </c>
      <c r="AC1179" s="118" t="n"/>
      <c r="AD1179" s="16" t="n"/>
      <c r="AE1179" s="17" t="n"/>
      <c r="AF1179" s="131">
        <f>DADOS_INVOC!$IX$13</f>
        <v/>
      </c>
      <c r="AG1179" s="123" t="n"/>
      <c r="AH1179" s="130" t="n">
        <v>3</v>
      </c>
      <c r="AI1179" s="118" t="n"/>
      <c r="AJ1179" s="16" t="n"/>
      <c r="AK1179" s="17" t="n"/>
      <c r="AL1179" s="131">
        <f>DADOS_INVOC!$IY$13</f>
        <v/>
      </c>
      <c r="AM1179" s="123" t="n"/>
      <c r="AN1179" s="130" t="n">
        <v>3</v>
      </c>
      <c r="AO1179" s="118" t="n"/>
      <c r="AP1179" s="16" t="n"/>
      <c r="AQ1179" s="17" t="n"/>
      <c r="AR1179" s="131">
        <f>DADOS_INVOC!$IZ$13</f>
        <v/>
      </c>
      <c r="AS1179" s="123" t="n"/>
    </row>
    <row r="1180" hidden="1" outlineLevel="2">
      <c r="A1180" s="8" t="n"/>
      <c r="B1180" s="14" t="n"/>
      <c r="C1180" s="123" t="n"/>
      <c r="D1180" s="123" t="n"/>
      <c r="E1180" s="123" t="n"/>
      <c r="F1180" s="123" t="n"/>
      <c r="G1180" s="123" t="n"/>
      <c r="I1180" s="119" t="n"/>
      <c r="J1180" s="19" t="n"/>
      <c r="K1180" s="19" t="n"/>
      <c r="L1180" s="19" t="n"/>
      <c r="M1180" s="20" t="n"/>
      <c r="N1180" s="123" t="n"/>
      <c r="O1180" s="119" t="n"/>
      <c r="P1180" s="19" t="n"/>
      <c r="Q1180" s="19" t="n"/>
      <c r="R1180" s="19" t="n"/>
      <c r="S1180" s="20" t="n"/>
      <c r="T1180" s="123" t="n"/>
      <c r="U1180" s="119" t="n"/>
      <c r="V1180" s="19" t="n"/>
      <c r="W1180" s="19" t="n"/>
      <c r="X1180" s="19" t="n"/>
      <c r="Y1180" s="20" t="n"/>
      <c r="Z1180" s="123" t="n"/>
      <c r="AB1180" s="119" t="n"/>
      <c r="AC1180" s="19" t="n"/>
      <c r="AD1180" s="19" t="n"/>
      <c r="AE1180" s="19" t="n"/>
      <c r="AF1180" s="20" t="n"/>
      <c r="AG1180" s="123" t="n"/>
      <c r="AH1180" s="119" t="n"/>
      <c r="AI1180" s="19" t="n"/>
      <c r="AJ1180" s="19" t="n"/>
      <c r="AK1180" s="19" t="n"/>
      <c r="AL1180" s="20" t="n"/>
      <c r="AM1180" s="123" t="n"/>
      <c r="AN1180" s="119" t="n"/>
      <c r="AO1180" s="19" t="n"/>
      <c r="AP1180" s="19" t="n"/>
      <c r="AQ1180" s="19" t="n"/>
      <c r="AR1180" s="20" t="n"/>
      <c r="AS1180" s="123" t="n"/>
    </row>
    <row r="1181" hidden="1" outlineLevel="2">
      <c r="A1181" s="8" t="n"/>
      <c r="B1181" s="14" t="n"/>
      <c r="C1181" s="123" t="n"/>
      <c r="D1181" s="123" t="n"/>
      <c r="E1181" s="123" t="n"/>
      <c r="F1181" s="123" t="n"/>
      <c r="G1181" s="123" t="n"/>
      <c r="I1181" s="21" t="n"/>
      <c r="M1181" s="22" t="n"/>
      <c r="N1181" s="123" t="n"/>
      <c r="O1181" s="21" t="n"/>
      <c r="S1181" s="22" t="n"/>
      <c r="T1181" s="123" t="n"/>
      <c r="U1181" s="21" t="n"/>
      <c r="Y1181" s="22" t="n"/>
      <c r="Z1181" s="123" t="n"/>
      <c r="AB1181" s="21" t="n"/>
      <c r="AF1181" s="22" t="n"/>
      <c r="AG1181" s="123" t="n"/>
      <c r="AH1181" s="21" t="n"/>
      <c r="AL1181" s="22" t="n"/>
      <c r="AM1181" s="123" t="n"/>
      <c r="AN1181" s="21" t="n"/>
      <c r="AR1181" s="22" t="n"/>
      <c r="AS1181" s="123" t="n"/>
    </row>
    <row r="1182" hidden="1" outlineLevel="2">
      <c r="A1182" s="8" t="n"/>
      <c r="B1182" s="14" t="n"/>
      <c r="C1182" s="123" t="n"/>
      <c r="D1182" s="123" t="n"/>
      <c r="E1182" s="123" t="n"/>
      <c r="F1182" s="123" t="n"/>
      <c r="G1182" s="123" t="n"/>
      <c r="I1182" s="21" t="n"/>
      <c r="M1182" s="22" t="n"/>
      <c r="N1182" s="123" t="n"/>
      <c r="O1182" s="21" t="n"/>
      <c r="S1182" s="22" t="n"/>
      <c r="T1182" s="123" t="n"/>
      <c r="U1182" s="21" t="n"/>
      <c r="Y1182" s="22" t="n"/>
      <c r="Z1182" s="123" t="n"/>
      <c r="AB1182" s="21" t="n"/>
      <c r="AF1182" s="22" t="n"/>
      <c r="AG1182" s="123" t="n"/>
      <c r="AH1182" s="21" t="n"/>
      <c r="AL1182" s="22" t="n"/>
      <c r="AM1182" s="123" t="n"/>
      <c r="AN1182" s="21" t="n"/>
      <c r="AR1182" s="22" t="n"/>
      <c r="AS1182" s="123" t="n"/>
    </row>
    <row r="1183" hidden="1" outlineLevel="2">
      <c r="A1183" s="8" t="n"/>
      <c r="B1183" s="14" t="n"/>
      <c r="C1183" s="123" t="n"/>
      <c r="D1183" s="123" t="n"/>
      <c r="E1183" s="123" t="n"/>
      <c r="F1183" s="123" t="n"/>
      <c r="G1183" s="123" t="n"/>
      <c r="I1183" s="23" t="n"/>
      <c r="J1183" s="24" t="n"/>
      <c r="K1183" s="24" t="n"/>
      <c r="L1183" s="24" t="n"/>
      <c r="M1183" s="25" t="n"/>
      <c r="N1183" s="123" t="n"/>
      <c r="O1183" s="23" t="n"/>
      <c r="P1183" s="24" t="n"/>
      <c r="Q1183" s="24" t="n"/>
      <c r="R1183" s="24" t="n"/>
      <c r="S1183" s="25" t="n"/>
      <c r="T1183" s="123" t="n"/>
      <c r="U1183" s="23" t="n"/>
      <c r="V1183" s="24" t="n"/>
      <c r="W1183" s="24" t="n"/>
      <c r="X1183" s="24" t="n"/>
      <c r="Y1183" s="25" t="n"/>
      <c r="Z1183" s="123" t="n"/>
      <c r="AB1183" s="23" t="n"/>
      <c r="AC1183" s="24" t="n"/>
      <c r="AD1183" s="24" t="n"/>
      <c r="AE1183" s="24" t="n"/>
      <c r="AF1183" s="25" t="n"/>
      <c r="AG1183" s="123" t="n"/>
      <c r="AH1183" s="23" t="n"/>
      <c r="AI1183" s="24" t="n"/>
      <c r="AJ1183" s="24" t="n"/>
      <c r="AK1183" s="24" t="n"/>
      <c r="AL1183" s="25" t="n"/>
      <c r="AM1183" s="123" t="n"/>
      <c r="AN1183" s="23" t="n"/>
      <c r="AO1183" s="24" t="n"/>
      <c r="AP1183" s="24" t="n"/>
      <c r="AQ1183" s="24" t="n"/>
      <c r="AR1183" s="25" t="n"/>
      <c r="AS1183" s="123" t="n"/>
    </row>
    <row r="1184" hidden="1" outlineLevel="2">
      <c r="A1184" s="8" t="n"/>
      <c r="B1184" s="14" t="n"/>
      <c r="C1184" s="123" t="n"/>
      <c r="D1184" s="123" t="n"/>
      <c r="E1184" s="123" t="n"/>
      <c r="F1184" s="123" t="n"/>
      <c r="G1184" s="123" t="n"/>
      <c r="I1184" s="68">
        <f>DADOS_INVOC!$JA$7</f>
        <v/>
      </c>
      <c r="J1184" s="16" t="n"/>
      <c r="K1184" s="16" t="n"/>
      <c r="L1184" s="16" t="n"/>
      <c r="M1184" s="17" t="n"/>
      <c r="N1184" s="123" t="n"/>
      <c r="O1184" s="68">
        <f>DADOS_INVOC!$JB$7</f>
        <v/>
      </c>
      <c r="P1184" s="16" t="n"/>
      <c r="Q1184" s="16" t="n"/>
      <c r="R1184" s="16" t="n"/>
      <c r="S1184" s="17" t="n"/>
      <c r="T1184" s="123" t="n"/>
      <c r="U1184" s="68">
        <f>DADOS_INVOC!$JC$7</f>
        <v/>
      </c>
      <c r="V1184" s="16" t="n"/>
      <c r="W1184" s="16" t="n"/>
      <c r="X1184" s="16" t="n"/>
      <c r="Y1184" s="17" t="n"/>
      <c r="Z1184" s="123" t="n"/>
      <c r="AB1184" s="68">
        <f>DADOS_INVOC!$JA$13</f>
        <v/>
      </c>
      <c r="AC1184" s="16" t="n"/>
      <c r="AD1184" s="16" t="n"/>
      <c r="AE1184" s="16" t="n"/>
      <c r="AF1184" s="17" t="n"/>
      <c r="AG1184" s="123" t="n"/>
      <c r="AH1184" s="68">
        <f>DADOS_INVOC!$JB$13</f>
        <v/>
      </c>
      <c r="AI1184" s="16" t="n"/>
      <c r="AJ1184" s="16" t="n"/>
      <c r="AK1184" s="16" t="n"/>
      <c r="AL1184" s="17" t="n"/>
      <c r="AM1184" s="123" t="n"/>
      <c r="AN1184" s="68">
        <f>DADOS_INVOC!$JC$13</f>
        <v/>
      </c>
      <c r="AO1184" s="16" t="n"/>
      <c r="AP1184" s="16" t="n"/>
      <c r="AQ1184" s="16" t="n"/>
      <c r="AR1184" s="17" t="n"/>
      <c r="AS1184" s="123" t="n"/>
    </row>
    <row r="1185" hidden="1" outlineLevel="2">
      <c r="A1185" s="8" t="n"/>
      <c r="B1185" s="14" t="n"/>
      <c r="C1185" s="123" t="n"/>
      <c r="D1185" s="123" t="n"/>
      <c r="E1185" s="123" t="n"/>
      <c r="F1185" s="123" t="n"/>
      <c r="G1185" s="123" t="n"/>
      <c r="I1185" s="127" t="inlineStr">
        <is>
          <t>Sua Ação Completa + a básica dela</t>
        </is>
      </c>
      <c r="J1185" s="16" t="n"/>
      <c r="K1185" s="16" t="n"/>
      <c r="L1185" s="16" t="n"/>
      <c r="M1185" s="17" t="n"/>
      <c r="N1185" s="123" t="n"/>
      <c r="O1185" s="127" t="inlineStr">
        <is>
          <t>Sua Ação Completa + a básica dela</t>
        </is>
      </c>
      <c r="P1185" s="16" t="n"/>
      <c r="Q1185" s="16" t="n"/>
      <c r="R1185" s="16" t="n"/>
      <c r="S1185" s="17" t="n"/>
      <c r="T1185" s="123" t="n"/>
      <c r="U1185" s="127" t="inlineStr">
        <is>
          <t>Sua Ação Completa + a básica dela</t>
        </is>
      </c>
      <c r="V1185" s="16" t="n"/>
      <c r="W1185" s="16" t="n"/>
      <c r="X1185" s="16" t="n"/>
      <c r="Y1185" s="17" t="n"/>
      <c r="Z1185" s="123" t="n"/>
      <c r="AB1185" s="127" t="inlineStr">
        <is>
          <t>Sua Ação Completa + a básica dela</t>
        </is>
      </c>
      <c r="AC1185" s="16" t="n"/>
      <c r="AD1185" s="16" t="n"/>
      <c r="AE1185" s="16" t="n"/>
      <c r="AF1185" s="17" t="n"/>
      <c r="AG1185" s="123" t="n"/>
      <c r="AH1185" s="127" t="inlineStr">
        <is>
          <t>Sua Ação Completa + a básica dela</t>
        </is>
      </c>
      <c r="AI1185" s="16" t="n"/>
      <c r="AJ1185" s="16" t="n"/>
      <c r="AK1185" s="16" t="n"/>
      <c r="AL1185" s="17" t="n"/>
      <c r="AM1185" s="123" t="n"/>
      <c r="AN1185" s="127" t="inlineStr">
        <is>
          <t>Sua Ação Completa + a básica dela</t>
        </is>
      </c>
      <c r="AO1185" s="16" t="n"/>
      <c r="AP1185" s="16" t="n"/>
      <c r="AQ1185" s="16" t="n"/>
      <c r="AR1185" s="17" t="n"/>
      <c r="AS1185" s="123" t="n"/>
    </row>
    <row r="1186" hidden="1" outlineLevel="2">
      <c r="A1186" s="8" t="n"/>
      <c r="B1186" s="14" t="n"/>
      <c r="C1186" s="123" t="n"/>
      <c r="D1186" s="123" t="n"/>
      <c r="E1186" s="123" t="n"/>
      <c r="F1186" s="123" t="n"/>
      <c r="G1186" s="123" t="n"/>
      <c r="I1186" s="123" t="n"/>
      <c r="J1186" s="123" t="n"/>
      <c r="K1186" s="123" t="n"/>
      <c r="L1186" s="123" t="n"/>
      <c r="M1186" s="123" t="n"/>
      <c r="N1186" s="123" t="n"/>
      <c r="O1186" s="123" t="n"/>
      <c r="P1186" s="123" t="n"/>
      <c r="Q1186" s="123" t="n"/>
      <c r="R1186" s="123" t="n"/>
      <c r="S1186" s="123" t="n"/>
      <c r="T1186" s="123" t="n"/>
      <c r="U1186" s="123" t="n"/>
      <c r="V1186" s="123" t="n"/>
      <c r="W1186" s="123" t="n"/>
      <c r="X1186" s="123" t="n"/>
      <c r="Y1186" s="123" t="n"/>
      <c r="Z1186" s="123" t="n"/>
      <c r="AB1186" s="123" t="n"/>
      <c r="AC1186" s="123" t="n"/>
      <c r="AD1186" s="123" t="n"/>
      <c r="AE1186" s="123" t="n"/>
      <c r="AF1186" s="123" t="n"/>
      <c r="AG1186" s="123" t="n"/>
      <c r="AH1186" s="123" t="n"/>
      <c r="AI1186" s="123" t="n"/>
      <c r="AJ1186" s="123" t="n"/>
      <c r="AK1186" s="123" t="n"/>
      <c r="AL1186" s="123" t="n"/>
      <c r="AM1186" s="123" t="n"/>
      <c r="AN1186" s="123" t="n"/>
      <c r="AO1186" s="123" t="n"/>
      <c r="AP1186" s="123" t="n"/>
      <c r="AQ1186" s="123" t="n"/>
      <c r="AR1186" s="123" t="n"/>
      <c r="AS1186" s="123" t="n"/>
    </row>
    <row r="1187" hidden="1" outlineLevel="2">
      <c r="A1187" s="8" t="n"/>
      <c r="B1187" s="14" t="n"/>
      <c r="C1187" s="123" t="n"/>
      <c r="D1187" s="123" t="n"/>
      <c r="E1187" s="123" t="n"/>
      <c r="F1187" s="123" t="n"/>
      <c r="G1187" s="123" t="n"/>
      <c r="I1187" s="55" t="inlineStr">
        <is>
          <t>TÉCNICA MÁXIMA</t>
        </is>
      </c>
      <c r="J1187" s="16" t="n"/>
      <c r="K1187" s="16" t="n"/>
      <c r="L1187" s="16" t="n"/>
      <c r="M1187" s="17" t="n"/>
      <c r="N1187" s="123" t="n"/>
      <c r="O1187" s="55" t="inlineStr">
        <is>
          <t>EXPANSÃO DE DOMÍNIO</t>
        </is>
      </c>
      <c r="P1187" s="16" t="n"/>
      <c r="Q1187" s="16" t="n"/>
      <c r="R1187" s="16" t="n"/>
      <c r="S1187" s="17" t="n"/>
      <c r="T1187" s="123" t="n"/>
      <c r="U1187" s="123" t="n"/>
      <c r="V1187" s="123" t="n"/>
      <c r="W1187" s="123" t="n"/>
      <c r="X1187" s="123" t="n"/>
      <c r="Y1187" s="123" t="n"/>
      <c r="Z1187" s="123" t="n"/>
      <c r="AB1187" s="55" t="inlineStr">
        <is>
          <t>TÉCNICA MÁXIMA</t>
        </is>
      </c>
      <c r="AC1187" s="16" t="n"/>
      <c r="AD1187" s="16" t="n"/>
      <c r="AE1187" s="16" t="n"/>
      <c r="AF1187" s="17" t="n"/>
      <c r="AG1187" s="123" t="n"/>
      <c r="AH1187" s="55" t="inlineStr">
        <is>
          <t>EXPANSÃO DE DOMÍNIO</t>
        </is>
      </c>
      <c r="AI1187" s="16" t="n"/>
      <c r="AJ1187" s="16" t="n"/>
      <c r="AK1187" s="16" t="n"/>
      <c r="AL1187" s="17" t="n"/>
      <c r="AM1187" s="123" t="n"/>
      <c r="AN1187" s="123" t="n"/>
      <c r="AO1187" s="123" t="n"/>
      <c r="AP1187" s="123" t="n"/>
      <c r="AQ1187" s="123" t="n"/>
      <c r="AR1187" s="123" t="n"/>
      <c r="AS1187" s="123" t="n"/>
    </row>
    <row r="1188" hidden="1" outlineLevel="2">
      <c r="A1188" s="8" t="n"/>
      <c r="B1188" s="14" t="n"/>
      <c r="C1188" s="123" t="n"/>
      <c r="D1188" s="123" t="n"/>
      <c r="E1188" s="123" t="n"/>
      <c r="F1188" s="123" t="n"/>
      <c r="G1188" s="123" t="n"/>
      <c r="I1188" s="118" t="n"/>
      <c r="J1188" s="16" t="n"/>
      <c r="K1188" s="16" t="n"/>
      <c r="L1188" s="17" t="n"/>
      <c r="M1188" s="131">
        <f>DADOS_INVOC!$JD$7</f>
        <v/>
      </c>
      <c r="N1188" s="123" t="n"/>
      <c r="O1188" s="118" t="n"/>
      <c r="P1188" s="16" t="n"/>
      <c r="Q1188" s="16" t="n"/>
      <c r="R1188" s="17" t="n"/>
      <c r="S1188" s="131">
        <f>DADOS_INVOC!$JF$7</f>
        <v/>
      </c>
      <c r="T1188" s="123" t="n"/>
      <c r="U1188" s="123" t="n"/>
      <c r="V1188" s="123" t="n"/>
      <c r="W1188" s="123" t="n"/>
      <c r="X1188" s="123" t="n"/>
      <c r="Y1188" s="123" t="n"/>
      <c r="Z1188" s="123" t="n"/>
      <c r="AB1188" s="118" t="n"/>
      <c r="AC1188" s="16" t="n"/>
      <c r="AD1188" s="16" t="n"/>
      <c r="AE1188" s="17" t="n"/>
      <c r="AF1188" s="131">
        <f>DADOS_INVOC!$JD$13</f>
        <v/>
      </c>
      <c r="AG1188" s="123" t="n"/>
      <c r="AH1188" s="118" t="n"/>
      <c r="AI1188" s="16" t="n"/>
      <c r="AJ1188" s="16" t="n"/>
      <c r="AK1188" s="17" t="n"/>
      <c r="AL1188" s="131">
        <f>DADOS_INVOC!$JF$13</f>
        <v/>
      </c>
      <c r="AM1188" s="123" t="n"/>
      <c r="AN1188" s="123" t="n"/>
      <c r="AO1188" s="123" t="n"/>
      <c r="AP1188" s="123" t="n"/>
      <c r="AQ1188" s="123" t="n"/>
      <c r="AR1188" s="123" t="n"/>
      <c r="AS1188" s="123" t="n"/>
    </row>
    <row r="1189" hidden="1" outlineLevel="2">
      <c r="A1189" s="8" t="n"/>
      <c r="B1189" s="14" t="n"/>
      <c r="C1189" s="123" t="n"/>
      <c r="D1189" s="123" t="n"/>
      <c r="E1189" s="123" t="n"/>
      <c r="F1189" s="123" t="n"/>
      <c r="G1189" s="123" t="n"/>
      <c r="I1189" s="119" t="n"/>
      <c r="J1189" s="19" t="n"/>
      <c r="K1189" s="19" t="n"/>
      <c r="L1189" s="19" t="n"/>
      <c r="M1189" s="20" t="n"/>
      <c r="N1189" s="123" t="n"/>
      <c r="O1189" s="119" t="n"/>
      <c r="P1189" s="19" t="n"/>
      <c r="Q1189" s="19" t="n"/>
      <c r="R1189" s="19" t="n"/>
      <c r="S1189" s="20" t="n"/>
      <c r="T1189" s="123" t="n"/>
      <c r="U1189" s="123" t="n"/>
      <c r="V1189" s="123" t="n"/>
      <c r="W1189" s="123" t="n"/>
      <c r="X1189" s="123" t="n"/>
      <c r="Y1189" s="123" t="n"/>
      <c r="Z1189" s="123" t="n"/>
      <c r="AB1189" s="119" t="n"/>
      <c r="AC1189" s="19" t="n"/>
      <c r="AD1189" s="19" t="n"/>
      <c r="AE1189" s="19" t="n"/>
      <c r="AF1189" s="20" t="n"/>
      <c r="AG1189" s="123" t="n"/>
      <c r="AH1189" s="119" t="n"/>
      <c r="AI1189" s="19" t="n"/>
      <c r="AJ1189" s="19" t="n"/>
      <c r="AK1189" s="19" t="n"/>
      <c r="AL1189" s="20" t="n"/>
      <c r="AM1189" s="123" t="n"/>
      <c r="AN1189" s="123" t="n"/>
      <c r="AO1189" s="123" t="n"/>
      <c r="AP1189" s="123" t="n"/>
      <c r="AQ1189" s="123" t="n"/>
      <c r="AR1189" s="123" t="n"/>
      <c r="AS1189" s="123" t="n"/>
    </row>
    <row r="1190" hidden="1" outlineLevel="2">
      <c r="A1190" s="8" t="n"/>
      <c r="B1190" s="14" t="n"/>
      <c r="C1190" s="123" t="n"/>
      <c r="D1190" s="123" t="n"/>
      <c r="E1190" s="123" t="n"/>
      <c r="F1190" s="123" t="n"/>
      <c r="G1190" s="123" t="n"/>
      <c r="I1190" s="21" t="n"/>
      <c r="M1190" s="22" t="n"/>
      <c r="N1190" s="123" t="n"/>
      <c r="O1190" s="21" t="n"/>
      <c r="S1190" s="22" t="n"/>
      <c r="T1190" s="123" t="n"/>
      <c r="U1190" s="123" t="n"/>
      <c r="V1190" s="123" t="n"/>
      <c r="W1190" s="123" t="n"/>
      <c r="X1190" s="123" t="n"/>
      <c r="Y1190" s="123" t="n"/>
      <c r="Z1190" s="123" t="n"/>
      <c r="AB1190" s="21" t="n"/>
      <c r="AF1190" s="22" t="n"/>
      <c r="AG1190" s="123" t="n"/>
      <c r="AH1190" s="21" t="n"/>
      <c r="AL1190" s="22" t="n"/>
      <c r="AM1190" s="123" t="n"/>
      <c r="AN1190" s="123" t="n"/>
      <c r="AO1190" s="123" t="n"/>
      <c r="AP1190" s="123" t="n"/>
      <c r="AQ1190" s="123" t="n"/>
      <c r="AR1190" s="123" t="n"/>
      <c r="AS1190" s="123" t="n"/>
    </row>
    <row r="1191" hidden="1" outlineLevel="2">
      <c r="A1191" s="8" t="n"/>
      <c r="B1191" s="14" t="n"/>
      <c r="C1191" s="123" t="n"/>
      <c r="D1191" s="123" t="n"/>
      <c r="E1191" s="123" t="n"/>
      <c r="F1191" s="123" t="n"/>
      <c r="G1191" s="123" t="n"/>
      <c r="I1191" s="21" t="n"/>
      <c r="M1191" s="22" t="n"/>
      <c r="N1191" s="123" t="n"/>
      <c r="O1191" s="21" t="n"/>
      <c r="S1191" s="22" t="n"/>
      <c r="T1191" s="123" t="n"/>
      <c r="U1191" s="123" t="n"/>
      <c r="V1191" s="123" t="n"/>
      <c r="W1191" s="123" t="n"/>
      <c r="X1191" s="123" t="n"/>
      <c r="Y1191" s="123" t="n"/>
      <c r="Z1191" s="123" t="n"/>
      <c r="AB1191" s="21" t="n"/>
      <c r="AF1191" s="22" t="n"/>
      <c r="AG1191" s="123" t="n"/>
      <c r="AH1191" s="21" t="n"/>
      <c r="AL1191" s="22" t="n"/>
      <c r="AM1191" s="123" t="n"/>
      <c r="AN1191" s="123" t="n"/>
      <c r="AO1191" s="123" t="n"/>
      <c r="AP1191" s="123" t="n"/>
      <c r="AQ1191" s="123" t="n"/>
      <c r="AR1191" s="123" t="n"/>
      <c r="AS1191" s="123" t="n"/>
    </row>
    <row r="1192" hidden="1" outlineLevel="2">
      <c r="A1192" s="8" t="n"/>
      <c r="B1192" s="14" t="n"/>
      <c r="C1192" s="123" t="n"/>
      <c r="D1192" s="123" t="n"/>
      <c r="E1192" s="123" t="n"/>
      <c r="F1192" s="123" t="n"/>
      <c r="G1192" s="123" t="n"/>
      <c r="I1192" s="23" t="n"/>
      <c r="J1192" s="24" t="n"/>
      <c r="K1192" s="24" t="n"/>
      <c r="L1192" s="24" t="n"/>
      <c r="M1192" s="25" t="n"/>
      <c r="N1192" s="123" t="n"/>
      <c r="O1192" s="23" t="n"/>
      <c r="P1192" s="24" t="n"/>
      <c r="Q1192" s="24" t="n"/>
      <c r="R1192" s="24" t="n"/>
      <c r="S1192" s="25" t="n"/>
      <c r="T1192" s="123" t="n"/>
      <c r="U1192" s="123" t="n"/>
      <c r="V1192" s="123" t="n"/>
      <c r="W1192" s="123" t="n"/>
      <c r="X1192" s="123" t="n"/>
      <c r="Y1192" s="123" t="n"/>
      <c r="Z1192" s="123" t="n"/>
      <c r="AB1192" s="23" t="n"/>
      <c r="AC1192" s="24" t="n"/>
      <c r="AD1192" s="24" t="n"/>
      <c r="AE1192" s="24" t="n"/>
      <c r="AF1192" s="25" t="n"/>
      <c r="AG1192" s="123" t="n"/>
      <c r="AH1192" s="23" t="n"/>
      <c r="AI1192" s="24" t="n"/>
      <c r="AJ1192" s="24" t="n"/>
      <c r="AK1192" s="24" t="n"/>
      <c r="AL1192" s="25" t="n"/>
      <c r="AM1192" s="123" t="n"/>
      <c r="AN1192" s="123" t="n"/>
      <c r="AO1192" s="123" t="n"/>
      <c r="AP1192" s="123" t="n"/>
      <c r="AQ1192" s="123" t="n"/>
      <c r="AR1192" s="123" t="n"/>
      <c r="AS1192" s="123" t="n"/>
    </row>
    <row r="1193" hidden="1" outlineLevel="2">
      <c r="A1193" s="8" t="n"/>
      <c r="B1193" s="14" t="n"/>
      <c r="C1193" s="123" t="n"/>
      <c r="D1193" s="123" t="n"/>
      <c r="E1193" s="123" t="n"/>
      <c r="F1193" s="123" t="n"/>
      <c r="G1193" s="123" t="n"/>
      <c r="I1193" s="68">
        <f>DADOS_INVOC!$JE$7</f>
        <v/>
      </c>
      <c r="J1193" s="16" t="n"/>
      <c r="K1193" s="16" t="n"/>
      <c r="L1193" s="16" t="n"/>
      <c r="M1193" s="17" t="n"/>
      <c r="N1193" s="123" t="n"/>
      <c r="O1193" s="127" t="n"/>
      <c r="P1193" s="17" t="n"/>
      <c r="Q1193" s="68">
        <f>DADOS_INVOC!$JG$7</f>
        <v/>
      </c>
      <c r="R1193" s="16" t="n"/>
      <c r="S1193" s="17" t="n"/>
      <c r="T1193" s="123" t="n"/>
      <c r="U1193" s="123" t="n"/>
      <c r="V1193" s="123" t="n"/>
      <c r="W1193" s="123" t="n"/>
      <c r="X1193" s="123" t="n"/>
      <c r="Y1193" s="123" t="n"/>
      <c r="Z1193" s="123" t="n"/>
      <c r="AB1193" s="68">
        <f>DADOS_INVOC!$JE$13</f>
        <v/>
      </c>
      <c r="AC1193" s="16" t="n"/>
      <c r="AD1193" s="16" t="n"/>
      <c r="AE1193" s="16" t="n"/>
      <c r="AF1193" s="17" t="n"/>
      <c r="AG1193" s="123" t="n"/>
      <c r="AH1193" s="127" t="n"/>
      <c r="AI1193" s="17" t="n"/>
      <c r="AJ1193" s="68">
        <f>DADOS_INVOC!$JG$13</f>
        <v/>
      </c>
      <c r="AK1193" s="16" t="n"/>
      <c r="AL1193" s="17" t="n"/>
      <c r="AM1193" s="123" t="n"/>
      <c r="AN1193" s="123" t="n"/>
      <c r="AO1193" s="123" t="n"/>
      <c r="AP1193" s="123" t="n"/>
      <c r="AQ1193" s="123" t="n"/>
      <c r="AR1193" s="123" t="n"/>
      <c r="AS1193" s="123" t="n"/>
    </row>
    <row r="1194" hidden="1" outlineLevel="2">
      <c r="A1194" s="8" t="n"/>
      <c r="B1194" s="14" t="n"/>
      <c r="C1194" s="123" t="n"/>
      <c r="D1194" s="123" t="n"/>
      <c r="E1194" s="123" t="n"/>
      <c r="F1194" s="123" t="n"/>
      <c r="G1194" s="123" t="n"/>
      <c r="I1194" s="127" t="inlineStr">
        <is>
          <t>Sua Ação Completa + a básica dela</t>
        </is>
      </c>
      <c r="J1194" s="16" t="n"/>
      <c r="K1194" s="16" t="n"/>
      <c r="L1194" s="16" t="n"/>
      <c r="M1194" s="17" t="n"/>
      <c r="N1194" s="123" t="n"/>
      <c r="O1194" s="132">
        <f>DADOS_INVOC!$JH$7</f>
        <v/>
      </c>
      <c r="P1194" s="16" t="n"/>
      <c r="Q1194" s="16" t="n"/>
      <c r="R1194" s="16" t="n"/>
      <c r="S1194" s="17" t="n"/>
      <c r="T1194" s="123" t="n"/>
      <c r="U1194" s="123" t="n"/>
      <c r="V1194" s="123" t="n"/>
      <c r="W1194" s="123" t="n"/>
      <c r="X1194" s="123" t="n"/>
      <c r="Y1194" s="123" t="n"/>
      <c r="Z1194" s="123" t="n"/>
      <c r="AB1194" s="127" t="inlineStr">
        <is>
          <t>Sua Ação Completa + a básica dela</t>
        </is>
      </c>
      <c r="AC1194" s="16" t="n"/>
      <c r="AD1194" s="16" t="n"/>
      <c r="AE1194" s="16" t="n"/>
      <c r="AF1194" s="17" t="n"/>
      <c r="AG1194" s="123" t="n"/>
      <c r="AH1194" s="132">
        <f>DADOS_INVOC!$JH$13</f>
        <v/>
      </c>
      <c r="AI1194" s="16" t="n"/>
      <c r="AJ1194" s="16" t="n"/>
      <c r="AK1194" s="16" t="n"/>
      <c r="AL1194" s="17" t="n"/>
      <c r="AM1194" s="123" t="n"/>
      <c r="AN1194" s="123" t="n"/>
      <c r="AO1194" s="123" t="n"/>
      <c r="AP1194" s="123" t="n"/>
      <c r="AQ1194" s="123" t="n"/>
      <c r="AR1194" s="123" t="n"/>
      <c r="AS1194" s="123" t="n"/>
    </row>
    <row r="1195">
      <c r="A1195" s="8" t="n"/>
      <c r="B1195" s="14" t="n"/>
      <c r="C1195" s="123" t="n"/>
      <c r="D1195" s="123" t="n"/>
      <c r="E1195" s="123" t="n"/>
      <c r="F1195" s="123" t="n"/>
      <c r="G1195" s="123" t="n"/>
      <c r="H1195" s="123" t="n"/>
      <c r="I1195" s="123" t="n"/>
      <c r="J1195" s="123" t="n"/>
      <c r="K1195" s="123" t="n"/>
      <c r="L1195" s="123" t="n"/>
      <c r="M1195" s="123" t="n"/>
      <c r="N1195" s="123" t="n"/>
      <c r="O1195" s="123" t="n"/>
      <c r="P1195" s="123" t="n"/>
      <c r="Q1195" s="123" t="n"/>
      <c r="R1195" s="123" t="n"/>
      <c r="S1195" s="123" t="n"/>
      <c r="T1195" s="123" t="n"/>
      <c r="U1195" s="123" t="n"/>
      <c r="V1195" s="123" t="n"/>
      <c r="W1195" s="123" t="n"/>
      <c r="X1195" s="123" t="n"/>
      <c r="Y1195" s="123" t="n"/>
      <c r="Z1195" s="123" t="n"/>
      <c r="AA1195" s="123" t="n"/>
      <c r="AB1195" s="123" t="n"/>
      <c r="AC1195" s="123" t="n"/>
      <c r="AD1195" s="123" t="n"/>
      <c r="AE1195" s="123" t="n"/>
      <c r="AF1195" s="123" t="n"/>
      <c r="AG1195" s="123" t="n"/>
      <c r="AH1195" s="123" t="n"/>
      <c r="AI1195" s="123" t="n"/>
      <c r="AJ1195" s="123" t="n"/>
      <c r="AK1195" s="123" t="n"/>
      <c r="AL1195" s="123" t="n"/>
      <c r="AM1195" s="123" t="n"/>
      <c r="AN1195" s="123" t="n"/>
      <c r="AO1195" s="123" t="n"/>
      <c r="AP1195" s="123" t="n"/>
      <c r="AQ1195" s="123" t="n"/>
      <c r="AR1195" s="123" t="n"/>
      <c r="AS1195" s="123" t="n"/>
    </row>
    <row r="1196">
      <c r="A1196" s="8" t="n"/>
      <c r="B1196" s="14" t="n"/>
      <c r="C1196" s="123" t="n"/>
      <c r="D1196" s="123" t="n"/>
      <c r="E1196" s="123" t="n"/>
      <c r="F1196" s="123" t="n"/>
      <c r="G1196" s="123" t="n"/>
      <c r="H1196" s="123" t="n"/>
      <c r="I1196" s="123" t="n"/>
      <c r="J1196" s="123" t="n"/>
      <c r="K1196" s="123" t="n"/>
      <c r="L1196" s="123" t="n"/>
      <c r="M1196" s="123" t="n"/>
      <c r="N1196" s="123" t="n"/>
      <c r="O1196" s="123" t="n"/>
      <c r="P1196" s="123" t="n"/>
      <c r="Q1196" s="123" t="n"/>
      <c r="R1196" s="123" t="n"/>
      <c r="S1196" s="123" t="n"/>
      <c r="T1196" s="123" t="n"/>
      <c r="U1196" s="123" t="n"/>
      <c r="V1196" s="123" t="n"/>
      <c r="W1196" s="123" t="n"/>
      <c r="X1196" s="123" t="n"/>
      <c r="Y1196" s="123" t="n"/>
      <c r="Z1196" s="123" t="n"/>
      <c r="AA1196" s="123" t="n"/>
      <c r="AB1196" s="123" t="n"/>
      <c r="AC1196" s="123" t="n"/>
      <c r="AD1196" s="123" t="n"/>
      <c r="AE1196" s="123" t="n"/>
      <c r="AF1196" s="123" t="n"/>
      <c r="AG1196" s="123" t="n"/>
      <c r="AH1196" s="123" t="n"/>
      <c r="AI1196" s="123" t="n"/>
      <c r="AJ1196" s="123" t="n"/>
      <c r="AK1196" s="123" t="n"/>
      <c r="AL1196" s="123" t="n"/>
      <c r="AM1196" s="123" t="n"/>
      <c r="AN1196" s="123" t="n"/>
      <c r="AO1196" s="123" t="n"/>
      <c r="AP1196" s="123" t="n"/>
      <c r="AQ1196" s="123" t="n"/>
      <c r="AR1196" s="123" t="n"/>
      <c r="AS1196" s="123" t="n"/>
    </row>
  </sheetData>
  <mergeCells count="5344">
    <mergeCell ref="J470:M471"/>
    <mergeCell ref="V963:X963"/>
    <mergeCell ref="I990:L990"/>
    <mergeCell ref="P618:P619"/>
    <mergeCell ref="V664:X664"/>
    <mergeCell ref="J482:L482"/>
    <mergeCell ref="J770:M771"/>
    <mergeCell ref="O227:O228"/>
    <mergeCell ref="AO321:AQ321"/>
    <mergeCell ref="O99:P99"/>
    <mergeCell ref="X612:Y613"/>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915:AB918"/>
    <mergeCell ref="J368:L368"/>
    <mergeCell ref="J579:L579"/>
    <mergeCell ref="AJ444:AJ445"/>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L840:AL841"/>
    <mergeCell ref="AB654:AF656"/>
    <mergeCell ref="AF1172:AR1172"/>
    <mergeCell ref="AB954:AF956"/>
    <mergeCell ref="P1118:R1118"/>
    <mergeCell ref="AK41:AL41"/>
    <mergeCell ref="AN166:AO166"/>
    <mergeCell ref="J488:L488"/>
    <mergeCell ref="O726:S727"/>
    <mergeCell ref="O504:O505"/>
    <mergeCell ref="R1003:R1004"/>
    <mergeCell ref="AI129:AL129"/>
    <mergeCell ref="O231:Q231"/>
    <mergeCell ref="P497:R497"/>
    <mergeCell ref="AI884:AK884"/>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U423:Y426"/>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AI967:AL967"/>
    <mergeCell ref="J543:L543"/>
    <mergeCell ref="AN105:AN106"/>
    <mergeCell ref="AC467:AE467"/>
    <mergeCell ref="J754:L754"/>
    <mergeCell ref="U392:Y392"/>
    <mergeCell ref="AO860:AQ860"/>
    <mergeCell ref="AH453:AL453"/>
    <mergeCell ref="AN615:AR615"/>
    <mergeCell ref="AC678:AE678"/>
    <mergeCell ref="U176:U177"/>
    <mergeCell ref="AC767:AE767"/>
    <mergeCell ref="AO1160:AQ1160"/>
    <mergeCell ref="R832:S832"/>
    <mergeCell ref="AH753:AL753"/>
    <mergeCell ref="Q227:Q228"/>
    <mergeCell ref="AI1150:AK1150"/>
    <mergeCell ref="AC368:AE368"/>
    <mergeCell ref="AB51:AR51"/>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AB1033:AF1034"/>
    <mergeCell ref="M879:Y879"/>
    <mergeCell ref="AN685:AR685"/>
    <mergeCell ref="U912:V912"/>
    <mergeCell ref="AC1136:AE1136"/>
    <mergeCell ref="V431:X431"/>
    <mergeCell ref="I1185:M1185"/>
    <mergeCell ref="U1056:Y1056"/>
    <mergeCell ref="AL444:AL445"/>
    <mergeCell ref="AI1057:AK1057"/>
    <mergeCell ref="AC864:AE864"/>
    <mergeCell ref="O1194:S1194"/>
    <mergeCell ref="AB911:AC911"/>
    <mergeCell ref="AB116:AF118"/>
    <mergeCell ref="AB951:AF951"/>
    <mergeCell ref="AN1157:AO1157"/>
    <mergeCell ref="AH169:AH172"/>
    <mergeCell ref="AN110:AR111"/>
    <mergeCell ref="U44:Y44"/>
    <mergeCell ref="U42:X42"/>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X810:Y811"/>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I43:M44"/>
    <mergeCell ref="O42:Q42"/>
    <mergeCell ref="I127:I128"/>
    <mergeCell ref="P372:R372"/>
    <mergeCell ref="AH1050:AL1052"/>
    <mergeCell ref="O264:S264"/>
    <mergeCell ref="AI723:AL723"/>
    <mergeCell ref="U1083:Y1083"/>
    <mergeCell ref="O48:O49"/>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AB401:AF401"/>
    <mergeCell ref="AK1023:AL1023"/>
    <mergeCell ref="O784:S787"/>
    <mergeCell ref="E13:E14"/>
    <mergeCell ref="J176:M177"/>
    <mergeCell ref="S623:S624"/>
    <mergeCell ref="AN1180:AR1183"/>
    <mergeCell ref="O321:O324"/>
    <mergeCell ref="W18:W19"/>
    <mergeCell ref="AI572:AL573"/>
    <mergeCell ref="V708:X708"/>
    <mergeCell ref="I181:Y181"/>
    <mergeCell ref="AF681:AR681"/>
    <mergeCell ref="AB296:AC296"/>
    <mergeCell ref="AJ562:AL562"/>
    <mergeCell ref="AJ99:AL99"/>
    <mergeCell ref="O907:S907"/>
    <mergeCell ref="AO322:AQ322"/>
    <mergeCell ref="V698:X698"/>
    <mergeCell ref="AI498:AK498"/>
    <mergeCell ref="U612:U613"/>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I646:Y647"/>
    <mergeCell ref="AB914:AF914"/>
    <mergeCell ref="AB1125:AF1125"/>
    <mergeCell ref="AI306:AL307"/>
    <mergeCell ref="M280:Y280"/>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J207:Y208"/>
    <mergeCell ref="J124:L124"/>
    <mergeCell ref="P899:S899"/>
    <mergeCell ref="J526:M527"/>
    <mergeCell ref="I1053:J1053"/>
    <mergeCell ref="AN291:AR291"/>
    <mergeCell ref="AI368:AK368"/>
    <mergeCell ref="U115:Y115"/>
    <mergeCell ref="K516:M516"/>
    <mergeCell ref="V1117:X1117"/>
    <mergeCell ref="R211:R212"/>
    <mergeCell ref="AC81:AE81"/>
    <mergeCell ref="O1057:O1060"/>
    <mergeCell ref="AF873:AR873"/>
    <mergeCell ref="AI216:AI217"/>
    <mergeCell ref="I637:M638"/>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O642:O643"/>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R1038:R1039"/>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I636:M636"/>
    <mergeCell ref="I101:I104"/>
    <mergeCell ref="O634:Q634"/>
    <mergeCell ref="J875:L875"/>
    <mergeCell ref="AC1104:AE1104"/>
    <mergeCell ref="M976:Y976"/>
    <mergeCell ref="AO127:AQ127"/>
    <mergeCell ref="O635:Q635"/>
    <mergeCell ref="O1061:O1062"/>
    <mergeCell ref="AN292:AR294"/>
    <mergeCell ref="AK1029:AL1029"/>
    <mergeCell ref="AB707:AF707"/>
    <mergeCell ref="O654:S656"/>
    <mergeCell ref="AE1036:AF1036"/>
    <mergeCell ref="Q1038:Q1039"/>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K48:AK49"/>
    <mergeCell ref="AC548:AF549"/>
    <mergeCell ref="AO497:AQ497"/>
    <mergeCell ref="S810:S811"/>
    <mergeCell ref="AD659:AF659"/>
    <mergeCell ref="AO323:AQ323"/>
    <mergeCell ref="V1025:X1025"/>
    <mergeCell ref="V568:X568"/>
    <mergeCell ref="O161:S161"/>
    <mergeCell ref="O472:S473"/>
    <mergeCell ref="AH1111:AI1111"/>
    <mergeCell ref="R444:R445"/>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98:AO98"/>
    <mergeCell ref="U987:Y987"/>
    <mergeCell ref="AH665:AH666"/>
    <mergeCell ref="AO67:AQ67"/>
    <mergeCell ref="AC304:AE304"/>
    <mergeCell ref="AH99:AI99"/>
    <mergeCell ref="AJ890:AL890"/>
    <mergeCell ref="AN699:AN700"/>
    <mergeCell ref="O1066:S1067"/>
    <mergeCell ref="P1059:R1059"/>
    <mergeCell ref="AB670:AF671"/>
    <mergeCell ref="P754:R754"/>
    <mergeCell ref="AN453:AR453"/>
    <mergeCell ref="AI499:AK499"/>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AN813:AR813"/>
    <mergeCell ref="R240:S240"/>
    <mergeCell ref="J1060:L1060"/>
    <mergeCell ref="I333:M333"/>
    <mergeCell ref="O60:S62"/>
    <mergeCell ref="Q444:Q445"/>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I250:Y251"/>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AN219:AR219"/>
    <mergeCell ref="I732:M734"/>
    <mergeCell ref="P922:S923"/>
    <mergeCell ref="U1152:Y1154"/>
    <mergeCell ref="AC526:AF527"/>
    <mergeCell ref="AH756:AL758"/>
    <mergeCell ref="V371:X371"/>
    <mergeCell ref="I47:J48"/>
    <mergeCell ref="AI805:AI806"/>
    <mergeCell ref="AI565:AK565"/>
    <mergeCell ref="AB258:AF260"/>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AN1017:AR1020"/>
    <mergeCell ref="Q295:R295"/>
    <mergeCell ref="J1061:L1061"/>
    <mergeCell ref="AH1188:AK1188"/>
    <mergeCell ref="I496:M496"/>
    <mergeCell ref="P176:S177"/>
    <mergeCell ref="M874:Y874"/>
    <mergeCell ref="AB249:AR249"/>
    <mergeCell ref="AP691:AQ691"/>
    <mergeCell ref="AB593:AF593"/>
    <mergeCell ref="AN986:AR986"/>
    <mergeCell ref="I363:J363"/>
    <mergeCell ref="AO572:AR573"/>
    <mergeCell ref="AB804:AF804"/>
    <mergeCell ref="AB807:AF832"/>
    <mergeCell ref="V723:Y723"/>
    <mergeCell ref="AJ821:AJ822"/>
    <mergeCell ref="AR607:AR608"/>
    <mergeCell ref="I645:Y645"/>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N216:AN217"/>
    <mergeCell ref="AB1180:AF1183"/>
    <mergeCell ref="AJ1054:AL1054"/>
    <mergeCell ref="U38:X38"/>
    <mergeCell ref="J103:L103"/>
    <mergeCell ref="U257:Y257"/>
    <mergeCell ref="J708:L708"/>
    <mergeCell ref="V585:X585"/>
    <mergeCell ref="S1038:S1039"/>
    <mergeCell ref="AO966:AQ966"/>
    <mergeCell ref="U557:Y557"/>
    <mergeCell ref="U130:U131"/>
    <mergeCell ref="I1147:Y1147"/>
    <mergeCell ref="K958:M958"/>
    <mergeCell ref="P717:R717"/>
    <mergeCell ref="AI1104:AK1104"/>
    <mergeCell ref="K495:M495"/>
    <mergeCell ref="J92:L92"/>
    <mergeCell ref="K493:L493"/>
    <mergeCell ref="V1096:X1096"/>
    <mergeCell ref="AB240:AF240"/>
    <mergeCell ref="AH402:AL402"/>
    <mergeCell ref="AC479:AE479"/>
    <mergeCell ref="AC174:AE174"/>
    <mergeCell ref="I710:M712"/>
    <mergeCell ref="AO567:AQ567"/>
    <mergeCell ref="P718:R718"/>
    <mergeCell ref="I311:M311"/>
    <mergeCell ref="AN417:AR417"/>
    <mergeCell ref="J87:L87"/>
    <mergeCell ref="U27:Y30"/>
    <mergeCell ref="U704:Y705"/>
    <mergeCell ref="J850:L850"/>
    <mergeCell ref="O198:R198"/>
    <mergeCell ref="I306:I307"/>
    <mergeCell ref="AH1106:AL1108"/>
    <mergeCell ref="AI369:AK369"/>
    <mergeCell ref="V965:X965"/>
    <mergeCell ref="AI700:AK700"/>
    <mergeCell ref="AN495:AO495"/>
    <mergeCell ref="O38:Q38"/>
    <mergeCell ref="I533:M533"/>
    <mergeCell ref="L641:M642"/>
    <mergeCell ref="AH636:AJ636"/>
    <mergeCell ref="J1072:L1072"/>
    <mergeCell ref="U713:V713"/>
    <mergeCell ref="AP97:AQ97"/>
    <mergeCell ref="J152:M153"/>
    <mergeCell ref="I350:I351"/>
    <mergeCell ref="I980:M980"/>
    <mergeCell ref="J501:L501"/>
    <mergeCell ref="W562:Y56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AH642:AH643"/>
    <mergeCell ref="I274:M275"/>
    <mergeCell ref="O798:S798"/>
    <mergeCell ref="AH1158:AL1158"/>
    <mergeCell ref="AO106:AQ106"/>
    <mergeCell ref="J114:L114"/>
    <mergeCell ref="AB341:AC341"/>
    <mergeCell ref="I343:I346"/>
    <mergeCell ref="V607:V608"/>
    <mergeCell ref="AH564:AL564"/>
    <mergeCell ref="M678:Y678"/>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V216:V217"/>
    <mergeCell ref="AJ516:AL516"/>
    <mergeCell ref="AC680:AE680"/>
    <mergeCell ref="J272:M273"/>
    <mergeCell ref="O1006:S1006"/>
    <mergeCell ref="R834:S834"/>
    <mergeCell ref="AC1138:AE1138"/>
    <mergeCell ref="U1012:Y1014"/>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I189:AK189"/>
    <mergeCell ref="U216:U217"/>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X413:Y413"/>
    <mergeCell ref="U716:Y716"/>
    <mergeCell ref="W166:Y166"/>
    <mergeCell ref="AH320:AL320"/>
    <mergeCell ref="U885:Y885"/>
    <mergeCell ref="U1016:Y1016"/>
    <mergeCell ref="V101:X101"/>
    <mergeCell ref="AB704:AF705"/>
    <mergeCell ref="AB241:AF242"/>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W216:W217"/>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O246:O247"/>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S48:S49"/>
    <mergeCell ref="U1047:Y1047"/>
    <mergeCell ref="AH101:AH104"/>
    <mergeCell ref="I657:J657"/>
    <mergeCell ref="AK633:AL633"/>
    <mergeCell ref="AH892:AL892"/>
    <mergeCell ref="I957:J957"/>
    <mergeCell ref="AB311:AF311"/>
    <mergeCell ref="I494:J494"/>
    <mergeCell ref="AP1155:AQ1155"/>
    <mergeCell ref="AJ816:AJ817"/>
    <mergeCell ref="I687:M687"/>
    <mergeCell ref="AB297:AC297"/>
    <mergeCell ref="AC850:AE850"/>
    <mergeCell ref="AC964:AE964"/>
    <mergeCell ref="I987:M987"/>
    <mergeCell ref="AO1008:AO1009"/>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R48:R49"/>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396:L396"/>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B333:AF333"/>
    <mergeCell ref="O1166:O1167"/>
    <mergeCell ref="AJ425:AJ426"/>
    <mergeCell ref="AB797:AF797"/>
    <mergeCell ref="AF86:AR86"/>
    <mergeCell ref="AI840:AI841"/>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Q840:Q84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V810:V811"/>
    <mergeCell ref="O4:Y4"/>
    <mergeCell ref="AN242:AR242"/>
    <mergeCell ref="I336:M338"/>
    <mergeCell ref="V805:V806"/>
    <mergeCell ref="AI409:AI410"/>
    <mergeCell ref="I1132:J1132"/>
    <mergeCell ref="J676:L676"/>
    <mergeCell ref="AH628:AJ629"/>
    <mergeCell ref="AH18:AH19"/>
    <mergeCell ref="J344:L344"/>
    <mergeCell ref="R246:R247"/>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AQ414:AR415"/>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I834:M834"/>
    <mergeCell ref="J1073:L1073"/>
    <mergeCell ref="Q246:Q247"/>
    <mergeCell ref="AK425:AK426"/>
    <mergeCell ref="AB761:AC761"/>
    <mergeCell ref="I1134:M1134"/>
    <mergeCell ref="U1011:Y1011"/>
    <mergeCell ref="AD1089:AF1089"/>
    <mergeCell ref="AO470:AR471"/>
    <mergeCell ref="AH1014:AH1015"/>
    <mergeCell ref="I518:M518"/>
    <mergeCell ref="AB905:AF905"/>
    <mergeCell ref="AB600:AF600"/>
    <mergeCell ref="V73:Y73"/>
    <mergeCell ref="AN616:AR618"/>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N21:AR21"/>
    <mergeCell ref="U422:Y422"/>
    <mergeCell ref="AO1048:AQ1048"/>
    <mergeCell ref="J454:L454"/>
    <mergeCell ref="AO585:AQ585"/>
    <mergeCell ref="AH710:AL712"/>
    <mergeCell ref="V961:X961"/>
    <mergeCell ref="AQ612:AR613"/>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AB439:AF44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AN67:AN70"/>
    <mergeCell ref="J877:L877"/>
    <mergeCell ref="AH516:AI516"/>
    <mergeCell ref="AN367:AN370"/>
    <mergeCell ref="U654:Y656"/>
    <mergeCell ref="AI1115:AK1115"/>
    <mergeCell ref="U954:Y956"/>
    <mergeCell ref="AK1031:AL1031"/>
    <mergeCell ref="AB709:AF709"/>
    <mergeCell ref="AN819:AR822"/>
    <mergeCell ref="I162:M164"/>
    <mergeCell ref="AB1098:AB1099"/>
    <mergeCell ref="O565:O568"/>
    <mergeCell ref="J171:L171"/>
    <mergeCell ref="AH890:AI890"/>
    <mergeCell ref="U866:U867"/>
    <mergeCell ref="U320:Y320"/>
    <mergeCell ref="AI104:AK104"/>
    <mergeCell ref="AB343:AB346"/>
    <mergeCell ref="K563:M563"/>
    <mergeCell ref="I447:Y447"/>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S840:S84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N18:AN19"/>
    <mergeCell ref="AH1090:AL1090"/>
    <mergeCell ref="O914:S914"/>
    <mergeCell ref="U616:Y618"/>
    <mergeCell ref="AC698:AE698"/>
    <mergeCell ref="O695:O698"/>
    <mergeCell ref="AQ1007:AR1007"/>
    <mergeCell ref="AH1088:AI1088"/>
    <mergeCell ref="O912:P912"/>
    <mergeCell ref="AN76:AR77"/>
    <mergeCell ref="AJ1003:AJ1004"/>
    <mergeCell ref="AJ262:AL262"/>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AD1131:AE1131"/>
    <mergeCell ref="AB1079:AR1079"/>
    <mergeCell ref="AI568:AK568"/>
    <mergeCell ref="U892:Y892"/>
    <mergeCell ref="AC68:AE68"/>
    <mergeCell ref="AO488:AQ488"/>
    <mergeCell ref="AI893:AK893"/>
    <mergeCell ref="P664:R664"/>
    <mergeCell ref="AH657:AI657"/>
    <mergeCell ref="I211:M212"/>
    <mergeCell ref="X17:Y17"/>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I1041:Y1041"/>
    <mergeCell ref="X216:Y217"/>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U220:Y222"/>
    <mergeCell ref="AH905:AL905"/>
    <mergeCell ref="W364:Y364"/>
    <mergeCell ref="I694:M694"/>
    <mergeCell ref="AC1162:AE1162"/>
    <mergeCell ref="AC863:AE863"/>
    <mergeCell ref="I261:J261"/>
    <mergeCell ref="I564:M564"/>
    <mergeCell ref="J928:L928"/>
    <mergeCell ref="I561:J561"/>
    <mergeCell ref="V1003:V1004"/>
    <mergeCell ref="Q65:S65"/>
    <mergeCell ref="AC873:AE873"/>
    <mergeCell ref="AN1185:AR1185"/>
    <mergeCell ref="I562:J562"/>
    <mergeCell ref="AH957:AI957"/>
    <mergeCell ref="U18:U19"/>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H444:AH445"/>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O770:O771"/>
    <mergeCell ref="AC918:AE918"/>
    <mergeCell ref="S1019:S1020"/>
    <mergeCell ref="AE839:AF840"/>
    <mergeCell ref="P130:S131"/>
    <mergeCell ref="AC1070:AE1070"/>
    <mergeCell ref="I594:L594"/>
    <mergeCell ref="AN1008:AN1009"/>
    <mergeCell ref="AC921:AF921"/>
    <mergeCell ref="AN1166:AN1167"/>
    <mergeCell ref="AN1031:AQ1031"/>
    <mergeCell ref="I317:J317"/>
    <mergeCell ref="W414:W415"/>
    <mergeCell ref="AK840:AK841"/>
    <mergeCell ref="AC1071:AE1071"/>
    <mergeCell ref="AK238:AL238"/>
    <mergeCell ref="AB448:AR449"/>
    <mergeCell ref="AO1159:AQ1159"/>
    <mergeCell ref="AJ657:AK657"/>
    <mergeCell ref="W409:W410"/>
    <mergeCell ref="AP516:AR516"/>
    <mergeCell ref="W911:X911"/>
    <mergeCell ref="AH610:AL610"/>
    <mergeCell ref="I919:I920"/>
    <mergeCell ref="V18:V19"/>
    <mergeCell ref="O995:P995"/>
    <mergeCell ref="AP517:AR517"/>
    <mergeCell ref="I459:J459"/>
    <mergeCell ref="AN859:AN862"/>
    <mergeCell ref="I365:J365"/>
    <mergeCell ref="AJ13:AJ14"/>
    <mergeCell ref="AJ618:AJ619"/>
    <mergeCell ref="AI127:AK127"/>
    <mergeCell ref="AC1140:AE1140"/>
    <mergeCell ref="O463:O466"/>
    <mergeCell ref="AB438:AF438"/>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736:AC736"/>
    <mergeCell ref="AB411:AF436"/>
    <mergeCell ref="P67:R67"/>
    <mergeCell ref="AJ840:AJ841"/>
    <mergeCell ref="I490:M492"/>
    <mergeCell ref="P367:R367"/>
    <mergeCell ref="P129:S129"/>
    <mergeCell ref="AI607:AI608"/>
    <mergeCell ref="R430:S431"/>
    <mergeCell ref="AC207:AR208"/>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AB637:AF638"/>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AN220:AR222"/>
    <mergeCell ref="V920:X920"/>
    <mergeCell ref="AB724:AB725"/>
    <mergeCell ref="AC874:AE874"/>
    <mergeCell ref="AN1011:AR1011"/>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J1173:L1173"/>
    <mergeCell ref="AJ1038:AJ1039"/>
    <mergeCell ref="AO125:AQ125"/>
    <mergeCell ref="AO256:AQ256"/>
    <mergeCell ref="O65:P65"/>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U615:Y615"/>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AQ216:AR217"/>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X809:Y809"/>
    <mergeCell ref="O487:S487"/>
    <mergeCell ref="AI1113:AK1113"/>
    <mergeCell ref="AK239:AL239"/>
    <mergeCell ref="I439:M440"/>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AP1008:AP1009"/>
    <mergeCell ref="J328:M329"/>
    <mergeCell ref="AB702:AB703"/>
    <mergeCell ref="AO664:AQ664"/>
    <mergeCell ref="K317:L317"/>
    <mergeCell ref="AB755:AF755"/>
    <mergeCell ref="AB43:AF44"/>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X215:Y215"/>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I42:M42"/>
    <mergeCell ref="AB402:AF402"/>
    <mergeCell ref="AN423:AR426"/>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I51:Y51"/>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AQ810:AR811"/>
    <mergeCell ref="I550:M551"/>
    <mergeCell ref="J478:L478"/>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J674:L674"/>
    <mergeCell ref="O687:S687"/>
    <mergeCell ref="V160:X160"/>
    <mergeCell ref="AH98:AI98"/>
    <mergeCell ref="O987:S987"/>
    <mergeCell ref="AC777:AE777"/>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N814:AR816"/>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P1038:P1039"/>
    <mergeCell ref="U433:X433"/>
    <mergeCell ref="J900:M901"/>
    <mergeCell ref="AN612:AN613"/>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A33:B59"/>
    <mergeCell ref="O1038:O1039"/>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AK833:AL833"/>
    <mergeCell ref="AI48:AI49"/>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V1150:X1150"/>
    <mergeCell ref="AB737:AC737"/>
    <mergeCell ref="W1111:Y1111"/>
    <mergeCell ref="I506:M507"/>
    <mergeCell ref="U807:Y807"/>
    <mergeCell ref="D28:F28"/>
    <mergeCell ref="V1160:X1160"/>
    <mergeCell ref="U159:Y159"/>
    <mergeCell ref="AB1053:AC1053"/>
    <mergeCell ref="D29:F29"/>
    <mergeCell ref="AH48:AH4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AH1081:AL1081"/>
    <mergeCell ref="J921:M921"/>
    <mergeCell ref="J919:L919"/>
    <mergeCell ref="AP120:AR120"/>
    <mergeCell ref="Q296:S296"/>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U219:Y219"/>
    <mergeCell ref="AO171:AQ171"/>
    <mergeCell ref="J373:M373"/>
    <mergeCell ref="AP263:AR263"/>
    <mergeCell ref="O908:S910"/>
    <mergeCell ref="AH635:AJ635"/>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AK444:AK445"/>
    <mergeCell ref="J920:L920"/>
    <mergeCell ref="AD933:AE933"/>
    <mergeCell ref="J463:L463"/>
    <mergeCell ref="AC686:AE686"/>
    <mergeCell ref="AH924:AL925"/>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AK642:AK643"/>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AP612:AP61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B250:AR251"/>
    <mergeCell ref="AJ461:AL461"/>
    <mergeCell ref="AH1184:AL1184"/>
    <mergeCell ref="AN886:AR888"/>
    <mergeCell ref="AB176:AB177"/>
    <mergeCell ref="Q816:Q817"/>
    <mergeCell ref="I297:J297"/>
    <mergeCell ref="AL48:AL49"/>
    <mergeCell ref="AB657:AC657"/>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599:M599"/>
    <mergeCell ref="AN863:AN864"/>
    <mergeCell ref="AB47:AC48"/>
    <mergeCell ref="AC284:AE284"/>
    <mergeCell ref="AJ912:AL912"/>
    <mergeCell ref="K1088:M1088"/>
    <mergeCell ref="J266:L266"/>
    <mergeCell ref="AO372:AQ372"/>
    <mergeCell ref="J566:L566"/>
    <mergeCell ref="AI662:AK662"/>
    <mergeCell ref="AN1090:AR1090"/>
    <mergeCell ref="AN1088:AO1088"/>
    <mergeCell ref="AH591:AL591"/>
    <mergeCell ref="AH440:AJ440"/>
    <mergeCell ref="O203:P203"/>
    <mergeCell ref="I801:I802"/>
    <mergeCell ref="AN818:AR818"/>
    <mergeCell ref="AO1057:AQ1057"/>
    <mergeCell ref="AD1053:AE1053"/>
    <mergeCell ref="AC937:AE937"/>
    <mergeCell ref="AQ809:AR809"/>
    <mergeCell ref="AH487:AL487"/>
    <mergeCell ref="O1095:O1096"/>
    <mergeCell ref="AN167:AO167"/>
    <mergeCell ref="R821:R822"/>
    <mergeCell ref="O836:Q836"/>
    <mergeCell ref="I470:I471"/>
    <mergeCell ref="AH188:AL188"/>
    <mergeCell ref="AH116:AL11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AP810:AP811"/>
    <mergeCell ref="U497:U500"/>
    <mergeCell ref="AJ642:AJ643"/>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AB645:AR645"/>
    <mergeCell ref="J283:L283"/>
    <mergeCell ref="K63:L63"/>
    <mergeCell ref="I759:J759"/>
    <mergeCell ref="J374:M375"/>
    <mergeCell ref="P414:P415"/>
    <mergeCell ref="AB965:AB966"/>
    <mergeCell ref="J278:L278"/>
    <mergeCell ref="P918:R918"/>
    <mergeCell ref="P173:R173"/>
    <mergeCell ref="AI642:AI64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AL1038:AL1039"/>
    <mergeCell ref="K1055:M1055"/>
    <mergeCell ref="AN557:AR557"/>
    <mergeCell ref="J405:Y406"/>
    <mergeCell ref="J322:L322"/>
    <mergeCell ref="AD493:AE493"/>
    <mergeCell ref="AO1096:AQ1096"/>
    <mergeCell ref="U626:X626"/>
    <mergeCell ref="I408:M408"/>
    <mergeCell ref="AB710:AF712"/>
    <mergeCell ref="X414:Y415"/>
    <mergeCell ref="AC87:AE87"/>
    <mergeCell ref="P700:R700"/>
    <mergeCell ref="U495:V495"/>
    <mergeCell ref="AI466:AK466"/>
    <mergeCell ref="AB306:AB307"/>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B834:AF834"/>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U295:V295"/>
    <mergeCell ref="AN526:AN527"/>
    <mergeCell ref="I241:M242"/>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P211:AP212"/>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642:Q643"/>
    <mergeCell ref="Q516:S516"/>
    <mergeCell ref="AD120:AF120"/>
    <mergeCell ref="AO216:AO217"/>
    <mergeCell ref="O1103:S1103"/>
    <mergeCell ref="AB996:AF996"/>
    <mergeCell ref="I844:Y845"/>
    <mergeCell ref="AL805:AL806"/>
    <mergeCell ref="AO211:AO212"/>
    <mergeCell ref="O890:P890"/>
    <mergeCell ref="AC170:AE170"/>
    <mergeCell ref="V612:V613"/>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AN418:AR420"/>
    <mergeCell ref="P767:R767"/>
    <mergeCell ref="AQ13:AQ14"/>
    <mergeCell ref="O528:S529"/>
    <mergeCell ref="AC523:AE523"/>
    <mergeCell ref="AN161:AR161"/>
    <mergeCell ref="AN924:AR925"/>
    <mergeCell ref="P642:P643"/>
    <mergeCell ref="AN238:AQ238"/>
    <mergeCell ref="V865:Y865"/>
    <mergeCell ref="U99:V99"/>
    <mergeCell ref="V1165:Y1165"/>
    <mergeCell ref="AI921:AL921"/>
    <mergeCell ref="J497:L497"/>
    <mergeCell ref="AB973:AR973"/>
    <mergeCell ref="D24:F24"/>
    <mergeCell ref="I835:M836"/>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X1007:Y1007"/>
    <mergeCell ref="AN178:AR179"/>
    <mergeCell ref="AH914:AL914"/>
    <mergeCell ref="V69:X69"/>
    <mergeCell ref="AH695:AH698"/>
    <mergeCell ref="I1149:M1149"/>
    <mergeCell ref="V271:Y271"/>
    <mergeCell ref="Q317:R317"/>
    <mergeCell ref="AB843:AR843"/>
    <mergeCell ref="P70:R70"/>
    <mergeCell ref="I1064:I1065"/>
    <mergeCell ref="V571:Y571"/>
    <mergeCell ref="P73:S73"/>
    <mergeCell ref="AP713:AQ713"/>
    <mergeCell ref="AO466:AQ466"/>
    <mergeCell ref="U57:Y57"/>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AD693:AF693"/>
    <mergeCell ref="P897:R897"/>
    <mergeCell ref="O1100:S1101"/>
    <mergeCell ref="AC967:AF967"/>
    <mergeCell ref="P898:R898"/>
    <mergeCell ref="J730:L730"/>
    <mergeCell ref="J861:L861"/>
    <mergeCell ref="AH105:AH106"/>
    <mergeCell ref="U668:U669"/>
    <mergeCell ref="M86:Y86"/>
    <mergeCell ref="O386:S386"/>
    <mergeCell ref="I791:M791"/>
    <mergeCell ref="M80:Y80"/>
    <mergeCell ref="P840:P841"/>
    <mergeCell ref="U1184:Y1184"/>
    <mergeCell ref="AK232:AL233"/>
    <mergeCell ref="U119:V119"/>
    <mergeCell ref="O176:O177"/>
    <mergeCell ref="AC387:AE387"/>
    <mergeCell ref="O44:Q44"/>
    <mergeCell ref="U968:U969"/>
    <mergeCell ref="V1118:X1118"/>
    <mergeCell ref="J300:L300"/>
    <mergeCell ref="O501:O502"/>
    <mergeCell ref="AN414:AN415"/>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AN659:AO659"/>
    <mergeCell ref="AI919:AK919"/>
    <mergeCell ref="AH900:AH901"/>
    <mergeCell ref="O1029:Q1029"/>
    <mergeCell ref="O1056:S1056"/>
    <mergeCell ref="AN959:AO959"/>
    <mergeCell ref="AH797:AI797"/>
    <mergeCell ref="AB582:AR582"/>
    <mergeCell ref="AC1057:AE1057"/>
    <mergeCell ref="O840:O841"/>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P246:P247"/>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Q413:AR413"/>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B261:AC261"/>
    <mergeCell ref="AJ64:AL64"/>
    <mergeCell ref="S816:S817"/>
    <mergeCell ref="AB561:AC561"/>
    <mergeCell ref="AC860:AE860"/>
    <mergeCell ref="AK1032:AL1032"/>
    <mergeCell ref="O793:S796"/>
    <mergeCell ref="AK638:AL638"/>
    <mergeCell ref="AB405:AB406"/>
    <mergeCell ref="Q409:Q410"/>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I556:AK556"/>
    <mergeCell ref="AH265:AH268"/>
    <mergeCell ref="AH470:AH471"/>
    <mergeCell ref="V429:X429"/>
    <mergeCell ref="AN564:AR564"/>
    <mergeCell ref="O116:S118"/>
    <mergeCell ref="AH565:AH568"/>
    <mergeCell ref="I1178:M1178"/>
    <mergeCell ref="P107:S107"/>
    <mergeCell ref="AJ246:AJ247"/>
    <mergeCell ref="M1072:Y1072"/>
    <mergeCell ref="U235:X235"/>
    <mergeCell ref="O610:S610"/>
    <mergeCell ref="AP165:AQ165"/>
    <mergeCell ref="I713:J713"/>
    <mergeCell ref="V327:Y327"/>
    <mergeCell ref="W810:W811"/>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X18:Y1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AB447:AR447"/>
    <mergeCell ref="J148:L148"/>
    <mergeCell ref="AC130:AF131"/>
    <mergeCell ref="AN15:AR15"/>
    <mergeCell ref="AC466:AE466"/>
    <mergeCell ref="S409:S410"/>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1047:AF1047"/>
    <mergeCell ref="U782:Y782"/>
    <mergeCell ref="AI126:AK126"/>
    <mergeCell ref="Q1193:S1193"/>
    <mergeCell ref="O97:P97"/>
    <mergeCell ref="P371:R371"/>
    <mergeCell ref="U572:U573"/>
    <mergeCell ref="AB526:AB527"/>
    <mergeCell ref="AL246:AL24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O586:S589"/>
    <mergeCell ref="AB178:AF179"/>
    <mergeCell ref="M81:Y81"/>
    <mergeCell ref="AB173:AB174"/>
    <mergeCell ref="AC323:AE323"/>
    <mergeCell ref="AB42:AF42"/>
    <mergeCell ref="AN892:AR892"/>
    <mergeCell ref="J568:L568"/>
    <mergeCell ref="P894:R894"/>
    <mergeCell ref="AC928:AE928"/>
    <mergeCell ref="O494:P494"/>
    <mergeCell ref="M381:Y381"/>
    <mergeCell ref="U417:Y417"/>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N22:AR24"/>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I1184:M1184"/>
    <mergeCell ref="AH1087:AI1087"/>
    <mergeCell ref="I649:Y649"/>
    <mergeCell ref="U306:U307"/>
    <mergeCell ref="I968:I969"/>
    <mergeCell ref="D17:D18"/>
    <mergeCell ref="I949:Y949"/>
    <mergeCell ref="AH660:AL660"/>
    <mergeCell ref="I886:M888"/>
    <mergeCell ref="AB798:AF798"/>
    <mergeCell ref="V414:V415"/>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X611:Y611"/>
    <mergeCell ref="I210:M210"/>
    <mergeCell ref="AN501:AN502"/>
    <mergeCell ref="AL1014:AL1015"/>
    <mergeCell ref="AL1008:AL1009"/>
    <mergeCell ref="AH392:AL392"/>
    <mergeCell ref="U414:U415"/>
    <mergeCell ref="I122:M122"/>
    <mergeCell ref="J776:L776"/>
    <mergeCell ref="AH176:AH177"/>
    <mergeCell ref="AP409:AP410"/>
    <mergeCell ref="AN857:AO857"/>
    <mergeCell ref="Q13:Q14"/>
    <mergeCell ref="I438:M438"/>
    <mergeCell ref="O638:Q638"/>
    <mergeCell ref="AC1058:AE1058"/>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P444:P445"/>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O652:AQ652"/>
    <mergeCell ref="I523:I524"/>
    <mergeCell ref="I52:Y53"/>
    <mergeCell ref="AB751:AR751"/>
    <mergeCell ref="AO952:AQ952"/>
    <mergeCell ref="V304:X304"/>
    <mergeCell ref="J541:L541"/>
    <mergeCell ref="AI454:AK454"/>
    <mergeCell ref="I907:M907"/>
    <mergeCell ref="AB352:AF353"/>
    <mergeCell ref="AI1119:AL1119"/>
    <mergeCell ref="O197:S197"/>
    <mergeCell ref="AI665:AK665"/>
    <mergeCell ref="O444:O44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U1031:X1031"/>
    <mergeCell ref="R840:R84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V321:X321"/>
    <mergeCell ref="O308:S309"/>
    <mergeCell ref="AB1111:AC1111"/>
    <mergeCell ref="O214:S214"/>
    <mergeCell ref="W889:X889"/>
    <mergeCell ref="AJ493:AK493"/>
    <mergeCell ref="AC175:AF175"/>
    <mergeCell ref="AO1023:AQ1023"/>
    <mergeCell ref="AO718:AQ718"/>
    <mergeCell ref="V1094:X1094"/>
    <mergeCell ref="AB463:AB466"/>
    <mergeCell ref="AB1042:AR1043"/>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H709:AL709"/>
    <mergeCell ref="H1001:H1194"/>
    <mergeCell ref="AH1098:AH1099"/>
    <mergeCell ref="U565:U568"/>
    <mergeCell ref="I455:M455"/>
    <mergeCell ref="W1008:W1009"/>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AQ215:AR215"/>
    <mergeCell ref="U289:Y289"/>
    <mergeCell ref="V71:X71"/>
    <mergeCell ref="I1133:J1133"/>
    <mergeCell ref="AI290:AK290"/>
    <mergeCell ref="AF284:AR284"/>
    <mergeCell ref="AH908:AL910"/>
    <mergeCell ref="O122:S122"/>
    <mergeCell ref="O211:O212"/>
    <mergeCell ref="V523:X523"/>
    <mergeCell ref="P661:R661"/>
    <mergeCell ref="V1008:V1009"/>
    <mergeCell ref="AO468:AQ468"/>
    <mergeCell ref="AH292:AL294"/>
    <mergeCell ref="AI227:AI228"/>
    <mergeCell ref="M872:Y872"/>
    <mergeCell ref="I654:M656"/>
    <mergeCell ref="U511:Y511"/>
    <mergeCell ref="M1172:Y1172"/>
    <mergeCell ref="AI301:AK301"/>
    <mergeCell ref="K760:M760"/>
    <mergeCell ref="I775:Y775"/>
    <mergeCell ref="R607:R608"/>
    <mergeCell ref="AN376:AR377"/>
    <mergeCell ref="U515:V515"/>
    <mergeCell ref="AI612:AI613"/>
    <mergeCell ref="AJ693:AL693"/>
    <mergeCell ref="AQ1003:AQ1004"/>
    <mergeCell ref="AO827:AQ827"/>
    <mergeCell ref="AO522:AQ522"/>
    <mergeCell ref="I782:M782"/>
    <mergeCell ref="V898:X898"/>
    <mergeCell ref="AP18:AP19"/>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U814:Y816"/>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U314:Y316"/>
    <mergeCell ref="O313:S313"/>
    <mergeCell ref="AI1038:AI1039"/>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Q48:Q49"/>
    <mergeCell ref="AH915:AH918"/>
    <mergeCell ref="J739:L739"/>
    <mergeCell ref="AC1082:AE1082"/>
    <mergeCell ref="I168:M168"/>
    <mergeCell ref="O509:S509"/>
    <mergeCell ref="I914:M914"/>
    <mergeCell ref="AK810:AK811"/>
    <mergeCell ref="AB113:AF113"/>
    <mergeCell ref="AJ319:AL319"/>
    <mergeCell ref="AC510:AE510"/>
    <mergeCell ref="AB1122:AF1123"/>
    <mergeCell ref="AC1115:AE1115"/>
    <mergeCell ref="AF279:AR279"/>
    <mergeCell ref="AB1117:AB1118"/>
    <mergeCell ref="AB646:AR647"/>
    <mergeCell ref="I342:M342"/>
    <mergeCell ref="AH1155:AI1155"/>
    <mergeCell ref="I912:J912"/>
    <mergeCell ref="AF280:AR280"/>
    <mergeCell ref="I265:I268"/>
    <mergeCell ref="U1027:X1027"/>
    <mergeCell ref="AH1038:AH1039"/>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P48:P49"/>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O612:AO613"/>
    <mergeCell ref="AI444:AI445"/>
    <mergeCell ref="AJ561:AK561"/>
    <mergeCell ref="AB933:AC933"/>
    <mergeCell ref="P721:R721"/>
    <mergeCell ref="AO1091:AQ1091"/>
    <mergeCell ref="J73:M73"/>
    <mergeCell ref="U832:X832"/>
    <mergeCell ref="AH1084:AL1086"/>
    <mergeCell ref="AH222:AH223"/>
    <mergeCell ref="J523:L523"/>
    <mergeCell ref="V916:X916"/>
    <mergeCell ref="AC176:AF177"/>
    <mergeCell ref="AC468:AE468"/>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W612:W613"/>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B636:AF636"/>
    <mergeCell ref="AC875:AE875"/>
    <mergeCell ref="AF477:AR477"/>
    <mergeCell ref="S216:S217"/>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U813:Y813"/>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AK1038:AK1039"/>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R628:S629"/>
    <mergeCell ref="AO862:AQ862"/>
    <mergeCell ref="AB775:AR775"/>
    <mergeCell ref="D9:F10"/>
    <mergeCell ref="O395:S395"/>
    <mergeCell ref="U694:Y694"/>
    <mergeCell ref="AO1162:AQ1162"/>
    <mergeCell ref="U810:U811"/>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AN687:AR687"/>
    <mergeCell ref="W363:X363"/>
    <mergeCell ref="P1165:S1165"/>
    <mergeCell ref="AC719:AE719"/>
    <mergeCell ref="U1090:Y1090"/>
    <mergeCell ref="AD1088:AF1088"/>
    <mergeCell ref="AN621:AR624"/>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U1017:Y1020"/>
    <mergeCell ref="AH237:AJ237"/>
    <mergeCell ref="AB195:AF195"/>
    <mergeCell ref="AF579:AR579"/>
    <mergeCell ref="I199:M202"/>
    <mergeCell ref="O1188:R1188"/>
    <mergeCell ref="AB586:AF589"/>
    <mergeCell ref="AC104:AE104"/>
    <mergeCell ref="AF879:AR879"/>
    <mergeCell ref="I249:Y249"/>
    <mergeCell ref="W691:X691"/>
    <mergeCell ref="I892:M892"/>
    <mergeCell ref="I1139:I1140"/>
    <mergeCell ref="S444:S445"/>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X1008:Y1009"/>
    <mergeCell ref="J479:L479"/>
    <mergeCell ref="V567:X567"/>
    <mergeCell ref="AB1147:AR1147"/>
    <mergeCell ref="O1155:P1155"/>
    <mergeCell ref="AO312:AQ312"/>
    <mergeCell ref="AD958:AF958"/>
    <mergeCell ref="AI717:AK717"/>
    <mergeCell ref="AC136:AE136"/>
    <mergeCell ref="P69:R69"/>
    <mergeCell ref="AN828:AQ828"/>
    <mergeCell ref="AN27:AR30"/>
    <mergeCell ref="AO1095:AQ1095"/>
    <mergeCell ref="AH198:AK198"/>
    <mergeCell ref="AB138:AF140"/>
    <mergeCell ref="AB759:AC759"/>
    <mergeCell ref="AC374:AF375"/>
    <mergeCell ref="AI414:AI415"/>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AJ805:AJ806"/>
    <mergeCell ref="U418:Y420"/>
    <mergeCell ref="S642:S643"/>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R642:R643"/>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I240:M240"/>
    <mergeCell ref="AC708:AE708"/>
    <mergeCell ref="U631:X631"/>
    <mergeCell ref="I540:M540"/>
    <mergeCell ref="O1024:Q1025"/>
    <mergeCell ref="AN97:AO97"/>
    <mergeCell ref="AB159:AF159"/>
    <mergeCell ref="J380:L380"/>
    <mergeCell ref="J680:L680"/>
    <mergeCell ref="W261:X261"/>
    <mergeCell ref="AH319:AI319"/>
    <mergeCell ref="J1138:L1138"/>
    <mergeCell ref="V466:X466"/>
    <mergeCell ref="V72:X72"/>
    <mergeCell ref="AH1006:AL1006"/>
    <mergeCell ref="AK834:AL834"/>
    <mergeCell ref="O595:S598"/>
    <mergeCell ref="O317:P317"/>
    <mergeCell ref="AE641:AF642"/>
    <mergeCell ref="AN713:AO713"/>
    <mergeCell ref="I913:J913"/>
    <mergeCell ref="AH693:AI693"/>
    <mergeCell ref="Y13:Y14"/>
    <mergeCell ref="V519:X519"/>
    <mergeCell ref="AB986:AF986"/>
    <mergeCell ref="AH688:AL690"/>
    <mergeCell ref="O512:S514"/>
    <mergeCell ref="AH1023:AJ1023"/>
    <mergeCell ref="AN908:AR910"/>
    <mergeCell ref="P189:R189"/>
    <mergeCell ref="I314:M316"/>
    <mergeCell ref="AH982:AL985"/>
    <mergeCell ref="AH258:AL260"/>
    <mergeCell ref="U291:Y291"/>
    <mergeCell ref="AH67:AH70"/>
    <mergeCell ref="U763:U766"/>
    <mergeCell ref="AH367:AH370"/>
    <mergeCell ref="I996:M996"/>
    <mergeCell ref="AC1159:AE1159"/>
    <mergeCell ref="AO301:AQ301"/>
    <mergeCell ref="P58:R58"/>
    <mergeCell ref="AD1133:AF1133"/>
    <mergeCell ref="P663:R663"/>
    <mergeCell ref="P963:R963"/>
    <mergeCell ref="J382:L382"/>
    <mergeCell ref="AB936:AF936"/>
    <mergeCell ref="Q913:S913"/>
    <mergeCell ref="AD517:AF517"/>
    <mergeCell ref="M1174:Y1174"/>
    <mergeCell ref="AQ1008:AR1009"/>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U959:V959"/>
    <mergeCell ref="AB9:AB10"/>
    <mergeCell ref="AN313:AR313"/>
    <mergeCell ref="AC764:AE764"/>
    <mergeCell ref="AN436:AQ436"/>
    <mergeCell ref="AH715:AI715"/>
    <mergeCell ref="AC999:AR1000"/>
    <mergeCell ref="I277:Y277"/>
    <mergeCell ref="W297:Y297"/>
    <mergeCell ref="AC975:AE975"/>
    <mergeCell ref="AC1097:AF1097"/>
    <mergeCell ref="AB835:AF836"/>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AP216:AP217"/>
    <mergeCell ref="U1155:V1155"/>
    <mergeCell ref="AJ48:AJ49"/>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I843:Y843"/>
    <mergeCell ref="AP760:AR760"/>
    <mergeCell ref="AB1090:AF1090"/>
    <mergeCell ref="P325:R325"/>
    <mergeCell ref="AO271:AR271"/>
    <mergeCell ref="O306:O307"/>
    <mergeCell ref="I695:I698"/>
    <mergeCell ref="AI70:AK70"/>
    <mergeCell ref="I13:M14"/>
    <mergeCell ref="AO571:AR571"/>
    <mergeCell ref="P425:P426"/>
    <mergeCell ref="AN1012:AR1014"/>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AH840:AH841"/>
    <mergeCell ref="I986:M986"/>
    <mergeCell ref="AP1157:AR1157"/>
    <mergeCell ref="AC702:AF703"/>
    <mergeCell ref="AC268:AE268"/>
    <mergeCell ref="AB881:AR881"/>
    <mergeCell ref="Q1088:S1088"/>
    <mergeCell ref="AD692:AF692"/>
    <mergeCell ref="AI922:AL923"/>
    <mergeCell ref="P566:R566"/>
    <mergeCell ref="AO414:AO415"/>
    <mergeCell ref="V1059:X1059"/>
    <mergeCell ref="AI246:AI247"/>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AL642:AL643"/>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246:AH247"/>
    <mergeCell ref="AH762:AL762"/>
    <mergeCell ref="AN958:AO958"/>
    <mergeCell ref="AB137:AF137"/>
    <mergeCell ref="I364:J364"/>
    <mergeCell ref="I65:J65"/>
    <mergeCell ref="AB1142:AB1143"/>
    <mergeCell ref="I203:M203"/>
    <mergeCell ref="AI1060:AK1060"/>
    <mergeCell ref="I838:J838"/>
    <mergeCell ref="AN60:AR62"/>
    <mergeCell ref="AB844:AR845"/>
    <mergeCell ref="AN1155:AO1155"/>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P1003:P1004"/>
    <mergeCell ref="AO810:AO811"/>
    <mergeCell ref="P719:R719"/>
    <mergeCell ref="I1180:M1183"/>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N810:AN811"/>
    <mergeCell ref="AC723:AF723"/>
    <mergeCell ref="AH970:AL971"/>
    <mergeCell ref="AC9:AR10"/>
    <mergeCell ref="O1019:O1020"/>
    <mergeCell ref="AH33:AJ33"/>
    <mergeCell ref="AN225:AR228"/>
    <mergeCell ref="AF675:AR675"/>
    <mergeCell ref="AH518:AL518"/>
    <mergeCell ref="I120:J120"/>
    <mergeCell ref="I905:M905"/>
    <mergeCell ref="AN1049:AR1049"/>
    <mergeCell ref="AC501:AE501"/>
    <mergeCell ref="AI663:AK663"/>
    <mergeCell ref="U621:Y624"/>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U21:Y21"/>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K246:AK247"/>
    <mergeCell ref="AN459:AO459"/>
    <mergeCell ref="AK634:AL634"/>
    <mergeCell ref="U67:U70"/>
    <mergeCell ref="AF478:AR478"/>
    <mergeCell ref="AN858:AR858"/>
    <mergeCell ref="AN1061:AN1062"/>
    <mergeCell ref="AF479:AR479"/>
    <mergeCell ref="AH996:AL996"/>
    <mergeCell ref="AN1158:AR1158"/>
    <mergeCell ref="AN654:AR656"/>
    <mergeCell ref="L838:M838"/>
    <mergeCell ref="U819:Y822"/>
    <mergeCell ref="Q517:S517"/>
    <mergeCell ref="AB366:AF366"/>
    <mergeCell ref="AP913:AR913"/>
    <mergeCell ref="I526:I527"/>
    <mergeCell ref="S246:S247"/>
    <mergeCell ref="M777:Y777"/>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V58:X58"/>
    <mergeCell ref="AD318:AF318"/>
    <mergeCell ref="U670:Y671"/>
    <mergeCell ref="P1097:S1097"/>
    <mergeCell ref="U665:U666"/>
    <mergeCell ref="V358:X358"/>
    <mergeCell ref="AP855:AQ855"/>
    <mergeCell ref="AI114:AK114"/>
    <mergeCell ref="AN39:AQ39"/>
    <mergeCell ref="AQ18:AR1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U22:Y24"/>
    <mergeCell ref="AO1114:AQ1114"/>
    <mergeCell ref="J1091:L1091"/>
    <mergeCell ref="U788:Y788"/>
    <mergeCell ref="V1179:X1179"/>
    <mergeCell ref="U296:V296"/>
    <mergeCell ref="AC105:AE105"/>
    <mergeCell ref="AI916:AK916"/>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I1033:M1034"/>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V565:X565"/>
    <mergeCell ref="O258:S260"/>
    <mergeCell ref="AO503:AR503"/>
    <mergeCell ref="V266:X266"/>
    <mergeCell ref="AK29:AK30"/>
    <mergeCell ref="AB1032:AF1032"/>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AC171:AE171"/>
    <mergeCell ref="AC302:AE302"/>
    <mergeCell ref="AH97:AI97"/>
    <mergeCell ref="P321:R321"/>
    <mergeCell ref="J128:L128"/>
    <mergeCell ref="AD263:AF263"/>
    <mergeCell ref="I308:M309"/>
    <mergeCell ref="AO864:AQ864"/>
    <mergeCell ref="AN866:AN867"/>
    <mergeCell ref="AQ17:AR17"/>
    <mergeCell ref="U91:Y91"/>
    <mergeCell ref="AN320:AR320"/>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U225:Y228"/>
    <mergeCell ref="U1081:Y1081"/>
    <mergeCell ref="AC701:AF701"/>
    <mergeCell ref="AO1164:AQ1164"/>
    <mergeCell ref="AH269:AH270"/>
    <mergeCell ref="AN462:AR462"/>
    <mergeCell ref="AI719:AK719"/>
    <mergeCell ref="J895:L895"/>
    <mergeCell ref="AN762:AR762"/>
    <mergeCell ref="O241:Q241"/>
    <mergeCell ref="AH600:AL600"/>
    <mergeCell ref="AH167:AI167"/>
    <mergeCell ref="R1008:R1009"/>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Q611:AR611"/>
    <mergeCell ref="AP364:AR364"/>
    <mergeCell ref="AB946:AF947"/>
    <mergeCell ref="AB694:AF694"/>
    <mergeCell ref="AN1026:AQ1026"/>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I1042:Y1043"/>
    <mergeCell ref="AB1188:AE1188"/>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AB1041:AR1041"/>
    <mergeCell ref="O1055:P1055"/>
    <mergeCell ref="P268:R268"/>
    <mergeCell ref="AD119:AE119"/>
    <mergeCell ref="AH110:AL111"/>
    <mergeCell ref="I1032:M1032"/>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B52:AR53"/>
    <mergeCell ref="AN1095:AN1096"/>
    <mergeCell ref="J1070:L1070"/>
    <mergeCell ref="AB144:AF144"/>
    <mergeCell ref="V1164:X1164"/>
    <mergeCell ref="U1008:U1009"/>
    <mergeCell ref="AC541:AE541"/>
    <mergeCell ref="AB607:AF608"/>
    <mergeCell ref="U1166:U1167"/>
    <mergeCell ref="AC84:AE84"/>
    <mergeCell ref="AH770:AH771"/>
    <mergeCell ref="AL1019:AL1020"/>
    <mergeCell ref="R238:S238"/>
    <mergeCell ref="I448:Y449"/>
    <mergeCell ref="AN562:AO562"/>
    <mergeCell ref="O713:P713"/>
    <mergeCell ref="Q607:Q608"/>
    <mergeCell ref="W516:Y516"/>
    <mergeCell ref="AP414:AP415"/>
    <mergeCell ref="AJ97:AK97"/>
    <mergeCell ref="AC743:AE743"/>
    <mergeCell ref="AC569:AE569"/>
    <mergeCell ref="AH364:AI364"/>
    <mergeCell ref="AP1003:AP1004"/>
    <mergeCell ref="AP262:AR262"/>
    <mergeCell ref="AH634:AJ634"/>
    <mergeCell ref="AH240:AJ240"/>
    <mergeCell ref="U859:U862"/>
    <mergeCell ref="M284:Y284"/>
    <mergeCell ref="AO18:AO19"/>
    <mergeCell ref="AH995:AI995"/>
    <mergeCell ref="I113:M113"/>
    <mergeCell ref="I141:J141"/>
    <mergeCell ref="F17:F18"/>
    <mergeCell ref="Q618:Q619"/>
    <mergeCell ref="J1140:L1140"/>
    <mergeCell ref="AB130:AB131"/>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s>
  <dataValidations count="69">
    <dataValidation sqref="D17" showDropDown="0" showInputMessage="0" showErrorMessage="0" allowBlank="1" type="list">
      <formula1>DADOS_INVOC!$CW$2:$CW$3</formula1>
    </dataValidation>
    <dataValidation sqref="I43 I241 I439 I637 I835 I1033 AB43 AB241 AB439 AB637 AB835 AB1033" showDropDown="0" showInputMessage="0" showErrorMessage="0" allowBlank="1" type="list">
      <formula1>DADOS_INVOC!$BN$2:$BN$6</formula1>
    </dataValidation>
    <dataValidation sqref="I47 I245 I443 I641 I839 I1037 AB47 AB245 AB443 AB641 AB839 AB1037" showDropDown="0" showInputMessage="0" showErrorMessage="0" allowBlank="1" type="list">
      <formula1>DADOS_INVOC!$BP$2:$BP$5</formula1>
    </dataValidation>
    <dataValidation sqref="L47 L245 L443 L641 L839 L1037 AE47 AE245 AE443 AE641 AE839 AE1037" showDropDown="0" showInputMessage="0" showErrorMessage="0" allowBlank="1" type="list">
      <formula1>DADOS_INVOC!$CF$2:$CF$3</formula1>
    </dataValidation>
    <dataValidation sqref="O20:S20 O218:S218 O416:S416 O614:S614 O812:S812 O1010:S1010 AH20:AL20 AH218:AL218 AH416:AL416 AH614:AL614 AH812:AL812 AH1010:AL1010" showDropDown="0" showInputMessage="0" showErrorMessage="0" allowBlank="1" type="list">
      <formula1>DADOS_INVOC!$CL$2:$CL$8</formula1>
    </dataValidation>
    <dataValidation sqref="S29 S227 S425 S623 S821 S1019 AL29 AL227 AL425 AL623 AL821 AL1019" showDropDown="0" showInputMessage="0" showErrorMessage="0" allowBlank="1" type="list">
      <formula1>DADOS_INVOC!$BW$2:$BW$5</formula1>
    </dataValidation>
    <dataValidation sqref="O34 O232 O430 O628 O826 O1024 AH34 AH232 AH430 AH628 AH826 AH1024" showDropDown="0" showInputMessage="0" showErrorMessage="0" allowBlank="1" type="list">
      <formula1>DADOS_INVOC!$BU$2:$BU$6</formula1>
    </dataValidation>
    <dataValidation sqref="R34 R232 R430 R628 R826 R1024 AK34 AK232 AK430 AK628 AK826 AK1024" showDropDown="0" showInputMessage="0" showErrorMessage="0" allowBlank="1" type="list">
      <formula1>DADOS_INVOC!$BY$2:$BY$3</formula1>
    </dataValidation>
    <dataValidation sqref="O38:O44 O236:O242 O434:O440 O632:O638 O830:O836 O1028:O1034 AH38:AH44 AH236:AH242 AH434:AH440 AH632:AH638 AH830:AH836 AH1028:AH1034" showDropDown="0" showInputMessage="0" showErrorMessage="0" allowBlank="1" type="list">
      <formula1>DADOS_INVOC!$CC$2:$CC$24</formula1>
    </dataValidation>
    <dataValidation sqref="O48:S48 O246:S246 O444:S444 O642:S642 O840:S840 O1038:S1038 AH48:AL48 AH246:AL246 AH444:AL444 AH642:AL642 AH840:AL840 AH1038:AL1038" showDropDown="0" showInputMessage="0" showErrorMessage="0" allowBlank="1" type="list">
      <formula1>DADOS_INVOC!$BS$2:$BS$10</formula1>
    </dataValidation>
    <dataValidation sqref="U18 U216 U414 U612 U810 U1008 AN18 AN216 AN414 AN612 AN810 AN1008" showDropDown="0" showInputMessage="0" showErrorMessage="0" allowBlank="1" type="list">
      <formula1>DADOS_INVOC!$CA$2:$CA$3</formula1>
    </dataValidation>
    <dataValidation sqref="I63 I97" showDropDown="0" showInputMessage="0" showErrorMessage="0" allowBlank="1" type="list">
      <formula1>DADOS_INVOC!$JV$2:$JV$11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formula1>DADOS_INVOC!$CH$2:$CH$16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formula1>DADOS_INVOC!$CJ$2:$CJ$6</formula1>
    </dataValidation>
    <dataValidation sqref="J67:J70 J101:J104" showDropDown="0" showInputMessage="0" showErrorMessage="0" allowBlank="1" type="list">
      <formula1>DADOS_INVOC!$JS$2:$JS$84</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formula1>DADOS_INVOC!$BG$2:$BG$24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formula1>DADOS_INVOC!$H$2:$H$8</formula1>
    </dataValidation>
    <dataValidation sqref="I119 I141 I165 O63 O97 O119 O165 U63 U97 U119 U165" showDropDown="0" showInputMessage="0" showErrorMessage="0" allowBlank="1" type="list">
      <formula1>DADOS_INVOC!$JU$2:$JU$11</formula1>
    </dataValidation>
    <dataValidation sqref="J123:J126 J145:J148 J169:J172 P67:P70 P101:P104 P123:P126 P169:P172 V67:V70 V101:V104 V123:V126 V169:V172" showDropDown="0" showInputMessage="0" showErrorMessage="0" allowBlank="1" type="list">
      <formula1>DADOS_INVOC!$JR$2:$JR$84</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formula1>DADOS_INVOC!$BC$2:$BC$24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formula1>DADOS_INVOC!$R$2:$R$9</formula1>
    </dataValidation>
    <dataValidation sqref="J80:J87 J278:J285 J476:J483 J674:J681 J872:J879 J1070:J1077 AC80:AC87 AC278:AC285 AC476:AC483 AC674:AC681 AC872:AC879 AC1070:AC1077" showDropDown="0" showInputMessage="0" showErrorMessage="0" allowBlank="1" type="list">
      <formula1>DADOS_INVOC!$BI$2:$BI$15</formula1>
    </dataValidation>
    <dataValidation sqref="J182:J184 J380:J382 J578:J580 J776:J778 J974:J976 J1172:J1174 AC182:AC184 AC380:AC382 AC578:AC580 AC776:AC778 AC974:AC976 AC1172:AC1174" showDropDown="0" showInputMessage="0" showErrorMessage="0" allowBlank="1" type="list">
      <formula1>DADOS_INVOC!$BL$2:$BL$15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formula1>DADOS_INVOC!$T$2:$T$6</formula1>
    </dataValidation>
    <dataValidation sqref="O203 O401 O599 O797 O995 O1193 AH203 AH401 AH599 AH797 AH995 AH1193" showDropDown="0" showInputMessage="0" showErrorMessage="0" allowBlank="1" type="list">
      <formula1>DADOS_INVOC!$CS$2:$CS$4</formula1>
    </dataValidation>
    <dataValidation sqref="I261 I295" showDropDown="0" showInputMessage="0" showErrorMessage="0" allowBlank="1" type="list">
      <formula1>DADOS_INVOC!$KB$2:$KB$11</formula1>
    </dataValidation>
    <dataValidation sqref="J265:J268 J299:J302" showDropDown="0" showInputMessage="0" showErrorMessage="0" allowBlank="1" type="list">
      <formula1>DADOS_INVOC!$JY$2:$JY$84</formula1>
    </dataValidation>
    <dataValidation sqref="I317 I339 I363 O261 O295 O317 O363 U261 U295 U317 U363" showDropDown="0" showInputMessage="0" showErrorMessage="0" allowBlank="1" type="list">
      <formula1>DADOS_INVOC!$KA$2:$KA$11</formula1>
    </dataValidation>
    <dataValidation sqref="J321:J324 J343:J346 J367:J370 P265:P268 P299:P302 P321:P324 P367:P370 V265:V268 V299:V302 V321:V324 V367:V370" showDropDown="0" showInputMessage="0" showErrorMessage="0" allowBlank="1" type="list">
      <formula1>DADOS_INVOC!$JX$2:$JX$84</formula1>
    </dataValidation>
    <dataValidation sqref="I459 I493" showDropDown="0" showInputMessage="0" showErrorMessage="0" allowBlank="1" type="list">
      <formula1>DADOS_INVOC!$KH$2:$KH$11</formula1>
    </dataValidation>
    <dataValidation sqref="J463:J466 J497:J500" showDropDown="0" showInputMessage="0" showErrorMessage="0" allowBlank="1" type="list">
      <formula1>DADOS_INVOC!$KE$2:$KE$84</formula1>
    </dataValidation>
    <dataValidation sqref="I515 I537 I561 O459 O493 O515 O561 U459 U493 U515 U561" showDropDown="0" showInputMessage="0" showErrorMessage="0" allowBlank="1" type="list">
      <formula1>DADOS_INVOC!$KG$2:$KG$11</formula1>
    </dataValidation>
    <dataValidation sqref="J519:J522 J541:J544 J565:J568 P463:P466 P497:P500 P519:P522 P565:P568 V463:V466 V497:V500 V519:V522 V565:V568" showDropDown="0" showInputMessage="0" showErrorMessage="0" allowBlank="1" type="list">
      <formula1>DADOS_INVOC!$KD$2:$KD$84</formula1>
    </dataValidation>
    <dataValidation sqref="I657 I691" showDropDown="0" showInputMessage="0" showErrorMessage="0" allowBlank="1" type="list">
      <formula1>DADOS_INVOC!$KN$2:$KN$11</formula1>
    </dataValidation>
    <dataValidation sqref="J661:J664 J695:J698" showDropDown="0" showInputMessage="0" showErrorMessage="0" allowBlank="1" type="list">
      <formula1>DADOS_INVOC!$KK$2:$KK$84</formula1>
    </dataValidation>
    <dataValidation sqref="I713 I735 I759 O657 O691 O713 O759 U657 U691 U713 U759" showDropDown="0" showInputMessage="0" showErrorMessage="0" allowBlank="1" type="list">
      <formula1>DADOS_INVOC!$KM$2:$KM$11</formula1>
    </dataValidation>
    <dataValidation sqref="J717:J720 J739:J742 J763:J766 P661:P664 P695:P698 P717:P720 P763:P766 V661:V664 V695:V698 V717:V720 V763:V766" showDropDown="0" showInputMessage="0" showErrorMessage="0" allowBlank="1" type="list">
      <formula1>DADOS_INVOC!$KJ$2:$KJ$84</formula1>
    </dataValidation>
    <dataValidation sqref="I855 I889" showDropDown="0" showInputMessage="0" showErrorMessage="0" allowBlank="1" type="list">
      <formula1>DADOS_INVOC!$KT$2:$KT$11</formula1>
    </dataValidation>
    <dataValidation sqref="J859:J862 J893:J896" showDropDown="0" showInputMessage="0" showErrorMessage="0" allowBlank="1" type="list">
      <formula1>DADOS_INVOC!$KQ$2:$KQ$84</formula1>
    </dataValidation>
    <dataValidation sqref="I911 I933 I957 O855 O889 O911 O957 U855 U889 U911 U957" showDropDown="0" showInputMessage="0" showErrorMessage="0" allowBlank="1" type="list">
      <formula1>DADOS_INVOC!$KS$2:$KS$11</formula1>
    </dataValidation>
    <dataValidation sqref="J915:J918 J937:J940 J961:J964 P859:P862 P893:P896 P915:P918 P961:P964 V859:V862 V893:V896 V915:V918 V961:V964" showDropDown="0" showInputMessage="0" showErrorMessage="0" allowBlank="1" type="list">
      <formula1>DADOS_INVOC!$KP$2:$KP$84</formula1>
    </dataValidation>
    <dataValidation sqref="I1053 I1087" showDropDown="0" showInputMessage="0" showErrorMessage="0" allowBlank="1" type="list">
      <formula1>DADOS_INVOC!$KZ$2:$KZ$11</formula1>
    </dataValidation>
    <dataValidation sqref="J1057:J1060 J1091:J1094" showDropDown="0" showInputMessage="0" showErrorMessage="0" allowBlank="1" type="list">
      <formula1>DADOS_INVOC!$KW$2:$KW$84</formula1>
    </dataValidation>
    <dataValidation sqref="I1109 I1131 I1155 O1053 O1087 O1109 O1155 U1053 U1087 U1109 U1155" showDropDown="0" showInputMessage="0" showErrorMessage="0" allowBlank="1" type="list">
      <formula1>DADOS_INVOC!$KY$2:$KY$11</formula1>
    </dataValidation>
    <dataValidation sqref="J1113:J1116 J1135:J1138 J1159:J1162 P1057:P1060 P1091:P1094 P1113:P1116 P1159:P1162 V1057:V1060 V1091:V1094 V1113:V1116 V1159:V1162" showDropDown="0" showInputMessage="0" showErrorMessage="0" allowBlank="1" type="list">
      <formula1>DADOS_INVOC!$KV$2:$KV$84</formula1>
    </dataValidation>
    <dataValidation sqref="AB63 AB97" showDropDown="0" showInputMessage="0" showErrorMessage="0" allowBlank="1" type="list">
      <formula1>DADOS_INVOC!$LF$2:$LF$11</formula1>
    </dataValidation>
    <dataValidation sqref="AC67:AC70 AC101:AC104" showDropDown="0" showInputMessage="0" showErrorMessage="0" allowBlank="1" type="list">
      <formula1>DADOS_INVOC!$LC$2:$LC$84</formula1>
    </dataValidation>
    <dataValidation sqref="AB119 AB141 AB165 AH63 AH97 AH119 AH165 AN63 AN97 AN119 AN165" showDropDown="0" showInputMessage="0" showErrorMessage="0" allowBlank="1" type="list">
      <formula1>DADOS_INVOC!$LE$2:$LE$11</formula1>
    </dataValidation>
    <dataValidation sqref="AC123:AC126 AC145:AC148 AC169:AC172 AI67:AI70 AI101:AI104 AI123:AI126 AI169:AI172 AO67:AO70 AO101:AO104 AO123:AO126 AO169:AO172" showDropDown="0" showInputMessage="0" showErrorMessage="0" allowBlank="1" type="list">
      <formula1>DADOS_INVOC!$LB$2:$LB$84</formula1>
    </dataValidation>
    <dataValidation sqref="AB261 AB295" showDropDown="0" showInputMessage="0" showErrorMessage="0" allowBlank="1" type="list">
      <formula1>DADOS_INVOC!$LL$2:$LL$11</formula1>
    </dataValidation>
    <dataValidation sqref="AC265:AC268 AC299:AC302" showDropDown="0" showInputMessage="0" showErrorMessage="0" allowBlank="1" type="list">
      <formula1>DADOS_INVOC!$LI$2:$LI$84</formula1>
    </dataValidation>
    <dataValidation sqref="AB317 AB339 AB363 AH261 AH295 AH317 AH363 AN261 AN295 AN317 AN363" showDropDown="0" showInputMessage="0" showErrorMessage="0" allowBlank="1" type="list">
      <formula1>DADOS_INVOC!$LK$2:$LK$11</formula1>
    </dataValidation>
    <dataValidation sqref="AC321:AC324 AC343:AC346 AC367:AC370 AI265:AI268 AI299:AI302 AI321:AI324 AI367:AI370 AO265:AO268 AO299:AO302 AO321:AO324 AO367:AO370" showDropDown="0" showInputMessage="0" showErrorMessage="0" allowBlank="1" type="list">
      <formula1>DADOS_INVOC!$LH$2:$LH$84</formula1>
    </dataValidation>
    <dataValidation sqref="AB459 AB493" showDropDown="0" showInputMessage="0" showErrorMessage="0" allowBlank="1" type="list">
      <formula1>DADOS_INVOC!$LR$2:$LR$11</formula1>
    </dataValidation>
    <dataValidation sqref="AC463:AC466 AC497:AC500" showDropDown="0" showInputMessage="0" showErrorMessage="0" allowBlank="1" type="list">
      <formula1>DADOS_INVOC!$LO$2:$LO$84</formula1>
    </dataValidation>
    <dataValidation sqref="AB515 AB537 AB561 AH459 AH493 AH515 AH561 AN459 AN493 AN515 AN561" showDropDown="0" showInputMessage="0" showErrorMessage="0" allowBlank="1" type="list">
      <formula1>DADOS_INVOC!$LQ$2:$LQ$11</formula1>
    </dataValidation>
    <dataValidation sqref="AC519:AC522 AC541:AC544 AC565:AC568 AI463:AI466 AI497:AI500 AI519:AI522 AI565:AI568 AO463:AO466 AO497:AO500 AO519:AO522 AO565:AO568" showDropDown="0" showInputMessage="0" showErrorMessage="0" allowBlank="1" type="list">
      <formula1>DADOS_INVOC!$LN$2:$LN$84</formula1>
    </dataValidation>
    <dataValidation sqref="AB657 AB691" showDropDown="0" showInputMessage="0" showErrorMessage="0" allowBlank="1" type="list">
      <formula1>DADOS_INVOC!$LX$2:$LX$11</formula1>
    </dataValidation>
    <dataValidation sqref="AC661:AC664 AC695:AC698" showDropDown="0" showInputMessage="0" showErrorMessage="0" allowBlank="1" type="list">
      <formula1>DADOS_INVOC!$LU$2:$LU$84</formula1>
    </dataValidation>
    <dataValidation sqref="AB713 AB735 AB759 AH657 AH691 AH713 AH759 AN657 AN691 AN713 AN759" showDropDown="0" showInputMessage="0" showErrorMessage="0" allowBlank="1" type="list">
      <formula1>DADOS_INVOC!$LW$2:$LW$11</formula1>
    </dataValidation>
    <dataValidation sqref="AC717:AC720 AC739:AC742 AC763:AC766 AI661:AI664 AI695:AI698 AI717:AI720 AI763:AI766 AO661:AO664 AO695:AO698 AO717:AO720 AO763:AO766" showDropDown="0" showInputMessage="0" showErrorMessage="0" allowBlank="1" type="list">
      <formula1>DADOS_INVOC!$LT$2:$LT$84</formula1>
    </dataValidation>
    <dataValidation sqref="AB855 AB889" showDropDown="0" showInputMessage="0" showErrorMessage="0" allowBlank="1" type="list">
      <formula1>DADOS_INVOC!$MD$2:$MD$11</formula1>
    </dataValidation>
    <dataValidation sqref="AC859:AC862 AC893:AC896" showDropDown="0" showInputMessage="0" showErrorMessage="0" allowBlank="1" type="list">
      <formula1>DADOS_INVOC!$MA$2:$MA$84</formula1>
    </dataValidation>
    <dataValidation sqref="AB911 AB933 AB957 AH855 AH889 AH911 AH957 AN855 AN889 AN911 AN957" showDropDown="0" showInputMessage="0" showErrorMessage="0" allowBlank="1" type="list">
      <formula1>DADOS_INVOC!$MC$2:$MC$11</formula1>
    </dataValidation>
    <dataValidation sqref="AC915:AC918 AC937:AC940 AC961:AC964 AI859:AI862 AI893:AI896 AI915:AI918 AI961:AI964 AO859:AO862 AO893:AO896 AO915:AO918 AO961:AO964" showDropDown="0" showInputMessage="0" showErrorMessage="0" allowBlank="1" type="list">
      <formula1>DADOS_INVOC!$LZ$2:$LZ$84</formula1>
    </dataValidation>
    <dataValidation sqref="AB1053 AB1087" showDropDown="0" showInputMessage="0" showErrorMessage="0" allowBlank="1" type="list">
      <formula1>DADOS_INVOC!$MJ$2:$MJ$11</formula1>
    </dataValidation>
    <dataValidation sqref="AC1057:AC1060 AC1091:AC1094" showDropDown="0" showInputMessage="0" showErrorMessage="0" allowBlank="1" type="list">
      <formula1>DADOS_INVOC!$MG$2:$MG$84</formula1>
    </dataValidation>
    <dataValidation sqref="AB1109 AB1131 AB1155 AH1053 AH1087 AH1109 AH1155 AN1053 AN1087 AN1109 AN1155" showDropDown="0" showInputMessage="0" showErrorMessage="0" allowBlank="1" type="list">
      <formula1>DADOS_INVOC!$MI$2:$MI$11</formula1>
    </dataValidation>
    <dataValidation sqref="AC1113:AC1116 AC1135:AC1138 AC1159:AC1162 AI1057:AI1060 AI1091:AI1094 AI1113:AI1116 AI1159:AI1162 AO1057:AO1060 AO1091:AO1094 AO1113:AO1116 AO1159:AO1162" showDropDown="0" showInputMessage="0" showErrorMessage="0" allowBlank="1" type="list">
      <formula1>DADOS_INVOC!$MF$2:$MF$84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95"/>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23" t="n"/>
      <c r="AW6" s="123" t="n"/>
      <c r="AX6" s="123" t="n"/>
      <c r="AY6" s="123" t="n"/>
      <c r="AZ6" s="123" t="n"/>
      <c r="BA6" s="123" t="n"/>
      <c r="BB6" s="123" t="n"/>
      <c r="BC6" s="123" t="n"/>
      <c r="BD6" s="123" t="n"/>
      <c r="BE6" s="123" t="n"/>
      <c r="BF6" s="123" t="n"/>
      <c r="BG6" s="123" t="n"/>
      <c r="BH6" s="123" t="n"/>
      <c r="BI6" s="123" t="n"/>
      <c r="BJ6" s="123" t="n"/>
      <c r="BK6" s="123" t="n"/>
      <c r="BL6" s="123" t="n"/>
      <c r="BM6" s="123" t="n"/>
      <c r="BN6" s="123" t="n"/>
      <c r="BO6" s="123" t="n"/>
      <c r="BP6" s="123" t="n"/>
      <c r="BQ6" s="123" t="n"/>
      <c r="BR6" s="123" t="n"/>
      <c r="BS6" s="123" t="n"/>
      <c r="BT6" s="123"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23" t="n"/>
      <c r="AV7" s="123" t="n"/>
      <c r="AW7" s="123" t="n"/>
      <c r="AX7" s="123" t="n"/>
      <c r="AY7" s="123" t="n"/>
      <c r="AZ7" s="123" t="n"/>
      <c r="BA7" s="123" t="n"/>
      <c r="BB7" s="123" t="n"/>
      <c r="BC7" s="123" t="n"/>
      <c r="BD7" s="123" t="n"/>
      <c r="BE7" s="123" t="n"/>
      <c r="BF7" s="123" t="n"/>
      <c r="BG7" s="123" t="n"/>
      <c r="BH7" s="123" t="n"/>
      <c r="BI7" s="123" t="n"/>
      <c r="BJ7" s="123" t="n"/>
      <c r="BK7" s="123" t="n"/>
      <c r="BL7" s="123" t="n"/>
      <c r="BM7" s="123" t="n"/>
      <c r="BN7" s="123" t="n"/>
      <c r="BO7" s="123" t="n"/>
      <c r="BP7" s="123" t="n"/>
      <c r="BQ7" s="123" t="n"/>
      <c r="BR7" s="123" t="n"/>
      <c r="BS7" s="123" t="n"/>
      <c r="BT7" s="123" t="n"/>
    </row>
    <row r="8">
      <c r="A8" s="48" t="inlineStr">
        <is>
          <t>CICLO MALDITO</t>
        </is>
      </c>
      <c r="B8" s="22" t="n"/>
      <c r="C8" s="123" t="n"/>
      <c r="D8" s="126"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23" t="n"/>
      <c r="AV8" s="123" t="n"/>
      <c r="AW8" s="126" t="inlineStr">
        <is>
          <t>MISSÕES E XP</t>
        </is>
      </c>
      <c r="AX8" s="19" t="n"/>
      <c r="AY8" s="19" t="n"/>
      <c r="AZ8" s="19" t="n"/>
      <c r="BA8" s="19" t="n"/>
      <c r="BB8" s="19" t="n"/>
      <c r="BC8" s="19" t="n"/>
      <c r="BD8" s="19" t="n"/>
      <c r="BE8" s="19" t="n"/>
      <c r="BF8" s="19" t="n"/>
      <c r="BG8" s="20" t="n"/>
      <c r="BH8" s="123" t="n"/>
      <c r="BI8" s="126" t="inlineStr">
        <is>
          <t>MAIS MISSÕES</t>
        </is>
      </c>
      <c r="BJ8" s="19" t="n"/>
      <c r="BK8" s="19" t="n"/>
      <c r="BL8" s="19" t="n"/>
      <c r="BM8" s="19" t="n"/>
      <c r="BN8" s="19" t="n"/>
      <c r="BO8" s="19" t="n"/>
      <c r="BP8" s="19" t="n"/>
      <c r="BQ8" s="19" t="n"/>
      <c r="BR8" s="19" t="n"/>
      <c r="BS8" s="20" t="n"/>
      <c r="BT8" s="123" t="n"/>
    </row>
    <row r="9">
      <c r="B9" s="22" t="n"/>
      <c r="C9" s="123"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23" t="n"/>
      <c r="AV9" s="123" t="n"/>
      <c r="AW9" s="23" t="n"/>
      <c r="AX9" s="24" t="n"/>
      <c r="AY9" s="24" t="n"/>
      <c r="AZ9" s="24" t="n"/>
      <c r="BA9" s="24" t="n"/>
      <c r="BB9" s="24" t="n"/>
      <c r="BC9" s="24" t="n"/>
      <c r="BD9" s="24" t="n"/>
      <c r="BE9" s="24" t="n"/>
      <c r="BF9" s="24" t="n"/>
      <c r="BG9" s="25" t="n"/>
      <c r="BH9" s="123" t="n"/>
      <c r="BI9" s="23" t="n"/>
      <c r="BJ9" s="24" t="n"/>
      <c r="BK9" s="24" t="n"/>
      <c r="BL9" s="24" t="n"/>
      <c r="BM9" s="24" t="n"/>
      <c r="BN9" s="24" t="n"/>
      <c r="BO9" s="24" t="n"/>
      <c r="BP9" s="24" t="n"/>
      <c r="BQ9" s="24" t="n"/>
      <c r="BR9" s="24" t="n"/>
      <c r="BS9" s="25" t="n"/>
      <c r="BT9" s="123" t="n"/>
    </row>
    <row r="10">
      <c r="B10" s="22" t="n"/>
      <c r="C10" s="123" t="n"/>
      <c r="D10" s="148">
        <f>CARTEIRA!$C$8</f>
        <v/>
      </c>
      <c r="E10" s="19" t="n"/>
      <c r="F10" s="19" t="n"/>
      <c r="G10" s="19" t="n"/>
      <c r="H10" s="19" t="n"/>
      <c r="I10" s="19" t="n"/>
      <c r="J10" s="19" t="n"/>
      <c r="K10" s="19" t="n"/>
      <c r="L10" s="19" t="n"/>
      <c r="M10" s="19" t="n"/>
      <c r="N10" s="19" t="n"/>
      <c r="O10" s="20" t="n"/>
      <c r="P10" s="123" t="n"/>
      <c r="Q10" s="55" t="inlineStr">
        <is>
          <t>NOME</t>
        </is>
      </c>
      <c r="R10" s="16" t="n"/>
      <c r="S10" s="16" t="n"/>
      <c r="T10" s="16" t="n"/>
      <c r="U10" s="16" t="n"/>
      <c r="V10" s="16" t="n"/>
      <c r="W10" s="16" t="n"/>
      <c r="X10" s="16" t="n"/>
      <c r="Y10" s="16" t="n"/>
      <c r="Z10" s="17" t="n"/>
      <c r="AA10" s="123" t="n"/>
      <c r="AB10" s="55" t="inlineStr">
        <is>
          <t>GRAU</t>
        </is>
      </c>
      <c r="AC10" s="16" t="n"/>
      <c r="AD10" s="16" t="n"/>
      <c r="AE10" s="16" t="n"/>
      <c r="AF10" s="16" t="n"/>
      <c r="AG10" s="17" t="n"/>
      <c r="AH10" s="123" t="n"/>
      <c r="AI10" s="55" t="inlineStr">
        <is>
          <t>IDADE</t>
        </is>
      </c>
      <c r="AJ10" s="16" t="n"/>
      <c r="AK10" s="16" t="n"/>
      <c r="AL10" s="16" t="n"/>
      <c r="AM10" s="17" t="n"/>
      <c r="AN10" s="123" t="n"/>
      <c r="AO10" s="55" t="inlineStr">
        <is>
          <t>ALTURA</t>
        </is>
      </c>
      <c r="AP10" s="16" t="n"/>
      <c r="AQ10" s="16" t="n"/>
      <c r="AR10" s="16" t="n"/>
      <c r="AS10" s="16" t="n"/>
      <c r="AT10" s="17" t="n"/>
      <c r="AU10" s="123" t="n"/>
      <c r="AV10" s="123" t="n"/>
      <c r="AW10" s="55" t="inlineStr">
        <is>
          <t>XP TOTAL</t>
        </is>
      </c>
      <c r="AX10" s="16" t="n"/>
      <c r="AY10" s="16" t="n"/>
      <c r="AZ10" s="16" t="n"/>
      <c r="BA10" s="17" t="n"/>
      <c r="BB10" s="123" t="n"/>
      <c r="BC10" s="55">
        <f>IF(DADOS!$CZ$48&gt;=30,"NÍVEL MÁXIMO","FALTA PARA O NÍVEL "&amp;(DADOS!$CZ$48+1))</f>
        <v/>
      </c>
      <c r="BD10" s="16" t="n"/>
      <c r="BE10" s="16" t="n"/>
      <c r="BF10" s="16" t="n"/>
      <c r="BG10" s="17" t="n"/>
      <c r="BH10" s="123" t="n"/>
      <c r="BI10" s="123" t="n"/>
      <c r="BJ10" s="123" t="n"/>
      <c r="BK10" s="123" t="n"/>
      <c r="BL10" s="123" t="n"/>
      <c r="BM10" s="123" t="n"/>
      <c r="BN10" s="123" t="n"/>
      <c r="BO10" s="123" t="n"/>
      <c r="BP10" s="123" t="n"/>
      <c r="BQ10" s="123" t="n"/>
      <c r="BR10" s="123" t="n"/>
      <c r="BS10" s="123" t="n"/>
      <c r="BT10" s="123" t="n"/>
    </row>
    <row r="11">
      <c r="B11" s="22" t="n"/>
      <c r="C11" s="123" t="n"/>
      <c r="D11" s="21" t="n"/>
      <c r="O11" s="22" t="n"/>
      <c r="P11" s="123" t="n"/>
      <c r="Q11" s="85">
        <f>FICHA!AB2</f>
        <v/>
      </c>
      <c r="R11" s="19" t="n"/>
      <c r="S11" s="19" t="n"/>
      <c r="T11" s="19" t="n"/>
      <c r="U11" s="19" t="n"/>
      <c r="V11" s="19" t="n"/>
      <c r="W11" s="19" t="n"/>
      <c r="X11" s="19" t="n"/>
      <c r="Y11" s="19" t="n"/>
      <c r="Z11" s="20" t="n"/>
      <c r="AA11" s="123" t="n"/>
      <c r="AB11" s="85" t="inlineStr">
        <is>
          <t>Grau 4</t>
        </is>
      </c>
      <c r="AC11" s="19" t="n"/>
      <c r="AD11" s="19" t="n"/>
      <c r="AE11" s="19" t="n"/>
      <c r="AF11" s="19" t="n"/>
      <c r="AG11" s="20" t="n"/>
      <c r="AH11" s="123" t="n"/>
      <c r="AI11" s="85" t="n"/>
      <c r="AJ11" s="19" t="n"/>
      <c r="AK11" s="19" t="n"/>
      <c r="AL11" s="19" t="n"/>
      <c r="AM11" s="20" t="n"/>
      <c r="AN11" s="123" t="n"/>
      <c r="AO11" s="85" t="n"/>
      <c r="AP11" s="19" t="n"/>
      <c r="AQ11" s="19" t="n"/>
      <c r="AR11" s="19" t="n"/>
      <c r="AS11" s="19" t="n"/>
      <c r="AT11" s="20" t="n"/>
      <c r="AU11" s="123" t="n"/>
      <c r="AV11" s="123" t="n"/>
      <c r="AW11" s="96">
        <f>DADOS!$CZ$47</f>
        <v/>
      </c>
      <c r="AX11" s="19" t="n"/>
      <c r="AY11" s="19" t="n"/>
      <c r="AZ11" s="19" t="n"/>
      <c r="BA11" s="20" t="n"/>
      <c r="BB11" s="123" t="n"/>
      <c r="BC11" s="96">
        <f>IF(DADOS!$CZ$49&amp;""="","—",MAX(0,DADOS!$CZ$49-DADOS!$CZ$47))</f>
        <v/>
      </c>
      <c r="BD11" s="20" t="n"/>
      <c r="BE11" s="133">
        <f>IFERROR(SPARKLINE(MAX(0,DADOS!$CZ$47-DADOS!$CZ$50),{"charttype","bar";"max",MAX(1,N(DADOS!$CZ$49)-DADOS!$CZ$50);"color1",DADOS!$CZ$51}),"")</f>
        <v/>
      </c>
      <c r="BF11" s="19" t="n"/>
      <c r="BG11" s="20" t="n"/>
      <c r="BH11" s="123" t="n"/>
      <c r="BI11" s="123" t="n"/>
      <c r="BJ11" s="123" t="n"/>
      <c r="BK11" s="123" t="n"/>
      <c r="BL11" s="123" t="n"/>
      <c r="BM11" s="123" t="n"/>
      <c r="BN11" s="123" t="n"/>
      <c r="BO11" s="123" t="n"/>
      <c r="BP11" s="123" t="n"/>
      <c r="BQ11" s="123" t="n"/>
      <c r="BR11" s="123" t="n"/>
      <c r="BS11" s="123" t="n"/>
      <c r="BT11" s="123" t="n"/>
    </row>
    <row r="12">
      <c r="B12" s="22" t="n"/>
      <c r="C12" s="123" t="n"/>
      <c r="D12" s="21" t="n"/>
      <c r="O12" s="22" t="n"/>
      <c r="P12" s="123" t="n"/>
      <c r="Q12" s="23" t="n"/>
      <c r="R12" s="24" t="n"/>
      <c r="S12" s="24" t="n"/>
      <c r="T12" s="24" t="n"/>
      <c r="U12" s="24" t="n"/>
      <c r="V12" s="24" t="n"/>
      <c r="W12" s="24" t="n"/>
      <c r="X12" s="24" t="n"/>
      <c r="Y12" s="24" t="n"/>
      <c r="Z12" s="25" t="n"/>
      <c r="AA12" s="123" t="n"/>
      <c r="AB12" s="23" t="n"/>
      <c r="AC12" s="24" t="n"/>
      <c r="AD12" s="24" t="n"/>
      <c r="AE12" s="24" t="n"/>
      <c r="AF12" s="24" t="n"/>
      <c r="AG12" s="25" t="n"/>
      <c r="AH12" s="123" t="n"/>
      <c r="AI12" s="23" t="n"/>
      <c r="AJ12" s="24" t="n"/>
      <c r="AK12" s="24" t="n"/>
      <c r="AL12" s="24" t="n"/>
      <c r="AM12" s="25" t="n"/>
      <c r="AN12" s="123" t="n"/>
      <c r="AO12" s="23" t="n"/>
      <c r="AP12" s="24" t="n"/>
      <c r="AQ12" s="24" t="n"/>
      <c r="AR12" s="24" t="n"/>
      <c r="AS12" s="24" t="n"/>
      <c r="AT12" s="25" t="n"/>
      <c r="AU12" s="123" t="n"/>
      <c r="AV12" s="123" t="n"/>
      <c r="AW12" s="23" t="n"/>
      <c r="AX12" s="24" t="n"/>
      <c r="AY12" s="24" t="n"/>
      <c r="AZ12" s="24" t="n"/>
      <c r="BA12" s="25" t="n"/>
      <c r="BB12" s="123" t="n"/>
      <c r="BC12" s="23" t="n"/>
      <c r="BD12" s="25" t="n"/>
      <c r="BE12" s="23" t="n"/>
      <c r="BF12" s="24" t="n"/>
      <c r="BG12" s="25" t="n"/>
      <c r="BH12" s="123" t="n"/>
      <c r="BI12" s="123" t="n"/>
      <c r="BJ12" s="123" t="n"/>
      <c r="BK12" s="123" t="n"/>
      <c r="BL12" s="123" t="n"/>
      <c r="BM12" s="123" t="n"/>
      <c r="BN12" s="123" t="n"/>
      <c r="BO12" s="123" t="n"/>
      <c r="BP12" s="123" t="n"/>
      <c r="BQ12" s="123" t="n"/>
      <c r="BR12" s="123" t="n"/>
      <c r="BS12" s="123" t="n"/>
      <c r="BT12" s="123" t="n"/>
    </row>
    <row r="13">
      <c r="B13" s="22" t="n"/>
      <c r="C13" s="123" t="n"/>
      <c r="D13" s="21" t="n"/>
      <c r="O13" s="22" t="n"/>
      <c r="P13" s="123" t="n"/>
      <c r="Q13" s="123" t="n"/>
      <c r="R13" s="123" t="n"/>
      <c r="S13" s="123" t="n"/>
      <c r="T13" s="123" t="n"/>
      <c r="U13" s="123" t="n"/>
      <c r="V13" s="123" t="n"/>
      <c r="W13" s="123" t="n"/>
      <c r="X13" s="123" t="n"/>
      <c r="Y13" s="123" t="n"/>
      <c r="Z13" s="123" t="n"/>
      <c r="AA13" s="123" t="n"/>
      <c r="AB13" s="123" t="n"/>
      <c r="AC13" s="123" t="n"/>
      <c r="AD13" s="123" t="n"/>
      <c r="AE13" s="123" t="n"/>
      <c r="AF13" s="123" t="n"/>
      <c r="AG13" s="123" t="n"/>
      <c r="AH13" s="123" t="n"/>
      <c r="AI13" s="123" t="n"/>
      <c r="AJ13" s="123" t="n"/>
      <c r="AK13" s="123" t="n"/>
      <c r="AL13" s="123" t="n"/>
      <c r="AM13" s="123" t="n"/>
      <c r="AN13" s="123" t="n"/>
      <c r="AO13" s="123" t="n"/>
      <c r="AP13" s="123" t="n"/>
      <c r="AQ13" s="123" t="n"/>
      <c r="AR13" s="123" t="n"/>
      <c r="AS13" s="123" t="n"/>
      <c r="AT13" s="123" t="n"/>
      <c r="AU13" s="123" t="n"/>
      <c r="AV13" s="123" t="n"/>
      <c r="AW13" s="123" t="n"/>
      <c r="AX13" s="123" t="n"/>
      <c r="AY13" s="123" t="n"/>
      <c r="AZ13" s="123" t="n"/>
      <c r="BA13" s="123" t="n"/>
      <c r="BB13" s="123" t="n"/>
      <c r="BC13" s="123" t="n"/>
      <c r="BD13" s="123" t="n"/>
      <c r="BE13" s="123" t="n"/>
      <c r="BF13" s="123" t="n"/>
      <c r="BG13" s="123" t="n"/>
      <c r="BH13" s="123" t="n"/>
      <c r="BI13" s="123" t="n"/>
      <c r="BJ13" s="123" t="n"/>
      <c r="BK13" s="123" t="n"/>
      <c r="BL13" s="123" t="n"/>
      <c r="BM13" s="123" t="n"/>
      <c r="BN13" s="123" t="n"/>
      <c r="BO13" s="123" t="n"/>
      <c r="BP13" s="123" t="n"/>
      <c r="BQ13" s="123" t="n"/>
      <c r="BR13" s="123" t="n"/>
      <c r="BS13" s="123" t="n"/>
      <c r="BT13" s="123" t="n"/>
    </row>
    <row r="14">
      <c r="B14" s="22" t="n"/>
      <c r="C14" s="123" t="n"/>
      <c r="D14" s="21" t="n"/>
      <c r="O14" s="22" t="n"/>
      <c r="P14" s="123" t="n"/>
      <c r="Q14" s="55" t="inlineStr">
        <is>
          <t>OLHOS</t>
        </is>
      </c>
      <c r="R14" s="16" t="n"/>
      <c r="S14" s="16" t="n"/>
      <c r="T14" s="16" t="n"/>
      <c r="U14" s="16" t="n"/>
      <c r="V14" s="16" t="n"/>
      <c r="W14" s="17" t="n"/>
      <c r="X14" s="123" t="n"/>
      <c r="Y14" s="55" t="inlineStr">
        <is>
          <t>CABELO</t>
        </is>
      </c>
      <c r="Z14" s="16" t="n"/>
      <c r="AA14" s="16" t="n"/>
      <c r="AB14" s="16" t="n"/>
      <c r="AC14" s="16" t="n"/>
      <c r="AD14" s="16" t="n"/>
      <c r="AE14" s="17" t="n"/>
      <c r="AF14" s="123" t="n"/>
      <c r="AG14" s="55" t="inlineStr">
        <is>
          <t>PELE</t>
        </is>
      </c>
      <c r="AH14" s="16" t="n"/>
      <c r="AI14" s="16" t="n"/>
      <c r="AJ14" s="16" t="n"/>
      <c r="AK14" s="16" t="n"/>
      <c r="AL14" s="16" t="n"/>
      <c r="AM14" s="17" t="n"/>
      <c r="AN14" s="123" t="n"/>
      <c r="AO14" s="55" t="inlineStr">
        <is>
          <t>GÊNERO</t>
        </is>
      </c>
      <c r="AP14" s="16" t="n"/>
      <c r="AQ14" s="16" t="n"/>
      <c r="AR14" s="16" t="n"/>
      <c r="AS14" s="16" t="n"/>
      <c r="AT14" s="17" t="n"/>
      <c r="AU14" s="123" t="n"/>
      <c r="AV14" s="123" t="n"/>
      <c r="AW14" s="55" t="inlineStr">
        <is>
          <t>MISSÃO</t>
        </is>
      </c>
      <c r="AX14" s="55" t="inlineStr">
        <is>
          <t>XP</t>
        </is>
      </c>
      <c r="AY14" s="55" t="inlineStr">
        <is>
          <t>ADICIONAL</t>
        </is>
      </c>
      <c r="AZ14" s="55" t="inlineStr">
        <is>
          <t>DESCONTO</t>
        </is>
      </c>
      <c r="BA14" s="55" t="inlineStr">
        <is>
          <t>TOTAL</t>
        </is>
      </c>
      <c r="BB14" s="123" t="n"/>
      <c r="BC14" s="55" t="inlineStr">
        <is>
          <t>MISSÃO</t>
        </is>
      </c>
      <c r="BD14" s="55" t="inlineStr">
        <is>
          <t>XP</t>
        </is>
      </c>
      <c r="BE14" s="55" t="inlineStr">
        <is>
          <t>ADICIONAL</t>
        </is>
      </c>
      <c r="BF14" s="55" t="inlineStr">
        <is>
          <t>DESCONTO</t>
        </is>
      </c>
      <c r="BG14" s="55" t="inlineStr">
        <is>
          <t>TOTAL</t>
        </is>
      </c>
      <c r="BH14" s="123" t="n"/>
      <c r="BI14" s="55" t="inlineStr">
        <is>
          <t>MISSÃO</t>
        </is>
      </c>
      <c r="BJ14" s="55" t="inlineStr">
        <is>
          <t>XP</t>
        </is>
      </c>
      <c r="BK14" s="55" t="inlineStr">
        <is>
          <t>ADICIONAL</t>
        </is>
      </c>
      <c r="BL14" s="55" t="inlineStr">
        <is>
          <t>DESCONTO</t>
        </is>
      </c>
      <c r="BM14" s="55" t="inlineStr">
        <is>
          <t>TOTAL</t>
        </is>
      </c>
      <c r="BN14" s="123" t="n"/>
      <c r="BO14" s="55" t="inlineStr">
        <is>
          <t>MISSÃO</t>
        </is>
      </c>
      <c r="BP14" s="55" t="inlineStr">
        <is>
          <t>XP</t>
        </is>
      </c>
      <c r="BQ14" s="55" t="inlineStr">
        <is>
          <t>ADICIONAL</t>
        </is>
      </c>
      <c r="BR14" s="55" t="inlineStr">
        <is>
          <t>DESCONTO</t>
        </is>
      </c>
      <c r="BS14" s="55" t="inlineStr">
        <is>
          <t>TOTAL</t>
        </is>
      </c>
      <c r="BT14" s="123" t="n"/>
    </row>
    <row r="15">
      <c r="B15" s="22" t="n"/>
      <c r="C15" s="123" t="n"/>
      <c r="D15" s="21" t="n"/>
      <c r="O15" s="22" t="n"/>
      <c r="P15" s="123" t="n"/>
      <c r="Q15" s="85" t="n"/>
      <c r="R15" s="19" t="n"/>
      <c r="S15" s="19" t="n"/>
      <c r="T15" s="19" t="n"/>
      <c r="U15" s="19" t="n"/>
      <c r="V15" s="19" t="n"/>
      <c r="W15" s="20" t="n"/>
      <c r="X15" s="123" t="n"/>
      <c r="Y15" s="85" t="n"/>
      <c r="Z15" s="19" t="n"/>
      <c r="AA15" s="19" t="n"/>
      <c r="AB15" s="19" t="n"/>
      <c r="AC15" s="19" t="n"/>
      <c r="AD15" s="19" t="n"/>
      <c r="AE15" s="20" t="n"/>
      <c r="AF15" s="123" t="n"/>
      <c r="AG15" s="85" t="n"/>
      <c r="AH15" s="19" t="n"/>
      <c r="AI15" s="19" t="n"/>
      <c r="AJ15" s="19" t="n"/>
      <c r="AK15" s="19" t="n"/>
      <c r="AL15" s="19" t="n"/>
      <c r="AM15" s="20" t="n"/>
      <c r="AN15" s="123" t="n"/>
      <c r="AO15" s="85" t="n"/>
      <c r="AP15" s="19" t="n"/>
      <c r="AQ15" s="19" t="n"/>
      <c r="AR15" s="19" t="n"/>
      <c r="AS15" s="19" t="n"/>
      <c r="AT15" s="20" t="n"/>
      <c r="AU15" s="123" t="n"/>
      <c r="AV15" s="123" t="n"/>
      <c r="AW15" s="133" t="n"/>
      <c r="AX15" s="133" t="n"/>
      <c r="AY15" s="127" t="n"/>
      <c r="AZ15" s="127" t="n"/>
      <c r="BA15" s="127">
        <f>IF($AX15="","",IFERROR(IF(ROUND(VLOOKUP($AX15,DADOS!$CL$5:$CM$10,2,FALSE)*IF($AY15="",1,VLOOKUP($AY15,DADOS!$CO$5:$CP$7,2,FALSE))*IF($AZ15="",1,VLOOKUP($AZ15,DADOS!$CR$5:$CS$15,2,FALSE)),4)&gt;0,MAX(1,FLOOR(ROUND(VLOOKUP($AX15,DADOS!$CL$5:$CM$10,2,FALSE)*IF($AY15="",1,VLOOKUP($AY15,DADOS!$CO$5:$CP$7,2,FALSE))*IF($AZ15="",1,VLOOKUP($AZ15,DADOS!$CR$5:$CS$15,2,FALSE)),4),1)),0),""))</f>
        <v/>
      </c>
      <c r="BB15" s="123" t="n"/>
      <c r="BC15" s="133" t="n"/>
      <c r="BD15" s="133" t="n"/>
      <c r="BE15" s="127" t="n"/>
      <c r="BF15" s="127" t="n"/>
      <c r="BG15" s="127">
        <f>IF($BD15="","",IFERROR(IF(ROUND(VLOOKUP($BD15,DADOS!$CL$5:$CM$10,2,FALSE)*IF($BE15="",1,VLOOKUP($BE15,DADOS!$CO$5:$CP$7,2,FALSE))*IF($BF15="",1,VLOOKUP($BF15,DADOS!$CR$5:$CS$15,2,FALSE)),4)&gt;0,MAX(1,FLOOR(ROUND(VLOOKUP($BD15,DADOS!$CL$5:$CM$10,2,FALSE)*IF($BE15="",1,VLOOKUP($BE15,DADOS!$CO$5:$CP$7,2,FALSE))*IF($BF15="",1,VLOOKUP($BF15,DADOS!$CR$5:$CS$15,2,FALSE)),4),1)),0),""))</f>
        <v/>
      </c>
      <c r="BH15" s="123" t="n"/>
      <c r="BI15" s="133" t="n"/>
      <c r="BJ15" s="133" t="n"/>
      <c r="BK15" s="127" t="n"/>
      <c r="BL15" s="127" t="n"/>
      <c r="BM15" s="127">
        <f>IF($BJ15="","",IFERROR(IF(ROUND(VLOOKUP($BJ15,DADOS!$CL$5:$CM$10,2,FALSE)*IF($BK15="",1,VLOOKUP($BK15,DADOS!$CO$5:$CP$7,2,FALSE))*IF($BL15="",1,VLOOKUP($BL15,DADOS!$CR$5:$CS$15,2,FALSE)),4)&gt;0,MAX(1,FLOOR(ROUND(VLOOKUP($BJ15,DADOS!$CL$5:$CM$10,2,FALSE)*IF($BK15="",1,VLOOKUP($BK15,DADOS!$CO$5:$CP$7,2,FALSE))*IF($BL15="",1,VLOOKUP($BL15,DADOS!$CR$5:$CS$15,2,FALSE)),4),1)),0),""))</f>
        <v/>
      </c>
      <c r="BN15" s="123" t="n"/>
      <c r="BO15" s="133" t="n"/>
      <c r="BP15" s="133" t="n"/>
      <c r="BQ15" s="127" t="n"/>
      <c r="BR15" s="127" t="n"/>
      <c r="BS15" s="127">
        <f>IF($BP15="","",IFERROR(IF(ROUND(VLOOKUP($BP15,DADOS!$CL$5:$CM$10,2,FALSE)*IF($BQ15="",1,VLOOKUP($BQ15,DADOS!$CO$5:$CP$7,2,FALSE))*IF($BR15="",1,VLOOKUP($BR15,DADOS!$CR$5:$CS$15,2,FALSE)),4)&gt;0,MAX(1,FLOOR(ROUND(VLOOKUP($BP15,DADOS!$CL$5:$CM$10,2,FALSE)*IF($BQ15="",1,VLOOKUP($BQ15,DADOS!$CO$5:$CP$7,2,FALSE))*IF($BR15="",1,VLOOKUP($BR15,DADOS!$CR$5:$CS$15,2,FALSE)),4),1)),0),""))</f>
        <v/>
      </c>
      <c r="BT15" s="123" t="n"/>
    </row>
    <row r="16">
      <c r="B16" s="22" t="n"/>
      <c r="C16" s="123" t="n"/>
      <c r="D16" s="21" t="n"/>
      <c r="O16" s="22" t="n"/>
      <c r="P16" s="123" t="n"/>
      <c r="Q16" s="23" t="n"/>
      <c r="R16" s="24" t="n"/>
      <c r="S16" s="24" t="n"/>
      <c r="T16" s="24" t="n"/>
      <c r="U16" s="24" t="n"/>
      <c r="V16" s="24" t="n"/>
      <c r="W16" s="25" t="n"/>
      <c r="X16" s="123" t="n"/>
      <c r="Y16" s="23" t="n"/>
      <c r="Z16" s="24" t="n"/>
      <c r="AA16" s="24" t="n"/>
      <c r="AB16" s="24" t="n"/>
      <c r="AC16" s="24" t="n"/>
      <c r="AD16" s="24" t="n"/>
      <c r="AE16" s="25" t="n"/>
      <c r="AF16" s="123" t="n"/>
      <c r="AG16" s="23" t="n"/>
      <c r="AH16" s="24" t="n"/>
      <c r="AI16" s="24" t="n"/>
      <c r="AJ16" s="24" t="n"/>
      <c r="AK16" s="24" t="n"/>
      <c r="AL16" s="24" t="n"/>
      <c r="AM16" s="25" t="n"/>
      <c r="AN16" s="123" t="n"/>
      <c r="AO16" s="23" t="n"/>
      <c r="AP16" s="24" t="n"/>
      <c r="AQ16" s="24" t="n"/>
      <c r="AR16" s="24" t="n"/>
      <c r="AS16" s="24" t="n"/>
      <c r="AT16" s="25" t="n"/>
      <c r="AU16" s="123" t="n"/>
      <c r="AV16" s="123" t="n"/>
      <c r="AW16" s="133" t="n"/>
      <c r="AX16" s="133" t="n"/>
      <c r="AY16" s="127" t="n"/>
      <c r="AZ16" s="127" t="n"/>
      <c r="BA16" s="127">
        <f>IF($AX16="","",IFERROR(IF(ROUND(VLOOKUP($AX16,DADOS!$CL$5:$CM$10,2,FALSE)*IF($AY16="",1,VLOOKUP($AY16,DADOS!$CO$5:$CP$7,2,FALSE))*IF($AZ16="",1,VLOOKUP($AZ16,DADOS!$CR$5:$CS$15,2,FALSE)),4)&gt;0,MAX(1,FLOOR(ROUND(VLOOKUP($AX16,DADOS!$CL$5:$CM$10,2,FALSE)*IF($AY16="",1,VLOOKUP($AY16,DADOS!$CO$5:$CP$7,2,FALSE))*IF($AZ16="",1,VLOOKUP($AZ16,DADOS!$CR$5:$CS$15,2,FALSE)),4),1)),0),""))</f>
        <v/>
      </c>
      <c r="BB16" s="123" t="n"/>
      <c r="BC16" s="133" t="n"/>
      <c r="BD16" s="133" t="n"/>
      <c r="BE16" s="127" t="n"/>
      <c r="BF16" s="127" t="n"/>
      <c r="BG16" s="127">
        <f>IF($BD16="","",IFERROR(IF(ROUND(VLOOKUP($BD16,DADOS!$CL$5:$CM$10,2,FALSE)*IF($BE16="",1,VLOOKUP($BE16,DADOS!$CO$5:$CP$7,2,FALSE))*IF($BF16="",1,VLOOKUP($BF16,DADOS!$CR$5:$CS$15,2,FALSE)),4)&gt;0,MAX(1,FLOOR(ROUND(VLOOKUP($BD16,DADOS!$CL$5:$CM$10,2,FALSE)*IF($BE16="",1,VLOOKUP($BE16,DADOS!$CO$5:$CP$7,2,FALSE))*IF($BF16="",1,VLOOKUP($BF16,DADOS!$CR$5:$CS$15,2,FALSE)),4),1)),0),""))</f>
        <v/>
      </c>
      <c r="BH16" s="123" t="n"/>
      <c r="BI16" s="133" t="n"/>
      <c r="BJ16" s="133" t="n"/>
      <c r="BK16" s="127" t="n"/>
      <c r="BL16" s="127" t="n"/>
      <c r="BM16" s="127">
        <f>IF($BJ16="","",IFERROR(IF(ROUND(VLOOKUP($BJ16,DADOS!$CL$5:$CM$10,2,FALSE)*IF($BK16="",1,VLOOKUP($BK16,DADOS!$CO$5:$CP$7,2,FALSE))*IF($BL16="",1,VLOOKUP($BL16,DADOS!$CR$5:$CS$15,2,FALSE)),4)&gt;0,MAX(1,FLOOR(ROUND(VLOOKUP($BJ16,DADOS!$CL$5:$CM$10,2,FALSE)*IF($BK16="",1,VLOOKUP($BK16,DADOS!$CO$5:$CP$7,2,FALSE))*IF($BL16="",1,VLOOKUP($BL16,DADOS!$CR$5:$CS$15,2,FALSE)),4),1)),0),""))</f>
        <v/>
      </c>
      <c r="BN16" s="123" t="n"/>
      <c r="BO16" s="133" t="n"/>
      <c r="BP16" s="133" t="n"/>
      <c r="BQ16" s="127" t="n"/>
      <c r="BR16" s="127" t="n"/>
      <c r="BS16" s="127">
        <f>IF($BP16="","",IFERROR(IF(ROUND(VLOOKUP($BP16,DADOS!$CL$5:$CM$10,2,FALSE)*IF($BQ16="",1,VLOOKUP($BQ16,DADOS!$CO$5:$CP$7,2,FALSE))*IF($BR16="",1,VLOOKUP($BR16,DADOS!$CR$5:$CS$15,2,FALSE)),4)&gt;0,MAX(1,FLOOR(ROUND(VLOOKUP($BP16,DADOS!$CL$5:$CM$10,2,FALSE)*IF($BQ16="",1,VLOOKUP($BQ16,DADOS!$CO$5:$CP$7,2,FALSE))*IF($BR16="",1,VLOOKUP($BR16,DADOS!$CR$5:$CS$15,2,FALSE)),4),1)),0),""))</f>
        <v/>
      </c>
      <c r="BT16" s="123" t="n"/>
    </row>
    <row r="17">
      <c r="B17" s="22" t="n"/>
      <c r="C17" s="123" t="n"/>
      <c r="D17" s="21" t="n"/>
      <c r="O17" s="22" t="n"/>
      <c r="P17" s="123" t="n"/>
      <c r="Q17" s="123" t="n"/>
      <c r="R17" s="123" t="n"/>
      <c r="S17" s="123" t="n"/>
      <c r="T17" s="123" t="n"/>
      <c r="U17" s="123" t="n"/>
      <c r="V17" s="123" t="n"/>
      <c r="W17" s="123" t="n"/>
      <c r="X17" s="123" t="n"/>
      <c r="Y17" s="123" t="n"/>
      <c r="Z17" s="123" t="n"/>
      <c r="AA17" s="123" t="n"/>
      <c r="AB17" s="123" t="n"/>
      <c r="AC17" s="123" t="n"/>
      <c r="AD17" s="123" t="n"/>
      <c r="AE17" s="123" t="n"/>
      <c r="AF17" s="123" t="n"/>
      <c r="AG17" s="123" t="n"/>
      <c r="AH17" s="123" t="n"/>
      <c r="AI17" s="123" t="n"/>
      <c r="AJ17" s="123" t="n"/>
      <c r="AK17" s="123" t="n"/>
      <c r="AL17" s="123" t="n"/>
      <c r="AM17" s="123" t="n"/>
      <c r="AN17" s="123" t="n"/>
      <c r="AO17" s="123" t="n"/>
      <c r="AP17" s="123" t="n"/>
      <c r="AQ17" s="123" t="n"/>
      <c r="AR17" s="123" t="n"/>
      <c r="AS17" s="123" t="n"/>
      <c r="AT17" s="123" t="n"/>
      <c r="AU17" s="123" t="n"/>
      <c r="AV17" s="123" t="n"/>
      <c r="AW17" s="133" t="n"/>
      <c r="AX17" s="133" t="n"/>
      <c r="AY17" s="127" t="n"/>
      <c r="AZ17" s="127" t="n"/>
      <c r="BA17" s="127">
        <f>IF($AX17="","",IFERROR(IF(ROUND(VLOOKUP($AX17,DADOS!$CL$5:$CM$10,2,FALSE)*IF($AY17="",1,VLOOKUP($AY17,DADOS!$CO$5:$CP$7,2,FALSE))*IF($AZ17="",1,VLOOKUP($AZ17,DADOS!$CR$5:$CS$15,2,FALSE)),4)&gt;0,MAX(1,FLOOR(ROUND(VLOOKUP($AX17,DADOS!$CL$5:$CM$10,2,FALSE)*IF($AY17="",1,VLOOKUP($AY17,DADOS!$CO$5:$CP$7,2,FALSE))*IF($AZ17="",1,VLOOKUP($AZ17,DADOS!$CR$5:$CS$15,2,FALSE)),4),1)),0),""))</f>
        <v/>
      </c>
      <c r="BB17" s="123" t="n"/>
      <c r="BC17" s="133" t="n"/>
      <c r="BD17" s="133" t="n"/>
      <c r="BE17" s="127" t="n"/>
      <c r="BF17" s="127" t="n"/>
      <c r="BG17" s="127">
        <f>IF($BD17="","",IFERROR(IF(ROUND(VLOOKUP($BD17,DADOS!$CL$5:$CM$10,2,FALSE)*IF($BE17="",1,VLOOKUP($BE17,DADOS!$CO$5:$CP$7,2,FALSE))*IF($BF17="",1,VLOOKUP($BF17,DADOS!$CR$5:$CS$15,2,FALSE)),4)&gt;0,MAX(1,FLOOR(ROUND(VLOOKUP($BD17,DADOS!$CL$5:$CM$10,2,FALSE)*IF($BE17="",1,VLOOKUP($BE17,DADOS!$CO$5:$CP$7,2,FALSE))*IF($BF17="",1,VLOOKUP($BF17,DADOS!$CR$5:$CS$15,2,FALSE)),4),1)),0),""))</f>
        <v/>
      </c>
      <c r="BH17" s="123" t="n"/>
      <c r="BI17" s="133" t="n"/>
      <c r="BJ17" s="133" t="n"/>
      <c r="BK17" s="127" t="n"/>
      <c r="BL17" s="127" t="n"/>
      <c r="BM17" s="127">
        <f>IF($BJ17="","",IFERROR(IF(ROUND(VLOOKUP($BJ17,DADOS!$CL$5:$CM$10,2,FALSE)*IF($BK17="",1,VLOOKUP($BK17,DADOS!$CO$5:$CP$7,2,FALSE))*IF($BL17="",1,VLOOKUP($BL17,DADOS!$CR$5:$CS$15,2,FALSE)),4)&gt;0,MAX(1,FLOOR(ROUND(VLOOKUP($BJ17,DADOS!$CL$5:$CM$10,2,FALSE)*IF($BK17="",1,VLOOKUP($BK17,DADOS!$CO$5:$CP$7,2,FALSE))*IF($BL17="",1,VLOOKUP($BL17,DADOS!$CR$5:$CS$15,2,FALSE)),4),1)),0),""))</f>
        <v/>
      </c>
      <c r="BN17" s="123" t="n"/>
      <c r="BO17" s="133" t="n"/>
      <c r="BP17" s="133" t="n"/>
      <c r="BQ17" s="127" t="n"/>
      <c r="BR17" s="127" t="n"/>
      <c r="BS17" s="127">
        <f>IF($BP17="","",IFERROR(IF(ROUND(VLOOKUP($BP17,DADOS!$CL$5:$CM$10,2,FALSE)*IF($BQ17="",1,VLOOKUP($BQ17,DADOS!$CO$5:$CP$7,2,FALSE))*IF($BR17="",1,VLOOKUP($BR17,DADOS!$CR$5:$CS$15,2,FALSE)),4)&gt;0,MAX(1,FLOOR(ROUND(VLOOKUP($BP17,DADOS!$CL$5:$CM$10,2,FALSE)*IF($BQ17="",1,VLOOKUP($BQ17,DADOS!$CO$5:$CP$7,2,FALSE))*IF($BR17="",1,VLOOKUP($BR17,DADOS!$CR$5:$CS$15,2,FALSE)),4),1)),0),""))</f>
        <v/>
      </c>
      <c r="BT17" s="123" t="n"/>
    </row>
    <row r="18">
      <c r="B18" s="22" t="n"/>
      <c r="C18" s="123" t="n"/>
      <c r="D18" s="21" t="n"/>
      <c r="O18" s="22" t="n"/>
      <c r="P18" s="123" t="n"/>
      <c r="Q18" s="55" t="inlineStr">
        <is>
          <t>APARÊNCIA</t>
        </is>
      </c>
      <c r="R18" s="16" t="n"/>
      <c r="S18" s="16" t="n"/>
      <c r="T18" s="16" t="n"/>
      <c r="U18" s="16" t="n"/>
      <c r="V18" s="16" t="n"/>
      <c r="W18" s="16" t="n"/>
      <c r="X18" s="16" t="n"/>
      <c r="Y18" s="16" t="n"/>
      <c r="Z18" s="16" t="n"/>
      <c r="AA18" s="16" t="n"/>
      <c r="AB18" s="16" t="n"/>
      <c r="AC18" s="16" t="n"/>
      <c r="AD18" s="16" t="n"/>
      <c r="AE18" s="16" t="n"/>
      <c r="AF18" s="16" t="n"/>
      <c r="AG18" s="17" t="n"/>
      <c r="AH18" s="123" t="n"/>
      <c r="AI18" s="55" t="inlineStr">
        <is>
          <t>CICATRIZES</t>
        </is>
      </c>
      <c r="AJ18" s="16" t="n"/>
      <c r="AK18" s="16" t="n"/>
      <c r="AL18" s="16" t="n"/>
      <c r="AM18" s="16" t="n"/>
      <c r="AN18" s="16" t="n"/>
      <c r="AO18" s="16" t="n"/>
      <c r="AP18" s="16" t="n"/>
      <c r="AQ18" s="16" t="n"/>
      <c r="AR18" s="16" t="n"/>
      <c r="AS18" s="16" t="n"/>
      <c r="AT18" s="17" t="n"/>
      <c r="AU18" s="123" t="n"/>
      <c r="AV18" s="123" t="n"/>
      <c r="AW18" s="133" t="n"/>
      <c r="AX18" s="133" t="n"/>
      <c r="AY18" s="127" t="n"/>
      <c r="AZ18" s="127" t="n"/>
      <c r="BA18" s="127">
        <f>IF($AX18="","",IFERROR(IF(ROUND(VLOOKUP($AX18,DADOS!$CL$5:$CM$10,2,FALSE)*IF($AY18="",1,VLOOKUP($AY18,DADOS!$CO$5:$CP$7,2,FALSE))*IF($AZ18="",1,VLOOKUP($AZ18,DADOS!$CR$5:$CS$15,2,FALSE)),4)&gt;0,MAX(1,FLOOR(ROUND(VLOOKUP($AX18,DADOS!$CL$5:$CM$10,2,FALSE)*IF($AY18="",1,VLOOKUP($AY18,DADOS!$CO$5:$CP$7,2,FALSE))*IF($AZ18="",1,VLOOKUP($AZ18,DADOS!$CR$5:$CS$15,2,FALSE)),4),1)),0),""))</f>
        <v/>
      </c>
      <c r="BB18" s="123" t="n"/>
      <c r="BC18" s="133" t="n"/>
      <c r="BD18" s="133" t="n"/>
      <c r="BE18" s="127" t="n"/>
      <c r="BF18" s="127" t="n"/>
      <c r="BG18" s="127">
        <f>IF($BD18="","",IFERROR(IF(ROUND(VLOOKUP($BD18,DADOS!$CL$5:$CM$10,2,FALSE)*IF($BE18="",1,VLOOKUP($BE18,DADOS!$CO$5:$CP$7,2,FALSE))*IF($BF18="",1,VLOOKUP($BF18,DADOS!$CR$5:$CS$15,2,FALSE)),4)&gt;0,MAX(1,FLOOR(ROUND(VLOOKUP($BD18,DADOS!$CL$5:$CM$10,2,FALSE)*IF($BE18="",1,VLOOKUP($BE18,DADOS!$CO$5:$CP$7,2,FALSE))*IF($BF18="",1,VLOOKUP($BF18,DADOS!$CR$5:$CS$15,2,FALSE)),4),1)),0),""))</f>
        <v/>
      </c>
      <c r="BH18" s="123" t="n"/>
      <c r="BI18" s="133" t="n"/>
      <c r="BJ18" s="133" t="n"/>
      <c r="BK18" s="127" t="n"/>
      <c r="BL18" s="127" t="n"/>
      <c r="BM18" s="127">
        <f>IF($BJ18="","",IFERROR(IF(ROUND(VLOOKUP($BJ18,DADOS!$CL$5:$CM$10,2,FALSE)*IF($BK18="",1,VLOOKUP($BK18,DADOS!$CO$5:$CP$7,2,FALSE))*IF($BL18="",1,VLOOKUP($BL18,DADOS!$CR$5:$CS$15,2,FALSE)),4)&gt;0,MAX(1,FLOOR(ROUND(VLOOKUP($BJ18,DADOS!$CL$5:$CM$10,2,FALSE)*IF($BK18="",1,VLOOKUP($BK18,DADOS!$CO$5:$CP$7,2,FALSE))*IF($BL18="",1,VLOOKUP($BL18,DADOS!$CR$5:$CS$15,2,FALSE)),4),1)),0),""))</f>
        <v/>
      </c>
      <c r="BN18" s="123" t="n"/>
      <c r="BO18" s="133" t="n"/>
      <c r="BP18" s="133" t="n"/>
      <c r="BQ18" s="127" t="n"/>
      <c r="BR18" s="127" t="n"/>
      <c r="BS18" s="127">
        <f>IF($BP18="","",IFERROR(IF(ROUND(VLOOKUP($BP18,DADOS!$CL$5:$CM$10,2,FALSE)*IF($BQ18="",1,VLOOKUP($BQ18,DADOS!$CO$5:$CP$7,2,FALSE))*IF($BR18="",1,VLOOKUP($BR18,DADOS!$CR$5:$CS$15,2,FALSE)),4)&gt;0,MAX(1,FLOOR(ROUND(VLOOKUP($BP18,DADOS!$CL$5:$CM$10,2,FALSE)*IF($BQ18="",1,VLOOKUP($BQ18,DADOS!$CO$5:$CP$7,2,FALSE))*IF($BR18="",1,VLOOKUP($BR18,DADOS!$CR$5:$CS$15,2,FALSE)),4),1)),0),""))</f>
        <v/>
      </c>
      <c r="BT18" s="123" t="n"/>
    </row>
    <row r="19">
      <c r="B19" s="22" t="n"/>
      <c r="C19" s="123" t="n"/>
      <c r="D19" s="21" t="n"/>
      <c r="O19" s="22" t="n"/>
      <c r="P19" s="123" t="n"/>
      <c r="Q19" s="119" t="n"/>
      <c r="R19" s="19" t="n"/>
      <c r="S19" s="19" t="n"/>
      <c r="T19" s="19" t="n"/>
      <c r="U19" s="19" t="n"/>
      <c r="V19" s="19" t="n"/>
      <c r="W19" s="19" t="n"/>
      <c r="X19" s="19" t="n"/>
      <c r="Y19" s="19" t="n"/>
      <c r="Z19" s="19" t="n"/>
      <c r="AA19" s="19" t="n"/>
      <c r="AB19" s="19" t="n"/>
      <c r="AC19" s="19" t="n"/>
      <c r="AD19" s="19" t="n"/>
      <c r="AE19" s="19" t="n"/>
      <c r="AF19" s="19" t="n"/>
      <c r="AG19" s="20" t="n"/>
      <c r="AH19" s="123" t="n"/>
      <c r="AI19" s="119" t="n"/>
      <c r="AJ19" s="19" t="n"/>
      <c r="AK19" s="19" t="n"/>
      <c r="AL19" s="19" t="n"/>
      <c r="AM19" s="19" t="n"/>
      <c r="AN19" s="19" t="n"/>
      <c r="AO19" s="19" t="n"/>
      <c r="AP19" s="19" t="n"/>
      <c r="AQ19" s="19" t="n"/>
      <c r="AR19" s="19" t="n"/>
      <c r="AS19" s="19" t="n"/>
      <c r="AT19" s="20" t="n"/>
      <c r="AU19" s="123" t="n"/>
      <c r="AV19" s="123" t="n"/>
      <c r="AW19" s="133" t="n"/>
      <c r="AX19" s="133" t="n"/>
      <c r="AY19" s="127" t="n"/>
      <c r="AZ19" s="127" t="n"/>
      <c r="BA19" s="127">
        <f>IF($AX19="","",IFERROR(IF(ROUND(VLOOKUP($AX19,DADOS!$CL$5:$CM$10,2,FALSE)*IF($AY19="",1,VLOOKUP($AY19,DADOS!$CO$5:$CP$7,2,FALSE))*IF($AZ19="",1,VLOOKUP($AZ19,DADOS!$CR$5:$CS$15,2,FALSE)),4)&gt;0,MAX(1,FLOOR(ROUND(VLOOKUP($AX19,DADOS!$CL$5:$CM$10,2,FALSE)*IF($AY19="",1,VLOOKUP($AY19,DADOS!$CO$5:$CP$7,2,FALSE))*IF($AZ19="",1,VLOOKUP($AZ19,DADOS!$CR$5:$CS$15,2,FALSE)),4),1)),0),""))</f>
        <v/>
      </c>
      <c r="BB19" s="123" t="n"/>
      <c r="BC19" s="133" t="n"/>
      <c r="BD19" s="133" t="n"/>
      <c r="BE19" s="127" t="n"/>
      <c r="BF19" s="127" t="n"/>
      <c r="BG19" s="127">
        <f>IF($BD19="","",IFERROR(IF(ROUND(VLOOKUP($BD19,DADOS!$CL$5:$CM$10,2,FALSE)*IF($BE19="",1,VLOOKUP($BE19,DADOS!$CO$5:$CP$7,2,FALSE))*IF($BF19="",1,VLOOKUP($BF19,DADOS!$CR$5:$CS$15,2,FALSE)),4)&gt;0,MAX(1,FLOOR(ROUND(VLOOKUP($BD19,DADOS!$CL$5:$CM$10,2,FALSE)*IF($BE19="",1,VLOOKUP($BE19,DADOS!$CO$5:$CP$7,2,FALSE))*IF($BF19="",1,VLOOKUP($BF19,DADOS!$CR$5:$CS$15,2,FALSE)),4),1)),0),""))</f>
        <v/>
      </c>
      <c r="BH19" s="123" t="n"/>
      <c r="BI19" s="133" t="n"/>
      <c r="BJ19" s="133" t="n"/>
      <c r="BK19" s="127" t="n"/>
      <c r="BL19" s="127" t="n"/>
      <c r="BM19" s="127">
        <f>IF($BJ19="","",IFERROR(IF(ROUND(VLOOKUP($BJ19,DADOS!$CL$5:$CM$10,2,FALSE)*IF($BK19="",1,VLOOKUP($BK19,DADOS!$CO$5:$CP$7,2,FALSE))*IF($BL19="",1,VLOOKUP($BL19,DADOS!$CR$5:$CS$15,2,FALSE)),4)&gt;0,MAX(1,FLOOR(ROUND(VLOOKUP($BJ19,DADOS!$CL$5:$CM$10,2,FALSE)*IF($BK19="",1,VLOOKUP($BK19,DADOS!$CO$5:$CP$7,2,FALSE))*IF($BL19="",1,VLOOKUP($BL19,DADOS!$CR$5:$CS$15,2,FALSE)),4),1)),0),""))</f>
        <v/>
      </c>
      <c r="BN19" s="123" t="n"/>
      <c r="BO19" s="133" t="n"/>
      <c r="BP19" s="133" t="n"/>
      <c r="BQ19" s="127" t="n"/>
      <c r="BR19" s="127" t="n"/>
      <c r="BS19" s="127">
        <f>IF($BP19="","",IFERROR(IF(ROUND(VLOOKUP($BP19,DADOS!$CL$5:$CM$10,2,FALSE)*IF($BQ19="",1,VLOOKUP($BQ19,DADOS!$CO$5:$CP$7,2,FALSE))*IF($BR19="",1,VLOOKUP($BR19,DADOS!$CR$5:$CS$15,2,FALSE)),4)&gt;0,MAX(1,FLOOR(ROUND(VLOOKUP($BP19,DADOS!$CL$5:$CM$10,2,FALSE)*IF($BQ19="",1,VLOOKUP($BQ19,DADOS!$CO$5:$CP$7,2,FALSE))*IF($BR19="",1,VLOOKUP($BR19,DADOS!$CR$5:$CS$15,2,FALSE)),4),1)),0),""))</f>
        <v/>
      </c>
      <c r="BT19" s="123" t="n"/>
    </row>
    <row r="20">
      <c r="B20" s="22" t="n"/>
      <c r="C20" s="123" t="n"/>
      <c r="D20" s="21" t="n"/>
      <c r="O20" s="22" t="n"/>
      <c r="P20" s="123" t="n"/>
      <c r="Q20" s="23" t="n"/>
      <c r="R20" s="24" t="n"/>
      <c r="S20" s="24" t="n"/>
      <c r="T20" s="24" t="n"/>
      <c r="U20" s="24" t="n"/>
      <c r="V20" s="24" t="n"/>
      <c r="W20" s="24" t="n"/>
      <c r="X20" s="24" t="n"/>
      <c r="Y20" s="24" t="n"/>
      <c r="Z20" s="24" t="n"/>
      <c r="AA20" s="24" t="n"/>
      <c r="AB20" s="24" t="n"/>
      <c r="AC20" s="24" t="n"/>
      <c r="AD20" s="24" t="n"/>
      <c r="AE20" s="24" t="n"/>
      <c r="AF20" s="24" t="n"/>
      <c r="AG20" s="25" t="n"/>
      <c r="AH20" s="123" t="n"/>
      <c r="AI20" s="23" t="n"/>
      <c r="AJ20" s="24" t="n"/>
      <c r="AK20" s="24" t="n"/>
      <c r="AL20" s="24" t="n"/>
      <c r="AM20" s="24" t="n"/>
      <c r="AN20" s="24" t="n"/>
      <c r="AO20" s="24" t="n"/>
      <c r="AP20" s="24" t="n"/>
      <c r="AQ20" s="24" t="n"/>
      <c r="AR20" s="24" t="n"/>
      <c r="AS20" s="24" t="n"/>
      <c r="AT20" s="25" t="n"/>
      <c r="AU20" s="123" t="n"/>
      <c r="AV20" s="123" t="n"/>
      <c r="AW20" s="133" t="n"/>
      <c r="AX20" s="133" t="n"/>
      <c r="AY20" s="127" t="n"/>
      <c r="AZ20" s="127" t="n"/>
      <c r="BA20" s="127">
        <f>IF($AX20="","",IFERROR(IF(ROUND(VLOOKUP($AX20,DADOS!$CL$5:$CM$10,2,FALSE)*IF($AY20="",1,VLOOKUP($AY20,DADOS!$CO$5:$CP$7,2,FALSE))*IF($AZ20="",1,VLOOKUP($AZ20,DADOS!$CR$5:$CS$15,2,FALSE)),4)&gt;0,MAX(1,FLOOR(ROUND(VLOOKUP($AX20,DADOS!$CL$5:$CM$10,2,FALSE)*IF($AY20="",1,VLOOKUP($AY20,DADOS!$CO$5:$CP$7,2,FALSE))*IF($AZ20="",1,VLOOKUP($AZ20,DADOS!$CR$5:$CS$15,2,FALSE)),4),1)),0),""))</f>
        <v/>
      </c>
      <c r="BB20" s="123" t="n"/>
      <c r="BC20" s="133" t="n"/>
      <c r="BD20" s="133" t="n"/>
      <c r="BE20" s="127" t="n"/>
      <c r="BF20" s="127" t="n"/>
      <c r="BG20" s="127">
        <f>IF($BD20="","",IFERROR(IF(ROUND(VLOOKUP($BD20,DADOS!$CL$5:$CM$10,2,FALSE)*IF($BE20="",1,VLOOKUP($BE20,DADOS!$CO$5:$CP$7,2,FALSE))*IF($BF20="",1,VLOOKUP($BF20,DADOS!$CR$5:$CS$15,2,FALSE)),4)&gt;0,MAX(1,FLOOR(ROUND(VLOOKUP($BD20,DADOS!$CL$5:$CM$10,2,FALSE)*IF($BE20="",1,VLOOKUP($BE20,DADOS!$CO$5:$CP$7,2,FALSE))*IF($BF20="",1,VLOOKUP($BF20,DADOS!$CR$5:$CS$15,2,FALSE)),4),1)),0),""))</f>
        <v/>
      </c>
      <c r="BH20" s="123" t="n"/>
      <c r="BI20" s="133" t="n"/>
      <c r="BJ20" s="133" t="n"/>
      <c r="BK20" s="127" t="n"/>
      <c r="BL20" s="127" t="n"/>
      <c r="BM20" s="127">
        <f>IF($BJ20="","",IFERROR(IF(ROUND(VLOOKUP($BJ20,DADOS!$CL$5:$CM$10,2,FALSE)*IF($BK20="",1,VLOOKUP($BK20,DADOS!$CO$5:$CP$7,2,FALSE))*IF($BL20="",1,VLOOKUP($BL20,DADOS!$CR$5:$CS$15,2,FALSE)),4)&gt;0,MAX(1,FLOOR(ROUND(VLOOKUP($BJ20,DADOS!$CL$5:$CM$10,2,FALSE)*IF($BK20="",1,VLOOKUP($BK20,DADOS!$CO$5:$CP$7,2,FALSE))*IF($BL20="",1,VLOOKUP($BL20,DADOS!$CR$5:$CS$15,2,FALSE)),4),1)),0),""))</f>
        <v/>
      </c>
      <c r="BN20" s="123" t="n"/>
      <c r="BO20" s="133" t="n"/>
      <c r="BP20" s="133" t="n"/>
      <c r="BQ20" s="127" t="n"/>
      <c r="BR20" s="127" t="n"/>
      <c r="BS20" s="127">
        <f>IF($BP20="","",IFERROR(IF(ROUND(VLOOKUP($BP20,DADOS!$CL$5:$CM$10,2,FALSE)*IF($BQ20="",1,VLOOKUP($BQ20,DADOS!$CO$5:$CP$7,2,FALSE))*IF($BR20="",1,VLOOKUP($BR20,DADOS!$CR$5:$CS$15,2,FALSE)),4)&gt;0,MAX(1,FLOOR(ROUND(VLOOKUP($BP20,DADOS!$CL$5:$CM$10,2,FALSE)*IF($BQ20="",1,VLOOKUP($BQ20,DADOS!$CO$5:$CP$7,2,FALSE))*IF($BR20="",1,VLOOKUP($BR20,DADOS!$CR$5:$CS$15,2,FALSE)),4),1)),0),""))</f>
        <v/>
      </c>
      <c r="BT20" s="123" t="n"/>
    </row>
    <row r="21">
      <c r="B21" s="22" t="n"/>
      <c r="C21" s="123" t="n"/>
      <c r="D21" s="21" t="n"/>
      <c r="O21" s="22" t="n"/>
      <c r="P21" s="123" t="n"/>
      <c r="Q21" s="123" t="n"/>
      <c r="R21" s="123" t="n"/>
      <c r="S21" s="123" t="n"/>
      <c r="T21" s="123" t="n"/>
      <c r="U21" s="123" t="n"/>
      <c r="V21" s="123" t="n"/>
      <c r="W21" s="123" t="n"/>
      <c r="X21" s="123" t="n"/>
      <c r="Y21" s="123" t="n"/>
      <c r="Z21" s="123" t="n"/>
      <c r="AA21" s="123" t="n"/>
      <c r="AB21" s="123" t="n"/>
      <c r="AC21" s="123" t="n"/>
      <c r="AD21" s="123" t="n"/>
      <c r="AE21" s="123" t="n"/>
      <c r="AF21" s="123" t="n"/>
      <c r="AG21" s="123" t="n"/>
      <c r="AH21" s="123" t="n"/>
      <c r="AI21" s="123" t="n"/>
      <c r="AJ21" s="123" t="n"/>
      <c r="AK21" s="123" t="n"/>
      <c r="AL21" s="123" t="n"/>
      <c r="AM21" s="123" t="n"/>
      <c r="AN21" s="123" t="n"/>
      <c r="AO21" s="123" t="n"/>
      <c r="AP21" s="123" t="n"/>
      <c r="AQ21" s="123" t="n"/>
      <c r="AR21" s="123" t="n"/>
      <c r="AS21" s="123" t="n"/>
      <c r="AT21" s="123" t="n"/>
      <c r="AU21" s="123" t="n"/>
      <c r="AV21" s="123" t="n"/>
      <c r="AW21" s="133" t="n"/>
      <c r="AX21" s="133" t="n"/>
      <c r="AY21" s="127" t="n"/>
      <c r="AZ21" s="127" t="n"/>
      <c r="BA21" s="127">
        <f>IF($AX21="","",IFERROR(IF(ROUND(VLOOKUP($AX21,DADOS!$CL$5:$CM$10,2,FALSE)*IF($AY21="",1,VLOOKUP($AY21,DADOS!$CO$5:$CP$7,2,FALSE))*IF($AZ21="",1,VLOOKUP($AZ21,DADOS!$CR$5:$CS$15,2,FALSE)),4)&gt;0,MAX(1,FLOOR(ROUND(VLOOKUP($AX21,DADOS!$CL$5:$CM$10,2,FALSE)*IF($AY21="",1,VLOOKUP($AY21,DADOS!$CO$5:$CP$7,2,FALSE))*IF($AZ21="",1,VLOOKUP($AZ21,DADOS!$CR$5:$CS$15,2,FALSE)),4),1)),0),""))</f>
        <v/>
      </c>
      <c r="BB21" s="123" t="n"/>
      <c r="BC21" s="133" t="n"/>
      <c r="BD21" s="133" t="n"/>
      <c r="BE21" s="127" t="n"/>
      <c r="BF21" s="127" t="n"/>
      <c r="BG21" s="127">
        <f>IF($BD21="","",IFERROR(IF(ROUND(VLOOKUP($BD21,DADOS!$CL$5:$CM$10,2,FALSE)*IF($BE21="",1,VLOOKUP($BE21,DADOS!$CO$5:$CP$7,2,FALSE))*IF($BF21="",1,VLOOKUP($BF21,DADOS!$CR$5:$CS$15,2,FALSE)),4)&gt;0,MAX(1,FLOOR(ROUND(VLOOKUP($BD21,DADOS!$CL$5:$CM$10,2,FALSE)*IF($BE21="",1,VLOOKUP($BE21,DADOS!$CO$5:$CP$7,2,FALSE))*IF($BF21="",1,VLOOKUP($BF21,DADOS!$CR$5:$CS$15,2,FALSE)),4),1)),0),""))</f>
        <v/>
      </c>
      <c r="BH21" s="123" t="n"/>
      <c r="BI21" s="133" t="n"/>
      <c r="BJ21" s="133" t="n"/>
      <c r="BK21" s="127" t="n"/>
      <c r="BL21" s="127" t="n"/>
      <c r="BM21" s="127">
        <f>IF($BJ21="","",IFERROR(IF(ROUND(VLOOKUP($BJ21,DADOS!$CL$5:$CM$10,2,FALSE)*IF($BK21="",1,VLOOKUP($BK21,DADOS!$CO$5:$CP$7,2,FALSE))*IF($BL21="",1,VLOOKUP($BL21,DADOS!$CR$5:$CS$15,2,FALSE)),4)&gt;0,MAX(1,FLOOR(ROUND(VLOOKUP($BJ21,DADOS!$CL$5:$CM$10,2,FALSE)*IF($BK21="",1,VLOOKUP($BK21,DADOS!$CO$5:$CP$7,2,FALSE))*IF($BL21="",1,VLOOKUP($BL21,DADOS!$CR$5:$CS$15,2,FALSE)),4),1)),0),""))</f>
        <v/>
      </c>
      <c r="BN21" s="123" t="n"/>
      <c r="BO21" s="133" t="n"/>
      <c r="BP21" s="133" t="n"/>
      <c r="BQ21" s="127" t="n"/>
      <c r="BR21" s="127" t="n"/>
      <c r="BS21" s="127">
        <f>IF($BP21="","",IFERROR(IF(ROUND(VLOOKUP($BP21,DADOS!$CL$5:$CM$10,2,FALSE)*IF($BQ21="",1,VLOOKUP($BQ21,DADOS!$CO$5:$CP$7,2,FALSE))*IF($BR21="",1,VLOOKUP($BR21,DADOS!$CR$5:$CS$15,2,FALSE)),4)&gt;0,MAX(1,FLOOR(ROUND(VLOOKUP($BP21,DADOS!$CL$5:$CM$10,2,FALSE)*IF($BQ21="",1,VLOOKUP($BQ21,DADOS!$CO$5:$CP$7,2,FALSE))*IF($BR21="",1,VLOOKUP($BR21,DADOS!$CR$5:$CS$15,2,FALSE)),4),1)),0),""))</f>
        <v/>
      </c>
      <c r="BT21" s="123" t="n"/>
    </row>
    <row r="22">
      <c r="B22" s="22" t="n"/>
      <c r="C22" s="123" t="n"/>
      <c r="D22" s="21" t="n"/>
      <c r="O22" s="22" t="n"/>
      <c r="P22" s="123" t="n"/>
      <c r="Q22" s="55" t="inlineStr">
        <is>
          <t>TRAÇO · UMA FRASE DA SUA 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23" t="n"/>
      <c r="AV22" s="123" t="n"/>
      <c r="AW22" s="133" t="n"/>
      <c r="AX22" s="133" t="n"/>
      <c r="AY22" s="127" t="n"/>
      <c r="AZ22" s="127" t="n"/>
      <c r="BA22" s="127">
        <f>IF($AX22="","",IFERROR(IF(ROUND(VLOOKUP($AX22,DADOS!$CL$5:$CM$10,2,FALSE)*IF($AY22="",1,VLOOKUP($AY22,DADOS!$CO$5:$CP$7,2,FALSE))*IF($AZ22="",1,VLOOKUP($AZ22,DADOS!$CR$5:$CS$15,2,FALSE)),4)&gt;0,MAX(1,FLOOR(ROUND(VLOOKUP($AX22,DADOS!$CL$5:$CM$10,2,FALSE)*IF($AY22="",1,VLOOKUP($AY22,DADOS!$CO$5:$CP$7,2,FALSE))*IF($AZ22="",1,VLOOKUP($AZ22,DADOS!$CR$5:$CS$15,2,FALSE)),4),1)),0),""))</f>
        <v/>
      </c>
      <c r="BB22" s="123" t="n"/>
      <c r="BC22" s="133" t="n"/>
      <c r="BD22" s="133" t="n"/>
      <c r="BE22" s="127" t="n"/>
      <c r="BF22" s="127" t="n"/>
      <c r="BG22" s="127">
        <f>IF($BD22="","",IFERROR(IF(ROUND(VLOOKUP($BD22,DADOS!$CL$5:$CM$10,2,FALSE)*IF($BE22="",1,VLOOKUP($BE22,DADOS!$CO$5:$CP$7,2,FALSE))*IF($BF22="",1,VLOOKUP($BF22,DADOS!$CR$5:$CS$15,2,FALSE)),4)&gt;0,MAX(1,FLOOR(ROUND(VLOOKUP($BD22,DADOS!$CL$5:$CM$10,2,FALSE)*IF($BE22="",1,VLOOKUP($BE22,DADOS!$CO$5:$CP$7,2,FALSE))*IF($BF22="",1,VLOOKUP($BF22,DADOS!$CR$5:$CS$15,2,FALSE)),4),1)),0),""))</f>
        <v/>
      </c>
      <c r="BH22" s="123" t="n"/>
      <c r="BI22" s="133" t="n"/>
      <c r="BJ22" s="133" t="n"/>
      <c r="BK22" s="127" t="n"/>
      <c r="BL22" s="127" t="n"/>
      <c r="BM22" s="127">
        <f>IF($BJ22="","",IFERROR(IF(ROUND(VLOOKUP($BJ22,DADOS!$CL$5:$CM$10,2,FALSE)*IF($BK22="",1,VLOOKUP($BK22,DADOS!$CO$5:$CP$7,2,FALSE))*IF($BL22="",1,VLOOKUP($BL22,DADOS!$CR$5:$CS$15,2,FALSE)),4)&gt;0,MAX(1,FLOOR(ROUND(VLOOKUP($BJ22,DADOS!$CL$5:$CM$10,2,FALSE)*IF($BK22="",1,VLOOKUP($BK22,DADOS!$CO$5:$CP$7,2,FALSE))*IF($BL22="",1,VLOOKUP($BL22,DADOS!$CR$5:$CS$15,2,FALSE)),4),1)),0),""))</f>
        <v/>
      </c>
      <c r="BN22" s="123" t="n"/>
      <c r="BO22" s="133" t="n"/>
      <c r="BP22" s="133" t="n"/>
      <c r="BQ22" s="127" t="n"/>
      <c r="BR22" s="127" t="n"/>
      <c r="BS22" s="127">
        <f>IF($BP22="","",IFERROR(IF(ROUND(VLOOKUP($BP22,DADOS!$CL$5:$CM$10,2,FALSE)*IF($BQ22="",1,VLOOKUP($BQ22,DADOS!$CO$5:$CP$7,2,FALSE))*IF($BR22="",1,VLOOKUP($BR22,DADOS!$CR$5:$CS$15,2,FALSE)),4)&gt;0,MAX(1,FLOOR(ROUND(VLOOKUP($BP22,DADOS!$CL$5:$CM$10,2,FALSE)*IF($BQ22="",1,VLOOKUP($BQ22,DADOS!$CO$5:$CP$7,2,FALSE))*IF($BR22="",1,VLOOKUP($BR22,DADOS!$CR$5:$CS$15,2,FALSE)),4),1)),0),""))</f>
        <v/>
      </c>
      <c r="BT22" s="123" t="n"/>
    </row>
    <row r="23">
      <c r="B23" s="22" t="n"/>
      <c r="C23" s="123" t="n"/>
      <c r="D23" s="21" t="n"/>
      <c r="O23" s="22" t="n"/>
      <c r="P23" s="123" t="n"/>
      <c r="Q23" s="119"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23" t="n"/>
      <c r="AV23" s="123" t="n"/>
      <c r="AW23" s="133" t="n"/>
      <c r="AX23" s="133" t="n"/>
      <c r="AY23" s="127" t="n"/>
      <c r="AZ23" s="127" t="n"/>
      <c r="BA23" s="127">
        <f>IF($AX23="","",IFERROR(IF(ROUND(VLOOKUP($AX23,DADOS!$CL$5:$CM$10,2,FALSE)*IF($AY23="",1,VLOOKUP($AY23,DADOS!$CO$5:$CP$7,2,FALSE))*IF($AZ23="",1,VLOOKUP($AZ23,DADOS!$CR$5:$CS$15,2,FALSE)),4)&gt;0,MAX(1,FLOOR(ROUND(VLOOKUP($AX23,DADOS!$CL$5:$CM$10,2,FALSE)*IF($AY23="",1,VLOOKUP($AY23,DADOS!$CO$5:$CP$7,2,FALSE))*IF($AZ23="",1,VLOOKUP($AZ23,DADOS!$CR$5:$CS$15,2,FALSE)),4),1)),0),""))</f>
        <v/>
      </c>
      <c r="BB23" s="123" t="n"/>
      <c r="BC23" s="133" t="n"/>
      <c r="BD23" s="133" t="n"/>
      <c r="BE23" s="127" t="n"/>
      <c r="BF23" s="127" t="n"/>
      <c r="BG23" s="127">
        <f>IF($BD23="","",IFERROR(IF(ROUND(VLOOKUP($BD23,DADOS!$CL$5:$CM$10,2,FALSE)*IF($BE23="",1,VLOOKUP($BE23,DADOS!$CO$5:$CP$7,2,FALSE))*IF($BF23="",1,VLOOKUP($BF23,DADOS!$CR$5:$CS$15,2,FALSE)),4)&gt;0,MAX(1,FLOOR(ROUND(VLOOKUP($BD23,DADOS!$CL$5:$CM$10,2,FALSE)*IF($BE23="",1,VLOOKUP($BE23,DADOS!$CO$5:$CP$7,2,FALSE))*IF($BF23="",1,VLOOKUP($BF23,DADOS!$CR$5:$CS$15,2,FALSE)),4),1)),0),""))</f>
        <v/>
      </c>
      <c r="BH23" s="123" t="n"/>
      <c r="BI23" s="133" t="n"/>
      <c r="BJ23" s="133" t="n"/>
      <c r="BK23" s="127" t="n"/>
      <c r="BL23" s="127" t="n"/>
      <c r="BM23" s="127">
        <f>IF($BJ23="","",IFERROR(IF(ROUND(VLOOKUP($BJ23,DADOS!$CL$5:$CM$10,2,FALSE)*IF($BK23="",1,VLOOKUP($BK23,DADOS!$CO$5:$CP$7,2,FALSE))*IF($BL23="",1,VLOOKUP($BL23,DADOS!$CR$5:$CS$15,2,FALSE)),4)&gt;0,MAX(1,FLOOR(ROUND(VLOOKUP($BJ23,DADOS!$CL$5:$CM$10,2,FALSE)*IF($BK23="",1,VLOOKUP($BK23,DADOS!$CO$5:$CP$7,2,FALSE))*IF($BL23="",1,VLOOKUP($BL23,DADOS!$CR$5:$CS$15,2,FALSE)),4),1)),0),""))</f>
        <v/>
      </c>
      <c r="BN23" s="123" t="n"/>
      <c r="BO23" s="133" t="n"/>
      <c r="BP23" s="133" t="n"/>
      <c r="BQ23" s="127" t="n"/>
      <c r="BR23" s="127" t="n"/>
      <c r="BS23" s="127">
        <f>IF($BP23="","",IFERROR(IF(ROUND(VLOOKUP($BP23,DADOS!$CL$5:$CM$10,2,FALSE)*IF($BQ23="",1,VLOOKUP($BQ23,DADOS!$CO$5:$CP$7,2,FALSE))*IF($BR23="",1,VLOOKUP($BR23,DADOS!$CR$5:$CS$15,2,FALSE)),4)&gt;0,MAX(1,FLOOR(ROUND(VLOOKUP($BP23,DADOS!$CL$5:$CM$10,2,FALSE)*IF($BQ23="",1,VLOOKUP($BQ23,DADOS!$CO$5:$CP$7,2,FALSE))*IF($BR23="",1,VLOOKUP($BR23,DADOS!$CR$5:$CS$15,2,FALSE)),4),1)),0),""))</f>
        <v/>
      </c>
      <c r="BT23" s="123" t="n"/>
    </row>
    <row r="24">
      <c r="B24" s="22" t="n"/>
      <c r="C24" s="123" t="n"/>
      <c r="D24" s="21" t="n"/>
      <c r="O24" s="22" t="n"/>
      <c r="P24" s="123" t="n"/>
      <c r="Q24" s="23"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5" t="n"/>
      <c r="AU24" s="123" t="n"/>
      <c r="AV24" s="123" t="n"/>
      <c r="AW24" s="133" t="n"/>
      <c r="AX24" s="133" t="n"/>
      <c r="AY24" s="127" t="n"/>
      <c r="AZ24" s="127" t="n"/>
      <c r="BA24" s="127">
        <f>IF($AX24="","",IFERROR(IF(ROUND(VLOOKUP($AX24,DADOS!$CL$5:$CM$10,2,FALSE)*IF($AY24="",1,VLOOKUP($AY24,DADOS!$CO$5:$CP$7,2,FALSE))*IF($AZ24="",1,VLOOKUP($AZ24,DADOS!$CR$5:$CS$15,2,FALSE)),4)&gt;0,MAX(1,FLOOR(ROUND(VLOOKUP($AX24,DADOS!$CL$5:$CM$10,2,FALSE)*IF($AY24="",1,VLOOKUP($AY24,DADOS!$CO$5:$CP$7,2,FALSE))*IF($AZ24="",1,VLOOKUP($AZ24,DADOS!$CR$5:$CS$15,2,FALSE)),4),1)),0),""))</f>
        <v/>
      </c>
      <c r="BB24" s="123" t="n"/>
      <c r="BC24" s="133" t="n"/>
      <c r="BD24" s="133" t="n"/>
      <c r="BE24" s="127" t="n"/>
      <c r="BF24" s="127" t="n"/>
      <c r="BG24" s="127">
        <f>IF($BD24="","",IFERROR(IF(ROUND(VLOOKUP($BD24,DADOS!$CL$5:$CM$10,2,FALSE)*IF($BE24="",1,VLOOKUP($BE24,DADOS!$CO$5:$CP$7,2,FALSE))*IF($BF24="",1,VLOOKUP($BF24,DADOS!$CR$5:$CS$15,2,FALSE)),4)&gt;0,MAX(1,FLOOR(ROUND(VLOOKUP($BD24,DADOS!$CL$5:$CM$10,2,FALSE)*IF($BE24="",1,VLOOKUP($BE24,DADOS!$CO$5:$CP$7,2,FALSE))*IF($BF24="",1,VLOOKUP($BF24,DADOS!$CR$5:$CS$15,2,FALSE)),4),1)),0),""))</f>
        <v/>
      </c>
      <c r="BH24" s="123" t="n"/>
      <c r="BI24" s="133" t="n"/>
      <c r="BJ24" s="133" t="n"/>
      <c r="BK24" s="127" t="n"/>
      <c r="BL24" s="127" t="n"/>
      <c r="BM24" s="127">
        <f>IF($BJ24="","",IFERROR(IF(ROUND(VLOOKUP($BJ24,DADOS!$CL$5:$CM$10,2,FALSE)*IF($BK24="",1,VLOOKUP($BK24,DADOS!$CO$5:$CP$7,2,FALSE))*IF($BL24="",1,VLOOKUP($BL24,DADOS!$CR$5:$CS$15,2,FALSE)),4)&gt;0,MAX(1,FLOOR(ROUND(VLOOKUP($BJ24,DADOS!$CL$5:$CM$10,2,FALSE)*IF($BK24="",1,VLOOKUP($BK24,DADOS!$CO$5:$CP$7,2,FALSE))*IF($BL24="",1,VLOOKUP($BL24,DADOS!$CR$5:$CS$15,2,FALSE)),4),1)),0),""))</f>
        <v/>
      </c>
      <c r="BN24" s="123" t="n"/>
      <c r="BO24" s="133" t="n"/>
      <c r="BP24" s="133" t="n"/>
      <c r="BQ24" s="127" t="n"/>
      <c r="BR24" s="127" t="n"/>
      <c r="BS24" s="127">
        <f>IF($BP24="","",IFERROR(IF(ROUND(VLOOKUP($BP24,DADOS!$CL$5:$CM$10,2,FALSE)*IF($BQ24="",1,VLOOKUP($BQ24,DADOS!$CO$5:$CP$7,2,FALSE))*IF($BR24="",1,VLOOKUP($BR24,DADOS!$CR$5:$CS$15,2,FALSE)),4)&gt;0,MAX(1,FLOOR(ROUND(VLOOKUP($BP24,DADOS!$CL$5:$CM$10,2,FALSE)*IF($BQ24="",1,VLOOKUP($BQ24,DADOS!$CO$5:$CP$7,2,FALSE))*IF($BR24="",1,VLOOKUP($BR24,DADOS!$CR$5:$CS$15,2,FALSE)),4),1)),0),""))</f>
        <v/>
      </c>
      <c r="BT24" s="123" t="n"/>
    </row>
    <row r="25">
      <c r="B25" s="22" t="n"/>
      <c r="C25" s="123" t="n"/>
      <c r="D25" s="21" t="n"/>
      <c r="O25" s="22" t="n"/>
      <c r="P25" s="123" t="n"/>
      <c r="Q25" s="123" t="n"/>
      <c r="R25" s="123" t="n"/>
      <c r="S25" s="123" t="n"/>
      <c r="T25" s="123" t="n"/>
      <c r="U25" s="123" t="n"/>
      <c r="V25" s="123" t="n"/>
      <c r="W25" s="123" t="n"/>
      <c r="X25" s="123" t="n"/>
      <c r="Y25" s="123" t="n"/>
      <c r="Z25" s="123" t="n"/>
      <c r="AA25" s="123" t="n"/>
      <c r="AB25" s="123" t="n"/>
      <c r="AC25" s="123" t="n"/>
      <c r="AD25" s="123" t="n"/>
      <c r="AE25" s="123" t="n"/>
      <c r="AF25" s="123" t="n"/>
      <c r="AG25" s="123" t="n"/>
      <c r="AH25" s="123" t="n"/>
      <c r="AI25" s="123" t="n"/>
      <c r="AJ25" s="123" t="n"/>
      <c r="AK25" s="123" t="n"/>
      <c r="AL25" s="123" t="n"/>
      <c r="AM25" s="123" t="n"/>
      <c r="AN25" s="123" t="n"/>
      <c r="AO25" s="123" t="n"/>
      <c r="AP25" s="123" t="n"/>
      <c r="AQ25" s="123" t="n"/>
      <c r="AR25" s="123" t="n"/>
      <c r="AS25" s="123" t="n"/>
      <c r="AT25" s="123" t="n"/>
      <c r="AU25" s="123" t="n"/>
      <c r="AV25" s="123" t="n"/>
      <c r="AW25" s="133" t="n"/>
      <c r="AX25" s="133" t="n"/>
      <c r="AY25" s="127" t="n"/>
      <c r="AZ25" s="127" t="n"/>
      <c r="BA25" s="127">
        <f>IF($AX25="","",IFERROR(IF(ROUND(VLOOKUP($AX25,DADOS!$CL$5:$CM$10,2,FALSE)*IF($AY25="",1,VLOOKUP($AY25,DADOS!$CO$5:$CP$7,2,FALSE))*IF($AZ25="",1,VLOOKUP($AZ25,DADOS!$CR$5:$CS$15,2,FALSE)),4)&gt;0,MAX(1,FLOOR(ROUND(VLOOKUP($AX25,DADOS!$CL$5:$CM$10,2,FALSE)*IF($AY25="",1,VLOOKUP($AY25,DADOS!$CO$5:$CP$7,2,FALSE))*IF($AZ25="",1,VLOOKUP($AZ25,DADOS!$CR$5:$CS$15,2,FALSE)),4),1)),0),""))</f>
        <v/>
      </c>
      <c r="BB25" s="123" t="n"/>
      <c r="BC25" s="133" t="n"/>
      <c r="BD25" s="133" t="n"/>
      <c r="BE25" s="127" t="n"/>
      <c r="BF25" s="127" t="n"/>
      <c r="BG25" s="127">
        <f>IF($BD25="","",IFERROR(IF(ROUND(VLOOKUP($BD25,DADOS!$CL$5:$CM$10,2,FALSE)*IF($BE25="",1,VLOOKUP($BE25,DADOS!$CO$5:$CP$7,2,FALSE))*IF($BF25="",1,VLOOKUP($BF25,DADOS!$CR$5:$CS$15,2,FALSE)),4)&gt;0,MAX(1,FLOOR(ROUND(VLOOKUP($BD25,DADOS!$CL$5:$CM$10,2,FALSE)*IF($BE25="",1,VLOOKUP($BE25,DADOS!$CO$5:$CP$7,2,FALSE))*IF($BF25="",1,VLOOKUP($BF25,DADOS!$CR$5:$CS$15,2,FALSE)),4),1)),0),""))</f>
        <v/>
      </c>
      <c r="BH25" s="123" t="n"/>
      <c r="BI25" s="133" t="n"/>
      <c r="BJ25" s="133" t="n"/>
      <c r="BK25" s="127" t="n"/>
      <c r="BL25" s="127" t="n"/>
      <c r="BM25" s="127">
        <f>IF($BJ25="","",IFERROR(IF(ROUND(VLOOKUP($BJ25,DADOS!$CL$5:$CM$10,2,FALSE)*IF($BK25="",1,VLOOKUP($BK25,DADOS!$CO$5:$CP$7,2,FALSE))*IF($BL25="",1,VLOOKUP($BL25,DADOS!$CR$5:$CS$15,2,FALSE)),4)&gt;0,MAX(1,FLOOR(ROUND(VLOOKUP($BJ25,DADOS!$CL$5:$CM$10,2,FALSE)*IF($BK25="",1,VLOOKUP($BK25,DADOS!$CO$5:$CP$7,2,FALSE))*IF($BL25="",1,VLOOKUP($BL25,DADOS!$CR$5:$CS$15,2,FALSE)),4),1)),0),""))</f>
        <v/>
      </c>
      <c r="BN25" s="123" t="n"/>
      <c r="BO25" s="133" t="n"/>
      <c r="BP25" s="133" t="n"/>
      <c r="BQ25" s="127" t="n"/>
      <c r="BR25" s="127" t="n"/>
      <c r="BS25" s="127">
        <f>IF($BP25="","",IFERROR(IF(ROUND(VLOOKUP($BP25,DADOS!$CL$5:$CM$10,2,FALSE)*IF($BQ25="",1,VLOOKUP($BQ25,DADOS!$CO$5:$CP$7,2,FALSE))*IF($BR25="",1,VLOOKUP($BR25,DADOS!$CR$5:$CS$15,2,FALSE)),4)&gt;0,MAX(1,FLOOR(ROUND(VLOOKUP($BP25,DADOS!$CL$5:$CM$10,2,FALSE)*IF($BQ25="",1,VLOOKUP($BQ25,DADOS!$CO$5:$CP$7,2,FALSE))*IF($BR25="",1,VLOOKUP($BR25,DADOS!$CR$5:$CS$15,2,FALSE)),4),1)),0),""))</f>
        <v/>
      </c>
      <c r="BT25" s="123" t="n"/>
    </row>
    <row r="26">
      <c r="B26" s="22" t="n"/>
      <c r="C26" s="123" t="n"/>
      <c r="D26" s="21" t="n"/>
      <c r="O26" s="22" t="n"/>
      <c r="P26" s="123" t="n"/>
      <c r="Q26" s="55" t="inlineStr">
        <is>
          <t>HISTÓRIA</t>
        </is>
      </c>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7" t="n"/>
      <c r="AU26" s="123" t="n"/>
      <c r="AV26" s="123" t="n"/>
      <c r="AW26" s="133" t="n"/>
      <c r="AX26" s="133" t="n"/>
      <c r="AY26" s="127" t="n"/>
      <c r="AZ26" s="127" t="n"/>
      <c r="BA26" s="127">
        <f>IF($AX26="","",IFERROR(IF(ROUND(VLOOKUP($AX26,DADOS!$CL$5:$CM$10,2,FALSE)*IF($AY26="",1,VLOOKUP($AY26,DADOS!$CO$5:$CP$7,2,FALSE))*IF($AZ26="",1,VLOOKUP($AZ26,DADOS!$CR$5:$CS$15,2,FALSE)),4)&gt;0,MAX(1,FLOOR(ROUND(VLOOKUP($AX26,DADOS!$CL$5:$CM$10,2,FALSE)*IF($AY26="",1,VLOOKUP($AY26,DADOS!$CO$5:$CP$7,2,FALSE))*IF($AZ26="",1,VLOOKUP($AZ26,DADOS!$CR$5:$CS$15,2,FALSE)),4),1)),0),""))</f>
        <v/>
      </c>
      <c r="BB26" s="123" t="n"/>
      <c r="BC26" s="133" t="n"/>
      <c r="BD26" s="133" t="n"/>
      <c r="BE26" s="127" t="n"/>
      <c r="BF26" s="127" t="n"/>
      <c r="BG26" s="127">
        <f>IF($BD26="","",IFERROR(IF(ROUND(VLOOKUP($BD26,DADOS!$CL$5:$CM$10,2,FALSE)*IF($BE26="",1,VLOOKUP($BE26,DADOS!$CO$5:$CP$7,2,FALSE))*IF($BF26="",1,VLOOKUP($BF26,DADOS!$CR$5:$CS$15,2,FALSE)),4)&gt;0,MAX(1,FLOOR(ROUND(VLOOKUP($BD26,DADOS!$CL$5:$CM$10,2,FALSE)*IF($BE26="",1,VLOOKUP($BE26,DADOS!$CO$5:$CP$7,2,FALSE))*IF($BF26="",1,VLOOKUP($BF26,DADOS!$CR$5:$CS$15,2,FALSE)),4),1)),0),""))</f>
        <v/>
      </c>
      <c r="BH26" s="123" t="n"/>
      <c r="BI26" s="133" t="n"/>
      <c r="BJ26" s="133" t="n"/>
      <c r="BK26" s="127" t="n"/>
      <c r="BL26" s="127" t="n"/>
      <c r="BM26" s="127">
        <f>IF($BJ26="","",IFERROR(IF(ROUND(VLOOKUP($BJ26,DADOS!$CL$5:$CM$10,2,FALSE)*IF($BK26="",1,VLOOKUP($BK26,DADOS!$CO$5:$CP$7,2,FALSE))*IF($BL26="",1,VLOOKUP($BL26,DADOS!$CR$5:$CS$15,2,FALSE)),4)&gt;0,MAX(1,FLOOR(ROUND(VLOOKUP($BJ26,DADOS!$CL$5:$CM$10,2,FALSE)*IF($BK26="",1,VLOOKUP($BK26,DADOS!$CO$5:$CP$7,2,FALSE))*IF($BL26="",1,VLOOKUP($BL26,DADOS!$CR$5:$CS$15,2,FALSE)),4),1)),0),""))</f>
        <v/>
      </c>
      <c r="BN26" s="123" t="n"/>
      <c r="BO26" s="133" t="n"/>
      <c r="BP26" s="133" t="n"/>
      <c r="BQ26" s="127" t="n"/>
      <c r="BR26" s="127" t="n"/>
      <c r="BS26" s="127">
        <f>IF($BP26="","",IFERROR(IF(ROUND(VLOOKUP($BP26,DADOS!$CL$5:$CM$10,2,FALSE)*IF($BQ26="",1,VLOOKUP($BQ26,DADOS!$CO$5:$CP$7,2,FALSE))*IF($BR26="",1,VLOOKUP($BR26,DADOS!$CR$5:$CS$15,2,FALSE)),4)&gt;0,MAX(1,FLOOR(ROUND(VLOOKUP($BP26,DADOS!$CL$5:$CM$10,2,FALSE)*IF($BQ26="",1,VLOOKUP($BQ26,DADOS!$CO$5:$CP$7,2,FALSE))*IF($BR26="",1,VLOOKUP($BR26,DADOS!$CR$5:$CS$15,2,FALSE)),4),1)),0),""))</f>
        <v/>
      </c>
      <c r="BT26" s="123" t="n"/>
    </row>
    <row r="27">
      <c r="B27" s="22" t="n"/>
      <c r="C27" s="123" t="n"/>
      <c r="D27" s="21" t="n"/>
      <c r="O27" s="22" t="n"/>
      <c r="P27" s="123" t="n"/>
      <c r="Q27" s="119" t="n"/>
      <c r="R27" s="19"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20" t="n"/>
      <c r="AU27" s="123" t="n"/>
      <c r="AV27" s="123" t="n"/>
      <c r="AW27" s="133" t="n"/>
      <c r="AX27" s="133" t="n"/>
      <c r="AY27" s="127" t="n"/>
      <c r="AZ27" s="127" t="n"/>
      <c r="BA27" s="127">
        <f>IF($AX27="","",IFERROR(IF(ROUND(VLOOKUP($AX27,DADOS!$CL$5:$CM$10,2,FALSE)*IF($AY27="",1,VLOOKUP($AY27,DADOS!$CO$5:$CP$7,2,FALSE))*IF($AZ27="",1,VLOOKUP($AZ27,DADOS!$CR$5:$CS$15,2,FALSE)),4)&gt;0,MAX(1,FLOOR(ROUND(VLOOKUP($AX27,DADOS!$CL$5:$CM$10,2,FALSE)*IF($AY27="",1,VLOOKUP($AY27,DADOS!$CO$5:$CP$7,2,FALSE))*IF($AZ27="",1,VLOOKUP($AZ27,DADOS!$CR$5:$CS$15,2,FALSE)),4),1)),0),""))</f>
        <v/>
      </c>
      <c r="BB27" s="123" t="n"/>
      <c r="BC27" s="133" t="n"/>
      <c r="BD27" s="133" t="n"/>
      <c r="BE27" s="127" t="n"/>
      <c r="BF27" s="127" t="n"/>
      <c r="BG27" s="127">
        <f>IF($BD27="","",IFERROR(IF(ROUND(VLOOKUP($BD27,DADOS!$CL$5:$CM$10,2,FALSE)*IF($BE27="",1,VLOOKUP($BE27,DADOS!$CO$5:$CP$7,2,FALSE))*IF($BF27="",1,VLOOKUP($BF27,DADOS!$CR$5:$CS$15,2,FALSE)),4)&gt;0,MAX(1,FLOOR(ROUND(VLOOKUP($BD27,DADOS!$CL$5:$CM$10,2,FALSE)*IF($BE27="",1,VLOOKUP($BE27,DADOS!$CO$5:$CP$7,2,FALSE))*IF($BF27="",1,VLOOKUP($BF27,DADOS!$CR$5:$CS$15,2,FALSE)),4),1)),0),""))</f>
        <v/>
      </c>
      <c r="BH27" s="123" t="n"/>
      <c r="BI27" s="133" t="n"/>
      <c r="BJ27" s="133" t="n"/>
      <c r="BK27" s="127" t="n"/>
      <c r="BL27" s="127" t="n"/>
      <c r="BM27" s="127">
        <f>IF($BJ27="","",IFERROR(IF(ROUND(VLOOKUP($BJ27,DADOS!$CL$5:$CM$10,2,FALSE)*IF($BK27="",1,VLOOKUP($BK27,DADOS!$CO$5:$CP$7,2,FALSE))*IF($BL27="",1,VLOOKUP($BL27,DADOS!$CR$5:$CS$15,2,FALSE)),4)&gt;0,MAX(1,FLOOR(ROUND(VLOOKUP($BJ27,DADOS!$CL$5:$CM$10,2,FALSE)*IF($BK27="",1,VLOOKUP($BK27,DADOS!$CO$5:$CP$7,2,FALSE))*IF($BL27="",1,VLOOKUP($BL27,DADOS!$CR$5:$CS$15,2,FALSE)),4),1)),0),""))</f>
        <v/>
      </c>
      <c r="BN27" s="123" t="n"/>
      <c r="BO27" s="133" t="n"/>
      <c r="BP27" s="133" t="n"/>
      <c r="BQ27" s="127" t="n"/>
      <c r="BR27" s="127" t="n"/>
      <c r="BS27" s="127">
        <f>IF($BP27="","",IFERROR(IF(ROUND(VLOOKUP($BP27,DADOS!$CL$5:$CM$10,2,FALSE)*IF($BQ27="",1,VLOOKUP($BQ27,DADOS!$CO$5:$CP$7,2,FALSE))*IF($BR27="",1,VLOOKUP($BR27,DADOS!$CR$5:$CS$15,2,FALSE)),4)&gt;0,MAX(1,FLOOR(ROUND(VLOOKUP($BP27,DADOS!$CL$5:$CM$10,2,FALSE)*IF($BQ27="",1,VLOOKUP($BQ27,DADOS!$CO$5:$CP$7,2,FALSE))*IF($BR27="",1,VLOOKUP($BR27,DADOS!$CR$5:$CS$15,2,FALSE)),4),1)),0),""))</f>
        <v/>
      </c>
      <c r="BT27" s="123" t="n"/>
    </row>
    <row r="28">
      <c r="B28" s="22" t="n"/>
      <c r="C28" s="123" t="n"/>
      <c r="D28" s="23" t="n"/>
      <c r="E28" s="24" t="n"/>
      <c r="F28" s="24" t="n"/>
      <c r="G28" s="24" t="n"/>
      <c r="H28" s="24" t="n"/>
      <c r="I28" s="24" t="n"/>
      <c r="J28" s="24" t="n"/>
      <c r="K28" s="24" t="n"/>
      <c r="L28" s="24" t="n"/>
      <c r="M28" s="24" t="n"/>
      <c r="N28" s="24" t="n"/>
      <c r="O28" s="25" t="n"/>
      <c r="P28" s="123" t="n"/>
      <c r="Q28" s="21" t="n"/>
      <c r="AT28" s="22" t="n"/>
      <c r="AU28" s="123" t="n"/>
      <c r="AV28" s="123" t="n"/>
      <c r="AW28" s="133" t="n"/>
      <c r="AX28" s="133" t="n"/>
      <c r="AY28" s="127" t="n"/>
      <c r="AZ28" s="127" t="n"/>
      <c r="BA28" s="127">
        <f>IF($AX28="","",IFERROR(IF(ROUND(VLOOKUP($AX28,DADOS!$CL$5:$CM$10,2,FALSE)*IF($AY28="",1,VLOOKUP($AY28,DADOS!$CO$5:$CP$7,2,FALSE))*IF($AZ28="",1,VLOOKUP($AZ28,DADOS!$CR$5:$CS$15,2,FALSE)),4)&gt;0,MAX(1,FLOOR(ROUND(VLOOKUP($AX28,DADOS!$CL$5:$CM$10,2,FALSE)*IF($AY28="",1,VLOOKUP($AY28,DADOS!$CO$5:$CP$7,2,FALSE))*IF($AZ28="",1,VLOOKUP($AZ28,DADOS!$CR$5:$CS$15,2,FALSE)),4),1)),0),""))</f>
        <v/>
      </c>
      <c r="BB28" s="123" t="n"/>
      <c r="BC28" s="133" t="n"/>
      <c r="BD28" s="133" t="n"/>
      <c r="BE28" s="127" t="n"/>
      <c r="BF28" s="127" t="n"/>
      <c r="BG28" s="127">
        <f>IF($BD28="","",IFERROR(IF(ROUND(VLOOKUP($BD28,DADOS!$CL$5:$CM$10,2,FALSE)*IF($BE28="",1,VLOOKUP($BE28,DADOS!$CO$5:$CP$7,2,FALSE))*IF($BF28="",1,VLOOKUP($BF28,DADOS!$CR$5:$CS$15,2,FALSE)),4)&gt;0,MAX(1,FLOOR(ROUND(VLOOKUP($BD28,DADOS!$CL$5:$CM$10,2,FALSE)*IF($BE28="",1,VLOOKUP($BE28,DADOS!$CO$5:$CP$7,2,FALSE))*IF($BF28="",1,VLOOKUP($BF28,DADOS!$CR$5:$CS$15,2,FALSE)),4),1)),0),""))</f>
        <v/>
      </c>
      <c r="BH28" s="123" t="n"/>
      <c r="BI28" s="133" t="n"/>
      <c r="BJ28" s="133" t="n"/>
      <c r="BK28" s="127" t="n"/>
      <c r="BL28" s="127" t="n"/>
      <c r="BM28" s="127">
        <f>IF($BJ28="","",IFERROR(IF(ROUND(VLOOKUP($BJ28,DADOS!$CL$5:$CM$10,2,FALSE)*IF($BK28="",1,VLOOKUP($BK28,DADOS!$CO$5:$CP$7,2,FALSE))*IF($BL28="",1,VLOOKUP($BL28,DADOS!$CR$5:$CS$15,2,FALSE)),4)&gt;0,MAX(1,FLOOR(ROUND(VLOOKUP($BJ28,DADOS!$CL$5:$CM$10,2,FALSE)*IF($BK28="",1,VLOOKUP($BK28,DADOS!$CO$5:$CP$7,2,FALSE))*IF($BL28="",1,VLOOKUP($BL28,DADOS!$CR$5:$CS$15,2,FALSE)),4),1)),0),""))</f>
        <v/>
      </c>
      <c r="BN28" s="123" t="n"/>
      <c r="BO28" s="133" t="n"/>
      <c r="BP28" s="133" t="n"/>
      <c r="BQ28" s="127" t="n"/>
      <c r="BR28" s="127" t="n"/>
      <c r="BS28" s="127">
        <f>IF($BP28="","",IFERROR(IF(ROUND(VLOOKUP($BP28,DADOS!$CL$5:$CM$10,2,FALSE)*IF($BQ28="",1,VLOOKUP($BQ28,DADOS!$CO$5:$CP$7,2,FALSE))*IF($BR28="",1,VLOOKUP($BR28,DADOS!$CR$5:$CS$15,2,FALSE)),4)&gt;0,MAX(1,FLOOR(ROUND(VLOOKUP($BP28,DADOS!$CL$5:$CM$10,2,FALSE)*IF($BQ28="",1,VLOOKUP($BQ28,DADOS!$CO$5:$CP$7,2,FALSE))*IF($BR28="",1,VLOOKUP($BR28,DADOS!$CR$5:$CS$15,2,FALSE)),4),1)),0),""))</f>
        <v/>
      </c>
      <c r="BT28" s="123" t="n"/>
    </row>
    <row r="29">
      <c r="B29" s="22" t="n"/>
      <c r="C29" s="123" t="n"/>
      <c r="D29" s="123" t="n"/>
      <c r="E29" s="123" t="n"/>
      <c r="F29" s="123" t="n"/>
      <c r="G29" s="123" t="n"/>
      <c r="H29" s="123" t="n"/>
      <c r="I29" s="123" t="n"/>
      <c r="J29" s="123" t="n"/>
      <c r="K29" s="123" t="n"/>
      <c r="L29" s="123" t="n"/>
      <c r="M29" s="123" t="n"/>
      <c r="N29" s="123" t="n"/>
      <c r="O29" s="123" t="n"/>
      <c r="P29" s="123" t="n"/>
      <c r="Q29" s="21" t="n"/>
      <c r="AT29" s="22" t="n"/>
      <c r="AU29" s="123" t="n"/>
      <c r="AV29" s="123" t="n"/>
      <c r="AW29" s="133" t="n"/>
      <c r="AX29" s="133" t="n"/>
      <c r="AY29" s="127" t="n"/>
      <c r="AZ29" s="127" t="n"/>
      <c r="BA29" s="127">
        <f>IF($AX29="","",IFERROR(IF(ROUND(VLOOKUP($AX29,DADOS!$CL$5:$CM$10,2,FALSE)*IF($AY29="",1,VLOOKUP($AY29,DADOS!$CO$5:$CP$7,2,FALSE))*IF($AZ29="",1,VLOOKUP($AZ29,DADOS!$CR$5:$CS$15,2,FALSE)),4)&gt;0,MAX(1,FLOOR(ROUND(VLOOKUP($AX29,DADOS!$CL$5:$CM$10,2,FALSE)*IF($AY29="",1,VLOOKUP($AY29,DADOS!$CO$5:$CP$7,2,FALSE))*IF($AZ29="",1,VLOOKUP($AZ29,DADOS!$CR$5:$CS$15,2,FALSE)),4),1)),0),""))</f>
        <v/>
      </c>
      <c r="BB29" s="123" t="n"/>
      <c r="BC29" s="133" t="n"/>
      <c r="BD29" s="133" t="n"/>
      <c r="BE29" s="127" t="n"/>
      <c r="BF29" s="127" t="n"/>
      <c r="BG29" s="127">
        <f>IF($BD29="","",IFERROR(IF(ROUND(VLOOKUP($BD29,DADOS!$CL$5:$CM$10,2,FALSE)*IF($BE29="",1,VLOOKUP($BE29,DADOS!$CO$5:$CP$7,2,FALSE))*IF($BF29="",1,VLOOKUP($BF29,DADOS!$CR$5:$CS$15,2,FALSE)),4)&gt;0,MAX(1,FLOOR(ROUND(VLOOKUP($BD29,DADOS!$CL$5:$CM$10,2,FALSE)*IF($BE29="",1,VLOOKUP($BE29,DADOS!$CO$5:$CP$7,2,FALSE))*IF($BF29="",1,VLOOKUP($BF29,DADOS!$CR$5:$CS$15,2,FALSE)),4),1)),0),""))</f>
        <v/>
      </c>
      <c r="BH29" s="123" t="n"/>
      <c r="BI29" s="133" t="n"/>
      <c r="BJ29" s="133" t="n"/>
      <c r="BK29" s="127" t="n"/>
      <c r="BL29" s="127" t="n"/>
      <c r="BM29" s="127">
        <f>IF($BJ29="","",IFERROR(IF(ROUND(VLOOKUP($BJ29,DADOS!$CL$5:$CM$10,2,FALSE)*IF($BK29="",1,VLOOKUP($BK29,DADOS!$CO$5:$CP$7,2,FALSE))*IF($BL29="",1,VLOOKUP($BL29,DADOS!$CR$5:$CS$15,2,FALSE)),4)&gt;0,MAX(1,FLOOR(ROUND(VLOOKUP($BJ29,DADOS!$CL$5:$CM$10,2,FALSE)*IF($BK29="",1,VLOOKUP($BK29,DADOS!$CO$5:$CP$7,2,FALSE))*IF($BL29="",1,VLOOKUP($BL29,DADOS!$CR$5:$CS$15,2,FALSE)),4),1)),0),""))</f>
        <v/>
      </c>
      <c r="BN29" s="123" t="n"/>
      <c r="BO29" s="133" t="n"/>
      <c r="BP29" s="133" t="n"/>
      <c r="BQ29" s="127" t="n"/>
      <c r="BR29" s="127" t="n"/>
      <c r="BS29" s="127">
        <f>IF($BP29="","",IFERROR(IF(ROUND(VLOOKUP($BP29,DADOS!$CL$5:$CM$10,2,FALSE)*IF($BQ29="",1,VLOOKUP($BQ29,DADOS!$CO$5:$CP$7,2,FALSE))*IF($BR29="",1,VLOOKUP($BR29,DADOS!$CR$5:$CS$15,2,FALSE)),4)&gt;0,MAX(1,FLOOR(ROUND(VLOOKUP($BP29,DADOS!$CL$5:$CM$10,2,FALSE)*IF($BQ29="",1,VLOOKUP($BQ29,DADOS!$CO$5:$CP$7,2,FALSE))*IF($BR29="",1,VLOOKUP($BR29,DADOS!$CR$5:$CS$15,2,FALSE)),4),1)),0),""))</f>
        <v/>
      </c>
      <c r="BT29" s="123" t="n"/>
    </row>
    <row r="30">
      <c r="A30" s="8" t="n"/>
      <c r="B30" s="14" t="n"/>
      <c r="C30" s="123" t="n"/>
      <c r="D30" s="55" t="inlineStr">
        <is>
          <t>PERSONALIDADE</t>
        </is>
      </c>
      <c r="E30" s="16" t="n"/>
      <c r="F30" s="16" t="n"/>
      <c r="G30" s="16" t="n"/>
      <c r="H30" s="16" t="n"/>
      <c r="I30" s="16" t="n"/>
      <c r="J30" s="16" t="n"/>
      <c r="K30" s="16" t="n"/>
      <c r="L30" s="16" t="n"/>
      <c r="M30" s="16" t="n"/>
      <c r="N30" s="16" t="n"/>
      <c r="O30" s="17" t="n"/>
      <c r="P30" s="123" t="n"/>
      <c r="Q30" s="21" t="n"/>
      <c r="AT30" s="22" t="n"/>
      <c r="AU30" s="123" t="n"/>
      <c r="AV30" s="123" t="n"/>
      <c r="AW30" s="133" t="n"/>
      <c r="AX30" s="133" t="n"/>
      <c r="AY30" s="127" t="n"/>
      <c r="AZ30" s="127" t="n"/>
      <c r="BA30" s="127">
        <f>IF($AX30="","",IFERROR(IF(ROUND(VLOOKUP($AX30,DADOS!$CL$5:$CM$10,2,FALSE)*IF($AY30="",1,VLOOKUP($AY30,DADOS!$CO$5:$CP$7,2,FALSE))*IF($AZ30="",1,VLOOKUP($AZ30,DADOS!$CR$5:$CS$15,2,FALSE)),4)&gt;0,MAX(1,FLOOR(ROUND(VLOOKUP($AX30,DADOS!$CL$5:$CM$10,2,FALSE)*IF($AY30="",1,VLOOKUP($AY30,DADOS!$CO$5:$CP$7,2,FALSE))*IF($AZ30="",1,VLOOKUP($AZ30,DADOS!$CR$5:$CS$15,2,FALSE)),4),1)),0),""))</f>
        <v/>
      </c>
      <c r="BB30" s="123" t="n"/>
      <c r="BC30" s="133" t="n"/>
      <c r="BD30" s="133" t="n"/>
      <c r="BE30" s="127" t="n"/>
      <c r="BF30" s="127" t="n"/>
      <c r="BG30" s="127">
        <f>IF($BD30="","",IFERROR(IF(ROUND(VLOOKUP($BD30,DADOS!$CL$5:$CM$10,2,FALSE)*IF($BE30="",1,VLOOKUP($BE30,DADOS!$CO$5:$CP$7,2,FALSE))*IF($BF30="",1,VLOOKUP($BF30,DADOS!$CR$5:$CS$15,2,FALSE)),4)&gt;0,MAX(1,FLOOR(ROUND(VLOOKUP($BD30,DADOS!$CL$5:$CM$10,2,FALSE)*IF($BE30="",1,VLOOKUP($BE30,DADOS!$CO$5:$CP$7,2,FALSE))*IF($BF30="",1,VLOOKUP($BF30,DADOS!$CR$5:$CS$15,2,FALSE)),4),1)),0),""))</f>
        <v/>
      </c>
      <c r="BH30" s="123" t="n"/>
      <c r="BI30" s="133" t="n"/>
      <c r="BJ30" s="133" t="n"/>
      <c r="BK30" s="127" t="n"/>
      <c r="BL30" s="127" t="n"/>
      <c r="BM30" s="127">
        <f>IF($BJ30="","",IFERROR(IF(ROUND(VLOOKUP($BJ30,DADOS!$CL$5:$CM$10,2,FALSE)*IF($BK30="",1,VLOOKUP($BK30,DADOS!$CO$5:$CP$7,2,FALSE))*IF($BL30="",1,VLOOKUP($BL30,DADOS!$CR$5:$CS$15,2,FALSE)),4)&gt;0,MAX(1,FLOOR(ROUND(VLOOKUP($BJ30,DADOS!$CL$5:$CM$10,2,FALSE)*IF($BK30="",1,VLOOKUP($BK30,DADOS!$CO$5:$CP$7,2,FALSE))*IF($BL30="",1,VLOOKUP($BL30,DADOS!$CR$5:$CS$15,2,FALSE)),4),1)),0),""))</f>
        <v/>
      </c>
      <c r="BN30" s="123" t="n"/>
      <c r="BO30" s="133" t="n"/>
      <c r="BP30" s="133" t="n"/>
      <c r="BQ30" s="127" t="n"/>
      <c r="BR30" s="127" t="n"/>
      <c r="BS30" s="127">
        <f>IF($BP30="","",IFERROR(IF(ROUND(VLOOKUP($BP30,DADOS!$CL$5:$CM$10,2,FALSE)*IF($BQ30="",1,VLOOKUP($BQ30,DADOS!$CO$5:$CP$7,2,FALSE))*IF($BR30="",1,VLOOKUP($BR30,DADOS!$CR$5:$CS$15,2,FALSE)),4)&gt;0,MAX(1,FLOOR(ROUND(VLOOKUP($BP30,DADOS!$CL$5:$CM$10,2,FALSE)*IF($BQ30="",1,VLOOKUP($BQ30,DADOS!$CO$5:$CP$7,2,FALSE))*IF($BR30="",1,VLOOKUP($BR30,DADOS!$CR$5:$CS$15,2,FALSE)),4),1)),0),""))</f>
        <v/>
      </c>
      <c r="BT30" s="123" t="n"/>
    </row>
    <row r="31">
      <c r="A31" s="8" t="n"/>
      <c r="B31" s="14" t="n"/>
      <c r="C31" s="123" t="n"/>
      <c r="D31" s="119" t="n"/>
      <c r="E31" s="19" t="n"/>
      <c r="F31" s="19" t="n"/>
      <c r="G31" s="19" t="n"/>
      <c r="H31" s="19" t="n"/>
      <c r="I31" s="19" t="n"/>
      <c r="J31" s="19" t="n"/>
      <c r="K31" s="19" t="n"/>
      <c r="L31" s="19" t="n"/>
      <c r="M31" s="19" t="n"/>
      <c r="N31" s="19" t="n"/>
      <c r="O31" s="20" t="n"/>
      <c r="P31" s="123" t="n"/>
      <c r="Q31" s="21" t="n"/>
      <c r="AT31" s="22" t="n"/>
      <c r="AU31" s="123" t="n"/>
      <c r="AV31" s="123" t="n"/>
      <c r="AW31" s="133" t="n"/>
      <c r="AX31" s="133" t="n"/>
      <c r="AY31" s="127" t="n"/>
      <c r="AZ31" s="127" t="n"/>
      <c r="BA31" s="127">
        <f>IF($AX31="","",IFERROR(IF(ROUND(VLOOKUP($AX31,DADOS!$CL$5:$CM$10,2,FALSE)*IF($AY31="",1,VLOOKUP($AY31,DADOS!$CO$5:$CP$7,2,FALSE))*IF($AZ31="",1,VLOOKUP($AZ31,DADOS!$CR$5:$CS$15,2,FALSE)),4)&gt;0,MAX(1,FLOOR(ROUND(VLOOKUP($AX31,DADOS!$CL$5:$CM$10,2,FALSE)*IF($AY31="",1,VLOOKUP($AY31,DADOS!$CO$5:$CP$7,2,FALSE))*IF($AZ31="",1,VLOOKUP($AZ31,DADOS!$CR$5:$CS$15,2,FALSE)),4),1)),0),""))</f>
        <v/>
      </c>
      <c r="BB31" s="123" t="n"/>
      <c r="BC31" s="133" t="n"/>
      <c r="BD31" s="133" t="n"/>
      <c r="BE31" s="127" t="n"/>
      <c r="BF31" s="127" t="n"/>
      <c r="BG31" s="127">
        <f>IF($BD31="","",IFERROR(IF(ROUND(VLOOKUP($BD31,DADOS!$CL$5:$CM$10,2,FALSE)*IF($BE31="",1,VLOOKUP($BE31,DADOS!$CO$5:$CP$7,2,FALSE))*IF($BF31="",1,VLOOKUP($BF31,DADOS!$CR$5:$CS$15,2,FALSE)),4)&gt;0,MAX(1,FLOOR(ROUND(VLOOKUP($BD31,DADOS!$CL$5:$CM$10,2,FALSE)*IF($BE31="",1,VLOOKUP($BE31,DADOS!$CO$5:$CP$7,2,FALSE))*IF($BF31="",1,VLOOKUP($BF31,DADOS!$CR$5:$CS$15,2,FALSE)),4),1)),0),""))</f>
        <v/>
      </c>
      <c r="BH31" s="123" t="n"/>
      <c r="BI31" s="133" t="n"/>
      <c r="BJ31" s="133" t="n"/>
      <c r="BK31" s="127" t="n"/>
      <c r="BL31" s="127" t="n"/>
      <c r="BM31" s="127">
        <f>IF($BJ31="","",IFERROR(IF(ROUND(VLOOKUP($BJ31,DADOS!$CL$5:$CM$10,2,FALSE)*IF($BK31="",1,VLOOKUP($BK31,DADOS!$CO$5:$CP$7,2,FALSE))*IF($BL31="",1,VLOOKUP($BL31,DADOS!$CR$5:$CS$15,2,FALSE)),4)&gt;0,MAX(1,FLOOR(ROUND(VLOOKUP($BJ31,DADOS!$CL$5:$CM$10,2,FALSE)*IF($BK31="",1,VLOOKUP($BK31,DADOS!$CO$5:$CP$7,2,FALSE))*IF($BL31="",1,VLOOKUP($BL31,DADOS!$CR$5:$CS$15,2,FALSE)),4),1)),0),""))</f>
        <v/>
      </c>
      <c r="BN31" s="123" t="n"/>
      <c r="BO31" s="133" t="n"/>
      <c r="BP31" s="133" t="n"/>
      <c r="BQ31" s="127" t="n"/>
      <c r="BR31" s="127" t="n"/>
      <c r="BS31" s="127">
        <f>IF($BP31="","",IFERROR(IF(ROUND(VLOOKUP($BP31,DADOS!$CL$5:$CM$10,2,FALSE)*IF($BQ31="",1,VLOOKUP($BQ31,DADOS!$CO$5:$CP$7,2,FALSE))*IF($BR31="",1,VLOOKUP($BR31,DADOS!$CR$5:$CS$15,2,FALSE)),4)&gt;0,MAX(1,FLOOR(ROUND(VLOOKUP($BP31,DADOS!$CL$5:$CM$10,2,FALSE)*IF($BQ31="",1,VLOOKUP($BQ31,DADOS!$CO$5:$CP$7,2,FALSE))*IF($BR31="",1,VLOOKUP($BR31,DADOS!$CR$5:$CS$15,2,FALSE)),4),1)),0),""))</f>
        <v/>
      </c>
      <c r="BT31" s="123" t="n"/>
    </row>
    <row r="32">
      <c r="A32" s="8" t="n"/>
      <c r="B32" s="14" t="n"/>
      <c r="C32" s="123" t="n"/>
      <c r="D32" s="21" t="n"/>
      <c r="O32" s="22" t="n"/>
      <c r="P32" s="123" t="n"/>
      <c r="Q32" s="23"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5" t="n"/>
      <c r="AU32" s="123" t="n"/>
      <c r="AV32" s="123" t="n"/>
      <c r="AW32" s="133" t="n"/>
      <c r="AX32" s="133" t="n"/>
      <c r="AY32" s="127" t="n"/>
      <c r="AZ32" s="127" t="n"/>
      <c r="BA32" s="127">
        <f>IF($AX32="","",IFERROR(IF(ROUND(VLOOKUP($AX32,DADOS!$CL$5:$CM$10,2,FALSE)*IF($AY32="",1,VLOOKUP($AY32,DADOS!$CO$5:$CP$7,2,FALSE))*IF($AZ32="",1,VLOOKUP($AZ32,DADOS!$CR$5:$CS$15,2,FALSE)),4)&gt;0,MAX(1,FLOOR(ROUND(VLOOKUP($AX32,DADOS!$CL$5:$CM$10,2,FALSE)*IF($AY32="",1,VLOOKUP($AY32,DADOS!$CO$5:$CP$7,2,FALSE))*IF($AZ32="",1,VLOOKUP($AZ32,DADOS!$CR$5:$CS$15,2,FALSE)),4),1)),0),""))</f>
        <v/>
      </c>
      <c r="BB32" s="123" t="n"/>
      <c r="BC32" s="133" t="n"/>
      <c r="BD32" s="133" t="n"/>
      <c r="BE32" s="127" t="n"/>
      <c r="BF32" s="127" t="n"/>
      <c r="BG32" s="127">
        <f>IF($BD32="","",IFERROR(IF(ROUND(VLOOKUP($BD32,DADOS!$CL$5:$CM$10,2,FALSE)*IF($BE32="",1,VLOOKUP($BE32,DADOS!$CO$5:$CP$7,2,FALSE))*IF($BF32="",1,VLOOKUP($BF32,DADOS!$CR$5:$CS$15,2,FALSE)),4)&gt;0,MAX(1,FLOOR(ROUND(VLOOKUP($BD32,DADOS!$CL$5:$CM$10,2,FALSE)*IF($BE32="",1,VLOOKUP($BE32,DADOS!$CO$5:$CP$7,2,FALSE))*IF($BF32="",1,VLOOKUP($BF32,DADOS!$CR$5:$CS$15,2,FALSE)),4),1)),0),""))</f>
        <v/>
      </c>
      <c r="BH32" s="123" t="n"/>
      <c r="BI32" s="133" t="n"/>
      <c r="BJ32" s="133" t="n"/>
      <c r="BK32" s="127" t="n"/>
      <c r="BL32" s="127" t="n"/>
      <c r="BM32" s="127">
        <f>IF($BJ32="","",IFERROR(IF(ROUND(VLOOKUP($BJ32,DADOS!$CL$5:$CM$10,2,FALSE)*IF($BK32="",1,VLOOKUP($BK32,DADOS!$CO$5:$CP$7,2,FALSE))*IF($BL32="",1,VLOOKUP($BL32,DADOS!$CR$5:$CS$15,2,FALSE)),4)&gt;0,MAX(1,FLOOR(ROUND(VLOOKUP($BJ32,DADOS!$CL$5:$CM$10,2,FALSE)*IF($BK32="",1,VLOOKUP($BK32,DADOS!$CO$5:$CP$7,2,FALSE))*IF($BL32="",1,VLOOKUP($BL32,DADOS!$CR$5:$CS$15,2,FALSE)),4),1)),0),""))</f>
        <v/>
      </c>
      <c r="BN32" s="123" t="n"/>
      <c r="BO32" s="133" t="n"/>
      <c r="BP32" s="133" t="n"/>
      <c r="BQ32" s="127" t="n"/>
      <c r="BR32" s="127" t="n"/>
      <c r="BS32" s="127">
        <f>IF($BP32="","",IFERROR(IF(ROUND(VLOOKUP($BP32,DADOS!$CL$5:$CM$10,2,FALSE)*IF($BQ32="",1,VLOOKUP($BQ32,DADOS!$CO$5:$CP$7,2,FALSE))*IF($BR32="",1,VLOOKUP($BR32,DADOS!$CR$5:$CS$15,2,FALSE)),4)&gt;0,MAX(1,FLOOR(ROUND(VLOOKUP($BP32,DADOS!$CL$5:$CM$10,2,FALSE)*IF($BQ32="",1,VLOOKUP($BQ32,DADOS!$CO$5:$CP$7,2,FALSE))*IF($BR32="",1,VLOOKUP($BR32,DADOS!$CR$5:$CS$15,2,FALSE)),4),1)),0),""))</f>
        <v/>
      </c>
      <c r="BT32" s="123" t="n"/>
    </row>
    <row r="33">
      <c r="A33" s="48" t="inlineStr">
        <is>
          <t>FICHA PESSOAL</t>
        </is>
      </c>
      <c r="B33" s="22" t="n"/>
      <c r="C33" s="123" t="n"/>
      <c r="D33" s="21" t="n"/>
      <c r="O33" s="22" t="n"/>
      <c r="P33" s="123" t="n"/>
      <c r="Q33" s="123" t="n"/>
      <c r="R33" s="123" t="n"/>
      <c r="S33" s="123" t="n"/>
      <c r="T33" s="123" t="n"/>
      <c r="U33" s="123" t="n"/>
      <c r="V33" s="123" t="n"/>
      <c r="W33" s="123" t="n"/>
      <c r="X33" s="123" t="n"/>
      <c r="Y33" s="123" t="n"/>
      <c r="Z33" s="123" t="n"/>
      <c r="AA33" s="123" t="n"/>
      <c r="AB33" s="123" t="n"/>
      <c r="AC33" s="123" t="n"/>
      <c r="AD33" s="123" t="n"/>
      <c r="AE33" s="123" t="n"/>
      <c r="AF33" s="123" t="n"/>
      <c r="AG33" s="123" t="n"/>
      <c r="AH33" s="123" t="n"/>
      <c r="AI33" s="123" t="n"/>
      <c r="AJ33" s="123" t="n"/>
      <c r="AK33" s="123" t="n"/>
      <c r="AL33" s="123" t="n"/>
      <c r="AM33" s="123" t="n"/>
      <c r="AN33" s="123" t="n"/>
      <c r="AO33" s="123" t="n"/>
      <c r="AP33" s="123" t="n"/>
      <c r="AQ33" s="123" t="n"/>
      <c r="AR33" s="123" t="n"/>
      <c r="AS33" s="123" t="n"/>
      <c r="AT33" s="123" t="n"/>
      <c r="AU33" s="123" t="n"/>
      <c r="AV33" s="123" t="n"/>
      <c r="AW33" s="133" t="n"/>
      <c r="AX33" s="133" t="n"/>
      <c r="AY33" s="127" t="n"/>
      <c r="AZ33" s="127" t="n"/>
      <c r="BA33" s="127">
        <f>IF($AX33="","",IFERROR(IF(ROUND(VLOOKUP($AX33,DADOS!$CL$5:$CM$10,2,FALSE)*IF($AY33="",1,VLOOKUP($AY33,DADOS!$CO$5:$CP$7,2,FALSE))*IF($AZ33="",1,VLOOKUP($AZ33,DADOS!$CR$5:$CS$15,2,FALSE)),4)&gt;0,MAX(1,FLOOR(ROUND(VLOOKUP($AX33,DADOS!$CL$5:$CM$10,2,FALSE)*IF($AY33="",1,VLOOKUP($AY33,DADOS!$CO$5:$CP$7,2,FALSE))*IF($AZ33="",1,VLOOKUP($AZ33,DADOS!$CR$5:$CS$15,2,FALSE)),4),1)),0),""))</f>
        <v/>
      </c>
      <c r="BB33" s="123" t="n"/>
      <c r="BC33" s="133" t="n"/>
      <c r="BD33" s="133" t="n"/>
      <c r="BE33" s="127" t="n"/>
      <c r="BF33" s="127" t="n"/>
      <c r="BG33" s="127">
        <f>IF($BD33="","",IFERROR(IF(ROUND(VLOOKUP($BD33,DADOS!$CL$5:$CM$10,2,FALSE)*IF($BE33="",1,VLOOKUP($BE33,DADOS!$CO$5:$CP$7,2,FALSE))*IF($BF33="",1,VLOOKUP($BF33,DADOS!$CR$5:$CS$15,2,FALSE)),4)&gt;0,MAX(1,FLOOR(ROUND(VLOOKUP($BD33,DADOS!$CL$5:$CM$10,2,FALSE)*IF($BE33="",1,VLOOKUP($BE33,DADOS!$CO$5:$CP$7,2,FALSE))*IF($BF33="",1,VLOOKUP($BF33,DADOS!$CR$5:$CS$15,2,FALSE)),4),1)),0),""))</f>
        <v/>
      </c>
      <c r="BH33" s="123" t="n"/>
      <c r="BI33" s="133" t="n"/>
      <c r="BJ33" s="133" t="n"/>
      <c r="BK33" s="127" t="n"/>
      <c r="BL33" s="127" t="n"/>
      <c r="BM33" s="127">
        <f>IF($BJ33="","",IFERROR(IF(ROUND(VLOOKUP($BJ33,DADOS!$CL$5:$CM$10,2,FALSE)*IF($BK33="",1,VLOOKUP($BK33,DADOS!$CO$5:$CP$7,2,FALSE))*IF($BL33="",1,VLOOKUP($BL33,DADOS!$CR$5:$CS$15,2,FALSE)),4)&gt;0,MAX(1,FLOOR(ROUND(VLOOKUP($BJ33,DADOS!$CL$5:$CM$10,2,FALSE)*IF($BK33="",1,VLOOKUP($BK33,DADOS!$CO$5:$CP$7,2,FALSE))*IF($BL33="",1,VLOOKUP($BL33,DADOS!$CR$5:$CS$15,2,FALSE)),4),1)),0),""))</f>
        <v/>
      </c>
      <c r="BN33" s="123" t="n"/>
      <c r="BO33" s="133" t="n"/>
      <c r="BP33" s="133" t="n"/>
      <c r="BQ33" s="127" t="n"/>
      <c r="BR33" s="127" t="n"/>
      <c r="BS33" s="127">
        <f>IF($BP33="","",IFERROR(IF(ROUND(VLOOKUP($BP33,DADOS!$CL$5:$CM$10,2,FALSE)*IF($BQ33="",1,VLOOKUP($BQ33,DADOS!$CO$5:$CP$7,2,FALSE))*IF($BR33="",1,VLOOKUP($BR33,DADOS!$CR$5:$CS$15,2,FALSE)),4)&gt;0,MAX(1,FLOOR(ROUND(VLOOKUP($BP33,DADOS!$CL$5:$CM$10,2,FALSE)*IF($BQ33="",1,VLOOKUP($BQ33,DADOS!$CO$5:$CP$7,2,FALSE))*IF($BR33="",1,VLOOKUP($BR33,DADOS!$CR$5:$CS$15,2,FALSE)),4),1)),0),""))</f>
        <v/>
      </c>
      <c r="BT33" s="123" t="n"/>
    </row>
    <row r="34">
      <c r="B34" s="22" t="n"/>
      <c r="C34" s="123" t="n"/>
      <c r="D34" s="21" t="n"/>
      <c r="O34" s="22" t="n"/>
      <c r="P34" s="123" t="n"/>
      <c r="Q34" s="55" t="inlineStr">
        <is>
          <t>LAÇOS E ANOTAÇÕES</t>
        </is>
      </c>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7" t="n"/>
      <c r="AU34" s="123" t="n"/>
      <c r="AV34" s="123" t="n"/>
      <c r="AW34" s="133" t="n"/>
      <c r="AX34" s="133" t="n"/>
      <c r="AY34" s="127" t="n"/>
      <c r="AZ34" s="127" t="n"/>
      <c r="BA34" s="127">
        <f>IF($AX34="","",IFERROR(IF(ROUND(VLOOKUP($AX34,DADOS!$CL$5:$CM$10,2,FALSE)*IF($AY34="",1,VLOOKUP($AY34,DADOS!$CO$5:$CP$7,2,FALSE))*IF($AZ34="",1,VLOOKUP($AZ34,DADOS!$CR$5:$CS$15,2,FALSE)),4)&gt;0,MAX(1,FLOOR(ROUND(VLOOKUP($AX34,DADOS!$CL$5:$CM$10,2,FALSE)*IF($AY34="",1,VLOOKUP($AY34,DADOS!$CO$5:$CP$7,2,FALSE))*IF($AZ34="",1,VLOOKUP($AZ34,DADOS!$CR$5:$CS$15,2,FALSE)),4),1)),0),""))</f>
        <v/>
      </c>
      <c r="BB34" s="123" t="n"/>
      <c r="BC34" s="133" t="n"/>
      <c r="BD34" s="133" t="n"/>
      <c r="BE34" s="127" t="n"/>
      <c r="BF34" s="127" t="n"/>
      <c r="BG34" s="127">
        <f>IF($BD34="","",IFERROR(IF(ROUND(VLOOKUP($BD34,DADOS!$CL$5:$CM$10,2,FALSE)*IF($BE34="",1,VLOOKUP($BE34,DADOS!$CO$5:$CP$7,2,FALSE))*IF($BF34="",1,VLOOKUP($BF34,DADOS!$CR$5:$CS$15,2,FALSE)),4)&gt;0,MAX(1,FLOOR(ROUND(VLOOKUP($BD34,DADOS!$CL$5:$CM$10,2,FALSE)*IF($BE34="",1,VLOOKUP($BE34,DADOS!$CO$5:$CP$7,2,FALSE))*IF($BF34="",1,VLOOKUP($BF34,DADOS!$CR$5:$CS$15,2,FALSE)),4),1)),0),""))</f>
        <v/>
      </c>
      <c r="BH34" s="123" t="n"/>
      <c r="BI34" s="133" t="n"/>
      <c r="BJ34" s="133" t="n"/>
      <c r="BK34" s="127" t="n"/>
      <c r="BL34" s="127" t="n"/>
      <c r="BM34" s="127">
        <f>IF($BJ34="","",IFERROR(IF(ROUND(VLOOKUP($BJ34,DADOS!$CL$5:$CM$10,2,FALSE)*IF($BK34="",1,VLOOKUP($BK34,DADOS!$CO$5:$CP$7,2,FALSE))*IF($BL34="",1,VLOOKUP($BL34,DADOS!$CR$5:$CS$15,2,FALSE)),4)&gt;0,MAX(1,FLOOR(ROUND(VLOOKUP($BJ34,DADOS!$CL$5:$CM$10,2,FALSE)*IF($BK34="",1,VLOOKUP($BK34,DADOS!$CO$5:$CP$7,2,FALSE))*IF($BL34="",1,VLOOKUP($BL34,DADOS!$CR$5:$CS$15,2,FALSE)),4),1)),0),""))</f>
        <v/>
      </c>
      <c r="BN34" s="123" t="n"/>
      <c r="BO34" s="133" t="n"/>
      <c r="BP34" s="133" t="n"/>
      <c r="BQ34" s="127" t="n"/>
      <c r="BR34" s="127" t="n"/>
      <c r="BS34" s="127">
        <f>IF($BP34="","",IFERROR(IF(ROUND(VLOOKUP($BP34,DADOS!$CL$5:$CM$10,2,FALSE)*IF($BQ34="",1,VLOOKUP($BQ34,DADOS!$CO$5:$CP$7,2,FALSE))*IF($BR34="",1,VLOOKUP($BR34,DADOS!$CR$5:$CS$15,2,FALSE)),4)&gt;0,MAX(1,FLOOR(ROUND(VLOOKUP($BP34,DADOS!$CL$5:$CM$10,2,FALSE)*IF($BQ34="",1,VLOOKUP($BQ34,DADOS!$CO$5:$CP$7,2,FALSE))*IF($BR34="",1,VLOOKUP($BR34,DADOS!$CR$5:$CS$15,2,FALSE)),4),1)),0),""))</f>
        <v/>
      </c>
      <c r="BT34" s="123" t="n"/>
    </row>
    <row r="35">
      <c r="B35" s="22" t="n"/>
      <c r="C35" s="123" t="n"/>
      <c r="D35" s="21" t="n"/>
      <c r="O35" s="22" t="n"/>
      <c r="P35" s="123" t="n"/>
      <c r="Q35" s="119"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20" t="n"/>
      <c r="AU35" s="123" t="n"/>
      <c r="AV35" s="123" t="n"/>
      <c r="AW35" s="133" t="n"/>
      <c r="AX35" s="133" t="n"/>
      <c r="AY35" s="127" t="n"/>
      <c r="AZ35" s="127" t="n"/>
      <c r="BA35" s="127">
        <f>IF($AX35="","",IFERROR(IF(ROUND(VLOOKUP($AX35,DADOS!$CL$5:$CM$10,2,FALSE)*IF($AY35="",1,VLOOKUP($AY35,DADOS!$CO$5:$CP$7,2,FALSE))*IF($AZ35="",1,VLOOKUP($AZ35,DADOS!$CR$5:$CS$15,2,FALSE)),4)&gt;0,MAX(1,FLOOR(ROUND(VLOOKUP($AX35,DADOS!$CL$5:$CM$10,2,FALSE)*IF($AY35="",1,VLOOKUP($AY35,DADOS!$CO$5:$CP$7,2,FALSE))*IF($AZ35="",1,VLOOKUP($AZ35,DADOS!$CR$5:$CS$15,2,FALSE)),4),1)),0),""))</f>
        <v/>
      </c>
      <c r="BB35" s="123" t="n"/>
      <c r="BC35" s="133" t="n"/>
      <c r="BD35" s="133" t="n"/>
      <c r="BE35" s="127" t="n"/>
      <c r="BF35" s="127" t="n"/>
      <c r="BG35" s="127">
        <f>IF($BD35="","",IFERROR(IF(ROUND(VLOOKUP($BD35,DADOS!$CL$5:$CM$10,2,FALSE)*IF($BE35="",1,VLOOKUP($BE35,DADOS!$CO$5:$CP$7,2,FALSE))*IF($BF35="",1,VLOOKUP($BF35,DADOS!$CR$5:$CS$15,2,FALSE)),4)&gt;0,MAX(1,FLOOR(ROUND(VLOOKUP($BD35,DADOS!$CL$5:$CM$10,2,FALSE)*IF($BE35="",1,VLOOKUP($BE35,DADOS!$CO$5:$CP$7,2,FALSE))*IF($BF35="",1,VLOOKUP($BF35,DADOS!$CR$5:$CS$15,2,FALSE)),4),1)),0),""))</f>
        <v/>
      </c>
      <c r="BH35" s="123" t="n"/>
      <c r="BI35" s="133" t="n"/>
      <c r="BJ35" s="133" t="n"/>
      <c r="BK35" s="127" t="n"/>
      <c r="BL35" s="127" t="n"/>
      <c r="BM35" s="127">
        <f>IF($BJ35="","",IFERROR(IF(ROUND(VLOOKUP($BJ35,DADOS!$CL$5:$CM$10,2,FALSE)*IF($BK35="",1,VLOOKUP($BK35,DADOS!$CO$5:$CP$7,2,FALSE))*IF($BL35="",1,VLOOKUP($BL35,DADOS!$CR$5:$CS$15,2,FALSE)),4)&gt;0,MAX(1,FLOOR(ROUND(VLOOKUP($BJ35,DADOS!$CL$5:$CM$10,2,FALSE)*IF($BK35="",1,VLOOKUP($BK35,DADOS!$CO$5:$CP$7,2,FALSE))*IF($BL35="",1,VLOOKUP($BL35,DADOS!$CR$5:$CS$15,2,FALSE)),4),1)),0),""))</f>
        <v/>
      </c>
      <c r="BN35" s="123" t="n"/>
      <c r="BO35" s="133" t="n"/>
      <c r="BP35" s="133" t="n"/>
      <c r="BQ35" s="127" t="n"/>
      <c r="BR35" s="127" t="n"/>
      <c r="BS35" s="127">
        <f>IF($BP35="","",IFERROR(IF(ROUND(VLOOKUP($BP35,DADOS!$CL$5:$CM$10,2,FALSE)*IF($BQ35="",1,VLOOKUP($BQ35,DADOS!$CO$5:$CP$7,2,FALSE))*IF($BR35="",1,VLOOKUP($BR35,DADOS!$CR$5:$CS$15,2,FALSE)),4)&gt;0,MAX(1,FLOOR(ROUND(VLOOKUP($BP35,DADOS!$CL$5:$CM$10,2,FALSE)*IF($BQ35="",1,VLOOKUP($BQ35,DADOS!$CO$5:$CP$7,2,FALSE))*IF($BR35="",1,VLOOKUP($BR35,DADOS!$CR$5:$CS$15,2,FALSE)),4),1)),0),""))</f>
        <v/>
      </c>
      <c r="BT35" s="123" t="n"/>
    </row>
    <row r="36">
      <c r="B36" s="22" t="n"/>
      <c r="C36" s="123" t="n"/>
      <c r="D36" s="21" t="n"/>
      <c r="O36" s="22" t="n"/>
      <c r="P36" s="123" t="n"/>
      <c r="Q36" s="21" t="n"/>
      <c r="AT36" s="22" t="n"/>
      <c r="AU36" s="123" t="n"/>
      <c r="AV36" s="123" t="n"/>
      <c r="AW36" s="133" t="n"/>
      <c r="AX36" s="133" t="n"/>
      <c r="AY36" s="127" t="n"/>
      <c r="AZ36" s="127" t="n"/>
      <c r="BA36" s="127">
        <f>IF($AX36="","",IFERROR(IF(ROUND(VLOOKUP($AX36,DADOS!$CL$5:$CM$10,2,FALSE)*IF($AY36="",1,VLOOKUP($AY36,DADOS!$CO$5:$CP$7,2,FALSE))*IF($AZ36="",1,VLOOKUP($AZ36,DADOS!$CR$5:$CS$15,2,FALSE)),4)&gt;0,MAX(1,FLOOR(ROUND(VLOOKUP($AX36,DADOS!$CL$5:$CM$10,2,FALSE)*IF($AY36="",1,VLOOKUP($AY36,DADOS!$CO$5:$CP$7,2,FALSE))*IF($AZ36="",1,VLOOKUP($AZ36,DADOS!$CR$5:$CS$15,2,FALSE)),4),1)),0),""))</f>
        <v/>
      </c>
      <c r="BB36" s="123" t="n"/>
      <c r="BC36" s="133" t="n"/>
      <c r="BD36" s="133" t="n"/>
      <c r="BE36" s="127" t="n"/>
      <c r="BF36" s="127" t="n"/>
      <c r="BG36" s="127">
        <f>IF($BD36="","",IFERROR(IF(ROUND(VLOOKUP($BD36,DADOS!$CL$5:$CM$10,2,FALSE)*IF($BE36="",1,VLOOKUP($BE36,DADOS!$CO$5:$CP$7,2,FALSE))*IF($BF36="",1,VLOOKUP($BF36,DADOS!$CR$5:$CS$15,2,FALSE)),4)&gt;0,MAX(1,FLOOR(ROUND(VLOOKUP($BD36,DADOS!$CL$5:$CM$10,2,FALSE)*IF($BE36="",1,VLOOKUP($BE36,DADOS!$CO$5:$CP$7,2,FALSE))*IF($BF36="",1,VLOOKUP($BF36,DADOS!$CR$5:$CS$15,2,FALSE)),4),1)),0),""))</f>
        <v/>
      </c>
      <c r="BH36" s="123" t="n"/>
      <c r="BI36" s="133" t="n"/>
      <c r="BJ36" s="133" t="n"/>
      <c r="BK36" s="127" t="n"/>
      <c r="BL36" s="127" t="n"/>
      <c r="BM36" s="127">
        <f>IF($BJ36="","",IFERROR(IF(ROUND(VLOOKUP($BJ36,DADOS!$CL$5:$CM$10,2,FALSE)*IF($BK36="",1,VLOOKUP($BK36,DADOS!$CO$5:$CP$7,2,FALSE))*IF($BL36="",1,VLOOKUP($BL36,DADOS!$CR$5:$CS$15,2,FALSE)),4)&gt;0,MAX(1,FLOOR(ROUND(VLOOKUP($BJ36,DADOS!$CL$5:$CM$10,2,FALSE)*IF($BK36="",1,VLOOKUP($BK36,DADOS!$CO$5:$CP$7,2,FALSE))*IF($BL36="",1,VLOOKUP($BL36,DADOS!$CR$5:$CS$15,2,FALSE)),4),1)),0),""))</f>
        <v/>
      </c>
      <c r="BN36" s="123" t="n"/>
      <c r="BO36" s="133" t="n"/>
      <c r="BP36" s="133" t="n"/>
      <c r="BQ36" s="127" t="n"/>
      <c r="BR36" s="127" t="n"/>
      <c r="BS36" s="127">
        <f>IF($BP36="","",IFERROR(IF(ROUND(VLOOKUP($BP36,DADOS!$CL$5:$CM$10,2,FALSE)*IF($BQ36="",1,VLOOKUP($BQ36,DADOS!$CO$5:$CP$7,2,FALSE))*IF($BR36="",1,VLOOKUP($BR36,DADOS!$CR$5:$CS$15,2,FALSE)),4)&gt;0,MAX(1,FLOOR(ROUND(VLOOKUP($BP36,DADOS!$CL$5:$CM$10,2,FALSE)*IF($BQ36="",1,VLOOKUP($BQ36,DADOS!$CO$5:$CP$7,2,FALSE))*IF($BR36="",1,VLOOKUP($BR36,DADOS!$CR$5:$CS$15,2,FALSE)),4),1)),0),""))</f>
        <v/>
      </c>
      <c r="BT36" s="123" t="n"/>
    </row>
    <row r="37">
      <c r="B37" s="22" t="n"/>
      <c r="C37" s="123" t="n"/>
      <c r="D37" s="21" t="n"/>
      <c r="O37" s="22" t="n"/>
      <c r="P37" s="123" t="n"/>
      <c r="Q37" s="21" t="n"/>
      <c r="AT37" s="22" t="n"/>
      <c r="AU37" s="123" t="n"/>
      <c r="AV37" s="123" t="n"/>
      <c r="AW37" s="133" t="n"/>
      <c r="AX37" s="133" t="n"/>
      <c r="AY37" s="127" t="n"/>
      <c r="AZ37" s="127" t="n"/>
      <c r="BA37" s="127">
        <f>IF($AX37="","",IFERROR(IF(ROUND(VLOOKUP($AX37,DADOS!$CL$5:$CM$10,2,FALSE)*IF($AY37="",1,VLOOKUP($AY37,DADOS!$CO$5:$CP$7,2,FALSE))*IF($AZ37="",1,VLOOKUP($AZ37,DADOS!$CR$5:$CS$15,2,FALSE)),4)&gt;0,MAX(1,FLOOR(ROUND(VLOOKUP($AX37,DADOS!$CL$5:$CM$10,2,FALSE)*IF($AY37="",1,VLOOKUP($AY37,DADOS!$CO$5:$CP$7,2,FALSE))*IF($AZ37="",1,VLOOKUP($AZ37,DADOS!$CR$5:$CS$15,2,FALSE)),4),1)),0),""))</f>
        <v/>
      </c>
      <c r="BB37" s="123" t="n"/>
      <c r="BC37" s="133" t="n"/>
      <c r="BD37" s="133" t="n"/>
      <c r="BE37" s="127" t="n"/>
      <c r="BF37" s="127" t="n"/>
      <c r="BG37" s="127">
        <f>IF($BD37="","",IFERROR(IF(ROUND(VLOOKUP($BD37,DADOS!$CL$5:$CM$10,2,FALSE)*IF($BE37="",1,VLOOKUP($BE37,DADOS!$CO$5:$CP$7,2,FALSE))*IF($BF37="",1,VLOOKUP($BF37,DADOS!$CR$5:$CS$15,2,FALSE)),4)&gt;0,MAX(1,FLOOR(ROUND(VLOOKUP($BD37,DADOS!$CL$5:$CM$10,2,FALSE)*IF($BE37="",1,VLOOKUP($BE37,DADOS!$CO$5:$CP$7,2,FALSE))*IF($BF37="",1,VLOOKUP($BF37,DADOS!$CR$5:$CS$15,2,FALSE)),4),1)),0),""))</f>
        <v/>
      </c>
      <c r="BH37" s="123" t="n"/>
      <c r="BI37" s="133" t="n"/>
      <c r="BJ37" s="133" t="n"/>
      <c r="BK37" s="127" t="n"/>
      <c r="BL37" s="127" t="n"/>
      <c r="BM37" s="127">
        <f>IF($BJ37="","",IFERROR(IF(ROUND(VLOOKUP($BJ37,DADOS!$CL$5:$CM$10,2,FALSE)*IF($BK37="",1,VLOOKUP($BK37,DADOS!$CO$5:$CP$7,2,FALSE))*IF($BL37="",1,VLOOKUP($BL37,DADOS!$CR$5:$CS$15,2,FALSE)),4)&gt;0,MAX(1,FLOOR(ROUND(VLOOKUP($BJ37,DADOS!$CL$5:$CM$10,2,FALSE)*IF($BK37="",1,VLOOKUP($BK37,DADOS!$CO$5:$CP$7,2,FALSE))*IF($BL37="",1,VLOOKUP($BL37,DADOS!$CR$5:$CS$15,2,FALSE)),4),1)),0),""))</f>
        <v/>
      </c>
      <c r="BN37" s="123" t="n"/>
      <c r="BO37" s="133" t="n"/>
      <c r="BP37" s="133" t="n"/>
      <c r="BQ37" s="127" t="n"/>
      <c r="BR37" s="127" t="n"/>
      <c r="BS37" s="127">
        <f>IF($BP37="","",IFERROR(IF(ROUND(VLOOKUP($BP37,DADOS!$CL$5:$CM$10,2,FALSE)*IF($BQ37="",1,VLOOKUP($BQ37,DADOS!$CO$5:$CP$7,2,FALSE))*IF($BR37="",1,VLOOKUP($BR37,DADOS!$CR$5:$CS$15,2,FALSE)),4)&gt;0,MAX(1,FLOOR(ROUND(VLOOKUP($BP37,DADOS!$CL$5:$CM$10,2,FALSE)*IF($BQ37="",1,VLOOKUP($BQ37,DADOS!$CO$5:$CP$7,2,FALSE))*IF($BR37="",1,VLOOKUP($BR37,DADOS!$CR$5:$CS$15,2,FALSE)),4),1)),0),""))</f>
        <v/>
      </c>
      <c r="BT37" s="123" t="n"/>
    </row>
    <row r="38">
      <c r="B38" s="22" t="n"/>
      <c r="C38" s="123" t="n"/>
      <c r="D38" s="23" t="n"/>
      <c r="E38" s="24" t="n"/>
      <c r="F38" s="24" t="n"/>
      <c r="G38" s="24" t="n"/>
      <c r="H38" s="24" t="n"/>
      <c r="I38" s="24" t="n"/>
      <c r="J38" s="24" t="n"/>
      <c r="K38" s="24" t="n"/>
      <c r="L38" s="24" t="n"/>
      <c r="M38" s="24" t="n"/>
      <c r="N38" s="24" t="n"/>
      <c r="O38" s="25" t="n"/>
      <c r="P38" s="123" t="n"/>
      <c r="Q38" s="23"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4" t="n"/>
      <c r="AN38" s="24" t="n"/>
      <c r="AO38" s="24" t="n"/>
      <c r="AP38" s="24" t="n"/>
      <c r="AQ38" s="24" t="n"/>
      <c r="AR38" s="24" t="n"/>
      <c r="AS38" s="24" t="n"/>
      <c r="AT38" s="25" t="n"/>
      <c r="AU38" s="123" t="n"/>
      <c r="AV38" s="123" t="n"/>
      <c r="AW38" s="133" t="n"/>
      <c r="AX38" s="133" t="n"/>
      <c r="AY38" s="127" t="n"/>
      <c r="AZ38" s="127" t="n"/>
      <c r="BA38" s="127">
        <f>IF($AX38="","",IFERROR(IF(ROUND(VLOOKUP($AX38,DADOS!$CL$5:$CM$10,2,FALSE)*IF($AY38="",1,VLOOKUP($AY38,DADOS!$CO$5:$CP$7,2,FALSE))*IF($AZ38="",1,VLOOKUP($AZ38,DADOS!$CR$5:$CS$15,2,FALSE)),4)&gt;0,MAX(1,FLOOR(ROUND(VLOOKUP($AX38,DADOS!$CL$5:$CM$10,2,FALSE)*IF($AY38="",1,VLOOKUP($AY38,DADOS!$CO$5:$CP$7,2,FALSE))*IF($AZ38="",1,VLOOKUP($AZ38,DADOS!$CR$5:$CS$15,2,FALSE)),4),1)),0),""))</f>
        <v/>
      </c>
      <c r="BB38" s="123" t="n"/>
      <c r="BC38" s="133" t="n"/>
      <c r="BD38" s="133" t="n"/>
      <c r="BE38" s="127" t="n"/>
      <c r="BF38" s="127" t="n"/>
      <c r="BG38" s="127">
        <f>IF($BD38="","",IFERROR(IF(ROUND(VLOOKUP($BD38,DADOS!$CL$5:$CM$10,2,FALSE)*IF($BE38="",1,VLOOKUP($BE38,DADOS!$CO$5:$CP$7,2,FALSE))*IF($BF38="",1,VLOOKUP($BF38,DADOS!$CR$5:$CS$15,2,FALSE)),4)&gt;0,MAX(1,FLOOR(ROUND(VLOOKUP($BD38,DADOS!$CL$5:$CM$10,2,FALSE)*IF($BE38="",1,VLOOKUP($BE38,DADOS!$CO$5:$CP$7,2,FALSE))*IF($BF38="",1,VLOOKUP($BF38,DADOS!$CR$5:$CS$15,2,FALSE)),4),1)),0),""))</f>
        <v/>
      </c>
      <c r="BH38" s="123" t="n"/>
      <c r="BI38" s="133" t="n"/>
      <c r="BJ38" s="133" t="n"/>
      <c r="BK38" s="127" t="n"/>
      <c r="BL38" s="127" t="n"/>
      <c r="BM38" s="127">
        <f>IF($BJ38="","",IFERROR(IF(ROUND(VLOOKUP($BJ38,DADOS!$CL$5:$CM$10,2,FALSE)*IF($BK38="",1,VLOOKUP($BK38,DADOS!$CO$5:$CP$7,2,FALSE))*IF($BL38="",1,VLOOKUP($BL38,DADOS!$CR$5:$CS$15,2,FALSE)),4)&gt;0,MAX(1,FLOOR(ROUND(VLOOKUP($BJ38,DADOS!$CL$5:$CM$10,2,FALSE)*IF($BK38="",1,VLOOKUP($BK38,DADOS!$CO$5:$CP$7,2,FALSE))*IF($BL38="",1,VLOOKUP($BL38,DADOS!$CR$5:$CS$15,2,FALSE)),4),1)),0),""))</f>
        <v/>
      </c>
      <c r="BN38" s="123" t="n"/>
      <c r="BO38" s="133" t="n"/>
      <c r="BP38" s="133" t="n"/>
      <c r="BQ38" s="127" t="n"/>
      <c r="BR38" s="127" t="n"/>
      <c r="BS38" s="127">
        <f>IF($BP38="","",IFERROR(IF(ROUND(VLOOKUP($BP38,DADOS!$CL$5:$CM$10,2,FALSE)*IF($BQ38="",1,VLOOKUP($BQ38,DADOS!$CO$5:$CP$7,2,FALSE))*IF($BR38="",1,VLOOKUP($BR38,DADOS!$CR$5:$CS$15,2,FALSE)),4)&gt;0,MAX(1,FLOOR(ROUND(VLOOKUP($BP38,DADOS!$CL$5:$CM$10,2,FALSE)*IF($BQ38="",1,VLOOKUP($BQ38,DADOS!$CO$5:$CP$7,2,FALSE))*IF($BR38="",1,VLOOKUP($BR38,DADOS!$CR$5:$CS$15,2,FALSE)),4),1)),0),""))</f>
        <v/>
      </c>
      <c r="BT38" s="123" t="n"/>
    </row>
    <row r="39">
      <c r="B39" s="22" t="n"/>
      <c r="C39" s="123" t="n"/>
      <c r="D39" s="123" t="n"/>
      <c r="E39" s="123" t="n"/>
      <c r="F39" s="123" t="n"/>
      <c r="G39" s="123" t="n"/>
      <c r="H39" s="123" t="n"/>
      <c r="I39" s="123" t="n"/>
      <c r="J39" s="123" t="n"/>
      <c r="K39" s="123" t="n"/>
      <c r="L39" s="123" t="n"/>
      <c r="M39" s="123" t="n"/>
      <c r="N39" s="123" t="n"/>
      <c r="O39" s="123" t="n"/>
      <c r="P39" s="123" t="n"/>
      <c r="Q39" s="123" t="n"/>
      <c r="R39" s="123" t="n"/>
      <c r="S39" s="123" t="n"/>
      <c r="T39" s="123" t="n"/>
      <c r="U39" s="123" t="n"/>
      <c r="V39" s="123" t="n"/>
      <c r="W39" s="123" t="n"/>
      <c r="X39" s="123" t="n"/>
      <c r="Y39" s="123" t="n"/>
      <c r="Z39" s="123" t="n"/>
      <c r="AA39" s="123" t="n"/>
      <c r="AB39" s="123" t="n"/>
      <c r="AC39" s="123" t="n"/>
      <c r="AD39" s="123" t="n"/>
      <c r="AE39" s="123" t="n"/>
      <c r="AF39" s="123" t="n"/>
      <c r="AG39" s="123" t="n"/>
      <c r="AH39" s="123" t="n"/>
      <c r="AI39" s="123" t="n"/>
      <c r="AJ39" s="123" t="n"/>
      <c r="AK39" s="123" t="n"/>
      <c r="AL39" s="123" t="n"/>
      <c r="AM39" s="123" t="n"/>
      <c r="AN39" s="123" t="n"/>
      <c r="AO39" s="123" t="n"/>
      <c r="AP39" s="123" t="n"/>
      <c r="AQ39" s="123" t="n"/>
      <c r="AR39" s="123" t="n"/>
      <c r="AS39" s="123" t="n"/>
      <c r="AT39" s="123" t="n"/>
      <c r="AU39" s="123" t="n"/>
      <c r="AV39" s="123" t="n"/>
      <c r="AW39" s="133" t="n"/>
      <c r="AX39" s="133" t="n"/>
      <c r="AY39" s="127" t="n"/>
      <c r="AZ39" s="127" t="n"/>
      <c r="BA39" s="127">
        <f>IF($AX39="","",IFERROR(IF(ROUND(VLOOKUP($AX39,DADOS!$CL$5:$CM$10,2,FALSE)*IF($AY39="",1,VLOOKUP($AY39,DADOS!$CO$5:$CP$7,2,FALSE))*IF($AZ39="",1,VLOOKUP($AZ39,DADOS!$CR$5:$CS$15,2,FALSE)),4)&gt;0,MAX(1,FLOOR(ROUND(VLOOKUP($AX39,DADOS!$CL$5:$CM$10,2,FALSE)*IF($AY39="",1,VLOOKUP($AY39,DADOS!$CO$5:$CP$7,2,FALSE))*IF($AZ39="",1,VLOOKUP($AZ39,DADOS!$CR$5:$CS$15,2,FALSE)),4),1)),0),""))</f>
        <v/>
      </c>
      <c r="BB39" s="123" t="n"/>
      <c r="BC39" s="133" t="n"/>
      <c r="BD39" s="133" t="n"/>
      <c r="BE39" s="127" t="n"/>
      <c r="BF39" s="127" t="n"/>
      <c r="BG39" s="127">
        <f>IF($BD39="","",IFERROR(IF(ROUND(VLOOKUP($BD39,DADOS!$CL$5:$CM$10,2,FALSE)*IF($BE39="",1,VLOOKUP($BE39,DADOS!$CO$5:$CP$7,2,FALSE))*IF($BF39="",1,VLOOKUP($BF39,DADOS!$CR$5:$CS$15,2,FALSE)),4)&gt;0,MAX(1,FLOOR(ROUND(VLOOKUP($BD39,DADOS!$CL$5:$CM$10,2,FALSE)*IF($BE39="",1,VLOOKUP($BE39,DADOS!$CO$5:$CP$7,2,FALSE))*IF($BF39="",1,VLOOKUP($BF39,DADOS!$CR$5:$CS$15,2,FALSE)),4),1)),0),""))</f>
        <v/>
      </c>
      <c r="BH39" s="123" t="n"/>
      <c r="BI39" s="133" t="n"/>
      <c r="BJ39" s="133" t="n"/>
      <c r="BK39" s="127" t="n"/>
      <c r="BL39" s="127" t="n"/>
      <c r="BM39" s="127">
        <f>IF($BJ39="","",IFERROR(IF(ROUND(VLOOKUP($BJ39,DADOS!$CL$5:$CM$10,2,FALSE)*IF($BK39="",1,VLOOKUP($BK39,DADOS!$CO$5:$CP$7,2,FALSE))*IF($BL39="",1,VLOOKUP($BL39,DADOS!$CR$5:$CS$15,2,FALSE)),4)&gt;0,MAX(1,FLOOR(ROUND(VLOOKUP($BJ39,DADOS!$CL$5:$CM$10,2,FALSE)*IF($BK39="",1,VLOOKUP($BK39,DADOS!$CO$5:$CP$7,2,FALSE))*IF($BL39="",1,VLOOKUP($BL39,DADOS!$CR$5:$CS$15,2,FALSE)),4),1)),0),""))</f>
        <v/>
      </c>
      <c r="BN39" s="123" t="n"/>
      <c r="BO39" s="133" t="n"/>
      <c r="BP39" s="133" t="n"/>
      <c r="BQ39" s="127" t="n"/>
      <c r="BR39" s="127" t="n"/>
      <c r="BS39" s="127">
        <f>IF($BP39="","",IFERROR(IF(ROUND(VLOOKUP($BP39,DADOS!$CL$5:$CM$10,2,FALSE)*IF($BQ39="",1,VLOOKUP($BQ39,DADOS!$CO$5:$CP$7,2,FALSE))*IF($BR39="",1,VLOOKUP($BR39,DADOS!$CR$5:$CS$15,2,FALSE)),4)&gt;0,MAX(1,FLOOR(ROUND(VLOOKUP($BP39,DADOS!$CL$5:$CM$10,2,FALSE)*IF($BQ39="",1,VLOOKUP($BQ39,DADOS!$CO$5:$CP$7,2,FALSE))*IF($BR39="",1,VLOOKUP($BR39,DADOS!$CR$5:$CS$15,2,FALSE)),4),1)),0),""))</f>
        <v/>
      </c>
      <c r="BT39" s="123" t="n"/>
    </row>
    <row r="40">
      <c r="B40" s="22" t="n"/>
      <c r="C40" s="123" t="n"/>
      <c r="D40" s="55" t="inlineStr">
        <is>
          <t>LEGADO 1</t>
        </is>
      </c>
      <c r="E40" s="16" t="n"/>
      <c r="F40" s="16" t="n"/>
      <c r="G40" s="16" t="n"/>
      <c r="H40" s="16" t="n"/>
      <c r="I40" s="16" t="n"/>
      <c r="J40" s="16" t="n"/>
      <c r="K40" s="16" t="n"/>
      <c r="L40" s="16" t="n"/>
      <c r="M40" s="16" t="n"/>
      <c r="N40" s="16" t="n"/>
      <c r="O40" s="16" t="n"/>
      <c r="P40" s="17" t="n"/>
      <c r="Q40" s="55" t="inlineStr">
        <is>
          <t>TIPO</t>
        </is>
      </c>
      <c r="R40" s="16" t="n"/>
      <c r="S40" s="16" t="n"/>
      <c r="T40" s="16" t="n"/>
      <c r="U40" s="16" t="n"/>
      <c r="V40" s="16" t="n"/>
      <c r="W40" s="17" t="n"/>
      <c r="X40" s="123" t="n"/>
      <c r="Y40" s="55" t="inlineStr">
        <is>
          <t>LEGADO 2</t>
        </is>
      </c>
      <c r="Z40" s="16" t="n"/>
      <c r="AA40" s="16" t="n"/>
      <c r="AB40" s="16" t="n"/>
      <c r="AC40" s="16" t="n"/>
      <c r="AD40" s="16" t="n"/>
      <c r="AE40" s="16" t="n"/>
      <c r="AF40" s="16" t="n"/>
      <c r="AG40" s="16" t="n"/>
      <c r="AH40" s="16" t="n"/>
      <c r="AI40" s="16" t="n"/>
      <c r="AJ40" s="16" t="n"/>
      <c r="AK40" s="16" t="n"/>
      <c r="AL40" s="17" t="n"/>
      <c r="AM40" s="55" t="inlineStr">
        <is>
          <t>TIPO</t>
        </is>
      </c>
      <c r="AN40" s="16" t="n"/>
      <c r="AO40" s="16" t="n"/>
      <c r="AP40" s="16" t="n"/>
      <c r="AQ40" s="16" t="n"/>
      <c r="AR40" s="16" t="n"/>
      <c r="AS40" s="16" t="n"/>
      <c r="AT40" s="17" t="n"/>
      <c r="AU40" s="123" t="n"/>
      <c r="AV40" s="123" t="n"/>
      <c r="AW40" s="133" t="n"/>
      <c r="AX40" s="133" t="n"/>
      <c r="AY40" s="127" t="n"/>
      <c r="AZ40" s="127" t="n"/>
      <c r="BA40" s="127">
        <f>IF($AX40="","",IFERROR(IF(ROUND(VLOOKUP($AX40,DADOS!$CL$5:$CM$10,2,FALSE)*IF($AY40="",1,VLOOKUP($AY40,DADOS!$CO$5:$CP$7,2,FALSE))*IF($AZ40="",1,VLOOKUP($AZ40,DADOS!$CR$5:$CS$15,2,FALSE)),4)&gt;0,MAX(1,FLOOR(ROUND(VLOOKUP($AX40,DADOS!$CL$5:$CM$10,2,FALSE)*IF($AY40="",1,VLOOKUP($AY40,DADOS!$CO$5:$CP$7,2,FALSE))*IF($AZ40="",1,VLOOKUP($AZ40,DADOS!$CR$5:$CS$15,2,FALSE)),4),1)),0),""))</f>
        <v/>
      </c>
      <c r="BB40" s="123" t="n"/>
      <c r="BC40" s="133" t="n"/>
      <c r="BD40" s="133" t="n"/>
      <c r="BE40" s="127" t="n"/>
      <c r="BF40" s="127" t="n"/>
      <c r="BG40" s="127">
        <f>IF($BD40="","",IFERROR(IF(ROUND(VLOOKUP($BD40,DADOS!$CL$5:$CM$10,2,FALSE)*IF($BE40="",1,VLOOKUP($BE40,DADOS!$CO$5:$CP$7,2,FALSE))*IF($BF40="",1,VLOOKUP($BF40,DADOS!$CR$5:$CS$15,2,FALSE)),4)&gt;0,MAX(1,FLOOR(ROUND(VLOOKUP($BD40,DADOS!$CL$5:$CM$10,2,FALSE)*IF($BE40="",1,VLOOKUP($BE40,DADOS!$CO$5:$CP$7,2,FALSE))*IF($BF40="",1,VLOOKUP($BF40,DADOS!$CR$5:$CS$15,2,FALSE)),4),1)),0),""))</f>
        <v/>
      </c>
      <c r="BH40" s="123" t="n"/>
      <c r="BI40" s="133" t="n"/>
      <c r="BJ40" s="133" t="n"/>
      <c r="BK40" s="127" t="n"/>
      <c r="BL40" s="127" t="n"/>
      <c r="BM40" s="127">
        <f>IF($BJ40="","",IFERROR(IF(ROUND(VLOOKUP($BJ40,DADOS!$CL$5:$CM$10,2,FALSE)*IF($BK40="",1,VLOOKUP($BK40,DADOS!$CO$5:$CP$7,2,FALSE))*IF($BL40="",1,VLOOKUP($BL40,DADOS!$CR$5:$CS$15,2,FALSE)),4)&gt;0,MAX(1,FLOOR(ROUND(VLOOKUP($BJ40,DADOS!$CL$5:$CM$10,2,FALSE)*IF($BK40="",1,VLOOKUP($BK40,DADOS!$CO$5:$CP$7,2,FALSE))*IF($BL40="",1,VLOOKUP($BL40,DADOS!$CR$5:$CS$15,2,FALSE)),4),1)),0),""))</f>
        <v/>
      </c>
      <c r="BN40" s="123" t="n"/>
      <c r="BO40" s="133" t="n"/>
      <c r="BP40" s="133" t="n"/>
      <c r="BQ40" s="127" t="n"/>
      <c r="BR40" s="127" t="n"/>
      <c r="BS40" s="127">
        <f>IF($BP40="","",IFERROR(IF(ROUND(VLOOKUP($BP40,DADOS!$CL$5:$CM$10,2,FALSE)*IF($BQ40="",1,VLOOKUP($BQ40,DADOS!$CO$5:$CP$7,2,FALSE))*IF($BR40="",1,VLOOKUP($BR40,DADOS!$CR$5:$CS$15,2,FALSE)),4)&gt;0,MAX(1,FLOOR(ROUND(VLOOKUP($BP40,DADOS!$CL$5:$CM$10,2,FALSE)*IF($BQ40="",1,VLOOKUP($BQ40,DADOS!$CO$5:$CP$7,2,FALSE))*IF($BR40="",1,VLOOKUP($BR40,DADOS!$CR$5:$CS$15,2,FALSE)),4),1)),0),""))</f>
        <v/>
      </c>
      <c r="BT40" s="123" t="n"/>
    </row>
    <row r="41">
      <c r="B41" s="22" t="n"/>
      <c r="C41" s="123" t="n"/>
      <c r="D41" s="133" t="n"/>
      <c r="E41" s="16" t="n"/>
      <c r="F41" s="16" t="n"/>
      <c r="G41" s="16" t="n"/>
      <c r="H41" s="16" t="n"/>
      <c r="I41" s="16" t="n"/>
      <c r="J41" s="16" t="n"/>
      <c r="K41" s="16" t="n"/>
      <c r="L41" s="16" t="n"/>
      <c r="M41" s="16" t="n"/>
      <c r="N41" s="16" t="n"/>
      <c r="O41" s="16" t="n"/>
      <c r="P41" s="17" t="n"/>
      <c r="Q41" s="127" t="n"/>
      <c r="R41" s="16" t="n"/>
      <c r="S41" s="16" t="n"/>
      <c r="T41" s="16" t="n"/>
      <c r="U41" s="16" t="n"/>
      <c r="V41" s="16" t="n"/>
      <c r="W41" s="17" t="n"/>
      <c r="X41" s="123" t="n"/>
      <c r="Y41" s="133" t="n"/>
      <c r="Z41" s="16" t="n"/>
      <c r="AA41" s="16" t="n"/>
      <c r="AB41" s="16" t="n"/>
      <c r="AC41" s="16" t="n"/>
      <c r="AD41" s="16" t="n"/>
      <c r="AE41" s="16" t="n"/>
      <c r="AF41" s="16" t="n"/>
      <c r="AG41" s="16" t="n"/>
      <c r="AH41" s="16" t="n"/>
      <c r="AI41" s="16" t="n"/>
      <c r="AJ41" s="16" t="n"/>
      <c r="AK41" s="16" t="n"/>
      <c r="AL41" s="17" t="n"/>
      <c r="AM41" s="127" t="n"/>
      <c r="AN41" s="16" t="n"/>
      <c r="AO41" s="16" t="n"/>
      <c r="AP41" s="16" t="n"/>
      <c r="AQ41" s="16" t="n"/>
      <c r="AR41" s="16" t="n"/>
      <c r="AS41" s="16" t="n"/>
      <c r="AT41" s="17" t="n"/>
      <c r="AU41" s="123" t="n"/>
      <c r="AV41" s="123" t="n"/>
      <c r="AW41" s="133" t="n"/>
      <c r="AX41" s="133" t="n"/>
      <c r="AY41" s="127" t="n"/>
      <c r="AZ41" s="127" t="n"/>
      <c r="BA41" s="127">
        <f>IF($AX41="","",IFERROR(IF(ROUND(VLOOKUP($AX41,DADOS!$CL$5:$CM$10,2,FALSE)*IF($AY41="",1,VLOOKUP($AY41,DADOS!$CO$5:$CP$7,2,FALSE))*IF($AZ41="",1,VLOOKUP($AZ41,DADOS!$CR$5:$CS$15,2,FALSE)),4)&gt;0,MAX(1,FLOOR(ROUND(VLOOKUP($AX41,DADOS!$CL$5:$CM$10,2,FALSE)*IF($AY41="",1,VLOOKUP($AY41,DADOS!$CO$5:$CP$7,2,FALSE))*IF($AZ41="",1,VLOOKUP($AZ41,DADOS!$CR$5:$CS$15,2,FALSE)),4),1)),0),""))</f>
        <v/>
      </c>
      <c r="BB41" s="123" t="n"/>
      <c r="BC41" s="133" t="n"/>
      <c r="BD41" s="133" t="n"/>
      <c r="BE41" s="127" t="n"/>
      <c r="BF41" s="127" t="n"/>
      <c r="BG41" s="127">
        <f>IF($BD41="","",IFERROR(IF(ROUND(VLOOKUP($BD41,DADOS!$CL$5:$CM$10,2,FALSE)*IF($BE41="",1,VLOOKUP($BE41,DADOS!$CO$5:$CP$7,2,FALSE))*IF($BF41="",1,VLOOKUP($BF41,DADOS!$CR$5:$CS$15,2,FALSE)),4)&gt;0,MAX(1,FLOOR(ROUND(VLOOKUP($BD41,DADOS!$CL$5:$CM$10,2,FALSE)*IF($BE41="",1,VLOOKUP($BE41,DADOS!$CO$5:$CP$7,2,FALSE))*IF($BF41="",1,VLOOKUP($BF41,DADOS!$CR$5:$CS$15,2,FALSE)),4),1)),0),""))</f>
        <v/>
      </c>
      <c r="BH41" s="123" t="n"/>
      <c r="BI41" s="133" t="n"/>
      <c r="BJ41" s="133" t="n"/>
      <c r="BK41" s="127" t="n"/>
      <c r="BL41" s="127" t="n"/>
      <c r="BM41" s="127">
        <f>IF($BJ41="","",IFERROR(IF(ROUND(VLOOKUP($BJ41,DADOS!$CL$5:$CM$10,2,FALSE)*IF($BK41="",1,VLOOKUP($BK41,DADOS!$CO$5:$CP$7,2,FALSE))*IF($BL41="",1,VLOOKUP($BL41,DADOS!$CR$5:$CS$15,2,FALSE)),4)&gt;0,MAX(1,FLOOR(ROUND(VLOOKUP($BJ41,DADOS!$CL$5:$CM$10,2,FALSE)*IF($BK41="",1,VLOOKUP($BK41,DADOS!$CO$5:$CP$7,2,FALSE))*IF($BL41="",1,VLOOKUP($BL41,DADOS!$CR$5:$CS$15,2,FALSE)),4),1)),0),""))</f>
        <v/>
      </c>
      <c r="BN41" s="123" t="n"/>
      <c r="BO41" s="133" t="n"/>
      <c r="BP41" s="133" t="n"/>
      <c r="BQ41" s="127" t="n"/>
      <c r="BR41" s="127" t="n"/>
      <c r="BS41" s="127">
        <f>IF($BP41="","",IFERROR(IF(ROUND(VLOOKUP($BP41,DADOS!$CL$5:$CM$10,2,FALSE)*IF($BQ41="",1,VLOOKUP($BQ41,DADOS!$CO$5:$CP$7,2,FALSE))*IF($BR41="",1,VLOOKUP($BR41,DADOS!$CR$5:$CS$15,2,FALSE)),4)&gt;0,MAX(1,FLOOR(ROUND(VLOOKUP($BP41,DADOS!$CL$5:$CM$10,2,FALSE)*IF($BQ41="",1,VLOOKUP($BQ41,DADOS!$CO$5:$CP$7,2,FALSE))*IF($BR41="",1,VLOOKUP($BR41,DADOS!$CR$5:$CS$15,2,FALSE)),4),1)),0),""))</f>
        <v/>
      </c>
      <c r="BT41" s="123" t="n"/>
    </row>
    <row r="42">
      <c r="B42" s="22" t="n"/>
      <c r="C42" s="123" t="n"/>
      <c r="D42" s="119" t="n"/>
      <c r="E42" s="19" t="n"/>
      <c r="F42" s="19" t="n"/>
      <c r="G42" s="19" t="n"/>
      <c r="H42" s="19" t="n"/>
      <c r="I42" s="19" t="n"/>
      <c r="J42" s="19" t="n"/>
      <c r="K42" s="19" t="n"/>
      <c r="L42" s="19" t="n"/>
      <c r="M42" s="19" t="n"/>
      <c r="N42" s="19" t="n"/>
      <c r="O42" s="19" t="n"/>
      <c r="P42" s="19" t="n"/>
      <c r="Q42" s="19" t="n"/>
      <c r="R42" s="19" t="n"/>
      <c r="S42" s="19" t="n"/>
      <c r="T42" s="19" t="n"/>
      <c r="U42" s="19" t="n"/>
      <c r="V42" s="19" t="n"/>
      <c r="W42" s="20" t="n"/>
      <c r="X42" s="123" t="n"/>
      <c r="Y42" s="119" t="n"/>
      <c r="Z42" s="19" t="n"/>
      <c r="AA42" s="19" t="n"/>
      <c r="AB42" s="19" t="n"/>
      <c r="AC42" s="19" t="n"/>
      <c r="AD42" s="19" t="n"/>
      <c r="AE42" s="19" t="n"/>
      <c r="AF42" s="19" t="n"/>
      <c r="AG42" s="19" t="n"/>
      <c r="AH42" s="19" t="n"/>
      <c r="AI42" s="19" t="n"/>
      <c r="AJ42" s="19" t="n"/>
      <c r="AK42" s="19" t="n"/>
      <c r="AL42" s="19" t="n"/>
      <c r="AM42" s="19" t="n"/>
      <c r="AN42" s="19" t="n"/>
      <c r="AO42" s="19" t="n"/>
      <c r="AP42" s="19" t="n"/>
      <c r="AQ42" s="19" t="n"/>
      <c r="AR42" s="19" t="n"/>
      <c r="AS42" s="19" t="n"/>
      <c r="AT42" s="20" t="n"/>
      <c r="AU42" s="123" t="n"/>
      <c r="AV42" s="123" t="n"/>
      <c r="AW42" s="133" t="n"/>
      <c r="AX42" s="133" t="n"/>
      <c r="AY42" s="127" t="n"/>
      <c r="AZ42" s="127" t="n"/>
      <c r="BA42" s="127">
        <f>IF($AX42="","",IFERROR(IF(ROUND(VLOOKUP($AX42,DADOS!$CL$5:$CM$10,2,FALSE)*IF($AY42="",1,VLOOKUP($AY42,DADOS!$CO$5:$CP$7,2,FALSE))*IF($AZ42="",1,VLOOKUP($AZ42,DADOS!$CR$5:$CS$15,2,FALSE)),4)&gt;0,MAX(1,FLOOR(ROUND(VLOOKUP($AX42,DADOS!$CL$5:$CM$10,2,FALSE)*IF($AY42="",1,VLOOKUP($AY42,DADOS!$CO$5:$CP$7,2,FALSE))*IF($AZ42="",1,VLOOKUP($AZ42,DADOS!$CR$5:$CS$15,2,FALSE)),4),1)),0),""))</f>
        <v/>
      </c>
      <c r="BB42" s="123" t="n"/>
      <c r="BC42" s="133" t="n"/>
      <c r="BD42" s="133" t="n"/>
      <c r="BE42" s="127" t="n"/>
      <c r="BF42" s="127" t="n"/>
      <c r="BG42" s="127">
        <f>IF($BD42="","",IFERROR(IF(ROUND(VLOOKUP($BD42,DADOS!$CL$5:$CM$10,2,FALSE)*IF($BE42="",1,VLOOKUP($BE42,DADOS!$CO$5:$CP$7,2,FALSE))*IF($BF42="",1,VLOOKUP($BF42,DADOS!$CR$5:$CS$15,2,FALSE)),4)&gt;0,MAX(1,FLOOR(ROUND(VLOOKUP($BD42,DADOS!$CL$5:$CM$10,2,FALSE)*IF($BE42="",1,VLOOKUP($BE42,DADOS!$CO$5:$CP$7,2,FALSE))*IF($BF42="",1,VLOOKUP($BF42,DADOS!$CR$5:$CS$15,2,FALSE)),4),1)),0),""))</f>
        <v/>
      </c>
      <c r="BH42" s="123" t="n"/>
      <c r="BI42" s="133" t="n"/>
      <c r="BJ42" s="133" t="n"/>
      <c r="BK42" s="127" t="n"/>
      <c r="BL42" s="127" t="n"/>
      <c r="BM42" s="127">
        <f>IF($BJ42="","",IFERROR(IF(ROUND(VLOOKUP($BJ42,DADOS!$CL$5:$CM$10,2,FALSE)*IF($BK42="",1,VLOOKUP($BK42,DADOS!$CO$5:$CP$7,2,FALSE))*IF($BL42="",1,VLOOKUP($BL42,DADOS!$CR$5:$CS$15,2,FALSE)),4)&gt;0,MAX(1,FLOOR(ROUND(VLOOKUP($BJ42,DADOS!$CL$5:$CM$10,2,FALSE)*IF($BK42="",1,VLOOKUP($BK42,DADOS!$CO$5:$CP$7,2,FALSE))*IF($BL42="",1,VLOOKUP($BL42,DADOS!$CR$5:$CS$15,2,FALSE)),4),1)),0),""))</f>
        <v/>
      </c>
      <c r="BN42" s="123" t="n"/>
      <c r="BO42" s="133" t="n"/>
      <c r="BP42" s="133" t="n"/>
      <c r="BQ42" s="127" t="n"/>
      <c r="BR42" s="127" t="n"/>
      <c r="BS42" s="127">
        <f>IF($BP42="","",IFERROR(IF(ROUND(VLOOKUP($BP42,DADOS!$CL$5:$CM$10,2,FALSE)*IF($BQ42="",1,VLOOKUP($BQ42,DADOS!$CO$5:$CP$7,2,FALSE))*IF($BR42="",1,VLOOKUP($BR42,DADOS!$CR$5:$CS$15,2,FALSE)),4)&gt;0,MAX(1,FLOOR(ROUND(VLOOKUP($BP42,DADOS!$CL$5:$CM$10,2,FALSE)*IF($BQ42="",1,VLOOKUP($BQ42,DADOS!$CO$5:$CP$7,2,FALSE))*IF($BR42="",1,VLOOKUP($BR42,DADOS!$CR$5:$CS$15,2,FALSE)),4),1)),0),""))</f>
        <v/>
      </c>
      <c r="BT42" s="123" t="n"/>
    </row>
    <row r="43">
      <c r="B43" s="22" t="n"/>
      <c r="C43" s="123" t="n"/>
      <c r="D43" s="21" t="n"/>
      <c r="W43" s="22" t="n"/>
      <c r="X43" s="123" t="n"/>
      <c r="Y43" s="21" t="n"/>
      <c r="AT43" s="22" t="n"/>
      <c r="AU43" s="123" t="n"/>
      <c r="AV43" s="123" t="n"/>
      <c r="AW43" s="133" t="n"/>
      <c r="AX43" s="133" t="n"/>
      <c r="AY43" s="127" t="n"/>
      <c r="AZ43" s="127" t="n"/>
      <c r="BA43" s="127">
        <f>IF($AX43="","",IFERROR(IF(ROUND(VLOOKUP($AX43,DADOS!$CL$5:$CM$10,2,FALSE)*IF($AY43="",1,VLOOKUP($AY43,DADOS!$CO$5:$CP$7,2,FALSE))*IF($AZ43="",1,VLOOKUP($AZ43,DADOS!$CR$5:$CS$15,2,FALSE)),4)&gt;0,MAX(1,FLOOR(ROUND(VLOOKUP($AX43,DADOS!$CL$5:$CM$10,2,FALSE)*IF($AY43="",1,VLOOKUP($AY43,DADOS!$CO$5:$CP$7,2,FALSE))*IF($AZ43="",1,VLOOKUP($AZ43,DADOS!$CR$5:$CS$15,2,FALSE)),4),1)),0),""))</f>
        <v/>
      </c>
      <c r="BB43" s="123" t="n"/>
      <c r="BC43" s="133" t="n"/>
      <c r="BD43" s="133" t="n"/>
      <c r="BE43" s="127" t="n"/>
      <c r="BF43" s="127" t="n"/>
      <c r="BG43" s="127">
        <f>IF($BD43="","",IFERROR(IF(ROUND(VLOOKUP($BD43,DADOS!$CL$5:$CM$10,2,FALSE)*IF($BE43="",1,VLOOKUP($BE43,DADOS!$CO$5:$CP$7,2,FALSE))*IF($BF43="",1,VLOOKUP($BF43,DADOS!$CR$5:$CS$15,2,FALSE)),4)&gt;0,MAX(1,FLOOR(ROUND(VLOOKUP($BD43,DADOS!$CL$5:$CM$10,2,FALSE)*IF($BE43="",1,VLOOKUP($BE43,DADOS!$CO$5:$CP$7,2,FALSE))*IF($BF43="",1,VLOOKUP($BF43,DADOS!$CR$5:$CS$15,2,FALSE)),4),1)),0),""))</f>
        <v/>
      </c>
      <c r="BH43" s="123" t="n"/>
      <c r="BI43" s="133" t="n"/>
      <c r="BJ43" s="133" t="n"/>
      <c r="BK43" s="127" t="n"/>
      <c r="BL43" s="127" t="n"/>
      <c r="BM43" s="127">
        <f>IF($BJ43="","",IFERROR(IF(ROUND(VLOOKUP($BJ43,DADOS!$CL$5:$CM$10,2,FALSE)*IF($BK43="",1,VLOOKUP($BK43,DADOS!$CO$5:$CP$7,2,FALSE))*IF($BL43="",1,VLOOKUP($BL43,DADOS!$CR$5:$CS$15,2,FALSE)),4)&gt;0,MAX(1,FLOOR(ROUND(VLOOKUP($BJ43,DADOS!$CL$5:$CM$10,2,FALSE)*IF($BK43="",1,VLOOKUP($BK43,DADOS!$CO$5:$CP$7,2,FALSE))*IF($BL43="",1,VLOOKUP($BL43,DADOS!$CR$5:$CS$15,2,FALSE)),4),1)),0),""))</f>
        <v/>
      </c>
      <c r="BN43" s="123" t="n"/>
      <c r="BO43" s="133" t="n"/>
      <c r="BP43" s="133" t="n"/>
      <c r="BQ43" s="127" t="n"/>
      <c r="BR43" s="127" t="n"/>
      <c r="BS43" s="127">
        <f>IF($BP43="","",IFERROR(IF(ROUND(VLOOKUP($BP43,DADOS!$CL$5:$CM$10,2,FALSE)*IF($BQ43="",1,VLOOKUP($BQ43,DADOS!$CO$5:$CP$7,2,FALSE))*IF($BR43="",1,VLOOKUP($BR43,DADOS!$CR$5:$CS$15,2,FALSE)),4)&gt;0,MAX(1,FLOOR(ROUND(VLOOKUP($BP43,DADOS!$CL$5:$CM$10,2,FALSE)*IF($BQ43="",1,VLOOKUP($BQ43,DADOS!$CO$5:$CP$7,2,FALSE))*IF($BR43="",1,VLOOKUP($BR43,DADOS!$CR$5:$CS$15,2,FALSE)),4),1)),0),""))</f>
        <v/>
      </c>
      <c r="BT43" s="123" t="n"/>
    </row>
    <row r="44">
      <c r="B44" s="22" t="n"/>
      <c r="C44" s="123" t="n"/>
      <c r="D44" s="23" t="n"/>
      <c r="E44" s="24" t="n"/>
      <c r="F44" s="24" t="n"/>
      <c r="G44" s="24" t="n"/>
      <c r="H44" s="24" t="n"/>
      <c r="I44" s="24" t="n"/>
      <c r="J44" s="24" t="n"/>
      <c r="K44" s="24" t="n"/>
      <c r="L44" s="24" t="n"/>
      <c r="M44" s="24" t="n"/>
      <c r="N44" s="24" t="n"/>
      <c r="O44" s="24" t="n"/>
      <c r="P44" s="24" t="n"/>
      <c r="Q44" s="24" t="n"/>
      <c r="R44" s="24" t="n"/>
      <c r="S44" s="24" t="n"/>
      <c r="T44" s="24" t="n"/>
      <c r="U44" s="24" t="n"/>
      <c r="V44" s="24" t="n"/>
      <c r="W44" s="25" t="n"/>
      <c r="X44" s="123" t="n"/>
      <c r="Y44" s="23" t="n"/>
      <c r="Z44" s="24" t="n"/>
      <c r="AA44" s="24" t="n"/>
      <c r="AB44" s="24" t="n"/>
      <c r="AC44" s="24" t="n"/>
      <c r="AD44" s="24" t="n"/>
      <c r="AE44" s="24" t="n"/>
      <c r="AF44" s="24" t="n"/>
      <c r="AG44" s="24" t="n"/>
      <c r="AH44" s="24" t="n"/>
      <c r="AI44" s="24" t="n"/>
      <c r="AJ44" s="24" t="n"/>
      <c r="AK44" s="24" t="n"/>
      <c r="AL44" s="24" t="n"/>
      <c r="AM44" s="24" t="n"/>
      <c r="AN44" s="24" t="n"/>
      <c r="AO44" s="24" t="n"/>
      <c r="AP44" s="24" t="n"/>
      <c r="AQ44" s="24" t="n"/>
      <c r="AR44" s="24" t="n"/>
      <c r="AS44" s="24" t="n"/>
      <c r="AT44" s="25" t="n"/>
      <c r="AU44" s="123" t="n"/>
      <c r="AV44" s="123" t="n"/>
      <c r="AW44" s="133" t="n"/>
      <c r="AX44" s="133" t="n"/>
      <c r="AY44" s="127" t="n"/>
      <c r="AZ44" s="127" t="n"/>
      <c r="BA44" s="127">
        <f>IF($AX44="","",IFERROR(IF(ROUND(VLOOKUP($AX44,DADOS!$CL$5:$CM$10,2,FALSE)*IF($AY44="",1,VLOOKUP($AY44,DADOS!$CO$5:$CP$7,2,FALSE))*IF($AZ44="",1,VLOOKUP($AZ44,DADOS!$CR$5:$CS$15,2,FALSE)),4)&gt;0,MAX(1,FLOOR(ROUND(VLOOKUP($AX44,DADOS!$CL$5:$CM$10,2,FALSE)*IF($AY44="",1,VLOOKUP($AY44,DADOS!$CO$5:$CP$7,2,FALSE))*IF($AZ44="",1,VLOOKUP($AZ44,DADOS!$CR$5:$CS$15,2,FALSE)),4),1)),0),""))</f>
        <v/>
      </c>
      <c r="BB44" s="123" t="n"/>
      <c r="BC44" s="133" t="n"/>
      <c r="BD44" s="133" t="n"/>
      <c r="BE44" s="127" t="n"/>
      <c r="BF44" s="127" t="n"/>
      <c r="BG44" s="127">
        <f>IF($BD44="","",IFERROR(IF(ROUND(VLOOKUP($BD44,DADOS!$CL$5:$CM$10,2,FALSE)*IF($BE44="",1,VLOOKUP($BE44,DADOS!$CO$5:$CP$7,2,FALSE))*IF($BF44="",1,VLOOKUP($BF44,DADOS!$CR$5:$CS$15,2,FALSE)),4)&gt;0,MAX(1,FLOOR(ROUND(VLOOKUP($BD44,DADOS!$CL$5:$CM$10,2,FALSE)*IF($BE44="",1,VLOOKUP($BE44,DADOS!$CO$5:$CP$7,2,FALSE))*IF($BF44="",1,VLOOKUP($BF44,DADOS!$CR$5:$CS$15,2,FALSE)),4),1)),0),""))</f>
        <v/>
      </c>
      <c r="BH44" s="123" t="n"/>
      <c r="BI44" s="133" t="n"/>
      <c r="BJ44" s="133" t="n"/>
      <c r="BK44" s="127" t="n"/>
      <c r="BL44" s="127" t="n"/>
      <c r="BM44" s="127">
        <f>IF($BJ44="","",IFERROR(IF(ROUND(VLOOKUP($BJ44,DADOS!$CL$5:$CM$10,2,FALSE)*IF($BK44="",1,VLOOKUP($BK44,DADOS!$CO$5:$CP$7,2,FALSE))*IF($BL44="",1,VLOOKUP($BL44,DADOS!$CR$5:$CS$15,2,FALSE)),4)&gt;0,MAX(1,FLOOR(ROUND(VLOOKUP($BJ44,DADOS!$CL$5:$CM$10,2,FALSE)*IF($BK44="",1,VLOOKUP($BK44,DADOS!$CO$5:$CP$7,2,FALSE))*IF($BL44="",1,VLOOKUP($BL44,DADOS!$CR$5:$CS$15,2,FALSE)),4),1)),0),""))</f>
        <v/>
      </c>
      <c r="BN44" s="123" t="n"/>
      <c r="BO44" s="133" t="n"/>
      <c r="BP44" s="133" t="n"/>
      <c r="BQ44" s="127" t="n"/>
      <c r="BR44" s="127" t="n"/>
      <c r="BS44" s="127">
        <f>IF($BP44="","",IFERROR(IF(ROUND(VLOOKUP($BP44,DADOS!$CL$5:$CM$10,2,FALSE)*IF($BQ44="",1,VLOOKUP($BQ44,DADOS!$CO$5:$CP$7,2,FALSE))*IF($BR44="",1,VLOOKUP($BR44,DADOS!$CR$5:$CS$15,2,FALSE)),4)&gt;0,MAX(1,FLOOR(ROUND(VLOOKUP($BP44,DADOS!$CL$5:$CM$10,2,FALSE)*IF($BQ44="",1,VLOOKUP($BQ44,DADOS!$CO$5:$CP$7,2,FALSE))*IF($BR44="",1,VLOOKUP($BR44,DADOS!$CR$5:$CS$15,2,FALSE)),4),1)),0),""))</f>
        <v/>
      </c>
      <c r="BT44" s="123" t="n"/>
    </row>
    <row r="45">
      <c r="B45" s="22" t="n"/>
      <c r="C45" s="123" t="n"/>
      <c r="D45" s="123" t="n"/>
      <c r="E45" s="123" t="n"/>
      <c r="F45" s="123" t="n"/>
      <c r="G45" s="123" t="n"/>
      <c r="H45" s="123" t="n"/>
      <c r="I45" s="123" t="n"/>
      <c r="J45" s="123" t="n"/>
      <c r="K45" s="123" t="n"/>
      <c r="L45" s="123" t="n"/>
      <c r="M45" s="123" t="n"/>
      <c r="N45" s="123" t="n"/>
      <c r="O45" s="123" t="n"/>
      <c r="P45" s="123" t="n"/>
      <c r="Q45" s="123" t="n"/>
      <c r="R45" s="123" t="n"/>
      <c r="S45" s="123" t="n"/>
      <c r="T45" s="123" t="n"/>
      <c r="U45" s="123" t="n"/>
      <c r="V45" s="123" t="n"/>
      <c r="W45" s="123" t="n"/>
      <c r="X45" s="123" t="n"/>
      <c r="Y45" s="123" t="n"/>
      <c r="Z45" s="123" t="n"/>
      <c r="AA45" s="123" t="n"/>
      <c r="AB45" s="123" t="n"/>
      <c r="AC45" s="123" t="n"/>
      <c r="AD45" s="123" t="n"/>
      <c r="AE45" s="123" t="n"/>
      <c r="AF45" s="123" t="n"/>
      <c r="AG45" s="123" t="n"/>
      <c r="AH45" s="123" t="n"/>
      <c r="AI45" s="123" t="n"/>
      <c r="AJ45" s="123" t="n"/>
      <c r="AK45" s="123" t="n"/>
      <c r="AL45" s="123" t="n"/>
      <c r="AM45" s="123" t="n"/>
      <c r="AN45" s="123" t="n"/>
      <c r="AO45" s="123" t="n"/>
      <c r="AP45" s="123" t="n"/>
      <c r="AQ45" s="123" t="n"/>
      <c r="AR45" s="123" t="n"/>
      <c r="AS45" s="123" t="n"/>
      <c r="AT45" s="123" t="n"/>
      <c r="AU45" s="123" t="n"/>
      <c r="AV45" s="123" t="n"/>
      <c r="AW45" s="133" t="n"/>
      <c r="AX45" s="133" t="n"/>
      <c r="AY45" s="127" t="n"/>
      <c r="AZ45" s="127" t="n"/>
      <c r="BA45" s="127">
        <f>IF($AX45="","",IFERROR(IF(ROUND(VLOOKUP($AX45,DADOS!$CL$5:$CM$10,2,FALSE)*IF($AY45="",1,VLOOKUP($AY45,DADOS!$CO$5:$CP$7,2,FALSE))*IF($AZ45="",1,VLOOKUP($AZ45,DADOS!$CR$5:$CS$15,2,FALSE)),4)&gt;0,MAX(1,FLOOR(ROUND(VLOOKUP($AX45,DADOS!$CL$5:$CM$10,2,FALSE)*IF($AY45="",1,VLOOKUP($AY45,DADOS!$CO$5:$CP$7,2,FALSE))*IF($AZ45="",1,VLOOKUP($AZ45,DADOS!$CR$5:$CS$15,2,FALSE)),4),1)),0),""))</f>
        <v/>
      </c>
      <c r="BB45" s="123" t="n"/>
      <c r="BC45" s="133" t="n"/>
      <c r="BD45" s="133" t="n"/>
      <c r="BE45" s="127" t="n"/>
      <c r="BF45" s="127" t="n"/>
      <c r="BG45" s="127">
        <f>IF($BD45="","",IFERROR(IF(ROUND(VLOOKUP($BD45,DADOS!$CL$5:$CM$10,2,FALSE)*IF($BE45="",1,VLOOKUP($BE45,DADOS!$CO$5:$CP$7,2,FALSE))*IF($BF45="",1,VLOOKUP($BF45,DADOS!$CR$5:$CS$15,2,FALSE)),4)&gt;0,MAX(1,FLOOR(ROUND(VLOOKUP($BD45,DADOS!$CL$5:$CM$10,2,FALSE)*IF($BE45="",1,VLOOKUP($BE45,DADOS!$CO$5:$CP$7,2,FALSE))*IF($BF45="",1,VLOOKUP($BF45,DADOS!$CR$5:$CS$15,2,FALSE)),4),1)),0),""))</f>
        <v/>
      </c>
      <c r="BH45" s="123" t="n"/>
      <c r="BI45" s="133" t="n"/>
      <c r="BJ45" s="133" t="n"/>
      <c r="BK45" s="127" t="n"/>
      <c r="BL45" s="127" t="n"/>
      <c r="BM45" s="127">
        <f>IF($BJ45="","",IFERROR(IF(ROUND(VLOOKUP($BJ45,DADOS!$CL$5:$CM$10,2,FALSE)*IF($BK45="",1,VLOOKUP($BK45,DADOS!$CO$5:$CP$7,2,FALSE))*IF($BL45="",1,VLOOKUP($BL45,DADOS!$CR$5:$CS$15,2,FALSE)),4)&gt;0,MAX(1,FLOOR(ROUND(VLOOKUP($BJ45,DADOS!$CL$5:$CM$10,2,FALSE)*IF($BK45="",1,VLOOKUP($BK45,DADOS!$CO$5:$CP$7,2,FALSE))*IF($BL45="",1,VLOOKUP($BL45,DADOS!$CR$5:$CS$15,2,FALSE)),4),1)),0),""))</f>
        <v/>
      </c>
      <c r="BN45" s="123" t="n"/>
      <c r="BO45" s="133" t="n"/>
      <c r="BP45" s="133" t="n"/>
      <c r="BQ45" s="127" t="n"/>
      <c r="BR45" s="127" t="n"/>
      <c r="BS45" s="127">
        <f>IF($BP45="","",IFERROR(IF(ROUND(VLOOKUP($BP45,DADOS!$CL$5:$CM$10,2,FALSE)*IF($BQ45="",1,VLOOKUP($BQ45,DADOS!$CO$5:$CP$7,2,FALSE))*IF($BR45="",1,VLOOKUP($BR45,DADOS!$CR$5:$CS$15,2,FALSE)),4)&gt;0,MAX(1,FLOOR(ROUND(VLOOKUP($BP45,DADOS!$CL$5:$CM$10,2,FALSE)*IF($BQ45="",1,VLOOKUP($BQ45,DADOS!$CO$5:$CP$7,2,FALSE))*IF($BR45="",1,VLOOKUP($BR45,DADOS!$CR$5:$CS$15,2,FALSE)),4),1)),0),""))</f>
        <v/>
      </c>
      <c r="BT45" s="123" t="n"/>
    </row>
    <row r="46">
      <c r="B46" s="22" t="n"/>
      <c r="C46" s="123" t="n"/>
      <c r="D46" s="126" t="inlineStr">
        <is>
          <t>EM USO</t>
        </is>
      </c>
      <c r="E46" s="19" t="n"/>
      <c r="F46" s="19" t="n"/>
      <c r="G46" s="19" t="n"/>
      <c r="H46" s="19" t="n"/>
      <c r="I46" s="19" t="n"/>
      <c r="J46" s="19" t="n"/>
      <c r="K46" s="19" t="n"/>
      <c r="L46" s="19" t="n"/>
      <c r="M46" s="19" t="n"/>
      <c r="N46" s="19" t="n"/>
      <c r="O46" s="19" t="n"/>
      <c r="P46" s="19" t="n"/>
      <c r="Q46" s="19" t="n"/>
      <c r="R46" s="19" t="n"/>
      <c r="S46" s="19" t="n"/>
      <c r="T46" s="19" t="n"/>
      <c r="U46" s="19" t="n"/>
      <c r="V46" s="19" t="n"/>
      <c r="W46" s="19" t="n"/>
      <c r="X46" s="19" t="n"/>
      <c r="Y46" s="19" t="n"/>
      <c r="Z46" s="19" t="n"/>
      <c r="AA46" s="19" t="n"/>
      <c r="AB46" s="19" t="n"/>
      <c r="AC46" s="19" t="n"/>
      <c r="AD46" s="19" t="n"/>
      <c r="AE46" s="19" t="n"/>
      <c r="AF46" s="19" t="n"/>
      <c r="AG46" s="19" t="n"/>
      <c r="AH46" s="19" t="n"/>
      <c r="AI46" s="19" t="n"/>
      <c r="AJ46" s="19" t="n"/>
      <c r="AK46" s="19" t="n"/>
      <c r="AL46" s="19" t="n"/>
      <c r="AM46" s="19" t="n"/>
      <c r="AN46" s="19" t="n"/>
      <c r="AO46" s="19" t="n"/>
      <c r="AP46" s="19" t="n"/>
      <c r="AQ46" s="19" t="n"/>
      <c r="AR46" s="19" t="n"/>
      <c r="AS46" s="19" t="n"/>
      <c r="AT46" s="20" t="n"/>
      <c r="AU46" s="123" t="n"/>
      <c r="AV46" s="123" t="n"/>
      <c r="AW46" s="133" t="n"/>
      <c r="AX46" s="133" t="n"/>
      <c r="AY46" s="127" t="n"/>
      <c r="AZ46" s="127" t="n"/>
      <c r="BA46" s="127">
        <f>IF($AX46="","",IFERROR(IF(ROUND(VLOOKUP($AX46,DADOS!$CL$5:$CM$10,2,FALSE)*IF($AY46="",1,VLOOKUP($AY46,DADOS!$CO$5:$CP$7,2,FALSE))*IF($AZ46="",1,VLOOKUP($AZ46,DADOS!$CR$5:$CS$15,2,FALSE)),4)&gt;0,MAX(1,FLOOR(ROUND(VLOOKUP($AX46,DADOS!$CL$5:$CM$10,2,FALSE)*IF($AY46="",1,VLOOKUP($AY46,DADOS!$CO$5:$CP$7,2,FALSE))*IF($AZ46="",1,VLOOKUP($AZ46,DADOS!$CR$5:$CS$15,2,FALSE)),4),1)),0),""))</f>
        <v/>
      </c>
      <c r="BB46" s="123" t="n"/>
      <c r="BC46" s="133" t="n"/>
      <c r="BD46" s="133" t="n"/>
      <c r="BE46" s="127" t="n"/>
      <c r="BF46" s="127" t="n"/>
      <c r="BG46" s="127">
        <f>IF($BD46="","",IFERROR(IF(ROUND(VLOOKUP($BD46,DADOS!$CL$5:$CM$10,2,FALSE)*IF($BE46="",1,VLOOKUP($BE46,DADOS!$CO$5:$CP$7,2,FALSE))*IF($BF46="",1,VLOOKUP($BF46,DADOS!$CR$5:$CS$15,2,FALSE)),4)&gt;0,MAX(1,FLOOR(ROUND(VLOOKUP($BD46,DADOS!$CL$5:$CM$10,2,FALSE)*IF($BE46="",1,VLOOKUP($BE46,DADOS!$CO$5:$CP$7,2,FALSE))*IF($BF46="",1,VLOOKUP($BF46,DADOS!$CR$5:$CS$15,2,FALSE)),4),1)),0),""))</f>
        <v/>
      </c>
      <c r="BH46" s="123" t="n"/>
      <c r="BI46" s="133" t="n"/>
      <c r="BJ46" s="133" t="n"/>
      <c r="BK46" s="127" t="n"/>
      <c r="BL46" s="127" t="n"/>
      <c r="BM46" s="127">
        <f>IF($BJ46="","",IFERROR(IF(ROUND(VLOOKUP($BJ46,DADOS!$CL$5:$CM$10,2,FALSE)*IF($BK46="",1,VLOOKUP($BK46,DADOS!$CO$5:$CP$7,2,FALSE))*IF($BL46="",1,VLOOKUP($BL46,DADOS!$CR$5:$CS$15,2,FALSE)),4)&gt;0,MAX(1,FLOOR(ROUND(VLOOKUP($BJ46,DADOS!$CL$5:$CM$10,2,FALSE)*IF($BK46="",1,VLOOKUP($BK46,DADOS!$CO$5:$CP$7,2,FALSE))*IF($BL46="",1,VLOOKUP($BL46,DADOS!$CR$5:$CS$15,2,FALSE)),4),1)),0),""))</f>
        <v/>
      </c>
      <c r="BN46" s="123" t="n"/>
      <c r="BO46" s="133" t="n"/>
      <c r="BP46" s="133" t="n"/>
      <c r="BQ46" s="127" t="n"/>
      <c r="BR46" s="127" t="n"/>
      <c r="BS46" s="127">
        <f>IF($BP46="","",IFERROR(IF(ROUND(VLOOKUP($BP46,DADOS!$CL$5:$CM$10,2,FALSE)*IF($BQ46="",1,VLOOKUP($BQ46,DADOS!$CO$5:$CP$7,2,FALSE))*IF($BR46="",1,VLOOKUP($BR46,DADOS!$CR$5:$CS$15,2,FALSE)),4)&gt;0,MAX(1,FLOOR(ROUND(VLOOKUP($BP46,DADOS!$CL$5:$CM$10,2,FALSE)*IF($BQ46="",1,VLOOKUP($BQ46,DADOS!$CO$5:$CP$7,2,FALSE))*IF($BR46="",1,VLOOKUP($BR46,DADOS!$CR$5:$CS$15,2,FALSE)),4),1)),0),""))</f>
        <v/>
      </c>
      <c r="BT46" s="123" t="n"/>
    </row>
    <row r="47">
      <c r="B47" s="22" t="n"/>
      <c r="C47" s="123" t="n"/>
      <c r="D47" s="23"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24" t="n"/>
      <c r="AB47" s="24" t="n"/>
      <c r="AC47" s="24" t="n"/>
      <c r="AD47" s="24" t="n"/>
      <c r="AE47" s="24" t="n"/>
      <c r="AF47" s="24" t="n"/>
      <c r="AG47" s="24" t="n"/>
      <c r="AH47" s="24" t="n"/>
      <c r="AI47" s="24" t="n"/>
      <c r="AJ47" s="24" t="n"/>
      <c r="AK47" s="24" t="n"/>
      <c r="AL47" s="24" t="n"/>
      <c r="AM47" s="24" t="n"/>
      <c r="AN47" s="24" t="n"/>
      <c r="AO47" s="24" t="n"/>
      <c r="AP47" s="24" t="n"/>
      <c r="AQ47" s="24" t="n"/>
      <c r="AR47" s="24" t="n"/>
      <c r="AS47" s="24" t="n"/>
      <c r="AT47" s="25" t="n"/>
      <c r="AU47" s="123" t="n"/>
      <c r="AV47" s="123" t="n"/>
      <c r="AW47" s="133" t="n"/>
      <c r="AX47" s="133" t="n"/>
      <c r="AY47" s="127" t="n"/>
      <c r="AZ47" s="127" t="n"/>
      <c r="BA47" s="127">
        <f>IF($AX47="","",IFERROR(IF(ROUND(VLOOKUP($AX47,DADOS!$CL$5:$CM$10,2,FALSE)*IF($AY47="",1,VLOOKUP($AY47,DADOS!$CO$5:$CP$7,2,FALSE))*IF($AZ47="",1,VLOOKUP($AZ47,DADOS!$CR$5:$CS$15,2,FALSE)),4)&gt;0,MAX(1,FLOOR(ROUND(VLOOKUP($AX47,DADOS!$CL$5:$CM$10,2,FALSE)*IF($AY47="",1,VLOOKUP($AY47,DADOS!$CO$5:$CP$7,2,FALSE))*IF($AZ47="",1,VLOOKUP($AZ47,DADOS!$CR$5:$CS$15,2,FALSE)),4),1)),0),""))</f>
        <v/>
      </c>
      <c r="BB47" s="123" t="n"/>
      <c r="BC47" s="133" t="n"/>
      <c r="BD47" s="133" t="n"/>
      <c r="BE47" s="127" t="n"/>
      <c r="BF47" s="127" t="n"/>
      <c r="BG47" s="127">
        <f>IF($BD47="","",IFERROR(IF(ROUND(VLOOKUP($BD47,DADOS!$CL$5:$CM$10,2,FALSE)*IF($BE47="",1,VLOOKUP($BE47,DADOS!$CO$5:$CP$7,2,FALSE))*IF($BF47="",1,VLOOKUP($BF47,DADOS!$CR$5:$CS$15,2,FALSE)),4)&gt;0,MAX(1,FLOOR(ROUND(VLOOKUP($BD47,DADOS!$CL$5:$CM$10,2,FALSE)*IF($BE47="",1,VLOOKUP($BE47,DADOS!$CO$5:$CP$7,2,FALSE))*IF($BF47="",1,VLOOKUP($BF47,DADOS!$CR$5:$CS$15,2,FALSE)),4),1)),0),""))</f>
        <v/>
      </c>
      <c r="BH47" s="123" t="n"/>
      <c r="BI47" s="133" t="n"/>
      <c r="BJ47" s="133" t="n"/>
      <c r="BK47" s="127" t="n"/>
      <c r="BL47" s="127" t="n"/>
      <c r="BM47" s="127">
        <f>IF($BJ47="","",IFERROR(IF(ROUND(VLOOKUP($BJ47,DADOS!$CL$5:$CM$10,2,FALSE)*IF($BK47="",1,VLOOKUP($BK47,DADOS!$CO$5:$CP$7,2,FALSE))*IF($BL47="",1,VLOOKUP($BL47,DADOS!$CR$5:$CS$15,2,FALSE)),4)&gt;0,MAX(1,FLOOR(ROUND(VLOOKUP($BJ47,DADOS!$CL$5:$CM$10,2,FALSE)*IF($BK47="",1,VLOOKUP($BK47,DADOS!$CO$5:$CP$7,2,FALSE))*IF($BL47="",1,VLOOKUP($BL47,DADOS!$CR$5:$CS$15,2,FALSE)),4),1)),0),""))</f>
        <v/>
      </c>
      <c r="BN47" s="123" t="n"/>
      <c r="BO47" s="133" t="n"/>
      <c r="BP47" s="133" t="n"/>
      <c r="BQ47" s="127" t="n"/>
      <c r="BR47" s="127" t="n"/>
      <c r="BS47" s="127">
        <f>IF($BP47="","",IFERROR(IF(ROUND(VLOOKUP($BP47,DADOS!$CL$5:$CM$10,2,FALSE)*IF($BQ47="",1,VLOOKUP($BQ47,DADOS!$CO$5:$CP$7,2,FALSE))*IF($BR47="",1,VLOOKUP($BR47,DADOS!$CR$5:$CS$15,2,FALSE)),4)&gt;0,MAX(1,FLOOR(ROUND(VLOOKUP($BP47,DADOS!$CL$5:$CM$10,2,FALSE)*IF($BQ47="",1,VLOOKUP($BQ47,DADOS!$CO$5:$CP$7,2,FALSE))*IF($BR47="",1,VLOOKUP($BR47,DADOS!$CR$5:$CS$15,2,FALSE)),4),1)),0),""))</f>
        <v/>
      </c>
      <c r="BT47" s="123" t="n"/>
    </row>
    <row r="48">
      <c r="B48" s="22" t="n"/>
      <c r="C48" s="123" t="n"/>
      <c r="D48" s="55" t="inlineStr">
        <is>
          <t>MÃO PRINCIPAL</t>
        </is>
      </c>
      <c r="E48" s="16" t="n"/>
      <c r="F48" s="16" t="n"/>
      <c r="G48" s="16" t="n"/>
      <c r="H48" s="16" t="n"/>
      <c r="I48" s="16" t="n"/>
      <c r="J48" s="16" t="n"/>
      <c r="K48" s="16" t="n"/>
      <c r="L48" s="16" t="n"/>
      <c r="M48" s="16" t="n"/>
      <c r="N48" s="16" t="n"/>
      <c r="O48" s="16" t="n"/>
      <c r="P48" s="16" t="n"/>
      <c r="Q48" s="17" t="n"/>
      <c r="R48" s="123" t="n"/>
      <c r="S48" s="55" t="inlineStr">
        <is>
          <t>MÃO SECUNDÁRIA</t>
        </is>
      </c>
      <c r="T48" s="16" t="n"/>
      <c r="U48" s="16" t="n"/>
      <c r="V48" s="16" t="n"/>
      <c r="W48" s="16" t="n"/>
      <c r="X48" s="16" t="n"/>
      <c r="Y48" s="16" t="n"/>
      <c r="Z48" s="16" t="n"/>
      <c r="AA48" s="16" t="n"/>
      <c r="AB48" s="16" t="n"/>
      <c r="AC48" s="16" t="n"/>
      <c r="AD48" s="16" t="n"/>
      <c r="AE48" s="16" t="n"/>
      <c r="AF48" s="17" t="n"/>
      <c r="AG48" s="123" t="n"/>
      <c r="AH48" s="55" t="inlineStr">
        <is>
          <t>VESTINDO</t>
        </is>
      </c>
      <c r="AI48" s="16" t="n"/>
      <c r="AJ48" s="16" t="n"/>
      <c r="AK48" s="16" t="n"/>
      <c r="AL48" s="16" t="n"/>
      <c r="AM48" s="16" t="n"/>
      <c r="AN48" s="16" t="n"/>
      <c r="AO48" s="16" t="n"/>
      <c r="AP48" s="16" t="n"/>
      <c r="AQ48" s="16" t="n"/>
      <c r="AR48" s="16" t="n"/>
      <c r="AS48" s="16" t="n"/>
      <c r="AT48" s="17" t="n"/>
      <c r="AU48" s="123" t="n"/>
      <c r="AV48" s="123" t="n"/>
      <c r="AW48" s="133" t="n"/>
      <c r="AX48" s="133" t="n"/>
      <c r="AY48" s="127" t="n"/>
      <c r="AZ48" s="127" t="n"/>
      <c r="BA48" s="127">
        <f>IF($AX48="","",IFERROR(IF(ROUND(VLOOKUP($AX48,DADOS!$CL$5:$CM$10,2,FALSE)*IF($AY48="",1,VLOOKUP($AY48,DADOS!$CO$5:$CP$7,2,FALSE))*IF($AZ48="",1,VLOOKUP($AZ48,DADOS!$CR$5:$CS$15,2,FALSE)),4)&gt;0,MAX(1,FLOOR(ROUND(VLOOKUP($AX48,DADOS!$CL$5:$CM$10,2,FALSE)*IF($AY48="",1,VLOOKUP($AY48,DADOS!$CO$5:$CP$7,2,FALSE))*IF($AZ48="",1,VLOOKUP($AZ48,DADOS!$CR$5:$CS$15,2,FALSE)),4),1)),0),""))</f>
        <v/>
      </c>
      <c r="BB48" s="123" t="n"/>
      <c r="BC48" s="133" t="n"/>
      <c r="BD48" s="133" t="n"/>
      <c r="BE48" s="127" t="n"/>
      <c r="BF48" s="127" t="n"/>
      <c r="BG48" s="127">
        <f>IF($BD48="","",IFERROR(IF(ROUND(VLOOKUP($BD48,DADOS!$CL$5:$CM$10,2,FALSE)*IF($BE48="",1,VLOOKUP($BE48,DADOS!$CO$5:$CP$7,2,FALSE))*IF($BF48="",1,VLOOKUP($BF48,DADOS!$CR$5:$CS$15,2,FALSE)),4)&gt;0,MAX(1,FLOOR(ROUND(VLOOKUP($BD48,DADOS!$CL$5:$CM$10,2,FALSE)*IF($BE48="",1,VLOOKUP($BE48,DADOS!$CO$5:$CP$7,2,FALSE))*IF($BF48="",1,VLOOKUP($BF48,DADOS!$CR$5:$CS$15,2,FALSE)),4),1)),0),""))</f>
        <v/>
      </c>
      <c r="BH48" s="123" t="n"/>
      <c r="BI48" s="133" t="n"/>
      <c r="BJ48" s="133" t="n"/>
      <c r="BK48" s="127" t="n"/>
      <c r="BL48" s="127" t="n"/>
      <c r="BM48" s="127">
        <f>IF($BJ48="","",IFERROR(IF(ROUND(VLOOKUP($BJ48,DADOS!$CL$5:$CM$10,2,FALSE)*IF($BK48="",1,VLOOKUP($BK48,DADOS!$CO$5:$CP$7,2,FALSE))*IF($BL48="",1,VLOOKUP($BL48,DADOS!$CR$5:$CS$15,2,FALSE)),4)&gt;0,MAX(1,FLOOR(ROUND(VLOOKUP($BJ48,DADOS!$CL$5:$CM$10,2,FALSE)*IF($BK48="",1,VLOOKUP($BK48,DADOS!$CO$5:$CP$7,2,FALSE))*IF($BL48="",1,VLOOKUP($BL48,DADOS!$CR$5:$CS$15,2,FALSE)),4),1)),0),""))</f>
        <v/>
      </c>
      <c r="BN48" s="123" t="n"/>
      <c r="BO48" s="133" t="n"/>
      <c r="BP48" s="133" t="n"/>
      <c r="BQ48" s="127" t="n"/>
      <c r="BR48" s="127" t="n"/>
      <c r="BS48" s="127">
        <f>IF($BP48="","",IFERROR(IF(ROUND(VLOOKUP($BP48,DADOS!$CL$5:$CM$10,2,FALSE)*IF($BQ48="",1,VLOOKUP($BQ48,DADOS!$CO$5:$CP$7,2,FALSE))*IF($BR48="",1,VLOOKUP($BR48,DADOS!$CR$5:$CS$15,2,FALSE)),4)&gt;0,MAX(1,FLOOR(ROUND(VLOOKUP($BP48,DADOS!$CL$5:$CM$10,2,FALSE)*IF($BQ48="",1,VLOOKUP($BQ48,DADOS!$CO$5:$CP$7,2,FALSE))*IF($BR48="",1,VLOOKUP($BR48,DADOS!$CR$5:$CS$15,2,FALSE)),4),1)),0),""))</f>
        <v/>
      </c>
      <c r="BT48" s="123" t="n"/>
    </row>
    <row r="49">
      <c r="B49" s="22" t="n"/>
      <c r="C49" s="123" t="n"/>
      <c r="D49" s="85" t="inlineStr">
        <is>
          <t>Soco</t>
        </is>
      </c>
      <c r="E49" s="19" t="n"/>
      <c r="F49" s="19" t="n"/>
      <c r="G49" s="19" t="n"/>
      <c r="H49" s="19" t="n"/>
      <c r="I49" s="19" t="n"/>
      <c r="J49" s="19" t="n"/>
      <c r="K49" s="19" t="n"/>
      <c r="L49" s="19" t="n"/>
      <c r="M49" s="19" t="n"/>
      <c r="N49" s="19" t="n"/>
      <c r="O49" s="19" t="n"/>
      <c r="P49" s="19" t="n"/>
      <c r="Q49" s="20" t="n"/>
      <c r="R49" s="123" t="n"/>
      <c r="S49" s="85" t="inlineStr">
        <is>
          <t>—</t>
        </is>
      </c>
      <c r="T49" s="19" t="n"/>
      <c r="U49" s="19" t="n"/>
      <c r="V49" s="19" t="n"/>
      <c r="W49" s="19" t="n"/>
      <c r="X49" s="19" t="n"/>
      <c r="Y49" s="19" t="n"/>
      <c r="Z49" s="19" t="n"/>
      <c r="AA49" s="19" t="n"/>
      <c r="AB49" s="19" t="n"/>
      <c r="AC49" s="19" t="n"/>
      <c r="AD49" s="19" t="n"/>
      <c r="AE49" s="19" t="n"/>
      <c r="AF49" s="20" t="n"/>
      <c r="AG49" s="123" t="n"/>
      <c r="AH49" s="85" t="inlineStr">
        <is>
          <t>Traje 1</t>
        </is>
      </c>
      <c r="AI49" s="19" t="n"/>
      <c r="AJ49" s="19" t="n"/>
      <c r="AK49" s="19" t="n"/>
      <c r="AL49" s="19" t="n"/>
      <c r="AM49" s="19" t="n"/>
      <c r="AN49" s="19" t="n"/>
      <c r="AO49" s="19" t="n"/>
      <c r="AP49" s="19" t="n"/>
      <c r="AQ49" s="19" t="n"/>
      <c r="AR49" s="19" t="n"/>
      <c r="AS49" s="19" t="n"/>
      <c r="AT49" s="20" t="n"/>
      <c r="AU49" s="123" t="n"/>
      <c r="AV49" s="123" t="n"/>
      <c r="AW49" s="133" t="n"/>
      <c r="AX49" s="133" t="n"/>
      <c r="AY49" s="127" t="n"/>
      <c r="AZ49" s="127" t="n"/>
      <c r="BA49" s="127">
        <f>IF($AX49="","",IFERROR(IF(ROUND(VLOOKUP($AX49,DADOS!$CL$5:$CM$10,2,FALSE)*IF($AY49="",1,VLOOKUP($AY49,DADOS!$CO$5:$CP$7,2,FALSE))*IF($AZ49="",1,VLOOKUP($AZ49,DADOS!$CR$5:$CS$15,2,FALSE)),4)&gt;0,MAX(1,FLOOR(ROUND(VLOOKUP($AX49,DADOS!$CL$5:$CM$10,2,FALSE)*IF($AY49="",1,VLOOKUP($AY49,DADOS!$CO$5:$CP$7,2,FALSE))*IF($AZ49="",1,VLOOKUP($AZ49,DADOS!$CR$5:$CS$15,2,FALSE)),4),1)),0),""))</f>
        <v/>
      </c>
      <c r="BB49" s="123" t="n"/>
      <c r="BC49" s="133" t="n"/>
      <c r="BD49" s="133" t="n"/>
      <c r="BE49" s="127" t="n"/>
      <c r="BF49" s="127" t="n"/>
      <c r="BG49" s="127">
        <f>IF($BD49="","",IFERROR(IF(ROUND(VLOOKUP($BD49,DADOS!$CL$5:$CM$10,2,FALSE)*IF($BE49="",1,VLOOKUP($BE49,DADOS!$CO$5:$CP$7,2,FALSE))*IF($BF49="",1,VLOOKUP($BF49,DADOS!$CR$5:$CS$15,2,FALSE)),4)&gt;0,MAX(1,FLOOR(ROUND(VLOOKUP($BD49,DADOS!$CL$5:$CM$10,2,FALSE)*IF($BE49="",1,VLOOKUP($BE49,DADOS!$CO$5:$CP$7,2,FALSE))*IF($BF49="",1,VLOOKUP($BF49,DADOS!$CR$5:$CS$15,2,FALSE)),4),1)),0),""))</f>
        <v/>
      </c>
      <c r="BH49" s="123" t="n"/>
      <c r="BI49" s="133" t="n"/>
      <c r="BJ49" s="133" t="n"/>
      <c r="BK49" s="127" t="n"/>
      <c r="BL49" s="127" t="n"/>
      <c r="BM49" s="127">
        <f>IF($BJ49="","",IFERROR(IF(ROUND(VLOOKUP($BJ49,DADOS!$CL$5:$CM$10,2,FALSE)*IF($BK49="",1,VLOOKUP($BK49,DADOS!$CO$5:$CP$7,2,FALSE))*IF($BL49="",1,VLOOKUP($BL49,DADOS!$CR$5:$CS$15,2,FALSE)),4)&gt;0,MAX(1,FLOOR(ROUND(VLOOKUP($BJ49,DADOS!$CL$5:$CM$10,2,FALSE)*IF($BK49="",1,VLOOKUP($BK49,DADOS!$CO$5:$CP$7,2,FALSE))*IF($BL49="",1,VLOOKUP($BL49,DADOS!$CR$5:$CS$15,2,FALSE)),4),1)),0),""))</f>
        <v/>
      </c>
      <c r="BN49" s="123" t="n"/>
      <c r="BO49" s="133" t="n"/>
      <c r="BP49" s="133" t="n"/>
      <c r="BQ49" s="127" t="n"/>
      <c r="BR49" s="127" t="n"/>
      <c r="BS49" s="127">
        <f>IF($BP49="","",IFERROR(IF(ROUND(VLOOKUP($BP49,DADOS!$CL$5:$CM$10,2,FALSE)*IF($BQ49="",1,VLOOKUP($BQ49,DADOS!$CO$5:$CP$7,2,FALSE))*IF($BR49="",1,VLOOKUP($BR49,DADOS!$CR$5:$CS$15,2,FALSE)),4)&gt;0,MAX(1,FLOOR(ROUND(VLOOKUP($BP49,DADOS!$CL$5:$CM$10,2,FALSE)*IF($BQ49="",1,VLOOKUP($BQ49,DADOS!$CO$5:$CP$7,2,FALSE))*IF($BR49="",1,VLOOKUP($BR49,DADOS!$CR$5:$CS$15,2,FALSE)),4),1)),0),""))</f>
        <v/>
      </c>
      <c r="BT49" s="123" t="n"/>
    </row>
    <row r="50">
      <c r="B50" s="22" t="n"/>
      <c r="C50" s="123" t="n"/>
      <c r="D50" s="23" t="n"/>
      <c r="E50" s="24" t="n"/>
      <c r="F50" s="24" t="n"/>
      <c r="G50" s="24" t="n"/>
      <c r="H50" s="24" t="n"/>
      <c r="I50" s="24" t="n"/>
      <c r="J50" s="24" t="n"/>
      <c r="K50" s="24" t="n"/>
      <c r="L50" s="24" t="n"/>
      <c r="M50" s="24" t="n"/>
      <c r="N50" s="24" t="n"/>
      <c r="O50" s="24" t="n"/>
      <c r="P50" s="24" t="n"/>
      <c r="Q50" s="25" t="n"/>
      <c r="R50" s="123" t="n"/>
      <c r="S50" s="23" t="n"/>
      <c r="T50" s="24" t="n"/>
      <c r="U50" s="24" t="n"/>
      <c r="V50" s="24" t="n"/>
      <c r="W50" s="24" t="n"/>
      <c r="X50" s="24" t="n"/>
      <c r="Y50" s="24" t="n"/>
      <c r="Z50" s="24" t="n"/>
      <c r="AA50" s="24" t="n"/>
      <c r="AB50" s="24" t="n"/>
      <c r="AC50" s="24" t="n"/>
      <c r="AD50" s="24" t="n"/>
      <c r="AE50" s="24" t="n"/>
      <c r="AF50" s="25" t="n"/>
      <c r="AG50" s="123" t="n"/>
      <c r="AH50" s="23" t="n"/>
      <c r="AI50" s="24" t="n"/>
      <c r="AJ50" s="24" t="n"/>
      <c r="AK50" s="24" t="n"/>
      <c r="AL50" s="24" t="n"/>
      <c r="AM50" s="24" t="n"/>
      <c r="AN50" s="24" t="n"/>
      <c r="AO50" s="24" t="n"/>
      <c r="AP50" s="24" t="n"/>
      <c r="AQ50" s="24" t="n"/>
      <c r="AR50" s="24" t="n"/>
      <c r="AS50" s="24" t="n"/>
      <c r="AT50" s="25" t="n"/>
      <c r="AU50" s="123" t="n"/>
      <c r="AV50" s="123" t="n"/>
      <c r="AW50" s="133" t="n"/>
      <c r="AX50" s="133" t="n"/>
      <c r="AY50" s="127" t="n"/>
      <c r="AZ50" s="127" t="n"/>
      <c r="BA50" s="127">
        <f>IF($AX50="","",IFERROR(IF(ROUND(VLOOKUP($AX50,DADOS!$CL$5:$CM$10,2,FALSE)*IF($AY50="",1,VLOOKUP($AY50,DADOS!$CO$5:$CP$7,2,FALSE))*IF($AZ50="",1,VLOOKUP($AZ50,DADOS!$CR$5:$CS$15,2,FALSE)),4)&gt;0,MAX(1,FLOOR(ROUND(VLOOKUP($AX50,DADOS!$CL$5:$CM$10,2,FALSE)*IF($AY50="",1,VLOOKUP($AY50,DADOS!$CO$5:$CP$7,2,FALSE))*IF($AZ50="",1,VLOOKUP($AZ50,DADOS!$CR$5:$CS$15,2,FALSE)),4),1)),0),""))</f>
        <v/>
      </c>
      <c r="BB50" s="123" t="n"/>
      <c r="BC50" s="133" t="n"/>
      <c r="BD50" s="133" t="n"/>
      <c r="BE50" s="127" t="n"/>
      <c r="BF50" s="127" t="n"/>
      <c r="BG50" s="127">
        <f>IF($BD50="","",IFERROR(IF(ROUND(VLOOKUP($BD50,DADOS!$CL$5:$CM$10,2,FALSE)*IF($BE50="",1,VLOOKUP($BE50,DADOS!$CO$5:$CP$7,2,FALSE))*IF($BF50="",1,VLOOKUP($BF50,DADOS!$CR$5:$CS$15,2,FALSE)),4)&gt;0,MAX(1,FLOOR(ROUND(VLOOKUP($BD50,DADOS!$CL$5:$CM$10,2,FALSE)*IF($BE50="",1,VLOOKUP($BE50,DADOS!$CO$5:$CP$7,2,FALSE))*IF($BF50="",1,VLOOKUP($BF50,DADOS!$CR$5:$CS$15,2,FALSE)),4),1)),0),""))</f>
        <v/>
      </c>
      <c r="BH50" s="123" t="n"/>
      <c r="BI50" s="133" t="n"/>
      <c r="BJ50" s="133" t="n"/>
      <c r="BK50" s="127" t="n"/>
      <c r="BL50" s="127" t="n"/>
      <c r="BM50" s="127">
        <f>IF($BJ50="","",IFERROR(IF(ROUND(VLOOKUP($BJ50,DADOS!$CL$5:$CM$10,2,FALSE)*IF($BK50="",1,VLOOKUP($BK50,DADOS!$CO$5:$CP$7,2,FALSE))*IF($BL50="",1,VLOOKUP($BL50,DADOS!$CR$5:$CS$15,2,FALSE)),4)&gt;0,MAX(1,FLOOR(ROUND(VLOOKUP($BJ50,DADOS!$CL$5:$CM$10,2,FALSE)*IF($BK50="",1,VLOOKUP($BK50,DADOS!$CO$5:$CP$7,2,FALSE))*IF($BL50="",1,VLOOKUP($BL50,DADOS!$CR$5:$CS$15,2,FALSE)),4),1)),0),""))</f>
        <v/>
      </c>
      <c r="BN50" s="123" t="n"/>
      <c r="BO50" s="133" t="n"/>
      <c r="BP50" s="133" t="n"/>
      <c r="BQ50" s="127" t="n"/>
      <c r="BR50" s="127" t="n"/>
      <c r="BS50" s="127">
        <f>IF($BP50="","",IFERROR(IF(ROUND(VLOOKUP($BP50,DADOS!$CL$5:$CM$10,2,FALSE)*IF($BQ50="",1,VLOOKUP($BQ50,DADOS!$CO$5:$CP$7,2,FALSE))*IF($BR50="",1,VLOOKUP($BR50,DADOS!$CR$5:$CS$15,2,FALSE)),4)&gt;0,MAX(1,FLOOR(ROUND(VLOOKUP($BP50,DADOS!$CL$5:$CM$10,2,FALSE)*IF($BQ50="",1,VLOOKUP($BQ50,DADOS!$CO$5:$CP$7,2,FALSE))*IF($BR50="",1,VLOOKUP($BR50,DADOS!$CR$5:$CS$15,2,FALSE)),4),1)),0),""))</f>
        <v/>
      </c>
      <c r="BT50" s="123" t="n"/>
    </row>
    <row r="51">
      <c r="B51" s="22" t="n"/>
      <c r="C51" s="123" t="n"/>
      <c r="D51" s="132">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51" s="16" t="n"/>
      <c r="F51" s="16" t="n"/>
      <c r="G51" s="16" t="n"/>
      <c r="H51" s="16" t="n"/>
      <c r="I51" s="16" t="n"/>
      <c r="J51" s="16" t="n"/>
      <c r="K51" s="16" t="n"/>
      <c r="L51" s="16" t="n"/>
      <c r="M51" s="16" t="n"/>
      <c r="N51" s="16" t="n"/>
      <c r="O51" s="16" t="n"/>
      <c r="P51" s="16" t="n"/>
      <c r="Q51" s="17" t="n"/>
      <c r="R51" s="123" t="n"/>
      <c r="S51" s="132">
        <f>IF(DADOS!$CZ$8=2,"Ocupada: a arma da outra mão é de duas mãos",IF($S$49="Nas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51" s="16" t="n"/>
      <c r="U51" s="16" t="n"/>
      <c r="V51" s="16" t="n"/>
      <c r="W51" s="16" t="n"/>
      <c r="X51" s="16" t="n"/>
      <c r="Y51" s="16" t="n"/>
      <c r="Z51" s="16" t="n"/>
      <c r="AA51" s="16" t="n"/>
      <c r="AB51" s="16" t="n"/>
      <c r="AC51" s="16" t="n"/>
      <c r="AD51" s="16" t="n"/>
      <c r="AE51" s="16" t="n"/>
      <c r="AF51" s="17" t="n"/>
      <c r="AG51" s="123" t="n"/>
      <c r="AH51" s="132">
        <f>IF(DADOS!$CZ$27=0,"Sem uniforme: vale a proteção do cobrir-se","Proteção "&amp;DADOS!$CZ$28&amp;" · "&amp;IF(DADOS!$CZ$29&amp;""="—","sem teto de Destreza","teto de Destreza "&amp;DADOS!$CZ$29))</f>
        <v/>
      </c>
      <c r="AI51" s="16" t="n"/>
      <c r="AJ51" s="16" t="n"/>
      <c r="AK51" s="16" t="n"/>
      <c r="AL51" s="16" t="n"/>
      <c r="AM51" s="16" t="n"/>
      <c r="AN51" s="16" t="n"/>
      <c r="AO51" s="16" t="n"/>
      <c r="AP51" s="16" t="n"/>
      <c r="AQ51" s="16" t="n"/>
      <c r="AR51" s="16" t="n"/>
      <c r="AS51" s="16" t="n"/>
      <c r="AT51" s="17" t="n"/>
      <c r="AU51" s="123" t="n"/>
      <c r="AV51" s="123" t="n"/>
      <c r="AW51" s="133" t="n"/>
      <c r="AX51" s="133" t="n"/>
      <c r="AY51" s="127" t="n"/>
      <c r="AZ51" s="127" t="n"/>
      <c r="BA51" s="127">
        <f>IF($AX51="","",IFERROR(IF(ROUND(VLOOKUP($AX51,DADOS!$CL$5:$CM$10,2,FALSE)*IF($AY51="",1,VLOOKUP($AY51,DADOS!$CO$5:$CP$7,2,FALSE))*IF($AZ51="",1,VLOOKUP($AZ51,DADOS!$CR$5:$CS$15,2,FALSE)),4)&gt;0,MAX(1,FLOOR(ROUND(VLOOKUP($AX51,DADOS!$CL$5:$CM$10,2,FALSE)*IF($AY51="",1,VLOOKUP($AY51,DADOS!$CO$5:$CP$7,2,FALSE))*IF($AZ51="",1,VLOOKUP($AZ51,DADOS!$CR$5:$CS$15,2,FALSE)),4),1)),0),""))</f>
        <v/>
      </c>
      <c r="BB51" s="123" t="n"/>
      <c r="BC51" s="133" t="n"/>
      <c r="BD51" s="133" t="n"/>
      <c r="BE51" s="127" t="n"/>
      <c r="BF51" s="127" t="n"/>
      <c r="BG51" s="127">
        <f>IF($BD51="","",IFERROR(IF(ROUND(VLOOKUP($BD51,DADOS!$CL$5:$CM$10,2,FALSE)*IF($BE51="",1,VLOOKUP($BE51,DADOS!$CO$5:$CP$7,2,FALSE))*IF($BF51="",1,VLOOKUP($BF51,DADOS!$CR$5:$CS$15,2,FALSE)),4)&gt;0,MAX(1,FLOOR(ROUND(VLOOKUP($BD51,DADOS!$CL$5:$CM$10,2,FALSE)*IF($BE51="",1,VLOOKUP($BE51,DADOS!$CO$5:$CP$7,2,FALSE))*IF($BF51="",1,VLOOKUP($BF51,DADOS!$CR$5:$CS$15,2,FALSE)),4),1)),0),""))</f>
        <v/>
      </c>
      <c r="BH51" s="123" t="n"/>
      <c r="BI51" s="133" t="n"/>
      <c r="BJ51" s="133" t="n"/>
      <c r="BK51" s="127" t="n"/>
      <c r="BL51" s="127" t="n"/>
      <c r="BM51" s="127">
        <f>IF($BJ51="","",IFERROR(IF(ROUND(VLOOKUP($BJ51,DADOS!$CL$5:$CM$10,2,FALSE)*IF($BK51="",1,VLOOKUP($BK51,DADOS!$CO$5:$CP$7,2,FALSE))*IF($BL51="",1,VLOOKUP($BL51,DADOS!$CR$5:$CS$15,2,FALSE)),4)&gt;0,MAX(1,FLOOR(ROUND(VLOOKUP($BJ51,DADOS!$CL$5:$CM$10,2,FALSE)*IF($BK51="",1,VLOOKUP($BK51,DADOS!$CO$5:$CP$7,2,FALSE))*IF($BL51="",1,VLOOKUP($BL51,DADOS!$CR$5:$CS$15,2,FALSE)),4),1)),0),""))</f>
        <v/>
      </c>
      <c r="BN51" s="123" t="n"/>
      <c r="BO51" s="133" t="n"/>
      <c r="BP51" s="133" t="n"/>
      <c r="BQ51" s="127" t="n"/>
      <c r="BR51" s="127" t="n"/>
      <c r="BS51" s="127">
        <f>IF($BP51="","",IFERROR(IF(ROUND(VLOOKUP($BP51,DADOS!$CL$5:$CM$10,2,FALSE)*IF($BQ51="",1,VLOOKUP($BQ51,DADOS!$CO$5:$CP$7,2,FALSE))*IF($BR51="",1,VLOOKUP($BR51,DADOS!$CR$5:$CS$15,2,FALSE)),4)&gt;0,MAX(1,FLOOR(ROUND(VLOOKUP($BP51,DADOS!$CL$5:$CM$10,2,FALSE)*IF($BQ51="",1,VLOOKUP($BQ51,DADOS!$CO$5:$CP$7,2,FALSE))*IF($BR51="",1,VLOOKUP($BR51,DADOS!$CR$5:$CS$15,2,FALSE)),4),1)),0),""))</f>
        <v/>
      </c>
      <c r="BT51" s="123" t="n"/>
    </row>
    <row r="52">
      <c r="B52" s="22" t="n"/>
      <c r="C52" s="123" t="n"/>
      <c r="D52" s="73">
        <f>IF(DADOS!$CZ$16=1,"Treinada","Sem treino: desvantagem")</f>
        <v/>
      </c>
      <c r="E52" s="16" t="n"/>
      <c r="F52" s="16" t="n"/>
      <c r="G52" s="16" t="n"/>
      <c r="H52" s="16" t="n"/>
      <c r="I52" s="16" t="n"/>
      <c r="J52" s="17" t="n"/>
      <c r="K52" s="73">
        <f>IF(DADOS!$CZ$11=0,"Sem requisito de Força",IF(DADOS!$CZ$36=1,"Falta Força: "&amp;DADOS!$CZ$5&amp;" de "&amp;DADOS!$CZ$11,"Força "&amp;DADOS!$CZ$5&amp;" de "&amp;DADOS!$CZ$11))</f>
        <v/>
      </c>
      <c r="L52" s="16" t="n"/>
      <c r="M52" s="16" t="n"/>
      <c r="N52" s="16" t="n"/>
      <c r="O52" s="16" t="n"/>
      <c r="P52" s="16" t="n"/>
      <c r="Q52" s="17" t="n"/>
      <c r="R52" s="123" t="n"/>
      <c r="S52" s="73">
        <f>IF(DADOS!$CZ$17=0,"—",IF(DADOS!$CZ$22=0,"Sem requisito de Força",IF(DADOS!$CZ$37=1,"Falta Força: "&amp;DADOS!$CZ$5&amp;" de "&amp;DADOS!$CZ$22,"Força "&amp;DADOS!$CZ$5&amp;" de "&amp;DADOS!$CZ$22)))</f>
        <v/>
      </c>
      <c r="T52" s="16" t="n"/>
      <c r="U52" s="16" t="n"/>
      <c r="V52" s="16" t="n"/>
      <c r="W52" s="16" t="n"/>
      <c r="X52" s="16" t="n"/>
      <c r="Y52" s="17" t="n"/>
      <c r="Z52" s="73">
        <f>IF(DADOS!$CZ$19=1,"Trava Selo de gesto","Sem escudo")</f>
        <v/>
      </c>
      <c r="AA52" s="16" t="n"/>
      <c r="AB52" s="16" t="n"/>
      <c r="AC52" s="16" t="n"/>
      <c r="AD52" s="16" t="n"/>
      <c r="AE52" s="16" t="n"/>
      <c r="AF52" s="17" t="n"/>
      <c r="AG52" s="123" t="n"/>
      <c r="AH52" s="73">
        <f>IF(DADOS!$CZ$27=0,"—",IF(DADOS!$CZ$35=1,"Liberado no "&amp;$AB$11,"Pede "&amp;DADOS!$CZ$33))</f>
        <v/>
      </c>
      <c r="AI52" s="16" t="n"/>
      <c r="AJ52" s="16" t="n"/>
      <c r="AK52" s="16" t="n"/>
      <c r="AL52" s="16" t="n"/>
      <c r="AM52" s="16" t="n"/>
      <c r="AN52" s="17" t="n"/>
      <c r="AO52" s="73">
        <f>IF(DADOS!$CZ$27=0,"—",IF(DADOS!$CZ$30=0,"Sem requisito de Força",IF(DADOS!$CZ$38=1,"Falta Força: "&amp;DADOS!$CZ$5&amp;" de "&amp;DADOS!$CZ$30,"Força "&amp;DADOS!$CZ$5&amp;" de "&amp;DADOS!$CZ$30)))</f>
        <v/>
      </c>
      <c r="AP52" s="16" t="n"/>
      <c r="AQ52" s="16" t="n"/>
      <c r="AR52" s="16" t="n"/>
      <c r="AS52" s="16" t="n"/>
      <c r="AT52" s="17" t="n"/>
      <c r="AU52" s="123" t="n"/>
      <c r="AV52" s="123" t="n"/>
      <c r="AW52" s="133" t="n"/>
      <c r="AX52" s="133" t="n"/>
      <c r="AY52" s="127" t="n"/>
      <c r="AZ52" s="127" t="n"/>
      <c r="BA52" s="127">
        <f>IF($AX52="","",IFERROR(IF(ROUND(VLOOKUP($AX52,DADOS!$CL$5:$CM$10,2,FALSE)*IF($AY52="",1,VLOOKUP($AY52,DADOS!$CO$5:$CP$7,2,FALSE))*IF($AZ52="",1,VLOOKUP($AZ52,DADOS!$CR$5:$CS$15,2,FALSE)),4)&gt;0,MAX(1,FLOOR(ROUND(VLOOKUP($AX52,DADOS!$CL$5:$CM$10,2,FALSE)*IF($AY52="",1,VLOOKUP($AY52,DADOS!$CO$5:$CP$7,2,FALSE))*IF($AZ52="",1,VLOOKUP($AZ52,DADOS!$CR$5:$CS$15,2,FALSE)),4),1)),0),""))</f>
        <v/>
      </c>
      <c r="BB52" s="123" t="n"/>
      <c r="BC52" s="133" t="n"/>
      <c r="BD52" s="133" t="n"/>
      <c r="BE52" s="127" t="n"/>
      <c r="BF52" s="127" t="n"/>
      <c r="BG52" s="127">
        <f>IF($BD52="","",IFERROR(IF(ROUND(VLOOKUP($BD52,DADOS!$CL$5:$CM$10,2,FALSE)*IF($BE52="",1,VLOOKUP($BE52,DADOS!$CO$5:$CP$7,2,FALSE))*IF($BF52="",1,VLOOKUP($BF52,DADOS!$CR$5:$CS$15,2,FALSE)),4)&gt;0,MAX(1,FLOOR(ROUND(VLOOKUP($BD52,DADOS!$CL$5:$CM$10,2,FALSE)*IF($BE52="",1,VLOOKUP($BE52,DADOS!$CO$5:$CP$7,2,FALSE))*IF($BF52="",1,VLOOKUP($BF52,DADOS!$CR$5:$CS$15,2,FALSE)),4),1)),0),""))</f>
        <v/>
      </c>
      <c r="BH52" s="123" t="n"/>
      <c r="BI52" s="133" t="n"/>
      <c r="BJ52" s="133" t="n"/>
      <c r="BK52" s="127" t="n"/>
      <c r="BL52" s="127" t="n"/>
      <c r="BM52" s="127">
        <f>IF($BJ52="","",IFERROR(IF(ROUND(VLOOKUP($BJ52,DADOS!$CL$5:$CM$10,2,FALSE)*IF($BK52="",1,VLOOKUP($BK52,DADOS!$CO$5:$CP$7,2,FALSE))*IF($BL52="",1,VLOOKUP($BL52,DADOS!$CR$5:$CS$15,2,FALSE)),4)&gt;0,MAX(1,FLOOR(ROUND(VLOOKUP($BJ52,DADOS!$CL$5:$CM$10,2,FALSE)*IF($BK52="",1,VLOOKUP($BK52,DADOS!$CO$5:$CP$7,2,FALSE))*IF($BL52="",1,VLOOKUP($BL52,DADOS!$CR$5:$CS$15,2,FALSE)),4),1)),0),""))</f>
        <v/>
      </c>
      <c r="BN52" s="123" t="n"/>
      <c r="BO52" s="133" t="n"/>
      <c r="BP52" s="133" t="n"/>
      <c r="BQ52" s="127" t="n"/>
      <c r="BR52" s="127" t="n"/>
      <c r="BS52" s="127">
        <f>IF($BP52="","",IFERROR(IF(ROUND(VLOOKUP($BP52,DADOS!$CL$5:$CM$10,2,FALSE)*IF($BQ52="",1,VLOOKUP($BQ52,DADOS!$CO$5:$CP$7,2,FALSE))*IF($BR52="",1,VLOOKUP($BR52,DADOS!$CR$5:$CS$15,2,FALSE)),4)&gt;0,MAX(1,FLOOR(ROUND(VLOOKUP($BP52,DADOS!$CL$5:$CM$10,2,FALSE)*IF($BQ52="",1,VLOOKUP($BQ52,DADOS!$CO$5:$CP$7,2,FALSE))*IF($BR52="",1,VLOOKUP($BR52,DADOS!$CR$5:$CS$15,2,FALSE)),4),1)),0),""))</f>
        <v/>
      </c>
      <c r="BT52" s="123" t="n"/>
    </row>
    <row r="53">
      <c r="B53" s="22" t="n"/>
      <c r="C53" s="123" t="n"/>
      <c r="D53" s="123" t="n"/>
      <c r="E53" s="123" t="n"/>
      <c r="F53" s="123" t="n"/>
      <c r="G53" s="123" t="n"/>
      <c r="H53" s="123" t="n"/>
      <c r="I53" s="123" t="n"/>
      <c r="J53" s="123" t="n"/>
      <c r="K53" s="123" t="n"/>
      <c r="L53" s="123" t="n"/>
      <c r="M53" s="123" t="n"/>
      <c r="N53" s="123" t="n"/>
      <c r="O53" s="123" t="n"/>
      <c r="P53" s="123" t="n"/>
      <c r="Q53" s="123" t="n"/>
      <c r="R53" s="123" t="n"/>
      <c r="S53" s="123" t="n"/>
      <c r="T53" s="123" t="n"/>
      <c r="U53" s="123" t="n"/>
      <c r="V53" s="123" t="n"/>
      <c r="W53" s="123" t="n"/>
      <c r="X53" s="123" t="n"/>
      <c r="Y53" s="123" t="n"/>
      <c r="Z53" s="123" t="n"/>
      <c r="AA53" s="123" t="n"/>
      <c r="AB53" s="123" t="n"/>
      <c r="AC53" s="123" t="n"/>
      <c r="AD53" s="123" t="n"/>
      <c r="AE53" s="123" t="n"/>
      <c r="AF53" s="123" t="n"/>
      <c r="AG53" s="123" t="n"/>
      <c r="AH53" s="123" t="n"/>
      <c r="AI53" s="123" t="n"/>
      <c r="AJ53" s="123" t="n"/>
      <c r="AK53" s="123" t="n"/>
      <c r="AL53" s="123" t="n"/>
      <c r="AM53" s="123" t="n"/>
      <c r="AN53" s="123" t="n"/>
      <c r="AO53" s="123" t="n"/>
      <c r="AP53" s="123" t="n"/>
      <c r="AQ53" s="123" t="n"/>
      <c r="AR53" s="123" t="n"/>
      <c r="AS53" s="123" t="n"/>
      <c r="AT53" s="123" t="n"/>
      <c r="AU53" s="123" t="n"/>
      <c r="AV53" s="123" t="n"/>
      <c r="AW53" s="133" t="n"/>
      <c r="AX53" s="133" t="n"/>
      <c r="AY53" s="127" t="n"/>
      <c r="AZ53" s="127" t="n"/>
      <c r="BA53" s="127">
        <f>IF($AX53="","",IFERROR(IF(ROUND(VLOOKUP($AX53,DADOS!$CL$5:$CM$10,2,FALSE)*IF($AY53="",1,VLOOKUP($AY53,DADOS!$CO$5:$CP$7,2,FALSE))*IF($AZ53="",1,VLOOKUP($AZ53,DADOS!$CR$5:$CS$15,2,FALSE)),4)&gt;0,MAX(1,FLOOR(ROUND(VLOOKUP($AX53,DADOS!$CL$5:$CM$10,2,FALSE)*IF($AY53="",1,VLOOKUP($AY53,DADOS!$CO$5:$CP$7,2,FALSE))*IF($AZ53="",1,VLOOKUP($AZ53,DADOS!$CR$5:$CS$15,2,FALSE)),4),1)),0),""))</f>
        <v/>
      </c>
      <c r="BB53" s="123" t="n"/>
      <c r="BC53" s="133" t="n"/>
      <c r="BD53" s="133" t="n"/>
      <c r="BE53" s="127" t="n"/>
      <c r="BF53" s="127" t="n"/>
      <c r="BG53" s="127">
        <f>IF($BD53="","",IFERROR(IF(ROUND(VLOOKUP($BD53,DADOS!$CL$5:$CM$10,2,FALSE)*IF($BE53="",1,VLOOKUP($BE53,DADOS!$CO$5:$CP$7,2,FALSE))*IF($BF53="",1,VLOOKUP($BF53,DADOS!$CR$5:$CS$15,2,FALSE)),4)&gt;0,MAX(1,FLOOR(ROUND(VLOOKUP($BD53,DADOS!$CL$5:$CM$10,2,FALSE)*IF($BE53="",1,VLOOKUP($BE53,DADOS!$CO$5:$CP$7,2,FALSE))*IF($BF53="",1,VLOOKUP($BF53,DADOS!$CR$5:$CS$15,2,FALSE)),4),1)),0),""))</f>
        <v/>
      </c>
      <c r="BH53" s="123" t="n"/>
      <c r="BI53" s="133" t="n"/>
      <c r="BJ53" s="133" t="n"/>
      <c r="BK53" s="127" t="n"/>
      <c r="BL53" s="127" t="n"/>
      <c r="BM53" s="127">
        <f>IF($BJ53="","",IFERROR(IF(ROUND(VLOOKUP($BJ53,DADOS!$CL$5:$CM$10,2,FALSE)*IF($BK53="",1,VLOOKUP($BK53,DADOS!$CO$5:$CP$7,2,FALSE))*IF($BL53="",1,VLOOKUP($BL53,DADOS!$CR$5:$CS$15,2,FALSE)),4)&gt;0,MAX(1,FLOOR(ROUND(VLOOKUP($BJ53,DADOS!$CL$5:$CM$10,2,FALSE)*IF($BK53="",1,VLOOKUP($BK53,DADOS!$CO$5:$CP$7,2,FALSE))*IF($BL53="",1,VLOOKUP($BL53,DADOS!$CR$5:$CS$15,2,FALSE)),4),1)),0),""))</f>
        <v/>
      </c>
      <c r="BN53" s="123" t="n"/>
      <c r="BO53" s="133" t="n"/>
      <c r="BP53" s="133" t="n"/>
      <c r="BQ53" s="127" t="n"/>
      <c r="BR53" s="127" t="n"/>
      <c r="BS53" s="127">
        <f>IF($BP53="","",IFERROR(IF(ROUND(VLOOKUP($BP53,DADOS!$CL$5:$CM$10,2,FALSE)*IF($BQ53="",1,VLOOKUP($BQ53,DADOS!$CO$5:$CP$7,2,FALSE))*IF($BR53="",1,VLOOKUP($BR53,DADOS!$CR$5:$CS$15,2,FALSE)),4)&gt;0,MAX(1,FLOOR(ROUND(VLOOKUP($BP53,DADOS!$CL$5:$CM$10,2,FALSE)*IF($BQ53="",1,VLOOKUP($BQ53,DADOS!$CO$5:$CP$7,2,FALSE))*IF($BR53="",1,VLOOKUP($BR53,DADOS!$CR$5:$CS$15,2,FALSE)),4),1)),0),""))</f>
        <v/>
      </c>
      <c r="BT53" s="123" t="n"/>
    </row>
    <row r="54">
      <c r="B54" s="22" t="n"/>
      <c r="C54" s="123" t="n"/>
      <c r="D54" s="126" t="inlineStr">
        <is>
          <t>TREINO EM ARMAS</t>
        </is>
      </c>
      <c r="E54" s="19" t="n"/>
      <c r="F54" s="19" t="n"/>
      <c r="G54" s="19" t="n"/>
      <c r="H54" s="19" t="n"/>
      <c r="I54" s="19" t="n"/>
      <c r="J54" s="19" t="n"/>
      <c r="K54" s="19" t="n"/>
      <c r="L54" s="19" t="n"/>
      <c r="M54" s="19" t="n"/>
      <c r="N54" s="19" t="n"/>
      <c r="O54" s="19" t="n"/>
      <c r="P54" s="19" t="n"/>
      <c r="Q54" s="19" t="n"/>
      <c r="R54" s="19" t="n"/>
      <c r="S54" s="19" t="n"/>
      <c r="T54" s="19" t="n"/>
      <c r="U54" s="19" t="n"/>
      <c r="V54" s="19" t="n"/>
      <c r="W54" s="19" t="n"/>
      <c r="X54" s="19" t="n"/>
      <c r="Y54" s="19" t="n"/>
      <c r="Z54" s="19" t="n"/>
      <c r="AA54" s="19" t="n"/>
      <c r="AB54" s="19" t="n"/>
      <c r="AC54" s="19" t="n"/>
      <c r="AD54" s="19" t="n"/>
      <c r="AE54" s="19" t="n"/>
      <c r="AF54" s="19" t="n"/>
      <c r="AG54" s="19" t="n"/>
      <c r="AH54" s="19" t="n"/>
      <c r="AI54" s="19" t="n"/>
      <c r="AJ54" s="19" t="n"/>
      <c r="AK54" s="19" t="n"/>
      <c r="AL54" s="19" t="n"/>
      <c r="AM54" s="19" t="n"/>
      <c r="AN54" s="19" t="n"/>
      <c r="AO54" s="19" t="n"/>
      <c r="AP54" s="19" t="n"/>
      <c r="AQ54" s="19" t="n"/>
      <c r="AR54" s="19" t="n"/>
      <c r="AS54" s="19" t="n"/>
      <c r="AT54" s="20" t="n"/>
      <c r="AU54" s="123" t="n"/>
      <c r="AV54" s="123" t="n"/>
      <c r="AW54" s="133" t="n"/>
      <c r="AX54" s="133" t="n"/>
      <c r="AY54" s="127" t="n"/>
      <c r="AZ54" s="127" t="n"/>
      <c r="BA54" s="127">
        <f>IF($AX54="","",IFERROR(IF(ROUND(VLOOKUP($AX54,DADOS!$CL$5:$CM$10,2,FALSE)*IF($AY54="",1,VLOOKUP($AY54,DADOS!$CO$5:$CP$7,2,FALSE))*IF($AZ54="",1,VLOOKUP($AZ54,DADOS!$CR$5:$CS$15,2,FALSE)),4)&gt;0,MAX(1,FLOOR(ROUND(VLOOKUP($AX54,DADOS!$CL$5:$CM$10,2,FALSE)*IF($AY54="",1,VLOOKUP($AY54,DADOS!$CO$5:$CP$7,2,FALSE))*IF($AZ54="",1,VLOOKUP($AZ54,DADOS!$CR$5:$CS$15,2,FALSE)),4),1)),0),""))</f>
        <v/>
      </c>
      <c r="BB54" s="123" t="n"/>
      <c r="BC54" s="133" t="n"/>
      <c r="BD54" s="133" t="n"/>
      <c r="BE54" s="127" t="n"/>
      <c r="BF54" s="127" t="n"/>
      <c r="BG54" s="127">
        <f>IF($BD54="","",IFERROR(IF(ROUND(VLOOKUP($BD54,DADOS!$CL$5:$CM$10,2,FALSE)*IF($BE54="",1,VLOOKUP($BE54,DADOS!$CO$5:$CP$7,2,FALSE))*IF($BF54="",1,VLOOKUP($BF54,DADOS!$CR$5:$CS$15,2,FALSE)),4)&gt;0,MAX(1,FLOOR(ROUND(VLOOKUP($BD54,DADOS!$CL$5:$CM$10,2,FALSE)*IF($BE54="",1,VLOOKUP($BE54,DADOS!$CO$5:$CP$7,2,FALSE))*IF($BF54="",1,VLOOKUP($BF54,DADOS!$CR$5:$CS$15,2,FALSE)),4),1)),0),""))</f>
        <v/>
      </c>
      <c r="BH54" s="123" t="n"/>
      <c r="BI54" s="133" t="n"/>
      <c r="BJ54" s="133" t="n"/>
      <c r="BK54" s="127" t="n"/>
      <c r="BL54" s="127" t="n"/>
      <c r="BM54" s="127">
        <f>IF($BJ54="","",IFERROR(IF(ROUND(VLOOKUP($BJ54,DADOS!$CL$5:$CM$10,2,FALSE)*IF($BK54="",1,VLOOKUP($BK54,DADOS!$CO$5:$CP$7,2,FALSE))*IF($BL54="",1,VLOOKUP($BL54,DADOS!$CR$5:$CS$15,2,FALSE)),4)&gt;0,MAX(1,FLOOR(ROUND(VLOOKUP($BJ54,DADOS!$CL$5:$CM$10,2,FALSE)*IF($BK54="",1,VLOOKUP($BK54,DADOS!$CO$5:$CP$7,2,FALSE))*IF($BL54="",1,VLOOKUP($BL54,DADOS!$CR$5:$CS$15,2,FALSE)),4),1)),0),""))</f>
        <v/>
      </c>
      <c r="BN54" s="123" t="n"/>
      <c r="BO54" s="133" t="n"/>
      <c r="BP54" s="133" t="n"/>
      <c r="BQ54" s="127" t="n"/>
      <c r="BR54" s="127" t="n"/>
      <c r="BS54" s="127">
        <f>IF($BP54="","",IFERROR(IF(ROUND(VLOOKUP($BP54,DADOS!$CL$5:$CM$10,2,FALSE)*IF($BQ54="",1,VLOOKUP($BQ54,DADOS!$CO$5:$CP$7,2,FALSE))*IF($BR54="",1,VLOOKUP($BR54,DADOS!$CR$5:$CS$15,2,FALSE)),4)&gt;0,MAX(1,FLOOR(ROUND(VLOOKUP($BP54,DADOS!$CL$5:$CM$10,2,FALSE)*IF($BQ54="",1,VLOOKUP($BQ54,DADOS!$CO$5:$CP$7,2,FALSE))*IF($BR54="",1,VLOOKUP($BR54,DADOS!$CR$5:$CS$15,2,FALSE)),4),1)),0),""))</f>
        <v/>
      </c>
      <c r="BT54" s="123" t="n"/>
    </row>
    <row r="55">
      <c r="B55" s="22" t="n"/>
      <c r="C55" s="123" t="n"/>
      <c r="D55" s="23"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c r="AA55" s="24" t="n"/>
      <c r="AB55" s="24" t="n"/>
      <c r="AC55" s="24" t="n"/>
      <c r="AD55" s="24" t="n"/>
      <c r="AE55" s="24" t="n"/>
      <c r="AF55" s="24" t="n"/>
      <c r="AG55" s="24" t="n"/>
      <c r="AH55" s="24" t="n"/>
      <c r="AI55" s="24" t="n"/>
      <c r="AJ55" s="24" t="n"/>
      <c r="AK55" s="24" t="n"/>
      <c r="AL55" s="24" t="n"/>
      <c r="AM55" s="24" t="n"/>
      <c r="AN55" s="24" t="n"/>
      <c r="AO55" s="24" t="n"/>
      <c r="AP55" s="24" t="n"/>
      <c r="AQ55" s="24" t="n"/>
      <c r="AR55" s="24" t="n"/>
      <c r="AS55" s="24" t="n"/>
      <c r="AT55" s="25" t="n"/>
      <c r="AU55" s="123" t="n"/>
      <c r="AV55" s="123" t="n"/>
      <c r="AW55" s="133" t="n"/>
      <c r="AX55" s="133" t="n"/>
      <c r="AY55" s="127" t="n"/>
      <c r="AZ55" s="127" t="n"/>
      <c r="BA55" s="127">
        <f>IF($AX55="","",IFERROR(IF(ROUND(VLOOKUP($AX55,DADOS!$CL$5:$CM$10,2,FALSE)*IF($AY55="",1,VLOOKUP($AY55,DADOS!$CO$5:$CP$7,2,FALSE))*IF($AZ55="",1,VLOOKUP($AZ55,DADOS!$CR$5:$CS$15,2,FALSE)),4)&gt;0,MAX(1,FLOOR(ROUND(VLOOKUP($AX55,DADOS!$CL$5:$CM$10,2,FALSE)*IF($AY55="",1,VLOOKUP($AY55,DADOS!$CO$5:$CP$7,2,FALSE))*IF($AZ55="",1,VLOOKUP($AZ55,DADOS!$CR$5:$CS$15,2,FALSE)),4),1)),0),""))</f>
        <v/>
      </c>
      <c r="BB55" s="123" t="n"/>
      <c r="BC55" s="133" t="n"/>
      <c r="BD55" s="133" t="n"/>
      <c r="BE55" s="127" t="n"/>
      <c r="BF55" s="127" t="n"/>
      <c r="BG55" s="127">
        <f>IF($BD55="","",IFERROR(IF(ROUND(VLOOKUP($BD55,DADOS!$CL$5:$CM$10,2,FALSE)*IF($BE55="",1,VLOOKUP($BE55,DADOS!$CO$5:$CP$7,2,FALSE))*IF($BF55="",1,VLOOKUP($BF55,DADOS!$CR$5:$CS$15,2,FALSE)),4)&gt;0,MAX(1,FLOOR(ROUND(VLOOKUP($BD55,DADOS!$CL$5:$CM$10,2,FALSE)*IF($BE55="",1,VLOOKUP($BE55,DADOS!$CO$5:$CP$7,2,FALSE))*IF($BF55="",1,VLOOKUP($BF55,DADOS!$CR$5:$CS$15,2,FALSE)),4),1)),0),""))</f>
        <v/>
      </c>
      <c r="BH55" s="123" t="n"/>
      <c r="BI55" s="133" t="n"/>
      <c r="BJ55" s="133" t="n"/>
      <c r="BK55" s="127" t="n"/>
      <c r="BL55" s="127" t="n"/>
      <c r="BM55" s="127">
        <f>IF($BJ55="","",IFERROR(IF(ROUND(VLOOKUP($BJ55,DADOS!$CL$5:$CM$10,2,FALSE)*IF($BK55="",1,VLOOKUP($BK55,DADOS!$CO$5:$CP$7,2,FALSE))*IF($BL55="",1,VLOOKUP($BL55,DADOS!$CR$5:$CS$15,2,FALSE)),4)&gt;0,MAX(1,FLOOR(ROUND(VLOOKUP($BJ55,DADOS!$CL$5:$CM$10,2,FALSE)*IF($BK55="",1,VLOOKUP($BK55,DADOS!$CO$5:$CP$7,2,FALSE))*IF($BL55="",1,VLOOKUP($BL55,DADOS!$CR$5:$CS$15,2,FALSE)),4),1)),0),""))</f>
        <v/>
      </c>
      <c r="BN55" s="123" t="n"/>
      <c r="BO55" s="133" t="n"/>
      <c r="BP55" s="133" t="n"/>
      <c r="BQ55" s="127" t="n"/>
      <c r="BR55" s="127" t="n"/>
      <c r="BS55" s="127">
        <f>IF($BP55="","",IFERROR(IF(ROUND(VLOOKUP($BP55,DADOS!$CL$5:$CM$10,2,FALSE)*IF($BQ55="",1,VLOOKUP($BQ55,DADOS!$CO$5:$CP$7,2,FALSE))*IF($BR55="",1,VLOOKUP($BR55,DADOS!$CR$5:$CS$15,2,FALSE)),4)&gt;0,MAX(1,FLOOR(ROUND(VLOOKUP($BP55,DADOS!$CL$5:$CM$10,2,FALSE)*IF($BQ55="",1,VLOOKUP($BQ55,DADOS!$CO$5:$CP$7,2,FALSE))*IF($BR55="",1,VLOOKUP($BR55,DADOS!$CR$5:$CS$15,2,FALSE)),4),1)),0),""))</f>
        <v/>
      </c>
      <c r="BT55" s="123" t="n"/>
    </row>
    <row r="56" outlineLevel="1">
      <c r="B56" s="22" t="n"/>
      <c r="C56" s="123" t="n"/>
      <c r="D56" s="55" t="b">
        <v>0</v>
      </c>
      <c r="E56" s="55" t="inlineStr">
        <is>
          <t>LÂMINA LONGA</t>
        </is>
      </c>
      <c r="F56" s="16" t="n"/>
      <c r="G56" s="16" t="n"/>
      <c r="H56" s="16" t="n"/>
      <c r="I56" s="16" t="n"/>
      <c r="J56" s="16" t="n"/>
      <c r="K56" s="16" t="n"/>
      <c r="L56" s="17" t="n"/>
      <c r="M56" s="55" t="b">
        <v>0</v>
      </c>
      <c r="N56" s="55" t="inlineStr">
        <is>
          <t>ARMA DE FOGO</t>
        </is>
      </c>
      <c r="O56" s="16" t="n"/>
      <c r="P56" s="16" t="n"/>
      <c r="Q56" s="16" t="n"/>
      <c r="R56" s="16" t="n"/>
      <c r="S56" s="16" t="n"/>
      <c r="T56" s="16" t="n"/>
      <c r="U56" s="17" t="n"/>
      <c r="V56" s="55" t="b">
        <v>0</v>
      </c>
      <c r="W56" s="55" t="inlineStr">
        <is>
          <t>PORRETE</t>
        </is>
      </c>
      <c r="X56" s="16" t="n"/>
      <c r="Y56" s="16" t="n"/>
      <c r="Z56" s="16" t="n"/>
      <c r="AA56" s="16" t="n"/>
      <c r="AB56" s="16" t="n"/>
      <c r="AC56" s="16" t="n"/>
      <c r="AD56" s="17" t="n"/>
      <c r="AE56" s="55" t="b">
        <v>0</v>
      </c>
      <c r="AF56" s="55" t="inlineStr">
        <is>
          <t>LÂMINA CURTA</t>
        </is>
      </c>
      <c r="AG56" s="16" t="n"/>
      <c r="AH56" s="16" t="n"/>
      <c r="AI56" s="16" t="n"/>
      <c r="AJ56" s="16" t="n"/>
      <c r="AK56" s="16" t="n"/>
      <c r="AL56" s="17" t="n"/>
      <c r="AM56" s="55" t="b">
        <v>0</v>
      </c>
      <c r="AN56" s="55" t="inlineStr">
        <is>
          <t>MASSA</t>
        </is>
      </c>
      <c r="AO56" s="16" t="n"/>
      <c r="AP56" s="16" t="n"/>
      <c r="AQ56" s="16" t="n"/>
      <c r="AR56" s="16" t="n"/>
      <c r="AS56" s="16" t="n"/>
      <c r="AT56" s="17" t="n"/>
      <c r="AU56" s="123" t="n"/>
      <c r="AV56" s="123" t="n"/>
      <c r="AW56" s="133" t="n"/>
      <c r="AX56" s="133" t="n"/>
      <c r="AY56" s="127" t="n"/>
      <c r="AZ56" s="127" t="n"/>
      <c r="BA56" s="127">
        <f>IF($AX56="","",IFERROR(IF(ROUND(VLOOKUP($AX56,DADOS!$CL$5:$CM$10,2,FALSE)*IF($AY56="",1,VLOOKUP($AY56,DADOS!$CO$5:$CP$7,2,FALSE))*IF($AZ56="",1,VLOOKUP($AZ56,DADOS!$CR$5:$CS$15,2,FALSE)),4)&gt;0,MAX(1,FLOOR(ROUND(VLOOKUP($AX56,DADOS!$CL$5:$CM$10,2,FALSE)*IF($AY56="",1,VLOOKUP($AY56,DADOS!$CO$5:$CP$7,2,FALSE))*IF($AZ56="",1,VLOOKUP($AZ56,DADOS!$CR$5:$CS$15,2,FALSE)),4),1)),0),""))</f>
        <v/>
      </c>
      <c r="BB56" s="123" t="n"/>
      <c r="BC56" s="133" t="n"/>
      <c r="BD56" s="133" t="n"/>
      <c r="BE56" s="127" t="n"/>
      <c r="BF56" s="127" t="n"/>
      <c r="BG56" s="127">
        <f>IF($BD56="","",IFERROR(IF(ROUND(VLOOKUP($BD56,DADOS!$CL$5:$CM$10,2,FALSE)*IF($BE56="",1,VLOOKUP($BE56,DADOS!$CO$5:$CP$7,2,FALSE))*IF($BF56="",1,VLOOKUP($BF56,DADOS!$CR$5:$CS$15,2,FALSE)),4)&gt;0,MAX(1,FLOOR(ROUND(VLOOKUP($BD56,DADOS!$CL$5:$CM$10,2,FALSE)*IF($BE56="",1,VLOOKUP($BE56,DADOS!$CO$5:$CP$7,2,FALSE))*IF($BF56="",1,VLOOKUP($BF56,DADOS!$CR$5:$CS$15,2,FALSE)),4),1)),0),""))</f>
        <v/>
      </c>
      <c r="BH56" s="123" t="n"/>
      <c r="BI56" s="133" t="n"/>
      <c r="BJ56" s="133" t="n"/>
      <c r="BK56" s="127" t="n"/>
      <c r="BL56" s="127" t="n"/>
      <c r="BM56" s="127">
        <f>IF($BJ56="","",IFERROR(IF(ROUND(VLOOKUP($BJ56,DADOS!$CL$5:$CM$10,2,FALSE)*IF($BK56="",1,VLOOKUP($BK56,DADOS!$CO$5:$CP$7,2,FALSE))*IF($BL56="",1,VLOOKUP($BL56,DADOS!$CR$5:$CS$15,2,FALSE)),4)&gt;0,MAX(1,FLOOR(ROUND(VLOOKUP($BJ56,DADOS!$CL$5:$CM$10,2,FALSE)*IF($BK56="",1,VLOOKUP($BK56,DADOS!$CO$5:$CP$7,2,FALSE))*IF($BL56="",1,VLOOKUP($BL56,DADOS!$CR$5:$CS$15,2,FALSE)),4),1)),0),""))</f>
        <v/>
      </c>
      <c r="BN56" s="123" t="n"/>
      <c r="BO56" s="133" t="n"/>
      <c r="BP56" s="133" t="n"/>
      <c r="BQ56" s="127" t="n"/>
      <c r="BR56" s="127" t="n"/>
      <c r="BS56" s="127">
        <f>IF($BP56="","",IFERROR(IF(ROUND(VLOOKUP($BP56,DADOS!$CL$5:$CM$10,2,FALSE)*IF($BQ56="",1,VLOOKUP($BQ56,DADOS!$CO$5:$CP$7,2,FALSE))*IF($BR56="",1,VLOOKUP($BR56,DADOS!$CR$5:$CS$15,2,FALSE)),4)&gt;0,MAX(1,FLOOR(ROUND(VLOOKUP($BP56,DADOS!$CL$5:$CM$10,2,FALSE)*IF($BQ56="",1,VLOOKUP($BQ56,DADOS!$CO$5:$CP$7,2,FALSE))*IF($BR56="",1,VLOOKUP($BR56,DADOS!$CR$5:$CS$15,2,FALSE)),4),1)),0),""))</f>
        <v/>
      </c>
      <c r="BT56" s="123" t="n"/>
    </row>
    <row r="57" outlineLevel="1">
      <c r="B57" s="22" t="n"/>
      <c r="C57" s="123" t="n"/>
      <c r="D57" s="127" t="b">
        <v>0</v>
      </c>
      <c r="E57" s="133" t="inlineStr">
        <is>
          <t>Espada Longa</t>
        </is>
      </c>
      <c r="F57" s="16" t="n"/>
      <c r="G57" s="16" t="n"/>
      <c r="H57" s="16" t="n"/>
      <c r="I57" s="16" t="n"/>
      <c r="J57" s="16" t="n"/>
      <c r="K57" s="16" t="n"/>
      <c r="L57" s="17" t="n"/>
      <c r="M57" s="127" t="b">
        <v>0</v>
      </c>
      <c r="N57" s="133" t="inlineStr">
        <is>
          <t>Espingarda</t>
        </is>
      </c>
      <c r="O57" s="16" t="n"/>
      <c r="P57" s="16" t="n"/>
      <c r="Q57" s="16" t="n"/>
      <c r="R57" s="16" t="n"/>
      <c r="S57" s="16" t="n"/>
      <c r="T57" s="16" t="n"/>
      <c r="U57" s="17" t="n"/>
      <c r="V57" s="127" t="b">
        <v>0</v>
      </c>
      <c r="W57" s="133" t="inlineStr">
        <is>
          <t>Bastão</t>
        </is>
      </c>
      <c r="X57" s="16" t="n"/>
      <c r="Y57" s="16" t="n"/>
      <c r="Z57" s="16" t="n"/>
      <c r="AA57" s="16" t="n"/>
      <c r="AB57" s="16" t="n"/>
      <c r="AC57" s="16" t="n"/>
      <c r="AD57" s="17" t="n"/>
      <c r="AE57" s="127" t="b">
        <v>0</v>
      </c>
      <c r="AF57" s="133" t="inlineStr">
        <is>
          <t>Canivete</t>
        </is>
      </c>
      <c r="AG57" s="16" t="n"/>
      <c r="AH57" s="16" t="n"/>
      <c r="AI57" s="16" t="n"/>
      <c r="AJ57" s="16" t="n"/>
      <c r="AK57" s="16" t="n"/>
      <c r="AL57" s="17" t="n"/>
      <c r="AM57" s="127" t="b">
        <v>0</v>
      </c>
      <c r="AN57" s="133" t="inlineStr">
        <is>
          <t>Kanabō</t>
        </is>
      </c>
      <c r="AO57" s="16" t="n"/>
      <c r="AP57" s="16" t="n"/>
      <c r="AQ57" s="16" t="n"/>
      <c r="AR57" s="16" t="n"/>
      <c r="AS57" s="16" t="n"/>
      <c r="AT57" s="17" t="n"/>
      <c r="AU57" s="123" t="n"/>
      <c r="AV57" s="123" t="n"/>
      <c r="AW57" s="133" t="n"/>
      <c r="AX57" s="133" t="n"/>
      <c r="AY57" s="127" t="n"/>
      <c r="AZ57" s="127" t="n"/>
      <c r="BA57" s="127">
        <f>IF($AX57="","",IFERROR(IF(ROUND(VLOOKUP($AX57,DADOS!$CL$5:$CM$10,2,FALSE)*IF($AY57="",1,VLOOKUP($AY57,DADOS!$CO$5:$CP$7,2,FALSE))*IF($AZ57="",1,VLOOKUP($AZ57,DADOS!$CR$5:$CS$15,2,FALSE)),4)&gt;0,MAX(1,FLOOR(ROUND(VLOOKUP($AX57,DADOS!$CL$5:$CM$10,2,FALSE)*IF($AY57="",1,VLOOKUP($AY57,DADOS!$CO$5:$CP$7,2,FALSE))*IF($AZ57="",1,VLOOKUP($AZ57,DADOS!$CR$5:$CS$15,2,FALSE)),4),1)),0),""))</f>
        <v/>
      </c>
      <c r="BB57" s="123" t="n"/>
      <c r="BC57" s="133" t="n"/>
      <c r="BD57" s="133" t="n"/>
      <c r="BE57" s="127" t="n"/>
      <c r="BF57" s="127" t="n"/>
      <c r="BG57" s="127">
        <f>IF($BD57="","",IFERROR(IF(ROUND(VLOOKUP($BD57,DADOS!$CL$5:$CM$10,2,FALSE)*IF($BE57="",1,VLOOKUP($BE57,DADOS!$CO$5:$CP$7,2,FALSE))*IF($BF57="",1,VLOOKUP($BF57,DADOS!$CR$5:$CS$15,2,FALSE)),4)&gt;0,MAX(1,FLOOR(ROUND(VLOOKUP($BD57,DADOS!$CL$5:$CM$10,2,FALSE)*IF($BE57="",1,VLOOKUP($BE57,DADOS!$CO$5:$CP$7,2,FALSE))*IF($BF57="",1,VLOOKUP($BF57,DADOS!$CR$5:$CS$15,2,FALSE)),4),1)),0),""))</f>
        <v/>
      </c>
      <c r="BH57" s="123" t="n"/>
      <c r="BI57" s="133" t="n"/>
      <c r="BJ57" s="133" t="n"/>
      <c r="BK57" s="127" t="n"/>
      <c r="BL57" s="127" t="n"/>
      <c r="BM57" s="127">
        <f>IF($BJ57="","",IFERROR(IF(ROUND(VLOOKUP($BJ57,DADOS!$CL$5:$CM$10,2,FALSE)*IF($BK57="",1,VLOOKUP($BK57,DADOS!$CO$5:$CP$7,2,FALSE))*IF($BL57="",1,VLOOKUP($BL57,DADOS!$CR$5:$CS$15,2,FALSE)),4)&gt;0,MAX(1,FLOOR(ROUND(VLOOKUP($BJ57,DADOS!$CL$5:$CM$10,2,FALSE)*IF($BK57="",1,VLOOKUP($BK57,DADOS!$CO$5:$CP$7,2,FALSE))*IF($BL57="",1,VLOOKUP($BL57,DADOS!$CR$5:$CS$15,2,FALSE)),4),1)),0),""))</f>
        <v/>
      </c>
      <c r="BN57" s="123" t="n"/>
      <c r="BO57" s="133" t="n"/>
      <c r="BP57" s="133" t="n"/>
      <c r="BQ57" s="127" t="n"/>
      <c r="BR57" s="127" t="n"/>
      <c r="BS57" s="127">
        <f>IF($BP57="","",IFERROR(IF(ROUND(VLOOKUP($BP57,DADOS!$CL$5:$CM$10,2,FALSE)*IF($BQ57="",1,VLOOKUP($BQ57,DADOS!$CO$5:$CP$7,2,FALSE))*IF($BR57="",1,VLOOKUP($BR57,DADOS!$CR$5:$CS$15,2,FALSE)),4)&gt;0,MAX(1,FLOOR(ROUND(VLOOKUP($BP57,DADOS!$CL$5:$CM$10,2,FALSE)*IF($BQ57="",1,VLOOKUP($BQ57,DADOS!$CO$5:$CP$7,2,FALSE))*IF($BR57="",1,VLOOKUP($BR57,DADOS!$CR$5:$CS$15,2,FALSE)),4),1)),0),""))</f>
        <v/>
      </c>
      <c r="BT57" s="123" t="n"/>
    </row>
    <row r="58" outlineLevel="1">
      <c r="B58" s="22" t="n"/>
      <c r="C58" s="123" t="n"/>
      <c r="D58" s="127" t="b">
        <v>0</v>
      </c>
      <c r="E58" s="133" t="inlineStr">
        <is>
          <t>Espadão</t>
        </is>
      </c>
      <c r="F58" s="16" t="n"/>
      <c r="G58" s="16" t="n"/>
      <c r="H58" s="16" t="n"/>
      <c r="I58" s="16" t="n"/>
      <c r="J58" s="16" t="n"/>
      <c r="K58" s="16" t="n"/>
      <c r="L58" s="17" t="n"/>
      <c r="M58" s="127" t="b">
        <v>0</v>
      </c>
      <c r="N58" s="133" t="inlineStr">
        <is>
          <t>Metralhadora Pesada</t>
        </is>
      </c>
      <c r="O58" s="16" t="n"/>
      <c r="P58" s="16" t="n"/>
      <c r="Q58" s="16" t="n"/>
      <c r="R58" s="16" t="n"/>
      <c r="S58" s="16" t="n"/>
      <c r="T58" s="16" t="n"/>
      <c r="U58" s="17" t="n"/>
      <c r="V58" s="127" t="b">
        <v>0</v>
      </c>
      <c r="W58" s="133" t="inlineStr">
        <is>
          <t>Bō</t>
        </is>
      </c>
      <c r="X58" s="16" t="n"/>
      <c r="Y58" s="16" t="n"/>
      <c r="Z58" s="16" t="n"/>
      <c r="AA58" s="16" t="n"/>
      <c r="AB58" s="16" t="n"/>
      <c r="AC58" s="16" t="n"/>
      <c r="AD58" s="17" t="n"/>
      <c r="AE58" s="127" t="b">
        <v>0</v>
      </c>
      <c r="AF58" s="133" t="inlineStr">
        <is>
          <t>Faca</t>
        </is>
      </c>
      <c r="AG58" s="16" t="n"/>
      <c r="AH58" s="16" t="n"/>
      <c r="AI58" s="16" t="n"/>
      <c r="AJ58" s="16" t="n"/>
      <c r="AK58" s="16" t="n"/>
      <c r="AL58" s="17" t="n"/>
      <c r="AM58" s="127" t="b">
        <v>0</v>
      </c>
      <c r="AN58" s="133" t="inlineStr">
        <is>
          <t>Marreta</t>
        </is>
      </c>
      <c r="AO58" s="16" t="n"/>
      <c r="AP58" s="16" t="n"/>
      <c r="AQ58" s="16" t="n"/>
      <c r="AR58" s="16" t="n"/>
      <c r="AS58" s="16" t="n"/>
      <c r="AT58" s="17" t="n"/>
      <c r="AU58" s="123" t="n"/>
      <c r="AV58" s="123" t="n"/>
      <c r="AW58" s="133" t="n"/>
      <c r="AX58" s="133" t="n"/>
      <c r="AY58" s="127" t="n"/>
      <c r="AZ58" s="127" t="n"/>
      <c r="BA58" s="127">
        <f>IF($AX58="","",IFERROR(IF(ROUND(VLOOKUP($AX58,DADOS!$CL$5:$CM$10,2,FALSE)*IF($AY58="",1,VLOOKUP($AY58,DADOS!$CO$5:$CP$7,2,FALSE))*IF($AZ58="",1,VLOOKUP($AZ58,DADOS!$CR$5:$CS$15,2,FALSE)),4)&gt;0,MAX(1,FLOOR(ROUND(VLOOKUP($AX58,DADOS!$CL$5:$CM$10,2,FALSE)*IF($AY58="",1,VLOOKUP($AY58,DADOS!$CO$5:$CP$7,2,FALSE))*IF($AZ58="",1,VLOOKUP($AZ58,DADOS!$CR$5:$CS$15,2,FALSE)),4),1)),0),""))</f>
        <v/>
      </c>
      <c r="BB58" s="123" t="n"/>
      <c r="BC58" s="133" t="n"/>
      <c r="BD58" s="133" t="n"/>
      <c r="BE58" s="127" t="n"/>
      <c r="BF58" s="127" t="n"/>
      <c r="BG58" s="127">
        <f>IF($BD58="","",IFERROR(IF(ROUND(VLOOKUP($BD58,DADOS!$CL$5:$CM$10,2,FALSE)*IF($BE58="",1,VLOOKUP($BE58,DADOS!$CO$5:$CP$7,2,FALSE))*IF($BF58="",1,VLOOKUP($BF58,DADOS!$CR$5:$CS$15,2,FALSE)),4)&gt;0,MAX(1,FLOOR(ROUND(VLOOKUP($BD58,DADOS!$CL$5:$CM$10,2,FALSE)*IF($BE58="",1,VLOOKUP($BE58,DADOS!$CO$5:$CP$7,2,FALSE))*IF($BF58="",1,VLOOKUP($BF58,DADOS!$CR$5:$CS$15,2,FALSE)),4),1)),0),""))</f>
        <v/>
      </c>
      <c r="BH58" s="123" t="n"/>
      <c r="BI58" s="133" t="n"/>
      <c r="BJ58" s="133" t="n"/>
      <c r="BK58" s="127" t="n"/>
      <c r="BL58" s="127" t="n"/>
      <c r="BM58" s="127">
        <f>IF($BJ58="","",IFERROR(IF(ROUND(VLOOKUP($BJ58,DADOS!$CL$5:$CM$10,2,FALSE)*IF($BK58="",1,VLOOKUP($BK58,DADOS!$CO$5:$CP$7,2,FALSE))*IF($BL58="",1,VLOOKUP($BL58,DADOS!$CR$5:$CS$15,2,FALSE)),4)&gt;0,MAX(1,FLOOR(ROUND(VLOOKUP($BJ58,DADOS!$CL$5:$CM$10,2,FALSE)*IF($BK58="",1,VLOOKUP($BK58,DADOS!$CO$5:$CP$7,2,FALSE))*IF($BL58="",1,VLOOKUP($BL58,DADOS!$CR$5:$CS$15,2,FALSE)),4),1)),0),""))</f>
        <v/>
      </c>
      <c r="BN58" s="123" t="n"/>
      <c r="BO58" s="133" t="n"/>
      <c r="BP58" s="133" t="n"/>
      <c r="BQ58" s="127" t="n"/>
      <c r="BR58" s="127" t="n"/>
      <c r="BS58" s="127">
        <f>IF($BP58="","",IFERROR(IF(ROUND(VLOOKUP($BP58,DADOS!$CL$5:$CM$10,2,FALSE)*IF($BQ58="",1,VLOOKUP($BQ58,DADOS!$CO$5:$CP$7,2,FALSE))*IF($BR58="",1,VLOOKUP($BR58,DADOS!$CR$5:$CS$15,2,FALSE)),4)&gt;0,MAX(1,FLOOR(ROUND(VLOOKUP($BP58,DADOS!$CL$5:$CM$10,2,FALSE)*IF($BQ58="",1,VLOOKUP($BQ58,DADOS!$CO$5:$CP$7,2,FALSE))*IF($BR58="",1,VLOOKUP($BR58,DADOS!$CR$5:$CS$15,2,FALSE)),4),1)),0),""))</f>
        <v/>
      </c>
      <c r="BT58" s="123" t="n"/>
    </row>
    <row r="59" outlineLevel="1">
      <c r="B59" s="22" t="n"/>
      <c r="C59" s="123" t="n"/>
      <c r="D59" s="127" t="b">
        <v>0</v>
      </c>
      <c r="E59" s="133" t="inlineStr">
        <is>
          <t>Katana</t>
        </is>
      </c>
      <c r="F59" s="16" t="n"/>
      <c r="G59" s="16" t="n"/>
      <c r="H59" s="16" t="n"/>
      <c r="I59" s="16" t="n"/>
      <c r="J59" s="16" t="n"/>
      <c r="K59" s="16" t="n"/>
      <c r="L59" s="17" t="n"/>
      <c r="M59" s="127" t="b">
        <v>0</v>
      </c>
      <c r="N59" s="133" t="inlineStr">
        <is>
          <t>Pistola</t>
        </is>
      </c>
      <c r="O59" s="16" t="n"/>
      <c r="P59" s="16" t="n"/>
      <c r="Q59" s="16" t="n"/>
      <c r="R59" s="16" t="n"/>
      <c r="S59" s="16" t="n"/>
      <c r="T59" s="16" t="n"/>
      <c r="U59" s="17" t="n"/>
      <c r="V59" s="127" t="b">
        <v>0</v>
      </c>
      <c r="W59" s="133" t="inlineStr">
        <is>
          <t>Cassetete</t>
        </is>
      </c>
      <c r="X59" s="16" t="n"/>
      <c r="Y59" s="16" t="n"/>
      <c r="Z59" s="16" t="n"/>
      <c r="AA59" s="16" t="n"/>
      <c r="AB59" s="16" t="n"/>
      <c r="AC59" s="16" t="n"/>
      <c r="AD59" s="17" t="n"/>
      <c r="AE59" s="127" t="b">
        <v>0</v>
      </c>
      <c r="AF59" s="133" t="inlineStr">
        <is>
          <t>Punhal</t>
        </is>
      </c>
      <c r="AG59" s="16" t="n"/>
      <c r="AH59" s="16" t="n"/>
      <c r="AI59" s="16" t="n"/>
      <c r="AJ59" s="16" t="n"/>
      <c r="AK59" s="16" t="n"/>
      <c r="AL59" s="17" t="n"/>
      <c r="AM59" s="127" t="b">
        <v>0</v>
      </c>
      <c r="AN59" s="133" t="inlineStr">
        <is>
          <t>Maul</t>
        </is>
      </c>
      <c r="AO59" s="16" t="n"/>
      <c r="AP59" s="16" t="n"/>
      <c r="AQ59" s="16" t="n"/>
      <c r="AR59" s="16" t="n"/>
      <c r="AS59" s="16" t="n"/>
      <c r="AT59" s="17" t="n"/>
      <c r="AU59" s="123" t="n"/>
      <c r="AV59" s="123" t="n"/>
      <c r="AW59" s="133" t="n"/>
      <c r="AX59" s="133" t="n"/>
      <c r="AY59" s="127" t="n"/>
      <c r="AZ59" s="127" t="n"/>
      <c r="BA59" s="127">
        <f>IF($AX59="","",IFERROR(IF(ROUND(VLOOKUP($AX59,DADOS!$CL$5:$CM$10,2,FALSE)*IF($AY59="",1,VLOOKUP($AY59,DADOS!$CO$5:$CP$7,2,FALSE))*IF($AZ59="",1,VLOOKUP($AZ59,DADOS!$CR$5:$CS$15,2,FALSE)),4)&gt;0,MAX(1,FLOOR(ROUND(VLOOKUP($AX59,DADOS!$CL$5:$CM$10,2,FALSE)*IF($AY59="",1,VLOOKUP($AY59,DADOS!$CO$5:$CP$7,2,FALSE))*IF($AZ59="",1,VLOOKUP($AZ59,DADOS!$CR$5:$CS$15,2,FALSE)),4),1)),0),""))</f>
        <v/>
      </c>
      <c r="BB59" s="123" t="n"/>
      <c r="BC59" s="133" t="n"/>
      <c r="BD59" s="133" t="n"/>
      <c r="BE59" s="127" t="n"/>
      <c r="BF59" s="127" t="n"/>
      <c r="BG59" s="127">
        <f>IF($BD59="","",IFERROR(IF(ROUND(VLOOKUP($BD59,DADOS!$CL$5:$CM$10,2,FALSE)*IF($BE59="",1,VLOOKUP($BE59,DADOS!$CO$5:$CP$7,2,FALSE))*IF($BF59="",1,VLOOKUP($BF59,DADOS!$CR$5:$CS$15,2,FALSE)),4)&gt;0,MAX(1,FLOOR(ROUND(VLOOKUP($BD59,DADOS!$CL$5:$CM$10,2,FALSE)*IF($BE59="",1,VLOOKUP($BE59,DADOS!$CO$5:$CP$7,2,FALSE))*IF($BF59="",1,VLOOKUP($BF59,DADOS!$CR$5:$CS$15,2,FALSE)),4),1)),0),""))</f>
        <v/>
      </c>
      <c r="BH59" s="123" t="n"/>
      <c r="BI59" s="133" t="n"/>
      <c r="BJ59" s="133" t="n"/>
      <c r="BK59" s="127" t="n"/>
      <c r="BL59" s="127" t="n"/>
      <c r="BM59" s="127">
        <f>IF($BJ59="","",IFERROR(IF(ROUND(VLOOKUP($BJ59,DADOS!$CL$5:$CM$10,2,FALSE)*IF($BK59="",1,VLOOKUP($BK59,DADOS!$CO$5:$CP$7,2,FALSE))*IF($BL59="",1,VLOOKUP($BL59,DADOS!$CR$5:$CS$15,2,FALSE)),4)&gt;0,MAX(1,FLOOR(ROUND(VLOOKUP($BJ59,DADOS!$CL$5:$CM$10,2,FALSE)*IF($BK59="",1,VLOOKUP($BK59,DADOS!$CO$5:$CP$7,2,FALSE))*IF($BL59="",1,VLOOKUP($BL59,DADOS!$CR$5:$CS$15,2,FALSE)),4),1)),0),""))</f>
        <v/>
      </c>
      <c r="BN59" s="123" t="n"/>
      <c r="BO59" s="133" t="n"/>
      <c r="BP59" s="133" t="n"/>
      <c r="BQ59" s="127" t="n"/>
      <c r="BR59" s="127" t="n"/>
      <c r="BS59" s="127">
        <f>IF($BP59="","",IFERROR(IF(ROUND(VLOOKUP($BP59,DADOS!$CL$5:$CM$10,2,FALSE)*IF($BQ59="",1,VLOOKUP($BQ59,DADOS!$CO$5:$CP$7,2,FALSE))*IF($BR59="",1,VLOOKUP($BR59,DADOS!$CR$5:$CS$15,2,FALSE)),4)&gt;0,MAX(1,FLOOR(ROUND(VLOOKUP($BP59,DADOS!$CL$5:$CM$10,2,FALSE)*IF($BQ59="",1,VLOOKUP($BQ59,DADOS!$CO$5:$CP$7,2,FALSE))*IF($BR59="",1,VLOOKUP($BR59,DADOS!$CR$5:$CS$15,2,FALSE)),4),1)),0),""))</f>
        <v/>
      </c>
      <c r="BT59" s="123" t="n"/>
    </row>
    <row r="60" outlineLevel="1">
      <c r="A60" s="8" t="n"/>
      <c r="B60" s="14" t="n"/>
      <c r="C60" s="123" t="n"/>
      <c r="D60" s="127" t="b">
        <v>0</v>
      </c>
      <c r="E60" s="133" t="inlineStr">
        <is>
          <t>Machete</t>
        </is>
      </c>
      <c r="F60" s="16" t="n"/>
      <c r="G60" s="16" t="n"/>
      <c r="H60" s="16" t="n"/>
      <c r="I60" s="16" t="n"/>
      <c r="J60" s="16" t="n"/>
      <c r="K60" s="16" t="n"/>
      <c r="L60" s="17" t="n"/>
      <c r="M60" s="127" t="b">
        <v>0</v>
      </c>
      <c r="N60" s="133" t="inlineStr">
        <is>
          <t>Revólver</t>
        </is>
      </c>
      <c r="O60" s="16" t="n"/>
      <c r="P60" s="16" t="n"/>
      <c r="Q60" s="16" t="n"/>
      <c r="R60" s="16" t="n"/>
      <c r="S60" s="16" t="n"/>
      <c r="T60" s="16" t="n"/>
      <c r="U60" s="17" t="n"/>
      <c r="V60" s="127" t="b">
        <v>0</v>
      </c>
      <c r="W60" s="133" t="inlineStr">
        <is>
          <t>Nunchaku</t>
        </is>
      </c>
      <c r="X60" s="16" t="n"/>
      <c r="Y60" s="16" t="n"/>
      <c r="Z60" s="16" t="n"/>
      <c r="AA60" s="16" t="n"/>
      <c r="AB60" s="16" t="n"/>
      <c r="AC60" s="16" t="n"/>
      <c r="AD60" s="17" t="n"/>
      <c r="AE60" s="127" t="b">
        <v>0</v>
      </c>
      <c r="AF60" s="133" t="inlineStr">
        <is>
          <t>Sai</t>
        </is>
      </c>
      <c r="AG60" s="16" t="n"/>
      <c r="AH60" s="16" t="n"/>
      <c r="AI60" s="16" t="n"/>
      <c r="AJ60" s="16" t="n"/>
      <c r="AK60" s="16" t="n"/>
      <c r="AL60" s="17" t="n"/>
      <c r="AM60" s="127" t="b">
        <v>0</v>
      </c>
      <c r="AN60" s="133" t="inlineStr">
        <is>
          <t>Maça</t>
        </is>
      </c>
      <c r="AO60" s="16" t="n"/>
      <c r="AP60" s="16" t="n"/>
      <c r="AQ60" s="16" t="n"/>
      <c r="AR60" s="16" t="n"/>
      <c r="AS60" s="16" t="n"/>
      <c r="AT60" s="17" t="n"/>
      <c r="AU60" s="123" t="n"/>
      <c r="AV60" s="123" t="n"/>
      <c r="AW60" s="133" t="n"/>
      <c r="AX60" s="133" t="n"/>
      <c r="AY60" s="127" t="n"/>
      <c r="AZ60" s="127" t="n"/>
      <c r="BA60" s="127">
        <f>IF($AX60="","",IFERROR(IF(ROUND(VLOOKUP($AX60,DADOS!$CL$5:$CM$10,2,FALSE)*IF($AY60="",1,VLOOKUP($AY60,DADOS!$CO$5:$CP$7,2,FALSE))*IF($AZ60="",1,VLOOKUP($AZ60,DADOS!$CR$5:$CS$15,2,FALSE)),4)&gt;0,MAX(1,FLOOR(ROUND(VLOOKUP($AX60,DADOS!$CL$5:$CM$10,2,FALSE)*IF($AY60="",1,VLOOKUP($AY60,DADOS!$CO$5:$CP$7,2,FALSE))*IF($AZ60="",1,VLOOKUP($AZ60,DADOS!$CR$5:$CS$15,2,FALSE)),4),1)),0),""))</f>
        <v/>
      </c>
      <c r="BB60" s="123" t="n"/>
      <c r="BC60" s="133" t="n"/>
      <c r="BD60" s="133" t="n"/>
      <c r="BE60" s="127" t="n"/>
      <c r="BF60" s="127" t="n"/>
      <c r="BG60" s="127">
        <f>IF($BD60="","",IFERROR(IF(ROUND(VLOOKUP($BD60,DADOS!$CL$5:$CM$10,2,FALSE)*IF($BE60="",1,VLOOKUP($BE60,DADOS!$CO$5:$CP$7,2,FALSE))*IF($BF60="",1,VLOOKUP($BF60,DADOS!$CR$5:$CS$15,2,FALSE)),4)&gt;0,MAX(1,FLOOR(ROUND(VLOOKUP($BD60,DADOS!$CL$5:$CM$10,2,FALSE)*IF($BE60="",1,VLOOKUP($BE60,DADOS!$CO$5:$CP$7,2,FALSE))*IF($BF60="",1,VLOOKUP($BF60,DADOS!$CR$5:$CS$15,2,FALSE)),4),1)),0),""))</f>
        <v/>
      </c>
      <c r="BH60" s="123" t="n"/>
      <c r="BI60" s="133" t="n"/>
      <c r="BJ60" s="133" t="n"/>
      <c r="BK60" s="127" t="n"/>
      <c r="BL60" s="127" t="n"/>
      <c r="BM60" s="127">
        <f>IF($BJ60="","",IFERROR(IF(ROUND(VLOOKUP($BJ60,DADOS!$CL$5:$CM$10,2,FALSE)*IF($BK60="",1,VLOOKUP($BK60,DADOS!$CO$5:$CP$7,2,FALSE))*IF($BL60="",1,VLOOKUP($BL60,DADOS!$CR$5:$CS$15,2,FALSE)),4)&gt;0,MAX(1,FLOOR(ROUND(VLOOKUP($BJ60,DADOS!$CL$5:$CM$10,2,FALSE)*IF($BK60="",1,VLOOKUP($BK60,DADOS!$CO$5:$CP$7,2,FALSE))*IF($BL60="",1,VLOOKUP($BL60,DADOS!$CR$5:$CS$15,2,FALSE)),4),1)),0),""))</f>
        <v/>
      </c>
      <c r="BN60" s="123" t="n"/>
      <c r="BO60" s="133" t="n"/>
      <c r="BP60" s="133" t="n"/>
      <c r="BQ60" s="127" t="n"/>
      <c r="BR60" s="127" t="n"/>
      <c r="BS60" s="127">
        <f>IF($BP60="","",IFERROR(IF(ROUND(VLOOKUP($BP60,DADOS!$CL$5:$CM$10,2,FALSE)*IF($BQ60="",1,VLOOKUP($BQ60,DADOS!$CO$5:$CP$7,2,FALSE))*IF($BR60="",1,VLOOKUP($BR60,DADOS!$CR$5:$CS$15,2,FALSE)),4)&gt;0,MAX(1,FLOOR(ROUND(VLOOKUP($BP60,DADOS!$CL$5:$CM$10,2,FALSE)*IF($BQ60="",1,VLOOKUP($BQ60,DADOS!$CO$5:$CP$7,2,FALSE))*IF($BR60="",1,VLOOKUP($BR60,DADOS!$CR$5:$CS$15,2,FALSE)),4),1)),0),""))</f>
        <v/>
      </c>
      <c r="BT60" s="123" t="n"/>
    </row>
    <row r="61" outlineLevel="1">
      <c r="A61" s="8" t="n"/>
      <c r="B61" s="14" t="n"/>
      <c r="C61" s="123" t="n"/>
      <c r="D61" s="127" t="b">
        <v>0</v>
      </c>
      <c r="E61" s="133" t="inlineStr">
        <is>
          <t>Nodachi</t>
        </is>
      </c>
      <c r="F61" s="16" t="n"/>
      <c r="G61" s="16" t="n"/>
      <c r="H61" s="16" t="n"/>
      <c r="I61" s="16" t="n"/>
      <c r="J61" s="16" t="n"/>
      <c r="K61" s="16" t="n"/>
      <c r="L61" s="17" t="n"/>
      <c r="M61" s="127" t="b">
        <v>0</v>
      </c>
      <c r="N61" s="133" t="inlineStr">
        <is>
          <t>Rifle</t>
        </is>
      </c>
      <c r="O61" s="16" t="n"/>
      <c r="P61" s="16" t="n"/>
      <c r="Q61" s="16" t="n"/>
      <c r="R61" s="16" t="n"/>
      <c r="S61" s="16" t="n"/>
      <c r="T61" s="16" t="n"/>
      <c r="U61" s="17" t="n"/>
      <c r="V61" s="127" t="b">
        <v>0</v>
      </c>
      <c r="W61" s="133" t="inlineStr">
        <is>
          <t>Tonfa</t>
        </is>
      </c>
      <c r="X61" s="16" t="n"/>
      <c r="Y61" s="16" t="n"/>
      <c r="Z61" s="16" t="n"/>
      <c r="AA61" s="16" t="n"/>
      <c r="AB61" s="16" t="n"/>
      <c r="AC61" s="16" t="n"/>
      <c r="AD61" s="17" t="n"/>
      <c r="AE61" s="127" t="b">
        <v>0</v>
      </c>
      <c r="AF61" s="133" t="inlineStr">
        <is>
          <t>Tanto</t>
        </is>
      </c>
      <c r="AG61" s="16" t="n"/>
      <c r="AH61" s="16" t="n"/>
      <c r="AI61" s="16" t="n"/>
      <c r="AJ61" s="16" t="n"/>
      <c r="AK61" s="16" t="n"/>
      <c r="AL61" s="17" t="n"/>
      <c r="AM61" s="127" t="b">
        <v>0</v>
      </c>
      <c r="AN61" s="133" t="inlineStr">
        <is>
          <t>Taco</t>
        </is>
      </c>
      <c r="AO61" s="16" t="n"/>
      <c r="AP61" s="16" t="n"/>
      <c r="AQ61" s="16" t="n"/>
      <c r="AR61" s="16" t="n"/>
      <c r="AS61" s="16" t="n"/>
      <c r="AT61" s="17" t="n"/>
      <c r="AU61" s="123" t="n"/>
      <c r="AV61" s="123" t="n"/>
      <c r="AW61" s="133" t="n"/>
      <c r="AX61" s="133" t="n"/>
      <c r="AY61" s="127" t="n"/>
      <c r="AZ61" s="127" t="n"/>
      <c r="BA61" s="127">
        <f>IF($AX61="","",IFERROR(IF(ROUND(VLOOKUP($AX61,DADOS!$CL$5:$CM$10,2,FALSE)*IF($AY61="",1,VLOOKUP($AY61,DADOS!$CO$5:$CP$7,2,FALSE))*IF($AZ61="",1,VLOOKUP($AZ61,DADOS!$CR$5:$CS$15,2,FALSE)),4)&gt;0,MAX(1,FLOOR(ROUND(VLOOKUP($AX61,DADOS!$CL$5:$CM$10,2,FALSE)*IF($AY61="",1,VLOOKUP($AY61,DADOS!$CO$5:$CP$7,2,FALSE))*IF($AZ61="",1,VLOOKUP($AZ61,DADOS!$CR$5:$CS$15,2,FALSE)),4),1)),0),""))</f>
        <v/>
      </c>
      <c r="BB61" s="123" t="n"/>
      <c r="BC61" s="133" t="n"/>
      <c r="BD61" s="133" t="n"/>
      <c r="BE61" s="127" t="n"/>
      <c r="BF61" s="127" t="n"/>
      <c r="BG61" s="127">
        <f>IF($BD61="","",IFERROR(IF(ROUND(VLOOKUP($BD61,DADOS!$CL$5:$CM$10,2,FALSE)*IF($BE61="",1,VLOOKUP($BE61,DADOS!$CO$5:$CP$7,2,FALSE))*IF($BF61="",1,VLOOKUP($BF61,DADOS!$CR$5:$CS$15,2,FALSE)),4)&gt;0,MAX(1,FLOOR(ROUND(VLOOKUP($BD61,DADOS!$CL$5:$CM$10,2,FALSE)*IF($BE61="",1,VLOOKUP($BE61,DADOS!$CO$5:$CP$7,2,FALSE))*IF($BF61="",1,VLOOKUP($BF61,DADOS!$CR$5:$CS$15,2,FALSE)),4),1)),0),""))</f>
        <v/>
      </c>
      <c r="BH61" s="123" t="n"/>
      <c r="BI61" s="133" t="n"/>
      <c r="BJ61" s="133" t="n"/>
      <c r="BK61" s="127" t="n"/>
      <c r="BL61" s="127" t="n"/>
      <c r="BM61" s="127">
        <f>IF($BJ61="","",IFERROR(IF(ROUND(VLOOKUP($BJ61,DADOS!$CL$5:$CM$10,2,FALSE)*IF($BK61="",1,VLOOKUP($BK61,DADOS!$CO$5:$CP$7,2,FALSE))*IF($BL61="",1,VLOOKUP($BL61,DADOS!$CR$5:$CS$15,2,FALSE)),4)&gt;0,MAX(1,FLOOR(ROUND(VLOOKUP($BJ61,DADOS!$CL$5:$CM$10,2,FALSE)*IF($BK61="",1,VLOOKUP($BK61,DADOS!$CO$5:$CP$7,2,FALSE))*IF($BL61="",1,VLOOKUP($BL61,DADOS!$CR$5:$CS$15,2,FALSE)),4),1)),0),""))</f>
        <v/>
      </c>
      <c r="BN61" s="123" t="n"/>
      <c r="BO61" s="133" t="n"/>
      <c r="BP61" s="133" t="n"/>
      <c r="BQ61" s="127" t="n"/>
      <c r="BR61" s="127" t="n"/>
      <c r="BS61" s="127">
        <f>IF($BP61="","",IFERROR(IF(ROUND(VLOOKUP($BP61,DADOS!$CL$5:$CM$10,2,FALSE)*IF($BQ61="",1,VLOOKUP($BQ61,DADOS!$CO$5:$CP$7,2,FALSE))*IF($BR61="",1,VLOOKUP($BR61,DADOS!$CR$5:$CS$15,2,FALSE)),4)&gt;0,MAX(1,FLOOR(ROUND(VLOOKUP($BP61,DADOS!$CL$5:$CM$10,2,FALSE)*IF($BQ61="",1,VLOOKUP($BQ61,DADOS!$CO$5:$CP$7,2,FALSE))*IF($BR61="",1,VLOOKUP($BR61,DADOS!$CR$5:$CS$15,2,FALSE)),4),1)),0),""))</f>
        <v/>
      </c>
      <c r="BT61" s="123" t="n"/>
    </row>
    <row r="62" outlineLevel="1">
      <c r="A62" s="8" t="n"/>
      <c r="B62" s="14" t="n"/>
      <c r="C62" s="123" t="n"/>
      <c r="D62" s="127" t="b">
        <v>0</v>
      </c>
      <c r="E62" s="133" t="inlineStr">
        <is>
          <t>Odachi</t>
        </is>
      </c>
      <c r="F62" s="16" t="n"/>
      <c r="G62" s="16" t="n"/>
      <c r="H62" s="16" t="n"/>
      <c r="I62" s="16" t="n"/>
      <c r="J62" s="16" t="n"/>
      <c r="K62" s="16" t="n"/>
      <c r="L62" s="17" t="n"/>
      <c r="M62" s="127" t="b">
        <v>0</v>
      </c>
      <c r="N62" s="133" t="inlineStr">
        <is>
          <t>Rifle de Precisão</t>
        </is>
      </c>
      <c r="O62" s="16" t="n"/>
      <c r="P62" s="16" t="n"/>
      <c r="Q62" s="16" t="n"/>
      <c r="R62" s="16" t="n"/>
      <c r="S62" s="16" t="n"/>
      <c r="T62" s="16" t="n"/>
      <c r="U62" s="17" t="n"/>
      <c r="V62" s="55" t="b">
        <v>0</v>
      </c>
      <c r="W62" s="55" t="inlineStr">
        <is>
          <t>CEIFA</t>
        </is>
      </c>
      <c r="X62" s="16" t="n"/>
      <c r="Y62" s="16" t="n"/>
      <c r="Z62" s="16" t="n"/>
      <c r="AA62" s="16" t="n"/>
      <c r="AB62" s="16" t="n"/>
      <c r="AC62" s="16" t="n"/>
      <c r="AD62" s="17" t="n"/>
      <c r="AE62" s="55" t="b">
        <v>0</v>
      </c>
      <c r="AF62" s="55" t="inlineStr">
        <is>
          <t>FLEXÍVEL</t>
        </is>
      </c>
      <c r="AG62" s="16" t="n"/>
      <c r="AH62" s="16" t="n"/>
      <c r="AI62" s="16" t="n"/>
      <c r="AJ62" s="16" t="n"/>
      <c r="AK62" s="16" t="n"/>
      <c r="AL62" s="17" t="n"/>
      <c r="AM62" s="55" t="b">
        <v>0</v>
      </c>
      <c r="AN62" s="55" t="inlineStr">
        <is>
          <t>ARMAS LONGAS</t>
        </is>
      </c>
      <c r="AO62" s="16" t="n"/>
      <c r="AP62" s="16" t="n"/>
      <c r="AQ62" s="16" t="n"/>
      <c r="AR62" s="16" t="n"/>
      <c r="AS62" s="16" t="n"/>
      <c r="AT62" s="17" t="n"/>
      <c r="AU62" s="123" t="n"/>
      <c r="AV62" s="123" t="n"/>
      <c r="AW62" s="133" t="n"/>
      <c r="AX62" s="133" t="n"/>
      <c r="AY62" s="127" t="n"/>
      <c r="AZ62" s="127" t="n"/>
      <c r="BA62" s="127">
        <f>IF($AX62="","",IFERROR(IF(ROUND(VLOOKUP($AX62,DADOS!$CL$5:$CM$10,2,FALSE)*IF($AY62="",1,VLOOKUP($AY62,DADOS!$CO$5:$CP$7,2,FALSE))*IF($AZ62="",1,VLOOKUP($AZ62,DADOS!$CR$5:$CS$15,2,FALSE)),4)&gt;0,MAX(1,FLOOR(ROUND(VLOOKUP($AX62,DADOS!$CL$5:$CM$10,2,FALSE)*IF($AY62="",1,VLOOKUP($AY62,DADOS!$CO$5:$CP$7,2,FALSE))*IF($AZ62="",1,VLOOKUP($AZ62,DADOS!$CR$5:$CS$15,2,FALSE)),4),1)),0),""))</f>
        <v/>
      </c>
      <c r="BB62" s="123" t="n"/>
      <c r="BC62" s="133" t="n"/>
      <c r="BD62" s="133" t="n"/>
      <c r="BE62" s="127" t="n"/>
      <c r="BF62" s="127" t="n"/>
      <c r="BG62" s="127">
        <f>IF($BD62="","",IFERROR(IF(ROUND(VLOOKUP($BD62,DADOS!$CL$5:$CM$10,2,FALSE)*IF($BE62="",1,VLOOKUP($BE62,DADOS!$CO$5:$CP$7,2,FALSE))*IF($BF62="",1,VLOOKUP($BF62,DADOS!$CR$5:$CS$15,2,FALSE)),4)&gt;0,MAX(1,FLOOR(ROUND(VLOOKUP($BD62,DADOS!$CL$5:$CM$10,2,FALSE)*IF($BE62="",1,VLOOKUP($BE62,DADOS!$CO$5:$CP$7,2,FALSE))*IF($BF62="",1,VLOOKUP($BF62,DADOS!$CR$5:$CS$15,2,FALSE)),4),1)),0),""))</f>
        <v/>
      </c>
      <c r="BH62" s="123" t="n"/>
      <c r="BI62" s="133" t="n"/>
      <c r="BJ62" s="133" t="n"/>
      <c r="BK62" s="127" t="n"/>
      <c r="BL62" s="127" t="n"/>
      <c r="BM62" s="127">
        <f>IF($BJ62="","",IFERROR(IF(ROUND(VLOOKUP($BJ62,DADOS!$CL$5:$CM$10,2,FALSE)*IF($BK62="",1,VLOOKUP($BK62,DADOS!$CO$5:$CP$7,2,FALSE))*IF($BL62="",1,VLOOKUP($BL62,DADOS!$CR$5:$CS$15,2,FALSE)),4)&gt;0,MAX(1,FLOOR(ROUND(VLOOKUP($BJ62,DADOS!$CL$5:$CM$10,2,FALSE)*IF($BK62="",1,VLOOKUP($BK62,DADOS!$CO$5:$CP$7,2,FALSE))*IF($BL62="",1,VLOOKUP($BL62,DADOS!$CR$5:$CS$15,2,FALSE)),4),1)),0),""))</f>
        <v/>
      </c>
      <c r="BN62" s="123" t="n"/>
      <c r="BO62" s="133" t="n"/>
      <c r="BP62" s="133" t="n"/>
      <c r="BQ62" s="127" t="n"/>
      <c r="BR62" s="127" t="n"/>
      <c r="BS62" s="127">
        <f>IF($BP62="","",IFERROR(IF(ROUND(VLOOKUP($BP62,DADOS!$CL$5:$CM$10,2,FALSE)*IF($BQ62="",1,VLOOKUP($BQ62,DADOS!$CO$5:$CP$7,2,FALSE))*IF($BR62="",1,VLOOKUP($BR62,DADOS!$CR$5:$CS$15,2,FALSE)),4)&gt;0,MAX(1,FLOOR(ROUND(VLOOKUP($BP62,DADOS!$CL$5:$CM$10,2,FALSE)*IF($BQ62="",1,VLOOKUP($BQ62,DADOS!$CO$5:$CP$7,2,FALSE))*IF($BR62="",1,VLOOKUP($BR62,DADOS!$CR$5:$CS$15,2,FALSE)),4),1)),0),""))</f>
        <v/>
      </c>
      <c r="BT62" s="123" t="n"/>
    </row>
    <row r="63" outlineLevel="1">
      <c r="A63" s="8" t="n"/>
      <c r="B63" s="14" t="n"/>
      <c r="C63" s="123" t="n"/>
      <c r="D63" s="127" t="b">
        <v>0</v>
      </c>
      <c r="E63" s="133" t="inlineStr">
        <is>
          <t>Rapieira</t>
        </is>
      </c>
      <c r="F63" s="16" t="n"/>
      <c r="G63" s="16" t="n"/>
      <c r="H63" s="16" t="n"/>
      <c r="I63" s="16" t="n"/>
      <c r="J63" s="16" t="n"/>
      <c r="K63" s="16" t="n"/>
      <c r="L63" s="17" t="n"/>
      <c r="M63" s="127" t="b">
        <v>0</v>
      </c>
      <c r="N63" s="133" t="inlineStr">
        <is>
          <t>Submetralhadora</t>
        </is>
      </c>
      <c r="O63" s="16" t="n"/>
      <c r="P63" s="16" t="n"/>
      <c r="Q63" s="16" t="n"/>
      <c r="R63" s="16" t="n"/>
      <c r="S63" s="16" t="n"/>
      <c r="T63" s="16" t="n"/>
      <c r="U63" s="17" t="n"/>
      <c r="V63" s="127" t="b">
        <v>0</v>
      </c>
      <c r="W63" s="133" t="inlineStr">
        <is>
          <t>Foice</t>
        </is>
      </c>
      <c r="X63" s="16" t="n"/>
      <c r="Y63" s="16" t="n"/>
      <c r="Z63" s="16" t="n"/>
      <c r="AA63" s="16" t="n"/>
      <c r="AB63" s="16" t="n"/>
      <c r="AC63" s="16" t="n"/>
      <c r="AD63" s="17" t="n"/>
      <c r="AE63" s="127" t="b">
        <v>0</v>
      </c>
      <c r="AF63" s="133" t="inlineStr">
        <is>
          <t>Chicote</t>
        </is>
      </c>
      <c r="AG63" s="16" t="n"/>
      <c r="AH63" s="16" t="n"/>
      <c r="AI63" s="16" t="n"/>
      <c r="AJ63" s="16" t="n"/>
      <c r="AK63" s="16" t="n"/>
      <c r="AL63" s="17" t="n"/>
      <c r="AM63" s="127" t="b">
        <v>0</v>
      </c>
      <c r="AN63" s="133" t="inlineStr">
        <is>
          <t>Lança</t>
        </is>
      </c>
      <c r="AO63" s="16" t="n"/>
      <c r="AP63" s="16" t="n"/>
      <c r="AQ63" s="16" t="n"/>
      <c r="AR63" s="16" t="n"/>
      <c r="AS63" s="16" t="n"/>
      <c r="AT63" s="17" t="n"/>
      <c r="AU63" s="123" t="n"/>
      <c r="AV63" s="123" t="n"/>
      <c r="AW63" s="133" t="n"/>
      <c r="AX63" s="133" t="n"/>
      <c r="AY63" s="127" t="n"/>
      <c r="AZ63" s="127" t="n"/>
      <c r="BA63" s="127">
        <f>IF($AX63="","",IFERROR(IF(ROUND(VLOOKUP($AX63,DADOS!$CL$5:$CM$10,2,FALSE)*IF($AY63="",1,VLOOKUP($AY63,DADOS!$CO$5:$CP$7,2,FALSE))*IF($AZ63="",1,VLOOKUP($AZ63,DADOS!$CR$5:$CS$15,2,FALSE)),4)&gt;0,MAX(1,FLOOR(ROUND(VLOOKUP($AX63,DADOS!$CL$5:$CM$10,2,FALSE)*IF($AY63="",1,VLOOKUP($AY63,DADOS!$CO$5:$CP$7,2,FALSE))*IF($AZ63="",1,VLOOKUP($AZ63,DADOS!$CR$5:$CS$15,2,FALSE)),4),1)),0),""))</f>
        <v/>
      </c>
      <c r="BB63" s="123" t="n"/>
      <c r="BC63" s="133" t="n"/>
      <c r="BD63" s="133" t="n"/>
      <c r="BE63" s="127" t="n"/>
      <c r="BF63" s="127" t="n"/>
      <c r="BG63" s="127">
        <f>IF($BD63="","",IFERROR(IF(ROUND(VLOOKUP($BD63,DADOS!$CL$5:$CM$10,2,FALSE)*IF($BE63="",1,VLOOKUP($BE63,DADOS!$CO$5:$CP$7,2,FALSE))*IF($BF63="",1,VLOOKUP($BF63,DADOS!$CR$5:$CS$15,2,FALSE)),4)&gt;0,MAX(1,FLOOR(ROUND(VLOOKUP($BD63,DADOS!$CL$5:$CM$10,2,FALSE)*IF($BE63="",1,VLOOKUP($BE63,DADOS!$CO$5:$CP$7,2,FALSE))*IF($BF63="",1,VLOOKUP($BF63,DADOS!$CR$5:$CS$15,2,FALSE)),4),1)),0),""))</f>
        <v/>
      </c>
      <c r="BH63" s="123" t="n"/>
      <c r="BI63" s="133" t="n"/>
      <c r="BJ63" s="133" t="n"/>
      <c r="BK63" s="127" t="n"/>
      <c r="BL63" s="127" t="n"/>
      <c r="BM63" s="127">
        <f>IF($BJ63="","",IFERROR(IF(ROUND(VLOOKUP($BJ63,DADOS!$CL$5:$CM$10,2,FALSE)*IF($BK63="",1,VLOOKUP($BK63,DADOS!$CO$5:$CP$7,2,FALSE))*IF($BL63="",1,VLOOKUP($BL63,DADOS!$CR$5:$CS$15,2,FALSE)),4)&gt;0,MAX(1,FLOOR(ROUND(VLOOKUP($BJ63,DADOS!$CL$5:$CM$10,2,FALSE)*IF($BK63="",1,VLOOKUP($BK63,DADOS!$CO$5:$CP$7,2,FALSE))*IF($BL63="",1,VLOOKUP($BL63,DADOS!$CR$5:$CS$15,2,FALSE)),4),1)),0),""))</f>
        <v/>
      </c>
      <c r="BN63" s="123" t="n"/>
      <c r="BO63" s="133" t="n"/>
      <c r="BP63" s="133" t="n"/>
      <c r="BQ63" s="127" t="n"/>
      <c r="BR63" s="127" t="n"/>
      <c r="BS63" s="127">
        <f>IF($BP63="","",IFERROR(IF(ROUND(VLOOKUP($BP63,DADOS!$CL$5:$CM$10,2,FALSE)*IF($BQ63="",1,VLOOKUP($BQ63,DADOS!$CO$5:$CP$7,2,FALSE))*IF($BR63="",1,VLOOKUP($BR63,DADOS!$CR$5:$CS$15,2,FALSE)),4)&gt;0,MAX(1,FLOOR(ROUND(VLOOKUP($BP63,DADOS!$CL$5:$CM$10,2,FALSE)*IF($BQ63="",1,VLOOKUP($BQ63,DADOS!$CO$5:$CP$7,2,FALSE))*IF($BR63="",1,VLOOKUP($BR63,DADOS!$CR$5:$CS$15,2,FALSE)),4),1)),0),""))</f>
        <v/>
      </c>
      <c r="BT63" s="123" t="n"/>
    </row>
    <row r="64" outlineLevel="1">
      <c r="A64" s="8" t="n"/>
      <c r="B64" s="14" t="n"/>
      <c r="C64" s="123" t="n"/>
      <c r="D64" s="127" t="b">
        <v>0</v>
      </c>
      <c r="E64" s="133" t="inlineStr">
        <is>
          <t>Wakizashi</t>
        </is>
      </c>
      <c r="F64" s="16" t="n"/>
      <c r="G64" s="16" t="n"/>
      <c r="H64" s="16" t="n"/>
      <c r="I64" s="16" t="n"/>
      <c r="J64" s="16" t="n"/>
      <c r="K64" s="16" t="n"/>
      <c r="L64" s="17" t="n"/>
      <c r="M64" s="55" t="b">
        <v>0</v>
      </c>
      <c r="N64" s="55" t="inlineStr">
        <is>
          <t>ARREMESSO</t>
        </is>
      </c>
      <c r="O64" s="16" t="n"/>
      <c r="P64" s="16" t="n"/>
      <c r="Q64" s="16" t="n"/>
      <c r="R64" s="16" t="n"/>
      <c r="S64" s="16" t="n"/>
      <c r="T64" s="16" t="n"/>
      <c r="U64" s="17" t="n"/>
      <c r="V64" s="127" t="b">
        <v>0</v>
      </c>
      <c r="W64" s="133" t="inlineStr">
        <is>
          <t>Kama</t>
        </is>
      </c>
      <c r="X64" s="16" t="n"/>
      <c r="Y64" s="16" t="n"/>
      <c r="Z64" s="16" t="n"/>
      <c r="AA64" s="16" t="n"/>
      <c r="AB64" s="16" t="n"/>
      <c r="AC64" s="16" t="n"/>
      <c r="AD64" s="17" t="n"/>
      <c r="AE64" s="127" t="b">
        <v>0</v>
      </c>
      <c r="AF64" s="133" t="inlineStr">
        <is>
          <t>Corrente</t>
        </is>
      </c>
      <c r="AG64" s="16" t="n"/>
      <c r="AH64" s="16" t="n"/>
      <c r="AI64" s="16" t="n"/>
      <c r="AJ64" s="16" t="n"/>
      <c r="AK64" s="16" t="n"/>
      <c r="AL64" s="17" t="n"/>
      <c r="AM64" s="127" t="b">
        <v>0</v>
      </c>
      <c r="AN64" s="133" t="inlineStr">
        <is>
          <t>Naginata</t>
        </is>
      </c>
      <c r="AO64" s="16" t="n"/>
      <c r="AP64" s="16" t="n"/>
      <c r="AQ64" s="16" t="n"/>
      <c r="AR64" s="16" t="n"/>
      <c r="AS64" s="16" t="n"/>
      <c r="AT64" s="17" t="n"/>
      <c r="AU64" s="123" t="n"/>
      <c r="AV64" s="123" t="n"/>
      <c r="AW64" s="133" t="n"/>
      <c r="AX64" s="133" t="n"/>
      <c r="AY64" s="127" t="n"/>
      <c r="AZ64" s="127" t="n"/>
      <c r="BA64" s="127">
        <f>IF($AX64="","",IFERROR(IF(ROUND(VLOOKUP($AX64,DADOS!$CL$5:$CM$10,2,FALSE)*IF($AY64="",1,VLOOKUP($AY64,DADOS!$CO$5:$CP$7,2,FALSE))*IF($AZ64="",1,VLOOKUP($AZ64,DADOS!$CR$5:$CS$15,2,FALSE)),4)&gt;0,MAX(1,FLOOR(ROUND(VLOOKUP($AX64,DADOS!$CL$5:$CM$10,2,FALSE)*IF($AY64="",1,VLOOKUP($AY64,DADOS!$CO$5:$CP$7,2,FALSE))*IF($AZ64="",1,VLOOKUP($AZ64,DADOS!$CR$5:$CS$15,2,FALSE)),4),1)),0),""))</f>
        <v/>
      </c>
      <c r="BB64" s="123" t="n"/>
      <c r="BC64" s="133" t="n"/>
      <c r="BD64" s="133" t="n"/>
      <c r="BE64" s="127" t="n"/>
      <c r="BF64" s="127" t="n"/>
      <c r="BG64" s="127">
        <f>IF($BD64="","",IFERROR(IF(ROUND(VLOOKUP($BD64,DADOS!$CL$5:$CM$10,2,FALSE)*IF($BE64="",1,VLOOKUP($BE64,DADOS!$CO$5:$CP$7,2,FALSE))*IF($BF64="",1,VLOOKUP($BF64,DADOS!$CR$5:$CS$15,2,FALSE)),4)&gt;0,MAX(1,FLOOR(ROUND(VLOOKUP($BD64,DADOS!$CL$5:$CM$10,2,FALSE)*IF($BE64="",1,VLOOKUP($BE64,DADOS!$CO$5:$CP$7,2,FALSE))*IF($BF64="",1,VLOOKUP($BF64,DADOS!$CR$5:$CS$15,2,FALSE)),4),1)),0),""))</f>
        <v/>
      </c>
      <c r="BH64" s="123" t="n"/>
      <c r="BI64" s="133" t="n"/>
      <c r="BJ64" s="133" t="n"/>
      <c r="BK64" s="127" t="n"/>
      <c r="BL64" s="127" t="n"/>
      <c r="BM64" s="127">
        <f>IF($BJ64="","",IFERROR(IF(ROUND(VLOOKUP($BJ64,DADOS!$CL$5:$CM$10,2,FALSE)*IF($BK64="",1,VLOOKUP($BK64,DADOS!$CO$5:$CP$7,2,FALSE))*IF($BL64="",1,VLOOKUP($BL64,DADOS!$CR$5:$CS$15,2,FALSE)),4)&gt;0,MAX(1,FLOOR(ROUND(VLOOKUP($BJ64,DADOS!$CL$5:$CM$10,2,FALSE)*IF($BK64="",1,VLOOKUP($BK64,DADOS!$CO$5:$CP$7,2,FALSE))*IF($BL64="",1,VLOOKUP($BL64,DADOS!$CR$5:$CS$15,2,FALSE)),4),1)),0),""))</f>
        <v/>
      </c>
      <c r="BN64" s="123" t="n"/>
      <c r="BO64" s="133" t="n"/>
      <c r="BP64" s="133" t="n"/>
      <c r="BQ64" s="127" t="n"/>
      <c r="BR64" s="127" t="n"/>
      <c r="BS64" s="127">
        <f>IF($BP64="","",IFERROR(IF(ROUND(VLOOKUP($BP64,DADOS!$CL$5:$CM$10,2,FALSE)*IF($BQ64="",1,VLOOKUP($BQ64,DADOS!$CO$5:$CP$7,2,FALSE))*IF($BR64="",1,VLOOKUP($BR64,DADOS!$CR$5:$CS$15,2,FALSE)),4)&gt;0,MAX(1,FLOOR(ROUND(VLOOKUP($BP64,DADOS!$CL$5:$CM$10,2,FALSE)*IF($BQ64="",1,VLOOKUP($BQ64,DADOS!$CO$5:$CP$7,2,FALSE))*IF($BR64="",1,VLOOKUP($BR64,DADOS!$CR$5:$CS$15,2,FALSE)),4),1)),0),""))</f>
        <v/>
      </c>
      <c r="BT64" s="123" t="n"/>
    </row>
    <row r="65" outlineLevel="1">
      <c r="A65" s="8" t="n"/>
      <c r="B65" s="14" t="n"/>
      <c r="C65" s="123" t="n"/>
      <c r="D65" s="55" t="b">
        <v>0</v>
      </c>
      <c r="E65" s="55" t="inlineStr">
        <is>
          <t>MACHADO</t>
        </is>
      </c>
      <c r="F65" s="16" t="n"/>
      <c r="G65" s="16" t="n"/>
      <c r="H65" s="16" t="n"/>
      <c r="I65" s="16" t="n"/>
      <c r="J65" s="16" t="n"/>
      <c r="K65" s="16" t="n"/>
      <c r="L65" s="17" t="n"/>
      <c r="M65" s="127" t="b">
        <v>0</v>
      </c>
      <c r="N65" s="133" t="inlineStr">
        <is>
          <t>Chakram</t>
        </is>
      </c>
      <c r="O65" s="16" t="n"/>
      <c r="P65" s="16" t="n"/>
      <c r="Q65" s="16" t="n"/>
      <c r="R65" s="16" t="n"/>
      <c r="S65" s="16" t="n"/>
      <c r="T65" s="16" t="n"/>
      <c r="U65" s="17" t="n"/>
      <c r="V65" s="127" t="b">
        <v>0</v>
      </c>
      <c r="W65" s="133" t="inlineStr">
        <is>
          <t>Kusarigama</t>
        </is>
      </c>
      <c r="X65" s="16" t="n"/>
      <c r="Y65" s="16" t="n"/>
      <c r="Z65" s="16" t="n"/>
      <c r="AA65" s="16" t="n"/>
      <c r="AB65" s="16" t="n"/>
      <c r="AC65" s="16" t="n"/>
      <c r="AD65" s="17" t="n"/>
      <c r="AE65" s="127" t="b">
        <v>0</v>
      </c>
      <c r="AF65" s="133" t="inlineStr">
        <is>
          <t>Manriki</t>
        </is>
      </c>
      <c r="AG65" s="16" t="n"/>
      <c r="AH65" s="16" t="n"/>
      <c r="AI65" s="16" t="n"/>
      <c r="AJ65" s="16" t="n"/>
      <c r="AK65" s="16" t="n"/>
      <c r="AL65" s="17" t="n"/>
      <c r="AM65" s="127" t="b">
        <v>0</v>
      </c>
      <c r="AN65" s="133" t="inlineStr">
        <is>
          <t>Yari</t>
        </is>
      </c>
      <c r="AO65" s="16" t="n"/>
      <c r="AP65" s="16" t="n"/>
      <c r="AQ65" s="16" t="n"/>
      <c r="AR65" s="16" t="n"/>
      <c r="AS65" s="16" t="n"/>
      <c r="AT65" s="17" t="n"/>
      <c r="AU65" s="123" t="n"/>
      <c r="AV65" s="123" t="n"/>
      <c r="AW65" s="133" t="n"/>
      <c r="AX65" s="133" t="n"/>
      <c r="AY65" s="127" t="n"/>
      <c r="AZ65" s="127" t="n"/>
      <c r="BA65" s="127">
        <f>IF($AX65="","",IFERROR(IF(ROUND(VLOOKUP($AX65,DADOS!$CL$5:$CM$10,2,FALSE)*IF($AY65="",1,VLOOKUP($AY65,DADOS!$CO$5:$CP$7,2,FALSE))*IF($AZ65="",1,VLOOKUP($AZ65,DADOS!$CR$5:$CS$15,2,FALSE)),4)&gt;0,MAX(1,FLOOR(ROUND(VLOOKUP($AX65,DADOS!$CL$5:$CM$10,2,FALSE)*IF($AY65="",1,VLOOKUP($AY65,DADOS!$CO$5:$CP$7,2,FALSE))*IF($AZ65="",1,VLOOKUP($AZ65,DADOS!$CR$5:$CS$15,2,FALSE)),4),1)),0),""))</f>
        <v/>
      </c>
      <c r="BB65" s="123" t="n"/>
      <c r="BC65" s="133" t="n"/>
      <c r="BD65" s="133" t="n"/>
      <c r="BE65" s="127" t="n"/>
      <c r="BF65" s="127" t="n"/>
      <c r="BG65" s="127">
        <f>IF($BD65="","",IFERROR(IF(ROUND(VLOOKUP($BD65,DADOS!$CL$5:$CM$10,2,FALSE)*IF($BE65="",1,VLOOKUP($BE65,DADOS!$CO$5:$CP$7,2,FALSE))*IF($BF65="",1,VLOOKUP($BF65,DADOS!$CR$5:$CS$15,2,FALSE)),4)&gt;0,MAX(1,FLOOR(ROUND(VLOOKUP($BD65,DADOS!$CL$5:$CM$10,2,FALSE)*IF($BE65="",1,VLOOKUP($BE65,DADOS!$CO$5:$CP$7,2,FALSE))*IF($BF65="",1,VLOOKUP($BF65,DADOS!$CR$5:$CS$15,2,FALSE)),4),1)),0),""))</f>
        <v/>
      </c>
      <c r="BH65" s="123" t="n"/>
      <c r="BI65" s="133" t="n"/>
      <c r="BJ65" s="133" t="n"/>
      <c r="BK65" s="127" t="n"/>
      <c r="BL65" s="127" t="n"/>
      <c r="BM65" s="127">
        <f>IF($BJ65="","",IFERROR(IF(ROUND(VLOOKUP($BJ65,DADOS!$CL$5:$CM$10,2,FALSE)*IF($BK65="",1,VLOOKUP($BK65,DADOS!$CO$5:$CP$7,2,FALSE))*IF($BL65="",1,VLOOKUP($BL65,DADOS!$CR$5:$CS$15,2,FALSE)),4)&gt;0,MAX(1,FLOOR(ROUND(VLOOKUP($BJ65,DADOS!$CL$5:$CM$10,2,FALSE)*IF($BK65="",1,VLOOKUP($BK65,DADOS!$CO$5:$CP$7,2,FALSE))*IF($BL65="",1,VLOOKUP($BL65,DADOS!$CR$5:$CS$15,2,FALSE)),4),1)),0),""))</f>
        <v/>
      </c>
      <c r="BN65" s="123" t="n"/>
      <c r="BO65" s="133" t="n"/>
      <c r="BP65" s="133" t="n"/>
      <c r="BQ65" s="127" t="n"/>
      <c r="BR65" s="127" t="n"/>
      <c r="BS65" s="127">
        <f>IF($BP65="","",IFERROR(IF(ROUND(VLOOKUP($BP65,DADOS!$CL$5:$CM$10,2,FALSE)*IF($BQ65="",1,VLOOKUP($BQ65,DADOS!$CO$5:$CP$7,2,FALSE))*IF($BR65="",1,VLOOKUP($BR65,DADOS!$CR$5:$CS$15,2,FALSE)),4)&gt;0,MAX(1,FLOOR(ROUND(VLOOKUP($BP65,DADOS!$CL$5:$CM$10,2,FALSE)*IF($BQ65="",1,VLOOKUP($BQ65,DADOS!$CO$5:$CP$7,2,FALSE))*IF($BR65="",1,VLOOKUP($BR65,DADOS!$CR$5:$CS$15,2,FALSE)),4),1)),0),""))</f>
        <v/>
      </c>
      <c r="BT65" s="123" t="n"/>
    </row>
    <row r="66" outlineLevel="1">
      <c r="A66" s="8" t="n"/>
      <c r="B66" s="14" t="n"/>
      <c r="C66" s="123" t="n"/>
      <c r="D66" s="127" t="b">
        <v>0</v>
      </c>
      <c r="E66" s="133" t="inlineStr">
        <is>
          <t>Machadinha</t>
        </is>
      </c>
      <c r="F66" s="16" t="n"/>
      <c r="G66" s="16" t="n"/>
      <c r="H66" s="16" t="n"/>
      <c r="I66" s="16" t="n"/>
      <c r="J66" s="16" t="n"/>
      <c r="K66" s="16" t="n"/>
      <c r="L66" s="17" t="n"/>
      <c r="M66" s="127" t="b">
        <v>0</v>
      </c>
      <c r="N66" s="133" t="inlineStr">
        <is>
          <t>Kunai</t>
        </is>
      </c>
      <c r="O66" s="16" t="n"/>
      <c r="P66" s="16" t="n"/>
      <c r="Q66" s="16" t="n"/>
      <c r="R66" s="16" t="n"/>
      <c r="S66" s="16" t="n"/>
      <c r="T66" s="16" t="n"/>
      <c r="U66" s="17" t="n"/>
      <c r="V66" s="55" t="b">
        <v>0</v>
      </c>
      <c r="W66" s="55" t="inlineStr">
        <is>
          <t>BALESTRA</t>
        </is>
      </c>
      <c r="X66" s="16" t="n"/>
      <c r="Y66" s="16" t="n"/>
      <c r="Z66" s="16" t="n"/>
      <c r="AA66" s="16" t="n"/>
      <c r="AB66" s="16" t="n"/>
      <c r="AC66" s="16" t="n"/>
      <c r="AD66" s="17" t="n"/>
      <c r="AE66" s="55" t="b">
        <v>0</v>
      </c>
      <c r="AF66" s="55" t="inlineStr">
        <is>
          <t>MANOPLA</t>
        </is>
      </c>
      <c r="AG66" s="16" t="n"/>
      <c r="AH66" s="16" t="n"/>
      <c r="AI66" s="16" t="n"/>
      <c r="AJ66" s="16" t="n"/>
      <c r="AK66" s="16" t="n"/>
      <c r="AL66" s="17" t="n"/>
      <c r="AM66" s="55" t="b">
        <v>0</v>
      </c>
      <c r="AN66" s="55" t="inlineStr">
        <is>
          <t>YUMI</t>
        </is>
      </c>
      <c r="AO66" s="16" t="n"/>
      <c r="AP66" s="16" t="n"/>
      <c r="AQ66" s="16" t="n"/>
      <c r="AR66" s="16" t="n"/>
      <c r="AS66" s="16" t="n"/>
      <c r="AT66" s="17" t="n"/>
      <c r="AU66" s="123" t="n"/>
      <c r="AV66" s="123" t="n"/>
      <c r="AW66" s="133" t="n"/>
      <c r="AX66" s="133" t="n"/>
      <c r="AY66" s="127" t="n"/>
      <c r="AZ66" s="127" t="n"/>
      <c r="BA66" s="127">
        <f>IF($AX66="","",IFERROR(IF(ROUND(VLOOKUP($AX66,DADOS!$CL$5:$CM$10,2,FALSE)*IF($AY66="",1,VLOOKUP($AY66,DADOS!$CO$5:$CP$7,2,FALSE))*IF($AZ66="",1,VLOOKUP($AZ66,DADOS!$CR$5:$CS$15,2,FALSE)),4)&gt;0,MAX(1,FLOOR(ROUND(VLOOKUP($AX66,DADOS!$CL$5:$CM$10,2,FALSE)*IF($AY66="",1,VLOOKUP($AY66,DADOS!$CO$5:$CP$7,2,FALSE))*IF($AZ66="",1,VLOOKUP($AZ66,DADOS!$CR$5:$CS$15,2,FALSE)),4),1)),0),""))</f>
        <v/>
      </c>
      <c r="BB66" s="123" t="n"/>
      <c r="BC66" s="133" t="n"/>
      <c r="BD66" s="133" t="n"/>
      <c r="BE66" s="127" t="n"/>
      <c r="BF66" s="127" t="n"/>
      <c r="BG66" s="127">
        <f>IF($BD66="","",IFERROR(IF(ROUND(VLOOKUP($BD66,DADOS!$CL$5:$CM$10,2,FALSE)*IF($BE66="",1,VLOOKUP($BE66,DADOS!$CO$5:$CP$7,2,FALSE))*IF($BF66="",1,VLOOKUP($BF66,DADOS!$CR$5:$CS$15,2,FALSE)),4)&gt;0,MAX(1,FLOOR(ROUND(VLOOKUP($BD66,DADOS!$CL$5:$CM$10,2,FALSE)*IF($BE66="",1,VLOOKUP($BE66,DADOS!$CO$5:$CP$7,2,FALSE))*IF($BF66="",1,VLOOKUP($BF66,DADOS!$CR$5:$CS$15,2,FALSE)),4),1)),0),""))</f>
        <v/>
      </c>
      <c r="BH66" s="123" t="n"/>
      <c r="BI66" s="133" t="n"/>
      <c r="BJ66" s="133" t="n"/>
      <c r="BK66" s="127" t="n"/>
      <c r="BL66" s="127" t="n"/>
      <c r="BM66" s="127">
        <f>IF($BJ66="","",IFERROR(IF(ROUND(VLOOKUP($BJ66,DADOS!$CL$5:$CM$10,2,FALSE)*IF($BK66="",1,VLOOKUP($BK66,DADOS!$CO$5:$CP$7,2,FALSE))*IF($BL66="",1,VLOOKUP($BL66,DADOS!$CR$5:$CS$15,2,FALSE)),4)&gt;0,MAX(1,FLOOR(ROUND(VLOOKUP($BJ66,DADOS!$CL$5:$CM$10,2,FALSE)*IF($BK66="",1,VLOOKUP($BK66,DADOS!$CO$5:$CP$7,2,FALSE))*IF($BL66="",1,VLOOKUP($BL66,DADOS!$CR$5:$CS$15,2,FALSE)),4),1)),0),""))</f>
        <v/>
      </c>
      <c r="BN66" s="123" t="n"/>
      <c r="BO66" s="133" t="n"/>
      <c r="BP66" s="133" t="n"/>
      <c r="BQ66" s="127" t="n"/>
      <c r="BR66" s="127" t="n"/>
      <c r="BS66" s="127">
        <f>IF($BP66="","",IFERROR(IF(ROUND(VLOOKUP($BP66,DADOS!$CL$5:$CM$10,2,FALSE)*IF($BQ66="",1,VLOOKUP($BQ66,DADOS!$CO$5:$CP$7,2,FALSE))*IF($BR66="",1,VLOOKUP($BR66,DADOS!$CR$5:$CS$15,2,FALSE)),4)&gt;0,MAX(1,FLOOR(ROUND(VLOOKUP($BP66,DADOS!$CL$5:$CM$10,2,FALSE)*IF($BQ66="",1,VLOOKUP($BQ66,DADOS!$CO$5:$CP$7,2,FALSE))*IF($BR66="",1,VLOOKUP($BR66,DADOS!$CR$5:$CS$15,2,FALSE)),4),1)),0),""))</f>
        <v/>
      </c>
      <c r="BT66" s="123" t="n"/>
    </row>
    <row r="67" outlineLevel="1">
      <c r="A67" s="8" t="n"/>
      <c r="B67" s="14" t="n"/>
      <c r="C67" s="123" t="n"/>
      <c r="D67" s="127" t="b">
        <v>0</v>
      </c>
      <c r="E67" s="133" t="inlineStr">
        <is>
          <t>Machado</t>
        </is>
      </c>
      <c r="F67" s="16" t="n"/>
      <c r="G67" s="16" t="n"/>
      <c r="H67" s="16" t="n"/>
      <c r="I67" s="16" t="n"/>
      <c r="J67" s="16" t="n"/>
      <c r="K67" s="16" t="n"/>
      <c r="L67" s="17" t="n"/>
      <c r="M67" s="127" t="b">
        <v>0</v>
      </c>
      <c r="N67" s="133" t="inlineStr">
        <is>
          <t>Shuriken</t>
        </is>
      </c>
      <c r="O67" s="16" t="n"/>
      <c r="P67" s="16" t="n"/>
      <c r="Q67" s="16" t="n"/>
      <c r="R67" s="16" t="n"/>
      <c r="S67" s="16" t="n"/>
      <c r="T67" s="16" t="n"/>
      <c r="U67" s="17" t="n"/>
      <c r="V67" s="127" t="b">
        <v>0</v>
      </c>
      <c r="W67" s="133" t="inlineStr">
        <is>
          <t>Besta</t>
        </is>
      </c>
      <c r="X67" s="16" t="n"/>
      <c r="Y67" s="16" t="n"/>
      <c r="Z67" s="16" t="n"/>
      <c r="AA67" s="16" t="n"/>
      <c r="AB67" s="16" t="n"/>
      <c r="AC67" s="16" t="n"/>
      <c r="AD67" s="17" t="n"/>
      <c r="AE67" s="127" t="b">
        <v>0</v>
      </c>
      <c r="AF67" s="133" t="inlineStr">
        <is>
          <t>Soqueira</t>
        </is>
      </c>
      <c r="AG67" s="16" t="n"/>
      <c r="AH67" s="16" t="n"/>
      <c r="AI67" s="16" t="n"/>
      <c r="AJ67" s="16" t="n"/>
      <c r="AK67" s="16" t="n"/>
      <c r="AL67" s="17" t="n"/>
      <c r="AM67" s="127" t="b">
        <v>0</v>
      </c>
      <c r="AN67" s="133" t="inlineStr">
        <is>
          <t>Daikyū</t>
        </is>
      </c>
      <c r="AO67" s="16" t="n"/>
      <c r="AP67" s="16" t="n"/>
      <c r="AQ67" s="16" t="n"/>
      <c r="AR67" s="16" t="n"/>
      <c r="AS67" s="16" t="n"/>
      <c r="AT67" s="17" t="n"/>
      <c r="AU67" s="123" t="n"/>
      <c r="AV67" s="123" t="n"/>
      <c r="AW67" s="133" t="n"/>
      <c r="AX67" s="133" t="n"/>
      <c r="AY67" s="127" t="n"/>
      <c r="AZ67" s="127" t="n"/>
      <c r="BA67" s="127">
        <f>IF($AX67="","",IFERROR(IF(ROUND(VLOOKUP($AX67,DADOS!$CL$5:$CM$10,2,FALSE)*IF($AY67="",1,VLOOKUP($AY67,DADOS!$CO$5:$CP$7,2,FALSE))*IF($AZ67="",1,VLOOKUP($AZ67,DADOS!$CR$5:$CS$15,2,FALSE)),4)&gt;0,MAX(1,FLOOR(ROUND(VLOOKUP($AX67,DADOS!$CL$5:$CM$10,2,FALSE)*IF($AY67="",1,VLOOKUP($AY67,DADOS!$CO$5:$CP$7,2,FALSE))*IF($AZ67="",1,VLOOKUP($AZ67,DADOS!$CR$5:$CS$15,2,FALSE)),4),1)),0),""))</f>
        <v/>
      </c>
      <c r="BB67" s="123" t="n"/>
      <c r="BC67" s="133" t="n"/>
      <c r="BD67" s="133" t="n"/>
      <c r="BE67" s="127" t="n"/>
      <c r="BF67" s="127" t="n"/>
      <c r="BG67" s="127">
        <f>IF($BD67="","",IFERROR(IF(ROUND(VLOOKUP($BD67,DADOS!$CL$5:$CM$10,2,FALSE)*IF($BE67="",1,VLOOKUP($BE67,DADOS!$CO$5:$CP$7,2,FALSE))*IF($BF67="",1,VLOOKUP($BF67,DADOS!$CR$5:$CS$15,2,FALSE)),4)&gt;0,MAX(1,FLOOR(ROUND(VLOOKUP($BD67,DADOS!$CL$5:$CM$10,2,FALSE)*IF($BE67="",1,VLOOKUP($BE67,DADOS!$CO$5:$CP$7,2,FALSE))*IF($BF67="",1,VLOOKUP($BF67,DADOS!$CR$5:$CS$15,2,FALSE)),4),1)),0),""))</f>
        <v/>
      </c>
      <c r="BH67" s="123" t="n"/>
      <c r="BI67" s="133" t="n"/>
      <c r="BJ67" s="133" t="n"/>
      <c r="BK67" s="127" t="n"/>
      <c r="BL67" s="127" t="n"/>
      <c r="BM67" s="127">
        <f>IF($BJ67="","",IFERROR(IF(ROUND(VLOOKUP($BJ67,DADOS!$CL$5:$CM$10,2,FALSE)*IF($BK67="",1,VLOOKUP($BK67,DADOS!$CO$5:$CP$7,2,FALSE))*IF($BL67="",1,VLOOKUP($BL67,DADOS!$CR$5:$CS$15,2,FALSE)),4)&gt;0,MAX(1,FLOOR(ROUND(VLOOKUP($BJ67,DADOS!$CL$5:$CM$10,2,FALSE)*IF($BK67="",1,VLOOKUP($BK67,DADOS!$CO$5:$CP$7,2,FALSE))*IF($BL67="",1,VLOOKUP($BL67,DADOS!$CR$5:$CS$15,2,FALSE)),4),1)),0),""))</f>
        <v/>
      </c>
      <c r="BN67" s="123" t="n"/>
      <c r="BO67" s="133" t="n"/>
      <c r="BP67" s="133" t="n"/>
      <c r="BQ67" s="127" t="n"/>
      <c r="BR67" s="127" t="n"/>
      <c r="BS67" s="127">
        <f>IF($BP67="","",IFERROR(IF(ROUND(VLOOKUP($BP67,DADOS!$CL$5:$CM$10,2,FALSE)*IF($BQ67="",1,VLOOKUP($BQ67,DADOS!$CO$5:$CP$7,2,FALSE))*IF($BR67="",1,VLOOKUP($BR67,DADOS!$CR$5:$CS$15,2,FALSE)),4)&gt;0,MAX(1,FLOOR(ROUND(VLOOKUP($BP67,DADOS!$CL$5:$CM$10,2,FALSE)*IF($BQ67="",1,VLOOKUP($BQ67,DADOS!$CO$5:$CP$7,2,FALSE))*IF($BR67="",1,VLOOKUP($BR67,DADOS!$CR$5:$CS$15,2,FALSE)),4),1)),0),""))</f>
        <v/>
      </c>
      <c r="BT67" s="123" t="n"/>
    </row>
    <row r="68" outlineLevel="1">
      <c r="A68" s="8" t="n"/>
      <c r="B68" s="14" t="n"/>
      <c r="C68" s="123" t="n"/>
      <c r="D68" s="127" t="b">
        <v>0</v>
      </c>
      <c r="E68" s="133" t="inlineStr">
        <is>
          <t>Machado de Guerra</t>
        </is>
      </c>
      <c r="F68" s="16" t="n"/>
      <c r="G68" s="16" t="n"/>
      <c r="H68" s="16" t="n"/>
      <c r="I68" s="16" t="n"/>
      <c r="J68" s="16" t="n"/>
      <c r="K68" s="16" t="n"/>
      <c r="L68" s="17" t="n"/>
      <c r="M68" s="127" t="b">
        <v>0</v>
      </c>
      <c r="N68" s="133" t="inlineStr">
        <is>
          <t>Tessen</t>
        </is>
      </c>
      <c r="O68" s="16" t="n"/>
      <c r="P68" s="16" t="n"/>
      <c r="Q68" s="16" t="n"/>
      <c r="R68" s="16" t="n"/>
      <c r="S68" s="16" t="n"/>
      <c r="T68" s="16" t="n"/>
      <c r="U68" s="17" t="n"/>
      <c r="V68" s="127" t="b">
        <v>0</v>
      </c>
      <c r="W68" s="133" t="inlineStr">
        <is>
          <t>Besta de Uma Mão</t>
        </is>
      </c>
      <c r="X68" s="16" t="n"/>
      <c r="Y68" s="16" t="n"/>
      <c r="Z68" s="16" t="n"/>
      <c r="AA68" s="16" t="n"/>
      <c r="AB68" s="16" t="n"/>
      <c r="AC68" s="16" t="n"/>
      <c r="AD68" s="17" t="n"/>
      <c r="AE68" s="127" t="b">
        <v>0</v>
      </c>
      <c r="AF68" s="133" t="inlineStr">
        <is>
          <t>Tekko</t>
        </is>
      </c>
      <c r="AG68" s="16" t="n"/>
      <c r="AH68" s="16" t="n"/>
      <c r="AI68" s="16" t="n"/>
      <c r="AJ68" s="16" t="n"/>
      <c r="AK68" s="16" t="n"/>
      <c r="AL68" s="17" t="n"/>
      <c r="AM68" s="127" t="b">
        <v>0</v>
      </c>
      <c r="AN68" s="133" t="inlineStr">
        <is>
          <t>Hankyū</t>
        </is>
      </c>
      <c r="AO68" s="16" t="n"/>
      <c r="AP68" s="16" t="n"/>
      <c r="AQ68" s="16" t="n"/>
      <c r="AR68" s="16" t="n"/>
      <c r="AS68" s="16" t="n"/>
      <c r="AT68" s="17" t="n"/>
      <c r="AU68" s="123" t="n"/>
      <c r="AV68" s="123" t="n"/>
      <c r="AW68" s="133" t="n"/>
      <c r="AX68" s="133" t="n"/>
      <c r="AY68" s="127" t="n"/>
      <c r="AZ68" s="127" t="n"/>
      <c r="BA68" s="127">
        <f>IF($AX68="","",IFERROR(IF(ROUND(VLOOKUP($AX68,DADOS!$CL$5:$CM$10,2,FALSE)*IF($AY68="",1,VLOOKUP($AY68,DADOS!$CO$5:$CP$7,2,FALSE))*IF($AZ68="",1,VLOOKUP($AZ68,DADOS!$CR$5:$CS$15,2,FALSE)),4)&gt;0,MAX(1,FLOOR(ROUND(VLOOKUP($AX68,DADOS!$CL$5:$CM$10,2,FALSE)*IF($AY68="",1,VLOOKUP($AY68,DADOS!$CO$5:$CP$7,2,FALSE))*IF($AZ68="",1,VLOOKUP($AZ68,DADOS!$CR$5:$CS$15,2,FALSE)),4),1)),0),""))</f>
        <v/>
      </c>
      <c r="BB68" s="123" t="n"/>
      <c r="BC68" s="133" t="n"/>
      <c r="BD68" s="133" t="n"/>
      <c r="BE68" s="127" t="n"/>
      <c r="BF68" s="127" t="n"/>
      <c r="BG68" s="127">
        <f>IF($BD68="","",IFERROR(IF(ROUND(VLOOKUP($BD68,DADOS!$CL$5:$CM$10,2,FALSE)*IF($BE68="",1,VLOOKUP($BE68,DADOS!$CO$5:$CP$7,2,FALSE))*IF($BF68="",1,VLOOKUP($BF68,DADOS!$CR$5:$CS$15,2,FALSE)),4)&gt;0,MAX(1,FLOOR(ROUND(VLOOKUP($BD68,DADOS!$CL$5:$CM$10,2,FALSE)*IF($BE68="",1,VLOOKUP($BE68,DADOS!$CO$5:$CP$7,2,FALSE))*IF($BF68="",1,VLOOKUP($BF68,DADOS!$CR$5:$CS$15,2,FALSE)),4),1)),0),""))</f>
        <v/>
      </c>
      <c r="BH68" s="123" t="n"/>
      <c r="BI68" s="133" t="n"/>
      <c r="BJ68" s="133" t="n"/>
      <c r="BK68" s="127" t="n"/>
      <c r="BL68" s="127" t="n"/>
      <c r="BM68" s="127">
        <f>IF($BJ68="","",IFERROR(IF(ROUND(VLOOKUP($BJ68,DADOS!$CL$5:$CM$10,2,FALSE)*IF($BK68="",1,VLOOKUP($BK68,DADOS!$CO$5:$CP$7,2,FALSE))*IF($BL68="",1,VLOOKUP($BL68,DADOS!$CR$5:$CS$15,2,FALSE)),4)&gt;0,MAX(1,FLOOR(ROUND(VLOOKUP($BJ68,DADOS!$CL$5:$CM$10,2,FALSE)*IF($BK68="",1,VLOOKUP($BK68,DADOS!$CO$5:$CP$7,2,FALSE))*IF($BL68="",1,VLOOKUP($BL68,DADOS!$CR$5:$CS$15,2,FALSE)),4),1)),0),""))</f>
        <v/>
      </c>
      <c r="BN68" s="123" t="n"/>
      <c r="BO68" s="133" t="n"/>
      <c r="BP68" s="133" t="n"/>
      <c r="BQ68" s="127" t="n"/>
      <c r="BR68" s="127" t="n"/>
      <c r="BS68" s="127">
        <f>IF($BP68="","",IFERROR(IF(ROUND(VLOOKUP($BP68,DADOS!$CL$5:$CM$10,2,FALSE)*IF($BQ68="",1,VLOOKUP($BQ68,DADOS!$CO$5:$CP$7,2,FALSE))*IF($BR68="",1,VLOOKUP($BR68,DADOS!$CR$5:$CS$15,2,FALSE)),4)&gt;0,MAX(1,FLOOR(ROUND(VLOOKUP($BP68,DADOS!$CL$5:$CM$10,2,FALSE)*IF($BQ68="",1,VLOOKUP($BQ68,DADOS!$CO$5:$CP$7,2,FALSE))*IF($BR68="",1,VLOOKUP($BR68,DADOS!$CR$5:$CS$15,2,FALSE)),4),1)),0),""))</f>
        <v/>
      </c>
      <c r="BT68" s="123" t="n"/>
    </row>
    <row r="69">
      <c r="A69" s="8" t="n"/>
      <c r="B69" s="14" t="n"/>
      <c r="C69" s="123" t="n"/>
      <c r="D69" s="123" t="n"/>
      <c r="E69" s="123" t="n"/>
      <c r="F69" s="123" t="n"/>
      <c r="G69" s="123" t="n"/>
      <c r="H69" s="123" t="n"/>
      <c r="I69" s="123" t="n"/>
      <c r="J69" s="123" t="n"/>
      <c r="K69" s="123" t="n"/>
      <c r="L69" s="123" t="n"/>
      <c r="M69" s="123" t="n"/>
      <c r="N69" s="123" t="n"/>
      <c r="O69" s="123" t="n"/>
      <c r="P69" s="123" t="n"/>
      <c r="Q69" s="123" t="n"/>
      <c r="R69" s="123" t="n"/>
      <c r="S69" s="123" t="n"/>
      <c r="T69" s="123" t="n"/>
      <c r="U69" s="123" t="n"/>
      <c r="V69" s="123" t="n"/>
      <c r="W69" s="123" t="n"/>
      <c r="X69" s="123" t="n"/>
      <c r="Y69" s="123" t="n"/>
      <c r="Z69" s="123" t="n"/>
      <c r="AA69" s="123" t="n"/>
      <c r="AB69" s="123" t="n"/>
      <c r="AC69" s="123" t="n"/>
      <c r="AD69" s="123" t="n"/>
      <c r="AE69" s="123" t="n"/>
      <c r="AF69" s="123" t="n"/>
      <c r="AG69" s="123" t="n"/>
      <c r="AH69" s="123" t="n"/>
      <c r="AI69" s="123" t="n"/>
      <c r="AJ69" s="123" t="n"/>
      <c r="AK69" s="123" t="n"/>
      <c r="AL69" s="123" t="n"/>
      <c r="AM69" s="123" t="n"/>
      <c r="AN69" s="123" t="n"/>
      <c r="AO69" s="123" t="n"/>
      <c r="AP69" s="123" t="n"/>
      <c r="AQ69" s="123" t="n"/>
      <c r="AR69" s="123" t="n"/>
      <c r="AS69" s="123" t="n"/>
      <c r="AT69" s="123" t="n"/>
      <c r="AU69" s="123" t="n"/>
      <c r="AV69" s="123" t="n"/>
      <c r="AW69" s="133" t="n"/>
      <c r="AX69" s="133" t="n"/>
      <c r="AY69" s="127" t="n"/>
      <c r="AZ69" s="127" t="n"/>
      <c r="BA69" s="127">
        <f>IF($AX69="","",IFERROR(IF(ROUND(VLOOKUP($AX69,DADOS!$CL$5:$CM$10,2,FALSE)*IF($AY69="",1,VLOOKUP($AY69,DADOS!$CO$5:$CP$7,2,FALSE))*IF($AZ69="",1,VLOOKUP($AZ69,DADOS!$CR$5:$CS$15,2,FALSE)),4)&gt;0,MAX(1,FLOOR(ROUND(VLOOKUP($AX69,DADOS!$CL$5:$CM$10,2,FALSE)*IF($AY69="",1,VLOOKUP($AY69,DADOS!$CO$5:$CP$7,2,FALSE))*IF($AZ69="",1,VLOOKUP($AZ69,DADOS!$CR$5:$CS$15,2,FALSE)),4),1)),0),""))</f>
        <v/>
      </c>
      <c r="BB69" s="123" t="n"/>
      <c r="BC69" s="133" t="n"/>
      <c r="BD69" s="133" t="n"/>
      <c r="BE69" s="127" t="n"/>
      <c r="BF69" s="127" t="n"/>
      <c r="BG69" s="127">
        <f>IF($BD69="","",IFERROR(IF(ROUND(VLOOKUP($BD69,DADOS!$CL$5:$CM$10,2,FALSE)*IF($BE69="",1,VLOOKUP($BE69,DADOS!$CO$5:$CP$7,2,FALSE))*IF($BF69="",1,VLOOKUP($BF69,DADOS!$CR$5:$CS$15,2,FALSE)),4)&gt;0,MAX(1,FLOOR(ROUND(VLOOKUP($BD69,DADOS!$CL$5:$CM$10,2,FALSE)*IF($BE69="",1,VLOOKUP($BE69,DADOS!$CO$5:$CP$7,2,FALSE))*IF($BF69="",1,VLOOKUP($BF69,DADOS!$CR$5:$CS$15,2,FALSE)),4),1)),0),""))</f>
        <v/>
      </c>
      <c r="BH69" s="123" t="n"/>
      <c r="BI69" s="133" t="n"/>
      <c r="BJ69" s="133" t="n"/>
      <c r="BK69" s="127" t="n"/>
      <c r="BL69" s="127" t="n"/>
      <c r="BM69" s="127">
        <f>IF($BJ69="","",IFERROR(IF(ROUND(VLOOKUP($BJ69,DADOS!$CL$5:$CM$10,2,FALSE)*IF($BK69="",1,VLOOKUP($BK69,DADOS!$CO$5:$CP$7,2,FALSE))*IF($BL69="",1,VLOOKUP($BL69,DADOS!$CR$5:$CS$15,2,FALSE)),4)&gt;0,MAX(1,FLOOR(ROUND(VLOOKUP($BJ69,DADOS!$CL$5:$CM$10,2,FALSE)*IF($BK69="",1,VLOOKUP($BK69,DADOS!$CO$5:$CP$7,2,FALSE))*IF($BL69="",1,VLOOKUP($BL69,DADOS!$CR$5:$CS$15,2,FALSE)),4),1)),0),""))</f>
        <v/>
      </c>
      <c r="BN69" s="123" t="n"/>
      <c r="BO69" s="133" t="n"/>
      <c r="BP69" s="133" t="n"/>
      <c r="BQ69" s="127" t="n"/>
      <c r="BR69" s="127" t="n"/>
      <c r="BS69" s="127">
        <f>IF($BP69="","",IFERROR(IF(ROUND(VLOOKUP($BP69,DADOS!$CL$5:$CM$10,2,FALSE)*IF($BQ69="",1,VLOOKUP($BQ69,DADOS!$CO$5:$CP$7,2,FALSE))*IF($BR69="",1,VLOOKUP($BR69,DADOS!$CR$5:$CS$15,2,FALSE)),4)&gt;0,MAX(1,FLOOR(ROUND(VLOOKUP($BP69,DADOS!$CL$5:$CM$10,2,FALSE)*IF($BQ69="",1,VLOOKUP($BQ69,DADOS!$CO$5:$CP$7,2,FALSE))*IF($BR69="",1,VLOOKUP($BR69,DADOS!$CR$5:$CS$15,2,FALSE)),4),1)),0),""))</f>
        <v/>
      </c>
      <c r="BT69" s="123" t="n"/>
    </row>
    <row r="70">
      <c r="A70" s="8" t="n"/>
      <c r="B70" s="14" t="n"/>
      <c r="C70" s="123" t="n"/>
      <c r="D70" s="55" t="inlineStr">
        <is>
          <t>CARGA · LIMITE 5 + FORÇA</t>
        </is>
      </c>
      <c r="E70" s="16" t="n"/>
      <c r="F70" s="16" t="n"/>
      <c r="G70" s="16" t="n"/>
      <c r="H70" s="16" t="n"/>
      <c r="I70" s="16" t="n"/>
      <c r="J70" s="16" t="n"/>
      <c r="K70" s="17" t="n"/>
      <c r="L70" s="55" t="inlineStr">
        <is>
          <t>Buff/Debuff</t>
        </is>
      </c>
      <c r="M70" s="17" t="n"/>
      <c r="N70" s="123" t="n"/>
      <c r="O70" s="55" t="inlineStr">
        <is>
          <t>IENES</t>
        </is>
      </c>
      <c r="P70" s="16" t="n"/>
      <c r="Q70" s="16" t="n"/>
      <c r="R70" s="16" t="n"/>
      <c r="S70" s="16" t="n"/>
      <c r="T70" s="16" t="n"/>
      <c r="U70" s="17" t="n"/>
      <c r="V70" s="123" t="n"/>
      <c r="W70" s="55" t="inlineStr">
        <is>
          <t>SALÁRIO POR MÊS</t>
        </is>
      </c>
      <c r="X70" s="16" t="n"/>
      <c r="Y70" s="16" t="n"/>
      <c r="Z70" s="16" t="n"/>
      <c r="AA70" s="16" t="n"/>
      <c r="AB70" s="16" t="n"/>
      <c r="AC70" s="16" t="n"/>
      <c r="AD70" s="17" t="n"/>
      <c r="AE70" s="123" t="n"/>
      <c r="AF70" s="55" t="inlineStr">
        <is>
          <t>REQUISITO DE FORÇA</t>
        </is>
      </c>
      <c r="AG70" s="16" t="n"/>
      <c r="AH70" s="16" t="n"/>
      <c r="AI70" s="16" t="n"/>
      <c r="AJ70" s="16" t="n"/>
      <c r="AK70" s="16" t="n"/>
      <c r="AL70" s="17" t="n"/>
      <c r="AM70" s="123" t="n"/>
      <c r="AN70" s="55" t="inlineStr">
        <is>
          <t>SITUAÇÃO DO TRAJE</t>
        </is>
      </c>
      <c r="AO70" s="16" t="n"/>
      <c r="AP70" s="16" t="n"/>
      <c r="AQ70" s="16" t="n"/>
      <c r="AR70" s="16" t="n"/>
      <c r="AS70" s="16" t="n"/>
      <c r="AT70" s="17" t="n"/>
      <c r="AU70" s="123" t="n"/>
      <c r="AV70" s="123" t="n"/>
      <c r="AW70" s="133" t="n"/>
      <c r="AX70" s="133" t="n"/>
      <c r="AY70" s="127" t="n"/>
      <c r="AZ70" s="127" t="n"/>
      <c r="BA70" s="127">
        <f>IF($AX70="","",IFERROR(IF(ROUND(VLOOKUP($AX70,DADOS!$CL$5:$CM$10,2,FALSE)*IF($AY70="",1,VLOOKUP($AY70,DADOS!$CO$5:$CP$7,2,FALSE))*IF($AZ70="",1,VLOOKUP($AZ70,DADOS!$CR$5:$CS$15,2,FALSE)),4)&gt;0,MAX(1,FLOOR(ROUND(VLOOKUP($AX70,DADOS!$CL$5:$CM$10,2,FALSE)*IF($AY70="",1,VLOOKUP($AY70,DADOS!$CO$5:$CP$7,2,FALSE))*IF($AZ70="",1,VLOOKUP($AZ70,DADOS!$CR$5:$CS$15,2,FALSE)),4),1)),0),""))</f>
        <v/>
      </c>
      <c r="BB70" s="123" t="n"/>
      <c r="BC70" s="133" t="n"/>
      <c r="BD70" s="133" t="n"/>
      <c r="BE70" s="127" t="n"/>
      <c r="BF70" s="127" t="n"/>
      <c r="BG70" s="127">
        <f>IF($BD70="","",IFERROR(IF(ROUND(VLOOKUP($BD70,DADOS!$CL$5:$CM$10,2,FALSE)*IF($BE70="",1,VLOOKUP($BE70,DADOS!$CO$5:$CP$7,2,FALSE))*IF($BF70="",1,VLOOKUP($BF70,DADOS!$CR$5:$CS$15,2,FALSE)),4)&gt;0,MAX(1,FLOOR(ROUND(VLOOKUP($BD70,DADOS!$CL$5:$CM$10,2,FALSE)*IF($BE70="",1,VLOOKUP($BE70,DADOS!$CO$5:$CP$7,2,FALSE))*IF($BF70="",1,VLOOKUP($BF70,DADOS!$CR$5:$CS$15,2,FALSE)),4),1)),0),""))</f>
        <v/>
      </c>
      <c r="BH70" s="123" t="n"/>
      <c r="BI70" s="133" t="n"/>
      <c r="BJ70" s="133" t="n"/>
      <c r="BK70" s="127" t="n"/>
      <c r="BL70" s="127" t="n"/>
      <c r="BM70" s="127">
        <f>IF($BJ70="","",IFERROR(IF(ROUND(VLOOKUP($BJ70,DADOS!$CL$5:$CM$10,2,FALSE)*IF($BK70="",1,VLOOKUP($BK70,DADOS!$CO$5:$CP$7,2,FALSE))*IF($BL70="",1,VLOOKUP($BL70,DADOS!$CR$5:$CS$15,2,FALSE)),4)&gt;0,MAX(1,FLOOR(ROUND(VLOOKUP($BJ70,DADOS!$CL$5:$CM$10,2,FALSE)*IF($BK70="",1,VLOOKUP($BK70,DADOS!$CO$5:$CP$7,2,FALSE))*IF($BL70="",1,VLOOKUP($BL70,DADOS!$CR$5:$CS$15,2,FALSE)),4),1)),0),""))</f>
        <v/>
      </c>
      <c r="BN70" s="123" t="n"/>
      <c r="BO70" s="133" t="n"/>
      <c r="BP70" s="133" t="n"/>
      <c r="BQ70" s="127" t="n"/>
      <c r="BR70" s="127" t="n"/>
      <c r="BS70" s="127">
        <f>IF($BP70="","",IFERROR(IF(ROUND(VLOOKUP($BP70,DADOS!$CL$5:$CM$10,2,FALSE)*IF($BQ70="",1,VLOOKUP($BQ70,DADOS!$CO$5:$CP$7,2,FALSE))*IF($BR70="",1,VLOOKUP($BR70,DADOS!$CR$5:$CS$15,2,FALSE)),4)&gt;0,MAX(1,FLOOR(ROUND(VLOOKUP($BP70,DADOS!$CL$5:$CM$10,2,FALSE)*IF($BQ70="",1,VLOOKUP($BQ70,DADOS!$CO$5:$CP$7,2,FALSE))*IF($BR70="",1,VLOOKUP($BR70,DADOS!$CR$5:$CS$15,2,FALSE)),4),1)),0),""))</f>
        <v/>
      </c>
      <c r="BT70" s="123" t="n"/>
    </row>
    <row r="71">
      <c r="A71" s="8" t="n"/>
      <c r="B71" s="14" t="n"/>
      <c r="C71" s="123" t="n"/>
      <c r="D71" s="96">
        <f>DADOS!$CZ$40&amp;" de "&amp;DADOS!$CZ$41&amp;IF(DADOS!$CZ$42=1," · acima","")</f>
        <v/>
      </c>
      <c r="E71" s="19" t="n"/>
      <c r="F71" s="19" t="n"/>
      <c r="G71" s="19" t="n"/>
      <c r="H71" s="20" t="n"/>
      <c r="I71" s="133">
        <f>IFERROR(SPARKLINE(MIN(DADOS!$CZ$40,DADOS!$CZ$41),{"charttype","bar";"max",DADOS!$CZ$41;"color1",IF(DADOS!$CZ$42=1,"#C2334D",DADOS!$CZ$51)}),"")</f>
        <v/>
      </c>
      <c r="J71" s="19" t="n"/>
      <c r="K71" s="20" t="n"/>
      <c r="L71" s="96" t="n">
        <v>0</v>
      </c>
      <c r="M71" s="20" t="n"/>
      <c r="N71" s="123" t="n"/>
      <c r="O71" s="149" t="n">
        <v>150000</v>
      </c>
      <c r="P71" s="19" t="n"/>
      <c r="Q71" s="19" t="n"/>
      <c r="R71" s="19" t="n"/>
      <c r="S71" s="19" t="n"/>
      <c r="T71" s="19" t="n"/>
      <c r="U71" s="20" t="n"/>
      <c r="V71" s="123" t="n"/>
      <c r="W71" s="96">
        <f>IFERROR(VLOOKUP($AB$11,DADOS!$CF$5:$CH$9,2,FALSE),"—")</f>
        <v/>
      </c>
      <c r="X71" s="19" t="n"/>
      <c r="Y71" s="19" t="n"/>
      <c r="Z71" s="19" t="n"/>
      <c r="AA71" s="19" t="n"/>
      <c r="AB71" s="19" t="n"/>
      <c r="AC71" s="19" t="n"/>
      <c r="AD71" s="20" t="n"/>
      <c r="AE71" s="123" t="n"/>
      <c r="AF71" s="85">
        <f>IF(DADOS!$CZ$36+DADOS!$CZ$37+DADOS!$CZ$38=0,"Cumprido","Não cumprido")</f>
        <v/>
      </c>
      <c r="AG71" s="19" t="n"/>
      <c r="AH71" s="19" t="n"/>
      <c r="AI71" s="19" t="n"/>
      <c r="AJ71" s="19" t="n"/>
      <c r="AK71" s="19" t="n"/>
      <c r="AL71" s="20" t="n"/>
      <c r="AM71" s="123" t="n"/>
      <c r="AN71" s="85" t="n"/>
      <c r="AO71" s="19" t="n"/>
      <c r="AP71" s="19" t="n"/>
      <c r="AQ71" s="19" t="n"/>
      <c r="AR71" s="19" t="n"/>
      <c r="AS71" s="19" t="n"/>
      <c r="AT71" s="20" t="n"/>
      <c r="AU71" s="123" t="n"/>
      <c r="AV71" s="123" t="n"/>
      <c r="AW71" s="133" t="n"/>
      <c r="AX71" s="133" t="n"/>
      <c r="AY71" s="127" t="n"/>
      <c r="AZ71" s="127" t="n"/>
      <c r="BA71" s="127">
        <f>IF($AX71="","",IFERROR(IF(ROUND(VLOOKUP($AX71,DADOS!$CL$5:$CM$10,2,FALSE)*IF($AY71="",1,VLOOKUP($AY71,DADOS!$CO$5:$CP$7,2,FALSE))*IF($AZ71="",1,VLOOKUP($AZ71,DADOS!$CR$5:$CS$15,2,FALSE)),4)&gt;0,MAX(1,FLOOR(ROUND(VLOOKUP($AX71,DADOS!$CL$5:$CM$10,2,FALSE)*IF($AY71="",1,VLOOKUP($AY71,DADOS!$CO$5:$CP$7,2,FALSE))*IF($AZ71="",1,VLOOKUP($AZ71,DADOS!$CR$5:$CS$15,2,FALSE)),4),1)),0),""))</f>
        <v/>
      </c>
      <c r="BB71" s="123" t="n"/>
      <c r="BC71" s="133" t="n"/>
      <c r="BD71" s="133" t="n"/>
      <c r="BE71" s="127" t="n"/>
      <c r="BF71" s="127" t="n"/>
      <c r="BG71" s="127">
        <f>IF($BD71="","",IFERROR(IF(ROUND(VLOOKUP($BD71,DADOS!$CL$5:$CM$10,2,FALSE)*IF($BE71="",1,VLOOKUP($BE71,DADOS!$CO$5:$CP$7,2,FALSE))*IF($BF71="",1,VLOOKUP($BF71,DADOS!$CR$5:$CS$15,2,FALSE)),4)&gt;0,MAX(1,FLOOR(ROUND(VLOOKUP($BD71,DADOS!$CL$5:$CM$10,2,FALSE)*IF($BE71="",1,VLOOKUP($BE71,DADOS!$CO$5:$CP$7,2,FALSE))*IF($BF71="",1,VLOOKUP($BF71,DADOS!$CR$5:$CS$15,2,FALSE)),4),1)),0),""))</f>
        <v/>
      </c>
      <c r="BH71" s="123" t="n"/>
      <c r="BI71" s="133" t="n"/>
      <c r="BJ71" s="133" t="n"/>
      <c r="BK71" s="127" t="n"/>
      <c r="BL71" s="127" t="n"/>
      <c r="BM71" s="127">
        <f>IF($BJ71="","",IFERROR(IF(ROUND(VLOOKUP($BJ71,DADOS!$CL$5:$CM$10,2,FALSE)*IF($BK71="",1,VLOOKUP($BK71,DADOS!$CO$5:$CP$7,2,FALSE))*IF($BL71="",1,VLOOKUP($BL71,DADOS!$CR$5:$CS$15,2,FALSE)),4)&gt;0,MAX(1,FLOOR(ROUND(VLOOKUP($BJ71,DADOS!$CL$5:$CM$10,2,FALSE)*IF($BK71="",1,VLOOKUP($BK71,DADOS!$CO$5:$CP$7,2,FALSE))*IF($BL71="",1,VLOOKUP($BL71,DADOS!$CR$5:$CS$15,2,FALSE)),4),1)),0),""))</f>
        <v/>
      </c>
      <c r="BN71" s="123" t="n"/>
      <c r="BO71" s="133" t="n"/>
      <c r="BP71" s="133" t="n"/>
      <c r="BQ71" s="127" t="n"/>
      <c r="BR71" s="127" t="n"/>
      <c r="BS71" s="127">
        <f>IF($BP71="","",IFERROR(IF(ROUND(VLOOKUP($BP71,DADOS!$CL$5:$CM$10,2,FALSE)*IF($BQ71="",1,VLOOKUP($BQ71,DADOS!$CO$5:$CP$7,2,FALSE))*IF($BR71="",1,VLOOKUP($BR71,DADOS!$CR$5:$CS$15,2,FALSE)),4)&gt;0,MAX(1,FLOOR(ROUND(VLOOKUP($BP71,DADOS!$CL$5:$CM$10,2,FALSE)*IF($BQ71="",1,VLOOKUP($BQ71,DADOS!$CO$5:$CP$7,2,FALSE))*IF($BR71="",1,VLOOKUP($BR71,DADOS!$CR$5:$CS$15,2,FALSE)),4),1)),0),""))</f>
        <v/>
      </c>
      <c r="BT71" s="123" t="n"/>
    </row>
    <row r="72">
      <c r="A72" s="8" t="n"/>
      <c r="B72" s="14" t="n"/>
      <c r="C72" s="123" t="n"/>
      <c r="D72" s="23" t="n"/>
      <c r="E72" s="24" t="n"/>
      <c r="F72" s="24" t="n"/>
      <c r="G72" s="24" t="n"/>
      <c r="H72" s="25" t="n"/>
      <c r="I72" s="23" t="n"/>
      <c r="J72" s="24" t="n"/>
      <c r="K72" s="25" t="n"/>
      <c r="L72" s="23" t="n"/>
      <c r="M72" s="25" t="n"/>
      <c r="N72" s="123" t="n"/>
      <c r="O72" s="23" t="n"/>
      <c r="P72" s="24" t="n"/>
      <c r="Q72" s="24" t="n"/>
      <c r="R72" s="24" t="n"/>
      <c r="S72" s="24" t="n"/>
      <c r="T72" s="24" t="n"/>
      <c r="U72" s="25" t="n"/>
      <c r="V72" s="123" t="n"/>
      <c r="W72" s="23" t="n"/>
      <c r="X72" s="24" t="n"/>
      <c r="Y72" s="24" t="n"/>
      <c r="Z72" s="24" t="n"/>
      <c r="AA72" s="24" t="n"/>
      <c r="AB72" s="24" t="n"/>
      <c r="AC72" s="24" t="n"/>
      <c r="AD72" s="25" t="n"/>
      <c r="AE72" s="123" t="n"/>
      <c r="AF72" s="23" t="n"/>
      <c r="AG72" s="24" t="n"/>
      <c r="AH72" s="24" t="n"/>
      <c r="AI72" s="24" t="n"/>
      <c r="AJ72" s="24" t="n"/>
      <c r="AK72" s="24" t="n"/>
      <c r="AL72" s="25" t="n"/>
      <c r="AM72" s="123" t="n"/>
      <c r="AN72" s="23" t="n"/>
      <c r="AO72" s="24" t="n"/>
      <c r="AP72" s="24" t="n"/>
      <c r="AQ72" s="24" t="n"/>
      <c r="AR72" s="24" t="n"/>
      <c r="AS72" s="24" t="n"/>
      <c r="AT72" s="25" t="n"/>
      <c r="AU72" s="123" t="n"/>
      <c r="AV72" s="123" t="n"/>
      <c r="AW72" s="133" t="n"/>
      <c r="AX72" s="133" t="n"/>
      <c r="AY72" s="127" t="n"/>
      <c r="AZ72" s="127" t="n"/>
      <c r="BA72" s="127">
        <f>IF($AX72="","",IFERROR(IF(ROUND(VLOOKUP($AX72,DADOS!$CL$5:$CM$10,2,FALSE)*IF($AY72="",1,VLOOKUP($AY72,DADOS!$CO$5:$CP$7,2,FALSE))*IF($AZ72="",1,VLOOKUP($AZ72,DADOS!$CR$5:$CS$15,2,FALSE)),4)&gt;0,MAX(1,FLOOR(ROUND(VLOOKUP($AX72,DADOS!$CL$5:$CM$10,2,FALSE)*IF($AY72="",1,VLOOKUP($AY72,DADOS!$CO$5:$CP$7,2,FALSE))*IF($AZ72="",1,VLOOKUP($AZ72,DADOS!$CR$5:$CS$15,2,FALSE)),4),1)),0),""))</f>
        <v/>
      </c>
      <c r="BB72" s="123" t="n"/>
      <c r="BC72" s="133" t="n"/>
      <c r="BD72" s="133" t="n"/>
      <c r="BE72" s="127" t="n"/>
      <c r="BF72" s="127" t="n"/>
      <c r="BG72" s="127">
        <f>IF($BD72="","",IFERROR(IF(ROUND(VLOOKUP($BD72,DADOS!$CL$5:$CM$10,2,FALSE)*IF($BE72="",1,VLOOKUP($BE72,DADOS!$CO$5:$CP$7,2,FALSE))*IF($BF72="",1,VLOOKUP($BF72,DADOS!$CR$5:$CS$15,2,FALSE)),4)&gt;0,MAX(1,FLOOR(ROUND(VLOOKUP($BD72,DADOS!$CL$5:$CM$10,2,FALSE)*IF($BE72="",1,VLOOKUP($BE72,DADOS!$CO$5:$CP$7,2,FALSE))*IF($BF72="",1,VLOOKUP($BF72,DADOS!$CR$5:$CS$15,2,FALSE)),4),1)),0),""))</f>
        <v/>
      </c>
      <c r="BH72" s="123" t="n"/>
      <c r="BI72" s="133" t="n"/>
      <c r="BJ72" s="133" t="n"/>
      <c r="BK72" s="127" t="n"/>
      <c r="BL72" s="127" t="n"/>
      <c r="BM72" s="127">
        <f>IF($BJ72="","",IFERROR(IF(ROUND(VLOOKUP($BJ72,DADOS!$CL$5:$CM$10,2,FALSE)*IF($BK72="",1,VLOOKUP($BK72,DADOS!$CO$5:$CP$7,2,FALSE))*IF($BL72="",1,VLOOKUP($BL72,DADOS!$CR$5:$CS$15,2,FALSE)),4)&gt;0,MAX(1,FLOOR(ROUND(VLOOKUP($BJ72,DADOS!$CL$5:$CM$10,2,FALSE)*IF($BK72="",1,VLOOKUP($BK72,DADOS!$CO$5:$CP$7,2,FALSE))*IF($BL72="",1,VLOOKUP($BL72,DADOS!$CR$5:$CS$15,2,FALSE)),4),1)),0),""))</f>
        <v/>
      </c>
      <c r="BN72" s="123" t="n"/>
      <c r="BO72" s="133" t="n"/>
      <c r="BP72" s="133" t="n"/>
      <c r="BQ72" s="127" t="n"/>
      <c r="BR72" s="127" t="n"/>
      <c r="BS72" s="127">
        <f>IF($BP72="","",IFERROR(IF(ROUND(VLOOKUP($BP72,DADOS!$CL$5:$CM$10,2,FALSE)*IF($BQ72="",1,VLOOKUP($BQ72,DADOS!$CO$5:$CP$7,2,FALSE))*IF($BR72="",1,VLOOKUP($BR72,DADOS!$CR$5:$CS$15,2,FALSE)),4)&gt;0,MAX(1,FLOOR(ROUND(VLOOKUP($BP72,DADOS!$CL$5:$CM$10,2,FALSE)*IF($BQ72="",1,VLOOKUP($BQ72,DADOS!$CO$5:$CP$7,2,FALSE))*IF($BR72="",1,VLOOKUP($BR72,DADOS!$CR$5:$CS$15,2,FALSE)),4),1)),0),""))</f>
        <v/>
      </c>
      <c r="BT72" s="123" t="n"/>
    </row>
    <row r="73">
      <c r="A73" s="8" t="n"/>
      <c r="B73" s="14" t="n"/>
      <c r="C73" s="123" t="n"/>
      <c r="D73" s="123" t="n"/>
      <c r="E73" s="123" t="n"/>
      <c r="F73" s="123" t="n"/>
      <c r="G73" s="123" t="n"/>
      <c r="H73" s="123" t="n"/>
      <c r="I73" s="123" t="n"/>
      <c r="J73" s="123" t="n"/>
      <c r="K73" s="123" t="n"/>
      <c r="L73" s="123" t="n"/>
      <c r="M73" s="123" t="n"/>
      <c r="N73" s="123" t="n"/>
      <c r="O73" s="123" t="n"/>
      <c r="P73" s="123" t="n"/>
      <c r="Q73" s="123" t="n"/>
      <c r="R73" s="123" t="n"/>
      <c r="S73" s="123" t="n"/>
      <c r="T73" s="123" t="n"/>
      <c r="U73" s="123" t="n"/>
      <c r="V73" s="123" t="n"/>
      <c r="W73" s="123" t="n"/>
      <c r="X73" s="123" t="n"/>
      <c r="Y73" s="123" t="n"/>
      <c r="Z73" s="123" t="n"/>
      <c r="AA73" s="123" t="n"/>
      <c r="AB73" s="123" t="n"/>
      <c r="AC73" s="123" t="n"/>
      <c r="AD73" s="123" t="n"/>
      <c r="AE73" s="123" t="n"/>
      <c r="AF73" s="123" t="n"/>
      <c r="AG73" s="123" t="n"/>
      <c r="AH73" s="123" t="n"/>
      <c r="AI73" s="123" t="n"/>
      <c r="AJ73" s="123" t="n"/>
      <c r="AK73" s="123" t="n"/>
      <c r="AL73" s="123" t="n"/>
      <c r="AM73" s="123" t="n"/>
      <c r="AN73" s="123" t="n"/>
      <c r="AO73" s="123" t="n"/>
      <c r="AP73" s="123" t="n"/>
      <c r="AQ73" s="123" t="n"/>
      <c r="AR73" s="123" t="n"/>
      <c r="AS73" s="123" t="n"/>
      <c r="AT73" s="123" t="n"/>
      <c r="AU73" s="123" t="n"/>
      <c r="AV73" s="123" t="n"/>
      <c r="AW73" s="123" t="n"/>
      <c r="AX73" s="123" t="n"/>
      <c r="AY73" s="123" t="n"/>
      <c r="AZ73" s="123" t="n"/>
      <c r="BA73" s="123" t="n"/>
      <c r="BB73" s="123" t="n"/>
      <c r="BC73" s="123" t="n"/>
      <c r="BD73" s="123" t="n"/>
      <c r="BE73" s="123" t="n"/>
      <c r="BF73" s="123" t="n"/>
      <c r="BG73" s="123" t="n"/>
      <c r="BH73" s="123" t="n"/>
      <c r="BI73" s="123" t="n"/>
      <c r="BJ73" s="123" t="n"/>
      <c r="BK73" s="123" t="n"/>
      <c r="BL73" s="123" t="n"/>
      <c r="BM73" s="123" t="n"/>
      <c r="BN73" s="123" t="n"/>
      <c r="BO73" s="123" t="n"/>
      <c r="BP73" s="123" t="n"/>
      <c r="BQ73" s="123" t="n"/>
      <c r="BR73" s="123" t="n"/>
      <c r="BS73" s="123" t="n"/>
      <c r="BT73" s="123" t="n"/>
    </row>
    <row r="74">
      <c r="A74" s="8" t="n"/>
      <c r="B74" s="14" t="n"/>
      <c r="C74" s="123" t="n"/>
      <c r="D74" s="126" t="inlineStr">
        <is>
          <t>EQUIPÁVEIS GUARDADOS</t>
        </is>
      </c>
      <c r="E74" s="19" t="n"/>
      <c r="F74" s="19" t="n"/>
      <c r="G74" s="19" t="n"/>
      <c r="H74" s="19" t="n"/>
      <c r="I74" s="19" t="n"/>
      <c r="J74" s="19" t="n"/>
      <c r="K74" s="19" t="n"/>
      <c r="L74" s="19" t="n"/>
      <c r="M74" s="19" t="n"/>
      <c r="N74" s="19" t="n"/>
      <c r="O74" s="19" t="n"/>
      <c r="P74" s="19" t="n"/>
      <c r="Q74" s="19" t="n"/>
      <c r="R74" s="19" t="n"/>
      <c r="S74" s="19" t="n"/>
      <c r="T74" s="19" t="n"/>
      <c r="U74" s="19" t="n"/>
      <c r="V74" s="19" t="n"/>
      <c r="W74" s="19" t="n"/>
      <c r="X74" s="19" t="n"/>
      <c r="Y74" s="19" t="n"/>
      <c r="Z74" s="19" t="n"/>
      <c r="AA74" s="19" t="n"/>
      <c r="AB74" s="19" t="n"/>
      <c r="AC74" s="19" t="n"/>
      <c r="AD74" s="19" t="n"/>
      <c r="AE74" s="19" t="n"/>
      <c r="AF74" s="19" t="n"/>
      <c r="AG74" s="19" t="n"/>
      <c r="AH74" s="19" t="n"/>
      <c r="AI74" s="19" t="n"/>
      <c r="AJ74" s="19" t="n"/>
      <c r="AK74" s="19" t="n"/>
      <c r="AL74" s="19" t="n"/>
      <c r="AM74" s="19" t="n"/>
      <c r="AN74" s="19" t="n"/>
      <c r="AO74" s="19" t="n"/>
      <c r="AP74" s="19" t="n"/>
      <c r="AQ74" s="19" t="n"/>
      <c r="AR74" s="19" t="n"/>
      <c r="AS74" s="19" t="n"/>
      <c r="AT74" s="20" t="n"/>
      <c r="AU74" s="123" t="n"/>
      <c r="AV74" s="123" t="n"/>
      <c r="AW74" s="126" t="inlineStr">
        <is>
          <t>NÍVEIS</t>
        </is>
      </c>
      <c r="AX74" s="19" t="n"/>
      <c r="AY74" s="19" t="n"/>
      <c r="AZ74" s="19" t="n"/>
      <c r="BA74" s="19" t="n"/>
      <c r="BB74" s="19" t="n"/>
      <c r="BC74" s="19" t="n"/>
      <c r="BD74" s="19" t="n"/>
      <c r="BE74" s="19" t="n"/>
      <c r="BF74" s="19" t="n"/>
      <c r="BG74" s="20" t="n"/>
      <c r="BH74" s="123" t="n"/>
      <c r="BI74" s="123" t="n"/>
      <c r="BJ74" s="123" t="n"/>
      <c r="BK74" s="123" t="n"/>
      <c r="BL74" s="123" t="n"/>
      <c r="BM74" s="123" t="n"/>
      <c r="BN74" s="123" t="n"/>
      <c r="BO74" s="123" t="n"/>
      <c r="BP74" s="123" t="n"/>
      <c r="BQ74" s="123" t="n"/>
      <c r="BR74" s="123" t="n"/>
      <c r="BS74" s="123" t="n"/>
      <c r="BT74" s="123" t="n"/>
    </row>
    <row r="75">
      <c r="A75" s="8" t="n"/>
      <c r="B75" s="14" t="n"/>
      <c r="C75" s="123" t="n"/>
      <c r="D75" s="23" t="n"/>
      <c r="E75" s="24" t="n"/>
      <c r="F75" s="24" t="n"/>
      <c r="G75" s="24" t="n"/>
      <c r="H75" s="24" t="n"/>
      <c r="I75" s="24" t="n"/>
      <c r="J75" s="24" t="n"/>
      <c r="K75" s="24" t="n"/>
      <c r="L75" s="24" t="n"/>
      <c r="M75" s="24" t="n"/>
      <c r="N75" s="24" t="n"/>
      <c r="O75" s="24" t="n"/>
      <c r="P75" s="24" t="n"/>
      <c r="Q75" s="24" t="n"/>
      <c r="R75" s="24" t="n"/>
      <c r="S75" s="24" t="n"/>
      <c r="T75" s="24" t="n"/>
      <c r="U75" s="24" t="n"/>
      <c r="V75" s="24" t="n"/>
      <c r="W75" s="24" t="n"/>
      <c r="X75" s="24" t="n"/>
      <c r="Y75" s="24" t="n"/>
      <c r="Z75" s="24" t="n"/>
      <c r="AA75" s="24" t="n"/>
      <c r="AB75" s="24" t="n"/>
      <c r="AC75" s="24" t="n"/>
      <c r="AD75" s="24" t="n"/>
      <c r="AE75" s="24" t="n"/>
      <c r="AF75" s="24" t="n"/>
      <c r="AG75" s="24" t="n"/>
      <c r="AH75" s="24" t="n"/>
      <c r="AI75" s="24" t="n"/>
      <c r="AJ75" s="24" t="n"/>
      <c r="AK75" s="24" t="n"/>
      <c r="AL75" s="24" t="n"/>
      <c r="AM75" s="24" t="n"/>
      <c r="AN75" s="24" t="n"/>
      <c r="AO75" s="24" t="n"/>
      <c r="AP75" s="24" t="n"/>
      <c r="AQ75" s="24" t="n"/>
      <c r="AR75" s="24" t="n"/>
      <c r="AS75" s="24" t="n"/>
      <c r="AT75" s="25" t="n"/>
      <c r="AU75" s="123" t="n"/>
      <c r="AV75" s="123" t="n"/>
      <c r="AW75" s="23" t="n"/>
      <c r="AX75" s="24" t="n"/>
      <c r="AY75" s="24" t="n"/>
      <c r="AZ75" s="24" t="n"/>
      <c r="BA75" s="24" t="n"/>
      <c r="BB75" s="24" t="n"/>
      <c r="BC75" s="24" t="n"/>
      <c r="BD75" s="24" t="n"/>
      <c r="BE75" s="24" t="n"/>
      <c r="BF75" s="24" t="n"/>
      <c r="BG75" s="25" t="n"/>
      <c r="BH75" s="123" t="n"/>
      <c r="BI75" s="123" t="n"/>
      <c r="BJ75" s="123" t="n"/>
      <c r="BK75" s="123" t="n"/>
      <c r="BL75" s="123" t="n"/>
      <c r="BM75" s="123" t="n"/>
      <c r="BN75" s="123" t="n"/>
      <c r="BO75" s="123" t="n"/>
      <c r="BP75" s="123" t="n"/>
      <c r="BQ75" s="123" t="n"/>
      <c r="BR75" s="123" t="n"/>
      <c r="BS75" s="123" t="n"/>
      <c r="BT75" s="123" t="n"/>
    </row>
    <row r="76">
      <c r="A76" s="8" t="n"/>
      <c r="B76" s="14" t="n"/>
      <c r="C76" s="123" t="n"/>
      <c r="D76" s="55" t="inlineStr">
        <is>
          <t>EQUIPÁVEL</t>
        </is>
      </c>
      <c r="E76" s="16" t="n"/>
      <c r="F76" s="16" t="n"/>
      <c r="G76" s="16" t="n"/>
      <c r="H76" s="16" t="n"/>
      <c r="I76" s="16" t="n"/>
      <c r="J76" s="17" t="n"/>
      <c r="K76" s="55" t="inlineStr">
        <is>
          <t>QTD.</t>
        </is>
      </c>
      <c r="L76" s="17" t="n"/>
      <c r="M76" s="55" t="inlineStr">
        <is>
          <t>CATEGORIA</t>
        </is>
      </c>
      <c r="N76" s="16" t="n"/>
      <c r="O76" s="16" t="n"/>
      <c r="P76" s="16" t="n"/>
      <c r="Q76" s="16" t="n"/>
      <c r="R76" s="17" t="n"/>
      <c r="S76" s="55" t="inlineStr">
        <is>
          <t>MÃO</t>
        </is>
      </c>
      <c r="T76" s="17" t="n"/>
      <c r="U76" s="55" t="inlineStr">
        <is>
          <t>DADO</t>
        </is>
      </c>
      <c r="V76" s="17" t="n"/>
      <c r="W76" s="55" t="inlineStr">
        <is>
          <t>PROPRIEDADES</t>
        </is>
      </c>
      <c r="X76" s="16" t="n"/>
      <c r="Y76" s="16" t="n"/>
      <c r="Z76" s="16" t="n"/>
      <c r="AA76" s="16" t="n"/>
      <c r="AB76" s="16" t="n"/>
      <c r="AC76" s="16" t="n"/>
      <c r="AD76" s="17" t="n"/>
      <c r="AE76" s="55" t="inlineStr">
        <is>
          <t>FORÇA</t>
        </is>
      </c>
      <c r="AF76" s="17" t="n"/>
      <c r="AG76" s="55" t="inlineStr">
        <is>
          <t>VOL.</t>
        </is>
      </c>
      <c r="AH76" s="17" t="n"/>
      <c r="AI76" s="55" t="inlineStr">
        <is>
          <t>GRAU</t>
        </is>
      </c>
      <c r="AJ76" s="17" t="n"/>
      <c r="AK76" s="55" t="inlineStr">
        <is>
          <t>ESTIGMA</t>
        </is>
      </c>
      <c r="AL76" s="16" t="n"/>
      <c r="AM76" s="16" t="n"/>
      <c r="AN76" s="16" t="n"/>
      <c r="AO76" s="16" t="n"/>
      <c r="AP76" s="17" t="n"/>
      <c r="AQ76" s="55" t="inlineStr">
        <is>
          <t>DESGASTE</t>
        </is>
      </c>
      <c r="AR76" s="16" t="n"/>
      <c r="AS76" s="16" t="n"/>
      <c r="AT76" s="17" t="n"/>
      <c r="AU76" s="123" t="n"/>
      <c r="AV76" s="123" t="n"/>
      <c r="AW76" s="55" t="inlineStr">
        <is>
          <t>NÍVEL</t>
        </is>
      </c>
      <c r="AX76" s="55" t="inlineStr">
        <is>
          <t>PARA SUBIR</t>
        </is>
      </c>
      <c r="AY76" s="17" t="n"/>
      <c r="AZ76" s="55" t="inlineStr">
        <is>
          <t>ACUMULADO</t>
        </is>
      </c>
      <c r="BA76" s="17" t="n"/>
      <c r="BB76" s="123" t="n"/>
      <c r="BC76" s="55" t="inlineStr">
        <is>
          <t>NÍVEL</t>
        </is>
      </c>
      <c r="BD76" s="55" t="inlineStr">
        <is>
          <t>PARA SUBIR</t>
        </is>
      </c>
      <c r="BE76" s="17" t="n"/>
      <c r="BF76" s="55" t="inlineStr">
        <is>
          <t>ACUMULADO</t>
        </is>
      </c>
      <c r="BG76" s="17" t="n"/>
      <c r="BH76" s="123" t="n"/>
      <c r="BI76" s="123" t="n"/>
      <c r="BJ76" s="123" t="n"/>
      <c r="BK76" s="123" t="n"/>
      <c r="BL76" s="123" t="n"/>
      <c r="BM76" s="123" t="n"/>
      <c r="BN76" s="123" t="n"/>
      <c r="BO76" s="123" t="n"/>
      <c r="BP76" s="123" t="n"/>
      <c r="BQ76" s="123" t="n"/>
      <c r="BR76" s="123" t="n"/>
      <c r="BS76" s="123" t="n"/>
      <c r="BT76" s="123" t="n"/>
    </row>
    <row r="77">
      <c r="A77" s="8" t="n"/>
      <c r="B77" s="14" t="n"/>
      <c r="C77" s="123" t="n"/>
      <c r="D77" s="133" t="n"/>
      <c r="E77" s="16" t="n"/>
      <c r="F77" s="16" t="n"/>
      <c r="G77" s="16" t="n"/>
      <c r="H77" s="16" t="n"/>
      <c r="I77" s="16" t="n"/>
      <c r="J77" s="17" t="n"/>
      <c r="K77" s="127" t="n"/>
      <c r="L77" s="17" t="n"/>
      <c r="M77" s="133">
        <f>IF($D77="","",IFERROR(VLOOKUP($D77,DADOS!$BD$5:$BN$59,2,FALSE),""))</f>
        <v/>
      </c>
      <c r="N77" s="16" t="n"/>
      <c r="O77" s="16" t="n"/>
      <c r="P77" s="16" t="n"/>
      <c r="Q77" s="16" t="n"/>
      <c r="R77" s="17" t="n"/>
      <c r="S77" s="127">
        <f>IF($D77="","",IFERROR(VLOOKUP($D77,DADOS!$BD$5:$BN$59,3,FALSE),""))</f>
        <v/>
      </c>
      <c r="T77" s="17" t="n"/>
      <c r="U77" s="127">
        <f>IF($D77="","",IFERROR(VLOOKUP($D77,DADOS!$BD$5:$BN$59,4,FALSE),""))</f>
        <v/>
      </c>
      <c r="V77" s="17" t="n"/>
      <c r="W77" s="133">
        <f>IF($D77="","",IFERROR(VLOOKUP($D77,DADOS!$BD$5:$BN$59,5,FALSE),""))</f>
        <v/>
      </c>
      <c r="X77" s="16" t="n"/>
      <c r="Y77" s="16" t="n"/>
      <c r="Z77" s="16" t="n"/>
      <c r="AA77" s="16" t="n"/>
      <c r="AB77" s="16" t="n"/>
      <c r="AC77" s="16" t="n"/>
      <c r="AD77" s="17" t="n"/>
      <c r="AE77" s="127">
        <f>IF($D77="","",IFERROR(VLOOKUP($D77,DADOS!$BD$5:$BN$59,6,FALSE),""))</f>
        <v/>
      </c>
      <c r="AF77" s="17" t="n"/>
      <c r="AG77" s="127">
        <f>IF($D77="","",IFERROR(IF($K77="",1,$K77)*VLOOKUP($D77,DADOS!$BD$5:$BN$59,7,FALSE),""))</f>
        <v/>
      </c>
      <c r="AH77" s="17" t="n"/>
      <c r="AI77" s="127" t="n"/>
      <c r="AJ77" s="17" t="n"/>
      <c r="AK77" s="133" t="n"/>
      <c r="AL77" s="16" t="n"/>
      <c r="AM77" s="16" t="n"/>
      <c r="AN77" s="16" t="n"/>
      <c r="AO77" s="16" t="n"/>
      <c r="AP77" s="17" t="n"/>
      <c r="AQ77" s="127" t="n"/>
      <c r="AR77" s="16" t="n"/>
      <c r="AS77" s="16" t="n"/>
      <c r="AT77" s="17" t="n"/>
      <c r="AU77" s="123" t="n"/>
      <c r="AV77" s="123" t="n"/>
      <c r="AW77" s="127">
        <f>IF(DADOS!$CZ$48=2,"▸ 2",2)</f>
        <v/>
      </c>
      <c r="AX77" s="127" t="inlineStr">
        <is>
          <t>200</t>
        </is>
      </c>
      <c r="AY77" s="17" t="n"/>
      <c r="AZ77" s="127" t="inlineStr">
        <is>
          <t>0</t>
        </is>
      </c>
      <c r="BA77" s="17" t="n"/>
      <c r="BB77" s="123" t="n"/>
      <c r="BC77" s="127">
        <f>IF(DADOS!$CZ$48=17,"▸ 17",17)</f>
        <v/>
      </c>
      <c r="BD77" s="127" t="inlineStr">
        <is>
          <t>1300</t>
        </is>
      </c>
      <c r="BE77" s="17" t="n"/>
      <c r="BF77" s="127" t="inlineStr">
        <is>
          <t>10.400</t>
        </is>
      </c>
      <c r="BG77" s="17" t="n"/>
      <c r="BH77" s="123" t="n"/>
      <c r="BI77" s="123" t="n"/>
      <c r="BJ77" s="123" t="n"/>
      <c r="BK77" s="123" t="n"/>
      <c r="BL77" s="123" t="n"/>
      <c r="BM77" s="123" t="n"/>
      <c r="BN77" s="123" t="n"/>
      <c r="BO77" s="123" t="n"/>
      <c r="BP77" s="123" t="n"/>
      <c r="BQ77" s="123" t="n"/>
      <c r="BR77" s="123" t="n"/>
      <c r="BS77" s="123" t="n"/>
      <c r="BT77" s="123" t="n"/>
    </row>
    <row r="78">
      <c r="A78" s="8" t="n"/>
      <c r="B78" s="14" t="n"/>
      <c r="C78" s="123" t="n"/>
      <c r="D78" s="133" t="n"/>
      <c r="E78" s="16" t="n"/>
      <c r="F78" s="16" t="n"/>
      <c r="G78" s="16" t="n"/>
      <c r="H78" s="16" t="n"/>
      <c r="I78" s="16" t="n"/>
      <c r="J78" s="17" t="n"/>
      <c r="K78" s="127" t="n"/>
      <c r="L78" s="17" t="n"/>
      <c r="M78" s="133">
        <f>IF($D78="","",IFERROR(VLOOKUP($D78,DADOS!$BD$5:$BN$59,2,FALSE),""))</f>
        <v/>
      </c>
      <c r="N78" s="16" t="n"/>
      <c r="O78" s="16" t="n"/>
      <c r="P78" s="16" t="n"/>
      <c r="Q78" s="16" t="n"/>
      <c r="R78" s="17" t="n"/>
      <c r="S78" s="127">
        <f>IF($D78="","",IFERROR(VLOOKUP($D78,DADOS!$BD$5:$BN$59,3,FALSE),""))</f>
        <v/>
      </c>
      <c r="T78" s="17" t="n"/>
      <c r="U78" s="127">
        <f>IF($D78="","",IFERROR(VLOOKUP($D78,DADOS!$BD$5:$BN$59,4,FALSE),""))</f>
        <v/>
      </c>
      <c r="V78" s="17" t="n"/>
      <c r="W78" s="133">
        <f>IF($D78="","",IFERROR(VLOOKUP($D78,DADOS!$BD$5:$BN$59,5,FALSE),""))</f>
        <v/>
      </c>
      <c r="X78" s="16" t="n"/>
      <c r="Y78" s="16" t="n"/>
      <c r="Z78" s="16" t="n"/>
      <c r="AA78" s="16" t="n"/>
      <c r="AB78" s="16" t="n"/>
      <c r="AC78" s="16" t="n"/>
      <c r="AD78" s="17" t="n"/>
      <c r="AE78" s="127">
        <f>IF($D78="","",IFERROR(VLOOKUP($D78,DADOS!$BD$5:$BN$59,6,FALSE),""))</f>
        <v/>
      </c>
      <c r="AF78" s="17" t="n"/>
      <c r="AG78" s="127">
        <f>IF($D78="","",IFERROR(IF($K78="",1,$K78)*VLOOKUP($D78,DADOS!$BD$5:$BN$59,7,FALSE),""))</f>
        <v/>
      </c>
      <c r="AH78" s="17" t="n"/>
      <c r="AI78" s="127" t="n"/>
      <c r="AJ78" s="17" t="n"/>
      <c r="AK78" s="133" t="n"/>
      <c r="AL78" s="16" t="n"/>
      <c r="AM78" s="16" t="n"/>
      <c r="AN78" s="16" t="n"/>
      <c r="AO78" s="16" t="n"/>
      <c r="AP78" s="17" t="n"/>
      <c r="AQ78" s="127" t="n"/>
      <c r="AR78" s="16" t="n"/>
      <c r="AS78" s="16" t="n"/>
      <c r="AT78" s="17" t="n"/>
      <c r="AU78" s="123" t="n"/>
      <c r="AV78" s="123" t="n"/>
      <c r="AW78" s="127">
        <f>IF(DADOS!$CZ$48=3,"▸ 3",3)</f>
        <v/>
      </c>
      <c r="AX78" s="127" t="inlineStr">
        <is>
          <t>300</t>
        </is>
      </c>
      <c r="AY78" s="17" t="n"/>
      <c r="AZ78" s="127" t="inlineStr">
        <is>
          <t>200</t>
        </is>
      </c>
      <c r="BA78" s="17" t="n"/>
      <c r="BB78" s="123" t="n"/>
      <c r="BC78" s="127">
        <f>IF(DADOS!$CZ$48=18,"▸ 18",18)</f>
        <v/>
      </c>
      <c r="BD78" s="127" t="inlineStr">
        <is>
          <t>1300</t>
        </is>
      </c>
      <c r="BE78" s="17" t="n"/>
      <c r="BF78" s="127" t="inlineStr">
        <is>
          <t>11.700</t>
        </is>
      </c>
      <c r="BG78" s="17" t="n"/>
      <c r="BH78" s="123" t="n"/>
      <c r="BI78" s="123" t="n"/>
      <c r="BJ78" s="123" t="n"/>
      <c r="BK78" s="123" t="n"/>
      <c r="BL78" s="123" t="n"/>
      <c r="BM78" s="123" t="n"/>
      <c r="BN78" s="123" t="n"/>
      <c r="BO78" s="123" t="n"/>
      <c r="BP78" s="123" t="n"/>
      <c r="BQ78" s="123" t="n"/>
      <c r="BR78" s="123" t="n"/>
      <c r="BS78" s="123" t="n"/>
      <c r="BT78" s="123" t="n"/>
    </row>
    <row r="79">
      <c r="A79" s="8" t="n"/>
      <c r="B79" s="14" t="n"/>
      <c r="C79" s="123" t="n"/>
      <c r="D79" s="133" t="n"/>
      <c r="E79" s="16" t="n"/>
      <c r="F79" s="16" t="n"/>
      <c r="G79" s="16" t="n"/>
      <c r="H79" s="16" t="n"/>
      <c r="I79" s="16" t="n"/>
      <c r="J79" s="17" t="n"/>
      <c r="K79" s="127" t="n"/>
      <c r="L79" s="17" t="n"/>
      <c r="M79" s="133">
        <f>IF($D79="","",IFERROR(VLOOKUP($D79,DADOS!$BD$5:$BN$59,2,FALSE),""))</f>
        <v/>
      </c>
      <c r="N79" s="16" t="n"/>
      <c r="O79" s="16" t="n"/>
      <c r="P79" s="16" t="n"/>
      <c r="Q79" s="16" t="n"/>
      <c r="R79" s="17" t="n"/>
      <c r="S79" s="127">
        <f>IF($D79="","",IFERROR(VLOOKUP($D79,DADOS!$BD$5:$BN$59,3,FALSE),""))</f>
        <v/>
      </c>
      <c r="T79" s="17" t="n"/>
      <c r="U79" s="127">
        <f>IF($D79="","",IFERROR(VLOOKUP($D79,DADOS!$BD$5:$BN$59,4,FALSE),""))</f>
        <v/>
      </c>
      <c r="V79" s="17" t="n"/>
      <c r="W79" s="133">
        <f>IF($D79="","",IFERROR(VLOOKUP($D79,DADOS!$BD$5:$BN$59,5,FALSE),""))</f>
        <v/>
      </c>
      <c r="X79" s="16" t="n"/>
      <c r="Y79" s="16" t="n"/>
      <c r="Z79" s="16" t="n"/>
      <c r="AA79" s="16" t="n"/>
      <c r="AB79" s="16" t="n"/>
      <c r="AC79" s="16" t="n"/>
      <c r="AD79" s="17" t="n"/>
      <c r="AE79" s="127">
        <f>IF($D79="","",IFERROR(VLOOKUP($D79,DADOS!$BD$5:$BN$59,6,FALSE),""))</f>
        <v/>
      </c>
      <c r="AF79" s="17" t="n"/>
      <c r="AG79" s="127">
        <f>IF($D79="","",IFERROR(IF($K79="",1,$K79)*VLOOKUP($D79,DADOS!$BD$5:$BN$59,7,FALSE),""))</f>
        <v/>
      </c>
      <c r="AH79" s="17" t="n"/>
      <c r="AI79" s="127" t="n"/>
      <c r="AJ79" s="17" t="n"/>
      <c r="AK79" s="133" t="n"/>
      <c r="AL79" s="16" t="n"/>
      <c r="AM79" s="16" t="n"/>
      <c r="AN79" s="16" t="n"/>
      <c r="AO79" s="16" t="n"/>
      <c r="AP79" s="17" t="n"/>
      <c r="AQ79" s="127" t="n"/>
      <c r="AR79" s="16" t="n"/>
      <c r="AS79" s="16" t="n"/>
      <c r="AT79" s="17" t="n"/>
      <c r="AU79" s="123" t="n"/>
      <c r="AV79" s="123" t="n"/>
      <c r="AW79" s="127">
        <f>IF(DADOS!$CZ$48=4,"▸ 4",4)</f>
        <v/>
      </c>
      <c r="AX79" s="127" t="inlineStr">
        <is>
          <t>300</t>
        </is>
      </c>
      <c r="AY79" s="17" t="n"/>
      <c r="AZ79" s="127" t="inlineStr">
        <is>
          <t>500</t>
        </is>
      </c>
      <c r="BA79" s="17" t="n"/>
      <c r="BB79" s="123" t="n"/>
      <c r="BC79" s="127">
        <f>IF(DADOS!$CZ$48=19,"▸ 19",19)</f>
        <v/>
      </c>
      <c r="BD79" s="127" t="inlineStr">
        <is>
          <t>1300</t>
        </is>
      </c>
      <c r="BE79" s="17" t="n"/>
      <c r="BF79" s="127" t="inlineStr">
        <is>
          <t>13.000</t>
        </is>
      </c>
      <c r="BG79" s="17" t="n"/>
      <c r="BH79" s="123" t="n"/>
      <c r="BI79" s="123" t="n"/>
      <c r="BJ79" s="123" t="n"/>
      <c r="BK79" s="123" t="n"/>
      <c r="BL79" s="123" t="n"/>
      <c r="BM79" s="123" t="n"/>
      <c r="BN79" s="123" t="n"/>
      <c r="BO79" s="123" t="n"/>
      <c r="BP79" s="123" t="n"/>
      <c r="BQ79" s="123" t="n"/>
      <c r="BR79" s="123" t="n"/>
      <c r="BS79" s="123" t="n"/>
      <c r="BT79" s="123" t="n"/>
    </row>
    <row r="80">
      <c r="A80" s="8" t="n"/>
      <c r="B80" s="14" t="n"/>
      <c r="C80" s="123" t="n"/>
      <c r="D80" s="133" t="n"/>
      <c r="E80" s="16" t="n"/>
      <c r="F80" s="16" t="n"/>
      <c r="G80" s="16" t="n"/>
      <c r="H80" s="16" t="n"/>
      <c r="I80" s="16" t="n"/>
      <c r="J80" s="17" t="n"/>
      <c r="K80" s="127" t="n"/>
      <c r="L80" s="17" t="n"/>
      <c r="M80" s="133">
        <f>IF($D80="","",IFERROR(VLOOKUP($D80,DADOS!$BD$5:$BN$59,2,FALSE),""))</f>
        <v/>
      </c>
      <c r="N80" s="16" t="n"/>
      <c r="O80" s="16" t="n"/>
      <c r="P80" s="16" t="n"/>
      <c r="Q80" s="16" t="n"/>
      <c r="R80" s="17" t="n"/>
      <c r="S80" s="127">
        <f>IF($D80="","",IFERROR(VLOOKUP($D80,DADOS!$BD$5:$BN$59,3,FALSE),""))</f>
        <v/>
      </c>
      <c r="T80" s="17" t="n"/>
      <c r="U80" s="127">
        <f>IF($D80="","",IFERROR(VLOOKUP($D80,DADOS!$BD$5:$BN$59,4,FALSE),""))</f>
        <v/>
      </c>
      <c r="V80" s="17" t="n"/>
      <c r="W80" s="133">
        <f>IF($D80="","",IFERROR(VLOOKUP($D80,DADOS!$BD$5:$BN$59,5,FALSE),""))</f>
        <v/>
      </c>
      <c r="X80" s="16" t="n"/>
      <c r="Y80" s="16" t="n"/>
      <c r="Z80" s="16" t="n"/>
      <c r="AA80" s="16" t="n"/>
      <c r="AB80" s="16" t="n"/>
      <c r="AC80" s="16" t="n"/>
      <c r="AD80" s="17" t="n"/>
      <c r="AE80" s="127">
        <f>IF($D80="","",IFERROR(VLOOKUP($D80,DADOS!$BD$5:$BN$59,6,FALSE),""))</f>
        <v/>
      </c>
      <c r="AF80" s="17" t="n"/>
      <c r="AG80" s="127">
        <f>IF($D80="","",IFERROR(IF($K80="",1,$K80)*VLOOKUP($D80,DADOS!$BD$5:$BN$59,7,FALSE),""))</f>
        <v/>
      </c>
      <c r="AH80" s="17" t="n"/>
      <c r="AI80" s="127" t="n"/>
      <c r="AJ80" s="17" t="n"/>
      <c r="AK80" s="133" t="n"/>
      <c r="AL80" s="16" t="n"/>
      <c r="AM80" s="16" t="n"/>
      <c r="AN80" s="16" t="n"/>
      <c r="AO80" s="16" t="n"/>
      <c r="AP80" s="17" t="n"/>
      <c r="AQ80" s="127" t="n"/>
      <c r="AR80" s="16" t="n"/>
      <c r="AS80" s="16" t="n"/>
      <c r="AT80" s="17" t="n"/>
      <c r="AU80" s="123" t="n"/>
      <c r="AV80" s="123" t="n"/>
      <c r="AW80" s="127">
        <f>IF(DADOS!$CZ$48=5,"▸ 5",5)</f>
        <v/>
      </c>
      <c r="AX80" s="127" t="inlineStr">
        <is>
          <t>500</t>
        </is>
      </c>
      <c r="AY80" s="17" t="n"/>
      <c r="AZ80" s="127" t="inlineStr">
        <is>
          <t>800</t>
        </is>
      </c>
      <c r="BA80" s="17" t="n"/>
      <c r="BB80" s="123" t="n"/>
      <c r="BC80" s="127">
        <f>IF(DADOS!$CZ$48=20,"▸ 20",20)</f>
        <v/>
      </c>
      <c r="BD80" s="127" t="inlineStr">
        <is>
          <t>1500 e um feito</t>
        </is>
      </c>
      <c r="BE80" s="17" t="n"/>
      <c r="BF80" s="127" t="inlineStr">
        <is>
          <t>14.300</t>
        </is>
      </c>
      <c r="BG80" s="17" t="n"/>
      <c r="BH80" s="123" t="n"/>
      <c r="BI80" s="123" t="n"/>
      <c r="BJ80" s="123" t="n"/>
      <c r="BK80" s="123" t="n"/>
      <c r="BL80" s="123" t="n"/>
      <c r="BM80" s="123" t="n"/>
      <c r="BN80" s="123" t="n"/>
      <c r="BO80" s="123" t="n"/>
      <c r="BP80" s="123" t="n"/>
      <c r="BQ80" s="123" t="n"/>
      <c r="BR80" s="123" t="n"/>
      <c r="BS80" s="123" t="n"/>
      <c r="BT80" s="123" t="n"/>
    </row>
    <row r="81">
      <c r="A81" s="8" t="n"/>
      <c r="B81" s="14" t="n"/>
      <c r="C81" s="123" t="n"/>
      <c r="D81" s="133" t="n"/>
      <c r="E81" s="16" t="n"/>
      <c r="F81" s="16" t="n"/>
      <c r="G81" s="16" t="n"/>
      <c r="H81" s="16" t="n"/>
      <c r="I81" s="16" t="n"/>
      <c r="J81" s="17" t="n"/>
      <c r="K81" s="127" t="n"/>
      <c r="L81" s="17" t="n"/>
      <c r="M81" s="133">
        <f>IF($D81="","",IFERROR(VLOOKUP($D81,DADOS!$BD$5:$BN$59,2,FALSE),""))</f>
        <v/>
      </c>
      <c r="N81" s="16" t="n"/>
      <c r="O81" s="16" t="n"/>
      <c r="P81" s="16" t="n"/>
      <c r="Q81" s="16" t="n"/>
      <c r="R81" s="17" t="n"/>
      <c r="S81" s="127">
        <f>IF($D81="","",IFERROR(VLOOKUP($D81,DADOS!$BD$5:$BN$59,3,FALSE),""))</f>
        <v/>
      </c>
      <c r="T81" s="17" t="n"/>
      <c r="U81" s="127">
        <f>IF($D81="","",IFERROR(VLOOKUP($D81,DADOS!$BD$5:$BN$59,4,FALSE),""))</f>
        <v/>
      </c>
      <c r="V81" s="17" t="n"/>
      <c r="W81" s="133">
        <f>IF($D81="","",IFERROR(VLOOKUP($D81,DADOS!$BD$5:$BN$59,5,FALSE),""))</f>
        <v/>
      </c>
      <c r="X81" s="16" t="n"/>
      <c r="Y81" s="16" t="n"/>
      <c r="Z81" s="16" t="n"/>
      <c r="AA81" s="16" t="n"/>
      <c r="AB81" s="16" t="n"/>
      <c r="AC81" s="16" t="n"/>
      <c r="AD81" s="17" t="n"/>
      <c r="AE81" s="127">
        <f>IF($D81="","",IFERROR(VLOOKUP($D81,DADOS!$BD$5:$BN$59,6,FALSE),""))</f>
        <v/>
      </c>
      <c r="AF81" s="17" t="n"/>
      <c r="AG81" s="127">
        <f>IF($D81="","",IFERROR(IF($K81="",1,$K81)*VLOOKUP($D81,DADOS!$BD$5:$BN$59,7,FALSE),""))</f>
        <v/>
      </c>
      <c r="AH81" s="17" t="n"/>
      <c r="AI81" s="127" t="n"/>
      <c r="AJ81" s="17" t="n"/>
      <c r="AK81" s="133" t="n"/>
      <c r="AL81" s="16" t="n"/>
      <c r="AM81" s="16" t="n"/>
      <c r="AN81" s="16" t="n"/>
      <c r="AO81" s="16" t="n"/>
      <c r="AP81" s="17" t="n"/>
      <c r="AQ81" s="127" t="n"/>
      <c r="AR81" s="16" t="n"/>
      <c r="AS81" s="16" t="n"/>
      <c r="AT81" s="17" t="n"/>
      <c r="AU81" s="123" t="n"/>
      <c r="AV81" s="123" t="n"/>
      <c r="AW81" s="127">
        <f>IF(DADOS!$CZ$48=6,"▸ 6",6)</f>
        <v/>
      </c>
      <c r="AX81" s="127" t="inlineStr">
        <is>
          <t>500</t>
        </is>
      </c>
      <c r="AY81" s="17" t="n"/>
      <c r="AZ81" s="127" t="inlineStr">
        <is>
          <t>1.300</t>
        </is>
      </c>
      <c r="BA81" s="17" t="n"/>
      <c r="BB81" s="123" t="n"/>
      <c r="BC81" s="127">
        <f>IF(DADOS!$CZ$48=21,"▸ 21",21)</f>
        <v/>
      </c>
      <c r="BD81" s="127" t="inlineStr">
        <is>
          <t>1500</t>
        </is>
      </c>
      <c r="BE81" s="17" t="n"/>
      <c r="BF81" s="127" t="inlineStr">
        <is>
          <t>15.800</t>
        </is>
      </c>
      <c r="BG81" s="17" t="n"/>
      <c r="BH81" s="123" t="n"/>
      <c r="BI81" s="123" t="n"/>
      <c r="BJ81" s="123" t="n"/>
      <c r="BK81" s="123" t="n"/>
      <c r="BL81" s="123" t="n"/>
      <c r="BM81" s="123" t="n"/>
      <c r="BN81" s="123" t="n"/>
      <c r="BO81" s="123" t="n"/>
      <c r="BP81" s="123" t="n"/>
      <c r="BQ81" s="123" t="n"/>
      <c r="BR81" s="123" t="n"/>
      <c r="BS81" s="123" t="n"/>
      <c r="BT81" s="123" t="n"/>
    </row>
    <row r="82">
      <c r="A82" s="8" t="n"/>
      <c r="B82" s="14" t="n"/>
      <c r="C82" s="123" t="n"/>
      <c r="D82" s="133" t="n"/>
      <c r="E82" s="16" t="n"/>
      <c r="F82" s="16" t="n"/>
      <c r="G82" s="16" t="n"/>
      <c r="H82" s="16" t="n"/>
      <c r="I82" s="16" t="n"/>
      <c r="J82" s="17" t="n"/>
      <c r="K82" s="127" t="n"/>
      <c r="L82" s="17" t="n"/>
      <c r="M82" s="133">
        <f>IF($D82="","",IFERROR(VLOOKUP($D82,DADOS!$BD$5:$BN$59,2,FALSE),""))</f>
        <v/>
      </c>
      <c r="N82" s="16" t="n"/>
      <c r="O82" s="16" t="n"/>
      <c r="P82" s="16" t="n"/>
      <c r="Q82" s="16" t="n"/>
      <c r="R82" s="17" t="n"/>
      <c r="S82" s="127">
        <f>IF($D82="","",IFERROR(VLOOKUP($D82,DADOS!$BD$5:$BN$59,3,FALSE),""))</f>
        <v/>
      </c>
      <c r="T82" s="17" t="n"/>
      <c r="U82" s="127">
        <f>IF($D82="","",IFERROR(VLOOKUP($D82,DADOS!$BD$5:$BN$59,4,FALSE),""))</f>
        <v/>
      </c>
      <c r="V82" s="17" t="n"/>
      <c r="W82" s="133">
        <f>IF($D82="","",IFERROR(VLOOKUP($D82,DADOS!$BD$5:$BN$59,5,FALSE),""))</f>
        <v/>
      </c>
      <c r="X82" s="16" t="n"/>
      <c r="Y82" s="16" t="n"/>
      <c r="Z82" s="16" t="n"/>
      <c r="AA82" s="16" t="n"/>
      <c r="AB82" s="16" t="n"/>
      <c r="AC82" s="16" t="n"/>
      <c r="AD82" s="17" t="n"/>
      <c r="AE82" s="127">
        <f>IF($D82="","",IFERROR(VLOOKUP($D82,DADOS!$BD$5:$BN$59,6,FALSE),""))</f>
        <v/>
      </c>
      <c r="AF82" s="17" t="n"/>
      <c r="AG82" s="127">
        <f>IF($D82="","",IFERROR(IF($K82="",1,$K82)*VLOOKUP($D82,DADOS!$BD$5:$BN$59,7,FALSE),""))</f>
        <v/>
      </c>
      <c r="AH82" s="17" t="n"/>
      <c r="AI82" s="127" t="n"/>
      <c r="AJ82" s="17" t="n"/>
      <c r="AK82" s="133" t="n"/>
      <c r="AL82" s="16" t="n"/>
      <c r="AM82" s="16" t="n"/>
      <c r="AN82" s="16" t="n"/>
      <c r="AO82" s="16" t="n"/>
      <c r="AP82" s="17" t="n"/>
      <c r="AQ82" s="127" t="n"/>
      <c r="AR82" s="16" t="n"/>
      <c r="AS82" s="16" t="n"/>
      <c r="AT82" s="17" t="n"/>
      <c r="AU82" s="123" t="n"/>
      <c r="AV82" s="123" t="n"/>
      <c r="AW82" s="127">
        <f>IF(DADOS!$CZ$48=7,"▸ 7",7)</f>
        <v/>
      </c>
      <c r="AX82" s="127" t="inlineStr">
        <is>
          <t>500</t>
        </is>
      </c>
      <c r="AY82" s="17" t="n"/>
      <c r="AZ82" s="127" t="inlineStr">
        <is>
          <t>1.800</t>
        </is>
      </c>
      <c r="BA82" s="17" t="n"/>
      <c r="BB82" s="123" t="n"/>
      <c r="BC82" s="127">
        <f>IF(DADOS!$CZ$48=22,"▸ 22",22)</f>
        <v/>
      </c>
      <c r="BD82" s="127" t="inlineStr">
        <is>
          <t>1500</t>
        </is>
      </c>
      <c r="BE82" s="17" t="n"/>
      <c r="BF82" s="127" t="inlineStr">
        <is>
          <t>17.300</t>
        </is>
      </c>
      <c r="BG82" s="17" t="n"/>
      <c r="BH82" s="123" t="n"/>
      <c r="BI82" s="123" t="n"/>
      <c r="BJ82" s="123" t="n"/>
      <c r="BK82" s="123" t="n"/>
      <c r="BL82" s="123" t="n"/>
      <c r="BM82" s="123" t="n"/>
      <c r="BN82" s="123" t="n"/>
      <c r="BO82" s="123" t="n"/>
      <c r="BP82" s="123" t="n"/>
      <c r="BQ82" s="123" t="n"/>
      <c r="BR82" s="123" t="n"/>
      <c r="BS82" s="123" t="n"/>
      <c r="BT82" s="123" t="n"/>
    </row>
    <row r="83">
      <c r="A83" s="8" t="n"/>
      <c r="B83" s="14" t="n"/>
      <c r="C83" s="123" t="n"/>
      <c r="D83" s="133" t="n"/>
      <c r="E83" s="16" t="n"/>
      <c r="F83" s="16" t="n"/>
      <c r="G83" s="16" t="n"/>
      <c r="H83" s="16" t="n"/>
      <c r="I83" s="16" t="n"/>
      <c r="J83" s="17" t="n"/>
      <c r="K83" s="127" t="n"/>
      <c r="L83" s="17" t="n"/>
      <c r="M83" s="133" t="n"/>
      <c r="N83" s="16" t="n"/>
      <c r="O83" s="16" t="n"/>
      <c r="P83" s="16" t="n"/>
      <c r="Q83" s="16" t="n"/>
      <c r="R83" s="17" t="n"/>
      <c r="S83" s="127" t="n"/>
      <c r="T83" s="17" t="n"/>
      <c r="U83" s="127" t="n"/>
      <c r="V83" s="17" t="n"/>
      <c r="W83" s="133" t="n"/>
      <c r="X83" s="16" t="n"/>
      <c r="Y83" s="16" t="n"/>
      <c r="Z83" s="16" t="n"/>
      <c r="AA83" s="16" t="n"/>
      <c r="AB83" s="16" t="n"/>
      <c r="AC83" s="16" t="n"/>
      <c r="AD83" s="17" t="n"/>
      <c r="AE83" s="127" t="n"/>
      <c r="AF83" s="17" t="n"/>
      <c r="AG83" s="127" t="n"/>
      <c r="AH83" s="17" t="n"/>
      <c r="AI83" s="127" t="n"/>
      <c r="AJ83" s="17" t="n"/>
      <c r="AK83" s="133" t="n"/>
      <c r="AL83" s="16" t="n"/>
      <c r="AM83" s="16" t="n"/>
      <c r="AN83" s="16" t="n"/>
      <c r="AO83" s="16" t="n"/>
      <c r="AP83" s="17" t="n"/>
      <c r="AQ83" s="127" t="n"/>
      <c r="AR83" s="16" t="n"/>
      <c r="AS83" s="16" t="n"/>
      <c r="AT83" s="17" t="n"/>
      <c r="AU83" s="123" t="n"/>
      <c r="AV83" s="123" t="n"/>
      <c r="AW83" s="127">
        <f>IF(DADOS!$CZ$48=8,"▸ 8",8)</f>
        <v/>
      </c>
      <c r="AX83" s="127" t="inlineStr">
        <is>
          <t>700</t>
        </is>
      </c>
      <c r="AY83" s="17" t="n"/>
      <c r="AZ83" s="127" t="inlineStr">
        <is>
          <t>2.300</t>
        </is>
      </c>
      <c r="BA83" s="17" t="n"/>
      <c r="BB83" s="123" t="n"/>
      <c r="BC83" s="127">
        <f>IF(DADOS!$CZ$48=23,"▸ 23",23)</f>
        <v/>
      </c>
      <c r="BD83" s="127" t="inlineStr">
        <is>
          <t>1700</t>
        </is>
      </c>
      <c r="BE83" s="17" t="n"/>
      <c r="BF83" s="127" t="inlineStr">
        <is>
          <t>18.800</t>
        </is>
      </c>
      <c r="BG83" s="17" t="n"/>
      <c r="BH83" s="123" t="n"/>
      <c r="BI83" s="123" t="n"/>
      <c r="BJ83" s="123" t="n"/>
      <c r="BK83" s="123" t="n"/>
      <c r="BL83" s="123" t="n"/>
      <c r="BM83" s="123" t="n"/>
      <c r="BN83" s="123" t="n"/>
      <c r="BO83" s="123" t="n"/>
      <c r="BP83" s="123" t="n"/>
      <c r="BQ83" s="123" t="n"/>
      <c r="BR83" s="123" t="n"/>
      <c r="BS83" s="123" t="n"/>
      <c r="BT83" s="123" t="n"/>
    </row>
    <row r="84">
      <c r="A84" s="8" t="n"/>
      <c r="B84" s="14" t="n"/>
      <c r="C84" s="123" t="n"/>
      <c r="D84" s="133" t="n"/>
      <c r="E84" s="16" t="n"/>
      <c r="F84" s="16" t="n"/>
      <c r="G84" s="16" t="n"/>
      <c r="H84" s="16" t="n"/>
      <c r="I84" s="16" t="n"/>
      <c r="J84" s="17" t="n"/>
      <c r="K84" s="127" t="n"/>
      <c r="L84" s="17" t="n"/>
      <c r="M84" s="133" t="n"/>
      <c r="N84" s="16" t="n"/>
      <c r="O84" s="16" t="n"/>
      <c r="P84" s="16" t="n"/>
      <c r="Q84" s="16" t="n"/>
      <c r="R84" s="17" t="n"/>
      <c r="S84" s="127" t="n"/>
      <c r="T84" s="17" t="n"/>
      <c r="U84" s="127" t="n"/>
      <c r="V84" s="17" t="n"/>
      <c r="W84" s="133" t="n"/>
      <c r="X84" s="16" t="n"/>
      <c r="Y84" s="16" t="n"/>
      <c r="Z84" s="16" t="n"/>
      <c r="AA84" s="16" t="n"/>
      <c r="AB84" s="16" t="n"/>
      <c r="AC84" s="16" t="n"/>
      <c r="AD84" s="17" t="n"/>
      <c r="AE84" s="127" t="n"/>
      <c r="AF84" s="17" t="n"/>
      <c r="AG84" s="127" t="n"/>
      <c r="AH84" s="17" t="n"/>
      <c r="AI84" s="127" t="n"/>
      <c r="AJ84" s="17" t="n"/>
      <c r="AK84" s="133" t="n"/>
      <c r="AL84" s="16" t="n"/>
      <c r="AM84" s="16" t="n"/>
      <c r="AN84" s="16" t="n"/>
      <c r="AO84" s="16" t="n"/>
      <c r="AP84" s="17" t="n"/>
      <c r="AQ84" s="127" t="n"/>
      <c r="AR84" s="16" t="n"/>
      <c r="AS84" s="16" t="n"/>
      <c r="AT84" s="17" t="n"/>
      <c r="AU84" s="123" t="n"/>
      <c r="AV84" s="123" t="n"/>
      <c r="AW84" s="127">
        <f>IF(DADOS!$CZ$48=9,"▸ 9",9)</f>
        <v/>
      </c>
      <c r="AX84" s="127" t="inlineStr">
        <is>
          <t>700</t>
        </is>
      </c>
      <c r="AY84" s="17" t="n"/>
      <c r="AZ84" s="127" t="inlineStr">
        <is>
          <t>3.000</t>
        </is>
      </c>
      <c r="BA84" s="17" t="n"/>
      <c r="BB84" s="123" t="n"/>
      <c r="BC84" s="127">
        <f>IF(DADOS!$CZ$48=24,"▸ 24",24)</f>
        <v/>
      </c>
      <c r="BD84" s="127" t="inlineStr">
        <is>
          <t>1700</t>
        </is>
      </c>
      <c r="BE84" s="17" t="n"/>
      <c r="BF84" s="127" t="inlineStr">
        <is>
          <t>20.500</t>
        </is>
      </c>
      <c r="BG84" s="17" t="n"/>
      <c r="BH84" s="123" t="n"/>
      <c r="BI84" s="123" t="n"/>
      <c r="BJ84" s="123" t="n"/>
      <c r="BK84" s="123" t="n"/>
      <c r="BL84" s="123" t="n"/>
      <c r="BM84" s="123" t="n"/>
      <c r="BN84" s="123" t="n"/>
      <c r="BO84" s="123" t="n"/>
      <c r="BP84" s="123" t="n"/>
      <c r="BQ84" s="123" t="n"/>
      <c r="BR84" s="123" t="n"/>
      <c r="BS84" s="123" t="n"/>
      <c r="BT84" s="123" t="n"/>
    </row>
    <row r="85">
      <c r="A85" s="8" t="n"/>
      <c r="B85" s="14" t="n"/>
      <c r="C85" s="123" t="n"/>
      <c r="D85" s="123" t="n"/>
      <c r="E85" s="123" t="n"/>
      <c r="F85" s="123" t="n"/>
      <c r="G85" s="123" t="n"/>
      <c r="H85" s="123" t="n"/>
      <c r="I85" s="123" t="n"/>
      <c r="J85" s="123" t="n"/>
      <c r="K85" s="123" t="n"/>
      <c r="L85" s="123" t="n"/>
      <c r="M85" s="123" t="n"/>
      <c r="N85" s="123" t="n"/>
      <c r="O85" s="123" t="n"/>
      <c r="P85" s="123" t="n"/>
      <c r="Q85" s="123" t="n"/>
      <c r="R85" s="123" t="n"/>
      <c r="S85" s="123" t="n"/>
      <c r="T85" s="123" t="n"/>
      <c r="U85" s="123" t="n"/>
      <c r="V85" s="123" t="n"/>
      <c r="W85" s="123" t="n"/>
      <c r="X85" s="123" t="n"/>
      <c r="Y85" s="123" t="n"/>
      <c r="Z85" s="123" t="n"/>
      <c r="AA85" s="123" t="n"/>
      <c r="AB85" s="123" t="n"/>
      <c r="AC85" s="123" t="n"/>
      <c r="AD85" s="123" t="n"/>
      <c r="AE85" s="123" t="n"/>
      <c r="AF85" s="123" t="n"/>
      <c r="AG85" s="123" t="n"/>
      <c r="AH85" s="123" t="n"/>
      <c r="AI85" s="123" t="n"/>
      <c r="AJ85" s="123" t="n"/>
      <c r="AK85" s="123" t="n"/>
      <c r="AL85" s="123" t="n"/>
      <c r="AM85" s="123" t="n"/>
      <c r="AN85" s="123" t="n"/>
      <c r="AO85" s="123" t="n"/>
      <c r="AP85" s="123" t="n"/>
      <c r="AQ85" s="123" t="n"/>
      <c r="AR85" s="123" t="n"/>
      <c r="AS85" s="123" t="n"/>
      <c r="AT85" s="123" t="n"/>
      <c r="AU85" s="123" t="n"/>
      <c r="AV85" s="123" t="n"/>
      <c r="AW85" s="127">
        <f>IF(DADOS!$CZ$48=10,"▸ 10",10)</f>
        <v/>
      </c>
      <c r="AX85" s="127" t="inlineStr">
        <is>
          <t>700</t>
        </is>
      </c>
      <c r="AY85" s="17" t="n"/>
      <c r="AZ85" s="127" t="inlineStr">
        <is>
          <t>3.700</t>
        </is>
      </c>
      <c r="BA85" s="17" t="n"/>
      <c r="BB85" s="123" t="n"/>
      <c r="BC85" s="127">
        <f>IF(DADOS!$CZ$48=25,"▸ 25",25)</f>
        <v/>
      </c>
      <c r="BD85" s="127" t="inlineStr">
        <is>
          <t>1700</t>
        </is>
      </c>
      <c r="BE85" s="17" t="n"/>
      <c r="BF85" s="127" t="inlineStr">
        <is>
          <t>22.200</t>
        </is>
      </c>
      <c r="BG85" s="17" t="n"/>
      <c r="BH85" s="123" t="n"/>
      <c r="BI85" s="123" t="n"/>
      <c r="BJ85" s="123" t="n"/>
      <c r="BK85" s="123" t="n"/>
      <c r="BL85" s="123" t="n"/>
      <c r="BM85" s="123" t="n"/>
      <c r="BN85" s="123" t="n"/>
      <c r="BO85" s="123" t="n"/>
      <c r="BP85" s="123" t="n"/>
      <c r="BQ85" s="123" t="n"/>
      <c r="BR85" s="123" t="n"/>
      <c r="BS85" s="123" t="n"/>
      <c r="BT85" s="123" t="n"/>
    </row>
    <row r="86">
      <c r="A86" s="8" t="n"/>
      <c r="B86" s="14" t="n"/>
      <c r="C86" s="123" t="n"/>
      <c r="D86" s="126" t="inlineStr">
        <is>
          <t>ITENS GUARDADOS</t>
        </is>
      </c>
      <c r="E86" s="19" t="n"/>
      <c r="F86" s="19" t="n"/>
      <c r="G86" s="19" t="n"/>
      <c r="H86" s="19" t="n"/>
      <c r="I86" s="19" t="n"/>
      <c r="J86" s="19" t="n"/>
      <c r="K86" s="19" t="n"/>
      <c r="L86" s="19" t="n"/>
      <c r="M86" s="19" t="n"/>
      <c r="N86" s="19" t="n"/>
      <c r="O86" s="19" t="n"/>
      <c r="P86" s="19" t="n"/>
      <c r="Q86" s="19" t="n"/>
      <c r="R86" s="19" t="n"/>
      <c r="S86" s="19" t="n"/>
      <c r="T86" s="19" t="n"/>
      <c r="U86" s="19" t="n"/>
      <c r="V86" s="19" t="n"/>
      <c r="W86" s="19" t="n"/>
      <c r="X86" s="19" t="n"/>
      <c r="Y86" s="19" t="n"/>
      <c r="Z86" s="19" t="n"/>
      <c r="AA86" s="19" t="n"/>
      <c r="AB86" s="19" t="n"/>
      <c r="AC86" s="19" t="n"/>
      <c r="AD86" s="19" t="n"/>
      <c r="AE86" s="19" t="n"/>
      <c r="AF86" s="19" t="n"/>
      <c r="AG86" s="19" t="n"/>
      <c r="AH86" s="19" t="n"/>
      <c r="AI86" s="19" t="n"/>
      <c r="AJ86" s="19" t="n"/>
      <c r="AK86" s="19" t="n"/>
      <c r="AL86" s="19" t="n"/>
      <c r="AM86" s="19" t="n"/>
      <c r="AN86" s="19" t="n"/>
      <c r="AO86" s="19" t="n"/>
      <c r="AP86" s="19" t="n"/>
      <c r="AQ86" s="19" t="n"/>
      <c r="AR86" s="19" t="n"/>
      <c r="AS86" s="19" t="n"/>
      <c r="AT86" s="20" t="n"/>
      <c r="AU86" s="123" t="n"/>
      <c r="AV86" s="123" t="n"/>
      <c r="AW86" s="127">
        <f>IF(DADOS!$CZ$48=11,"▸ 11",11)</f>
        <v/>
      </c>
      <c r="AX86" s="127" t="inlineStr">
        <is>
          <t>900</t>
        </is>
      </c>
      <c r="AY86" s="17" t="n"/>
      <c r="AZ86" s="127" t="inlineStr">
        <is>
          <t>4.400</t>
        </is>
      </c>
      <c r="BA86" s="17" t="n"/>
      <c r="BB86" s="123" t="n"/>
      <c r="BC86" s="127">
        <f>IF(DADOS!$CZ$48=26,"▸ 26",26)</f>
        <v/>
      </c>
      <c r="BD86" s="127" t="inlineStr">
        <is>
          <t>1700</t>
        </is>
      </c>
      <c r="BE86" s="17" t="n"/>
      <c r="BF86" s="127" t="inlineStr">
        <is>
          <t>23.900</t>
        </is>
      </c>
      <c r="BG86" s="17" t="n"/>
      <c r="BH86" s="123" t="n"/>
      <c r="BI86" s="123" t="n"/>
      <c r="BJ86" s="123" t="n"/>
      <c r="BK86" s="123" t="n"/>
      <c r="BL86" s="123" t="n"/>
      <c r="BM86" s="123" t="n"/>
      <c r="BN86" s="123" t="n"/>
      <c r="BO86" s="123" t="n"/>
      <c r="BP86" s="123" t="n"/>
      <c r="BQ86" s="123" t="n"/>
      <c r="BR86" s="123" t="n"/>
      <c r="BS86" s="123" t="n"/>
      <c r="BT86" s="123" t="n"/>
    </row>
    <row r="87">
      <c r="A87" s="8" t="n"/>
      <c r="B87" s="14" t="n"/>
      <c r="C87" s="123" t="n"/>
      <c r="D87" s="23" t="n"/>
      <c r="E87" s="24" t="n"/>
      <c r="F87" s="24" t="n"/>
      <c r="G87" s="24" t="n"/>
      <c r="H87" s="24" t="n"/>
      <c r="I87" s="24" t="n"/>
      <c r="J87" s="24" t="n"/>
      <c r="K87" s="24" t="n"/>
      <c r="L87" s="24" t="n"/>
      <c r="M87" s="24" t="n"/>
      <c r="N87" s="24" t="n"/>
      <c r="O87" s="24" t="n"/>
      <c r="P87" s="24" t="n"/>
      <c r="Q87" s="24" t="n"/>
      <c r="R87" s="24" t="n"/>
      <c r="S87" s="24" t="n"/>
      <c r="T87" s="24" t="n"/>
      <c r="U87" s="24" t="n"/>
      <c r="V87" s="24" t="n"/>
      <c r="W87" s="24" t="n"/>
      <c r="X87" s="24" t="n"/>
      <c r="Y87" s="24" t="n"/>
      <c r="Z87" s="24" t="n"/>
      <c r="AA87" s="24" t="n"/>
      <c r="AB87" s="24" t="n"/>
      <c r="AC87" s="24" t="n"/>
      <c r="AD87" s="24" t="n"/>
      <c r="AE87" s="24" t="n"/>
      <c r="AF87" s="24" t="n"/>
      <c r="AG87" s="24" t="n"/>
      <c r="AH87" s="24" t="n"/>
      <c r="AI87" s="24" t="n"/>
      <c r="AJ87" s="24" t="n"/>
      <c r="AK87" s="24" t="n"/>
      <c r="AL87" s="24" t="n"/>
      <c r="AM87" s="24" t="n"/>
      <c r="AN87" s="24" t="n"/>
      <c r="AO87" s="24" t="n"/>
      <c r="AP87" s="24" t="n"/>
      <c r="AQ87" s="24" t="n"/>
      <c r="AR87" s="24" t="n"/>
      <c r="AS87" s="24" t="n"/>
      <c r="AT87" s="25" t="n"/>
      <c r="AU87" s="123" t="n"/>
      <c r="AV87" s="123" t="n"/>
      <c r="AW87" s="127">
        <f>IF(DADOS!$CZ$48=12,"▸ 12",12)</f>
        <v/>
      </c>
      <c r="AX87" s="127" t="inlineStr">
        <is>
          <t>900</t>
        </is>
      </c>
      <c r="AY87" s="17" t="n"/>
      <c r="AZ87" s="127" t="inlineStr">
        <is>
          <t>5.300</t>
        </is>
      </c>
      <c r="BA87" s="17" t="n"/>
      <c r="BB87" s="123" t="n"/>
      <c r="BC87" s="127">
        <f>IF(DADOS!$CZ$48=27,"▸ 27",27)</f>
        <v/>
      </c>
      <c r="BD87" s="127" t="inlineStr">
        <is>
          <t>1700</t>
        </is>
      </c>
      <c r="BE87" s="17" t="n"/>
      <c r="BF87" s="127" t="inlineStr">
        <is>
          <t>25.600</t>
        </is>
      </c>
      <c r="BG87" s="17" t="n"/>
      <c r="BH87" s="123" t="n"/>
      <c r="BI87" s="123" t="n"/>
      <c r="BJ87" s="123" t="n"/>
      <c r="BK87" s="123" t="n"/>
      <c r="BL87" s="123" t="n"/>
      <c r="BM87" s="123" t="n"/>
      <c r="BN87" s="123" t="n"/>
      <c r="BO87" s="123" t="n"/>
      <c r="BP87" s="123" t="n"/>
      <c r="BQ87" s="123" t="n"/>
      <c r="BR87" s="123" t="n"/>
      <c r="BS87" s="123" t="n"/>
      <c r="BT87" s="123" t="n"/>
    </row>
    <row r="88">
      <c r="A88" s="8" t="n"/>
      <c r="B88" s="14" t="n"/>
      <c r="C88" s="123" t="n"/>
      <c r="D88" s="55" t="inlineStr">
        <is>
          <t>ITEM</t>
        </is>
      </c>
      <c r="E88" s="16" t="n"/>
      <c r="F88" s="16" t="n"/>
      <c r="G88" s="16" t="n"/>
      <c r="H88" s="16" t="n"/>
      <c r="I88" s="16" t="n"/>
      <c r="J88" s="16" t="n"/>
      <c r="K88" s="16" t="n"/>
      <c r="L88" s="16" t="n"/>
      <c r="M88" s="16" t="n"/>
      <c r="N88" s="16" t="n"/>
      <c r="O88" s="16" t="n"/>
      <c r="P88" s="16" t="n"/>
      <c r="Q88" s="16" t="n"/>
      <c r="R88" s="16" t="n"/>
      <c r="S88" s="17" t="n"/>
      <c r="T88" s="55" t="inlineStr">
        <is>
          <t>QTD.</t>
        </is>
      </c>
      <c r="U88" s="17" t="n"/>
      <c r="V88" s="55" t="inlineStr">
        <is>
          <t>VOL.</t>
        </is>
      </c>
      <c r="W88" s="16" t="n"/>
      <c r="X88" s="17" t="n"/>
      <c r="Y88" s="123" t="n"/>
      <c r="Z88" s="55" t="inlineStr">
        <is>
          <t>ITEM</t>
        </is>
      </c>
      <c r="AA88" s="16" t="n"/>
      <c r="AB88" s="16" t="n"/>
      <c r="AC88" s="16" t="n"/>
      <c r="AD88" s="16" t="n"/>
      <c r="AE88" s="16" t="n"/>
      <c r="AF88" s="16" t="n"/>
      <c r="AG88" s="16" t="n"/>
      <c r="AH88" s="16" t="n"/>
      <c r="AI88" s="16" t="n"/>
      <c r="AJ88" s="16" t="n"/>
      <c r="AK88" s="16" t="n"/>
      <c r="AL88" s="16" t="n"/>
      <c r="AM88" s="16" t="n"/>
      <c r="AN88" s="16" t="n"/>
      <c r="AO88" s="17" t="n"/>
      <c r="AP88" s="55" t="inlineStr">
        <is>
          <t>QTD.</t>
        </is>
      </c>
      <c r="AQ88" s="17" t="n"/>
      <c r="AR88" s="55" t="inlineStr">
        <is>
          <t>VOL.</t>
        </is>
      </c>
      <c r="AS88" s="16" t="n"/>
      <c r="AT88" s="17" t="n"/>
      <c r="AU88" s="123" t="n"/>
      <c r="AV88" s="123" t="n"/>
      <c r="AW88" s="127">
        <f>IF(DADOS!$CZ$48=13,"▸ 13",13)</f>
        <v/>
      </c>
      <c r="AX88" s="127" t="inlineStr">
        <is>
          <t>900</t>
        </is>
      </c>
      <c r="AY88" s="17" t="n"/>
      <c r="AZ88" s="127" t="inlineStr">
        <is>
          <t>6.200</t>
        </is>
      </c>
      <c r="BA88" s="17" t="n"/>
      <c r="BB88" s="123" t="n"/>
      <c r="BC88" s="127">
        <f>IF(DADOS!$CZ$48=28,"▸ 28",28)</f>
        <v/>
      </c>
      <c r="BD88" s="127" t="inlineStr">
        <is>
          <t>1700</t>
        </is>
      </c>
      <c r="BE88" s="17" t="n"/>
      <c r="BF88" s="127" t="inlineStr">
        <is>
          <t>27.300</t>
        </is>
      </c>
      <c r="BG88" s="17" t="n"/>
      <c r="BH88" s="123" t="n"/>
      <c r="BI88" s="123" t="n"/>
      <c r="BJ88" s="123" t="n"/>
      <c r="BK88" s="123" t="n"/>
      <c r="BL88" s="123" t="n"/>
      <c r="BM88" s="123" t="n"/>
      <c r="BN88" s="123" t="n"/>
      <c r="BO88" s="123" t="n"/>
      <c r="BP88" s="123" t="n"/>
      <c r="BQ88" s="123" t="n"/>
      <c r="BR88" s="123" t="n"/>
      <c r="BS88" s="123" t="n"/>
      <c r="BT88" s="123" t="n"/>
    </row>
    <row r="89">
      <c r="A89" s="8" t="n"/>
      <c r="B89" s="14" t="n"/>
      <c r="C89" s="123" t="n"/>
      <c r="D89" s="133" t="n"/>
      <c r="E89" s="16" t="n"/>
      <c r="F89" s="16" t="n"/>
      <c r="G89" s="16" t="n"/>
      <c r="H89" s="16" t="n"/>
      <c r="I89" s="16" t="n"/>
      <c r="J89" s="16" t="n"/>
      <c r="K89" s="16" t="n"/>
      <c r="L89" s="16" t="n"/>
      <c r="M89" s="16" t="n"/>
      <c r="N89" s="16" t="n"/>
      <c r="O89" s="16" t="n"/>
      <c r="P89" s="16" t="n"/>
      <c r="Q89" s="16" t="n"/>
      <c r="R89" s="16" t="n"/>
      <c r="S89" s="17" t="n"/>
      <c r="T89" s="127" t="n"/>
      <c r="U89" s="17" t="n"/>
      <c r="V89" s="127">
        <f>IF($D89="","",IF($T89="",1,$T89)*0.1)</f>
        <v/>
      </c>
      <c r="W89" s="16" t="n"/>
      <c r="X89" s="17" t="n"/>
      <c r="Y89" s="123" t="n"/>
      <c r="Z89" s="133" t="n"/>
      <c r="AA89" s="16" t="n"/>
      <c r="AB89" s="16" t="n"/>
      <c r="AC89" s="16" t="n"/>
      <c r="AD89" s="16" t="n"/>
      <c r="AE89" s="16" t="n"/>
      <c r="AF89" s="16" t="n"/>
      <c r="AG89" s="16" t="n"/>
      <c r="AH89" s="16" t="n"/>
      <c r="AI89" s="16" t="n"/>
      <c r="AJ89" s="16" t="n"/>
      <c r="AK89" s="16" t="n"/>
      <c r="AL89" s="16" t="n"/>
      <c r="AM89" s="16" t="n"/>
      <c r="AN89" s="16" t="n"/>
      <c r="AO89" s="17" t="n"/>
      <c r="AP89" s="127" t="n"/>
      <c r="AQ89" s="17" t="n"/>
      <c r="AR89" s="127">
        <f>IF($Z89="","",IF($AP89="",1,$AP89)*0.1)</f>
        <v/>
      </c>
      <c r="AS89" s="16" t="n"/>
      <c r="AT89" s="17" t="n"/>
      <c r="AU89" s="123" t="n"/>
      <c r="AV89" s="123" t="n"/>
      <c r="AW89" s="127">
        <f>IF(DADOS!$CZ$48=14,"▸ 14",14)</f>
        <v/>
      </c>
      <c r="AX89" s="127" t="inlineStr">
        <is>
          <t>1100</t>
        </is>
      </c>
      <c r="AY89" s="17" t="n"/>
      <c r="AZ89" s="127" t="inlineStr">
        <is>
          <t>7.100</t>
        </is>
      </c>
      <c r="BA89" s="17" t="n"/>
      <c r="BB89" s="123" t="n"/>
      <c r="BC89" s="127">
        <f>IF(DADOS!$CZ$48=29,"▸ 29",29)</f>
        <v/>
      </c>
      <c r="BD89" s="127" t="inlineStr">
        <is>
          <t>1700</t>
        </is>
      </c>
      <c r="BE89" s="17" t="n"/>
      <c r="BF89" s="127" t="inlineStr">
        <is>
          <t>29.000</t>
        </is>
      </c>
      <c r="BG89" s="17" t="n"/>
      <c r="BH89" s="123" t="n"/>
      <c r="BI89" s="123" t="n"/>
      <c r="BJ89" s="123" t="n"/>
      <c r="BK89" s="123" t="n"/>
      <c r="BL89" s="123" t="n"/>
      <c r="BM89" s="123" t="n"/>
      <c r="BN89" s="123" t="n"/>
      <c r="BO89" s="123" t="n"/>
      <c r="BP89" s="123" t="n"/>
      <c r="BQ89" s="123" t="n"/>
      <c r="BR89" s="123" t="n"/>
      <c r="BS89" s="123" t="n"/>
      <c r="BT89" s="123" t="n"/>
    </row>
    <row r="90">
      <c r="A90" s="8" t="n"/>
      <c r="B90" s="14" t="n"/>
      <c r="C90" s="123" t="n"/>
      <c r="D90" s="133" t="n"/>
      <c r="E90" s="16" t="n"/>
      <c r="F90" s="16" t="n"/>
      <c r="G90" s="16" t="n"/>
      <c r="H90" s="16" t="n"/>
      <c r="I90" s="16" t="n"/>
      <c r="J90" s="16" t="n"/>
      <c r="K90" s="16" t="n"/>
      <c r="L90" s="16" t="n"/>
      <c r="M90" s="16" t="n"/>
      <c r="N90" s="16" t="n"/>
      <c r="O90" s="16" t="n"/>
      <c r="P90" s="16" t="n"/>
      <c r="Q90" s="16" t="n"/>
      <c r="R90" s="16" t="n"/>
      <c r="S90" s="17" t="n"/>
      <c r="T90" s="127" t="n"/>
      <c r="U90" s="17" t="n"/>
      <c r="V90" s="127">
        <f>IF($D90="","",IF($T90="",1,$T90)*0.1)</f>
        <v/>
      </c>
      <c r="W90" s="16" t="n"/>
      <c r="X90" s="17" t="n"/>
      <c r="Y90" s="123" t="n"/>
      <c r="Z90" s="133" t="n"/>
      <c r="AA90" s="16" t="n"/>
      <c r="AB90" s="16" t="n"/>
      <c r="AC90" s="16" t="n"/>
      <c r="AD90" s="16" t="n"/>
      <c r="AE90" s="16" t="n"/>
      <c r="AF90" s="16" t="n"/>
      <c r="AG90" s="16" t="n"/>
      <c r="AH90" s="16" t="n"/>
      <c r="AI90" s="16" t="n"/>
      <c r="AJ90" s="16" t="n"/>
      <c r="AK90" s="16" t="n"/>
      <c r="AL90" s="16" t="n"/>
      <c r="AM90" s="16" t="n"/>
      <c r="AN90" s="16" t="n"/>
      <c r="AO90" s="17" t="n"/>
      <c r="AP90" s="127" t="n"/>
      <c r="AQ90" s="17" t="n"/>
      <c r="AR90" s="127">
        <f>IF($Z90="","",IF($AP90="",1,$AP90)*0.1)</f>
        <v/>
      </c>
      <c r="AS90" s="16" t="n"/>
      <c r="AT90" s="17" t="n"/>
      <c r="AU90" s="123" t="n"/>
      <c r="AV90" s="123" t="n"/>
      <c r="AW90" s="127">
        <f>IF(DADOS!$CZ$48=15,"▸ 15",15)</f>
        <v/>
      </c>
      <c r="AX90" s="127" t="inlineStr">
        <is>
          <t>1100</t>
        </is>
      </c>
      <c r="AY90" s="17" t="n"/>
      <c r="AZ90" s="127" t="inlineStr">
        <is>
          <t>8.200</t>
        </is>
      </c>
      <c r="BA90" s="17" t="n"/>
      <c r="BB90" s="123" t="n"/>
      <c r="BC90" s="127">
        <f>IF(DADOS!$CZ$48=30,"▸ 30",30)</f>
        <v/>
      </c>
      <c r="BD90" s="127" t="inlineStr">
        <is>
          <t>—</t>
        </is>
      </c>
      <c r="BE90" s="17" t="n"/>
      <c r="BF90" s="127" t="inlineStr">
        <is>
          <t>30.700</t>
        </is>
      </c>
      <c r="BG90" s="17" t="n"/>
      <c r="BH90" s="123" t="n"/>
      <c r="BI90" s="123" t="n"/>
      <c r="BJ90" s="123" t="n"/>
      <c r="BK90" s="123" t="n"/>
      <c r="BL90" s="123" t="n"/>
      <c r="BM90" s="123" t="n"/>
      <c r="BN90" s="123" t="n"/>
      <c r="BO90" s="123" t="n"/>
      <c r="BP90" s="123" t="n"/>
      <c r="BQ90" s="123" t="n"/>
      <c r="BR90" s="123" t="n"/>
      <c r="BS90" s="123" t="n"/>
      <c r="BT90" s="123" t="n"/>
    </row>
    <row r="91">
      <c r="A91" s="8" t="n"/>
      <c r="B91" s="14" t="n"/>
      <c r="C91" s="123" t="n"/>
      <c r="D91" s="133" t="n"/>
      <c r="E91" s="16" t="n"/>
      <c r="F91" s="16" t="n"/>
      <c r="G91" s="16" t="n"/>
      <c r="H91" s="16" t="n"/>
      <c r="I91" s="16" t="n"/>
      <c r="J91" s="16" t="n"/>
      <c r="K91" s="16" t="n"/>
      <c r="L91" s="16" t="n"/>
      <c r="M91" s="16" t="n"/>
      <c r="N91" s="16" t="n"/>
      <c r="O91" s="16" t="n"/>
      <c r="P91" s="16" t="n"/>
      <c r="Q91" s="16" t="n"/>
      <c r="R91" s="16" t="n"/>
      <c r="S91" s="17" t="n"/>
      <c r="T91" s="127" t="n"/>
      <c r="U91" s="17" t="n"/>
      <c r="V91" s="127">
        <f>IF($D91="","",IF($T91="",1,$T91)*0.1)</f>
        <v/>
      </c>
      <c r="W91" s="16" t="n"/>
      <c r="X91" s="17" t="n"/>
      <c r="Y91" s="123" t="n"/>
      <c r="Z91" s="133" t="n"/>
      <c r="AA91" s="16" t="n"/>
      <c r="AB91" s="16" t="n"/>
      <c r="AC91" s="16" t="n"/>
      <c r="AD91" s="16" t="n"/>
      <c r="AE91" s="16" t="n"/>
      <c r="AF91" s="16" t="n"/>
      <c r="AG91" s="16" t="n"/>
      <c r="AH91" s="16" t="n"/>
      <c r="AI91" s="16" t="n"/>
      <c r="AJ91" s="16" t="n"/>
      <c r="AK91" s="16" t="n"/>
      <c r="AL91" s="16" t="n"/>
      <c r="AM91" s="16" t="n"/>
      <c r="AN91" s="16" t="n"/>
      <c r="AO91" s="17" t="n"/>
      <c r="AP91" s="127" t="n"/>
      <c r="AQ91" s="17" t="n"/>
      <c r="AR91" s="127">
        <f>IF($Z91="","",IF($AP91="",1,$AP91)*0.1)</f>
        <v/>
      </c>
      <c r="AS91" s="16" t="n"/>
      <c r="AT91" s="17" t="n"/>
      <c r="AU91" s="123" t="n"/>
      <c r="AV91" s="123" t="n"/>
      <c r="AW91" s="127">
        <f>IF(DADOS!$CZ$48=16,"▸ 16",16)</f>
        <v/>
      </c>
      <c r="AX91" s="127" t="inlineStr">
        <is>
          <t>1100</t>
        </is>
      </c>
      <c r="AY91" s="17" t="n"/>
      <c r="AZ91" s="127" t="inlineStr">
        <is>
          <t>9.300</t>
        </is>
      </c>
      <c r="BA91" s="17" t="n"/>
      <c r="BB91" s="123" t="n"/>
      <c r="BC91" s="123" t="n"/>
      <c r="BD91" s="123" t="n"/>
      <c r="BE91" s="123" t="n"/>
      <c r="BF91" s="123" t="n"/>
      <c r="BG91" s="123" t="n"/>
      <c r="BH91" s="123" t="n"/>
      <c r="BI91" s="123" t="n"/>
      <c r="BJ91" s="123" t="n"/>
      <c r="BK91" s="123" t="n"/>
      <c r="BL91" s="123" t="n"/>
      <c r="BM91" s="123" t="n"/>
      <c r="BN91" s="123" t="n"/>
      <c r="BO91" s="123" t="n"/>
      <c r="BP91" s="123" t="n"/>
      <c r="BQ91" s="123" t="n"/>
      <c r="BR91" s="123" t="n"/>
      <c r="BS91" s="123" t="n"/>
      <c r="BT91" s="123" t="n"/>
    </row>
    <row r="92">
      <c r="A92" s="8" t="n"/>
      <c r="B92" s="14" t="n"/>
      <c r="C92" s="123" t="n"/>
      <c r="D92" s="133" t="n"/>
      <c r="E92" s="16" t="n"/>
      <c r="F92" s="16" t="n"/>
      <c r="G92" s="16" t="n"/>
      <c r="H92" s="16" t="n"/>
      <c r="I92" s="16" t="n"/>
      <c r="J92" s="16" t="n"/>
      <c r="K92" s="16" t="n"/>
      <c r="L92" s="16" t="n"/>
      <c r="M92" s="16" t="n"/>
      <c r="N92" s="16" t="n"/>
      <c r="O92" s="16" t="n"/>
      <c r="P92" s="16" t="n"/>
      <c r="Q92" s="16" t="n"/>
      <c r="R92" s="16" t="n"/>
      <c r="S92" s="17" t="n"/>
      <c r="T92" s="127" t="n"/>
      <c r="U92" s="17" t="n"/>
      <c r="V92" s="127">
        <f>IF($D92="","",IF($T92="",1,$T92)*0.1)</f>
        <v/>
      </c>
      <c r="W92" s="16" t="n"/>
      <c r="X92" s="17" t="n"/>
      <c r="Y92" s="123" t="n"/>
      <c r="Z92" s="133" t="n"/>
      <c r="AA92" s="16" t="n"/>
      <c r="AB92" s="16" t="n"/>
      <c r="AC92" s="16" t="n"/>
      <c r="AD92" s="16" t="n"/>
      <c r="AE92" s="16" t="n"/>
      <c r="AF92" s="16" t="n"/>
      <c r="AG92" s="16" t="n"/>
      <c r="AH92" s="16" t="n"/>
      <c r="AI92" s="16" t="n"/>
      <c r="AJ92" s="16" t="n"/>
      <c r="AK92" s="16" t="n"/>
      <c r="AL92" s="16" t="n"/>
      <c r="AM92" s="16" t="n"/>
      <c r="AN92" s="16" t="n"/>
      <c r="AO92" s="17" t="n"/>
      <c r="AP92" s="127" t="n"/>
      <c r="AQ92" s="17" t="n"/>
      <c r="AR92" s="127">
        <f>IF($Z92="","",IF($AP92="",1,$AP92)*0.1)</f>
        <v/>
      </c>
      <c r="AS92" s="16" t="n"/>
      <c r="AT92" s="17" t="n"/>
      <c r="AU92" s="123" t="n"/>
      <c r="AV92" s="123" t="n"/>
      <c r="AW92" s="123" t="n"/>
      <c r="AX92" s="123" t="n"/>
      <c r="AY92" s="123" t="n"/>
      <c r="AZ92" s="123" t="n"/>
      <c r="BA92" s="123" t="n"/>
      <c r="BB92" s="123" t="n"/>
      <c r="BC92" s="123" t="n"/>
      <c r="BD92" s="123" t="n"/>
      <c r="BE92" s="123" t="n"/>
      <c r="BF92" s="123" t="n"/>
      <c r="BG92" s="123" t="n"/>
      <c r="BH92" s="123" t="n"/>
      <c r="BI92" s="123" t="n"/>
      <c r="BJ92" s="123" t="n"/>
      <c r="BK92" s="123" t="n"/>
      <c r="BL92" s="123" t="n"/>
      <c r="BM92" s="123" t="n"/>
      <c r="BN92" s="123" t="n"/>
      <c r="BO92" s="123" t="n"/>
      <c r="BP92" s="123" t="n"/>
      <c r="BQ92" s="123" t="n"/>
      <c r="BR92" s="123" t="n"/>
      <c r="BS92" s="123" t="n"/>
      <c r="BT92" s="123" t="n"/>
    </row>
    <row r="93">
      <c r="A93" s="8" t="n"/>
      <c r="B93" s="14" t="n"/>
      <c r="C93" s="123" t="n"/>
      <c r="D93" s="133" t="n"/>
      <c r="E93" s="16" t="n"/>
      <c r="F93" s="16" t="n"/>
      <c r="G93" s="16" t="n"/>
      <c r="H93" s="16" t="n"/>
      <c r="I93" s="16" t="n"/>
      <c r="J93" s="16" t="n"/>
      <c r="K93" s="16" t="n"/>
      <c r="L93" s="16" t="n"/>
      <c r="M93" s="16" t="n"/>
      <c r="N93" s="16" t="n"/>
      <c r="O93" s="16" t="n"/>
      <c r="P93" s="16" t="n"/>
      <c r="Q93" s="16" t="n"/>
      <c r="R93" s="16" t="n"/>
      <c r="S93" s="17" t="n"/>
      <c r="T93" s="127" t="n"/>
      <c r="U93" s="17" t="n"/>
      <c r="V93" s="127">
        <f>IF($D93="","",IF($T93="",1,$T93)*0.1)</f>
        <v/>
      </c>
      <c r="W93" s="16" t="n"/>
      <c r="X93" s="17" t="n"/>
      <c r="Y93" s="123" t="n"/>
      <c r="Z93" s="133" t="n"/>
      <c r="AA93" s="16" t="n"/>
      <c r="AB93" s="16" t="n"/>
      <c r="AC93" s="16" t="n"/>
      <c r="AD93" s="16" t="n"/>
      <c r="AE93" s="16" t="n"/>
      <c r="AF93" s="16" t="n"/>
      <c r="AG93" s="16" t="n"/>
      <c r="AH93" s="16" t="n"/>
      <c r="AI93" s="16" t="n"/>
      <c r="AJ93" s="16" t="n"/>
      <c r="AK93" s="16" t="n"/>
      <c r="AL93" s="16" t="n"/>
      <c r="AM93" s="16" t="n"/>
      <c r="AN93" s="16" t="n"/>
      <c r="AO93" s="17" t="n"/>
      <c r="AP93" s="127" t="n"/>
      <c r="AQ93" s="17" t="n"/>
      <c r="AR93" s="127">
        <f>IF($Z93="","",IF($AP93="",1,$AP93)*0.1)</f>
        <v/>
      </c>
      <c r="AS93" s="16" t="n"/>
      <c r="AT93" s="17" t="n"/>
      <c r="AU93" s="123" t="n"/>
      <c r="AV93" s="123" t="n"/>
      <c r="AW93" s="123" t="n"/>
      <c r="AX93" s="123" t="n"/>
      <c r="AY93" s="123" t="n"/>
      <c r="AZ93" s="123" t="n"/>
      <c r="BA93" s="123" t="n"/>
      <c r="BB93" s="123" t="n"/>
      <c r="BC93" s="123" t="n"/>
      <c r="BD93" s="123" t="n"/>
      <c r="BE93" s="123" t="n"/>
      <c r="BF93" s="123" t="n"/>
      <c r="BG93" s="123" t="n"/>
      <c r="BH93" s="123" t="n"/>
      <c r="BI93" s="123" t="n"/>
      <c r="BJ93" s="123" t="n"/>
      <c r="BK93" s="123" t="n"/>
      <c r="BL93" s="123" t="n"/>
      <c r="BM93" s="123" t="n"/>
      <c r="BN93" s="123" t="n"/>
      <c r="BO93" s="123" t="n"/>
      <c r="BP93" s="123" t="n"/>
      <c r="BQ93" s="123" t="n"/>
      <c r="BR93" s="123" t="n"/>
      <c r="BS93" s="123" t="n"/>
      <c r="BT93" s="123" t="n"/>
    </row>
    <row r="94">
      <c r="A94" s="8" t="n"/>
      <c r="B94" s="14" t="n"/>
      <c r="C94" s="123" t="n"/>
      <c r="D94" s="133" t="n"/>
      <c r="E94" s="16" t="n"/>
      <c r="F94" s="16" t="n"/>
      <c r="G94" s="16" t="n"/>
      <c r="H94" s="16" t="n"/>
      <c r="I94" s="16" t="n"/>
      <c r="J94" s="16" t="n"/>
      <c r="K94" s="16" t="n"/>
      <c r="L94" s="16" t="n"/>
      <c r="M94" s="16" t="n"/>
      <c r="N94" s="16" t="n"/>
      <c r="O94" s="16" t="n"/>
      <c r="P94" s="16" t="n"/>
      <c r="Q94" s="16" t="n"/>
      <c r="R94" s="16" t="n"/>
      <c r="S94" s="17" t="n"/>
      <c r="T94" s="127" t="n"/>
      <c r="U94" s="17" t="n"/>
      <c r="V94" s="127">
        <f>IF($D94="","",IF($T94="",1,$T94)*0.1)</f>
        <v/>
      </c>
      <c r="W94" s="16" t="n"/>
      <c r="X94" s="17" t="n"/>
      <c r="Y94" s="123" t="n"/>
      <c r="Z94" s="133" t="n"/>
      <c r="AA94" s="16" t="n"/>
      <c r="AB94" s="16" t="n"/>
      <c r="AC94" s="16" t="n"/>
      <c r="AD94" s="16" t="n"/>
      <c r="AE94" s="16" t="n"/>
      <c r="AF94" s="16" t="n"/>
      <c r="AG94" s="16" t="n"/>
      <c r="AH94" s="16" t="n"/>
      <c r="AI94" s="16" t="n"/>
      <c r="AJ94" s="16" t="n"/>
      <c r="AK94" s="16" t="n"/>
      <c r="AL94" s="16" t="n"/>
      <c r="AM94" s="16" t="n"/>
      <c r="AN94" s="16" t="n"/>
      <c r="AO94" s="17" t="n"/>
      <c r="AP94" s="127" t="n"/>
      <c r="AQ94" s="17" t="n"/>
      <c r="AR94" s="127">
        <f>IF($Z94="","",IF($AP94="",1,$AP94)*0.1)</f>
        <v/>
      </c>
      <c r="AS94" s="16" t="n"/>
      <c r="AT94" s="17" t="n"/>
      <c r="AU94" s="123" t="n"/>
      <c r="AV94" s="123" t="n"/>
      <c r="AW94" s="123" t="n"/>
      <c r="AX94" s="123" t="n"/>
      <c r="AY94" s="123" t="n"/>
      <c r="AZ94" s="123" t="n"/>
      <c r="BA94" s="123" t="n"/>
      <c r="BB94" s="123" t="n"/>
      <c r="BC94" s="123" t="n"/>
      <c r="BD94" s="123" t="n"/>
      <c r="BE94" s="123" t="n"/>
      <c r="BF94" s="123" t="n"/>
      <c r="BG94" s="123" t="n"/>
      <c r="BH94" s="123" t="n"/>
      <c r="BI94" s="123" t="n"/>
      <c r="BJ94" s="123" t="n"/>
      <c r="BK94" s="123" t="n"/>
      <c r="BL94" s="123" t="n"/>
      <c r="BM94" s="123" t="n"/>
      <c r="BN94" s="123" t="n"/>
      <c r="BO94" s="123" t="n"/>
      <c r="BP94" s="123" t="n"/>
      <c r="BQ94" s="123" t="n"/>
      <c r="BR94" s="123" t="n"/>
      <c r="BS94" s="123" t="n"/>
      <c r="BT94" s="123" t="n"/>
    </row>
    <row r="95">
      <c r="A95" s="8" t="n"/>
      <c r="B95" s="14" t="n"/>
      <c r="C95" s="123" t="n"/>
      <c r="D95" s="123" t="n"/>
      <c r="E95" s="123" t="n"/>
      <c r="F95" s="123" t="n"/>
      <c r="G95" s="123" t="n"/>
      <c r="H95" s="123" t="n"/>
      <c r="I95" s="123" t="n"/>
      <c r="J95" s="123" t="n"/>
      <c r="K95" s="123" t="n"/>
      <c r="L95" s="123" t="n"/>
      <c r="M95" s="123" t="n"/>
      <c r="N95" s="123" t="n"/>
      <c r="O95" s="123" t="n"/>
      <c r="P95" s="123" t="n"/>
      <c r="Q95" s="123" t="n"/>
      <c r="R95" s="123" t="n"/>
      <c r="S95" s="123" t="n"/>
      <c r="T95" s="123" t="n"/>
      <c r="U95" s="123" t="n"/>
      <c r="V95" s="123" t="n"/>
      <c r="W95" s="123" t="n"/>
      <c r="X95" s="123" t="n"/>
      <c r="Y95" s="123" t="n"/>
      <c r="Z95" s="123" t="n"/>
      <c r="AA95" s="123" t="n"/>
      <c r="AB95" s="123" t="n"/>
      <c r="AC95" s="123" t="n"/>
      <c r="AD95" s="123" t="n"/>
      <c r="AE95" s="123" t="n"/>
      <c r="AF95" s="123" t="n"/>
      <c r="AG95" s="123" t="n"/>
      <c r="AH95" s="123" t="n"/>
      <c r="AI95" s="123" t="n"/>
      <c r="AJ95" s="123" t="n"/>
      <c r="AK95" s="123" t="n"/>
      <c r="AL95" s="123" t="n"/>
      <c r="AM95" s="123" t="n"/>
      <c r="AN95" s="123" t="n"/>
      <c r="AO95" s="123" t="n"/>
      <c r="AP95" s="123" t="n"/>
      <c r="AQ95" s="123" t="n"/>
      <c r="AR95" s="123" t="n"/>
      <c r="AS95" s="123" t="n"/>
      <c r="AT95" s="123" t="n"/>
      <c r="AU95" s="123" t="n"/>
      <c r="AV95" s="123" t="n"/>
      <c r="AW95" s="123" t="n"/>
      <c r="AX95" s="123" t="n"/>
      <c r="AY95" s="123" t="n"/>
      <c r="AZ95" s="123" t="n"/>
      <c r="BA95" s="123" t="n"/>
      <c r="BB95" s="123" t="n"/>
      <c r="BC95" s="123" t="n"/>
      <c r="BD95" s="123" t="n"/>
      <c r="BE95" s="123" t="n"/>
      <c r="BF95" s="123" t="n"/>
      <c r="BG95" s="123" t="n"/>
      <c r="BH95" s="123" t="n"/>
      <c r="BI95" s="123" t="n"/>
      <c r="BJ95" s="123" t="n"/>
      <c r="BK95" s="123" t="n"/>
      <c r="BL95" s="123" t="n"/>
      <c r="BM95" s="123" t="n"/>
      <c r="BN95" s="123" t="n"/>
      <c r="BO95" s="123" t="n"/>
      <c r="BP95" s="123" t="n"/>
      <c r="BQ95" s="123" t="n"/>
      <c r="BR95" s="123" t="n"/>
      <c r="BS95" s="123" t="n"/>
      <c r="BT95" s="123" t="n"/>
    </row>
  </sheetData>
  <mergeCells count="356">
    <mergeCell ref="AN70:AT70"/>
    <mergeCell ref="M84:R84"/>
    <mergeCell ref="W68:AD68"/>
    <mergeCell ref="M80:R80"/>
    <mergeCell ref="K81:L81"/>
    <mergeCell ref="AN65:AT65"/>
    <mergeCell ref="AI76:AJ76"/>
    <mergeCell ref="D52:J52"/>
    <mergeCell ref="W59:AD59"/>
    <mergeCell ref="BD87:BE87"/>
    <mergeCell ref="BF87:BG87"/>
    <mergeCell ref="V92:X92"/>
    <mergeCell ref="AF63:AL63"/>
    <mergeCell ref="S83:T83"/>
    <mergeCell ref="U83:V83"/>
    <mergeCell ref="W61:AD61"/>
    <mergeCell ref="BD89:BE89"/>
    <mergeCell ref="AN60:AT60"/>
    <mergeCell ref="AI77:AJ77"/>
    <mergeCell ref="V94:X94"/>
    <mergeCell ref="Q40:W40"/>
    <mergeCell ref="AQ82:AT82"/>
    <mergeCell ref="U78:V78"/>
    <mergeCell ref="V89:X89"/>
    <mergeCell ref="A8:B29"/>
    <mergeCell ref="U80:V80"/>
    <mergeCell ref="S49:AF50"/>
    <mergeCell ref="AK76:AP76"/>
    <mergeCell ref="D79:J79"/>
    <mergeCell ref="AO10:AT10"/>
    <mergeCell ref="AF56:AL56"/>
    <mergeCell ref="D46:AT47"/>
    <mergeCell ref="BD82:BE82"/>
    <mergeCell ref="BF82:BG82"/>
    <mergeCell ref="W76:AD76"/>
    <mergeCell ref="D81:J81"/>
    <mergeCell ref="E65:L65"/>
    <mergeCell ref="AK77:AP77"/>
    <mergeCell ref="AW8:BG9"/>
    <mergeCell ref="Q11:Z12"/>
    <mergeCell ref="L70:M70"/>
    <mergeCell ref="Y15:AE16"/>
    <mergeCell ref="U84:V84"/>
    <mergeCell ref="D92:S92"/>
    <mergeCell ref="N66:U66"/>
    <mergeCell ref="AI83:AJ83"/>
    <mergeCell ref="Q41:W41"/>
    <mergeCell ref="W64:AD64"/>
    <mergeCell ref="AQ83:AT83"/>
    <mergeCell ref="D94:S94"/>
    <mergeCell ref="N68:U68"/>
    <mergeCell ref="N61:U61"/>
    <mergeCell ref="BD83:BE83"/>
    <mergeCell ref="BF83:BG83"/>
    <mergeCell ref="W77:AD77"/>
    <mergeCell ref="W82:AD82"/>
    <mergeCell ref="BD85:BE85"/>
    <mergeCell ref="BF85:BG85"/>
    <mergeCell ref="AW74:BG75"/>
    <mergeCell ref="Z88:AO88"/>
    <mergeCell ref="Q19:AG20"/>
    <mergeCell ref="D82:J82"/>
    <mergeCell ref="BF80:BG80"/>
    <mergeCell ref="AQ80:AT80"/>
    <mergeCell ref="N56:U56"/>
    <mergeCell ref="AO11:AT12"/>
    <mergeCell ref="Z90:AO90"/>
    <mergeCell ref="U76:V76"/>
    <mergeCell ref="N67:U67"/>
    <mergeCell ref="D77:J77"/>
    <mergeCell ref="N59:U59"/>
    <mergeCell ref="L71:M72"/>
    <mergeCell ref="AE84:AF84"/>
    <mergeCell ref="AG78:AH78"/>
    <mergeCell ref="K52:Q52"/>
    <mergeCell ref="AE80:AF80"/>
    <mergeCell ref="AI11:AM12"/>
    <mergeCell ref="AR88:AT88"/>
    <mergeCell ref="BE11:BG12"/>
    <mergeCell ref="AN62:AT62"/>
    <mergeCell ref="BF84:BG84"/>
    <mergeCell ref="AP92:AQ92"/>
    <mergeCell ref="W83:AD83"/>
    <mergeCell ref="D88:S88"/>
    <mergeCell ref="S48:AF48"/>
    <mergeCell ref="BF86:BG86"/>
    <mergeCell ref="AP94:AQ94"/>
    <mergeCell ref="D90:S90"/>
    <mergeCell ref="N64:U64"/>
    <mergeCell ref="S52:Y52"/>
    <mergeCell ref="E59:L59"/>
    <mergeCell ref="AF66:AL66"/>
    <mergeCell ref="AQ81:AT81"/>
    <mergeCell ref="AO52:AT52"/>
    <mergeCell ref="N57:U57"/>
    <mergeCell ref="AP89:AQ89"/>
    <mergeCell ref="Z91:AO91"/>
    <mergeCell ref="AG15:AM16"/>
    <mergeCell ref="E61:L61"/>
    <mergeCell ref="AF68:AL68"/>
    <mergeCell ref="Z93:AO93"/>
    <mergeCell ref="AX79:AY79"/>
    <mergeCell ref="K78:L78"/>
    <mergeCell ref="E56:L56"/>
    <mergeCell ref="S51:AF51"/>
    <mergeCell ref="AH51:AT51"/>
    <mergeCell ref="AX81:AY81"/>
    <mergeCell ref="K80:L80"/>
    <mergeCell ref="K79:L79"/>
    <mergeCell ref="H2:Z3"/>
    <mergeCell ref="Y42:AT44"/>
    <mergeCell ref="BF76:BG76"/>
    <mergeCell ref="AX76:AY76"/>
    <mergeCell ref="D10:O28"/>
    <mergeCell ref="AZ76:BA76"/>
    <mergeCell ref="T92:U92"/>
    <mergeCell ref="W66:AD66"/>
    <mergeCell ref="AR91:AT91"/>
    <mergeCell ref="T94:U94"/>
    <mergeCell ref="Y14:AE14"/>
    <mergeCell ref="Q14:W14"/>
    <mergeCell ref="AN63:AT63"/>
    <mergeCell ref="D91:S91"/>
    <mergeCell ref="N65:U65"/>
    <mergeCell ref="M79:R79"/>
    <mergeCell ref="D93:S93"/>
    <mergeCell ref="AE76:AF76"/>
    <mergeCell ref="AZ87:BA87"/>
    <mergeCell ref="E62:L62"/>
    <mergeCell ref="AI10:AM10"/>
    <mergeCell ref="W71:AD72"/>
    <mergeCell ref="AZ89:BA89"/>
    <mergeCell ref="E64:L64"/>
    <mergeCell ref="AE77:AF77"/>
    <mergeCell ref="AG77:AH77"/>
    <mergeCell ref="Q22:AT22"/>
    <mergeCell ref="S78:T78"/>
    <mergeCell ref="W56:AD56"/>
    <mergeCell ref="D31:O38"/>
    <mergeCell ref="D2:G4"/>
    <mergeCell ref="S80:T80"/>
    <mergeCell ref="V91:X91"/>
    <mergeCell ref="AF62:AL62"/>
    <mergeCell ref="AP91:AQ91"/>
    <mergeCell ref="AR93:AT93"/>
    <mergeCell ref="AZ77:BA77"/>
    <mergeCell ref="AX82:AY82"/>
    <mergeCell ref="D8:AT9"/>
    <mergeCell ref="AZ82:BA82"/>
    <mergeCell ref="AF64:AL64"/>
    <mergeCell ref="W67:AD67"/>
    <mergeCell ref="AP93:AQ93"/>
    <mergeCell ref="AG82:AH82"/>
    <mergeCell ref="AI82:AJ82"/>
    <mergeCell ref="AN58:AT58"/>
    <mergeCell ref="M81:R81"/>
    <mergeCell ref="AR92:AT92"/>
    <mergeCell ref="AG14:AM14"/>
    <mergeCell ref="AN66:AT66"/>
    <mergeCell ref="AI19:AT20"/>
    <mergeCell ref="Q34:AT34"/>
    <mergeCell ref="D86:AT87"/>
    <mergeCell ref="AN68:AT68"/>
    <mergeCell ref="Q15:W16"/>
    <mergeCell ref="M76:R76"/>
    <mergeCell ref="AB2:AT3"/>
    <mergeCell ref="K77:L77"/>
    <mergeCell ref="BD88:BE88"/>
    <mergeCell ref="O71:U72"/>
    <mergeCell ref="AO15:AT16"/>
    <mergeCell ref="S84:T84"/>
    <mergeCell ref="AZ90:BA90"/>
    <mergeCell ref="AW10:BA10"/>
    <mergeCell ref="AK82:AP82"/>
    <mergeCell ref="E57:L57"/>
    <mergeCell ref="Z52:AF52"/>
    <mergeCell ref="V88:X88"/>
    <mergeCell ref="AF59:AL59"/>
    <mergeCell ref="S79:T79"/>
    <mergeCell ref="U79:V79"/>
    <mergeCell ref="W57:AD57"/>
    <mergeCell ref="Q35:AT38"/>
    <mergeCell ref="AK83:AP83"/>
    <mergeCell ref="D54:AT55"/>
    <mergeCell ref="E58:L58"/>
    <mergeCell ref="V93:X93"/>
    <mergeCell ref="AI78:AJ78"/>
    <mergeCell ref="S81:T81"/>
    <mergeCell ref="U81:V81"/>
    <mergeCell ref="AQ78:AT78"/>
    <mergeCell ref="M77:R77"/>
    <mergeCell ref="AZ83:BA83"/>
    <mergeCell ref="AZ85:BA85"/>
    <mergeCell ref="E60:L60"/>
    <mergeCell ref="W62:AD62"/>
    <mergeCell ref="Y40:AL40"/>
    <mergeCell ref="BD78:BE78"/>
    <mergeCell ref="BF78:BG78"/>
    <mergeCell ref="BI8:BS9"/>
    <mergeCell ref="BD80:BE80"/>
    <mergeCell ref="W70:AD70"/>
    <mergeCell ref="S76:T76"/>
    <mergeCell ref="M82:R82"/>
    <mergeCell ref="AG84:AH84"/>
    <mergeCell ref="D71:H72"/>
    <mergeCell ref="AI84:AJ84"/>
    <mergeCell ref="W65:AD65"/>
    <mergeCell ref="AQ84:AT84"/>
    <mergeCell ref="D89:S89"/>
    <mergeCell ref="AM40:AT40"/>
    <mergeCell ref="AI80:AJ80"/>
    <mergeCell ref="AK84:AP84"/>
    <mergeCell ref="N62:U62"/>
    <mergeCell ref="D70:K70"/>
    <mergeCell ref="AI79:AJ79"/>
    <mergeCell ref="AX91:AY91"/>
    <mergeCell ref="AZ91:BA91"/>
    <mergeCell ref="AK80:AP80"/>
    <mergeCell ref="AN64:AT64"/>
    <mergeCell ref="AI81:AJ81"/>
    <mergeCell ref="I71:K72"/>
    <mergeCell ref="AB4:AT4"/>
    <mergeCell ref="BD84:BE84"/>
    <mergeCell ref="A33:B59"/>
    <mergeCell ref="AB11:AG12"/>
    <mergeCell ref="U82:V82"/>
    <mergeCell ref="BD86:BE86"/>
    <mergeCell ref="Y41:AL41"/>
    <mergeCell ref="BD79:BE79"/>
    <mergeCell ref="BF79:BG79"/>
    <mergeCell ref="AQ79:AT79"/>
    <mergeCell ref="W78:AD78"/>
    <mergeCell ref="O70:U70"/>
    <mergeCell ref="D83:J83"/>
    <mergeCell ref="AO14:AT14"/>
    <mergeCell ref="BD81:BE81"/>
    <mergeCell ref="AK79:AP79"/>
    <mergeCell ref="BF81:BG81"/>
    <mergeCell ref="W80:AD80"/>
    <mergeCell ref="S77:T77"/>
    <mergeCell ref="U77:V77"/>
    <mergeCell ref="AP88:AQ88"/>
    <mergeCell ref="AK81:AP81"/>
    <mergeCell ref="AF61:AL61"/>
    <mergeCell ref="AQ76:AT76"/>
    <mergeCell ref="AW11:BA12"/>
    <mergeCell ref="AH52:AN52"/>
    <mergeCell ref="D80:J80"/>
    <mergeCell ref="D51:Q51"/>
    <mergeCell ref="D49:Q50"/>
    <mergeCell ref="AF71:AL72"/>
    <mergeCell ref="N63:U63"/>
    <mergeCell ref="W84:AD84"/>
    <mergeCell ref="T89:U89"/>
    <mergeCell ref="W79:AD79"/>
    <mergeCell ref="D84:J84"/>
    <mergeCell ref="T88:U88"/>
    <mergeCell ref="AF67:AL67"/>
    <mergeCell ref="V90:X90"/>
    <mergeCell ref="AP90:AQ90"/>
    <mergeCell ref="W81:AD81"/>
    <mergeCell ref="AX87:AY87"/>
    <mergeCell ref="BC11:BD12"/>
    <mergeCell ref="BF89:BG89"/>
    <mergeCell ref="N60:U60"/>
    <mergeCell ref="AX89:AY89"/>
    <mergeCell ref="AQ77:AT77"/>
    <mergeCell ref="Z92:AO92"/>
    <mergeCell ref="Z94:AO94"/>
    <mergeCell ref="BD77:BE77"/>
    <mergeCell ref="BF77:BG77"/>
    <mergeCell ref="AX77:AY77"/>
    <mergeCell ref="K76:L76"/>
    <mergeCell ref="Z89:AO89"/>
    <mergeCell ref="AN71:AT72"/>
    <mergeCell ref="N58:U58"/>
    <mergeCell ref="D30:O30"/>
    <mergeCell ref="AB10:AG10"/>
    <mergeCell ref="AE82:AF82"/>
    <mergeCell ref="AF57:AL57"/>
    <mergeCell ref="Q23:AT24"/>
    <mergeCell ref="D76:J76"/>
    <mergeCell ref="AE83:AF83"/>
    <mergeCell ref="AG83:AH83"/>
    <mergeCell ref="T90:U90"/>
    <mergeCell ref="AN59:AT59"/>
    <mergeCell ref="BF88:BG88"/>
    <mergeCell ref="AX88:AY88"/>
    <mergeCell ref="AZ88:BA88"/>
    <mergeCell ref="AM41:AT41"/>
    <mergeCell ref="T91:U91"/>
    <mergeCell ref="AN61:AT61"/>
    <mergeCell ref="BD90:BE90"/>
    <mergeCell ref="BF90:BG90"/>
    <mergeCell ref="AX90:AY90"/>
    <mergeCell ref="T93:U93"/>
    <mergeCell ref="Q27:AT32"/>
    <mergeCell ref="Q18:AG18"/>
    <mergeCell ref="E63:L63"/>
    <mergeCell ref="AF70:AL70"/>
    <mergeCell ref="AE78:AF78"/>
    <mergeCell ref="AH49:AT50"/>
    <mergeCell ref="AR94:AT94"/>
    <mergeCell ref="H4:Z4"/>
    <mergeCell ref="AX83:AY83"/>
    <mergeCell ref="K82:L82"/>
    <mergeCell ref="Q10:Z10"/>
    <mergeCell ref="D74:AT75"/>
    <mergeCell ref="AN56:AT56"/>
    <mergeCell ref="C6:AR6"/>
    <mergeCell ref="AX85:AY85"/>
    <mergeCell ref="AH48:AT48"/>
    <mergeCell ref="AF58:AL58"/>
    <mergeCell ref="K83:L83"/>
    <mergeCell ref="AX78:AY78"/>
    <mergeCell ref="AZ78:BA78"/>
    <mergeCell ref="AF60:AL60"/>
    <mergeCell ref="AX80:AY80"/>
    <mergeCell ref="AZ80:BA80"/>
    <mergeCell ref="AN67:AT67"/>
    <mergeCell ref="AR89:AT89"/>
    <mergeCell ref="AG80:AH80"/>
    <mergeCell ref="W63:AD63"/>
    <mergeCell ref="AR90:AT90"/>
    <mergeCell ref="AF65:AL65"/>
    <mergeCell ref="M83:R83"/>
    <mergeCell ref="E66:L66"/>
    <mergeCell ref="AE79:AF79"/>
    <mergeCell ref="AK78:AP78"/>
    <mergeCell ref="AG79:AH79"/>
    <mergeCell ref="M78:R78"/>
    <mergeCell ref="E68:L68"/>
    <mergeCell ref="AE81:AF81"/>
    <mergeCell ref="AG81:AH81"/>
    <mergeCell ref="AX84:AY84"/>
    <mergeCell ref="E67:L67"/>
    <mergeCell ref="AZ84:BA84"/>
    <mergeCell ref="Q26:AT26"/>
    <mergeCell ref="AN57:AT57"/>
    <mergeCell ref="AX86:AY86"/>
    <mergeCell ref="S82:T82"/>
    <mergeCell ref="AZ86:BA86"/>
    <mergeCell ref="AG76:AH76"/>
    <mergeCell ref="K84:L84"/>
    <mergeCell ref="AI18:AT18"/>
    <mergeCell ref="AZ79:BA79"/>
    <mergeCell ref="D48:Q48"/>
    <mergeCell ref="D40:P40"/>
    <mergeCell ref="AZ81:BA81"/>
    <mergeCell ref="W58:AD58"/>
    <mergeCell ref="D41:P41"/>
    <mergeCell ref="BC10:BG10"/>
    <mergeCell ref="W60:AD60"/>
    <mergeCell ref="D78:J78"/>
    <mergeCell ref="BD76:BE76"/>
    <mergeCell ref="D42:W44"/>
  </mergeCells>
  <dataValidations count="20">
    <dataValidation sqref="Q41 AM41" showDropDown="0" showInputMessage="0" showErrorMessage="0" allowBlank="1" type="list">
      <formula1>DADOS!$DR$5:$DR$7</formula1>
    </dataValidation>
    <dataValidation sqref="AB11" showDropDown="0" showInputMessage="0" showErrorMessage="0" allowBlank="1" type="list">
      <formula1>DADOS!$CF$5:$CF$9</formula1>
    </dataValidation>
    <dataValidation sqref="D49" showDropDown="0" showInputMessage="0" showErrorMessage="0" allowBlank="1" type="list">
      <formula1>DADOS!$DB$5:$DB$13</formula1>
    </dataValidation>
    <dataValidation sqref="S49" showDropDown="0" showInputMessage="0" showErrorMessage="0" allowBlank="1" type="list">
      <formula1>DADOS!$DD$5:$DD$14</formula1>
    </dataValidation>
    <dataValidation sqref="AH49" showDropDown="0" showInputMessage="0" showErrorMessage="0" allowBlank="1" type="list">
      <formula1>DADOS!$DF$5:$DF$11</formula1>
    </dataValidation>
    <dataValidation sqref="AN71" showDropDown="0" showInputMessage="0" showErrorMessage="0" allowBlank="1" type="list">
      <formula1>DADOS!$CJ$5:$CJ$13</formula1>
    </dataValidation>
    <dataValidation sqref="D77:D82" showDropDown="0" showInputMessage="0" showErrorMessage="0" allowBlank="1" type="list">
      <formula1>DADOS!$BD$5:$BD$59</formula1>
    </dataValidation>
    <dataValidation sqref="AI77:AI84" showDropDown="0" showInputMessage="0" showErrorMessage="0" allowBlank="1" type="list">
      <formula1>DADOS!$CU$5:$CU$10</formula1>
    </dataValidation>
    <dataValidation sqref="AX15:AX72" showDropDown="0" showInputMessage="0" showErrorMessage="0" allowBlank="1" type="list">
      <formula1>DADOS!$CL$5:$CL$10</formula1>
    </dataValidation>
    <dataValidation sqref="AY15:AY72" showDropDown="0" showInputMessage="0" showErrorMessage="0" allowBlank="1" type="list">
      <formula1>DADOS!$CO$5:$CO$7</formula1>
    </dataValidation>
    <dataValidation sqref="AZ15:AZ72" showDropDown="0" showInputMessage="0" showErrorMessage="0" allowBlank="1" type="list">
      <formula1>DADOS!$CR$5:$CR$15</formula1>
    </dataValidation>
    <dataValidation sqref="BD15:BD72" showDropDown="0" showInputMessage="0" showErrorMessage="0" allowBlank="1" type="list">
      <formula1>DADOS!$CL$5:$CL$10</formula1>
    </dataValidation>
    <dataValidation sqref="BE15:BE72" showDropDown="0" showInputMessage="0" showErrorMessage="0" allowBlank="1" type="list">
      <formula1>DADOS!$CO$5:$CO$7</formula1>
    </dataValidation>
    <dataValidation sqref="BF15:BF72" showDropDown="0" showInputMessage="0" showErrorMessage="0" allowBlank="1" type="list">
      <formula1>DADOS!$CR$5:$CR$15</formula1>
    </dataValidation>
    <dataValidation sqref="BJ15:BJ72" showDropDown="0" showInputMessage="0" showErrorMessage="0" allowBlank="1" type="list">
      <formula1>DADOS!$CL$5:$CL$10</formula1>
    </dataValidation>
    <dataValidation sqref="BK15:BK72" showDropDown="0" showInputMessage="0" showErrorMessage="0" allowBlank="1" type="list">
      <formula1>DADOS!$CO$5:$CO$7</formula1>
    </dataValidation>
    <dataValidation sqref="BL15:BL72" showDropDown="0" showInputMessage="0" showErrorMessage="0" allowBlank="1" type="list">
      <formula1>DADOS!$CR$5:$CR$15</formula1>
    </dataValidation>
    <dataValidation sqref="BP15:BP72" showDropDown="0" showInputMessage="0" showErrorMessage="0" allowBlank="1" type="list">
      <formula1>DADOS!$CL$5:$CL$10</formula1>
    </dataValidation>
    <dataValidation sqref="BQ15:BQ72" showDropDown="0" showInputMessage="0" showErrorMessage="0" allowBlank="1" type="list">
      <formula1>DADOS!$CO$5:$CO$7</formula1>
    </dataValidation>
    <dataValidation sqref="BR15:BR72"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DR88"/>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s>
  <sheetData>
    <row r="1" ht="17.25" customHeight="1">
      <c r="A1" s="150" t="inlineStr">
        <is>
          <t>VERSÃO DO CATÁLOGO</t>
        </is>
      </c>
      <c r="B1" s="151" t="inlineStr">
        <is>
          <t>1.0</t>
        </is>
      </c>
      <c r="C1" s="125" t="inlineStr">
        <is>
          <t>versão corrente (puxada da central)</t>
        </is>
      </c>
      <c r="D1" s="151"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25"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52" t="inlineStr">
        <is>
          <t>Caminhos</t>
        </is>
      </c>
      <c r="B3" s="152" t="inlineStr">
        <is>
          <t>Perícias</t>
        </is>
      </c>
      <c r="C3" s="152" t="inlineStr">
        <is>
          <t>Ofícios</t>
        </is>
      </c>
      <c r="D3" s="152" t="inlineStr">
        <is>
          <t>Famílias</t>
        </is>
      </c>
      <c r="E3" s="152" t="inlineStr">
        <is>
          <t>Formas</t>
        </is>
      </c>
      <c r="F3" s="152" t="inlineStr">
        <is>
          <t>Melhorias</t>
        </is>
      </c>
      <c r="G3" s="152" t="inlineStr">
        <is>
          <t>Restrições</t>
        </is>
      </c>
      <c r="H3" s="152" t="inlineStr">
        <is>
          <t>Condições</t>
        </is>
      </c>
      <c r="I3" s="152" t="inlineStr">
        <is>
          <t>Origens</t>
        </is>
      </c>
      <c r="J3" s="152" t="inlineStr">
        <is>
          <t>Testes</t>
        </is>
      </c>
      <c r="K3" s="152" t="inlineStr">
        <is>
          <t>Atributos</t>
        </is>
      </c>
      <c r="L3" s="152" t="inlineStr">
        <is>
          <t>Trilhas</t>
        </is>
      </c>
      <c r="M3" s="41" t="n"/>
      <c r="N3" s="152"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3" t="inlineStr">
        <is>
          <t>Bastião</t>
        </is>
      </c>
      <c r="B4" s="153" t="inlineStr">
        <is>
          <t>Atletismo</t>
        </is>
      </c>
      <c r="C4" s="153" t="inlineStr">
        <is>
          <t>Condução</t>
        </is>
      </c>
      <c r="D4" s="153" t="inlineStr">
        <is>
          <t>Alcance</t>
        </is>
      </c>
      <c r="E4" s="153" t="inlineStr">
        <is>
          <t>Projétil</t>
        </is>
      </c>
      <c r="F4" s="153" t="inlineStr">
        <is>
          <t>Longe</t>
        </is>
      </c>
      <c r="G4" s="153" t="inlineStr">
        <is>
          <t>Corpo a Corpo</t>
        </is>
      </c>
      <c r="H4" s="153" t="inlineStr">
        <is>
          <t>Lento</t>
        </is>
      </c>
      <c r="I4" s="153" t="inlineStr">
        <is>
          <t>Latente</t>
        </is>
      </c>
      <c r="J4" s="153" t="inlineStr">
        <is>
          <t>Físico</t>
        </is>
      </c>
      <c r="K4" s="153" t="inlineStr">
        <is>
          <t>Força</t>
        </is>
      </c>
      <c r="L4" s="153" t="inlineStr">
        <is>
          <t>Muro</t>
        </is>
      </c>
      <c r="M4" s="41" t="n"/>
      <c r="N4" s="154" t="inlineStr">
        <is>
          <t>Caminho</t>
        </is>
      </c>
      <c r="O4" s="154" t="inlineStr">
        <is>
          <t>atributos naturais</t>
        </is>
      </c>
      <c r="P4" s="154" t="inlineStr">
        <is>
          <t>vida inicial</t>
        </is>
      </c>
      <c r="Q4" s="154" t="inlineStr">
        <is>
          <t>vida por nível</t>
        </is>
      </c>
      <c r="R4" s="154" t="inlineStr">
        <is>
          <t>PE por nível</t>
        </is>
      </c>
      <c r="S4" s="154" t="inlineStr">
        <is>
          <t>perícia fixa 1</t>
        </is>
      </c>
      <c r="T4" s="154" t="inlineStr">
        <is>
          <t>perícia fixa 2</t>
        </is>
      </c>
      <c r="U4" s="154" t="n"/>
      <c r="V4" s="41" t="n"/>
      <c r="W4" s="154" t="inlineStr">
        <is>
          <t>marcos</t>
        </is>
      </c>
      <c r="X4" s="154" t="inlineStr">
        <is>
          <t>maestria</t>
        </is>
      </c>
      <c r="Y4" s="154" t="inlineStr">
        <is>
          <t>classe</t>
        </is>
      </c>
      <c r="Z4" s="154" t="inlineStr">
        <is>
          <t>classe 0</t>
        </is>
      </c>
      <c r="AA4" s="41" t="n"/>
      <c r="AB4" s="154" t="inlineStr">
        <is>
          <t>perícia</t>
        </is>
      </c>
      <c r="AC4" s="154" t="inlineStr">
        <is>
          <t>atributo</t>
        </is>
      </c>
      <c r="AD4" s="41" t="n"/>
      <c r="AE4" s="154" t="inlineStr">
        <is>
          <t>equipamento</t>
        </is>
      </c>
      <c r="AF4" s="154" t="inlineStr">
        <is>
          <t>proteção</t>
        </is>
      </c>
      <c r="AG4" s="154" t="inlineStr">
        <is>
          <t>teto de destreza</t>
        </is>
      </c>
      <c r="AH4" s="154" t="inlineStr">
        <is>
          <t>desliga a passiva</t>
        </is>
      </c>
      <c r="AI4" s="41" t="n"/>
      <c r="AJ4" s="154" t="inlineStr">
        <is>
          <t>contas da ficha</t>
        </is>
      </c>
      <c r="AK4" s="154" t="inlineStr">
        <is>
          <t>valor</t>
        </is>
      </c>
      <c r="AL4" s="41" t="n"/>
      <c r="AM4" s="154" t="inlineStr">
        <is>
          <t>menu de Caminho</t>
        </is>
      </c>
      <c r="AN4" s="154" t="inlineStr">
        <is>
          <t>Trilha</t>
        </is>
      </c>
      <c r="AO4" s="154" t="inlineStr">
        <is>
          <t>Caminho da Trilha</t>
        </is>
      </c>
      <c r="AP4" s="154" t="inlineStr">
        <is>
          <t>menu de Trilha</t>
        </is>
      </c>
      <c r="AQ4" s="154" t="inlineStr">
        <is>
          <t>nível</t>
        </is>
      </c>
      <c r="AR4" s="154" t="inlineStr">
        <is>
          <t>xp acumulado</t>
        </is>
      </c>
      <c r="AS4" s="41" t="n"/>
      <c r="AT4" s="41" t="n"/>
      <c r="AU4" s="41" t="n"/>
      <c r="AV4" s="41" t="n"/>
      <c r="AW4" s="41" t="n"/>
      <c r="AX4" s="41" t="n"/>
      <c r="AY4" s="41" t="n"/>
      <c r="AZ4" s="41" t="n"/>
      <c r="BA4" s="154" t="inlineStr">
        <is>
          <t>campo</t>
        </is>
      </c>
      <c r="BB4" s="154" t="inlineStr">
        <is>
          <t>célula</t>
        </is>
      </c>
      <c r="BD4" s="154" t="inlineStr">
        <is>
          <t>equipável</t>
        </is>
      </c>
      <c r="BE4" s="154" t="inlineStr">
        <is>
          <t>categoria do equipável</t>
        </is>
      </c>
      <c r="BF4" s="154" t="inlineStr">
        <is>
          <t>mão do equipável</t>
        </is>
      </c>
      <c r="BG4" s="154" t="inlineStr">
        <is>
          <t>dado do equipável</t>
        </is>
      </c>
      <c r="BH4" s="154" t="inlineStr">
        <is>
          <t>propriedades do equipável</t>
        </is>
      </c>
      <c r="BI4" s="154" t="inlineStr">
        <is>
          <t>força do equipável</t>
        </is>
      </c>
      <c r="BJ4" s="154" t="inlineStr">
        <is>
          <t>volume do equipável</t>
        </is>
      </c>
      <c r="BK4" s="154" t="inlineStr">
        <is>
          <t>alcance do equipável</t>
        </is>
      </c>
      <c r="BL4" s="154" t="inlineStr">
        <is>
          <t>recarga do equipável</t>
        </is>
      </c>
      <c r="BM4" s="154" t="inlineStr">
        <is>
          <t>treino marcado</t>
        </is>
      </c>
      <c r="BN4" s="154" t="inlineStr">
        <is>
          <t>caixa do treino</t>
        </is>
      </c>
      <c r="BP4" s="154" t="inlineStr">
        <is>
          <t>categoria de arma</t>
        </is>
      </c>
      <c r="BQ4" s="154" t="inlineStr">
        <is>
          <t>lista de treino</t>
        </is>
      </c>
      <c r="BR4" s="154" t="inlineStr">
        <is>
          <t>conjurador treina</t>
        </is>
      </c>
      <c r="BS4" s="154" t="inlineStr">
        <is>
          <t>grupo marcado</t>
        </is>
      </c>
      <c r="BT4" s="154" t="inlineStr">
        <is>
          <t>caixa do grupo</t>
        </is>
      </c>
      <c r="BV4" s="154" t="inlineStr">
        <is>
          <t>Caminho que treina todas as armas</t>
        </is>
      </c>
      <c r="BX4" s="154" t="inlineStr">
        <is>
          <t>uniforme</t>
        </is>
      </c>
      <c r="BY4" s="154" t="inlineStr">
        <is>
          <t>proteção do uniforme</t>
        </is>
      </c>
      <c r="BZ4" s="154" t="inlineStr">
        <is>
          <t>teto do uniforme</t>
        </is>
      </c>
      <c r="CA4" s="154" t="inlineStr">
        <is>
          <t>força do uniforme</t>
        </is>
      </c>
      <c r="CB4" s="154" t="inlineStr">
        <is>
          <t>volume do uniforme</t>
        </is>
      </c>
      <c r="CC4" s="154" t="inlineStr">
        <is>
          <t>ordem do grau mínimo</t>
        </is>
      </c>
      <c r="CD4" s="154" t="inlineStr">
        <is>
          <t>grau mínimo</t>
        </is>
      </c>
      <c r="CF4" s="154" t="inlineStr">
        <is>
          <t>patente</t>
        </is>
      </c>
      <c r="CG4" s="154" t="inlineStr">
        <is>
          <t>salário por mês</t>
        </is>
      </c>
      <c r="CH4" s="154" t="inlineStr">
        <is>
          <t>ordem da patente</t>
        </is>
      </c>
      <c r="CJ4" s="154" t="inlineStr">
        <is>
          <t>situação do traje</t>
        </is>
      </c>
      <c r="CL4" s="154" t="inlineStr">
        <is>
          <t>tipo de missão</t>
        </is>
      </c>
      <c r="CM4" s="154" t="inlineStr">
        <is>
          <t>xp do tipo</t>
        </is>
      </c>
      <c r="CO4" s="154" t="inlineStr">
        <is>
          <t>adicional da missão</t>
        </is>
      </c>
      <c r="CP4" s="154" t="inlineStr">
        <is>
          <t>multiplicador</t>
        </is>
      </c>
      <c r="CR4" s="154" t="inlineStr">
        <is>
          <t>desconto da missão</t>
        </is>
      </c>
      <c r="CS4" s="154" t="inlineStr">
        <is>
          <t>fração paga</t>
        </is>
      </c>
      <c r="CU4" s="154" t="inlineStr">
        <is>
          <t>grau da ferramenta</t>
        </is>
      </c>
      <c r="CW4" s="154" t="inlineStr">
        <is>
          <t>limiar do feito</t>
        </is>
      </c>
      <c r="CY4" s="154" t="inlineStr">
        <is>
          <t>contas da pessoal</t>
        </is>
      </c>
      <c r="CZ4" s="154" t="inlineStr">
        <is>
          <t>valor da pessoal</t>
        </is>
      </c>
      <c r="DB4" s="154" t="inlineStr">
        <is>
          <t>menu da mão principal</t>
        </is>
      </c>
      <c r="DD4" s="154" t="inlineStr">
        <is>
          <t>menu da mão secundária</t>
        </is>
      </c>
      <c r="DF4" s="154" t="inlineStr">
        <is>
          <t>menu do vestindo</t>
        </is>
      </c>
      <c r="DH4" s="154" t="inlineStr">
        <is>
          <t>propriedade de arma</t>
        </is>
      </c>
      <c r="DI4" s="154" t="inlineStr">
        <is>
          <t>o que a propriedade faz</t>
        </is>
      </c>
      <c r="DK4" s="154" t="inlineStr">
        <is>
          <t>nota viva</t>
        </is>
      </c>
      <c r="DL4" s="154" t="inlineStr">
        <is>
          <t>texto da nota</t>
        </is>
      </c>
      <c r="DM4" s="154" t="inlineStr">
        <is>
          <t>caixa da nota</t>
        </is>
      </c>
      <c r="DO4" s="154" t="inlineStr">
        <is>
          <t>campo pessoal</t>
        </is>
      </c>
      <c r="DP4" s="154" t="inlineStr">
        <is>
          <t>célula pessoal</t>
        </is>
      </c>
      <c r="DR4" s="154" t="inlineStr">
        <is>
          <t>tipo de legado</t>
        </is>
      </c>
    </row>
    <row r="5" ht="17.25" customHeight="1">
      <c r="A5" s="153" t="inlineStr">
        <is>
          <t>Vanguarda</t>
        </is>
      </c>
      <c r="B5" s="153" t="inlineStr">
        <is>
          <t>Acrobacia</t>
        </is>
      </c>
      <c r="C5" s="153" t="inlineStr">
        <is>
          <t>Arrombamento</t>
        </is>
      </c>
      <c r="D5" s="153" t="inlineStr">
        <is>
          <t>Área</t>
        </is>
      </c>
      <c r="E5" s="153" t="inlineStr">
        <is>
          <t>Toque</t>
        </is>
      </c>
      <c r="F5" s="153" t="inlineStr">
        <is>
          <t>Muito Longe</t>
        </is>
      </c>
      <c r="G5" s="153" t="inlineStr">
        <is>
          <t>Atrasar</t>
        </is>
      </c>
      <c r="H5" s="153" t="inlineStr">
        <is>
          <t>Guarda Aberta</t>
        </is>
      </c>
      <c r="I5" s="153" t="inlineStr">
        <is>
          <t>Receptáculo</t>
        </is>
      </c>
      <c r="J5" s="153" t="inlineStr">
        <is>
          <t>Vigor</t>
        </is>
      </c>
      <c r="K5" s="153" t="inlineStr">
        <is>
          <t>Destreza</t>
        </is>
      </c>
      <c r="L5" s="153" t="inlineStr">
        <is>
          <t>Punho</t>
        </is>
      </c>
      <c r="M5" s="41" t="n"/>
      <c r="N5" s="153" t="inlineStr">
        <is>
          <t>Bastião</t>
        </is>
      </c>
      <c r="O5" s="153" t="inlineStr">
        <is>
          <t>Força · Constituição</t>
        </is>
      </c>
      <c r="P5" s="153" t="n">
        <v>12</v>
      </c>
      <c r="Q5" s="153" t="n">
        <v>7</v>
      </c>
      <c r="R5" s="153" t="n">
        <v>4</v>
      </c>
      <c r="S5" s="153" t="inlineStr">
        <is>
          <t>Atletismo</t>
        </is>
      </c>
      <c r="T5" s="153" t="inlineStr">
        <is>
          <t>Provocar</t>
        </is>
      </c>
      <c r="U5" s="153" t="n"/>
      <c r="V5" s="41" t="n"/>
      <c r="W5" s="155" t="n">
        <v>6</v>
      </c>
      <c r="X5" s="155" t="n">
        <v>10</v>
      </c>
      <c r="Y5" s="155" t="n">
        <v>1</v>
      </c>
      <c r="Z5" s="155" t="n">
        <v>5</v>
      </c>
      <c r="AA5" s="41" t="n"/>
      <c r="AB5" s="153" t="inlineStr">
        <is>
          <t>Atletismo</t>
        </is>
      </c>
      <c r="AC5" s="153" t="inlineStr">
        <is>
          <t>Força</t>
        </is>
      </c>
      <c r="AD5" s="41" t="n"/>
      <c r="AE5" s="153" t="inlineStr">
        <is>
          <t>Traje 1</t>
        </is>
      </c>
      <c r="AF5" s="155" t="n">
        <v>1</v>
      </c>
      <c r="AG5" s="155" t="inlineStr">
        <is>
          <t>—</t>
        </is>
      </c>
      <c r="AH5" s="155" t="inlineStr">
        <is>
          <t>sim</t>
        </is>
      </c>
      <c r="AI5" s="41" t="n"/>
      <c r="AJ5" s="153" t="inlineStr">
        <is>
          <t>marcos que já passou</t>
        </is>
      </c>
      <c r="AK5" s="155">
        <f>COUNTIF(DADOS!$W$5:$W$11,"&lt;="&amp;FICHA!$AH$11)</f>
        <v/>
      </c>
      <c r="AL5" s="41" t="n"/>
      <c r="AM5" s="153" t="inlineStr">
        <is>
          <t>Escolha seu Caminho</t>
        </is>
      </c>
      <c r="AN5" s="153">
        <f>$L$4</f>
        <v/>
      </c>
      <c r="AO5" s="153" t="inlineStr">
        <is>
          <t>Bastião</t>
        </is>
      </c>
      <c r="AP5" s="153" t="inlineStr">
        <is>
          <t>Escolha sua Trilha</t>
        </is>
      </c>
      <c r="AQ5" s="155" t="n">
        <v>2</v>
      </c>
      <c r="AR5" s="155" t="n">
        <v>0</v>
      </c>
      <c r="AS5" s="41" t="n"/>
      <c r="AT5" s="41" t="n"/>
      <c r="AU5" s="41" t="n"/>
      <c r="AV5" s="41" t="n"/>
      <c r="AW5" s="41" t="n"/>
      <c r="AX5" s="41" t="n"/>
      <c r="AY5" s="41" t="n"/>
      <c r="AZ5" s="41" t="n"/>
      <c r="BA5" s="153" t="inlineStr">
        <is>
          <t>nome</t>
        </is>
      </c>
      <c r="BB5" s="153">
        <f>ADDRESS(ROW(FICHA!AB2),COLUMN(FICHA!AB2),4)</f>
        <v/>
      </c>
      <c r="BD5" s="153" t="inlineStr">
        <is>
          <t>Bastão</t>
        </is>
      </c>
      <c r="BE5" s="153" t="inlineStr">
        <is>
          <t>Porrete</t>
        </is>
      </c>
      <c r="BF5" s="155" t="n">
        <v>1</v>
      </c>
      <c r="BG5" s="153" t="inlineStr">
        <is>
          <t>1d6</t>
        </is>
      </c>
      <c r="BH5" s="153" t="inlineStr">
        <is>
          <t>Versátil · Alcance · Rompe</t>
        </is>
      </c>
      <c r="BI5" s="153" t="inlineStr">
        <is>
          <t>—</t>
        </is>
      </c>
      <c r="BJ5" s="155" t="n">
        <v>1</v>
      </c>
      <c r="BM5" s="155">
        <f>'FICHA PESSOAL'!$V$57</f>
        <v/>
      </c>
      <c r="BN5" s="155">
        <f>ADDRESS(ROW('FICHA PESSOAL'!V57),COLUMN('FICHA PESSOAL'!V57),4)</f>
        <v/>
      </c>
      <c r="BP5" s="153" t="inlineStr">
        <is>
          <t>Lâmina Curta</t>
        </is>
      </c>
      <c r="BQ5" s="153" t="inlineStr">
        <is>
          <t>Simples</t>
        </is>
      </c>
      <c r="BR5" s="153" t="inlineStr">
        <is>
          <t>não</t>
        </is>
      </c>
      <c r="BS5" s="155">
        <f>'FICHA PESSOAL'!$AE$56</f>
        <v/>
      </c>
      <c r="BT5" s="155">
        <f>ADDRESS(ROW('FICHA PESSOAL'!AE56),COLUMN('FICHA PESSOAL'!AE56),4)</f>
        <v/>
      </c>
      <c r="BV5" s="153" t="inlineStr">
        <is>
          <t>Bastião</t>
        </is>
      </c>
      <c r="BX5" s="153" t="inlineStr">
        <is>
          <t>Traje 1</t>
        </is>
      </c>
      <c r="BY5" s="155" t="n">
        <v>1</v>
      </c>
      <c r="BZ5" s="153" t="inlineStr">
        <is>
          <t>—</t>
        </is>
      </c>
      <c r="CA5" s="155" t="n">
        <v>0</v>
      </c>
      <c r="CB5" s="155" t="n">
        <v>0.3</v>
      </c>
      <c r="CC5" s="155" t="n">
        <v>1</v>
      </c>
      <c r="CD5" s="153" t="inlineStr">
        <is>
          <t>Grau 4</t>
        </is>
      </c>
      <c r="CF5" s="153" t="inlineStr">
        <is>
          <t>Grau 4</t>
        </is>
      </c>
      <c r="CG5" s="153" t="inlineStr">
        <is>
          <t>¥ 150.000</t>
        </is>
      </c>
      <c r="CH5" s="155" t="n">
        <v>1</v>
      </c>
      <c r="CJ5" s="153" t="inlineStr">
        <is>
          <t>Vão apertado</t>
        </is>
      </c>
      <c r="CL5" s="153" t="inlineStr">
        <is>
          <t>Curta</t>
        </is>
      </c>
      <c r="CM5" s="155" t="n">
        <v>50</v>
      </c>
      <c r="CO5" s="153" t="inlineStr">
        <is>
          <t>1,25x</t>
        </is>
      </c>
      <c r="CP5" s="155" t="n">
        <v>1.25</v>
      </c>
      <c r="CR5" s="153" t="inlineStr">
        <is>
          <t>3ª · 50%</t>
        </is>
      </c>
      <c r="CS5" s="155" t="n">
        <v>0.5</v>
      </c>
      <c r="CU5" s="153" t="inlineStr">
        <is>
          <t>—</t>
        </is>
      </c>
      <c r="CW5" s="155" t="n">
        <v>20</v>
      </c>
      <c r="CY5" s="153" t="inlineStr">
        <is>
          <t>força</t>
        </is>
      </c>
      <c r="CZ5" s="155">
        <f>N(FICHA!$D$19)</f>
        <v/>
      </c>
      <c r="DB5" s="153" t="inlineStr">
        <is>
          <t>Soco</t>
        </is>
      </c>
      <c r="DD5" s="153" t="inlineStr">
        <is>
          <t>—</t>
        </is>
      </c>
      <c r="DF5" s="153" t="inlineStr">
        <is>
          <t>Sem uniforme</t>
        </is>
      </c>
      <c r="DH5" s="153" t="inlineStr">
        <is>
          <t>Leve</t>
        </is>
      </c>
      <c r="DI5" s="153" t="inlineStr">
        <is>
          <t>Atende aos requisitos que peçam arma Leve. Não concede outro ataque, muda o atributo do golpe ou reduz Volume. Só as armas marcadas na tabela possuem a propriedade.</t>
        </is>
      </c>
      <c r="DK5" s="153" t="inlineStr">
        <is>
          <t>requisito de força</t>
        </is>
      </c>
      <c r="DL5" s="155">
        <f>IF(DADOS!$CZ$36+DADOS!$CZ$37+DADOS!$CZ$38=0,"Tudo o que está em uso cabe na sua Força.",IF(DADOS!$CZ$36=1,'FICHA PESSOAL'!$D$49&amp;" pede Força "&amp;DADOS!$CZ$11&amp;". ","")&amp;IF(DADOS!$CZ$37=1,'FICHA PESSOAL'!$S$49&amp;" pede Força "&amp;DADOS!$CZ$22&amp;". ","")&amp;IF(DADOS!$CZ$38=1,'FICHA PESSOAL'!$AH$49&amp;"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não pode ser preparado e não dá a proteção dele: a Defesa já desconta.",""))</f>
        <v/>
      </c>
      <c r="DM5" s="155">
        <f>ADDRESS(ROW('FICHA PESSOAL'!AF71),COLUMN('FICHA PESSOAL'!AF71),4)</f>
        <v/>
      </c>
      <c r="DO5" s="153" t="inlineStr">
        <is>
          <t>principal</t>
        </is>
      </c>
      <c r="DP5" s="155">
        <f>ADDRESS(ROW('FICHA PESSOAL'!D49),COLUMN('FICHA PESSOAL'!D49),4)</f>
        <v/>
      </c>
      <c r="DR5" s="153" t="inlineStr">
        <is>
          <t>Narrativo</t>
        </is>
      </c>
    </row>
    <row r="6" ht="17.25" customHeight="1">
      <c r="A6" s="153" t="inlineStr">
        <is>
          <t>Guia</t>
        </is>
      </c>
      <c r="B6" s="153" t="inlineStr">
        <is>
          <t>Furtividade</t>
        </is>
      </c>
      <c r="C6" s="153" t="inlineStr">
        <is>
          <t>Herbalismo</t>
        </is>
      </c>
      <c r="D6" s="153" t="inlineStr">
        <is>
          <t>Mira</t>
        </is>
      </c>
      <c r="E6" s="153" t="inlineStr">
        <is>
          <t>Explosão</t>
        </is>
      </c>
      <c r="F6" s="153" t="inlineStr">
        <is>
          <t>Sem Ver</t>
        </is>
      </c>
      <c r="G6" s="153" t="inlineStr">
        <is>
          <t>Parado</t>
        </is>
      </c>
      <c r="H6" s="153" t="inlineStr">
        <is>
          <t>Derrubado</t>
        </is>
      </c>
      <c r="I6" s="153" t="inlineStr">
        <is>
          <t>Descendente</t>
        </is>
      </c>
      <c r="J6" s="153" t="inlineStr">
        <is>
          <t>Intelecto</t>
        </is>
      </c>
      <c r="K6" s="153" t="inlineStr">
        <is>
          <t>Constituição</t>
        </is>
      </c>
      <c r="L6" s="153" t="inlineStr">
        <is>
          <t>Combatente Amaldiçoado</t>
        </is>
      </c>
      <c r="M6" s="41" t="n"/>
      <c r="N6" s="153" t="inlineStr">
        <is>
          <t>Vanguarda</t>
        </is>
      </c>
      <c r="O6" s="153" t="inlineStr">
        <is>
          <t>Destreza · Força</t>
        </is>
      </c>
      <c r="P6" s="153" t="n">
        <v>8</v>
      </c>
      <c r="Q6" s="153" t="n">
        <v>5</v>
      </c>
      <c r="R6" s="153" t="n">
        <v>5</v>
      </c>
      <c r="S6" s="153" t="inlineStr">
        <is>
          <t>Acrobacia</t>
        </is>
      </c>
      <c r="T6" s="153" t="inlineStr">
        <is>
          <t>Percepção</t>
        </is>
      </c>
      <c r="U6" s="153" t="n"/>
      <c r="V6" s="41" t="n"/>
      <c r="W6" s="155" t="n">
        <v>10</v>
      </c>
      <c r="X6" s="155" t="n">
        <v>18</v>
      </c>
      <c r="Y6" s="155" t="n">
        <v>5</v>
      </c>
      <c r="Z6" s="155" t="n">
        <v>11</v>
      </c>
      <c r="AA6" s="41" t="n"/>
      <c r="AB6" s="153" t="inlineStr">
        <is>
          <t>Acrobacia</t>
        </is>
      </c>
      <c r="AC6" s="153" t="inlineStr">
        <is>
          <t>Destreza</t>
        </is>
      </c>
      <c r="AD6" s="41" t="n"/>
      <c r="AE6" s="153" t="inlineStr">
        <is>
          <t>Traje 2</t>
        </is>
      </c>
      <c r="AF6" s="155" t="n">
        <v>2</v>
      </c>
      <c r="AG6" s="155" t="inlineStr">
        <is>
          <t>—</t>
        </is>
      </c>
      <c r="AH6" s="155" t="inlineStr">
        <is>
          <t>sim</t>
        </is>
      </c>
      <c r="AI6" s="41" t="n"/>
      <c r="AJ6" s="153" t="inlineStr">
        <is>
          <t>pontos de atributo</t>
        </is>
      </c>
      <c r="AK6" s="155">
        <f>9+DADOS!$AK$5</f>
        <v/>
      </c>
      <c r="AL6" s="41" t="n"/>
      <c r="AM6" s="153">
        <f>$A$4</f>
        <v/>
      </c>
      <c r="AN6" s="153">
        <f>$L$5</f>
        <v/>
      </c>
      <c r="AO6" s="153" t="inlineStr">
        <is>
          <t>Bastião</t>
        </is>
      </c>
      <c r="AP6" s="153">
        <f>IFERROR(FILTER($AN$5:$AN$24,$AO$5:$AO$24=FICHA!$D$11),"")</f>
        <v/>
      </c>
      <c r="AQ6" s="155" t="n">
        <v>3</v>
      </c>
      <c r="AR6" s="155" t="n">
        <v>200</v>
      </c>
      <c r="AS6" s="41" t="n"/>
      <c r="AT6" s="41" t="n"/>
      <c r="AU6" s="41" t="n"/>
      <c r="AV6" s="41" t="n"/>
      <c r="AW6" s="41" t="n"/>
      <c r="AX6" s="41" t="n"/>
      <c r="AY6" s="41" t="n"/>
      <c r="AZ6" s="41" t="n"/>
      <c r="BA6" s="153" t="inlineStr">
        <is>
          <t>caminho</t>
        </is>
      </c>
      <c r="BB6" s="153">
        <f>ADDRESS(ROW(FICHA!D11),COLUMN(FICHA!D11),4)</f>
        <v/>
      </c>
      <c r="BD6" s="153" t="inlineStr">
        <is>
          <t>Besta</t>
        </is>
      </c>
      <c r="BE6" s="153" t="inlineStr">
        <is>
          <t>Balestra</t>
        </is>
      </c>
      <c r="BF6" s="155" t="n">
        <v>2</v>
      </c>
      <c r="BG6" s="153" t="inlineStr">
        <is>
          <t>2d8</t>
        </is>
      </c>
      <c r="BH6" s="153" t="inlineStr">
        <is>
          <t>Longo Alcance · Munição · Rompe</t>
        </is>
      </c>
      <c r="BI6" s="155" t="n">
        <v>3</v>
      </c>
      <c r="BJ6" s="155" t="n">
        <v>2</v>
      </c>
      <c r="BK6" s="153" t="inlineStr">
        <is>
          <t>30 m, longa 120 m</t>
        </is>
      </c>
      <c r="BL6" s="155" t="n">
        <v>1</v>
      </c>
      <c r="BM6" s="155">
        <f>'FICHA PESSOAL'!$V$67</f>
        <v/>
      </c>
      <c r="BN6" s="155">
        <f>ADDRESS(ROW('FICHA PESSOAL'!V67),COLUMN('FICHA PESSOAL'!V67),4)</f>
        <v/>
      </c>
      <c r="BP6" s="153" t="inlineStr">
        <is>
          <t>Porrete</t>
        </is>
      </c>
      <c r="BQ6" s="153" t="inlineStr">
        <is>
          <t>Simples</t>
        </is>
      </c>
      <c r="BR6" s="153" t="inlineStr">
        <is>
          <t>não</t>
        </is>
      </c>
      <c r="BS6" s="155">
        <f>'FICHA PESSOAL'!$V$56</f>
        <v/>
      </c>
      <c r="BT6" s="155">
        <f>ADDRESS(ROW('FICHA PESSOAL'!V56),COLUMN('FICHA PESSOAL'!V56),4)</f>
        <v/>
      </c>
      <c r="BV6" s="153" t="inlineStr">
        <is>
          <t>Vanguarda</t>
        </is>
      </c>
      <c r="BX6" s="153" t="inlineStr">
        <is>
          <t>Traje 2</t>
        </is>
      </c>
      <c r="BY6" s="155" t="n">
        <v>2</v>
      </c>
      <c r="BZ6" s="153" t="inlineStr">
        <is>
          <t>—</t>
        </is>
      </c>
      <c r="CA6" s="155" t="n">
        <v>0</v>
      </c>
      <c r="CB6" s="155" t="n">
        <v>1</v>
      </c>
      <c r="CC6" s="155" t="n">
        <v>1</v>
      </c>
      <c r="CD6" s="153" t="inlineStr">
        <is>
          <t>Grau 4</t>
        </is>
      </c>
      <c r="CF6" s="153" t="inlineStr">
        <is>
          <t>Grau 3</t>
        </is>
      </c>
      <c r="CG6" s="153" t="inlineStr">
        <is>
          <t>¥ 300.000</t>
        </is>
      </c>
      <c r="CH6" s="155" t="n">
        <v>2</v>
      </c>
      <c r="CJ6" s="153" t="inlineStr">
        <is>
          <t>Água e chuva</t>
        </is>
      </c>
      <c r="CL6" s="153" t="inlineStr">
        <is>
          <t>Padrão</t>
        </is>
      </c>
      <c r="CM6" s="155" t="n">
        <v>100</v>
      </c>
      <c r="CO6" s="153" t="inlineStr">
        <is>
          <t>1,50x</t>
        </is>
      </c>
      <c r="CP6" s="155" t="n">
        <v>1.5</v>
      </c>
      <c r="CR6" s="153" t="inlineStr">
        <is>
          <t>4ª · 25%</t>
        </is>
      </c>
      <c r="CS6" s="155" t="n">
        <v>0.25</v>
      </c>
      <c r="CU6" s="153" t="inlineStr">
        <is>
          <t>Grau 4</t>
        </is>
      </c>
      <c r="CY6" s="153" t="inlineStr">
        <is>
          <t>soco na principal</t>
        </is>
      </c>
      <c r="CZ6" s="155">
        <f>IF(OR('FICHA PESSOAL'!$D$49="",'FICHA PESSOAL'!$D$49="Soco"),1,0)</f>
        <v/>
      </c>
      <c r="DB6" s="155">
        <f>IF(AND('FICHA PESSOAL'!$D$77&lt;&gt;"",'FICHA PESSOAL'!$M$77&lt;&gt;"Escudo"),'FICHA PESSOAL'!$D$77,"")</f>
        <v/>
      </c>
      <c r="DD6" s="155">
        <f>IF(AND(DADOS!$CZ$8&lt;&gt;2,ISNUMBER(SEARCH("Versátil",DADOS!$CZ$10))),"Nas duas mãos","")</f>
        <v/>
      </c>
      <c r="DF6" s="155">
        <f>IF(DADOS!$CZ$34&gt;=DADOS!$CC$5,DADOS!$BX$5,"")</f>
        <v/>
      </c>
      <c r="DH6" s="153" t="inlineStr">
        <is>
          <t>Fineza</t>
        </is>
      </c>
      <c r="DI6" s="153" t="inlineStr">
        <is>
          <t>Em ataques corpo a corpo, pode usar Destreza no lugar de Força no acerto e no dano.</t>
        </is>
      </c>
      <c r="DK6" s="153" t="inlineStr">
        <is>
          <t>carga</t>
        </is>
      </c>
      <c r="DL6" s="155">
        <f>IF(DADOS!$CZ$42=1,"Você passou do limite: não pode se deslocar com essa carga. Largue ou guarde o que passou antes de andar, nadar, escalar ou voar.","")</f>
        <v/>
      </c>
      <c r="DM6" s="155">
        <f>ADDRESS(ROW('FICHA PESSOAL'!D71),COLUMN('FICHA PESSOAL'!D71),4)</f>
        <v/>
      </c>
      <c r="DO6" s="153" t="inlineStr">
        <is>
          <t>secundária</t>
        </is>
      </c>
      <c r="DP6" s="155">
        <f>ADDRESS(ROW('FICHA PESSOAL'!S49),COLUMN('FICHA PESSOAL'!S49),4)</f>
        <v/>
      </c>
      <c r="DR6" s="153" t="inlineStr">
        <is>
          <t>De rolagem</t>
        </is>
      </c>
    </row>
    <row r="7" ht="17.25" customHeight="1">
      <c r="A7" s="153" t="inlineStr">
        <is>
          <t>Emanador</t>
        </is>
      </c>
      <c r="B7" s="153" t="inlineStr">
        <is>
          <t>Pontaria</t>
        </is>
      </c>
      <c r="C7" s="153" t="inlineStr">
        <is>
          <t>Forja</t>
        </is>
      </c>
      <c r="D7" s="153" t="inlineStr">
        <is>
          <t>Controle</t>
        </is>
      </c>
      <c r="E7" s="153" t="inlineStr">
        <is>
          <t>Aura</t>
        </is>
      </c>
      <c r="F7" s="153" t="inlineStr">
        <is>
          <t>Perseguir</t>
        </is>
      </c>
      <c r="G7" s="153" t="inlineStr">
        <is>
          <t>Gesto</t>
        </is>
      </c>
      <c r="H7" s="153" t="inlineStr">
        <is>
          <t>Agarrado</t>
        </is>
      </c>
      <c r="I7" s="153" t="inlineStr">
        <is>
          <t>Encarnado</t>
        </is>
      </c>
      <c r="J7" s="153" t="inlineStr">
        <is>
          <t>Espírito</t>
        </is>
      </c>
      <c r="K7" s="153" t="inlineStr">
        <is>
          <t>Inteligência</t>
        </is>
      </c>
      <c r="L7" s="153" t="inlineStr">
        <is>
          <t>Estocada</t>
        </is>
      </c>
      <c r="M7" s="41" t="n"/>
      <c r="N7" s="153" t="inlineStr">
        <is>
          <t>Guia</t>
        </is>
      </c>
      <c r="O7" s="153" t="inlineStr">
        <is>
          <t>Essência</t>
        </is>
      </c>
      <c r="P7" s="153" t="n">
        <v>8</v>
      </c>
      <c r="Q7" s="153" t="n">
        <v>5</v>
      </c>
      <c r="R7" s="153" t="n">
        <v>5</v>
      </c>
      <c r="S7" s="153" t="inlineStr">
        <is>
          <t>Persuasão</t>
        </is>
      </c>
      <c r="T7" s="153" t="inlineStr">
        <is>
          <t>Medicina</t>
        </is>
      </c>
      <c r="U7" s="153" t="n"/>
      <c r="V7" s="41" t="n"/>
      <c r="W7" s="155" t="n">
        <v>14</v>
      </c>
      <c r="X7" s="155" t="n">
        <v>26</v>
      </c>
      <c r="Y7" s="155" t="n">
        <v>9</v>
      </c>
      <c r="Z7" s="155" t="n">
        <v>17</v>
      </c>
      <c r="AA7" s="41" t="n"/>
      <c r="AB7" s="153" t="inlineStr">
        <is>
          <t>Furtividade</t>
        </is>
      </c>
      <c r="AC7" s="153" t="inlineStr">
        <is>
          <t>Destreza</t>
        </is>
      </c>
      <c r="AD7" s="41" t="n"/>
      <c r="AE7" s="153" t="inlineStr">
        <is>
          <t>Traje 3</t>
        </is>
      </c>
      <c r="AF7" s="155" t="n">
        <v>3</v>
      </c>
      <c r="AG7" s="155" t="inlineStr">
        <is>
          <t>—</t>
        </is>
      </c>
      <c r="AH7" s="155" t="inlineStr">
        <is>
          <t>sim</t>
        </is>
      </c>
      <c r="AI7" s="41" t="n"/>
      <c r="AJ7" s="153" t="inlineStr">
        <is>
          <t>pontos distribuídos</t>
        </is>
      </c>
      <c r="AK7" s="155">
        <f>IFERROR(VALUE(FICHA!$D$21&amp;""),0)+IFERROR(VALUE(FICHA!$L$21&amp;""),0)+IFERROR(VALUE(FICHA!$T$21&amp;""),0)+IFERROR(VALUE(FICHA!$AB$21&amp;""),0)+IFERROR(VALUE(FICHA!$AJ$21&amp;""),0)</f>
        <v/>
      </c>
      <c r="AL7" s="41" t="n"/>
      <c r="AM7" s="153">
        <f>$A$5</f>
        <v/>
      </c>
      <c r="AN7" s="153">
        <f>$L$6</f>
        <v/>
      </c>
      <c r="AO7" s="153" t="inlineStr">
        <is>
          <t>Bastião</t>
        </is>
      </c>
      <c r="AP7" s="41" t="n"/>
      <c r="AQ7" s="155" t="n">
        <v>4</v>
      </c>
      <c r="AR7" s="155" t="n">
        <v>500</v>
      </c>
      <c r="AS7" s="41" t="n"/>
      <c r="AT7" s="41" t="n"/>
      <c r="AU7" s="41" t="n"/>
      <c r="AV7" s="41" t="n"/>
      <c r="AW7" s="41" t="n"/>
      <c r="AX7" s="41" t="n"/>
      <c r="AY7" s="41" t="n"/>
      <c r="AZ7" s="41" t="n"/>
      <c r="BA7" s="153" t="inlineStr">
        <is>
          <t>trilha</t>
        </is>
      </c>
      <c r="BB7" s="153">
        <f>ADDRESS(ROW(FICHA!N11),COLUMN(FICHA!N11),4)</f>
        <v/>
      </c>
      <c r="BD7" s="153" t="inlineStr">
        <is>
          <t>Besta de Uma Mão</t>
        </is>
      </c>
      <c r="BE7" s="153" t="inlineStr">
        <is>
          <t>Balestra</t>
        </is>
      </c>
      <c r="BF7" s="155" t="n">
        <v>1</v>
      </c>
      <c r="BG7" s="153" t="inlineStr">
        <is>
          <t>1d10</t>
        </is>
      </c>
      <c r="BH7" s="153" t="inlineStr">
        <is>
          <t>Longo Alcance · Munição · Oculta · Leve</t>
        </is>
      </c>
      <c r="BI7" s="153" t="inlineStr">
        <is>
          <t>—</t>
        </is>
      </c>
      <c r="BJ7" s="155" t="n">
        <v>1</v>
      </c>
      <c r="BK7" s="153" t="inlineStr">
        <is>
          <t>9 m, longa 36 m</t>
        </is>
      </c>
      <c r="BL7" s="155" t="n">
        <v>1</v>
      </c>
      <c r="BM7" s="155">
        <f>'FICHA PESSOAL'!$V$68</f>
        <v/>
      </c>
      <c r="BN7" s="155">
        <f>ADDRESS(ROW('FICHA PESSOAL'!V68),COLUMN('FICHA PESSOAL'!V68),4)</f>
        <v/>
      </c>
      <c r="BP7" s="153" t="inlineStr">
        <is>
          <t>Ceifa</t>
        </is>
      </c>
      <c r="BQ7" s="153" t="inlineStr">
        <is>
          <t>Simples</t>
        </is>
      </c>
      <c r="BR7" s="153" t="inlineStr">
        <is>
          <t>não</t>
        </is>
      </c>
      <c r="BS7" s="155">
        <f>'FICHA PESSOAL'!$V$62</f>
        <v/>
      </c>
      <c r="BT7" s="155">
        <f>ADDRESS(ROW('FICHA PESSOAL'!V62),COLUMN('FICHA PESSOAL'!V62),4)</f>
        <v/>
      </c>
      <c r="BV7" s="153" t="inlineStr">
        <is>
          <t>Incursor</t>
        </is>
      </c>
      <c r="BX7" s="153" t="inlineStr">
        <is>
          <t>Traje 3</t>
        </is>
      </c>
      <c r="BY7" s="155" t="n">
        <v>3</v>
      </c>
      <c r="BZ7" s="153" t="inlineStr">
        <is>
          <t>—</t>
        </is>
      </c>
      <c r="CA7" s="155" t="n">
        <v>3</v>
      </c>
      <c r="CB7" s="155" t="n">
        <v>2</v>
      </c>
      <c r="CC7" s="155" t="n">
        <v>1</v>
      </c>
      <c r="CD7" s="153" t="inlineStr">
        <is>
          <t>Grau 4</t>
        </is>
      </c>
      <c r="CF7" s="153" t="inlineStr">
        <is>
          <t>Grau 2</t>
        </is>
      </c>
      <c r="CG7" s="153" t="inlineStr">
        <is>
          <t>¥ 600.000</t>
        </is>
      </c>
      <c r="CH7" s="155" t="n">
        <v>3</v>
      </c>
      <c r="CJ7" s="153" t="inlineStr">
        <is>
          <t>Altura e beirada</t>
        </is>
      </c>
      <c r="CL7" s="153" t="inlineStr">
        <is>
          <t>Longa</t>
        </is>
      </c>
      <c r="CM7" s="155" t="n">
        <v>200</v>
      </c>
      <c r="CO7" s="153" t="inlineStr">
        <is>
          <t>2x</t>
        </is>
      </c>
      <c r="CP7" s="155" t="n">
        <v>2</v>
      </c>
      <c r="CR7" s="153" t="inlineStr">
        <is>
          <t>5ª · 12,5%</t>
        </is>
      </c>
      <c r="CS7" s="155" t="n">
        <v>0.125</v>
      </c>
      <c r="CU7" s="153" t="inlineStr">
        <is>
          <t>Grau 3</t>
        </is>
      </c>
      <c r="CY7" s="153" t="inlineStr">
        <is>
          <t>categoria da principal</t>
        </is>
      </c>
      <c r="CZ7" s="155">
        <f>IF(DADOS!$CZ$6=1,"Soco",IFERROR(VLOOKUP('FICHA PESSOAL'!$D$49,'FICHA PESSOAL'!$D$77:$AH$84,10,FALSE)&amp;"",""))</f>
        <v/>
      </c>
      <c r="DB7" s="155">
        <f>IF(AND('FICHA PESSOAL'!$D$78&lt;&gt;"",'FICHA PESSOAL'!$M$78&lt;&gt;"Escudo"),'FICHA PESSOAL'!$D$78,"")</f>
        <v/>
      </c>
      <c r="DD7" s="155">
        <f>IF(AND(DADOS!$CZ$8&lt;&gt;2,'FICHA PESSOAL'!$D$77&lt;&gt;"",OR('FICHA PESSOAL'!$M$77="Escudo",N('FICHA PESSOAL'!$S$77)=1)),'FICHA PESSOAL'!$D$77,"")</f>
        <v/>
      </c>
      <c r="DF7" s="155">
        <f>IF(DADOS!$CZ$34&gt;=DADOS!$CC$6,DADOS!$BX$6,"")</f>
        <v/>
      </c>
      <c r="DH7" s="153" t="inlineStr">
        <is>
          <t>Versátil</t>
        </is>
      </c>
      <c r="DI7" s="153" t="inlineStr">
        <is>
          <t>Ao atacar com as duas mãos, aumenta o dado: d6 para d8, d8 para d10 ou d10 para d12.</t>
        </is>
      </c>
      <c r="DK7" s="153" t="inlineStr">
        <is>
          <t>situação do traje</t>
        </is>
      </c>
      <c r="DL7" s="155">
        <f>IF(AND(DADOS!$CZ$27=1,LEFT('FICHA PESSOAL'!$AH$49,5)&lt;&gt;"Traje"),"Só o Traje carrega situação. O Revestimento não tem.",IF('FICHA PESSOAL'!$AN$71="","",IF('FICHA PESSOAL'!$AN$71="Outra Situação","Você pode criar a sua, em uma ou duas palavras. O mestre confere três coisas: é condição física que ele já descreveu na cena; não decide o que uma perícia de Destreza já decide; e não acontece toda cena.","Situação “"&amp;LOWER('FICHA PESSOAL'!$AN$71)&amp;"”: quando a cena estiver nessa condição, você tem vantagem no tipo de Teste de Resistência e nas perícias que escolheu para o Traje (tantas quanto a sua maestria).")))</f>
        <v/>
      </c>
      <c r="DM7" s="155">
        <f>ADDRESS(ROW('FICHA PESSOAL'!AN71),COLUMN('FICHA PESSOAL'!AN71),4)</f>
        <v/>
      </c>
      <c r="DO7" s="153" t="inlineStr">
        <is>
          <t>vestindo</t>
        </is>
      </c>
      <c r="DP7" s="155">
        <f>ADDRESS(ROW('FICHA PESSOAL'!AH49),COLUMN('FICHA PESSOAL'!AH49),4)</f>
        <v/>
      </c>
      <c r="DR7" s="153" t="inlineStr">
        <is>
          <t>De exceção</t>
        </is>
      </c>
    </row>
    <row r="8" ht="17.25" customHeight="1">
      <c r="A8" s="153" t="inlineStr">
        <is>
          <t>Evocador</t>
        </is>
      </c>
      <c r="B8" s="153" t="inlineStr">
        <is>
          <t>Prestidigitação</t>
        </is>
      </c>
      <c r="C8" s="153" t="inlineStr">
        <is>
          <t>Caligrafia</t>
        </is>
      </c>
      <c r="D8" s="153" t="inlineStr">
        <is>
          <t>Auxiliares</t>
        </is>
      </c>
      <c r="E8" s="153" t="inlineStr">
        <is>
          <t>Cone</t>
        </is>
      </c>
      <c r="F8" s="153" t="inlineStr">
        <is>
          <t>Passo</t>
        </is>
      </c>
      <c r="G8" s="153" t="inlineStr">
        <is>
          <t>Carregar</t>
        </is>
      </c>
      <c r="H8" s="153" t="inlineStr">
        <is>
          <t>Desarmado</t>
        </is>
      </c>
      <c r="I8" s="153" t="inlineStr">
        <is>
          <t>Feto</t>
        </is>
      </c>
      <c r="J8" s="41" t="n"/>
      <c r="K8" s="153" t="inlineStr">
        <is>
          <t>Essência</t>
        </is>
      </c>
      <c r="L8" s="153" t="inlineStr">
        <is>
          <t>Batedor · Yumi</t>
        </is>
      </c>
      <c r="M8" s="41" t="n"/>
      <c r="N8" s="153" t="inlineStr">
        <is>
          <t>Emanador</t>
        </is>
      </c>
      <c r="O8" s="153" t="inlineStr">
        <is>
          <t>Inteligência · Essência</t>
        </is>
      </c>
      <c r="P8" s="153" t="n">
        <v>6</v>
      </c>
      <c r="Q8" s="153" t="n">
        <v>4</v>
      </c>
      <c r="R8" s="153" t="n">
        <v>6</v>
      </c>
      <c r="S8" s="153" t="inlineStr">
        <is>
          <t>Ocultismo</t>
        </is>
      </c>
      <c r="T8" s="153" t="inlineStr">
        <is>
          <t>Investigação</t>
        </is>
      </c>
      <c r="U8" s="153" t="n"/>
      <c r="V8" s="41" t="n"/>
      <c r="W8" s="155" t="n">
        <v>18</v>
      </c>
      <c r="X8" s="41" t="n"/>
      <c r="Y8" s="155" t="n">
        <v>13</v>
      </c>
      <c r="Z8" s="41" t="n"/>
      <c r="AA8" s="41" t="n"/>
      <c r="AB8" s="153" t="inlineStr">
        <is>
          <t>Pontaria</t>
        </is>
      </c>
      <c r="AC8" s="153" t="inlineStr">
        <is>
          <t>Destreza</t>
        </is>
      </c>
      <c r="AD8" s="41" t="n"/>
      <c r="AE8" s="153" t="inlineStr">
        <is>
          <t>Revestimento 1</t>
        </is>
      </c>
      <c r="AF8" s="155" t="n">
        <v>4</v>
      </c>
      <c r="AG8" s="155" t="n">
        <v>0</v>
      </c>
      <c r="AH8" s="155" t="inlineStr">
        <is>
          <t>sim</t>
        </is>
      </c>
      <c r="AI8" s="41" t="n"/>
      <c r="AJ8" s="153" t="inlineStr">
        <is>
          <t>maior atributo</t>
        </is>
      </c>
      <c r="AK8" s="155">
        <f>MAX(FICHA!$D$19,FICHA!$L$19,FICHA!$T$19,FICHA!$AB$19,FICHA!$AJ$19)</f>
        <v/>
      </c>
      <c r="AL8" s="41" t="n"/>
      <c r="AM8" s="153">
        <f>$A$6</f>
        <v/>
      </c>
      <c r="AN8" s="153">
        <f>$L$7</f>
        <v/>
      </c>
      <c r="AO8" s="153" t="inlineStr">
        <is>
          <t>Vanguarda</t>
        </is>
      </c>
      <c r="AP8" s="41" t="n"/>
      <c r="AQ8" s="155" t="n">
        <v>5</v>
      </c>
      <c r="AR8" s="155" t="n">
        <v>800</v>
      </c>
      <c r="AS8" s="41" t="n"/>
      <c r="AT8" s="41" t="n"/>
      <c r="AU8" s="41" t="n"/>
      <c r="AV8" s="41" t="n"/>
      <c r="AW8" s="41" t="n"/>
      <c r="AX8" s="41" t="n"/>
      <c r="AY8" s="41" t="n"/>
      <c r="AZ8" s="41" t="n"/>
      <c r="BA8" s="153" t="inlineStr">
        <is>
          <t>origem</t>
        </is>
      </c>
      <c r="BB8" s="153">
        <f>ADDRESS(ROW(FICHA!X11),COLUMN(FICHA!X11),4)</f>
        <v/>
      </c>
      <c r="BD8" s="153" t="inlineStr">
        <is>
          <t>Bō</t>
        </is>
      </c>
      <c r="BE8" s="153" t="inlineStr">
        <is>
          <t>Porrete</t>
        </is>
      </c>
      <c r="BF8" s="155" t="n">
        <v>2</v>
      </c>
      <c r="BG8" s="153" t="inlineStr">
        <is>
          <t>1d10</t>
        </is>
      </c>
      <c r="BH8" s="153" t="inlineStr">
        <is>
          <t>Alcance · Emaranha</t>
        </is>
      </c>
      <c r="BI8" s="155" t="n">
        <v>3</v>
      </c>
      <c r="BJ8" s="155" t="n">
        <v>2</v>
      </c>
      <c r="BM8" s="155">
        <f>'FICHA PESSOAL'!$V$58</f>
        <v/>
      </c>
      <c r="BN8" s="155">
        <f>ADDRESS(ROW('FICHA PESSOAL'!V58),COLUMN('FICHA PESSOAL'!V58),4)</f>
        <v/>
      </c>
      <c r="BP8" s="153" t="inlineStr">
        <is>
          <t>Arremesso</t>
        </is>
      </c>
      <c r="BQ8" s="153" t="inlineStr">
        <is>
          <t>Simples</t>
        </is>
      </c>
      <c r="BR8" s="153" t="inlineStr">
        <is>
          <t>não</t>
        </is>
      </c>
      <c r="BS8" s="155">
        <f>'FICHA PESSOAL'!$M$64</f>
        <v/>
      </c>
      <c r="BT8" s="155">
        <f>ADDRESS(ROW('FICHA PESSOAL'!M64),COLUMN('FICHA PESSOAL'!M64),4)</f>
        <v/>
      </c>
      <c r="BX8" s="153" t="inlineStr">
        <is>
          <t>Revestimento 1</t>
        </is>
      </c>
      <c r="BY8" s="155" t="n">
        <v>4</v>
      </c>
      <c r="BZ8" s="155" t="n">
        <v>0</v>
      </c>
      <c r="CA8" s="155" t="n">
        <v>3</v>
      </c>
      <c r="CB8" s="155" t="n">
        <v>2</v>
      </c>
      <c r="CC8" s="155" t="n">
        <v>1</v>
      </c>
      <c r="CD8" s="153" t="inlineStr">
        <is>
          <t>Grau 4</t>
        </is>
      </c>
      <c r="CF8" s="153" t="inlineStr">
        <is>
          <t>Grau 1</t>
        </is>
      </c>
      <c r="CG8" s="153" t="inlineStr">
        <is>
          <t>¥ 1.200.000</t>
        </is>
      </c>
      <c r="CH8" s="155" t="n">
        <v>4</v>
      </c>
      <c r="CJ8" s="153" t="inlineStr">
        <is>
          <t>Multidão</t>
        </is>
      </c>
      <c r="CL8" s="153" t="inlineStr">
        <is>
          <t>Final de arco</t>
        </is>
      </c>
      <c r="CM8" s="155" t="n">
        <v>300</v>
      </c>
      <c r="CR8" s="153" t="inlineStr">
        <is>
          <t>6ª · 6,25%</t>
        </is>
      </c>
      <c r="CS8" s="155" t="n">
        <v>0.0625</v>
      </c>
      <c r="CU8" s="153" t="inlineStr">
        <is>
          <t>Grau 2</t>
        </is>
      </c>
      <c r="CY8" s="153" t="inlineStr">
        <is>
          <t>mão da principal</t>
        </is>
      </c>
      <c r="CZ8" s="155">
        <f>IF(DADOS!$CZ$6=1,1,IFERROR(VALUE(VLOOKUP('FICHA PESSOAL'!$D$49,'FICHA PESSOAL'!$D$77:$AH$84,16,FALSE)&amp;""),0))</f>
        <v/>
      </c>
      <c r="DB8" s="155">
        <f>IF(AND('FICHA PESSOAL'!$D$79&lt;&gt;"",'FICHA PESSOAL'!$M$79&lt;&gt;"Escudo"),'FICHA PESSOAL'!$D$79,"")</f>
        <v/>
      </c>
      <c r="DD8" s="155">
        <f>IF(AND(DADOS!$CZ$8&lt;&gt;2,'FICHA PESSOAL'!$D$78&lt;&gt;"",OR('FICHA PESSOAL'!$M$78="Escudo",N('FICHA PESSOAL'!$S$78)=1)),'FICHA PESSOAL'!$D$78,"")</f>
        <v/>
      </c>
      <c r="DF8" s="155">
        <f>IF(DADOS!$CZ$34&gt;=DADOS!$CC$7,DADOS!$BX$7,"")</f>
        <v/>
      </c>
      <c r="DH8" s="153" t="inlineStr">
        <is>
          <t>Par</t>
        </is>
      </c>
      <c r="DI8" s="153" t="inlineStr">
        <is>
          <t>Role duas vezes os dados de dano próprios da arma e use o conjunto de maior soma. Aplique os demais acréscimos uma única vez.</t>
        </is>
      </c>
      <c r="DK8" s="153" t="inlineStr">
        <is>
          <t>arma da principal</t>
        </is>
      </c>
      <c r="DL8" s="155">
        <f>IF(DADOS!$CZ$6=1,"Soco"&amp;CHAR(10)&amp;"O dado desarmado é d4 com maestria 1, d6 com maestria 2, d8 com maestria 3 e d10 com maestria 4.",IF(DADOS!$CZ$7="","",'FICHA PESSOAL'!$D$49&amp;IF(ISNUMBER(SEARCH("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55">
        <f>ADDRESS(ROW('FICHA PESSOAL'!D51),COLUMN('FICHA PESSOAL'!D51),4)</f>
        <v/>
      </c>
      <c r="DO8" s="153" t="inlineStr">
        <is>
          <t>grau</t>
        </is>
      </c>
      <c r="DP8" s="155">
        <f>ADDRESS(ROW('FICHA PESSOAL'!AB11),COLUMN('FICHA PESSOAL'!AB11),4)</f>
        <v/>
      </c>
    </row>
    <row r="9" ht="17.25" customHeight="1">
      <c r="A9" s="41" t="inlineStr">
        <is>
          <t>Incursor</t>
        </is>
      </c>
      <c r="B9" s="153" t="inlineStr">
        <is>
          <t>Investigação</t>
        </is>
      </c>
      <c r="C9" s="153" t="inlineStr">
        <is>
          <t>Burocracia</t>
        </is>
      </c>
      <c r="D9" s="153" t="inlineStr">
        <is>
          <t>Castigo</t>
        </is>
      </c>
      <c r="E9" s="153" t="inlineStr">
        <is>
          <t>Linha</t>
        </is>
      </c>
      <c r="F9" s="153" t="inlineStr">
        <is>
          <t>Empurrão</t>
        </is>
      </c>
      <c r="G9" s="153" t="inlineStr">
        <is>
          <t>Sangra</t>
        </is>
      </c>
      <c r="H9" s="153" t="inlineStr">
        <is>
          <t>Surdo</t>
        </is>
      </c>
      <c r="I9" s="153" t="inlineStr">
        <is>
          <t>Restrição Celestial · corpo pela técnica</t>
        </is>
      </c>
      <c r="J9" s="41" t="n"/>
      <c r="K9" s="41" t="n"/>
      <c r="L9" s="153" t="inlineStr">
        <is>
          <t>Batedor · Besta</t>
        </is>
      </c>
      <c r="M9" s="41" t="n"/>
      <c r="N9" s="153" t="inlineStr">
        <is>
          <t>Evocador</t>
        </is>
      </c>
      <c r="O9" s="153" t="inlineStr">
        <is>
          <t>Inteligência · Essência</t>
        </is>
      </c>
      <c r="P9" s="153" t="n">
        <v>6</v>
      </c>
      <c r="Q9" s="153" t="n">
        <v>4</v>
      </c>
      <c r="R9" s="153" t="n">
        <v>6</v>
      </c>
      <c r="S9" s="153" t="inlineStr">
        <is>
          <t>Religião</t>
        </is>
      </c>
      <c r="T9" s="153" t="inlineStr">
        <is>
          <t>Lidar com Animais</t>
        </is>
      </c>
      <c r="U9" s="153" t="n"/>
      <c r="V9" s="41" t="n"/>
      <c r="W9" s="155" t="n">
        <v>22</v>
      </c>
      <c r="X9" s="41" t="n"/>
      <c r="Y9" s="155" t="n">
        <v>17</v>
      </c>
      <c r="Z9" s="41" t="n"/>
      <c r="AA9" s="41" t="n"/>
      <c r="AB9" s="153" t="inlineStr">
        <is>
          <t>Prestidigitação</t>
        </is>
      </c>
      <c r="AC9" s="153" t="inlineStr">
        <is>
          <t>Destreza</t>
        </is>
      </c>
      <c r="AD9" s="41" t="n"/>
      <c r="AE9" s="153" t="inlineStr">
        <is>
          <t>Revestimento 2</t>
        </is>
      </c>
      <c r="AF9" s="155" t="n">
        <v>5</v>
      </c>
      <c r="AG9" s="155" t="n">
        <v>0</v>
      </c>
      <c r="AH9" s="155" t="inlineStr">
        <is>
          <t>sim</t>
        </is>
      </c>
      <c r="AI9" s="41" t="n"/>
      <c r="AJ9" s="153" t="inlineStr">
        <is>
          <t>maior atributo pequeno</t>
        </is>
      </c>
      <c r="AK9" s="155">
        <f>MAX(IFERROR(VALUE(FICHA!$D$21&amp;""),0),IFERROR(VALUE(FICHA!$L$21&amp;""),0),IFERROR(VALUE(FICHA!$T$21&amp;""),0),IFERROR(VALUE(FICHA!$AB$21&amp;""),0),IFERROR(VALUE(FICHA!$AJ$21&amp;""),0))</f>
        <v/>
      </c>
      <c r="AL9" s="41" t="n"/>
      <c r="AM9" s="153">
        <f>$A$7</f>
        <v/>
      </c>
      <c r="AN9" s="153">
        <f>$L$8</f>
        <v/>
      </c>
      <c r="AO9" s="153" t="inlineStr">
        <is>
          <t>Vanguarda</t>
        </is>
      </c>
      <c r="AP9" s="41" t="n"/>
      <c r="AQ9" s="155" t="n">
        <v>6</v>
      </c>
      <c r="AR9" s="155" t="n">
        <v>1300</v>
      </c>
      <c r="AS9" s="41" t="n"/>
      <c r="AT9" s="41" t="n"/>
      <c r="AU9" s="41" t="n"/>
      <c r="AV9" s="41" t="n"/>
      <c r="AW9" s="41" t="n"/>
      <c r="AX9" s="41" t="n"/>
      <c r="AY9" s="41" t="n"/>
      <c r="AZ9" s="41" t="n"/>
      <c r="BA9" s="153" t="inlineStr">
        <is>
          <t>nivel</t>
        </is>
      </c>
      <c r="BB9" s="153">
        <f>ADDRESS(ROW(FICHA!AH11),COLUMN(FICHA!AH11),4)</f>
        <v/>
      </c>
      <c r="BD9" s="153" t="inlineStr">
        <is>
          <t>Broquel</t>
        </is>
      </c>
      <c r="BE9" s="153" t="inlineStr">
        <is>
          <t>Escudo</t>
        </is>
      </c>
      <c r="BF9" s="155" t="n">
        <v>1</v>
      </c>
      <c r="BG9" s="153" t="inlineStr">
        <is>
          <t>—</t>
        </is>
      </c>
      <c r="BH9" s="153" t="inlineStr">
        <is>
          <t>Proteção +1 · teto de Destreza 5</t>
        </is>
      </c>
      <c r="BI9" s="153" t="inlineStr">
        <is>
          <t>—</t>
        </is>
      </c>
      <c r="BJ9" s="155" t="n">
        <v>0.5</v>
      </c>
      <c r="BM9" s="155">
        <f>TRUE</f>
        <v/>
      </c>
      <c r="BP9" s="153" t="inlineStr">
        <is>
          <t>Manopla</t>
        </is>
      </c>
      <c r="BQ9" s="153" t="inlineStr">
        <is>
          <t>Simples</t>
        </is>
      </c>
      <c r="BR9" s="153" t="inlineStr">
        <is>
          <t>não</t>
        </is>
      </c>
      <c r="BS9" s="155">
        <f>'FICHA PESSOAL'!$AE$66</f>
        <v/>
      </c>
      <c r="BT9" s="155">
        <f>ADDRESS(ROW('FICHA PESSOAL'!AE66),COLUMN('FICHA PESSOAL'!AE66),4)</f>
        <v/>
      </c>
      <c r="BX9" s="153" t="inlineStr">
        <is>
          <t>Revestimento 2</t>
        </is>
      </c>
      <c r="BY9" s="155" t="n">
        <v>5</v>
      </c>
      <c r="BZ9" s="155" t="n">
        <v>0</v>
      </c>
      <c r="CA9" s="155" t="n">
        <v>4</v>
      </c>
      <c r="CB9" s="155" t="n">
        <v>3</v>
      </c>
      <c r="CC9" s="155" t="n">
        <v>2</v>
      </c>
      <c r="CD9" s="153" t="inlineStr">
        <is>
          <t>Grau 3</t>
        </is>
      </c>
      <c r="CF9" s="153" t="inlineStr">
        <is>
          <t>Especial</t>
        </is>
      </c>
      <c r="CG9" s="153" t="inlineStr">
        <is>
          <t>¥ 2.400.000</t>
        </is>
      </c>
      <c r="CH9" s="155" t="n">
        <v>5</v>
      </c>
      <c r="CJ9" s="153" t="inlineStr">
        <is>
          <t>Escuro</t>
        </is>
      </c>
      <c r="CL9" s="153" t="inlineStr">
        <is>
          <t>Solo simples</t>
        </is>
      </c>
      <c r="CM9" s="155" t="n">
        <v>75</v>
      </c>
      <c r="CR9" s="153" t="inlineStr">
        <is>
          <t>7ª · 3,125%</t>
        </is>
      </c>
      <c r="CS9" s="155" t="n">
        <v>0.03125</v>
      </c>
      <c r="CU9" s="153" t="inlineStr">
        <is>
          <t>Grau 1</t>
        </is>
      </c>
      <c r="CY9" s="153" t="inlineStr">
        <is>
          <t>dado da principal</t>
        </is>
      </c>
      <c r="CZ9" s="155">
        <f>IF(DADOS!$CZ$6=1,CHOOSE(MIN(4,MAX(1,N(FICHA!$D$59))),"d4","d6","d8","d10"),IFERROR(VLOOKUP('FICHA PESSOAL'!$D$49,'FICHA PESSOAL'!$D$77:$AH$84,18,FALSE)&amp;"",""))</f>
        <v/>
      </c>
      <c r="DB9" s="155">
        <f>IF(AND('FICHA PESSOAL'!$D$80&lt;&gt;"",'FICHA PESSOAL'!$M$80&lt;&gt;"Escudo"),'FICHA PESSOAL'!$D$80,"")</f>
        <v/>
      </c>
      <c r="DD9" s="155">
        <f>IF(AND(DADOS!$CZ$8&lt;&gt;2,'FICHA PESSOAL'!$D$79&lt;&gt;"",OR('FICHA PESSOAL'!$M$79="Escudo",N('FICHA PESSOAL'!$S$79)=1)),'FICHA PESSOAL'!$D$79,"")</f>
        <v/>
      </c>
      <c r="DF9" s="155">
        <f>IF(DADOS!$CZ$34&gt;=DADOS!$CC$8,DADOS!$BX$8,"")</f>
        <v/>
      </c>
      <c r="DH9" s="153" t="inlineStr">
        <is>
          <t>Alcance</t>
        </is>
      </c>
      <c r="DI9" s="153" t="inlineStr">
        <is>
          <t>O alcance corpo a corpo da arma é 3 m. Sem essa propriedade, o alcance comum é 1,5 m.</t>
        </is>
      </c>
      <c r="DK9" s="153" t="inlineStr">
        <is>
          <t>arma da secundária</t>
        </is>
      </c>
      <c r="DL9" s="155">
        <f>IF(OR(DADOS!$CZ$17=0,DADOS!$CZ$18=""),"",IF(DADOS!$CZ$19=1,'FICHA PESSOAL'!$S$49&amp;CHAR(10)&amp;"Some a proteção de um escudo empunhado à proteção que já utiliza, respeitando o teto de Destreza dele.",'FICHA PESSOAL'!$S$49&amp;IF(ISNUMBER(SEARCH("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55">
        <f>ADDRESS(ROW('FICHA PESSOAL'!S51),COLUMN('FICHA PESSOAL'!S51),4)</f>
        <v/>
      </c>
      <c r="DO9" s="153" t="inlineStr">
        <is>
          <t>situação do traje</t>
        </is>
      </c>
      <c r="DP9" s="155">
        <f>ADDRESS(ROW('FICHA PESSOAL'!AN71),COLUMN('FICHA PESSOAL'!AN71),4)</f>
        <v/>
      </c>
    </row>
    <row r="10" ht="17.25" customHeight="1">
      <c r="A10" s="41" t="n"/>
      <c r="B10" s="153" t="inlineStr">
        <is>
          <t>Intuição</t>
        </is>
      </c>
      <c r="C10" s="153" t="inlineStr">
        <is>
          <t>Entalhador</t>
        </is>
      </c>
      <c r="D10" s="153" t="inlineStr">
        <is>
          <t>Tempo</t>
        </is>
      </c>
      <c r="E10" s="153" t="inlineStr">
        <is>
          <t>Cura</t>
        </is>
      </c>
      <c r="F10" s="153" t="inlineStr">
        <is>
          <t>Troca</t>
        </is>
      </c>
      <c r="G10" s="153" t="inlineStr">
        <is>
          <t>Recuo</t>
        </is>
      </c>
      <c r="H10" s="153" t="inlineStr">
        <is>
          <t>Calado</t>
        </is>
      </c>
      <c r="I10" s="153" t="inlineStr">
        <is>
          <t>Latente · Sem Técnica</t>
        </is>
      </c>
      <c r="J10" s="41" t="n"/>
      <c r="K10" s="41" t="n"/>
      <c r="L10" s="153"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55" t="n">
        <v>26</v>
      </c>
      <c r="X10" s="41" t="n"/>
      <c r="Y10" s="155" t="n">
        <v>21</v>
      </c>
      <c r="Z10" s="41" t="n"/>
      <c r="AA10" s="41" t="n"/>
      <c r="AB10" s="153" t="inlineStr">
        <is>
          <t>Investigação</t>
        </is>
      </c>
      <c r="AC10" s="153" t="inlineStr">
        <is>
          <t>Inteligência</t>
        </is>
      </c>
      <c r="AD10" s="41" t="n"/>
      <c r="AE10" s="153" t="inlineStr">
        <is>
          <t>Revestimento 3</t>
        </is>
      </c>
      <c r="AF10" s="155" t="n">
        <v>6</v>
      </c>
      <c r="AG10" s="155" t="n">
        <v>0</v>
      </c>
      <c r="AH10" s="155" t="inlineStr">
        <is>
          <t>sim</t>
        </is>
      </c>
      <c r="AI10" s="41" t="n"/>
      <c r="AJ10" s="153" t="inlineStr">
        <is>
          <t>marcos de Corpo</t>
        </is>
      </c>
      <c r="AK10" s="155">
        <f>IFERROR(VALUE(FICHA!$AQ$48&amp;""),0)</f>
        <v/>
      </c>
      <c r="AL10" s="41" t="n"/>
      <c r="AM10" s="153">
        <f>$A$8</f>
        <v/>
      </c>
      <c r="AN10" s="153">
        <f>$L$9</f>
        <v/>
      </c>
      <c r="AO10" s="153" t="inlineStr">
        <is>
          <t>Vanguarda</t>
        </is>
      </c>
      <c r="AP10" s="41" t="n"/>
      <c r="AQ10" s="155" t="n">
        <v>7</v>
      </c>
      <c r="AR10" s="155" t="n">
        <v>1800</v>
      </c>
      <c r="AS10" s="41" t="n"/>
      <c r="AT10" s="41" t="n"/>
      <c r="AU10" s="41" t="n"/>
      <c r="AV10" s="41" t="n"/>
      <c r="AW10" s="41" t="n"/>
      <c r="AX10" s="41" t="n"/>
      <c r="AY10" s="41" t="n"/>
      <c r="AZ10" s="41" t="n"/>
      <c r="BA10" s="153" t="inlineStr">
        <is>
          <t>xp</t>
        </is>
      </c>
      <c r="BB10" s="153">
        <f>ADDRESS(ROW(FICHA!AN11),COLUMN(FICHA!AN11),4)</f>
        <v/>
      </c>
      <c r="BD10" s="153" t="inlineStr">
        <is>
          <t>Canivete</t>
        </is>
      </c>
      <c r="BE10" s="153" t="inlineStr">
        <is>
          <t>Lâmina Curta</t>
        </is>
      </c>
      <c r="BF10" s="155" t="n">
        <v>1</v>
      </c>
      <c r="BG10" s="153" t="inlineStr">
        <is>
          <t>1d4</t>
        </is>
      </c>
      <c r="BH10" s="153" t="inlineStr">
        <is>
          <t>Fineza · Oculta · Rompe · Leve</t>
        </is>
      </c>
      <c r="BI10" s="153" t="inlineStr">
        <is>
          <t>—</t>
        </is>
      </c>
      <c r="BJ10" s="155" t="n">
        <v>0.1</v>
      </c>
      <c r="BM10" s="155">
        <f>'FICHA PESSOAL'!$AE$57</f>
        <v/>
      </c>
      <c r="BN10" s="155">
        <f>ADDRESS(ROW('FICHA PESSOAL'!AE57),COLUMN('FICHA PESSOAL'!AE57),4)</f>
        <v/>
      </c>
      <c r="BP10" s="153" t="inlineStr">
        <is>
          <t>Massa</t>
        </is>
      </c>
      <c r="BQ10" s="153" t="inlineStr">
        <is>
          <t>Simples</t>
        </is>
      </c>
      <c r="BR10" s="153" t="inlineStr">
        <is>
          <t>não</t>
        </is>
      </c>
      <c r="BS10" s="155">
        <f>'FICHA PESSOAL'!$AM$56</f>
        <v/>
      </c>
      <c r="BT10" s="155">
        <f>ADDRESS(ROW('FICHA PESSOAL'!AM56),COLUMN('FICHA PESSOAL'!AM56),4)</f>
        <v/>
      </c>
      <c r="BX10" s="153" t="inlineStr">
        <is>
          <t>Revestimento 3</t>
        </is>
      </c>
      <c r="BY10" s="155" t="n">
        <v>6</v>
      </c>
      <c r="BZ10" s="155" t="n">
        <v>0</v>
      </c>
      <c r="CA10" s="155" t="n">
        <v>6</v>
      </c>
      <c r="CB10" s="155" t="n">
        <v>4</v>
      </c>
      <c r="CC10" s="155" t="n">
        <v>3</v>
      </c>
      <c r="CD10" s="153" t="inlineStr">
        <is>
          <t>Grau 2</t>
        </is>
      </c>
      <c r="CJ10" s="153" t="inlineStr">
        <is>
          <t>Terreno instável</t>
        </is>
      </c>
      <c r="CL10" s="153" t="inlineStr">
        <is>
          <t>Solo complexa</t>
        </is>
      </c>
      <c r="CM10" s="155" t="n">
        <v>150</v>
      </c>
      <c r="CR10" s="153" t="inlineStr">
        <is>
          <t>Falha · metade</t>
        </is>
      </c>
      <c r="CS10" s="155" t="n">
        <v>0.5</v>
      </c>
      <c r="CU10" s="153" t="inlineStr">
        <is>
          <t>Especial</t>
        </is>
      </c>
      <c r="CY10" s="153" t="inlineStr">
        <is>
          <t>propriedades da principal</t>
        </is>
      </c>
      <c r="CZ10" s="155">
        <f>IF(DADOS!$CZ$6=1,"",IFERROR(VLOOKUP('FICHA PESSOAL'!$D$49,'FICHA PESSOAL'!$D$77:$AH$84,20,FALSE)&amp;"",""))</f>
        <v/>
      </c>
      <c r="DB10" s="155">
        <f>IF(AND('FICHA PESSOAL'!$D$81&lt;&gt;"",'FICHA PESSOAL'!$M$81&lt;&gt;"Escudo"),'FICHA PESSOAL'!$D$81,"")</f>
        <v/>
      </c>
      <c r="DD10" s="155">
        <f>IF(AND(DADOS!$CZ$8&lt;&gt;2,'FICHA PESSOAL'!$D$80&lt;&gt;"",OR('FICHA PESSOAL'!$M$80="Escudo",N('FICHA PESSOAL'!$S$80)=1)),'FICHA PESSOAL'!$D$80,"")</f>
        <v/>
      </c>
      <c r="DF10" s="155">
        <f>IF(DADOS!$CZ$34&gt;=DADOS!$CC$9,DADOS!$BX$9,"")</f>
        <v/>
      </c>
      <c r="DH10" s="153" t="inlineStr">
        <is>
          <t>Longo Alcance</t>
        </is>
      </c>
      <c r="DI10" s="153" t="inlineStr">
        <is>
          <t>Permite o disparo ou arremesso indicado pela arma. Use suas faixas normal e longa.</t>
        </is>
      </c>
      <c r="DO10" s="153" t="inlineStr">
        <is>
          <t>xp total</t>
        </is>
      </c>
      <c r="DP10" s="155">
        <f>ADDRESS(ROW('FICHA PESSOAL'!AW11),COLUMN('FICHA PESSOAL'!AW11),4)</f>
        <v/>
      </c>
    </row>
    <row r="11" ht="17.25" customHeight="1">
      <c r="A11" s="41" t="n"/>
      <c r="B11" s="153" t="inlineStr">
        <is>
          <t>Ocultismo</t>
        </is>
      </c>
      <c r="C11" s="153" t="inlineStr">
        <is>
          <t>Alfaiate</t>
        </is>
      </c>
      <c r="D11" s="153" t="inlineStr">
        <is>
          <t>Marca</t>
        </is>
      </c>
      <c r="E11" s="153" t="inlineStr">
        <is>
          <t>Apoio</t>
        </is>
      </c>
      <c r="F11" s="153" t="inlineStr">
        <is>
          <t>Maior</t>
        </is>
      </c>
      <c r="G11" s="153" t="inlineStr">
        <is>
          <t>Fraqueza</t>
        </is>
      </c>
      <c r="H11" s="153" t="inlineStr">
        <is>
          <t>Enfeitiçado</t>
        </is>
      </c>
      <c r="I11" s="41" t="inlineStr">
        <is>
          <t>Receptáculo · Sem Técnica</t>
        </is>
      </c>
      <c r="J11" s="41" t="n"/>
      <c r="K11" s="41" t="n"/>
      <c r="L11" s="153" t="inlineStr">
        <is>
          <t>Executor</t>
        </is>
      </c>
      <c r="M11" s="41" t="n"/>
      <c r="N11" s="41" t="n"/>
      <c r="O11" s="41" t="n"/>
      <c r="P11" s="41" t="n"/>
      <c r="Q11" s="41" t="n"/>
      <c r="R11" s="41" t="n"/>
      <c r="S11" s="41" t="n"/>
      <c r="T11" s="41" t="n"/>
      <c r="U11" s="41" t="n"/>
      <c r="V11" s="41" t="n"/>
      <c r="W11" s="155" t="n">
        <v>30</v>
      </c>
      <c r="X11" s="41" t="n"/>
      <c r="Y11" s="155" t="n">
        <v>26</v>
      </c>
      <c r="Z11" s="41" t="n"/>
      <c r="AA11" s="41" t="n"/>
      <c r="AB11" s="153" t="inlineStr">
        <is>
          <t>Intuição</t>
        </is>
      </c>
      <c r="AC11" s="153" t="inlineStr">
        <is>
          <t>Inteligência</t>
        </is>
      </c>
      <c r="AD11" s="41" t="n"/>
      <c r="AE11" s="153" t="inlineStr">
        <is>
          <t>Broquel</t>
        </is>
      </c>
      <c r="AF11" s="155" t="n">
        <v>1</v>
      </c>
      <c r="AG11" s="155" t="n">
        <v>5</v>
      </c>
      <c r="AH11" s="155" t="inlineStr">
        <is>
          <t>não</t>
        </is>
      </c>
      <c r="AI11" s="41" t="n"/>
      <c r="AJ11" s="153" t="inlineStr">
        <is>
          <t>pontos de Corpo usados</t>
        </is>
      </c>
      <c r="AK11" s="155">
        <f>IFERROR(VALUE(FICHA!$AK$15&amp;""),0)+IFERROR(VALUE(FICHA!$AM$15&amp;""),0)+IFERROR(VALUE(FICHA!$AO$15&amp;""),0)+IFERROR(VALUE(FICHA!$AQ$15&amp;""),0)+IFERROR(VALUE(FICHA!$AS$15&amp;""),0)</f>
        <v/>
      </c>
      <c r="AL11" s="41" t="n"/>
      <c r="AM11" s="153">
        <f>$A$9</f>
        <v/>
      </c>
      <c r="AN11" s="153">
        <f>$L$10</f>
        <v/>
      </c>
      <c r="AO11" s="153" t="inlineStr">
        <is>
          <t>Vanguarda</t>
        </is>
      </c>
      <c r="AP11" s="41" t="n"/>
      <c r="AQ11" s="155" t="n">
        <v>8</v>
      </c>
      <c r="AR11" s="155" t="n">
        <v>2300</v>
      </c>
      <c r="AS11" s="41" t="n"/>
      <c r="AT11" s="41" t="n"/>
      <c r="AU11" s="41" t="n"/>
      <c r="AV11" s="41" t="n"/>
      <c r="AW11" s="41" t="n"/>
      <c r="AX11" s="41" t="n"/>
      <c r="AY11" s="41" t="n"/>
      <c r="AZ11" s="41" t="n"/>
      <c r="BA11" s="153" t="inlineStr">
        <is>
          <t>atr_Força</t>
        </is>
      </c>
      <c r="BB11" s="153">
        <f>ADDRESS(ROW(FICHA!D19),COLUMN(FICHA!D19),4)</f>
        <v/>
      </c>
      <c r="BD11" s="153" t="inlineStr">
        <is>
          <t>Cassetete</t>
        </is>
      </c>
      <c r="BE11" s="153" t="inlineStr">
        <is>
          <t>Porrete</t>
        </is>
      </c>
      <c r="BF11" s="155" t="n">
        <v>1</v>
      </c>
      <c r="BG11" s="153" t="inlineStr">
        <is>
          <t>1d6</t>
        </is>
      </c>
      <c r="BH11" s="153" t="inlineStr">
        <is>
          <t>Oculta · Vestida · Leve</t>
        </is>
      </c>
      <c r="BI11" s="153" t="inlineStr">
        <is>
          <t>—</t>
        </is>
      </c>
      <c r="BJ11" s="155" t="n">
        <v>0.3</v>
      </c>
      <c r="BM11" s="155">
        <f>'FICHA PESSOAL'!$V$59</f>
        <v/>
      </c>
      <c r="BN11" s="155">
        <f>ADDRESS(ROW('FICHA PESSOAL'!V59),COLUMN('FICHA PESSOAL'!V59),4)</f>
        <v/>
      </c>
      <c r="BP11" s="153" t="inlineStr">
        <is>
          <t>Balestra</t>
        </is>
      </c>
      <c r="BQ11" s="153" t="inlineStr">
        <is>
          <t>Simples</t>
        </is>
      </c>
      <c r="BR11" s="153" t="inlineStr">
        <is>
          <t>sim</t>
        </is>
      </c>
      <c r="BS11" s="155">
        <f>'FICHA PESSOAL'!$V$66</f>
        <v/>
      </c>
      <c r="BT11" s="155">
        <f>ADDRESS(ROW('FICHA PESSOAL'!V66),COLUMN('FICHA PESSOAL'!V66),4)</f>
        <v/>
      </c>
      <c r="CJ11" s="153" t="inlineStr">
        <is>
          <t>Superfície ruim</t>
        </is>
      </c>
      <c r="CR11" s="153" t="inlineStr">
        <is>
          <t>3ª · 50% · falha</t>
        </is>
      </c>
      <c r="CS11" s="155" t="n">
        <v>0.25</v>
      </c>
      <c r="CY11" s="153" t="inlineStr">
        <is>
          <t>força da principal</t>
        </is>
      </c>
      <c r="CZ11" s="155">
        <f>IF(DADOS!$CZ$6=1,0,IFERROR(VALUE(VLOOKUP('FICHA PESSOAL'!$D$49,'FICHA PESSOAL'!$D$77:$AH$84,28,FALSE)&amp;""),0))</f>
        <v/>
      </c>
      <c r="DB11" s="155">
        <f>IF(AND('FICHA PESSOAL'!$D$82&lt;&gt;"",'FICHA PESSOAL'!$M$82&lt;&gt;"Escudo"),'FICHA PESSOAL'!$D$82,"")</f>
        <v/>
      </c>
      <c r="DD11" s="155">
        <f>IF(AND(DADOS!$CZ$8&lt;&gt;2,'FICHA PESSOAL'!$D$81&lt;&gt;"",OR('FICHA PESSOAL'!$M$81="Escudo",N('FICHA PESSOAL'!$S$81)=1)),'FICHA PESSOAL'!$D$81,"")</f>
        <v/>
      </c>
      <c r="DF11" s="155">
        <f>IF(DADOS!$CZ$34&gt;=DADOS!$CC$10,DADOS!$BX$10,"")</f>
        <v/>
      </c>
      <c r="DH11" s="153" t="inlineStr">
        <is>
          <t>Duas mãos</t>
        </is>
      </c>
      <c r="DI11" s="153" t="inlineStr">
        <is>
          <t>Exige ambas as mãos para atacar.</t>
        </is>
      </c>
      <c r="DO11" s="153" t="inlineStr">
        <is>
          <t>treino</t>
        </is>
      </c>
      <c r="DP11" s="155">
        <f>ADDRESS(ROW('FICHA PESSOAL'!D56),COLUMN('FICHA PESSOAL'!D56),4)&amp;":"&amp;ADDRESS(ROW('FICHA PESSOAL'!AT68),COLUMN('FICHA PESSOAL'!AT68),4)</f>
        <v/>
      </c>
    </row>
    <row r="12" ht="17.25" customHeight="1">
      <c r="A12" s="41" t="n"/>
      <c r="B12" s="153" t="inlineStr">
        <is>
          <t>Religião</t>
        </is>
      </c>
      <c r="C12" s="153" t="inlineStr">
        <is>
          <t>Culinária</t>
        </is>
      </c>
      <c r="D12" s="153" t="inlineStr">
        <is>
          <t>Amparo</t>
        </is>
      </c>
      <c r="E12" s="153" t="inlineStr">
        <is>
          <t>Onda</t>
        </is>
      </c>
      <c r="F12" s="153" t="inlineStr">
        <is>
          <t>Muito Maior</t>
        </is>
      </c>
      <c r="G12" s="153" t="inlineStr">
        <is>
          <t>Peso Morto</t>
        </is>
      </c>
      <c r="H12" s="153" t="inlineStr">
        <is>
          <t>Impedido</t>
        </is>
      </c>
      <c r="I12" s="41" t="inlineStr">
        <is>
          <t>Descendente · Sem Técnica</t>
        </is>
      </c>
      <c r="J12" s="41" t="n"/>
      <c r="K12" s="41" t="n"/>
      <c r="L12" s="153" t="inlineStr">
        <is>
          <t>Arquiteto</t>
        </is>
      </c>
      <c r="M12" s="41" t="n"/>
      <c r="N12" s="41" t="n"/>
      <c r="O12" s="41" t="n"/>
      <c r="P12" s="41" t="n"/>
      <c r="Q12" s="41" t="n"/>
      <c r="R12" s="41" t="n"/>
      <c r="S12" s="41" t="n"/>
      <c r="T12" s="41" t="n"/>
      <c r="U12" s="41" t="n"/>
      <c r="V12" s="41" t="n"/>
      <c r="W12" s="41" t="n"/>
      <c r="X12" s="41" t="n"/>
      <c r="Y12" s="41" t="n"/>
      <c r="Z12" s="41" t="n"/>
      <c r="AA12" s="41" t="n"/>
      <c r="AB12" s="153" t="inlineStr">
        <is>
          <t>Ocultismo</t>
        </is>
      </c>
      <c r="AC12" s="153" t="inlineStr">
        <is>
          <t>Inteligência</t>
        </is>
      </c>
      <c r="AD12" s="41" t="n"/>
      <c r="AE12" s="153" t="inlineStr">
        <is>
          <t>Médio</t>
        </is>
      </c>
      <c r="AF12" s="155" t="n">
        <v>2</v>
      </c>
      <c r="AG12" s="155" t="n">
        <v>3</v>
      </c>
      <c r="AH12" s="155" t="inlineStr">
        <is>
          <t>não</t>
        </is>
      </c>
      <c r="AI12" s="41" t="n"/>
      <c r="AJ12" s="153" t="inlineStr">
        <is>
          <t>marcos escolhidos</t>
        </is>
      </c>
      <c r="AK12" s="155">
        <f>IFERROR(VALUE(FICHA!$AO$48&amp;""),0)+IFERROR(VALUE(FICHA!$AQ$48&amp;""),0)+IFERROR(VALUE(FICHA!$AS$48&amp;""),0)</f>
        <v/>
      </c>
      <c r="AL12" s="41" t="n"/>
      <c r="AM12" s="41" t="n"/>
      <c r="AN12" s="153">
        <f>$L$11</f>
        <v/>
      </c>
      <c r="AO12" s="153" t="inlineStr">
        <is>
          <t>Vanguarda</t>
        </is>
      </c>
      <c r="AP12" s="41" t="n"/>
      <c r="AQ12" s="155" t="n">
        <v>9</v>
      </c>
      <c r="AR12" s="155" t="n">
        <v>3000</v>
      </c>
      <c r="AS12" s="41" t="n"/>
      <c r="AT12" s="41" t="n"/>
      <c r="AU12" s="41" t="n"/>
      <c r="AV12" s="41" t="n"/>
      <c r="AW12" s="41" t="n"/>
      <c r="AX12" s="41" t="n"/>
      <c r="AY12" s="41" t="n"/>
      <c r="AZ12" s="41" t="n"/>
      <c r="BA12" s="153" t="inlineStr">
        <is>
          <t>atr_Destreza</t>
        </is>
      </c>
      <c r="BB12" s="153">
        <f>ADDRESS(ROW(FICHA!L19),COLUMN(FICHA!L19),4)</f>
        <v/>
      </c>
      <c r="BD12" s="153" t="inlineStr">
        <is>
          <t>Chakram</t>
        </is>
      </c>
      <c r="BE12" s="153" t="inlineStr">
        <is>
          <t>Arremesso</t>
        </is>
      </c>
      <c r="BF12" s="155" t="n">
        <v>1</v>
      </c>
      <c r="BG12" s="153" t="inlineStr">
        <is>
          <t>1d4</t>
        </is>
      </c>
      <c r="BH12" s="153" t="inlineStr">
        <is>
          <t>Longo Alcance · Fineza · Oculta · Leve</t>
        </is>
      </c>
      <c r="BI12" s="153" t="inlineStr">
        <is>
          <t>—</t>
        </is>
      </c>
      <c r="BJ12" s="155" t="n">
        <v>0.2</v>
      </c>
      <c r="BK12" s="153" t="inlineStr">
        <is>
          <t>6 m, longa 18 m</t>
        </is>
      </c>
      <c r="BM12" s="155">
        <f>'FICHA PESSOAL'!$M$65</f>
        <v/>
      </c>
      <c r="BN12" s="155">
        <f>ADDRESS(ROW('FICHA PESSOAL'!M65),COLUMN('FICHA PESSOAL'!M65),4)</f>
        <v/>
      </c>
      <c r="BP12" s="153" t="inlineStr">
        <is>
          <t>Lâmina Longa</t>
        </is>
      </c>
      <c r="BQ12" s="153" t="inlineStr">
        <is>
          <t>Marcial</t>
        </is>
      </c>
      <c r="BR12" s="153" t="inlineStr">
        <is>
          <t>não</t>
        </is>
      </c>
      <c r="BS12" s="155">
        <f>'FICHA PESSOAL'!$D$56</f>
        <v/>
      </c>
      <c r="BT12" s="155">
        <f>ADDRESS(ROW('FICHA PESSOAL'!D56),COLUMN('FICHA PESSOAL'!D56),4)</f>
        <v/>
      </c>
      <c r="CJ12" s="153" t="inlineStr">
        <is>
          <t>Calor e fogo</t>
        </is>
      </c>
      <c r="CR12" s="153" t="inlineStr">
        <is>
          <t>4ª · 25% · falha</t>
        </is>
      </c>
      <c r="CS12" s="155" t="n">
        <v>0.125</v>
      </c>
      <c r="CY12" s="153" t="inlineStr">
        <is>
          <t>nas duas mãos</t>
        </is>
      </c>
      <c r="CZ12" s="155">
        <f>IF(AND(ISNUMBER(SEARCH("Versátil",DADOS!$CZ$10)),'FICHA PESSOAL'!$S$49="Nas duas mãos"),1,0)</f>
        <v/>
      </c>
      <c r="DB12" s="155">
        <f>IF(AND('FICHA PESSOAL'!$D$83&lt;&gt;"",'FICHA PESSOAL'!$M$83&lt;&gt;"Escudo"),'FICHA PESSOAL'!$D$83,"")</f>
        <v/>
      </c>
      <c r="DD12" s="155">
        <f>IF(AND(DADOS!$CZ$8&lt;&gt;2,'FICHA PESSOAL'!$D$82&lt;&gt;"",OR('FICHA PESSOAL'!$M$82="Escudo",N('FICHA PESSOAL'!$S$82)=1)),'FICHA PESSOAL'!$D$82,"")</f>
        <v/>
      </c>
      <c r="DH12" s="153" t="inlineStr">
        <is>
          <t>Vestida</t>
        </is>
      </c>
      <c r="DI12" s="153" t="inlineStr">
        <is>
          <t>A arma equipada não ocupa a mão. O ataque ainda exige as mãos indicadas pela arma, livres de outros objetos ou tarefas.</t>
        </is>
      </c>
      <c r="DO12" s="153" t="inlineStr">
        <is>
          <t>missões 1</t>
        </is>
      </c>
      <c r="DP12" s="155">
        <f>ADDRESS(ROW('FICHA PESSOAL'!AW15),COLUMN('FICHA PESSOAL'!AW15),4)&amp;":"&amp;ADDRESS(ROW('FICHA PESSOAL'!BA72),COLUMN('FICHA PESSOAL'!BA72),4)</f>
        <v/>
      </c>
    </row>
    <row r="13" ht="17.25" customHeight="1">
      <c r="A13" s="41" t="n"/>
      <c r="B13" s="153" t="inlineStr">
        <is>
          <t>História</t>
        </is>
      </c>
      <c r="C13" s="153" t="inlineStr">
        <is>
          <t>Instrumento</t>
        </is>
      </c>
      <c r="D13" s="41" t="n"/>
      <c r="E13" s="153" t="inlineStr">
        <is>
          <t>Efeito</t>
        </is>
      </c>
      <c r="F13" s="153" t="inlineStr">
        <is>
          <t>Escolher</t>
        </is>
      </c>
      <c r="G13" s="153" t="inlineStr">
        <is>
          <t>Frágil</t>
        </is>
      </c>
      <c r="H13" s="153" t="inlineStr">
        <is>
          <t>Cego</t>
        </is>
      </c>
      <c r="I13" s="41" t="inlineStr">
        <is>
          <t>Encarnado · Sem Técnica</t>
        </is>
      </c>
      <c r="J13" s="41" t="n"/>
      <c r="K13" s="41" t="n"/>
      <c r="L13" s="153" t="inlineStr">
        <is>
          <t>Analista</t>
        </is>
      </c>
      <c r="M13" s="41" t="n"/>
      <c r="N13" s="41" t="n"/>
      <c r="O13" s="41" t="n"/>
      <c r="P13" s="41" t="n"/>
      <c r="Q13" s="41" t="n"/>
      <c r="R13" s="41" t="n"/>
      <c r="S13" s="41" t="n"/>
      <c r="T13" s="41" t="n"/>
      <c r="U13" s="41" t="n"/>
      <c r="V13" s="41" t="n"/>
      <c r="W13" s="41" t="n"/>
      <c r="X13" s="41" t="n"/>
      <c r="Y13" s="41" t="n"/>
      <c r="Z13" s="41" t="n"/>
      <c r="AA13" s="41" t="n"/>
      <c r="AB13" s="153" t="inlineStr">
        <is>
          <t>Religião</t>
        </is>
      </c>
      <c r="AC13" s="153" t="inlineStr">
        <is>
          <t>Inteligência</t>
        </is>
      </c>
      <c r="AD13" s="41" t="n"/>
      <c r="AE13" s="153" t="inlineStr">
        <is>
          <t>Torre</t>
        </is>
      </c>
      <c r="AF13" s="155" t="n">
        <v>3</v>
      </c>
      <c r="AG13" s="155" t="n">
        <v>1</v>
      </c>
      <c r="AH13" s="155" t="inlineStr">
        <is>
          <t>não</t>
        </is>
      </c>
      <c r="AI13" s="41" t="n"/>
      <c r="AJ13" s="153" t="inlineStr">
        <is>
          <t>perícias treinadas</t>
        </is>
      </c>
      <c r="AK13" s="155">
        <f>COUNTIF(FICHA!$D$72:$D$82,TRUE)+COUNTIF(FICHA!$T$71:$T$82,TRUE)</f>
        <v/>
      </c>
      <c r="AL13" s="41" t="n"/>
      <c r="AM13" s="41" t="n"/>
      <c r="AN13" s="153">
        <f>$L$12</f>
        <v/>
      </c>
      <c r="AO13" s="153" t="inlineStr">
        <is>
          <t>Guia</t>
        </is>
      </c>
      <c r="AP13" s="41" t="n"/>
      <c r="AQ13" s="155" t="n">
        <v>10</v>
      </c>
      <c r="AR13" s="155" t="n">
        <v>3700</v>
      </c>
      <c r="AS13" s="41" t="n"/>
      <c r="AT13" s="41" t="n"/>
      <c r="AU13" s="41" t="n"/>
      <c r="AV13" s="41" t="n"/>
      <c r="AW13" s="41" t="n"/>
      <c r="AX13" s="41" t="n"/>
      <c r="AY13" s="41" t="n"/>
      <c r="AZ13" s="41" t="n"/>
      <c r="BA13" s="153" t="inlineStr">
        <is>
          <t>atr_Constituição</t>
        </is>
      </c>
      <c r="BB13" s="153">
        <f>ADDRESS(ROW(FICHA!T19),COLUMN(FICHA!T19),4)</f>
        <v/>
      </c>
      <c r="BD13" s="153" t="inlineStr">
        <is>
          <t>Chicote</t>
        </is>
      </c>
      <c r="BE13" s="153" t="inlineStr">
        <is>
          <t>Flexível</t>
        </is>
      </c>
      <c r="BF13" s="155" t="n">
        <v>1</v>
      </c>
      <c r="BG13" s="153" t="inlineStr">
        <is>
          <t>1d4</t>
        </is>
      </c>
      <c r="BH13" s="153" t="inlineStr">
        <is>
          <t>Alcance · Emaranha · Oculta · Leve</t>
        </is>
      </c>
      <c r="BI13" s="153" t="inlineStr">
        <is>
          <t>—</t>
        </is>
      </c>
      <c r="BJ13" s="155" t="n">
        <v>0.5</v>
      </c>
      <c r="BM13" s="155">
        <f>'FICHA PESSOAL'!$AE$63</f>
        <v/>
      </c>
      <c r="BN13" s="155">
        <f>ADDRESS(ROW('FICHA PESSOAL'!AE63),COLUMN('FICHA PESSOAL'!AE63),4)</f>
        <v/>
      </c>
      <c r="BP13" s="153" t="inlineStr">
        <is>
          <t>Machado</t>
        </is>
      </c>
      <c r="BQ13" s="153" t="inlineStr">
        <is>
          <t>Marcial</t>
        </is>
      </c>
      <c r="BR13" s="153" t="inlineStr">
        <is>
          <t>não</t>
        </is>
      </c>
      <c r="BS13" s="155">
        <f>'FICHA PESSOAL'!$D$65</f>
        <v/>
      </c>
      <c r="BT13" s="155">
        <f>ADDRESS(ROW('FICHA PESSOAL'!D65),COLUMN('FICHA PESSOAL'!D65),4)</f>
        <v/>
      </c>
      <c r="CJ13" s="153" t="inlineStr">
        <is>
          <t>Outra Situação</t>
        </is>
      </c>
      <c r="CR13" s="153" t="inlineStr">
        <is>
          <t>5ª · 12,5% · falha</t>
        </is>
      </c>
      <c r="CS13" s="155" t="n">
        <v>0.0625</v>
      </c>
      <c r="CY13" s="153" t="inlineStr">
        <is>
          <t>dado em uso</t>
        </is>
      </c>
      <c r="CZ13" s="155">
        <f>IF(DADOS!$CZ$12=1,IF(DADOS!$CZ$9="d6","d8",IF(DADOS!$CZ$9="d8","d10",IF(DADOS!$CZ$9="d10","d12",DADOS!$CZ$9))),DADOS!$CZ$9)</f>
        <v/>
      </c>
      <c r="DB13" s="155">
        <f>IF(AND('FICHA PESSOAL'!$D$84&lt;&gt;"",'FICHA PESSOAL'!$M$84&lt;&gt;"Escudo"),'FICHA PESSOAL'!$D$84,"")</f>
        <v/>
      </c>
      <c r="DD13" s="155">
        <f>IF(AND(DADOS!$CZ$8&lt;&gt;2,'FICHA PESSOAL'!$D$83&lt;&gt;"",OR('FICHA PESSOAL'!$M$83="Escudo",N('FICHA PESSOAL'!$S$83)=1)),'FICHA PESSOAL'!$D$83,"")</f>
        <v/>
      </c>
      <c r="DH13" s="153" t="inlineStr">
        <is>
          <t>Emaranha</t>
        </is>
      </c>
      <c r="DI13" s="153" t="inlineStr">
        <is>
          <t>Permite Agarrar com o alcance corpo a corpo da arma, mantendo teste, custo e limites da manobra. A arma e as mãos necessárias ficam ocupadas na contenção; solte o alvo antes de atacar com ela.</t>
        </is>
      </c>
      <c r="DO13" s="153" t="inlineStr">
        <is>
          <t>missões 2</t>
        </is>
      </c>
      <c r="DP13" s="155">
        <f>ADDRESS(ROW('FICHA PESSOAL'!BC15),COLUMN('FICHA PESSOAL'!BC15),4)&amp;":"&amp;ADDRESS(ROW('FICHA PESSOAL'!BG72),COLUMN('FICHA PESSOAL'!BG72),4)</f>
        <v/>
      </c>
    </row>
    <row r="14" ht="17.25" customHeight="1">
      <c r="A14" s="41" t="n"/>
      <c r="B14" s="153" t="inlineStr">
        <is>
          <t>Hierarquia</t>
        </is>
      </c>
      <c r="C14" s="153" t="inlineStr">
        <is>
          <t>Jogatina</t>
        </is>
      </c>
      <c r="D14" s="41" t="n"/>
      <c r="E14" s="41" t="n"/>
      <c r="F14" s="153" t="inlineStr">
        <is>
          <t>Mais Um</t>
        </is>
      </c>
      <c r="G14" s="153" t="inlineStr">
        <is>
          <t>Sem Volta</t>
        </is>
      </c>
      <c r="H14" s="153" t="inlineStr">
        <is>
          <t>Amedrontado</t>
        </is>
      </c>
      <c r="I14" s="41" t="inlineStr">
        <is>
          <t>Feto · Sem Técnica</t>
        </is>
      </c>
      <c r="J14" s="41" t="n"/>
      <c r="K14" s="41" t="n"/>
      <c r="L14" s="153" t="inlineStr">
        <is>
          <t>Socorrista</t>
        </is>
      </c>
      <c r="M14" s="41" t="n"/>
      <c r="N14" s="41" t="n"/>
      <c r="O14" s="41" t="n"/>
      <c r="P14" s="41" t="n"/>
      <c r="Q14" s="41" t="n"/>
      <c r="R14" s="41" t="n"/>
      <c r="S14" s="41" t="n"/>
      <c r="T14" s="41" t="n"/>
      <c r="U14" s="41" t="n"/>
      <c r="V14" s="41" t="n"/>
      <c r="W14" s="41" t="n"/>
      <c r="X14" s="41" t="n"/>
      <c r="Y14" s="41" t="n"/>
      <c r="Z14" s="41" t="n"/>
      <c r="AA14" s="41" t="n"/>
      <c r="AB14" s="153" t="inlineStr">
        <is>
          <t>História</t>
        </is>
      </c>
      <c r="AC14" s="153" t="inlineStr">
        <is>
          <t>Inteligência</t>
        </is>
      </c>
      <c r="AD14" s="41" t="n"/>
      <c r="AE14" s="153" t="inlineStr">
        <is>
          <t>Traje 1 + Broquel</t>
        </is>
      </c>
      <c r="AF14" s="155" t="n">
        <v>2</v>
      </c>
      <c r="AG14" s="155" t="n">
        <v>5</v>
      </c>
      <c r="AH14" s="155" t="inlineStr">
        <is>
          <t>sim</t>
        </is>
      </c>
      <c r="AI14" s="41" t="n"/>
      <c r="AJ14" s="153" t="inlineStr">
        <is>
          <t>ofícios treinados</t>
        </is>
      </c>
      <c r="AK14" s="155">
        <f>COUNTIF(FICHA!$D$87:$D$92,TRUE)+COUNTIF(FICHA!$Q$87:$Q$91,TRUE)</f>
        <v/>
      </c>
      <c r="AL14" s="41" t="n"/>
      <c r="AM14" s="41" t="n"/>
      <c r="AN14" s="153">
        <f>$L$13</f>
        <v/>
      </c>
      <c r="AO14" s="153" t="inlineStr">
        <is>
          <t>Guia</t>
        </is>
      </c>
      <c r="AP14" s="41" t="n"/>
      <c r="AQ14" s="155" t="n">
        <v>11</v>
      </c>
      <c r="AR14" s="155" t="n">
        <v>4400</v>
      </c>
      <c r="AS14" s="41" t="n"/>
      <c r="AT14" s="41" t="n"/>
      <c r="AU14" s="41" t="n"/>
      <c r="AV14" s="41" t="n"/>
      <c r="AW14" s="41" t="n"/>
      <c r="AX14" s="41" t="n"/>
      <c r="AY14" s="41" t="n"/>
      <c r="AZ14" s="41" t="n"/>
      <c r="BA14" s="153" t="inlineStr">
        <is>
          <t>atr_Inteligência</t>
        </is>
      </c>
      <c r="BB14" s="153">
        <f>ADDRESS(ROW(FICHA!AB19),COLUMN(FICHA!AB19),4)</f>
        <v/>
      </c>
      <c r="BD14" s="153" t="inlineStr">
        <is>
          <t>Corrente</t>
        </is>
      </c>
      <c r="BE14" s="153" t="inlineStr">
        <is>
          <t>Flexível</t>
        </is>
      </c>
      <c r="BF14" s="155" t="n">
        <v>2</v>
      </c>
      <c r="BG14" s="153" t="inlineStr">
        <is>
          <t>1d8</t>
        </is>
      </c>
      <c r="BH14" s="153" t="inlineStr">
        <is>
          <t>Alcance · Emaranha · Rompe</t>
        </is>
      </c>
      <c r="BI14" s="153" t="inlineStr">
        <is>
          <t>—</t>
        </is>
      </c>
      <c r="BJ14" s="155" t="n">
        <v>2</v>
      </c>
      <c r="BM14" s="155">
        <f>'FICHA PESSOAL'!$AE$64</f>
        <v/>
      </c>
      <c r="BN14" s="155">
        <f>ADDRESS(ROW('FICHA PESSOAL'!AE64),COLUMN('FICHA PESSOAL'!AE64),4)</f>
        <v/>
      </c>
      <c r="BP14" s="153" t="inlineStr">
        <is>
          <t>Armas Longas</t>
        </is>
      </c>
      <c r="BQ14" s="153" t="inlineStr">
        <is>
          <t>Marcial</t>
        </is>
      </c>
      <c r="BR14" s="153" t="inlineStr">
        <is>
          <t>não</t>
        </is>
      </c>
      <c r="BS14" s="155">
        <f>'FICHA PESSOAL'!$AM$62</f>
        <v/>
      </c>
      <c r="BT14" s="155">
        <f>ADDRESS(ROW('FICHA PESSOAL'!AM62),COLUMN('FICHA PESSOAL'!AM62),4)</f>
        <v/>
      </c>
      <c r="CR14" s="153" t="inlineStr">
        <is>
          <t>6ª · 6,25% · falha</t>
        </is>
      </c>
      <c r="CS14" s="155" t="n">
        <v>0.03125</v>
      </c>
      <c r="CY14" s="153" t="inlineStr">
        <is>
          <t>alcance da principal</t>
        </is>
      </c>
      <c r="CZ14" s="155">
        <f>IFERROR(VLOOKUP('FICHA PESSOAL'!$D$49,DADOS!$BD$5:$BN$59,8,FALSE)&amp;"","")</f>
        <v/>
      </c>
      <c r="DD14" s="155">
        <f>IF(AND(DADOS!$CZ$8&lt;&gt;2,'FICHA PESSOAL'!$D$84&lt;&gt;"",OR('FICHA PESSOAL'!$M$84="Escudo",N('FICHA PESSOAL'!$S$84)=1)),'FICHA PESSOAL'!$D$84,"")</f>
        <v/>
      </c>
      <c r="DH14" s="153" t="inlineStr">
        <is>
          <t>Rompe</t>
        </is>
      </c>
      <c r="DI14" s="153" t="inlineStr">
        <is>
          <t>Concede vantagem nos ataques contra objetos e estruturas que a arma possa danificar.</t>
        </is>
      </c>
      <c r="DO14" s="153" t="inlineStr">
        <is>
          <t>missões 3</t>
        </is>
      </c>
      <c r="DP14" s="155">
        <f>ADDRESS(ROW('FICHA PESSOAL'!BI15),COLUMN('FICHA PESSOAL'!BI15),4)&amp;":"&amp;ADDRESS(ROW('FICHA PESSOAL'!BM72),COLUMN('FICHA PESSOAL'!BM72),4)</f>
        <v/>
      </c>
    </row>
    <row r="15" ht="17.25" customHeight="1">
      <c r="A15" s="41" t="n"/>
      <c r="B15" s="153" t="inlineStr">
        <is>
          <t>Medicina</t>
        </is>
      </c>
      <c r="C15" s="41" t="n"/>
      <c r="D15" s="41" t="n"/>
      <c r="E15" s="41" t="n"/>
      <c r="F15" s="153" t="inlineStr">
        <is>
          <t>Rajada</t>
        </is>
      </c>
      <c r="G15" s="153" t="inlineStr">
        <is>
          <t>Uma Vez</t>
        </is>
      </c>
      <c r="H15" s="153" t="inlineStr">
        <is>
          <t>Envenenado</t>
        </is>
      </c>
      <c r="I15" s="41" t="inlineStr">
        <is>
          <t>Corpo Amaldiçoado</t>
        </is>
      </c>
      <c r="J15" s="41" t="n"/>
      <c r="K15" s="41" t="n"/>
      <c r="L15" s="153" t="inlineStr">
        <is>
          <t>Condutor Armado</t>
        </is>
      </c>
      <c r="M15" s="41" t="n"/>
      <c r="N15" s="41" t="n"/>
      <c r="O15" s="41" t="n"/>
      <c r="P15" s="41" t="n"/>
      <c r="Q15" s="41" t="n"/>
      <c r="R15" s="41" t="n"/>
      <c r="S15" s="41" t="n"/>
      <c r="T15" s="41" t="n"/>
      <c r="U15" s="41" t="n"/>
      <c r="V15" s="41" t="n"/>
      <c r="W15" s="41" t="n"/>
      <c r="X15" s="41" t="n"/>
      <c r="Y15" s="41" t="n"/>
      <c r="Z15" s="41" t="n"/>
      <c r="AA15" s="41" t="n"/>
      <c r="AB15" s="153" t="inlineStr">
        <is>
          <t>Hierarquia</t>
        </is>
      </c>
      <c r="AC15" s="153" t="inlineStr">
        <is>
          <t>Inteligência</t>
        </is>
      </c>
      <c r="AD15" s="41" t="n"/>
      <c r="AE15" s="153" t="inlineStr">
        <is>
          <t>Traje 1 + Médio</t>
        </is>
      </c>
      <c r="AF15" s="155" t="n">
        <v>3</v>
      </c>
      <c r="AG15" s="155" t="n">
        <v>3</v>
      </c>
      <c r="AH15" s="155" t="inlineStr">
        <is>
          <t>sim</t>
        </is>
      </c>
      <c r="AI15" s="41" t="n"/>
      <c r="AJ15" s="153" t="inlineStr">
        <is>
          <t>especializações</t>
        </is>
      </c>
      <c r="AK15" s="155">
        <f>COUNTIF(FICHA!$E$72:$E$82,TRUE)+COUNTIF(FICHA!$E$87:$E$92,TRUE)+COUNTIF(FICHA!$R$87:$R$91,TRUE)+COUNTIF(FICHA!$U$71:$U$82,TRUE)</f>
        <v/>
      </c>
      <c r="AL15" s="41" t="n"/>
      <c r="AM15" s="41" t="n"/>
      <c r="AN15" s="153">
        <f>$L$14</f>
        <v/>
      </c>
      <c r="AO15" s="153" t="inlineStr">
        <is>
          <t>Guia</t>
        </is>
      </c>
      <c r="AP15" s="41" t="n"/>
      <c r="AQ15" s="155" t="n">
        <v>12</v>
      </c>
      <c r="AR15" s="155" t="n">
        <v>5300</v>
      </c>
      <c r="AS15" s="41" t="n"/>
      <c r="AT15" s="41" t="n"/>
      <c r="AU15" s="41" t="n"/>
      <c r="AV15" s="41" t="n"/>
      <c r="AW15" s="41" t="n"/>
      <c r="AX15" s="41" t="n"/>
      <c r="AY15" s="41" t="n"/>
      <c r="AZ15" s="41" t="n"/>
      <c r="BA15" s="153" t="inlineStr">
        <is>
          <t>atr_Essência</t>
        </is>
      </c>
      <c r="BB15" s="153">
        <f>ADDRESS(ROW(FICHA!AJ19),COLUMN(FICHA!AJ19),4)</f>
        <v/>
      </c>
      <c r="BD15" s="153" t="inlineStr">
        <is>
          <t>Daikyū</t>
        </is>
      </c>
      <c r="BE15" s="153" t="inlineStr">
        <is>
          <t>Yumi</t>
        </is>
      </c>
      <c r="BF15" s="155" t="n">
        <v>2</v>
      </c>
      <c r="BG15" s="153" t="inlineStr">
        <is>
          <t>1d10</t>
        </is>
      </c>
      <c r="BH15" s="153" t="inlineStr">
        <is>
          <t>Longo Alcance</t>
        </is>
      </c>
      <c r="BI15" s="153" t="inlineStr">
        <is>
          <t>—</t>
        </is>
      </c>
      <c r="BJ15" s="155" t="n">
        <v>2</v>
      </c>
      <c r="BK15" s="153" t="inlineStr">
        <is>
          <t>45 m, longa 180 m</t>
        </is>
      </c>
      <c r="BM15" s="155">
        <f>'FICHA PESSOAL'!$AM$67</f>
        <v/>
      </c>
      <c r="BN15" s="155">
        <f>ADDRESS(ROW('FICHA PESSOAL'!AM67),COLUMN('FICHA PESSOAL'!AM67),4)</f>
        <v/>
      </c>
      <c r="BP15" s="153" t="inlineStr">
        <is>
          <t>Flexível</t>
        </is>
      </c>
      <c r="BQ15" s="153" t="inlineStr">
        <is>
          <t>Marcial</t>
        </is>
      </c>
      <c r="BR15" s="153" t="inlineStr">
        <is>
          <t>não</t>
        </is>
      </c>
      <c r="BS15" s="155">
        <f>'FICHA PESSOAL'!$AE$62</f>
        <v/>
      </c>
      <c r="BT15" s="155">
        <f>ADDRESS(ROW('FICHA PESSOAL'!AE62),COLUMN('FICHA PESSOAL'!AE62),4)</f>
        <v/>
      </c>
      <c r="CR15" s="153" t="inlineStr">
        <is>
          <t>7ª · 3,125% · falha</t>
        </is>
      </c>
      <c r="CS15" s="155" t="n">
        <v>0.015625</v>
      </c>
      <c r="CY15" s="153" t="inlineStr">
        <is>
          <t>recarga da principal</t>
        </is>
      </c>
      <c r="CZ15" s="155">
        <f>IFERROR(VLOOKUP('FICHA PESSOAL'!$D$49,DADOS!$BD$5:$BN$59,9,FALSE)&amp;"","")</f>
        <v/>
      </c>
      <c r="DH15" s="153" t="inlineStr">
        <is>
          <t>Talha</t>
        </is>
      </c>
      <c r="DI15" s="153" t="inlineStr">
        <is>
          <t>Impõe −1 ao Bloquear feito contra o ataque dessa arma.</t>
        </is>
      </c>
      <c r="DO15" s="153" t="inlineStr">
        <is>
          <t>missões 4</t>
        </is>
      </c>
      <c r="DP15" s="155">
        <f>ADDRESS(ROW('FICHA PESSOAL'!BO15),COLUMN('FICHA PESSOAL'!BO15),4)&amp;":"&amp;ADDRESS(ROW('FICHA PESSOAL'!BS72),COLUMN('FICHA PESSOAL'!BS72),4)</f>
        <v/>
      </c>
    </row>
    <row r="16" ht="17.25" customHeight="1">
      <c r="A16" s="41" t="n"/>
      <c r="B16" s="153" t="inlineStr">
        <is>
          <t>Sobrevivência</t>
        </is>
      </c>
      <c r="C16" s="41" t="n"/>
      <c r="D16" s="41" t="n"/>
      <c r="E16" s="41" t="n"/>
      <c r="F16" s="153" t="inlineStr">
        <is>
          <t>Fica</t>
        </is>
      </c>
      <c r="G16" s="153" t="inlineStr">
        <is>
          <t>Condicional</t>
        </is>
      </c>
      <c r="H16" s="153" t="inlineStr">
        <is>
          <t>Atordoado</t>
        </is>
      </c>
      <c r="I16" s="41" t="inlineStr">
        <is>
          <t>Restrição Celestial · sem energia</t>
        </is>
      </c>
      <c r="J16" s="41" t="n"/>
      <c r="K16" s="41" t="n"/>
      <c r="L16" s="153" t="inlineStr">
        <is>
          <t>Ressonante</t>
        </is>
      </c>
      <c r="M16" s="41" t="n"/>
      <c r="N16" s="41" t="n"/>
      <c r="O16" s="41" t="n"/>
      <c r="P16" s="41" t="n"/>
      <c r="Q16" s="41" t="n"/>
      <c r="R16" s="41" t="n"/>
      <c r="S16" s="41" t="n"/>
      <c r="T16" s="41" t="n"/>
      <c r="U16" s="41" t="n"/>
      <c r="V16" s="41" t="n"/>
      <c r="W16" s="41" t="n"/>
      <c r="X16" s="41" t="n"/>
      <c r="Y16" s="41" t="n"/>
      <c r="Z16" s="41" t="n"/>
      <c r="AA16" s="41" t="n"/>
      <c r="AB16" s="153" t="inlineStr">
        <is>
          <t>Medicina</t>
        </is>
      </c>
      <c r="AC16" s="153" t="inlineStr">
        <is>
          <t>Inteligência</t>
        </is>
      </c>
      <c r="AD16" s="41" t="n"/>
      <c r="AE16" s="153" t="inlineStr">
        <is>
          <t>Traje 1 + Torre</t>
        </is>
      </c>
      <c r="AF16" s="155" t="n">
        <v>4</v>
      </c>
      <c r="AG16" s="155" t="n">
        <v>1</v>
      </c>
      <c r="AH16" s="155" t="inlineStr">
        <is>
          <t>sim</t>
        </is>
      </c>
      <c r="AI16" s="41" t="n"/>
      <c r="AJ16" s="153" t="inlineStr">
        <is>
          <t>Corpo que sobra</t>
        </is>
      </c>
      <c r="AK16" s="155">
        <f>DADOS!$AK$10-DADOS!$AK$15</f>
        <v/>
      </c>
      <c r="AL16" s="41" t="n"/>
      <c r="AM16" s="41" t="n"/>
      <c r="AN16" s="153">
        <f>$L$15</f>
        <v/>
      </c>
      <c r="AO16" s="153" t="inlineStr">
        <is>
          <t>Emanador</t>
        </is>
      </c>
      <c r="AP16" s="41" t="n"/>
      <c r="AQ16" s="155" t="n">
        <v>13</v>
      </c>
      <c r="AR16" s="155" t="n">
        <v>6200</v>
      </c>
      <c r="AS16" s="41" t="n"/>
      <c r="AT16" s="41" t="n"/>
      <c r="AU16" s="41" t="n"/>
      <c r="AV16" s="41" t="n"/>
      <c r="AW16" s="41" t="n"/>
      <c r="AX16" s="41" t="n"/>
      <c r="AY16" s="41" t="n"/>
      <c r="AZ16" s="41" t="n"/>
      <c r="BA16" s="153" t="inlineStr">
        <is>
          <t>atr_base_Força</t>
        </is>
      </c>
      <c r="BB16" s="153">
        <f>ADDRESS(ROW(FICHA!D21),COLUMN(FICHA!D21),4)</f>
        <v/>
      </c>
      <c r="BD16" s="153" t="inlineStr">
        <is>
          <t>Espada Longa</t>
        </is>
      </c>
      <c r="BE16" s="153" t="inlineStr">
        <is>
          <t>Lâmina Longa</t>
        </is>
      </c>
      <c r="BF16" s="155" t="n">
        <v>1</v>
      </c>
      <c r="BG16" s="153" t="inlineStr">
        <is>
          <t>1d8</t>
        </is>
      </c>
      <c r="BH16" s="153" t="inlineStr">
        <is>
          <t>Versátil · Rompe</t>
        </is>
      </c>
      <c r="BI16" s="153" t="inlineStr">
        <is>
          <t>—</t>
        </is>
      </c>
      <c r="BJ16" s="155" t="n">
        <v>1</v>
      </c>
      <c r="BM16" s="155">
        <f>'FICHA PESSOAL'!$D$57</f>
        <v/>
      </c>
      <c r="BN16" s="155">
        <f>ADDRESS(ROW('FICHA PESSOAL'!D57),COLUMN('FICHA PESSOAL'!D57),4)</f>
        <v/>
      </c>
      <c r="BP16" s="153" t="inlineStr">
        <is>
          <t>Yumi</t>
        </is>
      </c>
      <c r="BQ16" s="153" t="inlineStr">
        <is>
          <t>Marcial</t>
        </is>
      </c>
      <c r="BR16" s="153" t="inlineStr">
        <is>
          <t>não</t>
        </is>
      </c>
      <c r="BS16" s="155">
        <f>'FICHA PESSOAL'!$AM$66</f>
        <v/>
      </c>
      <c r="BT16" s="155">
        <f>ADDRESS(ROW('FICHA PESSOAL'!AM66),COLUMN('FICHA PESSOAL'!AM66),4)</f>
        <v/>
      </c>
      <c r="CY16" s="153" t="inlineStr">
        <is>
          <t>treino da principal</t>
        </is>
      </c>
      <c r="CZ16" s="155">
        <f>IF(DADOS!$CZ$6=1,1,IF(IFERROR(VLOOKUP('FICHA PESSOAL'!$D$49,DADOS!$BD$5:$BN$59,10,FALSE),IFERROR(VLOOKUP(DADOS!$CZ$7,DADOS!$BP$5:$BT$17,4,FALSE),FALSE))=TRUE,1,0))</f>
        <v/>
      </c>
      <c r="DH16" s="153" t="inlineStr">
        <is>
          <t>Oculta</t>
        </is>
      </c>
      <c r="DI16" s="153" t="inlineStr">
        <is>
          <t>Permite esconder a arma nas vestes ou junto ao corpo. Veja Armas escondidas.</t>
        </is>
      </c>
      <c r="DO16" s="153" t="inlineStr">
        <is>
          <t>equipáveis</t>
        </is>
      </c>
      <c r="DP16" s="155">
        <f>ADDRESS(ROW('FICHA PESSOAL'!D77),COLUMN('FICHA PESSOAL'!D77),4)&amp;":"&amp;ADDRESS(ROW('FICHA PESSOAL'!AT84),COLUMN('FICHA PESSOAL'!AT84),4)</f>
        <v/>
      </c>
    </row>
    <row r="17" ht="17.25" customHeight="1">
      <c r="A17" s="41" t="n"/>
      <c r="B17" s="153" t="inlineStr">
        <is>
          <t>Natureza</t>
        </is>
      </c>
      <c r="C17" s="41" t="n"/>
      <c r="D17" s="41" t="n"/>
      <c r="E17" s="41" t="n"/>
      <c r="F17" s="153" t="inlineStr">
        <is>
          <t>Salto</t>
        </is>
      </c>
      <c r="G17" s="153" t="inlineStr">
        <is>
          <t>Aquecer</t>
        </is>
      </c>
      <c r="H17" s="153" t="n"/>
      <c r="I17" s="41" t="n"/>
      <c r="J17" s="41" t="n"/>
      <c r="K17" s="41" t="n"/>
      <c r="L17" s="153" t="inlineStr">
        <is>
          <t>Catalisador</t>
        </is>
      </c>
      <c r="M17" s="41" t="n"/>
      <c r="N17" s="41" t="n"/>
      <c r="O17" s="41" t="n"/>
      <c r="P17" s="41" t="n"/>
      <c r="Q17" s="41" t="n"/>
      <c r="R17" s="41" t="n"/>
      <c r="S17" s="41" t="n"/>
      <c r="T17" s="41" t="n"/>
      <c r="U17" s="41" t="n"/>
      <c r="V17" s="41" t="n"/>
      <c r="W17" s="41" t="n"/>
      <c r="X17" s="41" t="n"/>
      <c r="Y17" s="41" t="n"/>
      <c r="Z17" s="41" t="n"/>
      <c r="AA17" s="41" t="n"/>
      <c r="AB17" s="153" t="inlineStr">
        <is>
          <t>Sobrevivência</t>
        </is>
      </c>
      <c r="AC17" s="153" t="inlineStr">
        <is>
          <t>Inteligência</t>
        </is>
      </c>
      <c r="AD17" s="41" t="n"/>
      <c r="AE17" s="153" t="inlineStr">
        <is>
          <t>Traje 2 + Broquel</t>
        </is>
      </c>
      <c r="AF17" s="155" t="n">
        <v>3</v>
      </c>
      <c r="AG17" s="155" t="n">
        <v>5</v>
      </c>
      <c r="AH17" s="155" t="inlineStr">
        <is>
          <t>sim</t>
        </is>
      </c>
      <c r="AI17" s="41" t="n"/>
      <c r="AJ17" s="153" t="inlineStr">
        <is>
          <t>rota do ofício</t>
        </is>
      </c>
      <c r="AK17" s="155">
        <f>IF((MAX(0,DADOS!$AK$13-9)+MAX(0,DADOS!$AK$14-2))&lt;=DADOS!$AK$16,1,IF((MAX(0,DADOS!$AK$13-10)+MAX(0,DADOS!$AK$14-0))&lt;=DADOS!$AK$16,2,IF((MAX(0,DADOS!$AK$13-9)+MAX(0,DADOS!$AK$14-2))&lt;=(MAX(0,DADOS!$AK$13-10)+MAX(0,DADOS!$AK$14-0)),1,2)))</f>
        <v/>
      </c>
      <c r="AL17" s="41" t="n"/>
      <c r="AM17" s="41" t="n"/>
      <c r="AN17" s="153">
        <f>$L$16</f>
        <v/>
      </c>
      <c r="AO17" s="153" t="inlineStr">
        <is>
          <t>Emanador</t>
        </is>
      </c>
      <c r="AP17" s="41" t="n"/>
      <c r="AQ17" s="155" t="n">
        <v>14</v>
      </c>
      <c r="AR17" s="155" t="n">
        <v>7100</v>
      </c>
      <c r="AS17" s="41" t="n"/>
      <c r="AT17" s="41" t="n"/>
      <c r="AU17" s="41" t="n"/>
      <c r="AV17" s="41" t="n"/>
      <c r="AW17" s="41" t="n"/>
      <c r="AX17" s="41" t="n"/>
      <c r="AY17" s="41" t="n"/>
      <c r="AZ17" s="41" t="n"/>
      <c r="BA17" s="153" t="inlineStr">
        <is>
          <t>atr_base_Destreza</t>
        </is>
      </c>
      <c r="BB17" s="153">
        <f>ADDRESS(ROW(FICHA!L21),COLUMN(FICHA!L21),4)</f>
        <v/>
      </c>
      <c r="BD17" s="153" t="inlineStr">
        <is>
          <t>Espadão</t>
        </is>
      </c>
      <c r="BE17" s="153" t="inlineStr">
        <is>
          <t>Lâmina Longa</t>
        </is>
      </c>
      <c r="BF17" s="155" t="n">
        <v>2</v>
      </c>
      <c r="BG17" s="153" t="inlineStr">
        <is>
          <t>1d12</t>
        </is>
      </c>
      <c r="BH17" s="153" t="inlineStr">
        <is>
          <t>Alcance</t>
        </is>
      </c>
      <c r="BI17" s="155" t="n">
        <v>3</v>
      </c>
      <c r="BJ17" s="155" t="n">
        <v>2</v>
      </c>
      <c r="BM17" s="155">
        <f>'FICHA PESSOAL'!$D$58</f>
        <v/>
      </c>
      <c r="BN17" s="155">
        <f>ADDRESS(ROW('FICHA PESSOAL'!D58),COLUMN('FICHA PESSOAL'!D58),4)</f>
        <v/>
      </c>
      <c r="BP17" s="153" t="inlineStr">
        <is>
          <t>Arma de Fogo</t>
        </is>
      </c>
      <c r="BQ17" s="153" t="inlineStr">
        <is>
          <t>Arma de Fogo</t>
        </is>
      </c>
      <c r="BR17" s="153" t="inlineStr">
        <is>
          <t>sim</t>
        </is>
      </c>
      <c r="BS17" s="155">
        <f>'FICHA PESSOAL'!$M$56</f>
        <v/>
      </c>
      <c r="BT17" s="155">
        <f>ADDRESS(ROW('FICHA PESSOAL'!M56),COLUMN('FICHA PESSOAL'!M56),4)</f>
        <v/>
      </c>
      <c r="CY17" s="153" t="inlineStr">
        <is>
          <t>secundária vale</t>
        </is>
      </c>
      <c r="CZ17" s="155">
        <f>IF(AND(DADOS!$CZ$8&lt;&gt;2,'FICHA PESSOAL'!$S$49&lt;&gt;"",'FICHA PESSOAL'!$S$49&lt;&gt;"—",'FICHA PESSOAL'!$S$49&lt;&gt;"Nas duas mãos"),1,0)</f>
        <v/>
      </c>
      <c r="DH17" s="153" t="inlineStr">
        <is>
          <t>Discreta</t>
        </is>
      </c>
      <c r="DI17" s="153" t="inlineStr">
        <is>
          <t>Tem aparência de objeto comum. Veja Armas escondidas.</t>
        </is>
      </c>
      <c r="DO17" s="153" t="inlineStr">
        <is>
          <t>itens</t>
        </is>
      </c>
      <c r="DP17" s="155">
        <f>ADDRESS(ROW('FICHA PESSOAL'!D89),COLUMN('FICHA PESSOAL'!D89),4)&amp;":"&amp;ADDRESS(ROW('FICHA PESSOAL'!AT94),COLUMN('FICHA PESSOAL'!AT94),4)</f>
        <v/>
      </c>
    </row>
    <row r="18" ht="17.25" customHeight="1">
      <c r="A18" s="41" t="n"/>
      <c r="B18" s="153" t="inlineStr">
        <is>
          <t>Lidar com Animais</t>
        </is>
      </c>
      <c r="C18" s="41" t="n"/>
      <c r="D18" s="41" t="n"/>
      <c r="E18" s="41" t="n"/>
      <c r="F18" s="153" t="inlineStr">
        <is>
          <t>Contorno</t>
        </is>
      </c>
      <c r="G18" s="153" t="inlineStr">
        <is>
          <t>Dívida</t>
        </is>
      </c>
      <c r="H18" s="41" t="n"/>
      <c r="I18" s="41" t="n"/>
      <c r="J18" s="41" t="n"/>
      <c r="K18" s="41" t="n"/>
      <c r="L18" s="153" t="inlineStr">
        <is>
          <t>Invocação Principal</t>
        </is>
      </c>
      <c r="M18" s="41" t="n"/>
      <c r="N18" s="41" t="n"/>
      <c r="O18" s="41" t="n"/>
      <c r="P18" s="41" t="n"/>
      <c r="Q18" s="41" t="n"/>
      <c r="R18" s="41" t="n"/>
      <c r="S18" s="41" t="n"/>
      <c r="T18" s="41" t="n"/>
      <c r="U18" s="41" t="n"/>
      <c r="V18" s="41" t="n"/>
      <c r="W18" s="41" t="n"/>
      <c r="X18" s="41" t="n"/>
      <c r="Y18" s="41" t="n"/>
      <c r="Z18" s="41" t="n"/>
      <c r="AA18" s="41" t="n"/>
      <c r="AB18" s="153" t="inlineStr">
        <is>
          <t>Natureza</t>
        </is>
      </c>
      <c r="AC18" s="153" t="inlineStr">
        <is>
          <t>Inteligência</t>
        </is>
      </c>
      <c r="AD18" s="41" t="n"/>
      <c r="AE18" s="153" t="inlineStr">
        <is>
          <t>Traje 2 + Médio</t>
        </is>
      </c>
      <c r="AF18" s="155" t="n">
        <v>4</v>
      </c>
      <c r="AG18" s="155" t="n">
        <v>3</v>
      </c>
      <c r="AH18" s="155" t="inlineStr">
        <is>
          <t>sim</t>
        </is>
      </c>
      <c r="AI18" s="41" t="n"/>
      <c r="AJ18" s="153" t="inlineStr">
        <is>
          <t>perícias por arma</t>
        </is>
      </c>
      <c r="AK18" s="155">
        <f>IF(OR(FICHA!$D$11="Guia",FICHA!$D$11="Emanador",FICHA!$D$11="Evocador"),IF(FICHA!$AK$73="2 armas (-4 pericias)",4,IF(FICHA!$AK$73="1 arma (-2 pericias)",2,0)),0)</f>
        <v/>
      </c>
      <c r="AL18" s="41" t="n"/>
      <c r="AM18" s="41" t="n"/>
      <c r="AN18" s="153">
        <f>$L$17</f>
        <v/>
      </c>
      <c r="AO18" s="153" t="inlineStr">
        <is>
          <t>Emanador</t>
        </is>
      </c>
      <c r="AP18" s="41" t="n"/>
      <c r="AQ18" s="155" t="n">
        <v>15</v>
      </c>
      <c r="AR18" s="155" t="n">
        <v>8200</v>
      </c>
      <c r="AS18" s="41" t="n"/>
      <c r="AT18" s="41" t="n"/>
      <c r="AU18" s="41" t="n"/>
      <c r="AV18" s="41" t="n"/>
      <c r="AW18" s="41" t="n"/>
      <c r="AX18" s="41" t="n"/>
      <c r="AY18" s="41" t="n"/>
      <c r="AZ18" s="41" t="n"/>
      <c r="BA18" s="153" t="inlineStr">
        <is>
          <t>atr_base_Constituição</t>
        </is>
      </c>
      <c r="BB18" s="153">
        <f>ADDRESS(ROW(FICHA!T21),COLUMN(FICHA!T21),4)</f>
        <v/>
      </c>
      <c r="BD18" s="153" t="inlineStr">
        <is>
          <t>Espingarda</t>
        </is>
      </c>
      <c r="BE18" s="153" t="inlineStr">
        <is>
          <t>Arma de Fogo</t>
        </is>
      </c>
      <c r="BF18" s="155" t="n">
        <v>2</v>
      </c>
      <c r="BG18" s="153" t="inlineStr">
        <is>
          <t>2d8</t>
        </is>
      </c>
      <c r="BH18" s="153" t="inlineStr">
        <is>
          <t>Longo Alcance · Munição · Rompe</t>
        </is>
      </c>
      <c r="BI18" s="155" t="n">
        <v>1</v>
      </c>
      <c r="BJ18" s="155" t="n">
        <v>2</v>
      </c>
      <c r="BK18" s="153" t="inlineStr">
        <is>
          <t>9 m, longa 27 m</t>
        </is>
      </c>
      <c r="BL18" s="155" t="n">
        <v>2</v>
      </c>
      <c r="BM18" s="155">
        <f>'FICHA PESSOAL'!$M$57</f>
        <v/>
      </c>
      <c r="BN18" s="155">
        <f>ADDRESS(ROW('FICHA PESSOAL'!M57),COLUMN('FICHA PESSOAL'!M57),4)</f>
        <v/>
      </c>
      <c r="CY18" s="153" t="inlineStr">
        <is>
          <t>categoria da secundária</t>
        </is>
      </c>
      <c r="CZ18" s="155">
        <f>IF(DADOS!$CZ$17=1,IFERROR(VLOOKUP('FICHA PESSOAL'!$S$49,'FICHA PESSOAL'!$D$77:$AH$84,10,FALSE)&amp;"",""),"")</f>
        <v/>
      </c>
      <c r="DH18" s="153" t="inlineStr">
        <is>
          <t>Munição</t>
        </is>
      </c>
      <c r="DI18" s="153" t="inlineStr">
        <is>
          <t>Exige recarga. O procedimento, a capacidade e os suprimentos estão em Munição.</t>
        </is>
      </c>
      <c r="DO18" s="153" t="inlineStr">
        <is>
          <t>volume dos itens 1</t>
        </is>
      </c>
      <c r="DP18" s="155">
        <f>ADDRESS(ROW('FICHA PESSOAL'!V89),COLUMN('FICHA PESSOAL'!V89),4)&amp;":"&amp;ADDRESS(ROW('FICHA PESSOAL'!V94),COLUMN('FICHA PESSOAL'!V94),4)</f>
        <v/>
      </c>
    </row>
    <row r="19" ht="17.25" customHeight="1">
      <c r="A19" s="41" t="n"/>
      <c r="B19" s="153" t="inlineStr">
        <is>
          <t>Tecnologia</t>
        </is>
      </c>
      <c r="C19" s="41" t="n"/>
      <c r="D19" s="41" t="n"/>
      <c r="E19" s="41" t="n"/>
      <c r="F19" s="153" t="inlineStr">
        <is>
          <t>Precisão</t>
        </is>
      </c>
      <c r="G19" s="153"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3" t="inlineStr">
        <is>
          <t>Lidar com Animais</t>
        </is>
      </c>
      <c r="AC19" s="153" t="inlineStr">
        <is>
          <t>Inteligência</t>
        </is>
      </c>
      <c r="AD19" s="41" t="n"/>
      <c r="AE19" s="153" t="inlineStr">
        <is>
          <t>Traje 2 + Torre</t>
        </is>
      </c>
      <c r="AF19" s="155" t="n">
        <v>5</v>
      </c>
      <c r="AG19" s="155" t="n">
        <v>1</v>
      </c>
      <c r="AH19" s="155" t="inlineStr">
        <is>
          <t>sim</t>
        </is>
      </c>
      <c r="AI19" s="41" t="n"/>
      <c r="AJ19" s="153" t="inlineStr">
        <is>
          <t>perícias da rota</t>
        </is>
      </c>
      <c r="AK19" s="155">
        <f>IF(DADOS!$AK$17=1,9,10)-DADOS!$AK$18</f>
        <v/>
      </c>
      <c r="AL19" s="41" t="n"/>
      <c r="AM19" s="41" t="n"/>
      <c r="AN19" s="153">
        <f>$L$18</f>
        <v/>
      </c>
      <c r="AO19" s="153" t="inlineStr">
        <is>
          <t>Evocador</t>
        </is>
      </c>
      <c r="AP19" s="41" t="n"/>
      <c r="AQ19" s="155" t="n">
        <v>16</v>
      </c>
      <c r="AR19" s="155" t="n">
        <v>9300</v>
      </c>
      <c r="AS19" s="41" t="n"/>
      <c r="AT19" s="41" t="n"/>
      <c r="AU19" s="41" t="n"/>
      <c r="AV19" s="41" t="n"/>
      <c r="AW19" s="41" t="n"/>
      <c r="AX19" s="41" t="n"/>
      <c r="AY19" s="41" t="n"/>
      <c r="AZ19" s="41" t="n"/>
      <c r="BA19" s="153" t="inlineStr">
        <is>
          <t>atr_base_Inteligência</t>
        </is>
      </c>
      <c r="BB19" s="153">
        <f>ADDRESS(ROW(FICHA!AB21),COLUMN(FICHA!AB21),4)</f>
        <v/>
      </c>
      <c r="BD19" s="153" t="inlineStr">
        <is>
          <t>Faca</t>
        </is>
      </c>
      <c r="BE19" s="153" t="inlineStr">
        <is>
          <t>Lâmina Curta</t>
        </is>
      </c>
      <c r="BF19" s="155" t="n">
        <v>1</v>
      </c>
      <c r="BG19" s="153" t="inlineStr">
        <is>
          <t>1d6</t>
        </is>
      </c>
      <c r="BH19" s="153" t="inlineStr">
        <is>
          <t>Fineza · Rompe · Leve</t>
        </is>
      </c>
      <c r="BI19" s="153" t="inlineStr">
        <is>
          <t>—</t>
        </is>
      </c>
      <c r="BJ19" s="155" t="n">
        <v>0.2</v>
      </c>
      <c r="BM19" s="155">
        <f>'FICHA PESSOAL'!$AE$58</f>
        <v/>
      </c>
      <c r="BN19" s="155">
        <f>ADDRESS(ROW('FICHA PESSOAL'!AE58),COLUMN('FICHA PESSOAL'!AE58),4)</f>
        <v/>
      </c>
      <c r="CY19" s="153" t="inlineStr">
        <is>
          <t>escudo na secundária</t>
        </is>
      </c>
      <c r="CZ19" s="155">
        <f>IF(AND(DADOS!$CZ$17=1,DADOS!$CZ$18="Escudo"),1,0)</f>
        <v/>
      </c>
      <c r="DH19" s="153" t="inlineStr">
        <is>
          <t>Volumosa</t>
        </is>
      </c>
      <c r="DI19" s="153"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3" t="inlineStr">
        <is>
          <t>volume dos itens 2</t>
        </is>
      </c>
      <c r="DP19" s="155">
        <f>ADDRESS(ROW('FICHA PESSOAL'!AR89),COLUMN('FICHA PESSOAL'!AR89),4)&amp;":"&amp;ADDRESS(ROW('FICHA PESSOAL'!AR94),COLUMN('FICHA PESSOAL'!AR94),4)</f>
        <v/>
      </c>
    </row>
    <row r="20" ht="17.25" customHeight="1">
      <c r="A20" s="41" t="n"/>
      <c r="B20" s="153" t="inlineStr">
        <is>
          <t>Sentir Energia</t>
        </is>
      </c>
      <c r="C20" s="41" t="n"/>
      <c r="D20" s="41" t="n"/>
      <c r="E20" s="41" t="n"/>
      <c r="F20" s="153" t="inlineStr">
        <is>
          <t>Certeiro</t>
        </is>
      </c>
      <c r="G20" s="153"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3" t="inlineStr">
        <is>
          <t>Tecnologia</t>
        </is>
      </c>
      <c r="AC20" s="153" t="inlineStr">
        <is>
          <t>Inteligência</t>
        </is>
      </c>
      <c r="AD20" s="41" t="n"/>
      <c r="AE20" s="153" t="inlineStr">
        <is>
          <t>Traje 3 + Broquel</t>
        </is>
      </c>
      <c r="AF20" s="155" t="n">
        <v>4</v>
      </c>
      <c r="AG20" s="155" t="n">
        <v>5</v>
      </c>
      <c r="AH20" s="155" t="inlineStr">
        <is>
          <t>sim</t>
        </is>
      </c>
      <c r="AI20" s="41" t="n"/>
      <c r="AJ20" s="153" t="inlineStr">
        <is>
          <t>ofícios da rota</t>
        </is>
      </c>
      <c r="AK20" s="155">
        <f>IF(DADOS!$AK$17=1,2,0)</f>
        <v/>
      </c>
      <c r="AL20" s="41" t="n"/>
      <c r="AM20" s="41" t="n"/>
      <c r="AN20" s="153">
        <f>$L$19</f>
        <v/>
      </c>
      <c r="AO20" s="153" t="inlineStr">
        <is>
          <t>Evocador</t>
        </is>
      </c>
      <c r="AP20" s="41" t="n"/>
      <c r="AQ20" s="155" t="n">
        <v>17</v>
      </c>
      <c r="AR20" s="155" t="n">
        <v>10400</v>
      </c>
      <c r="AS20" s="41" t="n"/>
      <c r="AT20" s="41" t="n"/>
      <c r="AU20" s="41" t="n"/>
      <c r="AV20" s="41" t="n"/>
      <c r="AW20" s="41" t="n"/>
      <c r="AX20" s="41" t="n"/>
      <c r="AY20" s="41" t="n"/>
      <c r="AZ20" s="41" t="n"/>
      <c r="BA20" s="153" t="inlineStr">
        <is>
          <t>atr_base_Essência</t>
        </is>
      </c>
      <c r="BB20" s="153">
        <f>ADDRESS(ROW(FICHA!AJ21),COLUMN(FICHA!AJ21),4)</f>
        <v/>
      </c>
      <c r="BD20" s="153" t="inlineStr">
        <is>
          <t>Foice</t>
        </is>
      </c>
      <c r="BE20" s="153" t="inlineStr">
        <is>
          <t>Ceifa</t>
        </is>
      </c>
      <c r="BF20" s="155" t="n">
        <v>2</v>
      </c>
      <c r="BG20" s="153" t="inlineStr">
        <is>
          <t>1d10</t>
        </is>
      </c>
      <c r="BH20" s="153" t="inlineStr">
        <is>
          <t>Emaranha · Talha</t>
        </is>
      </c>
      <c r="BI20" s="155" t="n">
        <v>3</v>
      </c>
      <c r="BJ20" s="155" t="n">
        <v>2</v>
      </c>
      <c r="BM20" s="155">
        <f>'FICHA PESSOAL'!$V$63</f>
        <v/>
      </c>
      <c r="BN20" s="155">
        <f>ADDRESS(ROW('FICHA PESSOAL'!V63),COLUMN('FICHA PESSOAL'!V63),4)</f>
        <v/>
      </c>
      <c r="CY20" s="153" t="inlineStr">
        <is>
          <t>dado da secundária</t>
        </is>
      </c>
      <c r="CZ20" s="155">
        <f>IF(DADOS!$CZ$17=1,IFERROR(VLOOKUP('FICHA PESSOAL'!$S$49,'FICHA PESSOAL'!$D$77:$AH$84,18,FALSE)&amp;"",""),"")</f>
        <v/>
      </c>
      <c r="DH20" s="153" t="inlineStr">
        <is>
          <t>Embainhada</t>
        </is>
      </c>
      <c r="DI20" s="153"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3" t="inlineStr">
        <is>
          <t>em uso</t>
        </is>
      </c>
      <c r="DP20" s="155">
        <f>ADDRESS(ROW('FICHA PESSOAL'!D46),COLUMN('FICHA PESSOAL'!D46),4)&amp;":"&amp;ADDRESS(ROW('FICHA PESSOAL'!AT52),COLUMN('FICHA PESSOAL'!AT52),4)</f>
        <v/>
      </c>
    </row>
    <row r="21" ht="17.25" customHeight="1">
      <c r="A21" s="41" t="n"/>
      <c r="B21" s="153" t="inlineStr">
        <is>
          <t>Percepção</t>
        </is>
      </c>
      <c r="C21" s="41" t="n"/>
      <c r="D21" s="41" t="n"/>
      <c r="E21" s="41" t="n"/>
      <c r="F21" s="153" t="inlineStr">
        <is>
          <t>Inescapável</t>
        </is>
      </c>
      <c r="G21" s="153"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3" t="inlineStr">
        <is>
          <t>Sentir Energia</t>
        </is>
      </c>
      <c r="AC21" s="153" t="inlineStr">
        <is>
          <t>Essência</t>
        </is>
      </c>
      <c r="AD21" s="41" t="n"/>
      <c r="AE21" s="153" t="inlineStr">
        <is>
          <t>Traje 3 + Médio</t>
        </is>
      </c>
      <c r="AF21" s="155" t="n">
        <v>5</v>
      </c>
      <c r="AG21" s="155" t="n">
        <v>3</v>
      </c>
      <c r="AH21" s="155" t="inlineStr">
        <is>
          <t>sim</t>
        </is>
      </c>
      <c r="AI21" s="41" t="n"/>
      <c r="AJ21" s="153" t="inlineStr">
        <is>
          <t>Corpo nas perícias</t>
        </is>
      </c>
      <c r="AK21" s="155">
        <f>MAX(0,DADOS!$AK$13-DADOS!$AK$19)</f>
        <v/>
      </c>
      <c r="AL21" s="41" t="n"/>
      <c r="AM21" s="41" t="n"/>
      <c r="AN21" s="153">
        <f>$L$20</f>
        <v/>
      </c>
      <c r="AO21" s="153" t="inlineStr">
        <is>
          <t>Evocador</t>
        </is>
      </c>
      <c r="AP21" s="41" t="n"/>
      <c r="AQ21" s="155" t="n">
        <v>18</v>
      </c>
      <c r="AR21" s="155" t="n">
        <v>11700</v>
      </c>
      <c r="AS21" s="41" t="n"/>
      <c r="AT21" s="41" t="n"/>
      <c r="AU21" s="41" t="n"/>
      <c r="AV21" s="41" t="n"/>
      <c r="AW21" s="41" t="n"/>
      <c r="AX21" s="41" t="n"/>
      <c r="AY21" s="41" t="n"/>
      <c r="AZ21" s="41" t="n"/>
      <c r="BA21" s="153" t="inlineStr">
        <is>
          <t>vida</t>
        </is>
      </c>
      <c r="BB21" s="153">
        <f>ADDRESS(ROW(FICHA!D26),COLUMN(FICHA!D26),4)</f>
        <v/>
      </c>
      <c r="BD21" s="153" t="inlineStr">
        <is>
          <t>Hankyū</t>
        </is>
      </c>
      <c r="BE21" s="153" t="inlineStr">
        <is>
          <t>Yumi</t>
        </is>
      </c>
      <c r="BF21" s="155" t="n">
        <v>2</v>
      </c>
      <c r="BG21" s="153" t="inlineStr">
        <is>
          <t>1d8</t>
        </is>
      </c>
      <c r="BH21" s="153" t="inlineStr">
        <is>
          <t>Longo Alcance · Oculta</t>
        </is>
      </c>
      <c r="BI21" s="153" t="inlineStr">
        <is>
          <t>—</t>
        </is>
      </c>
      <c r="BJ21" s="155" t="n">
        <v>1</v>
      </c>
      <c r="BK21" s="153" t="inlineStr">
        <is>
          <t>24 m, longa 96 m</t>
        </is>
      </c>
      <c r="BM21" s="155">
        <f>'FICHA PESSOAL'!$AM$68</f>
        <v/>
      </c>
      <c r="BN21" s="155">
        <f>ADDRESS(ROW('FICHA PESSOAL'!AM68),COLUMN('FICHA PESSOAL'!AM68),4)</f>
        <v/>
      </c>
      <c r="CY21" s="153" t="inlineStr">
        <is>
          <t>propriedades da secundária</t>
        </is>
      </c>
      <c r="CZ21" s="155">
        <f>IF(DADOS!$CZ$17=1,IFERROR(VLOOKUP('FICHA PESSOAL'!$S$49,'FICHA PESSOAL'!$D$77:$AH$84,20,FALSE)&amp;"",""),"")</f>
        <v/>
      </c>
      <c r="DO21" s="153" t="inlineStr">
        <is>
          <t>fileira</t>
        </is>
      </c>
      <c r="DP21" s="155">
        <f>ADDRESS(ROW('FICHA PESSOAL'!D70),COLUMN('FICHA PESSOAL'!D70),4)&amp;":"&amp;ADDRESS(ROW('FICHA PESSOAL'!AT72),COLUMN('FICHA PESSOAL'!AT72),4)</f>
        <v/>
      </c>
    </row>
    <row r="22" ht="17.25" customHeight="1">
      <c r="A22" s="41" t="n"/>
      <c r="B22" s="153" t="inlineStr">
        <is>
          <t>Persuasão</t>
        </is>
      </c>
      <c r="C22" s="41" t="n"/>
      <c r="D22" s="41" t="n"/>
      <c r="E22" s="41" t="n"/>
      <c r="F22" s="153" t="inlineStr">
        <is>
          <t>De Novo</t>
        </is>
      </c>
      <c r="G22" s="153"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3" t="inlineStr">
        <is>
          <t>Percepção</t>
        </is>
      </c>
      <c r="AC22" s="153" t="inlineStr">
        <is>
          <t>Essência</t>
        </is>
      </c>
      <c r="AD22" s="41" t="n"/>
      <c r="AE22" s="153" t="inlineStr">
        <is>
          <t>Traje 3 + Torre</t>
        </is>
      </c>
      <c r="AF22" s="155" t="n">
        <v>6</v>
      </c>
      <c r="AG22" s="155" t="n">
        <v>1</v>
      </c>
      <c r="AH22" s="155" t="inlineStr">
        <is>
          <t>sim</t>
        </is>
      </c>
      <c r="AI22" s="41" t="n"/>
      <c r="AJ22" s="153" t="inlineStr">
        <is>
          <t>Corpo nos ofícios</t>
        </is>
      </c>
      <c r="AK22" s="155">
        <f>MAX(0,DADOS!$AK$14-DADOS!$AK$20)</f>
        <v/>
      </c>
      <c r="AL22" s="41" t="n"/>
      <c r="AM22" s="41" t="n"/>
      <c r="AN22" s="153">
        <f>$L$21</f>
        <v/>
      </c>
      <c r="AO22" s="153" t="inlineStr">
        <is>
          <t>Incursor</t>
        </is>
      </c>
      <c r="AP22" s="41" t="n"/>
      <c r="AQ22" s="155" t="n">
        <v>19</v>
      </c>
      <c r="AR22" s="155" t="n">
        <v>13000</v>
      </c>
      <c r="AS22" s="41" t="n"/>
      <c r="AT22" s="41" t="n"/>
      <c r="AU22" s="41" t="n"/>
      <c r="AV22" s="41" t="n"/>
      <c r="AW22" s="41" t="n"/>
      <c r="AX22" s="41" t="n"/>
      <c r="AY22" s="41" t="n"/>
      <c r="AZ22" s="41" t="n"/>
      <c r="BA22" s="153" t="inlineStr">
        <is>
          <t>vida_max</t>
        </is>
      </c>
      <c r="BB22" s="153">
        <f>ADDRESS(ROW(FICHA!J26),COLUMN(FICHA!J26),4)</f>
        <v/>
      </c>
      <c r="BD22" s="153" t="inlineStr">
        <is>
          <t>Kama</t>
        </is>
      </c>
      <c r="BE22" s="153" t="inlineStr">
        <is>
          <t>Ceifa</t>
        </is>
      </c>
      <c r="BF22" s="155" t="n">
        <v>1</v>
      </c>
      <c r="BG22" s="153" t="inlineStr">
        <is>
          <t>1d6</t>
        </is>
      </c>
      <c r="BH22" s="153" t="inlineStr">
        <is>
          <t>Par · Rompe</t>
        </is>
      </c>
      <c r="BI22" s="153" t="inlineStr">
        <is>
          <t>—</t>
        </is>
      </c>
      <c r="BJ22" s="155" t="n">
        <v>0.5</v>
      </c>
      <c r="BM22" s="155">
        <f>'FICHA PESSOAL'!$V$64</f>
        <v/>
      </c>
      <c r="BN22" s="155">
        <f>ADDRESS(ROW('FICHA PESSOAL'!V64),COLUMN('FICHA PESSOAL'!V64),4)</f>
        <v/>
      </c>
      <c r="CY22" s="153" t="inlineStr">
        <is>
          <t>força da secundária</t>
        </is>
      </c>
      <c r="CZ22" s="155">
        <f>IF(DADOS!$CZ$17=1,IFERROR(VALUE(VLOOKUP('FICHA PESSOAL'!$S$49,'FICHA PESSOAL'!$D$77:$AH$84,28,FALSE)&amp;""),0),0)</f>
        <v/>
      </c>
      <c r="DO22" s="153" t="inlineStr">
        <is>
          <t>cor da barra cheia</t>
        </is>
      </c>
      <c r="DP22" s="155">
        <f>ADDRESS(ROW(DADOS!CZ51),COLUMN(DADOS!CZ51),4)</f>
        <v/>
      </c>
    </row>
    <row r="23" ht="17.25" customHeight="1">
      <c r="A23" s="41" t="n"/>
      <c r="B23" s="153" t="inlineStr">
        <is>
          <t>Enganação</t>
        </is>
      </c>
      <c r="C23" s="41" t="n"/>
      <c r="D23" s="41" t="n"/>
      <c r="E23" s="41" t="n"/>
      <c r="F23" s="153" t="inlineStr">
        <is>
          <t>Fura</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3" t="inlineStr">
        <is>
          <t>Persuasão</t>
        </is>
      </c>
      <c r="AC23" s="153" t="inlineStr">
        <is>
          <t>Essência</t>
        </is>
      </c>
      <c r="AD23" s="41" t="n"/>
      <c r="AE23" s="153" t="inlineStr">
        <is>
          <t>Revestimento 1 + Broquel</t>
        </is>
      </c>
      <c r="AF23" s="155" t="n">
        <v>5</v>
      </c>
      <c r="AG23" s="155" t="n">
        <v>0</v>
      </c>
      <c r="AH23" s="155" t="inlineStr">
        <is>
          <t>sim</t>
        </is>
      </c>
      <c r="AI23" s="41" t="n"/>
      <c r="AJ23" s="153" t="inlineStr">
        <is>
          <t>Corpo por escolher</t>
        </is>
      </c>
      <c r="AK23" s="155">
        <f>DADOS!$AK$16-DADOS!$AK$21-DADOS!$AK$22</f>
        <v/>
      </c>
      <c r="AL23" s="41" t="n"/>
      <c r="AM23" s="41" t="n"/>
      <c r="AN23" s="153">
        <f>$L$22</f>
        <v/>
      </c>
      <c r="AO23" s="153" t="inlineStr">
        <is>
          <t>Incursor</t>
        </is>
      </c>
      <c r="AP23" s="41" t="n"/>
      <c r="AQ23" s="155" t="n">
        <v>20</v>
      </c>
      <c r="AR23" s="155" t="n">
        <v>14300</v>
      </c>
      <c r="AS23" s="41" t="n"/>
      <c r="AT23" s="41" t="n"/>
      <c r="AU23" s="41" t="n"/>
      <c r="AV23" s="41" t="n"/>
      <c r="AW23" s="41" t="n"/>
      <c r="AX23" s="41" t="n"/>
      <c r="AY23" s="41" t="n"/>
      <c r="AZ23" s="41" t="n"/>
      <c r="BA23" s="153" t="inlineStr">
        <is>
          <t>vida_temp</t>
        </is>
      </c>
      <c r="BB23" s="153">
        <f>ADDRESS(ROW(FICHA!AF26),COLUMN(FICHA!AF26),4)</f>
        <v/>
      </c>
      <c r="BD23" s="153" t="inlineStr">
        <is>
          <t>Kanabō</t>
        </is>
      </c>
      <c r="BE23" s="153" t="inlineStr">
        <is>
          <t>Massa</t>
        </is>
      </c>
      <c r="BF23" s="155" t="n">
        <v>2</v>
      </c>
      <c r="BG23" s="153" t="inlineStr">
        <is>
          <t>1d12</t>
        </is>
      </c>
      <c r="BH23" s="153" t="inlineStr">
        <is>
          <t>Talha</t>
        </is>
      </c>
      <c r="BI23" s="155" t="n">
        <v>3</v>
      </c>
      <c r="BJ23" s="155" t="n">
        <v>3</v>
      </c>
      <c r="BM23" s="155">
        <f>'FICHA PESSOAL'!$AM$57</f>
        <v/>
      </c>
      <c r="BN23" s="155">
        <f>ADDRESS(ROW('FICHA PESSOAL'!AM57),COLUMN('FICHA PESSOAL'!AM57),4)</f>
        <v/>
      </c>
      <c r="CY23" s="153" t="inlineStr">
        <is>
          <t>alcance da secundária</t>
        </is>
      </c>
      <c r="CZ23" s="155">
        <f>IF(DADOS!$CZ$17=1,IFERROR(VLOOKUP('FICHA PESSOAL'!$S$49,DADOS!$BD$5:$BN$59,8,FALSE)&amp;"",""),"")</f>
        <v/>
      </c>
    </row>
    <row r="24" ht="17.25" customHeight="1">
      <c r="A24" s="41" t="n"/>
      <c r="B24" s="153" t="inlineStr">
        <is>
          <t>Intimidação</t>
        </is>
      </c>
      <c r="C24" s="41" t="n"/>
      <c r="D24" s="41" t="n"/>
      <c r="E24" s="41" t="n"/>
      <c r="F24" s="153" t="inlineStr">
        <is>
          <t>Corrói</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3" t="inlineStr">
        <is>
          <t>Enganação</t>
        </is>
      </c>
      <c r="AC24" s="153" t="inlineStr">
        <is>
          <t>Essência</t>
        </is>
      </c>
      <c r="AD24" s="41" t="n"/>
      <c r="AE24" s="153" t="inlineStr">
        <is>
          <t>Revestimento 1 + Médio</t>
        </is>
      </c>
      <c r="AF24" s="155" t="n">
        <v>6</v>
      </c>
      <c r="AG24" s="155" t="n">
        <v>0</v>
      </c>
      <c r="AH24" s="155" t="inlineStr">
        <is>
          <t>sim</t>
        </is>
      </c>
      <c r="AI24" s="41" t="n"/>
      <c r="AJ24" s="153" t="inlineStr">
        <is>
          <t>treinos a mais</t>
        </is>
      </c>
      <c r="AK24" s="155">
        <f>MAX(0,-DADOS!$AK$23)</f>
        <v/>
      </c>
      <c r="AL24" s="41" t="n"/>
      <c r="AM24" s="41" t="n"/>
      <c r="AN24" s="153">
        <f>$L$23</f>
        <v/>
      </c>
      <c r="AO24" s="153" t="inlineStr">
        <is>
          <t>Incursor</t>
        </is>
      </c>
      <c r="AP24" s="41" t="n"/>
      <c r="AQ24" s="155" t="n">
        <v>21</v>
      </c>
      <c r="AR24" s="155" t="n">
        <v>15800</v>
      </c>
      <c r="AS24" s="41" t="n"/>
      <c r="AT24" s="41" t="n"/>
      <c r="AU24" s="41" t="n"/>
      <c r="AV24" s="41" t="n"/>
      <c r="AW24" s="41" t="n"/>
      <c r="AX24" s="41" t="n"/>
      <c r="AY24" s="41" t="n"/>
      <c r="AZ24" s="41" t="n"/>
      <c r="BA24" s="153" t="inlineStr">
        <is>
          <t>vida_delta</t>
        </is>
      </c>
      <c r="BB24" s="153">
        <f>ADDRESS(ROW(FICHA!AM26),COLUMN(FICHA!AM26),4)</f>
        <v/>
      </c>
      <c r="BD24" s="153" t="inlineStr">
        <is>
          <t>Katana</t>
        </is>
      </c>
      <c r="BE24" s="153" t="inlineStr">
        <is>
          <t>Lâmina Longa</t>
        </is>
      </c>
      <c r="BF24" s="155" t="n">
        <v>1</v>
      </c>
      <c r="BG24" s="153" t="inlineStr">
        <is>
          <t>1d8</t>
        </is>
      </c>
      <c r="BH24" s="153" t="inlineStr">
        <is>
          <t>Versátil · Fineza</t>
        </is>
      </c>
      <c r="BI24" s="153" t="inlineStr">
        <is>
          <t>—</t>
        </is>
      </c>
      <c r="BJ24" s="155" t="n">
        <v>1</v>
      </c>
      <c r="BM24" s="155">
        <f>'FICHA PESSOAL'!$D$59</f>
        <v/>
      </c>
      <c r="BN24" s="155">
        <f>ADDRESS(ROW('FICHA PESSOAL'!D59),COLUMN('FICHA PESSOAL'!D59),4)</f>
        <v/>
      </c>
      <c r="CY24" s="153" t="inlineStr">
        <is>
          <t>recarga da secundária</t>
        </is>
      </c>
      <c r="CZ24" s="155">
        <f>IF(DADOS!$CZ$17=1,IFERROR(VLOOKUP('FICHA PESSOAL'!$S$49,DADOS!$BD$5:$BN$59,9,FALSE)&amp;"",""),"")</f>
        <v/>
      </c>
    </row>
    <row r="25" ht="17.25" customHeight="1">
      <c r="A25" s="41" t="n"/>
      <c r="B25" s="153" t="inlineStr">
        <is>
          <t>Atuação</t>
        </is>
      </c>
      <c r="C25" s="41" t="n"/>
      <c r="D25" s="41" t="n"/>
      <c r="E25" s="41" t="n"/>
      <c r="F25" s="153" t="inlineStr">
        <is>
          <t>Sem Cobertura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3" t="inlineStr">
        <is>
          <t>Intimidação</t>
        </is>
      </c>
      <c r="AC25" s="153" t="inlineStr">
        <is>
          <t>Essência</t>
        </is>
      </c>
      <c r="AD25" s="41" t="n"/>
      <c r="AE25" s="153" t="inlineStr">
        <is>
          <t>Revestimento 1 + Torre</t>
        </is>
      </c>
      <c r="AF25" s="155" t="n">
        <v>7</v>
      </c>
      <c r="AG25" s="155" t="n">
        <v>0</v>
      </c>
      <c r="AH25" s="155" t="inlineStr">
        <is>
          <t>sim</t>
        </is>
      </c>
      <c r="AI25" s="41" t="n"/>
      <c r="AJ25" s="153" t="inlineStr">
        <is>
          <t>perícias que faltam</t>
        </is>
      </c>
      <c r="AK25" s="155">
        <f>MAX(0,DADOS!$AK$19-DADOS!$AK$13)</f>
        <v/>
      </c>
      <c r="AL25" s="41" t="n"/>
      <c r="AM25" s="41" t="n"/>
      <c r="AN25" s="41" t="n"/>
      <c r="AO25" s="41" t="n"/>
      <c r="AP25" s="41" t="n"/>
      <c r="AQ25" s="155" t="n">
        <v>22</v>
      </c>
      <c r="AR25" s="155" t="n">
        <v>17300</v>
      </c>
      <c r="AS25" s="41" t="n"/>
      <c r="AT25" s="41" t="n"/>
      <c r="AU25" s="41" t="n"/>
      <c r="AV25" s="41" t="n"/>
      <c r="AW25" s="41" t="n"/>
      <c r="AX25" s="41" t="n"/>
      <c r="AY25" s="41" t="n"/>
      <c r="AZ25" s="41" t="n"/>
      <c r="BA25" s="153" t="inlineStr">
        <is>
          <t>energia</t>
        </is>
      </c>
      <c r="BB25" s="153">
        <f>ADDRESS(ROW(FICHA!D30),COLUMN(FICHA!D30),4)</f>
        <v/>
      </c>
      <c r="BD25" s="153" t="inlineStr">
        <is>
          <t>Kunai</t>
        </is>
      </c>
      <c r="BE25" s="153" t="inlineStr">
        <is>
          <t>Arremesso</t>
        </is>
      </c>
      <c r="BF25" s="155" t="n">
        <v>1</v>
      </c>
      <c r="BG25" s="153" t="inlineStr">
        <is>
          <t>1d6</t>
        </is>
      </c>
      <c r="BH25" s="153" t="inlineStr">
        <is>
          <t>Longo Alcance · Oculta · Leve</t>
        </is>
      </c>
      <c r="BI25" s="153" t="inlineStr">
        <is>
          <t>—</t>
        </is>
      </c>
      <c r="BJ25" s="155" t="n">
        <v>0.2</v>
      </c>
      <c r="BK25" s="153" t="inlineStr">
        <is>
          <t>6 m, longa 18 m</t>
        </is>
      </c>
      <c r="BM25" s="155">
        <f>'FICHA PESSOAL'!$M$66</f>
        <v/>
      </c>
      <c r="BN25" s="155">
        <f>ADDRESS(ROW('FICHA PESSOAL'!M66),COLUMN('FICHA PESSOAL'!M66),4)</f>
        <v/>
      </c>
      <c r="CY25" s="153" t="inlineStr">
        <is>
          <t>guardados para a principal</t>
        </is>
      </c>
      <c r="CZ25" s="155">
        <f>SUMPRODUCT(--('FICHA PESSOAL'!$D$77:$D$84&lt;&gt;""),--('FICHA PESSOAL'!$M$77:$M$84&lt;&gt;"Escudo"))</f>
        <v/>
      </c>
    </row>
    <row r="26" ht="17.25" customHeight="1">
      <c r="A26" s="41" t="n"/>
      <c r="B26" s="153" t="inlineStr">
        <is>
          <t>Provocar</t>
        </is>
      </c>
      <c r="C26" s="41" t="n"/>
      <c r="D26" s="41" t="n"/>
      <c r="E26" s="41" t="n"/>
      <c r="F26" s="153" t="inlineStr">
        <is>
          <t>Toca a Alma</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3" t="inlineStr">
        <is>
          <t>Atuação</t>
        </is>
      </c>
      <c r="AC26" s="153" t="inlineStr">
        <is>
          <t>Essência</t>
        </is>
      </c>
      <c r="AD26" s="41" t="n"/>
      <c r="AE26" s="153" t="inlineStr">
        <is>
          <t>Revestimento 2 + Broquel</t>
        </is>
      </c>
      <c r="AF26" s="155" t="n">
        <v>6</v>
      </c>
      <c r="AG26" s="155" t="n">
        <v>0</v>
      </c>
      <c r="AH26" s="155" t="inlineStr">
        <is>
          <t>sim</t>
        </is>
      </c>
      <c r="AI26" s="41" t="n"/>
      <c r="AJ26" s="153" t="inlineStr">
        <is>
          <t>ofícios que faltam</t>
        </is>
      </c>
      <c r="AK26" s="155">
        <f>MAX(0,DADOS!$AK$20-DADOS!$AK$14)</f>
        <v/>
      </c>
      <c r="AL26" s="41" t="n"/>
      <c r="AM26" s="41" t="n"/>
      <c r="AN26" s="41" t="n"/>
      <c r="AO26" s="41" t="n"/>
      <c r="AP26" s="41" t="n"/>
      <c r="AQ26" s="155" t="n">
        <v>23</v>
      </c>
      <c r="AR26" s="155" t="n">
        <v>18800</v>
      </c>
      <c r="AS26" s="41" t="n"/>
      <c r="AT26" s="41" t="n"/>
      <c r="AU26" s="41" t="n"/>
      <c r="AV26" s="41" t="n"/>
      <c r="AW26" s="41" t="n"/>
      <c r="AX26" s="41" t="n"/>
      <c r="AY26" s="41" t="n"/>
      <c r="AZ26" s="41" t="n"/>
      <c r="BA26" s="153" t="inlineStr">
        <is>
          <t>energia_max</t>
        </is>
      </c>
      <c r="BB26" s="153">
        <f>ADDRESS(ROW(FICHA!J30),COLUMN(FICHA!J30),4)</f>
        <v/>
      </c>
      <c r="BD26" s="153" t="inlineStr">
        <is>
          <t>Kusarigama</t>
        </is>
      </c>
      <c r="BE26" s="153" t="inlineStr">
        <is>
          <t>Ceifa</t>
        </is>
      </c>
      <c r="BF26" s="155" t="n">
        <v>2</v>
      </c>
      <c r="BG26" s="153" t="inlineStr">
        <is>
          <t>1d8</t>
        </is>
      </c>
      <c r="BH26" s="153" t="inlineStr">
        <is>
          <t>Alcance · Emaranha · Longo Alcance</t>
        </is>
      </c>
      <c r="BI26" s="153" t="inlineStr">
        <is>
          <t>—</t>
        </is>
      </c>
      <c r="BJ26" s="155" t="n">
        <v>2</v>
      </c>
      <c r="BK26" s="153" t="inlineStr">
        <is>
          <t>6 m, longa 18 m</t>
        </is>
      </c>
      <c r="BM26" s="155">
        <f>'FICHA PESSOAL'!$V$65</f>
        <v/>
      </c>
      <c r="BN26" s="155">
        <f>ADDRESS(ROW('FICHA PESSOAL'!V65),COLUMN('FICHA PESSOAL'!V65),4)</f>
        <v/>
      </c>
      <c r="CY26" s="153" t="inlineStr">
        <is>
          <t>guardados para a secundária</t>
        </is>
      </c>
      <c r="CZ26" s="155">
        <f>SUMPRODUCT(--('FICHA PESSOAL'!$D$77:$D$84&lt;&gt;""),--((('FICHA PESSOAL'!$M$77:$M$84="Escudo")+('FICHA PESSOAL'!$S$77:$S$84=1))&gt;0))</f>
        <v/>
      </c>
    </row>
    <row r="27" ht="17.25" customHeight="1">
      <c r="A27" s="41" t="n"/>
      <c r="B27" s="41" t="n"/>
      <c r="C27" s="41" t="n"/>
      <c r="D27" s="41" t="n"/>
      <c r="E27" s="41" t="n"/>
      <c r="F27" s="153" t="inlineStr">
        <is>
          <t>Condição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3" t="inlineStr">
        <is>
          <t>Provocar</t>
        </is>
      </c>
      <c r="AC27" s="153" t="inlineStr">
        <is>
          <t>Essência</t>
        </is>
      </c>
      <c r="AD27" s="41" t="n"/>
      <c r="AE27" s="153" t="inlineStr">
        <is>
          <t>Revestimento 2 + Médio</t>
        </is>
      </c>
      <c r="AF27" s="155" t="n">
        <v>7</v>
      </c>
      <c r="AG27" s="155" t="n">
        <v>0</v>
      </c>
      <c r="AH27" s="155" t="inlineStr">
        <is>
          <t>sim</t>
        </is>
      </c>
      <c r="AI27" s="41" t="n"/>
      <c r="AJ27" s="153" t="inlineStr">
        <is>
          <t>perícias que faltam sem ofício</t>
        </is>
      </c>
      <c r="AK27" s="155">
        <f>MAX(0,10-DADOS!$AK$13)</f>
        <v/>
      </c>
      <c r="AL27" s="41" t="n"/>
      <c r="AM27" s="41" t="n"/>
      <c r="AN27" s="41" t="n"/>
      <c r="AO27" s="41" t="n"/>
      <c r="AP27" s="41" t="n"/>
      <c r="AQ27" s="155" t="n">
        <v>24</v>
      </c>
      <c r="AR27" s="155" t="n">
        <v>20500</v>
      </c>
      <c r="AS27" s="41" t="n"/>
      <c r="AT27" s="41" t="n"/>
      <c r="AU27" s="41" t="n"/>
      <c r="AV27" s="41" t="n"/>
      <c r="AW27" s="41" t="n"/>
      <c r="AX27" s="41" t="n"/>
      <c r="AY27" s="41" t="n"/>
      <c r="AZ27" s="41" t="n"/>
      <c r="BA27" s="153" t="inlineStr">
        <is>
          <t>energia_temp</t>
        </is>
      </c>
      <c r="BB27" s="153">
        <f>ADDRESS(ROW(FICHA!AF30),COLUMN(FICHA!AF30),4)</f>
        <v/>
      </c>
      <c r="BD27" s="153" t="inlineStr">
        <is>
          <t>Lança</t>
        </is>
      </c>
      <c r="BE27" s="153" t="inlineStr">
        <is>
          <t>Armas Longas</t>
        </is>
      </c>
      <c r="BF27" s="155" t="n">
        <v>1</v>
      </c>
      <c r="BG27" s="153" t="inlineStr">
        <is>
          <t>1d6</t>
        </is>
      </c>
      <c r="BH27" s="153" t="inlineStr">
        <is>
          <t>Alcance · Longo Alcance</t>
        </is>
      </c>
      <c r="BI27" s="153" t="inlineStr">
        <is>
          <t>—</t>
        </is>
      </c>
      <c r="BJ27" s="155" t="n">
        <v>2</v>
      </c>
      <c r="BK27" s="153" t="inlineStr">
        <is>
          <t>6 m, longa 18 m</t>
        </is>
      </c>
      <c r="BM27" s="155">
        <f>'FICHA PESSOAL'!$AM$63</f>
        <v/>
      </c>
      <c r="BN27" s="155">
        <f>ADDRESS(ROW('FICHA PESSOAL'!AM63),COLUMN('FICHA PESSOAL'!AM63),4)</f>
        <v/>
      </c>
      <c r="CY27" s="153" t="inlineStr">
        <is>
          <t>uniforme vale</t>
        </is>
      </c>
      <c r="CZ27" s="155">
        <f>IF(ISNUMBER(MATCH('FICHA PESSOAL'!$AH$49,DADOS!$BX$5:$BX$10,0)),1,0)</f>
        <v/>
      </c>
    </row>
    <row r="28" ht="17.25" customHeight="1">
      <c r="A28" s="41" t="n"/>
      <c r="B28" s="41" t="n"/>
      <c r="C28" s="41" t="n"/>
      <c r="D28" s="41" t="n"/>
      <c r="E28" s="41" t="n"/>
      <c r="F28" s="153" t="inlineStr">
        <is>
          <t>Terreno</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3" t="inlineStr">
        <is>
          <t>Revestimento 2 + Torre</t>
        </is>
      </c>
      <c r="AF28" s="155" t="n">
        <v>8</v>
      </c>
      <c r="AG28" s="155" t="n">
        <v>0</v>
      </c>
      <c r="AH28" s="155" t="inlineStr">
        <is>
          <t>sim</t>
        </is>
      </c>
      <c r="AI28" s="41" t="n"/>
      <c r="AJ28" s="153" t="inlineStr">
        <is>
          <t>Corpo por escolher sem ofício</t>
        </is>
      </c>
      <c r="AK28" s="155">
        <f>DADOS!$AK$16-MAX(0,DADOS!$AK$13-10)-MAX(0,DADOS!$AK$14-0)</f>
        <v/>
      </c>
      <c r="AL28" s="41" t="n"/>
      <c r="AM28" s="41" t="n"/>
      <c r="AN28" s="41" t="n"/>
      <c r="AO28" s="41" t="n"/>
      <c r="AP28" s="41" t="n"/>
      <c r="AQ28" s="155" t="n">
        <v>25</v>
      </c>
      <c r="AR28" s="155" t="n">
        <v>22200</v>
      </c>
      <c r="AS28" s="41" t="n"/>
      <c r="AT28" s="41" t="n"/>
      <c r="AU28" s="41" t="n"/>
      <c r="AV28" s="41" t="n"/>
      <c r="AW28" s="41" t="n"/>
      <c r="AX28" s="41" t="n"/>
      <c r="AY28" s="41" t="n"/>
      <c r="AZ28" s="41" t="n"/>
      <c r="BA28" s="153" t="inlineStr">
        <is>
          <t>energia_delta</t>
        </is>
      </c>
      <c r="BB28" s="153">
        <f>ADDRESS(ROW(FICHA!AM30),COLUMN(FICHA!AM30),4)</f>
        <v/>
      </c>
      <c r="BD28" s="153" t="inlineStr">
        <is>
          <t>Maça</t>
        </is>
      </c>
      <c r="BE28" s="153" t="inlineStr">
        <is>
          <t>Massa</t>
        </is>
      </c>
      <c r="BF28" s="155" t="n">
        <v>1</v>
      </c>
      <c r="BG28" s="153" t="inlineStr">
        <is>
          <t>1d8</t>
        </is>
      </c>
      <c r="BH28" s="153" t="inlineStr">
        <is>
          <t>Talha</t>
        </is>
      </c>
      <c r="BI28" s="153" t="inlineStr">
        <is>
          <t>—</t>
        </is>
      </c>
      <c r="BJ28" s="155" t="n">
        <v>1</v>
      </c>
      <c r="BM28" s="155">
        <f>'FICHA PESSOAL'!$AM$60</f>
        <v/>
      </c>
      <c r="BN28" s="155">
        <f>ADDRESS(ROW('FICHA PESSOAL'!AM60),COLUMN('FICHA PESSOAL'!AM60),4)</f>
        <v/>
      </c>
      <c r="CY28" s="153" t="inlineStr">
        <is>
          <t>proteção do uniforme</t>
        </is>
      </c>
      <c r="CZ28" s="155">
        <f>IF(DADOS!$CZ$27=1,VLOOKUP('FICHA PESSOAL'!$AH$49,DADOS!$BX$5:$CD$10,2,FALSE),0)</f>
        <v/>
      </c>
    </row>
    <row r="29" ht="17.25" customHeight="1">
      <c r="A29" s="41" t="n"/>
      <c r="B29" s="41" t="n"/>
      <c r="C29" s="41" t="n"/>
      <c r="D29" s="41" t="n"/>
      <c r="E29" s="41" t="n"/>
      <c r="F29" s="153" t="inlineStr">
        <is>
          <t>Cerca</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3" t="inlineStr">
        <is>
          <t>Revestimento 3 + Broquel</t>
        </is>
      </c>
      <c r="AF29" s="155" t="n">
        <v>7</v>
      </c>
      <c r="AG29" s="155" t="n">
        <v>0</v>
      </c>
      <c r="AH29" s="155" t="inlineStr">
        <is>
          <t>sim</t>
        </is>
      </c>
      <c r="AI29" s="41" t="n"/>
      <c r="AJ29" s="153" t="inlineStr">
        <is>
          <t>testes treinados</t>
        </is>
      </c>
      <c r="AK29" s="155">
        <f>COUNTIF(FICHA!$AF$87:$AF$90,TRUE)</f>
        <v/>
      </c>
      <c r="AL29" s="41" t="n"/>
      <c r="AM29" s="41" t="n"/>
      <c r="AN29" s="41" t="n"/>
      <c r="AO29" s="41" t="n"/>
      <c r="AP29" s="41" t="n"/>
      <c r="AQ29" s="155" t="n">
        <v>26</v>
      </c>
      <c r="AR29" s="155" t="n">
        <v>23900</v>
      </c>
      <c r="AS29" s="41" t="n"/>
      <c r="AT29" s="41" t="n"/>
      <c r="AU29" s="41" t="n"/>
      <c r="AV29" s="41" t="n"/>
      <c r="AW29" s="41" t="n"/>
      <c r="AX29" s="41" t="n"/>
      <c r="AY29" s="41" t="n"/>
      <c r="AZ29" s="41" t="n"/>
      <c r="BA29" s="153" t="inlineStr">
        <is>
          <t>integridade</t>
        </is>
      </c>
      <c r="BB29" s="153">
        <f>ADDRESS(ROW(FICHA!D34),COLUMN(FICHA!D34),4)</f>
        <v/>
      </c>
      <c r="BD29" s="153" t="inlineStr">
        <is>
          <t>Machadinha</t>
        </is>
      </c>
      <c r="BE29" s="153" t="inlineStr">
        <is>
          <t>Machado</t>
        </is>
      </c>
      <c r="BF29" s="155" t="n">
        <v>1</v>
      </c>
      <c r="BG29" s="153" t="inlineStr">
        <is>
          <t>1d6</t>
        </is>
      </c>
      <c r="BH29" s="153" t="inlineStr">
        <is>
          <t>Longo Alcance · Rompe</t>
        </is>
      </c>
      <c r="BI29" s="153" t="inlineStr">
        <is>
          <t>—</t>
        </is>
      </c>
      <c r="BJ29" s="155" t="n">
        <v>0.5</v>
      </c>
      <c r="BK29" s="153" t="inlineStr">
        <is>
          <t>6 m, longa 18 m</t>
        </is>
      </c>
      <c r="BM29" s="155">
        <f>'FICHA PESSOAL'!$D$66</f>
        <v/>
      </c>
      <c r="BN29" s="155">
        <f>ADDRESS(ROW('FICHA PESSOAL'!D66),COLUMN('FICHA PESSOAL'!D66),4)</f>
        <v/>
      </c>
      <c r="CY29" s="153" t="inlineStr">
        <is>
          <t>teto do uniforme</t>
        </is>
      </c>
      <c r="CZ29" s="155">
        <f>IF(DADOS!$CZ$27=1,VLOOKUP('FICHA PESSOAL'!$AH$49,DADOS!$BX$5:$CD$10,3,FALSE),"")</f>
        <v/>
      </c>
    </row>
    <row r="30" ht="17.25" customHeight="1">
      <c r="A30" s="41" t="n"/>
      <c r="B30" s="41" t="n"/>
      <c r="C30" s="41" t="n"/>
      <c r="D30" s="41" t="n"/>
      <c r="E30" s="41" t="n"/>
      <c r="F30" s="153" t="inlineStr">
        <is>
          <t>Desarma o Feitiço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3" t="inlineStr">
        <is>
          <t>Revestimento 3 + Médio</t>
        </is>
      </c>
      <c r="AF30" s="155" t="n">
        <v>8</v>
      </c>
      <c r="AG30" s="155" t="n">
        <v>0</v>
      </c>
      <c r="AH30" s="155" t="inlineStr">
        <is>
          <t>sim</t>
        </is>
      </c>
      <c r="AI30" s="41" t="n"/>
      <c r="AJ30" s="153" t="inlineStr">
        <is>
          <t>sem energia</t>
        </is>
      </c>
      <c r="AK30" s="155">
        <f>IF(FICHA!$X$11="Restrição Celestial · sem energia",1,0)</f>
        <v/>
      </c>
      <c r="AL30" s="41" t="n"/>
      <c r="AM30" s="41" t="n"/>
      <c r="AN30" s="41" t="n"/>
      <c r="AO30" s="41" t="n"/>
      <c r="AP30" s="41" t="n"/>
      <c r="AQ30" s="155" t="n">
        <v>27</v>
      </c>
      <c r="AR30" s="155" t="n">
        <v>25600</v>
      </c>
      <c r="AS30" s="41" t="n"/>
      <c r="AT30" s="41" t="n"/>
      <c r="AU30" s="41" t="n"/>
      <c r="AV30" s="41" t="n"/>
      <c r="AW30" s="41" t="n"/>
      <c r="AX30" s="41" t="n"/>
      <c r="AY30" s="41" t="n"/>
      <c r="AZ30" s="41" t="n"/>
      <c r="BA30" s="153" t="inlineStr">
        <is>
          <t>integridade_max</t>
        </is>
      </c>
      <c r="BB30" s="153">
        <f>ADDRESS(ROW(FICHA!J34),COLUMN(FICHA!J34),4)</f>
        <v/>
      </c>
      <c r="BD30" s="153" t="inlineStr">
        <is>
          <t>Machado</t>
        </is>
      </c>
      <c r="BE30" s="153" t="inlineStr">
        <is>
          <t>Machado</t>
        </is>
      </c>
      <c r="BF30" s="155" t="n">
        <v>1</v>
      </c>
      <c r="BG30" s="153" t="inlineStr">
        <is>
          <t>1d8</t>
        </is>
      </c>
      <c r="BH30" s="153" t="inlineStr">
        <is>
          <t>Rompe</t>
        </is>
      </c>
      <c r="BI30" s="153" t="inlineStr">
        <is>
          <t>—</t>
        </is>
      </c>
      <c r="BJ30" s="155" t="n">
        <v>1</v>
      </c>
      <c r="BM30" s="155">
        <f>'FICHA PESSOAL'!$D$67</f>
        <v/>
      </c>
      <c r="BN30" s="155">
        <f>ADDRESS(ROW('FICHA PESSOAL'!D67),COLUMN('FICHA PESSOAL'!D67),4)</f>
        <v/>
      </c>
      <c r="CY30" s="153" t="inlineStr">
        <is>
          <t>força do uniforme</t>
        </is>
      </c>
      <c r="CZ30" s="155">
        <f>IF(DADOS!$CZ$27=1,VLOOKUP('FICHA PESSOAL'!$AH$49,DADOS!$BX$5:$CD$10,4,FALSE),0)</f>
        <v/>
      </c>
    </row>
    <row r="31" ht="17.25" customHeight="1">
      <c r="A31" s="41" t="n"/>
      <c r="B31" s="41" t="n"/>
      <c r="C31" s="41" t="n"/>
      <c r="D31" s="41" t="n"/>
      <c r="E31" s="41" t="n"/>
      <c r="F31" s="153" t="inlineStr">
        <is>
          <t>Anteparo</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3" t="inlineStr">
        <is>
          <t>Revestimento 3 + Torre</t>
        </is>
      </c>
      <c r="AF31" s="155" t="n">
        <v>9</v>
      </c>
      <c r="AG31" s="155" t="n">
        <v>0</v>
      </c>
      <c r="AH31" s="155" t="inlineStr">
        <is>
          <t>sim</t>
        </is>
      </c>
      <c r="AI31" s="41" t="n"/>
      <c r="AJ31" s="153" t="inlineStr">
        <is>
          <t>sem técnica</t>
        </is>
      </c>
      <c r="AK31" s="155">
        <f>IF(ISNUMBER(SEARCH(" · Sem Técnica",FICHA!$X$11)),1,0)</f>
        <v/>
      </c>
      <c r="AL31" s="41" t="n"/>
      <c r="AM31" s="41" t="n"/>
      <c r="AN31" s="41" t="n"/>
      <c r="AO31" s="41" t="n"/>
      <c r="AP31" s="41" t="n"/>
      <c r="AQ31" s="155" t="n">
        <v>28</v>
      </c>
      <c r="AR31" s="155" t="n">
        <v>27300</v>
      </c>
      <c r="AS31" s="41" t="n"/>
      <c r="AT31" s="41" t="n"/>
      <c r="AU31" s="41" t="n"/>
      <c r="AV31" s="41" t="n"/>
      <c r="AW31" s="41" t="n"/>
      <c r="AX31" s="41" t="n"/>
      <c r="AY31" s="41" t="n"/>
      <c r="AZ31" s="41" t="n"/>
      <c r="BA31" s="153" t="inlineStr">
        <is>
          <t>integridade_temp</t>
        </is>
      </c>
      <c r="BB31" s="153">
        <f>ADDRESS(ROW(FICHA!AF34),COLUMN(FICHA!AF34),4)</f>
        <v/>
      </c>
      <c r="BD31" s="153" t="inlineStr">
        <is>
          <t>Machado de Guerra</t>
        </is>
      </c>
      <c r="BE31" s="153" t="inlineStr">
        <is>
          <t>Machado</t>
        </is>
      </c>
      <c r="BF31" s="155" t="n">
        <v>2</v>
      </c>
      <c r="BG31" s="153" t="inlineStr">
        <is>
          <t>1d12</t>
        </is>
      </c>
      <c r="BH31" s="153" t="inlineStr">
        <is>
          <t>Rompe · Talha · Volumosa</t>
        </is>
      </c>
      <c r="BI31" s="155" t="n">
        <v>3</v>
      </c>
      <c r="BJ31" s="155" t="n">
        <v>2</v>
      </c>
      <c r="BM31" s="155">
        <f>'FICHA PESSOAL'!$D$68</f>
        <v/>
      </c>
      <c r="BN31" s="155">
        <f>ADDRESS(ROW('FICHA PESSOAL'!D68),COLUMN('FICHA PESSOAL'!D68),4)</f>
        <v/>
      </c>
      <c r="CY31" s="153" t="inlineStr">
        <is>
          <t>volume do uniforme</t>
        </is>
      </c>
      <c r="CZ31" s="155">
        <f>IF(DADOS!$CZ$27=1,VLOOKUP('FICHA PESSOAL'!$AH$49,DADOS!$BX$5:$CD$10,5,FALSE),0)</f>
        <v/>
      </c>
    </row>
    <row r="32" ht="17.25" customHeight="1">
      <c r="A32" s="41" t="n"/>
      <c r="B32" s="41" t="n"/>
      <c r="C32" s="41" t="n"/>
      <c r="D32" s="41" t="n"/>
      <c r="E32" s="41" t="n"/>
      <c r="F32" s="153" t="inlineStr">
        <is>
          <t>Prende</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3" t="inlineStr">
        <is>
          <t>técnica marcial</t>
        </is>
      </c>
      <c r="AK32" s="155">
        <f>IF(OR(FICHA!$X$11="Corpo Amaldiçoado",FICHA!$X$11="Restrição Celestial · sem energia"),1,0)</f>
        <v/>
      </c>
      <c r="AL32" s="41" t="n"/>
      <c r="AM32" s="41" t="n"/>
      <c r="AN32" s="41" t="n"/>
      <c r="AO32" s="41" t="n"/>
      <c r="AP32" s="41" t="n"/>
      <c r="AQ32" s="155" t="n">
        <v>29</v>
      </c>
      <c r="AR32" s="155" t="n">
        <v>29000</v>
      </c>
      <c r="AS32" s="41" t="n"/>
      <c r="AT32" s="41" t="n"/>
      <c r="AU32" s="41" t="n"/>
      <c r="AV32" s="41" t="n"/>
      <c r="AW32" s="41" t="n"/>
      <c r="AX32" s="41" t="n"/>
      <c r="AY32" s="41" t="n"/>
      <c r="AZ32" s="41" t="n"/>
      <c r="BA32" s="153" t="inlineStr">
        <is>
          <t>integridade_delta</t>
        </is>
      </c>
      <c r="BB32" s="153">
        <f>ADDRESS(ROW(FICHA!AM34),COLUMN(FICHA!AM34),4)</f>
        <v/>
      </c>
      <c r="BD32" s="153" t="inlineStr">
        <is>
          <t>Machete</t>
        </is>
      </c>
      <c r="BE32" s="153" t="inlineStr">
        <is>
          <t>Lâmina Longa</t>
        </is>
      </c>
      <c r="BF32" s="155" t="n">
        <v>1</v>
      </c>
      <c r="BG32" s="153" t="inlineStr">
        <is>
          <t>1d8</t>
        </is>
      </c>
      <c r="BH32" s="153" t="inlineStr">
        <is>
          <t>Rompe</t>
        </is>
      </c>
      <c r="BI32" s="153" t="inlineStr">
        <is>
          <t>—</t>
        </is>
      </c>
      <c r="BJ32" s="155" t="n">
        <v>0.5</v>
      </c>
      <c r="BM32" s="155">
        <f>'FICHA PESSOAL'!$D$60</f>
        <v/>
      </c>
      <c r="BN32" s="155">
        <f>ADDRESS(ROW('FICHA PESSOAL'!D60),COLUMN('FICHA PESSOAL'!D60),4)</f>
        <v/>
      </c>
      <c r="CY32" s="153" t="inlineStr">
        <is>
          <t>ordem do grau mínimo</t>
        </is>
      </c>
      <c r="CZ32" s="155">
        <f>IF(DADOS!$CZ$27=1,VLOOKUP('FICHA PESSOAL'!$AH$49,DADOS!$BX$5:$CD$10,6,FALSE),0)</f>
        <v/>
      </c>
    </row>
    <row r="33" ht="17.25" customHeight="1">
      <c r="A33" s="41" t="n"/>
      <c r="B33" s="41" t="n"/>
      <c r="C33" s="41" t="n"/>
      <c r="D33" s="41" t="n"/>
      <c r="E33" s="41" t="n"/>
      <c r="F33" s="153" t="inlineStr">
        <is>
          <t>Puxa</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3" t="inlineStr">
        <is>
          <t>refino escolhido</t>
        </is>
      </c>
      <c r="AK33" s="155">
        <f>MIN(IFERROR(VALUE(FICHA!$AO$48&amp;""),0),DADOS!$AK$5)</f>
        <v/>
      </c>
      <c r="AL33" s="41" t="n"/>
      <c r="AM33" s="41" t="n"/>
      <c r="AN33" s="41" t="n"/>
      <c r="AO33" s="41" t="n"/>
      <c r="AP33" s="41" t="n"/>
      <c r="AQ33" s="155" t="n">
        <v>30</v>
      </c>
      <c r="AR33" s="155" t="n">
        <v>30700</v>
      </c>
      <c r="AS33" s="41" t="n"/>
      <c r="AT33" s="41" t="n"/>
      <c r="AU33" s="41" t="n"/>
      <c r="AV33" s="41" t="n"/>
      <c r="AW33" s="41" t="n"/>
      <c r="AX33" s="41" t="n"/>
      <c r="AY33" s="41" t="n"/>
      <c r="AZ33" s="41" t="n"/>
      <c r="BA33" s="153" t="inlineStr">
        <is>
          <t>estagio_alma</t>
        </is>
      </c>
      <c r="BB33" s="153">
        <f>ADDRESS(ROW(FICHA!D37),COLUMN(FICHA!D37),4)</f>
        <v/>
      </c>
      <c r="BD33" s="153" t="inlineStr">
        <is>
          <t>Manriki</t>
        </is>
      </c>
      <c r="BE33" s="153" t="inlineStr">
        <is>
          <t>Flexível</t>
        </is>
      </c>
      <c r="BF33" s="155" t="n">
        <v>1</v>
      </c>
      <c r="BG33" s="153" t="inlineStr">
        <is>
          <t>1d6</t>
        </is>
      </c>
      <c r="BH33" s="153" t="inlineStr">
        <is>
          <t>Emaranha · Oculta · Leve</t>
        </is>
      </c>
      <c r="BI33" s="153" t="inlineStr">
        <is>
          <t>—</t>
        </is>
      </c>
      <c r="BJ33" s="155" t="n">
        <v>0.5</v>
      </c>
      <c r="BM33" s="155">
        <f>'FICHA PESSOAL'!$AE$65</f>
        <v/>
      </c>
      <c r="BN33" s="155">
        <f>ADDRESS(ROW('FICHA PESSOAL'!AE65),COLUMN('FICHA PESSOAL'!AE65),4)</f>
        <v/>
      </c>
      <c r="CY33" s="153" t="inlineStr">
        <is>
          <t>grau mínimo</t>
        </is>
      </c>
      <c r="CZ33" s="155">
        <f>IF(DADOS!$CZ$27=1,VLOOKUP('FICHA PESSOAL'!$AH$49,DADOS!$BX$5:$CD$10,7,FALSE),"")</f>
        <v/>
      </c>
    </row>
    <row r="34" ht="17.25" customHeight="1">
      <c r="A34" s="41" t="n"/>
      <c r="B34" s="41" t="n"/>
      <c r="C34" s="41" t="n"/>
      <c r="D34" s="41" t="n"/>
      <c r="E34" s="41" t="n"/>
      <c r="F34" s="153" t="inlineStr">
        <is>
          <t>Impulso</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3" t="inlineStr">
        <is>
          <t>refino atual</t>
        </is>
      </c>
      <c r="AK34" s="155">
        <f>MIN(10,FICHA!$O$65+DADOS!$AK$33)</f>
        <v/>
      </c>
      <c r="AL34" s="41" t="n"/>
      <c r="AM34" s="41" t="n"/>
      <c r="AN34" s="41" t="n"/>
      <c r="AO34" s="41" t="n"/>
      <c r="AP34" s="41" t="n"/>
      <c r="AQ34" s="41" t="n"/>
      <c r="AR34" s="41" t="n"/>
      <c r="AS34" s="41" t="n"/>
      <c r="AT34" s="41" t="n"/>
      <c r="AU34" s="41" t="n"/>
      <c r="AV34" s="41" t="n"/>
      <c r="AW34" s="41" t="n"/>
      <c r="AX34" s="41" t="n"/>
      <c r="AY34" s="41" t="n"/>
      <c r="AZ34" s="41" t="n"/>
      <c r="BA34" s="153" t="inlineStr">
        <is>
          <t>defesa</t>
        </is>
      </c>
      <c r="BB34" s="153">
        <f>ADDRESS(ROW(FICHA!D51),COLUMN(FICHA!D51),4)</f>
        <v/>
      </c>
      <c r="BD34" s="153" t="inlineStr">
        <is>
          <t>Marreta</t>
        </is>
      </c>
      <c r="BE34" s="153" t="inlineStr">
        <is>
          <t>Massa</t>
        </is>
      </c>
      <c r="BF34" s="155" t="n">
        <v>2</v>
      </c>
      <c r="BG34" s="153" t="inlineStr">
        <is>
          <t>1d10</t>
        </is>
      </c>
      <c r="BH34" s="153" t="inlineStr">
        <is>
          <t>Rompe · Talha</t>
        </is>
      </c>
      <c r="BI34" s="155" t="n">
        <v>3</v>
      </c>
      <c r="BJ34" s="155" t="n">
        <v>3</v>
      </c>
      <c r="BM34" s="155">
        <f>'FICHA PESSOAL'!$AM$58</f>
        <v/>
      </c>
      <c r="BN34" s="155">
        <f>ADDRESS(ROW('FICHA PESSOAL'!AM58),COLUMN('FICHA PESSOAL'!AM58),4)</f>
        <v/>
      </c>
      <c r="CY34" s="153" t="inlineStr">
        <is>
          <t>ordem do grau</t>
        </is>
      </c>
      <c r="CZ34" s="155">
        <f>IFERROR(VLOOKUP('FICHA PESSOAL'!$AB$11,DADOS!$CF$5:$CH$9,3,FALSE),1)</f>
        <v/>
      </c>
    </row>
    <row r="35" ht="17.25" customHeight="1">
      <c r="A35" s="41" t="n"/>
      <c r="B35" s="41" t="n"/>
      <c r="C35" s="41" t="n"/>
      <c r="D35" s="41" t="n"/>
      <c r="E35" s="41" t="n"/>
      <c r="F35" s="153" t="inlineStr">
        <is>
          <t>Trava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3" t="inlineStr">
        <is>
          <t>aptidões a mais no teto</t>
        </is>
      </c>
      <c r="AK35" s="155">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3" t="inlineStr">
        <is>
          <t>proteção</t>
        </is>
      </c>
      <c r="BB35" s="153">
        <f>ADDRESS(ROW(FICHA!O51),COLUMN(FICHA!O51),4)</f>
        <v/>
      </c>
      <c r="BD35" s="153" t="inlineStr">
        <is>
          <t>Maul</t>
        </is>
      </c>
      <c r="BE35" s="153" t="inlineStr">
        <is>
          <t>Massa</t>
        </is>
      </c>
      <c r="BF35" s="155" t="n">
        <v>2</v>
      </c>
      <c r="BG35" s="153" t="inlineStr">
        <is>
          <t>1d12</t>
        </is>
      </c>
      <c r="BH35" s="153" t="inlineStr">
        <is>
          <t>Rompe</t>
        </is>
      </c>
      <c r="BI35" s="155" t="n">
        <v>3</v>
      </c>
      <c r="BJ35" s="155" t="n">
        <v>3</v>
      </c>
      <c r="BM35" s="155">
        <f>'FICHA PESSOAL'!$AM$59</f>
        <v/>
      </c>
      <c r="BN35" s="155">
        <f>ADDRESS(ROW('FICHA PESSOAL'!AM59),COLUMN('FICHA PESSOAL'!AM59),4)</f>
        <v/>
      </c>
      <c r="CY35" s="153" t="inlineStr">
        <is>
          <t>uniforme liberado</t>
        </is>
      </c>
      <c r="CZ35" s="155">
        <f>IF(OR(DADOS!$CZ$27=0,DADOS!$CZ$34&gt;=DADOS!$CZ$32),1,0)</f>
        <v/>
      </c>
    </row>
    <row r="36" ht="17.25" customHeight="1">
      <c r="A36" s="41" t="n"/>
      <c r="B36" s="41" t="n"/>
      <c r="C36" s="41" t="n"/>
      <c r="D36" s="41" t="n"/>
      <c r="E36" s="41" t="n"/>
      <c r="F36" s="153" t="inlineStr">
        <is>
          <t>Abre Ferida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3" t="inlineStr">
        <is>
          <t>máximo de aptidões</t>
        </is>
      </c>
      <c r="AK36" s="155">
        <f>2+1*DADOS!$AK$31+DADOS!$AK$33+DADOS!$AK$35</f>
        <v/>
      </c>
      <c r="AL36" s="41" t="n"/>
      <c r="AM36" s="41" t="n"/>
      <c r="AN36" s="41" t="n"/>
      <c r="AO36" s="41" t="n"/>
      <c r="AP36" s="41" t="n"/>
      <c r="AQ36" s="41" t="n"/>
      <c r="AR36" s="41" t="n"/>
      <c r="AS36" s="41" t="n"/>
      <c r="AT36" s="41" t="n"/>
      <c r="AU36" s="41" t="n"/>
      <c r="AV36" s="41" t="n"/>
      <c r="AW36" s="41" t="n"/>
      <c r="AX36" s="41" t="n"/>
      <c r="AY36" s="41" t="n"/>
      <c r="AZ36" s="41" t="n"/>
      <c r="BA36" s="153" t="inlineStr">
        <is>
          <t>equipamento</t>
        </is>
      </c>
      <c r="BB36" s="153">
        <f>ADDRESS(ROW(FICHA!Z51),COLUMN(FICHA!Z51),4)</f>
        <v/>
      </c>
      <c r="BD36" s="153" t="inlineStr">
        <is>
          <t>Médio</t>
        </is>
      </c>
      <c r="BE36" s="153" t="inlineStr">
        <is>
          <t>Escudo</t>
        </is>
      </c>
      <c r="BF36" s="155" t="n">
        <v>1</v>
      </c>
      <c r="BG36" s="153" t="inlineStr">
        <is>
          <t>—</t>
        </is>
      </c>
      <c r="BH36" s="153" t="inlineStr">
        <is>
          <t>Proteção +2 · teto de Destreza 3</t>
        </is>
      </c>
      <c r="BI36" s="155" t="n">
        <v>3</v>
      </c>
      <c r="BJ36" s="155" t="n">
        <v>1</v>
      </c>
      <c r="BM36" s="155">
        <f>TRUE</f>
        <v/>
      </c>
      <c r="CY36" s="153" t="inlineStr">
        <is>
          <t>falta força na principal</t>
        </is>
      </c>
      <c r="CZ36" s="155">
        <f>IF(DADOS!$CZ$11&gt;DADOS!$CZ$5,1,0)</f>
        <v/>
      </c>
    </row>
    <row r="37" ht="17.25" customHeight="1">
      <c r="A37" s="41" t="n"/>
      <c r="B37" s="41" t="n"/>
      <c r="C37" s="41" t="n"/>
      <c r="D37" s="41" t="n"/>
      <c r="E37" s="41" t="n"/>
      <c r="F37" s="153" t="inlineStr">
        <is>
          <t>Sobrecarga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3" t="inlineStr">
        <is>
          <t>aptidões anotadas</t>
        </is>
      </c>
      <c r="AK37" s="155">
        <f>DADOS_AM!$HK$26</f>
        <v/>
      </c>
      <c r="AL37" s="41" t="n"/>
      <c r="AM37" s="41" t="n"/>
      <c r="AN37" s="41" t="n"/>
      <c r="AO37" s="41" t="n"/>
      <c r="AP37" s="41" t="n"/>
      <c r="AQ37" s="41" t="n"/>
      <c r="AR37" s="41" t="n"/>
      <c r="AS37" s="41" t="n"/>
      <c r="AT37" s="41" t="n"/>
      <c r="AU37" s="41" t="n"/>
      <c r="AV37" s="41" t="n"/>
      <c r="AW37" s="41" t="n"/>
      <c r="AX37" s="41" t="n"/>
      <c r="AY37" s="41" t="n"/>
      <c r="AZ37" s="41" t="n"/>
      <c r="BA37" s="153" t="inlineStr">
        <is>
          <t>iniciativa</t>
        </is>
      </c>
      <c r="BB37" s="153">
        <f>ADDRESS(ROW(FICHA!AK51),COLUMN(FICHA!AK51),4)</f>
        <v/>
      </c>
      <c r="BD37" s="153" t="inlineStr">
        <is>
          <t>Metralhadora Pesada</t>
        </is>
      </c>
      <c r="BE37" s="153" t="inlineStr">
        <is>
          <t>Arma de Fogo</t>
        </is>
      </c>
      <c r="BF37" s="155" t="n">
        <v>2</v>
      </c>
      <c r="BG37" s="153" t="inlineStr">
        <is>
          <t>2d10</t>
        </is>
      </c>
      <c r="BH37" s="153" t="inlineStr">
        <is>
          <t>Longo Alcance · Munição · Rompe · Volumosa</t>
        </is>
      </c>
      <c r="BI37" s="155" t="n">
        <v>3</v>
      </c>
      <c r="BJ37" s="155" t="n">
        <v>4</v>
      </c>
      <c r="BK37" s="153" t="inlineStr">
        <is>
          <t>24 m, longa 72 m</t>
        </is>
      </c>
      <c r="BL37" s="155" t="n">
        <v>4</v>
      </c>
      <c r="BM37" s="155">
        <f>'FICHA PESSOAL'!$M$58</f>
        <v/>
      </c>
      <c r="BN37" s="155">
        <f>ADDRESS(ROW('FICHA PESSOAL'!M58),COLUMN('FICHA PESSOAL'!M58),4)</f>
        <v/>
      </c>
      <c r="CY37" s="153" t="inlineStr">
        <is>
          <t>falta força na secundária</t>
        </is>
      </c>
      <c r="CZ37" s="155">
        <f>IF(AND(DADOS!$CZ$17=1,DADOS!$CZ$22&gt;DADOS!$CZ$5),1,0)</f>
        <v/>
      </c>
    </row>
    <row r="38" ht="17.25" customHeight="1">
      <c r="A38" s="41" t="n"/>
      <c r="B38" s="41" t="n"/>
      <c r="C38" s="41" t="n"/>
      <c r="D38" s="41" t="n"/>
      <c r="E38" s="41" t="n"/>
      <c r="F38" s="153" t="inlineStr">
        <is>
          <t>Firmeza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3" t="inlineStr">
        <is>
          <t>escolhas de Leque</t>
        </is>
      </c>
      <c r="AK38" s="155">
        <f>IFERROR(VALUE(FICHA!$AS$48&amp;""),0)</f>
        <v/>
      </c>
      <c r="AL38" s="41" t="n"/>
      <c r="AM38" s="41" t="n"/>
      <c r="AN38" s="41" t="n"/>
      <c r="AO38" s="41" t="n"/>
      <c r="AP38" s="41" t="n"/>
      <c r="AQ38" s="41" t="n"/>
      <c r="AR38" s="41" t="n"/>
      <c r="AS38" s="41" t="n"/>
      <c r="AT38" s="41" t="n"/>
      <c r="AU38" s="41" t="n"/>
      <c r="AV38" s="41" t="n"/>
      <c r="AW38" s="41" t="n"/>
      <c r="AX38" s="41" t="n"/>
      <c r="AY38" s="41" t="n"/>
      <c r="AZ38" s="41" t="n"/>
      <c r="BA38" s="153" t="inlineStr">
        <is>
          <t>cd de feitiço</t>
        </is>
      </c>
      <c r="BB38" s="153">
        <f>ADDRESS(ROW(FICHA!D55),COLUMN(FICHA!D55),4)</f>
        <v/>
      </c>
      <c r="BD38" s="153" t="inlineStr">
        <is>
          <t>Naginata</t>
        </is>
      </c>
      <c r="BE38" s="153" t="inlineStr">
        <is>
          <t>Armas Longas</t>
        </is>
      </c>
      <c r="BF38" s="155" t="n">
        <v>2</v>
      </c>
      <c r="BG38" s="153" t="inlineStr">
        <is>
          <t>1d10</t>
        </is>
      </c>
      <c r="BH38" s="153" t="inlineStr">
        <is>
          <t>Alcance · Rompe</t>
        </is>
      </c>
      <c r="BI38" s="155" t="n">
        <v>3</v>
      </c>
      <c r="BJ38" s="155" t="n">
        <v>2</v>
      </c>
      <c r="BM38" s="155">
        <f>'FICHA PESSOAL'!$AM$64</f>
        <v/>
      </c>
      <c r="BN38" s="155">
        <f>ADDRESS(ROW('FICHA PESSOAL'!AM64),COLUMN('FICHA PESSOAL'!AM64),4)</f>
        <v/>
      </c>
      <c r="CY38" s="153" t="inlineStr">
        <is>
          <t>falta força no uniforme</t>
        </is>
      </c>
      <c r="CZ38" s="155">
        <f>IF(AND(DADOS!$CZ$27=1,DADOS!$CZ$30&gt;DADOS!$CZ$5),1,0)</f>
        <v/>
      </c>
    </row>
    <row r="39" ht="17.25" customHeight="1">
      <c r="A39" s="41" t="n"/>
      <c r="B39" s="41" t="n"/>
      <c r="C39" s="41" t="n"/>
      <c r="D39" s="41" t="n"/>
      <c r="E39" s="41" t="n"/>
      <c r="F39" s="153" t="inlineStr">
        <is>
          <t>Guarda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3" t="inlineStr">
        <is>
          <t>Passivas do Leque anotadas</t>
        </is>
      </c>
      <c r="AK39" s="155">
        <f>DADOS_AM!$HK$25</f>
        <v/>
      </c>
      <c r="AL39" s="41" t="n"/>
      <c r="AM39" s="41" t="n"/>
      <c r="AN39" s="41" t="n"/>
      <c r="AO39" s="41" t="n"/>
      <c r="AP39" s="41" t="n"/>
      <c r="AQ39" s="41" t="n"/>
      <c r="AR39" s="41" t="n"/>
      <c r="AS39" s="41" t="n"/>
      <c r="AT39" s="41" t="n"/>
      <c r="AU39" s="41" t="n"/>
      <c r="AV39" s="41" t="n"/>
      <c r="AW39" s="41" t="n"/>
      <c r="AX39" s="41" t="n"/>
      <c r="AY39" s="41" t="n"/>
      <c r="AZ39" s="41" t="n"/>
      <c r="BA39" s="153" t="inlineStr">
        <is>
          <t>conjuração</t>
        </is>
      </c>
      <c r="BB39" s="153">
        <f>ADDRESS(ROW(FICHA!O55),COLUMN(FICHA!O55),4)</f>
        <v/>
      </c>
      <c r="BD39" s="153" t="inlineStr">
        <is>
          <t>Nodachi</t>
        </is>
      </c>
      <c r="BE39" s="153" t="inlineStr">
        <is>
          <t>Lâmina Longa</t>
        </is>
      </c>
      <c r="BF39" s="155" t="n">
        <v>2</v>
      </c>
      <c r="BG39" s="153" t="inlineStr">
        <is>
          <t>1d12</t>
        </is>
      </c>
      <c r="BH39" s="153" t="inlineStr">
        <is>
          <t>Alcance · Rompe · Volumosa</t>
        </is>
      </c>
      <c r="BI39" s="155" t="n">
        <v>3</v>
      </c>
      <c r="BJ39" s="155" t="n">
        <v>2</v>
      </c>
      <c r="BM39" s="155">
        <f>'FICHA PESSOAL'!$D$61</f>
        <v/>
      </c>
      <c r="BN39" s="155">
        <f>ADDRESS(ROW('FICHA PESSOAL'!D61),COLUMN('FICHA PESSOAL'!D61),4)</f>
        <v/>
      </c>
      <c r="CY39" s="153" t="inlineStr">
        <is>
          <t>volume guardado</t>
        </is>
      </c>
      <c r="CZ39" s="155">
        <f>SUM('FICHA PESSOAL'!$AG$77:$AG$84)+SUM('FICHA PESSOAL'!$V$89:$V$94)+SUM('FICHA PESSOAL'!$AR$89:$AR$94)</f>
        <v/>
      </c>
    </row>
    <row r="40" ht="17.25" customHeight="1">
      <c r="A40" s="41" t="n"/>
      <c r="B40" s="41" t="n"/>
      <c r="C40" s="41" t="n"/>
      <c r="D40" s="41" t="n"/>
      <c r="E40" s="41" t="n"/>
      <c r="F40" s="153" t="inlineStr">
        <is>
          <t>Pressa</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3" t="inlineStr">
        <is>
          <t>corpo a corpo</t>
        </is>
      </c>
      <c r="BB40" s="153">
        <f>ADDRESS(ROW(FICHA!Z55),COLUMN(FICHA!Z55),4)</f>
        <v/>
      </c>
      <c r="BD40" s="153" t="inlineStr">
        <is>
          <t>Nunchaku</t>
        </is>
      </c>
      <c r="BE40" s="153" t="inlineStr">
        <is>
          <t>Porrete</t>
        </is>
      </c>
      <c r="BF40" s="155" t="n">
        <v>1</v>
      </c>
      <c r="BG40" s="153" t="inlineStr">
        <is>
          <t>1d6</t>
        </is>
      </c>
      <c r="BH40" s="153" t="inlineStr">
        <is>
          <t>Par · Emaranha</t>
        </is>
      </c>
      <c r="BI40" s="153" t="inlineStr">
        <is>
          <t>—</t>
        </is>
      </c>
      <c r="BJ40" s="155" t="n">
        <v>0.5</v>
      </c>
      <c r="BM40" s="155">
        <f>'FICHA PESSOAL'!$V$60</f>
        <v/>
      </c>
      <c r="BN40" s="155">
        <f>ADDRESS(ROW('FICHA PESSOAL'!V60),COLUMN('FICHA PESSOAL'!V60),4)</f>
        <v/>
      </c>
      <c r="CY40" s="153" t="inlineStr">
        <is>
          <t>carga</t>
        </is>
      </c>
      <c r="CZ40" s="155">
        <f>ROUND(DADOS!$CZ$39+DADOS!$CZ$31,2)</f>
        <v/>
      </c>
    </row>
    <row r="41" ht="17.25" customHeight="1">
      <c r="A41" s="41" t="n"/>
      <c r="B41" s="41" t="n"/>
      <c r="C41" s="41" t="n"/>
      <c r="D41" s="41" t="n"/>
      <c r="E41" s="41" t="n"/>
      <c r="F41" s="153" t="inlineStr">
        <is>
          <t>Enfraquece</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3" t="inlineStr">
        <is>
          <t>à distância</t>
        </is>
      </c>
      <c r="BB41" s="153">
        <f>ADDRESS(ROW(FICHA!AK55),COLUMN(FICHA!AK55),4)</f>
        <v/>
      </c>
      <c r="BD41" s="153" t="inlineStr">
        <is>
          <t>Odachi</t>
        </is>
      </c>
      <c r="BE41" s="153" t="inlineStr">
        <is>
          <t>Lâmina Longa</t>
        </is>
      </c>
      <c r="BF41" s="155" t="n">
        <v>2</v>
      </c>
      <c r="BG41" s="153" t="inlineStr">
        <is>
          <t>1d12</t>
        </is>
      </c>
      <c r="BH41" s="153" t="inlineStr">
        <is>
          <t>Alcance · Talha · Embainhada</t>
        </is>
      </c>
      <c r="BI41" s="155" t="n">
        <v>3</v>
      </c>
      <c r="BJ41" s="155" t="n">
        <v>2</v>
      </c>
      <c r="BM41" s="155">
        <f>'FICHA PESSOAL'!$D$62</f>
        <v/>
      </c>
      <c r="BN41" s="155">
        <f>ADDRESS(ROW('FICHA PESSOAL'!D62),COLUMN('FICHA PESSOAL'!D62),4)</f>
        <v/>
      </c>
      <c r="CY41" s="153" t="inlineStr">
        <is>
          <t>limite de carga</t>
        </is>
      </c>
      <c r="CZ41" s="155">
        <f>5+DADOS!$CZ$5+N('FICHA PESSOAL'!$L$71)</f>
        <v/>
      </c>
    </row>
    <row r="42" ht="17.25" customHeight="1">
      <c r="A42" s="41" t="n"/>
      <c r="B42" s="41" t="n"/>
      <c r="C42" s="41" t="n"/>
      <c r="D42" s="41" t="n"/>
      <c r="E42" s="41" t="n"/>
      <c r="F42" s="153" t="inlineStr">
        <is>
          <t>Ecoa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3" t="inlineStr">
        <is>
          <t>maestria</t>
        </is>
      </c>
      <c r="BB42" s="153">
        <f>ADDRESS(ROW(FICHA!D59),COLUMN(FICHA!D59),4)</f>
        <v/>
      </c>
      <c r="BD42" s="153" t="inlineStr">
        <is>
          <t>Pistola</t>
        </is>
      </c>
      <c r="BE42" s="153" t="inlineStr">
        <is>
          <t>Arma de Fogo</t>
        </is>
      </c>
      <c r="BF42" s="155" t="n">
        <v>1</v>
      </c>
      <c r="BG42" s="153" t="inlineStr">
        <is>
          <t>1d10</t>
        </is>
      </c>
      <c r="BH42" s="153" t="inlineStr">
        <is>
          <t>Longo Alcance · Munição · Oculta · Leve</t>
        </is>
      </c>
      <c r="BI42" s="153" t="inlineStr">
        <is>
          <t>—</t>
        </is>
      </c>
      <c r="BJ42" s="155" t="n">
        <v>0.5</v>
      </c>
      <c r="BK42" s="153" t="inlineStr">
        <is>
          <t>9 m, longa 27 m</t>
        </is>
      </c>
      <c r="BL42" s="155" t="n">
        <v>2</v>
      </c>
      <c r="BM42" s="155">
        <f>'FICHA PESSOAL'!$M$59</f>
        <v/>
      </c>
      <c r="BN42" s="155">
        <f>ADDRESS(ROW('FICHA PESSOAL'!M59),COLUMN('FICHA PESSOAL'!M59),4)</f>
        <v/>
      </c>
      <c r="CY42" s="153" t="inlineStr">
        <is>
          <t>carga acima</t>
        </is>
      </c>
      <c r="CZ42" s="155">
        <f>IF(DADOS!$CZ$40&gt;DADOS!$CZ$41,1,0)</f>
        <v/>
      </c>
    </row>
    <row r="43" ht="17.25" customHeight="1">
      <c r="A43" s="41" t="n"/>
      <c r="B43" s="41" t="n"/>
      <c r="C43" s="41" t="n"/>
      <c r="D43" s="41" t="n"/>
      <c r="E43" s="41" t="n"/>
      <c r="F43" s="153" t="inlineStr">
        <is>
          <t>Queima</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3" t="inlineStr">
        <is>
          <t>deslocamento</t>
        </is>
      </c>
      <c r="BB43" s="153">
        <f>ADDRESS(ROW(FICHA!O59),COLUMN(FICHA!O59),4)</f>
        <v/>
      </c>
      <c r="BD43" s="153" t="inlineStr">
        <is>
          <t>Punhal</t>
        </is>
      </c>
      <c r="BE43" s="153" t="inlineStr">
        <is>
          <t>Lâmina Curta</t>
        </is>
      </c>
      <c r="BF43" s="155" t="n">
        <v>1</v>
      </c>
      <c r="BG43" s="153" t="inlineStr">
        <is>
          <t>1d6</t>
        </is>
      </c>
      <c r="BH43" s="153" t="inlineStr">
        <is>
          <t>Fineza · Longo Alcance · Leve</t>
        </is>
      </c>
      <c r="BI43" s="153" t="inlineStr">
        <is>
          <t>—</t>
        </is>
      </c>
      <c r="BJ43" s="155" t="n">
        <v>0.3</v>
      </c>
      <c r="BK43" s="153" t="inlineStr">
        <is>
          <t>6 m, longa 18 m</t>
        </is>
      </c>
      <c r="BM43" s="155">
        <f>'FICHA PESSOAL'!$AE$59</f>
        <v/>
      </c>
      <c r="BN43" s="155">
        <f>ADDRESS(ROW('FICHA PESSOAL'!AE59),COLUMN('FICHA PESSOAL'!AE59),4)</f>
        <v/>
      </c>
      <c r="CY43" s="153" t="inlineStr">
        <is>
          <t>arma sem força</t>
        </is>
      </c>
      <c r="CZ43" s="155">
        <f>IF(OR(DADOS!$CZ$36=1,AND(DADOS!$CZ$37=1,DADOS!$CZ$19=0)),1,0)</f>
        <v/>
      </c>
    </row>
    <row r="44" ht="17.25" customHeight="1">
      <c r="A44" s="41" t="n"/>
      <c r="B44" s="41" t="n"/>
      <c r="C44" s="41" t="n"/>
      <c r="D44" s="41" t="n"/>
      <c r="E44" s="41" t="n"/>
      <c r="F44" s="153" t="inlineStr">
        <is>
          <t>Acúmulo</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3" t="inlineStr">
        <is>
          <t>espaços de feitiço</t>
        </is>
      </c>
      <c r="BB44" s="153">
        <f>ADDRESS(ROW(FICHA!D65),COLUMN(FICHA!D65),4)</f>
        <v/>
      </c>
      <c r="BD44" s="153" t="inlineStr">
        <is>
          <t>Rapieira</t>
        </is>
      </c>
      <c r="BE44" s="153" t="inlineStr">
        <is>
          <t>Lâmina Longa</t>
        </is>
      </c>
      <c r="BF44" s="155" t="n">
        <v>1</v>
      </c>
      <c r="BG44" s="153" t="inlineStr">
        <is>
          <t>1d6</t>
        </is>
      </c>
      <c r="BH44" s="153" t="inlineStr">
        <is>
          <t>Fineza · Talha</t>
        </is>
      </c>
      <c r="BI44" s="153" t="inlineStr">
        <is>
          <t>—</t>
        </is>
      </c>
      <c r="BJ44" s="155" t="n">
        <v>1</v>
      </c>
      <c r="BM44" s="155">
        <f>'FICHA PESSOAL'!$D$63</f>
        <v/>
      </c>
      <c r="BN44" s="155">
        <f>ADDRESS(ROW('FICHA PESSOAL'!D63),COLUMN('FICHA PESSOAL'!D63),4)</f>
        <v/>
      </c>
      <c r="CY44" s="153" t="inlineStr">
        <is>
          <t>meia marcha</t>
        </is>
      </c>
      <c r="CZ44" s="155">
        <f>DADOS!$CZ$43</f>
        <v/>
      </c>
    </row>
    <row r="45" ht="17.25" customHeight="1">
      <c r="A45" s="41" t="n"/>
      <c r="B45" s="41" t="n"/>
      <c r="C45" s="41" t="n"/>
      <c r="D45" s="41" t="n"/>
      <c r="E45" s="41" t="n"/>
      <c r="F45" s="153" t="inlineStr">
        <is>
          <t>Remate</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3" t="inlineStr">
        <is>
          <t>refino de graça</t>
        </is>
      </c>
      <c r="BB45" s="153">
        <f>ADDRESS(ROW(FICHA!O65),COLUMN(FICHA!O65),4)</f>
        <v/>
      </c>
      <c r="BD45" s="153" t="inlineStr">
        <is>
          <t>Revólver</t>
        </is>
      </c>
      <c r="BE45" s="153" t="inlineStr">
        <is>
          <t>Arma de Fogo</t>
        </is>
      </c>
      <c r="BF45" s="155" t="n">
        <v>1</v>
      </c>
      <c r="BG45" s="153" t="inlineStr">
        <is>
          <t>1d10</t>
        </is>
      </c>
      <c r="BH45" s="153" t="inlineStr">
        <is>
          <t>Longo Alcance · Munição · Oculta · Leve</t>
        </is>
      </c>
      <c r="BI45" s="153" t="inlineStr">
        <is>
          <t>—</t>
        </is>
      </c>
      <c r="BJ45" s="155" t="n">
        <v>0.5</v>
      </c>
      <c r="BK45" s="153" t="inlineStr">
        <is>
          <t>12 m, longa 36 m</t>
        </is>
      </c>
      <c r="BL45" s="155" t="n">
        <v>2</v>
      </c>
      <c r="BM45" s="155">
        <f>'FICHA PESSOAL'!$M$60</f>
        <v/>
      </c>
      <c r="BN45" s="155">
        <f>ADDRESS(ROW('FICHA PESSOAL'!M60),COLUMN('FICHA PESSOAL'!M60),4)</f>
        <v/>
      </c>
      <c r="CY45" s="153" t="inlineStr">
        <is>
          <t>proteção sem força</t>
        </is>
      </c>
      <c r="CZ45" s="155">
        <f>IF(DADOS!$CZ$38=1,DADOS!$CZ$28,0)+IF(AND(DADOS!$CZ$37=1,DADOS!$CZ$19=1),IFERROR(VLOOKUP('FICHA PESSOAL'!$S$49,DADOS!$AE$5:$AF$31,2,FALSE),0),0)</f>
        <v/>
      </c>
    </row>
    <row r="46" ht="17.25" customHeight="1">
      <c r="A46" s="41" t="n"/>
      <c r="B46" s="41" t="n"/>
      <c r="C46" s="41" t="n"/>
      <c r="D46" s="41" t="n"/>
      <c r="E46" s="41" t="n"/>
      <c r="F46" s="153" t="inlineStr">
        <is>
          <t>Estilhaço</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3" t="inlineStr">
        <is>
          <t>classe máxima</t>
        </is>
      </c>
      <c r="BB46" s="153">
        <f>ADDRESS(ROW(FICHA!Z65),COLUMN(FICHA!Z65),4)</f>
        <v/>
      </c>
      <c r="BD46" s="153" t="inlineStr">
        <is>
          <t>Rifle</t>
        </is>
      </c>
      <c r="BE46" s="153" t="inlineStr">
        <is>
          <t>Arma de Fogo</t>
        </is>
      </c>
      <c r="BF46" s="155" t="n">
        <v>2</v>
      </c>
      <c r="BG46" s="153" t="inlineStr">
        <is>
          <t>2d8</t>
        </is>
      </c>
      <c r="BH46" s="153" t="inlineStr">
        <is>
          <t>Longo Alcance · Munição · Talha</t>
        </is>
      </c>
      <c r="BI46" s="155" t="n">
        <v>1</v>
      </c>
      <c r="BJ46" s="155" t="n">
        <v>2</v>
      </c>
      <c r="BK46" s="153" t="inlineStr">
        <is>
          <t>24 m, longa 72 m</t>
        </is>
      </c>
      <c r="BL46" s="155" t="n">
        <v>3</v>
      </c>
      <c r="BM46" s="155">
        <f>'FICHA PESSOAL'!$M$61</f>
        <v/>
      </c>
      <c r="BN46" s="155">
        <f>ADDRESS(ROW('FICHA PESSOAL'!M61),COLUMN('FICHA PESSOAL'!M61),4)</f>
        <v/>
      </c>
      <c r="CY46" s="153" t="inlineStr">
        <is>
          <t>parado pela carga</t>
        </is>
      </c>
      <c r="CZ46" s="155">
        <f>DADOS!$CZ$42</f>
        <v/>
      </c>
    </row>
    <row r="47" ht="17.25" customHeight="1">
      <c r="A47" s="41" t="n"/>
      <c r="B47" s="41" t="n"/>
      <c r="C47" s="41" t="n"/>
      <c r="D47" s="41" t="n"/>
      <c r="E47" s="41" t="n"/>
      <c r="F47" s="153" t="inlineStr">
        <is>
          <t>Quebra Coisa</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3" t="inlineStr">
        <is>
          <t>classe 0 grátis</t>
        </is>
      </c>
      <c r="BB47" s="153">
        <f>ADDRESS(ROW(FICHA!AK65),COLUMN(FICHA!AK65),4)</f>
        <v/>
      </c>
      <c r="BD47" s="153" t="inlineStr">
        <is>
          <t>Rifle de Precisão</t>
        </is>
      </c>
      <c r="BE47" s="153" t="inlineStr">
        <is>
          <t>Arma de Fogo</t>
        </is>
      </c>
      <c r="BF47" s="155" t="n">
        <v>2</v>
      </c>
      <c r="BG47" s="153" t="inlineStr">
        <is>
          <t>2d10</t>
        </is>
      </c>
      <c r="BH47" s="153" t="inlineStr">
        <is>
          <t>Longo Alcance · Munição</t>
        </is>
      </c>
      <c r="BI47" s="155" t="n">
        <v>3</v>
      </c>
      <c r="BJ47" s="155" t="n">
        <v>3</v>
      </c>
      <c r="BK47" s="153" t="inlineStr">
        <is>
          <t>24 m, longa 72 m</t>
        </is>
      </c>
      <c r="BL47" s="155" t="n">
        <v>2</v>
      </c>
      <c r="BM47" s="155">
        <f>'FICHA PESSOAL'!$M$62</f>
        <v/>
      </c>
      <c r="BN47" s="155">
        <f>ADDRESS(ROW('FICHA PESSOAL'!M62),COLUMN('FICHA PESSOAL'!M62),4)</f>
        <v/>
      </c>
      <c r="CY47" s="153" t="inlineStr">
        <is>
          <t>xp total</t>
        </is>
      </c>
      <c r="CZ47" s="155">
        <f>SUM('FICHA PESSOAL'!$BA$15:$BA$72)+SUM('FICHA PESSOAL'!$BG$15:$BG$72)+SUM('FICHA PESSOAL'!$BM$15:$BM$72)+SUM('FICHA PESSOAL'!$BS$15:$BS$72)</f>
        <v/>
      </c>
    </row>
    <row r="48" ht="17.25" customHeight="1">
      <c r="A48" s="41" t="n"/>
      <c r="B48" s="41" t="n"/>
      <c r="C48" s="41" t="n"/>
      <c r="D48" s="41" t="n"/>
      <c r="E48" s="41" t="n"/>
      <c r="F48" s="153" t="inlineStr">
        <is>
          <t>Rasga Escudo</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3" t="inlineStr">
        <is>
          <t>refino escolhido</t>
        </is>
      </c>
      <c r="BB48" s="153">
        <f>ADDRESS(ROW(FICHA!AO48),COLUMN(FICHA!AO48),4)</f>
        <v/>
      </c>
      <c r="BD48" s="153" t="inlineStr">
        <is>
          <t>Sai</t>
        </is>
      </c>
      <c r="BE48" s="153" t="inlineStr">
        <is>
          <t>Lâmina Curta</t>
        </is>
      </c>
      <c r="BF48" s="155" t="n">
        <v>1</v>
      </c>
      <c r="BG48" s="153" t="inlineStr">
        <is>
          <t>1d6</t>
        </is>
      </c>
      <c r="BH48" s="153" t="inlineStr">
        <is>
          <t>Fineza · Par · Leve</t>
        </is>
      </c>
      <c r="BI48" s="153" t="inlineStr">
        <is>
          <t>—</t>
        </is>
      </c>
      <c r="BJ48" s="155" t="n">
        <v>0.5</v>
      </c>
      <c r="BM48" s="155">
        <f>'FICHA PESSOAL'!$AE$60</f>
        <v/>
      </c>
      <c r="BN48" s="155">
        <f>ADDRESS(ROW('FICHA PESSOAL'!AE60),COLUMN('FICHA PESSOAL'!AE60),4)</f>
        <v/>
      </c>
      <c r="CY48" s="153" t="inlineStr">
        <is>
          <t>nível</t>
        </is>
      </c>
      <c r="CZ48" s="155">
        <f>N(FICHA!$AH$11)</f>
        <v/>
      </c>
    </row>
    <row r="49" ht="17.25" customHeight="1">
      <c r="A49" s="41" t="n"/>
      <c r="B49" s="41" t="n"/>
      <c r="C49" s="41" t="n"/>
      <c r="D49" s="41" t="n"/>
      <c r="E49" s="41" t="n"/>
      <c r="F49" s="153" t="inlineStr">
        <is>
          <t>Sem Cura</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3" t="inlineStr">
        <is>
          <t>marco corpo</t>
        </is>
      </c>
      <c r="BB49" s="153">
        <f>ADDRESS(ROW(FICHA!AQ48),COLUMN(FICHA!AQ48),4)</f>
        <v/>
      </c>
      <c r="BD49" s="153" t="inlineStr">
        <is>
          <t>Shuriken</t>
        </is>
      </c>
      <c r="BE49" s="153" t="inlineStr">
        <is>
          <t>Arremesso</t>
        </is>
      </c>
      <c r="BF49" s="155" t="n">
        <v>1</v>
      </c>
      <c r="BG49" s="153" t="inlineStr">
        <is>
          <t>1d4</t>
        </is>
      </c>
      <c r="BH49" s="153" t="inlineStr">
        <is>
          <t>Longo Alcance · Oculta · Par · Leve</t>
        </is>
      </c>
      <c r="BI49" s="153" t="inlineStr">
        <is>
          <t>—</t>
        </is>
      </c>
      <c r="BJ49" s="155" t="n">
        <v>0.1</v>
      </c>
      <c r="BK49" s="153" t="inlineStr">
        <is>
          <t>6 m, longa 18 m</t>
        </is>
      </c>
      <c r="BM49" s="155">
        <f>'FICHA PESSOAL'!$M$67</f>
        <v/>
      </c>
      <c r="BN49" s="155">
        <f>ADDRESS(ROW('FICHA PESSOAL'!M67),COLUMN('FICHA PESSOAL'!M67),4)</f>
        <v/>
      </c>
      <c r="CY49" s="153" t="inlineStr">
        <is>
          <t>xp do próximo nível</t>
        </is>
      </c>
      <c r="CZ49" s="155">
        <f>IFERROR(VLOOKUP(DADOS!$CZ$48+1,DADOS!$AQ$5:$AR$33,2,FALSE),"")</f>
        <v/>
      </c>
    </row>
    <row r="50" ht="17.25" customHeight="1">
      <c r="A50" s="41" t="n"/>
      <c r="B50" s="41" t="n"/>
      <c r="C50" s="41" t="n"/>
      <c r="D50" s="41" t="n"/>
      <c r="E50" s="41" t="n"/>
      <c r="F50" s="153" t="inlineStr">
        <is>
          <t>Rápido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3" t="inlineStr">
        <is>
          <t>marco leque</t>
        </is>
      </c>
      <c r="BB50" s="153">
        <f>ADDRESS(ROW(FICHA!AS48),COLUMN(FICHA!AS48),4)</f>
        <v/>
      </c>
      <c r="BD50" s="153" t="inlineStr">
        <is>
          <t>Soqueira</t>
        </is>
      </c>
      <c r="BE50" s="153" t="inlineStr">
        <is>
          <t>Manopla</t>
        </is>
      </c>
      <c r="BF50" s="155" t="n">
        <v>1</v>
      </c>
      <c r="BG50" s="153" t="inlineStr">
        <is>
          <t>1d4</t>
        </is>
      </c>
      <c r="BH50" s="153" t="inlineStr">
        <is>
          <t>Vestida · Oculta · Par · Leve</t>
        </is>
      </c>
      <c r="BI50" s="153" t="inlineStr">
        <is>
          <t>—</t>
        </is>
      </c>
      <c r="BJ50" s="155" t="n">
        <v>0.2</v>
      </c>
      <c r="BM50" s="155">
        <f>'FICHA PESSOAL'!$AE$67</f>
        <v/>
      </c>
      <c r="BN50" s="155">
        <f>ADDRESS(ROW('FICHA PESSOAL'!AE67),COLUMN('FICHA PESSOAL'!AE67),4)</f>
        <v/>
      </c>
      <c r="CY50" s="153" t="inlineStr">
        <is>
          <t>xp deste nível</t>
        </is>
      </c>
      <c r="CZ50" s="155">
        <f>IFERROR(VLOOKUP(DADOS!$CZ$48,DADOS!$AQ$5:$AR$33,2,FALSE),0)</f>
        <v/>
      </c>
    </row>
    <row r="51" ht="17.25" customHeight="1">
      <c r="A51" s="41" t="n"/>
      <c r="B51" s="41" t="n"/>
      <c r="C51" s="41" t="n"/>
      <c r="D51" s="41" t="n"/>
      <c r="E51" s="41" t="n"/>
      <c r="F51" s="153" t="inlineStr">
        <is>
          <t>Reação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3" t="inlineStr">
        <is>
          <t>marcos escolhidos</t>
        </is>
      </c>
      <c r="BB51" s="153">
        <f>ADDRESS(ROW(FICHA!AK48),COLUMN(FICHA!AK48),4)</f>
        <v/>
      </c>
      <c r="BD51" s="153" t="inlineStr">
        <is>
          <t>Submetralhadora</t>
        </is>
      </c>
      <c r="BE51" s="153" t="inlineStr">
        <is>
          <t>Arma de Fogo</t>
        </is>
      </c>
      <c r="BF51" s="155" t="n">
        <v>2</v>
      </c>
      <c r="BG51" s="153" t="inlineStr">
        <is>
          <t>2d6</t>
        </is>
      </c>
      <c r="BH51" s="153" t="inlineStr">
        <is>
          <t>Longo Alcance · Munição · Par · Oculta</t>
        </is>
      </c>
      <c r="BI51" s="153" t="inlineStr">
        <is>
          <t>—</t>
        </is>
      </c>
      <c r="BJ51" s="155" t="n">
        <v>2</v>
      </c>
      <c r="BK51" s="153" t="inlineStr">
        <is>
          <t>15 m, longa 45 m</t>
        </is>
      </c>
      <c r="BL51" s="155" t="n">
        <v>3</v>
      </c>
      <c r="BM51" s="155">
        <f>'FICHA PESSOAL'!$M$63</f>
        <v/>
      </c>
      <c r="BN51" s="155">
        <f>ADDRESS(ROW('FICHA PESSOAL'!M63),COLUMN('FICHA PESSOAL'!M63),4)</f>
        <v/>
      </c>
      <c r="CY51" s="153" t="inlineStr">
        <is>
          <t>cor da barra cheia</t>
        </is>
      </c>
      <c r="CZ51" s="155" t="inlineStr">
        <is>
          <t>#E8DCD4</t>
        </is>
      </c>
    </row>
    <row r="52" ht="17.25" customHeight="1">
      <c r="A52" s="41" t="n"/>
      <c r="B52" s="41" t="n"/>
      <c r="C52" s="41" t="n"/>
      <c r="D52" s="41" t="n"/>
      <c r="E52" s="41" t="n"/>
      <c r="F52" s="153" t="inlineStr">
        <is>
          <t>Armado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3" t="inlineStr">
        <is>
          <t>buff de vida</t>
        </is>
      </c>
      <c r="BB52" s="153">
        <f>ADDRESS(ROW(FICHA!P26),COLUMN(FICHA!P26),4)</f>
        <v/>
      </c>
      <c r="BD52" s="153" t="inlineStr">
        <is>
          <t>Taco</t>
        </is>
      </c>
      <c r="BE52" s="153" t="inlineStr">
        <is>
          <t>Massa</t>
        </is>
      </c>
      <c r="BF52" s="155" t="n">
        <v>1</v>
      </c>
      <c r="BG52" s="153" t="inlineStr">
        <is>
          <t>1d8</t>
        </is>
      </c>
      <c r="BH52" s="153" t="inlineStr">
        <is>
          <t>Versátil · Discreta</t>
        </is>
      </c>
      <c r="BI52" s="153" t="inlineStr">
        <is>
          <t>—</t>
        </is>
      </c>
      <c r="BJ52" s="155" t="n">
        <v>1</v>
      </c>
      <c r="BM52" s="155">
        <f>'FICHA PESSOAL'!$AM$61</f>
        <v/>
      </c>
      <c r="BN52" s="155">
        <f>ADDRESS(ROW('FICHA PESSOAL'!AM61),COLUMN('FICHA PESSOAL'!AM61),4)</f>
        <v/>
      </c>
    </row>
    <row r="53" ht="17.25" customHeight="1">
      <c r="A53" s="41" t="n"/>
      <c r="B53" s="41" t="n"/>
      <c r="C53" s="41" t="n"/>
      <c r="D53" s="41" t="n"/>
      <c r="E53" s="41" t="n"/>
      <c r="F53" s="153" t="inlineStr">
        <is>
          <t>Silencioso</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3" t="inlineStr">
        <is>
          <t>buff de energia</t>
        </is>
      </c>
      <c r="BB53" s="153">
        <f>ADDRESS(ROW(FICHA!P30),COLUMN(FICHA!P30),4)</f>
        <v/>
      </c>
      <c r="BD53" s="153" t="inlineStr">
        <is>
          <t>Tanto</t>
        </is>
      </c>
      <c r="BE53" s="153" t="inlineStr">
        <is>
          <t>Lâmina Curta</t>
        </is>
      </c>
      <c r="BF53" s="155" t="n">
        <v>1</v>
      </c>
      <c r="BG53" s="153" t="inlineStr">
        <is>
          <t>1d6</t>
        </is>
      </c>
      <c r="BH53" s="153" t="inlineStr">
        <is>
          <t>Fineza · Oculta · Leve</t>
        </is>
      </c>
      <c r="BI53" s="153" t="inlineStr">
        <is>
          <t>—</t>
        </is>
      </c>
      <c r="BJ53" s="155" t="n">
        <v>0.3</v>
      </c>
      <c r="BM53" s="155">
        <f>'FICHA PESSOAL'!$AE$61</f>
        <v/>
      </c>
      <c r="BN53" s="155">
        <f>ADDRESS(ROW('FICHA PESSOAL'!AE61),COLUMN('FICHA PESSOAL'!AE61),4)</f>
        <v/>
      </c>
    </row>
    <row r="54" ht="17.25" customHeight="1">
      <c r="A54" s="41" t="n"/>
      <c r="B54" s="41" t="n"/>
      <c r="C54" s="41" t="n"/>
      <c r="D54" s="41" t="n"/>
      <c r="E54" s="41" t="n"/>
      <c r="F54" s="153" t="inlineStr">
        <is>
          <t>Adianta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3" t="inlineStr">
        <is>
          <t>buff de integridade</t>
        </is>
      </c>
      <c r="BB54" s="153">
        <f>ADDRESS(ROW(FICHA!P34),COLUMN(FICHA!P34),4)</f>
        <v/>
      </c>
      <c r="BD54" s="153" t="inlineStr">
        <is>
          <t>Tekko</t>
        </is>
      </c>
      <c r="BE54" s="153" t="inlineStr">
        <is>
          <t>Manopla</t>
        </is>
      </c>
      <c r="BF54" s="155" t="n">
        <v>1</v>
      </c>
      <c r="BG54" s="153" t="inlineStr">
        <is>
          <t>1d4</t>
        </is>
      </c>
      <c r="BH54" s="153" t="inlineStr">
        <is>
          <t>Vestida · Par · Oculta · Leve</t>
        </is>
      </c>
      <c r="BI54" s="153" t="inlineStr">
        <is>
          <t>—</t>
        </is>
      </c>
      <c r="BJ54" s="155" t="n">
        <v>0.2</v>
      </c>
      <c r="BM54" s="155">
        <f>'FICHA PESSOAL'!$AE$68</f>
        <v/>
      </c>
      <c r="BN54" s="155">
        <f>ADDRESS(ROW('FICHA PESSOAL'!AE68),COLUMN('FICHA PESSOAL'!AE68),4)</f>
        <v/>
      </c>
    </row>
    <row r="55" ht="17.25" customHeight="1">
      <c r="A55" s="41" t="n"/>
      <c r="B55" s="41" t="n"/>
      <c r="C55" s="41" t="n"/>
      <c r="D55" s="41" t="n"/>
      <c r="E55" s="41" t="n"/>
      <c r="F55" s="153" t="inlineStr">
        <is>
          <t>Segura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3" t="inlineStr">
        <is>
          <t>buff de defesa</t>
        </is>
      </c>
      <c r="BB55" s="153">
        <f>ADDRESS(ROW(FICHA!L51),COLUMN(FICHA!L51),4)</f>
        <v/>
      </c>
      <c r="BD55" s="153" t="inlineStr">
        <is>
          <t>Tessen</t>
        </is>
      </c>
      <c r="BE55" s="153" t="inlineStr">
        <is>
          <t>Arremesso</t>
        </is>
      </c>
      <c r="BF55" s="155" t="n">
        <v>1</v>
      </c>
      <c r="BG55" s="153" t="inlineStr">
        <is>
          <t>1d4</t>
        </is>
      </c>
      <c r="BH55" s="153" t="inlineStr">
        <is>
          <t>Longo Alcance · Oculta · Vestida · Leve</t>
        </is>
      </c>
      <c r="BI55" s="153" t="inlineStr">
        <is>
          <t>—</t>
        </is>
      </c>
      <c r="BJ55" s="155" t="n">
        <v>0.3</v>
      </c>
      <c r="BK55" s="153" t="inlineStr">
        <is>
          <t>6 m, longa 18 m</t>
        </is>
      </c>
      <c r="BM55" s="155">
        <f>'FICHA PESSOAL'!$M$68</f>
        <v/>
      </c>
      <c r="BN55" s="155">
        <f>ADDRESS(ROW('FICHA PESSOAL'!M68),COLUMN('FICHA PESSOAL'!M68),4)</f>
        <v/>
      </c>
    </row>
    <row r="56" ht="17.25" customHeight="1">
      <c r="A56" s="41" t="n"/>
      <c r="B56" s="41" t="n"/>
      <c r="C56" s="41" t="n"/>
      <c r="D56" s="41" t="n"/>
      <c r="E56" s="41" t="n"/>
      <c r="F56" s="153" t="inlineStr">
        <is>
          <t>Concentrada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3" t="inlineStr">
        <is>
          <t>buff de proteção</t>
        </is>
      </c>
      <c r="BB56" s="153">
        <f>ADDRESS(ROW(FICHA!W51),COLUMN(FICHA!W51),4)</f>
        <v/>
      </c>
      <c r="BD56" s="153" t="inlineStr">
        <is>
          <t>Tonfa</t>
        </is>
      </c>
      <c r="BE56" s="153" t="inlineStr">
        <is>
          <t>Porrete</t>
        </is>
      </c>
      <c r="BF56" s="155" t="n">
        <v>1</v>
      </c>
      <c r="BG56" s="153" t="inlineStr">
        <is>
          <t>1d6</t>
        </is>
      </c>
      <c r="BH56" s="153" t="inlineStr">
        <is>
          <t>Par · Vestida · Leve</t>
        </is>
      </c>
      <c r="BI56" s="153" t="inlineStr">
        <is>
          <t>—</t>
        </is>
      </c>
      <c r="BJ56" s="155" t="n">
        <v>0.5</v>
      </c>
      <c r="BM56" s="155">
        <f>'FICHA PESSOAL'!$V$61</f>
        <v/>
      </c>
      <c r="BN56" s="155">
        <f>ADDRESS(ROW('FICHA PESSOAL'!V61),COLUMN('FICHA PESSOAL'!V61),4)</f>
        <v/>
      </c>
    </row>
    <row r="57" ht="17.25" customHeight="1">
      <c r="A57" s="41" t="n"/>
      <c r="B57" s="41" t="n"/>
      <c r="C57" s="41" t="n"/>
      <c r="D57" s="41" t="n"/>
      <c r="E57" s="41" t="n"/>
      <c r="F57" s="153" t="inlineStr">
        <is>
          <t>Duradoura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3" t="inlineStr">
        <is>
          <t>buff de iniciativa</t>
        </is>
      </c>
      <c r="BB57" s="153">
        <f>ADDRESS(ROW(FICHA!AS51),COLUMN(FICHA!AS51),4)</f>
        <v/>
      </c>
      <c r="BD57" s="153" t="inlineStr">
        <is>
          <t>Torre</t>
        </is>
      </c>
      <c r="BE57" s="153" t="inlineStr">
        <is>
          <t>Escudo</t>
        </is>
      </c>
      <c r="BF57" s="155" t="n">
        <v>1</v>
      </c>
      <c r="BG57" s="153" t="inlineStr">
        <is>
          <t>—</t>
        </is>
      </c>
      <c r="BH57" s="153" t="inlineStr">
        <is>
          <t>Proteção +3 · teto de Destreza 1</t>
        </is>
      </c>
      <c r="BI57" s="155" t="n">
        <v>5</v>
      </c>
      <c r="BJ57" s="155" t="n">
        <v>2</v>
      </c>
      <c r="BM57" s="155">
        <f>TRUE</f>
        <v/>
      </c>
    </row>
    <row r="58" ht="17.25" customHeight="1">
      <c r="A58" s="41" t="n"/>
      <c r="B58" s="41" t="n"/>
      <c r="C58" s="41" t="n"/>
      <c r="D58" s="41" t="n"/>
      <c r="E58" s="41" t="n"/>
      <c r="F58" s="153" t="inlineStr">
        <is>
          <t>Marca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3" t="inlineStr">
        <is>
          <t>buff de cd de feitiço</t>
        </is>
      </c>
      <c r="BB58" s="153">
        <f>ADDRESS(ROW(FICHA!L55),COLUMN(FICHA!L55),4)</f>
        <v/>
      </c>
      <c r="BD58" s="153" t="inlineStr">
        <is>
          <t>Wakizashi</t>
        </is>
      </c>
      <c r="BE58" s="153" t="inlineStr">
        <is>
          <t>Lâmina Longa</t>
        </is>
      </c>
      <c r="BF58" s="155" t="n">
        <v>1</v>
      </c>
      <c r="BG58" s="153" t="inlineStr">
        <is>
          <t>1d8</t>
        </is>
      </c>
      <c r="BH58" s="153" t="inlineStr">
        <is>
          <t>Oculta · Leve</t>
        </is>
      </c>
      <c r="BI58" s="153" t="inlineStr">
        <is>
          <t>—</t>
        </is>
      </c>
      <c r="BJ58" s="155" t="n">
        <v>0.5</v>
      </c>
      <c r="BM58" s="155">
        <f>'FICHA PESSOAL'!$D$64</f>
        <v/>
      </c>
      <c r="BN58" s="155">
        <f>ADDRESS(ROW('FICHA PESSOAL'!D64),COLUMN('FICHA PESSOAL'!D64),4)</f>
        <v/>
      </c>
    </row>
    <row r="59" ht="17.25" customHeight="1">
      <c r="A59" s="41" t="n"/>
      <c r="B59" s="41" t="n"/>
      <c r="C59" s="41" t="n"/>
      <c r="D59" s="41" t="n"/>
      <c r="E59" s="41" t="n"/>
      <c r="F59" s="153" t="inlineStr">
        <is>
          <t>Alvo de Caça</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3" t="inlineStr">
        <is>
          <t>buff de conjuração</t>
        </is>
      </c>
      <c r="BB59" s="153">
        <f>ADDRESS(ROW(FICHA!W55),COLUMN(FICHA!W55),4)</f>
        <v/>
      </c>
      <c r="BD59" s="153" t="inlineStr">
        <is>
          <t>Yari</t>
        </is>
      </c>
      <c r="BE59" s="153" t="inlineStr">
        <is>
          <t>Armas Longas</t>
        </is>
      </c>
      <c r="BF59" s="155" t="n">
        <v>2</v>
      </c>
      <c r="BG59" s="153" t="inlineStr">
        <is>
          <t>1d10</t>
        </is>
      </c>
      <c r="BH59" s="153" t="inlineStr">
        <is>
          <t>Alcance · Talha</t>
        </is>
      </c>
      <c r="BI59" s="155" t="n">
        <v>3</v>
      </c>
      <c r="BJ59" s="155" t="n">
        <v>2</v>
      </c>
      <c r="BM59" s="155">
        <f>'FICHA PESSOAL'!$AM$65</f>
        <v/>
      </c>
      <c r="BN59" s="155">
        <f>ADDRESS(ROW('FICHA PESSOAL'!AM65),COLUMN('FICHA PESSOAL'!AM65),4)</f>
        <v/>
      </c>
    </row>
    <row r="60" ht="17.25" customHeight="1">
      <c r="A60" s="41" t="n"/>
      <c r="B60" s="41" t="n"/>
      <c r="C60" s="41" t="n"/>
      <c r="D60" s="41" t="n"/>
      <c r="E60" s="41" t="n"/>
      <c r="F60" s="153" t="inlineStr">
        <is>
          <t>Rastro</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3" t="inlineStr">
        <is>
          <t>buff de corpo a corpo</t>
        </is>
      </c>
      <c r="BB60" s="153">
        <f>ADDRESS(ROW(FICHA!AH55),COLUMN(FICHA!AH55),4)</f>
        <v/>
      </c>
    </row>
    <row r="61" ht="17.25" customHeight="1">
      <c r="A61" s="41" t="n"/>
      <c r="B61" s="41" t="n"/>
      <c r="C61" s="41" t="n"/>
      <c r="D61" s="41" t="n"/>
      <c r="E61" s="41" t="n"/>
      <c r="F61" s="153" t="inlineStr">
        <is>
          <t>Isca</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3" t="inlineStr">
        <is>
          <t>buff de à distância</t>
        </is>
      </c>
      <c r="BB61" s="153">
        <f>ADDRESS(ROW(FICHA!AS55),COLUMN(FICHA!AS55),4)</f>
        <v/>
      </c>
    </row>
    <row r="62" ht="17.25" customHeight="1">
      <c r="A62" s="41" t="n"/>
      <c r="B62" s="41" t="n"/>
      <c r="C62" s="41" t="n"/>
      <c r="D62" s="41" t="n"/>
      <c r="E62" s="41" t="n"/>
      <c r="F62" s="153" t="inlineStr">
        <is>
          <t>Sugar</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3" t="inlineStr">
        <is>
          <t>buff de deslocamento</t>
        </is>
      </c>
      <c r="BB62" s="153">
        <f>ADDRESS(ROW(FICHA!W59),COLUMN(FICHA!W59),4)</f>
        <v/>
      </c>
    </row>
    <row r="63" ht="17.25" customHeight="1">
      <c r="A63" s="41" t="n"/>
      <c r="B63" s="41" t="n"/>
      <c r="C63" s="41" t="n"/>
      <c r="D63" s="41" t="n"/>
      <c r="E63" s="41" t="n"/>
      <c r="F63" s="153" t="inlineStr">
        <is>
          <t>Cobrança</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3" t="inlineStr">
        <is>
          <t>corpo_Força</t>
        </is>
      </c>
      <c r="BB63" s="153">
        <f>ADDRESS(ROW(FICHA!AK15),COLUMN(FICHA!AK15),4)</f>
        <v/>
      </c>
    </row>
    <row r="64" ht="17.25" customHeight="1">
      <c r="A64" s="41" t="n"/>
      <c r="B64" s="41" t="n"/>
      <c r="C64" s="41" t="n"/>
      <c r="D64" s="41" t="n"/>
      <c r="E64" s="41" t="n"/>
      <c r="F64" s="153" t="inlineStr">
        <is>
          <t>Identificar Feitiço</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3" t="inlineStr">
        <is>
          <t>corpo_Destreza</t>
        </is>
      </c>
      <c r="BB64" s="153">
        <f>ADDRESS(ROW(FICHA!AM15),COLUMN(FICHA!AM15),4)</f>
        <v/>
      </c>
    </row>
    <row r="65" ht="17.25" customHeight="1">
      <c r="A65" s="41" t="n"/>
      <c r="B65" s="41" t="n"/>
      <c r="C65" s="41" t="n"/>
      <c r="D65" s="41" t="n"/>
      <c r="E65" s="41" t="n"/>
      <c r="F65" s="153" t="inlineStr">
        <is>
          <t>Limpa</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3" t="inlineStr">
        <is>
          <t>corpo_Constituição</t>
        </is>
      </c>
      <c r="BB65" s="153">
        <f>ADDRESS(ROW(FICHA!AO15),COLUMN(FICHA!AO15),4)</f>
        <v/>
      </c>
    </row>
    <row r="66" ht="17.25" customHeight="1">
      <c r="A66" s="41" t="n"/>
      <c r="B66" s="41" t="n"/>
      <c r="C66" s="41" t="n"/>
      <c r="D66" s="41" t="n"/>
      <c r="E66" s="41" t="n"/>
      <c r="F66" s="153" t="inlineStr">
        <is>
          <t>Limpa Fundo</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3" t="inlineStr">
        <is>
          <t>corpo_Inteligência</t>
        </is>
      </c>
      <c r="BB66" s="153">
        <f>ADDRESS(ROW(FICHA!AQ15),COLUMN(FICHA!AQ15),4)</f>
        <v/>
      </c>
    </row>
    <row r="67" ht="17.25" customHeight="1">
      <c r="A67" s="41" t="n"/>
      <c r="B67" s="41" t="n"/>
      <c r="C67" s="41" t="n"/>
      <c r="D67" s="41" t="n"/>
      <c r="E67" s="41" t="n"/>
      <c r="F67" s="153" t="inlineStr">
        <is>
          <t>Levanta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3" t="inlineStr">
        <is>
          <t>corpo_Essência</t>
        </is>
      </c>
      <c r="BB67" s="153">
        <f>ADDRESS(ROW(FICHA!AS15),COLUMN(FICHA!AS15),4)</f>
        <v/>
      </c>
    </row>
    <row r="68" ht="17.25" customHeight="1">
      <c r="A68" s="41" t="n"/>
      <c r="B68" s="41" t="n"/>
      <c r="C68" s="41" t="n"/>
      <c r="D68" s="41" t="n"/>
      <c r="E68" s="41" t="n"/>
      <c r="F68" s="153" t="inlineStr">
        <is>
          <t>Remenda</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3" t="inlineStr">
        <is>
          <t>pontos de corpo</t>
        </is>
      </c>
      <c r="BB68" s="153">
        <f>ADDRESS(ROW(FICHA!AK14),COLUMN(FICHA!AK14),4)</f>
        <v/>
      </c>
    </row>
    <row r="69" ht="17.25" customHeight="1">
      <c r="A69" s="41" t="n"/>
      <c r="B69" s="41" t="n"/>
      <c r="C69" s="41" t="n"/>
      <c r="D69" s="41" t="n"/>
      <c r="E69" s="41" t="n"/>
      <c r="F69" s="153" t="inlineStr">
        <is>
          <t>Divide</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3" t="inlineStr">
        <is>
          <t>pontos disponíveis</t>
        </is>
      </c>
      <c r="BB69" s="153">
        <f>ADDRESS(ROW(FICHA!Z15),COLUMN(FICHA!Z15),4)</f>
        <v/>
      </c>
    </row>
    <row r="70">
      <c r="A70" s="41" t="n"/>
      <c r="B70" s="41" t="n"/>
      <c r="C70" s="41" t="n"/>
      <c r="D70" s="41" t="n"/>
      <c r="E70" s="41" t="n"/>
      <c r="F70" s="41" t="inlineStr">
        <is>
          <t>Junto</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3" t="inlineStr">
        <is>
          <t>perícias disponíveis</t>
        </is>
      </c>
      <c r="BB70" s="153">
        <f>ADDRESS(ROW(FICHA!AK81),COLUMN(FICHA!AK81),4)</f>
        <v/>
      </c>
    </row>
    <row r="71">
      <c r="A71" s="41" t="n"/>
      <c r="B71" s="41" t="n"/>
      <c r="C71" s="41" t="n"/>
      <c r="D71" s="41" t="n"/>
      <c r="E71" s="41" t="n"/>
      <c r="F71" s="41" t="inlineStr">
        <is>
          <t>Reserva</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3" t="inlineStr">
        <is>
          <t>ofícios disponíveis</t>
        </is>
      </c>
      <c r="BB71" s="153">
        <f>ADDRESS(ROW(FICHA!AF93),COLUMN(FICHA!AF93),4)</f>
        <v/>
      </c>
    </row>
    <row r="72">
      <c r="A72" s="41" t="n"/>
      <c r="B72" s="41" t="n"/>
      <c r="C72" s="41" t="n"/>
      <c r="D72" s="41" t="n"/>
      <c r="E72" s="41" t="n"/>
      <c r="F72" s="41" t="inlineStr">
        <is>
          <t>Efeito Próprio</t>
        </is>
      </c>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3" t="inlineStr">
        <is>
          <t>testes disponíveis</t>
        </is>
      </c>
      <c r="BB72" s="153">
        <f>ADDRESS(ROW(FICHA!AN93),COLUMN(FICHA!AN93),4)</f>
        <v/>
      </c>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3" t="inlineStr">
        <is>
          <t>escolhas de perícia</t>
        </is>
      </c>
      <c r="BB73" s="153">
        <f>ADDRESS(ROW(FICHA!AK84),COLUMN(FICHA!AK84),4)</f>
        <v/>
      </c>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3" t="n"/>
      <c r="BB74" s="153" t="n"/>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3" t="n"/>
      <c r="BB75" s="153" t="n"/>
    </row>
    <row r="76">
      <c r="A76" s="153" t="n"/>
      <c r="B76" s="153" t="n"/>
      <c r="C76" s="153" t="n"/>
      <c r="D76" s="153" t="n"/>
      <c r="E76" s="153" t="n"/>
      <c r="F76" s="153" t="n"/>
      <c r="G76" s="153" t="n"/>
      <c r="H76" s="153" t="n"/>
      <c r="I76" s="153" t="n"/>
      <c r="J76" s="153" t="n"/>
      <c r="K76" s="153" t="n"/>
      <c r="L76" s="153" t="n"/>
      <c r="M76" s="153" t="n"/>
      <c r="N76" s="153" t="n"/>
      <c r="O76" s="153" t="n"/>
      <c r="P76" s="153" t="n"/>
      <c r="Q76" s="153" t="n"/>
      <c r="R76" s="153" t="n"/>
      <c r="S76" s="153" t="n"/>
      <c r="T76" s="153" t="n"/>
      <c r="U76" s="153" t="n"/>
      <c r="V76" s="153" t="n"/>
      <c r="W76" s="153" t="n"/>
      <c r="X76" s="153" t="n"/>
      <c r="Y76" s="153" t="n"/>
      <c r="Z76" s="153" t="n"/>
      <c r="AA76" s="153" t="n"/>
      <c r="AB76" s="153" t="n"/>
      <c r="AC76" s="153" t="n"/>
      <c r="AD76" s="153" t="n"/>
      <c r="AE76" s="153" t="n"/>
      <c r="AF76" s="153" t="n"/>
      <c r="AG76" s="153" t="n"/>
      <c r="AH76" s="153" t="n"/>
      <c r="AI76" s="153" t="n"/>
      <c r="AJ76" s="153" t="n"/>
      <c r="AK76" s="153" t="n"/>
      <c r="AL76" s="153" t="n"/>
      <c r="AM76" s="153" t="n"/>
      <c r="AN76" s="153" t="n"/>
      <c r="AO76" s="153" t="n"/>
      <c r="AP76" s="153" t="n"/>
      <c r="AQ76" s="153" t="n"/>
      <c r="AR76" s="153" t="n"/>
      <c r="AS76" s="153" t="n"/>
      <c r="AT76" s="153" t="n"/>
      <c r="AU76" s="153" t="n"/>
      <c r="AV76" s="153" t="n"/>
      <c r="AW76" s="153" t="n"/>
      <c r="AX76" s="153" t="n"/>
      <c r="AY76" s="153" t="n"/>
      <c r="AZ76" s="153" t="n"/>
      <c r="BA76" s="153" t="n"/>
      <c r="BB76" s="153" t="n"/>
    </row>
    <row r="77">
      <c r="A77" s="153" t="n"/>
      <c r="B77" s="153" t="n"/>
      <c r="C77" s="153" t="n"/>
      <c r="D77" s="153" t="n"/>
      <c r="E77" s="153" t="n"/>
      <c r="F77" s="153" t="n"/>
      <c r="G77" s="153" t="n"/>
      <c r="H77" s="153" t="n"/>
      <c r="I77" s="153" t="n"/>
      <c r="J77" s="153" t="n"/>
      <c r="K77" s="153" t="n"/>
      <c r="L77" s="153" t="n"/>
      <c r="M77" s="153" t="n"/>
      <c r="N77" s="153" t="n"/>
      <c r="O77" s="153" t="n"/>
      <c r="P77" s="153" t="n"/>
      <c r="Q77" s="153" t="n"/>
      <c r="R77" s="153" t="n"/>
      <c r="S77" s="153" t="n"/>
      <c r="T77" s="153" t="n"/>
      <c r="U77" s="153" t="n"/>
      <c r="V77" s="153" t="n"/>
      <c r="W77" s="153" t="n"/>
      <c r="X77" s="153" t="n"/>
      <c r="Y77" s="153" t="n"/>
      <c r="Z77" s="153" t="n"/>
      <c r="AA77" s="153" t="n"/>
      <c r="AB77" s="153" t="n"/>
      <c r="AC77" s="153" t="n"/>
      <c r="AD77" s="153" t="n"/>
      <c r="AE77" s="153" t="n"/>
      <c r="AF77" s="153" t="n"/>
      <c r="AG77" s="153" t="n"/>
      <c r="AH77" s="153" t="n"/>
      <c r="AI77" s="153" t="n"/>
      <c r="AJ77" s="153" t="n"/>
      <c r="AK77" s="153" t="n"/>
      <c r="AL77" s="153" t="n"/>
      <c r="AM77" s="153" t="n"/>
      <c r="AN77" s="153" t="n"/>
      <c r="AO77" s="153" t="n"/>
      <c r="AP77" s="153" t="n"/>
      <c r="AQ77" s="153" t="n"/>
      <c r="AR77" s="153" t="n"/>
      <c r="AS77" s="153" t="n"/>
      <c r="AT77" s="153" t="n"/>
      <c r="AU77" s="153" t="n"/>
      <c r="AV77" s="153" t="n"/>
      <c r="AW77" s="153" t="n"/>
      <c r="AX77" s="153" t="n"/>
      <c r="AY77" s="153" t="n"/>
      <c r="AZ77" s="153" t="n"/>
      <c r="BA77" s="153" t="n"/>
      <c r="BB77" s="153" t="n"/>
    </row>
    <row r="78">
      <c r="A78" s="153" t="n"/>
      <c r="B78" s="153" t="n"/>
      <c r="C78" s="153" t="n"/>
      <c r="D78" s="153" t="n"/>
      <c r="E78" s="153" t="n"/>
      <c r="F78" s="153" t="n"/>
      <c r="G78" s="153" t="n"/>
      <c r="H78" s="153" t="n"/>
      <c r="I78" s="153" t="n"/>
      <c r="J78" s="153" t="n"/>
      <c r="K78" s="153" t="n"/>
      <c r="L78" s="153" t="n"/>
      <c r="M78" s="153" t="n"/>
      <c r="N78" s="153" t="n"/>
      <c r="O78" s="153" t="n"/>
      <c r="P78" s="153" t="n"/>
      <c r="Q78" s="153" t="n"/>
      <c r="R78" s="153" t="n"/>
      <c r="S78" s="153" t="n"/>
      <c r="T78" s="153" t="n"/>
      <c r="U78" s="153" t="n"/>
      <c r="V78" s="153" t="n"/>
      <c r="W78" s="153" t="n"/>
      <c r="X78" s="153" t="n"/>
      <c r="Y78" s="153" t="n"/>
      <c r="Z78" s="153" t="n"/>
      <c r="AA78" s="153" t="n"/>
      <c r="AB78" s="153" t="n"/>
      <c r="AC78" s="153" t="n"/>
      <c r="AD78" s="153" t="n"/>
      <c r="AE78" s="153" t="n"/>
      <c r="AF78" s="153" t="n"/>
      <c r="AG78" s="153" t="n"/>
      <c r="AH78" s="153" t="n"/>
      <c r="AI78" s="153" t="n"/>
      <c r="AJ78" s="153" t="n"/>
      <c r="AK78" s="153" t="n"/>
      <c r="AL78" s="153" t="n"/>
      <c r="AM78" s="153" t="n"/>
      <c r="AN78" s="153" t="n"/>
      <c r="AO78" s="153" t="n"/>
      <c r="AP78" s="153" t="n"/>
      <c r="AQ78" s="153" t="n"/>
      <c r="AR78" s="153" t="n"/>
      <c r="AS78" s="153" t="n"/>
      <c r="AT78" s="153" t="n"/>
      <c r="AU78" s="153" t="n"/>
      <c r="AV78" s="153" t="n"/>
      <c r="AW78" s="153" t="n"/>
      <c r="AX78" s="153" t="n"/>
      <c r="AY78" s="153" t="n"/>
      <c r="AZ78" s="153" t="n"/>
      <c r="BA78" s="153" t="inlineStr">
        <is>
          <t>sequelas</t>
        </is>
      </c>
      <c r="BB78" s="153">
        <f>ADDRESS(ROW(FICHA!D40),COLUMN(FICHA!D40),4)</f>
        <v/>
      </c>
    </row>
    <row r="79">
      <c r="A79" s="153" t="n"/>
      <c r="B79" s="153" t="n"/>
      <c r="C79" s="153" t="n"/>
      <c r="D79" s="153" t="n"/>
      <c r="E79" s="153" t="n"/>
      <c r="F79" s="153" t="n"/>
      <c r="G79" s="153" t="n"/>
      <c r="H79" s="153" t="n"/>
      <c r="I79" s="153" t="n"/>
      <c r="J79" s="153" t="n"/>
      <c r="K79" s="153" t="n"/>
      <c r="L79" s="153" t="n"/>
      <c r="M79" s="153" t="n"/>
      <c r="N79" s="153" t="n"/>
      <c r="O79" s="153" t="n"/>
      <c r="P79" s="153" t="n"/>
      <c r="Q79" s="153" t="n"/>
      <c r="R79" s="153" t="n"/>
      <c r="S79" s="153" t="n"/>
      <c r="T79" s="153" t="n"/>
      <c r="U79" s="153" t="n"/>
      <c r="V79" s="153" t="n"/>
      <c r="W79" s="153" t="n"/>
      <c r="X79" s="153" t="n"/>
      <c r="Y79" s="153" t="n"/>
      <c r="Z79" s="153" t="n"/>
      <c r="AA79" s="153" t="n"/>
      <c r="AB79" s="153" t="n"/>
      <c r="AC79" s="153" t="n"/>
      <c r="AD79" s="153" t="n"/>
      <c r="AE79" s="153" t="n"/>
      <c r="AF79" s="153" t="n"/>
      <c r="AG79" s="153" t="n"/>
      <c r="AH79" s="153" t="n"/>
      <c r="AI79" s="153" t="n"/>
      <c r="AJ79" s="153" t="n"/>
      <c r="AK79" s="153" t="n"/>
      <c r="AL79" s="153" t="n"/>
      <c r="AM79" s="153" t="n"/>
      <c r="AN79" s="153" t="n"/>
      <c r="AO79" s="153" t="n"/>
      <c r="AP79" s="153" t="n"/>
      <c r="AQ79" s="153" t="n"/>
      <c r="AR79" s="153" t="n"/>
      <c r="AS79" s="153" t="n"/>
      <c r="AT79" s="153" t="n"/>
      <c r="AU79" s="153" t="n"/>
      <c r="AV79" s="153" t="n"/>
      <c r="AW79" s="153" t="n"/>
      <c r="AX79" s="153" t="n"/>
      <c r="AY79" s="153" t="n"/>
      <c r="AZ79" s="153" t="n"/>
      <c r="BA79" s="153" t="inlineStr">
        <is>
          <t>exaustão</t>
        </is>
      </c>
      <c r="BB79" s="153">
        <f>ADDRESS(ROW(FICHA!O40),COLUMN(FICHA!O40),4)</f>
        <v/>
      </c>
    </row>
    <row r="80">
      <c r="BA80" s="153" t="inlineStr">
        <is>
          <t>resistências</t>
        </is>
      </c>
      <c r="BB80" s="153">
        <f>ADDRESS(ROW(FICHA!Z40),COLUMN(FICHA!Z40),4)</f>
        <v/>
      </c>
    </row>
    <row r="81">
      <c r="BA81" s="153" t="inlineStr">
        <is>
          <t>imunidades</t>
        </is>
      </c>
      <c r="BB81" s="153">
        <f>ADDRESS(ROW(FICHA!AK40),COLUMN(FICHA!AK40),4)</f>
        <v/>
      </c>
    </row>
    <row r="82">
      <c r="BA82" s="153" t="inlineStr">
        <is>
          <t>legado 1</t>
        </is>
      </c>
      <c r="BB82" s="153">
        <f>ADDRESS(ROW(FICHA!D44),COLUMN(FICHA!D44),4)</f>
        <v/>
      </c>
    </row>
    <row r="83">
      <c r="BA83" s="153" t="inlineStr">
        <is>
          <t>legado 2</t>
        </is>
      </c>
      <c r="BB83" s="153">
        <f>ADDRESS(ROW(FICHA!Z44),COLUMN(FICHA!Z44),4)</f>
        <v/>
      </c>
    </row>
    <row r="84">
      <c r="BA84" s="153" t="n"/>
      <c r="BB84" s="153" t="n"/>
    </row>
    <row r="85">
      <c r="BA85" s="153" t="n"/>
      <c r="BB85" s="153" t="n"/>
    </row>
    <row r="86">
      <c r="BA86" s="153" t="inlineStr">
        <is>
          <t>treinado em armas</t>
        </is>
      </c>
      <c r="BB86" s="153">
        <f>ADDRESS(ROW(FICHA!AK71),COLUMN(FICHA!AK71),4)</f>
        <v/>
      </c>
    </row>
    <row r="87">
      <c r="BA87" s="153" t="inlineStr">
        <is>
          <t>trocou por arma</t>
        </is>
      </c>
      <c r="BB87" s="153">
        <f>ADDRESS(ROW(FICHA!AK73),COLUMN(FICHA!AK73),4)</f>
        <v/>
      </c>
    </row>
    <row r="88">
      <c r="BA88" s="153" t="inlineStr">
        <is>
          <t>grupo de arma da trilha</t>
        </is>
      </c>
      <c r="BB88" s="153">
        <f>ADDRESS(ROW(FICHA!AK77),COLUMN(FICHA!AK77),4)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T8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s>
  <sheetData>
    <row r="1">
      <c r="A1" s="154" t="inlineStr">
        <is>
          <t>rota da ficha</t>
        </is>
      </c>
      <c r="C1" s="154" t="inlineStr">
        <is>
          <t>rótulo da rota</t>
        </is>
      </c>
      <c r="D1" s="154" t="inlineStr">
        <is>
          <t>fundamento</t>
        </is>
      </c>
      <c r="E1" s="154" t="inlineStr">
        <is>
          <t>sem técnica</t>
        </is>
      </c>
      <c r="F1" s="154" t="inlineStr">
        <is>
          <t>técnica marcial com energia</t>
        </is>
      </c>
      <c r="G1" s="154" t="inlineStr">
        <is>
          <t>técnica marcial sem energia</t>
        </is>
      </c>
      <c r="I1" s="154" t="inlineStr">
        <is>
          <t>família da técnica</t>
        </is>
      </c>
      <c r="J1" s="154" t="inlineStr">
        <is>
          <t>estado da família</t>
        </is>
      </c>
      <c r="K1" s="154" t="inlineStr">
        <is>
          <t>família livre</t>
        </is>
      </c>
      <c r="L1" s="154" t="inlineStr">
        <is>
          <t>família fechada</t>
        </is>
      </c>
      <c r="N1" s="154" t="inlineStr">
        <is>
          <t>estado de família</t>
        </is>
      </c>
      <c r="P1" s="154" t="inlineStr">
        <is>
          <t>classe do feitiço</t>
        </is>
      </c>
      <c r="Q1" s="154" t="inlineStr">
        <is>
          <t>leve</t>
        </is>
      </c>
      <c r="R1" s="154" t="inlineStr">
        <is>
          <t>média</t>
        </is>
      </c>
      <c r="S1" s="154" t="inlineStr">
        <is>
          <t>pesada</t>
        </is>
      </c>
      <c r="T1" s="154" t="inlineStr">
        <is>
          <t>leve livre</t>
        </is>
      </c>
      <c r="U1" s="154" t="inlineStr">
        <is>
          <t>média livre</t>
        </is>
      </c>
      <c r="V1" s="154" t="inlineStr">
        <is>
          <t>pesada livre</t>
        </is>
      </c>
      <c r="W1" s="154" t="inlineStr">
        <is>
          <t>limite de melhorias</t>
        </is>
      </c>
      <c r="Y1" s="154" t="inlineStr">
        <is>
          <t>forma</t>
        </is>
      </c>
      <c r="Z1" s="154" t="inlineStr">
        <is>
          <t>família da forma</t>
        </is>
      </c>
      <c r="AA1" s="154" t="inlineStr">
        <is>
          <t>peso da forma</t>
        </is>
      </c>
      <c r="AB1" s="154" t="inlineStr">
        <is>
          <t>código de preço da forma</t>
        </is>
      </c>
      <c r="AC1" s="154" t="inlineStr">
        <is>
          <t>forma fechada</t>
        </is>
      </c>
      <c r="AD1" s="154" t="inlineStr">
        <is>
          <t>restrição embutida</t>
        </is>
      </c>
      <c r="AE1" s="154" t="inlineStr">
        <is>
          <t>tipo de dano</t>
        </is>
      </c>
      <c r="AF1" s="154" t="inlineStr">
        <is>
          <t>como resolve</t>
        </is>
      </c>
      <c r="AG1" s="154" t="inlineStr">
        <is>
          <t>resolve por teste</t>
        </is>
      </c>
      <c r="AH1" s="154" t="inlineStr">
        <is>
          <t>degrau da primeira parte</t>
        </is>
      </c>
      <c r="AI1" s="154" t="inlineStr">
        <is>
          <t>degrau da segunda parte</t>
        </is>
      </c>
      <c r="AJ1" s="154" t="inlineStr">
        <is>
          <t>mostra mais alvos</t>
        </is>
      </c>
      <c r="AK1" s="154" t="inlineStr">
        <is>
          <t>existe na classe 0</t>
        </is>
      </c>
      <c r="AL1" s="154" t="inlineStr">
        <is>
          <t>menu de forma</t>
        </is>
      </c>
      <c r="AM1" s="154" t="inlineStr">
        <is>
          <t>menu de forma da classe 0</t>
        </is>
      </c>
      <c r="AO1" s="154" t="inlineStr">
        <is>
          <t>alcance de</t>
        </is>
      </c>
      <c r="AP1" s="154" t="inlineStr">
        <is>
          <t>primeira parte +0</t>
        </is>
      </c>
      <c r="AQ1" s="154" t="inlineStr">
        <is>
          <t>primeira parte +1</t>
        </is>
      </c>
      <c r="AR1" s="154" t="inlineStr">
        <is>
          <t>primeira parte +2</t>
        </is>
      </c>
      <c r="AS1" s="154" t="inlineStr">
        <is>
          <t>primeira parte +3</t>
        </is>
      </c>
      <c r="AT1" s="154" t="inlineStr">
        <is>
          <t>primeira parte +4</t>
        </is>
      </c>
      <c r="AU1" s="154" t="inlineStr">
        <is>
          <t>primeira parte +5</t>
        </is>
      </c>
      <c r="AV1" s="154" t="inlineStr">
        <is>
          <t>segunda parte +0</t>
        </is>
      </c>
      <c r="AW1" s="154" t="inlineStr">
        <is>
          <t>segunda parte +1</t>
        </is>
      </c>
      <c r="AX1" s="154" t="inlineStr">
        <is>
          <t>segunda parte +2</t>
        </is>
      </c>
      <c r="AY1" s="154" t="inlineStr">
        <is>
          <t>segunda parte +3</t>
        </is>
      </c>
      <c r="AZ1" s="154" t="inlineStr">
        <is>
          <t>segunda parte +4</t>
        </is>
      </c>
      <c r="BA1" s="154" t="inlineStr">
        <is>
          <t>segunda parte +5</t>
        </is>
      </c>
      <c r="BC1" s="154" t="inlineStr">
        <is>
          <t>peça</t>
        </is>
      </c>
      <c r="BD1" s="154" t="inlineStr">
        <is>
          <t>família da peça</t>
        </is>
      </c>
      <c r="BE1" s="154" t="inlineStr">
        <is>
          <t>peso da peça</t>
        </is>
      </c>
      <c r="BF1" s="154" t="inlineStr">
        <is>
          <t>código de preço</t>
        </is>
      </c>
      <c r="BG1" s="154" t="inlineStr">
        <is>
          <t>peça fechada</t>
        </is>
      </c>
      <c r="BH1" s="154" t="inlineStr">
        <is>
          <t>peça de controle</t>
        </is>
      </c>
      <c r="BI1" s="154" t="inlineStr">
        <is>
          <t>menu de melhoria</t>
        </is>
      </c>
      <c r="BJ1" s="154" t="inlineStr">
        <is>
          <t>menu de melhoria leve</t>
        </is>
      </c>
      <c r="BK1" s="154" t="inlineStr">
        <is>
          <t>peça que pede TR</t>
        </is>
      </c>
      <c r="BM1" s="154" t="inlineStr">
        <is>
          <t>menu de restrição</t>
        </is>
      </c>
      <c r="BN1" s="154" t="inlineStr">
        <is>
          <t>restrição</t>
        </is>
      </c>
      <c r="BO1" s="154" t="inlineStr">
        <is>
          <t>o que devolve</t>
        </is>
      </c>
      <c r="BP1" s="154" t="inlineStr">
        <is>
          <t>é de frequência</t>
        </is>
      </c>
      <c r="BQ1" s="154" t="inlineStr">
        <is>
          <t>menu de restrição leve</t>
        </is>
      </c>
      <c r="BS1" s="154" t="inlineStr">
        <is>
          <t>passiva</t>
        </is>
      </c>
      <c r="BT1" s="154" t="inlineStr">
        <is>
          <t>classe passiva</t>
        </is>
      </c>
      <c r="BU1" s="154" t="inlineStr">
        <is>
          <t>o que a passiva faz</t>
        </is>
      </c>
      <c r="BV1" s="154" t="inlineStr">
        <is>
          <t>do fundamento</t>
        </is>
      </c>
      <c r="BW1" s="154" t="inlineStr">
        <is>
          <t>da técnica marcial</t>
        </is>
      </c>
      <c r="BX1" s="154" t="inlineStr">
        <is>
          <t>menu de passiva</t>
        </is>
      </c>
      <c r="BY1" s="154" t="inlineStr">
        <is>
          <t>resumo da passiva</t>
        </is>
      </c>
      <c r="CA1" s="154" t="inlineStr">
        <is>
          <t>classe passiva liberada</t>
        </is>
      </c>
      <c r="CB1" s="154" t="inlineStr">
        <is>
          <t>libera no nível</t>
        </is>
      </c>
      <c r="CD1" s="154" t="inlineStr">
        <is>
          <t>aptidão</t>
        </is>
      </c>
      <c r="CE1" s="154" t="inlineStr">
        <is>
          <t>requisito da aptidão</t>
        </is>
      </c>
      <c r="CF1" s="154" t="inlineStr">
        <is>
          <t>classe passiva da aptidão</t>
        </is>
      </c>
      <c r="CG1" s="154" t="inlineStr">
        <is>
          <t>o que o refino escala</t>
        </is>
      </c>
      <c r="CH1" s="154" t="inlineStr">
        <is>
          <t>o que a aptidão faz</t>
        </is>
      </c>
      <c r="CI1" s="154" t="inlineStr">
        <is>
          <t>menu de aptidão</t>
        </is>
      </c>
      <c r="CJ1" s="154" t="inlineStr">
        <is>
          <t>é bênção</t>
        </is>
      </c>
      <c r="CK1" s="154" t="inlineStr">
        <is>
          <t>é a extensão de domínio</t>
        </is>
      </c>
      <c r="CL1" s="154" t="inlineStr">
        <is>
          <t>de graça</t>
        </is>
      </c>
      <c r="CM1" s="154" t="inlineStr">
        <is>
          <t>resumo da aptidão</t>
        </is>
      </c>
      <c r="CO1" s="154" t="inlineStr">
        <is>
          <t>semente</t>
        </is>
      </c>
      <c r="CQ1" s="154" t="inlineStr">
        <is>
          <t>equipamento</t>
        </is>
      </c>
      <c r="CS1" s="154" t="inlineStr">
        <is>
          <t>menu da peça da rota</t>
        </is>
      </c>
      <c r="CU1" s="154" t="inlineStr">
        <is>
          <t>grupo de arma</t>
        </is>
      </c>
      <c r="CV1" s="154" t="inlineStr">
        <is>
          <t>acerta com força</t>
        </is>
      </c>
      <c r="CW1" s="154" t="inlineStr">
        <is>
          <t>acerta com destreza</t>
        </is>
      </c>
      <c r="CX1" s="154" t="inlineStr">
        <is>
          <t>menu de grupo</t>
        </is>
      </c>
      <c r="CZ1" s="154" t="inlineStr">
        <is>
          <t>nível da classe 0</t>
        </is>
      </c>
      <c r="DA1" s="154" t="inlineStr">
        <is>
          <t>quantos de classe 0</t>
        </is>
      </c>
      <c r="DB1" s="154" t="inlineStr">
        <is>
          <t>dados da classe 0</t>
        </is>
      </c>
      <c r="DD1" s="154" t="inlineStr">
        <is>
          <t>nível da liberação</t>
        </is>
      </c>
      <c r="DF1" s="154" t="inlineStr">
        <is>
          <t>classe da liberação</t>
        </is>
      </c>
      <c r="DH1" s="154" t="inlineStr">
        <is>
          <t>nível da técnica máxima</t>
        </is>
      </c>
      <c r="DI1" s="154" t="inlineStr">
        <is>
          <t>dados da técnica máxima</t>
        </is>
      </c>
      <c r="DJ1" s="154" t="inlineStr">
        <is>
          <t>pontos de montagem</t>
        </is>
      </c>
      <c r="DL1" s="154" t="inlineStr">
        <is>
          <t>degrau do domínio</t>
        </is>
      </c>
      <c r="DM1" s="154" t="inlineStr">
        <is>
          <t>espaços do degrau</t>
        </is>
      </c>
      <c r="DN1" s="154" t="inlineStr">
        <is>
          <t>nível do degrau</t>
        </is>
      </c>
      <c r="DO1" s="154" t="inlineStr">
        <is>
          <t>refino do degrau</t>
        </is>
      </c>
      <c r="DP1" s="154" t="inlineStr">
        <is>
          <t>o degrau abre em</t>
        </is>
      </c>
      <c r="DR1" s="154" t="inlineStr">
        <is>
          <t>forma do pacto</t>
        </is>
      </c>
      <c r="DS1" s="154" t="inlineStr">
        <is>
          <t>quando se fecha</t>
        </is>
      </c>
      <c r="DU1" s="154" t="inlineStr">
        <is>
          <t>o pacto concede</t>
        </is>
      </c>
      <c r="DW1" s="154" t="inlineStr">
        <is>
          <t>conta de feitiço</t>
        </is>
      </c>
      <c r="DX1" s="154" t="inlineStr">
        <is>
          <t>liberação</t>
        </is>
      </c>
      <c r="DY1" s="154" t="inlineStr">
        <is>
          <t>vaga</t>
        </is>
      </c>
      <c r="DZ1" s="154" t="inlineStr">
        <is>
          <t>classe</t>
        </is>
      </c>
      <c r="EA1" s="154" t="inlineStr">
        <is>
          <t>nome</t>
        </is>
      </c>
      <c r="EB1" s="154" t="inlineStr">
        <is>
          <t>forma</t>
        </is>
      </c>
      <c r="EC1" s="154" t="inlineStr">
        <is>
          <t>m1</t>
        </is>
      </c>
      <c r="ED1" s="154" t="inlineStr">
        <is>
          <t>m2</t>
        </is>
      </c>
      <c r="EE1" s="154" t="inlineStr">
        <is>
          <t>m3</t>
        </is>
      </c>
      <c r="EF1" s="154" t="inlineStr">
        <is>
          <t>m4</t>
        </is>
      </c>
      <c r="EG1" s="154" t="inlineStr">
        <is>
          <t>r1</t>
        </is>
      </c>
      <c r="EH1" s="154" t="inlineStr">
        <is>
          <t>r2</t>
        </is>
      </c>
      <c r="EI1" s="154" t="inlineStr">
        <is>
          <t>tem</t>
        </is>
      </c>
      <c r="EJ1" s="154" t="inlineStr">
        <is>
          <t>lf</t>
        </is>
      </c>
      <c r="EK1" s="154" t="inlineStr">
        <is>
          <t>k0</t>
        </is>
      </c>
      <c r="EL1" s="154" t="inlineStr">
        <is>
          <t>k1</t>
        </is>
      </c>
      <c r="EM1" s="154" t="inlineStr">
        <is>
          <t>k2</t>
        </is>
      </c>
      <c r="EN1" s="154" t="inlineStr">
        <is>
          <t>k3</t>
        </is>
      </c>
      <c r="EO1" s="154" t="inlineStr">
        <is>
          <t>k4</t>
        </is>
      </c>
      <c r="EP1" s="154" t="inlineStr">
        <is>
          <t>x0</t>
        </is>
      </c>
      <c r="EQ1" s="154" t="inlineStr">
        <is>
          <t>x1</t>
        </is>
      </c>
      <c r="ER1" s="154" t="inlineStr">
        <is>
          <t>x2</t>
        </is>
      </c>
      <c r="ES1" s="154" t="inlineStr">
        <is>
          <t>x3</t>
        </is>
      </c>
      <c r="ET1" s="154" t="inlineStr">
        <is>
          <t>x4</t>
        </is>
      </c>
      <c r="EU1" s="154" t="inlineStr">
        <is>
          <t>ct</t>
        </is>
      </c>
      <c r="EV1" s="154" t="inlineStr">
        <is>
          <t>ptr</t>
        </is>
      </c>
      <c r="EW1" s="154" t="inlineStr">
        <is>
          <t>emb</t>
        </is>
      </c>
      <c r="EX1" s="154" t="inlineStr">
        <is>
          <t>tp</t>
        </is>
      </c>
      <c r="EY1" s="154" t="inlineStr">
        <is>
          <t>tr</t>
        </is>
      </c>
      <c r="EZ1" s="154" t="inlineStr">
        <is>
          <t>c1</t>
        </is>
      </c>
      <c r="FA1" s="154" t="inlineStr">
        <is>
          <t>c2</t>
        </is>
      </c>
      <c r="FB1" s="154" t="inlineStr">
        <is>
          <t>b1</t>
        </is>
      </c>
      <c r="FC1" s="154" t="inlineStr">
        <is>
          <t>b2</t>
        </is>
      </c>
      <c r="FD1" s="154" t="inlineStr">
        <is>
          <t>n1</t>
        </is>
      </c>
      <c r="FE1" s="154" t="inlineStr">
        <is>
          <t>n2</t>
        </is>
      </c>
      <c r="FF1" s="154" t="inlineStr">
        <is>
          <t>n3</t>
        </is>
      </c>
      <c r="FG1" s="154" t="inlineStr">
        <is>
          <t>n4</t>
        </is>
      </c>
      <c r="FH1" s="154" t="inlineStr">
        <is>
          <t>n5</t>
        </is>
      </c>
      <c r="FI1" s="154" t="inlineStr">
        <is>
          <t>n6</t>
        </is>
      </c>
      <c r="FJ1" s="154" t="inlineStr">
        <is>
          <t>dL</t>
        </is>
      </c>
      <c r="FK1" s="154" t="inlineStr">
        <is>
          <t>dM</t>
        </is>
      </c>
      <c r="FL1" s="154" t="inlineStr">
        <is>
          <t>nm</t>
        </is>
      </c>
      <c r="FM1" s="154" t="inlineStr">
        <is>
          <t>nr</t>
        </is>
      </c>
      <c r="FN1" s="154" t="inlineStr">
        <is>
          <t>g</t>
        </is>
      </c>
      <c r="FO1" s="154" t="inlineStr">
        <is>
          <t>dv0</t>
        </is>
      </c>
      <c r="FP1" s="154" t="inlineStr">
        <is>
          <t>dv</t>
        </is>
      </c>
      <c r="FQ1" s="154" t="inlineStr">
        <is>
          <t>usa</t>
        </is>
      </c>
      <c r="FR1" s="154" t="inlineStr">
        <is>
          <t>perde</t>
        </is>
      </c>
      <c r="FS1" s="154" t="inlineStr">
        <is>
          <t>s</t>
        </is>
      </c>
      <c r="FT1" s="154" t="inlineStr">
        <is>
          <t>d</t>
        </is>
      </c>
      <c r="FU1" s="154" t="inlineStr">
        <is>
          <t>dep</t>
        </is>
      </c>
      <c r="FV1" s="154" t="inlineStr">
        <is>
          <t>d1</t>
        </is>
      </c>
      <c r="FW1" s="154" t="inlineStr">
        <is>
          <t>d2</t>
        </is>
      </c>
      <c r="FX1" s="154" t="inlineStr">
        <is>
          <t>d3</t>
        </is>
      </c>
      <c r="FY1" s="154" t="inlineStr">
        <is>
          <t>d4</t>
        </is>
      </c>
      <c r="FZ1" s="154" t="inlineStr">
        <is>
          <t>d5</t>
        </is>
      </c>
      <c r="GA1" s="154" t="inlineStr">
        <is>
          <t>d6</t>
        </is>
      </c>
      <c r="GB1" s="154" t="inlineStr">
        <is>
          <t>d7</t>
        </is>
      </c>
      <c r="GC1" s="154" t="inlineStr">
        <is>
          <t>t1</t>
        </is>
      </c>
      <c r="GD1" s="154" t="inlineStr">
        <is>
          <t>t2</t>
        </is>
      </c>
      <c r="GE1" s="154" t="inlineStr">
        <is>
          <t>t3</t>
        </is>
      </c>
      <c r="GF1" s="154" t="inlineStr">
        <is>
          <t>t4</t>
        </is>
      </c>
      <c r="GG1" s="154" t="inlineStr">
        <is>
          <t>t5</t>
        </is>
      </c>
      <c r="GH1" s="154" t="inlineStr">
        <is>
          <t>t6</t>
        </is>
      </c>
      <c r="GI1" s="154" t="inlineStr">
        <is>
          <t>t7</t>
        </is>
      </c>
      <c r="GJ1" s="154" t="inlineStr">
        <is>
          <t>erros</t>
        </is>
      </c>
      <c r="GK1" s="154" t="inlineStr">
        <is>
          <t>ne</t>
        </is>
      </c>
      <c r="GL1" s="154" t="inlineStr">
        <is>
          <t>avisos</t>
        </is>
      </c>
      <c r="GM1" s="154" t="inlineStr">
        <is>
          <t>na</t>
        </is>
      </c>
      <c r="GN1" s="154" t="inlineStr">
        <is>
          <t>estado</t>
        </is>
      </c>
      <c r="GO1" s="154" t="inlineStr">
        <is>
          <t>linha</t>
        </is>
      </c>
      <c r="GP1" s="154" t="inlineStr">
        <is>
          <t>pe</t>
        </is>
      </c>
      <c r="GQ1" s="154" t="inlineStr">
        <is>
          <t>acao</t>
        </is>
      </c>
      <c r="GR1" s="154" t="inlineStr">
        <is>
          <t>resolve</t>
        </is>
      </c>
      <c r="GS1" s="154" t="inlineStr">
        <is>
          <t>dano</t>
        </is>
      </c>
      <c r="GT1" s="154" t="inlineStr">
        <is>
          <t>lg</t>
        </is>
      </c>
      <c r="GU1" s="154" t="inlineStr">
        <is>
          <t>mr</t>
        </is>
      </c>
      <c r="GV1" s="154" t="inlineStr">
        <is>
          <t>q1</t>
        </is>
      </c>
      <c r="GW1" s="154" t="inlineStr">
        <is>
          <t>q2</t>
        </is>
      </c>
      <c r="GX1" s="154" t="inlineStr">
        <is>
          <t>alcance</t>
        </is>
      </c>
      <c r="GY1" s="154" t="inlineStr">
        <is>
          <t>conta</t>
        </is>
      </c>
      <c r="GZ1" s="154" t="inlineStr">
        <is>
          <t>ampliar</t>
        </is>
      </c>
      <c r="HA1" s="154" t="inlineStr">
        <is>
          <t>pt1</t>
        </is>
      </c>
      <c r="HB1" s="154" t="inlineStr">
        <is>
          <t>pt2</t>
        </is>
      </c>
      <c r="HC1" s="154" t="inlineStr">
        <is>
          <t>pt3</t>
        </is>
      </c>
      <c r="HD1" s="154" t="inlineStr">
        <is>
          <t>pt4</t>
        </is>
      </c>
      <c r="HE1" s="154" t="inlineStr">
        <is>
          <t>dt1</t>
        </is>
      </c>
      <c r="HF1" s="154" t="inlineStr">
        <is>
          <t>dt2</t>
        </is>
      </c>
      <c r="HG1" s="154" t="inlineStr">
        <is>
          <t>como</t>
        </is>
      </c>
      <c r="HH1" s="154" t="inlineStr">
        <is>
          <t>ordem</t>
        </is>
      </c>
      <c r="HJ1" s="154" t="inlineStr">
        <is>
          <t>contas da amaldiçoada</t>
        </is>
      </c>
      <c r="HK1" s="154" t="inlineStr">
        <is>
          <t>valor da amaldiçoada</t>
        </is>
      </c>
      <c r="HM1" s="154" t="inlineStr">
        <is>
          <t>carta de passiva</t>
        </is>
      </c>
      <c r="HN1" s="154" t="inlineStr">
        <is>
          <t>passiva anotada</t>
        </is>
      </c>
      <c r="HO1" s="154" t="inlineStr">
        <is>
          <t>classe passiva anotada</t>
        </is>
      </c>
      <c r="HP1" s="154" t="inlineStr">
        <is>
          <t>nível que libera</t>
        </is>
      </c>
      <c r="HQ1" s="154" t="inlineStr">
        <is>
          <t>o que ela faz</t>
        </is>
      </c>
      <c r="HR1" s="154" t="inlineStr">
        <is>
          <t>classe passiva na carta</t>
        </is>
      </c>
      <c r="HS1" s="154" t="inlineStr">
        <is>
          <t>custo na carta</t>
        </is>
      </c>
      <c r="HT1" s="154" t="inlineStr">
        <is>
          <t>seu texto da passiva</t>
        </is>
      </c>
      <c r="HU1" s="154" t="inlineStr">
        <is>
          <t>ordem da passiva</t>
        </is>
      </c>
      <c r="HW1" s="154" t="inlineStr">
        <is>
          <t>carta de aptidão</t>
        </is>
      </c>
      <c r="HX1" s="154" t="inlineStr">
        <is>
          <t>aptidão anotada</t>
        </is>
      </c>
      <c r="HY1" s="154" t="inlineStr">
        <is>
          <t>requisito na carta</t>
        </is>
      </c>
      <c r="HZ1" s="154" t="inlineStr">
        <is>
          <t>classe passiva na carta de aptidão</t>
        </is>
      </c>
      <c r="IA1" s="154" t="inlineStr">
        <is>
          <t>o refino escala na carta</t>
        </is>
      </c>
      <c r="IB1" s="154" t="inlineStr">
        <is>
          <t>o que a aptidão anotada faz</t>
        </is>
      </c>
      <c r="IC1" s="154" t="inlineStr">
        <is>
          <t>seu texto da aptidão</t>
        </is>
      </c>
      <c r="ID1" s="154" t="inlineStr">
        <is>
          <t>ordem da aptidão</t>
        </is>
      </c>
      <c r="IF1" s="154" t="inlineStr">
        <is>
          <t>classe 0 anotada</t>
        </is>
      </c>
      <c r="IG1" s="154" t="inlineStr">
        <is>
          <t>forma da classe 0</t>
        </is>
      </c>
      <c r="IH1" s="154" t="inlineStr">
        <is>
          <t>melhoria da classe 0</t>
        </is>
      </c>
      <c r="II1" s="154" t="inlineStr">
        <is>
          <t>restrição da classe 0</t>
        </is>
      </c>
      <c r="IJ1" s="154" t="inlineStr">
        <is>
          <t>linha da forma</t>
        </is>
      </c>
      <c r="IK1" s="154" t="inlineStr">
        <is>
          <t>dados dela</t>
        </is>
      </c>
      <c r="IL1" s="154" t="inlineStr">
        <is>
          <t>dano na carta</t>
        </is>
      </c>
      <c r="IM1" s="154" t="inlineStr">
        <is>
          <t>alcance na carta</t>
        </is>
      </c>
      <c r="IO1" s="154" t="inlineStr">
        <is>
          <t>salto</t>
        </is>
      </c>
      <c r="IP1" s="154" t="inlineStr">
        <is>
          <t>caixa do salto</t>
        </is>
      </c>
      <c r="IQ1" s="154" t="inlineStr">
        <is>
          <t>alvo do salto</t>
        </is>
      </c>
      <c r="IR1" s="154" t="inlineStr">
        <is>
          <t>nome do salto</t>
        </is>
      </c>
      <c r="IT1" s="154" t="inlineStr">
        <is>
          <t>habilidade: carta</t>
        </is>
      </c>
      <c r="IU1" s="154" t="inlineStr">
        <is>
          <t>nível da carta</t>
        </is>
      </c>
      <c r="IV1" s="154" t="inlineStr">
        <is>
          <t>etiqueta da carta</t>
        </is>
      </c>
      <c r="IW1" s="154" t="inlineStr">
        <is>
          <t>célula do nome</t>
        </is>
      </c>
      <c r="IX1" s="154" t="inlineStr">
        <is>
          <t>célula do texto</t>
        </is>
      </c>
      <c r="IZ1" s="154" t="inlineStr">
        <is>
          <t>habilidade livre: carta</t>
        </is>
      </c>
      <c r="JA1" s="154" t="inlineStr">
        <is>
          <t>célula do texto livre</t>
        </is>
      </c>
      <c r="JC1" s="154" t="inlineStr">
        <is>
          <t>habilidades: título</t>
        </is>
      </c>
      <c r="JD1" s="154" t="inlineStr">
        <is>
          <t>texto do título</t>
        </is>
      </c>
      <c r="JF1" s="154" t="inlineStr">
        <is>
          <t>menu: feitiço</t>
        </is>
      </c>
      <c r="JG1" s="154" t="inlineStr">
        <is>
          <t>lugar na conta</t>
        </is>
      </c>
      <c r="JH1" s="154" t="inlineStr">
        <is>
          <t>menu: classe</t>
        </is>
      </c>
      <c r="JI1" s="154" t="inlineStr">
        <is>
          <t>menu: nome</t>
        </is>
      </c>
      <c r="JJ1" s="154" t="inlineStr">
        <is>
          <t>menu: pe</t>
        </is>
      </c>
      <c r="JK1" s="154" t="inlineStr">
        <is>
          <t>menu: forma</t>
        </is>
      </c>
      <c r="JL1" s="154" t="inlineStr">
        <is>
          <t>menu: resolve</t>
        </is>
      </c>
      <c r="JM1" s="154" t="inlineStr">
        <is>
          <t>menu: como</t>
        </is>
      </c>
      <c r="JO1" s="154" t="inlineStr">
        <is>
          <t>menu: liberação</t>
        </is>
      </c>
      <c r="JP1" s="154" t="inlineStr">
        <is>
          <t>menu da liberação: classe</t>
        </is>
      </c>
      <c r="JQ1" s="154" t="inlineStr">
        <is>
          <t>menu da liberação: nome</t>
        </is>
      </c>
      <c r="JR1" s="154" t="inlineStr">
        <is>
          <t>menu da liberação: pe</t>
        </is>
      </c>
      <c r="JS1" s="154" t="inlineStr">
        <is>
          <t>menu da liberação: forma</t>
        </is>
      </c>
      <c r="JT1" s="154" t="inlineStr">
        <is>
          <t>menu da liberação: resolve</t>
        </is>
      </c>
      <c r="JU1" s="154" t="inlineStr">
        <is>
          <t>menu da liberação: como</t>
        </is>
      </c>
      <c r="JW1" s="154" t="inlineStr">
        <is>
          <t>menu: carta larga</t>
        </is>
      </c>
      <c r="JX1" s="154" t="inlineStr">
        <is>
          <t>nome dela</t>
        </is>
      </c>
      <c r="JY1" s="154" t="inlineStr">
        <is>
          <t>pe dela</t>
        </is>
      </c>
      <c r="JZ1" s="154" t="inlineStr">
        <is>
          <t>forma dela</t>
        </is>
      </c>
      <c r="KA1" s="154" t="inlineStr">
        <is>
          <t>resolve dela</t>
        </is>
      </c>
      <c r="KB1" s="154" t="inlineStr">
        <is>
          <t>como é dela</t>
        </is>
      </c>
      <c r="KD1" s="154" t="inlineStr">
        <is>
          <t>menu: passiva</t>
        </is>
      </c>
      <c r="KE1" s="154" t="inlineStr">
        <is>
          <t>lugar da passiva</t>
        </is>
      </c>
      <c r="KF1" s="154" t="inlineStr">
        <is>
          <t>classe passiva no menu</t>
        </is>
      </c>
      <c r="KG1" s="154" t="inlineStr">
        <is>
          <t>passiva no menu</t>
        </is>
      </c>
      <c r="KH1" s="154" t="inlineStr">
        <is>
          <t>texto da passiva no menu</t>
        </is>
      </c>
      <c r="KJ1" s="154" t="inlineStr">
        <is>
          <t>menu: aptidão</t>
        </is>
      </c>
      <c r="KK1" s="154" t="inlineStr">
        <is>
          <t>lugar da aptidão</t>
        </is>
      </c>
      <c r="KL1" s="154" t="inlineStr">
        <is>
          <t>classe passiva da aptidão no menu</t>
        </is>
      </c>
      <c r="KM1" s="154" t="inlineStr">
        <is>
          <t>aptidão no menu</t>
        </is>
      </c>
      <c r="KN1" s="154" t="inlineStr">
        <is>
          <t>texto da aptidão no menu</t>
        </is>
      </c>
      <c r="KP1" s="154" t="inlineStr">
        <is>
          <t>menu: rótulo</t>
        </is>
      </c>
      <c r="KQ1" s="154" t="inlineStr">
        <is>
          <t>texto do rótulo</t>
        </is>
      </c>
      <c r="KS1" s="154" t="inlineStr">
        <is>
          <t>caixa calculada</t>
        </is>
      </c>
      <c r="KT1" s="154" t="inlineStr">
        <is>
          <t>o que a caixa mostra</t>
        </is>
      </c>
    </row>
    <row r="2">
      <c r="A2" s="155">
        <f>IF(N(DADOS!$AK$30)=1,4,IF(N(DADOS!$AK$32)=1,3,IF(N(DADOS!$AK$31)=1,2,1)))</f>
        <v/>
      </c>
      <c r="C2" s="153" t="inlineStr">
        <is>
          <t>feitiço</t>
        </is>
      </c>
      <c r="D2" s="153" t="inlineStr">
        <is>
          <t>Feitiço</t>
        </is>
      </c>
      <c r="E2" s="153" t="inlineStr">
        <is>
          <t>Manejo</t>
        </is>
      </c>
      <c r="F2" s="153" t="inlineStr">
        <is>
          <t>Kata</t>
        </is>
      </c>
      <c r="G2" s="153" t="inlineStr">
        <is>
          <t>Kata</t>
        </is>
      </c>
      <c r="I2" s="153" t="inlineStr">
        <is>
          <t>Alcance</t>
        </is>
      </c>
      <c r="J2" s="155">
        <f>'FICHA AMALDIÇOADA'!$D$37&amp;""</f>
        <v/>
      </c>
      <c r="K2" s="155">
        <f>IF($J2="Livre",1,0)</f>
        <v/>
      </c>
      <c r="L2" s="155">
        <f>IF($J2="Fechada",1,0)</f>
        <v/>
      </c>
      <c r="N2" s="153" t="inlineStr">
        <is>
          <t>Livre</t>
        </is>
      </c>
      <c r="P2" s="155" t="n">
        <v>1</v>
      </c>
      <c r="Q2" s="155" t="n">
        <v>1</v>
      </c>
      <c r="R2" s="155" t="n">
        <v>1</v>
      </c>
      <c r="S2" s="155" t="n">
        <v>2</v>
      </c>
      <c r="T2" s="155" t="n">
        <v>1</v>
      </c>
      <c r="U2" s="155" t="n">
        <v>1</v>
      </c>
      <c r="V2" s="155" t="n">
        <v>1</v>
      </c>
      <c r="W2" s="155" t="n">
        <v>2</v>
      </c>
      <c r="Y2" s="153" t="inlineStr">
        <is>
          <t>Projétil</t>
        </is>
      </c>
      <c r="Z2" s="153" t="inlineStr"/>
      <c r="AA2" s="155" t="n">
        <v>0</v>
      </c>
      <c r="AB2" s="155">
        <f>IF($AA2=0,0,$AA2+3*IFERROR(VLOOKUP($Z2,$I$2:$L$10,3,FALSE),0))</f>
        <v/>
      </c>
      <c r="AC2" s="155">
        <f>IFERROR(VLOOKUP($Z2,$I$2:$L$10,4,FALSE),0)</f>
        <v/>
      </c>
      <c r="AD2" s="155" t="n">
        <v>0</v>
      </c>
      <c r="AE2" s="155" t="n">
        <v>0</v>
      </c>
      <c r="AF2" s="153" t="inlineStr">
        <is>
          <t>Acerto</t>
        </is>
      </c>
      <c r="AG2" s="155" t="n">
        <v>0</v>
      </c>
      <c r="AH2" s="155" t="n">
        <v>1</v>
      </c>
      <c r="AI2" s="155" t="n">
        <v>0</v>
      </c>
      <c r="AJ2" s="155" t="n">
        <v>1</v>
      </c>
      <c r="AK2" s="155" t="n">
        <v>1</v>
      </c>
      <c r="AL2" s="155">
        <f>IF($AC2=1,"",$Y2)</f>
        <v/>
      </c>
      <c r="AM2" s="155">
        <f>IF(AND($AK2=1,$AC2=0),$Y2,"")</f>
        <v/>
      </c>
      <c r="AO2" s="153" t="inlineStr">
        <is>
          <t>Projétil · classe 0</t>
        </is>
      </c>
      <c r="AP2" s="153" t="inlineStr">
        <is>
          <t>9 m, um alvo</t>
        </is>
      </c>
      <c r="AQ2" s="153" t="inlineStr">
        <is>
          <t>18 m, um alvo</t>
        </is>
      </c>
      <c r="AR2" s="153" t="inlineStr">
        <is>
          <t>36 m, um alvo</t>
        </is>
      </c>
      <c r="AS2" s="153" t="inlineStr">
        <is>
          <t>90 m, um alvo</t>
        </is>
      </c>
      <c r="AT2" s="153" t="inlineStr">
        <is>
          <t>Visão a olho nu, um alvo</t>
        </is>
      </c>
      <c r="AU2" s="153" t="inlineStr">
        <is>
          <t>Visão a olho nu, um alvo</t>
        </is>
      </c>
      <c r="AV2" s="153" t="inlineStr"/>
      <c r="AW2" s="153" t="inlineStr"/>
      <c r="AX2" s="153" t="inlineStr"/>
      <c r="AY2" s="153" t="inlineStr"/>
      <c r="AZ2" s="153" t="inlineStr"/>
      <c r="BA2" s="153" t="inlineStr"/>
      <c r="BC2" s="153" t="inlineStr">
        <is>
          <t>Longe</t>
        </is>
      </c>
      <c r="BD2" s="153" t="inlineStr">
        <is>
          <t>Alcance</t>
        </is>
      </c>
      <c r="BE2" s="155" t="n">
        <v>1</v>
      </c>
      <c r="BF2" s="155">
        <f>$BE2+3*IFERROR(VLOOKUP($BD2,$I$2:$L$10,3,FALSE),0)</f>
        <v/>
      </c>
      <c r="BG2" s="155">
        <f>IFERROR(VLOOKUP($BD2,$I$2:$L$10,4,FALSE),0)</f>
        <v/>
      </c>
      <c r="BH2" s="155" t="n">
        <v>0</v>
      </c>
      <c r="BI2" s="155">
        <f>IF($BG2=1,"",$BC2)</f>
        <v/>
      </c>
      <c r="BJ2" s="155">
        <f>IF(AND($BE2=1,$BG2=0),$BC2,"")</f>
        <v/>
      </c>
      <c r="BK2" s="155" t="n">
        <v>0</v>
      </c>
      <c r="BM2" s="153" t="inlineStr">
        <is>
          <t>Corpo a Corpo</t>
        </is>
      </c>
      <c r="BN2" s="153" t="inlineStr">
        <is>
          <t>Corpo a Corpo</t>
        </is>
      </c>
      <c r="BO2" s="155" t="n">
        <v>2</v>
      </c>
      <c r="BP2" s="155" t="n">
        <v>0</v>
      </c>
      <c r="BQ2" s="153" t="inlineStr"/>
      <c r="BS2" s="153" t="inlineStr">
        <is>
          <t>Leitura</t>
        </is>
      </c>
      <c r="BT2" s="155" t="n">
        <v>1</v>
      </c>
      <c r="BU2" s="153" t="inlineStr">
        <is>
          <t>Você identifica a Classe e a Forma de qualquer feitiço conjurado a até 18 m de você. A informação não fornece a montagem completa, o custo de cada peça ou a localização de um alvo oculto.</t>
        </is>
      </c>
      <c r="BV2" s="155" t="n">
        <v>1</v>
      </c>
      <c r="BW2" s="155" t="n">
        <v>1</v>
      </c>
      <c r="BX2" s="155">
        <f>IF(OR(AND($A$2&lt;=2,$BV2=1),AND($A$2&gt;=2,$BW2=1)),$BS2,"")</f>
        <v/>
      </c>
      <c r="BY2" s="153" t="inlineStr">
        <is>
          <t>Você identifica a Classe e a Forma de qualquer feitiço conjurado a até 18 m de você. A informação não fornece a montagem completa, o custo de cada peça ou a localização de um alvo oculto.</t>
        </is>
      </c>
      <c r="CA2" s="155" t="n">
        <v>1</v>
      </c>
      <c r="CB2" s="155" t="n">
        <v>1</v>
      </c>
      <c r="CD2" s="153" t="inlineStr">
        <is>
          <t>Cobrir-se de Energia</t>
        </is>
      </c>
      <c r="CE2" s="153" t="inlineStr">
        <is>
          <t>Gratuita no Refino 1</t>
        </is>
      </c>
      <c r="CF2" s="153" t="inlineStr">
        <is>
          <t>—</t>
        </is>
      </c>
      <c r="CG2" s="153" t="inlineStr">
        <is>
          <t>Proteção e Redução de Dano da Reação</t>
        </is>
      </c>
      <c r="CH2" s="153"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fica sem proteção até o fim do seu próximo turno. Isso inclui a proteção do equipamento e do escudo. Conserve os demais componentes da Defesa. Atualize também a base de Bloquear para os ataques seguintes. O acerto já resolvido não é recalculado. Esta Reação pode ser usada mesmo vestindo proteção, mas a perda da proteção continua sendo o seu custo. Ela não devolve uma Reação já gasta.</t>
        </is>
      </c>
      <c r="CI2" s="155">
        <f>IF($CL2=1,"",IF($A$2=4,IF($CJ2=1,$CD2,""),IF(OR($CJ2=1,AND($A$2=3,$CK2=1)),"",$CD2)))</f>
        <v/>
      </c>
      <c r="CJ2" s="155" t="n">
        <v>0</v>
      </c>
      <c r="CK2" s="155" t="n">
        <v>0</v>
      </c>
      <c r="CL2" s="155" t="n">
        <v>1</v>
      </c>
      <c r="CM2" s="153" t="inlineStr">
        <is>
          <t>A energia que envolve seu corpo concede proteção e pode ser concentrada para amortecer um golpe.</t>
        </is>
      </c>
      <c r="CO2" s="153" t="inlineStr">
        <is>
          <t>Domínio Simples</t>
        </is>
      </c>
      <c r="CQ2" s="153" t="inlineStr">
        <is>
          <t>Três grupos de arma</t>
        </is>
      </c>
      <c r="CS2" s="155">
        <f>IF($A$2=2,IFERROR(INDEX($CO$2:$CO$5,1),""),IF($A$2&gt;=3,IFERROR(INDEX($CQ$2:$CQ$4,1),""),""))</f>
        <v/>
      </c>
      <c r="CU2" s="153" t="inlineStr">
        <is>
          <t>Porrete</t>
        </is>
      </c>
      <c r="CV2" s="155" t="n">
        <v>1</v>
      </c>
      <c r="CW2" s="155" t="n">
        <v>0</v>
      </c>
      <c r="CX2" s="155">
        <f>IF(AND($A$2&gt;=3,'FICHA AMALDIÇOADA'!$J$16&amp;""="Três grupos de arma"),$CU2,"")</f>
        <v/>
      </c>
      <c r="CZ2" s="155" t="n">
        <v>1</v>
      </c>
      <c r="DA2" s="155" t="n">
        <v>2</v>
      </c>
      <c r="DB2" s="155" t="n">
        <v>2</v>
      </c>
      <c r="DD2" s="155" t="n">
        <v>10</v>
      </c>
      <c r="DF2" s="155" t="n">
        <v>3</v>
      </c>
      <c r="DH2" s="155" t="n">
        <v>17</v>
      </c>
      <c r="DI2" s="155" t="n">
        <v>24</v>
      </c>
      <c r="DJ2" s="155" t="n">
        <v>8</v>
      </c>
      <c r="DL2" s="153" t="inlineStr">
        <is>
          <t>Incompleta</t>
        </is>
      </c>
      <c r="DM2" s="155" t="n">
        <v>2</v>
      </c>
      <c r="DN2" s="155" t="n">
        <v>10</v>
      </c>
      <c r="DO2" s="155" t="n">
        <v>4</v>
      </c>
      <c r="DP2" s="153" t="inlineStr">
        <is>
          <t>Nível 10 e refino 4</t>
        </is>
      </c>
      <c r="DR2" s="153" t="inlineStr">
        <is>
          <t>Permanente</t>
        </is>
      </c>
      <c r="DS2" s="153" t="inlineStr">
        <is>
          <t>Fora de cena, com registro aprovado</t>
        </is>
      </c>
      <c r="DU2" s="153" t="inlineStr">
        <is>
          <t>Uma aptidão</t>
        </is>
      </c>
      <c r="DW2" s="153" t="inlineStr">
        <is>
          <t>Feitiço 1</t>
        </is>
      </c>
      <c r="DX2" s="155" t="n">
        <v>0</v>
      </c>
      <c r="DY2" s="155" t="n">
        <v>1</v>
      </c>
      <c r="DZ2" s="155">
        <f>MAX(1,MIN(7,N('FICHA AMALDIÇOADA'!$D$51)))</f>
        <v/>
      </c>
      <c r="EA2" s="155">
        <f>'FICHA AMALDIÇOADA'!$E$51&amp;""</f>
        <v/>
      </c>
      <c r="EB2" s="155">
        <f>'FICHA AMALDIÇOADA'!$D$58&amp;""</f>
        <v/>
      </c>
      <c r="EC2" s="155">
        <f>'FICHA AMALDIÇOADA'!$E$60&amp;""</f>
        <v/>
      </c>
      <c r="ED2" s="155">
        <f>'FICHA AMALDIÇOADA'!$E$61&amp;""</f>
        <v/>
      </c>
      <c r="EE2" s="155">
        <f>'FICHA AMALDIÇOADA'!$E$62&amp;""</f>
        <v/>
      </c>
      <c r="EF2" s="155">
        <f>'FICHA AMALDIÇOADA'!$E$63&amp;""</f>
        <v/>
      </c>
      <c r="EG2" s="155">
        <f>'FICHA AMALDIÇOADA'!$E$64&amp;""</f>
        <v/>
      </c>
      <c r="EH2" s="155">
        <f>'FICHA AMALDIÇOADA'!$E$65&amp;""</f>
        <v/>
      </c>
      <c r="EI2" s="155">
        <f>IF($EA2&lt;&gt;"",1,0)</f>
        <v/>
      </c>
      <c r="EJ2" s="155">
        <f>IFERROR(MATCH($EB2,$Y$2:$Y$11,0),0)</f>
        <v/>
      </c>
      <c r="EK2" s="155">
        <f>IF($EJ2=0,0,INDEX($AB$2:$AB$11,$EJ2))</f>
        <v/>
      </c>
      <c r="EL2" s="155">
        <f>IFERROR(VLOOKUP($EC2,$BC$2:$BK$84,4,FALSE),0)</f>
        <v/>
      </c>
      <c r="EM2" s="155">
        <f>IFERROR(VLOOKUP($ED2,$BC$2:$BK$84,4,FALSE),0)</f>
        <v/>
      </c>
      <c r="EN2" s="155">
        <f>IFERROR(VLOOKUP($EE2,$BC$2:$BK$84,4,FALSE),0)</f>
        <v/>
      </c>
      <c r="EO2" s="155">
        <f>IFERROR(VLOOKUP($EF2,$BC$2:$BK$84,4,FALSE),0)</f>
        <v/>
      </c>
      <c r="EP2" s="155">
        <f>IF($EJ2=0,0,INDEX($AC$2:$AC$11,$EJ2))</f>
        <v/>
      </c>
      <c r="EQ2" s="155">
        <f>IFERROR(VLOOKUP($EC2,$BC$2:$BK$84,5,FALSE),0)</f>
        <v/>
      </c>
      <c r="ER2" s="155">
        <f>IFERROR(VLOOKUP($ED2,$BC$2:$BK$84,5,FALSE),0)</f>
        <v/>
      </c>
      <c r="ES2" s="155">
        <f>IFERROR(VLOOKUP($EE2,$BC$2:$BK$84,5,FALSE),0)</f>
        <v/>
      </c>
      <c r="ET2" s="155">
        <f>IFERROR(VLOOKUP($EF2,$BC$2:$BK$84,5,FALSE),0)</f>
        <v/>
      </c>
      <c r="EU2" s="155">
        <f>IFERROR(VLOOKUP($EC2,$BC$2:$BK$84,6,FALSE),0)+IFERROR(VLOOKUP($ED2,$BC$2:$BK$84,6,FALSE),0)+IFERROR(VLOOKUP($EE2,$BC$2:$BK$84,6,FALSE),0)+IFERROR(VLOOKUP($EF2,$BC$2:$BK$84,6,FALSE),0)</f>
        <v/>
      </c>
      <c r="EV2" s="155">
        <f>IFERROR(VLOOKUP($EC2,$BC$2:$BK$84,9,FALSE),0)+IFERROR(VLOOKUP($ED2,$BC$2:$BK$84,9,FALSE),0)+IFERROR(VLOOKUP($EE2,$BC$2:$BK$84,9,FALSE),0)+IFERROR(VLOOKUP($EF2,$BC$2:$BK$84,9,FALSE),0)</f>
        <v/>
      </c>
      <c r="EW2" s="155">
        <f>IF($EJ2=0,0,INDEX($AD$2:$AD$11,$EJ2))</f>
        <v/>
      </c>
      <c r="EX2" s="155">
        <f>IF($EJ2=0,0,INDEX($AE$2:$AE$11,$EJ2))</f>
        <v/>
      </c>
      <c r="EY2" s="155">
        <f>IF($EJ2=0,0,INDEX($AG$2:$AG$11,$EJ2))</f>
        <v/>
      </c>
      <c r="EZ2" s="155">
        <f>IFERROR(VLOOKUP($EG2,$BM$2:$BQ$24,3,FALSE),0)</f>
        <v/>
      </c>
      <c r="FA2" s="155">
        <f>IFERROR(VLOOKUP($EH2,$BM$2:$BQ$24,3,FALSE),0)</f>
        <v/>
      </c>
      <c r="FB2" s="155">
        <f>IFERROR(VLOOKUP($EG2,$BM$2:$BQ$24,2,FALSE),"")</f>
        <v/>
      </c>
      <c r="FC2" s="155">
        <f>IFERROR(VLOOKUP($EH2,$BM$2:$BQ$24,2,FALSE),"")</f>
        <v/>
      </c>
      <c r="FD2" s="155">
        <f>COUNTIF($EK2:$EO2,1)</f>
        <v/>
      </c>
      <c r="FE2" s="155">
        <f>COUNTIF($EK2:$EO2,2)</f>
        <v/>
      </c>
      <c r="FF2" s="155">
        <f>COUNTIF($EK2:$EO2,3)</f>
        <v/>
      </c>
      <c r="FG2" s="155">
        <f>COUNTIF($EK2:$EO2,4)</f>
        <v/>
      </c>
      <c r="FH2" s="155">
        <f>COUNTIF($EK2:$EO2,5)</f>
        <v/>
      </c>
      <c r="FI2" s="155">
        <f>COUNTIF($EK2:$EO2,6)</f>
        <v/>
      </c>
      <c r="FJ2" s="155">
        <f>COUNTIF($EZ2:$FA2,1)</f>
        <v/>
      </c>
      <c r="FK2" s="155">
        <f>COUNTIF($EZ2:$FA2,2)+$EW2</f>
        <v/>
      </c>
      <c r="FL2" s="155">
        <f>COUNTIF($EC2:$EF2,"?*")</f>
        <v/>
      </c>
      <c r="FM2" s="155">
        <f>COUNTIF($EG2:$EH2,"?*")+$EW2</f>
        <v/>
      </c>
      <c r="FN2" s="155">
        <f>SUMPRODUCT($FD2:$FI2,INDEX($Q$2:$V$8,$DZ2,0))</f>
        <v/>
      </c>
      <c r="FO2" s="155">
        <f>$FJ2*CEILING($DZ2/2,1)+$FK2*$DZ2</f>
        <v/>
      </c>
      <c r="FP2" s="155">
        <f>MIN(2*$DZ2,$FO2)</f>
        <v/>
      </c>
      <c r="FQ2" s="155">
        <f>MIN($FP2,$FN2)</f>
        <v/>
      </c>
      <c r="FR2" s="155">
        <f>$FP2-$FQ2</f>
        <v/>
      </c>
      <c r="FS2" s="155">
        <f>3*$DZ2-$FN2+$FQ2</f>
        <v/>
      </c>
      <c r="FT2" s="155">
        <f>MAX(0,$FS2)+$DX2*$DZ2</f>
        <v/>
      </c>
      <c r="FU2" s="155">
        <f>(IF(COUNTIF($EC2:$EF2,"Salto")&gt;0,1,0)+IF(COUNTIF($EC2:$EF2,"Queima")&gt;0,1,0)+IF(COUNTIF($EC2:$EF2,"Estilhaço")&gt;0,1,0))*FLOOR($FT2/2,1)</f>
        <v/>
      </c>
      <c r="FV2" s="155">
        <f>MAX(0,3-SUMPRODUCT($FD2:$FI2,$Q$2:$V$2)+MIN(2,$FJ2*1+$FK2*1,SUMPRODUCT($FD2:$FI2,$Q$2:$V$2)))+$DX2*1</f>
        <v/>
      </c>
      <c r="FW2" s="155">
        <f>MAX(0,6-SUMPRODUCT($FD2:$FI2,$Q$3:$V$3)+MIN(4,$FJ2*1+$FK2*2,SUMPRODUCT($FD2:$FI2,$Q$3:$V$3)))+$DX2*2</f>
        <v/>
      </c>
      <c r="FX2" s="155">
        <f>MAX(0,9-SUMPRODUCT($FD2:$FI2,$Q$4:$V$4)+MIN(6,$FJ2*2+$FK2*3,SUMPRODUCT($FD2:$FI2,$Q$4:$V$4)))+$DX2*3</f>
        <v/>
      </c>
      <c r="FY2" s="155">
        <f>MAX(0,12-SUMPRODUCT($FD2:$FI2,$Q$5:$V$5)+MIN(8,$FJ2*2+$FK2*4,SUMPRODUCT($FD2:$FI2,$Q$5:$V$5)))+$DX2*4</f>
        <v/>
      </c>
      <c r="FZ2" s="155">
        <f>MAX(0,15-SUMPRODUCT($FD2:$FI2,$Q$6:$V$6)+MIN(10,$FJ2*3+$FK2*5,SUMPRODUCT($FD2:$FI2,$Q$6:$V$6)))+$DX2*5</f>
        <v/>
      </c>
      <c r="GA2" s="155">
        <f>MAX(0,18-SUMPRODUCT($FD2:$FI2,$Q$7:$V$7)+MIN(12,$FJ2*3+$FK2*6,SUMPRODUCT($FD2:$FI2,$Q$7:$V$7)))+$DX2*6</f>
        <v/>
      </c>
      <c r="GB2" s="155">
        <f>MAX(0,21-SUMPRODUCT($FD2:$FI2,$Q$8:$V$8)+MIN(14,$FJ2*4+$FK2*7,SUMPRODUCT($FD2:$FI2,$Q$8:$V$8)))+$DX2*7</f>
        <v/>
      </c>
      <c r="GC2" s="155">
        <f>IF($EX2=2,3*$FV2&amp;" de vida temp.",IF($EX2=3,"sem dano",IF($FV2=0,IF($EX2=1,"sem cura","sem dano"),IF($EX2=1,"cura ","")&amp;$FV2&amp;"d8")))</f>
        <v/>
      </c>
      <c r="GD2" s="155">
        <f>IF($EX2=2,3*$FW2&amp;" de vida temp.",IF($EX2=3,"sem dano",IF($FW2=0,IF($EX2=1,"sem cura","sem dano"),IF($EX2=1,"cura ","")&amp;$FW2&amp;"d8")))</f>
        <v/>
      </c>
      <c r="GE2" s="155">
        <f>IF($EX2=2,3*$FX2&amp;" de vida temp.",IF($EX2=3,"sem dano",IF($FX2=0,IF($EX2=1,"sem cura","sem dano"),IF($EX2=1,"cura ","")&amp;$FX2&amp;"d8")))</f>
        <v/>
      </c>
      <c r="GF2" s="155">
        <f>IF($EX2=2,3*$FY2&amp;" de vida temp.",IF($EX2=3,"sem dano",IF($FY2=0,IF($EX2=1,"sem cura","sem dano"),IF($EX2=1,"cura ","")&amp;$FY2&amp;"d8")))</f>
        <v/>
      </c>
      <c r="GG2" s="155">
        <f>IF($EX2=2,3*$FZ2&amp;" de vida temp.",IF($EX2=3,"sem dano",IF($FZ2=0,IF($EX2=1,"sem cura","sem dano"),IF($EX2=1,"cura ","")&amp;$FZ2&amp;"d8")))</f>
        <v/>
      </c>
      <c r="GH2" s="155">
        <f>IF($EX2=2,3*$GA2&amp;" de vida temp.",IF($EX2=3,"sem dano",IF($GA2=0,IF($EX2=1,"sem cura","sem dano"),IF($EX2=1,"cura ","")&amp;$GA2&amp;"d8")))</f>
        <v/>
      </c>
      <c r="GI2" s="155">
        <f>IF($EX2=2,3*$GB2&amp;" de vida temp.",IF($EX2=3,"sem dano",IF($GB2=0,IF($EX2=1,"sem cura","sem dano"),IF($EX2=1,"cura ","")&amp;$GB2&amp;"d8")))</f>
        <v/>
      </c>
      <c r="GJ2" s="155">
        <f>IF($EI2=0,"",TEXTJOIN(" · ",TRUE,IF(AND($DX2=1,$DY2&gt;$HK$9),"O nível "&amp;$HK$2&amp;" dá "&amp;$HK$9&amp;" Liberação Máxima",""),IF($DZ2&gt;$HK$4,"Classe "&amp;$DZ2&amp;": o nível "&amp;$HK$2&amp;" libera até a "&amp;$HK$4,""),IF($EP2=1,"Família Fechada: a Forma "&amp;$EB2,""),IF($EQ2=1,"Família Fechada: "&amp;$EC2,""),IF($ER2=1,"Família Fechada: "&amp;$ED2,""),IF($ES2=1,"Família Fechada: "&amp;$EE2,""),IF($ET2=1,"Família Fechada: "&amp;$EF2,""),IF($FL2&gt;INDEX($W$2:$W$8,$DZ2),$FL2&amp;" Melhorias: a Classe "&amp;$DZ2&amp;" aceita "&amp;INDEX($W$2:$W$8,$DZ2),""),IF($FM2&gt;2,$FM2&amp;" Restrições"&amp;IF($EW2=1,", contando a que a Forma "&amp;$EB2&amp;" já traz","")&amp;": o limite é 2",""),IF($FS2&lt;0,"Orçamento estourado: faltam "&amp;(-$FS2)&amp;IF($FS2&lt;-1," pontos"," ponto"),""),IF(IFERROR(VLOOKUP($EG2,$BM$2:$BQ$24,4,FALSE),0)+IFERROR(VLOOKUP($EH2,$BM$2:$BQ$24,4,FALSE),0)&gt;1,$FB2&amp;" e "&amp;$FC2&amp;" são as duas de frequência",""),IF(AND((COUNTIF($EC2:$EF2,"Rápido")+COUNTIF($FB2:$FC2,"Rápido"))&gt;0,(COUNTIF($EC2:$EF2,"Atrasar")+COUNTIF($FB2:$FC2,"Atrasar"))&gt;0),"Rápido não entra com Atrasar",""),IF(AND((COUNTIF($EC2:$EF2,"Reação")+COUNTIF($FB2:$FC2,"Reação"))&gt;0,(COUNTIF($EC2:$EF2,"Rápido")+COUNTIF($FB2:$FC2,"Rápido"))&gt;0),"Reação não entra com Rápido",""),IF(AND((COUNTIF($EC2:$EF2,"Reação")+COUNTIF($FB2:$FC2,"Reação"))&gt;0,(COUNTIF($EC2:$EF2,"Armado")+COUNTIF($FB2:$FC2,"Armado"))&gt;0),"Reação não entra com Armado",""),IF(AND((COUNTIF($EC2:$EF2,"Reação")+COUNTIF($FB2:$FC2,"Reação"))&gt;0,(COUNTIF($EC2:$EF2,"Atrasar")+COUNTIF($FB2:$FC2,"Atrasar"))&gt;0),"Reação não entra com Atrasar",""),IF(AND((COUNTIF($EC2:$EF2,"Reação")+COUNTIF($FB2:$FC2,"Reação"))&gt;0,(COUNTIF($EC2:$EF2,"Parado")+COUNTIF($FB2:$FC2,"Parado"))&gt;0),"Reação não entra com Parado",""),IF(AND((COUNTIF($EC2:$EF2,"Atrasar")+COUNTIF($FB2:$FC2,"Atrasar"))&gt;0,(COUNTIF($EC2:$EF2,"Parado")+COUNTIF($FB2:$FC2,"Parado"))&gt;0),"Atrasar não entra com Parado",""),IF(AND((COUNTIF($EC2:$EF2,"Armado")+COUNTIF($FB2:$FC2,"Armado"))&gt;0,(COUNTIF($EC2:$EF2,"Carregar")+COUNTIF($FB2:$FC2,"Carregar"))&gt;0),"Armado não entra com Carregar",""),IF(AND(COUNTIF($FB2:$FC2,"Corpo a Corpo")&gt;0,$EW2=0,OR($EB2="Cone",$EB2="Linha")),"Corpo a Corpo não entra em "&amp;$EB2,""),IF(AND(COUNTIF($FB2:$FC2,"Corpo a Corpo")&gt;0,$EW2=1),"A Forma "&amp;$EB2&amp;" já traz o Corpo a Corpo",""),IF(AND(COUNTIF($FB2:$FC2,"Tudo ou Nada")&gt;0,$EY2=0),"Tudo ou Nada só entra em feitiço de Teste de Resistência",""),IF(AND(COUNTIF($EC2:$EF2,"Inescapável")&gt;0,OR($FL2&gt;1,$FM2&gt;0)),"Inescapável não aceita outra peça",""),IF(AND($DX2=1,$DZ2&lt;3),"Liberação Máxima é de Classe 3 ou mais",""),IF(AND($DX2=1,OR($EX2=1,$EX2=2)),"Liberação Máxima não serve para cura",""),IF(AND($DX2=1,COUNTIF($EC2:$EF2,"Inescapável")+COUNTIF($EC2:$EF2,"Toca a Alma")&gt;0),"Esta peça não entra numa Liberação Máxima",""),IF($FT2*IF(COUNTIF($EC2:$EF2,"Remate")&gt;0,1.25,1)+$FU2&gt;4*$DZ2,($FT2*IF(COUNTIF($EC2:$EF2,"Remate")&gt;0,1.25,1)+$FU2)&amp;" dados somando repetições"&amp;IF(COUNTIF($EC2:$EF2,"Remate")&gt;0," e o Remate","")&amp;": o teto da Classe "&amp;$DZ2&amp;" é "&amp;4*$DZ2,"")))</f>
        <v/>
      </c>
      <c r="GK2" s="155">
        <f>IF($GJ2="",0,(LEN($GJ2)-LEN(SUBSTITUTE($GJ2," · ","")))/3+1)</f>
        <v/>
      </c>
      <c r="GL2" s="155">
        <f>IF($EI2=0,"",TEXTJOIN(" · ",TRUE,IF($FO2&gt;2*$DZ2,"A devolução parou no teto de "&amp;2*$DZ2,""),IF($FR2&gt;0,"Devolução perdida: "&amp;$FR2&amp;IF($FR2&gt;1," pontos"," ponto")&amp;" sem peça para pagar",""),IF(AND($EU2&gt;0,$FT2=0),"Controle sem dano: uma rodada a mais e CD +2",""),IF(AND($EU2&gt;0,$FT2&gt;0,$FT2&lt;=$DZ2),"Controle com saldo até a Classe: uma rodada a mais","")))</f>
        <v/>
      </c>
      <c r="GM2" s="155">
        <f>IF($GL2="",0,(LEN($GL2)-LEN(SUBSTITUTE($GL2," · ","")))/3+1)</f>
        <v/>
      </c>
      <c r="GN2" s="155">
        <f>IF($EI2=0,IF($FL2+$FM2-$EW2&gt;0,"Dê um nome",""),IF($GK2&gt;0,"⚠ "&amp;$GK2&amp;IF($GK2&gt;1," erros"," erro"),IF($GM2&gt;0,"! "&amp;$GM2&amp;IF($GM2&gt;1," avisos"," aviso"),"Na regra")))</f>
        <v/>
      </c>
      <c r="GO2" s="155">
        <f>IF($EI2=0,"",IF($GK2+$GM2=0,"Dentro das regras que a ficha confere",$GJ2&amp;IF(AND($GK2&gt;0,$GM2&gt;0)," · ","")&amp;$GL2))</f>
        <v/>
      </c>
      <c r="GP2" s="155">
        <f>IF($EI2=0,"",IF($DX2=1,CEILING(4.5*$DZ2,1),3*$DZ2)&amp;" PE")</f>
        <v/>
      </c>
      <c r="GQ2" s="155">
        <f>IF($EI2=0,"",IF($DX2=1,"Rodada inteira",IF(COUNTIF($FB2:$FC2,"Atrasar")&gt;0,IF(COUNTIF($FB2:$FC2,"Carregar")&gt;0,"Rodada +1 turno","Rodada inteira"),IF(COUNTIF($EC2:$EF2,"Rápido")&gt;0,"Bônus",IF(COUNTIF($EC2:$EF2,"Reação")&gt;0,"Reação","Padrão"))&amp;IF(COUNTIF($FB2:$FC2,"Carregar")&gt;0," +1 turno",""))))</f>
        <v/>
      </c>
      <c r="GR2" s="155">
        <f>IF(OR($EI2=0,$EJ2=0),"",IF(COUNTIF($EC2:$EF2,"Inescapável")&gt;0,"Automático",IF(COUNTIF($EC2:$EF2,"Certeiro")&gt;0,"TR para metade",IF(AND($EV2&gt;0,$EY2=0,INDEX($AF$2:$AF$11,$EJ2)="Acerto"),"Acerto + TR",INDEX($AF$2:$AF$11,$EJ2)))))</f>
        <v/>
      </c>
      <c r="GS2" s="155">
        <f>IF(OR($EI2=0,$EJ2=0),"",IF(OR($EX2&gt;=2,$FT2=0),UPPER(LEFT(INDEX($GC2:$GI2,1,$DZ2),1))&amp;MID(INDEX($GC2:$GI2,1,$DZ2),2,99),UPPER(LEFT(INDEX($GC2:$GI2,1,$DZ2),1))&amp;MID(INDEX($GC2:$GI2,1,$DZ2),2,99)&amp;" = "&amp;FLOOR($FT2*4.5,1)&amp;IF($FU2&gt;0," · +"&amp;$FU2&amp;"d8","")))</f>
        <v/>
      </c>
      <c r="GT2" s="155">
        <f>COUNTIF($EC2:$EF2,"Longe")+3*COUNTIF($EC2:$EF2,"Muito Longe")</f>
        <v/>
      </c>
      <c r="GU2" s="155">
        <f>COUNTIF($EC2:$EF2,"Maior")+3*COUNTIF($EC2:$EF2,"Muito Maior")</f>
        <v/>
      </c>
      <c r="GV2" s="155">
        <f>IF($EJ2=0,0,CHOOSE(1+INDEX($AH$2:$AH$11,$EJ2),0,$GT2,$GU2,$GT2+$GU2))</f>
        <v/>
      </c>
      <c r="GW2" s="155">
        <f>IF($EJ2=0,0,CHOOSE(1+INDEX($AI$2:$AI$11,$EJ2),0,$GT2,$GU2,$GT2+$GU2))</f>
        <v/>
      </c>
      <c r="GX2" s="155">
        <f>IF(OR($EI2=0,$EJ2=0),"",INDEX($AP$2:$AU$31,($EJ2-1)*3+IF($DZ2&gt;=6,3,2),1+MIN(5,$GV2))&amp;INDEX($AV$2:$BA$31,($EJ2-1)*3+IF($DZ2&gt;=6,3,2),1+MIN(5,$GW2))&amp;IF(INDEX($AJ$2:$AJ$11,$EJ2)=1,IF(COUNTIF($EC2:$EF2,"Mais Um")&gt;0," · +"&amp;COUNTIF($EC2:$EF2,"Mais Um")&amp;IF(COUNTIF($EC2:$EF2,"Mais Um")&gt;1," alvos"," alvo"),"")&amp;IF(COUNTIF($EC2:$EF2,"Rajada")&gt;0," · "&amp;($DZ2+1)&amp;" tiros",""),""))</f>
        <v/>
      </c>
      <c r="GY2" s="155">
        <f>IF($EI2=0,"",3*$DZ2&amp;" − "&amp;$FN2&amp;" + "&amp;$FQ2&amp;IF($DX2=1," + "&amp;$DZ2,"")&amp;" = "&amp;$FT2&amp;"d8 · teto "&amp;4*$DZ2&amp;IF($EW2=1," · a Forma devolve "&amp;$DZ2,"")&amp;IF($FR2&gt;0," · perde "&amp;$FR2,""))</f>
        <v/>
      </c>
      <c r="GZ2" s="155">
        <f>IF($EI2=0,"",IF($DZ2&gt;=$HK$4,"Já está na maior Classe que o nível liberou",TEXTJOIN(" · ",TRUE,IF(AND(2&gt;$DZ2,2&lt;=$HK$4),"2 → "&amp;$GD2&amp;", "&amp;IF($DX2=1,9,6)&amp;" PE",""),IF(AND(3&gt;$DZ2,3&lt;=$HK$4),"3 → "&amp;$GE2&amp;", "&amp;IF($DX2=1,14,9)&amp;" PE",""),IF(AND(4&gt;$DZ2,4&lt;=$HK$4),"4 → "&amp;$GF2&amp;", "&amp;IF($DX2=1,18,12)&amp;" PE",""),IF(AND(5&gt;$DZ2,5&lt;=$HK$4),"5 → "&amp;$GG2&amp;", "&amp;IF($DX2=1,23,15)&amp;" PE",""),IF(AND(6&gt;$DZ2,6&lt;=$HK$4),"6 → "&amp;$GH2&amp;", "&amp;IF($DX2=1,27,18)&amp;" PE",""),IF(AND(7&gt;$DZ2,7&lt;=$HK$4),"7 → "&amp;$GI2&amp;", "&amp;IF($DX2=1,32,21)&amp;" PE",""))))</f>
        <v/>
      </c>
      <c r="HA2" s="155">
        <f>IF(OR($EI2=0,$EL2=0),"","−"&amp;INDEX($Q$2:$V$8,$DZ2,$EL2)&amp;" · "&amp;CHOOSE($EL2,"Leve","Média","Pesada","Leve · Livre","Média · Livre","Pesada · Livre"))</f>
        <v/>
      </c>
      <c r="HB2" s="155">
        <f>IF(OR($EI2=0,$EM2=0),"","−"&amp;INDEX($Q$2:$V$8,$DZ2,$EM2)&amp;" · "&amp;CHOOSE($EM2,"Leve","Média","Pesada","Leve · Livre","Média · Livre","Pesada · Livre"))</f>
        <v/>
      </c>
      <c r="HC2" s="155">
        <f>IF(OR($EI2=0,$EN2=0),"","−"&amp;INDEX($Q$2:$V$8,$DZ2,$EN2)&amp;" · "&amp;CHOOSE($EN2,"Leve","Média","Pesada","Leve · Livre","Média · Livre","Pesada · Livre"))</f>
        <v/>
      </c>
      <c r="HD2" s="155">
        <f>IF(OR($EI2=0,$EO2=0),"","−"&amp;INDEX($Q$2:$V$8,$DZ2,$EO2)&amp;" · "&amp;CHOOSE($EO2,"Leve","Média","Pesada","Leve · Livre","Média · Livre","Pesada · Livre"))</f>
        <v/>
      </c>
      <c r="HE2" s="155">
        <f>IF(OR($EI2=0,$EG2=""),"","+"&amp;IF($EZ2=1,CEILING($DZ2/2,1),$DZ2))</f>
        <v/>
      </c>
      <c r="HF2" s="155">
        <f>IF(OR($EI2=0,$EH2=""),"","+"&amp;IF($FA2=1,CEILING($DZ2/2,1),$DZ2))</f>
        <v/>
      </c>
      <c r="HG2" s="155">
        <f>'FICHA AMALDIÇOADA'!$D$53&amp;""</f>
        <v/>
      </c>
      <c r="HH2" s="155">
        <f>IF(AND($EI2=1,$DX2=0),COUNTIFS($EI$2:$EI2,1,$DX$2:$DX2,0),"")</f>
        <v/>
      </c>
      <c r="HJ2" s="153" t="inlineStr">
        <is>
          <t>nível</t>
        </is>
      </c>
      <c r="HK2" s="155">
        <f>N(FICHA!$AH$11)</f>
        <v/>
      </c>
      <c r="HM2" s="153" t="inlineStr">
        <is>
          <t>Talento 1</t>
        </is>
      </c>
      <c r="HN2" s="155">
        <f>'FICHA AMALDIÇOADA'!$D$379&amp;""</f>
        <v/>
      </c>
      <c r="HO2" s="155">
        <f>IFERROR(VLOOKUP($HN2,$BS$2:$BY$24,2,FALSE),0)</f>
        <v/>
      </c>
      <c r="HP2" s="155">
        <f>IFERROR(VLOOKUP($HO2,$CA$2:$CB$4,2,FALSE),0)</f>
        <v/>
      </c>
      <c r="HQ2" s="155">
        <f>IFERROR(VLOOKUP($HN2,$BS$2:$BY$24,3,FALSE),"")</f>
        <v/>
      </c>
      <c r="HR2" s="155">
        <f>IF($HO2=0,"",IF($HP2&gt;$HK$2,"⚠ Nível "&amp;$HP2,"CE "&amp;$HO2))</f>
        <v/>
      </c>
      <c r="HS2" s="155">
        <f>IF($HO2=0,"",$HO2&amp;" esp.")</f>
        <v/>
      </c>
      <c r="HT2" s="155">
        <f>'FICHA AMALDIÇOADA'!$E$384&amp;""</f>
        <v/>
      </c>
      <c r="HU2" s="155">
        <f>IF($HN2="","",COUNTIF($HN$2:$HN2,"?*"))</f>
        <v/>
      </c>
      <c r="HW2" s="153" t="inlineStr">
        <is>
          <t>Aptidão 1</t>
        </is>
      </c>
      <c r="HX2" s="155">
        <f>'FICHA AMALDIÇOADA'!$D$430&amp;""</f>
        <v/>
      </c>
      <c r="HY2" s="155">
        <f>IF($HX2="","","Requisito: "&amp;IFERROR(VLOOKUP($HX2,$CD$2:$CM$33,2,FALSE),""))</f>
        <v/>
      </c>
      <c r="HZ2" s="155">
        <f>IF($HX2="","",IFERROR(IF(ISNUMBER(VLOOKUP($HX2,$CD$2:$CM$33,3,FALSE)),"CE "&amp;VLOOKUP($HX2,$CD$2:$CM$33,3,FALSE),VLOOKUP($HX2,$CD$2:$CM$33,3,FALSE)),""))</f>
        <v/>
      </c>
      <c r="IA2" s="155">
        <f>IF($HX2="","",IFERROR(VLOOKUP($HX2,$CD$2:$CM$33,4,FALSE),""))</f>
        <v/>
      </c>
      <c r="IB2" s="155">
        <f>IF($HX2="","",IFERROR(VLOOKUP($HX2,$CD$2:$CM$33,5,FALSE),""))</f>
        <v/>
      </c>
      <c r="IC2" s="155">
        <f>'FICHA AMALDIÇOADA'!$E$447&amp;""</f>
        <v/>
      </c>
      <c r="ID2" s="155">
        <f>IF($HX2="","",COUNTIF($HX$2:$HX2,"?*"))</f>
        <v/>
      </c>
      <c r="IF2" s="153" t="inlineStr">
        <is>
          <t>Classe 0 · 1</t>
        </is>
      </c>
      <c r="IG2" s="155">
        <f>'FICHA AMALDIÇOADA'!$F$310&amp;""</f>
        <v/>
      </c>
      <c r="IH2" s="155">
        <f>'FICHA AMALDIÇOADA'!$J$310&amp;""</f>
        <v/>
      </c>
      <c r="II2" s="155">
        <f>'FICHA AMALDIÇOADA'!$L$310&amp;""</f>
        <v/>
      </c>
      <c r="IJ2" s="155">
        <f>IFERROR(MATCH($IG2,$Y$2:$Y$11,0),0)</f>
        <v/>
      </c>
      <c r="IK2" s="155">
        <f>$HK$11-IF($IH2&lt;&gt;"",1,0)</f>
        <v/>
      </c>
      <c r="IL2" s="155">
        <f>IF(1&gt;$HK$10,"Nível 1",IF($IJ2=0,"",IF(INDEX($AE$2:$AE$11,$IJ2)&gt;=2,"—",$IK2&amp;"d8 = "&amp;FLOOR($IK2*4.5,1))))</f>
        <v/>
      </c>
      <c r="IM2" s="155">
        <f>IF(OR(1&gt;$HK$10,$IJ2=0),"",INDEX($AP$2:$AU$31,($IJ2-1)*3+1,1+IF(OR(AND($IH2="Longe",INDEX($AH$2:$AH$11,$IJ2)&lt;&gt;2),AND($IH2="Maior",INDEX($AH$2:$AH$11,$IJ2)&gt;=2)),1,0))&amp;INDEX($AV$2:$BA$31,($IJ2-1)*3+1,1+IF(AND($IH2="Longe",INDEX($AI$2:$AI$11,$IJ2)=1),1,0)))</f>
        <v/>
      </c>
      <c r="IO2" s="153" t="inlineStr">
        <is>
          <t>Técnica</t>
        </is>
      </c>
      <c r="IP2" s="155">
        <f>ADDRESS(ROW('FICHA AMALDIÇOADA'!D7),COLUMN('FICHA AMALDIÇOADA'!D7),4)</f>
        <v/>
      </c>
      <c r="IQ2" s="155">
        <f>ADDRESS(ROW('FICHA AMALDIÇOADA'!D9),COLUMN('FICHA AMALDIÇOADA'!D9),4)</f>
        <v/>
      </c>
      <c r="IR2" s="153" t="inlineStr">
        <is>
          <t>DADOS_AM!$IO$2</t>
        </is>
      </c>
      <c r="IT2" s="153" t="inlineStr">
        <is>
          <t>Caminho 2</t>
        </is>
      </c>
      <c r="IU2" s="155" t="n">
        <v>2</v>
      </c>
      <c r="IV2" s="155">
        <f>IF($HK$2&gt;=2,"Nível 2","Abre no 2")</f>
        <v/>
      </c>
      <c r="IW2" s="155">
        <f>ADDRESS(ROW(FICHA!G100),COLUMN(FICHA!G100),4)</f>
        <v/>
      </c>
      <c r="IX2" s="155">
        <f>ADDRESS(ROW(FICHA!D101),COLUMN(FICHA!D101),4)</f>
        <v/>
      </c>
      <c r="IZ2" s="153" t="inlineStr">
        <is>
          <t>Caminho · Anotações</t>
        </is>
      </c>
      <c r="JA2" s="155">
        <f>ADDRESS(ROW(FICHA!D131),COLUMN(FICHA!D131),4)</f>
        <v/>
      </c>
      <c r="JC2" s="153" t="inlineStr">
        <is>
          <t>Caminho</t>
        </is>
      </c>
      <c r="JD2" s="155">
        <f>"CAMINHO"&amp;IF(OR(FICHA!$D$11="",LEFT(FICHA!$D$11,7)="Escolha"),"","  ·  "&amp;UPPER(FICHA!$D$11))&amp;"  ·  CINCO NÍVEIS"</f>
        <v/>
      </c>
      <c r="JF2" s="155" t="n">
        <v>1</v>
      </c>
      <c r="JG2" s="155">
        <f>IFERROR(MATCH(1,$HH$2:$HH$37,0),0)</f>
        <v/>
      </c>
      <c r="JH2" s="155">
        <f>IF($JG2=0,"",INDEX($DZ$2:$DZ$37,$JG2))</f>
        <v/>
      </c>
      <c r="JI2" s="155">
        <f>IF($JG2=0,"",INDEX($EA$2:$EA$37,$JG2))</f>
        <v/>
      </c>
      <c r="JJ2" s="155">
        <f>IF($JG2=0,"",INDEX($GP$2:$GP$37,$JG2))</f>
        <v/>
      </c>
      <c r="JK2" s="155">
        <f>IF($JG2=0,"",INDEX($EB$2:$EB$37,$JG2))</f>
        <v/>
      </c>
      <c r="JL2" s="155">
        <f>IF($JG2=0,"",INDEX($GR$2:$GR$37,$JG2))</f>
        <v/>
      </c>
      <c r="JM2" s="155">
        <f>IF($JG2=0,"",INDEX($HG$2:$HG$37,$JG2))</f>
        <v/>
      </c>
      <c r="JO2" s="155" t="n">
        <v>1</v>
      </c>
      <c r="JP2" s="155">
        <f>IF($EI$38=0,"",$DZ$38)</f>
        <v/>
      </c>
      <c r="JQ2" s="155">
        <f>IF($EI$38=0,"",$EA$38)</f>
        <v/>
      </c>
      <c r="JR2" s="155">
        <f>IF($EI$38=0,"",$GP$38)</f>
        <v/>
      </c>
      <c r="JS2" s="155">
        <f>IF($EI$38=0,"",$EB$38)</f>
        <v/>
      </c>
      <c r="JT2" s="155">
        <f>IF($EI$38=0,"",$GR$38)</f>
        <v/>
      </c>
      <c r="JU2" s="155">
        <f>IF($EI$38=0,"",$HG$38)</f>
        <v/>
      </c>
      <c r="JW2" s="153" t="inlineStr">
        <is>
          <t>Técnica Máxima</t>
        </is>
      </c>
      <c r="JX2" s="155">
        <f>'FICHA AMALDIÇOADA'!$D$343&amp;""</f>
        <v/>
      </c>
      <c r="JY2" s="155">
        <f>IF('FICHA AMALDIÇOADA'!$D$343="","",IF(ISNUMBER('FICHA AMALDIÇOADA'!$P$343),'FICHA AMALDIÇOADA'!$P$343&amp;" PE",'FICHA AMALDIÇOADA'!$P$343&amp;""))</f>
        <v/>
      </c>
      <c r="JZ2" s="155">
        <f>IF('FICHA AMALDIÇOADA'!$D$343="","",'FICHA AMALDIÇOADA'!$J$343&amp;"")</f>
        <v/>
      </c>
      <c r="KA2" s="155">
        <f>IF('FICHA AMALDIÇOADA'!$D$343="","",IFERROR(VLOOKUP('FICHA AMALDIÇOADA'!$J$343,$Y$2:$AM$11,8,FALSE),""))</f>
        <v/>
      </c>
      <c r="KB2" s="155">
        <f>'FICHA AMALDIÇOADA'!$D$349&amp;""</f>
        <v/>
      </c>
      <c r="KD2" s="153" t="inlineStr">
        <is>
          <t>Expressão da técnica</t>
        </is>
      </c>
      <c r="KE2" s="155" t="n">
        <v>0</v>
      </c>
      <c r="KF2" s="153" t="inlineStr">
        <is>
          <t>Livre</t>
        </is>
      </c>
      <c r="KG2" s="153" t="inlineStr">
        <is>
          <t>Expressão da técnica</t>
        </is>
      </c>
      <c r="KH2" s="155">
        <f>'FICHA AMALDIÇOADA'!$L$29&amp;""</f>
        <v/>
      </c>
      <c r="KJ2" s="153" t="inlineStr">
        <is>
          <t>De graça 1</t>
        </is>
      </c>
      <c r="KK2" s="155" t="n">
        <v>0</v>
      </c>
      <c r="KL2" s="153" t="inlineStr">
        <is>
          <t>—</t>
        </is>
      </c>
      <c r="KM2" s="155">
        <f>INDEX($D$9:$G$9,1,$A$2)</f>
        <v/>
      </c>
      <c r="KN2" s="155">
        <f>'FICHA AMALDIÇOADA'!$J$424&amp;" · "&amp;INDEX($D$11:$G$11,1,$A$2)&amp;": "&amp;'FICHA AMALDIÇOADA'!$P$424&amp;". "&amp;"Do livro: "&amp;IFERROR(VLOOKUP($KM2,$CD$2:$CM$33,10,FALSE),"")</f>
        <v/>
      </c>
      <c r="KP2" s="153" t="inlineStr">
        <is>
          <t>título</t>
        </is>
      </c>
      <c r="KQ2" s="155">
        <f>"MENU RÁPIDO · "&amp;UPPER(INDEX($D$3:$G$3,1,$A$2))&amp;", TALENTOS E "&amp;UPPER(INDEX($D$6:$G$6,1,$A$2))</f>
        <v/>
      </c>
      <c r="KS2" s="153" t="inlineStr">
        <is>
          <t>D12</t>
        </is>
      </c>
      <c r="KT2" s="155">
        <f>CARTEIRA!$O$27&amp;""</f>
        <v/>
      </c>
    </row>
    <row r="3">
      <c r="C3" s="153" t="inlineStr">
        <is>
          <t>feitiços</t>
        </is>
      </c>
      <c r="D3" s="153" t="inlineStr">
        <is>
          <t>Feitiços</t>
        </is>
      </c>
      <c r="E3" s="153" t="inlineStr">
        <is>
          <t>Manejos</t>
        </is>
      </c>
      <c r="F3" s="153" t="inlineStr">
        <is>
          <t>Katas</t>
        </is>
      </c>
      <c r="G3" s="153" t="inlineStr">
        <is>
          <t>Katas</t>
        </is>
      </c>
      <c r="I3" s="153" t="inlineStr">
        <is>
          <t>Área</t>
        </is>
      </c>
      <c r="J3" s="155">
        <f>'FICHA AMALDIÇOADA'!$E$37&amp;""</f>
        <v/>
      </c>
      <c r="K3" s="155">
        <f>IF($J3="Livre",1,0)</f>
        <v/>
      </c>
      <c r="L3" s="155">
        <f>IF($J3="Fechada",1,0)</f>
        <v/>
      </c>
      <c r="N3" s="153" t="inlineStr">
        <is>
          <t>Neutra</t>
        </is>
      </c>
      <c r="P3" s="155" t="n">
        <v>2</v>
      </c>
      <c r="Q3" s="155" t="n">
        <v>1</v>
      </c>
      <c r="R3" s="155" t="n">
        <v>2</v>
      </c>
      <c r="S3" s="155" t="n">
        <v>3</v>
      </c>
      <c r="T3" s="155" t="n">
        <v>1</v>
      </c>
      <c r="U3" s="155" t="n">
        <v>1</v>
      </c>
      <c r="V3" s="155" t="n">
        <v>2</v>
      </c>
      <c r="W3" s="155" t="n">
        <v>2</v>
      </c>
      <c r="Y3" s="153" t="inlineStr">
        <is>
          <t>Toque</t>
        </is>
      </c>
      <c r="Z3" s="153" t="inlineStr"/>
      <c r="AA3" s="155" t="n">
        <v>0</v>
      </c>
      <c r="AB3" s="155">
        <f>IF($AA3=0,0,$AA3+3*IFERROR(VLOOKUP($Z3,$I$2:$L$10,3,FALSE),0))</f>
        <v/>
      </c>
      <c r="AC3" s="155">
        <f>IFERROR(VLOOKUP($Z3,$I$2:$L$10,4,FALSE),0)</f>
        <v/>
      </c>
      <c r="AD3" s="155" t="n">
        <v>1</v>
      </c>
      <c r="AE3" s="155" t="n">
        <v>0</v>
      </c>
      <c r="AF3" s="153" t="inlineStr">
        <is>
          <t>Acerto</t>
        </is>
      </c>
      <c r="AG3" s="155" t="n">
        <v>0</v>
      </c>
      <c r="AH3" s="155" t="n">
        <v>0</v>
      </c>
      <c r="AI3" s="155" t="n">
        <v>0</v>
      </c>
      <c r="AJ3" s="155" t="n">
        <v>1</v>
      </c>
      <c r="AK3" s="155" t="n">
        <v>1</v>
      </c>
      <c r="AL3" s="155">
        <f>IF($AC3=1,"",$Y3)</f>
        <v/>
      </c>
      <c r="AM3" s="155">
        <f>IF(AND($AK3=1,$AC3=0),$Y3,"")</f>
        <v/>
      </c>
      <c r="AO3" s="153" t="inlineStr">
        <is>
          <t>Projétil · classes 1 a 5</t>
        </is>
      </c>
      <c r="AP3" s="153" t="inlineStr">
        <is>
          <t>18 m, um alvo</t>
        </is>
      </c>
      <c r="AQ3" s="153" t="inlineStr">
        <is>
          <t>36 m, um alvo</t>
        </is>
      </c>
      <c r="AR3" s="153" t="inlineStr">
        <is>
          <t>90 m, um alvo</t>
        </is>
      </c>
      <c r="AS3" s="153" t="inlineStr">
        <is>
          <t>Visão a olho nu, um alvo</t>
        </is>
      </c>
      <c r="AT3" s="153" t="inlineStr">
        <is>
          <t>Visão a olho nu, um alvo</t>
        </is>
      </c>
      <c r="AU3" s="153" t="inlineStr">
        <is>
          <t>Visão a olho nu, um alvo</t>
        </is>
      </c>
      <c r="AV3" s="153" t="inlineStr"/>
      <c r="AW3" s="153" t="inlineStr"/>
      <c r="AX3" s="153" t="inlineStr"/>
      <c r="AY3" s="153" t="inlineStr"/>
      <c r="AZ3" s="153" t="inlineStr"/>
      <c r="BA3" s="153" t="inlineStr"/>
      <c r="BC3" s="153" t="inlineStr">
        <is>
          <t>Muito Longe</t>
        </is>
      </c>
      <c r="BD3" s="153" t="inlineStr">
        <is>
          <t>Alcance</t>
        </is>
      </c>
      <c r="BE3" s="155" t="n">
        <v>2</v>
      </c>
      <c r="BF3" s="155">
        <f>$BE3+3*IFERROR(VLOOKUP($BD3,$I$2:$L$10,3,FALSE),0)</f>
        <v/>
      </c>
      <c r="BG3" s="155">
        <f>IFERROR(VLOOKUP($BD3,$I$2:$L$10,4,FALSE),0)</f>
        <v/>
      </c>
      <c r="BH3" s="155" t="n">
        <v>0</v>
      </c>
      <c r="BI3" s="155">
        <f>IF($BG3=1,"",$BC3)</f>
        <v/>
      </c>
      <c r="BJ3" s="155">
        <f>IF(AND($BE3=1,$BG3=0),$BC3,"")</f>
        <v/>
      </c>
      <c r="BK3" s="155" t="n">
        <v>0</v>
      </c>
      <c r="BM3" s="153" t="inlineStr">
        <is>
          <t>Atrasar</t>
        </is>
      </c>
      <c r="BN3" s="153" t="inlineStr">
        <is>
          <t>Atrasar</t>
        </is>
      </c>
      <c r="BO3" s="155" t="n">
        <v>2</v>
      </c>
      <c r="BP3" s="155" t="n">
        <v>0</v>
      </c>
      <c r="BQ3" s="153" t="inlineStr"/>
      <c r="BS3" s="153" t="inlineStr">
        <is>
          <t>Instinto</t>
        </is>
      </c>
      <c r="BT3" s="155" t="n">
        <v>1</v>
      </c>
      <c r="BU3" s="153" t="inlineStr">
        <is>
          <t>Você não é pego de surpresa enquanto estiver acordado. Isso não revela criaturas escondidas, não muda sua posição na iniciativa e não concede uma ação adicional.</t>
        </is>
      </c>
      <c r="BV3" s="155" t="n">
        <v>1</v>
      </c>
      <c r="BW3" s="155" t="n">
        <v>0</v>
      </c>
      <c r="BX3" s="155">
        <f>IF(OR(AND($A$2&lt;=2,$BV3=1),AND($A$2&gt;=2,$BW3=1)),$BS3,"")</f>
        <v/>
      </c>
      <c r="BY3" s="153" t="inlineStr">
        <is>
          <t>Você não é pego de surpresa enquanto estiver acordado. Isso não revela criaturas escondidas, não muda sua posição na iniciativa e não concede uma ação adicional.</t>
        </is>
      </c>
      <c r="CA3" s="155" t="n">
        <v>2</v>
      </c>
      <c r="CB3" s="155" t="n">
        <v>7</v>
      </c>
      <c r="CD3" s="153" t="inlineStr">
        <is>
          <t>Canalizar Energia</t>
        </is>
      </c>
      <c r="CE3" s="153" t="inlineStr">
        <is>
          <t>Gratuita no Refino 1</t>
        </is>
      </c>
      <c r="CF3" s="153" t="inlineStr">
        <is>
          <t>—</t>
        </is>
      </c>
      <c r="CG3" s="153" t="inlineStr">
        <is>
          <t>Dados adicionais</t>
        </is>
      </c>
      <c r="CH3" s="153"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55">
        <f>IF($CL3=1,"",IF($A$2=4,IF($CJ3=1,$CD3,""),IF(OR($CJ3=1,AND($A$2=3,$CK3=1)),"",$CD3)))</f>
        <v/>
      </c>
      <c r="CJ3" s="155" t="n">
        <v>0</v>
      </c>
      <c r="CK3" s="155" t="n">
        <v>0</v>
      </c>
      <c r="CL3" s="155" t="n">
        <v>1</v>
      </c>
      <c r="CM3" s="153" t="inlineStr">
        <is>
          <t>Você envolve seus golpes em energia amaldiçoada.</t>
        </is>
      </c>
      <c r="CO3" s="153" t="inlineStr">
        <is>
          <t>Energia Reversa</t>
        </is>
      </c>
      <c r="CQ3" s="153" t="inlineStr">
        <is>
          <t>Ferramenta de atacar</t>
        </is>
      </c>
      <c r="CS3" s="155">
        <f>IF($A$2=2,IFERROR(INDEX($CO$2:$CO$5,2),""),IF($A$2&gt;=3,IFERROR(INDEX($CQ$2:$CQ$4,2),""),""))</f>
        <v/>
      </c>
      <c r="CU3" s="153" t="inlineStr">
        <is>
          <t>Balestra</t>
        </is>
      </c>
      <c r="CV3" s="155" t="n">
        <v>0</v>
      </c>
      <c r="CW3" s="155" t="n">
        <v>1</v>
      </c>
      <c r="CX3" s="155">
        <f>IF(AND($A$2&gt;=3,'FICHA AMALDIÇOADA'!$J$16&amp;""="Três grupos de arma"),$CU3,"")</f>
        <v/>
      </c>
      <c r="CZ3" s="155" t="n">
        <v>5</v>
      </c>
      <c r="DA3" s="155" t="n">
        <v>3</v>
      </c>
      <c r="DB3" s="155" t="n">
        <v>3</v>
      </c>
      <c r="DD3" s="155" t="n">
        <v>20</v>
      </c>
      <c r="DF3" s="155" t="n">
        <v>4</v>
      </c>
      <c r="DH3" s="155" t="n">
        <v>21</v>
      </c>
      <c r="DI3" s="155" t="n">
        <v>28</v>
      </c>
      <c r="DJ3" s="155" t="n">
        <v>12</v>
      </c>
      <c r="DL3" s="153" t="inlineStr">
        <is>
          <t>Completa</t>
        </is>
      </c>
      <c r="DM3" s="155" t="n">
        <v>3</v>
      </c>
      <c r="DN3" s="155" t="n">
        <v>14</v>
      </c>
      <c r="DO3" s="155" t="n">
        <v>5</v>
      </c>
      <c r="DP3" s="153" t="inlineStr">
        <is>
          <t>Incompleta, nível 14 e refino 5</t>
        </is>
      </c>
      <c r="DR3" s="153" t="inlineStr">
        <is>
          <t>Temporário</t>
        </is>
      </c>
      <c r="DS3" s="153" t="inlineStr">
        <is>
          <t>No seu turno, como Ação Bônus ou Reação</t>
        </is>
      </c>
      <c r="DU3" s="153" t="inlineStr">
        <is>
          <t>Um espaço conhecido</t>
        </is>
      </c>
      <c r="DW3" s="153" t="inlineStr">
        <is>
          <t>Feitiço 2</t>
        </is>
      </c>
      <c r="DX3" s="155" t="n">
        <v>0</v>
      </c>
      <c r="DY3" s="155" t="n">
        <v>2</v>
      </c>
      <c r="DZ3" s="155">
        <f>MAX(1,MIN(7,N('FICHA AMALDIÇOADA'!$J$51)))</f>
        <v/>
      </c>
      <c r="EA3" s="155">
        <f>'FICHA AMALDIÇOADA'!$K$51&amp;""</f>
        <v/>
      </c>
      <c r="EB3" s="155">
        <f>'FICHA AMALDIÇOADA'!$J$58&amp;""</f>
        <v/>
      </c>
      <c r="EC3" s="155">
        <f>'FICHA AMALDIÇOADA'!$K$60&amp;""</f>
        <v/>
      </c>
      <c r="ED3" s="155">
        <f>'FICHA AMALDIÇOADA'!$K$61&amp;""</f>
        <v/>
      </c>
      <c r="EE3" s="155">
        <f>'FICHA AMALDIÇOADA'!$K$62&amp;""</f>
        <v/>
      </c>
      <c r="EF3" s="155">
        <f>'FICHA AMALDIÇOADA'!$K$63&amp;""</f>
        <v/>
      </c>
      <c r="EG3" s="155">
        <f>'FICHA AMALDIÇOADA'!$K$64&amp;""</f>
        <v/>
      </c>
      <c r="EH3" s="155">
        <f>'FICHA AMALDIÇOADA'!$K$65&amp;""</f>
        <v/>
      </c>
      <c r="EI3" s="155">
        <f>IF($EA3&lt;&gt;"",1,0)</f>
        <v/>
      </c>
      <c r="EJ3" s="155">
        <f>IFERROR(MATCH($EB3,$Y$2:$Y$11,0),0)</f>
        <v/>
      </c>
      <c r="EK3" s="155">
        <f>IF($EJ3=0,0,INDEX($AB$2:$AB$11,$EJ3))</f>
        <v/>
      </c>
      <c r="EL3" s="155">
        <f>IFERROR(VLOOKUP($EC3,$BC$2:$BK$84,4,FALSE),0)</f>
        <v/>
      </c>
      <c r="EM3" s="155">
        <f>IFERROR(VLOOKUP($ED3,$BC$2:$BK$84,4,FALSE),0)</f>
        <v/>
      </c>
      <c r="EN3" s="155">
        <f>IFERROR(VLOOKUP($EE3,$BC$2:$BK$84,4,FALSE),0)</f>
        <v/>
      </c>
      <c r="EO3" s="155">
        <f>IFERROR(VLOOKUP($EF3,$BC$2:$BK$84,4,FALSE),0)</f>
        <v/>
      </c>
      <c r="EP3" s="155">
        <f>IF($EJ3=0,0,INDEX($AC$2:$AC$11,$EJ3))</f>
        <v/>
      </c>
      <c r="EQ3" s="155">
        <f>IFERROR(VLOOKUP($EC3,$BC$2:$BK$84,5,FALSE),0)</f>
        <v/>
      </c>
      <c r="ER3" s="155">
        <f>IFERROR(VLOOKUP($ED3,$BC$2:$BK$84,5,FALSE),0)</f>
        <v/>
      </c>
      <c r="ES3" s="155">
        <f>IFERROR(VLOOKUP($EE3,$BC$2:$BK$84,5,FALSE),0)</f>
        <v/>
      </c>
      <c r="ET3" s="155">
        <f>IFERROR(VLOOKUP($EF3,$BC$2:$BK$84,5,FALSE),0)</f>
        <v/>
      </c>
      <c r="EU3" s="155">
        <f>IFERROR(VLOOKUP($EC3,$BC$2:$BK$84,6,FALSE),0)+IFERROR(VLOOKUP($ED3,$BC$2:$BK$84,6,FALSE),0)+IFERROR(VLOOKUP($EE3,$BC$2:$BK$84,6,FALSE),0)+IFERROR(VLOOKUP($EF3,$BC$2:$BK$84,6,FALSE),0)</f>
        <v/>
      </c>
      <c r="EV3" s="155">
        <f>IFERROR(VLOOKUP($EC3,$BC$2:$BK$84,9,FALSE),0)+IFERROR(VLOOKUP($ED3,$BC$2:$BK$84,9,FALSE),0)+IFERROR(VLOOKUP($EE3,$BC$2:$BK$84,9,FALSE),0)+IFERROR(VLOOKUP($EF3,$BC$2:$BK$84,9,FALSE),0)</f>
        <v/>
      </c>
      <c r="EW3" s="155">
        <f>IF($EJ3=0,0,INDEX($AD$2:$AD$11,$EJ3))</f>
        <v/>
      </c>
      <c r="EX3" s="155">
        <f>IF($EJ3=0,0,INDEX($AE$2:$AE$11,$EJ3))</f>
        <v/>
      </c>
      <c r="EY3" s="155">
        <f>IF($EJ3=0,0,INDEX($AG$2:$AG$11,$EJ3))</f>
        <v/>
      </c>
      <c r="EZ3" s="155">
        <f>IFERROR(VLOOKUP($EG3,$BM$2:$BQ$24,3,FALSE),0)</f>
        <v/>
      </c>
      <c r="FA3" s="155">
        <f>IFERROR(VLOOKUP($EH3,$BM$2:$BQ$24,3,FALSE),0)</f>
        <v/>
      </c>
      <c r="FB3" s="155">
        <f>IFERROR(VLOOKUP($EG3,$BM$2:$BQ$24,2,FALSE),"")</f>
        <v/>
      </c>
      <c r="FC3" s="155">
        <f>IFERROR(VLOOKUP($EH3,$BM$2:$BQ$24,2,FALSE),"")</f>
        <v/>
      </c>
      <c r="FD3" s="155">
        <f>COUNTIF($EK3:$EO3,1)</f>
        <v/>
      </c>
      <c r="FE3" s="155">
        <f>COUNTIF($EK3:$EO3,2)</f>
        <v/>
      </c>
      <c r="FF3" s="155">
        <f>COUNTIF($EK3:$EO3,3)</f>
        <v/>
      </c>
      <c r="FG3" s="155">
        <f>COUNTIF($EK3:$EO3,4)</f>
        <v/>
      </c>
      <c r="FH3" s="155">
        <f>COUNTIF($EK3:$EO3,5)</f>
        <v/>
      </c>
      <c r="FI3" s="155">
        <f>COUNTIF($EK3:$EO3,6)</f>
        <v/>
      </c>
      <c r="FJ3" s="155">
        <f>COUNTIF($EZ3:$FA3,1)</f>
        <v/>
      </c>
      <c r="FK3" s="155">
        <f>COUNTIF($EZ3:$FA3,2)+$EW3</f>
        <v/>
      </c>
      <c r="FL3" s="155">
        <f>COUNTIF($EC3:$EF3,"?*")</f>
        <v/>
      </c>
      <c r="FM3" s="155">
        <f>COUNTIF($EG3:$EH3,"?*")+$EW3</f>
        <v/>
      </c>
      <c r="FN3" s="155">
        <f>SUMPRODUCT($FD3:$FI3,INDEX($Q$2:$V$8,$DZ3,0))</f>
        <v/>
      </c>
      <c r="FO3" s="155">
        <f>$FJ3*CEILING($DZ3/2,1)+$FK3*$DZ3</f>
        <v/>
      </c>
      <c r="FP3" s="155">
        <f>MIN(2*$DZ3,$FO3)</f>
        <v/>
      </c>
      <c r="FQ3" s="155">
        <f>MIN($FP3,$FN3)</f>
        <v/>
      </c>
      <c r="FR3" s="155">
        <f>$FP3-$FQ3</f>
        <v/>
      </c>
      <c r="FS3" s="155">
        <f>3*$DZ3-$FN3+$FQ3</f>
        <v/>
      </c>
      <c r="FT3" s="155">
        <f>MAX(0,$FS3)+$DX3*$DZ3</f>
        <v/>
      </c>
      <c r="FU3" s="155">
        <f>(IF(COUNTIF($EC3:$EF3,"Salto")&gt;0,1,0)+IF(COUNTIF($EC3:$EF3,"Queima")&gt;0,1,0)+IF(COUNTIF($EC3:$EF3,"Estilhaço")&gt;0,1,0))*FLOOR($FT3/2,1)</f>
        <v/>
      </c>
      <c r="FV3" s="155">
        <f>MAX(0,3-SUMPRODUCT($FD3:$FI3,$Q$2:$V$2)+MIN(2,$FJ3*1+$FK3*1,SUMPRODUCT($FD3:$FI3,$Q$2:$V$2)))+$DX3*1</f>
        <v/>
      </c>
      <c r="FW3" s="155">
        <f>MAX(0,6-SUMPRODUCT($FD3:$FI3,$Q$3:$V$3)+MIN(4,$FJ3*1+$FK3*2,SUMPRODUCT($FD3:$FI3,$Q$3:$V$3)))+$DX3*2</f>
        <v/>
      </c>
      <c r="FX3" s="155">
        <f>MAX(0,9-SUMPRODUCT($FD3:$FI3,$Q$4:$V$4)+MIN(6,$FJ3*2+$FK3*3,SUMPRODUCT($FD3:$FI3,$Q$4:$V$4)))+$DX3*3</f>
        <v/>
      </c>
      <c r="FY3" s="155">
        <f>MAX(0,12-SUMPRODUCT($FD3:$FI3,$Q$5:$V$5)+MIN(8,$FJ3*2+$FK3*4,SUMPRODUCT($FD3:$FI3,$Q$5:$V$5)))+$DX3*4</f>
        <v/>
      </c>
      <c r="FZ3" s="155">
        <f>MAX(0,15-SUMPRODUCT($FD3:$FI3,$Q$6:$V$6)+MIN(10,$FJ3*3+$FK3*5,SUMPRODUCT($FD3:$FI3,$Q$6:$V$6)))+$DX3*5</f>
        <v/>
      </c>
      <c r="GA3" s="155">
        <f>MAX(0,18-SUMPRODUCT($FD3:$FI3,$Q$7:$V$7)+MIN(12,$FJ3*3+$FK3*6,SUMPRODUCT($FD3:$FI3,$Q$7:$V$7)))+$DX3*6</f>
        <v/>
      </c>
      <c r="GB3" s="155">
        <f>MAX(0,21-SUMPRODUCT($FD3:$FI3,$Q$8:$V$8)+MIN(14,$FJ3*4+$FK3*7,SUMPRODUCT($FD3:$FI3,$Q$8:$V$8)))+$DX3*7</f>
        <v/>
      </c>
      <c r="GC3" s="155">
        <f>IF($EX3=2,3*$FV3&amp;" de vida temp.",IF($EX3=3,"sem dano",IF($FV3=0,IF($EX3=1,"sem cura","sem dano"),IF($EX3=1,"cura ","")&amp;$FV3&amp;"d8")))</f>
        <v/>
      </c>
      <c r="GD3" s="155">
        <f>IF($EX3=2,3*$FW3&amp;" de vida temp.",IF($EX3=3,"sem dano",IF($FW3=0,IF($EX3=1,"sem cura","sem dano"),IF($EX3=1,"cura ","")&amp;$FW3&amp;"d8")))</f>
        <v/>
      </c>
      <c r="GE3" s="155">
        <f>IF($EX3=2,3*$FX3&amp;" de vida temp.",IF($EX3=3,"sem dano",IF($FX3=0,IF($EX3=1,"sem cura","sem dano"),IF($EX3=1,"cura ","")&amp;$FX3&amp;"d8")))</f>
        <v/>
      </c>
      <c r="GF3" s="155">
        <f>IF($EX3=2,3*$FY3&amp;" de vida temp.",IF($EX3=3,"sem dano",IF($FY3=0,IF($EX3=1,"sem cura","sem dano"),IF($EX3=1,"cura ","")&amp;$FY3&amp;"d8")))</f>
        <v/>
      </c>
      <c r="GG3" s="155">
        <f>IF($EX3=2,3*$FZ3&amp;" de vida temp.",IF($EX3=3,"sem dano",IF($FZ3=0,IF($EX3=1,"sem cura","sem dano"),IF($EX3=1,"cura ","")&amp;$FZ3&amp;"d8")))</f>
        <v/>
      </c>
      <c r="GH3" s="155">
        <f>IF($EX3=2,3*$GA3&amp;" de vida temp.",IF($EX3=3,"sem dano",IF($GA3=0,IF($EX3=1,"sem cura","sem dano"),IF($EX3=1,"cura ","")&amp;$GA3&amp;"d8")))</f>
        <v/>
      </c>
      <c r="GI3" s="155">
        <f>IF($EX3=2,3*$GB3&amp;" de vida temp.",IF($EX3=3,"sem dano",IF($GB3=0,IF($EX3=1,"sem cura","sem dano"),IF($EX3=1,"cura ","")&amp;$GB3&amp;"d8")))</f>
        <v/>
      </c>
      <c r="GJ3" s="155">
        <f>IF($EI3=0,"",TEXTJOIN(" · ",TRUE,IF(AND($DX3=1,$DY3&gt;$HK$9),"O nível "&amp;$HK$2&amp;" dá "&amp;$HK$9&amp;" Liberação Máxima",""),IF($DZ3&gt;$HK$4,"Classe "&amp;$DZ3&amp;": o nível "&amp;$HK$2&amp;" libera até a "&amp;$HK$4,""),IF($EP3=1,"Família Fechada: a Forma "&amp;$EB3,""),IF($EQ3=1,"Família Fechada: "&amp;$EC3,""),IF($ER3=1,"Família Fechada: "&amp;$ED3,""),IF($ES3=1,"Família Fechada: "&amp;$EE3,""),IF($ET3=1,"Família Fechada: "&amp;$EF3,""),IF($FL3&gt;INDEX($W$2:$W$8,$DZ3),$FL3&amp;" Melhorias: a Classe "&amp;$DZ3&amp;" aceita "&amp;INDEX($W$2:$W$8,$DZ3),""),IF($FM3&gt;2,$FM3&amp;" Restrições"&amp;IF($EW3=1,", contando a que a Forma "&amp;$EB3&amp;" já traz","")&amp;": o limite é 2",""),IF($FS3&lt;0,"Orçamento estourado: faltam "&amp;(-$FS3)&amp;IF($FS3&lt;-1," pontos"," ponto"),""),IF(IFERROR(VLOOKUP($EG3,$BM$2:$BQ$24,4,FALSE),0)+IFERROR(VLOOKUP($EH3,$BM$2:$BQ$24,4,FALSE),0)&gt;1,$FB3&amp;" e "&amp;$FC3&amp;" são as duas de frequência",""),IF(AND((COUNTIF($EC3:$EF3,"Rápido")+COUNTIF($FB3:$FC3,"Rápido"))&gt;0,(COUNTIF($EC3:$EF3,"Atrasar")+COUNTIF($FB3:$FC3,"Atrasar"))&gt;0),"Rápido não entra com Atrasar",""),IF(AND((COUNTIF($EC3:$EF3,"Reação")+COUNTIF($FB3:$FC3,"Reação"))&gt;0,(COUNTIF($EC3:$EF3,"Rápido")+COUNTIF($FB3:$FC3,"Rápido"))&gt;0),"Reação não entra com Rápido",""),IF(AND((COUNTIF($EC3:$EF3,"Reação")+COUNTIF($FB3:$FC3,"Reação"))&gt;0,(COUNTIF($EC3:$EF3,"Armado")+COUNTIF($FB3:$FC3,"Armado"))&gt;0),"Reação não entra com Armado",""),IF(AND((COUNTIF($EC3:$EF3,"Reação")+COUNTIF($FB3:$FC3,"Reação"))&gt;0,(COUNTIF($EC3:$EF3,"Atrasar")+COUNTIF($FB3:$FC3,"Atrasar"))&gt;0),"Reação não entra com Atrasar",""),IF(AND((COUNTIF($EC3:$EF3,"Reação")+COUNTIF($FB3:$FC3,"Reação"))&gt;0,(COUNTIF($EC3:$EF3,"Parado")+COUNTIF($FB3:$FC3,"Parado"))&gt;0),"Reação não entra com Parado",""),IF(AND((COUNTIF($EC3:$EF3,"Atrasar")+COUNTIF($FB3:$FC3,"Atrasar"))&gt;0,(COUNTIF($EC3:$EF3,"Parado")+COUNTIF($FB3:$FC3,"Parado"))&gt;0),"Atrasar não entra com Parado",""),IF(AND((COUNTIF($EC3:$EF3,"Armado")+COUNTIF($FB3:$FC3,"Armado"))&gt;0,(COUNTIF($EC3:$EF3,"Carregar")+COUNTIF($FB3:$FC3,"Carregar"))&gt;0),"Armado não entra com Carregar",""),IF(AND(COUNTIF($FB3:$FC3,"Corpo a Corpo")&gt;0,$EW3=0,OR($EB3="Cone",$EB3="Linha")),"Corpo a Corpo não entra em "&amp;$EB3,""),IF(AND(COUNTIF($FB3:$FC3,"Corpo a Corpo")&gt;0,$EW3=1),"A Forma "&amp;$EB3&amp;" já traz o Corpo a Corpo",""),IF(AND(COUNTIF($FB3:$FC3,"Tudo ou Nada")&gt;0,$EY3=0),"Tudo ou Nada só entra em feitiço de Teste de Resistência",""),IF(AND(COUNTIF($EC3:$EF3,"Inescapável")&gt;0,OR($FL3&gt;1,$FM3&gt;0)),"Inescapável não aceita outra peça",""),IF(AND($DX3=1,$DZ3&lt;3),"Liberação Máxima é de Classe 3 ou mais",""),IF(AND($DX3=1,OR($EX3=1,$EX3=2)),"Liberação Máxima não serve para cura",""),IF(AND($DX3=1,COUNTIF($EC3:$EF3,"Inescapável")+COUNTIF($EC3:$EF3,"Toca a Alma")&gt;0),"Esta peça não entra numa Liberação Máxima",""),IF($FT3*IF(COUNTIF($EC3:$EF3,"Remate")&gt;0,1.25,1)+$FU3&gt;4*$DZ3,($FT3*IF(COUNTIF($EC3:$EF3,"Remate")&gt;0,1.25,1)+$FU3)&amp;" dados somando repetições"&amp;IF(COUNTIF($EC3:$EF3,"Remate")&gt;0," e o Remate","")&amp;": o teto da Classe "&amp;$DZ3&amp;" é "&amp;4*$DZ3,"")))</f>
        <v/>
      </c>
      <c r="GK3" s="155">
        <f>IF($GJ3="",0,(LEN($GJ3)-LEN(SUBSTITUTE($GJ3," · ","")))/3+1)</f>
        <v/>
      </c>
      <c r="GL3" s="155">
        <f>IF($EI3=0,"",TEXTJOIN(" · ",TRUE,IF($FO3&gt;2*$DZ3,"A devolução parou no teto de "&amp;2*$DZ3,""),IF($FR3&gt;0,"Devolução perdida: "&amp;$FR3&amp;IF($FR3&gt;1," pontos"," ponto")&amp;" sem peça para pagar",""),IF(AND($EU3&gt;0,$FT3=0),"Controle sem dano: uma rodada a mais e CD +2",""),IF(AND($EU3&gt;0,$FT3&gt;0,$FT3&lt;=$DZ3),"Controle com saldo até a Classe: uma rodada a mais","")))</f>
        <v/>
      </c>
      <c r="GM3" s="155">
        <f>IF($GL3="",0,(LEN($GL3)-LEN(SUBSTITUTE($GL3," · ","")))/3+1)</f>
        <v/>
      </c>
      <c r="GN3" s="155">
        <f>IF($EI3=0,IF($FL3+$FM3-$EW3&gt;0,"Dê um nome",""),IF($GK3&gt;0,"⚠ "&amp;$GK3&amp;IF($GK3&gt;1," erros"," erro"),IF($GM3&gt;0,"! "&amp;$GM3&amp;IF($GM3&gt;1," avisos"," aviso"),"Na regra")))</f>
        <v/>
      </c>
      <c r="GO3" s="155">
        <f>IF($EI3=0,"",IF($GK3+$GM3=0,"Dentro das regras que a ficha confere",$GJ3&amp;IF(AND($GK3&gt;0,$GM3&gt;0)," · ","")&amp;$GL3))</f>
        <v/>
      </c>
      <c r="GP3" s="155">
        <f>IF($EI3=0,"",IF($DX3=1,CEILING(4.5*$DZ3,1),3*$DZ3)&amp;" PE")</f>
        <v/>
      </c>
      <c r="GQ3" s="155">
        <f>IF($EI3=0,"",IF($DX3=1,"Rodada inteira",IF(COUNTIF($FB3:$FC3,"Atrasar")&gt;0,IF(COUNTIF($FB3:$FC3,"Carregar")&gt;0,"Rodada +1 turno","Rodada inteira"),IF(COUNTIF($EC3:$EF3,"Rápido")&gt;0,"Bônus",IF(COUNTIF($EC3:$EF3,"Reação")&gt;0,"Reação","Padrão"))&amp;IF(COUNTIF($FB3:$FC3,"Carregar")&gt;0," +1 turno",""))))</f>
        <v/>
      </c>
      <c r="GR3" s="155">
        <f>IF(OR($EI3=0,$EJ3=0),"",IF(COUNTIF($EC3:$EF3,"Inescapável")&gt;0,"Automático",IF(COUNTIF($EC3:$EF3,"Certeiro")&gt;0,"TR para metade",IF(AND($EV3&gt;0,$EY3=0,INDEX($AF$2:$AF$11,$EJ3)="Acerto"),"Acerto + TR",INDEX($AF$2:$AF$11,$EJ3)))))</f>
        <v/>
      </c>
      <c r="GS3" s="155">
        <f>IF(OR($EI3=0,$EJ3=0),"",IF(OR($EX3&gt;=2,$FT3=0),UPPER(LEFT(INDEX($GC3:$GI3,1,$DZ3),1))&amp;MID(INDEX($GC3:$GI3,1,$DZ3),2,99),UPPER(LEFT(INDEX($GC3:$GI3,1,$DZ3),1))&amp;MID(INDEX($GC3:$GI3,1,$DZ3),2,99)&amp;" = "&amp;FLOOR($FT3*4.5,1)&amp;IF($FU3&gt;0," · +"&amp;$FU3&amp;"d8","")))</f>
        <v/>
      </c>
      <c r="GT3" s="155">
        <f>COUNTIF($EC3:$EF3,"Longe")+3*COUNTIF($EC3:$EF3,"Muito Longe")</f>
        <v/>
      </c>
      <c r="GU3" s="155">
        <f>COUNTIF($EC3:$EF3,"Maior")+3*COUNTIF($EC3:$EF3,"Muito Maior")</f>
        <v/>
      </c>
      <c r="GV3" s="155">
        <f>IF($EJ3=0,0,CHOOSE(1+INDEX($AH$2:$AH$11,$EJ3),0,$GT3,$GU3,$GT3+$GU3))</f>
        <v/>
      </c>
      <c r="GW3" s="155">
        <f>IF($EJ3=0,0,CHOOSE(1+INDEX($AI$2:$AI$11,$EJ3),0,$GT3,$GU3,$GT3+$GU3))</f>
        <v/>
      </c>
      <c r="GX3" s="155">
        <f>IF(OR($EI3=0,$EJ3=0),"",INDEX($AP$2:$AU$31,($EJ3-1)*3+IF($DZ3&gt;=6,3,2),1+MIN(5,$GV3))&amp;INDEX($AV$2:$BA$31,($EJ3-1)*3+IF($DZ3&gt;=6,3,2),1+MIN(5,$GW3))&amp;IF(INDEX($AJ$2:$AJ$11,$EJ3)=1,IF(COUNTIF($EC3:$EF3,"Mais Um")&gt;0," · +"&amp;COUNTIF($EC3:$EF3,"Mais Um")&amp;IF(COUNTIF($EC3:$EF3,"Mais Um")&gt;1," alvos"," alvo"),"")&amp;IF(COUNTIF($EC3:$EF3,"Rajada")&gt;0," · "&amp;($DZ3+1)&amp;" tiros",""),""))</f>
        <v/>
      </c>
      <c r="GY3" s="155">
        <f>IF($EI3=0,"",3*$DZ3&amp;" − "&amp;$FN3&amp;" + "&amp;$FQ3&amp;IF($DX3=1," + "&amp;$DZ3,"")&amp;" = "&amp;$FT3&amp;"d8 · teto "&amp;4*$DZ3&amp;IF($EW3=1," · a Forma devolve "&amp;$DZ3,"")&amp;IF($FR3&gt;0," · perde "&amp;$FR3,""))</f>
        <v/>
      </c>
      <c r="GZ3" s="155">
        <f>IF($EI3=0,"",IF($DZ3&gt;=$HK$4,"Já está na maior Classe que o nível liberou",TEXTJOIN(" · ",TRUE,IF(AND(2&gt;$DZ3,2&lt;=$HK$4),"2 → "&amp;$GD3&amp;", "&amp;IF($DX3=1,9,6)&amp;" PE",""),IF(AND(3&gt;$DZ3,3&lt;=$HK$4),"3 → "&amp;$GE3&amp;", "&amp;IF($DX3=1,14,9)&amp;" PE",""),IF(AND(4&gt;$DZ3,4&lt;=$HK$4),"4 → "&amp;$GF3&amp;", "&amp;IF($DX3=1,18,12)&amp;" PE",""),IF(AND(5&gt;$DZ3,5&lt;=$HK$4),"5 → "&amp;$GG3&amp;", "&amp;IF($DX3=1,23,15)&amp;" PE",""),IF(AND(6&gt;$DZ3,6&lt;=$HK$4),"6 → "&amp;$GH3&amp;", "&amp;IF($DX3=1,27,18)&amp;" PE",""),IF(AND(7&gt;$DZ3,7&lt;=$HK$4),"7 → "&amp;$GI3&amp;", "&amp;IF($DX3=1,32,21)&amp;" PE",""))))</f>
        <v/>
      </c>
      <c r="HA3" s="155">
        <f>IF(OR($EI3=0,$EL3=0),"","−"&amp;INDEX($Q$2:$V$8,$DZ3,$EL3)&amp;" · "&amp;CHOOSE($EL3,"Leve","Média","Pesada","Leve · Livre","Média · Livre","Pesada · Livre"))</f>
        <v/>
      </c>
      <c r="HB3" s="155">
        <f>IF(OR($EI3=0,$EM3=0),"","−"&amp;INDEX($Q$2:$V$8,$DZ3,$EM3)&amp;" · "&amp;CHOOSE($EM3,"Leve","Média","Pesada","Leve · Livre","Média · Livre","Pesada · Livre"))</f>
        <v/>
      </c>
      <c r="HC3" s="155">
        <f>IF(OR($EI3=0,$EN3=0),"","−"&amp;INDEX($Q$2:$V$8,$DZ3,$EN3)&amp;" · "&amp;CHOOSE($EN3,"Leve","Média","Pesada","Leve · Livre","Média · Livre","Pesada · Livre"))</f>
        <v/>
      </c>
      <c r="HD3" s="155">
        <f>IF(OR($EI3=0,$EO3=0),"","−"&amp;INDEX($Q$2:$V$8,$DZ3,$EO3)&amp;" · "&amp;CHOOSE($EO3,"Leve","Média","Pesada","Leve · Livre","Média · Livre","Pesada · Livre"))</f>
        <v/>
      </c>
      <c r="HE3" s="155">
        <f>IF(OR($EI3=0,$EG3=""),"","+"&amp;IF($EZ3=1,CEILING($DZ3/2,1),$DZ3))</f>
        <v/>
      </c>
      <c r="HF3" s="155">
        <f>IF(OR($EI3=0,$EH3=""),"","+"&amp;IF($FA3=1,CEILING($DZ3/2,1),$DZ3))</f>
        <v/>
      </c>
      <c r="HG3" s="155">
        <f>'FICHA AMALDIÇOADA'!$J$53&amp;""</f>
        <v/>
      </c>
      <c r="HH3" s="155">
        <f>IF(AND($EI3=1,$DX3=0),COUNTIFS($EI$2:$EI3,1,$DX$2:$DX3,0),"")</f>
        <v/>
      </c>
      <c r="HJ3" s="153" t="inlineStr">
        <is>
          <t>maestria</t>
        </is>
      </c>
      <c r="HK3" s="155">
        <f>N(FICHA!$D$59)</f>
        <v/>
      </c>
      <c r="HM3" s="153" t="inlineStr">
        <is>
          <t>Talento 2</t>
        </is>
      </c>
      <c r="HN3" s="155">
        <f>'FICHA AMALDIÇOADA'!$J$379&amp;""</f>
        <v/>
      </c>
      <c r="HO3" s="155">
        <f>IFERROR(VLOOKUP($HN3,$BS$2:$BY$24,2,FALSE),0)</f>
        <v/>
      </c>
      <c r="HP3" s="155">
        <f>IFERROR(VLOOKUP($HO3,$CA$2:$CB$4,2,FALSE),0)</f>
        <v/>
      </c>
      <c r="HQ3" s="155">
        <f>IFERROR(VLOOKUP($HN3,$BS$2:$BY$24,3,FALSE),"")</f>
        <v/>
      </c>
      <c r="HR3" s="155">
        <f>IF($HO3=0,"",IF($HP3&gt;$HK$2,"⚠ Nível "&amp;$HP3,"CE "&amp;$HO3))</f>
        <v/>
      </c>
      <c r="HS3" s="155">
        <f>IF($HO3=0,"",$HO3&amp;" esp.")</f>
        <v/>
      </c>
      <c r="HT3" s="155">
        <f>'FICHA AMALDIÇOADA'!$K$384&amp;""</f>
        <v/>
      </c>
      <c r="HU3" s="155">
        <f>IF($HN3="","",COUNTIF($HN$2:$HN3,"?*"))</f>
        <v/>
      </c>
      <c r="HW3" s="153" t="inlineStr">
        <is>
          <t>Aptidão 2</t>
        </is>
      </c>
      <c r="HX3" s="155">
        <f>'FICHA AMALDIÇOADA'!$J$430&amp;""</f>
        <v/>
      </c>
      <c r="HY3" s="155">
        <f>IF($HX3="","","Requisito: "&amp;IFERROR(VLOOKUP($HX3,$CD$2:$CM$33,2,FALSE),""))</f>
        <v/>
      </c>
      <c r="HZ3" s="155">
        <f>IF($HX3="","",IFERROR(IF(ISNUMBER(VLOOKUP($HX3,$CD$2:$CM$33,3,FALSE)),"CE "&amp;VLOOKUP($HX3,$CD$2:$CM$33,3,FALSE),VLOOKUP($HX3,$CD$2:$CM$33,3,FALSE)),""))</f>
        <v/>
      </c>
      <c r="IA3" s="155">
        <f>IF($HX3="","",IFERROR(VLOOKUP($HX3,$CD$2:$CM$33,4,FALSE),""))</f>
        <v/>
      </c>
      <c r="IB3" s="155">
        <f>IF($HX3="","",IFERROR(VLOOKUP($HX3,$CD$2:$CM$33,5,FALSE),""))</f>
        <v/>
      </c>
      <c r="IC3" s="155">
        <f>'FICHA AMALDIÇOADA'!$K$447&amp;""</f>
        <v/>
      </c>
      <c r="ID3" s="155">
        <f>IF($HX3="","",COUNTIF($HX$2:$HX3,"?*"))</f>
        <v/>
      </c>
      <c r="IF3" s="153" t="inlineStr">
        <is>
          <t>Classe 0 · 2</t>
        </is>
      </c>
      <c r="IG3" s="155">
        <f>'FICHA AMALDIÇOADA'!$F$311&amp;""</f>
        <v/>
      </c>
      <c r="IH3" s="155">
        <f>'FICHA AMALDIÇOADA'!$J$311&amp;""</f>
        <v/>
      </c>
      <c r="II3" s="155">
        <f>'FICHA AMALDIÇOADA'!$L$311&amp;""</f>
        <v/>
      </c>
      <c r="IJ3" s="155">
        <f>IFERROR(MATCH($IG3,$Y$2:$Y$11,0),0)</f>
        <v/>
      </c>
      <c r="IK3" s="155">
        <f>$HK$11-IF($IH3&lt;&gt;"",1,0)</f>
        <v/>
      </c>
      <c r="IL3" s="155">
        <f>IF(2&gt;$HK$10,"Nível 1",IF($IJ3=0,"",IF(INDEX($AE$2:$AE$11,$IJ3)&gt;=2,"—",$IK3&amp;"d8 = "&amp;FLOOR($IK3*4.5,1))))</f>
        <v/>
      </c>
      <c r="IM3" s="155">
        <f>IF(OR(2&gt;$HK$10,$IJ3=0),"",INDEX($AP$2:$AU$31,($IJ3-1)*3+1,1+IF(OR(AND($IH3="Longe",INDEX($AH$2:$AH$11,$IJ3)&lt;&gt;2),AND($IH3="Maior",INDEX($AH$2:$AH$11,$IJ3)&gt;=2)),1,0))&amp;INDEX($AV$2:$BA$31,($IJ3-1)*3+1,1+IF(AND($IH3="Longe",INDEX($AI$2:$AI$11,$IJ3)=1),1,0)))</f>
        <v/>
      </c>
      <c r="IO3" s="153" t="inlineStr">
        <is>
          <t>Orçamento</t>
        </is>
      </c>
      <c r="IP3" s="155">
        <f>ADDRESS(ROW('FICHA AMALDIÇOADA'!E7),COLUMN('FICHA AMALDIÇOADA'!E7),4)</f>
        <v/>
      </c>
      <c r="IQ3" s="155">
        <f>ADDRESS(ROW('FICHA AMALDIÇOADA'!D39),COLUMN('FICHA AMALDIÇOADA'!D39),4)</f>
        <v/>
      </c>
      <c r="IR3" s="153" t="inlineStr">
        <is>
          <t>DADOS_AM!$IO$3</t>
        </is>
      </c>
      <c r="IT3" s="153" t="inlineStr">
        <is>
          <t>Caminho 7</t>
        </is>
      </c>
      <c r="IU3" s="155" t="n">
        <v>7</v>
      </c>
      <c r="IV3" s="155">
        <f>IF($HK$2&gt;=7,"Nível 7","Abre no 7")</f>
        <v/>
      </c>
      <c r="IW3" s="155">
        <f>ADDRESS(ROW(FICHA!G106),COLUMN(FICHA!G106),4)</f>
        <v/>
      </c>
      <c r="IX3" s="155">
        <f>ADDRESS(ROW(FICHA!D107),COLUMN(FICHA!D107),4)</f>
        <v/>
      </c>
      <c r="IZ3" s="153" t="inlineStr">
        <is>
          <t>Trilha · Escolhas da Trilha</t>
        </is>
      </c>
      <c r="JA3" s="155">
        <f>ADDRESS(ROW(FICHA!D162),COLUMN(FICHA!D162),4)</f>
        <v/>
      </c>
      <c r="JC3" s="153" t="inlineStr">
        <is>
          <t>Trilha</t>
        </is>
      </c>
      <c r="JD3" s="155">
        <f>"TRILHA"&amp;IF(OR(FICHA!$N$11="",LEFT(FICHA!$N$11,7)="Escolha"),"","  ·  "&amp;UPPER(FICHA!$N$11))&amp;"  ·  QUATRO NÍVEIS"</f>
        <v/>
      </c>
      <c r="JF3" s="155" t="n">
        <v>2</v>
      </c>
      <c r="JG3" s="155">
        <f>IFERROR(MATCH(2,$HH$2:$HH$37,0),0)</f>
        <v/>
      </c>
      <c r="JH3" s="155">
        <f>IF($JG3=0,"",INDEX($DZ$2:$DZ$37,$JG3))</f>
        <v/>
      </c>
      <c r="JI3" s="155">
        <f>IF($JG3=0,"",INDEX($EA$2:$EA$37,$JG3))</f>
        <v/>
      </c>
      <c r="JJ3" s="155">
        <f>IF($JG3=0,"",INDEX($GP$2:$GP$37,$JG3))</f>
        <v/>
      </c>
      <c r="JK3" s="155">
        <f>IF($JG3=0,"",INDEX($EB$2:$EB$37,$JG3))</f>
        <v/>
      </c>
      <c r="JL3" s="155">
        <f>IF($JG3=0,"",INDEX($GR$2:$GR$37,$JG3))</f>
        <v/>
      </c>
      <c r="JM3" s="155">
        <f>IF($JG3=0,"",INDEX($HG$2:$HG$37,$JG3))</f>
        <v/>
      </c>
      <c r="JO3" s="155" t="n">
        <v>2</v>
      </c>
      <c r="JP3" s="155">
        <f>IF($EI$39=0,"",$DZ$39)</f>
        <v/>
      </c>
      <c r="JQ3" s="155">
        <f>IF($EI$39=0,"",$EA$39)</f>
        <v/>
      </c>
      <c r="JR3" s="155">
        <f>IF($EI$39=0,"",$GP$39)</f>
        <v/>
      </c>
      <c r="JS3" s="155">
        <f>IF($EI$39=0,"",$EB$39)</f>
        <v/>
      </c>
      <c r="JT3" s="155">
        <f>IF($EI$39=0,"",$GR$39)</f>
        <v/>
      </c>
      <c r="JU3" s="155">
        <f>IF($EI$39=0,"",$HG$39)</f>
        <v/>
      </c>
      <c r="JW3" s="153" t="inlineStr">
        <is>
          <t>Domínio</t>
        </is>
      </c>
      <c r="JX3" s="155">
        <f>IF(DADOS_AM!$A$2&lt;&gt;1,"Esta rota não tem Expansão de Domínio",'FICHA AMALDIÇOADA'!$P$361&amp;"")</f>
        <v/>
      </c>
      <c r="JY3" s="155">
        <f>IF(OR(DADOS_AM!$A$2&lt;&gt;1,$HK$35=""),"",IF($HK$35="Sem Barreiras",7,6)*$HK$4&amp;" PE")</f>
        <v/>
      </c>
      <c r="JZ3" s="155">
        <f>IF(DADOS_AM!$A$2&lt;&gt;1,"",$HK$35)</f>
        <v/>
      </c>
      <c r="KA3" s="155">
        <f>IF(OR(DADOS_AM!$A$2&lt;&gt;1,$HK$35=""),"",IF($HK$35="Incompleta","Rola","Acontece"))</f>
        <v/>
      </c>
      <c r="KB3" s="155">
        <f>IF(DADOS_AM!$A$2&lt;&gt;1,"",'FICHA AMALDIÇOADA'!$D$371&amp;"")</f>
        <v/>
      </c>
      <c r="KD3" s="153" t="inlineStr">
        <is>
          <t>Regra Própria</t>
        </is>
      </c>
      <c r="KE3" s="155" t="n">
        <v>0</v>
      </c>
      <c r="KF3" s="155">
        <f>IF(N('FICHA AMALDIÇOADA'!$P$33)=0,"—","CE "&amp;'FICHA AMALDIÇOADA'!$P$33)</f>
        <v/>
      </c>
      <c r="KG3" s="153" t="inlineStr">
        <is>
          <t>Regra Própria</t>
        </is>
      </c>
      <c r="KH3" s="155">
        <f>IF('FICHA AMALDIÇOADA'!$D$33="","Esta técnica não tem Regra Própria",'FICHA AMALDIÇOADA'!$D$33&amp;"")</f>
        <v/>
      </c>
      <c r="KJ3" s="153" t="inlineStr">
        <is>
          <t>De graça 2</t>
        </is>
      </c>
      <c r="KK3" s="155" t="n">
        <v>0</v>
      </c>
      <c r="KL3" s="153" t="inlineStr">
        <is>
          <t>—</t>
        </is>
      </c>
      <c r="KM3" s="155">
        <f>INDEX($D$10:$G$10,1,$A$2)</f>
        <v/>
      </c>
      <c r="KN3" s="155">
        <f>'FICHA AMALDIÇOADA'!$L$424&amp;". "&amp;"Do livro: "&amp;IFERROR(VLOOKUP($KM3,$CD$2:$CM$33,10,FALSE),"")</f>
        <v/>
      </c>
      <c r="KP3" s="153" t="inlineStr">
        <is>
          <t>feitiços</t>
        </is>
      </c>
      <c r="KQ3" s="155">
        <f>UPPER(INDEX($D$3:$G$3,1,$A$2))&amp;"  ·  "&amp;$HK$15&amp;" de 36"</f>
        <v/>
      </c>
      <c r="KS3" s="153" t="inlineStr">
        <is>
          <t>L12</t>
        </is>
      </c>
      <c r="KT3" s="155">
        <f>IF(DADOS_AM!$HK$42=1,IF(DADOS_AM!$HK$49=0,"Escolha os grupos",IF(DADOS_AM!$HK$49=1,IF(DADOS_AM!$HK$43&lt;&gt;"",DADOS_AM!$HK$43,IF(DADOS_AM!$HK$44&lt;&gt;"",DADOS_AM!$HK$44,DADOS_AM!$HK$45))&amp;", das armas","Por grupo")),FICHA!$Z$59)</f>
        <v/>
      </c>
    </row>
    <row r="4">
      <c r="C4" s="153" t="inlineStr">
        <is>
          <t>liberação</t>
        </is>
      </c>
      <c r="D4" s="153" t="inlineStr">
        <is>
          <t>Liberação Máxima</t>
        </is>
      </c>
      <c r="E4" s="153" t="inlineStr">
        <is>
          <t>Liberação Máxima</t>
        </is>
      </c>
      <c r="F4" s="153" t="inlineStr">
        <is>
          <t>Ruptura</t>
        </is>
      </c>
      <c r="G4" s="153" t="inlineStr">
        <is>
          <t>Ruptura</t>
        </is>
      </c>
      <c r="I4" s="153" t="inlineStr">
        <is>
          <t>Mira</t>
        </is>
      </c>
      <c r="J4" s="155">
        <f>'FICHA AMALDIÇOADA'!$F$37&amp;""</f>
        <v/>
      </c>
      <c r="K4" s="155">
        <f>IF($J4="Livre",1,0)</f>
        <v/>
      </c>
      <c r="L4" s="155">
        <f>IF($J4="Fechada",1,0)</f>
        <v/>
      </c>
      <c r="N4" s="153" t="inlineStr">
        <is>
          <t>Fechada</t>
        </is>
      </c>
      <c r="P4" s="155" t="n">
        <v>3</v>
      </c>
      <c r="Q4" s="155" t="n">
        <v>2</v>
      </c>
      <c r="R4" s="155" t="n">
        <v>3</v>
      </c>
      <c r="S4" s="155" t="n">
        <v>5</v>
      </c>
      <c r="T4" s="155" t="n">
        <v>1</v>
      </c>
      <c r="U4" s="155" t="n">
        <v>1</v>
      </c>
      <c r="V4" s="155" t="n">
        <v>3</v>
      </c>
      <c r="W4" s="155" t="n">
        <v>3</v>
      </c>
      <c r="Y4" s="153" t="inlineStr">
        <is>
          <t>Explosão</t>
        </is>
      </c>
      <c r="Z4" s="153" t="inlineStr">
        <is>
          <t>Área</t>
        </is>
      </c>
      <c r="AA4" s="155" t="n">
        <v>1</v>
      </c>
      <c r="AB4" s="155">
        <f>IF($AA4=0,0,$AA4+3*IFERROR(VLOOKUP($Z4,$I$2:$L$10,3,FALSE),0))</f>
        <v/>
      </c>
      <c r="AC4" s="155">
        <f>IFERROR(VLOOKUP($Z4,$I$2:$L$10,4,FALSE),0)</f>
        <v/>
      </c>
      <c r="AD4" s="155" t="n">
        <v>0</v>
      </c>
      <c r="AE4" s="155" t="n">
        <v>0</v>
      </c>
      <c r="AF4" s="153" t="inlineStr">
        <is>
          <t>TR, metade</t>
        </is>
      </c>
      <c r="AG4" s="155" t="n">
        <v>1</v>
      </c>
      <c r="AH4" s="155" t="n">
        <v>2</v>
      </c>
      <c r="AI4" s="155" t="n">
        <v>1</v>
      </c>
      <c r="AJ4" s="155" t="n">
        <v>0</v>
      </c>
      <c r="AK4" s="155" t="n">
        <v>1</v>
      </c>
      <c r="AL4" s="155">
        <f>IF($AC4=1,"",$Y4)</f>
        <v/>
      </c>
      <c r="AM4" s="155">
        <f>IF(AND($AK4=1,$AC4=0),$Y4,"")</f>
        <v/>
      </c>
      <c r="AO4" s="153" t="inlineStr">
        <is>
          <t>Projétil · classes 6 e 7</t>
        </is>
      </c>
      <c r="AP4" s="153" t="inlineStr">
        <is>
          <t>36 m, um alvo</t>
        </is>
      </c>
      <c r="AQ4" s="153" t="inlineStr">
        <is>
          <t>90 m, um alvo</t>
        </is>
      </c>
      <c r="AR4" s="153" t="inlineStr">
        <is>
          <t>Visão a olho nu, um alvo</t>
        </is>
      </c>
      <c r="AS4" s="153" t="inlineStr">
        <is>
          <t>Visão a olho nu, um alvo</t>
        </is>
      </c>
      <c r="AT4" s="153" t="inlineStr">
        <is>
          <t>Visão a olho nu, um alvo</t>
        </is>
      </c>
      <c r="AU4" s="153" t="inlineStr">
        <is>
          <t>Visão a olho nu, um alvo</t>
        </is>
      </c>
      <c r="AV4" s="153" t="inlineStr"/>
      <c r="AW4" s="153" t="inlineStr"/>
      <c r="AX4" s="153" t="inlineStr"/>
      <c r="AY4" s="153" t="inlineStr"/>
      <c r="AZ4" s="153" t="inlineStr"/>
      <c r="BA4" s="153" t="inlineStr"/>
      <c r="BC4" s="153" t="inlineStr">
        <is>
          <t>Sem Ver</t>
        </is>
      </c>
      <c r="BD4" s="153" t="inlineStr">
        <is>
          <t>Alcance</t>
        </is>
      </c>
      <c r="BE4" s="155" t="n">
        <v>3</v>
      </c>
      <c r="BF4" s="155">
        <f>$BE4+3*IFERROR(VLOOKUP($BD4,$I$2:$L$10,3,FALSE),0)</f>
        <v/>
      </c>
      <c r="BG4" s="155">
        <f>IFERROR(VLOOKUP($BD4,$I$2:$L$10,4,FALSE),0)</f>
        <v/>
      </c>
      <c r="BH4" s="155" t="n">
        <v>0</v>
      </c>
      <c r="BI4" s="155">
        <f>IF($BG4=1,"",$BC4)</f>
        <v/>
      </c>
      <c r="BJ4" s="155">
        <f>IF(AND($BE4=1,$BG4=0),$BC4,"")</f>
        <v/>
      </c>
      <c r="BK4" s="155" t="n">
        <v>0</v>
      </c>
      <c r="BM4" s="153" t="inlineStr">
        <is>
          <t>Parado</t>
        </is>
      </c>
      <c r="BN4" s="153" t="inlineStr">
        <is>
          <t>Parado</t>
        </is>
      </c>
      <c r="BO4" s="155" t="n">
        <v>1</v>
      </c>
      <c r="BP4" s="155" t="n">
        <v>0</v>
      </c>
      <c r="BQ4" s="153" t="inlineStr">
        <is>
          <t>Parado</t>
        </is>
      </c>
      <c r="BS4" s="153" t="inlineStr">
        <is>
          <t>Raiz</t>
        </is>
      </c>
      <c r="BT4" s="155" t="n">
        <v>1</v>
      </c>
      <c r="BU4" s="153" t="inlineStr">
        <is>
          <t>Você não é movido à força nem fica Derrubado contra a sua vontade. Pode aceitar um deslocamento ou se deitar por escolha própria. O Talento não impede o dano de um efeito que também empurre ou derrube.</t>
        </is>
      </c>
      <c r="BV4" s="155" t="n">
        <v>1</v>
      </c>
      <c r="BW4" s="155" t="n">
        <v>0</v>
      </c>
      <c r="BX4" s="155">
        <f>IF(OR(AND($A$2&lt;=2,$BV4=1),AND($A$2&gt;=2,$BW4=1)),$BS4,"")</f>
        <v/>
      </c>
      <c r="BY4" s="153" t="inlineStr">
        <is>
          <t>Você não é movido à força nem fica Derrubado contra a sua vontade. Pode aceitar um deslocamento ou se deitar por escolha própria. O Talento não impede o dano de um efeito que também empurre ou derrube.</t>
        </is>
      </c>
      <c r="CA4" s="155" t="n">
        <v>3</v>
      </c>
      <c r="CB4" s="155" t="n">
        <v>13</v>
      </c>
      <c r="CD4" s="153" t="inlineStr">
        <is>
          <t>Projetar Energia</t>
        </is>
      </c>
      <c r="CE4" s="153" t="inlineStr">
        <is>
          <t>Uma escolha de aptidão</t>
        </is>
      </c>
      <c r="CF4" s="153" t="inlineStr">
        <is>
          <t>—</t>
        </is>
      </c>
      <c r="CG4" s="153" t="inlineStr">
        <is>
          <t>—</t>
        </is>
      </c>
      <c r="CH4" s="153" t="inlineStr">
        <is>
          <t>Você dispara energia amaldiçoada pura contra um alvo. Ação Padrão. Escolha quanto gastar, de 1 PE até seu Refino,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1d6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55">
        <f>IF($CL4=1,"",IF($A$2=4,IF($CJ4=1,$CD4,""),IF(OR($CJ4=1,AND($A$2=3,$CK4=1)),"",$CD4)))</f>
        <v/>
      </c>
      <c r="CJ4" s="155" t="n">
        <v>0</v>
      </c>
      <c r="CK4" s="155" t="n">
        <v>0</v>
      </c>
      <c r="CL4" s="155" t="n">
        <v>0</v>
      </c>
      <c r="CM4" s="153" t="inlineStr">
        <is>
          <t>Você dispara energia amaldiçoada pura contra um alvo.</t>
        </is>
      </c>
      <c r="CO4" s="153" t="inlineStr">
        <is>
          <t>Pétala</t>
        </is>
      </c>
      <c r="CQ4" s="153" t="inlineStr">
        <is>
          <t>Ferramenta de carregar</t>
        </is>
      </c>
      <c r="CS4" s="155">
        <f>IF($A$2=2,IFERROR(INDEX($CO$2:$CO$5,3),""),IF($A$2&gt;=3,IFERROR(INDEX($CQ$2:$CQ$4,3),""),""))</f>
        <v/>
      </c>
      <c r="CU4" s="153" t="inlineStr">
        <is>
          <t>Lâmina Curta</t>
        </is>
      </c>
      <c r="CV4" s="155" t="n">
        <v>1</v>
      </c>
      <c r="CW4" s="155" t="n">
        <v>1</v>
      </c>
      <c r="CX4" s="155">
        <f>IF(AND($A$2&gt;=3,'FICHA AMALDIÇOADA'!$J$16&amp;""="Três grupos de arma"),$CU4,"")</f>
        <v/>
      </c>
      <c r="CZ4" s="155" t="n">
        <v>11</v>
      </c>
      <c r="DA4" s="155" t="n">
        <v>4</v>
      </c>
      <c r="DB4" s="155" t="n">
        <v>4</v>
      </c>
      <c r="DD4" s="155" t="n">
        <v>30</v>
      </c>
      <c r="DF4" s="155" t="n">
        <v>5</v>
      </c>
      <c r="DH4" s="155" t="n">
        <v>26</v>
      </c>
      <c r="DI4" s="155" t="n">
        <v>32</v>
      </c>
      <c r="DJ4" s="155" t="n">
        <v>16</v>
      </c>
      <c r="DL4" s="153" t="inlineStr">
        <is>
          <t>Sem Barreiras</t>
        </is>
      </c>
      <c r="DM4" s="155" t="n">
        <v>5</v>
      </c>
      <c r="DN4" s="155" t="n">
        <v>0</v>
      </c>
      <c r="DO4" s="155" t="n">
        <v>10</v>
      </c>
      <c r="DP4" s="153" t="inlineStr">
        <is>
          <t>Completa, refino 10 e especialização em Ocultismo</t>
        </is>
      </c>
      <c r="DR4" s="153" t="inlineStr">
        <is>
          <t>Promessa</t>
        </is>
      </c>
      <c r="DS4" s="153" t="inlineStr">
        <is>
          <t>Quando duas partes capazes de decidir aceitam os termos</t>
        </is>
      </c>
      <c r="DU4" s="153" t="inlineStr">
        <is>
          <t>PE máximo igual à maior Classe</t>
        </is>
      </c>
      <c r="DW4" s="153" t="inlineStr">
        <is>
          <t>Feitiço 3</t>
        </is>
      </c>
      <c r="DX4" s="155" t="n">
        <v>0</v>
      </c>
      <c r="DY4" s="155" t="n">
        <v>3</v>
      </c>
      <c r="DZ4" s="155">
        <f>MAX(1,MIN(7,N('FICHA AMALDIÇOADA'!$P$51)))</f>
        <v/>
      </c>
      <c r="EA4" s="155">
        <f>'FICHA AMALDIÇOADA'!$Q$51&amp;""</f>
        <v/>
      </c>
      <c r="EB4" s="155">
        <f>'FICHA AMALDIÇOADA'!$P$58&amp;""</f>
        <v/>
      </c>
      <c r="EC4" s="155">
        <f>'FICHA AMALDIÇOADA'!$Q$60&amp;""</f>
        <v/>
      </c>
      <c r="ED4" s="155">
        <f>'FICHA AMALDIÇOADA'!$Q$61&amp;""</f>
        <v/>
      </c>
      <c r="EE4" s="155">
        <f>'FICHA AMALDIÇOADA'!$Q$62&amp;""</f>
        <v/>
      </c>
      <c r="EF4" s="155">
        <f>'FICHA AMALDIÇOADA'!$Q$63&amp;""</f>
        <v/>
      </c>
      <c r="EG4" s="155">
        <f>'FICHA AMALDIÇOADA'!$Q$64&amp;""</f>
        <v/>
      </c>
      <c r="EH4" s="155">
        <f>'FICHA AMALDIÇOADA'!$Q$65&amp;""</f>
        <v/>
      </c>
      <c r="EI4" s="155">
        <f>IF($EA4&lt;&gt;"",1,0)</f>
        <v/>
      </c>
      <c r="EJ4" s="155">
        <f>IFERROR(MATCH($EB4,$Y$2:$Y$11,0),0)</f>
        <v/>
      </c>
      <c r="EK4" s="155">
        <f>IF($EJ4=0,0,INDEX($AB$2:$AB$11,$EJ4))</f>
        <v/>
      </c>
      <c r="EL4" s="155">
        <f>IFERROR(VLOOKUP($EC4,$BC$2:$BK$84,4,FALSE),0)</f>
        <v/>
      </c>
      <c r="EM4" s="155">
        <f>IFERROR(VLOOKUP($ED4,$BC$2:$BK$84,4,FALSE),0)</f>
        <v/>
      </c>
      <c r="EN4" s="155">
        <f>IFERROR(VLOOKUP($EE4,$BC$2:$BK$84,4,FALSE),0)</f>
        <v/>
      </c>
      <c r="EO4" s="155">
        <f>IFERROR(VLOOKUP($EF4,$BC$2:$BK$84,4,FALSE),0)</f>
        <v/>
      </c>
      <c r="EP4" s="155">
        <f>IF($EJ4=0,0,INDEX($AC$2:$AC$11,$EJ4))</f>
        <v/>
      </c>
      <c r="EQ4" s="155">
        <f>IFERROR(VLOOKUP($EC4,$BC$2:$BK$84,5,FALSE),0)</f>
        <v/>
      </c>
      <c r="ER4" s="155">
        <f>IFERROR(VLOOKUP($ED4,$BC$2:$BK$84,5,FALSE),0)</f>
        <v/>
      </c>
      <c r="ES4" s="155">
        <f>IFERROR(VLOOKUP($EE4,$BC$2:$BK$84,5,FALSE),0)</f>
        <v/>
      </c>
      <c r="ET4" s="155">
        <f>IFERROR(VLOOKUP($EF4,$BC$2:$BK$84,5,FALSE),0)</f>
        <v/>
      </c>
      <c r="EU4" s="155">
        <f>IFERROR(VLOOKUP($EC4,$BC$2:$BK$84,6,FALSE),0)+IFERROR(VLOOKUP($ED4,$BC$2:$BK$84,6,FALSE),0)+IFERROR(VLOOKUP($EE4,$BC$2:$BK$84,6,FALSE),0)+IFERROR(VLOOKUP($EF4,$BC$2:$BK$84,6,FALSE),0)</f>
        <v/>
      </c>
      <c r="EV4" s="155">
        <f>IFERROR(VLOOKUP($EC4,$BC$2:$BK$84,9,FALSE),0)+IFERROR(VLOOKUP($ED4,$BC$2:$BK$84,9,FALSE),0)+IFERROR(VLOOKUP($EE4,$BC$2:$BK$84,9,FALSE),0)+IFERROR(VLOOKUP($EF4,$BC$2:$BK$84,9,FALSE),0)</f>
        <v/>
      </c>
      <c r="EW4" s="155">
        <f>IF($EJ4=0,0,INDEX($AD$2:$AD$11,$EJ4))</f>
        <v/>
      </c>
      <c r="EX4" s="155">
        <f>IF($EJ4=0,0,INDEX($AE$2:$AE$11,$EJ4))</f>
        <v/>
      </c>
      <c r="EY4" s="155">
        <f>IF($EJ4=0,0,INDEX($AG$2:$AG$11,$EJ4))</f>
        <v/>
      </c>
      <c r="EZ4" s="155">
        <f>IFERROR(VLOOKUP($EG4,$BM$2:$BQ$24,3,FALSE),0)</f>
        <v/>
      </c>
      <c r="FA4" s="155">
        <f>IFERROR(VLOOKUP($EH4,$BM$2:$BQ$24,3,FALSE),0)</f>
        <v/>
      </c>
      <c r="FB4" s="155">
        <f>IFERROR(VLOOKUP($EG4,$BM$2:$BQ$24,2,FALSE),"")</f>
        <v/>
      </c>
      <c r="FC4" s="155">
        <f>IFERROR(VLOOKUP($EH4,$BM$2:$BQ$24,2,FALSE),"")</f>
        <v/>
      </c>
      <c r="FD4" s="155">
        <f>COUNTIF($EK4:$EO4,1)</f>
        <v/>
      </c>
      <c r="FE4" s="155">
        <f>COUNTIF($EK4:$EO4,2)</f>
        <v/>
      </c>
      <c r="FF4" s="155">
        <f>COUNTIF($EK4:$EO4,3)</f>
        <v/>
      </c>
      <c r="FG4" s="155">
        <f>COUNTIF($EK4:$EO4,4)</f>
        <v/>
      </c>
      <c r="FH4" s="155">
        <f>COUNTIF($EK4:$EO4,5)</f>
        <v/>
      </c>
      <c r="FI4" s="155">
        <f>COUNTIF($EK4:$EO4,6)</f>
        <v/>
      </c>
      <c r="FJ4" s="155">
        <f>COUNTIF($EZ4:$FA4,1)</f>
        <v/>
      </c>
      <c r="FK4" s="155">
        <f>COUNTIF($EZ4:$FA4,2)+$EW4</f>
        <v/>
      </c>
      <c r="FL4" s="155">
        <f>COUNTIF($EC4:$EF4,"?*")</f>
        <v/>
      </c>
      <c r="FM4" s="155">
        <f>COUNTIF($EG4:$EH4,"?*")+$EW4</f>
        <v/>
      </c>
      <c r="FN4" s="155">
        <f>SUMPRODUCT($FD4:$FI4,INDEX($Q$2:$V$8,$DZ4,0))</f>
        <v/>
      </c>
      <c r="FO4" s="155">
        <f>$FJ4*CEILING($DZ4/2,1)+$FK4*$DZ4</f>
        <v/>
      </c>
      <c r="FP4" s="155">
        <f>MIN(2*$DZ4,$FO4)</f>
        <v/>
      </c>
      <c r="FQ4" s="155">
        <f>MIN($FP4,$FN4)</f>
        <v/>
      </c>
      <c r="FR4" s="155">
        <f>$FP4-$FQ4</f>
        <v/>
      </c>
      <c r="FS4" s="155">
        <f>3*$DZ4-$FN4+$FQ4</f>
        <v/>
      </c>
      <c r="FT4" s="155">
        <f>MAX(0,$FS4)+$DX4*$DZ4</f>
        <v/>
      </c>
      <c r="FU4" s="155">
        <f>(IF(COUNTIF($EC4:$EF4,"Salto")&gt;0,1,0)+IF(COUNTIF($EC4:$EF4,"Queima")&gt;0,1,0)+IF(COUNTIF($EC4:$EF4,"Estilhaço")&gt;0,1,0))*FLOOR($FT4/2,1)</f>
        <v/>
      </c>
      <c r="FV4" s="155">
        <f>MAX(0,3-SUMPRODUCT($FD4:$FI4,$Q$2:$V$2)+MIN(2,$FJ4*1+$FK4*1,SUMPRODUCT($FD4:$FI4,$Q$2:$V$2)))+$DX4*1</f>
        <v/>
      </c>
      <c r="FW4" s="155">
        <f>MAX(0,6-SUMPRODUCT($FD4:$FI4,$Q$3:$V$3)+MIN(4,$FJ4*1+$FK4*2,SUMPRODUCT($FD4:$FI4,$Q$3:$V$3)))+$DX4*2</f>
        <v/>
      </c>
      <c r="FX4" s="155">
        <f>MAX(0,9-SUMPRODUCT($FD4:$FI4,$Q$4:$V$4)+MIN(6,$FJ4*2+$FK4*3,SUMPRODUCT($FD4:$FI4,$Q$4:$V$4)))+$DX4*3</f>
        <v/>
      </c>
      <c r="FY4" s="155">
        <f>MAX(0,12-SUMPRODUCT($FD4:$FI4,$Q$5:$V$5)+MIN(8,$FJ4*2+$FK4*4,SUMPRODUCT($FD4:$FI4,$Q$5:$V$5)))+$DX4*4</f>
        <v/>
      </c>
      <c r="FZ4" s="155">
        <f>MAX(0,15-SUMPRODUCT($FD4:$FI4,$Q$6:$V$6)+MIN(10,$FJ4*3+$FK4*5,SUMPRODUCT($FD4:$FI4,$Q$6:$V$6)))+$DX4*5</f>
        <v/>
      </c>
      <c r="GA4" s="155">
        <f>MAX(0,18-SUMPRODUCT($FD4:$FI4,$Q$7:$V$7)+MIN(12,$FJ4*3+$FK4*6,SUMPRODUCT($FD4:$FI4,$Q$7:$V$7)))+$DX4*6</f>
        <v/>
      </c>
      <c r="GB4" s="155">
        <f>MAX(0,21-SUMPRODUCT($FD4:$FI4,$Q$8:$V$8)+MIN(14,$FJ4*4+$FK4*7,SUMPRODUCT($FD4:$FI4,$Q$8:$V$8)))+$DX4*7</f>
        <v/>
      </c>
      <c r="GC4" s="155">
        <f>IF($EX4=2,3*$FV4&amp;" de vida temp.",IF($EX4=3,"sem dano",IF($FV4=0,IF($EX4=1,"sem cura","sem dano"),IF($EX4=1,"cura ","")&amp;$FV4&amp;"d8")))</f>
        <v/>
      </c>
      <c r="GD4" s="155">
        <f>IF($EX4=2,3*$FW4&amp;" de vida temp.",IF($EX4=3,"sem dano",IF($FW4=0,IF($EX4=1,"sem cura","sem dano"),IF($EX4=1,"cura ","")&amp;$FW4&amp;"d8")))</f>
        <v/>
      </c>
      <c r="GE4" s="155">
        <f>IF($EX4=2,3*$FX4&amp;" de vida temp.",IF($EX4=3,"sem dano",IF($FX4=0,IF($EX4=1,"sem cura","sem dano"),IF($EX4=1,"cura ","")&amp;$FX4&amp;"d8")))</f>
        <v/>
      </c>
      <c r="GF4" s="155">
        <f>IF($EX4=2,3*$FY4&amp;" de vida temp.",IF($EX4=3,"sem dano",IF($FY4=0,IF($EX4=1,"sem cura","sem dano"),IF($EX4=1,"cura ","")&amp;$FY4&amp;"d8")))</f>
        <v/>
      </c>
      <c r="GG4" s="155">
        <f>IF($EX4=2,3*$FZ4&amp;" de vida temp.",IF($EX4=3,"sem dano",IF($FZ4=0,IF($EX4=1,"sem cura","sem dano"),IF($EX4=1,"cura ","")&amp;$FZ4&amp;"d8")))</f>
        <v/>
      </c>
      <c r="GH4" s="155">
        <f>IF($EX4=2,3*$GA4&amp;" de vida temp.",IF($EX4=3,"sem dano",IF($GA4=0,IF($EX4=1,"sem cura","sem dano"),IF($EX4=1,"cura ","")&amp;$GA4&amp;"d8")))</f>
        <v/>
      </c>
      <c r="GI4" s="155">
        <f>IF($EX4=2,3*$GB4&amp;" de vida temp.",IF($EX4=3,"sem dano",IF($GB4=0,IF($EX4=1,"sem cura","sem dano"),IF($EX4=1,"cura ","")&amp;$GB4&amp;"d8")))</f>
        <v/>
      </c>
      <c r="GJ4" s="155">
        <f>IF($EI4=0,"",TEXTJOIN(" · ",TRUE,IF(AND($DX4=1,$DY4&gt;$HK$9),"O nível "&amp;$HK$2&amp;" dá "&amp;$HK$9&amp;" Liberação Máxima",""),IF($DZ4&gt;$HK$4,"Classe "&amp;$DZ4&amp;": o nível "&amp;$HK$2&amp;" libera até a "&amp;$HK$4,""),IF($EP4=1,"Família Fechada: a Forma "&amp;$EB4,""),IF($EQ4=1,"Família Fechada: "&amp;$EC4,""),IF($ER4=1,"Família Fechada: "&amp;$ED4,""),IF($ES4=1,"Família Fechada: "&amp;$EE4,""),IF($ET4=1,"Família Fechada: "&amp;$EF4,""),IF($FL4&gt;INDEX($W$2:$W$8,$DZ4),$FL4&amp;" Melhorias: a Classe "&amp;$DZ4&amp;" aceita "&amp;INDEX($W$2:$W$8,$DZ4),""),IF($FM4&gt;2,$FM4&amp;" Restrições"&amp;IF($EW4=1,", contando a que a Forma "&amp;$EB4&amp;" já traz","")&amp;": o limite é 2",""),IF($FS4&lt;0,"Orçamento estourado: faltam "&amp;(-$FS4)&amp;IF($FS4&lt;-1," pontos"," ponto"),""),IF(IFERROR(VLOOKUP($EG4,$BM$2:$BQ$24,4,FALSE),0)+IFERROR(VLOOKUP($EH4,$BM$2:$BQ$24,4,FALSE),0)&gt;1,$FB4&amp;" e "&amp;$FC4&amp;" são as duas de frequência",""),IF(AND((COUNTIF($EC4:$EF4,"Rápido")+COUNTIF($FB4:$FC4,"Rápido"))&gt;0,(COUNTIF($EC4:$EF4,"Atrasar")+COUNTIF($FB4:$FC4,"Atrasar"))&gt;0),"Rápido não entra com Atrasar",""),IF(AND((COUNTIF($EC4:$EF4,"Reação")+COUNTIF($FB4:$FC4,"Reação"))&gt;0,(COUNTIF($EC4:$EF4,"Rápido")+COUNTIF($FB4:$FC4,"Rápido"))&gt;0),"Reação não entra com Rápido",""),IF(AND((COUNTIF($EC4:$EF4,"Reação")+COUNTIF($FB4:$FC4,"Reação"))&gt;0,(COUNTIF($EC4:$EF4,"Armado")+COUNTIF($FB4:$FC4,"Armado"))&gt;0),"Reação não entra com Armado",""),IF(AND((COUNTIF($EC4:$EF4,"Reação")+COUNTIF($FB4:$FC4,"Reação"))&gt;0,(COUNTIF($EC4:$EF4,"Atrasar")+COUNTIF($FB4:$FC4,"Atrasar"))&gt;0),"Reação não entra com Atrasar",""),IF(AND((COUNTIF($EC4:$EF4,"Reação")+COUNTIF($FB4:$FC4,"Reação"))&gt;0,(COUNTIF($EC4:$EF4,"Parado")+COUNTIF($FB4:$FC4,"Parado"))&gt;0),"Reação não entra com Parado",""),IF(AND((COUNTIF($EC4:$EF4,"Atrasar")+COUNTIF($FB4:$FC4,"Atrasar"))&gt;0,(COUNTIF($EC4:$EF4,"Parado")+COUNTIF($FB4:$FC4,"Parado"))&gt;0),"Atrasar não entra com Parado",""),IF(AND((COUNTIF($EC4:$EF4,"Armado")+COUNTIF($FB4:$FC4,"Armado"))&gt;0,(COUNTIF($EC4:$EF4,"Carregar")+COUNTIF($FB4:$FC4,"Carregar"))&gt;0),"Armado não entra com Carregar",""),IF(AND(COUNTIF($FB4:$FC4,"Corpo a Corpo")&gt;0,$EW4=0,OR($EB4="Cone",$EB4="Linha")),"Corpo a Corpo não entra em "&amp;$EB4,""),IF(AND(COUNTIF($FB4:$FC4,"Corpo a Corpo")&gt;0,$EW4=1),"A Forma "&amp;$EB4&amp;" já traz o Corpo a Corpo",""),IF(AND(COUNTIF($FB4:$FC4,"Tudo ou Nada")&gt;0,$EY4=0),"Tudo ou Nada só entra em feitiço de Teste de Resistência",""),IF(AND(COUNTIF($EC4:$EF4,"Inescapável")&gt;0,OR($FL4&gt;1,$FM4&gt;0)),"Inescapável não aceita outra peça",""),IF(AND($DX4=1,$DZ4&lt;3),"Liberação Máxima é de Classe 3 ou mais",""),IF(AND($DX4=1,OR($EX4=1,$EX4=2)),"Liberação Máxima não serve para cura",""),IF(AND($DX4=1,COUNTIF($EC4:$EF4,"Inescapável")+COUNTIF($EC4:$EF4,"Toca a Alma")&gt;0),"Esta peça não entra numa Liberação Máxima",""),IF($FT4*IF(COUNTIF($EC4:$EF4,"Remate")&gt;0,1.25,1)+$FU4&gt;4*$DZ4,($FT4*IF(COUNTIF($EC4:$EF4,"Remate")&gt;0,1.25,1)+$FU4)&amp;" dados somando repetições"&amp;IF(COUNTIF($EC4:$EF4,"Remate")&gt;0," e o Remate","")&amp;": o teto da Classe "&amp;$DZ4&amp;" é "&amp;4*$DZ4,"")))</f>
        <v/>
      </c>
      <c r="GK4" s="155">
        <f>IF($GJ4="",0,(LEN($GJ4)-LEN(SUBSTITUTE($GJ4," · ","")))/3+1)</f>
        <v/>
      </c>
      <c r="GL4" s="155">
        <f>IF($EI4=0,"",TEXTJOIN(" · ",TRUE,IF($FO4&gt;2*$DZ4,"A devolução parou no teto de "&amp;2*$DZ4,""),IF($FR4&gt;0,"Devolução perdida: "&amp;$FR4&amp;IF($FR4&gt;1," pontos"," ponto")&amp;" sem peça para pagar",""),IF(AND($EU4&gt;0,$FT4=0),"Controle sem dano: uma rodada a mais e CD +2",""),IF(AND($EU4&gt;0,$FT4&gt;0,$FT4&lt;=$DZ4),"Controle com saldo até a Classe: uma rodada a mais","")))</f>
        <v/>
      </c>
      <c r="GM4" s="155">
        <f>IF($GL4="",0,(LEN($GL4)-LEN(SUBSTITUTE($GL4," · ","")))/3+1)</f>
        <v/>
      </c>
      <c r="GN4" s="155">
        <f>IF($EI4=0,IF($FL4+$FM4-$EW4&gt;0,"Dê um nome",""),IF($GK4&gt;0,"⚠ "&amp;$GK4&amp;IF($GK4&gt;1," erros"," erro"),IF($GM4&gt;0,"! "&amp;$GM4&amp;IF($GM4&gt;1," avisos"," aviso"),"Na regra")))</f>
        <v/>
      </c>
      <c r="GO4" s="155">
        <f>IF($EI4=0,"",IF($GK4+$GM4=0,"Dentro das regras que a ficha confere",$GJ4&amp;IF(AND($GK4&gt;0,$GM4&gt;0)," · ","")&amp;$GL4))</f>
        <v/>
      </c>
      <c r="GP4" s="155">
        <f>IF($EI4=0,"",IF($DX4=1,CEILING(4.5*$DZ4,1),3*$DZ4)&amp;" PE")</f>
        <v/>
      </c>
      <c r="GQ4" s="155">
        <f>IF($EI4=0,"",IF($DX4=1,"Rodada inteira",IF(COUNTIF($FB4:$FC4,"Atrasar")&gt;0,IF(COUNTIF($FB4:$FC4,"Carregar")&gt;0,"Rodada +1 turno","Rodada inteira"),IF(COUNTIF($EC4:$EF4,"Rápido")&gt;0,"Bônus",IF(COUNTIF($EC4:$EF4,"Reação")&gt;0,"Reação","Padrão"))&amp;IF(COUNTIF($FB4:$FC4,"Carregar")&gt;0," +1 turno",""))))</f>
        <v/>
      </c>
      <c r="GR4" s="155">
        <f>IF(OR($EI4=0,$EJ4=0),"",IF(COUNTIF($EC4:$EF4,"Inescapável")&gt;0,"Automático",IF(COUNTIF($EC4:$EF4,"Certeiro")&gt;0,"TR para metade",IF(AND($EV4&gt;0,$EY4=0,INDEX($AF$2:$AF$11,$EJ4)="Acerto"),"Acerto + TR",INDEX($AF$2:$AF$11,$EJ4)))))</f>
        <v/>
      </c>
      <c r="GS4" s="155">
        <f>IF(OR($EI4=0,$EJ4=0),"",IF(OR($EX4&gt;=2,$FT4=0),UPPER(LEFT(INDEX($GC4:$GI4,1,$DZ4),1))&amp;MID(INDEX($GC4:$GI4,1,$DZ4),2,99),UPPER(LEFT(INDEX($GC4:$GI4,1,$DZ4),1))&amp;MID(INDEX($GC4:$GI4,1,$DZ4),2,99)&amp;" = "&amp;FLOOR($FT4*4.5,1)&amp;IF($FU4&gt;0," · +"&amp;$FU4&amp;"d8","")))</f>
        <v/>
      </c>
      <c r="GT4" s="155">
        <f>COUNTIF($EC4:$EF4,"Longe")+3*COUNTIF($EC4:$EF4,"Muito Longe")</f>
        <v/>
      </c>
      <c r="GU4" s="155">
        <f>COUNTIF($EC4:$EF4,"Maior")+3*COUNTIF($EC4:$EF4,"Muito Maior")</f>
        <v/>
      </c>
      <c r="GV4" s="155">
        <f>IF($EJ4=0,0,CHOOSE(1+INDEX($AH$2:$AH$11,$EJ4),0,$GT4,$GU4,$GT4+$GU4))</f>
        <v/>
      </c>
      <c r="GW4" s="155">
        <f>IF($EJ4=0,0,CHOOSE(1+INDEX($AI$2:$AI$11,$EJ4),0,$GT4,$GU4,$GT4+$GU4))</f>
        <v/>
      </c>
      <c r="GX4" s="155">
        <f>IF(OR($EI4=0,$EJ4=0),"",INDEX($AP$2:$AU$31,($EJ4-1)*3+IF($DZ4&gt;=6,3,2),1+MIN(5,$GV4))&amp;INDEX($AV$2:$BA$31,($EJ4-1)*3+IF($DZ4&gt;=6,3,2),1+MIN(5,$GW4))&amp;IF(INDEX($AJ$2:$AJ$11,$EJ4)=1,IF(COUNTIF($EC4:$EF4,"Mais Um")&gt;0," · +"&amp;COUNTIF($EC4:$EF4,"Mais Um")&amp;IF(COUNTIF($EC4:$EF4,"Mais Um")&gt;1," alvos"," alvo"),"")&amp;IF(COUNTIF($EC4:$EF4,"Rajada")&gt;0," · "&amp;($DZ4+1)&amp;" tiros",""),""))</f>
        <v/>
      </c>
      <c r="GY4" s="155">
        <f>IF($EI4=0,"",3*$DZ4&amp;" − "&amp;$FN4&amp;" + "&amp;$FQ4&amp;IF($DX4=1," + "&amp;$DZ4,"")&amp;" = "&amp;$FT4&amp;"d8 · teto "&amp;4*$DZ4&amp;IF($EW4=1," · a Forma devolve "&amp;$DZ4,"")&amp;IF($FR4&gt;0," · perde "&amp;$FR4,""))</f>
        <v/>
      </c>
      <c r="GZ4" s="155">
        <f>IF($EI4=0,"",IF($DZ4&gt;=$HK$4,"Já está na maior Classe que o nível liberou",TEXTJOIN(" · ",TRUE,IF(AND(2&gt;$DZ4,2&lt;=$HK$4),"2 → "&amp;$GD4&amp;", "&amp;IF($DX4=1,9,6)&amp;" PE",""),IF(AND(3&gt;$DZ4,3&lt;=$HK$4),"3 → "&amp;$GE4&amp;", "&amp;IF($DX4=1,14,9)&amp;" PE",""),IF(AND(4&gt;$DZ4,4&lt;=$HK$4),"4 → "&amp;$GF4&amp;", "&amp;IF($DX4=1,18,12)&amp;" PE",""),IF(AND(5&gt;$DZ4,5&lt;=$HK$4),"5 → "&amp;$GG4&amp;", "&amp;IF($DX4=1,23,15)&amp;" PE",""),IF(AND(6&gt;$DZ4,6&lt;=$HK$4),"6 → "&amp;$GH4&amp;", "&amp;IF($DX4=1,27,18)&amp;" PE",""),IF(AND(7&gt;$DZ4,7&lt;=$HK$4),"7 → "&amp;$GI4&amp;", "&amp;IF($DX4=1,32,21)&amp;" PE",""))))</f>
        <v/>
      </c>
      <c r="HA4" s="155">
        <f>IF(OR($EI4=0,$EL4=0),"","−"&amp;INDEX($Q$2:$V$8,$DZ4,$EL4)&amp;" · "&amp;CHOOSE($EL4,"Leve","Média","Pesada","Leve · Livre","Média · Livre","Pesada · Livre"))</f>
        <v/>
      </c>
      <c r="HB4" s="155">
        <f>IF(OR($EI4=0,$EM4=0),"","−"&amp;INDEX($Q$2:$V$8,$DZ4,$EM4)&amp;" · "&amp;CHOOSE($EM4,"Leve","Média","Pesada","Leve · Livre","Média · Livre","Pesada · Livre"))</f>
        <v/>
      </c>
      <c r="HC4" s="155">
        <f>IF(OR($EI4=0,$EN4=0),"","−"&amp;INDEX($Q$2:$V$8,$DZ4,$EN4)&amp;" · "&amp;CHOOSE($EN4,"Leve","Média","Pesada","Leve · Livre","Média · Livre","Pesada · Livre"))</f>
        <v/>
      </c>
      <c r="HD4" s="155">
        <f>IF(OR($EI4=0,$EO4=0),"","−"&amp;INDEX($Q$2:$V$8,$DZ4,$EO4)&amp;" · "&amp;CHOOSE($EO4,"Leve","Média","Pesada","Leve · Livre","Média · Livre","Pesada · Livre"))</f>
        <v/>
      </c>
      <c r="HE4" s="155">
        <f>IF(OR($EI4=0,$EG4=""),"","+"&amp;IF($EZ4=1,CEILING($DZ4/2,1),$DZ4))</f>
        <v/>
      </c>
      <c r="HF4" s="155">
        <f>IF(OR($EI4=0,$EH4=""),"","+"&amp;IF($FA4=1,CEILING($DZ4/2,1),$DZ4))</f>
        <v/>
      </c>
      <c r="HG4" s="155">
        <f>'FICHA AMALDIÇOADA'!$P$53&amp;""</f>
        <v/>
      </c>
      <c r="HH4" s="155">
        <f>IF(AND($EI4=1,$DX4=0),COUNTIFS($EI$2:$EI4,1,$DX$2:$DX4,0),"")</f>
        <v/>
      </c>
      <c r="HJ4" s="153" t="inlineStr">
        <is>
          <t>maior classe</t>
        </is>
      </c>
      <c r="HK4" s="155">
        <f>MAX(1,MIN(7,N(FICHA!$Z$65)))</f>
        <v/>
      </c>
      <c r="HM4" s="153" t="inlineStr">
        <is>
          <t>Talento 3</t>
        </is>
      </c>
      <c r="HN4" s="155">
        <f>'FICHA AMALDIÇOADA'!$P$379&amp;""</f>
        <v/>
      </c>
      <c r="HO4" s="155">
        <f>IFERROR(VLOOKUP($HN4,$BS$2:$BY$24,2,FALSE),0)</f>
        <v/>
      </c>
      <c r="HP4" s="155">
        <f>IFERROR(VLOOKUP($HO4,$CA$2:$CB$4,2,FALSE),0)</f>
        <v/>
      </c>
      <c r="HQ4" s="155">
        <f>IFERROR(VLOOKUP($HN4,$BS$2:$BY$24,3,FALSE),"")</f>
        <v/>
      </c>
      <c r="HR4" s="155">
        <f>IF($HO4=0,"",IF($HP4&gt;$HK$2,"⚠ Nível "&amp;$HP4,"CE "&amp;$HO4))</f>
        <v/>
      </c>
      <c r="HS4" s="155">
        <f>IF($HO4=0,"",$HO4&amp;" esp.")</f>
        <v/>
      </c>
      <c r="HT4" s="155">
        <f>'FICHA AMALDIÇOADA'!$Q$384&amp;""</f>
        <v/>
      </c>
      <c r="HU4" s="155">
        <f>IF($HN4="","",COUNTIF($HN$2:$HN4,"?*"))</f>
        <v/>
      </c>
      <c r="HW4" s="153" t="inlineStr">
        <is>
          <t>Aptidão 3</t>
        </is>
      </c>
      <c r="HX4" s="155">
        <f>'FICHA AMALDIÇOADA'!$P$430&amp;""</f>
        <v/>
      </c>
      <c r="HY4" s="155">
        <f>IF($HX4="","","Requisito: "&amp;IFERROR(VLOOKUP($HX4,$CD$2:$CM$33,2,FALSE),""))</f>
        <v/>
      </c>
      <c r="HZ4" s="155">
        <f>IF($HX4="","",IFERROR(IF(ISNUMBER(VLOOKUP($HX4,$CD$2:$CM$33,3,FALSE)),"CE "&amp;VLOOKUP($HX4,$CD$2:$CM$33,3,FALSE),VLOOKUP($HX4,$CD$2:$CM$33,3,FALSE)),""))</f>
        <v/>
      </c>
      <c r="IA4" s="155">
        <f>IF($HX4="","",IFERROR(VLOOKUP($HX4,$CD$2:$CM$33,4,FALSE),""))</f>
        <v/>
      </c>
      <c r="IB4" s="155">
        <f>IF($HX4="","",IFERROR(VLOOKUP($HX4,$CD$2:$CM$33,5,FALSE),""))</f>
        <v/>
      </c>
      <c r="IC4" s="155">
        <f>'FICHA AMALDIÇOADA'!$Q$447&amp;""</f>
        <v/>
      </c>
      <c r="ID4" s="155">
        <f>IF($HX4="","",COUNTIF($HX$2:$HX4,"?*"))</f>
        <v/>
      </c>
      <c r="IF4" s="153" t="inlineStr">
        <is>
          <t>Classe 0 · 3</t>
        </is>
      </c>
      <c r="IG4" s="155">
        <f>'FICHA AMALDIÇOADA'!$F$312&amp;""</f>
        <v/>
      </c>
      <c r="IH4" s="155">
        <f>'FICHA AMALDIÇOADA'!$J$312&amp;""</f>
        <v/>
      </c>
      <c r="II4" s="155">
        <f>'FICHA AMALDIÇOADA'!$L$312&amp;""</f>
        <v/>
      </c>
      <c r="IJ4" s="155">
        <f>IFERROR(MATCH($IG4,$Y$2:$Y$11,0),0)</f>
        <v/>
      </c>
      <c r="IK4" s="155">
        <f>$HK$11-IF($IH4&lt;&gt;"",1,0)</f>
        <v/>
      </c>
      <c r="IL4" s="155">
        <f>IF(3&gt;$HK$10,"Nível 5",IF($IJ4=0,"",IF(INDEX($AE$2:$AE$11,$IJ4)&gt;=2,"—",$IK4&amp;"d8 = "&amp;FLOOR($IK4*4.5,1))))</f>
        <v/>
      </c>
      <c r="IM4" s="155">
        <f>IF(OR(3&gt;$HK$10,$IJ4=0),"",INDEX($AP$2:$AU$31,($IJ4-1)*3+1,1+IF(OR(AND($IH4="Longe",INDEX($AH$2:$AH$11,$IJ4)&lt;&gt;2),AND($IH4="Maior",INDEX($AH$2:$AH$11,$IJ4)&gt;=2)),1,0))&amp;INDEX($AV$2:$BA$31,($IJ4-1)*3+1,1+IF(AND($IH4="Longe",INDEX($AI$2:$AI$11,$IJ4)=1),1,0)))</f>
        <v/>
      </c>
      <c r="IO4" s="155">
        <f>INDEX($D$3:$G$3,1,$A$2)</f>
        <v/>
      </c>
      <c r="IP4" s="155">
        <f>ADDRESS(ROW('FICHA AMALDIÇOADA'!F7),COLUMN('FICHA AMALDIÇOADA'!F7),4)</f>
        <v/>
      </c>
      <c r="IQ4" s="155">
        <f>ADDRESS(ROW('FICHA AMALDIÇOADA'!D48),COLUMN('FICHA AMALDIÇOADA'!D48),4)</f>
        <v/>
      </c>
      <c r="IR4" s="153" t="inlineStr">
        <is>
          <t>DADOS_AM!$IO$4</t>
        </is>
      </c>
      <c r="IT4" s="153" t="inlineStr">
        <is>
          <t>Caminho 15</t>
        </is>
      </c>
      <c r="IU4" s="155" t="n">
        <v>15</v>
      </c>
      <c r="IV4" s="155">
        <f>IF($HK$2&gt;=15,"Nível 15","Abre no 15")</f>
        <v/>
      </c>
      <c r="IW4" s="155">
        <f>ADDRESS(ROW(FICHA!G112),COLUMN(FICHA!G112),4)</f>
        <v/>
      </c>
      <c r="IX4" s="155">
        <f>ADDRESS(ROW(FICHA!D113),COLUMN(FICHA!D113),4)</f>
        <v/>
      </c>
      <c r="IZ4" s="153" t="inlineStr">
        <is>
          <t>Trilha · Anotações</t>
        </is>
      </c>
      <c r="JA4" s="155">
        <f>ADDRESS(ROW(FICHA!D168),COLUMN(FICHA!D168),4)</f>
        <v/>
      </c>
      <c r="JF4" s="155" t="n">
        <v>3</v>
      </c>
      <c r="JG4" s="155">
        <f>IFERROR(MATCH(3,$HH$2:$HH$37,0),0)</f>
        <v/>
      </c>
      <c r="JH4" s="155">
        <f>IF($JG4=0,"",INDEX($DZ$2:$DZ$37,$JG4))</f>
        <v/>
      </c>
      <c r="JI4" s="155">
        <f>IF($JG4=0,"",INDEX($EA$2:$EA$37,$JG4))</f>
        <v/>
      </c>
      <c r="JJ4" s="155">
        <f>IF($JG4=0,"",INDEX($GP$2:$GP$37,$JG4))</f>
        <v/>
      </c>
      <c r="JK4" s="155">
        <f>IF($JG4=0,"",INDEX($EB$2:$EB$37,$JG4))</f>
        <v/>
      </c>
      <c r="JL4" s="155">
        <f>IF($JG4=0,"",INDEX($GR$2:$GR$37,$JG4))</f>
        <v/>
      </c>
      <c r="JM4" s="155">
        <f>IF($JG4=0,"",INDEX($HG$2:$HG$37,$JG4))</f>
        <v/>
      </c>
      <c r="JO4" s="155" t="n">
        <v>3</v>
      </c>
      <c r="JP4" s="155">
        <f>IF($EI$40=0,"",$DZ$40)</f>
        <v/>
      </c>
      <c r="JQ4" s="155">
        <f>IF($EI$40=0,"",$EA$40)</f>
        <v/>
      </c>
      <c r="JR4" s="155">
        <f>IF($EI$40=0,"",$GP$40)</f>
        <v/>
      </c>
      <c r="JS4" s="155">
        <f>IF($EI$40=0,"",$EB$40)</f>
        <v/>
      </c>
      <c r="JT4" s="155">
        <f>IF($EI$40=0,"",$GR$40)</f>
        <v/>
      </c>
      <c r="JU4" s="155">
        <f>IF($EI$40=0,"",$HG$40)</f>
        <v/>
      </c>
      <c r="KD4" s="153" t="inlineStr">
        <is>
          <t>Talento 1</t>
        </is>
      </c>
      <c r="KE4" s="155">
        <f>IFERROR(MATCH(1,$HU$2:$HU$13,0),0)</f>
        <v/>
      </c>
      <c r="KF4" s="155">
        <f>IF($KE4=0,"",IF(INDEX($HO$2:$HO$13,$KE4)=0,"","CE "&amp;INDEX($HO$2:$HO$13,$KE4)))</f>
        <v/>
      </c>
      <c r="KG4" s="155">
        <f>IF($KE4=0,"",INDEX($HN$2:$HN$13,$KE4))</f>
        <v/>
      </c>
      <c r="KH4" s="155">
        <f>IF($KE4=0,"",IF(INDEX($HT$2:$HT$13,$KE4)&lt;&gt;"",INDEX($HT$2:$HT$13,$KE4),IF(IFERROR(VLOOKUP(INDEX($HN$2:$HN$13,$KE4),$BS$2:$BY$24,7,FALSE),"")&lt;&gt;"","Do livro: "&amp;IFERROR(VLOOKUP(INDEX($HN$2:$HN$13,$KE4),$BS$2:$BY$24,7,FALSE),""),"")))</f>
        <v/>
      </c>
      <c r="KJ4" s="153" t="inlineStr">
        <is>
          <t>Aptidão 1</t>
        </is>
      </c>
      <c r="KK4" s="155">
        <f>IFERROR(MATCH(1,$ID$2:$ID$13,0),0)</f>
        <v/>
      </c>
      <c r="KL4" s="155">
        <f>IF($KK4=0,"",INDEX($HZ$2:$HZ$13,$KK4))</f>
        <v/>
      </c>
      <c r="KM4" s="155">
        <f>IF($KK4=0,"",INDEX($HX$2:$HX$13,$KK4))</f>
        <v/>
      </c>
      <c r="KN4" s="155">
        <f>IF($KK4=0,"",IF(INDEX($IC$2:$IC$13,$KK4)&lt;&gt;"",INDEX($IC$2:$IC$13,$KK4),IF(IFERROR(VLOOKUP(INDEX($HX$2:$HX$13,$KK4),$CD$2:$CM$33,10,FALSE),"")&lt;&gt;"","Do livro: "&amp;IFERROR(VLOOKUP(INDEX($HX$2:$HX$13,$KK4),$CD$2:$CM$33,10,FALSE),""),"")))</f>
        <v/>
      </c>
      <c r="KP4" s="153" t="inlineStr">
        <is>
          <t>máximas</t>
        </is>
      </c>
      <c r="KQ4" s="155">
        <f>UPPER(INDEX($D$4:$G$4,1,$A$2))&amp;", "&amp;UPPER(INDEX($D$5:$G$5,1,$A$2))&amp;IF(DADOS_AM!$A$2=1," E DOMÍNIO","")</f>
        <v/>
      </c>
      <c r="KS4" s="153" t="inlineStr">
        <is>
          <t>P12</t>
        </is>
      </c>
      <c r="KT4" s="155">
        <f>IF(DADOS_AM!$HK$42=1,IF(DADOS_AM!$HK$49=0,"—",IF(DADOS_AM!$HK$49=1,"d20 + "&amp;(DADOS_AM!$HK$3+IF(DADOS_AM!$HK$43&lt;&gt;"",DADOS_AM!$HK$46,IF(DADOS_AM!$HK$44&lt;&gt;"",DADOS_AM!$HK$47,DADOS_AM!$HK$48))+IFERROR(VALUE(FICHA!$W$55&amp;""),0)),"Por grupo")),FICHA!$O$55)</f>
        <v/>
      </c>
    </row>
    <row r="5">
      <c r="C5" s="153" t="inlineStr">
        <is>
          <t>técnica máxima</t>
        </is>
      </c>
      <c r="D5" s="153" t="inlineStr">
        <is>
          <t>Técnica Máxima</t>
        </is>
      </c>
      <c r="E5" s="153" t="inlineStr">
        <is>
          <t>Auge</t>
        </is>
      </c>
      <c r="F5" s="153" t="inlineStr">
        <is>
          <t>Ōgi</t>
        </is>
      </c>
      <c r="G5" s="153" t="inlineStr">
        <is>
          <t>Ōgi</t>
        </is>
      </c>
      <c r="I5" s="153" t="inlineStr">
        <is>
          <t>Controle</t>
        </is>
      </c>
      <c r="J5" s="155">
        <f>'FICHA AMALDIÇOADA'!$G$37&amp;""</f>
        <v/>
      </c>
      <c r="K5" s="155">
        <f>IF($J5="Livre",1,0)</f>
        <v/>
      </c>
      <c r="L5" s="155">
        <f>IF($J5="Fechada",1,0)</f>
        <v/>
      </c>
      <c r="P5" s="155" t="n">
        <v>4</v>
      </c>
      <c r="Q5" s="155" t="n">
        <v>2</v>
      </c>
      <c r="R5" s="155" t="n">
        <v>4</v>
      </c>
      <c r="S5" s="155" t="n">
        <v>6</v>
      </c>
      <c r="T5" s="155" t="n">
        <v>1</v>
      </c>
      <c r="U5" s="155" t="n">
        <v>2</v>
      </c>
      <c r="V5" s="155" t="n">
        <v>4</v>
      </c>
      <c r="W5" s="155" t="n">
        <v>3</v>
      </c>
      <c r="Y5" s="153" t="inlineStr">
        <is>
          <t>Aura</t>
        </is>
      </c>
      <c r="Z5" s="153" t="inlineStr">
        <is>
          <t>Área</t>
        </is>
      </c>
      <c r="AA5" s="155" t="n">
        <v>1</v>
      </c>
      <c r="AB5" s="155">
        <f>IF($AA5=0,0,$AA5+3*IFERROR(VLOOKUP($Z5,$I$2:$L$10,3,FALSE),0))</f>
        <v/>
      </c>
      <c r="AC5" s="155">
        <f>IFERROR(VLOOKUP($Z5,$I$2:$L$10,4,FALSE),0)</f>
        <v/>
      </c>
      <c r="AD5" s="155" t="n">
        <v>1</v>
      </c>
      <c r="AE5" s="155" t="n">
        <v>0</v>
      </c>
      <c r="AF5" s="153" t="inlineStr">
        <is>
          <t>TR, metade</t>
        </is>
      </c>
      <c r="AG5" s="155" t="n">
        <v>1</v>
      </c>
      <c r="AH5" s="155" t="n">
        <v>2</v>
      </c>
      <c r="AI5" s="155" t="n">
        <v>0</v>
      </c>
      <c r="AJ5" s="155" t="n">
        <v>0</v>
      </c>
      <c r="AK5" s="155" t="n">
        <v>1</v>
      </c>
      <c r="AL5" s="155">
        <f>IF($AC5=1,"",$Y5)</f>
        <v/>
      </c>
      <c r="AM5" s="155">
        <f>IF(AND($AK5=1,$AC5=0),$Y5,"")</f>
        <v/>
      </c>
      <c r="AO5" s="153" t="inlineStr">
        <is>
          <t>Toque · classe 0</t>
        </is>
      </c>
      <c r="AP5" s="153" t="inlineStr">
        <is>
          <t>1,5 m, um alvo</t>
        </is>
      </c>
      <c r="AQ5" s="153" t="inlineStr">
        <is>
          <t>1,5 m, um alvo</t>
        </is>
      </c>
      <c r="AR5" s="153" t="inlineStr">
        <is>
          <t>1,5 m, um alvo</t>
        </is>
      </c>
      <c r="AS5" s="153" t="inlineStr">
        <is>
          <t>1,5 m, um alvo</t>
        </is>
      </c>
      <c r="AT5" s="153" t="inlineStr">
        <is>
          <t>1,5 m, um alvo</t>
        </is>
      </c>
      <c r="AU5" s="153" t="inlineStr">
        <is>
          <t>1,5 m, um alvo</t>
        </is>
      </c>
      <c r="AV5" s="153" t="inlineStr"/>
      <c r="AW5" s="153" t="inlineStr"/>
      <c r="AX5" s="153" t="inlineStr"/>
      <c r="AY5" s="153" t="inlineStr"/>
      <c r="AZ5" s="153" t="inlineStr"/>
      <c r="BA5" s="153" t="inlineStr"/>
      <c r="BC5" s="153" t="inlineStr">
        <is>
          <t>Perseguir</t>
        </is>
      </c>
      <c r="BD5" s="153" t="inlineStr">
        <is>
          <t>Alcance</t>
        </is>
      </c>
      <c r="BE5" s="155" t="n">
        <v>2</v>
      </c>
      <c r="BF5" s="155">
        <f>$BE5+3*IFERROR(VLOOKUP($BD5,$I$2:$L$10,3,FALSE),0)</f>
        <v/>
      </c>
      <c r="BG5" s="155">
        <f>IFERROR(VLOOKUP($BD5,$I$2:$L$10,4,FALSE),0)</f>
        <v/>
      </c>
      <c r="BH5" s="155" t="n">
        <v>0</v>
      </c>
      <c r="BI5" s="155">
        <f>IF($BG5=1,"",$BC5)</f>
        <v/>
      </c>
      <c r="BJ5" s="155">
        <f>IF(AND($BE5=1,$BG5=0),$BC5,"")</f>
        <v/>
      </c>
      <c r="BK5" s="155" t="n">
        <v>0</v>
      </c>
      <c r="BM5" s="153" t="inlineStr">
        <is>
          <t>Gesto</t>
        </is>
      </c>
      <c r="BN5" s="153" t="inlineStr">
        <is>
          <t>Gesto</t>
        </is>
      </c>
      <c r="BO5" s="155" t="n">
        <v>1</v>
      </c>
      <c r="BP5" s="155" t="n">
        <v>0</v>
      </c>
      <c r="BQ5" s="153" t="inlineStr">
        <is>
          <t>Gesto</t>
        </is>
      </c>
      <c r="BS5" s="153" t="inlineStr">
        <is>
          <t>Mão Firme</t>
        </is>
      </c>
      <c r="BT5" s="155" t="n">
        <v>1</v>
      </c>
      <c r="BU5" s="153" t="inlineStr">
        <is>
          <t>Quando uma ocorrência de dano causar 10 pontos ou menos, você não precisa fazer o teste para manter Concentração ou Carregar. Confira o dano de cada ocorrência depois das reduções aplicáveis. Não some todos os golpes da rodada.</t>
        </is>
      </c>
      <c r="BV5" s="155" t="n">
        <v>1</v>
      </c>
      <c r="BW5" s="155" t="n">
        <v>0</v>
      </c>
      <c r="BX5" s="155">
        <f>IF(OR(AND($A$2&lt;=2,$BV5=1),AND($A$2&gt;=2,$BW5=1)),$BS5,"")</f>
        <v/>
      </c>
      <c r="BY5" s="153" t="inlineStr">
        <is>
          <t>Quando uma ocorrência de dano causar 10 pontos ou menos, você não precisa fazer o teste para manter Concentração ou Carregar. Confira o dano de cada ocorrência depois das reduções aplicáveis. Não some todos os golpes da rodada.</t>
        </is>
      </c>
      <c r="CD5" s="153" t="inlineStr">
        <is>
          <t>Energia Reversa</t>
        </is>
      </c>
      <c r="CE5" s="153" t="inlineStr">
        <is>
          <t>Refino 7 e nível 14</t>
        </is>
      </c>
      <c r="CF5" s="155" t="n">
        <v>3</v>
      </c>
      <c r="CG5" s="153" t="inlineStr">
        <is>
          <t>—</t>
        </is>
      </c>
      <c r="CH5" s="153"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reparo estão na Origem. Outras incompatibilidades de alvo também continuam valendo. Energia Reversa é requisito para usar um feitiço da Forma Cura ofensivamente contra uma maldição. A exceção está em Ferir maldições. A aptidão de autocura, sozinha, não concede um ataque.</t>
        </is>
      </c>
      <c r="CI5" s="155">
        <f>IF($CL5=1,"",IF($A$2=4,IF($CJ5=1,$CD5,""),IF(OR($CJ5=1,AND($A$2=3,$CK5=1)),"",$CD5)))</f>
        <v/>
      </c>
      <c r="CJ5" s="155" t="n">
        <v>0</v>
      </c>
      <c r="CK5" s="155" t="n">
        <v>0</v>
      </c>
      <c r="CL5" s="155" t="n">
        <v>0</v>
      </c>
      <c r="CM5" s="153" t="inlineStr">
        <is>
          <t>Você usa energia reversa para restaurar seu próprio corpo.</t>
        </is>
      </c>
      <c r="CO5" s="153" t="inlineStr">
        <is>
          <t>Aptidão Própria</t>
        </is>
      </c>
      <c r="CS5" s="155">
        <f>IF($A$2=2,IFERROR(INDEX($CO$2:$CO$5,4),""),IF($A$2&gt;=3,IFERROR(INDEX($CQ$2:$CQ$4,4),""),""))</f>
        <v/>
      </c>
      <c r="CU5" s="153" t="inlineStr">
        <is>
          <t>Arremesso</t>
        </is>
      </c>
      <c r="CV5" s="155" t="n">
        <v>1</v>
      </c>
      <c r="CW5" s="155" t="n">
        <v>1</v>
      </c>
      <c r="CX5" s="155">
        <f>IF(AND($A$2&gt;=3,'FICHA AMALDIÇOADA'!$J$16&amp;""="Três grupos de arma"),$CU5,"")</f>
        <v/>
      </c>
      <c r="CZ5" s="155" t="n">
        <v>17</v>
      </c>
      <c r="DA5" s="155" t="n">
        <v>5</v>
      </c>
      <c r="DB5" s="155" t="n">
        <v>5</v>
      </c>
      <c r="DF5" s="155" t="n">
        <v>6</v>
      </c>
      <c r="DR5" s="153" t="inlineStr">
        <is>
          <t>Pacto de restrição</t>
        </is>
      </c>
      <c r="DS5" s="153" t="inlineStr">
        <is>
          <t>Na criação, com a Origem ou técnica</t>
        </is>
      </c>
      <c r="DW5" s="153" t="inlineStr">
        <is>
          <t>Feitiço 4</t>
        </is>
      </c>
      <c r="DX5" s="155" t="n">
        <v>0</v>
      </c>
      <c r="DY5" s="155" t="n">
        <v>4</v>
      </c>
      <c r="DZ5" s="155">
        <f>MAX(1,MIN(7,N('FICHA AMALDIÇOADA'!$D$72)))</f>
        <v/>
      </c>
      <c r="EA5" s="155">
        <f>'FICHA AMALDIÇOADA'!$E$72&amp;""</f>
        <v/>
      </c>
      <c r="EB5" s="155">
        <f>'FICHA AMALDIÇOADA'!$D$79&amp;""</f>
        <v/>
      </c>
      <c r="EC5" s="155">
        <f>'FICHA AMALDIÇOADA'!$E$81&amp;""</f>
        <v/>
      </c>
      <c r="ED5" s="155">
        <f>'FICHA AMALDIÇOADA'!$E$82&amp;""</f>
        <v/>
      </c>
      <c r="EE5" s="155">
        <f>'FICHA AMALDIÇOADA'!$E$83&amp;""</f>
        <v/>
      </c>
      <c r="EF5" s="155">
        <f>'FICHA AMALDIÇOADA'!$E$84&amp;""</f>
        <v/>
      </c>
      <c r="EG5" s="155">
        <f>'FICHA AMALDIÇOADA'!$E$85&amp;""</f>
        <v/>
      </c>
      <c r="EH5" s="155">
        <f>'FICHA AMALDIÇOADA'!$E$86&amp;""</f>
        <v/>
      </c>
      <c r="EI5" s="155">
        <f>IF($EA5&lt;&gt;"",1,0)</f>
        <v/>
      </c>
      <c r="EJ5" s="155">
        <f>IFERROR(MATCH($EB5,$Y$2:$Y$11,0),0)</f>
        <v/>
      </c>
      <c r="EK5" s="155">
        <f>IF($EJ5=0,0,INDEX($AB$2:$AB$11,$EJ5))</f>
        <v/>
      </c>
      <c r="EL5" s="155">
        <f>IFERROR(VLOOKUP($EC5,$BC$2:$BK$84,4,FALSE),0)</f>
        <v/>
      </c>
      <c r="EM5" s="155">
        <f>IFERROR(VLOOKUP($ED5,$BC$2:$BK$84,4,FALSE),0)</f>
        <v/>
      </c>
      <c r="EN5" s="155">
        <f>IFERROR(VLOOKUP($EE5,$BC$2:$BK$84,4,FALSE),0)</f>
        <v/>
      </c>
      <c r="EO5" s="155">
        <f>IFERROR(VLOOKUP($EF5,$BC$2:$BK$84,4,FALSE),0)</f>
        <v/>
      </c>
      <c r="EP5" s="155">
        <f>IF($EJ5=0,0,INDEX($AC$2:$AC$11,$EJ5))</f>
        <v/>
      </c>
      <c r="EQ5" s="155">
        <f>IFERROR(VLOOKUP($EC5,$BC$2:$BK$84,5,FALSE),0)</f>
        <v/>
      </c>
      <c r="ER5" s="155">
        <f>IFERROR(VLOOKUP($ED5,$BC$2:$BK$84,5,FALSE),0)</f>
        <v/>
      </c>
      <c r="ES5" s="155">
        <f>IFERROR(VLOOKUP($EE5,$BC$2:$BK$84,5,FALSE),0)</f>
        <v/>
      </c>
      <c r="ET5" s="155">
        <f>IFERROR(VLOOKUP($EF5,$BC$2:$BK$84,5,FALSE),0)</f>
        <v/>
      </c>
      <c r="EU5" s="155">
        <f>IFERROR(VLOOKUP($EC5,$BC$2:$BK$84,6,FALSE),0)+IFERROR(VLOOKUP($ED5,$BC$2:$BK$84,6,FALSE),0)+IFERROR(VLOOKUP($EE5,$BC$2:$BK$84,6,FALSE),0)+IFERROR(VLOOKUP($EF5,$BC$2:$BK$84,6,FALSE),0)</f>
        <v/>
      </c>
      <c r="EV5" s="155">
        <f>IFERROR(VLOOKUP($EC5,$BC$2:$BK$84,9,FALSE),0)+IFERROR(VLOOKUP($ED5,$BC$2:$BK$84,9,FALSE),0)+IFERROR(VLOOKUP($EE5,$BC$2:$BK$84,9,FALSE),0)+IFERROR(VLOOKUP($EF5,$BC$2:$BK$84,9,FALSE),0)</f>
        <v/>
      </c>
      <c r="EW5" s="155">
        <f>IF($EJ5=0,0,INDEX($AD$2:$AD$11,$EJ5))</f>
        <v/>
      </c>
      <c r="EX5" s="155">
        <f>IF($EJ5=0,0,INDEX($AE$2:$AE$11,$EJ5))</f>
        <v/>
      </c>
      <c r="EY5" s="155">
        <f>IF($EJ5=0,0,INDEX($AG$2:$AG$11,$EJ5))</f>
        <v/>
      </c>
      <c r="EZ5" s="155">
        <f>IFERROR(VLOOKUP($EG5,$BM$2:$BQ$24,3,FALSE),0)</f>
        <v/>
      </c>
      <c r="FA5" s="155">
        <f>IFERROR(VLOOKUP($EH5,$BM$2:$BQ$24,3,FALSE),0)</f>
        <v/>
      </c>
      <c r="FB5" s="155">
        <f>IFERROR(VLOOKUP($EG5,$BM$2:$BQ$24,2,FALSE),"")</f>
        <v/>
      </c>
      <c r="FC5" s="155">
        <f>IFERROR(VLOOKUP($EH5,$BM$2:$BQ$24,2,FALSE),"")</f>
        <v/>
      </c>
      <c r="FD5" s="155">
        <f>COUNTIF($EK5:$EO5,1)</f>
        <v/>
      </c>
      <c r="FE5" s="155">
        <f>COUNTIF($EK5:$EO5,2)</f>
        <v/>
      </c>
      <c r="FF5" s="155">
        <f>COUNTIF($EK5:$EO5,3)</f>
        <v/>
      </c>
      <c r="FG5" s="155">
        <f>COUNTIF($EK5:$EO5,4)</f>
        <v/>
      </c>
      <c r="FH5" s="155">
        <f>COUNTIF($EK5:$EO5,5)</f>
        <v/>
      </c>
      <c r="FI5" s="155">
        <f>COUNTIF($EK5:$EO5,6)</f>
        <v/>
      </c>
      <c r="FJ5" s="155">
        <f>COUNTIF($EZ5:$FA5,1)</f>
        <v/>
      </c>
      <c r="FK5" s="155">
        <f>COUNTIF($EZ5:$FA5,2)+$EW5</f>
        <v/>
      </c>
      <c r="FL5" s="155">
        <f>COUNTIF($EC5:$EF5,"?*")</f>
        <v/>
      </c>
      <c r="FM5" s="155">
        <f>COUNTIF($EG5:$EH5,"?*")+$EW5</f>
        <v/>
      </c>
      <c r="FN5" s="155">
        <f>SUMPRODUCT($FD5:$FI5,INDEX($Q$2:$V$8,$DZ5,0))</f>
        <v/>
      </c>
      <c r="FO5" s="155">
        <f>$FJ5*CEILING($DZ5/2,1)+$FK5*$DZ5</f>
        <v/>
      </c>
      <c r="FP5" s="155">
        <f>MIN(2*$DZ5,$FO5)</f>
        <v/>
      </c>
      <c r="FQ5" s="155">
        <f>MIN($FP5,$FN5)</f>
        <v/>
      </c>
      <c r="FR5" s="155">
        <f>$FP5-$FQ5</f>
        <v/>
      </c>
      <c r="FS5" s="155">
        <f>3*$DZ5-$FN5+$FQ5</f>
        <v/>
      </c>
      <c r="FT5" s="155">
        <f>MAX(0,$FS5)+$DX5*$DZ5</f>
        <v/>
      </c>
      <c r="FU5" s="155">
        <f>(IF(COUNTIF($EC5:$EF5,"Salto")&gt;0,1,0)+IF(COUNTIF($EC5:$EF5,"Queima")&gt;0,1,0)+IF(COUNTIF($EC5:$EF5,"Estilhaço")&gt;0,1,0))*FLOOR($FT5/2,1)</f>
        <v/>
      </c>
      <c r="FV5" s="155">
        <f>MAX(0,3-SUMPRODUCT($FD5:$FI5,$Q$2:$V$2)+MIN(2,$FJ5*1+$FK5*1,SUMPRODUCT($FD5:$FI5,$Q$2:$V$2)))+$DX5*1</f>
        <v/>
      </c>
      <c r="FW5" s="155">
        <f>MAX(0,6-SUMPRODUCT($FD5:$FI5,$Q$3:$V$3)+MIN(4,$FJ5*1+$FK5*2,SUMPRODUCT($FD5:$FI5,$Q$3:$V$3)))+$DX5*2</f>
        <v/>
      </c>
      <c r="FX5" s="155">
        <f>MAX(0,9-SUMPRODUCT($FD5:$FI5,$Q$4:$V$4)+MIN(6,$FJ5*2+$FK5*3,SUMPRODUCT($FD5:$FI5,$Q$4:$V$4)))+$DX5*3</f>
        <v/>
      </c>
      <c r="FY5" s="155">
        <f>MAX(0,12-SUMPRODUCT($FD5:$FI5,$Q$5:$V$5)+MIN(8,$FJ5*2+$FK5*4,SUMPRODUCT($FD5:$FI5,$Q$5:$V$5)))+$DX5*4</f>
        <v/>
      </c>
      <c r="FZ5" s="155">
        <f>MAX(0,15-SUMPRODUCT($FD5:$FI5,$Q$6:$V$6)+MIN(10,$FJ5*3+$FK5*5,SUMPRODUCT($FD5:$FI5,$Q$6:$V$6)))+$DX5*5</f>
        <v/>
      </c>
      <c r="GA5" s="155">
        <f>MAX(0,18-SUMPRODUCT($FD5:$FI5,$Q$7:$V$7)+MIN(12,$FJ5*3+$FK5*6,SUMPRODUCT($FD5:$FI5,$Q$7:$V$7)))+$DX5*6</f>
        <v/>
      </c>
      <c r="GB5" s="155">
        <f>MAX(0,21-SUMPRODUCT($FD5:$FI5,$Q$8:$V$8)+MIN(14,$FJ5*4+$FK5*7,SUMPRODUCT($FD5:$FI5,$Q$8:$V$8)))+$DX5*7</f>
        <v/>
      </c>
      <c r="GC5" s="155">
        <f>IF($EX5=2,3*$FV5&amp;" de vida temp.",IF($EX5=3,"sem dano",IF($FV5=0,IF($EX5=1,"sem cura","sem dano"),IF($EX5=1,"cura ","")&amp;$FV5&amp;"d8")))</f>
        <v/>
      </c>
      <c r="GD5" s="155">
        <f>IF($EX5=2,3*$FW5&amp;" de vida temp.",IF($EX5=3,"sem dano",IF($FW5=0,IF($EX5=1,"sem cura","sem dano"),IF($EX5=1,"cura ","")&amp;$FW5&amp;"d8")))</f>
        <v/>
      </c>
      <c r="GE5" s="155">
        <f>IF($EX5=2,3*$FX5&amp;" de vida temp.",IF($EX5=3,"sem dano",IF($FX5=0,IF($EX5=1,"sem cura","sem dano"),IF($EX5=1,"cura ","")&amp;$FX5&amp;"d8")))</f>
        <v/>
      </c>
      <c r="GF5" s="155">
        <f>IF($EX5=2,3*$FY5&amp;" de vida temp.",IF($EX5=3,"sem dano",IF($FY5=0,IF($EX5=1,"sem cura","sem dano"),IF($EX5=1,"cura ","")&amp;$FY5&amp;"d8")))</f>
        <v/>
      </c>
      <c r="GG5" s="155">
        <f>IF($EX5=2,3*$FZ5&amp;" de vida temp.",IF($EX5=3,"sem dano",IF($FZ5=0,IF($EX5=1,"sem cura","sem dano"),IF($EX5=1,"cura ","")&amp;$FZ5&amp;"d8")))</f>
        <v/>
      </c>
      <c r="GH5" s="155">
        <f>IF($EX5=2,3*$GA5&amp;" de vida temp.",IF($EX5=3,"sem dano",IF($GA5=0,IF($EX5=1,"sem cura","sem dano"),IF($EX5=1,"cura ","")&amp;$GA5&amp;"d8")))</f>
        <v/>
      </c>
      <c r="GI5" s="155">
        <f>IF($EX5=2,3*$GB5&amp;" de vida temp.",IF($EX5=3,"sem dano",IF($GB5=0,IF($EX5=1,"sem cura","sem dano"),IF($EX5=1,"cura ","")&amp;$GB5&amp;"d8")))</f>
        <v/>
      </c>
      <c r="GJ5" s="155">
        <f>IF($EI5=0,"",TEXTJOIN(" · ",TRUE,IF(AND($DX5=1,$DY5&gt;$HK$9),"O nível "&amp;$HK$2&amp;" dá "&amp;$HK$9&amp;" Liberação Máxima",""),IF($DZ5&gt;$HK$4,"Classe "&amp;$DZ5&amp;": o nível "&amp;$HK$2&amp;" libera até a "&amp;$HK$4,""),IF($EP5=1,"Família Fechada: a Forma "&amp;$EB5,""),IF($EQ5=1,"Família Fechada: "&amp;$EC5,""),IF($ER5=1,"Família Fechada: "&amp;$ED5,""),IF($ES5=1,"Família Fechada: "&amp;$EE5,""),IF($ET5=1,"Família Fechada: "&amp;$EF5,""),IF($FL5&gt;INDEX($W$2:$W$8,$DZ5),$FL5&amp;" Melhorias: a Classe "&amp;$DZ5&amp;" aceita "&amp;INDEX($W$2:$W$8,$DZ5),""),IF($FM5&gt;2,$FM5&amp;" Restrições"&amp;IF($EW5=1,", contando a que a Forma "&amp;$EB5&amp;" já traz","")&amp;": o limite é 2",""),IF($FS5&lt;0,"Orçamento estourado: faltam "&amp;(-$FS5)&amp;IF($FS5&lt;-1," pontos"," ponto"),""),IF(IFERROR(VLOOKUP($EG5,$BM$2:$BQ$24,4,FALSE),0)+IFERROR(VLOOKUP($EH5,$BM$2:$BQ$24,4,FALSE),0)&gt;1,$FB5&amp;" e "&amp;$FC5&amp;" são as duas de frequência",""),IF(AND((COUNTIF($EC5:$EF5,"Rápido")+COUNTIF($FB5:$FC5,"Rápido"))&gt;0,(COUNTIF($EC5:$EF5,"Atrasar")+COUNTIF($FB5:$FC5,"Atrasar"))&gt;0),"Rápido não entra com Atrasar",""),IF(AND((COUNTIF($EC5:$EF5,"Reação")+COUNTIF($FB5:$FC5,"Reação"))&gt;0,(COUNTIF($EC5:$EF5,"Rápido")+COUNTIF($FB5:$FC5,"Rápido"))&gt;0),"Reação não entra com Rápido",""),IF(AND((COUNTIF($EC5:$EF5,"Reação")+COUNTIF($FB5:$FC5,"Reação"))&gt;0,(COUNTIF($EC5:$EF5,"Armado")+COUNTIF($FB5:$FC5,"Armado"))&gt;0),"Reação não entra com Armado",""),IF(AND((COUNTIF($EC5:$EF5,"Reação")+COUNTIF($FB5:$FC5,"Reação"))&gt;0,(COUNTIF($EC5:$EF5,"Atrasar")+COUNTIF($FB5:$FC5,"Atrasar"))&gt;0),"Reação não entra com Atrasar",""),IF(AND((COUNTIF($EC5:$EF5,"Reação")+COUNTIF($FB5:$FC5,"Reação"))&gt;0,(COUNTIF($EC5:$EF5,"Parado")+COUNTIF($FB5:$FC5,"Parado"))&gt;0),"Reação não entra com Parado",""),IF(AND((COUNTIF($EC5:$EF5,"Atrasar")+COUNTIF($FB5:$FC5,"Atrasar"))&gt;0,(COUNTIF($EC5:$EF5,"Parado")+COUNTIF($FB5:$FC5,"Parado"))&gt;0),"Atrasar não entra com Parado",""),IF(AND((COUNTIF($EC5:$EF5,"Armado")+COUNTIF($FB5:$FC5,"Armado"))&gt;0,(COUNTIF($EC5:$EF5,"Carregar")+COUNTIF($FB5:$FC5,"Carregar"))&gt;0),"Armado não entra com Carregar",""),IF(AND(COUNTIF($FB5:$FC5,"Corpo a Corpo")&gt;0,$EW5=0,OR($EB5="Cone",$EB5="Linha")),"Corpo a Corpo não entra em "&amp;$EB5,""),IF(AND(COUNTIF($FB5:$FC5,"Corpo a Corpo")&gt;0,$EW5=1),"A Forma "&amp;$EB5&amp;" já traz o Corpo a Corpo",""),IF(AND(COUNTIF($FB5:$FC5,"Tudo ou Nada")&gt;0,$EY5=0),"Tudo ou Nada só entra em feitiço de Teste de Resistência",""),IF(AND(COUNTIF($EC5:$EF5,"Inescapável")&gt;0,OR($FL5&gt;1,$FM5&gt;0)),"Inescapável não aceita outra peça",""),IF(AND($DX5=1,$DZ5&lt;3),"Liberação Máxima é de Classe 3 ou mais",""),IF(AND($DX5=1,OR($EX5=1,$EX5=2)),"Liberação Máxima não serve para cura",""),IF(AND($DX5=1,COUNTIF($EC5:$EF5,"Inescapável")+COUNTIF($EC5:$EF5,"Toca a Alma")&gt;0),"Esta peça não entra numa Liberação Máxima",""),IF($FT5*IF(COUNTIF($EC5:$EF5,"Remate")&gt;0,1.25,1)+$FU5&gt;4*$DZ5,($FT5*IF(COUNTIF($EC5:$EF5,"Remate")&gt;0,1.25,1)+$FU5)&amp;" dados somando repetições"&amp;IF(COUNTIF($EC5:$EF5,"Remate")&gt;0," e o Remate","")&amp;": o teto da Classe "&amp;$DZ5&amp;" é "&amp;4*$DZ5,"")))</f>
        <v/>
      </c>
      <c r="GK5" s="155">
        <f>IF($GJ5="",0,(LEN($GJ5)-LEN(SUBSTITUTE($GJ5," · ","")))/3+1)</f>
        <v/>
      </c>
      <c r="GL5" s="155">
        <f>IF($EI5=0,"",TEXTJOIN(" · ",TRUE,IF($FO5&gt;2*$DZ5,"A devolução parou no teto de "&amp;2*$DZ5,""),IF($FR5&gt;0,"Devolução perdida: "&amp;$FR5&amp;IF($FR5&gt;1," pontos"," ponto")&amp;" sem peça para pagar",""),IF(AND($EU5&gt;0,$FT5=0),"Controle sem dano: uma rodada a mais e CD +2",""),IF(AND($EU5&gt;0,$FT5&gt;0,$FT5&lt;=$DZ5),"Controle com saldo até a Classe: uma rodada a mais","")))</f>
        <v/>
      </c>
      <c r="GM5" s="155">
        <f>IF($GL5="",0,(LEN($GL5)-LEN(SUBSTITUTE($GL5," · ","")))/3+1)</f>
        <v/>
      </c>
      <c r="GN5" s="155">
        <f>IF($EI5=0,IF($FL5+$FM5-$EW5&gt;0,"Dê um nome",""),IF($GK5&gt;0,"⚠ "&amp;$GK5&amp;IF($GK5&gt;1," erros"," erro"),IF($GM5&gt;0,"! "&amp;$GM5&amp;IF($GM5&gt;1," avisos"," aviso"),"Na regra")))</f>
        <v/>
      </c>
      <c r="GO5" s="155">
        <f>IF($EI5=0,"",IF($GK5+$GM5=0,"Dentro das regras que a ficha confere",$GJ5&amp;IF(AND($GK5&gt;0,$GM5&gt;0)," · ","")&amp;$GL5))</f>
        <v/>
      </c>
      <c r="GP5" s="155">
        <f>IF($EI5=0,"",IF($DX5=1,CEILING(4.5*$DZ5,1),3*$DZ5)&amp;" PE")</f>
        <v/>
      </c>
      <c r="GQ5" s="155">
        <f>IF($EI5=0,"",IF($DX5=1,"Rodada inteira",IF(COUNTIF($FB5:$FC5,"Atrasar")&gt;0,IF(COUNTIF($FB5:$FC5,"Carregar")&gt;0,"Rodada +1 turno","Rodada inteira"),IF(COUNTIF($EC5:$EF5,"Rápido")&gt;0,"Bônus",IF(COUNTIF($EC5:$EF5,"Reação")&gt;0,"Reação","Padrão"))&amp;IF(COUNTIF($FB5:$FC5,"Carregar")&gt;0," +1 turno",""))))</f>
        <v/>
      </c>
      <c r="GR5" s="155">
        <f>IF(OR($EI5=0,$EJ5=0),"",IF(COUNTIF($EC5:$EF5,"Inescapável")&gt;0,"Automático",IF(COUNTIF($EC5:$EF5,"Certeiro")&gt;0,"TR para metade",IF(AND($EV5&gt;0,$EY5=0,INDEX($AF$2:$AF$11,$EJ5)="Acerto"),"Acerto + TR",INDEX($AF$2:$AF$11,$EJ5)))))</f>
        <v/>
      </c>
      <c r="GS5" s="155">
        <f>IF(OR($EI5=0,$EJ5=0),"",IF(OR($EX5&gt;=2,$FT5=0),UPPER(LEFT(INDEX($GC5:$GI5,1,$DZ5),1))&amp;MID(INDEX($GC5:$GI5,1,$DZ5),2,99),UPPER(LEFT(INDEX($GC5:$GI5,1,$DZ5),1))&amp;MID(INDEX($GC5:$GI5,1,$DZ5),2,99)&amp;" = "&amp;FLOOR($FT5*4.5,1)&amp;IF($FU5&gt;0," · +"&amp;$FU5&amp;"d8","")))</f>
        <v/>
      </c>
      <c r="GT5" s="155">
        <f>COUNTIF($EC5:$EF5,"Longe")+3*COUNTIF($EC5:$EF5,"Muito Longe")</f>
        <v/>
      </c>
      <c r="GU5" s="155">
        <f>COUNTIF($EC5:$EF5,"Maior")+3*COUNTIF($EC5:$EF5,"Muito Maior")</f>
        <v/>
      </c>
      <c r="GV5" s="155">
        <f>IF($EJ5=0,0,CHOOSE(1+INDEX($AH$2:$AH$11,$EJ5),0,$GT5,$GU5,$GT5+$GU5))</f>
        <v/>
      </c>
      <c r="GW5" s="155">
        <f>IF($EJ5=0,0,CHOOSE(1+INDEX($AI$2:$AI$11,$EJ5),0,$GT5,$GU5,$GT5+$GU5))</f>
        <v/>
      </c>
      <c r="GX5" s="155">
        <f>IF(OR($EI5=0,$EJ5=0),"",INDEX($AP$2:$AU$31,($EJ5-1)*3+IF($DZ5&gt;=6,3,2),1+MIN(5,$GV5))&amp;INDEX($AV$2:$BA$31,($EJ5-1)*3+IF($DZ5&gt;=6,3,2),1+MIN(5,$GW5))&amp;IF(INDEX($AJ$2:$AJ$11,$EJ5)=1,IF(COUNTIF($EC5:$EF5,"Mais Um")&gt;0," · +"&amp;COUNTIF($EC5:$EF5,"Mais Um")&amp;IF(COUNTIF($EC5:$EF5,"Mais Um")&gt;1," alvos"," alvo"),"")&amp;IF(COUNTIF($EC5:$EF5,"Rajada")&gt;0," · "&amp;($DZ5+1)&amp;" tiros",""),""))</f>
        <v/>
      </c>
      <c r="GY5" s="155">
        <f>IF($EI5=0,"",3*$DZ5&amp;" − "&amp;$FN5&amp;" + "&amp;$FQ5&amp;IF($DX5=1," + "&amp;$DZ5,"")&amp;" = "&amp;$FT5&amp;"d8 · teto "&amp;4*$DZ5&amp;IF($EW5=1," · a Forma devolve "&amp;$DZ5,"")&amp;IF($FR5&gt;0," · perde "&amp;$FR5,""))</f>
        <v/>
      </c>
      <c r="GZ5" s="155">
        <f>IF($EI5=0,"",IF($DZ5&gt;=$HK$4,"Já está na maior Classe que o nível liberou",TEXTJOIN(" · ",TRUE,IF(AND(2&gt;$DZ5,2&lt;=$HK$4),"2 → "&amp;$GD5&amp;", "&amp;IF($DX5=1,9,6)&amp;" PE",""),IF(AND(3&gt;$DZ5,3&lt;=$HK$4),"3 → "&amp;$GE5&amp;", "&amp;IF($DX5=1,14,9)&amp;" PE",""),IF(AND(4&gt;$DZ5,4&lt;=$HK$4),"4 → "&amp;$GF5&amp;", "&amp;IF($DX5=1,18,12)&amp;" PE",""),IF(AND(5&gt;$DZ5,5&lt;=$HK$4),"5 → "&amp;$GG5&amp;", "&amp;IF($DX5=1,23,15)&amp;" PE",""),IF(AND(6&gt;$DZ5,6&lt;=$HK$4),"6 → "&amp;$GH5&amp;", "&amp;IF($DX5=1,27,18)&amp;" PE",""),IF(AND(7&gt;$DZ5,7&lt;=$HK$4),"7 → "&amp;$GI5&amp;", "&amp;IF($DX5=1,32,21)&amp;" PE",""))))</f>
        <v/>
      </c>
      <c r="HA5" s="155">
        <f>IF(OR($EI5=0,$EL5=0),"","−"&amp;INDEX($Q$2:$V$8,$DZ5,$EL5)&amp;" · "&amp;CHOOSE($EL5,"Leve","Média","Pesada","Leve · Livre","Média · Livre","Pesada · Livre"))</f>
        <v/>
      </c>
      <c r="HB5" s="155">
        <f>IF(OR($EI5=0,$EM5=0),"","−"&amp;INDEX($Q$2:$V$8,$DZ5,$EM5)&amp;" · "&amp;CHOOSE($EM5,"Leve","Média","Pesada","Leve · Livre","Média · Livre","Pesada · Livre"))</f>
        <v/>
      </c>
      <c r="HC5" s="155">
        <f>IF(OR($EI5=0,$EN5=0),"","−"&amp;INDEX($Q$2:$V$8,$DZ5,$EN5)&amp;" · "&amp;CHOOSE($EN5,"Leve","Média","Pesada","Leve · Livre","Média · Livre","Pesada · Livre"))</f>
        <v/>
      </c>
      <c r="HD5" s="155">
        <f>IF(OR($EI5=0,$EO5=0),"","−"&amp;INDEX($Q$2:$V$8,$DZ5,$EO5)&amp;" · "&amp;CHOOSE($EO5,"Leve","Média","Pesada","Leve · Livre","Média · Livre","Pesada · Livre"))</f>
        <v/>
      </c>
      <c r="HE5" s="155">
        <f>IF(OR($EI5=0,$EG5=""),"","+"&amp;IF($EZ5=1,CEILING($DZ5/2,1),$DZ5))</f>
        <v/>
      </c>
      <c r="HF5" s="155">
        <f>IF(OR($EI5=0,$EH5=""),"","+"&amp;IF($FA5=1,CEILING($DZ5/2,1),$DZ5))</f>
        <v/>
      </c>
      <c r="HG5" s="155">
        <f>'FICHA AMALDIÇOADA'!$D$74&amp;""</f>
        <v/>
      </c>
      <c r="HH5" s="155">
        <f>IF(AND($EI5=1,$DX5=0),COUNTIFS($EI$2:$EI5,1,$DX$2:$DX5,0),"")</f>
        <v/>
      </c>
      <c r="HJ5" s="153" t="inlineStr">
        <is>
          <t>marcos</t>
        </is>
      </c>
      <c r="HK5" s="155">
        <f>N(DADOS!$AK$5)</f>
        <v/>
      </c>
      <c r="HM5" s="153" t="inlineStr">
        <is>
          <t>Talento 4</t>
        </is>
      </c>
      <c r="HN5" s="155">
        <f>'FICHA AMALDIÇOADA'!$D$387&amp;""</f>
        <v/>
      </c>
      <c r="HO5" s="155">
        <f>IFERROR(VLOOKUP($HN5,$BS$2:$BY$24,2,FALSE),0)</f>
        <v/>
      </c>
      <c r="HP5" s="155">
        <f>IFERROR(VLOOKUP($HO5,$CA$2:$CB$4,2,FALSE),0)</f>
        <v/>
      </c>
      <c r="HQ5" s="155">
        <f>IFERROR(VLOOKUP($HN5,$BS$2:$BY$24,3,FALSE),"")</f>
        <v/>
      </c>
      <c r="HR5" s="155">
        <f>IF($HO5=0,"",IF($HP5&gt;$HK$2,"⚠ Nível "&amp;$HP5,"CE "&amp;$HO5))</f>
        <v/>
      </c>
      <c r="HS5" s="155">
        <f>IF($HO5=0,"",$HO5&amp;" esp.")</f>
        <v/>
      </c>
      <c r="HT5" s="155">
        <f>'FICHA AMALDIÇOADA'!$E$392&amp;""</f>
        <v/>
      </c>
      <c r="HU5" s="155">
        <f>IF($HN5="","",COUNTIF($HN$2:$HN5,"?*"))</f>
        <v/>
      </c>
      <c r="HW5" s="153" t="inlineStr">
        <is>
          <t>Aptidão 4</t>
        </is>
      </c>
      <c r="HX5" s="155">
        <f>'FICHA AMALDIÇOADA'!$D$450&amp;""</f>
        <v/>
      </c>
      <c r="HY5" s="155">
        <f>IF($HX5="","","Requisito: "&amp;IFERROR(VLOOKUP($HX5,$CD$2:$CM$33,2,FALSE),""))</f>
        <v/>
      </c>
      <c r="HZ5" s="155">
        <f>IF($HX5="","",IFERROR(IF(ISNUMBER(VLOOKUP($HX5,$CD$2:$CM$33,3,FALSE)),"CE "&amp;VLOOKUP($HX5,$CD$2:$CM$33,3,FALSE),VLOOKUP($HX5,$CD$2:$CM$33,3,FALSE)),""))</f>
        <v/>
      </c>
      <c r="IA5" s="155">
        <f>IF($HX5="","",IFERROR(VLOOKUP($HX5,$CD$2:$CM$33,4,FALSE),""))</f>
        <v/>
      </c>
      <c r="IB5" s="155">
        <f>IF($HX5="","",IFERROR(VLOOKUP($HX5,$CD$2:$CM$33,5,FALSE),""))</f>
        <v/>
      </c>
      <c r="IC5" s="155">
        <f>'FICHA AMALDIÇOADA'!$E$467&amp;""</f>
        <v/>
      </c>
      <c r="ID5" s="155">
        <f>IF($HX5="","",COUNTIF($HX$2:$HX5,"?*"))</f>
        <v/>
      </c>
      <c r="IF5" s="153" t="inlineStr">
        <is>
          <t>Classe 0 · 4</t>
        </is>
      </c>
      <c r="IG5" s="155">
        <f>'FICHA AMALDIÇOADA'!$F$313&amp;""</f>
        <v/>
      </c>
      <c r="IH5" s="155">
        <f>'FICHA AMALDIÇOADA'!$J$313&amp;""</f>
        <v/>
      </c>
      <c r="II5" s="155">
        <f>'FICHA AMALDIÇOADA'!$L$313&amp;""</f>
        <v/>
      </c>
      <c r="IJ5" s="155">
        <f>IFERROR(MATCH($IG5,$Y$2:$Y$11,0),0)</f>
        <v/>
      </c>
      <c r="IK5" s="155">
        <f>$HK$11-IF($IH5&lt;&gt;"",1,0)</f>
        <v/>
      </c>
      <c r="IL5" s="155">
        <f>IF(4&gt;$HK$10,"Nível 11",IF($IJ5=0,"",IF(INDEX($AE$2:$AE$11,$IJ5)&gt;=2,"—",$IK5&amp;"d8 = "&amp;FLOOR($IK5*4.5,1))))</f>
        <v/>
      </c>
      <c r="IM5" s="155">
        <f>IF(OR(4&gt;$HK$10,$IJ5=0),"",INDEX($AP$2:$AU$31,($IJ5-1)*3+1,1+IF(OR(AND($IH5="Longe",INDEX($AH$2:$AH$11,$IJ5)&lt;&gt;2),AND($IH5="Maior",INDEX($AH$2:$AH$11,$IJ5)&gt;=2)),1,0))&amp;INDEX($AV$2:$BA$31,($IJ5-1)*3+1,1+IF(AND($IH5="Longe",INDEX($AI$2:$AI$11,$IJ5)=1),1,0)))</f>
        <v/>
      </c>
      <c r="IO5" s="153" t="inlineStr">
        <is>
          <t>Classe 0</t>
        </is>
      </c>
      <c r="IP5" s="155">
        <f>ADDRESS(ROW('FICHA AMALDIÇOADA'!G7),COLUMN('FICHA AMALDIÇOADA'!G7),4)</f>
        <v/>
      </c>
      <c r="IQ5" s="155">
        <f>ADDRESS(ROW('FICHA AMALDIÇOADA'!D307),COLUMN('FICHA AMALDIÇOADA'!D307),4)</f>
        <v/>
      </c>
      <c r="IR5" s="153" t="inlineStr">
        <is>
          <t>DADOS_AM!$IO$5</t>
        </is>
      </c>
      <c r="IT5" s="153" t="inlineStr">
        <is>
          <t>Caminho 23</t>
        </is>
      </c>
      <c r="IU5" s="155" t="n">
        <v>23</v>
      </c>
      <c r="IV5" s="155">
        <f>IF($HK$2&gt;=23,"Nível 23","Abre no 23")</f>
        <v/>
      </c>
      <c r="IW5" s="155">
        <f>ADDRESS(ROW(FICHA!G118),COLUMN(FICHA!G118),4)</f>
        <v/>
      </c>
      <c r="IX5" s="155">
        <f>ADDRESS(ROW(FICHA!D119),COLUMN(FICHA!D119),4)</f>
        <v/>
      </c>
      <c r="JF5" s="155" t="n">
        <v>4</v>
      </c>
      <c r="JG5" s="155">
        <f>IFERROR(MATCH(4,$HH$2:$HH$37,0),0)</f>
        <v/>
      </c>
      <c r="JH5" s="155">
        <f>IF($JG5=0,"",INDEX($DZ$2:$DZ$37,$JG5))</f>
        <v/>
      </c>
      <c r="JI5" s="155">
        <f>IF($JG5=0,"",INDEX($EA$2:$EA$37,$JG5))</f>
        <v/>
      </c>
      <c r="JJ5" s="155">
        <f>IF($JG5=0,"",INDEX($GP$2:$GP$37,$JG5))</f>
        <v/>
      </c>
      <c r="JK5" s="155">
        <f>IF($JG5=0,"",INDEX($EB$2:$EB$37,$JG5))</f>
        <v/>
      </c>
      <c r="JL5" s="155">
        <f>IF($JG5=0,"",INDEX($GR$2:$GR$37,$JG5))</f>
        <v/>
      </c>
      <c r="JM5" s="155">
        <f>IF($JG5=0,"",INDEX($HG$2:$HG$37,$JG5))</f>
        <v/>
      </c>
      <c r="KD5" s="153" t="inlineStr">
        <is>
          <t>Talento 2</t>
        </is>
      </c>
      <c r="KE5" s="155">
        <f>IFERROR(MATCH(2,$HU$2:$HU$13,0),0)</f>
        <v/>
      </c>
      <c r="KF5" s="155">
        <f>IF($KE5=0,"",IF(INDEX($HO$2:$HO$13,$KE5)=0,"","CE "&amp;INDEX($HO$2:$HO$13,$KE5)))</f>
        <v/>
      </c>
      <c r="KG5" s="155">
        <f>IF($KE5=0,"",INDEX($HN$2:$HN$13,$KE5))</f>
        <v/>
      </c>
      <c r="KH5" s="155">
        <f>IF($KE5=0,"",IF(INDEX($HT$2:$HT$13,$KE5)&lt;&gt;"",INDEX($HT$2:$HT$13,$KE5),IF(IFERROR(VLOOKUP(INDEX($HN$2:$HN$13,$KE5),$BS$2:$BY$24,7,FALSE),"")&lt;&gt;"","Do livro: "&amp;IFERROR(VLOOKUP(INDEX($HN$2:$HN$13,$KE5),$BS$2:$BY$24,7,FALSE),""),"")))</f>
        <v/>
      </c>
      <c r="KJ5" s="153" t="inlineStr">
        <is>
          <t>Aptidão 2</t>
        </is>
      </c>
      <c r="KK5" s="155">
        <f>IFERROR(MATCH(2,$ID$2:$ID$13,0),0)</f>
        <v/>
      </c>
      <c r="KL5" s="155">
        <f>IF($KK5=0,"",INDEX($HZ$2:$HZ$13,$KK5))</f>
        <v/>
      </c>
      <c r="KM5" s="155">
        <f>IF($KK5=0,"",INDEX($HX$2:$HX$13,$KK5))</f>
        <v/>
      </c>
      <c r="KN5" s="155">
        <f>IF($KK5=0,"",IF(INDEX($IC$2:$IC$13,$KK5)&lt;&gt;"",INDEX($IC$2:$IC$13,$KK5),IF(IFERROR(VLOOKUP(INDEX($HX$2:$HX$13,$KK5),$CD$2:$CM$33,10,FALSE),"")&lt;&gt;"","Do livro: "&amp;IFERROR(VLOOKUP(INDEX($HX$2:$HX$13,$KK5),$CD$2:$CM$33,10,FALSE),""),"")))</f>
        <v/>
      </c>
      <c r="KP5" s="153" t="inlineStr">
        <is>
          <t>passivas</t>
        </is>
      </c>
      <c r="KQ5" s="155">
        <f>"TALENTOS  ·  "&amp;(COUNTIF($KG$2:$KG$15,"?*")-2)&amp;" de 12, mais a Expressão e a Regra Própria"</f>
        <v/>
      </c>
      <c r="KS5" s="153" t="inlineStr">
        <is>
          <t>R12</t>
        </is>
      </c>
      <c r="KT5" s="155">
        <f>IF(DADOS_AM!$HK$42=1,IF(DADOS_AM!$HK$49=0,"—",IF(DADOS_AM!$HK$49=1,(8+DADOS_AM!$HK$3+IF(DADOS_AM!$HK$43&lt;&gt;"",DADOS_AM!$HK$46,IF(DADOS_AM!$HK$44&lt;&gt;"",DADOS_AM!$HK$47,DADOS_AM!$HK$48))+IFERROR(VALUE(FICHA!$L$55&amp;""),0)),"Por grupo")),FICHA!$D$55)</f>
        <v/>
      </c>
    </row>
    <row r="6">
      <c r="C6" s="153" t="inlineStr">
        <is>
          <t>aptidões</t>
        </is>
      </c>
      <c r="D6" s="153" t="inlineStr">
        <is>
          <t>Aptidões</t>
        </is>
      </c>
      <c r="E6" s="153" t="inlineStr">
        <is>
          <t>Aptidões</t>
        </is>
      </c>
      <c r="F6" s="153" t="inlineStr">
        <is>
          <t>Aptidões</t>
        </is>
      </c>
      <c r="G6" s="153" t="inlineStr">
        <is>
          <t>Bênçãos</t>
        </is>
      </c>
      <c r="I6" s="153" t="inlineStr">
        <is>
          <t>Auxiliares</t>
        </is>
      </c>
      <c r="J6" s="155">
        <f>'FICHA AMALDIÇOADA'!$J$37&amp;""</f>
        <v/>
      </c>
      <c r="K6" s="155">
        <f>IF($J6="Livre",1,0)</f>
        <v/>
      </c>
      <c r="L6" s="155">
        <f>IF($J6="Fechada",1,0)</f>
        <v/>
      </c>
      <c r="P6" s="155" t="n">
        <v>5</v>
      </c>
      <c r="Q6" s="155" t="n">
        <v>3</v>
      </c>
      <c r="R6" s="155" t="n">
        <v>5</v>
      </c>
      <c r="S6" s="155" t="n">
        <v>8</v>
      </c>
      <c r="T6" s="155" t="n">
        <v>1</v>
      </c>
      <c r="U6" s="155" t="n">
        <v>2</v>
      </c>
      <c r="V6" s="155" t="n">
        <v>5</v>
      </c>
      <c r="W6" s="155" t="n">
        <v>4</v>
      </c>
      <c r="Y6" s="153" t="inlineStr">
        <is>
          <t>Cone</t>
        </is>
      </c>
      <c r="Z6" s="153" t="inlineStr">
        <is>
          <t>Área</t>
        </is>
      </c>
      <c r="AA6" s="155" t="n">
        <v>1</v>
      </c>
      <c r="AB6" s="155">
        <f>IF($AA6=0,0,$AA6+3*IFERROR(VLOOKUP($Z6,$I$2:$L$10,3,FALSE),0))</f>
        <v/>
      </c>
      <c r="AC6" s="155">
        <f>IFERROR(VLOOKUP($Z6,$I$2:$L$10,4,FALSE),0)</f>
        <v/>
      </c>
      <c r="AD6" s="155" t="n">
        <v>0</v>
      </c>
      <c r="AE6" s="155" t="n">
        <v>0</v>
      </c>
      <c r="AF6" s="153" t="inlineStr">
        <is>
          <t>TR, metade</t>
        </is>
      </c>
      <c r="AG6" s="155" t="n">
        <v>1</v>
      </c>
      <c r="AH6" s="155" t="n">
        <v>3</v>
      </c>
      <c r="AI6" s="155" t="n">
        <v>0</v>
      </c>
      <c r="AJ6" s="155" t="n">
        <v>0</v>
      </c>
      <c r="AK6" s="155" t="n">
        <v>1</v>
      </c>
      <c r="AL6" s="155">
        <f>IF($AC6=1,"",$Y6)</f>
        <v/>
      </c>
      <c r="AM6" s="155">
        <f>IF(AND($AK6=1,$AC6=0),$Y6,"")</f>
        <v/>
      </c>
      <c r="AO6" s="153" t="inlineStr">
        <is>
          <t>Toque · classes 1 a 5</t>
        </is>
      </c>
      <c r="AP6" s="153" t="inlineStr">
        <is>
          <t>1,5 m, um alvo</t>
        </is>
      </c>
      <c r="AQ6" s="153" t="inlineStr">
        <is>
          <t>1,5 m, um alvo</t>
        </is>
      </c>
      <c r="AR6" s="153" t="inlineStr">
        <is>
          <t>1,5 m, um alvo</t>
        </is>
      </c>
      <c r="AS6" s="153" t="inlineStr">
        <is>
          <t>1,5 m, um alvo</t>
        </is>
      </c>
      <c r="AT6" s="153" t="inlineStr">
        <is>
          <t>1,5 m, um alvo</t>
        </is>
      </c>
      <c r="AU6" s="153" t="inlineStr">
        <is>
          <t>1,5 m, um alvo</t>
        </is>
      </c>
      <c r="AV6" s="153" t="inlineStr"/>
      <c r="AW6" s="153" t="inlineStr"/>
      <c r="AX6" s="153" t="inlineStr"/>
      <c r="AY6" s="153" t="inlineStr"/>
      <c r="AZ6" s="153" t="inlineStr"/>
      <c r="BA6" s="153" t="inlineStr"/>
      <c r="BC6" s="153" t="inlineStr">
        <is>
          <t>Passo</t>
        </is>
      </c>
      <c r="BD6" s="153" t="inlineStr">
        <is>
          <t>Alcance</t>
        </is>
      </c>
      <c r="BE6" s="155" t="n">
        <v>1</v>
      </c>
      <c r="BF6" s="155">
        <f>$BE6+3*IFERROR(VLOOKUP($BD6,$I$2:$L$10,3,FALSE),0)</f>
        <v/>
      </c>
      <c r="BG6" s="155">
        <f>IFERROR(VLOOKUP($BD6,$I$2:$L$10,4,FALSE),0)</f>
        <v/>
      </c>
      <c r="BH6" s="155" t="n">
        <v>0</v>
      </c>
      <c r="BI6" s="155">
        <f>IF($BG6=1,"",$BC6)</f>
        <v/>
      </c>
      <c r="BJ6" s="155">
        <f>IF(AND($BE6=1,$BG6=0),$BC6,"")</f>
        <v/>
      </c>
      <c r="BK6" s="155" t="n">
        <v>0</v>
      </c>
      <c r="BM6" s="153" t="inlineStr">
        <is>
          <t>Carregar</t>
        </is>
      </c>
      <c r="BN6" s="153" t="inlineStr">
        <is>
          <t>Carregar</t>
        </is>
      </c>
      <c r="BO6" s="155" t="n">
        <v>2</v>
      </c>
      <c r="BP6" s="155" t="n">
        <v>0</v>
      </c>
      <c r="BQ6" s="153" t="inlineStr"/>
      <c r="BS6" s="153" t="inlineStr">
        <is>
          <t>Farejador</t>
        </is>
      </c>
      <c r="BT6" s="155" t="n">
        <v>1</v>
      </c>
      <c r="BU6" s="153" t="inlineStr">
        <is>
          <t>Você sente se houve uma conjuração no local onde está nas últimas 24 horas, e identifica a Classe deixada por ela. Se houver vestígios de mais de uma Classe, reconhece essas Classes.</t>
        </is>
      </c>
      <c r="BV6" s="155" t="n">
        <v>1</v>
      </c>
      <c r="BW6" s="155" t="n">
        <v>0</v>
      </c>
      <c r="BX6" s="155">
        <f>IF(OR(AND($A$2&lt;=2,$BV6=1),AND($A$2&gt;=2,$BW6=1)),$BS6,"")</f>
        <v/>
      </c>
      <c r="BY6" s="153" t="inlineStr">
        <is>
          <t>Você sente se houve uma conjuração no local onde está nas últimas 24 horas, e identifica a Classe deixada por ela. Se houver vestígios de mais de uma Classe, reconhece essas Classes.</t>
        </is>
      </c>
      <c r="CD6" s="153" t="inlineStr">
        <is>
          <t>Circulação</t>
        </is>
      </c>
      <c r="CE6" s="153" t="inlineStr">
        <is>
          <t>Energia Reversa e Refino 8</t>
        </is>
      </c>
      <c r="CF6" s="155" t="n">
        <v>3</v>
      </c>
      <c r="CG6" s="153" t="inlineStr">
        <is>
          <t>—</t>
        </is>
      </c>
      <c r="CH6" s="153"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55">
        <f>IF($CL6=1,"",IF($A$2=4,IF($CJ6=1,$CD6,""),IF(OR($CJ6=1,AND($A$2=3,$CK6=1)),"",$CD6)))</f>
        <v/>
      </c>
      <c r="CJ6" s="155" t="n">
        <v>0</v>
      </c>
      <c r="CK6" s="155" t="n">
        <v>0</v>
      </c>
      <c r="CL6" s="155" t="n">
        <v>0</v>
      </c>
      <c r="CM6" s="153" t="inlineStr">
        <is>
          <t>Você melhora o uso de Energia Reversa e aprende a reconstruir partes perdidas do corpo.</t>
        </is>
      </c>
      <c r="CU6" s="153" t="inlineStr">
        <is>
          <t>Flexível</t>
        </is>
      </c>
      <c r="CV6" s="155" t="n">
        <v>1</v>
      </c>
      <c r="CW6" s="155" t="n">
        <v>0</v>
      </c>
      <c r="CX6" s="155">
        <f>IF(AND($A$2&gt;=3,'FICHA AMALDIÇOADA'!$J$16&amp;""="Três grupos de arma"),$CU6,"")</f>
        <v/>
      </c>
      <c r="CZ6" s="155" t="n">
        <v>25</v>
      </c>
      <c r="DA6" s="155" t="n">
        <v>5</v>
      </c>
      <c r="DB6" s="155" t="n">
        <v>6</v>
      </c>
      <c r="DF6" s="155" t="n">
        <v>7</v>
      </c>
      <c r="DW6" s="153" t="inlineStr">
        <is>
          <t>Feitiço 5</t>
        </is>
      </c>
      <c r="DX6" s="155" t="n">
        <v>0</v>
      </c>
      <c r="DY6" s="155" t="n">
        <v>5</v>
      </c>
      <c r="DZ6" s="155">
        <f>MAX(1,MIN(7,N('FICHA AMALDIÇOADA'!$J$72)))</f>
        <v/>
      </c>
      <c r="EA6" s="155">
        <f>'FICHA AMALDIÇOADA'!$K$72&amp;""</f>
        <v/>
      </c>
      <c r="EB6" s="155">
        <f>'FICHA AMALDIÇOADA'!$J$79&amp;""</f>
        <v/>
      </c>
      <c r="EC6" s="155">
        <f>'FICHA AMALDIÇOADA'!$K$81&amp;""</f>
        <v/>
      </c>
      <c r="ED6" s="155">
        <f>'FICHA AMALDIÇOADA'!$K$82&amp;""</f>
        <v/>
      </c>
      <c r="EE6" s="155">
        <f>'FICHA AMALDIÇOADA'!$K$83&amp;""</f>
        <v/>
      </c>
      <c r="EF6" s="155">
        <f>'FICHA AMALDIÇOADA'!$K$84&amp;""</f>
        <v/>
      </c>
      <c r="EG6" s="155">
        <f>'FICHA AMALDIÇOADA'!$K$85&amp;""</f>
        <v/>
      </c>
      <c r="EH6" s="155">
        <f>'FICHA AMALDIÇOADA'!$K$86&amp;""</f>
        <v/>
      </c>
      <c r="EI6" s="155">
        <f>IF($EA6&lt;&gt;"",1,0)</f>
        <v/>
      </c>
      <c r="EJ6" s="155">
        <f>IFERROR(MATCH($EB6,$Y$2:$Y$11,0),0)</f>
        <v/>
      </c>
      <c r="EK6" s="155">
        <f>IF($EJ6=0,0,INDEX($AB$2:$AB$11,$EJ6))</f>
        <v/>
      </c>
      <c r="EL6" s="155">
        <f>IFERROR(VLOOKUP($EC6,$BC$2:$BK$84,4,FALSE),0)</f>
        <v/>
      </c>
      <c r="EM6" s="155">
        <f>IFERROR(VLOOKUP($ED6,$BC$2:$BK$84,4,FALSE),0)</f>
        <v/>
      </c>
      <c r="EN6" s="155">
        <f>IFERROR(VLOOKUP($EE6,$BC$2:$BK$84,4,FALSE),0)</f>
        <v/>
      </c>
      <c r="EO6" s="155">
        <f>IFERROR(VLOOKUP($EF6,$BC$2:$BK$84,4,FALSE),0)</f>
        <v/>
      </c>
      <c r="EP6" s="155">
        <f>IF($EJ6=0,0,INDEX($AC$2:$AC$11,$EJ6))</f>
        <v/>
      </c>
      <c r="EQ6" s="155">
        <f>IFERROR(VLOOKUP($EC6,$BC$2:$BK$84,5,FALSE),0)</f>
        <v/>
      </c>
      <c r="ER6" s="155">
        <f>IFERROR(VLOOKUP($ED6,$BC$2:$BK$84,5,FALSE),0)</f>
        <v/>
      </c>
      <c r="ES6" s="155">
        <f>IFERROR(VLOOKUP($EE6,$BC$2:$BK$84,5,FALSE),0)</f>
        <v/>
      </c>
      <c r="ET6" s="155">
        <f>IFERROR(VLOOKUP($EF6,$BC$2:$BK$84,5,FALSE),0)</f>
        <v/>
      </c>
      <c r="EU6" s="155">
        <f>IFERROR(VLOOKUP($EC6,$BC$2:$BK$84,6,FALSE),0)+IFERROR(VLOOKUP($ED6,$BC$2:$BK$84,6,FALSE),0)+IFERROR(VLOOKUP($EE6,$BC$2:$BK$84,6,FALSE),0)+IFERROR(VLOOKUP($EF6,$BC$2:$BK$84,6,FALSE),0)</f>
        <v/>
      </c>
      <c r="EV6" s="155">
        <f>IFERROR(VLOOKUP($EC6,$BC$2:$BK$84,9,FALSE),0)+IFERROR(VLOOKUP($ED6,$BC$2:$BK$84,9,FALSE),0)+IFERROR(VLOOKUP($EE6,$BC$2:$BK$84,9,FALSE),0)+IFERROR(VLOOKUP($EF6,$BC$2:$BK$84,9,FALSE),0)</f>
        <v/>
      </c>
      <c r="EW6" s="155">
        <f>IF($EJ6=0,0,INDEX($AD$2:$AD$11,$EJ6))</f>
        <v/>
      </c>
      <c r="EX6" s="155">
        <f>IF($EJ6=0,0,INDEX($AE$2:$AE$11,$EJ6))</f>
        <v/>
      </c>
      <c r="EY6" s="155">
        <f>IF($EJ6=0,0,INDEX($AG$2:$AG$11,$EJ6))</f>
        <v/>
      </c>
      <c r="EZ6" s="155">
        <f>IFERROR(VLOOKUP($EG6,$BM$2:$BQ$24,3,FALSE),0)</f>
        <v/>
      </c>
      <c r="FA6" s="155">
        <f>IFERROR(VLOOKUP($EH6,$BM$2:$BQ$24,3,FALSE),0)</f>
        <v/>
      </c>
      <c r="FB6" s="155">
        <f>IFERROR(VLOOKUP($EG6,$BM$2:$BQ$24,2,FALSE),"")</f>
        <v/>
      </c>
      <c r="FC6" s="155">
        <f>IFERROR(VLOOKUP($EH6,$BM$2:$BQ$24,2,FALSE),"")</f>
        <v/>
      </c>
      <c r="FD6" s="155">
        <f>COUNTIF($EK6:$EO6,1)</f>
        <v/>
      </c>
      <c r="FE6" s="155">
        <f>COUNTIF($EK6:$EO6,2)</f>
        <v/>
      </c>
      <c r="FF6" s="155">
        <f>COUNTIF($EK6:$EO6,3)</f>
        <v/>
      </c>
      <c r="FG6" s="155">
        <f>COUNTIF($EK6:$EO6,4)</f>
        <v/>
      </c>
      <c r="FH6" s="155">
        <f>COUNTIF($EK6:$EO6,5)</f>
        <v/>
      </c>
      <c r="FI6" s="155">
        <f>COUNTIF($EK6:$EO6,6)</f>
        <v/>
      </c>
      <c r="FJ6" s="155">
        <f>COUNTIF($EZ6:$FA6,1)</f>
        <v/>
      </c>
      <c r="FK6" s="155">
        <f>COUNTIF($EZ6:$FA6,2)+$EW6</f>
        <v/>
      </c>
      <c r="FL6" s="155">
        <f>COUNTIF($EC6:$EF6,"?*")</f>
        <v/>
      </c>
      <c r="FM6" s="155">
        <f>COUNTIF($EG6:$EH6,"?*")+$EW6</f>
        <v/>
      </c>
      <c r="FN6" s="155">
        <f>SUMPRODUCT($FD6:$FI6,INDEX($Q$2:$V$8,$DZ6,0))</f>
        <v/>
      </c>
      <c r="FO6" s="155">
        <f>$FJ6*CEILING($DZ6/2,1)+$FK6*$DZ6</f>
        <v/>
      </c>
      <c r="FP6" s="155">
        <f>MIN(2*$DZ6,$FO6)</f>
        <v/>
      </c>
      <c r="FQ6" s="155">
        <f>MIN($FP6,$FN6)</f>
        <v/>
      </c>
      <c r="FR6" s="155">
        <f>$FP6-$FQ6</f>
        <v/>
      </c>
      <c r="FS6" s="155">
        <f>3*$DZ6-$FN6+$FQ6</f>
        <v/>
      </c>
      <c r="FT6" s="155">
        <f>MAX(0,$FS6)+$DX6*$DZ6</f>
        <v/>
      </c>
      <c r="FU6" s="155">
        <f>(IF(COUNTIF($EC6:$EF6,"Salto")&gt;0,1,0)+IF(COUNTIF($EC6:$EF6,"Queima")&gt;0,1,0)+IF(COUNTIF($EC6:$EF6,"Estilhaço")&gt;0,1,0))*FLOOR($FT6/2,1)</f>
        <v/>
      </c>
      <c r="FV6" s="155">
        <f>MAX(0,3-SUMPRODUCT($FD6:$FI6,$Q$2:$V$2)+MIN(2,$FJ6*1+$FK6*1,SUMPRODUCT($FD6:$FI6,$Q$2:$V$2)))+$DX6*1</f>
        <v/>
      </c>
      <c r="FW6" s="155">
        <f>MAX(0,6-SUMPRODUCT($FD6:$FI6,$Q$3:$V$3)+MIN(4,$FJ6*1+$FK6*2,SUMPRODUCT($FD6:$FI6,$Q$3:$V$3)))+$DX6*2</f>
        <v/>
      </c>
      <c r="FX6" s="155">
        <f>MAX(0,9-SUMPRODUCT($FD6:$FI6,$Q$4:$V$4)+MIN(6,$FJ6*2+$FK6*3,SUMPRODUCT($FD6:$FI6,$Q$4:$V$4)))+$DX6*3</f>
        <v/>
      </c>
      <c r="FY6" s="155">
        <f>MAX(0,12-SUMPRODUCT($FD6:$FI6,$Q$5:$V$5)+MIN(8,$FJ6*2+$FK6*4,SUMPRODUCT($FD6:$FI6,$Q$5:$V$5)))+$DX6*4</f>
        <v/>
      </c>
      <c r="FZ6" s="155">
        <f>MAX(0,15-SUMPRODUCT($FD6:$FI6,$Q$6:$V$6)+MIN(10,$FJ6*3+$FK6*5,SUMPRODUCT($FD6:$FI6,$Q$6:$V$6)))+$DX6*5</f>
        <v/>
      </c>
      <c r="GA6" s="155">
        <f>MAX(0,18-SUMPRODUCT($FD6:$FI6,$Q$7:$V$7)+MIN(12,$FJ6*3+$FK6*6,SUMPRODUCT($FD6:$FI6,$Q$7:$V$7)))+$DX6*6</f>
        <v/>
      </c>
      <c r="GB6" s="155">
        <f>MAX(0,21-SUMPRODUCT($FD6:$FI6,$Q$8:$V$8)+MIN(14,$FJ6*4+$FK6*7,SUMPRODUCT($FD6:$FI6,$Q$8:$V$8)))+$DX6*7</f>
        <v/>
      </c>
      <c r="GC6" s="155">
        <f>IF($EX6=2,3*$FV6&amp;" de vida temp.",IF($EX6=3,"sem dano",IF($FV6=0,IF($EX6=1,"sem cura","sem dano"),IF($EX6=1,"cura ","")&amp;$FV6&amp;"d8")))</f>
        <v/>
      </c>
      <c r="GD6" s="155">
        <f>IF($EX6=2,3*$FW6&amp;" de vida temp.",IF($EX6=3,"sem dano",IF($FW6=0,IF($EX6=1,"sem cura","sem dano"),IF($EX6=1,"cura ","")&amp;$FW6&amp;"d8")))</f>
        <v/>
      </c>
      <c r="GE6" s="155">
        <f>IF($EX6=2,3*$FX6&amp;" de vida temp.",IF($EX6=3,"sem dano",IF($FX6=0,IF($EX6=1,"sem cura","sem dano"),IF($EX6=1,"cura ","")&amp;$FX6&amp;"d8")))</f>
        <v/>
      </c>
      <c r="GF6" s="155">
        <f>IF($EX6=2,3*$FY6&amp;" de vida temp.",IF($EX6=3,"sem dano",IF($FY6=0,IF($EX6=1,"sem cura","sem dano"),IF($EX6=1,"cura ","")&amp;$FY6&amp;"d8")))</f>
        <v/>
      </c>
      <c r="GG6" s="155">
        <f>IF($EX6=2,3*$FZ6&amp;" de vida temp.",IF($EX6=3,"sem dano",IF($FZ6=0,IF($EX6=1,"sem cura","sem dano"),IF($EX6=1,"cura ","")&amp;$FZ6&amp;"d8")))</f>
        <v/>
      </c>
      <c r="GH6" s="155">
        <f>IF($EX6=2,3*$GA6&amp;" de vida temp.",IF($EX6=3,"sem dano",IF($GA6=0,IF($EX6=1,"sem cura","sem dano"),IF($EX6=1,"cura ","")&amp;$GA6&amp;"d8")))</f>
        <v/>
      </c>
      <c r="GI6" s="155">
        <f>IF($EX6=2,3*$GB6&amp;" de vida temp.",IF($EX6=3,"sem dano",IF($GB6=0,IF($EX6=1,"sem cura","sem dano"),IF($EX6=1,"cura ","")&amp;$GB6&amp;"d8")))</f>
        <v/>
      </c>
      <c r="GJ6" s="155">
        <f>IF($EI6=0,"",TEXTJOIN(" · ",TRUE,IF(AND($DX6=1,$DY6&gt;$HK$9),"O nível "&amp;$HK$2&amp;" dá "&amp;$HK$9&amp;" Liberação Máxima",""),IF($DZ6&gt;$HK$4,"Classe "&amp;$DZ6&amp;": o nível "&amp;$HK$2&amp;" libera até a "&amp;$HK$4,""),IF($EP6=1,"Família Fechada: a Forma "&amp;$EB6,""),IF($EQ6=1,"Família Fechada: "&amp;$EC6,""),IF($ER6=1,"Família Fechada: "&amp;$ED6,""),IF($ES6=1,"Família Fechada: "&amp;$EE6,""),IF($ET6=1,"Família Fechada: "&amp;$EF6,""),IF($FL6&gt;INDEX($W$2:$W$8,$DZ6),$FL6&amp;" Melhorias: a Classe "&amp;$DZ6&amp;" aceita "&amp;INDEX($W$2:$W$8,$DZ6),""),IF($FM6&gt;2,$FM6&amp;" Restrições"&amp;IF($EW6=1,", contando a que a Forma "&amp;$EB6&amp;" já traz","")&amp;": o limite é 2",""),IF($FS6&lt;0,"Orçamento estourado: faltam "&amp;(-$FS6)&amp;IF($FS6&lt;-1," pontos"," ponto"),""),IF(IFERROR(VLOOKUP($EG6,$BM$2:$BQ$24,4,FALSE),0)+IFERROR(VLOOKUP($EH6,$BM$2:$BQ$24,4,FALSE),0)&gt;1,$FB6&amp;" e "&amp;$FC6&amp;" são as duas de frequência",""),IF(AND((COUNTIF($EC6:$EF6,"Rápido")+COUNTIF($FB6:$FC6,"Rápido"))&gt;0,(COUNTIF($EC6:$EF6,"Atrasar")+COUNTIF($FB6:$FC6,"Atrasar"))&gt;0),"Rápido não entra com Atrasar",""),IF(AND((COUNTIF($EC6:$EF6,"Reação")+COUNTIF($FB6:$FC6,"Reação"))&gt;0,(COUNTIF($EC6:$EF6,"Rápido")+COUNTIF($FB6:$FC6,"Rápido"))&gt;0),"Reação não entra com Rápido",""),IF(AND((COUNTIF($EC6:$EF6,"Reação")+COUNTIF($FB6:$FC6,"Reação"))&gt;0,(COUNTIF($EC6:$EF6,"Armado")+COUNTIF($FB6:$FC6,"Armado"))&gt;0),"Reação não entra com Armado",""),IF(AND((COUNTIF($EC6:$EF6,"Reação")+COUNTIF($FB6:$FC6,"Reação"))&gt;0,(COUNTIF($EC6:$EF6,"Atrasar")+COUNTIF($FB6:$FC6,"Atrasar"))&gt;0),"Reação não entra com Atrasar",""),IF(AND((COUNTIF($EC6:$EF6,"Reação")+COUNTIF($FB6:$FC6,"Reação"))&gt;0,(COUNTIF($EC6:$EF6,"Parado")+COUNTIF($FB6:$FC6,"Parado"))&gt;0),"Reação não entra com Parado",""),IF(AND((COUNTIF($EC6:$EF6,"Atrasar")+COUNTIF($FB6:$FC6,"Atrasar"))&gt;0,(COUNTIF($EC6:$EF6,"Parado")+COUNTIF($FB6:$FC6,"Parado"))&gt;0),"Atrasar não entra com Parado",""),IF(AND((COUNTIF($EC6:$EF6,"Armado")+COUNTIF($FB6:$FC6,"Armado"))&gt;0,(COUNTIF($EC6:$EF6,"Carregar")+COUNTIF($FB6:$FC6,"Carregar"))&gt;0),"Armado não entra com Carregar",""),IF(AND(COUNTIF($FB6:$FC6,"Corpo a Corpo")&gt;0,$EW6=0,OR($EB6="Cone",$EB6="Linha")),"Corpo a Corpo não entra em "&amp;$EB6,""),IF(AND(COUNTIF($FB6:$FC6,"Corpo a Corpo")&gt;0,$EW6=1),"A Forma "&amp;$EB6&amp;" já traz o Corpo a Corpo",""),IF(AND(COUNTIF($FB6:$FC6,"Tudo ou Nada")&gt;0,$EY6=0),"Tudo ou Nada só entra em feitiço de Teste de Resistência",""),IF(AND(COUNTIF($EC6:$EF6,"Inescapável")&gt;0,OR($FL6&gt;1,$FM6&gt;0)),"Inescapável não aceita outra peça",""),IF(AND($DX6=1,$DZ6&lt;3),"Liberação Máxima é de Classe 3 ou mais",""),IF(AND($DX6=1,OR($EX6=1,$EX6=2)),"Liberação Máxima não serve para cura",""),IF(AND($DX6=1,COUNTIF($EC6:$EF6,"Inescapável")+COUNTIF($EC6:$EF6,"Toca a Alma")&gt;0),"Esta peça não entra numa Liberação Máxima",""),IF($FT6*IF(COUNTIF($EC6:$EF6,"Remate")&gt;0,1.25,1)+$FU6&gt;4*$DZ6,($FT6*IF(COUNTIF($EC6:$EF6,"Remate")&gt;0,1.25,1)+$FU6)&amp;" dados somando repetições"&amp;IF(COUNTIF($EC6:$EF6,"Remate")&gt;0," e o Remate","")&amp;": o teto da Classe "&amp;$DZ6&amp;" é "&amp;4*$DZ6,"")))</f>
        <v/>
      </c>
      <c r="GK6" s="155">
        <f>IF($GJ6="",0,(LEN($GJ6)-LEN(SUBSTITUTE($GJ6," · ","")))/3+1)</f>
        <v/>
      </c>
      <c r="GL6" s="155">
        <f>IF($EI6=0,"",TEXTJOIN(" · ",TRUE,IF($FO6&gt;2*$DZ6,"A devolução parou no teto de "&amp;2*$DZ6,""),IF($FR6&gt;0,"Devolução perdida: "&amp;$FR6&amp;IF($FR6&gt;1," pontos"," ponto")&amp;" sem peça para pagar",""),IF(AND($EU6&gt;0,$FT6=0),"Controle sem dano: uma rodada a mais e CD +2",""),IF(AND($EU6&gt;0,$FT6&gt;0,$FT6&lt;=$DZ6),"Controle com saldo até a Classe: uma rodada a mais","")))</f>
        <v/>
      </c>
      <c r="GM6" s="155">
        <f>IF($GL6="",0,(LEN($GL6)-LEN(SUBSTITUTE($GL6," · ","")))/3+1)</f>
        <v/>
      </c>
      <c r="GN6" s="155">
        <f>IF($EI6=0,IF($FL6+$FM6-$EW6&gt;0,"Dê um nome",""),IF($GK6&gt;0,"⚠ "&amp;$GK6&amp;IF($GK6&gt;1," erros"," erro"),IF($GM6&gt;0,"! "&amp;$GM6&amp;IF($GM6&gt;1," avisos"," aviso"),"Na regra")))</f>
        <v/>
      </c>
      <c r="GO6" s="155">
        <f>IF($EI6=0,"",IF($GK6+$GM6=0,"Dentro das regras que a ficha confere",$GJ6&amp;IF(AND($GK6&gt;0,$GM6&gt;0)," · ","")&amp;$GL6))</f>
        <v/>
      </c>
      <c r="GP6" s="155">
        <f>IF($EI6=0,"",IF($DX6=1,CEILING(4.5*$DZ6,1),3*$DZ6)&amp;" PE")</f>
        <v/>
      </c>
      <c r="GQ6" s="155">
        <f>IF($EI6=0,"",IF($DX6=1,"Rodada inteira",IF(COUNTIF($FB6:$FC6,"Atrasar")&gt;0,IF(COUNTIF($FB6:$FC6,"Carregar")&gt;0,"Rodada +1 turno","Rodada inteira"),IF(COUNTIF($EC6:$EF6,"Rápido")&gt;0,"Bônus",IF(COUNTIF($EC6:$EF6,"Reação")&gt;0,"Reação","Padrão"))&amp;IF(COUNTIF($FB6:$FC6,"Carregar")&gt;0," +1 turno",""))))</f>
        <v/>
      </c>
      <c r="GR6" s="155">
        <f>IF(OR($EI6=0,$EJ6=0),"",IF(COUNTIF($EC6:$EF6,"Inescapável")&gt;0,"Automático",IF(COUNTIF($EC6:$EF6,"Certeiro")&gt;0,"TR para metade",IF(AND($EV6&gt;0,$EY6=0,INDEX($AF$2:$AF$11,$EJ6)="Acerto"),"Acerto + TR",INDEX($AF$2:$AF$11,$EJ6)))))</f>
        <v/>
      </c>
      <c r="GS6" s="155">
        <f>IF(OR($EI6=0,$EJ6=0),"",IF(OR($EX6&gt;=2,$FT6=0),UPPER(LEFT(INDEX($GC6:$GI6,1,$DZ6),1))&amp;MID(INDEX($GC6:$GI6,1,$DZ6),2,99),UPPER(LEFT(INDEX($GC6:$GI6,1,$DZ6),1))&amp;MID(INDEX($GC6:$GI6,1,$DZ6),2,99)&amp;" = "&amp;FLOOR($FT6*4.5,1)&amp;IF($FU6&gt;0," · +"&amp;$FU6&amp;"d8","")))</f>
        <v/>
      </c>
      <c r="GT6" s="155">
        <f>COUNTIF($EC6:$EF6,"Longe")+3*COUNTIF($EC6:$EF6,"Muito Longe")</f>
        <v/>
      </c>
      <c r="GU6" s="155">
        <f>COUNTIF($EC6:$EF6,"Maior")+3*COUNTIF($EC6:$EF6,"Muito Maior")</f>
        <v/>
      </c>
      <c r="GV6" s="155">
        <f>IF($EJ6=0,0,CHOOSE(1+INDEX($AH$2:$AH$11,$EJ6),0,$GT6,$GU6,$GT6+$GU6))</f>
        <v/>
      </c>
      <c r="GW6" s="155">
        <f>IF($EJ6=0,0,CHOOSE(1+INDEX($AI$2:$AI$11,$EJ6),0,$GT6,$GU6,$GT6+$GU6))</f>
        <v/>
      </c>
      <c r="GX6" s="155">
        <f>IF(OR($EI6=0,$EJ6=0),"",INDEX($AP$2:$AU$31,($EJ6-1)*3+IF($DZ6&gt;=6,3,2),1+MIN(5,$GV6))&amp;INDEX($AV$2:$BA$31,($EJ6-1)*3+IF($DZ6&gt;=6,3,2),1+MIN(5,$GW6))&amp;IF(INDEX($AJ$2:$AJ$11,$EJ6)=1,IF(COUNTIF($EC6:$EF6,"Mais Um")&gt;0," · +"&amp;COUNTIF($EC6:$EF6,"Mais Um")&amp;IF(COUNTIF($EC6:$EF6,"Mais Um")&gt;1," alvos"," alvo"),"")&amp;IF(COUNTIF($EC6:$EF6,"Rajada")&gt;0," · "&amp;($DZ6+1)&amp;" tiros",""),""))</f>
        <v/>
      </c>
      <c r="GY6" s="155">
        <f>IF($EI6=0,"",3*$DZ6&amp;" − "&amp;$FN6&amp;" + "&amp;$FQ6&amp;IF($DX6=1," + "&amp;$DZ6,"")&amp;" = "&amp;$FT6&amp;"d8 · teto "&amp;4*$DZ6&amp;IF($EW6=1," · a Forma devolve "&amp;$DZ6,"")&amp;IF($FR6&gt;0," · perde "&amp;$FR6,""))</f>
        <v/>
      </c>
      <c r="GZ6" s="155">
        <f>IF($EI6=0,"",IF($DZ6&gt;=$HK$4,"Já está na maior Classe que o nível liberou",TEXTJOIN(" · ",TRUE,IF(AND(2&gt;$DZ6,2&lt;=$HK$4),"2 → "&amp;$GD6&amp;", "&amp;IF($DX6=1,9,6)&amp;" PE",""),IF(AND(3&gt;$DZ6,3&lt;=$HK$4),"3 → "&amp;$GE6&amp;", "&amp;IF($DX6=1,14,9)&amp;" PE",""),IF(AND(4&gt;$DZ6,4&lt;=$HK$4),"4 → "&amp;$GF6&amp;", "&amp;IF($DX6=1,18,12)&amp;" PE",""),IF(AND(5&gt;$DZ6,5&lt;=$HK$4),"5 → "&amp;$GG6&amp;", "&amp;IF($DX6=1,23,15)&amp;" PE",""),IF(AND(6&gt;$DZ6,6&lt;=$HK$4),"6 → "&amp;$GH6&amp;", "&amp;IF($DX6=1,27,18)&amp;" PE",""),IF(AND(7&gt;$DZ6,7&lt;=$HK$4),"7 → "&amp;$GI6&amp;", "&amp;IF($DX6=1,32,21)&amp;" PE",""))))</f>
        <v/>
      </c>
      <c r="HA6" s="155">
        <f>IF(OR($EI6=0,$EL6=0),"","−"&amp;INDEX($Q$2:$V$8,$DZ6,$EL6)&amp;" · "&amp;CHOOSE($EL6,"Leve","Média","Pesada","Leve · Livre","Média · Livre","Pesada · Livre"))</f>
        <v/>
      </c>
      <c r="HB6" s="155">
        <f>IF(OR($EI6=0,$EM6=0),"","−"&amp;INDEX($Q$2:$V$8,$DZ6,$EM6)&amp;" · "&amp;CHOOSE($EM6,"Leve","Média","Pesada","Leve · Livre","Média · Livre","Pesada · Livre"))</f>
        <v/>
      </c>
      <c r="HC6" s="155">
        <f>IF(OR($EI6=0,$EN6=0),"","−"&amp;INDEX($Q$2:$V$8,$DZ6,$EN6)&amp;" · "&amp;CHOOSE($EN6,"Leve","Média","Pesada","Leve · Livre","Média · Livre","Pesada · Livre"))</f>
        <v/>
      </c>
      <c r="HD6" s="155">
        <f>IF(OR($EI6=0,$EO6=0),"","−"&amp;INDEX($Q$2:$V$8,$DZ6,$EO6)&amp;" · "&amp;CHOOSE($EO6,"Leve","Média","Pesada","Leve · Livre","Média · Livre","Pesada · Livre"))</f>
        <v/>
      </c>
      <c r="HE6" s="155">
        <f>IF(OR($EI6=0,$EG6=""),"","+"&amp;IF($EZ6=1,CEILING($DZ6/2,1),$DZ6))</f>
        <v/>
      </c>
      <c r="HF6" s="155">
        <f>IF(OR($EI6=0,$EH6=""),"","+"&amp;IF($FA6=1,CEILING($DZ6/2,1),$DZ6))</f>
        <v/>
      </c>
      <c r="HG6" s="155">
        <f>'FICHA AMALDIÇOADA'!$J$74&amp;""</f>
        <v/>
      </c>
      <c r="HH6" s="155">
        <f>IF(AND($EI6=1,$DX6=0),COUNTIFS($EI$2:$EI6,1,$DX$2:$DX6,0),"")</f>
        <v/>
      </c>
      <c r="HJ6" s="153" t="inlineStr">
        <is>
          <t>refino</t>
        </is>
      </c>
      <c r="HK6" s="155">
        <f>MAX(1,N(DADOS!$AK$34))</f>
        <v/>
      </c>
      <c r="HM6" s="153" t="inlineStr">
        <is>
          <t>Talento 5</t>
        </is>
      </c>
      <c r="HN6" s="155">
        <f>'FICHA AMALDIÇOADA'!$J$387&amp;""</f>
        <v/>
      </c>
      <c r="HO6" s="155">
        <f>IFERROR(VLOOKUP($HN6,$BS$2:$BY$24,2,FALSE),0)</f>
        <v/>
      </c>
      <c r="HP6" s="155">
        <f>IFERROR(VLOOKUP($HO6,$CA$2:$CB$4,2,FALSE),0)</f>
        <v/>
      </c>
      <c r="HQ6" s="155">
        <f>IFERROR(VLOOKUP($HN6,$BS$2:$BY$24,3,FALSE),"")</f>
        <v/>
      </c>
      <c r="HR6" s="155">
        <f>IF($HO6=0,"",IF($HP6&gt;$HK$2,"⚠ Nível "&amp;$HP6,"CE "&amp;$HO6))</f>
        <v/>
      </c>
      <c r="HS6" s="155">
        <f>IF($HO6=0,"",$HO6&amp;" esp.")</f>
        <v/>
      </c>
      <c r="HT6" s="155">
        <f>'FICHA AMALDIÇOADA'!$K$392&amp;""</f>
        <v/>
      </c>
      <c r="HU6" s="155">
        <f>IF($HN6="","",COUNTIF($HN$2:$HN6,"?*"))</f>
        <v/>
      </c>
      <c r="HW6" s="153" t="inlineStr">
        <is>
          <t>Aptidão 5</t>
        </is>
      </c>
      <c r="HX6" s="155">
        <f>'FICHA AMALDIÇOADA'!$J$450&amp;""</f>
        <v/>
      </c>
      <c r="HY6" s="155">
        <f>IF($HX6="","","Requisito: "&amp;IFERROR(VLOOKUP($HX6,$CD$2:$CM$33,2,FALSE),""))</f>
        <v/>
      </c>
      <c r="HZ6" s="155">
        <f>IF($HX6="","",IFERROR(IF(ISNUMBER(VLOOKUP($HX6,$CD$2:$CM$33,3,FALSE)),"CE "&amp;VLOOKUP($HX6,$CD$2:$CM$33,3,FALSE),VLOOKUP($HX6,$CD$2:$CM$33,3,FALSE)),""))</f>
        <v/>
      </c>
      <c r="IA6" s="155">
        <f>IF($HX6="","",IFERROR(VLOOKUP($HX6,$CD$2:$CM$33,4,FALSE),""))</f>
        <v/>
      </c>
      <c r="IB6" s="155">
        <f>IF($HX6="","",IFERROR(VLOOKUP($HX6,$CD$2:$CM$33,5,FALSE),""))</f>
        <v/>
      </c>
      <c r="IC6" s="155">
        <f>'FICHA AMALDIÇOADA'!$K$467&amp;""</f>
        <v/>
      </c>
      <c r="ID6" s="155">
        <f>IF($HX6="","",COUNTIF($HX$2:$HX6,"?*"))</f>
        <v/>
      </c>
      <c r="IF6" s="153" t="inlineStr">
        <is>
          <t>Classe 0 · 5</t>
        </is>
      </c>
      <c r="IG6" s="155">
        <f>'FICHA AMALDIÇOADA'!$F$314&amp;""</f>
        <v/>
      </c>
      <c r="IH6" s="155">
        <f>'FICHA AMALDIÇOADA'!$J$314&amp;""</f>
        <v/>
      </c>
      <c r="II6" s="155">
        <f>'FICHA AMALDIÇOADA'!$L$314&amp;""</f>
        <v/>
      </c>
      <c r="IJ6" s="155">
        <f>IFERROR(MATCH($IG6,$Y$2:$Y$11,0),0)</f>
        <v/>
      </c>
      <c r="IK6" s="155">
        <f>$HK$11-IF($IH6&lt;&gt;"",1,0)</f>
        <v/>
      </c>
      <c r="IL6" s="155">
        <f>IF(5&gt;$HK$10,"Nível 17",IF($IJ6=0,"",IF(INDEX($AE$2:$AE$11,$IJ6)&gt;=2,"—",$IK6&amp;"d8 = "&amp;FLOOR($IK6*4.5,1))))</f>
        <v/>
      </c>
      <c r="IM6" s="155">
        <f>IF(OR(5&gt;$HK$10,$IJ6=0),"",INDEX($AP$2:$AU$31,($IJ6-1)*3+1,1+IF(OR(AND($IH6="Longe",INDEX($AH$2:$AH$11,$IJ6)&lt;&gt;2),AND($IH6="Maior",INDEX($AH$2:$AH$11,$IJ6)&gt;=2)),1,0))&amp;INDEX($AV$2:$BA$31,($IJ6-1)*3+1,1+IF(AND($IH6="Longe",INDEX($AI$2:$AI$11,$IJ6)=1),1,0)))</f>
        <v/>
      </c>
      <c r="IO6" s="155">
        <f>IF($A$2&gt;=3,INDEX($D$4:$G$4,1,$A$2),"Liberação")</f>
        <v/>
      </c>
      <c r="IP6" s="155">
        <f>ADDRESS(ROW('FICHA AMALDIÇOADA'!J7),COLUMN('FICHA AMALDIÇOADA'!J7),4)</f>
        <v/>
      </c>
      <c r="IQ6" s="155">
        <f>ADDRESS(ROW('FICHA AMALDIÇOADA'!D316),COLUMN('FICHA AMALDIÇOADA'!D316),4)</f>
        <v/>
      </c>
      <c r="IR6" s="153" t="inlineStr">
        <is>
          <t>DADOS_AM!$IO$6</t>
        </is>
      </c>
      <c r="IT6" s="153" t="inlineStr">
        <is>
          <t>Caminho 30</t>
        </is>
      </c>
      <c r="IU6" s="155" t="n">
        <v>30</v>
      </c>
      <c r="IV6" s="155">
        <f>IF($HK$2&gt;=30,"Nível 30","Abre no 30")</f>
        <v/>
      </c>
      <c r="IW6" s="155">
        <f>ADDRESS(ROW(FICHA!G124),COLUMN(FICHA!G124),4)</f>
        <v/>
      </c>
      <c r="IX6" s="155">
        <f>ADDRESS(ROW(FICHA!D125),COLUMN(FICHA!D125),4)</f>
        <v/>
      </c>
      <c r="JF6" s="155" t="n">
        <v>5</v>
      </c>
      <c r="JG6" s="155">
        <f>IFERROR(MATCH(5,$HH$2:$HH$37,0),0)</f>
        <v/>
      </c>
      <c r="JH6" s="155">
        <f>IF($JG6=0,"",INDEX($DZ$2:$DZ$37,$JG6))</f>
        <v/>
      </c>
      <c r="JI6" s="155">
        <f>IF($JG6=0,"",INDEX($EA$2:$EA$37,$JG6))</f>
        <v/>
      </c>
      <c r="JJ6" s="155">
        <f>IF($JG6=0,"",INDEX($GP$2:$GP$37,$JG6))</f>
        <v/>
      </c>
      <c r="JK6" s="155">
        <f>IF($JG6=0,"",INDEX($EB$2:$EB$37,$JG6))</f>
        <v/>
      </c>
      <c r="JL6" s="155">
        <f>IF($JG6=0,"",INDEX($GR$2:$GR$37,$JG6))</f>
        <v/>
      </c>
      <c r="JM6" s="155">
        <f>IF($JG6=0,"",INDEX($HG$2:$HG$37,$JG6))</f>
        <v/>
      </c>
      <c r="KD6" s="153" t="inlineStr">
        <is>
          <t>Talento 3</t>
        </is>
      </c>
      <c r="KE6" s="155">
        <f>IFERROR(MATCH(3,$HU$2:$HU$13,0),0)</f>
        <v/>
      </c>
      <c r="KF6" s="155">
        <f>IF($KE6=0,"",IF(INDEX($HO$2:$HO$13,$KE6)=0,"","CE "&amp;INDEX($HO$2:$HO$13,$KE6)))</f>
        <v/>
      </c>
      <c r="KG6" s="155">
        <f>IF($KE6=0,"",INDEX($HN$2:$HN$13,$KE6))</f>
        <v/>
      </c>
      <c r="KH6" s="155">
        <f>IF($KE6=0,"",IF(INDEX($HT$2:$HT$13,$KE6)&lt;&gt;"",INDEX($HT$2:$HT$13,$KE6),IF(IFERROR(VLOOKUP(INDEX($HN$2:$HN$13,$KE6),$BS$2:$BY$24,7,FALSE),"")&lt;&gt;"","Do livro: "&amp;IFERROR(VLOOKUP(INDEX($HN$2:$HN$13,$KE6),$BS$2:$BY$24,7,FALSE),""),"")))</f>
        <v/>
      </c>
      <c r="KJ6" s="153" t="inlineStr">
        <is>
          <t>Aptidão 3</t>
        </is>
      </c>
      <c r="KK6" s="155">
        <f>IFERROR(MATCH(3,$ID$2:$ID$13,0),0)</f>
        <v/>
      </c>
      <c r="KL6" s="155">
        <f>IF($KK6=0,"",INDEX($HZ$2:$HZ$13,$KK6))</f>
        <v/>
      </c>
      <c r="KM6" s="155">
        <f>IF($KK6=0,"",INDEX($HX$2:$HX$13,$KK6))</f>
        <v/>
      </c>
      <c r="KN6" s="155">
        <f>IF($KK6=0,"",IF(INDEX($IC$2:$IC$13,$KK6)&lt;&gt;"",INDEX($IC$2:$IC$13,$KK6),IF(IFERROR(VLOOKUP(INDEX($HX$2:$HX$13,$KK6),$CD$2:$CM$33,10,FALSE),"")&lt;&gt;"","Do livro: "&amp;IFERROR(VLOOKUP(INDEX($HX$2:$HX$13,$KK6),$CD$2:$CM$33,10,FALSE),""),"")))</f>
        <v/>
      </c>
      <c r="KP6" s="153" t="inlineStr">
        <is>
          <t>aptidões</t>
        </is>
      </c>
      <c r="KQ6" s="155">
        <f>UPPER(INDEX($D$6:$G$6,1,$A$2))&amp;"  ·  "&amp;COUNTIF($KM$4:$KM$15,"?*")&amp;" de 12, mais as duas de graça"</f>
        <v/>
      </c>
      <c r="KS6" s="153" t="inlineStr">
        <is>
          <t>J15</t>
        </is>
      </c>
      <c r="KT6" s="155">
        <f>UPPER(INDEX(DADOS_AM!$D$13:$G$13,1,DADOS_AM!$A$2))</f>
        <v/>
      </c>
    </row>
    <row r="7">
      <c r="C7" s="153" t="inlineStr">
        <is>
          <t>escala</t>
        </is>
      </c>
      <c r="D7" s="153" t="inlineStr">
        <is>
          <t>Refino</t>
        </is>
      </c>
      <c r="E7" s="153" t="inlineStr">
        <is>
          <t>Refino</t>
        </is>
      </c>
      <c r="F7" s="153" t="inlineStr">
        <is>
          <t>Refino</t>
        </is>
      </c>
      <c r="G7" s="153" t="inlineStr">
        <is>
          <t>Lapidação</t>
        </is>
      </c>
      <c r="I7" s="153" t="inlineStr">
        <is>
          <t>Castigo</t>
        </is>
      </c>
      <c r="J7" s="155">
        <f>'FICHA AMALDIÇOADA'!$K$37&amp;""</f>
        <v/>
      </c>
      <c r="K7" s="155">
        <f>IF($J7="Livre",1,0)</f>
        <v/>
      </c>
      <c r="L7" s="155">
        <f>IF($J7="Fechada",1,0)</f>
        <v/>
      </c>
      <c r="P7" s="155" t="n">
        <v>6</v>
      </c>
      <c r="Q7" s="155" t="n">
        <v>3</v>
      </c>
      <c r="R7" s="155" t="n">
        <v>6</v>
      </c>
      <c r="S7" s="155" t="n">
        <v>9</v>
      </c>
      <c r="T7" s="155" t="n">
        <v>1</v>
      </c>
      <c r="U7" s="155" t="n">
        <v>3</v>
      </c>
      <c r="V7" s="155" t="n">
        <v>6</v>
      </c>
      <c r="W7" s="155" t="n">
        <v>4</v>
      </c>
      <c r="Y7" s="153" t="inlineStr">
        <is>
          <t>Linha</t>
        </is>
      </c>
      <c r="Z7" s="153" t="inlineStr">
        <is>
          <t>Área</t>
        </is>
      </c>
      <c r="AA7" s="155" t="n">
        <v>1</v>
      </c>
      <c r="AB7" s="155">
        <f>IF($AA7=0,0,$AA7+3*IFERROR(VLOOKUP($Z7,$I$2:$L$10,3,FALSE),0))</f>
        <v/>
      </c>
      <c r="AC7" s="155">
        <f>IFERROR(VLOOKUP($Z7,$I$2:$L$10,4,FALSE),0)</f>
        <v/>
      </c>
      <c r="AD7" s="155" t="n">
        <v>0</v>
      </c>
      <c r="AE7" s="155" t="n">
        <v>0</v>
      </c>
      <c r="AF7" s="153" t="inlineStr">
        <is>
          <t>TR, metade</t>
        </is>
      </c>
      <c r="AG7" s="155" t="n">
        <v>1</v>
      </c>
      <c r="AH7" s="155" t="n">
        <v>3</v>
      </c>
      <c r="AI7" s="155" t="n">
        <v>0</v>
      </c>
      <c r="AJ7" s="155" t="n">
        <v>0</v>
      </c>
      <c r="AK7" s="155" t="n">
        <v>1</v>
      </c>
      <c r="AL7" s="155">
        <f>IF($AC7=1,"",$Y7)</f>
        <v/>
      </c>
      <c r="AM7" s="155">
        <f>IF(AND($AK7=1,$AC7=0),$Y7,"")</f>
        <v/>
      </c>
      <c r="AO7" s="153" t="inlineStr">
        <is>
          <t>Toque · classes 6 e 7</t>
        </is>
      </c>
      <c r="AP7" s="153" t="inlineStr">
        <is>
          <t>1,5 m, um alvo</t>
        </is>
      </c>
      <c r="AQ7" s="153" t="inlineStr">
        <is>
          <t>1,5 m, um alvo</t>
        </is>
      </c>
      <c r="AR7" s="153" t="inlineStr">
        <is>
          <t>1,5 m, um alvo</t>
        </is>
      </c>
      <c r="AS7" s="153" t="inlineStr">
        <is>
          <t>1,5 m, um alvo</t>
        </is>
      </c>
      <c r="AT7" s="153" t="inlineStr">
        <is>
          <t>1,5 m, um alvo</t>
        </is>
      </c>
      <c r="AU7" s="153" t="inlineStr">
        <is>
          <t>1,5 m, um alvo</t>
        </is>
      </c>
      <c r="AV7" s="153" t="inlineStr"/>
      <c r="AW7" s="153" t="inlineStr"/>
      <c r="AX7" s="153" t="inlineStr"/>
      <c r="AY7" s="153" t="inlineStr"/>
      <c r="AZ7" s="153" t="inlineStr"/>
      <c r="BA7" s="153" t="inlineStr"/>
      <c r="BC7" s="153" t="inlineStr">
        <is>
          <t>Empurrão</t>
        </is>
      </c>
      <c r="BD7" s="153" t="inlineStr">
        <is>
          <t>Alcance</t>
        </is>
      </c>
      <c r="BE7" s="155" t="n">
        <v>1</v>
      </c>
      <c r="BF7" s="155">
        <f>$BE7+3*IFERROR(VLOOKUP($BD7,$I$2:$L$10,3,FALSE),0)</f>
        <v/>
      </c>
      <c r="BG7" s="155">
        <f>IFERROR(VLOOKUP($BD7,$I$2:$L$10,4,FALSE),0)</f>
        <v/>
      </c>
      <c r="BH7" s="155" t="n">
        <v>0</v>
      </c>
      <c r="BI7" s="155">
        <f>IF($BG7=1,"",$BC7)</f>
        <v/>
      </c>
      <c r="BJ7" s="155">
        <f>IF(AND($BE7=1,$BG7=0),$BC7,"")</f>
        <v/>
      </c>
      <c r="BK7" s="155" t="n">
        <v>0</v>
      </c>
      <c r="BM7" s="153" t="inlineStr">
        <is>
          <t>Sangra</t>
        </is>
      </c>
      <c r="BN7" s="153" t="inlineStr">
        <is>
          <t>Sangra</t>
        </is>
      </c>
      <c r="BO7" s="155" t="n">
        <v>2</v>
      </c>
      <c r="BP7" s="155" t="n">
        <v>0</v>
      </c>
      <c r="BQ7" s="153" t="inlineStr"/>
      <c r="BS7" s="153" t="inlineStr">
        <is>
          <t>Leitura de Feitiços</t>
        </is>
      </c>
      <c r="BT7" s="155" t="n">
        <v>1</v>
      </c>
      <c r="BU7" s="153" t="inlineStr">
        <is>
          <t>Ao ter um inimigo à vista, você sabe qual foi o último feitiço que ele usou, mesmo que não tenha presenciado aquela conjuração. Recebe o nome ou uma descrição suficiente para reconhecer a aplicação, não sua ficha completa.</t>
        </is>
      </c>
      <c r="BV7" s="155" t="n">
        <v>1</v>
      </c>
      <c r="BW7" s="155" t="n">
        <v>0</v>
      </c>
      <c r="BX7" s="155">
        <f>IF(OR(AND($A$2&lt;=2,$BV7=1),AND($A$2&gt;=2,$BW7=1)),$BS7,"")</f>
        <v/>
      </c>
      <c r="BY7" s="153" t="inlineStr">
        <is>
          <t>Ao ter um inimigo à vista, você sabe qual foi o último feitiço que ele usou, mesmo que não tenha presenciado aquela conjuração. Recebe o nome ou uma descrição suficiente para reconhecer a aplicação, não sua ficha completa.</t>
        </is>
      </c>
      <c r="CD7" s="153" t="inlineStr">
        <is>
          <t>Regravação</t>
        </is>
      </c>
      <c r="CE7" s="153" t="inlineStr">
        <is>
          <t>Circulação</t>
        </is>
      </c>
      <c r="CF7" s="155" t="n">
        <v>3</v>
      </c>
      <c r="CG7" s="153" t="inlineStr">
        <is>
          <t>—</t>
        </is>
      </c>
      <c r="CH7" s="153"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55">
        <f>IF($CL7=1,"",IF($A$2=4,IF($CJ7=1,$CD7,""),IF(OR($CJ7=1,AND($A$2=3,$CK7=1)),"",$CD7)))</f>
        <v/>
      </c>
      <c r="CJ7" s="155" t="n">
        <v>0</v>
      </c>
      <c r="CK7" s="155" t="n">
        <v>0</v>
      </c>
      <c r="CL7" s="155" t="n">
        <v>0</v>
      </c>
      <c r="CM7" s="153" t="inlineStr">
        <is>
          <t>Você pode encerrar o Rescaldo de sua técnica antes do fim da cena, mas usos repetidos impedem novas Expansões de Domínio naquele dia.</t>
        </is>
      </c>
      <c r="CU7" s="153" t="inlineStr">
        <is>
          <t>Yumi</t>
        </is>
      </c>
      <c r="CV7" s="155" t="n">
        <v>0</v>
      </c>
      <c r="CW7" s="155" t="n">
        <v>1</v>
      </c>
      <c r="CX7" s="155">
        <f>IF(AND($A$2&gt;=3,'FICHA AMALDIÇOADA'!$J$16&amp;""="Três grupos de arma"),$CU7,"")</f>
        <v/>
      </c>
      <c r="DW7" s="153" t="inlineStr">
        <is>
          <t>Feitiço 6</t>
        </is>
      </c>
      <c r="DX7" s="155" t="n">
        <v>0</v>
      </c>
      <c r="DY7" s="155" t="n">
        <v>6</v>
      </c>
      <c r="DZ7" s="155">
        <f>MAX(1,MIN(7,N('FICHA AMALDIÇOADA'!$P$72)))</f>
        <v/>
      </c>
      <c r="EA7" s="155">
        <f>'FICHA AMALDIÇOADA'!$Q$72&amp;""</f>
        <v/>
      </c>
      <c r="EB7" s="155">
        <f>'FICHA AMALDIÇOADA'!$P$79&amp;""</f>
        <v/>
      </c>
      <c r="EC7" s="155">
        <f>'FICHA AMALDIÇOADA'!$Q$81&amp;""</f>
        <v/>
      </c>
      <c r="ED7" s="155">
        <f>'FICHA AMALDIÇOADA'!$Q$82&amp;""</f>
        <v/>
      </c>
      <c r="EE7" s="155">
        <f>'FICHA AMALDIÇOADA'!$Q$83&amp;""</f>
        <v/>
      </c>
      <c r="EF7" s="155">
        <f>'FICHA AMALDIÇOADA'!$Q$84&amp;""</f>
        <v/>
      </c>
      <c r="EG7" s="155">
        <f>'FICHA AMALDIÇOADA'!$Q$85&amp;""</f>
        <v/>
      </c>
      <c r="EH7" s="155">
        <f>'FICHA AMALDIÇOADA'!$Q$86&amp;""</f>
        <v/>
      </c>
      <c r="EI7" s="155">
        <f>IF($EA7&lt;&gt;"",1,0)</f>
        <v/>
      </c>
      <c r="EJ7" s="155">
        <f>IFERROR(MATCH($EB7,$Y$2:$Y$11,0),0)</f>
        <v/>
      </c>
      <c r="EK7" s="155">
        <f>IF($EJ7=0,0,INDEX($AB$2:$AB$11,$EJ7))</f>
        <v/>
      </c>
      <c r="EL7" s="155">
        <f>IFERROR(VLOOKUP($EC7,$BC$2:$BK$84,4,FALSE),0)</f>
        <v/>
      </c>
      <c r="EM7" s="155">
        <f>IFERROR(VLOOKUP($ED7,$BC$2:$BK$84,4,FALSE),0)</f>
        <v/>
      </c>
      <c r="EN7" s="155">
        <f>IFERROR(VLOOKUP($EE7,$BC$2:$BK$84,4,FALSE),0)</f>
        <v/>
      </c>
      <c r="EO7" s="155">
        <f>IFERROR(VLOOKUP($EF7,$BC$2:$BK$84,4,FALSE),0)</f>
        <v/>
      </c>
      <c r="EP7" s="155">
        <f>IF($EJ7=0,0,INDEX($AC$2:$AC$11,$EJ7))</f>
        <v/>
      </c>
      <c r="EQ7" s="155">
        <f>IFERROR(VLOOKUP($EC7,$BC$2:$BK$84,5,FALSE),0)</f>
        <v/>
      </c>
      <c r="ER7" s="155">
        <f>IFERROR(VLOOKUP($ED7,$BC$2:$BK$84,5,FALSE),0)</f>
        <v/>
      </c>
      <c r="ES7" s="155">
        <f>IFERROR(VLOOKUP($EE7,$BC$2:$BK$84,5,FALSE),0)</f>
        <v/>
      </c>
      <c r="ET7" s="155">
        <f>IFERROR(VLOOKUP($EF7,$BC$2:$BK$84,5,FALSE),0)</f>
        <v/>
      </c>
      <c r="EU7" s="155">
        <f>IFERROR(VLOOKUP($EC7,$BC$2:$BK$84,6,FALSE),0)+IFERROR(VLOOKUP($ED7,$BC$2:$BK$84,6,FALSE),0)+IFERROR(VLOOKUP($EE7,$BC$2:$BK$84,6,FALSE),0)+IFERROR(VLOOKUP($EF7,$BC$2:$BK$84,6,FALSE),0)</f>
        <v/>
      </c>
      <c r="EV7" s="155">
        <f>IFERROR(VLOOKUP($EC7,$BC$2:$BK$84,9,FALSE),0)+IFERROR(VLOOKUP($ED7,$BC$2:$BK$84,9,FALSE),0)+IFERROR(VLOOKUP($EE7,$BC$2:$BK$84,9,FALSE),0)+IFERROR(VLOOKUP($EF7,$BC$2:$BK$84,9,FALSE),0)</f>
        <v/>
      </c>
      <c r="EW7" s="155">
        <f>IF($EJ7=0,0,INDEX($AD$2:$AD$11,$EJ7))</f>
        <v/>
      </c>
      <c r="EX7" s="155">
        <f>IF($EJ7=0,0,INDEX($AE$2:$AE$11,$EJ7))</f>
        <v/>
      </c>
      <c r="EY7" s="155">
        <f>IF($EJ7=0,0,INDEX($AG$2:$AG$11,$EJ7))</f>
        <v/>
      </c>
      <c r="EZ7" s="155">
        <f>IFERROR(VLOOKUP($EG7,$BM$2:$BQ$24,3,FALSE),0)</f>
        <v/>
      </c>
      <c r="FA7" s="155">
        <f>IFERROR(VLOOKUP($EH7,$BM$2:$BQ$24,3,FALSE),0)</f>
        <v/>
      </c>
      <c r="FB7" s="155">
        <f>IFERROR(VLOOKUP($EG7,$BM$2:$BQ$24,2,FALSE),"")</f>
        <v/>
      </c>
      <c r="FC7" s="155">
        <f>IFERROR(VLOOKUP($EH7,$BM$2:$BQ$24,2,FALSE),"")</f>
        <v/>
      </c>
      <c r="FD7" s="155">
        <f>COUNTIF($EK7:$EO7,1)</f>
        <v/>
      </c>
      <c r="FE7" s="155">
        <f>COUNTIF($EK7:$EO7,2)</f>
        <v/>
      </c>
      <c r="FF7" s="155">
        <f>COUNTIF($EK7:$EO7,3)</f>
        <v/>
      </c>
      <c r="FG7" s="155">
        <f>COUNTIF($EK7:$EO7,4)</f>
        <v/>
      </c>
      <c r="FH7" s="155">
        <f>COUNTIF($EK7:$EO7,5)</f>
        <v/>
      </c>
      <c r="FI7" s="155">
        <f>COUNTIF($EK7:$EO7,6)</f>
        <v/>
      </c>
      <c r="FJ7" s="155">
        <f>COUNTIF($EZ7:$FA7,1)</f>
        <v/>
      </c>
      <c r="FK7" s="155">
        <f>COUNTIF($EZ7:$FA7,2)+$EW7</f>
        <v/>
      </c>
      <c r="FL7" s="155">
        <f>COUNTIF($EC7:$EF7,"?*")</f>
        <v/>
      </c>
      <c r="FM7" s="155">
        <f>COUNTIF($EG7:$EH7,"?*")+$EW7</f>
        <v/>
      </c>
      <c r="FN7" s="155">
        <f>SUMPRODUCT($FD7:$FI7,INDEX($Q$2:$V$8,$DZ7,0))</f>
        <v/>
      </c>
      <c r="FO7" s="155">
        <f>$FJ7*CEILING($DZ7/2,1)+$FK7*$DZ7</f>
        <v/>
      </c>
      <c r="FP7" s="155">
        <f>MIN(2*$DZ7,$FO7)</f>
        <v/>
      </c>
      <c r="FQ7" s="155">
        <f>MIN($FP7,$FN7)</f>
        <v/>
      </c>
      <c r="FR7" s="155">
        <f>$FP7-$FQ7</f>
        <v/>
      </c>
      <c r="FS7" s="155">
        <f>3*$DZ7-$FN7+$FQ7</f>
        <v/>
      </c>
      <c r="FT7" s="155">
        <f>MAX(0,$FS7)+$DX7*$DZ7</f>
        <v/>
      </c>
      <c r="FU7" s="155">
        <f>(IF(COUNTIF($EC7:$EF7,"Salto")&gt;0,1,0)+IF(COUNTIF($EC7:$EF7,"Queima")&gt;0,1,0)+IF(COUNTIF($EC7:$EF7,"Estilhaço")&gt;0,1,0))*FLOOR($FT7/2,1)</f>
        <v/>
      </c>
      <c r="FV7" s="155">
        <f>MAX(0,3-SUMPRODUCT($FD7:$FI7,$Q$2:$V$2)+MIN(2,$FJ7*1+$FK7*1,SUMPRODUCT($FD7:$FI7,$Q$2:$V$2)))+$DX7*1</f>
        <v/>
      </c>
      <c r="FW7" s="155">
        <f>MAX(0,6-SUMPRODUCT($FD7:$FI7,$Q$3:$V$3)+MIN(4,$FJ7*1+$FK7*2,SUMPRODUCT($FD7:$FI7,$Q$3:$V$3)))+$DX7*2</f>
        <v/>
      </c>
      <c r="FX7" s="155">
        <f>MAX(0,9-SUMPRODUCT($FD7:$FI7,$Q$4:$V$4)+MIN(6,$FJ7*2+$FK7*3,SUMPRODUCT($FD7:$FI7,$Q$4:$V$4)))+$DX7*3</f>
        <v/>
      </c>
      <c r="FY7" s="155">
        <f>MAX(0,12-SUMPRODUCT($FD7:$FI7,$Q$5:$V$5)+MIN(8,$FJ7*2+$FK7*4,SUMPRODUCT($FD7:$FI7,$Q$5:$V$5)))+$DX7*4</f>
        <v/>
      </c>
      <c r="FZ7" s="155">
        <f>MAX(0,15-SUMPRODUCT($FD7:$FI7,$Q$6:$V$6)+MIN(10,$FJ7*3+$FK7*5,SUMPRODUCT($FD7:$FI7,$Q$6:$V$6)))+$DX7*5</f>
        <v/>
      </c>
      <c r="GA7" s="155">
        <f>MAX(0,18-SUMPRODUCT($FD7:$FI7,$Q$7:$V$7)+MIN(12,$FJ7*3+$FK7*6,SUMPRODUCT($FD7:$FI7,$Q$7:$V$7)))+$DX7*6</f>
        <v/>
      </c>
      <c r="GB7" s="155">
        <f>MAX(0,21-SUMPRODUCT($FD7:$FI7,$Q$8:$V$8)+MIN(14,$FJ7*4+$FK7*7,SUMPRODUCT($FD7:$FI7,$Q$8:$V$8)))+$DX7*7</f>
        <v/>
      </c>
      <c r="GC7" s="155">
        <f>IF($EX7=2,3*$FV7&amp;" de vida temp.",IF($EX7=3,"sem dano",IF($FV7=0,IF($EX7=1,"sem cura","sem dano"),IF($EX7=1,"cura ","")&amp;$FV7&amp;"d8")))</f>
        <v/>
      </c>
      <c r="GD7" s="155">
        <f>IF($EX7=2,3*$FW7&amp;" de vida temp.",IF($EX7=3,"sem dano",IF($FW7=0,IF($EX7=1,"sem cura","sem dano"),IF($EX7=1,"cura ","")&amp;$FW7&amp;"d8")))</f>
        <v/>
      </c>
      <c r="GE7" s="155">
        <f>IF($EX7=2,3*$FX7&amp;" de vida temp.",IF($EX7=3,"sem dano",IF($FX7=0,IF($EX7=1,"sem cura","sem dano"),IF($EX7=1,"cura ","")&amp;$FX7&amp;"d8")))</f>
        <v/>
      </c>
      <c r="GF7" s="155">
        <f>IF($EX7=2,3*$FY7&amp;" de vida temp.",IF($EX7=3,"sem dano",IF($FY7=0,IF($EX7=1,"sem cura","sem dano"),IF($EX7=1,"cura ","")&amp;$FY7&amp;"d8")))</f>
        <v/>
      </c>
      <c r="GG7" s="155">
        <f>IF($EX7=2,3*$FZ7&amp;" de vida temp.",IF($EX7=3,"sem dano",IF($FZ7=0,IF($EX7=1,"sem cura","sem dano"),IF($EX7=1,"cura ","")&amp;$FZ7&amp;"d8")))</f>
        <v/>
      </c>
      <c r="GH7" s="155">
        <f>IF($EX7=2,3*$GA7&amp;" de vida temp.",IF($EX7=3,"sem dano",IF($GA7=0,IF($EX7=1,"sem cura","sem dano"),IF($EX7=1,"cura ","")&amp;$GA7&amp;"d8")))</f>
        <v/>
      </c>
      <c r="GI7" s="155">
        <f>IF($EX7=2,3*$GB7&amp;" de vida temp.",IF($EX7=3,"sem dano",IF($GB7=0,IF($EX7=1,"sem cura","sem dano"),IF($EX7=1,"cura ","")&amp;$GB7&amp;"d8")))</f>
        <v/>
      </c>
      <c r="GJ7" s="155">
        <f>IF($EI7=0,"",TEXTJOIN(" · ",TRUE,IF(AND($DX7=1,$DY7&gt;$HK$9),"O nível "&amp;$HK$2&amp;" dá "&amp;$HK$9&amp;" Liberação Máxima",""),IF($DZ7&gt;$HK$4,"Classe "&amp;$DZ7&amp;": o nível "&amp;$HK$2&amp;" libera até a "&amp;$HK$4,""),IF($EP7=1,"Família Fechada: a Forma "&amp;$EB7,""),IF($EQ7=1,"Família Fechada: "&amp;$EC7,""),IF($ER7=1,"Família Fechada: "&amp;$ED7,""),IF($ES7=1,"Família Fechada: "&amp;$EE7,""),IF($ET7=1,"Família Fechada: "&amp;$EF7,""),IF($FL7&gt;INDEX($W$2:$W$8,$DZ7),$FL7&amp;" Melhorias: a Classe "&amp;$DZ7&amp;" aceita "&amp;INDEX($W$2:$W$8,$DZ7),""),IF($FM7&gt;2,$FM7&amp;" Restrições"&amp;IF($EW7=1,", contando a que a Forma "&amp;$EB7&amp;" já traz","")&amp;": o limite é 2",""),IF($FS7&lt;0,"Orçamento estourado: faltam "&amp;(-$FS7)&amp;IF($FS7&lt;-1," pontos"," ponto"),""),IF(IFERROR(VLOOKUP($EG7,$BM$2:$BQ$24,4,FALSE),0)+IFERROR(VLOOKUP($EH7,$BM$2:$BQ$24,4,FALSE),0)&gt;1,$FB7&amp;" e "&amp;$FC7&amp;" são as duas de frequência",""),IF(AND((COUNTIF($EC7:$EF7,"Rápido")+COUNTIF($FB7:$FC7,"Rápido"))&gt;0,(COUNTIF($EC7:$EF7,"Atrasar")+COUNTIF($FB7:$FC7,"Atrasar"))&gt;0),"Rápido não entra com Atrasar",""),IF(AND((COUNTIF($EC7:$EF7,"Reação")+COUNTIF($FB7:$FC7,"Reação"))&gt;0,(COUNTIF($EC7:$EF7,"Rápido")+COUNTIF($FB7:$FC7,"Rápido"))&gt;0),"Reação não entra com Rápido",""),IF(AND((COUNTIF($EC7:$EF7,"Reação")+COUNTIF($FB7:$FC7,"Reação"))&gt;0,(COUNTIF($EC7:$EF7,"Armado")+COUNTIF($FB7:$FC7,"Armado"))&gt;0),"Reação não entra com Armado",""),IF(AND((COUNTIF($EC7:$EF7,"Reação")+COUNTIF($FB7:$FC7,"Reação"))&gt;0,(COUNTIF($EC7:$EF7,"Atrasar")+COUNTIF($FB7:$FC7,"Atrasar"))&gt;0),"Reação não entra com Atrasar",""),IF(AND((COUNTIF($EC7:$EF7,"Reação")+COUNTIF($FB7:$FC7,"Reação"))&gt;0,(COUNTIF($EC7:$EF7,"Parado")+COUNTIF($FB7:$FC7,"Parado"))&gt;0),"Reação não entra com Parado",""),IF(AND((COUNTIF($EC7:$EF7,"Atrasar")+COUNTIF($FB7:$FC7,"Atrasar"))&gt;0,(COUNTIF($EC7:$EF7,"Parado")+COUNTIF($FB7:$FC7,"Parado"))&gt;0),"Atrasar não entra com Parado",""),IF(AND((COUNTIF($EC7:$EF7,"Armado")+COUNTIF($FB7:$FC7,"Armado"))&gt;0,(COUNTIF($EC7:$EF7,"Carregar")+COUNTIF($FB7:$FC7,"Carregar"))&gt;0),"Armado não entra com Carregar",""),IF(AND(COUNTIF($FB7:$FC7,"Corpo a Corpo")&gt;0,$EW7=0,OR($EB7="Cone",$EB7="Linha")),"Corpo a Corpo não entra em "&amp;$EB7,""),IF(AND(COUNTIF($FB7:$FC7,"Corpo a Corpo")&gt;0,$EW7=1),"A Forma "&amp;$EB7&amp;" já traz o Corpo a Corpo",""),IF(AND(COUNTIF($FB7:$FC7,"Tudo ou Nada")&gt;0,$EY7=0),"Tudo ou Nada só entra em feitiço de Teste de Resistência",""),IF(AND(COUNTIF($EC7:$EF7,"Inescapável")&gt;0,OR($FL7&gt;1,$FM7&gt;0)),"Inescapável não aceita outra peça",""),IF(AND($DX7=1,$DZ7&lt;3),"Liberação Máxima é de Classe 3 ou mais",""),IF(AND($DX7=1,OR($EX7=1,$EX7=2)),"Liberação Máxima não serve para cura",""),IF(AND($DX7=1,COUNTIF($EC7:$EF7,"Inescapável")+COUNTIF($EC7:$EF7,"Toca a Alma")&gt;0),"Esta peça não entra numa Liberação Máxima",""),IF($FT7*IF(COUNTIF($EC7:$EF7,"Remate")&gt;0,1.25,1)+$FU7&gt;4*$DZ7,($FT7*IF(COUNTIF($EC7:$EF7,"Remate")&gt;0,1.25,1)+$FU7)&amp;" dados somando repetições"&amp;IF(COUNTIF($EC7:$EF7,"Remate")&gt;0," e o Remate","")&amp;": o teto da Classe "&amp;$DZ7&amp;" é "&amp;4*$DZ7,"")))</f>
        <v/>
      </c>
      <c r="GK7" s="155">
        <f>IF($GJ7="",0,(LEN($GJ7)-LEN(SUBSTITUTE($GJ7," · ","")))/3+1)</f>
        <v/>
      </c>
      <c r="GL7" s="155">
        <f>IF($EI7=0,"",TEXTJOIN(" · ",TRUE,IF($FO7&gt;2*$DZ7,"A devolução parou no teto de "&amp;2*$DZ7,""),IF($FR7&gt;0,"Devolução perdida: "&amp;$FR7&amp;IF($FR7&gt;1," pontos"," ponto")&amp;" sem peça para pagar",""),IF(AND($EU7&gt;0,$FT7=0),"Controle sem dano: uma rodada a mais e CD +2",""),IF(AND($EU7&gt;0,$FT7&gt;0,$FT7&lt;=$DZ7),"Controle com saldo até a Classe: uma rodada a mais","")))</f>
        <v/>
      </c>
      <c r="GM7" s="155">
        <f>IF($GL7="",0,(LEN($GL7)-LEN(SUBSTITUTE($GL7," · ","")))/3+1)</f>
        <v/>
      </c>
      <c r="GN7" s="155">
        <f>IF($EI7=0,IF($FL7+$FM7-$EW7&gt;0,"Dê um nome",""),IF($GK7&gt;0,"⚠ "&amp;$GK7&amp;IF($GK7&gt;1," erros"," erro"),IF($GM7&gt;0,"! "&amp;$GM7&amp;IF($GM7&gt;1," avisos"," aviso"),"Na regra")))</f>
        <v/>
      </c>
      <c r="GO7" s="155">
        <f>IF($EI7=0,"",IF($GK7+$GM7=0,"Dentro das regras que a ficha confere",$GJ7&amp;IF(AND($GK7&gt;0,$GM7&gt;0)," · ","")&amp;$GL7))</f>
        <v/>
      </c>
      <c r="GP7" s="155">
        <f>IF($EI7=0,"",IF($DX7=1,CEILING(4.5*$DZ7,1),3*$DZ7)&amp;" PE")</f>
        <v/>
      </c>
      <c r="GQ7" s="155">
        <f>IF($EI7=0,"",IF($DX7=1,"Rodada inteira",IF(COUNTIF($FB7:$FC7,"Atrasar")&gt;0,IF(COUNTIF($FB7:$FC7,"Carregar")&gt;0,"Rodada +1 turno","Rodada inteira"),IF(COUNTIF($EC7:$EF7,"Rápido")&gt;0,"Bônus",IF(COUNTIF($EC7:$EF7,"Reação")&gt;0,"Reação","Padrão"))&amp;IF(COUNTIF($FB7:$FC7,"Carregar")&gt;0," +1 turno",""))))</f>
        <v/>
      </c>
      <c r="GR7" s="155">
        <f>IF(OR($EI7=0,$EJ7=0),"",IF(COUNTIF($EC7:$EF7,"Inescapável")&gt;0,"Automático",IF(COUNTIF($EC7:$EF7,"Certeiro")&gt;0,"TR para metade",IF(AND($EV7&gt;0,$EY7=0,INDEX($AF$2:$AF$11,$EJ7)="Acerto"),"Acerto + TR",INDEX($AF$2:$AF$11,$EJ7)))))</f>
        <v/>
      </c>
      <c r="GS7" s="155">
        <f>IF(OR($EI7=0,$EJ7=0),"",IF(OR($EX7&gt;=2,$FT7=0),UPPER(LEFT(INDEX($GC7:$GI7,1,$DZ7),1))&amp;MID(INDEX($GC7:$GI7,1,$DZ7),2,99),UPPER(LEFT(INDEX($GC7:$GI7,1,$DZ7),1))&amp;MID(INDEX($GC7:$GI7,1,$DZ7),2,99)&amp;" = "&amp;FLOOR($FT7*4.5,1)&amp;IF($FU7&gt;0," · +"&amp;$FU7&amp;"d8","")))</f>
        <v/>
      </c>
      <c r="GT7" s="155">
        <f>COUNTIF($EC7:$EF7,"Longe")+3*COUNTIF($EC7:$EF7,"Muito Longe")</f>
        <v/>
      </c>
      <c r="GU7" s="155">
        <f>COUNTIF($EC7:$EF7,"Maior")+3*COUNTIF($EC7:$EF7,"Muito Maior")</f>
        <v/>
      </c>
      <c r="GV7" s="155">
        <f>IF($EJ7=0,0,CHOOSE(1+INDEX($AH$2:$AH$11,$EJ7),0,$GT7,$GU7,$GT7+$GU7))</f>
        <v/>
      </c>
      <c r="GW7" s="155">
        <f>IF($EJ7=0,0,CHOOSE(1+INDEX($AI$2:$AI$11,$EJ7),0,$GT7,$GU7,$GT7+$GU7))</f>
        <v/>
      </c>
      <c r="GX7" s="155">
        <f>IF(OR($EI7=0,$EJ7=0),"",INDEX($AP$2:$AU$31,($EJ7-1)*3+IF($DZ7&gt;=6,3,2),1+MIN(5,$GV7))&amp;INDEX($AV$2:$BA$31,($EJ7-1)*3+IF($DZ7&gt;=6,3,2),1+MIN(5,$GW7))&amp;IF(INDEX($AJ$2:$AJ$11,$EJ7)=1,IF(COUNTIF($EC7:$EF7,"Mais Um")&gt;0," · +"&amp;COUNTIF($EC7:$EF7,"Mais Um")&amp;IF(COUNTIF($EC7:$EF7,"Mais Um")&gt;1," alvos"," alvo"),"")&amp;IF(COUNTIF($EC7:$EF7,"Rajada")&gt;0," · "&amp;($DZ7+1)&amp;" tiros",""),""))</f>
        <v/>
      </c>
      <c r="GY7" s="155">
        <f>IF($EI7=0,"",3*$DZ7&amp;" − "&amp;$FN7&amp;" + "&amp;$FQ7&amp;IF($DX7=1," + "&amp;$DZ7,"")&amp;" = "&amp;$FT7&amp;"d8 · teto "&amp;4*$DZ7&amp;IF($EW7=1," · a Forma devolve "&amp;$DZ7,"")&amp;IF($FR7&gt;0," · perde "&amp;$FR7,""))</f>
        <v/>
      </c>
      <c r="GZ7" s="155">
        <f>IF($EI7=0,"",IF($DZ7&gt;=$HK$4,"Já está na maior Classe que o nível liberou",TEXTJOIN(" · ",TRUE,IF(AND(2&gt;$DZ7,2&lt;=$HK$4),"2 → "&amp;$GD7&amp;", "&amp;IF($DX7=1,9,6)&amp;" PE",""),IF(AND(3&gt;$DZ7,3&lt;=$HK$4),"3 → "&amp;$GE7&amp;", "&amp;IF($DX7=1,14,9)&amp;" PE",""),IF(AND(4&gt;$DZ7,4&lt;=$HK$4),"4 → "&amp;$GF7&amp;", "&amp;IF($DX7=1,18,12)&amp;" PE",""),IF(AND(5&gt;$DZ7,5&lt;=$HK$4),"5 → "&amp;$GG7&amp;", "&amp;IF($DX7=1,23,15)&amp;" PE",""),IF(AND(6&gt;$DZ7,6&lt;=$HK$4),"6 → "&amp;$GH7&amp;", "&amp;IF($DX7=1,27,18)&amp;" PE",""),IF(AND(7&gt;$DZ7,7&lt;=$HK$4),"7 → "&amp;$GI7&amp;", "&amp;IF($DX7=1,32,21)&amp;" PE",""))))</f>
        <v/>
      </c>
      <c r="HA7" s="155">
        <f>IF(OR($EI7=0,$EL7=0),"","−"&amp;INDEX($Q$2:$V$8,$DZ7,$EL7)&amp;" · "&amp;CHOOSE($EL7,"Leve","Média","Pesada","Leve · Livre","Média · Livre","Pesada · Livre"))</f>
        <v/>
      </c>
      <c r="HB7" s="155">
        <f>IF(OR($EI7=0,$EM7=0),"","−"&amp;INDEX($Q$2:$V$8,$DZ7,$EM7)&amp;" · "&amp;CHOOSE($EM7,"Leve","Média","Pesada","Leve · Livre","Média · Livre","Pesada · Livre"))</f>
        <v/>
      </c>
      <c r="HC7" s="155">
        <f>IF(OR($EI7=0,$EN7=0),"","−"&amp;INDEX($Q$2:$V$8,$DZ7,$EN7)&amp;" · "&amp;CHOOSE($EN7,"Leve","Média","Pesada","Leve · Livre","Média · Livre","Pesada · Livre"))</f>
        <v/>
      </c>
      <c r="HD7" s="155">
        <f>IF(OR($EI7=0,$EO7=0),"","−"&amp;INDEX($Q$2:$V$8,$DZ7,$EO7)&amp;" · "&amp;CHOOSE($EO7,"Leve","Média","Pesada","Leve · Livre","Média · Livre","Pesada · Livre"))</f>
        <v/>
      </c>
      <c r="HE7" s="155">
        <f>IF(OR($EI7=0,$EG7=""),"","+"&amp;IF($EZ7=1,CEILING($DZ7/2,1),$DZ7))</f>
        <v/>
      </c>
      <c r="HF7" s="155">
        <f>IF(OR($EI7=0,$EH7=""),"","+"&amp;IF($FA7=1,CEILING($DZ7/2,1),$DZ7))</f>
        <v/>
      </c>
      <c r="HG7" s="155">
        <f>'FICHA AMALDIÇOADA'!$P$74&amp;""</f>
        <v/>
      </c>
      <c r="HH7" s="155">
        <f>IF(AND($EI7=1,$DX7=0),COUNTIFS($EI$2:$EI7,1,$DX$2:$DX7,0),"")</f>
        <v/>
      </c>
      <c r="HJ7" s="153" t="inlineStr">
        <is>
          <t>essência</t>
        </is>
      </c>
      <c r="HK7" s="155">
        <f>N(FICHA!$AJ$19)</f>
        <v/>
      </c>
      <c r="HM7" s="153" t="inlineStr">
        <is>
          <t>Talento 6 · Leque</t>
        </is>
      </c>
      <c r="HN7" s="155">
        <f>'FICHA AMALDIÇOADA'!$D$397&amp;""</f>
        <v/>
      </c>
      <c r="HO7" s="155">
        <f>IFERROR(VLOOKUP($HN7,$BS$2:$BY$24,2,FALSE),0)</f>
        <v/>
      </c>
      <c r="HP7" s="155">
        <f>IFERROR(VLOOKUP($HO7,$CA$2:$CB$4,2,FALSE),0)</f>
        <v/>
      </c>
      <c r="HQ7" s="155">
        <f>IFERROR(VLOOKUP($HN7,$BS$2:$BY$24,3,FALSE),"")</f>
        <v/>
      </c>
      <c r="HR7" s="155">
        <f>IF($HO7=0,"",IF($HP7&gt;$HK$2,"⚠ Nível "&amp;$HP7,"CE "&amp;$HO7))</f>
        <v/>
      </c>
      <c r="HS7" s="155">
        <f>IF($HO7=0,"",IF(1&gt;$HK$8,"⚠ Vaga","Grátis"))</f>
        <v/>
      </c>
      <c r="HT7" s="155">
        <f>'FICHA AMALDIÇOADA'!$E$402&amp;""</f>
        <v/>
      </c>
      <c r="HU7" s="155">
        <f>IF($HN7="","",COUNTIF($HN$2:$HN7,"?*"))</f>
        <v/>
      </c>
      <c r="HW7" s="153" t="inlineStr">
        <is>
          <t>Aptidão 6</t>
        </is>
      </c>
      <c r="HX7" s="155">
        <f>'FICHA AMALDIÇOADA'!$P$450&amp;""</f>
        <v/>
      </c>
      <c r="HY7" s="155">
        <f>IF($HX7="","","Requisito: "&amp;IFERROR(VLOOKUP($HX7,$CD$2:$CM$33,2,FALSE),""))</f>
        <v/>
      </c>
      <c r="HZ7" s="155">
        <f>IF($HX7="","",IFERROR(IF(ISNUMBER(VLOOKUP($HX7,$CD$2:$CM$33,3,FALSE)),"CE "&amp;VLOOKUP($HX7,$CD$2:$CM$33,3,FALSE),VLOOKUP($HX7,$CD$2:$CM$33,3,FALSE)),""))</f>
        <v/>
      </c>
      <c r="IA7" s="155">
        <f>IF($HX7="","",IFERROR(VLOOKUP($HX7,$CD$2:$CM$33,4,FALSE),""))</f>
        <v/>
      </c>
      <c r="IB7" s="155">
        <f>IF($HX7="","",IFERROR(VLOOKUP($HX7,$CD$2:$CM$33,5,FALSE),""))</f>
        <v/>
      </c>
      <c r="IC7" s="155">
        <f>'FICHA AMALDIÇOADA'!$Q$467&amp;""</f>
        <v/>
      </c>
      <c r="ID7" s="155">
        <f>IF($HX7="","",COUNTIF($HX$2:$HX7,"?*"))</f>
        <v/>
      </c>
      <c r="IO7" s="155">
        <f>IF($A$2=1,"T. Máxima",INDEX($D$5:$G$5,1,$A$2))</f>
        <v/>
      </c>
      <c r="IP7" s="155">
        <f>ADDRESS(ROW('FICHA AMALDIÇOADA'!K7),COLUMN('FICHA AMALDIÇOADA'!K7),4)</f>
        <v/>
      </c>
      <c r="IQ7" s="155">
        <f>ADDRESS(ROW('FICHA AMALDIÇOADA'!D340),COLUMN('FICHA AMALDIÇOADA'!D340),4)</f>
        <v/>
      </c>
      <c r="IR7" s="153" t="inlineStr">
        <is>
          <t>DADOS_AM!$IO$7</t>
        </is>
      </c>
      <c r="IT7" s="153" t="inlineStr">
        <is>
          <t>Trilha 2</t>
        </is>
      </c>
      <c r="IU7" s="155" t="n">
        <v>2</v>
      </c>
      <c r="IV7" s="155">
        <f>IF($HK$2&gt;=2,"Nível 2","Abre no 2")</f>
        <v/>
      </c>
      <c r="IW7" s="155">
        <f>ADDRESS(ROW(FICHA!G137),COLUMN(FICHA!G137),4)</f>
        <v/>
      </c>
      <c r="IX7" s="155">
        <f>ADDRESS(ROW(FICHA!D138),COLUMN(FICHA!D138),4)</f>
        <v/>
      </c>
      <c r="JF7" s="155" t="n">
        <v>6</v>
      </c>
      <c r="JG7" s="155">
        <f>IFERROR(MATCH(6,$HH$2:$HH$37,0),0)</f>
        <v/>
      </c>
      <c r="JH7" s="155">
        <f>IF($JG7=0,"",INDEX($DZ$2:$DZ$37,$JG7))</f>
        <v/>
      </c>
      <c r="JI7" s="155">
        <f>IF($JG7=0,"",INDEX($EA$2:$EA$37,$JG7))</f>
        <v/>
      </c>
      <c r="JJ7" s="155">
        <f>IF($JG7=0,"",INDEX($GP$2:$GP$37,$JG7))</f>
        <v/>
      </c>
      <c r="JK7" s="155">
        <f>IF($JG7=0,"",INDEX($EB$2:$EB$37,$JG7))</f>
        <v/>
      </c>
      <c r="JL7" s="155">
        <f>IF($JG7=0,"",INDEX($GR$2:$GR$37,$JG7))</f>
        <v/>
      </c>
      <c r="JM7" s="155">
        <f>IF($JG7=0,"",INDEX($HG$2:$HG$37,$JG7))</f>
        <v/>
      </c>
      <c r="KD7" s="153" t="inlineStr">
        <is>
          <t>Talento 4</t>
        </is>
      </c>
      <c r="KE7" s="155">
        <f>IFERROR(MATCH(4,$HU$2:$HU$13,0),0)</f>
        <v/>
      </c>
      <c r="KF7" s="155">
        <f>IF($KE7=0,"",IF(INDEX($HO$2:$HO$13,$KE7)=0,"","CE "&amp;INDEX($HO$2:$HO$13,$KE7)))</f>
        <v/>
      </c>
      <c r="KG7" s="155">
        <f>IF($KE7=0,"",INDEX($HN$2:$HN$13,$KE7))</f>
        <v/>
      </c>
      <c r="KH7" s="155">
        <f>IF($KE7=0,"",IF(INDEX($HT$2:$HT$13,$KE7)&lt;&gt;"",INDEX($HT$2:$HT$13,$KE7),IF(IFERROR(VLOOKUP(INDEX($HN$2:$HN$13,$KE7),$BS$2:$BY$24,7,FALSE),"")&lt;&gt;"","Do livro: "&amp;IFERROR(VLOOKUP(INDEX($HN$2:$HN$13,$KE7),$BS$2:$BY$24,7,FALSE),""),"")))</f>
        <v/>
      </c>
      <c r="KJ7" s="153" t="inlineStr">
        <is>
          <t>Aptidão 4</t>
        </is>
      </c>
      <c r="KK7" s="155">
        <f>IFERROR(MATCH(4,$ID$2:$ID$13,0),0)</f>
        <v/>
      </c>
      <c r="KL7" s="155">
        <f>IF($KK7=0,"",INDEX($HZ$2:$HZ$13,$KK7))</f>
        <v/>
      </c>
      <c r="KM7" s="155">
        <f>IF($KK7=0,"",INDEX($HX$2:$HX$13,$KK7))</f>
        <v/>
      </c>
      <c r="KN7" s="155">
        <f>IF($KK7=0,"",IF(INDEX($IC$2:$IC$13,$KK7)&lt;&gt;"",INDEX($IC$2:$IC$13,$KK7),IF(IFERROR(VLOOKUP(INDEX($HX$2:$HX$13,$KK7),$CD$2:$CM$33,10,FALSE),"")&lt;&gt;"","Do livro: "&amp;IFERROR(VLOOKUP(INDEX($HX$2:$HX$13,$KK7),$CD$2:$CM$33,10,FALSE),""),"")))</f>
        <v/>
      </c>
      <c r="KP7" s="153" t="inlineStr">
        <is>
          <t>tag lib</t>
        </is>
      </c>
      <c r="KQ7" s="155">
        <f>IF(DADOS_AM!$A$2&gt;=3,"Rup","Lib")</f>
        <v/>
      </c>
      <c r="KS7" s="153" t="inlineStr">
        <is>
          <t>P15</t>
        </is>
      </c>
      <c r="KT7" s="155">
        <f>UPPER(INDEX(DADOS_AM!$D$14:$G$14,1,DADOS_AM!$A$2))</f>
        <v/>
      </c>
    </row>
    <row r="8">
      <c r="C8" s="153" t="inlineStr">
        <is>
          <t>o que escala</t>
        </is>
      </c>
      <c r="D8" s="153" t="inlineStr">
        <is>
          <t>O refino escala</t>
        </is>
      </c>
      <c r="E8" s="153" t="inlineStr">
        <is>
          <t>O refino escala</t>
        </is>
      </c>
      <c r="F8" s="153" t="inlineStr">
        <is>
          <t>O refino escala</t>
        </is>
      </c>
      <c r="G8" s="153" t="inlineStr">
        <is>
          <t>A Lapidação escala</t>
        </is>
      </c>
      <c r="I8" s="153" t="inlineStr">
        <is>
          <t>Tempo</t>
        </is>
      </c>
      <c r="J8" s="155">
        <f>'FICHA AMALDIÇOADA'!$L$37&amp;""</f>
        <v/>
      </c>
      <c r="K8" s="155">
        <f>IF($J8="Livre",1,0)</f>
        <v/>
      </c>
      <c r="L8" s="155">
        <f>IF($J8="Fechada",1,0)</f>
        <v/>
      </c>
      <c r="P8" s="155" t="n">
        <v>7</v>
      </c>
      <c r="Q8" s="155" t="n">
        <v>4</v>
      </c>
      <c r="R8" s="155" t="n">
        <v>7</v>
      </c>
      <c r="S8" s="155" t="n">
        <v>11</v>
      </c>
      <c r="T8" s="155" t="n">
        <v>1</v>
      </c>
      <c r="U8" s="155" t="n">
        <v>3</v>
      </c>
      <c r="V8" s="155" t="n">
        <v>7</v>
      </c>
      <c r="W8" s="155" t="n">
        <v>4</v>
      </c>
      <c r="Y8" s="153" t="inlineStr">
        <is>
          <t>Cura</t>
        </is>
      </c>
      <c r="Z8" s="153" t="inlineStr">
        <is>
          <t>Amparo</t>
        </is>
      </c>
      <c r="AA8" s="155" t="n">
        <v>2</v>
      </c>
      <c r="AB8" s="155">
        <f>IF($AA8=0,0,$AA8+3*IFERROR(VLOOKUP($Z8,$I$2:$L$10,3,FALSE),0))</f>
        <v/>
      </c>
      <c r="AC8" s="155">
        <f>IFERROR(VLOOKUP($Z8,$I$2:$L$10,4,FALSE),0)</f>
        <v/>
      </c>
      <c r="AD8" s="155" t="n">
        <v>0</v>
      </c>
      <c r="AE8" s="155" t="n">
        <v>1</v>
      </c>
      <c r="AF8" s="153" t="inlineStr">
        <is>
          <t>Automático</t>
        </is>
      </c>
      <c r="AG8" s="155" t="n">
        <v>0</v>
      </c>
      <c r="AH8" s="155" t="n">
        <v>1</v>
      </c>
      <c r="AI8" s="155" t="n">
        <v>0</v>
      </c>
      <c r="AJ8" s="155" t="n">
        <v>0</v>
      </c>
      <c r="AK8" s="155" t="n">
        <v>0</v>
      </c>
      <c r="AL8" s="155">
        <f>IF($AC8=1,"",$Y8)</f>
        <v/>
      </c>
      <c r="AM8" s="155">
        <f>IF(AND($AK8=1,$AC8=0),$Y8,"")</f>
        <v/>
      </c>
      <c r="AO8" s="153" t="inlineStr">
        <is>
          <t>Explosão · classe 0</t>
        </is>
      </c>
      <c r="AP8" s="153" t="inlineStr">
        <is>
          <t>Raio 3 m</t>
        </is>
      </c>
      <c r="AQ8" s="153" t="inlineStr">
        <is>
          <t>Raio 4,5 m</t>
        </is>
      </c>
      <c r="AR8" s="153" t="inlineStr">
        <is>
          <t>Raio 6 m</t>
        </is>
      </c>
      <c r="AS8" s="153" t="inlineStr">
        <is>
          <t>Raio 9 m</t>
        </is>
      </c>
      <c r="AT8" s="153" t="inlineStr">
        <is>
          <t>Raio 15 m</t>
        </is>
      </c>
      <c r="AU8" s="153" t="inlineStr">
        <is>
          <t>Raio 15 m</t>
        </is>
      </c>
      <c r="AV8" s="153" t="inlineStr">
        <is>
          <t>, a 9 m</t>
        </is>
      </c>
      <c r="AW8" s="153" t="inlineStr">
        <is>
          <t>, a 18 m</t>
        </is>
      </c>
      <c r="AX8" s="153" t="inlineStr">
        <is>
          <t>, a 36 m</t>
        </is>
      </c>
      <c r="AY8" s="153" t="inlineStr">
        <is>
          <t>, a 90 m</t>
        </is>
      </c>
      <c r="AZ8" s="153" t="inlineStr">
        <is>
          <t>, a visão a olho nu</t>
        </is>
      </c>
      <c r="BA8" s="153" t="inlineStr">
        <is>
          <t>, a visão a olho nu</t>
        </is>
      </c>
      <c r="BC8" s="153" t="inlineStr">
        <is>
          <t>Troca</t>
        </is>
      </c>
      <c r="BD8" s="153" t="inlineStr">
        <is>
          <t>Alcance</t>
        </is>
      </c>
      <c r="BE8" s="155" t="n">
        <v>2</v>
      </c>
      <c r="BF8" s="155">
        <f>$BE8+3*IFERROR(VLOOKUP($BD8,$I$2:$L$10,3,FALSE),0)</f>
        <v/>
      </c>
      <c r="BG8" s="155">
        <f>IFERROR(VLOOKUP($BD8,$I$2:$L$10,4,FALSE),0)</f>
        <v/>
      </c>
      <c r="BH8" s="155" t="n">
        <v>0</v>
      </c>
      <c r="BI8" s="155">
        <f>IF($BG8=1,"",$BC8)</f>
        <v/>
      </c>
      <c r="BJ8" s="155">
        <f>IF(AND($BE8=1,$BG8=0),$BC8,"")</f>
        <v/>
      </c>
      <c r="BK8" s="155" t="n">
        <v>0</v>
      </c>
      <c r="BM8" s="153" t="inlineStr">
        <is>
          <t>Recuo (Leve)</t>
        </is>
      </c>
      <c r="BN8" s="153" t="inlineStr">
        <is>
          <t>Recuo</t>
        </is>
      </c>
      <c r="BO8" s="155" t="n">
        <v>1</v>
      </c>
      <c r="BP8" s="155" t="n">
        <v>0</v>
      </c>
      <c r="BQ8" s="153" t="inlineStr">
        <is>
          <t>Recuo (Leve)</t>
        </is>
      </c>
      <c r="BS8" s="153" t="inlineStr">
        <is>
          <t>Fluxo</t>
        </is>
      </c>
      <c r="BT8" s="155" t="n">
        <v>2</v>
      </c>
      <c r="BU8" s="153" t="inlineStr">
        <is>
          <t>Ao conjurar um feitiço de Classe 3 ou maior, você recebe 2 × a Classe usada em pontos de vida temporária. Uma conjuração concede a reserva uma vez, mesmo que alcance vários alvos ou produza vários ataques.</t>
        </is>
      </c>
      <c r="BV8" s="155" t="n">
        <v>1</v>
      </c>
      <c r="BW8" s="155" t="n">
        <v>0</v>
      </c>
      <c r="BX8" s="155">
        <f>IF(OR(AND($A$2&lt;=2,$BV8=1),AND($A$2&gt;=2,$BW8=1)),$BS8,"")</f>
        <v/>
      </c>
      <c r="BY8" s="153" t="inlineStr">
        <is>
          <t>Ao conjurar um feitiço de Classe 3 ou maior, você recebe 2 × a Classe usada em pontos de vida temporária. Uma conjuração concede a reserva uma vez, mesmo que alcance vários alvos ou produza vários ataques.</t>
        </is>
      </c>
      <c r="CD8" s="153" t="inlineStr">
        <is>
          <t>Kokusen Melhorado</t>
        </is>
      </c>
      <c r="CE8" s="153" t="inlineStr">
        <is>
          <t>Refino 5 e nível 14</t>
        </is>
      </c>
      <c r="CF8" s="153" t="inlineStr">
        <is>
          <t>—</t>
        </is>
      </c>
      <c r="CG8" s="153" t="inlineStr">
        <is>
          <t>—</t>
        </is>
      </c>
      <c r="CH8" s="153" t="inlineStr">
        <is>
          <t>Em cada teste de Kokusen, role dois d100 e use o menor. Se os dois resultados falharem, acrescente +2 ao bônus acumulado uma vez, não duas.</t>
        </is>
      </c>
      <c r="CI8" s="155">
        <f>IF($CL8=1,"",IF($A$2=4,IF($CJ8=1,$CD8,""),IF(OR($CJ8=1,AND($A$2=3,$CK8=1)),"",$CD8)))</f>
        <v/>
      </c>
      <c r="CJ8" s="155" t="n">
        <v>0</v>
      </c>
      <c r="CK8" s="155" t="n">
        <v>0</v>
      </c>
      <c r="CL8" s="155" t="n">
        <v>0</v>
      </c>
      <c r="CM8" s="153" t="inlineStr">
        <is>
          <t>Em cada teste de Kokusen, role dois d100 e use o menor. Se os dois resultados falharem, acrescente +2 ao bônus acumulado uma vez, não duas.</t>
        </is>
      </c>
      <c r="CU8" s="153" t="inlineStr">
        <is>
          <t>Lâmina Longa</t>
        </is>
      </c>
      <c r="CV8" s="155" t="n">
        <v>1</v>
      </c>
      <c r="CW8" s="155" t="n">
        <v>1</v>
      </c>
      <c r="CX8" s="155">
        <f>IF(AND($A$2&gt;=3,'FICHA AMALDIÇOADA'!$J$16&amp;""="Três grupos de arma"),$CU8,"")</f>
        <v/>
      </c>
      <c r="DW8" s="153" t="inlineStr">
        <is>
          <t>Feitiço 7</t>
        </is>
      </c>
      <c r="DX8" s="155" t="n">
        <v>0</v>
      </c>
      <c r="DY8" s="155" t="n">
        <v>7</v>
      </c>
      <c r="DZ8" s="155">
        <f>MAX(1,MIN(7,N('FICHA AMALDIÇOADA'!$D$93)))</f>
        <v/>
      </c>
      <c r="EA8" s="155">
        <f>'FICHA AMALDIÇOADA'!$E$93&amp;""</f>
        <v/>
      </c>
      <c r="EB8" s="155">
        <f>'FICHA AMALDIÇOADA'!$D$100&amp;""</f>
        <v/>
      </c>
      <c r="EC8" s="155">
        <f>'FICHA AMALDIÇOADA'!$E$102&amp;""</f>
        <v/>
      </c>
      <c r="ED8" s="155">
        <f>'FICHA AMALDIÇOADA'!$E$103&amp;""</f>
        <v/>
      </c>
      <c r="EE8" s="155">
        <f>'FICHA AMALDIÇOADA'!$E$104&amp;""</f>
        <v/>
      </c>
      <c r="EF8" s="155">
        <f>'FICHA AMALDIÇOADA'!$E$105&amp;""</f>
        <v/>
      </c>
      <c r="EG8" s="155">
        <f>'FICHA AMALDIÇOADA'!$E$106&amp;""</f>
        <v/>
      </c>
      <c r="EH8" s="155">
        <f>'FICHA AMALDIÇOADA'!$E$107&amp;""</f>
        <v/>
      </c>
      <c r="EI8" s="155">
        <f>IF($EA8&lt;&gt;"",1,0)</f>
        <v/>
      </c>
      <c r="EJ8" s="155">
        <f>IFERROR(MATCH($EB8,$Y$2:$Y$11,0),0)</f>
        <v/>
      </c>
      <c r="EK8" s="155">
        <f>IF($EJ8=0,0,INDEX($AB$2:$AB$11,$EJ8))</f>
        <v/>
      </c>
      <c r="EL8" s="155">
        <f>IFERROR(VLOOKUP($EC8,$BC$2:$BK$84,4,FALSE),0)</f>
        <v/>
      </c>
      <c r="EM8" s="155">
        <f>IFERROR(VLOOKUP($ED8,$BC$2:$BK$84,4,FALSE),0)</f>
        <v/>
      </c>
      <c r="EN8" s="155">
        <f>IFERROR(VLOOKUP($EE8,$BC$2:$BK$84,4,FALSE),0)</f>
        <v/>
      </c>
      <c r="EO8" s="155">
        <f>IFERROR(VLOOKUP($EF8,$BC$2:$BK$84,4,FALSE),0)</f>
        <v/>
      </c>
      <c r="EP8" s="155">
        <f>IF($EJ8=0,0,INDEX($AC$2:$AC$11,$EJ8))</f>
        <v/>
      </c>
      <c r="EQ8" s="155">
        <f>IFERROR(VLOOKUP($EC8,$BC$2:$BK$84,5,FALSE),0)</f>
        <v/>
      </c>
      <c r="ER8" s="155">
        <f>IFERROR(VLOOKUP($ED8,$BC$2:$BK$84,5,FALSE),0)</f>
        <v/>
      </c>
      <c r="ES8" s="155">
        <f>IFERROR(VLOOKUP($EE8,$BC$2:$BK$84,5,FALSE),0)</f>
        <v/>
      </c>
      <c r="ET8" s="155">
        <f>IFERROR(VLOOKUP($EF8,$BC$2:$BK$84,5,FALSE),0)</f>
        <v/>
      </c>
      <c r="EU8" s="155">
        <f>IFERROR(VLOOKUP($EC8,$BC$2:$BK$84,6,FALSE),0)+IFERROR(VLOOKUP($ED8,$BC$2:$BK$84,6,FALSE),0)+IFERROR(VLOOKUP($EE8,$BC$2:$BK$84,6,FALSE),0)+IFERROR(VLOOKUP($EF8,$BC$2:$BK$84,6,FALSE),0)</f>
        <v/>
      </c>
      <c r="EV8" s="155">
        <f>IFERROR(VLOOKUP($EC8,$BC$2:$BK$84,9,FALSE),0)+IFERROR(VLOOKUP($ED8,$BC$2:$BK$84,9,FALSE),0)+IFERROR(VLOOKUP($EE8,$BC$2:$BK$84,9,FALSE),0)+IFERROR(VLOOKUP($EF8,$BC$2:$BK$84,9,FALSE),0)</f>
        <v/>
      </c>
      <c r="EW8" s="155">
        <f>IF($EJ8=0,0,INDEX($AD$2:$AD$11,$EJ8))</f>
        <v/>
      </c>
      <c r="EX8" s="155">
        <f>IF($EJ8=0,0,INDEX($AE$2:$AE$11,$EJ8))</f>
        <v/>
      </c>
      <c r="EY8" s="155">
        <f>IF($EJ8=0,0,INDEX($AG$2:$AG$11,$EJ8))</f>
        <v/>
      </c>
      <c r="EZ8" s="155">
        <f>IFERROR(VLOOKUP($EG8,$BM$2:$BQ$24,3,FALSE),0)</f>
        <v/>
      </c>
      <c r="FA8" s="155">
        <f>IFERROR(VLOOKUP($EH8,$BM$2:$BQ$24,3,FALSE),0)</f>
        <v/>
      </c>
      <c r="FB8" s="155">
        <f>IFERROR(VLOOKUP($EG8,$BM$2:$BQ$24,2,FALSE),"")</f>
        <v/>
      </c>
      <c r="FC8" s="155">
        <f>IFERROR(VLOOKUP($EH8,$BM$2:$BQ$24,2,FALSE),"")</f>
        <v/>
      </c>
      <c r="FD8" s="155">
        <f>COUNTIF($EK8:$EO8,1)</f>
        <v/>
      </c>
      <c r="FE8" s="155">
        <f>COUNTIF($EK8:$EO8,2)</f>
        <v/>
      </c>
      <c r="FF8" s="155">
        <f>COUNTIF($EK8:$EO8,3)</f>
        <v/>
      </c>
      <c r="FG8" s="155">
        <f>COUNTIF($EK8:$EO8,4)</f>
        <v/>
      </c>
      <c r="FH8" s="155">
        <f>COUNTIF($EK8:$EO8,5)</f>
        <v/>
      </c>
      <c r="FI8" s="155">
        <f>COUNTIF($EK8:$EO8,6)</f>
        <v/>
      </c>
      <c r="FJ8" s="155">
        <f>COUNTIF($EZ8:$FA8,1)</f>
        <v/>
      </c>
      <c r="FK8" s="155">
        <f>COUNTIF($EZ8:$FA8,2)+$EW8</f>
        <v/>
      </c>
      <c r="FL8" s="155">
        <f>COUNTIF($EC8:$EF8,"?*")</f>
        <v/>
      </c>
      <c r="FM8" s="155">
        <f>COUNTIF($EG8:$EH8,"?*")+$EW8</f>
        <v/>
      </c>
      <c r="FN8" s="155">
        <f>SUMPRODUCT($FD8:$FI8,INDEX($Q$2:$V$8,$DZ8,0))</f>
        <v/>
      </c>
      <c r="FO8" s="155">
        <f>$FJ8*CEILING($DZ8/2,1)+$FK8*$DZ8</f>
        <v/>
      </c>
      <c r="FP8" s="155">
        <f>MIN(2*$DZ8,$FO8)</f>
        <v/>
      </c>
      <c r="FQ8" s="155">
        <f>MIN($FP8,$FN8)</f>
        <v/>
      </c>
      <c r="FR8" s="155">
        <f>$FP8-$FQ8</f>
        <v/>
      </c>
      <c r="FS8" s="155">
        <f>3*$DZ8-$FN8+$FQ8</f>
        <v/>
      </c>
      <c r="FT8" s="155">
        <f>MAX(0,$FS8)+$DX8*$DZ8</f>
        <v/>
      </c>
      <c r="FU8" s="155">
        <f>(IF(COUNTIF($EC8:$EF8,"Salto")&gt;0,1,0)+IF(COUNTIF($EC8:$EF8,"Queima")&gt;0,1,0)+IF(COUNTIF($EC8:$EF8,"Estilhaço")&gt;0,1,0))*FLOOR($FT8/2,1)</f>
        <v/>
      </c>
      <c r="FV8" s="155">
        <f>MAX(0,3-SUMPRODUCT($FD8:$FI8,$Q$2:$V$2)+MIN(2,$FJ8*1+$FK8*1,SUMPRODUCT($FD8:$FI8,$Q$2:$V$2)))+$DX8*1</f>
        <v/>
      </c>
      <c r="FW8" s="155">
        <f>MAX(0,6-SUMPRODUCT($FD8:$FI8,$Q$3:$V$3)+MIN(4,$FJ8*1+$FK8*2,SUMPRODUCT($FD8:$FI8,$Q$3:$V$3)))+$DX8*2</f>
        <v/>
      </c>
      <c r="FX8" s="155">
        <f>MAX(0,9-SUMPRODUCT($FD8:$FI8,$Q$4:$V$4)+MIN(6,$FJ8*2+$FK8*3,SUMPRODUCT($FD8:$FI8,$Q$4:$V$4)))+$DX8*3</f>
        <v/>
      </c>
      <c r="FY8" s="155">
        <f>MAX(0,12-SUMPRODUCT($FD8:$FI8,$Q$5:$V$5)+MIN(8,$FJ8*2+$FK8*4,SUMPRODUCT($FD8:$FI8,$Q$5:$V$5)))+$DX8*4</f>
        <v/>
      </c>
      <c r="FZ8" s="155">
        <f>MAX(0,15-SUMPRODUCT($FD8:$FI8,$Q$6:$V$6)+MIN(10,$FJ8*3+$FK8*5,SUMPRODUCT($FD8:$FI8,$Q$6:$V$6)))+$DX8*5</f>
        <v/>
      </c>
      <c r="GA8" s="155">
        <f>MAX(0,18-SUMPRODUCT($FD8:$FI8,$Q$7:$V$7)+MIN(12,$FJ8*3+$FK8*6,SUMPRODUCT($FD8:$FI8,$Q$7:$V$7)))+$DX8*6</f>
        <v/>
      </c>
      <c r="GB8" s="155">
        <f>MAX(0,21-SUMPRODUCT($FD8:$FI8,$Q$8:$V$8)+MIN(14,$FJ8*4+$FK8*7,SUMPRODUCT($FD8:$FI8,$Q$8:$V$8)))+$DX8*7</f>
        <v/>
      </c>
      <c r="GC8" s="155">
        <f>IF($EX8=2,3*$FV8&amp;" de vida temp.",IF($EX8=3,"sem dano",IF($FV8=0,IF($EX8=1,"sem cura","sem dano"),IF($EX8=1,"cura ","")&amp;$FV8&amp;"d8")))</f>
        <v/>
      </c>
      <c r="GD8" s="155">
        <f>IF($EX8=2,3*$FW8&amp;" de vida temp.",IF($EX8=3,"sem dano",IF($FW8=0,IF($EX8=1,"sem cura","sem dano"),IF($EX8=1,"cura ","")&amp;$FW8&amp;"d8")))</f>
        <v/>
      </c>
      <c r="GE8" s="155">
        <f>IF($EX8=2,3*$FX8&amp;" de vida temp.",IF($EX8=3,"sem dano",IF($FX8=0,IF($EX8=1,"sem cura","sem dano"),IF($EX8=1,"cura ","")&amp;$FX8&amp;"d8")))</f>
        <v/>
      </c>
      <c r="GF8" s="155">
        <f>IF($EX8=2,3*$FY8&amp;" de vida temp.",IF($EX8=3,"sem dano",IF($FY8=0,IF($EX8=1,"sem cura","sem dano"),IF($EX8=1,"cura ","")&amp;$FY8&amp;"d8")))</f>
        <v/>
      </c>
      <c r="GG8" s="155">
        <f>IF($EX8=2,3*$FZ8&amp;" de vida temp.",IF($EX8=3,"sem dano",IF($FZ8=0,IF($EX8=1,"sem cura","sem dano"),IF($EX8=1,"cura ","")&amp;$FZ8&amp;"d8")))</f>
        <v/>
      </c>
      <c r="GH8" s="155">
        <f>IF($EX8=2,3*$GA8&amp;" de vida temp.",IF($EX8=3,"sem dano",IF($GA8=0,IF($EX8=1,"sem cura","sem dano"),IF($EX8=1,"cura ","")&amp;$GA8&amp;"d8")))</f>
        <v/>
      </c>
      <c r="GI8" s="155">
        <f>IF($EX8=2,3*$GB8&amp;" de vida temp.",IF($EX8=3,"sem dano",IF($GB8=0,IF($EX8=1,"sem cura","sem dano"),IF($EX8=1,"cura ","")&amp;$GB8&amp;"d8")))</f>
        <v/>
      </c>
      <c r="GJ8" s="155">
        <f>IF($EI8=0,"",TEXTJOIN(" · ",TRUE,IF(AND($DX8=1,$DY8&gt;$HK$9),"O nível "&amp;$HK$2&amp;" dá "&amp;$HK$9&amp;" Liberação Máxima",""),IF($DZ8&gt;$HK$4,"Classe "&amp;$DZ8&amp;": o nível "&amp;$HK$2&amp;" libera até a "&amp;$HK$4,""),IF($EP8=1,"Família Fechada: a Forma "&amp;$EB8,""),IF($EQ8=1,"Família Fechada: "&amp;$EC8,""),IF($ER8=1,"Família Fechada: "&amp;$ED8,""),IF($ES8=1,"Família Fechada: "&amp;$EE8,""),IF($ET8=1,"Família Fechada: "&amp;$EF8,""),IF($FL8&gt;INDEX($W$2:$W$8,$DZ8),$FL8&amp;" Melhorias: a Classe "&amp;$DZ8&amp;" aceita "&amp;INDEX($W$2:$W$8,$DZ8),""),IF($FM8&gt;2,$FM8&amp;" Restrições"&amp;IF($EW8=1,", contando a que a Forma "&amp;$EB8&amp;" já traz","")&amp;": o limite é 2",""),IF($FS8&lt;0,"Orçamento estourado: faltam "&amp;(-$FS8)&amp;IF($FS8&lt;-1," pontos"," ponto"),""),IF(IFERROR(VLOOKUP($EG8,$BM$2:$BQ$24,4,FALSE),0)+IFERROR(VLOOKUP($EH8,$BM$2:$BQ$24,4,FALSE),0)&gt;1,$FB8&amp;" e "&amp;$FC8&amp;" são as duas de frequência",""),IF(AND((COUNTIF($EC8:$EF8,"Rápido")+COUNTIF($FB8:$FC8,"Rápido"))&gt;0,(COUNTIF($EC8:$EF8,"Atrasar")+COUNTIF($FB8:$FC8,"Atrasar"))&gt;0),"Rápido não entra com Atrasar",""),IF(AND((COUNTIF($EC8:$EF8,"Reação")+COUNTIF($FB8:$FC8,"Reação"))&gt;0,(COUNTIF($EC8:$EF8,"Rápido")+COUNTIF($FB8:$FC8,"Rápido"))&gt;0),"Reação não entra com Rápido",""),IF(AND((COUNTIF($EC8:$EF8,"Reação")+COUNTIF($FB8:$FC8,"Reação"))&gt;0,(COUNTIF($EC8:$EF8,"Armado")+COUNTIF($FB8:$FC8,"Armado"))&gt;0),"Reação não entra com Armado",""),IF(AND((COUNTIF($EC8:$EF8,"Reação")+COUNTIF($FB8:$FC8,"Reação"))&gt;0,(COUNTIF($EC8:$EF8,"Atrasar")+COUNTIF($FB8:$FC8,"Atrasar"))&gt;0),"Reação não entra com Atrasar",""),IF(AND((COUNTIF($EC8:$EF8,"Reação")+COUNTIF($FB8:$FC8,"Reação"))&gt;0,(COUNTIF($EC8:$EF8,"Parado")+COUNTIF($FB8:$FC8,"Parado"))&gt;0),"Reação não entra com Parado",""),IF(AND((COUNTIF($EC8:$EF8,"Atrasar")+COUNTIF($FB8:$FC8,"Atrasar"))&gt;0,(COUNTIF($EC8:$EF8,"Parado")+COUNTIF($FB8:$FC8,"Parado"))&gt;0),"Atrasar não entra com Parado",""),IF(AND((COUNTIF($EC8:$EF8,"Armado")+COUNTIF($FB8:$FC8,"Armado"))&gt;0,(COUNTIF($EC8:$EF8,"Carregar")+COUNTIF($FB8:$FC8,"Carregar"))&gt;0),"Armado não entra com Carregar",""),IF(AND(COUNTIF($FB8:$FC8,"Corpo a Corpo")&gt;0,$EW8=0,OR($EB8="Cone",$EB8="Linha")),"Corpo a Corpo não entra em "&amp;$EB8,""),IF(AND(COUNTIF($FB8:$FC8,"Corpo a Corpo")&gt;0,$EW8=1),"A Forma "&amp;$EB8&amp;" já traz o Corpo a Corpo",""),IF(AND(COUNTIF($FB8:$FC8,"Tudo ou Nada")&gt;0,$EY8=0),"Tudo ou Nada só entra em feitiço de Teste de Resistência",""),IF(AND(COUNTIF($EC8:$EF8,"Inescapável")&gt;0,OR($FL8&gt;1,$FM8&gt;0)),"Inescapável não aceita outra peça",""),IF(AND($DX8=1,$DZ8&lt;3),"Liberação Máxima é de Classe 3 ou mais",""),IF(AND($DX8=1,OR($EX8=1,$EX8=2)),"Liberação Máxima não serve para cura",""),IF(AND($DX8=1,COUNTIF($EC8:$EF8,"Inescapável")+COUNTIF($EC8:$EF8,"Toca a Alma")&gt;0),"Esta peça não entra numa Liberação Máxima",""),IF($FT8*IF(COUNTIF($EC8:$EF8,"Remate")&gt;0,1.25,1)+$FU8&gt;4*$DZ8,($FT8*IF(COUNTIF($EC8:$EF8,"Remate")&gt;0,1.25,1)+$FU8)&amp;" dados somando repetições"&amp;IF(COUNTIF($EC8:$EF8,"Remate")&gt;0," e o Remate","")&amp;": o teto da Classe "&amp;$DZ8&amp;" é "&amp;4*$DZ8,"")))</f>
        <v/>
      </c>
      <c r="GK8" s="155">
        <f>IF($GJ8="",0,(LEN($GJ8)-LEN(SUBSTITUTE($GJ8," · ","")))/3+1)</f>
        <v/>
      </c>
      <c r="GL8" s="155">
        <f>IF($EI8=0,"",TEXTJOIN(" · ",TRUE,IF($FO8&gt;2*$DZ8,"A devolução parou no teto de "&amp;2*$DZ8,""),IF($FR8&gt;0,"Devolução perdida: "&amp;$FR8&amp;IF($FR8&gt;1," pontos"," ponto")&amp;" sem peça para pagar",""),IF(AND($EU8&gt;0,$FT8=0),"Controle sem dano: uma rodada a mais e CD +2",""),IF(AND($EU8&gt;0,$FT8&gt;0,$FT8&lt;=$DZ8),"Controle com saldo até a Classe: uma rodada a mais","")))</f>
        <v/>
      </c>
      <c r="GM8" s="155">
        <f>IF($GL8="",0,(LEN($GL8)-LEN(SUBSTITUTE($GL8," · ","")))/3+1)</f>
        <v/>
      </c>
      <c r="GN8" s="155">
        <f>IF($EI8=0,IF($FL8+$FM8-$EW8&gt;0,"Dê um nome",""),IF($GK8&gt;0,"⚠ "&amp;$GK8&amp;IF($GK8&gt;1," erros"," erro"),IF($GM8&gt;0,"! "&amp;$GM8&amp;IF($GM8&gt;1," avisos"," aviso"),"Na regra")))</f>
        <v/>
      </c>
      <c r="GO8" s="155">
        <f>IF($EI8=0,"",IF($GK8+$GM8=0,"Dentro das regras que a ficha confere",$GJ8&amp;IF(AND($GK8&gt;0,$GM8&gt;0)," · ","")&amp;$GL8))</f>
        <v/>
      </c>
      <c r="GP8" s="155">
        <f>IF($EI8=0,"",IF($DX8=1,CEILING(4.5*$DZ8,1),3*$DZ8)&amp;" PE")</f>
        <v/>
      </c>
      <c r="GQ8" s="155">
        <f>IF($EI8=0,"",IF($DX8=1,"Rodada inteira",IF(COUNTIF($FB8:$FC8,"Atrasar")&gt;0,IF(COUNTIF($FB8:$FC8,"Carregar")&gt;0,"Rodada +1 turno","Rodada inteira"),IF(COUNTIF($EC8:$EF8,"Rápido")&gt;0,"Bônus",IF(COUNTIF($EC8:$EF8,"Reação")&gt;0,"Reação","Padrão"))&amp;IF(COUNTIF($FB8:$FC8,"Carregar")&gt;0," +1 turno",""))))</f>
        <v/>
      </c>
      <c r="GR8" s="155">
        <f>IF(OR($EI8=0,$EJ8=0),"",IF(COUNTIF($EC8:$EF8,"Inescapável")&gt;0,"Automático",IF(COUNTIF($EC8:$EF8,"Certeiro")&gt;0,"TR para metade",IF(AND($EV8&gt;0,$EY8=0,INDEX($AF$2:$AF$11,$EJ8)="Acerto"),"Acerto + TR",INDEX($AF$2:$AF$11,$EJ8)))))</f>
        <v/>
      </c>
      <c r="GS8" s="155">
        <f>IF(OR($EI8=0,$EJ8=0),"",IF(OR($EX8&gt;=2,$FT8=0),UPPER(LEFT(INDEX($GC8:$GI8,1,$DZ8),1))&amp;MID(INDEX($GC8:$GI8,1,$DZ8),2,99),UPPER(LEFT(INDEX($GC8:$GI8,1,$DZ8),1))&amp;MID(INDEX($GC8:$GI8,1,$DZ8),2,99)&amp;" = "&amp;FLOOR($FT8*4.5,1)&amp;IF($FU8&gt;0," · +"&amp;$FU8&amp;"d8","")))</f>
        <v/>
      </c>
      <c r="GT8" s="155">
        <f>COUNTIF($EC8:$EF8,"Longe")+3*COUNTIF($EC8:$EF8,"Muito Longe")</f>
        <v/>
      </c>
      <c r="GU8" s="155">
        <f>COUNTIF($EC8:$EF8,"Maior")+3*COUNTIF($EC8:$EF8,"Muito Maior")</f>
        <v/>
      </c>
      <c r="GV8" s="155">
        <f>IF($EJ8=0,0,CHOOSE(1+INDEX($AH$2:$AH$11,$EJ8),0,$GT8,$GU8,$GT8+$GU8))</f>
        <v/>
      </c>
      <c r="GW8" s="155">
        <f>IF($EJ8=0,0,CHOOSE(1+INDEX($AI$2:$AI$11,$EJ8),0,$GT8,$GU8,$GT8+$GU8))</f>
        <v/>
      </c>
      <c r="GX8" s="155">
        <f>IF(OR($EI8=0,$EJ8=0),"",INDEX($AP$2:$AU$31,($EJ8-1)*3+IF($DZ8&gt;=6,3,2),1+MIN(5,$GV8))&amp;INDEX($AV$2:$BA$31,($EJ8-1)*3+IF($DZ8&gt;=6,3,2),1+MIN(5,$GW8))&amp;IF(INDEX($AJ$2:$AJ$11,$EJ8)=1,IF(COUNTIF($EC8:$EF8,"Mais Um")&gt;0," · +"&amp;COUNTIF($EC8:$EF8,"Mais Um")&amp;IF(COUNTIF($EC8:$EF8,"Mais Um")&gt;1," alvos"," alvo"),"")&amp;IF(COUNTIF($EC8:$EF8,"Rajada")&gt;0," · "&amp;($DZ8+1)&amp;" tiros",""),""))</f>
        <v/>
      </c>
      <c r="GY8" s="155">
        <f>IF($EI8=0,"",3*$DZ8&amp;" − "&amp;$FN8&amp;" + "&amp;$FQ8&amp;IF($DX8=1," + "&amp;$DZ8,"")&amp;" = "&amp;$FT8&amp;"d8 · teto "&amp;4*$DZ8&amp;IF($EW8=1," · a Forma devolve "&amp;$DZ8,"")&amp;IF($FR8&gt;0," · perde "&amp;$FR8,""))</f>
        <v/>
      </c>
      <c r="GZ8" s="155">
        <f>IF($EI8=0,"",IF($DZ8&gt;=$HK$4,"Já está na maior Classe que o nível liberou",TEXTJOIN(" · ",TRUE,IF(AND(2&gt;$DZ8,2&lt;=$HK$4),"2 → "&amp;$GD8&amp;", "&amp;IF($DX8=1,9,6)&amp;" PE",""),IF(AND(3&gt;$DZ8,3&lt;=$HK$4),"3 → "&amp;$GE8&amp;", "&amp;IF($DX8=1,14,9)&amp;" PE",""),IF(AND(4&gt;$DZ8,4&lt;=$HK$4),"4 → "&amp;$GF8&amp;", "&amp;IF($DX8=1,18,12)&amp;" PE",""),IF(AND(5&gt;$DZ8,5&lt;=$HK$4),"5 → "&amp;$GG8&amp;", "&amp;IF($DX8=1,23,15)&amp;" PE",""),IF(AND(6&gt;$DZ8,6&lt;=$HK$4),"6 → "&amp;$GH8&amp;", "&amp;IF($DX8=1,27,18)&amp;" PE",""),IF(AND(7&gt;$DZ8,7&lt;=$HK$4),"7 → "&amp;$GI8&amp;", "&amp;IF($DX8=1,32,21)&amp;" PE",""))))</f>
        <v/>
      </c>
      <c r="HA8" s="155">
        <f>IF(OR($EI8=0,$EL8=0),"","−"&amp;INDEX($Q$2:$V$8,$DZ8,$EL8)&amp;" · "&amp;CHOOSE($EL8,"Leve","Média","Pesada","Leve · Livre","Média · Livre","Pesada · Livre"))</f>
        <v/>
      </c>
      <c r="HB8" s="155">
        <f>IF(OR($EI8=0,$EM8=0),"","−"&amp;INDEX($Q$2:$V$8,$DZ8,$EM8)&amp;" · "&amp;CHOOSE($EM8,"Leve","Média","Pesada","Leve · Livre","Média · Livre","Pesada · Livre"))</f>
        <v/>
      </c>
      <c r="HC8" s="155">
        <f>IF(OR($EI8=0,$EN8=0),"","−"&amp;INDEX($Q$2:$V$8,$DZ8,$EN8)&amp;" · "&amp;CHOOSE($EN8,"Leve","Média","Pesada","Leve · Livre","Média · Livre","Pesada · Livre"))</f>
        <v/>
      </c>
      <c r="HD8" s="155">
        <f>IF(OR($EI8=0,$EO8=0),"","−"&amp;INDEX($Q$2:$V$8,$DZ8,$EO8)&amp;" · "&amp;CHOOSE($EO8,"Leve","Média","Pesada","Leve · Livre","Média · Livre","Pesada · Livre"))</f>
        <v/>
      </c>
      <c r="HE8" s="155">
        <f>IF(OR($EI8=0,$EG8=""),"","+"&amp;IF($EZ8=1,CEILING($DZ8/2,1),$DZ8))</f>
        <v/>
      </c>
      <c r="HF8" s="155">
        <f>IF(OR($EI8=0,$EH8=""),"","+"&amp;IF($FA8=1,CEILING($DZ8/2,1),$DZ8))</f>
        <v/>
      </c>
      <c r="HG8" s="155">
        <f>'FICHA AMALDIÇOADA'!$D$95&amp;""</f>
        <v/>
      </c>
      <c r="HH8" s="155">
        <f>IF(AND($EI8=1,$DX8=0),COUNTIFS($EI$2:$EI8,1,$DX$2:$DX8,0),"")</f>
        <v/>
      </c>
      <c r="HJ8" s="153" t="inlineStr">
        <is>
          <t>escolhas de Leque</t>
        </is>
      </c>
      <c r="HK8" s="155">
        <f>MIN(N(DADOS!$AK$38),$HK$5)</f>
        <v/>
      </c>
      <c r="HM8" s="153" t="inlineStr">
        <is>
          <t>Talento 7 · Leque</t>
        </is>
      </c>
      <c r="HN8" s="155">
        <f>'FICHA AMALDIÇOADA'!$J$397&amp;""</f>
        <v/>
      </c>
      <c r="HO8" s="155">
        <f>IFERROR(VLOOKUP($HN8,$BS$2:$BY$24,2,FALSE),0)</f>
        <v/>
      </c>
      <c r="HP8" s="155">
        <f>IFERROR(VLOOKUP($HO8,$CA$2:$CB$4,2,FALSE),0)</f>
        <v/>
      </c>
      <c r="HQ8" s="155">
        <f>IFERROR(VLOOKUP($HN8,$BS$2:$BY$24,3,FALSE),"")</f>
        <v/>
      </c>
      <c r="HR8" s="155">
        <f>IF($HO8=0,"",IF($HP8&gt;$HK$2,"⚠ Nível "&amp;$HP8,"CE "&amp;$HO8))</f>
        <v/>
      </c>
      <c r="HS8" s="155">
        <f>IF($HO8=0,"",IF(2&gt;$HK$8,"⚠ Vaga","Grátis"))</f>
        <v/>
      </c>
      <c r="HT8" s="155">
        <f>'FICHA AMALDIÇOADA'!$K$402&amp;""</f>
        <v/>
      </c>
      <c r="HU8" s="155">
        <f>IF($HN8="","",COUNTIF($HN$2:$HN8,"?*"))</f>
        <v/>
      </c>
      <c r="HW8" s="153" t="inlineStr">
        <is>
          <t>Aptidão 7</t>
        </is>
      </c>
      <c r="HX8" s="155">
        <f>'FICHA AMALDIÇOADA'!$D$472&amp;""</f>
        <v/>
      </c>
      <c r="HY8" s="155">
        <f>IF($HX8="","","Requisito: "&amp;IFERROR(VLOOKUP($HX8,$CD$2:$CM$33,2,FALSE),""))</f>
        <v/>
      </c>
      <c r="HZ8" s="155">
        <f>IF($HX8="","",IFERROR(IF(ISNUMBER(VLOOKUP($HX8,$CD$2:$CM$33,3,FALSE)),"CE "&amp;VLOOKUP($HX8,$CD$2:$CM$33,3,FALSE),VLOOKUP($HX8,$CD$2:$CM$33,3,FALSE)),""))</f>
        <v/>
      </c>
      <c r="IA8" s="155">
        <f>IF($HX8="","",IFERROR(VLOOKUP($HX8,$CD$2:$CM$33,4,FALSE),""))</f>
        <v/>
      </c>
      <c r="IB8" s="155">
        <f>IF($HX8="","",IFERROR(VLOOKUP($HX8,$CD$2:$CM$33,5,FALSE),""))</f>
        <v/>
      </c>
      <c r="IC8" s="155">
        <f>'FICHA AMALDIÇOADA'!$E$489&amp;""</f>
        <v/>
      </c>
      <c r="ID8" s="155">
        <f>IF($HX8="","",COUNTIF($HX$2:$HX8,"?*"))</f>
        <v/>
      </c>
      <c r="IO8" s="153" t="inlineStr">
        <is>
          <t>Domínio</t>
        </is>
      </c>
      <c r="IP8" s="155">
        <f>ADDRESS(ROW('FICHA AMALDIÇOADA'!L7),COLUMN('FICHA AMALDIÇOADA'!L7),4)</f>
        <v/>
      </c>
      <c r="IQ8" s="155">
        <f>ADDRESS(ROW('FICHA AMALDIÇOADA'!D354),COLUMN('FICHA AMALDIÇOADA'!D354),4)</f>
        <v/>
      </c>
      <c r="IR8" s="153" t="inlineStr">
        <is>
          <t>DADOS_AM!$IO$8</t>
        </is>
      </c>
      <c r="IT8" s="153" t="inlineStr">
        <is>
          <t>Trilha 11</t>
        </is>
      </c>
      <c r="IU8" s="155" t="n">
        <v>11</v>
      </c>
      <c r="IV8" s="155">
        <f>IF($HK$2&gt;=11,"Nível 11","Abre no 11")</f>
        <v/>
      </c>
      <c r="IW8" s="155">
        <f>ADDRESS(ROW(FICHA!G143),COLUMN(FICHA!G143),4)</f>
        <v/>
      </c>
      <c r="IX8" s="155">
        <f>ADDRESS(ROW(FICHA!D144),COLUMN(FICHA!D144),4)</f>
        <v/>
      </c>
      <c r="JF8" s="155" t="n">
        <v>7</v>
      </c>
      <c r="JG8" s="155">
        <f>IFERROR(MATCH(7,$HH$2:$HH$37,0),0)</f>
        <v/>
      </c>
      <c r="JH8" s="155">
        <f>IF($JG8=0,"",INDEX($DZ$2:$DZ$37,$JG8))</f>
        <v/>
      </c>
      <c r="JI8" s="155">
        <f>IF($JG8=0,"",INDEX($EA$2:$EA$37,$JG8))</f>
        <v/>
      </c>
      <c r="JJ8" s="155">
        <f>IF($JG8=0,"",INDEX($GP$2:$GP$37,$JG8))</f>
        <v/>
      </c>
      <c r="JK8" s="155">
        <f>IF($JG8=0,"",INDEX($EB$2:$EB$37,$JG8))</f>
        <v/>
      </c>
      <c r="JL8" s="155">
        <f>IF($JG8=0,"",INDEX($GR$2:$GR$37,$JG8))</f>
        <v/>
      </c>
      <c r="JM8" s="155">
        <f>IF($JG8=0,"",INDEX($HG$2:$HG$37,$JG8))</f>
        <v/>
      </c>
      <c r="KD8" s="153" t="inlineStr">
        <is>
          <t>Talento 5</t>
        </is>
      </c>
      <c r="KE8" s="155">
        <f>IFERROR(MATCH(5,$HU$2:$HU$13,0),0)</f>
        <v/>
      </c>
      <c r="KF8" s="155">
        <f>IF($KE8=0,"",IF(INDEX($HO$2:$HO$13,$KE8)=0,"","CE "&amp;INDEX($HO$2:$HO$13,$KE8)))</f>
        <v/>
      </c>
      <c r="KG8" s="155">
        <f>IF($KE8=0,"",INDEX($HN$2:$HN$13,$KE8))</f>
        <v/>
      </c>
      <c r="KH8" s="155">
        <f>IF($KE8=0,"",IF(INDEX($HT$2:$HT$13,$KE8)&lt;&gt;"",INDEX($HT$2:$HT$13,$KE8),IF(IFERROR(VLOOKUP(INDEX($HN$2:$HN$13,$KE8),$BS$2:$BY$24,7,FALSE),"")&lt;&gt;"","Do livro: "&amp;IFERROR(VLOOKUP(INDEX($HN$2:$HN$13,$KE8),$BS$2:$BY$24,7,FALSE),""),"")))</f>
        <v/>
      </c>
      <c r="KJ8" s="153" t="inlineStr">
        <is>
          <t>Aptidão 5</t>
        </is>
      </c>
      <c r="KK8" s="155">
        <f>IFERROR(MATCH(5,$ID$2:$ID$13,0),0)</f>
        <v/>
      </c>
      <c r="KL8" s="155">
        <f>IF($KK8=0,"",INDEX($HZ$2:$HZ$13,$KK8))</f>
        <v/>
      </c>
      <c r="KM8" s="155">
        <f>IF($KK8=0,"",INDEX($HX$2:$HX$13,$KK8))</f>
        <v/>
      </c>
      <c r="KN8" s="155">
        <f>IF($KK8=0,"",IF(INDEX($IC$2:$IC$13,$KK8)&lt;&gt;"",INDEX($IC$2:$IC$13,$KK8),IF(IFERROR(VLOOKUP(INDEX($HX$2:$HX$13,$KK8),$CD$2:$CM$33,10,FALSE),"")&lt;&gt;"","Do livro: "&amp;IFERROR(VLOOKUP(INDEX($HX$2:$HX$13,$KK8),$CD$2:$CM$33,10,FALSE),""),"")))</f>
        <v/>
      </c>
      <c r="KP8" s="153" t="inlineStr">
        <is>
          <t>tag tm</t>
        </is>
      </c>
      <c r="KQ8" s="155">
        <f>IF(DADOS_AM!$A$2=1,"Máx",IF(DADOS_AM!$A$2=2,"Auge","Ōgi"))</f>
        <v/>
      </c>
      <c r="KS8" s="153" t="inlineStr">
        <is>
          <t>D16</t>
        </is>
      </c>
      <c r="KT8" s="155">
        <f>INDEX(DADOS_AM!$D$17:$G$17,1,DADOS_AM!$A$2)</f>
        <v/>
      </c>
    </row>
    <row r="9">
      <c r="C9" s="153" t="inlineStr">
        <is>
          <t>graça 1</t>
        </is>
      </c>
      <c r="D9" s="153" t="inlineStr">
        <is>
          <t>Cobrir-se de Energia</t>
        </is>
      </c>
      <c r="E9" s="153" t="inlineStr">
        <is>
          <t>Cobrir-se de Energia</t>
        </is>
      </c>
      <c r="F9" s="153" t="inlineStr">
        <is>
          <t>Cobrir-se de Energia</t>
        </is>
      </c>
      <c r="G9" s="153" t="inlineStr">
        <is>
          <t>Defesa sem Armadura</t>
        </is>
      </c>
      <c r="I9" s="153" t="inlineStr">
        <is>
          <t>Marca</t>
        </is>
      </c>
      <c r="J9" s="155">
        <f>'FICHA AMALDIÇOADA'!$M$37&amp;""</f>
        <v/>
      </c>
      <c r="K9" s="155">
        <f>IF($J9="Livre",1,0)</f>
        <v/>
      </c>
      <c r="L9" s="155">
        <f>IF($J9="Fechada",1,0)</f>
        <v/>
      </c>
      <c r="Y9" s="153" t="inlineStr">
        <is>
          <t>Apoio</t>
        </is>
      </c>
      <c r="Z9" s="153" t="inlineStr">
        <is>
          <t>Amparo</t>
        </is>
      </c>
      <c r="AA9" s="155" t="n">
        <v>0</v>
      </c>
      <c r="AB9" s="155">
        <f>IF($AA9=0,0,$AA9+3*IFERROR(VLOOKUP($Z9,$I$2:$L$10,3,FALSE),0))</f>
        <v/>
      </c>
      <c r="AC9" s="155">
        <f>IFERROR(VLOOKUP($Z9,$I$2:$L$10,4,FALSE),0)</f>
        <v/>
      </c>
      <c r="AD9" s="155" t="n">
        <v>0</v>
      </c>
      <c r="AE9" s="155" t="n">
        <v>2</v>
      </c>
      <c r="AF9" s="153" t="inlineStr">
        <is>
          <t>Automático</t>
        </is>
      </c>
      <c r="AG9" s="155" t="n">
        <v>0</v>
      </c>
      <c r="AH9" s="155" t="n">
        <v>1</v>
      </c>
      <c r="AI9" s="155" t="n">
        <v>0</v>
      </c>
      <c r="AJ9" s="155" t="n">
        <v>0</v>
      </c>
      <c r="AK9" s="155" t="n">
        <v>1</v>
      </c>
      <c r="AL9" s="155">
        <f>IF($AC9=1,"",$Y9)</f>
        <v/>
      </c>
      <c r="AM9" s="155">
        <f>IF(AND($AK9=1,$AC9=0),$Y9,"")</f>
        <v/>
      </c>
      <c r="AO9" s="153" t="inlineStr">
        <is>
          <t>Explosão · classes 1 a 5</t>
        </is>
      </c>
      <c r="AP9" s="153" t="inlineStr">
        <is>
          <t>Raio 3 m</t>
        </is>
      </c>
      <c r="AQ9" s="153" t="inlineStr">
        <is>
          <t>Raio 4,5 m</t>
        </is>
      </c>
      <c r="AR9" s="153" t="inlineStr">
        <is>
          <t>Raio 6 m</t>
        </is>
      </c>
      <c r="AS9" s="153" t="inlineStr">
        <is>
          <t>Raio 9 m</t>
        </is>
      </c>
      <c r="AT9" s="153" t="inlineStr">
        <is>
          <t>Raio 15 m</t>
        </is>
      </c>
      <c r="AU9" s="153" t="inlineStr">
        <is>
          <t>Raio 15 m</t>
        </is>
      </c>
      <c r="AV9" s="153" t="inlineStr">
        <is>
          <t>, a 18 m</t>
        </is>
      </c>
      <c r="AW9" s="153" t="inlineStr">
        <is>
          <t>, a 36 m</t>
        </is>
      </c>
      <c r="AX9" s="153" t="inlineStr">
        <is>
          <t>, a 90 m</t>
        </is>
      </c>
      <c r="AY9" s="153" t="inlineStr">
        <is>
          <t>, a visão a olho nu</t>
        </is>
      </c>
      <c r="AZ9" s="153" t="inlineStr">
        <is>
          <t>, a visão a olho nu</t>
        </is>
      </c>
      <c r="BA9" s="153" t="inlineStr">
        <is>
          <t>, a visão a olho nu</t>
        </is>
      </c>
      <c r="BC9" s="153" t="inlineStr">
        <is>
          <t>Maior</t>
        </is>
      </c>
      <c r="BD9" s="153" t="inlineStr">
        <is>
          <t>Área</t>
        </is>
      </c>
      <c r="BE9" s="155" t="n">
        <v>1</v>
      </c>
      <c r="BF9" s="155">
        <f>$BE9+3*IFERROR(VLOOKUP($BD9,$I$2:$L$10,3,FALSE),0)</f>
        <v/>
      </c>
      <c r="BG9" s="155">
        <f>IFERROR(VLOOKUP($BD9,$I$2:$L$10,4,FALSE),0)</f>
        <v/>
      </c>
      <c r="BH9" s="155" t="n">
        <v>0</v>
      </c>
      <c r="BI9" s="155">
        <f>IF($BG9=1,"",$BC9)</f>
        <v/>
      </c>
      <c r="BJ9" s="155">
        <f>IF(AND($BE9=1,$BG9=0),$BC9,"")</f>
        <v/>
      </c>
      <c r="BK9" s="155" t="n">
        <v>0</v>
      </c>
      <c r="BM9" s="153" t="inlineStr">
        <is>
          <t>Recuo (Média)</t>
        </is>
      </c>
      <c r="BN9" s="153" t="inlineStr">
        <is>
          <t>Recuo</t>
        </is>
      </c>
      <c r="BO9" s="155" t="n">
        <v>2</v>
      </c>
      <c r="BP9" s="155" t="n">
        <v>0</v>
      </c>
      <c r="BQ9" s="153" t="inlineStr"/>
      <c r="BS9" s="153" t="inlineStr">
        <is>
          <t>Recomposição</t>
        </is>
      </c>
      <c r="BT9" s="155" t="n">
        <v>2</v>
      </c>
      <c r="BU9" s="153" t="inlineStr">
        <is>
          <t>Uma vez por descanso curto, use Ação Padrão para recuperar 5 × sua maior Classe em pontos de vida, até sua vida máxima. Não gasta PE. Recuperar vida não remove condições por conta própria.</t>
        </is>
      </c>
      <c r="BV9" s="155" t="n">
        <v>1</v>
      </c>
      <c r="BW9" s="155" t="n">
        <v>0</v>
      </c>
      <c r="BX9" s="155">
        <f>IF(OR(AND($A$2&lt;=2,$BV9=1),AND($A$2&gt;=2,$BW9=1)),$BS9,"")</f>
        <v/>
      </c>
      <c r="BY9" s="153" t="inlineStr">
        <is>
          <t>Uma vez por descanso curto, use Ação Padrão para recuperar 5 × sua maior Classe em pontos de vida, até sua vida máxima. Não gasta PE. Recuperar vida não remove condições por conta própria.</t>
        </is>
      </c>
      <c r="CD9" s="153" t="inlineStr">
        <is>
          <t>Kokusen Constante</t>
        </is>
      </c>
      <c r="CE9" s="153" t="inlineStr">
        <is>
          <t>Refino 5</t>
        </is>
      </c>
      <c r="CF9" s="153" t="inlineStr">
        <is>
          <t>—</t>
        </is>
      </c>
      <c r="CG9" s="153" t="inlineStr">
        <is>
          <t>—</t>
        </is>
      </c>
      <c r="CH9" s="15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55">
        <f>IF($CL9=1,"",IF($A$2=4,IF($CJ9=1,$CD9,""),IF(OR($CJ9=1,AND($A$2=3,$CK9=1)),"",$CD9)))</f>
        <v/>
      </c>
      <c r="CJ9" s="155" t="n">
        <v>0</v>
      </c>
      <c r="CK9" s="155" t="n">
        <v>0</v>
      </c>
      <c r="CL9" s="155" t="n">
        <v>0</v>
      </c>
      <c r="CM9" s="15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3" t="inlineStr">
        <is>
          <t>Arma de Fogo</t>
        </is>
      </c>
      <c r="CV9" s="155" t="n">
        <v>0</v>
      </c>
      <c r="CW9" s="155" t="n">
        <v>1</v>
      </c>
      <c r="CX9" s="155">
        <f>IF(AND($A$2&gt;=3,'FICHA AMALDIÇOADA'!$J$16&amp;""="Três grupos de arma"),$CU9,"")</f>
        <v/>
      </c>
      <c r="DW9" s="153" t="inlineStr">
        <is>
          <t>Feitiço 8</t>
        </is>
      </c>
      <c r="DX9" s="155" t="n">
        <v>0</v>
      </c>
      <c r="DY9" s="155" t="n">
        <v>8</v>
      </c>
      <c r="DZ9" s="155">
        <f>MAX(1,MIN(7,N('FICHA AMALDIÇOADA'!$J$93)))</f>
        <v/>
      </c>
      <c r="EA9" s="155">
        <f>'FICHA AMALDIÇOADA'!$K$93&amp;""</f>
        <v/>
      </c>
      <c r="EB9" s="155">
        <f>'FICHA AMALDIÇOADA'!$J$100&amp;""</f>
        <v/>
      </c>
      <c r="EC9" s="155">
        <f>'FICHA AMALDIÇOADA'!$K$102&amp;""</f>
        <v/>
      </c>
      <c r="ED9" s="155">
        <f>'FICHA AMALDIÇOADA'!$K$103&amp;""</f>
        <v/>
      </c>
      <c r="EE9" s="155">
        <f>'FICHA AMALDIÇOADA'!$K$104&amp;""</f>
        <v/>
      </c>
      <c r="EF9" s="155">
        <f>'FICHA AMALDIÇOADA'!$K$105&amp;""</f>
        <v/>
      </c>
      <c r="EG9" s="155">
        <f>'FICHA AMALDIÇOADA'!$K$106&amp;""</f>
        <v/>
      </c>
      <c r="EH9" s="155">
        <f>'FICHA AMALDIÇOADA'!$K$107&amp;""</f>
        <v/>
      </c>
      <c r="EI9" s="155">
        <f>IF($EA9&lt;&gt;"",1,0)</f>
        <v/>
      </c>
      <c r="EJ9" s="155">
        <f>IFERROR(MATCH($EB9,$Y$2:$Y$11,0),0)</f>
        <v/>
      </c>
      <c r="EK9" s="155">
        <f>IF($EJ9=0,0,INDEX($AB$2:$AB$11,$EJ9))</f>
        <v/>
      </c>
      <c r="EL9" s="155">
        <f>IFERROR(VLOOKUP($EC9,$BC$2:$BK$84,4,FALSE),0)</f>
        <v/>
      </c>
      <c r="EM9" s="155">
        <f>IFERROR(VLOOKUP($ED9,$BC$2:$BK$84,4,FALSE),0)</f>
        <v/>
      </c>
      <c r="EN9" s="155">
        <f>IFERROR(VLOOKUP($EE9,$BC$2:$BK$84,4,FALSE),0)</f>
        <v/>
      </c>
      <c r="EO9" s="155">
        <f>IFERROR(VLOOKUP($EF9,$BC$2:$BK$84,4,FALSE),0)</f>
        <v/>
      </c>
      <c r="EP9" s="155">
        <f>IF($EJ9=0,0,INDEX($AC$2:$AC$11,$EJ9))</f>
        <v/>
      </c>
      <c r="EQ9" s="155">
        <f>IFERROR(VLOOKUP($EC9,$BC$2:$BK$84,5,FALSE),0)</f>
        <v/>
      </c>
      <c r="ER9" s="155">
        <f>IFERROR(VLOOKUP($ED9,$BC$2:$BK$84,5,FALSE),0)</f>
        <v/>
      </c>
      <c r="ES9" s="155">
        <f>IFERROR(VLOOKUP($EE9,$BC$2:$BK$84,5,FALSE),0)</f>
        <v/>
      </c>
      <c r="ET9" s="155">
        <f>IFERROR(VLOOKUP($EF9,$BC$2:$BK$84,5,FALSE),0)</f>
        <v/>
      </c>
      <c r="EU9" s="155">
        <f>IFERROR(VLOOKUP($EC9,$BC$2:$BK$84,6,FALSE),0)+IFERROR(VLOOKUP($ED9,$BC$2:$BK$84,6,FALSE),0)+IFERROR(VLOOKUP($EE9,$BC$2:$BK$84,6,FALSE),0)+IFERROR(VLOOKUP($EF9,$BC$2:$BK$84,6,FALSE),0)</f>
        <v/>
      </c>
      <c r="EV9" s="155">
        <f>IFERROR(VLOOKUP($EC9,$BC$2:$BK$84,9,FALSE),0)+IFERROR(VLOOKUP($ED9,$BC$2:$BK$84,9,FALSE),0)+IFERROR(VLOOKUP($EE9,$BC$2:$BK$84,9,FALSE),0)+IFERROR(VLOOKUP($EF9,$BC$2:$BK$84,9,FALSE),0)</f>
        <v/>
      </c>
      <c r="EW9" s="155">
        <f>IF($EJ9=0,0,INDEX($AD$2:$AD$11,$EJ9))</f>
        <v/>
      </c>
      <c r="EX9" s="155">
        <f>IF($EJ9=0,0,INDEX($AE$2:$AE$11,$EJ9))</f>
        <v/>
      </c>
      <c r="EY9" s="155">
        <f>IF($EJ9=0,0,INDEX($AG$2:$AG$11,$EJ9))</f>
        <v/>
      </c>
      <c r="EZ9" s="155">
        <f>IFERROR(VLOOKUP($EG9,$BM$2:$BQ$24,3,FALSE),0)</f>
        <v/>
      </c>
      <c r="FA9" s="155">
        <f>IFERROR(VLOOKUP($EH9,$BM$2:$BQ$24,3,FALSE),0)</f>
        <v/>
      </c>
      <c r="FB9" s="155">
        <f>IFERROR(VLOOKUP($EG9,$BM$2:$BQ$24,2,FALSE),"")</f>
        <v/>
      </c>
      <c r="FC9" s="155">
        <f>IFERROR(VLOOKUP($EH9,$BM$2:$BQ$24,2,FALSE),"")</f>
        <v/>
      </c>
      <c r="FD9" s="155">
        <f>COUNTIF($EK9:$EO9,1)</f>
        <v/>
      </c>
      <c r="FE9" s="155">
        <f>COUNTIF($EK9:$EO9,2)</f>
        <v/>
      </c>
      <c r="FF9" s="155">
        <f>COUNTIF($EK9:$EO9,3)</f>
        <v/>
      </c>
      <c r="FG9" s="155">
        <f>COUNTIF($EK9:$EO9,4)</f>
        <v/>
      </c>
      <c r="FH9" s="155">
        <f>COUNTIF($EK9:$EO9,5)</f>
        <v/>
      </c>
      <c r="FI9" s="155">
        <f>COUNTIF($EK9:$EO9,6)</f>
        <v/>
      </c>
      <c r="FJ9" s="155">
        <f>COUNTIF($EZ9:$FA9,1)</f>
        <v/>
      </c>
      <c r="FK9" s="155">
        <f>COUNTIF($EZ9:$FA9,2)+$EW9</f>
        <v/>
      </c>
      <c r="FL9" s="155">
        <f>COUNTIF($EC9:$EF9,"?*")</f>
        <v/>
      </c>
      <c r="FM9" s="155">
        <f>COUNTIF($EG9:$EH9,"?*")+$EW9</f>
        <v/>
      </c>
      <c r="FN9" s="155">
        <f>SUMPRODUCT($FD9:$FI9,INDEX($Q$2:$V$8,$DZ9,0))</f>
        <v/>
      </c>
      <c r="FO9" s="155">
        <f>$FJ9*CEILING($DZ9/2,1)+$FK9*$DZ9</f>
        <v/>
      </c>
      <c r="FP9" s="155">
        <f>MIN(2*$DZ9,$FO9)</f>
        <v/>
      </c>
      <c r="FQ9" s="155">
        <f>MIN($FP9,$FN9)</f>
        <v/>
      </c>
      <c r="FR9" s="155">
        <f>$FP9-$FQ9</f>
        <v/>
      </c>
      <c r="FS9" s="155">
        <f>3*$DZ9-$FN9+$FQ9</f>
        <v/>
      </c>
      <c r="FT9" s="155">
        <f>MAX(0,$FS9)+$DX9*$DZ9</f>
        <v/>
      </c>
      <c r="FU9" s="155">
        <f>(IF(COUNTIF($EC9:$EF9,"Salto")&gt;0,1,0)+IF(COUNTIF($EC9:$EF9,"Queima")&gt;0,1,0)+IF(COUNTIF($EC9:$EF9,"Estilhaço")&gt;0,1,0))*FLOOR($FT9/2,1)</f>
        <v/>
      </c>
      <c r="FV9" s="155">
        <f>MAX(0,3-SUMPRODUCT($FD9:$FI9,$Q$2:$V$2)+MIN(2,$FJ9*1+$FK9*1,SUMPRODUCT($FD9:$FI9,$Q$2:$V$2)))+$DX9*1</f>
        <v/>
      </c>
      <c r="FW9" s="155">
        <f>MAX(0,6-SUMPRODUCT($FD9:$FI9,$Q$3:$V$3)+MIN(4,$FJ9*1+$FK9*2,SUMPRODUCT($FD9:$FI9,$Q$3:$V$3)))+$DX9*2</f>
        <v/>
      </c>
      <c r="FX9" s="155">
        <f>MAX(0,9-SUMPRODUCT($FD9:$FI9,$Q$4:$V$4)+MIN(6,$FJ9*2+$FK9*3,SUMPRODUCT($FD9:$FI9,$Q$4:$V$4)))+$DX9*3</f>
        <v/>
      </c>
      <c r="FY9" s="155">
        <f>MAX(0,12-SUMPRODUCT($FD9:$FI9,$Q$5:$V$5)+MIN(8,$FJ9*2+$FK9*4,SUMPRODUCT($FD9:$FI9,$Q$5:$V$5)))+$DX9*4</f>
        <v/>
      </c>
      <c r="FZ9" s="155">
        <f>MAX(0,15-SUMPRODUCT($FD9:$FI9,$Q$6:$V$6)+MIN(10,$FJ9*3+$FK9*5,SUMPRODUCT($FD9:$FI9,$Q$6:$V$6)))+$DX9*5</f>
        <v/>
      </c>
      <c r="GA9" s="155">
        <f>MAX(0,18-SUMPRODUCT($FD9:$FI9,$Q$7:$V$7)+MIN(12,$FJ9*3+$FK9*6,SUMPRODUCT($FD9:$FI9,$Q$7:$V$7)))+$DX9*6</f>
        <v/>
      </c>
      <c r="GB9" s="155">
        <f>MAX(0,21-SUMPRODUCT($FD9:$FI9,$Q$8:$V$8)+MIN(14,$FJ9*4+$FK9*7,SUMPRODUCT($FD9:$FI9,$Q$8:$V$8)))+$DX9*7</f>
        <v/>
      </c>
      <c r="GC9" s="155">
        <f>IF($EX9=2,3*$FV9&amp;" de vida temp.",IF($EX9=3,"sem dano",IF($FV9=0,IF($EX9=1,"sem cura","sem dano"),IF($EX9=1,"cura ","")&amp;$FV9&amp;"d8")))</f>
        <v/>
      </c>
      <c r="GD9" s="155">
        <f>IF($EX9=2,3*$FW9&amp;" de vida temp.",IF($EX9=3,"sem dano",IF($FW9=0,IF($EX9=1,"sem cura","sem dano"),IF($EX9=1,"cura ","")&amp;$FW9&amp;"d8")))</f>
        <v/>
      </c>
      <c r="GE9" s="155">
        <f>IF($EX9=2,3*$FX9&amp;" de vida temp.",IF($EX9=3,"sem dano",IF($FX9=0,IF($EX9=1,"sem cura","sem dano"),IF($EX9=1,"cura ","")&amp;$FX9&amp;"d8")))</f>
        <v/>
      </c>
      <c r="GF9" s="155">
        <f>IF($EX9=2,3*$FY9&amp;" de vida temp.",IF($EX9=3,"sem dano",IF($FY9=0,IF($EX9=1,"sem cura","sem dano"),IF($EX9=1,"cura ","")&amp;$FY9&amp;"d8")))</f>
        <v/>
      </c>
      <c r="GG9" s="155">
        <f>IF($EX9=2,3*$FZ9&amp;" de vida temp.",IF($EX9=3,"sem dano",IF($FZ9=0,IF($EX9=1,"sem cura","sem dano"),IF($EX9=1,"cura ","")&amp;$FZ9&amp;"d8")))</f>
        <v/>
      </c>
      <c r="GH9" s="155">
        <f>IF($EX9=2,3*$GA9&amp;" de vida temp.",IF($EX9=3,"sem dano",IF($GA9=0,IF($EX9=1,"sem cura","sem dano"),IF($EX9=1,"cura ","")&amp;$GA9&amp;"d8")))</f>
        <v/>
      </c>
      <c r="GI9" s="155">
        <f>IF($EX9=2,3*$GB9&amp;" de vida temp.",IF($EX9=3,"sem dano",IF($GB9=0,IF($EX9=1,"sem cura","sem dano"),IF($EX9=1,"cura ","")&amp;$GB9&amp;"d8")))</f>
        <v/>
      </c>
      <c r="GJ9" s="155">
        <f>IF($EI9=0,"",TEXTJOIN(" · ",TRUE,IF(AND($DX9=1,$DY9&gt;$HK$9),"O nível "&amp;$HK$2&amp;" dá "&amp;$HK$9&amp;" Liberação Máxima",""),IF($DZ9&gt;$HK$4,"Classe "&amp;$DZ9&amp;": o nível "&amp;$HK$2&amp;" libera até a "&amp;$HK$4,""),IF($EP9=1,"Família Fechada: a Forma "&amp;$EB9,""),IF($EQ9=1,"Família Fechada: "&amp;$EC9,""),IF($ER9=1,"Família Fechada: "&amp;$ED9,""),IF($ES9=1,"Família Fechada: "&amp;$EE9,""),IF($ET9=1,"Família Fechada: "&amp;$EF9,""),IF($FL9&gt;INDEX($W$2:$W$8,$DZ9),$FL9&amp;" Melhorias: a Classe "&amp;$DZ9&amp;" aceita "&amp;INDEX($W$2:$W$8,$DZ9),""),IF($FM9&gt;2,$FM9&amp;" Restrições"&amp;IF($EW9=1,", contando a que a Forma "&amp;$EB9&amp;" já traz","")&amp;": o limite é 2",""),IF($FS9&lt;0,"Orçamento estourado: faltam "&amp;(-$FS9)&amp;IF($FS9&lt;-1," pontos"," ponto"),""),IF(IFERROR(VLOOKUP($EG9,$BM$2:$BQ$24,4,FALSE),0)+IFERROR(VLOOKUP($EH9,$BM$2:$BQ$24,4,FALSE),0)&gt;1,$FB9&amp;" e "&amp;$FC9&amp;" são as duas de frequência",""),IF(AND((COUNTIF($EC9:$EF9,"Rápido")+COUNTIF($FB9:$FC9,"Rápido"))&gt;0,(COUNTIF($EC9:$EF9,"Atrasar")+COUNTIF($FB9:$FC9,"Atrasar"))&gt;0),"Rápido não entra com Atrasar",""),IF(AND((COUNTIF($EC9:$EF9,"Reação")+COUNTIF($FB9:$FC9,"Reação"))&gt;0,(COUNTIF($EC9:$EF9,"Rápido")+COUNTIF($FB9:$FC9,"Rápido"))&gt;0),"Reação não entra com Rápido",""),IF(AND((COUNTIF($EC9:$EF9,"Reação")+COUNTIF($FB9:$FC9,"Reação"))&gt;0,(COUNTIF($EC9:$EF9,"Armado")+COUNTIF($FB9:$FC9,"Armado"))&gt;0),"Reação não entra com Armado",""),IF(AND((COUNTIF($EC9:$EF9,"Reação")+COUNTIF($FB9:$FC9,"Reação"))&gt;0,(COUNTIF($EC9:$EF9,"Atrasar")+COUNTIF($FB9:$FC9,"Atrasar"))&gt;0),"Reação não entra com Atrasar",""),IF(AND((COUNTIF($EC9:$EF9,"Reação")+COUNTIF($FB9:$FC9,"Reação"))&gt;0,(COUNTIF($EC9:$EF9,"Parado")+COUNTIF($FB9:$FC9,"Parado"))&gt;0),"Reação não entra com Parado",""),IF(AND((COUNTIF($EC9:$EF9,"Atrasar")+COUNTIF($FB9:$FC9,"Atrasar"))&gt;0,(COUNTIF($EC9:$EF9,"Parado")+COUNTIF($FB9:$FC9,"Parado"))&gt;0),"Atrasar não entra com Parado",""),IF(AND((COUNTIF($EC9:$EF9,"Armado")+COUNTIF($FB9:$FC9,"Armado"))&gt;0,(COUNTIF($EC9:$EF9,"Carregar")+COUNTIF($FB9:$FC9,"Carregar"))&gt;0),"Armado não entra com Carregar",""),IF(AND(COUNTIF($FB9:$FC9,"Corpo a Corpo")&gt;0,$EW9=0,OR($EB9="Cone",$EB9="Linha")),"Corpo a Corpo não entra em "&amp;$EB9,""),IF(AND(COUNTIF($FB9:$FC9,"Corpo a Corpo")&gt;0,$EW9=1),"A Forma "&amp;$EB9&amp;" já traz o Corpo a Corpo",""),IF(AND(COUNTIF($FB9:$FC9,"Tudo ou Nada")&gt;0,$EY9=0),"Tudo ou Nada só entra em feitiço de Teste de Resistência",""),IF(AND(COUNTIF($EC9:$EF9,"Inescapável")&gt;0,OR($FL9&gt;1,$FM9&gt;0)),"Inescapável não aceita outra peça",""),IF(AND($DX9=1,$DZ9&lt;3),"Liberação Máxima é de Classe 3 ou mais",""),IF(AND($DX9=1,OR($EX9=1,$EX9=2)),"Liberação Máxima não serve para cura",""),IF(AND($DX9=1,COUNTIF($EC9:$EF9,"Inescapável")+COUNTIF($EC9:$EF9,"Toca a Alma")&gt;0),"Esta peça não entra numa Liberação Máxima",""),IF($FT9*IF(COUNTIF($EC9:$EF9,"Remate")&gt;0,1.25,1)+$FU9&gt;4*$DZ9,($FT9*IF(COUNTIF($EC9:$EF9,"Remate")&gt;0,1.25,1)+$FU9)&amp;" dados somando repetições"&amp;IF(COUNTIF($EC9:$EF9,"Remate")&gt;0," e o Remate","")&amp;": o teto da Classe "&amp;$DZ9&amp;" é "&amp;4*$DZ9,"")))</f>
        <v/>
      </c>
      <c r="GK9" s="155">
        <f>IF($GJ9="",0,(LEN($GJ9)-LEN(SUBSTITUTE($GJ9," · ","")))/3+1)</f>
        <v/>
      </c>
      <c r="GL9" s="155">
        <f>IF($EI9=0,"",TEXTJOIN(" · ",TRUE,IF($FO9&gt;2*$DZ9,"A devolução parou no teto de "&amp;2*$DZ9,""),IF($FR9&gt;0,"Devolução perdida: "&amp;$FR9&amp;IF($FR9&gt;1," pontos"," ponto")&amp;" sem peça para pagar",""),IF(AND($EU9&gt;0,$FT9=0),"Controle sem dano: uma rodada a mais e CD +2",""),IF(AND($EU9&gt;0,$FT9&gt;0,$FT9&lt;=$DZ9),"Controle com saldo até a Classe: uma rodada a mais","")))</f>
        <v/>
      </c>
      <c r="GM9" s="155">
        <f>IF($GL9="",0,(LEN($GL9)-LEN(SUBSTITUTE($GL9," · ","")))/3+1)</f>
        <v/>
      </c>
      <c r="GN9" s="155">
        <f>IF($EI9=0,IF($FL9+$FM9-$EW9&gt;0,"Dê um nome",""),IF($GK9&gt;0,"⚠ "&amp;$GK9&amp;IF($GK9&gt;1," erros"," erro"),IF($GM9&gt;0,"! "&amp;$GM9&amp;IF($GM9&gt;1," avisos"," aviso"),"Na regra")))</f>
        <v/>
      </c>
      <c r="GO9" s="155">
        <f>IF($EI9=0,"",IF($GK9+$GM9=0,"Dentro das regras que a ficha confere",$GJ9&amp;IF(AND($GK9&gt;0,$GM9&gt;0)," · ","")&amp;$GL9))</f>
        <v/>
      </c>
      <c r="GP9" s="155">
        <f>IF($EI9=0,"",IF($DX9=1,CEILING(4.5*$DZ9,1),3*$DZ9)&amp;" PE")</f>
        <v/>
      </c>
      <c r="GQ9" s="155">
        <f>IF($EI9=0,"",IF($DX9=1,"Rodada inteira",IF(COUNTIF($FB9:$FC9,"Atrasar")&gt;0,IF(COUNTIF($FB9:$FC9,"Carregar")&gt;0,"Rodada +1 turno","Rodada inteira"),IF(COUNTIF($EC9:$EF9,"Rápido")&gt;0,"Bônus",IF(COUNTIF($EC9:$EF9,"Reação")&gt;0,"Reação","Padrão"))&amp;IF(COUNTIF($FB9:$FC9,"Carregar")&gt;0," +1 turno",""))))</f>
        <v/>
      </c>
      <c r="GR9" s="155">
        <f>IF(OR($EI9=0,$EJ9=0),"",IF(COUNTIF($EC9:$EF9,"Inescapável")&gt;0,"Automático",IF(COUNTIF($EC9:$EF9,"Certeiro")&gt;0,"TR para metade",IF(AND($EV9&gt;0,$EY9=0,INDEX($AF$2:$AF$11,$EJ9)="Acerto"),"Acerto + TR",INDEX($AF$2:$AF$11,$EJ9)))))</f>
        <v/>
      </c>
      <c r="GS9" s="155">
        <f>IF(OR($EI9=0,$EJ9=0),"",IF(OR($EX9&gt;=2,$FT9=0),UPPER(LEFT(INDEX($GC9:$GI9,1,$DZ9),1))&amp;MID(INDEX($GC9:$GI9,1,$DZ9),2,99),UPPER(LEFT(INDEX($GC9:$GI9,1,$DZ9),1))&amp;MID(INDEX($GC9:$GI9,1,$DZ9),2,99)&amp;" = "&amp;FLOOR($FT9*4.5,1)&amp;IF($FU9&gt;0," · +"&amp;$FU9&amp;"d8","")))</f>
        <v/>
      </c>
      <c r="GT9" s="155">
        <f>COUNTIF($EC9:$EF9,"Longe")+3*COUNTIF($EC9:$EF9,"Muito Longe")</f>
        <v/>
      </c>
      <c r="GU9" s="155">
        <f>COUNTIF($EC9:$EF9,"Maior")+3*COUNTIF($EC9:$EF9,"Muito Maior")</f>
        <v/>
      </c>
      <c r="GV9" s="155">
        <f>IF($EJ9=0,0,CHOOSE(1+INDEX($AH$2:$AH$11,$EJ9),0,$GT9,$GU9,$GT9+$GU9))</f>
        <v/>
      </c>
      <c r="GW9" s="155">
        <f>IF($EJ9=0,0,CHOOSE(1+INDEX($AI$2:$AI$11,$EJ9),0,$GT9,$GU9,$GT9+$GU9))</f>
        <v/>
      </c>
      <c r="GX9" s="155">
        <f>IF(OR($EI9=0,$EJ9=0),"",INDEX($AP$2:$AU$31,($EJ9-1)*3+IF($DZ9&gt;=6,3,2),1+MIN(5,$GV9))&amp;INDEX($AV$2:$BA$31,($EJ9-1)*3+IF($DZ9&gt;=6,3,2),1+MIN(5,$GW9))&amp;IF(INDEX($AJ$2:$AJ$11,$EJ9)=1,IF(COUNTIF($EC9:$EF9,"Mais Um")&gt;0," · +"&amp;COUNTIF($EC9:$EF9,"Mais Um")&amp;IF(COUNTIF($EC9:$EF9,"Mais Um")&gt;1," alvos"," alvo"),"")&amp;IF(COUNTIF($EC9:$EF9,"Rajada")&gt;0," · "&amp;($DZ9+1)&amp;" tiros",""),""))</f>
        <v/>
      </c>
      <c r="GY9" s="155">
        <f>IF($EI9=0,"",3*$DZ9&amp;" − "&amp;$FN9&amp;" + "&amp;$FQ9&amp;IF($DX9=1," + "&amp;$DZ9,"")&amp;" = "&amp;$FT9&amp;"d8 · teto "&amp;4*$DZ9&amp;IF($EW9=1," · a Forma devolve "&amp;$DZ9,"")&amp;IF($FR9&gt;0," · perde "&amp;$FR9,""))</f>
        <v/>
      </c>
      <c r="GZ9" s="155">
        <f>IF($EI9=0,"",IF($DZ9&gt;=$HK$4,"Já está na maior Classe que o nível liberou",TEXTJOIN(" · ",TRUE,IF(AND(2&gt;$DZ9,2&lt;=$HK$4),"2 → "&amp;$GD9&amp;", "&amp;IF($DX9=1,9,6)&amp;" PE",""),IF(AND(3&gt;$DZ9,3&lt;=$HK$4),"3 → "&amp;$GE9&amp;", "&amp;IF($DX9=1,14,9)&amp;" PE",""),IF(AND(4&gt;$DZ9,4&lt;=$HK$4),"4 → "&amp;$GF9&amp;", "&amp;IF($DX9=1,18,12)&amp;" PE",""),IF(AND(5&gt;$DZ9,5&lt;=$HK$4),"5 → "&amp;$GG9&amp;", "&amp;IF($DX9=1,23,15)&amp;" PE",""),IF(AND(6&gt;$DZ9,6&lt;=$HK$4),"6 → "&amp;$GH9&amp;", "&amp;IF($DX9=1,27,18)&amp;" PE",""),IF(AND(7&gt;$DZ9,7&lt;=$HK$4),"7 → "&amp;$GI9&amp;", "&amp;IF($DX9=1,32,21)&amp;" PE",""))))</f>
        <v/>
      </c>
      <c r="HA9" s="155">
        <f>IF(OR($EI9=0,$EL9=0),"","−"&amp;INDEX($Q$2:$V$8,$DZ9,$EL9)&amp;" · "&amp;CHOOSE($EL9,"Leve","Média","Pesada","Leve · Livre","Média · Livre","Pesada · Livre"))</f>
        <v/>
      </c>
      <c r="HB9" s="155">
        <f>IF(OR($EI9=0,$EM9=0),"","−"&amp;INDEX($Q$2:$V$8,$DZ9,$EM9)&amp;" · "&amp;CHOOSE($EM9,"Leve","Média","Pesada","Leve · Livre","Média · Livre","Pesada · Livre"))</f>
        <v/>
      </c>
      <c r="HC9" s="155">
        <f>IF(OR($EI9=0,$EN9=0),"","−"&amp;INDEX($Q$2:$V$8,$DZ9,$EN9)&amp;" · "&amp;CHOOSE($EN9,"Leve","Média","Pesada","Leve · Livre","Média · Livre","Pesada · Livre"))</f>
        <v/>
      </c>
      <c r="HD9" s="155">
        <f>IF(OR($EI9=0,$EO9=0),"","−"&amp;INDEX($Q$2:$V$8,$DZ9,$EO9)&amp;" · "&amp;CHOOSE($EO9,"Leve","Média","Pesada","Leve · Livre","Média · Livre","Pesada · Livre"))</f>
        <v/>
      </c>
      <c r="HE9" s="155">
        <f>IF(OR($EI9=0,$EG9=""),"","+"&amp;IF($EZ9=1,CEILING($DZ9/2,1),$DZ9))</f>
        <v/>
      </c>
      <c r="HF9" s="155">
        <f>IF(OR($EI9=0,$EH9=""),"","+"&amp;IF($FA9=1,CEILING($DZ9/2,1),$DZ9))</f>
        <v/>
      </c>
      <c r="HG9" s="155">
        <f>'FICHA AMALDIÇOADA'!$J$95&amp;""</f>
        <v/>
      </c>
      <c r="HH9" s="155">
        <f>IF(AND($EI9=1,$DX9=0),COUNTIFS($EI$2:$EI9,1,$DX$2:$DX9,0),"")</f>
        <v/>
      </c>
      <c r="HJ9" s="153" t="inlineStr">
        <is>
          <t>liberações</t>
        </is>
      </c>
      <c r="HK9" s="155">
        <f>COUNTIF($DD$2:$DD$4,"&lt;="&amp;$HK$2)</f>
        <v/>
      </c>
      <c r="HM9" s="153" t="inlineStr">
        <is>
          <t>Talento 8 · Leque</t>
        </is>
      </c>
      <c r="HN9" s="155">
        <f>'FICHA AMALDIÇOADA'!$P$397&amp;""</f>
        <v/>
      </c>
      <c r="HO9" s="155">
        <f>IFERROR(VLOOKUP($HN9,$BS$2:$BY$24,2,FALSE),0)</f>
        <v/>
      </c>
      <c r="HP9" s="155">
        <f>IFERROR(VLOOKUP($HO9,$CA$2:$CB$4,2,FALSE),0)</f>
        <v/>
      </c>
      <c r="HQ9" s="155">
        <f>IFERROR(VLOOKUP($HN9,$BS$2:$BY$24,3,FALSE),"")</f>
        <v/>
      </c>
      <c r="HR9" s="155">
        <f>IF($HO9=0,"",IF($HP9&gt;$HK$2,"⚠ Nível "&amp;$HP9,"CE "&amp;$HO9))</f>
        <v/>
      </c>
      <c r="HS9" s="155">
        <f>IF($HO9=0,"",IF(3&gt;$HK$8,"⚠ Vaga","Grátis"))</f>
        <v/>
      </c>
      <c r="HT9" s="155">
        <f>'FICHA AMALDIÇOADA'!$Q$402&amp;""</f>
        <v/>
      </c>
      <c r="HU9" s="155">
        <f>IF($HN9="","",COUNTIF($HN$2:$HN9,"?*"))</f>
        <v/>
      </c>
      <c r="HW9" s="153" t="inlineStr">
        <is>
          <t>Aptidão 8</t>
        </is>
      </c>
      <c r="HX9" s="155">
        <f>'FICHA AMALDIÇOADA'!$J$472&amp;""</f>
        <v/>
      </c>
      <c r="HY9" s="155">
        <f>IF($HX9="","","Requisito: "&amp;IFERROR(VLOOKUP($HX9,$CD$2:$CM$33,2,FALSE),""))</f>
        <v/>
      </c>
      <c r="HZ9" s="155">
        <f>IF($HX9="","",IFERROR(IF(ISNUMBER(VLOOKUP($HX9,$CD$2:$CM$33,3,FALSE)),"CE "&amp;VLOOKUP($HX9,$CD$2:$CM$33,3,FALSE),VLOOKUP($HX9,$CD$2:$CM$33,3,FALSE)),""))</f>
        <v/>
      </c>
      <c r="IA9" s="155">
        <f>IF($HX9="","",IFERROR(VLOOKUP($HX9,$CD$2:$CM$33,4,FALSE),""))</f>
        <v/>
      </c>
      <c r="IB9" s="155">
        <f>IF($HX9="","",IFERROR(VLOOKUP($HX9,$CD$2:$CM$33,5,FALSE),""))</f>
        <v/>
      </c>
      <c r="IC9" s="155">
        <f>'FICHA AMALDIÇOADA'!$K$489&amp;""</f>
        <v/>
      </c>
      <c r="ID9" s="155">
        <f>IF($HX9="","",COUNTIF($HX$2:$HX9,"?*"))</f>
        <v/>
      </c>
      <c r="IO9" s="153" t="inlineStr">
        <is>
          <t>Talentos</t>
        </is>
      </c>
      <c r="IP9" s="155">
        <f>ADDRESS(ROW('FICHA AMALDIÇOADA'!M7),COLUMN('FICHA AMALDIÇOADA'!M7),4)</f>
        <v/>
      </c>
      <c r="IQ9" s="155">
        <f>ADDRESS(ROW('FICHA AMALDIÇOADA'!D376),COLUMN('FICHA AMALDIÇOADA'!D376),4)</f>
        <v/>
      </c>
      <c r="IR9" s="153" t="inlineStr">
        <is>
          <t>DADOS_AM!$IO$9</t>
        </is>
      </c>
      <c r="IT9" s="153" t="inlineStr">
        <is>
          <t>Trilha 19</t>
        </is>
      </c>
      <c r="IU9" s="155" t="n">
        <v>19</v>
      </c>
      <c r="IV9" s="155">
        <f>IF($HK$2&gt;=19,"Nível 19","Abre no 19")</f>
        <v/>
      </c>
      <c r="IW9" s="155">
        <f>ADDRESS(ROW(FICHA!G149),COLUMN(FICHA!G149),4)</f>
        <v/>
      </c>
      <c r="IX9" s="155">
        <f>ADDRESS(ROW(FICHA!D150),COLUMN(FICHA!D150),4)</f>
        <v/>
      </c>
      <c r="JF9" s="155" t="n">
        <v>8</v>
      </c>
      <c r="JG9" s="155">
        <f>IFERROR(MATCH(8,$HH$2:$HH$37,0),0)</f>
        <v/>
      </c>
      <c r="JH9" s="155">
        <f>IF($JG9=0,"",INDEX($DZ$2:$DZ$37,$JG9))</f>
        <v/>
      </c>
      <c r="JI9" s="155">
        <f>IF($JG9=0,"",INDEX($EA$2:$EA$37,$JG9))</f>
        <v/>
      </c>
      <c r="JJ9" s="155">
        <f>IF($JG9=0,"",INDEX($GP$2:$GP$37,$JG9))</f>
        <v/>
      </c>
      <c r="JK9" s="155">
        <f>IF($JG9=0,"",INDEX($EB$2:$EB$37,$JG9))</f>
        <v/>
      </c>
      <c r="JL9" s="155">
        <f>IF($JG9=0,"",INDEX($GR$2:$GR$37,$JG9))</f>
        <v/>
      </c>
      <c r="JM9" s="155">
        <f>IF($JG9=0,"",INDEX($HG$2:$HG$37,$JG9))</f>
        <v/>
      </c>
      <c r="KD9" s="153" t="inlineStr">
        <is>
          <t>Talento 6</t>
        </is>
      </c>
      <c r="KE9" s="155">
        <f>IFERROR(MATCH(6,$HU$2:$HU$13,0),0)</f>
        <v/>
      </c>
      <c r="KF9" s="155">
        <f>IF($KE9=0,"",IF(INDEX($HO$2:$HO$13,$KE9)=0,"","CE "&amp;INDEX($HO$2:$HO$13,$KE9)))</f>
        <v/>
      </c>
      <c r="KG9" s="155">
        <f>IF($KE9=0,"",INDEX($HN$2:$HN$13,$KE9))</f>
        <v/>
      </c>
      <c r="KH9" s="155">
        <f>IF($KE9=0,"",IF(INDEX($HT$2:$HT$13,$KE9)&lt;&gt;"",INDEX($HT$2:$HT$13,$KE9),IF(IFERROR(VLOOKUP(INDEX($HN$2:$HN$13,$KE9),$BS$2:$BY$24,7,FALSE),"")&lt;&gt;"","Do livro: "&amp;IFERROR(VLOOKUP(INDEX($HN$2:$HN$13,$KE9),$BS$2:$BY$24,7,FALSE),""),"")))</f>
        <v/>
      </c>
      <c r="KJ9" s="153" t="inlineStr">
        <is>
          <t>Aptidão 6</t>
        </is>
      </c>
      <c r="KK9" s="155">
        <f>IFERROR(MATCH(6,$ID$2:$ID$13,0),0)</f>
        <v/>
      </c>
      <c r="KL9" s="155">
        <f>IF($KK9=0,"",INDEX($HZ$2:$HZ$13,$KK9))</f>
        <v/>
      </c>
      <c r="KM9" s="155">
        <f>IF($KK9=0,"",INDEX($HX$2:$HX$13,$KK9))</f>
        <v/>
      </c>
      <c r="KN9" s="155">
        <f>IF($KK9=0,"",IF(INDEX($IC$2:$IC$13,$KK9)&lt;&gt;"",INDEX($IC$2:$IC$13,$KK9),IF(IFERROR(VLOOKUP(INDEX($HX$2:$HX$13,$KK9),$CD$2:$CM$33,10,FALSE),"")&lt;&gt;"","Do livro: "&amp;IFERROR(VLOOKUP(INDEX($HX$2:$HX$13,$KK9),$CD$2:$CM$33,10,FALSE),""),"")))</f>
        <v/>
      </c>
      <c r="KP9" s="153" t="inlineStr">
        <is>
          <t>tag dom</t>
        </is>
      </c>
      <c r="KQ9" s="155">
        <f>"Dom"</f>
        <v/>
      </c>
      <c r="KS9" s="153" t="inlineStr">
        <is>
          <t>P16</t>
        </is>
      </c>
      <c r="KT9" s="155">
        <f>IF(DADOS_AM!$A$2=2,IF(DADOS_AM!$HK$41="","","Aberta, sem os gates de nível e de refino · conta como uma aptidão a mais"),IF(DADOS_AM!$A$2=3,"Fere maldição: o Corpo Amaldiçoado tem Canalizar Energia",IF(DADOS_AM!$A$2=4,IF(DADOS_AM!$HK$41="","",IF(DADOS_AM!$HK$41="Ferramenta de carregar","Não fere maldição: só as Katas ferem","Fere maldição")),"—")))</f>
        <v/>
      </c>
    </row>
    <row r="10">
      <c r="C10" s="153" t="inlineStr">
        <is>
          <t>graça 2</t>
        </is>
      </c>
      <c r="D10" s="153" t="inlineStr">
        <is>
          <t>Canalizar Energia</t>
        </is>
      </c>
      <c r="E10" s="153" t="inlineStr">
        <is>
          <t>Canalizar Energia</t>
        </is>
      </c>
      <c r="F10" s="153" t="inlineStr">
        <is>
          <t>Canalizar Energia</t>
        </is>
      </c>
      <c r="G10" s="153" t="inlineStr">
        <is>
          <t>Estímulo Muscular</t>
        </is>
      </c>
      <c r="I10" s="153" t="inlineStr">
        <is>
          <t>Amparo</t>
        </is>
      </c>
      <c r="J10" s="155">
        <f>'FICHA AMALDIÇOADA'!$P$37&amp;""</f>
        <v/>
      </c>
      <c r="K10" s="155">
        <f>IF($J10="Livre",1,0)</f>
        <v/>
      </c>
      <c r="L10" s="155">
        <f>IF($J10="Fechada",1,0)</f>
        <v/>
      </c>
      <c r="Y10" s="153" t="inlineStr">
        <is>
          <t>Onda</t>
        </is>
      </c>
      <c r="Z10" s="153" t="inlineStr">
        <is>
          <t>Amparo</t>
        </is>
      </c>
      <c r="AA10" s="155" t="n">
        <v>3</v>
      </c>
      <c r="AB10" s="155">
        <f>IF($AA10=0,0,$AA10+3*IFERROR(VLOOKUP($Z10,$I$2:$L$10,3,FALSE),0))</f>
        <v/>
      </c>
      <c r="AC10" s="155">
        <f>IFERROR(VLOOKUP($Z10,$I$2:$L$10,4,FALSE),0)</f>
        <v/>
      </c>
      <c r="AD10" s="155" t="n">
        <v>0</v>
      </c>
      <c r="AE10" s="155" t="n">
        <v>1</v>
      </c>
      <c r="AF10" s="153" t="inlineStr">
        <is>
          <t>Automático</t>
        </is>
      </c>
      <c r="AG10" s="155" t="n">
        <v>0</v>
      </c>
      <c r="AH10" s="155" t="n">
        <v>2</v>
      </c>
      <c r="AI10" s="155" t="n">
        <v>0</v>
      </c>
      <c r="AJ10" s="155" t="n">
        <v>0</v>
      </c>
      <c r="AK10" s="155" t="n">
        <v>0</v>
      </c>
      <c r="AL10" s="155">
        <f>IF($AC10=1,"",$Y10)</f>
        <v/>
      </c>
      <c r="AM10" s="155">
        <f>IF(AND($AK10=1,$AC10=0),$Y10,"")</f>
        <v/>
      </c>
      <c r="AO10" s="153" t="inlineStr">
        <is>
          <t>Explosão · classes 6 e 7</t>
        </is>
      </c>
      <c r="AP10" s="153" t="inlineStr">
        <is>
          <t>Raio 4,5 m</t>
        </is>
      </c>
      <c r="AQ10" s="153" t="inlineStr">
        <is>
          <t>Raio 6 m</t>
        </is>
      </c>
      <c r="AR10" s="153" t="inlineStr">
        <is>
          <t>Raio 9 m</t>
        </is>
      </c>
      <c r="AS10" s="153" t="inlineStr">
        <is>
          <t>Raio 15 m</t>
        </is>
      </c>
      <c r="AT10" s="153" t="inlineStr">
        <is>
          <t>Raio 15 m</t>
        </is>
      </c>
      <c r="AU10" s="153" t="inlineStr">
        <is>
          <t>Raio 15 m</t>
        </is>
      </c>
      <c r="AV10" s="153" t="inlineStr">
        <is>
          <t>, a 36 m</t>
        </is>
      </c>
      <c r="AW10" s="153" t="inlineStr">
        <is>
          <t>, a 90 m</t>
        </is>
      </c>
      <c r="AX10" s="153" t="inlineStr">
        <is>
          <t>, a visão a olho nu</t>
        </is>
      </c>
      <c r="AY10" s="153" t="inlineStr">
        <is>
          <t>, a visão a olho nu</t>
        </is>
      </c>
      <c r="AZ10" s="153" t="inlineStr">
        <is>
          <t>, a visão a olho nu</t>
        </is>
      </c>
      <c r="BA10" s="153" t="inlineStr">
        <is>
          <t>, a visão a olho nu</t>
        </is>
      </c>
      <c r="BC10" s="153" t="inlineStr">
        <is>
          <t>Muito Maior</t>
        </is>
      </c>
      <c r="BD10" s="153" t="inlineStr">
        <is>
          <t>Área</t>
        </is>
      </c>
      <c r="BE10" s="155" t="n">
        <v>3</v>
      </c>
      <c r="BF10" s="155">
        <f>$BE10+3*IFERROR(VLOOKUP($BD10,$I$2:$L$10,3,FALSE),0)</f>
        <v/>
      </c>
      <c r="BG10" s="155">
        <f>IFERROR(VLOOKUP($BD10,$I$2:$L$10,4,FALSE),0)</f>
        <v/>
      </c>
      <c r="BH10" s="155" t="n">
        <v>0</v>
      </c>
      <c r="BI10" s="155">
        <f>IF($BG10=1,"",$BC10)</f>
        <v/>
      </c>
      <c r="BJ10" s="155">
        <f>IF(AND($BE10=1,$BG10=0),$BC10,"")</f>
        <v/>
      </c>
      <c r="BK10" s="155" t="n">
        <v>0</v>
      </c>
      <c r="BM10" s="153" t="inlineStr">
        <is>
          <t>Fraqueza (Leve)</t>
        </is>
      </c>
      <c r="BN10" s="153" t="inlineStr">
        <is>
          <t>Fraqueza</t>
        </is>
      </c>
      <c r="BO10" s="155" t="n">
        <v>1</v>
      </c>
      <c r="BP10" s="155" t="n">
        <v>0</v>
      </c>
      <c r="BQ10" s="153" t="inlineStr">
        <is>
          <t>Fraqueza (Leve)</t>
        </is>
      </c>
      <c r="BS10" s="153" t="inlineStr">
        <is>
          <t>Segunda Natureza</t>
        </is>
      </c>
      <c r="BT10" s="155" t="n">
        <v>2</v>
      </c>
      <c r="BU10" s="153" t="inlineStr">
        <is>
          <t>Uma vez por dia, você pode conjurar um feitiço conhecido de Classe até metade da sua maior Classe, arredondada para baixo, sem pagar seu custo normal de PE. Declare o uso antes de conjurar.</t>
        </is>
      </c>
      <c r="BV10" s="155" t="n">
        <v>1</v>
      </c>
      <c r="BW10" s="155" t="n">
        <v>0</v>
      </c>
      <c r="BX10" s="155">
        <f>IF(OR(AND($A$2&lt;=2,$BV10=1),AND($A$2&gt;=2,$BW10=1)),$BS10,"")</f>
        <v/>
      </c>
      <c r="BY10" s="153" t="inlineStr">
        <is>
          <t>Uma vez por dia, você pode conjurar um feitiço conhecido de Classe até metade da sua maior Classe, arredondada para baixo, sem pagar seu custo normal de PE. Declare o uso antes de conjurar.</t>
        </is>
      </c>
      <c r="CD10" s="153" t="inlineStr">
        <is>
          <t>Cesta Oca de Vime</t>
        </is>
      </c>
      <c r="CE10" s="153" t="inlineStr">
        <is>
          <t>Ser Encarnado ou treinado em História</t>
        </is>
      </c>
      <c r="CF10" s="155" t="n">
        <v>1</v>
      </c>
      <c r="CG10" s="153" t="inlineStr">
        <is>
          <t>—</t>
        </is>
      </c>
      <c r="CH10" s="153"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estiver solto, cada Acerto que causa dano que a Cesta impedir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55">
        <f>IF($CL10=1,"",IF($A$2=4,IF($CJ10=1,$CD10,""),IF(OR($CJ10=1,AND($A$2=3,$CK10=1)),"",$CD10)))</f>
        <v/>
      </c>
      <c r="CJ10" s="155" t="n">
        <v>0</v>
      </c>
      <c r="CK10" s="155" t="n">
        <v>0</v>
      </c>
      <c r="CL10" s="155" t="n">
        <v>0</v>
      </c>
      <c r="CM10" s="153" t="inlineStr">
        <is>
          <t>Você forma um símbolo com as duas mãos e cria uma barreira em volta de si.</t>
        </is>
      </c>
      <c r="CU10" s="153" t="inlineStr">
        <is>
          <t>Ceifa</t>
        </is>
      </c>
      <c r="CV10" s="155" t="n">
        <v>1</v>
      </c>
      <c r="CW10" s="155" t="n">
        <v>1</v>
      </c>
      <c r="CX10" s="155">
        <f>IF(AND($A$2&gt;=3,'FICHA AMALDIÇOADA'!$J$16&amp;""="Três grupos de arma"),$CU10,"")</f>
        <v/>
      </c>
      <c r="DW10" s="153" t="inlineStr">
        <is>
          <t>Feitiço 9</t>
        </is>
      </c>
      <c r="DX10" s="155" t="n">
        <v>0</v>
      </c>
      <c r="DY10" s="155" t="n">
        <v>9</v>
      </c>
      <c r="DZ10" s="155">
        <f>MAX(1,MIN(7,N('FICHA AMALDIÇOADA'!$P$93)))</f>
        <v/>
      </c>
      <c r="EA10" s="155">
        <f>'FICHA AMALDIÇOADA'!$Q$93&amp;""</f>
        <v/>
      </c>
      <c r="EB10" s="155">
        <f>'FICHA AMALDIÇOADA'!$P$100&amp;""</f>
        <v/>
      </c>
      <c r="EC10" s="155">
        <f>'FICHA AMALDIÇOADA'!$Q$102&amp;""</f>
        <v/>
      </c>
      <c r="ED10" s="155">
        <f>'FICHA AMALDIÇOADA'!$Q$103&amp;""</f>
        <v/>
      </c>
      <c r="EE10" s="155">
        <f>'FICHA AMALDIÇOADA'!$Q$104&amp;""</f>
        <v/>
      </c>
      <c r="EF10" s="155">
        <f>'FICHA AMALDIÇOADA'!$Q$105&amp;""</f>
        <v/>
      </c>
      <c r="EG10" s="155">
        <f>'FICHA AMALDIÇOADA'!$Q$106&amp;""</f>
        <v/>
      </c>
      <c r="EH10" s="155">
        <f>'FICHA AMALDIÇOADA'!$Q$107&amp;""</f>
        <v/>
      </c>
      <c r="EI10" s="155">
        <f>IF($EA10&lt;&gt;"",1,0)</f>
        <v/>
      </c>
      <c r="EJ10" s="155">
        <f>IFERROR(MATCH($EB10,$Y$2:$Y$11,0),0)</f>
        <v/>
      </c>
      <c r="EK10" s="155">
        <f>IF($EJ10=0,0,INDEX($AB$2:$AB$11,$EJ10))</f>
        <v/>
      </c>
      <c r="EL10" s="155">
        <f>IFERROR(VLOOKUP($EC10,$BC$2:$BK$84,4,FALSE),0)</f>
        <v/>
      </c>
      <c r="EM10" s="155">
        <f>IFERROR(VLOOKUP($ED10,$BC$2:$BK$84,4,FALSE),0)</f>
        <v/>
      </c>
      <c r="EN10" s="155">
        <f>IFERROR(VLOOKUP($EE10,$BC$2:$BK$84,4,FALSE),0)</f>
        <v/>
      </c>
      <c r="EO10" s="155">
        <f>IFERROR(VLOOKUP($EF10,$BC$2:$BK$84,4,FALSE),0)</f>
        <v/>
      </c>
      <c r="EP10" s="155">
        <f>IF($EJ10=0,0,INDEX($AC$2:$AC$11,$EJ10))</f>
        <v/>
      </c>
      <c r="EQ10" s="155">
        <f>IFERROR(VLOOKUP($EC10,$BC$2:$BK$84,5,FALSE),0)</f>
        <v/>
      </c>
      <c r="ER10" s="155">
        <f>IFERROR(VLOOKUP($ED10,$BC$2:$BK$84,5,FALSE),0)</f>
        <v/>
      </c>
      <c r="ES10" s="155">
        <f>IFERROR(VLOOKUP($EE10,$BC$2:$BK$84,5,FALSE),0)</f>
        <v/>
      </c>
      <c r="ET10" s="155">
        <f>IFERROR(VLOOKUP($EF10,$BC$2:$BK$84,5,FALSE),0)</f>
        <v/>
      </c>
      <c r="EU10" s="155">
        <f>IFERROR(VLOOKUP($EC10,$BC$2:$BK$84,6,FALSE),0)+IFERROR(VLOOKUP($ED10,$BC$2:$BK$84,6,FALSE),0)+IFERROR(VLOOKUP($EE10,$BC$2:$BK$84,6,FALSE),0)+IFERROR(VLOOKUP($EF10,$BC$2:$BK$84,6,FALSE),0)</f>
        <v/>
      </c>
      <c r="EV10" s="155">
        <f>IFERROR(VLOOKUP($EC10,$BC$2:$BK$84,9,FALSE),0)+IFERROR(VLOOKUP($ED10,$BC$2:$BK$84,9,FALSE),0)+IFERROR(VLOOKUP($EE10,$BC$2:$BK$84,9,FALSE),0)+IFERROR(VLOOKUP($EF10,$BC$2:$BK$84,9,FALSE),0)</f>
        <v/>
      </c>
      <c r="EW10" s="155">
        <f>IF($EJ10=0,0,INDEX($AD$2:$AD$11,$EJ10))</f>
        <v/>
      </c>
      <c r="EX10" s="155">
        <f>IF($EJ10=0,0,INDEX($AE$2:$AE$11,$EJ10))</f>
        <v/>
      </c>
      <c r="EY10" s="155">
        <f>IF($EJ10=0,0,INDEX($AG$2:$AG$11,$EJ10))</f>
        <v/>
      </c>
      <c r="EZ10" s="155">
        <f>IFERROR(VLOOKUP($EG10,$BM$2:$BQ$24,3,FALSE),0)</f>
        <v/>
      </c>
      <c r="FA10" s="155">
        <f>IFERROR(VLOOKUP($EH10,$BM$2:$BQ$24,3,FALSE),0)</f>
        <v/>
      </c>
      <c r="FB10" s="155">
        <f>IFERROR(VLOOKUP($EG10,$BM$2:$BQ$24,2,FALSE),"")</f>
        <v/>
      </c>
      <c r="FC10" s="155">
        <f>IFERROR(VLOOKUP($EH10,$BM$2:$BQ$24,2,FALSE),"")</f>
        <v/>
      </c>
      <c r="FD10" s="155">
        <f>COUNTIF($EK10:$EO10,1)</f>
        <v/>
      </c>
      <c r="FE10" s="155">
        <f>COUNTIF($EK10:$EO10,2)</f>
        <v/>
      </c>
      <c r="FF10" s="155">
        <f>COUNTIF($EK10:$EO10,3)</f>
        <v/>
      </c>
      <c r="FG10" s="155">
        <f>COUNTIF($EK10:$EO10,4)</f>
        <v/>
      </c>
      <c r="FH10" s="155">
        <f>COUNTIF($EK10:$EO10,5)</f>
        <v/>
      </c>
      <c r="FI10" s="155">
        <f>COUNTIF($EK10:$EO10,6)</f>
        <v/>
      </c>
      <c r="FJ10" s="155">
        <f>COUNTIF($EZ10:$FA10,1)</f>
        <v/>
      </c>
      <c r="FK10" s="155">
        <f>COUNTIF($EZ10:$FA10,2)+$EW10</f>
        <v/>
      </c>
      <c r="FL10" s="155">
        <f>COUNTIF($EC10:$EF10,"?*")</f>
        <v/>
      </c>
      <c r="FM10" s="155">
        <f>COUNTIF($EG10:$EH10,"?*")+$EW10</f>
        <v/>
      </c>
      <c r="FN10" s="155">
        <f>SUMPRODUCT($FD10:$FI10,INDEX($Q$2:$V$8,$DZ10,0))</f>
        <v/>
      </c>
      <c r="FO10" s="155">
        <f>$FJ10*CEILING($DZ10/2,1)+$FK10*$DZ10</f>
        <v/>
      </c>
      <c r="FP10" s="155">
        <f>MIN(2*$DZ10,$FO10)</f>
        <v/>
      </c>
      <c r="FQ10" s="155">
        <f>MIN($FP10,$FN10)</f>
        <v/>
      </c>
      <c r="FR10" s="155">
        <f>$FP10-$FQ10</f>
        <v/>
      </c>
      <c r="FS10" s="155">
        <f>3*$DZ10-$FN10+$FQ10</f>
        <v/>
      </c>
      <c r="FT10" s="155">
        <f>MAX(0,$FS10)+$DX10*$DZ10</f>
        <v/>
      </c>
      <c r="FU10" s="155">
        <f>(IF(COUNTIF($EC10:$EF10,"Salto")&gt;0,1,0)+IF(COUNTIF($EC10:$EF10,"Queima")&gt;0,1,0)+IF(COUNTIF($EC10:$EF10,"Estilhaço")&gt;0,1,0))*FLOOR($FT10/2,1)</f>
        <v/>
      </c>
      <c r="FV10" s="155">
        <f>MAX(0,3-SUMPRODUCT($FD10:$FI10,$Q$2:$V$2)+MIN(2,$FJ10*1+$FK10*1,SUMPRODUCT($FD10:$FI10,$Q$2:$V$2)))+$DX10*1</f>
        <v/>
      </c>
      <c r="FW10" s="155">
        <f>MAX(0,6-SUMPRODUCT($FD10:$FI10,$Q$3:$V$3)+MIN(4,$FJ10*1+$FK10*2,SUMPRODUCT($FD10:$FI10,$Q$3:$V$3)))+$DX10*2</f>
        <v/>
      </c>
      <c r="FX10" s="155">
        <f>MAX(0,9-SUMPRODUCT($FD10:$FI10,$Q$4:$V$4)+MIN(6,$FJ10*2+$FK10*3,SUMPRODUCT($FD10:$FI10,$Q$4:$V$4)))+$DX10*3</f>
        <v/>
      </c>
      <c r="FY10" s="155">
        <f>MAX(0,12-SUMPRODUCT($FD10:$FI10,$Q$5:$V$5)+MIN(8,$FJ10*2+$FK10*4,SUMPRODUCT($FD10:$FI10,$Q$5:$V$5)))+$DX10*4</f>
        <v/>
      </c>
      <c r="FZ10" s="155">
        <f>MAX(0,15-SUMPRODUCT($FD10:$FI10,$Q$6:$V$6)+MIN(10,$FJ10*3+$FK10*5,SUMPRODUCT($FD10:$FI10,$Q$6:$V$6)))+$DX10*5</f>
        <v/>
      </c>
      <c r="GA10" s="155">
        <f>MAX(0,18-SUMPRODUCT($FD10:$FI10,$Q$7:$V$7)+MIN(12,$FJ10*3+$FK10*6,SUMPRODUCT($FD10:$FI10,$Q$7:$V$7)))+$DX10*6</f>
        <v/>
      </c>
      <c r="GB10" s="155">
        <f>MAX(0,21-SUMPRODUCT($FD10:$FI10,$Q$8:$V$8)+MIN(14,$FJ10*4+$FK10*7,SUMPRODUCT($FD10:$FI10,$Q$8:$V$8)))+$DX10*7</f>
        <v/>
      </c>
      <c r="GC10" s="155">
        <f>IF($EX10=2,3*$FV10&amp;" de vida temp.",IF($EX10=3,"sem dano",IF($FV10=0,IF($EX10=1,"sem cura","sem dano"),IF($EX10=1,"cura ","")&amp;$FV10&amp;"d8")))</f>
        <v/>
      </c>
      <c r="GD10" s="155">
        <f>IF($EX10=2,3*$FW10&amp;" de vida temp.",IF($EX10=3,"sem dano",IF($FW10=0,IF($EX10=1,"sem cura","sem dano"),IF($EX10=1,"cura ","")&amp;$FW10&amp;"d8")))</f>
        <v/>
      </c>
      <c r="GE10" s="155">
        <f>IF($EX10=2,3*$FX10&amp;" de vida temp.",IF($EX10=3,"sem dano",IF($FX10=0,IF($EX10=1,"sem cura","sem dano"),IF($EX10=1,"cura ","")&amp;$FX10&amp;"d8")))</f>
        <v/>
      </c>
      <c r="GF10" s="155">
        <f>IF($EX10=2,3*$FY10&amp;" de vida temp.",IF($EX10=3,"sem dano",IF($FY10=0,IF($EX10=1,"sem cura","sem dano"),IF($EX10=1,"cura ","")&amp;$FY10&amp;"d8")))</f>
        <v/>
      </c>
      <c r="GG10" s="155">
        <f>IF($EX10=2,3*$FZ10&amp;" de vida temp.",IF($EX10=3,"sem dano",IF($FZ10=0,IF($EX10=1,"sem cura","sem dano"),IF($EX10=1,"cura ","")&amp;$FZ10&amp;"d8")))</f>
        <v/>
      </c>
      <c r="GH10" s="155">
        <f>IF($EX10=2,3*$GA10&amp;" de vida temp.",IF($EX10=3,"sem dano",IF($GA10=0,IF($EX10=1,"sem cura","sem dano"),IF($EX10=1,"cura ","")&amp;$GA10&amp;"d8")))</f>
        <v/>
      </c>
      <c r="GI10" s="155">
        <f>IF($EX10=2,3*$GB10&amp;" de vida temp.",IF($EX10=3,"sem dano",IF($GB10=0,IF($EX10=1,"sem cura","sem dano"),IF($EX10=1,"cura ","")&amp;$GB10&amp;"d8")))</f>
        <v/>
      </c>
      <c r="GJ10" s="155">
        <f>IF($EI10=0,"",TEXTJOIN(" · ",TRUE,IF(AND($DX10=1,$DY10&gt;$HK$9),"O nível "&amp;$HK$2&amp;" dá "&amp;$HK$9&amp;" Liberação Máxima",""),IF($DZ10&gt;$HK$4,"Classe "&amp;$DZ10&amp;": o nível "&amp;$HK$2&amp;" libera até a "&amp;$HK$4,""),IF($EP10=1,"Família Fechada: a Forma "&amp;$EB10,""),IF($EQ10=1,"Família Fechada: "&amp;$EC10,""),IF($ER10=1,"Família Fechada: "&amp;$ED10,""),IF($ES10=1,"Família Fechada: "&amp;$EE10,""),IF($ET10=1,"Família Fechada: "&amp;$EF10,""),IF($FL10&gt;INDEX($W$2:$W$8,$DZ10),$FL10&amp;" Melhorias: a Classe "&amp;$DZ10&amp;" aceita "&amp;INDEX($W$2:$W$8,$DZ10),""),IF($FM10&gt;2,$FM10&amp;" Restrições"&amp;IF($EW10=1,", contando a que a Forma "&amp;$EB10&amp;" já traz","")&amp;": o limite é 2",""),IF($FS10&lt;0,"Orçamento estourado: faltam "&amp;(-$FS10)&amp;IF($FS10&lt;-1," pontos"," ponto"),""),IF(IFERROR(VLOOKUP($EG10,$BM$2:$BQ$24,4,FALSE),0)+IFERROR(VLOOKUP($EH10,$BM$2:$BQ$24,4,FALSE),0)&gt;1,$FB10&amp;" e "&amp;$FC10&amp;" são as duas de frequência",""),IF(AND((COUNTIF($EC10:$EF10,"Rápido")+COUNTIF($FB10:$FC10,"Rápido"))&gt;0,(COUNTIF($EC10:$EF10,"Atrasar")+COUNTIF($FB10:$FC10,"Atrasar"))&gt;0),"Rápido não entra com Atrasar",""),IF(AND((COUNTIF($EC10:$EF10,"Reação")+COUNTIF($FB10:$FC10,"Reação"))&gt;0,(COUNTIF($EC10:$EF10,"Rápido")+COUNTIF($FB10:$FC10,"Rápido"))&gt;0),"Reação não entra com Rápido",""),IF(AND((COUNTIF($EC10:$EF10,"Reação")+COUNTIF($FB10:$FC10,"Reação"))&gt;0,(COUNTIF($EC10:$EF10,"Armado")+COUNTIF($FB10:$FC10,"Armado"))&gt;0),"Reação não entra com Armado",""),IF(AND((COUNTIF($EC10:$EF10,"Reação")+COUNTIF($FB10:$FC10,"Reação"))&gt;0,(COUNTIF($EC10:$EF10,"Atrasar")+COUNTIF($FB10:$FC10,"Atrasar"))&gt;0),"Reação não entra com Atrasar",""),IF(AND((COUNTIF($EC10:$EF10,"Reação")+COUNTIF($FB10:$FC10,"Reação"))&gt;0,(COUNTIF($EC10:$EF10,"Parado")+COUNTIF($FB10:$FC10,"Parado"))&gt;0),"Reação não entra com Parado",""),IF(AND((COUNTIF($EC10:$EF10,"Atrasar")+COUNTIF($FB10:$FC10,"Atrasar"))&gt;0,(COUNTIF($EC10:$EF10,"Parado")+COUNTIF($FB10:$FC10,"Parado"))&gt;0),"Atrasar não entra com Parado",""),IF(AND((COUNTIF($EC10:$EF10,"Armado")+COUNTIF($FB10:$FC10,"Armado"))&gt;0,(COUNTIF($EC10:$EF10,"Carregar")+COUNTIF($FB10:$FC10,"Carregar"))&gt;0),"Armado não entra com Carregar",""),IF(AND(COUNTIF($FB10:$FC10,"Corpo a Corpo")&gt;0,$EW10=0,OR($EB10="Cone",$EB10="Linha")),"Corpo a Corpo não entra em "&amp;$EB10,""),IF(AND(COUNTIF($FB10:$FC10,"Corpo a Corpo")&gt;0,$EW10=1),"A Forma "&amp;$EB10&amp;" já traz o Corpo a Corpo",""),IF(AND(COUNTIF($FB10:$FC10,"Tudo ou Nada")&gt;0,$EY10=0),"Tudo ou Nada só entra em feitiço de Teste de Resistência",""),IF(AND(COUNTIF($EC10:$EF10,"Inescapável")&gt;0,OR($FL10&gt;1,$FM10&gt;0)),"Inescapável não aceita outra peça",""),IF(AND($DX10=1,$DZ10&lt;3),"Liberação Máxima é de Classe 3 ou mais",""),IF(AND($DX10=1,OR($EX10=1,$EX10=2)),"Liberação Máxima não serve para cura",""),IF(AND($DX10=1,COUNTIF($EC10:$EF10,"Inescapável")+COUNTIF($EC10:$EF10,"Toca a Alma")&gt;0),"Esta peça não entra numa Liberação Máxima",""),IF($FT10*IF(COUNTIF($EC10:$EF10,"Remate")&gt;0,1.25,1)+$FU10&gt;4*$DZ10,($FT10*IF(COUNTIF($EC10:$EF10,"Remate")&gt;0,1.25,1)+$FU10)&amp;" dados somando repetições"&amp;IF(COUNTIF($EC10:$EF10,"Remate")&gt;0," e o Remate","")&amp;": o teto da Classe "&amp;$DZ10&amp;" é "&amp;4*$DZ10,"")))</f>
        <v/>
      </c>
      <c r="GK10" s="155">
        <f>IF($GJ10="",0,(LEN($GJ10)-LEN(SUBSTITUTE($GJ10," · ","")))/3+1)</f>
        <v/>
      </c>
      <c r="GL10" s="155">
        <f>IF($EI10=0,"",TEXTJOIN(" · ",TRUE,IF($FO10&gt;2*$DZ10,"A devolução parou no teto de "&amp;2*$DZ10,""),IF($FR10&gt;0,"Devolução perdida: "&amp;$FR10&amp;IF($FR10&gt;1," pontos"," ponto")&amp;" sem peça para pagar",""),IF(AND($EU10&gt;0,$FT10=0),"Controle sem dano: uma rodada a mais e CD +2",""),IF(AND($EU10&gt;0,$FT10&gt;0,$FT10&lt;=$DZ10),"Controle com saldo até a Classe: uma rodada a mais","")))</f>
        <v/>
      </c>
      <c r="GM10" s="155">
        <f>IF($GL10="",0,(LEN($GL10)-LEN(SUBSTITUTE($GL10," · ","")))/3+1)</f>
        <v/>
      </c>
      <c r="GN10" s="155">
        <f>IF($EI10=0,IF($FL10+$FM10-$EW10&gt;0,"Dê um nome",""),IF($GK10&gt;0,"⚠ "&amp;$GK10&amp;IF($GK10&gt;1," erros"," erro"),IF($GM10&gt;0,"! "&amp;$GM10&amp;IF($GM10&gt;1," avisos"," aviso"),"Na regra")))</f>
        <v/>
      </c>
      <c r="GO10" s="155">
        <f>IF($EI10=0,"",IF($GK10+$GM10=0,"Dentro das regras que a ficha confere",$GJ10&amp;IF(AND($GK10&gt;0,$GM10&gt;0)," · ","")&amp;$GL10))</f>
        <v/>
      </c>
      <c r="GP10" s="155">
        <f>IF($EI10=0,"",IF($DX10=1,CEILING(4.5*$DZ10,1),3*$DZ10)&amp;" PE")</f>
        <v/>
      </c>
      <c r="GQ10" s="155">
        <f>IF($EI10=0,"",IF($DX10=1,"Rodada inteira",IF(COUNTIF($FB10:$FC10,"Atrasar")&gt;0,IF(COUNTIF($FB10:$FC10,"Carregar")&gt;0,"Rodada +1 turno","Rodada inteira"),IF(COUNTIF($EC10:$EF10,"Rápido")&gt;0,"Bônus",IF(COUNTIF($EC10:$EF10,"Reação")&gt;0,"Reação","Padrão"))&amp;IF(COUNTIF($FB10:$FC10,"Carregar")&gt;0," +1 turno",""))))</f>
        <v/>
      </c>
      <c r="GR10" s="155">
        <f>IF(OR($EI10=0,$EJ10=0),"",IF(COUNTIF($EC10:$EF10,"Inescapável")&gt;0,"Automático",IF(COUNTIF($EC10:$EF10,"Certeiro")&gt;0,"TR para metade",IF(AND($EV10&gt;0,$EY10=0,INDEX($AF$2:$AF$11,$EJ10)="Acerto"),"Acerto + TR",INDEX($AF$2:$AF$11,$EJ10)))))</f>
        <v/>
      </c>
      <c r="GS10" s="155">
        <f>IF(OR($EI10=0,$EJ10=0),"",IF(OR($EX10&gt;=2,$FT10=0),UPPER(LEFT(INDEX($GC10:$GI10,1,$DZ10),1))&amp;MID(INDEX($GC10:$GI10,1,$DZ10),2,99),UPPER(LEFT(INDEX($GC10:$GI10,1,$DZ10),1))&amp;MID(INDEX($GC10:$GI10,1,$DZ10),2,99)&amp;" = "&amp;FLOOR($FT10*4.5,1)&amp;IF($FU10&gt;0," · +"&amp;$FU10&amp;"d8","")))</f>
        <v/>
      </c>
      <c r="GT10" s="155">
        <f>COUNTIF($EC10:$EF10,"Longe")+3*COUNTIF($EC10:$EF10,"Muito Longe")</f>
        <v/>
      </c>
      <c r="GU10" s="155">
        <f>COUNTIF($EC10:$EF10,"Maior")+3*COUNTIF($EC10:$EF10,"Muito Maior")</f>
        <v/>
      </c>
      <c r="GV10" s="155">
        <f>IF($EJ10=0,0,CHOOSE(1+INDEX($AH$2:$AH$11,$EJ10),0,$GT10,$GU10,$GT10+$GU10))</f>
        <v/>
      </c>
      <c r="GW10" s="155">
        <f>IF($EJ10=0,0,CHOOSE(1+INDEX($AI$2:$AI$11,$EJ10),0,$GT10,$GU10,$GT10+$GU10))</f>
        <v/>
      </c>
      <c r="GX10" s="155">
        <f>IF(OR($EI10=0,$EJ10=0),"",INDEX($AP$2:$AU$31,($EJ10-1)*3+IF($DZ10&gt;=6,3,2),1+MIN(5,$GV10))&amp;INDEX($AV$2:$BA$31,($EJ10-1)*3+IF($DZ10&gt;=6,3,2),1+MIN(5,$GW10))&amp;IF(INDEX($AJ$2:$AJ$11,$EJ10)=1,IF(COUNTIF($EC10:$EF10,"Mais Um")&gt;0," · +"&amp;COUNTIF($EC10:$EF10,"Mais Um")&amp;IF(COUNTIF($EC10:$EF10,"Mais Um")&gt;1," alvos"," alvo"),"")&amp;IF(COUNTIF($EC10:$EF10,"Rajada")&gt;0," · "&amp;($DZ10+1)&amp;" tiros",""),""))</f>
        <v/>
      </c>
      <c r="GY10" s="155">
        <f>IF($EI10=0,"",3*$DZ10&amp;" − "&amp;$FN10&amp;" + "&amp;$FQ10&amp;IF($DX10=1," + "&amp;$DZ10,"")&amp;" = "&amp;$FT10&amp;"d8 · teto "&amp;4*$DZ10&amp;IF($EW10=1," · a Forma devolve "&amp;$DZ10,"")&amp;IF($FR10&gt;0," · perde "&amp;$FR10,""))</f>
        <v/>
      </c>
      <c r="GZ10" s="155">
        <f>IF($EI10=0,"",IF($DZ10&gt;=$HK$4,"Já está na maior Classe que o nível liberou",TEXTJOIN(" · ",TRUE,IF(AND(2&gt;$DZ10,2&lt;=$HK$4),"2 → "&amp;$GD10&amp;", "&amp;IF($DX10=1,9,6)&amp;" PE",""),IF(AND(3&gt;$DZ10,3&lt;=$HK$4),"3 → "&amp;$GE10&amp;", "&amp;IF($DX10=1,14,9)&amp;" PE",""),IF(AND(4&gt;$DZ10,4&lt;=$HK$4),"4 → "&amp;$GF10&amp;", "&amp;IF($DX10=1,18,12)&amp;" PE",""),IF(AND(5&gt;$DZ10,5&lt;=$HK$4),"5 → "&amp;$GG10&amp;", "&amp;IF($DX10=1,23,15)&amp;" PE",""),IF(AND(6&gt;$DZ10,6&lt;=$HK$4),"6 → "&amp;$GH10&amp;", "&amp;IF($DX10=1,27,18)&amp;" PE",""),IF(AND(7&gt;$DZ10,7&lt;=$HK$4),"7 → "&amp;$GI10&amp;", "&amp;IF($DX10=1,32,21)&amp;" PE",""))))</f>
        <v/>
      </c>
      <c r="HA10" s="155">
        <f>IF(OR($EI10=0,$EL10=0),"","−"&amp;INDEX($Q$2:$V$8,$DZ10,$EL10)&amp;" · "&amp;CHOOSE($EL10,"Leve","Média","Pesada","Leve · Livre","Média · Livre","Pesada · Livre"))</f>
        <v/>
      </c>
      <c r="HB10" s="155">
        <f>IF(OR($EI10=0,$EM10=0),"","−"&amp;INDEX($Q$2:$V$8,$DZ10,$EM10)&amp;" · "&amp;CHOOSE($EM10,"Leve","Média","Pesada","Leve · Livre","Média · Livre","Pesada · Livre"))</f>
        <v/>
      </c>
      <c r="HC10" s="155">
        <f>IF(OR($EI10=0,$EN10=0),"","−"&amp;INDEX($Q$2:$V$8,$DZ10,$EN10)&amp;" · "&amp;CHOOSE($EN10,"Leve","Média","Pesada","Leve · Livre","Média · Livre","Pesada · Livre"))</f>
        <v/>
      </c>
      <c r="HD10" s="155">
        <f>IF(OR($EI10=0,$EO10=0),"","−"&amp;INDEX($Q$2:$V$8,$DZ10,$EO10)&amp;" · "&amp;CHOOSE($EO10,"Leve","Média","Pesada","Leve · Livre","Média · Livre","Pesada · Livre"))</f>
        <v/>
      </c>
      <c r="HE10" s="155">
        <f>IF(OR($EI10=0,$EG10=""),"","+"&amp;IF($EZ10=1,CEILING($DZ10/2,1),$DZ10))</f>
        <v/>
      </c>
      <c r="HF10" s="155">
        <f>IF(OR($EI10=0,$EH10=""),"","+"&amp;IF($FA10=1,CEILING($DZ10/2,1),$DZ10))</f>
        <v/>
      </c>
      <c r="HG10" s="155">
        <f>'FICHA AMALDIÇOADA'!$P$95&amp;""</f>
        <v/>
      </c>
      <c r="HH10" s="155">
        <f>IF(AND($EI10=1,$DX10=0),COUNTIFS($EI$2:$EI10,1,$DX$2:$DX10,0),"")</f>
        <v/>
      </c>
      <c r="HJ10" s="153" t="inlineStr">
        <is>
          <t>classe 0 quantos</t>
        </is>
      </c>
      <c r="HK10" s="155">
        <f>IFERROR(INDEX($DA$2:$DA$6,MATCH($HK$2,$CZ$2:$CZ$6,1)),0)</f>
        <v/>
      </c>
      <c r="HM10" s="153" t="inlineStr">
        <is>
          <t>Talento 9 · Leque</t>
        </is>
      </c>
      <c r="HN10" s="155">
        <f>'FICHA AMALDIÇOADA'!$D$405&amp;""</f>
        <v/>
      </c>
      <c r="HO10" s="155">
        <f>IFERROR(VLOOKUP($HN10,$BS$2:$BY$24,2,FALSE),0)</f>
        <v/>
      </c>
      <c r="HP10" s="155">
        <f>IFERROR(VLOOKUP($HO10,$CA$2:$CB$4,2,FALSE),0)</f>
        <v/>
      </c>
      <c r="HQ10" s="155">
        <f>IFERROR(VLOOKUP($HN10,$BS$2:$BY$24,3,FALSE),"")</f>
        <v/>
      </c>
      <c r="HR10" s="155">
        <f>IF($HO10=0,"",IF($HP10&gt;$HK$2,"⚠ Nível "&amp;$HP10,"CE "&amp;$HO10))</f>
        <v/>
      </c>
      <c r="HS10" s="155">
        <f>IF($HO10=0,"",IF(4&gt;$HK$8,"⚠ Vaga","Grátis"))</f>
        <v/>
      </c>
      <c r="HT10" s="155">
        <f>'FICHA AMALDIÇOADA'!$E$410&amp;""</f>
        <v/>
      </c>
      <c r="HU10" s="155">
        <f>IF($HN10="","",COUNTIF($HN$2:$HN10,"?*"))</f>
        <v/>
      </c>
      <c r="HW10" s="153" t="inlineStr">
        <is>
          <t>Aptidão 9</t>
        </is>
      </c>
      <c r="HX10" s="155">
        <f>'FICHA AMALDIÇOADA'!$P$472&amp;""</f>
        <v/>
      </c>
      <c r="HY10" s="155">
        <f>IF($HX10="","","Requisito: "&amp;IFERROR(VLOOKUP($HX10,$CD$2:$CM$33,2,FALSE),""))</f>
        <v/>
      </c>
      <c r="HZ10" s="155">
        <f>IF($HX10="","",IFERROR(IF(ISNUMBER(VLOOKUP($HX10,$CD$2:$CM$33,3,FALSE)),"CE "&amp;VLOOKUP($HX10,$CD$2:$CM$33,3,FALSE),VLOOKUP($HX10,$CD$2:$CM$33,3,FALSE)),""))</f>
        <v/>
      </c>
      <c r="IA10" s="155">
        <f>IF($HX10="","",IFERROR(VLOOKUP($HX10,$CD$2:$CM$33,4,FALSE),""))</f>
        <v/>
      </c>
      <c r="IB10" s="155">
        <f>IF($HX10="","",IFERROR(VLOOKUP($HX10,$CD$2:$CM$33,5,FALSE),""))</f>
        <v/>
      </c>
      <c r="IC10" s="155">
        <f>'FICHA AMALDIÇOADA'!$Q$489&amp;""</f>
        <v/>
      </c>
      <c r="ID10" s="155">
        <f>IF($HX10="","",COUNTIF($HX$2:$HX10,"?*"))</f>
        <v/>
      </c>
      <c r="IO10" s="155">
        <f>INDEX($D$6:$G$6,1,$A$2)</f>
        <v/>
      </c>
      <c r="IP10" s="155">
        <f>ADDRESS(ROW('FICHA AMALDIÇOADA'!P7),COLUMN('FICHA AMALDIÇOADA'!P7),4)</f>
        <v/>
      </c>
      <c r="IQ10" s="155">
        <f>ADDRESS(ROW('FICHA AMALDIÇOADA'!D421),COLUMN('FICHA AMALDIÇOADA'!D421),4)</f>
        <v/>
      </c>
      <c r="IR10" s="153" t="inlineStr">
        <is>
          <t>DADOS_AM!$IO$10</t>
        </is>
      </c>
      <c r="IT10" s="153" t="inlineStr">
        <is>
          <t>Trilha 27</t>
        </is>
      </c>
      <c r="IU10" s="155" t="n">
        <v>27</v>
      </c>
      <c r="IV10" s="155">
        <f>IF($HK$2&gt;=27,"Nível 27","Abre no 27")</f>
        <v/>
      </c>
      <c r="IW10" s="155">
        <f>ADDRESS(ROW(FICHA!G155),COLUMN(FICHA!G155),4)</f>
        <v/>
      </c>
      <c r="IX10" s="155">
        <f>ADDRESS(ROW(FICHA!D156),COLUMN(FICHA!D156),4)</f>
        <v/>
      </c>
      <c r="JF10" s="155" t="n">
        <v>9</v>
      </c>
      <c r="JG10" s="155">
        <f>IFERROR(MATCH(9,$HH$2:$HH$37,0),0)</f>
        <v/>
      </c>
      <c r="JH10" s="155">
        <f>IF($JG10=0,"",INDEX($DZ$2:$DZ$37,$JG10))</f>
        <v/>
      </c>
      <c r="JI10" s="155">
        <f>IF($JG10=0,"",INDEX($EA$2:$EA$37,$JG10))</f>
        <v/>
      </c>
      <c r="JJ10" s="155">
        <f>IF($JG10=0,"",INDEX($GP$2:$GP$37,$JG10))</f>
        <v/>
      </c>
      <c r="JK10" s="155">
        <f>IF($JG10=0,"",INDEX($EB$2:$EB$37,$JG10))</f>
        <v/>
      </c>
      <c r="JL10" s="155">
        <f>IF($JG10=0,"",INDEX($GR$2:$GR$37,$JG10))</f>
        <v/>
      </c>
      <c r="JM10" s="155">
        <f>IF($JG10=0,"",INDEX($HG$2:$HG$37,$JG10))</f>
        <v/>
      </c>
      <c r="KD10" s="153" t="inlineStr">
        <is>
          <t>Talento 7</t>
        </is>
      </c>
      <c r="KE10" s="155">
        <f>IFERROR(MATCH(7,$HU$2:$HU$13,0),0)</f>
        <v/>
      </c>
      <c r="KF10" s="155">
        <f>IF($KE10=0,"",IF(INDEX($HO$2:$HO$13,$KE10)=0,"","CE "&amp;INDEX($HO$2:$HO$13,$KE10)))</f>
        <v/>
      </c>
      <c r="KG10" s="155">
        <f>IF($KE10=0,"",INDEX($HN$2:$HN$13,$KE10))</f>
        <v/>
      </c>
      <c r="KH10" s="155">
        <f>IF($KE10=0,"",IF(INDEX($HT$2:$HT$13,$KE10)&lt;&gt;"",INDEX($HT$2:$HT$13,$KE10),IF(IFERROR(VLOOKUP(INDEX($HN$2:$HN$13,$KE10),$BS$2:$BY$24,7,FALSE),"")&lt;&gt;"","Do livro: "&amp;IFERROR(VLOOKUP(INDEX($HN$2:$HN$13,$KE10),$BS$2:$BY$24,7,FALSE),""),"")))</f>
        <v/>
      </c>
      <c r="KJ10" s="153" t="inlineStr">
        <is>
          <t>Aptidão 7</t>
        </is>
      </c>
      <c r="KK10" s="155">
        <f>IFERROR(MATCH(7,$ID$2:$ID$13,0),0)</f>
        <v/>
      </c>
      <c r="KL10" s="155">
        <f>IF($KK10=0,"",INDEX($HZ$2:$HZ$13,$KK10))</f>
        <v/>
      </c>
      <c r="KM10" s="155">
        <f>IF($KK10=0,"",INDEX($HX$2:$HX$13,$KK10))</f>
        <v/>
      </c>
      <c r="KN10" s="155">
        <f>IF($KK10=0,"",IF(INDEX($IC$2:$IC$13,$KK10)&lt;&gt;"",INDEX($IC$2:$IC$13,$KK10),IF(IFERROR(VLOOKUP(INDEX($HX$2:$HX$13,$KK10),$CD$2:$CM$33,10,FALSE),"")&lt;&gt;"","Do livro: "&amp;IFERROR(VLOOKUP(INDEX($HX$2:$HX$13,$KK10),$CD$2:$CM$33,10,FALSE),""),"")))</f>
        <v/>
      </c>
      <c r="KP10" s="153" t="inlineStr">
        <is>
          <t>par 2</t>
        </is>
      </c>
      <c r="KQ10" s="155">
        <f>UPPER(INDEX($D$3:$G$3,1,$A$2))&amp;" 7 A 12"</f>
        <v/>
      </c>
      <c r="KS10" s="153" t="inlineStr">
        <is>
          <t>D17</t>
        </is>
      </c>
      <c r="KT10" s="155">
        <f>IF(DADOS_AM!$HK$42=1,"GRUPO 1","—")</f>
        <v/>
      </c>
    </row>
    <row r="11">
      <c r="C11" s="153" t="inlineStr">
        <is>
          <t>reação</t>
        </is>
      </c>
      <c r="D11" s="153" t="inlineStr">
        <is>
          <t>Reação de Cobrir-se</t>
        </is>
      </c>
      <c r="E11" s="153" t="inlineStr">
        <is>
          <t>Reação de Cobrir-se</t>
        </is>
      </c>
      <c r="F11" s="153" t="inlineStr">
        <is>
          <t>Reação de Cobrir-se</t>
        </is>
      </c>
      <c r="G11" s="153" t="inlineStr">
        <is>
          <t>Reação da Defesa</t>
        </is>
      </c>
      <c r="Y11" s="153" t="inlineStr">
        <is>
          <t>Efeito</t>
        </is>
      </c>
      <c r="Z11" s="153" t="inlineStr"/>
      <c r="AA11" s="155" t="n">
        <v>0</v>
      </c>
      <c r="AB11" s="155">
        <f>IF($AA11=0,0,$AA11+3*IFERROR(VLOOKUP($Z11,$I$2:$L$10,3,FALSE),0))</f>
        <v/>
      </c>
      <c r="AC11" s="155">
        <f>IFERROR(VLOOKUP($Z11,$I$2:$L$10,4,FALSE),0)</f>
        <v/>
      </c>
      <c r="AD11" s="155" t="n">
        <v>0</v>
      </c>
      <c r="AE11" s="155" t="n">
        <v>3</v>
      </c>
      <c r="AF11" s="153" t="inlineStr">
        <is>
          <t>Automático</t>
        </is>
      </c>
      <c r="AG11" s="155" t="n">
        <v>0</v>
      </c>
      <c r="AH11" s="155" t="n">
        <v>0</v>
      </c>
      <c r="AI11" s="155" t="n">
        <v>0</v>
      </c>
      <c r="AJ11" s="155" t="n">
        <v>0</v>
      </c>
      <c r="AK11" s="155" t="n">
        <v>1</v>
      </c>
      <c r="AL11" s="155">
        <f>IF($AC11=1,"",$Y11)</f>
        <v/>
      </c>
      <c r="AM11" s="155">
        <f>IF(AND($AK11=1,$AC11=0),$Y11,"")</f>
        <v/>
      </c>
      <c r="AO11" s="153" t="inlineStr">
        <is>
          <t>Aura · classe 0</t>
        </is>
      </c>
      <c r="AP11" s="153" t="inlineStr">
        <is>
          <t>Raio 3 m, em você</t>
        </is>
      </c>
      <c r="AQ11" s="153" t="inlineStr">
        <is>
          <t>Raio 4,5 m, em você</t>
        </is>
      </c>
      <c r="AR11" s="153" t="inlineStr">
        <is>
          <t>Raio 6 m, em você</t>
        </is>
      </c>
      <c r="AS11" s="153" t="inlineStr">
        <is>
          <t>Raio 9 m, em você</t>
        </is>
      </c>
      <c r="AT11" s="153" t="inlineStr">
        <is>
          <t>Raio 15 m, em você</t>
        </is>
      </c>
      <c r="AU11" s="153" t="inlineStr">
        <is>
          <t>Raio 15 m, em você</t>
        </is>
      </c>
      <c r="AV11" s="153" t="inlineStr"/>
      <c r="AW11" s="153" t="inlineStr"/>
      <c r="AX11" s="153" t="inlineStr"/>
      <c r="AY11" s="153" t="inlineStr"/>
      <c r="AZ11" s="153" t="inlineStr"/>
      <c r="BA11" s="153" t="inlineStr"/>
      <c r="BC11" s="153" t="inlineStr">
        <is>
          <t>Escolher</t>
        </is>
      </c>
      <c r="BD11" s="153" t="inlineStr">
        <is>
          <t>Área</t>
        </is>
      </c>
      <c r="BE11" s="155" t="n">
        <v>2</v>
      </c>
      <c r="BF11" s="155">
        <f>$BE11+3*IFERROR(VLOOKUP($BD11,$I$2:$L$10,3,FALSE),0)</f>
        <v/>
      </c>
      <c r="BG11" s="155">
        <f>IFERROR(VLOOKUP($BD11,$I$2:$L$10,4,FALSE),0)</f>
        <v/>
      </c>
      <c r="BH11" s="155" t="n">
        <v>0</v>
      </c>
      <c r="BI11" s="155">
        <f>IF($BG11=1,"",$BC11)</f>
        <v/>
      </c>
      <c r="BJ11" s="155">
        <f>IF(AND($BE11=1,$BG11=0),$BC11,"")</f>
        <v/>
      </c>
      <c r="BK11" s="155" t="n">
        <v>0</v>
      </c>
      <c r="BM11" s="153" t="inlineStr">
        <is>
          <t>Fraqueza (Média)</t>
        </is>
      </c>
      <c r="BN11" s="153" t="inlineStr">
        <is>
          <t>Fraqueza</t>
        </is>
      </c>
      <c r="BO11" s="155" t="n">
        <v>2</v>
      </c>
      <c r="BP11" s="155" t="n">
        <v>0</v>
      </c>
      <c r="BQ11" s="153" t="inlineStr"/>
      <c r="BS11" s="153" t="inlineStr">
        <is>
          <t>Eco</t>
        </is>
      </c>
      <c r="BT11" s="155" t="n">
        <v>2</v>
      </c>
      <c r="BU11" s="153" t="inlineStr">
        <is>
          <t>Quando um feitiço seu reduzir um inimigo a 0 pontos de vida, o próximo feitiço que você conjurar nesta cena custa metade do seu PE normal, arredondada para cima. Derrubado, a condição, não ativa Eco.</t>
        </is>
      </c>
      <c r="BV11" s="155" t="n">
        <v>1</v>
      </c>
      <c r="BW11" s="155" t="n">
        <v>0</v>
      </c>
      <c r="BX11" s="155">
        <f>IF(OR(AND($A$2&lt;=2,$BV11=1),AND($A$2&gt;=2,$BW11=1)),$BS11,"")</f>
        <v/>
      </c>
      <c r="BY11" s="153" t="inlineStr">
        <is>
          <t>Quando um feitiço seu reduzir um inimigo a 0 pontos de vida, o próximo feitiço que você conjurar nesta cena custa metade do seu PE normal, arredondada para cima. Derrubado, a condição, não ativa Eco.</t>
        </is>
      </c>
      <c r="CD11" s="153" t="inlineStr">
        <is>
          <t>Domínio Simples</t>
        </is>
      </c>
      <c r="CE11" s="153" t="inlineStr">
        <is>
          <t>Refino 5, ou 4 com o voto do iniciante; aprendizado registrado</t>
        </is>
      </c>
      <c r="CF11" s="155" t="n">
        <v>2</v>
      </c>
      <c r="CG11" s="153" t="inlineStr">
        <is>
          <t>Raio</t>
        </is>
      </c>
      <c r="CH11" s="153"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55">
        <f>IF($CL11=1,"",IF($A$2=4,IF($CJ11=1,$CD11,""),IF(OR($CJ11=1,AND($A$2=3,$CK11=1)),"",$CD11)))</f>
        <v/>
      </c>
      <c r="CJ11" s="155" t="n">
        <v>0</v>
      </c>
      <c r="CK11" s="155" t="n">
        <v>0</v>
      </c>
      <c r="CL11" s="155" t="n">
        <v>0</v>
      </c>
      <c r="CM11" s="153" t="inlineStr">
        <is>
          <t>Você precisa ter visto um Domínio Simples sendo usado ou ter aprendido com alguém.</t>
        </is>
      </c>
      <c r="CU11" s="153" t="inlineStr">
        <is>
          <t>Massa</t>
        </is>
      </c>
      <c r="CV11" s="155" t="n">
        <v>1</v>
      </c>
      <c r="CW11" s="155" t="n">
        <v>0</v>
      </c>
      <c r="CX11" s="155">
        <f>IF(AND($A$2&gt;=3,'FICHA AMALDIÇOADA'!$J$16&amp;""="Três grupos de arma"),$CU11,"")</f>
        <v/>
      </c>
      <c r="DW11" s="153" t="inlineStr">
        <is>
          <t>Feitiço 10</t>
        </is>
      </c>
      <c r="DX11" s="155" t="n">
        <v>0</v>
      </c>
      <c r="DY11" s="155" t="n">
        <v>10</v>
      </c>
      <c r="DZ11" s="155">
        <f>MAX(1,MIN(7,N('FICHA AMALDIÇOADA'!$D$114)))</f>
        <v/>
      </c>
      <c r="EA11" s="155">
        <f>'FICHA AMALDIÇOADA'!$E$114&amp;""</f>
        <v/>
      </c>
      <c r="EB11" s="155">
        <f>'FICHA AMALDIÇOADA'!$D$121&amp;""</f>
        <v/>
      </c>
      <c r="EC11" s="155">
        <f>'FICHA AMALDIÇOADA'!$E$123&amp;""</f>
        <v/>
      </c>
      <c r="ED11" s="155">
        <f>'FICHA AMALDIÇOADA'!$E$124&amp;""</f>
        <v/>
      </c>
      <c r="EE11" s="155">
        <f>'FICHA AMALDIÇOADA'!$E$125&amp;""</f>
        <v/>
      </c>
      <c r="EF11" s="155">
        <f>'FICHA AMALDIÇOADA'!$E$126&amp;""</f>
        <v/>
      </c>
      <c r="EG11" s="155">
        <f>'FICHA AMALDIÇOADA'!$E$127&amp;""</f>
        <v/>
      </c>
      <c r="EH11" s="155">
        <f>'FICHA AMALDIÇOADA'!$E$128&amp;""</f>
        <v/>
      </c>
      <c r="EI11" s="155">
        <f>IF($EA11&lt;&gt;"",1,0)</f>
        <v/>
      </c>
      <c r="EJ11" s="155">
        <f>IFERROR(MATCH($EB11,$Y$2:$Y$11,0),0)</f>
        <v/>
      </c>
      <c r="EK11" s="155">
        <f>IF($EJ11=0,0,INDEX($AB$2:$AB$11,$EJ11))</f>
        <v/>
      </c>
      <c r="EL11" s="155">
        <f>IFERROR(VLOOKUP($EC11,$BC$2:$BK$84,4,FALSE),0)</f>
        <v/>
      </c>
      <c r="EM11" s="155">
        <f>IFERROR(VLOOKUP($ED11,$BC$2:$BK$84,4,FALSE),0)</f>
        <v/>
      </c>
      <c r="EN11" s="155">
        <f>IFERROR(VLOOKUP($EE11,$BC$2:$BK$84,4,FALSE),0)</f>
        <v/>
      </c>
      <c r="EO11" s="155">
        <f>IFERROR(VLOOKUP($EF11,$BC$2:$BK$84,4,FALSE),0)</f>
        <v/>
      </c>
      <c r="EP11" s="155">
        <f>IF($EJ11=0,0,INDEX($AC$2:$AC$11,$EJ11))</f>
        <v/>
      </c>
      <c r="EQ11" s="155">
        <f>IFERROR(VLOOKUP($EC11,$BC$2:$BK$84,5,FALSE),0)</f>
        <v/>
      </c>
      <c r="ER11" s="155">
        <f>IFERROR(VLOOKUP($ED11,$BC$2:$BK$84,5,FALSE),0)</f>
        <v/>
      </c>
      <c r="ES11" s="155">
        <f>IFERROR(VLOOKUP($EE11,$BC$2:$BK$84,5,FALSE),0)</f>
        <v/>
      </c>
      <c r="ET11" s="155">
        <f>IFERROR(VLOOKUP($EF11,$BC$2:$BK$84,5,FALSE),0)</f>
        <v/>
      </c>
      <c r="EU11" s="155">
        <f>IFERROR(VLOOKUP($EC11,$BC$2:$BK$84,6,FALSE),0)+IFERROR(VLOOKUP($ED11,$BC$2:$BK$84,6,FALSE),0)+IFERROR(VLOOKUP($EE11,$BC$2:$BK$84,6,FALSE),0)+IFERROR(VLOOKUP($EF11,$BC$2:$BK$84,6,FALSE),0)</f>
        <v/>
      </c>
      <c r="EV11" s="155">
        <f>IFERROR(VLOOKUP($EC11,$BC$2:$BK$84,9,FALSE),0)+IFERROR(VLOOKUP($ED11,$BC$2:$BK$84,9,FALSE),0)+IFERROR(VLOOKUP($EE11,$BC$2:$BK$84,9,FALSE),0)+IFERROR(VLOOKUP($EF11,$BC$2:$BK$84,9,FALSE),0)</f>
        <v/>
      </c>
      <c r="EW11" s="155">
        <f>IF($EJ11=0,0,INDEX($AD$2:$AD$11,$EJ11))</f>
        <v/>
      </c>
      <c r="EX11" s="155">
        <f>IF($EJ11=0,0,INDEX($AE$2:$AE$11,$EJ11))</f>
        <v/>
      </c>
      <c r="EY11" s="155">
        <f>IF($EJ11=0,0,INDEX($AG$2:$AG$11,$EJ11))</f>
        <v/>
      </c>
      <c r="EZ11" s="155">
        <f>IFERROR(VLOOKUP($EG11,$BM$2:$BQ$24,3,FALSE),0)</f>
        <v/>
      </c>
      <c r="FA11" s="155">
        <f>IFERROR(VLOOKUP($EH11,$BM$2:$BQ$24,3,FALSE),0)</f>
        <v/>
      </c>
      <c r="FB11" s="155">
        <f>IFERROR(VLOOKUP($EG11,$BM$2:$BQ$24,2,FALSE),"")</f>
        <v/>
      </c>
      <c r="FC11" s="155">
        <f>IFERROR(VLOOKUP($EH11,$BM$2:$BQ$24,2,FALSE),"")</f>
        <v/>
      </c>
      <c r="FD11" s="155">
        <f>COUNTIF($EK11:$EO11,1)</f>
        <v/>
      </c>
      <c r="FE11" s="155">
        <f>COUNTIF($EK11:$EO11,2)</f>
        <v/>
      </c>
      <c r="FF11" s="155">
        <f>COUNTIF($EK11:$EO11,3)</f>
        <v/>
      </c>
      <c r="FG11" s="155">
        <f>COUNTIF($EK11:$EO11,4)</f>
        <v/>
      </c>
      <c r="FH11" s="155">
        <f>COUNTIF($EK11:$EO11,5)</f>
        <v/>
      </c>
      <c r="FI11" s="155">
        <f>COUNTIF($EK11:$EO11,6)</f>
        <v/>
      </c>
      <c r="FJ11" s="155">
        <f>COUNTIF($EZ11:$FA11,1)</f>
        <v/>
      </c>
      <c r="FK11" s="155">
        <f>COUNTIF($EZ11:$FA11,2)+$EW11</f>
        <v/>
      </c>
      <c r="FL11" s="155">
        <f>COUNTIF($EC11:$EF11,"?*")</f>
        <v/>
      </c>
      <c r="FM11" s="155">
        <f>COUNTIF($EG11:$EH11,"?*")+$EW11</f>
        <v/>
      </c>
      <c r="FN11" s="155">
        <f>SUMPRODUCT($FD11:$FI11,INDEX($Q$2:$V$8,$DZ11,0))</f>
        <v/>
      </c>
      <c r="FO11" s="155">
        <f>$FJ11*CEILING($DZ11/2,1)+$FK11*$DZ11</f>
        <v/>
      </c>
      <c r="FP11" s="155">
        <f>MIN(2*$DZ11,$FO11)</f>
        <v/>
      </c>
      <c r="FQ11" s="155">
        <f>MIN($FP11,$FN11)</f>
        <v/>
      </c>
      <c r="FR11" s="155">
        <f>$FP11-$FQ11</f>
        <v/>
      </c>
      <c r="FS11" s="155">
        <f>3*$DZ11-$FN11+$FQ11</f>
        <v/>
      </c>
      <c r="FT11" s="155">
        <f>MAX(0,$FS11)+$DX11*$DZ11</f>
        <v/>
      </c>
      <c r="FU11" s="155">
        <f>(IF(COUNTIF($EC11:$EF11,"Salto")&gt;0,1,0)+IF(COUNTIF($EC11:$EF11,"Queima")&gt;0,1,0)+IF(COUNTIF($EC11:$EF11,"Estilhaço")&gt;0,1,0))*FLOOR($FT11/2,1)</f>
        <v/>
      </c>
      <c r="FV11" s="155">
        <f>MAX(0,3-SUMPRODUCT($FD11:$FI11,$Q$2:$V$2)+MIN(2,$FJ11*1+$FK11*1,SUMPRODUCT($FD11:$FI11,$Q$2:$V$2)))+$DX11*1</f>
        <v/>
      </c>
      <c r="FW11" s="155">
        <f>MAX(0,6-SUMPRODUCT($FD11:$FI11,$Q$3:$V$3)+MIN(4,$FJ11*1+$FK11*2,SUMPRODUCT($FD11:$FI11,$Q$3:$V$3)))+$DX11*2</f>
        <v/>
      </c>
      <c r="FX11" s="155">
        <f>MAX(0,9-SUMPRODUCT($FD11:$FI11,$Q$4:$V$4)+MIN(6,$FJ11*2+$FK11*3,SUMPRODUCT($FD11:$FI11,$Q$4:$V$4)))+$DX11*3</f>
        <v/>
      </c>
      <c r="FY11" s="155">
        <f>MAX(0,12-SUMPRODUCT($FD11:$FI11,$Q$5:$V$5)+MIN(8,$FJ11*2+$FK11*4,SUMPRODUCT($FD11:$FI11,$Q$5:$V$5)))+$DX11*4</f>
        <v/>
      </c>
      <c r="FZ11" s="155">
        <f>MAX(0,15-SUMPRODUCT($FD11:$FI11,$Q$6:$V$6)+MIN(10,$FJ11*3+$FK11*5,SUMPRODUCT($FD11:$FI11,$Q$6:$V$6)))+$DX11*5</f>
        <v/>
      </c>
      <c r="GA11" s="155">
        <f>MAX(0,18-SUMPRODUCT($FD11:$FI11,$Q$7:$V$7)+MIN(12,$FJ11*3+$FK11*6,SUMPRODUCT($FD11:$FI11,$Q$7:$V$7)))+$DX11*6</f>
        <v/>
      </c>
      <c r="GB11" s="155">
        <f>MAX(0,21-SUMPRODUCT($FD11:$FI11,$Q$8:$V$8)+MIN(14,$FJ11*4+$FK11*7,SUMPRODUCT($FD11:$FI11,$Q$8:$V$8)))+$DX11*7</f>
        <v/>
      </c>
      <c r="GC11" s="155">
        <f>IF($EX11=2,3*$FV11&amp;" de vida temp.",IF($EX11=3,"sem dano",IF($FV11=0,IF($EX11=1,"sem cura","sem dano"),IF($EX11=1,"cura ","")&amp;$FV11&amp;"d8")))</f>
        <v/>
      </c>
      <c r="GD11" s="155">
        <f>IF($EX11=2,3*$FW11&amp;" de vida temp.",IF($EX11=3,"sem dano",IF($FW11=0,IF($EX11=1,"sem cura","sem dano"),IF($EX11=1,"cura ","")&amp;$FW11&amp;"d8")))</f>
        <v/>
      </c>
      <c r="GE11" s="155">
        <f>IF($EX11=2,3*$FX11&amp;" de vida temp.",IF($EX11=3,"sem dano",IF($FX11=0,IF($EX11=1,"sem cura","sem dano"),IF($EX11=1,"cura ","")&amp;$FX11&amp;"d8")))</f>
        <v/>
      </c>
      <c r="GF11" s="155">
        <f>IF($EX11=2,3*$FY11&amp;" de vida temp.",IF($EX11=3,"sem dano",IF($FY11=0,IF($EX11=1,"sem cura","sem dano"),IF($EX11=1,"cura ","")&amp;$FY11&amp;"d8")))</f>
        <v/>
      </c>
      <c r="GG11" s="155">
        <f>IF($EX11=2,3*$FZ11&amp;" de vida temp.",IF($EX11=3,"sem dano",IF($FZ11=0,IF($EX11=1,"sem cura","sem dano"),IF($EX11=1,"cura ","")&amp;$FZ11&amp;"d8")))</f>
        <v/>
      </c>
      <c r="GH11" s="155">
        <f>IF($EX11=2,3*$GA11&amp;" de vida temp.",IF($EX11=3,"sem dano",IF($GA11=0,IF($EX11=1,"sem cura","sem dano"),IF($EX11=1,"cura ","")&amp;$GA11&amp;"d8")))</f>
        <v/>
      </c>
      <c r="GI11" s="155">
        <f>IF($EX11=2,3*$GB11&amp;" de vida temp.",IF($EX11=3,"sem dano",IF($GB11=0,IF($EX11=1,"sem cura","sem dano"),IF($EX11=1,"cura ","")&amp;$GB11&amp;"d8")))</f>
        <v/>
      </c>
      <c r="GJ11" s="155">
        <f>IF($EI11=0,"",TEXTJOIN(" · ",TRUE,IF(AND($DX11=1,$DY11&gt;$HK$9),"O nível "&amp;$HK$2&amp;" dá "&amp;$HK$9&amp;" Liberação Máxima",""),IF($DZ11&gt;$HK$4,"Classe "&amp;$DZ11&amp;": o nível "&amp;$HK$2&amp;" libera até a "&amp;$HK$4,""),IF($EP11=1,"Família Fechada: a Forma "&amp;$EB11,""),IF($EQ11=1,"Família Fechada: "&amp;$EC11,""),IF($ER11=1,"Família Fechada: "&amp;$ED11,""),IF($ES11=1,"Família Fechada: "&amp;$EE11,""),IF($ET11=1,"Família Fechada: "&amp;$EF11,""),IF($FL11&gt;INDEX($W$2:$W$8,$DZ11),$FL11&amp;" Melhorias: a Classe "&amp;$DZ11&amp;" aceita "&amp;INDEX($W$2:$W$8,$DZ11),""),IF($FM11&gt;2,$FM11&amp;" Restrições"&amp;IF($EW11=1,", contando a que a Forma "&amp;$EB11&amp;" já traz","")&amp;": o limite é 2",""),IF($FS11&lt;0,"Orçamento estourado: faltam "&amp;(-$FS11)&amp;IF($FS11&lt;-1," pontos"," ponto"),""),IF(IFERROR(VLOOKUP($EG11,$BM$2:$BQ$24,4,FALSE),0)+IFERROR(VLOOKUP($EH11,$BM$2:$BQ$24,4,FALSE),0)&gt;1,$FB11&amp;" e "&amp;$FC11&amp;" são as duas de frequência",""),IF(AND((COUNTIF($EC11:$EF11,"Rápido")+COUNTIF($FB11:$FC11,"Rápido"))&gt;0,(COUNTIF($EC11:$EF11,"Atrasar")+COUNTIF($FB11:$FC11,"Atrasar"))&gt;0),"Rápido não entra com Atrasar",""),IF(AND((COUNTIF($EC11:$EF11,"Reação")+COUNTIF($FB11:$FC11,"Reação"))&gt;0,(COUNTIF($EC11:$EF11,"Rápido")+COUNTIF($FB11:$FC11,"Rápido"))&gt;0),"Reação não entra com Rápido",""),IF(AND((COUNTIF($EC11:$EF11,"Reação")+COUNTIF($FB11:$FC11,"Reação"))&gt;0,(COUNTIF($EC11:$EF11,"Armado")+COUNTIF($FB11:$FC11,"Armado"))&gt;0),"Reação não entra com Armado",""),IF(AND((COUNTIF($EC11:$EF11,"Reação")+COUNTIF($FB11:$FC11,"Reação"))&gt;0,(COUNTIF($EC11:$EF11,"Atrasar")+COUNTIF($FB11:$FC11,"Atrasar"))&gt;0),"Reação não entra com Atrasar",""),IF(AND((COUNTIF($EC11:$EF11,"Reação")+COUNTIF($FB11:$FC11,"Reação"))&gt;0,(COUNTIF($EC11:$EF11,"Parado")+COUNTIF($FB11:$FC11,"Parado"))&gt;0),"Reação não entra com Parado",""),IF(AND((COUNTIF($EC11:$EF11,"Atrasar")+COUNTIF($FB11:$FC11,"Atrasar"))&gt;0,(COUNTIF($EC11:$EF11,"Parado")+COUNTIF($FB11:$FC11,"Parado"))&gt;0),"Atrasar não entra com Parado",""),IF(AND((COUNTIF($EC11:$EF11,"Armado")+COUNTIF($FB11:$FC11,"Armado"))&gt;0,(COUNTIF($EC11:$EF11,"Carregar")+COUNTIF($FB11:$FC11,"Carregar"))&gt;0),"Armado não entra com Carregar",""),IF(AND(COUNTIF($FB11:$FC11,"Corpo a Corpo")&gt;0,$EW11=0,OR($EB11="Cone",$EB11="Linha")),"Corpo a Corpo não entra em "&amp;$EB11,""),IF(AND(COUNTIF($FB11:$FC11,"Corpo a Corpo")&gt;0,$EW11=1),"A Forma "&amp;$EB11&amp;" já traz o Corpo a Corpo",""),IF(AND(COUNTIF($FB11:$FC11,"Tudo ou Nada")&gt;0,$EY11=0),"Tudo ou Nada só entra em feitiço de Teste de Resistência",""),IF(AND(COUNTIF($EC11:$EF11,"Inescapável")&gt;0,OR($FL11&gt;1,$FM11&gt;0)),"Inescapável não aceita outra peça",""),IF(AND($DX11=1,$DZ11&lt;3),"Liberação Máxima é de Classe 3 ou mais",""),IF(AND($DX11=1,OR($EX11=1,$EX11=2)),"Liberação Máxima não serve para cura",""),IF(AND($DX11=1,COUNTIF($EC11:$EF11,"Inescapável")+COUNTIF($EC11:$EF11,"Toca a Alma")&gt;0),"Esta peça não entra numa Liberação Máxima",""),IF($FT11*IF(COUNTIF($EC11:$EF11,"Remate")&gt;0,1.25,1)+$FU11&gt;4*$DZ11,($FT11*IF(COUNTIF($EC11:$EF11,"Remate")&gt;0,1.25,1)+$FU11)&amp;" dados somando repetições"&amp;IF(COUNTIF($EC11:$EF11,"Remate")&gt;0," e o Remate","")&amp;": o teto da Classe "&amp;$DZ11&amp;" é "&amp;4*$DZ11,"")))</f>
        <v/>
      </c>
      <c r="GK11" s="155">
        <f>IF($GJ11="",0,(LEN($GJ11)-LEN(SUBSTITUTE($GJ11," · ","")))/3+1)</f>
        <v/>
      </c>
      <c r="GL11" s="155">
        <f>IF($EI11=0,"",TEXTJOIN(" · ",TRUE,IF($FO11&gt;2*$DZ11,"A devolução parou no teto de "&amp;2*$DZ11,""),IF($FR11&gt;0,"Devolução perdida: "&amp;$FR11&amp;IF($FR11&gt;1," pontos"," ponto")&amp;" sem peça para pagar",""),IF(AND($EU11&gt;0,$FT11=0),"Controle sem dano: uma rodada a mais e CD +2",""),IF(AND($EU11&gt;0,$FT11&gt;0,$FT11&lt;=$DZ11),"Controle com saldo até a Classe: uma rodada a mais","")))</f>
        <v/>
      </c>
      <c r="GM11" s="155">
        <f>IF($GL11="",0,(LEN($GL11)-LEN(SUBSTITUTE($GL11," · ","")))/3+1)</f>
        <v/>
      </c>
      <c r="GN11" s="155">
        <f>IF($EI11=0,IF($FL11+$FM11-$EW11&gt;0,"Dê um nome",""),IF($GK11&gt;0,"⚠ "&amp;$GK11&amp;IF($GK11&gt;1," erros"," erro"),IF($GM11&gt;0,"! "&amp;$GM11&amp;IF($GM11&gt;1," avisos"," aviso"),"Na regra")))</f>
        <v/>
      </c>
      <c r="GO11" s="155">
        <f>IF($EI11=0,"",IF($GK11+$GM11=0,"Dentro das regras que a ficha confere",$GJ11&amp;IF(AND($GK11&gt;0,$GM11&gt;0)," · ","")&amp;$GL11))</f>
        <v/>
      </c>
      <c r="GP11" s="155">
        <f>IF($EI11=0,"",IF($DX11=1,CEILING(4.5*$DZ11,1),3*$DZ11)&amp;" PE")</f>
        <v/>
      </c>
      <c r="GQ11" s="155">
        <f>IF($EI11=0,"",IF($DX11=1,"Rodada inteira",IF(COUNTIF($FB11:$FC11,"Atrasar")&gt;0,IF(COUNTIF($FB11:$FC11,"Carregar")&gt;0,"Rodada +1 turno","Rodada inteira"),IF(COUNTIF($EC11:$EF11,"Rápido")&gt;0,"Bônus",IF(COUNTIF($EC11:$EF11,"Reação")&gt;0,"Reação","Padrão"))&amp;IF(COUNTIF($FB11:$FC11,"Carregar")&gt;0," +1 turno",""))))</f>
        <v/>
      </c>
      <c r="GR11" s="155">
        <f>IF(OR($EI11=0,$EJ11=0),"",IF(COUNTIF($EC11:$EF11,"Inescapável")&gt;0,"Automático",IF(COUNTIF($EC11:$EF11,"Certeiro")&gt;0,"TR para metade",IF(AND($EV11&gt;0,$EY11=0,INDEX($AF$2:$AF$11,$EJ11)="Acerto"),"Acerto + TR",INDEX($AF$2:$AF$11,$EJ11)))))</f>
        <v/>
      </c>
      <c r="GS11" s="155">
        <f>IF(OR($EI11=0,$EJ11=0),"",IF(OR($EX11&gt;=2,$FT11=0),UPPER(LEFT(INDEX($GC11:$GI11,1,$DZ11),1))&amp;MID(INDEX($GC11:$GI11,1,$DZ11),2,99),UPPER(LEFT(INDEX($GC11:$GI11,1,$DZ11),1))&amp;MID(INDEX($GC11:$GI11,1,$DZ11),2,99)&amp;" = "&amp;FLOOR($FT11*4.5,1)&amp;IF($FU11&gt;0," · +"&amp;$FU11&amp;"d8","")))</f>
        <v/>
      </c>
      <c r="GT11" s="155">
        <f>COUNTIF($EC11:$EF11,"Longe")+3*COUNTIF($EC11:$EF11,"Muito Longe")</f>
        <v/>
      </c>
      <c r="GU11" s="155">
        <f>COUNTIF($EC11:$EF11,"Maior")+3*COUNTIF($EC11:$EF11,"Muito Maior")</f>
        <v/>
      </c>
      <c r="GV11" s="155">
        <f>IF($EJ11=0,0,CHOOSE(1+INDEX($AH$2:$AH$11,$EJ11),0,$GT11,$GU11,$GT11+$GU11))</f>
        <v/>
      </c>
      <c r="GW11" s="155">
        <f>IF($EJ11=0,0,CHOOSE(1+INDEX($AI$2:$AI$11,$EJ11),0,$GT11,$GU11,$GT11+$GU11))</f>
        <v/>
      </c>
      <c r="GX11" s="155">
        <f>IF(OR($EI11=0,$EJ11=0),"",INDEX($AP$2:$AU$31,($EJ11-1)*3+IF($DZ11&gt;=6,3,2),1+MIN(5,$GV11))&amp;INDEX($AV$2:$BA$31,($EJ11-1)*3+IF($DZ11&gt;=6,3,2),1+MIN(5,$GW11))&amp;IF(INDEX($AJ$2:$AJ$11,$EJ11)=1,IF(COUNTIF($EC11:$EF11,"Mais Um")&gt;0," · +"&amp;COUNTIF($EC11:$EF11,"Mais Um")&amp;IF(COUNTIF($EC11:$EF11,"Mais Um")&gt;1," alvos"," alvo"),"")&amp;IF(COUNTIF($EC11:$EF11,"Rajada")&gt;0," · "&amp;($DZ11+1)&amp;" tiros",""),""))</f>
        <v/>
      </c>
      <c r="GY11" s="155">
        <f>IF($EI11=0,"",3*$DZ11&amp;" − "&amp;$FN11&amp;" + "&amp;$FQ11&amp;IF($DX11=1," + "&amp;$DZ11,"")&amp;" = "&amp;$FT11&amp;"d8 · teto "&amp;4*$DZ11&amp;IF($EW11=1," · a Forma devolve "&amp;$DZ11,"")&amp;IF($FR11&gt;0," · perde "&amp;$FR11,""))</f>
        <v/>
      </c>
      <c r="GZ11" s="155">
        <f>IF($EI11=0,"",IF($DZ11&gt;=$HK$4,"Já está na maior Classe que o nível liberou",TEXTJOIN(" · ",TRUE,IF(AND(2&gt;$DZ11,2&lt;=$HK$4),"2 → "&amp;$GD11&amp;", "&amp;IF($DX11=1,9,6)&amp;" PE",""),IF(AND(3&gt;$DZ11,3&lt;=$HK$4),"3 → "&amp;$GE11&amp;", "&amp;IF($DX11=1,14,9)&amp;" PE",""),IF(AND(4&gt;$DZ11,4&lt;=$HK$4),"4 → "&amp;$GF11&amp;", "&amp;IF($DX11=1,18,12)&amp;" PE",""),IF(AND(5&gt;$DZ11,5&lt;=$HK$4),"5 → "&amp;$GG11&amp;", "&amp;IF($DX11=1,23,15)&amp;" PE",""),IF(AND(6&gt;$DZ11,6&lt;=$HK$4),"6 → "&amp;$GH11&amp;", "&amp;IF($DX11=1,27,18)&amp;" PE",""),IF(AND(7&gt;$DZ11,7&lt;=$HK$4),"7 → "&amp;$GI11&amp;", "&amp;IF($DX11=1,32,21)&amp;" PE",""))))</f>
        <v/>
      </c>
      <c r="HA11" s="155">
        <f>IF(OR($EI11=0,$EL11=0),"","−"&amp;INDEX($Q$2:$V$8,$DZ11,$EL11)&amp;" · "&amp;CHOOSE($EL11,"Leve","Média","Pesada","Leve · Livre","Média · Livre","Pesada · Livre"))</f>
        <v/>
      </c>
      <c r="HB11" s="155">
        <f>IF(OR($EI11=0,$EM11=0),"","−"&amp;INDEX($Q$2:$V$8,$DZ11,$EM11)&amp;" · "&amp;CHOOSE($EM11,"Leve","Média","Pesada","Leve · Livre","Média · Livre","Pesada · Livre"))</f>
        <v/>
      </c>
      <c r="HC11" s="155">
        <f>IF(OR($EI11=0,$EN11=0),"","−"&amp;INDEX($Q$2:$V$8,$DZ11,$EN11)&amp;" · "&amp;CHOOSE($EN11,"Leve","Média","Pesada","Leve · Livre","Média · Livre","Pesada · Livre"))</f>
        <v/>
      </c>
      <c r="HD11" s="155">
        <f>IF(OR($EI11=0,$EO11=0),"","−"&amp;INDEX($Q$2:$V$8,$DZ11,$EO11)&amp;" · "&amp;CHOOSE($EO11,"Leve","Média","Pesada","Leve · Livre","Média · Livre","Pesada · Livre"))</f>
        <v/>
      </c>
      <c r="HE11" s="155">
        <f>IF(OR($EI11=0,$EG11=""),"","+"&amp;IF($EZ11=1,CEILING($DZ11/2,1),$DZ11))</f>
        <v/>
      </c>
      <c r="HF11" s="155">
        <f>IF(OR($EI11=0,$EH11=""),"","+"&amp;IF($FA11=1,CEILING($DZ11/2,1),$DZ11))</f>
        <v/>
      </c>
      <c r="HG11" s="155">
        <f>'FICHA AMALDIÇOADA'!$D$116&amp;""</f>
        <v/>
      </c>
      <c r="HH11" s="155">
        <f>IF(AND($EI11=1,$DX11=0),COUNTIFS($EI$2:$EI11,1,$DX$2:$DX11,0),"")</f>
        <v/>
      </c>
      <c r="HJ11" s="153" t="inlineStr">
        <is>
          <t>classe 0 dados</t>
        </is>
      </c>
      <c r="HK11" s="155">
        <f>IFERROR(INDEX($DB$2:$DB$6,MATCH($HK$2,$CZ$2:$CZ$6,1)),0)</f>
        <v/>
      </c>
      <c r="HM11" s="153" t="inlineStr">
        <is>
          <t>Talento 10 · Leque</t>
        </is>
      </c>
      <c r="HN11" s="155">
        <f>'FICHA AMALDIÇOADA'!$J$405&amp;""</f>
        <v/>
      </c>
      <c r="HO11" s="155">
        <f>IFERROR(VLOOKUP($HN11,$BS$2:$BY$24,2,FALSE),0)</f>
        <v/>
      </c>
      <c r="HP11" s="155">
        <f>IFERROR(VLOOKUP($HO11,$CA$2:$CB$4,2,FALSE),0)</f>
        <v/>
      </c>
      <c r="HQ11" s="155">
        <f>IFERROR(VLOOKUP($HN11,$BS$2:$BY$24,3,FALSE),"")</f>
        <v/>
      </c>
      <c r="HR11" s="155">
        <f>IF($HO11=0,"",IF($HP11&gt;$HK$2,"⚠ Nível "&amp;$HP11,"CE "&amp;$HO11))</f>
        <v/>
      </c>
      <c r="HS11" s="155">
        <f>IF($HO11=0,"",IF(5&gt;$HK$8,"⚠ Vaga","Grátis"))</f>
        <v/>
      </c>
      <c r="HT11" s="155">
        <f>'FICHA AMALDIÇOADA'!$K$410&amp;""</f>
        <v/>
      </c>
      <c r="HU11" s="155">
        <f>IF($HN11="","",COUNTIF($HN$2:$HN11,"?*"))</f>
        <v/>
      </c>
      <c r="HW11" s="153" t="inlineStr">
        <is>
          <t>Aptidão 10</t>
        </is>
      </c>
      <c r="HX11" s="155">
        <f>'FICHA AMALDIÇOADA'!$D$492&amp;""</f>
        <v/>
      </c>
      <c r="HY11" s="155">
        <f>IF($HX11="","","Requisito: "&amp;IFERROR(VLOOKUP($HX11,$CD$2:$CM$33,2,FALSE),""))</f>
        <v/>
      </c>
      <c r="HZ11" s="155">
        <f>IF($HX11="","",IFERROR(IF(ISNUMBER(VLOOKUP($HX11,$CD$2:$CM$33,3,FALSE)),"CE "&amp;VLOOKUP($HX11,$CD$2:$CM$33,3,FALSE),VLOOKUP($HX11,$CD$2:$CM$33,3,FALSE)),""))</f>
        <v/>
      </c>
      <c r="IA11" s="155">
        <f>IF($HX11="","",IFERROR(VLOOKUP($HX11,$CD$2:$CM$33,4,FALSE),""))</f>
        <v/>
      </c>
      <c r="IB11" s="155">
        <f>IF($HX11="","",IFERROR(VLOOKUP($HX11,$CD$2:$CM$33,5,FALSE),""))</f>
        <v/>
      </c>
      <c r="IC11" s="155">
        <f>'FICHA AMALDIÇOADA'!$E$509&amp;""</f>
        <v/>
      </c>
      <c r="ID11" s="155">
        <f>IF($HX11="","",COUNTIF($HX$2:$HX11,"?*"))</f>
        <v/>
      </c>
      <c r="IO11" s="153" t="inlineStr">
        <is>
          <t>Pactos</t>
        </is>
      </c>
      <c r="IP11" s="155">
        <f>ADDRESS(ROW('FICHA AMALDIÇOADA'!Q7),COLUMN('FICHA AMALDIÇOADA'!Q7),4)</f>
        <v/>
      </c>
      <c r="IQ11" s="155">
        <f>ADDRESS(ROW('FICHA AMALDIÇOADA'!D512),COLUMN('FICHA AMALDIÇOADA'!D512),4)</f>
        <v/>
      </c>
      <c r="IR11" s="153" t="inlineStr">
        <is>
          <t>DADOS_AM!$IO$11</t>
        </is>
      </c>
      <c r="JF11" s="155" t="n">
        <v>10</v>
      </c>
      <c r="JG11" s="155">
        <f>IFERROR(MATCH(10,$HH$2:$HH$37,0),0)</f>
        <v/>
      </c>
      <c r="JH11" s="155">
        <f>IF($JG11=0,"",INDEX($DZ$2:$DZ$37,$JG11))</f>
        <v/>
      </c>
      <c r="JI11" s="155">
        <f>IF($JG11=0,"",INDEX($EA$2:$EA$37,$JG11))</f>
        <v/>
      </c>
      <c r="JJ11" s="155">
        <f>IF($JG11=0,"",INDEX($GP$2:$GP$37,$JG11))</f>
        <v/>
      </c>
      <c r="JK11" s="155">
        <f>IF($JG11=0,"",INDEX($EB$2:$EB$37,$JG11))</f>
        <v/>
      </c>
      <c r="JL11" s="155">
        <f>IF($JG11=0,"",INDEX($GR$2:$GR$37,$JG11))</f>
        <v/>
      </c>
      <c r="JM11" s="155">
        <f>IF($JG11=0,"",INDEX($HG$2:$HG$37,$JG11))</f>
        <v/>
      </c>
      <c r="KD11" s="153" t="inlineStr">
        <is>
          <t>Talento 8</t>
        </is>
      </c>
      <c r="KE11" s="155">
        <f>IFERROR(MATCH(8,$HU$2:$HU$13,0),0)</f>
        <v/>
      </c>
      <c r="KF11" s="155">
        <f>IF($KE11=0,"",IF(INDEX($HO$2:$HO$13,$KE11)=0,"","CE "&amp;INDEX($HO$2:$HO$13,$KE11)))</f>
        <v/>
      </c>
      <c r="KG11" s="155">
        <f>IF($KE11=0,"",INDEX($HN$2:$HN$13,$KE11))</f>
        <v/>
      </c>
      <c r="KH11" s="155">
        <f>IF($KE11=0,"",IF(INDEX($HT$2:$HT$13,$KE11)&lt;&gt;"",INDEX($HT$2:$HT$13,$KE11),IF(IFERROR(VLOOKUP(INDEX($HN$2:$HN$13,$KE11),$BS$2:$BY$24,7,FALSE),"")&lt;&gt;"","Do livro: "&amp;IFERROR(VLOOKUP(INDEX($HN$2:$HN$13,$KE11),$BS$2:$BY$24,7,FALSE),""),"")))</f>
        <v/>
      </c>
      <c r="KJ11" s="153" t="inlineStr">
        <is>
          <t>Aptidão 8</t>
        </is>
      </c>
      <c r="KK11" s="155">
        <f>IFERROR(MATCH(8,$ID$2:$ID$13,0),0)</f>
        <v/>
      </c>
      <c r="KL11" s="155">
        <f>IF($KK11=0,"",INDEX($HZ$2:$HZ$13,$KK11))</f>
        <v/>
      </c>
      <c r="KM11" s="155">
        <f>IF($KK11=0,"",INDEX($HX$2:$HX$13,$KK11))</f>
        <v/>
      </c>
      <c r="KN11" s="155">
        <f>IF($KK11=0,"",IF(INDEX($IC$2:$IC$13,$KK11)&lt;&gt;"",INDEX($IC$2:$IC$13,$KK11),IF(IFERROR(VLOOKUP(INDEX($HX$2:$HX$13,$KK11),$CD$2:$CM$33,10,FALSE),"")&lt;&gt;"","Do livro: "&amp;IFERROR(VLOOKUP(INDEX($HX$2:$HX$13,$KK11),$CD$2:$CM$33,10,FALSE),""),"")))</f>
        <v/>
      </c>
      <c r="KP11" s="153" t="inlineStr">
        <is>
          <t>par 4</t>
        </is>
      </c>
      <c r="KQ11" s="155">
        <f>UPPER(INDEX($D$3:$G$3,1,$A$2))&amp;" 13 A 18"</f>
        <v/>
      </c>
      <c r="KS11" s="153" t="inlineStr">
        <is>
          <t>D19</t>
        </is>
      </c>
      <c r="KT11" s="155">
        <f>IF(DADOS_AM!$HK$43="","",DADOS_AM!$HK$43&amp;" · "&amp;"d20 + "&amp;(DADOS_AM!$HK$3+DADOS_AM!$HK$46+IFERROR(VALUE(FICHA!$W$55&amp;""),0))&amp;" · CD "&amp;(8+DADOS_AM!$HK$3+DADOS_AM!$HK$46+IFERROR(VALUE(FICHA!$L$55&amp;""),0)))</f>
        <v/>
      </c>
    </row>
    <row r="12">
      <c r="C12" s="153" t="inlineStr">
        <is>
          <t>selo</t>
        </is>
      </c>
      <c r="D12" s="153" t="inlineStr">
        <is>
          <t>Selo</t>
        </is>
      </c>
      <c r="E12" s="153" t="inlineStr">
        <is>
          <t>Selo</t>
        </is>
      </c>
      <c r="F12" s="153" t="inlineStr">
        <is>
          <t>Selo · ter o equipamento em uso</t>
        </is>
      </c>
      <c r="G12" s="153" t="inlineStr">
        <is>
          <t>Selo · ter o equipamento em uso</t>
        </is>
      </c>
      <c r="AO12" s="153" t="inlineStr">
        <is>
          <t>Aura · classes 1 a 5</t>
        </is>
      </c>
      <c r="AP12" s="153" t="inlineStr">
        <is>
          <t>Raio 3 m, em você</t>
        </is>
      </c>
      <c r="AQ12" s="153" t="inlineStr">
        <is>
          <t>Raio 4,5 m, em você</t>
        </is>
      </c>
      <c r="AR12" s="153" t="inlineStr">
        <is>
          <t>Raio 6 m, em você</t>
        </is>
      </c>
      <c r="AS12" s="153" t="inlineStr">
        <is>
          <t>Raio 9 m, em você</t>
        </is>
      </c>
      <c r="AT12" s="153" t="inlineStr">
        <is>
          <t>Raio 15 m, em você</t>
        </is>
      </c>
      <c r="AU12" s="153" t="inlineStr">
        <is>
          <t>Raio 15 m, em você</t>
        </is>
      </c>
      <c r="AV12" s="153" t="inlineStr"/>
      <c r="AW12" s="153" t="inlineStr"/>
      <c r="AX12" s="153" t="inlineStr"/>
      <c r="AY12" s="153" t="inlineStr"/>
      <c r="AZ12" s="153" t="inlineStr"/>
      <c r="BA12" s="153" t="inlineStr"/>
      <c r="BC12" s="153" t="inlineStr">
        <is>
          <t>Mais Um</t>
        </is>
      </c>
      <c r="BD12" s="153" t="inlineStr">
        <is>
          <t>Área</t>
        </is>
      </c>
      <c r="BE12" s="155" t="n">
        <v>1</v>
      </c>
      <c r="BF12" s="155">
        <f>$BE12+3*IFERROR(VLOOKUP($BD12,$I$2:$L$10,3,FALSE),0)</f>
        <v/>
      </c>
      <c r="BG12" s="155">
        <f>IFERROR(VLOOKUP($BD12,$I$2:$L$10,4,FALSE),0)</f>
        <v/>
      </c>
      <c r="BH12" s="155" t="n">
        <v>0</v>
      </c>
      <c r="BI12" s="155">
        <f>IF($BG12=1,"",$BC12)</f>
        <v/>
      </c>
      <c r="BJ12" s="155">
        <f>IF(AND($BE12=1,$BG12=0),$BC12,"")</f>
        <v/>
      </c>
      <c r="BK12" s="155" t="n">
        <v>0</v>
      </c>
      <c r="BM12" s="153" t="inlineStr">
        <is>
          <t>Peso Morto</t>
        </is>
      </c>
      <c r="BN12" s="153" t="inlineStr">
        <is>
          <t>Peso Morto</t>
        </is>
      </c>
      <c r="BO12" s="155" t="n">
        <v>1</v>
      </c>
      <c r="BP12" s="155" t="n">
        <v>0</v>
      </c>
      <c r="BQ12" s="153" t="inlineStr">
        <is>
          <t>Peso Morto</t>
        </is>
      </c>
      <c r="BS12" s="153" t="inlineStr">
        <is>
          <t>Costura</t>
        </is>
      </c>
      <c r="BT12" s="155" t="n">
        <v>2</v>
      </c>
      <c r="BU12" s="153" t="inlineStr">
        <is>
          <t>Uma vez por cena, quando um aliado a até 9 m sofreria uma redução de seus pontos de vida a 0, você pode fazer com que ele permaneça com 1 ponto de vida. Não exige ação nem Reação.</t>
        </is>
      </c>
      <c r="BV12" s="155" t="n">
        <v>1</v>
      </c>
      <c r="BW12" s="155" t="n">
        <v>0</v>
      </c>
      <c r="BX12" s="155">
        <f>IF(OR(AND($A$2&lt;=2,$BV12=1),AND($A$2&gt;=2,$BW12=1)),$BS12,"")</f>
        <v/>
      </c>
      <c r="BY12" s="153" t="inlineStr">
        <is>
          <t>Uma vez por cena, quando um aliado a até 9 m sofreria uma redução de seus pontos de vida a 0, você pode fazer com que ele permaneça com 1 ponto de vida. Não exige ação nem Reação.</t>
        </is>
      </c>
      <c r="CD12" s="153" t="inlineStr">
        <is>
          <t>Pétala</t>
        </is>
      </c>
      <c r="CE12" s="153" t="inlineStr">
        <is>
          <t>Refino 4 e nível 10; ser Descendente ou aprendizado com alguém de um clã</t>
        </is>
      </c>
      <c r="CF12" s="155" t="n">
        <v>2</v>
      </c>
      <c r="CG12" s="153" t="inlineStr">
        <is>
          <t>—</t>
        </is>
      </c>
      <c r="CH12" s="153"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55">
        <f>IF($CL12=1,"",IF($A$2=4,IF($CJ12=1,$CD12,""),IF(OR($CJ12=1,AND($A$2=3,$CK12=1)),"",$CD12)))</f>
        <v/>
      </c>
      <c r="CJ12" s="155" t="n">
        <v>0</v>
      </c>
      <c r="CK12" s="155" t="n">
        <v>0</v>
      </c>
      <c r="CL12" s="155" t="n">
        <v>0</v>
      </c>
      <c r="CM12" s="153" t="inlineStr">
        <is>
          <t>Sua energia reage ao contato do Acerto de uma Expansão.</t>
        </is>
      </c>
      <c r="CU12" s="153" t="inlineStr">
        <is>
          <t>Armas Longas</t>
        </is>
      </c>
      <c r="CV12" s="155" t="n">
        <v>1</v>
      </c>
      <c r="CW12" s="155" t="n">
        <v>1</v>
      </c>
      <c r="CX12" s="155">
        <f>IF(AND($A$2&gt;=3,'FICHA AMALDIÇOADA'!$J$16&amp;""="Três grupos de arma"),$CU12,"")</f>
        <v/>
      </c>
      <c r="DW12" s="153" t="inlineStr">
        <is>
          <t>Feitiço 11</t>
        </is>
      </c>
      <c r="DX12" s="155" t="n">
        <v>0</v>
      </c>
      <c r="DY12" s="155" t="n">
        <v>11</v>
      </c>
      <c r="DZ12" s="155">
        <f>MAX(1,MIN(7,N('FICHA AMALDIÇOADA'!$J$114)))</f>
        <v/>
      </c>
      <c r="EA12" s="155">
        <f>'FICHA AMALDIÇOADA'!$K$114&amp;""</f>
        <v/>
      </c>
      <c r="EB12" s="155">
        <f>'FICHA AMALDIÇOADA'!$J$121&amp;""</f>
        <v/>
      </c>
      <c r="EC12" s="155">
        <f>'FICHA AMALDIÇOADA'!$K$123&amp;""</f>
        <v/>
      </c>
      <c r="ED12" s="155">
        <f>'FICHA AMALDIÇOADA'!$K$124&amp;""</f>
        <v/>
      </c>
      <c r="EE12" s="155">
        <f>'FICHA AMALDIÇOADA'!$K$125&amp;""</f>
        <v/>
      </c>
      <c r="EF12" s="155">
        <f>'FICHA AMALDIÇOADA'!$K$126&amp;""</f>
        <v/>
      </c>
      <c r="EG12" s="155">
        <f>'FICHA AMALDIÇOADA'!$K$127&amp;""</f>
        <v/>
      </c>
      <c r="EH12" s="155">
        <f>'FICHA AMALDIÇOADA'!$K$128&amp;""</f>
        <v/>
      </c>
      <c r="EI12" s="155">
        <f>IF($EA12&lt;&gt;"",1,0)</f>
        <v/>
      </c>
      <c r="EJ12" s="155">
        <f>IFERROR(MATCH($EB12,$Y$2:$Y$11,0),0)</f>
        <v/>
      </c>
      <c r="EK12" s="155">
        <f>IF($EJ12=0,0,INDEX($AB$2:$AB$11,$EJ12))</f>
        <v/>
      </c>
      <c r="EL12" s="155">
        <f>IFERROR(VLOOKUP($EC12,$BC$2:$BK$84,4,FALSE),0)</f>
        <v/>
      </c>
      <c r="EM12" s="155">
        <f>IFERROR(VLOOKUP($ED12,$BC$2:$BK$84,4,FALSE),0)</f>
        <v/>
      </c>
      <c r="EN12" s="155">
        <f>IFERROR(VLOOKUP($EE12,$BC$2:$BK$84,4,FALSE),0)</f>
        <v/>
      </c>
      <c r="EO12" s="155">
        <f>IFERROR(VLOOKUP($EF12,$BC$2:$BK$84,4,FALSE),0)</f>
        <v/>
      </c>
      <c r="EP12" s="155">
        <f>IF($EJ12=0,0,INDEX($AC$2:$AC$11,$EJ12))</f>
        <v/>
      </c>
      <c r="EQ12" s="155">
        <f>IFERROR(VLOOKUP($EC12,$BC$2:$BK$84,5,FALSE),0)</f>
        <v/>
      </c>
      <c r="ER12" s="155">
        <f>IFERROR(VLOOKUP($ED12,$BC$2:$BK$84,5,FALSE),0)</f>
        <v/>
      </c>
      <c r="ES12" s="155">
        <f>IFERROR(VLOOKUP($EE12,$BC$2:$BK$84,5,FALSE),0)</f>
        <v/>
      </c>
      <c r="ET12" s="155">
        <f>IFERROR(VLOOKUP($EF12,$BC$2:$BK$84,5,FALSE),0)</f>
        <v/>
      </c>
      <c r="EU12" s="155">
        <f>IFERROR(VLOOKUP($EC12,$BC$2:$BK$84,6,FALSE),0)+IFERROR(VLOOKUP($ED12,$BC$2:$BK$84,6,FALSE),0)+IFERROR(VLOOKUP($EE12,$BC$2:$BK$84,6,FALSE),0)+IFERROR(VLOOKUP($EF12,$BC$2:$BK$84,6,FALSE),0)</f>
        <v/>
      </c>
      <c r="EV12" s="155">
        <f>IFERROR(VLOOKUP($EC12,$BC$2:$BK$84,9,FALSE),0)+IFERROR(VLOOKUP($ED12,$BC$2:$BK$84,9,FALSE),0)+IFERROR(VLOOKUP($EE12,$BC$2:$BK$84,9,FALSE),0)+IFERROR(VLOOKUP($EF12,$BC$2:$BK$84,9,FALSE),0)</f>
        <v/>
      </c>
      <c r="EW12" s="155">
        <f>IF($EJ12=0,0,INDEX($AD$2:$AD$11,$EJ12))</f>
        <v/>
      </c>
      <c r="EX12" s="155">
        <f>IF($EJ12=0,0,INDEX($AE$2:$AE$11,$EJ12))</f>
        <v/>
      </c>
      <c r="EY12" s="155">
        <f>IF($EJ12=0,0,INDEX($AG$2:$AG$11,$EJ12))</f>
        <v/>
      </c>
      <c r="EZ12" s="155">
        <f>IFERROR(VLOOKUP($EG12,$BM$2:$BQ$24,3,FALSE),0)</f>
        <v/>
      </c>
      <c r="FA12" s="155">
        <f>IFERROR(VLOOKUP($EH12,$BM$2:$BQ$24,3,FALSE),0)</f>
        <v/>
      </c>
      <c r="FB12" s="155">
        <f>IFERROR(VLOOKUP($EG12,$BM$2:$BQ$24,2,FALSE),"")</f>
        <v/>
      </c>
      <c r="FC12" s="155">
        <f>IFERROR(VLOOKUP($EH12,$BM$2:$BQ$24,2,FALSE),"")</f>
        <v/>
      </c>
      <c r="FD12" s="155">
        <f>COUNTIF($EK12:$EO12,1)</f>
        <v/>
      </c>
      <c r="FE12" s="155">
        <f>COUNTIF($EK12:$EO12,2)</f>
        <v/>
      </c>
      <c r="FF12" s="155">
        <f>COUNTIF($EK12:$EO12,3)</f>
        <v/>
      </c>
      <c r="FG12" s="155">
        <f>COUNTIF($EK12:$EO12,4)</f>
        <v/>
      </c>
      <c r="FH12" s="155">
        <f>COUNTIF($EK12:$EO12,5)</f>
        <v/>
      </c>
      <c r="FI12" s="155">
        <f>COUNTIF($EK12:$EO12,6)</f>
        <v/>
      </c>
      <c r="FJ12" s="155">
        <f>COUNTIF($EZ12:$FA12,1)</f>
        <v/>
      </c>
      <c r="FK12" s="155">
        <f>COUNTIF($EZ12:$FA12,2)+$EW12</f>
        <v/>
      </c>
      <c r="FL12" s="155">
        <f>COUNTIF($EC12:$EF12,"?*")</f>
        <v/>
      </c>
      <c r="FM12" s="155">
        <f>COUNTIF($EG12:$EH12,"?*")+$EW12</f>
        <v/>
      </c>
      <c r="FN12" s="155">
        <f>SUMPRODUCT($FD12:$FI12,INDEX($Q$2:$V$8,$DZ12,0))</f>
        <v/>
      </c>
      <c r="FO12" s="155">
        <f>$FJ12*CEILING($DZ12/2,1)+$FK12*$DZ12</f>
        <v/>
      </c>
      <c r="FP12" s="155">
        <f>MIN(2*$DZ12,$FO12)</f>
        <v/>
      </c>
      <c r="FQ12" s="155">
        <f>MIN($FP12,$FN12)</f>
        <v/>
      </c>
      <c r="FR12" s="155">
        <f>$FP12-$FQ12</f>
        <v/>
      </c>
      <c r="FS12" s="155">
        <f>3*$DZ12-$FN12+$FQ12</f>
        <v/>
      </c>
      <c r="FT12" s="155">
        <f>MAX(0,$FS12)+$DX12*$DZ12</f>
        <v/>
      </c>
      <c r="FU12" s="155">
        <f>(IF(COUNTIF($EC12:$EF12,"Salto")&gt;0,1,0)+IF(COUNTIF($EC12:$EF12,"Queima")&gt;0,1,0)+IF(COUNTIF($EC12:$EF12,"Estilhaço")&gt;0,1,0))*FLOOR($FT12/2,1)</f>
        <v/>
      </c>
      <c r="FV12" s="155">
        <f>MAX(0,3-SUMPRODUCT($FD12:$FI12,$Q$2:$V$2)+MIN(2,$FJ12*1+$FK12*1,SUMPRODUCT($FD12:$FI12,$Q$2:$V$2)))+$DX12*1</f>
        <v/>
      </c>
      <c r="FW12" s="155">
        <f>MAX(0,6-SUMPRODUCT($FD12:$FI12,$Q$3:$V$3)+MIN(4,$FJ12*1+$FK12*2,SUMPRODUCT($FD12:$FI12,$Q$3:$V$3)))+$DX12*2</f>
        <v/>
      </c>
      <c r="FX12" s="155">
        <f>MAX(0,9-SUMPRODUCT($FD12:$FI12,$Q$4:$V$4)+MIN(6,$FJ12*2+$FK12*3,SUMPRODUCT($FD12:$FI12,$Q$4:$V$4)))+$DX12*3</f>
        <v/>
      </c>
      <c r="FY12" s="155">
        <f>MAX(0,12-SUMPRODUCT($FD12:$FI12,$Q$5:$V$5)+MIN(8,$FJ12*2+$FK12*4,SUMPRODUCT($FD12:$FI12,$Q$5:$V$5)))+$DX12*4</f>
        <v/>
      </c>
      <c r="FZ12" s="155">
        <f>MAX(0,15-SUMPRODUCT($FD12:$FI12,$Q$6:$V$6)+MIN(10,$FJ12*3+$FK12*5,SUMPRODUCT($FD12:$FI12,$Q$6:$V$6)))+$DX12*5</f>
        <v/>
      </c>
      <c r="GA12" s="155">
        <f>MAX(0,18-SUMPRODUCT($FD12:$FI12,$Q$7:$V$7)+MIN(12,$FJ12*3+$FK12*6,SUMPRODUCT($FD12:$FI12,$Q$7:$V$7)))+$DX12*6</f>
        <v/>
      </c>
      <c r="GB12" s="155">
        <f>MAX(0,21-SUMPRODUCT($FD12:$FI12,$Q$8:$V$8)+MIN(14,$FJ12*4+$FK12*7,SUMPRODUCT($FD12:$FI12,$Q$8:$V$8)))+$DX12*7</f>
        <v/>
      </c>
      <c r="GC12" s="155">
        <f>IF($EX12=2,3*$FV12&amp;" de vida temp.",IF($EX12=3,"sem dano",IF($FV12=0,IF($EX12=1,"sem cura","sem dano"),IF($EX12=1,"cura ","")&amp;$FV12&amp;"d8")))</f>
        <v/>
      </c>
      <c r="GD12" s="155">
        <f>IF($EX12=2,3*$FW12&amp;" de vida temp.",IF($EX12=3,"sem dano",IF($FW12=0,IF($EX12=1,"sem cura","sem dano"),IF($EX12=1,"cura ","")&amp;$FW12&amp;"d8")))</f>
        <v/>
      </c>
      <c r="GE12" s="155">
        <f>IF($EX12=2,3*$FX12&amp;" de vida temp.",IF($EX12=3,"sem dano",IF($FX12=0,IF($EX12=1,"sem cura","sem dano"),IF($EX12=1,"cura ","")&amp;$FX12&amp;"d8")))</f>
        <v/>
      </c>
      <c r="GF12" s="155">
        <f>IF($EX12=2,3*$FY12&amp;" de vida temp.",IF($EX12=3,"sem dano",IF($FY12=0,IF($EX12=1,"sem cura","sem dano"),IF($EX12=1,"cura ","")&amp;$FY12&amp;"d8")))</f>
        <v/>
      </c>
      <c r="GG12" s="155">
        <f>IF($EX12=2,3*$FZ12&amp;" de vida temp.",IF($EX12=3,"sem dano",IF($FZ12=0,IF($EX12=1,"sem cura","sem dano"),IF($EX12=1,"cura ","")&amp;$FZ12&amp;"d8")))</f>
        <v/>
      </c>
      <c r="GH12" s="155">
        <f>IF($EX12=2,3*$GA12&amp;" de vida temp.",IF($EX12=3,"sem dano",IF($GA12=0,IF($EX12=1,"sem cura","sem dano"),IF($EX12=1,"cura ","")&amp;$GA12&amp;"d8")))</f>
        <v/>
      </c>
      <c r="GI12" s="155">
        <f>IF($EX12=2,3*$GB12&amp;" de vida temp.",IF($EX12=3,"sem dano",IF($GB12=0,IF($EX12=1,"sem cura","sem dano"),IF($EX12=1,"cura ","")&amp;$GB12&amp;"d8")))</f>
        <v/>
      </c>
      <c r="GJ12" s="155">
        <f>IF($EI12=0,"",TEXTJOIN(" · ",TRUE,IF(AND($DX12=1,$DY12&gt;$HK$9),"O nível "&amp;$HK$2&amp;" dá "&amp;$HK$9&amp;" Liberação Máxima",""),IF($DZ12&gt;$HK$4,"Classe "&amp;$DZ12&amp;": o nível "&amp;$HK$2&amp;" libera até a "&amp;$HK$4,""),IF($EP12=1,"Família Fechada: a Forma "&amp;$EB12,""),IF($EQ12=1,"Família Fechada: "&amp;$EC12,""),IF($ER12=1,"Família Fechada: "&amp;$ED12,""),IF($ES12=1,"Família Fechada: "&amp;$EE12,""),IF($ET12=1,"Família Fechada: "&amp;$EF12,""),IF($FL12&gt;INDEX($W$2:$W$8,$DZ12),$FL12&amp;" Melhorias: a Classe "&amp;$DZ12&amp;" aceita "&amp;INDEX($W$2:$W$8,$DZ12),""),IF($FM12&gt;2,$FM12&amp;" Restrições"&amp;IF($EW12=1,", contando a que a Forma "&amp;$EB12&amp;" já traz","")&amp;": o limite é 2",""),IF($FS12&lt;0,"Orçamento estourado: faltam "&amp;(-$FS12)&amp;IF($FS12&lt;-1," pontos"," ponto"),""),IF(IFERROR(VLOOKUP($EG12,$BM$2:$BQ$24,4,FALSE),0)+IFERROR(VLOOKUP($EH12,$BM$2:$BQ$24,4,FALSE),0)&gt;1,$FB12&amp;" e "&amp;$FC12&amp;" são as duas de frequência",""),IF(AND((COUNTIF($EC12:$EF12,"Rápido")+COUNTIF($FB12:$FC12,"Rápido"))&gt;0,(COUNTIF($EC12:$EF12,"Atrasar")+COUNTIF($FB12:$FC12,"Atrasar"))&gt;0),"Rápido não entra com Atrasar",""),IF(AND((COUNTIF($EC12:$EF12,"Reação")+COUNTIF($FB12:$FC12,"Reação"))&gt;0,(COUNTIF($EC12:$EF12,"Rápido")+COUNTIF($FB12:$FC12,"Rápido"))&gt;0),"Reação não entra com Rápido",""),IF(AND((COUNTIF($EC12:$EF12,"Reação")+COUNTIF($FB12:$FC12,"Reação"))&gt;0,(COUNTIF($EC12:$EF12,"Armado")+COUNTIF($FB12:$FC12,"Armado"))&gt;0),"Reação não entra com Armado",""),IF(AND((COUNTIF($EC12:$EF12,"Reação")+COUNTIF($FB12:$FC12,"Reação"))&gt;0,(COUNTIF($EC12:$EF12,"Atrasar")+COUNTIF($FB12:$FC12,"Atrasar"))&gt;0),"Reação não entra com Atrasar",""),IF(AND((COUNTIF($EC12:$EF12,"Reação")+COUNTIF($FB12:$FC12,"Reação"))&gt;0,(COUNTIF($EC12:$EF12,"Parado")+COUNTIF($FB12:$FC12,"Parado"))&gt;0),"Reação não entra com Parado",""),IF(AND((COUNTIF($EC12:$EF12,"Atrasar")+COUNTIF($FB12:$FC12,"Atrasar"))&gt;0,(COUNTIF($EC12:$EF12,"Parado")+COUNTIF($FB12:$FC12,"Parado"))&gt;0),"Atrasar não entra com Parado",""),IF(AND((COUNTIF($EC12:$EF12,"Armado")+COUNTIF($FB12:$FC12,"Armado"))&gt;0,(COUNTIF($EC12:$EF12,"Carregar")+COUNTIF($FB12:$FC12,"Carregar"))&gt;0),"Armado não entra com Carregar",""),IF(AND(COUNTIF($FB12:$FC12,"Corpo a Corpo")&gt;0,$EW12=0,OR($EB12="Cone",$EB12="Linha")),"Corpo a Corpo não entra em "&amp;$EB12,""),IF(AND(COUNTIF($FB12:$FC12,"Corpo a Corpo")&gt;0,$EW12=1),"A Forma "&amp;$EB12&amp;" já traz o Corpo a Corpo",""),IF(AND(COUNTIF($FB12:$FC12,"Tudo ou Nada")&gt;0,$EY12=0),"Tudo ou Nada só entra em feitiço de Teste de Resistência",""),IF(AND(COUNTIF($EC12:$EF12,"Inescapável")&gt;0,OR($FL12&gt;1,$FM12&gt;0)),"Inescapável não aceita outra peça",""),IF(AND($DX12=1,$DZ12&lt;3),"Liberação Máxima é de Classe 3 ou mais",""),IF(AND($DX12=1,OR($EX12=1,$EX12=2)),"Liberação Máxima não serve para cura",""),IF(AND($DX12=1,COUNTIF($EC12:$EF12,"Inescapável")+COUNTIF($EC12:$EF12,"Toca a Alma")&gt;0),"Esta peça não entra numa Liberação Máxima",""),IF($FT12*IF(COUNTIF($EC12:$EF12,"Remate")&gt;0,1.25,1)+$FU12&gt;4*$DZ12,($FT12*IF(COUNTIF($EC12:$EF12,"Remate")&gt;0,1.25,1)+$FU12)&amp;" dados somando repetições"&amp;IF(COUNTIF($EC12:$EF12,"Remate")&gt;0," e o Remate","")&amp;": o teto da Classe "&amp;$DZ12&amp;" é "&amp;4*$DZ12,"")))</f>
        <v/>
      </c>
      <c r="GK12" s="155">
        <f>IF($GJ12="",0,(LEN($GJ12)-LEN(SUBSTITUTE($GJ12," · ","")))/3+1)</f>
        <v/>
      </c>
      <c r="GL12" s="155">
        <f>IF($EI12=0,"",TEXTJOIN(" · ",TRUE,IF($FO12&gt;2*$DZ12,"A devolução parou no teto de "&amp;2*$DZ12,""),IF($FR12&gt;0,"Devolução perdida: "&amp;$FR12&amp;IF($FR12&gt;1," pontos"," ponto")&amp;" sem peça para pagar",""),IF(AND($EU12&gt;0,$FT12=0),"Controle sem dano: uma rodada a mais e CD +2",""),IF(AND($EU12&gt;0,$FT12&gt;0,$FT12&lt;=$DZ12),"Controle com saldo até a Classe: uma rodada a mais","")))</f>
        <v/>
      </c>
      <c r="GM12" s="155">
        <f>IF($GL12="",0,(LEN($GL12)-LEN(SUBSTITUTE($GL12," · ","")))/3+1)</f>
        <v/>
      </c>
      <c r="GN12" s="155">
        <f>IF($EI12=0,IF($FL12+$FM12-$EW12&gt;0,"Dê um nome",""),IF($GK12&gt;0,"⚠ "&amp;$GK12&amp;IF($GK12&gt;1," erros"," erro"),IF($GM12&gt;0,"! "&amp;$GM12&amp;IF($GM12&gt;1," avisos"," aviso"),"Na regra")))</f>
        <v/>
      </c>
      <c r="GO12" s="155">
        <f>IF($EI12=0,"",IF($GK12+$GM12=0,"Dentro das regras que a ficha confere",$GJ12&amp;IF(AND($GK12&gt;0,$GM12&gt;0)," · ","")&amp;$GL12))</f>
        <v/>
      </c>
      <c r="GP12" s="155">
        <f>IF($EI12=0,"",IF($DX12=1,CEILING(4.5*$DZ12,1),3*$DZ12)&amp;" PE")</f>
        <v/>
      </c>
      <c r="GQ12" s="155">
        <f>IF($EI12=0,"",IF($DX12=1,"Rodada inteira",IF(COUNTIF($FB12:$FC12,"Atrasar")&gt;0,IF(COUNTIF($FB12:$FC12,"Carregar")&gt;0,"Rodada +1 turno","Rodada inteira"),IF(COUNTIF($EC12:$EF12,"Rápido")&gt;0,"Bônus",IF(COUNTIF($EC12:$EF12,"Reação")&gt;0,"Reação","Padrão"))&amp;IF(COUNTIF($FB12:$FC12,"Carregar")&gt;0," +1 turno",""))))</f>
        <v/>
      </c>
      <c r="GR12" s="155">
        <f>IF(OR($EI12=0,$EJ12=0),"",IF(COUNTIF($EC12:$EF12,"Inescapável")&gt;0,"Automático",IF(COUNTIF($EC12:$EF12,"Certeiro")&gt;0,"TR para metade",IF(AND($EV12&gt;0,$EY12=0,INDEX($AF$2:$AF$11,$EJ12)="Acerto"),"Acerto + TR",INDEX($AF$2:$AF$11,$EJ12)))))</f>
        <v/>
      </c>
      <c r="GS12" s="155">
        <f>IF(OR($EI12=0,$EJ12=0),"",IF(OR($EX12&gt;=2,$FT12=0),UPPER(LEFT(INDEX($GC12:$GI12,1,$DZ12),1))&amp;MID(INDEX($GC12:$GI12,1,$DZ12),2,99),UPPER(LEFT(INDEX($GC12:$GI12,1,$DZ12),1))&amp;MID(INDEX($GC12:$GI12,1,$DZ12),2,99)&amp;" = "&amp;FLOOR($FT12*4.5,1)&amp;IF($FU12&gt;0," · +"&amp;$FU12&amp;"d8","")))</f>
        <v/>
      </c>
      <c r="GT12" s="155">
        <f>COUNTIF($EC12:$EF12,"Longe")+3*COUNTIF($EC12:$EF12,"Muito Longe")</f>
        <v/>
      </c>
      <c r="GU12" s="155">
        <f>COUNTIF($EC12:$EF12,"Maior")+3*COUNTIF($EC12:$EF12,"Muito Maior")</f>
        <v/>
      </c>
      <c r="GV12" s="155">
        <f>IF($EJ12=0,0,CHOOSE(1+INDEX($AH$2:$AH$11,$EJ12),0,$GT12,$GU12,$GT12+$GU12))</f>
        <v/>
      </c>
      <c r="GW12" s="155">
        <f>IF($EJ12=0,0,CHOOSE(1+INDEX($AI$2:$AI$11,$EJ12),0,$GT12,$GU12,$GT12+$GU12))</f>
        <v/>
      </c>
      <c r="GX12" s="155">
        <f>IF(OR($EI12=0,$EJ12=0),"",INDEX($AP$2:$AU$31,($EJ12-1)*3+IF($DZ12&gt;=6,3,2),1+MIN(5,$GV12))&amp;INDEX($AV$2:$BA$31,($EJ12-1)*3+IF($DZ12&gt;=6,3,2),1+MIN(5,$GW12))&amp;IF(INDEX($AJ$2:$AJ$11,$EJ12)=1,IF(COUNTIF($EC12:$EF12,"Mais Um")&gt;0," · +"&amp;COUNTIF($EC12:$EF12,"Mais Um")&amp;IF(COUNTIF($EC12:$EF12,"Mais Um")&gt;1," alvos"," alvo"),"")&amp;IF(COUNTIF($EC12:$EF12,"Rajada")&gt;0," · "&amp;($DZ12+1)&amp;" tiros",""),""))</f>
        <v/>
      </c>
      <c r="GY12" s="155">
        <f>IF($EI12=0,"",3*$DZ12&amp;" − "&amp;$FN12&amp;" + "&amp;$FQ12&amp;IF($DX12=1," + "&amp;$DZ12,"")&amp;" = "&amp;$FT12&amp;"d8 · teto "&amp;4*$DZ12&amp;IF($EW12=1," · a Forma devolve "&amp;$DZ12,"")&amp;IF($FR12&gt;0," · perde "&amp;$FR12,""))</f>
        <v/>
      </c>
      <c r="GZ12" s="155">
        <f>IF($EI12=0,"",IF($DZ12&gt;=$HK$4,"Já está na maior Classe que o nível liberou",TEXTJOIN(" · ",TRUE,IF(AND(2&gt;$DZ12,2&lt;=$HK$4),"2 → "&amp;$GD12&amp;", "&amp;IF($DX12=1,9,6)&amp;" PE",""),IF(AND(3&gt;$DZ12,3&lt;=$HK$4),"3 → "&amp;$GE12&amp;", "&amp;IF($DX12=1,14,9)&amp;" PE",""),IF(AND(4&gt;$DZ12,4&lt;=$HK$4),"4 → "&amp;$GF12&amp;", "&amp;IF($DX12=1,18,12)&amp;" PE",""),IF(AND(5&gt;$DZ12,5&lt;=$HK$4),"5 → "&amp;$GG12&amp;", "&amp;IF($DX12=1,23,15)&amp;" PE",""),IF(AND(6&gt;$DZ12,6&lt;=$HK$4),"6 → "&amp;$GH12&amp;", "&amp;IF($DX12=1,27,18)&amp;" PE",""),IF(AND(7&gt;$DZ12,7&lt;=$HK$4),"7 → "&amp;$GI12&amp;", "&amp;IF($DX12=1,32,21)&amp;" PE",""))))</f>
        <v/>
      </c>
      <c r="HA12" s="155">
        <f>IF(OR($EI12=0,$EL12=0),"","−"&amp;INDEX($Q$2:$V$8,$DZ12,$EL12)&amp;" · "&amp;CHOOSE($EL12,"Leve","Média","Pesada","Leve · Livre","Média · Livre","Pesada · Livre"))</f>
        <v/>
      </c>
      <c r="HB12" s="155">
        <f>IF(OR($EI12=0,$EM12=0),"","−"&amp;INDEX($Q$2:$V$8,$DZ12,$EM12)&amp;" · "&amp;CHOOSE($EM12,"Leve","Média","Pesada","Leve · Livre","Média · Livre","Pesada · Livre"))</f>
        <v/>
      </c>
      <c r="HC12" s="155">
        <f>IF(OR($EI12=0,$EN12=0),"","−"&amp;INDEX($Q$2:$V$8,$DZ12,$EN12)&amp;" · "&amp;CHOOSE($EN12,"Leve","Média","Pesada","Leve · Livre","Média · Livre","Pesada · Livre"))</f>
        <v/>
      </c>
      <c r="HD12" s="155">
        <f>IF(OR($EI12=0,$EO12=0),"","−"&amp;INDEX($Q$2:$V$8,$DZ12,$EO12)&amp;" · "&amp;CHOOSE($EO12,"Leve","Média","Pesada","Leve · Livre","Média · Livre","Pesada · Livre"))</f>
        <v/>
      </c>
      <c r="HE12" s="155">
        <f>IF(OR($EI12=0,$EG12=""),"","+"&amp;IF($EZ12=1,CEILING($DZ12/2,1),$DZ12))</f>
        <v/>
      </c>
      <c r="HF12" s="155">
        <f>IF(OR($EI12=0,$EH12=""),"","+"&amp;IF($FA12=1,CEILING($DZ12/2,1),$DZ12))</f>
        <v/>
      </c>
      <c r="HG12" s="155">
        <f>'FICHA AMALDIÇOADA'!$J$116&amp;""</f>
        <v/>
      </c>
      <c r="HH12" s="155">
        <f>IF(AND($EI12=1,$DX12=0),COUNTIFS($EI$2:$EI12,1,$DX$2:$DX12,0),"")</f>
        <v/>
      </c>
      <c r="HJ12" s="153" t="inlineStr">
        <is>
          <t>espaços do nível</t>
        </is>
      </c>
      <c r="HK12" s="155">
        <f>2+INT($HK$2/2)+$HK$5</f>
        <v/>
      </c>
      <c r="HM12" s="153" t="inlineStr">
        <is>
          <t>Talento 11 · Leque</t>
        </is>
      </c>
      <c r="HN12" s="155">
        <f>'FICHA AMALDIÇOADA'!$P$405&amp;""</f>
        <v/>
      </c>
      <c r="HO12" s="155">
        <f>IFERROR(VLOOKUP($HN12,$BS$2:$BY$24,2,FALSE),0)</f>
        <v/>
      </c>
      <c r="HP12" s="155">
        <f>IFERROR(VLOOKUP($HO12,$CA$2:$CB$4,2,FALSE),0)</f>
        <v/>
      </c>
      <c r="HQ12" s="155">
        <f>IFERROR(VLOOKUP($HN12,$BS$2:$BY$24,3,FALSE),"")</f>
        <v/>
      </c>
      <c r="HR12" s="155">
        <f>IF($HO12=0,"",IF($HP12&gt;$HK$2,"⚠ Nível "&amp;$HP12,"CE "&amp;$HO12))</f>
        <v/>
      </c>
      <c r="HS12" s="155">
        <f>IF($HO12=0,"",IF(6&gt;$HK$8,"⚠ Vaga","Grátis"))</f>
        <v/>
      </c>
      <c r="HT12" s="155">
        <f>'FICHA AMALDIÇOADA'!$Q$410&amp;""</f>
        <v/>
      </c>
      <c r="HU12" s="155">
        <f>IF($HN12="","",COUNTIF($HN$2:$HN12,"?*"))</f>
        <v/>
      </c>
      <c r="HW12" s="153" t="inlineStr">
        <is>
          <t>Aptidão 11</t>
        </is>
      </c>
      <c r="HX12" s="155">
        <f>'FICHA AMALDIÇOADA'!$J$492&amp;""</f>
        <v/>
      </c>
      <c r="HY12" s="155">
        <f>IF($HX12="","","Requisito: "&amp;IFERROR(VLOOKUP($HX12,$CD$2:$CM$33,2,FALSE),""))</f>
        <v/>
      </c>
      <c r="HZ12" s="155">
        <f>IF($HX12="","",IFERROR(IF(ISNUMBER(VLOOKUP($HX12,$CD$2:$CM$33,3,FALSE)),"CE "&amp;VLOOKUP($HX12,$CD$2:$CM$33,3,FALSE),VLOOKUP($HX12,$CD$2:$CM$33,3,FALSE)),""))</f>
        <v/>
      </c>
      <c r="IA12" s="155">
        <f>IF($HX12="","",IFERROR(VLOOKUP($HX12,$CD$2:$CM$33,4,FALSE),""))</f>
        <v/>
      </c>
      <c r="IB12" s="155">
        <f>IF($HX12="","",IFERROR(VLOOKUP($HX12,$CD$2:$CM$33,5,FALSE),""))</f>
        <v/>
      </c>
      <c r="IC12" s="155">
        <f>'FICHA AMALDIÇOADA'!$K$509&amp;""</f>
        <v/>
      </c>
      <c r="ID12" s="155">
        <f>IF($HX12="","",COUNTIF($HX$2:$HX12,"?*"))</f>
        <v/>
      </c>
      <c r="JF12" s="155" t="n">
        <v>11</v>
      </c>
      <c r="JG12" s="155">
        <f>IFERROR(MATCH(11,$HH$2:$HH$37,0),0)</f>
        <v/>
      </c>
      <c r="JH12" s="155">
        <f>IF($JG12=0,"",INDEX($DZ$2:$DZ$37,$JG12))</f>
        <v/>
      </c>
      <c r="JI12" s="155">
        <f>IF($JG12=0,"",INDEX($EA$2:$EA$37,$JG12))</f>
        <v/>
      </c>
      <c r="JJ12" s="155">
        <f>IF($JG12=0,"",INDEX($GP$2:$GP$37,$JG12))</f>
        <v/>
      </c>
      <c r="JK12" s="155">
        <f>IF($JG12=0,"",INDEX($EB$2:$EB$37,$JG12))</f>
        <v/>
      </c>
      <c r="JL12" s="155">
        <f>IF($JG12=0,"",INDEX($GR$2:$GR$37,$JG12))</f>
        <v/>
      </c>
      <c r="JM12" s="155">
        <f>IF($JG12=0,"",INDEX($HG$2:$HG$37,$JG12))</f>
        <v/>
      </c>
      <c r="KD12" s="153" t="inlineStr">
        <is>
          <t>Talento 9</t>
        </is>
      </c>
      <c r="KE12" s="155">
        <f>IFERROR(MATCH(9,$HU$2:$HU$13,0),0)</f>
        <v/>
      </c>
      <c r="KF12" s="155">
        <f>IF($KE12=0,"",IF(INDEX($HO$2:$HO$13,$KE12)=0,"","CE "&amp;INDEX($HO$2:$HO$13,$KE12)))</f>
        <v/>
      </c>
      <c r="KG12" s="155">
        <f>IF($KE12=0,"",INDEX($HN$2:$HN$13,$KE12))</f>
        <v/>
      </c>
      <c r="KH12" s="155">
        <f>IF($KE12=0,"",IF(INDEX($HT$2:$HT$13,$KE12)&lt;&gt;"",INDEX($HT$2:$HT$13,$KE12),IF(IFERROR(VLOOKUP(INDEX($HN$2:$HN$13,$KE12),$BS$2:$BY$24,7,FALSE),"")&lt;&gt;"","Do livro: "&amp;IFERROR(VLOOKUP(INDEX($HN$2:$HN$13,$KE12),$BS$2:$BY$24,7,FALSE),""),"")))</f>
        <v/>
      </c>
      <c r="KJ12" s="153" t="inlineStr">
        <is>
          <t>Aptidão 9</t>
        </is>
      </c>
      <c r="KK12" s="155">
        <f>IFERROR(MATCH(9,$ID$2:$ID$13,0),0)</f>
        <v/>
      </c>
      <c r="KL12" s="155">
        <f>IF($KK12=0,"",INDEX($HZ$2:$HZ$13,$KK12))</f>
        <v/>
      </c>
      <c r="KM12" s="155">
        <f>IF($KK12=0,"",INDEX($HX$2:$HX$13,$KK12))</f>
        <v/>
      </c>
      <c r="KN12" s="155">
        <f>IF($KK12=0,"",IF(INDEX($IC$2:$IC$13,$KK12)&lt;&gt;"",INDEX($IC$2:$IC$13,$KK12),IF(IFERROR(VLOOKUP(INDEX($HX$2:$HX$13,$KK12),$CD$2:$CM$33,10,FALSE),"")&lt;&gt;"","Do livro: "&amp;IFERROR(VLOOKUP(INDEX($HX$2:$HX$13,$KK12),$CD$2:$CM$33,10,FALSE),""),"")))</f>
        <v/>
      </c>
      <c r="KP12" s="153" t="inlineStr">
        <is>
          <t>par 6</t>
        </is>
      </c>
      <c r="KQ12" s="155">
        <f>UPPER(INDEX($D$3:$G$3,1,$A$2))&amp;" 19 A 24"</f>
        <v/>
      </c>
      <c r="KS12" s="153" t="inlineStr">
        <is>
          <t>J17</t>
        </is>
      </c>
      <c r="KT12" s="155">
        <f>IF(DADOS_AM!$HK$42=1,"GRUPO 2","—")</f>
        <v/>
      </c>
    </row>
    <row r="13">
      <c r="C13" s="153" t="inlineStr">
        <is>
          <t>peça da rota</t>
        </is>
      </c>
      <c r="D13" s="153" t="inlineStr">
        <is>
          <t>—</t>
        </is>
      </c>
      <c r="E13" s="153" t="inlineStr">
        <is>
          <t>Semente</t>
        </is>
      </c>
      <c r="F13" s="153" t="inlineStr">
        <is>
          <t>Equipamento</t>
        </is>
      </c>
      <c r="G13" s="153" t="inlineStr">
        <is>
          <t>Equipamento</t>
        </is>
      </c>
      <c r="AO13" s="153" t="inlineStr">
        <is>
          <t>Aura · classes 6 e 7</t>
        </is>
      </c>
      <c r="AP13" s="153" t="inlineStr">
        <is>
          <t>Raio 4,5 m, em você</t>
        </is>
      </c>
      <c r="AQ13" s="153" t="inlineStr">
        <is>
          <t>Raio 6 m, em você</t>
        </is>
      </c>
      <c r="AR13" s="153" t="inlineStr">
        <is>
          <t>Raio 9 m, em você</t>
        </is>
      </c>
      <c r="AS13" s="153" t="inlineStr">
        <is>
          <t>Raio 15 m, em você</t>
        </is>
      </c>
      <c r="AT13" s="153" t="inlineStr">
        <is>
          <t>Raio 15 m, em você</t>
        </is>
      </c>
      <c r="AU13" s="153" t="inlineStr">
        <is>
          <t>Raio 15 m, em você</t>
        </is>
      </c>
      <c r="AV13" s="153" t="inlineStr"/>
      <c r="AW13" s="153" t="inlineStr"/>
      <c r="AX13" s="153" t="inlineStr"/>
      <c r="AY13" s="153" t="inlineStr"/>
      <c r="AZ13" s="153" t="inlineStr"/>
      <c r="BA13" s="153" t="inlineStr"/>
      <c r="BC13" s="153" t="inlineStr">
        <is>
          <t>Rajada</t>
        </is>
      </c>
      <c r="BD13" s="153" t="inlineStr">
        <is>
          <t>Área</t>
        </is>
      </c>
      <c r="BE13" s="155" t="n">
        <v>1</v>
      </c>
      <c r="BF13" s="155">
        <f>$BE13+3*IFERROR(VLOOKUP($BD13,$I$2:$L$10,3,FALSE),0)</f>
        <v/>
      </c>
      <c r="BG13" s="155">
        <f>IFERROR(VLOOKUP($BD13,$I$2:$L$10,4,FALSE),0)</f>
        <v/>
      </c>
      <c r="BH13" s="155" t="n">
        <v>0</v>
      </c>
      <c r="BI13" s="155">
        <f>IF($BG13=1,"",$BC13)</f>
        <v/>
      </c>
      <c r="BJ13" s="155">
        <f>IF(AND($BE13=1,$BG13=0),$BC13,"")</f>
        <v/>
      </c>
      <c r="BK13" s="155" t="n">
        <v>0</v>
      </c>
      <c r="BM13" s="153" t="inlineStr">
        <is>
          <t>Frágil</t>
        </is>
      </c>
      <c r="BN13" s="153" t="inlineStr">
        <is>
          <t>Frágil</t>
        </is>
      </c>
      <c r="BO13" s="155" t="n">
        <v>1</v>
      </c>
      <c r="BP13" s="155" t="n">
        <v>0</v>
      </c>
      <c r="BQ13" s="153" t="inlineStr">
        <is>
          <t>Frágil</t>
        </is>
      </c>
      <c r="BS13" s="153" t="inlineStr">
        <is>
          <t>Contramedida</t>
        </is>
      </c>
      <c r="BT13" s="155" t="n">
        <v>2</v>
      </c>
      <c r="BU13"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55" t="n">
        <v>1</v>
      </c>
      <c r="BW13" s="155" t="n">
        <v>0</v>
      </c>
      <c r="BX13" s="155">
        <f>IF(OR(AND($A$2&lt;=2,$BV13=1),AND($A$2&gt;=2,$BW13=1)),$BS13,"")</f>
        <v/>
      </c>
      <c r="BY13"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3" t="inlineStr">
        <is>
          <t>Extensão de Domínio</t>
        </is>
      </c>
      <c r="CE13" s="153" t="inlineStr">
        <is>
          <t>Refino 7 e nível 18; aprendizado registrado; indisponível ao Corpo Amaldiçoado</t>
        </is>
      </c>
      <c r="CF13" s="155" t="n">
        <v>3</v>
      </c>
      <c r="CG13" s="153" t="inlineStr">
        <is>
          <t>—</t>
        </is>
      </c>
      <c r="CH13" s="153"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nos Refino 7–8 e 4 nos Refino 9–10. Isso não apaga a técnica de quem a criou nem seus efeitos longe de você.</t>
        </is>
      </c>
      <c r="CI13" s="155">
        <f>IF($CL13=1,"",IF($A$2=4,IF($CJ13=1,$CD13,""),IF(OR($CJ13=1,AND($A$2=3,$CK13=1)),"",$CD13)))</f>
        <v/>
      </c>
      <c r="CJ13" s="155" t="n">
        <v>0</v>
      </c>
      <c r="CK13" s="155" t="n">
        <v>1</v>
      </c>
      <c r="CL13" s="155" t="n">
        <v>0</v>
      </c>
      <c r="CM13" s="153" t="inlineStr">
        <is>
          <t>Você precisa ter visto uma Extensão em uso, estudado seu funcionamento ou aprendido com alguém.</t>
        </is>
      </c>
      <c r="CU13" s="153" t="inlineStr">
        <is>
          <t>Machado</t>
        </is>
      </c>
      <c r="CV13" s="155" t="n">
        <v>1</v>
      </c>
      <c r="CW13" s="155" t="n">
        <v>1</v>
      </c>
      <c r="CX13" s="155">
        <f>IF(AND($A$2&gt;=3,'FICHA AMALDIÇOADA'!$J$16&amp;""="Três grupos de arma"),$CU13,"")</f>
        <v/>
      </c>
      <c r="DW13" s="153" t="inlineStr">
        <is>
          <t>Feitiço 12</t>
        </is>
      </c>
      <c r="DX13" s="155" t="n">
        <v>0</v>
      </c>
      <c r="DY13" s="155" t="n">
        <v>12</v>
      </c>
      <c r="DZ13" s="155">
        <f>MAX(1,MIN(7,N('FICHA AMALDIÇOADA'!$P$114)))</f>
        <v/>
      </c>
      <c r="EA13" s="155">
        <f>'FICHA AMALDIÇOADA'!$Q$114&amp;""</f>
        <v/>
      </c>
      <c r="EB13" s="155">
        <f>'FICHA AMALDIÇOADA'!$P$121&amp;""</f>
        <v/>
      </c>
      <c r="EC13" s="155">
        <f>'FICHA AMALDIÇOADA'!$Q$123&amp;""</f>
        <v/>
      </c>
      <c r="ED13" s="155">
        <f>'FICHA AMALDIÇOADA'!$Q$124&amp;""</f>
        <v/>
      </c>
      <c r="EE13" s="155">
        <f>'FICHA AMALDIÇOADA'!$Q$125&amp;""</f>
        <v/>
      </c>
      <c r="EF13" s="155">
        <f>'FICHA AMALDIÇOADA'!$Q$126&amp;""</f>
        <v/>
      </c>
      <c r="EG13" s="155">
        <f>'FICHA AMALDIÇOADA'!$Q$127&amp;""</f>
        <v/>
      </c>
      <c r="EH13" s="155">
        <f>'FICHA AMALDIÇOADA'!$Q$128&amp;""</f>
        <v/>
      </c>
      <c r="EI13" s="155">
        <f>IF($EA13&lt;&gt;"",1,0)</f>
        <v/>
      </c>
      <c r="EJ13" s="155">
        <f>IFERROR(MATCH($EB13,$Y$2:$Y$11,0),0)</f>
        <v/>
      </c>
      <c r="EK13" s="155">
        <f>IF($EJ13=0,0,INDEX($AB$2:$AB$11,$EJ13))</f>
        <v/>
      </c>
      <c r="EL13" s="155">
        <f>IFERROR(VLOOKUP($EC13,$BC$2:$BK$84,4,FALSE),0)</f>
        <v/>
      </c>
      <c r="EM13" s="155">
        <f>IFERROR(VLOOKUP($ED13,$BC$2:$BK$84,4,FALSE),0)</f>
        <v/>
      </c>
      <c r="EN13" s="155">
        <f>IFERROR(VLOOKUP($EE13,$BC$2:$BK$84,4,FALSE),0)</f>
        <v/>
      </c>
      <c r="EO13" s="155">
        <f>IFERROR(VLOOKUP($EF13,$BC$2:$BK$84,4,FALSE),0)</f>
        <v/>
      </c>
      <c r="EP13" s="155">
        <f>IF($EJ13=0,0,INDEX($AC$2:$AC$11,$EJ13))</f>
        <v/>
      </c>
      <c r="EQ13" s="155">
        <f>IFERROR(VLOOKUP($EC13,$BC$2:$BK$84,5,FALSE),0)</f>
        <v/>
      </c>
      <c r="ER13" s="155">
        <f>IFERROR(VLOOKUP($ED13,$BC$2:$BK$84,5,FALSE),0)</f>
        <v/>
      </c>
      <c r="ES13" s="155">
        <f>IFERROR(VLOOKUP($EE13,$BC$2:$BK$84,5,FALSE),0)</f>
        <v/>
      </c>
      <c r="ET13" s="155">
        <f>IFERROR(VLOOKUP($EF13,$BC$2:$BK$84,5,FALSE),0)</f>
        <v/>
      </c>
      <c r="EU13" s="155">
        <f>IFERROR(VLOOKUP($EC13,$BC$2:$BK$84,6,FALSE),0)+IFERROR(VLOOKUP($ED13,$BC$2:$BK$84,6,FALSE),0)+IFERROR(VLOOKUP($EE13,$BC$2:$BK$84,6,FALSE),0)+IFERROR(VLOOKUP($EF13,$BC$2:$BK$84,6,FALSE),0)</f>
        <v/>
      </c>
      <c r="EV13" s="155">
        <f>IFERROR(VLOOKUP($EC13,$BC$2:$BK$84,9,FALSE),0)+IFERROR(VLOOKUP($ED13,$BC$2:$BK$84,9,FALSE),0)+IFERROR(VLOOKUP($EE13,$BC$2:$BK$84,9,FALSE),0)+IFERROR(VLOOKUP($EF13,$BC$2:$BK$84,9,FALSE),0)</f>
        <v/>
      </c>
      <c r="EW13" s="155">
        <f>IF($EJ13=0,0,INDEX($AD$2:$AD$11,$EJ13))</f>
        <v/>
      </c>
      <c r="EX13" s="155">
        <f>IF($EJ13=0,0,INDEX($AE$2:$AE$11,$EJ13))</f>
        <v/>
      </c>
      <c r="EY13" s="155">
        <f>IF($EJ13=0,0,INDEX($AG$2:$AG$11,$EJ13))</f>
        <v/>
      </c>
      <c r="EZ13" s="155">
        <f>IFERROR(VLOOKUP($EG13,$BM$2:$BQ$24,3,FALSE),0)</f>
        <v/>
      </c>
      <c r="FA13" s="155">
        <f>IFERROR(VLOOKUP($EH13,$BM$2:$BQ$24,3,FALSE),0)</f>
        <v/>
      </c>
      <c r="FB13" s="155">
        <f>IFERROR(VLOOKUP($EG13,$BM$2:$BQ$24,2,FALSE),"")</f>
        <v/>
      </c>
      <c r="FC13" s="155">
        <f>IFERROR(VLOOKUP($EH13,$BM$2:$BQ$24,2,FALSE),"")</f>
        <v/>
      </c>
      <c r="FD13" s="155">
        <f>COUNTIF($EK13:$EO13,1)</f>
        <v/>
      </c>
      <c r="FE13" s="155">
        <f>COUNTIF($EK13:$EO13,2)</f>
        <v/>
      </c>
      <c r="FF13" s="155">
        <f>COUNTIF($EK13:$EO13,3)</f>
        <v/>
      </c>
      <c r="FG13" s="155">
        <f>COUNTIF($EK13:$EO13,4)</f>
        <v/>
      </c>
      <c r="FH13" s="155">
        <f>COUNTIF($EK13:$EO13,5)</f>
        <v/>
      </c>
      <c r="FI13" s="155">
        <f>COUNTIF($EK13:$EO13,6)</f>
        <v/>
      </c>
      <c r="FJ13" s="155">
        <f>COUNTIF($EZ13:$FA13,1)</f>
        <v/>
      </c>
      <c r="FK13" s="155">
        <f>COUNTIF($EZ13:$FA13,2)+$EW13</f>
        <v/>
      </c>
      <c r="FL13" s="155">
        <f>COUNTIF($EC13:$EF13,"?*")</f>
        <v/>
      </c>
      <c r="FM13" s="155">
        <f>COUNTIF($EG13:$EH13,"?*")+$EW13</f>
        <v/>
      </c>
      <c r="FN13" s="155">
        <f>SUMPRODUCT($FD13:$FI13,INDEX($Q$2:$V$8,$DZ13,0))</f>
        <v/>
      </c>
      <c r="FO13" s="155">
        <f>$FJ13*CEILING($DZ13/2,1)+$FK13*$DZ13</f>
        <v/>
      </c>
      <c r="FP13" s="155">
        <f>MIN(2*$DZ13,$FO13)</f>
        <v/>
      </c>
      <c r="FQ13" s="155">
        <f>MIN($FP13,$FN13)</f>
        <v/>
      </c>
      <c r="FR13" s="155">
        <f>$FP13-$FQ13</f>
        <v/>
      </c>
      <c r="FS13" s="155">
        <f>3*$DZ13-$FN13+$FQ13</f>
        <v/>
      </c>
      <c r="FT13" s="155">
        <f>MAX(0,$FS13)+$DX13*$DZ13</f>
        <v/>
      </c>
      <c r="FU13" s="155">
        <f>(IF(COUNTIF($EC13:$EF13,"Salto")&gt;0,1,0)+IF(COUNTIF($EC13:$EF13,"Queima")&gt;0,1,0)+IF(COUNTIF($EC13:$EF13,"Estilhaço")&gt;0,1,0))*FLOOR($FT13/2,1)</f>
        <v/>
      </c>
      <c r="FV13" s="155">
        <f>MAX(0,3-SUMPRODUCT($FD13:$FI13,$Q$2:$V$2)+MIN(2,$FJ13*1+$FK13*1,SUMPRODUCT($FD13:$FI13,$Q$2:$V$2)))+$DX13*1</f>
        <v/>
      </c>
      <c r="FW13" s="155">
        <f>MAX(0,6-SUMPRODUCT($FD13:$FI13,$Q$3:$V$3)+MIN(4,$FJ13*1+$FK13*2,SUMPRODUCT($FD13:$FI13,$Q$3:$V$3)))+$DX13*2</f>
        <v/>
      </c>
      <c r="FX13" s="155">
        <f>MAX(0,9-SUMPRODUCT($FD13:$FI13,$Q$4:$V$4)+MIN(6,$FJ13*2+$FK13*3,SUMPRODUCT($FD13:$FI13,$Q$4:$V$4)))+$DX13*3</f>
        <v/>
      </c>
      <c r="FY13" s="155">
        <f>MAX(0,12-SUMPRODUCT($FD13:$FI13,$Q$5:$V$5)+MIN(8,$FJ13*2+$FK13*4,SUMPRODUCT($FD13:$FI13,$Q$5:$V$5)))+$DX13*4</f>
        <v/>
      </c>
      <c r="FZ13" s="155">
        <f>MAX(0,15-SUMPRODUCT($FD13:$FI13,$Q$6:$V$6)+MIN(10,$FJ13*3+$FK13*5,SUMPRODUCT($FD13:$FI13,$Q$6:$V$6)))+$DX13*5</f>
        <v/>
      </c>
      <c r="GA13" s="155">
        <f>MAX(0,18-SUMPRODUCT($FD13:$FI13,$Q$7:$V$7)+MIN(12,$FJ13*3+$FK13*6,SUMPRODUCT($FD13:$FI13,$Q$7:$V$7)))+$DX13*6</f>
        <v/>
      </c>
      <c r="GB13" s="155">
        <f>MAX(0,21-SUMPRODUCT($FD13:$FI13,$Q$8:$V$8)+MIN(14,$FJ13*4+$FK13*7,SUMPRODUCT($FD13:$FI13,$Q$8:$V$8)))+$DX13*7</f>
        <v/>
      </c>
      <c r="GC13" s="155">
        <f>IF($EX13=2,3*$FV13&amp;" de vida temp.",IF($EX13=3,"sem dano",IF($FV13=0,IF($EX13=1,"sem cura","sem dano"),IF($EX13=1,"cura ","")&amp;$FV13&amp;"d8")))</f>
        <v/>
      </c>
      <c r="GD13" s="155">
        <f>IF($EX13=2,3*$FW13&amp;" de vida temp.",IF($EX13=3,"sem dano",IF($FW13=0,IF($EX13=1,"sem cura","sem dano"),IF($EX13=1,"cura ","")&amp;$FW13&amp;"d8")))</f>
        <v/>
      </c>
      <c r="GE13" s="155">
        <f>IF($EX13=2,3*$FX13&amp;" de vida temp.",IF($EX13=3,"sem dano",IF($FX13=0,IF($EX13=1,"sem cura","sem dano"),IF($EX13=1,"cura ","")&amp;$FX13&amp;"d8")))</f>
        <v/>
      </c>
      <c r="GF13" s="155">
        <f>IF($EX13=2,3*$FY13&amp;" de vida temp.",IF($EX13=3,"sem dano",IF($FY13=0,IF($EX13=1,"sem cura","sem dano"),IF($EX13=1,"cura ","")&amp;$FY13&amp;"d8")))</f>
        <v/>
      </c>
      <c r="GG13" s="155">
        <f>IF($EX13=2,3*$FZ13&amp;" de vida temp.",IF($EX13=3,"sem dano",IF($FZ13=0,IF($EX13=1,"sem cura","sem dano"),IF($EX13=1,"cura ","")&amp;$FZ13&amp;"d8")))</f>
        <v/>
      </c>
      <c r="GH13" s="155">
        <f>IF($EX13=2,3*$GA13&amp;" de vida temp.",IF($EX13=3,"sem dano",IF($GA13=0,IF($EX13=1,"sem cura","sem dano"),IF($EX13=1,"cura ","")&amp;$GA13&amp;"d8")))</f>
        <v/>
      </c>
      <c r="GI13" s="155">
        <f>IF($EX13=2,3*$GB13&amp;" de vida temp.",IF($EX13=3,"sem dano",IF($GB13=0,IF($EX13=1,"sem cura","sem dano"),IF($EX13=1,"cura ","")&amp;$GB13&amp;"d8")))</f>
        <v/>
      </c>
      <c r="GJ13" s="155">
        <f>IF($EI13=0,"",TEXTJOIN(" · ",TRUE,IF(AND($DX13=1,$DY13&gt;$HK$9),"O nível "&amp;$HK$2&amp;" dá "&amp;$HK$9&amp;" Liberação Máxima",""),IF($DZ13&gt;$HK$4,"Classe "&amp;$DZ13&amp;": o nível "&amp;$HK$2&amp;" libera até a "&amp;$HK$4,""),IF($EP13=1,"Família Fechada: a Forma "&amp;$EB13,""),IF($EQ13=1,"Família Fechada: "&amp;$EC13,""),IF($ER13=1,"Família Fechada: "&amp;$ED13,""),IF($ES13=1,"Família Fechada: "&amp;$EE13,""),IF($ET13=1,"Família Fechada: "&amp;$EF13,""),IF($FL13&gt;INDEX($W$2:$W$8,$DZ13),$FL13&amp;" Melhorias: a Classe "&amp;$DZ13&amp;" aceita "&amp;INDEX($W$2:$W$8,$DZ13),""),IF($FM13&gt;2,$FM13&amp;" Restrições"&amp;IF($EW13=1,", contando a que a Forma "&amp;$EB13&amp;" já traz","")&amp;": o limite é 2",""),IF($FS13&lt;0,"Orçamento estourado: faltam "&amp;(-$FS13)&amp;IF($FS13&lt;-1," pontos"," ponto"),""),IF(IFERROR(VLOOKUP($EG13,$BM$2:$BQ$24,4,FALSE),0)+IFERROR(VLOOKUP($EH13,$BM$2:$BQ$24,4,FALSE),0)&gt;1,$FB13&amp;" e "&amp;$FC13&amp;" são as duas de frequência",""),IF(AND((COUNTIF($EC13:$EF13,"Rápido")+COUNTIF($FB13:$FC13,"Rápido"))&gt;0,(COUNTIF($EC13:$EF13,"Atrasar")+COUNTIF($FB13:$FC13,"Atrasar"))&gt;0),"Rápido não entra com Atrasar",""),IF(AND((COUNTIF($EC13:$EF13,"Reação")+COUNTIF($FB13:$FC13,"Reação"))&gt;0,(COUNTIF($EC13:$EF13,"Rápido")+COUNTIF($FB13:$FC13,"Rápido"))&gt;0),"Reação não entra com Rápido",""),IF(AND((COUNTIF($EC13:$EF13,"Reação")+COUNTIF($FB13:$FC13,"Reação"))&gt;0,(COUNTIF($EC13:$EF13,"Armado")+COUNTIF($FB13:$FC13,"Armado"))&gt;0),"Reação não entra com Armado",""),IF(AND((COUNTIF($EC13:$EF13,"Reação")+COUNTIF($FB13:$FC13,"Reação"))&gt;0,(COUNTIF($EC13:$EF13,"Atrasar")+COUNTIF($FB13:$FC13,"Atrasar"))&gt;0),"Reação não entra com Atrasar",""),IF(AND((COUNTIF($EC13:$EF13,"Reação")+COUNTIF($FB13:$FC13,"Reação"))&gt;0,(COUNTIF($EC13:$EF13,"Parado")+COUNTIF($FB13:$FC13,"Parado"))&gt;0),"Reação não entra com Parado",""),IF(AND((COUNTIF($EC13:$EF13,"Atrasar")+COUNTIF($FB13:$FC13,"Atrasar"))&gt;0,(COUNTIF($EC13:$EF13,"Parado")+COUNTIF($FB13:$FC13,"Parado"))&gt;0),"Atrasar não entra com Parado",""),IF(AND((COUNTIF($EC13:$EF13,"Armado")+COUNTIF($FB13:$FC13,"Armado"))&gt;0,(COUNTIF($EC13:$EF13,"Carregar")+COUNTIF($FB13:$FC13,"Carregar"))&gt;0),"Armado não entra com Carregar",""),IF(AND(COUNTIF($FB13:$FC13,"Corpo a Corpo")&gt;0,$EW13=0,OR($EB13="Cone",$EB13="Linha")),"Corpo a Corpo não entra em "&amp;$EB13,""),IF(AND(COUNTIF($FB13:$FC13,"Corpo a Corpo")&gt;0,$EW13=1),"A Forma "&amp;$EB13&amp;" já traz o Corpo a Corpo",""),IF(AND(COUNTIF($FB13:$FC13,"Tudo ou Nada")&gt;0,$EY13=0),"Tudo ou Nada só entra em feitiço de Teste de Resistência",""),IF(AND(COUNTIF($EC13:$EF13,"Inescapável")&gt;0,OR($FL13&gt;1,$FM13&gt;0)),"Inescapável não aceita outra peça",""),IF(AND($DX13=1,$DZ13&lt;3),"Liberação Máxima é de Classe 3 ou mais",""),IF(AND($DX13=1,OR($EX13=1,$EX13=2)),"Liberação Máxima não serve para cura",""),IF(AND($DX13=1,COUNTIF($EC13:$EF13,"Inescapável")+COUNTIF($EC13:$EF13,"Toca a Alma")&gt;0),"Esta peça não entra numa Liberação Máxima",""),IF($FT13*IF(COUNTIF($EC13:$EF13,"Remate")&gt;0,1.25,1)+$FU13&gt;4*$DZ13,($FT13*IF(COUNTIF($EC13:$EF13,"Remate")&gt;0,1.25,1)+$FU13)&amp;" dados somando repetições"&amp;IF(COUNTIF($EC13:$EF13,"Remate")&gt;0," e o Remate","")&amp;": o teto da Classe "&amp;$DZ13&amp;" é "&amp;4*$DZ13,"")))</f>
        <v/>
      </c>
      <c r="GK13" s="155">
        <f>IF($GJ13="",0,(LEN($GJ13)-LEN(SUBSTITUTE($GJ13," · ","")))/3+1)</f>
        <v/>
      </c>
      <c r="GL13" s="155">
        <f>IF($EI13=0,"",TEXTJOIN(" · ",TRUE,IF($FO13&gt;2*$DZ13,"A devolução parou no teto de "&amp;2*$DZ13,""),IF($FR13&gt;0,"Devolução perdida: "&amp;$FR13&amp;IF($FR13&gt;1," pontos"," ponto")&amp;" sem peça para pagar",""),IF(AND($EU13&gt;0,$FT13=0),"Controle sem dano: uma rodada a mais e CD +2",""),IF(AND($EU13&gt;0,$FT13&gt;0,$FT13&lt;=$DZ13),"Controle com saldo até a Classe: uma rodada a mais","")))</f>
        <v/>
      </c>
      <c r="GM13" s="155">
        <f>IF($GL13="",0,(LEN($GL13)-LEN(SUBSTITUTE($GL13," · ","")))/3+1)</f>
        <v/>
      </c>
      <c r="GN13" s="155">
        <f>IF($EI13=0,IF($FL13+$FM13-$EW13&gt;0,"Dê um nome",""),IF($GK13&gt;0,"⚠ "&amp;$GK13&amp;IF($GK13&gt;1," erros"," erro"),IF($GM13&gt;0,"! "&amp;$GM13&amp;IF($GM13&gt;1," avisos"," aviso"),"Na regra")))</f>
        <v/>
      </c>
      <c r="GO13" s="155">
        <f>IF($EI13=0,"",IF($GK13+$GM13=0,"Dentro das regras que a ficha confere",$GJ13&amp;IF(AND($GK13&gt;0,$GM13&gt;0)," · ","")&amp;$GL13))</f>
        <v/>
      </c>
      <c r="GP13" s="155">
        <f>IF($EI13=0,"",IF($DX13=1,CEILING(4.5*$DZ13,1),3*$DZ13)&amp;" PE")</f>
        <v/>
      </c>
      <c r="GQ13" s="155">
        <f>IF($EI13=0,"",IF($DX13=1,"Rodada inteira",IF(COUNTIF($FB13:$FC13,"Atrasar")&gt;0,IF(COUNTIF($FB13:$FC13,"Carregar")&gt;0,"Rodada +1 turno","Rodada inteira"),IF(COUNTIF($EC13:$EF13,"Rápido")&gt;0,"Bônus",IF(COUNTIF($EC13:$EF13,"Reação")&gt;0,"Reação","Padrão"))&amp;IF(COUNTIF($FB13:$FC13,"Carregar")&gt;0," +1 turno",""))))</f>
        <v/>
      </c>
      <c r="GR13" s="155">
        <f>IF(OR($EI13=0,$EJ13=0),"",IF(COUNTIF($EC13:$EF13,"Inescapável")&gt;0,"Automático",IF(COUNTIF($EC13:$EF13,"Certeiro")&gt;0,"TR para metade",IF(AND($EV13&gt;0,$EY13=0,INDEX($AF$2:$AF$11,$EJ13)="Acerto"),"Acerto + TR",INDEX($AF$2:$AF$11,$EJ13)))))</f>
        <v/>
      </c>
      <c r="GS13" s="155">
        <f>IF(OR($EI13=0,$EJ13=0),"",IF(OR($EX13&gt;=2,$FT13=0),UPPER(LEFT(INDEX($GC13:$GI13,1,$DZ13),1))&amp;MID(INDEX($GC13:$GI13,1,$DZ13),2,99),UPPER(LEFT(INDEX($GC13:$GI13,1,$DZ13),1))&amp;MID(INDEX($GC13:$GI13,1,$DZ13),2,99)&amp;" = "&amp;FLOOR($FT13*4.5,1)&amp;IF($FU13&gt;0," · +"&amp;$FU13&amp;"d8","")))</f>
        <v/>
      </c>
      <c r="GT13" s="155">
        <f>COUNTIF($EC13:$EF13,"Longe")+3*COUNTIF($EC13:$EF13,"Muito Longe")</f>
        <v/>
      </c>
      <c r="GU13" s="155">
        <f>COUNTIF($EC13:$EF13,"Maior")+3*COUNTIF($EC13:$EF13,"Muito Maior")</f>
        <v/>
      </c>
      <c r="GV13" s="155">
        <f>IF($EJ13=0,0,CHOOSE(1+INDEX($AH$2:$AH$11,$EJ13),0,$GT13,$GU13,$GT13+$GU13))</f>
        <v/>
      </c>
      <c r="GW13" s="155">
        <f>IF($EJ13=0,0,CHOOSE(1+INDEX($AI$2:$AI$11,$EJ13),0,$GT13,$GU13,$GT13+$GU13))</f>
        <v/>
      </c>
      <c r="GX13" s="155">
        <f>IF(OR($EI13=0,$EJ13=0),"",INDEX($AP$2:$AU$31,($EJ13-1)*3+IF($DZ13&gt;=6,3,2),1+MIN(5,$GV13))&amp;INDEX($AV$2:$BA$31,($EJ13-1)*3+IF($DZ13&gt;=6,3,2),1+MIN(5,$GW13))&amp;IF(INDEX($AJ$2:$AJ$11,$EJ13)=1,IF(COUNTIF($EC13:$EF13,"Mais Um")&gt;0," · +"&amp;COUNTIF($EC13:$EF13,"Mais Um")&amp;IF(COUNTIF($EC13:$EF13,"Mais Um")&gt;1," alvos"," alvo"),"")&amp;IF(COUNTIF($EC13:$EF13,"Rajada")&gt;0," · "&amp;($DZ13+1)&amp;" tiros",""),""))</f>
        <v/>
      </c>
      <c r="GY13" s="155">
        <f>IF($EI13=0,"",3*$DZ13&amp;" − "&amp;$FN13&amp;" + "&amp;$FQ13&amp;IF($DX13=1," + "&amp;$DZ13,"")&amp;" = "&amp;$FT13&amp;"d8 · teto "&amp;4*$DZ13&amp;IF($EW13=1," · a Forma devolve "&amp;$DZ13,"")&amp;IF($FR13&gt;0," · perde "&amp;$FR13,""))</f>
        <v/>
      </c>
      <c r="GZ13" s="155">
        <f>IF($EI13=0,"",IF($DZ13&gt;=$HK$4,"Já está na maior Classe que o nível liberou",TEXTJOIN(" · ",TRUE,IF(AND(2&gt;$DZ13,2&lt;=$HK$4),"2 → "&amp;$GD13&amp;", "&amp;IF($DX13=1,9,6)&amp;" PE",""),IF(AND(3&gt;$DZ13,3&lt;=$HK$4),"3 → "&amp;$GE13&amp;", "&amp;IF($DX13=1,14,9)&amp;" PE",""),IF(AND(4&gt;$DZ13,4&lt;=$HK$4),"4 → "&amp;$GF13&amp;", "&amp;IF($DX13=1,18,12)&amp;" PE",""),IF(AND(5&gt;$DZ13,5&lt;=$HK$4),"5 → "&amp;$GG13&amp;", "&amp;IF($DX13=1,23,15)&amp;" PE",""),IF(AND(6&gt;$DZ13,6&lt;=$HK$4),"6 → "&amp;$GH13&amp;", "&amp;IF($DX13=1,27,18)&amp;" PE",""),IF(AND(7&gt;$DZ13,7&lt;=$HK$4),"7 → "&amp;$GI13&amp;", "&amp;IF($DX13=1,32,21)&amp;" PE",""))))</f>
        <v/>
      </c>
      <c r="HA13" s="155">
        <f>IF(OR($EI13=0,$EL13=0),"","−"&amp;INDEX($Q$2:$V$8,$DZ13,$EL13)&amp;" · "&amp;CHOOSE($EL13,"Leve","Média","Pesada","Leve · Livre","Média · Livre","Pesada · Livre"))</f>
        <v/>
      </c>
      <c r="HB13" s="155">
        <f>IF(OR($EI13=0,$EM13=0),"","−"&amp;INDEX($Q$2:$V$8,$DZ13,$EM13)&amp;" · "&amp;CHOOSE($EM13,"Leve","Média","Pesada","Leve · Livre","Média · Livre","Pesada · Livre"))</f>
        <v/>
      </c>
      <c r="HC13" s="155">
        <f>IF(OR($EI13=0,$EN13=0),"","−"&amp;INDEX($Q$2:$V$8,$DZ13,$EN13)&amp;" · "&amp;CHOOSE($EN13,"Leve","Média","Pesada","Leve · Livre","Média · Livre","Pesada · Livre"))</f>
        <v/>
      </c>
      <c r="HD13" s="155">
        <f>IF(OR($EI13=0,$EO13=0),"","−"&amp;INDEX($Q$2:$V$8,$DZ13,$EO13)&amp;" · "&amp;CHOOSE($EO13,"Leve","Média","Pesada","Leve · Livre","Média · Livre","Pesada · Livre"))</f>
        <v/>
      </c>
      <c r="HE13" s="155">
        <f>IF(OR($EI13=0,$EG13=""),"","+"&amp;IF($EZ13=1,CEILING($DZ13/2,1),$DZ13))</f>
        <v/>
      </c>
      <c r="HF13" s="155">
        <f>IF(OR($EI13=0,$EH13=""),"","+"&amp;IF($FA13=1,CEILING($DZ13/2,1),$DZ13))</f>
        <v/>
      </c>
      <c r="HG13" s="155">
        <f>'FICHA AMALDIÇOADA'!$P$116&amp;""</f>
        <v/>
      </c>
      <c r="HH13" s="155">
        <f>IF(AND($EI13=1,$DX13=0),COUNTIFS($EI$2:$EI13,1,$DX$2:$DX13,0),"")</f>
        <v/>
      </c>
      <c r="HJ13" s="153" t="inlineStr">
        <is>
          <t>espaços de pacto</t>
        </is>
      </c>
      <c r="HK13" s="155">
        <f>IF(AND('FICHA AMALDIÇOADA'!$L$518="Permanente",'FICHA AMALDIÇOADA'!$P$518="Um espaço conhecido"),1,0)+IF(AND('FICHA AMALDIÇOADA'!$L$528="Permanente",'FICHA AMALDIÇOADA'!$P$528="Um espaço conhecido"),1,0)+IF(AND('FICHA AMALDIÇOADA'!$L$538="Permanente",'FICHA AMALDIÇOADA'!$P$538="Um espaço conhecido"),1,0)</f>
        <v/>
      </c>
      <c r="HM13" s="153" t="inlineStr">
        <is>
          <t>Talento 12 · Leque</t>
        </is>
      </c>
      <c r="HN13" s="155">
        <f>'FICHA AMALDIÇOADA'!$D$413&amp;""</f>
        <v/>
      </c>
      <c r="HO13" s="155">
        <f>IFERROR(VLOOKUP($HN13,$BS$2:$BY$24,2,FALSE),0)</f>
        <v/>
      </c>
      <c r="HP13" s="155">
        <f>IFERROR(VLOOKUP($HO13,$CA$2:$CB$4,2,FALSE),0)</f>
        <v/>
      </c>
      <c r="HQ13" s="155">
        <f>IFERROR(VLOOKUP($HN13,$BS$2:$BY$24,3,FALSE),"")</f>
        <v/>
      </c>
      <c r="HR13" s="155">
        <f>IF($HO13=0,"",IF($HP13&gt;$HK$2,"⚠ Nível "&amp;$HP13,"CE "&amp;$HO13))</f>
        <v/>
      </c>
      <c r="HS13" s="155">
        <f>IF($HO13=0,"",IF(7&gt;$HK$8,"⚠ Vaga","Grátis"))</f>
        <v/>
      </c>
      <c r="HT13" s="155">
        <f>'FICHA AMALDIÇOADA'!$E$418&amp;""</f>
        <v/>
      </c>
      <c r="HU13" s="155">
        <f>IF($HN13="","",COUNTIF($HN$2:$HN13,"?*"))</f>
        <v/>
      </c>
      <c r="HW13" s="153" t="inlineStr">
        <is>
          <t>Aptidão 12</t>
        </is>
      </c>
      <c r="HX13" s="155">
        <f>'FICHA AMALDIÇOADA'!$P$492&amp;""</f>
        <v/>
      </c>
      <c r="HY13" s="155">
        <f>IF($HX13="","","Requisito: "&amp;IFERROR(VLOOKUP($HX13,$CD$2:$CM$33,2,FALSE),""))</f>
        <v/>
      </c>
      <c r="HZ13" s="155">
        <f>IF($HX13="","",IFERROR(IF(ISNUMBER(VLOOKUP($HX13,$CD$2:$CM$33,3,FALSE)),"CE "&amp;VLOOKUP($HX13,$CD$2:$CM$33,3,FALSE),VLOOKUP($HX13,$CD$2:$CM$33,3,FALSE)),""))</f>
        <v/>
      </c>
      <c r="IA13" s="155">
        <f>IF($HX13="","",IFERROR(VLOOKUP($HX13,$CD$2:$CM$33,4,FALSE),""))</f>
        <v/>
      </c>
      <c r="IB13" s="155">
        <f>IF($HX13="","",IFERROR(VLOOKUP($HX13,$CD$2:$CM$33,5,FALSE),""))</f>
        <v/>
      </c>
      <c r="IC13" s="155">
        <f>'FICHA AMALDIÇOADA'!$Q$509&amp;""</f>
        <v/>
      </c>
      <c r="ID13" s="155">
        <f>IF($HX13="","",COUNTIF($HX$2:$HX13,"?*"))</f>
        <v/>
      </c>
      <c r="JF13" s="155" t="n">
        <v>12</v>
      </c>
      <c r="JG13" s="155">
        <f>IFERROR(MATCH(12,$HH$2:$HH$37,0),0)</f>
        <v/>
      </c>
      <c r="JH13" s="155">
        <f>IF($JG13=0,"",INDEX($DZ$2:$DZ$37,$JG13))</f>
        <v/>
      </c>
      <c r="JI13" s="155">
        <f>IF($JG13=0,"",INDEX($EA$2:$EA$37,$JG13))</f>
        <v/>
      </c>
      <c r="JJ13" s="155">
        <f>IF($JG13=0,"",INDEX($GP$2:$GP$37,$JG13))</f>
        <v/>
      </c>
      <c r="JK13" s="155">
        <f>IF($JG13=0,"",INDEX($EB$2:$EB$37,$JG13))</f>
        <v/>
      </c>
      <c r="JL13" s="155">
        <f>IF($JG13=0,"",INDEX($GR$2:$GR$37,$JG13))</f>
        <v/>
      </c>
      <c r="JM13" s="155">
        <f>IF($JG13=0,"",INDEX($HG$2:$HG$37,$JG13))</f>
        <v/>
      </c>
      <c r="KD13" s="153" t="inlineStr">
        <is>
          <t>Talento 10</t>
        </is>
      </c>
      <c r="KE13" s="155">
        <f>IFERROR(MATCH(10,$HU$2:$HU$13,0),0)</f>
        <v/>
      </c>
      <c r="KF13" s="155">
        <f>IF($KE13=0,"",IF(INDEX($HO$2:$HO$13,$KE13)=0,"","CE "&amp;INDEX($HO$2:$HO$13,$KE13)))</f>
        <v/>
      </c>
      <c r="KG13" s="155">
        <f>IF($KE13=0,"",INDEX($HN$2:$HN$13,$KE13))</f>
        <v/>
      </c>
      <c r="KH13" s="155">
        <f>IF($KE13=0,"",IF(INDEX($HT$2:$HT$13,$KE13)&lt;&gt;"",INDEX($HT$2:$HT$13,$KE13),IF(IFERROR(VLOOKUP(INDEX($HN$2:$HN$13,$KE13),$BS$2:$BY$24,7,FALSE),"")&lt;&gt;"","Do livro: "&amp;IFERROR(VLOOKUP(INDEX($HN$2:$HN$13,$KE13),$BS$2:$BY$24,7,FALSE),""),"")))</f>
        <v/>
      </c>
      <c r="KJ13" s="153" t="inlineStr">
        <is>
          <t>Aptidão 10</t>
        </is>
      </c>
      <c r="KK13" s="155">
        <f>IFERROR(MATCH(10,$ID$2:$ID$13,0),0)</f>
        <v/>
      </c>
      <c r="KL13" s="155">
        <f>IF($KK13=0,"",INDEX($HZ$2:$HZ$13,$KK13))</f>
        <v/>
      </c>
      <c r="KM13" s="155">
        <f>IF($KK13=0,"",INDEX($HX$2:$HX$13,$KK13))</f>
        <v/>
      </c>
      <c r="KN13" s="155">
        <f>IF($KK13=0,"",IF(INDEX($IC$2:$IC$13,$KK13)&lt;&gt;"",INDEX($IC$2:$IC$13,$KK13),IF(IFERROR(VLOOKUP(INDEX($HX$2:$HX$13,$KK13),$CD$2:$CM$33,10,FALSE),"")&lt;&gt;"","Do livro: "&amp;IFERROR(VLOOKUP(INDEX($HX$2:$HX$13,$KK13),$CD$2:$CM$33,10,FALSE),""),"")))</f>
        <v/>
      </c>
      <c r="KP13" s="153" t="inlineStr">
        <is>
          <t>par 8</t>
        </is>
      </c>
      <c r="KQ13" s="155">
        <f>UPPER(INDEX($D$3:$G$3,1,$A$2))&amp;" 25 A 30"</f>
        <v/>
      </c>
      <c r="KS13" s="153" t="inlineStr">
        <is>
          <t>J19</t>
        </is>
      </c>
      <c r="KT13" s="155">
        <f>IF(DADOS_AM!$HK$44="","",DADOS_AM!$HK$44&amp;" · "&amp;"d20 + "&amp;(DADOS_AM!$HK$3+DADOS_AM!$HK$47+IFERROR(VALUE(FICHA!$W$55&amp;""),0))&amp;" · CD "&amp;(8+DADOS_AM!$HK$3+DADOS_AM!$HK$47+IFERROR(VALUE(FICHA!$L$55&amp;""),0)))</f>
        <v/>
      </c>
    </row>
    <row r="14">
      <c r="C14" s="153" t="inlineStr">
        <is>
          <t>o que ela dá</t>
        </is>
      </c>
      <c r="D14" s="153" t="inlineStr">
        <is>
          <t>—</t>
        </is>
      </c>
      <c r="E14" s="153" t="inlineStr">
        <is>
          <t>O que a semente dá</t>
        </is>
      </c>
      <c r="F14" s="153" t="inlineStr">
        <is>
          <t>Golpe simples</t>
        </is>
      </c>
      <c r="G14" s="153" t="inlineStr">
        <is>
          <t>Golpe simples</t>
        </is>
      </c>
      <c r="AO14" s="153" t="inlineStr">
        <is>
          <t>Cone · classe 0</t>
        </is>
      </c>
      <c r="AP14" s="153" t="inlineStr">
        <is>
          <t>Cone de 3 m</t>
        </is>
      </c>
      <c r="AQ14" s="153" t="inlineStr">
        <is>
          <t>Cone de 4,5 m</t>
        </is>
      </c>
      <c r="AR14" s="153" t="inlineStr">
        <is>
          <t>Cone de 9 m</t>
        </is>
      </c>
      <c r="AS14" s="153" t="inlineStr">
        <is>
          <t>Cone de 18 m</t>
        </is>
      </c>
      <c r="AT14" s="153" t="inlineStr">
        <is>
          <t>Cone de 30 m</t>
        </is>
      </c>
      <c r="AU14" s="153" t="inlineStr">
        <is>
          <t>Cone de 60 m</t>
        </is>
      </c>
      <c r="AV14" s="153" t="inlineStr"/>
      <c r="AW14" s="153" t="inlineStr"/>
      <c r="AX14" s="153" t="inlineStr"/>
      <c r="AY14" s="153" t="inlineStr"/>
      <c r="AZ14" s="153" t="inlineStr"/>
      <c r="BA14" s="153" t="inlineStr"/>
      <c r="BC14" s="153" t="inlineStr">
        <is>
          <t>Fica</t>
        </is>
      </c>
      <c r="BD14" s="153" t="inlineStr">
        <is>
          <t>Área</t>
        </is>
      </c>
      <c r="BE14" s="155" t="n">
        <v>2</v>
      </c>
      <c r="BF14" s="155">
        <f>$BE14+3*IFERROR(VLOOKUP($BD14,$I$2:$L$10,3,FALSE),0)</f>
        <v/>
      </c>
      <c r="BG14" s="155">
        <f>IFERROR(VLOOKUP($BD14,$I$2:$L$10,4,FALSE),0)</f>
        <v/>
      </c>
      <c r="BH14" s="155" t="n">
        <v>0</v>
      </c>
      <c r="BI14" s="155">
        <f>IF($BG14=1,"",$BC14)</f>
        <v/>
      </c>
      <c r="BJ14" s="155">
        <f>IF(AND($BE14=1,$BG14=0),$BC14,"")</f>
        <v/>
      </c>
      <c r="BK14" s="155" t="n">
        <v>0</v>
      </c>
      <c r="BM14" s="153" t="inlineStr">
        <is>
          <t>Sem Volta</t>
        </is>
      </c>
      <c r="BN14" s="153" t="inlineStr">
        <is>
          <t>Sem Volta</t>
        </is>
      </c>
      <c r="BO14" s="155" t="n">
        <v>2</v>
      </c>
      <c r="BP14" s="155" t="n">
        <v>0</v>
      </c>
      <c r="BQ14" s="153" t="inlineStr"/>
      <c r="BS14" s="153" t="inlineStr">
        <is>
          <t>Peso da Presença</t>
        </is>
      </c>
      <c r="BT14" s="155" t="n">
        <v>2</v>
      </c>
      <c r="BU14" s="153"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55" t="n">
        <v>1</v>
      </c>
      <c r="BW14" s="155" t="n">
        <v>0</v>
      </c>
      <c r="BX14" s="155">
        <f>IF(OR(AND($A$2&lt;=2,$BV14=1),AND($A$2&gt;=2,$BW14=1)),$BS14,"")</f>
        <v/>
      </c>
      <c r="BY14" s="153" t="inlineStr">
        <is>
          <t>Um inimigo da categoria Capanga que comece o turno a até 6 m de você faz um TR Espírito contra a CD da sua técnica.</t>
        </is>
      </c>
      <c r="CD14" s="153" t="inlineStr">
        <is>
          <t>Barreira Simples</t>
        </is>
      </c>
      <c r="CE14" s="153" t="inlineStr">
        <is>
          <t>Uma escolha de aptidão</t>
        </is>
      </c>
      <c r="CF14" s="153" t="inlineStr">
        <is>
          <t>—</t>
        </is>
      </c>
      <c r="CG14" s="153" t="inlineStr">
        <is>
          <t>—</t>
        </is>
      </c>
      <c r="CH14" s="153"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55">
        <f>IF($CL14=1,"",IF($A$2=4,IF($CJ14=1,$CD14,""),IF(OR($CJ14=1,AND($A$2=3,$CK14=1)),"",$CD14)))</f>
        <v/>
      </c>
      <c r="CJ14" s="155" t="n">
        <v>0</v>
      </c>
      <c r="CK14" s="155" t="n">
        <v>0</v>
      </c>
      <c r="CL14" s="155" t="n">
        <v>0</v>
      </c>
      <c r="CM14" s="153" t="inlineStr">
        <is>
          <t>Você ergue um domo fixo para impedir a passagem por um lugar.</t>
        </is>
      </c>
      <c r="CU14" s="153" t="inlineStr">
        <is>
          <t>Manopla</t>
        </is>
      </c>
      <c r="CV14" s="155" t="n">
        <v>1</v>
      </c>
      <c r="CW14" s="155" t="n">
        <v>0</v>
      </c>
      <c r="CX14" s="155">
        <f>IF(AND($A$2&gt;=3,'FICHA AMALDIÇOADA'!$J$16&amp;""="Três grupos de arma"),$CU14,"")</f>
        <v/>
      </c>
      <c r="DW14" s="153" t="inlineStr">
        <is>
          <t>Feitiço 13</t>
        </is>
      </c>
      <c r="DX14" s="155" t="n">
        <v>0</v>
      </c>
      <c r="DY14" s="155" t="n">
        <v>13</v>
      </c>
      <c r="DZ14" s="155">
        <f>MAX(1,MIN(7,N('FICHA AMALDIÇOADA'!$D$137)))</f>
        <v/>
      </c>
      <c r="EA14" s="155">
        <f>'FICHA AMALDIÇOADA'!$E$137&amp;""</f>
        <v/>
      </c>
      <c r="EB14" s="155">
        <f>'FICHA AMALDIÇOADA'!$D$144&amp;""</f>
        <v/>
      </c>
      <c r="EC14" s="155">
        <f>'FICHA AMALDIÇOADA'!$E$146&amp;""</f>
        <v/>
      </c>
      <c r="ED14" s="155">
        <f>'FICHA AMALDIÇOADA'!$E$147&amp;""</f>
        <v/>
      </c>
      <c r="EE14" s="155">
        <f>'FICHA AMALDIÇOADA'!$E$148&amp;""</f>
        <v/>
      </c>
      <c r="EF14" s="155">
        <f>'FICHA AMALDIÇOADA'!$E$149&amp;""</f>
        <v/>
      </c>
      <c r="EG14" s="155">
        <f>'FICHA AMALDIÇOADA'!$E$150&amp;""</f>
        <v/>
      </c>
      <c r="EH14" s="155">
        <f>'FICHA AMALDIÇOADA'!$E$151&amp;""</f>
        <v/>
      </c>
      <c r="EI14" s="155">
        <f>IF($EA14&lt;&gt;"",1,0)</f>
        <v/>
      </c>
      <c r="EJ14" s="155">
        <f>IFERROR(MATCH($EB14,$Y$2:$Y$11,0),0)</f>
        <v/>
      </c>
      <c r="EK14" s="155">
        <f>IF($EJ14=0,0,INDEX($AB$2:$AB$11,$EJ14))</f>
        <v/>
      </c>
      <c r="EL14" s="155">
        <f>IFERROR(VLOOKUP($EC14,$BC$2:$BK$84,4,FALSE),0)</f>
        <v/>
      </c>
      <c r="EM14" s="155">
        <f>IFERROR(VLOOKUP($ED14,$BC$2:$BK$84,4,FALSE),0)</f>
        <v/>
      </c>
      <c r="EN14" s="155">
        <f>IFERROR(VLOOKUP($EE14,$BC$2:$BK$84,4,FALSE),0)</f>
        <v/>
      </c>
      <c r="EO14" s="155">
        <f>IFERROR(VLOOKUP($EF14,$BC$2:$BK$84,4,FALSE),0)</f>
        <v/>
      </c>
      <c r="EP14" s="155">
        <f>IF($EJ14=0,0,INDEX($AC$2:$AC$11,$EJ14))</f>
        <v/>
      </c>
      <c r="EQ14" s="155">
        <f>IFERROR(VLOOKUP($EC14,$BC$2:$BK$84,5,FALSE),0)</f>
        <v/>
      </c>
      <c r="ER14" s="155">
        <f>IFERROR(VLOOKUP($ED14,$BC$2:$BK$84,5,FALSE),0)</f>
        <v/>
      </c>
      <c r="ES14" s="155">
        <f>IFERROR(VLOOKUP($EE14,$BC$2:$BK$84,5,FALSE),0)</f>
        <v/>
      </c>
      <c r="ET14" s="155">
        <f>IFERROR(VLOOKUP($EF14,$BC$2:$BK$84,5,FALSE),0)</f>
        <v/>
      </c>
      <c r="EU14" s="155">
        <f>IFERROR(VLOOKUP($EC14,$BC$2:$BK$84,6,FALSE),0)+IFERROR(VLOOKUP($ED14,$BC$2:$BK$84,6,FALSE),0)+IFERROR(VLOOKUP($EE14,$BC$2:$BK$84,6,FALSE),0)+IFERROR(VLOOKUP($EF14,$BC$2:$BK$84,6,FALSE),0)</f>
        <v/>
      </c>
      <c r="EV14" s="155">
        <f>IFERROR(VLOOKUP($EC14,$BC$2:$BK$84,9,FALSE),0)+IFERROR(VLOOKUP($ED14,$BC$2:$BK$84,9,FALSE),0)+IFERROR(VLOOKUP($EE14,$BC$2:$BK$84,9,FALSE),0)+IFERROR(VLOOKUP($EF14,$BC$2:$BK$84,9,FALSE),0)</f>
        <v/>
      </c>
      <c r="EW14" s="155">
        <f>IF($EJ14=0,0,INDEX($AD$2:$AD$11,$EJ14))</f>
        <v/>
      </c>
      <c r="EX14" s="155">
        <f>IF($EJ14=0,0,INDEX($AE$2:$AE$11,$EJ14))</f>
        <v/>
      </c>
      <c r="EY14" s="155">
        <f>IF($EJ14=0,0,INDEX($AG$2:$AG$11,$EJ14))</f>
        <v/>
      </c>
      <c r="EZ14" s="155">
        <f>IFERROR(VLOOKUP($EG14,$BM$2:$BQ$24,3,FALSE),0)</f>
        <v/>
      </c>
      <c r="FA14" s="155">
        <f>IFERROR(VLOOKUP($EH14,$BM$2:$BQ$24,3,FALSE),0)</f>
        <v/>
      </c>
      <c r="FB14" s="155">
        <f>IFERROR(VLOOKUP($EG14,$BM$2:$BQ$24,2,FALSE),"")</f>
        <v/>
      </c>
      <c r="FC14" s="155">
        <f>IFERROR(VLOOKUP($EH14,$BM$2:$BQ$24,2,FALSE),"")</f>
        <v/>
      </c>
      <c r="FD14" s="155">
        <f>COUNTIF($EK14:$EO14,1)</f>
        <v/>
      </c>
      <c r="FE14" s="155">
        <f>COUNTIF($EK14:$EO14,2)</f>
        <v/>
      </c>
      <c r="FF14" s="155">
        <f>COUNTIF($EK14:$EO14,3)</f>
        <v/>
      </c>
      <c r="FG14" s="155">
        <f>COUNTIF($EK14:$EO14,4)</f>
        <v/>
      </c>
      <c r="FH14" s="155">
        <f>COUNTIF($EK14:$EO14,5)</f>
        <v/>
      </c>
      <c r="FI14" s="155">
        <f>COUNTIF($EK14:$EO14,6)</f>
        <v/>
      </c>
      <c r="FJ14" s="155">
        <f>COUNTIF($EZ14:$FA14,1)</f>
        <v/>
      </c>
      <c r="FK14" s="155">
        <f>COUNTIF($EZ14:$FA14,2)+$EW14</f>
        <v/>
      </c>
      <c r="FL14" s="155">
        <f>COUNTIF($EC14:$EF14,"?*")</f>
        <v/>
      </c>
      <c r="FM14" s="155">
        <f>COUNTIF($EG14:$EH14,"?*")+$EW14</f>
        <v/>
      </c>
      <c r="FN14" s="155">
        <f>SUMPRODUCT($FD14:$FI14,INDEX($Q$2:$V$8,$DZ14,0))</f>
        <v/>
      </c>
      <c r="FO14" s="155">
        <f>$FJ14*CEILING($DZ14/2,1)+$FK14*$DZ14</f>
        <v/>
      </c>
      <c r="FP14" s="155">
        <f>MIN(2*$DZ14,$FO14)</f>
        <v/>
      </c>
      <c r="FQ14" s="155">
        <f>MIN($FP14,$FN14)</f>
        <v/>
      </c>
      <c r="FR14" s="155">
        <f>$FP14-$FQ14</f>
        <v/>
      </c>
      <c r="FS14" s="155">
        <f>3*$DZ14-$FN14+$FQ14</f>
        <v/>
      </c>
      <c r="FT14" s="155">
        <f>MAX(0,$FS14)+$DX14*$DZ14</f>
        <v/>
      </c>
      <c r="FU14" s="155">
        <f>(IF(COUNTIF($EC14:$EF14,"Salto")&gt;0,1,0)+IF(COUNTIF($EC14:$EF14,"Queima")&gt;0,1,0)+IF(COUNTIF($EC14:$EF14,"Estilhaço")&gt;0,1,0))*FLOOR($FT14/2,1)</f>
        <v/>
      </c>
      <c r="FV14" s="155">
        <f>MAX(0,3-SUMPRODUCT($FD14:$FI14,$Q$2:$V$2)+MIN(2,$FJ14*1+$FK14*1,SUMPRODUCT($FD14:$FI14,$Q$2:$V$2)))+$DX14*1</f>
        <v/>
      </c>
      <c r="FW14" s="155">
        <f>MAX(0,6-SUMPRODUCT($FD14:$FI14,$Q$3:$V$3)+MIN(4,$FJ14*1+$FK14*2,SUMPRODUCT($FD14:$FI14,$Q$3:$V$3)))+$DX14*2</f>
        <v/>
      </c>
      <c r="FX14" s="155">
        <f>MAX(0,9-SUMPRODUCT($FD14:$FI14,$Q$4:$V$4)+MIN(6,$FJ14*2+$FK14*3,SUMPRODUCT($FD14:$FI14,$Q$4:$V$4)))+$DX14*3</f>
        <v/>
      </c>
      <c r="FY14" s="155">
        <f>MAX(0,12-SUMPRODUCT($FD14:$FI14,$Q$5:$V$5)+MIN(8,$FJ14*2+$FK14*4,SUMPRODUCT($FD14:$FI14,$Q$5:$V$5)))+$DX14*4</f>
        <v/>
      </c>
      <c r="FZ14" s="155">
        <f>MAX(0,15-SUMPRODUCT($FD14:$FI14,$Q$6:$V$6)+MIN(10,$FJ14*3+$FK14*5,SUMPRODUCT($FD14:$FI14,$Q$6:$V$6)))+$DX14*5</f>
        <v/>
      </c>
      <c r="GA14" s="155">
        <f>MAX(0,18-SUMPRODUCT($FD14:$FI14,$Q$7:$V$7)+MIN(12,$FJ14*3+$FK14*6,SUMPRODUCT($FD14:$FI14,$Q$7:$V$7)))+$DX14*6</f>
        <v/>
      </c>
      <c r="GB14" s="155">
        <f>MAX(0,21-SUMPRODUCT($FD14:$FI14,$Q$8:$V$8)+MIN(14,$FJ14*4+$FK14*7,SUMPRODUCT($FD14:$FI14,$Q$8:$V$8)))+$DX14*7</f>
        <v/>
      </c>
      <c r="GC14" s="155">
        <f>IF($EX14=2,3*$FV14&amp;" de vida temp.",IF($EX14=3,"sem dano",IF($FV14=0,IF($EX14=1,"sem cura","sem dano"),IF($EX14=1,"cura ","")&amp;$FV14&amp;"d8")))</f>
        <v/>
      </c>
      <c r="GD14" s="155">
        <f>IF($EX14=2,3*$FW14&amp;" de vida temp.",IF($EX14=3,"sem dano",IF($FW14=0,IF($EX14=1,"sem cura","sem dano"),IF($EX14=1,"cura ","")&amp;$FW14&amp;"d8")))</f>
        <v/>
      </c>
      <c r="GE14" s="155">
        <f>IF($EX14=2,3*$FX14&amp;" de vida temp.",IF($EX14=3,"sem dano",IF($FX14=0,IF($EX14=1,"sem cura","sem dano"),IF($EX14=1,"cura ","")&amp;$FX14&amp;"d8")))</f>
        <v/>
      </c>
      <c r="GF14" s="155">
        <f>IF($EX14=2,3*$FY14&amp;" de vida temp.",IF($EX14=3,"sem dano",IF($FY14=0,IF($EX14=1,"sem cura","sem dano"),IF($EX14=1,"cura ","")&amp;$FY14&amp;"d8")))</f>
        <v/>
      </c>
      <c r="GG14" s="155">
        <f>IF($EX14=2,3*$FZ14&amp;" de vida temp.",IF($EX14=3,"sem dano",IF($FZ14=0,IF($EX14=1,"sem cura","sem dano"),IF($EX14=1,"cura ","")&amp;$FZ14&amp;"d8")))</f>
        <v/>
      </c>
      <c r="GH14" s="155">
        <f>IF($EX14=2,3*$GA14&amp;" de vida temp.",IF($EX14=3,"sem dano",IF($GA14=0,IF($EX14=1,"sem cura","sem dano"),IF($EX14=1,"cura ","")&amp;$GA14&amp;"d8")))</f>
        <v/>
      </c>
      <c r="GI14" s="155">
        <f>IF($EX14=2,3*$GB14&amp;" de vida temp.",IF($EX14=3,"sem dano",IF($GB14=0,IF($EX14=1,"sem cura","sem dano"),IF($EX14=1,"cura ","")&amp;$GB14&amp;"d8")))</f>
        <v/>
      </c>
      <c r="GJ14" s="155">
        <f>IF($EI14=0,"",TEXTJOIN(" · ",TRUE,IF(AND($DX14=1,$DY14&gt;$HK$9),"O nível "&amp;$HK$2&amp;" dá "&amp;$HK$9&amp;" Liberação Máxima",""),IF($DZ14&gt;$HK$4,"Classe "&amp;$DZ14&amp;": o nível "&amp;$HK$2&amp;" libera até a "&amp;$HK$4,""),IF($EP14=1,"Família Fechada: a Forma "&amp;$EB14,""),IF($EQ14=1,"Família Fechada: "&amp;$EC14,""),IF($ER14=1,"Família Fechada: "&amp;$ED14,""),IF($ES14=1,"Família Fechada: "&amp;$EE14,""),IF($ET14=1,"Família Fechada: "&amp;$EF14,""),IF($FL14&gt;INDEX($W$2:$W$8,$DZ14),$FL14&amp;" Melhorias: a Classe "&amp;$DZ14&amp;" aceita "&amp;INDEX($W$2:$W$8,$DZ14),""),IF($FM14&gt;2,$FM14&amp;" Restrições"&amp;IF($EW14=1,", contando a que a Forma "&amp;$EB14&amp;" já traz","")&amp;": o limite é 2",""),IF($FS14&lt;0,"Orçamento estourado: faltam "&amp;(-$FS14)&amp;IF($FS14&lt;-1," pontos"," ponto"),""),IF(IFERROR(VLOOKUP($EG14,$BM$2:$BQ$24,4,FALSE),0)+IFERROR(VLOOKUP($EH14,$BM$2:$BQ$24,4,FALSE),0)&gt;1,$FB14&amp;" e "&amp;$FC14&amp;" são as duas de frequência",""),IF(AND((COUNTIF($EC14:$EF14,"Rápido")+COUNTIF($FB14:$FC14,"Rápido"))&gt;0,(COUNTIF($EC14:$EF14,"Atrasar")+COUNTIF($FB14:$FC14,"Atrasar"))&gt;0),"Rápido não entra com Atrasar",""),IF(AND((COUNTIF($EC14:$EF14,"Reação")+COUNTIF($FB14:$FC14,"Reação"))&gt;0,(COUNTIF($EC14:$EF14,"Rápido")+COUNTIF($FB14:$FC14,"Rápido"))&gt;0),"Reação não entra com Rápido",""),IF(AND((COUNTIF($EC14:$EF14,"Reação")+COUNTIF($FB14:$FC14,"Reação"))&gt;0,(COUNTIF($EC14:$EF14,"Armado")+COUNTIF($FB14:$FC14,"Armado"))&gt;0),"Reação não entra com Armado",""),IF(AND((COUNTIF($EC14:$EF14,"Reação")+COUNTIF($FB14:$FC14,"Reação"))&gt;0,(COUNTIF($EC14:$EF14,"Atrasar")+COUNTIF($FB14:$FC14,"Atrasar"))&gt;0),"Reação não entra com Atrasar",""),IF(AND((COUNTIF($EC14:$EF14,"Reação")+COUNTIF($FB14:$FC14,"Reação"))&gt;0,(COUNTIF($EC14:$EF14,"Parado")+COUNTIF($FB14:$FC14,"Parado"))&gt;0),"Reação não entra com Parado",""),IF(AND((COUNTIF($EC14:$EF14,"Atrasar")+COUNTIF($FB14:$FC14,"Atrasar"))&gt;0,(COUNTIF($EC14:$EF14,"Parado")+COUNTIF($FB14:$FC14,"Parado"))&gt;0),"Atrasar não entra com Parado",""),IF(AND((COUNTIF($EC14:$EF14,"Armado")+COUNTIF($FB14:$FC14,"Armado"))&gt;0,(COUNTIF($EC14:$EF14,"Carregar")+COUNTIF($FB14:$FC14,"Carregar"))&gt;0),"Armado não entra com Carregar",""),IF(AND(COUNTIF($FB14:$FC14,"Corpo a Corpo")&gt;0,$EW14=0,OR($EB14="Cone",$EB14="Linha")),"Corpo a Corpo não entra em "&amp;$EB14,""),IF(AND(COUNTIF($FB14:$FC14,"Corpo a Corpo")&gt;0,$EW14=1),"A Forma "&amp;$EB14&amp;" já traz o Corpo a Corpo",""),IF(AND(COUNTIF($FB14:$FC14,"Tudo ou Nada")&gt;0,$EY14=0),"Tudo ou Nada só entra em feitiço de Teste de Resistência",""),IF(AND(COUNTIF($EC14:$EF14,"Inescapável")&gt;0,OR($FL14&gt;1,$FM14&gt;0)),"Inescapável não aceita outra peça",""),IF(AND($DX14=1,$DZ14&lt;3),"Liberação Máxima é de Classe 3 ou mais",""),IF(AND($DX14=1,OR($EX14=1,$EX14=2)),"Liberação Máxima não serve para cura",""),IF(AND($DX14=1,COUNTIF($EC14:$EF14,"Inescapável")+COUNTIF($EC14:$EF14,"Toca a Alma")&gt;0),"Esta peça não entra numa Liberação Máxima",""),IF($FT14*IF(COUNTIF($EC14:$EF14,"Remate")&gt;0,1.25,1)+$FU14&gt;4*$DZ14,($FT14*IF(COUNTIF($EC14:$EF14,"Remate")&gt;0,1.25,1)+$FU14)&amp;" dados somando repetições"&amp;IF(COUNTIF($EC14:$EF14,"Remate")&gt;0," e o Remate","")&amp;": o teto da Classe "&amp;$DZ14&amp;" é "&amp;4*$DZ14,"")))</f>
        <v/>
      </c>
      <c r="GK14" s="155">
        <f>IF($GJ14="",0,(LEN($GJ14)-LEN(SUBSTITUTE($GJ14," · ","")))/3+1)</f>
        <v/>
      </c>
      <c r="GL14" s="155">
        <f>IF($EI14=0,"",TEXTJOIN(" · ",TRUE,IF($FO14&gt;2*$DZ14,"A devolução parou no teto de "&amp;2*$DZ14,""),IF($FR14&gt;0,"Devolução perdida: "&amp;$FR14&amp;IF($FR14&gt;1," pontos"," ponto")&amp;" sem peça para pagar",""),IF(AND($EU14&gt;0,$FT14=0),"Controle sem dano: uma rodada a mais e CD +2",""),IF(AND($EU14&gt;0,$FT14&gt;0,$FT14&lt;=$DZ14),"Controle com saldo até a Classe: uma rodada a mais","")))</f>
        <v/>
      </c>
      <c r="GM14" s="155">
        <f>IF($GL14="",0,(LEN($GL14)-LEN(SUBSTITUTE($GL14," · ","")))/3+1)</f>
        <v/>
      </c>
      <c r="GN14" s="155">
        <f>IF($EI14=0,IF($FL14+$FM14-$EW14&gt;0,"Dê um nome",""),IF($GK14&gt;0,"⚠ "&amp;$GK14&amp;IF($GK14&gt;1," erros"," erro"),IF($GM14&gt;0,"! "&amp;$GM14&amp;IF($GM14&gt;1," avisos"," aviso"),"Na regra")))</f>
        <v/>
      </c>
      <c r="GO14" s="155">
        <f>IF($EI14=0,"",IF($GK14+$GM14=0,"Dentro das regras que a ficha confere",$GJ14&amp;IF(AND($GK14&gt;0,$GM14&gt;0)," · ","")&amp;$GL14))</f>
        <v/>
      </c>
      <c r="GP14" s="155">
        <f>IF($EI14=0,"",IF($DX14=1,CEILING(4.5*$DZ14,1),3*$DZ14)&amp;" PE")</f>
        <v/>
      </c>
      <c r="GQ14" s="155">
        <f>IF($EI14=0,"",IF($DX14=1,"Rodada inteira",IF(COUNTIF($FB14:$FC14,"Atrasar")&gt;0,IF(COUNTIF($FB14:$FC14,"Carregar")&gt;0,"Rodada +1 turno","Rodada inteira"),IF(COUNTIF($EC14:$EF14,"Rápido")&gt;0,"Bônus",IF(COUNTIF($EC14:$EF14,"Reação")&gt;0,"Reação","Padrão"))&amp;IF(COUNTIF($FB14:$FC14,"Carregar")&gt;0," +1 turno",""))))</f>
        <v/>
      </c>
      <c r="GR14" s="155">
        <f>IF(OR($EI14=0,$EJ14=0),"",IF(COUNTIF($EC14:$EF14,"Inescapável")&gt;0,"Automático",IF(COUNTIF($EC14:$EF14,"Certeiro")&gt;0,"TR para metade",IF(AND($EV14&gt;0,$EY14=0,INDEX($AF$2:$AF$11,$EJ14)="Acerto"),"Acerto + TR",INDEX($AF$2:$AF$11,$EJ14)))))</f>
        <v/>
      </c>
      <c r="GS14" s="155">
        <f>IF(OR($EI14=0,$EJ14=0),"",IF(OR($EX14&gt;=2,$FT14=0),UPPER(LEFT(INDEX($GC14:$GI14,1,$DZ14),1))&amp;MID(INDEX($GC14:$GI14,1,$DZ14),2,99),UPPER(LEFT(INDEX($GC14:$GI14,1,$DZ14),1))&amp;MID(INDEX($GC14:$GI14,1,$DZ14),2,99)&amp;" = "&amp;FLOOR($FT14*4.5,1)&amp;IF($FU14&gt;0," · +"&amp;$FU14&amp;"d8","")))</f>
        <v/>
      </c>
      <c r="GT14" s="155">
        <f>COUNTIF($EC14:$EF14,"Longe")+3*COUNTIF($EC14:$EF14,"Muito Longe")</f>
        <v/>
      </c>
      <c r="GU14" s="155">
        <f>COUNTIF($EC14:$EF14,"Maior")+3*COUNTIF($EC14:$EF14,"Muito Maior")</f>
        <v/>
      </c>
      <c r="GV14" s="155">
        <f>IF($EJ14=0,0,CHOOSE(1+INDEX($AH$2:$AH$11,$EJ14),0,$GT14,$GU14,$GT14+$GU14))</f>
        <v/>
      </c>
      <c r="GW14" s="155">
        <f>IF($EJ14=0,0,CHOOSE(1+INDEX($AI$2:$AI$11,$EJ14),0,$GT14,$GU14,$GT14+$GU14))</f>
        <v/>
      </c>
      <c r="GX14" s="155">
        <f>IF(OR($EI14=0,$EJ14=0),"",INDEX($AP$2:$AU$31,($EJ14-1)*3+IF($DZ14&gt;=6,3,2),1+MIN(5,$GV14))&amp;INDEX($AV$2:$BA$31,($EJ14-1)*3+IF($DZ14&gt;=6,3,2),1+MIN(5,$GW14))&amp;IF(INDEX($AJ$2:$AJ$11,$EJ14)=1,IF(COUNTIF($EC14:$EF14,"Mais Um")&gt;0," · +"&amp;COUNTIF($EC14:$EF14,"Mais Um")&amp;IF(COUNTIF($EC14:$EF14,"Mais Um")&gt;1," alvos"," alvo"),"")&amp;IF(COUNTIF($EC14:$EF14,"Rajada")&gt;0," · "&amp;($DZ14+1)&amp;" tiros",""),""))</f>
        <v/>
      </c>
      <c r="GY14" s="155">
        <f>IF($EI14=0,"",3*$DZ14&amp;" − "&amp;$FN14&amp;" + "&amp;$FQ14&amp;IF($DX14=1," + "&amp;$DZ14,"")&amp;" = "&amp;$FT14&amp;"d8 · teto "&amp;4*$DZ14&amp;IF($EW14=1," · a Forma devolve "&amp;$DZ14,"")&amp;IF($FR14&gt;0," · perde "&amp;$FR14,""))</f>
        <v/>
      </c>
      <c r="GZ14" s="155">
        <f>IF($EI14=0,"",IF($DZ14&gt;=$HK$4,"Já está na maior Classe que o nível liberou",TEXTJOIN(" · ",TRUE,IF(AND(2&gt;$DZ14,2&lt;=$HK$4),"2 → "&amp;$GD14&amp;", "&amp;IF($DX14=1,9,6)&amp;" PE",""),IF(AND(3&gt;$DZ14,3&lt;=$HK$4),"3 → "&amp;$GE14&amp;", "&amp;IF($DX14=1,14,9)&amp;" PE",""),IF(AND(4&gt;$DZ14,4&lt;=$HK$4),"4 → "&amp;$GF14&amp;", "&amp;IF($DX14=1,18,12)&amp;" PE",""),IF(AND(5&gt;$DZ14,5&lt;=$HK$4),"5 → "&amp;$GG14&amp;", "&amp;IF($DX14=1,23,15)&amp;" PE",""),IF(AND(6&gt;$DZ14,6&lt;=$HK$4),"6 → "&amp;$GH14&amp;", "&amp;IF($DX14=1,27,18)&amp;" PE",""),IF(AND(7&gt;$DZ14,7&lt;=$HK$4),"7 → "&amp;$GI14&amp;", "&amp;IF($DX14=1,32,21)&amp;" PE",""))))</f>
        <v/>
      </c>
      <c r="HA14" s="155">
        <f>IF(OR($EI14=0,$EL14=0),"","−"&amp;INDEX($Q$2:$V$8,$DZ14,$EL14)&amp;" · "&amp;CHOOSE($EL14,"Leve","Média","Pesada","Leve · Livre","Média · Livre","Pesada · Livre"))</f>
        <v/>
      </c>
      <c r="HB14" s="155">
        <f>IF(OR($EI14=0,$EM14=0),"","−"&amp;INDEX($Q$2:$V$8,$DZ14,$EM14)&amp;" · "&amp;CHOOSE($EM14,"Leve","Média","Pesada","Leve · Livre","Média · Livre","Pesada · Livre"))</f>
        <v/>
      </c>
      <c r="HC14" s="155">
        <f>IF(OR($EI14=0,$EN14=0),"","−"&amp;INDEX($Q$2:$V$8,$DZ14,$EN14)&amp;" · "&amp;CHOOSE($EN14,"Leve","Média","Pesada","Leve · Livre","Média · Livre","Pesada · Livre"))</f>
        <v/>
      </c>
      <c r="HD14" s="155">
        <f>IF(OR($EI14=0,$EO14=0),"","−"&amp;INDEX($Q$2:$V$8,$DZ14,$EO14)&amp;" · "&amp;CHOOSE($EO14,"Leve","Média","Pesada","Leve · Livre","Média · Livre","Pesada · Livre"))</f>
        <v/>
      </c>
      <c r="HE14" s="155">
        <f>IF(OR($EI14=0,$EG14=""),"","+"&amp;IF($EZ14=1,CEILING($DZ14/2,1),$DZ14))</f>
        <v/>
      </c>
      <c r="HF14" s="155">
        <f>IF(OR($EI14=0,$EH14=""),"","+"&amp;IF($FA14=1,CEILING($DZ14/2,1),$DZ14))</f>
        <v/>
      </c>
      <c r="HG14" s="155">
        <f>'FICHA AMALDIÇOADA'!$D$139&amp;""</f>
        <v/>
      </c>
      <c r="HH14" s="155">
        <f>IF(AND($EI14=1,$DX14=0),COUNTIFS($EI$2:$EI14,1,$DX$2:$DX14,0),"")</f>
        <v/>
      </c>
      <c r="HJ14" s="153" t="inlineStr">
        <is>
          <t>espaços</t>
        </is>
      </c>
      <c r="HK14" s="155">
        <f>$HK$12+$HK$13</f>
        <v/>
      </c>
      <c r="JF14" s="155" t="n">
        <v>13</v>
      </c>
      <c r="JG14" s="155">
        <f>IFERROR(MATCH(13,$HH$2:$HH$37,0),0)</f>
        <v/>
      </c>
      <c r="JH14" s="155">
        <f>IF($JG14=0,"",INDEX($DZ$2:$DZ$37,$JG14))</f>
        <v/>
      </c>
      <c r="JI14" s="155">
        <f>IF($JG14=0,"",INDEX($EA$2:$EA$37,$JG14))</f>
        <v/>
      </c>
      <c r="JJ14" s="155">
        <f>IF($JG14=0,"",INDEX($GP$2:$GP$37,$JG14))</f>
        <v/>
      </c>
      <c r="JK14" s="155">
        <f>IF($JG14=0,"",INDEX($EB$2:$EB$37,$JG14))</f>
        <v/>
      </c>
      <c r="JL14" s="155">
        <f>IF($JG14=0,"",INDEX($GR$2:$GR$37,$JG14))</f>
        <v/>
      </c>
      <c r="JM14" s="155">
        <f>IF($JG14=0,"",INDEX($HG$2:$HG$37,$JG14))</f>
        <v/>
      </c>
      <c r="KD14" s="153" t="inlineStr">
        <is>
          <t>Talento 11</t>
        </is>
      </c>
      <c r="KE14" s="155">
        <f>IFERROR(MATCH(11,$HU$2:$HU$13,0),0)</f>
        <v/>
      </c>
      <c r="KF14" s="155">
        <f>IF($KE14=0,"",IF(INDEX($HO$2:$HO$13,$KE14)=0,"","CE "&amp;INDEX($HO$2:$HO$13,$KE14)))</f>
        <v/>
      </c>
      <c r="KG14" s="155">
        <f>IF($KE14=0,"",INDEX($HN$2:$HN$13,$KE14))</f>
        <v/>
      </c>
      <c r="KH14" s="155">
        <f>IF($KE14=0,"",IF(INDEX($HT$2:$HT$13,$KE14)&lt;&gt;"",INDEX($HT$2:$HT$13,$KE14),IF(IFERROR(VLOOKUP(INDEX($HN$2:$HN$13,$KE14),$BS$2:$BY$24,7,FALSE),"")&lt;&gt;"","Do livro: "&amp;IFERROR(VLOOKUP(INDEX($HN$2:$HN$13,$KE14),$BS$2:$BY$24,7,FALSE),""),"")))</f>
        <v/>
      </c>
      <c r="KJ14" s="153" t="inlineStr">
        <is>
          <t>Aptidão 11</t>
        </is>
      </c>
      <c r="KK14" s="155">
        <f>IFERROR(MATCH(11,$ID$2:$ID$13,0),0)</f>
        <v/>
      </c>
      <c r="KL14" s="155">
        <f>IF($KK14=0,"",INDEX($HZ$2:$HZ$13,$KK14))</f>
        <v/>
      </c>
      <c r="KM14" s="155">
        <f>IF($KK14=0,"",INDEX($HX$2:$HX$13,$KK14))</f>
        <v/>
      </c>
      <c r="KN14" s="155">
        <f>IF($KK14=0,"",IF(INDEX($IC$2:$IC$13,$KK14)&lt;&gt;"",INDEX($IC$2:$IC$13,$KK14),IF(IFERROR(VLOOKUP(INDEX($HX$2:$HX$13,$KK14),$CD$2:$CM$33,10,FALSE),"")&lt;&gt;"","Do livro: "&amp;IFERROR(VLOOKUP(INDEX($HX$2:$HX$13,$KK14),$CD$2:$CM$33,10,FALSE),""),"")))</f>
        <v/>
      </c>
      <c r="KP14" s="153" t="inlineStr">
        <is>
          <t>par 10</t>
        </is>
      </c>
      <c r="KQ14" s="155">
        <f>UPPER(INDEX($D$3:$G$3,1,$A$2))&amp;" 31 A 36"</f>
        <v/>
      </c>
      <c r="KS14" s="153" t="inlineStr">
        <is>
          <t>P17</t>
        </is>
      </c>
      <c r="KT14" s="155">
        <f>IF(DADOS_AM!$HK$42=1,"GRUPO 3","—")</f>
        <v/>
      </c>
    </row>
    <row r="15">
      <c r="C15" s="153" t="inlineStr">
        <is>
          <t>grupo</t>
        </is>
      </c>
      <c r="D15" s="153" t="inlineStr">
        <is>
          <t>—</t>
        </is>
      </c>
      <c r="E15" s="153" t="inlineStr">
        <is>
          <t>—</t>
        </is>
      </c>
      <c r="F15" s="153" t="inlineStr">
        <is>
          <t>Grupo</t>
        </is>
      </c>
      <c r="G15" s="153" t="inlineStr">
        <is>
          <t>Grupo</t>
        </is>
      </c>
      <c r="AO15" s="153" t="inlineStr">
        <is>
          <t>Cone · classes 1 a 5</t>
        </is>
      </c>
      <c r="AP15" s="153" t="inlineStr">
        <is>
          <t>Cone de 4,5 m</t>
        </is>
      </c>
      <c r="AQ15" s="153" t="inlineStr">
        <is>
          <t>Cone de 9 m</t>
        </is>
      </c>
      <c r="AR15" s="153" t="inlineStr">
        <is>
          <t>Cone de 18 m</t>
        </is>
      </c>
      <c r="AS15" s="153" t="inlineStr">
        <is>
          <t>Cone de 30 m</t>
        </is>
      </c>
      <c r="AT15" s="153" t="inlineStr">
        <is>
          <t>Cone de 60 m</t>
        </is>
      </c>
      <c r="AU15" s="153" t="inlineStr">
        <is>
          <t>Cone de 60 m</t>
        </is>
      </c>
      <c r="AV15" s="153" t="inlineStr"/>
      <c r="AW15" s="153" t="inlineStr"/>
      <c r="AX15" s="153" t="inlineStr"/>
      <c r="AY15" s="153" t="inlineStr"/>
      <c r="AZ15" s="153" t="inlineStr"/>
      <c r="BA15" s="153" t="inlineStr"/>
      <c r="BC15" s="153" t="inlineStr">
        <is>
          <t>Salto</t>
        </is>
      </c>
      <c r="BD15" s="153" t="inlineStr">
        <is>
          <t>Área</t>
        </is>
      </c>
      <c r="BE15" s="155" t="n">
        <v>2</v>
      </c>
      <c r="BF15" s="155">
        <f>$BE15+3*IFERROR(VLOOKUP($BD15,$I$2:$L$10,3,FALSE),0)</f>
        <v/>
      </c>
      <c r="BG15" s="155">
        <f>IFERROR(VLOOKUP($BD15,$I$2:$L$10,4,FALSE),0)</f>
        <v/>
      </c>
      <c r="BH15" s="155" t="n">
        <v>0</v>
      </c>
      <c r="BI15" s="155">
        <f>IF($BG15=1,"",$BC15)</f>
        <v/>
      </c>
      <c r="BJ15" s="155">
        <f>IF(AND($BE15=1,$BG15=0),$BC15,"")</f>
        <v/>
      </c>
      <c r="BK15" s="155" t="n">
        <v>0</v>
      </c>
      <c r="BM15" s="153" t="inlineStr">
        <is>
          <t>Uma Vez</t>
        </is>
      </c>
      <c r="BN15" s="153" t="inlineStr">
        <is>
          <t>Uma Vez</t>
        </is>
      </c>
      <c r="BO15" s="155" t="n">
        <v>1</v>
      </c>
      <c r="BP15" s="155" t="n">
        <v>1</v>
      </c>
      <c r="BQ15" s="153" t="inlineStr">
        <is>
          <t>Uma Vez</t>
        </is>
      </c>
      <c r="BS15" s="153" t="inlineStr">
        <is>
          <t>Escama</t>
        </is>
      </c>
      <c r="BT15" s="155" t="n">
        <v>3</v>
      </c>
      <c r="BU15" s="153" t="inlineStr">
        <is>
          <t>Escolha um tipo de dano que a Regra da sua técnica justifique. Você tem resistência a esse tipo: sofre metade do dano, com o arredondamento das regras de dano.</t>
        </is>
      </c>
      <c r="BV15" s="155" t="n">
        <v>1</v>
      </c>
      <c r="BW15" s="155" t="n">
        <v>0</v>
      </c>
      <c r="BX15" s="155">
        <f>IF(OR(AND($A$2&lt;=2,$BV15=1),AND($A$2&gt;=2,$BW15=1)),$BS15,"")</f>
        <v/>
      </c>
      <c r="BY15" s="153" t="inlineStr">
        <is>
          <t>Escolha um tipo de dano que a Regra da sua técnica justifique. Você tem resistência a esse tipo: sofre metade do dano, com o arredondamento das regras de dano.</t>
        </is>
      </c>
      <c r="CD15" s="153" t="inlineStr">
        <is>
          <t>Cortina</t>
        </is>
      </c>
      <c r="CE15" s="153" t="inlineStr">
        <is>
          <t>Barreira Simples</t>
        </is>
      </c>
      <c r="CF15" s="153" t="inlineStr">
        <is>
          <t>—</t>
        </is>
      </c>
      <c r="CG15" s="153" t="inlineStr">
        <is>
          <t>—</t>
        </is>
      </c>
      <c r="CH15" s="153"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O ponto mais distante da borda deve estar a até 90 m de você ao concluir. Essa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ocupa a mesma manutenção única de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55">
        <f>IF($CL15=1,"",IF($A$2=4,IF($CJ15=1,$CD15,""),IF(OR($CJ15=1,AND($A$2=3,$CK15=1)),"",$CD15)))</f>
        <v/>
      </c>
      <c r="CJ15" s="155" t="n">
        <v>0</v>
      </c>
      <c r="CK15" s="155" t="n">
        <v>0</v>
      </c>
      <c r="CL15" s="155" t="n">
        <v>0</v>
      </c>
      <c r="CM15" s="153" t="inlineStr">
        <is>
          <t>Você delimita uma área para esconder seu interior de pessoas que não são feiticeiras e controlar a passagem por suas bordas.</t>
        </is>
      </c>
      <c r="DW15" s="153" t="inlineStr">
        <is>
          <t>Feitiço 14</t>
        </is>
      </c>
      <c r="DX15" s="155" t="n">
        <v>0</v>
      </c>
      <c r="DY15" s="155" t="n">
        <v>14</v>
      </c>
      <c r="DZ15" s="155">
        <f>MAX(1,MIN(7,N('FICHA AMALDIÇOADA'!$J$137)))</f>
        <v/>
      </c>
      <c r="EA15" s="155">
        <f>'FICHA AMALDIÇOADA'!$K$137&amp;""</f>
        <v/>
      </c>
      <c r="EB15" s="155">
        <f>'FICHA AMALDIÇOADA'!$J$144&amp;""</f>
        <v/>
      </c>
      <c r="EC15" s="155">
        <f>'FICHA AMALDIÇOADA'!$K$146&amp;""</f>
        <v/>
      </c>
      <c r="ED15" s="155">
        <f>'FICHA AMALDIÇOADA'!$K$147&amp;""</f>
        <v/>
      </c>
      <c r="EE15" s="155">
        <f>'FICHA AMALDIÇOADA'!$K$148&amp;""</f>
        <v/>
      </c>
      <c r="EF15" s="155">
        <f>'FICHA AMALDIÇOADA'!$K$149&amp;""</f>
        <v/>
      </c>
      <c r="EG15" s="155">
        <f>'FICHA AMALDIÇOADA'!$K$150&amp;""</f>
        <v/>
      </c>
      <c r="EH15" s="155">
        <f>'FICHA AMALDIÇOADA'!$K$151&amp;""</f>
        <v/>
      </c>
      <c r="EI15" s="155">
        <f>IF($EA15&lt;&gt;"",1,0)</f>
        <v/>
      </c>
      <c r="EJ15" s="155">
        <f>IFERROR(MATCH($EB15,$Y$2:$Y$11,0),0)</f>
        <v/>
      </c>
      <c r="EK15" s="155">
        <f>IF($EJ15=0,0,INDEX($AB$2:$AB$11,$EJ15))</f>
        <v/>
      </c>
      <c r="EL15" s="155">
        <f>IFERROR(VLOOKUP($EC15,$BC$2:$BK$84,4,FALSE),0)</f>
        <v/>
      </c>
      <c r="EM15" s="155">
        <f>IFERROR(VLOOKUP($ED15,$BC$2:$BK$84,4,FALSE),0)</f>
        <v/>
      </c>
      <c r="EN15" s="155">
        <f>IFERROR(VLOOKUP($EE15,$BC$2:$BK$84,4,FALSE),0)</f>
        <v/>
      </c>
      <c r="EO15" s="155">
        <f>IFERROR(VLOOKUP($EF15,$BC$2:$BK$84,4,FALSE),0)</f>
        <v/>
      </c>
      <c r="EP15" s="155">
        <f>IF($EJ15=0,0,INDEX($AC$2:$AC$11,$EJ15))</f>
        <v/>
      </c>
      <c r="EQ15" s="155">
        <f>IFERROR(VLOOKUP($EC15,$BC$2:$BK$84,5,FALSE),0)</f>
        <v/>
      </c>
      <c r="ER15" s="155">
        <f>IFERROR(VLOOKUP($ED15,$BC$2:$BK$84,5,FALSE),0)</f>
        <v/>
      </c>
      <c r="ES15" s="155">
        <f>IFERROR(VLOOKUP($EE15,$BC$2:$BK$84,5,FALSE),0)</f>
        <v/>
      </c>
      <c r="ET15" s="155">
        <f>IFERROR(VLOOKUP($EF15,$BC$2:$BK$84,5,FALSE),0)</f>
        <v/>
      </c>
      <c r="EU15" s="155">
        <f>IFERROR(VLOOKUP($EC15,$BC$2:$BK$84,6,FALSE),0)+IFERROR(VLOOKUP($ED15,$BC$2:$BK$84,6,FALSE),0)+IFERROR(VLOOKUP($EE15,$BC$2:$BK$84,6,FALSE),0)+IFERROR(VLOOKUP($EF15,$BC$2:$BK$84,6,FALSE),0)</f>
        <v/>
      </c>
      <c r="EV15" s="155">
        <f>IFERROR(VLOOKUP($EC15,$BC$2:$BK$84,9,FALSE),0)+IFERROR(VLOOKUP($ED15,$BC$2:$BK$84,9,FALSE),0)+IFERROR(VLOOKUP($EE15,$BC$2:$BK$84,9,FALSE),0)+IFERROR(VLOOKUP($EF15,$BC$2:$BK$84,9,FALSE),0)</f>
        <v/>
      </c>
      <c r="EW15" s="155">
        <f>IF($EJ15=0,0,INDEX($AD$2:$AD$11,$EJ15))</f>
        <v/>
      </c>
      <c r="EX15" s="155">
        <f>IF($EJ15=0,0,INDEX($AE$2:$AE$11,$EJ15))</f>
        <v/>
      </c>
      <c r="EY15" s="155">
        <f>IF($EJ15=0,0,INDEX($AG$2:$AG$11,$EJ15))</f>
        <v/>
      </c>
      <c r="EZ15" s="155">
        <f>IFERROR(VLOOKUP($EG15,$BM$2:$BQ$24,3,FALSE),0)</f>
        <v/>
      </c>
      <c r="FA15" s="155">
        <f>IFERROR(VLOOKUP($EH15,$BM$2:$BQ$24,3,FALSE),0)</f>
        <v/>
      </c>
      <c r="FB15" s="155">
        <f>IFERROR(VLOOKUP($EG15,$BM$2:$BQ$24,2,FALSE),"")</f>
        <v/>
      </c>
      <c r="FC15" s="155">
        <f>IFERROR(VLOOKUP($EH15,$BM$2:$BQ$24,2,FALSE),"")</f>
        <v/>
      </c>
      <c r="FD15" s="155">
        <f>COUNTIF($EK15:$EO15,1)</f>
        <v/>
      </c>
      <c r="FE15" s="155">
        <f>COUNTIF($EK15:$EO15,2)</f>
        <v/>
      </c>
      <c r="FF15" s="155">
        <f>COUNTIF($EK15:$EO15,3)</f>
        <v/>
      </c>
      <c r="FG15" s="155">
        <f>COUNTIF($EK15:$EO15,4)</f>
        <v/>
      </c>
      <c r="FH15" s="155">
        <f>COUNTIF($EK15:$EO15,5)</f>
        <v/>
      </c>
      <c r="FI15" s="155">
        <f>COUNTIF($EK15:$EO15,6)</f>
        <v/>
      </c>
      <c r="FJ15" s="155">
        <f>COUNTIF($EZ15:$FA15,1)</f>
        <v/>
      </c>
      <c r="FK15" s="155">
        <f>COUNTIF($EZ15:$FA15,2)+$EW15</f>
        <v/>
      </c>
      <c r="FL15" s="155">
        <f>COUNTIF($EC15:$EF15,"?*")</f>
        <v/>
      </c>
      <c r="FM15" s="155">
        <f>COUNTIF($EG15:$EH15,"?*")+$EW15</f>
        <v/>
      </c>
      <c r="FN15" s="155">
        <f>SUMPRODUCT($FD15:$FI15,INDEX($Q$2:$V$8,$DZ15,0))</f>
        <v/>
      </c>
      <c r="FO15" s="155">
        <f>$FJ15*CEILING($DZ15/2,1)+$FK15*$DZ15</f>
        <v/>
      </c>
      <c r="FP15" s="155">
        <f>MIN(2*$DZ15,$FO15)</f>
        <v/>
      </c>
      <c r="FQ15" s="155">
        <f>MIN($FP15,$FN15)</f>
        <v/>
      </c>
      <c r="FR15" s="155">
        <f>$FP15-$FQ15</f>
        <v/>
      </c>
      <c r="FS15" s="155">
        <f>3*$DZ15-$FN15+$FQ15</f>
        <v/>
      </c>
      <c r="FT15" s="155">
        <f>MAX(0,$FS15)+$DX15*$DZ15</f>
        <v/>
      </c>
      <c r="FU15" s="155">
        <f>(IF(COUNTIF($EC15:$EF15,"Salto")&gt;0,1,0)+IF(COUNTIF($EC15:$EF15,"Queima")&gt;0,1,0)+IF(COUNTIF($EC15:$EF15,"Estilhaço")&gt;0,1,0))*FLOOR($FT15/2,1)</f>
        <v/>
      </c>
      <c r="FV15" s="155">
        <f>MAX(0,3-SUMPRODUCT($FD15:$FI15,$Q$2:$V$2)+MIN(2,$FJ15*1+$FK15*1,SUMPRODUCT($FD15:$FI15,$Q$2:$V$2)))+$DX15*1</f>
        <v/>
      </c>
      <c r="FW15" s="155">
        <f>MAX(0,6-SUMPRODUCT($FD15:$FI15,$Q$3:$V$3)+MIN(4,$FJ15*1+$FK15*2,SUMPRODUCT($FD15:$FI15,$Q$3:$V$3)))+$DX15*2</f>
        <v/>
      </c>
      <c r="FX15" s="155">
        <f>MAX(0,9-SUMPRODUCT($FD15:$FI15,$Q$4:$V$4)+MIN(6,$FJ15*2+$FK15*3,SUMPRODUCT($FD15:$FI15,$Q$4:$V$4)))+$DX15*3</f>
        <v/>
      </c>
      <c r="FY15" s="155">
        <f>MAX(0,12-SUMPRODUCT($FD15:$FI15,$Q$5:$V$5)+MIN(8,$FJ15*2+$FK15*4,SUMPRODUCT($FD15:$FI15,$Q$5:$V$5)))+$DX15*4</f>
        <v/>
      </c>
      <c r="FZ15" s="155">
        <f>MAX(0,15-SUMPRODUCT($FD15:$FI15,$Q$6:$V$6)+MIN(10,$FJ15*3+$FK15*5,SUMPRODUCT($FD15:$FI15,$Q$6:$V$6)))+$DX15*5</f>
        <v/>
      </c>
      <c r="GA15" s="155">
        <f>MAX(0,18-SUMPRODUCT($FD15:$FI15,$Q$7:$V$7)+MIN(12,$FJ15*3+$FK15*6,SUMPRODUCT($FD15:$FI15,$Q$7:$V$7)))+$DX15*6</f>
        <v/>
      </c>
      <c r="GB15" s="155">
        <f>MAX(0,21-SUMPRODUCT($FD15:$FI15,$Q$8:$V$8)+MIN(14,$FJ15*4+$FK15*7,SUMPRODUCT($FD15:$FI15,$Q$8:$V$8)))+$DX15*7</f>
        <v/>
      </c>
      <c r="GC15" s="155">
        <f>IF($EX15=2,3*$FV15&amp;" de vida temp.",IF($EX15=3,"sem dano",IF($FV15=0,IF($EX15=1,"sem cura","sem dano"),IF($EX15=1,"cura ","")&amp;$FV15&amp;"d8")))</f>
        <v/>
      </c>
      <c r="GD15" s="155">
        <f>IF($EX15=2,3*$FW15&amp;" de vida temp.",IF($EX15=3,"sem dano",IF($FW15=0,IF($EX15=1,"sem cura","sem dano"),IF($EX15=1,"cura ","")&amp;$FW15&amp;"d8")))</f>
        <v/>
      </c>
      <c r="GE15" s="155">
        <f>IF($EX15=2,3*$FX15&amp;" de vida temp.",IF($EX15=3,"sem dano",IF($FX15=0,IF($EX15=1,"sem cura","sem dano"),IF($EX15=1,"cura ","")&amp;$FX15&amp;"d8")))</f>
        <v/>
      </c>
      <c r="GF15" s="155">
        <f>IF($EX15=2,3*$FY15&amp;" de vida temp.",IF($EX15=3,"sem dano",IF($FY15=0,IF($EX15=1,"sem cura","sem dano"),IF($EX15=1,"cura ","")&amp;$FY15&amp;"d8")))</f>
        <v/>
      </c>
      <c r="GG15" s="155">
        <f>IF($EX15=2,3*$FZ15&amp;" de vida temp.",IF($EX15=3,"sem dano",IF($FZ15=0,IF($EX15=1,"sem cura","sem dano"),IF($EX15=1,"cura ","")&amp;$FZ15&amp;"d8")))</f>
        <v/>
      </c>
      <c r="GH15" s="155">
        <f>IF($EX15=2,3*$GA15&amp;" de vida temp.",IF($EX15=3,"sem dano",IF($GA15=0,IF($EX15=1,"sem cura","sem dano"),IF($EX15=1,"cura ","")&amp;$GA15&amp;"d8")))</f>
        <v/>
      </c>
      <c r="GI15" s="155">
        <f>IF($EX15=2,3*$GB15&amp;" de vida temp.",IF($EX15=3,"sem dano",IF($GB15=0,IF($EX15=1,"sem cura","sem dano"),IF($EX15=1,"cura ","")&amp;$GB15&amp;"d8")))</f>
        <v/>
      </c>
      <c r="GJ15" s="155">
        <f>IF($EI15=0,"",TEXTJOIN(" · ",TRUE,IF(AND($DX15=1,$DY15&gt;$HK$9),"O nível "&amp;$HK$2&amp;" dá "&amp;$HK$9&amp;" Liberação Máxima",""),IF($DZ15&gt;$HK$4,"Classe "&amp;$DZ15&amp;": o nível "&amp;$HK$2&amp;" libera até a "&amp;$HK$4,""),IF($EP15=1,"Família Fechada: a Forma "&amp;$EB15,""),IF($EQ15=1,"Família Fechada: "&amp;$EC15,""),IF($ER15=1,"Família Fechada: "&amp;$ED15,""),IF($ES15=1,"Família Fechada: "&amp;$EE15,""),IF($ET15=1,"Família Fechada: "&amp;$EF15,""),IF($FL15&gt;INDEX($W$2:$W$8,$DZ15),$FL15&amp;" Melhorias: a Classe "&amp;$DZ15&amp;" aceita "&amp;INDEX($W$2:$W$8,$DZ15),""),IF($FM15&gt;2,$FM15&amp;" Restrições"&amp;IF($EW15=1,", contando a que a Forma "&amp;$EB15&amp;" já traz","")&amp;": o limite é 2",""),IF($FS15&lt;0,"Orçamento estourado: faltam "&amp;(-$FS15)&amp;IF($FS15&lt;-1," pontos"," ponto"),""),IF(IFERROR(VLOOKUP($EG15,$BM$2:$BQ$24,4,FALSE),0)+IFERROR(VLOOKUP($EH15,$BM$2:$BQ$24,4,FALSE),0)&gt;1,$FB15&amp;" e "&amp;$FC15&amp;" são as duas de frequência",""),IF(AND((COUNTIF($EC15:$EF15,"Rápido")+COUNTIF($FB15:$FC15,"Rápido"))&gt;0,(COUNTIF($EC15:$EF15,"Atrasar")+COUNTIF($FB15:$FC15,"Atrasar"))&gt;0),"Rápido não entra com Atrasar",""),IF(AND((COUNTIF($EC15:$EF15,"Reação")+COUNTIF($FB15:$FC15,"Reação"))&gt;0,(COUNTIF($EC15:$EF15,"Rápido")+COUNTIF($FB15:$FC15,"Rápido"))&gt;0),"Reação não entra com Rápido",""),IF(AND((COUNTIF($EC15:$EF15,"Reação")+COUNTIF($FB15:$FC15,"Reação"))&gt;0,(COUNTIF($EC15:$EF15,"Armado")+COUNTIF($FB15:$FC15,"Armado"))&gt;0),"Reação não entra com Armado",""),IF(AND((COUNTIF($EC15:$EF15,"Reação")+COUNTIF($FB15:$FC15,"Reação"))&gt;0,(COUNTIF($EC15:$EF15,"Atrasar")+COUNTIF($FB15:$FC15,"Atrasar"))&gt;0),"Reação não entra com Atrasar",""),IF(AND((COUNTIF($EC15:$EF15,"Reação")+COUNTIF($FB15:$FC15,"Reação"))&gt;0,(COUNTIF($EC15:$EF15,"Parado")+COUNTIF($FB15:$FC15,"Parado"))&gt;0),"Reação não entra com Parado",""),IF(AND((COUNTIF($EC15:$EF15,"Atrasar")+COUNTIF($FB15:$FC15,"Atrasar"))&gt;0,(COUNTIF($EC15:$EF15,"Parado")+COUNTIF($FB15:$FC15,"Parado"))&gt;0),"Atrasar não entra com Parado",""),IF(AND((COUNTIF($EC15:$EF15,"Armado")+COUNTIF($FB15:$FC15,"Armado"))&gt;0,(COUNTIF($EC15:$EF15,"Carregar")+COUNTIF($FB15:$FC15,"Carregar"))&gt;0),"Armado não entra com Carregar",""),IF(AND(COUNTIF($FB15:$FC15,"Corpo a Corpo")&gt;0,$EW15=0,OR($EB15="Cone",$EB15="Linha")),"Corpo a Corpo não entra em "&amp;$EB15,""),IF(AND(COUNTIF($FB15:$FC15,"Corpo a Corpo")&gt;0,$EW15=1),"A Forma "&amp;$EB15&amp;" já traz o Corpo a Corpo",""),IF(AND(COUNTIF($FB15:$FC15,"Tudo ou Nada")&gt;0,$EY15=0),"Tudo ou Nada só entra em feitiço de Teste de Resistência",""),IF(AND(COUNTIF($EC15:$EF15,"Inescapável")&gt;0,OR($FL15&gt;1,$FM15&gt;0)),"Inescapável não aceita outra peça",""),IF(AND($DX15=1,$DZ15&lt;3),"Liberação Máxima é de Classe 3 ou mais",""),IF(AND($DX15=1,OR($EX15=1,$EX15=2)),"Liberação Máxima não serve para cura",""),IF(AND($DX15=1,COUNTIF($EC15:$EF15,"Inescapável")+COUNTIF($EC15:$EF15,"Toca a Alma")&gt;0),"Esta peça não entra numa Liberação Máxima",""),IF($FT15*IF(COUNTIF($EC15:$EF15,"Remate")&gt;0,1.25,1)+$FU15&gt;4*$DZ15,($FT15*IF(COUNTIF($EC15:$EF15,"Remate")&gt;0,1.25,1)+$FU15)&amp;" dados somando repetições"&amp;IF(COUNTIF($EC15:$EF15,"Remate")&gt;0," e o Remate","")&amp;": o teto da Classe "&amp;$DZ15&amp;" é "&amp;4*$DZ15,"")))</f>
        <v/>
      </c>
      <c r="GK15" s="155">
        <f>IF($GJ15="",0,(LEN($GJ15)-LEN(SUBSTITUTE($GJ15," · ","")))/3+1)</f>
        <v/>
      </c>
      <c r="GL15" s="155">
        <f>IF($EI15=0,"",TEXTJOIN(" · ",TRUE,IF($FO15&gt;2*$DZ15,"A devolução parou no teto de "&amp;2*$DZ15,""),IF($FR15&gt;0,"Devolução perdida: "&amp;$FR15&amp;IF($FR15&gt;1," pontos"," ponto")&amp;" sem peça para pagar",""),IF(AND($EU15&gt;0,$FT15=0),"Controle sem dano: uma rodada a mais e CD +2",""),IF(AND($EU15&gt;0,$FT15&gt;0,$FT15&lt;=$DZ15),"Controle com saldo até a Classe: uma rodada a mais","")))</f>
        <v/>
      </c>
      <c r="GM15" s="155">
        <f>IF($GL15="",0,(LEN($GL15)-LEN(SUBSTITUTE($GL15," · ","")))/3+1)</f>
        <v/>
      </c>
      <c r="GN15" s="155">
        <f>IF($EI15=0,IF($FL15+$FM15-$EW15&gt;0,"Dê um nome",""),IF($GK15&gt;0,"⚠ "&amp;$GK15&amp;IF($GK15&gt;1," erros"," erro"),IF($GM15&gt;0,"! "&amp;$GM15&amp;IF($GM15&gt;1," avisos"," aviso"),"Na regra")))</f>
        <v/>
      </c>
      <c r="GO15" s="155">
        <f>IF($EI15=0,"",IF($GK15+$GM15=0,"Dentro das regras que a ficha confere",$GJ15&amp;IF(AND($GK15&gt;0,$GM15&gt;0)," · ","")&amp;$GL15))</f>
        <v/>
      </c>
      <c r="GP15" s="155">
        <f>IF($EI15=0,"",IF($DX15=1,CEILING(4.5*$DZ15,1),3*$DZ15)&amp;" PE")</f>
        <v/>
      </c>
      <c r="GQ15" s="155">
        <f>IF($EI15=0,"",IF($DX15=1,"Rodada inteira",IF(COUNTIF($FB15:$FC15,"Atrasar")&gt;0,IF(COUNTIF($FB15:$FC15,"Carregar")&gt;0,"Rodada +1 turno","Rodada inteira"),IF(COUNTIF($EC15:$EF15,"Rápido")&gt;0,"Bônus",IF(COUNTIF($EC15:$EF15,"Reação")&gt;0,"Reação","Padrão"))&amp;IF(COUNTIF($FB15:$FC15,"Carregar")&gt;0," +1 turno",""))))</f>
        <v/>
      </c>
      <c r="GR15" s="155">
        <f>IF(OR($EI15=0,$EJ15=0),"",IF(COUNTIF($EC15:$EF15,"Inescapável")&gt;0,"Automático",IF(COUNTIF($EC15:$EF15,"Certeiro")&gt;0,"TR para metade",IF(AND($EV15&gt;0,$EY15=0,INDEX($AF$2:$AF$11,$EJ15)="Acerto"),"Acerto + TR",INDEX($AF$2:$AF$11,$EJ15)))))</f>
        <v/>
      </c>
      <c r="GS15" s="155">
        <f>IF(OR($EI15=0,$EJ15=0),"",IF(OR($EX15&gt;=2,$FT15=0),UPPER(LEFT(INDEX($GC15:$GI15,1,$DZ15),1))&amp;MID(INDEX($GC15:$GI15,1,$DZ15),2,99),UPPER(LEFT(INDEX($GC15:$GI15,1,$DZ15),1))&amp;MID(INDEX($GC15:$GI15,1,$DZ15),2,99)&amp;" = "&amp;FLOOR($FT15*4.5,1)&amp;IF($FU15&gt;0," · +"&amp;$FU15&amp;"d8","")))</f>
        <v/>
      </c>
      <c r="GT15" s="155">
        <f>COUNTIF($EC15:$EF15,"Longe")+3*COUNTIF($EC15:$EF15,"Muito Longe")</f>
        <v/>
      </c>
      <c r="GU15" s="155">
        <f>COUNTIF($EC15:$EF15,"Maior")+3*COUNTIF($EC15:$EF15,"Muito Maior")</f>
        <v/>
      </c>
      <c r="GV15" s="155">
        <f>IF($EJ15=0,0,CHOOSE(1+INDEX($AH$2:$AH$11,$EJ15),0,$GT15,$GU15,$GT15+$GU15))</f>
        <v/>
      </c>
      <c r="GW15" s="155">
        <f>IF($EJ15=0,0,CHOOSE(1+INDEX($AI$2:$AI$11,$EJ15),0,$GT15,$GU15,$GT15+$GU15))</f>
        <v/>
      </c>
      <c r="GX15" s="155">
        <f>IF(OR($EI15=0,$EJ15=0),"",INDEX($AP$2:$AU$31,($EJ15-1)*3+IF($DZ15&gt;=6,3,2),1+MIN(5,$GV15))&amp;INDEX($AV$2:$BA$31,($EJ15-1)*3+IF($DZ15&gt;=6,3,2),1+MIN(5,$GW15))&amp;IF(INDEX($AJ$2:$AJ$11,$EJ15)=1,IF(COUNTIF($EC15:$EF15,"Mais Um")&gt;0," · +"&amp;COUNTIF($EC15:$EF15,"Mais Um")&amp;IF(COUNTIF($EC15:$EF15,"Mais Um")&gt;1," alvos"," alvo"),"")&amp;IF(COUNTIF($EC15:$EF15,"Rajada")&gt;0," · "&amp;($DZ15+1)&amp;" tiros",""),""))</f>
        <v/>
      </c>
      <c r="GY15" s="155">
        <f>IF($EI15=0,"",3*$DZ15&amp;" − "&amp;$FN15&amp;" + "&amp;$FQ15&amp;IF($DX15=1," + "&amp;$DZ15,"")&amp;" = "&amp;$FT15&amp;"d8 · teto "&amp;4*$DZ15&amp;IF($EW15=1," · a Forma devolve "&amp;$DZ15,"")&amp;IF($FR15&gt;0," · perde "&amp;$FR15,""))</f>
        <v/>
      </c>
      <c r="GZ15" s="155">
        <f>IF($EI15=0,"",IF($DZ15&gt;=$HK$4,"Já está na maior Classe que o nível liberou",TEXTJOIN(" · ",TRUE,IF(AND(2&gt;$DZ15,2&lt;=$HK$4),"2 → "&amp;$GD15&amp;", "&amp;IF($DX15=1,9,6)&amp;" PE",""),IF(AND(3&gt;$DZ15,3&lt;=$HK$4),"3 → "&amp;$GE15&amp;", "&amp;IF($DX15=1,14,9)&amp;" PE",""),IF(AND(4&gt;$DZ15,4&lt;=$HK$4),"4 → "&amp;$GF15&amp;", "&amp;IF($DX15=1,18,12)&amp;" PE",""),IF(AND(5&gt;$DZ15,5&lt;=$HK$4),"5 → "&amp;$GG15&amp;", "&amp;IF($DX15=1,23,15)&amp;" PE",""),IF(AND(6&gt;$DZ15,6&lt;=$HK$4),"6 → "&amp;$GH15&amp;", "&amp;IF($DX15=1,27,18)&amp;" PE",""),IF(AND(7&gt;$DZ15,7&lt;=$HK$4),"7 → "&amp;$GI15&amp;", "&amp;IF($DX15=1,32,21)&amp;" PE",""))))</f>
        <v/>
      </c>
      <c r="HA15" s="155">
        <f>IF(OR($EI15=0,$EL15=0),"","−"&amp;INDEX($Q$2:$V$8,$DZ15,$EL15)&amp;" · "&amp;CHOOSE($EL15,"Leve","Média","Pesada","Leve · Livre","Média · Livre","Pesada · Livre"))</f>
        <v/>
      </c>
      <c r="HB15" s="155">
        <f>IF(OR($EI15=0,$EM15=0),"","−"&amp;INDEX($Q$2:$V$8,$DZ15,$EM15)&amp;" · "&amp;CHOOSE($EM15,"Leve","Média","Pesada","Leve · Livre","Média · Livre","Pesada · Livre"))</f>
        <v/>
      </c>
      <c r="HC15" s="155">
        <f>IF(OR($EI15=0,$EN15=0),"","−"&amp;INDEX($Q$2:$V$8,$DZ15,$EN15)&amp;" · "&amp;CHOOSE($EN15,"Leve","Média","Pesada","Leve · Livre","Média · Livre","Pesada · Livre"))</f>
        <v/>
      </c>
      <c r="HD15" s="155">
        <f>IF(OR($EI15=0,$EO15=0),"","−"&amp;INDEX($Q$2:$V$8,$DZ15,$EO15)&amp;" · "&amp;CHOOSE($EO15,"Leve","Média","Pesada","Leve · Livre","Média · Livre","Pesada · Livre"))</f>
        <v/>
      </c>
      <c r="HE15" s="155">
        <f>IF(OR($EI15=0,$EG15=""),"","+"&amp;IF($EZ15=1,CEILING($DZ15/2,1),$DZ15))</f>
        <v/>
      </c>
      <c r="HF15" s="155">
        <f>IF(OR($EI15=0,$EH15=""),"","+"&amp;IF($FA15=1,CEILING($DZ15/2,1),$DZ15))</f>
        <v/>
      </c>
      <c r="HG15" s="155">
        <f>'FICHA AMALDIÇOADA'!$J$139&amp;""</f>
        <v/>
      </c>
      <c r="HH15" s="155">
        <f>IF(AND($EI15=1,$DX15=0),COUNTIFS($EI$2:$EI15,1,$DX$2:$DX15,0),"")</f>
        <v/>
      </c>
      <c r="HJ15" s="153" t="inlineStr">
        <is>
          <t>feitiços montados</t>
        </is>
      </c>
      <c r="HK15" s="155">
        <f>SUM($EI$2:$EI$37)</f>
        <v/>
      </c>
      <c r="JF15" s="155" t="n">
        <v>14</v>
      </c>
      <c r="JG15" s="155">
        <f>IFERROR(MATCH(14,$HH$2:$HH$37,0),0)</f>
        <v/>
      </c>
      <c r="JH15" s="155">
        <f>IF($JG15=0,"",INDEX($DZ$2:$DZ$37,$JG15))</f>
        <v/>
      </c>
      <c r="JI15" s="155">
        <f>IF($JG15=0,"",INDEX($EA$2:$EA$37,$JG15))</f>
        <v/>
      </c>
      <c r="JJ15" s="155">
        <f>IF($JG15=0,"",INDEX($GP$2:$GP$37,$JG15))</f>
        <v/>
      </c>
      <c r="JK15" s="155">
        <f>IF($JG15=0,"",INDEX($EB$2:$EB$37,$JG15))</f>
        <v/>
      </c>
      <c r="JL15" s="155">
        <f>IF($JG15=0,"",INDEX($GR$2:$GR$37,$JG15))</f>
        <v/>
      </c>
      <c r="JM15" s="155">
        <f>IF($JG15=0,"",INDEX($HG$2:$HG$37,$JG15))</f>
        <v/>
      </c>
      <c r="KD15" s="153" t="inlineStr">
        <is>
          <t>Talento 12</t>
        </is>
      </c>
      <c r="KE15" s="155">
        <f>IFERROR(MATCH(12,$HU$2:$HU$13,0),0)</f>
        <v/>
      </c>
      <c r="KF15" s="155">
        <f>IF($KE15=0,"",IF(INDEX($HO$2:$HO$13,$KE15)=0,"","CE "&amp;INDEX($HO$2:$HO$13,$KE15)))</f>
        <v/>
      </c>
      <c r="KG15" s="155">
        <f>IF($KE15=0,"",INDEX($HN$2:$HN$13,$KE15))</f>
        <v/>
      </c>
      <c r="KH15" s="155">
        <f>IF($KE15=0,"",IF(INDEX($HT$2:$HT$13,$KE15)&lt;&gt;"",INDEX($HT$2:$HT$13,$KE15),IF(IFERROR(VLOOKUP(INDEX($HN$2:$HN$13,$KE15),$BS$2:$BY$24,7,FALSE),"")&lt;&gt;"","Do livro: "&amp;IFERROR(VLOOKUP(INDEX($HN$2:$HN$13,$KE15),$BS$2:$BY$24,7,FALSE),""),"")))</f>
        <v/>
      </c>
      <c r="KJ15" s="153" t="inlineStr">
        <is>
          <t>Aptidão 12</t>
        </is>
      </c>
      <c r="KK15" s="155">
        <f>IFERROR(MATCH(12,$ID$2:$ID$13,0),0)</f>
        <v/>
      </c>
      <c r="KL15" s="155">
        <f>IF($KK15=0,"",INDEX($HZ$2:$HZ$13,$KK15))</f>
        <v/>
      </c>
      <c r="KM15" s="155">
        <f>IF($KK15=0,"",INDEX($HX$2:$HX$13,$KK15))</f>
        <v/>
      </c>
      <c r="KN15" s="155">
        <f>IF($KK15=0,"",IF(INDEX($IC$2:$IC$13,$KK15)&lt;&gt;"",INDEX($IC$2:$IC$13,$KK15),IF(IFERROR(VLOOKUP(INDEX($HX$2:$HX$13,$KK15),$CD$2:$CM$33,10,FALSE),"")&lt;&gt;"","Do livro: "&amp;IFERROR(VLOOKUP(INDEX($HX$2:$HX$13,$KK15),$CD$2:$CM$33,10,FALSE),""),"")))</f>
        <v/>
      </c>
      <c r="KP15" s="153" t="inlineStr">
        <is>
          <t>par passivas 2</t>
        </is>
      </c>
      <c r="KQ15" s="155">
        <f>"TALENTOS 7 A 12"</f>
        <v/>
      </c>
      <c r="KS15" s="153" t="inlineStr">
        <is>
          <t>P19</t>
        </is>
      </c>
      <c r="KT15" s="155">
        <f>IF(DADOS_AM!$HK$45="","",DADOS_AM!$HK$45&amp;" · "&amp;"d20 + "&amp;(DADOS_AM!$HK$3+DADOS_AM!$HK$48+IFERROR(VALUE(FICHA!$W$55&amp;""),0))&amp;" · CD "&amp;(8+DADOS_AM!$HK$3+DADOS_AM!$HK$48+IFERROR(VALUE(FICHA!$L$55&amp;""),0)))</f>
        <v/>
      </c>
    </row>
    <row r="16">
      <c r="C16" s="153" t="inlineStr">
        <is>
          <t>estímulo</t>
        </is>
      </c>
      <c r="D16" s="153" t="inlineStr">
        <is>
          <t>—</t>
        </is>
      </c>
      <c r="E16" s="153" t="inlineStr">
        <is>
          <t>—</t>
        </is>
      </c>
      <c r="F16" s="153" t="inlineStr">
        <is>
          <t>—</t>
        </is>
      </c>
      <c r="G16" s="153" t="inlineStr">
        <is>
          <t>Estímulo Muscular</t>
        </is>
      </c>
      <c r="AO16" s="153" t="inlineStr">
        <is>
          <t>Cone · classes 6 e 7</t>
        </is>
      </c>
      <c r="AP16" s="153" t="inlineStr">
        <is>
          <t>Cone de 9 m</t>
        </is>
      </c>
      <c r="AQ16" s="153" t="inlineStr">
        <is>
          <t>Cone de 18 m</t>
        </is>
      </c>
      <c r="AR16" s="153" t="inlineStr">
        <is>
          <t>Cone de 30 m</t>
        </is>
      </c>
      <c r="AS16" s="153" t="inlineStr">
        <is>
          <t>Cone de 60 m</t>
        </is>
      </c>
      <c r="AT16" s="153" t="inlineStr">
        <is>
          <t>Cone de 60 m</t>
        </is>
      </c>
      <c r="AU16" s="153" t="inlineStr">
        <is>
          <t>Cone de 60 m</t>
        </is>
      </c>
      <c r="AV16" s="153" t="inlineStr"/>
      <c r="AW16" s="153" t="inlineStr"/>
      <c r="AX16" s="153" t="inlineStr"/>
      <c r="AY16" s="153" t="inlineStr"/>
      <c r="AZ16" s="153" t="inlineStr"/>
      <c r="BA16" s="153" t="inlineStr"/>
      <c r="BC16" s="153" t="inlineStr">
        <is>
          <t>Contorno</t>
        </is>
      </c>
      <c r="BD16" s="153" t="inlineStr">
        <is>
          <t>Área</t>
        </is>
      </c>
      <c r="BE16" s="155" t="n">
        <v>1</v>
      </c>
      <c r="BF16" s="155">
        <f>$BE16+3*IFERROR(VLOOKUP($BD16,$I$2:$L$10,3,FALSE),0)</f>
        <v/>
      </c>
      <c r="BG16" s="155">
        <f>IFERROR(VLOOKUP($BD16,$I$2:$L$10,4,FALSE),0)</f>
        <v/>
      </c>
      <c r="BH16" s="155" t="n">
        <v>0</v>
      </c>
      <c r="BI16" s="155">
        <f>IF($BG16=1,"",$BC16)</f>
        <v/>
      </c>
      <c r="BJ16" s="155">
        <f>IF(AND($BE16=1,$BG16=0),$BC16,"")</f>
        <v/>
      </c>
      <c r="BK16" s="155" t="n">
        <v>0</v>
      </c>
      <c r="BM16" s="153" t="inlineStr">
        <is>
          <t>Condicional (Leve)</t>
        </is>
      </c>
      <c r="BN16" s="153" t="inlineStr">
        <is>
          <t>Condicional</t>
        </is>
      </c>
      <c r="BO16" s="155" t="n">
        <v>1</v>
      </c>
      <c r="BP16" s="155" t="n">
        <v>1</v>
      </c>
      <c r="BQ16" s="153" t="inlineStr">
        <is>
          <t>Condicional (Leve)</t>
        </is>
      </c>
      <c r="BS16" s="153" t="inlineStr">
        <is>
          <t>Afinidade</t>
        </is>
      </c>
      <c r="BT16" s="155" t="n">
        <v>3</v>
      </c>
      <c r="BU16" s="153" t="inlineStr">
        <is>
          <t>Escolha um tema presente na Regra da sua técnica. Seus feitiços desse tema ignoram cobertura Parcial e resistência ao tipo de dano que causam.</t>
        </is>
      </c>
      <c r="BV16" s="155" t="n">
        <v>1</v>
      </c>
      <c r="BW16" s="155" t="n">
        <v>0</v>
      </c>
      <c r="BX16" s="155">
        <f>IF(OR(AND($A$2&lt;=2,$BV16=1),AND($A$2&gt;=2,$BW16=1)),$BS16,"")</f>
        <v/>
      </c>
      <c r="BY16" s="153" t="inlineStr">
        <is>
          <t>Escolha um tema presente na Regra da sua técnica. Seus feitiços desse tema ignoram cobertura Parcial e resistência ao tipo de dano que causam.</t>
        </is>
      </c>
      <c r="CD16" s="153" t="inlineStr">
        <is>
          <t>Ritual</t>
        </is>
      </c>
      <c r="CE16" s="153" t="inlineStr">
        <is>
          <t>Inteligência 5, nível 10 e Técnica Inata. Regras em Ritual e Pactos</t>
        </is>
      </c>
      <c r="CF16" s="153" t="inlineStr">
        <is>
          <t>—</t>
        </is>
      </c>
      <c r="CG16" s="153" t="inlineStr">
        <is>
          <t>—</t>
        </is>
      </c>
      <c r="CH16" s="153"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mais a eventual penalidade por falha.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t>
        </is>
      </c>
      <c r="CI16" s="155">
        <f>IF($CL16=1,"",IF($A$2=4,IF($CJ16=1,$CD16,""),IF(OR($CJ16=1,AND($A$2=3,$CK16=1)),"",$CD16)))</f>
        <v/>
      </c>
      <c r="CJ16" s="155" t="n">
        <v>0</v>
      </c>
      <c r="CK16" s="155" t="n">
        <v>0</v>
      </c>
      <c r="CL16" s="155" t="n">
        <v>0</v>
      </c>
      <c r="CM16" s="153" t="inlineStr">
        <is>
          <t>Um Ritual reforça um feitiço com gestos e recitação.</t>
        </is>
      </c>
      <c r="DW16" s="153" t="inlineStr">
        <is>
          <t>Feitiço 15</t>
        </is>
      </c>
      <c r="DX16" s="155" t="n">
        <v>0</v>
      </c>
      <c r="DY16" s="155" t="n">
        <v>15</v>
      </c>
      <c r="DZ16" s="155">
        <f>MAX(1,MIN(7,N('FICHA AMALDIÇOADA'!$P$137)))</f>
        <v/>
      </c>
      <c r="EA16" s="155">
        <f>'FICHA AMALDIÇOADA'!$Q$137&amp;""</f>
        <v/>
      </c>
      <c r="EB16" s="155">
        <f>'FICHA AMALDIÇOADA'!$P$144&amp;""</f>
        <v/>
      </c>
      <c r="EC16" s="155">
        <f>'FICHA AMALDIÇOADA'!$Q$146&amp;""</f>
        <v/>
      </c>
      <c r="ED16" s="155">
        <f>'FICHA AMALDIÇOADA'!$Q$147&amp;""</f>
        <v/>
      </c>
      <c r="EE16" s="155">
        <f>'FICHA AMALDIÇOADA'!$Q$148&amp;""</f>
        <v/>
      </c>
      <c r="EF16" s="155">
        <f>'FICHA AMALDIÇOADA'!$Q$149&amp;""</f>
        <v/>
      </c>
      <c r="EG16" s="155">
        <f>'FICHA AMALDIÇOADA'!$Q$150&amp;""</f>
        <v/>
      </c>
      <c r="EH16" s="155">
        <f>'FICHA AMALDIÇOADA'!$Q$151&amp;""</f>
        <v/>
      </c>
      <c r="EI16" s="155">
        <f>IF($EA16&lt;&gt;"",1,0)</f>
        <v/>
      </c>
      <c r="EJ16" s="155">
        <f>IFERROR(MATCH($EB16,$Y$2:$Y$11,0),0)</f>
        <v/>
      </c>
      <c r="EK16" s="155">
        <f>IF($EJ16=0,0,INDEX($AB$2:$AB$11,$EJ16))</f>
        <v/>
      </c>
      <c r="EL16" s="155">
        <f>IFERROR(VLOOKUP($EC16,$BC$2:$BK$84,4,FALSE),0)</f>
        <v/>
      </c>
      <c r="EM16" s="155">
        <f>IFERROR(VLOOKUP($ED16,$BC$2:$BK$84,4,FALSE),0)</f>
        <v/>
      </c>
      <c r="EN16" s="155">
        <f>IFERROR(VLOOKUP($EE16,$BC$2:$BK$84,4,FALSE),0)</f>
        <v/>
      </c>
      <c r="EO16" s="155">
        <f>IFERROR(VLOOKUP($EF16,$BC$2:$BK$84,4,FALSE),0)</f>
        <v/>
      </c>
      <c r="EP16" s="155">
        <f>IF($EJ16=0,0,INDEX($AC$2:$AC$11,$EJ16))</f>
        <v/>
      </c>
      <c r="EQ16" s="155">
        <f>IFERROR(VLOOKUP($EC16,$BC$2:$BK$84,5,FALSE),0)</f>
        <v/>
      </c>
      <c r="ER16" s="155">
        <f>IFERROR(VLOOKUP($ED16,$BC$2:$BK$84,5,FALSE),0)</f>
        <v/>
      </c>
      <c r="ES16" s="155">
        <f>IFERROR(VLOOKUP($EE16,$BC$2:$BK$84,5,FALSE),0)</f>
        <v/>
      </c>
      <c r="ET16" s="155">
        <f>IFERROR(VLOOKUP($EF16,$BC$2:$BK$84,5,FALSE),0)</f>
        <v/>
      </c>
      <c r="EU16" s="155">
        <f>IFERROR(VLOOKUP($EC16,$BC$2:$BK$84,6,FALSE),0)+IFERROR(VLOOKUP($ED16,$BC$2:$BK$84,6,FALSE),0)+IFERROR(VLOOKUP($EE16,$BC$2:$BK$84,6,FALSE),0)+IFERROR(VLOOKUP($EF16,$BC$2:$BK$84,6,FALSE),0)</f>
        <v/>
      </c>
      <c r="EV16" s="155">
        <f>IFERROR(VLOOKUP($EC16,$BC$2:$BK$84,9,FALSE),0)+IFERROR(VLOOKUP($ED16,$BC$2:$BK$84,9,FALSE),0)+IFERROR(VLOOKUP($EE16,$BC$2:$BK$84,9,FALSE),0)+IFERROR(VLOOKUP($EF16,$BC$2:$BK$84,9,FALSE),0)</f>
        <v/>
      </c>
      <c r="EW16" s="155">
        <f>IF($EJ16=0,0,INDEX($AD$2:$AD$11,$EJ16))</f>
        <v/>
      </c>
      <c r="EX16" s="155">
        <f>IF($EJ16=0,0,INDEX($AE$2:$AE$11,$EJ16))</f>
        <v/>
      </c>
      <c r="EY16" s="155">
        <f>IF($EJ16=0,0,INDEX($AG$2:$AG$11,$EJ16))</f>
        <v/>
      </c>
      <c r="EZ16" s="155">
        <f>IFERROR(VLOOKUP($EG16,$BM$2:$BQ$24,3,FALSE),0)</f>
        <v/>
      </c>
      <c r="FA16" s="155">
        <f>IFERROR(VLOOKUP($EH16,$BM$2:$BQ$24,3,FALSE),0)</f>
        <v/>
      </c>
      <c r="FB16" s="155">
        <f>IFERROR(VLOOKUP($EG16,$BM$2:$BQ$24,2,FALSE),"")</f>
        <v/>
      </c>
      <c r="FC16" s="155">
        <f>IFERROR(VLOOKUP($EH16,$BM$2:$BQ$24,2,FALSE),"")</f>
        <v/>
      </c>
      <c r="FD16" s="155">
        <f>COUNTIF($EK16:$EO16,1)</f>
        <v/>
      </c>
      <c r="FE16" s="155">
        <f>COUNTIF($EK16:$EO16,2)</f>
        <v/>
      </c>
      <c r="FF16" s="155">
        <f>COUNTIF($EK16:$EO16,3)</f>
        <v/>
      </c>
      <c r="FG16" s="155">
        <f>COUNTIF($EK16:$EO16,4)</f>
        <v/>
      </c>
      <c r="FH16" s="155">
        <f>COUNTIF($EK16:$EO16,5)</f>
        <v/>
      </c>
      <c r="FI16" s="155">
        <f>COUNTIF($EK16:$EO16,6)</f>
        <v/>
      </c>
      <c r="FJ16" s="155">
        <f>COUNTIF($EZ16:$FA16,1)</f>
        <v/>
      </c>
      <c r="FK16" s="155">
        <f>COUNTIF($EZ16:$FA16,2)+$EW16</f>
        <v/>
      </c>
      <c r="FL16" s="155">
        <f>COUNTIF($EC16:$EF16,"?*")</f>
        <v/>
      </c>
      <c r="FM16" s="155">
        <f>COUNTIF($EG16:$EH16,"?*")+$EW16</f>
        <v/>
      </c>
      <c r="FN16" s="155">
        <f>SUMPRODUCT($FD16:$FI16,INDEX($Q$2:$V$8,$DZ16,0))</f>
        <v/>
      </c>
      <c r="FO16" s="155">
        <f>$FJ16*CEILING($DZ16/2,1)+$FK16*$DZ16</f>
        <v/>
      </c>
      <c r="FP16" s="155">
        <f>MIN(2*$DZ16,$FO16)</f>
        <v/>
      </c>
      <c r="FQ16" s="155">
        <f>MIN($FP16,$FN16)</f>
        <v/>
      </c>
      <c r="FR16" s="155">
        <f>$FP16-$FQ16</f>
        <v/>
      </c>
      <c r="FS16" s="155">
        <f>3*$DZ16-$FN16+$FQ16</f>
        <v/>
      </c>
      <c r="FT16" s="155">
        <f>MAX(0,$FS16)+$DX16*$DZ16</f>
        <v/>
      </c>
      <c r="FU16" s="155">
        <f>(IF(COUNTIF($EC16:$EF16,"Salto")&gt;0,1,0)+IF(COUNTIF($EC16:$EF16,"Queima")&gt;0,1,0)+IF(COUNTIF($EC16:$EF16,"Estilhaço")&gt;0,1,0))*FLOOR($FT16/2,1)</f>
        <v/>
      </c>
      <c r="FV16" s="155">
        <f>MAX(0,3-SUMPRODUCT($FD16:$FI16,$Q$2:$V$2)+MIN(2,$FJ16*1+$FK16*1,SUMPRODUCT($FD16:$FI16,$Q$2:$V$2)))+$DX16*1</f>
        <v/>
      </c>
      <c r="FW16" s="155">
        <f>MAX(0,6-SUMPRODUCT($FD16:$FI16,$Q$3:$V$3)+MIN(4,$FJ16*1+$FK16*2,SUMPRODUCT($FD16:$FI16,$Q$3:$V$3)))+$DX16*2</f>
        <v/>
      </c>
      <c r="FX16" s="155">
        <f>MAX(0,9-SUMPRODUCT($FD16:$FI16,$Q$4:$V$4)+MIN(6,$FJ16*2+$FK16*3,SUMPRODUCT($FD16:$FI16,$Q$4:$V$4)))+$DX16*3</f>
        <v/>
      </c>
      <c r="FY16" s="155">
        <f>MAX(0,12-SUMPRODUCT($FD16:$FI16,$Q$5:$V$5)+MIN(8,$FJ16*2+$FK16*4,SUMPRODUCT($FD16:$FI16,$Q$5:$V$5)))+$DX16*4</f>
        <v/>
      </c>
      <c r="FZ16" s="155">
        <f>MAX(0,15-SUMPRODUCT($FD16:$FI16,$Q$6:$V$6)+MIN(10,$FJ16*3+$FK16*5,SUMPRODUCT($FD16:$FI16,$Q$6:$V$6)))+$DX16*5</f>
        <v/>
      </c>
      <c r="GA16" s="155">
        <f>MAX(0,18-SUMPRODUCT($FD16:$FI16,$Q$7:$V$7)+MIN(12,$FJ16*3+$FK16*6,SUMPRODUCT($FD16:$FI16,$Q$7:$V$7)))+$DX16*6</f>
        <v/>
      </c>
      <c r="GB16" s="155">
        <f>MAX(0,21-SUMPRODUCT($FD16:$FI16,$Q$8:$V$8)+MIN(14,$FJ16*4+$FK16*7,SUMPRODUCT($FD16:$FI16,$Q$8:$V$8)))+$DX16*7</f>
        <v/>
      </c>
      <c r="GC16" s="155">
        <f>IF($EX16=2,3*$FV16&amp;" de vida temp.",IF($EX16=3,"sem dano",IF($FV16=0,IF($EX16=1,"sem cura","sem dano"),IF($EX16=1,"cura ","")&amp;$FV16&amp;"d8")))</f>
        <v/>
      </c>
      <c r="GD16" s="155">
        <f>IF($EX16=2,3*$FW16&amp;" de vida temp.",IF($EX16=3,"sem dano",IF($FW16=0,IF($EX16=1,"sem cura","sem dano"),IF($EX16=1,"cura ","")&amp;$FW16&amp;"d8")))</f>
        <v/>
      </c>
      <c r="GE16" s="155">
        <f>IF($EX16=2,3*$FX16&amp;" de vida temp.",IF($EX16=3,"sem dano",IF($FX16=0,IF($EX16=1,"sem cura","sem dano"),IF($EX16=1,"cura ","")&amp;$FX16&amp;"d8")))</f>
        <v/>
      </c>
      <c r="GF16" s="155">
        <f>IF($EX16=2,3*$FY16&amp;" de vida temp.",IF($EX16=3,"sem dano",IF($FY16=0,IF($EX16=1,"sem cura","sem dano"),IF($EX16=1,"cura ","")&amp;$FY16&amp;"d8")))</f>
        <v/>
      </c>
      <c r="GG16" s="155">
        <f>IF($EX16=2,3*$FZ16&amp;" de vida temp.",IF($EX16=3,"sem dano",IF($FZ16=0,IF($EX16=1,"sem cura","sem dano"),IF($EX16=1,"cura ","")&amp;$FZ16&amp;"d8")))</f>
        <v/>
      </c>
      <c r="GH16" s="155">
        <f>IF($EX16=2,3*$GA16&amp;" de vida temp.",IF($EX16=3,"sem dano",IF($GA16=0,IF($EX16=1,"sem cura","sem dano"),IF($EX16=1,"cura ","")&amp;$GA16&amp;"d8")))</f>
        <v/>
      </c>
      <c r="GI16" s="155">
        <f>IF($EX16=2,3*$GB16&amp;" de vida temp.",IF($EX16=3,"sem dano",IF($GB16=0,IF($EX16=1,"sem cura","sem dano"),IF($EX16=1,"cura ","")&amp;$GB16&amp;"d8")))</f>
        <v/>
      </c>
      <c r="GJ16" s="155">
        <f>IF($EI16=0,"",TEXTJOIN(" · ",TRUE,IF(AND($DX16=1,$DY16&gt;$HK$9),"O nível "&amp;$HK$2&amp;" dá "&amp;$HK$9&amp;" Liberação Máxima",""),IF($DZ16&gt;$HK$4,"Classe "&amp;$DZ16&amp;": o nível "&amp;$HK$2&amp;" libera até a "&amp;$HK$4,""),IF($EP16=1,"Família Fechada: a Forma "&amp;$EB16,""),IF($EQ16=1,"Família Fechada: "&amp;$EC16,""),IF($ER16=1,"Família Fechada: "&amp;$ED16,""),IF($ES16=1,"Família Fechada: "&amp;$EE16,""),IF($ET16=1,"Família Fechada: "&amp;$EF16,""),IF($FL16&gt;INDEX($W$2:$W$8,$DZ16),$FL16&amp;" Melhorias: a Classe "&amp;$DZ16&amp;" aceita "&amp;INDEX($W$2:$W$8,$DZ16),""),IF($FM16&gt;2,$FM16&amp;" Restrições"&amp;IF($EW16=1,", contando a que a Forma "&amp;$EB16&amp;" já traz","")&amp;": o limite é 2",""),IF($FS16&lt;0,"Orçamento estourado: faltam "&amp;(-$FS16)&amp;IF($FS16&lt;-1," pontos"," ponto"),""),IF(IFERROR(VLOOKUP($EG16,$BM$2:$BQ$24,4,FALSE),0)+IFERROR(VLOOKUP($EH16,$BM$2:$BQ$24,4,FALSE),0)&gt;1,$FB16&amp;" e "&amp;$FC16&amp;" são as duas de frequência",""),IF(AND((COUNTIF($EC16:$EF16,"Rápido")+COUNTIF($FB16:$FC16,"Rápido"))&gt;0,(COUNTIF($EC16:$EF16,"Atrasar")+COUNTIF($FB16:$FC16,"Atrasar"))&gt;0),"Rápido não entra com Atrasar",""),IF(AND((COUNTIF($EC16:$EF16,"Reação")+COUNTIF($FB16:$FC16,"Reação"))&gt;0,(COUNTIF($EC16:$EF16,"Rápido")+COUNTIF($FB16:$FC16,"Rápido"))&gt;0),"Reação não entra com Rápido",""),IF(AND((COUNTIF($EC16:$EF16,"Reação")+COUNTIF($FB16:$FC16,"Reação"))&gt;0,(COUNTIF($EC16:$EF16,"Armado")+COUNTIF($FB16:$FC16,"Armado"))&gt;0),"Reação não entra com Armado",""),IF(AND((COUNTIF($EC16:$EF16,"Reação")+COUNTIF($FB16:$FC16,"Reação"))&gt;0,(COUNTIF($EC16:$EF16,"Atrasar")+COUNTIF($FB16:$FC16,"Atrasar"))&gt;0),"Reação não entra com Atrasar",""),IF(AND((COUNTIF($EC16:$EF16,"Reação")+COUNTIF($FB16:$FC16,"Reação"))&gt;0,(COUNTIF($EC16:$EF16,"Parado")+COUNTIF($FB16:$FC16,"Parado"))&gt;0),"Reação não entra com Parado",""),IF(AND((COUNTIF($EC16:$EF16,"Atrasar")+COUNTIF($FB16:$FC16,"Atrasar"))&gt;0,(COUNTIF($EC16:$EF16,"Parado")+COUNTIF($FB16:$FC16,"Parado"))&gt;0),"Atrasar não entra com Parado",""),IF(AND((COUNTIF($EC16:$EF16,"Armado")+COUNTIF($FB16:$FC16,"Armado"))&gt;0,(COUNTIF($EC16:$EF16,"Carregar")+COUNTIF($FB16:$FC16,"Carregar"))&gt;0),"Armado não entra com Carregar",""),IF(AND(COUNTIF($FB16:$FC16,"Corpo a Corpo")&gt;0,$EW16=0,OR($EB16="Cone",$EB16="Linha")),"Corpo a Corpo não entra em "&amp;$EB16,""),IF(AND(COUNTIF($FB16:$FC16,"Corpo a Corpo")&gt;0,$EW16=1),"A Forma "&amp;$EB16&amp;" já traz o Corpo a Corpo",""),IF(AND(COUNTIF($FB16:$FC16,"Tudo ou Nada")&gt;0,$EY16=0),"Tudo ou Nada só entra em feitiço de Teste de Resistência",""),IF(AND(COUNTIF($EC16:$EF16,"Inescapável")&gt;0,OR($FL16&gt;1,$FM16&gt;0)),"Inescapável não aceita outra peça",""),IF(AND($DX16=1,$DZ16&lt;3),"Liberação Máxima é de Classe 3 ou mais",""),IF(AND($DX16=1,OR($EX16=1,$EX16=2)),"Liberação Máxima não serve para cura",""),IF(AND($DX16=1,COUNTIF($EC16:$EF16,"Inescapável")+COUNTIF($EC16:$EF16,"Toca a Alma")&gt;0),"Esta peça não entra numa Liberação Máxima",""),IF($FT16*IF(COUNTIF($EC16:$EF16,"Remate")&gt;0,1.25,1)+$FU16&gt;4*$DZ16,($FT16*IF(COUNTIF($EC16:$EF16,"Remate")&gt;0,1.25,1)+$FU16)&amp;" dados somando repetições"&amp;IF(COUNTIF($EC16:$EF16,"Remate")&gt;0," e o Remate","")&amp;": o teto da Classe "&amp;$DZ16&amp;" é "&amp;4*$DZ16,"")))</f>
        <v/>
      </c>
      <c r="GK16" s="155">
        <f>IF($GJ16="",0,(LEN($GJ16)-LEN(SUBSTITUTE($GJ16," · ","")))/3+1)</f>
        <v/>
      </c>
      <c r="GL16" s="155">
        <f>IF($EI16=0,"",TEXTJOIN(" · ",TRUE,IF($FO16&gt;2*$DZ16,"A devolução parou no teto de "&amp;2*$DZ16,""),IF($FR16&gt;0,"Devolução perdida: "&amp;$FR16&amp;IF($FR16&gt;1," pontos"," ponto")&amp;" sem peça para pagar",""),IF(AND($EU16&gt;0,$FT16=0),"Controle sem dano: uma rodada a mais e CD +2",""),IF(AND($EU16&gt;0,$FT16&gt;0,$FT16&lt;=$DZ16),"Controle com saldo até a Classe: uma rodada a mais","")))</f>
        <v/>
      </c>
      <c r="GM16" s="155">
        <f>IF($GL16="",0,(LEN($GL16)-LEN(SUBSTITUTE($GL16," · ","")))/3+1)</f>
        <v/>
      </c>
      <c r="GN16" s="155">
        <f>IF($EI16=0,IF($FL16+$FM16-$EW16&gt;0,"Dê um nome",""),IF($GK16&gt;0,"⚠ "&amp;$GK16&amp;IF($GK16&gt;1," erros"," erro"),IF($GM16&gt;0,"! "&amp;$GM16&amp;IF($GM16&gt;1," avisos"," aviso"),"Na regra")))</f>
        <v/>
      </c>
      <c r="GO16" s="155">
        <f>IF($EI16=0,"",IF($GK16+$GM16=0,"Dentro das regras que a ficha confere",$GJ16&amp;IF(AND($GK16&gt;0,$GM16&gt;0)," · ","")&amp;$GL16))</f>
        <v/>
      </c>
      <c r="GP16" s="155">
        <f>IF($EI16=0,"",IF($DX16=1,CEILING(4.5*$DZ16,1),3*$DZ16)&amp;" PE")</f>
        <v/>
      </c>
      <c r="GQ16" s="155">
        <f>IF($EI16=0,"",IF($DX16=1,"Rodada inteira",IF(COUNTIF($FB16:$FC16,"Atrasar")&gt;0,IF(COUNTIF($FB16:$FC16,"Carregar")&gt;0,"Rodada +1 turno","Rodada inteira"),IF(COUNTIF($EC16:$EF16,"Rápido")&gt;0,"Bônus",IF(COUNTIF($EC16:$EF16,"Reação")&gt;0,"Reação","Padrão"))&amp;IF(COUNTIF($FB16:$FC16,"Carregar")&gt;0," +1 turno",""))))</f>
        <v/>
      </c>
      <c r="GR16" s="155">
        <f>IF(OR($EI16=0,$EJ16=0),"",IF(COUNTIF($EC16:$EF16,"Inescapável")&gt;0,"Automático",IF(COUNTIF($EC16:$EF16,"Certeiro")&gt;0,"TR para metade",IF(AND($EV16&gt;0,$EY16=0,INDEX($AF$2:$AF$11,$EJ16)="Acerto"),"Acerto + TR",INDEX($AF$2:$AF$11,$EJ16)))))</f>
        <v/>
      </c>
      <c r="GS16" s="155">
        <f>IF(OR($EI16=0,$EJ16=0),"",IF(OR($EX16&gt;=2,$FT16=0),UPPER(LEFT(INDEX($GC16:$GI16,1,$DZ16),1))&amp;MID(INDEX($GC16:$GI16,1,$DZ16),2,99),UPPER(LEFT(INDEX($GC16:$GI16,1,$DZ16),1))&amp;MID(INDEX($GC16:$GI16,1,$DZ16),2,99)&amp;" = "&amp;FLOOR($FT16*4.5,1)&amp;IF($FU16&gt;0," · +"&amp;$FU16&amp;"d8","")))</f>
        <v/>
      </c>
      <c r="GT16" s="155">
        <f>COUNTIF($EC16:$EF16,"Longe")+3*COUNTIF($EC16:$EF16,"Muito Longe")</f>
        <v/>
      </c>
      <c r="GU16" s="155">
        <f>COUNTIF($EC16:$EF16,"Maior")+3*COUNTIF($EC16:$EF16,"Muito Maior")</f>
        <v/>
      </c>
      <c r="GV16" s="155">
        <f>IF($EJ16=0,0,CHOOSE(1+INDEX($AH$2:$AH$11,$EJ16),0,$GT16,$GU16,$GT16+$GU16))</f>
        <v/>
      </c>
      <c r="GW16" s="155">
        <f>IF($EJ16=0,0,CHOOSE(1+INDEX($AI$2:$AI$11,$EJ16),0,$GT16,$GU16,$GT16+$GU16))</f>
        <v/>
      </c>
      <c r="GX16" s="155">
        <f>IF(OR($EI16=0,$EJ16=0),"",INDEX($AP$2:$AU$31,($EJ16-1)*3+IF($DZ16&gt;=6,3,2),1+MIN(5,$GV16))&amp;INDEX($AV$2:$BA$31,($EJ16-1)*3+IF($DZ16&gt;=6,3,2),1+MIN(5,$GW16))&amp;IF(INDEX($AJ$2:$AJ$11,$EJ16)=1,IF(COUNTIF($EC16:$EF16,"Mais Um")&gt;0," · +"&amp;COUNTIF($EC16:$EF16,"Mais Um")&amp;IF(COUNTIF($EC16:$EF16,"Mais Um")&gt;1," alvos"," alvo"),"")&amp;IF(COUNTIF($EC16:$EF16,"Rajada")&gt;0," · "&amp;($DZ16+1)&amp;" tiros",""),""))</f>
        <v/>
      </c>
      <c r="GY16" s="155">
        <f>IF($EI16=0,"",3*$DZ16&amp;" − "&amp;$FN16&amp;" + "&amp;$FQ16&amp;IF($DX16=1," + "&amp;$DZ16,"")&amp;" = "&amp;$FT16&amp;"d8 · teto "&amp;4*$DZ16&amp;IF($EW16=1," · a Forma devolve "&amp;$DZ16,"")&amp;IF($FR16&gt;0," · perde "&amp;$FR16,""))</f>
        <v/>
      </c>
      <c r="GZ16" s="155">
        <f>IF($EI16=0,"",IF($DZ16&gt;=$HK$4,"Já está na maior Classe que o nível liberou",TEXTJOIN(" · ",TRUE,IF(AND(2&gt;$DZ16,2&lt;=$HK$4),"2 → "&amp;$GD16&amp;", "&amp;IF($DX16=1,9,6)&amp;" PE",""),IF(AND(3&gt;$DZ16,3&lt;=$HK$4),"3 → "&amp;$GE16&amp;", "&amp;IF($DX16=1,14,9)&amp;" PE",""),IF(AND(4&gt;$DZ16,4&lt;=$HK$4),"4 → "&amp;$GF16&amp;", "&amp;IF($DX16=1,18,12)&amp;" PE",""),IF(AND(5&gt;$DZ16,5&lt;=$HK$4),"5 → "&amp;$GG16&amp;", "&amp;IF($DX16=1,23,15)&amp;" PE",""),IF(AND(6&gt;$DZ16,6&lt;=$HK$4),"6 → "&amp;$GH16&amp;", "&amp;IF($DX16=1,27,18)&amp;" PE",""),IF(AND(7&gt;$DZ16,7&lt;=$HK$4),"7 → "&amp;$GI16&amp;", "&amp;IF($DX16=1,32,21)&amp;" PE",""))))</f>
        <v/>
      </c>
      <c r="HA16" s="155">
        <f>IF(OR($EI16=0,$EL16=0),"","−"&amp;INDEX($Q$2:$V$8,$DZ16,$EL16)&amp;" · "&amp;CHOOSE($EL16,"Leve","Média","Pesada","Leve · Livre","Média · Livre","Pesada · Livre"))</f>
        <v/>
      </c>
      <c r="HB16" s="155">
        <f>IF(OR($EI16=0,$EM16=0),"","−"&amp;INDEX($Q$2:$V$8,$DZ16,$EM16)&amp;" · "&amp;CHOOSE($EM16,"Leve","Média","Pesada","Leve · Livre","Média · Livre","Pesada · Livre"))</f>
        <v/>
      </c>
      <c r="HC16" s="155">
        <f>IF(OR($EI16=0,$EN16=0),"","−"&amp;INDEX($Q$2:$V$8,$DZ16,$EN16)&amp;" · "&amp;CHOOSE($EN16,"Leve","Média","Pesada","Leve · Livre","Média · Livre","Pesada · Livre"))</f>
        <v/>
      </c>
      <c r="HD16" s="155">
        <f>IF(OR($EI16=0,$EO16=0),"","−"&amp;INDEX($Q$2:$V$8,$DZ16,$EO16)&amp;" · "&amp;CHOOSE($EO16,"Leve","Média","Pesada","Leve · Livre","Média · Livre","Pesada · Livre"))</f>
        <v/>
      </c>
      <c r="HE16" s="155">
        <f>IF(OR($EI16=0,$EG16=""),"","+"&amp;IF($EZ16=1,CEILING($DZ16/2,1),$DZ16))</f>
        <v/>
      </c>
      <c r="HF16" s="155">
        <f>IF(OR($EI16=0,$EH16=""),"","+"&amp;IF($FA16=1,CEILING($DZ16/2,1),$DZ16))</f>
        <v/>
      </c>
      <c r="HG16" s="155">
        <f>'FICHA AMALDIÇOADA'!$P$139&amp;""</f>
        <v/>
      </c>
      <c r="HH16" s="155">
        <f>IF(AND($EI16=1,$DX16=0),COUNTIFS($EI$2:$EI16,1,$DX$2:$DX16,0),"")</f>
        <v/>
      </c>
      <c r="HJ16" s="153" t="inlineStr">
        <is>
          <t>classe passiva da regra própria</t>
        </is>
      </c>
      <c r="HK16" s="155">
        <f>N('FICHA AMALDIÇOADA'!$P$33)</f>
        <v/>
      </c>
      <c r="JF16" s="155" t="n">
        <v>15</v>
      </c>
      <c r="JG16" s="155">
        <f>IFERROR(MATCH(15,$HH$2:$HH$37,0),0)</f>
        <v/>
      </c>
      <c r="JH16" s="155">
        <f>IF($JG16=0,"",INDEX($DZ$2:$DZ$37,$JG16))</f>
        <v/>
      </c>
      <c r="JI16" s="155">
        <f>IF($JG16=0,"",INDEX($EA$2:$EA$37,$JG16))</f>
        <v/>
      </c>
      <c r="JJ16" s="155">
        <f>IF($JG16=0,"",INDEX($GP$2:$GP$37,$JG16))</f>
        <v/>
      </c>
      <c r="JK16" s="155">
        <f>IF($JG16=0,"",INDEX($EB$2:$EB$37,$JG16))</f>
        <v/>
      </c>
      <c r="JL16" s="155">
        <f>IF($JG16=0,"",INDEX($GR$2:$GR$37,$JG16))</f>
        <v/>
      </c>
      <c r="JM16" s="155">
        <f>IF($JG16=0,"",INDEX($HG$2:$HG$37,$JG16))</f>
        <v/>
      </c>
      <c r="KP16" s="153" t="inlineStr">
        <is>
          <t>par passivas 4</t>
        </is>
      </c>
      <c r="KQ16" s="155">
        <f>"TALENTOS 13 A 14"</f>
        <v/>
      </c>
      <c r="KS16" s="153" t="inlineStr">
        <is>
          <t>L25</t>
        </is>
      </c>
      <c r="KT16" s="155">
        <f>UPPER(INDEX(DADOS_AM!$D$12:$G$12,1,DADOS_AM!$A$2))</f>
        <v/>
      </c>
    </row>
    <row r="17">
      <c r="C17" s="153" t="inlineStr">
        <is>
          <t>nome da rota</t>
        </is>
      </c>
      <c r="D17" s="153" t="inlineStr">
        <is>
          <t>Fundamento</t>
        </is>
      </c>
      <c r="E17" s="153" t="inlineStr">
        <is>
          <t>Sem Técnica</t>
        </is>
      </c>
      <c r="F17" s="153" t="inlineStr">
        <is>
          <t>Técnica Marcial com energia</t>
        </is>
      </c>
      <c r="G17" s="153" t="inlineStr">
        <is>
          <t>Técnica Marcial sem energia</t>
        </is>
      </c>
      <c r="AO17" s="153" t="inlineStr">
        <is>
          <t>Linha · classe 0</t>
        </is>
      </c>
      <c r="AP17" s="153" t="inlineStr">
        <is>
          <t>Linha de 9 m por 1,5 m</t>
        </is>
      </c>
      <c r="AQ17" s="153" t="inlineStr">
        <is>
          <t>Linha de 18 m por 1,5 m</t>
        </is>
      </c>
      <c r="AR17" s="153" t="inlineStr">
        <is>
          <t>Linha de 30 m por 1,5 m</t>
        </is>
      </c>
      <c r="AS17" s="153" t="inlineStr">
        <is>
          <t>Linha de 60 m por 1,5 m</t>
        </is>
      </c>
      <c r="AT17" s="153" t="inlineStr">
        <is>
          <t>Linha de 60 m por 1,5 m</t>
        </is>
      </c>
      <c r="AU17" s="153" t="inlineStr">
        <is>
          <t>Linha de 60 m por 1,5 m</t>
        </is>
      </c>
      <c r="AV17" s="153" t="inlineStr"/>
      <c r="AW17" s="153" t="inlineStr"/>
      <c r="AX17" s="153" t="inlineStr"/>
      <c r="AY17" s="153" t="inlineStr"/>
      <c r="AZ17" s="153" t="inlineStr"/>
      <c r="BA17" s="153" t="inlineStr"/>
      <c r="BC17" s="153" t="inlineStr">
        <is>
          <t>Precisão</t>
        </is>
      </c>
      <c r="BD17" s="153" t="inlineStr">
        <is>
          <t>Mira</t>
        </is>
      </c>
      <c r="BE17" s="155" t="n">
        <v>1</v>
      </c>
      <c r="BF17" s="155">
        <f>$BE17+3*IFERROR(VLOOKUP($BD17,$I$2:$L$10,3,FALSE),0)</f>
        <v/>
      </c>
      <c r="BG17" s="155">
        <f>IFERROR(VLOOKUP($BD17,$I$2:$L$10,4,FALSE),0)</f>
        <v/>
      </c>
      <c r="BH17" s="155" t="n">
        <v>0</v>
      </c>
      <c r="BI17" s="155">
        <f>IF($BG17=1,"",$BC17)</f>
        <v/>
      </c>
      <c r="BJ17" s="155">
        <f>IF(AND($BE17=1,$BG17=0),$BC17,"")</f>
        <v/>
      </c>
      <c r="BK17" s="155" t="n">
        <v>0</v>
      </c>
      <c r="BM17" s="153" t="inlineStr">
        <is>
          <t>Condicional (Média)</t>
        </is>
      </c>
      <c r="BN17" s="153" t="inlineStr">
        <is>
          <t>Condicional</t>
        </is>
      </c>
      <c r="BO17" s="155" t="n">
        <v>2</v>
      </c>
      <c r="BP17" s="155" t="n">
        <v>1</v>
      </c>
      <c r="BQ17" s="153" t="inlineStr"/>
      <c r="BS17" s="153" t="inlineStr">
        <is>
          <t>Reserva Profunda</t>
        </is>
      </c>
      <c r="BT17" s="155" t="n">
        <v>3</v>
      </c>
      <c r="BU17" s="153" t="inlineStr">
        <is>
          <t>Seu PE máximo aumenta em 3 × sua maior Classe. Atualize esse acréscimo quando sua maior Classe aumentar.</t>
        </is>
      </c>
      <c r="BV17" s="155" t="n">
        <v>1</v>
      </c>
      <c r="BW17" s="155" t="n">
        <v>0</v>
      </c>
      <c r="BX17" s="155">
        <f>IF(OR(AND($A$2&lt;=2,$BV17=1),AND($A$2&gt;=2,$BW17=1)),$BS17,"")</f>
        <v/>
      </c>
      <c r="BY17" s="153" t="inlineStr">
        <is>
          <t>Seu PE máximo aumenta em 3 × sua maior Classe. Atualize esse acréscimo quando sua maior Classe aumentar.</t>
        </is>
      </c>
      <c r="CD17" s="153" t="inlineStr">
        <is>
          <t>Aptidão Própria (CE 1)</t>
        </is>
      </c>
      <c r="CE17" s="153" t="inlineStr">
        <is>
          <t>Uma única vez na ficha</t>
        </is>
      </c>
      <c r="CF17" s="155" t="n">
        <v>1</v>
      </c>
      <c r="CG17" s="153" t="inlineStr">
        <is>
          <t>—</t>
        </is>
      </c>
      <c r="CH17" s="153"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I17" s="155">
        <f>IF($CL17=1,"",IF($A$2=4,IF($CJ17=1,$CD17,""),IF(OR($CJ17=1,AND($A$2=3,$CK17=1)),"",$CD17)))</f>
        <v/>
      </c>
      <c r="CJ17" s="155" t="n">
        <v>0</v>
      </c>
      <c r="CK17" s="155" t="n">
        <v>0</v>
      </c>
      <c r="CL17" s="155" t="n">
        <v>0</v>
      </c>
      <c r="CM17" s="153" t="inlineStr">
        <is>
          <t>Você cria uma aptidão com o mestre antes da sessão.</t>
        </is>
      </c>
      <c r="DW17" s="153" t="inlineStr">
        <is>
          <t>Feitiço 16</t>
        </is>
      </c>
      <c r="DX17" s="155" t="n">
        <v>0</v>
      </c>
      <c r="DY17" s="155" t="n">
        <v>16</v>
      </c>
      <c r="DZ17" s="155">
        <f>MAX(1,MIN(7,N('FICHA AMALDIÇOADA'!$D$158)))</f>
        <v/>
      </c>
      <c r="EA17" s="155">
        <f>'FICHA AMALDIÇOADA'!$E$158&amp;""</f>
        <v/>
      </c>
      <c r="EB17" s="155">
        <f>'FICHA AMALDIÇOADA'!$D$165&amp;""</f>
        <v/>
      </c>
      <c r="EC17" s="155">
        <f>'FICHA AMALDIÇOADA'!$E$167&amp;""</f>
        <v/>
      </c>
      <c r="ED17" s="155">
        <f>'FICHA AMALDIÇOADA'!$E$168&amp;""</f>
        <v/>
      </c>
      <c r="EE17" s="155">
        <f>'FICHA AMALDIÇOADA'!$E$169&amp;""</f>
        <v/>
      </c>
      <c r="EF17" s="155">
        <f>'FICHA AMALDIÇOADA'!$E$170&amp;""</f>
        <v/>
      </c>
      <c r="EG17" s="155">
        <f>'FICHA AMALDIÇOADA'!$E$171&amp;""</f>
        <v/>
      </c>
      <c r="EH17" s="155">
        <f>'FICHA AMALDIÇOADA'!$E$172&amp;""</f>
        <v/>
      </c>
      <c r="EI17" s="155">
        <f>IF($EA17&lt;&gt;"",1,0)</f>
        <v/>
      </c>
      <c r="EJ17" s="155">
        <f>IFERROR(MATCH($EB17,$Y$2:$Y$11,0),0)</f>
        <v/>
      </c>
      <c r="EK17" s="155">
        <f>IF($EJ17=0,0,INDEX($AB$2:$AB$11,$EJ17))</f>
        <v/>
      </c>
      <c r="EL17" s="155">
        <f>IFERROR(VLOOKUP($EC17,$BC$2:$BK$84,4,FALSE),0)</f>
        <v/>
      </c>
      <c r="EM17" s="155">
        <f>IFERROR(VLOOKUP($ED17,$BC$2:$BK$84,4,FALSE),0)</f>
        <v/>
      </c>
      <c r="EN17" s="155">
        <f>IFERROR(VLOOKUP($EE17,$BC$2:$BK$84,4,FALSE),0)</f>
        <v/>
      </c>
      <c r="EO17" s="155">
        <f>IFERROR(VLOOKUP($EF17,$BC$2:$BK$84,4,FALSE),0)</f>
        <v/>
      </c>
      <c r="EP17" s="155">
        <f>IF($EJ17=0,0,INDEX($AC$2:$AC$11,$EJ17))</f>
        <v/>
      </c>
      <c r="EQ17" s="155">
        <f>IFERROR(VLOOKUP($EC17,$BC$2:$BK$84,5,FALSE),0)</f>
        <v/>
      </c>
      <c r="ER17" s="155">
        <f>IFERROR(VLOOKUP($ED17,$BC$2:$BK$84,5,FALSE),0)</f>
        <v/>
      </c>
      <c r="ES17" s="155">
        <f>IFERROR(VLOOKUP($EE17,$BC$2:$BK$84,5,FALSE),0)</f>
        <v/>
      </c>
      <c r="ET17" s="155">
        <f>IFERROR(VLOOKUP($EF17,$BC$2:$BK$84,5,FALSE),0)</f>
        <v/>
      </c>
      <c r="EU17" s="155">
        <f>IFERROR(VLOOKUP($EC17,$BC$2:$BK$84,6,FALSE),0)+IFERROR(VLOOKUP($ED17,$BC$2:$BK$84,6,FALSE),0)+IFERROR(VLOOKUP($EE17,$BC$2:$BK$84,6,FALSE),0)+IFERROR(VLOOKUP($EF17,$BC$2:$BK$84,6,FALSE),0)</f>
        <v/>
      </c>
      <c r="EV17" s="155">
        <f>IFERROR(VLOOKUP($EC17,$BC$2:$BK$84,9,FALSE),0)+IFERROR(VLOOKUP($ED17,$BC$2:$BK$84,9,FALSE),0)+IFERROR(VLOOKUP($EE17,$BC$2:$BK$84,9,FALSE),0)+IFERROR(VLOOKUP($EF17,$BC$2:$BK$84,9,FALSE),0)</f>
        <v/>
      </c>
      <c r="EW17" s="155">
        <f>IF($EJ17=0,0,INDEX($AD$2:$AD$11,$EJ17))</f>
        <v/>
      </c>
      <c r="EX17" s="155">
        <f>IF($EJ17=0,0,INDEX($AE$2:$AE$11,$EJ17))</f>
        <v/>
      </c>
      <c r="EY17" s="155">
        <f>IF($EJ17=0,0,INDEX($AG$2:$AG$11,$EJ17))</f>
        <v/>
      </c>
      <c r="EZ17" s="155">
        <f>IFERROR(VLOOKUP($EG17,$BM$2:$BQ$24,3,FALSE),0)</f>
        <v/>
      </c>
      <c r="FA17" s="155">
        <f>IFERROR(VLOOKUP($EH17,$BM$2:$BQ$24,3,FALSE),0)</f>
        <v/>
      </c>
      <c r="FB17" s="155">
        <f>IFERROR(VLOOKUP($EG17,$BM$2:$BQ$24,2,FALSE),"")</f>
        <v/>
      </c>
      <c r="FC17" s="155">
        <f>IFERROR(VLOOKUP($EH17,$BM$2:$BQ$24,2,FALSE),"")</f>
        <v/>
      </c>
      <c r="FD17" s="155">
        <f>COUNTIF($EK17:$EO17,1)</f>
        <v/>
      </c>
      <c r="FE17" s="155">
        <f>COUNTIF($EK17:$EO17,2)</f>
        <v/>
      </c>
      <c r="FF17" s="155">
        <f>COUNTIF($EK17:$EO17,3)</f>
        <v/>
      </c>
      <c r="FG17" s="155">
        <f>COUNTIF($EK17:$EO17,4)</f>
        <v/>
      </c>
      <c r="FH17" s="155">
        <f>COUNTIF($EK17:$EO17,5)</f>
        <v/>
      </c>
      <c r="FI17" s="155">
        <f>COUNTIF($EK17:$EO17,6)</f>
        <v/>
      </c>
      <c r="FJ17" s="155">
        <f>COUNTIF($EZ17:$FA17,1)</f>
        <v/>
      </c>
      <c r="FK17" s="155">
        <f>COUNTIF($EZ17:$FA17,2)+$EW17</f>
        <v/>
      </c>
      <c r="FL17" s="155">
        <f>COUNTIF($EC17:$EF17,"?*")</f>
        <v/>
      </c>
      <c r="FM17" s="155">
        <f>COUNTIF($EG17:$EH17,"?*")+$EW17</f>
        <v/>
      </c>
      <c r="FN17" s="155">
        <f>SUMPRODUCT($FD17:$FI17,INDEX($Q$2:$V$8,$DZ17,0))</f>
        <v/>
      </c>
      <c r="FO17" s="155">
        <f>$FJ17*CEILING($DZ17/2,1)+$FK17*$DZ17</f>
        <v/>
      </c>
      <c r="FP17" s="155">
        <f>MIN(2*$DZ17,$FO17)</f>
        <v/>
      </c>
      <c r="FQ17" s="155">
        <f>MIN($FP17,$FN17)</f>
        <v/>
      </c>
      <c r="FR17" s="155">
        <f>$FP17-$FQ17</f>
        <v/>
      </c>
      <c r="FS17" s="155">
        <f>3*$DZ17-$FN17+$FQ17</f>
        <v/>
      </c>
      <c r="FT17" s="155">
        <f>MAX(0,$FS17)+$DX17*$DZ17</f>
        <v/>
      </c>
      <c r="FU17" s="155">
        <f>(IF(COUNTIF($EC17:$EF17,"Salto")&gt;0,1,0)+IF(COUNTIF($EC17:$EF17,"Queima")&gt;0,1,0)+IF(COUNTIF($EC17:$EF17,"Estilhaço")&gt;0,1,0))*FLOOR($FT17/2,1)</f>
        <v/>
      </c>
      <c r="FV17" s="155">
        <f>MAX(0,3-SUMPRODUCT($FD17:$FI17,$Q$2:$V$2)+MIN(2,$FJ17*1+$FK17*1,SUMPRODUCT($FD17:$FI17,$Q$2:$V$2)))+$DX17*1</f>
        <v/>
      </c>
      <c r="FW17" s="155">
        <f>MAX(0,6-SUMPRODUCT($FD17:$FI17,$Q$3:$V$3)+MIN(4,$FJ17*1+$FK17*2,SUMPRODUCT($FD17:$FI17,$Q$3:$V$3)))+$DX17*2</f>
        <v/>
      </c>
      <c r="FX17" s="155">
        <f>MAX(0,9-SUMPRODUCT($FD17:$FI17,$Q$4:$V$4)+MIN(6,$FJ17*2+$FK17*3,SUMPRODUCT($FD17:$FI17,$Q$4:$V$4)))+$DX17*3</f>
        <v/>
      </c>
      <c r="FY17" s="155">
        <f>MAX(0,12-SUMPRODUCT($FD17:$FI17,$Q$5:$V$5)+MIN(8,$FJ17*2+$FK17*4,SUMPRODUCT($FD17:$FI17,$Q$5:$V$5)))+$DX17*4</f>
        <v/>
      </c>
      <c r="FZ17" s="155">
        <f>MAX(0,15-SUMPRODUCT($FD17:$FI17,$Q$6:$V$6)+MIN(10,$FJ17*3+$FK17*5,SUMPRODUCT($FD17:$FI17,$Q$6:$V$6)))+$DX17*5</f>
        <v/>
      </c>
      <c r="GA17" s="155">
        <f>MAX(0,18-SUMPRODUCT($FD17:$FI17,$Q$7:$V$7)+MIN(12,$FJ17*3+$FK17*6,SUMPRODUCT($FD17:$FI17,$Q$7:$V$7)))+$DX17*6</f>
        <v/>
      </c>
      <c r="GB17" s="155">
        <f>MAX(0,21-SUMPRODUCT($FD17:$FI17,$Q$8:$V$8)+MIN(14,$FJ17*4+$FK17*7,SUMPRODUCT($FD17:$FI17,$Q$8:$V$8)))+$DX17*7</f>
        <v/>
      </c>
      <c r="GC17" s="155">
        <f>IF($EX17=2,3*$FV17&amp;" de vida temp.",IF($EX17=3,"sem dano",IF($FV17=0,IF($EX17=1,"sem cura","sem dano"),IF($EX17=1,"cura ","")&amp;$FV17&amp;"d8")))</f>
        <v/>
      </c>
      <c r="GD17" s="155">
        <f>IF($EX17=2,3*$FW17&amp;" de vida temp.",IF($EX17=3,"sem dano",IF($FW17=0,IF($EX17=1,"sem cura","sem dano"),IF($EX17=1,"cura ","")&amp;$FW17&amp;"d8")))</f>
        <v/>
      </c>
      <c r="GE17" s="155">
        <f>IF($EX17=2,3*$FX17&amp;" de vida temp.",IF($EX17=3,"sem dano",IF($FX17=0,IF($EX17=1,"sem cura","sem dano"),IF($EX17=1,"cura ","")&amp;$FX17&amp;"d8")))</f>
        <v/>
      </c>
      <c r="GF17" s="155">
        <f>IF($EX17=2,3*$FY17&amp;" de vida temp.",IF($EX17=3,"sem dano",IF($FY17=0,IF($EX17=1,"sem cura","sem dano"),IF($EX17=1,"cura ","")&amp;$FY17&amp;"d8")))</f>
        <v/>
      </c>
      <c r="GG17" s="155">
        <f>IF($EX17=2,3*$FZ17&amp;" de vida temp.",IF($EX17=3,"sem dano",IF($FZ17=0,IF($EX17=1,"sem cura","sem dano"),IF($EX17=1,"cura ","")&amp;$FZ17&amp;"d8")))</f>
        <v/>
      </c>
      <c r="GH17" s="155">
        <f>IF($EX17=2,3*$GA17&amp;" de vida temp.",IF($EX17=3,"sem dano",IF($GA17=0,IF($EX17=1,"sem cura","sem dano"),IF($EX17=1,"cura ","")&amp;$GA17&amp;"d8")))</f>
        <v/>
      </c>
      <c r="GI17" s="155">
        <f>IF($EX17=2,3*$GB17&amp;" de vida temp.",IF($EX17=3,"sem dano",IF($GB17=0,IF($EX17=1,"sem cura","sem dano"),IF($EX17=1,"cura ","")&amp;$GB17&amp;"d8")))</f>
        <v/>
      </c>
      <c r="GJ17" s="155">
        <f>IF($EI17=0,"",TEXTJOIN(" · ",TRUE,IF(AND($DX17=1,$DY17&gt;$HK$9),"O nível "&amp;$HK$2&amp;" dá "&amp;$HK$9&amp;" Liberação Máxima",""),IF($DZ17&gt;$HK$4,"Classe "&amp;$DZ17&amp;": o nível "&amp;$HK$2&amp;" libera até a "&amp;$HK$4,""),IF($EP17=1,"Família Fechada: a Forma "&amp;$EB17,""),IF($EQ17=1,"Família Fechada: "&amp;$EC17,""),IF($ER17=1,"Família Fechada: "&amp;$ED17,""),IF($ES17=1,"Família Fechada: "&amp;$EE17,""),IF($ET17=1,"Família Fechada: "&amp;$EF17,""),IF($FL17&gt;INDEX($W$2:$W$8,$DZ17),$FL17&amp;" Melhorias: a Classe "&amp;$DZ17&amp;" aceita "&amp;INDEX($W$2:$W$8,$DZ17),""),IF($FM17&gt;2,$FM17&amp;" Restrições"&amp;IF($EW17=1,", contando a que a Forma "&amp;$EB17&amp;" já traz","")&amp;": o limite é 2",""),IF($FS17&lt;0,"Orçamento estourado: faltam "&amp;(-$FS17)&amp;IF($FS17&lt;-1," pontos"," ponto"),""),IF(IFERROR(VLOOKUP($EG17,$BM$2:$BQ$24,4,FALSE),0)+IFERROR(VLOOKUP($EH17,$BM$2:$BQ$24,4,FALSE),0)&gt;1,$FB17&amp;" e "&amp;$FC17&amp;" são as duas de frequência",""),IF(AND((COUNTIF($EC17:$EF17,"Rápido")+COUNTIF($FB17:$FC17,"Rápido"))&gt;0,(COUNTIF($EC17:$EF17,"Atrasar")+COUNTIF($FB17:$FC17,"Atrasar"))&gt;0),"Rápido não entra com Atrasar",""),IF(AND((COUNTIF($EC17:$EF17,"Reação")+COUNTIF($FB17:$FC17,"Reação"))&gt;0,(COUNTIF($EC17:$EF17,"Rápido")+COUNTIF($FB17:$FC17,"Rápido"))&gt;0),"Reação não entra com Rápido",""),IF(AND((COUNTIF($EC17:$EF17,"Reação")+COUNTIF($FB17:$FC17,"Reação"))&gt;0,(COUNTIF($EC17:$EF17,"Armado")+COUNTIF($FB17:$FC17,"Armado"))&gt;0),"Reação não entra com Armado",""),IF(AND((COUNTIF($EC17:$EF17,"Reação")+COUNTIF($FB17:$FC17,"Reação"))&gt;0,(COUNTIF($EC17:$EF17,"Atrasar")+COUNTIF($FB17:$FC17,"Atrasar"))&gt;0),"Reação não entra com Atrasar",""),IF(AND((COUNTIF($EC17:$EF17,"Reação")+COUNTIF($FB17:$FC17,"Reação"))&gt;0,(COUNTIF($EC17:$EF17,"Parado")+COUNTIF($FB17:$FC17,"Parado"))&gt;0),"Reação não entra com Parado",""),IF(AND((COUNTIF($EC17:$EF17,"Atrasar")+COUNTIF($FB17:$FC17,"Atrasar"))&gt;0,(COUNTIF($EC17:$EF17,"Parado")+COUNTIF($FB17:$FC17,"Parado"))&gt;0),"Atrasar não entra com Parado",""),IF(AND((COUNTIF($EC17:$EF17,"Armado")+COUNTIF($FB17:$FC17,"Armado"))&gt;0,(COUNTIF($EC17:$EF17,"Carregar")+COUNTIF($FB17:$FC17,"Carregar"))&gt;0),"Armado não entra com Carregar",""),IF(AND(COUNTIF($FB17:$FC17,"Corpo a Corpo")&gt;0,$EW17=0,OR($EB17="Cone",$EB17="Linha")),"Corpo a Corpo não entra em "&amp;$EB17,""),IF(AND(COUNTIF($FB17:$FC17,"Corpo a Corpo")&gt;0,$EW17=1),"A Forma "&amp;$EB17&amp;" já traz o Corpo a Corpo",""),IF(AND(COUNTIF($FB17:$FC17,"Tudo ou Nada")&gt;0,$EY17=0),"Tudo ou Nada só entra em feitiço de Teste de Resistência",""),IF(AND(COUNTIF($EC17:$EF17,"Inescapável")&gt;0,OR($FL17&gt;1,$FM17&gt;0)),"Inescapável não aceita outra peça",""),IF(AND($DX17=1,$DZ17&lt;3),"Liberação Máxima é de Classe 3 ou mais",""),IF(AND($DX17=1,OR($EX17=1,$EX17=2)),"Liberação Máxima não serve para cura",""),IF(AND($DX17=1,COUNTIF($EC17:$EF17,"Inescapável")+COUNTIF($EC17:$EF17,"Toca a Alma")&gt;0),"Esta peça não entra numa Liberação Máxima",""),IF($FT17*IF(COUNTIF($EC17:$EF17,"Remate")&gt;0,1.25,1)+$FU17&gt;4*$DZ17,($FT17*IF(COUNTIF($EC17:$EF17,"Remate")&gt;0,1.25,1)+$FU17)&amp;" dados somando repetições"&amp;IF(COUNTIF($EC17:$EF17,"Remate")&gt;0," e o Remate","")&amp;": o teto da Classe "&amp;$DZ17&amp;" é "&amp;4*$DZ17,"")))</f>
        <v/>
      </c>
      <c r="GK17" s="155">
        <f>IF($GJ17="",0,(LEN($GJ17)-LEN(SUBSTITUTE($GJ17," · ","")))/3+1)</f>
        <v/>
      </c>
      <c r="GL17" s="155">
        <f>IF($EI17=0,"",TEXTJOIN(" · ",TRUE,IF($FO17&gt;2*$DZ17,"A devolução parou no teto de "&amp;2*$DZ17,""),IF($FR17&gt;0,"Devolução perdida: "&amp;$FR17&amp;IF($FR17&gt;1," pontos"," ponto")&amp;" sem peça para pagar",""),IF(AND($EU17&gt;0,$FT17=0),"Controle sem dano: uma rodada a mais e CD +2",""),IF(AND($EU17&gt;0,$FT17&gt;0,$FT17&lt;=$DZ17),"Controle com saldo até a Classe: uma rodada a mais","")))</f>
        <v/>
      </c>
      <c r="GM17" s="155">
        <f>IF($GL17="",0,(LEN($GL17)-LEN(SUBSTITUTE($GL17," · ","")))/3+1)</f>
        <v/>
      </c>
      <c r="GN17" s="155">
        <f>IF($EI17=0,IF($FL17+$FM17-$EW17&gt;0,"Dê um nome",""),IF($GK17&gt;0,"⚠ "&amp;$GK17&amp;IF($GK17&gt;1," erros"," erro"),IF($GM17&gt;0,"! "&amp;$GM17&amp;IF($GM17&gt;1," avisos"," aviso"),"Na regra")))</f>
        <v/>
      </c>
      <c r="GO17" s="155">
        <f>IF($EI17=0,"",IF($GK17+$GM17=0,"Dentro das regras que a ficha confere",$GJ17&amp;IF(AND($GK17&gt;0,$GM17&gt;0)," · ","")&amp;$GL17))</f>
        <v/>
      </c>
      <c r="GP17" s="155">
        <f>IF($EI17=0,"",IF($DX17=1,CEILING(4.5*$DZ17,1),3*$DZ17)&amp;" PE")</f>
        <v/>
      </c>
      <c r="GQ17" s="155">
        <f>IF($EI17=0,"",IF($DX17=1,"Rodada inteira",IF(COUNTIF($FB17:$FC17,"Atrasar")&gt;0,IF(COUNTIF($FB17:$FC17,"Carregar")&gt;0,"Rodada +1 turno","Rodada inteira"),IF(COUNTIF($EC17:$EF17,"Rápido")&gt;0,"Bônus",IF(COUNTIF($EC17:$EF17,"Reação")&gt;0,"Reação","Padrão"))&amp;IF(COUNTIF($FB17:$FC17,"Carregar")&gt;0," +1 turno",""))))</f>
        <v/>
      </c>
      <c r="GR17" s="155">
        <f>IF(OR($EI17=0,$EJ17=0),"",IF(COUNTIF($EC17:$EF17,"Inescapável")&gt;0,"Automático",IF(COUNTIF($EC17:$EF17,"Certeiro")&gt;0,"TR para metade",IF(AND($EV17&gt;0,$EY17=0,INDEX($AF$2:$AF$11,$EJ17)="Acerto"),"Acerto + TR",INDEX($AF$2:$AF$11,$EJ17)))))</f>
        <v/>
      </c>
      <c r="GS17" s="155">
        <f>IF(OR($EI17=0,$EJ17=0),"",IF(OR($EX17&gt;=2,$FT17=0),UPPER(LEFT(INDEX($GC17:$GI17,1,$DZ17),1))&amp;MID(INDEX($GC17:$GI17,1,$DZ17),2,99),UPPER(LEFT(INDEX($GC17:$GI17,1,$DZ17),1))&amp;MID(INDEX($GC17:$GI17,1,$DZ17),2,99)&amp;" = "&amp;FLOOR($FT17*4.5,1)&amp;IF($FU17&gt;0," · +"&amp;$FU17&amp;"d8","")))</f>
        <v/>
      </c>
      <c r="GT17" s="155">
        <f>COUNTIF($EC17:$EF17,"Longe")+3*COUNTIF($EC17:$EF17,"Muito Longe")</f>
        <v/>
      </c>
      <c r="GU17" s="155">
        <f>COUNTIF($EC17:$EF17,"Maior")+3*COUNTIF($EC17:$EF17,"Muito Maior")</f>
        <v/>
      </c>
      <c r="GV17" s="155">
        <f>IF($EJ17=0,0,CHOOSE(1+INDEX($AH$2:$AH$11,$EJ17),0,$GT17,$GU17,$GT17+$GU17))</f>
        <v/>
      </c>
      <c r="GW17" s="155">
        <f>IF($EJ17=0,0,CHOOSE(1+INDEX($AI$2:$AI$11,$EJ17),0,$GT17,$GU17,$GT17+$GU17))</f>
        <v/>
      </c>
      <c r="GX17" s="155">
        <f>IF(OR($EI17=0,$EJ17=0),"",INDEX($AP$2:$AU$31,($EJ17-1)*3+IF($DZ17&gt;=6,3,2),1+MIN(5,$GV17))&amp;INDEX($AV$2:$BA$31,($EJ17-1)*3+IF($DZ17&gt;=6,3,2),1+MIN(5,$GW17))&amp;IF(INDEX($AJ$2:$AJ$11,$EJ17)=1,IF(COUNTIF($EC17:$EF17,"Mais Um")&gt;0," · +"&amp;COUNTIF($EC17:$EF17,"Mais Um")&amp;IF(COUNTIF($EC17:$EF17,"Mais Um")&gt;1," alvos"," alvo"),"")&amp;IF(COUNTIF($EC17:$EF17,"Rajada")&gt;0," · "&amp;($DZ17+1)&amp;" tiros",""),""))</f>
        <v/>
      </c>
      <c r="GY17" s="155">
        <f>IF($EI17=0,"",3*$DZ17&amp;" − "&amp;$FN17&amp;" + "&amp;$FQ17&amp;IF($DX17=1," + "&amp;$DZ17,"")&amp;" = "&amp;$FT17&amp;"d8 · teto "&amp;4*$DZ17&amp;IF($EW17=1," · a Forma devolve "&amp;$DZ17,"")&amp;IF($FR17&gt;0," · perde "&amp;$FR17,""))</f>
        <v/>
      </c>
      <c r="GZ17" s="155">
        <f>IF($EI17=0,"",IF($DZ17&gt;=$HK$4,"Já está na maior Classe que o nível liberou",TEXTJOIN(" · ",TRUE,IF(AND(2&gt;$DZ17,2&lt;=$HK$4),"2 → "&amp;$GD17&amp;", "&amp;IF($DX17=1,9,6)&amp;" PE",""),IF(AND(3&gt;$DZ17,3&lt;=$HK$4),"3 → "&amp;$GE17&amp;", "&amp;IF($DX17=1,14,9)&amp;" PE",""),IF(AND(4&gt;$DZ17,4&lt;=$HK$4),"4 → "&amp;$GF17&amp;", "&amp;IF($DX17=1,18,12)&amp;" PE",""),IF(AND(5&gt;$DZ17,5&lt;=$HK$4),"5 → "&amp;$GG17&amp;", "&amp;IF($DX17=1,23,15)&amp;" PE",""),IF(AND(6&gt;$DZ17,6&lt;=$HK$4),"6 → "&amp;$GH17&amp;", "&amp;IF($DX17=1,27,18)&amp;" PE",""),IF(AND(7&gt;$DZ17,7&lt;=$HK$4),"7 → "&amp;$GI17&amp;", "&amp;IF($DX17=1,32,21)&amp;" PE",""))))</f>
        <v/>
      </c>
      <c r="HA17" s="155">
        <f>IF(OR($EI17=0,$EL17=0),"","−"&amp;INDEX($Q$2:$V$8,$DZ17,$EL17)&amp;" · "&amp;CHOOSE($EL17,"Leve","Média","Pesada","Leve · Livre","Média · Livre","Pesada · Livre"))</f>
        <v/>
      </c>
      <c r="HB17" s="155">
        <f>IF(OR($EI17=0,$EM17=0),"","−"&amp;INDEX($Q$2:$V$8,$DZ17,$EM17)&amp;" · "&amp;CHOOSE($EM17,"Leve","Média","Pesada","Leve · Livre","Média · Livre","Pesada · Livre"))</f>
        <v/>
      </c>
      <c r="HC17" s="155">
        <f>IF(OR($EI17=0,$EN17=0),"","−"&amp;INDEX($Q$2:$V$8,$DZ17,$EN17)&amp;" · "&amp;CHOOSE($EN17,"Leve","Média","Pesada","Leve · Livre","Média · Livre","Pesada · Livre"))</f>
        <v/>
      </c>
      <c r="HD17" s="155">
        <f>IF(OR($EI17=0,$EO17=0),"","−"&amp;INDEX($Q$2:$V$8,$DZ17,$EO17)&amp;" · "&amp;CHOOSE($EO17,"Leve","Média","Pesada","Leve · Livre","Média · Livre","Pesada · Livre"))</f>
        <v/>
      </c>
      <c r="HE17" s="155">
        <f>IF(OR($EI17=0,$EG17=""),"","+"&amp;IF($EZ17=1,CEILING($DZ17/2,1),$DZ17))</f>
        <v/>
      </c>
      <c r="HF17" s="155">
        <f>IF(OR($EI17=0,$EH17=""),"","+"&amp;IF($FA17=1,CEILING($DZ17/2,1),$DZ17))</f>
        <v/>
      </c>
      <c r="HG17" s="155">
        <f>'FICHA AMALDIÇOADA'!$D$160&amp;""</f>
        <v/>
      </c>
      <c r="HH17" s="155">
        <f>IF(AND($EI17=1,$DX17=0),COUNTIFS($EI$2:$EI17,1,$DX$2:$DX17,0),"")</f>
        <v/>
      </c>
      <c r="HJ17" s="153" t="inlineStr">
        <is>
          <t>espaços da regra própria</t>
        </is>
      </c>
      <c r="HK17" s="155">
        <f>MAX(0,$HK$16-1)</f>
        <v/>
      </c>
      <c r="JF17" s="155" t="n">
        <v>16</v>
      </c>
      <c r="JG17" s="155">
        <f>IFERROR(MATCH(16,$HH$2:$HH$37,0),0)</f>
        <v/>
      </c>
      <c r="JH17" s="155">
        <f>IF($JG17=0,"",INDEX($DZ$2:$DZ$37,$JG17))</f>
        <v/>
      </c>
      <c r="JI17" s="155">
        <f>IF($JG17=0,"",INDEX($EA$2:$EA$37,$JG17))</f>
        <v/>
      </c>
      <c r="JJ17" s="155">
        <f>IF($JG17=0,"",INDEX($GP$2:$GP$37,$JG17))</f>
        <v/>
      </c>
      <c r="JK17" s="155">
        <f>IF($JG17=0,"",INDEX($EB$2:$EB$37,$JG17))</f>
        <v/>
      </c>
      <c r="JL17" s="155">
        <f>IF($JG17=0,"",INDEX($GR$2:$GR$37,$JG17))</f>
        <v/>
      </c>
      <c r="JM17" s="155">
        <f>IF($JG17=0,"",INDEX($HG$2:$HG$37,$JG17))</f>
        <v/>
      </c>
      <c r="KP17" s="153" t="inlineStr">
        <is>
          <t>par aptidões 2</t>
        </is>
      </c>
      <c r="KQ17" s="155">
        <f>UPPER(INDEX($D$6:$G$6,1,$A$2))&amp;" 7 A 12"</f>
        <v/>
      </c>
      <c r="KS17" s="153" t="inlineStr">
        <is>
          <t>R33</t>
        </is>
      </c>
      <c r="KT17" s="155">
        <f>IF(DADOS_AM!$HK$16=0,"—",IF(IFERROR(VLOOKUP(DADOS_AM!$HK$16,DADOS_AM!$CA$2:$CB$4,2,FALSE),0)&gt;DADOS_AM!$HK$2,"⚠ Nível "&amp;VLOOKUP(DADOS_AM!$HK$16,DADOS_AM!$CA$2:$CB$4,2,FALSE),IF(DADOS_AM!$HK$16&gt;1,DADOS_AM!$HK$16-1,"De graça")))</f>
        <v/>
      </c>
    </row>
    <row r="18">
      <c r="AO18" s="153" t="inlineStr">
        <is>
          <t>Linha · classes 1 a 5</t>
        </is>
      </c>
      <c r="AP18" s="153" t="inlineStr">
        <is>
          <t>Linha de 18 m por 1,5 m</t>
        </is>
      </c>
      <c r="AQ18" s="153" t="inlineStr">
        <is>
          <t>Linha de 30 m por 1,5 m</t>
        </is>
      </c>
      <c r="AR18" s="153" t="inlineStr">
        <is>
          <t>Linha de 60 m por 1,5 m</t>
        </is>
      </c>
      <c r="AS18" s="153" t="inlineStr">
        <is>
          <t>Linha de 60 m por 1,5 m</t>
        </is>
      </c>
      <c r="AT18" s="153" t="inlineStr">
        <is>
          <t>Linha de 60 m por 1,5 m</t>
        </is>
      </c>
      <c r="AU18" s="153" t="inlineStr">
        <is>
          <t>Linha de 60 m por 1,5 m</t>
        </is>
      </c>
      <c r="AV18" s="153" t="inlineStr"/>
      <c r="AW18" s="153" t="inlineStr"/>
      <c r="AX18" s="153" t="inlineStr"/>
      <c r="AY18" s="153" t="inlineStr"/>
      <c r="AZ18" s="153" t="inlineStr"/>
      <c r="BA18" s="153" t="inlineStr"/>
      <c r="BC18" s="153" t="inlineStr">
        <is>
          <t>Certeiro</t>
        </is>
      </c>
      <c r="BD18" s="153" t="inlineStr">
        <is>
          <t>Mira</t>
        </is>
      </c>
      <c r="BE18" s="155" t="n">
        <v>2</v>
      </c>
      <c r="BF18" s="155">
        <f>$BE18+3*IFERROR(VLOOKUP($BD18,$I$2:$L$10,3,FALSE),0)</f>
        <v/>
      </c>
      <c r="BG18" s="155">
        <f>IFERROR(VLOOKUP($BD18,$I$2:$L$10,4,FALSE),0)</f>
        <v/>
      </c>
      <c r="BH18" s="155" t="n">
        <v>0</v>
      </c>
      <c r="BI18" s="155">
        <f>IF($BG18=1,"",$BC18)</f>
        <v/>
      </c>
      <c r="BJ18" s="155">
        <f>IF(AND($BE18=1,$BG18=0),$BC18,"")</f>
        <v/>
      </c>
      <c r="BK18" s="155" t="n">
        <v>0</v>
      </c>
      <c r="BM18" s="153" t="inlineStr">
        <is>
          <t>Aquecer</t>
        </is>
      </c>
      <c r="BN18" s="153" t="inlineStr">
        <is>
          <t>Aquecer</t>
        </is>
      </c>
      <c r="BO18" s="155" t="n">
        <v>1</v>
      </c>
      <c r="BP18" s="155" t="n">
        <v>1</v>
      </c>
      <c r="BQ18" s="153" t="inlineStr">
        <is>
          <t>Aquecer</t>
        </is>
      </c>
      <c r="BS18" s="153" t="inlineStr">
        <is>
          <t>Talento Próprio (CE 1)</t>
        </is>
      </c>
      <c r="BT18" s="155" t="n">
        <v>1</v>
      </c>
      <c r="BU18" s="15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55" t="n">
        <v>1</v>
      </c>
      <c r="BW18" s="155" t="n">
        <v>1</v>
      </c>
      <c r="BX18" s="155">
        <f>IF(OR(AND($A$2&lt;=2,$BV18=1),AND($A$2&gt;=2,$BW18=1)),$BS18,"")</f>
        <v/>
      </c>
      <c r="BY18" s="153" t="inlineStr">
        <is>
          <t>Categoria de Efeito 1, 2 ou 3. Custos e níveis da Categoria escolhida. Se o catálogo não representar a ideia, escreva o efeito com o mestre antes da sessão. Ele ocupa os espaços correspondentes e conta no máximo de cinco Talentos pagos.</t>
        </is>
      </c>
      <c r="CD18" s="153" t="inlineStr">
        <is>
          <t>Aptidão Própria (CE 2)</t>
        </is>
      </c>
      <c r="CE18" s="153" t="inlineStr">
        <is>
          <t>Uma única vez na ficha</t>
        </is>
      </c>
      <c r="CF18" s="155" t="n">
        <v>2</v>
      </c>
      <c r="CG18" s="153" t="inlineStr">
        <is>
          <t>—</t>
        </is>
      </c>
      <c r="CH18" s="153"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I18" s="155">
        <f>IF($CL18=1,"",IF($A$2=4,IF($CJ18=1,$CD18,""),IF(OR($CJ18=1,AND($A$2=3,$CK18=1)),"",$CD18)))</f>
        <v/>
      </c>
      <c r="CJ18" s="155" t="n">
        <v>0</v>
      </c>
      <c r="CK18" s="155" t="n">
        <v>0</v>
      </c>
      <c r="CL18" s="155" t="n">
        <v>0</v>
      </c>
      <c r="CM18" s="153" t="inlineStr">
        <is>
          <t>Você cria uma aptidão com o mestre antes da sessão.</t>
        </is>
      </c>
      <c r="DW18" s="153" t="inlineStr">
        <is>
          <t>Feitiço 17</t>
        </is>
      </c>
      <c r="DX18" s="155" t="n">
        <v>0</v>
      </c>
      <c r="DY18" s="155" t="n">
        <v>17</v>
      </c>
      <c r="DZ18" s="155">
        <f>MAX(1,MIN(7,N('FICHA AMALDIÇOADA'!$J$158)))</f>
        <v/>
      </c>
      <c r="EA18" s="155">
        <f>'FICHA AMALDIÇOADA'!$K$158&amp;""</f>
        <v/>
      </c>
      <c r="EB18" s="155">
        <f>'FICHA AMALDIÇOADA'!$J$165&amp;""</f>
        <v/>
      </c>
      <c r="EC18" s="155">
        <f>'FICHA AMALDIÇOADA'!$K$167&amp;""</f>
        <v/>
      </c>
      <c r="ED18" s="155">
        <f>'FICHA AMALDIÇOADA'!$K$168&amp;""</f>
        <v/>
      </c>
      <c r="EE18" s="155">
        <f>'FICHA AMALDIÇOADA'!$K$169&amp;""</f>
        <v/>
      </c>
      <c r="EF18" s="155">
        <f>'FICHA AMALDIÇOADA'!$K$170&amp;""</f>
        <v/>
      </c>
      <c r="EG18" s="155">
        <f>'FICHA AMALDIÇOADA'!$K$171&amp;""</f>
        <v/>
      </c>
      <c r="EH18" s="155">
        <f>'FICHA AMALDIÇOADA'!$K$172&amp;""</f>
        <v/>
      </c>
      <c r="EI18" s="155">
        <f>IF($EA18&lt;&gt;"",1,0)</f>
        <v/>
      </c>
      <c r="EJ18" s="155">
        <f>IFERROR(MATCH($EB18,$Y$2:$Y$11,0),0)</f>
        <v/>
      </c>
      <c r="EK18" s="155">
        <f>IF($EJ18=0,0,INDEX($AB$2:$AB$11,$EJ18))</f>
        <v/>
      </c>
      <c r="EL18" s="155">
        <f>IFERROR(VLOOKUP($EC18,$BC$2:$BK$84,4,FALSE),0)</f>
        <v/>
      </c>
      <c r="EM18" s="155">
        <f>IFERROR(VLOOKUP($ED18,$BC$2:$BK$84,4,FALSE),0)</f>
        <v/>
      </c>
      <c r="EN18" s="155">
        <f>IFERROR(VLOOKUP($EE18,$BC$2:$BK$84,4,FALSE),0)</f>
        <v/>
      </c>
      <c r="EO18" s="155">
        <f>IFERROR(VLOOKUP($EF18,$BC$2:$BK$84,4,FALSE),0)</f>
        <v/>
      </c>
      <c r="EP18" s="155">
        <f>IF($EJ18=0,0,INDEX($AC$2:$AC$11,$EJ18))</f>
        <v/>
      </c>
      <c r="EQ18" s="155">
        <f>IFERROR(VLOOKUP($EC18,$BC$2:$BK$84,5,FALSE),0)</f>
        <v/>
      </c>
      <c r="ER18" s="155">
        <f>IFERROR(VLOOKUP($ED18,$BC$2:$BK$84,5,FALSE),0)</f>
        <v/>
      </c>
      <c r="ES18" s="155">
        <f>IFERROR(VLOOKUP($EE18,$BC$2:$BK$84,5,FALSE),0)</f>
        <v/>
      </c>
      <c r="ET18" s="155">
        <f>IFERROR(VLOOKUP($EF18,$BC$2:$BK$84,5,FALSE),0)</f>
        <v/>
      </c>
      <c r="EU18" s="155">
        <f>IFERROR(VLOOKUP($EC18,$BC$2:$BK$84,6,FALSE),0)+IFERROR(VLOOKUP($ED18,$BC$2:$BK$84,6,FALSE),0)+IFERROR(VLOOKUP($EE18,$BC$2:$BK$84,6,FALSE),0)+IFERROR(VLOOKUP($EF18,$BC$2:$BK$84,6,FALSE),0)</f>
        <v/>
      </c>
      <c r="EV18" s="155">
        <f>IFERROR(VLOOKUP($EC18,$BC$2:$BK$84,9,FALSE),0)+IFERROR(VLOOKUP($ED18,$BC$2:$BK$84,9,FALSE),0)+IFERROR(VLOOKUP($EE18,$BC$2:$BK$84,9,FALSE),0)+IFERROR(VLOOKUP($EF18,$BC$2:$BK$84,9,FALSE),0)</f>
        <v/>
      </c>
      <c r="EW18" s="155">
        <f>IF($EJ18=0,0,INDEX($AD$2:$AD$11,$EJ18))</f>
        <v/>
      </c>
      <c r="EX18" s="155">
        <f>IF($EJ18=0,0,INDEX($AE$2:$AE$11,$EJ18))</f>
        <v/>
      </c>
      <c r="EY18" s="155">
        <f>IF($EJ18=0,0,INDEX($AG$2:$AG$11,$EJ18))</f>
        <v/>
      </c>
      <c r="EZ18" s="155">
        <f>IFERROR(VLOOKUP($EG18,$BM$2:$BQ$24,3,FALSE),0)</f>
        <v/>
      </c>
      <c r="FA18" s="155">
        <f>IFERROR(VLOOKUP($EH18,$BM$2:$BQ$24,3,FALSE),0)</f>
        <v/>
      </c>
      <c r="FB18" s="155">
        <f>IFERROR(VLOOKUP($EG18,$BM$2:$BQ$24,2,FALSE),"")</f>
        <v/>
      </c>
      <c r="FC18" s="155">
        <f>IFERROR(VLOOKUP($EH18,$BM$2:$BQ$24,2,FALSE),"")</f>
        <v/>
      </c>
      <c r="FD18" s="155">
        <f>COUNTIF($EK18:$EO18,1)</f>
        <v/>
      </c>
      <c r="FE18" s="155">
        <f>COUNTIF($EK18:$EO18,2)</f>
        <v/>
      </c>
      <c r="FF18" s="155">
        <f>COUNTIF($EK18:$EO18,3)</f>
        <v/>
      </c>
      <c r="FG18" s="155">
        <f>COUNTIF($EK18:$EO18,4)</f>
        <v/>
      </c>
      <c r="FH18" s="155">
        <f>COUNTIF($EK18:$EO18,5)</f>
        <v/>
      </c>
      <c r="FI18" s="155">
        <f>COUNTIF($EK18:$EO18,6)</f>
        <v/>
      </c>
      <c r="FJ18" s="155">
        <f>COUNTIF($EZ18:$FA18,1)</f>
        <v/>
      </c>
      <c r="FK18" s="155">
        <f>COUNTIF($EZ18:$FA18,2)+$EW18</f>
        <v/>
      </c>
      <c r="FL18" s="155">
        <f>COUNTIF($EC18:$EF18,"?*")</f>
        <v/>
      </c>
      <c r="FM18" s="155">
        <f>COUNTIF($EG18:$EH18,"?*")+$EW18</f>
        <v/>
      </c>
      <c r="FN18" s="155">
        <f>SUMPRODUCT($FD18:$FI18,INDEX($Q$2:$V$8,$DZ18,0))</f>
        <v/>
      </c>
      <c r="FO18" s="155">
        <f>$FJ18*CEILING($DZ18/2,1)+$FK18*$DZ18</f>
        <v/>
      </c>
      <c r="FP18" s="155">
        <f>MIN(2*$DZ18,$FO18)</f>
        <v/>
      </c>
      <c r="FQ18" s="155">
        <f>MIN($FP18,$FN18)</f>
        <v/>
      </c>
      <c r="FR18" s="155">
        <f>$FP18-$FQ18</f>
        <v/>
      </c>
      <c r="FS18" s="155">
        <f>3*$DZ18-$FN18+$FQ18</f>
        <v/>
      </c>
      <c r="FT18" s="155">
        <f>MAX(0,$FS18)+$DX18*$DZ18</f>
        <v/>
      </c>
      <c r="FU18" s="155">
        <f>(IF(COUNTIF($EC18:$EF18,"Salto")&gt;0,1,0)+IF(COUNTIF($EC18:$EF18,"Queima")&gt;0,1,0)+IF(COUNTIF($EC18:$EF18,"Estilhaço")&gt;0,1,0))*FLOOR($FT18/2,1)</f>
        <v/>
      </c>
      <c r="FV18" s="155">
        <f>MAX(0,3-SUMPRODUCT($FD18:$FI18,$Q$2:$V$2)+MIN(2,$FJ18*1+$FK18*1,SUMPRODUCT($FD18:$FI18,$Q$2:$V$2)))+$DX18*1</f>
        <v/>
      </c>
      <c r="FW18" s="155">
        <f>MAX(0,6-SUMPRODUCT($FD18:$FI18,$Q$3:$V$3)+MIN(4,$FJ18*1+$FK18*2,SUMPRODUCT($FD18:$FI18,$Q$3:$V$3)))+$DX18*2</f>
        <v/>
      </c>
      <c r="FX18" s="155">
        <f>MAX(0,9-SUMPRODUCT($FD18:$FI18,$Q$4:$V$4)+MIN(6,$FJ18*2+$FK18*3,SUMPRODUCT($FD18:$FI18,$Q$4:$V$4)))+$DX18*3</f>
        <v/>
      </c>
      <c r="FY18" s="155">
        <f>MAX(0,12-SUMPRODUCT($FD18:$FI18,$Q$5:$V$5)+MIN(8,$FJ18*2+$FK18*4,SUMPRODUCT($FD18:$FI18,$Q$5:$V$5)))+$DX18*4</f>
        <v/>
      </c>
      <c r="FZ18" s="155">
        <f>MAX(0,15-SUMPRODUCT($FD18:$FI18,$Q$6:$V$6)+MIN(10,$FJ18*3+$FK18*5,SUMPRODUCT($FD18:$FI18,$Q$6:$V$6)))+$DX18*5</f>
        <v/>
      </c>
      <c r="GA18" s="155">
        <f>MAX(0,18-SUMPRODUCT($FD18:$FI18,$Q$7:$V$7)+MIN(12,$FJ18*3+$FK18*6,SUMPRODUCT($FD18:$FI18,$Q$7:$V$7)))+$DX18*6</f>
        <v/>
      </c>
      <c r="GB18" s="155">
        <f>MAX(0,21-SUMPRODUCT($FD18:$FI18,$Q$8:$V$8)+MIN(14,$FJ18*4+$FK18*7,SUMPRODUCT($FD18:$FI18,$Q$8:$V$8)))+$DX18*7</f>
        <v/>
      </c>
      <c r="GC18" s="155">
        <f>IF($EX18=2,3*$FV18&amp;" de vida temp.",IF($EX18=3,"sem dano",IF($FV18=0,IF($EX18=1,"sem cura","sem dano"),IF($EX18=1,"cura ","")&amp;$FV18&amp;"d8")))</f>
        <v/>
      </c>
      <c r="GD18" s="155">
        <f>IF($EX18=2,3*$FW18&amp;" de vida temp.",IF($EX18=3,"sem dano",IF($FW18=0,IF($EX18=1,"sem cura","sem dano"),IF($EX18=1,"cura ","")&amp;$FW18&amp;"d8")))</f>
        <v/>
      </c>
      <c r="GE18" s="155">
        <f>IF($EX18=2,3*$FX18&amp;" de vida temp.",IF($EX18=3,"sem dano",IF($FX18=0,IF($EX18=1,"sem cura","sem dano"),IF($EX18=1,"cura ","")&amp;$FX18&amp;"d8")))</f>
        <v/>
      </c>
      <c r="GF18" s="155">
        <f>IF($EX18=2,3*$FY18&amp;" de vida temp.",IF($EX18=3,"sem dano",IF($FY18=0,IF($EX18=1,"sem cura","sem dano"),IF($EX18=1,"cura ","")&amp;$FY18&amp;"d8")))</f>
        <v/>
      </c>
      <c r="GG18" s="155">
        <f>IF($EX18=2,3*$FZ18&amp;" de vida temp.",IF($EX18=3,"sem dano",IF($FZ18=0,IF($EX18=1,"sem cura","sem dano"),IF($EX18=1,"cura ","")&amp;$FZ18&amp;"d8")))</f>
        <v/>
      </c>
      <c r="GH18" s="155">
        <f>IF($EX18=2,3*$GA18&amp;" de vida temp.",IF($EX18=3,"sem dano",IF($GA18=0,IF($EX18=1,"sem cura","sem dano"),IF($EX18=1,"cura ","")&amp;$GA18&amp;"d8")))</f>
        <v/>
      </c>
      <c r="GI18" s="155">
        <f>IF($EX18=2,3*$GB18&amp;" de vida temp.",IF($EX18=3,"sem dano",IF($GB18=0,IF($EX18=1,"sem cura","sem dano"),IF($EX18=1,"cura ","")&amp;$GB18&amp;"d8")))</f>
        <v/>
      </c>
      <c r="GJ18" s="155">
        <f>IF($EI18=0,"",TEXTJOIN(" · ",TRUE,IF(AND($DX18=1,$DY18&gt;$HK$9),"O nível "&amp;$HK$2&amp;" dá "&amp;$HK$9&amp;" Liberação Máxima",""),IF($DZ18&gt;$HK$4,"Classe "&amp;$DZ18&amp;": o nível "&amp;$HK$2&amp;" libera até a "&amp;$HK$4,""),IF($EP18=1,"Família Fechada: a Forma "&amp;$EB18,""),IF($EQ18=1,"Família Fechada: "&amp;$EC18,""),IF($ER18=1,"Família Fechada: "&amp;$ED18,""),IF($ES18=1,"Família Fechada: "&amp;$EE18,""),IF($ET18=1,"Família Fechada: "&amp;$EF18,""),IF($FL18&gt;INDEX($W$2:$W$8,$DZ18),$FL18&amp;" Melhorias: a Classe "&amp;$DZ18&amp;" aceita "&amp;INDEX($W$2:$W$8,$DZ18),""),IF($FM18&gt;2,$FM18&amp;" Restrições"&amp;IF($EW18=1,", contando a que a Forma "&amp;$EB18&amp;" já traz","")&amp;": o limite é 2",""),IF($FS18&lt;0,"Orçamento estourado: faltam "&amp;(-$FS18)&amp;IF($FS18&lt;-1," pontos"," ponto"),""),IF(IFERROR(VLOOKUP($EG18,$BM$2:$BQ$24,4,FALSE),0)+IFERROR(VLOOKUP($EH18,$BM$2:$BQ$24,4,FALSE),0)&gt;1,$FB18&amp;" e "&amp;$FC18&amp;" são as duas de frequência",""),IF(AND((COUNTIF($EC18:$EF18,"Rápido")+COUNTIF($FB18:$FC18,"Rápido"))&gt;0,(COUNTIF($EC18:$EF18,"Atrasar")+COUNTIF($FB18:$FC18,"Atrasar"))&gt;0),"Rápido não entra com Atrasar",""),IF(AND((COUNTIF($EC18:$EF18,"Reação")+COUNTIF($FB18:$FC18,"Reação"))&gt;0,(COUNTIF($EC18:$EF18,"Rápido")+COUNTIF($FB18:$FC18,"Rápido"))&gt;0),"Reação não entra com Rápido",""),IF(AND((COUNTIF($EC18:$EF18,"Reação")+COUNTIF($FB18:$FC18,"Reação"))&gt;0,(COUNTIF($EC18:$EF18,"Armado")+COUNTIF($FB18:$FC18,"Armado"))&gt;0),"Reação não entra com Armado",""),IF(AND((COUNTIF($EC18:$EF18,"Reação")+COUNTIF($FB18:$FC18,"Reação"))&gt;0,(COUNTIF($EC18:$EF18,"Atrasar")+COUNTIF($FB18:$FC18,"Atrasar"))&gt;0),"Reação não entra com Atrasar",""),IF(AND((COUNTIF($EC18:$EF18,"Reação")+COUNTIF($FB18:$FC18,"Reação"))&gt;0,(COUNTIF($EC18:$EF18,"Parado")+COUNTIF($FB18:$FC18,"Parado"))&gt;0),"Reação não entra com Parado",""),IF(AND((COUNTIF($EC18:$EF18,"Atrasar")+COUNTIF($FB18:$FC18,"Atrasar"))&gt;0,(COUNTIF($EC18:$EF18,"Parado")+COUNTIF($FB18:$FC18,"Parado"))&gt;0),"Atrasar não entra com Parado",""),IF(AND((COUNTIF($EC18:$EF18,"Armado")+COUNTIF($FB18:$FC18,"Armado"))&gt;0,(COUNTIF($EC18:$EF18,"Carregar")+COUNTIF($FB18:$FC18,"Carregar"))&gt;0),"Armado não entra com Carregar",""),IF(AND(COUNTIF($FB18:$FC18,"Corpo a Corpo")&gt;0,$EW18=0,OR($EB18="Cone",$EB18="Linha")),"Corpo a Corpo não entra em "&amp;$EB18,""),IF(AND(COUNTIF($FB18:$FC18,"Corpo a Corpo")&gt;0,$EW18=1),"A Forma "&amp;$EB18&amp;" já traz o Corpo a Corpo",""),IF(AND(COUNTIF($FB18:$FC18,"Tudo ou Nada")&gt;0,$EY18=0),"Tudo ou Nada só entra em feitiço de Teste de Resistência",""),IF(AND(COUNTIF($EC18:$EF18,"Inescapável")&gt;0,OR($FL18&gt;1,$FM18&gt;0)),"Inescapável não aceita outra peça",""),IF(AND($DX18=1,$DZ18&lt;3),"Liberação Máxima é de Classe 3 ou mais",""),IF(AND($DX18=1,OR($EX18=1,$EX18=2)),"Liberação Máxima não serve para cura",""),IF(AND($DX18=1,COUNTIF($EC18:$EF18,"Inescapável")+COUNTIF($EC18:$EF18,"Toca a Alma")&gt;0),"Esta peça não entra numa Liberação Máxima",""),IF($FT18*IF(COUNTIF($EC18:$EF18,"Remate")&gt;0,1.25,1)+$FU18&gt;4*$DZ18,($FT18*IF(COUNTIF($EC18:$EF18,"Remate")&gt;0,1.25,1)+$FU18)&amp;" dados somando repetições"&amp;IF(COUNTIF($EC18:$EF18,"Remate")&gt;0," e o Remate","")&amp;": o teto da Classe "&amp;$DZ18&amp;" é "&amp;4*$DZ18,"")))</f>
        <v/>
      </c>
      <c r="GK18" s="155">
        <f>IF($GJ18="",0,(LEN($GJ18)-LEN(SUBSTITUTE($GJ18," · ","")))/3+1)</f>
        <v/>
      </c>
      <c r="GL18" s="155">
        <f>IF($EI18=0,"",TEXTJOIN(" · ",TRUE,IF($FO18&gt;2*$DZ18,"A devolução parou no teto de "&amp;2*$DZ18,""),IF($FR18&gt;0,"Devolução perdida: "&amp;$FR18&amp;IF($FR18&gt;1," pontos"," ponto")&amp;" sem peça para pagar",""),IF(AND($EU18&gt;0,$FT18=0),"Controle sem dano: uma rodada a mais e CD +2",""),IF(AND($EU18&gt;0,$FT18&gt;0,$FT18&lt;=$DZ18),"Controle com saldo até a Classe: uma rodada a mais","")))</f>
        <v/>
      </c>
      <c r="GM18" s="155">
        <f>IF($GL18="",0,(LEN($GL18)-LEN(SUBSTITUTE($GL18," · ","")))/3+1)</f>
        <v/>
      </c>
      <c r="GN18" s="155">
        <f>IF($EI18=0,IF($FL18+$FM18-$EW18&gt;0,"Dê um nome",""),IF($GK18&gt;0,"⚠ "&amp;$GK18&amp;IF($GK18&gt;1," erros"," erro"),IF($GM18&gt;0,"! "&amp;$GM18&amp;IF($GM18&gt;1," avisos"," aviso"),"Na regra")))</f>
        <v/>
      </c>
      <c r="GO18" s="155">
        <f>IF($EI18=0,"",IF($GK18+$GM18=0,"Dentro das regras que a ficha confere",$GJ18&amp;IF(AND($GK18&gt;0,$GM18&gt;0)," · ","")&amp;$GL18))</f>
        <v/>
      </c>
      <c r="GP18" s="155">
        <f>IF($EI18=0,"",IF($DX18=1,CEILING(4.5*$DZ18,1),3*$DZ18)&amp;" PE")</f>
        <v/>
      </c>
      <c r="GQ18" s="155">
        <f>IF($EI18=0,"",IF($DX18=1,"Rodada inteira",IF(COUNTIF($FB18:$FC18,"Atrasar")&gt;0,IF(COUNTIF($FB18:$FC18,"Carregar")&gt;0,"Rodada +1 turno","Rodada inteira"),IF(COUNTIF($EC18:$EF18,"Rápido")&gt;0,"Bônus",IF(COUNTIF($EC18:$EF18,"Reação")&gt;0,"Reação","Padrão"))&amp;IF(COUNTIF($FB18:$FC18,"Carregar")&gt;0," +1 turno",""))))</f>
        <v/>
      </c>
      <c r="GR18" s="155">
        <f>IF(OR($EI18=0,$EJ18=0),"",IF(COUNTIF($EC18:$EF18,"Inescapável")&gt;0,"Automático",IF(COUNTIF($EC18:$EF18,"Certeiro")&gt;0,"TR para metade",IF(AND($EV18&gt;0,$EY18=0,INDEX($AF$2:$AF$11,$EJ18)="Acerto"),"Acerto + TR",INDEX($AF$2:$AF$11,$EJ18)))))</f>
        <v/>
      </c>
      <c r="GS18" s="155">
        <f>IF(OR($EI18=0,$EJ18=0),"",IF(OR($EX18&gt;=2,$FT18=0),UPPER(LEFT(INDEX($GC18:$GI18,1,$DZ18),1))&amp;MID(INDEX($GC18:$GI18,1,$DZ18),2,99),UPPER(LEFT(INDEX($GC18:$GI18,1,$DZ18),1))&amp;MID(INDEX($GC18:$GI18,1,$DZ18),2,99)&amp;" = "&amp;FLOOR($FT18*4.5,1)&amp;IF($FU18&gt;0," · +"&amp;$FU18&amp;"d8","")))</f>
        <v/>
      </c>
      <c r="GT18" s="155">
        <f>COUNTIF($EC18:$EF18,"Longe")+3*COUNTIF($EC18:$EF18,"Muito Longe")</f>
        <v/>
      </c>
      <c r="GU18" s="155">
        <f>COUNTIF($EC18:$EF18,"Maior")+3*COUNTIF($EC18:$EF18,"Muito Maior")</f>
        <v/>
      </c>
      <c r="GV18" s="155">
        <f>IF($EJ18=0,0,CHOOSE(1+INDEX($AH$2:$AH$11,$EJ18),0,$GT18,$GU18,$GT18+$GU18))</f>
        <v/>
      </c>
      <c r="GW18" s="155">
        <f>IF($EJ18=0,0,CHOOSE(1+INDEX($AI$2:$AI$11,$EJ18),0,$GT18,$GU18,$GT18+$GU18))</f>
        <v/>
      </c>
      <c r="GX18" s="155">
        <f>IF(OR($EI18=0,$EJ18=0),"",INDEX($AP$2:$AU$31,($EJ18-1)*3+IF($DZ18&gt;=6,3,2),1+MIN(5,$GV18))&amp;INDEX($AV$2:$BA$31,($EJ18-1)*3+IF($DZ18&gt;=6,3,2),1+MIN(5,$GW18))&amp;IF(INDEX($AJ$2:$AJ$11,$EJ18)=1,IF(COUNTIF($EC18:$EF18,"Mais Um")&gt;0," · +"&amp;COUNTIF($EC18:$EF18,"Mais Um")&amp;IF(COUNTIF($EC18:$EF18,"Mais Um")&gt;1," alvos"," alvo"),"")&amp;IF(COUNTIF($EC18:$EF18,"Rajada")&gt;0," · "&amp;($DZ18+1)&amp;" tiros",""),""))</f>
        <v/>
      </c>
      <c r="GY18" s="155">
        <f>IF($EI18=0,"",3*$DZ18&amp;" − "&amp;$FN18&amp;" + "&amp;$FQ18&amp;IF($DX18=1," + "&amp;$DZ18,"")&amp;" = "&amp;$FT18&amp;"d8 · teto "&amp;4*$DZ18&amp;IF($EW18=1," · a Forma devolve "&amp;$DZ18,"")&amp;IF($FR18&gt;0," · perde "&amp;$FR18,""))</f>
        <v/>
      </c>
      <c r="GZ18" s="155">
        <f>IF($EI18=0,"",IF($DZ18&gt;=$HK$4,"Já está na maior Classe que o nível liberou",TEXTJOIN(" · ",TRUE,IF(AND(2&gt;$DZ18,2&lt;=$HK$4),"2 → "&amp;$GD18&amp;", "&amp;IF($DX18=1,9,6)&amp;" PE",""),IF(AND(3&gt;$DZ18,3&lt;=$HK$4),"3 → "&amp;$GE18&amp;", "&amp;IF($DX18=1,14,9)&amp;" PE",""),IF(AND(4&gt;$DZ18,4&lt;=$HK$4),"4 → "&amp;$GF18&amp;", "&amp;IF($DX18=1,18,12)&amp;" PE",""),IF(AND(5&gt;$DZ18,5&lt;=$HK$4),"5 → "&amp;$GG18&amp;", "&amp;IF($DX18=1,23,15)&amp;" PE",""),IF(AND(6&gt;$DZ18,6&lt;=$HK$4),"6 → "&amp;$GH18&amp;", "&amp;IF($DX18=1,27,18)&amp;" PE",""),IF(AND(7&gt;$DZ18,7&lt;=$HK$4),"7 → "&amp;$GI18&amp;", "&amp;IF($DX18=1,32,21)&amp;" PE",""))))</f>
        <v/>
      </c>
      <c r="HA18" s="155">
        <f>IF(OR($EI18=0,$EL18=0),"","−"&amp;INDEX($Q$2:$V$8,$DZ18,$EL18)&amp;" · "&amp;CHOOSE($EL18,"Leve","Média","Pesada","Leve · Livre","Média · Livre","Pesada · Livre"))</f>
        <v/>
      </c>
      <c r="HB18" s="155">
        <f>IF(OR($EI18=0,$EM18=0),"","−"&amp;INDEX($Q$2:$V$8,$DZ18,$EM18)&amp;" · "&amp;CHOOSE($EM18,"Leve","Média","Pesada","Leve · Livre","Média · Livre","Pesada · Livre"))</f>
        <v/>
      </c>
      <c r="HC18" s="155">
        <f>IF(OR($EI18=0,$EN18=0),"","−"&amp;INDEX($Q$2:$V$8,$DZ18,$EN18)&amp;" · "&amp;CHOOSE($EN18,"Leve","Média","Pesada","Leve · Livre","Média · Livre","Pesada · Livre"))</f>
        <v/>
      </c>
      <c r="HD18" s="155">
        <f>IF(OR($EI18=0,$EO18=0),"","−"&amp;INDEX($Q$2:$V$8,$DZ18,$EO18)&amp;" · "&amp;CHOOSE($EO18,"Leve","Média","Pesada","Leve · Livre","Média · Livre","Pesada · Livre"))</f>
        <v/>
      </c>
      <c r="HE18" s="155">
        <f>IF(OR($EI18=0,$EG18=""),"","+"&amp;IF($EZ18=1,CEILING($DZ18/2,1),$DZ18))</f>
        <v/>
      </c>
      <c r="HF18" s="155">
        <f>IF(OR($EI18=0,$EH18=""),"","+"&amp;IF($FA18=1,CEILING($DZ18/2,1),$DZ18))</f>
        <v/>
      </c>
      <c r="HG18" s="155">
        <f>'FICHA AMALDIÇOADA'!$J$160&amp;""</f>
        <v/>
      </c>
      <c r="HH18" s="155">
        <f>IF(AND($EI18=1,$DX18=0),COUNTIFS($EI$2:$EI18,1,$DX$2:$DX18,0),"")</f>
        <v/>
      </c>
      <c r="HJ18" s="153" t="inlineStr">
        <is>
          <t>espaços em passivas</t>
        </is>
      </c>
      <c r="HK18" s="155">
        <f>IFERROR(VLOOKUP('FICHA AMALDIÇOADA'!$D$379,$BS$2:$BY$24,2,FALSE),0)+IFERROR(VLOOKUP('FICHA AMALDIÇOADA'!$J$379,$BS$2:$BY$24,2,FALSE),0)+IFERROR(VLOOKUP('FICHA AMALDIÇOADA'!$P$379,$BS$2:$BY$24,2,FALSE),0)+IFERROR(VLOOKUP('FICHA AMALDIÇOADA'!$D$387,$BS$2:$BY$24,2,FALSE),0)+IFERROR(VLOOKUP('FICHA AMALDIÇOADA'!$J$387,$BS$2:$BY$24,2,FALSE),0)+$HK$17</f>
        <v/>
      </c>
      <c r="JF18" s="155" t="n">
        <v>17</v>
      </c>
      <c r="JG18" s="155">
        <f>IFERROR(MATCH(17,$HH$2:$HH$37,0),0)</f>
        <v/>
      </c>
      <c r="JH18" s="155">
        <f>IF($JG18=0,"",INDEX($DZ$2:$DZ$37,$JG18))</f>
        <v/>
      </c>
      <c r="JI18" s="155">
        <f>IF($JG18=0,"",INDEX($EA$2:$EA$37,$JG18))</f>
        <v/>
      </c>
      <c r="JJ18" s="155">
        <f>IF($JG18=0,"",INDEX($GP$2:$GP$37,$JG18))</f>
        <v/>
      </c>
      <c r="JK18" s="155">
        <f>IF($JG18=0,"",INDEX($EB$2:$EB$37,$JG18))</f>
        <v/>
      </c>
      <c r="JL18" s="155">
        <f>IF($JG18=0,"",INDEX($GR$2:$GR$37,$JG18))</f>
        <v/>
      </c>
      <c r="JM18" s="155">
        <f>IF($JG18=0,"",INDEX($HG$2:$HG$37,$JG18))</f>
        <v/>
      </c>
      <c r="KP18" s="153" t="inlineStr">
        <is>
          <t>par aptidões 4</t>
        </is>
      </c>
      <c r="KQ18" s="155">
        <f>UPPER(INDEX($D$6:$G$6,1,$A$2))&amp;" 13 A 14"</f>
        <v/>
      </c>
      <c r="KS18" s="153" t="inlineStr">
        <is>
          <t>Q37</t>
        </is>
      </c>
      <c r="KT18" s="155">
        <f>IF(OR(DADOS_AM!$HK$31&lt;&gt;2,DADOS_AM!$HK$32&lt;&gt;3),"⚠ ","")&amp;DADOS_AM!$HK$31&amp;" de 2 · "&amp;DADOS_AM!$HK$32&amp;" de 3"</f>
        <v/>
      </c>
    </row>
    <row r="19">
      <c r="AO19" s="153" t="inlineStr">
        <is>
          <t>Linha · classes 6 e 7</t>
        </is>
      </c>
      <c r="AP19" s="153" t="inlineStr">
        <is>
          <t>Linha de 30 m por 1,5 m</t>
        </is>
      </c>
      <c r="AQ19" s="153" t="inlineStr">
        <is>
          <t>Linha de 60 m por 1,5 m</t>
        </is>
      </c>
      <c r="AR19" s="153" t="inlineStr">
        <is>
          <t>Linha de 60 m por 1,5 m</t>
        </is>
      </c>
      <c r="AS19" s="153" t="inlineStr">
        <is>
          <t>Linha de 60 m por 1,5 m</t>
        </is>
      </c>
      <c r="AT19" s="153" t="inlineStr">
        <is>
          <t>Linha de 60 m por 1,5 m</t>
        </is>
      </c>
      <c r="AU19" s="153" t="inlineStr">
        <is>
          <t>Linha de 60 m por 1,5 m</t>
        </is>
      </c>
      <c r="AV19" s="153" t="inlineStr"/>
      <c r="AW19" s="153" t="inlineStr"/>
      <c r="AX19" s="153" t="inlineStr"/>
      <c r="AY19" s="153" t="inlineStr"/>
      <c r="AZ19" s="153" t="inlineStr"/>
      <c r="BA19" s="153" t="inlineStr"/>
      <c r="BC19" s="153" t="inlineStr">
        <is>
          <t>Inescapável</t>
        </is>
      </c>
      <c r="BD19" s="153" t="inlineStr">
        <is>
          <t>Mira</t>
        </is>
      </c>
      <c r="BE19" s="155" t="n">
        <v>2</v>
      </c>
      <c r="BF19" s="155">
        <f>$BE19+3*IFERROR(VLOOKUP($BD19,$I$2:$L$10,3,FALSE),0)</f>
        <v/>
      </c>
      <c r="BG19" s="155">
        <f>IFERROR(VLOOKUP($BD19,$I$2:$L$10,4,FALSE),0)</f>
        <v/>
      </c>
      <c r="BH19" s="155" t="n">
        <v>0</v>
      </c>
      <c r="BI19" s="155">
        <f>IF($BG19=1,"",$BC19)</f>
        <v/>
      </c>
      <c r="BJ19" s="155">
        <f>IF(AND($BE19=1,$BG19=0),$BC19,"")</f>
        <v/>
      </c>
      <c r="BK19" s="155" t="n">
        <v>0</v>
      </c>
      <c r="BM19" s="153" t="inlineStr">
        <is>
          <t>Dívida</t>
        </is>
      </c>
      <c r="BN19" s="153" t="inlineStr">
        <is>
          <t>Dívida</t>
        </is>
      </c>
      <c r="BO19" s="155" t="n">
        <v>2</v>
      </c>
      <c r="BP19" s="155" t="n">
        <v>1</v>
      </c>
      <c r="BQ19" s="153" t="inlineStr"/>
      <c r="BS19" s="153" t="inlineStr">
        <is>
          <t>Talento Próprio (CE 2)</t>
        </is>
      </c>
      <c r="BT19" s="155" t="n">
        <v>2</v>
      </c>
      <c r="BU19" s="15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55" t="n">
        <v>1</v>
      </c>
      <c r="BW19" s="155" t="n">
        <v>1</v>
      </c>
      <c r="BX19" s="155">
        <f>IF(OR(AND($A$2&lt;=2,$BV19=1),AND($A$2&gt;=2,$BW19=1)),$BS19,"")</f>
        <v/>
      </c>
      <c r="BY19" s="153" t="inlineStr">
        <is>
          <t>Categoria de Efeito 1, 2 ou 3. Custos e níveis da Categoria escolhida. Se o catálogo não representar a ideia, escreva o efeito com o mestre antes da sessão. Ele ocupa os espaços correspondentes e conta no máximo de cinco Talentos pagos.</t>
        </is>
      </c>
      <c r="CD19" s="153" t="inlineStr">
        <is>
          <t>Defesa sem Armadura</t>
        </is>
      </c>
      <c r="CE19" s="153" t="inlineStr">
        <is>
          <t>Gratuita na Lapidação 1</t>
        </is>
      </c>
      <c r="CF19" s="153" t="inlineStr">
        <is>
          <t>—</t>
        </is>
      </c>
      <c r="CG19" s="153" t="inlineStr">
        <is>
          <t>Proteção</t>
        </is>
      </c>
      <c r="CH19" s="153"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fica sem proteção até o fim do seu próximo turno, inclusive a de Traje, Revestimento e escudo. Você pode usar essa redução mesmo com equipamento de proteção ou enquanto estiver sem proteção, pagando a Reação e os PE em cada uso. O novo uso mantém a perda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 Essas permissões vêm da ausência de energia e permanecem quando você usa um Traje ou Revestimento. Vestir proteção desliga apenas a proteção passiva desta Bênção. A redução como Reação continua disponível com seu custo completo.</t>
        </is>
      </c>
      <c r="CI19" s="155">
        <f>IF($CL19=1,"",IF($A$2=4,IF($CJ19=1,$CD19,""),IF(OR($CJ19=1,AND($A$2=3,$CK19=1)),"",$CD19)))</f>
        <v/>
      </c>
      <c r="CJ19" s="155" t="n">
        <v>1</v>
      </c>
      <c r="CK19" s="155" t="n">
        <v>0</v>
      </c>
      <c r="CL19" s="155" t="n">
        <v>1</v>
      </c>
      <c r="CM19" s="153" t="inlineStr">
        <is>
          <t>Enquanto não usar Traje nem Revestimento, você recebe proteção igual a um terço da Lapidação, arredondado para baixo, +1.</t>
        </is>
      </c>
      <c r="DW19" s="153" t="inlineStr">
        <is>
          <t>Feitiço 18</t>
        </is>
      </c>
      <c r="DX19" s="155" t="n">
        <v>0</v>
      </c>
      <c r="DY19" s="155" t="n">
        <v>18</v>
      </c>
      <c r="DZ19" s="155">
        <f>MAX(1,MIN(7,N('FICHA AMALDIÇOADA'!$P$158)))</f>
        <v/>
      </c>
      <c r="EA19" s="155">
        <f>'FICHA AMALDIÇOADA'!$Q$158&amp;""</f>
        <v/>
      </c>
      <c r="EB19" s="155">
        <f>'FICHA AMALDIÇOADA'!$P$165&amp;""</f>
        <v/>
      </c>
      <c r="EC19" s="155">
        <f>'FICHA AMALDIÇOADA'!$Q$167&amp;""</f>
        <v/>
      </c>
      <c r="ED19" s="155">
        <f>'FICHA AMALDIÇOADA'!$Q$168&amp;""</f>
        <v/>
      </c>
      <c r="EE19" s="155">
        <f>'FICHA AMALDIÇOADA'!$Q$169&amp;""</f>
        <v/>
      </c>
      <c r="EF19" s="155">
        <f>'FICHA AMALDIÇOADA'!$Q$170&amp;""</f>
        <v/>
      </c>
      <c r="EG19" s="155">
        <f>'FICHA AMALDIÇOADA'!$Q$171&amp;""</f>
        <v/>
      </c>
      <c r="EH19" s="155">
        <f>'FICHA AMALDIÇOADA'!$Q$172&amp;""</f>
        <v/>
      </c>
      <c r="EI19" s="155">
        <f>IF($EA19&lt;&gt;"",1,0)</f>
        <v/>
      </c>
      <c r="EJ19" s="155">
        <f>IFERROR(MATCH($EB19,$Y$2:$Y$11,0),0)</f>
        <v/>
      </c>
      <c r="EK19" s="155">
        <f>IF($EJ19=0,0,INDEX($AB$2:$AB$11,$EJ19))</f>
        <v/>
      </c>
      <c r="EL19" s="155">
        <f>IFERROR(VLOOKUP($EC19,$BC$2:$BK$84,4,FALSE),0)</f>
        <v/>
      </c>
      <c r="EM19" s="155">
        <f>IFERROR(VLOOKUP($ED19,$BC$2:$BK$84,4,FALSE),0)</f>
        <v/>
      </c>
      <c r="EN19" s="155">
        <f>IFERROR(VLOOKUP($EE19,$BC$2:$BK$84,4,FALSE),0)</f>
        <v/>
      </c>
      <c r="EO19" s="155">
        <f>IFERROR(VLOOKUP($EF19,$BC$2:$BK$84,4,FALSE),0)</f>
        <v/>
      </c>
      <c r="EP19" s="155">
        <f>IF($EJ19=0,0,INDEX($AC$2:$AC$11,$EJ19))</f>
        <v/>
      </c>
      <c r="EQ19" s="155">
        <f>IFERROR(VLOOKUP($EC19,$BC$2:$BK$84,5,FALSE),0)</f>
        <v/>
      </c>
      <c r="ER19" s="155">
        <f>IFERROR(VLOOKUP($ED19,$BC$2:$BK$84,5,FALSE),0)</f>
        <v/>
      </c>
      <c r="ES19" s="155">
        <f>IFERROR(VLOOKUP($EE19,$BC$2:$BK$84,5,FALSE),0)</f>
        <v/>
      </c>
      <c r="ET19" s="155">
        <f>IFERROR(VLOOKUP($EF19,$BC$2:$BK$84,5,FALSE),0)</f>
        <v/>
      </c>
      <c r="EU19" s="155">
        <f>IFERROR(VLOOKUP($EC19,$BC$2:$BK$84,6,FALSE),0)+IFERROR(VLOOKUP($ED19,$BC$2:$BK$84,6,FALSE),0)+IFERROR(VLOOKUP($EE19,$BC$2:$BK$84,6,FALSE),0)+IFERROR(VLOOKUP($EF19,$BC$2:$BK$84,6,FALSE),0)</f>
        <v/>
      </c>
      <c r="EV19" s="155">
        <f>IFERROR(VLOOKUP($EC19,$BC$2:$BK$84,9,FALSE),0)+IFERROR(VLOOKUP($ED19,$BC$2:$BK$84,9,FALSE),0)+IFERROR(VLOOKUP($EE19,$BC$2:$BK$84,9,FALSE),0)+IFERROR(VLOOKUP($EF19,$BC$2:$BK$84,9,FALSE),0)</f>
        <v/>
      </c>
      <c r="EW19" s="155">
        <f>IF($EJ19=0,0,INDEX($AD$2:$AD$11,$EJ19))</f>
        <v/>
      </c>
      <c r="EX19" s="155">
        <f>IF($EJ19=0,0,INDEX($AE$2:$AE$11,$EJ19))</f>
        <v/>
      </c>
      <c r="EY19" s="155">
        <f>IF($EJ19=0,0,INDEX($AG$2:$AG$11,$EJ19))</f>
        <v/>
      </c>
      <c r="EZ19" s="155">
        <f>IFERROR(VLOOKUP($EG19,$BM$2:$BQ$24,3,FALSE),0)</f>
        <v/>
      </c>
      <c r="FA19" s="155">
        <f>IFERROR(VLOOKUP($EH19,$BM$2:$BQ$24,3,FALSE),0)</f>
        <v/>
      </c>
      <c r="FB19" s="155">
        <f>IFERROR(VLOOKUP($EG19,$BM$2:$BQ$24,2,FALSE),"")</f>
        <v/>
      </c>
      <c r="FC19" s="155">
        <f>IFERROR(VLOOKUP($EH19,$BM$2:$BQ$24,2,FALSE),"")</f>
        <v/>
      </c>
      <c r="FD19" s="155">
        <f>COUNTIF($EK19:$EO19,1)</f>
        <v/>
      </c>
      <c r="FE19" s="155">
        <f>COUNTIF($EK19:$EO19,2)</f>
        <v/>
      </c>
      <c r="FF19" s="155">
        <f>COUNTIF($EK19:$EO19,3)</f>
        <v/>
      </c>
      <c r="FG19" s="155">
        <f>COUNTIF($EK19:$EO19,4)</f>
        <v/>
      </c>
      <c r="FH19" s="155">
        <f>COUNTIF($EK19:$EO19,5)</f>
        <v/>
      </c>
      <c r="FI19" s="155">
        <f>COUNTIF($EK19:$EO19,6)</f>
        <v/>
      </c>
      <c r="FJ19" s="155">
        <f>COUNTIF($EZ19:$FA19,1)</f>
        <v/>
      </c>
      <c r="FK19" s="155">
        <f>COUNTIF($EZ19:$FA19,2)+$EW19</f>
        <v/>
      </c>
      <c r="FL19" s="155">
        <f>COUNTIF($EC19:$EF19,"?*")</f>
        <v/>
      </c>
      <c r="FM19" s="155">
        <f>COUNTIF($EG19:$EH19,"?*")+$EW19</f>
        <v/>
      </c>
      <c r="FN19" s="155">
        <f>SUMPRODUCT($FD19:$FI19,INDEX($Q$2:$V$8,$DZ19,0))</f>
        <v/>
      </c>
      <c r="FO19" s="155">
        <f>$FJ19*CEILING($DZ19/2,1)+$FK19*$DZ19</f>
        <v/>
      </c>
      <c r="FP19" s="155">
        <f>MIN(2*$DZ19,$FO19)</f>
        <v/>
      </c>
      <c r="FQ19" s="155">
        <f>MIN($FP19,$FN19)</f>
        <v/>
      </c>
      <c r="FR19" s="155">
        <f>$FP19-$FQ19</f>
        <v/>
      </c>
      <c r="FS19" s="155">
        <f>3*$DZ19-$FN19+$FQ19</f>
        <v/>
      </c>
      <c r="FT19" s="155">
        <f>MAX(0,$FS19)+$DX19*$DZ19</f>
        <v/>
      </c>
      <c r="FU19" s="155">
        <f>(IF(COUNTIF($EC19:$EF19,"Salto")&gt;0,1,0)+IF(COUNTIF($EC19:$EF19,"Queima")&gt;0,1,0)+IF(COUNTIF($EC19:$EF19,"Estilhaço")&gt;0,1,0))*FLOOR($FT19/2,1)</f>
        <v/>
      </c>
      <c r="FV19" s="155">
        <f>MAX(0,3-SUMPRODUCT($FD19:$FI19,$Q$2:$V$2)+MIN(2,$FJ19*1+$FK19*1,SUMPRODUCT($FD19:$FI19,$Q$2:$V$2)))+$DX19*1</f>
        <v/>
      </c>
      <c r="FW19" s="155">
        <f>MAX(0,6-SUMPRODUCT($FD19:$FI19,$Q$3:$V$3)+MIN(4,$FJ19*1+$FK19*2,SUMPRODUCT($FD19:$FI19,$Q$3:$V$3)))+$DX19*2</f>
        <v/>
      </c>
      <c r="FX19" s="155">
        <f>MAX(0,9-SUMPRODUCT($FD19:$FI19,$Q$4:$V$4)+MIN(6,$FJ19*2+$FK19*3,SUMPRODUCT($FD19:$FI19,$Q$4:$V$4)))+$DX19*3</f>
        <v/>
      </c>
      <c r="FY19" s="155">
        <f>MAX(0,12-SUMPRODUCT($FD19:$FI19,$Q$5:$V$5)+MIN(8,$FJ19*2+$FK19*4,SUMPRODUCT($FD19:$FI19,$Q$5:$V$5)))+$DX19*4</f>
        <v/>
      </c>
      <c r="FZ19" s="155">
        <f>MAX(0,15-SUMPRODUCT($FD19:$FI19,$Q$6:$V$6)+MIN(10,$FJ19*3+$FK19*5,SUMPRODUCT($FD19:$FI19,$Q$6:$V$6)))+$DX19*5</f>
        <v/>
      </c>
      <c r="GA19" s="155">
        <f>MAX(0,18-SUMPRODUCT($FD19:$FI19,$Q$7:$V$7)+MIN(12,$FJ19*3+$FK19*6,SUMPRODUCT($FD19:$FI19,$Q$7:$V$7)))+$DX19*6</f>
        <v/>
      </c>
      <c r="GB19" s="155">
        <f>MAX(0,21-SUMPRODUCT($FD19:$FI19,$Q$8:$V$8)+MIN(14,$FJ19*4+$FK19*7,SUMPRODUCT($FD19:$FI19,$Q$8:$V$8)))+$DX19*7</f>
        <v/>
      </c>
      <c r="GC19" s="155">
        <f>IF($EX19=2,3*$FV19&amp;" de vida temp.",IF($EX19=3,"sem dano",IF($FV19=0,IF($EX19=1,"sem cura","sem dano"),IF($EX19=1,"cura ","")&amp;$FV19&amp;"d8")))</f>
        <v/>
      </c>
      <c r="GD19" s="155">
        <f>IF($EX19=2,3*$FW19&amp;" de vida temp.",IF($EX19=3,"sem dano",IF($FW19=0,IF($EX19=1,"sem cura","sem dano"),IF($EX19=1,"cura ","")&amp;$FW19&amp;"d8")))</f>
        <v/>
      </c>
      <c r="GE19" s="155">
        <f>IF($EX19=2,3*$FX19&amp;" de vida temp.",IF($EX19=3,"sem dano",IF($FX19=0,IF($EX19=1,"sem cura","sem dano"),IF($EX19=1,"cura ","")&amp;$FX19&amp;"d8")))</f>
        <v/>
      </c>
      <c r="GF19" s="155">
        <f>IF($EX19=2,3*$FY19&amp;" de vida temp.",IF($EX19=3,"sem dano",IF($FY19=0,IF($EX19=1,"sem cura","sem dano"),IF($EX19=1,"cura ","")&amp;$FY19&amp;"d8")))</f>
        <v/>
      </c>
      <c r="GG19" s="155">
        <f>IF($EX19=2,3*$FZ19&amp;" de vida temp.",IF($EX19=3,"sem dano",IF($FZ19=0,IF($EX19=1,"sem cura","sem dano"),IF($EX19=1,"cura ","")&amp;$FZ19&amp;"d8")))</f>
        <v/>
      </c>
      <c r="GH19" s="155">
        <f>IF($EX19=2,3*$GA19&amp;" de vida temp.",IF($EX19=3,"sem dano",IF($GA19=0,IF($EX19=1,"sem cura","sem dano"),IF($EX19=1,"cura ","")&amp;$GA19&amp;"d8")))</f>
        <v/>
      </c>
      <c r="GI19" s="155">
        <f>IF($EX19=2,3*$GB19&amp;" de vida temp.",IF($EX19=3,"sem dano",IF($GB19=0,IF($EX19=1,"sem cura","sem dano"),IF($EX19=1,"cura ","")&amp;$GB19&amp;"d8")))</f>
        <v/>
      </c>
      <c r="GJ19" s="155">
        <f>IF($EI19=0,"",TEXTJOIN(" · ",TRUE,IF(AND($DX19=1,$DY19&gt;$HK$9),"O nível "&amp;$HK$2&amp;" dá "&amp;$HK$9&amp;" Liberação Máxima",""),IF($DZ19&gt;$HK$4,"Classe "&amp;$DZ19&amp;": o nível "&amp;$HK$2&amp;" libera até a "&amp;$HK$4,""),IF($EP19=1,"Família Fechada: a Forma "&amp;$EB19,""),IF($EQ19=1,"Família Fechada: "&amp;$EC19,""),IF($ER19=1,"Família Fechada: "&amp;$ED19,""),IF($ES19=1,"Família Fechada: "&amp;$EE19,""),IF($ET19=1,"Família Fechada: "&amp;$EF19,""),IF($FL19&gt;INDEX($W$2:$W$8,$DZ19),$FL19&amp;" Melhorias: a Classe "&amp;$DZ19&amp;" aceita "&amp;INDEX($W$2:$W$8,$DZ19),""),IF($FM19&gt;2,$FM19&amp;" Restrições"&amp;IF($EW19=1,", contando a que a Forma "&amp;$EB19&amp;" já traz","")&amp;": o limite é 2",""),IF($FS19&lt;0,"Orçamento estourado: faltam "&amp;(-$FS19)&amp;IF($FS19&lt;-1," pontos"," ponto"),""),IF(IFERROR(VLOOKUP($EG19,$BM$2:$BQ$24,4,FALSE),0)+IFERROR(VLOOKUP($EH19,$BM$2:$BQ$24,4,FALSE),0)&gt;1,$FB19&amp;" e "&amp;$FC19&amp;" são as duas de frequência",""),IF(AND((COUNTIF($EC19:$EF19,"Rápido")+COUNTIF($FB19:$FC19,"Rápido"))&gt;0,(COUNTIF($EC19:$EF19,"Atrasar")+COUNTIF($FB19:$FC19,"Atrasar"))&gt;0),"Rápido não entra com Atrasar",""),IF(AND((COUNTIF($EC19:$EF19,"Reação")+COUNTIF($FB19:$FC19,"Reação"))&gt;0,(COUNTIF($EC19:$EF19,"Rápido")+COUNTIF($FB19:$FC19,"Rápido"))&gt;0),"Reação não entra com Rápido",""),IF(AND((COUNTIF($EC19:$EF19,"Reação")+COUNTIF($FB19:$FC19,"Reação"))&gt;0,(COUNTIF($EC19:$EF19,"Armado")+COUNTIF($FB19:$FC19,"Armado"))&gt;0),"Reação não entra com Armado",""),IF(AND((COUNTIF($EC19:$EF19,"Reação")+COUNTIF($FB19:$FC19,"Reação"))&gt;0,(COUNTIF($EC19:$EF19,"Atrasar")+COUNTIF($FB19:$FC19,"Atrasar"))&gt;0),"Reação não entra com Atrasar",""),IF(AND((COUNTIF($EC19:$EF19,"Reação")+COUNTIF($FB19:$FC19,"Reação"))&gt;0,(COUNTIF($EC19:$EF19,"Parado")+COUNTIF($FB19:$FC19,"Parado"))&gt;0),"Reação não entra com Parado",""),IF(AND((COUNTIF($EC19:$EF19,"Atrasar")+COUNTIF($FB19:$FC19,"Atrasar"))&gt;0,(COUNTIF($EC19:$EF19,"Parado")+COUNTIF($FB19:$FC19,"Parado"))&gt;0),"Atrasar não entra com Parado",""),IF(AND((COUNTIF($EC19:$EF19,"Armado")+COUNTIF($FB19:$FC19,"Armado"))&gt;0,(COUNTIF($EC19:$EF19,"Carregar")+COUNTIF($FB19:$FC19,"Carregar"))&gt;0),"Armado não entra com Carregar",""),IF(AND(COUNTIF($FB19:$FC19,"Corpo a Corpo")&gt;0,$EW19=0,OR($EB19="Cone",$EB19="Linha")),"Corpo a Corpo não entra em "&amp;$EB19,""),IF(AND(COUNTIF($FB19:$FC19,"Corpo a Corpo")&gt;0,$EW19=1),"A Forma "&amp;$EB19&amp;" já traz o Corpo a Corpo",""),IF(AND(COUNTIF($FB19:$FC19,"Tudo ou Nada")&gt;0,$EY19=0),"Tudo ou Nada só entra em feitiço de Teste de Resistência",""),IF(AND(COUNTIF($EC19:$EF19,"Inescapável")&gt;0,OR($FL19&gt;1,$FM19&gt;0)),"Inescapável não aceita outra peça",""),IF(AND($DX19=1,$DZ19&lt;3),"Liberação Máxima é de Classe 3 ou mais",""),IF(AND($DX19=1,OR($EX19=1,$EX19=2)),"Liberação Máxima não serve para cura",""),IF(AND($DX19=1,COUNTIF($EC19:$EF19,"Inescapável")+COUNTIF($EC19:$EF19,"Toca a Alma")&gt;0),"Esta peça não entra numa Liberação Máxima",""),IF($FT19*IF(COUNTIF($EC19:$EF19,"Remate")&gt;0,1.25,1)+$FU19&gt;4*$DZ19,($FT19*IF(COUNTIF($EC19:$EF19,"Remate")&gt;0,1.25,1)+$FU19)&amp;" dados somando repetições"&amp;IF(COUNTIF($EC19:$EF19,"Remate")&gt;0," e o Remate","")&amp;": o teto da Classe "&amp;$DZ19&amp;" é "&amp;4*$DZ19,"")))</f>
        <v/>
      </c>
      <c r="GK19" s="155">
        <f>IF($GJ19="",0,(LEN($GJ19)-LEN(SUBSTITUTE($GJ19," · ","")))/3+1)</f>
        <v/>
      </c>
      <c r="GL19" s="155">
        <f>IF($EI19=0,"",TEXTJOIN(" · ",TRUE,IF($FO19&gt;2*$DZ19,"A devolução parou no teto de "&amp;2*$DZ19,""),IF($FR19&gt;0,"Devolução perdida: "&amp;$FR19&amp;IF($FR19&gt;1," pontos"," ponto")&amp;" sem peça para pagar",""),IF(AND($EU19&gt;0,$FT19=0),"Controle sem dano: uma rodada a mais e CD +2",""),IF(AND($EU19&gt;0,$FT19&gt;0,$FT19&lt;=$DZ19),"Controle com saldo até a Classe: uma rodada a mais","")))</f>
        <v/>
      </c>
      <c r="GM19" s="155">
        <f>IF($GL19="",0,(LEN($GL19)-LEN(SUBSTITUTE($GL19," · ","")))/3+1)</f>
        <v/>
      </c>
      <c r="GN19" s="155">
        <f>IF($EI19=0,IF($FL19+$FM19-$EW19&gt;0,"Dê um nome",""),IF($GK19&gt;0,"⚠ "&amp;$GK19&amp;IF($GK19&gt;1," erros"," erro"),IF($GM19&gt;0,"! "&amp;$GM19&amp;IF($GM19&gt;1," avisos"," aviso"),"Na regra")))</f>
        <v/>
      </c>
      <c r="GO19" s="155">
        <f>IF($EI19=0,"",IF($GK19+$GM19=0,"Dentro das regras que a ficha confere",$GJ19&amp;IF(AND($GK19&gt;0,$GM19&gt;0)," · ","")&amp;$GL19))</f>
        <v/>
      </c>
      <c r="GP19" s="155">
        <f>IF($EI19=0,"",IF($DX19=1,CEILING(4.5*$DZ19,1),3*$DZ19)&amp;" PE")</f>
        <v/>
      </c>
      <c r="GQ19" s="155">
        <f>IF($EI19=0,"",IF($DX19=1,"Rodada inteira",IF(COUNTIF($FB19:$FC19,"Atrasar")&gt;0,IF(COUNTIF($FB19:$FC19,"Carregar")&gt;0,"Rodada +1 turno","Rodada inteira"),IF(COUNTIF($EC19:$EF19,"Rápido")&gt;0,"Bônus",IF(COUNTIF($EC19:$EF19,"Reação")&gt;0,"Reação","Padrão"))&amp;IF(COUNTIF($FB19:$FC19,"Carregar")&gt;0," +1 turno",""))))</f>
        <v/>
      </c>
      <c r="GR19" s="155">
        <f>IF(OR($EI19=0,$EJ19=0),"",IF(COUNTIF($EC19:$EF19,"Inescapável")&gt;0,"Automático",IF(COUNTIF($EC19:$EF19,"Certeiro")&gt;0,"TR para metade",IF(AND($EV19&gt;0,$EY19=0,INDEX($AF$2:$AF$11,$EJ19)="Acerto"),"Acerto + TR",INDEX($AF$2:$AF$11,$EJ19)))))</f>
        <v/>
      </c>
      <c r="GS19" s="155">
        <f>IF(OR($EI19=0,$EJ19=0),"",IF(OR($EX19&gt;=2,$FT19=0),UPPER(LEFT(INDEX($GC19:$GI19,1,$DZ19),1))&amp;MID(INDEX($GC19:$GI19,1,$DZ19),2,99),UPPER(LEFT(INDEX($GC19:$GI19,1,$DZ19),1))&amp;MID(INDEX($GC19:$GI19,1,$DZ19),2,99)&amp;" = "&amp;FLOOR($FT19*4.5,1)&amp;IF($FU19&gt;0," · +"&amp;$FU19&amp;"d8","")))</f>
        <v/>
      </c>
      <c r="GT19" s="155">
        <f>COUNTIF($EC19:$EF19,"Longe")+3*COUNTIF($EC19:$EF19,"Muito Longe")</f>
        <v/>
      </c>
      <c r="GU19" s="155">
        <f>COUNTIF($EC19:$EF19,"Maior")+3*COUNTIF($EC19:$EF19,"Muito Maior")</f>
        <v/>
      </c>
      <c r="GV19" s="155">
        <f>IF($EJ19=0,0,CHOOSE(1+INDEX($AH$2:$AH$11,$EJ19),0,$GT19,$GU19,$GT19+$GU19))</f>
        <v/>
      </c>
      <c r="GW19" s="155">
        <f>IF($EJ19=0,0,CHOOSE(1+INDEX($AI$2:$AI$11,$EJ19),0,$GT19,$GU19,$GT19+$GU19))</f>
        <v/>
      </c>
      <c r="GX19" s="155">
        <f>IF(OR($EI19=0,$EJ19=0),"",INDEX($AP$2:$AU$31,($EJ19-1)*3+IF($DZ19&gt;=6,3,2),1+MIN(5,$GV19))&amp;INDEX($AV$2:$BA$31,($EJ19-1)*3+IF($DZ19&gt;=6,3,2),1+MIN(5,$GW19))&amp;IF(INDEX($AJ$2:$AJ$11,$EJ19)=1,IF(COUNTIF($EC19:$EF19,"Mais Um")&gt;0," · +"&amp;COUNTIF($EC19:$EF19,"Mais Um")&amp;IF(COUNTIF($EC19:$EF19,"Mais Um")&gt;1," alvos"," alvo"),"")&amp;IF(COUNTIF($EC19:$EF19,"Rajada")&gt;0," · "&amp;($DZ19+1)&amp;" tiros",""),""))</f>
        <v/>
      </c>
      <c r="GY19" s="155">
        <f>IF($EI19=0,"",3*$DZ19&amp;" − "&amp;$FN19&amp;" + "&amp;$FQ19&amp;IF($DX19=1," + "&amp;$DZ19,"")&amp;" = "&amp;$FT19&amp;"d8 · teto "&amp;4*$DZ19&amp;IF($EW19=1," · a Forma devolve "&amp;$DZ19,"")&amp;IF($FR19&gt;0," · perde "&amp;$FR19,""))</f>
        <v/>
      </c>
      <c r="GZ19" s="155">
        <f>IF($EI19=0,"",IF($DZ19&gt;=$HK$4,"Já está na maior Classe que o nível liberou",TEXTJOIN(" · ",TRUE,IF(AND(2&gt;$DZ19,2&lt;=$HK$4),"2 → "&amp;$GD19&amp;", "&amp;IF($DX19=1,9,6)&amp;" PE",""),IF(AND(3&gt;$DZ19,3&lt;=$HK$4),"3 → "&amp;$GE19&amp;", "&amp;IF($DX19=1,14,9)&amp;" PE",""),IF(AND(4&gt;$DZ19,4&lt;=$HK$4),"4 → "&amp;$GF19&amp;", "&amp;IF($DX19=1,18,12)&amp;" PE",""),IF(AND(5&gt;$DZ19,5&lt;=$HK$4),"5 → "&amp;$GG19&amp;", "&amp;IF($DX19=1,23,15)&amp;" PE",""),IF(AND(6&gt;$DZ19,6&lt;=$HK$4),"6 → "&amp;$GH19&amp;", "&amp;IF($DX19=1,27,18)&amp;" PE",""),IF(AND(7&gt;$DZ19,7&lt;=$HK$4),"7 → "&amp;$GI19&amp;", "&amp;IF($DX19=1,32,21)&amp;" PE",""))))</f>
        <v/>
      </c>
      <c r="HA19" s="155">
        <f>IF(OR($EI19=0,$EL19=0),"","−"&amp;INDEX($Q$2:$V$8,$DZ19,$EL19)&amp;" · "&amp;CHOOSE($EL19,"Leve","Média","Pesada","Leve · Livre","Média · Livre","Pesada · Livre"))</f>
        <v/>
      </c>
      <c r="HB19" s="155">
        <f>IF(OR($EI19=0,$EM19=0),"","−"&amp;INDEX($Q$2:$V$8,$DZ19,$EM19)&amp;" · "&amp;CHOOSE($EM19,"Leve","Média","Pesada","Leve · Livre","Média · Livre","Pesada · Livre"))</f>
        <v/>
      </c>
      <c r="HC19" s="155">
        <f>IF(OR($EI19=0,$EN19=0),"","−"&amp;INDEX($Q$2:$V$8,$DZ19,$EN19)&amp;" · "&amp;CHOOSE($EN19,"Leve","Média","Pesada","Leve · Livre","Média · Livre","Pesada · Livre"))</f>
        <v/>
      </c>
      <c r="HD19" s="155">
        <f>IF(OR($EI19=0,$EO19=0),"","−"&amp;INDEX($Q$2:$V$8,$DZ19,$EO19)&amp;" · "&amp;CHOOSE($EO19,"Leve","Média","Pesada","Leve · Livre","Média · Livre","Pesada · Livre"))</f>
        <v/>
      </c>
      <c r="HE19" s="155">
        <f>IF(OR($EI19=0,$EG19=""),"","+"&amp;IF($EZ19=1,CEILING($DZ19/2,1),$DZ19))</f>
        <v/>
      </c>
      <c r="HF19" s="155">
        <f>IF(OR($EI19=0,$EH19=""),"","+"&amp;IF($FA19=1,CEILING($DZ19/2,1),$DZ19))</f>
        <v/>
      </c>
      <c r="HG19" s="155">
        <f>'FICHA AMALDIÇOADA'!$P$160&amp;""</f>
        <v/>
      </c>
      <c r="HH19" s="155">
        <f>IF(AND($EI19=1,$DX19=0),COUNTIFS($EI$2:$EI19,1,$DX$2:$DX19,0),"")</f>
        <v/>
      </c>
      <c r="HJ19" s="153" t="inlineStr">
        <is>
          <t>espaços no domínio</t>
        </is>
      </c>
      <c r="HK19" s="155">
        <f>IF($A$2&lt;&gt;1,0,IFERROR(VLOOKUP($HK$35,$DL$2:$DP$4,2,FALSE),0))</f>
        <v/>
      </c>
      <c r="JF19" s="155" t="n">
        <v>18</v>
      </c>
      <c r="JG19" s="155">
        <f>IFERROR(MATCH(18,$HH$2:$HH$37,0),0)</f>
        <v/>
      </c>
      <c r="JH19" s="155">
        <f>IF($JG19=0,"",INDEX($DZ$2:$DZ$37,$JG19))</f>
        <v/>
      </c>
      <c r="JI19" s="155">
        <f>IF($JG19=0,"",INDEX($EA$2:$EA$37,$JG19))</f>
        <v/>
      </c>
      <c r="JJ19" s="155">
        <f>IF($JG19=0,"",INDEX($GP$2:$GP$37,$JG19))</f>
        <v/>
      </c>
      <c r="JK19" s="155">
        <f>IF($JG19=0,"",INDEX($EB$2:$EB$37,$JG19))</f>
        <v/>
      </c>
      <c r="JL19" s="155">
        <f>IF($JG19=0,"",INDEX($GR$2:$GR$37,$JG19))</f>
        <v/>
      </c>
      <c r="JM19" s="155">
        <f>IF($JG19=0,"",INDEX($HG$2:$HG$37,$JG19))</f>
        <v/>
      </c>
      <c r="KS19" s="153" t="inlineStr">
        <is>
          <t>J42</t>
        </is>
      </c>
      <c r="KT19" s="155">
        <f>"+"&amp;DADOS_AM!$HK$8</f>
        <v/>
      </c>
    </row>
    <row r="20">
      <c r="AO20" s="153" t="inlineStr">
        <is>
          <t>Cura · classe 0</t>
        </is>
      </c>
      <c r="AP20" s="153" t="inlineStr">
        <is>
          <t>—</t>
        </is>
      </c>
      <c r="AQ20" s="153" t="inlineStr">
        <is>
          <t>—</t>
        </is>
      </c>
      <c r="AR20" s="153" t="inlineStr">
        <is>
          <t>—</t>
        </is>
      </c>
      <c r="AS20" s="153" t="inlineStr">
        <is>
          <t>—</t>
        </is>
      </c>
      <c r="AT20" s="153" t="inlineStr">
        <is>
          <t>—</t>
        </is>
      </c>
      <c r="AU20" s="153" t="inlineStr">
        <is>
          <t>—</t>
        </is>
      </c>
      <c r="AV20" s="153" t="inlineStr"/>
      <c r="AW20" s="153" t="inlineStr"/>
      <c r="AX20" s="153" t="inlineStr"/>
      <c r="AY20" s="153" t="inlineStr"/>
      <c r="AZ20" s="153" t="inlineStr"/>
      <c r="BA20" s="153" t="inlineStr"/>
      <c r="BC20" s="153" t="inlineStr">
        <is>
          <t>De Novo</t>
        </is>
      </c>
      <c r="BD20" s="153" t="inlineStr">
        <is>
          <t>Mira</t>
        </is>
      </c>
      <c r="BE20" s="155" t="n">
        <v>2</v>
      </c>
      <c r="BF20" s="155">
        <f>$BE20+3*IFERROR(VLOOKUP($BD20,$I$2:$L$10,3,FALSE),0)</f>
        <v/>
      </c>
      <c r="BG20" s="155">
        <f>IFERROR(VLOOKUP($BD20,$I$2:$L$10,4,FALSE),0)</f>
        <v/>
      </c>
      <c r="BH20" s="155" t="n">
        <v>0</v>
      </c>
      <c r="BI20" s="155">
        <f>IF($BG20=1,"",$BC20)</f>
        <v/>
      </c>
      <c r="BJ20" s="155">
        <f>IF(AND($BE20=1,$BG20=0),$BC20,"")</f>
        <v/>
      </c>
      <c r="BK20" s="155" t="n">
        <v>0</v>
      </c>
      <c r="BM20" s="153" t="inlineStr">
        <is>
          <t>Tudo ou Nada</t>
        </is>
      </c>
      <c r="BN20" s="153" t="inlineStr">
        <is>
          <t>Tudo ou Nada</t>
        </is>
      </c>
      <c r="BO20" s="155" t="n">
        <v>1</v>
      </c>
      <c r="BP20" s="155" t="n">
        <v>0</v>
      </c>
      <c r="BQ20" s="153" t="inlineStr">
        <is>
          <t>Tudo ou Nada</t>
        </is>
      </c>
      <c r="BS20" s="153" t="inlineStr">
        <is>
          <t>Talento Próprio (CE 3)</t>
        </is>
      </c>
      <c r="BT20" s="155" t="n">
        <v>3</v>
      </c>
      <c r="BU20" s="15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55" t="n">
        <v>1</v>
      </c>
      <c r="BW20" s="155" t="n">
        <v>1</v>
      </c>
      <c r="BX20" s="155">
        <f>IF(OR(AND($A$2&lt;=2,$BV20=1),AND($A$2&gt;=2,$BW20=1)),$BS20,"")</f>
        <v/>
      </c>
      <c r="BY20" s="153" t="inlineStr">
        <is>
          <t>Categoria de Efeito 1, 2 ou 3. Custos e níveis da Categoria escolhida. Se o catálogo não representar a ideia, escreva o efeito com o mestre antes da sessão. Ele ocupa os espaços correspondentes e conta no máximo de cinco Talentos pagos.</t>
        </is>
      </c>
      <c r="CD20" s="153" t="inlineStr">
        <is>
          <t>Estímulo Muscular</t>
        </is>
      </c>
      <c r="CE20" s="153" t="inlineStr">
        <is>
          <t>Gratuita na Lapidação 1</t>
        </is>
      </c>
      <c r="CF20" s="153" t="inlineStr">
        <is>
          <t>—</t>
        </is>
      </c>
      <c r="CG20" s="153" t="inlineStr">
        <is>
          <t>Dano adicional</t>
        </is>
      </c>
      <c r="CH20" s="153"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55">
        <f>IF($CL20=1,"",IF($A$2=4,IF($CJ20=1,$CD20,""),IF(OR($CJ20=1,AND($A$2=3,$CK20=1)),"",$CD20)))</f>
        <v/>
      </c>
      <c r="CJ20" s="155" t="n">
        <v>1</v>
      </c>
      <c r="CK20" s="155" t="n">
        <v>0</v>
      </c>
      <c r="CL20" s="155" t="n">
        <v>1</v>
      </c>
      <c r="CM20" s="153" t="inlineStr">
        <is>
          <t>Escolha uma perícia e um Teste de Resistência na criação.</t>
        </is>
      </c>
      <c r="DW20" s="153" t="inlineStr">
        <is>
          <t>Feitiço 19</t>
        </is>
      </c>
      <c r="DX20" s="155" t="n">
        <v>0</v>
      </c>
      <c r="DY20" s="155" t="n">
        <v>19</v>
      </c>
      <c r="DZ20" s="155">
        <f>MAX(1,MIN(7,N('FICHA AMALDIÇOADA'!$D$179)))</f>
        <v/>
      </c>
      <c r="EA20" s="155">
        <f>'FICHA AMALDIÇOADA'!$E$179&amp;""</f>
        <v/>
      </c>
      <c r="EB20" s="155">
        <f>'FICHA AMALDIÇOADA'!$D$186&amp;""</f>
        <v/>
      </c>
      <c r="EC20" s="155">
        <f>'FICHA AMALDIÇOADA'!$E$188&amp;""</f>
        <v/>
      </c>
      <c r="ED20" s="155">
        <f>'FICHA AMALDIÇOADA'!$E$189&amp;""</f>
        <v/>
      </c>
      <c r="EE20" s="155">
        <f>'FICHA AMALDIÇOADA'!$E$190&amp;""</f>
        <v/>
      </c>
      <c r="EF20" s="155">
        <f>'FICHA AMALDIÇOADA'!$E$191&amp;""</f>
        <v/>
      </c>
      <c r="EG20" s="155">
        <f>'FICHA AMALDIÇOADA'!$E$192&amp;""</f>
        <v/>
      </c>
      <c r="EH20" s="155">
        <f>'FICHA AMALDIÇOADA'!$E$193&amp;""</f>
        <v/>
      </c>
      <c r="EI20" s="155">
        <f>IF($EA20&lt;&gt;"",1,0)</f>
        <v/>
      </c>
      <c r="EJ20" s="155">
        <f>IFERROR(MATCH($EB20,$Y$2:$Y$11,0),0)</f>
        <v/>
      </c>
      <c r="EK20" s="155">
        <f>IF($EJ20=0,0,INDEX($AB$2:$AB$11,$EJ20))</f>
        <v/>
      </c>
      <c r="EL20" s="155">
        <f>IFERROR(VLOOKUP($EC20,$BC$2:$BK$84,4,FALSE),0)</f>
        <v/>
      </c>
      <c r="EM20" s="155">
        <f>IFERROR(VLOOKUP($ED20,$BC$2:$BK$84,4,FALSE),0)</f>
        <v/>
      </c>
      <c r="EN20" s="155">
        <f>IFERROR(VLOOKUP($EE20,$BC$2:$BK$84,4,FALSE),0)</f>
        <v/>
      </c>
      <c r="EO20" s="155">
        <f>IFERROR(VLOOKUP($EF20,$BC$2:$BK$84,4,FALSE),0)</f>
        <v/>
      </c>
      <c r="EP20" s="155">
        <f>IF($EJ20=0,0,INDEX($AC$2:$AC$11,$EJ20))</f>
        <v/>
      </c>
      <c r="EQ20" s="155">
        <f>IFERROR(VLOOKUP($EC20,$BC$2:$BK$84,5,FALSE),0)</f>
        <v/>
      </c>
      <c r="ER20" s="155">
        <f>IFERROR(VLOOKUP($ED20,$BC$2:$BK$84,5,FALSE),0)</f>
        <v/>
      </c>
      <c r="ES20" s="155">
        <f>IFERROR(VLOOKUP($EE20,$BC$2:$BK$84,5,FALSE),0)</f>
        <v/>
      </c>
      <c r="ET20" s="155">
        <f>IFERROR(VLOOKUP($EF20,$BC$2:$BK$84,5,FALSE),0)</f>
        <v/>
      </c>
      <c r="EU20" s="155">
        <f>IFERROR(VLOOKUP($EC20,$BC$2:$BK$84,6,FALSE),0)+IFERROR(VLOOKUP($ED20,$BC$2:$BK$84,6,FALSE),0)+IFERROR(VLOOKUP($EE20,$BC$2:$BK$84,6,FALSE),0)+IFERROR(VLOOKUP($EF20,$BC$2:$BK$84,6,FALSE),0)</f>
        <v/>
      </c>
      <c r="EV20" s="155">
        <f>IFERROR(VLOOKUP($EC20,$BC$2:$BK$84,9,FALSE),0)+IFERROR(VLOOKUP($ED20,$BC$2:$BK$84,9,FALSE),0)+IFERROR(VLOOKUP($EE20,$BC$2:$BK$84,9,FALSE),0)+IFERROR(VLOOKUP($EF20,$BC$2:$BK$84,9,FALSE),0)</f>
        <v/>
      </c>
      <c r="EW20" s="155">
        <f>IF($EJ20=0,0,INDEX($AD$2:$AD$11,$EJ20))</f>
        <v/>
      </c>
      <c r="EX20" s="155">
        <f>IF($EJ20=0,0,INDEX($AE$2:$AE$11,$EJ20))</f>
        <v/>
      </c>
      <c r="EY20" s="155">
        <f>IF($EJ20=0,0,INDEX($AG$2:$AG$11,$EJ20))</f>
        <v/>
      </c>
      <c r="EZ20" s="155">
        <f>IFERROR(VLOOKUP($EG20,$BM$2:$BQ$24,3,FALSE),0)</f>
        <v/>
      </c>
      <c r="FA20" s="155">
        <f>IFERROR(VLOOKUP($EH20,$BM$2:$BQ$24,3,FALSE),0)</f>
        <v/>
      </c>
      <c r="FB20" s="155">
        <f>IFERROR(VLOOKUP($EG20,$BM$2:$BQ$24,2,FALSE),"")</f>
        <v/>
      </c>
      <c r="FC20" s="155">
        <f>IFERROR(VLOOKUP($EH20,$BM$2:$BQ$24,2,FALSE),"")</f>
        <v/>
      </c>
      <c r="FD20" s="155">
        <f>COUNTIF($EK20:$EO20,1)</f>
        <v/>
      </c>
      <c r="FE20" s="155">
        <f>COUNTIF($EK20:$EO20,2)</f>
        <v/>
      </c>
      <c r="FF20" s="155">
        <f>COUNTIF($EK20:$EO20,3)</f>
        <v/>
      </c>
      <c r="FG20" s="155">
        <f>COUNTIF($EK20:$EO20,4)</f>
        <v/>
      </c>
      <c r="FH20" s="155">
        <f>COUNTIF($EK20:$EO20,5)</f>
        <v/>
      </c>
      <c r="FI20" s="155">
        <f>COUNTIF($EK20:$EO20,6)</f>
        <v/>
      </c>
      <c r="FJ20" s="155">
        <f>COUNTIF($EZ20:$FA20,1)</f>
        <v/>
      </c>
      <c r="FK20" s="155">
        <f>COUNTIF($EZ20:$FA20,2)+$EW20</f>
        <v/>
      </c>
      <c r="FL20" s="155">
        <f>COUNTIF($EC20:$EF20,"?*")</f>
        <v/>
      </c>
      <c r="FM20" s="155">
        <f>COUNTIF($EG20:$EH20,"?*")+$EW20</f>
        <v/>
      </c>
      <c r="FN20" s="155">
        <f>SUMPRODUCT($FD20:$FI20,INDEX($Q$2:$V$8,$DZ20,0))</f>
        <v/>
      </c>
      <c r="FO20" s="155">
        <f>$FJ20*CEILING($DZ20/2,1)+$FK20*$DZ20</f>
        <v/>
      </c>
      <c r="FP20" s="155">
        <f>MIN(2*$DZ20,$FO20)</f>
        <v/>
      </c>
      <c r="FQ20" s="155">
        <f>MIN($FP20,$FN20)</f>
        <v/>
      </c>
      <c r="FR20" s="155">
        <f>$FP20-$FQ20</f>
        <v/>
      </c>
      <c r="FS20" s="155">
        <f>3*$DZ20-$FN20+$FQ20</f>
        <v/>
      </c>
      <c r="FT20" s="155">
        <f>MAX(0,$FS20)+$DX20*$DZ20</f>
        <v/>
      </c>
      <c r="FU20" s="155">
        <f>(IF(COUNTIF($EC20:$EF20,"Salto")&gt;0,1,0)+IF(COUNTIF($EC20:$EF20,"Queima")&gt;0,1,0)+IF(COUNTIF($EC20:$EF20,"Estilhaço")&gt;0,1,0))*FLOOR($FT20/2,1)</f>
        <v/>
      </c>
      <c r="FV20" s="155">
        <f>MAX(0,3-SUMPRODUCT($FD20:$FI20,$Q$2:$V$2)+MIN(2,$FJ20*1+$FK20*1,SUMPRODUCT($FD20:$FI20,$Q$2:$V$2)))+$DX20*1</f>
        <v/>
      </c>
      <c r="FW20" s="155">
        <f>MAX(0,6-SUMPRODUCT($FD20:$FI20,$Q$3:$V$3)+MIN(4,$FJ20*1+$FK20*2,SUMPRODUCT($FD20:$FI20,$Q$3:$V$3)))+$DX20*2</f>
        <v/>
      </c>
      <c r="FX20" s="155">
        <f>MAX(0,9-SUMPRODUCT($FD20:$FI20,$Q$4:$V$4)+MIN(6,$FJ20*2+$FK20*3,SUMPRODUCT($FD20:$FI20,$Q$4:$V$4)))+$DX20*3</f>
        <v/>
      </c>
      <c r="FY20" s="155">
        <f>MAX(0,12-SUMPRODUCT($FD20:$FI20,$Q$5:$V$5)+MIN(8,$FJ20*2+$FK20*4,SUMPRODUCT($FD20:$FI20,$Q$5:$V$5)))+$DX20*4</f>
        <v/>
      </c>
      <c r="FZ20" s="155">
        <f>MAX(0,15-SUMPRODUCT($FD20:$FI20,$Q$6:$V$6)+MIN(10,$FJ20*3+$FK20*5,SUMPRODUCT($FD20:$FI20,$Q$6:$V$6)))+$DX20*5</f>
        <v/>
      </c>
      <c r="GA20" s="155">
        <f>MAX(0,18-SUMPRODUCT($FD20:$FI20,$Q$7:$V$7)+MIN(12,$FJ20*3+$FK20*6,SUMPRODUCT($FD20:$FI20,$Q$7:$V$7)))+$DX20*6</f>
        <v/>
      </c>
      <c r="GB20" s="155">
        <f>MAX(0,21-SUMPRODUCT($FD20:$FI20,$Q$8:$V$8)+MIN(14,$FJ20*4+$FK20*7,SUMPRODUCT($FD20:$FI20,$Q$8:$V$8)))+$DX20*7</f>
        <v/>
      </c>
      <c r="GC20" s="155">
        <f>IF($EX20=2,3*$FV20&amp;" de vida temp.",IF($EX20=3,"sem dano",IF($FV20=0,IF($EX20=1,"sem cura","sem dano"),IF($EX20=1,"cura ","")&amp;$FV20&amp;"d8")))</f>
        <v/>
      </c>
      <c r="GD20" s="155">
        <f>IF($EX20=2,3*$FW20&amp;" de vida temp.",IF($EX20=3,"sem dano",IF($FW20=0,IF($EX20=1,"sem cura","sem dano"),IF($EX20=1,"cura ","")&amp;$FW20&amp;"d8")))</f>
        <v/>
      </c>
      <c r="GE20" s="155">
        <f>IF($EX20=2,3*$FX20&amp;" de vida temp.",IF($EX20=3,"sem dano",IF($FX20=0,IF($EX20=1,"sem cura","sem dano"),IF($EX20=1,"cura ","")&amp;$FX20&amp;"d8")))</f>
        <v/>
      </c>
      <c r="GF20" s="155">
        <f>IF($EX20=2,3*$FY20&amp;" de vida temp.",IF($EX20=3,"sem dano",IF($FY20=0,IF($EX20=1,"sem cura","sem dano"),IF($EX20=1,"cura ","")&amp;$FY20&amp;"d8")))</f>
        <v/>
      </c>
      <c r="GG20" s="155">
        <f>IF($EX20=2,3*$FZ20&amp;" de vida temp.",IF($EX20=3,"sem dano",IF($FZ20=0,IF($EX20=1,"sem cura","sem dano"),IF($EX20=1,"cura ","")&amp;$FZ20&amp;"d8")))</f>
        <v/>
      </c>
      <c r="GH20" s="155">
        <f>IF($EX20=2,3*$GA20&amp;" de vida temp.",IF($EX20=3,"sem dano",IF($GA20=0,IF($EX20=1,"sem cura","sem dano"),IF($EX20=1,"cura ","")&amp;$GA20&amp;"d8")))</f>
        <v/>
      </c>
      <c r="GI20" s="155">
        <f>IF($EX20=2,3*$GB20&amp;" de vida temp.",IF($EX20=3,"sem dano",IF($GB20=0,IF($EX20=1,"sem cura","sem dano"),IF($EX20=1,"cura ","")&amp;$GB20&amp;"d8")))</f>
        <v/>
      </c>
      <c r="GJ20" s="155">
        <f>IF($EI20=0,"",TEXTJOIN(" · ",TRUE,IF(AND($DX20=1,$DY20&gt;$HK$9),"O nível "&amp;$HK$2&amp;" dá "&amp;$HK$9&amp;" Liberação Máxima",""),IF($DZ20&gt;$HK$4,"Classe "&amp;$DZ20&amp;": o nível "&amp;$HK$2&amp;" libera até a "&amp;$HK$4,""),IF($EP20=1,"Família Fechada: a Forma "&amp;$EB20,""),IF($EQ20=1,"Família Fechada: "&amp;$EC20,""),IF($ER20=1,"Família Fechada: "&amp;$ED20,""),IF($ES20=1,"Família Fechada: "&amp;$EE20,""),IF($ET20=1,"Família Fechada: "&amp;$EF20,""),IF($FL20&gt;INDEX($W$2:$W$8,$DZ20),$FL20&amp;" Melhorias: a Classe "&amp;$DZ20&amp;" aceita "&amp;INDEX($W$2:$W$8,$DZ20),""),IF($FM20&gt;2,$FM20&amp;" Restrições"&amp;IF($EW20=1,", contando a que a Forma "&amp;$EB20&amp;" já traz","")&amp;": o limite é 2",""),IF($FS20&lt;0,"Orçamento estourado: faltam "&amp;(-$FS20)&amp;IF($FS20&lt;-1," pontos"," ponto"),""),IF(IFERROR(VLOOKUP($EG20,$BM$2:$BQ$24,4,FALSE),0)+IFERROR(VLOOKUP($EH20,$BM$2:$BQ$24,4,FALSE),0)&gt;1,$FB20&amp;" e "&amp;$FC20&amp;" são as duas de frequência",""),IF(AND((COUNTIF($EC20:$EF20,"Rápido")+COUNTIF($FB20:$FC20,"Rápido"))&gt;0,(COUNTIF($EC20:$EF20,"Atrasar")+COUNTIF($FB20:$FC20,"Atrasar"))&gt;0),"Rápido não entra com Atrasar",""),IF(AND((COUNTIF($EC20:$EF20,"Reação")+COUNTIF($FB20:$FC20,"Reação"))&gt;0,(COUNTIF($EC20:$EF20,"Rápido")+COUNTIF($FB20:$FC20,"Rápido"))&gt;0),"Reação não entra com Rápido",""),IF(AND((COUNTIF($EC20:$EF20,"Reação")+COUNTIF($FB20:$FC20,"Reação"))&gt;0,(COUNTIF($EC20:$EF20,"Armado")+COUNTIF($FB20:$FC20,"Armado"))&gt;0),"Reação não entra com Armado",""),IF(AND((COUNTIF($EC20:$EF20,"Reação")+COUNTIF($FB20:$FC20,"Reação"))&gt;0,(COUNTIF($EC20:$EF20,"Atrasar")+COUNTIF($FB20:$FC20,"Atrasar"))&gt;0),"Reação não entra com Atrasar",""),IF(AND((COUNTIF($EC20:$EF20,"Reação")+COUNTIF($FB20:$FC20,"Reação"))&gt;0,(COUNTIF($EC20:$EF20,"Parado")+COUNTIF($FB20:$FC20,"Parado"))&gt;0),"Reação não entra com Parado",""),IF(AND((COUNTIF($EC20:$EF20,"Atrasar")+COUNTIF($FB20:$FC20,"Atrasar"))&gt;0,(COUNTIF($EC20:$EF20,"Parado")+COUNTIF($FB20:$FC20,"Parado"))&gt;0),"Atrasar não entra com Parado",""),IF(AND((COUNTIF($EC20:$EF20,"Armado")+COUNTIF($FB20:$FC20,"Armado"))&gt;0,(COUNTIF($EC20:$EF20,"Carregar")+COUNTIF($FB20:$FC20,"Carregar"))&gt;0),"Armado não entra com Carregar",""),IF(AND(COUNTIF($FB20:$FC20,"Corpo a Corpo")&gt;0,$EW20=0,OR($EB20="Cone",$EB20="Linha")),"Corpo a Corpo não entra em "&amp;$EB20,""),IF(AND(COUNTIF($FB20:$FC20,"Corpo a Corpo")&gt;0,$EW20=1),"A Forma "&amp;$EB20&amp;" já traz o Corpo a Corpo",""),IF(AND(COUNTIF($FB20:$FC20,"Tudo ou Nada")&gt;0,$EY20=0),"Tudo ou Nada só entra em feitiço de Teste de Resistência",""),IF(AND(COUNTIF($EC20:$EF20,"Inescapável")&gt;0,OR($FL20&gt;1,$FM20&gt;0)),"Inescapável não aceita outra peça",""),IF(AND($DX20=1,$DZ20&lt;3),"Liberação Máxima é de Classe 3 ou mais",""),IF(AND($DX20=1,OR($EX20=1,$EX20=2)),"Liberação Máxima não serve para cura",""),IF(AND($DX20=1,COUNTIF($EC20:$EF20,"Inescapável")+COUNTIF($EC20:$EF20,"Toca a Alma")&gt;0),"Esta peça não entra numa Liberação Máxima",""),IF($FT20*IF(COUNTIF($EC20:$EF20,"Remate")&gt;0,1.25,1)+$FU20&gt;4*$DZ20,($FT20*IF(COUNTIF($EC20:$EF20,"Remate")&gt;0,1.25,1)+$FU20)&amp;" dados somando repetições"&amp;IF(COUNTIF($EC20:$EF20,"Remate")&gt;0," e o Remate","")&amp;": o teto da Classe "&amp;$DZ20&amp;" é "&amp;4*$DZ20,"")))</f>
        <v/>
      </c>
      <c r="GK20" s="155">
        <f>IF($GJ20="",0,(LEN($GJ20)-LEN(SUBSTITUTE($GJ20," · ","")))/3+1)</f>
        <v/>
      </c>
      <c r="GL20" s="155">
        <f>IF($EI20=0,"",TEXTJOIN(" · ",TRUE,IF($FO20&gt;2*$DZ20,"A devolução parou no teto de "&amp;2*$DZ20,""),IF($FR20&gt;0,"Devolução perdida: "&amp;$FR20&amp;IF($FR20&gt;1," pontos"," ponto")&amp;" sem peça para pagar",""),IF(AND($EU20&gt;0,$FT20=0),"Controle sem dano: uma rodada a mais e CD +2",""),IF(AND($EU20&gt;0,$FT20&gt;0,$FT20&lt;=$DZ20),"Controle com saldo até a Classe: uma rodada a mais","")))</f>
        <v/>
      </c>
      <c r="GM20" s="155">
        <f>IF($GL20="",0,(LEN($GL20)-LEN(SUBSTITUTE($GL20," · ","")))/3+1)</f>
        <v/>
      </c>
      <c r="GN20" s="155">
        <f>IF($EI20=0,IF($FL20+$FM20-$EW20&gt;0,"Dê um nome",""),IF($GK20&gt;0,"⚠ "&amp;$GK20&amp;IF($GK20&gt;1," erros"," erro"),IF($GM20&gt;0,"! "&amp;$GM20&amp;IF($GM20&gt;1," avisos"," aviso"),"Na regra")))</f>
        <v/>
      </c>
      <c r="GO20" s="155">
        <f>IF($EI20=0,"",IF($GK20+$GM20=0,"Dentro das regras que a ficha confere",$GJ20&amp;IF(AND($GK20&gt;0,$GM20&gt;0)," · ","")&amp;$GL20))</f>
        <v/>
      </c>
      <c r="GP20" s="155">
        <f>IF($EI20=0,"",IF($DX20=1,CEILING(4.5*$DZ20,1),3*$DZ20)&amp;" PE")</f>
        <v/>
      </c>
      <c r="GQ20" s="155">
        <f>IF($EI20=0,"",IF($DX20=1,"Rodada inteira",IF(COUNTIF($FB20:$FC20,"Atrasar")&gt;0,IF(COUNTIF($FB20:$FC20,"Carregar")&gt;0,"Rodada +1 turno","Rodada inteira"),IF(COUNTIF($EC20:$EF20,"Rápido")&gt;0,"Bônus",IF(COUNTIF($EC20:$EF20,"Reação")&gt;0,"Reação","Padrão"))&amp;IF(COUNTIF($FB20:$FC20,"Carregar")&gt;0," +1 turno",""))))</f>
        <v/>
      </c>
      <c r="GR20" s="155">
        <f>IF(OR($EI20=0,$EJ20=0),"",IF(COUNTIF($EC20:$EF20,"Inescapável")&gt;0,"Automático",IF(COUNTIF($EC20:$EF20,"Certeiro")&gt;0,"TR para metade",IF(AND($EV20&gt;0,$EY20=0,INDEX($AF$2:$AF$11,$EJ20)="Acerto"),"Acerto + TR",INDEX($AF$2:$AF$11,$EJ20)))))</f>
        <v/>
      </c>
      <c r="GS20" s="155">
        <f>IF(OR($EI20=0,$EJ20=0),"",IF(OR($EX20&gt;=2,$FT20=0),UPPER(LEFT(INDEX($GC20:$GI20,1,$DZ20),1))&amp;MID(INDEX($GC20:$GI20,1,$DZ20),2,99),UPPER(LEFT(INDEX($GC20:$GI20,1,$DZ20),1))&amp;MID(INDEX($GC20:$GI20,1,$DZ20),2,99)&amp;" = "&amp;FLOOR($FT20*4.5,1)&amp;IF($FU20&gt;0," · +"&amp;$FU20&amp;"d8","")))</f>
        <v/>
      </c>
      <c r="GT20" s="155">
        <f>COUNTIF($EC20:$EF20,"Longe")+3*COUNTIF($EC20:$EF20,"Muito Longe")</f>
        <v/>
      </c>
      <c r="GU20" s="155">
        <f>COUNTIF($EC20:$EF20,"Maior")+3*COUNTIF($EC20:$EF20,"Muito Maior")</f>
        <v/>
      </c>
      <c r="GV20" s="155">
        <f>IF($EJ20=0,0,CHOOSE(1+INDEX($AH$2:$AH$11,$EJ20),0,$GT20,$GU20,$GT20+$GU20))</f>
        <v/>
      </c>
      <c r="GW20" s="155">
        <f>IF($EJ20=0,0,CHOOSE(1+INDEX($AI$2:$AI$11,$EJ20),0,$GT20,$GU20,$GT20+$GU20))</f>
        <v/>
      </c>
      <c r="GX20" s="155">
        <f>IF(OR($EI20=0,$EJ20=0),"",INDEX($AP$2:$AU$31,($EJ20-1)*3+IF($DZ20&gt;=6,3,2),1+MIN(5,$GV20))&amp;INDEX($AV$2:$BA$31,($EJ20-1)*3+IF($DZ20&gt;=6,3,2),1+MIN(5,$GW20))&amp;IF(INDEX($AJ$2:$AJ$11,$EJ20)=1,IF(COUNTIF($EC20:$EF20,"Mais Um")&gt;0," · +"&amp;COUNTIF($EC20:$EF20,"Mais Um")&amp;IF(COUNTIF($EC20:$EF20,"Mais Um")&gt;1," alvos"," alvo"),"")&amp;IF(COUNTIF($EC20:$EF20,"Rajada")&gt;0," · "&amp;($DZ20+1)&amp;" tiros",""),""))</f>
        <v/>
      </c>
      <c r="GY20" s="155">
        <f>IF($EI20=0,"",3*$DZ20&amp;" − "&amp;$FN20&amp;" + "&amp;$FQ20&amp;IF($DX20=1," + "&amp;$DZ20,"")&amp;" = "&amp;$FT20&amp;"d8 · teto "&amp;4*$DZ20&amp;IF($EW20=1," · a Forma devolve "&amp;$DZ20,"")&amp;IF($FR20&gt;0," · perde "&amp;$FR20,""))</f>
        <v/>
      </c>
      <c r="GZ20" s="155">
        <f>IF($EI20=0,"",IF($DZ20&gt;=$HK$4,"Já está na maior Classe que o nível liberou",TEXTJOIN(" · ",TRUE,IF(AND(2&gt;$DZ20,2&lt;=$HK$4),"2 → "&amp;$GD20&amp;", "&amp;IF($DX20=1,9,6)&amp;" PE",""),IF(AND(3&gt;$DZ20,3&lt;=$HK$4),"3 → "&amp;$GE20&amp;", "&amp;IF($DX20=1,14,9)&amp;" PE",""),IF(AND(4&gt;$DZ20,4&lt;=$HK$4),"4 → "&amp;$GF20&amp;", "&amp;IF($DX20=1,18,12)&amp;" PE",""),IF(AND(5&gt;$DZ20,5&lt;=$HK$4),"5 → "&amp;$GG20&amp;", "&amp;IF($DX20=1,23,15)&amp;" PE",""),IF(AND(6&gt;$DZ20,6&lt;=$HK$4),"6 → "&amp;$GH20&amp;", "&amp;IF($DX20=1,27,18)&amp;" PE",""),IF(AND(7&gt;$DZ20,7&lt;=$HK$4),"7 → "&amp;$GI20&amp;", "&amp;IF($DX20=1,32,21)&amp;" PE",""))))</f>
        <v/>
      </c>
      <c r="HA20" s="155">
        <f>IF(OR($EI20=0,$EL20=0),"","−"&amp;INDEX($Q$2:$V$8,$DZ20,$EL20)&amp;" · "&amp;CHOOSE($EL20,"Leve","Média","Pesada","Leve · Livre","Média · Livre","Pesada · Livre"))</f>
        <v/>
      </c>
      <c r="HB20" s="155">
        <f>IF(OR($EI20=0,$EM20=0),"","−"&amp;INDEX($Q$2:$V$8,$DZ20,$EM20)&amp;" · "&amp;CHOOSE($EM20,"Leve","Média","Pesada","Leve · Livre","Média · Livre","Pesada · Livre"))</f>
        <v/>
      </c>
      <c r="HC20" s="155">
        <f>IF(OR($EI20=0,$EN20=0),"","−"&amp;INDEX($Q$2:$V$8,$DZ20,$EN20)&amp;" · "&amp;CHOOSE($EN20,"Leve","Média","Pesada","Leve · Livre","Média · Livre","Pesada · Livre"))</f>
        <v/>
      </c>
      <c r="HD20" s="155">
        <f>IF(OR($EI20=0,$EO20=0),"","−"&amp;INDEX($Q$2:$V$8,$DZ20,$EO20)&amp;" · "&amp;CHOOSE($EO20,"Leve","Média","Pesada","Leve · Livre","Média · Livre","Pesada · Livre"))</f>
        <v/>
      </c>
      <c r="HE20" s="155">
        <f>IF(OR($EI20=0,$EG20=""),"","+"&amp;IF($EZ20=1,CEILING($DZ20/2,1),$DZ20))</f>
        <v/>
      </c>
      <c r="HF20" s="155">
        <f>IF(OR($EI20=0,$EH20=""),"","+"&amp;IF($FA20=1,CEILING($DZ20/2,1),$DZ20))</f>
        <v/>
      </c>
      <c r="HG20" s="155">
        <f>'FICHA AMALDIÇOADA'!$D$181&amp;""</f>
        <v/>
      </c>
      <c r="HH20" s="155">
        <f>IF(AND($EI20=1,$DX20=0),COUNTIFS($EI$2:$EI20,1,$DX$2:$DX20,0),"")</f>
        <v/>
      </c>
      <c r="HJ20" s="153" t="inlineStr">
        <is>
          <t>espaços em invocações</t>
        </is>
      </c>
      <c r="HK20" s="155">
        <f>IFERROR(INDEX(DADOS_INVOC!$2:$2,MATCH("espaços por invocação",DADOS_INVOC!$1:$1,0)),0)</f>
        <v/>
      </c>
      <c r="JF20" s="155" t="n">
        <v>19</v>
      </c>
      <c r="JG20" s="155">
        <f>IFERROR(MATCH(19,$HH$2:$HH$37,0),0)</f>
        <v/>
      </c>
      <c r="JH20" s="155">
        <f>IF($JG20=0,"",INDEX($DZ$2:$DZ$37,$JG20))</f>
        <v/>
      </c>
      <c r="JI20" s="155">
        <f>IF($JG20=0,"",INDEX($EA$2:$EA$37,$JG20))</f>
        <v/>
      </c>
      <c r="JJ20" s="155">
        <f>IF($JG20=0,"",INDEX($GP$2:$GP$37,$JG20))</f>
        <v/>
      </c>
      <c r="JK20" s="155">
        <f>IF($JG20=0,"",INDEX($EB$2:$EB$37,$JG20))</f>
        <v/>
      </c>
      <c r="JL20" s="155">
        <f>IF($JG20=0,"",INDEX($GR$2:$GR$37,$JG20))</f>
        <v/>
      </c>
      <c r="JM20" s="155">
        <f>IF($JG20=0,"",INDEX($HG$2:$HG$37,$JG20))</f>
        <v/>
      </c>
      <c r="KS20" s="153" t="inlineStr">
        <is>
          <t>L41</t>
        </is>
      </c>
      <c r="KT20" s="155">
        <f>"EM "&amp;UPPER(INDEX(DADOS_AM!$D$3:$G$3,1,DADOS_AM!$A$2))</f>
        <v/>
      </c>
    </row>
    <row r="21">
      <c r="AO21" s="153" t="inlineStr">
        <is>
          <t>Cura · classes 1 a 5</t>
        </is>
      </c>
      <c r="AP21" s="153" t="inlineStr">
        <is>
          <t>Um aliado a 9 m</t>
        </is>
      </c>
      <c r="AQ21" s="153" t="inlineStr">
        <is>
          <t>Um aliado a 18 m</t>
        </is>
      </c>
      <c r="AR21" s="153" t="inlineStr">
        <is>
          <t>Um aliado a 36 m</t>
        </is>
      </c>
      <c r="AS21" s="153" t="inlineStr">
        <is>
          <t>Um aliado a 90 m</t>
        </is>
      </c>
      <c r="AT21" s="153" t="inlineStr">
        <is>
          <t>Um aliado a visão a olho nu</t>
        </is>
      </c>
      <c r="AU21" s="153" t="inlineStr">
        <is>
          <t>Um aliado a visão a olho nu</t>
        </is>
      </c>
      <c r="AV21" s="153" t="inlineStr"/>
      <c r="AW21" s="153" t="inlineStr"/>
      <c r="AX21" s="153" t="inlineStr"/>
      <c r="AY21" s="153" t="inlineStr"/>
      <c r="AZ21" s="153" t="inlineStr"/>
      <c r="BA21" s="153" t="inlineStr"/>
      <c r="BC21" s="153" t="inlineStr">
        <is>
          <t>Fura</t>
        </is>
      </c>
      <c r="BD21" s="153" t="inlineStr">
        <is>
          <t>Mira</t>
        </is>
      </c>
      <c r="BE21" s="155" t="n">
        <v>2</v>
      </c>
      <c r="BF21" s="155">
        <f>$BE21+3*IFERROR(VLOOKUP($BD21,$I$2:$L$10,3,FALSE),0)</f>
        <v/>
      </c>
      <c r="BG21" s="155">
        <f>IFERROR(VLOOKUP($BD21,$I$2:$L$10,4,FALSE),0)</f>
        <v/>
      </c>
      <c r="BH21" s="155" t="n">
        <v>0</v>
      </c>
      <c r="BI21" s="155">
        <f>IF($BG21=1,"",$BC21)</f>
        <v/>
      </c>
      <c r="BJ21" s="155">
        <f>IF(AND($BE21=1,$BG21=0),$BC21,"")</f>
        <v/>
      </c>
      <c r="BK21" s="155" t="n">
        <v>0</v>
      </c>
      <c r="BM21" s="153" t="inlineStr">
        <is>
          <t>Barulho</t>
        </is>
      </c>
      <c r="BN21" s="153" t="inlineStr">
        <is>
          <t>Barulho</t>
        </is>
      </c>
      <c r="BO21" s="155" t="n">
        <v>1</v>
      </c>
      <c r="BP21" s="155" t="n">
        <v>0</v>
      </c>
      <c r="BQ21" s="153" t="inlineStr">
        <is>
          <t>Barulho</t>
        </is>
      </c>
      <c r="BS21" s="153" t="inlineStr">
        <is>
          <t>Maldição do Inventário</t>
        </is>
      </c>
      <c r="BT21" s="155" t="n">
        <v>1</v>
      </c>
      <c r="BU21" s="15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55" t="n">
        <v>0</v>
      </c>
      <c r="BW21" s="155" t="n">
        <v>1</v>
      </c>
      <c r="BX21" s="155">
        <f>IF(OR(AND($A$2&lt;=2,$BV21=1),AND($A$2&gt;=2,$BW21=1)),$BS21,"")</f>
        <v/>
      </c>
      <c r="BY21" s="15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3" t="inlineStr">
        <is>
          <t>Ímpeto</t>
        </is>
      </c>
      <c r="CE21" s="153" t="inlineStr">
        <is>
          <t>Lapidação 4 e Destreza 4</t>
        </is>
      </c>
      <c r="CF21" s="155" t="n">
        <v>2</v>
      </c>
      <c r="CG21" s="153" t="inlineStr">
        <is>
          <t>—</t>
        </is>
      </c>
      <c r="CH21" s="153"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55">
        <f>IF($CL21=1,"",IF($A$2=4,IF($CJ21=1,$CD21,""),IF(OR($CJ21=1,AND($A$2=3,$CK21=1)),"",$CD21)))</f>
        <v/>
      </c>
      <c r="CJ21" s="155" t="n">
        <v>1</v>
      </c>
      <c r="CK21" s="155" t="n">
        <v>0</v>
      </c>
      <c r="CL21" s="155" t="n">
        <v>0</v>
      </c>
      <c r="CM21" s="153" t="inlineStr">
        <is>
          <t>Como Ação Bônus, mova-se até seu deslocamento sem provocar ataques de oportunidade.</t>
        </is>
      </c>
      <c r="DW21" s="153" t="inlineStr">
        <is>
          <t>Feitiço 20</t>
        </is>
      </c>
      <c r="DX21" s="155" t="n">
        <v>0</v>
      </c>
      <c r="DY21" s="155" t="n">
        <v>20</v>
      </c>
      <c r="DZ21" s="155">
        <f>MAX(1,MIN(7,N('FICHA AMALDIÇOADA'!$J$179)))</f>
        <v/>
      </c>
      <c r="EA21" s="155">
        <f>'FICHA AMALDIÇOADA'!$K$179&amp;""</f>
        <v/>
      </c>
      <c r="EB21" s="155">
        <f>'FICHA AMALDIÇOADA'!$J$186&amp;""</f>
        <v/>
      </c>
      <c r="EC21" s="155">
        <f>'FICHA AMALDIÇOADA'!$K$188&amp;""</f>
        <v/>
      </c>
      <c r="ED21" s="155">
        <f>'FICHA AMALDIÇOADA'!$K$189&amp;""</f>
        <v/>
      </c>
      <c r="EE21" s="155">
        <f>'FICHA AMALDIÇOADA'!$K$190&amp;""</f>
        <v/>
      </c>
      <c r="EF21" s="155">
        <f>'FICHA AMALDIÇOADA'!$K$191&amp;""</f>
        <v/>
      </c>
      <c r="EG21" s="155">
        <f>'FICHA AMALDIÇOADA'!$K$192&amp;""</f>
        <v/>
      </c>
      <c r="EH21" s="155">
        <f>'FICHA AMALDIÇOADA'!$K$193&amp;""</f>
        <v/>
      </c>
      <c r="EI21" s="155">
        <f>IF($EA21&lt;&gt;"",1,0)</f>
        <v/>
      </c>
      <c r="EJ21" s="155">
        <f>IFERROR(MATCH($EB21,$Y$2:$Y$11,0),0)</f>
        <v/>
      </c>
      <c r="EK21" s="155">
        <f>IF($EJ21=0,0,INDEX($AB$2:$AB$11,$EJ21))</f>
        <v/>
      </c>
      <c r="EL21" s="155">
        <f>IFERROR(VLOOKUP($EC21,$BC$2:$BK$84,4,FALSE),0)</f>
        <v/>
      </c>
      <c r="EM21" s="155">
        <f>IFERROR(VLOOKUP($ED21,$BC$2:$BK$84,4,FALSE),0)</f>
        <v/>
      </c>
      <c r="EN21" s="155">
        <f>IFERROR(VLOOKUP($EE21,$BC$2:$BK$84,4,FALSE),0)</f>
        <v/>
      </c>
      <c r="EO21" s="155">
        <f>IFERROR(VLOOKUP($EF21,$BC$2:$BK$84,4,FALSE),0)</f>
        <v/>
      </c>
      <c r="EP21" s="155">
        <f>IF($EJ21=0,0,INDEX($AC$2:$AC$11,$EJ21))</f>
        <v/>
      </c>
      <c r="EQ21" s="155">
        <f>IFERROR(VLOOKUP($EC21,$BC$2:$BK$84,5,FALSE),0)</f>
        <v/>
      </c>
      <c r="ER21" s="155">
        <f>IFERROR(VLOOKUP($ED21,$BC$2:$BK$84,5,FALSE),0)</f>
        <v/>
      </c>
      <c r="ES21" s="155">
        <f>IFERROR(VLOOKUP($EE21,$BC$2:$BK$84,5,FALSE),0)</f>
        <v/>
      </c>
      <c r="ET21" s="155">
        <f>IFERROR(VLOOKUP($EF21,$BC$2:$BK$84,5,FALSE),0)</f>
        <v/>
      </c>
      <c r="EU21" s="155">
        <f>IFERROR(VLOOKUP($EC21,$BC$2:$BK$84,6,FALSE),0)+IFERROR(VLOOKUP($ED21,$BC$2:$BK$84,6,FALSE),0)+IFERROR(VLOOKUP($EE21,$BC$2:$BK$84,6,FALSE),0)+IFERROR(VLOOKUP($EF21,$BC$2:$BK$84,6,FALSE),0)</f>
        <v/>
      </c>
      <c r="EV21" s="155">
        <f>IFERROR(VLOOKUP($EC21,$BC$2:$BK$84,9,FALSE),0)+IFERROR(VLOOKUP($ED21,$BC$2:$BK$84,9,FALSE),0)+IFERROR(VLOOKUP($EE21,$BC$2:$BK$84,9,FALSE),0)+IFERROR(VLOOKUP($EF21,$BC$2:$BK$84,9,FALSE),0)</f>
        <v/>
      </c>
      <c r="EW21" s="155">
        <f>IF($EJ21=0,0,INDEX($AD$2:$AD$11,$EJ21))</f>
        <v/>
      </c>
      <c r="EX21" s="155">
        <f>IF($EJ21=0,0,INDEX($AE$2:$AE$11,$EJ21))</f>
        <v/>
      </c>
      <c r="EY21" s="155">
        <f>IF($EJ21=0,0,INDEX($AG$2:$AG$11,$EJ21))</f>
        <v/>
      </c>
      <c r="EZ21" s="155">
        <f>IFERROR(VLOOKUP($EG21,$BM$2:$BQ$24,3,FALSE),0)</f>
        <v/>
      </c>
      <c r="FA21" s="155">
        <f>IFERROR(VLOOKUP($EH21,$BM$2:$BQ$24,3,FALSE),0)</f>
        <v/>
      </c>
      <c r="FB21" s="155">
        <f>IFERROR(VLOOKUP($EG21,$BM$2:$BQ$24,2,FALSE),"")</f>
        <v/>
      </c>
      <c r="FC21" s="155">
        <f>IFERROR(VLOOKUP($EH21,$BM$2:$BQ$24,2,FALSE),"")</f>
        <v/>
      </c>
      <c r="FD21" s="155">
        <f>COUNTIF($EK21:$EO21,1)</f>
        <v/>
      </c>
      <c r="FE21" s="155">
        <f>COUNTIF($EK21:$EO21,2)</f>
        <v/>
      </c>
      <c r="FF21" s="155">
        <f>COUNTIF($EK21:$EO21,3)</f>
        <v/>
      </c>
      <c r="FG21" s="155">
        <f>COUNTIF($EK21:$EO21,4)</f>
        <v/>
      </c>
      <c r="FH21" s="155">
        <f>COUNTIF($EK21:$EO21,5)</f>
        <v/>
      </c>
      <c r="FI21" s="155">
        <f>COUNTIF($EK21:$EO21,6)</f>
        <v/>
      </c>
      <c r="FJ21" s="155">
        <f>COUNTIF($EZ21:$FA21,1)</f>
        <v/>
      </c>
      <c r="FK21" s="155">
        <f>COUNTIF($EZ21:$FA21,2)+$EW21</f>
        <v/>
      </c>
      <c r="FL21" s="155">
        <f>COUNTIF($EC21:$EF21,"?*")</f>
        <v/>
      </c>
      <c r="FM21" s="155">
        <f>COUNTIF($EG21:$EH21,"?*")+$EW21</f>
        <v/>
      </c>
      <c r="FN21" s="155">
        <f>SUMPRODUCT($FD21:$FI21,INDEX($Q$2:$V$8,$DZ21,0))</f>
        <v/>
      </c>
      <c r="FO21" s="155">
        <f>$FJ21*CEILING($DZ21/2,1)+$FK21*$DZ21</f>
        <v/>
      </c>
      <c r="FP21" s="155">
        <f>MIN(2*$DZ21,$FO21)</f>
        <v/>
      </c>
      <c r="FQ21" s="155">
        <f>MIN($FP21,$FN21)</f>
        <v/>
      </c>
      <c r="FR21" s="155">
        <f>$FP21-$FQ21</f>
        <v/>
      </c>
      <c r="FS21" s="155">
        <f>3*$DZ21-$FN21+$FQ21</f>
        <v/>
      </c>
      <c r="FT21" s="155">
        <f>MAX(0,$FS21)+$DX21*$DZ21</f>
        <v/>
      </c>
      <c r="FU21" s="155">
        <f>(IF(COUNTIF($EC21:$EF21,"Salto")&gt;0,1,0)+IF(COUNTIF($EC21:$EF21,"Queima")&gt;0,1,0)+IF(COUNTIF($EC21:$EF21,"Estilhaço")&gt;0,1,0))*FLOOR($FT21/2,1)</f>
        <v/>
      </c>
      <c r="FV21" s="155">
        <f>MAX(0,3-SUMPRODUCT($FD21:$FI21,$Q$2:$V$2)+MIN(2,$FJ21*1+$FK21*1,SUMPRODUCT($FD21:$FI21,$Q$2:$V$2)))+$DX21*1</f>
        <v/>
      </c>
      <c r="FW21" s="155">
        <f>MAX(0,6-SUMPRODUCT($FD21:$FI21,$Q$3:$V$3)+MIN(4,$FJ21*1+$FK21*2,SUMPRODUCT($FD21:$FI21,$Q$3:$V$3)))+$DX21*2</f>
        <v/>
      </c>
      <c r="FX21" s="155">
        <f>MAX(0,9-SUMPRODUCT($FD21:$FI21,$Q$4:$V$4)+MIN(6,$FJ21*2+$FK21*3,SUMPRODUCT($FD21:$FI21,$Q$4:$V$4)))+$DX21*3</f>
        <v/>
      </c>
      <c r="FY21" s="155">
        <f>MAX(0,12-SUMPRODUCT($FD21:$FI21,$Q$5:$V$5)+MIN(8,$FJ21*2+$FK21*4,SUMPRODUCT($FD21:$FI21,$Q$5:$V$5)))+$DX21*4</f>
        <v/>
      </c>
      <c r="FZ21" s="155">
        <f>MAX(0,15-SUMPRODUCT($FD21:$FI21,$Q$6:$V$6)+MIN(10,$FJ21*3+$FK21*5,SUMPRODUCT($FD21:$FI21,$Q$6:$V$6)))+$DX21*5</f>
        <v/>
      </c>
      <c r="GA21" s="155">
        <f>MAX(0,18-SUMPRODUCT($FD21:$FI21,$Q$7:$V$7)+MIN(12,$FJ21*3+$FK21*6,SUMPRODUCT($FD21:$FI21,$Q$7:$V$7)))+$DX21*6</f>
        <v/>
      </c>
      <c r="GB21" s="155">
        <f>MAX(0,21-SUMPRODUCT($FD21:$FI21,$Q$8:$V$8)+MIN(14,$FJ21*4+$FK21*7,SUMPRODUCT($FD21:$FI21,$Q$8:$V$8)))+$DX21*7</f>
        <v/>
      </c>
      <c r="GC21" s="155">
        <f>IF($EX21=2,3*$FV21&amp;" de vida temp.",IF($EX21=3,"sem dano",IF($FV21=0,IF($EX21=1,"sem cura","sem dano"),IF($EX21=1,"cura ","")&amp;$FV21&amp;"d8")))</f>
        <v/>
      </c>
      <c r="GD21" s="155">
        <f>IF($EX21=2,3*$FW21&amp;" de vida temp.",IF($EX21=3,"sem dano",IF($FW21=0,IF($EX21=1,"sem cura","sem dano"),IF($EX21=1,"cura ","")&amp;$FW21&amp;"d8")))</f>
        <v/>
      </c>
      <c r="GE21" s="155">
        <f>IF($EX21=2,3*$FX21&amp;" de vida temp.",IF($EX21=3,"sem dano",IF($FX21=0,IF($EX21=1,"sem cura","sem dano"),IF($EX21=1,"cura ","")&amp;$FX21&amp;"d8")))</f>
        <v/>
      </c>
      <c r="GF21" s="155">
        <f>IF($EX21=2,3*$FY21&amp;" de vida temp.",IF($EX21=3,"sem dano",IF($FY21=0,IF($EX21=1,"sem cura","sem dano"),IF($EX21=1,"cura ","")&amp;$FY21&amp;"d8")))</f>
        <v/>
      </c>
      <c r="GG21" s="155">
        <f>IF($EX21=2,3*$FZ21&amp;" de vida temp.",IF($EX21=3,"sem dano",IF($FZ21=0,IF($EX21=1,"sem cura","sem dano"),IF($EX21=1,"cura ","")&amp;$FZ21&amp;"d8")))</f>
        <v/>
      </c>
      <c r="GH21" s="155">
        <f>IF($EX21=2,3*$GA21&amp;" de vida temp.",IF($EX21=3,"sem dano",IF($GA21=0,IF($EX21=1,"sem cura","sem dano"),IF($EX21=1,"cura ","")&amp;$GA21&amp;"d8")))</f>
        <v/>
      </c>
      <c r="GI21" s="155">
        <f>IF($EX21=2,3*$GB21&amp;" de vida temp.",IF($EX21=3,"sem dano",IF($GB21=0,IF($EX21=1,"sem cura","sem dano"),IF($EX21=1,"cura ","")&amp;$GB21&amp;"d8")))</f>
        <v/>
      </c>
      <c r="GJ21" s="155">
        <f>IF($EI21=0,"",TEXTJOIN(" · ",TRUE,IF(AND($DX21=1,$DY21&gt;$HK$9),"O nível "&amp;$HK$2&amp;" dá "&amp;$HK$9&amp;" Liberação Máxima",""),IF($DZ21&gt;$HK$4,"Classe "&amp;$DZ21&amp;": o nível "&amp;$HK$2&amp;" libera até a "&amp;$HK$4,""),IF($EP21=1,"Família Fechada: a Forma "&amp;$EB21,""),IF($EQ21=1,"Família Fechada: "&amp;$EC21,""),IF($ER21=1,"Família Fechada: "&amp;$ED21,""),IF($ES21=1,"Família Fechada: "&amp;$EE21,""),IF($ET21=1,"Família Fechada: "&amp;$EF21,""),IF($FL21&gt;INDEX($W$2:$W$8,$DZ21),$FL21&amp;" Melhorias: a Classe "&amp;$DZ21&amp;" aceita "&amp;INDEX($W$2:$W$8,$DZ21),""),IF($FM21&gt;2,$FM21&amp;" Restrições"&amp;IF($EW21=1,", contando a que a Forma "&amp;$EB21&amp;" já traz","")&amp;": o limite é 2",""),IF($FS21&lt;0,"Orçamento estourado: faltam "&amp;(-$FS21)&amp;IF($FS21&lt;-1," pontos"," ponto"),""),IF(IFERROR(VLOOKUP($EG21,$BM$2:$BQ$24,4,FALSE),0)+IFERROR(VLOOKUP($EH21,$BM$2:$BQ$24,4,FALSE),0)&gt;1,$FB21&amp;" e "&amp;$FC21&amp;" são as duas de frequência",""),IF(AND((COUNTIF($EC21:$EF21,"Rápido")+COUNTIF($FB21:$FC21,"Rápido"))&gt;0,(COUNTIF($EC21:$EF21,"Atrasar")+COUNTIF($FB21:$FC21,"Atrasar"))&gt;0),"Rápido não entra com Atrasar",""),IF(AND((COUNTIF($EC21:$EF21,"Reação")+COUNTIF($FB21:$FC21,"Reação"))&gt;0,(COUNTIF($EC21:$EF21,"Rápido")+COUNTIF($FB21:$FC21,"Rápido"))&gt;0),"Reação não entra com Rápido",""),IF(AND((COUNTIF($EC21:$EF21,"Reação")+COUNTIF($FB21:$FC21,"Reação"))&gt;0,(COUNTIF($EC21:$EF21,"Armado")+COUNTIF($FB21:$FC21,"Armado"))&gt;0),"Reação não entra com Armado",""),IF(AND((COUNTIF($EC21:$EF21,"Reação")+COUNTIF($FB21:$FC21,"Reação"))&gt;0,(COUNTIF($EC21:$EF21,"Atrasar")+COUNTIF($FB21:$FC21,"Atrasar"))&gt;0),"Reação não entra com Atrasar",""),IF(AND((COUNTIF($EC21:$EF21,"Reação")+COUNTIF($FB21:$FC21,"Reação"))&gt;0,(COUNTIF($EC21:$EF21,"Parado")+COUNTIF($FB21:$FC21,"Parado"))&gt;0),"Reação não entra com Parado",""),IF(AND((COUNTIF($EC21:$EF21,"Atrasar")+COUNTIF($FB21:$FC21,"Atrasar"))&gt;0,(COUNTIF($EC21:$EF21,"Parado")+COUNTIF($FB21:$FC21,"Parado"))&gt;0),"Atrasar não entra com Parado",""),IF(AND((COUNTIF($EC21:$EF21,"Armado")+COUNTIF($FB21:$FC21,"Armado"))&gt;0,(COUNTIF($EC21:$EF21,"Carregar")+COUNTIF($FB21:$FC21,"Carregar"))&gt;0),"Armado não entra com Carregar",""),IF(AND(COUNTIF($FB21:$FC21,"Corpo a Corpo")&gt;0,$EW21=0,OR($EB21="Cone",$EB21="Linha")),"Corpo a Corpo não entra em "&amp;$EB21,""),IF(AND(COUNTIF($FB21:$FC21,"Corpo a Corpo")&gt;0,$EW21=1),"A Forma "&amp;$EB21&amp;" já traz o Corpo a Corpo",""),IF(AND(COUNTIF($FB21:$FC21,"Tudo ou Nada")&gt;0,$EY21=0),"Tudo ou Nada só entra em feitiço de Teste de Resistência",""),IF(AND(COUNTIF($EC21:$EF21,"Inescapável")&gt;0,OR($FL21&gt;1,$FM21&gt;0)),"Inescapável não aceita outra peça",""),IF(AND($DX21=1,$DZ21&lt;3),"Liberação Máxima é de Classe 3 ou mais",""),IF(AND($DX21=1,OR($EX21=1,$EX21=2)),"Liberação Máxima não serve para cura",""),IF(AND($DX21=1,COUNTIF($EC21:$EF21,"Inescapável")+COUNTIF($EC21:$EF21,"Toca a Alma")&gt;0),"Esta peça não entra numa Liberação Máxima",""),IF($FT21*IF(COUNTIF($EC21:$EF21,"Remate")&gt;0,1.25,1)+$FU21&gt;4*$DZ21,($FT21*IF(COUNTIF($EC21:$EF21,"Remate")&gt;0,1.25,1)+$FU21)&amp;" dados somando repetições"&amp;IF(COUNTIF($EC21:$EF21,"Remate")&gt;0," e o Remate","")&amp;": o teto da Classe "&amp;$DZ21&amp;" é "&amp;4*$DZ21,"")))</f>
        <v/>
      </c>
      <c r="GK21" s="155">
        <f>IF($GJ21="",0,(LEN($GJ21)-LEN(SUBSTITUTE($GJ21," · ","")))/3+1)</f>
        <v/>
      </c>
      <c r="GL21" s="155">
        <f>IF($EI21=0,"",TEXTJOIN(" · ",TRUE,IF($FO21&gt;2*$DZ21,"A devolução parou no teto de "&amp;2*$DZ21,""),IF($FR21&gt;0,"Devolução perdida: "&amp;$FR21&amp;IF($FR21&gt;1," pontos"," ponto")&amp;" sem peça para pagar",""),IF(AND($EU21&gt;0,$FT21=0),"Controle sem dano: uma rodada a mais e CD +2",""),IF(AND($EU21&gt;0,$FT21&gt;0,$FT21&lt;=$DZ21),"Controle com saldo até a Classe: uma rodada a mais","")))</f>
        <v/>
      </c>
      <c r="GM21" s="155">
        <f>IF($GL21="",0,(LEN($GL21)-LEN(SUBSTITUTE($GL21," · ","")))/3+1)</f>
        <v/>
      </c>
      <c r="GN21" s="155">
        <f>IF($EI21=0,IF($FL21+$FM21-$EW21&gt;0,"Dê um nome",""),IF($GK21&gt;0,"⚠ "&amp;$GK21&amp;IF($GK21&gt;1," erros"," erro"),IF($GM21&gt;0,"! "&amp;$GM21&amp;IF($GM21&gt;1," avisos"," aviso"),"Na regra")))</f>
        <v/>
      </c>
      <c r="GO21" s="155">
        <f>IF($EI21=0,"",IF($GK21+$GM21=0,"Dentro das regras que a ficha confere",$GJ21&amp;IF(AND($GK21&gt;0,$GM21&gt;0)," · ","")&amp;$GL21))</f>
        <v/>
      </c>
      <c r="GP21" s="155">
        <f>IF($EI21=0,"",IF($DX21=1,CEILING(4.5*$DZ21,1),3*$DZ21)&amp;" PE")</f>
        <v/>
      </c>
      <c r="GQ21" s="155">
        <f>IF($EI21=0,"",IF($DX21=1,"Rodada inteira",IF(COUNTIF($FB21:$FC21,"Atrasar")&gt;0,IF(COUNTIF($FB21:$FC21,"Carregar")&gt;0,"Rodada +1 turno","Rodada inteira"),IF(COUNTIF($EC21:$EF21,"Rápido")&gt;0,"Bônus",IF(COUNTIF($EC21:$EF21,"Reação")&gt;0,"Reação","Padrão"))&amp;IF(COUNTIF($FB21:$FC21,"Carregar")&gt;0," +1 turno",""))))</f>
        <v/>
      </c>
      <c r="GR21" s="155">
        <f>IF(OR($EI21=0,$EJ21=0),"",IF(COUNTIF($EC21:$EF21,"Inescapável")&gt;0,"Automático",IF(COUNTIF($EC21:$EF21,"Certeiro")&gt;0,"TR para metade",IF(AND($EV21&gt;0,$EY21=0,INDEX($AF$2:$AF$11,$EJ21)="Acerto"),"Acerto + TR",INDEX($AF$2:$AF$11,$EJ21)))))</f>
        <v/>
      </c>
      <c r="GS21" s="155">
        <f>IF(OR($EI21=0,$EJ21=0),"",IF(OR($EX21&gt;=2,$FT21=0),UPPER(LEFT(INDEX($GC21:$GI21,1,$DZ21),1))&amp;MID(INDEX($GC21:$GI21,1,$DZ21),2,99),UPPER(LEFT(INDEX($GC21:$GI21,1,$DZ21),1))&amp;MID(INDEX($GC21:$GI21,1,$DZ21),2,99)&amp;" = "&amp;FLOOR($FT21*4.5,1)&amp;IF($FU21&gt;0," · +"&amp;$FU21&amp;"d8","")))</f>
        <v/>
      </c>
      <c r="GT21" s="155">
        <f>COUNTIF($EC21:$EF21,"Longe")+3*COUNTIF($EC21:$EF21,"Muito Longe")</f>
        <v/>
      </c>
      <c r="GU21" s="155">
        <f>COUNTIF($EC21:$EF21,"Maior")+3*COUNTIF($EC21:$EF21,"Muito Maior")</f>
        <v/>
      </c>
      <c r="GV21" s="155">
        <f>IF($EJ21=0,0,CHOOSE(1+INDEX($AH$2:$AH$11,$EJ21),0,$GT21,$GU21,$GT21+$GU21))</f>
        <v/>
      </c>
      <c r="GW21" s="155">
        <f>IF($EJ21=0,0,CHOOSE(1+INDEX($AI$2:$AI$11,$EJ21),0,$GT21,$GU21,$GT21+$GU21))</f>
        <v/>
      </c>
      <c r="GX21" s="155">
        <f>IF(OR($EI21=0,$EJ21=0),"",INDEX($AP$2:$AU$31,($EJ21-1)*3+IF($DZ21&gt;=6,3,2),1+MIN(5,$GV21))&amp;INDEX($AV$2:$BA$31,($EJ21-1)*3+IF($DZ21&gt;=6,3,2),1+MIN(5,$GW21))&amp;IF(INDEX($AJ$2:$AJ$11,$EJ21)=1,IF(COUNTIF($EC21:$EF21,"Mais Um")&gt;0," · +"&amp;COUNTIF($EC21:$EF21,"Mais Um")&amp;IF(COUNTIF($EC21:$EF21,"Mais Um")&gt;1," alvos"," alvo"),"")&amp;IF(COUNTIF($EC21:$EF21,"Rajada")&gt;0," · "&amp;($DZ21+1)&amp;" tiros",""),""))</f>
        <v/>
      </c>
      <c r="GY21" s="155">
        <f>IF($EI21=0,"",3*$DZ21&amp;" − "&amp;$FN21&amp;" + "&amp;$FQ21&amp;IF($DX21=1," + "&amp;$DZ21,"")&amp;" = "&amp;$FT21&amp;"d8 · teto "&amp;4*$DZ21&amp;IF($EW21=1," · a Forma devolve "&amp;$DZ21,"")&amp;IF($FR21&gt;0," · perde "&amp;$FR21,""))</f>
        <v/>
      </c>
      <c r="GZ21" s="155">
        <f>IF($EI21=0,"",IF($DZ21&gt;=$HK$4,"Já está na maior Classe que o nível liberou",TEXTJOIN(" · ",TRUE,IF(AND(2&gt;$DZ21,2&lt;=$HK$4),"2 → "&amp;$GD21&amp;", "&amp;IF($DX21=1,9,6)&amp;" PE",""),IF(AND(3&gt;$DZ21,3&lt;=$HK$4),"3 → "&amp;$GE21&amp;", "&amp;IF($DX21=1,14,9)&amp;" PE",""),IF(AND(4&gt;$DZ21,4&lt;=$HK$4),"4 → "&amp;$GF21&amp;", "&amp;IF($DX21=1,18,12)&amp;" PE",""),IF(AND(5&gt;$DZ21,5&lt;=$HK$4),"5 → "&amp;$GG21&amp;", "&amp;IF($DX21=1,23,15)&amp;" PE",""),IF(AND(6&gt;$DZ21,6&lt;=$HK$4),"6 → "&amp;$GH21&amp;", "&amp;IF($DX21=1,27,18)&amp;" PE",""),IF(AND(7&gt;$DZ21,7&lt;=$HK$4),"7 → "&amp;$GI21&amp;", "&amp;IF($DX21=1,32,21)&amp;" PE",""))))</f>
        <v/>
      </c>
      <c r="HA21" s="155">
        <f>IF(OR($EI21=0,$EL21=0),"","−"&amp;INDEX($Q$2:$V$8,$DZ21,$EL21)&amp;" · "&amp;CHOOSE($EL21,"Leve","Média","Pesada","Leve · Livre","Média · Livre","Pesada · Livre"))</f>
        <v/>
      </c>
      <c r="HB21" s="155">
        <f>IF(OR($EI21=0,$EM21=0),"","−"&amp;INDEX($Q$2:$V$8,$DZ21,$EM21)&amp;" · "&amp;CHOOSE($EM21,"Leve","Média","Pesada","Leve · Livre","Média · Livre","Pesada · Livre"))</f>
        <v/>
      </c>
      <c r="HC21" s="155">
        <f>IF(OR($EI21=0,$EN21=0),"","−"&amp;INDEX($Q$2:$V$8,$DZ21,$EN21)&amp;" · "&amp;CHOOSE($EN21,"Leve","Média","Pesada","Leve · Livre","Média · Livre","Pesada · Livre"))</f>
        <v/>
      </c>
      <c r="HD21" s="155">
        <f>IF(OR($EI21=0,$EO21=0),"","−"&amp;INDEX($Q$2:$V$8,$DZ21,$EO21)&amp;" · "&amp;CHOOSE($EO21,"Leve","Média","Pesada","Leve · Livre","Média · Livre","Pesada · Livre"))</f>
        <v/>
      </c>
      <c r="HE21" s="155">
        <f>IF(OR($EI21=0,$EG21=""),"","+"&amp;IF($EZ21=1,CEILING($DZ21/2,1),$DZ21))</f>
        <v/>
      </c>
      <c r="HF21" s="155">
        <f>IF(OR($EI21=0,$EH21=""),"","+"&amp;IF($FA21=1,CEILING($DZ21/2,1),$DZ21))</f>
        <v/>
      </c>
      <c r="HG21" s="155">
        <f>'FICHA AMALDIÇOADA'!$J$181&amp;""</f>
        <v/>
      </c>
      <c r="HH21" s="155">
        <f>IF(AND($EI21=1,$DX21=0),COUNTIFS($EI$2:$EI21,1,$DX$2:$DX21,0),"")</f>
        <v/>
      </c>
      <c r="HJ21" s="153" t="inlineStr">
        <is>
          <t>sem espaço</t>
        </is>
      </c>
      <c r="HK21" s="155">
        <f>IF($HK$18+$HK$19+$HK$20&gt;$HK$14,1,0)</f>
        <v/>
      </c>
      <c r="JF21" s="155" t="n">
        <v>20</v>
      </c>
      <c r="JG21" s="155">
        <f>IFERROR(MATCH(20,$HH$2:$HH$37,0),0)</f>
        <v/>
      </c>
      <c r="JH21" s="155">
        <f>IF($JG21=0,"",INDEX($DZ$2:$DZ$37,$JG21))</f>
        <v/>
      </c>
      <c r="JI21" s="155">
        <f>IF($JG21=0,"",INDEX($EA$2:$EA$37,$JG21))</f>
        <v/>
      </c>
      <c r="JJ21" s="155">
        <f>IF($JG21=0,"",INDEX($GP$2:$GP$37,$JG21))</f>
        <v/>
      </c>
      <c r="JK21" s="155">
        <f>IF($JG21=0,"",INDEX($EB$2:$EB$37,$JG21))</f>
        <v/>
      </c>
      <c r="JL21" s="155">
        <f>IF($JG21=0,"",INDEX($GR$2:$GR$37,$JG21))</f>
        <v/>
      </c>
      <c r="JM21" s="155">
        <f>IF($JG21=0,"",INDEX($HG$2:$HG$37,$JG21))</f>
        <v/>
      </c>
      <c r="KS21" s="153" t="inlineStr">
        <is>
          <t>P42</t>
        </is>
      </c>
      <c r="KT21" s="155">
        <f>IF(DADOS_AM!$HK$21=1,"⚠ ","")&amp;DADOS_AM!$HK$18</f>
        <v/>
      </c>
    </row>
    <row r="22">
      <c r="AO22" s="153" t="inlineStr">
        <is>
          <t>Cura · classes 6 e 7</t>
        </is>
      </c>
      <c r="AP22" s="153" t="inlineStr">
        <is>
          <t>Um aliado a 18 m</t>
        </is>
      </c>
      <c r="AQ22" s="153" t="inlineStr">
        <is>
          <t>Um aliado a 36 m</t>
        </is>
      </c>
      <c r="AR22" s="153" t="inlineStr">
        <is>
          <t>Um aliado a 90 m</t>
        </is>
      </c>
      <c r="AS22" s="153" t="inlineStr">
        <is>
          <t>Um aliado a visão a olho nu</t>
        </is>
      </c>
      <c r="AT22" s="153" t="inlineStr">
        <is>
          <t>Um aliado a visão a olho nu</t>
        </is>
      </c>
      <c r="AU22" s="153" t="inlineStr">
        <is>
          <t>Um aliado a visão a olho nu</t>
        </is>
      </c>
      <c r="AV22" s="153" t="inlineStr"/>
      <c r="AW22" s="153" t="inlineStr"/>
      <c r="AX22" s="153" t="inlineStr"/>
      <c r="AY22" s="153" t="inlineStr"/>
      <c r="AZ22" s="153" t="inlineStr"/>
      <c r="BA22" s="153" t="inlineStr"/>
      <c r="BC22" s="153" t="inlineStr">
        <is>
          <t>Corrói</t>
        </is>
      </c>
      <c r="BD22" s="153" t="inlineStr">
        <is>
          <t>Mira</t>
        </is>
      </c>
      <c r="BE22" s="155" t="n">
        <v>3</v>
      </c>
      <c r="BF22" s="155">
        <f>$BE22+3*IFERROR(VLOOKUP($BD22,$I$2:$L$10,3,FALSE),0)</f>
        <v/>
      </c>
      <c r="BG22" s="155">
        <f>IFERROR(VLOOKUP($BD22,$I$2:$L$10,4,FALSE),0)</f>
        <v/>
      </c>
      <c r="BH22" s="155" t="n">
        <v>0</v>
      </c>
      <c r="BI22" s="155">
        <f>IF($BG22=1,"",$BC22)</f>
        <v/>
      </c>
      <c r="BJ22" s="155">
        <f>IF(AND($BE22=1,$BG22=0),$BC22,"")</f>
        <v/>
      </c>
      <c r="BK22" s="155" t="n">
        <v>0</v>
      </c>
      <c r="BM22" s="153" t="inlineStr">
        <is>
          <t>Assinatura</t>
        </is>
      </c>
      <c r="BN22" s="153" t="inlineStr">
        <is>
          <t>Assinatura</t>
        </is>
      </c>
      <c r="BO22" s="155" t="n">
        <v>1</v>
      </c>
      <c r="BP22" s="155" t="n">
        <v>0</v>
      </c>
      <c r="BQ22" s="153" t="inlineStr">
        <is>
          <t>Assinatura</t>
        </is>
      </c>
      <c r="BS22" s="153" t="inlineStr">
        <is>
          <t>Segundo Fôlego</t>
        </is>
      </c>
      <c r="BT22" s="155" t="n">
        <v>2</v>
      </c>
      <c r="BU22" s="153" t="inlineStr">
        <is>
          <t>Uma vez por descanso longo, ao escolher Insistir, você pode dispensar o primeiro custo de vida máxima, correspondente a 1/8 do máximo de referência daquela queda.</t>
        </is>
      </c>
      <c r="BV22" s="155" t="n">
        <v>0</v>
      </c>
      <c r="BW22" s="155" t="n">
        <v>1</v>
      </c>
      <c r="BX22" s="155">
        <f>IF(OR(AND($A$2&lt;=2,$BV22=1),AND($A$2&gt;=2,$BW22=1)),$BS22,"")</f>
        <v/>
      </c>
      <c r="BY22" s="153" t="inlineStr">
        <is>
          <t>Uma vez por descanso longo, ao escolher Insistir, você pode dispensar o primeiro custo de vida máxima, correspondente a 1/8 do máximo de referência daquela queda.</t>
        </is>
      </c>
      <c r="CD22" s="153" t="inlineStr">
        <is>
          <t>Casco</t>
        </is>
      </c>
      <c r="CE22" s="153" t="inlineStr">
        <is>
          <t>Lapidação 7 e Constituição 4</t>
        </is>
      </c>
      <c r="CF22" s="155" t="n">
        <v>3</v>
      </c>
      <c r="CG22" s="153" t="inlineStr">
        <is>
          <t>—</t>
        </is>
      </c>
      <c r="CH22" s="15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55">
        <f>IF($CL22=1,"",IF($A$2=4,IF($CJ22=1,$CD22,""),IF(OR($CJ22=1,AND($A$2=3,$CK22=1)),"",$CD22)))</f>
        <v/>
      </c>
      <c r="CJ22" s="155" t="n">
        <v>1</v>
      </c>
      <c r="CK22" s="155" t="n">
        <v>0</v>
      </c>
      <c r="CL22" s="155" t="n">
        <v>0</v>
      </c>
      <c r="CM22" s="15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W22" s="153" t="inlineStr">
        <is>
          <t>Feitiço 21</t>
        </is>
      </c>
      <c r="DX22" s="155" t="n">
        <v>0</v>
      </c>
      <c r="DY22" s="155" t="n">
        <v>21</v>
      </c>
      <c r="DZ22" s="155">
        <f>MAX(1,MIN(7,N('FICHA AMALDIÇOADA'!$P$179)))</f>
        <v/>
      </c>
      <c r="EA22" s="155">
        <f>'FICHA AMALDIÇOADA'!$Q$179&amp;""</f>
        <v/>
      </c>
      <c r="EB22" s="155">
        <f>'FICHA AMALDIÇOADA'!$P$186&amp;""</f>
        <v/>
      </c>
      <c r="EC22" s="155">
        <f>'FICHA AMALDIÇOADA'!$Q$188&amp;""</f>
        <v/>
      </c>
      <c r="ED22" s="155">
        <f>'FICHA AMALDIÇOADA'!$Q$189&amp;""</f>
        <v/>
      </c>
      <c r="EE22" s="155">
        <f>'FICHA AMALDIÇOADA'!$Q$190&amp;""</f>
        <v/>
      </c>
      <c r="EF22" s="155">
        <f>'FICHA AMALDIÇOADA'!$Q$191&amp;""</f>
        <v/>
      </c>
      <c r="EG22" s="155">
        <f>'FICHA AMALDIÇOADA'!$Q$192&amp;""</f>
        <v/>
      </c>
      <c r="EH22" s="155">
        <f>'FICHA AMALDIÇOADA'!$Q$193&amp;""</f>
        <v/>
      </c>
      <c r="EI22" s="155">
        <f>IF($EA22&lt;&gt;"",1,0)</f>
        <v/>
      </c>
      <c r="EJ22" s="155">
        <f>IFERROR(MATCH($EB22,$Y$2:$Y$11,0),0)</f>
        <v/>
      </c>
      <c r="EK22" s="155">
        <f>IF($EJ22=0,0,INDEX($AB$2:$AB$11,$EJ22))</f>
        <v/>
      </c>
      <c r="EL22" s="155">
        <f>IFERROR(VLOOKUP($EC22,$BC$2:$BK$84,4,FALSE),0)</f>
        <v/>
      </c>
      <c r="EM22" s="155">
        <f>IFERROR(VLOOKUP($ED22,$BC$2:$BK$84,4,FALSE),0)</f>
        <v/>
      </c>
      <c r="EN22" s="155">
        <f>IFERROR(VLOOKUP($EE22,$BC$2:$BK$84,4,FALSE),0)</f>
        <v/>
      </c>
      <c r="EO22" s="155">
        <f>IFERROR(VLOOKUP($EF22,$BC$2:$BK$84,4,FALSE),0)</f>
        <v/>
      </c>
      <c r="EP22" s="155">
        <f>IF($EJ22=0,0,INDEX($AC$2:$AC$11,$EJ22))</f>
        <v/>
      </c>
      <c r="EQ22" s="155">
        <f>IFERROR(VLOOKUP($EC22,$BC$2:$BK$84,5,FALSE),0)</f>
        <v/>
      </c>
      <c r="ER22" s="155">
        <f>IFERROR(VLOOKUP($ED22,$BC$2:$BK$84,5,FALSE),0)</f>
        <v/>
      </c>
      <c r="ES22" s="155">
        <f>IFERROR(VLOOKUP($EE22,$BC$2:$BK$84,5,FALSE),0)</f>
        <v/>
      </c>
      <c r="ET22" s="155">
        <f>IFERROR(VLOOKUP($EF22,$BC$2:$BK$84,5,FALSE),0)</f>
        <v/>
      </c>
      <c r="EU22" s="155">
        <f>IFERROR(VLOOKUP($EC22,$BC$2:$BK$84,6,FALSE),0)+IFERROR(VLOOKUP($ED22,$BC$2:$BK$84,6,FALSE),0)+IFERROR(VLOOKUP($EE22,$BC$2:$BK$84,6,FALSE),0)+IFERROR(VLOOKUP($EF22,$BC$2:$BK$84,6,FALSE),0)</f>
        <v/>
      </c>
      <c r="EV22" s="155">
        <f>IFERROR(VLOOKUP($EC22,$BC$2:$BK$84,9,FALSE),0)+IFERROR(VLOOKUP($ED22,$BC$2:$BK$84,9,FALSE),0)+IFERROR(VLOOKUP($EE22,$BC$2:$BK$84,9,FALSE),0)+IFERROR(VLOOKUP($EF22,$BC$2:$BK$84,9,FALSE),0)</f>
        <v/>
      </c>
      <c r="EW22" s="155">
        <f>IF($EJ22=0,0,INDEX($AD$2:$AD$11,$EJ22))</f>
        <v/>
      </c>
      <c r="EX22" s="155">
        <f>IF($EJ22=0,0,INDEX($AE$2:$AE$11,$EJ22))</f>
        <v/>
      </c>
      <c r="EY22" s="155">
        <f>IF($EJ22=0,0,INDEX($AG$2:$AG$11,$EJ22))</f>
        <v/>
      </c>
      <c r="EZ22" s="155">
        <f>IFERROR(VLOOKUP($EG22,$BM$2:$BQ$24,3,FALSE),0)</f>
        <v/>
      </c>
      <c r="FA22" s="155">
        <f>IFERROR(VLOOKUP($EH22,$BM$2:$BQ$24,3,FALSE),0)</f>
        <v/>
      </c>
      <c r="FB22" s="155">
        <f>IFERROR(VLOOKUP($EG22,$BM$2:$BQ$24,2,FALSE),"")</f>
        <v/>
      </c>
      <c r="FC22" s="155">
        <f>IFERROR(VLOOKUP($EH22,$BM$2:$BQ$24,2,FALSE),"")</f>
        <v/>
      </c>
      <c r="FD22" s="155">
        <f>COUNTIF($EK22:$EO22,1)</f>
        <v/>
      </c>
      <c r="FE22" s="155">
        <f>COUNTIF($EK22:$EO22,2)</f>
        <v/>
      </c>
      <c r="FF22" s="155">
        <f>COUNTIF($EK22:$EO22,3)</f>
        <v/>
      </c>
      <c r="FG22" s="155">
        <f>COUNTIF($EK22:$EO22,4)</f>
        <v/>
      </c>
      <c r="FH22" s="155">
        <f>COUNTIF($EK22:$EO22,5)</f>
        <v/>
      </c>
      <c r="FI22" s="155">
        <f>COUNTIF($EK22:$EO22,6)</f>
        <v/>
      </c>
      <c r="FJ22" s="155">
        <f>COUNTIF($EZ22:$FA22,1)</f>
        <v/>
      </c>
      <c r="FK22" s="155">
        <f>COUNTIF($EZ22:$FA22,2)+$EW22</f>
        <v/>
      </c>
      <c r="FL22" s="155">
        <f>COUNTIF($EC22:$EF22,"?*")</f>
        <v/>
      </c>
      <c r="FM22" s="155">
        <f>COUNTIF($EG22:$EH22,"?*")+$EW22</f>
        <v/>
      </c>
      <c r="FN22" s="155">
        <f>SUMPRODUCT($FD22:$FI22,INDEX($Q$2:$V$8,$DZ22,0))</f>
        <v/>
      </c>
      <c r="FO22" s="155">
        <f>$FJ22*CEILING($DZ22/2,1)+$FK22*$DZ22</f>
        <v/>
      </c>
      <c r="FP22" s="155">
        <f>MIN(2*$DZ22,$FO22)</f>
        <v/>
      </c>
      <c r="FQ22" s="155">
        <f>MIN($FP22,$FN22)</f>
        <v/>
      </c>
      <c r="FR22" s="155">
        <f>$FP22-$FQ22</f>
        <v/>
      </c>
      <c r="FS22" s="155">
        <f>3*$DZ22-$FN22+$FQ22</f>
        <v/>
      </c>
      <c r="FT22" s="155">
        <f>MAX(0,$FS22)+$DX22*$DZ22</f>
        <v/>
      </c>
      <c r="FU22" s="155">
        <f>(IF(COUNTIF($EC22:$EF22,"Salto")&gt;0,1,0)+IF(COUNTIF($EC22:$EF22,"Queima")&gt;0,1,0)+IF(COUNTIF($EC22:$EF22,"Estilhaço")&gt;0,1,0))*FLOOR($FT22/2,1)</f>
        <v/>
      </c>
      <c r="FV22" s="155">
        <f>MAX(0,3-SUMPRODUCT($FD22:$FI22,$Q$2:$V$2)+MIN(2,$FJ22*1+$FK22*1,SUMPRODUCT($FD22:$FI22,$Q$2:$V$2)))+$DX22*1</f>
        <v/>
      </c>
      <c r="FW22" s="155">
        <f>MAX(0,6-SUMPRODUCT($FD22:$FI22,$Q$3:$V$3)+MIN(4,$FJ22*1+$FK22*2,SUMPRODUCT($FD22:$FI22,$Q$3:$V$3)))+$DX22*2</f>
        <v/>
      </c>
      <c r="FX22" s="155">
        <f>MAX(0,9-SUMPRODUCT($FD22:$FI22,$Q$4:$V$4)+MIN(6,$FJ22*2+$FK22*3,SUMPRODUCT($FD22:$FI22,$Q$4:$V$4)))+$DX22*3</f>
        <v/>
      </c>
      <c r="FY22" s="155">
        <f>MAX(0,12-SUMPRODUCT($FD22:$FI22,$Q$5:$V$5)+MIN(8,$FJ22*2+$FK22*4,SUMPRODUCT($FD22:$FI22,$Q$5:$V$5)))+$DX22*4</f>
        <v/>
      </c>
      <c r="FZ22" s="155">
        <f>MAX(0,15-SUMPRODUCT($FD22:$FI22,$Q$6:$V$6)+MIN(10,$FJ22*3+$FK22*5,SUMPRODUCT($FD22:$FI22,$Q$6:$V$6)))+$DX22*5</f>
        <v/>
      </c>
      <c r="GA22" s="155">
        <f>MAX(0,18-SUMPRODUCT($FD22:$FI22,$Q$7:$V$7)+MIN(12,$FJ22*3+$FK22*6,SUMPRODUCT($FD22:$FI22,$Q$7:$V$7)))+$DX22*6</f>
        <v/>
      </c>
      <c r="GB22" s="155">
        <f>MAX(0,21-SUMPRODUCT($FD22:$FI22,$Q$8:$V$8)+MIN(14,$FJ22*4+$FK22*7,SUMPRODUCT($FD22:$FI22,$Q$8:$V$8)))+$DX22*7</f>
        <v/>
      </c>
      <c r="GC22" s="155">
        <f>IF($EX22=2,3*$FV22&amp;" de vida temp.",IF($EX22=3,"sem dano",IF($FV22=0,IF($EX22=1,"sem cura","sem dano"),IF($EX22=1,"cura ","")&amp;$FV22&amp;"d8")))</f>
        <v/>
      </c>
      <c r="GD22" s="155">
        <f>IF($EX22=2,3*$FW22&amp;" de vida temp.",IF($EX22=3,"sem dano",IF($FW22=0,IF($EX22=1,"sem cura","sem dano"),IF($EX22=1,"cura ","")&amp;$FW22&amp;"d8")))</f>
        <v/>
      </c>
      <c r="GE22" s="155">
        <f>IF($EX22=2,3*$FX22&amp;" de vida temp.",IF($EX22=3,"sem dano",IF($FX22=0,IF($EX22=1,"sem cura","sem dano"),IF($EX22=1,"cura ","")&amp;$FX22&amp;"d8")))</f>
        <v/>
      </c>
      <c r="GF22" s="155">
        <f>IF($EX22=2,3*$FY22&amp;" de vida temp.",IF($EX22=3,"sem dano",IF($FY22=0,IF($EX22=1,"sem cura","sem dano"),IF($EX22=1,"cura ","")&amp;$FY22&amp;"d8")))</f>
        <v/>
      </c>
      <c r="GG22" s="155">
        <f>IF($EX22=2,3*$FZ22&amp;" de vida temp.",IF($EX22=3,"sem dano",IF($FZ22=0,IF($EX22=1,"sem cura","sem dano"),IF($EX22=1,"cura ","")&amp;$FZ22&amp;"d8")))</f>
        <v/>
      </c>
      <c r="GH22" s="155">
        <f>IF($EX22=2,3*$GA22&amp;" de vida temp.",IF($EX22=3,"sem dano",IF($GA22=0,IF($EX22=1,"sem cura","sem dano"),IF($EX22=1,"cura ","")&amp;$GA22&amp;"d8")))</f>
        <v/>
      </c>
      <c r="GI22" s="155">
        <f>IF($EX22=2,3*$GB22&amp;" de vida temp.",IF($EX22=3,"sem dano",IF($GB22=0,IF($EX22=1,"sem cura","sem dano"),IF($EX22=1,"cura ","")&amp;$GB22&amp;"d8")))</f>
        <v/>
      </c>
      <c r="GJ22" s="155">
        <f>IF($EI22=0,"",TEXTJOIN(" · ",TRUE,IF(AND($DX22=1,$DY22&gt;$HK$9),"O nível "&amp;$HK$2&amp;" dá "&amp;$HK$9&amp;" Liberação Máxima",""),IF($DZ22&gt;$HK$4,"Classe "&amp;$DZ22&amp;": o nível "&amp;$HK$2&amp;" libera até a "&amp;$HK$4,""),IF($EP22=1,"Família Fechada: a Forma "&amp;$EB22,""),IF($EQ22=1,"Família Fechada: "&amp;$EC22,""),IF($ER22=1,"Família Fechada: "&amp;$ED22,""),IF($ES22=1,"Família Fechada: "&amp;$EE22,""),IF($ET22=1,"Família Fechada: "&amp;$EF22,""),IF($FL22&gt;INDEX($W$2:$W$8,$DZ22),$FL22&amp;" Melhorias: a Classe "&amp;$DZ22&amp;" aceita "&amp;INDEX($W$2:$W$8,$DZ22),""),IF($FM22&gt;2,$FM22&amp;" Restrições"&amp;IF($EW22=1,", contando a que a Forma "&amp;$EB22&amp;" já traz","")&amp;": o limite é 2",""),IF($FS22&lt;0,"Orçamento estourado: faltam "&amp;(-$FS22)&amp;IF($FS22&lt;-1," pontos"," ponto"),""),IF(IFERROR(VLOOKUP($EG22,$BM$2:$BQ$24,4,FALSE),0)+IFERROR(VLOOKUP($EH22,$BM$2:$BQ$24,4,FALSE),0)&gt;1,$FB22&amp;" e "&amp;$FC22&amp;" são as duas de frequência",""),IF(AND((COUNTIF($EC22:$EF22,"Rápido")+COUNTIF($FB22:$FC22,"Rápido"))&gt;0,(COUNTIF($EC22:$EF22,"Atrasar")+COUNTIF($FB22:$FC22,"Atrasar"))&gt;0),"Rápido não entra com Atrasar",""),IF(AND((COUNTIF($EC22:$EF22,"Reação")+COUNTIF($FB22:$FC22,"Reação"))&gt;0,(COUNTIF($EC22:$EF22,"Rápido")+COUNTIF($FB22:$FC22,"Rápido"))&gt;0),"Reação não entra com Rápido",""),IF(AND((COUNTIF($EC22:$EF22,"Reação")+COUNTIF($FB22:$FC22,"Reação"))&gt;0,(COUNTIF($EC22:$EF22,"Armado")+COUNTIF($FB22:$FC22,"Armado"))&gt;0),"Reação não entra com Armado",""),IF(AND((COUNTIF($EC22:$EF22,"Reação")+COUNTIF($FB22:$FC22,"Reação"))&gt;0,(COUNTIF($EC22:$EF22,"Atrasar")+COUNTIF($FB22:$FC22,"Atrasar"))&gt;0),"Reação não entra com Atrasar",""),IF(AND((COUNTIF($EC22:$EF22,"Reação")+COUNTIF($FB22:$FC22,"Reação"))&gt;0,(COUNTIF($EC22:$EF22,"Parado")+COUNTIF($FB22:$FC22,"Parado"))&gt;0),"Reação não entra com Parado",""),IF(AND((COUNTIF($EC22:$EF22,"Atrasar")+COUNTIF($FB22:$FC22,"Atrasar"))&gt;0,(COUNTIF($EC22:$EF22,"Parado")+COUNTIF($FB22:$FC22,"Parado"))&gt;0),"Atrasar não entra com Parado",""),IF(AND((COUNTIF($EC22:$EF22,"Armado")+COUNTIF($FB22:$FC22,"Armado"))&gt;0,(COUNTIF($EC22:$EF22,"Carregar")+COUNTIF($FB22:$FC22,"Carregar"))&gt;0),"Armado não entra com Carregar",""),IF(AND(COUNTIF($FB22:$FC22,"Corpo a Corpo")&gt;0,$EW22=0,OR($EB22="Cone",$EB22="Linha")),"Corpo a Corpo não entra em "&amp;$EB22,""),IF(AND(COUNTIF($FB22:$FC22,"Corpo a Corpo")&gt;0,$EW22=1),"A Forma "&amp;$EB22&amp;" já traz o Corpo a Corpo",""),IF(AND(COUNTIF($FB22:$FC22,"Tudo ou Nada")&gt;0,$EY22=0),"Tudo ou Nada só entra em feitiço de Teste de Resistência",""),IF(AND(COUNTIF($EC22:$EF22,"Inescapável")&gt;0,OR($FL22&gt;1,$FM22&gt;0)),"Inescapável não aceita outra peça",""),IF(AND($DX22=1,$DZ22&lt;3),"Liberação Máxima é de Classe 3 ou mais",""),IF(AND($DX22=1,OR($EX22=1,$EX22=2)),"Liberação Máxima não serve para cura",""),IF(AND($DX22=1,COUNTIF($EC22:$EF22,"Inescapável")+COUNTIF($EC22:$EF22,"Toca a Alma")&gt;0),"Esta peça não entra numa Liberação Máxima",""),IF($FT22*IF(COUNTIF($EC22:$EF22,"Remate")&gt;0,1.25,1)+$FU22&gt;4*$DZ22,($FT22*IF(COUNTIF($EC22:$EF22,"Remate")&gt;0,1.25,1)+$FU22)&amp;" dados somando repetições"&amp;IF(COUNTIF($EC22:$EF22,"Remate")&gt;0," e o Remate","")&amp;": o teto da Classe "&amp;$DZ22&amp;" é "&amp;4*$DZ22,"")))</f>
        <v/>
      </c>
      <c r="GK22" s="155">
        <f>IF($GJ22="",0,(LEN($GJ22)-LEN(SUBSTITUTE($GJ22," · ","")))/3+1)</f>
        <v/>
      </c>
      <c r="GL22" s="155">
        <f>IF($EI22=0,"",TEXTJOIN(" · ",TRUE,IF($FO22&gt;2*$DZ22,"A devolução parou no teto de "&amp;2*$DZ22,""),IF($FR22&gt;0,"Devolução perdida: "&amp;$FR22&amp;IF($FR22&gt;1," pontos"," ponto")&amp;" sem peça para pagar",""),IF(AND($EU22&gt;0,$FT22=0),"Controle sem dano: uma rodada a mais e CD +2",""),IF(AND($EU22&gt;0,$FT22&gt;0,$FT22&lt;=$DZ22),"Controle com saldo até a Classe: uma rodada a mais","")))</f>
        <v/>
      </c>
      <c r="GM22" s="155">
        <f>IF($GL22="",0,(LEN($GL22)-LEN(SUBSTITUTE($GL22," · ","")))/3+1)</f>
        <v/>
      </c>
      <c r="GN22" s="155">
        <f>IF($EI22=0,IF($FL22+$FM22-$EW22&gt;0,"Dê um nome",""),IF($GK22&gt;0,"⚠ "&amp;$GK22&amp;IF($GK22&gt;1," erros"," erro"),IF($GM22&gt;0,"! "&amp;$GM22&amp;IF($GM22&gt;1," avisos"," aviso"),"Na regra")))</f>
        <v/>
      </c>
      <c r="GO22" s="155">
        <f>IF($EI22=0,"",IF($GK22+$GM22=0,"Dentro das regras que a ficha confere",$GJ22&amp;IF(AND($GK22&gt;0,$GM22&gt;0)," · ","")&amp;$GL22))</f>
        <v/>
      </c>
      <c r="GP22" s="155">
        <f>IF($EI22=0,"",IF($DX22=1,CEILING(4.5*$DZ22,1),3*$DZ22)&amp;" PE")</f>
        <v/>
      </c>
      <c r="GQ22" s="155">
        <f>IF($EI22=0,"",IF($DX22=1,"Rodada inteira",IF(COUNTIF($FB22:$FC22,"Atrasar")&gt;0,IF(COUNTIF($FB22:$FC22,"Carregar")&gt;0,"Rodada +1 turno","Rodada inteira"),IF(COUNTIF($EC22:$EF22,"Rápido")&gt;0,"Bônus",IF(COUNTIF($EC22:$EF22,"Reação")&gt;0,"Reação","Padrão"))&amp;IF(COUNTIF($FB22:$FC22,"Carregar")&gt;0," +1 turno",""))))</f>
        <v/>
      </c>
      <c r="GR22" s="155">
        <f>IF(OR($EI22=0,$EJ22=0),"",IF(COUNTIF($EC22:$EF22,"Inescapável")&gt;0,"Automático",IF(COUNTIF($EC22:$EF22,"Certeiro")&gt;0,"TR para metade",IF(AND($EV22&gt;0,$EY22=0,INDEX($AF$2:$AF$11,$EJ22)="Acerto"),"Acerto + TR",INDEX($AF$2:$AF$11,$EJ22)))))</f>
        <v/>
      </c>
      <c r="GS22" s="155">
        <f>IF(OR($EI22=0,$EJ22=0),"",IF(OR($EX22&gt;=2,$FT22=0),UPPER(LEFT(INDEX($GC22:$GI22,1,$DZ22),1))&amp;MID(INDEX($GC22:$GI22,1,$DZ22),2,99),UPPER(LEFT(INDEX($GC22:$GI22,1,$DZ22),1))&amp;MID(INDEX($GC22:$GI22,1,$DZ22),2,99)&amp;" = "&amp;FLOOR($FT22*4.5,1)&amp;IF($FU22&gt;0," · +"&amp;$FU22&amp;"d8","")))</f>
        <v/>
      </c>
      <c r="GT22" s="155">
        <f>COUNTIF($EC22:$EF22,"Longe")+3*COUNTIF($EC22:$EF22,"Muito Longe")</f>
        <v/>
      </c>
      <c r="GU22" s="155">
        <f>COUNTIF($EC22:$EF22,"Maior")+3*COUNTIF($EC22:$EF22,"Muito Maior")</f>
        <v/>
      </c>
      <c r="GV22" s="155">
        <f>IF($EJ22=0,0,CHOOSE(1+INDEX($AH$2:$AH$11,$EJ22),0,$GT22,$GU22,$GT22+$GU22))</f>
        <v/>
      </c>
      <c r="GW22" s="155">
        <f>IF($EJ22=0,0,CHOOSE(1+INDEX($AI$2:$AI$11,$EJ22),0,$GT22,$GU22,$GT22+$GU22))</f>
        <v/>
      </c>
      <c r="GX22" s="155">
        <f>IF(OR($EI22=0,$EJ22=0),"",INDEX($AP$2:$AU$31,($EJ22-1)*3+IF($DZ22&gt;=6,3,2),1+MIN(5,$GV22))&amp;INDEX($AV$2:$BA$31,($EJ22-1)*3+IF($DZ22&gt;=6,3,2),1+MIN(5,$GW22))&amp;IF(INDEX($AJ$2:$AJ$11,$EJ22)=1,IF(COUNTIF($EC22:$EF22,"Mais Um")&gt;0," · +"&amp;COUNTIF($EC22:$EF22,"Mais Um")&amp;IF(COUNTIF($EC22:$EF22,"Mais Um")&gt;1," alvos"," alvo"),"")&amp;IF(COUNTIF($EC22:$EF22,"Rajada")&gt;0," · "&amp;($DZ22+1)&amp;" tiros",""),""))</f>
        <v/>
      </c>
      <c r="GY22" s="155">
        <f>IF($EI22=0,"",3*$DZ22&amp;" − "&amp;$FN22&amp;" + "&amp;$FQ22&amp;IF($DX22=1," + "&amp;$DZ22,"")&amp;" = "&amp;$FT22&amp;"d8 · teto "&amp;4*$DZ22&amp;IF($EW22=1," · a Forma devolve "&amp;$DZ22,"")&amp;IF($FR22&gt;0," · perde "&amp;$FR22,""))</f>
        <v/>
      </c>
      <c r="GZ22" s="155">
        <f>IF($EI22=0,"",IF($DZ22&gt;=$HK$4,"Já está na maior Classe que o nível liberou",TEXTJOIN(" · ",TRUE,IF(AND(2&gt;$DZ22,2&lt;=$HK$4),"2 → "&amp;$GD22&amp;", "&amp;IF($DX22=1,9,6)&amp;" PE",""),IF(AND(3&gt;$DZ22,3&lt;=$HK$4),"3 → "&amp;$GE22&amp;", "&amp;IF($DX22=1,14,9)&amp;" PE",""),IF(AND(4&gt;$DZ22,4&lt;=$HK$4),"4 → "&amp;$GF22&amp;", "&amp;IF($DX22=1,18,12)&amp;" PE",""),IF(AND(5&gt;$DZ22,5&lt;=$HK$4),"5 → "&amp;$GG22&amp;", "&amp;IF($DX22=1,23,15)&amp;" PE",""),IF(AND(6&gt;$DZ22,6&lt;=$HK$4),"6 → "&amp;$GH22&amp;", "&amp;IF($DX22=1,27,18)&amp;" PE",""),IF(AND(7&gt;$DZ22,7&lt;=$HK$4),"7 → "&amp;$GI22&amp;", "&amp;IF($DX22=1,32,21)&amp;" PE",""))))</f>
        <v/>
      </c>
      <c r="HA22" s="155">
        <f>IF(OR($EI22=0,$EL22=0),"","−"&amp;INDEX($Q$2:$V$8,$DZ22,$EL22)&amp;" · "&amp;CHOOSE($EL22,"Leve","Média","Pesada","Leve · Livre","Média · Livre","Pesada · Livre"))</f>
        <v/>
      </c>
      <c r="HB22" s="155">
        <f>IF(OR($EI22=0,$EM22=0),"","−"&amp;INDEX($Q$2:$V$8,$DZ22,$EM22)&amp;" · "&amp;CHOOSE($EM22,"Leve","Média","Pesada","Leve · Livre","Média · Livre","Pesada · Livre"))</f>
        <v/>
      </c>
      <c r="HC22" s="155">
        <f>IF(OR($EI22=0,$EN22=0),"","−"&amp;INDEX($Q$2:$V$8,$DZ22,$EN22)&amp;" · "&amp;CHOOSE($EN22,"Leve","Média","Pesada","Leve · Livre","Média · Livre","Pesada · Livre"))</f>
        <v/>
      </c>
      <c r="HD22" s="155">
        <f>IF(OR($EI22=0,$EO22=0),"","−"&amp;INDEX($Q$2:$V$8,$DZ22,$EO22)&amp;" · "&amp;CHOOSE($EO22,"Leve","Média","Pesada","Leve · Livre","Média · Livre","Pesada · Livre"))</f>
        <v/>
      </c>
      <c r="HE22" s="155">
        <f>IF(OR($EI22=0,$EG22=""),"","+"&amp;IF($EZ22=1,CEILING($DZ22/2,1),$DZ22))</f>
        <v/>
      </c>
      <c r="HF22" s="155">
        <f>IF(OR($EI22=0,$EH22=""),"","+"&amp;IF($FA22=1,CEILING($DZ22/2,1),$DZ22))</f>
        <v/>
      </c>
      <c r="HG22" s="155">
        <f>'FICHA AMALDIÇOADA'!$P$181&amp;""</f>
        <v/>
      </c>
      <c r="HH22" s="155">
        <f>IF(AND($EI22=1,$DX22=0),COUNTIFS($EI$2:$EI22,1,$DX$2:$DX22,0),"")</f>
        <v/>
      </c>
      <c r="HJ22" s="153" t="inlineStr">
        <is>
          <t>cabem</t>
        </is>
      </c>
      <c r="HK22" s="155">
        <f>$HK$14+$HK$8-$HK$18-$HK$19-$HK$20</f>
        <v/>
      </c>
      <c r="JF22" s="155" t="n">
        <v>21</v>
      </c>
      <c r="JG22" s="155">
        <f>IFERROR(MATCH(21,$HH$2:$HH$37,0),0)</f>
        <v/>
      </c>
      <c r="JH22" s="155">
        <f>IF($JG22=0,"",INDEX($DZ$2:$DZ$37,$JG22))</f>
        <v/>
      </c>
      <c r="JI22" s="155">
        <f>IF($JG22=0,"",INDEX($EA$2:$EA$37,$JG22))</f>
        <v/>
      </c>
      <c r="JJ22" s="155">
        <f>IF($JG22=0,"",INDEX($GP$2:$GP$37,$JG22))</f>
        <v/>
      </c>
      <c r="JK22" s="155">
        <f>IF($JG22=0,"",INDEX($EB$2:$EB$37,$JG22))</f>
        <v/>
      </c>
      <c r="JL22" s="155">
        <f>IF($JG22=0,"",INDEX($GR$2:$GR$37,$JG22))</f>
        <v/>
      </c>
      <c r="JM22" s="155">
        <f>IF($JG22=0,"",INDEX($HG$2:$HG$37,$JG22))</f>
        <v/>
      </c>
      <c r="KS22" s="153" t="inlineStr">
        <is>
          <t>Q42</t>
        </is>
      </c>
      <c r="KT22" s="155">
        <f>IF(DADOS_AM!$HK$21=1,"⚠ ","")&amp;DADOS_AM!$HK$19</f>
        <v/>
      </c>
    </row>
    <row r="23">
      <c r="AO23" s="153" t="inlineStr">
        <is>
          <t>Apoio · classe 0</t>
        </is>
      </c>
      <c r="AP23" s="153" t="inlineStr">
        <is>
          <t>Um aliado a 4,5 m</t>
        </is>
      </c>
      <c r="AQ23" s="153" t="inlineStr">
        <is>
          <t>Um aliado a 9 m</t>
        </is>
      </c>
      <c r="AR23" s="153" t="inlineStr">
        <is>
          <t>Um aliado a 18 m</t>
        </is>
      </c>
      <c r="AS23" s="153" t="inlineStr">
        <is>
          <t>Um aliado a 36 m</t>
        </is>
      </c>
      <c r="AT23" s="153" t="inlineStr">
        <is>
          <t>Um aliado a 90 m</t>
        </is>
      </c>
      <c r="AU23" s="153" t="inlineStr">
        <is>
          <t>Um aliado a visão a olho nu</t>
        </is>
      </c>
      <c r="AV23" s="153" t="inlineStr"/>
      <c r="AW23" s="153" t="inlineStr"/>
      <c r="AX23" s="153" t="inlineStr"/>
      <c r="AY23" s="153" t="inlineStr"/>
      <c r="AZ23" s="153" t="inlineStr"/>
      <c r="BA23" s="153" t="inlineStr"/>
      <c r="BC23" s="153" t="inlineStr">
        <is>
          <t>Sem Cobertura</t>
        </is>
      </c>
      <c r="BD23" s="153" t="inlineStr">
        <is>
          <t>Mira</t>
        </is>
      </c>
      <c r="BE23" s="155" t="n">
        <v>1</v>
      </c>
      <c r="BF23" s="155">
        <f>$BE23+3*IFERROR(VLOOKUP($BD23,$I$2:$L$10,3,FALSE),0)</f>
        <v/>
      </c>
      <c r="BG23" s="155">
        <f>IFERROR(VLOOKUP($BD23,$I$2:$L$10,4,FALSE),0)</f>
        <v/>
      </c>
      <c r="BH23" s="155" t="n">
        <v>0</v>
      </c>
      <c r="BI23" s="155">
        <f>IF($BG23=1,"",$BC23)</f>
        <v/>
      </c>
      <c r="BJ23" s="155">
        <f>IF(AND($BE23=1,$BG23=0),$BC23,"")</f>
        <v/>
      </c>
      <c r="BK23" s="155" t="n">
        <v>0</v>
      </c>
      <c r="BM23" s="153" t="inlineStr">
        <is>
          <t>Restrição Própria (Leve)</t>
        </is>
      </c>
      <c r="BN23" s="153" t="inlineStr">
        <is>
          <t>Restrição Própria</t>
        </is>
      </c>
      <c r="BO23" s="155" t="n">
        <v>1</v>
      </c>
      <c r="BP23" s="155" t="n">
        <v>0</v>
      </c>
      <c r="BQ23" s="153" t="inlineStr">
        <is>
          <t>Restrição Própria (Leve)</t>
        </is>
      </c>
      <c r="BS23" s="153" t="inlineStr">
        <is>
          <t>Contragolpe</t>
        </is>
      </c>
      <c r="BT23" s="155" t="n">
        <v>2</v>
      </c>
      <c r="BU23" s="153" t="inlineStr">
        <is>
          <t>Quando uma criatura errar um ataque corpo a corpo contra você, pode guardar uma resposta contra ela. Sua próxima rolagem de ataque de uma Kata contra essa criatura tem vantagem. O benefício termina depois dessa rolagem ou ao fim da cena.</t>
        </is>
      </c>
      <c r="BV23" s="155" t="n">
        <v>0</v>
      </c>
      <c r="BW23" s="155" t="n">
        <v>1</v>
      </c>
      <c r="BX23" s="155">
        <f>IF(OR(AND($A$2&lt;=2,$BV23=1),AND($A$2&gt;=2,$BW23=1)),$BS23,"")</f>
        <v/>
      </c>
      <c r="BY23" s="153" t="inlineStr">
        <is>
          <t>Quando uma criatura errar um ataque corpo a corpo contra você, pode guardar uma resposta contra ela. Sua próxima rolagem de ataque de uma Kata contra essa criatura tem vantagem. O benefício termina depois dessa rolagem ou ao fim da cena.</t>
        </is>
      </c>
      <c r="CD23" s="153" t="inlineStr">
        <is>
          <t>Presilha</t>
        </is>
      </c>
      <c r="CE23" s="153" t="inlineStr">
        <is>
          <t>Lapidação 4 e Força 4</t>
        </is>
      </c>
      <c r="CF23" s="155" t="n">
        <v>2</v>
      </c>
      <c r="CG23" s="153" t="inlineStr">
        <is>
          <t>—</t>
        </is>
      </c>
      <c r="CH23" s="153"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55">
        <f>IF($CL23=1,"",IF($A$2=4,IF($CJ23=1,$CD23,""),IF(OR($CJ23=1,AND($A$2=3,$CK23=1)),"",$CD23)))</f>
        <v/>
      </c>
      <c r="CJ23" s="155" t="n">
        <v>1</v>
      </c>
      <c r="CK23" s="155" t="n">
        <v>0</v>
      </c>
      <c r="CL23" s="155" t="n">
        <v>0</v>
      </c>
      <c r="CM23" s="153" t="inlineStr">
        <is>
          <t>Uma vez por rodada, quando uma criatura passar num TR para evitar que você a agarre, derrube ou mova à força, pode obrigá-la a repetir esse TR.</t>
        </is>
      </c>
      <c r="DW23" s="153" t="inlineStr">
        <is>
          <t>Feitiço 22</t>
        </is>
      </c>
      <c r="DX23" s="155" t="n">
        <v>0</v>
      </c>
      <c r="DY23" s="155" t="n">
        <v>22</v>
      </c>
      <c r="DZ23" s="155">
        <f>MAX(1,MIN(7,N('FICHA AMALDIÇOADA'!$D$200)))</f>
        <v/>
      </c>
      <c r="EA23" s="155">
        <f>'FICHA AMALDIÇOADA'!$E$200&amp;""</f>
        <v/>
      </c>
      <c r="EB23" s="155">
        <f>'FICHA AMALDIÇOADA'!$D$207&amp;""</f>
        <v/>
      </c>
      <c r="EC23" s="155">
        <f>'FICHA AMALDIÇOADA'!$E$209&amp;""</f>
        <v/>
      </c>
      <c r="ED23" s="155">
        <f>'FICHA AMALDIÇOADA'!$E$210&amp;""</f>
        <v/>
      </c>
      <c r="EE23" s="155">
        <f>'FICHA AMALDIÇOADA'!$E$211&amp;""</f>
        <v/>
      </c>
      <c r="EF23" s="155">
        <f>'FICHA AMALDIÇOADA'!$E$212&amp;""</f>
        <v/>
      </c>
      <c r="EG23" s="155">
        <f>'FICHA AMALDIÇOADA'!$E$213&amp;""</f>
        <v/>
      </c>
      <c r="EH23" s="155">
        <f>'FICHA AMALDIÇOADA'!$E$214&amp;""</f>
        <v/>
      </c>
      <c r="EI23" s="155">
        <f>IF($EA23&lt;&gt;"",1,0)</f>
        <v/>
      </c>
      <c r="EJ23" s="155">
        <f>IFERROR(MATCH($EB23,$Y$2:$Y$11,0),0)</f>
        <v/>
      </c>
      <c r="EK23" s="155">
        <f>IF($EJ23=0,0,INDEX($AB$2:$AB$11,$EJ23))</f>
        <v/>
      </c>
      <c r="EL23" s="155">
        <f>IFERROR(VLOOKUP($EC23,$BC$2:$BK$84,4,FALSE),0)</f>
        <v/>
      </c>
      <c r="EM23" s="155">
        <f>IFERROR(VLOOKUP($ED23,$BC$2:$BK$84,4,FALSE),0)</f>
        <v/>
      </c>
      <c r="EN23" s="155">
        <f>IFERROR(VLOOKUP($EE23,$BC$2:$BK$84,4,FALSE),0)</f>
        <v/>
      </c>
      <c r="EO23" s="155">
        <f>IFERROR(VLOOKUP($EF23,$BC$2:$BK$84,4,FALSE),0)</f>
        <v/>
      </c>
      <c r="EP23" s="155">
        <f>IF($EJ23=0,0,INDEX($AC$2:$AC$11,$EJ23))</f>
        <v/>
      </c>
      <c r="EQ23" s="155">
        <f>IFERROR(VLOOKUP($EC23,$BC$2:$BK$84,5,FALSE),0)</f>
        <v/>
      </c>
      <c r="ER23" s="155">
        <f>IFERROR(VLOOKUP($ED23,$BC$2:$BK$84,5,FALSE),0)</f>
        <v/>
      </c>
      <c r="ES23" s="155">
        <f>IFERROR(VLOOKUP($EE23,$BC$2:$BK$84,5,FALSE),0)</f>
        <v/>
      </c>
      <c r="ET23" s="155">
        <f>IFERROR(VLOOKUP($EF23,$BC$2:$BK$84,5,FALSE),0)</f>
        <v/>
      </c>
      <c r="EU23" s="155">
        <f>IFERROR(VLOOKUP($EC23,$BC$2:$BK$84,6,FALSE),0)+IFERROR(VLOOKUP($ED23,$BC$2:$BK$84,6,FALSE),0)+IFERROR(VLOOKUP($EE23,$BC$2:$BK$84,6,FALSE),0)+IFERROR(VLOOKUP($EF23,$BC$2:$BK$84,6,FALSE),0)</f>
        <v/>
      </c>
      <c r="EV23" s="155">
        <f>IFERROR(VLOOKUP($EC23,$BC$2:$BK$84,9,FALSE),0)+IFERROR(VLOOKUP($ED23,$BC$2:$BK$84,9,FALSE),0)+IFERROR(VLOOKUP($EE23,$BC$2:$BK$84,9,FALSE),0)+IFERROR(VLOOKUP($EF23,$BC$2:$BK$84,9,FALSE),0)</f>
        <v/>
      </c>
      <c r="EW23" s="155">
        <f>IF($EJ23=0,0,INDEX($AD$2:$AD$11,$EJ23))</f>
        <v/>
      </c>
      <c r="EX23" s="155">
        <f>IF($EJ23=0,0,INDEX($AE$2:$AE$11,$EJ23))</f>
        <v/>
      </c>
      <c r="EY23" s="155">
        <f>IF($EJ23=0,0,INDEX($AG$2:$AG$11,$EJ23))</f>
        <v/>
      </c>
      <c r="EZ23" s="155">
        <f>IFERROR(VLOOKUP($EG23,$BM$2:$BQ$24,3,FALSE),0)</f>
        <v/>
      </c>
      <c r="FA23" s="155">
        <f>IFERROR(VLOOKUP($EH23,$BM$2:$BQ$24,3,FALSE),0)</f>
        <v/>
      </c>
      <c r="FB23" s="155">
        <f>IFERROR(VLOOKUP($EG23,$BM$2:$BQ$24,2,FALSE),"")</f>
        <v/>
      </c>
      <c r="FC23" s="155">
        <f>IFERROR(VLOOKUP($EH23,$BM$2:$BQ$24,2,FALSE),"")</f>
        <v/>
      </c>
      <c r="FD23" s="155">
        <f>COUNTIF($EK23:$EO23,1)</f>
        <v/>
      </c>
      <c r="FE23" s="155">
        <f>COUNTIF($EK23:$EO23,2)</f>
        <v/>
      </c>
      <c r="FF23" s="155">
        <f>COUNTIF($EK23:$EO23,3)</f>
        <v/>
      </c>
      <c r="FG23" s="155">
        <f>COUNTIF($EK23:$EO23,4)</f>
        <v/>
      </c>
      <c r="FH23" s="155">
        <f>COUNTIF($EK23:$EO23,5)</f>
        <v/>
      </c>
      <c r="FI23" s="155">
        <f>COUNTIF($EK23:$EO23,6)</f>
        <v/>
      </c>
      <c r="FJ23" s="155">
        <f>COUNTIF($EZ23:$FA23,1)</f>
        <v/>
      </c>
      <c r="FK23" s="155">
        <f>COUNTIF($EZ23:$FA23,2)+$EW23</f>
        <v/>
      </c>
      <c r="FL23" s="155">
        <f>COUNTIF($EC23:$EF23,"?*")</f>
        <v/>
      </c>
      <c r="FM23" s="155">
        <f>COUNTIF($EG23:$EH23,"?*")+$EW23</f>
        <v/>
      </c>
      <c r="FN23" s="155">
        <f>SUMPRODUCT($FD23:$FI23,INDEX($Q$2:$V$8,$DZ23,0))</f>
        <v/>
      </c>
      <c r="FO23" s="155">
        <f>$FJ23*CEILING($DZ23/2,1)+$FK23*$DZ23</f>
        <v/>
      </c>
      <c r="FP23" s="155">
        <f>MIN(2*$DZ23,$FO23)</f>
        <v/>
      </c>
      <c r="FQ23" s="155">
        <f>MIN($FP23,$FN23)</f>
        <v/>
      </c>
      <c r="FR23" s="155">
        <f>$FP23-$FQ23</f>
        <v/>
      </c>
      <c r="FS23" s="155">
        <f>3*$DZ23-$FN23+$FQ23</f>
        <v/>
      </c>
      <c r="FT23" s="155">
        <f>MAX(0,$FS23)+$DX23*$DZ23</f>
        <v/>
      </c>
      <c r="FU23" s="155">
        <f>(IF(COUNTIF($EC23:$EF23,"Salto")&gt;0,1,0)+IF(COUNTIF($EC23:$EF23,"Queima")&gt;0,1,0)+IF(COUNTIF($EC23:$EF23,"Estilhaço")&gt;0,1,0))*FLOOR($FT23/2,1)</f>
        <v/>
      </c>
      <c r="FV23" s="155">
        <f>MAX(0,3-SUMPRODUCT($FD23:$FI23,$Q$2:$V$2)+MIN(2,$FJ23*1+$FK23*1,SUMPRODUCT($FD23:$FI23,$Q$2:$V$2)))+$DX23*1</f>
        <v/>
      </c>
      <c r="FW23" s="155">
        <f>MAX(0,6-SUMPRODUCT($FD23:$FI23,$Q$3:$V$3)+MIN(4,$FJ23*1+$FK23*2,SUMPRODUCT($FD23:$FI23,$Q$3:$V$3)))+$DX23*2</f>
        <v/>
      </c>
      <c r="FX23" s="155">
        <f>MAX(0,9-SUMPRODUCT($FD23:$FI23,$Q$4:$V$4)+MIN(6,$FJ23*2+$FK23*3,SUMPRODUCT($FD23:$FI23,$Q$4:$V$4)))+$DX23*3</f>
        <v/>
      </c>
      <c r="FY23" s="155">
        <f>MAX(0,12-SUMPRODUCT($FD23:$FI23,$Q$5:$V$5)+MIN(8,$FJ23*2+$FK23*4,SUMPRODUCT($FD23:$FI23,$Q$5:$V$5)))+$DX23*4</f>
        <v/>
      </c>
      <c r="FZ23" s="155">
        <f>MAX(0,15-SUMPRODUCT($FD23:$FI23,$Q$6:$V$6)+MIN(10,$FJ23*3+$FK23*5,SUMPRODUCT($FD23:$FI23,$Q$6:$V$6)))+$DX23*5</f>
        <v/>
      </c>
      <c r="GA23" s="155">
        <f>MAX(0,18-SUMPRODUCT($FD23:$FI23,$Q$7:$V$7)+MIN(12,$FJ23*3+$FK23*6,SUMPRODUCT($FD23:$FI23,$Q$7:$V$7)))+$DX23*6</f>
        <v/>
      </c>
      <c r="GB23" s="155">
        <f>MAX(0,21-SUMPRODUCT($FD23:$FI23,$Q$8:$V$8)+MIN(14,$FJ23*4+$FK23*7,SUMPRODUCT($FD23:$FI23,$Q$8:$V$8)))+$DX23*7</f>
        <v/>
      </c>
      <c r="GC23" s="155">
        <f>IF($EX23=2,3*$FV23&amp;" de vida temp.",IF($EX23=3,"sem dano",IF($FV23=0,IF($EX23=1,"sem cura","sem dano"),IF($EX23=1,"cura ","")&amp;$FV23&amp;"d8")))</f>
        <v/>
      </c>
      <c r="GD23" s="155">
        <f>IF($EX23=2,3*$FW23&amp;" de vida temp.",IF($EX23=3,"sem dano",IF($FW23=0,IF($EX23=1,"sem cura","sem dano"),IF($EX23=1,"cura ","")&amp;$FW23&amp;"d8")))</f>
        <v/>
      </c>
      <c r="GE23" s="155">
        <f>IF($EX23=2,3*$FX23&amp;" de vida temp.",IF($EX23=3,"sem dano",IF($FX23=0,IF($EX23=1,"sem cura","sem dano"),IF($EX23=1,"cura ","")&amp;$FX23&amp;"d8")))</f>
        <v/>
      </c>
      <c r="GF23" s="155">
        <f>IF($EX23=2,3*$FY23&amp;" de vida temp.",IF($EX23=3,"sem dano",IF($FY23=0,IF($EX23=1,"sem cura","sem dano"),IF($EX23=1,"cura ","")&amp;$FY23&amp;"d8")))</f>
        <v/>
      </c>
      <c r="GG23" s="155">
        <f>IF($EX23=2,3*$FZ23&amp;" de vida temp.",IF($EX23=3,"sem dano",IF($FZ23=0,IF($EX23=1,"sem cura","sem dano"),IF($EX23=1,"cura ","")&amp;$FZ23&amp;"d8")))</f>
        <v/>
      </c>
      <c r="GH23" s="155">
        <f>IF($EX23=2,3*$GA23&amp;" de vida temp.",IF($EX23=3,"sem dano",IF($GA23=0,IF($EX23=1,"sem cura","sem dano"),IF($EX23=1,"cura ","")&amp;$GA23&amp;"d8")))</f>
        <v/>
      </c>
      <c r="GI23" s="155">
        <f>IF($EX23=2,3*$GB23&amp;" de vida temp.",IF($EX23=3,"sem dano",IF($GB23=0,IF($EX23=1,"sem cura","sem dano"),IF($EX23=1,"cura ","")&amp;$GB23&amp;"d8")))</f>
        <v/>
      </c>
      <c r="GJ23" s="155">
        <f>IF($EI23=0,"",TEXTJOIN(" · ",TRUE,IF(AND($DX23=1,$DY23&gt;$HK$9),"O nível "&amp;$HK$2&amp;" dá "&amp;$HK$9&amp;" Liberação Máxima",""),IF($DZ23&gt;$HK$4,"Classe "&amp;$DZ23&amp;": o nível "&amp;$HK$2&amp;" libera até a "&amp;$HK$4,""),IF($EP23=1,"Família Fechada: a Forma "&amp;$EB23,""),IF($EQ23=1,"Família Fechada: "&amp;$EC23,""),IF($ER23=1,"Família Fechada: "&amp;$ED23,""),IF($ES23=1,"Família Fechada: "&amp;$EE23,""),IF($ET23=1,"Família Fechada: "&amp;$EF23,""),IF($FL23&gt;INDEX($W$2:$W$8,$DZ23),$FL23&amp;" Melhorias: a Classe "&amp;$DZ23&amp;" aceita "&amp;INDEX($W$2:$W$8,$DZ23),""),IF($FM23&gt;2,$FM23&amp;" Restrições"&amp;IF($EW23=1,", contando a que a Forma "&amp;$EB23&amp;" já traz","")&amp;": o limite é 2",""),IF($FS23&lt;0,"Orçamento estourado: faltam "&amp;(-$FS23)&amp;IF($FS23&lt;-1," pontos"," ponto"),""),IF(IFERROR(VLOOKUP($EG23,$BM$2:$BQ$24,4,FALSE),0)+IFERROR(VLOOKUP($EH23,$BM$2:$BQ$24,4,FALSE),0)&gt;1,$FB23&amp;" e "&amp;$FC23&amp;" são as duas de frequência",""),IF(AND((COUNTIF($EC23:$EF23,"Rápido")+COUNTIF($FB23:$FC23,"Rápido"))&gt;0,(COUNTIF($EC23:$EF23,"Atrasar")+COUNTIF($FB23:$FC23,"Atrasar"))&gt;0),"Rápido não entra com Atrasar",""),IF(AND((COUNTIF($EC23:$EF23,"Reação")+COUNTIF($FB23:$FC23,"Reação"))&gt;0,(COUNTIF($EC23:$EF23,"Rápido")+COUNTIF($FB23:$FC23,"Rápido"))&gt;0),"Reação não entra com Rápido",""),IF(AND((COUNTIF($EC23:$EF23,"Reação")+COUNTIF($FB23:$FC23,"Reação"))&gt;0,(COUNTIF($EC23:$EF23,"Armado")+COUNTIF($FB23:$FC23,"Armado"))&gt;0),"Reação não entra com Armado",""),IF(AND((COUNTIF($EC23:$EF23,"Reação")+COUNTIF($FB23:$FC23,"Reação"))&gt;0,(COUNTIF($EC23:$EF23,"Atrasar")+COUNTIF($FB23:$FC23,"Atrasar"))&gt;0),"Reação não entra com Atrasar",""),IF(AND((COUNTIF($EC23:$EF23,"Reação")+COUNTIF($FB23:$FC23,"Reação"))&gt;0,(COUNTIF($EC23:$EF23,"Parado")+COUNTIF($FB23:$FC23,"Parado"))&gt;0),"Reação não entra com Parado",""),IF(AND((COUNTIF($EC23:$EF23,"Atrasar")+COUNTIF($FB23:$FC23,"Atrasar"))&gt;0,(COUNTIF($EC23:$EF23,"Parado")+COUNTIF($FB23:$FC23,"Parado"))&gt;0),"Atrasar não entra com Parado",""),IF(AND((COUNTIF($EC23:$EF23,"Armado")+COUNTIF($FB23:$FC23,"Armado"))&gt;0,(COUNTIF($EC23:$EF23,"Carregar")+COUNTIF($FB23:$FC23,"Carregar"))&gt;0),"Armado não entra com Carregar",""),IF(AND(COUNTIF($FB23:$FC23,"Corpo a Corpo")&gt;0,$EW23=0,OR($EB23="Cone",$EB23="Linha")),"Corpo a Corpo não entra em "&amp;$EB23,""),IF(AND(COUNTIF($FB23:$FC23,"Corpo a Corpo")&gt;0,$EW23=1),"A Forma "&amp;$EB23&amp;" já traz o Corpo a Corpo",""),IF(AND(COUNTIF($FB23:$FC23,"Tudo ou Nada")&gt;0,$EY23=0),"Tudo ou Nada só entra em feitiço de Teste de Resistência",""),IF(AND(COUNTIF($EC23:$EF23,"Inescapável")&gt;0,OR($FL23&gt;1,$FM23&gt;0)),"Inescapável não aceita outra peça",""),IF(AND($DX23=1,$DZ23&lt;3),"Liberação Máxima é de Classe 3 ou mais",""),IF(AND($DX23=1,OR($EX23=1,$EX23=2)),"Liberação Máxima não serve para cura",""),IF(AND($DX23=1,COUNTIF($EC23:$EF23,"Inescapável")+COUNTIF($EC23:$EF23,"Toca a Alma")&gt;0),"Esta peça não entra numa Liberação Máxima",""),IF($FT23*IF(COUNTIF($EC23:$EF23,"Remate")&gt;0,1.25,1)+$FU23&gt;4*$DZ23,($FT23*IF(COUNTIF($EC23:$EF23,"Remate")&gt;0,1.25,1)+$FU23)&amp;" dados somando repetições"&amp;IF(COUNTIF($EC23:$EF23,"Remate")&gt;0," e o Remate","")&amp;": o teto da Classe "&amp;$DZ23&amp;" é "&amp;4*$DZ23,"")))</f>
        <v/>
      </c>
      <c r="GK23" s="155">
        <f>IF($GJ23="",0,(LEN($GJ23)-LEN(SUBSTITUTE($GJ23," · ","")))/3+1)</f>
        <v/>
      </c>
      <c r="GL23" s="155">
        <f>IF($EI23=0,"",TEXTJOIN(" · ",TRUE,IF($FO23&gt;2*$DZ23,"A devolução parou no teto de "&amp;2*$DZ23,""),IF($FR23&gt;0,"Devolução perdida: "&amp;$FR23&amp;IF($FR23&gt;1," pontos"," ponto")&amp;" sem peça para pagar",""),IF(AND($EU23&gt;0,$FT23=0),"Controle sem dano: uma rodada a mais e CD +2",""),IF(AND($EU23&gt;0,$FT23&gt;0,$FT23&lt;=$DZ23),"Controle com saldo até a Classe: uma rodada a mais","")))</f>
        <v/>
      </c>
      <c r="GM23" s="155">
        <f>IF($GL23="",0,(LEN($GL23)-LEN(SUBSTITUTE($GL23," · ","")))/3+1)</f>
        <v/>
      </c>
      <c r="GN23" s="155">
        <f>IF($EI23=0,IF($FL23+$FM23-$EW23&gt;0,"Dê um nome",""),IF($GK23&gt;0,"⚠ "&amp;$GK23&amp;IF($GK23&gt;1," erros"," erro"),IF($GM23&gt;0,"! "&amp;$GM23&amp;IF($GM23&gt;1," avisos"," aviso"),"Na regra")))</f>
        <v/>
      </c>
      <c r="GO23" s="155">
        <f>IF($EI23=0,"",IF($GK23+$GM23=0,"Dentro das regras que a ficha confere",$GJ23&amp;IF(AND($GK23&gt;0,$GM23&gt;0)," · ","")&amp;$GL23))</f>
        <v/>
      </c>
      <c r="GP23" s="155">
        <f>IF($EI23=0,"",IF($DX23=1,CEILING(4.5*$DZ23,1),3*$DZ23)&amp;" PE")</f>
        <v/>
      </c>
      <c r="GQ23" s="155">
        <f>IF($EI23=0,"",IF($DX23=1,"Rodada inteira",IF(COUNTIF($FB23:$FC23,"Atrasar")&gt;0,IF(COUNTIF($FB23:$FC23,"Carregar")&gt;0,"Rodada +1 turno","Rodada inteira"),IF(COUNTIF($EC23:$EF23,"Rápido")&gt;0,"Bônus",IF(COUNTIF($EC23:$EF23,"Reação")&gt;0,"Reação","Padrão"))&amp;IF(COUNTIF($FB23:$FC23,"Carregar")&gt;0," +1 turno",""))))</f>
        <v/>
      </c>
      <c r="GR23" s="155">
        <f>IF(OR($EI23=0,$EJ23=0),"",IF(COUNTIF($EC23:$EF23,"Inescapável")&gt;0,"Automático",IF(COUNTIF($EC23:$EF23,"Certeiro")&gt;0,"TR para metade",IF(AND($EV23&gt;0,$EY23=0,INDEX($AF$2:$AF$11,$EJ23)="Acerto"),"Acerto + TR",INDEX($AF$2:$AF$11,$EJ23)))))</f>
        <v/>
      </c>
      <c r="GS23" s="155">
        <f>IF(OR($EI23=0,$EJ23=0),"",IF(OR($EX23&gt;=2,$FT23=0),UPPER(LEFT(INDEX($GC23:$GI23,1,$DZ23),1))&amp;MID(INDEX($GC23:$GI23,1,$DZ23),2,99),UPPER(LEFT(INDEX($GC23:$GI23,1,$DZ23),1))&amp;MID(INDEX($GC23:$GI23,1,$DZ23),2,99)&amp;" = "&amp;FLOOR($FT23*4.5,1)&amp;IF($FU23&gt;0," · +"&amp;$FU23&amp;"d8","")))</f>
        <v/>
      </c>
      <c r="GT23" s="155">
        <f>COUNTIF($EC23:$EF23,"Longe")+3*COUNTIF($EC23:$EF23,"Muito Longe")</f>
        <v/>
      </c>
      <c r="GU23" s="155">
        <f>COUNTIF($EC23:$EF23,"Maior")+3*COUNTIF($EC23:$EF23,"Muito Maior")</f>
        <v/>
      </c>
      <c r="GV23" s="155">
        <f>IF($EJ23=0,0,CHOOSE(1+INDEX($AH$2:$AH$11,$EJ23),0,$GT23,$GU23,$GT23+$GU23))</f>
        <v/>
      </c>
      <c r="GW23" s="155">
        <f>IF($EJ23=0,0,CHOOSE(1+INDEX($AI$2:$AI$11,$EJ23),0,$GT23,$GU23,$GT23+$GU23))</f>
        <v/>
      </c>
      <c r="GX23" s="155">
        <f>IF(OR($EI23=0,$EJ23=0),"",INDEX($AP$2:$AU$31,($EJ23-1)*3+IF($DZ23&gt;=6,3,2),1+MIN(5,$GV23))&amp;INDEX($AV$2:$BA$31,($EJ23-1)*3+IF($DZ23&gt;=6,3,2),1+MIN(5,$GW23))&amp;IF(INDEX($AJ$2:$AJ$11,$EJ23)=1,IF(COUNTIF($EC23:$EF23,"Mais Um")&gt;0," · +"&amp;COUNTIF($EC23:$EF23,"Mais Um")&amp;IF(COUNTIF($EC23:$EF23,"Mais Um")&gt;1," alvos"," alvo"),"")&amp;IF(COUNTIF($EC23:$EF23,"Rajada")&gt;0," · "&amp;($DZ23+1)&amp;" tiros",""),""))</f>
        <v/>
      </c>
      <c r="GY23" s="155">
        <f>IF($EI23=0,"",3*$DZ23&amp;" − "&amp;$FN23&amp;" + "&amp;$FQ23&amp;IF($DX23=1," + "&amp;$DZ23,"")&amp;" = "&amp;$FT23&amp;"d8 · teto "&amp;4*$DZ23&amp;IF($EW23=1," · a Forma devolve "&amp;$DZ23,"")&amp;IF($FR23&gt;0," · perde "&amp;$FR23,""))</f>
        <v/>
      </c>
      <c r="GZ23" s="155">
        <f>IF($EI23=0,"",IF($DZ23&gt;=$HK$4,"Já está na maior Classe que o nível liberou",TEXTJOIN(" · ",TRUE,IF(AND(2&gt;$DZ23,2&lt;=$HK$4),"2 → "&amp;$GD23&amp;", "&amp;IF($DX23=1,9,6)&amp;" PE",""),IF(AND(3&gt;$DZ23,3&lt;=$HK$4),"3 → "&amp;$GE23&amp;", "&amp;IF($DX23=1,14,9)&amp;" PE",""),IF(AND(4&gt;$DZ23,4&lt;=$HK$4),"4 → "&amp;$GF23&amp;", "&amp;IF($DX23=1,18,12)&amp;" PE",""),IF(AND(5&gt;$DZ23,5&lt;=$HK$4),"5 → "&amp;$GG23&amp;", "&amp;IF($DX23=1,23,15)&amp;" PE",""),IF(AND(6&gt;$DZ23,6&lt;=$HK$4),"6 → "&amp;$GH23&amp;", "&amp;IF($DX23=1,27,18)&amp;" PE",""),IF(AND(7&gt;$DZ23,7&lt;=$HK$4),"7 → "&amp;$GI23&amp;", "&amp;IF($DX23=1,32,21)&amp;" PE",""))))</f>
        <v/>
      </c>
      <c r="HA23" s="155">
        <f>IF(OR($EI23=0,$EL23=0),"","−"&amp;INDEX($Q$2:$V$8,$DZ23,$EL23)&amp;" · "&amp;CHOOSE($EL23,"Leve","Média","Pesada","Leve · Livre","Média · Livre","Pesada · Livre"))</f>
        <v/>
      </c>
      <c r="HB23" s="155">
        <f>IF(OR($EI23=0,$EM23=0),"","−"&amp;INDEX($Q$2:$V$8,$DZ23,$EM23)&amp;" · "&amp;CHOOSE($EM23,"Leve","Média","Pesada","Leve · Livre","Média · Livre","Pesada · Livre"))</f>
        <v/>
      </c>
      <c r="HC23" s="155">
        <f>IF(OR($EI23=0,$EN23=0),"","−"&amp;INDEX($Q$2:$V$8,$DZ23,$EN23)&amp;" · "&amp;CHOOSE($EN23,"Leve","Média","Pesada","Leve · Livre","Média · Livre","Pesada · Livre"))</f>
        <v/>
      </c>
      <c r="HD23" s="155">
        <f>IF(OR($EI23=0,$EO23=0),"","−"&amp;INDEX($Q$2:$V$8,$DZ23,$EO23)&amp;" · "&amp;CHOOSE($EO23,"Leve","Média","Pesada","Leve · Livre","Média · Livre","Pesada · Livre"))</f>
        <v/>
      </c>
      <c r="HE23" s="155">
        <f>IF(OR($EI23=0,$EG23=""),"","+"&amp;IF($EZ23=1,CEILING($DZ23/2,1),$DZ23))</f>
        <v/>
      </c>
      <c r="HF23" s="155">
        <f>IF(OR($EI23=0,$EH23=""),"","+"&amp;IF($FA23=1,CEILING($DZ23/2,1),$DZ23))</f>
        <v/>
      </c>
      <c r="HG23" s="155">
        <f>'FICHA AMALDIÇOADA'!$D$202&amp;""</f>
        <v/>
      </c>
      <c r="HH23" s="155">
        <f>IF(AND($EI23=1,$DX23=0),COUNTIFS($EI$2:$EI23,1,$DX$2:$DX23,0),"")</f>
        <v/>
      </c>
      <c r="HJ23" s="153" t="inlineStr">
        <is>
          <t>livres</t>
        </is>
      </c>
      <c r="HK23" s="155">
        <f>$HK$22-$HK$15</f>
        <v/>
      </c>
      <c r="JF23" s="155" t="n">
        <v>22</v>
      </c>
      <c r="JG23" s="155">
        <f>IFERROR(MATCH(22,$HH$2:$HH$37,0),0)</f>
        <v/>
      </c>
      <c r="JH23" s="155">
        <f>IF($JG23=0,"",INDEX($DZ$2:$DZ$37,$JG23))</f>
        <v/>
      </c>
      <c r="JI23" s="155">
        <f>IF($JG23=0,"",INDEX($EA$2:$EA$37,$JG23))</f>
        <v/>
      </c>
      <c r="JJ23" s="155">
        <f>IF($JG23=0,"",INDEX($GP$2:$GP$37,$JG23))</f>
        <v/>
      </c>
      <c r="JK23" s="155">
        <f>IF($JG23=0,"",INDEX($EB$2:$EB$37,$JG23))</f>
        <v/>
      </c>
      <c r="JL23" s="155">
        <f>IF($JG23=0,"",INDEX($GR$2:$GR$37,$JG23))</f>
        <v/>
      </c>
      <c r="JM23" s="155">
        <f>IF($JG23=0,"",INDEX($HG$2:$HG$37,$JG23))</f>
        <v/>
      </c>
      <c r="KS23" s="153" t="inlineStr">
        <is>
          <t>R42</t>
        </is>
      </c>
      <c r="KT23" s="155">
        <f>IF(DADOS_AM!$HK$21=1,"⚠ ","")&amp;DADOS_AM!$HK$20</f>
        <v/>
      </c>
    </row>
    <row r="24">
      <c r="AO24" s="153" t="inlineStr">
        <is>
          <t>Apoio · classes 1 a 5</t>
        </is>
      </c>
      <c r="AP24" s="153" t="inlineStr">
        <is>
          <t>Um aliado a 9 m</t>
        </is>
      </c>
      <c r="AQ24" s="153" t="inlineStr">
        <is>
          <t>Um aliado a 18 m</t>
        </is>
      </c>
      <c r="AR24" s="153" t="inlineStr">
        <is>
          <t>Um aliado a 36 m</t>
        </is>
      </c>
      <c r="AS24" s="153" t="inlineStr">
        <is>
          <t>Um aliado a 90 m</t>
        </is>
      </c>
      <c r="AT24" s="153" t="inlineStr">
        <is>
          <t>Um aliado a visão a olho nu</t>
        </is>
      </c>
      <c r="AU24" s="153" t="inlineStr">
        <is>
          <t>Um aliado a visão a olho nu</t>
        </is>
      </c>
      <c r="AV24" s="153" t="inlineStr"/>
      <c r="AW24" s="153" t="inlineStr"/>
      <c r="AX24" s="153" t="inlineStr"/>
      <c r="AY24" s="153" t="inlineStr"/>
      <c r="AZ24" s="153" t="inlineStr"/>
      <c r="BA24" s="153" t="inlineStr"/>
      <c r="BC24" s="153" t="inlineStr">
        <is>
          <t>Toca a Alma</t>
        </is>
      </c>
      <c r="BD24" s="153" t="inlineStr">
        <is>
          <t>Mira</t>
        </is>
      </c>
      <c r="BE24" s="155" t="n">
        <v>1</v>
      </c>
      <c r="BF24" s="155">
        <f>$BE24+3*IFERROR(VLOOKUP($BD24,$I$2:$L$10,3,FALSE),0)</f>
        <v/>
      </c>
      <c r="BG24" s="155">
        <f>IFERROR(VLOOKUP($BD24,$I$2:$L$10,4,FALSE),0)</f>
        <v/>
      </c>
      <c r="BH24" s="155" t="n">
        <v>0</v>
      </c>
      <c r="BI24" s="155">
        <f>IF($BG24=1,"",$BC24)</f>
        <v/>
      </c>
      <c r="BJ24" s="155">
        <f>IF(AND($BE24=1,$BG24=0),$BC24,"")</f>
        <v/>
      </c>
      <c r="BK24" s="155" t="n">
        <v>0</v>
      </c>
      <c r="BM24" s="153" t="inlineStr">
        <is>
          <t>Restrição Própria (Média)</t>
        </is>
      </c>
      <c r="BN24" s="153" t="inlineStr">
        <is>
          <t>Restrição Própria</t>
        </is>
      </c>
      <c r="BO24" s="155" t="n">
        <v>2</v>
      </c>
      <c r="BP24" s="155" t="n">
        <v>0</v>
      </c>
      <c r="BQ24" s="153" t="inlineStr"/>
      <c r="BS24" s="153" t="inlineStr">
        <is>
          <t>Aliança</t>
        </is>
      </c>
      <c r="BT24" s="155" t="n">
        <v>3</v>
      </c>
      <c r="BU24" s="153" t="inlineStr">
        <is>
          <t>Escolha uma de suas armas ao adquirir este Talento. Ela não pode ser desarmada contra sua vontade e somente você pode empunhá-la para utilizá-la.</t>
        </is>
      </c>
      <c r="BV24" s="155" t="n">
        <v>0</v>
      </c>
      <c r="BW24" s="155" t="n">
        <v>1</v>
      </c>
      <c r="BX24" s="155">
        <f>IF(OR(AND($A$2&lt;=2,$BV24=1),AND($A$2&gt;=2,$BW24=1)),$BS24,"")</f>
        <v/>
      </c>
      <c r="BY24" s="153" t="inlineStr">
        <is>
          <t>Escolha uma de suas armas ao adquirir este Talento. Ela não pode ser desarmada contra sua vontade e somente você pode empunhá-la para utilizá-la.</t>
        </is>
      </c>
      <c r="CD24" s="153" t="inlineStr">
        <is>
          <t>Vigília</t>
        </is>
      </c>
      <c r="CE24" s="153" t="inlineStr">
        <is>
          <t>Lapidação 4</t>
        </is>
      </c>
      <c r="CF24" s="155" t="n">
        <v>2</v>
      </c>
      <c r="CG24" s="153" t="inlineStr">
        <is>
          <t>—</t>
        </is>
      </c>
      <c r="CH24" s="153"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55">
        <f>IF($CL24=1,"",IF($A$2=4,IF($CJ24=1,$CD24,""),IF(OR($CJ24=1,AND($A$2=3,$CK24=1)),"",$CD24)))</f>
        <v/>
      </c>
      <c r="CJ24" s="155" t="n">
        <v>1</v>
      </c>
      <c r="CK24" s="155" t="n">
        <v>0</v>
      </c>
      <c r="CL24" s="155" t="n">
        <v>0</v>
      </c>
      <c r="CM24" s="153" t="inlineStr">
        <is>
          <t>Ao aplicar as consequências de Exaustão, conte um estágio a menos, até o mínimo de zero.</t>
        </is>
      </c>
      <c r="DW24" s="153" t="inlineStr">
        <is>
          <t>Feitiço 23</t>
        </is>
      </c>
      <c r="DX24" s="155" t="n">
        <v>0</v>
      </c>
      <c r="DY24" s="155" t="n">
        <v>23</v>
      </c>
      <c r="DZ24" s="155">
        <f>MAX(1,MIN(7,N('FICHA AMALDIÇOADA'!$J$200)))</f>
        <v/>
      </c>
      <c r="EA24" s="155">
        <f>'FICHA AMALDIÇOADA'!$K$200&amp;""</f>
        <v/>
      </c>
      <c r="EB24" s="155">
        <f>'FICHA AMALDIÇOADA'!$J$207&amp;""</f>
        <v/>
      </c>
      <c r="EC24" s="155">
        <f>'FICHA AMALDIÇOADA'!$K$209&amp;""</f>
        <v/>
      </c>
      <c r="ED24" s="155">
        <f>'FICHA AMALDIÇOADA'!$K$210&amp;""</f>
        <v/>
      </c>
      <c r="EE24" s="155">
        <f>'FICHA AMALDIÇOADA'!$K$211&amp;""</f>
        <v/>
      </c>
      <c r="EF24" s="155">
        <f>'FICHA AMALDIÇOADA'!$K$212&amp;""</f>
        <v/>
      </c>
      <c r="EG24" s="155">
        <f>'FICHA AMALDIÇOADA'!$K$213&amp;""</f>
        <v/>
      </c>
      <c r="EH24" s="155">
        <f>'FICHA AMALDIÇOADA'!$K$214&amp;""</f>
        <v/>
      </c>
      <c r="EI24" s="155">
        <f>IF($EA24&lt;&gt;"",1,0)</f>
        <v/>
      </c>
      <c r="EJ24" s="155">
        <f>IFERROR(MATCH($EB24,$Y$2:$Y$11,0),0)</f>
        <v/>
      </c>
      <c r="EK24" s="155">
        <f>IF($EJ24=0,0,INDEX($AB$2:$AB$11,$EJ24))</f>
        <v/>
      </c>
      <c r="EL24" s="155">
        <f>IFERROR(VLOOKUP($EC24,$BC$2:$BK$84,4,FALSE),0)</f>
        <v/>
      </c>
      <c r="EM24" s="155">
        <f>IFERROR(VLOOKUP($ED24,$BC$2:$BK$84,4,FALSE),0)</f>
        <v/>
      </c>
      <c r="EN24" s="155">
        <f>IFERROR(VLOOKUP($EE24,$BC$2:$BK$84,4,FALSE),0)</f>
        <v/>
      </c>
      <c r="EO24" s="155">
        <f>IFERROR(VLOOKUP($EF24,$BC$2:$BK$84,4,FALSE),0)</f>
        <v/>
      </c>
      <c r="EP24" s="155">
        <f>IF($EJ24=0,0,INDEX($AC$2:$AC$11,$EJ24))</f>
        <v/>
      </c>
      <c r="EQ24" s="155">
        <f>IFERROR(VLOOKUP($EC24,$BC$2:$BK$84,5,FALSE),0)</f>
        <v/>
      </c>
      <c r="ER24" s="155">
        <f>IFERROR(VLOOKUP($ED24,$BC$2:$BK$84,5,FALSE),0)</f>
        <v/>
      </c>
      <c r="ES24" s="155">
        <f>IFERROR(VLOOKUP($EE24,$BC$2:$BK$84,5,FALSE),0)</f>
        <v/>
      </c>
      <c r="ET24" s="155">
        <f>IFERROR(VLOOKUP($EF24,$BC$2:$BK$84,5,FALSE),0)</f>
        <v/>
      </c>
      <c r="EU24" s="155">
        <f>IFERROR(VLOOKUP($EC24,$BC$2:$BK$84,6,FALSE),0)+IFERROR(VLOOKUP($ED24,$BC$2:$BK$84,6,FALSE),0)+IFERROR(VLOOKUP($EE24,$BC$2:$BK$84,6,FALSE),0)+IFERROR(VLOOKUP($EF24,$BC$2:$BK$84,6,FALSE),0)</f>
        <v/>
      </c>
      <c r="EV24" s="155">
        <f>IFERROR(VLOOKUP($EC24,$BC$2:$BK$84,9,FALSE),0)+IFERROR(VLOOKUP($ED24,$BC$2:$BK$84,9,FALSE),0)+IFERROR(VLOOKUP($EE24,$BC$2:$BK$84,9,FALSE),0)+IFERROR(VLOOKUP($EF24,$BC$2:$BK$84,9,FALSE),0)</f>
        <v/>
      </c>
      <c r="EW24" s="155">
        <f>IF($EJ24=0,0,INDEX($AD$2:$AD$11,$EJ24))</f>
        <v/>
      </c>
      <c r="EX24" s="155">
        <f>IF($EJ24=0,0,INDEX($AE$2:$AE$11,$EJ24))</f>
        <v/>
      </c>
      <c r="EY24" s="155">
        <f>IF($EJ24=0,0,INDEX($AG$2:$AG$11,$EJ24))</f>
        <v/>
      </c>
      <c r="EZ24" s="155">
        <f>IFERROR(VLOOKUP($EG24,$BM$2:$BQ$24,3,FALSE),0)</f>
        <v/>
      </c>
      <c r="FA24" s="155">
        <f>IFERROR(VLOOKUP($EH24,$BM$2:$BQ$24,3,FALSE),0)</f>
        <v/>
      </c>
      <c r="FB24" s="155">
        <f>IFERROR(VLOOKUP($EG24,$BM$2:$BQ$24,2,FALSE),"")</f>
        <v/>
      </c>
      <c r="FC24" s="155">
        <f>IFERROR(VLOOKUP($EH24,$BM$2:$BQ$24,2,FALSE),"")</f>
        <v/>
      </c>
      <c r="FD24" s="155">
        <f>COUNTIF($EK24:$EO24,1)</f>
        <v/>
      </c>
      <c r="FE24" s="155">
        <f>COUNTIF($EK24:$EO24,2)</f>
        <v/>
      </c>
      <c r="FF24" s="155">
        <f>COUNTIF($EK24:$EO24,3)</f>
        <v/>
      </c>
      <c r="FG24" s="155">
        <f>COUNTIF($EK24:$EO24,4)</f>
        <v/>
      </c>
      <c r="FH24" s="155">
        <f>COUNTIF($EK24:$EO24,5)</f>
        <v/>
      </c>
      <c r="FI24" s="155">
        <f>COUNTIF($EK24:$EO24,6)</f>
        <v/>
      </c>
      <c r="FJ24" s="155">
        <f>COUNTIF($EZ24:$FA24,1)</f>
        <v/>
      </c>
      <c r="FK24" s="155">
        <f>COUNTIF($EZ24:$FA24,2)+$EW24</f>
        <v/>
      </c>
      <c r="FL24" s="155">
        <f>COUNTIF($EC24:$EF24,"?*")</f>
        <v/>
      </c>
      <c r="FM24" s="155">
        <f>COUNTIF($EG24:$EH24,"?*")+$EW24</f>
        <v/>
      </c>
      <c r="FN24" s="155">
        <f>SUMPRODUCT($FD24:$FI24,INDEX($Q$2:$V$8,$DZ24,0))</f>
        <v/>
      </c>
      <c r="FO24" s="155">
        <f>$FJ24*CEILING($DZ24/2,1)+$FK24*$DZ24</f>
        <v/>
      </c>
      <c r="FP24" s="155">
        <f>MIN(2*$DZ24,$FO24)</f>
        <v/>
      </c>
      <c r="FQ24" s="155">
        <f>MIN($FP24,$FN24)</f>
        <v/>
      </c>
      <c r="FR24" s="155">
        <f>$FP24-$FQ24</f>
        <v/>
      </c>
      <c r="FS24" s="155">
        <f>3*$DZ24-$FN24+$FQ24</f>
        <v/>
      </c>
      <c r="FT24" s="155">
        <f>MAX(0,$FS24)+$DX24*$DZ24</f>
        <v/>
      </c>
      <c r="FU24" s="155">
        <f>(IF(COUNTIF($EC24:$EF24,"Salto")&gt;0,1,0)+IF(COUNTIF($EC24:$EF24,"Queima")&gt;0,1,0)+IF(COUNTIF($EC24:$EF24,"Estilhaço")&gt;0,1,0))*FLOOR($FT24/2,1)</f>
        <v/>
      </c>
      <c r="FV24" s="155">
        <f>MAX(0,3-SUMPRODUCT($FD24:$FI24,$Q$2:$V$2)+MIN(2,$FJ24*1+$FK24*1,SUMPRODUCT($FD24:$FI24,$Q$2:$V$2)))+$DX24*1</f>
        <v/>
      </c>
      <c r="FW24" s="155">
        <f>MAX(0,6-SUMPRODUCT($FD24:$FI24,$Q$3:$V$3)+MIN(4,$FJ24*1+$FK24*2,SUMPRODUCT($FD24:$FI24,$Q$3:$V$3)))+$DX24*2</f>
        <v/>
      </c>
      <c r="FX24" s="155">
        <f>MAX(0,9-SUMPRODUCT($FD24:$FI24,$Q$4:$V$4)+MIN(6,$FJ24*2+$FK24*3,SUMPRODUCT($FD24:$FI24,$Q$4:$V$4)))+$DX24*3</f>
        <v/>
      </c>
      <c r="FY24" s="155">
        <f>MAX(0,12-SUMPRODUCT($FD24:$FI24,$Q$5:$V$5)+MIN(8,$FJ24*2+$FK24*4,SUMPRODUCT($FD24:$FI24,$Q$5:$V$5)))+$DX24*4</f>
        <v/>
      </c>
      <c r="FZ24" s="155">
        <f>MAX(0,15-SUMPRODUCT($FD24:$FI24,$Q$6:$V$6)+MIN(10,$FJ24*3+$FK24*5,SUMPRODUCT($FD24:$FI24,$Q$6:$V$6)))+$DX24*5</f>
        <v/>
      </c>
      <c r="GA24" s="155">
        <f>MAX(0,18-SUMPRODUCT($FD24:$FI24,$Q$7:$V$7)+MIN(12,$FJ24*3+$FK24*6,SUMPRODUCT($FD24:$FI24,$Q$7:$V$7)))+$DX24*6</f>
        <v/>
      </c>
      <c r="GB24" s="155">
        <f>MAX(0,21-SUMPRODUCT($FD24:$FI24,$Q$8:$V$8)+MIN(14,$FJ24*4+$FK24*7,SUMPRODUCT($FD24:$FI24,$Q$8:$V$8)))+$DX24*7</f>
        <v/>
      </c>
      <c r="GC24" s="155">
        <f>IF($EX24=2,3*$FV24&amp;" de vida temp.",IF($EX24=3,"sem dano",IF($FV24=0,IF($EX24=1,"sem cura","sem dano"),IF($EX24=1,"cura ","")&amp;$FV24&amp;"d8")))</f>
        <v/>
      </c>
      <c r="GD24" s="155">
        <f>IF($EX24=2,3*$FW24&amp;" de vida temp.",IF($EX24=3,"sem dano",IF($FW24=0,IF($EX24=1,"sem cura","sem dano"),IF($EX24=1,"cura ","")&amp;$FW24&amp;"d8")))</f>
        <v/>
      </c>
      <c r="GE24" s="155">
        <f>IF($EX24=2,3*$FX24&amp;" de vida temp.",IF($EX24=3,"sem dano",IF($FX24=0,IF($EX24=1,"sem cura","sem dano"),IF($EX24=1,"cura ","")&amp;$FX24&amp;"d8")))</f>
        <v/>
      </c>
      <c r="GF24" s="155">
        <f>IF($EX24=2,3*$FY24&amp;" de vida temp.",IF($EX24=3,"sem dano",IF($FY24=0,IF($EX24=1,"sem cura","sem dano"),IF($EX24=1,"cura ","")&amp;$FY24&amp;"d8")))</f>
        <v/>
      </c>
      <c r="GG24" s="155">
        <f>IF($EX24=2,3*$FZ24&amp;" de vida temp.",IF($EX24=3,"sem dano",IF($FZ24=0,IF($EX24=1,"sem cura","sem dano"),IF($EX24=1,"cura ","")&amp;$FZ24&amp;"d8")))</f>
        <v/>
      </c>
      <c r="GH24" s="155">
        <f>IF($EX24=2,3*$GA24&amp;" de vida temp.",IF($EX24=3,"sem dano",IF($GA24=0,IF($EX24=1,"sem cura","sem dano"),IF($EX24=1,"cura ","")&amp;$GA24&amp;"d8")))</f>
        <v/>
      </c>
      <c r="GI24" s="155">
        <f>IF($EX24=2,3*$GB24&amp;" de vida temp.",IF($EX24=3,"sem dano",IF($GB24=0,IF($EX24=1,"sem cura","sem dano"),IF($EX24=1,"cura ","")&amp;$GB24&amp;"d8")))</f>
        <v/>
      </c>
      <c r="GJ24" s="155">
        <f>IF($EI24=0,"",TEXTJOIN(" · ",TRUE,IF(AND($DX24=1,$DY24&gt;$HK$9),"O nível "&amp;$HK$2&amp;" dá "&amp;$HK$9&amp;" Liberação Máxima",""),IF($DZ24&gt;$HK$4,"Classe "&amp;$DZ24&amp;": o nível "&amp;$HK$2&amp;" libera até a "&amp;$HK$4,""),IF($EP24=1,"Família Fechada: a Forma "&amp;$EB24,""),IF($EQ24=1,"Família Fechada: "&amp;$EC24,""),IF($ER24=1,"Família Fechada: "&amp;$ED24,""),IF($ES24=1,"Família Fechada: "&amp;$EE24,""),IF($ET24=1,"Família Fechada: "&amp;$EF24,""),IF($FL24&gt;INDEX($W$2:$W$8,$DZ24),$FL24&amp;" Melhorias: a Classe "&amp;$DZ24&amp;" aceita "&amp;INDEX($W$2:$W$8,$DZ24),""),IF($FM24&gt;2,$FM24&amp;" Restrições"&amp;IF($EW24=1,", contando a que a Forma "&amp;$EB24&amp;" já traz","")&amp;": o limite é 2",""),IF($FS24&lt;0,"Orçamento estourado: faltam "&amp;(-$FS24)&amp;IF($FS24&lt;-1," pontos"," ponto"),""),IF(IFERROR(VLOOKUP($EG24,$BM$2:$BQ$24,4,FALSE),0)+IFERROR(VLOOKUP($EH24,$BM$2:$BQ$24,4,FALSE),0)&gt;1,$FB24&amp;" e "&amp;$FC24&amp;" são as duas de frequência",""),IF(AND((COUNTIF($EC24:$EF24,"Rápido")+COUNTIF($FB24:$FC24,"Rápido"))&gt;0,(COUNTIF($EC24:$EF24,"Atrasar")+COUNTIF($FB24:$FC24,"Atrasar"))&gt;0),"Rápido não entra com Atrasar",""),IF(AND((COUNTIF($EC24:$EF24,"Reação")+COUNTIF($FB24:$FC24,"Reação"))&gt;0,(COUNTIF($EC24:$EF24,"Rápido")+COUNTIF($FB24:$FC24,"Rápido"))&gt;0),"Reação não entra com Rápido",""),IF(AND((COUNTIF($EC24:$EF24,"Reação")+COUNTIF($FB24:$FC24,"Reação"))&gt;0,(COUNTIF($EC24:$EF24,"Armado")+COUNTIF($FB24:$FC24,"Armado"))&gt;0),"Reação não entra com Armado",""),IF(AND((COUNTIF($EC24:$EF24,"Reação")+COUNTIF($FB24:$FC24,"Reação"))&gt;0,(COUNTIF($EC24:$EF24,"Atrasar")+COUNTIF($FB24:$FC24,"Atrasar"))&gt;0),"Reação não entra com Atrasar",""),IF(AND((COUNTIF($EC24:$EF24,"Reação")+COUNTIF($FB24:$FC24,"Reação"))&gt;0,(COUNTIF($EC24:$EF24,"Parado")+COUNTIF($FB24:$FC24,"Parado"))&gt;0),"Reação não entra com Parado",""),IF(AND((COUNTIF($EC24:$EF24,"Atrasar")+COUNTIF($FB24:$FC24,"Atrasar"))&gt;0,(COUNTIF($EC24:$EF24,"Parado")+COUNTIF($FB24:$FC24,"Parado"))&gt;0),"Atrasar não entra com Parado",""),IF(AND((COUNTIF($EC24:$EF24,"Armado")+COUNTIF($FB24:$FC24,"Armado"))&gt;0,(COUNTIF($EC24:$EF24,"Carregar")+COUNTIF($FB24:$FC24,"Carregar"))&gt;0),"Armado não entra com Carregar",""),IF(AND(COUNTIF($FB24:$FC24,"Corpo a Corpo")&gt;0,$EW24=0,OR($EB24="Cone",$EB24="Linha")),"Corpo a Corpo não entra em "&amp;$EB24,""),IF(AND(COUNTIF($FB24:$FC24,"Corpo a Corpo")&gt;0,$EW24=1),"A Forma "&amp;$EB24&amp;" já traz o Corpo a Corpo",""),IF(AND(COUNTIF($FB24:$FC24,"Tudo ou Nada")&gt;0,$EY24=0),"Tudo ou Nada só entra em feitiço de Teste de Resistência",""),IF(AND(COUNTIF($EC24:$EF24,"Inescapável")&gt;0,OR($FL24&gt;1,$FM24&gt;0)),"Inescapável não aceita outra peça",""),IF(AND($DX24=1,$DZ24&lt;3),"Liberação Máxima é de Classe 3 ou mais",""),IF(AND($DX24=1,OR($EX24=1,$EX24=2)),"Liberação Máxima não serve para cura",""),IF(AND($DX24=1,COUNTIF($EC24:$EF24,"Inescapável")+COUNTIF($EC24:$EF24,"Toca a Alma")&gt;0),"Esta peça não entra numa Liberação Máxima",""),IF($FT24*IF(COUNTIF($EC24:$EF24,"Remate")&gt;0,1.25,1)+$FU24&gt;4*$DZ24,($FT24*IF(COUNTIF($EC24:$EF24,"Remate")&gt;0,1.25,1)+$FU24)&amp;" dados somando repetições"&amp;IF(COUNTIF($EC24:$EF24,"Remate")&gt;0," e o Remate","")&amp;": o teto da Classe "&amp;$DZ24&amp;" é "&amp;4*$DZ24,"")))</f>
        <v/>
      </c>
      <c r="GK24" s="155">
        <f>IF($GJ24="",0,(LEN($GJ24)-LEN(SUBSTITUTE($GJ24," · ","")))/3+1)</f>
        <v/>
      </c>
      <c r="GL24" s="155">
        <f>IF($EI24=0,"",TEXTJOIN(" · ",TRUE,IF($FO24&gt;2*$DZ24,"A devolução parou no teto de "&amp;2*$DZ24,""),IF($FR24&gt;0,"Devolução perdida: "&amp;$FR24&amp;IF($FR24&gt;1," pontos"," ponto")&amp;" sem peça para pagar",""),IF(AND($EU24&gt;0,$FT24=0),"Controle sem dano: uma rodada a mais e CD +2",""),IF(AND($EU24&gt;0,$FT24&gt;0,$FT24&lt;=$DZ24),"Controle com saldo até a Classe: uma rodada a mais","")))</f>
        <v/>
      </c>
      <c r="GM24" s="155">
        <f>IF($GL24="",0,(LEN($GL24)-LEN(SUBSTITUTE($GL24," · ","")))/3+1)</f>
        <v/>
      </c>
      <c r="GN24" s="155">
        <f>IF($EI24=0,IF($FL24+$FM24-$EW24&gt;0,"Dê um nome",""),IF($GK24&gt;0,"⚠ "&amp;$GK24&amp;IF($GK24&gt;1," erros"," erro"),IF($GM24&gt;0,"! "&amp;$GM24&amp;IF($GM24&gt;1," avisos"," aviso"),"Na regra")))</f>
        <v/>
      </c>
      <c r="GO24" s="155">
        <f>IF($EI24=0,"",IF($GK24+$GM24=0,"Dentro das regras que a ficha confere",$GJ24&amp;IF(AND($GK24&gt;0,$GM24&gt;0)," · ","")&amp;$GL24))</f>
        <v/>
      </c>
      <c r="GP24" s="155">
        <f>IF($EI24=0,"",IF($DX24=1,CEILING(4.5*$DZ24,1),3*$DZ24)&amp;" PE")</f>
        <v/>
      </c>
      <c r="GQ24" s="155">
        <f>IF($EI24=0,"",IF($DX24=1,"Rodada inteira",IF(COUNTIF($FB24:$FC24,"Atrasar")&gt;0,IF(COUNTIF($FB24:$FC24,"Carregar")&gt;0,"Rodada +1 turno","Rodada inteira"),IF(COUNTIF($EC24:$EF24,"Rápido")&gt;0,"Bônus",IF(COUNTIF($EC24:$EF24,"Reação")&gt;0,"Reação","Padrão"))&amp;IF(COUNTIF($FB24:$FC24,"Carregar")&gt;0," +1 turno",""))))</f>
        <v/>
      </c>
      <c r="GR24" s="155">
        <f>IF(OR($EI24=0,$EJ24=0),"",IF(COUNTIF($EC24:$EF24,"Inescapável")&gt;0,"Automático",IF(COUNTIF($EC24:$EF24,"Certeiro")&gt;0,"TR para metade",IF(AND($EV24&gt;0,$EY24=0,INDEX($AF$2:$AF$11,$EJ24)="Acerto"),"Acerto + TR",INDEX($AF$2:$AF$11,$EJ24)))))</f>
        <v/>
      </c>
      <c r="GS24" s="155">
        <f>IF(OR($EI24=0,$EJ24=0),"",IF(OR($EX24&gt;=2,$FT24=0),UPPER(LEFT(INDEX($GC24:$GI24,1,$DZ24),1))&amp;MID(INDEX($GC24:$GI24,1,$DZ24),2,99),UPPER(LEFT(INDEX($GC24:$GI24,1,$DZ24),1))&amp;MID(INDEX($GC24:$GI24,1,$DZ24),2,99)&amp;" = "&amp;FLOOR($FT24*4.5,1)&amp;IF($FU24&gt;0," · +"&amp;$FU24&amp;"d8","")))</f>
        <v/>
      </c>
      <c r="GT24" s="155">
        <f>COUNTIF($EC24:$EF24,"Longe")+3*COUNTIF($EC24:$EF24,"Muito Longe")</f>
        <v/>
      </c>
      <c r="GU24" s="155">
        <f>COUNTIF($EC24:$EF24,"Maior")+3*COUNTIF($EC24:$EF24,"Muito Maior")</f>
        <v/>
      </c>
      <c r="GV24" s="155">
        <f>IF($EJ24=0,0,CHOOSE(1+INDEX($AH$2:$AH$11,$EJ24),0,$GT24,$GU24,$GT24+$GU24))</f>
        <v/>
      </c>
      <c r="GW24" s="155">
        <f>IF($EJ24=0,0,CHOOSE(1+INDEX($AI$2:$AI$11,$EJ24),0,$GT24,$GU24,$GT24+$GU24))</f>
        <v/>
      </c>
      <c r="GX24" s="155">
        <f>IF(OR($EI24=0,$EJ24=0),"",INDEX($AP$2:$AU$31,($EJ24-1)*3+IF($DZ24&gt;=6,3,2),1+MIN(5,$GV24))&amp;INDEX($AV$2:$BA$31,($EJ24-1)*3+IF($DZ24&gt;=6,3,2),1+MIN(5,$GW24))&amp;IF(INDEX($AJ$2:$AJ$11,$EJ24)=1,IF(COUNTIF($EC24:$EF24,"Mais Um")&gt;0," · +"&amp;COUNTIF($EC24:$EF24,"Mais Um")&amp;IF(COUNTIF($EC24:$EF24,"Mais Um")&gt;1," alvos"," alvo"),"")&amp;IF(COUNTIF($EC24:$EF24,"Rajada")&gt;0," · "&amp;($DZ24+1)&amp;" tiros",""),""))</f>
        <v/>
      </c>
      <c r="GY24" s="155">
        <f>IF($EI24=0,"",3*$DZ24&amp;" − "&amp;$FN24&amp;" + "&amp;$FQ24&amp;IF($DX24=1," + "&amp;$DZ24,"")&amp;" = "&amp;$FT24&amp;"d8 · teto "&amp;4*$DZ24&amp;IF($EW24=1," · a Forma devolve "&amp;$DZ24,"")&amp;IF($FR24&gt;0," · perde "&amp;$FR24,""))</f>
        <v/>
      </c>
      <c r="GZ24" s="155">
        <f>IF($EI24=0,"",IF($DZ24&gt;=$HK$4,"Já está na maior Classe que o nível liberou",TEXTJOIN(" · ",TRUE,IF(AND(2&gt;$DZ24,2&lt;=$HK$4),"2 → "&amp;$GD24&amp;", "&amp;IF($DX24=1,9,6)&amp;" PE",""),IF(AND(3&gt;$DZ24,3&lt;=$HK$4),"3 → "&amp;$GE24&amp;", "&amp;IF($DX24=1,14,9)&amp;" PE",""),IF(AND(4&gt;$DZ24,4&lt;=$HK$4),"4 → "&amp;$GF24&amp;", "&amp;IF($DX24=1,18,12)&amp;" PE",""),IF(AND(5&gt;$DZ24,5&lt;=$HK$4),"5 → "&amp;$GG24&amp;", "&amp;IF($DX24=1,23,15)&amp;" PE",""),IF(AND(6&gt;$DZ24,6&lt;=$HK$4),"6 → "&amp;$GH24&amp;", "&amp;IF($DX24=1,27,18)&amp;" PE",""),IF(AND(7&gt;$DZ24,7&lt;=$HK$4),"7 → "&amp;$GI24&amp;", "&amp;IF($DX24=1,32,21)&amp;" PE",""))))</f>
        <v/>
      </c>
      <c r="HA24" s="155">
        <f>IF(OR($EI24=0,$EL24=0),"","−"&amp;INDEX($Q$2:$V$8,$DZ24,$EL24)&amp;" · "&amp;CHOOSE($EL24,"Leve","Média","Pesada","Leve · Livre","Média · Livre","Pesada · Livre"))</f>
        <v/>
      </c>
      <c r="HB24" s="155">
        <f>IF(OR($EI24=0,$EM24=0),"","−"&amp;INDEX($Q$2:$V$8,$DZ24,$EM24)&amp;" · "&amp;CHOOSE($EM24,"Leve","Média","Pesada","Leve · Livre","Média · Livre","Pesada · Livre"))</f>
        <v/>
      </c>
      <c r="HC24" s="155">
        <f>IF(OR($EI24=0,$EN24=0),"","−"&amp;INDEX($Q$2:$V$8,$DZ24,$EN24)&amp;" · "&amp;CHOOSE($EN24,"Leve","Média","Pesada","Leve · Livre","Média · Livre","Pesada · Livre"))</f>
        <v/>
      </c>
      <c r="HD24" s="155">
        <f>IF(OR($EI24=0,$EO24=0),"","−"&amp;INDEX($Q$2:$V$8,$DZ24,$EO24)&amp;" · "&amp;CHOOSE($EO24,"Leve","Média","Pesada","Leve · Livre","Média · Livre","Pesada · Livre"))</f>
        <v/>
      </c>
      <c r="HE24" s="155">
        <f>IF(OR($EI24=0,$EG24=""),"","+"&amp;IF($EZ24=1,CEILING($DZ24/2,1),$DZ24))</f>
        <v/>
      </c>
      <c r="HF24" s="155">
        <f>IF(OR($EI24=0,$EH24=""),"","+"&amp;IF($FA24=1,CEILING($DZ24/2,1),$DZ24))</f>
        <v/>
      </c>
      <c r="HG24" s="155">
        <f>'FICHA AMALDIÇOADA'!$J$202&amp;""</f>
        <v/>
      </c>
      <c r="HH24" s="155">
        <f>IF(AND($EI24=1,$DX24=0),COUNTIFS($EI$2:$EI24,1,$DX$2:$DX24,0),"")</f>
        <v/>
      </c>
      <c r="HJ24" s="153" t="inlineStr">
        <is>
          <t>passivas pagas</t>
        </is>
      </c>
      <c r="HK24" s="155">
        <f>IF('FICHA AMALDIÇOADA'!$D$379&lt;&gt;"",1,0)+IF('FICHA AMALDIÇOADA'!$J$379&lt;&gt;"",1,0)+IF('FICHA AMALDIÇOADA'!$P$379&lt;&gt;"",1,0)+IF('FICHA AMALDIÇOADA'!$D$387&lt;&gt;"",1,0)+IF('FICHA AMALDIÇOADA'!$J$387&lt;&gt;"",1,0)</f>
        <v/>
      </c>
      <c r="JF24" s="155" t="n">
        <v>23</v>
      </c>
      <c r="JG24" s="155">
        <f>IFERROR(MATCH(23,$HH$2:$HH$37,0),0)</f>
        <v/>
      </c>
      <c r="JH24" s="155">
        <f>IF($JG24=0,"",INDEX($DZ$2:$DZ$37,$JG24))</f>
        <v/>
      </c>
      <c r="JI24" s="155">
        <f>IF($JG24=0,"",INDEX($EA$2:$EA$37,$JG24))</f>
        <v/>
      </c>
      <c r="JJ24" s="155">
        <f>IF($JG24=0,"",INDEX($GP$2:$GP$37,$JG24))</f>
        <v/>
      </c>
      <c r="JK24" s="155">
        <f>IF($JG24=0,"",INDEX($EB$2:$EB$37,$JG24))</f>
        <v/>
      </c>
      <c r="JL24" s="155">
        <f>IF($JG24=0,"",INDEX($GR$2:$GR$37,$JG24))</f>
        <v/>
      </c>
      <c r="JM24" s="155">
        <f>IF($JG24=0,"",INDEX($HG$2:$HG$37,$JG24))</f>
        <v/>
      </c>
      <c r="KS24" s="153" t="inlineStr">
        <is>
          <t>S42</t>
        </is>
      </c>
      <c r="KT24" s="155">
        <f>IF(DADOS_AM!$HK$23&lt;0,"⚠ ","")&amp;DADOS_AM!$HK$23</f>
        <v/>
      </c>
    </row>
    <row r="25">
      <c r="AO25" s="153" t="inlineStr">
        <is>
          <t>Apoio · classes 6 e 7</t>
        </is>
      </c>
      <c r="AP25" s="153" t="inlineStr">
        <is>
          <t>Um aliado a 18 m</t>
        </is>
      </c>
      <c r="AQ25" s="153" t="inlineStr">
        <is>
          <t>Um aliado a 36 m</t>
        </is>
      </c>
      <c r="AR25" s="153" t="inlineStr">
        <is>
          <t>Um aliado a 90 m</t>
        </is>
      </c>
      <c r="AS25" s="153" t="inlineStr">
        <is>
          <t>Um aliado a visão a olho nu</t>
        </is>
      </c>
      <c r="AT25" s="153" t="inlineStr">
        <is>
          <t>Um aliado a visão a olho nu</t>
        </is>
      </c>
      <c r="AU25" s="153" t="inlineStr">
        <is>
          <t>Um aliado a visão a olho nu</t>
        </is>
      </c>
      <c r="AV25" s="153" t="inlineStr"/>
      <c r="AW25" s="153" t="inlineStr"/>
      <c r="AX25" s="153" t="inlineStr"/>
      <c r="AY25" s="153" t="inlineStr"/>
      <c r="AZ25" s="153" t="inlineStr"/>
      <c r="BA25" s="153" t="inlineStr"/>
      <c r="BC25" s="153" t="inlineStr">
        <is>
          <t>Lento</t>
        </is>
      </c>
      <c r="BD25" s="153" t="inlineStr">
        <is>
          <t>Controle</t>
        </is>
      </c>
      <c r="BE25" s="155" t="n">
        <v>1</v>
      </c>
      <c r="BF25" s="155">
        <f>$BE25+3*IFERROR(VLOOKUP($BD25,$I$2:$L$10,3,FALSE),0)</f>
        <v/>
      </c>
      <c r="BG25" s="155">
        <f>IFERROR(VLOOKUP($BD25,$I$2:$L$10,4,FALSE),0)</f>
        <v/>
      </c>
      <c r="BH25" s="155" t="n">
        <v>1</v>
      </c>
      <c r="BI25" s="155">
        <f>IF($BG25=1,"",$BC25)</f>
        <v/>
      </c>
      <c r="BJ25" s="155">
        <f>IF(AND($BE25=1,$BG25=0),$BC25,"")</f>
        <v/>
      </c>
      <c r="BK25" s="155" t="n">
        <v>1</v>
      </c>
      <c r="CD25" s="153" t="inlineStr">
        <is>
          <t>Faro</t>
        </is>
      </c>
      <c r="CE25" s="153" t="inlineStr">
        <is>
          <t>Lapidação 1</t>
        </is>
      </c>
      <c r="CF25" s="155" t="n">
        <v>1</v>
      </c>
      <c r="CG25" s="153" t="inlineStr">
        <is>
          <t>—</t>
        </is>
      </c>
      <c r="CH25" s="153"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55">
        <f>IF($CL25=1,"",IF($A$2=4,IF($CJ25=1,$CD25,""),IF(OR($CJ25=1,AND($A$2=3,$CK25=1)),"",$CD25)))</f>
        <v/>
      </c>
      <c r="CJ25" s="155" t="n">
        <v>1</v>
      </c>
      <c r="CK25" s="155" t="n">
        <v>0</v>
      </c>
      <c r="CL25" s="155" t="n">
        <v>0</v>
      </c>
      <c r="CM25" s="153" t="inlineStr">
        <is>
          <t>Você pode seguir feiticeiros e maldições pelos vestígios físicos que deixaram: cheiro, marcas e objetos fora do lugar.</t>
        </is>
      </c>
      <c r="DW25" s="153" t="inlineStr">
        <is>
          <t>Feitiço 24</t>
        </is>
      </c>
      <c r="DX25" s="155" t="n">
        <v>0</v>
      </c>
      <c r="DY25" s="155" t="n">
        <v>24</v>
      </c>
      <c r="DZ25" s="155">
        <f>MAX(1,MIN(7,N('FICHA AMALDIÇOADA'!$P$200)))</f>
        <v/>
      </c>
      <c r="EA25" s="155">
        <f>'FICHA AMALDIÇOADA'!$Q$200&amp;""</f>
        <v/>
      </c>
      <c r="EB25" s="155">
        <f>'FICHA AMALDIÇOADA'!$P$207&amp;""</f>
        <v/>
      </c>
      <c r="EC25" s="155">
        <f>'FICHA AMALDIÇOADA'!$Q$209&amp;""</f>
        <v/>
      </c>
      <c r="ED25" s="155">
        <f>'FICHA AMALDIÇOADA'!$Q$210&amp;""</f>
        <v/>
      </c>
      <c r="EE25" s="155">
        <f>'FICHA AMALDIÇOADA'!$Q$211&amp;""</f>
        <v/>
      </c>
      <c r="EF25" s="155">
        <f>'FICHA AMALDIÇOADA'!$Q$212&amp;""</f>
        <v/>
      </c>
      <c r="EG25" s="155">
        <f>'FICHA AMALDIÇOADA'!$Q$213&amp;""</f>
        <v/>
      </c>
      <c r="EH25" s="155">
        <f>'FICHA AMALDIÇOADA'!$Q$214&amp;""</f>
        <v/>
      </c>
      <c r="EI25" s="155">
        <f>IF($EA25&lt;&gt;"",1,0)</f>
        <v/>
      </c>
      <c r="EJ25" s="155">
        <f>IFERROR(MATCH($EB25,$Y$2:$Y$11,0),0)</f>
        <v/>
      </c>
      <c r="EK25" s="155">
        <f>IF($EJ25=0,0,INDEX($AB$2:$AB$11,$EJ25))</f>
        <v/>
      </c>
      <c r="EL25" s="155">
        <f>IFERROR(VLOOKUP($EC25,$BC$2:$BK$84,4,FALSE),0)</f>
        <v/>
      </c>
      <c r="EM25" s="155">
        <f>IFERROR(VLOOKUP($ED25,$BC$2:$BK$84,4,FALSE),0)</f>
        <v/>
      </c>
      <c r="EN25" s="155">
        <f>IFERROR(VLOOKUP($EE25,$BC$2:$BK$84,4,FALSE),0)</f>
        <v/>
      </c>
      <c r="EO25" s="155">
        <f>IFERROR(VLOOKUP($EF25,$BC$2:$BK$84,4,FALSE),0)</f>
        <v/>
      </c>
      <c r="EP25" s="155">
        <f>IF($EJ25=0,0,INDEX($AC$2:$AC$11,$EJ25))</f>
        <v/>
      </c>
      <c r="EQ25" s="155">
        <f>IFERROR(VLOOKUP($EC25,$BC$2:$BK$84,5,FALSE),0)</f>
        <v/>
      </c>
      <c r="ER25" s="155">
        <f>IFERROR(VLOOKUP($ED25,$BC$2:$BK$84,5,FALSE),0)</f>
        <v/>
      </c>
      <c r="ES25" s="155">
        <f>IFERROR(VLOOKUP($EE25,$BC$2:$BK$84,5,FALSE),0)</f>
        <v/>
      </c>
      <c r="ET25" s="155">
        <f>IFERROR(VLOOKUP($EF25,$BC$2:$BK$84,5,FALSE),0)</f>
        <v/>
      </c>
      <c r="EU25" s="155">
        <f>IFERROR(VLOOKUP($EC25,$BC$2:$BK$84,6,FALSE),0)+IFERROR(VLOOKUP($ED25,$BC$2:$BK$84,6,FALSE),0)+IFERROR(VLOOKUP($EE25,$BC$2:$BK$84,6,FALSE),0)+IFERROR(VLOOKUP($EF25,$BC$2:$BK$84,6,FALSE),0)</f>
        <v/>
      </c>
      <c r="EV25" s="155">
        <f>IFERROR(VLOOKUP($EC25,$BC$2:$BK$84,9,FALSE),0)+IFERROR(VLOOKUP($ED25,$BC$2:$BK$84,9,FALSE),0)+IFERROR(VLOOKUP($EE25,$BC$2:$BK$84,9,FALSE),0)+IFERROR(VLOOKUP($EF25,$BC$2:$BK$84,9,FALSE),0)</f>
        <v/>
      </c>
      <c r="EW25" s="155">
        <f>IF($EJ25=0,0,INDEX($AD$2:$AD$11,$EJ25))</f>
        <v/>
      </c>
      <c r="EX25" s="155">
        <f>IF($EJ25=0,0,INDEX($AE$2:$AE$11,$EJ25))</f>
        <v/>
      </c>
      <c r="EY25" s="155">
        <f>IF($EJ25=0,0,INDEX($AG$2:$AG$11,$EJ25))</f>
        <v/>
      </c>
      <c r="EZ25" s="155">
        <f>IFERROR(VLOOKUP($EG25,$BM$2:$BQ$24,3,FALSE),0)</f>
        <v/>
      </c>
      <c r="FA25" s="155">
        <f>IFERROR(VLOOKUP($EH25,$BM$2:$BQ$24,3,FALSE),0)</f>
        <v/>
      </c>
      <c r="FB25" s="155">
        <f>IFERROR(VLOOKUP($EG25,$BM$2:$BQ$24,2,FALSE),"")</f>
        <v/>
      </c>
      <c r="FC25" s="155">
        <f>IFERROR(VLOOKUP($EH25,$BM$2:$BQ$24,2,FALSE),"")</f>
        <v/>
      </c>
      <c r="FD25" s="155">
        <f>COUNTIF($EK25:$EO25,1)</f>
        <v/>
      </c>
      <c r="FE25" s="155">
        <f>COUNTIF($EK25:$EO25,2)</f>
        <v/>
      </c>
      <c r="FF25" s="155">
        <f>COUNTIF($EK25:$EO25,3)</f>
        <v/>
      </c>
      <c r="FG25" s="155">
        <f>COUNTIF($EK25:$EO25,4)</f>
        <v/>
      </c>
      <c r="FH25" s="155">
        <f>COUNTIF($EK25:$EO25,5)</f>
        <v/>
      </c>
      <c r="FI25" s="155">
        <f>COUNTIF($EK25:$EO25,6)</f>
        <v/>
      </c>
      <c r="FJ25" s="155">
        <f>COUNTIF($EZ25:$FA25,1)</f>
        <v/>
      </c>
      <c r="FK25" s="155">
        <f>COUNTIF($EZ25:$FA25,2)+$EW25</f>
        <v/>
      </c>
      <c r="FL25" s="155">
        <f>COUNTIF($EC25:$EF25,"?*")</f>
        <v/>
      </c>
      <c r="FM25" s="155">
        <f>COUNTIF($EG25:$EH25,"?*")+$EW25</f>
        <v/>
      </c>
      <c r="FN25" s="155">
        <f>SUMPRODUCT($FD25:$FI25,INDEX($Q$2:$V$8,$DZ25,0))</f>
        <v/>
      </c>
      <c r="FO25" s="155">
        <f>$FJ25*CEILING($DZ25/2,1)+$FK25*$DZ25</f>
        <v/>
      </c>
      <c r="FP25" s="155">
        <f>MIN(2*$DZ25,$FO25)</f>
        <v/>
      </c>
      <c r="FQ25" s="155">
        <f>MIN($FP25,$FN25)</f>
        <v/>
      </c>
      <c r="FR25" s="155">
        <f>$FP25-$FQ25</f>
        <v/>
      </c>
      <c r="FS25" s="155">
        <f>3*$DZ25-$FN25+$FQ25</f>
        <v/>
      </c>
      <c r="FT25" s="155">
        <f>MAX(0,$FS25)+$DX25*$DZ25</f>
        <v/>
      </c>
      <c r="FU25" s="155">
        <f>(IF(COUNTIF($EC25:$EF25,"Salto")&gt;0,1,0)+IF(COUNTIF($EC25:$EF25,"Queima")&gt;0,1,0)+IF(COUNTIF($EC25:$EF25,"Estilhaço")&gt;0,1,0))*FLOOR($FT25/2,1)</f>
        <v/>
      </c>
      <c r="FV25" s="155">
        <f>MAX(0,3-SUMPRODUCT($FD25:$FI25,$Q$2:$V$2)+MIN(2,$FJ25*1+$FK25*1,SUMPRODUCT($FD25:$FI25,$Q$2:$V$2)))+$DX25*1</f>
        <v/>
      </c>
      <c r="FW25" s="155">
        <f>MAX(0,6-SUMPRODUCT($FD25:$FI25,$Q$3:$V$3)+MIN(4,$FJ25*1+$FK25*2,SUMPRODUCT($FD25:$FI25,$Q$3:$V$3)))+$DX25*2</f>
        <v/>
      </c>
      <c r="FX25" s="155">
        <f>MAX(0,9-SUMPRODUCT($FD25:$FI25,$Q$4:$V$4)+MIN(6,$FJ25*2+$FK25*3,SUMPRODUCT($FD25:$FI25,$Q$4:$V$4)))+$DX25*3</f>
        <v/>
      </c>
      <c r="FY25" s="155">
        <f>MAX(0,12-SUMPRODUCT($FD25:$FI25,$Q$5:$V$5)+MIN(8,$FJ25*2+$FK25*4,SUMPRODUCT($FD25:$FI25,$Q$5:$V$5)))+$DX25*4</f>
        <v/>
      </c>
      <c r="FZ25" s="155">
        <f>MAX(0,15-SUMPRODUCT($FD25:$FI25,$Q$6:$V$6)+MIN(10,$FJ25*3+$FK25*5,SUMPRODUCT($FD25:$FI25,$Q$6:$V$6)))+$DX25*5</f>
        <v/>
      </c>
      <c r="GA25" s="155">
        <f>MAX(0,18-SUMPRODUCT($FD25:$FI25,$Q$7:$V$7)+MIN(12,$FJ25*3+$FK25*6,SUMPRODUCT($FD25:$FI25,$Q$7:$V$7)))+$DX25*6</f>
        <v/>
      </c>
      <c r="GB25" s="155">
        <f>MAX(0,21-SUMPRODUCT($FD25:$FI25,$Q$8:$V$8)+MIN(14,$FJ25*4+$FK25*7,SUMPRODUCT($FD25:$FI25,$Q$8:$V$8)))+$DX25*7</f>
        <v/>
      </c>
      <c r="GC25" s="155">
        <f>IF($EX25=2,3*$FV25&amp;" de vida temp.",IF($EX25=3,"sem dano",IF($FV25=0,IF($EX25=1,"sem cura","sem dano"),IF($EX25=1,"cura ","")&amp;$FV25&amp;"d8")))</f>
        <v/>
      </c>
      <c r="GD25" s="155">
        <f>IF($EX25=2,3*$FW25&amp;" de vida temp.",IF($EX25=3,"sem dano",IF($FW25=0,IF($EX25=1,"sem cura","sem dano"),IF($EX25=1,"cura ","")&amp;$FW25&amp;"d8")))</f>
        <v/>
      </c>
      <c r="GE25" s="155">
        <f>IF($EX25=2,3*$FX25&amp;" de vida temp.",IF($EX25=3,"sem dano",IF($FX25=0,IF($EX25=1,"sem cura","sem dano"),IF($EX25=1,"cura ","")&amp;$FX25&amp;"d8")))</f>
        <v/>
      </c>
      <c r="GF25" s="155">
        <f>IF($EX25=2,3*$FY25&amp;" de vida temp.",IF($EX25=3,"sem dano",IF($FY25=0,IF($EX25=1,"sem cura","sem dano"),IF($EX25=1,"cura ","")&amp;$FY25&amp;"d8")))</f>
        <v/>
      </c>
      <c r="GG25" s="155">
        <f>IF($EX25=2,3*$FZ25&amp;" de vida temp.",IF($EX25=3,"sem dano",IF($FZ25=0,IF($EX25=1,"sem cura","sem dano"),IF($EX25=1,"cura ","")&amp;$FZ25&amp;"d8")))</f>
        <v/>
      </c>
      <c r="GH25" s="155">
        <f>IF($EX25=2,3*$GA25&amp;" de vida temp.",IF($EX25=3,"sem dano",IF($GA25=0,IF($EX25=1,"sem cura","sem dano"),IF($EX25=1,"cura ","")&amp;$GA25&amp;"d8")))</f>
        <v/>
      </c>
      <c r="GI25" s="155">
        <f>IF($EX25=2,3*$GB25&amp;" de vida temp.",IF($EX25=3,"sem dano",IF($GB25=0,IF($EX25=1,"sem cura","sem dano"),IF($EX25=1,"cura ","")&amp;$GB25&amp;"d8")))</f>
        <v/>
      </c>
      <c r="GJ25" s="155">
        <f>IF($EI25=0,"",TEXTJOIN(" · ",TRUE,IF(AND($DX25=1,$DY25&gt;$HK$9),"O nível "&amp;$HK$2&amp;" dá "&amp;$HK$9&amp;" Liberação Máxima",""),IF($DZ25&gt;$HK$4,"Classe "&amp;$DZ25&amp;": o nível "&amp;$HK$2&amp;" libera até a "&amp;$HK$4,""),IF($EP25=1,"Família Fechada: a Forma "&amp;$EB25,""),IF($EQ25=1,"Família Fechada: "&amp;$EC25,""),IF($ER25=1,"Família Fechada: "&amp;$ED25,""),IF($ES25=1,"Família Fechada: "&amp;$EE25,""),IF($ET25=1,"Família Fechada: "&amp;$EF25,""),IF($FL25&gt;INDEX($W$2:$W$8,$DZ25),$FL25&amp;" Melhorias: a Classe "&amp;$DZ25&amp;" aceita "&amp;INDEX($W$2:$W$8,$DZ25),""),IF($FM25&gt;2,$FM25&amp;" Restrições"&amp;IF($EW25=1,", contando a que a Forma "&amp;$EB25&amp;" já traz","")&amp;": o limite é 2",""),IF($FS25&lt;0,"Orçamento estourado: faltam "&amp;(-$FS25)&amp;IF($FS25&lt;-1," pontos"," ponto"),""),IF(IFERROR(VLOOKUP($EG25,$BM$2:$BQ$24,4,FALSE),0)+IFERROR(VLOOKUP($EH25,$BM$2:$BQ$24,4,FALSE),0)&gt;1,$FB25&amp;" e "&amp;$FC25&amp;" são as duas de frequência",""),IF(AND((COUNTIF($EC25:$EF25,"Rápido")+COUNTIF($FB25:$FC25,"Rápido"))&gt;0,(COUNTIF($EC25:$EF25,"Atrasar")+COUNTIF($FB25:$FC25,"Atrasar"))&gt;0),"Rápido não entra com Atrasar",""),IF(AND((COUNTIF($EC25:$EF25,"Reação")+COUNTIF($FB25:$FC25,"Reação"))&gt;0,(COUNTIF($EC25:$EF25,"Rápido")+COUNTIF($FB25:$FC25,"Rápido"))&gt;0),"Reação não entra com Rápido",""),IF(AND((COUNTIF($EC25:$EF25,"Reação")+COUNTIF($FB25:$FC25,"Reação"))&gt;0,(COUNTIF($EC25:$EF25,"Armado")+COUNTIF($FB25:$FC25,"Armado"))&gt;0),"Reação não entra com Armado",""),IF(AND((COUNTIF($EC25:$EF25,"Reação")+COUNTIF($FB25:$FC25,"Reação"))&gt;0,(COUNTIF($EC25:$EF25,"Atrasar")+COUNTIF($FB25:$FC25,"Atrasar"))&gt;0),"Reação não entra com Atrasar",""),IF(AND((COUNTIF($EC25:$EF25,"Reação")+COUNTIF($FB25:$FC25,"Reação"))&gt;0,(COUNTIF($EC25:$EF25,"Parado")+COUNTIF($FB25:$FC25,"Parado"))&gt;0),"Reação não entra com Parado",""),IF(AND((COUNTIF($EC25:$EF25,"Atrasar")+COUNTIF($FB25:$FC25,"Atrasar"))&gt;0,(COUNTIF($EC25:$EF25,"Parado")+COUNTIF($FB25:$FC25,"Parado"))&gt;0),"Atrasar não entra com Parado",""),IF(AND((COUNTIF($EC25:$EF25,"Armado")+COUNTIF($FB25:$FC25,"Armado"))&gt;0,(COUNTIF($EC25:$EF25,"Carregar")+COUNTIF($FB25:$FC25,"Carregar"))&gt;0),"Armado não entra com Carregar",""),IF(AND(COUNTIF($FB25:$FC25,"Corpo a Corpo")&gt;0,$EW25=0,OR($EB25="Cone",$EB25="Linha")),"Corpo a Corpo não entra em "&amp;$EB25,""),IF(AND(COUNTIF($FB25:$FC25,"Corpo a Corpo")&gt;0,$EW25=1),"A Forma "&amp;$EB25&amp;" já traz o Corpo a Corpo",""),IF(AND(COUNTIF($FB25:$FC25,"Tudo ou Nada")&gt;0,$EY25=0),"Tudo ou Nada só entra em feitiço de Teste de Resistência",""),IF(AND(COUNTIF($EC25:$EF25,"Inescapável")&gt;0,OR($FL25&gt;1,$FM25&gt;0)),"Inescapável não aceita outra peça",""),IF(AND($DX25=1,$DZ25&lt;3),"Liberação Máxima é de Classe 3 ou mais",""),IF(AND($DX25=1,OR($EX25=1,$EX25=2)),"Liberação Máxima não serve para cura",""),IF(AND($DX25=1,COUNTIF($EC25:$EF25,"Inescapável")+COUNTIF($EC25:$EF25,"Toca a Alma")&gt;0),"Esta peça não entra numa Liberação Máxima",""),IF($FT25*IF(COUNTIF($EC25:$EF25,"Remate")&gt;0,1.25,1)+$FU25&gt;4*$DZ25,($FT25*IF(COUNTIF($EC25:$EF25,"Remate")&gt;0,1.25,1)+$FU25)&amp;" dados somando repetições"&amp;IF(COUNTIF($EC25:$EF25,"Remate")&gt;0," e o Remate","")&amp;": o teto da Classe "&amp;$DZ25&amp;" é "&amp;4*$DZ25,"")))</f>
        <v/>
      </c>
      <c r="GK25" s="155">
        <f>IF($GJ25="",0,(LEN($GJ25)-LEN(SUBSTITUTE($GJ25," · ","")))/3+1)</f>
        <v/>
      </c>
      <c r="GL25" s="155">
        <f>IF($EI25=0,"",TEXTJOIN(" · ",TRUE,IF($FO25&gt;2*$DZ25,"A devolução parou no teto de "&amp;2*$DZ25,""),IF($FR25&gt;0,"Devolução perdida: "&amp;$FR25&amp;IF($FR25&gt;1," pontos"," ponto")&amp;" sem peça para pagar",""),IF(AND($EU25&gt;0,$FT25=0),"Controle sem dano: uma rodada a mais e CD +2",""),IF(AND($EU25&gt;0,$FT25&gt;0,$FT25&lt;=$DZ25),"Controle com saldo até a Classe: uma rodada a mais","")))</f>
        <v/>
      </c>
      <c r="GM25" s="155">
        <f>IF($GL25="",0,(LEN($GL25)-LEN(SUBSTITUTE($GL25," · ","")))/3+1)</f>
        <v/>
      </c>
      <c r="GN25" s="155">
        <f>IF($EI25=0,IF($FL25+$FM25-$EW25&gt;0,"Dê um nome",""),IF($GK25&gt;0,"⚠ "&amp;$GK25&amp;IF($GK25&gt;1," erros"," erro"),IF($GM25&gt;0,"! "&amp;$GM25&amp;IF($GM25&gt;1," avisos"," aviso"),"Na regra")))</f>
        <v/>
      </c>
      <c r="GO25" s="155">
        <f>IF($EI25=0,"",IF($GK25+$GM25=0,"Dentro das regras que a ficha confere",$GJ25&amp;IF(AND($GK25&gt;0,$GM25&gt;0)," · ","")&amp;$GL25))</f>
        <v/>
      </c>
      <c r="GP25" s="155">
        <f>IF($EI25=0,"",IF($DX25=1,CEILING(4.5*$DZ25,1),3*$DZ25)&amp;" PE")</f>
        <v/>
      </c>
      <c r="GQ25" s="155">
        <f>IF($EI25=0,"",IF($DX25=1,"Rodada inteira",IF(COUNTIF($FB25:$FC25,"Atrasar")&gt;0,IF(COUNTIF($FB25:$FC25,"Carregar")&gt;0,"Rodada +1 turno","Rodada inteira"),IF(COUNTIF($EC25:$EF25,"Rápido")&gt;0,"Bônus",IF(COUNTIF($EC25:$EF25,"Reação")&gt;0,"Reação","Padrão"))&amp;IF(COUNTIF($FB25:$FC25,"Carregar")&gt;0," +1 turno",""))))</f>
        <v/>
      </c>
      <c r="GR25" s="155">
        <f>IF(OR($EI25=0,$EJ25=0),"",IF(COUNTIF($EC25:$EF25,"Inescapável")&gt;0,"Automático",IF(COUNTIF($EC25:$EF25,"Certeiro")&gt;0,"TR para metade",IF(AND($EV25&gt;0,$EY25=0,INDEX($AF$2:$AF$11,$EJ25)="Acerto"),"Acerto + TR",INDEX($AF$2:$AF$11,$EJ25)))))</f>
        <v/>
      </c>
      <c r="GS25" s="155">
        <f>IF(OR($EI25=0,$EJ25=0),"",IF(OR($EX25&gt;=2,$FT25=0),UPPER(LEFT(INDEX($GC25:$GI25,1,$DZ25),1))&amp;MID(INDEX($GC25:$GI25,1,$DZ25),2,99),UPPER(LEFT(INDEX($GC25:$GI25,1,$DZ25),1))&amp;MID(INDEX($GC25:$GI25,1,$DZ25),2,99)&amp;" = "&amp;FLOOR($FT25*4.5,1)&amp;IF($FU25&gt;0," · +"&amp;$FU25&amp;"d8","")))</f>
        <v/>
      </c>
      <c r="GT25" s="155">
        <f>COUNTIF($EC25:$EF25,"Longe")+3*COUNTIF($EC25:$EF25,"Muito Longe")</f>
        <v/>
      </c>
      <c r="GU25" s="155">
        <f>COUNTIF($EC25:$EF25,"Maior")+3*COUNTIF($EC25:$EF25,"Muito Maior")</f>
        <v/>
      </c>
      <c r="GV25" s="155">
        <f>IF($EJ25=0,0,CHOOSE(1+INDEX($AH$2:$AH$11,$EJ25),0,$GT25,$GU25,$GT25+$GU25))</f>
        <v/>
      </c>
      <c r="GW25" s="155">
        <f>IF($EJ25=0,0,CHOOSE(1+INDEX($AI$2:$AI$11,$EJ25),0,$GT25,$GU25,$GT25+$GU25))</f>
        <v/>
      </c>
      <c r="GX25" s="155">
        <f>IF(OR($EI25=0,$EJ25=0),"",INDEX($AP$2:$AU$31,($EJ25-1)*3+IF($DZ25&gt;=6,3,2),1+MIN(5,$GV25))&amp;INDEX($AV$2:$BA$31,($EJ25-1)*3+IF($DZ25&gt;=6,3,2),1+MIN(5,$GW25))&amp;IF(INDEX($AJ$2:$AJ$11,$EJ25)=1,IF(COUNTIF($EC25:$EF25,"Mais Um")&gt;0," · +"&amp;COUNTIF($EC25:$EF25,"Mais Um")&amp;IF(COUNTIF($EC25:$EF25,"Mais Um")&gt;1," alvos"," alvo"),"")&amp;IF(COUNTIF($EC25:$EF25,"Rajada")&gt;0," · "&amp;($DZ25+1)&amp;" tiros",""),""))</f>
        <v/>
      </c>
      <c r="GY25" s="155">
        <f>IF($EI25=0,"",3*$DZ25&amp;" − "&amp;$FN25&amp;" + "&amp;$FQ25&amp;IF($DX25=1," + "&amp;$DZ25,"")&amp;" = "&amp;$FT25&amp;"d8 · teto "&amp;4*$DZ25&amp;IF($EW25=1," · a Forma devolve "&amp;$DZ25,"")&amp;IF($FR25&gt;0," · perde "&amp;$FR25,""))</f>
        <v/>
      </c>
      <c r="GZ25" s="155">
        <f>IF($EI25=0,"",IF($DZ25&gt;=$HK$4,"Já está na maior Classe que o nível liberou",TEXTJOIN(" · ",TRUE,IF(AND(2&gt;$DZ25,2&lt;=$HK$4),"2 → "&amp;$GD25&amp;", "&amp;IF($DX25=1,9,6)&amp;" PE",""),IF(AND(3&gt;$DZ25,3&lt;=$HK$4),"3 → "&amp;$GE25&amp;", "&amp;IF($DX25=1,14,9)&amp;" PE",""),IF(AND(4&gt;$DZ25,4&lt;=$HK$4),"4 → "&amp;$GF25&amp;", "&amp;IF($DX25=1,18,12)&amp;" PE",""),IF(AND(5&gt;$DZ25,5&lt;=$HK$4),"5 → "&amp;$GG25&amp;", "&amp;IF($DX25=1,23,15)&amp;" PE",""),IF(AND(6&gt;$DZ25,6&lt;=$HK$4),"6 → "&amp;$GH25&amp;", "&amp;IF($DX25=1,27,18)&amp;" PE",""),IF(AND(7&gt;$DZ25,7&lt;=$HK$4),"7 → "&amp;$GI25&amp;", "&amp;IF($DX25=1,32,21)&amp;" PE",""))))</f>
        <v/>
      </c>
      <c r="HA25" s="155">
        <f>IF(OR($EI25=0,$EL25=0),"","−"&amp;INDEX($Q$2:$V$8,$DZ25,$EL25)&amp;" · "&amp;CHOOSE($EL25,"Leve","Média","Pesada","Leve · Livre","Média · Livre","Pesada · Livre"))</f>
        <v/>
      </c>
      <c r="HB25" s="155">
        <f>IF(OR($EI25=0,$EM25=0),"","−"&amp;INDEX($Q$2:$V$8,$DZ25,$EM25)&amp;" · "&amp;CHOOSE($EM25,"Leve","Média","Pesada","Leve · Livre","Média · Livre","Pesada · Livre"))</f>
        <v/>
      </c>
      <c r="HC25" s="155">
        <f>IF(OR($EI25=0,$EN25=0),"","−"&amp;INDEX($Q$2:$V$8,$DZ25,$EN25)&amp;" · "&amp;CHOOSE($EN25,"Leve","Média","Pesada","Leve · Livre","Média · Livre","Pesada · Livre"))</f>
        <v/>
      </c>
      <c r="HD25" s="155">
        <f>IF(OR($EI25=0,$EO25=0),"","−"&amp;INDEX($Q$2:$V$8,$DZ25,$EO25)&amp;" · "&amp;CHOOSE($EO25,"Leve","Média","Pesada","Leve · Livre","Média · Livre","Pesada · Livre"))</f>
        <v/>
      </c>
      <c r="HE25" s="155">
        <f>IF(OR($EI25=0,$EG25=""),"","+"&amp;IF($EZ25=1,CEILING($DZ25/2,1),$DZ25))</f>
        <v/>
      </c>
      <c r="HF25" s="155">
        <f>IF(OR($EI25=0,$EH25=""),"","+"&amp;IF($FA25=1,CEILING($DZ25/2,1),$DZ25))</f>
        <v/>
      </c>
      <c r="HG25" s="155">
        <f>'FICHA AMALDIÇOADA'!$P$202&amp;""</f>
        <v/>
      </c>
      <c r="HH25" s="155">
        <f>IF(AND($EI25=1,$DX25=0),COUNTIFS($EI$2:$EI25,1,$DX$2:$DX25,0),"")</f>
        <v/>
      </c>
      <c r="HJ25" s="153" t="inlineStr">
        <is>
          <t>passivas do Leque</t>
        </is>
      </c>
      <c r="HK25" s="155">
        <f>IF('FICHA AMALDIÇOADA'!$D$397&lt;&gt;"",1,0)+IF('FICHA AMALDIÇOADA'!$J$397&lt;&gt;"",1,0)+IF('FICHA AMALDIÇOADA'!$P$397&lt;&gt;"",1,0)+IF('FICHA AMALDIÇOADA'!$D$405&lt;&gt;"",1,0)+IF('FICHA AMALDIÇOADA'!$J$405&lt;&gt;"",1,0)+IF('FICHA AMALDIÇOADA'!$P$405&lt;&gt;"",1,0)+IF('FICHA AMALDIÇOADA'!$D$413&lt;&gt;"",1,0)</f>
        <v/>
      </c>
      <c r="JF25" s="155" t="n">
        <v>24</v>
      </c>
      <c r="JG25" s="155">
        <f>IFERROR(MATCH(24,$HH$2:$HH$37,0),0)</f>
        <v/>
      </c>
      <c r="JH25" s="155">
        <f>IF($JG25=0,"",INDEX($DZ$2:$DZ$37,$JG25))</f>
        <v/>
      </c>
      <c r="JI25" s="155">
        <f>IF($JG25=0,"",INDEX($EA$2:$EA$37,$JG25))</f>
        <v/>
      </c>
      <c r="JJ25" s="155">
        <f>IF($JG25=0,"",INDEX($GP$2:$GP$37,$JG25))</f>
        <v/>
      </c>
      <c r="JK25" s="155">
        <f>IF($JG25=0,"",INDEX($EB$2:$EB$37,$JG25))</f>
        <v/>
      </c>
      <c r="JL25" s="155">
        <f>IF($JG25=0,"",INDEX($GR$2:$GR$37,$JG25))</f>
        <v/>
      </c>
      <c r="JM25" s="155">
        <f>IF($JG25=0,"",INDEX($HG$2:$HG$37,$JG25))</f>
        <v/>
      </c>
      <c r="KS25" s="153" t="inlineStr">
        <is>
          <t>E46</t>
        </is>
      </c>
      <c r="KT25" s="155">
        <f>3*DADOS_AM!$HK$30</f>
        <v/>
      </c>
    </row>
    <row r="26">
      <c r="AO26" s="153" t="inlineStr">
        <is>
          <t>Onda · classe 0</t>
        </is>
      </c>
      <c r="AP26" s="153" t="inlineStr">
        <is>
          <t>—</t>
        </is>
      </c>
      <c r="AQ26" s="153" t="inlineStr">
        <is>
          <t>—</t>
        </is>
      </c>
      <c r="AR26" s="153" t="inlineStr">
        <is>
          <t>—</t>
        </is>
      </c>
      <c r="AS26" s="153" t="inlineStr">
        <is>
          <t>—</t>
        </is>
      </c>
      <c r="AT26" s="153" t="inlineStr">
        <is>
          <t>—</t>
        </is>
      </c>
      <c r="AU26" s="153" t="inlineStr">
        <is>
          <t>—</t>
        </is>
      </c>
      <c r="AV26" s="153" t="inlineStr"/>
      <c r="AW26" s="153" t="inlineStr"/>
      <c r="AX26" s="153" t="inlineStr"/>
      <c r="AY26" s="153" t="inlineStr"/>
      <c r="AZ26" s="153" t="inlineStr"/>
      <c r="BA26" s="153" t="inlineStr"/>
      <c r="BC26" s="153" t="inlineStr">
        <is>
          <t>Guarda Aberta</t>
        </is>
      </c>
      <c r="BD26" s="153" t="inlineStr">
        <is>
          <t>Controle</t>
        </is>
      </c>
      <c r="BE26" s="155" t="n">
        <v>1</v>
      </c>
      <c r="BF26" s="155">
        <f>$BE26+3*IFERROR(VLOOKUP($BD26,$I$2:$L$10,3,FALSE),0)</f>
        <v/>
      </c>
      <c r="BG26" s="155">
        <f>IFERROR(VLOOKUP($BD26,$I$2:$L$10,4,FALSE),0)</f>
        <v/>
      </c>
      <c r="BH26" s="155" t="n">
        <v>1</v>
      </c>
      <c r="BI26" s="155">
        <f>IF($BG26=1,"",$BC26)</f>
        <v/>
      </c>
      <c r="BJ26" s="155">
        <f>IF(AND($BE26=1,$BG26=0),$BC26,"")</f>
        <v/>
      </c>
      <c r="BK26" s="155" t="n">
        <v>1</v>
      </c>
      <c r="CD26" s="153" t="inlineStr">
        <is>
          <t>Sem Pegada</t>
        </is>
      </c>
      <c r="CE26" s="153" t="inlineStr">
        <is>
          <t>Lapidação 1</t>
        </is>
      </c>
      <c r="CF26" s="155" t="n">
        <v>1</v>
      </c>
      <c r="CG26" s="153" t="inlineStr">
        <is>
          <t>—</t>
        </is>
      </c>
      <c r="CH26" s="153"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55">
        <f>IF($CL26=1,"",IF($A$2=4,IF($CJ26=1,$CD26,""),IF(OR($CJ26=1,AND($A$2=3,$CK26=1)),"",$CD26)))</f>
        <v/>
      </c>
      <c r="CJ26" s="155" t="n">
        <v>1</v>
      </c>
      <c r="CK26" s="155" t="n">
        <v>0</v>
      </c>
      <c r="CL26" s="155" t="n">
        <v>0</v>
      </c>
      <c r="CM26" s="153" t="inlineStr">
        <is>
          <t>Sua passagem não deixa pegadas, cheiro, marcas ou som de passos que possam servir de rastro.</t>
        </is>
      </c>
      <c r="DW26" s="153" t="inlineStr">
        <is>
          <t>Feitiço 25</t>
        </is>
      </c>
      <c r="DX26" s="155" t="n">
        <v>0</v>
      </c>
      <c r="DY26" s="155" t="n">
        <v>25</v>
      </c>
      <c r="DZ26" s="155">
        <f>MAX(1,MIN(7,N('FICHA AMALDIÇOADA'!$D$223)))</f>
        <v/>
      </c>
      <c r="EA26" s="155">
        <f>'FICHA AMALDIÇOADA'!$E$223&amp;""</f>
        <v/>
      </c>
      <c r="EB26" s="155">
        <f>'FICHA AMALDIÇOADA'!$D$230&amp;""</f>
        <v/>
      </c>
      <c r="EC26" s="155">
        <f>'FICHA AMALDIÇOADA'!$E$232&amp;""</f>
        <v/>
      </c>
      <c r="ED26" s="155">
        <f>'FICHA AMALDIÇOADA'!$E$233&amp;""</f>
        <v/>
      </c>
      <c r="EE26" s="155">
        <f>'FICHA AMALDIÇOADA'!$E$234&amp;""</f>
        <v/>
      </c>
      <c r="EF26" s="155">
        <f>'FICHA AMALDIÇOADA'!$E$235&amp;""</f>
        <v/>
      </c>
      <c r="EG26" s="155">
        <f>'FICHA AMALDIÇOADA'!$E$236&amp;""</f>
        <v/>
      </c>
      <c r="EH26" s="155">
        <f>'FICHA AMALDIÇOADA'!$E$237&amp;""</f>
        <v/>
      </c>
      <c r="EI26" s="155">
        <f>IF($EA26&lt;&gt;"",1,0)</f>
        <v/>
      </c>
      <c r="EJ26" s="155">
        <f>IFERROR(MATCH($EB26,$Y$2:$Y$11,0),0)</f>
        <v/>
      </c>
      <c r="EK26" s="155">
        <f>IF($EJ26=0,0,INDEX($AB$2:$AB$11,$EJ26))</f>
        <v/>
      </c>
      <c r="EL26" s="155">
        <f>IFERROR(VLOOKUP($EC26,$BC$2:$BK$84,4,FALSE),0)</f>
        <v/>
      </c>
      <c r="EM26" s="155">
        <f>IFERROR(VLOOKUP($ED26,$BC$2:$BK$84,4,FALSE),0)</f>
        <v/>
      </c>
      <c r="EN26" s="155">
        <f>IFERROR(VLOOKUP($EE26,$BC$2:$BK$84,4,FALSE),0)</f>
        <v/>
      </c>
      <c r="EO26" s="155">
        <f>IFERROR(VLOOKUP($EF26,$BC$2:$BK$84,4,FALSE),0)</f>
        <v/>
      </c>
      <c r="EP26" s="155">
        <f>IF($EJ26=0,0,INDEX($AC$2:$AC$11,$EJ26))</f>
        <v/>
      </c>
      <c r="EQ26" s="155">
        <f>IFERROR(VLOOKUP($EC26,$BC$2:$BK$84,5,FALSE),0)</f>
        <v/>
      </c>
      <c r="ER26" s="155">
        <f>IFERROR(VLOOKUP($ED26,$BC$2:$BK$84,5,FALSE),0)</f>
        <v/>
      </c>
      <c r="ES26" s="155">
        <f>IFERROR(VLOOKUP($EE26,$BC$2:$BK$84,5,FALSE),0)</f>
        <v/>
      </c>
      <c r="ET26" s="155">
        <f>IFERROR(VLOOKUP($EF26,$BC$2:$BK$84,5,FALSE),0)</f>
        <v/>
      </c>
      <c r="EU26" s="155">
        <f>IFERROR(VLOOKUP($EC26,$BC$2:$BK$84,6,FALSE),0)+IFERROR(VLOOKUP($ED26,$BC$2:$BK$84,6,FALSE),0)+IFERROR(VLOOKUP($EE26,$BC$2:$BK$84,6,FALSE),0)+IFERROR(VLOOKUP($EF26,$BC$2:$BK$84,6,FALSE),0)</f>
        <v/>
      </c>
      <c r="EV26" s="155">
        <f>IFERROR(VLOOKUP($EC26,$BC$2:$BK$84,9,FALSE),0)+IFERROR(VLOOKUP($ED26,$BC$2:$BK$84,9,FALSE),0)+IFERROR(VLOOKUP($EE26,$BC$2:$BK$84,9,FALSE),0)+IFERROR(VLOOKUP($EF26,$BC$2:$BK$84,9,FALSE),0)</f>
        <v/>
      </c>
      <c r="EW26" s="155">
        <f>IF($EJ26=0,0,INDEX($AD$2:$AD$11,$EJ26))</f>
        <v/>
      </c>
      <c r="EX26" s="155">
        <f>IF($EJ26=0,0,INDEX($AE$2:$AE$11,$EJ26))</f>
        <v/>
      </c>
      <c r="EY26" s="155">
        <f>IF($EJ26=0,0,INDEX($AG$2:$AG$11,$EJ26))</f>
        <v/>
      </c>
      <c r="EZ26" s="155">
        <f>IFERROR(VLOOKUP($EG26,$BM$2:$BQ$24,3,FALSE),0)</f>
        <v/>
      </c>
      <c r="FA26" s="155">
        <f>IFERROR(VLOOKUP($EH26,$BM$2:$BQ$24,3,FALSE),0)</f>
        <v/>
      </c>
      <c r="FB26" s="155">
        <f>IFERROR(VLOOKUP($EG26,$BM$2:$BQ$24,2,FALSE),"")</f>
        <v/>
      </c>
      <c r="FC26" s="155">
        <f>IFERROR(VLOOKUP($EH26,$BM$2:$BQ$24,2,FALSE),"")</f>
        <v/>
      </c>
      <c r="FD26" s="155">
        <f>COUNTIF($EK26:$EO26,1)</f>
        <v/>
      </c>
      <c r="FE26" s="155">
        <f>COUNTIF($EK26:$EO26,2)</f>
        <v/>
      </c>
      <c r="FF26" s="155">
        <f>COUNTIF($EK26:$EO26,3)</f>
        <v/>
      </c>
      <c r="FG26" s="155">
        <f>COUNTIF($EK26:$EO26,4)</f>
        <v/>
      </c>
      <c r="FH26" s="155">
        <f>COUNTIF($EK26:$EO26,5)</f>
        <v/>
      </c>
      <c r="FI26" s="155">
        <f>COUNTIF($EK26:$EO26,6)</f>
        <v/>
      </c>
      <c r="FJ26" s="155">
        <f>COUNTIF($EZ26:$FA26,1)</f>
        <v/>
      </c>
      <c r="FK26" s="155">
        <f>COUNTIF($EZ26:$FA26,2)+$EW26</f>
        <v/>
      </c>
      <c r="FL26" s="155">
        <f>COUNTIF($EC26:$EF26,"?*")</f>
        <v/>
      </c>
      <c r="FM26" s="155">
        <f>COUNTIF($EG26:$EH26,"?*")+$EW26</f>
        <v/>
      </c>
      <c r="FN26" s="155">
        <f>SUMPRODUCT($FD26:$FI26,INDEX($Q$2:$V$8,$DZ26,0))</f>
        <v/>
      </c>
      <c r="FO26" s="155">
        <f>$FJ26*CEILING($DZ26/2,1)+$FK26*$DZ26</f>
        <v/>
      </c>
      <c r="FP26" s="155">
        <f>MIN(2*$DZ26,$FO26)</f>
        <v/>
      </c>
      <c r="FQ26" s="155">
        <f>MIN($FP26,$FN26)</f>
        <v/>
      </c>
      <c r="FR26" s="155">
        <f>$FP26-$FQ26</f>
        <v/>
      </c>
      <c r="FS26" s="155">
        <f>3*$DZ26-$FN26+$FQ26</f>
        <v/>
      </c>
      <c r="FT26" s="155">
        <f>MAX(0,$FS26)+$DX26*$DZ26</f>
        <v/>
      </c>
      <c r="FU26" s="155">
        <f>(IF(COUNTIF($EC26:$EF26,"Salto")&gt;0,1,0)+IF(COUNTIF($EC26:$EF26,"Queima")&gt;0,1,0)+IF(COUNTIF($EC26:$EF26,"Estilhaço")&gt;0,1,0))*FLOOR($FT26/2,1)</f>
        <v/>
      </c>
      <c r="FV26" s="155">
        <f>MAX(0,3-SUMPRODUCT($FD26:$FI26,$Q$2:$V$2)+MIN(2,$FJ26*1+$FK26*1,SUMPRODUCT($FD26:$FI26,$Q$2:$V$2)))+$DX26*1</f>
        <v/>
      </c>
      <c r="FW26" s="155">
        <f>MAX(0,6-SUMPRODUCT($FD26:$FI26,$Q$3:$V$3)+MIN(4,$FJ26*1+$FK26*2,SUMPRODUCT($FD26:$FI26,$Q$3:$V$3)))+$DX26*2</f>
        <v/>
      </c>
      <c r="FX26" s="155">
        <f>MAX(0,9-SUMPRODUCT($FD26:$FI26,$Q$4:$V$4)+MIN(6,$FJ26*2+$FK26*3,SUMPRODUCT($FD26:$FI26,$Q$4:$V$4)))+$DX26*3</f>
        <v/>
      </c>
      <c r="FY26" s="155">
        <f>MAX(0,12-SUMPRODUCT($FD26:$FI26,$Q$5:$V$5)+MIN(8,$FJ26*2+$FK26*4,SUMPRODUCT($FD26:$FI26,$Q$5:$V$5)))+$DX26*4</f>
        <v/>
      </c>
      <c r="FZ26" s="155">
        <f>MAX(0,15-SUMPRODUCT($FD26:$FI26,$Q$6:$V$6)+MIN(10,$FJ26*3+$FK26*5,SUMPRODUCT($FD26:$FI26,$Q$6:$V$6)))+$DX26*5</f>
        <v/>
      </c>
      <c r="GA26" s="155">
        <f>MAX(0,18-SUMPRODUCT($FD26:$FI26,$Q$7:$V$7)+MIN(12,$FJ26*3+$FK26*6,SUMPRODUCT($FD26:$FI26,$Q$7:$V$7)))+$DX26*6</f>
        <v/>
      </c>
      <c r="GB26" s="155">
        <f>MAX(0,21-SUMPRODUCT($FD26:$FI26,$Q$8:$V$8)+MIN(14,$FJ26*4+$FK26*7,SUMPRODUCT($FD26:$FI26,$Q$8:$V$8)))+$DX26*7</f>
        <v/>
      </c>
      <c r="GC26" s="155">
        <f>IF($EX26=2,3*$FV26&amp;" de vida temp.",IF($EX26=3,"sem dano",IF($FV26=0,IF($EX26=1,"sem cura","sem dano"),IF($EX26=1,"cura ","")&amp;$FV26&amp;"d8")))</f>
        <v/>
      </c>
      <c r="GD26" s="155">
        <f>IF($EX26=2,3*$FW26&amp;" de vida temp.",IF($EX26=3,"sem dano",IF($FW26=0,IF($EX26=1,"sem cura","sem dano"),IF($EX26=1,"cura ","")&amp;$FW26&amp;"d8")))</f>
        <v/>
      </c>
      <c r="GE26" s="155">
        <f>IF($EX26=2,3*$FX26&amp;" de vida temp.",IF($EX26=3,"sem dano",IF($FX26=0,IF($EX26=1,"sem cura","sem dano"),IF($EX26=1,"cura ","")&amp;$FX26&amp;"d8")))</f>
        <v/>
      </c>
      <c r="GF26" s="155">
        <f>IF($EX26=2,3*$FY26&amp;" de vida temp.",IF($EX26=3,"sem dano",IF($FY26=0,IF($EX26=1,"sem cura","sem dano"),IF($EX26=1,"cura ","")&amp;$FY26&amp;"d8")))</f>
        <v/>
      </c>
      <c r="GG26" s="155">
        <f>IF($EX26=2,3*$FZ26&amp;" de vida temp.",IF($EX26=3,"sem dano",IF($FZ26=0,IF($EX26=1,"sem cura","sem dano"),IF($EX26=1,"cura ","")&amp;$FZ26&amp;"d8")))</f>
        <v/>
      </c>
      <c r="GH26" s="155">
        <f>IF($EX26=2,3*$GA26&amp;" de vida temp.",IF($EX26=3,"sem dano",IF($GA26=0,IF($EX26=1,"sem cura","sem dano"),IF($EX26=1,"cura ","")&amp;$GA26&amp;"d8")))</f>
        <v/>
      </c>
      <c r="GI26" s="155">
        <f>IF($EX26=2,3*$GB26&amp;" de vida temp.",IF($EX26=3,"sem dano",IF($GB26=0,IF($EX26=1,"sem cura","sem dano"),IF($EX26=1,"cura ","")&amp;$GB26&amp;"d8")))</f>
        <v/>
      </c>
      <c r="GJ26" s="155">
        <f>IF($EI26=0,"",TEXTJOIN(" · ",TRUE,IF(AND($DX26=1,$DY26&gt;$HK$9),"O nível "&amp;$HK$2&amp;" dá "&amp;$HK$9&amp;" Liberação Máxima",""),IF($DZ26&gt;$HK$4,"Classe "&amp;$DZ26&amp;": o nível "&amp;$HK$2&amp;" libera até a "&amp;$HK$4,""),IF($EP26=1,"Família Fechada: a Forma "&amp;$EB26,""),IF($EQ26=1,"Família Fechada: "&amp;$EC26,""),IF($ER26=1,"Família Fechada: "&amp;$ED26,""),IF($ES26=1,"Família Fechada: "&amp;$EE26,""),IF($ET26=1,"Família Fechada: "&amp;$EF26,""),IF($FL26&gt;INDEX($W$2:$W$8,$DZ26),$FL26&amp;" Melhorias: a Classe "&amp;$DZ26&amp;" aceita "&amp;INDEX($W$2:$W$8,$DZ26),""),IF($FM26&gt;2,$FM26&amp;" Restrições"&amp;IF($EW26=1,", contando a que a Forma "&amp;$EB26&amp;" já traz","")&amp;": o limite é 2",""),IF($FS26&lt;0,"Orçamento estourado: faltam "&amp;(-$FS26)&amp;IF($FS26&lt;-1," pontos"," ponto"),""),IF(IFERROR(VLOOKUP($EG26,$BM$2:$BQ$24,4,FALSE),0)+IFERROR(VLOOKUP($EH26,$BM$2:$BQ$24,4,FALSE),0)&gt;1,$FB26&amp;" e "&amp;$FC26&amp;" são as duas de frequência",""),IF(AND((COUNTIF($EC26:$EF26,"Rápido")+COUNTIF($FB26:$FC26,"Rápido"))&gt;0,(COUNTIF($EC26:$EF26,"Atrasar")+COUNTIF($FB26:$FC26,"Atrasar"))&gt;0),"Rápido não entra com Atrasar",""),IF(AND((COUNTIF($EC26:$EF26,"Reação")+COUNTIF($FB26:$FC26,"Reação"))&gt;0,(COUNTIF($EC26:$EF26,"Rápido")+COUNTIF($FB26:$FC26,"Rápido"))&gt;0),"Reação não entra com Rápido",""),IF(AND((COUNTIF($EC26:$EF26,"Reação")+COUNTIF($FB26:$FC26,"Reação"))&gt;0,(COUNTIF($EC26:$EF26,"Armado")+COUNTIF($FB26:$FC26,"Armado"))&gt;0),"Reação não entra com Armado",""),IF(AND((COUNTIF($EC26:$EF26,"Reação")+COUNTIF($FB26:$FC26,"Reação"))&gt;0,(COUNTIF($EC26:$EF26,"Atrasar")+COUNTIF($FB26:$FC26,"Atrasar"))&gt;0),"Reação não entra com Atrasar",""),IF(AND((COUNTIF($EC26:$EF26,"Reação")+COUNTIF($FB26:$FC26,"Reação"))&gt;0,(COUNTIF($EC26:$EF26,"Parado")+COUNTIF($FB26:$FC26,"Parado"))&gt;0),"Reação não entra com Parado",""),IF(AND((COUNTIF($EC26:$EF26,"Atrasar")+COUNTIF($FB26:$FC26,"Atrasar"))&gt;0,(COUNTIF($EC26:$EF26,"Parado")+COUNTIF($FB26:$FC26,"Parado"))&gt;0),"Atrasar não entra com Parado",""),IF(AND((COUNTIF($EC26:$EF26,"Armado")+COUNTIF($FB26:$FC26,"Armado"))&gt;0,(COUNTIF($EC26:$EF26,"Carregar")+COUNTIF($FB26:$FC26,"Carregar"))&gt;0),"Armado não entra com Carregar",""),IF(AND(COUNTIF($FB26:$FC26,"Corpo a Corpo")&gt;0,$EW26=0,OR($EB26="Cone",$EB26="Linha")),"Corpo a Corpo não entra em "&amp;$EB26,""),IF(AND(COUNTIF($FB26:$FC26,"Corpo a Corpo")&gt;0,$EW26=1),"A Forma "&amp;$EB26&amp;" já traz o Corpo a Corpo",""),IF(AND(COUNTIF($FB26:$FC26,"Tudo ou Nada")&gt;0,$EY26=0),"Tudo ou Nada só entra em feitiço de Teste de Resistência",""),IF(AND(COUNTIF($EC26:$EF26,"Inescapável")&gt;0,OR($FL26&gt;1,$FM26&gt;0)),"Inescapável não aceita outra peça",""),IF(AND($DX26=1,$DZ26&lt;3),"Liberação Máxima é de Classe 3 ou mais",""),IF(AND($DX26=1,OR($EX26=1,$EX26=2)),"Liberação Máxima não serve para cura",""),IF(AND($DX26=1,COUNTIF($EC26:$EF26,"Inescapável")+COUNTIF($EC26:$EF26,"Toca a Alma")&gt;0),"Esta peça não entra numa Liberação Máxima",""),IF($FT26*IF(COUNTIF($EC26:$EF26,"Remate")&gt;0,1.25,1)+$FU26&gt;4*$DZ26,($FT26*IF(COUNTIF($EC26:$EF26,"Remate")&gt;0,1.25,1)+$FU26)&amp;" dados somando repetições"&amp;IF(COUNTIF($EC26:$EF26,"Remate")&gt;0," e o Remate","")&amp;": o teto da Classe "&amp;$DZ26&amp;" é "&amp;4*$DZ26,"")))</f>
        <v/>
      </c>
      <c r="GK26" s="155">
        <f>IF($GJ26="",0,(LEN($GJ26)-LEN(SUBSTITUTE($GJ26," · ","")))/3+1)</f>
        <v/>
      </c>
      <c r="GL26" s="155">
        <f>IF($EI26=0,"",TEXTJOIN(" · ",TRUE,IF($FO26&gt;2*$DZ26,"A devolução parou no teto de "&amp;2*$DZ26,""),IF($FR26&gt;0,"Devolução perdida: "&amp;$FR26&amp;IF($FR26&gt;1," pontos"," ponto")&amp;" sem peça para pagar",""),IF(AND($EU26&gt;0,$FT26=0),"Controle sem dano: uma rodada a mais e CD +2",""),IF(AND($EU26&gt;0,$FT26&gt;0,$FT26&lt;=$DZ26),"Controle com saldo até a Classe: uma rodada a mais","")))</f>
        <v/>
      </c>
      <c r="GM26" s="155">
        <f>IF($GL26="",0,(LEN($GL26)-LEN(SUBSTITUTE($GL26," · ","")))/3+1)</f>
        <v/>
      </c>
      <c r="GN26" s="155">
        <f>IF($EI26=0,IF($FL26+$FM26-$EW26&gt;0,"Dê um nome",""),IF($GK26&gt;0,"⚠ "&amp;$GK26&amp;IF($GK26&gt;1," erros"," erro"),IF($GM26&gt;0,"! "&amp;$GM26&amp;IF($GM26&gt;1," avisos"," aviso"),"Na regra")))</f>
        <v/>
      </c>
      <c r="GO26" s="155">
        <f>IF($EI26=0,"",IF($GK26+$GM26=0,"Dentro das regras que a ficha confere",$GJ26&amp;IF(AND($GK26&gt;0,$GM26&gt;0)," · ","")&amp;$GL26))</f>
        <v/>
      </c>
      <c r="GP26" s="155">
        <f>IF($EI26=0,"",IF($DX26=1,CEILING(4.5*$DZ26,1),3*$DZ26)&amp;" PE")</f>
        <v/>
      </c>
      <c r="GQ26" s="155">
        <f>IF($EI26=0,"",IF($DX26=1,"Rodada inteira",IF(COUNTIF($FB26:$FC26,"Atrasar")&gt;0,IF(COUNTIF($FB26:$FC26,"Carregar")&gt;0,"Rodada +1 turno","Rodada inteira"),IF(COUNTIF($EC26:$EF26,"Rápido")&gt;0,"Bônus",IF(COUNTIF($EC26:$EF26,"Reação")&gt;0,"Reação","Padrão"))&amp;IF(COUNTIF($FB26:$FC26,"Carregar")&gt;0," +1 turno",""))))</f>
        <v/>
      </c>
      <c r="GR26" s="155">
        <f>IF(OR($EI26=0,$EJ26=0),"",IF(COUNTIF($EC26:$EF26,"Inescapável")&gt;0,"Automático",IF(COUNTIF($EC26:$EF26,"Certeiro")&gt;0,"TR para metade",IF(AND($EV26&gt;0,$EY26=0,INDEX($AF$2:$AF$11,$EJ26)="Acerto"),"Acerto + TR",INDEX($AF$2:$AF$11,$EJ26)))))</f>
        <v/>
      </c>
      <c r="GS26" s="155">
        <f>IF(OR($EI26=0,$EJ26=0),"",IF(OR($EX26&gt;=2,$FT26=0),UPPER(LEFT(INDEX($GC26:$GI26,1,$DZ26),1))&amp;MID(INDEX($GC26:$GI26,1,$DZ26),2,99),UPPER(LEFT(INDEX($GC26:$GI26,1,$DZ26),1))&amp;MID(INDEX($GC26:$GI26,1,$DZ26),2,99)&amp;" = "&amp;FLOOR($FT26*4.5,1)&amp;IF($FU26&gt;0," · +"&amp;$FU26&amp;"d8","")))</f>
        <v/>
      </c>
      <c r="GT26" s="155">
        <f>COUNTIF($EC26:$EF26,"Longe")+3*COUNTIF($EC26:$EF26,"Muito Longe")</f>
        <v/>
      </c>
      <c r="GU26" s="155">
        <f>COUNTIF($EC26:$EF26,"Maior")+3*COUNTIF($EC26:$EF26,"Muito Maior")</f>
        <v/>
      </c>
      <c r="GV26" s="155">
        <f>IF($EJ26=0,0,CHOOSE(1+INDEX($AH$2:$AH$11,$EJ26),0,$GT26,$GU26,$GT26+$GU26))</f>
        <v/>
      </c>
      <c r="GW26" s="155">
        <f>IF($EJ26=0,0,CHOOSE(1+INDEX($AI$2:$AI$11,$EJ26),0,$GT26,$GU26,$GT26+$GU26))</f>
        <v/>
      </c>
      <c r="GX26" s="155">
        <f>IF(OR($EI26=0,$EJ26=0),"",INDEX($AP$2:$AU$31,($EJ26-1)*3+IF($DZ26&gt;=6,3,2),1+MIN(5,$GV26))&amp;INDEX($AV$2:$BA$31,($EJ26-1)*3+IF($DZ26&gt;=6,3,2),1+MIN(5,$GW26))&amp;IF(INDEX($AJ$2:$AJ$11,$EJ26)=1,IF(COUNTIF($EC26:$EF26,"Mais Um")&gt;0," · +"&amp;COUNTIF($EC26:$EF26,"Mais Um")&amp;IF(COUNTIF($EC26:$EF26,"Mais Um")&gt;1," alvos"," alvo"),"")&amp;IF(COUNTIF($EC26:$EF26,"Rajada")&gt;0," · "&amp;($DZ26+1)&amp;" tiros",""),""))</f>
        <v/>
      </c>
      <c r="GY26" s="155">
        <f>IF($EI26=0,"",3*$DZ26&amp;" − "&amp;$FN26&amp;" + "&amp;$FQ26&amp;IF($DX26=1," + "&amp;$DZ26,"")&amp;" = "&amp;$FT26&amp;"d8 · teto "&amp;4*$DZ26&amp;IF($EW26=1," · a Forma devolve "&amp;$DZ26,"")&amp;IF($FR26&gt;0," · perde "&amp;$FR26,""))</f>
        <v/>
      </c>
      <c r="GZ26" s="155">
        <f>IF($EI26=0,"",IF($DZ26&gt;=$HK$4,"Já está na maior Classe que o nível liberou",TEXTJOIN(" · ",TRUE,IF(AND(2&gt;$DZ26,2&lt;=$HK$4),"2 → "&amp;$GD26&amp;", "&amp;IF($DX26=1,9,6)&amp;" PE",""),IF(AND(3&gt;$DZ26,3&lt;=$HK$4),"3 → "&amp;$GE26&amp;", "&amp;IF($DX26=1,14,9)&amp;" PE",""),IF(AND(4&gt;$DZ26,4&lt;=$HK$4),"4 → "&amp;$GF26&amp;", "&amp;IF($DX26=1,18,12)&amp;" PE",""),IF(AND(5&gt;$DZ26,5&lt;=$HK$4),"5 → "&amp;$GG26&amp;", "&amp;IF($DX26=1,23,15)&amp;" PE",""),IF(AND(6&gt;$DZ26,6&lt;=$HK$4),"6 → "&amp;$GH26&amp;", "&amp;IF($DX26=1,27,18)&amp;" PE",""),IF(AND(7&gt;$DZ26,7&lt;=$HK$4),"7 → "&amp;$GI26&amp;", "&amp;IF($DX26=1,32,21)&amp;" PE",""))))</f>
        <v/>
      </c>
      <c r="HA26" s="155">
        <f>IF(OR($EI26=0,$EL26=0),"","−"&amp;INDEX($Q$2:$V$8,$DZ26,$EL26)&amp;" · "&amp;CHOOSE($EL26,"Leve","Média","Pesada","Leve · Livre","Média · Livre","Pesada · Livre"))</f>
        <v/>
      </c>
      <c r="HB26" s="155">
        <f>IF(OR($EI26=0,$EM26=0),"","−"&amp;INDEX($Q$2:$V$8,$DZ26,$EM26)&amp;" · "&amp;CHOOSE($EM26,"Leve","Média","Pesada","Leve · Livre","Média · Livre","Pesada · Livre"))</f>
        <v/>
      </c>
      <c r="HC26" s="155">
        <f>IF(OR($EI26=0,$EN26=0),"","−"&amp;INDEX($Q$2:$V$8,$DZ26,$EN26)&amp;" · "&amp;CHOOSE($EN26,"Leve","Média","Pesada","Leve · Livre","Média · Livre","Pesada · Livre"))</f>
        <v/>
      </c>
      <c r="HD26" s="155">
        <f>IF(OR($EI26=0,$EO26=0),"","−"&amp;INDEX($Q$2:$V$8,$DZ26,$EO26)&amp;" · "&amp;CHOOSE($EO26,"Leve","Média","Pesada","Leve · Livre","Média · Livre","Pesada · Livre"))</f>
        <v/>
      </c>
      <c r="HE26" s="155">
        <f>IF(OR($EI26=0,$EG26=""),"","+"&amp;IF($EZ26=1,CEILING($DZ26/2,1),$DZ26))</f>
        <v/>
      </c>
      <c r="HF26" s="155">
        <f>IF(OR($EI26=0,$EH26=""),"","+"&amp;IF($FA26=1,CEILING($DZ26/2,1),$DZ26))</f>
        <v/>
      </c>
      <c r="HG26" s="155">
        <f>'FICHA AMALDIÇOADA'!$D$225&amp;""</f>
        <v/>
      </c>
      <c r="HH26" s="155">
        <f>IF(AND($EI26=1,$DX26=0),COUNTIFS($EI$2:$EI26,1,$DX$2:$DX26,0),"")</f>
        <v/>
      </c>
      <c r="HJ26" s="153" t="inlineStr">
        <is>
          <t>aptidões anotadas</t>
        </is>
      </c>
      <c r="HK26" s="155">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F26" s="155" t="n">
        <v>25</v>
      </c>
      <c r="JG26" s="155">
        <f>IFERROR(MATCH(25,$HH$2:$HH$37,0),0)</f>
        <v/>
      </c>
      <c r="JH26" s="155">
        <f>IF($JG26=0,"",INDEX($DZ$2:$DZ$37,$JG26))</f>
        <v/>
      </c>
      <c r="JI26" s="155">
        <f>IF($JG26=0,"",INDEX($EA$2:$EA$37,$JG26))</f>
        <v/>
      </c>
      <c r="JJ26" s="155">
        <f>IF($JG26=0,"",INDEX($GP$2:$GP$37,$JG26))</f>
        <v/>
      </c>
      <c r="JK26" s="155">
        <f>IF($JG26=0,"",INDEX($EB$2:$EB$37,$JG26))</f>
        <v/>
      </c>
      <c r="JL26" s="155">
        <f>IF($JG26=0,"",INDEX($GR$2:$GR$37,$JG26))</f>
        <v/>
      </c>
      <c r="JM26" s="155">
        <f>IF($JG26=0,"",INDEX($HG$2:$HG$37,$JG26))</f>
        <v/>
      </c>
      <c r="KS26" s="153" t="inlineStr">
        <is>
          <t>F46</t>
        </is>
      </c>
      <c r="KT26" s="155">
        <f>INDEX(DADOS_AM!$P$2:$W$8,DADOS_AM!$HK$30,2)</f>
        <v/>
      </c>
    </row>
    <row r="27">
      <c r="AO27" s="153" t="inlineStr">
        <is>
          <t>Onda · classes 1 a 5</t>
        </is>
      </c>
      <c r="AP27" s="153" t="inlineStr">
        <is>
          <t>Raio 3 m, em você</t>
        </is>
      </c>
      <c r="AQ27" s="153" t="inlineStr">
        <is>
          <t>Raio 4,5 m, em você</t>
        </is>
      </c>
      <c r="AR27" s="153" t="inlineStr">
        <is>
          <t>Raio 6 m, em você</t>
        </is>
      </c>
      <c r="AS27" s="153" t="inlineStr">
        <is>
          <t>Raio 9 m, em você</t>
        </is>
      </c>
      <c r="AT27" s="153" t="inlineStr">
        <is>
          <t>Raio 15 m, em você</t>
        </is>
      </c>
      <c r="AU27" s="153" t="inlineStr">
        <is>
          <t>Raio 15 m, em você</t>
        </is>
      </c>
      <c r="AV27" s="153" t="inlineStr"/>
      <c r="AW27" s="153" t="inlineStr"/>
      <c r="AX27" s="153" t="inlineStr"/>
      <c r="AY27" s="153" t="inlineStr"/>
      <c r="AZ27" s="153" t="inlineStr"/>
      <c r="BA27" s="153" t="inlineStr"/>
      <c r="BC27" s="153" t="inlineStr">
        <is>
          <t>Derrubado</t>
        </is>
      </c>
      <c r="BD27" s="153" t="inlineStr">
        <is>
          <t>Controle</t>
        </is>
      </c>
      <c r="BE27" s="155" t="n">
        <v>1</v>
      </c>
      <c r="BF27" s="155">
        <f>$BE27+3*IFERROR(VLOOKUP($BD27,$I$2:$L$10,3,FALSE),0)</f>
        <v/>
      </c>
      <c r="BG27" s="155">
        <f>IFERROR(VLOOKUP($BD27,$I$2:$L$10,4,FALSE),0)</f>
        <v/>
      </c>
      <c r="BH27" s="155" t="n">
        <v>1</v>
      </c>
      <c r="BI27" s="155">
        <f>IF($BG27=1,"",$BC27)</f>
        <v/>
      </c>
      <c r="BJ27" s="155">
        <f>IF(AND($BE27=1,$BG27=0),$BC27,"")</f>
        <v/>
      </c>
      <c r="BK27" s="155" t="n">
        <v>1</v>
      </c>
      <c r="CD27" s="153" t="inlineStr">
        <is>
          <t>Vulto</t>
        </is>
      </c>
      <c r="CE27" s="153" t="inlineStr">
        <is>
          <t>Lapidação 4</t>
        </is>
      </c>
      <c r="CF27" s="155" t="n">
        <v>2</v>
      </c>
      <c r="CG27" s="153" t="inlineStr">
        <is>
          <t>—</t>
        </is>
      </c>
      <c r="CH27" s="153"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55">
        <f>IF($CL27=1,"",IF($A$2=4,IF($CJ27=1,$CD27,""),IF(OR($CJ27=1,AND($A$2=3,$CK27=1)),"",$CD27)))</f>
        <v/>
      </c>
      <c r="CJ27" s="155" t="n">
        <v>1</v>
      </c>
      <c r="CK27" s="155" t="n">
        <v>0</v>
      </c>
      <c r="CL27" s="155" t="n">
        <v>0</v>
      </c>
      <c r="CM27" s="153" t="inlineStr">
        <is>
          <t>Você possui visão às cegas a até 1,5 m × metade da Lapidação, arredondada para baixo.</t>
        </is>
      </c>
      <c r="DW27" s="153" t="inlineStr">
        <is>
          <t>Feitiço 26</t>
        </is>
      </c>
      <c r="DX27" s="155" t="n">
        <v>0</v>
      </c>
      <c r="DY27" s="155" t="n">
        <v>26</v>
      </c>
      <c r="DZ27" s="155">
        <f>MAX(1,MIN(7,N('FICHA AMALDIÇOADA'!$J$223)))</f>
        <v/>
      </c>
      <c r="EA27" s="155">
        <f>'FICHA AMALDIÇOADA'!$K$223&amp;""</f>
        <v/>
      </c>
      <c r="EB27" s="155">
        <f>'FICHA AMALDIÇOADA'!$J$230&amp;""</f>
        <v/>
      </c>
      <c r="EC27" s="155">
        <f>'FICHA AMALDIÇOADA'!$K$232&amp;""</f>
        <v/>
      </c>
      <c r="ED27" s="155">
        <f>'FICHA AMALDIÇOADA'!$K$233&amp;""</f>
        <v/>
      </c>
      <c r="EE27" s="155">
        <f>'FICHA AMALDIÇOADA'!$K$234&amp;""</f>
        <v/>
      </c>
      <c r="EF27" s="155">
        <f>'FICHA AMALDIÇOADA'!$K$235&amp;""</f>
        <v/>
      </c>
      <c r="EG27" s="155">
        <f>'FICHA AMALDIÇOADA'!$K$236&amp;""</f>
        <v/>
      </c>
      <c r="EH27" s="155">
        <f>'FICHA AMALDIÇOADA'!$K$237&amp;""</f>
        <v/>
      </c>
      <c r="EI27" s="155">
        <f>IF($EA27&lt;&gt;"",1,0)</f>
        <v/>
      </c>
      <c r="EJ27" s="155">
        <f>IFERROR(MATCH($EB27,$Y$2:$Y$11,0),0)</f>
        <v/>
      </c>
      <c r="EK27" s="155">
        <f>IF($EJ27=0,0,INDEX($AB$2:$AB$11,$EJ27))</f>
        <v/>
      </c>
      <c r="EL27" s="155">
        <f>IFERROR(VLOOKUP($EC27,$BC$2:$BK$84,4,FALSE),0)</f>
        <v/>
      </c>
      <c r="EM27" s="155">
        <f>IFERROR(VLOOKUP($ED27,$BC$2:$BK$84,4,FALSE),0)</f>
        <v/>
      </c>
      <c r="EN27" s="155">
        <f>IFERROR(VLOOKUP($EE27,$BC$2:$BK$84,4,FALSE),0)</f>
        <v/>
      </c>
      <c r="EO27" s="155">
        <f>IFERROR(VLOOKUP($EF27,$BC$2:$BK$84,4,FALSE),0)</f>
        <v/>
      </c>
      <c r="EP27" s="155">
        <f>IF($EJ27=0,0,INDEX($AC$2:$AC$11,$EJ27))</f>
        <v/>
      </c>
      <c r="EQ27" s="155">
        <f>IFERROR(VLOOKUP($EC27,$BC$2:$BK$84,5,FALSE),0)</f>
        <v/>
      </c>
      <c r="ER27" s="155">
        <f>IFERROR(VLOOKUP($ED27,$BC$2:$BK$84,5,FALSE),0)</f>
        <v/>
      </c>
      <c r="ES27" s="155">
        <f>IFERROR(VLOOKUP($EE27,$BC$2:$BK$84,5,FALSE),0)</f>
        <v/>
      </c>
      <c r="ET27" s="155">
        <f>IFERROR(VLOOKUP($EF27,$BC$2:$BK$84,5,FALSE),0)</f>
        <v/>
      </c>
      <c r="EU27" s="155">
        <f>IFERROR(VLOOKUP($EC27,$BC$2:$BK$84,6,FALSE),0)+IFERROR(VLOOKUP($ED27,$BC$2:$BK$84,6,FALSE),0)+IFERROR(VLOOKUP($EE27,$BC$2:$BK$84,6,FALSE),0)+IFERROR(VLOOKUP($EF27,$BC$2:$BK$84,6,FALSE),0)</f>
        <v/>
      </c>
      <c r="EV27" s="155">
        <f>IFERROR(VLOOKUP($EC27,$BC$2:$BK$84,9,FALSE),0)+IFERROR(VLOOKUP($ED27,$BC$2:$BK$84,9,FALSE),0)+IFERROR(VLOOKUP($EE27,$BC$2:$BK$84,9,FALSE),0)+IFERROR(VLOOKUP($EF27,$BC$2:$BK$84,9,FALSE),0)</f>
        <v/>
      </c>
      <c r="EW27" s="155">
        <f>IF($EJ27=0,0,INDEX($AD$2:$AD$11,$EJ27))</f>
        <v/>
      </c>
      <c r="EX27" s="155">
        <f>IF($EJ27=0,0,INDEX($AE$2:$AE$11,$EJ27))</f>
        <v/>
      </c>
      <c r="EY27" s="155">
        <f>IF($EJ27=0,0,INDEX($AG$2:$AG$11,$EJ27))</f>
        <v/>
      </c>
      <c r="EZ27" s="155">
        <f>IFERROR(VLOOKUP($EG27,$BM$2:$BQ$24,3,FALSE),0)</f>
        <v/>
      </c>
      <c r="FA27" s="155">
        <f>IFERROR(VLOOKUP($EH27,$BM$2:$BQ$24,3,FALSE),0)</f>
        <v/>
      </c>
      <c r="FB27" s="155">
        <f>IFERROR(VLOOKUP($EG27,$BM$2:$BQ$24,2,FALSE),"")</f>
        <v/>
      </c>
      <c r="FC27" s="155">
        <f>IFERROR(VLOOKUP($EH27,$BM$2:$BQ$24,2,FALSE),"")</f>
        <v/>
      </c>
      <c r="FD27" s="155">
        <f>COUNTIF($EK27:$EO27,1)</f>
        <v/>
      </c>
      <c r="FE27" s="155">
        <f>COUNTIF($EK27:$EO27,2)</f>
        <v/>
      </c>
      <c r="FF27" s="155">
        <f>COUNTIF($EK27:$EO27,3)</f>
        <v/>
      </c>
      <c r="FG27" s="155">
        <f>COUNTIF($EK27:$EO27,4)</f>
        <v/>
      </c>
      <c r="FH27" s="155">
        <f>COUNTIF($EK27:$EO27,5)</f>
        <v/>
      </c>
      <c r="FI27" s="155">
        <f>COUNTIF($EK27:$EO27,6)</f>
        <v/>
      </c>
      <c r="FJ27" s="155">
        <f>COUNTIF($EZ27:$FA27,1)</f>
        <v/>
      </c>
      <c r="FK27" s="155">
        <f>COUNTIF($EZ27:$FA27,2)+$EW27</f>
        <v/>
      </c>
      <c r="FL27" s="155">
        <f>COUNTIF($EC27:$EF27,"?*")</f>
        <v/>
      </c>
      <c r="FM27" s="155">
        <f>COUNTIF($EG27:$EH27,"?*")+$EW27</f>
        <v/>
      </c>
      <c r="FN27" s="155">
        <f>SUMPRODUCT($FD27:$FI27,INDEX($Q$2:$V$8,$DZ27,0))</f>
        <v/>
      </c>
      <c r="FO27" s="155">
        <f>$FJ27*CEILING($DZ27/2,1)+$FK27*$DZ27</f>
        <v/>
      </c>
      <c r="FP27" s="155">
        <f>MIN(2*$DZ27,$FO27)</f>
        <v/>
      </c>
      <c r="FQ27" s="155">
        <f>MIN($FP27,$FN27)</f>
        <v/>
      </c>
      <c r="FR27" s="155">
        <f>$FP27-$FQ27</f>
        <v/>
      </c>
      <c r="FS27" s="155">
        <f>3*$DZ27-$FN27+$FQ27</f>
        <v/>
      </c>
      <c r="FT27" s="155">
        <f>MAX(0,$FS27)+$DX27*$DZ27</f>
        <v/>
      </c>
      <c r="FU27" s="155">
        <f>(IF(COUNTIF($EC27:$EF27,"Salto")&gt;0,1,0)+IF(COUNTIF($EC27:$EF27,"Queima")&gt;0,1,0)+IF(COUNTIF($EC27:$EF27,"Estilhaço")&gt;0,1,0))*FLOOR($FT27/2,1)</f>
        <v/>
      </c>
      <c r="FV27" s="155">
        <f>MAX(0,3-SUMPRODUCT($FD27:$FI27,$Q$2:$V$2)+MIN(2,$FJ27*1+$FK27*1,SUMPRODUCT($FD27:$FI27,$Q$2:$V$2)))+$DX27*1</f>
        <v/>
      </c>
      <c r="FW27" s="155">
        <f>MAX(0,6-SUMPRODUCT($FD27:$FI27,$Q$3:$V$3)+MIN(4,$FJ27*1+$FK27*2,SUMPRODUCT($FD27:$FI27,$Q$3:$V$3)))+$DX27*2</f>
        <v/>
      </c>
      <c r="FX27" s="155">
        <f>MAX(0,9-SUMPRODUCT($FD27:$FI27,$Q$4:$V$4)+MIN(6,$FJ27*2+$FK27*3,SUMPRODUCT($FD27:$FI27,$Q$4:$V$4)))+$DX27*3</f>
        <v/>
      </c>
      <c r="FY27" s="155">
        <f>MAX(0,12-SUMPRODUCT($FD27:$FI27,$Q$5:$V$5)+MIN(8,$FJ27*2+$FK27*4,SUMPRODUCT($FD27:$FI27,$Q$5:$V$5)))+$DX27*4</f>
        <v/>
      </c>
      <c r="FZ27" s="155">
        <f>MAX(0,15-SUMPRODUCT($FD27:$FI27,$Q$6:$V$6)+MIN(10,$FJ27*3+$FK27*5,SUMPRODUCT($FD27:$FI27,$Q$6:$V$6)))+$DX27*5</f>
        <v/>
      </c>
      <c r="GA27" s="155">
        <f>MAX(0,18-SUMPRODUCT($FD27:$FI27,$Q$7:$V$7)+MIN(12,$FJ27*3+$FK27*6,SUMPRODUCT($FD27:$FI27,$Q$7:$V$7)))+$DX27*6</f>
        <v/>
      </c>
      <c r="GB27" s="155">
        <f>MAX(0,21-SUMPRODUCT($FD27:$FI27,$Q$8:$V$8)+MIN(14,$FJ27*4+$FK27*7,SUMPRODUCT($FD27:$FI27,$Q$8:$V$8)))+$DX27*7</f>
        <v/>
      </c>
      <c r="GC27" s="155">
        <f>IF($EX27=2,3*$FV27&amp;" de vida temp.",IF($EX27=3,"sem dano",IF($FV27=0,IF($EX27=1,"sem cura","sem dano"),IF($EX27=1,"cura ","")&amp;$FV27&amp;"d8")))</f>
        <v/>
      </c>
      <c r="GD27" s="155">
        <f>IF($EX27=2,3*$FW27&amp;" de vida temp.",IF($EX27=3,"sem dano",IF($FW27=0,IF($EX27=1,"sem cura","sem dano"),IF($EX27=1,"cura ","")&amp;$FW27&amp;"d8")))</f>
        <v/>
      </c>
      <c r="GE27" s="155">
        <f>IF($EX27=2,3*$FX27&amp;" de vida temp.",IF($EX27=3,"sem dano",IF($FX27=0,IF($EX27=1,"sem cura","sem dano"),IF($EX27=1,"cura ","")&amp;$FX27&amp;"d8")))</f>
        <v/>
      </c>
      <c r="GF27" s="155">
        <f>IF($EX27=2,3*$FY27&amp;" de vida temp.",IF($EX27=3,"sem dano",IF($FY27=0,IF($EX27=1,"sem cura","sem dano"),IF($EX27=1,"cura ","")&amp;$FY27&amp;"d8")))</f>
        <v/>
      </c>
      <c r="GG27" s="155">
        <f>IF($EX27=2,3*$FZ27&amp;" de vida temp.",IF($EX27=3,"sem dano",IF($FZ27=0,IF($EX27=1,"sem cura","sem dano"),IF($EX27=1,"cura ","")&amp;$FZ27&amp;"d8")))</f>
        <v/>
      </c>
      <c r="GH27" s="155">
        <f>IF($EX27=2,3*$GA27&amp;" de vida temp.",IF($EX27=3,"sem dano",IF($GA27=0,IF($EX27=1,"sem cura","sem dano"),IF($EX27=1,"cura ","")&amp;$GA27&amp;"d8")))</f>
        <v/>
      </c>
      <c r="GI27" s="155">
        <f>IF($EX27=2,3*$GB27&amp;" de vida temp.",IF($EX27=3,"sem dano",IF($GB27=0,IF($EX27=1,"sem cura","sem dano"),IF($EX27=1,"cura ","")&amp;$GB27&amp;"d8")))</f>
        <v/>
      </c>
      <c r="GJ27" s="155">
        <f>IF($EI27=0,"",TEXTJOIN(" · ",TRUE,IF(AND($DX27=1,$DY27&gt;$HK$9),"O nível "&amp;$HK$2&amp;" dá "&amp;$HK$9&amp;" Liberação Máxima",""),IF($DZ27&gt;$HK$4,"Classe "&amp;$DZ27&amp;": o nível "&amp;$HK$2&amp;" libera até a "&amp;$HK$4,""),IF($EP27=1,"Família Fechada: a Forma "&amp;$EB27,""),IF($EQ27=1,"Família Fechada: "&amp;$EC27,""),IF($ER27=1,"Família Fechada: "&amp;$ED27,""),IF($ES27=1,"Família Fechada: "&amp;$EE27,""),IF($ET27=1,"Família Fechada: "&amp;$EF27,""),IF($FL27&gt;INDEX($W$2:$W$8,$DZ27),$FL27&amp;" Melhorias: a Classe "&amp;$DZ27&amp;" aceita "&amp;INDEX($W$2:$W$8,$DZ27),""),IF($FM27&gt;2,$FM27&amp;" Restrições"&amp;IF($EW27=1,", contando a que a Forma "&amp;$EB27&amp;" já traz","")&amp;": o limite é 2",""),IF($FS27&lt;0,"Orçamento estourado: faltam "&amp;(-$FS27)&amp;IF($FS27&lt;-1," pontos"," ponto"),""),IF(IFERROR(VLOOKUP($EG27,$BM$2:$BQ$24,4,FALSE),0)+IFERROR(VLOOKUP($EH27,$BM$2:$BQ$24,4,FALSE),0)&gt;1,$FB27&amp;" e "&amp;$FC27&amp;" são as duas de frequência",""),IF(AND((COUNTIF($EC27:$EF27,"Rápido")+COUNTIF($FB27:$FC27,"Rápido"))&gt;0,(COUNTIF($EC27:$EF27,"Atrasar")+COUNTIF($FB27:$FC27,"Atrasar"))&gt;0),"Rápido não entra com Atrasar",""),IF(AND((COUNTIF($EC27:$EF27,"Reação")+COUNTIF($FB27:$FC27,"Reação"))&gt;0,(COUNTIF($EC27:$EF27,"Rápido")+COUNTIF($FB27:$FC27,"Rápido"))&gt;0),"Reação não entra com Rápido",""),IF(AND((COUNTIF($EC27:$EF27,"Reação")+COUNTIF($FB27:$FC27,"Reação"))&gt;0,(COUNTIF($EC27:$EF27,"Armado")+COUNTIF($FB27:$FC27,"Armado"))&gt;0),"Reação não entra com Armado",""),IF(AND((COUNTIF($EC27:$EF27,"Reação")+COUNTIF($FB27:$FC27,"Reação"))&gt;0,(COUNTIF($EC27:$EF27,"Atrasar")+COUNTIF($FB27:$FC27,"Atrasar"))&gt;0),"Reação não entra com Atrasar",""),IF(AND((COUNTIF($EC27:$EF27,"Reação")+COUNTIF($FB27:$FC27,"Reação"))&gt;0,(COUNTIF($EC27:$EF27,"Parado")+COUNTIF($FB27:$FC27,"Parado"))&gt;0),"Reação não entra com Parado",""),IF(AND((COUNTIF($EC27:$EF27,"Atrasar")+COUNTIF($FB27:$FC27,"Atrasar"))&gt;0,(COUNTIF($EC27:$EF27,"Parado")+COUNTIF($FB27:$FC27,"Parado"))&gt;0),"Atrasar não entra com Parado",""),IF(AND((COUNTIF($EC27:$EF27,"Armado")+COUNTIF($FB27:$FC27,"Armado"))&gt;0,(COUNTIF($EC27:$EF27,"Carregar")+COUNTIF($FB27:$FC27,"Carregar"))&gt;0),"Armado não entra com Carregar",""),IF(AND(COUNTIF($FB27:$FC27,"Corpo a Corpo")&gt;0,$EW27=0,OR($EB27="Cone",$EB27="Linha")),"Corpo a Corpo não entra em "&amp;$EB27,""),IF(AND(COUNTIF($FB27:$FC27,"Corpo a Corpo")&gt;0,$EW27=1),"A Forma "&amp;$EB27&amp;" já traz o Corpo a Corpo",""),IF(AND(COUNTIF($FB27:$FC27,"Tudo ou Nada")&gt;0,$EY27=0),"Tudo ou Nada só entra em feitiço de Teste de Resistência",""),IF(AND(COUNTIF($EC27:$EF27,"Inescapável")&gt;0,OR($FL27&gt;1,$FM27&gt;0)),"Inescapável não aceita outra peça",""),IF(AND($DX27=1,$DZ27&lt;3),"Liberação Máxima é de Classe 3 ou mais",""),IF(AND($DX27=1,OR($EX27=1,$EX27=2)),"Liberação Máxima não serve para cura",""),IF(AND($DX27=1,COUNTIF($EC27:$EF27,"Inescapável")+COUNTIF($EC27:$EF27,"Toca a Alma")&gt;0),"Esta peça não entra numa Liberação Máxima",""),IF($FT27*IF(COUNTIF($EC27:$EF27,"Remate")&gt;0,1.25,1)+$FU27&gt;4*$DZ27,($FT27*IF(COUNTIF($EC27:$EF27,"Remate")&gt;0,1.25,1)+$FU27)&amp;" dados somando repetições"&amp;IF(COUNTIF($EC27:$EF27,"Remate")&gt;0," e o Remate","")&amp;": o teto da Classe "&amp;$DZ27&amp;" é "&amp;4*$DZ27,"")))</f>
        <v/>
      </c>
      <c r="GK27" s="155">
        <f>IF($GJ27="",0,(LEN($GJ27)-LEN(SUBSTITUTE($GJ27," · ","")))/3+1)</f>
        <v/>
      </c>
      <c r="GL27" s="155">
        <f>IF($EI27=0,"",TEXTJOIN(" · ",TRUE,IF($FO27&gt;2*$DZ27,"A devolução parou no teto de "&amp;2*$DZ27,""),IF($FR27&gt;0,"Devolução perdida: "&amp;$FR27&amp;IF($FR27&gt;1," pontos"," ponto")&amp;" sem peça para pagar",""),IF(AND($EU27&gt;0,$FT27=0),"Controle sem dano: uma rodada a mais e CD +2",""),IF(AND($EU27&gt;0,$FT27&gt;0,$FT27&lt;=$DZ27),"Controle com saldo até a Classe: uma rodada a mais","")))</f>
        <v/>
      </c>
      <c r="GM27" s="155">
        <f>IF($GL27="",0,(LEN($GL27)-LEN(SUBSTITUTE($GL27," · ","")))/3+1)</f>
        <v/>
      </c>
      <c r="GN27" s="155">
        <f>IF($EI27=0,IF($FL27+$FM27-$EW27&gt;0,"Dê um nome",""),IF($GK27&gt;0,"⚠ "&amp;$GK27&amp;IF($GK27&gt;1," erros"," erro"),IF($GM27&gt;0,"! "&amp;$GM27&amp;IF($GM27&gt;1," avisos"," aviso"),"Na regra")))</f>
        <v/>
      </c>
      <c r="GO27" s="155">
        <f>IF($EI27=0,"",IF($GK27+$GM27=0,"Dentro das regras que a ficha confere",$GJ27&amp;IF(AND($GK27&gt;0,$GM27&gt;0)," · ","")&amp;$GL27))</f>
        <v/>
      </c>
      <c r="GP27" s="155">
        <f>IF($EI27=0,"",IF($DX27=1,CEILING(4.5*$DZ27,1),3*$DZ27)&amp;" PE")</f>
        <v/>
      </c>
      <c r="GQ27" s="155">
        <f>IF($EI27=0,"",IF($DX27=1,"Rodada inteira",IF(COUNTIF($FB27:$FC27,"Atrasar")&gt;0,IF(COUNTIF($FB27:$FC27,"Carregar")&gt;0,"Rodada +1 turno","Rodada inteira"),IF(COUNTIF($EC27:$EF27,"Rápido")&gt;0,"Bônus",IF(COUNTIF($EC27:$EF27,"Reação")&gt;0,"Reação","Padrão"))&amp;IF(COUNTIF($FB27:$FC27,"Carregar")&gt;0," +1 turno",""))))</f>
        <v/>
      </c>
      <c r="GR27" s="155">
        <f>IF(OR($EI27=0,$EJ27=0),"",IF(COUNTIF($EC27:$EF27,"Inescapável")&gt;0,"Automático",IF(COUNTIF($EC27:$EF27,"Certeiro")&gt;0,"TR para metade",IF(AND($EV27&gt;0,$EY27=0,INDEX($AF$2:$AF$11,$EJ27)="Acerto"),"Acerto + TR",INDEX($AF$2:$AF$11,$EJ27)))))</f>
        <v/>
      </c>
      <c r="GS27" s="155">
        <f>IF(OR($EI27=0,$EJ27=0),"",IF(OR($EX27&gt;=2,$FT27=0),UPPER(LEFT(INDEX($GC27:$GI27,1,$DZ27),1))&amp;MID(INDEX($GC27:$GI27,1,$DZ27),2,99),UPPER(LEFT(INDEX($GC27:$GI27,1,$DZ27),1))&amp;MID(INDEX($GC27:$GI27,1,$DZ27),2,99)&amp;" = "&amp;FLOOR($FT27*4.5,1)&amp;IF($FU27&gt;0," · +"&amp;$FU27&amp;"d8","")))</f>
        <v/>
      </c>
      <c r="GT27" s="155">
        <f>COUNTIF($EC27:$EF27,"Longe")+3*COUNTIF($EC27:$EF27,"Muito Longe")</f>
        <v/>
      </c>
      <c r="GU27" s="155">
        <f>COUNTIF($EC27:$EF27,"Maior")+3*COUNTIF($EC27:$EF27,"Muito Maior")</f>
        <v/>
      </c>
      <c r="GV27" s="155">
        <f>IF($EJ27=0,0,CHOOSE(1+INDEX($AH$2:$AH$11,$EJ27),0,$GT27,$GU27,$GT27+$GU27))</f>
        <v/>
      </c>
      <c r="GW27" s="155">
        <f>IF($EJ27=0,0,CHOOSE(1+INDEX($AI$2:$AI$11,$EJ27),0,$GT27,$GU27,$GT27+$GU27))</f>
        <v/>
      </c>
      <c r="GX27" s="155">
        <f>IF(OR($EI27=0,$EJ27=0),"",INDEX($AP$2:$AU$31,($EJ27-1)*3+IF($DZ27&gt;=6,3,2),1+MIN(5,$GV27))&amp;INDEX($AV$2:$BA$31,($EJ27-1)*3+IF($DZ27&gt;=6,3,2),1+MIN(5,$GW27))&amp;IF(INDEX($AJ$2:$AJ$11,$EJ27)=1,IF(COUNTIF($EC27:$EF27,"Mais Um")&gt;0," · +"&amp;COUNTIF($EC27:$EF27,"Mais Um")&amp;IF(COUNTIF($EC27:$EF27,"Mais Um")&gt;1," alvos"," alvo"),"")&amp;IF(COUNTIF($EC27:$EF27,"Rajada")&gt;0," · "&amp;($DZ27+1)&amp;" tiros",""),""))</f>
        <v/>
      </c>
      <c r="GY27" s="155">
        <f>IF($EI27=0,"",3*$DZ27&amp;" − "&amp;$FN27&amp;" + "&amp;$FQ27&amp;IF($DX27=1," + "&amp;$DZ27,"")&amp;" = "&amp;$FT27&amp;"d8 · teto "&amp;4*$DZ27&amp;IF($EW27=1," · a Forma devolve "&amp;$DZ27,"")&amp;IF($FR27&gt;0," · perde "&amp;$FR27,""))</f>
        <v/>
      </c>
      <c r="GZ27" s="155">
        <f>IF($EI27=0,"",IF($DZ27&gt;=$HK$4,"Já está na maior Classe que o nível liberou",TEXTJOIN(" · ",TRUE,IF(AND(2&gt;$DZ27,2&lt;=$HK$4),"2 → "&amp;$GD27&amp;", "&amp;IF($DX27=1,9,6)&amp;" PE",""),IF(AND(3&gt;$DZ27,3&lt;=$HK$4),"3 → "&amp;$GE27&amp;", "&amp;IF($DX27=1,14,9)&amp;" PE",""),IF(AND(4&gt;$DZ27,4&lt;=$HK$4),"4 → "&amp;$GF27&amp;", "&amp;IF($DX27=1,18,12)&amp;" PE",""),IF(AND(5&gt;$DZ27,5&lt;=$HK$4),"5 → "&amp;$GG27&amp;", "&amp;IF($DX27=1,23,15)&amp;" PE",""),IF(AND(6&gt;$DZ27,6&lt;=$HK$4),"6 → "&amp;$GH27&amp;", "&amp;IF($DX27=1,27,18)&amp;" PE",""),IF(AND(7&gt;$DZ27,7&lt;=$HK$4),"7 → "&amp;$GI27&amp;", "&amp;IF($DX27=1,32,21)&amp;" PE",""))))</f>
        <v/>
      </c>
      <c r="HA27" s="155">
        <f>IF(OR($EI27=0,$EL27=0),"","−"&amp;INDEX($Q$2:$V$8,$DZ27,$EL27)&amp;" · "&amp;CHOOSE($EL27,"Leve","Média","Pesada","Leve · Livre","Média · Livre","Pesada · Livre"))</f>
        <v/>
      </c>
      <c r="HB27" s="155">
        <f>IF(OR($EI27=0,$EM27=0),"","−"&amp;INDEX($Q$2:$V$8,$DZ27,$EM27)&amp;" · "&amp;CHOOSE($EM27,"Leve","Média","Pesada","Leve · Livre","Média · Livre","Pesada · Livre"))</f>
        <v/>
      </c>
      <c r="HC27" s="155">
        <f>IF(OR($EI27=0,$EN27=0),"","−"&amp;INDEX($Q$2:$V$8,$DZ27,$EN27)&amp;" · "&amp;CHOOSE($EN27,"Leve","Média","Pesada","Leve · Livre","Média · Livre","Pesada · Livre"))</f>
        <v/>
      </c>
      <c r="HD27" s="155">
        <f>IF(OR($EI27=0,$EO27=0),"","−"&amp;INDEX($Q$2:$V$8,$DZ27,$EO27)&amp;" · "&amp;CHOOSE($EO27,"Leve","Média","Pesada","Leve · Livre","Média · Livre","Pesada · Livre"))</f>
        <v/>
      </c>
      <c r="HE27" s="155">
        <f>IF(OR($EI27=0,$EG27=""),"","+"&amp;IF($EZ27=1,CEILING($DZ27/2,1),$DZ27))</f>
        <v/>
      </c>
      <c r="HF27" s="155">
        <f>IF(OR($EI27=0,$EH27=""),"","+"&amp;IF($FA27=1,CEILING($DZ27/2,1),$DZ27))</f>
        <v/>
      </c>
      <c r="HG27" s="155">
        <f>'FICHA AMALDIÇOADA'!$J$225&amp;""</f>
        <v/>
      </c>
      <c r="HH27" s="155">
        <f>IF(AND($EI27=1,$DX27=0),COUNTIFS($EI$2:$EI27,1,$DX$2:$DX27,0),"")</f>
        <v/>
      </c>
      <c r="HJ27" s="153" t="inlineStr">
        <is>
          <t>aptidões compráveis</t>
        </is>
      </c>
      <c r="HK27" s="155">
        <f>MAX(0,N(DADOS!$AK$36)-2)</f>
        <v/>
      </c>
      <c r="JF27" s="155" t="n">
        <v>26</v>
      </c>
      <c r="JG27" s="155">
        <f>IFERROR(MATCH(26,$HH$2:$HH$37,0),0)</f>
        <v/>
      </c>
      <c r="JH27" s="155">
        <f>IF($JG27=0,"",INDEX($DZ$2:$DZ$37,$JG27))</f>
        <v/>
      </c>
      <c r="JI27" s="155">
        <f>IF($JG27=0,"",INDEX($EA$2:$EA$37,$JG27))</f>
        <v/>
      </c>
      <c r="JJ27" s="155">
        <f>IF($JG27=0,"",INDEX($GP$2:$GP$37,$JG27))</f>
        <v/>
      </c>
      <c r="JK27" s="155">
        <f>IF($JG27=0,"",INDEX($EB$2:$EB$37,$JG27))</f>
        <v/>
      </c>
      <c r="JL27" s="155">
        <f>IF($JG27=0,"",INDEX($GR$2:$GR$37,$JG27))</f>
        <v/>
      </c>
      <c r="JM27" s="155">
        <f>IF($JG27=0,"",INDEX($HG$2:$HG$37,$JG27))</f>
        <v/>
      </c>
      <c r="KS27" s="153" t="inlineStr">
        <is>
          <t>G46</t>
        </is>
      </c>
      <c r="KT27" s="155">
        <f>INDEX(DADOS_AM!$P$2:$W$8,DADOS_AM!$HK$30,3)</f>
        <v/>
      </c>
    </row>
    <row r="28">
      <c r="AO28" s="153" t="inlineStr">
        <is>
          <t>Onda · classes 6 e 7</t>
        </is>
      </c>
      <c r="AP28" s="153" t="inlineStr">
        <is>
          <t>Raio 4,5 m, em você</t>
        </is>
      </c>
      <c r="AQ28" s="153" t="inlineStr">
        <is>
          <t>Raio 6 m, em você</t>
        </is>
      </c>
      <c r="AR28" s="153" t="inlineStr">
        <is>
          <t>Raio 9 m, em você</t>
        </is>
      </c>
      <c r="AS28" s="153" t="inlineStr">
        <is>
          <t>Raio 15 m, em você</t>
        </is>
      </c>
      <c r="AT28" s="153" t="inlineStr">
        <is>
          <t>Raio 15 m, em você</t>
        </is>
      </c>
      <c r="AU28" s="153" t="inlineStr">
        <is>
          <t>Raio 15 m, em você</t>
        </is>
      </c>
      <c r="AV28" s="153" t="inlineStr"/>
      <c r="AW28" s="153" t="inlineStr"/>
      <c r="AX28" s="153" t="inlineStr"/>
      <c r="AY28" s="153" t="inlineStr"/>
      <c r="AZ28" s="153" t="inlineStr"/>
      <c r="BA28" s="153" t="inlineStr"/>
      <c r="BC28" s="153" t="inlineStr">
        <is>
          <t>Agarrado</t>
        </is>
      </c>
      <c r="BD28" s="153" t="inlineStr">
        <is>
          <t>Controle</t>
        </is>
      </c>
      <c r="BE28" s="155" t="n">
        <v>1</v>
      </c>
      <c r="BF28" s="155">
        <f>$BE28+3*IFERROR(VLOOKUP($BD28,$I$2:$L$10,3,FALSE),0)</f>
        <v/>
      </c>
      <c r="BG28" s="155">
        <f>IFERROR(VLOOKUP($BD28,$I$2:$L$10,4,FALSE),0)</f>
        <v/>
      </c>
      <c r="BH28" s="155" t="n">
        <v>1</v>
      </c>
      <c r="BI28" s="155">
        <f>IF($BG28=1,"",$BC28)</f>
        <v/>
      </c>
      <c r="BJ28" s="155">
        <f>IF(AND($BE28=1,$BG28=0),$BC28,"")</f>
        <v/>
      </c>
      <c r="BK28" s="155" t="n">
        <v>1</v>
      </c>
      <c r="CD28" s="153" t="inlineStr">
        <is>
          <t>Esteio</t>
        </is>
      </c>
      <c r="CE28" s="153" t="inlineStr">
        <is>
          <t>Lapidação 7</t>
        </is>
      </c>
      <c r="CF28" s="155" t="n">
        <v>3</v>
      </c>
      <c r="CG28" s="153" t="inlineStr">
        <is>
          <t>—</t>
        </is>
      </c>
      <c r="CH28" s="153"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55">
        <f>IF($CL28=1,"",IF($A$2=4,IF($CJ28=1,$CD28,""),IF(OR($CJ28=1,AND($A$2=3,$CK28=1)),"",$CD28)))</f>
        <v/>
      </c>
      <c r="CJ28" s="155" t="n">
        <v>1</v>
      </c>
      <c r="CK28" s="155" t="n">
        <v>0</v>
      </c>
      <c r="CL28" s="155" t="n">
        <v>0</v>
      </c>
      <c r="CM28" s="153" t="inlineStr">
        <is>
          <t>Ao adquirir a Bênção, escolha um TR: Físico, Vigor, Intelecto ou Espírito.</t>
        </is>
      </c>
      <c r="DW28" s="153" t="inlineStr">
        <is>
          <t>Feitiço 27</t>
        </is>
      </c>
      <c r="DX28" s="155" t="n">
        <v>0</v>
      </c>
      <c r="DY28" s="155" t="n">
        <v>27</v>
      </c>
      <c r="DZ28" s="155">
        <f>MAX(1,MIN(7,N('FICHA AMALDIÇOADA'!$P$223)))</f>
        <v/>
      </c>
      <c r="EA28" s="155">
        <f>'FICHA AMALDIÇOADA'!$Q$223&amp;""</f>
        <v/>
      </c>
      <c r="EB28" s="155">
        <f>'FICHA AMALDIÇOADA'!$P$230&amp;""</f>
        <v/>
      </c>
      <c r="EC28" s="155">
        <f>'FICHA AMALDIÇOADA'!$Q$232&amp;""</f>
        <v/>
      </c>
      <c r="ED28" s="155">
        <f>'FICHA AMALDIÇOADA'!$Q$233&amp;""</f>
        <v/>
      </c>
      <c r="EE28" s="155">
        <f>'FICHA AMALDIÇOADA'!$Q$234&amp;""</f>
        <v/>
      </c>
      <c r="EF28" s="155">
        <f>'FICHA AMALDIÇOADA'!$Q$235&amp;""</f>
        <v/>
      </c>
      <c r="EG28" s="155">
        <f>'FICHA AMALDIÇOADA'!$Q$236&amp;""</f>
        <v/>
      </c>
      <c r="EH28" s="155">
        <f>'FICHA AMALDIÇOADA'!$Q$237&amp;""</f>
        <v/>
      </c>
      <c r="EI28" s="155">
        <f>IF($EA28&lt;&gt;"",1,0)</f>
        <v/>
      </c>
      <c r="EJ28" s="155">
        <f>IFERROR(MATCH($EB28,$Y$2:$Y$11,0),0)</f>
        <v/>
      </c>
      <c r="EK28" s="155">
        <f>IF($EJ28=0,0,INDEX($AB$2:$AB$11,$EJ28))</f>
        <v/>
      </c>
      <c r="EL28" s="155">
        <f>IFERROR(VLOOKUP($EC28,$BC$2:$BK$84,4,FALSE),0)</f>
        <v/>
      </c>
      <c r="EM28" s="155">
        <f>IFERROR(VLOOKUP($ED28,$BC$2:$BK$84,4,FALSE),0)</f>
        <v/>
      </c>
      <c r="EN28" s="155">
        <f>IFERROR(VLOOKUP($EE28,$BC$2:$BK$84,4,FALSE),0)</f>
        <v/>
      </c>
      <c r="EO28" s="155">
        <f>IFERROR(VLOOKUP($EF28,$BC$2:$BK$84,4,FALSE),0)</f>
        <v/>
      </c>
      <c r="EP28" s="155">
        <f>IF($EJ28=0,0,INDEX($AC$2:$AC$11,$EJ28))</f>
        <v/>
      </c>
      <c r="EQ28" s="155">
        <f>IFERROR(VLOOKUP($EC28,$BC$2:$BK$84,5,FALSE),0)</f>
        <v/>
      </c>
      <c r="ER28" s="155">
        <f>IFERROR(VLOOKUP($ED28,$BC$2:$BK$84,5,FALSE),0)</f>
        <v/>
      </c>
      <c r="ES28" s="155">
        <f>IFERROR(VLOOKUP($EE28,$BC$2:$BK$84,5,FALSE),0)</f>
        <v/>
      </c>
      <c r="ET28" s="155">
        <f>IFERROR(VLOOKUP($EF28,$BC$2:$BK$84,5,FALSE),0)</f>
        <v/>
      </c>
      <c r="EU28" s="155">
        <f>IFERROR(VLOOKUP($EC28,$BC$2:$BK$84,6,FALSE),0)+IFERROR(VLOOKUP($ED28,$BC$2:$BK$84,6,FALSE),0)+IFERROR(VLOOKUP($EE28,$BC$2:$BK$84,6,FALSE),0)+IFERROR(VLOOKUP($EF28,$BC$2:$BK$84,6,FALSE),0)</f>
        <v/>
      </c>
      <c r="EV28" s="155">
        <f>IFERROR(VLOOKUP($EC28,$BC$2:$BK$84,9,FALSE),0)+IFERROR(VLOOKUP($ED28,$BC$2:$BK$84,9,FALSE),0)+IFERROR(VLOOKUP($EE28,$BC$2:$BK$84,9,FALSE),0)+IFERROR(VLOOKUP($EF28,$BC$2:$BK$84,9,FALSE),0)</f>
        <v/>
      </c>
      <c r="EW28" s="155">
        <f>IF($EJ28=0,0,INDEX($AD$2:$AD$11,$EJ28))</f>
        <v/>
      </c>
      <c r="EX28" s="155">
        <f>IF($EJ28=0,0,INDEX($AE$2:$AE$11,$EJ28))</f>
        <v/>
      </c>
      <c r="EY28" s="155">
        <f>IF($EJ28=0,0,INDEX($AG$2:$AG$11,$EJ28))</f>
        <v/>
      </c>
      <c r="EZ28" s="155">
        <f>IFERROR(VLOOKUP($EG28,$BM$2:$BQ$24,3,FALSE),0)</f>
        <v/>
      </c>
      <c r="FA28" s="155">
        <f>IFERROR(VLOOKUP($EH28,$BM$2:$BQ$24,3,FALSE),0)</f>
        <v/>
      </c>
      <c r="FB28" s="155">
        <f>IFERROR(VLOOKUP($EG28,$BM$2:$BQ$24,2,FALSE),"")</f>
        <v/>
      </c>
      <c r="FC28" s="155">
        <f>IFERROR(VLOOKUP($EH28,$BM$2:$BQ$24,2,FALSE),"")</f>
        <v/>
      </c>
      <c r="FD28" s="155">
        <f>COUNTIF($EK28:$EO28,1)</f>
        <v/>
      </c>
      <c r="FE28" s="155">
        <f>COUNTIF($EK28:$EO28,2)</f>
        <v/>
      </c>
      <c r="FF28" s="155">
        <f>COUNTIF($EK28:$EO28,3)</f>
        <v/>
      </c>
      <c r="FG28" s="155">
        <f>COUNTIF($EK28:$EO28,4)</f>
        <v/>
      </c>
      <c r="FH28" s="155">
        <f>COUNTIF($EK28:$EO28,5)</f>
        <v/>
      </c>
      <c r="FI28" s="155">
        <f>COUNTIF($EK28:$EO28,6)</f>
        <v/>
      </c>
      <c r="FJ28" s="155">
        <f>COUNTIF($EZ28:$FA28,1)</f>
        <v/>
      </c>
      <c r="FK28" s="155">
        <f>COUNTIF($EZ28:$FA28,2)+$EW28</f>
        <v/>
      </c>
      <c r="FL28" s="155">
        <f>COUNTIF($EC28:$EF28,"?*")</f>
        <v/>
      </c>
      <c r="FM28" s="155">
        <f>COUNTIF($EG28:$EH28,"?*")+$EW28</f>
        <v/>
      </c>
      <c r="FN28" s="155">
        <f>SUMPRODUCT($FD28:$FI28,INDEX($Q$2:$V$8,$DZ28,0))</f>
        <v/>
      </c>
      <c r="FO28" s="155">
        <f>$FJ28*CEILING($DZ28/2,1)+$FK28*$DZ28</f>
        <v/>
      </c>
      <c r="FP28" s="155">
        <f>MIN(2*$DZ28,$FO28)</f>
        <v/>
      </c>
      <c r="FQ28" s="155">
        <f>MIN($FP28,$FN28)</f>
        <v/>
      </c>
      <c r="FR28" s="155">
        <f>$FP28-$FQ28</f>
        <v/>
      </c>
      <c r="FS28" s="155">
        <f>3*$DZ28-$FN28+$FQ28</f>
        <v/>
      </c>
      <c r="FT28" s="155">
        <f>MAX(0,$FS28)+$DX28*$DZ28</f>
        <v/>
      </c>
      <c r="FU28" s="155">
        <f>(IF(COUNTIF($EC28:$EF28,"Salto")&gt;0,1,0)+IF(COUNTIF($EC28:$EF28,"Queima")&gt;0,1,0)+IF(COUNTIF($EC28:$EF28,"Estilhaço")&gt;0,1,0))*FLOOR($FT28/2,1)</f>
        <v/>
      </c>
      <c r="FV28" s="155">
        <f>MAX(0,3-SUMPRODUCT($FD28:$FI28,$Q$2:$V$2)+MIN(2,$FJ28*1+$FK28*1,SUMPRODUCT($FD28:$FI28,$Q$2:$V$2)))+$DX28*1</f>
        <v/>
      </c>
      <c r="FW28" s="155">
        <f>MAX(0,6-SUMPRODUCT($FD28:$FI28,$Q$3:$V$3)+MIN(4,$FJ28*1+$FK28*2,SUMPRODUCT($FD28:$FI28,$Q$3:$V$3)))+$DX28*2</f>
        <v/>
      </c>
      <c r="FX28" s="155">
        <f>MAX(0,9-SUMPRODUCT($FD28:$FI28,$Q$4:$V$4)+MIN(6,$FJ28*2+$FK28*3,SUMPRODUCT($FD28:$FI28,$Q$4:$V$4)))+$DX28*3</f>
        <v/>
      </c>
      <c r="FY28" s="155">
        <f>MAX(0,12-SUMPRODUCT($FD28:$FI28,$Q$5:$V$5)+MIN(8,$FJ28*2+$FK28*4,SUMPRODUCT($FD28:$FI28,$Q$5:$V$5)))+$DX28*4</f>
        <v/>
      </c>
      <c r="FZ28" s="155">
        <f>MAX(0,15-SUMPRODUCT($FD28:$FI28,$Q$6:$V$6)+MIN(10,$FJ28*3+$FK28*5,SUMPRODUCT($FD28:$FI28,$Q$6:$V$6)))+$DX28*5</f>
        <v/>
      </c>
      <c r="GA28" s="155">
        <f>MAX(0,18-SUMPRODUCT($FD28:$FI28,$Q$7:$V$7)+MIN(12,$FJ28*3+$FK28*6,SUMPRODUCT($FD28:$FI28,$Q$7:$V$7)))+$DX28*6</f>
        <v/>
      </c>
      <c r="GB28" s="155">
        <f>MAX(0,21-SUMPRODUCT($FD28:$FI28,$Q$8:$V$8)+MIN(14,$FJ28*4+$FK28*7,SUMPRODUCT($FD28:$FI28,$Q$8:$V$8)))+$DX28*7</f>
        <v/>
      </c>
      <c r="GC28" s="155">
        <f>IF($EX28=2,3*$FV28&amp;" de vida temp.",IF($EX28=3,"sem dano",IF($FV28=0,IF($EX28=1,"sem cura","sem dano"),IF($EX28=1,"cura ","")&amp;$FV28&amp;"d8")))</f>
        <v/>
      </c>
      <c r="GD28" s="155">
        <f>IF($EX28=2,3*$FW28&amp;" de vida temp.",IF($EX28=3,"sem dano",IF($FW28=0,IF($EX28=1,"sem cura","sem dano"),IF($EX28=1,"cura ","")&amp;$FW28&amp;"d8")))</f>
        <v/>
      </c>
      <c r="GE28" s="155">
        <f>IF($EX28=2,3*$FX28&amp;" de vida temp.",IF($EX28=3,"sem dano",IF($FX28=0,IF($EX28=1,"sem cura","sem dano"),IF($EX28=1,"cura ","")&amp;$FX28&amp;"d8")))</f>
        <v/>
      </c>
      <c r="GF28" s="155">
        <f>IF($EX28=2,3*$FY28&amp;" de vida temp.",IF($EX28=3,"sem dano",IF($FY28=0,IF($EX28=1,"sem cura","sem dano"),IF($EX28=1,"cura ","")&amp;$FY28&amp;"d8")))</f>
        <v/>
      </c>
      <c r="GG28" s="155">
        <f>IF($EX28=2,3*$FZ28&amp;" de vida temp.",IF($EX28=3,"sem dano",IF($FZ28=0,IF($EX28=1,"sem cura","sem dano"),IF($EX28=1,"cura ","")&amp;$FZ28&amp;"d8")))</f>
        <v/>
      </c>
      <c r="GH28" s="155">
        <f>IF($EX28=2,3*$GA28&amp;" de vida temp.",IF($EX28=3,"sem dano",IF($GA28=0,IF($EX28=1,"sem cura","sem dano"),IF($EX28=1,"cura ","")&amp;$GA28&amp;"d8")))</f>
        <v/>
      </c>
      <c r="GI28" s="155">
        <f>IF($EX28=2,3*$GB28&amp;" de vida temp.",IF($EX28=3,"sem dano",IF($GB28=0,IF($EX28=1,"sem cura","sem dano"),IF($EX28=1,"cura ","")&amp;$GB28&amp;"d8")))</f>
        <v/>
      </c>
      <c r="GJ28" s="155">
        <f>IF($EI28=0,"",TEXTJOIN(" · ",TRUE,IF(AND($DX28=1,$DY28&gt;$HK$9),"O nível "&amp;$HK$2&amp;" dá "&amp;$HK$9&amp;" Liberação Máxima",""),IF($DZ28&gt;$HK$4,"Classe "&amp;$DZ28&amp;": o nível "&amp;$HK$2&amp;" libera até a "&amp;$HK$4,""),IF($EP28=1,"Família Fechada: a Forma "&amp;$EB28,""),IF($EQ28=1,"Família Fechada: "&amp;$EC28,""),IF($ER28=1,"Família Fechada: "&amp;$ED28,""),IF($ES28=1,"Família Fechada: "&amp;$EE28,""),IF($ET28=1,"Família Fechada: "&amp;$EF28,""),IF($FL28&gt;INDEX($W$2:$W$8,$DZ28),$FL28&amp;" Melhorias: a Classe "&amp;$DZ28&amp;" aceita "&amp;INDEX($W$2:$W$8,$DZ28),""),IF($FM28&gt;2,$FM28&amp;" Restrições"&amp;IF($EW28=1,", contando a que a Forma "&amp;$EB28&amp;" já traz","")&amp;": o limite é 2",""),IF($FS28&lt;0,"Orçamento estourado: faltam "&amp;(-$FS28)&amp;IF($FS28&lt;-1," pontos"," ponto"),""),IF(IFERROR(VLOOKUP($EG28,$BM$2:$BQ$24,4,FALSE),0)+IFERROR(VLOOKUP($EH28,$BM$2:$BQ$24,4,FALSE),0)&gt;1,$FB28&amp;" e "&amp;$FC28&amp;" são as duas de frequência",""),IF(AND((COUNTIF($EC28:$EF28,"Rápido")+COUNTIF($FB28:$FC28,"Rápido"))&gt;0,(COUNTIF($EC28:$EF28,"Atrasar")+COUNTIF($FB28:$FC28,"Atrasar"))&gt;0),"Rápido não entra com Atrasar",""),IF(AND((COUNTIF($EC28:$EF28,"Reação")+COUNTIF($FB28:$FC28,"Reação"))&gt;0,(COUNTIF($EC28:$EF28,"Rápido")+COUNTIF($FB28:$FC28,"Rápido"))&gt;0),"Reação não entra com Rápido",""),IF(AND((COUNTIF($EC28:$EF28,"Reação")+COUNTIF($FB28:$FC28,"Reação"))&gt;0,(COUNTIF($EC28:$EF28,"Armado")+COUNTIF($FB28:$FC28,"Armado"))&gt;0),"Reação não entra com Armado",""),IF(AND((COUNTIF($EC28:$EF28,"Reação")+COUNTIF($FB28:$FC28,"Reação"))&gt;0,(COUNTIF($EC28:$EF28,"Atrasar")+COUNTIF($FB28:$FC28,"Atrasar"))&gt;0),"Reação não entra com Atrasar",""),IF(AND((COUNTIF($EC28:$EF28,"Reação")+COUNTIF($FB28:$FC28,"Reação"))&gt;0,(COUNTIF($EC28:$EF28,"Parado")+COUNTIF($FB28:$FC28,"Parado"))&gt;0),"Reação não entra com Parado",""),IF(AND((COUNTIF($EC28:$EF28,"Atrasar")+COUNTIF($FB28:$FC28,"Atrasar"))&gt;0,(COUNTIF($EC28:$EF28,"Parado")+COUNTIF($FB28:$FC28,"Parado"))&gt;0),"Atrasar não entra com Parado",""),IF(AND((COUNTIF($EC28:$EF28,"Armado")+COUNTIF($FB28:$FC28,"Armado"))&gt;0,(COUNTIF($EC28:$EF28,"Carregar")+COUNTIF($FB28:$FC28,"Carregar"))&gt;0),"Armado não entra com Carregar",""),IF(AND(COUNTIF($FB28:$FC28,"Corpo a Corpo")&gt;0,$EW28=0,OR($EB28="Cone",$EB28="Linha")),"Corpo a Corpo não entra em "&amp;$EB28,""),IF(AND(COUNTIF($FB28:$FC28,"Corpo a Corpo")&gt;0,$EW28=1),"A Forma "&amp;$EB28&amp;" já traz o Corpo a Corpo",""),IF(AND(COUNTIF($FB28:$FC28,"Tudo ou Nada")&gt;0,$EY28=0),"Tudo ou Nada só entra em feitiço de Teste de Resistência",""),IF(AND(COUNTIF($EC28:$EF28,"Inescapável")&gt;0,OR($FL28&gt;1,$FM28&gt;0)),"Inescapável não aceita outra peça",""),IF(AND($DX28=1,$DZ28&lt;3),"Liberação Máxima é de Classe 3 ou mais",""),IF(AND($DX28=1,OR($EX28=1,$EX28=2)),"Liberação Máxima não serve para cura",""),IF(AND($DX28=1,COUNTIF($EC28:$EF28,"Inescapável")+COUNTIF($EC28:$EF28,"Toca a Alma")&gt;0),"Esta peça não entra numa Liberação Máxima",""),IF($FT28*IF(COUNTIF($EC28:$EF28,"Remate")&gt;0,1.25,1)+$FU28&gt;4*$DZ28,($FT28*IF(COUNTIF($EC28:$EF28,"Remate")&gt;0,1.25,1)+$FU28)&amp;" dados somando repetições"&amp;IF(COUNTIF($EC28:$EF28,"Remate")&gt;0," e o Remate","")&amp;": o teto da Classe "&amp;$DZ28&amp;" é "&amp;4*$DZ28,"")))</f>
        <v/>
      </c>
      <c r="GK28" s="155">
        <f>IF($GJ28="",0,(LEN($GJ28)-LEN(SUBSTITUTE($GJ28," · ","")))/3+1)</f>
        <v/>
      </c>
      <c r="GL28" s="155">
        <f>IF($EI28=0,"",TEXTJOIN(" · ",TRUE,IF($FO28&gt;2*$DZ28,"A devolução parou no teto de "&amp;2*$DZ28,""),IF($FR28&gt;0,"Devolução perdida: "&amp;$FR28&amp;IF($FR28&gt;1," pontos"," ponto")&amp;" sem peça para pagar",""),IF(AND($EU28&gt;0,$FT28=0),"Controle sem dano: uma rodada a mais e CD +2",""),IF(AND($EU28&gt;0,$FT28&gt;0,$FT28&lt;=$DZ28),"Controle com saldo até a Classe: uma rodada a mais","")))</f>
        <v/>
      </c>
      <c r="GM28" s="155">
        <f>IF($GL28="",0,(LEN($GL28)-LEN(SUBSTITUTE($GL28," · ","")))/3+1)</f>
        <v/>
      </c>
      <c r="GN28" s="155">
        <f>IF($EI28=0,IF($FL28+$FM28-$EW28&gt;0,"Dê um nome",""),IF($GK28&gt;0,"⚠ "&amp;$GK28&amp;IF($GK28&gt;1," erros"," erro"),IF($GM28&gt;0,"! "&amp;$GM28&amp;IF($GM28&gt;1," avisos"," aviso"),"Na regra")))</f>
        <v/>
      </c>
      <c r="GO28" s="155">
        <f>IF($EI28=0,"",IF($GK28+$GM28=0,"Dentro das regras que a ficha confere",$GJ28&amp;IF(AND($GK28&gt;0,$GM28&gt;0)," · ","")&amp;$GL28))</f>
        <v/>
      </c>
      <c r="GP28" s="155">
        <f>IF($EI28=0,"",IF($DX28=1,CEILING(4.5*$DZ28,1),3*$DZ28)&amp;" PE")</f>
        <v/>
      </c>
      <c r="GQ28" s="155">
        <f>IF($EI28=0,"",IF($DX28=1,"Rodada inteira",IF(COUNTIF($FB28:$FC28,"Atrasar")&gt;0,IF(COUNTIF($FB28:$FC28,"Carregar")&gt;0,"Rodada +1 turno","Rodada inteira"),IF(COUNTIF($EC28:$EF28,"Rápido")&gt;0,"Bônus",IF(COUNTIF($EC28:$EF28,"Reação")&gt;0,"Reação","Padrão"))&amp;IF(COUNTIF($FB28:$FC28,"Carregar")&gt;0," +1 turno",""))))</f>
        <v/>
      </c>
      <c r="GR28" s="155">
        <f>IF(OR($EI28=0,$EJ28=0),"",IF(COUNTIF($EC28:$EF28,"Inescapável")&gt;0,"Automático",IF(COUNTIF($EC28:$EF28,"Certeiro")&gt;0,"TR para metade",IF(AND($EV28&gt;0,$EY28=0,INDEX($AF$2:$AF$11,$EJ28)="Acerto"),"Acerto + TR",INDEX($AF$2:$AF$11,$EJ28)))))</f>
        <v/>
      </c>
      <c r="GS28" s="155">
        <f>IF(OR($EI28=0,$EJ28=0),"",IF(OR($EX28&gt;=2,$FT28=0),UPPER(LEFT(INDEX($GC28:$GI28,1,$DZ28),1))&amp;MID(INDEX($GC28:$GI28,1,$DZ28),2,99),UPPER(LEFT(INDEX($GC28:$GI28,1,$DZ28),1))&amp;MID(INDEX($GC28:$GI28,1,$DZ28),2,99)&amp;" = "&amp;FLOOR($FT28*4.5,1)&amp;IF($FU28&gt;0," · +"&amp;$FU28&amp;"d8","")))</f>
        <v/>
      </c>
      <c r="GT28" s="155">
        <f>COUNTIF($EC28:$EF28,"Longe")+3*COUNTIF($EC28:$EF28,"Muito Longe")</f>
        <v/>
      </c>
      <c r="GU28" s="155">
        <f>COUNTIF($EC28:$EF28,"Maior")+3*COUNTIF($EC28:$EF28,"Muito Maior")</f>
        <v/>
      </c>
      <c r="GV28" s="155">
        <f>IF($EJ28=0,0,CHOOSE(1+INDEX($AH$2:$AH$11,$EJ28),0,$GT28,$GU28,$GT28+$GU28))</f>
        <v/>
      </c>
      <c r="GW28" s="155">
        <f>IF($EJ28=0,0,CHOOSE(1+INDEX($AI$2:$AI$11,$EJ28),0,$GT28,$GU28,$GT28+$GU28))</f>
        <v/>
      </c>
      <c r="GX28" s="155">
        <f>IF(OR($EI28=0,$EJ28=0),"",INDEX($AP$2:$AU$31,($EJ28-1)*3+IF($DZ28&gt;=6,3,2),1+MIN(5,$GV28))&amp;INDEX($AV$2:$BA$31,($EJ28-1)*3+IF($DZ28&gt;=6,3,2),1+MIN(5,$GW28))&amp;IF(INDEX($AJ$2:$AJ$11,$EJ28)=1,IF(COUNTIF($EC28:$EF28,"Mais Um")&gt;0," · +"&amp;COUNTIF($EC28:$EF28,"Mais Um")&amp;IF(COUNTIF($EC28:$EF28,"Mais Um")&gt;1," alvos"," alvo"),"")&amp;IF(COUNTIF($EC28:$EF28,"Rajada")&gt;0," · "&amp;($DZ28+1)&amp;" tiros",""),""))</f>
        <v/>
      </c>
      <c r="GY28" s="155">
        <f>IF($EI28=0,"",3*$DZ28&amp;" − "&amp;$FN28&amp;" + "&amp;$FQ28&amp;IF($DX28=1," + "&amp;$DZ28,"")&amp;" = "&amp;$FT28&amp;"d8 · teto "&amp;4*$DZ28&amp;IF($EW28=1," · a Forma devolve "&amp;$DZ28,"")&amp;IF($FR28&gt;0," · perde "&amp;$FR28,""))</f>
        <v/>
      </c>
      <c r="GZ28" s="155">
        <f>IF($EI28=0,"",IF($DZ28&gt;=$HK$4,"Já está na maior Classe que o nível liberou",TEXTJOIN(" · ",TRUE,IF(AND(2&gt;$DZ28,2&lt;=$HK$4),"2 → "&amp;$GD28&amp;", "&amp;IF($DX28=1,9,6)&amp;" PE",""),IF(AND(3&gt;$DZ28,3&lt;=$HK$4),"3 → "&amp;$GE28&amp;", "&amp;IF($DX28=1,14,9)&amp;" PE",""),IF(AND(4&gt;$DZ28,4&lt;=$HK$4),"4 → "&amp;$GF28&amp;", "&amp;IF($DX28=1,18,12)&amp;" PE",""),IF(AND(5&gt;$DZ28,5&lt;=$HK$4),"5 → "&amp;$GG28&amp;", "&amp;IF($DX28=1,23,15)&amp;" PE",""),IF(AND(6&gt;$DZ28,6&lt;=$HK$4),"6 → "&amp;$GH28&amp;", "&amp;IF($DX28=1,27,18)&amp;" PE",""),IF(AND(7&gt;$DZ28,7&lt;=$HK$4),"7 → "&amp;$GI28&amp;", "&amp;IF($DX28=1,32,21)&amp;" PE",""))))</f>
        <v/>
      </c>
      <c r="HA28" s="155">
        <f>IF(OR($EI28=0,$EL28=0),"","−"&amp;INDEX($Q$2:$V$8,$DZ28,$EL28)&amp;" · "&amp;CHOOSE($EL28,"Leve","Média","Pesada","Leve · Livre","Média · Livre","Pesada · Livre"))</f>
        <v/>
      </c>
      <c r="HB28" s="155">
        <f>IF(OR($EI28=0,$EM28=0),"","−"&amp;INDEX($Q$2:$V$8,$DZ28,$EM28)&amp;" · "&amp;CHOOSE($EM28,"Leve","Média","Pesada","Leve · Livre","Média · Livre","Pesada · Livre"))</f>
        <v/>
      </c>
      <c r="HC28" s="155">
        <f>IF(OR($EI28=0,$EN28=0),"","−"&amp;INDEX($Q$2:$V$8,$DZ28,$EN28)&amp;" · "&amp;CHOOSE($EN28,"Leve","Média","Pesada","Leve · Livre","Média · Livre","Pesada · Livre"))</f>
        <v/>
      </c>
      <c r="HD28" s="155">
        <f>IF(OR($EI28=0,$EO28=0),"","−"&amp;INDEX($Q$2:$V$8,$DZ28,$EO28)&amp;" · "&amp;CHOOSE($EO28,"Leve","Média","Pesada","Leve · Livre","Média · Livre","Pesada · Livre"))</f>
        <v/>
      </c>
      <c r="HE28" s="155">
        <f>IF(OR($EI28=0,$EG28=""),"","+"&amp;IF($EZ28=1,CEILING($DZ28/2,1),$DZ28))</f>
        <v/>
      </c>
      <c r="HF28" s="155">
        <f>IF(OR($EI28=0,$EH28=""),"","+"&amp;IF($FA28=1,CEILING($DZ28/2,1),$DZ28))</f>
        <v/>
      </c>
      <c r="HG28" s="155">
        <f>'FICHA AMALDIÇOADA'!$P$225&amp;""</f>
        <v/>
      </c>
      <c r="HH28" s="155">
        <f>IF(AND($EI28=1,$DX28=0),COUNTIFS($EI$2:$EI28,1,$DX$2:$DX28,0),"")</f>
        <v/>
      </c>
      <c r="HJ28" s="153" t="inlineStr">
        <is>
          <t>pactos permanentes</t>
        </is>
      </c>
      <c r="HK28" s="155">
        <f>IF('FICHA AMALDIÇOADA'!$L$518="Permanente",1,0)+IF('FICHA AMALDIÇOADA'!$L$528="Permanente",1,0)+IF('FICHA AMALDIÇOADA'!$L$538="Permanente",1,0)</f>
        <v/>
      </c>
      <c r="JF28" s="155" t="n">
        <v>27</v>
      </c>
      <c r="JG28" s="155">
        <f>IFERROR(MATCH(27,$HH$2:$HH$37,0),0)</f>
        <v/>
      </c>
      <c r="JH28" s="155">
        <f>IF($JG28=0,"",INDEX($DZ$2:$DZ$37,$JG28))</f>
        <v/>
      </c>
      <c r="JI28" s="155">
        <f>IF($JG28=0,"",INDEX($EA$2:$EA$37,$JG28))</f>
        <v/>
      </c>
      <c r="JJ28" s="155">
        <f>IF($JG28=0,"",INDEX($GP$2:$GP$37,$JG28))</f>
        <v/>
      </c>
      <c r="JK28" s="155">
        <f>IF($JG28=0,"",INDEX($EB$2:$EB$37,$JG28))</f>
        <v/>
      </c>
      <c r="JL28" s="155">
        <f>IF($JG28=0,"",INDEX($GR$2:$GR$37,$JG28))</f>
        <v/>
      </c>
      <c r="JM28" s="155">
        <f>IF($JG28=0,"",INDEX($HG$2:$HG$37,$JG28))</f>
        <v/>
      </c>
      <c r="KS28" s="153" t="inlineStr">
        <is>
          <t>J46</t>
        </is>
      </c>
      <c r="KT28" s="155">
        <f>INDEX(DADOS_AM!$P$2:$W$8,DADOS_AM!$HK$30,4)</f>
        <v/>
      </c>
    </row>
    <row r="29">
      <c r="AO29" s="153" t="inlineStr">
        <is>
          <t>Efeito · classe 0</t>
        </is>
      </c>
      <c r="AP29" s="153" t="inlineStr">
        <is>
          <t>Fora de combate</t>
        </is>
      </c>
      <c r="AQ29" s="153" t="inlineStr">
        <is>
          <t>Fora de combate</t>
        </is>
      </c>
      <c r="AR29" s="153" t="inlineStr">
        <is>
          <t>Fora de combate</t>
        </is>
      </c>
      <c r="AS29" s="153" t="inlineStr">
        <is>
          <t>Fora de combate</t>
        </is>
      </c>
      <c r="AT29" s="153" t="inlineStr">
        <is>
          <t>Fora de combate</t>
        </is>
      </c>
      <c r="AU29" s="153" t="inlineStr">
        <is>
          <t>Fora de combate</t>
        </is>
      </c>
      <c r="AV29" s="153" t="inlineStr"/>
      <c r="AW29" s="153" t="inlineStr"/>
      <c r="AX29" s="153" t="inlineStr"/>
      <c r="AY29" s="153" t="inlineStr"/>
      <c r="AZ29" s="153" t="inlineStr"/>
      <c r="BA29" s="153" t="inlineStr"/>
      <c r="BC29" s="153" t="inlineStr">
        <is>
          <t>Desarmado</t>
        </is>
      </c>
      <c r="BD29" s="153" t="inlineStr">
        <is>
          <t>Controle</t>
        </is>
      </c>
      <c r="BE29" s="155" t="n">
        <v>1</v>
      </c>
      <c r="BF29" s="155">
        <f>$BE29+3*IFERROR(VLOOKUP($BD29,$I$2:$L$10,3,FALSE),0)</f>
        <v/>
      </c>
      <c r="BG29" s="155">
        <f>IFERROR(VLOOKUP($BD29,$I$2:$L$10,4,FALSE),0)</f>
        <v/>
      </c>
      <c r="BH29" s="155" t="n">
        <v>1</v>
      </c>
      <c r="BI29" s="155">
        <f>IF($BG29=1,"",$BC29)</f>
        <v/>
      </c>
      <c r="BJ29" s="155">
        <f>IF(AND($BE29=1,$BG29=0),$BC29,"")</f>
        <v/>
      </c>
      <c r="BK29" s="155" t="n">
        <v>1</v>
      </c>
      <c r="CD29" s="153" t="inlineStr">
        <is>
          <t>Antecipar</t>
        </is>
      </c>
      <c r="CE29" s="153" t="inlineStr">
        <is>
          <t>Lapidação 4 e Inteligência 4</t>
        </is>
      </c>
      <c r="CF29" s="155" t="n">
        <v>2</v>
      </c>
      <c r="CG29" s="153" t="inlineStr">
        <is>
          <t>—</t>
        </is>
      </c>
      <c r="CH29" s="153"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55">
        <f>IF($CL29=1,"",IF($A$2=4,IF($CJ29=1,$CD29,""),IF(OR($CJ29=1,AND($A$2=3,$CK29=1)),"",$CD29)))</f>
        <v/>
      </c>
      <c r="CJ29" s="155" t="n">
        <v>1</v>
      </c>
      <c r="CK29" s="155" t="n">
        <v>0</v>
      </c>
      <c r="CL29" s="155" t="n">
        <v>0</v>
      </c>
      <c r="CM29" s="153" t="inlineStr">
        <is>
          <t>Depois de falhar num TR contra um efeito, você recebe vantagem nos próximos TRs contra esse mesmo efeito, produzido pela mesma fonte, até o fim da cena.</t>
        </is>
      </c>
      <c r="DW29" s="153" t="inlineStr">
        <is>
          <t>Feitiço 28</t>
        </is>
      </c>
      <c r="DX29" s="155" t="n">
        <v>0</v>
      </c>
      <c r="DY29" s="155" t="n">
        <v>28</v>
      </c>
      <c r="DZ29" s="155">
        <f>MAX(1,MIN(7,N('FICHA AMALDIÇOADA'!$D$244)))</f>
        <v/>
      </c>
      <c r="EA29" s="155">
        <f>'FICHA AMALDIÇOADA'!$E$244&amp;""</f>
        <v/>
      </c>
      <c r="EB29" s="155">
        <f>'FICHA AMALDIÇOADA'!$D$251&amp;""</f>
        <v/>
      </c>
      <c r="EC29" s="155">
        <f>'FICHA AMALDIÇOADA'!$E$253&amp;""</f>
        <v/>
      </c>
      <c r="ED29" s="155">
        <f>'FICHA AMALDIÇOADA'!$E$254&amp;""</f>
        <v/>
      </c>
      <c r="EE29" s="155">
        <f>'FICHA AMALDIÇOADA'!$E$255&amp;""</f>
        <v/>
      </c>
      <c r="EF29" s="155">
        <f>'FICHA AMALDIÇOADA'!$E$256&amp;""</f>
        <v/>
      </c>
      <c r="EG29" s="155">
        <f>'FICHA AMALDIÇOADA'!$E$257&amp;""</f>
        <v/>
      </c>
      <c r="EH29" s="155">
        <f>'FICHA AMALDIÇOADA'!$E$258&amp;""</f>
        <v/>
      </c>
      <c r="EI29" s="155">
        <f>IF($EA29&lt;&gt;"",1,0)</f>
        <v/>
      </c>
      <c r="EJ29" s="155">
        <f>IFERROR(MATCH($EB29,$Y$2:$Y$11,0),0)</f>
        <v/>
      </c>
      <c r="EK29" s="155">
        <f>IF($EJ29=0,0,INDEX($AB$2:$AB$11,$EJ29))</f>
        <v/>
      </c>
      <c r="EL29" s="155">
        <f>IFERROR(VLOOKUP($EC29,$BC$2:$BK$84,4,FALSE),0)</f>
        <v/>
      </c>
      <c r="EM29" s="155">
        <f>IFERROR(VLOOKUP($ED29,$BC$2:$BK$84,4,FALSE),0)</f>
        <v/>
      </c>
      <c r="EN29" s="155">
        <f>IFERROR(VLOOKUP($EE29,$BC$2:$BK$84,4,FALSE),0)</f>
        <v/>
      </c>
      <c r="EO29" s="155">
        <f>IFERROR(VLOOKUP($EF29,$BC$2:$BK$84,4,FALSE),0)</f>
        <v/>
      </c>
      <c r="EP29" s="155">
        <f>IF($EJ29=0,0,INDEX($AC$2:$AC$11,$EJ29))</f>
        <v/>
      </c>
      <c r="EQ29" s="155">
        <f>IFERROR(VLOOKUP($EC29,$BC$2:$BK$84,5,FALSE),0)</f>
        <v/>
      </c>
      <c r="ER29" s="155">
        <f>IFERROR(VLOOKUP($ED29,$BC$2:$BK$84,5,FALSE),0)</f>
        <v/>
      </c>
      <c r="ES29" s="155">
        <f>IFERROR(VLOOKUP($EE29,$BC$2:$BK$84,5,FALSE),0)</f>
        <v/>
      </c>
      <c r="ET29" s="155">
        <f>IFERROR(VLOOKUP($EF29,$BC$2:$BK$84,5,FALSE),0)</f>
        <v/>
      </c>
      <c r="EU29" s="155">
        <f>IFERROR(VLOOKUP($EC29,$BC$2:$BK$84,6,FALSE),0)+IFERROR(VLOOKUP($ED29,$BC$2:$BK$84,6,FALSE),0)+IFERROR(VLOOKUP($EE29,$BC$2:$BK$84,6,FALSE),0)+IFERROR(VLOOKUP($EF29,$BC$2:$BK$84,6,FALSE),0)</f>
        <v/>
      </c>
      <c r="EV29" s="155">
        <f>IFERROR(VLOOKUP($EC29,$BC$2:$BK$84,9,FALSE),0)+IFERROR(VLOOKUP($ED29,$BC$2:$BK$84,9,FALSE),0)+IFERROR(VLOOKUP($EE29,$BC$2:$BK$84,9,FALSE),0)+IFERROR(VLOOKUP($EF29,$BC$2:$BK$84,9,FALSE),0)</f>
        <v/>
      </c>
      <c r="EW29" s="155">
        <f>IF($EJ29=0,0,INDEX($AD$2:$AD$11,$EJ29))</f>
        <v/>
      </c>
      <c r="EX29" s="155">
        <f>IF($EJ29=0,0,INDEX($AE$2:$AE$11,$EJ29))</f>
        <v/>
      </c>
      <c r="EY29" s="155">
        <f>IF($EJ29=0,0,INDEX($AG$2:$AG$11,$EJ29))</f>
        <v/>
      </c>
      <c r="EZ29" s="155">
        <f>IFERROR(VLOOKUP($EG29,$BM$2:$BQ$24,3,FALSE),0)</f>
        <v/>
      </c>
      <c r="FA29" s="155">
        <f>IFERROR(VLOOKUP($EH29,$BM$2:$BQ$24,3,FALSE),0)</f>
        <v/>
      </c>
      <c r="FB29" s="155">
        <f>IFERROR(VLOOKUP($EG29,$BM$2:$BQ$24,2,FALSE),"")</f>
        <v/>
      </c>
      <c r="FC29" s="155">
        <f>IFERROR(VLOOKUP($EH29,$BM$2:$BQ$24,2,FALSE),"")</f>
        <v/>
      </c>
      <c r="FD29" s="155">
        <f>COUNTIF($EK29:$EO29,1)</f>
        <v/>
      </c>
      <c r="FE29" s="155">
        <f>COUNTIF($EK29:$EO29,2)</f>
        <v/>
      </c>
      <c r="FF29" s="155">
        <f>COUNTIF($EK29:$EO29,3)</f>
        <v/>
      </c>
      <c r="FG29" s="155">
        <f>COUNTIF($EK29:$EO29,4)</f>
        <v/>
      </c>
      <c r="FH29" s="155">
        <f>COUNTIF($EK29:$EO29,5)</f>
        <v/>
      </c>
      <c r="FI29" s="155">
        <f>COUNTIF($EK29:$EO29,6)</f>
        <v/>
      </c>
      <c r="FJ29" s="155">
        <f>COUNTIF($EZ29:$FA29,1)</f>
        <v/>
      </c>
      <c r="FK29" s="155">
        <f>COUNTIF($EZ29:$FA29,2)+$EW29</f>
        <v/>
      </c>
      <c r="FL29" s="155">
        <f>COUNTIF($EC29:$EF29,"?*")</f>
        <v/>
      </c>
      <c r="FM29" s="155">
        <f>COUNTIF($EG29:$EH29,"?*")+$EW29</f>
        <v/>
      </c>
      <c r="FN29" s="155">
        <f>SUMPRODUCT($FD29:$FI29,INDEX($Q$2:$V$8,$DZ29,0))</f>
        <v/>
      </c>
      <c r="FO29" s="155">
        <f>$FJ29*CEILING($DZ29/2,1)+$FK29*$DZ29</f>
        <v/>
      </c>
      <c r="FP29" s="155">
        <f>MIN(2*$DZ29,$FO29)</f>
        <v/>
      </c>
      <c r="FQ29" s="155">
        <f>MIN($FP29,$FN29)</f>
        <v/>
      </c>
      <c r="FR29" s="155">
        <f>$FP29-$FQ29</f>
        <v/>
      </c>
      <c r="FS29" s="155">
        <f>3*$DZ29-$FN29+$FQ29</f>
        <v/>
      </c>
      <c r="FT29" s="155">
        <f>MAX(0,$FS29)+$DX29*$DZ29</f>
        <v/>
      </c>
      <c r="FU29" s="155">
        <f>(IF(COUNTIF($EC29:$EF29,"Salto")&gt;0,1,0)+IF(COUNTIF($EC29:$EF29,"Queima")&gt;0,1,0)+IF(COUNTIF($EC29:$EF29,"Estilhaço")&gt;0,1,0))*FLOOR($FT29/2,1)</f>
        <v/>
      </c>
      <c r="FV29" s="155">
        <f>MAX(0,3-SUMPRODUCT($FD29:$FI29,$Q$2:$V$2)+MIN(2,$FJ29*1+$FK29*1,SUMPRODUCT($FD29:$FI29,$Q$2:$V$2)))+$DX29*1</f>
        <v/>
      </c>
      <c r="FW29" s="155">
        <f>MAX(0,6-SUMPRODUCT($FD29:$FI29,$Q$3:$V$3)+MIN(4,$FJ29*1+$FK29*2,SUMPRODUCT($FD29:$FI29,$Q$3:$V$3)))+$DX29*2</f>
        <v/>
      </c>
      <c r="FX29" s="155">
        <f>MAX(0,9-SUMPRODUCT($FD29:$FI29,$Q$4:$V$4)+MIN(6,$FJ29*2+$FK29*3,SUMPRODUCT($FD29:$FI29,$Q$4:$V$4)))+$DX29*3</f>
        <v/>
      </c>
      <c r="FY29" s="155">
        <f>MAX(0,12-SUMPRODUCT($FD29:$FI29,$Q$5:$V$5)+MIN(8,$FJ29*2+$FK29*4,SUMPRODUCT($FD29:$FI29,$Q$5:$V$5)))+$DX29*4</f>
        <v/>
      </c>
      <c r="FZ29" s="155">
        <f>MAX(0,15-SUMPRODUCT($FD29:$FI29,$Q$6:$V$6)+MIN(10,$FJ29*3+$FK29*5,SUMPRODUCT($FD29:$FI29,$Q$6:$V$6)))+$DX29*5</f>
        <v/>
      </c>
      <c r="GA29" s="155">
        <f>MAX(0,18-SUMPRODUCT($FD29:$FI29,$Q$7:$V$7)+MIN(12,$FJ29*3+$FK29*6,SUMPRODUCT($FD29:$FI29,$Q$7:$V$7)))+$DX29*6</f>
        <v/>
      </c>
      <c r="GB29" s="155">
        <f>MAX(0,21-SUMPRODUCT($FD29:$FI29,$Q$8:$V$8)+MIN(14,$FJ29*4+$FK29*7,SUMPRODUCT($FD29:$FI29,$Q$8:$V$8)))+$DX29*7</f>
        <v/>
      </c>
      <c r="GC29" s="155">
        <f>IF($EX29=2,3*$FV29&amp;" de vida temp.",IF($EX29=3,"sem dano",IF($FV29=0,IF($EX29=1,"sem cura","sem dano"),IF($EX29=1,"cura ","")&amp;$FV29&amp;"d8")))</f>
        <v/>
      </c>
      <c r="GD29" s="155">
        <f>IF($EX29=2,3*$FW29&amp;" de vida temp.",IF($EX29=3,"sem dano",IF($FW29=0,IF($EX29=1,"sem cura","sem dano"),IF($EX29=1,"cura ","")&amp;$FW29&amp;"d8")))</f>
        <v/>
      </c>
      <c r="GE29" s="155">
        <f>IF($EX29=2,3*$FX29&amp;" de vida temp.",IF($EX29=3,"sem dano",IF($FX29=0,IF($EX29=1,"sem cura","sem dano"),IF($EX29=1,"cura ","")&amp;$FX29&amp;"d8")))</f>
        <v/>
      </c>
      <c r="GF29" s="155">
        <f>IF($EX29=2,3*$FY29&amp;" de vida temp.",IF($EX29=3,"sem dano",IF($FY29=0,IF($EX29=1,"sem cura","sem dano"),IF($EX29=1,"cura ","")&amp;$FY29&amp;"d8")))</f>
        <v/>
      </c>
      <c r="GG29" s="155">
        <f>IF($EX29=2,3*$FZ29&amp;" de vida temp.",IF($EX29=3,"sem dano",IF($FZ29=0,IF($EX29=1,"sem cura","sem dano"),IF($EX29=1,"cura ","")&amp;$FZ29&amp;"d8")))</f>
        <v/>
      </c>
      <c r="GH29" s="155">
        <f>IF($EX29=2,3*$GA29&amp;" de vida temp.",IF($EX29=3,"sem dano",IF($GA29=0,IF($EX29=1,"sem cura","sem dano"),IF($EX29=1,"cura ","")&amp;$GA29&amp;"d8")))</f>
        <v/>
      </c>
      <c r="GI29" s="155">
        <f>IF($EX29=2,3*$GB29&amp;" de vida temp.",IF($EX29=3,"sem dano",IF($GB29=0,IF($EX29=1,"sem cura","sem dano"),IF($EX29=1,"cura ","")&amp;$GB29&amp;"d8")))</f>
        <v/>
      </c>
      <c r="GJ29" s="155">
        <f>IF($EI29=0,"",TEXTJOIN(" · ",TRUE,IF(AND($DX29=1,$DY29&gt;$HK$9),"O nível "&amp;$HK$2&amp;" dá "&amp;$HK$9&amp;" Liberação Máxima",""),IF($DZ29&gt;$HK$4,"Classe "&amp;$DZ29&amp;": o nível "&amp;$HK$2&amp;" libera até a "&amp;$HK$4,""),IF($EP29=1,"Família Fechada: a Forma "&amp;$EB29,""),IF($EQ29=1,"Família Fechada: "&amp;$EC29,""),IF($ER29=1,"Família Fechada: "&amp;$ED29,""),IF($ES29=1,"Família Fechada: "&amp;$EE29,""),IF($ET29=1,"Família Fechada: "&amp;$EF29,""),IF($FL29&gt;INDEX($W$2:$W$8,$DZ29),$FL29&amp;" Melhorias: a Classe "&amp;$DZ29&amp;" aceita "&amp;INDEX($W$2:$W$8,$DZ29),""),IF($FM29&gt;2,$FM29&amp;" Restrições"&amp;IF($EW29=1,", contando a que a Forma "&amp;$EB29&amp;" já traz","")&amp;": o limite é 2",""),IF($FS29&lt;0,"Orçamento estourado: faltam "&amp;(-$FS29)&amp;IF($FS29&lt;-1," pontos"," ponto"),""),IF(IFERROR(VLOOKUP($EG29,$BM$2:$BQ$24,4,FALSE),0)+IFERROR(VLOOKUP($EH29,$BM$2:$BQ$24,4,FALSE),0)&gt;1,$FB29&amp;" e "&amp;$FC29&amp;" são as duas de frequência",""),IF(AND((COUNTIF($EC29:$EF29,"Rápido")+COUNTIF($FB29:$FC29,"Rápido"))&gt;0,(COUNTIF($EC29:$EF29,"Atrasar")+COUNTIF($FB29:$FC29,"Atrasar"))&gt;0),"Rápido não entra com Atrasar",""),IF(AND((COUNTIF($EC29:$EF29,"Reação")+COUNTIF($FB29:$FC29,"Reação"))&gt;0,(COUNTIF($EC29:$EF29,"Rápido")+COUNTIF($FB29:$FC29,"Rápido"))&gt;0),"Reação não entra com Rápido",""),IF(AND((COUNTIF($EC29:$EF29,"Reação")+COUNTIF($FB29:$FC29,"Reação"))&gt;0,(COUNTIF($EC29:$EF29,"Armado")+COUNTIF($FB29:$FC29,"Armado"))&gt;0),"Reação não entra com Armado",""),IF(AND((COUNTIF($EC29:$EF29,"Reação")+COUNTIF($FB29:$FC29,"Reação"))&gt;0,(COUNTIF($EC29:$EF29,"Atrasar")+COUNTIF($FB29:$FC29,"Atrasar"))&gt;0),"Reação não entra com Atrasar",""),IF(AND((COUNTIF($EC29:$EF29,"Reação")+COUNTIF($FB29:$FC29,"Reação"))&gt;0,(COUNTIF($EC29:$EF29,"Parado")+COUNTIF($FB29:$FC29,"Parado"))&gt;0),"Reação não entra com Parado",""),IF(AND((COUNTIF($EC29:$EF29,"Atrasar")+COUNTIF($FB29:$FC29,"Atrasar"))&gt;0,(COUNTIF($EC29:$EF29,"Parado")+COUNTIF($FB29:$FC29,"Parado"))&gt;0),"Atrasar não entra com Parado",""),IF(AND((COUNTIF($EC29:$EF29,"Armado")+COUNTIF($FB29:$FC29,"Armado"))&gt;0,(COUNTIF($EC29:$EF29,"Carregar")+COUNTIF($FB29:$FC29,"Carregar"))&gt;0),"Armado não entra com Carregar",""),IF(AND(COUNTIF($FB29:$FC29,"Corpo a Corpo")&gt;0,$EW29=0,OR($EB29="Cone",$EB29="Linha")),"Corpo a Corpo não entra em "&amp;$EB29,""),IF(AND(COUNTIF($FB29:$FC29,"Corpo a Corpo")&gt;0,$EW29=1),"A Forma "&amp;$EB29&amp;" já traz o Corpo a Corpo",""),IF(AND(COUNTIF($FB29:$FC29,"Tudo ou Nada")&gt;0,$EY29=0),"Tudo ou Nada só entra em feitiço de Teste de Resistência",""),IF(AND(COUNTIF($EC29:$EF29,"Inescapável")&gt;0,OR($FL29&gt;1,$FM29&gt;0)),"Inescapável não aceita outra peça",""),IF(AND($DX29=1,$DZ29&lt;3),"Liberação Máxima é de Classe 3 ou mais",""),IF(AND($DX29=1,OR($EX29=1,$EX29=2)),"Liberação Máxima não serve para cura",""),IF(AND($DX29=1,COUNTIF($EC29:$EF29,"Inescapável")+COUNTIF($EC29:$EF29,"Toca a Alma")&gt;0),"Esta peça não entra numa Liberação Máxima",""),IF($FT29*IF(COUNTIF($EC29:$EF29,"Remate")&gt;0,1.25,1)+$FU29&gt;4*$DZ29,($FT29*IF(COUNTIF($EC29:$EF29,"Remate")&gt;0,1.25,1)+$FU29)&amp;" dados somando repetições"&amp;IF(COUNTIF($EC29:$EF29,"Remate")&gt;0," e o Remate","")&amp;": o teto da Classe "&amp;$DZ29&amp;" é "&amp;4*$DZ29,"")))</f>
        <v/>
      </c>
      <c r="GK29" s="155">
        <f>IF($GJ29="",0,(LEN($GJ29)-LEN(SUBSTITUTE($GJ29," · ","")))/3+1)</f>
        <v/>
      </c>
      <c r="GL29" s="155">
        <f>IF($EI29=0,"",TEXTJOIN(" · ",TRUE,IF($FO29&gt;2*$DZ29,"A devolução parou no teto de "&amp;2*$DZ29,""),IF($FR29&gt;0,"Devolução perdida: "&amp;$FR29&amp;IF($FR29&gt;1," pontos"," ponto")&amp;" sem peça para pagar",""),IF(AND($EU29&gt;0,$FT29=0),"Controle sem dano: uma rodada a mais e CD +2",""),IF(AND($EU29&gt;0,$FT29&gt;0,$FT29&lt;=$DZ29),"Controle com saldo até a Classe: uma rodada a mais","")))</f>
        <v/>
      </c>
      <c r="GM29" s="155">
        <f>IF($GL29="",0,(LEN($GL29)-LEN(SUBSTITUTE($GL29," · ","")))/3+1)</f>
        <v/>
      </c>
      <c r="GN29" s="155">
        <f>IF($EI29=0,IF($FL29+$FM29-$EW29&gt;0,"Dê um nome",""),IF($GK29&gt;0,"⚠ "&amp;$GK29&amp;IF($GK29&gt;1," erros"," erro"),IF($GM29&gt;0,"! "&amp;$GM29&amp;IF($GM29&gt;1," avisos"," aviso"),"Na regra")))</f>
        <v/>
      </c>
      <c r="GO29" s="155">
        <f>IF($EI29=0,"",IF($GK29+$GM29=0,"Dentro das regras que a ficha confere",$GJ29&amp;IF(AND($GK29&gt;0,$GM29&gt;0)," · ","")&amp;$GL29))</f>
        <v/>
      </c>
      <c r="GP29" s="155">
        <f>IF($EI29=0,"",IF($DX29=1,CEILING(4.5*$DZ29,1),3*$DZ29)&amp;" PE")</f>
        <v/>
      </c>
      <c r="GQ29" s="155">
        <f>IF($EI29=0,"",IF($DX29=1,"Rodada inteira",IF(COUNTIF($FB29:$FC29,"Atrasar")&gt;0,IF(COUNTIF($FB29:$FC29,"Carregar")&gt;0,"Rodada +1 turno","Rodada inteira"),IF(COUNTIF($EC29:$EF29,"Rápido")&gt;0,"Bônus",IF(COUNTIF($EC29:$EF29,"Reação")&gt;0,"Reação","Padrão"))&amp;IF(COUNTIF($FB29:$FC29,"Carregar")&gt;0," +1 turno",""))))</f>
        <v/>
      </c>
      <c r="GR29" s="155">
        <f>IF(OR($EI29=0,$EJ29=0),"",IF(COUNTIF($EC29:$EF29,"Inescapável")&gt;0,"Automático",IF(COUNTIF($EC29:$EF29,"Certeiro")&gt;0,"TR para metade",IF(AND($EV29&gt;0,$EY29=0,INDEX($AF$2:$AF$11,$EJ29)="Acerto"),"Acerto + TR",INDEX($AF$2:$AF$11,$EJ29)))))</f>
        <v/>
      </c>
      <c r="GS29" s="155">
        <f>IF(OR($EI29=0,$EJ29=0),"",IF(OR($EX29&gt;=2,$FT29=0),UPPER(LEFT(INDEX($GC29:$GI29,1,$DZ29),1))&amp;MID(INDEX($GC29:$GI29,1,$DZ29),2,99),UPPER(LEFT(INDEX($GC29:$GI29,1,$DZ29),1))&amp;MID(INDEX($GC29:$GI29,1,$DZ29),2,99)&amp;" = "&amp;FLOOR($FT29*4.5,1)&amp;IF($FU29&gt;0," · +"&amp;$FU29&amp;"d8","")))</f>
        <v/>
      </c>
      <c r="GT29" s="155">
        <f>COUNTIF($EC29:$EF29,"Longe")+3*COUNTIF($EC29:$EF29,"Muito Longe")</f>
        <v/>
      </c>
      <c r="GU29" s="155">
        <f>COUNTIF($EC29:$EF29,"Maior")+3*COUNTIF($EC29:$EF29,"Muito Maior")</f>
        <v/>
      </c>
      <c r="GV29" s="155">
        <f>IF($EJ29=0,0,CHOOSE(1+INDEX($AH$2:$AH$11,$EJ29),0,$GT29,$GU29,$GT29+$GU29))</f>
        <v/>
      </c>
      <c r="GW29" s="155">
        <f>IF($EJ29=0,0,CHOOSE(1+INDEX($AI$2:$AI$11,$EJ29),0,$GT29,$GU29,$GT29+$GU29))</f>
        <v/>
      </c>
      <c r="GX29" s="155">
        <f>IF(OR($EI29=0,$EJ29=0),"",INDEX($AP$2:$AU$31,($EJ29-1)*3+IF($DZ29&gt;=6,3,2),1+MIN(5,$GV29))&amp;INDEX($AV$2:$BA$31,($EJ29-1)*3+IF($DZ29&gt;=6,3,2),1+MIN(5,$GW29))&amp;IF(INDEX($AJ$2:$AJ$11,$EJ29)=1,IF(COUNTIF($EC29:$EF29,"Mais Um")&gt;0," · +"&amp;COUNTIF($EC29:$EF29,"Mais Um")&amp;IF(COUNTIF($EC29:$EF29,"Mais Um")&gt;1," alvos"," alvo"),"")&amp;IF(COUNTIF($EC29:$EF29,"Rajada")&gt;0," · "&amp;($DZ29+1)&amp;" tiros",""),""))</f>
        <v/>
      </c>
      <c r="GY29" s="155">
        <f>IF($EI29=0,"",3*$DZ29&amp;" − "&amp;$FN29&amp;" + "&amp;$FQ29&amp;IF($DX29=1," + "&amp;$DZ29,"")&amp;" = "&amp;$FT29&amp;"d8 · teto "&amp;4*$DZ29&amp;IF($EW29=1," · a Forma devolve "&amp;$DZ29,"")&amp;IF($FR29&gt;0," · perde "&amp;$FR29,""))</f>
        <v/>
      </c>
      <c r="GZ29" s="155">
        <f>IF($EI29=0,"",IF($DZ29&gt;=$HK$4,"Já está na maior Classe que o nível liberou",TEXTJOIN(" · ",TRUE,IF(AND(2&gt;$DZ29,2&lt;=$HK$4),"2 → "&amp;$GD29&amp;", "&amp;IF($DX29=1,9,6)&amp;" PE",""),IF(AND(3&gt;$DZ29,3&lt;=$HK$4),"3 → "&amp;$GE29&amp;", "&amp;IF($DX29=1,14,9)&amp;" PE",""),IF(AND(4&gt;$DZ29,4&lt;=$HK$4),"4 → "&amp;$GF29&amp;", "&amp;IF($DX29=1,18,12)&amp;" PE",""),IF(AND(5&gt;$DZ29,5&lt;=$HK$4),"5 → "&amp;$GG29&amp;", "&amp;IF($DX29=1,23,15)&amp;" PE",""),IF(AND(6&gt;$DZ29,6&lt;=$HK$4),"6 → "&amp;$GH29&amp;", "&amp;IF($DX29=1,27,18)&amp;" PE",""),IF(AND(7&gt;$DZ29,7&lt;=$HK$4),"7 → "&amp;$GI29&amp;", "&amp;IF($DX29=1,32,21)&amp;" PE",""))))</f>
        <v/>
      </c>
      <c r="HA29" s="155">
        <f>IF(OR($EI29=0,$EL29=0),"","−"&amp;INDEX($Q$2:$V$8,$DZ29,$EL29)&amp;" · "&amp;CHOOSE($EL29,"Leve","Média","Pesada","Leve · Livre","Média · Livre","Pesada · Livre"))</f>
        <v/>
      </c>
      <c r="HB29" s="155">
        <f>IF(OR($EI29=0,$EM29=0),"","−"&amp;INDEX($Q$2:$V$8,$DZ29,$EM29)&amp;" · "&amp;CHOOSE($EM29,"Leve","Média","Pesada","Leve · Livre","Média · Livre","Pesada · Livre"))</f>
        <v/>
      </c>
      <c r="HC29" s="155">
        <f>IF(OR($EI29=0,$EN29=0),"","−"&amp;INDEX($Q$2:$V$8,$DZ29,$EN29)&amp;" · "&amp;CHOOSE($EN29,"Leve","Média","Pesada","Leve · Livre","Média · Livre","Pesada · Livre"))</f>
        <v/>
      </c>
      <c r="HD29" s="155">
        <f>IF(OR($EI29=0,$EO29=0),"","−"&amp;INDEX($Q$2:$V$8,$DZ29,$EO29)&amp;" · "&amp;CHOOSE($EO29,"Leve","Média","Pesada","Leve · Livre","Média · Livre","Pesada · Livre"))</f>
        <v/>
      </c>
      <c r="HE29" s="155">
        <f>IF(OR($EI29=0,$EG29=""),"","+"&amp;IF($EZ29=1,CEILING($DZ29/2,1),$DZ29))</f>
        <v/>
      </c>
      <c r="HF29" s="155">
        <f>IF(OR($EI29=0,$EH29=""),"","+"&amp;IF($FA29=1,CEILING($DZ29/2,1),$DZ29))</f>
        <v/>
      </c>
      <c r="HG29" s="155">
        <f>'FICHA AMALDIÇOADA'!$D$246&amp;""</f>
        <v/>
      </c>
      <c r="HH29" s="155">
        <f>IF(AND($EI29=1,$DX29=0),COUNTIFS($EI$2:$EI29,1,$DX$2:$DX29,0),"")</f>
        <v/>
      </c>
      <c r="HJ29" s="153" t="inlineStr">
        <is>
          <t>teto de pactos</t>
        </is>
      </c>
      <c r="HK29" s="155">
        <f>FLOOR($HK$7/2,1)</f>
        <v/>
      </c>
      <c r="JF29" s="155" t="n">
        <v>28</v>
      </c>
      <c r="JG29" s="155">
        <f>IFERROR(MATCH(28,$HH$2:$HH$37,0),0)</f>
        <v/>
      </c>
      <c r="JH29" s="155">
        <f>IF($JG29=0,"",INDEX($DZ$2:$DZ$37,$JG29))</f>
        <v/>
      </c>
      <c r="JI29" s="155">
        <f>IF($JG29=0,"",INDEX($EA$2:$EA$37,$JG29))</f>
        <v/>
      </c>
      <c r="JJ29" s="155">
        <f>IF($JG29=0,"",INDEX($GP$2:$GP$37,$JG29))</f>
        <v/>
      </c>
      <c r="JK29" s="155">
        <f>IF($JG29=0,"",INDEX($EB$2:$EB$37,$JG29))</f>
        <v/>
      </c>
      <c r="JL29" s="155">
        <f>IF($JG29=0,"",INDEX($GR$2:$GR$37,$JG29))</f>
        <v/>
      </c>
      <c r="JM29" s="155">
        <f>IF($JG29=0,"",INDEX($HG$2:$HG$37,$JG29))</f>
        <v/>
      </c>
      <c r="KS29" s="153" t="inlineStr">
        <is>
          <t>K46</t>
        </is>
      </c>
      <c r="KT29" s="155">
        <f>2*DADOS_AM!$HK$30</f>
        <v/>
      </c>
    </row>
    <row r="30">
      <c r="AO30" s="153" t="inlineStr">
        <is>
          <t>Efeito · classes 1 a 5</t>
        </is>
      </c>
      <c r="AP30" s="153" t="inlineStr">
        <is>
          <t>Fora de combate</t>
        </is>
      </c>
      <c r="AQ30" s="153" t="inlineStr">
        <is>
          <t>Fora de combate</t>
        </is>
      </c>
      <c r="AR30" s="153" t="inlineStr">
        <is>
          <t>Fora de combate</t>
        </is>
      </c>
      <c r="AS30" s="153" t="inlineStr">
        <is>
          <t>Fora de combate</t>
        </is>
      </c>
      <c r="AT30" s="153" t="inlineStr">
        <is>
          <t>Fora de combate</t>
        </is>
      </c>
      <c r="AU30" s="153" t="inlineStr">
        <is>
          <t>Fora de combate</t>
        </is>
      </c>
      <c r="AV30" s="153" t="inlineStr"/>
      <c r="AW30" s="153" t="inlineStr"/>
      <c r="AX30" s="153" t="inlineStr"/>
      <c r="AY30" s="153" t="inlineStr"/>
      <c r="AZ30" s="153" t="inlineStr"/>
      <c r="BA30" s="153" t="inlineStr"/>
      <c r="BC30" s="153" t="inlineStr">
        <is>
          <t>Surdo</t>
        </is>
      </c>
      <c r="BD30" s="153" t="inlineStr">
        <is>
          <t>Controle</t>
        </is>
      </c>
      <c r="BE30" s="155" t="n">
        <v>1</v>
      </c>
      <c r="BF30" s="155">
        <f>$BE30+3*IFERROR(VLOOKUP($BD30,$I$2:$L$10,3,FALSE),0)</f>
        <v/>
      </c>
      <c r="BG30" s="155">
        <f>IFERROR(VLOOKUP($BD30,$I$2:$L$10,4,FALSE),0)</f>
        <v/>
      </c>
      <c r="BH30" s="155" t="n">
        <v>1</v>
      </c>
      <c r="BI30" s="155">
        <f>IF($BG30=1,"",$BC30)</f>
        <v/>
      </c>
      <c r="BJ30" s="155">
        <f>IF(AND($BE30=1,$BG30=0),$BC30,"")</f>
        <v/>
      </c>
      <c r="BK30" s="155" t="n">
        <v>1</v>
      </c>
      <c r="CD30" s="153" t="inlineStr">
        <is>
          <t>Campo</t>
        </is>
      </c>
      <c r="CE30" s="153" t="inlineStr">
        <is>
          <t>Lapidação 1</t>
        </is>
      </c>
      <c r="CF30" s="155" t="n">
        <v>1</v>
      </c>
      <c r="CG30" s="153" t="inlineStr">
        <is>
          <t>—</t>
        </is>
      </c>
      <c r="CH30" s="153" t="inlineStr">
        <is>
          <t>Uma vez por cena, você pode realizar Estudar como Ação Bônus, em vez de Ação Padrão. Use a ação descrita em Ações — Estudar, com seus alvos, testes e informações disponíveis.</t>
        </is>
      </c>
      <c r="CI30" s="155">
        <f>IF($CL30=1,"",IF($A$2=4,IF($CJ30=1,$CD30,""),IF(OR($CJ30=1,AND($A$2=3,$CK30=1)),"",$CD30)))</f>
        <v/>
      </c>
      <c r="CJ30" s="155" t="n">
        <v>1</v>
      </c>
      <c r="CK30" s="155" t="n">
        <v>0</v>
      </c>
      <c r="CL30" s="155" t="n">
        <v>0</v>
      </c>
      <c r="CM30" s="153" t="inlineStr">
        <is>
          <t>Uma vez por cena, você pode realizar Estudar como Ação Bônus, em vez de Ação Padrão. Use a ação descrita em Ações — Estudar, com seus alvos, testes e informações disponíveis.</t>
        </is>
      </c>
      <c r="DW30" s="153" t="inlineStr">
        <is>
          <t>Feitiço 29</t>
        </is>
      </c>
      <c r="DX30" s="155" t="n">
        <v>0</v>
      </c>
      <c r="DY30" s="155" t="n">
        <v>29</v>
      </c>
      <c r="DZ30" s="155">
        <f>MAX(1,MIN(7,N('FICHA AMALDIÇOADA'!$J$244)))</f>
        <v/>
      </c>
      <c r="EA30" s="155">
        <f>'FICHA AMALDIÇOADA'!$K$244&amp;""</f>
        <v/>
      </c>
      <c r="EB30" s="155">
        <f>'FICHA AMALDIÇOADA'!$J$251&amp;""</f>
        <v/>
      </c>
      <c r="EC30" s="155">
        <f>'FICHA AMALDIÇOADA'!$K$253&amp;""</f>
        <v/>
      </c>
      <c r="ED30" s="155">
        <f>'FICHA AMALDIÇOADA'!$K$254&amp;""</f>
        <v/>
      </c>
      <c r="EE30" s="155">
        <f>'FICHA AMALDIÇOADA'!$K$255&amp;""</f>
        <v/>
      </c>
      <c r="EF30" s="155">
        <f>'FICHA AMALDIÇOADA'!$K$256&amp;""</f>
        <v/>
      </c>
      <c r="EG30" s="155">
        <f>'FICHA AMALDIÇOADA'!$K$257&amp;""</f>
        <v/>
      </c>
      <c r="EH30" s="155">
        <f>'FICHA AMALDIÇOADA'!$K$258&amp;""</f>
        <v/>
      </c>
      <c r="EI30" s="155">
        <f>IF($EA30&lt;&gt;"",1,0)</f>
        <v/>
      </c>
      <c r="EJ30" s="155">
        <f>IFERROR(MATCH($EB30,$Y$2:$Y$11,0),0)</f>
        <v/>
      </c>
      <c r="EK30" s="155">
        <f>IF($EJ30=0,0,INDEX($AB$2:$AB$11,$EJ30))</f>
        <v/>
      </c>
      <c r="EL30" s="155">
        <f>IFERROR(VLOOKUP($EC30,$BC$2:$BK$84,4,FALSE),0)</f>
        <v/>
      </c>
      <c r="EM30" s="155">
        <f>IFERROR(VLOOKUP($ED30,$BC$2:$BK$84,4,FALSE),0)</f>
        <v/>
      </c>
      <c r="EN30" s="155">
        <f>IFERROR(VLOOKUP($EE30,$BC$2:$BK$84,4,FALSE),0)</f>
        <v/>
      </c>
      <c r="EO30" s="155">
        <f>IFERROR(VLOOKUP($EF30,$BC$2:$BK$84,4,FALSE),0)</f>
        <v/>
      </c>
      <c r="EP30" s="155">
        <f>IF($EJ30=0,0,INDEX($AC$2:$AC$11,$EJ30))</f>
        <v/>
      </c>
      <c r="EQ30" s="155">
        <f>IFERROR(VLOOKUP($EC30,$BC$2:$BK$84,5,FALSE),0)</f>
        <v/>
      </c>
      <c r="ER30" s="155">
        <f>IFERROR(VLOOKUP($ED30,$BC$2:$BK$84,5,FALSE),0)</f>
        <v/>
      </c>
      <c r="ES30" s="155">
        <f>IFERROR(VLOOKUP($EE30,$BC$2:$BK$84,5,FALSE),0)</f>
        <v/>
      </c>
      <c r="ET30" s="155">
        <f>IFERROR(VLOOKUP($EF30,$BC$2:$BK$84,5,FALSE),0)</f>
        <v/>
      </c>
      <c r="EU30" s="155">
        <f>IFERROR(VLOOKUP($EC30,$BC$2:$BK$84,6,FALSE),0)+IFERROR(VLOOKUP($ED30,$BC$2:$BK$84,6,FALSE),0)+IFERROR(VLOOKUP($EE30,$BC$2:$BK$84,6,FALSE),0)+IFERROR(VLOOKUP($EF30,$BC$2:$BK$84,6,FALSE),0)</f>
        <v/>
      </c>
      <c r="EV30" s="155">
        <f>IFERROR(VLOOKUP($EC30,$BC$2:$BK$84,9,FALSE),0)+IFERROR(VLOOKUP($ED30,$BC$2:$BK$84,9,FALSE),0)+IFERROR(VLOOKUP($EE30,$BC$2:$BK$84,9,FALSE),0)+IFERROR(VLOOKUP($EF30,$BC$2:$BK$84,9,FALSE),0)</f>
        <v/>
      </c>
      <c r="EW30" s="155">
        <f>IF($EJ30=0,0,INDEX($AD$2:$AD$11,$EJ30))</f>
        <v/>
      </c>
      <c r="EX30" s="155">
        <f>IF($EJ30=0,0,INDEX($AE$2:$AE$11,$EJ30))</f>
        <v/>
      </c>
      <c r="EY30" s="155">
        <f>IF($EJ30=0,0,INDEX($AG$2:$AG$11,$EJ30))</f>
        <v/>
      </c>
      <c r="EZ30" s="155">
        <f>IFERROR(VLOOKUP($EG30,$BM$2:$BQ$24,3,FALSE),0)</f>
        <v/>
      </c>
      <c r="FA30" s="155">
        <f>IFERROR(VLOOKUP($EH30,$BM$2:$BQ$24,3,FALSE),0)</f>
        <v/>
      </c>
      <c r="FB30" s="155">
        <f>IFERROR(VLOOKUP($EG30,$BM$2:$BQ$24,2,FALSE),"")</f>
        <v/>
      </c>
      <c r="FC30" s="155">
        <f>IFERROR(VLOOKUP($EH30,$BM$2:$BQ$24,2,FALSE),"")</f>
        <v/>
      </c>
      <c r="FD30" s="155">
        <f>COUNTIF($EK30:$EO30,1)</f>
        <v/>
      </c>
      <c r="FE30" s="155">
        <f>COUNTIF($EK30:$EO30,2)</f>
        <v/>
      </c>
      <c r="FF30" s="155">
        <f>COUNTIF($EK30:$EO30,3)</f>
        <v/>
      </c>
      <c r="FG30" s="155">
        <f>COUNTIF($EK30:$EO30,4)</f>
        <v/>
      </c>
      <c r="FH30" s="155">
        <f>COUNTIF($EK30:$EO30,5)</f>
        <v/>
      </c>
      <c r="FI30" s="155">
        <f>COUNTIF($EK30:$EO30,6)</f>
        <v/>
      </c>
      <c r="FJ30" s="155">
        <f>COUNTIF($EZ30:$FA30,1)</f>
        <v/>
      </c>
      <c r="FK30" s="155">
        <f>COUNTIF($EZ30:$FA30,2)+$EW30</f>
        <v/>
      </c>
      <c r="FL30" s="155">
        <f>COUNTIF($EC30:$EF30,"?*")</f>
        <v/>
      </c>
      <c r="FM30" s="155">
        <f>COUNTIF($EG30:$EH30,"?*")+$EW30</f>
        <v/>
      </c>
      <c r="FN30" s="155">
        <f>SUMPRODUCT($FD30:$FI30,INDEX($Q$2:$V$8,$DZ30,0))</f>
        <v/>
      </c>
      <c r="FO30" s="155">
        <f>$FJ30*CEILING($DZ30/2,1)+$FK30*$DZ30</f>
        <v/>
      </c>
      <c r="FP30" s="155">
        <f>MIN(2*$DZ30,$FO30)</f>
        <v/>
      </c>
      <c r="FQ30" s="155">
        <f>MIN($FP30,$FN30)</f>
        <v/>
      </c>
      <c r="FR30" s="155">
        <f>$FP30-$FQ30</f>
        <v/>
      </c>
      <c r="FS30" s="155">
        <f>3*$DZ30-$FN30+$FQ30</f>
        <v/>
      </c>
      <c r="FT30" s="155">
        <f>MAX(0,$FS30)+$DX30*$DZ30</f>
        <v/>
      </c>
      <c r="FU30" s="155">
        <f>(IF(COUNTIF($EC30:$EF30,"Salto")&gt;0,1,0)+IF(COUNTIF($EC30:$EF30,"Queima")&gt;0,1,0)+IF(COUNTIF($EC30:$EF30,"Estilhaço")&gt;0,1,0))*FLOOR($FT30/2,1)</f>
        <v/>
      </c>
      <c r="FV30" s="155">
        <f>MAX(0,3-SUMPRODUCT($FD30:$FI30,$Q$2:$V$2)+MIN(2,$FJ30*1+$FK30*1,SUMPRODUCT($FD30:$FI30,$Q$2:$V$2)))+$DX30*1</f>
        <v/>
      </c>
      <c r="FW30" s="155">
        <f>MAX(0,6-SUMPRODUCT($FD30:$FI30,$Q$3:$V$3)+MIN(4,$FJ30*1+$FK30*2,SUMPRODUCT($FD30:$FI30,$Q$3:$V$3)))+$DX30*2</f>
        <v/>
      </c>
      <c r="FX30" s="155">
        <f>MAX(0,9-SUMPRODUCT($FD30:$FI30,$Q$4:$V$4)+MIN(6,$FJ30*2+$FK30*3,SUMPRODUCT($FD30:$FI30,$Q$4:$V$4)))+$DX30*3</f>
        <v/>
      </c>
      <c r="FY30" s="155">
        <f>MAX(0,12-SUMPRODUCT($FD30:$FI30,$Q$5:$V$5)+MIN(8,$FJ30*2+$FK30*4,SUMPRODUCT($FD30:$FI30,$Q$5:$V$5)))+$DX30*4</f>
        <v/>
      </c>
      <c r="FZ30" s="155">
        <f>MAX(0,15-SUMPRODUCT($FD30:$FI30,$Q$6:$V$6)+MIN(10,$FJ30*3+$FK30*5,SUMPRODUCT($FD30:$FI30,$Q$6:$V$6)))+$DX30*5</f>
        <v/>
      </c>
      <c r="GA30" s="155">
        <f>MAX(0,18-SUMPRODUCT($FD30:$FI30,$Q$7:$V$7)+MIN(12,$FJ30*3+$FK30*6,SUMPRODUCT($FD30:$FI30,$Q$7:$V$7)))+$DX30*6</f>
        <v/>
      </c>
      <c r="GB30" s="155">
        <f>MAX(0,21-SUMPRODUCT($FD30:$FI30,$Q$8:$V$8)+MIN(14,$FJ30*4+$FK30*7,SUMPRODUCT($FD30:$FI30,$Q$8:$V$8)))+$DX30*7</f>
        <v/>
      </c>
      <c r="GC30" s="155">
        <f>IF($EX30=2,3*$FV30&amp;" de vida temp.",IF($EX30=3,"sem dano",IF($FV30=0,IF($EX30=1,"sem cura","sem dano"),IF($EX30=1,"cura ","")&amp;$FV30&amp;"d8")))</f>
        <v/>
      </c>
      <c r="GD30" s="155">
        <f>IF($EX30=2,3*$FW30&amp;" de vida temp.",IF($EX30=3,"sem dano",IF($FW30=0,IF($EX30=1,"sem cura","sem dano"),IF($EX30=1,"cura ","")&amp;$FW30&amp;"d8")))</f>
        <v/>
      </c>
      <c r="GE30" s="155">
        <f>IF($EX30=2,3*$FX30&amp;" de vida temp.",IF($EX30=3,"sem dano",IF($FX30=0,IF($EX30=1,"sem cura","sem dano"),IF($EX30=1,"cura ","")&amp;$FX30&amp;"d8")))</f>
        <v/>
      </c>
      <c r="GF30" s="155">
        <f>IF($EX30=2,3*$FY30&amp;" de vida temp.",IF($EX30=3,"sem dano",IF($FY30=0,IF($EX30=1,"sem cura","sem dano"),IF($EX30=1,"cura ","")&amp;$FY30&amp;"d8")))</f>
        <v/>
      </c>
      <c r="GG30" s="155">
        <f>IF($EX30=2,3*$FZ30&amp;" de vida temp.",IF($EX30=3,"sem dano",IF($FZ30=0,IF($EX30=1,"sem cura","sem dano"),IF($EX30=1,"cura ","")&amp;$FZ30&amp;"d8")))</f>
        <v/>
      </c>
      <c r="GH30" s="155">
        <f>IF($EX30=2,3*$GA30&amp;" de vida temp.",IF($EX30=3,"sem dano",IF($GA30=0,IF($EX30=1,"sem cura","sem dano"),IF($EX30=1,"cura ","")&amp;$GA30&amp;"d8")))</f>
        <v/>
      </c>
      <c r="GI30" s="155">
        <f>IF($EX30=2,3*$GB30&amp;" de vida temp.",IF($EX30=3,"sem dano",IF($GB30=0,IF($EX30=1,"sem cura","sem dano"),IF($EX30=1,"cura ","")&amp;$GB30&amp;"d8")))</f>
        <v/>
      </c>
      <c r="GJ30" s="155">
        <f>IF($EI30=0,"",TEXTJOIN(" · ",TRUE,IF(AND($DX30=1,$DY30&gt;$HK$9),"O nível "&amp;$HK$2&amp;" dá "&amp;$HK$9&amp;" Liberação Máxima",""),IF($DZ30&gt;$HK$4,"Classe "&amp;$DZ30&amp;": o nível "&amp;$HK$2&amp;" libera até a "&amp;$HK$4,""),IF($EP30=1,"Família Fechada: a Forma "&amp;$EB30,""),IF($EQ30=1,"Família Fechada: "&amp;$EC30,""),IF($ER30=1,"Família Fechada: "&amp;$ED30,""),IF($ES30=1,"Família Fechada: "&amp;$EE30,""),IF($ET30=1,"Família Fechada: "&amp;$EF30,""),IF($FL30&gt;INDEX($W$2:$W$8,$DZ30),$FL30&amp;" Melhorias: a Classe "&amp;$DZ30&amp;" aceita "&amp;INDEX($W$2:$W$8,$DZ30),""),IF($FM30&gt;2,$FM30&amp;" Restrições"&amp;IF($EW30=1,", contando a que a Forma "&amp;$EB30&amp;" já traz","")&amp;": o limite é 2",""),IF($FS30&lt;0,"Orçamento estourado: faltam "&amp;(-$FS30)&amp;IF($FS30&lt;-1," pontos"," ponto"),""),IF(IFERROR(VLOOKUP($EG30,$BM$2:$BQ$24,4,FALSE),0)+IFERROR(VLOOKUP($EH30,$BM$2:$BQ$24,4,FALSE),0)&gt;1,$FB30&amp;" e "&amp;$FC30&amp;" são as duas de frequência",""),IF(AND((COUNTIF($EC30:$EF30,"Rápido")+COUNTIF($FB30:$FC30,"Rápido"))&gt;0,(COUNTIF($EC30:$EF30,"Atrasar")+COUNTIF($FB30:$FC30,"Atrasar"))&gt;0),"Rápido não entra com Atrasar",""),IF(AND((COUNTIF($EC30:$EF30,"Reação")+COUNTIF($FB30:$FC30,"Reação"))&gt;0,(COUNTIF($EC30:$EF30,"Rápido")+COUNTIF($FB30:$FC30,"Rápido"))&gt;0),"Reação não entra com Rápido",""),IF(AND((COUNTIF($EC30:$EF30,"Reação")+COUNTIF($FB30:$FC30,"Reação"))&gt;0,(COUNTIF($EC30:$EF30,"Armado")+COUNTIF($FB30:$FC30,"Armado"))&gt;0),"Reação não entra com Armado",""),IF(AND((COUNTIF($EC30:$EF30,"Reação")+COUNTIF($FB30:$FC30,"Reação"))&gt;0,(COUNTIF($EC30:$EF30,"Atrasar")+COUNTIF($FB30:$FC30,"Atrasar"))&gt;0),"Reação não entra com Atrasar",""),IF(AND((COUNTIF($EC30:$EF30,"Reação")+COUNTIF($FB30:$FC30,"Reação"))&gt;0,(COUNTIF($EC30:$EF30,"Parado")+COUNTIF($FB30:$FC30,"Parado"))&gt;0),"Reação não entra com Parado",""),IF(AND((COUNTIF($EC30:$EF30,"Atrasar")+COUNTIF($FB30:$FC30,"Atrasar"))&gt;0,(COUNTIF($EC30:$EF30,"Parado")+COUNTIF($FB30:$FC30,"Parado"))&gt;0),"Atrasar não entra com Parado",""),IF(AND((COUNTIF($EC30:$EF30,"Armado")+COUNTIF($FB30:$FC30,"Armado"))&gt;0,(COUNTIF($EC30:$EF30,"Carregar")+COUNTIF($FB30:$FC30,"Carregar"))&gt;0),"Armado não entra com Carregar",""),IF(AND(COUNTIF($FB30:$FC30,"Corpo a Corpo")&gt;0,$EW30=0,OR($EB30="Cone",$EB30="Linha")),"Corpo a Corpo não entra em "&amp;$EB30,""),IF(AND(COUNTIF($FB30:$FC30,"Corpo a Corpo")&gt;0,$EW30=1),"A Forma "&amp;$EB30&amp;" já traz o Corpo a Corpo",""),IF(AND(COUNTIF($FB30:$FC30,"Tudo ou Nada")&gt;0,$EY30=0),"Tudo ou Nada só entra em feitiço de Teste de Resistência",""),IF(AND(COUNTIF($EC30:$EF30,"Inescapável")&gt;0,OR($FL30&gt;1,$FM30&gt;0)),"Inescapável não aceita outra peça",""),IF(AND($DX30=1,$DZ30&lt;3),"Liberação Máxima é de Classe 3 ou mais",""),IF(AND($DX30=1,OR($EX30=1,$EX30=2)),"Liberação Máxima não serve para cura",""),IF(AND($DX30=1,COUNTIF($EC30:$EF30,"Inescapável")+COUNTIF($EC30:$EF30,"Toca a Alma")&gt;0),"Esta peça não entra numa Liberação Máxima",""),IF($FT30*IF(COUNTIF($EC30:$EF30,"Remate")&gt;0,1.25,1)+$FU30&gt;4*$DZ30,($FT30*IF(COUNTIF($EC30:$EF30,"Remate")&gt;0,1.25,1)+$FU30)&amp;" dados somando repetições"&amp;IF(COUNTIF($EC30:$EF30,"Remate")&gt;0," e o Remate","")&amp;": o teto da Classe "&amp;$DZ30&amp;" é "&amp;4*$DZ30,"")))</f>
        <v/>
      </c>
      <c r="GK30" s="155">
        <f>IF($GJ30="",0,(LEN($GJ30)-LEN(SUBSTITUTE($GJ30," · ","")))/3+1)</f>
        <v/>
      </c>
      <c r="GL30" s="155">
        <f>IF($EI30=0,"",TEXTJOIN(" · ",TRUE,IF($FO30&gt;2*$DZ30,"A devolução parou no teto de "&amp;2*$DZ30,""),IF($FR30&gt;0,"Devolução perdida: "&amp;$FR30&amp;IF($FR30&gt;1," pontos"," ponto")&amp;" sem peça para pagar",""),IF(AND($EU30&gt;0,$FT30=0),"Controle sem dano: uma rodada a mais e CD +2",""),IF(AND($EU30&gt;0,$FT30&gt;0,$FT30&lt;=$DZ30),"Controle com saldo até a Classe: uma rodada a mais","")))</f>
        <v/>
      </c>
      <c r="GM30" s="155">
        <f>IF($GL30="",0,(LEN($GL30)-LEN(SUBSTITUTE($GL30," · ","")))/3+1)</f>
        <v/>
      </c>
      <c r="GN30" s="155">
        <f>IF($EI30=0,IF($FL30+$FM30-$EW30&gt;0,"Dê um nome",""),IF($GK30&gt;0,"⚠ "&amp;$GK30&amp;IF($GK30&gt;1," erros"," erro"),IF($GM30&gt;0,"! "&amp;$GM30&amp;IF($GM30&gt;1," avisos"," aviso"),"Na regra")))</f>
        <v/>
      </c>
      <c r="GO30" s="155">
        <f>IF($EI30=0,"",IF($GK30+$GM30=0,"Dentro das regras que a ficha confere",$GJ30&amp;IF(AND($GK30&gt;0,$GM30&gt;0)," · ","")&amp;$GL30))</f>
        <v/>
      </c>
      <c r="GP30" s="155">
        <f>IF($EI30=0,"",IF($DX30=1,CEILING(4.5*$DZ30,1),3*$DZ30)&amp;" PE")</f>
        <v/>
      </c>
      <c r="GQ30" s="155">
        <f>IF($EI30=0,"",IF($DX30=1,"Rodada inteira",IF(COUNTIF($FB30:$FC30,"Atrasar")&gt;0,IF(COUNTIF($FB30:$FC30,"Carregar")&gt;0,"Rodada +1 turno","Rodada inteira"),IF(COUNTIF($EC30:$EF30,"Rápido")&gt;0,"Bônus",IF(COUNTIF($EC30:$EF30,"Reação")&gt;0,"Reação","Padrão"))&amp;IF(COUNTIF($FB30:$FC30,"Carregar")&gt;0," +1 turno",""))))</f>
        <v/>
      </c>
      <c r="GR30" s="155">
        <f>IF(OR($EI30=0,$EJ30=0),"",IF(COUNTIF($EC30:$EF30,"Inescapável")&gt;0,"Automático",IF(COUNTIF($EC30:$EF30,"Certeiro")&gt;0,"TR para metade",IF(AND($EV30&gt;0,$EY30=0,INDEX($AF$2:$AF$11,$EJ30)="Acerto"),"Acerto + TR",INDEX($AF$2:$AF$11,$EJ30)))))</f>
        <v/>
      </c>
      <c r="GS30" s="155">
        <f>IF(OR($EI30=0,$EJ30=0),"",IF(OR($EX30&gt;=2,$FT30=0),UPPER(LEFT(INDEX($GC30:$GI30,1,$DZ30),1))&amp;MID(INDEX($GC30:$GI30,1,$DZ30),2,99),UPPER(LEFT(INDEX($GC30:$GI30,1,$DZ30),1))&amp;MID(INDEX($GC30:$GI30,1,$DZ30),2,99)&amp;" = "&amp;FLOOR($FT30*4.5,1)&amp;IF($FU30&gt;0," · +"&amp;$FU30&amp;"d8","")))</f>
        <v/>
      </c>
      <c r="GT30" s="155">
        <f>COUNTIF($EC30:$EF30,"Longe")+3*COUNTIF($EC30:$EF30,"Muito Longe")</f>
        <v/>
      </c>
      <c r="GU30" s="155">
        <f>COUNTIF($EC30:$EF30,"Maior")+3*COUNTIF($EC30:$EF30,"Muito Maior")</f>
        <v/>
      </c>
      <c r="GV30" s="155">
        <f>IF($EJ30=0,0,CHOOSE(1+INDEX($AH$2:$AH$11,$EJ30),0,$GT30,$GU30,$GT30+$GU30))</f>
        <v/>
      </c>
      <c r="GW30" s="155">
        <f>IF($EJ30=0,0,CHOOSE(1+INDEX($AI$2:$AI$11,$EJ30),0,$GT30,$GU30,$GT30+$GU30))</f>
        <v/>
      </c>
      <c r="GX30" s="155">
        <f>IF(OR($EI30=0,$EJ30=0),"",INDEX($AP$2:$AU$31,($EJ30-1)*3+IF($DZ30&gt;=6,3,2),1+MIN(5,$GV30))&amp;INDEX($AV$2:$BA$31,($EJ30-1)*3+IF($DZ30&gt;=6,3,2),1+MIN(5,$GW30))&amp;IF(INDEX($AJ$2:$AJ$11,$EJ30)=1,IF(COUNTIF($EC30:$EF30,"Mais Um")&gt;0," · +"&amp;COUNTIF($EC30:$EF30,"Mais Um")&amp;IF(COUNTIF($EC30:$EF30,"Mais Um")&gt;1," alvos"," alvo"),"")&amp;IF(COUNTIF($EC30:$EF30,"Rajada")&gt;0," · "&amp;($DZ30+1)&amp;" tiros",""),""))</f>
        <v/>
      </c>
      <c r="GY30" s="155">
        <f>IF($EI30=0,"",3*$DZ30&amp;" − "&amp;$FN30&amp;" + "&amp;$FQ30&amp;IF($DX30=1," + "&amp;$DZ30,"")&amp;" = "&amp;$FT30&amp;"d8 · teto "&amp;4*$DZ30&amp;IF($EW30=1," · a Forma devolve "&amp;$DZ30,"")&amp;IF($FR30&gt;0," · perde "&amp;$FR30,""))</f>
        <v/>
      </c>
      <c r="GZ30" s="155">
        <f>IF($EI30=0,"",IF($DZ30&gt;=$HK$4,"Já está na maior Classe que o nível liberou",TEXTJOIN(" · ",TRUE,IF(AND(2&gt;$DZ30,2&lt;=$HK$4),"2 → "&amp;$GD30&amp;", "&amp;IF($DX30=1,9,6)&amp;" PE",""),IF(AND(3&gt;$DZ30,3&lt;=$HK$4),"3 → "&amp;$GE30&amp;", "&amp;IF($DX30=1,14,9)&amp;" PE",""),IF(AND(4&gt;$DZ30,4&lt;=$HK$4),"4 → "&amp;$GF30&amp;", "&amp;IF($DX30=1,18,12)&amp;" PE",""),IF(AND(5&gt;$DZ30,5&lt;=$HK$4),"5 → "&amp;$GG30&amp;", "&amp;IF($DX30=1,23,15)&amp;" PE",""),IF(AND(6&gt;$DZ30,6&lt;=$HK$4),"6 → "&amp;$GH30&amp;", "&amp;IF($DX30=1,27,18)&amp;" PE",""),IF(AND(7&gt;$DZ30,7&lt;=$HK$4),"7 → "&amp;$GI30&amp;", "&amp;IF($DX30=1,32,21)&amp;" PE",""))))</f>
        <v/>
      </c>
      <c r="HA30" s="155">
        <f>IF(OR($EI30=0,$EL30=0),"","−"&amp;INDEX($Q$2:$V$8,$DZ30,$EL30)&amp;" · "&amp;CHOOSE($EL30,"Leve","Média","Pesada","Leve · Livre","Média · Livre","Pesada · Livre"))</f>
        <v/>
      </c>
      <c r="HB30" s="155">
        <f>IF(OR($EI30=0,$EM30=0),"","−"&amp;INDEX($Q$2:$V$8,$DZ30,$EM30)&amp;" · "&amp;CHOOSE($EM30,"Leve","Média","Pesada","Leve · Livre","Média · Livre","Pesada · Livre"))</f>
        <v/>
      </c>
      <c r="HC30" s="155">
        <f>IF(OR($EI30=0,$EN30=0),"","−"&amp;INDEX($Q$2:$V$8,$DZ30,$EN30)&amp;" · "&amp;CHOOSE($EN30,"Leve","Média","Pesada","Leve · Livre","Média · Livre","Pesada · Livre"))</f>
        <v/>
      </c>
      <c r="HD30" s="155">
        <f>IF(OR($EI30=0,$EO30=0),"","−"&amp;INDEX($Q$2:$V$8,$DZ30,$EO30)&amp;" · "&amp;CHOOSE($EO30,"Leve","Média","Pesada","Leve · Livre","Média · Livre","Pesada · Livre"))</f>
        <v/>
      </c>
      <c r="HE30" s="155">
        <f>IF(OR($EI30=0,$EG30=""),"","+"&amp;IF($EZ30=1,CEILING($DZ30/2,1),$DZ30))</f>
        <v/>
      </c>
      <c r="HF30" s="155">
        <f>IF(OR($EI30=0,$EH30=""),"","+"&amp;IF($FA30=1,CEILING($DZ30/2,1),$DZ30))</f>
        <v/>
      </c>
      <c r="HG30" s="155">
        <f>'FICHA AMALDIÇOADA'!$J$246&amp;""</f>
        <v/>
      </c>
      <c r="HH30" s="155">
        <f>IF(AND($EI30=1,$DX30=0),COUNTIFS($EI$2:$EI30,1,$DX$2:$DX30,0),"")</f>
        <v/>
      </c>
      <c r="HJ30" s="153" t="inlineStr">
        <is>
          <t>classe do índice</t>
        </is>
      </c>
      <c r="HK30" s="155">
        <f>IF(N('FICHA AMALDIÇOADA'!$D$46)&lt;1,$HK$4,MIN(7,N('FICHA AMALDIÇOADA'!$D$46)))</f>
        <v/>
      </c>
      <c r="JF30" s="155" t="n">
        <v>29</v>
      </c>
      <c r="JG30" s="155">
        <f>IFERROR(MATCH(29,$HH$2:$HH$37,0),0)</f>
        <v/>
      </c>
      <c r="JH30" s="155">
        <f>IF($JG30=0,"",INDEX($DZ$2:$DZ$37,$JG30))</f>
        <v/>
      </c>
      <c r="JI30" s="155">
        <f>IF($JG30=0,"",INDEX($EA$2:$EA$37,$JG30))</f>
        <v/>
      </c>
      <c r="JJ30" s="155">
        <f>IF($JG30=0,"",INDEX($GP$2:$GP$37,$JG30))</f>
        <v/>
      </c>
      <c r="JK30" s="155">
        <f>IF($JG30=0,"",INDEX($EB$2:$EB$37,$JG30))</f>
        <v/>
      </c>
      <c r="JL30" s="155">
        <f>IF($JG30=0,"",INDEX($GR$2:$GR$37,$JG30))</f>
        <v/>
      </c>
      <c r="JM30" s="155">
        <f>IF($JG30=0,"",INDEX($HG$2:$HG$37,$JG30))</f>
        <v/>
      </c>
      <c r="KS30" s="153" t="inlineStr">
        <is>
          <t>L46</t>
        </is>
      </c>
      <c r="KT30" s="155">
        <f>4*DADOS_AM!$HK$30</f>
        <v/>
      </c>
    </row>
    <row r="31">
      <c r="AO31" s="153" t="inlineStr">
        <is>
          <t>Efeito · classes 6 e 7</t>
        </is>
      </c>
      <c r="AP31" s="153" t="inlineStr">
        <is>
          <t>Fora de combate</t>
        </is>
      </c>
      <c r="AQ31" s="153" t="inlineStr">
        <is>
          <t>Fora de combate</t>
        </is>
      </c>
      <c r="AR31" s="153" t="inlineStr">
        <is>
          <t>Fora de combate</t>
        </is>
      </c>
      <c r="AS31" s="153" t="inlineStr">
        <is>
          <t>Fora de combate</t>
        </is>
      </c>
      <c r="AT31" s="153" t="inlineStr">
        <is>
          <t>Fora de combate</t>
        </is>
      </c>
      <c r="AU31" s="153" t="inlineStr">
        <is>
          <t>Fora de combate</t>
        </is>
      </c>
      <c r="AV31" s="153" t="inlineStr"/>
      <c r="AW31" s="153" t="inlineStr"/>
      <c r="AX31" s="153" t="inlineStr"/>
      <c r="AY31" s="153" t="inlineStr"/>
      <c r="AZ31" s="153" t="inlineStr"/>
      <c r="BA31" s="153" t="inlineStr"/>
      <c r="BC31" s="153" t="inlineStr">
        <is>
          <t>Calado</t>
        </is>
      </c>
      <c r="BD31" s="153" t="inlineStr">
        <is>
          <t>Controle</t>
        </is>
      </c>
      <c r="BE31" s="155" t="n">
        <v>2</v>
      </c>
      <c r="BF31" s="155">
        <f>$BE31+3*IFERROR(VLOOKUP($BD31,$I$2:$L$10,3,FALSE),0)</f>
        <v/>
      </c>
      <c r="BG31" s="155">
        <f>IFERROR(VLOOKUP($BD31,$I$2:$L$10,4,FALSE),0)</f>
        <v/>
      </c>
      <c r="BH31" s="155" t="n">
        <v>1</v>
      </c>
      <c r="BI31" s="155">
        <f>IF($BG31=1,"",$BC31)</f>
        <v/>
      </c>
      <c r="BJ31" s="155">
        <f>IF(AND($BE31=1,$BG31=0),$BC31,"")</f>
        <v/>
      </c>
      <c r="BK31" s="155" t="n">
        <v>1</v>
      </c>
      <c r="CD31" s="153" t="inlineStr">
        <is>
          <t>Assombro</t>
        </is>
      </c>
      <c r="CE31" s="153" t="inlineStr">
        <is>
          <t>Lapidação 1 e Essência 4</t>
        </is>
      </c>
      <c r="CF31" s="155" t="n">
        <v>1</v>
      </c>
      <c r="CG31" s="153" t="inlineStr">
        <is>
          <t>—</t>
        </is>
      </c>
      <c r="CH31" s="153"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1" s="155">
        <f>IF($CL31=1,"",IF($A$2=4,IF($CJ31=1,$CD31,""),IF(OR($CJ31=1,AND($A$2=3,$CK31=1)),"",$CD31)))</f>
        <v/>
      </c>
      <c r="CJ31" s="155" t="n">
        <v>1</v>
      </c>
      <c r="CK31" s="155" t="n">
        <v>0</v>
      </c>
      <c r="CL31" s="155" t="n">
        <v>0</v>
      </c>
      <c r="CM31" s="153" t="inlineStr">
        <is>
          <t>Uma vez por cena, ao entrar nela ou ser visto pela primeira vez, escolha até metade de sua Lapidação, arredondada para baixo, mínimo 1, entre as criaturas presentes que enxerguem você.</t>
        </is>
      </c>
      <c r="DW31" s="153" t="inlineStr">
        <is>
          <t>Feitiço 30</t>
        </is>
      </c>
      <c r="DX31" s="155" t="n">
        <v>0</v>
      </c>
      <c r="DY31" s="155" t="n">
        <v>30</v>
      </c>
      <c r="DZ31" s="155">
        <f>MAX(1,MIN(7,N('FICHA AMALDIÇOADA'!$P$244)))</f>
        <v/>
      </c>
      <c r="EA31" s="155">
        <f>'FICHA AMALDIÇOADA'!$Q$244&amp;""</f>
        <v/>
      </c>
      <c r="EB31" s="155">
        <f>'FICHA AMALDIÇOADA'!$P$251&amp;""</f>
        <v/>
      </c>
      <c r="EC31" s="155">
        <f>'FICHA AMALDIÇOADA'!$Q$253&amp;""</f>
        <v/>
      </c>
      <c r="ED31" s="155">
        <f>'FICHA AMALDIÇOADA'!$Q$254&amp;""</f>
        <v/>
      </c>
      <c r="EE31" s="155">
        <f>'FICHA AMALDIÇOADA'!$Q$255&amp;""</f>
        <v/>
      </c>
      <c r="EF31" s="155">
        <f>'FICHA AMALDIÇOADA'!$Q$256&amp;""</f>
        <v/>
      </c>
      <c r="EG31" s="155">
        <f>'FICHA AMALDIÇOADA'!$Q$257&amp;""</f>
        <v/>
      </c>
      <c r="EH31" s="155">
        <f>'FICHA AMALDIÇOADA'!$Q$258&amp;""</f>
        <v/>
      </c>
      <c r="EI31" s="155">
        <f>IF($EA31&lt;&gt;"",1,0)</f>
        <v/>
      </c>
      <c r="EJ31" s="155">
        <f>IFERROR(MATCH($EB31,$Y$2:$Y$11,0),0)</f>
        <v/>
      </c>
      <c r="EK31" s="155">
        <f>IF($EJ31=0,0,INDEX($AB$2:$AB$11,$EJ31))</f>
        <v/>
      </c>
      <c r="EL31" s="155">
        <f>IFERROR(VLOOKUP($EC31,$BC$2:$BK$84,4,FALSE),0)</f>
        <v/>
      </c>
      <c r="EM31" s="155">
        <f>IFERROR(VLOOKUP($ED31,$BC$2:$BK$84,4,FALSE),0)</f>
        <v/>
      </c>
      <c r="EN31" s="155">
        <f>IFERROR(VLOOKUP($EE31,$BC$2:$BK$84,4,FALSE),0)</f>
        <v/>
      </c>
      <c r="EO31" s="155">
        <f>IFERROR(VLOOKUP($EF31,$BC$2:$BK$84,4,FALSE),0)</f>
        <v/>
      </c>
      <c r="EP31" s="155">
        <f>IF($EJ31=0,0,INDEX($AC$2:$AC$11,$EJ31))</f>
        <v/>
      </c>
      <c r="EQ31" s="155">
        <f>IFERROR(VLOOKUP($EC31,$BC$2:$BK$84,5,FALSE),0)</f>
        <v/>
      </c>
      <c r="ER31" s="155">
        <f>IFERROR(VLOOKUP($ED31,$BC$2:$BK$84,5,FALSE),0)</f>
        <v/>
      </c>
      <c r="ES31" s="155">
        <f>IFERROR(VLOOKUP($EE31,$BC$2:$BK$84,5,FALSE),0)</f>
        <v/>
      </c>
      <c r="ET31" s="155">
        <f>IFERROR(VLOOKUP($EF31,$BC$2:$BK$84,5,FALSE),0)</f>
        <v/>
      </c>
      <c r="EU31" s="155">
        <f>IFERROR(VLOOKUP($EC31,$BC$2:$BK$84,6,FALSE),0)+IFERROR(VLOOKUP($ED31,$BC$2:$BK$84,6,FALSE),0)+IFERROR(VLOOKUP($EE31,$BC$2:$BK$84,6,FALSE),0)+IFERROR(VLOOKUP($EF31,$BC$2:$BK$84,6,FALSE),0)</f>
        <v/>
      </c>
      <c r="EV31" s="155">
        <f>IFERROR(VLOOKUP($EC31,$BC$2:$BK$84,9,FALSE),0)+IFERROR(VLOOKUP($ED31,$BC$2:$BK$84,9,FALSE),0)+IFERROR(VLOOKUP($EE31,$BC$2:$BK$84,9,FALSE),0)+IFERROR(VLOOKUP($EF31,$BC$2:$BK$84,9,FALSE),0)</f>
        <v/>
      </c>
      <c r="EW31" s="155">
        <f>IF($EJ31=0,0,INDEX($AD$2:$AD$11,$EJ31))</f>
        <v/>
      </c>
      <c r="EX31" s="155">
        <f>IF($EJ31=0,0,INDEX($AE$2:$AE$11,$EJ31))</f>
        <v/>
      </c>
      <c r="EY31" s="155">
        <f>IF($EJ31=0,0,INDEX($AG$2:$AG$11,$EJ31))</f>
        <v/>
      </c>
      <c r="EZ31" s="155">
        <f>IFERROR(VLOOKUP($EG31,$BM$2:$BQ$24,3,FALSE),0)</f>
        <v/>
      </c>
      <c r="FA31" s="155">
        <f>IFERROR(VLOOKUP($EH31,$BM$2:$BQ$24,3,FALSE),0)</f>
        <v/>
      </c>
      <c r="FB31" s="155">
        <f>IFERROR(VLOOKUP($EG31,$BM$2:$BQ$24,2,FALSE),"")</f>
        <v/>
      </c>
      <c r="FC31" s="155">
        <f>IFERROR(VLOOKUP($EH31,$BM$2:$BQ$24,2,FALSE),"")</f>
        <v/>
      </c>
      <c r="FD31" s="155">
        <f>COUNTIF($EK31:$EO31,1)</f>
        <v/>
      </c>
      <c r="FE31" s="155">
        <f>COUNTIF($EK31:$EO31,2)</f>
        <v/>
      </c>
      <c r="FF31" s="155">
        <f>COUNTIF($EK31:$EO31,3)</f>
        <v/>
      </c>
      <c r="FG31" s="155">
        <f>COUNTIF($EK31:$EO31,4)</f>
        <v/>
      </c>
      <c r="FH31" s="155">
        <f>COUNTIF($EK31:$EO31,5)</f>
        <v/>
      </c>
      <c r="FI31" s="155">
        <f>COUNTIF($EK31:$EO31,6)</f>
        <v/>
      </c>
      <c r="FJ31" s="155">
        <f>COUNTIF($EZ31:$FA31,1)</f>
        <v/>
      </c>
      <c r="FK31" s="155">
        <f>COUNTIF($EZ31:$FA31,2)+$EW31</f>
        <v/>
      </c>
      <c r="FL31" s="155">
        <f>COUNTIF($EC31:$EF31,"?*")</f>
        <v/>
      </c>
      <c r="FM31" s="155">
        <f>COUNTIF($EG31:$EH31,"?*")+$EW31</f>
        <v/>
      </c>
      <c r="FN31" s="155">
        <f>SUMPRODUCT($FD31:$FI31,INDEX($Q$2:$V$8,$DZ31,0))</f>
        <v/>
      </c>
      <c r="FO31" s="155">
        <f>$FJ31*CEILING($DZ31/2,1)+$FK31*$DZ31</f>
        <v/>
      </c>
      <c r="FP31" s="155">
        <f>MIN(2*$DZ31,$FO31)</f>
        <v/>
      </c>
      <c r="FQ31" s="155">
        <f>MIN($FP31,$FN31)</f>
        <v/>
      </c>
      <c r="FR31" s="155">
        <f>$FP31-$FQ31</f>
        <v/>
      </c>
      <c r="FS31" s="155">
        <f>3*$DZ31-$FN31+$FQ31</f>
        <v/>
      </c>
      <c r="FT31" s="155">
        <f>MAX(0,$FS31)+$DX31*$DZ31</f>
        <v/>
      </c>
      <c r="FU31" s="155">
        <f>(IF(COUNTIF($EC31:$EF31,"Salto")&gt;0,1,0)+IF(COUNTIF($EC31:$EF31,"Queima")&gt;0,1,0)+IF(COUNTIF($EC31:$EF31,"Estilhaço")&gt;0,1,0))*FLOOR($FT31/2,1)</f>
        <v/>
      </c>
      <c r="FV31" s="155">
        <f>MAX(0,3-SUMPRODUCT($FD31:$FI31,$Q$2:$V$2)+MIN(2,$FJ31*1+$FK31*1,SUMPRODUCT($FD31:$FI31,$Q$2:$V$2)))+$DX31*1</f>
        <v/>
      </c>
      <c r="FW31" s="155">
        <f>MAX(0,6-SUMPRODUCT($FD31:$FI31,$Q$3:$V$3)+MIN(4,$FJ31*1+$FK31*2,SUMPRODUCT($FD31:$FI31,$Q$3:$V$3)))+$DX31*2</f>
        <v/>
      </c>
      <c r="FX31" s="155">
        <f>MAX(0,9-SUMPRODUCT($FD31:$FI31,$Q$4:$V$4)+MIN(6,$FJ31*2+$FK31*3,SUMPRODUCT($FD31:$FI31,$Q$4:$V$4)))+$DX31*3</f>
        <v/>
      </c>
      <c r="FY31" s="155">
        <f>MAX(0,12-SUMPRODUCT($FD31:$FI31,$Q$5:$V$5)+MIN(8,$FJ31*2+$FK31*4,SUMPRODUCT($FD31:$FI31,$Q$5:$V$5)))+$DX31*4</f>
        <v/>
      </c>
      <c r="FZ31" s="155">
        <f>MAX(0,15-SUMPRODUCT($FD31:$FI31,$Q$6:$V$6)+MIN(10,$FJ31*3+$FK31*5,SUMPRODUCT($FD31:$FI31,$Q$6:$V$6)))+$DX31*5</f>
        <v/>
      </c>
      <c r="GA31" s="155">
        <f>MAX(0,18-SUMPRODUCT($FD31:$FI31,$Q$7:$V$7)+MIN(12,$FJ31*3+$FK31*6,SUMPRODUCT($FD31:$FI31,$Q$7:$V$7)))+$DX31*6</f>
        <v/>
      </c>
      <c r="GB31" s="155">
        <f>MAX(0,21-SUMPRODUCT($FD31:$FI31,$Q$8:$V$8)+MIN(14,$FJ31*4+$FK31*7,SUMPRODUCT($FD31:$FI31,$Q$8:$V$8)))+$DX31*7</f>
        <v/>
      </c>
      <c r="GC31" s="155">
        <f>IF($EX31=2,3*$FV31&amp;" de vida temp.",IF($EX31=3,"sem dano",IF($FV31=0,IF($EX31=1,"sem cura","sem dano"),IF($EX31=1,"cura ","")&amp;$FV31&amp;"d8")))</f>
        <v/>
      </c>
      <c r="GD31" s="155">
        <f>IF($EX31=2,3*$FW31&amp;" de vida temp.",IF($EX31=3,"sem dano",IF($FW31=0,IF($EX31=1,"sem cura","sem dano"),IF($EX31=1,"cura ","")&amp;$FW31&amp;"d8")))</f>
        <v/>
      </c>
      <c r="GE31" s="155">
        <f>IF($EX31=2,3*$FX31&amp;" de vida temp.",IF($EX31=3,"sem dano",IF($FX31=0,IF($EX31=1,"sem cura","sem dano"),IF($EX31=1,"cura ","")&amp;$FX31&amp;"d8")))</f>
        <v/>
      </c>
      <c r="GF31" s="155">
        <f>IF($EX31=2,3*$FY31&amp;" de vida temp.",IF($EX31=3,"sem dano",IF($FY31=0,IF($EX31=1,"sem cura","sem dano"),IF($EX31=1,"cura ","")&amp;$FY31&amp;"d8")))</f>
        <v/>
      </c>
      <c r="GG31" s="155">
        <f>IF($EX31=2,3*$FZ31&amp;" de vida temp.",IF($EX31=3,"sem dano",IF($FZ31=0,IF($EX31=1,"sem cura","sem dano"),IF($EX31=1,"cura ","")&amp;$FZ31&amp;"d8")))</f>
        <v/>
      </c>
      <c r="GH31" s="155">
        <f>IF($EX31=2,3*$GA31&amp;" de vida temp.",IF($EX31=3,"sem dano",IF($GA31=0,IF($EX31=1,"sem cura","sem dano"),IF($EX31=1,"cura ","")&amp;$GA31&amp;"d8")))</f>
        <v/>
      </c>
      <c r="GI31" s="155">
        <f>IF($EX31=2,3*$GB31&amp;" de vida temp.",IF($EX31=3,"sem dano",IF($GB31=0,IF($EX31=1,"sem cura","sem dano"),IF($EX31=1,"cura ","")&amp;$GB31&amp;"d8")))</f>
        <v/>
      </c>
      <c r="GJ31" s="155">
        <f>IF($EI31=0,"",TEXTJOIN(" · ",TRUE,IF(AND($DX31=1,$DY31&gt;$HK$9),"O nível "&amp;$HK$2&amp;" dá "&amp;$HK$9&amp;" Liberação Máxima",""),IF($DZ31&gt;$HK$4,"Classe "&amp;$DZ31&amp;": o nível "&amp;$HK$2&amp;" libera até a "&amp;$HK$4,""),IF($EP31=1,"Família Fechada: a Forma "&amp;$EB31,""),IF($EQ31=1,"Família Fechada: "&amp;$EC31,""),IF($ER31=1,"Família Fechada: "&amp;$ED31,""),IF($ES31=1,"Família Fechada: "&amp;$EE31,""),IF($ET31=1,"Família Fechada: "&amp;$EF31,""),IF($FL31&gt;INDEX($W$2:$W$8,$DZ31),$FL31&amp;" Melhorias: a Classe "&amp;$DZ31&amp;" aceita "&amp;INDEX($W$2:$W$8,$DZ31),""),IF($FM31&gt;2,$FM31&amp;" Restrições"&amp;IF($EW31=1,", contando a que a Forma "&amp;$EB31&amp;" já traz","")&amp;": o limite é 2",""),IF($FS31&lt;0,"Orçamento estourado: faltam "&amp;(-$FS31)&amp;IF($FS31&lt;-1," pontos"," ponto"),""),IF(IFERROR(VLOOKUP($EG31,$BM$2:$BQ$24,4,FALSE),0)+IFERROR(VLOOKUP($EH31,$BM$2:$BQ$24,4,FALSE),0)&gt;1,$FB31&amp;" e "&amp;$FC31&amp;" são as duas de frequência",""),IF(AND((COUNTIF($EC31:$EF31,"Rápido")+COUNTIF($FB31:$FC31,"Rápido"))&gt;0,(COUNTIF($EC31:$EF31,"Atrasar")+COUNTIF($FB31:$FC31,"Atrasar"))&gt;0),"Rápido não entra com Atrasar",""),IF(AND((COUNTIF($EC31:$EF31,"Reação")+COUNTIF($FB31:$FC31,"Reação"))&gt;0,(COUNTIF($EC31:$EF31,"Rápido")+COUNTIF($FB31:$FC31,"Rápido"))&gt;0),"Reação não entra com Rápido",""),IF(AND((COUNTIF($EC31:$EF31,"Reação")+COUNTIF($FB31:$FC31,"Reação"))&gt;0,(COUNTIF($EC31:$EF31,"Armado")+COUNTIF($FB31:$FC31,"Armado"))&gt;0),"Reação não entra com Armado",""),IF(AND((COUNTIF($EC31:$EF31,"Reação")+COUNTIF($FB31:$FC31,"Reação"))&gt;0,(COUNTIF($EC31:$EF31,"Atrasar")+COUNTIF($FB31:$FC31,"Atrasar"))&gt;0),"Reação não entra com Atrasar",""),IF(AND((COUNTIF($EC31:$EF31,"Reação")+COUNTIF($FB31:$FC31,"Reação"))&gt;0,(COUNTIF($EC31:$EF31,"Parado")+COUNTIF($FB31:$FC31,"Parado"))&gt;0),"Reação não entra com Parado",""),IF(AND((COUNTIF($EC31:$EF31,"Atrasar")+COUNTIF($FB31:$FC31,"Atrasar"))&gt;0,(COUNTIF($EC31:$EF31,"Parado")+COUNTIF($FB31:$FC31,"Parado"))&gt;0),"Atrasar não entra com Parado",""),IF(AND((COUNTIF($EC31:$EF31,"Armado")+COUNTIF($FB31:$FC31,"Armado"))&gt;0,(COUNTIF($EC31:$EF31,"Carregar")+COUNTIF($FB31:$FC31,"Carregar"))&gt;0),"Armado não entra com Carregar",""),IF(AND(COUNTIF($FB31:$FC31,"Corpo a Corpo")&gt;0,$EW31=0,OR($EB31="Cone",$EB31="Linha")),"Corpo a Corpo não entra em "&amp;$EB31,""),IF(AND(COUNTIF($FB31:$FC31,"Corpo a Corpo")&gt;0,$EW31=1),"A Forma "&amp;$EB31&amp;" já traz o Corpo a Corpo",""),IF(AND(COUNTIF($FB31:$FC31,"Tudo ou Nada")&gt;0,$EY31=0),"Tudo ou Nada só entra em feitiço de Teste de Resistência",""),IF(AND(COUNTIF($EC31:$EF31,"Inescapável")&gt;0,OR($FL31&gt;1,$FM31&gt;0)),"Inescapável não aceita outra peça",""),IF(AND($DX31=1,$DZ31&lt;3),"Liberação Máxima é de Classe 3 ou mais",""),IF(AND($DX31=1,OR($EX31=1,$EX31=2)),"Liberação Máxima não serve para cura",""),IF(AND($DX31=1,COUNTIF($EC31:$EF31,"Inescapável")+COUNTIF($EC31:$EF31,"Toca a Alma")&gt;0),"Esta peça não entra numa Liberação Máxima",""),IF($FT31*IF(COUNTIF($EC31:$EF31,"Remate")&gt;0,1.25,1)+$FU31&gt;4*$DZ31,($FT31*IF(COUNTIF($EC31:$EF31,"Remate")&gt;0,1.25,1)+$FU31)&amp;" dados somando repetições"&amp;IF(COUNTIF($EC31:$EF31,"Remate")&gt;0," e o Remate","")&amp;": o teto da Classe "&amp;$DZ31&amp;" é "&amp;4*$DZ31,"")))</f>
        <v/>
      </c>
      <c r="GK31" s="155">
        <f>IF($GJ31="",0,(LEN($GJ31)-LEN(SUBSTITUTE($GJ31," · ","")))/3+1)</f>
        <v/>
      </c>
      <c r="GL31" s="155">
        <f>IF($EI31=0,"",TEXTJOIN(" · ",TRUE,IF($FO31&gt;2*$DZ31,"A devolução parou no teto de "&amp;2*$DZ31,""),IF($FR31&gt;0,"Devolução perdida: "&amp;$FR31&amp;IF($FR31&gt;1," pontos"," ponto")&amp;" sem peça para pagar",""),IF(AND($EU31&gt;0,$FT31=0),"Controle sem dano: uma rodada a mais e CD +2",""),IF(AND($EU31&gt;0,$FT31&gt;0,$FT31&lt;=$DZ31),"Controle com saldo até a Classe: uma rodada a mais","")))</f>
        <v/>
      </c>
      <c r="GM31" s="155">
        <f>IF($GL31="",0,(LEN($GL31)-LEN(SUBSTITUTE($GL31," · ","")))/3+1)</f>
        <v/>
      </c>
      <c r="GN31" s="155">
        <f>IF($EI31=0,IF($FL31+$FM31-$EW31&gt;0,"Dê um nome",""),IF($GK31&gt;0,"⚠ "&amp;$GK31&amp;IF($GK31&gt;1," erros"," erro"),IF($GM31&gt;0,"! "&amp;$GM31&amp;IF($GM31&gt;1," avisos"," aviso"),"Na regra")))</f>
        <v/>
      </c>
      <c r="GO31" s="155">
        <f>IF($EI31=0,"",IF($GK31+$GM31=0,"Dentro das regras que a ficha confere",$GJ31&amp;IF(AND($GK31&gt;0,$GM31&gt;0)," · ","")&amp;$GL31))</f>
        <v/>
      </c>
      <c r="GP31" s="155">
        <f>IF($EI31=0,"",IF($DX31=1,CEILING(4.5*$DZ31,1),3*$DZ31)&amp;" PE")</f>
        <v/>
      </c>
      <c r="GQ31" s="155">
        <f>IF($EI31=0,"",IF($DX31=1,"Rodada inteira",IF(COUNTIF($FB31:$FC31,"Atrasar")&gt;0,IF(COUNTIF($FB31:$FC31,"Carregar")&gt;0,"Rodada +1 turno","Rodada inteira"),IF(COUNTIF($EC31:$EF31,"Rápido")&gt;0,"Bônus",IF(COUNTIF($EC31:$EF31,"Reação")&gt;0,"Reação","Padrão"))&amp;IF(COUNTIF($FB31:$FC31,"Carregar")&gt;0," +1 turno",""))))</f>
        <v/>
      </c>
      <c r="GR31" s="155">
        <f>IF(OR($EI31=0,$EJ31=0),"",IF(COUNTIF($EC31:$EF31,"Inescapável")&gt;0,"Automático",IF(COUNTIF($EC31:$EF31,"Certeiro")&gt;0,"TR para metade",IF(AND($EV31&gt;0,$EY31=0,INDEX($AF$2:$AF$11,$EJ31)="Acerto"),"Acerto + TR",INDEX($AF$2:$AF$11,$EJ31)))))</f>
        <v/>
      </c>
      <c r="GS31" s="155">
        <f>IF(OR($EI31=0,$EJ31=0),"",IF(OR($EX31&gt;=2,$FT31=0),UPPER(LEFT(INDEX($GC31:$GI31,1,$DZ31),1))&amp;MID(INDEX($GC31:$GI31,1,$DZ31),2,99),UPPER(LEFT(INDEX($GC31:$GI31,1,$DZ31),1))&amp;MID(INDEX($GC31:$GI31,1,$DZ31),2,99)&amp;" = "&amp;FLOOR($FT31*4.5,1)&amp;IF($FU31&gt;0," · +"&amp;$FU31&amp;"d8","")))</f>
        <v/>
      </c>
      <c r="GT31" s="155">
        <f>COUNTIF($EC31:$EF31,"Longe")+3*COUNTIF($EC31:$EF31,"Muito Longe")</f>
        <v/>
      </c>
      <c r="GU31" s="155">
        <f>COUNTIF($EC31:$EF31,"Maior")+3*COUNTIF($EC31:$EF31,"Muito Maior")</f>
        <v/>
      </c>
      <c r="GV31" s="155">
        <f>IF($EJ31=0,0,CHOOSE(1+INDEX($AH$2:$AH$11,$EJ31),0,$GT31,$GU31,$GT31+$GU31))</f>
        <v/>
      </c>
      <c r="GW31" s="155">
        <f>IF($EJ31=0,0,CHOOSE(1+INDEX($AI$2:$AI$11,$EJ31),0,$GT31,$GU31,$GT31+$GU31))</f>
        <v/>
      </c>
      <c r="GX31" s="155">
        <f>IF(OR($EI31=0,$EJ31=0),"",INDEX($AP$2:$AU$31,($EJ31-1)*3+IF($DZ31&gt;=6,3,2),1+MIN(5,$GV31))&amp;INDEX($AV$2:$BA$31,($EJ31-1)*3+IF($DZ31&gt;=6,3,2),1+MIN(5,$GW31))&amp;IF(INDEX($AJ$2:$AJ$11,$EJ31)=1,IF(COUNTIF($EC31:$EF31,"Mais Um")&gt;0," · +"&amp;COUNTIF($EC31:$EF31,"Mais Um")&amp;IF(COUNTIF($EC31:$EF31,"Mais Um")&gt;1," alvos"," alvo"),"")&amp;IF(COUNTIF($EC31:$EF31,"Rajada")&gt;0," · "&amp;($DZ31+1)&amp;" tiros",""),""))</f>
        <v/>
      </c>
      <c r="GY31" s="155">
        <f>IF($EI31=0,"",3*$DZ31&amp;" − "&amp;$FN31&amp;" + "&amp;$FQ31&amp;IF($DX31=1," + "&amp;$DZ31,"")&amp;" = "&amp;$FT31&amp;"d8 · teto "&amp;4*$DZ31&amp;IF($EW31=1," · a Forma devolve "&amp;$DZ31,"")&amp;IF($FR31&gt;0," · perde "&amp;$FR31,""))</f>
        <v/>
      </c>
      <c r="GZ31" s="155">
        <f>IF($EI31=0,"",IF($DZ31&gt;=$HK$4,"Já está na maior Classe que o nível liberou",TEXTJOIN(" · ",TRUE,IF(AND(2&gt;$DZ31,2&lt;=$HK$4),"2 → "&amp;$GD31&amp;", "&amp;IF($DX31=1,9,6)&amp;" PE",""),IF(AND(3&gt;$DZ31,3&lt;=$HK$4),"3 → "&amp;$GE31&amp;", "&amp;IF($DX31=1,14,9)&amp;" PE",""),IF(AND(4&gt;$DZ31,4&lt;=$HK$4),"4 → "&amp;$GF31&amp;", "&amp;IF($DX31=1,18,12)&amp;" PE",""),IF(AND(5&gt;$DZ31,5&lt;=$HK$4),"5 → "&amp;$GG31&amp;", "&amp;IF($DX31=1,23,15)&amp;" PE",""),IF(AND(6&gt;$DZ31,6&lt;=$HK$4),"6 → "&amp;$GH31&amp;", "&amp;IF($DX31=1,27,18)&amp;" PE",""),IF(AND(7&gt;$DZ31,7&lt;=$HK$4),"7 → "&amp;$GI31&amp;", "&amp;IF($DX31=1,32,21)&amp;" PE",""))))</f>
        <v/>
      </c>
      <c r="HA31" s="155">
        <f>IF(OR($EI31=0,$EL31=0),"","−"&amp;INDEX($Q$2:$V$8,$DZ31,$EL31)&amp;" · "&amp;CHOOSE($EL31,"Leve","Média","Pesada","Leve · Livre","Média · Livre","Pesada · Livre"))</f>
        <v/>
      </c>
      <c r="HB31" s="155">
        <f>IF(OR($EI31=0,$EM31=0),"","−"&amp;INDEX($Q$2:$V$8,$DZ31,$EM31)&amp;" · "&amp;CHOOSE($EM31,"Leve","Média","Pesada","Leve · Livre","Média · Livre","Pesada · Livre"))</f>
        <v/>
      </c>
      <c r="HC31" s="155">
        <f>IF(OR($EI31=0,$EN31=0),"","−"&amp;INDEX($Q$2:$V$8,$DZ31,$EN31)&amp;" · "&amp;CHOOSE($EN31,"Leve","Média","Pesada","Leve · Livre","Média · Livre","Pesada · Livre"))</f>
        <v/>
      </c>
      <c r="HD31" s="155">
        <f>IF(OR($EI31=0,$EO31=0),"","−"&amp;INDEX($Q$2:$V$8,$DZ31,$EO31)&amp;" · "&amp;CHOOSE($EO31,"Leve","Média","Pesada","Leve · Livre","Média · Livre","Pesada · Livre"))</f>
        <v/>
      </c>
      <c r="HE31" s="155">
        <f>IF(OR($EI31=0,$EG31=""),"","+"&amp;IF($EZ31=1,CEILING($DZ31/2,1),$DZ31))</f>
        <v/>
      </c>
      <c r="HF31" s="155">
        <f>IF(OR($EI31=0,$EH31=""),"","+"&amp;IF($FA31=1,CEILING($DZ31/2,1),$DZ31))</f>
        <v/>
      </c>
      <c r="HG31" s="155">
        <f>'FICHA AMALDIÇOADA'!$P$246&amp;""</f>
        <v/>
      </c>
      <c r="HH31" s="155">
        <f>IF(AND($EI31=1,$DX31=0),COUNTIFS($EI$2:$EI31,1,$DX$2:$DX31,0),"")</f>
        <v/>
      </c>
      <c r="HJ31" s="153" t="inlineStr">
        <is>
          <t>famílias livres</t>
        </is>
      </c>
      <c r="HK31" s="155">
        <f>COUNTIF($J$2:$J$10,"Livre")</f>
        <v/>
      </c>
      <c r="JF31" s="155" t="n">
        <v>30</v>
      </c>
      <c r="JG31" s="155">
        <f>IFERROR(MATCH(30,$HH$2:$HH$37,0),0)</f>
        <v/>
      </c>
      <c r="JH31" s="155">
        <f>IF($JG31=0,"",INDEX($DZ$2:$DZ$37,$JG31))</f>
        <v/>
      </c>
      <c r="JI31" s="155">
        <f>IF($JG31=0,"",INDEX($EA$2:$EA$37,$JG31))</f>
        <v/>
      </c>
      <c r="JJ31" s="155">
        <f>IF($JG31=0,"",INDEX($GP$2:$GP$37,$JG31))</f>
        <v/>
      </c>
      <c r="JK31" s="155">
        <f>IF($JG31=0,"",INDEX($EB$2:$EB$37,$JG31))</f>
        <v/>
      </c>
      <c r="JL31" s="155">
        <f>IF($JG31=0,"",INDEX($GR$2:$GR$37,$JG31))</f>
        <v/>
      </c>
      <c r="JM31" s="155">
        <f>IF($JG31=0,"",INDEX($HG$2:$HG$37,$JG31))</f>
        <v/>
      </c>
      <c r="KS31" s="153" t="inlineStr">
        <is>
          <t>M46</t>
        </is>
      </c>
      <c r="KT31" s="155">
        <f>INDEX(DADOS_AM!$P$2:$W$8,DADOS_AM!$HK$30,8)</f>
        <v/>
      </c>
    </row>
    <row r="32">
      <c r="BC32" s="153" t="inlineStr">
        <is>
          <t>Enfeitiçado</t>
        </is>
      </c>
      <c r="BD32" s="153" t="inlineStr">
        <is>
          <t>Controle</t>
        </is>
      </c>
      <c r="BE32" s="155" t="n">
        <v>2</v>
      </c>
      <c r="BF32" s="155">
        <f>$BE32+3*IFERROR(VLOOKUP($BD32,$I$2:$L$10,3,FALSE),0)</f>
        <v/>
      </c>
      <c r="BG32" s="155">
        <f>IFERROR(VLOOKUP($BD32,$I$2:$L$10,4,FALSE),0)</f>
        <v/>
      </c>
      <c r="BH32" s="155" t="n">
        <v>1</v>
      </c>
      <c r="BI32" s="155">
        <f>IF($BG32=1,"",$BC32)</f>
        <v/>
      </c>
      <c r="BJ32" s="155">
        <f>IF(AND($BE32=1,$BG32=0),$BC32,"")</f>
        <v/>
      </c>
      <c r="BK32" s="155" t="n">
        <v>1</v>
      </c>
      <c r="CD32" s="153" t="inlineStr">
        <is>
          <t>Bênção Própria (CE 1)</t>
        </is>
      </c>
      <c r="CE32" s="153" t="inlineStr">
        <is>
          <t>Uma por personagem</t>
        </is>
      </c>
      <c r="CF32" s="155" t="n">
        <v>1</v>
      </c>
      <c r="CG32" s="153" t="inlineStr">
        <is>
          <t>—</t>
        </is>
      </c>
      <c r="CH32" s="15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2" s="155">
        <f>IF($CL32=1,"",IF($A$2=4,IF($CJ32=1,$CD32,""),IF(OR($CJ32=1,AND($A$2=3,$CK32=1)),"",$CD32)))</f>
        <v/>
      </c>
      <c r="CJ32" s="155" t="n">
        <v>1</v>
      </c>
      <c r="CK32" s="155" t="n">
        <v>0</v>
      </c>
      <c r="CL32" s="155" t="n">
        <v>0</v>
      </c>
      <c r="CM32" s="153" t="inlineStr">
        <is>
          <t>Você pode desenvolver uma Bênção Própria por personagem, de Categoria de Efeito 1 ou 2.</t>
        </is>
      </c>
      <c r="DW32" s="153" t="inlineStr">
        <is>
          <t>Feitiço 31</t>
        </is>
      </c>
      <c r="DX32" s="155" t="n">
        <v>0</v>
      </c>
      <c r="DY32" s="155" t="n">
        <v>31</v>
      </c>
      <c r="DZ32" s="155">
        <f>MAX(1,MIN(7,N('FICHA AMALDIÇOADA'!$D$265)))</f>
        <v/>
      </c>
      <c r="EA32" s="155">
        <f>'FICHA AMALDIÇOADA'!$E$265&amp;""</f>
        <v/>
      </c>
      <c r="EB32" s="155">
        <f>'FICHA AMALDIÇOADA'!$D$272&amp;""</f>
        <v/>
      </c>
      <c r="EC32" s="155">
        <f>'FICHA AMALDIÇOADA'!$E$274&amp;""</f>
        <v/>
      </c>
      <c r="ED32" s="155">
        <f>'FICHA AMALDIÇOADA'!$E$275&amp;""</f>
        <v/>
      </c>
      <c r="EE32" s="155">
        <f>'FICHA AMALDIÇOADA'!$E$276&amp;""</f>
        <v/>
      </c>
      <c r="EF32" s="155">
        <f>'FICHA AMALDIÇOADA'!$E$277&amp;""</f>
        <v/>
      </c>
      <c r="EG32" s="155">
        <f>'FICHA AMALDIÇOADA'!$E$278&amp;""</f>
        <v/>
      </c>
      <c r="EH32" s="155">
        <f>'FICHA AMALDIÇOADA'!$E$279&amp;""</f>
        <v/>
      </c>
      <c r="EI32" s="155">
        <f>IF($EA32&lt;&gt;"",1,0)</f>
        <v/>
      </c>
      <c r="EJ32" s="155">
        <f>IFERROR(MATCH($EB32,$Y$2:$Y$11,0),0)</f>
        <v/>
      </c>
      <c r="EK32" s="155">
        <f>IF($EJ32=0,0,INDEX($AB$2:$AB$11,$EJ32))</f>
        <v/>
      </c>
      <c r="EL32" s="155">
        <f>IFERROR(VLOOKUP($EC32,$BC$2:$BK$84,4,FALSE),0)</f>
        <v/>
      </c>
      <c r="EM32" s="155">
        <f>IFERROR(VLOOKUP($ED32,$BC$2:$BK$84,4,FALSE),0)</f>
        <v/>
      </c>
      <c r="EN32" s="155">
        <f>IFERROR(VLOOKUP($EE32,$BC$2:$BK$84,4,FALSE),0)</f>
        <v/>
      </c>
      <c r="EO32" s="155">
        <f>IFERROR(VLOOKUP($EF32,$BC$2:$BK$84,4,FALSE),0)</f>
        <v/>
      </c>
      <c r="EP32" s="155">
        <f>IF($EJ32=0,0,INDEX($AC$2:$AC$11,$EJ32))</f>
        <v/>
      </c>
      <c r="EQ32" s="155">
        <f>IFERROR(VLOOKUP($EC32,$BC$2:$BK$84,5,FALSE),0)</f>
        <v/>
      </c>
      <c r="ER32" s="155">
        <f>IFERROR(VLOOKUP($ED32,$BC$2:$BK$84,5,FALSE),0)</f>
        <v/>
      </c>
      <c r="ES32" s="155">
        <f>IFERROR(VLOOKUP($EE32,$BC$2:$BK$84,5,FALSE),0)</f>
        <v/>
      </c>
      <c r="ET32" s="155">
        <f>IFERROR(VLOOKUP($EF32,$BC$2:$BK$84,5,FALSE),0)</f>
        <v/>
      </c>
      <c r="EU32" s="155">
        <f>IFERROR(VLOOKUP($EC32,$BC$2:$BK$84,6,FALSE),0)+IFERROR(VLOOKUP($ED32,$BC$2:$BK$84,6,FALSE),0)+IFERROR(VLOOKUP($EE32,$BC$2:$BK$84,6,FALSE),0)+IFERROR(VLOOKUP($EF32,$BC$2:$BK$84,6,FALSE),0)</f>
        <v/>
      </c>
      <c r="EV32" s="155">
        <f>IFERROR(VLOOKUP($EC32,$BC$2:$BK$84,9,FALSE),0)+IFERROR(VLOOKUP($ED32,$BC$2:$BK$84,9,FALSE),0)+IFERROR(VLOOKUP($EE32,$BC$2:$BK$84,9,FALSE),0)+IFERROR(VLOOKUP($EF32,$BC$2:$BK$84,9,FALSE),0)</f>
        <v/>
      </c>
      <c r="EW32" s="155">
        <f>IF($EJ32=0,0,INDEX($AD$2:$AD$11,$EJ32))</f>
        <v/>
      </c>
      <c r="EX32" s="155">
        <f>IF($EJ32=0,0,INDEX($AE$2:$AE$11,$EJ32))</f>
        <v/>
      </c>
      <c r="EY32" s="155">
        <f>IF($EJ32=0,0,INDEX($AG$2:$AG$11,$EJ32))</f>
        <v/>
      </c>
      <c r="EZ32" s="155">
        <f>IFERROR(VLOOKUP($EG32,$BM$2:$BQ$24,3,FALSE),0)</f>
        <v/>
      </c>
      <c r="FA32" s="155">
        <f>IFERROR(VLOOKUP($EH32,$BM$2:$BQ$24,3,FALSE),0)</f>
        <v/>
      </c>
      <c r="FB32" s="155">
        <f>IFERROR(VLOOKUP($EG32,$BM$2:$BQ$24,2,FALSE),"")</f>
        <v/>
      </c>
      <c r="FC32" s="155">
        <f>IFERROR(VLOOKUP($EH32,$BM$2:$BQ$24,2,FALSE),"")</f>
        <v/>
      </c>
      <c r="FD32" s="155">
        <f>COUNTIF($EK32:$EO32,1)</f>
        <v/>
      </c>
      <c r="FE32" s="155">
        <f>COUNTIF($EK32:$EO32,2)</f>
        <v/>
      </c>
      <c r="FF32" s="155">
        <f>COUNTIF($EK32:$EO32,3)</f>
        <v/>
      </c>
      <c r="FG32" s="155">
        <f>COUNTIF($EK32:$EO32,4)</f>
        <v/>
      </c>
      <c r="FH32" s="155">
        <f>COUNTIF($EK32:$EO32,5)</f>
        <v/>
      </c>
      <c r="FI32" s="155">
        <f>COUNTIF($EK32:$EO32,6)</f>
        <v/>
      </c>
      <c r="FJ32" s="155">
        <f>COUNTIF($EZ32:$FA32,1)</f>
        <v/>
      </c>
      <c r="FK32" s="155">
        <f>COUNTIF($EZ32:$FA32,2)+$EW32</f>
        <v/>
      </c>
      <c r="FL32" s="155">
        <f>COUNTIF($EC32:$EF32,"?*")</f>
        <v/>
      </c>
      <c r="FM32" s="155">
        <f>COUNTIF($EG32:$EH32,"?*")+$EW32</f>
        <v/>
      </c>
      <c r="FN32" s="155">
        <f>SUMPRODUCT($FD32:$FI32,INDEX($Q$2:$V$8,$DZ32,0))</f>
        <v/>
      </c>
      <c r="FO32" s="155">
        <f>$FJ32*CEILING($DZ32/2,1)+$FK32*$DZ32</f>
        <v/>
      </c>
      <c r="FP32" s="155">
        <f>MIN(2*$DZ32,$FO32)</f>
        <v/>
      </c>
      <c r="FQ32" s="155">
        <f>MIN($FP32,$FN32)</f>
        <v/>
      </c>
      <c r="FR32" s="155">
        <f>$FP32-$FQ32</f>
        <v/>
      </c>
      <c r="FS32" s="155">
        <f>3*$DZ32-$FN32+$FQ32</f>
        <v/>
      </c>
      <c r="FT32" s="155">
        <f>MAX(0,$FS32)+$DX32*$DZ32</f>
        <v/>
      </c>
      <c r="FU32" s="155">
        <f>(IF(COUNTIF($EC32:$EF32,"Salto")&gt;0,1,0)+IF(COUNTIF($EC32:$EF32,"Queima")&gt;0,1,0)+IF(COUNTIF($EC32:$EF32,"Estilhaço")&gt;0,1,0))*FLOOR($FT32/2,1)</f>
        <v/>
      </c>
      <c r="FV32" s="155">
        <f>MAX(0,3-SUMPRODUCT($FD32:$FI32,$Q$2:$V$2)+MIN(2,$FJ32*1+$FK32*1,SUMPRODUCT($FD32:$FI32,$Q$2:$V$2)))+$DX32*1</f>
        <v/>
      </c>
      <c r="FW32" s="155">
        <f>MAX(0,6-SUMPRODUCT($FD32:$FI32,$Q$3:$V$3)+MIN(4,$FJ32*1+$FK32*2,SUMPRODUCT($FD32:$FI32,$Q$3:$V$3)))+$DX32*2</f>
        <v/>
      </c>
      <c r="FX32" s="155">
        <f>MAX(0,9-SUMPRODUCT($FD32:$FI32,$Q$4:$V$4)+MIN(6,$FJ32*2+$FK32*3,SUMPRODUCT($FD32:$FI32,$Q$4:$V$4)))+$DX32*3</f>
        <v/>
      </c>
      <c r="FY32" s="155">
        <f>MAX(0,12-SUMPRODUCT($FD32:$FI32,$Q$5:$V$5)+MIN(8,$FJ32*2+$FK32*4,SUMPRODUCT($FD32:$FI32,$Q$5:$V$5)))+$DX32*4</f>
        <v/>
      </c>
      <c r="FZ32" s="155">
        <f>MAX(0,15-SUMPRODUCT($FD32:$FI32,$Q$6:$V$6)+MIN(10,$FJ32*3+$FK32*5,SUMPRODUCT($FD32:$FI32,$Q$6:$V$6)))+$DX32*5</f>
        <v/>
      </c>
      <c r="GA32" s="155">
        <f>MAX(0,18-SUMPRODUCT($FD32:$FI32,$Q$7:$V$7)+MIN(12,$FJ32*3+$FK32*6,SUMPRODUCT($FD32:$FI32,$Q$7:$V$7)))+$DX32*6</f>
        <v/>
      </c>
      <c r="GB32" s="155">
        <f>MAX(0,21-SUMPRODUCT($FD32:$FI32,$Q$8:$V$8)+MIN(14,$FJ32*4+$FK32*7,SUMPRODUCT($FD32:$FI32,$Q$8:$V$8)))+$DX32*7</f>
        <v/>
      </c>
      <c r="GC32" s="155">
        <f>IF($EX32=2,3*$FV32&amp;" de vida temp.",IF($EX32=3,"sem dano",IF($FV32=0,IF($EX32=1,"sem cura","sem dano"),IF($EX32=1,"cura ","")&amp;$FV32&amp;"d8")))</f>
        <v/>
      </c>
      <c r="GD32" s="155">
        <f>IF($EX32=2,3*$FW32&amp;" de vida temp.",IF($EX32=3,"sem dano",IF($FW32=0,IF($EX32=1,"sem cura","sem dano"),IF($EX32=1,"cura ","")&amp;$FW32&amp;"d8")))</f>
        <v/>
      </c>
      <c r="GE32" s="155">
        <f>IF($EX32=2,3*$FX32&amp;" de vida temp.",IF($EX32=3,"sem dano",IF($FX32=0,IF($EX32=1,"sem cura","sem dano"),IF($EX32=1,"cura ","")&amp;$FX32&amp;"d8")))</f>
        <v/>
      </c>
      <c r="GF32" s="155">
        <f>IF($EX32=2,3*$FY32&amp;" de vida temp.",IF($EX32=3,"sem dano",IF($FY32=0,IF($EX32=1,"sem cura","sem dano"),IF($EX32=1,"cura ","")&amp;$FY32&amp;"d8")))</f>
        <v/>
      </c>
      <c r="GG32" s="155">
        <f>IF($EX32=2,3*$FZ32&amp;" de vida temp.",IF($EX32=3,"sem dano",IF($FZ32=0,IF($EX32=1,"sem cura","sem dano"),IF($EX32=1,"cura ","")&amp;$FZ32&amp;"d8")))</f>
        <v/>
      </c>
      <c r="GH32" s="155">
        <f>IF($EX32=2,3*$GA32&amp;" de vida temp.",IF($EX32=3,"sem dano",IF($GA32=0,IF($EX32=1,"sem cura","sem dano"),IF($EX32=1,"cura ","")&amp;$GA32&amp;"d8")))</f>
        <v/>
      </c>
      <c r="GI32" s="155">
        <f>IF($EX32=2,3*$GB32&amp;" de vida temp.",IF($EX32=3,"sem dano",IF($GB32=0,IF($EX32=1,"sem cura","sem dano"),IF($EX32=1,"cura ","")&amp;$GB32&amp;"d8")))</f>
        <v/>
      </c>
      <c r="GJ32" s="155">
        <f>IF($EI32=0,"",TEXTJOIN(" · ",TRUE,IF(AND($DX32=1,$DY32&gt;$HK$9),"O nível "&amp;$HK$2&amp;" dá "&amp;$HK$9&amp;" Liberação Máxima",""),IF($DZ32&gt;$HK$4,"Classe "&amp;$DZ32&amp;": o nível "&amp;$HK$2&amp;" libera até a "&amp;$HK$4,""),IF($EP32=1,"Família Fechada: a Forma "&amp;$EB32,""),IF($EQ32=1,"Família Fechada: "&amp;$EC32,""),IF($ER32=1,"Família Fechada: "&amp;$ED32,""),IF($ES32=1,"Família Fechada: "&amp;$EE32,""),IF($ET32=1,"Família Fechada: "&amp;$EF32,""),IF($FL32&gt;INDEX($W$2:$W$8,$DZ32),$FL32&amp;" Melhorias: a Classe "&amp;$DZ32&amp;" aceita "&amp;INDEX($W$2:$W$8,$DZ32),""),IF($FM32&gt;2,$FM32&amp;" Restrições"&amp;IF($EW32=1,", contando a que a Forma "&amp;$EB32&amp;" já traz","")&amp;": o limite é 2",""),IF($FS32&lt;0,"Orçamento estourado: faltam "&amp;(-$FS32)&amp;IF($FS32&lt;-1," pontos"," ponto"),""),IF(IFERROR(VLOOKUP($EG32,$BM$2:$BQ$24,4,FALSE),0)+IFERROR(VLOOKUP($EH32,$BM$2:$BQ$24,4,FALSE),0)&gt;1,$FB32&amp;" e "&amp;$FC32&amp;" são as duas de frequência",""),IF(AND((COUNTIF($EC32:$EF32,"Rápido")+COUNTIF($FB32:$FC32,"Rápido"))&gt;0,(COUNTIF($EC32:$EF32,"Atrasar")+COUNTIF($FB32:$FC32,"Atrasar"))&gt;0),"Rápido não entra com Atrasar",""),IF(AND((COUNTIF($EC32:$EF32,"Reação")+COUNTIF($FB32:$FC32,"Reação"))&gt;0,(COUNTIF($EC32:$EF32,"Rápido")+COUNTIF($FB32:$FC32,"Rápido"))&gt;0),"Reação não entra com Rápido",""),IF(AND((COUNTIF($EC32:$EF32,"Reação")+COUNTIF($FB32:$FC32,"Reação"))&gt;0,(COUNTIF($EC32:$EF32,"Armado")+COUNTIF($FB32:$FC32,"Armado"))&gt;0),"Reação não entra com Armado",""),IF(AND((COUNTIF($EC32:$EF32,"Reação")+COUNTIF($FB32:$FC32,"Reação"))&gt;0,(COUNTIF($EC32:$EF32,"Atrasar")+COUNTIF($FB32:$FC32,"Atrasar"))&gt;0),"Reação não entra com Atrasar",""),IF(AND((COUNTIF($EC32:$EF32,"Reação")+COUNTIF($FB32:$FC32,"Reação"))&gt;0,(COUNTIF($EC32:$EF32,"Parado")+COUNTIF($FB32:$FC32,"Parado"))&gt;0),"Reação não entra com Parado",""),IF(AND((COUNTIF($EC32:$EF32,"Atrasar")+COUNTIF($FB32:$FC32,"Atrasar"))&gt;0,(COUNTIF($EC32:$EF32,"Parado")+COUNTIF($FB32:$FC32,"Parado"))&gt;0),"Atrasar não entra com Parado",""),IF(AND((COUNTIF($EC32:$EF32,"Armado")+COUNTIF($FB32:$FC32,"Armado"))&gt;0,(COUNTIF($EC32:$EF32,"Carregar")+COUNTIF($FB32:$FC32,"Carregar"))&gt;0),"Armado não entra com Carregar",""),IF(AND(COUNTIF($FB32:$FC32,"Corpo a Corpo")&gt;0,$EW32=0,OR($EB32="Cone",$EB32="Linha")),"Corpo a Corpo não entra em "&amp;$EB32,""),IF(AND(COUNTIF($FB32:$FC32,"Corpo a Corpo")&gt;0,$EW32=1),"A Forma "&amp;$EB32&amp;" já traz o Corpo a Corpo",""),IF(AND(COUNTIF($FB32:$FC32,"Tudo ou Nada")&gt;0,$EY32=0),"Tudo ou Nada só entra em feitiço de Teste de Resistência",""),IF(AND(COUNTIF($EC32:$EF32,"Inescapável")&gt;0,OR($FL32&gt;1,$FM32&gt;0)),"Inescapável não aceita outra peça",""),IF(AND($DX32=1,$DZ32&lt;3),"Liberação Máxima é de Classe 3 ou mais",""),IF(AND($DX32=1,OR($EX32=1,$EX32=2)),"Liberação Máxima não serve para cura",""),IF(AND($DX32=1,COUNTIF($EC32:$EF32,"Inescapável")+COUNTIF($EC32:$EF32,"Toca a Alma")&gt;0),"Esta peça não entra numa Liberação Máxima",""),IF($FT32*IF(COUNTIF($EC32:$EF32,"Remate")&gt;0,1.25,1)+$FU32&gt;4*$DZ32,($FT32*IF(COUNTIF($EC32:$EF32,"Remate")&gt;0,1.25,1)+$FU32)&amp;" dados somando repetições"&amp;IF(COUNTIF($EC32:$EF32,"Remate")&gt;0," e o Remate","")&amp;": o teto da Classe "&amp;$DZ32&amp;" é "&amp;4*$DZ32,"")))</f>
        <v/>
      </c>
      <c r="GK32" s="155">
        <f>IF($GJ32="",0,(LEN($GJ32)-LEN(SUBSTITUTE($GJ32," · ","")))/3+1)</f>
        <v/>
      </c>
      <c r="GL32" s="155">
        <f>IF($EI32=0,"",TEXTJOIN(" · ",TRUE,IF($FO32&gt;2*$DZ32,"A devolução parou no teto de "&amp;2*$DZ32,""),IF($FR32&gt;0,"Devolução perdida: "&amp;$FR32&amp;IF($FR32&gt;1," pontos"," ponto")&amp;" sem peça para pagar",""),IF(AND($EU32&gt;0,$FT32=0),"Controle sem dano: uma rodada a mais e CD +2",""),IF(AND($EU32&gt;0,$FT32&gt;0,$FT32&lt;=$DZ32),"Controle com saldo até a Classe: uma rodada a mais","")))</f>
        <v/>
      </c>
      <c r="GM32" s="155">
        <f>IF($GL32="",0,(LEN($GL32)-LEN(SUBSTITUTE($GL32," · ","")))/3+1)</f>
        <v/>
      </c>
      <c r="GN32" s="155">
        <f>IF($EI32=0,IF($FL32+$FM32-$EW32&gt;0,"Dê um nome",""),IF($GK32&gt;0,"⚠ "&amp;$GK32&amp;IF($GK32&gt;1," erros"," erro"),IF($GM32&gt;0,"! "&amp;$GM32&amp;IF($GM32&gt;1," avisos"," aviso"),"Na regra")))</f>
        <v/>
      </c>
      <c r="GO32" s="155">
        <f>IF($EI32=0,"",IF($GK32+$GM32=0,"Dentro das regras que a ficha confere",$GJ32&amp;IF(AND($GK32&gt;0,$GM32&gt;0)," · ","")&amp;$GL32))</f>
        <v/>
      </c>
      <c r="GP32" s="155">
        <f>IF($EI32=0,"",IF($DX32=1,CEILING(4.5*$DZ32,1),3*$DZ32)&amp;" PE")</f>
        <v/>
      </c>
      <c r="GQ32" s="155">
        <f>IF($EI32=0,"",IF($DX32=1,"Rodada inteira",IF(COUNTIF($FB32:$FC32,"Atrasar")&gt;0,IF(COUNTIF($FB32:$FC32,"Carregar")&gt;0,"Rodada +1 turno","Rodada inteira"),IF(COUNTIF($EC32:$EF32,"Rápido")&gt;0,"Bônus",IF(COUNTIF($EC32:$EF32,"Reação")&gt;0,"Reação","Padrão"))&amp;IF(COUNTIF($FB32:$FC32,"Carregar")&gt;0," +1 turno",""))))</f>
        <v/>
      </c>
      <c r="GR32" s="155">
        <f>IF(OR($EI32=0,$EJ32=0),"",IF(COUNTIF($EC32:$EF32,"Inescapável")&gt;0,"Automático",IF(COUNTIF($EC32:$EF32,"Certeiro")&gt;0,"TR para metade",IF(AND($EV32&gt;0,$EY32=0,INDEX($AF$2:$AF$11,$EJ32)="Acerto"),"Acerto + TR",INDEX($AF$2:$AF$11,$EJ32)))))</f>
        <v/>
      </c>
      <c r="GS32" s="155">
        <f>IF(OR($EI32=0,$EJ32=0),"",IF(OR($EX32&gt;=2,$FT32=0),UPPER(LEFT(INDEX($GC32:$GI32,1,$DZ32),1))&amp;MID(INDEX($GC32:$GI32,1,$DZ32),2,99),UPPER(LEFT(INDEX($GC32:$GI32,1,$DZ32),1))&amp;MID(INDEX($GC32:$GI32,1,$DZ32),2,99)&amp;" = "&amp;FLOOR($FT32*4.5,1)&amp;IF($FU32&gt;0," · +"&amp;$FU32&amp;"d8","")))</f>
        <v/>
      </c>
      <c r="GT32" s="155">
        <f>COUNTIF($EC32:$EF32,"Longe")+3*COUNTIF($EC32:$EF32,"Muito Longe")</f>
        <v/>
      </c>
      <c r="GU32" s="155">
        <f>COUNTIF($EC32:$EF32,"Maior")+3*COUNTIF($EC32:$EF32,"Muito Maior")</f>
        <v/>
      </c>
      <c r="GV32" s="155">
        <f>IF($EJ32=0,0,CHOOSE(1+INDEX($AH$2:$AH$11,$EJ32),0,$GT32,$GU32,$GT32+$GU32))</f>
        <v/>
      </c>
      <c r="GW32" s="155">
        <f>IF($EJ32=0,0,CHOOSE(1+INDEX($AI$2:$AI$11,$EJ32),0,$GT32,$GU32,$GT32+$GU32))</f>
        <v/>
      </c>
      <c r="GX32" s="155">
        <f>IF(OR($EI32=0,$EJ32=0),"",INDEX($AP$2:$AU$31,($EJ32-1)*3+IF($DZ32&gt;=6,3,2),1+MIN(5,$GV32))&amp;INDEX($AV$2:$BA$31,($EJ32-1)*3+IF($DZ32&gt;=6,3,2),1+MIN(5,$GW32))&amp;IF(INDEX($AJ$2:$AJ$11,$EJ32)=1,IF(COUNTIF($EC32:$EF32,"Mais Um")&gt;0," · +"&amp;COUNTIF($EC32:$EF32,"Mais Um")&amp;IF(COUNTIF($EC32:$EF32,"Mais Um")&gt;1," alvos"," alvo"),"")&amp;IF(COUNTIF($EC32:$EF32,"Rajada")&gt;0," · "&amp;($DZ32+1)&amp;" tiros",""),""))</f>
        <v/>
      </c>
      <c r="GY32" s="155">
        <f>IF($EI32=0,"",3*$DZ32&amp;" − "&amp;$FN32&amp;" + "&amp;$FQ32&amp;IF($DX32=1," + "&amp;$DZ32,"")&amp;" = "&amp;$FT32&amp;"d8 · teto "&amp;4*$DZ32&amp;IF($EW32=1," · a Forma devolve "&amp;$DZ32,"")&amp;IF($FR32&gt;0," · perde "&amp;$FR32,""))</f>
        <v/>
      </c>
      <c r="GZ32" s="155">
        <f>IF($EI32=0,"",IF($DZ32&gt;=$HK$4,"Já está na maior Classe que o nível liberou",TEXTJOIN(" · ",TRUE,IF(AND(2&gt;$DZ32,2&lt;=$HK$4),"2 → "&amp;$GD32&amp;", "&amp;IF($DX32=1,9,6)&amp;" PE",""),IF(AND(3&gt;$DZ32,3&lt;=$HK$4),"3 → "&amp;$GE32&amp;", "&amp;IF($DX32=1,14,9)&amp;" PE",""),IF(AND(4&gt;$DZ32,4&lt;=$HK$4),"4 → "&amp;$GF32&amp;", "&amp;IF($DX32=1,18,12)&amp;" PE",""),IF(AND(5&gt;$DZ32,5&lt;=$HK$4),"5 → "&amp;$GG32&amp;", "&amp;IF($DX32=1,23,15)&amp;" PE",""),IF(AND(6&gt;$DZ32,6&lt;=$HK$4),"6 → "&amp;$GH32&amp;", "&amp;IF($DX32=1,27,18)&amp;" PE",""),IF(AND(7&gt;$DZ32,7&lt;=$HK$4),"7 → "&amp;$GI32&amp;", "&amp;IF($DX32=1,32,21)&amp;" PE",""))))</f>
        <v/>
      </c>
      <c r="HA32" s="155">
        <f>IF(OR($EI32=0,$EL32=0),"","−"&amp;INDEX($Q$2:$V$8,$DZ32,$EL32)&amp;" · "&amp;CHOOSE($EL32,"Leve","Média","Pesada","Leve · Livre","Média · Livre","Pesada · Livre"))</f>
        <v/>
      </c>
      <c r="HB32" s="155">
        <f>IF(OR($EI32=0,$EM32=0),"","−"&amp;INDEX($Q$2:$V$8,$DZ32,$EM32)&amp;" · "&amp;CHOOSE($EM32,"Leve","Média","Pesada","Leve · Livre","Média · Livre","Pesada · Livre"))</f>
        <v/>
      </c>
      <c r="HC32" s="155">
        <f>IF(OR($EI32=0,$EN32=0),"","−"&amp;INDEX($Q$2:$V$8,$DZ32,$EN32)&amp;" · "&amp;CHOOSE($EN32,"Leve","Média","Pesada","Leve · Livre","Média · Livre","Pesada · Livre"))</f>
        <v/>
      </c>
      <c r="HD32" s="155">
        <f>IF(OR($EI32=0,$EO32=0),"","−"&amp;INDEX($Q$2:$V$8,$DZ32,$EO32)&amp;" · "&amp;CHOOSE($EO32,"Leve","Média","Pesada","Leve · Livre","Média · Livre","Pesada · Livre"))</f>
        <v/>
      </c>
      <c r="HE32" s="155">
        <f>IF(OR($EI32=0,$EG32=""),"","+"&amp;IF($EZ32=1,CEILING($DZ32/2,1),$DZ32))</f>
        <v/>
      </c>
      <c r="HF32" s="155">
        <f>IF(OR($EI32=0,$EH32=""),"","+"&amp;IF($FA32=1,CEILING($DZ32/2,1),$DZ32))</f>
        <v/>
      </c>
      <c r="HG32" s="155">
        <f>'FICHA AMALDIÇOADA'!$D$267&amp;""</f>
        <v/>
      </c>
      <c r="HH32" s="155">
        <f>IF(AND($EI32=1,$DX32=0),COUNTIFS($EI$2:$EI32,1,$DX$2:$DX32,0),"")</f>
        <v/>
      </c>
      <c r="HJ32" s="153" t="inlineStr">
        <is>
          <t>famílias fechadas</t>
        </is>
      </c>
      <c r="HK32" s="155">
        <f>COUNTIF($J$2:$J$10,"Fechada")</f>
        <v/>
      </c>
      <c r="JF32" s="155" t="n">
        <v>31</v>
      </c>
      <c r="JG32" s="155">
        <f>IFERROR(MATCH(31,$HH$2:$HH$37,0),0)</f>
        <v/>
      </c>
      <c r="JH32" s="155">
        <f>IF($JG32=0,"",INDEX($DZ$2:$DZ$37,$JG32))</f>
        <v/>
      </c>
      <c r="JI32" s="155">
        <f>IF($JG32=0,"",INDEX($EA$2:$EA$37,$JG32))</f>
        <v/>
      </c>
      <c r="JJ32" s="155">
        <f>IF($JG32=0,"",INDEX($GP$2:$GP$37,$JG32))</f>
        <v/>
      </c>
      <c r="JK32" s="155">
        <f>IF($JG32=0,"",INDEX($EB$2:$EB$37,$JG32))</f>
        <v/>
      </c>
      <c r="JL32" s="155">
        <f>IF($JG32=0,"",INDEX($GR$2:$GR$37,$JG32))</f>
        <v/>
      </c>
      <c r="JM32" s="155">
        <f>IF($JG32=0,"",INDEX($HG$2:$HG$37,$JG32))</f>
        <v/>
      </c>
      <c r="KS32" s="153" t="inlineStr">
        <is>
          <t>P46</t>
        </is>
      </c>
      <c r="KT32" s="155">
        <f>DADOS_AM!$HK$10&amp;" feitiços grátis · "&amp;DADOS_AM!$HK$11&amp;"d8 cada"</f>
        <v/>
      </c>
    </row>
    <row r="33">
      <c r="BC33" s="153" t="inlineStr">
        <is>
          <t>Impedido</t>
        </is>
      </c>
      <c r="BD33" s="153" t="inlineStr">
        <is>
          <t>Controle</t>
        </is>
      </c>
      <c r="BE33" s="155" t="n">
        <v>3</v>
      </c>
      <c r="BF33" s="155">
        <f>$BE33+3*IFERROR(VLOOKUP($BD33,$I$2:$L$10,3,FALSE),0)</f>
        <v/>
      </c>
      <c r="BG33" s="155">
        <f>IFERROR(VLOOKUP($BD33,$I$2:$L$10,4,FALSE),0)</f>
        <v/>
      </c>
      <c r="BH33" s="155" t="n">
        <v>1</v>
      </c>
      <c r="BI33" s="155">
        <f>IF($BG33=1,"",$BC33)</f>
        <v/>
      </c>
      <c r="BJ33" s="155">
        <f>IF(AND($BE33=1,$BG33=0),$BC33,"")</f>
        <v/>
      </c>
      <c r="BK33" s="155" t="n">
        <v>1</v>
      </c>
      <c r="CD33" s="153" t="inlineStr">
        <is>
          <t>Bênção Própria (CE 2)</t>
        </is>
      </c>
      <c r="CE33" s="153" t="inlineStr">
        <is>
          <t>Uma por personagem</t>
        </is>
      </c>
      <c r="CF33" s="155" t="n">
        <v>2</v>
      </c>
      <c r="CG33" s="153" t="inlineStr">
        <is>
          <t>—</t>
        </is>
      </c>
      <c r="CH33" s="15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3" s="155">
        <f>IF($CL33=1,"",IF($A$2=4,IF($CJ33=1,$CD33,""),IF(OR($CJ33=1,AND($A$2=3,$CK33=1)),"",$CD33)))</f>
        <v/>
      </c>
      <c r="CJ33" s="155" t="n">
        <v>1</v>
      </c>
      <c r="CK33" s="155" t="n">
        <v>0</v>
      </c>
      <c r="CL33" s="155" t="n">
        <v>0</v>
      </c>
      <c r="CM33" s="153" t="inlineStr">
        <is>
          <t>Você pode desenvolver uma Bênção Própria por personagem, de Categoria de Efeito 1 ou 2.</t>
        </is>
      </c>
      <c r="DW33" s="153" t="inlineStr">
        <is>
          <t>Feitiço 32</t>
        </is>
      </c>
      <c r="DX33" s="155" t="n">
        <v>0</v>
      </c>
      <c r="DY33" s="155" t="n">
        <v>32</v>
      </c>
      <c r="DZ33" s="155">
        <f>MAX(1,MIN(7,N('FICHA AMALDIÇOADA'!$J$265)))</f>
        <v/>
      </c>
      <c r="EA33" s="155">
        <f>'FICHA AMALDIÇOADA'!$K$265&amp;""</f>
        <v/>
      </c>
      <c r="EB33" s="155">
        <f>'FICHA AMALDIÇOADA'!$J$272&amp;""</f>
        <v/>
      </c>
      <c r="EC33" s="155">
        <f>'FICHA AMALDIÇOADA'!$K$274&amp;""</f>
        <v/>
      </c>
      <c r="ED33" s="155">
        <f>'FICHA AMALDIÇOADA'!$K$275&amp;""</f>
        <v/>
      </c>
      <c r="EE33" s="155">
        <f>'FICHA AMALDIÇOADA'!$K$276&amp;""</f>
        <v/>
      </c>
      <c r="EF33" s="155">
        <f>'FICHA AMALDIÇOADA'!$K$277&amp;""</f>
        <v/>
      </c>
      <c r="EG33" s="155">
        <f>'FICHA AMALDIÇOADA'!$K$278&amp;""</f>
        <v/>
      </c>
      <c r="EH33" s="155">
        <f>'FICHA AMALDIÇOADA'!$K$279&amp;""</f>
        <v/>
      </c>
      <c r="EI33" s="155">
        <f>IF($EA33&lt;&gt;"",1,0)</f>
        <v/>
      </c>
      <c r="EJ33" s="155">
        <f>IFERROR(MATCH($EB33,$Y$2:$Y$11,0),0)</f>
        <v/>
      </c>
      <c r="EK33" s="155">
        <f>IF($EJ33=0,0,INDEX($AB$2:$AB$11,$EJ33))</f>
        <v/>
      </c>
      <c r="EL33" s="155">
        <f>IFERROR(VLOOKUP($EC33,$BC$2:$BK$84,4,FALSE),0)</f>
        <v/>
      </c>
      <c r="EM33" s="155">
        <f>IFERROR(VLOOKUP($ED33,$BC$2:$BK$84,4,FALSE),0)</f>
        <v/>
      </c>
      <c r="EN33" s="155">
        <f>IFERROR(VLOOKUP($EE33,$BC$2:$BK$84,4,FALSE),0)</f>
        <v/>
      </c>
      <c r="EO33" s="155">
        <f>IFERROR(VLOOKUP($EF33,$BC$2:$BK$84,4,FALSE),0)</f>
        <v/>
      </c>
      <c r="EP33" s="155">
        <f>IF($EJ33=0,0,INDEX($AC$2:$AC$11,$EJ33))</f>
        <v/>
      </c>
      <c r="EQ33" s="155">
        <f>IFERROR(VLOOKUP($EC33,$BC$2:$BK$84,5,FALSE),0)</f>
        <v/>
      </c>
      <c r="ER33" s="155">
        <f>IFERROR(VLOOKUP($ED33,$BC$2:$BK$84,5,FALSE),0)</f>
        <v/>
      </c>
      <c r="ES33" s="155">
        <f>IFERROR(VLOOKUP($EE33,$BC$2:$BK$84,5,FALSE),0)</f>
        <v/>
      </c>
      <c r="ET33" s="155">
        <f>IFERROR(VLOOKUP($EF33,$BC$2:$BK$84,5,FALSE),0)</f>
        <v/>
      </c>
      <c r="EU33" s="155">
        <f>IFERROR(VLOOKUP($EC33,$BC$2:$BK$84,6,FALSE),0)+IFERROR(VLOOKUP($ED33,$BC$2:$BK$84,6,FALSE),0)+IFERROR(VLOOKUP($EE33,$BC$2:$BK$84,6,FALSE),0)+IFERROR(VLOOKUP($EF33,$BC$2:$BK$84,6,FALSE),0)</f>
        <v/>
      </c>
      <c r="EV33" s="155">
        <f>IFERROR(VLOOKUP($EC33,$BC$2:$BK$84,9,FALSE),0)+IFERROR(VLOOKUP($ED33,$BC$2:$BK$84,9,FALSE),0)+IFERROR(VLOOKUP($EE33,$BC$2:$BK$84,9,FALSE),0)+IFERROR(VLOOKUP($EF33,$BC$2:$BK$84,9,FALSE),0)</f>
        <v/>
      </c>
      <c r="EW33" s="155">
        <f>IF($EJ33=0,0,INDEX($AD$2:$AD$11,$EJ33))</f>
        <v/>
      </c>
      <c r="EX33" s="155">
        <f>IF($EJ33=0,0,INDEX($AE$2:$AE$11,$EJ33))</f>
        <v/>
      </c>
      <c r="EY33" s="155">
        <f>IF($EJ33=0,0,INDEX($AG$2:$AG$11,$EJ33))</f>
        <v/>
      </c>
      <c r="EZ33" s="155">
        <f>IFERROR(VLOOKUP($EG33,$BM$2:$BQ$24,3,FALSE),0)</f>
        <v/>
      </c>
      <c r="FA33" s="155">
        <f>IFERROR(VLOOKUP($EH33,$BM$2:$BQ$24,3,FALSE),0)</f>
        <v/>
      </c>
      <c r="FB33" s="155">
        <f>IFERROR(VLOOKUP($EG33,$BM$2:$BQ$24,2,FALSE),"")</f>
        <v/>
      </c>
      <c r="FC33" s="155">
        <f>IFERROR(VLOOKUP($EH33,$BM$2:$BQ$24,2,FALSE),"")</f>
        <v/>
      </c>
      <c r="FD33" s="155">
        <f>COUNTIF($EK33:$EO33,1)</f>
        <v/>
      </c>
      <c r="FE33" s="155">
        <f>COUNTIF($EK33:$EO33,2)</f>
        <v/>
      </c>
      <c r="FF33" s="155">
        <f>COUNTIF($EK33:$EO33,3)</f>
        <v/>
      </c>
      <c r="FG33" s="155">
        <f>COUNTIF($EK33:$EO33,4)</f>
        <v/>
      </c>
      <c r="FH33" s="155">
        <f>COUNTIF($EK33:$EO33,5)</f>
        <v/>
      </c>
      <c r="FI33" s="155">
        <f>COUNTIF($EK33:$EO33,6)</f>
        <v/>
      </c>
      <c r="FJ33" s="155">
        <f>COUNTIF($EZ33:$FA33,1)</f>
        <v/>
      </c>
      <c r="FK33" s="155">
        <f>COUNTIF($EZ33:$FA33,2)+$EW33</f>
        <v/>
      </c>
      <c r="FL33" s="155">
        <f>COUNTIF($EC33:$EF33,"?*")</f>
        <v/>
      </c>
      <c r="FM33" s="155">
        <f>COUNTIF($EG33:$EH33,"?*")+$EW33</f>
        <v/>
      </c>
      <c r="FN33" s="155">
        <f>SUMPRODUCT($FD33:$FI33,INDEX($Q$2:$V$8,$DZ33,0))</f>
        <v/>
      </c>
      <c r="FO33" s="155">
        <f>$FJ33*CEILING($DZ33/2,1)+$FK33*$DZ33</f>
        <v/>
      </c>
      <c r="FP33" s="155">
        <f>MIN(2*$DZ33,$FO33)</f>
        <v/>
      </c>
      <c r="FQ33" s="155">
        <f>MIN($FP33,$FN33)</f>
        <v/>
      </c>
      <c r="FR33" s="155">
        <f>$FP33-$FQ33</f>
        <v/>
      </c>
      <c r="FS33" s="155">
        <f>3*$DZ33-$FN33+$FQ33</f>
        <v/>
      </c>
      <c r="FT33" s="155">
        <f>MAX(0,$FS33)+$DX33*$DZ33</f>
        <v/>
      </c>
      <c r="FU33" s="155">
        <f>(IF(COUNTIF($EC33:$EF33,"Salto")&gt;0,1,0)+IF(COUNTIF($EC33:$EF33,"Queima")&gt;0,1,0)+IF(COUNTIF($EC33:$EF33,"Estilhaço")&gt;0,1,0))*FLOOR($FT33/2,1)</f>
        <v/>
      </c>
      <c r="FV33" s="155">
        <f>MAX(0,3-SUMPRODUCT($FD33:$FI33,$Q$2:$V$2)+MIN(2,$FJ33*1+$FK33*1,SUMPRODUCT($FD33:$FI33,$Q$2:$V$2)))+$DX33*1</f>
        <v/>
      </c>
      <c r="FW33" s="155">
        <f>MAX(0,6-SUMPRODUCT($FD33:$FI33,$Q$3:$V$3)+MIN(4,$FJ33*1+$FK33*2,SUMPRODUCT($FD33:$FI33,$Q$3:$V$3)))+$DX33*2</f>
        <v/>
      </c>
      <c r="FX33" s="155">
        <f>MAX(0,9-SUMPRODUCT($FD33:$FI33,$Q$4:$V$4)+MIN(6,$FJ33*2+$FK33*3,SUMPRODUCT($FD33:$FI33,$Q$4:$V$4)))+$DX33*3</f>
        <v/>
      </c>
      <c r="FY33" s="155">
        <f>MAX(0,12-SUMPRODUCT($FD33:$FI33,$Q$5:$V$5)+MIN(8,$FJ33*2+$FK33*4,SUMPRODUCT($FD33:$FI33,$Q$5:$V$5)))+$DX33*4</f>
        <v/>
      </c>
      <c r="FZ33" s="155">
        <f>MAX(0,15-SUMPRODUCT($FD33:$FI33,$Q$6:$V$6)+MIN(10,$FJ33*3+$FK33*5,SUMPRODUCT($FD33:$FI33,$Q$6:$V$6)))+$DX33*5</f>
        <v/>
      </c>
      <c r="GA33" s="155">
        <f>MAX(0,18-SUMPRODUCT($FD33:$FI33,$Q$7:$V$7)+MIN(12,$FJ33*3+$FK33*6,SUMPRODUCT($FD33:$FI33,$Q$7:$V$7)))+$DX33*6</f>
        <v/>
      </c>
      <c r="GB33" s="155">
        <f>MAX(0,21-SUMPRODUCT($FD33:$FI33,$Q$8:$V$8)+MIN(14,$FJ33*4+$FK33*7,SUMPRODUCT($FD33:$FI33,$Q$8:$V$8)))+$DX33*7</f>
        <v/>
      </c>
      <c r="GC33" s="155">
        <f>IF($EX33=2,3*$FV33&amp;" de vida temp.",IF($EX33=3,"sem dano",IF($FV33=0,IF($EX33=1,"sem cura","sem dano"),IF($EX33=1,"cura ","")&amp;$FV33&amp;"d8")))</f>
        <v/>
      </c>
      <c r="GD33" s="155">
        <f>IF($EX33=2,3*$FW33&amp;" de vida temp.",IF($EX33=3,"sem dano",IF($FW33=0,IF($EX33=1,"sem cura","sem dano"),IF($EX33=1,"cura ","")&amp;$FW33&amp;"d8")))</f>
        <v/>
      </c>
      <c r="GE33" s="155">
        <f>IF($EX33=2,3*$FX33&amp;" de vida temp.",IF($EX33=3,"sem dano",IF($FX33=0,IF($EX33=1,"sem cura","sem dano"),IF($EX33=1,"cura ","")&amp;$FX33&amp;"d8")))</f>
        <v/>
      </c>
      <c r="GF33" s="155">
        <f>IF($EX33=2,3*$FY33&amp;" de vida temp.",IF($EX33=3,"sem dano",IF($FY33=0,IF($EX33=1,"sem cura","sem dano"),IF($EX33=1,"cura ","")&amp;$FY33&amp;"d8")))</f>
        <v/>
      </c>
      <c r="GG33" s="155">
        <f>IF($EX33=2,3*$FZ33&amp;" de vida temp.",IF($EX33=3,"sem dano",IF($FZ33=0,IF($EX33=1,"sem cura","sem dano"),IF($EX33=1,"cura ","")&amp;$FZ33&amp;"d8")))</f>
        <v/>
      </c>
      <c r="GH33" s="155">
        <f>IF($EX33=2,3*$GA33&amp;" de vida temp.",IF($EX33=3,"sem dano",IF($GA33=0,IF($EX33=1,"sem cura","sem dano"),IF($EX33=1,"cura ","")&amp;$GA33&amp;"d8")))</f>
        <v/>
      </c>
      <c r="GI33" s="155">
        <f>IF($EX33=2,3*$GB33&amp;" de vida temp.",IF($EX33=3,"sem dano",IF($GB33=0,IF($EX33=1,"sem cura","sem dano"),IF($EX33=1,"cura ","")&amp;$GB33&amp;"d8")))</f>
        <v/>
      </c>
      <c r="GJ33" s="155">
        <f>IF($EI33=0,"",TEXTJOIN(" · ",TRUE,IF(AND($DX33=1,$DY33&gt;$HK$9),"O nível "&amp;$HK$2&amp;" dá "&amp;$HK$9&amp;" Liberação Máxima",""),IF($DZ33&gt;$HK$4,"Classe "&amp;$DZ33&amp;": o nível "&amp;$HK$2&amp;" libera até a "&amp;$HK$4,""),IF($EP33=1,"Família Fechada: a Forma "&amp;$EB33,""),IF($EQ33=1,"Família Fechada: "&amp;$EC33,""),IF($ER33=1,"Família Fechada: "&amp;$ED33,""),IF($ES33=1,"Família Fechada: "&amp;$EE33,""),IF($ET33=1,"Família Fechada: "&amp;$EF33,""),IF($FL33&gt;INDEX($W$2:$W$8,$DZ33),$FL33&amp;" Melhorias: a Classe "&amp;$DZ33&amp;" aceita "&amp;INDEX($W$2:$W$8,$DZ33),""),IF($FM33&gt;2,$FM33&amp;" Restrições"&amp;IF($EW33=1,", contando a que a Forma "&amp;$EB33&amp;" já traz","")&amp;": o limite é 2",""),IF($FS33&lt;0,"Orçamento estourado: faltam "&amp;(-$FS33)&amp;IF($FS33&lt;-1," pontos"," ponto"),""),IF(IFERROR(VLOOKUP($EG33,$BM$2:$BQ$24,4,FALSE),0)+IFERROR(VLOOKUP($EH33,$BM$2:$BQ$24,4,FALSE),0)&gt;1,$FB33&amp;" e "&amp;$FC33&amp;" são as duas de frequência",""),IF(AND((COUNTIF($EC33:$EF33,"Rápido")+COUNTIF($FB33:$FC33,"Rápido"))&gt;0,(COUNTIF($EC33:$EF33,"Atrasar")+COUNTIF($FB33:$FC33,"Atrasar"))&gt;0),"Rápido não entra com Atrasar",""),IF(AND((COUNTIF($EC33:$EF33,"Reação")+COUNTIF($FB33:$FC33,"Reação"))&gt;0,(COUNTIF($EC33:$EF33,"Rápido")+COUNTIF($FB33:$FC33,"Rápido"))&gt;0),"Reação não entra com Rápido",""),IF(AND((COUNTIF($EC33:$EF33,"Reação")+COUNTIF($FB33:$FC33,"Reação"))&gt;0,(COUNTIF($EC33:$EF33,"Armado")+COUNTIF($FB33:$FC33,"Armado"))&gt;0),"Reação não entra com Armado",""),IF(AND((COUNTIF($EC33:$EF33,"Reação")+COUNTIF($FB33:$FC33,"Reação"))&gt;0,(COUNTIF($EC33:$EF33,"Atrasar")+COUNTIF($FB33:$FC33,"Atrasar"))&gt;0),"Reação não entra com Atrasar",""),IF(AND((COUNTIF($EC33:$EF33,"Reação")+COUNTIF($FB33:$FC33,"Reação"))&gt;0,(COUNTIF($EC33:$EF33,"Parado")+COUNTIF($FB33:$FC33,"Parado"))&gt;0),"Reação não entra com Parado",""),IF(AND((COUNTIF($EC33:$EF33,"Atrasar")+COUNTIF($FB33:$FC33,"Atrasar"))&gt;0,(COUNTIF($EC33:$EF33,"Parado")+COUNTIF($FB33:$FC33,"Parado"))&gt;0),"Atrasar não entra com Parado",""),IF(AND((COUNTIF($EC33:$EF33,"Armado")+COUNTIF($FB33:$FC33,"Armado"))&gt;0,(COUNTIF($EC33:$EF33,"Carregar")+COUNTIF($FB33:$FC33,"Carregar"))&gt;0),"Armado não entra com Carregar",""),IF(AND(COUNTIF($FB33:$FC33,"Corpo a Corpo")&gt;0,$EW33=0,OR($EB33="Cone",$EB33="Linha")),"Corpo a Corpo não entra em "&amp;$EB33,""),IF(AND(COUNTIF($FB33:$FC33,"Corpo a Corpo")&gt;0,$EW33=1),"A Forma "&amp;$EB33&amp;" já traz o Corpo a Corpo",""),IF(AND(COUNTIF($FB33:$FC33,"Tudo ou Nada")&gt;0,$EY33=0),"Tudo ou Nada só entra em feitiço de Teste de Resistência",""),IF(AND(COUNTIF($EC33:$EF33,"Inescapável")&gt;0,OR($FL33&gt;1,$FM33&gt;0)),"Inescapável não aceita outra peça",""),IF(AND($DX33=1,$DZ33&lt;3),"Liberação Máxima é de Classe 3 ou mais",""),IF(AND($DX33=1,OR($EX33=1,$EX33=2)),"Liberação Máxima não serve para cura",""),IF(AND($DX33=1,COUNTIF($EC33:$EF33,"Inescapável")+COUNTIF($EC33:$EF33,"Toca a Alma")&gt;0),"Esta peça não entra numa Liberação Máxima",""),IF($FT33*IF(COUNTIF($EC33:$EF33,"Remate")&gt;0,1.25,1)+$FU33&gt;4*$DZ33,($FT33*IF(COUNTIF($EC33:$EF33,"Remate")&gt;0,1.25,1)+$FU33)&amp;" dados somando repetições"&amp;IF(COUNTIF($EC33:$EF33,"Remate")&gt;0," e o Remate","")&amp;": o teto da Classe "&amp;$DZ33&amp;" é "&amp;4*$DZ33,"")))</f>
        <v/>
      </c>
      <c r="GK33" s="155">
        <f>IF($GJ33="",0,(LEN($GJ33)-LEN(SUBSTITUTE($GJ33," · ","")))/3+1)</f>
        <v/>
      </c>
      <c r="GL33" s="155">
        <f>IF($EI33=0,"",TEXTJOIN(" · ",TRUE,IF($FO33&gt;2*$DZ33,"A devolução parou no teto de "&amp;2*$DZ33,""),IF($FR33&gt;0,"Devolução perdida: "&amp;$FR33&amp;IF($FR33&gt;1," pontos"," ponto")&amp;" sem peça para pagar",""),IF(AND($EU33&gt;0,$FT33=0),"Controle sem dano: uma rodada a mais e CD +2",""),IF(AND($EU33&gt;0,$FT33&gt;0,$FT33&lt;=$DZ33),"Controle com saldo até a Classe: uma rodada a mais","")))</f>
        <v/>
      </c>
      <c r="GM33" s="155">
        <f>IF($GL33="",0,(LEN($GL33)-LEN(SUBSTITUTE($GL33," · ","")))/3+1)</f>
        <v/>
      </c>
      <c r="GN33" s="155">
        <f>IF($EI33=0,IF($FL33+$FM33-$EW33&gt;0,"Dê um nome",""),IF($GK33&gt;0,"⚠ "&amp;$GK33&amp;IF($GK33&gt;1," erros"," erro"),IF($GM33&gt;0,"! "&amp;$GM33&amp;IF($GM33&gt;1," avisos"," aviso"),"Na regra")))</f>
        <v/>
      </c>
      <c r="GO33" s="155">
        <f>IF($EI33=0,"",IF($GK33+$GM33=0,"Dentro das regras que a ficha confere",$GJ33&amp;IF(AND($GK33&gt;0,$GM33&gt;0)," · ","")&amp;$GL33))</f>
        <v/>
      </c>
      <c r="GP33" s="155">
        <f>IF($EI33=0,"",IF($DX33=1,CEILING(4.5*$DZ33,1),3*$DZ33)&amp;" PE")</f>
        <v/>
      </c>
      <c r="GQ33" s="155">
        <f>IF($EI33=0,"",IF($DX33=1,"Rodada inteira",IF(COUNTIF($FB33:$FC33,"Atrasar")&gt;0,IF(COUNTIF($FB33:$FC33,"Carregar")&gt;0,"Rodada +1 turno","Rodada inteira"),IF(COUNTIF($EC33:$EF33,"Rápido")&gt;0,"Bônus",IF(COUNTIF($EC33:$EF33,"Reação")&gt;0,"Reação","Padrão"))&amp;IF(COUNTIF($FB33:$FC33,"Carregar")&gt;0," +1 turno",""))))</f>
        <v/>
      </c>
      <c r="GR33" s="155">
        <f>IF(OR($EI33=0,$EJ33=0),"",IF(COUNTIF($EC33:$EF33,"Inescapável")&gt;0,"Automático",IF(COUNTIF($EC33:$EF33,"Certeiro")&gt;0,"TR para metade",IF(AND($EV33&gt;0,$EY33=0,INDEX($AF$2:$AF$11,$EJ33)="Acerto"),"Acerto + TR",INDEX($AF$2:$AF$11,$EJ33)))))</f>
        <v/>
      </c>
      <c r="GS33" s="155">
        <f>IF(OR($EI33=0,$EJ33=0),"",IF(OR($EX33&gt;=2,$FT33=0),UPPER(LEFT(INDEX($GC33:$GI33,1,$DZ33),1))&amp;MID(INDEX($GC33:$GI33,1,$DZ33),2,99),UPPER(LEFT(INDEX($GC33:$GI33,1,$DZ33),1))&amp;MID(INDEX($GC33:$GI33,1,$DZ33),2,99)&amp;" = "&amp;FLOOR($FT33*4.5,1)&amp;IF($FU33&gt;0," · +"&amp;$FU33&amp;"d8","")))</f>
        <v/>
      </c>
      <c r="GT33" s="155">
        <f>COUNTIF($EC33:$EF33,"Longe")+3*COUNTIF($EC33:$EF33,"Muito Longe")</f>
        <v/>
      </c>
      <c r="GU33" s="155">
        <f>COUNTIF($EC33:$EF33,"Maior")+3*COUNTIF($EC33:$EF33,"Muito Maior")</f>
        <v/>
      </c>
      <c r="GV33" s="155">
        <f>IF($EJ33=0,0,CHOOSE(1+INDEX($AH$2:$AH$11,$EJ33),0,$GT33,$GU33,$GT33+$GU33))</f>
        <v/>
      </c>
      <c r="GW33" s="155">
        <f>IF($EJ33=0,0,CHOOSE(1+INDEX($AI$2:$AI$11,$EJ33),0,$GT33,$GU33,$GT33+$GU33))</f>
        <v/>
      </c>
      <c r="GX33" s="155">
        <f>IF(OR($EI33=0,$EJ33=0),"",INDEX($AP$2:$AU$31,($EJ33-1)*3+IF($DZ33&gt;=6,3,2),1+MIN(5,$GV33))&amp;INDEX($AV$2:$BA$31,($EJ33-1)*3+IF($DZ33&gt;=6,3,2),1+MIN(5,$GW33))&amp;IF(INDEX($AJ$2:$AJ$11,$EJ33)=1,IF(COUNTIF($EC33:$EF33,"Mais Um")&gt;0," · +"&amp;COUNTIF($EC33:$EF33,"Mais Um")&amp;IF(COUNTIF($EC33:$EF33,"Mais Um")&gt;1," alvos"," alvo"),"")&amp;IF(COUNTIF($EC33:$EF33,"Rajada")&gt;0," · "&amp;($DZ33+1)&amp;" tiros",""),""))</f>
        <v/>
      </c>
      <c r="GY33" s="155">
        <f>IF($EI33=0,"",3*$DZ33&amp;" − "&amp;$FN33&amp;" + "&amp;$FQ33&amp;IF($DX33=1," + "&amp;$DZ33,"")&amp;" = "&amp;$FT33&amp;"d8 · teto "&amp;4*$DZ33&amp;IF($EW33=1," · a Forma devolve "&amp;$DZ33,"")&amp;IF($FR33&gt;0," · perde "&amp;$FR33,""))</f>
        <v/>
      </c>
      <c r="GZ33" s="155">
        <f>IF($EI33=0,"",IF($DZ33&gt;=$HK$4,"Já está na maior Classe que o nível liberou",TEXTJOIN(" · ",TRUE,IF(AND(2&gt;$DZ33,2&lt;=$HK$4),"2 → "&amp;$GD33&amp;", "&amp;IF($DX33=1,9,6)&amp;" PE",""),IF(AND(3&gt;$DZ33,3&lt;=$HK$4),"3 → "&amp;$GE33&amp;", "&amp;IF($DX33=1,14,9)&amp;" PE",""),IF(AND(4&gt;$DZ33,4&lt;=$HK$4),"4 → "&amp;$GF33&amp;", "&amp;IF($DX33=1,18,12)&amp;" PE",""),IF(AND(5&gt;$DZ33,5&lt;=$HK$4),"5 → "&amp;$GG33&amp;", "&amp;IF($DX33=1,23,15)&amp;" PE",""),IF(AND(6&gt;$DZ33,6&lt;=$HK$4),"6 → "&amp;$GH33&amp;", "&amp;IF($DX33=1,27,18)&amp;" PE",""),IF(AND(7&gt;$DZ33,7&lt;=$HK$4),"7 → "&amp;$GI33&amp;", "&amp;IF($DX33=1,32,21)&amp;" PE",""))))</f>
        <v/>
      </c>
      <c r="HA33" s="155">
        <f>IF(OR($EI33=0,$EL33=0),"","−"&amp;INDEX($Q$2:$V$8,$DZ33,$EL33)&amp;" · "&amp;CHOOSE($EL33,"Leve","Média","Pesada","Leve · Livre","Média · Livre","Pesada · Livre"))</f>
        <v/>
      </c>
      <c r="HB33" s="155">
        <f>IF(OR($EI33=0,$EM33=0),"","−"&amp;INDEX($Q$2:$V$8,$DZ33,$EM33)&amp;" · "&amp;CHOOSE($EM33,"Leve","Média","Pesada","Leve · Livre","Média · Livre","Pesada · Livre"))</f>
        <v/>
      </c>
      <c r="HC33" s="155">
        <f>IF(OR($EI33=0,$EN33=0),"","−"&amp;INDEX($Q$2:$V$8,$DZ33,$EN33)&amp;" · "&amp;CHOOSE($EN33,"Leve","Média","Pesada","Leve · Livre","Média · Livre","Pesada · Livre"))</f>
        <v/>
      </c>
      <c r="HD33" s="155">
        <f>IF(OR($EI33=0,$EO33=0),"","−"&amp;INDEX($Q$2:$V$8,$DZ33,$EO33)&amp;" · "&amp;CHOOSE($EO33,"Leve","Média","Pesada","Leve · Livre","Média · Livre","Pesada · Livre"))</f>
        <v/>
      </c>
      <c r="HE33" s="155">
        <f>IF(OR($EI33=0,$EG33=""),"","+"&amp;IF($EZ33=1,CEILING($DZ33/2,1),$DZ33))</f>
        <v/>
      </c>
      <c r="HF33" s="155">
        <f>IF(OR($EI33=0,$EH33=""),"","+"&amp;IF($FA33=1,CEILING($DZ33/2,1),$DZ33))</f>
        <v/>
      </c>
      <c r="HG33" s="155">
        <f>'FICHA AMALDIÇOADA'!$J$267&amp;""</f>
        <v/>
      </c>
      <c r="HH33" s="155">
        <f>IF(AND($EI33=1,$DX33=0),COUNTIFS($EI$2:$EI33,1,$DX$2:$DX33,0),"")</f>
        <v/>
      </c>
      <c r="HJ33" s="153" t="inlineStr">
        <is>
          <t>metade do refino</t>
        </is>
      </c>
      <c r="HK33" s="155">
        <f>MAX(1,FLOOR($HK$6/2,1))</f>
        <v/>
      </c>
      <c r="JF33" s="155" t="n">
        <v>32</v>
      </c>
      <c r="JG33" s="155">
        <f>IFERROR(MATCH(32,$HH$2:$HH$37,0),0)</f>
        <v/>
      </c>
      <c r="JH33" s="155">
        <f>IF($JG33=0,"",INDEX($DZ$2:$DZ$37,$JG33))</f>
        <v/>
      </c>
      <c r="JI33" s="155">
        <f>IF($JG33=0,"",INDEX($EA$2:$EA$37,$JG33))</f>
        <v/>
      </c>
      <c r="JJ33" s="155">
        <f>IF($JG33=0,"",INDEX($GP$2:$GP$37,$JG33))</f>
        <v/>
      </c>
      <c r="JK33" s="155">
        <f>IF($JG33=0,"",INDEX($EB$2:$EB$37,$JG33))</f>
        <v/>
      </c>
      <c r="JL33" s="155">
        <f>IF($JG33=0,"",INDEX($GR$2:$GR$37,$JG33))</f>
        <v/>
      </c>
      <c r="JM33" s="155">
        <f>IF($JG33=0,"",INDEX($HG$2:$HG$37,$JG33))</f>
        <v/>
      </c>
      <c r="KS33" s="153" t="inlineStr">
        <is>
          <t>D48</t>
        </is>
      </c>
      <c r="KT33" s="155">
        <f>UPPER(INDEX(DADOS_AM!$D$3:$G$3,1,DADOS_AM!$A$2))</f>
        <v/>
      </c>
    </row>
    <row r="34">
      <c r="BC34" s="153" t="inlineStr">
        <is>
          <t>Cego</t>
        </is>
      </c>
      <c r="BD34" s="153" t="inlineStr">
        <is>
          <t>Controle</t>
        </is>
      </c>
      <c r="BE34" s="155" t="n">
        <v>3</v>
      </c>
      <c r="BF34" s="155">
        <f>$BE34+3*IFERROR(VLOOKUP($BD34,$I$2:$L$10,3,FALSE),0)</f>
        <v/>
      </c>
      <c r="BG34" s="155">
        <f>IFERROR(VLOOKUP($BD34,$I$2:$L$10,4,FALSE),0)</f>
        <v/>
      </c>
      <c r="BH34" s="155" t="n">
        <v>1</v>
      </c>
      <c r="BI34" s="155">
        <f>IF($BG34=1,"",$BC34)</f>
        <v/>
      </c>
      <c r="BJ34" s="155">
        <f>IF(AND($BE34=1,$BG34=0),$BC34,"")</f>
        <v/>
      </c>
      <c r="BK34" s="155" t="n">
        <v>1</v>
      </c>
      <c r="DW34" s="153" t="inlineStr">
        <is>
          <t>Feitiço 33</t>
        </is>
      </c>
      <c r="DX34" s="155" t="n">
        <v>0</v>
      </c>
      <c r="DY34" s="155" t="n">
        <v>33</v>
      </c>
      <c r="DZ34" s="155">
        <f>MAX(1,MIN(7,N('FICHA AMALDIÇOADA'!$P$265)))</f>
        <v/>
      </c>
      <c r="EA34" s="155">
        <f>'FICHA AMALDIÇOADA'!$Q$265&amp;""</f>
        <v/>
      </c>
      <c r="EB34" s="155">
        <f>'FICHA AMALDIÇOADA'!$P$272&amp;""</f>
        <v/>
      </c>
      <c r="EC34" s="155">
        <f>'FICHA AMALDIÇOADA'!$Q$274&amp;""</f>
        <v/>
      </c>
      <c r="ED34" s="155">
        <f>'FICHA AMALDIÇOADA'!$Q$275&amp;""</f>
        <v/>
      </c>
      <c r="EE34" s="155">
        <f>'FICHA AMALDIÇOADA'!$Q$276&amp;""</f>
        <v/>
      </c>
      <c r="EF34" s="155">
        <f>'FICHA AMALDIÇOADA'!$Q$277&amp;""</f>
        <v/>
      </c>
      <c r="EG34" s="155">
        <f>'FICHA AMALDIÇOADA'!$Q$278&amp;""</f>
        <v/>
      </c>
      <c r="EH34" s="155">
        <f>'FICHA AMALDIÇOADA'!$Q$279&amp;""</f>
        <v/>
      </c>
      <c r="EI34" s="155">
        <f>IF($EA34&lt;&gt;"",1,0)</f>
        <v/>
      </c>
      <c r="EJ34" s="155">
        <f>IFERROR(MATCH($EB34,$Y$2:$Y$11,0),0)</f>
        <v/>
      </c>
      <c r="EK34" s="155">
        <f>IF($EJ34=0,0,INDEX($AB$2:$AB$11,$EJ34))</f>
        <v/>
      </c>
      <c r="EL34" s="155">
        <f>IFERROR(VLOOKUP($EC34,$BC$2:$BK$84,4,FALSE),0)</f>
        <v/>
      </c>
      <c r="EM34" s="155">
        <f>IFERROR(VLOOKUP($ED34,$BC$2:$BK$84,4,FALSE),0)</f>
        <v/>
      </c>
      <c r="EN34" s="155">
        <f>IFERROR(VLOOKUP($EE34,$BC$2:$BK$84,4,FALSE),0)</f>
        <v/>
      </c>
      <c r="EO34" s="155">
        <f>IFERROR(VLOOKUP($EF34,$BC$2:$BK$84,4,FALSE),0)</f>
        <v/>
      </c>
      <c r="EP34" s="155">
        <f>IF($EJ34=0,0,INDEX($AC$2:$AC$11,$EJ34))</f>
        <v/>
      </c>
      <c r="EQ34" s="155">
        <f>IFERROR(VLOOKUP($EC34,$BC$2:$BK$84,5,FALSE),0)</f>
        <v/>
      </c>
      <c r="ER34" s="155">
        <f>IFERROR(VLOOKUP($ED34,$BC$2:$BK$84,5,FALSE),0)</f>
        <v/>
      </c>
      <c r="ES34" s="155">
        <f>IFERROR(VLOOKUP($EE34,$BC$2:$BK$84,5,FALSE),0)</f>
        <v/>
      </c>
      <c r="ET34" s="155">
        <f>IFERROR(VLOOKUP($EF34,$BC$2:$BK$84,5,FALSE),0)</f>
        <v/>
      </c>
      <c r="EU34" s="155">
        <f>IFERROR(VLOOKUP($EC34,$BC$2:$BK$84,6,FALSE),0)+IFERROR(VLOOKUP($ED34,$BC$2:$BK$84,6,FALSE),0)+IFERROR(VLOOKUP($EE34,$BC$2:$BK$84,6,FALSE),0)+IFERROR(VLOOKUP($EF34,$BC$2:$BK$84,6,FALSE),0)</f>
        <v/>
      </c>
      <c r="EV34" s="155">
        <f>IFERROR(VLOOKUP($EC34,$BC$2:$BK$84,9,FALSE),0)+IFERROR(VLOOKUP($ED34,$BC$2:$BK$84,9,FALSE),0)+IFERROR(VLOOKUP($EE34,$BC$2:$BK$84,9,FALSE),0)+IFERROR(VLOOKUP($EF34,$BC$2:$BK$84,9,FALSE),0)</f>
        <v/>
      </c>
      <c r="EW34" s="155">
        <f>IF($EJ34=0,0,INDEX($AD$2:$AD$11,$EJ34))</f>
        <v/>
      </c>
      <c r="EX34" s="155">
        <f>IF($EJ34=0,0,INDEX($AE$2:$AE$11,$EJ34))</f>
        <v/>
      </c>
      <c r="EY34" s="155">
        <f>IF($EJ34=0,0,INDEX($AG$2:$AG$11,$EJ34))</f>
        <v/>
      </c>
      <c r="EZ34" s="155">
        <f>IFERROR(VLOOKUP($EG34,$BM$2:$BQ$24,3,FALSE),0)</f>
        <v/>
      </c>
      <c r="FA34" s="155">
        <f>IFERROR(VLOOKUP($EH34,$BM$2:$BQ$24,3,FALSE),0)</f>
        <v/>
      </c>
      <c r="FB34" s="155">
        <f>IFERROR(VLOOKUP($EG34,$BM$2:$BQ$24,2,FALSE),"")</f>
        <v/>
      </c>
      <c r="FC34" s="155">
        <f>IFERROR(VLOOKUP($EH34,$BM$2:$BQ$24,2,FALSE),"")</f>
        <v/>
      </c>
      <c r="FD34" s="155">
        <f>COUNTIF($EK34:$EO34,1)</f>
        <v/>
      </c>
      <c r="FE34" s="155">
        <f>COUNTIF($EK34:$EO34,2)</f>
        <v/>
      </c>
      <c r="FF34" s="155">
        <f>COUNTIF($EK34:$EO34,3)</f>
        <v/>
      </c>
      <c r="FG34" s="155">
        <f>COUNTIF($EK34:$EO34,4)</f>
        <v/>
      </c>
      <c r="FH34" s="155">
        <f>COUNTIF($EK34:$EO34,5)</f>
        <v/>
      </c>
      <c r="FI34" s="155">
        <f>COUNTIF($EK34:$EO34,6)</f>
        <v/>
      </c>
      <c r="FJ34" s="155">
        <f>COUNTIF($EZ34:$FA34,1)</f>
        <v/>
      </c>
      <c r="FK34" s="155">
        <f>COUNTIF($EZ34:$FA34,2)+$EW34</f>
        <v/>
      </c>
      <c r="FL34" s="155">
        <f>COUNTIF($EC34:$EF34,"?*")</f>
        <v/>
      </c>
      <c r="FM34" s="155">
        <f>COUNTIF($EG34:$EH34,"?*")+$EW34</f>
        <v/>
      </c>
      <c r="FN34" s="155">
        <f>SUMPRODUCT($FD34:$FI34,INDEX($Q$2:$V$8,$DZ34,0))</f>
        <v/>
      </c>
      <c r="FO34" s="155">
        <f>$FJ34*CEILING($DZ34/2,1)+$FK34*$DZ34</f>
        <v/>
      </c>
      <c r="FP34" s="155">
        <f>MIN(2*$DZ34,$FO34)</f>
        <v/>
      </c>
      <c r="FQ34" s="155">
        <f>MIN($FP34,$FN34)</f>
        <v/>
      </c>
      <c r="FR34" s="155">
        <f>$FP34-$FQ34</f>
        <v/>
      </c>
      <c r="FS34" s="155">
        <f>3*$DZ34-$FN34+$FQ34</f>
        <v/>
      </c>
      <c r="FT34" s="155">
        <f>MAX(0,$FS34)+$DX34*$DZ34</f>
        <v/>
      </c>
      <c r="FU34" s="155">
        <f>(IF(COUNTIF($EC34:$EF34,"Salto")&gt;0,1,0)+IF(COUNTIF($EC34:$EF34,"Queima")&gt;0,1,0)+IF(COUNTIF($EC34:$EF34,"Estilhaço")&gt;0,1,0))*FLOOR($FT34/2,1)</f>
        <v/>
      </c>
      <c r="FV34" s="155">
        <f>MAX(0,3-SUMPRODUCT($FD34:$FI34,$Q$2:$V$2)+MIN(2,$FJ34*1+$FK34*1,SUMPRODUCT($FD34:$FI34,$Q$2:$V$2)))+$DX34*1</f>
        <v/>
      </c>
      <c r="FW34" s="155">
        <f>MAX(0,6-SUMPRODUCT($FD34:$FI34,$Q$3:$V$3)+MIN(4,$FJ34*1+$FK34*2,SUMPRODUCT($FD34:$FI34,$Q$3:$V$3)))+$DX34*2</f>
        <v/>
      </c>
      <c r="FX34" s="155">
        <f>MAX(0,9-SUMPRODUCT($FD34:$FI34,$Q$4:$V$4)+MIN(6,$FJ34*2+$FK34*3,SUMPRODUCT($FD34:$FI34,$Q$4:$V$4)))+$DX34*3</f>
        <v/>
      </c>
      <c r="FY34" s="155">
        <f>MAX(0,12-SUMPRODUCT($FD34:$FI34,$Q$5:$V$5)+MIN(8,$FJ34*2+$FK34*4,SUMPRODUCT($FD34:$FI34,$Q$5:$V$5)))+$DX34*4</f>
        <v/>
      </c>
      <c r="FZ34" s="155">
        <f>MAX(0,15-SUMPRODUCT($FD34:$FI34,$Q$6:$V$6)+MIN(10,$FJ34*3+$FK34*5,SUMPRODUCT($FD34:$FI34,$Q$6:$V$6)))+$DX34*5</f>
        <v/>
      </c>
      <c r="GA34" s="155">
        <f>MAX(0,18-SUMPRODUCT($FD34:$FI34,$Q$7:$V$7)+MIN(12,$FJ34*3+$FK34*6,SUMPRODUCT($FD34:$FI34,$Q$7:$V$7)))+$DX34*6</f>
        <v/>
      </c>
      <c r="GB34" s="155">
        <f>MAX(0,21-SUMPRODUCT($FD34:$FI34,$Q$8:$V$8)+MIN(14,$FJ34*4+$FK34*7,SUMPRODUCT($FD34:$FI34,$Q$8:$V$8)))+$DX34*7</f>
        <v/>
      </c>
      <c r="GC34" s="155">
        <f>IF($EX34=2,3*$FV34&amp;" de vida temp.",IF($EX34=3,"sem dano",IF($FV34=0,IF($EX34=1,"sem cura","sem dano"),IF($EX34=1,"cura ","")&amp;$FV34&amp;"d8")))</f>
        <v/>
      </c>
      <c r="GD34" s="155">
        <f>IF($EX34=2,3*$FW34&amp;" de vida temp.",IF($EX34=3,"sem dano",IF($FW34=0,IF($EX34=1,"sem cura","sem dano"),IF($EX34=1,"cura ","")&amp;$FW34&amp;"d8")))</f>
        <v/>
      </c>
      <c r="GE34" s="155">
        <f>IF($EX34=2,3*$FX34&amp;" de vida temp.",IF($EX34=3,"sem dano",IF($FX34=0,IF($EX34=1,"sem cura","sem dano"),IF($EX34=1,"cura ","")&amp;$FX34&amp;"d8")))</f>
        <v/>
      </c>
      <c r="GF34" s="155">
        <f>IF($EX34=2,3*$FY34&amp;" de vida temp.",IF($EX34=3,"sem dano",IF($FY34=0,IF($EX34=1,"sem cura","sem dano"),IF($EX34=1,"cura ","")&amp;$FY34&amp;"d8")))</f>
        <v/>
      </c>
      <c r="GG34" s="155">
        <f>IF($EX34=2,3*$FZ34&amp;" de vida temp.",IF($EX34=3,"sem dano",IF($FZ34=0,IF($EX34=1,"sem cura","sem dano"),IF($EX34=1,"cura ","")&amp;$FZ34&amp;"d8")))</f>
        <v/>
      </c>
      <c r="GH34" s="155">
        <f>IF($EX34=2,3*$GA34&amp;" de vida temp.",IF($EX34=3,"sem dano",IF($GA34=0,IF($EX34=1,"sem cura","sem dano"),IF($EX34=1,"cura ","")&amp;$GA34&amp;"d8")))</f>
        <v/>
      </c>
      <c r="GI34" s="155">
        <f>IF($EX34=2,3*$GB34&amp;" de vida temp.",IF($EX34=3,"sem dano",IF($GB34=0,IF($EX34=1,"sem cura","sem dano"),IF($EX34=1,"cura ","")&amp;$GB34&amp;"d8")))</f>
        <v/>
      </c>
      <c r="GJ34" s="155">
        <f>IF($EI34=0,"",TEXTJOIN(" · ",TRUE,IF(AND($DX34=1,$DY34&gt;$HK$9),"O nível "&amp;$HK$2&amp;" dá "&amp;$HK$9&amp;" Liberação Máxima",""),IF($DZ34&gt;$HK$4,"Classe "&amp;$DZ34&amp;": o nível "&amp;$HK$2&amp;" libera até a "&amp;$HK$4,""),IF($EP34=1,"Família Fechada: a Forma "&amp;$EB34,""),IF($EQ34=1,"Família Fechada: "&amp;$EC34,""),IF($ER34=1,"Família Fechada: "&amp;$ED34,""),IF($ES34=1,"Família Fechada: "&amp;$EE34,""),IF($ET34=1,"Família Fechada: "&amp;$EF34,""),IF($FL34&gt;INDEX($W$2:$W$8,$DZ34),$FL34&amp;" Melhorias: a Classe "&amp;$DZ34&amp;" aceita "&amp;INDEX($W$2:$W$8,$DZ34),""),IF($FM34&gt;2,$FM34&amp;" Restrições"&amp;IF($EW34=1,", contando a que a Forma "&amp;$EB34&amp;" já traz","")&amp;": o limite é 2",""),IF($FS34&lt;0,"Orçamento estourado: faltam "&amp;(-$FS34)&amp;IF($FS34&lt;-1," pontos"," ponto"),""),IF(IFERROR(VLOOKUP($EG34,$BM$2:$BQ$24,4,FALSE),0)+IFERROR(VLOOKUP($EH34,$BM$2:$BQ$24,4,FALSE),0)&gt;1,$FB34&amp;" e "&amp;$FC34&amp;" são as duas de frequência",""),IF(AND((COUNTIF($EC34:$EF34,"Rápido")+COUNTIF($FB34:$FC34,"Rápido"))&gt;0,(COUNTIF($EC34:$EF34,"Atrasar")+COUNTIF($FB34:$FC34,"Atrasar"))&gt;0),"Rápido não entra com Atrasar",""),IF(AND((COUNTIF($EC34:$EF34,"Reação")+COUNTIF($FB34:$FC34,"Reação"))&gt;0,(COUNTIF($EC34:$EF34,"Rápido")+COUNTIF($FB34:$FC34,"Rápido"))&gt;0),"Reação não entra com Rápido",""),IF(AND((COUNTIF($EC34:$EF34,"Reação")+COUNTIF($FB34:$FC34,"Reação"))&gt;0,(COUNTIF($EC34:$EF34,"Armado")+COUNTIF($FB34:$FC34,"Armado"))&gt;0),"Reação não entra com Armado",""),IF(AND((COUNTIF($EC34:$EF34,"Reação")+COUNTIF($FB34:$FC34,"Reação"))&gt;0,(COUNTIF($EC34:$EF34,"Atrasar")+COUNTIF($FB34:$FC34,"Atrasar"))&gt;0),"Reação não entra com Atrasar",""),IF(AND((COUNTIF($EC34:$EF34,"Reação")+COUNTIF($FB34:$FC34,"Reação"))&gt;0,(COUNTIF($EC34:$EF34,"Parado")+COUNTIF($FB34:$FC34,"Parado"))&gt;0),"Reação não entra com Parado",""),IF(AND((COUNTIF($EC34:$EF34,"Atrasar")+COUNTIF($FB34:$FC34,"Atrasar"))&gt;0,(COUNTIF($EC34:$EF34,"Parado")+COUNTIF($FB34:$FC34,"Parado"))&gt;0),"Atrasar não entra com Parado",""),IF(AND((COUNTIF($EC34:$EF34,"Armado")+COUNTIF($FB34:$FC34,"Armado"))&gt;0,(COUNTIF($EC34:$EF34,"Carregar")+COUNTIF($FB34:$FC34,"Carregar"))&gt;0),"Armado não entra com Carregar",""),IF(AND(COUNTIF($FB34:$FC34,"Corpo a Corpo")&gt;0,$EW34=0,OR($EB34="Cone",$EB34="Linha")),"Corpo a Corpo não entra em "&amp;$EB34,""),IF(AND(COUNTIF($FB34:$FC34,"Corpo a Corpo")&gt;0,$EW34=1),"A Forma "&amp;$EB34&amp;" já traz o Corpo a Corpo",""),IF(AND(COUNTIF($FB34:$FC34,"Tudo ou Nada")&gt;0,$EY34=0),"Tudo ou Nada só entra em feitiço de Teste de Resistência",""),IF(AND(COUNTIF($EC34:$EF34,"Inescapável")&gt;0,OR($FL34&gt;1,$FM34&gt;0)),"Inescapável não aceita outra peça",""),IF(AND($DX34=1,$DZ34&lt;3),"Liberação Máxima é de Classe 3 ou mais",""),IF(AND($DX34=1,OR($EX34=1,$EX34=2)),"Liberação Máxima não serve para cura",""),IF(AND($DX34=1,COUNTIF($EC34:$EF34,"Inescapável")+COUNTIF($EC34:$EF34,"Toca a Alma")&gt;0),"Esta peça não entra numa Liberação Máxima",""),IF($FT34*IF(COUNTIF($EC34:$EF34,"Remate")&gt;0,1.25,1)+$FU34&gt;4*$DZ34,($FT34*IF(COUNTIF($EC34:$EF34,"Remate")&gt;0,1.25,1)+$FU34)&amp;" dados somando repetições"&amp;IF(COUNTIF($EC34:$EF34,"Remate")&gt;0," e o Remate","")&amp;": o teto da Classe "&amp;$DZ34&amp;" é "&amp;4*$DZ34,"")))</f>
        <v/>
      </c>
      <c r="GK34" s="155">
        <f>IF($GJ34="",0,(LEN($GJ34)-LEN(SUBSTITUTE($GJ34," · ","")))/3+1)</f>
        <v/>
      </c>
      <c r="GL34" s="155">
        <f>IF($EI34=0,"",TEXTJOIN(" · ",TRUE,IF($FO34&gt;2*$DZ34,"A devolução parou no teto de "&amp;2*$DZ34,""),IF($FR34&gt;0,"Devolução perdida: "&amp;$FR34&amp;IF($FR34&gt;1," pontos"," ponto")&amp;" sem peça para pagar",""),IF(AND($EU34&gt;0,$FT34=0),"Controle sem dano: uma rodada a mais e CD +2",""),IF(AND($EU34&gt;0,$FT34&gt;0,$FT34&lt;=$DZ34),"Controle com saldo até a Classe: uma rodada a mais","")))</f>
        <v/>
      </c>
      <c r="GM34" s="155">
        <f>IF($GL34="",0,(LEN($GL34)-LEN(SUBSTITUTE($GL34," · ","")))/3+1)</f>
        <v/>
      </c>
      <c r="GN34" s="155">
        <f>IF($EI34=0,IF($FL34+$FM34-$EW34&gt;0,"Dê um nome",""),IF($GK34&gt;0,"⚠ "&amp;$GK34&amp;IF($GK34&gt;1," erros"," erro"),IF($GM34&gt;0,"! "&amp;$GM34&amp;IF($GM34&gt;1," avisos"," aviso"),"Na regra")))</f>
        <v/>
      </c>
      <c r="GO34" s="155">
        <f>IF($EI34=0,"",IF($GK34+$GM34=0,"Dentro das regras que a ficha confere",$GJ34&amp;IF(AND($GK34&gt;0,$GM34&gt;0)," · ","")&amp;$GL34))</f>
        <v/>
      </c>
      <c r="GP34" s="155">
        <f>IF($EI34=0,"",IF($DX34=1,CEILING(4.5*$DZ34,1),3*$DZ34)&amp;" PE")</f>
        <v/>
      </c>
      <c r="GQ34" s="155">
        <f>IF($EI34=0,"",IF($DX34=1,"Rodada inteira",IF(COUNTIF($FB34:$FC34,"Atrasar")&gt;0,IF(COUNTIF($FB34:$FC34,"Carregar")&gt;0,"Rodada +1 turno","Rodada inteira"),IF(COUNTIF($EC34:$EF34,"Rápido")&gt;0,"Bônus",IF(COUNTIF($EC34:$EF34,"Reação")&gt;0,"Reação","Padrão"))&amp;IF(COUNTIF($FB34:$FC34,"Carregar")&gt;0," +1 turno",""))))</f>
        <v/>
      </c>
      <c r="GR34" s="155">
        <f>IF(OR($EI34=0,$EJ34=0),"",IF(COUNTIF($EC34:$EF34,"Inescapável")&gt;0,"Automático",IF(COUNTIF($EC34:$EF34,"Certeiro")&gt;0,"TR para metade",IF(AND($EV34&gt;0,$EY34=0,INDEX($AF$2:$AF$11,$EJ34)="Acerto"),"Acerto + TR",INDEX($AF$2:$AF$11,$EJ34)))))</f>
        <v/>
      </c>
      <c r="GS34" s="155">
        <f>IF(OR($EI34=0,$EJ34=0),"",IF(OR($EX34&gt;=2,$FT34=0),UPPER(LEFT(INDEX($GC34:$GI34,1,$DZ34),1))&amp;MID(INDEX($GC34:$GI34,1,$DZ34),2,99),UPPER(LEFT(INDEX($GC34:$GI34,1,$DZ34),1))&amp;MID(INDEX($GC34:$GI34,1,$DZ34),2,99)&amp;" = "&amp;FLOOR($FT34*4.5,1)&amp;IF($FU34&gt;0," · +"&amp;$FU34&amp;"d8","")))</f>
        <v/>
      </c>
      <c r="GT34" s="155">
        <f>COUNTIF($EC34:$EF34,"Longe")+3*COUNTIF($EC34:$EF34,"Muito Longe")</f>
        <v/>
      </c>
      <c r="GU34" s="155">
        <f>COUNTIF($EC34:$EF34,"Maior")+3*COUNTIF($EC34:$EF34,"Muito Maior")</f>
        <v/>
      </c>
      <c r="GV34" s="155">
        <f>IF($EJ34=0,0,CHOOSE(1+INDEX($AH$2:$AH$11,$EJ34),0,$GT34,$GU34,$GT34+$GU34))</f>
        <v/>
      </c>
      <c r="GW34" s="155">
        <f>IF($EJ34=0,0,CHOOSE(1+INDEX($AI$2:$AI$11,$EJ34),0,$GT34,$GU34,$GT34+$GU34))</f>
        <v/>
      </c>
      <c r="GX34" s="155">
        <f>IF(OR($EI34=0,$EJ34=0),"",INDEX($AP$2:$AU$31,($EJ34-1)*3+IF($DZ34&gt;=6,3,2),1+MIN(5,$GV34))&amp;INDEX($AV$2:$BA$31,($EJ34-1)*3+IF($DZ34&gt;=6,3,2),1+MIN(5,$GW34))&amp;IF(INDEX($AJ$2:$AJ$11,$EJ34)=1,IF(COUNTIF($EC34:$EF34,"Mais Um")&gt;0," · +"&amp;COUNTIF($EC34:$EF34,"Mais Um")&amp;IF(COUNTIF($EC34:$EF34,"Mais Um")&gt;1," alvos"," alvo"),"")&amp;IF(COUNTIF($EC34:$EF34,"Rajada")&gt;0," · "&amp;($DZ34+1)&amp;" tiros",""),""))</f>
        <v/>
      </c>
      <c r="GY34" s="155">
        <f>IF($EI34=0,"",3*$DZ34&amp;" − "&amp;$FN34&amp;" + "&amp;$FQ34&amp;IF($DX34=1," + "&amp;$DZ34,"")&amp;" = "&amp;$FT34&amp;"d8 · teto "&amp;4*$DZ34&amp;IF($EW34=1," · a Forma devolve "&amp;$DZ34,"")&amp;IF($FR34&gt;0," · perde "&amp;$FR34,""))</f>
        <v/>
      </c>
      <c r="GZ34" s="155">
        <f>IF($EI34=0,"",IF($DZ34&gt;=$HK$4,"Já está na maior Classe que o nível liberou",TEXTJOIN(" · ",TRUE,IF(AND(2&gt;$DZ34,2&lt;=$HK$4),"2 → "&amp;$GD34&amp;", "&amp;IF($DX34=1,9,6)&amp;" PE",""),IF(AND(3&gt;$DZ34,3&lt;=$HK$4),"3 → "&amp;$GE34&amp;", "&amp;IF($DX34=1,14,9)&amp;" PE",""),IF(AND(4&gt;$DZ34,4&lt;=$HK$4),"4 → "&amp;$GF34&amp;", "&amp;IF($DX34=1,18,12)&amp;" PE",""),IF(AND(5&gt;$DZ34,5&lt;=$HK$4),"5 → "&amp;$GG34&amp;", "&amp;IF($DX34=1,23,15)&amp;" PE",""),IF(AND(6&gt;$DZ34,6&lt;=$HK$4),"6 → "&amp;$GH34&amp;", "&amp;IF($DX34=1,27,18)&amp;" PE",""),IF(AND(7&gt;$DZ34,7&lt;=$HK$4),"7 → "&amp;$GI34&amp;", "&amp;IF($DX34=1,32,21)&amp;" PE",""))))</f>
        <v/>
      </c>
      <c r="HA34" s="155">
        <f>IF(OR($EI34=0,$EL34=0),"","−"&amp;INDEX($Q$2:$V$8,$DZ34,$EL34)&amp;" · "&amp;CHOOSE($EL34,"Leve","Média","Pesada","Leve · Livre","Média · Livre","Pesada · Livre"))</f>
        <v/>
      </c>
      <c r="HB34" s="155">
        <f>IF(OR($EI34=0,$EM34=0),"","−"&amp;INDEX($Q$2:$V$8,$DZ34,$EM34)&amp;" · "&amp;CHOOSE($EM34,"Leve","Média","Pesada","Leve · Livre","Média · Livre","Pesada · Livre"))</f>
        <v/>
      </c>
      <c r="HC34" s="155">
        <f>IF(OR($EI34=0,$EN34=0),"","−"&amp;INDEX($Q$2:$V$8,$DZ34,$EN34)&amp;" · "&amp;CHOOSE($EN34,"Leve","Média","Pesada","Leve · Livre","Média · Livre","Pesada · Livre"))</f>
        <v/>
      </c>
      <c r="HD34" s="155">
        <f>IF(OR($EI34=0,$EO34=0),"","−"&amp;INDEX($Q$2:$V$8,$DZ34,$EO34)&amp;" · "&amp;CHOOSE($EO34,"Leve","Média","Pesada","Leve · Livre","Média · Livre","Pesada · Livre"))</f>
        <v/>
      </c>
      <c r="HE34" s="155">
        <f>IF(OR($EI34=0,$EG34=""),"","+"&amp;IF($EZ34=1,CEILING($DZ34/2,1),$DZ34))</f>
        <v/>
      </c>
      <c r="HF34" s="155">
        <f>IF(OR($EI34=0,$EH34=""),"","+"&amp;IF($FA34=1,CEILING($DZ34/2,1),$DZ34))</f>
        <v/>
      </c>
      <c r="HG34" s="155">
        <f>'FICHA AMALDIÇOADA'!$P$267&amp;""</f>
        <v/>
      </c>
      <c r="HH34" s="155">
        <f>IF(AND($EI34=1,$DX34=0),COUNTIFS($EI$2:$EI34,1,$DX$2:$DX34,0),"")</f>
        <v/>
      </c>
      <c r="HJ34" s="153" t="inlineStr">
        <is>
          <t>terço do refino</t>
        </is>
      </c>
      <c r="HK34" s="155">
        <f>MAX(1,FLOOR($HK$6/3,1))</f>
        <v/>
      </c>
      <c r="JF34" s="155" t="n">
        <v>33</v>
      </c>
      <c r="JG34" s="155">
        <f>IFERROR(MATCH(33,$HH$2:$HH$37,0),0)</f>
        <v/>
      </c>
      <c r="JH34" s="155">
        <f>IF($JG34=0,"",INDEX($DZ$2:$DZ$37,$JG34))</f>
        <v/>
      </c>
      <c r="JI34" s="155">
        <f>IF($JG34=0,"",INDEX($EA$2:$EA$37,$JG34))</f>
        <v/>
      </c>
      <c r="JJ34" s="155">
        <f>IF($JG34=0,"",INDEX($GP$2:$GP$37,$JG34))</f>
        <v/>
      </c>
      <c r="JK34" s="155">
        <f>IF($JG34=0,"",INDEX($EB$2:$EB$37,$JG34))</f>
        <v/>
      </c>
      <c r="JL34" s="155">
        <f>IF($JG34=0,"",INDEX($GR$2:$GR$37,$JG34))</f>
        <v/>
      </c>
      <c r="JM34" s="155">
        <f>IF($JG34=0,"",INDEX($HG$2:$HG$37,$JG34))</f>
        <v/>
      </c>
      <c r="KS34" s="153" t="inlineStr">
        <is>
          <t>D135</t>
        </is>
      </c>
      <c r="KT34" s="155">
        <f>UPPER(INDEX(DADOS_AM!$D$3:$G$3,1,DADOS_AM!$A$2))&amp;" 13 A 24 · abra quando faltar lugar"</f>
        <v/>
      </c>
    </row>
    <row r="35">
      <c r="BC35" s="153" t="inlineStr">
        <is>
          <t>Amedrontado</t>
        </is>
      </c>
      <c r="BD35" s="153" t="inlineStr">
        <is>
          <t>Controle</t>
        </is>
      </c>
      <c r="BE35" s="155" t="n">
        <v>3</v>
      </c>
      <c r="BF35" s="155">
        <f>$BE35+3*IFERROR(VLOOKUP($BD35,$I$2:$L$10,3,FALSE),0)</f>
        <v/>
      </c>
      <c r="BG35" s="155">
        <f>IFERROR(VLOOKUP($BD35,$I$2:$L$10,4,FALSE),0)</f>
        <v/>
      </c>
      <c r="BH35" s="155" t="n">
        <v>1</v>
      </c>
      <c r="BI35" s="155">
        <f>IF($BG35=1,"",$BC35)</f>
        <v/>
      </c>
      <c r="BJ35" s="155">
        <f>IF(AND($BE35=1,$BG35=0),$BC35,"")</f>
        <v/>
      </c>
      <c r="BK35" s="155" t="n">
        <v>1</v>
      </c>
      <c r="DW35" s="153" t="inlineStr">
        <is>
          <t>Feitiço 34</t>
        </is>
      </c>
      <c r="DX35" s="155" t="n">
        <v>0</v>
      </c>
      <c r="DY35" s="155" t="n">
        <v>34</v>
      </c>
      <c r="DZ35" s="155">
        <f>MAX(1,MIN(7,N('FICHA AMALDIÇOADA'!$D$286)))</f>
        <v/>
      </c>
      <c r="EA35" s="155">
        <f>'FICHA AMALDIÇOADA'!$E$286&amp;""</f>
        <v/>
      </c>
      <c r="EB35" s="155">
        <f>'FICHA AMALDIÇOADA'!$D$293&amp;""</f>
        <v/>
      </c>
      <c r="EC35" s="155">
        <f>'FICHA AMALDIÇOADA'!$E$295&amp;""</f>
        <v/>
      </c>
      <c r="ED35" s="155">
        <f>'FICHA AMALDIÇOADA'!$E$296&amp;""</f>
        <v/>
      </c>
      <c r="EE35" s="155">
        <f>'FICHA AMALDIÇOADA'!$E$297&amp;""</f>
        <v/>
      </c>
      <c r="EF35" s="155">
        <f>'FICHA AMALDIÇOADA'!$E$298&amp;""</f>
        <v/>
      </c>
      <c r="EG35" s="155">
        <f>'FICHA AMALDIÇOADA'!$E$299&amp;""</f>
        <v/>
      </c>
      <c r="EH35" s="155">
        <f>'FICHA AMALDIÇOADA'!$E$300&amp;""</f>
        <v/>
      </c>
      <c r="EI35" s="155">
        <f>IF($EA35&lt;&gt;"",1,0)</f>
        <v/>
      </c>
      <c r="EJ35" s="155">
        <f>IFERROR(MATCH($EB35,$Y$2:$Y$11,0),0)</f>
        <v/>
      </c>
      <c r="EK35" s="155">
        <f>IF($EJ35=0,0,INDEX($AB$2:$AB$11,$EJ35))</f>
        <v/>
      </c>
      <c r="EL35" s="155">
        <f>IFERROR(VLOOKUP($EC35,$BC$2:$BK$84,4,FALSE),0)</f>
        <v/>
      </c>
      <c r="EM35" s="155">
        <f>IFERROR(VLOOKUP($ED35,$BC$2:$BK$84,4,FALSE),0)</f>
        <v/>
      </c>
      <c r="EN35" s="155">
        <f>IFERROR(VLOOKUP($EE35,$BC$2:$BK$84,4,FALSE),0)</f>
        <v/>
      </c>
      <c r="EO35" s="155">
        <f>IFERROR(VLOOKUP($EF35,$BC$2:$BK$84,4,FALSE),0)</f>
        <v/>
      </c>
      <c r="EP35" s="155">
        <f>IF($EJ35=0,0,INDEX($AC$2:$AC$11,$EJ35))</f>
        <v/>
      </c>
      <c r="EQ35" s="155">
        <f>IFERROR(VLOOKUP($EC35,$BC$2:$BK$84,5,FALSE),0)</f>
        <v/>
      </c>
      <c r="ER35" s="155">
        <f>IFERROR(VLOOKUP($ED35,$BC$2:$BK$84,5,FALSE),0)</f>
        <v/>
      </c>
      <c r="ES35" s="155">
        <f>IFERROR(VLOOKUP($EE35,$BC$2:$BK$84,5,FALSE),0)</f>
        <v/>
      </c>
      <c r="ET35" s="155">
        <f>IFERROR(VLOOKUP($EF35,$BC$2:$BK$84,5,FALSE),0)</f>
        <v/>
      </c>
      <c r="EU35" s="155">
        <f>IFERROR(VLOOKUP($EC35,$BC$2:$BK$84,6,FALSE),0)+IFERROR(VLOOKUP($ED35,$BC$2:$BK$84,6,FALSE),0)+IFERROR(VLOOKUP($EE35,$BC$2:$BK$84,6,FALSE),0)+IFERROR(VLOOKUP($EF35,$BC$2:$BK$84,6,FALSE),0)</f>
        <v/>
      </c>
      <c r="EV35" s="155">
        <f>IFERROR(VLOOKUP($EC35,$BC$2:$BK$84,9,FALSE),0)+IFERROR(VLOOKUP($ED35,$BC$2:$BK$84,9,FALSE),0)+IFERROR(VLOOKUP($EE35,$BC$2:$BK$84,9,FALSE),0)+IFERROR(VLOOKUP($EF35,$BC$2:$BK$84,9,FALSE),0)</f>
        <v/>
      </c>
      <c r="EW35" s="155">
        <f>IF($EJ35=0,0,INDEX($AD$2:$AD$11,$EJ35))</f>
        <v/>
      </c>
      <c r="EX35" s="155">
        <f>IF($EJ35=0,0,INDEX($AE$2:$AE$11,$EJ35))</f>
        <v/>
      </c>
      <c r="EY35" s="155">
        <f>IF($EJ35=0,0,INDEX($AG$2:$AG$11,$EJ35))</f>
        <v/>
      </c>
      <c r="EZ35" s="155">
        <f>IFERROR(VLOOKUP($EG35,$BM$2:$BQ$24,3,FALSE),0)</f>
        <v/>
      </c>
      <c r="FA35" s="155">
        <f>IFERROR(VLOOKUP($EH35,$BM$2:$BQ$24,3,FALSE),0)</f>
        <v/>
      </c>
      <c r="FB35" s="155">
        <f>IFERROR(VLOOKUP($EG35,$BM$2:$BQ$24,2,FALSE),"")</f>
        <v/>
      </c>
      <c r="FC35" s="155">
        <f>IFERROR(VLOOKUP($EH35,$BM$2:$BQ$24,2,FALSE),"")</f>
        <v/>
      </c>
      <c r="FD35" s="155">
        <f>COUNTIF($EK35:$EO35,1)</f>
        <v/>
      </c>
      <c r="FE35" s="155">
        <f>COUNTIF($EK35:$EO35,2)</f>
        <v/>
      </c>
      <c r="FF35" s="155">
        <f>COUNTIF($EK35:$EO35,3)</f>
        <v/>
      </c>
      <c r="FG35" s="155">
        <f>COUNTIF($EK35:$EO35,4)</f>
        <v/>
      </c>
      <c r="FH35" s="155">
        <f>COUNTIF($EK35:$EO35,5)</f>
        <v/>
      </c>
      <c r="FI35" s="155">
        <f>COUNTIF($EK35:$EO35,6)</f>
        <v/>
      </c>
      <c r="FJ35" s="155">
        <f>COUNTIF($EZ35:$FA35,1)</f>
        <v/>
      </c>
      <c r="FK35" s="155">
        <f>COUNTIF($EZ35:$FA35,2)+$EW35</f>
        <v/>
      </c>
      <c r="FL35" s="155">
        <f>COUNTIF($EC35:$EF35,"?*")</f>
        <v/>
      </c>
      <c r="FM35" s="155">
        <f>COUNTIF($EG35:$EH35,"?*")+$EW35</f>
        <v/>
      </c>
      <c r="FN35" s="155">
        <f>SUMPRODUCT($FD35:$FI35,INDEX($Q$2:$V$8,$DZ35,0))</f>
        <v/>
      </c>
      <c r="FO35" s="155">
        <f>$FJ35*CEILING($DZ35/2,1)+$FK35*$DZ35</f>
        <v/>
      </c>
      <c r="FP35" s="155">
        <f>MIN(2*$DZ35,$FO35)</f>
        <v/>
      </c>
      <c r="FQ35" s="155">
        <f>MIN($FP35,$FN35)</f>
        <v/>
      </c>
      <c r="FR35" s="155">
        <f>$FP35-$FQ35</f>
        <v/>
      </c>
      <c r="FS35" s="155">
        <f>3*$DZ35-$FN35+$FQ35</f>
        <v/>
      </c>
      <c r="FT35" s="155">
        <f>MAX(0,$FS35)+$DX35*$DZ35</f>
        <v/>
      </c>
      <c r="FU35" s="155">
        <f>(IF(COUNTIF($EC35:$EF35,"Salto")&gt;0,1,0)+IF(COUNTIF($EC35:$EF35,"Queima")&gt;0,1,0)+IF(COUNTIF($EC35:$EF35,"Estilhaço")&gt;0,1,0))*FLOOR($FT35/2,1)</f>
        <v/>
      </c>
      <c r="FV35" s="155">
        <f>MAX(0,3-SUMPRODUCT($FD35:$FI35,$Q$2:$V$2)+MIN(2,$FJ35*1+$FK35*1,SUMPRODUCT($FD35:$FI35,$Q$2:$V$2)))+$DX35*1</f>
        <v/>
      </c>
      <c r="FW35" s="155">
        <f>MAX(0,6-SUMPRODUCT($FD35:$FI35,$Q$3:$V$3)+MIN(4,$FJ35*1+$FK35*2,SUMPRODUCT($FD35:$FI35,$Q$3:$V$3)))+$DX35*2</f>
        <v/>
      </c>
      <c r="FX35" s="155">
        <f>MAX(0,9-SUMPRODUCT($FD35:$FI35,$Q$4:$V$4)+MIN(6,$FJ35*2+$FK35*3,SUMPRODUCT($FD35:$FI35,$Q$4:$V$4)))+$DX35*3</f>
        <v/>
      </c>
      <c r="FY35" s="155">
        <f>MAX(0,12-SUMPRODUCT($FD35:$FI35,$Q$5:$V$5)+MIN(8,$FJ35*2+$FK35*4,SUMPRODUCT($FD35:$FI35,$Q$5:$V$5)))+$DX35*4</f>
        <v/>
      </c>
      <c r="FZ35" s="155">
        <f>MAX(0,15-SUMPRODUCT($FD35:$FI35,$Q$6:$V$6)+MIN(10,$FJ35*3+$FK35*5,SUMPRODUCT($FD35:$FI35,$Q$6:$V$6)))+$DX35*5</f>
        <v/>
      </c>
      <c r="GA35" s="155">
        <f>MAX(0,18-SUMPRODUCT($FD35:$FI35,$Q$7:$V$7)+MIN(12,$FJ35*3+$FK35*6,SUMPRODUCT($FD35:$FI35,$Q$7:$V$7)))+$DX35*6</f>
        <v/>
      </c>
      <c r="GB35" s="155">
        <f>MAX(0,21-SUMPRODUCT($FD35:$FI35,$Q$8:$V$8)+MIN(14,$FJ35*4+$FK35*7,SUMPRODUCT($FD35:$FI35,$Q$8:$V$8)))+$DX35*7</f>
        <v/>
      </c>
      <c r="GC35" s="155">
        <f>IF($EX35=2,3*$FV35&amp;" de vida temp.",IF($EX35=3,"sem dano",IF($FV35=0,IF($EX35=1,"sem cura","sem dano"),IF($EX35=1,"cura ","")&amp;$FV35&amp;"d8")))</f>
        <v/>
      </c>
      <c r="GD35" s="155">
        <f>IF($EX35=2,3*$FW35&amp;" de vida temp.",IF($EX35=3,"sem dano",IF($FW35=0,IF($EX35=1,"sem cura","sem dano"),IF($EX35=1,"cura ","")&amp;$FW35&amp;"d8")))</f>
        <v/>
      </c>
      <c r="GE35" s="155">
        <f>IF($EX35=2,3*$FX35&amp;" de vida temp.",IF($EX35=3,"sem dano",IF($FX35=0,IF($EX35=1,"sem cura","sem dano"),IF($EX35=1,"cura ","")&amp;$FX35&amp;"d8")))</f>
        <v/>
      </c>
      <c r="GF35" s="155">
        <f>IF($EX35=2,3*$FY35&amp;" de vida temp.",IF($EX35=3,"sem dano",IF($FY35=0,IF($EX35=1,"sem cura","sem dano"),IF($EX35=1,"cura ","")&amp;$FY35&amp;"d8")))</f>
        <v/>
      </c>
      <c r="GG35" s="155">
        <f>IF($EX35=2,3*$FZ35&amp;" de vida temp.",IF($EX35=3,"sem dano",IF($FZ35=0,IF($EX35=1,"sem cura","sem dano"),IF($EX35=1,"cura ","")&amp;$FZ35&amp;"d8")))</f>
        <v/>
      </c>
      <c r="GH35" s="155">
        <f>IF($EX35=2,3*$GA35&amp;" de vida temp.",IF($EX35=3,"sem dano",IF($GA35=0,IF($EX35=1,"sem cura","sem dano"),IF($EX35=1,"cura ","")&amp;$GA35&amp;"d8")))</f>
        <v/>
      </c>
      <c r="GI35" s="155">
        <f>IF($EX35=2,3*$GB35&amp;" de vida temp.",IF($EX35=3,"sem dano",IF($GB35=0,IF($EX35=1,"sem cura","sem dano"),IF($EX35=1,"cura ","")&amp;$GB35&amp;"d8")))</f>
        <v/>
      </c>
      <c r="GJ35" s="155">
        <f>IF($EI35=0,"",TEXTJOIN(" · ",TRUE,IF(AND($DX35=1,$DY35&gt;$HK$9),"O nível "&amp;$HK$2&amp;" dá "&amp;$HK$9&amp;" Liberação Máxima",""),IF($DZ35&gt;$HK$4,"Classe "&amp;$DZ35&amp;": o nível "&amp;$HK$2&amp;" libera até a "&amp;$HK$4,""),IF($EP35=1,"Família Fechada: a Forma "&amp;$EB35,""),IF($EQ35=1,"Família Fechada: "&amp;$EC35,""),IF($ER35=1,"Família Fechada: "&amp;$ED35,""),IF($ES35=1,"Família Fechada: "&amp;$EE35,""),IF($ET35=1,"Família Fechada: "&amp;$EF35,""),IF($FL35&gt;INDEX($W$2:$W$8,$DZ35),$FL35&amp;" Melhorias: a Classe "&amp;$DZ35&amp;" aceita "&amp;INDEX($W$2:$W$8,$DZ35),""),IF($FM35&gt;2,$FM35&amp;" Restrições"&amp;IF($EW35=1,", contando a que a Forma "&amp;$EB35&amp;" já traz","")&amp;": o limite é 2",""),IF($FS35&lt;0,"Orçamento estourado: faltam "&amp;(-$FS35)&amp;IF($FS35&lt;-1," pontos"," ponto"),""),IF(IFERROR(VLOOKUP($EG35,$BM$2:$BQ$24,4,FALSE),0)+IFERROR(VLOOKUP($EH35,$BM$2:$BQ$24,4,FALSE),0)&gt;1,$FB35&amp;" e "&amp;$FC35&amp;" são as duas de frequência",""),IF(AND((COUNTIF($EC35:$EF35,"Rápido")+COUNTIF($FB35:$FC35,"Rápido"))&gt;0,(COUNTIF($EC35:$EF35,"Atrasar")+COUNTIF($FB35:$FC35,"Atrasar"))&gt;0),"Rápido não entra com Atrasar",""),IF(AND((COUNTIF($EC35:$EF35,"Reação")+COUNTIF($FB35:$FC35,"Reação"))&gt;0,(COUNTIF($EC35:$EF35,"Rápido")+COUNTIF($FB35:$FC35,"Rápido"))&gt;0),"Reação não entra com Rápido",""),IF(AND((COUNTIF($EC35:$EF35,"Reação")+COUNTIF($FB35:$FC35,"Reação"))&gt;0,(COUNTIF($EC35:$EF35,"Armado")+COUNTIF($FB35:$FC35,"Armado"))&gt;0),"Reação não entra com Armado",""),IF(AND((COUNTIF($EC35:$EF35,"Reação")+COUNTIF($FB35:$FC35,"Reação"))&gt;0,(COUNTIF($EC35:$EF35,"Atrasar")+COUNTIF($FB35:$FC35,"Atrasar"))&gt;0),"Reação não entra com Atrasar",""),IF(AND((COUNTIF($EC35:$EF35,"Reação")+COUNTIF($FB35:$FC35,"Reação"))&gt;0,(COUNTIF($EC35:$EF35,"Parado")+COUNTIF($FB35:$FC35,"Parado"))&gt;0),"Reação não entra com Parado",""),IF(AND((COUNTIF($EC35:$EF35,"Atrasar")+COUNTIF($FB35:$FC35,"Atrasar"))&gt;0,(COUNTIF($EC35:$EF35,"Parado")+COUNTIF($FB35:$FC35,"Parado"))&gt;0),"Atrasar não entra com Parado",""),IF(AND((COUNTIF($EC35:$EF35,"Armado")+COUNTIF($FB35:$FC35,"Armado"))&gt;0,(COUNTIF($EC35:$EF35,"Carregar")+COUNTIF($FB35:$FC35,"Carregar"))&gt;0),"Armado não entra com Carregar",""),IF(AND(COUNTIF($FB35:$FC35,"Corpo a Corpo")&gt;0,$EW35=0,OR($EB35="Cone",$EB35="Linha")),"Corpo a Corpo não entra em "&amp;$EB35,""),IF(AND(COUNTIF($FB35:$FC35,"Corpo a Corpo")&gt;0,$EW35=1),"A Forma "&amp;$EB35&amp;" já traz o Corpo a Corpo",""),IF(AND(COUNTIF($FB35:$FC35,"Tudo ou Nada")&gt;0,$EY35=0),"Tudo ou Nada só entra em feitiço de Teste de Resistência",""),IF(AND(COUNTIF($EC35:$EF35,"Inescapável")&gt;0,OR($FL35&gt;1,$FM35&gt;0)),"Inescapável não aceita outra peça",""),IF(AND($DX35=1,$DZ35&lt;3),"Liberação Máxima é de Classe 3 ou mais",""),IF(AND($DX35=1,OR($EX35=1,$EX35=2)),"Liberação Máxima não serve para cura",""),IF(AND($DX35=1,COUNTIF($EC35:$EF35,"Inescapável")+COUNTIF($EC35:$EF35,"Toca a Alma")&gt;0),"Esta peça não entra numa Liberação Máxima",""),IF($FT35*IF(COUNTIF($EC35:$EF35,"Remate")&gt;0,1.25,1)+$FU35&gt;4*$DZ35,($FT35*IF(COUNTIF($EC35:$EF35,"Remate")&gt;0,1.25,1)+$FU35)&amp;" dados somando repetições"&amp;IF(COUNTIF($EC35:$EF35,"Remate")&gt;0," e o Remate","")&amp;": o teto da Classe "&amp;$DZ35&amp;" é "&amp;4*$DZ35,"")))</f>
        <v/>
      </c>
      <c r="GK35" s="155">
        <f>IF($GJ35="",0,(LEN($GJ35)-LEN(SUBSTITUTE($GJ35," · ","")))/3+1)</f>
        <v/>
      </c>
      <c r="GL35" s="155">
        <f>IF($EI35=0,"",TEXTJOIN(" · ",TRUE,IF($FO35&gt;2*$DZ35,"A devolução parou no teto de "&amp;2*$DZ35,""),IF($FR35&gt;0,"Devolução perdida: "&amp;$FR35&amp;IF($FR35&gt;1," pontos"," ponto")&amp;" sem peça para pagar",""),IF(AND($EU35&gt;0,$FT35=0),"Controle sem dano: uma rodada a mais e CD +2",""),IF(AND($EU35&gt;0,$FT35&gt;0,$FT35&lt;=$DZ35),"Controle com saldo até a Classe: uma rodada a mais","")))</f>
        <v/>
      </c>
      <c r="GM35" s="155">
        <f>IF($GL35="",0,(LEN($GL35)-LEN(SUBSTITUTE($GL35," · ","")))/3+1)</f>
        <v/>
      </c>
      <c r="GN35" s="155">
        <f>IF($EI35=0,IF($FL35+$FM35-$EW35&gt;0,"Dê um nome",""),IF($GK35&gt;0,"⚠ "&amp;$GK35&amp;IF($GK35&gt;1," erros"," erro"),IF($GM35&gt;0,"! "&amp;$GM35&amp;IF($GM35&gt;1," avisos"," aviso"),"Na regra")))</f>
        <v/>
      </c>
      <c r="GO35" s="155">
        <f>IF($EI35=0,"",IF($GK35+$GM35=0,"Dentro das regras que a ficha confere",$GJ35&amp;IF(AND($GK35&gt;0,$GM35&gt;0)," · ","")&amp;$GL35))</f>
        <v/>
      </c>
      <c r="GP35" s="155">
        <f>IF($EI35=0,"",IF($DX35=1,CEILING(4.5*$DZ35,1),3*$DZ35)&amp;" PE")</f>
        <v/>
      </c>
      <c r="GQ35" s="155">
        <f>IF($EI35=0,"",IF($DX35=1,"Rodada inteira",IF(COUNTIF($FB35:$FC35,"Atrasar")&gt;0,IF(COUNTIF($FB35:$FC35,"Carregar")&gt;0,"Rodada +1 turno","Rodada inteira"),IF(COUNTIF($EC35:$EF35,"Rápido")&gt;0,"Bônus",IF(COUNTIF($EC35:$EF35,"Reação")&gt;0,"Reação","Padrão"))&amp;IF(COUNTIF($FB35:$FC35,"Carregar")&gt;0," +1 turno",""))))</f>
        <v/>
      </c>
      <c r="GR35" s="155">
        <f>IF(OR($EI35=0,$EJ35=0),"",IF(COUNTIF($EC35:$EF35,"Inescapável")&gt;0,"Automático",IF(COUNTIF($EC35:$EF35,"Certeiro")&gt;0,"TR para metade",IF(AND($EV35&gt;0,$EY35=0,INDEX($AF$2:$AF$11,$EJ35)="Acerto"),"Acerto + TR",INDEX($AF$2:$AF$11,$EJ35)))))</f>
        <v/>
      </c>
      <c r="GS35" s="155">
        <f>IF(OR($EI35=0,$EJ35=0),"",IF(OR($EX35&gt;=2,$FT35=0),UPPER(LEFT(INDEX($GC35:$GI35,1,$DZ35),1))&amp;MID(INDEX($GC35:$GI35,1,$DZ35),2,99),UPPER(LEFT(INDEX($GC35:$GI35,1,$DZ35),1))&amp;MID(INDEX($GC35:$GI35,1,$DZ35),2,99)&amp;" = "&amp;FLOOR($FT35*4.5,1)&amp;IF($FU35&gt;0," · +"&amp;$FU35&amp;"d8","")))</f>
        <v/>
      </c>
      <c r="GT35" s="155">
        <f>COUNTIF($EC35:$EF35,"Longe")+3*COUNTIF($EC35:$EF35,"Muito Longe")</f>
        <v/>
      </c>
      <c r="GU35" s="155">
        <f>COUNTIF($EC35:$EF35,"Maior")+3*COUNTIF($EC35:$EF35,"Muito Maior")</f>
        <v/>
      </c>
      <c r="GV35" s="155">
        <f>IF($EJ35=0,0,CHOOSE(1+INDEX($AH$2:$AH$11,$EJ35),0,$GT35,$GU35,$GT35+$GU35))</f>
        <v/>
      </c>
      <c r="GW35" s="155">
        <f>IF($EJ35=0,0,CHOOSE(1+INDEX($AI$2:$AI$11,$EJ35),0,$GT35,$GU35,$GT35+$GU35))</f>
        <v/>
      </c>
      <c r="GX35" s="155">
        <f>IF(OR($EI35=0,$EJ35=0),"",INDEX($AP$2:$AU$31,($EJ35-1)*3+IF($DZ35&gt;=6,3,2),1+MIN(5,$GV35))&amp;INDEX($AV$2:$BA$31,($EJ35-1)*3+IF($DZ35&gt;=6,3,2),1+MIN(5,$GW35))&amp;IF(INDEX($AJ$2:$AJ$11,$EJ35)=1,IF(COUNTIF($EC35:$EF35,"Mais Um")&gt;0," · +"&amp;COUNTIF($EC35:$EF35,"Mais Um")&amp;IF(COUNTIF($EC35:$EF35,"Mais Um")&gt;1," alvos"," alvo"),"")&amp;IF(COUNTIF($EC35:$EF35,"Rajada")&gt;0," · "&amp;($DZ35+1)&amp;" tiros",""),""))</f>
        <v/>
      </c>
      <c r="GY35" s="155">
        <f>IF($EI35=0,"",3*$DZ35&amp;" − "&amp;$FN35&amp;" + "&amp;$FQ35&amp;IF($DX35=1," + "&amp;$DZ35,"")&amp;" = "&amp;$FT35&amp;"d8 · teto "&amp;4*$DZ35&amp;IF($EW35=1," · a Forma devolve "&amp;$DZ35,"")&amp;IF($FR35&gt;0," · perde "&amp;$FR35,""))</f>
        <v/>
      </c>
      <c r="GZ35" s="155">
        <f>IF($EI35=0,"",IF($DZ35&gt;=$HK$4,"Já está na maior Classe que o nível liberou",TEXTJOIN(" · ",TRUE,IF(AND(2&gt;$DZ35,2&lt;=$HK$4),"2 → "&amp;$GD35&amp;", "&amp;IF($DX35=1,9,6)&amp;" PE",""),IF(AND(3&gt;$DZ35,3&lt;=$HK$4),"3 → "&amp;$GE35&amp;", "&amp;IF($DX35=1,14,9)&amp;" PE",""),IF(AND(4&gt;$DZ35,4&lt;=$HK$4),"4 → "&amp;$GF35&amp;", "&amp;IF($DX35=1,18,12)&amp;" PE",""),IF(AND(5&gt;$DZ35,5&lt;=$HK$4),"5 → "&amp;$GG35&amp;", "&amp;IF($DX35=1,23,15)&amp;" PE",""),IF(AND(6&gt;$DZ35,6&lt;=$HK$4),"6 → "&amp;$GH35&amp;", "&amp;IF($DX35=1,27,18)&amp;" PE",""),IF(AND(7&gt;$DZ35,7&lt;=$HK$4),"7 → "&amp;$GI35&amp;", "&amp;IF($DX35=1,32,21)&amp;" PE",""))))</f>
        <v/>
      </c>
      <c r="HA35" s="155">
        <f>IF(OR($EI35=0,$EL35=0),"","−"&amp;INDEX($Q$2:$V$8,$DZ35,$EL35)&amp;" · "&amp;CHOOSE($EL35,"Leve","Média","Pesada","Leve · Livre","Média · Livre","Pesada · Livre"))</f>
        <v/>
      </c>
      <c r="HB35" s="155">
        <f>IF(OR($EI35=0,$EM35=0),"","−"&amp;INDEX($Q$2:$V$8,$DZ35,$EM35)&amp;" · "&amp;CHOOSE($EM35,"Leve","Média","Pesada","Leve · Livre","Média · Livre","Pesada · Livre"))</f>
        <v/>
      </c>
      <c r="HC35" s="155">
        <f>IF(OR($EI35=0,$EN35=0),"","−"&amp;INDEX($Q$2:$V$8,$DZ35,$EN35)&amp;" · "&amp;CHOOSE($EN35,"Leve","Média","Pesada","Leve · Livre","Média · Livre","Pesada · Livre"))</f>
        <v/>
      </c>
      <c r="HD35" s="155">
        <f>IF(OR($EI35=0,$EO35=0),"","−"&amp;INDEX($Q$2:$V$8,$DZ35,$EO35)&amp;" · "&amp;CHOOSE($EO35,"Leve","Média","Pesada","Leve · Livre","Média · Livre","Pesada · Livre"))</f>
        <v/>
      </c>
      <c r="HE35" s="155">
        <f>IF(OR($EI35=0,$EG35=""),"","+"&amp;IF($EZ35=1,CEILING($DZ35/2,1),$DZ35))</f>
        <v/>
      </c>
      <c r="HF35" s="155">
        <f>IF(OR($EI35=0,$EH35=""),"","+"&amp;IF($FA35=1,CEILING($DZ35/2,1),$DZ35))</f>
        <v/>
      </c>
      <c r="HG35" s="155">
        <f>'FICHA AMALDIÇOADA'!$D$288&amp;""</f>
        <v/>
      </c>
      <c r="HH35" s="155">
        <f>IF(AND($EI35=1,$DX35=0),COUNTIFS($EI$2:$EI35,1,$DX$2:$DX35,0),"")</f>
        <v/>
      </c>
      <c r="HJ35" s="153" t="inlineStr">
        <is>
          <t>degrau do domínio</t>
        </is>
      </c>
      <c r="HK35" s="155">
        <f>'FICHA AMALDIÇOADA'!$D$357&amp;""</f>
        <v/>
      </c>
      <c r="JF35" s="155" t="n">
        <v>34</v>
      </c>
      <c r="JG35" s="155">
        <f>IFERROR(MATCH(34,$HH$2:$HH$37,0),0)</f>
        <v/>
      </c>
      <c r="JH35" s="155">
        <f>IF($JG35=0,"",INDEX($DZ$2:$DZ$37,$JG35))</f>
        <v/>
      </c>
      <c r="JI35" s="155">
        <f>IF($JG35=0,"",INDEX($EA$2:$EA$37,$JG35))</f>
        <v/>
      </c>
      <c r="JJ35" s="155">
        <f>IF($JG35=0,"",INDEX($GP$2:$GP$37,$JG35))</f>
        <v/>
      </c>
      <c r="JK35" s="155">
        <f>IF($JG35=0,"",INDEX($EB$2:$EB$37,$JG35))</f>
        <v/>
      </c>
      <c r="JL35" s="155">
        <f>IF($JG35=0,"",INDEX($GR$2:$GR$37,$JG35))</f>
        <v/>
      </c>
      <c r="JM35" s="155">
        <f>IF($JG35=0,"",INDEX($HG$2:$HG$37,$JG35))</f>
        <v/>
      </c>
      <c r="KS35" s="153" t="inlineStr">
        <is>
          <t>D221</t>
        </is>
      </c>
      <c r="KT35" s="155">
        <f>UPPER(INDEX(DADOS_AM!$D$3:$G$3,1,DADOS_AM!$A$2))&amp;" 25 A 36 · abra quando faltar lugar"</f>
        <v/>
      </c>
    </row>
    <row r="36">
      <c r="BC36" s="153" t="inlineStr">
        <is>
          <t>Envenenado</t>
        </is>
      </c>
      <c r="BD36" s="153" t="inlineStr">
        <is>
          <t>Controle</t>
        </is>
      </c>
      <c r="BE36" s="155" t="n">
        <v>3</v>
      </c>
      <c r="BF36" s="155">
        <f>$BE36+3*IFERROR(VLOOKUP($BD36,$I$2:$L$10,3,FALSE),0)</f>
        <v/>
      </c>
      <c r="BG36" s="155">
        <f>IFERROR(VLOOKUP($BD36,$I$2:$L$10,4,FALSE),0)</f>
        <v/>
      </c>
      <c r="BH36" s="155" t="n">
        <v>1</v>
      </c>
      <c r="BI36" s="155">
        <f>IF($BG36=1,"",$BC36)</f>
        <v/>
      </c>
      <c r="BJ36" s="155">
        <f>IF(AND($BE36=1,$BG36=0),$BC36,"")</f>
        <v/>
      </c>
      <c r="BK36" s="155" t="n">
        <v>1</v>
      </c>
      <c r="DW36" s="153" t="inlineStr">
        <is>
          <t>Feitiço 35</t>
        </is>
      </c>
      <c r="DX36" s="155" t="n">
        <v>0</v>
      </c>
      <c r="DY36" s="155" t="n">
        <v>35</v>
      </c>
      <c r="DZ36" s="155">
        <f>MAX(1,MIN(7,N('FICHA AMALDIÇOADA'!$J$286)))</f>
        <v/>
      </c>
      <c r="EA36" s="155">
        <f>'FICHA AMALDIÇOADA'!$K$286&amp;""</f>
        <v/>
      </c>
      <c r="EB36" s="155">
        <f>'FICHA AMALDIÇOADA'!$J$293&amp;""</f>
        <v/>
      </c>
      <c r="EC36" s="155">
        <f>'FICHA AMALDIÇOADA'!$K$295&amp;""</f>
        <v/>
      </c>
      <c r="ED36" s="155">
        <f>'FICHA AMALDIÇOADA'!$K$296&amp;""</f>
        <v/>
      </c>
      <c r="EE36" s="155">
        <f>'FICHA AMALDIÇOADA'!$K$297&amp;""</f>
        <v/>
      </c>
      <c r="EF36" s="155">
        <f>'FICHA AMALDIÇOADA'!$K$298&amp;""</f>
        <v/>
      </c>
      <c r="EG36" s="155">
        <f>'FICHA AMALDIÇOADA'!$K$299&amp;""</f>
        <v/>
      </c>
      <c r="EH36" s="155">
        <f>'FICHA AMALDIÇOADA'!$K$300&amp;""</f>
        <v/>
      </c>
      <c r="EI36" s="155">
        <f>IF($EA36&lt;&gt;"",1,0)</f>
        <v/>
      </c>
      <c r="EJ36" s="155">
        <f>IFERROR(MATCH($EB36,$Y$2:$Y$11,0),0)</f>
        <v/>
      </c>
      <c r="EK36" s="155">
        <f>IF($EJ36=0,0,INDEX($AB$2:$AB$11,$EJ36))</f>
        <v/>
      </c>
      <c r="EL36" s="155">
        <f>IFERROR(VLOOKUP($EC36,$BC$2:$BK$84,4,FALSE),0)</f>
        <v/>
      </c>
      <c r="EM36" s="155">
        <f>IFERROR(VLOOKUP($ED36,$BC$2:$BK$84,4,FALSE),0)</f>
        <v/>
      </c>
      <c r="EN36" s="155">
        <f>IFERROR(VLOOKUP($EE36,$BC$2:$BK$84,4,FALSE),0)</f>
        <v/>
      </c>
      <c r="EO36" s="155">
        <f>IFERROR(VLOOKUP($EF36,$BC$2:$BK$84,4,FALSE),0)</f>
        <v/>
      </c>
      <c r="EP36" s="155">
        <f>IF($EJ36=0,0,INDEX($AC$2:$AC$11,$EJ36))</f>
        <v/>
      </c>
      <c r="EQ36" s="155">
        <f>IFERROR(VLOOKUP($EC36,$BC$2:$BK$84,5,FALSE),0)</f>
        <v/>
      </c>
      <c r="ER36" s="155">
        <f>IFERROR(VLOOKUP($ED36,$BC$2:$BK$84,5,FALSE),0)</f>
        <v/>
      </c>
      <c r="ES36" s="155">
        <f>IFERROR(VLOOKUP($EE36,$BC$2:$BK$84,5,FALSE),0)</f>
        <v/>
      </c>
      <c r="ET36" s="155">
        <f>IFERROR(VLOOKUP($EF36,$BC$2:$BK$84,5,FALSE),0)</f>
        <v/>
      </c>
      <c r="EU36" s="155">
        <f>IFERROR(VLOOKUP($EC36,$BC$2:$BK$84,6,FALSE),0)+IFERROR(VLOOKUP($ED36,$BC$2:$BK$84,6,FALSE),0)+IFERROR(VLOOKUP($EE36,$BC$2:$BK$84,6,FALSE),0)+IFERROR(VLOOKUP($EF36,$BC$2:$BK$84,6,FALSE),0)</f>
        <v/>
      </c>
      <c r="EV36" s="155">
        <f>IFERROR(VLOOKUP($EC36,$BC$2:$BK$84,9,FALSE),0)+IFERROR(VLOOKUP($ED36,$BC$2:$BK$84,9,FALSE),0)+IFERROR(VLOOKUP($EE36,$BC$2:$BK$84,9,FALSE),0)+IFERROR(VLOOKUP($EF36,$BC$2:$BK$84,9,FALSE),0)</f>
        <v/>
      </c>
      <c r="EW36" s="155">
        <f>IF($EJ36=0,0,INDEX($AD$2:$AD$11,$EJ36))</f>
        <v/>
      </c>
      <c r="EX36" s="155">
        <f>IF($EJ36=0,0,INDEX($AE$2:$AE$11,$EJ36))</f>
        <v/>
      </c>
      <c r="EY36" s="155">
        <f>IF($EJ36=0,0,INDEX($AG$2:$AG$11,$EJ36))</f>
        <v/>
      </c>
      <c r="EZ36" s="155">
        <f>IFERROR(VLOOKUP($EG36,$BM$2:$BQ$24,3,FALSE),0)</f>
        <v/>
      </c>
      <c r="FA36" s="155">
        <f>IFERROR(VLOOKUP($EH36,$BM$2:$BQ$24,3,FALSE),0)</f>
        <v/>
      </c>
      <c r="FB36" s="155">
        <f>IFERROR(VLOOKUP($EG36,$BM$2:$BQ$24,2,FALSE),"")</f>
        <v/>
      </c>
      <c r="FC36" s="155">
        <f>IFERROR(VLOOKUP($EH36,$BM$2:$BQ$24,2,FALSE),"")</f>
        <v/>
      </c>
      <c r="FD36" s="155">
        <f>COUNTIF($EK36:$EO36,1)</f>
        <v/>
      </c>
      <c r="FE36" s="155">
        <f>COUNTIF($EK36:$EO36,2)</f>
        <v/>
      </c>
      <c r="FF36" s="155">
        <f>COUNTIF($EK36:$EO36,3)</f>
        <v/>
      </c>
      <c r="FG36" s="155">
        <f>COUNTIF($EK36:$EO36,4)</f>
        <v/>
      </c>
      <c r="FH36" s="155">
        <f>COUNTIF($EK36:$EO36,5)</f>
        <v/>
      </c>
      <c r="FI36" s="155">
        <f>COUNTIF($EK36:$EO36,6)</f>
        <v/>
      </c>
      <c r="FJ36" s="155">
        <f>COUNTIF($EZ36:$FA36,1)</f>
        <v/>
      </c>
      <c r="FK36" s="155">
        <f>COUNTIF($EZ36:$FA36,2)+$EW36</f>
        <v/>
      </c>
      <c r="FL36" s="155">
        <f>COUNTIF($EC36:$EF36,"?*")</f>
        <v/>
      </c>
      <c r="FM36" s="155">
        <f>COUNTIF($EG36:$EH36,"?*")+$EW36</f>
        <v/>
      </c>
      <c r="FN36" s="155">
        <f>SUMPRODUCT($FD36:$FI36,INDEX($Q$2:$V$8,$DZ36,0))</f>
        <v/>
      </c>
      <c r="FO36" s="155">
        <f>$FJ36*CEILING($DZ36/2,1)+$FK36*$DZ36</f>
        <v/>
      </c>
      <c r="FP36" s="155">
        <f>MIN(2*$DZ36,$FO36)</f>
        <v/>
      </c>
      <c r="FQ36" s="155">
        <f>MIN($FP36,$FN36)</f>
        <v/>
      </c>
      <c r="FR36" s="155">
        <f>$FP36-$FQ36</f>
        <v/>
      </c>
      <c r="FS36" s="155">
        <f>3*$DZ36-$FN36+$FQ36</f>
        <v/>
      </c>
      <c r="FT36" s="155">
        <f>MAX(0,$FS36)+$DX36*$DZ36</f>
        <v/>
      </c>
      <c r="FU36" s="155">
        <f>(IF(COUNTIF($EC36:$EF36,"Salto")&gt;0,1,0)+IF(COUNTIF($EC36:$EF36,"Queima")&gt;0,1,0)+IF(COUNTIF($EC36:$EF36,"Estilhaço")&gt;0,1,0))*FLOOR($FT36/2,1)</f>
        <v/>
      </c>
      <c r="FV36" s="155">
        <f>MAX(0,3-SUMPRODUCT($FD36:$FI36,$Q$2:$V$2)+MIN(2,$FJ36*1+$FK36*1,SUMPRODUCT($FD36:$FI36,$Q$2:$V$2)))+$DX36*1</f>
        <v/>
      </c>
      <c r="FW36" s="155">
        <f>MAX(0,6-SUMPRODUCT($FD36:$FI36,$Q$3:$V$3)+MIN(4,$FJ36*1+$FK36*2,SUMPRODUCT($FD36:$FI36,$Q$3:$V$3)))+$DX36*2</f>
        <v/>
      </c>
      <c r="FX36" s="155">
        <f>MAX(0,9-SUMPRODUCT($FD36:$FI36,$Q$4:$V$4)+MIN(6,$FJ36*2+$FK36*3,SUMPRODUCT($FD36:$FI36,$Q$4:$V$4)))+$DX36*3</f>
        <v/>
      </c>
      <c r="FY36" s="155">
        <f>MAX(0,12-SUMPRODUCT($FD36:$FI36,$Q$5:$V$5)+MIN(8,$FJ36*2+$FK36*4,SUMPRODUCT($FD36:$FI36,$Q$5:$V$5)))+$DX36*4</f>
        <v/>
      </c>
      <c r="FZ36" s="155">
        <f>MAX(0,15-SUMPRODUCT($FD36:$FI36,$Q$6:$V$6)+MIN(10,$FJ36*3+$FK36*5,SUMPRODUCT($FD36:$FI36,$Q$6:$V$6)))+$DX36*5</f>
        <v/>
      </c>
      <c r="GA36" s="155">
        <f>MAX(0,18-SUMPRODUCT($FD36:$FI36,$Q$7:$V$7)+MIN(12,$FJ36*3+$FK36*6,SUMPRODUCT($FD36:$FI36,$Q$7:$V$7)))+$DX36*6</f>
        <v/>
      </c>
      <c r="GB36" s="155">
        <f>MAX(0,21-SUMPRODUCT($FD36:$FI36,$Q$8:$V$8)+MIN(14,$FJ36*4+$FK36*7,SUMPRODUCT($FD36:$FI36,$Q$8:$V$8)))+$DX36*7</f>
        <v/>
      </c>
      <c r="GC36" s="155">
        <f>IF($EX36=2,3*$FV36&amp;" de vida temp.",IF($EX36=3,"sem dano",IF($FV36=0,IF($EX36=1,"sem cura","sem dano"),IF($EX36=1,"cura ","")&amp;$FV36&amp;"d8")))</f>
        <v/>
      </c>
      <c r="GD36" s="155">
        <f>IF($EX36=2,3*$FW36&amp;" de vida temp.",IF($EX36=3,"sem dano",IF($FW36=0,IF($EX36=1,"sem cura","sem dano"),IF($EX36=1,"cura ","")&amp;$FW36&amp;"d8")))</f>
        <v/>
      </c>
      <c r="GE36" s="155">
        <f>IF($EX36=2,3*$FX36&amp;" de vida temp.",IF($EX36=3,"sem dano",IF($FX36=0,IF($EX36=1,"sem cura","sem dano"),IF($EX36=1,"cura ","")&amp;$FX36&amp;"d8")))</f>
        <v/>
      </c>
      <c r="GF36" s="155">
        <f>IF($EX36=2,3*$FY36&amp;" de vida temp.",IF($EX36=3,"sem dano",IF($FY36=0,IF($EX36=1,"sem cura","sem dano"),IF($EX36=1,"cura ","")&amp;$FY36&amp;"d8")))</f>
        <v/>
      </c>
      <c r="GG36" s="155">
        <f>IF($EX36=2,3*$FZ36&amp;" de vida temp.",IF($EX36=3,"sem dano",IF($FZ36=0,IF($EX36=1,"sem cura","sem dano"),IF($EX36=1,"cura ","")&amp;$FZ36&amp;"d8")))</f>
        <v/>
      </c>
      <c r="GH36" s="155">
        <f>IF($EX36=2,3*$GA36&amp;" de vida temp.",IF($EX36=3,"sem dano",IF($GA36=0,IF($EX36=1,"sem cura","sem dano"),IF($EX36=1,"cura ","")&amp;$GA36&amp;"d8")))</f>
        <v/>
      </c>
      <c r="GI36" s="155">
        <f>IF($EX36=2,3*$GB36&amp;" de vida temp.",IF($EX36=3,"sem dano",IF($GB36=0,IF($EX36=1,"sem cura","sem dano"),IF($EX36=1,"cura ","")&amp;$GB36&amp;"d8")))</f>
        <v/>
      </c>
      <c r="GJ36" s="155">
        <f>IF($EI36=0,"",TEXTJOIN(" · ",TRUE,IF(AND($DX36=1,$DY36&gt;$HK$9),"O nível "&amp;$HK$2&amp;" dá "&amp;$HK$9&amp;" Liberação Máxima",""),IF($DZ36&gt;$HK$4,"Classe "&amp;$DZ36&amp;": o nível "&amp;$HK$2&amp;" libera até a "&amp;$HK$4,""),IF($EP36=1,"Família Fechada: a Forma "&amp;$EB36,""),IF($EQ36=1,"Família Fechada: "&amp;$EC36,""),IF($ER36=1,"Família Fechada: "&amp;$ED36,""),IF($ES36=1,"Família Fechada: "&amp;$EE36,""),IF($ET36=1,"Família Fechada: "&amp;$EF36,""),IF($FL36&gt;INDEX($W$2:$W$8,$DZ36),$FL36&amp;" Melhorias: a Classe "&amp;$DZ36&amp;" aceita "&amp;INDEX($W$2:$W$8,$DZ36),""),IF($FM36&gt;2,$FM36&amp;" Restrições"&amp;IF($EW36=1,", contando a que a Forma "&amp;$EB36&amp;" já traz","")&amp;": o limite é 2",""),IF($FS36&lt;0,"Orçamento estourado: faltam "&amp;(-$FS36)&amp;IF($FS36&lt;-1," pontos"," ponto"),""),IF(IFERROR(VLOOKUP($EG36,$BM$2:$BQ$24,4,FALSE),0)+IFERROR(VLOOKUP($EH36,$BM$2:$BQ$24,4,FALSE),0)&gt;1,$FB36&amp;" e "&amp;$FC36&amp;" são as duas de frequência",""),IF(AND((COUNTIF($EC36:$EF36,"Rápido")+COUNTIF($FB36:$FC36,"Rápido"))&gt;0,(COUNTIF($EC36:$EF36,"Atrasar")+COUNTIF($FB36:$FC36,"Atrasar"))&gt;0),"Rápido não entra com Atrasar",""),IF(AND((COUNTIF($EC36:$EF36,"Reação")+COUNTIF($FB36:$FC36,"Reação"))&gt;0,(COUNTIF($EC36:$EF36,"Rápido")+COUNTIF($FB36:$FC36,"Rápido"))&gt;0),"Reação não entra com Rápido",""),IF(AND((COUNTIF($EC36:$EF36,"Reação")+COUNTIF($FB36:$FC36,"Reação"))&gt;0,(COUNTIF($EC36:$EF36,"Armado")+COUNTIF($FB36:$FC36,"Armado"))&gt;0),"Reação não entra com Armado",""),IF(AND((COUNTIF($EC36:$EF36,"Reação")+COUNTIF($FB36:$FC36,"Reação"))&gt;0,(COUNTIF($EC36:$EF36,"Atrasar")+COUNTIF($FB36:$FC36,"Atrasar"))&gt;0),"Reação não entra com Atrasar",""),IF(AND((COUNTIF($EC36:$EF36,"Reação")+COUNTIF($FB36:$FC36,"Reação"))&gt;0,(COUNTIF($EC36:$EF36,"Parado")+COUNTIF($FB36:$FC36,"Parado"))&gt;0),"Reação não entra com Parado",""),IF(AND((COUNTIF($EC36:$EF36,"Atrasar")+COUNTIF($FB36:$FC36,"Atrasar"))&gt;0,(COUNTIF($EC36:$EF36,"Parado")+COUNTIF($FB36:$FC36,"Parado"))&gt;0),"Atrasar não entra com Parado",""),IF(AND((COUNTIF($EC36:$EF36,"Armado")+COUNTIF($FB36:$FC36,"Armado"))&gt;0,(COUNTIF($EC36:$EF36,"Carregar")+COUNTIF($FB36:$FC36,"Carregar"))&gt;0),"Armado não entra com Carregar",""),IF(AND(COUNTIF($FB36:$FC36,"Corpo a Corpo")&gt;0,$EW36=0,OR($EB36="Cone",$EB36="Linha")),"Corpo a Corpo não entra em "&amp;$EB36,""),IF(AND(COUNTIF($FB36:$FC36,"Corpo a Corpo")&gt;0,$EW36=1),"A Forma "&amp;$EB36&amp;" já traz o Corpo a Corpo",""),IF(AND(COUNTIF($FB36:$FC36,"Tudo ou Nada")&gt;0,$EY36=0),"Tudo ou Nada só entra em feitiço de Teste de Resistência",""),IF(AND(COUNTIF($EC36:$EF36,"Inescapável")&gt;0,OR($FL36&gt;1,$FM36&gt;0)),"Inescapável não aceita outra peça",""),IF(AND($DX36=1,$DZ36&lt;3),"Liberação Máxima é de Classe 3 ou mais",""),IF(AND($DX36=1,OR($EX36=1,$EX36=2)),"Liberação Máxima não serve para cura",""),IF(AND($DX36=1,COUNTIF($EC36:$EF36,"Inescapável")+COUNTIF($EC36:$EF36,"Toca a Alma")&gt;0),"Esta peça não entra numa Liberação Máxima",""),IF($FT36*IF(COUNTIF($EC36:$EF36,"Remate")&gt;0,1.25,1)+$FU36&gt;4*$DZ36,($FT36*IF(COUNTIF($EC36:$EF36,"Remate")&gt;0,1.25,1)+$FU36)&amp;" dados somando repetições"&amp;IF(COUNTIF($EC36:$EF36,"Remate")&gt;0," e o Remate","")&amp;": o teto da Classe "&amp;$DZ36&amp;" é "&amp;4*$DZ36,"")))</f>
        <v/>
      </c>
      <c r="GK36" s="155">
        <f>IF($GJ36="",0,(LEN($GJ36)-LEN(SUBSTITUTE($GJ36," · ","")))/3+1)</f>
        <v/>
      </c>
      <c r="GL36" s="155">
        <f>IF($EI36=0,"",TEXTJOIN(" · ",TRUE,IF($FO36&gt;2*$DZ36,"A devolução parou no teto de "&amp;2*$DZ36,""),IF($FR36&gt;0,"Devolução perdida: "&amp;$FR36&amp;IF($FR36&gt;1," pontos"," ponto")&amp;" sem peça para pagar",""),IF(AND($EU36&gt;0,$FT36=0),"Controle sem dano: uma rodada a mais e CD +2",""),IF(AND($EU36&gt;0,$FT36&gt;0,$FT36&lt;=$DZ36),"Controle com saldo até a Classe: uma rodada a mais","")))</f>
        <v/>
      </c>
      <c r="GM36" s="155">
        <f>IF($GL36="",0,(LEN($GL36)-LEN(SUBSTITUTE($GL36," · ","")))/3+1)</f>
        <v/>
      </c>
      <c r="GN36" s="155">
        <f>IF($EI36=0,IF($FL36+$FM36-$EW36&gt;0,"Dê um nome",""),IF($GK36&gt;0,"⚠ "&amp;$GK36&amp;IF($GK36&gt;1," erros"," erro"),IF($GM36&gt;0,"! "&amp;$GM36&amp;IF($GM36&gt;1," avisos"," aviso"),"Na regra")))</f>
        <v/>
      </c>
      <c r="GO36" s="155">
        <f>IF($EI36=0,"",IF($GK36+$GM36=0,"Dentro das regras que a ficha confere",$GJ36&amp;IF(AND($GK36&gt;0,$GM36&gt;0)," · ","")&amp;$GL36))</f>
        <v/>
      </c>
      <c r="GP36" s="155">
        <f>IF($EI36=0,"",IF($DX36=1,CEILING(4.5*$DZ36,1),3*$DZ36)&amp;" PE")</f>
        <v/>
      </c>
      <c r="GQ36" s="155">
        <f>IF($EI36=0,"",IF($DX36=1,"Rodada inteira",IF(COUNTIF($FB36:$FC36,"Atrasar")&gt;0,IF(COUNTIF($FB36:$FC36,"Carregar")&gt;0,"Rodada +1 turno","Rodada inteira"),IF(COUNTIF($EC36:$EF36,"Rápido")&gt;0,"Bônus",IF(COUNTIF($EC36:$EF36,"Reação")&gt;0,"Reação","Padrão"))&amp;IF(COUNTIF($FB36:$FC36,"Carregar")&gt;0," +1 turno",""))))</f>
        <v/>
      </c>
      <c r="GR36" s="155">
        <f>IF(OR($EI36=0,$EJ36=0),"",IF(COUNTIF($EC36:$EF36,"Inescapável")&gt;0,"Automático",IF(COUNTIF($EC36:$EF36,"Certeiro")&gt;0,"TR para metade",IF(AND($EV36&gt;0,$EY36=0,INDEX($AF$2:$AF$11,$EJ36)="Acerto"),"Acerto + TR",INDEX($AF$2:$AF$11,$EJ36)))))</f>
        <v/>
      </c>
      <c r="GS36" s="155">
        <f>IF(OR($EI36=0,$EJ36=0),"",IF(OR($EX36&gt;=2,$FT36=0),UPPER(LEFT(INDEX($GC36:$GI36,1,$DZ36),1))&amp;MID(INDEX($GC36:$GI36,1,$DZ36),2,99),UPPER(LEFT(INDEX($GC36:$GI36,1,$DZ36),1))&amp;MID(INDEX($GC36:$GI36,1,$DZ36),2,99)&amp;" = "&amp;FLOOR($FT36*4.5,1)&amp;IF($FU36&gt;0," · +"&amp;$FU36&amp;"d8","")))</f>
        <v/>
      </c>
      <c r="GT36" s="155">
        <f>COUNTIF($EC36:$EF36,"Longe")+3*COUNTIF($EC36:$EF36,"Muito Longe")</f>
        <v/>
      </c>
      <c r="GU36" s="155">
        <f>COUNTIF($EC36:$EF36,"Maior")+3*COUNTIF($EC36:$EF36,"Muito Maior")</f>
        <v/>
      </c>
      <c r="GV36" s="155">
        <f>IF($EJ36=0,0,CHOOSE(1+INDEX($AH$2:$AH$11,$EJ36),0,$GT36,$GU36,$GT36+$GU36))</f>
        <v/>
      </c>
      <c r="GW36" s="155">
        <f>IF($EJ36=0,0,CHOOSE(1+INDEX($AI$2:$AI$11,$EJ36),0,$GT36,$GU36,$GT36+$GU36))</f>
        <v/>
      </c>
      <c r="GX36" s="155">
        <f>IF(OR($EI36=0,$EJ36=0),"",INDEX($AP$2:$AU$31,($EJ36-1)*3+IF($DZ36&gt;=6,3,2),1+MIN(5,$GV36))&amp;INDEX($AV$2:$BA$31,($EJ36-1)*3+IF($DZ36&gt;=6,3,2),1+MIN(5,$GW36))&amp;IF(INDEX($AJ$2:$AJ$11,$EJ36)=1,IF(COUNTIF($EC36:$EF36,"Mais Um")&gt;0," · +"&amp;COUNTIF($EC36:$EF36,"Mais Um")&amp;IF(COUNTIF($EC36:$EF36,"Mais Um")&gt;1," alvos"," alvo"),"")&amp;IF(COUNTIF($EC36:$EF36,"Rajada")&gt;0," · "&amp;($DZ36+1)&amp;" tiros",""),""))</f>
        <v/>
      </c>
      <c r="GY36" s="155">
        <f>IF($EI36=0,"",3*$DZ36&amp;" − "&amp;$FN36&amp;" + "&amp;$FQ36&amp;IF($DX36=1," + "&amp;$DZ36,"")&amp;" = "&amp;$FT36&amp;"d8 · teto "&amp;4*$DZ36&amp;IF($EW36=1," · a Forma devolve "&amp;$DZ36,"")&amp;IF($FR36&gt;0," · perde "&amp;$FR36,""))</f>
        <v/>
      </c>
      <c r="GZ36" s="155">
        <f>IF($EI36=0,"",IF($DZ36&gt;=$HK$4,"Já está na maior Classe que o nível liberou",TEXTJOIN(" · ",TRUE,IF(AND(2&gt;$DZ36,2&lt;=$HK$4),"2 → "&amp;$GD36&amp;", "&amp;IF($DX36=1,9,6)&amp;" PE",""),IF(AND(3&gt;$DZ36,3&lt;=$HK$4),"3 → "&amp;$GE36&amp;", "&amp;IF($DX36=1,14,9)&amp;" PE",""),IF(AND(4&gt;$DZ36,4&lt;=$HK$4),"4 → "&amp;$GF36&amp;", "&amp;IF($DX36=1,18,12)&amp;" PE",""),IF(AND(5&gt;$DZ36,5&lt;=$HK$4),"5 → "&amp;$GG36&amp;", "&amp;IF($DX36=1,23,15)&amp;" PE",""),IF(AND(6&gt;$DZ36,6&lt;=$HK$4),"6 → "&amp;$GH36&amp;", "&amp;IF($DX36=1,27,18)&amp;" PE",""),IF(AND(7&gt;$DZ36,7&lt;=$HK$4),"7 → "&amp;$GI36&amp;", "&amp;IF($DX36=1,32,21)&amp;" PE",""))))</f>
        <v/>
      </c>
      <c r="HA36" s="155">
        <f>IF(OR($EI36=0,$EL36=0),"","−"&amp;INDEX($Q$2:$V$8,$DZ36,$EL36)&amp;" · "&amp;CHOOSE($EL36,"Leve","Média","Pesada","Leve · Livre","Média · Livre","Pesada · Livre"))</f>
        <v/>
      </c>
      <c r="HB36" s="155">
        <f>IF(OR($EI36=0,$EM36=0),"","−"&amp;INDEX($Q$2:$V$8,$DZ36,$EM36)&amp;" · "&amp;CHOOSE($EM36,"Leve","Média","Pesada","Leve · Livre","Média · Livre","Pesada · Livre"))</f>
        <v/>
      </c>
      <c r="HC36" s="155">
        <f>IF(OR($EI36=0,$EN36=0),"","−"&amp;INDEX($Q$2:$V$8,$DZ36,$EN36)&amp;" · "&amp;CHOOSE($EN36,"Leve","Média","Pesada","Leve · Livre","Média · Livre","Pesada · Livre"))</f>
        <v/>
      </c>
      <c r="HD36" s="155">
        <f>IF(OR($EI36=0,$EO36=0),"","−"&amp;INDEX($Q$2:$V$8,$DZ36,$EO36)&amp;" · "&amp;CHOOSE($EO36,"Leve","Média","Pesada","Leve · Livre","Média · Livre","Pesada · Livre"))</f>
        <v/>
      </c>
      <c r="HE36" s="155">
        <f>IF(OR($EI36=0,$EG36=""),"","+"&amp;IF($EZ36=1,CEILING($DZ36/2,1),$DZ36))</f>
        <v/>
      </c>
      <c r="HF36" s="155">
        <f>IF(OR($EI36=0,$EH36=""),"","+"&amp;IF($FA36=1,CEILING($DZ36/2,1),$DZ36))</f>
        <v/>
      </c>
      <c r="HG36" s="155">
        <f>'FICHA AMALDIÇOADA'!$J$288&amp;""</f>
        <v/>
      </c>
      <c r="HH36" s="155">
        <f>IF(AND($EI36=1,$DX36=0),COUNTIFS($EI$2:$EI36,1,$DX$2:$DX36,0),"")</f>
        <v/>
      </c>
      <c r="HJ36" s="153" t="inlineStr">
        <is>
          <t>dados da técnica máxima</t>
        </is>
      </c>
      <c r="HK36" s="155">
        <f>IFERROR(VLOOKUP($HK$2,$DH$2:$DJ$4,2,TRUE),0)</f>
        <v/>
      </c>
      <c r="JF36" s="155" t="n">
        <v>35</v>
      </c>
      <c r="JG36" s="155">
        <f>IFERROR(MATCH(35,$HH$2:$HH$37,0),0)</f>
        <v/>
      </c>
      <c r="JH36" s="155">
        <f>IF($JG36=0,"",INDEX($DZ$2:$DZ$37,$JG36))</f>
        <v/>
      </c>
      <c r="JI36" s="155">
        <f>IF($JG36=0,"",INDEX($EA$2:$EA$37,$JG36))</f>
        <v/>
      </c>
      <c r="JJ36" s="155">
        <f>IF($JG36=0,"",INDEX($GP$2:$GP$37,$JG36))</f>
        <v/>
      </c>
      <c r="JK36" s="155">
        <f>IF($JG36=0,"",INDEX($EB$2:$EB$37,$JG36))</f>
        <v/>
      </c>
      <c r="JL36" s="155">
        <f>IF($JG36=0,"",INDEX($GR$2:$GR$37,$JG36))</f>
        <v/>
      </c>
      <c r="JM36" s="155">
        <f>IF($JG36=0,"",INDEX($HG$2:$HG$37,$JG36))</f>
        <v/>
      </c>
      <c r="KS36" s="153" t="inlineStr">
        <is>
          <t>D316</t>
        </is>
      </c>
      <c r="KT36" s="155">
        <f>UPPER(INDEX(DADOS_AM!$D$4:$G$4,1,DADOS_AM!$A$2))</f>
        <v/>
      </c>
    </row>
    <row r="37">
      <c r="BC37" s="153" t="inlineStr">
        <is>
          <t>Atordoado</t>
        </is>
      </c>
      <c r="BD37" s="153" t="inlineStr">
        <is>
          <t>Controle</t>
        </is>
      </c>
      <c r="BE37" s="155" t="n">
        <v>3</v>
      </c>
      <c r="BF37" s="155">
        <f>$BE37+3*IFERROR(VLOOKUP($BD37,$I$2:$L$10,3,FALSE),0)</f>
        <v/>
      </c>
      <c r="BG37" s="155">
        <f>IFERROR(VLOOKUP($BD37,$I$2:$L$10,4,FALSE),0)</f>
        <v/>
      </c>
      <c r="BH37" s="155" t="n">
        <v>1</v>
      </c>
      <c r="BI37" s="155">
        <f>IF($BG37=1,"",$BC37)</f>
        <v/>
      </c>
      <c r="BJ37" s="155">
        <f>IF(AND($BE37=1,$BG37=0),$BC37,"")</f>
        <v/>
      </c>
      <c r="BK37" s="155" t="n">
        <v>1</v>
      </c>
      <c r="DW37" s="153" t="inlineStr">
        <is>
          <t>Feitiço 36</t>
        </is>
      </c>
      <c r="DX37" s="155" t="n">
        <v>0</v>
      </c>
      <c r="DY37" s="155" t="n">
        <v>36</v>
      </c>
      <c r="DZ37" s="155">
        <f>MAX(1,MIN(7,N('FICHA AMALDIÇOADA'!$P$286)))</f>
        <v/>
      </c>
      <c r="EA37" s="155">
        <f>'FICHA AMALDIÇOADA'!$Q$286&amp;""</f>
        <v/>
      </c>
      <c r="EB37" s="155">
        <f>'FICHA AMALDIÇOADA'!$P$293&amp;""</f>
        <v/>
      </c>
      <c r="EC37" s="155">
        <f>'FICHA AMALDIÇOADA'!$Q$295&amp;""</f>
        <v/>
      </c>
      <c r="ED37" s="155">
        <f>'FICHA AMALDIÇOADA'!$Q$296&amp;""</f>
        <v/>
      </c>
      <c r="EE37" s="155">
        <f>'FICHA AMALDIÇOADA'!$Q$297&amp;""</f>
        <v/>
      </c>
      <c r="EF37" s="155">
        <f>'FICHA AMALDIÇOADA'!$Q$298&amp;""</f>
        <v/>
      </c>
      <c r="EG37" s="155">
        <f>'FICHA AMALDIÇOADA'!$Q$299&amp;""</f>
        <v/>
      </c>
      <c r="EH37" s="155">
        <f>'FICHA AMALDIÇOADA'!$Q$300&amp;""</f>
        <v/>
      </c>
      <c r="EI37" s="155">
        <f>IF($EA37&lt;&gt;"",1,0)</f>
        <v/>
      </c>
      <c r="EJ37" s="155">
        <f>IFERROR(MATCH($EB37,$Y$2:$Y$11,0),0)</f>
        <v/>
      </c>
      <c r="EK37" s="155">
        <f>IF($EJ37=0,0,INDEX($AB$2:$AB$11,$EJ37))</f>
        <v/>
      </c>
      <c r="EL37" s="155">
        <f>IFERROR(VLOOKUP($EC37,$BC$2:$BK$84,4,FALSE),0)</f>
        <v/>
      </c>
      <c r="EM37" s="155">
        <f>IFERROR(VLOOKUP($ED37,$BC$2:$BK$84,4,FALSE),0)</f>
        <v/>
      </c>
      <c r="EN37" s="155">
        <f>IFERROR(VLOOKUP($EE37,$BC$2:$BK$84,4,FALSE),0)</f>
        <v/>
      </c>
      <c r="EO37" s="155">
        <f>IFERROR(VLOOKUP($EF37,$BC$2:$BK$84,4,FALSE),0)</f>
        <v/>
      </c>
      <c r="EP37" s="155">
        <f>IF($EJ37=0,0,INDEX($AC$2:$AC$11,$EJ37))</f>
        <v/>
      </c>
      <c r="EQ37" s="155">
        <f>IFERROR(VLOOKUP($EC37,$BC$2:$BK$84,5,FALSE),0)</f>
        <v/>
      </c>
      <c r="ER37" s="155">
        <f>IFERROR(VLOOKUP($ED37,$BC$2:$BK$84,5,FALSE),0)</f>
        <v/>
      </c>
      <c r="ES37" s="155">
        <f>IFERROR(VLOOKUP($EE37,$BC$2:$BK$84,5,FALSE),0)</f>
        <v/>
      </c>
      <c r="ET37" s="155">
        <f>IFERROR(VLOOKUP($EF37,$BC$2:$BK$84,5,FALSE),0)</f>
        <v/>
      </c>
      <c r="EU37" s="155">
        <f>IFERROR(VLOOKUP($EC37,$BC$2:$BK$84,6,FALSE),0)+IFERROR(VLOOKUP($ED37,$BC$2:$BK$84,6,FALSE),0)+IFERROR(VLOOKUP($EE37,$BC$2:$BK$84,6,FALSE),0)+IFERROR(VLOOKUP($EF37,$BC$2:$BK$84,6,FALSE),0)</f>
        <v/>
      </c>
      <c r="EV37" s="155">
        <f>IFERROR(VLOOKUP($EC37,$BC$2:$BK$84,9,FALSE),0)+IFERROR(VLOOKUP($ED37,$BC$2:$BK$84,9,FALSE),0)+IFERROR(VLOOKUP($EE37,$BC$2:$BK$84,9,FALSE),0)+IFERROR(VLOOKUP($EF37,$BC$2:$BK$84,9,FALSE),0)</f>
        <v/>
      </c>
      <c r="EW37" s="155">
        <f>IF($EJ37=0,0,INDEX($AD$2:$AD$11,$EJ37))</f>
        <v/>
      </c>
      <c r="EX37" s="155">
        <f>IF($EJ37=0,0,INDEX($AE$2:$AE$11,$EJ37))</f>
        <v/>
      </c>
      <c r="EY37" s="155">
        <f>IF($EJ37=0,0,INDEX($AG$2:$AG$11,$EJ37))</f>
        <v/>
      </c>
      <c r="EZ37" s="155">
        <f>IFERROR(VLOOKUP($EG37,$BM$2:$BQ$24,3,FALSE),0)</f>
        <v/>
      </c>
      <c r="FA37" s="155">
        <f>IFERROR(VLOOKUP($EH37,$BM$2:$BQ$24,3,FALSE),0)</f>
        <v/>
      </c>
      <c r="FB37" s="155">
        <f>IFERROR(VLOOKUP($EG37,$BM$2:$BQ$24,2,FALSE),"")</f>
        <v/>
      </c>
      <c r="FC37" s="155">
        <f>IFERROR(VLOOKUP($EH37,$BM$2:$BQ$24,2,FALSE),"")</f>
        <v/>
      </c>
      <c r="FD37" s="155">
        <f>COUNTIF($EK37:$EO37,1)</f>
        <v/>
      </c>
      <c r="FE37" s="155">
        <f>COUNTIF($EK37:$EO37,2)</f>
        <v/>
      </c>
      <c r="FF37" s="155">
        <f>COUNTIF($EK37:$EO37,3)</f>
        <v/>
      </c>
      <c r="FG37" s="155">
        <f>COUNTIF($EK37:$EO37,4)</f>
        <v/>
      </c>
      <c r="FH37" s="155">
        <f>COUNTIF($EK37:$EO37,5)</f>
        <v/>
      </c>
      <c r="FI37" s="155">
        <f>COUNTIF($EK37:$EO37,6)</f>
        <v/>
      </c>
      <c r="FJ37" s="155">
        <f>COUNTIF($EZ37:$FA37,1)</f>
        <v/>
      </c>
      <c r="FK37" s="155">
        <f>COUNTIF($EZ37:$FA37,2)+$EW37</f>
        <v/>
      </c>
      <c r="FL37" s="155">
        <f>COUNTIF($EC37:$EF37,"?*")</f>
        <v/>
      </c>
      <c r="FM37" s="155">
        <f>COUNTIF($EG37:$EH37,"?*")+$EW37</f>
        <v/>
      </c>
      <c r="FN37" s="155">
        <f>SUMPRODUCT($FD37:$FI37,INDEX($Q$2:$V$8,$DZ37,0))</f>
        <v/>
      </c>
      <c r="FO37" s="155">
        <f>$FJ37*CEILING($DZ37/2,1)+$FK37*$DZ37</f>
        <v/>
      </c>
      <c r="FP37" s="155">
        <f>MIN(2*$DZ37,$FO37)</f>
        <v/>
      </c>
      <c r="FQ37" s="155">
        <f>MIN($FP37,$FN37)</f>
        <v/>
      </c>
      <c r="FR37" s="155">
        <f>$FP37-$FQ37</f>
        <v/>
      </c>
      <c r="FS37" s="155">
        <f>3*$DZ37-$FN37+$FQ37</f>
        <v/>
      </c>
      <c r="FT37" s="155">
        <f>MAX(0,$FS37)+$DX37*$DZ37</f>
        <v/>
      </c>
      <c r="FU37" s="155">
        <f>(IF(COUNTIF($EC37:$EF37,"Salto")&gt;0,1,0)+IF(COUNTIF($EC37:$EF37,"Queima")&gt;0,1,0)+IF(COUNTIF($EC37:$EF37,"Estilhaço")&gt;0,1,0))*FLOOR($FT37/2,1)</f>
        <v/>
      </c>
      <c r="FV37" s="155">
        <f>MAX(0,3-SUMPRODUCT($FD37:$FI37,$Q$2:$V$2)+MIN(2,$FJ37*1+$FK37*1,SUMPRODUCT($FD37:$FI37,$Q$2:$V$2)))+$DX37*1</f>
        <v/>
      </c>
      <c r="FW37" s="155">
        <f>MAX(0,6-SUMPRODUCT($FD37:$FI37,$Q$3:$V$3)+MIN(4,$FJ37*1+$FK37*2,SUMPRODUCT($FD37:$FI37,$Q$3:$V$3)))+$DX37*2</f>
        <v/>
      </c>
      <c r="FX37" s="155">
        <f>MAX(0,9-SUMPRODUCT($FD37:$FI37,$Q$4:$V$4)+MIN(6,$FJ37*2+$FK37*3,SUMPRODUCT($FD37:$FI37,$Q$4:$V$4)))+$DX37*3</f>
        <v/>
      </c>
      <c r="FY37" s="155">
        <f>MAX(0,12-SUMPRODUCT($FD37:$FI37,$Q$5:$V$5)+MIN(8,$FJ37*2+$FK37*4,SUMPRODUCT($FD37:$FI37,$Q$5:$V$5)))+$DX37*4</f>
        <v/>
      </c>
      <c r="FZ37" s="155">
        <f>MAX(0,15-SUMPRODUCT($FD37:$FI37,$Q$6:$V$6)+MIN(10,$FJ37*3+$FK37*5,SUMPRODUCT($FD37:$FI37,$Q$6:$V$6)))+$DX37*5</f>
        <v/>
      </c>
      <c r="GA37" s="155">
        <f>MAX(0,18-SUMPRODUCT($FD37:$FI37,$Q$7:$V$7)+MIN(12,$FJ37*3+$FK37*6,SUMPRODUCT($FD37:$FI37,$Q$7:$V$7)))+$DX37*6</f>
        <v/>
      </c>
      <c r="GB37" s="155">
        <f>MAX(0,21-SUMPRODUCT($FD37:$FI37,$Q$8:$V$8)+MIN(14,$FJ37*4+$FK37*7,SUMPRODUCT($FD37:$FI37,$Q$8:$V$8)))+$DX37*7</f>
        <v/>
      </c>
      <c r="GC37" s="155">
        <f>IF($EX37=2,3*$FV37&amp;" de vida temp.",IF($EX37=3,"sem dano",IF($FV37=0,IF($EX37=1,"sem cura","sem dano"),IF($EX37=1,"cura ","")&amp;$FV37&amp;"d8")))</f>
        <v/>
      </c>
      <c r="GD37" s="155">
        <f>IF($EX37=2,3*$FW37&amp;" de vida temp.",IF($EX37=3,"sem dano",IF($FW37=0,IF($EX37=1,"sem cura","sem dano"),IF($EX37=1,"cura ","")&amp;$FW37&amp;"d8")))</f>
        <v/>
      </c>
      <c r="GE37" s="155">
        <f>IF($EX37=2,3*$FX37&amp;" de vida temp.",IF($EX37=3,"sem dano",IF($FX37=0,IF($EX37=1,"sem cura","sem dano"),IF($EX37=1,"cura ","")&amp;$FX37&amp;"d8")))</f>
        <v/>
      </c>
      <c r="GF37" s="155">
        <f>IF($EX37=2,3*$FY37&amp;" de vida temp.",IF($EX37=3,"sem dano",IF($FY37=0,IF($EX37=1,"sem cura","sem dano"),IF($EX37=1,"cura ","")&amp;$FY37&amp;"d8")))</f>
        <v/>
      </c>
      <c r="GG37" s="155">
        <f>IF($EX37=2,3*$FZ37&amp;" de vida temp.",IF($EX37=3,"sem dano",IF($FZ37=0,IF($EX37=1,"sem cura","sem dano"),IF($EX37=1,"cura ","")&amp;$FZ37&amp;"d8")))</f>
        <v/>
      </c>
      <c r="GH37" s="155">
        <f>IF($EX37=2,3*$GA37&amp;" de vida temp.",IF($EX37=3,"sem dano",IF($GA37=0,IF($EX37=1,"sem cura","sem dano"),IF($EX37=1,"cura ","")&amp;$GA37&amp;"d8")))</f>
        <v/>
      </c>
      <c r="GI37" s="155">
        <f>IF($EX37=2,3*$GB37&amp;" de vida temp.",IF($EX37=3,"sem dano",IF($GB37=0,IF($EX37=1,"sem cura","sem dano"),IF($EX37=1,"cura ","")&amp;$GB37&amp;"d8")))</f>
        <v/>
      </c>
      <c r="GJ37" s="155">
        <f>IF($EI37=0,"",TEXTJOIN(" · ",TRUE,IF(AND($DX37=1,$DY37&gt;$HK$9),"O nível "&amp;$HK$2&amp;" dá "&amp;$HK$9&amp;" Liberação Máxima",""),IF($DZ37&gt;$HK$4,"Classe "&amp;$DZ37&amp;": o nível "&amp;$HK$2&amp;" libera até a "&amp;$HK$4,""),IF($EP37=1,"Família Fechada: a Forma "&amp;$EB37,""),IF($EQ37=1,"Família Fechada: "&amp;$EC37,""),IF($ER37=1,"Família Fechada: "&amp;$ED37,""),IF($ES37=1,"Família Fechada: "&amp;$EE37,""),IF($ET37=1,"Família Fechada: "&amp;$EF37,""),IF($FL37&gt;INDEX($W$2:$W$8,$DZ37),$FL37&amp;" Melhorias: a Classe "&amp;$DZ37&amp;" aceita "&amp;INDEX($W$2:$W$8,$DZ37),""),IF($FM37&gt;2,$FM37&amp;" Restrições"&amp;IF($EW37=1,", contando a que a Forma "&amp;$EB37&amp;" já traz","")&amp;": o limite é 2",""),IF($FS37&lt;0,"Orçamento estourado: faltam "&amp;(-$FS37)&amp;IF($FS37&lt;-1," pontos"," ponto"),""),IF(IFERROR(VLOOKUP($EG37,$BM$2:$BQ$24,4,FALSE),0)+IFERROR(VLOOKUP($EH37,$BM$2:$BQ$24,4,FALSE),0)&gt;1,$FB37&amp;" e "&amp;$FC37&amp;" são as duas de frequência",""),IF(AND((COUNTIF($EC37:$EF37,"Rápido")+COUNTIF($FB37:$FC37,"Rápido"))&gt;0,(COUNTIF($EC37:$EF37,"Atrasar")+COUNTIF($FB37:$FC37,"Atrasar"))&gt;0),"Rápido não entra com Atrasar",""),IF(AND((COUNTIF($EC37:$EF37,"Reação")+COUNTIF($FB37:$FC37,"Reação"))&gt;0,(COUNTIF($EC37:$EF37,"Rápido")+COUNTIF($FB37:$FC37,"Rápido"))&gt;0),"Reação não entra com Rápido",""),IF(AND((COUNTIF($EC37:$EF37,"Reação")+COUNTIF($FB37:$FC37,"Reação"))&gt;0,(COUNTIF($EC37:$EF37,"Armado")+COUNTIF($FB37:$FC37,"Armado"))&gt;0),"Reação não entra com Armado",""),IF(AND((COUNTIF($EC37:$EF37,"Reação")+COUNTIF($FB37:$FC37,"Reação"))&gt;0,(COUNTIF($EC37:$EF37,"Atrasar")+COUNTIF($FB37:$FC37,"Atrasar"))&gt;0),"Reação não entra com Atrasar",""),IF(AND((COUNTIF($EC37:$EF37,"Reação")+COUNTIF($FB37:$FC37,"Reação"))&gt;0,(COUNTIF($EC37:$EF37,"Parado")+COUNTIF($FB37:$FC37,"Parado"))&gt;0),"Reação não entra com Parado",""),IF(AND((COUNTIF($EC37:$EF37,"Atrasar")+COUNTIF($FB37:$FC37,"Atrasar"))&gt;0,(COUNTIF($EC37:$EF37,"Parado")+COUNTIF($FB37:$FC37,"Parado"))&gt;0),"Atrasar não entra com Parado",""),IF(AND((COUNTIF($EC37:$EF37,"Armado")+COUNTIF($FB37:$FC37,"Armado"))&gt;0,(COUNTIF($EC37:$EF37,"Carregar")+COUNTIF($FB37:$FC37,"Carregar"))&gt;0),"Armado não entra com Carregar",""),IF(AND(COUNTIF($FB37:$FC37,"Corpo a Corpo")&gt;0,$EW37=0,OR($EB37="Cone",$EB37="Linha")),"Corpo a Corpo não entra em "&amp;$EB37,""),IF(AND(COUNTIF($FB37:$FC37,"Corpo a Corpo")&gt;0,$EW37=1),"A Forma "&amp;$EB37&amp;" já traz o Corpo a Corpo",""),IF(AND(COUNTIF($FB37:$FC37,"Tudo ou Nada")&gt;0,$EY37=0),"Tudo ou Nada só entra em feitiço de Teste de Resistência",""),IF(AND(COUNTIF($EC37:$EF37,"Inescapável")&gt;0,OR($FL37&gt;1,$FM37&gt;0)),"Inescapável não aceita outra peça",""),IF(AND($DX37=1,$DZ37&lt;3),"Liberação Máxima é de Classe 3 ou mais",""),IF(AND($DX37=1,OR($EX37=1,$EX37=2)),"Liberação Máxima não serve para cura",""),IF(AND($DX37=1,COUNTIF($EC37:$EF37,"Inescapável")+COUNTIF($EC37:$EF37,"Toca a Alma")&gt;0),"Esta peça não entra numa Liberação Máxima",""),IF($FT37*IF(COUNTIF($EC37:$EF37,"Remate")&gt;0,1.25,1)+$FU37&gt;4*$DZ37,($FT37*IF(COUNTIF($EC37:$EF37,"Remate")&gt;0,1.25,1)+$FU37)&amp;" dados somando repetições"&amp;IF(COUNTIF($EC37:$EF37,"Remate")&gt;0," e o Remate","")&amp;": o teto da Classe "&amp;$DZ37&amp;" é "&amp;4*$DZ37,"")))</f>
        <v/>
      </c>
      <c r="GK37" s="155">
        <f>IF($GJ37="",0,(LEN($GJ37)-LEN(SUBSTITUTE($GJ37," · ","")))/3+1)</f>
        <v/>
      </c>
      <c r="GL37" s="155">
        <f>IF($EI37=0,"",TEXTJOIN(" · ",TRUE,IF($FO37&gt;2*$DZ37,"A devolução parou no teto de "&amp;2*$DZ37,""),IF($FR37&gt;0,"Devolução perdida: "&amp;$FR37&amp;IF($FR37&gt;1," pontos"," ponto")&amp;" sem peça para pagar",""),IF(AND($EU37&gt;0,$FT37=0),"Controle sem dano: uma rodada a mais e CD +2",""),IF(AND($EU37&gt;0,$FT37&gt;0,$FT37&lt;=$DZ37),"Controle com saldo até a Classe: uma rodada a mais","")))</f>
        <v/>
      </c>
      <c r="GM37" s="155">
        <f>IF($GL37="",0,(LEN($GL37)-LEN(SUBSTITUTE($GL37," · ","")))/3+1)</f>
        <v/>
      </c>
      <c r="GN37" s="155">
        <f>IF($EI37=0,IF($FL37+$FM37-$EW37&gt;0,"Dê um nome",""),IF($GK37&gt;0,"⚠ "&amp;$GK37&amp;IF($GK37&gt;1," erros"," erro"),IF($GM37&gt;0,"! "&amp;$GM37&amp;IF($GM37&gt;1," avisos"," aviso"),"Na regra")))</f>
        <v/>
      </c>
      <c r="GO37" s="155">
        <f>IF($EI37=0,"",IF($GK37+$GM37=0,"Dentro das regras que a ficha confere",$GJ37&amp;IF(AND($GK37&gt;0,$GM37&gt;0)," · ","")&amp;$GL37))</f>
        <v/>
      </c>
      <c r="GP37" s="155">
        <f>IF($EI37=0,"",IF($DX37=1,CEILING(4.5*$DZ37,1),3*$DZ37)&amp;" PE")</f>
        <v/>
      </c>
      <c r="GQ37" s="155">
        <f>IF($EI37=0,"",IF($DX37=1,"Rodada inteira",IF(COUNTIF($FB37:$FC37,"Atrasar")&gt;0,IF(COUNTIF($FB37:$FC37,"Carregar")&gt;0,"Rodada +1 turno","Rodada inteira"),IF(COUNTIF($EC37:$EF37,"Rápido")&gt;0,"Bônus",IF(COUNTIF($EC37:$EF37,"Reação")&gt;0,"Reação","Padrão"))&amp;IF(COUNTIF($FB37:$FC37,"Carregar")&gt;0," +1 turno",""))))</f>
        <v/>
      </c>
      <c r="GR37" s="155">
        <f>IF(OR($EI37=0,$EJ37=0),"",IF(COUNTIF($EC37:$EF37,"Inescapável")&gt;0,"Automático",IF(COUNTIF($EC37:$EF37,"Certeiro")&gt;0,"TR para metade",IF(AND($EV37&gt;0,$EY37=0,INDEX($AF$2:$AF$11,$EJ37)="Acerto"),"Acerto + TR",INDEX($AF$2:$AF$11,$EJ37)))))</f>
        <v/>
      </c>
      <c r="GS37" s="155">
        <f>IF(OR($EI37=0,$EJ37=0),"",IF(OR($EX37&gt;=2,$FT37=0),UPPER(LEFT(INDEX($GC37:$GI37,1,$DZ37),1))&amp;MID(INDEX($GC37:$GI37,1,$DZ37),2,99),UPPER(LEFT(INDEX($GC37:$GI37,1,$DZ37),1))&amp;MID(INDEX($GC37:$GI37,1,$DZ37),2,99)&amp;" = "&amp;FLOOR($FT37*4.5,1)&amp;IF($FU37&gt;0," · +"&amp;$FU37&amp;"d8","")))</f>
        <v/>
      </c>
      <c r="GT37" s="155">
        <f>COUNTIF($EC37:$EF37,"Longe")+3*COUNTIF($EC37:$EF37,"Muito Longe")</f>
        <v/>
      </c>
      <c r="GU37" s="155">
        <f>COUNTIF($EC37:$EF37,"Maior")+3*COUNTIF($EC37:$EF37,"Muito Maior")</f>
        <v/>
      </c>
      <c r="GV37" s="155">
        <f>IF($EJ37=0,0,CHOOSE(1+INDEX($AH$2:$AH$11,$EJ37),0,$GT37,$GU37,$GT37+$GU37))</f>
        <v/>
      </c>
      <c r="GW37" s="155">
        <f>IF($EJ37=0,0,CHOOSE(1+INDEX($AI$2:$AI$11,$EJ37),0,$GT37,$GU37,$GT37+$GU37))</f>
        <v/>
      </c>
      <c r="GX37" s="155">
        <f>IF(OR($EI37=0,$EJ37=0),"",INDEX($AP$2:$AU$31,($EJ37-1)*3+IF($DZ37&gt;=6,3,2),1+MIN(5,$GV37))&amp;INDEX($AV$2:$BA$31,($EJ37-1)*3+IF($DZ37&gt;=6,3,2),1+MIN(5,$GW37))&amp;IF(INDEX($AJ$2:$AJ$11,$EJ37)=1,IF(COUNTIF($EC37:$EF37,"Mais Um")&gt;0," · +"&amp;COUNTIF($EC37:$EF37,"Mais Um")&amp;IF(COUNTIF($EC37:$EF37,"Mais Um")&gt;1," alvos"," alvo"),"")&amp;IF(COUNTIF($EC37:$EF37,"Rajada")&gt;0," · "&amp;($DZ37+1)&amp;" tiros",""),""))</f>
        <v/>
      </c>
      <c r="GY37" s="155">
        <f>IF($EI37=0,"",3*$DZ37&amp;" − "&amp;$FN37&amp;" + "&amp;$FQ37&amp;IF($DX37=1," + "&amp;$DZ37,"")&amp;" = "&amp;$FT37&amp;"d8 · teto "&amp;4*$DZ37&amp;IF($EW37=1," · a Forma devolve "&amp;$DZ37,"")&amp;IF($FR37&gt;0," · perde "&amp;$FR37,""))</f>
        <v/>
      </c>
      <c r="GZ37" s="155">
        <f>IF($EI37=0,"",IF($DZ37&gt;=$HK$4,"Já está na maior Classe que o nível liberou",TEXTJOIN(" · ",TRUE,IF(AND(2&gt;$DZ37,2&lt;=$HK$4),"2 → "&amp;$GD37&amp;", "&amp;IF($DX37=1,9,6)&amp;" PE",""),IF(AND(3&gt;$DZ37,3&lt;=$HK$4),"3 → "&amp;$GE37&amp;", "&amp;IF($DX37=1,14,9)&amp;" PE",""),IF(AND(4&gt;$DZ37,4&lt;=$HK$4),"4 → "&amp;$GF37&amp;", "&amp;IF($DX37=1,18,12)&amp;" PE",""),IF(AND(5&gt;$DZ37,5&lt;=$HK$4),"5 → "&amp;$GG37&amp;", "&amp;IF($DX37=1,23,15)&amp;" PE",""),IF(AND(6&gt;$DZ37,6&lt;=$HK$4),"6 → "&amp;$GH37&amp;", "&amp;IF($DX37=1,27,18)&amp;" PE",""),IF(AND(7&gt;$DZ37,7&lt;=$HK$4),"7 → "&amp;$GI37&amp;", "&amp;IF($DX37=1,32,21)&amp;" PE",""))))</f>
        <v/>
      </c>
      <c r="HA37" s="155">
        <f>IF(OR($EI37=0,$EL37=0),"","−"&amp;INDEX($Q$2:$V$8,$DZ37,$EL37)&amp;" · "&amp;CHOOSE($EL37,"Leve","Média","Pesada","Leve · Livre","Média · Livre","Pesada · Livre"))</f>
        <v/>
      </c>
      <c r="HB37" s="155">
        <f>IF(OR($EI37=0,$EM37=0),"","−"&amp;INDEX($Q$2:$V$8,$DZ37,$EM37)&amp;" · "&amp;CHOOSE($EM37,"Leve","Média","Pesada","Leve · Livre","Média · Livre","Pesada · Livre"))</f>
        <v/>
      </c>
      <c r="HC37" s="155">
        <f>IF(OR($EI37=0,$EN37=0),"","−"&amp;INDEX($Q$2:$V$8,$DZ37,$EN37)&amp;" · "&amp;CHOOSE($EN37,"Leve","Média","Pesada","Leve · Livre","Média · Livre","Pesada · Livre"))</f>
        <v/>
      </c>
      <c r="HD37" s="155">
        <f>IF(OR($EI37=0,$EO37=0),"","−"&amp;INDEX($Q$2:$V$8,$DZ37,$EO37)&amp;" · "&amp;CHOOSE($EO37,"Leve","Média","Pesada","Leve · Livre","Média · Livre","Pesada · Livre"))</f>
        <v/>
      </c>
      <c r="HE37" s="155">
        <f>IF(OR($EI37=0,$EG37=""),"","+"&amp;IF($EZ37=1,CEILING($DZ37/2,1),$DZ37))</f>
        <v/>
      </c>
      <c r="HF37" s="155">
        <f>IF(OR($EI37=0,$EH37=""),"","+"&amp;IF($FA37=1,CEILING($DZ37/2,1),$DZ37))</f>
        <v/>
      </c>
      <c r="HG37" s="155">
        <f>'FICHA AMALDIÇOADA'!$P$288&amp;""</f>
        <v/>
      </c>
      <c r="HH37" s="155">
        <f>IF(AND($EI37=1,$DX37=0),COUNTIFS($EI$2:$EI37,1,$DX$2:$DX37,0),"")</f>
        <v/>
      </c>
      <c r="HJ37" s="153" t="inlineStr">
        <is>
          <t>montagem da técnica máxima</t>
        </is>
      </c>
      <c r="HK37" s="155">
        <f>IFERROR(VLOOKUP($HK$2,$DH$2:$DJ$4,3,TRUE),0)</f>
        <v/>
      </c>
      <c r="JF37" s="155" t="n">
        <v>36</v>
      </c>
      <c r="JG37" s="155">
        <f>IFERROR(MATCH(36,$HH$2:$HH$37,0),0)</f>
        <v/>
      </c>
      <c r="JH37" s="155">
        <f>IF($JG37=0,"",INDEX($DZ$2:$DZ$37,$JG37))</f>
        <v/>
      </c>
      <c r="JI37" s="155">
        <f>IF($JG37=0,"",INDEX($EA$2:$EA$37,$JG37))</f>
        <v/>
      </c>
      <c r="JJ37" s="155">
        <f>IF($JG37=0,"",INDEX($GP$2:$GP$37,$JG37))</f>
        <v/>
      </c>
      <c r="JK37" s="155">
        <f>IF($JG37=0,"",INDEX($EB$2:$EB$37,$JG37))</f>
        <v/>
      </c>
      <c r="JL37" s="155">
        <f>IF($JG37=0,"",INDEX($GR$2:$GR$37,$JG37))</f>
        <v/>
      </c>
      <c r="JM37" s="155">
        <f>IF($JG37=0,"",INDEX($HG$2:$HG$37,$JG37))</f>
        <v/>
      </c>
      <c r="KS37" s="153" t="inlineStr">
        <is>
          <t>D340</t>
        </is>
      </c>
      <c r="KT37" s="155">
        <f>UPPER(INDEX(DADOS_AM!$D$5:$G$5,1,DADOS_AM!$A$2))</f>
        <v/>
      </c>
    </row>
    <row r="38">
      <c r="BC38" s="153" t="inlineStr">
        <is>
          <t>Terreno</t>
        </is>
      </c>
      <c r="BD38" s="153" t="inlineStr">
        <is>
          <t>Controle</t>
        </is>
      </c>
      <c r="BE38" s="155" t="n">
        <v>1</v>
      </c>
      <c r="BF38" s="155">
        <f>$BE38+3*IFERROR(VLOOKUP($BD38,$I$2:$L$10,3,FALSE),0)</f>
        <v/>
      </c>
      <c r="BG38" s="155">
        <f>IFERROR(VLOOKUP($BD38,$I$2:$L$10,4,FALSE),0)</f>
        <v/>
      </c>
      <c r="BH38" s="155" t="n">
        <v>1</v>
      </c>
      <c r="BI38" s="155">
        <f>IF($BG38=1,"",$BC38)</f>
        <v/>
      </c>
      <c r="BJ38" s="155">
        <f>IF(AND($BE38=1,$BG38=0),$BC38,"")</f>
        <v/>
      </c>
      <c r="BK38" s="155" t="n">
        <v>0</v>
      </c>
      <c r="DW38" s="153" t="inlineStr">
        <is>
          <t>Liberação 1</t>
        </is>
      </c>
      <c r="DX38" s="155" t="n">
        <v>1</v>
      </c>
      <c r="DY38" s="155" t="n">
        <v>1</v>
      </c>
      <c r="DZ38" s="155">
        <f>MAX(1,MIN(7,N('FICHA AMALDIÇOADA'!$D$319)))</f>
        <v/>
      </c>
      <c r="EA38" s="155">
        <f>'FICHA AMALDIÇOADA'!$E$319&amp;""</f>
        <v/>
      </c>
      <c r="EB38" s="155">
        <f>'FICHA AMALDIÇOADA'!$D$326&amp;""</f>
        <v/>
      </c>
      <c r="EC38" s="155">
        <f>'FICHA AMALDIÇOADA'!$E$328&amp;""</f>
        <v/>
      </c>
      <c r="ED38" s="155">
        <f>'FICHA AMALDIÇOADA'!$E$329&amp;""</f>
        <v/>
      </c>
      <c r="EE38" s="155">
        <f>'FICHA AMALDIÇOADA'!$E$330&amp;""</f>
        <v/>
      </c>
      <c r="EF38" s="155">
        <f>'FICHA AMALDIÇOADA'!$E$331&amp;""</f>
        <v/>
      </c>
      <c r="EG38" s="155">
        <f>'FICHA AMALDIÇOADA'!$E$332&amp;""</f>
        <v/>
      </c>
      <c r="EH38" s="155">
        <f>'FICHA AMALDIÇOADA'!$E$333&amp;""</f>
        <v/>
      </c>
      <c r="EI38" s="155">
        <f>IF($EA38&lt;&gt;"",1,0)</f>
        <v/>
      </c>
      <c r="EJ38" s="155">
        <f>IFERROR(MATCH($EB38,$Y$2:$Y$11,0),0)</f>
        <v/>
      </c>
      <c r="EK38" s="155">
        <f>IF($EJ38=0,0,INDEX($AB$2:$AB$11,$EJ38))</f>
        <v/>
      </c>
      <c r="EL38" s="155">
        <f>IFERROR(VLOOKUP($EC38,$BC$2:$BK$84,4,FALSE),0)</f>
        <v/>
      </c>
      <c r="EM38" s="155">
        <f>IFERROR(VLOOKUP($ED38,$BC$2:$BK$84,4,FALSE),0)</f>
        <v/>
      </c>
      <c r="EN38" s="155">
        <f>IFERROR(VLOOKUP($EE38,$BC$2:$BK$84,4,FALSE),0)</f>
        <v/>
      </c>
      <c r="EO38" s="155">
        <f>IFERROR(VLOOKUP($EF38,$BC$2:$BK$84,4,FALSE),0)</f>
        <v/>
      </c>
      <c r="EP38" s="155">
        <f>IF($EJ38=0,0,INDEX($AC$2:$AC$11,$EJ38))</f>
        <v/>
      </c>
      <c r="EQ38" s="155">
        <f>IFERROR(VLOOKUP($EC38,$BC$2:$BK$84,5,FALSE),0)</f>
        <v/>
      </c>
      <c r="ER38" s="155">
        <f>IFERROR(VLOOKUP($ED38,$BC$2:$BK$84,5,FALSE),0)</f>
        <v/>
      </c>
      <c r="ES38" s="155">
        <f>IFERROR(VLOOKUP($EE38,$BC$2:$BK$84,5,FALSE),0)</f>
        <v/>
      </c>
      <c r="ET38" s="155">
        <f>IFERROR(VLOOKUP($EF38,$BC$2:$BK$84,5,FALSE),0)</f>
        <v/>
      </c>
      <c r="EU38" s="155">
        <f>IFERROR(VLOOKUP($EC38,$BC$2:$BK$84,6,FALSE),0)+IFERROR(VLOOKUP($ED38,$BC$2:$BK$84,6,FALSE),0)+IFERROR(VLOOKUP($EE38,$BC$2:$BK$84,6,FALSE),0)+IFERROR(VLOOKUP($EF38,$BC$2:$BK$84,6,FALSE),0)</f>
        <v/>
      </c>
      <c r="EV38" s="155">
        <f>IFERROR(VLOOKUP($EC38,$BC$2:$BK$84,9,FALSE),0)+IFERROR(VLOOKUP($ED38,$BC$2:$BK$84,9,FALSE),0)+IFERROR(VLOOKUP($EE38,$BC$2:$BK$84,9,FALSE),0)+IFERROR(VLOOKUP($EF38,$BC$2:$BK$84,9,FALSE),0)</f>
        <v/>
      </c>
      <c r="EW38" s="155">
        <f>IF($EJ38=0,0,INDEX($AD$2:$AD$11,$EJ38))</f>
        <v/>
      </c>
      <c r="EX38" s="155">
        <f>IF($EJ38=0,0,INDEX($AE$2:$AE$11,$EJ38))</f>
        <v/>
      </c>
      <c r="EY38" s="155">
        <f>IF($EJ38=0,0,INDEX($AG$2:$AG$11,$EJ38))</f>
        <v/>
      </c>
      <c r="EZ38" s="155">
        <f>IFERROR(VLOOKUP($EG38,$BM$2:$BQ$24,3,FALSE),0)</f>
        <v/>
      </c>
      <c r="FA38" s="155">
        <f>IFERROR(VLOOKUP($EH38,$BM$2:$BQ$24,3,FALSE),0)</f>
        <v/>
      </c>
      <c r="FB38" s="155">
        <f>IFERROR(VLOOKUP($EG38,$BM$2:$BQ$24,2,FALSE),"")</f>
        <v/>
      </c>
      <c r="FC38" s="155">
        <f>IFERROR(VLOOKUP($EH38,$BM$2:$BQ$24,2,FALSE),"")</f>
        <v/>
      </c>
      <c r="FD38" s="155">
        <f>COUNTIF($EK38:$EO38,1)</f>
        <v/>
      </c>
      <c r="FE38" s="155">
        <f>COUNTIF($EK38:$EO38,2)</f>
        <v/>
      </c>
      <c r="FF38" s="155">
        <f>COUNTIF($EK38:$EO38,3)</f>
        <v/>
      </c>
      <c r="FG38" s="155">
        <f>COUNTIF($EK38:$EO38,4)</f>
        <v/>
      </c>
      <c r="FH38" s="155">
        <f>COUNTIF($EK38:$EO38,5)</f>
        <v/>
      </c>
      <c r="FI38" s="155">
        <f>COUNTIF($EK38:$EO38,6)</f>
        <v/>
      </c>
      <c r="FJ38" s="155">
        <f>COUNTIF($EZ38:$FA38,1)</f>
        <v/>
      </c>
      <c r="FK38" s="155">
        <f>COUNTIF($EZ38:$FA38,2)+$EW38</f>
        <v/>
      </c>
      <c r="FL38" s="155">
        <f>COUNTIF($EC38:$EF38,"?*")</f>
        <v/>
      </c>
      <c r="FM38" s="155">
        <f>COUNTIF($EG38:$EH38,"?*")+$EW38</f>
        <v/>
      </c>
      <c r="FN38" s="155">
        <f>SUMPRODUCT($FD38:$FI38,INDEX($Q$2:$V$8,$DZ38,0))</f>
        <v/>
      </c>
      <c r="FO38" s="155">
        <f>$FJ38*CEILING($DZ38/2,1)+$FK38*$DZ38</f>
        <v/>
      </c>
      <c r="FP38" s="155">
        <f>MIN(2*$DZ38,$FO38)</f>
        <v/>
      </c>
      <c r="FQ38" s="155">
        <f>MIN($FP38,$FN38)</f>
        <v/>
      </c>
      <c r="FR38" s="155">
        <f>$FP38-$FQ38</f>
        <v/>
      </c>
      <c r="FS38" s="155">
        <f>3*$DZ38-$FN38+$FQ38</f>
        <v/>
      </c>
      <c r="FT38" s="155">
        <f>MAX(0,$FS38)+$DX38*$DZ38</f>
        <v/>
      </c>
      <c r="FU38" s="155">
        <f>(IF(COUNTIF($EC38:$EF38,"Salto")&gt;0,1,0)+IF(COUNTIF($EC38:$EF38,"Queima")&gt;0,1,0)+IF(COUNTIF($EC38:$EF38,"Estilhaço")&gt;0,1,0))*FLOOR($FT38/2,1)</f>
        <v/>
      </c>
      <c r="FV38" s="155">
        <f>MAX(0,3-SUMPRODUCT($FD38:$FI38,$Q$2:$V$2)+MIN(2,$FJ38*1+$FK38*1,SUMPRODUCT($FD38:$FI38,$Q$2:$V$2)))+$DX38*1</f>
        <v/>
      </c>
      <c r="FW38" s="155">
        <f>MAX(0,6-SUMPRODUCT($FD38:$FI38,$Q$3:$V$3)+MIN(4,$FJ38*1+$FK38*2,SUMPRODUCT($FD38:$FI38,$Q$3:$V$3)))+$DX38*2</f>
        <v/>
      </c>
      <c r="FX38" s="155">
        <f>MAX(0,9-SUMPRODUCT($FD38:$FI38,$Q$4:$V$4)+MIN(6,$FJ38*2+$FK38*3,SUMPRODUCT($FD38:$FI38,$Q$4:$V$4)))+$DX38*3</f>
        <v/>
      </c>
      <c r="FY38" s="155">
        <f>MAX(0,12-SUMPRODUCT($FD38:$FI38,$Q$5:$V$5)+MIN(8,$FJ38*2+$FK38*4,SUMPRODUCT($FD38:$FI38,$Q$5:$V$5)))+$DX38*4</f>
        <v/>
      </c>
      <c r="FZ38" s="155">
        <f>MAX(0,15-SUMPRODUCT($FD38:$FI38,$Q$6:$V$6)+MIN(10,$FJ38*3+$FK38*5,SUMPRODUCT($FD38:$FI38,$Q$6:$V$6)))+$DX38*5</f>
        <v/>
      </c>
      <c r="GA38" s="155">
        <f>MAX(0,18-SUMPRODUCT($FD38:$FI38,$Q$7:$V$7)+MIN(12,$FJ38*3+$FK38*6,SUMPRODUCT($FD38:$FI38,$Q$7:$V$7)))+$DX38*6</f>
        <v/>
      </c>
      <c r="GB38" s="155">
        <f>MAX(0,21-SUMPRODUCT($FD38:$FI38,$Q$8:$V$8)+MIN(14,$FJ38*4+$FK38*7,SUMPRODUCT($FD38:$FI38,$Q$8:$V$8)))+$DX38*7</f>
        <v/>
      </c>
      <c r="GC38" s="155">
        <f>IF($EX38=2,3*$FV38&amp;" de vida temp.",IF($EX38=3,"sem dano",IF($FV38=0,IF($EX38=1,"sem cura","sem dano"),IF($EX38=1,"cura ","")&amp;$FV38&amp;"d8")))</f>
        <v/>
      </c>
      <c r="GD38" s="155">
        <f>IF($EX38=2,3*$FW38&amp;" de vida temp.",IF($EX38=3,"sem dano",IF($FW38=0,IF($EX38=1,"sem cura","sem dano"),IF($EX38=1,"cura ","")&amp;$FW38&amp;"d8")))</f>
        <v/>
      </c>
      <c r="GE38" s="155">
        <f>IF($EX38=2,3*$FX38&amp;" de vida temp.",IF($EX38=3,"sem dano",IF($FX38=0,IF($EX38=1,"sem cura","sem dano"),IF($EX38=1,"cura ","")&amp;$FX38&amp;"d8")))</f>
        <v/>
      </c>
      <c r="GF38" s="155">
        <f>IF($EX38=2,3*$FY38&amp;" de vida temp.",IF($EX38=3,"sem dano",IF($FY38=0,IF($EX38=1,"sem cura","sem dano"),IF($EX38=1,"cura ","")&amp;$FY38&amp;"d8")))</f>
        <v/>
      </c>
      <c r="GG38" s="155">
        <f>IF($EX38=2,3*$FZ38&amp;" de vida temp.",IF($EX38=3,"sem dano",IF($FZ38=0,IF($EX38=1,"sem cura","sem dano"),IF($EX38=1,"cura ","")&amp;$FZ38&amp;"d8")))</f>
        <v/>
      </c>
      <c r="GH38" s="155">
        <f>IF($EX38=2,3*$GA38&amp;" de vida temp.",IF($EX38=3,"sem dano",IF($GA38=0,IF($EX38=1,"sem cura","sem dano"),IF($EX38=1,"cura ","")&amp;$GA38&amp;"d8")))</f>
        <v/>
      </c>
      <c r="GI38" s="155">
        <f>IF($EX38=2,3*$GB38&amp;" de vida temp.",IF($EX38=3,"sem dano",IF($GB38=0,IF($EX38=1,"sem cura","sem dano"),IF($EX38=1,"cura ","")&amp;$GB38&amp;"d8")))</f>
        <v/>
      </c>
      <c r="GJ38" s="155">
        <f>IF($EI38=0,"",TEXTJOIN(" · ",TRUE,IF(AND($DX38=1,$DY38&gt;$HK$9),"O nível "&amp;$HK$2&amp;" dá "&amp;$HK$9&amp;" Liberação Máxima",""),IF($DZ38&gt;$HK$4,"Classe "&amp;$DZ38&amp;": o nível "&amp;$HK$2&amp;" libera até a "&amp;$HK$4,""),IF($EP38=1,"Família Fechada: a Forma "&amp;$EB38,""),IF($EQ38=1,"Família Fechada: "&amp;$EC38,""),IF($ER38=1,"Família Fechada: "&amp;$ED38,""),IF($ES38=1,"Família Fechada: "&amp;$EE38,""),IF($ET38=1,"Família Fechada: "&amp;$EF38,""),IF($FL38&gt;INDEX($W$2:$W$8,$DZ38),$FL38&amp;" Melhorias: a Classe "&amp;$DZ38&amp;" aceita "&amp;INDEX($W$2:$W$8,$DZ38),""),IF($FM38&gt;2,$FM38&amp;" Restrições"&amp;IF($EW38=1,", contando a que a Forma "&amp;$EB38&amp;" já traz","")&amp;": o limite é 2",""),IF($FS38&lt;0,"Orçamento estourado: faltam "&amp;(-$FS38)&amp;IF($FS38&lt;-1," pontos"," ponto"),""),IF(IFERROR(VLOOKUP($EG38,$BM$2:$BQ$24,4,FALSE),0)+IFERROR(VLOOKUP($EH38,$BM$2:$BQ$24,4,FALSE),0)&gt;1,$FB38&amp;" e "&amp;$FC38&amp;" são as duas de frequência",""),IF(AND((COUNTIF($EC38:$EF38,"Rápido")+COUNTIF($FB38:$FC38,"Rápido"))&gt;0,(COUNTIF($EC38:$EF38,"Atrasar")+COUNTIF($FB38:$FC38,"Atrasar"))&gt;0),"Rápido não entra com Atrasar",""),IF(AND((COUNTIF($EC38:$EF38,"Reação")+COUNTIF($FB38:$FC38,"Reação"))&gt;0,(COUNTIF($EC38:$EF38,"Rápido")+COUNTIF($FB38:$FC38,"Rápido"))&gt;0),"Reação não entra com Rápido",""),IF(AND((COUNTIF($EC38:$EF38,"Reação")+COUNTIF($FB38:$FC38,"Reação"))&gt;0,(COUNTIF($EC38:$EF38,"Armado")+COUNTIF($FB38:$FC38,"Armado"))&gt;0),"Reação não entra com Armado",""),IF(AND((COUNTIF($EC38:$EF38,"Reação")+COUNTIF($FB38:$FC38,"Reação"))&gt;0,(COUNTIF($EC38:$EF38,"Atrasar")+COUNTIF($FB38:$FC38,"Atrasar"))&gt;0),"Reação não entra com Atrasar",""),IF(AND((COUNTIF($EC38:$EF38,"Reação")+COUNTIF($FB38:$FC38,"Reação"))&gt;0,(COUNTIF($EC38:$EF38,"Parado")+COUNTIF($FB38:$FC38,"Parado"))&gt;0),"Reação não entra com Parado",""),IF(AND((COUNTIF($EC38:$EF38,"Atrasar")+COUNTIF($FB38:$FC38,"Atrasar"))&gt;0,(COUNTIF($EC38:$EF38,"Parado")+COUNTIF($FB38:$FC38,"Parado"))&gt;0),"Atrasar não entra com Parado",""),IF(AND((COUNTIF($EC38:$EF38,"Armado")+COUNTIF($FB38:$FC38,"Armado"))&gt;0,(COUNTIF($EC38:$EF38,"Carregar")+COUNTIF($FB38:$FC38,"Carregar"))&gt;0),"Armado não entra com Carregar",""),IF(AND(COUNTIF($FB38:$FC38,"Corpo a Corpo")&gt;0,$EW38=0,OR($EB38="Cone",$EB38="Linha")),"Corpo a Corpo não entra em "&amp;$EB38,""),IF(AND(COUNTIF($FB38:$FC38,"Corpo a Corpo")&gt;0,$EW38=1),"A Forma "&amp;$EB38&amp;" já traz o Corpo a Corpo",""),IF(AND(COUNTIF($FB38:$FC38,"Tudo ou Nada")&gt;0,$EY38=0),"Tudo ou Nada só entra em feitiço de Teste de Resistência",""),IF(AND(COUNTIF($EC38:$EF38,"Inescapável")&gt;0,OR($FL38&gt;1,$FM38&gt;0)),"Inescapável não aceita outra peça",""),IF(AND($DX38=1,$DZ38&lt;3),"Liberação Máxima é de Classe 3 ou mais",""),IF(AND($DX38=1,OR($EX38=1,$EX38=2)),"Liberação Máxima não serve para cura",""),IF(AND($DX38=1,COUNTIF($EC38:$EF38,"Inescapável")+COUNTIF($EC38:$EF38,"Toca a Alma")&gt;0),"Esta peça não entra numa Liberação Máxima",""),IF($FT38*IF(COUNTIF($EC38:$EF38,"Remate")&gt;0,1.25,1)+$FU38&gt;4*$DZ38,($FT38*IF(COUNTIF($EC38:$EF38,"Remate")&gt;0,1.25,1)+$FU38)&amp;" dados somando repetições"&amp;IF(COUNTIF($EC38:$EF38,"Remate")&gt;0," e o Remate","")&amp;": o teto da Classe "&amp;$DZ38&amp;" é "&amp;4*$DZ38,"")))</f>
        <v/>
      </c>
      <c r="GK38" s="155">
        <f>IF($GJ38="",0,(LEN($GJ38)-LEN(SUBSTITUTE($GJ38," · ","")))/3+1)</f>
        <v/>
      </c>
      <c r="GL38" s="155">
        <f>IF($EI38=0,"",TEXTJOIN(" · ",TRUE,IF($FO38&gt;2*$DZ38,"A devolução parou no teto de "&amp;2*$DZ38,""),IF($FR38&gt;0,"Devolução perdida: "&amp;$FR38&amp;IF($FR38&gt;1," pontos"," ponto")&amp;" sem peça para pagar",""),IF(AND($EU38&gt;0,$FT38=0),"Controle sem dano: uma rodada a mais e CD +2",""),IF(AND($EU38&gt;0,$FT38&gt;0,$FT38&lt;=$DZ38),"Controle com saldo até a Classe: uma rodada a mais","")))</f>
        <v/>
      </c>
      <c r="GM38" s="155">
        <f>IF($GL38="",0,(LEN($GL38)-LEN(SUBSTITUTE($GL38," · ","")))/3+1)</f>
        <v/>
      </c>
      <c r="GN38" s="155">
        <f>IF($EI38=0,IF($FL38+$FM38-$EW38&gt;0,"Dê um nome",""),IF($GK38&gt;0,"⚠ "&amp;$GK38&amp;IF($GK38&gt;1," erros"," erro"),IF($GM38&gt;0,"! "&amp;$GM38&amp;IF($GM38&gt;1," avisos"," aviso"),"Na regra")))</f>
        <v/>
      </c>
      <c r="GO38" s="155">
        <f>IF($EI38=0,"",IF($GK38+$GM38=0,"Dentro das regras que a ficha confere",$GJ38&amp;IF(AND($GK38&gt;0,$GM38&gt;0)," · ","")&amp;$GL38))</f>
        <v/>
      </c>
      <c r="GP38" s="155">
        <f>IF($EI38=0,"",IF($DX38=1,CEILING(4.5*$DZ38,1),3*$DZ38)&amp;" PE")</f>
        <v/>
      </c>
      <c r="GQ38" s="155">
        <f>IF($EI38=0,"",IF($DX38=1,"Rodada inteira",IF(COUNTIF($FB38:$FC38,"Atrasar")&gt;0,IF(COUNTIF($FB38:$FC38,"Carregar")&gt;0,"Rodada +1 turno","Rodada inteira"),IF(COUNTIF($EC38:$EF38,"Rápido")&gt;0,"Bônus",IF(COUNTIF($EC38:$EF38,"Reação")&gt;0,"Reação","Padrão"))&amp;IF(COUNTIF($FB38:$FC38,"Carregar")&gt;0," +1 turno",""))))</f>
        <v/>
      </c>
      <c r="GR38" s="155">
        <f>IF(OR($EI38=0,$EJ38=0),"",IF(COUNTIF($EC38:$EF38,"Inescapável")&gt;0,"Automático",IF(COUNTIF($EC38:$EF38,"Certeiro")&gt;0,"TR para metade",IF(AND($EV38&gt;0,$EY38=0,INDEX($AF$2:$AF$11,$EJ38)="Acerto"),"Acerto + TR",INDEX($AF$2:$AF$11,$EJ38)))))</f>
        <v/>
      </c>
      <c r="GS38" s="155">
        <f>IF(OR($EI38=0,$EJ38=0),"",IF(OR($EX38&gt;=2,$FT38=0),UPPER(LEFT(INDEX($GC38:$GI38,1,$DZ38),1))&amp;MID(INDEX($GC38:$GI38,1,$DZ38),2,99),UPPER(LEFT(INDEX($GC38:$GI38,1,$DZ38),1))&amp;MID(INDEX($GC38:$GI38,1,$DZ38),2,99)&amp;" = "&amp;FLOOR($FT38*4.5,1)&amp;IF($FU38&gt;0," · +"&amp;$FU38&amp;"d8","")))</f>
        <v/>
      </c>
      <c r="GT38" s="155">
        <f>COUNTIF($EC38:$EF38,"Longe")+3*COUNTIF($EC38:$EF38,"Muito Longe")</f>
        <v/>
      </c>
      <c r="GU38" s="155">
        <f>COUNTIF($EC38:$EF38,"Maior")+3*COUNTIF($EC38:$EF38,"Muito Maior")</f>
        <v/>
      </c>
      <c r="GV38" s="155">
        <f>IF($EJ38=0,0,CHOOSE(1+INDEX($AH$2:$AH$11,$EJ38),0,$GT38,$GU38,$GT38+$GU38))</f>
        <v/>
      </c>
      <c r="GW38" s="155">
        <f>IF($EJ38=0,0,CHOOSE(1+INDEX($AI$2:$AI$11,$EJ38),0,$GT38,$GU38,$GT38+$GU38))</f>
        <v/>
      </c>
      <c r="GX38" s="155">
        <f>IF(OR($EI38=0,$EJ38=0),"",INDEX($AP$2:$AU$31,($EJ38-1)*3+IF($DZ38&gt;=6,3,2),1+MIN(5,$GV38))&amp;INDEX($AV$2:$BA$31,($EJ38-1)*3+IF($DZ38&gt;=6,3,2),1+MIN(5,$GW38))&amp;IF(INDEX($AJ$2:$AJ$11,$EJ38)=1,IF(COUNTIF($EC38:$EF38,"Mais Um")&gt;0," · +"&amp;COUNTIF($EC38:$EF38,"Mais Um")&amp;IF(COUNTIF($EC38:$EF38,"Mais Um")&gt;1," alvos"," alvo"),"")&amp;IF(COUNTIF($EC38:$EF38,"Rajada")&gt;0," · "&amp;($DZ38+1)&amp;" tiros",""),""))</f>
        <v/>
      </c>
      <c r="GY38" s="155">
        <f>IF($EI38=0,"",3*$DZ38&amp;" − "&amp;$FN38&amp;" + "&amp;$FQ38&amp;IF($DX38=1," + "&amp;$DZ38,"")&amp;" = "&amp;$FT38&amp;"d8 · teto "&amp;4*$DZ38&amp;IF($EW38=1," · a Forma devolve "&amp;$DZ38,"")&amp;IF($FR38&gt;0," · perde "&amp;$FR38,""))</f>
        <v/>
      </c>
      <c r="GZ38" s="155">
        <f>IF($EI38=0,"",IF($DZ38&gt;=$HK$4,"Já está na maior Classe que o nível liberou",TEXTJOIN(" · ",TRUE,IF(AND(2&gt;$DZ38,2&lt;=$HK$4),"2 → "&amp;$GD38&amp;", "&amp;IF($DX38=1,9,6)&amp;" PE",""),IF(AND(3&gt;$DZ38,3&lt;=$HK$4),"3 → "&amp;$GE38&amp;", "&amp;IF($DX38=1,14,9)&amp;" PE",""),IF(AND(4&gt;$DZ38,4&lt;=$HK$4),"4 → "&amp;$GF38&amp;", "&amp;IF($DX38=1,18,12)&amp;" PE",""),IF(AND(5&gt;$DZ38,5&lt;=$HK$4),"5 → "&amp;$GG38&amp;", "&amp;IF($DX38=1,23,15)&amp;" PE",""),IF(AND(6&gt;$DZ38,6&lt;=$HK$4),"6 → "&amp;$GH38&amp;", "&amp;IF($DX38=1,27,18)&amp;" PE",""),IF(AND(7&gt;$DZ38,7&lt;=$HK$4),"7 → "&amp;$GI38&amp;", "&amp;IF($DX38=1,32,21)&amp;" PE",""))))</f>
        <v/>
      </c>
      <c r="HA38" s="155">
        <f>IF(OR($EI38=0,$EL38=0),"","−"&amp;INDEX($Q$2:$V$8,$DZ38,$EL38)&amp;" · "&amp;CHOOSE($EL38,"Leve","Média","Pesada","Leve · Livre","Média · Livre","Pesada · Livre"))</f>
        <v/>
      </c>
      <c r="HB38" s="155">
        <f>IF(OR($EI38=0,$EM38=0),"","−"&amp;INDEX($Q$2:$V$8,$DZ38,$EM38)&amp;" · "&amp;CHOOSE($EM38,"Leve","Média","Pesada","Leve · Livre","Média · Livre","Pesada · Livre"))</f>
        <v/>
      </c>
      <c r="HC38" s="155">
        <f>IF(OR($EI38=0,$EN38=0),"","−"&amp;INDEX($Q$2:$V$8,$DZ38,$EN38)&amp;" · "&amp;CHOOSE($EN38,"Leve","Média","Pesada","Leve · Livre","Média · Livre","Pesada · Livre"))</f>
        <v/>
      </c>
      <c r="HD38" s="155">
        <f>IF(OR($EI38=0,$EO38=0),"","−"&amp;INDEX($Q$2:$V$8,$DZ38,$EO38)&amp;" · "&amp;CHOOSE($EO38,"Leve","Média","Pesada","Leve · Livre","Média · Livre","Pesada · Livre"))</f>
        <v/>
      </c>
      <c r="HE38" s="155">
        <f>IF(OR($EI38=0,$EG38=""),"","+"&amp;IF($EZ38=1,CEILING($DZ38/2,1),$DZ38))</f>
        <v/>
      </c>
      <c r="HF38" s="155">
        <f>IF(OR($EI38=0,$EH38=""),"","+"&amp;IF($FA38=1,CEILING($DZ38/2,1),$DZ38))</f>
        <v/>
      </c>
      <c r="HG38" s="155">
        <f>'FICHA AMALDIÇOADA'!$D$321&amp;""</f>
        <v/>
      </c>
      <c r="HH38" s="155">
        <f>IF(AND($EI38=1,$DX38=0),COUNTIFS($EI$2:$EI38,1,$DX$2:$DX38,0),"")</f>
        <v/>
      </c>
      <c r="HJ38" s="153" t="inlineStr">
        <is>
          <t>gasto da técnica máxima</t>
        </is>
      </c>
      <c r="HK38" s="155">
        <f>IF(IFERROR(VLOOKUP('FICHA AMALDIÇOADA'!$J$343,$Y$2:$AB$11,4,FALSE),0)=0,0,INDEX($Q$2:$V$8,$HK$4,IFERROR(VLOOKUP('FICHA AMALDIÇOADA'!$J$343,$Y$2:$AB$11,4,FALSE),0)))+IF(IFERROR(VLOOKUP('FICHA AMALDIÇOADA'!$J$346,$BC$2:$BK$84,4,FALSE),0)=0,0,INDEX($Q$2:$V$8,$HK$4,IFERROR(VLOOKUP('FICHA AMALDIÇOADA'!$J$346,$BC$2:$BK$84,4,FALSE),0)))+IF(IFERROR(VLOOKUP('FICHA AMALDIÇOADA'!$L$346,$BC$2:$BK$84,4,FALSE),0)=0,0,INDEX($Q$2:$V$8,$HK$4,IFERROR(VLOOKUP('FICHA AMALDIÇOADA'!$L$346,$BC$2:$BK$84,4,FALSE),0)))+IF(IFERROR(VLOOKUP('FICHA AMALDIÇOADA'!$P$346,$BC$2:$BK$84,4,FALSE),0)=0,0,INDEX($Q$2:$V$8,$HK$4,IFERROR(VLOOKUP('FICHA AMALDIÇOADA'!$P$346,$BC$2:$BK$84,4,FALSE),0)))+IF(IFERROR(VLOOKUP('FICHA AMALDIÇOADA'!$R$346,$BC$2:$BK$84,4,FALSE),0)=0,0,INDEX($Q$2:$V$8,$HK$4,IFERROR(VLOOKUP('FICHA AMALDIÇOADA'!$R$346,$BC$2:$BK$84,4,FALSE),0)))</f>
        <v/>
      </c>
      <c r="KS38" s="153" t="inlineStr">
        <is>
          <t>L343</t>
        </is>
      </c>
      <c r="KT38" s="155">
        <f>IF(DADOS_AM!$HK$36=0,"Nível 17",DADOS_AM!$HK$36&amp;"d8 = "&amp;FLOOR(DADOS_AM!$HK$36*4.5,1))</f>
        <v/>
      </c>
    </row>
    <row r="39">
      <c r="BC39" s="153" t="inlineStr">
        <is>
          <t>Cerca</t>
        </is>
      </c>
      <c r="BD39" s="153" t="inlineStr">
        <is>
          <t>Controle</t>
        </is>
      </c>
      <c r="BE39" s="155" t="n">
        <v>1</v>
      </c>
      <c r="BF39" s="155">
        <f>$BE39+3*IFERROR(VLOOKUP($BD39,$I$2:$L$10,3,FALSE),0)</f>
        <v/>
      </c>
      <c r="BG39" s="155">
        <f>IFERROR(VLOOKUP($BD39,$I$2:$L$10,4,FALSE),0)</f>
        <v/>
      </c>
      <c r="BH39" s="155" t="n">
        <v>1</v>
      </c>
      <c r="BI39" s="155">
        <f>IF($BG39=1,"",$BC39)</f>
        <v/>
      </c>
      <c r="BJ39" s="155">
        <f>IF(AND($BE39=1,$BG39=0),$BC39,"")</f>
        <v/>
      </c>
      <c r="BK39" s="155" t="n">
        <v>1</v>
      </c>
      <c r="DW39" s="153" t="inlineStr">
        <is>
          <t>Liberação 2</t>
        </is>
      </c>
      <c r="DX39" s="155" t="n">
        <v>1</v>
      </c>
      <c r="DY39" s="155" t="n">
        <v>2</v>
      </c>
      <c r="DZ39" s="155">
        <f>MAX(1,MIN(7,N('FICHA AMALDIÇOADA'!$J$319)))</f>
        <v/>
      </c>
      <c r="EA39" s="155">
        <f>'FICHA AMALDIÇOADA'!$K$319&amp;""</f>
        <v/>
      </c>
      <c r="EB39" s="155">
        <f>'FICHA AMALDIÇOADA'!$J$326&amp;""</f>
        <v/>
      </c>
      <c r="EC39" s="155">
        <f>'FICHA AMALDIÇOADA'!$K$328&amp;""</f>
        <v/>
      </c>
      <c r="ED39" s="155">
        <f>'FICHA AMALDIÇOADA'!$K$329&amp;""</f>
        <v/>
      </c>
      <c r="EE39" s="155">
        <f>'FICHA AMALDIÇOADA'!$K$330&amp;""</f>
        <v/>
      </c>
      <c r="EF39" s="155">
        <f>'FICHA AMALDIÇOADA'!$K$331&amp;""</f>
        <v/>
      </c>
      <c r="EG39" s="155">
        <f>'FICHA AMALDIÇOADA'!$K$332&amp;""</f>
        <v/>
      </c>
      <c r="EH39" s="155">
        <f>'FICHA AMALDIÇOADA'!$K$333&amp;""</f>
        <v/>
      </c>
      <c r="EI39" s="155">
        <f>IF($EA39&lt;&gt;"",1,0)</f>
        <v/>
      </c>
      <c r="EJ39" s="155">
        <f>IFERROR(MATCH($EB39,$Y$2:$Y$11,0),0)</f>
        <v/>
      </c>
      <c r="EK39" s="155">
        <f>IF($EJ39=0,0,INDEX($AB$2:$AB$11,$EJ39))</f>
        <v/>
      </c>
      <c r="EL39" s="155">
        <f>IFERROR(VLOOKUP($EC39,$BC$2:$BK$84,4,FALSE),0)</f>
        <v/>
      </c>
      <c r="EM39" s="155">
        <f>IFERROR(VLOOKUP($ED39,$BC$2:$BK$84,4,FALSE),0)</f>
        <v/>
      </c>
      <c r="EN39" s="155">
        <f>IFERROR(VLOOKUP($EE39,$BC$2:$BK$84,4,FALSE),0)</f>
        <v/>
      </c>
      <c r="EO39" s="155">
        <f>IFERROR(VLOOKUP($EF39,$BC$2:$BK$84,4,FALSE),0)</f>
        <v/>
      </c>
      <c r="EP39" s="155">
        <f>IF($EJ39=0,0,INDEX($AC$2:$AC$11,$EJ39))</f>
        <v/>
      </c>
      <c r="EQ39" s="155">
        <f>IFERROR(VLOOKUP($EC39,$BC$2:$BK$84,5,FALSE),0)</f>
        <v/>
      </c>
      <c r="ER39" s="155">
        <f>IFERROR(VLOOKUP($ED39,$BC$2:$BK$84,5,FALSE),0)</f>
        <v/>
      </c>
      <c r="ES39" s="155">
        <f>IFERROR(VLOOKUP($EE39,$BC$2:$BK$84,5,FALSE),0)</f>
        <v/>
      </c>
      <c r="ET39" s="155">
        <f>IFERROR(VLOOKUP($EF39,$BC$2:$BK$84,5,FALSE),0)</f>
        <v/>
      </c>
      <c r="EU39" s="155">
        <f>IFERROR(VLOOKUP($EC39,$BC$2:$BK$84,6,FALSE),0)+IFERROR(VLOOKUP($ED39,$BC$2:$BK$84,6,FALSE),0)+IFERROR(VLOOKUP($EE39,$BC$2:$BK$84,6,FALSE),0)+IFERROR(VLOOKUP($EF39,$BC$2:$BK$84,6,FALSE),0)</f>
        <v/>
      </c>
      <c r="EV39" s="155">
        <f>IFERROR(VLOOKUP($EC39,$BC$2:$BK$84,9,FALSE),0)+IFERROR(VLOOKUP($ED39,$BC$2:$BK$84,9,FALSE),0)+IFERROR(VLOOKUP($EE39,$BC$2:$BK$84,9,FALSE),0)+IFERROR(VLOOKUP($EF39,$BC$2:$BK$84,9,FALSE),0)</f>
        <v/>
      </c>
      <c r="EW39" s="155">
        <f>IF($EJ39=0,0,INDEX($AD$2:$AD$11,$EJ39))</f>
        <v/>
      </c>
      <c r="EX39" s="155">
        <f>IF($EJ39=0,0,INDEX($AE$2:$AE$11,$EJ39))</f>
        <v/>
      </c>
      <c r="EY39" s="155">
        <f>IF($EJ39=0,0,INDEX($AG$2:$AG$11,$EJ39))</f>
        <v/>
      </c>
      <c r="EZ39" s="155">
        <f>IFERROR(VLOOKUP($EG39,$BM$2:$BQ$24,3,FALSE),0)</f>
        <v/>
      </c>
      <c r="FA39" s="155">
        <f>IFERROR(VLOOKUP($EH39,$BM$2:$BQ$24,3,FALSE),0)</f>
        <v/>
      </c>
      <c r="FB39" s="155">
        <f>IFERROR(VLOOKUP($EG39,$BM$2:$BQ$24,2,FALSE),"")</f>
        <v/>
      </c>
      <c r="FC39" s="155">
        <f>IFERROR(VLOOKUP($EH39,$BM$2:$BQ$24,2,FALSE),"")</f>
        <v/>
      </c>
      <c r="FD39" s="155">
        <f>COUNTIF($EK39:$EO39,1)</f>
        <v/>
      </c>
      <c r="FE39" s="155">
        <f>COUNTIF($EK39:$EO39,2)</f>
        <v/>
      </c>
      <c r="FF39" s="155">
        <f>COUNTIF($EK39:$EO39,3)</f>
        <v/>
      </c>
      <c r="FG39" s="155">
        <f>COUNTIF($EK39:$EO39,4)</f>
        <v/>
      </c>
      <c r="FH39" s="155">
        <f>COUNTIF($EK39:$EO39,5)</f>
        <v/>
      </c>
      <c r="FI39" s="155">
        <f>COUNTIF($EK39:$EO39,6)</f>
        <v/>
      </c>
      <c r="FJ39" s="155">
        <f>COUNTIF($EZ39:$FA39,1)</f>
        <v/>
      </c>
      <c r="FK39" s="155">
        <f>COUNTIF($EZ39:$FA39,2)+$EW39</f>
        <v/>
      </c>
      <c r="FL39" s="155">
        <f>COUNTIF($EC39:$EF39,"?*")</f>
        <v/>
      </c>
      <c r="FM39" s="155">
        <f>COUNTIF($EG39:$EH39,"?*")+$EW39</f>
        <v/>
      </c>
      <c r="FN39" s="155">
        <f>SUMPRODUCT($FD39:$FI39,INDEX($Q$2:$V$8,$DZ39,0))</f>
        <v/>
      </c>
      <c r="FO39" s="155">
        <f>$FJ39*CEILING($DZ39/2,1)+$FK39*$DZ39</f>
        <v/>
      </c>
      <c r="FP39" s="155">
        <f>MIN(2*$DZ39,$FO39)</f>
        <v/>
      </c>
      <c r="FQ39" s="155">
        <f>MIN($FP39,$FN39)</f>
        <v/>
      </c>
      <c r="FR39" s="155">
        <f>$FP39-$FQ39</f>
        <v/>
      </c>
      <c r="FS39" s="155">
        <f>3*$DZ39-$FN39+$FQ39</f>
        <v/>
      </c>
      <c r="FT39" s="155">
        <f>MAX(0,$FS39)+$DX39*$DZ39</f>
        <v/>
      </c>
      <c r="FU39" s="155">
        <f>(IF(COUNTIF($EC39:$EF39,"Salto")&gt;0,1,0)+IF(COUNTIF($EC39:$EF39,"Queima")&gt;0,1,0)+IF(COUNTIF($EC39:$EF39,"Estilhaço")&gt;0,1,0))*FLOOR($FT39/2,1)</f>
        <v/>
      </c>
      <c r="FV39" s="155">
        <f>MAX(0,3-SUMPRODUCT($FD39:$FI39,$Q$2:$V$2)+MIN(2,$FJ39*1+$FK39*1,SUMPRODUCT($FD39:$FI39,$Q$2:$V$2)))+$DX39*1</f>
        <v/>
      </c>
      <c r="FW39" s="155">
        <f>MAX(0,6-SUMPRODUCT($FD39:$FI39,$Q$3:$V$3)+MIN(4,$FJ39*1+$FK39*2,SUMPRODUCT($FD39:$FI39,$Q$3:$V$3)))+$DX39*2</f>
        <v/>
      </c>
      <c r="FX39" s="155">
        <f>MAX(0,9-SUMPRODUCT($FD39:$FI39,$Q$4:$V$4)+MIN(6,$FJ39*2+$FK39*3,SUMPRODUCT($FD39:$FI39,$Q$4:$V$4)))+$DX39*3</f>
        <v/>
      </c>
      <c r="FY39" s="155">
        <f>MAX(0,12-SUMPRODUCT($FD39:$FI39,$Q$5:$V$5)+MIN(8,$FJ39*2+$FK39*4,SUMPRODUCT($FD39:$FI39,$Q$5:$V$5)))+$DX39*4</f>
        <v/>
      </c>
      <c r="FZ39" s="155">
        <f>MAX(0,15-SUMPRODUCT($FD39:$FI39,$Q$6:$V$6)+MIN(10,$FJ39*3+$FK39*5,SUMPRODUCT($FD39:$FI39,$Q$6:$V$6)))+$DX39*5</f>
        <v/>
      </c>
      <c r="GA39" s="155">
        <f>MAX(0,18-SUMPRODUCT($FD39:$FI39,$Q$7:$V$7)+MIN(12,$FJ39*3+$FK39*6,SUMPRODUCT($FD39:$FI39,$Q$7:$V$7)))+$DX39*6</f>
        <v/>
      </c>
      <c r="GB39" s="155">
        <f>MAX(0,21-SUMPRODUCT($FD39:$FI39,$Q$8:$V$8)+MIN(14,$FJ39*4+$FK39*7,SUMPRODUCT($FD39:$FI39,$Q$8:$V$8)))+$DX39*7</f>
        <v/>
      </c>
      <c r="GC39" s="155">
        <f>IF($EX39=2,3*$FV39&amp;" de vida temp.",IF($EX39=3,"sem dano",IF($FV39=0,IF($EX39=1,"sem cura","sem dano"),IF($EX39=1,"cura ","")&amp;$FV39&amp;"d8")))</f>
        <v/>
      </c>
      <c r="GD39" s="155">
        <f>IF($EX39=2,3*$FW39&amp;" de vida temp.",IF($EX39=3,"sem dano",IF($FW39=0,IF($EX39=1,"sem cura","sem dano"),IF($EX39=1,"cura ","")&amp;$FW39&amp;"d8")))</f>
        <v/>
      </c>
      <c r="GE39" s="155">
        <f>IF($EX39=2,3*$FX39&amp;" de vida temp.",IF($EX39=3,"sem dano",IF($FX39=0,IF($EX39=1,"sem cura","sem dano"),IF($EX39=1,"cura ","")&amp;$FX39&amp;"d8")))</f>
        <v/>
      </c>
      <c r="GF39" s="155">
        <f>IF($EX39=2,3*$FY39&amp;" de vida temp.",IF($EX39=3,"sem dano",IF($FY39=0,IF($EX39=1,"sem cura","sem dano"),IF($EX39=1,"cura ","")&amp;$FY39&amp;"d8")))</f>
        <v/>
      </c>
      <c r="GG39" s="155">
        <f>IF($EX39=2,3*$FZ39&amp;" de vida temp.",IF($EX39=3,"sem dano",IF($FZ39=0,IF($EX39=1,"sem cura","sem dano"),IF($EX39=1,"cura ","")&amp;$FZ39&amp;"d8")))</f>
        <v/>
      </c>
      <c r="GH39" s="155">
        <f>IF($EX39=2,3*$GA39&amp;" de vida temp.",IF($EX39=3,"sem dano",IF($GA39=0,IF($EX39=1,"sem cura","sem dano"),IF($EX39=1,"cura ","")&amp;$GA39&amp;"d8")))</f>
        <v/>
      </c>
      <c r="GI39" s="155">
        <f>IF($EX39=2,3*$GB39&amp;" de vida temp.",IF($EX39=3,"sem dano",IF($GB39=0,IF($EX39=1,"sem cura","sem dano"),IF($EX39=1,"cura ","")&amp;$GB39&amp;"d8")))</f>
        <v/>
      </c>
      <c r="GJ39" s="155">
        <f>IF($EI39=0,"",TEXTJOIN(" · ",TRUE,IF(AND($DX39=1,$DY39&gt;$HK$9),"O nível "&amp;$HK$2&amp;" dá "&amp;$HK$9&amp;" Liberação Máxima",""),IF($DZ39&gt;$HK$4,"Classe "&amp;$DZ39&amp;": o nível "&amp;$HK$2&amp;" libera até a "&amp;$HK$4,""),IF($EP39=1,"Família Fechada: a Forma "&amp;$EB39,""),IF($EQ39=1,"Família Fechada: "&amp;$EC39,""),IF($ER39=1,"Família Fechada: "&amp;$ED39,""),IF($ES39=1,"Família Fechada: "&amp;$EE39,""),IF($ET39=1,"Família Fechada: "&amp;$EF39,""),IF($FL39&gt;INDEX($W$2:$W$8,$DZ39),$FL39&amp;" Melhorias: a Classe "&amp;$DZ39&amp;" aceita "&amp;INDEX($W$2:$W$8,$DZ39),""),IF($FM39&gt;2,$FM39&amp;" Restrições"&amp;IF($EW39=1,", contando a que a Forma "&amp;$EB39&amp;" já traz","")&amp;": o limite é 2",""),IF($FS39&lt;0,"Orçamento estourado: faltam "&amp;(-$FS39)&amp;IF($FS39&lt;-1," pontos"," ponto"),""),IF(IFERROR(VLOOKUP($EG39,$BM$2:$BQ$24,4,FALSE),0)+IFERROR(VLOOKUP($EH39,$BM$2:$BQ$24,4,FALSE),0)&gt;1,$FB39&amp;" e "&amp;$FC39&amp;" são as duas de frequência",""),IF(AND((COUNTIF($EC39:$EF39,"Rápido")+COUNTIF($FB39:$FC39,"Rápido"))&gt;0,(COUNTIF($EC39:$EF39,"Atrasar")+COUNTIF($FB39:$FC39,"Atrasar"))&gt;0),"Rápido não entra com Atrasar",""),IF(AND((COUNTIF($EC39:$EF39,"Reação")+COUNTIF($FB39:$FC39,"Reação"))&gt;0,(COUNTIF($EC39:$EF39,"Rápido")+COUNTIF($FB39:$FC39,"Rápido"))&gt;0),"Reação não entra com Rápido",""),IF(AND((COUNTIF($EC39:$EF39,"Reação")+COUNTIF($FB39:$FC39,"Reação"))&gt;0,(COUNTIF($EC39:$EF39,"Armado")+COUNTIF($FB39:$FC39,"Armado"))&gt;0),"Reação não entra com Armado",""),IF(AND((COUNTIF($EC39:$EF39,"Reação")+COUNTIF($FB39:$FC39,"Reação"))&gt;0,(COUNTIF($EC39:$EF39,"Atrasar")+COUNTIF($FB39:$FC39,"Atrasar"))&gt;0),"Reação não entra com Atrasar",""),IF(AND((COUNTIF($EC39:$EF39,"Reação")+COUNTIF($FB39:$FC39,"Reação"))&gt;0,(COUNTIF($EC39:$EF39,"Parado")+COUNTIF($FB39:$FC39,"Parado"))&gt;0),"Reação não entra com Parado",""),IF(AND((COUNTIF($EC39:$EF39,"Atrasar")+COUNTIF($FB39:$FC39,"Atrasar"))&gt;0,(COUNTIF($EC39:$EF39,"Parado")+COUNTIF($FB39:$FC39,"Parado"))&gt;0),"Atrasar não entra com Parado",""),IF(AND((COUNTIF($EC39:$EF39,"Armado")+COUNTIF($FB39:$FC39,"Armado"))&gt;0,(COUNTIF($EC39:$EF39,"Carregar")+COUNTIF($FB39:$FC39,"Carregar"))&gt;0),"Armado não entra com Carregar",""),IF(AND(COUNTIF($FB39:$FC39,"Corpo a Corpo")&gt;0,$EW39=0,OR($EB39="Cone",$EB39="Linha")),"Corpo a Corpo não entra em "&amp;$EB39,""),IF(AND(COUNTIF($FB39:$FC39,"Corpo a Corpo")&gt;0,$EW39=1),"A Forma "&amp;$EB39&amp;" já traz o Corpo a Corpo",""),IF(AND(COUNTIF($FB39:$FC39,"Tudo ou Nada")&gt;0,$EY39=0),"Tudo ou Nada só entra em feitiço de Teste de Resistência",""),IF(AND(COUNTIF($EC39:$EF39,"Inescapável")&gt;0,OR($FL39&gt;1,$FM39&gt;0)),"Inescapável não aceita outra peça",""),IF(AND($DX39=1,$DZ39&lt;3),"Liberação Máxima é de Classe 3 ou mais",""),IF(AND($DX39=1,OR($EX39=1,$EX39=2)),"Liberação Máxima não serve para cura",""),IF(AND($DX39=1,COUNTIF($EC39:$EF39,"Inescapável")+COUNTIF($EC39:$EF39,"Toca a Alma")&gt;0),"Esta peça não entra numa Liberação Máxima",""),IF($FT39*IF(COUNTIF($EC39:$EF39,"Remate")&gt;0,1.25,1)+$FU39&gt;4*$DZ39,($FT39*IF(COUNTIF($EC39:$EF39,"Remate")&gt;0,1.25,1)+$FU39)&amp;" dados somando repetições"&amp;IF(COUNTIF($EC39:$EF39,"Remate")&gt;0," e o Remate","")&amp;": o teto da Classe "&amp;$DZ39&amp;" é "&amp;4*$DZ39,"")))</f>
        <v/>
      </c>
      <c r="GK39" s="155">
        <f>IF($GJ39="",0,(LEN($GJ39)-LEN(SUBSTITUTE($GJ39," · ","")))/3+1)</f>
        <v/>
      </c>
      <c r="GL39" s="155">
        <f>IF($EI39=0,"",TEXTJOIN(" · ",TRUE,IF($FO39&gt;2*$DZ39,"A devolução parou no teto de "&amp;2*$DZ39,""),IF($FR39&gt;0,"Devolução perdida: "&amp;$FR39&amp;IF($FR39&gt;1," pontos"," ponto")&amp;" sem peça para pagar",""),IF(AND($EU39&gt;0,$FT39=0),"Controle sem dano: uma rodada a mais e CD +2",""),IF(AND($EU39&gt;0,$FT39&gt;0,$FT39&lt;=$DZ39),"Controle com saldo até a Classe: uma rodada a mais","")))</f>
        <v/>
      </c>
      <c r="GM39" s="155">
        <f>IF($GL39="",0,(LEN($GL39)-LEN(SUBSTITUTE($GL39," · ","")))/3+1)</f>
        <v/>
      </c>
      <c r="GN39" s="155">
        <f>IF($EI39=0,IF($FL39+$FM39-$EW39&gt;0,"Dê um nome",""),IF($GK39&gt;0,"⚠ "&amp;$GK39&amp;IF($GK39&gt;1," erros"," erro"),IF($GM39&gt;0,"! "&amp;$GM39&amp;IF($GM39&gt;1," avisos"," aviso"),"Na regra")))</f>
        <v/>
      </c>
      <c r="GO39" s="155">
        <f>IF($EI39=0,"",IF($GK39+$GM39=0,"Dentro das regras que a ficha confere",$GJ39&amp;IF(AND($GK39&gt;0,$GM39&gt;0)," · ","")&amp;$GL39))</f>
        <v/>
      </c>
      <c r="GP39" s="155">
        <f>IF($EI39=0,"",IF($DX39=1,CEILING(4.5*$DZ39,1),3*$DZ39)&amp;" PE")</f>
        <v/>
      </c>
      <c r="GQ39" s="155">
        <f>IF($EI39=0,"",IF($DX39=1,"Rodada inteira",IF(COUNTIF($FB39:$FC39,"Atrasar")&gt;0,IF(COUNTIF($FB39:$FC39,"Carregar")&gt;0,"Rodada +1 turno","Rodada inteira"),IF(COUNTIF($EC39:$EF39,"Rápido")&gt;0,"Bônus",IF(COUNTIF($EC39:$EF39,"Reação")&gt;0,"Reação","Padrão"))&amp;IF(COUNTIF($FB39:$FC39,"Carregar")&gt;0," +1 turno",""))))</f>
        <v/>
      </c>
      <c r="GR39" s="155">
        <f>IF(OR($EI39=0,$EJ39=0),"",IF(COUNTIF($EC39:$EF39,"Inescapável")&gt;0,"Automático",IF(COUNTIF($EC39:$EF39,"Certeiro")&gt;0,"TR para metade",IF(AND($EV39&gt;0,$EY39=0,INDEX($AF$2:$AF$11,$EJ39)="Acerto"),"Acerto + TR",INDEX($AF$2:$AF$11,$EJ39)))))</f>
        <v/>
      </c>
      <c r="GS39" s="155">
        <f>IF(OR($EI39=0,$EJ39=0),"",IF(OR($EX39&gt;=2,$FT39=0),UPPER(LEFT(INDEX($GC39:$GI39,1,$DZ39),1))&amp;MID(INDEX($GC39:$GI39,1,$DZ39),2,99),UPPER(LEFT(INDEX($GC39:$GI39,1,$DZ39),1))&amp;MID(INDEX($GC39:$GI39,1,$DZ39),2,99)&amp;" = "&amp;FLOOR($FT39*4.5,1)&amp;IF($FU39&gt;0," · +"&amp;$FU39&amp;"d8","")))</f>
        <v/>
      </c>
      <c r="GT39" s="155">
        <f>COUNTIF($EC39:$EF39,"Longe")+3*COUNTIF($EC39:$EF39,"Muito Longe")</f>
        <v/>
      </c>
      <c r="GU39" s="155">
        <f>COUNTIF($EC39:$EF39,"Maior")+3*COUNTIF($EC39:$EF39,"Muito Maior")</f>
        <v/>
      </c>
      <c r="GV39" s="155">
        <f>IF($EJ39=0,0,CHOOSE(1+INDEX($AH$2:$AH$11,$EJ39),0,$GT39,$GU39,$GT39+$GU39))</f>
        <v/>
      </c>
      <c r="GW39" s="155">
        <f>IF($EJ39=0,0,CHOOSE(1+INDEX($AI$2:$AI$11,$EJ39),0,$GT39,$GU39,$GT39+$GU39))</f>
        <v/>
      </c>
      <c r="GX39" s="155">
        <f>IF(OR($EI39=0,$EJ39=0),"",INDEX($AP$2:$AU$31,($EJ39-1)*3+IF($DZ39&gt;=6,3,2),1+MIN(5,$GV39))&amp;INDEX($AV$2:$BA$31,($EJ39-1)*3+IF($DZ39&gt;=6,3,2),1+MIN(5,$GW39))&amp;IF(INDEX($AJ$2:$AJ$11,$EJ39)=1,IF(COUNTIF($EC39:$EF39,"Mais Um")&gt;0," · +"&amp;COUNTIF($EC39:$EF39,"Mais Um")&amp;IF(COUNTIF($EC39:$EF39,"Mais Um")&gt;1," alvos"," alvo"),"")&amp;IF(COUNTIF($EC39:$EF39,"Rajada")&gt;0," · "&amp;($DZ39+1)&amp;" tiros",""),""))</f>
        <v/>
      </c>
      <c r="GY39" s="155">
        <f>IF($EI39=0,"",3*$DZ39&amp;" − "&amp;$FN39&amp;" + "&amp;$FQ39&amp;IF($DX39=1," + "&amp;$DZ39,"")&amp;" = "&amp;$FT39&amp;"d8 · teto "&amp;4*$DZ39&amp;IF($EW39=1," · a Forma devolve "&amp;$DZ39,"")&amp;IF($FR39&gt;0," · perde "&amp;$FR39,""))</f>
        <v/>
      </c>
      <c r="GZ39" s="155">
        <f>IF($EI39=0,"",IF($DZ39&gt;=$HK$4,"Já está na maior Classe que o nível liberou",TEXTJOIN(" · ",TRUE,IF(AND(2&gt;$DZ39,2&lt;=$HK$4),"2 → "&amp;$GD39&amp;", "&amp;IF($DX39=1,9,6)&amp;" PE",""),IF(AND(3&gt;$DZ39,3&lt;=$HK$4),"3 → "&amp;$GE39&amp;", "&amp;IF($DX39=1,14,9)&amp;" PE",""),IF(AND(4&gt;$DZ39,4&lt;=$HK$4),"4 → "&amp;$GF39&amp;", "&amp;IF($DX39=1,18,12)&amp;" PE",""),IF(AND(5&gt;$DZ39,5&lt;=$HK$4),"5 → "&amp;$GG39&amp;", "&amp;IF($DX39=1,23,15)&amp;" PE",""),IF(AND(6&gt;$DZ39,6&lt;=$HK$4),"6 → "&amp;$GH39&amp;", "&amp;IF($DX39=1,27,18)&amp;" PE",""),IF(AND(7&gt;$DZ39,7&lt;=$HK$4),"7 → "&amp;$GI39&amp;", "&amp;IF($DX39=1,32,21)&amp;" PE",""))))</f>
        <v/>
      </c>
      <c r="HA39" s="155">
        <f>IF(OR($EI39=0,$EL39=0),"","−"&amp;INDEX($Q$2:$V$8,$DZ39,$EL39)&amp;" · "&amp;CHOOSE($EL39,"Leve","Média","Pesada","Leve · Livre","Média · Livre","Pesada · Livre"))</f>
        <v/>
      </c>
      <c r="HB39" s="155">
        <f>IF(OR($EI39=0,$EM39=0),"","−"&amp;INDEX($Q$2:$V$8,$DZ39,$EM39)&amp;" · "&amp;CHOOSE($EM39,"Leve","Média","Pesada","Leve · Livre","Média · Livre","Pesada · Livre"))</f>
        <v/>
      </c>
      <c r="HC39" s="155">
        <f>IF(OR($EI39=0,$EN39=0),"","−"&amp;INDEX($Q$2:$V$8,$DZ39,$EN39)&amp;" · "&amp;CHOOSE($EN39,"Leve","Média","Pesada","Leve · Livre","Média · Livre","Pesada · Livre"))</f>
        <v/>
      </c>
      <c r="HD39" s="155">
        <f>IF(OR($EI39=0,$EO39=0),"","−"&amp;INDEX($Q$2:$V$8,$DZ39,$EO39)&amp;" · "&amp;CHOOSE($EO39,"Leve","Média","Pesada","Leve · Livre","Média · Livre","Pesada · Livre"))</f>
        <v/>
      </c>
      <c r="HE39" s="155">
        <f>IF(OR($EI39=0,$EG39=""),"","+"&amp;IF($EZ39=1,CEILING($DZ39/2,1),$DZ39))</f>
        <v/>
      </c>
      <c r="HF39" s="155">
        <f>IF(OR($EI39=0,$EH39=""),"","+"&amp;IF($FA39=1,CEILING($DZ39/2,1),$DZ39))</f>
        <v/>
      </c>
      <c r="HG39" s="155">
        <f>'FICHA AMALDIÇOADA'!$J$321&amp;""</f>
        <v/>
      </c>
      <c r="HH39" s="155">
        <f>IF(AND($EI39=1,$DX39=0),COUNTIFS($EI$2:$EI39,1,$DX$2:$DX39,0),"")</f>
        <v/>
      </c>
      <c r="HJ39" s="153" t="inlineStr">
        <is>
          <t>fechada na técnica máxima</t>
        </is>
      </c>
      <c r="HK39" s="155">
        <f>IFERROR(VLOOKUP('FICHA AMALDIÇOADA'!$J$343,$Y$2:$AC$11,5,FALSE),0)+IFERROR(VLOOKUP('FICHA AMALDIÇOADA'!$J$346,$BC$2:$BK$84,5,FALSE),0)+IFERROR(VLOOKUP('FICHA AMALDIÇOADA'!$L$346,$BC$2:$BK$84,5,FALSE),0)+IFERROR(VLOOKUP('FICHA AMALDIÇOADA'!$P$346,$BC$2:$BK$84,5,FALSE),0)+IFERROR(VLOOKUP('FICHA AMALDIÇOADA'!$R$346,$BC$2:$BK$84,5,FALSE),0)</f>
        <v/>
      </c>
      <c r="KS39" s="153" t="inlineStr">
        <is>
          <t>P343</t>
        </is>
      </c>
      <c r="KT39" s="155">
        <f>IF(DADOS_AM!$HK$36=0,"—",5*DADOS_AM!$HK$4)</f>
        <v/>
      </c>
    </row>
    <row r="40">
      <c r="BC40" s="153" t="inlineStr">
        <is>
          <t>Desarma o Feitiço</t>
        </is>
      </c>
      <c r="BD40" s="153" t="inlineStr">
        <is>
          <t>Controle</t>
        </is>
      </c>
      <c r="BE40" s="155" t="n">
        <v>2</v>
      </c>
      <c r="BF40" s="155">
        <f>$BE40+3*IFERROR(VLOOKUP($BD40,$I$2:$L$10,3,FALSE),0)</f>
        <v/>
      </c>
      <c r="BG40" s="155">
        <f>IFERROR(VLOOKUP($BD40,$I$2:$L$10,4,FALSE),0)</f>
        <v/>
      </c>
      <c r="BH40" s="155" t="n">
        <v>1</v>
      </c>
      <c r="BI40" s="155">
        <f>IF($BG40=1,"",$BC40)</f>
        <v/>
      </c>
      <c r="BJ40" s="155">
        <f>IF(AND($BE40=1,$BG40=0),$BC40,"")</f>
        <v/>
      </c>
      <c r="BK40" s="155" t="n">
        <v>0</v>
      </c>
      <c r="DW40" s="153" t="inlineStr">
        <is>
          <t>Liberação 3</t>
        </is>
      </c>
      <c r="DX40" s="155" t="n">
        <v>1</v>
      </c>
      <c r="DY40" s="155" t="n">
        <v>3</v>
      </c>
      <c r="DZ40" s="155">
        <f>MAX(1,MIN(7,N('FICHA AMALDIÇOADA'!$P$319)))</f>
        <v/>
      </c>
      <c r="EA40" s="155">
        <f>'FICHA AMALDIÇOADA'!$Q$319&amp;""</f>
        <v/>
      </c>
      <c r="EB40" s="155">
        <f>'FICHA AMALDIÇOADA'!$P$326&amp;""</f>
        <v/>
      </c>
      <c r="EC40" s="155">
        <f>'FICHA AMALDIÇOADA'!$Q$328&amp;""</f>
        <v/>
      </c>
      <c r="ED40" s="155">
        <f>'FICHA AMALDIÇOADA'!$Q$329&amp;""</f>
        <v/>
      </c>
      <c r="EE40" s="155">
        <f>'FICHA AMALDIÇOADA'!$Q$330&amp;""</f>
        <v/>
      </c>
      <c r="EF40" s="155">
        <f>'FICHA AMALDIÇOADA'!$Q$331&amp;""</f>
        <v/>
      </c>
      <c r="EG40" s="155">
        <f>'FICHA AMALDIÇOADA'!$Q$332&amp;""</f>
        <v/>
      </c>
      <c r="EH40" s="155">
        <f>'FICHA AMALDIÇOADA'!$Q$333&amp;""</f>
        <v/>
      </c>
      <c r="EI40" s="155">
        <f>IF($EA40&lt;&gt;"",1,0)</f>
        <v/>
      </c>
      <c r="EJ40" s="155">
        <f>IFERROR(MATCH($EB40,$Y$2:$Y$11,0),0)</f>
        <v/>
      </c>
      <c r="EK40" s="155">
        <f>IF($EJ40=0,0,INDEX($AB$2:$AB$11,$EJ40))</f>
        <v/>
      </c>
      <c r="EL40" s="155">
        <f>IFERROR(VLOOKUP($EC40,$BC$2:$BK$84,4,FALSE),0)</f>
        <v/>
      </c>
      <c r="EM40" s="155">
        <f>IFERROR(VLOOKUP($ED40,$BC$2:$BK$84,4,FALSE),0)</f>
        <v/>
      </c>
      <c r="EN40" s="155">
        <f>IFERROR(VLOOKUP($EE40,$BC$2:$BK$84,4,FALSE),0)</f>
        <v/>
      </c>
      <c r="EO40" s="155">
        <f>IFERROR(VLOOKUP($EF40,$BC$2:$BK$84,4,FALSE),0)</f>
        <v/>
      </c>
      <c r="EP40" s="155">
        <f>IF($EJ40=0,0,INDEX($AC$2:$AC$11,$EJ40))</f>
        <v/>
      </c>
      <c r="EQ40" s="155">
        <f>IFERROR(VLOOKUP($EC40,$BC$2:$BK$84,5,FALSE),0)</f>
        <v/>
      </c>
      <c r="ER40" s="155">
        <f>IFERROR(VLOOKUP($ED40,$BC$2:$BK$84,5,FALSE),0)</f>
        <v/>
      </c>
      <c r="ES40" s="155">
        <f>IFERROR(VLOOKUP($EE40,$BC$2:$BK$84,5,FALSE),0)</f>
        <v/>
      </c>
      <c r="ET40" s="155">
        <f>IFERROR(VLOOKUP($EF40,$BC$2:$BK$84,5,FALSE),0)</f>
        <v/>
      </c>
      <c r="EU40" s="155">
        <f>IFERROR(VLOOKUP($EC40,$BC$2:$BK$84,6,FALSE),0)+IFERROR(VLOOKUP($ED40,$BC$2:$BK$84,6,FALSE),0)+IFERROR(VLOOKUP($EE40,$BC$2:$BK$84,6,FALSE),0)+IFERROR(VLOOKUP($EF40,$BC$2:$BK$84,6,FALSE),0)</f>
        <v/>
      </c>
      <c r="EV40" s="155">
        <f>IFERROR(VLOOKUP($EC40,$BC$2:$BK$84,9,FALSE),0)+IFERROR(VLOOKUP($ED40,$BC$2:$BK$84,9,FALSE),0)+IFERROR(VLOOKUP($EE40,$BC$2:$BK$84,9,FALSE),0)+IFERROR(VLOOKUP($EF40,$BC$2:$BK$84,9,FALSE),0)</f>
        <v/>
      </c>
      <c r="EW40" s="155">
        <f>IF($EJ40=0,0,INDEX($AD$2:$AD$11,$EJ40))</f>
        <v/>
      </c>
      <c r="EX40" s="155">
        <f>IF($EJ40=0,0,INDEX($AE$2:$AE$11,$EJ40))</f>
        <v/>
      </c>
      <c r="EY40" s="155">
        <f>IF($EJ40=0,0,INDEX($AG$2:$AG$11,$EJ40))</f>
        <v/>
      </c>
      <c r="EZ40" s="155">
        <f>IFERROR(VLOOKUP($EG40,$BM$2:$BQ$24,3,FALSE),0)</f>
        <v/>
      </c>
      <c r="FA40" s="155">
        <f>IFERROR(VLOOKUP($EH40,$BM$2:$BQ$24,3,FALSE),0)</f>
        <v/>
      </c>
      <c r="FB40" s="155">
        <f>IFERROR(VLOOKUP($EG40,$BM$2:$BQ$24,2,FALSE),"")</f>
        <v/>
      </c>
      <c r="FC40" s="155">
        <f>IFERROR(VLOOKUP($EH40,$BM$2:$BQ$24,2,FALSE),"")</f>
        <v/>
      </c>
      <c r="FD40" s="155">
        <f>COUNTIF($EK40:$EO40,1)</f>
        <v/>
      </c>
      <c r="FE40" s="155">
        <f>COUNTIF($EK40:$EO40,2)</f>
        <v/>
      </c>
      <c r="FF40" s="155">
        <f>COUNTIF($EK40:$EO40,3)</f>
        <v/>
      </c>
      <c r="FG40" s="155">
        <f>COUNTIF($EK40:$EO40,4)</f>
        <v/>
      </c>
      <c r="FH40" s="155">
        <f>COUNTIF($EK40:$EO40,5)</f>
        <v/>
      </c>
      <c r="FI40" s="155">
        <f>COUNTIF($EK40:$EO40,6)</f>
        <v/>
      </c>
      <c r="FJ40" s="155">
        <f>COUNTIF($EZ40:$FA40,1)</f>
        <v/>
      </c>
      <c r="FK40" s="155">
        <f>COUNTIF($EZ40:$FA40,2)+$EW40</f>
        <v/>
      </c>
      <c r="FL40" s="155">
        <f>COUNTIF($EC40:$EF40,"?*")</f>
        <v/>
      </c>
      <c r="FM40" s="155">
        <f>COUNTIF($EG40:$EH40,"?*")+$EW40</f>
        <v/>
      </c>
      <c r="FN40" s="155">
        <f>SUMPRODUCT($FD40:$FI40,INDEX($Q$2:$V$8,$DZ40,0))</f>
        <v/>
      </c>
      <c r="FO40" s="155">
        <f>$FJ40*CEILING($DZ40/2,1)+$FK40*$DZ40</f>
        <v/>
      </c>
      <c r="FP40" s="155">
        <f>MIN(2*$DZ40,$FO40)</f>
        <v/>
      </c>
      <c r="FQ40" s="155">
        <f>MIN($FP40,$FN40)</f>
        <v/>
      </c>
      <c r="FR40" s="155">
        <f>$FP40-$FQ40</f>
        <v/>
      </c>
      <c r="FS40" s="155">
        <f>3*$DZ40-$FN40+$FQ40</f>
        <v/>
      </c>
      <c r="FT40" s="155">
        <f>MAX(0,$FS40)+$DX40*$DZ40</f>
        <v/>
      </c>
      <c r="FU40" s="155">
        <f>(IF(COUNTIF($EC40:$EF40,"Salto")&gt;0,1,0)+IF(COUNTIF($EC40:$EF40,"Queima")&gt;0,1,0)+IF(COUNTIF($EC40:$EF40,"Estilhaço")&gt;0,1,0))*FLOOR($FT40/2,1)</f>
        <v/>
      </c>
      <c r="FV40" s="155">
        <f>MAX(0,3-SUMPRODUCT($FD40:$FI40,$Q$2:$V$2)+MIN(2,$FJ40*1+$FK40*1,SUMPRODUCT($FD40:$FI40,$Q$2:$V$2)))+$DX40*1</f>
        <v/>
      </c>
      <c r="FW40" s="155">
        <f>MAX(0,6-SUMPRODUCT($FD40:$FI40,$Q$3:$V$3)+MIN(4,$FJ40*1+$FK40*2,SUMPRODUCT($FD40:$FI40,$Q$3:$V$3)))+$DX40*2</f>
        <v/>
      </c>
      <c r="FX40" s="155">
        <f>MAX(0,9-SUMPRODUCT($FD40:$FI40,$Q$4:$V$4)+MIN(6,$FJ40*2+$FK40*3,SUMPRODUCT($FD40:$FI40,$Q$4:$V$4)))+$DX40*3</f>
        <v/>
      </c>
      <c r="FY40" s="155">
        <f>MAX(0,12-SUMPRODUCT($FD40:$FI40,$Q$5:$V$5)+MIN(8,$FJ40*2+$FK40*4,SUMPRODUCT($FD40:$FI40,$Q$5:$V$5)))+$DX40*4</f>
        <v/>
      </c>
      <c r="FZ40" s="155">
        <f>MAX(0,15-SUMPRODUCT($FD40:$FI40,$Q$6:$V$6)+MIN(10,$FJ40*3+$FK40*5,SUMPRODUCT($FD40:$FI40,$Q$6:$V$6)))+$DX40*5</f>
        <v/>
      </c>
      <c r="GA40" s="155">
        <f>MAX(0,18-SUMPRODUCT($FD40:$FI40,$Q$7:$V$7)+MIN(12,$FJ40*3+$FK40*6,SUMPRODUCT($FD40:$FI40,$Q$7:$V$7)))+$DX40*6</f>
        <v/>
      </c>
      <c r="GB40" s="155">
        <f>MAX(0,21-SUMPRODUCT($FD40:$FI40,$Q$8:$V$8)+MIN(14,$FJ40*4+$FK40*7,SUMPRODUCT($FD40:$FI40,$Q$8:$V$8)))+$DX40*7</f>
        <v/>
      </c>
      <c r="GC40" s="155">
        <f>IF($EX40=2,3*$FV40&amp;" de vida temp.",IF($EX40=3,"sem dano",IF($FV40=0,IF($EX40=1,"sem cura","sem dano"),IF($EX40=1,"cura ","")&amp;$FV40&amp;"d8")))</f>
        <v/>
      </c>
      <c r="GD40" s="155">
        <f>IF($EX40=2,3*$FW40&amp;" de vida temp.",IF($EX40=3,"sem dano",IF($FW40=0,IF($EX40=1,"sem cura","sem dano"),IF($EX40=1,"cura ","")&amp;$FW40&amp;"d8")))</f>
        <v/>
      </c>
      <c r="GE40" s="155">
        <f>IF($EX40=2,3*$FX40&amp;" de vida temp.",IF($EX40=3,"sem dano",IF($FX40=0,IF($EX40=1,"sem cura","sem dano"),IF($EX40=1,"cura ","")&amp;$FX40&amp;"d8")))</f>
        <v/>
      </c>
      <c r="GF40" s="155">
        <f>IF($EX40=2,3*$FY40&amp;" de vida temp.",IF($EX40=3,"sem dano",IF($FY40=0,IF($EX40=1,"sem cura","sem dano"),IF($EX40=1,"cura ","")&amp;$FY40&amp;"d8")))</f>
        <v/>
      </c>
      <c r="GG40" s="155">
        <f>IF($EX40=2,3*$FZ40&amp;" de vida temp.",IF($EX40=3,"sem dano",IF($FZ40=0,IF($EX40=1,"sem cura","sem dano"),IF($EX40=1,"cura ","")&amp;$FZ40&amp;"d8")))</f>
        <v/>
      </c>
      <c r="GH40" s="155">
        <f>IF($EX40=2,3*$GA40&amp;" de vida temp.",IF($EX40=3,"sem dano",IF($GA40=0,IF($EX40=1,"sem cura","sem dano"),IF($EX40=1,"cura ","")&amp;$GA40&amp;"d8")))</f>
        <v/>
      </c>
      <c r="GI40" s="155">
        <f>IF($EX40=2,3*$GB40&amp;" de vida temp.",IF($EX40=3,"sem dano",IF($GB40=0,IF($EX40=1,"sem cura","sem dano"),IF($EX40=1,"cura ","")&amp;$GB40&amp;"d8")))</f>
        <v/>
      </c>
      <c r="GJ40" s="155">
        <f>IF($EI40=0,"",TEXTJOIN(" · ",TRUE,IF(AND($DX40=1,$DY40&gt;$HK$9),"O nível "&amp;$HK$2&amp;" dá "&amp;$HK$9&amp;" Liberação Máxima",""),IF($DZ40&gt;$HK$4,"Classe "&amp;$DZ40&amp;": o nível "&amp;$HK$2&amp;" libera até a "&amp;$HK$4,""),IF($EP40=1,"Família Fechada: a Forma "&amp;$EB40,""),IF($EQ40=1,"Família Fechada: "&amp;$EC40,""),IF($ER40=1,"Família Fechada: "&amp;$ED40,""),IF($ES40=1,"Família Fechada: "&amp;$EE40,""),IF($ET40=1,"Família Fechada: "&amp;$EF40,""),IF($FL40&gt;INDEX($W$2:$W$8,$DZ40),$FL40&amp;" Melhorias: a Classe "&amp;$DZ40&amp;" aceita "&amp;INDEX($W$2:$W$8,$DZ40),""),IF($FM40&gt;2,$FM40&amp;" Restrições"&amp;IF($EW40=1,", contando a que a Forma "&amp;$EB40&amp;" já traz","")&amp;": o limite é 2",""),IF($FS40&lt;0,"Orçamento estourado: faltam "&amp;(-$FS40)&amp;IF($FS40&lt;-1," pontos"," ponto"),""),IF(IFERROR(VLOOKUP($EG40,$BM$2:$BQ$24,4,FALSE),0)+IFERROR(VLOOKUP($EH40,$BM$2:$BQ$24,4,FALSE),0)&gt;1,$FB40&amp;" e "&amp;$FC40&amp;" são as duas de frequência",""),IF(AND((COUNTIF($EC40:$EF40,"Rápido")+COUNTIF($FB40:$FC40,"Rápido"))&gt;0,(COUNTIF($EC40:$EF40,"Atrasar")+COUNTIF($FB40:$FC40,"Atrasar"))&gt;0),"Rápido não entra com Atrasar",""),IF(AND((COUNTIF($EC40:$EF40,"Reação")+COUNTIF($FB40:$FC40,"Reação"))&gt;0,(COUNTIF($EC40:$EF40,"Rápido")+COUNTIF($FB40:$FC40,"Rápido"))&gt;0),"Reação não entra com Rápido",""),IF(AND((COUNTIF($EC40:$EF40,"Reação")+COUNTIF($FB40:$FC40,"Reação"))&gt;0,(COUNTIF($EC40:$EF40,"Armado")+COUNTIF($FB40:$FC40,"Armado"))&gt;0),"Reação não entra com Armado",""),IF(AND((COUNTIF($EC40:$EF40,"Reação")+COUNTIF($FB40:$FC40,"Reação"))&gt;0,(COUNTIF($EC40:$EF40,"Atrasar")+COUNTIF($FB40:$FC40,"Atrasar"))&gt;0),"Reação não entra com Atrasar",""),IF(AND((COUNTIF($EC40:$EF40,"Reação")+COUNTIF($FB40:$FC40,"Reação"))&gt;0,(COUNTIF($EC40:$EF40,"Parado")+COUNTIF($FB40:$FC40,"Parado"))&gt;0),"Reação não entra com Parado",""),IF(AND((COUNTIF($EC40:$EF40,"Atrasar")+COUNTIF($FB40:$FC40,"Atrasar"))&gt;0,(COUNTIF($EC40:$EF40,"Parado")+COUNTIF($FB40:$FC40,"Parado"))&gt;0),"Atrasar não entra com Parado",""),IF(AND((COUNTIF($EC40:$EF40,"Armado")+COUNTIF($FB40:$FC40,"Armado"))&gt;0,(COUNTIF($EC40:$EF40,"Carregar")+COUNTIF($FB40:$FC40,"Carregar"))&gt;0),"Armado não entra com Carregar",""),IF(AND(COUNTIF($FB40:$FC40,"Corpo a Corpo")&gt;0,$EW40=0,OR($EB40="Cone",$EB40="Linha")),"Corpo a Corpo não entra em "&amp;$EB40,""),IF(AND(COUNTIF($FB40:$FC40,"Corpo a Corpo")&gt;0,$EW40=1),"A Forma "&amp;$EB40&amp;" já traz o Corpo a Corpo",""),IF(AND(COUNTIF($FB40:$FC40,"Tudo ou Nada")&gt;0,$EY40=0),"Tudo ou Nada só entra em feitiço de Teste de Resistência",""),IF(AND(COUNTIF($EC40:$EF40,"Inescapável")&gt;0,OR($FL40&gt;1,$FM40&gt;0)),"Inescapável não aceita outra peça",""),IF(AND($DX40=1,$DZ40&lt;3),"Liberação Máxima é de Classe 3 ou mais",""),IF(AND($DX40=1,OR($EX40=1,$EX40=2)),"Liberação Máxima não serve para cura",""),IF(AND($DX40=1,COUNTIF($EC40:$EF40,"Inescapável")+COUNTIF($EC40:$EF40,"Toca a Alma")&gt;0),"Esta peça não entra numa Liberação Máxima",""),IF($FT40*IF(COUNTIF($EC40:$EF40,"Remate")&gt;0,1.25,1)+$FU40&gt;4*$DZ40,($FT40*IF(COUNTIF($EC40:$EF40,"Remate")&gt;0,1.25,1)+$FU40)&amp;" dados somando repetições"&amp;IF(COUNTIF($EC40:$EF40,"Remate")&gt;0," e o Remate","")&amp;": o teto da Classe "&amp;$DZ40&amp;" é "&amp;4*$DZ40,"")))</f>
        <v/>
      </c>
      <c r="GK40" s="155">
        <f>IF($GJ40="",0,(LEN($GJ40)-LEN(SUBSTITUTE($GJ40," · ","")))/3+1)</f>
        <v/>
      </c>
      <c r="GL40" s="155">
        <f>IF($EI40=0,"",TEXTJOIN(" · ",TRUE,IF($FO40&gt;2*$DZ40,"A devolução parou no teto de "&amp;2*$DZ40,""),IF($FR40&gt;0,"Devolução perdida: "&amp;$FR40&amp;IF($FR40&gt;1," pontos"," ponto")&amp;" sem peça para pagar",""),IF(AND($EU40&gt;0,$FT40=0),"Controle sem dano: uma rodada a mais e CD +2",""),IF(AND($EU40&gt;0,$FT40&gt;0,$FT40&lt;=$DZ40),"Controle com saldo até a Classe: uma rodada a mais","")))</f>
        <v/>
      </c>
      <c r="GM40" s="155">
        <f>IF($GL40="",0,(LEN($GL40)-LEN(SUBSTITUTE($GL40," · ","")))/3+1)</f>
        <v/>
      </c>
      <c r="GN40" s="155">
        <f>IF($EI40=0,IF($FL40+$FM40-$EW40&gt;0,"Dê um nome",""),IF($GK40&gt;0,"⚠ "&amp;$GK40&amp;IF($GK40&gt;1," erros"," erro"),IF($GM40&gt;0,"! "&amp;$GM40&amp;IF($GM40&gt;1," avisos"," aviso"),"Na regra")))</f>
        <v/>
      </c>
      <c r="GO40" s="155">
        <f>IF($EI40=0,"",IF($GK40+$GM40=0,"Dentro das regras que a ficha confere",$GJ40&amp;IF(AND($GK40&gt;0,$GM40&gt;0)," · ","")&amp;$GL40))</f>
        <v/>
      </c>
      <c r="GP40" s="155">
        <f>IF($EI40=0,"",IF($DX40=1,CEILING(4.5*$DZ40,1),3*$DZ40)&amp;" PE")</f>
        <v/>
      </c>
      <c r="GQ40" s="155">
        <f>IF($EI40=0,"",IF($DX40=1,"Rodada inteira",IF(COUNTIF($FB40:$FC40,"Atrasar")&gt;0,IF(COUNTIF($FB40:$FC40,"Carregar")&gt;0,"Rodada +1 turno","Rodada inteira"),IF(COUNTIF($EC40:$EF40,"Rápido")&gt;0,"Bônus",IF(COUNTIF($EC40:$EF40,"Reação")&gt;0,"Reação","Padrão"))&amp;IF(COUNTIF($FB40:$FC40,"Carregar")&gt;0," +1 turno",""))))</f>
        <v/>
      </c>
      <c r="GR40" s="155">
        <f>IF(OR($EI40=0,$EJ40=0),"",IF(COUNTIF($EC40:$EF40,"Inescapável")&gt;0,"Automático",IF(COUNTIF($EC40:$EF40,"Certeiro")&gt;0,"TR para metade",IF(AND($EV40&gt;0,$EY40=0,INDEX($AF$2:$AF$11,$EJ40)="Acerto"),"Acerto + TR",INDEX($AF$2:$AF$11,$EJ40)))))</f>
        <v/>
      </c>
      <c r="GS40" s="155">
        <f>IF(OR($EI40=0,$EJ40=0),"",IF(OR($EX40&gt;=2,$FT40=0),UPPER(LEFT(INDEX($GC40:$GI40,1,$DZ40),1))&amp;MID(INDEX($GC40:$GI40,1,$DZ40),2,99),UPPER(LEFT(INDEX($GC40:$GI40,1,$DZ40),1))&amp;MID(INDEX($GC40:$GI40,1,$DZ40),2,99)&amp;" = "&amp;FLOOR($FT40*4.5,1)&amp;IF($FU40&gt;0," · +"&amp;$FU40&amp;"d8","")))</f>
        <v/>
      </c>
      <c r="GT40" s="155">
        <f>COUNTIF($EC40:$EF40,"Longe")+3*COUNTIF($EC40:$EF40,"Muito Longe")</f>
        <v/>
      </c>
      <c r="GU40" s="155">
        <f>COUNTIF($EC40:$EF40,"Maior")+3*COUNTIF($EC40:$EF40,"Muito Maior")</f>
        <v/>
      </c>
      <c r="GV40" s="155">
        <f>IF($EJ40=0,0,CHOOSE(1+INDEX($AH$2:$AH$11,$EJ40),0,$GT40,$GU40,$GT40+$GU40))</f>
        <v/>
      </c>
      <c r="GW40" s="155">
        <f>IF($EJ40=0,0,CHOOSE(1+INDEX($AI$2:$AI$11,$EJ40),0,$GT40,$GU40,$GT40+$GU40))</f>
        <v/>
      </c>
      <c r="GX40" s="155">
        <f>IF(OR($EI40=0,$EJ40=0),"",INDEX($AP$2:$AU$31,($EJ40-1)*3+IF($DZ40&gt;=6,3,2),1+MIN(5,$GV40))&amp;INDEX($AV$2:$BA$31,($EJ40-1)*3+IF($DZ40&gt;=6,3,2),1+MIN(5,$GW40))&amp;IF(INDEX($AJ$2:$AJ$11,$EJ40)=1,IF(COUNTIF($EC40:$EF40,"Mais Um")&gt;0," · +"&amp;COUNTIF($EC40:$EF40,"Mais Um")&amp;IF(COUNTIF($EC40:$EF40,"Mais Um")&gt;1," alvos"," alvo"),"")&amp;IF(COUNTIF($EC40:$EF40,"Rajada")&gt;0," · "&amp;($DZ40+1)&amp;" tiros",""),""))</f>
        <v/>
      </c>
      <c r="GY40" s="155">
        <f>IF($EI40=0,"",3*$DZ40&amp;" − "&amp;$FN40&amp;" + "&amp;$FQ40&amp;IF($DX40=1," + "&amp;$DZ40,"")&amp;" = "&amp;$FT40&amp;"d8 · teto "&amp;4*$DZ40&amp;IF($EW40=1," · a Forma devolve "&amp;$DZ40,"")&amp;IF($FR40&gt;0," · perde "&amp;$FR40,""))</f>
        <v/>
      </c>
      <c r="GZ40" s="155">
        <f>IF($EI40=0,"",IF($DZ40&gt;=$HK$4,"Já está na maior Classe que o nível liberou",TEXTJOIN(" · ",TRUE,IF(AND(2&gt;$DZ40,2&lt;=$HK$4),"2 → "&amp;$GD40&amp;", "&amp;IF($DX40=1,9,6)&amp;" PE",""),IF(AND(3&gt;$DZ40,3&lt;=$HK$4),"3 → "&amp;$GE40&amp;", "&amp;IF($DX40=1,14,9)&amp;" PE",""),IF(AND(4&gt;$DZ40,4&lt;=$HK$4),"4 → "&amp;$GF40&amp;", "&amp;IF($DX40=1,18,12)&amp;" PE",""),IF(AND(5&gt;$DZ40,5&lt;=$HK$4),"5 → "&amp;$GG40&amp;", "&amp;IF($DX40=1,23,15)&amp;" PE",""),IF(AND(6&gt;$DZ40,6&lt;=$HK$4),"6 → "&amp;$GH40&amp;", "&amp;IF($DX40=1,27,18)&amp;" PE",""),IF(AND(7&gt;$DZ40,7&lt;=$HK$4),"7 → "&amp;$GI40&amp;", "&amp;IF($DX40=1,32,21)&amp;" PE",""))))</f>
        <v/>
      </c>
      <c r="HA40" s="155">
        <f>IF(OR($EI40=0,$EL40=0),"","−"&amp;INDEX($Q$2:$V$8,$DZ40,$EL40)&amp;" · "&amp;CHOOSE($EL40,"Leve","Média","Pesada","Leve · Livre","Média · Livre","Pesada · Livre"))</f>
        <v/>
      </c>
      <c r="HB40" s="155">
        <f>IF(OR($EI40=0,$EM40=0),"","−"&amp;INDEX($Q$2:$V$8,$DZ40,$EM40)&amp;" · "&amp;CHOOSE($EM40,"Leve","Média","Pesada","Leve · Livre","Média · Livre","Pesada · Livre"))</f>
        <v/>
      </c>
      <c r="HC40" s="155">
        <f>IF(OR($EI40=0,$EN40=0),"","−"&amp;INDEX($Q$2:$V$8,$DZ40,$EN40)&amp;" · "&amp;CHOOSE($EN40,"Leve","Média","Pesada","Leve · Livre","Média · Livre","Pesada · Livre"))</f>
        <v/>
      </c>
      <c r="HD40" s="155">
        <f>IF(OR($EI40=0,$EO40=0),"","−"&amp;INDEX($Q$2:$V$8,$DZ40,$EO40)&amp;" · "&amp;CHOOSE($EO40,"Leve","Média","Pesada","Leve · Livre","Média · Livre","Pesada · Livre"))</f>
        <v/>
      </c>
      <c r="HE40" s="155">
        <f>IF(OR($EI40=0,$EG40=""),"","+"&amp;IF($EZ40=1,CEILING($DZ40/2,1),$DZ40))</f>
        <v/>
      </c>
      <c r="HF40" s="155">
        <f>IF(OR($EI40=0,$EH40=""),"","+"&amp;IF($FA40=1,CEILING($DZ40/2,1),$DZ40))</f>
        <v/>
      </c>
      <c r="HG40" s="155">
        <f>'FICHA AMALDIÇOADA'!$P$321&amp;""</f>
        <v/>
      </c>
      <c r="HH40" s="155">
        <f>IF(AND($EI40=1,$DX40=0),COUNTIFS($EI$2:$EI40,1,$DX$2:$DX40,0),"")</f>
        <v/>
      </c>
      <c r="HJ40" s="153" t="inlineStr">
        <is>
          <t>rota</t>
        </is>
      </c>
      <c r="HK40" s="155">
        <f>$A$2</f>
        <v/>
      </c>
      <c r="KS40" s="153" t="inlineStr">
        <is>
          <t>R343</t>
        </is>
      </c>
      <c r="KT40" s="155">
        <f>IF(DADOS_AM!$HK$36=0,"—",IF(OR(DADOS_AM!$HK$38&gt;DADOS_AM!$HK$37,DADOS_AM!$HK$39&gt;0),"⚠ ","")&amp;DADOS_AM!$HK$38&amp;" de "&amp;DADOS_AM!$HK$37&amp;IF(DADOS_AM!$HK$39&gt;0," · Família Fechada",""))</f>
        <v/>
      </c>
    </row>
    <row r="41">
      <c r="BC41" s="153" t="inlineStr">
        <is>
          <t>Anteparo</t>
        </is>
      </c>
      <c r="BD41" s="153" t="inlineStr">
        <is>
          <t>Controle</t>
        </is>
      </c>
      <c r="BE41" s="155" t="n">
        <v>2</v>
      </c>
      <c r="BF41" s="155">
        <f>$BE41+3*IFERROR(VLOOKUP($BD41,$I$2:$L$10,3,FALSE),0)</f>
        <v/>
      </c>
      <c r="BG41" s="155">
        <f>IFERROR(VLOOKUP($BD41,$I$2:$L$10,4,FALSE),0)</f>
        <v/>
      </c>
      <c r="BH41" s="155" t="n">
        <v>1</v>
      </c>
      <c r="BI41" s="155">
        <f>IF($BG41=1,"",$BC41)</f>
        <v/>
      </c>
      <c r="BJ41" s="155">
        <f>IF(AND($BE41=1,$BG41=0),$BC41,"")</f>
        <v/>
      </c>
      <c r="BK41" s="155" t="n">
        <v>0</v>
      </c>
      <c r="HJ41" s="153" t="inlineStr">
        <is>
          <t>equipamento</t>
        </is>
      </c>
      <c r="HK41" s="155">
        <f>'FICHA AMALDIÇOADA'!$J$16&amp;""</f>
        <v/>
      </c>
      <c r="KS41" s="153" t="inlineStr">
        <is>
          <t>D354</t>
        </is>
      </c>
      <c r="KT41" s="155">
        <f>IF(DADOS_AM!$A$2=1,"EXPANSÃO DE DOMÍNIO","EXPANSÃO DE DOMÍNIO · ESTA ROTA NÃO TEM")</f>
        <v/>
      </c>
    </row>
    <row r="42">
      <c r="BC42" s="153" t="inlineStr">
        <is>
          <t>Prende</t>
        </is>
      </c>
      <c r="BD42" s="153" t="inlineStr">
        <is>
          <t>Controle</t>
        </is>
      </c>
      <c r="BE42" s="155" t="n">
        <v>2</v>
      </c>
      <c r="BF42" s="155">
        <f>$BE42+3*IFERROR(VLOOKUP($BD42,$I$2:$L$10,3,FALSE),0)</f>
        <v/>
      </c>
      <c r="BG42" s="155">
        <f>IFERROR(VLOOKUP($BD42,$I$2:$L$10,4,FALSE),0)</f>
        <v/>
      </c>
      <c r="BH42" s="155" t="n">
        <v>1</v>
      </c>
      <c r="BI42" s="155">
        <f>IF($BG42=1,"",$BC42)</f>
        <v/>
      </c>
      <c r="BJ42" s="155">
        <f>IF(AND($BE42=1,$BG42=0),$BC42,"")</f>
        <v/>
      </c>
      <c r="BK42" s="155" t="n">
        <v>1</v>
      </c>
      <c r="HJ42" s="153" t="inlineStr">
        <is>
          <t>arma</t>
        </is>
      </c>
      <c r="HK42" s="155">
        <f>IF(AND($A$2&gt;=3,'FICHA AMALDIÇOADA'!$J$16&amp;""="Três grupos de arma"),1,0)</f>
        <v/>
      </c>
      <c r="KS42" s="153" t="inlineStr">
        <is>
          <t>F357</t>
        </is>
      </c>
      <c r="KT42" s="155">
        <f>IF(OR(DADOS_AM!$A$2&lt;&gt;1,DADOS_AM!$HK$35=""),"—",DADOS_AM!$HK$19&amp;" espaços")</f>
        <v/>
      </c>
    </row>
    <row r="43">
      <c r="BC43" s="153" t="inlineStr">
        <is>
          <t>Puxa</t>
        </is>
      </c>
      <c r="BD43" s="153" t="inlineStr">
        <is>
          <t>Controle</t>
        </is>
      </c>
      <c r="BE43" s="155" t="n">
        <v>2</v>
      </c>
      <c r="BF43" s="155">
        <f>$BE43+3*IFERROR(VLOOKUP($BD43,$I$2:$L$10,3,FALSE),0)</f>
        <v/>
      </c>
      <c r="BG43" s="155">
        <f>IFERROR(VLOOKUP($BD43,$I$2:$L$10,4,FALSE),0)</f>
        <v/>
      </c>
      <c r="BH43" s="155" t="n">
        <v>1</v>
      </c>
      <c r="BI43" s="155">
        <f>IF($BG43=1,"",$BC43)</f>
        <v/>
      </c>
      <c r="BJ43" s="155">
        <f>IF(AND($BE43=1,$BG43=0),$BC43,"")</f>
        <v/>
      </c>
      <c r="BK43" s="155" t="n">
        <v>0</v>
      </c>
      <c r="HJ43" s="153" t="inlineStr">
        <is>
          <t>atributo do grupo 1</t>
        </is>
      </c>
      <c r="HK43" s="155">
        <f>IF(OR($HK$42=0,'FICHA AMALDIÇOADA'!$D$18=""),"",IF(IFERROR(VLOOKUP('FICHA AMALDIÇOADA'!$D$18,$CU$2:$CX$14,2,FALSE),0)=1,IF(AND(IFERROR(VLOOKUP('FICHA AMALDIÇOADA'!$D$18,$CU$2:$CX$14,3,FALSE),0)=1,N(FICHA!$L$19)&gt;N(FICHA!$D$19)),"Destreza","Força"),"Destreza"))</f>
        <v/>
      </c>
      <c r="KS43" s="153" t="inlineStr">
        <is>
          <t>J357</t>
        </is>
      </c>
      <c r="KT43" s="155">
        <f>IF(DADOS_AM!$A$2&lt;&gt;1,"Só o Fundamento tem",IF(DADOS_AM!$HK$35="","—",IF(AND(DADOS_AM!$HK$2&gt;=IFERROR(VLOOKUP(DADOS_AM!$HK$35,DADOS_AM!$DL$2:$DP$4,3,FALSE),0),DADOS_AM!$HK$6&gt;=IFERROR(VLOOKUP(DADOS_AM!$HK$35,DADOS_AM!$DL$2:$DP$4,4,FALSE),0)),"","⚠ ")&amp;IFERROR(VLOOKUP(DADOS_AM!$HK$35,DADOS_AM!$DL$2:$DP$4,5,FALSE),"")))</f>
        <v/>
      </c>
    </row>
    <row r="44">
      <c r="BC44" s="153" t="inlineStr">
        <is>
          <t>Impulso</t>
        </is>
      </c>
      <c r="BD44" s="153" t="inlineStr">
        <is>
          <t>Auxiliares</t>
        </is>
      </c>
      <c r="BE44" s="155" t="n">
        <v>1</v>
      </c>
      <c r="BF44" s="155">
        <f>$BE44+3*IFERROR(VLOOKUP($BD44,$I$2:$L$10,3,FALSE),0)</f>
        <v/>
      </c>
      <c r="BG44" s="155">
        <f>IFERROR(VLOOKUP($BD44,$I$2:$L$10,4,FALSE),0)</f>
        <v/>
      </c>
      <c r="BH44" s="155" t="n">
        <v>0</v>
      </c>
      <c r="BI44" s="155">
        <f>IF($BG44=1,"",$BC44)</f>
        <v/>
      </c>
      <c r="BJ44" s="155">
        <f>IF(AND($BE44=1,$BG44=0),$BC44,"")</f>
        <v/>
      </c>
      <c r="BK44" s="155" t="n">
        <v>0</v>
      </c>
      <c r="HJ44" s="153" t="inlineStr">
        <is>
          <t>atributo do grupo 2</t>
        </is>
      </c>
      <c r="HK44" s="155">
        <f>IF(OR($HK$42=0,'FICHA AMALDIÇOADA'!$J$18=""),"",IF(IFERROR(VLOOKUP('FICHA AMALDIÇOADA'!$J$18,$CU$2:$CX$14,2,FALSE),0)=1,IF(AND(IFERROR(VLOOKUP('FICHA AMALDIÇOADA'!$J$18,$CU$2:$CX$14,3,FALSE),0)=1,N(FICHA!$L$19)&gt;N(FICHA!$D$19)),"Destreza","Força"),"Destreza"))</f>
        <v/>
      </c>
      <c r="KS44" s="153" t="inlineStr">
        <is>
          <t>P357</t>
        </is>
      </c>
      <c r="KT44" s="155">
        <f>IF(DADOS_AM!$A$2&lt;&gt;1,"—",DADOS_AM!$HK$6)</f>
        <v/>
      </c>
    </row>
    <row r="45">
      <c r="BC45" s="153" t="inlineStr">
        <is>
          <t>Trava</t>
        </is>
      </c>
      <c r="BD45" s="153" t="inlineStr">
        <is>
          <t>Auxiliares</t>
        </is>
      </c>
      <c r="BE45" s="155" t="n">
        <v>1</v>
      </c>
      <c r="BF45" s="155">
        <f>$BE45+3*IFERROR(VLOOKUP($BD45,$I$2:$L$10,3,FALSE),0)</f>
        <v/>
      </c>
      <c r="BG45" s="155">
        <f>IFERROR(VLOOKUP($BD45,$I$2:$L$10,4,FALSE),0)</f>
        <v/>
      </c>
      <c r="BH45" s="155" t="n">
        <v>0</v>
      </c>
      <c r="BI45" s="155">
        <f>IF($BG45=1,"",$BC45)</f>
        <v/>
      </c>
      <c r="BJ45" s="155">
        <f>IF(AND($BE45=1,$BG45=0),$BC45,"")</f>
        <v/>
      </c>
      <c r="BK45" s="155" t="n">
        <v>0</v>
      </c>
      <c r="HJ45" s="153" t="inlineStr">
        <is>
          <t>atributo do grupo 3</t>
        </is>
      </c>
      <c r="HK45" s="155">
        <f>IF(OR($HK$42=0,'FICHA AMALDIÇOADA'!$P$18=""),"",IF(IFERROR(VLOOKUP('FICHA AMALDIÇOADA'!$P$18,$CU$2:$CX$14,2,FALSE),0)=1,IF(AND(IFERROR(VLOOKUP('FICHA AMALDIÇOADA'!$P$18,$CU$2:$CX$14,3,FALSE),0)=1,N(FICHA!$L$19)&gt;N(FICHA!$D$19)),"Destreza","Força"),"Destreza"))</f>
        <v/>
      </c>
      <c r="KS45" s="153" t="inlineStr">
        <is>
          <t>R357</t>
        </is>
      </c>
      <c r="KT45" s="155">
        <f>IF(DADOS_AM!$A$2&lt;&gt;1,"—","Cai na "&amp;MAX(1,FLOOR(DADOS_AM!$HK$7/2,1))&amp;"ª falha")</f>
        <v/>
      </c>
    </row>
    <row r="46">
      <c r="BC46" s="153" t="inlineStr">
        <is>
          <t>Abre Ferida</t>
        </is>
      </c>
      <c r="BD46" s="153" t="inlineStr">
        <is>
          <t>Auxiliares</t>
        </is>
      </c>
      <c r="BE46" s="155" t="n">
        <v>1</v>
      </c>
      <c r="BF46" s="155">
        <f>$BE46+3*IFERROR(VLOOKUP($BD46,$I$2:$L$10,3,FALSE),0)</f>
        <v/>
      </c>
      <c r="BG46" s="155">
        <f>IFERROR(VLOOKUP($BD46,$I$2:$L$10,4,FALSE),0)</f>
        <v/>
      </c>
      <c r="BH46" s="155" t="n">
        <v>0</v>
      </c>
      <c r="BI46" s="155">
        <f>IF($BG46=1,"",$BC46)</f>
        <v/>
      </c>
      <c r="BJ46" s="155">
        <f>IF(AND($BE46=1,$BG46=0),$BC46,"")</f>
        <v/>
      </c>
      <c r="BK46" s="155" t="n">
        <v>0</v>
      </c>
      <c r="HJ46" s="153" t="inlineStr">
        <is>
          <t>valor do grupo 1</t>
        </is>
      </c>
      <c r="HK46" s="155">
        <f>IF($HK$43="",0,IF($HK$43="Força",N(FICHA!$D$19),N(FICHA!$L$19)))</f>
        <v/>
      </c>
      <c r="KS46" s="153" t="inlineStr">
        <is>
          <t>D361</t>
        </is>
      </c>
      <c r="KT46" s="155">
        <f>IF(DADOS_AM!$A$2&lt;&gt;1,"—","Incompleta"&amp;IF(DADOS_AM!$HK$35="Incompleta"," · a sua",""))</f>
        <v/>
      </c>
    </row>
    <row r="47">
      <c r="BC47" s="153" t="inlineStr">
        <is>
          <t>Sobrecarga</t>
        </is>
      </c>
      <c r="BD47" s="153" t="inlineStr">
        <is>
          <t>Auxiliares</t>
        </is>
      </c>
      <c r="BE47" s="155" t="n">
        <v>1</v>
      </c>
      <c r="BF47" s="155">
        <f>$BE47+3*IFERROR(VLOOKUP($BD47,$I$2:$L$10,3,FALSE),0)</f>
        <v/>
      </c>
      <c r="BG47" s="155">
        <f>IFERROR(VLOOKUP($BD47,$I$2:$L$10,4,FALSE),0)</f>
        <v/>
      </c>
      <c r="BH47" s="155" t="n">
        <v>0</v>
      </c>
      <c r="BI47" s="155">
        <f>IF($BG47=1,"",$BC47)</f>
        <v/>
      </c>
      <c r="BJ47" s="155">
        <f>IF(AND($BE47=1,$BG47=0),$BC47,"")</f>
        <v/>
      </c>
      <c r="BK47" s="155" t="n">
        <v>0</v>
      </c>
      <c r="HJ47" s="153" t="inlineStr">
        <is>
          <t>valor do grupo 2</t>
        </is>
      </c>
      <c r="HK47" s="155">
        <f>IF($HK$44="",0,IF($HK$44="Força",N(FICHA!$D$19),N(FICHA!$L$19)))</f>
        <v/>
      </c>
      <c r="KS47" s="153" t="inlineStr">
        <is>
          <t>F361</t>
        </is>
      </c>
      <c r="KT47" s="155">
        <f>IF(DADOS_AM!$A$2&lt;&gt;1,"—",6*DADOS_AM!$HK$4)</f>
        <v/>
      </c>
    </row>
    <row r="48">
      <c r="BC48" s="153" t="inlineStr">
        <is>
          <t>Firmeza</t>
        </is>
      </c>
      <c r="BD48" s="153" t="inlineStr">
        <is>
          <t>Auxiliares</t>
        </is>
      </c>
      <c r="BE48" s="155" t="n">
        <v>2</v>
      </c>
      <c r="BF48" s="155">
        <f>$BE48+3*IFERROR(VLOOKUP($BD48,$I$2:$L$10,3,FALSE),0)</f>
        <v/>
      </c>
      <c r="BG48" s="155">
        <f>IFERROR(VLOOKUP($BD48,$I$2:$L$10,4,FALSE),0)</f>
        <v/>
      </c>
      <c r="BH48" s="155" t="n">
        <v>0</v>
      </c>
      <c r="BI48" s="155">
        <f>IF($BG48=1,"",$BC48)</f>
        <v/>
      </c>
      <c r="BJ48" s="155">
        <f>IF(AND($BE48=1,$BG48=0),$BC48,"")</f>
        <v/>
      </c>
      <c r="BK48" s="155" t="n">
        <v>0</v>
      </c>
      <c r="HJ48" s="153" t="inlineStr">
        <is>
          <t>valor do grupo 3</t>
        </is>
      </c>
      <c r="HK48" s="155">
        <f>IF($HK$45="",0,IF($HK$45="Força",N(FICHA!$D$19),N(FICHA!$L$19)))</f>
        <v/>
      </c>
      <c r="KS48" s="153" t="inlineStr">
        <is>
          <t>G361</t>
        </is>
      </c>
      <c r="KT48" s="155">
        <f>IF(DADOS_AM!$A$2&lt;&gt;1,"—",DADOS_AM!$HK$33&amp;IF(DADOS_AM!$HK$33&gt;1," rodadas"," rodada"))</f>
        <v/>
      </c>
    </row>
    <row r="49">
      <c r="BC49" s="153" t="inlineStr">
        <is>
          <t>Guarda</t>
        </is>
      </c>
      <c r="BD49" s="153" t="inlineStr">
        <is>
          <t>Auxiliares</t>
        </is>
      </c>
      <c r="BE49" s="155" t="n">
        <v>2</v>
      </c>
      <c r="BF49" s="155">
        <f>$BE49+3*IFERROR(VLOOKUP($BD49,$I$2:$L$10,3,FALSE),0)</f>
        <v/>
      </c>
      <c r="BG49" s="155">
        <f>IFERROR(VLOOKUP($BD49,$I$2:$L$10,4,FALSE),0)</f>
        <v/>
      </c>
      <c r="BH49" s="155" t="n">
        <v>0</v>
      </c>
      <c r="BI49" s="155">
        <f>IF($BG49=1,"",$BC49)</f>
        <v/>
      </c>
      <c r="BJ49" s="155">
        <f>IF(AND($BE49=1,$BG49=0),$BC49,"")</f>
        <v/>
      </c>
      <c r="BK49" s="155" t="n">
        <v>0</v>
      </c>
      <c r="HJ49" s="153" t="inlineStr">
        <is>
          <t>atributos dos grupos</t>
        </is>
      </c>
      <c r="HK49" s="155">
        <f>IF(AND($HK$43&lt;&gt;""),1,0)+IF(AND($HK$44&lt;&gt;"",$HK$44&lt;&gt;$HK$43),1,0)+IF(AND($HK$45&lt;&gt;"",$HK$45&lt;&gt;$HK$43,$HK$45&lt;&gt;$HK$44),1,0)</f>
        <v/>
      </c>
      <c r="KS49" s="153" t="inlineStr">
        <is>
          <t>J361</t>
        </is>
      </c>
      <c r="KT49" s="155">
        <f>IF(DADOS_AM!$A$2&lt;&gt;1,"—",SUBSTITUTE(MIN(7.5,1.5*DADOS_AM!$HK$6)&amp;" m",".",","))</f>
        <v/>
      </c>
    </row>
    <row r="50">
      <c r="BC50" s="153" t="inlineStr">
        <is>
          <t>Pressa</t>
        </is>
      </c>
      <c r="BD50" s="153" t="inlineStr">
        <is>
          <t>Auxiliares</t>
        </is>
      </c>
      <c r="BE50" s="155" t="n">
        <v>2</v>
      </c>
      <c r="BF50" s="155">
        <f>$BE50+3*IFERROR(VLOOKUP($BD50,$I$2:$L$10,3,FALSE),0)</f>
        <v/>
      </c>
      <c r="BG50" s="155">
        <f>IFERROR(VLOOKUP($BD50,$I$2:$L$10,4,FALSE),0)</f>
        <v/>
      </c>
      <c r="BH50" s="155" t="n">
        <v>0</v>
      </c>
      <c r="BI50" s="155">
        <f>IF($BG50=1,"",$BC50)</f>
        <v/>
      </c>
      <c r="BJ50" s="155">
        <f>IF(AND($BE50=1,$BG50=0),$BC50,"")</f>
        <v/>
      </c>
      <c r="BK50" s="155" t="n">
        <v>0</v>
      </c>
      <c r="HJ50" s="153" t="inlineStr">
        <is>
          <t>usos do estímulo</t>
        </is>
      </c>
      <c r="HK50" s="155">
        <f>IF($HK$6&gt;=10,2,1)&amp;"× por cena"</f>
        <v/>
      </c>
      <c r="KS50" s="153" t="inlineStr">
        <is>
          <t>K361</t>
        </is>
      </c>
      <c r="KT50" s="155">
        <f>IF(DADOS_AM!$A$2&lt;&gt;1,"—","−"&amp;DADOS_AM!$HK$34&amp;" PE")</f>
        <v/>
      </c>
    </row>
    <row r="51">
      <c r="BC51" s="153" t="inlineStr">
        <is>
          <t>Enfraquece</t>
        </is>
      </c>
      <c r="BD51" s="153" t="inlineStr">
        <is>
          <t>Auxiliares</t>
        </is>
      </c>
      <c r="BE51" s="155" t="n">
        <v>2</v>
      </c>
      <c r="BF51" s="155">
        <f>$BE51+3*IFERROR(VLOOKUP($BD51,$I$2:$L$10,3,FALSE),0)</f>
        <v/>
      </c>
      <c r="BG51" s="155">
        <f>IFERROR(VLOOKUP($BD51,$I$2:$L$10,4,FALSE),0)</f>
        <v/>
      </c>
      <c r="BH51" s="155" t="n">
        <v>0</v>
      </c>
      <c r="BI51" s="155">
        <f>IF($BG51=1,"",$BC51)</f>
        <v/>
      </c>
      <c r="BJ51" s="155">
        <f>IF(AND($BE51=1,$BG51=0),$BC51,"")</f>
        <v/>
      </c>
      <c r="BK51" s="155" t="n">
        <v>0</v>
      </c>
      <c r="KS51" s="153" t="inlineStr">
        <is>
          <t>D362</t>
        </is>
      </c>
      <c r="KT51" s="155">
        <f>IF(DADOS_AM!$A$2&lt;&gt;1,"—","Completa"&amp;IF(OR(DADOS_AM!$HK$35="Completa",DADOS_AM!$HK$35="Sem Barreiras")," · a sua",""))</f>
        <v/>
      </c>
    </row>
    <row r="52">
      <c r="BC52" s="153" t="inlineStr">
        <is>
          <t>Ecoa</t>
        </is>
      </c>
      <c r="BD52" s="153" t="inlineStr">
        <is>
          <t>Auxiliares</t>
        </is>
      </c>
      <c r="BE52" s="155" t="n">
        <v>2</v>
      </c>
      <c r="BF52" s="155">
        <f>$BE52+3*IFERROR(VLOOKUP($BD52,$I$2:$L$10,3,FALSE),0)</f>
        <v/>
      </c>
      <c r="BG52" s="155">
        <f>IFERROR(VLOOKUP($BD52,$I$2:$L$10,4,FALSE),0)</f>
        <v/>
      </c>
      <c r="BH52" s="155" t="n">
        <v>0</v>
      </c>
      <c r="BI52" s="155">
        <f>IF($BG52=1,"",$BC52)</f>
        <v/>
      </c>
      <c r="BJ52" s="155">
        <f>IF(AND($BE52=1,$BG52=0),$BC52,"")</f>
        <v/>
      </c>
      <c r="BK52" s="155" t="n">
        <v>0</v>
      </c>
      <c r="KS52" s="153" t="inlineStr">
        <is>
          <t>F362</t>
        </is>
      </c>
      <c r="KT52" s="155">
        <f>IF(DADOS_AM!$A$2&lt;&gt;1,"—",6*DADOS_AM!$HK$4)</f>
        <v/>
      </c>
    </row>
    <row r="53">
      <c r="BC53" s="153" t="inlineStr">
        <is>
          <t>Queima</t>
        </is>
      </c>
      <c r="BD53" s="153" t="inlineStr">
        <is>
          <t>Castigo</t>
        </is>
      </c>
      <c r="BE53" s="155" t="n">
        <v>2</v>
      </c>
      <c r="BF53" s="155">
        <f>$BE53+3*IFERROR(VLOOKUP($BD53,$I$2:$L$10,3,FALSE),0)</f>
        <v/>
      </c>
      <c r="BG53" s="155">
        <f>IFERROR(VLOOKUP($BD53,$I$2:$L$10,4,FALSE),0)</f>
        <v/>
      </c>
      <c r="BH53" s="155" t="n">
        <v>0</v>
      </c>
      <c r="BI53" s="155">
        <f>IF($BG53=1,"",$BC53)</f>
        <v/>
      </c>
      <c r="BJ53" s="155">
        <f>IF(AND($BE53=1,$BG53=0),$BC53,"")</f>
        <v/>
      </c>
      <c r="BK53" s="155" t="n">
        <v>0</v>
      </c>
      <c r="KS53" s="153" t="inlineStr">
        <is>
          <t>G362</t>
        </is>
      </c>
      <c r="KT53" s="155">
        <f>IF(DADOS_AM!$A$2&lt;&gt;1,"—",DADOS_AM!$HK$33&amp;IF(DADOS_AM!$HK$33&gt;1," rodadas"," rodada"))</f>
        <v/>
      </c>
    </row>
    <row r="54">
      <c r="BC54" s="153" t="inlineStr">
        <is>
          <t>Acúmulo</t>
        </is>
      </c>
      <c r="BD54" s="153" t="inlineStr">
        <is>
          <t>Castigo</t>
        </is>
      </c>
      <c r="BE54" s="155" t="n">
        <v>2</v>
      </c>
      <c r="BF54" s="155">
        <f>$BE54+3*IFERROR(VLOOKUP($BD54,$I$2:$L$10,3,FALSE),0)</f>
        <v/>
      </c>
      <c r="BG54" s="155">
        <f>IFERROR(VLOOKUP($BD54,$I$2:$L$10,4,FALSE),0)</f>
        <v/>
      </c>
      <c r="BH54" s="155" t="n">
        <v>0</v>
      </c>
      <c r="BI54" s="155">
        <f>IF($BG54=1,"",$BC54)</f>
        <v/>
      </c>
      <c r="BJ54" s="155">
        <f>IF(AND($BE54=1,$BG54=0),$BC54,"")</f>
        <v/>
      </c>
      <c r="BK54" s="155" t="n">
        <v>0</v>
      </c>
      <c r="KS54" s="153" t="inlineStr">
        <is>
          <t>J362</t>
        </is>
      </c>
      <c r="KT54" s="155">
        <f>IF(DADOS_AM!$A$2&lt;&gt;1,"—",SUBSTITUTE(1.5*DADOS_AM!$HK$6&amp;" m",".",","))</f>
        <v/>
      </c>
    </row>
    <row r="55">
      <c r="BC55" s="153" t="inlineStr">
        <is>
          <t>Remate</t>
        </is>
      </c>
      <c r="BD55" s="153" t="inlineStr">
        <is>
          <t>Castigo</t>
        </is>
      </c>
      <c r="BE55" s="155" t="n">
        <v>2</v>
      </c>
      <c r="BF55" s="155">
        <f>$BE55+3*IFERROR(VLOOKUP($BD55,$I$2:$L$10,3,FALSE),0)</f>
        <v/>
      </c>
      <c r="BG55" s="155">
        <f>IFERROR(VLOOKUP($BD55,$I$2:$L$10,4,FALSE),0)</f>
        <v/>
      </c>
      <c r="BH55" s="155" t="n">
        <v>0</v>
      </c>
      <c r="BI55" s="155">
        <f>IF($BG55=1,"",$BC55)</f>
        <v/>
      </c>
      <c r="BJ55" s="155">
        <f>IF(AND($BE55=1,$BG55=0),$BC55,"")</f>
        <v/>
      </c>
      <c r="BK55" s="155" t="n">
        <v>0</v>
      </c>
      <c r="KS55" s="153" t="inlineStr">
        <is>
          <t>K362</t>
        </is>
      </c>
      <c r="KT55" s="155">
        <f>IF(DADOS_AM!$A$2&lt;&gt;1,"—","−"&amp;DADOS_AM!$HK$33&amp;" PE")</f>
        <v/>
      </c>
    </row>
    <row r="56">
      <c r="BC56" s="153" t="inlineStr">
        <is>
          <t>Estilhaço</t>
        </is>
      </c>
      <c r="BD56" s="153" t="inlineStr">
        <is>
          <t>Castigo</t>
        </is>
      </c>
      <c r="BE56" s="155" t="n">
        <v>1</v>
      </c>
      <c r="BF56" s="155">
        <f>$BE56+3*IFERROR(VLOOKUP($BD56,$I$2:$L$10,3,FALSE),0)</f>
        <v/>
      </c>
      <c r="BG56" s="155">
        <f>IFERROR(VLOOKUP($BD56,$I$2:$L$10,4,FALSE),0)</f>
        <v/>
      </c>
      <c r="BH56" s="155" t="n">
        <v>0</v>
      </c>
      <c r="BI56" s="155">
        <f>IF($BG56=1,"",$BC56)</f>
        <v/>
      </c>
      <c r="BJ56" s="155">
        <f>IF(AND($BE56=1,$BG56=0),$BC56,"")</f>
        <v/>
      </c>
      <c r="BK56" s="155" t="n">
        <v>0</v>
      </c>
      <c r="KS56" s="153" t="inlineStr">
        <is>
          <t>L362</t>
        </is>
      </c>
      <c r="KT56" s="155">
        <f>IF(DADOS_AM!$A$2&lt;&gt;1,"—",50*DADOS_AM!$HK$33&amp;" de vida")</f>
        <v/>
      </c>
    </row>
    <row r="57">
      <c r="BC57" s="153" t="inlineStr">
        <is>
          <t>Quebra Coisa</t>
        </is>
      </c>
      <c r="BD57" s="153" t="inlineStr">
        <is>
          <t>Castigo</t>
        </is>
      </c>
      <c r="BE57" s="155" t="n">
        <v>1</v>
      </c>
      <c r="BF57" s="155">
        <f>$BE57+3*IFERROR(VLOOKUP($BD57,$I$2:$L$10,3,FALSE),0)</f>
        <v/>
      </c>
      <c r="BG57" s="155">
        <f>IFERROR(VLOOKUP($BD57,$I$2:$L$10,4,FALSE),0)</f>
        <v/>
      </c>
      <c r="BH57" s="155" t="n">
        <v>0</v>
      </c>
      <c r="BI57" s="155">
        <f>IF($BG57=1,"",$BC57)</f>
        <v/>
      </c>
      <c r="BJ57" s="155">
        <f>IF(AND($BE57=1,$BG57=0),$BC57,"")</f>
        <v/>
      </c>
      <c r="BK57" s="155" t="n">
        <v>0</v>
      </c>
      <c r="KS57" s="153" t="inlineStr">
        <is>
          <t>D363</t>
        </is>
      </c>
      <c r="KT57" s="155">
        <f>IF(DADOS_AM!$A$2&lt;&gt;1,"—","Sem barreira"&amp;IF(DADOS_AM!$HK$35="Sem Barreiras"," · a sua",""))</f>
        <v/>
      </c>
    </row>
    <row r="58">
      <c r="BC58" s="153" t="inlineStr">
        <is>
          <t>Rasga Escudo</t>
        </is>
      </c>
      <c r="BD58" s="153" t="inlineStr">
        <is>
          <t>Castigo</t>
        </is>
      </c>
      <c r="BE58" s="155" t="n">
        <v>2</v>
      </c>
      <c r="BF58" s="155">
        <f>$BE58+3*IFERROR(VLOOKUP($BD58,$I$2:$L$10,3,FALSE),0)</f>
        <v/>
      </c>
      <c r="BG58" s="155">
        <f>IFERROR(VLOOKUP($BD58,$I$2:$L$10,4,FALSE),0)</f>
        <v/>
      </c>
      <c r="BH58" s="155" t="n">
        <v>0</v>
      </c>
      <c r="BI58" s="155">
        <f>IF($BG58=1,"",$BC58)</f>
        <v/>
      </c>
      <c r="BJ58" s="155">
        <f>IF(AND($BE58=1,$BG58=0),$BC58,"")</f>
        <v/>
      </c>
      <c r="BK58" s="155" t="n">
        <v>0</v>
      </c>
      <c r="KS58" s="153" t="inlineStr">
        <is>
          <t>F363</t>
        </is>
      </c>
      <c r="KT58" s="155">
        <f>IF(DADOS_AM!$A$2&lt;&gt;1,"—",7*DADOS_AM!$HK$4)</f>
        <v/>
      </c>
    </row>
    <row r="59">
      <c r="BC59" s="153" t="inlineStr">
        <is>
          <t>Sem Cura</t>
        </is>
      </c>
      <c r="BD59" s="153" t="inlineStr">
        <is>
          <t>Castigo</t>
        </is>
      </c>
      <c r="BE59" s="155" t="n">
        <v>2</v>
      </c>
      <c r="BF59" s="155">
        <f>$BE59+3*IFERROR(VLOOKUP($BD59,$I$2:$L$10,3,FALSE),0)</f>
        <v/>
      </c>
      <c r="BG59" s="155">
        <f>IFERROR(VLOOKUP($BD59,$I$2:$L$10,4,FALSE),0)</f>
        <v/>
      </c>
      <c r="BH59" s="155" t="n">
        <v>0</v>
      </c>
      <c r="BI59" s="155">
        <f>IF($BG59=1,"",$BC59)</f>
        <v/>
      </c>
      <c r="BJ59" s="155">
        <f>IF(AND($BE59=1,$BG59=0),$BC59,"")</f>
        <v/>
      </c>
      <c r="BK59" s="155" t="n">
        <v>0</v>
      </c>
      <c r="KS59" s="153" t="inlineStr">
        <is>
          <t>G363</t>
        </is>
      </c>
      <c r="KT59" s="155">
        <f>IF(DADOS_AM!$A$2&lt;&gt;1,"—",DADOS_AM!$HK$33&amp;IF(DADOS_AM!$HK$33&gt;1," rodadas"," rodada"))</f>
        <v/>
      </c>
    </row>
    <row r="60">
      <c r="BC60" s="153" t="inlineStr">
        <is>
          <t>Rápido</t>
        </is>
      </c>
      <c r="BD60" s="153" t="inlineStr">
        <is>
          <t>Tempo</t>
        </is>
      </c>
      <c r="BE60" s="155" t="n">
        <v>3</v>
      </c>
      <c r="BF60" s="155">
        <f>$BE60+3*IFERROR(VLOOKUP($BD60,$I$2:$L$10,3,FALSE),0)</f>
        <v/>
      </c>
      <c r="BG60" s="155">
        <f>IFERROR(VLOOKUP($BD60,$I$2:$L$10,4,FALSE),0)</f>
        <v/>
      </c>
      <c r="BH60" s="155" t="n">
        <v>0</v>
      </c>
      <c r="BI60" s="155">
        <f>IF($BG60=1,"",$BC60)</f>
        <v/>
      </c>
      <c r="BJ60" s="155">
        <f>IF(AND($BE60=1,$BG60=0),$BC60,"")</f>
        <v/>
      </c>
      <c r="BK60" s="155" t="n">
        <v>0</v>
      </c>
      <c r="KS60" s="153" t="inlineStr">
        <is>
          <t>K363</t>
        </is>
      </c>
      <c r="KT60" s="155">
        <f>IF(DADOS_AM!$A$2&lt;&gt;1,"—","−"&amp;2*DADOS_AM!$HK$3&amp;" PE")</f>
        <v/>
      </c>
    </row>
    <row r="61">
      <c r="BC61" s="153" t="inlineStr">
        <is>
          <t>Reação</t>
        </is>
      </c>
      <c r="BD61" s="153" t="inlineStr">
        <is>
          <t>Tempo</t>
        </is>
      </c>
      <c r="BE61" s="155" t="n">
        <v>3</v>
      </c>
      <c r="BF61" s="155">
        <f>$BE61+3*IFERROR(VLOOKUP($BD61,$I$2:$L$10,3,FALSE),0)</f>
        <v/>
      </c>
      <c r="BG61" s="155">
        <f>IFERROR(VLOOKUP($BD61,$I$2:$L$10,4,FALSE),0)</f>
        <v/>
      </c>
      <c r="BH61" s="155" t="n">
        <v>0</v>
      </c>
      <c r="BI61" s="155">
        <f>IF($BG61=1,"",$BC61)</f>
        <v/>
      </c>
      <c r="BJ61" s="155">
        <f>IF(AND($BE61=1,$BG61=0),$BC61,"")</f>
        <v/>
      </c>
      <c r="BK61" s="155" t="n">
        <v>0</v>
      </c>
      <c r="KS61" s="153" t="inlineStr">
        <is>
          <t>D421</t>
        </is>
      </c>
      <c r="KT61" s="155">
        <f>UPPER(INDEX(DADOS_AM!$D$6:$G$6,1,DADOS_AM!$A$2)&amp;" e "&amp;INDEX(DADOS_AM!$D$7:$G$7,1,DADOS_AM!$A$2))</f>
        <v/>
      </c>
    </row>
    <row r="62">
      <c r="BC62" s="153" t="inlineStr">
        <is>
          <t>Armado</t>
        </is>
      </c>
      <c r="BD62" s="153" t="inlineStr">
        <is>
          <t>Tempo</t>
        </is>
      </c>
      <c r="BE62" s="155" t="n">
        <v>1</v>
      </c>
      <c r="BF62" s="155">
        <f>$BE62+3*IFERROR(VLOOKUP($BD62,$I$2:$L$10,3,FALSE),0)</f>
        <v/>
      </c>
      <c r="BG62" s="155">
        <f>IFERROR(VLOOKUP($BD62,$I$2:$L$10,4,FALSE),0)</f>
        <v/>
      </c>
      <c r="BH62" s="155" t="n">
        <v>0</v>
      </c>
      <c r="BI62" s="155">
        <f>IF($BG62=1,"",$BC62)</f>
        <v/>
      </c>
      <c r="BJ62" s="155">
        <f>IF(AND($BE62=1,$BG62=0),$BC62,"")</f>
        <v/>
      </c>
      <c r="BK62" s="155" t="n">
        <v>0</v>
      </c>
      <c r="KS62" s="153" t="inlineStr">
        <is>
          <t>D423</t>
        </is>
      </c>
      <c r="KT62" s="155">
        <f>UPPER(INDEX(DADOS_AM!$D$7:$G$7,1,DADOS_AM!$A$2))</f>
        <v/>
      </c>
    </row>
    <row r="63">
      <c r="BC63" s="153" t="inlineStr">
        <is>
          <t>Silencioso</t>
        </is>
      </c>
      <c r="BD63" s="153" t="inlineStr">
        <is>
          <t>Tempo</t>
        </is>
      </c>
      <c r="BE63" s="155" t="n">
        <v>1</v>
      </c>
      <c r="BF63" s="155">
        <f>$BE63+3*IFERROR(VLOOKUP($BD63,$I$2:$L$10,3,FALSE),0)</f>
        <v/>
      </c>
      <c r="BG63" s="155">
        <f>IFERROR(VLOOKUP($BD63,$I$2:$L$10,4,FALSE),0)</f>
        <v/>
      </c>
      <c r="BH63" s="155" t="n">
        <v>0</v>
      </c>
      <c r="BI63" s="155">
        <f>IF($BG63=1,"",$BC63)</f>
        <v/>
      </c>
      <c r="BJ63" s="155">
        <f>IF(AND($BE63=1,$BG63=0),$BC63,"")</f>
        <v/>
      </c>
      <c r="BK63" s="155" t="n">
        <v>0</v>
      </c>
      <c r="KS63" s="153" t="inlineStr">
        <is>
          <t>F424</t>
        </is>
      </c>
      <c r="KT63" s="155">
        <f>IF(DADOS_AM!$HK$26&gt;DADOS_AM!$HK$27,"⚠ ","")&amp;DADOS_AM!$HK$26&amp;" de "&amp;DADOS_AM!$HK$27</f>
        <v/>
      </c>
    </row>
    <row r="64">
      <c r="BC64" s="153" t="inlineStr">
        <is>
          <t>Adianta</t>
        </is>
      </c>
      <c r="BD64" s="153" t="inlineStr">
        <is>
          <t>Tempo</t>
        </is>
      </c>
      <c r="BE64" s="155" t="n">
        <v>2</v>
      </c>
      <c r="BF64" s="155">
        <f>$BE64+3*IFERROR(VLOOKUP($BD64,$I$2:$L$10,3,FALSE),0)</f>
        <v/>
      </c>
      <c r="BG64" s="155">
        <f>IFERROR(VLOOKUP($BD64,$I$2:$L$10,4,FALSE),0)</f>
        <v/>
      </c>
      <c r="BH64" s="155" t="n">
        <v>0</v>
      </c>
      <c r="BI64" s="155">
        <f>IF($BG64=1,"",$BC64)</f>
        <v/>
      </c>
      <c r="BJ64" s="155">
        <f>IF(AND($BE64=1,$BG64=0),$BC64,"")</f>
        <v/>
      </c>
      <c r="BK64" s="155" t="n">
        <v>0</v>
      </c>
      <c r="KS64" s="153" t="inlineStr">
        <is>
          <t>J423</t>
        </is>
      </c>
      <c r="KT64" s="155">
        <f>UPPER(INDEX(DADOS_AM!$D$9:$G$9,1,DADOS_AM!$A$2))</f>
        <v/>
      </c>
    </row>
    <row r="65">
      <c r="BC65" s="153" t="inlineStr">
        <is>
          <t>Segura</t>
        </is>
      </c>
      <c r="BD65" s="153" t="inlineStr">
        <is>
          <t>Tempo</t>
        </is>
      </c>
      <c r="BE65" s="155" t="n">
        <v>1</v>
      </c>
      <c r="BF65" s="155">
        <f>$BE65+3*IFERROR(VLOOKUP($BD65,$I$2:$L$10,3,FALSE),0)</f>
        <v/>
      </c>
      <c r="BG65" s="155">
        <f>IFERROR(VLOOKUP($BD65,$I$2:$L$10,4,FALSE),0)</f>
        <v/>
      </c>
      <c r="BH65" s="155" t="n">
        <v>0</v>
      </c>
      <c r="BI65" s="155">
        <f>IF($BG65=1,"",$BC65)</f>
        <v/>
      </c>
      <c r="BJ65" s="155">
        <f>IF(AND($BE65=1,$BG65=0),$BC65,"")</f>
        <v/>
      </c>
      <c r="BK65" s="155" t="n">
        <v>0</v>
      </c>
      <c r="KS65" s="153" t="inlineStr">
        <is>
          <t>J424</t>
        </is>
      </c>
      <c r="KT65" s="155">
        <f>"Proteção "&amp;(FLOOR(DADOS_AM!$HK$6/3,1)+1)</f>
        <v/>
      </c>
    </row>
    <row r="66">
      <c r="BC66" s="153" t="inlineStr">
        <is>
          <t>Concentrada</t>
        </is>
      </c>
      <c r="BD66" s="153" t="inlineStr">
        <is>
          <t>Tempo</t>
        </is>
      </c>
      <c r="BE66" s="155" t="n">
        <v>1</v>
      </c>
      <c r="BF66" s="155">
        <f>$BE66+3*IFERROR(VLOOKUP($BD66,$I$2:$L$10,3,FALSE),0)</f>
        <v/>
      </c>
      <c r="BG66" s="155">
        <f>IFERROR(VLOOKUP($BD66,$I$2:$L$10,4,FALSE),0)</f>
        <v/>
      </c>
      <c r="BH66" s="155" t="n">
        <v>0</v>
      </c>
      <c r="BI66" s="155">
        <f>IF($BG66=1,"",$BC66)</f>
        <v/>
      </c>
      <c r="BJ66" s="155">
        <f>IF(AND($BE66=1,$BG66=0),$BC66,"")</f>
        <v/>
      </c>
      <c r="BK66" s="155" t="n">
        <v>0</v>
      </c>
      <c r="KS66" s="153" t="inlineStr">
        <is>
          <t>L423</t>
        </is>
      </c>
      <c r="KT66" s="155">
        <f>UPPER(INDEX(DADOS_AM!$D$10:$G$10,1,DADOS_AM!$A$2))</f>
        <v/>
      </c>
    </row>
    <row r="67">
      <c r="BC67" s="153" t="inlineStr">
        <is>
          <t>Duradoura</t>
        </is>
      </c>
      <c r="BD67" s="153" t="inlineStr">
        <is>
          <t>Tempo</t>
        </is>
      </c>
      <c r="BE67" s="155" t="n">
        <v>2</v>
      </c>
      <c r="BF67" s="155">
        <f>$BE67+3*IFERROR(VLOOKUP($BD67,$I$2:$L$10,3,FALSE),0)</f>
        <v/>
      </c>
      <c r="BG67" s="155">
        <f>IFERROR(VLOOKUP($BD67,$I$2:$L$10,4,FALSE),0)</f>
        <v/>
      </c>
      <c r="BH67" s="155" t="n">
        <v>0</v>
      </c>
      <c r="BI67" s="155">
        <f>IF($BG67=1,"",$BC67)</f>
        <v/>
      </c>
      <c r="BJ67" s="155">
        <f>IF(AND($BE67=1,$BG67=0),$BC67,"")</f>
        <v/>
      </c>
      <c r="BK67" s="155" t="n">
        <v>0</v>
      </c>
      <c r="KS67" s="153" t="inlineStr">
        <is>
          <t>L424</t>
        </is>
      </c>
      <c r="KT67" s="155">
        <f>"+"&amp;IF(DADOS_AM!$HK$6&gt;=9,4,IF(DADOS_AM!$HK$6&gt;=6,3,IF(DADOS_AM!$HK$6&gt;=3,2,1)))&amp;IF(DADOS_AM!$HK$6&gt;=10,"d6","d4")&amp;" na arma"</f>
        <v/>
      </c>
    </row>
    <row r="68">
      <c r="BC68" s="153" t="inlineStr">
        <is>
          <t>Marca</t>
        </is>
      </c>
      <c r="BD68" s="153" t="inlineStr">
        <is>
          <t>Marca</t>
        </is>
      </c>
      <c r="BE68" s="155" t="n">
        <v>1</v>
      </c>
      <c r="BF68" s="155">
        <f>$BE68+3*IFERROR(VLOOKUP($BD68,$I$2:$L$10,3,FALSE),0)</f>
        <v/>
      </c>
      <c r="BG68" s="155">
        <f>IFERROR(VLOOKUP($BD68,$I$2:$L$10,4,FALSE),0)</f>
        <v/>
      </c>
      <c r="BH68" s="155" t="n">
        <v>0</v>
      </c>
      <c r="BI68" s="155">
        <f>IF($BG68=1,"",$BC68)</f>
        <v/>
      </c>
      <c r="BJ68" s="155">
        <f>IF(AND($BE68=1,$BG68=0),$BC68,"")</f>
        <v/>
      </c>
      <c r="BK68" s="155" t="n">
        <v>0</v>
      </c>
      <c r="KS68" s="153" t="inlineStr">
        <is>
          <t>P423</t>
        </is>
      </c>
      <c r="KT68" s="155">
        <f>UPPER(INDEX(DADOS_AM!$D$11:$G$11,1,DADOS_AM!$A$2))</f>
        <v/>
      </c>
    </row>
    <row r="69">
      <c r="BC69" s="153" t="inlineStr">
        <is>
          <t>Alvo de Caça</t>
        </is>
      </c>
      <c r="BD69" s="153" t="inlineStr">
        <is>
          <t>Marca</t>
        </is>
      </c>
      <c r="BE69" s="155" t="n">
        <v>1</v>
      </c>
      <c r="BF69" s="155">
        <f>$BE69+3*IFERROR(VLOOKUP($BD69,$I$2:$L$10,3,FALSE),0)</f>
        <v/>
      </c>
      <c r="BG69" s="155">
        <f>IFERROR(VLOOKUP($BD69,$I$2:$L$10,4,FALSE),0)</f>
        <v/>
      </c>
      <c r="BH69" s="155" t="n">
        <v>0</v>
      </c>
      <c r="BI69" s="155">
        <f>IF($BG69=1,"",$BC69)</f>
        <v/>
      </c>
      <c r="BJ69" s="155">
        <f>IF(AND($BE69=1,$BG69=0),$BC69,"")</f>
        <v/>
      </c>
      <c r="BK69" s="155" t="n">
        <v>0</v>
      </c>
      <c r="KS69" s="153" t="inlineStr">
        <is>
          <t>P424</t>
        </is>
      </c>
      <c r="KT69" s="155">
        <f>"RD "&amp;FLOOR(1.5*DADOS_AM!$HK$6,1)&amp;" por 2 PE"</f>
        <v/>
      </c>
    </row>
    <row r="70">
      <c r="BC70" s="153" t="inlineStr">
        <is>
          <t>Rastro</t>
        </is>
      </c>
      <c r="BD70" s="153" t="inlineStr">
        <is>
          <t>Marca</t>
        </is>
      </c>
      <c r="BE70" s="155" t="n">
        <v>1</v>
      </c>
      <c r="BF70" s="155">
        <f>$BE70+3*IFERROR(VLOOKUP($BD70,$I$2:$L$10,3,FALSE),0)</f>
        <v/>
      </c>
      <c r="BG70" s="155">
        <f>IFERROR(VLOOKUP($BD70,$I$2:$L$10,4,FALSE),0)</f>
        <v/>
      </c>
      <c r="BH70" s="155" t="n">
        <v>0</v>
      </c>
      <c r="BI70" s="155">
        <f>IF($BG70=1,"",$BC70)</f>
        <v/>
      </c>
      <c r="BJ70" s="155">
        <f>IF(AND($BE70=1,$BG70=0),$BC70,"")</f>
        <v/>
      </c>
      <c r="BK70" s="155" t="n">
        <v>0</v>
      </c>
      <c r="KS70" s="153" t="inlineStr">
        <is>
          <t>D427</t>
        </is>
      </c>
      <c r="KT70" s="155">
        <f>IF(DADOS_AM!$A$2=4,"ESTÍMULO: PERÍCIA","—")</f>
        <v/>
      </c>
    </row>
    <row r="71">
      <c r="BC71" s="153" t="inlineStr">
        <is>
          <t>Isca</t>
        </is>
      </c>
      <c r="BD71" s="153" t="inlineStr">
        <is>
          <t>Marca</t>
        </is>
      </c>
      <c r="BE71" s="155" t="n">
        <v>1</v>
      </c>
      <c r="BF71" s="155">
        <f>$BE71+3*IFERROR(VLOOKUP($BD71,$I$2:$L$10,3,FALSE),0)</f>
        <v/>
      </c>
      <c r="BG71" s="155">
        <f>IFERROR(VLOOKUP($BD71,$I$2:$L$10,4,FALSE),0)</f>
        <v/>
      </c>
      <c r="BH71" s="155" t="n">
        <v>0</v>
      </c>
      <c r="BI71" s="155">
        <f>IF($BG71=1,"",$BC71)</f>
        <v/>
      </c>
      <c r="BJ71" s="155">
        <f>IF(AND($BE71=1,$BG71=0),$BC71,"")</f>
        <v/>
      </c>
      <c r="BK71" s="155" t="n">
        <v>0</v>
      </c>
      <c r="KS71" s="153" t="inlineStr">
        <is>
          <t>J427</t>
        </is>
      </c>
      <c r="KT71" s="155">
        <f>IF(DADOS_AM!$A$2=4,"ESTÍMULO: TESTE DE RESISTÊNCIA","—")</f>
        <v/>
      </c>
    </row>
    <row r="72">
      <c r="BC72" s="153" t="inlineStr">
        <is>
          <t>Sugar</t>
        </is>
      </c>
      <c r="BD72" s="153" t="inlineStr">
        <is>
          <t>Marca</t>
        </is>
      </c>
      <c r="BE72" s="155" t="n">
        <v>2</v>
      </c>
      <c r="BF72" s="155">
        <f>$BE72+3*IFERROR(VLOOKUP($BD72,$I$2:$L$10,3,FALSE),0)</f>
        <v/>
      </c>
      <c r="BG72" s="155">
        <f>IFERROR(VLOOKUP($BD72,$I$2:$L$10,4,FALSE),0)</f>
        <v/>
      </c>
      <c r="BH72" s="155" t="n">
        <v>0</v>
      </c>
      <c r="BI72" s="155">
        <f>IF($BG72=1,"",$BC72)</f>
        <v/>
      </c>
      <c r="BJ72" s="155">
        <f>IF(AND($BE72=1,$BG72=0),$BC72,"")</f>
        <v/>
      </c>
      <c r="BK72" s="155" t="n">
        <v>0</v>
      </c>
      <c r="KS72" s="153" t="inlineStr">
        <is>
          <t>P427</t>
        </is>
      </c>
      <c r="KT72" s="155">
        <f>IF(DADOS_AM!$A$2=4,"ESTÍMULO: USOS","—")</f>
        <v/>
      </c>
    </row>
    <row r="73">
      <c r="BC73" s="153" t="inlineStr">
        <is>
          <t>Cobrança</t>
        </is>
      </c>
      <c r="BD73" s="153" t="inlineStr">
        <is>
          <t>Marca</t>
        </is>
      </c>
      <c r="BE73" s="155" t="n">
        <v>2</v>
      </c>
      <c r="BF73" s="155">
        <f>$BE73+3*IFERROR(VLOOKUP($BD73,$I$2:$L$10,3,FALSE),0)</f>
        <v/>
      </c>
      <c r="BG73" s="155">
        <f>IFERROR(VLOOKUP($BD73,$I$2:$L$10,4,FALSE),0)</f>
        <v/>
      </c>
      <c r="BH73" s="155" t="n">
        <v>0</v>
      </c>
      <c r="BI73" s="155">
        <f>IF($BG73=1,"",$BC73)</f>
        <v/>
      </c>
      <c r="BJ73" s="155">
        <f>IF(AND($BE73=1,$BG73=0),$BC73,"")</f>
        <v/>
      </c>
      <c r="BK73" s="155" t="n">
        <v>0</v>
      </c>
      <c r="KS73" s="153" t="inlineStr">
        <is>
          <t>P428</t>
        </is>
      </c>
      <c r="KT73" s="155">
        <f>IF(DADOS_AM!$A$2=4,DADOS_AM!$HK$50,"—")</f>
        <v/>
      </c>
    </row>
    <row r="74">
      <c r="BC74" s="153" t="inlineStr">
        <is>
          <t>Identificar Feitiço</t>
        </is>
      </c>
      <c r="BD74" s="153" t="inlineStr">
        <is>
          <t>Marca</t>
        </is>
      </c>
      <c r="BE74" s="155" t="n">
        <v>1</v>
      </c>
      <c r="BF74" s="155">
        <f>$BE74+3*IFERROR(VLOOKUP($BD74,$I$2:$L$10,3,FALSE),0)</f>
        <v/>
      </c>
      <c r="BG74" s="155">
        <f>IFERROR(VLOOKUP($BD74,$I$2:$L$10,4,FALSE),0)</f>
        <v/>
      </c>
      <c r="BH74" s="155" t="n">
        <v>0</v>
      </c>
      <c r="BI74" s="155">
        <f>IF($BG74=1,"",$BC74)</f>
        <v/>
      </c>
      <c r="BJ74" s="155">
        <f>IF(AND($BE74=1,$BG74=0),$BC74,"")</f>
        <v/>
      </c>
      <c r="BK74" s="155" t="n">
        <v>0</v>
      </c>
      <c r="KS74" s="153" t="inlineStr">
        <is>
          <t>D446</t>
        </is>
      </c>
      <c r="KT74" s="155">
        <f>UPPER(INDEX(DADOS_AM!$D$8:$G$8,1,DADOS_AM!$A$2))</f>
        <v/>
      </c>
    </row>
    <row r="75">
      <c r="BC75" s="153" t="inlineStr">
        <is>
          <t>Limpa</t>
        </is>
      </c>
      <c r="BD75" s="153" t="inlineStr">
        <is>
          <t>Amparo</t>
        </is>
      </c>
      <c r="BE75" s="155" t="n">
        <v>2</v>
      </c>
      <c r="BF75" s="155">
        <f>$BE75+3*IFERROR(VLOOKUP($BD75,$I$2:$L$10,3,FALSE),0)</f>
        <v/>
      </c>
      <c r="BG75" s="155">
        <f>IFERROR(VLOOKUP($BD75,$I$2:$L$10,4,FALSE),0)</f>
        <v/>
      </c>
      <c r="BH75" s="155" t="n">
        <v>0</v>
      </c>
      <c r="BI75" s="155">
        <f>IF($BG75=1,"",$BC75)</f>
        <v/>
      </c>
      <c r="BJ75" s="155">
        <f>IF(AND($BE75=1,$BG75=0),$BC75,"")</f>
        <v/>
      </c>
      <c r="BK75" s="155" t="n">
        <v>0</v>
      </c>
      <c r="KS75" s="153" t="inlineStr">
        <is>
          <t>J446</t>
        </is>
      </c>
      <c r="KT75" s="155">
        <f>UPPER(INDEX(DADOS_AM!$D$8:$G$8,1,DADOS_AM!$A$2))</f>
        <v/>
      </c>
    </row>
    <row r="76">
      <c r="BC76" s="153" t="inlineStr">
        <is>
          <t>Limpa Fundo</t>
        </is>
      </c>
      <c r="BD76" s="153" t="inlineStr">
        <is>
          <t>Amparo</t>
        </is>
      </c>
      <c r="BE76" s="155" t="n">
        <v>3</v>
      </c>
      <c r="BF76" s="155">
        <f>$BE76+3*IFERROR(VLOOKUP($BD76,$I$2:$L$10,3,FALSE),0)</f>
        <v/>
      </c>
      <c r="BG76" s="155">
        <f>IFERROR(VLOOKUP($BD76,$I$2:$L$10,4,FALSE),0)</f>
        <v/>
      </c>
      <c r="BH76" s="155" t="n">
        <v>0</v>
      </c>
      <c r="BI76" s="155">
        <f>IF($BG76=1,"",$BC76)</f>
        <v/>
      </c>
      <c r="BJ76" s="155">
        <f>IF(AND($BE76=1,$BG76=0),$BC76,"")</f>
        <v/>
      </c>
      <c r="BK76" s="155" t="n">
        <v>0</v>
      </c>
      <c r="KS76" s="153" t="inlineStr">
        <is>
          <t>P446</t>
        </is>
      </c>
      <c r="KT76" s="155">
        <f>UPPER(INDEX(DADOS_AM!$D$8:$G$8,1,DADOS_AM!$A$2))</f>
        <v/>
      </c>
    </row>
    <row r="77">
      <c r="BC77" s="153" t="inlineStr">
        <is>
          <t>Levanta</t>
        </is>
      </c>
      <c r="BD77" s="153" t="inlineStr">
        <is>
          <t>Amparo</t>
        </is>
      </c>
      <c r="BE77" s="155" t="n">
        <v>3</v>
      </c>
      <c r="BF77" s="155">
        <f>$BE77+3*IFERROR(VLOOKUP($BD77,$I$2:$L$10,3,FALSE),0)</f>
        <v/>
      </c>
      <c r="BG77" s="155">
        <f>IFERROR(VLOOKUP($BD77,$I$2:$L$10,4,FALSE),0)</f>
        <v/>
      </c>
      <c r="BH77" s="155" t="n">
        <v>0</v>
      </c>
      <c r="BI77" s="155">
        <f>IF($BG77=1,"",$BC77)</f>
        <v/>
      </c>
      <c r="BJ77" s="155">
        <f>IF(AND($BE77=1,$BG77=0),$BC77,"")</f>
        <v/>
      </c>
      <c r="BK77" s="155" t="n">
        <v>0</v>
      </c>
      <c r="KS77" s="153" t="inlineStr">
        <is>
          <t>D466</t>
        </is>
      </c>
      <c r="KT77" s="155">
        <f>UPPER(INDEX(DADOS_AM!$D$8:$G$8,1,DADOS_AM!$A$2))</f>
        <v/>
      </c>
    </row>
    <row r="78">
      <c r="BC78" s="153" t="inlineStr">
        <is>
          <t>Remenda</t>
        </is>
      </c>
      <c r="BD78" s="153" t="inlineStr">
        <is>
          <t>Amparo</t>
        </is>
      </c>
      <c r="BE78" s="155" t="n">
        <v>3</v>
      </c>
      <c r="BF78" s="155">
        <f>$BE78+3*IFERROR(VLOOKUP($BD78,$I$2:$L$10,3,FALSE),0)</f>
        <v/>
      </c>
      <c r="BG78" s="155">
        <f>IFERROR(VLOOKUP($BD78,$I$2:$L$10,4,FALSE),0)</f>
        <v/>
      </c>
      <c r="BH78" s="155" t="n">
        <v>0</v>
      </c>
      <c r="BI78" s="155">
        <f>IF($BG78=1,"",$BC78)</f>
        <v/>
      </c>
      <c r="BJ78" s="155">
        <f>IF(AND($BE78=1,$BG78=0),$BC78,"")</f>
        <v/>
      </c>
      <c r="BK78" s="155" t="n">
        <v>0</v>
      </c>
      <c r="KS78" s="153" t="inlineStr">
        <is>
          <t>J466</t>
        </is>
      </c>
      <c r="KT78" s="155">
        <f>UPPER(INDEX(DADOS_AM!$D$8:$G$8,1,DADOS_AM!$A$2))</f>
        <v/>
      </c>
    </row>
    <row r="79">
      <c r="BC79" s="153" t="inlineStr">
        <is>
          <t>Divide</t>
        </is>
      </c>
      <c r="BD79" s="153" t="inlineStr">
        <is>
          <t>Amparo</t>
        </is>
      </c>
      <c r="BE79" s="155" t="n">
        <v>2</v>
      </c>
      <c r="BF79" s="155">
        <f>$BE79+3*IFERROR(VLOOKUP($BD79,$I$2:$L$10,3,FALSE),0)</f>
        <v/>
      </c>
      <c r="BG79" s="155">
        <f>IFERROR(VLOOKUP($BD79,$I$2:$L$10,4,FALSE),0)</f>
        <v/>
      </c>
      <c r="BH79" s="155" t="n">
        <v>0</v>
      </c>
      <c r="BI79" s="155">
        <f>IF($BG79=1,"",$BC79)</f>
        <v/>
      </c>
      <c r="BJ79" s="155">
        <f>IF(AND($BE79=1,$BG79=0),$BC79,"")</f>
        <v/>
      </c>
      <c r="BK79" s="155" t="n">
        <v>0</v>
      </c>
      <c r="KS79" s="153" t="inlineStr">
        <is>
          <t>P466</t>
        </is>
      </c>
      <c r="KT79" s="155">
        <f>UPPER(INDEX(DADOS_AM!$D$8:$G$8,1,DADOS_AM!$A$2))</f>
        <v/>
      </c>
    </row>
    <row r="80">
      <c r="BC80" s="153" t="inlineStr">
        <is>
          <t>Junto</t>
        </is>
      </c>
      <c r="BD80" s="153" t="inlineStr">
        <is>
          <t>Amparo</t>
        </is>
      </c>
      <c r="BE80" s="155" t="n">
        <v>1</v>
      </c>
      <c r="BF80" s="155">
        <f>$BE80+3*IFERROR(VLOOKUP($BD80,$I$2:$L$10,3,FALSE),0)</f>
        <v/>
      </c>
      <c r="BG80" s="155">
        <f>IFERROR(VLOOKUP($BD80,$I$2:$L$10,4,FALSE),0)</f>
        <v/>
      </c>
      <c r="BH80" s="155" t="n">
        <v>0</v>
      </c>
      <c r="BI80" s="155">
        <f>IF($BG80=1,"",$BC80)</f>
        <v/>
      </c>
      <c r="BJ80" s="155">
        <f>IF(AND($BE80=1,$BG80=0),$BC80,"")</f>
        <v/>
      </c>
      <c r="BK80" s="155" t="n">
        <v>0</v>
      </c>
      <c r="KS80" s="153" t="inlineStr">
        <is>
          <t>D488</t>
        </is>
      </c>
      <c r="KT80" s="155">
        <f>UPPER(INDEX(DADOS_AM!$D$8:$G$8,1,DADOS_AM!$A$2))</f>
        <v/>
      </c>
    </row>
    <row r="81">
      <c r="BC81" s="153" t="inlineStr">
        <is>
          <t>Reserva</t>
        </is>
      </c>
      <c r="BD81" s="153" t="inlineStr">
        <is>
          <t>Amparo</t>
        </is>
      </c>
      <c r="BE81" s="155" t="n">
        <v>2</v>
      </c>
      <c r="BF81" s="155">
        <f>$BE81+3*IFERROR(VLOOKUP($BD81,$I$2:$L$10,3,FALSE),0)</f>
        <v/>
      </c>
      <c r="BG81" s="155">
        <f>IFERROR(VLOOKUP($BD81,$I$2:$L$10,4,FALSE),0)</f>
        <v/>
      </c>
      <c r="BH81" s="155" t="n">
        <v>0</v>
      </c>
      <c r="BI81" s="155">
        <f>IF($BG81=1,"",$BC81)</f>
        <v/>
      </c>
      <c r="BJ81" s="155">
        <f>IF(AND($BE81=1,$BG81=0),$BC81,"")</f>
        <v/>
      </c>
      <c r="BK81" s="155" t="n">
        <v>0</v>
      </c>
      <c r="KS81" s="153" t="inlineStr">
        <is>
          <t>J488</t>
        </is>
      </c>
      <c r="KT81" s="155">
        <f>UPPER(INDEX(DADOS_AM!$D$8:$G$8,1,DADOS_AM!$A$2))</f>
        <v/>
      </c>
    </row>
    <row r="82">
      <c r="BC82" s="153" t="inlineStr">
        <is>
          <t>Efeito Próprio (Leve)</t>
        </is>
      </c>
      <c r="BD82" s="153" t="inlineStr"/>
      <c r="BE82" s="155" t="n">
        <v>1</v>
      </c>
      <c r="BF82" s="155">
        <f>$BE82+3*IFERROR(VLOOKUP($BD82,$I$2:$L$10,3,FALSE),0)</f>
        <v/>
      </c>
      <c r="BG82" s="155">
        <f>IFERROR(VLOOKUP($BD82,$I$2:$L$10,4,FALSE),0)</f>
        <v/>
      </c>
      <c r="BH82" s="155" t="n">
        <v>0</v>
      </c>
      <c r="BI82" s="155">
        <f>IF($BG82=1,"",$BC82)</f>
        <v/>
      </c>
      <c r="BJ82" s="155">
        <f>IF(AND($BE82=1,$BG82=0),$BC82,"")</f>
        <v/>
      </c>
      <c r="BK82" s="155" t="n">
        <v>0</v>
      </c>
      <c r="KS82" s="153" t="inlineStr">
        <is>
          <t>P488</t>
        </is>
      </c>
      <c r="KT82" s="155">
        <f>UPPER(INDEX(DADOS_AM!$D$8:$G$8,1,DADOS_AM!$A$2))</f>
        <v/>
      </c>
    </row>
    <row r="83">
      <c r="BC83" s="153" t="inlineStr">
        <is>
          <t>Efeito Próprio (Média)</t>
        </is>
      </c>
      <c r="BD83" s="153" t="inlineStr"/>
      <c r="BE83" s="155" t="n">
        <v>2</v>
      </c>
      <c r="BF83" s="155">
        <f>$BE83+3*IFERROR(VLOOKUP($BD83,$I$2:$L$10,3,FALSE),0)</f>
        <v/>
      </c>
      <c r="BG83" s="155">
        <f>IFERROR(VLOOKUP($BD83,$I$2:$L$10,4,FALSE),0)</f>
        <v/>
      </c>
      <c r="BH83" s="155" t="n">
        <v>0</v>
      </c>
      <c r="BI83" s="155">
        <f>IF($BG83=1,"",$BC83)</f>
        <v/>
      </c>
      <c r="BJ83" s="155">
        <f>IF(AND($BE83=1,$BG83=0),$BC83,"")</f>
        <v/>
      </c>
      <c r="BK83" s="155" t="n">
        <v>0</v>
      </c>
      <c r="KS83" s="153" t="inlineStr">
        <is>
          <t>D508</t>
        </is>
      </c>
      <c r="KT83" s="155">
        <f>UPPER(INDEX(DADOS_AM!$D$8:$G$8,1,DADOS_AM!$A$2))</f>
        <v/>
      </c>
    </row>
    <row r="84">
      <c r="BC84" s="153" t="inlineStr">
        <is>
          <t>Efeito Próprio (Pesada)</t>
        </is>
      </c>
      <c r="BD84" s="153" t="inlineStr"/>
      <c r="BE84" s="155" t="n">
        <v>3</v>
      </c>
      <c r="BF84" s="155">
        <f>$BE84+3*IFERROR(VLOOKUP($BD84,$I$2:$L$10,3,FALSE),0)</f>
        <v/>
      </c>
      <c r="BG84" s="155">
        <f>IFERROR(VLOOKUP($BD84,$I$2:$L$10,4,FALSE),0)</f>
        <v/>
      </c>
      <c r="BH84" s="155" t="n">
        <v>0</v>
      </c>
      <c r="BI84" s="155">
        <f>IF($BG84=1,"",$BC84)</f>
        <v/>
      </c>
      <c r="BJ84" s="155">
        <f>IF(AND($BE84=1,$BG84=0),$BC84,"")</f>
        <v/>
      </c>
      <c r="BK84" s="155" t="n">
        <v>0</v>
      </c>
      <c r="KS84" s="153" t="inlineStr">
        <is>
          <t>J508</t>
        </is>
      </c>
      <c r="KT84" s="155">
        <f>UPPER(INDEX(DADOS_AM!$D$8:$G$8,1,DADOS_AM!$A$2))</f>
        <v/>
      </c>
    </row>
    <row r="85">
      <c r="KS85" s="153" t="inlineStr">
        <is>
          <t>P508</t>
        </is>
      </c>
      <c r="KT85" s="155">
        <f>UPPER(INDEX(DADOS_AM!$D$8:$G$8,1,DADOS_AM!$A$2))</f>
        <v/>
      </c>
    </row>
    <row r="86">
      <c r="KS86" s="153" t="inlineStr">
        <is>
          <t>D470</t>
        </is>
      </c>
      <c r="KT86" s="155">
        <f>UPPER(INDEX(DADOS_AM!$D$6:$G$6,1,DADOS_AM!$A$2))&amp;" 7 A 12 · abra quando faltar lugar"</f>
        <v/>
      </c>
    </row>
    <row r="87">
      <c r="KS87" s="153" t="inlineStr">
        <is>
          <t>D515</t>
        </is>
      </c>
      <c r="KT87" s="155">
        <f>IF(DADOS_AM!$HK$28&gt;DADOS_AM!$HK$29,"⚠ ","")&amp;DADOS_AM!$HK$28&amp;" de "&amp;DADOS_AM!$HK$29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S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 width="19.38" customWidth="1" min="448" max="448"/>
    <col width="19.38" customWidth="1" min="449" max="449"/>
    <col width="19.38" customWidth="1" min="450" max="450"/>
    <col width="19.38" customWidth="1" min="451" max="451"/>
    <col width="19.38" customWidth="1" min="452" max="452"/>
    <col width="19.38" customWidth="1" min="453" max="453"/>
    <col width="19.38" customWidth="1" min="454" max="454"/>
    <col width="19.38" customWidth="1" min="455" max="455"/>
    <col width="19.38" customWidth="1" min="456" max="456"/>
    <col width="19.38" customWidth="1" min="457" max="457"/>
    <col width="19.38" customWidth="1" min="458" max="458"/>
  </cols>
  <sheetData>
    <row r="1">
      <c r="A1" s="154" t="inlineStr">
        <is>
          <t>nível da entidade</t>
        </is>
      </c>
      <c r="B1" s="154" t="inlineStr">
        <is>
          <t>classe máxima da entidade</t>
        </is>
      </c>
      <c r="C1" s="154" t="inlineStr">
        <is>
          <t>dados da básica</t>
        </is>
      </c>
      <c r="D1" s="154" t="inlineStr">
        <is>
          <t>pontos da especial</t>
        </is>
      </c>
      <c r="F1" s="154" t="inlineStr">
        <is>
          <t>marco de atributo</t>
        </is>
      </c>
      <c r="H1" s="154" t="inlineStr">
        <is>
          <t>classe da especial</t>
        </is>
      </c>
      <c r="I1" s="154" t="inlineStr">
        <is>
          <t>leve</t>
        </is>
      </c>
      <c r="J1" s="154" t="inlineStr">
        <is>
          <t>média</t>
        </is>
      </c>
      <c r="K1" s="154" t="inlineStr">
        <is>
          <t>pesada</t>
        </is>
      </c>
      <c r="L1" s="154" t="inlineStr">
        <is>
          <t>leve livre</t>
        </is>
      </c>
      <c r="M1" s="154" t="inlineStr">
        <is>
          <t>média livre</t>
        </is>
      </c>
      <c r="N1" s="154" t="inlineStr">
        <is>
          <t>pesada livre</t>
        </is>
      </c>
      <c r="O1" s="154" t="inlineStr">
        <is>
          <t>limite de melhorias</t>
        </is>
      </c>
      <c r="P1" s="154" t="inlineStr">
        <is>
          <t>pontos da classe</t>
        </is>
      </c>
      <c r="R1" s="154" t="inlineStr">
        <is>
          <t>classe da escolha da trilha</t>
        </is>
      </c>
      <c r="T1" s="154" t="inlineStr">
        <is>
          <t>classe da liberação</t>
        </is>
      </c>
      <c r="V1" s="154" t="inlineStr">
        <is>
          <t>forma</t>
        </is>
      </c>
      <c r="W1" s="154" t="inlineStr">
        <is>
          <t>a forma exige</t>
        </is>
      </c>
      <c r="X1" s="154" t="inlineStr">
        <is>
          <t>peso da forma</t>
        </is>
      </c>
      <c r="Y1" s="154" t="inlineStr">
        <is>
          <t>restrição embutida</t>
        </is>
      </c>
      <c r="Z1" s="154" t="inlineStr">
        <is>
          <t>tipo de dano da forma</t>
        </is>
      </c>
      <c r="AA1" s="154" t="inlineStr">
        <is>
          <t>como resolve</t>
        </is>
      </c>
      <c r="AB1" s="154" t="inlineStr">
        <is>
          <t>resolve por teste</t>
        </is>
      </c>
      <c r="AC1" s="154" t="inlineStr">
        <is>
          <t>degrau da primeira parte</t>
        </is>
      </c>
      <c r="AD1" s="154" t="inlineStr">
        <is>
          <t>degrau da segunda parte</t>
        </is>
      </c>
      <c r="AE1" s="154" t="inlineStr">
        <is>
          <t>mostra mais alvos</t>
        </is>
      </c>
      <c r="AF1" s="154" t="inlineStr">
        <is>
          <t>existe na classe 0</t>
        </is>
      </c>
      <c r="AH1" s="154" t="inlineStr">
        <is>
          <t>alcance de</t>
        </is>
      </c>
      <c r="AI1" s="154" t="inlineStr">
        <is>
          <t>primeira parte +0</t>
        </is>
      </c>
      <c r="AJ1" s="154" t="inlineStr">
        <is>
          <t>primeira parte +1</t>
        </is>
      </c>
      <c r="AK1" s="154" t="inlineStr">
        <is>
          <t>primeira parte +2</t>
        </is>
      </c>
      <c r="AL1" s="154" t="inlineStr">
        <is>
          <t>primeira parte +3</t>
        </is>
      </c>
      <c r="AM1" s="154" t="inlineStr">
        <is>
          <t>primeira parte +4</t>
        </is>
      </c>
      <c r="AN1" s="154" t="inlineStr">
        <is>
          <t>primeira parte +5</t>
        </is>
      </c>
      <c r="AO1" s="154" t="inlineStr">
        <is>
          <t>segunda parte +0</t>
        </is>
      </c>
      <c r="AP1" s="154" t="inlineStr">
        <is>
          <t>segunda parte +1</t>
        </is>
      </c>
      <c r="AQ1" s="154" t="inlineStr">
        <is>
          <t>segunda parte +2</t>
        </is>
      </c>
      <c r="AR1" s="154" t="inlineStr">
        <is>
          <t>segunda parte +3</t>
        </is>
      </c>
      <c r="AS1" s="154" t="inlineStr">
        <is>
          <t>segunda parte +4</t>
        </is>
      </c>
      <c r="AT1" s="154" t="inlineStr">
        <is>
          <t>segunda parte +5</t>
        </is>
      </c>
      <c r="AV1" s="154" t="inlineStr">
        <is>
          <t>peça</t>
        </is>
      </c>
      <c r="AW1" s="154" t="inlineStr">
        <is>
          <t>família da peça</t>
        </is>
      </c>
      <c r="AX1" s="154" t="inlineStr">
        <is>
          <t>peso da peça</t>
        </is>
      </c>
      <c r="AY1" s="154" t="inlineStr">
        <is>
          <t>peça de controle</t>
        </is>
      </c>
      <c r="AZ1" s="154" t="inlineStr">
        <is>
          <t>efeito pela classe reduzida</t>
        </is>
      </c>
      <c r="BA1" s="154" t="inlineStr">
        <is>
          <t>peça que pede TR</t>
        </is>
      </c>
      <c r="BC1" s="154" t="inlineStr">
        <is>
          <t>menu de restrição</t>
        </is>
      </c>
      <c r="BD1" s="154" t="inlineStr">
        <is>
          <t>restrição</t>
        </is>
      </c>
      <c r="BE1" s="154" t="inlineStr">
        <is>
          <t>o que devolve</t>
        </is>
      </c>
      <c r="BF1" s="154" t="inlineStr">
        <is>
          <t>é de frequência</t>
        </is>
      </c>
      <c r="BG1" s="154" t="inlineStr">
        <is>
          <t>menu de restrição leve</t>
        </is>
      </c>
      <c r="BI1" s="154" t="inlineStr">
        <is>
          <t>talento</t>
        </is>
      </c>
      <c r="BJ1" s="154" t="inlineStr">
        <is>
          <t>categoria de efeito</t>
        </is>
      </c>
      <c r="BK1" s="154" t="inlineStr">
        <is>
          <t>o que o talento faz</t>
        </is>
      </c>
      <c r="BL1" s="154" t="inlineStr">
        <is>
          <t>menu de talento da trilha</t>
        </is>
      </c>
      <c r="BN1" s="154" t="inlineStr">
        <is>
          <t>tipo de entidade</t>
        </is>
      </c>
      <c r="BP1" s="154" t="inlineStr">
        <is>
          <t>aquisição</t>
        </is>
      </c>
      <c r="BQ1" s="154" t="inlineStr">
        <is>
          <t>acompanha o nível</t>
        </is>
      </c>
      <c r="BS1" s="154" t="inlineStr">
        <is>
          <t>família</t>
        </is>
      </c>
      <c r="BU1" s="154" t="inlineStr">
        <is>
          <t>atributo</t>
        </is>
      </c>
      <c r="BW1" s="154" t="inlineStr">
        <is>
          <t>teste de resistência</t>
        </is>
      </c>
      <c r="BY1" s="154" t="inlineStr">
        <is>
          <t>físico usa</t>
        </is>
      </c>
      <c r="CA1" s="154" t="inlineStr">
        <is>
          <t>a alma da entidade</t>
        </is>
      </c>
      <c r="CC1" s="154" t="inlineStr">
        <is>
          <t>perícia</t>
        </is>
      </c>
      <c r="CD1" s="154" t="inlineStr">
        <is>
          <t>atributo da perícia</t>
        </is>
      </c>
      <c r="CF1" s="154" t="inlineStr">
        <is>
          <t>carga do talismã</t>
        </is>
      </c>
      <c r="CH1" s="154" t="inlineStr">
        <is>
          <t>tipo de dano</t>
        </is>
      </c>
      <c r="CJ1" s="154" t="inlineStr">
        <is>
          <t>resolução</t>
        </is>
      </c>
      <c r="CL1" s="154" t="inlineStr">
        <is>
          <t>pontos no atributo</t>
        </is>
      </c>
      <c r="CN1" s="154" t="inlineStr">
        <is>
          <t>nível da técnica máxima</t>
        </is>
      </c>
      <c r="CO1" s="154" t="inlineStr">
        <is>
          <t>dados fixos</t>
        </is>
      </c>
      <c r="CP1" s="154" t="inlineStr">
        <is>
          <t>pontos de montagem da máxima</t>
        </is>
      </c>
      <c r="CQ1" s="154" t="inlineStr">
        <is>
          <t>pe da máxima</t>
        </is>
      </c>
      <c r="CS1" s="154" t="inlineStr">
        <is>
          <t>degrau da expansão</t>
        </is>
      </c>
      <c r="CT1" s="154" t="inlineStr">
        <is>
          <t>aquisição do degrau</t>
        </is>
      </c>
      <c r="CU1" s="154" t="inlineStr">
        <is>
          <t>requisito do degrau</t>
        </is>
      </c>
      <c r="CW1" s="154" t="inlineStr">
        <is>
          <t>a defesa usa</t>
        </is>
      </c>
      <c r="CY1" s="154" t="inlineStr">
        <is>
          <t>contas do conjunto</t>
        </is>
      </c>
      <c r="CZ1" s="154" t="inlineStr">
        <is>
          <t>valor do conjunto</t>
        </is>
      </c>
      <c r="DB1" s="154" t="inlineStr">
        <is>
          <t>conta de ficha</t>
        </is>
      </c>
      <c r="DC1" s="154" t="inlineStr">
        <is>
          <t>nome</t>
        </is>
      </c>
      <c r="DD1" s="154" t="inlineStr">
        <is>
          <t>tipo</t>
        </is>
      </c>
      <c r="DE1" s="154" t="inlineStr">
        <is>
          <t>aquis</t>
        </is>
      </c>
      <c r="DF1" s="154" t="inlineStr">
        <is>
          <t>nfixo</t>
        </is>
      </c>
      <c r="DG1" s="154" t="inlineStr">
        <is>
          <t>talisma</t>
        </is>
      </c>
      <c r="DH1" s="154" t="inlineStr">
        <is>
          <t>p0</t>
        </is>
      </c>
      <c r="DI1" s="154" t="inlineStr">
        <is>
          <t>p1</t>
        </is>
      </c>
      <c r="DJ1" s="154" t="inlineStr">
        <is>
          <t>p2</t>
        </is>
      </c>
      <c r="DK1" s="154" t="inlineStr">
        <is>
          <t>p3</t>
        </is>
      </c>
      <c r="DL1" s="154" t="inlineStr">
        <is>
          <t>p4</t>
        </is>
      </c>
      <c r="DM1" s="154" t="inlineStr">
        <is>
          <t>u0</t>
        </is>
      </c>
      <c r="DN1" s="154" t="inlineStr">
        <is>
          <t>u1</t>
        </is>
      </c>
      <c r="DO1" s="154" t="inlineStr">
        <is>
          <t>u2</t>
        </is>
      </c>
      <c r="DP1" s="154" t="inlineStr">
        <is>
          <t>u3</t>
        </is>
      </c>
      <c r="DQ1" s="154" t="inlineStr">
        <is>
          <t>u4</t>
        </is>
      </c>
      <c r="DR1" s="154" t="inlineStr">
        <is>
          <t>acerto</t>
        </is>
      </c>
      <c r="DS1" s="154" t="inlineStr">
        <is>
          <t>fis</t>
        </is>
      </c>
      <c r="DT1" s="154" t="inlineStr">
        <is>
          <t>trT</t>
        </is>
      </c>
      <c r="DU1" s="154" t="inlineStr">
        <is>
          <t>us0</t>
        </is>
      </c>
      <c r="DV1" s="154" t="inlineStr">
        <is>
          <t>us1</t>
        </is>
      </c>
      <c r="DW1" s="154" t="inlineStr">
        <is>
          <t>us2</t>
        </is>
      </c>
      <c r="DX1" s="154" t="inlineStr">
        <is>
          <t>us3</t>
        </is>
      </c>
      <c r="DY1" s="154" t="inlineStr">
        <is>
          <t>us4</t>
        </is>
      </c>
      <c r="DZ1" s="154" t="inlineStr">
        <is>
          <t>ut0</t>
        </is>
      </c>
      <c r="EA1" s="154" t="inlineStr">
        <is>
          <t>ut1</t>
        </is>
      </c>
      <c r="EB1" s="154" t="inlineStr">
        <is>
          <t>ut2</t>
        </is>
      </c>
      <c r="EC1" s="154" t="inlineStr">
        <is>
          <t>ut3</t>
        </is>
      </c>
      <c r="ED1" s="154" t="inlineStr">
        <is>
          <t>vida_c</t>
        </is>
      </c>
      <c r="EE1" s="154" t="inlineStr">
        <is>
          <t>temp</t>
        </is>
      </c>
      <c r="EF1" s="154" t="inlineStr">
        <is>
          <t>reserva</t>
        </is>
      </c>
      <c r="EG1" s="154" t="inlineStr">
        <is>
          <t>evol</t>
        </is>
      </c>
      <c r="EH1" s="154" t="inlineStr">
        <is>
          <t>alma</t>
        </is>
      </c>
      <c r="EI1" s="154" t="inlineStr">
        <is>
          <t>integ_c</t>
        </is>
      </c>
      <c r="EJ1" s="154" t="inlineStr">
        <is>
          <t>f0</t>
        </is>
      </c>
      <c r="EK1" s="154" t="inlineStr">
        <is>
          <t>f1</t>
        </is>
      </c>
      <c r="EL1" s="154" t="inlineStr">
        <is>
          <t>f2</t>
        </is>
      </c>
      <c r="EM1" s="154" t="inlineStr">
        <is>
          <t>f3</t>
        </is>
      </c>
      <c r="EN1" s="154" t="inlineStr">
        <is>
          <t>f4</t>
        </is>
      </c>
      <c r="EO1" s="154" t="inlineStr">
        <is>
          <t>per0</t>
        </is>
      </c>
      <c r="EP1" s="154" t="inlineStr">
        <is>
          <t>per1</t>
        </is>
      </c>
      <c r="EQ1" s="154" t="inlineStr">
        <is>
          <t>per2</t>
        </is>
      </c>
      <c r="ER1" s="154" t="inlineStr">
        <is>
          <t>per3</t>
        </is>
      </c>
      <c r="ES1" s="154" t="inlineStr">
        <is>
          <t>per4</t>
        </is>
      </c>
      <c r="ET1" s="154" t="inlineStr">
        <is>
          <t>per5</t>
        </is>
      </c>
      <c r="EU1" s="154" t="inlineStr">
        <is>
          <t>per6</t>
        </is>
      </c>
      <c r="EV1" s="154" t="inlineStr">
        <is>
          <t>tal0</t>
        </is>
      </c>
      <c r="EW1" s="154" t="inlineStr">
        <is>
          <t>tal1</t>
        </is>
      </c>
      <c r="EX1" s="154" t="inlineStr">
        <is>
          <t>tal2</t>
        </is>
      </c>
      <c r="EY1" s="154" t="inlineStr">
        <is>
          <t>tal3</t>
        </is>
      </c>
      <c r="EZ1" s="154" t="inlineStr">
        <is>
          <t>tal4</t>
        </is>
      </c>
      <c r="FA1" s="154" t="inlineStr">
        <is>
          <t>tal5</t>
        </is>
      </c>
      <c r="FB1" s="154" t="inlineStr">
        <is>
          <t>tal6</t>
        </is>
      </c>
      <c r="FC1" s="154" t="inlineStr">
        <is>
          <t>tal7</t>
        </is>
      </c>
      <c r="FD1" s="154" t="inlineStr">
        <is>
          <t>tx0</t>
        </is>
      </c>
      <c r="FE1" s="154" t="inlineStr">
        <is>
          <t>tx1</t>
        </is>
      </c>
      <c r="FF1" s="154" t="inlineStr">
        <is>
          <t>tx2</t>
        </is>
      </c>
      <c r="FG1" s="154" t="inlineStr">
        <is>
          <t>lc0</t>
        </is>
      </c>
      <c r="FH1" s="154" t="inlineStr">
        <is>
          <t>lc1</t>
        </is>
      </c>
      <c r="FI1" s="154" t="inlineStr">
        <is>
          <t>lc2</t>
        </is>
      </c>
      <c r="FJ1" s="154" t="inlineStr">
        <is>
          <t>exp</t>
        </is>
      </c>
      <c r="FK1" s="154" t="inlineStr">
        <is>
          <t>tem</t>
        </is>
      </c>
      <c r="FL1" s="154" t="inlineStr">
        <is>
          <t>acomp</t>
        </is>
      </c>
      <c r="FM1" s="154" t="inlineStr">
        <is>
          <t>n</t>
        </is>
      </c>
      <c r="FN1" s="154" t="inlineStr">
        <is>
          <t>cl</t>
        </is>
      </c>
      <c r="FO1" s="154" t="inlineStr">
        <is>
          <t>db</t>
        </is>
      </c>
      <c r="FP1" s="154" t="inlineStr">
        <is>
          <t>t0</t>
        </is>
      </c>
      <c r="FQ1" s="154" t="inlineStr">
        <is>
          <t>t1</t>
        </is>
      </c>
      <c r="FR1" s="154" t="inlineStr">
        <is>
          <t>t2</t>
        </is>
      </c>
      <c r="FS1" s="154" t="inlineStr">
        <is>
          <t>t3</t>
        </is>
      </c>
      <c r="FT1" s="154" t="inlineStr">
        <is>
          <t>t4</t>
        </is>
      </c>
      <c r="FU1" s="154" t="inlineStr">
        <is>
          <t>gastos</t>
        </is>
      </c>
      <c r="FV1" s="154" t="inlineStr">
        <is>
          <t>disp</t>
        </is>
      </c>
      <c r="FW1" s="154" t="inlineStr">
        <is>
          <t>marc</t>
        </is>
      </c>
      <c r="FX1" s="154" t="inlineStr">
        <is>
          <t>acima</t>
        </is>
      </c>
      <c r="FY1" s="154" t="inlineStr">
        <is>
          <t>va</t>
        </is>
      </c>
      <c r="FZ1" s="154" t="inlineStr">
        <is>
          <t>atq</t>
        </is>
      </c>
      <c r="GA1" s="154" t="inlineStr">
        <is>
          <t>cd</t>
        </is>
      </c>
      <c r="GB1" s="154" t="inlineStr">
        <is>
          <t>def</t>
        </is>
      </c>
      <c r="GC1" s="154" t="inlineStr">
        <is>
          <t>cri</t>
        </is>
      </c>
      <c r="GD1" s="154" t="inlineStr">
        <is>
          <t>vida</t>
        </is>
      </c>
      <c r="GE1" s="154" t="inlineStr">
        <is>
          <t>vida0</t>
        </is>
      </c>
      <c r="GF1" s="154" t="inlineStr">
        <is>
          <t>atual</t>
        </is>
      </c>
      <c r="GG1" s="154" t="inlineStr">
        <is>
          <t>imax</t>
        </is>
      </c>
      <c r="GH1" s="154" t="inlineStr">
        <is>
          <t>integ0</t>
        </is>
      </c>
      <c r="GI1" s="154" t="inlineStr">
        <is>
          <t>iatual</t>
        </is>
      </c>
      <c r="GJ1" s="154" t="inlineStr">
        <is>
          <t>d_imax</t>
        </is>
      </c>
      <c r="GK1" s="154" t="inlineStr">
        <is>
          <t>d_est</t>
        </is>
      </c>
      <c r="GL1" s="154" t="inlineStr">
        <is>
          <t>desl</t>
        </is>
      </c>
      <c r="GM1" s="154" t="inlineStr">
        <is>
          <t>vf</t>
        </is>
      </c>
      <c r="GN1" s="154" t="inlineStr">
        <is>
          <t>tr0</t>
        </is>
      </c>
      <c r="GO1" s="154" t="inlineStr">
        <is>
          <t>tr1</t>
        </is>
      </c>
      <c r="GP1" s="154" t="inlineStr">
        <is>
          <t>tr2</t>
        </is>
      </c>
      <c r="GQ1" s="154" t="inlineStr">
        <is>
          <t>tr3</t>
        </is>
      </c>
      <c r="GR1" s="154" t="inlineStr">
        <is>
          <t>nper</t>
        </is>
      </c>
      <c r="GS1" s="154" t="inlineStr">
        <is>
          <t>tper</t>
        </is>
      </c>
      <c r="GT1" s="154" t="inlineStr">
        <is>
          <t>esp</t>
        </is>
      </c>
      <c r="GU1" s="154" t="inlineStr">
        <is>
          <t>nbas</t>
        </is>
      </c>
      <c r="GV1" s="154" t="inlineStr">
        <is>
          <t>ntal</t>
        </is>
      </c>
      <c r="GW1" s="154" t="inlineStr">
        <is>
          <t>ttal</t>
        </is>
      </c>
      <c r="GX1" s="154" t="inlineStr">
        <is>
          <t>ent</t>
        </is>
      </c>
      <c r="GY1" s="154" t="inlineStr">
        <is>
          <t>ret</t>
        </is>
      </c>
      <c r="GZ1" s="154" t="inlineStr">
        <is>
          <t>resmax</t>
        </is>
      </c>
      <c r="HA1" s="154" t="inlineStr">
        <is>
          <t>carga</t>
        </is>
      </c>
      <c r="HB1" s="154" t="inlineStr">
        <is>
          <t>nfam</t>
        </is>
      </c>
      <c r="HC1" s="154" t="inlineStr">
        <is>
          <t>rep</t>
        </is>
      </c>
      <c r="HD1" s="154" t="inlineStr">
        <is>
          <t>maxfam</t>
        </is>
      </c>
      <c r="HE1" s="154" t="inlineStr">
        <is>
          <t>d_titulo</t>
        </is>
      </c>
      <c r="HF1" s="154" t="inlineStr">
        <is>
          <t>d_lomb</t>
        </is>
      </c>
      <c r="HG1" s="154" t="inlineStr">
        <is>
          <t>d_mae</t>
        </is>
      </c>
      <c r="HH1" s="154" t="inlineStr">
        <is>
          <t>d_ent</t>
        </is>
      </c>
      <c r="HI1" s="154" t="inlineStr">
        <is>
          <t>d_ret</t>
        </is>
      </c>
      <c r="HJ1" s="154" t="inlineStr">
        <is>
          <t>d_pontos</t>
        </is>
      </c>
      <c r="HK1" s="154" t="inlineStr">
        <is>
          <t>d_atq</t>
        </is>
      </c>
      <c r="HL1" s="154" t="inlineStr">
        <is>
          <t>d_cd</t>
        </is>
      </c>
      <c r="HM1" s="154" t="inlineStr">
        <is>
          <t>d_desl</t>
        </is>
      </c>
      <c r="HN1" s="154" t="inlineStr">
        <is>
          <t>d_tr0</t>
        </is>
      </c>
      <c r="HO1" s="154" t="inlineStr">
        <is>
          <t>d_tr1</t>
        </is>
      </c>
      <c r="HP1" s="154" t="inlineStr">
        <is>
          <t>d_tr2</t>
        </is>
      </c>
      <c r="HQ1" s="154" t="inlineStr">
        <is>
          <t>d_tr3</t>
        </is>
      </c>
      <c r="HR1" s="154" t="inlineStr">
        <is>
          <t>d_per</t>
        </is>
      </c>
      <c r="HS1" s="154" t="inlineStr">
        <is>
          <t>d_pb0</t>
        </is>
      </c>
      <c r="HT1" s="154" t="inlineStr">
        <is>
          <t>d_pb1</t>
        </is>
      </c>
      <c r="HU1" s="154" t="inlineStr">
        <is>
          <t>d_pb2</t>
        </is>
      </c>
      <c r="HV1" s="154" t="inlineStr">
        <is>
          <t>d_pb3</t>
        </is>
      </c>
      <c r="HW1" s="154" t="inlineStr">
        <is>
          <t>d_pb4</t>
        </is>
      </c>
      <c r="HX1" s="154" t="inlineStr">
        <is>
          <t>d_pb5</t>
        </is>
      </c>
      <c r="HY1" s="154" t="inlineStr">
        <is>
          <t>d_pb6</t>
        </is>
      </c>
      <c r="HZ1" s="154" t="inlineStr">
        <is>
          <t>d_res</t>
        </is>
      </c>
      <c r="IA1" s="154" t="inlineStr">
        <is>
          <t>d_equip</t>
        </is>
      </c>
      <c r="IB1" s="154" t="inlineStr">
        <is>
          <t>d_fam</t>
        </is>
      </c>
      <c r="IC1" s="154" t="inlineStr">
        <is>
          <t>d_hab</t>
        </is>
      </c>
      <c r="ID1" s="154" t="inlineStr">
        <is>
          <t>d_tal</t>
        </is>
      </c>
      <c r="IE1" s="154" t="inlineStr">
        <is>
          <t>ce0</t>
        </is>
      </c>
      <c r="IF1" s="154" t="inlineStr">
        <is>
          <t>ce1</t>
        </is>
      </c>
      <c r="IG1" s="154" t="inlineStr">
        <is>
          <t>ce2</t>
        </is>
      </c>
      <c r="IH1" s="154" t="inlineStr">
        <is>
          <t>ce3</t>
        </is>
      </c>
      <c r="II1" s="154" t="inlineStr">
        <is>
          <t>ce4</t>
        </is>
      </c>
      <c r="IJ1" s="154" t="inlineStr">
        <is>
          <t>ce5</t>
        </is>
      </c>
      <c r="IK1" s="154" t="inlineStr">
        <is>
          <t>ce6</t>
        </is>
      </c>
      <c r="IL1" s="154" t="inlineStr">
        <is>
          <t>ce7</t>
        </is>
      </c>
      <c r="IM1" s="154" t="inlineStr">
        <is>
          <t>d_tt0</t>
        </is>
      </c>
      <c r="IN1" s="154" t="inlineStr">
        <is>
          <t>d_tt1</t>
        </is>
      </c>
      <c r="IO1" s="154" t="inlineStr">
        <is>
          <t>d_tt2</t>
        </is>
      </c>
      <c r="IP1" s="154" t="inlineStr">
        <is>
          <t>d_tt3</t>
        </is>
      </c>
      <c r="IQ1" s="154" t="inlineStr">
        <is>
          <t>d_tt4</t>
        </is>
      </c>
      <c r="IR1" s="154" t="inlineStr">
        <is>
          <t>d_tt5</t>
        </is>
      </c>
      <c r="IS1" s="154" t="inlineStr">
        <is>
          <t>d_tt6</t>
        </is>
      </c>
      <c r="IT1" s="154" t="inlineStr">
        <is>
          <t>d_tt7</t>
        </is>
      </c>
      <c r="IU1" s="154" t="inlineStr">
        <is>
          <t>d_xt0</t>
        </is>
      </c>
      <c r="IV1" s="154" t="inlineStr">
        <is>
          <t>d_xt1</t>
        </is>
      </c>
      <c r="IW1" s="154" t="inlineStr">
        <is>
          <t>d_xt2</t>
        </is>
      </c>
      <c r="IX1" s="154" t="inlineStr">
        <is>
          <t>d_lp0</t>
        </is>
      </c>
      <c r="IY1" s="154" t="inlineStr">
        <is>
          <t>d_lp1</t>
        </is>
      </c>
      <c r="IZ1" s="154" t="inlineStr">
        <is>
          <t>d_lp2</t>
        </is>
      </c>
      <c r="JA1" s="154" t="inlineStr">
        <is>
          <t>d_ld0</t>
        </is>
      </c>
      <c r="JB1" s="154" t="inlineStr">
        <is>
          <t>d_ld1</t>
        </is>
      </c>
      <c r="JC1" s="154" t="inlineStr">
        <is>
          <t>d_ld2</t>
        </is>
      </c>
      <c r="JD1" s="154" t="inlineStr">
        <is>
          <t>d_mp</t>
        </is>
      </c>
      <c r="JE1" s="154" t="inlineStr">
        <is>
          <t>d_md</t>
        </is>
      </c>
      <c r="JF1" s="154" t="inlineStr">
        <is>
          <t>d_ep</t>
        </is>
      </c>
      <c r="JG1" s="154" t="inlineStr">
        <is>
          <t>d_ea</t>
        </is>
      </c>
      <c r="JH1" s="154" t="inlineStr">
        <is>
          <t>d_er</t>
        </is>
      </c>
      <c r="JI1" s="154" t="inlineStr">
        <is>
          <t>d_rol</t>
        </is>
      </c>
      <c r="JK1" s="154" t="inlineStr">
        <is>
          <t>espaços por invocação</t>
        </is>
      </c>
      <c r="JM1" s="154" t="inlineStr">
        <is>
          <t>salto</t>
        </is>
      </c>
      <c r="JN1" s="154" t="inlineStr">
        <is>
          <t>caixa do salto</t>
        </is>
      </c>
      <c r="JO1" s="154" t="inlineStr">
        <is>
          <t>alvo do salto</t>
        </is>
      </c>
      <c r="JP1" s="154" t="inlineStr">
        <is>
          <t>nome do salto</t>
        </is>
      </c>
      <c r="JR1" s="154" t="inlineStr">
        <is>
          <t>menu de melhoria da ficha 1</t>
        </is>
      </c>
      <c r="JS1" s="154" t="inlineStr">
        <is>
          <t>menu de melhoria leve da ficha 1</t>
        </is>
      </c>
      <c r="JU1" s="154" t="inlineStr">
        <is>
          <t>menu de forma da ficha 1</t>
        </is>
      </c>
      <c r="JV1" s="154" t="inlineStr">
        <is>
          <t>menu de forma da classe 0 da ficha 1</t>
        </is>
      </c>
      <c r="JX1" s="154" t="inlineStr">
        <is>
          <t>menu de melhoria da ficha 2</t>
        </is>
      </c>
      <c r="JY1" s="154" t="inlineStr">
        <is>
          <t>menu de melhoria leve da ficha 2</t>
        </is>
      </c>
      <c r="KA1" s="154" t="inlineStr">
        <is>
          <t>menu de forma da ficha 2</t>
        </is>
      </c>
      <c r="KB1" s="154" t="inlineStr">
        <is>
          <t>menu de forma da classe 0 da ficha 2</t>
        </is>
      </c>
      <c r="KD1" s="154" t="inlineStr">
        <is>
          <t>menu de melhoria da ficha 3</t>
        </is>
      </c>
      <c r="KE1" s="154" t="inlineStr">
        <is>
          <t>menu de melhoria leve da ficha 3</t>
        </is>
      </c>
      <c r="KG1" s="154" t="inlineStr">
        <is>
          <t>menu de forma da ficha 3</t>
        </is>
      </c>
      <c r="KH1" s="154" t="inlineStr">
        <is>
          <t>menu de forma da classe 0 da ficha 3</t>
        </is>
      </c>
      <c r="KJ1" s="154" t="inlineStr">
        <is>
          <t>menu de melhoria da ficha 4</t>
        </is>
      </c>
      <c r="KK1" s="154" t="inlineStr">
        <is>
          <t>menu de melhoria leve da ficha 4</t>
        </is>
      </c>
      <c r="KM1" s="154" t="inlineStr">
        <is>
          <t>menu de forma da ficha 4</t>
        </is>
      </c>
      <c r="KN1" s="154" t="inlineStr">
        <is>
          <t>menu de forma da classe 0 da ficha 4</t>
        </is>
      </c>
      <c r="KP1" s="154" t="inlineStr">
        <is>
          <t>menu de melhoria da ficha 5</t>
        </is>
      </c>
      <c r="KQ1" s="154" t="inlineStr">
        <is>
          <t>menu de melhoria leve da ficha 5</t>
        </is>
      </c>
      <c r="KS1" s="154" t="inlineStr">
        <is>
          <t>menu de forma da ficha 5</t>
        </is>
      </c>
      <c r="KT1" s="154" t="inlineStr">
        <is>
          <t>menu de forma da classe 0 da ficha 5</t>
        </is>
      </c>
      <c r="KV1" s="154" t="inlineStr">
        <is>
          <t>menu de melhoria da ficha 6</t>
        </is>
      </c>
      <c r="KW1" s="154" t="inlineStr">
        <is>
          <t>menu de melhoria leve da ficha 6</t>
        </is>
      </c>
      <c r="KY1" s="154" t="inlineStr">
        <is>
          <t>menu de forma da ficha 6</t>
        </is>
      </c>
      <c r="KZ1" s="154" t="inlineStr">
        <is>
          <t>menu de forma da classe 0 da ficha 6</t>
        </is>
      </c>
      <c r="LB1" s="154" t="inlineStr">
        <is>
          <t>menu de melhoria da ficha 7</t>
        </is>
      </c>
      <c r="LC1" s="154" t="inlineStr">
        <is>
          <t>menu de melhoria leve da ficha 7</t>
        </is>
      </c>
      <c r="LE1" s="154" t="inlineStr">
        <is>
          <t>menu de forma da ficha 7</t>
        </is>
      </c>
      <c r="LF1" s="154" t="inlineStr">
        <is>
          <t>menu de forma da classe 0 da ficha 7</t>
        </is>
      </c>
      <c r="LH1" s="154" t="inlineStr">
        <is>
          <t>menu de melhoria da ficha 8</t>
        </is>
      </c>
      <c r="LI1" s="154" t="inlineStr">
        <is>
          <t>menu de melhoria leve da ficha 8</t>
        </is>
      </c>
      <c r="LK1" s="154" t="inlineStr">
        <is>
          <t>menu de forma da ficha 8</t>
        </is>
      </c>
      <c r="LL1" s="154" t="inlineStr">
        <is>
          <t>menu de forma da classe 0 da ficha 8</t>
        </is>
      </c>
      <c r="LN1" s="154" t="inlineStr">
        <is>
          <t>menu de melhoria da ficha 9</t>
        </is>
      </c>
      <c r="LO1" s="154" t="inlineStr">
        <is>
          <t>menu de melhoria leve da ficha 9</t>
        </is>
      </c>
      <c r="LQ1" s="154" t="inlineStr">
        <is>
          <t>menu de forma da ficha 9</t>
        </is>
      </c>
      <c r="LR1" s="154" t="inlineStr">
        <is>
          <t>menu de forma da classe 0 da ficha 9</t>
        </is>
      </c>
      <c r="LT1" s="154" t="inlineStr">
        <is>
          <t>menu de melhoria da ficha 10</t>
        </is>
      </c>
      <c r="LU1" s="154" t="inlineStr">
        <is>
          <t>menu de melhoria leve da ficha 10</t>
        </is>
      </c>
      <c r="LW1" s="154" t="inlineStr">
        <is>
          <t>menu de forma da ficha 10</t>
        </is>
      </c>
      <c r="LX1" s="154" t="inlineStr">
        <is>
          <t>menu de forma da classe 0 da ficha 10</t>
        </is>
      </c>
      <c r="LZ1" s="154" t="inlineStr">
        <is>
          <t>menu de melhoria da ficha 11</t>
        </is>
      </c>
      <c r="MA1" s="154" t="inlineStr">
        <is>
          <t>menu de melhoria leve da ficha 11</t>
        </is>
      </c>
      <c r="MC1" s="154" t="inlineStr">
        <is>
          <t>menu de forma da ficha 11</t>
        </is>
      </c>
      <c r="MD1" s="154" t="inlineStr">
        <is>
          <t>menu de forma da classe 0 da ficha 11</t>
        </is>
      </c>
      <c r="MF1" s="154" t="inlineStr">
        <is>
          <t>menu de melhoria da ficha 12</t>
        </is>
      </c>
      <c r="MG1" s="154" t="inlineStr">
        <is>
          <t>menu de melhoria leve da ficha 12</t>
        </is>
      </c>
      <c r="MI1" s="154" t="inlineStr">
        <is>
          <t>menu de forma da ficha 12</t>
        </is>
      </c>
      <c r="MJ1" s="154" t="inlineStr">
        <is>
          <t>menu de forma da classe 0 da ficha 12</t>
        </is>
      </c>
      <c r="ML1" s="154" t="inlineStr">
        <is>
          <t>conta de habilidade</t>
        </is>
      </c>
      <c r="MM1" s="154" t="inlineStr">
        <is>
          <t>ficha</t>
        </is>
      </c>
      <c r="MN1" s="154" t="inlineStr">
        <is>
          <t>tipo</t>
        </is>
      </c>
      <c r="MO1" s="154" t="inlineStr">
        <is>
          <t>abre</t>
        </is>
      </c>
      <c r="MP1" s="154" t="inlineStr">
        <is>
          <t>tit</t>
        </is>
      </c>
      <c r="MQ1" s="154" t="inlineStr">
        <is>
          <t>classe</t>
        </is>
      </c>
      <c r="MR1" s="154" t="inlineStr">
        <is>
          <t>nome</t>
        </is>
      </c>
      <c r="MS1" s="154" t="inlineStr">
        <is>
          <t>forma</t>
        </is>
      </c>
      <c r="MT1" s="154" t="inlineStr">
        <is>
          <t>tdano</t>
        </is>
      </c>
      <c r="MU1" s="154" t="inlineStr">
        <is>
          <t>rmenu</t>
        </is>
      </c>
      <c r="MV1" s="154" t="inlineStr">
        <is>
          <t>m1</t>
        </is>
      </c>
      <c r="MW1" s="154" t="inlineStr">
        <is>
          <t>m2</t>
        </is>
      </c>
      <c r="MX1" s="154" t="inlineStr">
        <is>
          <t>m3</t>
        </is>
      </c>
      <c r="MY1" s="154" t="inlineStr">
        <is>
          <t>m4</t>
        </is>
      </c>
      <c r="MZ1" s="154" t="inlineStr">
        <is>
          <t>r1</t>
        </is>
      </c>
      <c r="NA1" s="154" t="inlineStr">
        <is>
          <t>r2</t>
        </is>
      </c>
      <c r="NB1" s="154" t="inlineStr">
        <is>
          <t>tem</t>
        </is>
      </c>
      <c r="NC1" s="154" t="inlineStr">
        <is>
          <t>nv</t>
        </is>
      </c>
      <c r="ND1" s="154" t="inlineStr">
        <is>
          <t>mx</t>
        </is>
      </c>
      <c r="NE1" s="154" t="inlineStr">
        <is>
          <t>db</t>
        </is>
      </c>
      <c r="NF1" s="154" t="inlineStr">
        <is>
          <t>atk</t>
        </is>
      </c>
      <c r="NG1" s="154" t="inlineStr">
        <is>
          <t>cdf</t>
        </is>
      </c>
      <c r="NH1" s="154" t="inlineStr">
        <is>
          <t>lf</t>
        </is>
      </c>
      <c r="NI1" s="154" t="inlineStr">
        <is>
          <t>f1</t>
        </is>
      </c>
      <c r="NJ1" s="154" t="inlineStr">
        <is>
          <t>f2</t>
        </is>
      </c>
      <c r="NK1" s="154" t="inlineStr">
        <is>
          <t>f3</t>
        </is>
      </c>
      <c r="NL1" s="154" t="inlineStr">
        <is>
          <t>f4</t>
        </is>
      </c>
      <c r="NM1" s="154" t="inlineStr">
        <is>
          <t>w1</t>
        </is>
      </c>
      <c r="NN1" s="154" t="inlineStr">
        <is>
          <t>w2</t>
        </is>
      </c>
      <c r="NO1" s="154" t="inlineStr">
        <is>
          <t>w3</t>
        </is>
      </c>
      <c r="NP1" s="154" t="inlineStr">
        <is>
          <t>w4</t>
        </is>
      </c>
      <c r="NQ1" s="154" t="inlineStr">
        <is>
          <t>k0</t>
        </is>
      </c>
      <c r="NR1" s="154" t="inlineStr">
        <is>
          <t>k1</t>
        </is>
      </c>
      <c r="NS1" s="154" t="inlineStr">
        <is>
          <t>k2</t>
        </is>
      </c>
      <c r="NT1" s="154" t="inlineStr">
        <is>
          <t>k3</t>
        </is>
      </c>
      <c r="NU1" s="154" t="inlineStr">
        <is>
          <t>k4</t>
        </is>
      </c>
      <c r="NV1" s="154" t="inlineStr">
        <is>
          <t>x0</t>
        </is>
      </c>
      <c r="NW1" s="154" t="inlineStr">
        <is>
          <t>x1</t>
        </is>
      </c>
      <c r="NX1" s="154" t="inlineStr">
        <is>
          <t>x2</t>
        </is>
      </c>
      <c r="NY1" s="154" t="inlineStr">
        <is>
          <t>x3</t>
        </is>
      </c>
      <c r="NZ1" s="154" t="inlineStr">
        <is>
          <t>x4</t>
        </is>
      </c>
      <c r="OA1" s="154" t="inlineStr">
        <is>
          <t>ct</t>
        </is>
      </c>
      <c r="OB1" s="154" t="inlineStr">
        <is>
          <t>ptr</t>
        </is>
      </c>
      <c r="OC1" s="154" t="inlineStr">
        <is>
          <t>rdz</t>
        </is>
      </c>
      <c r="OD1" s="154" t="inlineStr">
        <is>
          <t>emb</t>
        </is>
      </c>
      <c r="OE1" s="154" t="inlineStr">
        <is>
          <t>tp</t>
        </is>
      </c>
      <c r="OF1" s="154" t="inlineStr">
        <is>
          <t>tr</t>
        </is>
      </c>
      <c r="OG1" s="154" t="inlineStr">
        <is>
          <t>c1</t>
        </is>
      </c>
      <c r="OH1" s="154" t="inlineStr">
        <is>
          <t>c2</t>
        </is>
      </c>
      <c r="OI1" s="154" t="inlineStr">
        <is>
          <t>b1</t>
        </is>
      </c>
      <c r="OJ1" s="154" t="inlineStr">
        <is>
          <t>b2</t>
        </is>
      </c>
      <c r="OK1" s="154" t="inlineStr">
        <is>
          <t>n1</t>
        </is>
      </c>
      <c r="OL1" s="154" t="inlineStr">
        <is>
          <t>n2</t>
        </is>
      </c>
      <c r="OM1" s="154" t="inlineStr">
        <is>
          <t>n3</t>
        </is>
      </c>
      <c r="ON1" s="154" t="inlineStr">
        <is>
          <t>n4</t>
        </is>
      </c>
      <c r="OO1" s="154" t="inlineStr">
        <is>
          <t>n5</t>
        </is>
      </c>
      <c r="OP1" s="154" t="inlineStr">
        <is>
          <t>n6</t>
        </is>
      </c>
      <c r="OQ1" s="154" t="inlineStr">
        <is>
          <t>dL</t>
        </is>
      </c>
      <c r="OR1" s="154" t="inlineStr">
        <is>
          <t>dM</t>
        </is>
      </c>
      <c r="OS1" s="154" t="inlineStr">
        <is>
          <t>nm</t>
        </is>
      </c>
      <c r="OT1" s="154" t="inlineStr">
        <is>
          <t>nr</t>
        </is>
      </c>
      <c r="OU1" s="154" t="inlineStr">
        <is>
          <t>g</t>
        </is>
      </c>
      <c r="OV1" s="154" t="inlineStr">
        <is>
          <t>dv0</t>
        </is>
      </c>
      <c r="OW1" s="154" t="inlineStr">
        <is>
          <t>dv</t>
        </is>
      </c>
      <c r="OX1" s="154" t="inlineStr">
        <is>
          <t>usa</t>
        </is>
      </c>
      <c r="OY1" s="154" t="inlineStr">
        <is>
          <t>perde</t>
        </is>
      </c>
      <c r="OZ1" s="154" t="inlineStr">
        <is>
          <t>pts</t>
        </is>
      </c>
      <c r="PA1" s="154" t="inlineStr">
        <is>
          <t>s</t>
        </is>
      </c>
      <c r="PB1" s="154" t="inlineStr">
        <is>
          <t>d</t>
        </is>
      </c>
      <c r="PC1" s="154" t="inlineStr">
        <is>
          <t>dep</t>
        </is>
      </c>
      <c r="PD1" s="154" t="inlineStr">
        <is>
          <t>d1</t>
        </is>
      </c>
      <c r="PE1" s="154" t="inlineStr">
        <is>
          <t>d2</t>
        </is>
      </c>
      <c r="PF1" s="154" t="inlineStr">
        <is>
          <t>d3</t>
        </is>
      </c>
      <c r="PG1" s="154" t="inlineStr">
        <is>
          <t>d4</t>
        </is>
      </c>
      <c r="PH1" s="154" t="inlineStr">
        <is>
          <t>d5</t>
        </is>
      </c>
      <c r="PI1" s="154" t="inlineStr">
        <is>
          <t>d6</t>
        </is>
      </c>
      <c r="PJ1" s="154" t="inlineStr">
        <is>
          <t>d7</t>
        </is>
      </c>
      <c r="PK1" s="154" t="inlineStr">
        <is>
          <t>t1</t>
        </is>
      </c>
      <c r="PL1" s="154" t="inlineStr">
        <is>
          <t>t2</t>
        </is>
      </c>
      <c r="PM1" s="154" t="inlineStr">
        <is>
          <t>t3</t>
        </is>
      </c>
      <c r="PN1" s="154" t="inlineStr">
        <is>
          <t>t4</t>
        </is>
      </c>
      <c r="PO1" s="154" t="inlineStr">
        <is>
          <t>t5</t>
        </is>
      </c>
      <c r="PP1" s="154" t="inlineStr">
        <is>
          <t>t6</t>
        </is>
      </c>
      <c r="PQ1" s="154" t="inlineStr">
        <is>
          <t>t7</t>
        </is>
      </c>
      <c r="PR1" s="154" t="inlineStr">
        <is>
          <t>erros</t>
        </is>
      </c>
      <c r="PS1" s="154" t="inlineStr">
        <is>
          <t>ne</t>
        </is>
      </c>
      <c r="PT1" s="154" t="inlineStr">
        <is>
          <t>avisos</t>
        </is>
      </c>
      <c r="PU1" s="154" t="inlineStr">
        <is>
          <t>na</t>
        </is>
      </c>
      <c r="PV1" s="154" t="inlineStr">
        <is>
          <t>estado</t>
        </is>
      </c>
      <c r="PW1" s="154" t="inlineStr">
        <is>
          <t>linha</t>
        </is>
      </c>
      <c r="PX1" s="154" t="inlineStr">
        <is>
          <t>titulo</t>
        </is>
      </c>
      <c r="PY1" s="154" t="inlineStr">
        <is>
          <t>pe</t>
        </is>
      </c>
      <c r="PZ1" s="154" t="inlineStr">
        <is>
          <t>acao</t>
        </is>
      </c>
      <c r="QA1" s="154" t="inlineStr">
        <is>
          <t>rs</t>
        </is>
      </c>
      <c r="QB1" s="154" t="inlineStr">
        <is>
          <t>resolve</t>
        </is>
      </c>
      <c r="QC1" s="154" t="inlineStr">
        <is>
          <t>dano</t>
        </is>
      </c>
      <c r="QD1" s="154" t="inlineStr">
        <is>
          <t>lg</t>
        </is>
      </c>
      <c r="QE1" s="154" t="inlineStr">
        <is>
          <t>mr</t>
        </is>
      </c>
      <c r="QF1" s="154" t="inlineStr">
        <is>
          <t>q1</t>
        </is>
      </c>
      <c r="QG1" s="154" t="inlineStr">
        <is>
          <t>q2</t>
        </is>
      </c>
      <c r="QH1" s="154" t="inlineStr">
        <is>
          <t>alcance</t>
        </is>
      </c>
      <c r="QI1" s="154" t="inlineStr">
        <is>
          <t>conta</t>
        </is>
      </c>
      <c r="QJ1" s="154" t="inlineStr">
        <is>
          <t>ampliar</t>
        </is>
      </c>
      <c r="QK1" s="154" t="inlineStr">
        <is>
          <t>pt1</t>
        </is>
      </c>
      <c r="QL1" s="154" t="inlineStr">
        <is>
          <t>pt2</t>
        </is>
      </c>
      <c r="QM1" s="154" t="inlineStr">
        <is>
          <t>pt3</t>
        </is>
      </c>
      <c r="QN1" s="154" t="inlineStr">
        <is>
          <t>pt4</t>
        </is>
      </c>
      <c r="QO1" s="154" t="inlineStr">
        <is>
          <t>dt1</t>
        </is>
      </c>
      <c r="QP1" s="154" t="inlineStr">
        <is>
          <t>dt2</t>
        </is>
      </c>
      <c r="QR1" s="154" t="inlineStr">
        <is>
          <t>caixa calculada</t>
        </is>
      </c>
      <c r="QS1" s="154" t="inlineStr">
        <is>
          <t>o que a caixa mostra</t>
        </is>
      </c>
    </row>
    <row r="2">
      <c r="A2" s="155" t="n">
        <v>1</v>
      </c>
      <c r="B2" s="155" t="n">
        <v>1</v>
      </c>
      <c r="C2" s="155" t="n">
        <v>1</v>
      </c>
      <c r="D2" s="155" t="n">
        <v>2</v>
      </c>
      <c r="F2" s="155" t="n">
        <v>6</v>
      </c>
      <c r="H2" s="155" t="n">
        <v>1</v>
      </c>
      <c r="I2" s="155" t="n">
        <v>1</v>
      </c>
      <c r="J2" s="155" t="n">
        <v>1</v>
      </c>
      <c r="K2" s="155" t="n">
        <v>2</v>
      </c>
      <c r="L2" s="155" t="n">
        <v>1</v>
      </c>
      <c r="M2" s="155" t="n">
        <v>1</v>
      </c>
      <c r="N2" s="155" t="n">
        <v>1</v>
      </c>
      <c r="O2" s="155" t="n">
        <v>2</v>
      </c>
      <c r="P2" s="155" t="n">
        <v>2</v>
      </c>
      <c r="R2" s="155" t="n">
        <v>0</v>
      </c>
      <c r="T2" s="155" t="n">
        <v>3</v>
      </c>
      <c r="V2" s="153" t="inlineStr">
        <is>
          <t>Projétil</t>
        </is>
      </c>
      <c r="W2" s="153" t="inlineStr"/>
      <c r="X2" s="155" t="n">
        <v>0</v>
      </c>
      <c r="Y2" s="155" t="n">
        <v>0</v>
      </c>
      <c r="Z2" s="155" t="n">
        <v>0</v>
      </c>
      <c r="AA2" s="153" t="inlineStr">
        <is>
          <t>Ataque</t>
        </is>
      </c>
      <c r="AB2" s="155" t="n">
        <v>0</v>
      </c>
      <c r="AC2" s="155" t="n">
        <v>1</v>
      </c>
      <c r="AD2" s="155" t="n">
        <v>0</v>
      </c>
      <c r="AE2" s="155" t="n">
        <v>1</v>
      </c>
      <c r="AF2" s="155" t="n">
        <v>1</v>
      </c>
      <c r="AH2" s="153" t="inlineStr">
        <is>
          <t>Projétil · classe 0</t>
        </is>
      </c>
      <c r="AI2" s="153" t="inlineStr">
        <is>
          <t>9 m, um alvo</t>
        </is>
      </c>
      <c r="AJ2" s="153" t="inlineStr">
        <is>
          <t>18 m, um alvo</t>
        </is>
      </c>
      <c r="AK2" s="153" t="inlineStr">
        <is>
          <t>36 m, um alvo</t>
        </is>
      </c>
      <c r="AL2" s="153" t="inlineStr">
        <is>
          <t>90 m, um alvo</t>
        </is>
      </c>
      <c r="AM2" s="153" t="inlineStr">
        <is>
          <t>Visão a olho nu, um alvo</t>
        </is>
      </c>
      <c r="AN2" s="153" t="inlineStr">
        <is>
          <t>Visão a olho nu, um alvo</t>
        </is>
      </c>
      <c r="AO2" s="153" t="inlineStr"/>
      <c r="AP2" s="153" t="inlineStr"/>
      <c r="AQ2" s="153" t="inlineStr"/>
      <c r="AR2" s="153" t="inlineStr"/>
      <c r="AS2" s="153" t="inlineStr"/>
      <c r="AT2" s="153" t="inlineStr"/>
      <c r="AV2" s="153" t="inlineStr">
        <is>
          <t>Longe</t>
        </is>
      </c>
      <c r="AW2" s="153" t="inlineStr">
        <is>
          <t>Alcance</t>
        </is>
      </c>
      <c r="AX2" s="155" t="n">
        <v>1</v>
      </c>
      <c r="AY2" s="155" t="n">
        <v>0</v>
      </c>
      <c r="AZ2" s="155" t="n">
        <v>0</v>
      </c>
      <c r="BA2" s="155" t="n">
        <v>0</v>
      </c>
      <c r="BC2" s="153" t="inlineStr">
        <is>
          <t>Corpo a Corpo</t>
        </is>
      </c>
      <c r="BD2" s="153" t="inlineStr">
        <is>
          <t>Corpo a Corpo</t>
        </is>
      </c>
      <c r="BE2" s="155" t="n">
        <v>2</v>
      </c>
      <c r="BF2" s="155" t="n">
        <v>0</v>
      </c>
      <c r="BG2" s="153" t="inlineStr"/>
      <c r="BI2" s="153" t="inlineStr">
        <is>
          <t>Leitura</t>
        </is>
      </c>
      <c r="BJ2" s="155" t="n">
        <v>1</v>
      </c>
      <c r="BK2" s="153" t="inlineStr">
        <is>
          <t>Você identifica a Classe e a Forma de qualquer feitiço conjurado a até 18 m de você. A informação não fornece a montagem completa, o custo de cada peça ou a localização de um alvo oculto.</t>
        </is>
      </c>
      <c r="BL2" s="153" t="inlineStr">
        <is>
          <t>Leitura</t>
        </is>
      </c>
      <c r="BN2" s="153" t="inlineStr">
        <is>
          <t>Shikigami de técnica</t>
        </is>
      </c>
      <c r="BP2" s="153" t="inlineStr">
        <is>
          <t>Espaço conhecido</t>
        </is>
      </c>
      <c r="BQ2" s="155" t="n">
        <v>1</v>
      </c>
      <c r="BS2" s="153" t="inlineStr">
        <is>
          <t>Alcance</t>
        </is>
      </c>
      <c r="BU2" s="153" t="inlineStr">
        <is>
          <t>Força</t>
        </is>
      </c>
      <c r="BW2" s="153" t="inlineStr">
        <is>
          <t>Físico</t>
        </is>
      </c>
      <c r="BY2" s="153" t="inlineStr">
        <is>
          <t>Força</t>
        </is>
      </c>
      <c r="CA2" s="153" t="inlineStr">
        <is>
          <t>Com alma</t>
        </is>
      </c>
      <c r="CC2" s="153" t="inlineStr">
        <is>
          <t>Atletismo</t>
        </is>
      </c>
      <c r="CD2" s="153" t="inlineStr">
        <is>
          <t>Força</t>
        </is>
      </c>
      <c r="CF2" s="153" t="inlineStr">
        <is>
          <t>Sem carga</t>
        </is>
      </c>
      <c r="CH2" s="153" t="inlineStr">
        <is>
          <t>Cortante</t>
        </is>
      </c>
      <c r="CJ2" s="153" t="inlineStr">
        <is>
          <t>Ataque</t>
        </is>
      </c>
      <c r="CL2" s="155" t="n">
        <v>0</v>
      </c>
      <c r="CN2" s="155" t="n">
        <v>17</v>
      </c>
      <c r="CO2" s="153" t="inlineStr">
        <is>
          <t>19d8</t>
        </is>
      </c>
      <c r="CP2" s="155" t="n">
        <v>8</v>
      </c>
      <c r="CQ2" s="155" t="n">
        <v>25</v>
      </c>
      <c r="CS2" s="153" t="inlineStr">
        <is>
          <t>Incompleta</t>
        </is>
      </c>
      <c r="CT2" s="153" t="inlineStr">
        <is>
          <t>2 espaços.</t>
        </is>
      </c>
      <c r="CU2" s="153" t="inlineStr">
        <is>
          <t>Nível 10 dela e seu refino 4.</t>
        </is>
      </c>
      <c r="CW2" s="153" t="inlineStr">
        <is>
          <t>Essência</t>
        </is>
      </c>
      <c r="CY2" s="153" t="inlineStr">
        <is>
          <t>nível</t>
        </is>
      </c>
      <c r="CZ2" s="155">
        <f>MAX(1,N(FICHA!$AH$11))</f>
        <v/>
      </c>
      <c r="DB2" s="155" t="n">
        <v>1</v>
      </c>
      <c r="DC2" s="155">
        <f>'INVOCAÇÕES'!$I$13&amp;""</f>
        <v/>
      </c>
      <c r="DD2" s="155">
        <f>'INVOCAÇÕES'!$I$43&amp;""</f>
        <v/>
      </c>
      <c r="DE2" s="155">
        <f>'INVOCAÇÕES'!$I$47&amp;""</f>
        <v/>
      </c>
      <c r="DF2" s="155">
        <f>N('INVOCAÇÕES'!$K$47)</f>
        <v/>
      </c>
      <c r="DG2" s="155">
        <f>'INVOCAÇÕES'!$L$47&amp;""</f>
        <v/>
      </c>
      <c r="DH2" s="155">
        <f>N('INVOCAÇÕES'!$O$20)</f>
        <v/>
      </c>
      <c r="DI2" s="155">
        <f>N('INVOCAÇÕES'!$P$20)</f>
        <v/>
      </c>
      <c r="DJ2" s="155">
        <f>N('INVOCAÇÕES'!$Q$20)</f>
        <v/>
      </c>
      <c r="DK2" s="155">
        <f>N('INVOCAÇÕES'!$R$20)</f>
        <v/>
      </c>
      <c r="DL2" s="155">
        <f>N('INVOCAÇÕES'!$S$20)</f>
        <v/>
      </c>
      <c r="DM2" s="155">
        <f>N('INVOCAÇÕES'!$O$21)</f>
        <v/>
      </c>
      <c r="DN2" s="155">
        <f>N('INVOCAÇÕES'!$P$21)</f>
        <v/>
      </c>
      <c r="DO2" s="155">
        <f>N('INVOCAÇÕES'!$Q$21)</f>
        <v/>
      </c>
      <c r="DP2" s="155">
        <f>N('INVOCAÇÕES'!$R$21)</f>
        <v/>
      </c>
      <c r="DQ2" s="155">
        <f>N('INVOCAÇÕES'!$S$21)</f>
        <v/>
      </c>
      <c r="DR2" s="155">
        <f>'INVOCAÇÕES'!$O$34&amp;""</f>
        <v/>
      </c>
      <c r="DS2" s="155">
        <f>'INVOCAÇÕES'!$R$34&amp;""</f>
        <v/>
      </c>
      <c r="DT2" s="155">
        <f>'INVOCAÇÕES'!$S$29&amp;""</f>
        <v/>
      </c>
      <c r="DU2" s="155">
        <f>N('INVOCAÇÕES'!$O$26)</f>
        <v/>
      </c>
      <c r="DV2" s="155">
        <f>N('INVOCAÇÕES'!$P$26)</f>
        <v/>
      </c>
      <c r="DW2" s="155">
        <f>N('INVOCAÇÕES'!$Q$26)</f>
        <v/>
      </c>
      <c r="DX2" s="155">
        <f>N('INVOCAÇÕES'!$R$26)</f>
        <v/>
      </c>
      <c r="DY2" s="155">
        <f>N('INVOCAÇÕES'!$S$26)</f>
        <v/>
      </c>
      <c r="DZ2" s="155">
        <f>N('INVOCAÇÕES'!$O$31)</f>
        <v/>
      </c>
      <c r="EA2" s="155">
        <f>N('INVOCAÇÕES'!$P$31)</f>
        <v/>
      </c>
      <c r="EB2" s="155">
        <f>N('INVOCAÇÕES'!$Q$31)</f>
        <v/>
      </c>
      <c r="EC2" s="155">
        <f>N('INVOCAÇÕES'!$R$31)</f>
        <v/>
      </c>
      <c r="ED2" s="155">
        <f>'INVOCAÇÕES'!$U$13&amp;""</f>
        <v/>
      </c>
      <c r="EE2" s="155">
        <f>N('INVOCAÇÕES'!$W$13)</f>
        <v/>
      </c>
      <c r="EF2" s="155">
        <f>'INVOCAÇÕES'!$Y$13&amp;""</f>
        <v/>
      </c>
      <c r="EG2" s="155">
        <f>SUM('INVOCAÇÕES'!$Y$33:'INVOCAÇÕES'!$Y$35,'INVOCAÇÕES'!$Y$37:'INVOCAÇÕES'!$Y$42)</f>
        <v/>
      </c>
      <c r="EH2" s="155">
        <f>'INVOCAÇÕES'!$U$18&amp;""</f>
        <v/>
      </c>
      <c r="EI2" s="155">
        <f>'INVOCAÇÕES'!$V$18&amp;""</f>
        <v/>
      </c>
      <c r="EJ2" s="155">
        <f>'INVOCAÇÕES'!$O$48&amp;""</f>
        <v/>
      </c>
      <c r="EK2" s="155">
        <f>'INVOCAÇÕES'!$P$48&amp;""</f>
        <v/>
      </c>
      <c r="EL2" s="155">
        <f>'INVOCAÇÕES'!$Q$48&amp;""</f>
        <v/>
      </c>
      <c r="EM2" s="155">
        <f>'INVOCAÇÕES'!$R$48&amp;""</f>
        <v/>
      </c>
      <c r="EN2" s="155">
        <f>'INVOCAÇÕES'!$S$48&amp;""</f>
        <v/>
      </c>
      <c r="EO2" s="155">
        <f>'INVOCAÇÕES'!$O$38&amp;""</f>
        <v/>
      </c>
      <c r="EP2" s="155">
        <f>'INVOCAÇÕES'!$O$39&amp;""</f>
        <v/>
      </c>
      <c r="EQ2" s="155">
        <f>'INVOCAÇÕES'!$O$40&amp;""</f>
        <v/>
      </c>
      <c r="ER2" s="155">
        <f>'INVOCAÇÕES'!$O$41&amp;""</f>
        <v/>
      </c>
      <c r="ES2" s="155">
        <f>'INVOCAÇÕES'!$O$42&amp;""</f>
        <v/>
      </c>
      <c r="ET2" s="155">
        <f>'INVOCAÇÕES'!$O$43&amp;""</f>
        <v/>
      </c>
      <c r="EU2" s="155">
        <f>'INVOCAÇÕES'!$O$44&amp;""</f>
        <v/>
      </c>
      <c r="EV2" s="155">
        <f>'INVOCAÇÕES'!$J$80&amp;""</f>
        <v/>
      </c>
      <c r="EW2" s="155">
        <f>'INVOCAÇÕES'!$J$81&amp;""</f>
        <v/>
      </c>
      <c r="EX2" s="155">
        <f>'INVOCAÇÕES'!$J$82&amp;""</f>
        <v/>
      </c>
      <c r="EY2" s="155">
        <f>'INVOCAÇÕES'!$J$83&amp;""</f>
        <v/>
      </c>
      <c r="EZ2" s="155">
        <f>'INVOCAÇÕES'!$J$84&amp;""</f>
        <v/>
      </c>
      <c r="FA2" s="155">
        <f>'INVOCAÇÕES'!$J$85&amp;""</f>
        <v/>
      </c>
      <c r="FB2" s="155">
        <f>'INVOCAÇÕES'!$J$86&amp;""</f>
        <v/>
      </c>
      <c r="FC2" s="155">
        <f>'INVOCAÇÕES'!$J$87&amp;""</f>
        <v/>
      </c>
      <c r="FD2" s="155">
        <f>'INVOCAÇÕES'!$J$182&amp;""</f>
        <v/>
      </c>
      <c r="FE2" s="155">
        <f>'INVOCAÇÕES'!$J$183&amp;""</f>
        <v/>
      </c>
      <c r="FF2" s="155">
        <f>'INVOCAÇÕES'!$J$184&amp;""</f>
        <v/>
      </c>
      <c r="FG2" s="155">
        <f>MAX(3,MIN(7,N('INVOCAÇÕES'!$I$189)))</f>
        <v/>
      </c>
      <c r="FH2" s="155">
        <f>MAX(3,MIN(7,N('INVOCAÇÕES'!$O$189)))</f>
        <v/>
      </c>
      <c r="FI2" s="155">
        <f>MAX(3,MIN(7,N('INVOCAÇÕES'!$U$189)))</f>
        <v/>
      </c>
      <c r="FJ2" s="155">
        <f>'INVOCAÇÕES'!$O$203&amp;""</f>
        <v/>
      </c>
      <c r="FK2" s="155">
        <f>IF($DC2&lt;&gt;"",1,0)</f>
        <v/>
      </c>
      <c r="FL2" s="155">
        <f>IFERROR(VLOOKUP($DE2,$BP$2:$BQ$5,2,FALSE),1)</f>
        <v/>
      </c>
      <c r="FM2" s="155">
        <f>IF($FL2=1,$CZ$2,MAX(1,MIN($CZ$2,IF($DF2=0,$CZ$2,$DF2))))</f>
        <v/>
      </c>
      <c r="FN2" s="155">
        <f>VLOOKUP(MAX(1,$FM2),$A$2:$D$8,2,TRUE)</f>
        <v/>
      </c>
      <c r="FO2" s="155">
        <f>VLOOKUP(MAX(1,$FM2),$A$2:$D$8,3,TRUE)</f>
        <v/>
      </c>
      <c r="FP2" s="155">
        <f>$DH2+$DM2</f>
        <v/>
      </c>
      <c r="FQ2" s="155">
        <f>$DI2+$DN2</f>
        <v/>
      </c>
      <c r="FR2" s="155">
        <f>$DJ2+$DO2</f>
        <v/>
      </c>
      <c r="FS2" s="155">
        <f>$DK2+$DP2</f>
        <v/>
      </c>
      <c r="FT2" s="155">
        <f>$DL2+$DQ2</f>
        <v/>
      </c>
      <c r="FU2" s="155">
        <f>SUM($DH2:$DL2)</f>
        <v/>
      </c>
      <c r="FV2" s="155">
        <f>9+$FW2</f>
        <v/>
      </c>
      <c r="FW2" s="155">
        <f>COUNTIF($F$2:$F$8,"&lt;="&amp;$FM2)</f>
        <v/>
      </c>
      <c r="FX2" s="155">
        <f>MAX(0,$DH2-3)+MAX(0,$DI2-3)+MAX(0,$DJ2-3)+MAX(0,$DK2-3)+MAX(0,$DL2-3)</f>
        <v/>
      </c>
      <c r="FY2" s="155">
        <f>IFERROR(INDEX($FP2:$FT2,1,MATCH($DR2,$BU$2:$BU$6,0)),"")</f>
        <v/>
      </c>
      <c r="FZ2" s="155">
        <f>IF($FY2="","",$FY2+$CZ$3+$DU2)</f>
        <v/>
      </c>
      <c r="GA2" s="155">
        <f>IF($FY2="","",8+$FY2+$CZ$3+$DV2)</f>
        <v/>
      </c>
      <c r="GB2" s="155">
        <f>10+$FQ2+$CZ$7+$DW2</f>
        <v/>
      </c>
      <c r="GC2" s="155">
        <f>IF($DD2="Corpo amaldiçoado de criação",1,0)</f>
        <v/>
      </c>
      <c r="GD2" s="155">
        <f>5+$FR2+(3+$GC2+$FR2)*($FM2-1)+$DX2</f>
        <v/>
      </c>
      <c r="GE2" s="155">
        <f>IF($FK2=0,"",$GD2)</f>
        <v/>
      </c>
      <c r="GF2" s="155">
        <f>IF($ED2="",$GD2,MAX(0,MIN(IFERROR(VALUE($ED2),$GD2),$GD2)))</f>
        <v/>
      </c>
      <c r="GG2" s="155">
        <f>IF(AND($FK2=1,$EH2&lt;&gt;"Sem alma"),MAX(1,INT($GD2/2)),"")</f>
        <v/>
      </c>
      <c r="GH2" s="155">
        <f>$GG2</f>
        <v/>
      </c>
      <c r="GI2" s="155">
        <f>IF($GG2="","",IF($EI2="",$GG2,MAX(0,MIN(IFERROR(VALUE($EI2),$GG2),$GG2))))</f>
        <v/>
      </c>
      <c r="GJ2" s="155">
        <f>IF($FK2=0,"",IF($GG2="","—",$GG2))</f>
        <v/>
      </c>
      <c r="GK2" s="155">
        <f>IF($FK2=0,"",IF($GG2="","Sem alma · imune a dano de Alma",IF($GI2&lt;=0,"Estágio 4 · caída, como a zero de vida",IF($GI2&lt;=$GG2/4,"Estágio 3 · desvantagem em ataques e TRs, Classe pela metade",IF($GI2&lt;=$GG2/2,"Estágio 2 · metade do deslocamento, +1 PE por Classe",IF($GI2&lt;=$GG2*3/4,"Estágio 1 · desvantagem em perícias","Alma inteira"))))))</f>
        <v/>
      </c>
      <c r="GL2" s="155">
        <f>9+$DY2</f>
        <v/>
      </c>
      <c r="GM2" s="155">
        <f>IF($DS2="Destreza",$FQ2,$FP2)</f>
        <v/>
      </c>
      <c r="GN2" s="155">
        <f>$GM2+IF($DT2="Físico",$CZ$3,0)+$DZ2</f>
        <v/>
      </c>
      <c r="GO2" s="155">
        <f>$FR2+IF($DT2="Vigor",$CZ$3,0)+$EA2</f>
        <v/>
      </c>
      <c r="GP2" s="155">
        <f>$FS2+IF($DT2="Intelecto",$CZ$3,0)+$EB2</f>
        <v/>
      </c>
      <c r="GQ2" s="155">
        <f>$FT2+IF($DT2="Espírito",$CZ$3,0)+$EC2</f>
        <v/>
      </c>
      <c r="GR2" s="155">
        <f>4+INT($DK2/2)</f>
        <v/>
      </c>
      <c r="GS2" s="155">
        <f>COUNTIF($EO2:$EU2,"?*")</f>
        <v/>
      </c>
      <c r="GT2" s="155">
        <f>INT((2+$FM2/2)/2)</f>
        <v/>
      </c>
      <c r="GU2" s="155">
        <f>IF($FM2&gt;=11,2,1)</f>
        <v/>
      </c>
      <c r="GV2" s="155">
        <f>1+$FW2</f>
        <v/>
      </c>
      <c r="GW2" s="155">
        <f>COUNTIF($EV2:$FC2,"?*")</f>
        <v/>
      </c>
      <c r="GX2" s="155">
        <f>IF(AND($DD2="Shikigami de criação",$DG2="Com carga"),MAX(1,CEILING($FN2/2,1)),$FN2)</f>
        <v/>
      </c>
      <c r="GY2" s="155">
        <f>$FN2+$GX2</f>
        <v/>
      </c>
      <c r="GZ2" s="155">
        <f>$FM2*(1+INT($DL2/3))</f>
        <v/>
      </c>
      <c r="HA2" s="155">
        <f>5+$FP2</f>
        <v/>
      </c>
      <c r="HB2" s="155">
        <f>COUNTIF($EJ2:$EN2,"?*")</f>
        <v/>
      </c>
      <c r="HC2" s="155">
        <f>IF($EJ2="",0,IF(COUNTIF($EJ2:$EN2,$EJ2)&gt;1,1,0))+IF($EK2="",0,IF(COUNTIF($EJ2:$EN2,$EK2)&gt;1,1,0))+IF($EL2="",0,IF(COUNTIF($EJ2:$EN2,$EL2)&gt;1,1,0))+IF($EM2="",0,IF(COUNTIF($EJ2:$EN2,$EM2)&gt;1,1,0))+IF($EN2="",0,IF(COUNTIF($EJ2:$EN2,$EN2)&gt;1,1,0))</f>
        <v/>
      </c>
      <c r="HD2" s="155">
        <f>$CZ$11</f>
        <v/>
      </c>
      <c r="HE2" s="155">
        <f>IF($FK2=0,"INVOCAÇÃO 1 · lugar vazio",$DC2&amp;" · "&amp;$DD2&amp;" · nível "&amp;$FM2&amp;" · vida "&amp;$GF2&amp;" de "&amp;$GD2)</f>
        <v/>
      </c>
      <c r="HF2" s="155">
        <f>IF($FK2=0,"VAZIA",UPPER($DC2))</f>
        <v/>
      </c>
      <c r="HG2" s="155">
        <f>IF($CZ$3&gt;=0,"+","−")&amp;ABS($CZ$3)</f>
        <v/>
      </c>
      <c r="HH2" s="155">
        <f>$GX2&amp;" PE"</f>
        <v/>
      </c>
      <c r="HI2" s="155">
        <f>$GY2&amp;" PE"</f>
        <v/>
      </c>
      <c r="HJ2" s="155">
        <f>IF(OR($FU2&gt;$FV2,$FX2&gt;$FW2),"⚠ ",IF(AND($FK2=1,$FU2&lt;$FV2),"! ",""))&amp;"ATRIBUTOS · "&amp;$FU2&amp;" DE "&amp;$FV2&amp;" PONTOS"&amp;IF($FX2&gt;$FW2," · ACIMA DE 3 SÓ COM MARCO","")</f>
        <v/>
      </c>
      <c r="HK2" s="155">
        <f>IF($FZ2="","",IF($FZ2&gt;=0,"+","−")&amp;ABS($FZ2))</f>
        <v/>
      </c>
      <c r="HL2" s="155">
        <f>IF($GA2="","",$GA2)</f>
        <v/>
      </c>
      <c r="HM2" s="155">
        <f>SUBSTITUTE($GL2&amp;" m",".",",")</f>
        <v/>
      </c>
      <c r="HN2" s="155">
        <f>IF($GN2&gt;=0,"+","−")&amp;ABS($GN2)</f>
        <v/>
      </c>
      <c r="HO2" s="155">
        <f>IF($GO2&gt;=0,"+","−")&amp;ABS($GO2)</f>
        <v/>
      </c>
      <c r="HP2" s="155">
        <f>IF($GP2&gt;=0,"+","−")&amp;ABS($GP2)</f>
        <v/>
      </c>
      <c r="HQ2" s="155">
        <f>IF($GQ2&gt;=0,"+","−")&amp;ABS($GQ2)</f>
        <v/>
      </c>
      <c r="HR2" s="155">
        <f>IF($GS2&gt;$GR2,"⚠ ","")&amp;"PERÍCIAS · "&amp;$GS2&amp;" DE "&amp;$GR2</f>
        <v/>
      </c>
      <c r="HS2" s="155">
        <f>IF($EO2="","",IFERROR(IF((INDEX($FP2:$FT2,1,MATCH(VLOOKUP($EO2,$CC$2:$CD$24,2,FALSE),$BU$2:$BU$6,0))+$CZ$3)&gt;=0,"+","−")&amp;ABS((INDEX($FP2:$FT2,1,MATCH(VLOOKUP($EO2,$CC$2:$CD$24,2,FALSE),$BU$2:$BU$6,0))+$CZ$3)),""))</f>
        <v/>
      </c>
      <c r="HT2" s="155">
        <f>IF($EP2="","",IFERROR(IF((INDEX($FP2:$FT2,1,MATCH(VLOOKUP($EP2,$CC$2:$CD$24,2,FALSE),$BU$2:$BU$6,0))+$CZ$3)&gt;=0,"+","−")&amp;ABS((INDEX($FP2:$FT2,1,MATCH(VLOOKUP($EP2,$CC$2:$CD$24,2,FALSE),$BU$2:$BU$6,0))+$CZ$3)),""))</f>
        <v/>
      </c>
      <c r="HU2" s="155">
        <f>IF($EQ2="","",IFERROR(IF((INDEX($FP2:$FT2,1,MATCH(VLOOKUP($EQ2,$CC$2:$CD$24,2,FALSE),$BU$2:$BU$6,0))+$CZ$3)&gt;=0,"+","−")&amp;ABS((INDEX($FP2:$FT2,1,MATCH(VLOOKUP($EQ2,$CC$2:$CD$24,2,FALSE),$BU$2:$BU$6,0))+$CZ$3)),""))</f>
        <v/>
      </c>
      <c r="HV2" s="155">
        <f>IF($ER2="","",IFERROR(IF((INDEX($FP2:$FT2,1,MATCH(VLOOKUP($ER2,$CC$2:$CD$24,2,FALSE),$BU$2:$BU$6,0))+$CZ$3)&gt;=0,"+","−")&amp;ABS((INDEX($FP2:$FT2,1,MATCH(VLOOKUP($ER2,$CC$2:$CD$24,2,FALSE),$BU$2:$BU$6,0))+$CZ$3)),""))</f>
        <v/>
      </c>
      <c r="HW2" s="155">
        <f>IF($ES2="","",IFERROR(IF((INDEX($FP2:$FT2,1,MATCH(VLOOKUP($ES2,$CC$2:$CD$24,2,FALSE),$BU$2:$BU$6,0))+$CZ$3)&gt;=0,"+","−")&amp;ABS((INDEX($FP2:$FT2,1,MATCH(VLOOKUP($ES2,$CC$2:$CD$24,2,FALSE),$BU$2:$BU$6,0))+$CZ$3)),""))</f>
        <v/>
      </c>
      <c r="HX2" s="155">
        <f>IF($ET2="","",IFERROR(IF((INDEX($FP2:$FT2,1,MATCH(VLOOKUP($ET2,$CC$2:$CD$24,2,FALSE),$BU$2:$BU$6,0))+$CZ$3)&gt;=0,"+","−")&amp;ABS((INDEX($FP2:$FT2,1,MATCH(VLOOKUP($ET2,$CC$2:$CD$24,2,FALSE),$BU$2:$BU$6,0))+$CZ$3)),""))</f>
        <v/>
      </c>
      <c r="HY2" s="155">
        <f>IF($EU2="","",IFERROR(IF((INDEX($FP2:$FT2,1,MATCH(VLOOKUP($EU2,$CC$2:$CD$24,2,FALSE),$BU$2:$BU$6,0))+$CZ$3)&gt;=0,"+","−")&amp;ABS((INDEX($FP2:$FT2,1,MATCH(VLOOKUP($EU2,$CC$2:$CD$24,2,FALSE),$BU$2:$BU$6,0))+$CZ$3)),""))</f>
        <v/>
      </c>
      <c r="HZ2" s="155">
        <f>IF($DD2="Maldição domada","RESERVA · MÁX. "&amp;$GZ2,"RESERVA DE PE")</f>
        <v/>
      </c>
      <c r="IA2" s="155">
        <f>IF($EG2&gt;$HA2,"⚠ ","")&amp;"EQUIPAMENTO · "&amp;$EG2&amp;" DE "&amp;$HA2&amp;" DE VOLUME"&amp;IF($EG2&gt;$HA2," · PASSOU DO LIMITE","")</f>
        <v/>
      </c>
      <c r="IB2" s="155">
        <f>IF(OR($HC2&gt;0,$HB2&gt;$HD2),"⚠ ","")&amp;"FAMÍLIAS · "&amp;$HB2&amp;" ABERTAS"&amp;IF($HC2&gt;0," · REPETIDA","")&amp;IF($HB2&gt;$HD2," · O LIMITE É "&amp;$HD2,"")</f>
        <v/>
      </c>
      <c r="IC2" s="155">
        <f>"HABILIDADES · básica de "&amp;$FO2&amp;"d6 · "&amp;$GT2&amp;IF($GT2&gt;1," espaços"," espaço")&amp;" de especial até a Classe "&amp;$FN2&amp;" · "&amp;$GV2&amp;IF($GV2&gt;1," talentos"," talento")</f>
        <v/>
      </c>
      <c r="ID2" s="155">
        <f>IF($GW2&gt;$GV2,"⚠ ","")&amp;"TALENTOS · "&amp;$GW2&amp;" DE "&amp;$GV2</f>
        <v/>
      </c>
      <c r="IE2" s="155">
        <f>IFERROR(VLOOKUP($EV2,$BI$2:$BL$15,2,FALSE),0)</f>
        <v/>
      </c>
      <c r="IF2" s="155">
        <f>IFERROR(VLOOKUP($EW2,$BI$2:$BL$15,2,FALSE),0)</f>
        <v/>
      </c>
      <c r="IG2" s="155">
        <f>IFERROR(VLOOKUP($EX2,$BI$2:$BL$15,2,FALSE),0)</f>
        <v/>
      </c>
      <c r="IH2" s="155">
        <f>IFERROR(VLOOKUP($EY2,$BI$2:$BL$15,2,FALSE),0)</f>
        <v/>
      </c>
      <c r="II2" s="155">
        <f>IFERROR(VLOOKUP($EZ2,$BI$2:$BL$15,2,FALSE),0)</f>
        <v/>
      </c>
      <c r="IJ2" s="155">
        <f>IFERROR(VLOOKUP($FA2,$BI$2:$BL$15,2,FALSE),0)</f>
        <v/>
      </c>
      <c r="IK2" s="155">
        <f>IFERROR(VLOOKUP($FB2,$BI$2:$BL$15,2,FALSE),0)</f>
        <v/>
      </c>
      <c r="IL2" s="155">
        <f>IFERROR(VLOOKUP($FC2,$BI$2:$BL$15,2,FALSE),0)</f>
        <v/>
      </c>
      <c r="IM2" s="155">
        <f>IF($EV2="","",IF(1&gt;$FM2,"⚠ Este talento abre no nível 1",IF($IE2&gt;1,"⚠ Categoria "&amp;$IE2&amp;": este ganho vai até a 1 · ","")&amp;IFERROR(VLOOKUP($EV2,$BI$2:$BL$15,3,FALSE),"")))</f>
        <v/>
      </c>
      <c r="IN2" s="155">
        <f>IF($EW2="","",IF(6&gt;$FM2,"⚠ Este talento abre no nível 6",IF($IF2&gt;1,"⚠ Categoria "&amp;$IF2&amp;": este ganho vai até a 1 · ","")&amp;IFERROR(VLOOKUP($EW2,$BI$2:$BL$15,3,FALSE),"")))</f>
        <v/>
      </c>
      <c r="IO2" s="155">
        <f>IF($EX2="","",IF(10&gt;$FM2,"⚠ Este talento abre no nível 10",IF($IG2&gt;2,"⚠ Categoria "&amp;$IG2&amp;": este ganho vai até a 2 · ","")&amp;IFERROR(VLOOKUP($EX2,$BI$2:$BL$15,3,FALSE),"")))</f>
        <v/>
      </c>
      <c r="IP2" s="155">
        <f>IF($EY2="","",IF(14&gt;$FM2,"⚠ Este talento abre no nível 14",IF($IH2&gt;3,"⚠ Categoria "&amp;$IH2&amp;": este ganho vai até a 3 · ","")&amp;IFERROR(VLOOKUP($EY2,$BI$2:$BL$15,3,FALSE),"")))</f>
        <v/>
      </c>
      <c r="IQ2" s="155">
        <f>IF($EZ2="","",IF(18&gt;$FM2,"⚠ Este talento abre no nível 18",IF($II2&gt;3,"⚠ Categoria "&amp;$II2&amp;": este ganho vai até a 3 · ","")&amp;IFERROR(VLOOKUP($EZ2,$BI$2:$BL$15,3,FALSE),"")))</f>
        <v/>
      </c>
      <c r="IR2" s="155">
        <f>IF($FA2="","",IF(22&gt;$FM2,"⚠ Este talento abre no nível 22",IF($IJ2&gt;3,"⚠ Categoria "&amp;$IJ2&amp;": este ganho vai até a 3 · ","")&amp;IFERROR(VLOOKUP($FA2,$BI$2:$BL$15,3,FALSE),"")))</f>
        <v/>
      </c>
      <c r="IS2" s="155">
        <f>IF($FB2="","",IF(26&gt;$FM2,"⚠ Este talento abre no nível 26",IF($IK2&gt;3,"⚠ Categoria "&amp;$IK2&amp;": este ganho vai até a 3 · ","")&amp;IFERROR(VLOOKUP($FB2,$BI$2:$BL$15,3,FALSE),"")))</f>
        <v/>
      </c>
      <c r="IT2" s="155">
        <f>IF($FC2="","",IF(30&gt;$FM2,"⚠ Este talento abre no nível 30",IF($IL2&gt;3,"⚠ Categoria "&amp;$IL2&amp;": este ganho vai até a 3 · ","")&amp;IFERROR(VLOOKUP($FC2,$BI$2:$BL$15,3,FALSE),"")))</f>
        <v/>
      </c>
      <c r="IU2" s="155">
        <f>IF($FD2="","",IFERROR(VLOOKUP($FD2,$BI$2:$BL$15,3,FALSE),""))</f>
        <v/>
      </c>
      <c r="IV2" s="155">
        <f>IF($FE2="","",IFERROR(VLOOKUP($FE2,$BI$2:$BL$15,3,FALSE),""))</f>
        <v/>
      </c>
      <c r="IW2" s="155">
        <f>IF($FF2="","",IFERROR(VLOOKUP($FF2,$BI$2:$BL$15,3,FALSE),""))</f>
        <v/>
      </c>
      <c r="IX2" s="155">
        <f>CEILING(4.5*$FG2,1)&amp;" PE"</f>
        <v/>
      </c>
      <c r="IY2" s="155">
        <f>CEILING(4.5*$FH2,1)&amp;" PE"</f>
        <v/>
      </c>
      <c r="IZ2" s="155">
        <f>CEILING(4.5*$FI2,1)&amp;" PE"</f>
        <v/>
      </c>
      <c r="JA2" s="155">
        <f>INDEX($P$2:$P$8,$FG2)&amp;" pontos + "&amp;$FG2&amp;"d8"</f>
        <v/>
      </c>
      <c r="JB2" s="155">
        <f>INDEX($P$2:$P$8,$FH2)&amp;" pontos + "&amp;$FH2&amp;"d8"</f>
        <v/>
      </c>
      <c r="JC2" s="155">
        <f>INDEX($P$2:$P$8,$FI2)&amp;" pontos + "&amp;$FI2&amp;"d8"</f>
        <v/>
      </c>
      <c r="JD2" s="155">
        <f>IF($FM2&lt;17,"—",VLOOKUP($FM2,$CN$2:$CQ$4,4,TRUE)&amp;" PE")</f>
        <v/>
      </c>
      <c r="JE2" s="155">
        <f>IF($FM2&lt;17,"Abre no nível 17",VLOOKUP($FM2,$CN$2:$CQ$4,2,TRUE)&amp;" fixos · "&amp;VLOOKUP($FM2,$CN$2:$CQ$4,3,TRUE)&amp;" pontos")</f>
        <v/>
      </c>
      <c r="JF2" s="155">
        <f>IF($FJ2="Sem Barreiras",7,6)*$FN2&amp;" PE"</f>
        <v/>
      </c>
      <c r="JG2" s="155">
        <f>"Acerto "&amp;$FN2&amp;"d8"</f>
        <v/>
      </c>
      <c r="JH2" s="155">
        <f>IFERROR(VLOOKUP($FJ2,$CS$2:$CU$4,3,FALSE),"Escolha o degrau")</f>
        <v/>
      </c>
      <c r="JI2" s="155">
        <f>1&amp;" · "&amp;IF($FK2=0,"vazia",$DC2&amp;" · nv "&amp;$FM2&amp;" · "&amp;$GF2&amp;"/"&amp;$GD2)</f>
        <v/>
      </c>
      <c r="JK2" s="155">
        <f>COUNTIFS($FK$2:$FK$13,1,$DE$2:$DE$13,"Espaço conhecido")</f>
        <v/>
      </c>
      <c r="JM2" s="153" t="inlineStr">
        <is>
          <t>Invocação 1</t>
        </is>
      </c>
      <c r="JN2" s="155">
        <f>ADDRESS(ROW('INVOCAÇÕES'!D21),COLUMN('INVOCAÇÕES'!D21),4)</f>
        <v/>
      </c>
      <c r="JO2" s="155">
        <f>ADDRESS(ROW('INVOCAÇÕES'!H9),COLUMN('INVOCAÇÕES'!H9),4)</f>
        <v/>
      </c>
      <c r="JP2" s="153" t="inlineStr">
        <is>
          <t>DADOS_INVOC!$JI$2</t>
        </is>
      </c>
      <c r="JR2" s="155">
        <f>IF(OR($AW2="",COUNTIF($EJ$2:$EN$2,$AW2)&gt;0),$AV2,"")</f>
        <v/>
      </c>
      <c r="JS2" s="155">
        <f>IF(AND($AX2=1,OR($AW2="",COUNTIF($EJ$2:$EN$2,$AW2)&gt;0)),$AV2,"")</f>
        <v/>
      </c>
      <c r="JU2" s="155">
        <f>IF(OR($W2="",COUNTIF($EJ$2:$EN$2,$W2)&gt;0),$V2,"")</f>
        <v/>
      </c>
      <c r="JV2" s="155">
        <f>IF(AND($AF2=1,OR($W2="",COUNTIF($EJ$2:$EN$2,$W2)&gt;0)),$V2,"")</f>
        <v/>
      </c>
      <c r="JX2" s="155">
        <f>IF(OR($AW2="",COUNTIF($EJ$3:$EN$3,$AW2)&gt;0),$AV2,"")</f>
        <v/>
      </c>
      <c r="JY2" s="155">
        <f>IF(AND($AX2=1,OR($AW2="",COUNTIF($EJ$3:$EN$3,$AW2)&gt;0)),$AV2,"")</f>
        <v/>
      </c>
      <c r="KA2" s="155">
        <f>IF(OR($W2="",COUNTIF($EJ$3:$EN$3,$W2)&gt;0),$V2,"")</f>
        <v/>
      </c>
      <c r="KB2" s="155">
        <f>IF(AND($AF2=1,OR($W2="",COUNTIF($EJ$3:$EN$3,$W2)&gt;0)),$V2,"")</f>
        <v/>
      </c>
      <c r="KD2" s="155">
        <f>IF(OR($AW2="",COUNTIF($EJ$4:$EN$4,$AW2)&gt;0),$AV2,"")</f>
        <v/>
      </c>
      <c r="KE2" s="155">
        <f>IF(AND($AX2=1,OR($AW2="",COUNTIF($EJ$4:$EN$4,$AW2)&gt;0)),$AV2,"")</f>
        <v/>
      </c>
      <c r="KG2" s="155">
        <f>IF(OR($W2="",COUNTIF($EJ$4:$EN$4,$W2)&gt;0),$V2,"")</f>
        <v/>
      </c>
      <c r="KH2" s="155">
        <f>IF(AND($AF2=1,OR($W2="",COUNTIF($EJ$4:$EN$4,$W2)&gt;0)),$V2,"")</f>
        <v/>
      </c>
      <c r="KJ2" s="155">
        <f>IF(OR($AW2="",COUNTIF($EJ$5:$EN$5,$AW2)&gt;0),$AV2,"")</f>
        <v/>
      </c>
      <c r="KK2" s="155">
        <f>IF(AND($AX2=1,OR($AW2="",COUNTIF($EJ$5:$EN$5,$AW2)&gt;0)),$AV2,"")</f>
        <v/>
      </c>
      <c r="KM2" s="155">
        <f>IF(OR($W2="",COUNTIF($EJ$5:$EN$5,$W2)&gt;0),$V2,"")</f>
        <v/>
      </c>
      <c r="KN2" s="155">
        <f>IF(AND($AF2=1,OR($W2="",COUNTIF($EJ$5:$EN$5,$W2)&gt;0)),$V2,"")</f>
        <v/>
      </c>
      <c r="KP2" s="155">
        <f>IF(OR($AW2="",COUNTIF($EJ$6:$EN$6,$AW2)&gt;0),$AV2,"")</f>
        <v/>
      </c>
      <c r="KQ2" s="155">
        <f>IF(AND($AX2=1,OR($AW2="",COUNTIF($EJ$6:$EN$6,$AW2)&gt;0)),$AV2,"")</f>
        <v/>
      </c>
      <c r="KS2" s="155">
        <f>IF(OR($W2="",COUNTIF($EJ$6:$EN$6,$W2)&gt;0),$V2,"")</f>
        <v/>
      </c>
      <c r="KT2" s="155">
        <f>IF(AND($AF2=1,OR($W2="",COUNTIF($EJ$6:$EN$6,$W2)&gt;0)),$V2,"")</f>
        <v/>
      </c>
      <c r="KV2" s="155">
        <f>IF(OR($AW2="",COUNTIF($EJ$7:$EN$7,$AW2)&gt;0),$AV2,"")</f>
        <v/>
      </c>
      <c r="KW2" s="155">
        <f>IF(AND($AX2=1,OR($AW2="",COUNTIF($EJ$7:$EN$7,$AW2)&gt;0)),$AV2,"")</f>
        <v/>
      </c>
      <c r="KY2" s="155">
        <f>IF(OR($W2="",COUNTIF($EJ$7:$EN$7,$W2)&gt;0),$V2,"")</f>
        <v/>
      </c>
      <c r="KZ2" s="155">
        <f>IF(AND($AF2=1,OR($W2="",COUNTIF($EJ$7:$EN$7,$W2)&gt;0)),$V2,"")</f>
        <v/>
      </c>
      <c r="LB2" s="155">
        <f>IF(OR($AW2="",COUNTIF($EJ$8:$EN$8,$AW2)&gt;0),$AV2,"")</f>
        <v/>
      </c>
      <c r="LC2" s="155">
        <f>IF(AND($AX2=1,OR($AW2="",COUNTIF($EJ$8:$EN$8,$AW2)&gt;0)),$AV2,"")</f>
        <v/>
      </c>
      <c r="LE2" s="155">
        <f>IF(OR($W2="",COUNTIF($EJ$8:$EN$8,$W2)&gt;0),$V2,"")</f>
        <v/>
      </c>
      <c r="LF2" s="155">
        <f>IF(AND($AF2=1,OR($W2="",COUNTIF($EJ$8:$EN$8,$W2)&gt;0)),$V2,"")</f>
        <v/>
      </c>
      <c r="LH2" s="155">
        <f>IF(OR($AW2="",COUNTIF($EJ$9:$EN$9,$AW2)&gt;0),$AV2,"")</f>
        <v/>
      </c>
      <c r="LI2" s="155">
        <f>IF(AND($AX2=1,OR($AW2="",COUNTIF($EJ$9:$EN$9,$AW2)&gt;0)),$AV2,"")</f>
        <v/>
      </c>
      <c r="LK2" s="155">
        <f>IF(OR($W2="",COUNTIF($EJ$9:$EN$9,$W2)&gt;0),$V2,"")</f>
        <v/>
      </c>
      <c r="LL2" s="155">
        <f>IF(AND($AF2=1,OR($W2="",COUNTIF($EJ$9:$EN$9,$W2)&gt;0)),$V2,"")</f>
        <v/>
      </c>
      <c r="LN2" s="155">
        <f>IF(OR($AW2="",COUNTIF($EJ$10:$EN$10,$AW2)&gt;0),$AV2,"")</f>
        <v/>
      </c>
      <c r="LO2" s="155">
        <f>IF(AND($AX2=1,OR($AW2="",COUNTIF($EJ$10:$EN$10,$AW2)&gt;0)),$AV2,"")</f>
        <v/>
      </c>
      <c r="LQ2" s="155">
        <f>IF(OR($W2="",COUNTIF($EJ$10:$EN$10,$W2)&gt;0),$V2,"")</f>
        <v/>
      </c>
      <c r="LR2" s="155">
        <f>IF(AND($AF2=1,OR($W2="",COUNTIF($EJ$10:$EN$10,$W2)&gt;0)),$V2,"")</f>
        <v/>
      </c>
      <c r="LT2" s="155">
        <f>IF(OR($AW2="",COUNTIF($EJ$11:$EN$11,$AW2)&gt;0),$AV2,"")</f>
        <v/>
      </c>
      <c r="LU2" s="155">
        <f>IF(AND($AX2=1,OR($AW2="",COUNTIF($EJ$11:$EN$11,$AW2)&gt;0)),$AV2,"")</f>
        <v/>
      </c>
      <c r="LW2" s="155">
        <f>IF(OR($W2="",COUNTIF($EJ$11:$EN$11,$W2)&gt;0),$V2,"")</f>
        <v/>
      </c>
      <c r="LX2" s="155">
        <f>IF(AND($AF2=1,OR($W2="",COUNTIF($EJ$11:$EN$11,$W2)&gt;0)),$V2,"")</f>
        <v/>
      </c>
      <c r="LZ2" s="155">
        <f>IF(OR($AW2="",COUNTIF($EJ$12:$EN$12,$AW2)&gt;0),$AV2,"")</f>
        <v/>
      </c>
      <c r="MA2" s="155">
        <f>IF(AND($AX2=1,OR($AW2="",COUNTIF($EJ$12:$EN$12,$AW2)&gt;0)),$AV2,"")</f>
        <v/>
      </c>
      <c r="MC2" s="155">
        <f>IF(OR($W2="",COUNTIF($EJ$12:$EN$12,$W2)&gt;0),$V2,"")</f>
        <v/>
      </c>
      <c r="MD2" s="155">
        <f>IF(AND($AF2=1,OR($W2="",COUNTIF($EJ$12:$EN$12,$W2)&gt;0)),$V2,"")</f>
        <v/>
      </c>
      <c r="MF2" s="155">
        <f>IF(OR($AW2="",COUNTIF($EJ$13:$EN$13,$AW2)&gt;0),$AV2,"")</f>
        <v/>
      </c>
      <c r="MG2" s="155">
        <f>IF(AND($AX2=1,OR($AW2="",COUNTIF($EJ$13:$EN$13,$AW2)&gt;0)),$AV2,"")</f>
        <v/>
      </c>
      <c r="MI2" s="155">
        <f>IF(OR($W2="",COUNTIF($EJ$13:$EN$13,$W2)&gt;0),$V2,"")</f>
        <v/>
      </c>
      <c r="MJ2" s="155">
        <f>IF(AND($AF2=1,OR($W2="",COUNTIF($EJ$13:$EN$13,$W2)&gt;0)),$V2,"")</f>
        <v/>
      </c>
      <c r="ML2" s="153" t="inlineStr">
        <is>
          <t>Ficha 1 · Básica 1</t>
        </is>
      </c>
      <c r="MM2" s="155" t="n">
        <v>1</v>
      </c>
      <c r="MN2" s="155" t="n">
        <v>0</v>
      </c>
      <c r="MO2" s="155" t="n">
        <v>1</v>
      </c>
      <c r="MP2" s="153" t="inlineStr">
        <is>
          <t>BÁSICA 1</t>
        </is>
      </c>
      <c r="MQ2" s="155" t="n">
        <v>0</v>
      </c>
      <c r="MR2" s="155">
        <f>'INVOCAÇÕES'!$J$58&amp;""</f>
        <v/>
      </c>
      <c r="MS2" s="155">
        <f>'INVOCAÇÕES'!$I$63&amp;""</f>
        <v/>
      </c>
      <c r="MT2" s="155">
        <f>'INVOCAÇÕES'!$I$64&amp;""</f>
        <v/>
      </c>
      <c r="MU2" s="155">
        <f>'INVOCAÇÕES'!$K$64&amp;""</f>
        <v/>
      </c>
      <c r="MV2" s="155">
        <f>'INVOCAÇÕES'!$J$67&amp;""</f>
        <v/>
      </c>
      <c r="MW2" s="155">
        <f>'INVOCAÇÕES'!$J$68&amp;""</f>
        <v/>
      </c>
      <c r="MX2" s="155">
        <f>'INVOCAÇÕES'!$J$69&amp;""</f>
        <v/>
      </c>
      <c r="MY2" s="155">
        <f>'INVOCAÇÕES'!$J$70&amp;""</f>
        <v/>
      </c>
      <c r="MZ2" s="155">
        <f>'INVOCAÇÕES'!$J$71&amp;""</f>
        <v/>
      </c>
      <c r="NA2" s="155">
        <f>'INVOCAÇÕES'!$J$72&amp;""</f>
        <v/>
      </c>
      <c r="NB2" s="155">
        <f>IF($MR2&lt;&gt;"",1,0)</f>
        <v/>
      </c>
      <c r="NC2" s="155">
        <f>INDEX($FM$2:$FM$13,$MM2)</f>
        <v/>
      </c>
      <c r="ND2" s="155">
        <f>INDEX($FN$2:$FN$13,$MM2)</f>
        <v/>
      </c>
      <c r="NE2" s="155">
        <f>INDEX($FO$2:$FO$13,$MM2)</f>
        <v/>
      </c>
      <c r="NF2" s="155">
        <f>INDEX($FZ$2:$FZ$13,$MM2)</f>
        <v/>
      </c>
      <c r="NG2" s="155">
        <f>INDEX($GA$2:$GA$13,$MM2)</f>
        <v/>
      </c>
      <c r="NH2" s="155">
        <f>IFERROR(MATCH($MS2,$V$2:$V$11,0),0)</f>
        <v/>
      </c>
      <c r="NI2" s="155">
        <f>IFERROR(VLOOKUP($MV2,$AV$2:$BA$84,2,FALSE),"")</f>
        <v/>
      </c>
      <c r="NJ2" s="155">
        <f>IFERROR(VLOOKUP($MW2,$AV$2:$BA$84,2,FALSE),"")</f>
        <v/>
      </c>
      <c r="NK2" s="155">
        <f>IFERROR(VLOOKUP($MX2,$AV$2:$BA$84,2,FALSE),"")</f>
        <v/>
      </c>
      <c r="NL2" s="155">
        <f>IFERROR(VLOOKUP($MY2,$AV$2:$BA$84,2,FALSE),"")</f>
        <v/>
      </c>
      <c r="NM2" s="155">
        <f>IFERROR(VLOOKUP($MV2,$AV$2:$BA$84,3,FALSE),0)</f>
        <v/>
      </c>
      <c r="NN2" s="155">
        <f>IFERROR(VLOOKUP($MW2,$AV$2:$BA$84,3,FALSE),0)</f>
        <v/>
      </c>
      <c r="NO2" s="155">
        <f>IFERROR(VLOOKUP($MX2,$AV$2:$BA$84,3,FALSE),0)</f>
        <v/>
      </c>
      <c r="NP2" s="155">
        <f>IFERROR(VLOOKUP($MY2,$AV$2:$BA$84,3,FALSE),0)</f>
        <v/>
      </c>
      <c r="NQ2" s="155">
        <f>IF($MQ2=0,0,IF($NH2=0,0,INDEX($X$2:$X$11,$NH2)))</f>
        <v/>
      </c>
      <c r="NR2" s="155">
        <f>IF(OR($NM2=0,$MQ2=0),0,$NM2+3*IF(AND($NI2&lt;&gt;"",OR($NI2=INDEX($EJ$2:$EJ$13,$MM2),$NI2=INDEX($EK$2:$EK$13,$MM2))),1,0))</f>
        <v/>
      </c>
      <c r="NS2" s="155">
        <f>IF(OR($NN2=0,$MQ2=0),0,$NN2+3*IF(AND($NJ2&lt;&gt;"",OR($NJ2=INDEX($EJ$2:$EJ$13,$MM2),$NJ2=INDEX($EK$2:$EK$13,$MM2))),1,0))</f>
        <v/>
      </c>
      <c r="NT2" s="155">
        <f>IF(OR($NO2=0,$MQ2=0),0,$NO2+3*IF(AND($NK2&lt;&gt;"",OR($NK2=INDEX($EJ$2:$EJ$13,$MM2),$NK2=INDEX($EK$2:$EK$13,$MM2))),1,0))</f>
        <v/>
      </c>
      <c r="NU2" s="155">
        <f>IF(OR($NP2=0,$MQ2=0),0,$NP2+3*IF(AND($NL2&lt;&gt;"",OR($NL2=INDEX($EJ$2:$EJ$13,$MM2),$NL2=INDEX($EK$2:$EK$13,$MM2))),1,0))</f>
        <v/>
      </c>
      <c r="NV2" s="155">
        <f>IF($NH2=0,0,IF(INDEX($W$2:$W$11,$NH2)="",0,IF(COUNTIF(INDEX($EJ$2:$EN$13,$MM2,0),INDEX($W$2:$W$11,$NH2))=0,1,0)))</f>
        <v/>
      </c>
      <c r="NW2" s="155">
        <f>IF(OR($NM2=0,$NI2=""),0,IF(COUNTIF(INDEX($EJ$2:$EN$13,$MM2,0),$NI2)=0,1,0))</f>
        <v/>
      </c>
      <c r="NX2" s="155">
        <f>IF(OR($NN2=0,$NJ2=""),0,IF(COUNTIF(INDEX($EJ$2:$EN$13,$MM2,0),$NJ2)=0,1,0))</f>
        <v/>
      </c>
      <c r="NY2" s="155">
        <f>IF(OR($NO2=0,$NK2=""),0,IF(COUNTIF(INDEX($EJ$2:$EN$13,$MM2,0),$NK2)=0,1,0))</f>
        <v/>
      </c>
      <c r="NZ2" s="155">
        <f>IF(OR($NP2=0,$NL2=""),0,IF(COUNTIF(INDEX($EJ$2:$EN$13,$MM2,0),$NL2)=0,1,0))</f>
        <v/>
      </c>
      <c r="OA2" s="155">
        <f>IFERROR(VLOOKUP($MV2,$AV$2:$BA$84,4,FALSE),0)+IFERROR(VLOOKUP($MW2,$AV$2:$BA$84,4,FALSE),0)+IFERROR(VLOOKUP($MX2,$AV$2:$BA$84,4,FALSE),0)+IFERROR(VLOOKUP($MY2,$AV$2:$BA$84,4,FALSE),0)</f>
        <v/>
      </c>
      <c r="OB2" s="155">
        <f>IFERROR(VLOOKUP($MV2,$AV$2:$BA$84,6,FALSE),0)+IFERROR(VLOOKUP($MW2,$AV$2:$BA$84,6,FALSE),0)+IFERROR(VLOOKUP($MX2,$AV$2:$BA$84,6,FALSE),0)+IFERROR(VLOOKUP($MY2,$AV$2:$BA$84,6,FALSE),0)</f>
        <v/>
      </c>
      <c r="OC2" s="155">
        <f>TEXTJOIN(", ",TRUE,IF(IFERROR(VLOOKUP($MV2,$AV$2:$BA$84,5,FALSE),0)=1,$MV2,""),IF(IFERROR(VLOOKUP($MW2,$AV$2:$BA$84,5,FALSE),0)=1,$MW2,""),IF(IFERROR(VLOOKUP($MX2,$AV$2:$BA$84,5,FALSE),0)=1,$MX2,""),IF(IFERROR(VLOOKUP($MY2,$AV$2:$BA$84,5,FALSE),0)=1,$MY2,""))</f>
        <v/>
      </c>
      <c r="OD2" s="155">
        <f>IF($NH2=0,0,INDEX($Y$2:$Y$11,$NH2))</f>
        <v/>
      </c>
      <c r="OE2" s="155">
        <f>IF($NH2=0,0,INDEX($Z$2:$Z$11,$NH2))</f>
        <v/>
      </c>
      <c r="OF2" s="155">
        <f>IF($NH2=0,0,INDEX($AB$2:$AB$11,$NH2))</f>
        <v/>
      </c>
      <c r="OG2" s="155">
        <f>IFERROR(VLOOKUP($MZ2,$BC$2:$BG$24,3,FALSE),0)</f>
        <v/>
      </c>
      <c r="OH2" s="155">
        <f>IFERROR(VLOOKUP($NA2,$BC$2:$BG$24,3,FALSE),0)</f>
        <v/>
      </c>
      <c r="OI2" s="155">
        <f>IFERROR(VLOOKUP($MZ2,$BC$2:$BG$24,2,FALSE),"")</f>
        <v/>
      </c>
      <c r="OJ2" s="155">
        <f>IFERROR(VLOOKUP($NA2,$BC$2:$BG$24,2,FALSE),"")</f>
        <v/>
      </c>
      <c r="OK2" s="155">
        <f>COUNTIF($NQ2:$NU2,1)</f>
        <v/>
      </c>
      <c r="OL2" s="155">
        <f>COUNTIF($NQ2:$NU2,2)</f>
        <v/>
      </c>
      <c r="OM2" s="155">
        <f>COUNTIF($NQ2:$NU2,3)</f>
        <v/>
      </c>
      <c r="ON2" s="155">
        <f>COUNTIF($NQ2:$NU2,4)</f>
        <v/>
      </c>
      <c r="OO2" s="155">
        <f>COUNTIF($NQ2:$NU2,5)</f>
        <v/>
      </c>
      <c r="OP2" s="155">
        <f>COUNTIF($NQ2:$NU2,6)</f>
        <v/>
      </c>
      <c r="OQ2" s="155">
        <f>COUNTIF($OG2:$OH2,1)</f>
        <v/>
      </c>
      <c r="OR2" s="155">
        <f>COUNTIF($OG2:$OH2,2)+$OD2</f>
        <v/>
      </c>
      <c r="OS2" s="155">
        <f>COUNTIF($MV2:$MY2,"?*")</f>
        <v/>
      </c>
      <c r="OT2" s="155">
        <f>COUNTIF($MZ2:$NA2,"?*")+$OD2</f>
        <v/>
      </c>
      <c r="OU2" s="155">
        <f>IF($MQ2=0,0,SUMPRODUCT($OK2:$OP2,INDEX($I$2:$N$8,MAX(1,$MQ2),0)))</f>
        <v/>
      </c>
      <c r="OV2" s="155">
        <f>IF($MQ2=0,0,$OQ2*CEILING($MQ2/2,1)+$OR2*$MQ2)</f>
        <v/>
      </c>
      <c r="OW2" s="155">
        <f>MIN(2*$MQ2,$OV2)</f>
        <v/>
      </c>
      <c r="OX2" s="155">
        <f>MIN($OW2,$OU2)</f>
        <v/>
      </c>
      <c r="OY2" s="155">
        <f>$OW2-$OX2</f>
        <v/>
      </c>
      <c r="OZ2" s="155">
        <f>IF($MQ2=0,0,INDEX($P$2:$P$8,MAX(1,$MQ2)))</f>
        <v/>
      </c>
      <c r="PA2" s="155">
        <f>$OZ2-$OU2+$OX2</f>
        <v/>
      </c>
      <c r="PB2" s="155">
        <f>IF($MQ2=0,MAX(0,$NE2-IF($OS2&gt;0,1,0)),MAX(0,$PA2))</f>
        <v/>
      </c>
      <c r="PC2" s="155">
        <f>IF($MQ2=0,0,(IF(COUNTIF($MV2:$MY2,"Salto")&gt;0,1,0)+IF(COUNTIF($MV2:$MY2,"Queima")&gt;0,1,0)+IF(COUNTIF($MV2:$MY2,"Estilhaço")&gt;0,1,0))*FLOOR($PB2/2,1))</f>
        <v/>
      </c>
      <c r="PD2" s="155">
        <f>MAX(0,2-SUMPRODUCT($OK2:$OP2,$I$2:$N$2)+MIN(2,$OQ2*1+$OR2*1,SUMPRODUCT($OK2:$OP2,$I$2:$N$2)))</f>
        <v/>
      </c>
      <c r="PE2" s="155">
        <f>MAX(0,4-SUMPRODUCT($OK2:$OP2,$I$3:$N$3)+MIN(4,$OQ2*1+$OR2*2,SUMPRODUCT($OK2:$OP2,$I$3:$N$3)))</f>
        <v/>
      </c>
      <c r="PF2" s="155">
        <f>MAX(0,6-SUMPRODUCT($OK2:$OP2,$I$4:$N$4)+MIN(6,$OQ2*2+$OR2*3,SUMPRODUCT($OK2:$OP2,$I$4:$N$4)))</f>
        <v/>
      </c>
      <c r="PG2" s="155">
        <f>MAX(0,9-SUMPRODUCT($OK2:$OP2,$I$5:$N$5)+MIN(8,$OQ2*2+$OR2*4,SUMPRODUCT($OK2:$OP2,$I$5:$N$5)))</f>
        <v/>
      </c>
      <c r="PH2" s="155">
        <f>MAX(0,11-SUMPRODUCT($OK2:$OP2,$I$6:$N$6)+MIN(10,$OQ2*3+$OR2*5,SUMPRODUCT($OK2:$OP2,$I$6:$N$6)))</f>
        <v/>
      </c>
      <c r="PI2" s="155">
        <f>MAX(0,13-SUMPRODUCT($OK2:$OP2,$I$7:$N$7)+MIN(12,$OQ2*3+$OR2*6,SUMPRODUCT($OK2:$OP2,$I$7:$N$7)))</f>
        <v/>
      </c>
      <c r="PJ2" s="155">
        <f>MAX(0,16-SUMPRODUCT($OK2:$OP2,$I$8:$N$8)+MIN(14,$OQ2*4+$OR2*7,SUMPRODUCT($OK2:$OP2,$I$8:$N$8)))</f>
        <v/>
      </c>
      <c r="PK2" s="155">
        <f>IF($OE2=2,3*$PD2&amp;" de vida temp.",IF($OE2=3,"sem dano",IF($PD2=0,IF($OE2=1,"sem cura","sem dano"),IF($OE2=1,"cura ","")&amp;$PD2&amp;"d8")))</f>
        <v/>
      </c>
      <c r="PL2" s="155">
        <f>IF($OE2=2,3*$PE2&amp;" de vida temp.",IF($OE2=3,"sem dano",IF($PE2=0,IF($OE2=1,"sem cura","sem dano"),IF($OE2=1,"cura ","")&amp;$PE2&amp;"d8")))</f>
        <v/>
      </c>
      <c r="PM2" s="155">
        <f>IF($OE2=2,3*$PF2&amp;" de vida temp.",IF($OE2=3,"sem dano",IF($PF2=0,IF($OE2=1,"sem cura","sem dano"),IF($OE2=1,"cura ","")&amp;$PF2&amp;"d8")))</f>
        <v/>
      </c>
      <c r="PN2" s="155">
        <f>IF($OE2=2,3*$PG2&amp;" de vida temp.",IF($OE2=3,"sem dano",IF($PG2=0,IF($OE2=1,"sem cura","sem dano"),IF($OE2=1,"cura ","")&amp;$PG2&amp;"d8")))</f>
        <v/>
      </c>
      <c r="PO2" s="155">
        <f>IF($OE2=2,3*$PH2&amp;" de vida temp.",IF($OE2=3,"sem dano",IF($PH2=0,IF($OE2=1,"sem cura","sem dano"),IF($OE2=1,"cura ","")&amp;$PH2&amp;"d8")))</f>
        <v/>
      </c>
      <c r="PP2" s="155">
        <f>IF($OE2=2,3*$PI2&amp;" de vida temp.",IF($OE2=3,"sem dano",IF($PI2=0,IF($OE2=1,"sem cura","sem dano"),IF($OE2=1,"cura ","")&amp;$PI2&amp;"d8")))</f>
        <v/>
      </c>
      <c r="PQ2" s="155">
        <f>IF($OE2=2,3*$PJ2&amp;" de vida temp.",IF($OE2=3,"sem dano",IF($PJ2=0,IF($OE2=1,"sem cura","sem dano"),IF($OE2=1,"cura ","")&amp;$PJ2&amp;"d8")))</f>
        <v/>
      </c>
      <c r="PR2" s="155">
        <f>IF($NB2=0,"",TEXTJOIN(" · ",TRUE,IF($MO2&gt;$NC2,"Este lugar abre no nível "&amp;$MO2,""),IF($MQ2&gt;$ND2,"Classe "&amp;$MQ2&amp;": o nível "&amp;$NC2&amp;" libera até a "&amp;$ND2,""),IF($NV2=1,"A Forma "&amp;$MS2&amp;" pede "&amp;INDEX($W$2:$W$11,$NH2)&amp;" aberta",""),IF(AND($MQ2=0,$NH2&gt;0,IF($NH2=0,0,INDEX($AF$2:$AF$11,$NH2))=0),$MS2&amp;" não existe na Classe 0",""),IF($NW2=1,"Família Fechada: "&amp;$MV2,""),IF($NX2=1,"Família Fechada: "&amp;$MW2,""),IF($NY2=1,"Família Fechada: "&amp;$MX2,""),IF($NZ2=1,"Família Fechada: "&amp;$MY2,""),IF(AND($MQ2&gt;0,$OS2&gt;INDEX($O$2:$O$8,MAX(1,$MQ2))),$OS2&amp;" Melhorias: a Classe "&amp;$MQ2&amp;" aceita "&amp;INDEX($O$2:$O$8,MAX(1,$MQ2)),""),IF(AND($MQ2=0,$OS2&gt;1),"A básica aceita uma Melhoria",""),IF(AND($MQ2=0,COUNTIF($NM2:$NP2,"&gt;1")&gt;0),"A básica só aceita Melhoria Leve",""),IF(AND($MQ2&gt;0,$OT2&gt;2),$OT2&amp;" Restrições"&amp;IF($OD2=1,", contando a que a Forma "&amp;$MS2&amp;" já traz","")&amp;": o limite é 2",""),IF(AND($MQ2=0,COUNTIF($MZ2:$NA2,"?*")&gt;1),"A básica aceita uma Restrição Leve",""),IF(AND($MQ2=0,COUNTIF($OG2:$OH2,2)&gt;0),"A básica só aceita Restrição Leve",""),IF(AND($MQ2&gt;0,$PA2&lt;0),"Orçamento estourado: faltam "&amp;(-$PA2)&amp;IF($PA2&lt;-1," pontos"," ponto"),""),IF(IFERROR(VLOOKUP($MZ2,$BC$2:$BG$24,4,FALSE),0)+IFERROR(VLOOKUP($NA2,$BC$2:$BG$24,4,FALSE),0)&gt;1,$OI2&amp;" e "&amp;$OJ2&amp;" são as duas de frequência",""),IF(AND((COUNTIF($MV2:$MY2,"Rápido")+COUNTIF($OI2:$OJ2,"Rápido"))&gt;0,(COUNTIF($MV2:$MY2,"Atrasar")+COUNTIF($OI2:$OJ2,"Atrasar"))&gt;0),"Rápido não entra com Atrasar",""),IF(AND((COUNTIF($MV2:$MY2,"Reação")+COUNTIF($OI2:$OJ2,"Reação"))&gt;0,(COUNTIF($MV2:$MY2,"Rápido")+COUNTIF($OI2:$OJ2,"Rápido"))&gt;0),"Reação não entra com Rápido",""),IF(AND((COUNTIF($MV2:$MY2,"Reação")+COUNTIF($OI2:$OJ2,"Reação"))&gt;0,(COUNTIF($MV2:$MY2,"Armado")+COUNTIF($OI2:$OJ2,"Armado"))&gt;0),"Reação não entra com Armado",""),IF(AND((COUNTIF($MV2:$MY2,"Reação")+COUNTIF($OI2:$OJ2,"Reação"))&gt;0,(COUNTIF($MV2:$MY2,"Atrasar")+COUNTIF($OI2:$OJ2,"Atrasar"))&gt;0),"Reação não entra com Atrasar",""),IF(AND((COUNTIF($MV2:$MY2,"Reação")+COUNTIF($OI2:$OJ2,"Reação"))&gt;0,(COUNTIF($MV2:$MY2,"Parado")+COUNTIF($OI2:$OJ2,"Parado"))&gt;0),"Reação não entra com Parado",""),IF(AND((COUNTIF($MV2:$MY2,"Atrasar")+COUNTIF($OI2:$OJ2,"Atrasar"))&gt;0,(COUNTIF($MV2:$MY2,"Parado")+COUNTIF($OI2:$OJ2,"Parado"))&gt;0),"Atrasar não entra com Parado",""),IF(AND((COUNTIF($MV2:$MY2,"Armado")+COUNTIF($OI2:$OJ2,"Armado"))&gt;0,(COUNTIF($MV2:$MY2,"Carregar")+COUNTIF($OI2:$OJ2,"Carregar"))&gt;0),"Armado não entra com Carregar",""),IF(AND(COUNTIF($OI2:$OJ2,"Corpo a Corpo")&gt;0,$OD2=0,OR($MS2="Cone",$MS2="Linha")),"Corpo a Corpo não entra em "&amp;$MS2,""),IF(AND(COUNTIF($OI2:$OJ2,"Corpo a Corpo")&gt;0,$OD2=1),"A Forma "&amp;$MS2&amp;" já traz o Corpo a Corpo",""),IF(AND(COUNTIF($OI2:$OJ2,"Tudo ou Nada")&gt;0,$OF2=0),"Tudo ou Nada só entra em habilidade de Teste de Resistência",""),IF(AND(COUNTIF($MV2:$MY2,"Inescapável")&gt;0,OR($OS2&gt;1,$OT2&gt;0)),"Inescapável não aceita outra peça",""),IF(AND($MQ2&gt;0,$PB2*IF(COUNTIF($MV2:$MY2,"Remate")&gt;0,1.25,1)+$PC2&gt;4*$MQ2),($PB2*IF(COUNTIF($MV2:$MY2,"Remate")&gt;0,1.25,1)+$PC2)&amp;" dados somando repetições"&amp;IF(COUNTIF($MV2:$MY2,"Remate")&gt;0," e o Remate","")&amp;": o teto da Classe "&amp;$MQ2&amp;" é "&amp;4*$MQ2,"")))</f>
        <v/>
      </c>
      <c r="PS2" s="155">
        <f>IF($PR2="",0,(LEN($PR2)-LEN(SUBSTITUTE($PR2," · ","")))/3+1)</f>
        <v/>
      </c>
      <c r="PT2" s="155">
        <f>IF($NB2=0,"",TEXTJOIN(" · ",TRUE,IF($OV2&gt;2*$MQ2,"A devolução parou no teto de "&amp;2*$MQ2,""),IF($OY2&gt;0,"Devolução perdida: "&amp;$OY2&amp;IF($OY2&gt;1," pontos"," ponto")&amp;" sem peça para pagar",""),IF(AND($OA2&gt;0,AND($MQ2&gt;0,$OE2=0),$PB2=0),"Controle sem dano: uma rodada a mais e CD +2",""),IF(AND($OA2&gt;0,AND($MQ2&gt;0,$OE2=0),$PB2&gt;0,$PB2&lt;=$MQ2),"Controle com saldo até a Classe: uma rodada a mais",""),IF(AND($MQ2&gt;0,$OC2&lt;&gt;""),"Efeito de "&amp;$OC2&amp;" pela Classe "&amp;MAX(1,$MQ2-1),"")))</f>
        <v/>
      </c>
      <c r="PU2" s="155">
        <f>IF($PT2="",0,(LEN($PT2)-LEN(SUBSTITUTE($PT2," · ","")))/3+1)</f>
        <v/>
      </c>
      <c r="PV2" s="155">
        <f>IF($NB2=0,IF($OS2+COUNTIF($MZ2:$NA2,"?*")&gt;0,"Dê um nome",""),IF($PS2&gt;0,"⚠ "&amp;$PS2&amp;IF($PS2&gt;1," erros"," erro"),IF($PU2&gt;0,"! "&amp;$PU2&amp;IF($PU2&gt;1," avisos"," aviso"),"Na regra")))</f>
        <v/>
      </c>
      <c r="PW2" s="155">
        <f>IF($NB2=0,"",IF($PS2+$PU2=0,"Dentro das regras que a ficha confere",$PR2&amp;IF(AND($PS2&gt;0,$PU2&gt;0)," · ","")&amp;$PT2))</f>
        <v/>
      </c>
      <c r="PX2" s="155">
        <f>IF($MO2&gt;$NC2,$MP2&amp;" · ABRE NO NÍVEL "&amp;$MO2,$MP2)</f>
        <v/>
      </c>
      <c r="PY2" s="155">
        <f>IF($NB2=0,"",IF($MQ2=0,"Sem PE",3*$MQ2&amp;" PE"))</f>
        <v/>
      </c>
      <c r="PZ2" s="155">
        <f>IF($NB2=0,"",IF($MQ2=0,"A atuação básica dela",IF(COUNTIF($OI2:$OJ2,"Atrasar")&gt;0,"Sua Ação Completa",IF(COUNTIF($MV2:$MY2,"Rápido")&gt;0,"Sua Bônus",IF(COUNTIF($MV2:$MY2,"Reação")&gt;0,"Sua Reação","Sua Padrão")))&amp;" + a básica dela"&amp;IF(COUNTIF($MV2:$MY2,"Reação")&gt;0," e a coletiva","")&amp;IF(COUNTIF($OI2:$OJ2,"Carregar")&gt;0," · em dois turnos","")))</f>
        <v/>
      </c>
      <c r="QA2" s="155">
        <f>IF($MU2&lt;&gt;"",$MU2,IF($NH2=0,"",INDEX($AA$2:$AA$11,$NH2)))</f>
        <v/>
      </c>
      <c r="QB2" s="155">
        <f>IF(OR($NB2=0,$NH2=0),"",IF(COUNTIF($MV2:$MY2,"Inescapável")&gt;0,"Automático",IF($QA2="Ataque",IF($NF2="","Ataque","Ataque "&amp;IF(($NF2+2*IF(COUNTIF($MV2:$MY2,"Precisão")&gt;0,1,0))&gt;=0,"+","−")&amp;ABS(($NF2+2*IF(COUNTIF($MV2:$MY2,"Precisão")&gt;0,1,0))))&amp;IF($OB2&gt;0," · TR"&amp;IF($NG2="",""," CD "&amp;$NG2),""),IF(LEFT($QA2,2)="TR",$QA2&amp;IF($NG2="",""," · CD "&amp;$NG2)&amp;IF(COUNTIF($MV2:$MY2,"Certeiro")&gt;0," · metade",""),"Sem rolagem"))))</f>
        <v/>
      </c>
      <c r="QC2" s="155">
        <f>IF(OR($NB2=0,$NH2=0),"",IF($MQ2=0,IF(OR($OE2&gt;=1,$PB2=0),"Sem dano",$PB2&amp;"d6"&amp;IF($MT2="",""," "&amp;$MT2)),IF(OR($OE2&gt;=1,$PB2=0),UPPER(LEFT(INDEX($PK2:$PQ2,1,MAX(1,$MQ2)),1))&amp;MID(INDEX($PK2:$PQ2,1,MAX(1,$MQ2)),2,99),UPPER(LEFT(INDEX($PK2:$PQ2,1,MAX(1,$MQ2)),1))&amp;MID(INDEX($PK2:$PQ2,1,MAX(1,$MQ2)),2,99)&amp;IF($MT2="",""," "&amp;$MT2)&amp;IF($PC2&gt;0," · +"&amp;$PC2&amp;"d8",""))))</f>
        <v/>
      </c>
      <c r="QD2" s="155">
        <f>COUNTIF($MV2:$MY2,"Longe")+3*COUNTIF($MV2:$MY2,"Muito Longe")</f>
        <v/>
      </c>
      <c r="QE2" s="155">
        <f>COUNTIF($MV2:$MY2,"Maior")+3*COUNTIF($MV2:$MY2,"Muito Maior")</f>
        <v/>
      </c>
      <c r="QF2" s="155">
        <f>IF($NH2=0,0,CHOOSE(1+INDEX($AC$2:$AC$11,$NH2),0,$QD2,$QE2,$QD2+$QE2))</f>
        <v/>
      </c>
      <c r="QG2" s="155">
        <f>IF($NH2=0,0,CHOOSE(1+INDEX($AD$2:$AD$11,$NH2),0,$QD2,$QE2,$QD2+$QE2))</f>
        <v/>
      </c>
      <c r="QH2" s="155">
        <f>IF(OR($NB2=0,$NH2=0),"",INDEX($AI$2:$AN$41,($NH2-1)*4+IF($MQ2=0,1,IF($MQ2&lt;=5,2,IF($MQ2=6,3,4))),1+MIN(5,$QF2))&amp;INDEX($AO$2:$AT$41,($NH2-1)*4+IF($MQ2=0,1,IF($MQ2&lt;=5,2,IF($MQ2=6,3,4))),1+MIN(5,$QG2))&amp;IF(INDEX($AE$2:$AE$11,$NH2)=1,IF(COUNTIF($MV2:$MY2,"Mais Um")&gt;0," · +"&amp;COUNTIF($MV2:$MY2,"Mais Um")&amp;IF(COUNTIF($MV2:$MY2,"Mais Um")&gt;1," alvos"," alvo"),"")&amp;IF(COUNTIF($MV2:$MY2,"Rajada")&gt;0,IF($MQ2=0," · 1 tiro"," · "&amp;(MAX(1,$MQ2-1)+1)&amp;" tiros"),""),""))</f>
        <v/>
      </c>
      <c r="QI2" s="155">
        <f>IF($NB2=0,"",IF($MQ2=0,$NE2&amp;"d6"&amp;IF($OS2&gt;0," − 1 = "&amp;$PB2&amp;"d6"," da básica do nível "&amp;$NC2),$OZ2&amp;" − "&amp;$OU2&amp;" + "&amp;$OX2&amp;" = "&amp;$PA2&amp;" · teto "&amp;4*$MQ2&amp;"d8"&amp;IF($OD2=1," · a Forma devolve "&amp;$MQ2,"")&amp;IF($OY2&gt;0," · perde "&amp;$OY2,"")))</f>
        <v/>
      </c>
      <c r="QJ2" s="155">
        <f>IF($NB2=0,"",IF($MQ2=0,"A básica não amplia: os dados dela sobem com o nível",IF($MQ2&gt;=$ND2,"Já está na maior Classe que o nível liberou",TEXTJOIN(" · ",TRUE,IF(AND(2&gt;$MQ2,2&lt;=$ND2),"2 → "&amp;$PL2&amp;", 6 PE",""),IF(AND(3&gt;$MQ2,3&lt;=$ND2),"3 → "&amp;$PM2&amp;", 9 PE",""),IF(AND(4&gt;$MQ2,4&lt;=$ND2),"4 → "&amp;$PN2&amp;", 12 PE",""),IF(AND(5&gt;$MQ2,5&lt;=$ND2),"5 → "&amp;$PO2&amp;", 15 PE",""),IF(AND(6&gt;$MQ2,6&lt;=$ND2),"6 → "&amp;$PP2&amp;", 18 PE",""),IF(AND(7&gt;$MQ2,7&lt;=$ND2),"7 → "&amp;$PQ2&amp;", 21 PE","")))))</f>
        <v/>
      </c>
      <c r="QK2" s="155">
        <f>IF(OR($NB2=0,$NM2=0),"",IF($MQ2=0,"−1 dado","−"&amp;INDEX($I$2:$N$8,MAX(1,$MQ2),MAX(1,$NR2))&amp;" · "&amp;CHOOSE(MAX(1,$NR2),"Leve","Média","Pesada","Leve · Livre","Média · Livre","Pesada · Livre")))</f>
        <v/>
      </c>
      <c r="QL2" s="155">
        <f>IF(OR($NB2=0,$NN2=0),"",IF($MQ2=0,"−1 dado","−"&amp;INDEX($I$2:$N$8,MAX(1,$MQ2),MAX(1,$NS2))&amp;" · "&amp;CHOOSE(MAX(1,$NS2),"Leve","Média","Pesada","Leve · Livre","Média · Livre","Pesada · Livre")))</f>
        <v/>
      </c>
      <c r="QM2" s="155">
        <f>IF(OR($NB2=0,$NO2=0),"",IF($MQ2=0,"−1 dado","−"&amp;INDEX($I$2:$N$8,MAX(1,$MQ2),MAX(1,$NT2))&amp;" · "&amp;CHOOSE(MAX(1,$NT2),"Leve","Média","Pesada","Leve · Livre","Média · Livre","Pesada · Livre")))</f>
        <v/>
      </c>
      <c r="QN2" s="155">
        <f>IF(OR($NB2=0,$NP2=0),"",IF($MQ2=0,"−1 dado","−"&amp;INDEX($I$2:$N$8,MAX(1,$MQ2),MAX(1,$NU2))&amp;" · "&amp;CHOOSE(MAX(1,$NU2),"Leve","Média","Pesada","Leve · Livre","Média · Livre","Pesada · Livre")))</f>
        <v/>
      </c>
      <c r="QO2" s="155">
        <f>IF(OR($NB2=0,$MZ2=""),"",IF($MQ2=0,"não devolve","+"&amp;IF($OG2=1,CEILING($MQ2/2,1),$MQ2)))</f>
        <v/>
      </c>
      <c r="QP2" s="155">
        <f>IF(OR($NB2=0,$NA2=""),"",IF($MQ2=0,"não devolve","+"&amp;IF($OH2=1,CEILING($MQ2/2,1),$MQ2)))</f>
        <v/>
      </c>
      <c r="QR2" s="153" t="inlineStr">
        <is>
          <t>E13</t>
        </is>
      </c>
      <c r="QS2" s="155">
        <f>IF(DADOS_INVOC!$CZ$3&gt;=0,"+","−")&amp;ABS(DADOS_INVOC!$CZ$3)</f>
        <v/>
      </c>
    </row>
    <row r="3">
      <c r="A3" s="155" t="n">
        <v>5</v>
      </c>
      <c r="B3" s="155" t="n">
        <v>2</v>
      </c>
      <c r="C3" s="155" t="n">
        <v>2</v>
      </c>
      <c r="D3" s="155" t="n">
        <v>4</v>
      </c>
      <c r="F3" s="155" t="n">
        <v>10</v>
      </c>
      <c r="H3" s="155" t="n">
        <v>2</v>
      </c>
      <c r="I3" s="155" t="n">
        <v>1</v>
      </c>
      <c r="J3" s="155" t="n">
        <v>2</v>
      </c>
      <c r="K3" s="155" t="n">
        <v>3</v>
      </c>
      <c r="L3" s="155" t="n">
        <v>1</v>
      </c>
      <c r="M3" s="155" t="n">
        <v>1</v>
      </c>
      <c r="N3" s="155" t="n">
        <v>2</v>
      </c>
      <c r="O3" s="155" t="n">
        <v>2</v>
      </c>
      <c r="P3" s="155" t="n">
        <v>4</v>
      </c>
      <c r="R3" s="155" t="n">
        <v>1</v>
      </c>
      <c r="T3" s="155" t="n">
        <v>4</v>
      </c>
      <c r="V3" s="153" t="inlineStr">
        <is>
          <t>Toque</t>
        </is>
      </c>
      <c r="W3" s="153" t="inlineStr"/>
      <c r="X3" s="155" t="n">
        <v>0</v>
      </c>
      <c r="Y3" s="155" t="n">
        <v>1</v>
      </c>
      <c r="Z3" s="155" t="n">
        <v>0</v>
      </c>
      <c r="AA3" s="153" t="inlineStr">
        <is>
          <t>Ataque</t>
        </is>
      </c>
      <c r="AB3" s="155" t="n">
        <v>0</v>
      </c>
      <c r="AC3" s="155" t="n">
        <v>0</v>
      </c>
      <c r="AD3" s="155" t="n">
        <v>0</v>
      </c>
      <c r="AE3" s="155" t="n">
        <v>1</v>
      </c>
      <c r="AF3" s="155" t="n">
        <v>1</v>
      </c>
      <c r="AH3" s="153" t="inlineStr">
        <is>
          <t>Projétil · classes 1 a 5</t>
        </is>
      </c>
      <c r="AI3" s="153" t="inlineStr">
        <is>
          <t>18 m, um alvo</t>
        </is>
      </c>
      <c r="AJ3" s="153" t="inlineStr">
        <is>
          <t>36 m, um alvo</t>
        </is>
      </c>
      <c r="AK3" s="153" t="inlineStr">
        <is>
          <t>90 m, um alvo</t>
        </is>
      </c>
      <c r="AL3" s="153" t="inlineStr">
        <is>
          <t>Visão a olho nu, um alvo</t>
        </is>
      </c>
      <c r="AM3" s="153" t="inlineStr">
        <is>
          <t>Visão a olho nu, um alvo</t>
        </is>
      </c>
      <c r="AN3" s="153" t="inlineStr">
        <is>
          <t>Visão a olho nu, um alvo</t>
        </is>
      </c>
      <c r="AO3" s="153" t="inlineStr"/>
      <c r="AP3" s="153" t="inlineStr"/>
      <c r="AQ3" s="153" t="inlineStr"/>
      <c r="AR3" s="153" t="inlineStr"/>
      <c r="AS3" s="153" t="inlineStr"/>
      <c r="AT3" s="153" t="inlineStr"/>
      <c r="AV3" s="153" t="inlineStr">
        <is>
          <t>Muito Longe</t>
        </is>
      </c>
      <c r="AW3" s="153" t="inlineStr">
        <is>
          <t>Alcance</t>
        </is>
      </c>
      <c r="AX3" s="155" t="n">
        <v>2</v>
      </c>
      <c r="AY3" s="155" t="n">
        <v>0</v>
      </c>
      <c r="AZ3" s="155" t="n">
        <v>0</v>
      </c>
      <c r="BA3" s="155" t="n">
        <v>0</v>
      </c>
      <c r="BC3" s="153" t="inlineStr">
        <is>
          <t>Atrasar</t>
        </is>
      </c>
      <c r="BD3" s="153" t="inlineStr">
        <is>
          <t>Atrasar</t>
        </is>
      </c>
      <c r="BE3" s="155" t="n">
        <v>2</v>
      </c>
      <c r="BF3" s="155" t="n">
        <v>0</v>
      </c>
      <c r="BG3" s="153" t="inlineStr"/>
      <c r="BI3" s="153" t="inlineStr">
        <is>
          <t>Instinto</t>
        </is>
      </c>
      <c r="BJ3" s="155" t="n">
        <v>1</v>
      </c>
      <c r="BK3" s="153" t="inlineStr">
        <is>
          <t>Você não é pego de surpresa enquanto estiver acordado. Isso não revela criaturas escondidas, não muda sua posição na iniciativa e não concede uma ação adicional.</t>
        </is>
      </c>
      <c r="BL3" s="153" t="inlineStr">
        <is>
          <t>Instinto</t>
        </is>
      </c>
      <c r="BN3" s="153" t="inlineStr">
        <is>
          <t>Corpo amaldiçoado de técnica</t>
        </is>
      </c>
      <c r="BP3" s="153" t="inlineStr">
        <is>
          <t>Lista de ritual</t>
        </is>
      </c>
      <c r="BQ3" s="155" t="n">
        <v>1</v>
      </c>
      <c r="BS3" s="153" t="inlineStr">
        <is>
          <t>Área</t>
        </is>
      </c>
      <c r="BU3" s="153" t="inlineStr">
        <is>
          <t>Destreza</t>
        </is>
      </c>
      <c r="BW3" s="153" t="inlineStr">
        <is>
          <t>Vigor</t>
        </is>
      </c>
      <c r="BY3" s="153" t="inlineStr">
        <is>
          <t>Destreza</t>
        </is>
      </c>
      <c r="CA3" s="153" t="inlineStr">
        <is>
          <t>Sem alma</t>
        </is>
      </c>
      <c r="CC3" s="153" t="inlineStr">
        <is>
          <t>Acrobacia</t>
        </is>
      </c>
      <c r="CD3" s="153" t="inlineStr">
        <is>
          <t>Destreza</t>
        </is>
      </c>
      <c r="CF3" s="153" t="inlineStr">
        <is>
          <t>Com carga</t>
        </is>
      </c>
      <c r="CH3" s="153" t="inlineStr">
        <is>
          <t>Perfurante</t>
        </is>
      </c>
      <c r="CJ3" s="153" t="inlineStr">
        <is>
          <t>TR Físico</t>
        </is>
      </c>
      <c r="CL3" s="155" t="n">
        <v>1</v>
      </c>
      <c r="CN3" s="155" t="n">
        <v>21</v>
      </c>
      <c r="CO3" s="153" t="inlineStr">
        <is>
          <t>22d8</t>
        </is>
      </c>
      <c r="CP3" s="155" t="n">
        <v>12</v>
      </c>
      <c r="CQ3" s="155" t="n">
        <v>30</v>
      </c>
      <c r="CS3" s="153" t="inlineStr">
        <is>
          <t>Completa</t>
        </is>
      </c>
      <c r="CT3" s="153" t="inlineStr">
        <is>
          <t>Mais 1 espaço; total 3.</t>
        </is>
      </c>
      <c r="CU3" s="153" t="inlineStr">
        <is>
          <t>Incompleta, nível 14 dela e seu refino 5.</t>
        </is>
      </c>
      <c r="CW3" s="153" t="inlineStr">
        <is>
          <t>Inteligência</t>
        </is>
      </c>
      <c r="CY3" s="153" t="inlineStr">
        <is>
          <t>maestria</t>
        </is>
      </c>
      <c r="CZ3" s="155">
        <f>N(FICHA!$D$59)</f>
        <v/>
      </c>
      <c r="DB3" s="155" t="n">
        <v>2</v>
      </c>
      <c r="DC3" s="155">
        <f>'INVOCAÇÕES'!$I$211&amp;""</f>
        <v/>
      </c>
      <c r="DD3" s="155">
        <f>'INVOCAÇÕES'!$I$241&amp;""</f>
        <v/>
      </c>
      <c r="DE3" s="155">
        <f>'INVOCAÇÕES'!$I$245&amp;""</f>
        <v/>
      </c>
      <c r="DF3" s="155">
        <f>N('INVOCAÇÕES'!$K$245)</f>
        <v/>
      </c>
      <c r="DG3" s="155">
        <f>'INVOCAÇÕES'!$L$245&amp;""</f>
        <v/>
      </c>
      <c r="DH3" s="155">
        <f>N('INVOCAÇÕES'!$O$218)</f>
        <v/>
      </c>
      <c r="DI3" s="155">
        <f>N('INVOCAÇÕES'!$P$218)</f>
        <v/>
      </c>
      <c r="DJ3" s="155">
        <f>N('INVOCAÇÕES'!$Q$218)</f>
        <v/>
      </c>
      <c r="DK3" s="155">
        <f>N('INVOCAÇÕES'!$R$218)</f>
        <v/>
      </c>
      <c r="DL3" s="155">
        <f>N('INVOCAÇÕES'!$S$218)</f>
        <v/>
      </c>
      <c r="DM3" s="155">
        <f>N('INVOCAÇÕES'!$O$219)</f>
        <v/>
      </c>
      <c r="DN3" s="155">
        <f>N('INVOCAÇÕES'!$P$219)</f>
        <v/>
      </c>
      <c r="DO3" s="155">
        <f>N('INVOCAÇÕES'!$Q$219)</f>
        <v/>
      </c>
      <c r="DP3" s="155">
        <f>N('INVOCAÇÕES'!$R$219)</f>
        <v/>
      </c>
      <c r="DQ3" s="155">
        <f>N('INVOCAÇÕES'!$S$219)</f>
        <v/>
      </c>
      <c r="DR3" s="155">
        <f>'INVOCAÇÕES'!$O$232&amp;""</f>
        <v/>
      </c>
      <c r="DS3" s="155">
        <f>'INVOCAÇÕES'!$R$232&amp;""</f>
        <v/>
      </c>
      <c r="DT3" s="155">
        <f>'INVOCAÇÕES'!$S$227&amp;""</f>
        <v/>
      </c>
      <c r="DU3" s="155">
        <f>N('INVOCAÇÕES'!$O$224)</f>
        <v/>
      </c>
      <c r="DV3" s="155">
        <f>N('INVOCAÇÕES'!$P$224)</f>
        <v/>
      </c>
      <c r="DW3" s="155">
        <f>N('INVOCAÇÕES'!$Q$224)</f>
        <v/>
      </c>
      <c r="DX3" s="155">
        <f>N('INVOCAÇÕES'!$R$224)</f>
        <v/>
      </c>
      <c r="DY3" s="155">
        <f>N('INVOCAÇÕES'!$S$224)</f>
        <v/>
      </c>
      <c r="DZ3" s="155">
        <f>N('INVOCAÇÕES'!$O$229)</f>
        <v/>
      </c>
      <c r="EA3" s="155">
        <f>N('INVOCAÇÕES'!$P$229)</f>
        <v/>
      </c>
      <c r="EB3" s="155">
        <f>N('INVOCAÇÕES'!$Q$229)</f>
        <v/>
      </c>
      <c r="EC3" s="155">
        <f>N('INVOCAÇÕES'!$R$229)</f>
        <v/>
      </c>
      <c r="ED3" s="155">
        <f>'INVOCAÇÕES'!$U$211&amp;""</f>
        <v/>
      </c>
      <c r="EE3" s="155">
        <f>N('INVOCAÇÕES'!$W$211)</f>
        <v/>
      </c>
      <c r="EF3" s="155">
        <f>'INVOCAÇÕES'!$Y$211&amp;""</f>
        <v/>
      </c>
      <c r="EG3" s="155">
        <f>SUM('INVOCAÇÕES'!$Y$231:'INVOCAÇÕES'!$Y$233,'INVOCAÇÕES'!$Y$235:'INVOCAÇÕES'!$Y$240)</f>
        <v/>
      </c>
      <c r="EH3" s="155">
        <f>'INVOCAÇÕES'!$U$216&amp;""</f>
        <v/>
      </c>
      <c r="EI3" s="155">
        <f>'INVOCAÇÕES'!$V$216&amp;""</f>
        <v/>
      </c>
      <c r="EJ3" s="155">
        <f>'INVOCAÇÕES'!$O$246&amp;""</f>
        <v/>
      </c>
      <c r="EK3" s="155">
        <f>'INVOCAÇÕES'!$P$246&amp;""</f>
        <v/>
      </c>
      <c r="EL3" s="155">
        <f>'INVOCAÇÕES'!$Q$246&amp;""</f>
        <v/>
      </c>
      <c r="EM3" s="155">
        <f>'INVOCAÇÕES'!$R$246&amp;""</f>
        <v/>
      </c>
      <c r="EN3" s="155">
        <f>'INVOCAÇÕES'!$S$246&amp;""</f>
        <v/>
      </c>
      <c r="EO3" s="155">
        <f>'INVOCAÇÕES'!$O$236&amp;""</f>
        <v/>
      </c>
      <c r="EP3" s="155">
        <f>'INVOCAÇÕES'!$O$237&amp;""</f>
        <v/>
      </c>
      <c r="EQ3" s="155">
        <f>'INVOCAÇÕES'!$O$238&amp;""</f>
        <v/>
      </c>
      <c r="ER3" s="155">
        <f>'INVOCAÇÕES'!$O$239&amp;""</f>
        <v/>
      </c>
      <c r="ES3" s="155">
        <f>'INVOCAÇÕES'!$O$240&amp;""</f>
        <v/>
      </c>
      <c r="ET3" s="155">
        <f>'INVOCAÇÕES'!$O$241&amp;""</f>
        <v/>
      </c>
      <c r="EU3" s="155">
        <f>'INVOCAÇÕES'!$O$242&amp;""</f>
        <v/>
      </c>
      <c r="EV3" s="155">
        <f>'INVOCAÇÕES'!$J$278&amp;""</f>
        <v/>
      </c>
      <c r="EW3" s="155">
        <f>'INVOCAÇÕES'!$J$279&amp;""</f>
        <v/>
      </c>
      <c r="EX3" s="155">
        <f>'INVOCAÇÕES'!$J$280&amp;""</f>
        <v/>
      </c>
      <c r="EY3" s="155">
        <f>'INVOCAÇÕES'!$J$281&amp;""</f>
        <v/>
      </c>
      <c r="EZ3" s="155">
        <f>'INVOCAÇÕES'!$J$282&amp;""</f>
        <v/>
      </c>
      <c r="FA3" s="155">
        <f>'INVOCAÇÕES'!$J$283&amp;""</f>
        <v/>
      </c>
      <c r="FB3" s="155">
        <f>'INVOCAÇÕES'!$J$284&amp;""</f>
        <v/>
      </c>
      <c r="FC3" s="155">
        <f>'INVOCAÇÕES'!$J$285&amp;""</f>
        <v/>
      </c>
      <c r="FD3" s="155">
        <f>'INVOCAÇÕES'!$J$380&amp;""</f>
        <v/>
      </c>
      <c r="FE3" s="155">
        <f>'INVOCAÇÕES'!$J$381&amp;""</f>
        <v/>
      </c>
      <c r="FF3" s="155">
        <f>'INVOCAÇÕES'!$J$382&amp;""</f>
        <v/>
      </c>
      <c r="FG3" s="155">
        <f>MAX(3,MIN(7,N('INVOCAÇÕES'!$I$387)))</f>
        <v/>
      </c>
      <c r="FH3" s="155">
        <f>MAX(3,MIN(7,N('INVOCAÇÕES'!$O$387)))</f>
        <v/>
      </c>
      <c r="FI3" s="155">
        <f>MAX(3,MIN(7,N('INVOCAÇÕES'!$U$387)))</f>
        <v/>
      </c>
      <c r="FJ3" s="155">
        <f>'INVOCAÇÕES'!$O$401&amp;""</f>
        <v/>
      </c>
      <c r="FK3" s="155">
        <f>IF($DC3&lt;&gt;"",1,0)</f>
        <v/>
      </c>
      <c r="FL3" s="155">
        <f>IFERROR(VLOOKUP($DE3,$BP$2:$BQ$5,2,FALSE),1)</f>
        <v/>
      </c>
      <c r="FM3" s="155">
        <f>IF($FL3=1,$CZ$2,MAX(1,MIN($CZ$2,IF($DF3=0,$CZ$2,$DF3))))</f>
        <v/>
      </c>
      <c r="FN3" s="155">
        <f>VLOOKUP(MAX(1,$FM3),$A$2:$D$8,2,TRUE)</f>
        <v/>
      </c>
      <c r="FO3" s="155">
        <f>VLOOKUP(MAX(1,$FM3),$A$2:$D$8,3,TRUE)</f>
        <v/>
      </c>
      <c r="FP3" s="155">
        <f>$DH3+$DM3</f>
        <v/>
      </c>
      <c r="FQ3" s="155">
        <f>$DI3+$DN3</f>
        <v/>
      </c>
      <c r="FR3" s="155">
        <f>$DJ3+$DO3</f>
        <v/>
      </c>
      <c r="FS3" s="155">
        <f>$DK3+$DP3</f>
        <v/>
      </c>
      <c r="FT3" s="155">
        <f>$DL3+$DQ3</f>
        <v/>
      </c>
      <c r="FU3" s="155">
        <f>SUM($DH3:$DL3)</f>
        <v/>
      </c>
      <c r="FV3" s="155">
        <f>9+$FW3</f>
        <v/>
      </c>
      <c r="FW3" s="155">
        <f>COUNTIF($F$2:$F$8,"&lt;="&amp;$FM3)</f>
        <v/>
      </c>
      <c r="FX3" s="155">
        <f>MAX(0,$DH3-3)+MAX(0,$DI3-3)+MAX(0,$DJ3-3)+MAX(0,$DK3-3)+MAX(0,$DL3-3)</f>
        <v/>
      </c>
      <c r="FY3" s="155">
        <f>IFERROR(INDEX($FP3:$FT3,1,MATCH($DR3,$BU$2:$BU$6,0)),"")</f>
        <v/>
      </c>
      <c r="FZ3" s="155">
        <f>IF($FY3="","",$FY3+$CZ$3+$DU3)</f>
        <v/>
      </c>
      <c r="GA3" s="155">
        <f>IF($FY3="","",8+$FY3+$CZ$3+$DV3)</f>
        <v/>
      </c>
      <c r="GB3" s="155">
        <f>10+$FQ3+$CZ$7+$DW3</f>
        <v/>
      </c>
      <c r="GC3" s="155">
        <f>IF($DD3="Corpo amaldiçoado de criação",1,0)</f>
        <v/>
      </c>
      <c r="GD3" s="155">
        <f>5+$FR3+(3+$GC3+$FR3)*($FM3-1)+$DX3</f>
        <v/>
      </c>
      <c r="GE3" s="155">
        <f>IF($FK3=0,"",$GD3)</f>
        <v/>
      </c>
      <c r="GF3" s="155">
        <f>IF($ED3="",$GD3,MAX(0,MIN(IFERROR(VALUE($ED3),$GD3),$GD3)))</f>
        <v/>
      </c>
      <c r="GG3" s="155">
        <f>IF(AND($FK3=1,$EH3&lt;&gt;"Sem alma"),MAX(1,INT($GD3/2)),"")</f>
        <v/>
      </c>
      <c r="GH3" s="155">
        <f>$GG3</f>
        <v/>
      </c>
      <c r="GI3" s="155">
        <f>IF($GG3="","",IF($EI3="",$GG3,MAX(0,MIN(IFERROR(VALUE($EI3),$GG3),$GG3))))</f>
        <v/>
      </c>
      <c r="GJ3" s="155">
        <f>IF($FK3=0,"",IF($GG3="","—",$GG3))</f>
        <v/>
      </c>
      <c r="GK3" s="155">
        <f>IF($FK3=0,"",IF($GG3="","Sem alma · imune a dano de Alma",IF($GI3&lt;=0,"Estágio 4 · caída, como a zero de vida",IF($GI3&lt;=$GG3/4,"Estágio 3 · desvantagem em ataques e TRs, Classe pela metade",IF($GI3&lt;=$GG3/2,"Estágio 2 · metade do deslocamento, +1 PE por Classe",IF($GI3&lt;=$GG3*3/4,"Estágio 1 · desvantagem em perícias","Alma inteira"))))))</f>
        <v/>
      </c>
      <c r="GL3" s="155">
        <f>9+$DY3</f>
        <v/>
      </c>
      <c r="GM3" s="155">
        <f>IF($DS3="Destreza",$FQ3,$FP3)</f>
        <v/>
      </c>
      <c r="GN3" s="155">
        <f>$GM3+IF($DT3="Físico",$CZ$3,0)+$DZ3</f>
        <v/>
      </c>
      <c r="GO3" s="155">
        <f>$FR3+IF($DT3="Vigor",$CZ$3,0)+$EA3</f>
        <v/>
      </c>
      <c r="GP3" s="155">
        <f>$FS3+IF($DT3="Intelecto",$CZ$3,0)+$EB3</f>
        <v/>
      </c>
      <c r="GQ3" s="155">
        <f>$FT3+IF($DT3="Espírito",$CZ$3,0)+$EC3</f>
        <v/>
      </c>
      <c r="GR3" s="155">
        <f>4+INT($DK3/2)</f>
        <v/>
      </c>
      <c r="GS3" s="155">
        <f>COUNTIF($EO3:$EU3,"?*")</f>
        <v/>
      </c>
      <c r="GT3" s="155">
        <f>INT((2+$FM3/2)/2)</f>
        <v/>
      </c>
      <c r="GU3" s="155">
        <f>IF($FM3&gt;=11,2,1)</f>
        <v/>
      </c>
      <c r="GV3" s="155">
        <f>1+$FW3</f>
        <v/>
      </c>
      <c r="GW3" s="155">
        <f>COUNTIF($EV3:$FC3,"?*")</f>
        <v/>
      </c>
      <c r="GX3" s="155">
        <f>IF(AND($DD3="Shikigami de criação",$DG3="Com carga"),MAX(1,CEILING($FN3/2,1)),$FN3)</f>
        <v/>
      </c>
      <c r="GY3" s="155">
        <f>$FN3+$GX3</f>
        <v/>
      </c>
      <c r="GZ3" s="155">
        <f>$FM3*(1+INT($DL3/3))</f>
        <v/>
      </c>
      <c r="HA3" s="155">
        <f>5+$FP3</f>
        <v/>
      </c>
      <c r="HB3" s="155">
        <f>COUNTIF($EJ3:$EN3,"?*")</f>
        <v/>
      </c>
      <c r="HC3" s="155">
        <f>IF($EJ3="",0,IF(COUNTIF($EJ3:$EN3,$EJ3)&gt;1,1,0))+IF($EK3="",0,IF(COUNTIF($EJ3:$EN3,$EK3)&gt;1,1,0))+IF($EL3="",0,IF(COUNTIF($EJ3:$EN3,$EL3)&gt;1,1,0))+IF($EM3="",0,IF(COUNTIF($EJ3:$EN3,$EM3)&gt;1,1,0))+IF($EN3="",0,IF(COUNTIF($EJ3:$EN3,$EN3)&gt;1,1,0))</f>
        <v/>
      </c>
      <c r="HD3" s="155">
        <f>$CZ$11</f>
        <v/>
      </c>
      <c r="HE3" s="155">
        <f>IF($FK3=0,"INVOCAÇÃO 2 · lugar vazio",$DC3&amp;" · "&amp;$DD3&amp;" · nível "&amp;$FM3&amp;" · vida "&amp;$GF3&amp;" de "&amp;$GD3)</f>
        <v/>
      </c>
      <c r="HF3" s="155">
        <f>IF($FK3=0,"VAZIA",UPPER($DC3))</f>
        <v/>
      </c>
      <c r="HG3" s="155">
        <f>IF($CZ$3&gt;=0,"+","−")&amp;ABS($CZ$3)</f>
        <v/>
      </c>
      <c r="HH3" s="155">
        <f>$GX3&amp;" PE"</f>
        <v/>
      </c>
      <c r="HI3" s="155">
        <f>$GY3&amp;" PE"</f>
        <v/>
      </c>
      <c r="HJ3" s="155">
        <f>IF(OR($FU3&gt;$FV3,$FX3&gt;$FW3),"⚠ ",IF(AND($FK3=1,$FU3&lt;$FV3),"! ",""))&amp;"ATRIBUTOS · "&amp;$FU3&amp;" DE "&amp;$FV3&amp;" PONTOS"&amp;IF($FX3&gt;$FW3," · ACIMA DE 3 SÓ COM MARCO","")</f>
        <v/>
      </c>
      <c r="HK3" s="155">
        <f>IF($FZ3="","",IF($FZ3&gt;=0,"+","−")&amp;ABS($FZ3))</f>
        <v/>
      </c>
      <c r="HL3" s="155">
        <f>IF($GA3="","",$GA3)</f>
        <v/>
      </c>
      <c r="HM3" s="155">
        <f>SUBSTITUTE($GL3&amp;" m",".",",")</f>
        <v/>
      </c>
      <c r="HN3" s="155">
        <f>IF($GN3&gt;=0,"+","−")&amp;ABS($GN3)</f>
        <v/>
      </c>
      <c r="HO3" s="155">
        <f>IF($GO3&gt;=0,"+","−")&amp;ABS($GO3)</f>
        <v/>
      </c>
      <c r="HP3" s="155">
        <f>IF($GP3&gt;=0,"+","−")&amp;ABS($GP3)</f>
        <v/>
      </c>
      <c r="HQ3" s="155">
        <f>IF($GQ3&gt;=0,"+","−")&amp;ABS($GQ3)</f>
        <v/>
      </c>
      <c r="HR3" s="155">
        <f>IF($GS3&gt;$GR3,"⚠ ","")&amp;"PERÍCIAS · "&amp;$GS3&amp;" DE "&amp;$GR3</f>
        <v/>
      </c>
      <c r="HS3" s="155">
        <f>IF($EO3="","",IFERROR(IF((INDEX($FP3:$FT3,1,MATCH(VLOOKUP($EO3,$CC$2:$CD$24,2,FALSE),$BU$2:$BU$6,0))+$CZ$3)&gt;=0,"+","−")&amp;ABS((INDEX($FP3:$FT3,1,MATCH(VLOOKUP($EO3,$CC$2:$CD$24,2,FALSE),$BU$2:$BU$6,0))+$CZ$3)),""))</f>
        <v/>
      </c>
      <c r="HT3" s="155">
        <f>IF($EP3="","",IFERROR(IF((INDEX($FP3:$FT3,1,MATCH(VLOOKUP($EP3,$CC$2:$CD$24,2,FALSE),$BU$2:$BU$6,0))+$CZ$3)&gt;=0,"+","−")&amp;ABS((INDEX($FP3:$FT3,1,MATCH(VLOOKUP($EP3,$CC$2:$CD$24,2,FALSE),$BU$2:$BU$6,0))+$CZ$3)),""))</f>
        <v/>
      </c>
      <c r="HU3" s="155">
        <f>IF($EQ3="","",IFERROR(IF((INDEX($FP3:$FT3,1,MATCH(VLOOKUP($EQ3,$CC$2:$CD$24,2,FALSE),$BU$2:$BU$6,0))+$CZ$3)&gt;=0,"+","−")&amp;ABS((INDEX($FP3:$FT3,1,MATCH(VLOOKUP($EQ3,$CC$2:$CD$24,2,FALSE),$BU$2:$BU$6,0))+$CZ$3)),""))</f>
        <v/>
      </c>
      <c r="HV3" s="155">
        <f>IF($ER3="","",IFERROR(IF((INDEX($FP3:$FT3,1,MATCH(VLOOKUP($ER3,$CC$2:$CD$24,2,FALSE),$BU$2:$BU$6,0))+$CZ$3)&gt;=0,"+","−")&amp;ABS((INDEX($FP3:$FT3,1,MATCH(VLOOKUP($ER3,$CC$2:$CD$24,2,FALSE),$BU$2:$BU$6,0))+$CZ$3)),""))</f>
        <v/>
      </c>
      <c r="HW3" s="155">
        <f>IF($ES3="","",IFERROR(IF((INDEX($FP3:$FT3,1,MATCH(VLOOKUP($ES3,$CC$2:$CD$24,2,FALSE),$BU$2:$BU$6,0))+$CZ$3)&gt;=0,"+","−")&amp;ABS((INDEX($FP3:$FT3,1,MATCH(VLOOKUP($ES3,$CC$2:$CD$24,2,FALSE),$BU$2:$BU$6,0))+$CZ$3)),""))</f>
        <v/>
      </c>
      <c r="HX3" s="155">
        <f>IF($ET3="","",IFERROR(IF((INDEX($FP3:$FT3,1,MATCH(VLOOKUP($ET3,$CC$2:$CD$24,2,FALSE),$BU$2:$BU$6,0))+$CZ$3)&gt;=0,"+","−")&amp;ABS((INDEX($FP3:$FT3,1,MATCH(VLOOKUP($ET3,$CC$2:$CD$24,2,FALSE),$BU$2:$BU$6,0))+$CZ$3)),""))</f>
        <v/>
      </c>
      <c r="HY3" s="155">
        <f>IF($EU3="","",IFERROR(IF((INDEX($FP3:$FT3,1,MATCH(VLOOKUP($EU3,$CC$2:$CD$24,2,FALSE),$BU$2:$BU$6,0))+$CZ$3)&gt;=0,"+","−")&amp;ABS((INDEX($FP3:$FT3,1,MATCH(VLOOKUP($EU3,$CC$2:$CD$24,2,FALSE),$BU$2:$BU$6,0))+$CZ$3)),""))</f>
        <v/>
      </c>
      <c r="HZ3" s="155">
        <f>IF($DD3="Maldição domada","RESERVA · MÁX. "&amp;$GZ3,"RESERVA DE PE")</f>
        <v/>
      </c>
      <c r="IA3" s="155">
        <f>IF($EG3&gt;$HA3,"⚠ ","")&amp;"EQUIPAMENTO · "&amp;$EG3&amp;" DE "&amp;$HA3&amp;" DE VOLUME"&amp;IF($EG3&gt;$HA3," · PASSOU DO LIMITE","")</f>
        <v/>
      </c>
      <c r="IB3" s="155">
        <f>IF(OR($HC3&gt;0,$HB3&gt;$HD3),"⚠ ","")&amp;"FAMÍLIAS · "&amp;$HB3&amp;" ABERTAS"&amp;IF($HC3&gt;0," · REPETIDA","")&amp;IF($HB3&gt;$HD3," · O LIMITE É "&amp;$HD3,"")</f>
        <v/>
      </c>
      <c r="IC3" s="155">
        <f>"HABILIDADES · básica de "&amp;$FO3&amp;"d6 · "&amp;$GT3&amp;IF($GT3&gt;1," espaços"," espaço")&amp;" de especial até a Classe "&amp;$FN3&amp;" · "&amp;$GV3&amp;IF($GV3&gt;1," talentos"," talento")</f>
        <v/>
      </c>
      <c r="ID3" s="155">
        <f>IF($GW3&gt;$GV3,"⚠ ","")&amp;"TALENTOS · "&amp;$GW3&amp;" DE "&amp;$GV3</f>
        <v/>
      </c>
      <c r="IE3" s="155">
        <f>IFERROR(VLOOKUP($EV3,$BI$2:$BL$15,2,FALSE),0)</f>
        <v/>
      </c>
      <c r="IF3" s="155">
        <f>IFERROR(VLOOKUP($EW3,$BI$2:$BL$15,2,FALSE),0)</f>
        <v/>
      </c>
      <c r="IG3" s="155">
        <f>IFERROR(VLOOKUP($EX3,$BI$2:$BL$15,2,FALSE),0)</f>
        <v/>
      </c>
      <c r="IH3" s="155">
        <f>IFERROR(VLOOKUP($EY3,$BI$2:$BL$15,2,FALSE),0)</f>
        <v/>
      </c>
      <c r="II3" s="155">
        <f>IFERROR(VLOOKUP($EZ3,$BI$2:$BL$15,2,FALSE),0)</f>
        <v/>
      </c>
      <c r="IJ3" s="155">
        <f>IFERROR(VLOOKUP($FA3,$BI$2:$BL$15,2,FALSE),0)</f>
        <v/>
      </c>
      <c r="IK3" s="155">
        <f>IFERROR(VLOOKUP($FB3,$BI$2:$BL$15,2,FALSE),0)</f>
        <v/>
      </c>
      <c r="IL3" s="155">
        <f>IFERROR(VLOOKUP($FC3,$BI$2:$BL$15,2,FALSE),0)</f>
        <v/>
      </c>
      <c r="IM3" s="155">
        <f>IF($EV3="","",IF(1&gt;$FM3,"⚠ Este talento abre no nível 1",IF($IE3&gt;1,"⚠ Categoria "&amp;$IE3&amp;": este ganho vai até a 1 · ","")&amp;IFERROR(VLOOKUP($EV3,$BI$2:$BL$15,3,FALSE),"")))</f>
        <v/>
      </c>
      <c r="IN3" s="155">
        <f>IF($EW3="","",IF(6&gt;$FM3,"⚠ Este talento abre no nível 6",IF($IF3&gt;1,"⚠ Categoria "&amp;$IF3&amp;": este ganho vai até a 1 · ","")&amp;IFERROR(VLOOKUP($EW3,$BI$2:$BL$15,3,FALSE),"")))</f>
        <v/>
      </c>
      <c r="IO3" s="155">
        <f>IF($EX3="","",IF(10&gt;$FM3,"⚠ Este talento abre no nível 10",IF($IG3&gt;2,"⚠ Categoria "&amp;$IG3&amp;": este ganho vai até a 2 · ","")&amp;IFERROR(VLOOKUP($EX3,$BI$2:$BL$15,3,FALSE),"")))</f>
        <v/>
      </c>
      <c r="IP3" s="155">
        <f>IF($EY3="","",IF(14&gt;$FM3,"⚠ Este talento abre no nível 14",IF($IH3&gt;3,"⚠ Categoria "&amp;$IH3&amp;": este ganho vai até a 3 · ","")&amp;IFERROR(VLOOKUP($EY3,$BI$2:$BL$15,3,FALSE),"")))</f>
        <v/>
      </c>
      <c r="IQ3" s="155">
        <f>IF($EZ3="","",IF(18&gt;$FM3,"⚠ Este talento abre no nível 18",IF($II3&gt;3,"⚠ Categoria "&amp;$II3&amp;": este ganho vai até a 3 · ","")&amp;IFERROR(VLOOKUP($EZ3,$BI$2:$BL$15,3,FALSE),"")))</f>
        <v/>
      </c>
      <c r="IR3" s="155">
        <f>IF($FA3="","",IF(22&gt;$FM3,"⚠ Este talento abre no nível 22",IF($IJ3&gt;3,"⚠ Categoria "&amp;$IJ3&amp;": este ganho vai até a 3 · ","")&amp;IFERROR(VLOOKUP($FA3,$BI$2:$BL$15,3,FALSE),"")))</f>
        <v/>
      </c>
      <c r="IS3" s="155">
        <f>IF($FB3="","",IF(26&gt;$FM3,"⚠ Este talento abre no nível 26",IF($IK3&gt;3,"⚠ Categoria "&amp;$IK3&amp;": este ganho vai até a 3 · ","")&amp;IFERROR(VLOOKUP($FB3,$BI$2:$BL$15,3,FALSE),"")))</f>
        <v/>
      </c>
      <c r="IT3" s="155">
        <f>IF($FC3="","",IF(30&gt;$FM3,"⚠ Este talento abre no nível 30",IF($IL3&gt;3,"⚠ Categoria "&amp;$IL3&amp;": este ganho vai até a 3 · ","")&amp;IFERROR(VLOOKUP($FC3,$BI$2:$BL$15,3,FALSE),"")))</f>
        <v/>
      </c>
      <c r="IU3" s="155">
        <f>IF($FD3="","",IFERROR(VLOOKUP($FD3,$BI$2:$BL$15,3,FALSE),""))</f>
        <v/>
      </c>
      <c r="IV3" s="155">
        <f>IF($FE3="","",IFERROR(VLOOKUP($FE3,$BI$2:$BL$15,3,FALSE),""))</f>
        <v/>
      </c>
      <c r="IW3" s="155">
        <f>IF($FF3="","",IFERROR(VLOOKUP($FF3,$BI$2:$BL$15,3,FALSE),""))</f>
        <v/>
      </c>
      <c r="IX3" s="155">
        <f>CEILING(4.5*$FG3,1)&amp;" PE"</f>
        <v/>
      </c>
      <c r="IY3" s="155">
        <f>CEILING(4.5*$FH3,1)&amp;" PE"</f>
        <v/>
      </c>
      <c r="IZ3" s="155">
        <f>CEILING(4.5*$FI3,1)&amp;" PE"</f>
        <v/>
      </c>
      <c r="JA3" s="155">
        <f>INDEX($P$2:$P$8,$FG3)&amp;" pontos + "&amp;$FG3&amp;"d8"</f>
        <v/>
      </c>
      <c r="JB3" s="155">
        <f>INDEX($P$2:$P$8,$FH3)&amp;" pontos + "&amp;$FH3&amp;"d8"</f>
        <v/>
      </c>
      <c r="JC3" s="155">
        <f>INDEX($P$2:$P$8,$FI3)&amp;" pontos + "&amp;$FI3&amp;"d8"</f>
        <v/>
      </c>
      <c r="JD3" s="155">
        <f>IF($FM3&lt;17,"—",VLOOKUP($FM3,$CN$2:$CQ$4,4,TRUE)&amp;" PE")</f>
        <v/>
      </c>
      <c r="JE3" s="155">
        <f>IF($FM3&lt;17,"Abre no nível 17",VLOOKUP($FM3,$CN$2:$CQ$4,2,TRUE)&amp;" fixos · "&amp;VLOOKUP($FM3,$CN$2:$CQ$4,3,TRUE)&amp;" pontos")</f>
        <v/>
      </c>
      <c r="JF3" s="155">
        <f>IF($FJ3="Sem Barreiras",7,6)*$FN3&amp;" PE"</f>
        <v/>
      </c>
      <c r="JG3" s="155">
        <f>"Acerto "&amp;$FN3&amp;"d8"</f>
        <v/>
      </c>
      <c r="JH3" s="155">
        <f>IFERROR(VLOOKUP($FJ3,$CS$2:$CU$4,3,FALSE),"Escolha o degrau")</f>
        <v/>
      </c>
      <c r="JI3" s="155">
        <f>2&amp;" · "&amp;IF($FK3=0,"vazia",$DC3&amp;" · nv "&amp;$FM3&amp;" · "&amp;$GF3&amp;"/"&amp;$GD3)</f>
        <v/>
      </c>
      <c r="JM3" s="153" t="inlineStr">
        <is>
          <t>Invocação 2</t>
        </is>
      </c>
      <c r="JN3" s="155">
        <f>ADDRESS(ROW('INVOCAÇÕES'!D22),COLUMN('INVOCAÇÕES'!D22),4)</f>
        <v/>
      </c>
      <c r="JO3" s="155">
        <f>ADDRESS(ROW('INVOCAÇÕES'!H207),COLUMN('INVOCAÇÕES'!H207),4)</f>
        <v/>
      </c>
      <c r="JP3" s="153" t="inlineStr">
        <is>
          <t>DADOS_INVOC!$JI$3</t>
        </is>
      </c>
      <c r="JR3" s="155">
        <f>IF(OR($AW3="",COUNTIF($EJ$2:$EN$2,$AW3)&gt;0),$AV3,"")</f>
        <v/>
      </c>
      <c r="JS3" s="155">
        <f>IF(AND($AX3=1,OR($AW3="",COUNTIF($EJ$2:$EN$2,$AW3)&gt;0)),$AV3,"")</f>
        <v/>
      </c>
      <c r="JU3" s="155">
        <f>IF(OR($W3="",COUNTIF($EJ$2:$EN$2,$W3)&gt;0),$V3,"")</f>
        <v/>
      </c>
      <c r="JV3" s="155">
        <f>IF(AND($AF3=1,OR($W3="",COUNTIF($EJ$2:$EN$2,$W3)&gt;0)),$V3,"")</f>
        <v/>
      </c>
      <c r="JX3" s="155">
        <f>IF(OR($AW3="",COUNTIF($EJ$3:$EN$3,$AW3)&gt;0),$AV3,"")</f>
        <v/>
      </c>
      <c r="JY3" s="155">
        <f>IF(AND($AX3=1,OR($AW3="",COUNTIF($EJ$3:$EN$3,$AW3)&gt;0)),$AV3,"")</f>
        <v/>
      </c>
      <c r="KA3" s="155">
        <f>IF(OR($W3="",COUNTIF($EJ$3:$EN$3,$W3)&gt;0),$V3,"")</f>
        <v/>
      </c>
      <c r="KB3" s="155">
        <f>IF(AND($AF3=1,OR($W3="",COUNTIF($EJ$3:$EN$3,$W3)&gt;0)),$V3,"")</f>
        <v/>
      </c>
      <c r="KD3" s="155">
        <f>IF(OR($AW3="",COUNTIF($EJ$4:$EN$4,$AW3)&gt;0),$AV3,"")</f>
        <v/>
      </c>
      <c r="KE3" s="155">
        <f>IF(AND($AX3=1,OR($AW3="",COUNTIF($EJ$4:$EN$4,$AW3)&gt;0)),$AV3,"")</f>
        <v/>
      </c>
      <c r="KG3" s="155">
        <f>IF(OR($W3="",COUNTIF($EJ$4:$EN$4,$W3)&gt;0),$V3,"")</f>
        <v/>
      </c>
      <c r="KH3" s="155">
        <f>IF(AND($AF3=1,OR($W3="",COUNTIF($EJ$4:$EN$4,$W3)&gt;0)),$V3,"")</f>
        <v/>
      </c>
      <c r="KJ3" s="155">
        <f>IF(OR($AW3="",COUNTIF($EJ$5:$EN$5,$AW3)&gt;0),$AV3,"")</f>
        <v/>
      </c>
      <c r="KK3" s="155">
        <f>IF(AND($AX3=1,OR($AW3="",COUNTIF($EJ$5:$EN$5,$AW3)&gt;0)),$AV3,"")</f>
        <v/>
      </c>
      <c r="KM3" s="155">
        <f>IF(OR($W3="",COUNTIF($EJ$5:$EN$5,$W3)&gt;0),$V3,"")</f>
        <v/>
      </c>
      <c r="KN3" s="155">
        <f>IF(AND($AF3=1,OR($W3="",COUNTIF($EJ$5:$EN$5,$W3)&gt;0)),$V3,"")</f>
        <v/>
      </c>
      <c r="KP3" s="155">
        <f>IF(OR($AW3="",COUNTIF($EJ$6:$EN$6,$AW3)&gt;0),$AV3,"")</f>
        <v/>
      </c>
      <c r="KQ3" s="155">
        <f>IF(AND($AX3=1,OR($AW3="",COUNTIF($EJ$6:$EN$6,$AW3)&gt;0)),$AV3,"")</f>
        <v/>
      </c>
      <c r="KS3" s="155">
        <f>IF(OR($W3="",COUNTIF($EJ$6:$EN$6,$W3)&gt;0),$V3,"")</f>
        <v/>
      </c>
      <c r="KT3" s="155">
        <f>IF(AND($AF3=1,OR($W3="",COUNTIF($EJ$6:$EN$6,$W3)&gt;0)),$V3,"")</f>
        <v/>
      </c>
      <c r="KV3" s="155">
        <f>IF(OR($AW3="",COUNTIF($EJ$7:$EN$7,$AW3)&gt;0),$AV3,"")</f>
        <v/>
      </c>
      <c r="KW3" s="155">
        <f>IF(AND($AX3=1,OR($AW3="",COUNTIF($EJ$7:$EN$7,$AW3)&gt;0)),$AV3,"")</f>
        <v/>
      </c>
      <c r="KY3" s="155">
        <f>IF(OR($W3="",COUNTIF($EJ$7:$EN$7,$W3)&gt;0),$V3,"")</f>
        <v/>
      </c>
      <c r="KZ3" s="155">
        <f>IF(AND($AF3=1,OR($W3="",COUNTIF($EJ$7:$EN$7,$W3)&gt;0)),$V3,"")</f>
        <v/>
      </c>
      <c r="LB3" s="155">
        <f>IF(OR($AW3="",COUNTIF($EJ$8:$EN$8,$AW3)&gt;0),$AV3,"")</f>
        <v/>
      </c>
      <c r="LC3" s="155">
        <f>IF(AND($AX3=1,OR($AW3="",COUNTIF($EJ$8:$EN$8,$AW3)&gt;0)),$AV3,"")</f>
        <v/>
      </c>
      <c r="LE3" s="155">
        <f>IF(OR($W3="",COUNTIF($EJ$8:$EN$8,$W3)&gt;0),$V3,"")</f>
        <v/>
      </c>
      <c r="LF3" s="155">
        <f>IF(AND($AF3=1,OR($W3="",COUNTIF($EJ$8:$EN$8,$W3)&gt;0)),$V3,"")</f>
        <v/>
      </c>
      <c r="LH3" s="155">
        <f>IF(OR($AW3="",COUNTIF($EJ$9:$EN$9,$AW3)&gt;0),$AV3,"")</f>
        <v/>
      </c>
      <c r="LI3" s="155">
        <f>IF(AND($AX3=1,OR($AW3="",COUNTIF($EJ$9:$EN$9,$AW3)&gt;0)),$AV3,"")</f>
        <v/>
      </c>
      <c r="LK3" s="155">
        <f>IF(OR($W3="",COUNTIF($EJ$9:$EN$9,$W3)&gt;0),$V3,"")</f>
        <v/>
      </c>
      <c r="LL3" s="155">
        <f>IF(AND($AF3=1,OR($W3="",COUNTIF($EJ$9:$EN$9,$W3)&gt;0)),$V3,"")</f>
        <v/>
      </c>
      <c r="LN3" s="155">
        <f>IF(OR($AW3="",COUNTIF($EJ$10:$EN$10,$AW3)&gt;0),$AV3,"")</f>
        <v/>
      </c>
      <c r="LO3" s="155">
        <f>IF(AND($AX3=1,OR($AW3="",COUNTIF($EJ$10:$EN$10,$AW3)&gt;0)),$AV3,"")</f>
        <v/>
      </c>
      <c r="LQ3" s="155">
        <f>IF(OR($W3="",COUNTIF($EJ$10:$EN$10,$W3)&gt;0),$V3,"")</f>
        <v/>
      </c>
      <c r="LR3" s="155">
        <f>IF(AND($AF3=1,OR($W3="",COUNTIF($EJ$10:$EN$10,$W3)&gt;0)),$V3,"")</f>
        <v/>
      </c>
      <c r="LT3" s="155">
        <f>IF(OR($AW3="",COUNTIF($EJ$11:$EN$11,$AW3)&gt;0),$AV3,"")</f>
        <v/>
      </c>
      <c r="LU3" s="155">
        <f>IF(AND($AX3=1,OR($AW3="",COUNTIF($EJ$11:$EN$11,$AW3)&gt;0)),$AV3,"")</f>
        <v/>
      </c>
      <c r="LW3" s="155">
        <f>IF(OR($W3="",COUNTIF($EJ$11:$EN$11,$W3)&gt;0),$V3,"")</f>
        <v/>
      </c>
      <c r="LX3" s="155">
        <f>IF(AND($AF3=1,OR($W3="",COUNTIF($EJ$11:$EN$11,$W3)&gt;0)),$V3,"")</f>
        <v/>
      </c>
      <c r="LZ3" s="155">
        <f>IF(OR($AW3="",COUNTIF($EJ$12:$EN$12,$AW3)&gt;0),$AV3,"")</f>
        <v/>
      </c>
      <c r="MA3" s="155">
        <f>IF(AND($AX3=1,OR($AW3="",COUNTIF($EJ$12:$EN$12,$AW3)&gt;0)),$AV3,"")</f>
        <v/>
      </c>
      <c r="MC3" s="155">
        <f>IF(OR($W3="",COUNTIF($EJ$12:$EN$12,$W3)&gt;0),$V3,"")</f>
        <v/>
      </c>
      <c r="MD3" s="155">
        <f>IF(AND($AF3=1,OR($W3="",COUNTIF($EJ$12:$EN$12,$W3)&gt;0)),$V3,"")</f>
        <v/>
      </c>
      <c r="MF3" s="155">
        <f>IF(OR($AW3="",COUNTIF($EJ$13:$EN$13,$AW3)&gt;0),$AV3,"")</f>
        <v/>
      </c>
      <c r="MG3" s="155">
        <f>IF(AND($AX3=1,OR($AW3="",COUNTIF($EJ$13:$EN$13,$AW3)&gt;0)),$AV3,"")</f>
        <v/>
      </c>
      <c r="MI3" s="155">
        <f>IF(OR($W3="",COUNTIF($EJ$13:$EN$13,$W3)&gt;0),$V3,"")</f>
        <v/>
      </c>
      <c r="MJ3" s="155">
        <f>IF(AND($AF3=1,OR($W3="",COUNTIF($EJ$13:$EN$13,$W3)&gt;0)),$V3,"")</f>
        <v/>
      </c>
      <c r="ML3" s="153" t="inlineStr">
        <is>
          <t>Ficha 1 · Especial 1</t>
        </is>
      </c>
      <c r="MM3" s="155" t="n">
        <v>1</v>
      </c>
      <c r="MN3" s="155" t="n">
        <v>1</v>
      </c>
      <c r="MO3" s="155" t="n">
        <v>1</v>
      </c>
      <c r="MP3" s="153" t="inlineStr">
        <is>
          <t>ESPECIAL 1</t>
        </is>
      </c>
      <c r="MQ3" s="155">
        <f>MAX(1,MIN(7,N('INVOCAÇÕES'!$O$58)))</f>
        <v/>
      </c>
      <c r="MR3" s="155">
        <f>'INVOCAÇÕES'!$P$58&amp;""</f>
        <v/>
      </c>
      <c r="MS3" s="155">
        <f>'INVOCAÇÕES'!$O$63&amp;""</f>
        <v/>
      </c>
      <c r="MT3" s="155">
        <f>'INVOCAÇÕES'!$O$64&amp;""</f>
        <v/>
      </c>
      <c r="MU3" s="155">
        <f>'INVOCAÇÕES'!$Q$64&amp;""</f>
        <v/>
      </c>
      <c r="MV3" s="155">
        <f>'INVOCAÇÕES'!$P$67&amp;""</f>
        <v/>
      </c>
      <c r="MW3" s="155">
        <f>'INVOCAÇÕES'!$P$68&amp;""</f>
        <v/>
      </c>
      <c r="MX3" s="155">
        <f>'INVOCAÇÕES'!$P$69&amp;""</f>
        <v/>
      </c>
      <c r="MY3" s="155">
        <f>'INVOCAÇÕES'!$P$70&amp;""</f>
        <v/>
      </c>
      <c r="MZ3" s="155">
        <f>'INVOCAÇÕES'!$P$71&amp;""</f>
        <v/>
      </c>
      <c r="NA3" s="155">
        <f>'INVOCAÇÕES'!$P$72&amp;""</f>
        <v/>
      </c>
      <c r="NB3" s="155">
        <f>IF($MR3&lt;&gt;"",1,0)</f>
        <v/>
      </c>
      <c r="NC3" s="155">
        <f>INDEX($FM$2:$FM$13,$MM3)</f>
        <v/>
      </c>
      <c r="ND3" s="155">
        <f>INDEX($FN$2:$FN$13,$MM3)</f>
        <v/>
      </c>
      <c r="NE3" s="155">
        <f>INDEX($FO$2:$FO$13,$MM3)</f>
        <v/>
      </c>
      <c r="NF3" s="155">
        <f>INDEX($FZ$2:$FZ$13,$MM3)</f>
        <v/>
      </c>
      <c r="NG3" s="155">
        <f>INDEX($GA$2:$GA$13,$MM3)</f>
        <v/>
      </c>
      <c r="NH3" s="155">
        <f>IFERROR(MATCH($MS3,$V$2:$V$11,0),0)</f>
        <v/>
      </c>
      <c r="NI3" s="155">
        <f>IFERROR(VLOOKUP($MV3,$AV$2:$BA$84,2,FALSE),"")</f>
        <v/>
      </c>
      <c r="NJ3" s="155">
        <f>IFERROR(VLOOKUP($MW3,$AV$2:$BA$84,2,FALSE),"")</f>
        <v/>
      </c>
      <c r="NK3" s="155">
        <f>IFERROR(VLOOKUP($MX3,$AV$2:$BA$84,2,FALSE),"")</f>
        <v/>
      </c>
      <c r="NL3" s="155">
        <f>IFERROR(VLOOKUP($MY3,$AV$2:$BA$84,2,FALSE),"")</f>
        <v/>
      </c>
      <c r="NM3" s="155">
        <f>IFERROR(VLOOKUP($MV3,$AV$2:$BA$84,3,FALSE),0)</f>
        <v/>
      </c>
      <c r="NN3" s="155">
        <f>IFERROR(VLOOKUP($MW3,$AV$2:$BA$84,3,FALSE),0)</f>
        <v/>
      </c>
      <c r="NO3" s="155">
        <f>IFERROR(VLOOKUP($MX3,$AV$2:$BA$84,3,FALSE),0)</f>
        <v/>
      </c>
      <c r="NP3" s="155">
        <f>IFERROR(VLOOKUP($MY3,$AV$2:$BA$84,3,FALSE),0)</f>
        <v/>
      </c>
      <c r="NQ3" s="155">
        <f>IF($MQ3=0,0,IF($NH3=0,0,INDEX($X$2:$X$11,$NH3)))</f>
        <v/>
      </c>
      <c r="NR3" s="155">
        <f>IF(OR($NM3=0,$MQ3=0),0,$NM3+3*IF(AND($NI3&lt;&gt;"",OR($NI3=INDEX($EJ$2:$EJ$13,$MM3),$NI3=INDEX($EK$2:$EK$13,$MM3))),1,0))</f>
        <v/>
      </c>
      <c r="NS3" s="155">
        <f>IF(OR($NN3=0,$MQ3=0),0,$NN3+3*IF(AND($NJ3&lt;&gt;"",OR($NJ3=INDEX($EJ$2:$EJ$13,$MM3),$NJ3=INDEX($EK$2:$EK$13,$MM3))),1,0))</f>
        <v/>
      </c>
      <c r="NT3" s="155">
        <f>IF(OR($NO3=0,$MQ3=0),0,$NO3+3*IF(AND($NK3&lt;&gt;"",OR($NK3=INDEX($EJ$2:$EJ$13,$MM3),$NK3=INDEX($EK$2:$EK$13,$MM3))),1,0))</f>
        <v/>
      </c>
      <c r="NU3" s="155">
        <f>IF(OR($NP3=0,$MQ3=0),0,$NP3+3*IF(AND($NL3&lt;&gt;"",OR($NL3=INDEX($EJ$2:$EJ$13,$MM3),$NL3=INDEX($EK$2:$EK$13,$MM3))),1,0))</f>
        <v/>
      </c>
      <c r="NV3" s="155">
        <f>IF($NH3=0,0,IF(INDEX($W$2:$W$11,$NH3)="",0,IF(COUNTIF(INDEX($EJ$2:$EN$13,$MM3,0),INDEX($W$2:$W$11,$NH3))=0,1,0)))</f>
        <v/>
      </c>
      <c r="NW3" s="155">
        <f>IF(OR($NM3=0,$NI3=""),0,IF(COUNTIF(INDEX($EJ$2:$EN$13,$MM3,0),$NI3)=0,1,0))</f>
        <v/>
      </c>
      <c r="NX3" s="155">
        <f>IF(OR($NN3=0,$NJ3=""),0,IF(COUNTIF(INDEX($EJ$2:$EN$13,$MM3,0),$NJ3)=0,1,0))</f>
        <v/>
      </c>
      <c r="NY3" s="155">
        <f>IF(OR($NO3=0,$NK3=""),0,IF(COUNTIF(INDEX($EJ$2:$EN$13,$MM3,0),$NK3)=0,1,0))</f>
        <v/>
      </c>
      <c r="NZ3" s="155">
        <f>IF(OR($NP3=0,$NL3=""),0,IF(COUNTIF(INDEX($EJ$2:$EN$13,$MM3,0),$NL3)=0,1,0))</f>
        <v/>
      </c>
      <c r="OA3" s="155">
        <f>IFERROR(VLOOKUP($MV3,$AV$2:$BA$84,4,FALSE),0)+IFERROR(VLOOKUP($MW3,$AV$2:$BA$84,4,FALSE),0)+IFERROR(VLOOKUP($MX3,$AV$2:$BA$84,4,FALSE),0)+IFERROR(VLOOKUP($MY3,$AV$2:$BA$84,4,FALSE),0)</f>
        <v/>
      </c>
      <c r="OB3" s="155">
        <f>IFERROR(VLOOKUP($MV3,$AV$2:$BA$84,6,FALSE),0)+IFERROR(VLOOKUP($MW3,$AV$2:$BA$84,6,FALSE),0)+IFERROR(VLOOKUP($MX3,$AV$2:$BA$84,6,FALSE),0)+IFERROR(VLOOKUP($MY3,$AV$2:$BA$84,6,FALSE),0)</f>
        <v/>
      </c>
      <c r="OC3" s="155">
        <f>TEXTJOIN(", ",TRUE,IF(IFERROR(VLOOKUP($MV3,$AV$2:$BA$84,5,FALSE),0)=1,$MV3,""),IF(IFERROR(VLOOKUP($MW3,$AV$2:$BA$84,5,FALSE),0)=1,$MW3,""),IF(IFERROR(VLOOKUP($MX3,$AV$2:$BA$84,5,FALSE),0)=1,$MX3,""),IF(IFERROR(VLOOKUP($MY3,$AV$2:$BA$84,5,FALSE),0)=1,$MY3,""))</f>
        <v/>
      </c>
      <c r="OD3" s="155">
        <f>IF($NH3=0,0,INDEX($Y$2:$Y$11,$NH3))</f>
        <v/>
      </c>
      <c r="OE3" s="155">
        <f>IF($NH3=0,0,INDEX($Z$2:$Z$11,$NH3))</f>
        <v/>
      </c>
      <c r="OF3" s="155">
        <f>IF($NH3=0,0,INDEX($AB$2:$AB$11,$NH3))</f>
        <v/>
      </c>
      <c r="OG3" s="155">
        <f>IFERROR(VLOOKUP($MZ3,$BC$2:$BG$24,3,FALSE),0)</f>
        <v/>
      </c>
      <c r="OH3" s="155">
        <f>IFERROR(VLOOKUP($NA3,$BC$2:$BG$24,3,FALSE),0)</f>
        <v/>
      </c>
      <c r="OI3" s="155">
        <f>IFERROR(VLOOKUP($MZ3,$BC$2:$BG$24,2,FALSE),"")</f>
        <v/>
      </c>
      <c r="OJ3" s="155">
        <f>IFERROR(VLOOKUP($NA3,$BC$2:$BG$24,2,FALSE),"")</f>
        <v/>
      </c>
      <c r="OK3" s="155">
        <f>COUNTIF($NQ3:$NU3,1)</f>
        <v/>
      </c>
      <c r="OL3" s="155">
        <f>COUNTIF($NQ3:$NU3,2)</f>
        <v/>
      </c>
      <c r="OM3" s="155">
        <f>COUNTIF($NQ3:$NU3,3)</f>
        <v/>
      </c>
      <c r="ON3" s="155">
        <f>COUNTIF($NQ3:$NU3,4)</f>
        <v/>
      </c>
      <c r="OO3" s="155">
        <f>COUNTIF($NQ3:$NU3,5)</f>
        <v/>
      </c>
      <c r="OP3" s="155">
        <f>COUNTIF($NQ3:$NU3,6)</f>
        <v/>
      </c>
      <c r="OQ3" s="155">
        <f>COUNTIF($OG3:$OH3,1)</f>
        <v/>
      </c>
      <c r="OR3" s="155">
        <f>COUNTIF($OG3:$OH3,2)+$OD3</f>
        <v/>
      </c>
      <c r="OS3" s="155">
        <f>COUNTIF($MV3:$MY3,"?*")</f>
        <v/>
      </c>
      <c r="OT3" s="155">
        <f>COUNTIF($MZ3:$NA3,"?*")+$OD3</f>
        <v/>
      </c>
      <c r="OU3" s="155">
        <f>IF($MQ3=0,0,SUMPRODUCT($OK3:$OP3,INDEX($I$2:$N$8,MAX(1,$MQ3),0)))</f>
        <v/>
      </c>
      <c r="OV3" s="155">
        <f>IF($MQ3=0,0,$OQ3*CEILING($MQ3/2,1)+$OR3*$MQ3)</f>
        <v/>
      </c>
      <c r="OW3" s="155">
        <f>MIN(2*$MQ3,$OV3)</f>
        <v/>
      </c>
      <c r="OX3" s="155">
        <f>MIN($OW3,$OU3)</f>
        <v/>
      </c>
      <c r="OY3" s="155">
        <f>$OW3-$OX3</f>
        <v/>
      </c>
      <c r="OZ3" s="155">
        <f>IF($MQ3=0,0,INDEX($P$2:$P$8,MAX(1,$MQ3)))</f>
        <v/>
      </c>
      <c r="PA3" s="155">
        <f>$OZ3-$OU3+$OX3</f>
        <v/>
      </c>
      <c r="PB3" s="155">
        <f>IF($MQ3=0,MAX(0,$NE3-IF($OS3&gt;0,1,0)),MAX(0,$PA3))</f>
        <v/>
      </c>
      <c r="PC3" s="155">
        <f>IF($MQ3=0,0,(IF(COUNTIF($MV3:$MY3,"Salto")&gt;0,1,0)+IF(COUNTIF($MV3:$MY3,"Queima")&gt;0,1,0)+IF(COUNTIF($MV3:$MY3,"Estilhaço")&gt;0,1,0))*FLOOR($PB3/2,1))</f>
        <v/>
      </c>
      <c r="PD3" s="155">
        <f>MAX(0,2-SUMPRODUCT($OK3:$OP3,$I$2:$N$2)+MIN(2,$OQ3*1+$OR3*1,SUMPRODUCT($OK3:$OP3,$I$2:$N$2)))</f>
        <v/>
      </c>
      <c r="PE3" s="155">
        <f>MAX(0,4-SUMPRODUCT($OK3:$OP3,$I$3:$N$3)+MIN(4,$OQ3*1+$OR3*2,SUMPRODUCT($OK3:$OP3,$I$3:$N$3)))</f>
        <v/>
      </c>
      <c r="PF3" s="155">
        <f>MAX(0,6-SUMPRODUCT($OK3:$OP3,$I$4:$N$4)+MIN(6,$OQ3*2+$OR3*3,SUMPRODUCT($OK3:$OP3,$I$4:$N$4)))</f>
        <v/>
      </c>
      <c r="PG3" s="155">
        <f>MAX(0,9-SUMPRODUCT($OK3:$OP3,$I$5:$N$5)+MIN(8,$OQ3*2+$OR3*4,SUMPRODUCT($OK3:$OP3,$I$5:$N$5)))</f>
        <v/>
      </c>
      <c r="PH3" s="155">
        <f>MAX(0,11-SUMPRODUCT($OK3:$OP3,$I$6:$N$6)+MIN(10,$OQ3*3+$OR3*5,SUMPRODUCT($OK3:$OP3,$I$6:$N$6)))</f>
        <v/>
      </c>
      <c r="PI3" s="155">
        <f>MAX(0,13-SUMPRODUCT($OK3:$OP3,$I$7:$N$7)+MIN(12,$OQ3*3+$OR3*6,SUMPRODUCT($OK3:$OP3,$I$7:$N$7)))</f>
        <v/>
      </c>
      <c r="PJ3" s="155">
        <f>MAX(0,16-SUMPRODUCT($OK3:$OP3,$I$8:$N$8)+MIN(14,$OQ3*4+$OR3*7,SUMPRODUCT($OK3:$OP3,$I$8:$N$8)))</f>
        <v/>
      </c>
      <c r="PK3" s="155">
        <f>IF($OE3=2,3*$PD3&amp;" de vida temp.",IF($OE3=3,"sem dano",IF($PD3=0,IF($OE3=1,"sem cura","sem dano"),IF($OE3=1,"cura ","")&amp;$PD3&amp;"d8")))</f>
        <v/>
      </c>
      <c r="PL3" s="155">
        <f>IF($OE3=2,3*$PE3&amp;" de vida temp.",IF($OE3=3,"sem dano",IF($PE3=0,IF($OE3=1,"sem cura","sem dano"),IF($OE3=1,"cura ","")&amp;$PE3&amp;"d8")))</f>
        <v/>
      </c>
      <c r="PM3" s="155">
        <f>IF($OE3=2,3*$PF3&amp;" de vida temp.",IF($OE3=3,"sem dano",IF($PF3=0,IF($OE3=1,"sem cura","sem dano"),IF($OE3=1,"cura ","")&amp;$PF3&amp;"d8")))</f>
        <v/>
      </c>
      <c r="PN3" s="155">
        <f>IF($OE3=2,3*$PG3&amp;" de vida temp.",IF($OE3=3,"sem dano",IF($PG3=0,IF($OE3=1,"sem cura","sem dano"),IF($OE3=1,"cura ","")&amp;$PG3&amp;"d8")))</f>
        <v/>
      </c>
      <c r="PO3" s="155">
        <f>IF($OE3=2,3*$PH3&amp;" de vida temp.",IF($OE3=3,"sem dano",IF($PH3=0,IF($OE3=1,"sem cura","sem dano"),IF($OE3=1,"cura ","")&amp;$PH3&amp;"d8")))</f>
        <v/>
      </c>
      <c r="PP3" s="155">
        <f>IF($OE3=2,3*$PI3&amp;" de vida temp.",IF($OE3=3,"sem dano",IF($PI3=0,IF($OE3=1,"sem cura","sem dano"),IF($OE3=1,"cura ","")&amp;$PI3&amp;"d8")))</f>
        <v/>
      </c>
      <c r="PQ3" s="155">
        <f>IF($OE3=2,3*$PJ3&amp;" de vida temp.",IF($OE3=3,"sem dano",IF($PJ3=0,IF($OE3=1,"sem cura","sem dano"),IF($OE3=1,"cura ","")&amp;$PJ3&amp;"d8")))</f>
        <v/>
      </c>
      <c r="PR3" s="155">
        <f>IF($NB3=0,"",TEXTJOIN(" · ",TRUE,IF($MO3&gt;$NC3,"Este lugar abre no nível "&amp;$MO3,""),IF($MQ3&gt;$ND3,"Classe "&amp;$MQ3&amp;": o nível "&amp;$NC3&amp;" libera até a "&amp;$ND3,""),IF($NV3=1,"A Forma "&amp;$MS3&amp;" pede "&amp;INDEX($W$2:$W$11,$NH3)&amp;" aberta",""),IF(AND($MQ3=0,$NH3&gt;0,IF($NH3=0,0,INDEX($AF$2:$AF$11,$NH3))=0),$MS3&amp;" não existe na Classe 0",""),IF($NW3=1,"Família Fechada: "&amp;$MV3,""),IF($NX3=1,"Família Fechada: "&amp;$MW3,""),IF($NY3=1,"Família Fechada: "&amp;$MX3,""),IF($NZ3=1,"Família Fechada: "&amp;$MY3,""),IF(AND($MQ3&gt;0,$OS3&gt;INDEX($O$2:$O$8,MAX(1,$MQ3))),$OS3&amp;" Melhorias: a Classe "&amp;$MQ3&amp;" aceita "&amp;INDEX($O$2:$O$8,MAX(1,$MQ3)),""),IF(AND($MQ3=0,$OS3&gt;1),"A básica aceita uma Melhoria",""),IF(AND($MQ3=0,COUNTIF($NM3:$NP3,"&gt;1")&gt;0),"A básica só aceita Melhoria Leve",""),IF(AND($MQ3&gt;0,$OT3&gt;2),$OT3&amp;" Restrições"&amp;IF($OD3=1,", contando a que a Forma "&amp;$MS3&amp;" já traz","")&amp;": o limite é 2",""),IF(AND($MQ3=0,COUNTIF($MZ3:$NA3,"?*")&gt;1),"A básica aceita uma Restrição Leve",""),IF(AND($MQ3=0,COUNTIF($OG3:$OH3,2)&gt;0),"A básica só aceita Restrição Leve",""),IF(AND($MQ3&gt;0,$PA3&lt;0),"Orçamento estourado: faltam "&amp;(-$PA3)&amp;IF($PA3&lt;-1," pontos"," ponto"),""),IF(IFERROR(VLOOKUP($MZ3,$BC$2:$BG$24,4,FALSE),0)+IFERROR(VLOOKUP($NA3,$BC$2:$BG$24,4,FALSE),0)&gt;1,$OI3&amp;" e "&amp;$OJ3&amp;" são as duas de frequência",""),IF(AND((COUNTIF($MV3:$MY3,"Rápido")+COUNTIF($OI3:$OJ3,"Rápido"))&gt;0,(COUNTIF($MV3:$MY3,"Atrasar")+COUNTIF($OI3:$OJ3,"Atrasar"))&gt;0),"Rápido não entra com Atrasar",""),IF(AND((COUNTIF($MV3:$MY3,"Reação")+COUNTIF($OI3:$OJ3,"Reação"))&gt;0,(COUNTIF($MV3:$MY3,"Rápido")+COUNTIF($OI3:$OJ3,"Rápido"))&gt;0),"Reação não entra com Rápido",""),IF(AND((COUNTIF($MV3:$MY3,"Reação")+COUNTIF($OI3:$OJ3,"Reação"))&gt;0,(COUNTIF($MV3:$MY3,"Armado")+COUNTIF($OI3:$OJ3,"Armado"))&gt;0),"Reação não entra com Armado",""),IF(AND((COUNTIF($MV3:$MY3,"Reação")+COUNTIF($OI3:$OJ3,"Reação"))&gt;0,(COUNTIF($MV3:$MY3,"Atrasar")+COUNTIF($OI3:$OJ3,"Atrasar"))&gt;0),"Reação não entra com Atrasar",""),IF(AND((COUNTIF($MV3:$MY3,"Reação")+COUNTIF($OI3:$OJ3,"Reação"))&gt;0,(COUNTIF($MV3:$MY3,"Parado")+COUNTIF($OI3:$OJ3,"Parado"))&gt;0),"Reação não entra com Parado",""),IF(AND((COUNTIF($MV3:$MY3,"Atrasar")+COUNTIF($OI3:$OJ3,"Atrasar"))&gt;0,(COUNTIF($MV3:$MY3,"Parado")+COUNTIF($OI3:$OJ3,"Parado"))&gt;0),"Atrasar não entra com Parado",""),IF(AND((COUNTIF($MV3:$MY3,"Armado")+COUNTIF($OI3:$OJ3,"Armado"))&gt;0,(COUNTIF($MV3:$MY3,"Carregar")+COUNTIF($OI3:$OJ3,"Carregar"))&gt;0),"Armado não entra com Carregar",""),IF(AND(COUNTIF($OI3:$OJ3,"Corpo a Corpo")&gt;0,$OD3=0,OR($MS3="Cone",$MS3="Linha")),"Corpo a Corpo não entra em "&amp;$MS3,""),IF(AND(COUNTIF($OI3:$OJ3,"Corpo a Corpo")&gt;0,$OD3=1),"A Forma "&amp;$MS3&amp;" já traz o Corpo a Corpo",""),IF(AND(COUNTIF($OI3:$OJ3,"Tudo ou Nada")&gt;0,$OF3=0),"Tudo ou Nada só entra em habilidade de Teste de Resistência",""),IF(AND(COUNTIF($MV3:$MY3,"Inescapável")&gt;0,OR($OS3&gt;1,$OT3&gt;0)),"Inescapável não aceita outra peça",""),IF(AND($MQ3&gt;0,$PB3*IF(COUNTIF($MV3:$MY3,"Remate")&gt;0,1.25,1)+$PC3&gt;4*$MQ3),($PB3*IF(COUNTIF($MV3:$MY3,"Remate")&gt;0,1.25,1)+$PC3)&amp;" dados somando repetições"&amp;IF(COUNTIF($MV3:$MY3,"Remate")&gt;0," e o Remate","")&amp;": o teto da Classe "&amp;$MQ3&amp;" é "&amp;4*$MQ3,"")))</f>
        <v/>
      </c>
      <c r="PS3" s="155">
        <f>IF($PR3="",0,(LEN($PR3)-LEN(SUBSTITUTE($PR3," · ","")))/3+1)</f>
        <v/>
      </c>
      <c r="PT3" s="155">
        <f>IF($NB3=0,"",TEXTJOIN(" · ",TRUE,IF($OV3&gt;2*$MQ3,"A devolução parou no teto de "&amp;2*$MQ3,""),IF($OY3&gt;0,"Devolução perdida: "&amp;$OY3&amp;IF($OY3&gt;1," pontos"," ponto")&amp;" sem peça para pagar",""),IF(AND($OA3&gt;0,AND($MQ3&gt;0,$OE3=0),$PB3=0),"Controle sem dano: uma rodada a mais e CD +2",""),IF(AND($OA3&gt;0,AND($MQ3&gt;0,$OE3=0),$PB3&gt;0,$PB3&lt;=$MQ3),"Controle com saldo até a Classe: uma rodada a mais",""),IF(AND($MQ3&gt;0,$OC3&lt;&gt;""),"Efeito de "&amp;$OC3&amp;" pela Classe "&amp;MAX(1,$MQ3-1),"")))</f>
        <v/>
      </c>
      <c r="PU3" s="155">
        <f>IF($PT3="",0,(LEN($PT3)-LEN(SUBSTITUTE($PT3," · ","")))/3+1)</f>
        <v/>
      </c>
      <c r="PV3" s="155">
        <f>IF($NB3=0,IF($OS3+COUNTIF($MZ3:$NA3,"?*")&gt;0,"Dê um nome",""),IF($PS3&gt;0,"⚠ "&amp;$PS3&amp;IF($PS3&gt;1," erros"," erro"),IF($PU3&gt;0,"! "&amp;$PU3&amp;IF($PU3&gt;1," avisos"," aviso"),"Na regra")))</f>
        <v/>
      </c>
      <c r="PW3" s="155">
        <f>IF($NB3=0,"",IF($PS3+$PU3=0,"Dentro das regras que a ficha confere",$PR3&amp;IF(AND($PS3&gt;0,$PU3&gt;0)," · ","")&amp;$PT3))</f>
        <v/>
      </c>
      <c r="PX3" s="155">
        <f>IF($MO3&gt;$NC3,$MP3&amp;" · ABRE NO NÍVEL "&amp;$MO3,$MP3)</f>
        <v/>
      </c>
      <c r="PY3" s="155">
        <f>IF($NB3=0,"",IF($MQ3=0,"Sem PE",3*$MQ3&amp;" PE"))</f>
        <v/>
      </c>
      <c r="PZ3" s="155">
        <f>IF($NB3=0,"",IF($MQ3=0,"A atuação básica dela",IF(COUNTIF($OI3:$OJ3,"Atrasar")&gt;0,"Sua Ação Completa",IF(COUNTIF($MV3:$MY3,"Rápido")&gt;0,"Sua Bônus",IF(COUNTIF($MV3:$MY3,"Reação")&gt;0,"Sua Reação","Sua Padrão")))&amp;" + a básica dela"&amp;IF(COUNTIF($MV3:$MY3,"Reação")&gt;0," e a coletiva","")&amp;IF(COUNTIF($OI3:$OJ3,"Carregar")&gt;0," · em dois turnos","")))</f>
        <v/>
      </c>
      <c r="QA3" s="155">
        <f>IF($MU3&lt;&gt;"",$MU3,IF($NH3=0,"",INDEX($AA$2:$AA$11,$NH3)))</f>
        <v/>
      </c>
      <c r="QB3" s="155">
        <f>IF(OR($NB3=0,$NH3=0),"",IF(COUNTIF($MV3:$MY3,"Inescapável")&gt;0,"Automático",IF($QA3="Ataque",IF($NF3="","Ataque","Ataque "&amp;IF(($NF3+2*IF(COUNTIF($MV3:$MY3,"Precisão")&gt;0,1,0))&gt;=0,"+","−")&amp;ABS(($NF3+2*IF(COUNTIF($MV3:$MY3,"Precisão")&gt;0,1,0))))&amp;IF($OB3&gt;0," · TR"&amp;IF($NG3="",""," CD "&amp;$NG3),""),IF(LEFT($QA3,2)="TR",$QA3&amp;IF($NG3="",""," · CD "&amp;$NG3)&amp;IF(COUNTIF($MV3:$MY3,"Certeiro")&gt;0," · metade",""),"Sem rolagem"))))</f>
        <v/>
      </c>
      <c r="QC3" s="155">
        <f>IF(OR($NB3=0,$NH3=0),"",IF($MQ3=0,IF(OR($OE3&gt;=1,$PB3=0),"Sem dano",$PB3&amp;"d6"&amp;IF($MT3="",""," "&amp;$MT3)),IF(OR($OE3&gt;=1,$PB3=0),UPPER(LEFT(INDEX($PK3:$PQ3,1,MAX(1,$MQ3)),1))&amp;MID(INDEX($PK3:$PQ3,1,MAX(1,$MQ3)),2,99),UPPER(LEFT(INDEX($PK3:$PQ3,1,MAX(1,$MQ3)),1))&amp;MID(INDEX($PK3:$PQ3,1,MAX(1,$MQ3)),2,99)&amp;IF($MT3="",""," "&amp;$MT3)&amp;IF($PC3&gt;0," · +"&amp;$PC3&amp;"d8",""))))</f>
        <v/>
      </c>
      <c r="QD3" s="155">
        <f>COUNTIF($MV3:$MY3,"Longe")+3*COUNTIF($MV3:$MY3,"Muito Longe")</f>
        <v/>
      </c>
      <c r="QE3" s="155">
        <f>COUNTIF($MV3:$MY3,"Maior")+3*COUNTIF($MV3:$MY3,"Muito Maior")</f>
        <v/>
      </c>
      <c r="QF3" s="155">
        <f>IF($NH3=0,0,CHOOSE(1+INDEX($AC$2:$AC$11,$NH3),0,$QD3,$QE3,$QD3+$QE3))</f>
        <v/>
      </c>
      <c r="QG3" s="155">
        <f>IF($NH3=0,0,CHOOSE(1+INDEX($AD$2:$AD$11,$NH3),0,$QD3,$QE3,$QD3+$QE3))</f>
        <v/>
      </c>
      <c r="QH3" s="155">
        <f>IF(OR($NB3=0,$NH3=0),"",INDEX($AI$2:$AN$41,($NH3-1)*4+IF($MQ3=0,1,IF($MQ3&lt;=5,2,IF($MQ3=6,3,4))),1+MIN(5,$QF3))&amp;INDEX($AO$2:$AT$41,($NH3-1)*4+IF($MQ3=0,1,IF($MQ3&lt;=5,2,IF($MQ3=6,3,4))),1+MIN(5,$QG3))&amp;IF(INDEX($AE$2:$AE$11,$NH3)=1,IF(COUNTIF($MV3:$MY3,"Mais Um")&gt;0," · +"&amp;COUNTIF($MV3:$MY3,"Mais Um")&amp;IF(COUNTIF($MV3:$MY3,"Mais Um")&gt;1," alvos"," alvo"),"")&amp;IF(COUNTIF($MV3:$MY3,"Rajada")&gt;0,IF($MQ3=0," · 1 tiro"," · "&amp;(MAX(1,$MQ3-1)+1)&amp;" tiros"),""),""))</f>
        <v/>
      </c>
      <c r="QI3" s="155">
        <f>IF($NB3=0,"",IF($MQ3=0,$NE3&amp;"d6"&amp;IF($OS3&gt;0," − 1 = "&amp;$PB3&amp;"d6"," da básica do nível "&amp;$NC3),$OZ3&amp;" − "&amp;$OU3&amp;" + "&amp;$OX3&amp;" = "&amp;$PA3&amp;" · teto "&amp;4*$MQ3&amp;"d8"&amp;IF($OD3=1," · a Forma devolve "&amp;$MQ3,"")&amp;IF($OY3&gt;0," · perde "&amp;$OY3,"")))</f>
        <v/>
      </c>
      <c r="QJ3" s="155">
        <f>IF($NB3=0,"",IF($MQ3=0,"A básica não amplia: os dados dela sobem com o nível",IF($MQ3&gt;=$ND3,"Já está na maior Classe que o nível liberou",TEXTJOIN(" · ",TRUE,IF(AND(2&gt;$MQ3,2&lt;=$ND3),"2 → "&amp;$PL3&amp;", 6 PE",""),IF(AND(3&gt;$MQ3,3&lt;=$ND3),"3 → "&amp;$PM3&amp;", 9 PE",""),IF(AND(4&gt;$MQ3,4&lt;=$ND3),"4 → "&amp;$PN3&amp;", 12 PE",""),IF(AND(5&gt;$MQ3,5&lt;=$ND3),"5 → "&amp;$PO3&amp;", 15 PE",""),IF(AND(6&gt;$MQ3,6&lt;=$ND3),"6 → "&amp;$PP3&amp;", 18 PE",""),IF(AND(7&gt;$MQ3,7&lt;=$ND3),"7 → "&amp;$PQ3&amp;", 21 PE","")))))</f>
        <v/>
      </c>
      <c r="QK3" s="155">
        <f>IF(OR($NB3=0,$NM3=0),"",IF($MQ3=0,"−1 dado","−"&amp;INDEX($I$2:$N$8,MAX(1,$MQ3),MAX(1,$NR3))&amp;" · "&amp;CHOOSE(MAX(1,$NR3),"Leve","Média","Pesada","Leve · Livre","Média · Livre","Pesada · Livre")))</f>
        <v/>
      </c>
      <c r="QL3" s="155">
        <f>IF(OR($NB3=0,$NN3=0),"",IF($MQ3=0,"−1 dado","−"&amp;INDEX($I$2:$N$8,MAX(1,$MQ3),MAX(1,$NS3))&amp;" · "&amp;CHOOSE(MAX(1,$NS3),"Leve","Média","Pesada","Leve · Livre","Média · Livre","Pesada · Livre")))</f>
        <v/>
      </c>
      <c r="QM3" s="155">
        <f>IF(OR($NB3=0,$NO3=0),"",IF($MQ3=0,"−1 dado","−"&amp;INDEX($I$2:$N$8,MAX(1,$MQ3),MAX(1,$NT3))&amp;" · "&amp;CHOOSE(MAX(1,$NT3),"Leve","Média","Pesada","Leve · Livre","Média · Livre","Pesada · Livre")))</f>
        <v/>
      </c>
      <c r="QN3" s="155">
        <f>IF(OR($NB3=0,$NP3=0),"",IF($MQ3=0,"−1 dado","−"&amp;INDEX($I$2:$N$8,MAX(1,$MQ3),MAX(1,$NU3))&amp;" · "&amp;CHOOSE(MAX(1,$NU3),"Leve","Média","Pesada","Leve · Livre","Média · Livre","Pesada · Livre")))</f>
        <v/>
      </c>
      <c r="QO3" s="155">
        <f>IF(OR($NB3=0,$MZ3=""),"",IF($MQ3=0,"não devolve","+"&amp;IF($OG3=1,CEILING($MQ3/2,1),$MQ3)))</f>
        <v/>
      </c>
      <c r="QP3" s="155">
        <f>IF(OR($NB3=0,$NA3=""),"",IF($MQ3=0,"não devolve","+"&amp;IF($OH3=1,CEILING($MQ3/2,1),$MQ3)))</f>
        <v/>
      </c>
      <c r="QR3" s="153" t="inlineStr">
        <is>
          <t>F13</t>
        </is>
      </c>
      <c r="QS3" s="155">
        <f>IF(OR(DADOS_INVOC!$CZ$4="",LEFT(DADOS_INVOC!$CZ$4,7)="Escolha"),"—",DADOS_INVOC!$CZ$4)</f>
        <v/>
      </c>
    </row>
    <row r="4">
      <c r="A4" s="155" t="n">
        <v>9</v>
      </c>
      <c r="B4" s="155" t="n">
        <v>3</v>
      </c>
      <c r="C4" s="155" t="n">
        <v>2</v>
      </c>
      <c r="D4" s="155" t="n">
        <v>6</v>
      </c>
      <c r="F4" s="155" t="n">
        <v>14</v>
      </c>
      <c r="H4" s="155" t="n">
        <v>3</v>
      </c>
      <c r="I4" s="155" t="n">
        <v>2</v>
      </c>
      <c r="J4" s="155" t="n">
        <v>3</v>
      </c>
      <c r="K4" s="155" t="n">
        <v>5</v>
      </c>
      <c r="L4" s="155" t="n">
        <v>1</v>
      </c>
      <c r="M4" s="155" t="n">
        <v>2</v>
      </c>
      <c r="N4" s="155" t="n">
        <v>4</v>
      </c>
      <c r="O4" s="155" t="n">
        <v>3</v>
      </c>
      <c r="P4" s="155" t="n">
        <v>6</v>
      </c>
      <c r="R4" s="155" t="n">
        <v>2</v>
      </c>
      <c r="T4" s="155" t="n">
        <v>5</v>
      </c>
      <c r="V4" s="153" t="inlineStr">
        <is>
          <t>Explosão</t>
        </is>
      </c>
      <c r="W4" s="153" t="inlineStr">
        <is>
          <t>Área</t>
        </is>
      </c>
      <c r="X4" s="155" t="n">
        <v>1</v>
      </c>
      <c r="Y4" s="155" t="n">
        <v>0</v>
      </c>
      <c r="Z4" s="155" t="n">
        <v>0</v>
      </c>
      <c r="AA4" s="153" t="inlineStr">
        <is>
          <t>TR</t>
        </is>
      </c>
      <c r="AB4" s="155" t="n">
        <v>1</v>
      </c>
      <c r="AC4" s="155" t="n">
        <v>2</v>
      </c>
      <c r="AD4" s="155" t="n">
        <v>1</v>
      </c>
      <c r="AE4" s="155" t="n">
        <v>0</v>
      </c>
      <c r="AF4" s="155" t="n">
        <v>1</v>
      </c>
      <c r="AH4" s="153" t="inlineStr">
        <is>
          <t>Projétil · classe 6</t>
        </is>
      </c>
      <c r="AI4" s="153" t="inlineStr">
        <is>
          <t>36 m, um alvo</t>
        </is>
      </c>
      <c r="AJ4" s="153" t="inlineStr">
        <is>
          <t>90 m, um alvo</t>
        </is>
      </c>
      <c r="AK4" s="153" t="inlineStr">
        <is>
          <t>Visão a olho nu, um alvo</t>
        </is>
      </c>
      <c r="AL4" s="153" t="inlineStr">
        <is>
          <t>Visão a olho nu, um alvo</t>
        </is>
      </c>
      <c r="AM4" s="153" t="inlineStr">
        <is>
          <t>Visão a olho nu, um alvo</t>
        </is>
      </c>
      <c r="AN4" s="153" t="inlineStr">
        <is>
          <t>Visão a olho nu, um alvo</t>
        </is>
      </c>
      <c r="AO4" s="153" t="inlineStr"/>
      <c r="AP4" s="153" t="inlineStr"/>
      <c r="AQ4" s="153" t="inlineStr"/>
      <c r="AR4" s="153" t="inlineStr"/>
      <c r="AS4" s="153" t="inlineStr"/>
      <c r="AT4" s="153" t="inlineStr"/>
      <c r="AV4" s="153" t="inlineStr">
        <is>
          <t>Sem Ver</t>
        </is>
      </c>
      <c r="AW4" s="153" t="inlineStr">
        <is>
          <t>Alcance</t>
        </is>
      </c>
      <c r="AX4" s="155" t="n">
        <v>3</v>
      </c>
      <c r="AY4" s="155" t="n">
        <v>0</v>
      </c>
      <c r="AZ4" s="155" t="n">
        <v>0</v>
      </c>
      <c r="BA4" s="155" t="n">
        <v>0</v>
      </c>
      <c r="BC4" s="153" t="inlineStr">
        <is>
          <t>Parado</t>
        </is>
      </c>
      <c r="BD4" s="153" t="inlineStr">
        <is>
          <t>Parado</t>
        </is>
      </c>
      <c r="BE4" s="155" t="n">
        <v>1</v>
      </c>
      <c r="BF4" s="155" t="n">
        <v>0</v>
      </c>
      <c r="BG4" s="153" t="inlineStr">
        <is>
          <t>Parado</t>
        </is>
      </c>
      <c r="BI4" s="153" t="inlineStr">
        <is>
          <t>Raiz</t>
        </is>
      </c>
      <c r="BJ4" s="155" t="n">
        <v>1</v>
      </c>
      <c r="BK4" s="153" t="inlineStr">
        <is>
          <t>Você não é movido à força nem fica Derrubado contra a sua vontade. Pode aceitar um deslocamento ou se deitar por escolha própria. O Talento não impede o dano de um efeito que também empurre ou derrube.</t>
        </is>
      </c>
      <c r="BL4" s="153" t="inlineStr">
        <is>
          <t>Raiz</t>
        </is>
      </c>
      <c r="BN4" s="153" t="inlineStr">
        <is>
          <t>Shikigami de criação</t>
        </is>
      </c>
      <c r="BP4" s="153" t="inlineStr">
        <is>
          <t>Maldição domada</t>
        </is>
      </c>
      <c r="BQ4" s="155" t="n">
        <v>0</v>
      </c>
      <c r="BS4" s="153" t="inlineStr">
        <is>
          <t>Mira</t>
        </is>
      </c>
      <c r="BU4" s="153" t="inlineStr">
        <is>
          <t>Constituição</t>
        </is>
      </c>
      <c r="BW4" s="153" t="inlineStr">
        <is>
          <t>Intelecto</t>
        </is>
      </c>
      <c r="CC4" s="153" t="inlineStr">
        <is>
          <t>Furtividade</t>
        </is>
      </c>
      <c r="CD4" s="153" t="inlineStr">
        <is>
          <t>Destreza</t>
        </is>
      </c>
      <c r="CH4" s="153" t="inlineStr">
        <is>
          <t>Concussão</t>
        </is>
      </c>
      <c r="CJ4" s="153" t="inlineStr">
        <is>
          <t>TR Vigor</t>
        </is>
      </c>
      <c r="CL4" s="155" t="n">
        <v>2</v>
      </c>
      <c r="CN4" s="155" t="n">
        <v>26</v>
      </c>
      <c r="CO4" s="153" t="inlineStr">
        <is>
          <t>26d8</t>
        </is>
      </c>
      <c r="CP4" s="155" t="n">
        <v>16</v>
      </c>
      <c r="CQ4" s="155" t="n">
        <v>35</v>
      </c>
      <c r="CS4" s="153" t="inlineStr">
        <is>
          <t>Sem Barreiras</t>
        </is>
      </c>
      <c r="CT4" s="153" t="inlineStr">
        <is>
          <t>Mais 2 espaços; total 5.</t>
        </is>
      </c>
      <c r="CU4" s="153" t="inlineStr">
        <is>
          <t>Completa, seu refino 10 e sua especialização em Ocultismo.</t>
        </is>
      </c>
      <c r="CY4" s="153" t="inlineStr">
        <is>
          <t>trilha</t>
        </is>
      </c>
      <c r="CZ4" s="155">
        <f>FICHA!$N$11&amp;""</f>
        <v/>
      </c>
      <c r="DB4" s="155" t="n">
        <v>3</v>
      </c>
      <c r="DC4" s="155">
        <f>'INVOCAÇÕES'!$I$409&amp;""</f>
        <v/>
      </c>
      <c r="DD4" s="155">
        <f>'INVOCAÇÕES'!$I$439&amp;""</f>
        <v/>
      </c>
      <c r="DE4" s="155">
        <f>'INVOCAÇÕES'!$I$443&amp;""</f>
        <v/>
      </c>
      <c r="DF4" s="155">
        <f>N('INVOCAÇÕES'!$K$443)</f>
        <v/>
      </c>
      <c r="DG4" s="155">
        <f>'INVOCAÇÕES'!$L$443&amp;""</f>
        <v/>
      </c>
      <c r="DH4" s="155">
        <f>N('INVOCAÇÕES'!$O$416)</f>
        <v/>
      </c>
      <c r="DI4" s="155">
        <f>N('INVOCAÇÕES'!$P$416)</f>
        <v/>
      </c>
      <c r="DJ4" s="155">
        <f>N('INVOCAÇÕES'!$Q$416)</f>
        <v/>
      </c>
      <c r="DK4" s="155">
        <f>N('INVOCAÇÕES'!$R$416)</f>
        <v/>
      </c>
      <c r="DL4" s="155">
        <f>N('INVOCAÇÕES'!$S$416)</f>
        <v/>
      </c>
      <c r="DM4" s="155">
        <f>N('INVOCAÇÕES'!$O$417)</f>
        <v/>
      </c>
      <c r="DN4" s="155">
        <f>N('INVOCAÇÕES'!$P$417)</f>
        <v/>
      </c>
      <c r="DO4" s="155">
        <f>N('INVOCAÇÕES'!$Q$417)</f>
        <v/>
      </c>
      <c r="DP4" s="155">
        <f>N('INVOCAÇÕES'!$R$417)</f>
        <v/>
      </c>
      <c r="DQ4" s="155">
        <f>N('INVOCAÇÕES'!$S$417)</f>
        <v/>
      </c>
      <c r="DR4" s="155">
        <f>'INVOCAÇÕES'!$O$430&amp;""</f>
        <v/>
      </c>
      <c r="DS4" s="155">
        <f>'INVOCAÇÕES'!$R$430&amp;""</f>
        <v/>
      </c>
      <c r="DT4" s="155">
        <f>'INVOCAÇÕES'!$S$425&amp;""</f>
        <v/>
      </c>
      <c r="DU4" s="155">
        <f>N('INVOCAÇÕES'!$O$422)</f>
        <v/>
      </c>
      <c r="DV4" s="155">
        <f>N('INVOCAÇÕES'!$P$422)</f>
        <v/>
      </c>
      <c r="DW4" s="155">
        <f>N('INVOCAÇÕES'!$Q$422)</f>
        <v/>
      </c>
      <c r="DX4" s="155">
        <f>N('INVOCAÇÕES'!$R$422)</f>
        <v/>
      </c>
      <c r="DY4" s="155">
        <f>N('INVOCAÇÕES'!$S$422)</f>
        <v/>
      </c>
      <c r="DZ4" s="155">
        <f>N('INVOCAÇÕES'!$O$427)</f>
        <v/>
      </c>
      <c r="EA4" s="155">
        <f>N('INVOCAÇÕES'!$P$427)</f>
        <v/>
      </c>
      <c r="EB4" s="155">
        <f>N('INVOCAÇÕES'!$Q$427)</f>
        <v/>
      </c>
      <c r="EC4" s="155">
        <f>N('INVOCAÇÕES'!$R$427)</f>
        <v/>
      </c>
      <c r="ED4" s="155">
        <f>'INVOCAÇÕES'!$U$409&amp;""</f>
        <v/>
      </c>
      <c r="EE4" s="155">
        <f>N('INVOCAÇÕES'!$W$409)</f>
        <v/>
      </c>
      <c r="EF4" s="155">
        <f>'INVOCAÇÕES'!$Y$409&amp;""</f>
        <v/>
      </c>
      <c r="EG4" s="155">
        <f>SUM('INVOCAÇÕES'!$Y$429:'INVOCAÇÕES'!$Y$431,'INVOCAÇÕES'!$Y$433:'INVOCAÇÕES'!$Y$438)</f>
        <v/>
      </c>
      <c r="EH4" s="155">
        <f>'INVOCAÇÕES'!$U$414&amp;""</f>
        <v/>
      </c>
      <c r="EI4" s="155">
        <f>'INVOCAÇÕES'!$V$414&amp;""</f>
        <v/>
      </c>
      <c r="EJ4" s="155">
        <f>'INVOCAÇÕES'!$O$444&amp;""</f>
        <v/>
      </c>
      <c r="EK4" s="155">
        <f>'INVOCAÇÕES'!$P$444&amp;""</f>
        <v/>
      </c>
      <c r="EL4" s="155">
        <f>'INVOCAÇÕES'!$Q$444&amp;""</f>
        <v/>
      </c>
      <c r="EM4" s="155">
        <f>'INVOCAÇÕES'!$R$444&amp;""</f>
        <v/>
      </c>
      <c r="EN4" s="155">
        <f>'INVOCAÇÕES'!$S$444&amp;""</f>
        <v/>
      </c>
      <c r="EO4" s="155">
        <f>'INVOCAÇÕES'!$O$434&amp;""</f>
        <v/>
      </c>
      <c r="EP4" s="155">
        <f>'INVOCAÇÕES'!$O$435&amp;""</f>
        <v/>
      </c>
      <c r="EQ4" s="155">
        <f>'INVOCAÇÕES'!$O$436&amp;""</f>
        <v/>
      </c>
      <c r="ER4" s="155">
        <f>'INVOCAÇÕES'!$O$437&amp;""</f>
        <v/>
      </c>
      <c r="ES4" s="155">
        <f>'INVOCAÇÕES'!$O$438&amp;""</f>
        <v/>
      </c>
      <c r="ET4" s="155">
        <f>'INVOCAÇÕES'!$O$439&amp;""</f>
        <v/>
      </c>
      <c r="EU4" s="155">
        <f>'INVOCAÇÕES'!$O$440&amp;""</f>
        <v/>
      </c>
      <c r="EV4" s="155">
        <f>'INVOCAÇÕES'!$J$476&amp;""</f>
        <v/>
      </c>
      <c r="EW4" s="155">
        <f>'INVOCAÇÕES'!$J$477&amp;""</f>
        <v/>
      </c>
      <c r="EX4" s="155">
        <f>'INVOCAÇÕES'!$J$478&amp;""</f>
        <v/>
      </c>
      <c r="EY4" s="155">
        <f>'INVOCAÇÕES'!$J$479&amp;""</f>
        <v/>
      </c>
      <c r="EZ4" s="155">
        <f>'INVOCAÇÕES'!$J$480&amp;""</f>
        <v/>
      </c>
      <c r="FA4" s="155">
        <f>'INVOCAÇÕES'!$J$481&amp;""</f>
        <v/>
      </c>
      <c r="FB4" s="155">
        <f>'INVOCAÇÕES'!$J$482&amp;""</f>
        <v/>
      </c>
      <c r="FC4" s="155">
        <f>'INVOCAÇÕES'!$J$483&amp;""</f>
        <v/>
      </c>
      <c r="FD4" s="155">
        <f>'INVOCAÇÕES'!$J$578&amp;""</f>
        <v/>
      </c>
      <c r="FE4" s="155">
        <f>'INVOCAÇÕES'!$J$579&amp;""</f>
        <v/>
      </c>
      <c r="FF4" s="155">
        <f>'INVOCAÇÕES'!$J$580&amp;""</f>
        <v/>
      </c>
      <c r="FG4" s="155">
        <f>MAX(3,MIN(7,N('INVOCAÇÕES'!$I$585)))</f>
        <v/>
      </c>
      <c r="FH4" s="155">
        <f>MAX(3,MIN(7,N('INVOCAÇÕES'!$O$585)))</f>
        <v/>
      </c>
      <c r="FI4" s="155">
        <f>MAX(3,MIN(7,N('INVOCAÇÕES'!$U$585)))</f>
        <v/>
      </c>
      <c r="FJ4" s="155">
        <f>'INVOCAÇÕES'!$O$599&amp;""</f>
        <v/>
      </c>
      <c r="FK4" s="155">
        <f>IF($DC4&lt;&gt;"",1,0)</f>
        <v/>
      </c>
      <c r="FL4" s="155">
        <f>IFERROR(VLOOKUP($DE4,$BP$2:$BQ$5,2,FALSE),1)</f>
        <v/>
      </c>
      <c r="FM4" s="155">
        <f>IF($FL4=1,$CZ$2,MAX(1,MIN($CZ$2,IF($DF4=0,$CZ$2,$DF4))))</f>
        <v/>
      </c>
      <c r="FN4" s="155">
        <f>VLOOKUP(MAX(1,$FM4),$A$2:$D$8,2,TRUE)</f>
        <v/>
      </c>
      <c r="FO4" s="155">
        <f>VLOOKUP(MAX(1,$FM4),$A$2:$D$8,3,TRUE)</f>
        <v/>
      </c>
      <c r="FP4" s="155">
        <f>$DH4+$DM4</f>
        <v/>
      </c>
      <c r="FQ4" s="155">
        <f>$DI4+$DN4</f>
        <v/>
      </c>
      <c r="FR4" s="155">
        <f>$DJ4+$DO4</f>
        <v/>
      </c>
      <c r="FS4" s="155">
        <f>$DK4+$DP4</f>
        <v/>
      </c>
      <c r="FT4" s="155">
        <f>$DL4+$DQ4</f>
        <v/>
      </c>
      <c r="FU4" s="155">
        <f>SUM($DH4:$DL4)</f>
        <v/>
      </c>
      <c r="FV4" s="155">
        <f>9+$FW4</f>
        <v/>
      </c>
      <c r="FW4" s="155">
        <f>COUNTIF($F$2:$F$8,"&lt;="&amp;$FM4)</f>
        <v/>
      </c>
      <c r="FX4" s="155">
        <f>MAX(0,$DH4-3)+MAX(0,$DI4-3)+MAX(0,$DJ4-3)+MAX(0,$DK4-3)+MAX(0,$DL4-3)</f>
        <v/>
      </c>
      <c r="FY4" s="155">
        <f>IFERROR(INDEX($FP4:$FT4,1,MATCH($DR4,$BU$2:$BU$6,0)),"")</f>
        <v/>
      </c>
      <c r="FZ4" s="155">
        <f>IF($FY4="","",$FY4+$CZ$3+$DU4)</f>
        <v/>
      </c>
      <c r="GA4" s="155">
        <f>IF($FY4="","",8+$FY4+$CZ$3+$DV4)</f>
        <v/>
      </c>
      <c r="GB4" s="155">
        <f>10+$FQ4+$CZ$7+$DW4</f>
        <v/>
      </c>
      <c r="GC4" s="155">
        <f>IF($DD4="Corpo amaldiçoado de criação",1,0)</f>
        <v/>
      </c>
      <c r="GD4" s="155">
        <f>5+$FR4+(3+$GC4+$FR4)*($FM4-1)+$DX4</f>
        <v/>
      </c>
      <c r="GE4" s="155">
        <f>IF($FK4=0,"",$GD4)</f>
        <v/>
      </c>
      <c r="GF4" s="155">
        <f>IF($ED4="",$GD4,MAX(0,MIN(IFERROR(VALUE($ED4),$GD4),$GD4)))</f>
        <v/>
      </c>
      <c r="GG4" s="155">
        <f>IF(AND($FK4=1,$EH4&lt;&gt;"Sem alma"),MAX(1,INT($GD4/2)),"")</f>
        <v/>
      </c>
      <c r="GH4" s="155">
        <f>$GG4</f>
        <v/>
      </c>
      <c r="GI4" s="155">
        <f>IF($GG4="","",IF($EI4="",$GG4,MAX(0,MIN(IFERROR(VALUE($EI4),$GG4),$GG4))))</f>
        <v/>
      </c>
      <c r="GJ4" s="155">
        <f>IF($FK4=0,"",IF($GG4="","—",$GG4))</f>
        <v/>
      </c>
      <c r="GK4" s="155">
        <f>IF($FK4=0,"",IF($GG4="","Sem alma · imune a dano de Alma",IF($GI4&lt;=0,"Estágio 4 · caída, como a zero de vida",IF($GI4&lt;=$GG4/4,"Estágio 3 · desvantagem em ataques e TRs, Classe pela metade",IF($GI4&lt;=$GG4/2,"Estágio 2 · metade do deslocamento, +1 PE por Classe",IF($GI4&lt;=$GG4*3/4,"Estágio 1 · desvantagem em perícias","Alma inteira"))))))</f>
        <v/>
      </c>
      <c r="GL4" s="155">
        <f>9+$DY4</f>
        <v/>
      </c>
      <c r="GM4" s="155">
        <f>IF($DS4="Destreza",$FQ4,$FP4)</f>
        <v/>
      </c>
      <c r="GN4" s="155">
        <f>$GM4+IF($DT4="Físico",$CZ$3,0)+$DZ4</f>
        <v/>
      </c>
      <c r="GO4" s="155">
        <f>$FR4+IF($DT4="Vigor",$CZ$3,0)+$EA4</f>
        <v/>
      </c>
      <c r="GP4" s="155">
        <f>$FS4+IF($DT4="Intelecto",$CZ$3,0)+$EB4</f>
        <v/>
      </c>
      <c r="GQ4" s="155">
        <f>$FT4+IF($DT4="Espírito",$CZ$3,0)+$EC4</f>
        <v/>
      </c>
      <c r="GR4" s="155">
        <f>4+INT($DK4/2)</f>
        <v/>
      </c>
      <c r="GS4" s="155">
        <f>COUNTIF($EO4:$EU4,"?*")</f>
        <v/>
      </c>
      <c r="GT4" s="155">
        <f>INT((2+$FM4/2)/2)</f>
        <v/>
      </c>
      <c r="GU4" s="155">
        <f>IF($FM4&gt;=11,2,1)</f>
        <v/>
      </c>
      <c r="GV4" s="155">
        <f>1+$FW4</f>
        <v/>
      </c>
      <c r="GW4" s="155">
        <f>COUNTIF($EV4:$FC4,"?*")</f>
        <v/>
      </c>
      <c r="GX4" s="155">
        <f>IF(AND($DD4="Shikigami de criação",$DG4="Com carga"),MAX(1,CEILING($FN4/2,1)),$FN4)</f>
        <v/>
      </c>
      <c r="GY4" s="155">
        <f>$FN4+$GX4</f>
        <v/>
      </c>
      <c r="GZ4" s="155">
        <f>$FM4*(1+INT($DL4/3))</f>
        <v/>
      </c>
      <c r="HA4" s="155">
        <f>5+$FP4</f>
        <v/>
      </c>
      <c r="HB4" s="155">
        <f>COUNTIF($EJ4:$EN4,"?*")</f>
        <v/>
      </c>
      <c r="HC4" s="155">
        <f>IF($EJ4="",0,IF(COUNTIF($EJ4:$EN4,$EJ4)&gt;1,1,0))+IF($EK4="",0,IF(COUNTIF($EJ4:$EN4,$EK4)&gt;1,1,0))+IF($EL4="",0,IF(COUNTIF($EJ4:$EN4,$EL4)&gt;1,1,0))+IF($EM4="",0,IF(COUNTIF($EJ4:$EN4,$EM4)&gt;1,1,0))+IF($EN4="",0,IF(COUNTIF($EJ4:$EN4,$EN4)&gt;1,1,0))</f>
        <v/>
      </c>
      <c r="HD4" s="155">
        <f>$CZ$11</f>
        <v/>
      </c>
      <c r="HE4" s="155">
        <f>IF($FK4=0,"INVOCAÇÃO 3 · lugar vazio",$DC4&amp;" · "&amp;$DD4&amp;" · nível "&amp;$FM4&amp;" · vida "&amp;$GF4&amp;" de "&amp;$GD4)</f>
        <v/>
      </c>
      <c r="HF4" s="155">
        <f>IF($FK4=0,"VAZIA",UPPER($DC4))</f>
        <v/>
      </c>
      <c r="HG4" s="155">
        <f>IF($CZ$3&gt;=0,"+","−")&amp;ABS($CZ$3)</f>
        <v/>
      </c>
      <c r="HH4" s="155">
        <f>$GX4&amp;" PE"</f>
        <v/>
      </c>
      <c r="HI4" s="155">
        <f>$GY4&amp;" PE"</f>
        <v/>
      </c>
      <c r="HJ4" s="155">
        <f>IF(OR($FU4&gt;$FV4,$FX4&gt;$FW4),"⚠ ",IF(AND($FK4=1,$FU4&lt;$FV4),"! ",""))&amp;"ATRIBUTOS · "&amp;$FU4&amp;" DE "&amp;$FV4&amp;" PONTOS"&amp;IF($FX4&gt;$FW4," · ACIMA DE 3 SÓ COM MARCO","")</f>
        <v/>
      </c>
      <c r="HK4" s="155">
        <f>IF($FZ4="","",IF($FZ4&gt;=0,"+","−")&amp;ABS($FZ4))</f>
        <v/>
      </c>
      <c r="HL4" s="155">
        <f>IF($GA4="","",$GA4)</f>
        <v/>
      </c>
      <c r="HM4" s="155">
        <f>SUBSTITUTE($GL4&amp;" m",".",",")</f>
        <v/>
      </c>
      <c r="HN4" s="155">
        <f>IF($GN4&gt;=0,"+","−")&amp;ABS($GN4)</f>
        <v/>
      </c>
      <c r="HO4" s="155">
        <f>IF($GO4&gt;=0,"+","−")&amp;ABS($GO4)</f>
        <v/>
      </c>
      <c r="HP4" s="155">
        <f>IF($GP4&gt;=0,"+","−")&amp;ABS($GP4)</f>
        <v/>
      </c>
      <c r="HQ4" s="155">
        <f>IF($GQ4&gt;=0,"+","−")&amp;ABS($GQ4)</f>
        <v/>
      </c>
      <c r="HR4" s="155">
        <f>IF($GS4&gt;$GR4,"⚠ ","")&amp;"PERÍCIAS · "&amp;$GS4&amp;" DE "&amp;$GR4</f>
        <v/>
      </c>
      <c r="HS4" s="155">
        <f>IF($EO4="","",IFERROR(IF((INDEX($FP4:$FT4,1,MATCH(VLOOKUP($EO4,$CC$2:$CD$24,2,FALSE),$BU$2:$BU$6,0))+$CZ$3)&gt;=0,"+","−")&amp;ABS((INDEX($FP4:$FT4,1,MATCH(VLOOKUP($EO4,$CC$2:$CD$24,2,FALSE),$BU$2:$BU$6,0))+$CZ$3)),""))</f>
        <v/>
      </c>
      <c r="HT4" s="155">
        <f>IF($EP4="","",IFERROR(IF((INDEX($FP4:$FT4,1,MATCH(VLOOKUP($EP4,$CC$2:$CD$24,2,FALSE),$BU$2:$BU$6,0))+$CZ$3)&gt;=0,"+","−")&amp;ABS((INDEX($FP4:$FT4,1,MATCH(VLOOKUP($EP4,$CC$2:$CD$24,2,FALSE),$BU$2:$BU$6,0))+$CZ$3)),""))</f>
        <v/>
      </c>
      <c r="HU4" s="155">
        <f>IF($EQ4="","",IFERROR(IF((INDEX($FP4:$FT4,1,MATCH(VLOOKUP($EQ4,$CC$2:$CD$24,2,FALSE),$BU$2:$BU$6,0))+$CZ$3)&gt;=0,"+","−")&amp;ABS((INDEX($FP4:$FT4,1,MATCH(VLOOKUP($EQ4,$CC$2:$CD$24,2,FALSE),$BU$2:$BU$6,0))+$CZ$3)),""))</f>
        <v/>
      </c>
      <c r="HV4" s="155">
        <f>IF($ER4="","",IFERROR(IF((INDEX($FP4:$FT4,1,MATCH(VLOOKUP($ER4,$CC$2:$CD$24,2,FALSE),$BU$2:$BU$6,0))+$CZ$3)&gt;=0,"+","−")&amp;ABS((INDEX($FP4:$FT4,1,MATCH(VLOOKUP($ER4,$CC$2:$CD$24,2,FALSE),$BU$2:$BU$6,0))+$CZ$3)),""))</f>
        <v/>
      </c>
      <c r="HW4" s="155">
        <f>IF($ES4="","",IFERROR(IF((INDEX($FP4:$FT4,1,MATCH(VLOOKUP($ES4,$CC$2:$CD$24,2,FALSE),$BU$2:$BU$6,0))+$CZ$3)&gt;=0,"+","−")&amp;ABS((INDEX($FP4:$FT4,1,MATCH(VLOOKUP($ES4,$CC$2:$CD$24,2,FALSE),$BU$2:$BU$6,0))+$CZ$3)),""))</f>
        <v/>
      </c>
      <c r="HX4" s="155">
        <f>IF($ET4="","",IFERROR(IF((INDEX($FP4:$FT4,1,MATCH(VLOOKUP($ET4,$CC$2:$CD$24,2,FALSE),$BU$2:$BU$6,0))+$CZ$3)&gt;=0,"+","−")&amp;ABS((INDEX($FP4:$FT4,1,MATCH(VLOOKUP($ET4,$CC$2:$CD$24,2,FALSE),$BU$2:$BU$6,0))+$CZ$3)),""))</f>
        <v/>
      </c>
      <c r="HY4" s="155">
        <f>IF($EU4="","",IFERROR(IF((INDEX($FP4:$FT4,1,MATCH(VLOOKUP($EU4,$CC$2:$CD$24,2,FALSE),$BU$2:$BU$6,0))+$CZ$3)&gt;=0,"+","−")&amp;ABS((INDEX($FP4:$FT4,1,MATCH(VLOOKUP($EU4,$CC$2:$CD$24,2,FALSE),$BU$2:$BU$6,0))+$CZ$3)),""))</f>
        <v/>
      </c>
      <c r="HZ4" s="155">
        <f>IF($DD4="Maldição domada","RESERVA · MÁX. "&amp;$GZ4,"RESERVA DE PE")</f>
        <v/>
      </c>
      <c r="IA4" s="155">
        <f>IF($EG4&gt;$HA4,"⚠ ","")&amp;"EQUIPAMENTO · "&amp;$EG4&amp;" DE "&amp;$HA4&amp;" DE VOLUME"&amp;IF($EG4&gt;$HA4," · PASSOU DO LIMITE","")</f>
        <v/>
      </c>
      <c r="IB4" s="155">
        <f>IF(OR($HC4&gt;0,$HB4&gt;$HD4),"⚠ ","")&amp;"FAMÍLIAS · "&amp;$HB4&amp;" ABERTAS"&amp;IF($HC4&gt;0," · REPETIDA","")&amp;IF($HB4&gt;$HD4," · O LIMITE É "&amp;$HD4,"")</f>
        <v/>
      </c>
      <c r="IC4" s="155">
        <f>"HABILIDADES · básica de "&amp;$FO4&amp;"d6 · "&amp;$GT4&amp;IF($GT4&gt;1," espaços"," espaço")&amp;" de especial até a Classe "&amp;$FN4&amp;" · "&amp;$GV4&amp;IF($GV4&gt;1," talentos"," talento")</f>
        <v/>
      </c>
      <c r="ID4" s="155">
        <f>IF($GW4&gt;$GV4,"⚠ ","")&amp;"TALENTOS · "&amp;$GW4&amp;" DE "&amp;$GV4</f>
        <v/>
      </c>
      <c r="IE4" s="155">
        <f>IFERROR(VLOOKUP($EV4,$BI$2:$BL$15,2,FALSE),0)</f>
        <v/>
      </c>
      <c r="IF4" s="155">
        <f>IFERROR(VLOOKUP($EW4,$BI$2:$BL$15,2,FALSE),0)</f>
        <v/>
      </c>
      <c r="IG4" s="155">
        <f>IFERROR(VLOOKUP($EX4,$BI$2:$BL$15,2,FALSE),0)</f>
        <v/>
      </c>
      <c r="IH4" s="155">
        <f>IFERROR(VLOOKUP($EY4,$BI$2:$BL$15,2,FALSE),0)</f>
        <v/>
      </c>
      <c r="II4" s="155">
        <f>IFERROR(VLOOKUP($EZ4,$BI$2:$BL$15,2,FALSE),0)</f>
        <v/>
      </c>
      <c r="IJ4" s="155">
        <f>IFERROR(VLOOKUP($FA4,$BI$2:$BL$15,2,FALSE),0)</f>
        <v/>
      </c>
      <c r="IK4" s="155">
        <f>IFERROR(VLOOKUP($FB4,$BI$2:$BL$15,2,FALSE),0)</f>
        <v/>
      </c>
      <c r="IL4" s="155">
        <f>IFERROR(VLOOKUP($FC4,$BI$2:$BL$15,2,FALSE),0)</f>
        <v/>
      </c>
      <c r="IM4" s="155">
        <f>IF($EV4="","",IF(1&gt;$FM4,"⚠ Este talento abre no nível 1",IF($IE4&gt;1,"⚠ Categoria "&amp;$IE4&amp;": este ganho vai até a 1 · ","")&amp;IFERROR(VLOOKUP($EV4,$BI$2:$BL$15,3,FALSE),"")))</f>
        <v/>
      </c>
      <c r="IN4" s="155">
        <f>IF($EW4="","",IF(6&gt;$FM4,"⚠ Este talento abre no nível 6",IF($IF4&gt;1,"⚠ Categoria "&amp;$IF4&amp;": este ganho vai até a 1 · ","")&amp;IFERROR(VLOOKUP($EW4,$BI$2:$BL$15,3,FALSE),"")))</f>
        <v/>
      </c>
      <c r="IO4" s="155">
        <f>IF($EX4="","",IF(10&gt;$FM4,"⚠ Este talento abre no nível 10",IF($IG4&gt;2,"⚠ Categoria "&amp;$IG4&amp;": este ganho vai até a 2 · ","")&amp;IFERROR(VLOOKUP($EX4,$BI$2:$BL$15,3,FALSE),"")))</f>
        <v/>
      </c>
      <c r="IP4" s="155">
        <f>IF($EY4="","",IF(14&gt;$FM4,"⚠ Este talento abre no nível 14",IF($IH4&gt;3,"⚠ Categoria "&amp;$IH4&amp;": este ganho vai até a 3 · ","")&amp;IFERROR(VLOOKUP($EY4,$BI$2:$BL$15,3,FALSE),"")))</f>
        <v/>
      </c>
      <c r="IQ4" s="155">
        <f>IF($EZ4="","",IF(18&gt;$FM4,"⚠ Este talento abre no nível 18",IF($II4&gt;3,"⚠ Categoria "&amp;$II4&amp;": este ganho vai até a 3 · ","")&amp;IFERROR(VLOOKUP($EZ4,$BI$2:$BL$15,3,FALSE),"")))</f>
        <v/>
      </c>
      <c r="IR4" s="155">
        <f>IF($FA4="","",IF(22&gt;$FM4,"⚠ Este talento abre no nível 22",IF($IJ4&gt;3,"⚠ Categoria "&amp;$IJ4&amp;": este ganho vai até a 3 · ","")&amp;IFERROR(VLOOKUP($FA4,$BI$2:$BL$15,3,FALSE),"")))</f>
        <v/>
      </c>
      <c r="IS4" s="155">
        <f>IF($FB4="","",IF(26&gt;$FM4,"⚠ Este talento abre no nível 26",IF($IK4&gt;3,"⚠ Categoria "&amp;$IK4&amp;": este ganho vai até a 3 · ","")&amp;IFERROR(VLOOKUP($FB4,$BI$2:$BL$15,3,FALSE),"")))</f>
        <v/>
      </c>
      <c r="IT4" s="155">
        <f>IF($FC4="","",IF(30&gt;$FM4,"⚠ Este talento abre no nível 30",IF($IL4&gt;3,"⚠ Categoria "&amp;$IL4&amp;": este ganho vai até a 3 · ","")&amp;IFERROR(VLOOKUP($FC4,$BI$2:$BL$15,3,FALSE),"")))</f>
        <v/>
      </c>
      <c r="IU4" s="155">
        <f>IF($FD4="","",IFERROR(VLOOKUP($FD4,$BI$2:$BL$15,3,FALSE),""))</f>
        <v/>
      </c>
      <c r="IV4" s="155">
        <f>IF($FE4="","",IFERROR(VLOOKUP($FE4,$BI$2:$BL$15,3,FALSE),""))</f>
        <v/>
      </c>
      <c r="IW4" s="155">
        <f>IF($FF4="","",IFERROR(VLOOKUP($FF4,$BI$2:$BL$15,3,FALSE),""))</f>
        <v/>
      </c>
      <c r="IX4" s="155">
        <f>CEILING(4.5*$FG4,1)&amp;" PE"</f>
        <v/>
      </c>
      <c r="IY4" s="155">
        <f>CEILING(4.5*$FH4,1)&amp;" PE"</f>
        <v/>
      </c>
      <c r="IZ4" s="155">
        <f>CEILING(4.5*$FI4,1)&amp;" PE"</f>
        <v/>
      </c>
      <c r="JA4" s="155">
        <f>INDEX($P$2:$P$8,$FG4)&amp;" pontos + "&amp;$FG4&amp;"d8"</f>
        <v/>
      </c>
      <c r="JB4" s="155">
        <f>INDEX($P$2:$P$8,$FH4)&amp;" pontos + "&amp;$FH4&amp;"d8"</f>
        <v/>
      </c>
      <c r="JC4" s="155">
        <f>INDEX($P$2:$P$8,$FI4)&amp;" pontos + "&amp;$FI4&amp;"d8"</f>
        <v/>
      </c>
      <c r="JD4" s="155">
        <f>IF($FM4&lt;17,"—",VLOOKUP($FM4,$CN$2:$CQ$4,4,TRUE)&amp;" PE")</f>
        <v/>
      </c>
      <c r="JE4" s="155">
        <f>IF($FM4&lt;17,"Abre no nível 17",VLOOKUP($FM4,$CN$2:$CQ$4,2,TRUE)&amp;" fixos · "&amp;VLOOKUP($FM4,$CN$2:$CQ$4,3,TRUE)&amp;" pontos")</f>
        <v/>
      </c>
      <c r="JF4" s="155">
        <f>IF($FJ4="Sem Barreiras",7,6)*$FN4&amp;" PE"</f>
        <v/>
      </c>
      <c r="JG4" s="155">
        <f>"Acerto "&amp;$FN4&amp;"d8"</f>
        <v/>
      </c>
      <c r="JH4" s="155">
        <f>IFERROR(VLOOKUP($FJ4,$CS$2:$CU$4,3,FALSE),"Escolha o degrau")</f>
        <v/>
      </c>
      <c r="JI4" s="155">
        <f>3&amp;" · "&amp;IF($FK4=0,"vazia",$DC4&amp;" · nv "&amp;$FM4&amp;" · "&amp;$GF4&amp;"/"&amp;$GD4)</f>
        <v/>
      </c>
      <c r="JM4" s="153" t="inlineStr">
        <is>
          <t>Invocação 3</t>
        </is>
      </c>
      <c r="JN4" s="155">
        <f>ADDRESS(ROW('INVOCAÇÕES'!D23),COLUMN('INVOCAÇÕES'!D23),4)</f>
        <v/>
      </c>
      <c r="JO4" s="155">
        <f>ADDRESS(ROW('INVOCAÇÕES'!H405),COLUMN('INVOCAÇÕES'!H405),4)</f>
        <v/>
      </c>
      <c r="JP4" s="153" t="inlineStr">
        <is>
          <t>DADOS_INVOC!$JI$4</t>
        </is>
      </c>
      <c r="JR4" s="155">
        <f>IF(OR($AW4="",COUNTIF($EJ$2:$EN$2,$AW4)&gt;0),$AV4,"")</f>
        <v/>
      </c>
      <c r="JS4" s="155">
        <f>IF(AND($AX4=1,OR($AW4="",COUNTIF($EJ$2:$EN$2,$AW4)&gt;0)),$AV4,"")</f>
        <v/>
      </c>
      <c r="JU4" s="155">
        <f>IF(OR($W4="",COUNTIF($EJ$2:$EN$2,$W4)&gt;0),$V4,"")</f>
        <v/>
      </c>
      <c r="JV4" s="155">
        <f>IF(AND($AF4=1,OR($W4="",COUNTIF($EJ$2:$EN$2,$W4)&gt;0)),$V4,"")</f>
        <v/>
      </c>
      <c r="JX4" s="155">
        <f>IF(OR($AW4="",COUNTIF($EJ$3:$EN$3,$AW4)&gt;0),$AV4,"")</f>
        <v/>
      </c>
      <c r="JY4" s="155">
        <f>IF(AND($AX4=1,OR($AW4="",COUNTIF($EJ$3:$EN$3,$AW4)&gt;0)),$AV4,"")</f>
        <v/>
      </c>
      <c r="KA4" s="155">
        <f>IF(OR($W4="",COUNTIF($EJ$3:$EN$3,$W4)&gt;0),$V4,"")</f>
        <v/>
      </c>
      <c r="KB4" s="155">
        <f>IF(AND($AF4=1,OR($W4="",COUNTIF($EJ$3:$EN$3,$W4)&gt;0)),$V4,"")</f>
        <v/>
      </c>
      <c r="KD4" s="155">
        <f>IF(OR($AW4="",COUNTIF($EJ$4:$EN$4,$AW4)&gt;0),$AV4,"")</f>
        <v/>
      </c>
      <c r="KE4" s="155">
        <f>IF(AND($AX4=1,OR($AW4="",COUNTIF($EJ$4:$EN$4,$AW4)&gt;0)),$AV4,"")</f>
        <v/>
      </c>
      <c r="KG4" s="155">
        <f>IF(OR($W4="",COUNTIF($EJ$4:$EN$4,$W4)&gt;0),$V4,"")</f>
        <v/>
      </c>
      <c r="KH4" s="155">
        <f>IF(AND($AF4=1,OR($W4="",COUNTIF($EJ$4:$EN$4,$W4)&gt;0)),$V4,"")</f>
        <v/>
      </c>
      <c r="KJ4" s="155">
        <f>IF(OR($AW4="",COUNTIF($EJ$5:$EN$5,$AW4)&gt;0),$AV4,"")</f>
        <v/>
      </c>
      <c r="KK4" s="155">
        <f>IF(AND($AX4=1,OR($AW4="",COUNTIF($EJ$5:$EN$5,$AW4)&gt;0)),$AV4,"")</f>
        <v/>
      </c>
      <c r="KM4" s="155">
        <f>IF(OR($W4="",COUNTIF($EJ$5:$EN$5,$W4)&gt;0),$V4,"")</f>
        <v/>
      </c>
      <c r="KN4" s="155">
        <f>IF(AND($AF4=1,OR($W4="",COUNTIF($EJ$5:$EN$5,$W4)&gt;0)),$V4,"")</f>
        <v/>
      </c>
      <c r="KP4" s="155">
        <f>IF(OR($AW4="",COUNTIF($EJ$6:$EN$6,$AW4)&gt;0),$AV4,"")</f>
        <v/>
      </c>
      <c r="KQ4" s="155">
        <f>IF(AND($AX4=1,OR($AW4="",COUNTIF($EJ$6:$EN$6,$AW4)&gt;0)),$AV4,"")</f>
        <v/>
      </c>
      <c r="KS4" s="155">
        <f>IF(OR($W4="",COUNTIF($EJ$6:$EN$6,$W4)&gt;0),$V4,"")</f>
        <v/>
      </c>
      <c r="KT4" s="155">
        <f>IF(AND($AF4=1,OR($W4="",COUNTIF($EJ$6:$EN$6,$W4)&gt;0)),$V4,"")</f>
        <v/>
      </c>
      <c r="KV4" s="155">
        <f>IF(OR($AW4="",COUNTIF($EJ$7:$EN$7,$AW4)&gt;0),$AV4,"")</f>
        <v/>
      </c>
      <c r="KW4" s="155">
        <f>IF(AND($AX4=1,OR($AW4="",COUNTIF($EJ$7:$EN$7,$AW4)&gt;0)),$AV4,"")</f>
        <v/>
      </c>
      <c r="KY4" s="155">
        <f>IF(OR($W4="",COUNTIF($EJ$7:$EN$7,$W4)&gt;0),$V4,"")</f>
        <v/>
      </c>
      <c r="KZ4" s="155">
        <f>IF(AND($AF4=1,OR($W4="",COUNTIF($EJ$7:$EN$7,$W4)&gt;0)),$V4,"")</f>
        <v/>
      </c>
      <c r="LB4" s="155">
        <f>IF(OR($AW4="",COUNTIF($EJ$8:$EN$8,$AW4)&gt;0),$AV4,"")</f>
        <v/>
      </c>
      <c r="LC4" s="155">
        <f>IF(AND($AX4=1,OR($AW4="",COUNTIF($EJ$8:$EN$8,$AW4)&gt;0)),$AV4,"")</f>
        <v/>
      </c>
      <c r="LE4" s="155">
        <f>IF(OR($W4="",COUNTIF($EJ$8:$EN$8,$W4)&gt;0),$V4,"")</f>
        <v/>
      </c>
      <c r="LF4" s="155">
        <f>IF(AND($AF4=1,OR($W4="",COUNTIF($EJ$8:$EN$8,$W4)&gt;0)),$V4,"")</f>
        <v/>
      </c>
      <c r="LH4" s="155">
        <f>IF(OR($AW4="",COUNTIF($EJ$9:$EN$9,$AW4)&gt;0),$AV4,"")</f>
        <v/>
      </c>
      <c r="LI4" s="155">
        <f>IF(AND($AX4=1,OR($AW4="",COUNTIF($EJ$9:$EN$9,$AW4)&gt;0)),$AV4,"")</f>
        <v/>
      </c>
      <c r="LK4" s="155">
        <f>IF(OR($W4="",COUNTIF($EJ$9:$EN$9,$W4)&gt;0),$V4,"")</f>
        <v/>
      </c>
      <c r="LL4" s="155">
        <f>IF(AND($AF4=1,OR($W4="",COUNTIF($EJ$9:$EN$9,$W4)&gt;0)),$V4,"")</f>
        <v/>
      </c>
      <c r="LN4" s="155">
        <f>IF(OR($AW4="",COUNTIF($EJ$10:$EN$10,$AW4)&gt;0),$AV4,"")</f>
        <v/>
      </c>
      <c r="LO4" s="155">
        <f>IF(AND($AX4=1,OR($AW4="",COUNTIF($EJ$10:$EN$10,$AW4)&gt;0)),$AV4,"")</f>
        <v/>
      </c>
      <c r="LQ4" s="155">
        <f>IF(OR($W4="",COUNTIF($EJ$10:$EN$10,$W4)&gt;0),$V4,"")</f>
        <v/>
      </c>
      <c r="LR4" s="155">
        <f>IF(AND($AF4=1,OR($W4="",COUNTIF($EJ$10:$EN$10,$W4)&gt;0)),$V4,"")</f>
        <v/>
      </c>
      <c r="LT4" s="155">
        <f>IF(OR($AW4="",COUNTIF($EJ$11:$EN$11,$AW4)&gt;0),$AV4,"")</f>
        <v/>
      </c>
      <c r="LU4" s="155">
        <f>IF(AND($AX4=1,OR($AW4="",COUNTIF($EJ$11:$EN$11,$AW4)&gt;0)),$AV4,"")</f>
        <v/>
      </c>
      <c r="LW4" s="155">
        <f>IF(OR($W4="",COUNTIF($EJ$11:$EN$11,$W4)&gt;0),$V4,"")</f>
        <v/>
      </c>
      <c r="LX4" s="155">
        <f>IF(AND($AF4=1,OR($W4="",COUNTIF($EJ$11:$EN$11,$W4)&gt;0)),$V4,"")</f>
        <v/>
      </c>
      <c r="LZ4" s="155">
        <f>IF(OR($AW4="",COUNTIF($EJ$12:$EN$12,$AW4)&gt;0),$AV4,"")</f>
        <v/>
      </c>
      <c r="MA4" s="155">
        <f>IF(AND($AX4=1,OR($AW4="",COUNTIF($EJ$12:$EN$12,$AW4)&gt;0)),$AV4,"")</f>
        <v/>
      </c>
      <c r="MC4" s="155">
        <f>IF(OR($W4="",COUNTIF($EJ$12:$EN$12,$W4)&gt;0),$V4,"")</f>
        <v/>
      </c>
      <c r="MD4" s="155">
        <f>IF(AND($AF4=1,OR($W4="",COUNTIF($EJ$12:$EN$12,$W4)&gt;0)),$V4,"")</f>
        <v/>
      </c>
      <c r="MF4" s="155">
        <f>IF(OR($AW4="",COUNTIF($EJ$13:$EN$13,$AW4)&gt;0),$AV4,"")</f>
        <v/>
      </c>
      <c r="MG4" s="155">
        <f>IF(AND($AX4=1,OR($AW4="",COUNTIF($EJ$13:$EN$13,$AW4)&gt;0)),$AV4,"")</f>
        <v/>
      </c>
      <c r="MI4" s="155">
        <f>IF(OR($W4="",COUNTIF($EJ$13:$EN$13,$W4)&gt;0),$V4,"")</f>
        <v/>
      </c>
      <c r="MJ4" s="155">
        <f>IF(AND($AF4=1,OR($W4="",COUNTIF($EJ$13:$EN$13,$W4)&gt;0)),$V4,"")</f>
        <v/>
      </c>
      <c r="ML4" s="153" t="inlineStr">
        <is>
          <t>Ficha 1 · Especial 2</t>
        </is>
      </c>
      <c r="MM4" s="155" t="n">
        <v>1</v>
      </c>
      <c r="MN4" s="155" t="n">
        <v>1</v>
      </c>
      <c r="MO4" s="155" t="n">
        <v>4</v>
      </c>
      <c r="MP4" s="153" t="inlineStr">
        <is>
          <t>ESPECIAL 2</t>
        </is>
      </c>
      <c r="MQ4" s="155">
        <f>MAX(1,MIN(7,N('INVOCAÇÕES'!$U$58)))</f>
        <v/>
      </c>
      <c r="MR4" s="155">
        <f>'INVOCAÇÕES'!$V$58&amp;""</f>
        <v/>
      </c>
      <c r="MS4" s="155">
        <f>'INVOCAÇÕES'!$U$63&amp;""</f>
        <v/>
      </c>
      <c r="MT4" s="155">
        <f>'INVOCAÇÕES'!$U$64&amp;""</f>
        <v/>
      </c>
      <c r="MU4" s="155">
        <f>'INVOCAÇÕES'!$W$64&amp;""</f>
        <v/>
      </c>
      <c r="MV4" s="155">
        <f>'INVOCAÇÕES'!$V$67&amp;""</f>
        <v/>
      </c>
      <c r="MW4" s="155">
        <f>'INVOCAÇÕES'!$V$68&amp;""</f>
        <v/>
      </c>
      <c r="MX4" s="155">
        <f>'INVOCAÇÕES'!$V$69&amp;""</f>
        <v/>
      </c>
      <c r="MY4" s="155">
        <f>'INVOCAÇÕES'!$V$70&amp;""</f>
        <v/>
      </c>
      <c r="MZ4" s="155">
        <f>'INVOCAÇÕES'!$V$71&amp;""</f>
        <v/>
      </c>
      <c r="NA4" s="155">
        <f>'INVOCAÇÕES'!$V$72&amp;""</f>
        <v/>
      </c>
      <c r="NB4" s="155">
        <f>IF($MR4&lt;&gt;"",1,0)</f>
        <v/>
      </c>
      <c r="NC4" s="155">
        <f>INDEX($FM$2:$FM$13,$MM4)</f>
        <v/>
      </c>
      <c r="ND4" s="155">
        <f>INDEX($FN$2:$FN$13,$MM4)</f>
        <v/>
      </c>
      <c r="NE4" s="155">
        <f>INDEX($FO$2:$FO$13,$MM4)</f>
        <v/>
      </c>
      <c r="NF4" s="155">
        <f>INDEX($FZ$2:$FZ$13,$MM4)</f>
        <v/>
      </c>
      <c r="NG4" s="155">
        <f>INDEX($GA$2:$GA$13,$MM4)</f>
        <v/>
      </c>
      <c r="NH4" s="155">
        <f>IFERROR(MATCH($MS4,$V$2:$V$11,0),0)</f>
        <v/>
      </c>
      <c r="NI4" s="155">
        <f>IFERROR(VLOOKUP($MV4,$AV$2:$BA$84,2,FALSE),"")</f>
        <v/>
      </c>
      <c r="NJ4" s="155">
        <f>IFERROR(VLOOKUP($MW4,$AV$2:$BA$84,2,FALSE),"")</f>
        <v/>
      </c>
      <c r="NK4" s="155">
        <f>IFERROR(VLOOKUP($MX4,$AV$2:$BA$84,2,FALSE),"")</f>
        <v/>
      </c>
      <c r="NL4" s="155">
        <f>IFERROR(VLOOKUP($MY4,$AV$2:$BA$84,2,FALSE),"")</f>
        <v/>
      </c>
      <c r="NM4" s="155">
        <f>IFERROR(VLOOKUP($MV4,$AV$2:$BA$84,3,FALSE),0)</f>
        <v/>
      </c>
      <c r="NN4" s="155">
        <f>IFERROR(VLOOKUP($MW4,$AV$2:$BA$84,3,FALSE),0)</f>
        <v/>
      </c>
      <c r="NO4" s="155">
        <f>IFERROR(VLOOKUP($MX4,$AV$2:$BA$84,3,FALSE),0)</f>
        <v/>
      </c>
      <c r="NP4" s="155">
        <f>IFERROR(VLOOKUP($MY4,$AV$2:$BA$84,3,FALSE),0)</f>
        <v/>
      </c>
      <c r="NQ4" s="155">
        <f>IF($MQ4=0,0,IF($NH4=0,0,INDEX($X$2:$X$11,$NH4)))</f>
        <v/>
      </c>
      <c r="NR4" s="155">
        <f>IF(OR($NM4=0,$MQ4=0),0,$NM4+3*IF(AND($NI4&lt;&gt;"",OR($NI4=INDEX($EJ$2:$EJ$13,$MM4),$NI4=INDEX($EK$2:$EK$13,$MM4))),1,0))</f>
        <v/>
      </c>
      <c r="NS4" s="155">
        <f>IF(OR($NN4=0,$MQ4=0),0,$NN4+3*IF(AND($NJ4&lt;&gt;"",OR($NJ4=INDEX($EJ$2:$EJ$13,$MM4),$NJ4=INDEX($EK$2:$EK$13,$MM4))),1,0))</f>
        <v/>
      </c>
      <c r="NT4" s="155">
        <f>IF(OR($NO4=0,$MQ4=0),0,$NO4+3*IF(AND($NK4&lt;&gt;"",OR($NK4=INDEX($EJ$2:$EJ$13,$MM4),$NK4=INDEX($EK$2:$EK$13,$MM4))),1,0))</f>
        <v/>
      </c>
      <c r="NU4" s="155">
        <f>IF(OR($NP4=0,$MQ4=0),0,$NP4+3*IF(AND($NL4&lt;&gt;"",OR($NL4=INDEX($EJ$2:$EJ$13,$MM4),$NL4=INDEX($EK$2:$EK$13,$MM4))),1,0))</f>
        <v/>
      </c>
      <c r="NV4" s="155">
        <f>IF($NH4=0,0,IF(INDEX($W$2:$W$11,$NH4)="",0,IF(COUNTIF(INDEX($EJ$2:$EN$13,$MM4,0),INDEX($W$2:$W$11,$NH4))=0,1,0)))</f>
        <v/>
      </c>
      <c r="NW4" s="155">
        <f>IF(OR($NM4=0,$NI4=""),0,IF(COUNTIF(INDEX($EJ$2:$EN$13,$MM4,0),$NI4)=0,1,0))</f>
        <v/>
      </c>
      <c r="NX4" s="155">
        <f>IF(OR($NN4=0,$NJ4=""),0,IF(COUNTIF(INDEX($EJ$2:$EN$13,$MM4,0),$NJ4)=0,1,0))</f>
        <v/>
      </c>
      <c r="NY4" s="155">
        <f>IF(OR($NO4=0,$NK4=""),0,IF(COUNTIF(INDEX($EJ$2:$EN$13,$MM4,0),$NK4)=0,1,0))</f>
        <v/>
      </c>
      <c r="NZ4" s="155">
        <f>IF(OR($NP4=0,$NL4=""),0,IF(COUNTIF(INDEX($EJ$2:$EN$13,$MM4,0),$NL4)=0,1,0))</f>
        <v/>
      </c>
      <c r="OA4" s="155">
        <f>IFERROR(VLOOKUP($MV4,$AV$2:$BA$84,4,FALSE),0)+IFERROR(VLOOKUP($MW4,$AV$2:$BA$84,4,FALSE),0)+IFERROR(VLOOKUP($MX4,$AV$2:$BA$84,4,FALSE),0)+IFERROR(VLOOKUP($MY4,$AV$2:$BA$84,4,FALSE),0)</f>
        <v/>
      </c>
      <c r="OB4" s="155">
        <f>IFERROR(VLOOKUP($MV4,$AV$2:$BA$84,6,FALSE),0)+IFERROR(VLOOKUP($MW4,$AV$2:$BA$84,6,FALSE),0)+IFERROR(VLOOKUP($MX4,$AV$2:$BA$84,6,FALSE),0)+IFERROR(VLOOKUP($MY4,$AV$2:$BA$84,6,FALSE),0)</f>
        <v/>
      </c>
      <c r="OC4" s="155">
        <f>TEXTJOIN(", ",TRUE,IF(IFERROR(VLOOKUP($MV4,$AV$2:$BA$84,5,FALSE),0)=1,$MV4,""),IF(IFERROR(VLOOKUP($MW4,$AV$2:$BA$84,5,FALSE),0)=1,$MW4,""),IF(IFERROR(VLOOKUP($MX4,$AV$2:$BA$84,5,FALSE),0)=1,$MX4,""),IF(IFERROR(VLOOKUP($MY4,$AV$2:$BA$84,5,FALSE),0)=1,$MY4,""))</f>
        <v/>
      </c>
      <c r="OD4" s="155">
        <f>IF($NH4=0,0,INDEX($Y$2:$Y$11,$NH4))</f>
        <v/>
      </c>
      <c r="OE4" s="155">
        <f>IF($NH4=0,0,INDEX($Z$2:$Z$11,$NH4))</f>
        <v/>
      </c>
      <c r="OF4" s="155">
        <f>IF($NH4=0,0,INDEX($AB$2:$AB$11,$NH4))</f>
        <v/>
      </c>
      <c r="OG4" s="155">
        <f>IFERROR(VLOOKUP($MZ4,$BC$2:$BG$24,3,FALSE),0)</f>
        <v/>
      </c>
      <c r="OH4" s="155">
        <f>IFERROR(VLOOKUP($NA4,$BC$2:$BG$24,3,FALSE),0)</f>
        <v/>
      </c>
      <c r="OI4" s="155">
        <f>IFERROR(VLOOKUP($MZ4,$BC$2:$BG$24,2,FALSE),"")</f>
        <v/>
      </c>
      <c r="OJ4" s="155">
        <f>IFERROR(VLOOKUP($NA4,$BC$2:$BG$24,2,FALSE),"")</f>
        <v/>
      </c>
      <c r="OK4" s="155">
        <f>COUNTIF($NQ4:$NU4,1)</f>
        <v/>
      </c>
      <c r="OL4" s="155">
        <f>COUNTIF($NQ4:$NU4,2)</f>
        <v/>
      </c>
      <c r="OM4" s="155">
        <f>COUNTIF($NQ4:$NU4,3)</f>
        <v/>
      </c>
      <c r="ON4" s="155">
        <f>COUNTIF($NQ4:$NU4,4)</f>
        <v/>
      </c>
      <c r="OO4" s="155">
        <f>COUNTIF($NQ4:$NU4,5)</f>
        <v/>
      </c>
      <c r="OP4" s="155">
        <f>COUNTIF($NQ4:$NU4,6)</f>
        <v/>
      </c>
      <c r="OQ4" s="155">
        <f>COUNTIF($OG4:$OH4,1)</f>
        <v/>
      </c>
      <c r="OR4" s="155">
        <f>COUNTIF($OG4:$OH4,2)+$OD4</f>
        <v/>
      </c>
      <c r="OS4" s="155">
        <f>COUNTIF($MV4:$MY4,"?*")</f>
        <v/>
      </c>
      <c r="OT4" s="155">
        <f>COUNTIF($MZ4:$NA4,"?*")+$OD4</f>
        <v/>
      </c>
      <c r="OU4" s="155">
        <f>IF($MQ4=0,0,SUMPRODUCT($OK4:$OP4,INDEX($I$2:$N$8,MAX(1,$MQ4),0)))</f>
        <v/>
      </c>
      <c r="OV4" s="155">
        <f>IF($MQ4=0,0,$OQ4*CEILING($MQ4/2,1)+$OR4*$MQ4)</f>
        <v/>
      </c>
      <c r="OW4" s="155">
        <f>MIN(2*$MQ4,$OV4)</f>
        <v/>
      </c>
      <c r="OX4" s="155">
        <f>MIN($OW4,$OU4)</f>
        <v/>
      </c>
      <c r="OY4" s="155">
        <f>$OW4-$OX4</f>
        <v/>
      </c>
      <c r="OZ4" s="155">
        <f>IF($MQ4=0,0,INDEX($P$2:$P$8,MAX(1,$MQ4)))</f>
        <v/>
      </c>
      <c r="PA4" s="155">
        <f>$OZ4-$OU4+$OX4</f>
        <v/>
      </c>
      <c r="PB4" s="155">
        <f>IF($MQ4=0,MAX(0,$NE4-IF($OS4&gt;0,1,0)),MAX(0,$PA4))</f>
        <v/>
      </c>
      <c r="PC4" s="155">
        <f>IF($MQ4=0,0,(IF(COUNTIF($MV4:$MY4,"Salto")&gt;0,1,0)+IF(COUNTIF($MV4:$MY4,"Queima")&gt;0,1,0)+IF(COUNTIF($MV4:$MY4,"Estilhaço")&gt;0,1,0))*FLOOR($PB4/2,1))</f>
        <v/>
      </c>
      <c r="PD4" s="155">
        <f>MAX(0,2-SUMPRODUCT($OK4:$OP4,$I$2:$N$2)+MIN(2,$OQ4*1+$OR4*1,SUMPRODUCT($OK4:$OP4,$I$2:$N$2)))</f>
        <v/>
      </c>
      <c r="PE4" s="155">
        <f>MAX(0,4-SUMPRODUCT($OK4:$OP4,$I$3:$N$3)+MIN(4,$OQ4*1+$OR4*2,SUMPRODUCT($OK4:$OP4,$I$3:$N$3)))</f>
        <v/>
      </c>
      <c r="PF4" s="155">
        <f>MAX(0,6-SUMPRODUCT($OK4:$OP4,$I$4:$N$4)+MIN(6,$OQ4*2+$OR4*3,SUMPRODUCT($OK4:$OP4,$I$4:$N$4)))</f>
        <v/>
      </c>
      <c r="PG4" s="155">
        <f>MAX(0,9-SUMPRODUCT($OK4:$OP4,$I$5:$N$5)+MIN(8,$OQ4*2+$OR4*4,SUMPRODUCT($OK4:$OP4,$I$5:$N$5)))</f>
        <v/>
      </c>
      <c r="PH4" s="155">
        <f>MAX(0,11-SUMPRODUCT($OK4:$OP4,$I$6:$N$6)+MIN(10,$OQ4*3+$OR4*5,SUMPRODUCT($OK4:$OP4,$I$6:$N$6)))</f>
        <v/>
      </c>
      <c r="PI4" s="155">
        <f>MAX(0,13-SUMPRODUCT($OK4:$OP4,$I$7:$N$7)+MIN(12,$OQ4*3+$OR4*6,SUMPRODUCT($OK4:$OP4,$I$7:$N$7)))</f>
        <v/>
      </c>
      <c r="PJ4" s="155">
        <f>MAX(0,16-SUMPRODUCT($OK4:$OP4,$I$8:$N$8)+MIN(14,$OQ4*4+$OR4*7,SUMPRODUCT($OK4:$OP4,$I$8:$N$8)))</f>
        <v/>
      </c>
      <c r="PK4" s="155">
        <f>IF($OE4=2,3*$PD4&amp;" de vida temp.",IF($OE4=3,"sem dano",IF($PD4=0,IF($OE4=1,"sem cura","sem dano"),IF($OE4=1,"cura ","")&amp;$PD4&amp;"d8")))</f>
        <v/>
      </c>
      <c r="PL4" s="155">
        <f>IF($OE4=2,3*$PE4&amp;" de vida temp.",IF($OE4=3,"sem dano",IF($PE4=0,IF($OE4=1,"sem cura","sem dano"),IF($OE4=1,"cura ","")&amp;$PE4&amp;"d8")))</f>
        <v/>
      </c>
      <c r="PM4" s="155">
        <f>IF($OE4=2,3*$PF4&amp;" de vida temp.",IF($OE4=3,"sem dano",IF($PF4=0,IF($OE4=1,"sem cura","sem dano"),IF($OE4=1,"cura ","")&amp;$PF4&amp;"d8")))</f>
        <v/>
      </c>
      <c r="PN4" s="155">
        <f>IF($OE4=2,3*$PG4&amp;" de vida temp.",IF($OE4=3,"sem dano",IF($PG4=0,IF($OE4=1,"sem cura","sem dano"),IF($OE4=1,"cura ","")&amp;$PG4&amp;"d8")))</f>
        <v/>
      </c>
      <c r="PO4" s="155">
        <f>IF($OE4=2,3*$PH4&amp;" de vida temp.",IF($OE4=3,"sem dano",IF($PH4=0,IF($OE4=1,"sem cura","sem dano"),IF($OE4=1,"cura ","")&amp;$PH4&amp;"d8")))</f>
        <v/>
      </c>
      <c r="PP4" s="155">
        <f>IF($OE4=2,3*$PI4&amp;" de vida temp.",IF($OE4=3,"sem dano",IF($PI4=0,IF($OE4=1,"sem cura","sem dano"),IF($OE4=1,"cura ","")&amp;$PI4&amp;"d8")))</f>
        <v/>
      </c>
      <c r="PQ4" s="155">
        <f>IF($OE4=2,3*$PJ4&amp;" de vida temp.",IF($OE4=3,"sem dano",IF($PJ4=0,IF($OE4=1,"sem cura","sem dano"),IF($OE4=1,"cura ","")&amp;$PJ4&amp;"d8")))</f>
        <v/>
      </c>
      <c r="PR4" s="155">
        <f>IF($NB4=0,"",TEXTJOIN(" · ",TRUE,IF($MO4&gt;$NC4,"Este lugar abre no nível "&amp;$MO4,""),IF($MQ4&gt;$ND4,"Classe "&amp;$MQ4&amp;": o nível "&amp;$NC4&amp;" libera até a "&amp;$ND4,""),IF($NV4=1,"A Forma "&amp;$MS4&amp;" pede "&amp;INDEX($W$2:$W$11,$NH4)&amp;" aberta",""),IF(AND($MQ4=0,$NH4&gt;0,IF($NH4=0,0,INDEX($AF$2:$AF$11,$NH4))=0),$MS4&amp;" não existe na Classe 0",""),IF($NW4=1,"Família Fechada: "&amp;$MV4,""),IF($NX4=1,"Família Fechada: "&amp;$MW4,""),IF($NY4=1,"Família Fechada: "&amp;$MX4,""),IF($NZ4=1,"Família Fechada: "&amp;$MY4,""),IF(AND($MQ4&gt;0,$OS4&gt;INDEX($O$2:$O$8,MAX(1,$MQ4))),$OS4&amp;" Melhorias: a Classe "&amp;$MQ4&amp;" aceita "&amp;INDEX($O$2:$O$8,MAX(1,$MQ4)),""),IF(AND($MQ4=0,$OS4&gt;1),"A básica aceita uma Melhoria",""),IF(AND($MQ4=0,COUNTIF($NM4:$NP4,"&gt;1")&gt;0),"A básica só aceita Melhoria Leve",""),IF(AND($MQ4&gt;0,$OT4&gt;2),$OT4&amp;" Restrições"&amp;IF($OD4=1,", contando a que a Forma "&amp;$MS4&amp;" já traz","")&amp;": o limite é 2",""),IF(AND($MQ4=0,COUNTIF($MZ4:$NA4,"?*")&gt;1),"A básica aceita uma Restrição Leve",""),IF(AND($MQ4=0,COUNTIF($OG4:$OH4,2)&gt;0),"A básica só aceita Restrição Leve",""),IF(AND($MQ4&gt;0,$PA4&lt;0),"Orçamento estourado: faltam "&amp;(-$PA4)&amp;IF($PA4&lt;-1," pontos"," ponto"),""),IF(IFERROR(VLOOKUP($MZ4,$BC$2:$BG$24,4,FALSE),0)+IFERROR(VLOOKUP($NA4,$BC$2:$BG$24,4,FALSE),0)&gt;1,$OI4&amp;" e "&amp;$OJ4&amp;" são as duas de frequência",""),IF(AND((COUNTIF($MV4:$MY4,"Rápido")+COUNTIF($OI4:$OJ4,"Rápido"))&gt;0,(COUNTIF($MV4:$MY4,"Atrasar")+COUNTIF($OI4:$OJ4,"Atrasar"))&gt;0),"Rápido não entra com Atrasar",""),IF(AND((COUNTIF($MV4:$MY4,"Reação")+COUNTIF($OI4:$OJ4,"Reação"))&gt;0,(COUNTIF($MV4:$MY4,"Rápido")+COUNTIF($OI4:$OJ4,"Rápido"))&gt;0),"Reação não entra com Rápido",""),IF(AND((COUNTIF($MV4:$MY4,"Reação")+COUNTIF($OI4:$OJ4,"Reação"))&gt;0,(COUNTIF($MV4:$MY4,"Armado")+COUNTIF($OI4:$OJ4,"Armado"))&gt;0),"Reação não entra com Armado",""),IF(AND((COUNTIF($MV4:$MY4,"Reação")+COUNTIF($OI4:$OJ4,"Reação"))&gt;0,(COUNTIF($MV4:$MY4,"Atrasar")+COUNTIF($OI4:$OJ4,"Atrasar"))&gt;0),"Reação não entra com Atrasar",""),IF(AND((COUNTIF($MV4:$MY4,"Reação")+COUNTIF($OI4:$OJ4,"Reação"))&gt;0,(COUNTIF($MV4:$MY4,"Parado")+COUNTIF($OI4:$OJ4,"Parado"))&gt;0),"Reação não entra com Parado",""),IF(AND((COUNTIF($MV4:$MY4,"Atrasar")+COUNTIF($OI4:$OJ4,"Atrasar"))&gt;0,(COUNTIF($MV4:$MY4,"Parado")+COUNTIF($OI4:$OJ4,"Parado"))&gt;0),"Atrasar não entra com Parado",""),IF(AND((COUNTIF($MV4:$MY4,"Armado")+COUNTIF($OI4:$OJ4,"Armado"))&gt;0,(COUNTIF($MV4:$MY4,"Carregar")+COUNTIF($OI4:$OJ4,"Carregar"))&gt;0),"Armado não entra com Carregar",""),IF(AND(COUNTIF($OI4:$OJ4,"Corpo a Corpo")&gt;0,$OD4=0,OR($MS4="Cone",$MS4="Linha")),"Corpo a Corpo não entra em "&amp;$MS4,""),IF(AND(COUNTIF($OI4:$OJ4,"Corpo a Corpo")&gt;0,$OD4=1),"A Forma "&amp;$MS4&amp;" já traz o Corpo a Corpo",""),IF(AND(COUNTIF($OI4:$OJ4,"Tudo ou Nada")&gt;0,$OF4=0),"Tudo ou Nada só entra em habilidade de Teste de Resistência",""),IF(AND(COUNTIF($MV4:$MY4,"Inescapável")&gt;0,OR($OS4&gt;1,$OT4&gt;0)),"Inescapável não aceita outra peça",""),IF(AND($MQ4&gt;0,$PB4*IF(COUNTIF($MV4:$MY4,"Remate")&gt;0,1.25,1)+$PC4&gt;4*$MQ4),($PB4*IF(COUNTIF($MV4:$MY4,"Remate")&gt;0,1.25,1)+$PC4)&amp;" dados somando repetições"&amp;IF(COUNTIF($MV4:$MY4,"Remate")&gt;0," e o Remate","")&amp;": o teto da Classe "&amp;$MQ4&amp;" é "&amp;4*$MQ4,"")))</f>
        <v/>
      </c>
      <c r="PS4" s="155">
        <f>IF($PR4="",0,(LEN($PR4)-LEN(SUBSTITUTE($PR4," · ","")))/3+1)</f>
        <v/>
      </c>
      <c r="PT4" s="155">
        <f>IF($NB4=0,"",TEXTJOIN(" · ",TRUE,IF($OV4&gt;2*$MQ4,"A devolução parou no teto de "&amp;2*$MQ4,""),IF($OY4&gt;0,"Devolução perdida: "&amp;$OY4&amp;IF($OY4&gt;1," pontos"," ponto")&amp;" sem peça para pagar",""),IF(AND($OA4&gt;0,AND($MQ4&gt;0,$OE4=0),$PB4=0),"Controle sem dano: uma rodada a mais e CD +2",""),IF(AND($OA4&gt;0,AND($MQ4&gt;0,$OE4=0),$PB4&gt;0,$PB4&lt;=$MQ4),"Controle com saldo até a Classe: uma rodada a mais",""),IF(AND($MQ4&gt;0,$OC4&lt;&gt;""),"Efeito de "&amp;$OC4&amp;" pela Classe "&amp;MAX(1,$MQ4-1),"")))</f>
        <v/>
      </c>
      <c r="PU4" s="155">
        <f>IF($PT4="",0,(LEN($PT4)-LEN(SUBSTITUTE($PT4," · ","")))/3+1)</f>
        <v/>
      </c>
      <c r="PV4" s="155">
        <f>IF($NB4=0,IF($OS4+COUNTIF($MZ4:$NA4,"?*")&gt;0,"Dê um nome",""),IF($PS4&gt;0,"⚠ "&amp;$PS4&amp;IF($PS4&gt;1," erros"," erro"),IF($PU4&gt;0,"! "&amp;$PU4&amp;IF($PU4&gt;1," avisos"," aviso"),"Na regra")))</f>
        <v/>
      </c>
      <c r="PW4" s="155">
        <f>IF($NB4=0,"",IF($PS4+$PU4=0,"Dentro das regras que a ficha confere",$PR4&amp;IF(AND($PS4&gt;0,$PU4&gt;0)," · ","")&amp;$PT4))</f>
        <v/>
      </c>
      <c r="PX4" s="155">
        <f>IF($MO4&gt;$NC4,$MP4&amp;" · ABRE NO NÍVEL "&amp;$MO4,$MP4)</f>
        <v/>
      </c>
      <c r="PY4" s="155">
        <f>IF($NB4=0,"",IF($MQ4=0,"Sem PE",3*$MQ4&amp;" PE"))</f>
        <v/>
      </c>
      <c r="PZ4" s="155">
        <f>IF($NB4=0,"",IF($MQ4=0,"A atuação básica dela",IF(COUNTIF($OI4:$OJ4,"Atrasar")&gt;0,"Sua Ação Completa",IF(COUNTIF($MV4:$MY4,"Rápido")&gt;0,"Sua Bônus",IF(COUNTIF($MV4:$MY4,"Reação")&gt;0,"Sua Reação","Sua Padrão")))&amp;" + a básica dela"&amp;IF(COUNTIF($MV4:$MY4,"Reação")&gt;0," e a coletiva","")&amp;IF(COUNTIF($OI4:$OJ4,"Carregar")&gt;0," · em dois turnos","")))</f>
        <v/>
      </c>
      <c r="QA4" s="155">
        <f>IF($MU4&lt;&gt;"",$MU4,IF($NH4=0,"",INDEX($AA$2:$AA$11,$NH4)))</f>
        <v/>
      </c>
      <c r="QB4" s="155">
        <f>IF(OR($NB4=0,$NH4=0),"",IF(COUNTIF($MV4:$MY4,"Inescapável")&gt;0,"Automático",IF($QA4="Ataque",IF($NF4="","Ataque","Ataque "&amp;IF(($NF4+2*IF(COUNTIF($MV4:$MY4,"Precisão")&gt;0,1,0))&gt;=0,"+","−")&amp;ABS(($NF4+2*IF(COUNTIF($MV4:$MY4,"Precisão")&gt;0,1,0))))&amp;IF($OB4&gt;0," · TR"&amp;IF($NG4="",""," CD "&amp;$NG4),""),IF(LEFT($QA4,2)="TR",$QA4&amp;IF($NG4="",""," · CD "&amp;$NG4)&amp;IF(COUNTIF($MV4:$MY4,"Certeiro")&gt;0," · metade",""),"Sem rolagem"))))</f>
        <v/>
      </c>
      <c r="QC4" s="155">
        <f>IF(OR($NB4=0,$NH4=0),"",IF($MQ4=0,IF(OR($OE4&gt;=1,$PB4=0),"Sem dano",$PB4&amp;"d6"&amp;IF($MT4="",""," "&amp;$MT4)),IF(OR($OE4&gt;=1,$PB4=0),UPPER(LEFT(INDEX($PK4:$PQ4,1,MAX(1,$MQ4)),1))&amp;MID(INDEX($PK4:$PQ4,1,MAX(1,$MQ4)),2,99),UPPER(LEFT(INDEX($PK4:$PQ4,1,MAX(1,$MQ4)),1))&amp;MID(INDEX($PK4:$PQ4,1,MAX(1,$MQ4)),2,99)&amp;IF($MT4="",""," "&amp;$MT4)&amp;IF($PC4&gt;0," · +"&amp;$PC4&amp;"d8",""))))</f>
        <v/>
      </c>
      <c r="QD4" s="155">
        <f>COUNTIF($MV4:$MY4,"Longe")+3*COUNTIF($MV4:$MY4,"Muito Longe")</f>
        <v/>
      </c>
      <c r="QE4" s="155">
        <f>COUNTIF($MV4:$MY4,"Maior")+3*COUNTIF($MV4:$MY4,"Muito Maior")</f>
        <v/>
      </c>
      <c r="QF4" s="155">
        <f>IF($NH4=0,0,CHOOSE(1+INDEX($AC$2:$AC$11,$NH4),0,$QD4,$QE4,$QD4+$QE4))</f>
        <v/>
      </c>
      <c r="QG4" s="155">
        <f>IF($NH4=0,0,CHOOSE(1+INDEX($AD$2:$AD$11,$NH4),0,$QD4,$QE4,$QD4+$QE4))</f>
        <v/>
      </c>
      <c r="QH4" s="155">
        <f>IF(OR($NB4=0,$NH4=0),"",INDEX($AI$2:$AN$41,($NH4-1)*4+IF($MQ4=0,1,IF($MQ4&lt;=5,2,IF($MQ4=6,3,4))),1+MIN(5,$QF4))&amp;INDEX($AO$2:$AT$41,($NH4-1)*4+IF($MQ4=0,1,IF($MQ4&lt;=5,2,IF($MQ4=6,3,4))),1+MIN(5,$QG4))&amp;IF(INDEX($AE$2:$AE$11,$NH4)=1,IF(COUNTIF($MV4:$MY4,"Mais Um")&gt;0," · +"&amp;COUNTIF($MV4:$MY4,"Mais Um")&amp;IF(COUNTIF($MV4:$MY4,"Mais Um")&gt;1," alvos"," alvo"),"")&amp;IF(COUNTIF($MV4:$MY4,"Rajada")&gt;0,IF($MQ4=0," · 1 tiro"," · "&amp;(MAX(1,$MQ4-1)+1)&amp;" tiros"),""),""))</f>
        <v/>
      </c>
      <c r="QI4" s="155">
        <f>IF($NB4=0,"",IF($MQ4=0,$NE4&amp;"d6"&amp;IF($OS4&gt;0," − 1 = "&amp;$PB4&amp;"d6"," da básica do nível "&amp;$NC4),$OZ4&amp;" − "&amp;$OU4&amp;" + "&amp;$OX4&amp;" = "&amp;$PA4&amp;" · teto "&amp;4*$MQ4&amp;"d8"&amp;IF($OD4=1," · a Forma devolve "&amp;$MQ4,"")&amp;IF($OY4&gt;0," · perde "&amp;$OY4,"")))</f>
        <v/>
      </c>
      <c r="QJ4" s="155">
        <f>IF($NB4=0,"",IF($MQ4=0,"A básica não amplia: os dados dela sobem com o nível",IF($MQ4&gt;=$ND4,"Já está na maior Classe que o nível liberou",TEXTJOIN(" · ",TRUE,IF(AND(2&gt;$MQ4,2&lt;=$ND4),"2 → "&amp;$PL4&amp;", 6 PE",""),IF(AND(3&gt;$MQ4,3&lt;=$ND4),"3 → "&amp;$PM4&amp;", 9 PE",""),IF(AND(4&gt;$MQ4,4&lt;=$ND4),"4 → "&amp;$PN4&amp;", 12 PE",""),IF(AND(5&gt;$MQ4,5&lt;=$ND4),"5 → "&amp;$PO4&amp;", 15 PE",""),IF(AND(6&gt;$MQ4,6&lt;=$ND4),"6 → "&amp;$PP4&amp;", 18 PE",""),IF(AND(7&gt;$MQ4,7&lt;=$ND4),"7 → "&amp;$PQ4&amp;", 21 PE","")))))</f>
        <v/>
      </c>
      <c r="QK4" s="155">
        <f>IF(OR($NB4=0,$NM4=0),"",IF($MQ4=0,"−1 dado","−"&amp;INDEX($I$2:$N$8,MAX(1,$MQ4),MAX(1,$NR4))&amp;" · "&amp;CHOOSE(MAX(1,$NR4),"Leve","Média","Pesada","Leve · Livre","Média · Livre","Pesada · Livre")))</f>
        <v/>
      </c>
      <c r="QL4" s="155">
        <f>IF(OR($NB4=0,$NN4=0),"",IF($MQ4=0,"−1 dado","−"&amp;INDEX($I$2:$N$8,MAX(1,$MQ4),MAX(1,$NS4))&amp;" · "&amp;CHOOSE(MAX(1,$NS4),"Leve","Média","Pesada","Leve · Livre","Média · Livre","Pesada · Livre")))</f>
        <v/>
      </c>
      <c r="QM4" s="155">
        <f>IF(OR($NB4=0,$NO4=0),"",IF($MQ4=0,"−1 dado","−"&amp;INDEX($I$2:$N$8,MAX(1,$MQ4),MAX(1,$NT4))&amp;" · "&amp;CHOOSE(MAX(1,$NT4),"Leve","Média","Pesada","Leve · Livre","Média · Livre","Pesada · Livre")))</f>
        <v/>
      </c>
      <c r="QN4" s="155">
        <f>IF(OR($NB4=0,$NP4=0),"",IF($MQ4=0,"−1 dado","−"&amp;INDEX($I$2:$N$8,MAX(1,$MQ4),MAX(1,$NU4))&amp;" · "&amp;CHOOSE(MAX(1,$NU4),"Leve","Média","Pesada","Leve · Livre","Média · Livre","Pesada · Livre")))</f>
        <v/>
      </c>
      <c r="QO4" s="155">
        <f>IF(OR($NB4=0,$MZ4=""),"",IF($MQ4=0,"não devolve","+"&amp;IF($OG4=1,CEILING($MQ4/2,1),$MQ4)))</f>
        <v/>
      </c>
      <c r="QP4" s="155">
        <f>IF(OR($NB4=0,$NA4=""),"",IF($MQ4=0,"não devolve","+"&amp;IF($OH4=1,CEILING($MQ4/2,1),$MQ4)))</f>
        <v/>
      </c>
      <c r="QR4" s="153" t="inlineStr">
        <is>
          <t>D20</t>
        </is>
      </c>
      <c r="QS4" s="155">
        <f>"AS INVOCAÇÕES · "&amp;DADOS_INVOC!$CZ$10&amp;" DE 12"</f>
        <v/>
      </c>
    </row>
    <row r="5">
      <c r="A5" s="155" t="n">
        <v>13</v>
      </c>
      <c r="B5" s="155" t="n">
        <v>4</v>
      </c>
      <c r="C5" s="155" t="n">
        <v>2</v>
      </c>
      <c r="D5" s="155" t="n">
        <v>9</v>
      </c>
      <c r="F5" s="155" t="n">
        <v>18</v>
      </c>
      <c r="H5" s="155" t="n">
        <v>4</v>
      </c>
      <c r="I5" s="155" t="n">
        <v>2</v>
      </c>
      <c r="J5" s="155" t="n">
        <v>4</v>
      </c>
      <c r="K5" s="155" t="n">
        <v>6</v>
      </c>
      <c r="L5" s="155" t="n">
        <v>1</v>
      </c>
      <c r="M5" s="155" t="n">
        <v>2</v>
      </c>
      <c r="N5" s="155" t="n">
        <v>4</v>
      </c>
      <c r="O5" s="155" t="n">
        <v>3</v>
      </c>
      <c r="P5" s="155" t="n">
        <v>9</v>
      </c>
      <c r="R5" s="155" t="n">
        <v>3</v>
      </c>
      <c r="T5" s="155" t="n">
        <v>6</v>
      </c>
      <c r="V5" s="153" t="inlineStr">
        <is>
          <t>Aura</t>
        </is>
      </c>
      <c r="W5" s="153" t="inlineStr">
        <is>
          <t>Área</t>
        </is>
      </c>
      <c r="X5" s="155" t="n">
        <v>1</v>
      </c>
      <c r="Y5" s="155" t="n">
        <v>1</v>
      </c>
      <c r="Z5" s="155" t="n">
        <v>0</v>
      </c>
      <c r="AA5" s="153" t="inlineStr">
        <is>
          <t>TR</t>
        </is>
      </c>
      <c r="AB5" s="155" t="n">
        <v>1</v>
      </c>
      <c r="AC5" s="155" t="n">
        <v>2</v>
      </c>
      <c r="AD5" s="155" t="n">
        <v>0</v>
      </c>
      <c r="AE5" s="155" t="n">
        <v>0</v>
      </c>
      <c r="AF5" s="155" t="n">
        <v>1</v>
      </c>
      <c r="AH5" s="153" t="inlineStr">
        <is>
          <t>Projétil · classe 7</t>
        </is>
      </c>
      <c r="AI5" s="153" t="inlineStr">
        <is>
          <t>36 m, um alvo</t>
        </is>
      </c>
      <c r="AJ5" s="153" t="inlineStr">
        <is>
          <t>90 m, um alvo</t>
        </is>
      </c>
      <c r="AK5" s="153" t="inlineStr">
        <is>
          <t>Visão a olho nu, um alvo</t>
        </is>
      </c>
      <c r="AL5" s="153" t="inlineStr">
        <is>
          <t>Visão a olho nu, um alvo</t>
        </is>
      </c>
      <c r="AM5" s="153" t="inlineStr">
        <is>
          <t>Visão a olho nu, um alvo</t>
        </is>
      </c>
      <c r="AN5" s="153" t="inlineStr">
        <is>
          <t>Visão a olho nu, um alvo</t>
        </is>
      </c>
      <c r="AO5" s="153" t="inlineStr"/>
      <c r="AP5" s="153" t="inlineStr"/>
      <c r="AQ5" s="153" t="inlineStr"/>
      <c r="AR5" s="153" t="inlineStr"/>
      <c r="AS5" s="153" t="inlineStr"/>
      <c r="AT5" s="153" t="inlineStr"/>
      <c r="AV5" s="153" t="inlineStr">
        <is>
          <t>Perseguir</t>
        </is>
      </c>
      <c r="AW5" s="153" t="inlineStr">
        <is>
          <t>Alcance</t>
        </is>
      </c>
      <c r="AX5" s="155" t="n">
        <v>2</v>
      </c>
      <c r="AY5" s="155" t="n">
        <v>0</v>
      </c>
      <c r="AZ5" s="155" t="n">
        <v>0</v>
      </c>
      <c r="BA5" s="155" t="n">
        <v>0</v>
      </c>
      <c r="BC5" s="153" t="inlineStr">
        <is>
          <t>Gesto</t>
        </is>
      </c>
      <c r="BD5" s="153" t="inlineStr">
        <is>
          <t>Gesto</t>
        </is>
      </c>
      <c r="BE5" s="155" t="n">
        <v>1</v>
      </c>
      <c r="BF5" s="155" t="n">
        <v>0</v>
      </c>
      <c r="BG5" s="153" t="inlineStr">
        <is>
          <t>Gesto</t>
        </is>
      </c>
      <c r="BI5" s="153" t="inlineStr">
        <is>
          <t>Mão Firme</t>
        </is>
      </c>
      <c r="BJ5" s="155" t="n">
        <v>1</v>
      </c>
      <c r="BK5" s="153" t="inlineStr">
        <is>
          <t>Quando uma ocorrência de dano causar 10 pontos ou menos, você não precisa fazer o teste para manter Concentração ou Carregar. Confira o dano de cada ocorrência depois das reduções aplicáveis. Não some todos os golpes da rodada.</t>
        </is>
      </c>
      <c r="BL5" s="153" t="inlineStr">
        <is>
          <t>Mão Firme</t>
        </is>
      </c>
      <c r="BN5" s="153" t="inlineStr">
        <is>
          <t>Corpo amaldiçoado de criação</t>
        </is>
      </c>
      <c r="BP5" s="153" t="inlineStr">
        <is>
          <t>Criação</t>
        </is>
      </c>
      <c r="BQ5" s="155" t="n">
        <v>0</v>
      </c>
      <c r="BS5" s="153" t="inlineStr">
        <is>
          <t>Controle</t>
        </is>
      </c>
      <c r="BU5" s="153" t="inlineStr">
        <is>
          <t>Inteligência</t>
        </is>
      </c>
      <c r="BW5" s="153" t="inlineStr">
        <is>
          <t>Espírito</t>
        </is>
      </c>
      <c r="CC5" s="153" t="inlineStr">
        <is>
          <t>Pontaria</t>
        </is>
      </c>
      <c r="CD5" s="153" t="inlineStr">
        <is>
          <t>Destreza</t>
        </is>
      </c>
      <c r="CH5" s="153" t="inlineStr">
        <is>
          <t>Fogo</t>
        </is>
      </c>
      <c r="CJ5" s="153" t="inlineStr">
        <is>
          <t>TR Intelecto</t>
        </is>
      </c>
      <c r="CL5" s="155" t="n">
        <v>3</v>
      </c>
      <c r="CY5" s="153" t="inlineStr">
        <is>
          <t>a defesa usa</t>
        </is>
      </c>
      <c r="CZ5" s="155">
        <f>'INVOCAÇÕES'!$D$17&amp;""</f>
        <v/>
      </c>
      <c r="DB5" s="155" t="n">
        <v>4</v>
      </c>
      <c r="DC5" s="155">
        <f>'INVOCAÇÕES'!$I$607&amp;""</f>
        <v/>
      </c>
      <c r="DD5" s="155">
        <f>'INVOCAÇÕES'!$I$637&amp;""</f>
        <v/>
      </c>
      <c r="DE5" s="155">
        <f>'INVOCAÇÕES'!$I$641&amp;""</f>
        <v/>
      </c>
      <c r="DF5" s="155">
        <f>N('INVOCAÇÕES'!$K$641)</f>
        <v/>
      </c>
      <c r="DG5" s="155">
        <f>'INVOCAÇÕES'!$L$641&amp;""</f>
        <v/>
      </c>
      <c r="DH5" s="155">
        <f>N('INVOCAÇÕES'!$O$614)</f>
        <v/>
      </c>
      <c r="DI5" s="155">
        <f>N('INVOCAÇÕES'!$P$614)</f>
        <v/>
      </c>
      <c r="DJ5" s="155">
        <f>N('INVOCAÇÕES'!$Q$614)</f>
        <v/>
      </c>
      <c r="DK5" s="155">
        <f>N('INVOCAÇÕES'!$R$614)</f>
        <v/>
      </c>
      <c r="DL5" s="155">
        <f>N('INVOCAÇÕES'!$S$614)</f>
        <v/>
      </c>
      <c r="DM5" s="155">
        <f>N('INVOCAÇÕES'!$O$615)</f>
        <v/>
      </c>
      <c r="DN5" s="155">
        <f>N('INVOCAÇÕES'!$P$615)</f>
        <v/>
      </c>
      <c r="DO5" s="155">
        <f>N('INVOCAÇÕES'!$Q$615)</f>
        <v/>
      </c>
      <c r="DP5" s="155">
        <f>N('INVOCAÇÕES'!$R$615)</f>
        <v/>
      </c>
      <c r="DQ5" s="155">
        <f>N('INVOCAÇÕES'!$S$615)</f>
        <v/>
      </c>
      <c r="DR5" s="155">
        <f>'INVOCAÇÕES'!$O$628&amp;""</f>
        <v/>
      </c>
      <c r="DS5" s="155">
        <f>'INVOCAÇÕES'!$R$628&amp;""</f>
        <v/>
      </c>
      <c r="DT5" s="155">
        <f>'INVOCAÇÕES'!$S$623&amp;""</f>
        <v/>
      </c>
      <c r="DU5" s="155">
        <f>N('INVOCAÇÕES'!$O$620)</f>
        <v/>
      </c>
      <c r="DV5" s="155">
        <f>N('INVOCAÇÕES'!$P$620)</f>
        <v/>
      </c>
      <c r="DW5" s="155">
        <f>N('INVOCAÇÕES'!$Q$620)</f>
        <v/>
      </c>
      <c r="DX5" s="155">
        <f>N('INVOCAÇÕES'!$R$620)</f>
        <v/>
      </c>
      <c r="DY5" s="155">
        <f>N('INVOCAÇÕES'!$S$620)</f>
        <v/>
      </c>
      <c r="DZ5" s="155">
        <f>N('INVOCAÇÕES'!$O$625)</f>
        <v/>
      </c>
      <c r="EA5" s="155">
        <f>N('INVOCAÇÕES'!$P$625)</f>
        <v/>
      </c>
      <c r="EB5" s="155">
        <f>N('INVOCAÇÕES'!$Q$625)</f>
        <v/>
      </c>
      <c r="EC5" s="155">
        <f>N('INVOCAÇÕES'!$R$625)</f>
        <v/>
      </c>
      <c r="ED5" s="155">
        <f>'INVOCAÇÕES'!$U$607&amp;""</f>
        <v/>
      </c>
      <c r="EE5" s="155">
        <f>N('INVOCAÇÕES'!$W$607)</f>
        <v/>
      </c>
      <c r="EF5" s="155">
        <f>'INVOCAÇÕES'!$Y$607&amp;""</f>
        <v/>
      </c>
      <c r="EG5" s="155">
        <f>SUM('INVOCAÇÕES'!$Y$627:'INVOCAÇÕES'!$Y$629,'INVOCAÇÕES'!$Y$631:'INVOCAÇÕES'!$Y$636)</f>
        <v/>
      </c>
      <c r="EH5" s="155">
        <f>'INVOCAÇÕES'!$U$612&amp;""</f>
        <v/>
      </c>
      <c r="EI5" s="155">
        <f>'INVOCAÇÕES'!$V$612&amp;""</f>
        <v/>
      </c>
      <c r="EJ5" s="155">
        <f>'INVOCAÇÕES'!$O$642&amp;""</f>
        <v/>
      </c>
      <c r="EK5" s="155">
        <f>'INVOCAÇÕES'!$P$642&amp;""</f>
        <v/>
      </c>
      <c r="EL5" s="155">
        <f>'INVOCAÇÕES'!$Q$642&amp;""</f>
        <v/>
      </c>
      <c r="EM5" s="155">
        <f>'INVOCAÇÕES'!$R$642&amp;""</f>
        <v/>
      </c>
      <c r="EN5" s="155">
        <f>'INVOCAÇÕES'!$S$642&amp;""</f>
        <v/>
      </c>
      <c r="EO5" s="155">
        <f>'INVOCAÇÕES'!$O$632&amp;""</f>
        <v/>
      </c>
      <c r="EP5" s="155">
        <f>'INVOCAÇÕES'!$O$633&amp;""</f>
        <v/>
      </c>
      <c r="EQ5" s="155">
        <f>'INVOCAÇÕES'!$O$634&amp;""</f>
        <v/>
      </c>
      <c r="ER5" s="155">
        <f>'INVOCAÇÕES'!$O$635&amp;""</f>
        <v/>
      </c>
      <c r="ES5" s="155">
        <f>'INVOCAÇÕES'!$O$636&amp;""</f>
        <v/>
      </c>
      <c r="ET5" s="155">
        <f>'INVOCAÇÕES'!$O$637&amp;""</f>
        <v/>
      </c>
      <c r="EU5" s="155">
        <f>'INVOCAÇÕES'!$O$638&amp;""</f>
        <v/>
      </c>
      <c r="EV5" s="155">
        <f>'INVOCAÇÕES'!$J$674&amp;""</f>
        <v/>
      </c>
      <c r="EW5" s="155">
        <f>'INVOCAÇÕES'!$J$675&amp;""</f>
        <v/>
      </c>
      <c r="EX5" s="155">
        <f>'INVOCAÇÕES'!$J$676&amp;""</f>
        <v/>
      </c>
      <c r="EY5" s="155">
        <f>'INVOCAÇÕES'!$J$677&amp;""</f>
        <v/>
      </c>
      <c r="EZ5" s="155">
        <f>'INVOCAÇÕES'!$J$678&amp;""</f>
        <v/>
      </c>
      <c r="FA5" s="155">
        <f>'INVOCAÇÕES'!$J$679&amp;""</f>
        <v/>
      </c>
      <c r="FB5" s="155">
        <f>'INVOCAÇÕES'!$J$680&amp;""</f>
        <v/>
      </c>
      <c r="FC5" s="155">
        <f>'INVOCAÇÕES'!$J$681&amp;""</f>
        <v/>
      </c>
      <c r="FD5" s="155">
        <f>'INVOCAÇÕES'!$J$776&amp;""</f>
        <v/>
      </c>
      <c r="FE5" s="155">
        <f>'INVOCAÇÕES'!$J$777&amp;""</f>
        <v/>
      </c>
      <c r="FF5" s="155">
        <f>'INVOCAÇÕES'!$J$778&amp;""</f>
        <v/>
      </c>
      <c r="FG5" s="155">
        <f>MAX(3,MIN(7,N('INVOCAÇÕES'!$I$783)))</f>
        <v/>
      </c>
      <c r="FH5" s="155">
        <f>MAX(3,MIN(7,N('INVOCAÇÕES'!$O$783)))</f>
        <v/>
      </c>
      <c r="FI5" s="155">
        <f>MAX(3,MIN(7,N('INVOCAÇÕES'!$U$783)))</f>
        <v/>
      </c>
      <c r="FJ5" s="155">
        <f>'INVOCAÇÕES'!$O$797&amp;""</f>
        <v/>
      </c>
      <c r="FK5" s="155">
        <f>IF($DC5&lt;&gt;"",1,0)</f>
        <v/>
      </c>
      <c r="FL5" s="155">
        <f>IFERROR(VLOOKUP($DE5,$BP$2:$BQ$5,2,FALSE),1)</f>
        <v/>
      </c>
      <c r="FM5" s="155">
        <f>IF($FL5=1,$CZ$2,MAX(1,MIN($CZ$2,IF($DF5=0,$CZ$2,$DF5))))</f>
        <v/>
      </c>
      <c r="FN5" s="155">
        <f>VLOOKUP(MAX(1,$FM5),$A$2:$D$8,2,TRUE)</f>
        <v/>
      </c>
      <c r="FO5" s="155">
        <f>VLOOKUP(MAX(1,$FM5),$A$2:$D$8,3,TRUE)</f>
        <v/>
      </c>
      <c r="FP5" s="155">
        <f>$DH5+$DM5</f>
        <v/>
      </c>
      <c r="FQ5" s="155">
        <f>$DI5+$DN5</f>
        <v/>
      </c>
      <c r="FR5" s="155">
        <f>$DJ5+$DO5</f>
        <v/>
      </c>
      <c r="FS5" s="155">
        <f>$DK5+$DP5</f>
        <v/>
      </c>
      <c r="FT5" s="155">
        <f>$DL5+$DQ5</f>
        <v/>
      </c>
      <c r="FU5" s="155">
        <f>SUM($DH5:$DL5)</f>
        <v/>
      </c>
      <c r="FV5" s="155">
        <f>9+$FW5</f>
        <v/>
      </c>
      <c r="FW5" s="155">
        <f>COUNTIF($F$2:$F$8,"&lt;="&amp;$FM5)</f>
        <v/>
      </c>
      <c r="FX5" s="155">
        <f>MAX(0,$DH5-3)+MAX(0,$DI5-3)+MAX(0,$DJ5-3)+MAX(0,$DK5-3)+MAX(0,$DL5-3)</f>
        <v/>
      </c>
      <c r="FY5" s="155">
        <f>IFERROR(INDEX($FP5:$FT5,1,MATCH($DR5,$BU$2:$BU$6,0)),"")</f>
        <v/>
      </c>
      <c r="FZ5" s="155">
        <f>IF($FY5="","",$FY5+$CZ$3+$DU5)</f>
        <v/>
      </c>
      <c r="GA5" s="155">
        <f>IF($FY5="","",8+$FY5+$CZ$3+$DV5)</f>
        <v/>
      </c>
      <c r="GB5" s="155">
        <f>10+$FQ5+$CZ$7+$DW5</f>
        <v/>
      </c>
      <c r="GC5" s="155">
        <f>IF($DD5="Corpo amaldiçoado de criação",1,0)</f>
        <v/>
      </c>
      <c r="GD5" s="155">
        <f>5+$FR5+(3+$GC5+$FR5)*($FM5-1)+$DX5</f>
        <v/>
      </c>
      <c r="GE5" s="155">
        <f>IF($FK5=0,"",$GD5)</f>
        <v/>
      </c>
      <c r="GF5" s="155">
        <f>IF($ED5="",$GD5,MAX(0,MIN(IFERROR(VALUE($ED5),$GD5),$GD5)))</f>
        <v/>
      </c>
      <c r="GG5" s="155">
        <f>IF(AND($FK5=1,$EH5&lt;&gt;"Sem alma"),MAX(1,INT($GD5/2)),"")</f>
        <v/>
      </c>
      <c r="GH5" s="155">
        <f>$GG5</f>
        <v/>
      </c>
      <c r="GI5" s="155">
        <f>IF($GG5="","",IF($EI5="",$GG5,MAX(0,MIN(IFERROR(VALUE($EI5),$GG5),$GG5))))</f>
        <v/>
      </c>
      <c r="GJ5" s="155">
        <f>IF($FK5=0,"",IF($GG5="","—",$GG5))</f>
        <v/>
      </c>
      <c r="GK5" s="155">
        <f>IF($FK5=0,"",IF($GG5="","Sem alma · imune a dano de Alma",IF($GI5&lt;=0,"Estágio 4 · caída, como a zero de vida",IF($GI5&lt;=$GG5/4,"Estágio 3 · desvantagem em ataques e TRs, Classe pela metade",IF($GI5&lt;=$GG5/2,"Estágio 2 · metade do deslocamento, +1 PE por Classe",IF($GI5&lt;=$GG5*3/4,"Estágio 1 · desvantagem em perícias","Alma inteira"))))))</f>
        <v/>
      </c>
      <c r="GL5" s="155">
        <f>9+$DY5</f>
        <v/>
      </c>
      <c r="GM5" s="155">
        <f>IF($DS5="Destreza",$FQ5,$FP5)</f>
        <v/>
      </c>
      <c r="GN5" s="155">
        <f>$GM5+IF($DT5="Físico",$CZ$3,0)+$DZ5</f>
        <v/>
      </c>
      <c r="GO5" s="155">
        <f>$FR5+IF($DT5="Vigor",$CZ$3,0)+$EA5</f>
        <v/>
      </c>
      <c r="GP5" s="155">
        <f>$FS5+IF($DT5="Intelecto",$CZ$3,0)+$EB5</f>
        <v/>
      </c>
      <c r="GQ5" s="155">
        <f>$FT5+IF($DT5="Espírito",$CZ$3,0)+$EC5</f>
        <v/>
      </c>
      <c r="GR5" s="155">
        <f>4+INT($DK5/2)</f>
        <v/>
      </c>
      <c r="GS5" s="155">
        <f>COUNTIF($EO5:$EU5,"?*")</f>
        <v/>
      </c>
      <c r="GT5" s="155">
        <f>INT((2+$FM5/2)/2)</f>
        <v/>
      </c>
      <c r="GU5" s="155">
        <f>IF($FM5&gt;=11,2,1)</f>
        <v/>
      </c>
      <c r="GV5" s="155">
        <f>1+$FW5</f>
        <v/>
      </c>
      <c r="GW5" s="155">
        <f>COUNTIF($EV5:$FC5,"?*")</f>
        <v/>
      </c>
      <c r="GX5" s="155">
        <f>IF(AND($DD5="Shikigami de criação",$DG5="Com carga"),MAX(1,CEILING($FN5/2,1)),$FN5)</f>
        <v/>
      </c>
      <c r="GY5" s="155">
        <f>$FN5+$GX5</f>
        <v/>
      </c>
      <c r="GZ5" s="155">
        <f>$FM5*(1+INT($DL5/3))</f>
        <v/>
      </c>
      <c r="HA5" s="155">
        <f>5+$FP5</f>
        <v/>
      </c>
      <c r="HB5" s="155">
        <f>COUNTIF($EJ5:$EN5,"?*")</f>
        <v/>
      </c>
      <c r="HC5" s="155">
        <f>IF($EJ5="",0,IF(COUNTIF($EJ5:$EN5,$EJ5)&gt;1,1,0))+IF($EK5="",0,IF(COUNTIF($EJ5:$EN5,$EK5)&gt;1,1,0))+IF($EL5="",0,IF(COUNTIF($EJ5:$EN5,$EL5)&gt;1,1,0))+IF($EM5="",0,IF(COUNTIF($EJ5:$EN5,$EM5)&gt;1,1,0))+IF($EN5="",0,IF(COUNTIF($EJ5:$EN5,$EN5)&gt;1,1,0))</f>
        <v/>
      </c>
      <c r="HD5" s="155">
        <f>$CZ$11</f>
        <v/>
      </c>
      <c r="HE5" s="155">
        <f>IF($FK5=0,"INVOCAÇÃO 4 · lugar vazio",$DC5&amp;" · "&amp;$DD5&amp;" · nível "&amp;$FM5&amp;" · vida "&amp;$GF5&amp;" de "&amp;$GD5)</f>
        <v/>
      </c>
      <c r="HF5" s="155">
        <f>IF($FK5=0,"VAZIA",UPPER($DC5))</f>
        <v/>
      </c>
      <c r="HG5" s="155">
        <f>IF($CZ$3&gt;=0,"+","−")&amp;ABS($CZ$3)</f>
        <v/>
      </c>
      <c r="HH5" s="155">
        <f>$GX5&amp;" PE"</f>
        <v/>
      </c>
      <c r="HI5" s="155">
        <f>$GY5&amp;" PE"</f>
        <v/>
      </c>
      <c r="HJ5" s="155">
        <f>IF(OR($FU5&gt;$FV5,$FX5&gt;$FW5),"⚠ ",IF(AND($FK5=1,$FU5&lt;$FV5),"! ",""))&amp;"ATRIBUTOS · "&amp;$FU5&amp;" DE "&amp;$FV5&amp;" PONTOS"&amp;IF($FX5&gt;$FW5," · ACIMA DE 3 SÓ COM MARCO","")</f>
        <v/>
      </c>
      <c r="HK5" s="155">
        <f>IF($FZ5="","",IF($FZ5&gt;=0,"+","−")&amp;ABS($FZ5))</f>
        <v/>
      </c>
      <c r="HL5" s="155">
        <f>IF($GA5="","",$GA5)</f>
        <v/>
      </c>
      <c r="HM5" s="155">
        <f>SUBSTITUTE($GL5&amp;" m",".",",")</f>
        <v/>
      </c>
      <c r="HN5" s="155">
        <f>IF($GN5&gt;=0,"+","−")&amp;ABS($GN5)</f>
        <v/>
      </c>
      <c r="HO5" s="155">
        <f>IF($GO5&gt;=0,"+","−")&amp;ABS($GO5)</f>
        <v/>
      </c>
      <c r="HP5" s="155">
        <f>IF($GP5&gt;=0,"+","−")&amp;ABS($GP5)</f>
        <v/>
      </c>
      <c r="HQ5" s="155">
        <f>IF($GQ5&gt;=0,"+","−")&amp;ABS($GQ5)</f>
        <v/>
      </c>
      <c r="HR5" s="155">
        <f>IF($GS5&gt;$GR5,"⚠ ","")&amp;"PERÍCIAS · "&amp;$GS5&amp;" DE "&amp;$GR5</f>
        <v/>
      </c>
      <c r="HS5" s="155">
        <f>IF($EO5="","",IFERROR(IF((INDEX($FP5:$FT5,1,MATCH(VLOOKUP($EO5,$CC$2:$CD$24,2,FALSE),$BU$2:$BU$6,0))+$CZ$3)&gt;=0,"+","−")&amp;ABS((INDEX($FP5:$FT5,1,MATCH(VLOOKUP($EO5,$CC$2:$CD$24,2,FALSE),$BU$2:$BU$6,0))+$CZ$3)),""))</f>
        <v/>
      </c>
      <c r="HT5" s="155">
        <f>IF($EP5="","",IFERROR(IF((INDEX($FP5:$FT5,1,MATCH(VLOOKUP($EP5,$CC$2:$CD$24,2,FALSE),$BU$2:$BU$6,0))+$CZ$3)&gt;=0,"+","−")&amp;ABS((INDEX($FP5:$FT5,1,MATCH(VLOOKUP($EP5,$CC$2:$CD$24,2,FALSE),$BU$2:$BU$6,0))+$CZ$3)),""))</f>
        <v/>
      </c>
      <c r="HU5" s="155">
        <f>IF($EQ5="","",IFERROR(IF((INDEX($FP5:$FT5,1,MATCH(VLOOKUP($EQ5,$CC$2:$CD$24,2,FALSE),$BU$2:$BU$6,0))+$CZ$3)&gt;=0,"+","−")&amp;ABS((INDEX($FP5:$FT5,1,MATCH(VLOOKUP($EQ5,$CC$2:$CD$24,2,FALSE),$BU$2:$BU$6,0))+$CZ$3)),""))</f>
        <v/>
      </c>
      <c r="HV5" s="155">
        <f>IF($ER5="","",IFERROR(IF((INDEX($FP5:$FT5,1,MATCH(VLOOKUP($ER5,$CC$2:$CD$24,2,FALSE),$BU$2:$BU$6,0))+$CZ$3)&gt;=0,"+","−")&amp;ABS((INDEX($FP5:$FT5,1,MATCH(VLOOKUP($ER5,$CC$2:$CD$24,2,FALSE),$BU$2:$BU$6,0))+$CZ$3)),""))</f>
        <v/>
      </c>
      <c r="HW5" s="155">
        <f>IF($ES5="","",IFERROR(IF((INDEX($FP5:$FT5,1,MATCH(VLOOKUP($ES5,$CC$2:$CD$24,2,FALSE),$BU$2:$BU$6,0))+$CZ$3)&gt;=0,"+","−")&amp;ABS((INDEX($FP5:$FT5,1,MATCH(VLOOKUP($ES5,$CC$2:$CD$24,2,FALSE),$BU$2:$BU$6,0))+$CZ$3)),""))</f>
        <v/>
      </c>
      <c r="HX5" s="155">
        <f>IF($ET5="","",IFERROR(IF((INDEX($FP5:$FT5,1,MATCH(VLOOKUP($ET5,$CC$2:$CD$24,2,FALSE),$BU$2:$BU$6,0))+$CZ$3)&gt;=0,"+","−")&amp;ABS((INDEX($FP5:$FT5,1,MATCH(VLOOKUP($ET5,$CC$2:$CD$24,2,FALSE),$BU$2:$BU$6,0))+$CZ$3)),""))</f>
        <v/>
      </c>
      <c r="HY5" s="155">
        <f>IF($EU5="","",IFERROR(IF((INDEX($FP5:$FT5,1,MATCH(VLOOKUP($EU5,$CC$2:$CD$24,2,FALSE),$BU$2:$BU$6,0))+$CZ$3)&gt;=0,"+","−")&amp;ABS((INDEX($FP5:$FT5,1,MATCH(VLOOKUP($EU5,$CC$2:$CD$24,2,FALSE),$BU$2:$BU$6,0))+$CZ$3)),""))</f>
        <v/>
      </c>
      <c r="HZ5" s="155">
        <f>IF($DD5="Maldição domada","RESERVA · MÁX. "&amp;$GZ5,"RESERVA DE PE")</f>
        <v/>
      </c>
      <c r="IA5" s="155">
        <f>IF($EG5&gt;$HA5,"⚠ ","")&amp;"EQUIPAMENTO · "&amp;$EG5&amp;" DE "&amp;$HA5&amp;" DE VOLUME"&amp;IF($EG5&gt;$HA5," · PASSOU DO LIMITE","")</f>
        <v/>
      </c>
      <c r="IB5" s="155">
        <f>IF(OR($HC5&gt;0,$HB5&gt;$HD5),"⚠ ","")&amp;"FAMÍLIAS · "&amp;$HB5&amp;" ABERTAS"&amp;IF($HC5&gt;0," · REPETIDA","")&amp;IF($HB5&gt;$HD5," · O LIMITE É "&amp;$HD5,"")</f>
        <v/>
      </c>
      <c r="IC5" s="155">
        <f>"HABILIDADES · básica de "&amp;$FO5&amp;"d6 · "&amp;$GT5&amp;IF($GT5&gt;1," espaços"," espaço")&amp;" de especial até a Classe "&amp;$FN5&amp;" · "&amp;$GV5&amp;IF($GV5&gt;1," talentos"," talento")</f>
        <v/>
      </c>
      <c r="ID5" s="155">
        <f>IF($GW5&gt;$GV5,"⚠ ","")&amp;"TALENTOS · "&amp;$GW5&amp;" DE "&amp;$GV5</f>
        <v/>
      </c>
      <c r="IE5" s="155">
        <f>IFERROR(VLOOKUP($EV5,$BI$2:$BL$15,2,FALSE),0)</f>
        <v/>
      </c>
      <c r="IF5" s="155">
        <f>IFERROR(VLOOKUP($EW5,$BI$2:$BL$15,2,FALSE),0)</f>
        <v/>
      </c>
      <c r="IG5" s="155">
        <f>IFERROR(VLOOKUP($EX5,$BI$2:$BL$15,2,FALSE),0)</f>
        <v/>
      </c>
      <c r="IH5" s="155">
        <f>IFERROR(VLOOKUP($EY5,$BI$2:$BL$15,2,FALSE),0)</f>
        <v/>
      </c>
      <c r="II5" s="155">
        <f>IFERROR(VLOOKUP($EZ5,$BI$2:$BL$15,2,FALSE),0)</f>
        <v/>
      </c>
      <c r="IJ5" s="155">
        <f>IFERROR(VLOOKUP($FA5,$BI$2:$BL$15,2,FALSE),0)</f>
        <v/>
      </c>
      <c r="IK5" s="155">
        <f>IFERROR(VLOOKUP($FB5,$BI$2:$BL$15,2,FALSE),0)</f>
        <v/>
      </c>
      <c r="IL5" s="155">
        <f>IFERROR(VLOOKUP($FC5,$BI$2:$BL$15,2,FALSE),0)</f>
        <v/>
      </c>
      <c r="IM5" s="155">
        <f>IF($EV5="","",IF(1&gt;$FM5,"⚠ Este talento abre no nível 1",IF($IE5&gt;1,"⚠ Categoria "&amp;$IE5&amp;": este ganho vai até a 1 · ","")&amp;IFERROR(VLOOKUP($EV5,$BI$2:$BL$15,3,FALSE),"")))</f>
        <v/>
      </c>
      <c r="IN5" s="155">
        <f>IF($EW5="","",IF(6&gt;$FM5,"⚠ Este talento abre no nível 6",IF($IF5&gt;1,"⚠ Categoria "&amp;$IF5&amp;": este ganho vai até a 1 · ","")&amp;IFERROR(VLOOKUP($EW5,$BI$2:$BL$15,3,FALSE),"")))</f>
        <v/>
      </c>
      <c r="IO5" s="155">
        <f>IF($EX5="","",IF(10&gt;$FM5,"⚠ Este talento abre no nível 10",IF($IG5&gt;2,"⚠ Categoria "&amp;$IG5&amp;": este ganho vai até a 2 · ","")&amp;IFERROR(VLOOKUP($EX5,$BI$2:$BL$15,3,FALSE),"")))</f>
        <v/>
      </c>
      <c r="IP5" s="155">
        <f>IF($EY5="","",IF(14&gt;$FM5,"⚠ Este talento abre no nível 14",IF($IH5&gt;3,"⚠ Categoria "&amp;$IH5&amp;": este ganho vai até a 3 · ","")&amp;IFERROR(VLOOKUP($EY5,$BI$2:$BL$15,3,FALSE),"")))</f>
        <v/>
      </c>
      <c r="IQ5" s="155">
        <f>IF($EZ5="","",IF(18&gt;$FM5,"⚠ Este talento abre no nível 18",IF($II5&gt;3,"⚠ Categoria "&amp;$II5&amp;": este ganho vai até a 3 · ","")&amp;IFERROR(VLOOKUP($EZ5,$BI$2:$BL$15,3,FALSE),"")))</f>
        <v/>
      </c>
      <c r="IR5" s="155">
        <f>IF($FA5="","",IF(22&gt;$FM5,"⚠ Este talento abre no nível 22",IF($IJ5&gt;3,"⚠ Categoria "&amp;$IJ5&amp;": este ganho vai até a 3 · ","")&amp;IFERROR(VLOOKUP($FA5,$BI$2:$BL$15,3,FALSE),"")))</f>
        <v/>
      </c>
      <c r="IS5" s="155">
        <f>IF($FB5="","",IF(26&gt;$FM5,"⚠ Este talento abre no nível 26",IF($IK5&gt;3,"⚠ Categoria "&amp;$IK5&amp;": este ganho vai até a 3 · ","")&amp;IFERROR(VLOOKUP($FB5,$BI$2:$BL$15,3,FALSE),"")))</f>
        <v/>
      </c>
      <c r="IT5" s="155">
        <f>IF($FC5="","",IF(30&gt;$FM5,"⚠ Este talento abre no nível 30",IF($IL5&gt;3,"⚠ Categoria "&amp;$IL5&amp;": este ganho vai até a 3 · ","")&amp;IFERROR(VLOOKUP($FC5,$BI$2:$BL$15,3,FALSE),"")))</f>
        <v/>
      </c>
      <c r="IU5" s="155">
        <f>IF($FD5="","",IFERROR(VLOOKUP($FD5,$BI$2:$BL$15,3,FALSE),""))</f>
        <v/>
      </c>
      <c r="IV5" s="155">
        <f>IF($FE5="","",IFERROR(VLOOKUP($FE5,$BI$2:$BL$15,3,FALSE),""))</f>
        <v/>
      </c>
      <c r="IW5" s="155">
        <f>IF($FF5="","",IFERROR(VLOOKUP($FF5,$BI$2:$BL$15,3,FALSE),""))</f>
        <v/>
      </c>
      <c r="IX5" s="155">
        <f>CEILING(4.5*$FG5,1)&amp;" PE"</f>
        <v/>
      </c>
      <c r="IY5" s="155">
        <f>CEILING(4.5*$FH5,1)&amp;" PE"</f>
        <v/>
      </c>
      <c r="IZ5" s="155">
        <f>CEILING(4.5*$FI5,1)&amp;" PE"</f>
        <v/>
      </c>
      <c r="JA5" s="155">
        <f>INDEX($P$2:$P$8,$FG5)&amp;" pontos + "&amp;$FG5&amp;"d8"</f>
        <v/>
      </c>
      <c r="JB5" s="155">
        <f>INDEX($P$2:$P$8,$FH5)&amp;" pontos + "&amp;$FH5&amp;"d8"</f>
        <v/>
      </c>
      <c r="JC5" s="155">
        <f>INDEX($P$2:$P$8,$FI5)&amp;" pontos + "&amp;$FI5&amp;"d8"</f>
        <v/>
      </c>
      <c r="JD5" s="155">
        <f>IF($FM5&lt;17,"—",VLOOKUP($FM5,$CN$2:$CQ$4,4,TRUE)&amp;" PE")</f>
        <v/>
      </c>
      <c r="JE5" s="155">
        <f>IF($FM5&lt;17,"Abre no nível 17",VLOOKUP($FM5,$CN$2:$CQ$4,2,TRUE)&amp;" fixos · "&amp;VLOOKUP($FM5,$CN$2:$CQ$4,3,TRUE)&amp;" pontos")</f>
        <v/>
      </c>
      <c r="JF5" s="155">
        <f>IF($FJ5="Sem Barreiras",7,6)*$FN5&amp;" PE"</f>
        <v/>
      </c>
      <c r="JG5" s="155">
        <f>"Acerto "&amp;$FN5&amp;"d8"</f>
        <v/>
      </c>
      <c r="JH5" s="155">
        <f>IFERROR(VLOOKUP($FJ5,$CS$2:$CU$4,3,FALSE),"Escolha o degrau")</f>
        <v/>
      </c>
      <c r="JI5" s="155">
        <f>4&amp;" · "&amp;IF($FK5=0,"vazia",$DC5&amp;" · nv "&amp;$FM5&amp;" · "&amp;$GF5&amp;"/"&amp;$GD5)</f>
        <v/>
      </c>
      <c r="JM5" s="153" t="inlineStr">
        <is>
          <t>Invocação 4</t>
        </is>
      </c>
      <c r="JN5" s="155">
        <f>ADDRESS(ROW('INVOCAÇÕES'!D24),COLUMN('INVOCAÇÕES'!D24),4)</f>
        <v/>
      </c>
      <c r="JO5" s="155">
        <f>ADDRESS(ROW('INVOCAÇÕES'!H603),COLUMN('INVOCAÇÕES'!H603),4)</f>
        <v/>
      </c>
      <c r="JP5" s="153" t="inlineStr">
        <is>
          <t>DADOS_INVOC!$JI$5</t>
        </is>
      </c>
      <c r="JR5" s="155">
        <f>IF(OR($AW5="",COUNTIF($EJ$2:$EN$2,$AW5)&gt;0),$AV5,"")</f>
        <v/>
      </c>
      <c r="JS5" s="155">
        <f>IF(AND($AX5=1,OR($AW5="",COUNTIF($EJ$2:$EN$2,$AW5)&gt;0)),$AV5,"")</f>
        <v/>
      </c>
      <c r="JU5" s="155">
        <f>IF(OR($W5="",COUNTIF($EJ$2:$EN$2,$W5)&gt;0),$V5,"")</f>
        <v/>
      </c>
      <c r="JV5" s="155">
        <f>IF(AND($AF5=1,OR($W5="",COUNTIF($EJ$2:$EN$2,$W5)&gt;0)),$V5,"")</f>
        <v/>
      </c>
      <c r="JX5" s="155">
        <f>IF(OR($AW5="",COUNTIF($EJ$3:$EN$3,$AW5)&gt;0),$AV5,"")</f>
        <v/>
      </c>
      <c r="JY5" s="155">
        <f>IF(AND($AX5=1,OR($AW5="",COUNTIF($EJ$3:$EN$3,$AW5)&gt;0)),$AV5,"")</f>
        <v/>
      </c>
      <c r="KA5" s="155">
        <f>IF(OR($W5="",COUNTIF($EJ$3:$EN$3,$W5)&gt;0),$V5,"")</f>
        <v/>
      </c>
      <c r="KB5" s="155">
        <f>IF(AND($AF5=1,OR($W5="",COUNTIF($EJ$3:$EN$3,$W5)&gt;0)),$V5,"")</f>
        <v/>
      </c>
      <c r="KD5" s="155">
        <f>IF(OR($AW5="",COUNTIF($EJ$4:$EN$4,$AW5)&gt;0),$AV5,"")</f>
        <v/>
      </c>
      <c r="KE5" s="155">
        <f>IF(AND($AX5=1,OR($AW5="",COUNTIF($EJ$4:$EN$4,$AW5)&gt;0)),$AV5,"")</f>
        <v/>
      </c>
      <c r="KG5" s="155">
        <f>IF(OR($W5="",COUNTIF($EJ$4:$EN$4,$W5)&gt;0),$V5,"")</f>
        <v/>
      </c>
      <c r="KH5" s="155">
        <f>IF(AND($AF5=1,OR($W5="",COUNTIF($EJ$4:$EN$4,$W5)&gt;0)),$V5,"")</f>
        <v/>
      </c>
      <c r="KJ5" s="155">
        <f>IF(OR($AW5="",COUNTIF($EJ$5:$EN$5,$AW5)&gt;0),$AV5,"")</f>
        <v/>
      </c>
      <c r="KK5" s="155">
        <f>IF(AND($AX5=1,OR($AW5="",COUNTIF($EJ$5:$EN$5,$AW5)&gt;0)),$AV5,"")</f>
        <v/>
      </c>
      <c r="KM5" s="155">
        <f>IF(OR($W5="",COUNTIF($EJ$5:$EN$5,$W5)&gt;0),$V5,"")</f>
        <v/>
      </c>
      <c r="KN5" s="155">
        <f>IF(AND($AF5=1,OR($W5="",COUNTIF($EJ$5:$EN$5,$W5)&gt;0)),$V5,"")</f>
        <v/>
      </c>
      <c r="KP5" s="155">
        <f>IF(OR($AW5="",COUNTIF($EJ$6:$EN$6,$AW5)&gt;0),$AV5,"")</f>
        <v/>
      </c>
      <c r="KQ5" s="155">
        <f>IF(AND($AX5=1,OR($AW5="",COUNTIF($EJ$6:$EN$6,$AW5)&gt;0)),$AV5,"")</f>
        <v/>
      </c>
      <c r="KS5" s="155">
        <f>IF(OR($W5="",COUNTIF($EJ$6:$EN$6,$W5)&gt;0),$V5,"")</f>
        <v/>
      </c>
      <c r="KT5" s="155">
        <f>IF(AND($AF5=1,OR($W5="",COUNTIF($EJ$6:$EN$6,$W5)&gt;0)),$V5,"")</f>
        <v/>
      </c>
      <c r="KV5" s="155">
        <f>IF(OR($AW5="",COUNTIF($EJ$7:$EN$7,$AW5)&gt;0),$AV5,"")</f>
        <v/>
      </c>
      <c r="KW5" s="155">
        <f>IF(AND($AX5=1,OR($AW5="",COUNTIF($EJ$7:$EN$7,$AW5)&gt;0)),$AV5,"")</f>
        <v/>
      </c>
      <c r="KY5" s="155">
        <f>IF(OR($W5="",COUNTIF($EJ$7:$EN$7,$W5)&gt;0),$V5,"")</f>
        <v/>
      </c>
      <c r="KZ5" s="155">
        <f>IF(AND($AF5=1,OR($W5="",COUNTIF($EJ$7:$EN$7,$W5)&gt;0)),$V5,"")</f>
        <v/>
      </c>
      <c r="LB5" s="155">
        <f>IF(OR($AW5="",COUNTIF($EJ$8:$EN$8,$AW5)&gt;0),$AV5,"")</f>
        <v/>
      </c>
      <c r="LC5" s="155">
        <f>IF(AND($AX5=1,OR($AW5="",COUNTIF($EJ$8:$EN$8,$AW5)&gt;0)),$AV5,"")</f>
        <v/>
      </c>
      <c r="LE5" s="155">
        <f>IF(OR($W5="",COUNTIF($EJ$8:$EN$8,$W5)&gt;0),$V5,"")</f>
        <v/>
      </c>
      <c r="LF5" s="155">
        <f>IF(AND($AF5=1,OR($W5="",COUNTIF($EJ$8:$EN$8,$W5)&gt;0)),$V5,"")</f>
        <v/>
      </c>
      <c r="LH5" s="155">
        <f>IF(OR($AW5="",COUNTIF($EJ$9:$EN$9,$AW5)&gt;0),$AV5,"")</f>
        <v/>
      </c>
      <c r="LI5" s="155">
        <f>IF(AND($AX5=1,OR($AW5="",COUNTIF($EJ$9:$EN$9,$AW5)&gt;0)),$AV5,"")</f>
        <v/>
      </c>
      <c r="LK5" s="155">
        <f>IF(OR($W5="",COUNTIF($EJ$9:$EN$9,$W5)&gt;0),$V5,"")</f>
        <v/>
      </c>
      <c r="LL5" s="155">
        <f>IF(AND($AF5=1,OR($W5="",COUNTIF($EJ$9:$EN$9,$W5)&gt;0)),$V5,"")</f>
        <v/>
      </c>
      <c r="LN5" s="155">
        <f>IF(OR($AW5="",COUNTIF($EJ$10:$EN$10,$AW5)&gt;0),$AV5,"")</f>
        <v/>
      </c>
      <c r="LO5" s="155">
        <f>IF(AND($AX5=1,OR($AW5="",COUNTIF($EJ$10:$EN$10,$AW5)&gt;0)),$AV5,"")</f>
        <v/>
      </c>
      <c r="LQ5" s="155">
        <f>IF(OR($W5="",COUNTIF($EJ$10:$EN$10,$W5)&gt;0),$V5,"")</f>
        <v/>
      </c>
      <c r="LR5" s="155">
        <f>IF(AND($AF5=1,OR($W5="",COUNTIF($EJ$10:$EN$10,$W5)&gt;0)),$V5,"")</f>
        <v/>
      </c>
      <c r="LT5" s="155">
        <f>IF(OR($AW5="",COUNTIF($EJ$11:$EN$11,$AW5)&gt;0),$AV5,"")</f>
        <v/>
      </c>
      <c r="LU5" s="155">
        <f>IF(AND($AX5=1,OR($AW5="",COUNTIF($EJ$11:$EN$11,$AW5)&gt;0)),$AV5,"")</f>
        <v/>
      </c>
      <c r="LW5" s="155">
        <f>IF(OR($W5="",COUNTIF($EJ$11:$EN$11,$W5)&gt;0),$V5,"")</f>
        <v/>
      </c>
      <c r="LX5" s="155">
        <f>IF(AND($AF5=1,OR($W5="",COUNTIF($EJ$11:$EN$11,$W5)&gt;0)),$V5,"")</f>
        <v/>
      </c>
      <c r="LZ5" s="155">
        <f>IF(OR($AW5="",COUNTIF($EJ$12:$EN$12,$AW5)&gt;0),$AV5,"")</f>
        <v/>
      </c>
      <c r="MA5" s="155">
        <f>IF(AND($AX5=1,OR($AW5="",COUNTIF($EJ$12:$EN$12,$AW5)&gt;0)),$AV5,"")</f>
        <v/>
      </c>
      <c r="MC5" s="155">
        <f>IF(OR($W5="",COUNTIF($EJ$12:$EN$12,$W5)&gt;0),$V5,"")</f>
        <v/>
      </c>
      <c r="MD5" s="155">
        <f>IF(AND($AF5=1,OR($W5="",COUNTIF($EJ$12:$EN$12,$W5)&gt;0)),$V5,"")</f>
        <v/>
      </c>
      <c r="MF5" s="155">
        <f>IF(OR($AW5="",COUNTIF($EJ$13:$EN$13,$AW5)&gt;0),$AV5,"")</f>
        <v/>
      </c>
      <c r="MG5" s="155">
        <f>IF(AND($AX5=1,OR($AW5="",COUNTIF($EJ$13:$EN$13,$AW5)&gt;0)),$AV5,"")</f>
        <v/>
      </c>
      <c r="MI5" s="155">
        <f>IF(OR($W5="",COUNTIF($EJ$13:$EN$13,$W5)&gt;0),$V5,"")</f>
        <v/>
      </c>
      <c r="MJ5" s="155">
        <f>IF(AND($AF5=1,OR($W5="",COUNTIF($EJ$13:$EN$13,$W5)&gt;0)),$V5,"")</f>
        <v/>
      </c>
      <c r="ML5" s="153" t="inlineStr">
        <is>
          <t>Ficha 1 · Básica 2</t>
        </is>
      </c>
      <c r="MM5" s="155" t="n">
        <v>1</v>
      </c>
      <c r="MN5" s="155" t="n">
        <v>0</v>
      </c>
      <c r="MO5" s="155" t="n">
        <v>11</v>
      </c>
      <c r="MP5" s="153" t="inlineStr">
        <is>
          <t>BÁSICA 2</t>
        </is>
      </c>
      <c r="MQ5" s="155" t="n">
        <v>0</v>
      </c>
      <c r="MR5" s="155">
        <f>'INVOCAÇÕES'!$J$92&amp;""</f>
        <v/>
      </c>
      <c r="MS5" s="155">
        <f>'INVOCAÇÕES'!$I$97&amp;""</f>
        <v/>
      </c>
      <c r="MT5" s="155">
        <f>'INVOCAÇÕES'!$I$98&amp;""</f>
        <v/>
      </c>
      <c r="MU5" s="155">
        <f>'INVOCAÇÕES'!$K$98&amp;""</f>
        <v/>
      </c>
      <c r="MV5" s="155">
        <f>'INVOCAÇÕES'!$J$101&amp;""</f>
        <v/>
      </c>
      <c r="MW5" s="155">
        <f>'INVOCAÇÕES'!$J$102&amp;""</f>
        <v/>
      </c>
      <c r="MX5" s="155">
        <f>'INVOCAÇÕES'!$J$103&amp;""</f>
        <v/>
      </c>
      <c r="MY5" s="155">
        <f>'INVOCAÇÕES'!$J$104&amp;""</f>
        <v/>
      </c>
      <c r="MZ5" s="155">
        <f>'INVOCAÇÕES'!$J$105&amp;""</f>
        <v/>
      </c>
      <c r="NA5" s="155">
        <f>'INVOCAÇÕES'!$J$106&amp;""</f>
        <v/>
      </c>
      <c r="NB5" s="155">
        <f>IF($MR5&lt;&gt;"",1,0)</f>
        <v/>
      </c>
      <c r="NC5" s="155">
        <f>INDEX($FM$2:$FM$13,$MM5)</f>
        <v/>
      </c>
      <c r="ND5" s="155">
        <f>INDEX($FN$2:$FN$13,$MM5)</f>
        <v/>
      </c>
      <c r="NE5" s="155">
        <f>INDEX($FO$2:$FO$13,$MM5)</f>
        <v/>
      </c>
      <c r="NF5" s="155">
        <f>INDEX($FZ$2:$FZ$13,$MM5)</f>
        <v/>
      </c>
      <c r="NG5" s="155">
        <f>INDEX($GA$2:$GA$13,$MM5)</f>
        <v/>
      </c>
      <c r="NH5" s="155">
        <f>IFERROR(MATCH($MS5,$V$2:$V$11,0),0)</f>
        <v/>
      </c>
      <c r="NI5" s="155">
        <f>IFERROR(VLOOKUP($MV5,$AV$2:$BA$84,2,FALSE),"")</f>
        <v/>
      </c>
      <c r="NJ5" s="155">
        <f>IFERROR(VLOOKUP($MW5,$AV$2:$BA$84,2,FALSE),"")</f>
        <v/>
      </c>
      <c r="NK5" s="155">
        <f>IFERROR(VLOOKUP($MX5,$AV$2:$BA$84,2,FALSE),"")</f>
        <v/>
      </c>
      <c r="NL5" s="155">
        <f>IFERROR(VLOOKUP($MY5,$AV$2:$BA$84,2,FALSE),"")</f>
        <v/>
      </c>
      <c r="NM5" s="155">
        <f>IFERROR(VLOOKUP($MV5,$AV$2:$BA$84,3,FALSE),0)</f>
        <v/>
      </c>
      <c r="NN5" s="155">
        <f>IFERROR(VLOOKUP($MW5,$AV$2:$BA$84,3,FALSE),0)</f>
        <v/>
      </c>
      <c r="NO5" s="155">
        <f>IFERROR(VLOOKUP($MX5,$AV$2:$BA$84,3,FALSE),0)</f>
        <v/>
      </c>
      <c r="NP5" s="155">
        <f>IFERROR(VLOOKUP($MY5,$AV$2:$BA$84,3,FALSE),0)</f>
        <v/>
      </c>
      <c r="NQ5" s="155">
        <f>IF($MQ5=0,0,IF($NH5=0,0,INDEX($X$2:$X$11,$NH5)))</f>
        <v/>
      </c>
      <c r="NR5" s="155">
        <f>IF(OR($NM5=0,$MQ5=0),0,$NM5+3*IF(AND($NI5&lt;&gt;"",OR($NI5=INDEX($EJ$2:$EJ$13,$MM5),$NI5=INDEX($EK$2:$EK$13,$MM5))),1,0))</f>
        <v/>
      </c>
      <c r="NS5" s="155">
        <f>IF(OR($NN5=0,$MQ5=0),0,$NN5+3*IF(AND($NJ5&lt;&gt;"",OR($NJ5=INDEX($EJ$2:$EJ$13,$MM5),$NJ5=INDEX($EK$2:$EK$13,$MM5))),1,0))</f>
        <v/>
      </c>
      <c r="NT5" s="155">
        <f>IF(OR($NO5=0,$MQ5=0),0,$NO5+3*IF(AND($NK5&lt;&gt;"",OR($NK5=INDEX($EJ$2:$EJ$13,$MM5),$NK5=INDEX($EK$2:$EK$13,$MM5))),1,0))</f>
        <v/>
      </c>
      <c r="NU5" s="155">
        <f>IF(OR($NP5=0,$MQ5=0),0,$NP5+3*IF(AND($NL5&lt;&gt;"",OR($NL5=INDEX($EJ$2:$EJ$13,$MM5),$NL5=INDEX($EK$2:$EK$13,$MM5))),1,0))</f>
        <v/>
      </c>
      <c r="NV5" s="155">
        <f>IF($NH5=0,0,IF(INDEX($W$2:$W$11,$NH5)="",0,IF(COUNTIF(INDEX($EJ$2:$EN$13,$MM5,0),INDEX($W$2:$W$11,$NH5))=0,1,0)))</f>
        <v/>
      </c>
      <c r="NW5" s="155">
        <f>IF(OR($NM5=0,$NI5=""),0,IF(COUNTIF(INDEX($EJ$2:$EN$13,$MM5,0),$NI5)=0,1,0))</f>
        <v/>
      </c>
      <c r="NX5" s="155">
        <f>IF(OR($NN5=0,$NJ5=""),0,IF(COUNTIF(INDEX($EJ$2:$EN$13,$MM5,0),$NJ5)=0,1,0))</f>
        <v/>
      </c>
      <c r="NY5" s="155">
        <f>IF(OR($NO5=0,$NK5=""),0,IF(COUNTIF(INDEX($EJ$2:$EN$13,$MM5,0),$NK5)=0,1,0))</f>
        <v/>
      </c>
      <c r="NZ5" s="155">
        <f>IF(OR($NP5=0,$NL5=""),0,IF(COUNTIF(INDEX($EJ$2:$EN$13,$MM5,0),$NL5)=0,1,0))</f>
        <v/>
      </c>
      <c r="OA5" s="155">
        <f>IFERROR(VLOOKUP($MV5,$AV$2:$BA$84,4,FALSE),0)+IFERROR(VLOOKUP($MW5,$AV$2:$BA$84,4,FALSE),0)+IFERROR(VLOOKUP($MX5,$AV$2:$BA$84,4,FALSE),0)+IFERROR(VLOOKUP($MY5,$AV$2:$BA$84,4,FALSE),0)</f>
        <v/>
      </c>
      <c r="OB5" s="155">
        <f>IFERROR(VLOOKUP($MV5,$AV$2:$BA$84,6,FALSE),0)+IFERROR(VLOOKUP($MW5,$AV$2:$BA$84,6,FALSE),0)+IFERROR(VLOOKUP($MX5,$AV$2:$BA$84,6,FALSE),0)+IFERROR(VLOOKUP($MY5,$AV$2:$BA$84,6,FALSE),0)</f>
        <v/>
      </c>
      <c r="OC5" s="155">
        <f>TEXTJOIN(", ",TRUE,IF(IFERROR(VLOOKUP($MV5,$AV$2:$BA$84,5,FALSE),0)=1,$MV5,""),IF(IFERROR(VLOOKUP($MW5,$AV$2:$BA$84,5,FALSE),0)=1,$MW5,""),IF(IFERROR(VLOOKUP($MX5,$AV$2:$BA$84,5,FALSE),0)=1,$MX5,""),IF(IFERROR(VLOOKUP($MY5,$AV$2:$BA$84,5,FALSE),0)=1,$MY5,""))</f>
        <v/>
      </c>
      <c r="OD5" s="155">
        <f>IF($NH5=0,0,INDEX($Y$2:$Y$11,$NH5))</f>
        <v/>
      </c>
      <c r="OE5" s="155">
        <f>IF($NH5=0,0,INDEX($Z$2:$Z$11,$NH5))</f>
        <v/>
      </c>
      <c r="OF5" s="155">
        <f>IF($NH5=0,0,INDEX($AB$2:$AB$11,$NH5))</f>
        <v/>
      </c>
      <c r="OG5" s="155">
        <f>IFERROR(VLOOKUP($MZ5,$BC$2:$BG$24,3,FALSE),0)</f>
        <v/>
      </c>
      <c r="OH5" s="155">
        <f>IFERROR(VLOOKUP($NA5,$BC$2:$BG$24,3,FALSE),0)</f>
        <v/>
      </c>
      <c r="OI5" s="155">
        <f>IFERROR(VLOOKUP($MZ5,$BC$2:$BG$24,2,FALSE),"")</f>
        <v/>
      </c>
      <c r="OJ5" s="155">
        <f>IFERROR(VLOOKUP($NA5,$BC$2:$BG$24,2,FALSE),"")</f>
        <v/>
      </c>
      <c r="OK5" s="155">
        <f>COUNTIF($NQ5:$NU5,1)</f>
        <v/>
      </c>
      <c r="OL5" s="155">
        <f>COUNTIF($NQ5:$NU5,2)</f>
        <v/>
      </c>
      <c r="OM5" s="155">
        <f>COUNTIF($NQ5:$NU5,3)</f>
        <v/>
      </c>
      <c r="ON5" s="155">
        <f>COUNTIF($NQ5:$NU5,4)</f>
        <v/>
      </c>
      <c r="OO5" s="155">
        <f>COUNTIF($NQ5:$NU5,5)</f>
        <v/>
      </c>
      <c r="OP5" s="155">
        <f>COUNTIF($NQ5:$NU5,6)</f>
        <v/>
      </c>
      <c r="OQ5" s="155">
        <f>COUNTIF($OG5:$OH5,1)</f>
        <v/>
      </c>
      <c r="OR5" s="155">
        <f>COUNTIF($OG5:$OH5,2)+$OD5</f>
        <v/>
      </c>
      <c r="OS5" s="155">
        <f>COUNTIF($MV5:$MY5,"?*")</f>
        <v/>
      </c>
      <c r="OT5" s="155">
        <f>COUNTIF($MZ5:$NA5,"?*")+$OD5</f>
        <v/>
      </c>
      <c r="OU5" s="155">
        <f>IF($MQ5=0,0,SUMPRODUCT($OK5:$OP5,INDEX($I$2:$N$8,MAX(1,$MQ5),0)))</f>
        <v/>
      </c>
      <c r="OV5" s="155">
        <f>IF($MQ5=0,0,$OQ5*CEILING($MQ5/2,1)+$OR5*$MQ5)</f>
        <v/>
      </c>
      <c r="OW5" s="155">
        <f>MIN(2*$MQ5,$OV5)</f>
        <v/>
      </c>
      <c r="OX5" s="155">
        <f>MIN($OW5,$OU5)</f>
        <v/>
      </c>
      <c r="OY5" s="155">
        <f>$OW5-$OX5</f>
        <v/>
      </c>
      <c r="OZ5" s="155">
        <f>IF($MQ5=0,0,INDEX($P$2:$P$8,MAX(1,$MQ5)))</f>
        <v/>
      </c>
      <c r="PA5" s="155">
        <f>$OZ5-$OU5+$OX5</f>
        <v/>
      </c>
      <c r="PB5" s="155">
        <f>IF($MQ5=0,MAX(0,$NE5-IF($OS5&gt;0,1,0)),MAX(0,$PA5))</f>
        <v/>
      </c>
      <c r="PC5" s="155">
        <f>IF($MQ5=0,0,(IF(COUNTIF($MV5:$MY5,"Salto")&gt;0,1,0)+IF(COUNTIF($MV5:$MY5,"Queima")&gt;0,1,0)+IF(COUNTIF($MV5:$MY5,"Estilhaço")&gt;0,1,0))*FLOOR($PB5/2,1))</f>
        <v/>
      </c>
      <c r="PD5" s="155">
        <f>MAX(0,2-SUMPRODUCT($OK5:$OP5,$I$2:$N$2)+MIN(2,$OQ5*1+$OR5*1,SUMPRODUCT($OK5:$OP5,$I$2:$N$2)))</f>
        <v/>
      </c>
      <c r="PE5" s="155">
        <f>MAX(0,4-SUMPRODUCT($OK5:$OP5,$I$3:$N$3)+MIN(4,$OQ5*1+$OR5*2,SUMPRODUCT($OK5:$OP5,$I$3:$N$3)))</f>
        <v/>
      </c>
      <c r="PF5" s="155">
        <f>MAX(0,6-SUMPRODUCT($OK5:$OP5,$I$4:$N$4)+MIN(6,$OQ5*2+$OR5*3,SUMPRODUCT($OK5:$OP5,$I$4:$N$4)))</f>
        <v/>
      </c>
      <c r="PG5" s="155">
        <f>MAX(0,9-SUMPRODUCT($OK5:$OP5,$I$5:$N$5)+MIN(8,$OQ5*2+$OR5*4,SUMPRODUCT($OK5:$OP5,$I$5:$N$5)))</f>
        <v/>
      </c>
      <c r="PH5" s="155">
        <f>MAX(0,11-SUMPRODUCT($OK5:$OP5,$I$6:$N$6)+MIN(10,$OQ5*3+$OR5*5,SUMPRODUCT($OK5:$OP5,$I$6:$N$6)))</f>
        <v/>
      </c>
      <c r="PI5" s="155">
        <f>MAX(0,13-SUMPRODUCT($OK5:$OP5,$I$7:$N$7)+MIN(12,$OQ5*3+$OR5*6,SUMPRODUCT($OK5:$OP5,$I$7:$N$7)))</f>
        <v/>
      </c>
      <c r="PJ5" s="155">
        <f>MAX(0,16-SUMPRODUCT($OK5:$OP5,$I$8:$N$8)+MIN(14,$OQ5*4+$OR5*7,SUMPRODUCT($OK5:$OP5,$I$8:$N$8)))</f>
        <v/>
      </c>
      <c r="PK5" s="155">
        <f>IF($OE5=2,3*$PD5&amp;" de vida temp.",IF($OE5=3,"sem dano",IF($PD5=0,IF($OE5=1,"sem cura","sem dano"),IF($OE5=1,"cura ","")&amp;$PD5&amp;"d8")))</f>
        <v/>
      </c>
      <c r="PL5" s="155">
        <f>IF($OE5=2,3*$PE5&amp;" de vida temp.",IF($OE5=3,"sem dano",IF($PE5=0,IF($OE5=1,"sem cura","sem dano"),IF($OE5=1,"cura ","")&amp;$PE5&amp;"d8")))</f>
        <v/>
      </c>
      <c r="PM5" s="155">
        <f>IF($OE5=2,3*$PF5&amp;" de vida temp.",IF($OE5=3,"sem dano",IF($PF5=0,IF($OE5=1,"sem cura","sem dano"),IF($OE5=1,"cura ","")&amp;$PF5&amp;"d8")))</f>
        <v/>
      </c>
      <c r="PN5" s="155">
        <f>IF($OE5=2,3*$PG5&amp;" de vida temp.",IF($OE5=3,"sem dano",IF($PG5=0,IF($OE5=1,"sem cura","sem dano"),IF($OE5=1,"cura ","")&amp;$PG5&amp;"d8")))</f>
        <v/>
      </c>
      <c r="PO5" s="155">
        <f>IF($OE5=2,3*$PH5&amp;" de vida temp.",IF($OE5=3,"sem dano",IF($PH5=0,IF($OE5=1,"sem cura","sem dano"),IF($OE5=1,"cura ","")&amp;$PH5&amp;"d8")))</f>
        <v/>
      </c>
      <c r="PP5" s="155">
        <f>IF($OE5=2,3*$PI5&amp;" de vida temp.",IF($OE5=3,"sem dano",IF($PI5=0,IF($OE5=1,"sem cura","sem dano"),IF($OE5=1,"cura ","")&amp;$PI5&amp;"d8")))</f>
        <v/>
      </c>
      <c r="PQ5" s="155">
        <f>IF($OE5=2,3*$PJ5&amp;" de vida temp.",IF($OE5=3,"sem dano",IF($PJ5=0,IF($OE5=1,"sem cura","sem dano"),IF($OE5=1,"cura ","")&amp;$PJ5&amp;"d8")))</f>
        <v/>
      </c>
      <c r="PR5" s="155">
        <f>IF($NB5=0,"",TEXTJOIN(" · ",TRUE,IF($MO5&gt;$NC5,"Este lugar abre no nível "&amp;$MO5,""),IF($MQ5&gt;$ND5,"Classe "&amp;$MQ5&amp;": o nível "&amp;$NC5&amp;" libera até a "&amp;$ND5,""),IF($NV5=1,"A Forma "&amp;$MS5&amp;" pede "&amp;INDEX($W$2:$W$11,$NH5)&amp;" aberta",""),IF(AND($MQ5=0,$NH5&gt;0,IF($NH5=0,0,INDEX($AF$2:$AF$11,$NH5))=0),$MS5&amp;" não existe na Classe 0",""),IF($NW5=1,"Família Fechada: "&amp;$MV5,""),IF($NX5=1,"Família Fechada: "&amp;$MW5,""),IF($NY5=1,"Família Fechada: "&amp;$MX5,""),IF($NZ5=1,"Família Fechada: "&amp;$MY5,""),IF(AND($MQ5&gt;0,$OS5&gt;INDEX($O$2:$O$8,MAX(1,$MQ5))),$OS5&amp;" Melhorias: a Classe "&amp;$MQ5&amp;" aceita "&amp;INDEX($O$2:$O$8,MAX(1,$MQ5)),""),IF(AND($MQ5=0,$OS5&gt;1),"A básica aceita uma Melhoria",""),IF(AND($MQ5=0,COUNTIF($NM5:$NP5,"&gt;1")&gt;0),"A básica só aceita Melhoria Leve",""),IF(AND($MQ5&gt;0,$OT5&gt;2),$OT5&amp;" Restrições"&amp;IF($OD5=1,", contando a que a Forma "&amp;$MS5&amp;" já traz","")&amp;": o limite é 2",""),IF(AND($MQ5=0,COUNTIF($MZ5:$NA5,"?*")&gt;1),"A básica aceita uma Restrição Leve",""),IF(AND($MQ5=0,COUNTIF($OG5:$OH5,2)&gt;0),"A básica só aceita Restrição Leve",""),IF(AND($MQ5&gt;0,$PA5&lt;0),"Orçamento estourado: faltam "&amp;(-$PA5)&amp;IF($PA5&lt;-1," pontos"," ponto"),""),IF(IFERROR(VLOOKUP($MZ5,$BC$2:$BG$24,4,FALSE),0)+IFERROR(VLOOKUP($NA5,$BC$2:$BG$24,4,FALSE),0)&gt;1,$OI5&amp;" e "&amp;$OJ5&amp;" são as duas de frequência",""),IF(AND((COUNTIF($MV5:$MY5,"Rápido")+COUNTIF($OI5:$OJ5,"Rápido"))&gt;0,(COUNTIF($MV5:$MY5,"Atrasar")+COUNTIF($OI5:$OJ5,"Atrasar"))&gt;0),"Rápido não entra com Atrasar",""),IF(AND((COUNTIF($MV5:$MY5,"Reação")+COUNTIF($OI5:$OJ5,"Reação"))&gt;0,(COUNTIF($MV5:$MY5,"Rápido")+COUNTIF($OI5:$OJ5,"Rápido"))&gt;0),"Reação não entra com Rápido",""),IF(AND((COUNTIF($MV5:$MY5,"Reação")+COUNTIF($OI5:$OJ5,"Reação"))&gt;0,(COUNTIF($MV5:$MY5,"Armado")+COUNTIF($OI5:$OJ5,"Armado"))&gt;0),"Reação não entra com Armado",""),IF(AND((COUNTIF($MV5:$MY5,"Reação")+COUNTIF($OI5:$OJ5,"Reação"))&gt;0,(COUNTIF($MV5:$MY5,"Atrasar")+COUNTIF($OI5:$OJ5,"Atrasar"))&gt;0),"Reação não entra com Atrasar",""),IF(AND((COUNTIF($MV5:$MY5,"Reação")+COUNTIF($OI5:$OJ5,"Reação"))&gt;0,(COUNTIF($MV5:$MY5,"Parado")+COUNTIF($OI5:$OJ5,"Parado"))&gt;0),"Reação não entra com Parado",""),IF(AND((COUNTIF($MV5:$MY5,"Atrasar")+COUNTIF($OI5:$OJ5,"Atrasar"))&gt;0,(COUNTIF($MV5:$MY5,"Parado")+COUNTIF($OI5:$OJ5,"Parado"))&gt;0),"Atrasar não entra com Parado",""),IF(AND((COUNTIF($MV5:$MY5,"Armado")+COUNTIF($OI5:$OJ5,"Armado"))&gt;0,(COUNTIF($MV5:$MY5,"Carregar")+COUNTIF($OI5:$OJ5,"Carregar"))&gt;0),"Armado não entra com Carregar",""),IF(AND(COUNTIF($OI5:$OJ5,"Corpo a Corpo")&gt;0,$OD5=0,OR($MS5="Cone",$MS5="Linha")),"Corpo a Corpo não entra em "&amp;$MS5,""),IF(AND(COUNTIF($OI5:$OJ5,"Corpo a Corpo")&gt;0,$OD5=1),"A Forma "&amp;$MS5&amp;" já traz o Corpo a Corpo",""),IF(AND(COUNTIF($OI5:$OJ5,"Tudo ou Nada")&gt;0,$OF5=0),"Tudo ou Nada só entra em habilidade de Teste de Resistência",""),IF(AND(COUNTIF($MV5:$MY5,"Inescapável")&gt;0,OR($OS5&gt;1,$OT5&gt;0)),"Inescapável não aceita outra peça",""),IF(AND($MQ5&gt;0,$PB5*IF(COUNTIF($MV5:$MY5,"Remate")&gt;0,1.25,1)+$PC5&gt;4*$MQ5),($PB5*IF(COUNTIF($MV5:$MY5,"Remate")&gt;0,1.25,1)+$PC5)&amp;" dados somando repetições"&amp;IF(COUNTIF($MV5:$MY5,"Remate")&gt;0," e o Remate","")&amp;": o teto da Classe "&amp;$MQ5&amp;" é "&amp;4*$MQ5,"")))</f>
        <v/>
      </c>
      <c r="PS5" s="155">
        <f>IF($PR5="",0,(LEN($PR5)-LEN(SUBSTITUTE($PR5," · ","")))/3+1)</f>
        <v/>
      </c>
      <c r="PT5" s="155">
        <f>IF($NB5=0,"",TEXTJOIN(" · ",TRUE,IF($OV5&gt;2*$MQ5,"A devolução parou no teto de "&amp;2*$MQ5,""),IF($OY5&gt;0,"Devolução perdida: "&amp;$OY5&amp;IF($OY5&gt;1," pontos"," ponto")&amp;" sem peça para pagar",""),IF(AND($OA5&gt;0,AND($MQ5&gt;0,$OE5=0),$PB5=0),"Controle sem dano: uma rodada a mais e CD +2",""),IF(AND($OA5&gt;0,AND($MQ5&gt;0,$OE5=0),$PB5&gt;0,$PB5&lt;=$MQ5),"Controle com saldo até a Classe: uma rodada a mais",""),IF(AND($MQ5&gt;0,$OC5&lt;&gt;""),"Efeito de "&amp;$OC5&amp;" pela Classe "&amp;MAX(1,$MQ5-1),"")))</f>
        <v/>
      </c>
      <c r="PU5" s="155">
        <f>IF($PT5="",0,(LEN($PT5)-LEN(SUBSTITUTE($PT5," · ","")))/3+1)</f>
        <v/>
      </c>
      <c r="PV5" s="155">
        <f>IF($NB5=0,IF($OS5+COUNTIF($MZ5:$NA5,"?*")&gt;0,"Dê um nome",""),IF($PS5&gt;0,"⚠ "&amp;$PS5&amp;IF($PS5&gt;1," erros"," erro"),IF($PU5&gt;0,"! "&amp;$PU5&amp;IF($PU5&gt;1," avisos"," aviso"),"Na regra")))</f>
        <v/>
      </c>
      <c r="PW5" s="155">
        <f>IF($NB5=0,"",IF($PS5+$PU5=0,"Dentro das regras que a ficha confere",$PR5&amp;IF(AND($PS5&gt;0,$PU5&gt;0)," · ","")&amp;$PT5))</f>
        <v/>
      </c>
      <c r="PX5" s="155">
        <f>IF($MO5&gt;$NC5,$MP5&amp;" · ABRE NO NÍVEL "&amp;$MO5,$MP5)</f>
        <v/>
      </c>
      <c r="PY5" s="155">
        <f>IF($NB5=0,"",IF($MQ5=0,"Sem PE",3*$MQ5&amp;" PE"))</f>
        <v/>
      </c>
      <c r="PZ5" s="155">
        <f>IF($NB5=0,"",IF($MQ5=0,"A atuação básica dela",IF(COUNTIF($OI5:$OJ5,"Atrasar")&gt;0,"Sua Ação Completa",IF(COUNTIF($MV5:$MY5,"Rápido")&gt;0,"Sua Bônus",IF(COUNTIF($MV5:$MY5,"Reação")&gt;0,"Sua Reação","Sua Padrão")))&amp;" + a básica dela"&amp;IF(COUNTIF($MV5:$MY5,"Reação")&gt;0," e a coletiva","")&amp;IF(COUNTIF($OI5:$OJ5,"Carregar")&gt;0," · em dois turnos","")))</f>
        <v/>
      </c>
      <c r="QA5" s="155">
        <f>IF($MU5&lt;&gt;"",$MU5,IF($NH5=0,"",INDEX($AA$2:$AA$11,$NH5)))</f>
        <v/>
      </c>
      <c r="QB5" s="155">
        <f>IF(OR($NB5=0,$NH5=0),"",IF(COUNTIF($MV5:$MY5,"Inescapável")&gt;0,"Automático",IF($QA5="Ataque",IF($NF5="","Ataque","Ataque "&amp;IF(($NF5+2*IF(COUNTIF($MV5:$MY5,"Precisão")&gt;0,1,0))&gt;=0,"+","−")&amp;ABS(($NF5+2*IF(COUNTIF($MV5:$MY5,"Precisão")&gt;0,1,0))))&amp;IF($OB5&gt;0," · TR"&amp;IF($NG5="",""," CD "&amp;$NG5),""),IF(LEFT($QA5,2)="TR",$QA5&amp;IF($NG5="",""," · CD "&amp;$NG5)&amp;IF(COUNTIF($MV5:$MY5,"Certeiro")&gt;0," · metade",""),"Sem rolagem"))))</f>
        <v/>
      </c>
      <c r="QC5" s="155">
        <f>IF(OR($NB5=0,$NH5=0),"",IF($MQ5=0,IF(OR($OE5&gt;=1,$PB5=0),"Sem dano",$PB5&amp;"d6"&amp;IF($MT5="",""," "&amp;$MT5)),IF(OR($OE5&gt;=1,$PB5=0),UPPER(LEFT(INDEX($PK5:$PQ5,1,MAX(1,$MQ5)),1))&amp;MID(INDEX($PK5:$PQ5,1,MAX(1,$MQ5)),2,99),UPPER(LEFT(INDEX($PK5:$PQ5,1,MAX(1,$MQ5)),1))&amp;MID(INDEX($PK5:$PQ5,1,MAX(1,$MQ5)),2,99)&amp;IF($MT5="",""," "&amp;$MT5)&amp;IF($PC5&gt;0," · +"&amp;$PC5&amp;"d8",""))))</f>
        <v/>
      </c>
      <c r="QD5" s="155">
        <f>COUNTIF($MV5:$MY5,"Longe")+3*COUNTIF($MV5:$MY5,"Muito Longe")</f>
        <v/>
      </c>
      <c r="QE5" s="155">
        <f>COUNTIF($MV5:$MY5,"Maior")+3*COUNTIF($MV5:$MY5,"Muito Maior")</f>
        <v/>
      </c>
      <c r="QF5" s="155">
        <f>IF($NH5=0,0,CHOOSE(1+INDEX($AC$2:$AC$11,$NH5),0,$QD5,$QE5,$QD5+$QE5))</f>
        <v/>
      </c>
      <c r="QG5" s="155">
        <f>IF($NH5=0,0,CHOOSE(1+INDEX($AD$2:$AD$11,$NH5),0,$QD5,$QE5,$QD5+$QE5))</f>
        <v/>
      </c>
      <c r="QH5" s="155">
        <f>IF(OR($NB5=0,$NH5=0),"",INDEX($AI$2:$AN$41,($NH5-1)*4+IF($MQ5=0,1,IF($MQ5&lt;=5,2,IF($MQ5=6,3,4))),1+MIN(5,$QF5))&amp;INDEX($AO$2:$AT$41,($NH5-1)*4+IF($MQ5=0,1,IF($MQ5&lt;=5,2,IF($MQ5=6,3,4))),1+MIN(5,$QG5))&amp;IF(INDEX($AE$2:$AE$11,$NH5)=1,IF(COUNTIF($MV5:$MY5,"Mais Um")&gt;0," · +"&amp;COUNTIF($MV5:$MY5,"Mais Um")&amp;IF(COUNTIF($MV5:$MY5,"Mais Um")&gt;1," alvos"," alvo"),"")&amp;IF(COUNTIF($MV5:$MY5,"Rajada")&gt;0,IF($MQ5=0," · 1 tiro"," · "&amp;(MAX(1,$MQ5-1)+1)&amp;" tiros"),""),""))</f>
        <v/>
      </c>
      <c r="QI5" s="155">
        <f>IF($NB5=0,"",IF($MQ5=0,$NE5&amp;"d6"&amp;IF($OS5&gt;0," − 1 = "&amp;$PB5&amp;"d6"," da básica do nível "&amp;$NC5),$OZ5&amp;" − "&amp;$OU5&amp;" + "&amp;$OX5&amp;" = "&amp;$PA5&amp;" · teto "&amp;4*$MQ5&amp;"d8"&amp;IF($OD5=1," · a Forma devolve "&amp;$MQ5,"")&amp;IF($OY5&gt;0," · perde "&amp;$OY5,"")))</f>
        <v/>
      </c>
      <c r="QJ5" s="155">
        <f>IF($NB5=0,"",IF($MQ5=0,"A básica não amplia: os dados dela sobem com o nível",IF($MQ5&gt;=$ND5,"Já está na maior Classe que o nível liberou",TEXTJOIN(" · ",TRUE,IF(AND(2&gt;$MQ5,2&lt;=$ND5),"2 → "&amp;$PL5&amp;", 6 PE",""),IF(AND(3&gt;$MQ5,3&lt;=$ND5),"3 → "&amp;$PM5&amp;", 9 PE",""),IF(AND(4&gt;$MQ5,4&lt;=$ND5),"4 → "&amp;$PN5&amp;", 12 PE",""),IF(AND(5&gt;$MQ5,5&lt;=$ND5),"5 → "&amp;$PO5&amp;", 15 PE",""),IF(AND(6&gt;$MQ5,6&lt;=$ND5),"6 → "&amp;$PP5&amp;", 18 PE",""),IF(AND(7&gt;$MQ5,7&lt;=$ND5),"7 → "&amp;$PQ5&amp;", 21 PE","")))))</f>
        <v/>
      </c>
      <c r="QK5" s="155">
        <f>IF(OR($NB5=0,$NM5=0),"",IF($MQ5=0,"−1 dado","−"&amp;INDEX($I$2:$N$8,MAX(1,$MQ5),MAX(1,$NR5))&amp;" · "&amp;CHOOSE(MAX(1,$NR5),"Leve","Média","Pesada","Leve · Livre","Média · Livre","Pesada · Livre")))</f>
        <v/>
      </c>
      <c r="QL5" s="155">
        <f>IF(OR($NB5=0,$NN5=0),"",IF($MQ5=0,"−1 dado","−"&amp;INDEX($I$2:$N$8,MAX(1,$MQ5),MAX(1,$NS5))&amp;" · "&amp;CHOOSE(MAX(1,$NS5),"Leve","Média","Pesada","Leve · Livre","Média · Livre","Pesada · Livre")))</f>
        <v/>
      </c>
      <c r="QM5" s="155">
        <f>IF(OR($NB5=0,$NO5=0),"",IF($MQ5=0,"−1 dado","−"&amp;INDEX($I$2:$N$8,MAX(1,$MQ5),MAX(1,$NT5))&amp;" · "&amp;CHOOSE(MAX(1,$NT5),"Leve","Média","Pesada","Leve · Livre","Média · Livre","Pesada · Livre")))</f>
        <v/>
      </c>
      <c r="QN5" s="155">
        <f>IF(OR($NB5=0,$NP5=0),"",IF($MQ5=0,"−1 dado","−"&amp;INDEX($I$2:$N$8,MAX(1,$MQ5),MAX(1,$NU5))&amp;" · "&amp;CHOOSE(MAX(1,$NU5),"Leve","Média","Pesada","Leve · Livre","Média · Livre","Pesada · Livre")))</f>
        <v/>
      </c>
      <c r="QO5" s="155">
        <f>IF(OR($NB5=0,$MZ5=""),"",IF($MQ5=0,"não devolve","+"&amp;IF($OG5=1,CEILING($MQ5/2,1),$MQ5)))</f>
        <v/>
      </c>
      <c r="QP5" s="155">
        <f>IF(OR($NB5=0,$NA5=""),"",IF($MQ5=0,"não devolve","+"&amp;IF($OH5=1,CEILING($MQ5/2,1),$MQ5)))</f>
        <v/>
      </c>
    </row>
    <row r="6">
      <c r="A6" s="155" t="n">
        <v>17</v>
      </c>
      <c r="B6" s="155" t="n">
        <v>5</v>
      </c>
      <c r="C6" s="155" t="n">
        <v>3</v>
      </c>
      <c r="D6" s="155" t="n">
        <v>11</v>
      </c>
      <c r="F6" s="155" t="n">
        <v>22</v>
      </c>
      <c r="H6" s="155" t="n">
        <v>5</v>
      </c>
      <c r="I6" s="155" t="n">
        <v>3</v>
      </c>
      <c r="J6" s="155" t="n">
        <v>5</v>
      </c>
      <c r="K6" s="155" t="n">
        <v>8</v>
      </c>
      <c r="L6" s="155" t="n">
        <v>1</v>
      </c>
      <c r="M6" s="155" t="n">
        <v>3</v>
      </c>
      <c r="N6" s="155" t="n">
        <v>6</v>
      </c>
      <c r="O6" s="155" t="n">
        <v>4</v>
      </c>
      <c r="P6" s="155" t="n">
        <v>11</v>
      </c>
      <c r="R6" s="155" t="n">
        <v>4</v>
      </c>
      <c r="T6" s="155" t="n">
        <v>7</v>
      </c>
      <c r="V6" s="153" t="inlineStr">
        <is>
          <t>Cone</t>
        </is>
      </c>
      <c r="W6" s="153" t="inlineStr">
        <is>
          <t>Área</t>
        </is>
      </c>
      <c r="X6" s="155" t="n">
        <v>1</v>
      </c>
      <c r="Y6" s="155" t="n">
        <v>0</v>
      </c>
      <c r="Z6" s="155" t="n">
        <v>0</v>
      </c>
      <c r="AA6" s="153" t="inlineStr">
        <is>
          <t>TR</t>
        </is>
      </c>
      <c r="AB6" s="155" t="n">
        <v>1</v>
      </c>
      <c r="AC6" s="155" t="n">
        <v>3</v>
      </c>
      <c r="AD6" s="155" t="n">
        <v>0</v>
      </c>
      <c r="AE6" s="155" t="n">
        <v>0</v>
      </c>
      <c r="AF6" s="155" t="n">
        <v>1</v>
      </c>
      <c r="AH6" s="153" t="inlineStr">
        <is>
          <t>Toque · classe 0</t>
        </is>
      </c>
      <c r="AI6" s="153" t="inlineStr">
        <is>
          <t>1,5 m, um alvo</t>
        </is>
      </c>
      <c r="AJ6" s="153" t="inlineStr">
        <is>
          <t>1,5 m, um alvo</t>
        </is>
      </c>
      <c r="AK6" s="153" t="inlineStr">
        <is>
          <t>1,5 m, um alvo</t>
        </is>
      </c>
      <c r="AL6" s="153" t="inlineStr">
        <is>
          <t>1,5 m, um alvo</t>
        </is>
      </c>
      <c r="AM6" s="153" t="inlineStr">
        <is>
          <t>1,5 m, um alvo</t>
        </is>
      </c>
      <c r="AN6" s="153" t="inlineStr">
        <is>
          <t>1,5 m, um alvo</t>
        </is>
      </c>
      <c r="AO6" s="153" t="inlineStr"/>
      <c r="AP6" s="153" t="inlineStr"/>
      <c r="AQ6" s="153" t="inlineStr"/>
      <c r="AR6" s="153" t="inlineStr"/>
      <c r="AS6" s="153" t="inlineStr"/>
      <c r="AT6" s="153" t="inlineStr"/>
      <c r="AV6" s="153" t="inlineStr">
        <is>
          <t>Passo</t>
        </is>
      </c>
      <c r="AW6" s="153" t="inlineStr">
        <is>
          <t>Alcance</t>
        </is>
      </c>
      <c r="AX6" s="155" t="n">
        <v>1</v>
      </c>
      <c r="AY6" s="155" t="n">
        <v>0</v>
      </c>
      <c r="AZ6" s="155" t="n">
        <v>0</v>
      </c>
      <c r="BA6" s="155" t="n">
        <v>0</v>
      </c>
      <c r="BC6" s="153" t="inlineStr">
        <is>
          <t>Carregar</t>
        </is>
      </c>
      <c r="BD6" s="153" t="inlineStr">
        <is>
          <t>Carregar</t>
        </is>
      </c>
      <c r="BE6" s="155" t="n">
        <v>2</v>
      </c>
      <c r="BF6" s="155" t="n">
        <v>0</v>
      </c>
      <c r="BG6" s="153" t="inlineStr"/>
      <c r="BI6" s="153" t="inlineStr">
        <is>
          <t>Farejador</t>
        </is>
      </c>
      <c r="BJ6" s="155" t="n">
        <v>1</v>
      </c>
      <c r="BK6" s="153" t="inlineStr">
        <is>
          <t>Você sente se houve uma conjuração no local onde está nas últimas 24 horas, e identifica a Classe deixada por ela. Se houver vestígios de mais de uma Classe, reconhece essas Classes.</t>
        </is>
      </c>
      <c r="BL6" s="153" t="inlineStr">
        <is>
          <t>Farejador</t>
        </is>
      </c>
      <c r="BN6" s="153" t="inlineStr">
        <is>
          <t>Maldição domada</t>
        </is>
      </c>
      <c r="BS6" s="153" t="inlineStr">
        <is>
          <t>Auxiliares</t>
        </is>
      </c>
      <c r="BU6" s="153" t="inlineStr">
        <is>
          <t>Essência</t>
        </is>
      </c>
      <c r="CC6" s="153" t="inlineStr">
        <is>
          <t>Prestidigitação</t>
        </is>
      </c>
      <c r="CD6" s="153" t="inlineStr">
        <is>
          <t>Destreza</t>
        </is>
      </c>
      <c r="CH6" s="153" t="inlineStr">
        <is>
          <t>Frio</t>
        </is>
      </c>
      <c r="CJ6" s="153" t="inlineStr">
        <is>
          <t>TR Espírito</t>
        </is>
      </c>
      <c r="CL6" s="155" t="n">
        <v>4</v>
      </c>
      <c r="CY6" s="153" t="inlineStr">
        <is>
          <t>valor da defesa</t>
        </is>
      </c>
      <c r="CZ6" s="155">
        <f>IF($CZ$5="Inteligência",N(FICHA!$AB$19),N(FICHA!$AJ$19))</f>
        <v/>
      </c>
      <c r="DB6" s="155" t="n">
        <v>5</v>
      </c>
      <c r="DC6" s="155">
        <f>'INVOCAÇÕES'!$I$805&amp;""</f>
        <v/>
      </c>
      <c r="DD6" s="155">
        <f>'INVOCAÇÕES'!$I$835&amp;""</f>
        <v/>
      </c>
      <c r="DE6" s="155">
        <f>'INVOCAÇÕES'!$I$839&amp;""</f>
        <v/>
      </c>
      <c r="DF6" s="155">
        <f>N('INVOCAÇÕES'!$K$839)</f>
        <v/>
      </c>
      <c r="DG6" s="155">
        <f>'INVOCAÇÕES'!$L$839&amp;""</f>
        <v/>
      </c>
      <c r="DH6" s="155">
        <f>N('INVOCAÇÕES'!$O$812)</f>
        <v/>
      </c>
      <c r="DI6" s="155">
        <f>N('INVOCAÇÕES'!$P$812)</f>
        <v/>
      </c>
      <c r="DJ6" s="155">
        <f>N('INVOCAÇÕES'!$Q$812)</f>
        <v/>
      </c>
      <c r="DK6" s="155">
        <f>N('INVOCAÇÕES'!$R$812)</f>
        <v/>
      </c>
      <c r="DL6" s="155">
        <f>N('INVOCAÇÕES'!$S$812)</f>
        <v/>
      </c>
      <c r="DM6" s="155">
        <f>N('INVOCAÇÕES'!$O$813)</f>
        <v/>
      </c>
      <c r="DN6" s="155">
        <f>N('INVOCAÇÕES'!$P$813)</f>
        <v/>
      </c>
      <c r="DO6" s="155">
        <f>N('INVOCAÇÕES'!$Q$813)</f>
        <v/>
      </c>
      <c r="DP6" s="155">
        <f>N('INVOCAÇÕES'!$R$813)</f>
        <v/>
      </c>
      <c r="DQ6" s="155">
        <f>N('INVOCAÇÕES'!$S$813)</f>
        <v/>
      </c>
      <c r="DR6" s="155">
        <f>'INVOCAÇÕES'!$O$826&amp;""</f>
        <v/>
      </c>
      <c r="DS6" s="155">
        <f>'INVOCAÇÕES'!$R$826&amp;""</f>
        <v/>
      </c>
      <c r="DT6" s="155">
        <f>'INVOCAÇÕES'!$S$821&amp;""</f>
        <v/>
      </c>
      <c r="DU6" s="155">
        <f>N('INVOCAÇÕES'!$O$818)</f>
        <v/>
      </c>
      <c r="DV6" s="155">
        <f>N('INVOCAÇÕES'!$P$818)</f>
        <v/>
      </c>
      <c r="DW6" s="155">
        <f>N('INVOCAÇÕES'!$Q$818)</f>
        <v/>
      </c>
      <c r="DX6" s="155">
        <f>N('INVOCAÇÕES'!$R$818)</f>
        <v/>
      </c>
      <c r="DY6" s="155">
        <f>N('INVOCAÇÕES'!$S$818)</f>
        <v/>
      </c>
      <c r="DZ6" s="155">
        <f>N('INVOCAÇÕES'!$O$823)</f>
        <v/>
      </c>
      <c r="EA6" s="155">
        <f>N('INVOCAÇÕES'!$P$823)</f>
        <v/>
      </c>
      <c r="EB6" s="155">
        <f>N('INVOCAÇÕES'!$Q$823)</f>
        <v/>
      </c>
      <c r="EC6" s="155">
        <f>N('INVOCAÇÕES'!$R$823)</f>
        <v/>
      </c>
      <c r="ED6" s="155">
        <f>'INVOCAÇÕES'!$U$805&amp;""</f>
        <v/>
      </c>
      <c r="EE6" s="155">
        <f>N('INVOCAÇÕES'!$W$805)</f>
        <v/>
      </c>
      <c r="EF6" s="155">
        <f>'INVOCAÇÕES'!$Y$805&amp;""</f>
        <v/>
      </c>
      <c r="EG6" s="155">
        <f>SUM('INVOCAÇÕES'!$Y$825:'INVOCAÇÕES'!$Y$827,'INVOCAÇÕES'!$Y$829:'INVOCAÇÕES'!$Y$834)</f>
        <v/>
      </c>
      <c r="EH6" s="155">
        <f>'INVOCAÇÕES'!$U$810&amp;""</f>
        <v/>
      </c>
      <c r="EI6" s="155">
        <f>'INVOCAÇÕES'!$V$810&amp;""</f>
        <v/>
      </c>
      <c r="EJ6" s="155">
        <f>'INVOCAÇÕES'!$O$840&amp;""</f>
        <v/>
      </c>
      <c r="EK6" s="155">
        <f>'INVOCAÇÕES'!$P$840&amp;""</f>
        <v/>
      </c>
      <c r="EL6" s="155">
        <f>'INVOCAÇÕES'!$Q$840&amp;""</f>
        <v/>
      </c>
      <c r="EM6" s="155">
        <f>'INVOCAÇÕES'!$R$840&amp;""</f>
        <v/>
      </c>
      <c r="EN6" s="155">
        <f>'INVOCAÇÕES'!$S$840&amp;""</f>
        <v/>
      </c>
      <c r="EO6" s="155">
        <f>'INVOCAÇÕES'!$O$830&amp;""</f>
        <v/>
      </c>
      <c r="EP6" s="155">
        <f>'INVOCAÇÕES'!$O$831&amp;""</f>
        <v/>
      </c>
      <c r="EQ6" s="155">
        <f>'INVOCAÇÕES'!$O$832&amp;""</f>
        <v/>
      </c>
      <c r="ER6" s="155">
        <f>'INVOCAÇÕES'!$O$833&amp;""</f>
        <v/>
      </c>
      <c r="ES6" s="155">
        <f>'INVOCAÇÕES'!$O$834&amp;""</f>
        <v/>
      </c>
      <c r="ET6" s="155">
        <f>'INVOCAÇÕES'!$O$835&amp;""</f>
        <v/>
      </c>
      <c r="EU6" s="155">
        <f>'INVOCAÇÕES'!$O$836&amp;""</f>
        <v/>
      </c>
      <c r="EV6" s="155">
        <f>'INVOCAÇÕES'!$J$872&amp;""</f>
        <v/>
      </c>
      <c r="EW6" s="155">
        <f>'INVOCAÇÕES'!$J$873&amp;""</f>
        <v/>
      </c>
      <c r="EX6" s="155">
        <f>'INVOCAÇÕES'!$J$874&amp;""</f>
        <v/>
      </c>
      <c r="EY6" s="155">
        <f>'INVOCAÇÕES'!$J$875&amp;""</f>
        <v/>
      </c>
      <c r="EZ6" s="155">
        <f>'INVOCAÇÕES'!$J$876&amp;""</f>
        <v/>
      </c>
      <c r="FA6" s="155">
        <f>'INVOCAÇÕES'!$J$877&amp;""</f>
        <v/>
      </c>
      <c r="FB6" s="155">
        <f>'INVOCAÇÕES'!$J$878&amp;""</f>
        <v/>
      </c>
      <c r="FC6" s="155">
        <f>'INVOCAÇÕES'!$J$879&amp;""</f>
        <v/>
      </c>
      <c r="FD6" s="155">
        <f>'INVOCAÇÕES'!$J$974&amp;""</f>
        <v/>
      </c>
      <c r="FE6" s="155">
        <f>'INVOCAÇÕES'!$J$975&amp;""</f>
        <v/>
      </c>
      <c r="FF6" s="155">
        <f>'INVOCAÇÕES'!$J$976&amp;""</f>
        <v/>
      </c>
      <c r="FG6" s="155">
        <f>MAX(3,MIN(7,N('INVOCAÇÕES'!$I$981)))</f>
        <v/>
      </c>
      <c r="FH6" s="155">
        <f>MAX(3,MIN(7,N('INVOCAÇÕES'!$O$981)))</f>
        <v/>
      </c>
      <c r="FI6" s="155">
        <f>MAX(3,MIN(7,N('INVOCAÇÕES'!$U$981)))</f>
        <v/>
      </c>
      <c r="FJ6" s="155">
        <f>'INVOCAÇÕES'!$O$995&amp;""</f>
        <v/>
      </c>
      <c r="FK6" s="155">
        <f>IF($DC6&lt;&gt;"",1,0)</f>
        <v/>
      </c>
      <c r="FL6" s="155">
        <f>IFERROR(VLOOKUP($DE6,$BP$2:$BQ$5,2,FALSE),1)</f>
        <v/>
      </c>
      <c r="FM6" s="155">
        <f>IF($FL6=1,$CZ$2,MAX(1,MIN($CZ$2,IF($DF6=0,$CZ$2,$DF6))))</f>
        <v/>
      </c>
      <c r="FN6" s="155">
        <f>VLOOKUP(MAX(1,$FM6),$A$2:$D$8,2,TRUE)</f>
        <v/>
      </c>
      <c r="FO6" s="155">
        <f>VLOOKUP(MAX(1,$FM6),$A$2:$D$8,3,TRUE)</f>
        <v/>
      </c>
      <c r="FP6" s="155">
        <f>$DH6+$DM6</f>
        <v/>
      </c>
      <c r="FQ6" s="155">
        <f>$DI6+$DN6</f>
        <v/>
      </c>
      <c r="FR6" s="155">
        <f>$DJ6+$DO6</f>
        <v/>
      </c>
      <c r="FS6" s="155">
        <f>$DK6+$DP6</f>
        <v/>
      </c>
      <c r="FT6" s="155">
        <f>$DL6+$DQ6</f>
        <v/>
      </c>
      <c r="FU6" s="155">
        <f>SUM($DH6:$DL6)</f>
        <v/>
      </c>
      <c r="FV6" s="155">
        <f>9+$FW6</f>
        <v/>
      </c>
      <c r="FW6" s="155">
        <f>COUNTIF($F$2:$F$8,"&lt;="&amp;$FM6)</f>
        <v/>
      </c>
      <c r="FX6" s="155">
        <f>MAX(0,$DH6-3)+MAX(0,$DI6-3)+MAX(0,$DJ6-3)+MAX(0,$DK6-3)+MAX(0,$DL6-3)</f>
        <v/>
      </c>
      <c r="FY6" s="155">
        <f>IFERROR(INDEX($FP6:$FT6,1,MATCH($DR6,$BU$2:$BU$6,0)),"")</f>
        <v/>
      </c>
      <c r="FZ6" s="155">
        <f>IF($FY6="","",$FY6+$CZ$3+$DU6)</f>
        <v/>
      </c>
      <c r="GA6" s="155">
        <f>IF($FY6="","",8+$FY6+$CZ$3+$DV6)</f>
        <v/>
      </c>
      <c r="GB6" s="155">
        <f>10+$FQ6+$CZ$7+$DW6</f>
        <v/>
      </c>
      <c r="GC6" s="155">
        <f>IF($DD6="Corpo amaldiçoado de criação",1,0)</f>
        <v/>
      </c>
      <c r="GD6" s="155">
        <f>5+$FR6+(3+$GC6+$FR6)*($FM6-1)+$DX6</f>
        <v/>
      </c>
      <c r="GE6" s="155">
        <f>IF($FK6=0,"",$GD6)</f>
        <v/>
      </c>
      <c r="GF6" s="155">
        <f>IF($ED6="",$GD6,MAX(0,MIN(IFERROR(VALUE($ED6),$GD6),$GD6)))</f>
        <v/>
      </c>
      <c r="GG6" s="155">
        <f>IF(AND($FK6=1,$EH6&lt;&gt;"Sem alma"),MAX(1,INT($GD6/2)),"")</f>
        <v/>
      </c>
      <c r="GH6" s="155">
        <f>$GG6</f>
        <v/>
      </c>
      <c r="GI6" s="155">
        <f>IF($GG6="","",IF($EI6="",$GG6,MAX(0,MIN(IFERROR(VALUE($EI6),$GG6),$GG6))))</f>
        <v/>
      </c>
      <c r="GJ6" s="155">
        <f>IF($FK6=0,"",IF($GG6="","—",$GG6))</f>
        <v/>
      </c>
      <c r="GK6" s="155">
        <f>IF($FK6=0,"",IF($GG6="","Sem alma · imune a dano de Alma",IF($GI6&lt;=0,"Estágio 4 · caída, como a zero de vida",IF($GI6&lt;=$GG6/4,"Estágio 3 · desvantagem em ataques e TRs, Classe pela metade",IF($GI6&lt;=$GG6/2,"Estágio 2 · metade do deslocamento, +1 PE por Classe",IF($GI6&lt;=$GG6*3/4,"Estágio 1 · desvantagem em perícias","Alma inteira"))))))</f>
        <v/>
      </c>
      <c r="GL6" s="155">
        <f>9+$DY6</f>
        <v/>
      </c>
      <c r="GM6" s="155">
        <f>IF($DS6="Destreza",$FQ6,$FP6)</f>
        <v/>
      </c>
      <c r="GN6" s="155">
        <f>$GM6+IF($DT6="Físico",$CZ$3,0)+$DZ6</f>
        <v/>
      </c>
      <c r="GO6" s="155">
        <f>$FR6+IF($DT6="Vigor",$CZ$3,0)+$EA6</f>
        <v/>
      </c>
      <c r="GP6" s="155">
        <f>$FS6+IF($DT6="Intelecto",$CZ$3,0)+$EB6</f>
        <v/>
      </c>
      <c r="GQ6" s="155">
        <f>$FT6+IF($DT6="Espírito",$CZ$3,0)+$EC6</f>
        <v/>
      </c>
      <c r="GR6" s="155">
        <f>4+INT($DK6/2)</f>
        <v/>
      </c>
      <c r="GS6" s="155">
        <f>COUNTIF($EO6:$EU6,"?*")</f>
        <v/>
      </c>
      <c r="GT6" s="155">
        <f>INT((2+$FM6/2)/2)</f>
        <v/>
      </c>
      <c r="GU6" s="155">
        <f>IF($FM6&gt;=11,2,1)</f>
        <v/>
      </c>
      <c r="GV6" s="155">
        <f>1+$FW6</f>
        <v/>
      </c>
      <c r="GW6" s="155">
        <f>COUNTIF($EV6:$FC6,"?*")</f>
        <v/>
      </c>
      <c r="GX6" s="155">
        <f>IF(AND($DD6="Shikigami de criação",$DG6="Com carga"),MAX(1,CEILING($FN6/2,1)),$FN6)</f>
        <v/>
      </c>
      <c r="GY6" s="155">
        <f>$FN6+$GX6</f>
        <v/>
      </c>
      <c r="GZ6" s="155">
        <f>$FM6*(1+INT($DL6/3))</f>
        <v/>
      </c>
      <c r="HA6" s="155">
        <f>5+$FP6</f>
        <v/>
      </c>
      <c r="HB6" s="155">
        <f>COUNTIF($EJ6:$EN6,"?*")</f>
        <v/>
      </c>
      <c r="HC6" s="155">
        <f>IF($EJ6="",0,IF(COUNTIF($EJ6:$EN6,$EJ6)&gt;1,1,0))+IF($EK6="",0,IF(COUNTIF($EJ6:$EN6,$EK6)&gt;1,1,0))+IF($EL6="",0,IF(COUNTIF($EJ6:$EN6,$EL6)&gt;1,1,0))+IF($EM6="",0,IF(COUNTIF($EJ6:$EN6,$EM6)&gt;1,1,0))+IF($EN6="",0,IF(COUNTIF($EJ6:$EN6,$EN6)&gt;1,1,0))</f>
        <v/>
      </c>
      <c r="HD6" s="155">
        <f>$CZ$11</f>
        <v/>
      </c>
      <c r="HE6" s="155">
        <f>IF($FK6=0,"INVOCAÇÃO 5 · lugar vazio",$DC6&amp;" · "&amp;$DD6&amp;" · nível "&amp;$FM6&amp;" · vida "&amp;$GF6&amp;" de "&amp;$GD6)</f>
        <v/>
      </c>
      <c r="HF6" s="155">
        <f>IF($FK6=0,"VAZIA",UPPER($DC6))</f>
        <v/>
      </c>
      <c r="HG6" s="155">
        <f>IF($CZ$3&gt;=0,"+","−")&amp;ABS($CZ$3)</f>
        <v/>
      </c>
      <c r="HH6" s="155">
        <f>$GX6&amp;" PE"</f>
        <v/>
      </c>
      <c r="HI6" s="155">
        <f>$GY6&amp;" PE"</f>
        <v/>
      </c>
      <c r="HJ6" s="155">
        <f>IF(OR($FU6&gt;$FV6,$FX6&gt;$FW6),"⚠ ",IF(AND($FK6=1,$FU6&lt;$FV6),"! ",""))&amp;"ATRIBUTOS · "&amp;$FU6&amp;" DE "&amp;$FV6&amp;" PONTOS"&amp;IF($FX6&gt;$FW6," · ACIMA DE 3 SÓ COM MARCO","")</f>
        <v/>
      </c>
      <c r="HK6" s="155">
        <f>IF($FZ6="","",IF($FZ6&gt;=0,"+","−")&amp;ABS($FZ6))</f>
        <v/>
      </c>
      <c r="HL6" s="155">
        <f>IF($GA6="","",$GA6)</f>
        <v/>
      </c>
      <c r="HM6" s="155">
        <f>SUBSTITUTE($GL6&amp;" m",".",",")</f>
        <v/>
      </c>
      <c r="HN6" s="155">
        <f>IF($GN6&gt;=0,"+","−")&amp;ABS($GN6)</f>
        <v/>
      </c>
      <c r="HO6" s="155">
        <f>IF($GO6&gt;=0,"+","−")&amp;ABS($GO6)</f>
        <v/>
      </c>
      <c r="HP6" s="155">
        <f>IF($GP6&gt;=0,"+","−")&amp;ABS($GP6)</f>
        <v/>
      </c>
      <c r="HQ6" s="155">
        <f>IF($GQ6&gt;=0,"+","−")&amp;ABS($GQ6)</f>
        <v/>
      </c>
      <c r="HR6" s="155">
        <f>IF($GS6&gt;$GR6,"⚠ ","")&amp;"PERÍCIAS · "&amp;$GS6&amp;" DE "&amp;$GR6</f>
        <v/>
      </c>
      <c r="HS6" s="155">
        <f>IF($EO6="","",IFERROR(IF((INDEX($FP6:$FT6,1,MATCH(VLOOKUP($EO6,$CC$2:$CD$24,2,FALSE),$BU$2:$BU$6,0))+$CZ$3)&gt;=0,"+","−")&amp;ABS((INDEX($FP6:$FT6,1,MATCH(VLOOKUP($EO6,$CC$2:$CD$24,2,FALSE),$BU$2:$BU$6,0))+$CZ$3)),""))</f>
        <v/>
      </c>
      <c r="HT6" s="155">
        <f>IF($EP6="","",IFERROR(IF((INDEX($FP6:$FT6,1,MATCH(VLOOKUP($EP6,$CC$2:$CD$24,2,FALSE),$BU$2:$BU$6,0))+$CZ$3)&gt;=0,"+","−")&amp;ABS((INDEX($FP6:$FT6,1,MATCH(VLOOKUP($EP6,$CC$2:$CD$24,2,FALSE),$BU$2:$BU$6,0))+$CZ$3)),""))</f>
        <v/>
      </c>
      <c r="HU6" s="155">
        <f>IF($EQ6="","",IFERROR(IF((INDEX($FP6:$FT6,1,MATCH(VLOOKUP($EQ6,$CC$2:$CD$24,2,FALSE),$BU$2:$BU$6,0))+$CZ$3)&gt;=0,"+","−")&amp;ABS((INDEX($FP6:$FT6,1,MATCH(VLOOKUP($EQ6,$CC$2:$CD$24,2,FALSE),$BU$2:$BU$6,0))+$CZ$3)),""))</f>
        <v/>
      </c>
      <c r="HV6" s="155">
        <f>IF($ER6="","",IFERROR(IF((INDEX($FP6:$FT6,1,MATCH(VLOOKUP($ER6,$CC$2:$CD$24,2,FALSE),$BU$2:$BU$6,0))+$CZ$3)&gt;=0,"+","−")&amp;ABS((INDEX($FP6:$FT6,1,MATCH(VLOOKUP($ER6,$CC$2:$CD$24,2,FALSE),$BU$2:$BU$6,0))+$CZ$3)),""))</f>
        <v/>
      </c>
      <c r="HW6" s="155">
        <f>IF($ES6="","",IFERROR(IF((INDEX($FP6:$FT6,1,MATCH(VLOOKUP($ES6,$CC$2:$CD$24,2,FALSE),$BU$2:$BU$6,0))+$CZ$3)&gt;=0,"+","−")&amp;ABS((INDEX($FP6:$FT6,1,MATCH(VLOOKUP($ES6,$CC$2:$CD$24,2,FALSE),$BU$2:$BU$6,0))+$CZ$3)),""))</f>
        <v/>
      </c>
      <c r="HX6" s="155">
        <f>IF($ET6="","",IFERROR(IF((INDEX($FP6:$FT6,1,MATCH(VLOOKUP($ET6,$CC$2:$CD$24,2,FALSE),$BU$2:$BU$6,0))+$CZ$3)&gt;=0,"+","−")&amp;ABS((INDEX($FP6:$FT6,1,MATCH(VLOOKUP($ET6,$CC$2:$CD$24,2,FALSE),$BU$2:$BU$6,0))+$CZ$3)),""))</f>
        <v/>
      </c>
      <c r="HY6" s="155">
        <f>IF($EU6="","",IFERROR(IF((INDEX($FP6:$FT6,1,MATCH(VLOOKUP($EU6,$CC$2:$CD$24,2,FALSE),$BU$2:$BU$6,0))+$CZ$3)&gt;=0,"+","−")&amp;ABS((INDEX($FP6:$FT6,1,MATCH(VLOOKUP($EU6,$CC$2:$CD$24,2,FALSE),$BU$2:$BU$6,0))+$CZ$3)),""))</f>
        <v/>
      </c>
      <c r="HZ6" s="155">
        <f>IF($DD6="Maldição domada","RESERVA · MÁX. "&amp;$GZ6,"RESERVA DE PE")</f>
        <v/>
      </c>
      <c r="IA6" s="155">
        <f>IF($EG6&gt;$HA6,"⚠ ","")&amp;"EQUIPAMENTO · "&amp;$EG6&amp;" DE "&amp;$HA6&amp;" DE VOLUME"&amp;IF($EG6&gt;$HA6," · PASSOU DO LIMITE","")</f>
        <v/>
      </c>
      <c r="IB6" s="155">
        <f>IF(OR($HC6&gt;0,$HB6&gt;$HD6),"⚠ ","")&amp;"FAMÍLIAS · "&amp;$HB6&amp;" ABERTAS"&amp;IF($HC6&gt;0," · REPETIDA","")&amp;IF($HB6&gt;$HD6," · O LIMITE É "&amp;$HD6,"")</f>
        <v/>
      </c>
      <c r="IC6" s="155">
        <f>"HABILIDADES · básica de "&amp;$FO6&amp;"d6 · "&amp;$GT6&amp;IF($GT6&gt;1," espaços"," espaço")&amp;" de especial até a Classe "&amp;$FN6&amp;" · "&amp;$GV6&amp;IF($GV6&gt;1," talentos"," talento")</f>
        <v/>
      </c>
      <c r="ID6" s="155">
        <f>IF($GW6&gt;$GV6,"⚠ ","")&amp;"TALENTOS · "&amp;$GW6&amp;" DE "&amp;$GV6</f>
        <v/>
      </c>
      <c r="IE6" s="155">
        <f>IFERROR(VLOOKUP($EV6,$BI$2:$BL$15,2,FALSE),0)</f>
        <v/>
      </c>
      <c r="IF6" s="155">
        <f>IFERROR(VLOOKUP($EW6,$BI$2:$BL$15,2,FALSE),0)</f>
        <v/>
      </c>
      <c r="IG6" s="155">
        <f>IFERROR(VLOOKUP($EX6,$BI$2:$BL$15,2,FALSE),0)</f>
        <v/>
      </c>
      <c r="IH6" s="155">
        <f>IFERROR(VLOOKUP($EY6,$BI$2:$BL$15,2,FALSE),0)</f>
        <v/>
      </c>
      <c r="II6" s="155">
        <f>IFERROR(VLOOKUP($EZ6,$BI$2:$BL$15,2,FALSE),0)</f>
        <v/>
      </c>
      <c r="IJ6" s="155">
        <f>IFERROR(VLOOKUP($FA6,$BI$2:$BL$15,2,FALSE),0)</f>
        <v/>
      </c>
      <c r="IK6" s="155">
        <f>IFERROR(VLOOKUP($FB6,$BI$2:$BL$15,2,FALSE),0)</f>
        <v/>
      </c>
      <c r="IL6" s="155">
        <f>IFERROR(VLOOKUP($FC6,$BI$2:$BL$15,2,FALSE),0)</f>
        <v/>
      </c>
      <c r="IM6" s="155">
        <f>IF($EV6="","",IF(1&gt;$FM6,"⚠ Este talento abre no nível 1",IF($IE6&gt;1,"⚠ Categoria "&amp;$IE6&amp;": este ganho vai até a 1 · ","")&amp;IFERROR(VLOOKUP($EV6,$BI$2:$BL$15,3,FALSE),"")))</f>
        <v/>
      </c>
      <c r="IN6" s="155">
        <f>IF($EW6="","",IF(6&gt;$FM6,"⚠ Este talento abre no nível 6",IF($IF6&gt;1,"⚠ Categoria "&amp;$IF6&amp;": este ganho vai até a 1 · ","")&amp;IFERROR(VLOOKUP($EW6,$BI$2:$BL$15,3,FALSE),"")))</f>
        <v/>
      </c>
      <c r="IO6" s="155">
        <f>IF($EX6="","",IF(10&gt;$FM6,"⚠ Este talento abre no nível 10",IF($IG6&gt;2,"⚠ Categoria "&amp;$IG6&amp;": este ganho vai até a 2 · ","")&amp;IFERROR(VLOOKUP($EX6,$BI$2:$BL$15,3,FALSE),"")))</f>
        <v/>
      </c>
      <c r="IP6" s="155">
        <f>IF($EY6="","",IF(14&gt;$FM6,"⚠ Este talento abre no nível 14",IF($IH6&gt;3,"⚠ Categoria "&amp;$IH6&amp;": este ganho vai até a 3 · ","")&amp;IFERROR(VLOOKUP($EY6,$BI$2:$BL$15,3,FALSE),"")))</f>
        <v/>
      </c>
      <c r="IQ6" s="155">
        <f>IF($EZ6="","",IF(18&gt;$FM6,"⚠ Este talento abre no nível 18",IF($II6&gt;3,"⚠ Categoria "&amp;$II6&amp;": este ganho vai até a 3 · ","")&amp;IFERROR(VLOOKUP($EZ6,$BI$2:$BL$15,3,FALSE),"")))</f>
        <v/>
      </c>
      <c r="IR6" s="155">
        <f>IF($FA6="","",IF(22&gt;$FM6,"⚠ Este talento abre no nível 22",IF($IJ6&gt;3,"⚠ Categoria "&amp;$IJ6&amp;": este ganho vai até a 3 · ","")&amp;IFERROR(VLOOKUP($FA6,$BI$2:$BL$15,3,FALSE),"")))</f>
        <v/>
      </c>
      <c r="IS6" s="155">
        <f>IF($FB6="","",IF(26&gt;$FM6,"⚠ Este talento abre no nível 26",IF($IK6&gt;3,"⚠ Categoria "&amp;$IK6&amp;": este ganho vai até a 3 · ","")&amp;IFERROR(VLOOKUP($FB6,$BI$2:$BL$15,3,FALSE),"")))</f>
        <v/>
      </c>
      <c r="IT6" s="155">
        <f>IF($FC6="","",IF(30&gt;$FM6,"⚠ Este talento abre no nível 30",IF($IL6&gt;3,"⚠ Categoria "&amp;$IL6&amp;": este ganho vai até a 3 · ","")&amp;IFERROR(VLOOKUP($FC6,$BI$2:$BL$15,3,FALSE),"")))</f>
        <v/>
      </c>
      <c r="IU6" s="155">
        <f>IF($FD6="","",IFERROR(VLOOKUP($FD6,$BI$2:$BL$15,3,FALSE),""))</f>
        <v/>
      </c>
      <c r="IV6" s="155">
        <f>IF($FE6="","",IFERROR(VLOOKUP($FE6,$BI$2:$BL$15,3,FALSE),""))</f>
        <v/>
      </c>
      <c r="IW6" s="155">
        <f>IF($FF6="","",IFERROR(VLOOKUP($FF6,$BI$2:$BL$15,3,FALSE),""))</f>
        <v/>
      </c>
      <c r="IX6" s="155">
        <f>CEILING(4.5*$FG6,1)&amp;" PE"</f>
        <v/>
      </c>
      <c r="IY6" s="155">
        <f>CEILING(4.5*$FH6,1)&amp;" PE"</f>
        <v/>
      </c>
      <c r="IZ6" s="155">
        <f>CEILING(4.5*$FI6,1)&amp;" PE"</f>
        <v/>
      </c>
      <c r="JA6" s="155">
        <f>INDEX($P$2:$P$8,$FG6)&amp;" pontos + "&amp;$FG6&amp;"d8"</f>
        <v/>
      </c>
      <c r="JB6" s="155">
        <f>INDEX($P$2:$P$8,$FH6)&amp;" pontos + "&amp;$FH6&amp;"d8"</f>
        <v/>
      </c>
      <c r="JC6" s="155">
        <f>INDEX($P$2:$P$8,$FI6)&amp;" pontos + "&amp;$FI6&amp;"d8"</f>
        <v/>
      </c>
      <c r="JD6" s="155">
        <f>IF($FM6&lt;17,"—",VLOOKUP($FM6,$CN$2:$CQ$4,4,TRUE)&amp;" PE")</f>
        <v/>
      </c>
      <c r="JE6" s="155">
        <f>IF($FM6&lt;17,"Abre no nível 17",VLOOKUP($FM6,$CN$2:$CQ$4,2,TRUE)&amp;" fixos · "&amp;VLOOKUP($FM6,$CN$2:$CQ$4,3,TRUE)&amp;" pontos")</f>
        <v/>
      </c>
      <c r="JF6" s="155">
        <f>IF($FJ6="Sem Barreiras",7,6)*$FN6&amp;" PE"</f>
        <v/>
      </c>
      <c r="JG6" s="155">
        <f>"Acerto "&amp;$FN6&amp;"d8"</f>
        <v/>
      </c>
      <c r="JH6" s="155">
        <f>IFERROR(VLOOKUP($FJ6,$CS$2:$CU$4,3,FALSE),"Escolha o degrau")</f>
        <v/>
      </c>
      <c r="JI6" s="155">
        <f>5&amp;" · "&amp;IF($FK6=0,"vazia",$DC6&amp;" · nv "&amp;$FM6&amp;" · "&amp;$GF6&amp;"/"&amp;$GD6)</f>
        <v/>
      </c>
      <c r="JM6" s="153" t="inlineStr">
        <is>
          <t>Invocação 5</t>
        </is>
      </c>
      <c r="JN6" s="155">
        <f>ADDRESS(ROW('INVOCAÇÕES'!D25),COLUMN('INVOCAÇÕES'!D25),4)</f>
        <v/>
      </c>
      <c r="JO6" s="155">
        <f>ADDRESS(ROW('INVOCAÇÕES'!H801),COLUMN('INVOCAÇÕES'!H801),4)</f>
        <v/>
      </c>
      <c r="JP6" s="153" t="inlineStr">
        <is>
          <t>DADOS_INVOC!$JI$6</t>
        </is>
      </c>
      <c r="JR6" s="155">
        <f>IF(OR($AW6="",COUNTIF($EJ$2:$EN$2,$AW6)&gt;0),$AV6,"")</f>
        <v/>
      </c>
      <c r="JS6" s="155">
        <f>IF(AND($AX6=1,OR($AW6="",COUNTIF($EJ$2:$EN$2,$AW6)&gt;0)),$AV6,"")</f>
        <v/>
      </c>
      <c r="JU6" s="155">
        <f>IF(OR($W6="",COUNTIF($EJ$2:$EN$2,$W6)&gt;0),$V6,"")</f>
        <v/>
      </c>
      <c r="JV6" s="155">
        <f>IF(AND($AF6=1,OR($W6="",COUNTIF($EJ$2:$EN$2,$W6)&gt;0)),$V6,"")</f>
        <v/>
      </c>
      <c r="JX6" s="155">
        <f>IF(OR($AW6="",COUNTIF($EJ$3:$EN$3,$AW6)&gt;0),$AV6,"")</f>
        <v/>
      </c>
      <c r="JY6" s="155">
        <f>IF(AND($AX6=1,OR($AW6="",COUNTIF($EJ$3:$EN$3,$AW6)&gt;0)),$AV6,"")</f>
        <v/>
      </c>
      <c r="KA6" s="155">
        <f>IF(OR($W6="",COUNTIF($EJ$3:$EN$3,$W6)&gt;0),$V6,"")</f>
        <v/>
      </c>
      <c r="KB6" s="155">
        <f>IF(AND($AF6=1,OR($W6="",COUNTIF($EJ$3:$EN$3,$W6)&gt;0)),$V6,"")</f>
        <v/>
      </c>
      <c r="KD6" s="155">
        <f>IF(OR($AW6="",COUNTIF($EJ$4:$EN$4,$AW6)&gt;0),$AV6,"")</f>
        <v/>
      </c>
      <c r="KE6" s="155">
        <f>IF(AND($AX6=1,OR($AW6="",COUNTIF($EJ$4:$EN$4,$AW6)&gt;0)),$AV6,"")</f>
        <v/>
      </c>
      <c r="KG6" s="155">
        <f>IF(OR($W6="",COUNTIF($EJ$4:$EN$4,$W6)&gt;0),$V6,"")</f>
        <v/>
      </c>
      <c r="KH6" s="155">
        <f>IF(AND($AF6=1,OR($W6="",COUNTIF($EJ$4:$EN$4,$W6)&gt;0)),$V6,"")</f>
        <v/>
      </c>
      <c r="KJ6" s="155">
        <f>IF(OR($AW6="",COUNTIF($EJ$5:$EN$5,$AW6)&gt;0),$AV6,"")</f>
        <v/>
      </c>
      <c r="KK6" s="155">
        <f>IF(AND($AX6=1,OR($AW6="",COUNTIF($EJ$5:$EN$5,$AW6)&gt;0)),$AV6,"")</f>
        <v/>
      </c>
      <c r="KM6" s="155">
        <f>IF(OR($W6="",COUNTIF($EJ$5:$EN$5,$W6)&gt;0),$V6,"")</f>
        <v/>
      </c>
      <c r="KN6" s="155">
        <f>IF(AND($AF6=1,OR($W6="",COUNTIF($EJ$5:$EN$5,$W6)&gt;0)),$V6,"")</f>
        <v/>
      </c>
      <c r="KP6" s="155">
        <f>IF(OR($AW6="",COUNTIF($EJ$6:$EN$6,$AW6)&gt;0),$AV6,"")</f>
        <v/>
      </c>
      <c r="KQ6" s="155">
        <f>IF(AND($AX6=1,OR($AW6="",COUNTIF($EJ$6:$EN$6,$AW6)&gt;0)),$AV6,"")</f>
        <v/>
      </c>
      <c r="KS6" s="155">
        <f>IF(OR($W6="",COUNTIF($EJ$6:$EN$6,$W6)&gt;0),$V6,"")</f>
        <v/>
      </c>
      <c r="KT6" s="155">
        <f>IF(AND($AF6=1,OR($W6="",COUNTIF($EJ$6:$EN$6,$W6)&gt;0)),$V6,"")</f>
        <v/>
      </c>
      <c r="KV6" s="155">
        <f>IF(OR($AW6="",COUNTIF($EJ$7:$EN$7,$AW6)&gt;0),$AV6,"")</f>
        <v/>
      </c>
      <c r="KW6" s="155">
        <f>IF(AND($AX6=1,OR($AW6="",COUNTIF($EJ$7:$EN$7,$AW6)&gt;0)),$AV6,"")</f>
        <v/>
      </c>
      <c r="KY6" s="155">
        <f>IF(OR($W6="",COUNTIF($EJ$7:$EN$7,$W6)&gt;0),$V6,"")</f>
        <v/>
      </c>
      <c r="KZ6" s="155">
        <f>IF(AND($AF6=1,OR($W6="",COUNTIF($EJ$7:$EN$7,$W6)&gt;0)),$V6,"")</f>
        <v/>
      </c>
      <c r="LB6" s="155">
        <f>IF(OR($AW6="",COUNTIF($EJ$8:$EN$8,$AW6)&gt;0),$AV6,"")</f>
        <v/>
      </c>
      <c r="LC6" s="155">
        <f>IF(AND($AX6=1,OR($AW6="",COUNTIF($EJ$8:$EN$8,$AW6)&gt;0)),$AV6,"")</f>
        <v/>
      </c>
      <c r="LE6" s="155">
        <f>IF(OR($W6="",COUNTIF($EJ$8:$EN$8,$W6)&gt;0),$V6,"")</f>
        <v/>
      </c>
      <c r="LF6" s="155">
        <f>IF(AND($AF6=1,OR($W6="",COUNTIF($EJ$8:$EN$8,$W6)&gt;0)),$V6,"")</f>
        <v/>
      </c>
      <c r="LH6" s="155">
        <f>IF(OR($AW6="",COUNTIF($EJ$9:$EN$9,$AW6)&gt;0),$AV6,"")</f>
        <v/>
      </c>
      <c r="LI6" s="155">
        <f>IF(AND($AX6=1,OR($AW6="",COUNTIF($EJ$9:$EN$9,$AW6)&gt;0)),$AV6,"")</f>
        <v/>
      </c>
      <c r="LK6" s="155">
        <f>IF(OR($W6="",COUNTIF($EJ$9:$EN$9,$W6)&gt;0),$V6,"")</f>
        <v/>
      </c>
      <c r="LL6" s="155">
        <f>IF(AND($AF6=1,OR($W6="",COUNTIF($EJ$9:$EN$9,$W6)&gt;0)),$V6,"")</f>
        <v/>
      </c>
      <c r="LN6" s="155">
        <f>IF(OR($AW6="",COUNTIF($EJ$10:$EN$10,$AW6)&gt;0),$AV6,"")</f>
        <v/>
      </c>
      <c r="LO6" s="155">
        <f>IF(AND($AX6=1,OR($AW6="",COUNTIF($EJ$10:$EN$10,$AW6)&gt;0)),$AV6,"")</f>
        <v/>
      </c>
      <c r="LQ6" s="155">
        <f>IF(OR($W6="",COUNTIF($EJ$10:$EN$10,$W6)&gt;0),$V6,"")</f>
        <v/>
      </c>
      <c r="LR6" s="155">
        <f>IF(AND($AF6=1,OR($W6="",COUNTIF($EJ$10:$EN$10,$W6)&gt;0)),$V6,"")</f>
        <v/>
      </c>
      <c r="LT6" s="155">
        <f>IF(OR($AW6="",COUNTIF($EJ$11:$EN$11,$AW6)&gt;0),$AV6,"")</f>
        <v/>
      </c>
      <c r="LU6" s="155">
        <f>IF(AND($AX6=1,OR($AW6="",COUNTIF($EJ$11:$EN$11,$AW6)&gt;0)),$AV6,"")</f>
        <v/>
      </c>
      <c r="LW6" s="155">
        <f>IF(OR($W6="",COUNTIF($EJ$11:$EN$11,$W6)&gt;0),$V6,"")</f>
        <v/>
      </c>
      <c r="LX6" s="155">
        <f>IF(AND($AF6=1,OR($W6="",COUNTIF($EJ$11:$EN$11,$W6)&gt;0)),$V6,"")</f>
        <v/>
      </c>
      <c r="LZ6" s="155">
        <f>IF(OR($AW6="",COUNTIF($EJ$12:$EN$12,$AW6)&gt;0),$AV6,"")</f>
        <v/>
      </c>
      <c r="MA6" s="155">
        <f>IF(AND($AX6=1,OR($AW6="",COUNTIF($EJ$12:$EN$12,$AW6)&gt;0)),$AV6,"")</f>
        <v/>
      </c>
      <c r="MC6" s="155">
        <f>IF(OR($W6="",COUNTIF($EJ$12:$EN$12,$W6)&gt;0),$V6,"")</f>
        <v/>
      </c>
      <c r="MD6" s="155">
        <f>IF(AND($AF6=1,OR($W6="",COUNTIF($EJ$12:$EN$12,$W6)&gt;0)),$V6,"")</f>
        <v/>
      </c>
      <c r="MF6" s="155">
        <f>IF(OR($AW6="",COUNTIF($EJ$13:$EN$13,$AW6)&gt;0),$AV6,"")</f>
        <v/>
      </c>
      <c r="MG6" s="155">
        <f>IF(AND($AX6=1,OR($AW6="",COUNTIF($EJ$13:$EN$13,$AW6)&gt;0)),$AV6,"")</f>
        <v/>
      </c>
      <c r="MI6" s="155">
        <f>IF(OR($W6="",COUNTIF($EJ$13:$EN$13,$W6)&gt;0),$V6,"")</f>
        <v/>
      </c>
      <c r="MJ6" s="155">
        <f>IF(AND($AF6=1,OR($W6="",COUNTIF($EJ$13:$EN$13,$W6)&gt;0)),$V6,"")</f>
        <v/>
      </c>
      <c r="ML6" s="153" t="inlineStr">
        <is>
          <t>Ficha 1 · Especial 3</t>
        </is>
      </c>
      <c r="MM6" s="155" t="n">
        <v>1</v>
      </c>
      <c r="MN6" s="155" t="n">
        <v>1</v>
      </c>
      <c r="MO6" s="155" t="n">
        <v>8</v>
      </c>
      <c r="MP6" s="153" t="inlineStr">
        <is>
          <t>ESPECIAL 3</t>
        </is>
      </c>
      <c r="MQ6" s="155">
        <f>MAX(1,MIN(7,N('INVOCAÇÕES'!$O$92)))</f>
        <v/>
      </c>
      <c r="MR6" s="155">
        <f>'INVOCAÇÕES'!$P$92&amp;""</f>
        <v/>
      </c>
      <c r="MS6" s="155">
        <f>'INVOCAÇÕES'!$O$97&amp;""</f>
        <v/>
      </c>
      <c r="MT6" s="155">
        <f>'INVOCAÇÕES'!$O$98&amp;""</f>
        <v/>
      </c>
      <c r="MU6" s="155">
        <f>'INVOCAÇÕES'!$Q$98&amp;""</f>
        <v/>
      </c>
      <c r="MV6" s="155">
        <f>'INVOCAÇÕES'!$P$101&amp;""</f>
        <v/>
      </c>
      <c r="MW6" s="155">
        <f>'INVOCAÇÕES'!$P$102&amp;""</f>
        <v/>
      </c>
      <c r="MX6" s="155">
        <f>'INVOCAÇÕES'!$P$103&amp;""</f>
        <v/>
      </c>
      <c r="MY6" s="155">
        <f>'INVOCAÇÕES'!$P$104&amp;""</f>
        <v/>
      </c>
      <c r="MZ6" s="155">
        <f>'INVOCAÇÕES'!$P$105&amp;""</f>
        <v/>
      </c>
      <c r="NA6" s="155">
        <f>'INVOCAÇÕES'!$P$106&amp;""</f>
        <v/>
      </c>
      <c r="NB6" s="155">
        <f>IF($MR6&lt;&gt;"",1,0)</f>
        <v/>
      </c>
      <c r="NC6" s="155">
        <f>INDEX($FM$2:$FM$13,$MM6)</f>
        <v/>
      </c>
      <c r="ND6" s="155">
        <f>INDEX($FN$2:$FN$13,$MM6)</f>
        <v/>
      </c>
      <c r="NE6" s="155">
        <f>INDEX($FO$2:$FO$13,$MM6)</f>
        <v/>
      </c>
      <c r="NF6" s="155">
        <f>INDEX($FZ$2:$FZ$13,$MM6)</f>
        <v/>
      </c>
      <c r="NG6" s="155">
        <f>INDEX($GA$2:$GA$13,$MM6)</f>
        <v/>
      </c>
      <c r="NH6" s="155">
        <f>IFERROR(MATCH($MS6,$V$2:$V$11,0),0)</f>
        <v/>
      </c>
      <c r="NI6" s="155">
        <f>IFERROR(VLOOKUP($MV6,$AV$2:$BA$84,2,FALSE),"")</f>
        <v/>
      </c>
      <c r="NJ6" s="155">
        <f>IFERROR(VLOOKUP($MW6,$AV$2:$BA$84,2,FALSE),"")</f>
        <v/>
      </c>
      <c r="NK6" s="155">
        <f>IFERROR(VLOOKUP($MX6,$AV$2:$BA$84,2,FALSE),"")</f>
        <v/>
      </c>
      <c r="NL6" s="155">
        <f>IFERROR(VLOOKUP($MY6,$AV$2:$BA$84,2,FALSE),"")</f>
        <v/>
      </c>
      <c r="NM6" s="155">
        <f>IFERROR(VLOOKUP($MV6,$AV$2:$BA$84,3,FALSE),0)</f>
        <v/>
      </c>
      <c r="NN6" s="155">
        <f>IFERROR(VLOOKUP($MW6,$AV$2:$BA$84,3,FALSE),0)</f>
        <v/>
      </c>
      <c r="NO6" s="155">
        <f>IFERROR(VLOOKUP($MX6,$AV$2:$BA$84,3,FALSE),0)</f>
        <v/>
      </c>
      <c r="NP6" s="155">
        <f>IFERROR(VLOOKUP($MY6,$AV$2:$BA$84,3,FALSE),0)</f>
        <v/>
      </c>
      <c r="NQ6" s="155">
        <f>IF($MQ6=0,0,IF($NH6=0,0,INDEX($X$2:$X$11,$NH6)))</f>
        <v/>
      </c>
      <c r="NR6" s="155">
        <f>IF(OR($NM6=0,$MQ6=0),0,$NM6+3*IF(AND($NI6&lt;&gt;"",OR($NI6=INDEX($EJ$2:$EJ$13,$MM6),$NI6=INDEX($EK$2:$EK$13,$MM6))),1,0))</f>
        <v/>
      </c>
      <c r="NS6" s="155">
        <f>IF(OR($NN6=0,$MQ6=0),0,$NN6+3*IF(AND($NJ6&lt;&gt;"",OR($NJ6=INDEX($EJ$2:$EJ$13,$MM6),$NJ6=INDEX($EK$2:$EK$13,$MM6))),1,0))</f>
        <v/>
      </c>
      <c r="NT6" s="155">
        <f>IF(OR($NO6=0,$MQ6=0),0,$NO6+3*IF(AND($NK6&lt;&gt;"",OR($NK6=INDEX($EJ$2:$EJ$13,$MM6),$NK6=INDEX($EK$2:$EK$13,$MM6))),1,0))</f>
        <v/>
      </c>
      <c r="NU6" s="155">
        <f>IF(OR($NP6=0,$MQ6=0),0,$NP6+3*IF(AND($NL6&lt;&gt;"",OR($NL6=INDEX($EJ$2:$EJ$13,$MM6),$NL6=INDEX($EK$2:$EK$13,$MM6))),1,0))</f>
        <v/>
      </c>
      <c r="NV6" s="155">
        <f>IF($NH6=0,0,IF(INDEX($W$2:$W$11,$NH6)="",0,IF(COUNTIF(INDEX($EJ$2:$EN$13,$MM6,0),INDEX($W$2:$W$11,$NH6))=0,1,0)))</f>
        <v/>
      </c>
      <c r="NW6" s="155">
        <f>IF(OR($NM6=0,$NI6=""),0,IF(COUNTIF(INDEX($EJ$2:$EN$13,$MM6,0),$NI6)=0,1,0))</f>
        <v/>
      </c>
      <c r="NX6" s="155">
        <f>IF(OR($NN6=0,$NJ6=""),0,IF(COUNTIF(INDEX($EJ$2:$EN$13,$MM6,0),$NJ6)=0,1,0))</f>
        <v/>
      </c>
      <c r="NY6" s="155">
        <f>IF(OR($NO6=0,$NK6=""),0,IF(COUNTIF(INDEX($EJ$2:$EN$13,$MM6,0),$NK6)=0,1,0))</f>
        <v/>
      </c>
      <c r="NZ6" s="155">
        <f>IF(OR($NP6=0,$NL6=""),0,IF(COUNTIF(INDEX($EJ$2:$EN$13,$MM6,0),$NL6)=0,1,0))</f>
        <v/>
      </c>
      <c r="OA6" s="155">
        <f>IFERROR(VLOOKUP($MV6,$AV$2:$BA$84,4,FALSE),0)+IFERROR(VLOOKUP($MW6,$AV$2:$BA$84,4,FALSE),0)+IFERROR(VLOOKUP($MX6,$AV$2:$BA$84,4,FALSE),0)+IFERROR(VLOOKUP($MY6,$AV$2:$BA$84,4,FALSE),0)</f>
        <v/>
      </c>
      <c r="OB6" s="155">
        <f>IFERROR(VLOOKUP($MV6,$AV$2:$BA$84,6,FALSE),0)+IFERROR(VLOOKUP($MW6,$AV$2:$BA$84,6,FALSE),0)+IFERROR(VLOOKUP($MX6,$AV$2:$BA$84,6,FALSE),0)+IFERROR(VLOOKUP($MY6,$AV$2:$BA$84,6,FALSE),0)</f>
        <v/>
      </c>
      <c r="OC6" s="155">
        <f>TEXTJOIN(", ",TRUE,IF(IFERROR(VLOOKUP($MV6,$AV$2:$BA$84,5,FALSE),0)=1,$MV6,""),IF(IFERROR(VLOOKUP($MW6,$AV$2:$BA$84,5,FALSE),0)=1,$MW6,""),IF(IFERROR(VLOOKUP($MX6,$AV$2:$BA$84,5,FALSE),0)=1,$MX6,""),IF(IFERROR(VLOOKUP($MY6,$AV$2:$BA$84,5,FALSE),0)=1,$MY6,""))</f>
        <v/>
      </c>
      <c r="OD6" s="155">
        <f>IF($NH6=0,0,INDEX($Y$2:$Y$11,$NH6))</f>
        <v/>
      </c>
      <c r="OE6" s="155">
        <f>IF($NH6=0,0,INDEX($Z$2:$Z$11,$NH6))</f>
        <v/>
      </c>
      <c r="OF6" s="155">
        <f>IF($NH6=0,0,INDEX($AB$2:$AB$11,$NH6))</f>
        <v/>
      </c>
      <c r="OG6" s="155">
        <f>IFERROR(VLOOKUP($MZ6,$BC$2:$BG$24,3,FALSE),0)</f>
        <v/>
      </c>
      <c r="OH6" s="155">
        <f>IFERROR(VLOOKUP($NA6,$BC$2:$BG$24,3,FALSE),0)</f>
        <v/>
      </c>
      <c r="OI6" s="155">
        <f>IFERROR(VLOOKUP($MZ6,$BC$2:$BG$24,2,FALSE),"")</f>
        <v/>
      </c>
      <c r="OJ6" s="155">
        <f>IFERROR(VLOOKUP($NA6,$BC$2:$BG$24,2,FALSE),"")</f>
        <v/>
      </c>
      <c r="OK6" s="155">
        <f>COUNTIF($NQ6:$NU6,1)</f>
        <v/>
      </c>
      <c r="OL6" s="155">
        <f>COUNTIF($NQ6:$NU6,2)</f>
        <v/>
      </c>
      <c r="OM6" s="155">
        <f>COUNTIF($NQ6:$NU6,3)</f>
        <v/>
      </c>
      <c r="ON6" s="155">
        <f>COUNTIF($NQ6:$NU6,4)</f>
        <v/>
      </c>
      <c r="OO6" s="155">
        <f>COUNTIF($NQ6:$NU6,5)</f>
        <v/>
      </c>
      <c r="OP6" s="155">
        <f>COUNTIF($NQ6:$NU6,6)</f>
        <v/>
      </c>
      <c r="OQ6" s="155">
        <f>COUNTIF($OG6:$OH6,1)</f>
        <v/>
      </c>
      <c r="OR6" s="155">
        <f>COUNTIF($OG6:$OH6,2)+$OD6</f>
        <v/>
      </c>
      <c r="OS6" s="155">
        <f>COUNTIF($MV6:$MY6,"?*")</f>
        <v/>
      </c>
      <c r="OT6" s="155">
        <f>COUNTIF($MZ6:$NA6,"?*")+$OD6</f>
        <v/>
      </c>
      <c r="OU6" s="155">
        <f>IF($MQ6=0,0,SUMPRODUCT($OK6:$OP6,INDEX($I$2:$N$8,MAX(1,$MQ6),0)))</f>
        <v/>
      </c>
      <c r="OV6" s="155">
        <f>IF($MQ6=0,0,$OQ6*CEILING($MQ6/2,1)+$OR6*$MQ6)</f>
        <v/>
      </c>
      <c r="OW6" s="155">
        <f>MIN(2*$MQ6,$OV6)</f>
        <v/>
      </c>
      <c r="OX6" s="155">
        <f>MIN($OW6,$OU6)</f>
        <v/>
      </c>
      <c r="OY6" s="155">
        <f>$OW6-$OX6</f>
        <v/>
      </c>
      <c r="OZ6" s="155">
        <f>IF($MQ6=0,0,INDEX($P$2:$P$8,MAX(1,$MQ6)))</f>
        <v/>
      </c>
      <c r="PA6" s="155">
        <f>$OZ6-$OU6+$OX6</f>
        <v/>
      </c>
      <c r="PB6" s="155">
        <f>IF($MQ6=0,MAX(0,$NE6-IF($OS6&gt;0,1,0)),MAX(0,$PA6))</f>
        <v/>
      </c>
      <c r="PC6" s="155">
        <f>IF($MQ6=0,0,(IF(COUNTIF($MV6:$MY6,"Salto")&gt;0,1,0)+IF(COUNTIF($MV6:$MY6,"Queima")&gt;0,1,0)+IF(COUNTIF($MV6:$MY6,"Estilhaço")&gt;0,1,0))*FLOOR($PB6/2,1))</f>
        <v/>
      </c>
      <c r="PD6" s="155">
        <f>MAX(0,2-SUMPRODUCT($OK6:$OP6,$I$2:$N$2)+MIN(2,$OQ6*1+$OR6*1,SUMPRODUCT($OK6:$OP6,$I$2:$N$2)))</f>
        <v/>
      </c>
      <c r="PE6" s="155">
        <f>MAX(0,4-SUMPRODUCT($OK6:$OP6,$I$3:$N$3)+MIN(4,$OQ6*1+$OR6*2,SUMPRODUCT($OK6:$OP6,$I$3:$N$3)))</f>
        <v/>
      </c>
      <c r="PF6" s="155">
        <f>MAX(0,6-SUMPRODUCT($OK6:$OP6,$I$4:$N$4)+MIN(6,$OQ6*2+$OR6*3,SUMPRODUCT($OK6:$OP6,$I$4:$N$4)))</f>
        <v/>
      </c>
      <c r="PG6" s="155">
        <f>MAX(0,9-SUMPRODUCT($OK6:$OP6,$I$5:$N$5)+MIN(8,$OQ6*2+$OR6*4,SUMPRODUCT($OK6:$OP6,$I$5:$N$5)))</f>
        <v/>
      </c>
      <c r="PH6" s="155">
        <f>MAX(0,11-SUMPRODUCT($OK6:$OP6,$I$6:$N$6)+MIN(10,$OQ6*3+$OR6*5,SUMPRODUCT($OK6:$OP6,$I$6:$N$6)))</f>
        <v/>
      </c>
      <c r="PI6" s="155">
        <f>MAX(0,13-SUMPRODUCT($OK6:$OP6,$I$7:$N$7)+MIN(12,$OQ6*3+$OR6*6,SUMPRODUCT($OK6:$OP6,$I$7:$N$7)))</f>
        <v/>
      </c>
      <c r="PJ6" s="155">
        <f>MAX(0,16-SUMPRODUCT($OK6:$OP6,$I$8:$N$8)+MIN(14,$OQ6*4+$OR6*7,SUMPRODUCT($OK6:$OP6,$I$8:$N$8)))</f>
        <v/>
      </c>
      <c r="PK6" s="155">
        <f>IF($OE6=2,3*$PD6&amp;" de vida temp.",IF($OE6=3,"sem dano",IF($PD6=0,IF($OE6=1,"sem cura","sem dano"),IF($OE6=1,"cura ","")&amp;$PD6&amp;"d8")))</f>
        <v/>
      </c>
      <c r="PL6" s="155">
        <f>IF($OE6=2,3*$PE6&amp;" de vida temp.",IF($OE6=3,"sem dano",IF($PE6=0,IF($OE6=1,"sem cura","sem dano"),IF($OE6=1,"cura ","")&amp;$PE6&amp;"d8")))</f>
        <v/>
      </c>
      <c r="PM6" s="155">
        <f>IF($OE6=2,3*$PF6&amp;" de vida temp.",IF($OE6=3,"sem dano",IF($PF6=0,IF($OE6=1,"sem cura","sem dano"),IF($OE6=1,"cura ","")&amp;$PF6&amp;"d8")))</f>
        <v/>
      </c>
      <c r="PN6" s="155">
        <f>IF($OE6=2,3*$PG6&amp;" de vida temp.",IF($OE6=3,"sem dano",IF($PG6=0,IF($OE6=1,"sem cura","sem dano"),IF($OE6=1,"cura ","")&amp;$PG6&amp;"d8")))</f>
        <v/>
      </c>
      <c r="PO6" s="155">
        <f>IF($OE6=2,3*$PH6&amp;" de vida temp.",IF($OE6=3,"sem dano",IF($PH6=0,IF($OE6=1,"sem cura","sem dano"),IF($OE6=1,"cura ","")&amp;$PH6&amp;"d8")))</f>
        <v/>
      </c>
      <c r="PP6" s="155">
        <f>IF($OE6=2,3*$PI6&amp;" de vida temp.",IF($OE6=3,"sem dano",IF($PI6=0,IF($OE6=1,"sem cura","sem dano"),IF($OE6=1,"cura ","")&amp;$PI6&amp;"d8")))</f>
        <v/>
      </c>
      <c r="PQ6" s="155">
        <f>IF($OE6=2,3*$PJ6&amp;" de vida temp.",IF($OE6=3,"sem dano",IF($PJ6=0,IF($OE6=1,"sem cura","sem dano"),IF($OE6=1,"cura ","")&amp;$PJ6&amp;"d8")))</f>
        <v/>
      </c>
      <c r="PR6" s="155">
        <f>IF($NB6=0,"",TEXTJOIN(" · ",TRUE,IF($MO6&gt;$NC6,"Este lugar abre no nível "&amp;$MO6,""),IF($MQ6&gt;$ND6,"Classe "&amp;$MQ6&amp;": o nível "&amp;$NC6&amp;" libera até a "&amp;$ND6,""),IF($NV6=1,"A Forma "&amp;$MS6&amp;" pede "&amp;INDEX($W$2:$W$11,$NH6)&amp;" aberta",""),IF(AND($MQ6=0,$NH6&gt;0,IF($NH6=0,0,INDEX($AF$2:$AF$11,$NH6))=0),$MS6&amp;" não existe na Classe 0",""),IF($NW6=1,"Família Fechada: "&amp;$MV6,""),IF($NX6=1,"Família Fechada: "&amp;$MW6,""),IF($NY6=1,"Família Fechada: "&amp;$MX6,""),IF($NZ6=1,"Família Fechada: "&amp;$MY6,""),IF(AND($MQ6&gt;0,$OS6&gt;INDEX($O$2:$O$8,MAX(1,$MQ6))),$OS6&amp;" Melhorias: a Classe "&amp;$MQ6&amp;" aceita "&amp;INDEX($O$2:$O$8,MAX(1,$MQ6)),""),IF(AND($MQ6=0,$OS6&gt;1),"A básica aceita uma Melhoria",""),IF(AND($MQ6=0,COUNTIF($NM6:$NP6,"&gt;1")&gt;0),"A básica só aceita Melhoria Leve",""),IF(AND($MQ6&gt;0,$OT6&gt;2),$OT6&amp;" Restrições"&amp;IF($OD6=1,", contando a que a Forma "&amp;$MS6&amp;" já traz","")&amp;": o limite é 2",""),IF(AND($MQ6=0,COUNTIF($MZ6:$NA6,"?*")&gt;1),"A básica aceita uma Restrição Leve",""),IF(AND($MQ6=0,COUNTIF($OG6:$OH6,2)&gt;0),"A básica só aceita Restrição Leve",""),IF(AND($MQ6&gt;0,$PA6&lt;0),"Orçamento estourado: faltam "&amp;(-$PA6)&amp;IF($PA6&lt;-1," pontos"," ponto"),""),IF(IFERROR(VLOOKUP($MZ6,$BC$2:$BG$24,4,FALSE),0)+IFERROR(VLOOKUP($NA6,$BC$2:$BG$24,4,FALSE),0)&gt;1,$OI6&amp;" e "&amp;$OJ6&amp;" são as duas de frequência",""),IF(AND((COUNTIF($MV6:$MY6,"Rápido")+COUNTIF($OI6:$OJ6,"Rápido"))&gt;0,(COUNTIF($MV6:$MY6,"Atrasar")+COUNTIF($OI6:$OJ6,"Atrasar"))&gt;0),"Rápido não entra com Atrasar",""),IF(AND((COUNTIF($MV6:$MY6,"Reação")+COUNTIF($OI6:$OJ6,"Reação"))&gt;0,(COUNTIF($MV6:$MY6,"Rápido")+COUNTIF($OI6:$OJ6,"Rápido"))&gt;0),"Reação não entra com Rápido",""),IF(AND((COUNTIF($MV6:$MY6,"Reação")+COUNTIF($OI6:$OJ6,"Reação"))&gt;0,(COUNTIF($MV6:$MY6,"Armado")+COUNTIF($OI6:$OJ6,"Armado"))&gt;0),"Reação não entra com Armado",""),IF(AND((COUNTIF($MV6:$MY6,"Reação")+COUNTIF($OI6:$OJ6,"Reação"))&gt;0,(COUNTIF($MV6:$MY6,"Atrasar")+COUNTIF($OI6:$OJ6,"Atrasar"))&gt;0),"Reação não entra com Atrasar",""),IF(AND((COUNTIF($MV6:$MY6,"Reação")+COUNTIF($OI6:$OJ6,"Reação"))&gt;0,(COUNTIF($MV6:$MY6,"Parado")+COUNTIF($OI6:$OJ6,"Parado"))&gt;0),"Reação não entra com Parado",""),IF(AND((COUNTIF($MV6:$MY6,"Atrasar")+COUNTIF($OI6:$OJ6,"Atrasar"))&gt;0,(COUNTIF($MV6:$MY6,"Parado")+COUNTIF($OI6:$OJ6,"Parado"))&gt;0),"Atrasar não entra com Parado",""),IF(AND((COUNTIF($MV6:$MY6,"Armado")+COUNTIF($OI6:$OJ6,"Armado"))&gt;0,(COUNTIF($MV6:$MY6,"Carregar")+COUNTIF($OI6:$OJ6,"Carregar"))&gt;0),"Armado não entra com Carregar",""),IF(AND(COUNTIF($OI6:$OJ6,"Corpo a Corpo")&gt;0,$OD6=0,OR($MS6="Cone",$MS6="Linha")),"Corpo a Corpo não entra em "&amp;$MS6,""),IF(AND(COUNTIF($OI6:$OJ6,"Corpo a Corpo")&gt;0,$OD6=1),"A Forma "&amp;$MS6&amp;" já traz o Corpo a Corpo",""),IF(AND(COUNTIF($OI6:$OJ6,"Tudo ou Nada")&gt;0,$OF6=0),"Tudo ou Nada só entra em habilidade de Teste de Resistência",""),IF(AND(COUNTIF($MV6:$MY6,"Inescapável")&gt;0,OR($OS6&gt;1,$OT6&gt;0)),"Inescapável não aceita outra peça",""),IF(AND($MQ6&gt;0,$PB6*IF(COUNTIF($MV6:$MY6,"Remate")&gt;0,1.25,1)+$PC6&gt;4*$MQ6),($PB6*IF(COUNTIF($MV6:$MY6,"Remate")&gt;0,1.25,1)+$PC6)&amp;" dados somando repetições"&amp;IF(COUNTIF($MV6:$MY6,"Remate")&gt;0," e o Remate","")&amp;": o teto da Classe "&amp;$MQ6&amp;" é "&amp;4*$MQ6,"")))</f>
        <v/>
      </c>
      <c r="PS6" s="155">
        <f>IF($PR6="",0,(LEN($PR6)-LEN(SUBSTITUTE($PR6," · ","")))/3+1)</f>
        <v/>
      </c>
      <c r="PT6" s="155">
        <f>IF($NB6=0,"",TEXTJOIN(" · ",TRUE,IF($OV6&gt;2*$MQ6,"A devolução parou no teto de "&amp;2*$MQ6,""),IF($OY6&gt;0,"Devolução perdida: "&amp;$OY6&amp;IF($OY6&gt;1," pontos"," ponto")&amp;" sem peça para pagar",""),IF(AND($OA6&gt;0,AND($MQ6&gt;0,$OE6=0),$PB6=0),"Controle sem dano: uma rodada a mais e CD +2",""),IF(AND($OA6&gt;0,AND($MQ6&gt;0,$OE6=0),$PB6&gt;0,$PB6&lt;=$MQ6),"Controle com saldo até a Classe: uma rodada a mais",""),IF(AND($MQ6&gt;0,$OC6&lt;&gt;""),"Efeito de "&amp;$OC6&amp;" pela Classe "&amp;MAX(1,$MQ6-1),"")))</f>
        <v/>
      </c>
      <c r="PU6" s="155">
        <f>IF($PT6="",0,(LEN($PT6)-LEN(SUBSTITUTE($PT6," · ","")))/3+1)</f>
        <v/>
      </c>
      <c r="PV6" s="155">
        <f>IF($NB6=0,IF($OS6+COUNTIF($MZ6:$NA6,"?*")&gt;0,"Dê um nome",""),IF($PS6&gt;0,"⚠ "&amp;$PS6&amp;IF($PS6&gt;1," erros"," erro"),IF($PU6&gt;0,"! "&amp;$PU6&amp;IF($PU6&gt;1," avisos"," aviso"),"Na regra")))</f>
        <v/>
      </c>
      <c r="PW6" s="155">
        <f>IF($NB6=0,"",IF($PS6+$PU6=0,"Dentro das regras que a ficha confere",$PR6&amp;IF(AND($PS6&gt;0,$PU6&gt;0)," · ","")&amp;$PT6))</f>
        <v/>
      </c>
      <c r="PX6" s="155">
        <f>IF($MO6&gt;$NC6,$MP6&amp;" · ABRE NO NÍVEL "&amp;$MO6,$MP6)</f>
        <v/>
      </c>
      <c r="PY6" s="155">
        <f>IF($NB6=0,"",IF($MQ6=0,"Sem PE",3*$MQ6&amp;" PE"))</f>
        <v/>
      </c>
      <c r="PZ6" s="155">
        <f>IF($NB6=0,"",IF($MQ6=0,"A atuação básica dela",IF(COUNTIF($OI6:$OJ6,"Atrasar")&gt;0,"Sua Ação Completa",IF(COUNTIF($MV6:$MY6,"Rápido")&gt;0,"Sua Bônus",IF(COUNTIF($MV6:$MY6,"Reação")&gt;0,"Sua Reação","Sua Padrão")))&amp;" + a básica dela"&amp;IF(COUNTIF($MV6:$MY6,"Reação")&gt;0," e a coletiva","")&amp;IF(COUNTIF($OI6:$OJ6,"Carregar")&gt;0," · em dois turnos","")))</f>
        <v/>
      </c>
      <c r="QA6" s="155">
        <f>IF($MU6&lt;&gt;"",$MU6,IF($NH6=0,"",INDEX($AA$2:$AA$11,$NH6)))</f>
        <v/>
      </c>
      <c r="QB6" s="155">
        <f>IF(OR($NB6=0,$NH6=0),"",IF(COUNTIF($MV6:$MY6,"Inescapável")&gt;0,"Automático",IF($QA6="Ataque",IF($NF6="","Ataque","Ataque "&amp;IF(($NF6+2*IF(COUNTIF($MV6:$MY6,"Precisão")&gt;0,1,0))&gt;=0,"+","−")&amp;ABS(($NF6+2*IF(COUNTIF($MV6:$MY6,"Precisão")&gt;0,1,0))))&amp;IF($OB6&gt;0," · TR"&amp;IF($NG6="",""," CD "&amp;$NG6),""),IF(LEFT($QA6,2)="TR",$QA6&amp;IF($NG6="",""," · CD "&amp;$NG6)&amp;IF(COUNTIF($MV6:$MY6,"Certeiro")&gt;0," · metade",""),"Sem rolagem"))))</f>
        <v/>
      </c>
      <c r="QC6" s="155">
        <f>IF(OR($NB6=0,$NH6=0),"",IF($MQ6=0,IF(OR($OE6&gt;=1,$PB6=0),"Sem dano",$PB6&amp;"d6"&amp;IF($MT6="",""," "&amp;$MT6)),IF(OR($OE6&gt;=1,$PB6=0),UPPER(LEFT(INDEX($PK6:$PQ6,1,MAX(1,$MQ6)),1))&amp;MID(INDEX($PK6:$PQ6,1,MAX(1,$MQ6)),2,99),UPPER(LEFT(INDEX($PK6:$PQ6,1,MAX(1,$MQ6)),1))&amp;MID(INDEX($PK6:$PQ6,1,MAX(1,$MQ6)),2,99)&amp;IF($MT6="",""," "&amp;$MT6)&amp;IF($PC6&gt;0," · +"&amp;$PC6&amp;"d8",""))))</f>
        <v/>
      </c>
      <c r="QD6" s="155">
        <f>COUNTIF($MV6:$MY6,"Longe")+3*COUNTIF($MV6:$MY6,"Muito Longe")</f>
        <v/>
      </c>
      <c r="QE6" s="155">
        <f>COUNTIF($MV6:$MY6,"Maior")+3*COUNTIF($MV6:$MY6,"Muito Maior")</f>
        <v/>
      </c>
      <c r="QF6" s="155">
        <f>IF($NH6=0,0,CHOOSE(1+INDEX($AC$2:$AC$11,$NH6),0,$QD6,$QE6,$QD6+$QE6))</f>
        <v/>
      </c>
      <c r="QG6" s="155">
        <f>IF($NH6=0,0,CHOOSE(1+INDEX($AD$2:$AD$11,$NH6),0,$QD6,$QE6,$QD6+$QE6))</f>
        <v/>
      </c>
      <c r="QH6" s="155">
        <f>IF(OR($NB6=0,$NH6=0),"",INDEX($AI$2:$AN$41,($NH6-1)*4+IF($MQ6=0,1,IF($MQ6&lt;=5,2,IF($MQ6=6,3,4))),1+MIN(5,$QF6))&amp;INDEX($AO$2:$AT$41,($NH6-1)*4+IF($MQ6=0,1,IF($MQ6&lt;=5,2,IF($MQ6=6,3,4))),1+MIN(5,$QG6))&amp;IF(INDEX($AE$2:$AE$11,$NH6)=1,IF(COUNTIF($MV6:$MY6,"Mais Um")&gt;0," · +"&amp;COUNTIF($MV6:$MY6,"Mais Um")&amp;IF(COUNTIF($MV6:$MY6,"Mais Um")&gt;1," alvos"," alvo"),"")&amp;IF(COUNTIF($MV6:$MY6,"Rajada")&gt;0,IF($MQ6=0," · 1 tiro"," · "&amp;(MAX(1,$MQ6-1)+1)&amp;" tiros"),""),""))</f>
        <v/>
      </c>
      <c r="QI6" s="155">
        <f>IF($NB6=0,"",IF($MQ6=0,$NE6&amp;"d6"&amp;IF($OS6&gt;0," − 1 = "&amp;$PB6&amp;"d6"," da básica do nível "&amp;$NC6),$OZ6&amp;" − "&amp;$OU6&amp;" + "&amp;$OX6&amp;" = "&amp;$PA6&amp;" · teto "&amp;4*$MQ6&amp;"d8"&amp;IF($OD6=1," · a Forma devolve "&amp;$MQ6,"")&amp;IF($OY6&gt;0," · perde "&amp;$OY6,"")))</f>
        <v/>
      </c>
      <c r="QJ6" s="155">
        <f>IF($NB6=0,"",IF($MQ6=0,"A básica não amplia: os dados dela sobem com o nível",IF($MQ6&gt;=$ND6,"Já está na maior Classe que o nível liberou",TEXTJOIN(" · ",TRUE,IF(AND(2&gt;$MQ6,2&lt;=$ND6),"2 → "&amp;$PL6&amp;", 6 PE",""),IF(AND(3&gt;$MQ6,3&lt;=$ND6),"3 → "&amp;$PM6&amp;", 9 PE",""),IF(AND(4&gt;$MQ6,4&lt;=$ND6),"4 → "&amp;$PN6&amp;", 12 PE",""),IF(AND(5&gt;$MQ6,5&lt;=$ND6),"5 → "&amp;$PO6&amp;", 15 PE",""),IF(AND(6&gt;$MQ6,6&lt;=$ND6),"6 → "&amp;$PP6&amp;", 18 PE",""),IF(AND(7&gt;$MQ6,7&lt;=$ND6),"7 → "&amp;$PQ6&amp;", 21 PE","")))))</f>
        <v/>
      </c>
      <c r="QK6" s="155">
        <f>IF(OR($NB6=0,$NM6=0),"",IF($MQ6=0,"−1 dado","−"&amp;INDEX($I$2:$N$8,MAX(1,$MQ6),MAX(1,$NR6))&amp;" · "&amp;CHOOSE(MAX(1,$NR6),"Leve","Média","Pesada","Leve · Livre","Média · Livre","Pesada · Livre")))</f>
        <v/>
      </c>
      <c r="QL6" s="155">
        <f>IF(OR($NB6=0,$NN6=0),"",IF($MQ6=0,"−1 dado","−"&amp;INDEX($I$2:$N$8,MAX(1,$MQ6),MAX(1,$NS6))&amp;" · "&amp;CHOOSE(MAX(1,$NS6),"Leve","Média","Pesada","Leve · Livre","Média · Livre","Pesada · Livre")))</f>
        <v/>
      </c>
      <c r="QM6" s="155">
        <f>IF(OR($NB6=0,$NO6=0),"",IF($MQ6=0,"−1 dado","−"&amp;INDEX($I$2:$N$8,MAX(1,$MQ6),MAX(1,$NT6))&amp;" · "&amp;CHOOSE(MAX(1,$NT6),"Leve","Média","Pesada","Leve · Livre","Média · Livre","Pesada · Livre")))</f>
        <v/>
      </c>
      <c r="QN6" s="155">
        <f>IF(OR($NB6=0,$NP6=0),"",IF($MQ6=0,"−1 dado","−"&amp;INDEX($I$2:$N$8,MAX(1,$MQ6),MAX(1,$NU6))&amp;" · "&amp;CHOOSE(MAX(1,$NU6),"Leve","Média","Pesada","Leve · Livre","Média · Livre","Pesada · Livre")))</f>
        <v/>
      </c>
      <c r="QO6" s="155">
        <f>IF(OR($NB6=0,$MZ6=""),"",IF($MQ6=0,"não devolve","+"&amp;IF($OG6=1,CEILING($MQ6/2,1),$MQ6)))</f>
        <v/>
      </c>
      <c r="QP6" s="155">
        <f>IF(OR($NB6=0,$NA6=""),"",IF($MQ6=0,"não devolve","+"&amp;IF($OH6=1,CEILING($MQ6/2,1),$MQ6)))</f>
        <v/>
      </c>
    </row>
    <row r="7">
      <c r="A7" s="155" t="n">
        <v>21</v>
      </c>
      <c r="B7" s="155" t="n">
        <v>6</v>
      </c>
      <c r="C7" s="155" t="n">
        <v>3</v>
      </c>
      <c r="D7" s="155" t="n">
        <v>13</v>
      </c>
      <c r="F7" s="155" t="n">
        <v>26</v>
      </c>
      <c r="H7" s="155" t="n">
        <v>6</v>
      </c>
      <c r="I7" s="155" t="n">
        <v>3</v>
      </c>
      <c r="J7" s="155" t="n">
        <v>6</v>
      </c>
      <c r="K7" s="155" t="n">
        <v>9</v>
      </c>
      <c r="L7" s="155" t="n">
        <v>1</v>
      </c>
      <c r="M7" s="155" t="n">
        <v>3</v>
      </c>
      <c r="N7" s="155" t="n">
        <v>6</v>
      </c>
      <c r="O7" s="155" t="n">
        <v>4</v>
      </c>
      <c r="P7" s="155" t="n">
        <v>13</v>
      </c>
      <c r="R7" s="155" t="n">
        <v>5</v>
      </c>
      <c r="V7" s="153" t="inlineStr">
        <is>
          <t>Linha</t>
        </is>
      </c>
      <c r="W7" s="153" t="inlineStr">
        <is>
          <t>Área</t>
        </is>
      </c>
      <c r="X7" s="155" t="n">
        <v>1</v>
      </c>
      <c r="Y7" s="155" t="n">
        <v>0</v>
      </c>
      <c r="Z7" s="155" t="n">
        <v>0</v>
      </c>
      <c r="AA7" s="153" t="inlineStr">
        <is>
          <t>TR</t>
        </is>
      </c>
      <c r="AB7" s="155" t="n">
        <v>1</v>
      </c>
      <c r="AC7" s="155" t="n">
        <v>3</v>
      </c>
      <c r="AD7" s="155" t="n">
        <v>0</v>
      </c>
      <c r="AE7" s="155" t="n">
        <v>0</v>
      </c>
      <c r="AF7" s="155" t="n">
        <v>1</v>
      </c>
      <c r="AH7" s="153" t="inlineStr">
        <is>
          <t>Toque · classes 1 a 5</t>
        </is>
      </c>
      <c r="AI7" s="153" t="inlineStr">
        <is>
          <t>1,5 m, um alvo</t>
        </is>
      </c>
      <c r="AJ7" s="153" t="inlineStr">
        <is>
          <t>1,5 m, um alvo</t>
        </is>
      </c>
      <c r="AK7" s="153" t="inlineStr">
        <is>
          <t>1,5 m, um alvo</t>
        </is>
      </c>
      <c r="AL7" s="153" t="inlineStr">
        <is>
          <t>1,5 m, um alvo</t>
        </is>
      </c>
      <c r="AM7" s="153" t="inlineStr">
        <is>
          <t>1,5 m, um alvo</t>
        </is>
      </c>
      <c r="AN7" s="153" t="inlineStr">
        <is>
          <t>1,5 m, um alvo</t>
        </is>
      </c>
      <c r="AO7" s="153" t="inlineStr"/>
      <c r="AP7" s="153" t="inlineStr"/>
      <c r="AQ7" s="153" t="inlineStr"/>
      <c r="AR7" s="153" t="inlineStr"/>
      <c r="AS7" s="153" t="inlineStr"/>
      <c r="AT7" s="153" t="inlineStr"/>
      <c r="AV7" s="153" t="inlineStr">
        <is>
          <t>Empurrão</t>
        </is>
      </c>
      <c r="AW7" s="153" t="inlineStr">
        <is>
          <t>Alcance</t>
        </is>
      </c>
      <c r="AX7" s="155" t="n">
        <v>1</v>
      </c>
      <c r="AY7" s="155" t="n">
        <v>0</v>
      </c>
      <c r="AZ7" s="155" t="n">
        <v>0</v>
      </c>
      <c r="BA7" s="155" t="n">
        <v>0</v>
      </c>
      <c r="BC7" s="153" t="inlineStr">
        <is>
          <t>Sangra</t>
        </is>
      </c>
      <c r="BD7" s="153" t="inlineStr">
        <is>
          <t>Sangra</t>
        </is>
      </c>
      <c r="BE7" s="155" t="n">
        <v>2</v>
      </c>
      <c r="BF7" s="155" t="n">
        <v>0</v>
      </c>
      <c r="BG7" s="153" t="inlineStr"/>
      <c r="BI7" s="153" t="inlineStr">
        <is>
          <t>Leitura de Feitiços</t>
        </is>
      </c>
      <c r="BJ7" s="155" t="n">
        <v>1</v>
      </c>
      <c r="BK7" s="153" t="inlineStr">
        <is>
          <t>Ao ter um inimigo à vista, você sabe qual foi o último feitiço que ele usou, mesmo que não tenha presenciado aquela conjuração. Recebe o nome ou uma descrição suficiente para reconhecer a aplicação, não sua ficha completa.</t>
        </is>
      </c>
      <c r="BL7" s="153" t="inlineStr">
        <is>
          <t>Leitura de Feitiços</t>
        </is>
      </c>
      <c r="BS7" s="153" t="inlineStr">
        <is>
          <t>Castigo</t>
        </is>
      </c>
      <c r="CC7" s="153" t="inlineStr">
        <is>
          <t>Investigação</t>
        </is>
      </c>
      <c r="CD7" s="153" t="inlineStr">
        <is>
          <t>Inteligência</t>
        </is>
      </c>
      <c r="CH7" s="153" t="inlineStr">
        <is>
          <t>Elétrico</t>
        </is>
      </c>
      <c r="CL7" s="155" t="n">
        <v>5</v>
      </c>
      <c r="CY7" s="153" t="inlineStr">
        <is>
          <t>parcela da defesa</t>
        </is>
      </c>
      <c r="CZ7" s="155">
        <f>INT($CZ$6/2)</f>
        <v/>
      </c>
      <c r="DB7" s="155" t="n">
        <v>6</v>
      </c>
      <c r="DC7" s="155">
        <f>'INVOCAÇÕES'!$I$1003&amp;""</f>
        <v/>
      </c>
      <c r="DD7" s="155">
        <f>'INVOCAÇÕES'!$I$1033&amp;""</f>
        <v/>
      </c>
      <c r="DE7" s="155">
        <f>'INVOCAÇÕES'!$I$1037&amp;""</f>
        <v/>
      </c>
      <c r="DF7" s="155">
        <f>N('INVOCAÇÕES'!$K$1037)</f>
        <v/>
      </c>
      <c r="DG7" s="155">
        <f>'INVOCAÇÕES'!$L$1037&amp;""</f>
        <v/>
      </c>
      <c r="DH7" s="155">
        <f>N('INVOCAÇÕES'!$O$1010)</f>
        <v/>
      </c>
      <c r="DI7" s="155">
        <f>N('INVOCAÇÕES'!$P$1010)</f>
        <v/>
      </c>
      <c r="DJ7" s="155">
        <f>N('INVOCAÇÕES'!$Q$1010)</f>
        <v/>
      </c>
      <c r="DK7" s="155">
        <f>N('INVOCAÇÕES'!$R$1010)</f>
        <v/>
      </c>
      <c r="DL7" s="155">
        <f>N('INVOCAÇÕES'!$S$1010)</f>
        <v/>
      </c>
      <c r="DM7" s="155">
        <f>N('INVOCAÇÕES'!$O$1011)</f>
        <v/>
      </c>
      <c r="DN7" s="155">
        <f>N('INVOCAÇÕES'!$P$1011)</f>
        <v/>
      </c>
      <c r="DO7" s="155">
        <f>N('INVOCAÇÕES'!$Q$1011)</f>
        <v/>
      </c>
      <c r="DP7" s="155">
        <f>N('INVOCAÇÕES'!$R$1011)</f>
        <v/>
      </c>
      <c r="DQ7" s="155">
        <f>N('INVOCAÇÕES'!$S$1011)</f>
        <v/>
      </c>
      <c r="DR7" s="155">
        <f>'INVOCAÇÕES'!$O$1024&amp;""</f>
        <v/>
      </c>
      <c r="DS7" s="155">
        <f>'INVOCAÇÕES'!$R$1024&amp;""</f>
        <v/>
      </c>
      <c r="DT7" s="155">
        <f>'INVOCAÇÕES'!$S$1019&amp;""</f>
        <v/>
      </c>
      <c r="DU7" s="155">
        <f>N('INVOCAÇÕES'!$O$1016)</f>
        <v/>
      </c>
      <c r="DV7" s="155">
        <f>N('INVOCAÇÕES'!$P$1016)</f>
        <v/>
      </c>
      <c r="DW7" s="155">
        <f>N('INVOCAÇÕES'!$Q$1016)</f>
        <v/>
      </c>
      <c r="DX7" s="155">
        <f>N('INVOCAÇÕES'!$R$1016)</f>
        <v/>
      </c>
      <c r="DY7" s="155">
        <f>N('INVOCAÇÕES'!$S$1016)</f>
        <v/>
      </c>
      <c r="DZ7" s="155">
        <f>N('INVOCAÇÕES'!$O$1021)</f>
        <v/>
      </c>
      <c r="EA7" s="155">
        <f>N('INVOCAÇÕES'!$P$1021)</f>
        <v/>
      </c>
      <c r="EB7" s="155">
        <f>N('INVOCAÇÕES'!$Q$1021)</f>
        <v/>
      </c>
      <c r="EC7" s="155">
        <f>N('INVOCAÇÕES'!$R$1021)</f>
        <v/>
      </c>
      <c r="ED7" s="155">
        <f>'INVOCAÇÕES'!$U$1003&amp;""</f>
        <v/>
      </c>
      <c r="EE7" s="155">
        <f>N('INVOCAÇÕES'!$W$1003)</f>
        <v/>
      </c>
      <c r="EF7" s="155">
        <f>'INVOCAÇÕES'!$Y$1003&amp;""</f>
        <v/>
      </c>
      <c r="EG7" s="155">
        <f>SUM('INVOCAÇÕES'!$Y$1023:'INVOCAÇÕES'!$Y$1025,'INVOCAÇÕES'!$Y$1027:'INVOCAÇÕES'!$Y$1032)</f>
        <v/>
      </c>
      <c r="EH7" s="155">
        <f>'INVOCAÇÕES'!$U$1008&amp;""</f>
        <v/>
      </c>
      <c r="EI7" s="155">
        <f>'INVOCAÇÕES'!$V$1008&amp;""</f>
        <v/>
      </c>
      <c r="EJ7" s="155">
        <f>'INVOCAÇÕES'!$O$1038&amp;""</f>
        <v/>
      </c>
      <c r="EK7" s="155">
        <f>'INVOCAÇÕES'!$P$1038&amp;""</f>
        <v/>
      </c>
      <c r="EL7" s="155">
        <f>'INVOCAÇÕES'!$Q$1038&amp;""</f>
        <v/>
      </c>
      <c r="EM7" s="155">
        <f>'INVOCAÇÕES'!$R$1038&amp;""</f>
        <v/>
      </c>
      <c r="EN7" s="155">
        <f>'INVOCAÇÕES'!$S$1038&amp;""</f>
        <v/>
      </c>
      <c r="EO7" s="155">
        <f>'INVOCAÇÕES'!$O$1028&amp;""</f>
        <v/>
      </c>
      <c r="EP7" s="155">
        <f>'INVOCAÇÕES'!$O$1029&amp;""</f>
        <v/>
      </c>
      <c r="EQ7" s="155">
        <f>'INVOCAÇÕES'!$O$1030&amp;""</f>
        <v/>
      </c>
      <c r="ER7" s="155">
        <f>'INVOCAÇÕES'!$O$1031&amp;""</f>
        <v/>
      </c>
      <c r="ES7" s="155">
        <f>'INVOCAÇÕES'!$O$1032&amp;""</f>
        <v/>
      </c>
      <c r="ET7" s="155">
        <f>'INVOCAÇÕES'!$O$1033&amp;""</f>
        <v/>
      </c>
      <c r="EU7" s="155">
        <f>'INVOCAÇÕES'!$O$1034&amp;""</f>
        <v/>
      </c>
      <c r="EV7" s="155">
        <f>'INVOCAÇÕES'!$J$1070&amp;""</f>
        <v/>
      </c>
      <c r="EW7" s="155">
        <f>'INVOCAÇÕES'!$J$1071&amp;""</f>
        <v/>
      </c>
      <c r="EX7" s="155">
        <f>'INVOCAÇÕES'!$J$1072&amp;""</f>
        <v/>
      </c>
      <c r="EY7" s="155">
        <f>'INVOCAÇÕES'!$J$1073&amp;""</f>
        <v/>
      </c>
      <c r="EZ7" s="155">
        <f>'INVOCAÇÕES'!$J$1074&amp;""</f>
        <v/>
      </c>
      <c r="FA7" s="155">
        <f>'INVOCAÇÕES'!$J$1075&amp;""</f>
        <v/>
      </c>
      <c r="FB7" s="155">
        <f>'INVOCAÇÕES'!$J$1076&amp;""</f>
        <v/>
      </c>
      <c r="FC7" s="155">
        <f>'INVOCAÇÕES'!$J$1077&amp;""</f>
        <v/>
      </c>
      <c r="FD7" s="155">
        <f>'INVOCAÇÕES'!$J$1172&amp;""</f>
        <v/>
      </c>
      <c r="FE7" s="155">
        <f>'INVOCAÇÕES'!$J$1173&amp;""</f>
        <v/>
      </c>
      <c r="FF7" s="155">
        <f>'INVOCAÇÕES'!$J$1174&amp;""</f>
        <v/>
      </c>
      <c r="FG7" s="155">
        <f>MAX(3,MIN(7,N('INVOCAÇÕES'!$I$1179)))</f>
        <v/>
      </c>
      <c r="FH7" s="155">
        <f>MAX(3,MIN(7,N('INVOCAÇÕES'!$O$1179)))</f>
        <v/>
      </c>
      <c r="FI7" s="155">
        <f>MAX(3,MIN(7,N('INVOCAÇÕES'!$U$1179)))</f>
        <v/>
      </c>
      <c r="FJ7" s="155">
        <f>'INVOCAÇÕES'!$O$1193&amp;""</f>
        <v/>
      </c>
      <c r="FK7" s="155">
        <f>IF($DC7&lt;&gt;"",1,0)</f>
        <v/>
      </c>
      <c r="FL7" s="155">
        <f>IFERROR(VLOOKUP($DE7,$BP$2:$BQ$5,2,FALSE),1)</f>
        <v/>
      </c>
      <c r="FM7" s="155">
        <f>IF($FL7=1,$CZ$2,MAX(1,MIN($CZ$2,IF($DF7=0,$CZ$2,$DF7))))</f>
        <v/>
      </c>
      <c r="FN7" s="155">
        <f>VLOOKUP(MAX(1,$FM7),$A$2:$D$8,2,TRUE)</f>
        <v/>
      </c>
      <c r="FO7" s="155">
        <f>VLOOKUP(MAX(1,$FM7),$A$2:$D$8,3,TRUE)</f>
        <v/>
      </c>
      <c r="FP7" s="155">
        <f>$DH7+$DM7</f>
        <v/>
      </c>
      <c r="FQ7" s="155">
        <f>$DI7+$DN7</f>
        <v/>
      </c>
      <c r="FR7" s="155">
        <f>$DJ7+$DO7</f>
        <v/>
      </c>
      <c r="FS7" s="155">
        <f>$DK7+$DP7</f>
        <v/>
      </c>
      <c r="FT7" s="155">
        <f>$DL7+$DQ7</f>
        <v/>
      </c>
      <c r="FU7" s="155">
        <f>SUM($DH7:$DL7)</f>
        <v/>
      </c>
      <c r="FV7" s="155">
        <f>9+$FW7</f>
        <v/>
      </c>
      <c r="FW7" s="155">
        <f>COUNTIF($F$2:$F$8,"&lt;="&amp;$FM7)</f>
        <v/>
      </c>
      <c r="FX7" s="155">
        <f>MAX(0,$DH7-3)+MAX(0,$DI7-3)+MAX(0,$DJ7-3)+MAX(0,$DK7-3)+MAX(0,$DL7-3)</f>
        <v/>
      </c>
      <c r="FY7" s="155">
        <f>IFERROR(INDEX($FP7:$FT7,1,MATCH($DR7,$BU$2:$BU$6,0)),"")</f>
        <v/>
      </c>
      <c r="FZ7" s="155">
        <f>IF($FY7="","",$FY7+$CZ$3+$DU7)</f>
        <v/>
      </c>
      <c r="GA7" s="155">
        <f>IF($FY7="","",8+$FY7+$CZ$3+$DV7)</f>
        <v/>
      </c>
      <c r="GB7" s="155">
        <f>10+$FQ7+$CZ$7+$DW7</f>
        <v/>
      </c>
      <c r="GC7" s="155">
        <f>IF($DD7="Corpo amaldiçoado de criação",1,0)</f>
        <v/>
      </c>
      <c r="GD7" s="155">
        <f>5+$FR7+(3+$GC7+$FR7)*($FM7-1)+$DX7</f>
        <v/>
      </c>
      <c r="GE7" s="155">
        <f>IF($FK7=0,"",$GD7)</f>
        <v/>
      </c>
      <c r="GF7" s="155">
        <f>IF($ED7="",$GD7,MAX(0,MIN(IFERROR(VALUE($ED7),$GD7),$GD7)))</f>
        <v/>
      </c>
      <c r="GG7" s="155">
        <f>IF(AND($FK7=1,$EH7&lt;&gt;"Sem alma"),MAX(1,INT($GD7/2)),"")</f>
        <v/>
      </c>
      <c r="GH7" s="155">
        <f>$GG7</f>
        <v/>
      </c>
      <c r="GI7" s="155">
        <f>IF($GG7="","",IF($EI7="",$GG7,MAX(0,MIN(IFERROR(VALUE($EI7),$GG7),$GG7))))</f>
        <v/>
      </c>
      <c r="GJ7" s="155">
        <f>IF($FK7=0,"",IF($GG7="","—",$GG7))</f>
        <v/>
      </c>
      <c r="GK7" s="155">
        <f>IF($FK7=0,"",IF($GG7="","Sem alma · imune a dano de Alma",IF($GI7&lt;=0,"Estágio 4 · caída, como a zero de vida",IF($GI7&lt;=$GG7/4,"Estágio 3 · desvantagem em ataques e TRs, Classe pela metade",IF($GI7&lt;=$GG7/2,"Estágio 2 · metade do deslocamento, +1 PE por Classe",IF($GI7&lt;=$GG7*3/4,"Estágio 1 · desvantagem em perícias","Alma inteira"))))))</f>
        <v/>
      </c>
      <c r="GL7" s="155">
        <f>9+$DY7</f>
        <v/>
      </c>
      <c r="GM7" s="155">
        <f>IF($DS7="Destreza",$FQ7,$FP7)</f>
        <v/>
      </c>
      <c r="GN7" s="155">
        <f>$GM7+IF($DT7="Físico",$CZ$3,0)+$DZ7</f>
        <v/>
      </c>
      <c r="GO7" s="155">
        <f>$FR7+IF($DT7="Vigor",$CZ$3,0)+$EA7</f>
        <v/>
      </c>
      <c r="GP7" s="155">
        <f>$FS7+IF($DT7="Intelecto",$CZ$3,0)+$EB7</f>
        <v/>
      </c>
      <c r="GQ7" s="155">
        <f>$FT7+IF($DT7="Espírito",$CZ$3,0)+$EC7</f>
        <v/>
      </c>
      <c r="GR7" s="155">
        <f>4+INT($DK7/2)</f>
        <v/>
      </c>
      <c r="GS7" s="155">
        <f>COUNTIF($EO7:$EU7,"?*")</f>
        <v/>
      </c>
      <c r="GT7" s="155">
        <f>INT((2+$FM7/2)/2)</f>
        <v/>
      </c>
      <c r="GU7" s="155">
        <f>IF($FM7&gt;=11,2,1)</f>
        <v/>
      </c>
      <c r="GV7" s="155">
        <f>1+$FW7</f>
        <v/>
      </c>
      <c r="GW7" s="155">
        <f>COUNTIF($EV7:$FC7,"?*")</f>
        <v/>
      </c>
      <c r="GX7" s="155">
        <f>IF(AND($DD7="Shikigami de criação",$DG7="Com carga"),MAX(1,CEILING($FN7/2,1)),$FN7)</f>
        <v/>
      </c>
      <c r="GY7" s="155">
        <f>$FN7+$GX7</f>
        <v/>
      </c>
      <c r="GZ7" s="155">
        <f>$FM7*(1+INT($DL7/3))</f>
        <v/>
      </c>
      <c r="HA7" s="155">
        <f>5+$FP7</f>
        <v/>
      </c>
      <c r="HB7" s="155">
        <f>COUNTIF($EJ7:$EN7,"?*")</f>
        <v/>
      </c>
      <c r="HC7" s="155">
        <f>IF($EJ7="",0,IF(COUNTIF($EJ7:$EN7,$EJ7)&gt;1,1,0))+IF($EK7="",0,IF(COUNTIF($EJ7:$EN7,$EK7)&gt;1,1,0))+IF($EL7="",0,IF(COUNTIF($EJ7:$EN7,$EL7)&gt;1,1,0))+IF($EM7="",0,IF(COUNTIF($EJ7:$EN7,$EM7)&gt;1,1,0))+IF($EN7="",0,IF(COUNTIF($EJ7:$EN7,$EN7)&gt;1,1,0))</f>
        <v/>
      </c>
      <c r="HD7" s="155">
        <f>$CZ$11</f>
        <v/>
      </c>
      <c r="HE7" s="155">
        <f>IF($FK7=0,"INVOCAÇÃO 6 · lugar vazio",$DC7&amp;" · "&amp;$DD7&amp;" · nível "&amp;$FM7&amp;" · vida "&amp;$GF7&amp;" de "&amp;$GD7)</f>
        <v/>
      </c>
      <c r="HF7" s="155">
        <f>IF($FK7=0,"VAZIA",UPPER($DC7))</f>
        <v/>
      </c>
      <c r="HG7" s="155">
        <f>IF($CZ$3&gt;=0,"+","−")&amp;ABS($CZ$3)</f>
        <v/>
      </c>
      <c r="HH7" s="155">
        <f>$GX7&amp;" PE"</f>
        <v/>
      </c>
      <c r="HI7" s="155">
        <f>$GY7&amp;" PE"</f>
        <v/>
      </c>
      <c r="HJ7" s="155">
        <f>IF(OR($FU7&gt;$FV7,$FX7&gt;$FW7),"⚠ ",IF(AND($FK7=1,$FU7&lt;$FV7),"! ",""))&amp;"ATRIBUTOS · "&amp;$FU7&amp;" DE "&amp;$FV7&amp;" PONTOS"&amp;IF($FX7&gt;$FW7," · ACIMA DE 3 SÓ COM MARCO","")</f>
        <v/>
      </c>
      <c r="HK7" s="155">
        <f>IF($FZ7="","",IF($FZ7&gt;=0,"+","−")&amp;ABS($FZ7))</f>
        <v/>
      </c>
      <c r="HL7" s="155">
        <f>IF($GA7="","",$GA7)</f>
        <v/>
      </c>
      <c r="HM7" s="155">
        <f>SUBSTITUTE($GL7&amp;" m",".",",")</f>
        <v/>
      </c>
      <c r="HN7" s="155">
        <f>IF($GN7&gt;=0,"+","−")&amp;ABS($GN7)</f>
        <v/>
      </c>
      <c r="HO7" s="155">
        <f>IF($GO7&gt;=0,"+","−")&amp;ABS($GO7)</f>
        <v/>
      </c>
      <c r="HP7" s="155">
        <f>IF($GP7&gt;=0,"+","−")&amp;ABS($GP7)</f>
        <v/>
      </c>
      <c r="HQ7" s="155">
        <f>IF($GQ7&gt;=0,"+","−")&amp;ABS($GQ7)</f>
        <v/>
      </c>
      <c r="HR7" s="155">
        <f>IF($GS7&gt;$GR7,"⚠ ","")&amp;"PERÍCIAS · "&amp;$GS7&amp;" DE "&amp;$GR7</f>
        <v/>
      </c>
      <c r="HS7" s="155">
        <f>IF($EO7="","",IFERROR(IF((INDEX($FP7:$FT7,1,MATCH(VLOOKUP($EO7,$CC$2:$CD$24,2,FALSE),$BU$2:$BU$6,0))+$CZ$3)&gt;=0,"+","−")&amp;ABS((INDEX($FP7:$FT7,1,MATCH(VLOOKUP($EO7,$CC$2:$CD$24,2,FALSE),$BU$2:$BU$6,0))+$CZ$3)),""))</f>
        <v/>
      </c>
      <c r="HT7" s="155">
        <f>IF($EP7="","",IFERROR(IF((INDEX($FP7:$FT7,1,MATCH(VLOOKUP($EP7,$CC$2:$CD$24,2,FALSE),$BU$2:$BU$6,0))+$CZ$3)&gt;=0,"+","−")&amp;ABS((INDEX($FP7:$FT7,1,MATCH(VLOOKUP($EP7,$CC$2:$CD$24,2,FALSE),$BU$2:$BU$6,0))+$CZ$3)),""))</f>
        <v/>
      </c>
      <c r="HU7" s="155">
        <f>IF($EQ7="","",IFERROR(IF((INDEX($FP7:$FT7,1,MATCH(VLOOKUP($EQ7,$CC$2:$CD$24,2,FALSE),$BU$2:$BU$6,0))+$CZ$3)&gt;=0,"+","−")&amp;ABS((INDEX($FP7:$FT7,1,MATCH(VLOOKUP($EQ7,$CC$2:$CD$24,2,FALSE),$BU$2:$BU$6,0))+$CZ$3)),""))</f>
        <v/>
      </c>
      <c r="HV7" s="155">
        <f>IF($ER7="","",IFERROR(IF((INDEX($FP7:$FT7,1,MATCH(VLOOKUP($ER7,$CC$2:$CD$24,2,FALSE),$BU$2:$BU$6,0))+$CZ$3)&gt;=0,"+","−")&amp;ABS((INDEX($FP7:$FT7,1,MATCH(VLOOKUP($ER7,$CC$2:$CD$24,2,FALSE),$BU$2:$BU$6,0))+$CZ$3)),""))</f>
        <v/>
      </c>
      <c r="HW7" s="155">
        <f>IF($ES7="","",IFERROR(IF((INDEX($FP7:$FT7,1,MATCH(VLOOKUP($ES7,$CC$2:$CD$24,2,FALSE),$BU$2:$BU$6,0))+$CZ$3)&gt;=0,"+","−")&amp;ABS((INDEX($FP7:$FT7,1,MATCH(VLOOKUP($ES7,$CC$2:$CD$24,2,FALSE),$BU$2:$BU$6,0))+$CZ$3)),""))</f>
        <v/>
      </c>
      <c r="HX7" s="155">
        <f>IF($ET7="","",IFERROR(IF((INDEX($FP7:$FT7,1,MATCH(VLOOKUP($ET7,$CC$2:$CD$24,2,FALSE),$BU$2:$BU$6,0))+$CZ$3)&gt;=0,"+","−")&amp;ABS((INDEX($FP7:$FT7,1,MATCH(VLOOKUP($ET7,$CC$2:$CD$24,2,FALSE),$BU$2:$BU$6,0))+$CZ$3)),""))</f>
        <v/>
      </c>
      <c r="HY7" s="155">
        <f>IF($EU7="","",IFERROR(IF((INDEX($FP7:$FT7,1,MATCH(VLOOKUP($EU7,$CC$2:$CD$24,2,FALSE),$BU$2:$BU$6,0))+$CZ$3)&gt;=0,"+","−")&amp;ABS((INDEX($FP7:$FT7,1,MATCH(VLOOKUP($EU7,$CC$2:$CD$24,2,FALSE),$BU$2:$BU$6,0))+$CZ$3)),""))</f>
        <v/>
      </c>
      <c r="HZ7" s="155">
        <f>IF($DD7="Maldição domada","RESERVA · MÁX. "&amp;$GZ7,"RESERVA DE PE")</f>
        <v/>
      </c>
      <c r="IA7" s="155">
        <f>IF($EG7&gt;$HA7,"⚠ ","")&amp;"EQUIPAMENTO · "&amp;$EG7&amp;" DE "&amp;$HA7&amp;" DE VOLUME"&amp;IF($EG7&gt;$HA7," · PASSOU DO LIMITE","")</f>
        <v/>
      </c>
      <c r="IB7" s="155">
        <f>IF(OR($HC7&gt;0,$HB7&gt;$HD7),"⚠ ","")&amp;"FAMÍLIAS · "&amp;$HB7&amp;" ABERTAS"&amp;IF($HC7&gt;0," · REPETIDA","")&amp;IF($HB7&gt;$HD7," · O LIMITE É "&amp;$HD7,"")</f>
        <v/>
      </c>
      <c r="IC7" s="155">
        <f>"HABILIDADES · básica de "&amp;$FO7&amp;"d6 · "&amp;$GT7&amp;IF($GT7&gt;1," espaços"," espaço")&amp;" de especial até a Classe "&amp;$FN7&amp;" · "&amp;$GV7&amp;IF($GV7&gt;1," talentos"," talento")</f>
        <v/>
      </c>
      <c r="ID7" s="155">
        <f>IF($GW7&gt;$GV7,"⚠ ","")&amp;"TALENTOS · "&amp;$GW7&amp;" DE "&amp;$GV7</f>
        <v/>
      </c>
      <c r="IE7" s="155">
        <f>IFERROR(VLOOKUP($EV7,$BI$2:$BL$15,2,FALSE),0)</f>
        <v/>
      </c>
      <c r="IF7" s="155">
        <f>IFERROR(VLOOKUP($EW7,$BI$2:$BL$15,2,FALSE),0)</f>
        <v/>
      </c>
      <c r="IG7" s="155">
        <f>IFERROR(VLOOKUP($EX7,$BI$2:$BL$15,2,FALSE),0)</f>
        <v/>
      </c>
      <c r="IH7" s="155">
        <f>IFERROR(VLOOKUP($EY7,$BI$2:$BL$15,2,FALSE),0)</f>
        <v/>
      </c>
      <c r="II7" s="155">
        <f>IFERROR(VLOOKUP($EZ7,$BI$2:$BL$15,2,FALSE),0)</f>
        <v/>
      </c>
      <c r="IJ7" s="155">
        <f>IFERROR(VLOOKUP($FA7,$BI$2:$BL$15,2,FALSE),0)</f>
        <v/>
      </c>
      <c r="IK7" s="155">
        <f>IFERROR(VLOOKUP($FB7,$BI$2:$BL$15,2,FALSE),0)</f>
        <v/>
      </c>
      <c r="IL7" s="155">
        <f>IFERROR(VLOOKUP($FC7,$BI$2:$BL$15,2,FALSE),0)</f>
        <v/>
      </c>
      <c r="IM7" s="155">
        <f>IF($EV7="","",IF(1&gt;$FM7,"⚠ Este talento abre no nível 1",IF($IE7&gt;1,"⚠ Categoria "&amp;$IE7&amp;": este ganho vai até a 1 · ","")&amp;IFERROR(VLOOKUP($EV7,$BI$2:$BL$15,3,FALSE),"")))</f>
        <v/>
      </c>
      <c r="IN7" s="155">
        <f>IF($EW7="","",IF(6&gt;$FM7,"⚠ Este talento abre no nível 6",IF($IF7&gt;1,"⚠ Categoria "&amp;$IF7&amp;": este ganho vai até a 1 · ","")&amp;IFERROR(VLOOKUP($EW7,$BI$2:$BL$15,3,FALSE),"")))</f>
        <v/>
      </c>
      <c r="IO7" s="155">
        <f>IF($EX7="","",IF(10&gt;$FM7,"⚠ Este talento abre no nível 10",IF($IG7&gt;2,"⚠ Categoria "&amp;$IG7&amp;": este ganho vai até a 2 · ","")&amp;IFERROR(VLOOKUP($EX7,$BI$2:$BL$15,3,FALSE),"")))</f>
        <v/>
      </c>
      <c r="IP7" s="155">
        <f>IF($EY7="","",IF(14&gt;$FM7,"⚠ Este talento abre no nível 14",IF($IH7&gt;3,"⚠ Categoria "&amp;$IH7&amp;": este ganho vai até a 3 · ","")&amp;IFERROR(VLOOKUP($EY7,$BI$2:$BL$15,3,FALSE),"")))</f>
        <v/>
      </c>
      <c r="IQ7" s="155">
        <f>IF($EZ7="","",IF(18&gt;$FM7,"⚠ Este talento abre no nível 18",IF($II7&gt;3,"⚠ Categoria "&amp;$II7&amp;": este ganho vai até a 3 · ","")&amp;IFERROR(VLOOKUP($EZ7,$BI$2:$BL$15,3,FALSE),"")))</f>
        <v/>
      </c>
      <c r="IR7" s="155">
        <f>IF($FA7="","",IF(22&gt;$FM7,"⚠ Este talento abre no nível 22",IF($IJ7&gt;3,"⚠ Categoria "&amp;$IJ7&amp;": este ganho vai até a 3 · ","")&amp;IFERROR(VLOOKUP($FA7,$BI$2:$BL$15,3,FALSE),"")))</f>
        <v/>
      </c>
      <c r="IS7" s="155">
        <f>IF($FB7="","",IF(26&gt;$FM7,"⚠ Este talento abre no nível 26",IF($IK7&gt;3,"⚠ Categoria "&amp;$IK7&amp;": este ganho vai até a 3 · ","")&amp;IFERROR(VLOOKUP($FB7,$BI$2:$BL$15,3,FALSE),"")))</f>
        <v/>
      </c>
      <c r="IT7" s="155">
        <f>IF($FC7="","",IF(30&gt;$FM7,"⚠ Este talento abre no nível 30",IF($IL7&gt;3,"⚠ Categoria "&amp;$IL7&amp;": este ganho vai até a 3 · ","")&amp;IFERROR(VLOOKUP($FC7,$BI$2:$BL$15,3,FALSE),"")))</f>
        <v/>
      </c>
      <c r="IU7" s="155">
        <f>IF($FD7="","",IFERROR(VLOOKUP($FD7,$BI$2:$BL$15,3,FALSE),""))</f>
        <v/>
      </c>
      <c r="IV7" s="155">
        <f>IF($FE7="","",IFERROR(VLOOKUP($FE7,$BI$2:$BL$15,3,FALSE),""))</f>
        <v/>
      </c>
      <c r="IW7" s="155">
        <f>IF($FF7="","",IFERROR(VLOOKUP($FF7,$BI$2:$BL$15,3,FALSE),""))</f>
        <v/>
      </c>
      <c r="IX7" s="155">
        <f>CEILING(4.5*$FG7,1)&amp;" PE"</f>
        <v/>
      </c>
      <c r="IY7" s="155">
        <f>CEILING(4.5*$FH7,1)&amp;" PE"</f>
        <v/>
      </c>
      <c r="IZ7" s="155">
        <f>CEILING(4.5*$FI7,1)&amp;" PE"</f>
        <v/>
      </c>
      <c r="JA7" s="155">
        <f>INDEX($P$2:$P$8,$FG7)&amp;" pontos + "&amp;$FG7&amp;"d8"</f>
        <v/>
      </c>
      <c r="JB7" s="155">
        <f>INDEX($P$2:$P$8,$FH7)&amp;" pontos + "&amp;$FH7&amp;"d8"</f>
        <v/>
      </c>
      <c r="JC7" s="155">
        <f>INDEX($P$2:$P$8,$FI7)&amp;" pontos + "&amp;$FI7&amp;"d8"</f>
        <v/>
      </c>
      <c r="JD7" s="155">
        <f>IF($FM7&lt;17,"—",VLOOKUP($FM7,$CN$2:$CQ$4,4,TRUE)&amp;" PE")</f>
        <v/>
      </c>
      <c r="JE7" s="155">
        <f>IF($FM7&lt;17,"Abre no nível 17",VLOOKUP($FM7,$CN$2:$CQ$4,2,TRUE)&amp;" fixos · "&amp;VLOOKUP($FM7,$CN$2:$CQ$4,3,TRUE)&amp;" pontos")</f>
        <v/>
      </c>
      <c r="JF7" s="155">
        <f>IF($FJ7="Sem Barreiras",7,6)*$FN7&amp;" PE"</f>
        <v/>
      </c>
      <c r="JG7" s="155">
        <f>"Acerto "&amp;$FN7&amp;"d8"</f>
        <v/>
      </c>
      <c r="JH7" s="155">
        <f>IFERROR(VLOOKUP($FJ7,$CS$2:$CU$4,3,FALSE),"Escolha o degrau")</f>
        <v/>
      </c>
      <c r="JI7" s="155">
        <f>6&amp;" · "&amp;IF($FK7=0,"vazia",$DC7&amp;" · nv "&amp;$FM7&amp;" · "&amp;$GF7&amp;"/"&amp;$GD7)</f>
        <v/>
      </c>
      <c r="JM7" s="153" t="inlineStr">
        <is>
          <t>Invocação 6</t>
        </is>
      </c>
      <c r="JN7" s="155">
        <f>ADDRESS(ROW('INVOCAÇÕES'!D26),COLUMN('INVOCAÇÕES'!D26),4)</f>
        <v/>
      </c>
      <c r="JO7" s="155">
        <f>ADDRESS(ROW('INVOCAÇÕES'!H999),COLUMN('INVOCAÇÕES'!H999),4)</f>
        <v/>
      </c>
      <c r="JP7" s="153" t="inlineStr">
        <is>
          <t>DADOS_INVOC!$JI$7</t>
        </is>
      </c>
      <c r="JR7" s="155">
        <f>IF(OR($AW7="",COUNTIF($EJ$2:$EN$2,$AW7)&gt;0),$AV7,"")</f>
        <v/>
      </c>
      <c r="JS7" s="155">
        <f>IF(AND($AX7=1,OR($AW7="",COUNTIF($EJ$2:$EN$2,$AW7)&gt;0)),$AV7,"")</f>
        <v/>
      </c>
      <c r="JU7" s="155">
        <f>IF(OR($W7="",COUNTIF($EJ$2:$EN$2,$W7)&gt;0),$V7,"")</f>
        <v/>
      </c>
      <c r="JV7" s="155">
        <f>IF(AND($AF7=1,OR($W7="",COUNTIF($EJ$2:$EN$2,$W7)&gt;0)),$V7,"")</f>
        <v/>
      </c>
      <c r="JX7" s="155">
        <f>IF(OR($AW7="",COUNTIF($EJ$3:$EN$3,$AW7)&gt;0),$AV7,"")</f>
        <v/>
      </c>
      <c r="JY7" s="155">
        <f>IF(AND($AX7=1,OR($AW7="",COUNTIF($EJ$3:$EN$3,$AW7)&gt;0)),$AV7,"")</f>
        <v/>
      </c>
      <c r="KA7" s="155">
        <f>IF(OR($W7="",COUNTIF($EJ$3:$EN$3,$W7)&gt;0),$V7,"")</f>
        <v/>
      </c>
      <c r="KB7" s="155">
        <f>IF(AND($AF7=1,OR($W7="",COUNTIF($EJ$3:$EN$3,$W7)&gt;0)),$V7,"")</f>
        <v/>
      </c>
      <c r="KD7" s="155">
        <f>IF(OR($AW7="",COUNTIF($EJ$4:$EN$4,$AW7)&gt;0),$AV7,"")</f>
        <v/>
      </c>
      <c r="KE7" s="155">
        <f>IF(AND($AX7=1,OR($AW7="",COUNTIF($EJ$4:$EN$4,$AW7)&gt;0)),$AV7,"")</f>
        <v/>
      </c>
      <c r="KG7" s="155">
        <f>IF(OR($W7="",COUNTIF($EJ$4:$EN$4,$W7)&gt;0),$V7,"")</f>
        <v/>
      </c>
      <c r="KH7" s="155">
        <f>IF(AND($AF7=1,OR($W7="",COUNTIF($EJ$4:$EN$4,$W7)&gt;0)),$V7,"")</f>
        <v/>
      </c>
      <c r="KJ7" s="155">
        <f>IF(OR($AW7="",COUNTIF($EJ$5:$EN$5,$AW7)&gt;0),$AV7,"")</f>
        <v/>
      </c>
      <c r="KK7" s="155">
        <f>IF(AND($AX7=1,OR($AW7="",COUNTIF($EJ$5:$EN$5,$AW7)&gt;0)),$AV7,"")</f>
        <v/>
      </c>
      <c r="KM7" s="155">
        <f>IF(OR($W7="",COUNTIF($EJ$5:$EN$5,$W7)&gt;0),$V7,"")</f>
        <v/>
      </c>
      <c r="KN7" s="155">
        <f>IF(AND($AF7=1,OR($W7="",COUNTIF($EJ$5:$EN$5,$W7)&gt;0)),$V7,"")</f>
        <v/>
      </c>
      <c r="KP7" s="155">
        <f>IF(OR($AW7="",COUNTIF($EJ$6:$EN$6,$AW7)&gt;0),$AV7,"")</f>
        <v/>
      </c>
      <c r="KQ7" s="155">
        <f>IF(AND($AX7=1,OR($AW7="",COUNTIF($EJ$6:$EN$6,$AW7)&gt;0)),$AV7,"")</f>
        <v/>
      </c>
      <c r="KS7" s="155">
        <f>IF(OR($W7="",COUNTIF($EJ$6:$EN$6,$W7)&gt;0),$V7,"")</f>
        <v/>
      </c>
      <c r="KT7" s="155">
        <f>IF(AND($AF7=1,OR($W7="",COUNTIF($EJ$6:$EN$6,$W7)&gt;0)),$V7,"")</f>
        <v/>
      </c>
      <c r="KV7" s="155">
        <f>IF(OR($AW7="",COUNTIF($EJ$7:$EN$7,$AW7)&gt;0),$AV7,"")</f>
        <v/>
      </c>
      <c r="KW7" s="155">
        <f>IF(AND($AX7=1,OR($AW7="",COUNTIF($EJ$7:$EN$7,$AW7)&gt;0)),$AV7,"")</f>
        <v/>
      </c>
      <c r="KY7" s="155">
        <f>IF(OR($W7="",COUNTIF($EJ$7:$EN$7,$W7)&gt;0),$V7,"")</f>
        <v/>
      </c>
      <c r="KZ7" s="155">
        <f>IF(AND($AF7=1,OR($W7="",COUNTIF($EJ$7:$EN$7,$W7)&gt;0)),$V7,"")</f>
        <v/>
      </c>
      <c r="LB7" s="155">
        <f>IF(OR($AW7="",COUNTIF($EJ$8:$EN$8,$AW7)&gt;0),$AV7,"")</f>
        <v/>
      </c>
      <c r="LC7" s="155">
        <f>IF(AND($AX7=1,OR($AW7="",COUNTIF($EJ$8:$EN$8,$AW7)&gt;0)),$AV7,"")</f>
        <v/>
      </c>
      <c r="LE7" s="155">
        <f>IF(OR($W7="",COUNTIF($EJ$8:$EN$8,$W7)&gt;0),$V7,"")</f>
        <v/>
      </c>
      <c r="LF7" s="155">
        <f>IF(AND($AF7=1,OR($W7="",COUNTIF($EJ$8:$EN$8,$W7)&gt;0)),$V7,"")</f>
        <v/>
      </c>
      <c r="LH7" s="155">
        <f>IF(OR($AW7="",COUNTIF($EJ$9:$EN$9,$AW7)&gt;0),$AV7,"")</f>
        <v/>
      </c>
      <c r="LI7" s="155">
        <f>IF(AND($AX7=1,OR($AW7="",COUNTIF($EJ$9:$EN$9,$AW7)&gt;0)),$AV7,"")</f>
        <v/>
      </c>
      <c r="LK7" s="155">
        <f>IF(OR($W7="",COUNTIF($EJ$9:$EN$9,$W7)&gt;0),$V7,"")</f>
        <v/>
      </c>
      <c r="LL7" s="155">
        <f>IF(AND($AF7=1,OR($W7="",COUNTIF($EJ$9:$EN$9,$W7)&gt;0)),$V7,"")</f>
        <v/>
      </c>
      <c r="LN7" s="155">
        <f>IF(OR($AW7="",COUNTIF($EJ$10:$EN$10,$AW7)&gt;0),$AV7,"")</f>
        <v/>
      </c>
      <c r="LO7" s="155">
        <f>IF(AND($AX7=1,OR($AW7="",COUNTIF($EJ$10:$EN$10,$AW7)&gt;0)),$AV7,"")</f>
        <v/>
      </c>
      <c r="LQ7" s="155">
        <f>IF(OR($W7="",COUNTIF($EJ$10:$EN$10,$W7)&gt;0),$V7,"")</f>
        <v/>
      </c>
      <c r="LR7" s="155">
        <f>IF(AND($AF7=1,OR($W7="",COUNTIF($EJ$10:$EN$10,$W7)&gt;0)),$V7,"")</f>
        <v/>
      </c>
      <c r="LT7" s="155">
        <f>IF(OR($AW7="",COUNTIF($EJ$11:$EN$11,$AW7)&gt;0),$AV7,"")</f>
        <v/>
      </c>
      <c r="LU7" s="155">
        <f>IF(AND($AX7=1,OR($AW7="",COUNTIF($EJ$11:$EN$11,$AW7)&gt;0)),$AV7,"")</f>
        <v/>
      </c>
      <c r="LW7" s="155">
        <f>IF(OR($W7="",COUNTIF($EJ$11:$EN$11,$W7)&gt;0),$V7,"")</f>
        <v/>
      </c>
      <c r="LX7" s="155">
        <f>IF(AND($AF7=1,OR($W7="",COUNTIF($EJ$11:$EN$11,$W7)&gt;0)),$V7,"")</f>
        <v/>
      </c>
      <c r="LZ7" s="155">
        <f>IF(OR($AW7="",COUNTIF($EJ$12:$EN$12,$AW7)&gt;0),$AV7,"")</f>
        <v/>
      </c>
      <c r="MA7" s="155">
        <f>IF(AND($AX7=1,OR($AW7="",COUNTIF($EJ$12:$EN$12,$AW7)&gt;0)),$AV7,"")</f>
        <v/>
      </c>
      <c r="MC7" s="155">
        <f>IF(OR($W7="",COUNTIF($EJ$12:$EN$12,$W7)&gt;0),$V7,"")</f>
        <v/>
      </c>
      <c r="MD7" s="155">
        <f>IF(AND($AF7=1,OR($W7="",COUNTIF($EJ$12:$EN$12,$W7)&gt;0)),$V7,"")</f>
        <v/>
      </c>
      <c r="MF7" s="155">
        <f>IF(OR($AW7="",COUNTIF($EJ$13:$EN$13,$AW7)&gt;0),$AV7,"")</f>
        <v/>
      </c>
      <c r="MG7" s="155">
        <f>IF(AND($AX7=1,OR($AW7="",COUNTIF($EJ$13:$EN$13,$AW7)&gt;0)),$AV7,"")</f>
        <v/>
      </c>
      <c r="MI7" s="155">
        <f>IF(OR($W7="",COUNTIF($EJ$13:$EN$13,$W7)&gt;0),$V7,"")</f>
        <v/>
      </c>
      <c r="MJ7" s="155">
        <f>IF(AND($AF7=1,OR($W7="",COUNTIF($EJ$13:$EN$13,$W7)&gt;0)),$V7,"")</f>
        <v/>
      </c>
      <c r="ML7" s="153" t="inlineStr">
        <is>
          <t>Ficha 1 · Especial 4</t>
        </is>
      </c>
      <c r="MM7" s="155" t="n">
        <v>1</v>
      </c>
      <c r="MN7" s="155" t="n">
        <v>1</v>
      </c>
      <c r="MO7" s="155" t="n">
        <v>12</v>
      </c>
      <c r="MP7" s="153" t="inlineStr">
        <is>
          <t>ESPECIAL 4</t>
        </is>
      </c>
      <c r="MQ7" s="155">
        <f>MAX(1,MIN(7,N('INVOCAÇÕES'!$U$92)))</f>
        <v/>
      </c>
      <c r="MR7" s="155">
        <f>'INVOCAÇÕES'!$V$92&amp;""</f>
        <v/>
      </c>
      <c r="MS7" s="155">
        <f>'INVOCAÇÕES'!$U$97&amp;""</f>
        <v/>
      </c>
      <c r="MT7" s="155">
        <f>'INVOCAÇÕES'!$U$98&amp;""</f>
        <v/>
      </c>
      <c r="MU7" s="155">
        <f>'INVOCAÇÕES'!$W$98&amp;""</f>
        <v/>
      </c>
      <c r="MV7" s="155">
        <f>'INVOCAÇÕES'!$V$101&amp;""</f>
        <v/>
      </c>
      <c r="MW7" s="155">
        <f>'INVOCAÇÕES'!$V$102&amp;""</f>
        <v/>
      </c>
      <c r="MX7" s="155">
        <f>'INVOCAÇÕES'!$V$103&amp;""</f>
        <v/>
      </c>
      <c r="MY7" s="155">
        <f>'INVOCAÇÕES'!$V$104&amp;""</f>
        <v/>
      </c>
      <c r="MZ7" s="155">
        <f>'INVOCAÇÕES'!$V$105&amp;""</f>
        <v/>
      </c>
      <c r="NA7" s="155">
        <f>'INVOCAÇÕES'!$V$106&amp;""</f>
        <v/>
      </c>
      <c r="NB7" s="155">
        <f>IF($MR7&lt;&gt;"",1,0)</f>
        <v/>
      </c>
      <c r="NC7" s="155">
        <f>INDEX($FM$2:$FM$13,$MM7)</f>
        <v/>
      </c>
      <c r="ND7" s="155">
        <f>INDEX($FN$2:$FN$13,$MM7)</f>
        <v/>
      </c>
      <c r="NE7" s="155">
        <f>INDEX($FO$2:$FO$13,$MM7)</f>
        <v/>
      </c>
      <c r="NF7" s="155">
        <f>INDEX($FZ$2:$FZ$13,$MM7)</f>
        <v/>
      </c>
      <c r="NG7" s="155">
        <f>INDEX($GA$2:$GA$13,$MM7)</f>
        <v/>
      </c>
      <c r="NH7" s="155">
        <f>IFERROR(MATCH($MS7,$V$2:$V$11,0),0)</f>
        <v/>
      </c>
      <c r="NI7" s="155">
        <f>IFERROR(VLOOKUP($MV7,$AV$2:$BA$84,2,FALSE),"")</f>
        <v/>
      </c>
      <c r="NJ7" s="155">
        <f>IFERROR(VLOOKUP($MW7,$AV$2:$BA$84,2,FALSE),"")</f>
        <v/>
      </c>
      <c r="NK7" s="155">
        <f>IFERROR(VLOOKUP($MX7,$AV$2:$BA$84,2,FALSE),"")</f>
        <v/>
      </c>
      <c r="NL7" s="155">
        <f>IFERROR(VLOOKUP($MY7,$AV$2:$BA$84,2,FALSE),"")</f>
        <v/>
      </c>
      <c r="NM7" s="155">
        <f>IFERROR(VLOOKUP($MV7,$AV$2:$BA$84,3,FALSE),0)</f>
        <v/>
      </c>
      <c r="NN7" s="155">
        <f>IFERROR(VLOOKUP($MW7,$AV$2:$BA$84,3,FALSE),0)</f>
        <v/>
      </c>
      <c r="NO7" s="155">
        <f>IFERROR(VLOOKUP($MX7,$AV$2:$BA$84,3,FALSE),0)</f>
        <v/>
      </c>
      <c r="NP7" s="155">
        <f>IFERROR(VLOOKUP($MY7,$AV$2:$BA$84,3,FALSE),0)</f>
        <v/>
      </c>
      <c r="NQ7" s="155">
        <f>IF($MQ7=0,0,IF($NH7=0,0,INDEX($X$2:$X$11,$NH7)))</f>
        <v/>
      </c>
      <c r="NR7" s="155">
        <f>IF(OR($NM7=0,$MQ7=0),0,$NM7+3*IF(AND($NI7&lt;&gt;"",OR($NI7=INDEX($EJ$2:$EJ$13,$MM7),$NI7=INDEX($EK$2:$EK$13,$MM7))),1,0))</f>
        <v/>
      </c>
      <c r="NS7" s="155">
        <f>IF(OR($NN7=0,$MQ7=0),0,$NN7+3*IF(AND($NJ7&lt;&gt;"",OR($NJ7=INDEX($EJ$2:$EJ$13,$MM7),$NJ7=INDEX($EK$2:$EK$13,$MM7))),1,0))</f>
        <v/>
      </c>
      <c r="NT7" s="155">
        <f>IF(OR($NO7=0,$MQ7=0),0,$NO7+3*IF(AND($NK7&lt;&gt;"",OR($NK7=INDEX($EJ$2:$EJ$13,$MM7),$NK7=INDEX($EK$2:$EK$13,$MM7))),1,0))</f>
        <v/>
      </c>
      <c r="NU7" s="155">
        <f>IF(OR($NP7=0,$MQ7=0),0,$NP7+3*IF(AND($NL7&lt;&gt;"",OR($NL7=INDEX($EJ$2:$EJ$13,$MM7),$NL7=INDEX($EK$2:$EK$13,$MM7))),1,0))</f>
        <v/>
      </c>
      <c r="NV7" s="155">
        <f>IF($NH7=0,0,IF(INDEX($W$2:$W$11,$NH7)="",0,IF(COUNTIF(INDEX($EJ$2:$EN$13,$MM7,0),INDEX($W$2:$W$11,$NH7))=0,1,0)))</f>
        <v/>
      </c>
      <c r="NW7" s="155">
        <f>IF(OR($NM7=0,$NI7=""),0,IF(COUNTIF(INDEX($EJ$2:$EN$13,$MM7,0),$NI7)=0,1,0))</f>
        <v/>
      </c>
      <c r="NX7" s="155">
        <f>IF(OR($NN7=0,$NJ7=""),0,IF(COUNTIF(INDEX($EJ$2:$EN$13,$MM7,0),$NJ7)=0,1,0))</f>
        <v/>
      </c>
      <c r="NY7" s="155">
        <f>IF(OR($NO7=0,$NK7=""),0,IF(COUNTIF(INDEX($EJ$2:$EN$13,$MM7,0),$NK7)=0,1,0))</f>
        <v/>
      </c>
      <c r="NZ7" s="155">
        <f>IF(OR($NP7=0,$NL7=""),0,IF(COUNTIF(INDEX($EJ$2:$EN$13,$MM7,0),$NL7)=0,1,0))</f>
        <v/>
      </c>
      <c r="OA7" s="155">
        <f>IFERROR(VLOOKUP($MV7,$AV$2:$BA$84,4,FALSE),0)+IFERROR(VLOOKUP($MW7,$AV$2:$BA$84,4,FALSE),0)+IFERROR(VLOOKUP($MX7,$AV$2:$BA$84,4,FALSE),0)+IFERROR(VLOOKUP($MY7,$AV$2:$BA$84,4,FALSE),0)</f>
        <v/>
      </c>
      <c r="OB7" s="155">
        <f>IFERROR(VLOOKUP($MV7,$AV$2:$BA$84,6,FALSE),0)+IFERROR(VLOOKUP($MW7,$AV$2:$BA$84,6,FALSE),0)+IFERROR(VLOOKUP($MX7,$AV$2:$BA$84,6,FALSE),0)+IFERROR(VLOOKUP($MY7,$AV$2:$BA$84,6,FALSE),0)</f>
        <v/>
      </c>
      <c r="OC7" s="155">
        <f>TEXTJOIN(", ",TRUE,IF(IFERROR(VLOOKUP($MV7,$AV$2:$BA$84,5,FALSE),0)=1,$MV7,""),IF(IFERROR(VLOOKUP($MW7,$AV$2:$BA$84,5,FALSE),0)=1,$MW7,""),IF(IFERROR(VLOOKUP($MX7,$AV$2:$BA$84,5,FALSE),0)=1,$MX7,""),IF(IFERROR(VLOOKUP($MY7,$AV$2:$BA$84,5,FALSE),0)=1,$MY7,""))</f>
        <v/>
      </c>
      <c r="OD7" s="155">
        <f>IF($NH7=0,0,INDEX($Y$2:$Y$11,$NH7))</f>
        <v/>
      </c>
      <c r="OE7" s="155">
        <f>IF($NH7=0,0,INDEX($Z$2:$Z$11,$NH7))</f>
        <v/>
      </c>
      <c r="OF7" s="155">
        <f>IF($NH7=0,0,INDEX($AB$2:$AB$11,$NH7))</f>
        <v/>
      </c>
      <c r="OG7" s="155">
        <f>IFERROR(VLOOKUP($MZ7,$BC$2:$BG$24,3,FALSE),0)</f>
        <v/>
      </c>
      <c r="OH7" s="155">
        <f>IFERROR(VLOOKUP($NA7,$BC$2:$BG$24,3,FALSE),0)</f>
        <v/>
      </c>
      <c r="OI7" s="155">
        <f>IFERROR(VLOOKUP($MZ7,$BC$2:$BG$24,2,FALSE),"")</f>
        <v/>
      </c>
      <c r="OJ7" s="155">
        <f>IFERROR(VLOOKUP($NA7,$BC$2:$BG$24,2,FALSE),"")</f>
        <v/>
      </c>
      <c r="OK7" s="155">
        <f>COUNTIF($NQ7:$NU7,1)</f>
        <v/>
      </c>
      <c r="OL7" s="155">
        <f>COUNTIF($NQ7:$NU7,2)</f>
        <v/>
      </c>
      <c r="OM7" s="155">
        <f>COUNTIF($NQ7:$NU7,3)</f>
        <v/>
      </c>
      <c r="ON7" s="155">
        <f>COUNTIF($NQ7:$NU7,4)</f>
        <v/>
      </c>
      <c r="OO7" s="155">
        <f>COUNTIF($NQ7:$NU7,5)</f>
        <v/>
      </c>
      <c r="OP7" s="155">
        <f>COUNTIF($NQ7:$NU7,6)</f>
        <v/>
      </c>
      <c r="OQ7" s="155">
        <f>COUNTIF($OG7:$OH7,1)</f>
        <v/>
      </c>
      <c r="OR7" s="155">
        <f>COUNTIF($OG7:$OH7,2)+$OD7</f>
        <v/>
      </c>
      <c r="OS7" s="155">
        <f>COUNTIF($MV7:$MY7,"?*")</f>
        <v/>
      </c>
      <c r="OT7" s="155">
        <f>COUNTIF($MZ7:$NA7,"?*")+$OD7</f>
        <v/>
      </c>
      <c r="OU7" s="155">
        <f>IF($MQ7=0,0,SUMPRODUCT($OK7:$OP7,INDEX($I$2:$N$8,MAX(1,$MQ7),0)))</f>
        <v/>
      </c>
      <c r="OV7" s="155">
        <f>IF($MQ7=0,0,$OQ7*CEILING($MQ7/2,1)+$OR7*$MQ7)</f>
        <v/>
      </c>
      <c r="OW7" s="155">
        <f>MIN(2*$MQ7,$OV7)</f>
        <v/>
      </c>
      <c r="OX7" s="155">
        <f>MIN($OW7,$OU7)</f>
        <v/>
      </c>
      <c r="OY7" s="155">
        <f>$OW7-$OX7</f>
        <v/>
      </c>
      <c r="OZ7" s="155">
        <f>IF($MQ7=0,0,INDEX($P$2:$P$8,MAX(1,$MQ7)))</f>
        <v/>
      </c>
      <c r="PA7" s="155">
        <f>$OZ7-$OU7+$OX7</f>
        <v/>
      </c>
      <c r="PB7" s="155">
        <f>IF($MQ7=0,MAX(0,$NE7-IF($OS7&gt;0,1,0)),MAX(0,$PA7))</f>
        <v/>
      </c>
      <c r="PC7" s="155">
        <f>IF($MQ7=0,0,(IF(COUNTIF($MV7:$MY7,"Salto")&gt;0,1,0)+IF(COUNTIF($MV7:$MY7,"Queima")&gt;0,1,0)+IF(COUNTIF($MV7:$MY7,"Estilhaço")&gt;0,1,0))*FLOOR($PB7/2,1))</f>
        <v/>
      </c>
      <c r="PD7" s="155">
        <f>MAX(0,2-SUMPRODUCT($OK7:$OP7,$I$2:$N$2)+MIN(2,$OQ7*1+$OR7*1,SUMPRODUCT($OK7:$OP7,$I$2:$N$2)))</f>
        <v/>
      </c>
      <c r="PE7" s="155">
        <f>MAX(0,4-SUMPRODUCT($OK7:$OP7,$I$3:$N$3)+MIN(4,$OQ7*1+$OR7*2,SUMPRODUCT($OK7:$OP7,$I$3:$N$3)))</f>
        <v/>
      </c>
      <c r="PF7" s="155">
        <f>MAX(0,6-SUMPRODUCT($OK7:$OP7,$I$4:$N$4)+MIN(6,$OQ7*2+$OR7*3,SUMPRODUCT($OK7:$OP7,$I$4:$N$4)))</f>
        <v/>
      </c>
      <c r="PG7" s="155">
        <f>MAX(0,9-SUMPRODUCT($OK7:$OP7,$I$5:$N$5)+MIN(8,$OQ7*2+$OR7*4,SUMPRODUCT($OK7:$OP7,$I$5:$N$5)))</f>
        <v/>
      </c>
      <c r="PH7" s="155">
        <f>MAX(0,11-SUMPRODUCT($OK7:$OP7,$I$6:$N$6)+MIN(10,$OQ7*3+$OR7*5,SUMPRODUCT($OK7:$OP7,$I$6:$N$6)))</f>
        <v/>
      </c>
      <c r="PI7" s="155">
        <f>MAX(0,13-SUMPRODUCT($OK7:$OP7,$I$7:$N$7)+MIN(12,$OQ7*3+$OR7*6,SUMPRODUCT($OK7:$OP7,$I$7:$N$7)))</f>
        <v/>
      </c>
      <c r="PJ7" s="155">
        <f>MAX(0,16-SUMPRODUCT($OK7:$OP7,$I$8:$N$8)+MIN(14,$OQ7*4+$OR7*7,SUMPRODUCT($OK7:$OP7,$I$8:$N$8)))</f>
        <v/>
      </c>
      <c r="PK7" s="155">
        <f>IF($OE7=2,3*$PD7&amp;" de vida temp.",IF($OE7=3,"sem dano",IF($PD7=0,IF($OE7=1,"sem cura","sem dano"),IF($OE7=1,"cura ","")&amp;$PD7&amp;"d8")))</f>
        <v/>
      </c>
      <c r="PL7" s="155">
        <f>IF($OE7=2,3*$PE7&amp;" de vida temp.",IF($OE7=3,"sem dano",IF($PE7=0,IF($OE7=1,"sem cura","sem dano"),IF($OE7=1,"cura ","")&amp;$PE7&amp;"d8")))</f>
        <v/>
      </c>
      <c r="PM7" s="155">
        <f>IF($OE7=2,3*$PF7&amp;" de vida temp.",IF($OE7=3,"sem dano",IF($PF7=0,IF($OE7=1,"sem cura","sem dano"),IF($OE7=1,"cura ","")&amp;$PF7&amp;"d8")))</f>
        <v/>
      </c>
      <c r="PN7" s="155">
        <f>IF($OE7=2,3*$PG7&amp;" de vida temp.",IF($OE7=3,"sem dano",IF($PG7=0,IF($OE7=1,"sem cura","sem dano"),IF($OE7=1,"cura ","")&amp;$PG7&amp;"d8")))</f>
        <v/>
      </c>
      <c r="PO7" s="155">
        <f>IF($OE7=2,3*$PH7&amp;" de vida temp.",IF($OE7=3,"sem dano",IF($PH7=0,IF($OE7=1,"sem cura","sem dano"),IF($OE7=1,"cura ","")&amp;$PH7&amp;"d8")))</f>
        <v/>
      </c>
      <c r="PP7" s="155">
        <f>IF($OE7=2,3*$PI7&amp;" de vida temp.",IF($OE7=3,"sem dano",IF($PI7=0,IF($OE7=1,"sem cura","sem dano"),IF($OE7=1,"cura ","")&amp;$PI7&amp;"d8")))</f>
        <v/>
      </c>
      <c r="PQ7" s="155">
        <f>IF($OE7=2,3*$PJ7&amp;" de vida temp.",IF($OE7=3,"sem dano",IF($PJ7=0,IF($OE7=1,"sem cura","sem dano"),IF($OE7=1,"cura ","")&amp;$PJ7&amp;"d8")))</f>
        <v/>
      </c>
      <c r="PR7" s="155">
        <f>IF($NB7=0,"",TEXTJOIN(" · ",TRUE,IF($MO7&gt;$NC7,"Este lugar abre no nível "&amp;$MO7,""),IF($MQ7&gt;$ND7,"Classe "&amp;$MQ7&amp;": o nível "&amp;$NC7&amp;" libera até a "&amp;$ND7,""),IF($NV7=1,"A Forma "&amp;$MS7&amp;" pede "&amp;INDEX($W$2:$W$11,$NH7)&amp;" aberta",""),IF(AND($MQ7=0,$NH7&gt;0,IF($NH7=0,0,INDEX($AF$2:$AF$11,$NH7))=0),$MS7&amp;" não existe na Classe 0",""),IF($NW7=1,"Família Fechada: "&amp;$MV7,""),IF($NX7=1,"Família Fechada: "&amp;$MW7,""),IF($NY7=1,"Família Fechada: "&amp;$MX7,""),IF($NZ7=1,"Família Fechada: "&amp;$MY7,""),IF(AND($MQ7&gt;0,$OS7&gt;INDEX($O$2:$O$8,MAX(1,$MQ7))),$OS7&amp;" Melhorias: a Classe "&amp;$MQ7&amp;" aceita "&amp;INDEX($O$2:$O$8,MAX(1,$MQ7)),""),IF(AND($MQ7=0,$OS7&gt;1),"A básica aceita uma Melhoria",""),IF(AND($MQ7=0,COUNTIF($NM7:$NP7,"&gt;1")&gt;0),"A básica só aceita Melhoria Leve",""),IF(AND($MQ7&gt;0,$OT7&gt;2),$OT7&amp;" Restrições"&amp;IF($OD7=1,", contando a que a Forma "&amp;$MS7&amp;" já traz","")&amp;": o limite é 2",""),IF(AND($MQ7=0,COUNTIF($MZ7:$NA7,"?*")&gt;1),"A básica aceita uma Restrição Leve",""),IF(AND($MQ7=0,COUNTIF($OG7:$OH7,2)&gt;0),"A básica só aceita Restrição Leve",""),IF(AND($MQ7&gt;0,$PA7&lt;0),"Orçamento estourado: faltam "&amp;(-$PA7)&amp;IF($PA7&lt;-1," pontos"," ponto"),""),IF(IFERROR(VLOOKUP($MZ7,$BC$2:$BG$24,4,FALSE),0)+IFERROR(VLOOKUP($NA7,$BC$2:$BG$24,4,FALSE),0)&gt;1,$OI7&amp;" e "&amp;$OJ7&amp;" são as duas de frequência",""),IF(AND((COUNTIF($MV7:$MY7,"Rápido")+COUNTIF($OI7:$OJ7,"Rápido"))&gt;0,(COUNTIF($MV7:$MY7,"Atrasar")+COUNTIF($OI7:$OJ7,"Atrasar"))&gt;0),"Rápido não entra com Atrasar",""),IF(AND((COUNTIF($MV7:$MY7,"Reação")+COUNTIF($OI7:$OJ7,"Reação"))&gt;0,(COUNTIF($MV7:$MY7,"Rápido")+COUNTIF($OI7:$OJ7,"Rápido"))&gt;0),"Reação não entra com Rápido",""),IF(AND((COUNTIF($MV7:$MY7,"Reação")+COUNTIF($OI7:$OJ7,"Reação"))&gt;0,(COUNTIF($MV7:$MY7,"Armado")+COUNTIF($OI7:$OJ7,"Armado"))&gt;0),"Reação não entra com Armado",""),IF(AND((COUNTIF($MV7:$MY7,"Reação")+COUNTIF($OI7:$OJ7,"Reação"))&gt;0,(COUNTIF($MV7:$MY7,"Atrasar")+COUNTIF($OI7:$OJ7,"Atrasar"))&gt;0),"Reação não entra com Atrasar",""),IF(AND((COUNTIF($MV7:$MY7,"Reação")+COUNTIF($OI7:$OJ7,"Reação"))&gt;0,(COUNTIF($MV7:$MY7,"Parado")+COUNTIF($OI7:$OJ7,"Parado"))&gt;0),"Reação não entra com Parado",""),IF(AND((COUNTIF($MV7:$MY7,"Atrasar")+COUNTIF($OI7:$OJ7,"Atrasar"))&gt;0,(COUNTIF($MV7:$MY7,"Parado")+COUNTIF($OI7:$OJ7,"Parado"))&gt;0),"Atrasar não entra com Parado",""),IF(AND((COUNTIF($MV7:$MY7,"Armado")+COUNTIF($OI7:$OJ7,"Armado"))&gt;0,(COUNTIF($MV7:$MY7,"Carregar")+COUNTIF($OI7:$OJ7,"Carregar"))&gt;0),"Armado não entra com Carregar",""),IF(AND(COUNTIF($OI7:$OJ7,"Corpo a Corpo")&gt;0,$OD7=0,OR($MS7="Cone",$MS7="Linha")),"Corpo a Corpo não entra em "&amp;$MS7,""),IF(AND(COUNTIF($OI7:$OJ7,"Corpo a Corpo")&gt;0,$OD7=1),"A Forma "&amp;$MS7&amp;" já traz o Corpo a Corpo",""),IF(AND(COUNTIF($OI7:$OJ7,"Tudo ou Nada")&gt;0,$OF7=0),"Tudo ou Nada só entra em habilidade de Teste de Resistência",""),IF(AND(COUNTIF($MV7:$MY7,"Inescapável")&gt;0,OR($OS7&gt;1,$OT7&gt;0)),"Inescapável não aceita outra peça",""),IF(AND($MQ7&gt;0,$PB7*IF(COUNTIF($MV7:$MY7,"Remate")&gt;0,1.25,1)+$PC7&gt;4*$MQ7),($PB7*IF(COUNTIF($MV7:$MY7,"Remate")&gt;0,1.25,1)+$PC7)&amp;" dados somando repetições"&amp;IF(COUNTIF($MV7:$MY7,"Remate")&gt;0," e o Remate","")&amp;": o teto da Classe "&amp;$MQ7&amp;" é "&amp;4*$MQ7,"")))</f>
        <v/>
      </c>
      <c r="PS7" s="155">
        <f>IF($PR7="",0,(LEN($PR7)-LEN(SUBSTITUTE($PR7," · ","")))/3+1)</f>
        <v/>
      </c>
      <c r="PT7" s="155">
        <f>IF($NB7=0,"",TEXTJOIN(" · ",TRUE,IF($OV7&gt;2*$MQ7,"A devolução parou no teto de "&amp;2*$MQ7,""),IF($OY7&gt;0,"Devolução perdida: "&amp;$OY7&amp;IF($OY7&gt;1," pontos"," ponto")&amp;" sem peça para pagar",""),IF(AND($OA7&gt;0,AND($MQ7&gt;0,$OE7=0),$PB7=0),"Controle sem dano: uma rodada a mais e CD +2",""),IF(AND($OA7&gt;0,AND($MQ7&gt;0,$OE7=0),$PB7&gt;0,$PB7&lt;=$MQ7),"Controle com saldo até a Classe: uma rodada a mais",""),IF(AND($MQ7&gt;0,$OC7&lt;&gt;""),"Efeito de "&amp;$OC7&amp;" pela Classe "&amp;MAX(1,$MQ7-1),"")))</f>
        <v/>
      </c>
      <c r="PU7" s="155">
        <f>IF($PT7="",0,(LEN($PT7)-LEN(SUBSTITUTE($PT7," · ","")))/3+1)</f>
        <v/>
      </c>
      <c r="PV7" s="155">
        <f>IF($NB7=0,IF($OS7+COUNTIF($MZ7:$NA7,"?*")&gt;0,"Dê um nome",""),IF($PS7&gt;0,"⚠ "&amp;$PS7&amp;IF($PS7&gt;1," erros"," erro"),IF($PU7&gt;0,"! "&amp;$PU7&amp;IF($PU7&gt;1," avisos"," aviso"),"Na regra")))</f>
        <v/>
      </c>
      <c r="PW7" s="155">
        <f>IF($NB7=0,"",IF($PS7+$PU7=0,"Dentro das regras que a ficha confere",$PR7&amp;IF(AND($PS7&gt;0,$PU7&gt;0)," · ","")&amp;$PT7))</f>
        <v/>
      </c>
      <c r="PX7" s="155">
        <f>IF($MO7&gt;$NC7,$MP7&amp;" · ABRE NO NÍVEL "&amp;$MO7,$MP7)</f>
        <v/>
      </c>
      <c r="PY7" s="155">
        <f>IF($NB7=0,"",IF($MQ7=0,"Sem PE",3*$MQ7&amp;" PE"))</f>
        <v/>
      </c>
      <c r="PZ7" s="155">
        <f>IF($NB7=0,"",IF($MQ7=0,"A atuação básica dela",IF(COUNTIF($OI7:$OJ7,"Atrasar")&gt;0,"Sua Ação Completa",IF(COUNTIF($MV7:$MY7,"Rápido")&gt;0,"Sua Bônus",IF(COUNTIF($MV7:$MY7,"Reação")&gt;0,"Sua Reação","Sua Padrão")))&amp;" + a básica dela"&amp;IF(COUNTIF($MV7:$MY7,"Reação")&gt;0," e a coletiva","")&amp;IF(COUNTIF($OI7:$OJ7,"Carregar")&gt;0," · em dois turnos","")))</f>
        <v/>
      </c>
      <c r="QA7" s="155">
        <f>IF($MU7&lt;&gt;"",$MU7,IF($NH7=0,"",INDEX($AA$2:$AA$11,$NH7)))</f>
        <v/>
      </c>
      <c r="QB7" s="155">
        <f>IF(OR($NB7=0,$NH7=0),"",IF(COUNTIF($MV7:$MY7,"Inescapável")&gt;0,"Automático",IF($QA7="Ataque",IF($NF7="","Ataque","Ataque "&amp;IF(($NF7+2*IF(COUNTIF($MV7:$MY7,"Precisão")&gt;0,1,0))&gt;=0,"+","−")&amp;ABS(($NF7+2*IF(COUNTIF($MV7:$MY7,"Precisão")&gt;0,1,0))))&amp;IF($OB7&gt;0," · TR"&amp;IF($NG7="",""," CD "&amp;$NG7),""),IF(LEFT($QA7,2)="TR",$QA7&amp;IF($NG7="",""," · CD "&amp;$NG7)&amp;IF(COUNTIF($MV7:$MY7,"Certeiro")&gt;0," · metade",""),"Sem rolagem"))))</f>
        <v/>
      </c>
      <c r="QC7" s="155">
        <f>IF(OR($NB7=0,$NH7=0),"",IF($MQ7=0,IF(OR($OE7&gt;=1,$PB7=0),"Sem dano",$PB7&amp;"d6"&amp;IF($MT7="",""," "&amp;$MT7)),IF(OR($OE7&gt;=1,$PB7=0),UPPER(LEFT(INDEX($PK7:$PQ7,1,MAX(1,$MQ7)),1))&amp;MID(INDEX($PK7:$PQ7,1,MAX(1,$MQ7)),2,99),UPPER(LEFT(INDEX($PK7:$PQ7,1,MAX(1,$MQ7)),1))&amp;MID(INDEX($PK7:$PQ7,1,MAX(1,$MQ7)),2,99)&amp;IF($MT7="",""," "&amp;$MT7)&amp;IF($PC7&gt;0," · +"&amp;$PC7&amp;"d8",""))))</f>
        <v/>
      </c>
      <c r="QD7" s="155">
        <f>COUNTIF($MV7:$MY7,"Longe")+3*COUNTIF($MV7:$MY7,"Muito Longe")</f>
        <v/>
      </c>
      <c r="QE7" s="155">
        <f>COUNTIF($MV7:$MY7,"Maior")+3*COUNTIF($MV7:$MY7,"Muito Maior")</f>
        <v/>
      </c>
      <c r="QF7" s="155">
        <f>IF($NH7=0,0,CHOOSE(1+INDEX($AC$2:$AC$11,$NH7),0,$QD7,$QE7,$QD7+$QE7))</f>
        <v/>
      </c>
      <c r="QG7" s="155">
        <f>IF($NH7=0,0,CHOOSE(1+INDEX($AD$2:$AD$11,$NH7),0,$QD7,$QE7,$QD7+$QE7))</f>
        <v/>
      </c>
      <c r="QH7" s="155">
        <f>IF(OR($NB7=0,$NH7=0),"",INDEX($AI$2:$AN$41,($NH7-1)*4+IF($MQ7=0,1,IF($MQ7&lt;=5,2,IF($MQ7=6,3,4))),1+MIN(5,$QF7))&amp;INDEX($AO$2:$AT$41,($NH7-1)*4+IF($MQ7=0,1,IF($MQ7&lt;=5,2,IF($MQ7=6,3,4))),1+MIN(5,$QG7))&amp;IF(INDEX($AE$2:$AE$11,$NH7)=1,IF(COUNTIF($MV7:$MY7,"Mais Um")&gt;0," · +"&amp;COUNTIF($MV7:$MY7,"Mais Um")&amp;IF(COUNTIF($MV7:$MY7,"Mais Um")&gt;1," alvos"," alvo"),"")&amp;IF(COUNTIF($MV7:$MY7,"Rajada")&gt;0,IF($MQ7=0," · 1 tiro"," · "&amp;(MAX(1,$MQ7-1)+1)&amp;" tiros"),""),""))</f>
        <v/>
      </c>
      <c r="QI7" s="155">
        <f>IF($NB7=0,"",IF($MQ7=0,$NE7&amp;"d6"&amp;IF($OS7&gt;0," − 1 = "&amp;$PB7&amp;"d6"," da básica do nível "&amp;$NC7),$OZ7&amp;" − "&amp;$OU7&amp;" + "&amp;$OX7&amp;" = "&amp;$PA7&amp;" · teto "&amp;4*$MQ7&amp;"d8"&amp;IF($OD7=1," · a Forma devolve "&amp;$MQ7,"")&amp;IF($OY7&gt;0," · perde "&amp;$OY7,"")))</f>
        <v/>
      </c>
      <c r="QJ7" s="155">
        <f>IF($NB7=0,"",IF($MQ7=0,"A básica não amplia: os dados dela sobem com o nível",IF($MQ7&gt;=$ND7,"Já está na maior Classe que o nível liberou",TEXTJOIN(" · ",TRUE,IF(AND(2&gt;$MQ7,2&lt;=$ND7),"2 → "&amp;$PL7&amp;", 6 PE",""),IF(AND(3&gt;$MQ7,3&lt;=$ND7),"3 → "&amp;$PM7&amp;", 9 PE",""),IF(AND(4&gt;$MQ7,4&lt;=$ND7),"4 → "&amp;$PN7&amp;", 12 PE",""),IF(AND(5&gt;$MQ7,5&lt;=$ND7),"5 → "&amp;$PO7&amp;", 15 PE",""),IF(AND(6&gt;$MQ7,6&lt;=$ND7),"6 → "&amp;$PP7&amp;", 18 PE",""),IF(AND(7&gt;$MQ7,7&lt;=$ND7),"7 → "&amp;$PQ7&amp;", 21 PE","")))))</f>
        <v/>
      </c>
      <c r="QK7" s="155">
        <f>IF(OR($NB7=0,$NM7=0),"",IF($MQ7=0,"−1 dado","−"&amp;INDEX($I$2:$N$8,MAX(1,$MQ7),MAX(1,$NR7))&amp;" · "&amp;CHOOSE(MAX(1,$NR7),"Leve","Média","Pesada","Leve · Livre","Média · Livre","Pesada · Livre")))</f>
        <v/>
      </c>
      <c r="QL7" s="155">
        <f>IF(OR($NB7=0,$NN7=0),"",IF($MQ7=0,"−1 dado","−"&amp;INDEX($I$2:$N$8,MAX(1,$MQ7),MAX(1,$NS7))&amp;" · "&amp;CHOOSE(MAX(1,$NS7),"Leve","Média","Pesada","Leve · Livre","Média · Livre","Pesada · Livre")))</f>
        <v/>
      </c>
      <c r="QM7" s="155">
        <f>IF(OR($NB7=0,$NO7=0),"",IF($MQ7=0,"−1 dado","−"&amp;INDEX($I$2:$N$8,MAX(1,$MQ7),MAX(1,$NT7))&amp;" · "&amp;CHOOSE(MAX(1,$NT7),"Leve","Média","Pesada","Leve · Livre","Média · Livre","Pesada · Livre")))</f>
        <v/>
      </c>
      <c r="QN7" s="155">
        <f>IF(OR($NB7=0,$NP7=0),"",IF($MQ7=0,"−1 dado","−"&amp;INDEX($I$2:$N$8,MAX(1,$MQ7),MAX(1,$NU7))&amp;" · "&amp;CHOOSE(MAX(1,$NU7),"Leve","Média","Pesada","Leve · Livre","Média · Livre","Pesada · Livre")))</f>
        <v/>
      </c>
      <c r="QO7" s="155">
        <f>IF(OR($NB7=0,$MZ7=""),"",IF($MQ7=0,"não devolve","+"&amp;IF($OG7=1,CEILING($MQ7/2,1),$MQ7)))</f>
        <v/>
      </c>
      <c r="QP7" s="155">
        <f>IF(OR($NB7=0,$NA7=""),"",IF($MQ7=0,"não devolve","+"&amp;IF($OH7=1,CEILING($MQ7/2,1),$MQ7)))</f>
        <v/>
      </c>
    </row>
    <row r="8">
      <c r="A8" s="155" t="n">
        <v>26</v>
      </c>
      <c r="B8" s="155" t="n">
        <v>7</v>
      </c>
      <c r="C8" s="155" t="n">
        <v>3</v>
      </c>
      <c r="D8" s="155" t="n">
        <v>16</v>
      </c>
      <c r="F8" s="155" t="n">
        <v>30</v>
      </c>
      <c r="H8" s="155" t="n">
        <v>7</v>
      </c>
      <c r="I8" s="155" t="n">
        <v>4</v>
      </c>
      <c r="J8" s="155" t="n">
        <v>7</v>
      </c>
      <c r="K8" s="155" t="n">
        <v>11</v>
      </c>
      <c r="L8" s="155" t="n">
        <v>1</v>
      </c>
      <c r="M8" s="155" t="n">
        <v>4</v>
      </c>
      <c r="N8" s="155" t="n">
        <v>8</v>
      </c>
      <c r="O8" s="155" t="n">
        <v>4</v>
      </c>
      <c r="P8" s="155" t="n">
        <v>16</v>
      </c>
      <c r="R8" s="155" t="n">
        <v>6</v>
      </c>
      <c r="V8" s="153" t="inlineStr">
        <is>
          <t>Cura</t>
        </is>
      </c>
      <c r="W8" s="153" t="inlineStr">
        <is>
          <t>Amparo</t>
        </is>
      </c>
      <c r="X8" s="155" t="n">
        <v>2</v>
      </c>
      <c r="Y8" s="155" t="n">
        <v>0</v>
      </c>
      <c r="Z8" s="155" t="n">
        <v>1</v>
      </c>
      <c r="AA8" s="153" t="inlineStr">
        <is>
          <t>—</t>
        </is>
      </c>
      <c r="AB8" s="155" t="n">
        <v>0</v>
      </c>
      <c r="AC8" s="155" t="n">
        <v>1</v>
      </c>
      <c r="AD8" s="155" t="n">
        <v>0</v>
      </c>
      <c r="AE8" s="155" t="n">
        <v>0</v>
      </c>
      <c r="AF8" s="155" t="n">
        <v>0</v>
      </c>
      <c r="AH8" s="153" t="inlineStr">
        <is>
          <t>Toque · classe 6</t>
        </is>
      </c>
      <c r="AI8" s="153" t="inlineStr">
        <is>
          <t>1,5 m, um alvo</t>
        </is>
      </c>
      <c r="AJ8" s="153" t="inlineStr">
        <is>
          <t>1,5 m, um alvo</t>
        </is>
      </c>
      <c r="AK8" s="153" t="inlineStr">
        <is>
          <t>1,5 m, um alvo</t>
        </is>
      </c>
      <c r="AL8" s="153" t="inlineStr">
        <is>
          <t>1,5 m, um alvo</t>
        </is>
      </c>
      <c r="AM8" s="153" t="inlineStr">
        <is>
          <t>1,5 m, um alvo</t>
        </is>
      </c>
      <c r="AN8" s="153" t="inlineStr">
        <is>
          <t>1,5 m, um alvo</t>
        </is>
      </c>
      <c r="AO8" s="153" t="inlineStr"/>
      <c r="AP8" s="153" t="inlineStr"/>
      <c r="AQ8" s="153" t="inlineStr"/>
      <c r="AR8" s="153" t="inlineStr"/>
      <c r="AS8" s="153" t="inlineStr"/>
      <c r="AT8" s="153" t="inlineStr"/>
      <c r="AV8" s="153" t="inlineStr">
        <is>
          <t>Troca</t>
        </is>
      </c>
      <c r="AW8" s="153" t="inlineStr">
        <is>
          <t>Alcance</t>
        </is>
      </c>
      <c r="AX8" s="155" t="n">
        <v>2</v>
      </c>
      <c r="AY8" s="155" t="n">
        <v>0</v>
      </c>
      <c r="AZ8" s="155" t="n">
        <v>0</v>
      </c>
      <c r="BA8" s="155" t="n">
        <v>0</v>
      </c>
      <c r="BC8" s="153" t="inlineStr">
        <is>
          <t>Recuo (Leve)</t>
        </is>
      </c>
      <c r="BD8" s="153" t="inlineStr">
        <is>
          <t>Recuo</t>
        </is>
      </c>
      <c r="BE8" s="155" t="n">
        <v>1</v>
      </c>
      <c r="BF8" s="155" t="n">
        <v>0</v>
      </c>
      <c r="BG8" s="153" t="inlineStr">
        <is>
          <t>Recuo (Leve)</t>
        </is>
      </c>
      <c r="BI8" s="153" t="inlineStr">
        <is>
          <t>Fluxo</t>
        </is>
      </c>
      <c r="BJ8" s="155" t="n">
        <v>2</v>
      </c>
      <c r="BK8" s="153" t="inlineStr">
        <is>
          <t>Ao conjurar um feitiço de Classe 3 ou maior, você recebe 2 × a Classe usada em pontos de vida temporária. Uma conjuração concede a reserva uma vez, mesmo que alcance vários alvos ou produza vários ataques.</t>
        </is>
      </c>
      <c r="BL8" s="153" t="inlineStr"/>
      <c r="BS8" s="153" t="inlineStr">
        <is>
          <t>Tempo</t>
        </is>
      </c>
      <c r="CC8" s="153" t="inlineStr">
        <is>
          <t>Intuição</t>
        </is>
      </c>
      <c r="CD8" s="153" t="inlineStr">
        <is>
          <t>Inteligência</t>
        </is>
      </c>
      <c r="CH8" s="153" t="inlineStr">
        <is>
          <t>Ácido</t>
        </is>
      </c>
      <c r="CL8" s="155" t="n">
        <v>6</v>
      </c>
      <c r="CY8" s="153" t="inlineStr">
        <is>
          <t>teto de ativas</t>
        </is>
      </c>
      <c r="CZ8" s="155">
        <f>IF($CZ$4="Múltiplas Invocações",4,2)</f>
        <v/>
      </c>
      <c r="DB8" s="155" t="n">
        <v>7</v>
      </c>
      <c r="DC8" s="155">
        <f>'INVOCAÇÕES'!$AB$13&amp;""</f>
        <v/>
      </c>
      <c r="DD8" s="155">
        <f>'INVOCAÇÕES'!$AB$43&amp;""</f>
        <v/>
      </c>
      <c r="DE8" s="155">
        <f>'INVOCAÇÕES'!$AB$47&amp;""</f>
        <v/>
      </c>
      <c r="DF8" s="155">
        <f>N('INVOCAÇÕES'!$AD$47)</f>
        <v/>
      </c>
      <c r="DG8" s="155">
        <f>'INVOCAÇÕES'!$AE$47&amp;""</f>
        <v/>
      </c>
      <c r="DH8" s="155">
        <f>N('INVOCAÇÕES'!$AH$20)</f>
        <v/>
      </c>
      <c r="DI8" s="155">
        <f>N('INVOCAÇÕES'!$AI$20)</f>
        <v/>
      </c>
      <c r="DJ8" s="155">
        <f>N('INVOCAÇÕES'!$AJ$20)</f>
        <v/>
      </c>
      <c r="DK8" s="155">
        <f>N('INVOCAÇÕES'!$AK$20)</f>
        <v/>
      </c>
      <c r="DL8" s="155">
        <f>N('INVOCAÇÕES'!$AL$20)</f>
        <v/>
      </c>
      <c r="DM8" s="155">
        <f>N('INVOCAÇÕES'!$AH$21)</f>
        <v/>
      </c>
      <c r="DN8" s="155">
        <f>N('INVOCAÇÕES'!$AI$21)</f>
        <v/>
      </c>
      <c r="DO8" s="155">
        <f>N('INVOCAÇÕES'!$AJ$21)</f>
        <v/>
      </c>
      <c r="DP8" s="155">
        <f>N('INVOCAÇÕES'!$AK$21)</f>
        <v/>
      </c>
      <c r="DQ8" s="155">
        <f>N('INVOCAÇÕES'!$AL$21)</f>
        <v/>
      </c>
      <c r="DR8" s="155">
        <f>'INVOCAÇÕES'!$AH$34&amp;""</f>
        <v/>
      </c>
      <c r="DS8" s="155">
        <f>'INVOCAÇÕES'!$AK$34&amp;""</f>
        <v/>
      </c>
      <c r="DT8" s="155">
        <f>'INVOCAÇÕES'!$AL$29&amp;""</f>
        <v/>
      </c>
      <c r="DU8" s="155">
        <f>N('INVOCAÇÕES'!$AH$26)</f>
        <v/>
      </c>
      <c r="DV8" s="155">
        <f>N('INVOCAÇÕES'!$AI$26)</f>
        <v/>
      </c>
      <c r="DW8" s="155">
        <f>N('INVOCAÇÕES'!$AJ$26)</f>
        <v/>
      </c>
      <c r="DX8" s="155">
        <f>N('INVOCAÇÕES'!$AK$26)</f>
        <v/>
      </c>
      <c r="DY8" s="155">
        <f>N('INVOCAÇÕES'!$AL$26)</f>
        <v/>
      </c>
      <c r="DZ8" s="155">
        <f>N('INVOCAÇÕES'!$AH$31)</f>
        <v/>
      </c>
      <c r="EA8" s="155">
        <f>N('INVOCAÇÕES'!$AI$31)</f>
        <v/>
      </c>
      <c r="EB8" s="155">
        <f>N('INVOCAÇÕES'!$AJ$31)</f>
        <v/>
      </c>
      <c r="EC8" s="155">
        <f>N('INVOCAÇÕES'!$AK$31)</f>
        <v/>
      </c>
      <c r="ED8" s="155">
        <f>'INVOCAÇÕES'!$AN$13&amp;""</f>
        <v/>
      </c>
      <c r="EE8" s="155">
        <f>N('INVOCAÇÕES'!$AP$13)</f>
        <v/>
      </c>
      <c r="EF8" s="155">
        <f>'INVOCAÇÕES'!$AR$13&amp;""</f>
        <v/>
      </c>
      <c r="EG8" s="155">
        <f>SUM('INVOCAÇÕES'!$AR$33:'INVOCAÇÕES'!$AR$35,'INVOCAÇÕES'!$AR$37:'INVOCAÇÕES'!$AR$42)</f>
        <v/>
      </c>
      <c r="EH8" s="155">
        <f>'INVOCAÇÕES'!$AN$18&amp;""</f>
        <v/>
      </c>
      <c r="EI8" s="155">
        <f>'INVOCAÇÕES'!$AO$18&amp;""</f>
        <v/>
      </c>
      <c r="EJ8" s="155">
        <f>'INVOCAÇÕES'!$AH$48&amp;""</f>
        <v/>
      </c>
      <c r="EK8" s="155">
        <f>'INVOCAÇÕES'!$AI$48&amp;""</f>
        <v/>
      </c>
      <c r="EL8" s="155">
        <f>'INVOCAÇÕES'!$AJ$48&amp;""</f>
        <v/>
      </c>
      <c r="EM8" s="155">
        <f>'INVOCAÇÕES'!$AK$48&amp;""</f>
        <v/>
      </c>
      <c r="EN8" s="155">
        <f>'INVOCAÇÕES'!$AL$48&amp;""</f>
        <v/>
      </c>
      <c r="EO8" s="155">
        <f>'INVOCAÇÕES'!$AH$38&amp;""</f>
        <v/>
      </c>
      <c r="EP8" s="155">
        <f>'INVOCAÇÕES'!$AH$39&amp;""</f>
        <v/>
      </c>
      <c r="EQ8" s="155">
        <f>'INVOCAÇÕES'!$AH$40&amp;""</f>
        <v/>
      </c>
      <c r="ER8" s="155">
        <f>'INVOCAÇÕES'!$AH$41&amp;""</f>
        <v/>
      </c>
      <c r="ES8" s="155">
        <f>'INVOCAÇÕES'!$AH$42&amp;""</f>
        <v/>
      </c>
      <c r="ET8" s="155">
        <f>'INVOCAÇÕES'!$AH$43&amp;""</f>
        <v/>
      </c>
      <c r="EU8" s="155">
        <f>'INVOCAÇÕES'!$AH$44&amp;""</f>
        <v/>
      </c>
      <c r="EV8" s="155">
        <f>'INVOCAÇÕES'!$AC$80&amp;""</f>
        <v/>
      </c>
      <c r="EW8" s="155">
        <f>'INVOCAÇÕES'!$AC$81&amp;""</f>
        <v/>
      </c>
      <c r="EX8" s="155">
        <f>'INVOCAÇÕES'!$AC$82&amp;""</f>
        <v/>
      </c>
      <c r="EY8" s="155">
        <f>'INVOCAÇÕES'!$AC$83&amp;""</f>
        <v/>
      </c>
      <c r="EZ8" s="155">
        <f>'INVOCAÇÕES'!$AC$84&amp;""</f>
        <v/>
      </c>
      <c r="FA8" s="155">
        <f>'INVOCAÇÕES'!$AC$85&amp;""</f>
        <v/>
      </c>
      <c r="FB8" s="155">
        <f>'INVOCAÇÕES'!$AC$86&amp;""</f>
        <v/>
      </c>
      <c r="FC8" s="155">
        <f>'INVOCAÇÕES'!$AC$87&amp;""</f>
        <v/>
      </c>
      <c r="FD8" s="155">
        <f>'INVOCAÇÕES'!$AC$182&amp;""</f>
        <v/>
      </c>
      <c r="FE8" s="155">
        <f>'INVOCAÇÕES'!$AC$183&amp;""</f>
        <v/>
      </c>
      <c r="FF8" s="155">
        <f>'INVOCAÇÕES'!$AC$184&amp;""</f>
        <v/>
      </c>
      <c r="FG8" s="155">
        <f>MAX(3,MIN(7,N('INVOCAÇÕES'!$AB$189)))</f>
        <v/>
      </c>
      <c r="FH8" s="155">
        <f>MAX(3,MIN(7,N('INVOCAÇÕES'!$AH$189)))</f>
        <v/>
      </c>
      <c r="FI8" s="155">
        <f>MAX(3,MIN(7,N('INVOCAÇÕES'!$AN$189)))</f>
        <v/>
      </c>
      <c r="FJ8" s="155">
        <f>'INVOCAÇÕES'!$AH$203&amp;""</f>
        <v/>
      </c>
      <c r="FK8" s="155">
        <f>IF($DC8&lt;&gt;"",1,0)</f>
        <v/>
      </c>
      <c r="FL8" s="155">
        <f>IFERROR(VLOOKUP($DE8,$BP$2:$BQ$5,2,FALSE),1)</f>
        <v/>
      </c>
      <c r="FM8" s="155">
        <f>IF($FL8=1,$CZ$2,MAX(1,MIN($CZ$2,IF($DF8=0,$CZ$2,$DF8))))</f>
        <v/>
      </c>
      <c r="FN8" s="155">
        <f>VLOOKUP(MAX(1,$FM8),$A$2:$D$8,2,TRUE)</f>
        <v/>
      </c>
      <c r="FO8" s="155">
        <f>VLOOKUP(MAX(1,$FM8),$A$2:$D$8,3,TRUE)</f>
        <v/>
      </c>
      <c r="FP8" s="155">
        <f>$DH8+$DM8</f>
        <v/>
      </c>
      <c r="FQ8" s="155">
        <f>$DI8+$DN8</f>
        <v/>
      </c>
      <c r="FR8" s="155">
        <f>$DJ8+$DO8</f>
        <v/>
      </c>
      <c r="FS8" s="155">
        <f>$DK8+$DP8</f>
        <v/>
      </c>
      <c r="FT8" s="155">
        <f>$DL8+$DQ8</f>
        <v/>
      </c>
      <c r="FU8" s="155">
        <f>SUM($DH8:$DL8)</f>
        <v/>
      </c>
      <c r="FV8" s="155">
        <f>9+$FW8</f>
        <v/>
      </c>
      <c r="FW8" s="155">
        <f>COUNTIF($F$2:$F$8,"&lt;="&amp;$FM8)</f>
        <v/>
      </c>
      <c r="FX8" s="155">
        <f>MAX(0,$DH8-3)+MAX(0,$DI8-3)+MAX(0,$DJ8-3)+MAX(0,$DK8-3)+MAX(0,$DL8-3)</f>
        <v/>
      </c>
      <c r="FY8" s="155">
        <f>IFERROR(INDEX($FP8:$FT8,1,MATCH($DR8,$BU$2:$BU$6,0)),"")</f>
        <v/>
      </c>
      <c r="FZ8" s="155">
        <f>IF($FY8="","",$FY8+$CZ$3+$DU8)</f>
        <v/>
      </c>
      <c r="GA8" s="155">
        <f>IF($FY8="","",8+$FY8+$CZ$3+$DV8)</f>
        <v/>
      </c>
      <c r="GB8" s="155">
        <f>10+$FQ8+$CZ$7+$DW8</f>
        <v/>
      </c>
      <c r="GC8" s="155">
        <f>IF($DD8="Corpo amaldiçoado de criação",1,0)</f>
        <v/>
      </c>
      <c r="GD8" s="155">
        <f>5+$FR8+(3+$GC8+$FR8)*($FM8-1)+$DX8</f>
        <v/>
      </c>
      <c r="GE8" s="155">
        <f>IF($FK8=0,"",$GD8)</f>
        <v/>
      </c>
      <c r="GF8" s="155">
        <f>IF($ED8="",$GD8,MAX(0,MIN(IFERROR(VALUE($ED8),$GD8),$GD8)))</f>
        <v/>
      </c>
      <c r="GG8" s="155">
        <f>IF(AND($FK8=1,$EH8&lt;&gt;"Sem alma"),MAX(1,INT($GD8/2)),"")</f>
        <v/>
      </c>
      <c r="GH8" s="155">
        <f>$GG8</f>
        <v/>
      </c>
      <c r="GI8" s="155">
        <f>IF($GG8="","",IF($EI8="",$GG8,MAX(0,MIN(IFERROR(VALUE($EI8),$GG8),$GG8))))</f>
        <v/>
      </c>
      <c r="GJ8" s="155">
        <f>IF($FK8=0,"",IF($GG8="","—",$GG8))</f>
        <v/>
      </c>
      <c r="GK8" s="155">
        <f>IF($FK8=0,"",IF($GG8="","Sem alma · imune a dano de Alma",IF($GI8&lt;=0,"Estágio 4 · caída, como a zero de vida",IF($GI8&lt;=$GG8/4,"Estágio 3 · desvantagem em ataques e TRs, Classe pela metade",IF($GI8&lt;=$GG8/2,"Estágio 2 · metade do deslocamento, +1 PE por Classe",IF($GI8&lt;=$GG8*3/4,"Estágio 1 · desvantagem em perícias","Alma inteira"))))))</f>
        <v/>
      </c>
      <c r="GL8" s="155">
        <f>9+$DY8</f>
        <v/>
      </c>
      <c r="GM8" s="155">
        <f>IF($DS8="Destreza",$FQ8,$FP8)</f>
        <v/>
      </c>
      <c r="GN8" s="155">
        <f>$GM8+IF($DT8="Físico",$CZ$3,0)+$DZ8</f>
        <v/>
      </c>
      <c r="GO8" s="155">
        <f>$FR8+IF($DT8="Vigor",$CZ$3,0)+$EA8</f>
        <v/>
      </c>
      <c r="GP8" s="155">
        <f>$FS8+IF($DT8="Intelecto",$CZ$3,0)+$EB8</f>
        <v/>
      </c>
      <c r="GQ8" s="155">
        <f>$FT8+IF($DT8="Espírito",$CZ$3,0)+$EC8</f>
        <v/>
      </c>
      <c r="GR8" s="155">
        <f>4+INT($DK8/2)</f>
        <v/>
      </c>
      <c r="GS8" s="155">
        <f>COUNTIF($EO8:$EU8,"?*")</f>
        <v/>
      </c>
      <c r="GT8" s="155">
        <f>INT((2+$FM8/2)/2)</f>
        <v/>
      </c>
      <c r="GU8" s="155">
        <f>IF($FM8&gt;=11,2,1)</f>
        <v/>
      </c>
      <c r="GV8" s="155">
        <f>1+$FW8</f>
        <v/>
      </c>
      <c r="GW8" s="155">
        <f>COUNTIF($EV8:$FC8,"?*")</f>
        <v/>
      </c>
      <c r="GX8" s="155">
        <f>IF(AND($DD8="Shikigami de criação",$DG8="Com carga"),MAX(1,CEILING($FN8/2,1)),$FN8)</f>
        <v/>
      </c>
      <c r="GY8" s="155">
        <f>$FN8+$GX8</f>
        <v/>
      </c>
      <c r="GZ8" s="155">
        <f>$FM8*(1+INT($DL8/3))</f>
        <v/>
      </c>
      <c r="HA8" s="155">
        <f>5+$FP8</f>
        <v/>
      </c>
      <c r="HB8" s="155">
        <f>COUNTIF($EJ8:$EN8,"?*")</f>
        <v/>
      </c>
      <c r="HC8" s="155">
        <f>IF($EJ8="",0,IF(COUNTIF($EJ8:$EN8,$EJ8)&gt;1,1,0))+IF($EK8="",0,IF(COUNTIF($EJ8:$EN8,$EK8)&gt;1,1,0))+IF($EL8="",0,IF(COUNTIF($EJ8:$EN8,$EL8)&gt;1,1,0))+IF($EM8="",0,IF(COUNTIF($EJ8:$EN8,$EM8)&gt;1,1,0))+IF($EN8="",0,IF(COUNTIF($EJ8:$EN8,$EN8)&gt;1,1,0))</f>
        <v/>
      </c>
      <c r="HD8" s="155">
        <f>$CZ$11</f>
        <v/>
      </c>
      <c r="HE8" s="155">
        <f>IF($FK8=0,"INVOCAÇÃO 7 · lugar vazio",$DC8&amp;" · "&amp;$DD8&amp;" · nível "&amp;$FM8&amp;" · vida "&amp;$GF8&amp;" de "&amp;$GD8)</f>
        <v/>
      </c>
      <c r="HF8" s="155">
        <f>IF($FK8=0,"VAZIA",UPPER($DC8))</f>
        <v/>
      </c>
      <c r="HG8" s="155">
        <f>IF($CZ$3&gt;=0,"+","−")&amp;ABS($CZ$3)</f>
        <v/>
      </c>
      <c r="HH8" s="155">
        <f>$GX8&amp;" PE"</f>
        <v/>
      </c>
      <c r="HI8" s="155">
        <f>$GY8&amp;" PE"</f>
        <v/>
      </c>
      <c r="HJ8" s="155">
        <f>IF(OR($FU8&gt;$FV8,$FX8&gt;$FW8),"⚠ ",IF(AND($FK8=1,$FU8&lt;$FV8),"! ",""))&amp;"ATRIBUTOS · "&amp;$FU8&amp;" DE "&amp;$FV8&amp;" PONTOS"&amp;IF($FX8&gt;$FW8," · ACIMA DE 3 SÓ COM MARCO","")</f>
        <v/>
      </c>
      <c r="HK8" s="155">
        <f>IF($FZ8="","",IF($FZ8&gt;=0,"+","−")&amp;ABS($FZ8))</f>
        <v/>
      </c>
      <c r="HL8" s="155">
        <f>IF($GA8="","",$GA8)</f>
        <v/>
      </c>
      <c r="HM8" s="155">
        <f>SUBSTITUTE($GL8&amp;" m",".",",")</f>
        <v/>
      </c>
      <c r="HN8" s="155">
        <f>IF($GN8&gt;=0,"+","−")&amp;ABS($GN8)</f>
        <v/>
      </c>
      <c r="HO8" s="155">
        <f>IF($GO8&gt;=0,"+","−")&amp;ABS($GO8)</f>
        <v/>
      </c>
      <c r="HP8" s="155">
        <f>IF($GP8&gt;=0,"+","−")&amp;ABS($GP8)</f>
        <v/>
      </c>
      <c r="HQ8" s="155">
        <f>IF($GQ8&gt;=0,"+","−")&amp;ABS($GQ8)</f>
        <v/>
      </c>
      <c r="HR8" s="155">
        <f>IF($GS8&gt;$GR8,"⚠ ","")&amp;"PERÍCIAS · "&amp;$GS8&amp;" DE "&amp;$GR8</f>
        <v/>
      </c>
      <c r="HS8" s="155">
        <f>IF($EO8="","",IFERROR(IF((INDEX($FP8:$FT8,1,MATCH(VLOOKUP($EO8,$CC$2:$CD$24,2,FALSE),$BU$2:$BU$6,0))+$CZ$3)&gt;=0,"+","−")&amp;ABS((INDEX($FP8:$FT8,1,MATCH(VLOOKUP($EO8,$CC$2:$CD$24,2,FALSE),$BU$2:$BU$6,0))+$CZ$3)),""))</f>
        <v/>
      </c>
      <c r="HT8" s="155">
        <f>IF($EP8="","",IFERROR(IF((INDEX($FP8:$FT8,1,MATCH(VLOOKUP($EP8,$CC$2:$CD$24,2,FALSE),$BU$2:$BU$6,0))+$CZ$3)&gt;=0,"+","−")&amp;ABS((INDEX($FP8:$FT8,1,MATCH(VLOOKUP($EP8,$CC$2:$CD$24,2,FALSE),$BU$2:$BU$6,0))+$CZ$3)),""))</f>
        <v/>
      </c>
      <c r="HU8" s="155">
        <f>IF($EQ8="","",IFERROR(IF((INDEX($FP8:$FT8,1,MATCH(VLOOKUP($EQ8,$CC$2:$CD$24,2,FALSE),$BU$2:$BU$6,0))+$CZ$3)&gt;=0,"+","−")&amp;ABS((INDEX($FP8:$FT8,1,MATCH(VLOOKUP($EQ8,$CC$2:$CD$24,2,FALSE),$BU$2:$BU$6,0))+$CZ$3)),""))</f>
        <v/>
      </c>
      <c r="HV8" s="155">
        <f>IF($ER8="","",IFERROR(IF((INDEX($FP8:$FT8,1,MATCH(VLOOKUP($ER8,$CC$2:$CD$24,2,FALSE),$BU$2:$BU$6,0))+$CZ$3)&gt;=0,"+","−")&amp;ABS((INDEX($FP8:$FT8,1,MATCH(VLOOKUP($ER8,$CC$2:$CD$24,2,FALSE),$BU$2:$BU$6,0))+$CZ$3)),""))</f>
        <v/>
      </c>
      <c r="HW8" s="155">
        <f>IF($ES8="","",IFERROR(IF((INDEX($FP8:$FT8,1,MATCH(VLOOKUP($ES8,$CC$2:$CD$24,2,FALSE),$BU$2:$BU$6,0))+$CZ$3)&gt;=0,"+","−")&amp;ABS((INDEX($FP8:$FT8,1,MATCH(VLOOKUP($ES8,$CC$2:$CD$24,2,FALSE),$BU$2:$BU$6,0))+$CZ$3)),""))</f>
        <v/>
      </c>
      <c r="HX8" s="155">
        <f>IF($ET8="","",IFERROR(IF((INDEX($FP8:$FT8,1,MATCH(VLOOKUP($ET8,$CC$2:$CD$24,2,FALSE),$BU$2:$BU$6,0))+$CZ$3)&gt;=0,"+","−")&amp;ABS((INDEX($FP8:$FT8,1,MATCH(VLOOKUP($ET8,$CC$2:$CD$24,2,FALSE),$BU$2:$BU$6,0))+$CZ$3)),""))</f>
        <v/>
      </c>
      <c r="HY8" s="155">
        <f>IF($EU8="","",IFERROR(IF((INDEX($FP8:$FT8,1,MATCH(VLOOKUP($EU8,$CC$2:$CD$24,2,FALSE),$BU$2:$BU$6,0))+$CZ$3)&gt;=0,"+","−")&amp;ABS((INDEX($FP8:$FT8,1,MATCH(VLOOKUP($EU8,$CC$2:$CD$24,2,FALSE),$BU$2:$BU$6,0))+$CZ$3)),""))</f>
        <v/>
      </c>
      <c r="HZ8" s="155">
        <f>IF($DD8="Maldição domada","RESERVA · MÁX. "&amp;$GZ8,"RESERVA DE PE")</f>
        <v/>
      </c>
      <c r="IA8" s="155">
        <f>IF($EG8&gt;$HA8,"⚠ ","")&amp;"EQUIPAMENTO · "&amp;$EG8&amp;" DE "&amp;$HA8&amp;" DE VOLUME"&amp;IF($EG8&gt;$HA8," · PASSOU DO LIMITE","")</f>
        <v/>
      </c>
      <c r="IB8" s="155">
        <f>IF(OR($HC8&gt;0,$HB8&gt;$HD8),"⚠ ","")&amp;"FAMÍLIAS · "&amp;$HB8&amp;" ABERTAS"&amp;IF($HC8&gt;0," · REPETIDA","")&amp;IF($HB8&gt;$HD8," · O LIMITE É "&amp;$HD8,"")</f>
        <v/>
      </c>
      <c r="IC8" s="155">
        <f>"HABILIDADES · básica de "&amp;$FO8&amp;"d6 · "&amp;$GT8&amp;IF($GT8&gt;1," espaços"," espaço")&amp;" de especial até a Classe "&amp;$FN8&amp;" · "&amp;$GV8&amp;IF($GV8&gt;1," talentos"," talento")</f>
        <v/>
      </c>
      <c r="ID8" s="155">
        <f>IF($GW8&gt;$GV8,"⚠ ","")&amp;"TALENTOS · "&amp;$GW8&amp;" DE "&amp;$GV8</f>
        <v/>
      </c>
      <c r="IE8" s="155">
        <f>IFERROR(VLOOKUP($EV8,$BI$2:$BL$15,2,FALSE),0)</f>
        <v/>
      </c>
      <c r="IF8" s="155">
        <f>IFERROR(VLOOKUP($EW8,$BI$2:$BL$15,2,FALSE),0)</f>
        <v/>
      </c>
      <c r="IG8" s="155">
        <f>IFERROR(VLOOKUP($EX8,$BI$2:$BL$15,2,FALSE),0)</f>
        <v/>
      </c>
      <c r="IH8" s="155">
        <f>IFERROR(VLOOKUP($EY8,$BI$2:$BL$15,2,FALSE),0)</f>
        <v/>
      </c>
      <c r="II8" s="155">
        <f>IFERROR(VLOOKUP($EZ8,$BI$2:$BL$15,2,FALSE),0)</f>
        <v/>
      </c>
      <c r="IJ8" s="155">
        <f>IFERROR(VLOOKUP($FA8,$BI$2:$BL$15,2,FALSE),0)</f>
        <v/>
      </c>
      <c r="IK8" s="155">
        <f>IFERROR(VLOOKUP($FB8,$BI$2:$BL$15,2,FALSE),0)</f>
        <v/>
      </c>
      <c r="IL8" s="155">
        <f>IFERROR(VLOOKUP($FC8,$BI$2:$BL$15,2,FALSE),0)</f>
        <v/>
      </c>
      <c r="IM8" s="155">
        <f>IF($EV8="","",IF(1&gt;$FM8,"⚠ Este talento abre no nível 1",IF($IE8&gt;1,"⚠ Categoria "&amp;$IE8&amp;": este ganho vai até a 1 · ","")&amp;IFERROR(VLOOKUP($EV8,$BI$2:$BL$15,3,FALSE),"")))</f>
        <v/>
      </c>
      <c r="IN8" s="155">
        <f>IF($EW8="","",IF(6&gt;$FM8,"⚠ Este talento abre no nível 6",IF($IF8&gt;1,"⚠ Categoria "&amp;$IF8&amp;": este ganho vai até a 1 · ","")&amp;IFERROR(VLOOKUP($EW8,$BI$2:$BL$15,3,FALSE),"")))</f>
        <v/>
      </c>
      <c r="IO8" s="155">
        <f>IF($EX8="","",IF(10&gt;$FM8,"⚠ Este talento abre no nível 10",IF($IG8&gt;2,"⚠ Categoria "&amp;$IG8&amp;": este ganho vai até a 2 · ","")&amp;IFERROR(VLOOKUP($EX8,$BI$2:$BL$15,3,FALSE),"")))</f>
        <v/>
      </c>
      <c r="IP8" s="155">
        <f>IF($EY8="","",IF(14&gt;$FM8,"⚠ Este talento abre no nível 14",IF($IH8&gt;3,"⚠ Categoria "&amp;$IH8&amp;": este ganho vai até a 3 · ","")&amp;IFERROR(VLOOKUP($EY8,$BI$2:$BL$15,3,FALSE),"")))</f>
        <v/>
      </c>
      <c r="IQ8" s="155">
        <f>IF($EZ8="","",IF(18&gt;$FM8,"⚠ Este talento abre no nível 18",IF($II8&gt;3,"⚠ Categoria "&amp;$II8&amp;": este ganho vai até a 3 · ","")&amp;IFERROR(VLOOKUP($EZ8,$BI$2:$BL$15,3,FALSE),"")))</f>
        <v/>
      </c>
      <c r="IR8" s="155">
        <f>IF($FA8="","",IF(22&gt;$FM8,"⚠ Este talento abre no nível 22",IF($IJ8&gt;3,"⚠ Categoria "&amp;$IJ8&amp;": este ganho vai até a 3 · ","")&amp;IFERROR(VLOOKUP($FA8,$BI$2:$BL$15,3,FALSE),"")))</f>
        <v/>
      </c>
      <c r="IS8" s="155">
        <f>IF($FB8="","",IF(26&gt;$FM8,"⚠ Este talento abre no nível 26",IF($IK8&gt;3,"⚠ Categoria "&amp;$IK8&amp;": este ganho vai até a 3 · ","")&amp;IFERROR(VLOOKUP($FB8,$BI$2:$BL$15,3,FALSE),"")))</f>
        <v/>
      </c>
      <c r="IT8" s="155">
        <f>IF($FC8="","",IF(30&gt;$FM8,"⚠ Este talento abre no nível 30",IF($IL8&gt;3,"⚠ Categoria "&amp;$IL8&amp;": este ganho vai até a 3 · ","")&amp;IFERROR(VLOOKUP($FC8,$BI$2:$BL$15,3,FALSE),"")))</f>
        <v/>
      </c>
      <c r="IU8" s="155">
        <f>IF($FD8="","",IFERROR(VLOOKUP($FD8,$BI$2:$BL$15,3,FALSE),""))</f>
        <v/>
      </c>
      <c r="IV8" s="155">
        <f>IF($FE8="","",IFERROR(VLOOKUP($FE8,$BI$2:$BL$15,3,FALSE),""))</f>
        <v/>
      </c>
      <c r="IW8" s="155">
        <f>IF($FF8="","",IFERROR(VLOOKUP($FF8,$BI$2:$BL$15,3,FALSE),""))</f>
        <v/>
      </c>
      <c r="IX8" s="155">
        <f>CEILING(4.5*$FG8,1)&amp;" PE"</f>
        <v/>
      </c>
      <c r="IY8" s="155">
        <f>CEILING(4.5*$FH8,1)&amp;" PE"</f>
        <v/>
      </c>
      <c r="IZ8" s="155">
        <f>CEILING(4.5*$FI8,1)&amp;" PE"</f>
        <v/>
      </c>
      <c r="JA8" s="155">
        <f>INDEX($P$2:$P$8,$FG8)&amp;" pontos + "&amp;$FG8&amp;"d8"</f>
        <v/>
      </c>
      <c r="JB8" s="155">
        <f>INDEX($P$2:$P$8,$FH8)&amp;" pontos + "&amp;$FH8&amp;"d8"</f>
        <v/>
      </c>
      <c r="JC8" s="155">
        <f>INDEX($P$2:$P$8,$FI8)&amp;" pontos + "&amp;$FI8&amp;"d8"</f>
        <v/>
      </c>
      <c r="JD8" s="155">
        <f>IF($FM8&lt;17,"—",VLOOKUP($FM8,$CN$2:$CQ$4,4,TRUE)&amp;" PE")</f>
        <v/>
      </c>
      <c r="JE8" s="155">
        <f>IF($FM8&lt;17,"Abre no nível 17",VLOOKUP($FM8,$CN$2:$CQ$4,2,TRUE)&amp;" fixos · "&amp;VLOOKUP($FM8,$CN$2:$CQ$4,3,TRUE)&amp;" pontos")</f>
        <v/>
      </c>
      <c r="JF8" s="155">
        <f>IF($FJ8="Sem Barreiras",7,6)*$FN8&amp;" PE"</f>
        <v/>
      </c>
      <c r="JG8" s="155">
        <f>"Acerto "&amp;$FN8&amp;"d8"</f>
        <v/>
      </c>
      <c r="JH8" s="155">
        <f>IFERROR(VLOOKUP($FJ8,$CS$2:$CU$4,3,FALSE),"Escolha o degrau")</f>
        <v/>
      </c>
      <c r="JI8" s="155">
        <f>7&amp;" · "&amp;IF($FK8=0,"vazia",$DC8&amp;" · nv "&amp;$FM8&amp;" · "&amp;$GF8&amp;"/"&amp;$GD8)</f>
        <v/>
      </c>
      <c r="JM8" s="153" t="inlineStr">
        <is>
          <t>Invocação 7</t>
        </is>
      </c>
      <c r="JN8" s="155">
        <f>ADDRESS(ROW('INVOCAÇÕES'!D27),COLUMN('INVOCAÇÕES'!D27),4)</f>
        <v/>
      </c>
      <c r="JO8" s="155">
        <f>ADDRESS(ROW('INVOCAÇÕES'!AA9),COLUMN('INVOCAÇÕES'!AA9),4)</f>
        <v/>
      </c>
      <c r="JP8" s="153" t="inlineStr">
        <is>
          <t>DADOS_INVOC!$JI$8</t>
        </is>
      </c>
      <c r="JR8" s="155">
        <f>IF(OR($AW8="",COUNTIF($EJ$2:$EN$2,$AW8)&gt;0),$AV8,"")</f>
        <v/>
      </c>
      <c r="JS8" s="155">
        <f>IF(AND($AX8=1,OR($AW8="",COUNTIF($EJ$2:$EN$2,$AW8)&gt;0)),$AV8,"")</f>
        <v/>
      </c>
      <c r="JU8" s="155">
        <f>IF(OR($W8="",COUNTIF($EJ$2:$EN$2,$W8)&gt;0),$V8,"")</f>
        <v/>
      </c>
      <c r="JV8" s="155">
        <f>IF(AND($AF8=1,OR($W8="",COUNTIF($EJ$2:$EN$2,$W8)&gt;0)),$V8,"")</f>
        <v/>
      </c>
      <c r="JX8" s="155">
        <f>IF(OR($AW8="",COUNTIF($EJ$3:$EN$3,$AW8)&gt;0),$AV8,"")</f>
        <v/>
      </c>
      <c r="JY8" s="155">
        <f>IF(AND($AX8=1,OR($AW8="",COUNTIF($EJ$3:$EN$3,$AW8)&gt;0)),$AV8,"")</f>
        <v/>
      </c>
      <c r="KA8" s="155">
        <f>IF(OR($W8="",COUNTIF($EJ$3:$EN$3,$W8)&gt;0),$V8,"")</f>
        <v/>
      </c>
      <c r="KB8" s="155">
        <f>IF(AND($AF8=1,OR($W8="",COUNTIF($EJ$3:$EN$3,$W8)&gt;0)),$V8,"")</f>
        <v/>
      </c>
      <c r="KD8" s="155">
        <f>IF(OR($AW8="",COUNTIF($EJ$4:$EN$4,$AW8)&gt;0),$AV8,"")</f>
        <v/>
      </c>
      <c r="KE8" s="155">
        <f>IF(AND($AX8=1,OR($AW8="",COUNTIF($EJ$4:$EN$4,$AW8)&gt;0)),$AV8,"")</f>
        <v/>
      </c>
      <c r="KG8" s="155">
        <f>IF(OR($W8="",COUNTIF($EJ$4:$EN$4,$W8)&gt;0),$V8,"")</f>
        <v/>
      </c>
      <c r="KH8" s="155">
        <f>IF(AND($AF8=1,OR($W8="",COUNTIF($EJ$4:$EN$4,$W8)&gt;0)),$V8,"")</f>
        <v/>
      </c>
      <c r="KJ8" s="155">
        <f>IF(OR($AW8="",COUNTIF($EJ$5:$EN$5,$AW8)&gt;0),$AV8,"")</f>
        <v/>
      </c>
      <c r="KK8" s="155">
        <f>IF(AND($AX8=1,OR($AW8="",COUNTIF($EJ$5:$EN$5,$AW8)&gt;0)),$AV8,"")</f>
        <v/>
      </c>
      <c r="KM8" s="155">
        <f>IF(OR($W8="",COUNTIF($EJ$5:$EN$5,$W8)&gt;0),$V8,"")</f>
        <v/>
      </c>
      <c r="KN8" s="155">
        <f>IF(AND($AF8=1,OR($W8="",COUNTIF($EJ$5:$EN$5,$W8)&gt;0)),$V8,"")</f>
        <v/>
      </c>
      <c r="KP8" s="155">
        <f>IF(OR($AW8="",COUNTIF($EJ$6:$EN$6,$AW8)&gt;0),$AV8,"")</f>
        <v/>
      </c>
      <c r="KQ8" s="155">
        <f>IF(AND($AX8=1,OR($AW8="",COUNTIF($EJ$6:$EN$6,$AW8)&gt;0)),$AV8,"")</f>
        <v/>
      </c>
      <c r="KS8" s="155">
        <f>IF(OR($W8="",COUNTIF($EJ$6:$EN$6,$W8)&gt;0),$V8,"")</f>
        <v/>
      </c>
      <c r="KT8" s="155">
        <f>IF(AND($AF8=1,OR($W8="",COUNTIF($EJ$6:$EN$6,$W8)&gt;0)),$V8,"")</f>
        <v/>
      </c>
      <c r="KV8" s="155">
        <f>IF(OR($AW8="",COUNTIF($EJ$7:$EN$7,$AW8)&gt;0),$AV8,"")</f>
        <v/>
      </c>
      <c r="KW8" s="155">
        <f>IF(AND($AX8=1,OR($AW8="",COUNTIF($EJ$7:$EN$7,$AW8)&gt;0)),$AV8,"")</f>
        <v/>
      </c>
      <c r="KY8" s="155">
        <f>IF(OR($W8="",COUNTIF($EJ$7:$EN$7,$W8)&gt;0),$V8,"")</f>
        <v/>
      </c>
      <c r="KZ8" s="155">
        <f>IF(AND($AF8=1,OR($W8="",COUNTIF($EJ$7:$EN$7,$W8)&gt;0)),$V8,"")</f>
        <v/>
      </c>
      <c r="LB8" s="155">
        <f>IF(OR($AW8="",COUNTIF($EJ$8:$EN$8,$AW8)&gt;0),$AV8,"")</f>
        <v/>
      </c>
      <c r="LC8" s="155">
        <f>IF(AND($AX8=1,OR($AW8="",COUNTIF($EJ$8:$EN$8,$AW8)&gt;0)),$AV8,"")</f>
        <v/>
      </c>
      <c r="LE8" s="155">
        <f>IF(OR($W8="",COUNTIF($EJ$8:$EN$8,$W8)&gt;0),$V8,"")</f>
        <v/>
      </c>
      <c r="LF8" s="155">
        <f>IF(AND($AF8=1,OR($W8="",COUNTIF($EJ$8:$EN$8,$W8)&gt;0)),$V8,"")</f>
        <v/>
      </c>
      <c r="LH8" s="155">
        <f>IF(OR($AW8="",COUNTIF($EJ$9:$EN$9,$AW8)&gt;0),$AV8,"")</f>
        <v/>
      </c>
      <c r="LI8" s="155">
        <f>IF(AND($AX8=1,OR($AW8="",COUNTIF($EJ$9:$EN$9,$AW8)&gt;0)),$AV8,"")</f>
        <v/>
      </c>
      <c r="LK8" s="155">
        <f>IF(OR($W8="",COUNTIF($EJ$9:$EN$9,$W8)&gt;0),$V8,"")</f>
        <v/>
      </c>
      <c r="LL8" s="155">
        <f>IF(AND($AF8=1,OR($W8="",COUNTIF($EJ$9:$EN$9,$W8)&gt;0)),$V8,"")</f>
        <v/>
      </c>
      <c r="LN8" s="155">
        <f>IF(OR($AW8="",COUNTIF($EJ$10:$EN$10,$AW8)&gt;0),$AV8,"")</f>
        <v/>
      </c>
      <c r="LO8" s="155">
        <f>IF(AND($AX8=1,OR($AW8="",COUNTIF($EJ$10:$EN$10,$AW8)&gt;0)),$AV8,"")</f>
        <v/>
      </c>
      <c r="LQ8" s="155">
        <f>IF(OR($W8="",COUNTIF($EJ$10:$EN$10,$W8)&gt;0),$V8,"")</f>
        <v/>
      </c>
      <c r="LR8" s="155">
        <f>IF(AND($AF8=1,OR($W8="",COUNTIF($EJ$10:$EN$10,$W8)&gt;0)),$V8,"")</f>
        <v/>
      </c>
      <c r="LT8" s="155">
        <f>IF(OR($AW8="",COUNTIF($EJ$11:$EN$11,$AW8)&gt;0),$AV8,"")</f>
        <v/>
      </c>
      <c r="LU8" s="155">
        <f>IF(AND($AX8=1,OR($AW8="",COUNTIF($EJ$11:$EN$11,$AW8)&gt;0)),$AV8,"")</f>
        <v/>
      </c>
      <c r="LW8" s="155">
        <f>IF(OR($W8="",COUNTIF($EJ$11:$EN$11,$W8)&gt;0),$V8,"")</f>
        <v/>
      </c>
      <c r="LX8" s="155">
        <f>IF(AND($AF8=1,OR($W8="",COUNTIF($EJ$11:$EN$11,$W8)&gt;0)),$V8,"")</f>
        <v/>
      </c>
      <c r="LZ8" s="155">
        <f>IF(OR($AW8="",COUNTIF($EJ$12:$EN$12,$AW8)&gt;0),$AV8,"")</f>
        <v/>
      </c>
      <c r="MA8" s="155">
        <f>IF(AND($AX8=1,OR($AW8="",COUNTIF($EJ$12:$EN$12,$AW8)&gt;0)),$AV8,"")</f>
        <v/>
      </c>
      <c r="MC8" s="155">
        <f>IF(OR($W8="",COUNTIF($EJ$12:$EN$12,$W8)&gt;0),$V8,"")</f>
        <v/>
      </c>
      <c r="MD8" s="155">
        <f>IF(AND($AF8=1,OR($W8="",COUNTIF($EJ$12:$EN$12,$W8)&gt;0)),$V8,"")</f>
        <v/>
      </c>
      <c r="MF8" s="155">
        <f>IF(OR($AW8="",COUNTIF($EJ$13:$EN$13,$AW8)&gt;0),$AV8,"")</f>
        <v/>
      </c>
      <c r="MG8" s="155">
        <f>IF(AND($AX8=1,OR($AW8="",COUNTIF($EJ$13:$EN$13,$AW8)&gt;0)),$AV8,"")</f>
        <v/>
      </c>
      <c r="MI8" s="155">
        <f>IF(OR($W8="",COUNTIF($EJ$13:$EN$13,$W8)&gt;0),$V8,"")</f>
        <v/>
      </c>
      <c r="MJ8" s="155">
        <f>IF(AND($AF8=1,OR($W8="",COUNTIF($EJ$13:$EN$13,$W8)&gt;0)),$V8,"")</f>
        <v/>
      </c>
      <c r="ML8" s="153" t="inlineStr">
        <is>
          <t>Ficha 1 · Especial 5</t>
        </is>
      </c>
      <c r="MM8" s="155" t="n">
        <v>1</v>
      </c>
      <c r="MN8" s="155" t="n">
        <v>1</v>
      </c>
      <c r="MO8" s="155" t="n">
        <v>16</v>
      </c>
      <c r="MP8" s="153" t="inlineStr">
        <is>
          <t>ESPECIAL 5</t>
        </is>
      </c>
      <c r="MQ8" s="155">
        <f>MAX(1,MIN(7,N('INVOCAÇÕES'!$I$114)))</f>
        <v/>
      </c>
      <c r="MR8" s="155">
        <f>'INVOCAÇÕES'!$J$114&amp;""</f>
        <v/>
      </c>
      <c r="MS8" s="155">
        <f>'INVOCAÇÕES'!$I$119&amp;""</f>
        <v/>
      </c>
      <c r="MT8" s="155">
        <f>'INVOCAÇÕES'!$I$120&amp;""</f>
        <v/>
      </c>
      <c r="MU8" s="155">
        <f>'INVOCAÇÕES'!$K$120&amp;""</f>
        <v/>
      </c>
      <c r="MV8" s="155">
        <f>'INVOCAÇÕES'!$J$123&amp;""</f>
        <v/>
      </c>
      <c r="MW8" s="155">
        <f>'INVOCAÇÕES'!$J$124&amp;""</f>
        <v/>
      </c>
      <c r="MX8" s="155">
        <f>'INVOCAÇÕES'!$J$125&amp;""</f>
        <v/>
      </c>
      <c r="MY8" s="155">
        <f>'INVOCAÇÕES'!$J$126&amp;""</f>
        <v/>
      </c>
      <c r="MZ8" s="155">
        <f>'INVOCAÇÕES'!$J$127&amp;""</f>
        <v/>
      </c>
      <c r="NA8" s="155">
        <f>'INVOCAÇÕES'!$J$128&amp;""</f>
        <v/>
      </c>
      <c r="NB8" s="155">
        <f>IF($MR8&lt;&gt;"",1,0)</f>
        <v/>
      </c>
      <c r="NC8" s="155">
        <f>INDEX($FM$2:$FM$13,$MM8)</f>
        <v/>
      </c>
      <c r="ND8" s="155">
        <f>INDEX($FN$2:$FN$13,$MM8)</f>
        <v/>
      </c>
      <c r="NE8" s="155">
        <f>INDEX($FO$2:$FO$13,$MM8)</f>
        <v/>
      </c>
      <c r="NF8" s="155">
        <f>INDEX($FZ$2:$FZ$13,$MM8)</f>
        <v/>
      </c>
      <c r="NG8" s="155">
        <f>INDEX($GA$2:$GA$13,$MM8)</f>
        <v/>
      </c>
      <c r="NH8" s="155">
        <f>IFERROR(MATCH($MS8,$V$2:$V$11,0),0)</f>
        <v/>
      </c>
      <c r="NI8" s="155">
        <f>IFERROR(VLOOKUP($MV8,$AV$2:$BA$84,2,FALSE),"")</f>
        <v/>
      </c>
      <c r="NJ8" s="155">
        <f>IFERROR(VLOOKUP($MW8,$AV$2:$BA$84,2,FALSE),"")</f>
        <v/>
      </c>
      <c r="NK8" s="155">
        <f>IFERROR(VLOOKUP($MX8,$AV$2:$BA$84,2,FALSE),"")</f>
        <v/>
      </c>
      <c r="NL8" s="155">
        <f>IFERROR(VLOOKUP($MY8,$AV$2:$BA$84,2,FALSE),"")</f>
        <v/>
      </c>
      <c r="NM8" s="155">
        <f>IFERROR(VLOOKUP($MV8,$AV$2:$BA$84,3,FALSE),0)</f>
        <v/>
      </c>
      <c r="NN8" s="155">
        <f>IFERROR(VLOOKUP($MW8,$AV$2:$BA$84,3,FALSE),0)</f>
        <v/>
      </c>
      <c r="NO8" s="155">
        <f>IFERROR(VLOOKUP($MX8,$AV$2:$BA$84,3,FALSE),0)</f>
        <v/>
      </c>
      <c r="NP8" s="155">
        <f>IFERROR(VLOOKUP($MY8,$AV$2:$BA$84,3,FALSE),0)</f>
        <v/>
      </c>
      <c r="NQ8" s="155">
        <f>IF($MQ8=0,0,IF($NH8=0,0,INDEX($X$2:$X$11,$NH8)))</f>
        <v/>
      </c>
      <c r="NR8" s="155">
        <f>IF(OR($NM8=0,$MQ8=0),0,$NM8+3*IF(AND($NI8&lt;&gt;"",OR($NI8=INDEX($EJ$2:$EJ$13,$MM8),$NI8=INDEX($EK$2:$EK$13,$MM8))),1,0))</f>
        <v/>
      </c>
      <c r="NS8" s="155">
        <f>IF(OR($NN8=0,$MQ8=0),0,$NN8+3*IF(AND($NJ8&lt;&gt;"",OR($NJ8=INDEX($EJ$2:$EJ$13,$MM8),$NJ8=INDEX($EK$2:$EK$13,$MM8))),1,0))</f>
        <v/>
      </c>
      <c r="NT8" s="155">
        <f>IF(OR($NO8=0,$MQ8=0),0,$NO8+3*IF(AND($NK8&lt;&gt;"",OR($NK8=INDEX($EJ$2:$EJ$13,$MM8),$NK8=INDEX($EK$2:$EK$13,$MM8))),1,0))</f>
        <v/>
      </c>
      <c r="NU8" s="155">
        <f>IF(OR($NP8=0,$MQ8=0),0,$NP8+3*IF(AND($NL8&lt;&gt;"",OR($NL8=INDEX($EJ$2:$EJ$13,$MM8),$NL8=INDEX($EK$2:$EK$13,$MM8))),1,0))</f>
        <v/>
      </c>
      <c r="NV8" s="155">
        <f>IF($NH8=0,0,IF(INDEX($W$2:$W$11,$NH8)="",0,IF(COUNTIF(INDEX($EJ$2:$EN$13,$MM8,0),INDEX($W$2:$W$11,$NH8))=0,1,0)))</f>
        <v/>
      </c>
      <c r="NW8" s="155">
        <f>IF(OR($NM8=0,$NI8=""),0,IF(COUNTIF(INDEX($EJ$2:$EN$13,$MM8,0),$NI8)=0,1,0))</f>
        <v/>
      </c>
      <c r="NX8" s="155">
        <f>IF(OR($NN8=0,$NJ8=""),0,IF(COUNTIF(INDEX($EJ$2:$EN$13,$MM8,0),$NJ8)=0,1,0))</f>
        <v/>
      </c>
      <c r="NY8" s="155">
        <f>IF(OR($NO8=0,$NK8=""),0,IF(COUNTIF(INDEX($EJ$2:$EN$13,$MM8,0),$NK8)=0,1,0))</f>
        <v/>
      </c>
      <c r="NZ8" s="155">
        <f>IF(OR($NP8=0,$NL8=""),0,IF(COUNTIF(INDEX($EJ$2:$EN$13,$MM8,0),$NL8)=0,1,0))</f>
        <v/>
      </c>
      <c r="OA8" s="155">
        <f>IFERROR(VLOOKUP($MV8,$AV$2:$BA$84,4,FALSE),0)+IFERROR(VLOOKUP($MW8,$AV$2:$BA$84,4,FALSE),0)+IFERROR(VLOOKUP($MX8,$AV$2:$BA$84,4,FALSE),0)+IFERROR(VLOOKUP($MY8,$AV$2:$BA$84,4,FALSE),0)</f>
        <v/>
      </c>
      <c r="OB8" s="155">
        <f>IFERROR(VLOOKUP($MV8,$AV$2:$BA$84,6,FALSE),0)+IFERROR(VLOOKUP($MW8,$AV$2:$BA$84,6,FALSE),0)+IFERROR(VLOOKUP($MX8,$AV$2:$BA$84,6,FALSE),0)+IFERROR(VLOOKUP($MY8,$AV$2:$BA$84,6,FALSE),0)</f>
        <v/>
      </c>
      <c r="OC8" s="155">
        <f>TEXTJOIN(", ",TRUE,IF(IFERROR(VLOOKUP($MV8,$AV$2:$BA$84,5,FALSE),0)=1,$MV8,""),IF(IFERROR(VLOOKUP($MW8,$AV$2:$BA$84,5,FALSE),0)=1,$MW8,""),IF(IFERROR(VLOOKUP($MX8,$AV$2:$BA$84,5,FALSE),0)=1,$MX8,""),IF(IFERROR(VLOOKUP($MY8,$AV$2:$BA$84,5,FALSE),0)=1,$MY8,""))</f>
        <v/>
      </c>
      <c r="OD8" s="155">
        <f>IF($NH8=0,0,INDEX($Y$2:$Y$11,$NH8))</f>
        <v/>
      </c>
      <c r="OE8" s="155">
        <f>IF($NH8=0,0,INDEX($Z$2:$Z$11,$NH8))</f>
        <v/>
      </c>
      <c r="OF8" s="155">
        <f>IF($NH8=0,0,INDEX($AB$2:$AB$11,$NH8))</f>
        <v/>
      </c>
      <c r="OG8" s="155">
        <f>IFERROR(VLOOKUP($MZ8,$BC$2:$BG$24,3,FALSE),0)</f>
        <v/>
      </c>
      <c r="OH8" s="155">
        <f>IFERROR(VLOOKUP($NA8,$BC$2:$BG$24,3,FALSE),0)</f>
        <v/>
      </c>
      <c r="OI8" s="155">
        <f>IFERROR(VLOOKUP($MZ8,$BC$2:$BG$24,2,FALSE),"")</f>
        <v/>
      </c>
      <c r="OJ8" s="155">
        <f>IFERROR(VLOOKUP($NA8,$BC$2:$BG$24,2,FALSE),"")</f>
        <v/>
      </c>
      <c r="OK8" s="155">
        <f>COUNTIF($NQ8:$NU8,1)</f>
        <v/>
      </c>
      <c r="OL8" s="155">
        <f>COUNTIF($NQ8:$NU8,2)</f>
        <v/>
      </c>
      <c r="OM8" s="155">
        <f>COUNTIF($NQ8:$NU8,3)</f>
        <v/>
      </c>
      <c r="ON8" s="155">
        <f>COUNTIF($NQ8:$NU8,4)</f>
        <v/>
      </c>
      <c r="OO8" s="155">
        <f>COUNTIF($NQ8:$NU8,5)</f>
        <v/>
      </c>
      <c r="OP8" s="155">
        <f>COUNTIF($NQ8:$NU8,6)</f>
        <v/>
      </c>
      <c r="OQ8" s="155">
        <f>COUNTIF($OG8:$OH8,1)</f>
        <v/>
      </c>
      <c r="OR8" s="155">
        <f>COUNTIF($OG8:$OH8,2)+$OD8</f>
        <v/>
      </c>
      <c r="OS8" s="155">
        <f>COUNTIF($MV8:$MY8,"?*")</f>
        <v/>
      </c>
      <c r="OT8" s="155">
        <f>COUNTIF($MZ8:$NA8,"?*")+$OD8</f>
        <v/>
      </c>
      <c r="OU8" s="155">
        <f>IF($MQ8=0,0,SUMPRODUCT($OK8:$OP8,INDEX($I$2:$N$8,MAX(1,$MQ8),0)))</f>
        <v/>
      </c>
      <c r="OV8" s="155">
        <f>IF($MQ8=0,0,$OQ8*CEILING($MQ8/2,1)+$OR8*$MQ8)</f>
        <v/>
      </c>
      <c r="OW8" s="155">
        <f>MIN(2*$MQ8,$OV8)</f>
        <v/>
      </c>
      <c r="OX8" s="155">
        <f>MIN($OW8,$OU8)</f>
        <v/>
      </c>
      <c r="OY8" s="155">
        <f>$OW8-$OX8</f>
        <v/>
      </c>
      <c r="OZ8" s="155">
        <f>IF($MQ8=0,0,INDEX($P$2:$P$8,MAX(1,$MQ8)))</f>
        <v/>
      </c>
      <c r="PA8" s="155">
        <f>$OZ8-$OU8+$OX8</f>
        <v/>
      </c>
      <c r="PB8" s="155">
        <f>IF($MQ8=0,MAX(0,$NE8-IF($OS8&gt;0,1,0)),MAX(0,$PA8))</f>
        <v/>
      </c>
      <c r="PC8" s="155">
        <f>IF($MQ8=0,0,(IF(COUNTIF($MV8:$MY8,"Salto")&gt;0,1,0)+IF(COUNTIF($MV8:$MY8,"Queima")&gt;0,1,0)+IF(COUNTIF($MV8:$MY8,"Estilhaço")&gt;0,1,0))*FLOOR($PB8/2,1))</f>
        <v/>
      </c>
      <c r="PD8" s="155">
        <f>MAX(0,2-SUMPRODUCT($OK8:$OP8,$I$2:$N$2)+MIN(2,$OQ8*1+$OR8*1,SUMPRODUCT($OK8:$OP8,$I$2:$N$2)))</f>
        <v/>
      </c>
      <c r="PE8" s="155">
        <f>MAX(0,4-SUMPRODUCT($OK8:$OP8,$I$3:$N$3)+MIN(4,$OQ8*1+$OR8*2,SUMPRODUCT($OK8:$OP8,$I$3:$N$3)))</f>
        <v/>
      </c>
      <c r="PF8" s="155">
        <f>MAX(0,6-SUMPRODUCT($OK8:$OP8,$I$4:$N$4)+MIN(6,$OQ8*2+$OR8*3,SUMPRODUCT($OK8:$OP8,$I$4:$N$4)))</f>
        <v/>
      </c>
      <c r="PG8" s="155">
        <f>MAX(0,9-SUMPRODUCT($OK8:$OP8,$I$5:$N$5)+MIN(8,$OQ8*2+$OR8*4,SUMPRODUCT($OK8:$OP8,$I$5:$N$5)))</f>
        <v/>
      </c>
      <c r="PH8" s="155">
        <f>MAX(0,11-SUMPRODUCT($OK8:$OP8,$I$6:$N$6)+MIN(10,$OQ8*3+$OR8*5,SUMPRODUCT($OK8:$OP8,$I$6:$N$6)))</f>
        <v/>
      </c>
      <c r="PI8" s="155">
        <f>MAX(0,13-SUMPRODUCT($OK8:$OP8,$I$7:$N$7)+MIN(12,$OQ8*3+$OR8*6,SUMPRODUCT($OK8:$OP8,$I$7:$N$7)))</f>
        <v/>
      </c>
      <c r="PJ8" s="155">
        <f>MAX(0,16-SUMPRODUCT($OK8:$OP8,$I$8:$N$8)+MIN(14,$OQ8*4+$OR8*7,SUMPRODUCT($OK8:$OP8,$I$8:$N$8)))</f>
        <v/>
      </c>
      <c r="PK8" s="155">
        <f>IF($OE8=2,3*$PD8&amp;" de vida temp.",IF($OE8=3,"sem dano",IF($PD8=0,IF($OE8=1,"sem cura","sem dano"),IF($OE8=1,"cura ","")&amp;$PD8&amp;"d8")))</f>
        <v/>
      </c>
      <c r="PL8" s="155">
        <f>IF($OE8=2,3*$PE8&amp;" de vida temp.",IF($OE8=3,"sem dano",IF($PE8=0,IF($OE8=1,"sem cura","sem dano"),IF($OE8=1,"cura ","")&amp;$PE8&amp;"d8")))</f>
        <v/>
      </c>
      <c r="PM8" s="155">
        <f>IF($OE8=2,3*$PF8&amp;" de vida temp.",IF($OE8=3,"sem dano",IF($PF8=0,IF($OE8=1,"sem cura","sem dano"),IF($OE8=1,"cura ","")&amp;$PF8&amp;"d8")))</f>
        <v/>
      </c>
      <c r="PN8" s="155">
        <f>IF($OE8=2,3*$PG8&amp;" de vida temp.",IF($OE8=3,"sem dano",IF($PG8=0,IF($OE8=1,"sem cura","sem dano"),IF($OE8=1,"cura ","")&amp;$PG8&amp;"d8")))</f>
        <v/>
      </c>
      <c r="PO8" s="155">
        <f>IF($OE8=2,3*$PH8&amp;" de vida temp.",IF($OE8=3,"sem dano",IF($PH8=0,IF($OE8=1,"sem cura","sem dano"),IF($OE8=1,"cura ","")&amp;$PH8&amp;"d8")))</f>
        <v/>
      </c>
      <c r="PP8" s="155">
        <f>IF($OE8=2,3*$PI8&amp;" de vida temp.",IF($OE8=3,"sem dano",IF($PI8=0,IF($OE8=1,"sem cura","sem dano"),IF($OE8=1,"cura ","")&amp;$PI8&amp;"d8")))</f>
        <v/>
      </c>
      <c r="PQ8" s="155">
        <f>IF($OE8=2,3*$PJ8&amp;" de vida temp.",IF($OE8=3,"sem dano",IF($PJ8=0,IF($OE8=1,"sem cura","sem dano"),IF($OE8=1,"cura ","")&amp;$PJ8&amp;"d8")))</f>
        <v/>
      </c>
      <c r="PR8" s="155">
        <f>IF($NB8=0,"",TEXTJOIN(" · ",TRUE,IF($MO8&gt;$NC8,"Este lugar abre no nível "&amp;$MO8,""),IF($MQ8&gt;$ND8,"Classe "&amp;$MQ8&amp;": o nível "&amp;$NC8&amp;" libera até a "&amp;$ND8,""),IF($NV8=1,"A Forma "&amp;$MS8&amp;" pede "&amp;INDEX($W$2:$W$11,$NH8)&amp;" aberta",""),IF(AND($MQ8=0,$NH8&gt;0,IF($NH8=0,0,INDEX($AF$2:$AF$11,$NH8))=0),$MS8&amp;" não existe na Classe 0",""),IF($NW8=1,"Família Fechada: "&amp;$MV8,""),IF($NX8=1,"Família Fechada: "&amp;$MW8,""),IF($NY8=1,"Família Fechada: "&amp;$MX8,""),IF($NZ8=1,"Família Fechada: "&amp;$MY8,""),IF(AND($MQ8&gt;0,$OS8&gt;INDEX($O$2:$O$8,MAX(1,$MQ8))),$OS8&amp;" Melhorias: a Classe "&amp;$MQ8&amp;" aceita "&amp;INDEX($O$2:$O$8,MAX(1,$MQ8)),""),IF(AND($MQ8=0,$OS8&gt;1),"A básica aceita uma Melhoria",""),IF(AND($MQ8=0,COUNTIF($NM8:$NP8,"&gt;1")&gt;0),"A básica só aceita Melhoria Leve",""),IF(AND($MQ8&gt;0,$OT8&gt;2),$OT8&amp;" Restrições"&amp;IF($OD8=1,", contando a que a Forma "&amp;$MS8&amp;" já traz","")&amp;": o limite é 2",""),IF(AND($MQ8=0,COUNTIF($MZ8:$NA8,"?*")&gt;1),"A básica aceita uma Restrição Leve",""),IF(AND($MQ8=0,COUNTIF($OG8:$OH8,2)&gt;0),"A básica só aceita Restrição Leve",""),IF(AND($MQ8&gt;0,$PA8&lt;0),"Orçamento estourado: faltam "&amp;(-$PA8)&amp;IF($PA8&lt;-1," pontos"," ponto"),""),IF(IFERROR(VLOOKUP($MZ8,$BC$2:$BG$24,4,FALSE),0)+IFERROR(VLOOKUP($NA8,$BC$2:$BG$24,4,FALSE),0)&gt;1,$OI8&amp;" e "&amp;$OJ8&amp;" são as duas de frequência",""),IF(AND((COUNTIF($MV8:$MY8,"Rápido")+COUNTIF($OI8:$OJ8,"Rápido"))&gt;0,(COUNTIF($MV8:$MY8,"Atrasar")+COUNTIF($OI8:$OJ8,"Atrasar"))&gt;0),"Rápido não entra com Atrasar",""),IF(AND((COUNTIF($MV8:$MY8,"Reação")+COUNTIF($OI8:$OJ8,"Reação"))&gt;0,(COUNTIF($MV8:$MY8,"Rápido")+COUNTIF($OI8:$OJ8,"Rápido"))&gt;0),"Reação não entra com Rápido",""),IF(AND((COUNTIF($MV8:$MY8,"Reação")+COUNTIF($OI8:$OJ8,"Reação"))&gt;0,(COUNTIF($MV8:$MY8,"Armado")+COUNTIF($OI8:$OJ8,"Armado"))&gt;0),"Reação não entra com Armado",""),IF(AND((COUNTIF($MV8:$MY8,"Reação")+COUNTIF($OI8:$OJ8,"Reação"))&gt;0,(COUNTIF($MV8:$MY8,"Atrasar")+COUNTIF($OI8:$OJ8,"Atrasar"))&gt;0),"Reação não entra com Atrasar",""),IF(AND((COUNTIF($MV8:$MY8,"Reação")+COUNTIF($OI8:$OJ8,"Reação"))&gt;0,(COUNTIF($MV8:$MY8,"Parado")+COUNTIF($OI8:$OJ8,"Parado"))&gt;0),"Reação não entra com Parado",""),IF(AND((COUNTIF($MV8:$MY8,"Atrasar")+COUNTIF($OI8:$OJ8,"Atrasar"))&gt;0,(COUNTIF($MV8:$MY8,"Parado")+COUNTIF($OI8:$OJ8,"Parado"))&gt;0),"Atrasar não entra com Parado",""),IF(AND((COUNTIF($MV8:$MY8,"Armado")+COUNTIF($OI8:$OJ8,"Armado"))&gt;0,(COUNTIF($MV8:$MY8,"Carregar")+COUNTIF($OI8:$OJ8,"Carregar"))&gt;0),"Armado não entra com Carregar",""),IF(AND(COUNTIF($OI8:$OJ8,"Corpo a Corpo")&gt;0,$OD8=0,OR($MS8="Cone",$MS8="Linha")),"Corpo a Corpo não entra em "&amp;$MS8,""),IF(AND(COUNTIF($OI8:$OJ8,"Corpo a Corpo")&gt;0,$OD8=1),"A Forma "&amp;$MS8&amp;" já traz o Corpo a Corpo",""),IF(AND(COUNTIF($OI8:$OJ8,"Tudo ou Nada")&gt;0,$OF8=0),"Tudo ou Nada só entra em habilidade de Teste de Resistência",""),IF(AND(COUNTIF($MV8:$MY8,"Inescapável")&gt;0,OR($OS8&gt;1,$OT8&gt;0)),"Inescapável não aceita outra peça",""),IF(AND($MQ8&gt;0,$PB8*IF(COUNTIF($MV8:$MY8,"Remate")&gt;0,1.25,1)+$PC8&gt;4*$MQ8),($PB8*IF(COUNTIF($MV8:$MY8,"Remate")&gt;0,1.25,1)+$PC8)&amp;" dados somando repetições"&amp;IF(COUNTIF($MV8:$MY8,"Remate")&gt;0," e o Remate","")&amp;": o teto da Classe "&amp;$MQ8&amp;" é "&amp;4*$MQ8,"")))</f>
        <v/>
      </c>
      <c r="PS8" s="155">
        <f>IF($PR8="",0,(LEN($PR8)-LEN(SUBSTITUTE($PR8," · ","")))/3+1)</f>
        <v/>
      </c>
      <c r="PT8" s="155">
        <f>IF($NB8=0,"",TEXTJOIN(" · ",TRUE,IF($OV8&gt;2*$MQ8,"A devolução parou no teto de "&amp;2*$MQ8,""),IF($OY8&gt;0,"Devolução perdida: "&amp;$OY8&amp;IF($OY8&gt;1," pontos"," ponto")&amp;" sem peça para pagar",""),IF(AND($OA8&gt;0,AND($MQ8&gt;0,$OE8=0),$PB8=0),"Controle sem dano: uma rodada a mais e CD +2",""),IF(AND($OA8&gt;0,AND($MQ8&gt;0,$OE8=0),$PB8&gt;0,$PB8&lt;=$MQ8),"Controle com saldo até a Classe: uma rodada a mais",""),IF(AND($MQ8&gt;0,$OC8&lt;&gt;""),"Efeito de "&amp;$OC8&amp;" pela Classe "&amp;MAX(1,$MQ8-1),"")))</f>
        <v/>
      </c>
      <c r="PU8" s="155">
        <f>IF($PT8="",0,(LEN($PT8)-LEN(SUBSTITUTE($PT8," · ","")))/3+1)</f>
        <v/>
      </c>
      <c r="PV8" s="155">
        <f>IF($NB8=0,IF($OS8+COUNTIF($MZ8:$NA8,"?*")&gt;0,"Dê um nome",""),IF($PS8&gt;0,"⚠ "&amp;$PS8&amp;IF($PS8&gt;1," erros"," erro"),IF($PU8&gt;0,"! "&amp;$PU8&amp;IF($PU8&gt;1," avisos"," aviso"),"Na regra")))</f>
        <v/>
      </c>
      <c r="PW8" s="155">
        <f>IF($NB8=0,"",IF($PS8+$PU8=0,"Dentro das regras que a ficha confere",$PR8&amp;IF(AND($PS8&gt;0,$PU8&gt;0)," · ","")&amp;$PT8))</f>
        <v/>
      </c>
      <c r="PX8" s="155">
        <f>IF($MO8&gt;$NC8,$MP8&amp;" · ABRE NO NÍVEL "&amp;$MO8,$MP8)</f>
        <v/>
      </c>
      <c r="PY8" s="155">
        <f>IF($NB8=0,"",IF($MQ8=0,"Sem PE",3*$MQ8&amp;" PE"))</f>
        <v/>
      </c>
      <c r="PZ8" s="155">
        <f>IF($NB8=0,"",IF($MQ8=0,"A atuação básica dela",IF(COUNTIF($OI8:$OJ8,"Atrasar")&gt;0,"Sua Ação Completa",IF(COUNTIF($MV8:$MY8,"Rápido")&gt;0,"Sua Bônus",IF(COUNTIF($MV8:$MY8,"Reação")&gt;0,"Sua Reação","Sua Padrão")))&amp;" + a básica dela"&amp;IF(COUNTIF($MV8:$MY8,"Reação")&gt;0," e a coletiva","")&amp;IF(COUNTIF($OI8:$OJ8,"Carregar")&gt;0," · em dois turnos","")))</f>
        <v/>
      </c>
      <c r="QA8" s="155">
        <f>IF($MU8&lt;&gt;"",$MU8,IF($NH8=0,"",INDEX($AA$2:$AA$11,$NH8)))</f>
        <v/>
      </c>
      <c r="QB8" s="155">
        <f>IF(OR($NB8=0,$NH8=0),"",IF(COUNTIF($MV8:$MY8,"Inescapável")&gt;0,"Automático",IF($QA8="Ataque",IF($NF8="","Ataque","Ataque "&amp;IF(($NF8+2*IF(COUNTIF($MV8:$MY8,"Precisão")&gt;0,1,0))&gt;=0,"+","−")&amp;ABS(($NF8+2*IF(COUNTIF($MV8:$MY8,"Precisão")&gt;0,1,0))))&amp;IF($OB8&gt;0," · TR"&amp;IF($NG8="",""," CD "&amp;$NG8),""),IF(LEFT($QA8,2)="TR",$QA8&amp;IF($NG8="",""," · CD "&amp;$NG8)&amp;IF(COUNTIF($MV8:$MY8,"Certeiro")&gt;0," · metade",""),"Sem rolagem"))))</f>
        <v/>
      </c>
      <c r="QC8" s="155">
        <f>IF(OR($NB8=0,$NH8=0),"",IF($MQ8=0,IF(OR($OE8&gt;=1,$PB8=0),"Sem dano",$PB8&amp;"d6"&amp;IF($MT8="",""," "&amp;$MT8)),IF(OR($OE8&gt;=1,$PB8=0),UPPER(LEFT(INDEX($PK8:$PQ8,1,MAX(1,$MQ8)),1))&amp;MID(INDEX($PK8:$PQ8,1,MAX(1,$MQ8)),2,99),UPPER(LEFT(INDEX($PK8:$PQ8,1,MAX(1,$MQ8)),1))&amp;MID(INDEX($PK8:$PQ8,1,MAX(1,$MQ8)),2,99)&amp;IF($MT8="",""," "&amp;$MT8)&amp;IF($PC8&gt;0," · +"&amp;$PC8&amp;"d8",""))))</f>
        <v/>
      </c>
      <c r="QD8" s="155">
        <f>COUNTIF($MV8:$MY8,"Longe")+3*COUNTIF($MV8:$MY8,"Muito Longe")</f>
        <v/>
      </c>
      <c r="QE8" s="155">
        <f>COUNTIF($MV8:$MY8,"Maior")+3*COUNTIF($MV8:$MY8,"Muito Maior")</f>
        <v/>
      </c>
      <c r="QF8" s="155">
        <f>IF($NH8=0,0,CHOOSE(1+INDEX($AC$2:$AC$11,$NH8),0,$QD8,$QE8,$QD8+$QE8))</f>
        <v/>
      </c>
      <c r="QG8" s="155">
        <f>IF($NH8=0,0,CHOOSE(1+INDEX($AD$2:$AD$11,$NH8),0,$QD8,$QE8,$QD8+$QE8))</f>
        <v/>
      </c>
      <c r="QH8" s="155">
        <f>IF(OR($NB8=0,$NH8=0),"",INDEX($AI$2:$AN$41,($NH8-1)*4+IF($MQ8=0,1,IF($MQ8&lt;=5,2,IF($MQ8=6,3,4))),1+MIN(5,$QF8))&amp;INDEX($AO$2:$AT$41,($NH8-1)*4+IF($MQ8=0,1,IF($MQ8&lt;=5,2,IF($MQ8=6,3,4))),1+MIN(5,$QG8))&amp;IF(INDEX($AE$2:$AE$11,$NH8)=1,IF(COUNTIF($MV8:$MY8,"Mais Um")&gt;0," · +"&amp;COUNTIF($MV8:$MY8,"Mais Um")&amp;IF(COUNTIF($MV8:$MY8,"Mais Um")&gt;1," alvos"," alvo"),"")&amp;IF(COUNTIF($MV8:$MY8,"Rajada")&gt;0,IF($MQ8=0," · 1 tiro"," · "&amp;(MAX(1,$MQ8-1)+1)&amp;" tiros"),""),""))</f>
        <v/>
      </c>
      <c r="QI8" s="155">
        <f>IF($NB8=0,"",IF($MQ8=0,$NE8&amp;"d6"&amp;IF($OS8&gt;0," − 1 = "&amp;$PB8&amp;"d6"," da básica do nível "&amp;$NC8),$OZ8&amp;" − "&amp;$OU8&amp;" + "&amp;$OX8&amp;" = "&amp;$PA8&amp;" · teto "&amp;4*$MQ8&amp;"d8"&amp;IF($OD8=1," · a Forma devolve "&amp;$MQ8,"")&amp;IF($OY8&gt;0," · perde "&amp;$OY8,"")))</f>
        <v/>
      </c>
      <c r="QJ8" s="155">
        <f>IF($NB8=0,"",IF($MQ8=0,"A básica não amplia: os dados dela sobem com o nível",IF($MQ8&gt;=$ND8,"Já está na maior Classe que o nível liberou",TEXTJOIN(" · ",TRUE,IF(AND(2&gt;$MQ8,2&lt;=$ND8),"2 → "&amp;$PL8&amp;", 6 PE",""),IF(AND(3&gt;$MQ8,3&lt;=$ND8),"3 → "&amp;$PM8&amp;", 9 PE",""),IF(AND(4&gt;$MQ8,4&lt;=$ND8),"4 → "&amp;$PN8&amp;", 12 PE",""),IF(AND(5&gt;$MQ8,5&lt;=$ND8),"5 → "&amp;$PO8&amp;", 15 PE",""),IF(AND(6&gt;$MQ8,6&lt;=$ND8),"6 → "&amp;$PP8&amp;", 18 PE",""),IF(AND(7&gt;$MQ8,7&lt;=$ND8),"7 → "&amp;$PQ8&amp;", 21 PE","")))))</f>
        <v/>
      </c>
      <c r="QK8" s="155">
        <f>IF(OR($NB8=0,$NM8=0),"",IF($MQ8=0,"−1 dado","−"&amp;INDEX($I$2:$N$8,MAX(1,$MQ8),MAX(1,$NR8))&amp;" · "&amp;CHOOSE(MAX(1,$NR8),"Leve","Média","Pesada","Leve · Livre","Média · Livre","Pesada · Livre")))</f>
        <v/>
      </c>
      <c r="QL8" s="155">
        <f>IF(OR($NB8=0,$NN8=0),"",IF($MQ8=0,"−1 dado","−"&amp;INDEX($I$2:$N$8,MAX(1,$MQ8),MAX(1,$NS8))&amp;" · "&amp;CHOOSE(MAX(1,$NS8),"Leve","Média","Pesada","Leve · Livre","Média · Livre","Pesada · Livre")))</f>
        <v/>
      </c>
      <c r="QM8" s="155">
        <f>IF(OR($NB8=0,$NO8=0),"",IF($MQ8=0,"−1 dado","−"&amp;INDEX($I$2:$N$8,MAX(1,$MQ8),MAX(1,$NT8))&amp;" · "&amp;CHOOSE(MAX(1,$NT8),"Leve","Média","Pesada","Leve · Livre","Média · Livre","Pesada · Livre")))</f>
        <v/>
      </c>
      <c r="QN8" s="155">
        <f>IF(OR($NB8=0,$NP8=0),"",IF($MQ8=0,"−1 dado","−"&amp;INDEX($I$2:$N$8,MAX(1,$MQ8),MAX(1,$NU8))&amp;" · "&amp;CHOOSE(MAX(1,$NU8),"Leve","Média","Pesada","Leve · Livre","Média · Livre","Pesada · Livre")))</f>
        <v/>
      </c>
      <c r="QO8" s="155">
        <f>IF(OR($NB8=0,$MZ8=""),"",IF($MQ8=0,"não devolve","+"&amp;IF($OG8=1,CEILING($MQ8/2,1),$MQ8)))</f>
        <v/>
      </c>
      <c r="QP8" s="155">
        <f>IF(OR($NB8=0,$NA8=""),"",IF($MQ8=0,"não devolve","+"&amp;IF($OH8=1,CEILING($MQ8/2,1),$MQ8)))</f>
        <v/>
      </c>
    </row>
    <row r="9">
      <c r="R9" s="155" t="n">
        <v>7</v>
      </c>
      <c r="V9" s="153" t="inlineStr">
        <is>
          <t>Apoio</t>
        </is>
      </c>
      <c r="W9" s="153" t="inlineStr">
        <is>
          <t>Amparo</t>
        </is>
      </c>
      <c r="X9" s="155" t="n">
        <v>0</v>
      </c>
      <c r="Y9" s="155" t="n">
        <v>0</v>
      </c>
      <c r="Z9" s="155" t="n">
        <v>2</v>
      </c>
      <c r="AA9" s="153" t="inlineStr">
        <is>
          <t>—</t>
        </is>
      </c>
      <c r="AB9" s="155" t="n">
        <v>0</v>
      </c>
      <c r="AC9" s="155" t="n">
        <v>1</v>
      </c>
      <c r="AD9" s="155" t="n">
        <v>0</v>
      </c>
      <c r="AE9" s="155" t="n">
        <v>0</v>
      </c>
      <c r="AF9" s="155" t="n">
        <v>1</v>
      </c>
      <c r="AH9" s="153" t="inlineStr">
        <is>
          <t>Toque · classe 7</t>
        </is>
      </c>
      <c r="AI9" s="153" t="inlineStr">
        <is>
          <t>1,5 m, um alvo</t>
        </is>
      </c>
      <c r="AJ9" s="153" t="inlineStr">
        <is>
          <t>1,5 m, um alvo</t>
        </is>
      </c>
      <c r="AK9" s="153" t="inlineStr">
        <is>
          <t>1,5 m, um alvo</t>
        </is>
      </c>
      <c r="AL9" s="153" t="inlineStr">
        <is>
          <t>1,5 m, um alvo</t>
        </is>
      </c>
      <c r="AM9" s="153" t="inlineStr">
        <is>
          <t>1,5 m, um alvo</t>
        </is>
      </c>
      <c r="AN9" s="153" t="inlineStr">
        <is>
          <t>1,5 m, um alvo</t>
        </is>
      </c>
      <c r="AO9" s="153" t="inlineStr"/>
      <c r="AP9" s="153" t="inlineStr"/>
      <c r="AQ9" s="153" t="inlineStr"/>
      <c r="AR9" s="153" t="inlineStr"/>
      <c r="AS9" s="153" t="inlineStr"/>
      <c r="AT9" s="153" t="inlineStr"/>
      <c r="AV9" s="153" t="inlineStr">
        <is>
          <t>Maior</t>
        </is>
      </c>
      <c r="AW9" s="153" t="inlineStr">
        <is>
          <t>Área</t>
        </is>
      </c>
      <c r="AX9" s="155" t="n">
        <v>1</v>
      </c>
      <c r="AY9" s="155" t="n">
        <v>0</v>
      </c>
      <c r="AZ9" s="155" t="n">
        <v>0</v>
      </c>
      <c r="BA9" s="155" t="n">
        <v>0</v>
      </c>
      <c r="BC9" s="153" t="inlineStr">
        <is>
          <t>Recuo (Média)</t>
        </is>
      </c>
      <c r="BD9" s="153" t="inlineStr">
        <is>
          <t>Recuo</t>
        </is>
      </c>
      <c r="BE9" s="155" t="n">
        <v>2</v>
      </c>
      <c r="BF9" s="155" t="n">
        <v>0</v>
      </c>
      <c r="BG9" s="153" t="inlineStr"/>
      <c r="BI9" s="153" t="inlineStr">
        <is>
          <t>Eco</t>
        </is>
      </c>
      <c r="BJ9" s="155" t="n">
        <v>2</v>
      </c>
      <c r="BK9" s="153" t="inlineStr">
        <is>
          <t>Quando um feitiço seu reduzir um inimigo a 0 pontos de vida, o próximo feitiço que você conjurar nesta cena custa metade do seu PE normal, arredondada para cima. Derrubado, a condição, não ativa Eco.</t>
        </is>
      </c>
      <c r="BL9" s="153" t="inlineStr"/>
      <c r="BS9" s="153" t="inlineStr">
        <is>
          <t>Marca</t>
        </is>
      </c>
      <c r="CC9" s="153" t="inlineStr">
        <is>
          <t>Ocultismo</t>
        </is>
      </c>
      <c r="CD9" s="153" t="inlineStr">
        <is>
          <t>Inteligência</t>
        </is>
      </c>
      <c r="CH9" s="153" t="inlineStr">
        <is>
          <t>Trovejante</t>
        </is>
      </c>
      <c r="CY9" s="153" t="inlineStr">
        <is>
          <t>corpos mantidos</t>
        </is>
      </c>
      <c r="CZ9" s="155">
        <f>$CZ$6+$CZ$8</f>
        <v/>
      </c>
      <c r="DB9" s="155" t="n">
        <v>8</v>
      </c>
      <c r="DC9" s="155">
        <f>'INVOCAÇÕES'!$AB$211&amp;""</f>
        <v/>
      </c>
      <c r="DD9" s="155">
        <f>'INVOCAÇÕES'!$AB$241&amp;""</f>
        <v/>
      </c>
      <c r="DE9" s="155">
        <f>'INVOCAÇÕES'!$AB$245&amp;""</f>
        <v/>
      </c>
      <c r="DF9" s="155">
        <f>N('INVOCAÇÕES'!$AD$245)</f>
        <v/>
      </c>
      <c r="DG9" s="155">
        <f>'INVOCAÇÕES'!$AE$245&amp;""</f>
        <v/>
      </c>
      <c r="DH9" s="155">
        <f>N('INVOCAÇÕES'!$AH$218)</f>
        <v/>
      </c>
      <c r="DI9" s="155">
        <f>N('INVOCAÇÕES'!$AI$218)</f>
        <v/>
      </c>
      <c r="DJ9" s="155">
        <f>N('INVOCAÇÕES'!$AJ$218)</f>
        <v/>
      </c>
      <c r="DK9" s="155">
        <f>N('INVOCAÇÕES'!$AK$218)</f>
        <v/>
      </c>
      <c r="DL9" s="155">
        <f>N('INVOCAÇÕES'!$AL$218)</f>
        <v/>
      </c>
      <c r="DM9" s="155">
        <f>N('INVOCAÇÕES'!$AH$219)</f>
        <v/>
      </c>
      <c r="DN9" s="155">
        <f>N('INVOCAÇÕES'!$AI$219)</f>
        <v/>
      </c>
      <c r="DO9" s="155">
        <f>N('INVOCAÇÕES'!$AJ$219)</f>
        <v/>
      </c>
      <c r="DP9" s="155">
        <f>N('INVOCAÇÕES'!$AK$219)</f>
        <v/>
      </c>
      <c r="DQ9" s="155">
        <f>N('INVOCAÇÕES'!$AL$219)</f>
        <v/>
      </c>
      <c r="DR9" s="155">
        <f>'INVOCAÇÕES'!$AH$232&amp;""</f>
        <v/>
      </c>
      <c r="DS9" s="155">
        <f>'INVOCAÇÕES'!$AK$232&amp;""</f>
        <v/>
      </c>
      <c r="DT9" s="155">
        <f>'INVOCAÇÕES'!$AL$227&amp;""</f>
        <v/>
      </c>
      <c r="DU9" s="155">
        <f>N('INVOCAÇÕES'!$AH$224)</f>
        <v/>
      </c>
      <c r="DV9" s="155">
        <f>N('INVOCAÇÕES'!$AI$224)</f>
        <v/>
      </c>
      <c r="DW9" s="155">
        <f>N('INVOCAÇÕES'!$AJ$224)</f>
        <v/>
      </c>
      <c r="DX9" s="155">
        <f>N('INVOCAÇÕES'!$AK$224)</f>
        <v/>
      </c>
      <c r="DY9" s="155">
        <f>N('INVOCAÇÕES'!$AL$224)</f>
        <v/>
      </c>
      <c r="DZ9" s="155">
        <f>N('INVOCAÇÕES'!$AH$229)</f>
        <v/>
      </c>
      <c r="EA9" s="155">
        <f>N('INVOCAÇÕES'!$AI$229)</f>
        <v/>
      </c>
      <c r="EB9" s="155">
        <f>N('INVOCAÇÕES'!$AJ$229)</f>
        <v/>
      </c>
      <c r="EC9" s="155">
        <f>N('INVOCAÇÕES'!$AK$229)</f>
        <v/>
      </c>
      <c r="ED9" s="155">
        <f>'INVOCAÇÕES'!$AN$211&amp;""</f>
        <v/>
      </c>
      <c r="EE9" s="155">
        <f>N('INVOCAÇÕES'!$AP$211)</f>
        <v/>
      </c>
      <c r="EF9" s="155">
        <f>'INVOCAÇÕES'!$AR$211&amp;""</f>
        <v/>
      </c>
      <c r="EG9" s="155">
        <f>SUM('INVOCAÇÕES'!$AR$231:'INVOCAÇÕES'!$AR$233,'INVOCAÇÕES'!$AR$235:'INVOCAÇÕES'!$AR$240)</f>
        <v/>
      </c>
      <c r="EH9" s="155">
        <f>'INVOCAÇÕES'!$AN$216&amp;""</f>
        <v/>
      </c>
      <c r="EI9" s="155">
        <f>'INVOCAÇÕES'!$AO$216&amp;""</f>
        <v/>
      </c>
      <c r="EJ9" s="155">
        <f>'INVOCAÇÕES'!$AH$246&amp;""</f>
        <v/>
      </c>
      <c r="EK9" s="155">
        <f>'INVOCAÇÕES'!$AI$246&amp;""</f>
        <v/>
      </c>
      <c r="EL9" s="155">
        <f>'INVOCAÇÕES'!$AJ$246&amp;""</f>
        <v/>
      </c>
      <c r="EM9" s="155">
        <f>'INVOCAÇÕES'!$AK$246&amp;""</f>
        <v/>
      </c>
      <c r="EN9" s="155">
        <f>'INVOCAÇÕES'!$AL$246&amp;""</f>
        <v/>
      </c>
      <c r="EO9" s="155">
        <f>'INVOCAÇÕES'!$AH$236&amp;""</f>
        <v/>
      </c>
      <c r="EP9" s="155">
        <f>'INVOCAÇÕES'!$AH$237&amp;""</f>
        <v/>
      </c>
      <c r="EQ9" s="155">
        <f>'INVOCAÇÕES'!$AH$238&amp;""</f>
        <v/>
      </c>
      <c r="ER9" s="155">
        <f>'INVOCAÇÕES'!$AH$239&amp;""</f>
        <v/>
      </c>
      <c r="ES9" s="155">
        <f>'INVOCAÇÕES'!$AH$240&amp;""</f>
        <v/>
      </c>
      <c r="ET9" s="155">
        <f>'INVOCAÇÕES'!$AH$241&amp;""</f>
        <v/>
      </c>
      <c r="EU9" s="155">
        <f>'INVOCAÇÕES'!$AH$242&amp;""</f>
        <v/>
      </c>
      <c r="EV9" s="155">
        <f>'INVOCAÇÕES'!$AC$278&amp;""</f>
        <v/>
      </c>
      <c r="EW9" s="155">
        <f>'INVOCAÇÕES'!$AC$279&amp;""</f>
        <v/>
      </c>
      <c r="EX9" s="155">
        <f>'INVOCAÇÕES'!$AC$280&amp;""</f>
        <v/>
      </c>
      <c r="EY9" s="155">
        <f>'INVOCAÇÕES'!$AC$281&amp;""</f>
        <v/>
      </c>
      <c r="EZ9" s="155">
        <f>'INVOCAÇÕES'!$AC$282&amp;""</f>
        <v/>
      </c>
      <c r="FA9" s="155">
        <f>'INVOCAÇÕES'!$AC$283&amp;""</f>
        <v/>
      </c>
      <c r="FB9" s="155">
        <f>'INVOCAÇÕES'!$AC$284&amp;""</f>
        <v/>
      </c>
      <c r="FC9" s="155">
        <f>'INVOCAÇÕES'!$AC$285&amp;""</f>
        <v/>
      </c>
      <c r="FD9" s="155">
        <f>'INVOCAÇÕES'!$AC$380&amp;""</f>
        <v/>
      </c>
      <c r="FE9" s="155">
        <f>'INVOCAÇÕES'!$AC$381&amp;""</f>
        <v/>
      </c>
      <c r="FF9" s="155">
        <f>'INVOCAÇÕES'!$AC$382&amp;""</f>
        <v/>
      </c>
      <c r="FG9" s="155">
        <f>MAX(3,MIN(7,N('INVOCAÇÕES'!$AB$387)))</f>
        <v/>
      </c>
      <c r="FH9" s="155">
        <f>MAX(3,MIN(7,N('INVOCAÇÕES'!$AH$387)))</f>
        <v/>
      </c>
      <c r="FI9" s="155">
        <f>MAX(3,MIN(7,N('INVOCAÇÕES'!$AN$387)))</f>
        <v/>
      </c>
      <c r="FJ9" s="155">
        <f>'INVOCAÇÕES'!$AH$401&amp;""</f>
        <v/>
      </c>
      <c r="FK9" s="155">
        <f>IF($DC9&lt;&gt;"",1,0)</f>
        <v/>
      </c>
      <c r="FL9" s="155">
        <f>IFERROR(VLOOKUP($DE9,$BP$2:$BQ$5,2,FALSE),1)</f>
        <v/>
      </c>
      <c r="FM9" s="155">
        <f>IF($FL9=1,$CZ$2,MAX(1,MIN($CZ$2,IF($DF9=0,$CZ$2,$DF9))))</f>
        <v/>
      </c>
      <c r="FN9" s="155">
        <f>VLOOKUP(MAX(1,$FM9),$A$2:$D$8,2,TRUE)</f>
        <v/>
      </c>
      <c r="FO9" s="155">
        <f>VLOOKUP(MAX(1,$FM9),$A$2:$D$8,3,TRUE)</f>
        <v/>
      </c>
      <c r="FP9" s="155">
        <f>$DH9+$DM9</f>
        <v/>
      </c>
      <c r="FQ9" s="155">
        <f>$DI9+$DN9</f>
        <v/>
      </c>
      <c r="FR9" s="155">
        <f>$DJ9+$DO9</f>
        <v/>
      </c>
      <c r="FS9" s="155">
        <f>$DK9+$DP9</f>
        <v/>
      </c>
      <c r="FT9" s="155">
        <f>$DL9+$DQ9</f>
        <v/>
      </c>
      <c r="FU9" s="155">
        <f>SUM($DH9:$DL9)</f>
        <v/>
      </c>
      <c r="FV9" s="155">
        <f>9+$FW9</f>
        <v/>
      </c>
      <c r="FW9" s="155">
        <f>COUNTIF($F$2:$F$8,"&lt;="&amp;$FM9)</f>
        <v/>
      </c>
      <c r="FX9" s="155">
        <f>MAX(0,$DH9-3)+MAX(0,$DI9-3)+MAX(0,$DJ9-3)+MAX(0,$DK9-3)+MAX(0,$DL9-3)</f>
        <v/>
      </c>
      <c r="FY9" s="155">
        <f>IFERROR(INDEX($FP9:$FT9,1,MATCH($DR9,$BU$2:$BU$6,0)),"")</f>
        <v/>
      </c>
      <c r="FZ9" s="155">
        <f>IF($FY9="","",$FY9+$CZ$3+$DU9)</f>
        <v/>
      </c>
      <c r="GA9" s="155">
        <f>IF($FY9="","",8+$FY9+$CZ$3+$DV9)</f>
        <v/>
      </c>
      <c r="GB9" s="155">
        <f>10+$FQ9+$CZ$7+$DW9</f>
        <v/>
      </c>
      <c r="GC9" s="155">
        <f>IF($DD9="Corpo amaldiçoado de criação",1,0)</f>
        <v/>
      </c>
      <c r="GD9" s="155">
        <f>5+$FR9+(3+$GC9+$FR9)*($FM9-1)+$DX9</f>
        <v/>
      </c>
      <c r="GE9" s="155">
        <f>IF($FK9=0,"",$GD9)</f>
        <v/>
      </c>
      <c r="GF9" s="155">
        <f>IF($ED9="",$GD9,MAX(0,MIN(IFERROR(VALUE($ED9),$GD9),$GD9)))</f>
        <v/>
      </c>
      <c r="GG9" s="155">
        <f>IF(AND($FK9=1,$EH9&lt;&gt;"Sem alma"),MAX(1,INT($GD9/2)),"")</f>
        <v/>
      </c>
      <c r="GH9" s="155">
        <f>$GG9</f>
        <v/>
      </c>
      <c r="GI9" s="155">
        <f>IF($GG9="","",IF($EI9="",$GG9,MAX(0,MIN(IFERROR(VALUE($EI9),$GG9),$GG9))))</f>
        <v/>
      </c>
      <c r="GJ9" s="155">
        <f>IF($FK9=0,"",IF($GG9="","—",$GG9))</f>
        <v/>
      </c>
      <c r="GK9" s="155">
        <f>IF($FK9=0,"",IF($GG9="","Sem alma · imune a dano de Alma",IF($GI9&lt;=0,"Estágio 4 · caída, como a zero de vida",IF($GI9&lt;=$GG9/4,"Estágio 3 · desvantagem em ataques e TRs, Classe pela metade",IF($GI9&lt;=$GG9/2,"Estágio 2 · metade do deslocamento, +1 PE por Classe",IF($GI9&lt;=$GG9*3/4,"Estágio 1 · desvantagem em perícias","Alma inteira"))))))</f>
        <v/>
      </c>
      <c r="GL9" s="155">
        <f>9+$DY9</f>
        <v/>
      </c>
      <c r="GM9" s="155">
        <f>IF($DS9="Destreza",$FQ9,$FP9)</f>
        <v/>
      </c>
      <c r="GN9" s="155">
        <f>$GM9+IF($DT9="Físico",$CZ$3,0)+$DZ9</f>
        <v/>
      </c>
      <c r="GO9" s="155">
        <f>$FR9+IF($DT9="Vigor",$CZ$3,0)+$EA9</f>
        <v/>
      </c>
      <c r="GP9" s="155">
        <f>$FS9+IF($DT9="Intelecto",$CZ$3,0)+$EB9</f>
        <v/>
      </c>
      <c r="GQ9" s="155">
        <f>$FT9+IF($DT9="Espírito",$CZ$3,0)+$EC9</f>
        <v/>
      </c>
      <c r="GR9" s="155">
        <f>4+INT($DK9/2)</f>
        <v/>
      </c>
      <c r="GS9" s="155">
        <f>COUNTIF($EO9:$EU9,"?*")</f>
        <v/>
      </c>
      <c r="GT9" s="155">
        <f>INT((2+$FM9/2)/2)</f>
        <v/>
      </c>
      <c r="GU9" s="155">
        <f>IF($FM9&gt;=11,2,1)</f>
        <v/>
      </c>
      <c r="GV9" s="155">
        <f>1+$FW9</f>
        <v/>
      </c>
      <c r="GW9" s="155">
        <f>COUNTIF($EV9:$FC9,"?*")</f>
        <v/>
      </c>
      <c r="GX9" s="155">
        <f>IF(AND($DD9="Shikigami de criação",$DG9="Com carga"),MAX(1,CEILING($FN9/2,1)),$FN9)</f>
        <v/>
      </c>
      <c r="GY9" s="155">
        <f>$FN9+$GX9</f>
        <v/>
      </c>
      <c r="GZ9" s="155">
        <f>$FM9*(1+INT($DL9/3))</f>
        <v/>
      </c>
      <c r="HA9" s="155">
        <f>5+$FP9</f>
        <v/>
      </c>
      <c r="HB9" s="155">
        <f>COUNTIF($EJ9:$EN9,"?*")</f>
        <v/>
      </c>
      <c r="HC9" s="155">
        <f>IF($EJ9="",0,IF(COUNTIF($EJ9:$EN9,$EJ9)&gt;1,1,0))+IF($EK9="",0,IF(COUNTIF($EJ9:$EN9,$EK9)&gt;1,1,0))+IF($EL9="",0,IF(COUNTIF($EJ9:$EN9,$EL9)&gt;1,1,0))+IF($EM9="",0,IF(COUNTIF($EJ9:$EN9,$EM9)&gt;1,1,0))+IF($EN9="",0,IF(COUNTIF($EJ9:$EN9,$EN9)&gt;1,1,0))</f>
        <v/>
      </c>
      <c r="HD9" s="155">
        <f>$CZ$11</f>
        <v/>
      </c>
      <c r="HE9" s="155">
        <f>IF($FK9=0,"INVOCAÇÃO 8 · lugar vazio",$DC9&amp;" · "&amp;$DD9&amp;" · nível "&amp;$FM9&amp;" · vida "&amp;$GF9&amp;" de "&amp;$GD9)</f>
        <v/>
      </c>
      <c r="HF9" s="155">
        <f>IF($FK9=0,"VAZIA",UPPER($DC9))</f>
        <v/>
      </c>
      <c r="HG9" s="155">
        <f>IF($CZ$3&gt;=0,"+","−")&amp;ABS($CZ$3)</f>
        <v/>
      </c>
      <c r="HH9" s="155">
        <f>$GX9&amp;" PE"</f>
        <v/>
      </c>
      <c r="HI9" s="155">
        <f>$GY9&amp;" PE"</f>
        <v/>
      </c>
      <c r="HJ9" s="155">
        <f>IF(OR($FU9&gt;$FV9,$FX9&gt;$FW9),"⚠ ",IF(AND($FK9=1,$FU9&lt;$FV9),"! ",""))&amp;"ATRIBUTOS · "&amp;$FU9&amp;" DE "&amp;$FV9&amp;" PONTOS"&amp;IF($FX9&gt;$FW9," · ACIMA DE 3 SÓ COM MARCO","")</f>
        <v/>
      </c>
      <c r="HK9" s="155">
        <f>IF($FZ9="","",IF($FZ9&gt;=0,"+","−")&amp;ABS($FZ9))</f>
        <v/>
      </c>
      <c r="HL9" s="155">
        <f>IF($GA9="","",$GA9)</f>
        <v/>
      </c>
      <c r="HM9" s="155">
        <f>SUBSTITUTE($GL9&amp;" m",".",",")</f>
        <v/>
      </c>
      <c r="HN9" s="155">
        <f>IF($GN9&gt;=0,"+","−")&amp;ABS($GN9)</f>
        <v/>
      </c>
      <c r="HO9" s="155">
        <f>IF($GO9&gt;=0,"+","−")&amp;ABS($GO9)</f>
        <v/>
      </c>
      <c r="HP9" s="155">
        <f>IF($GP9&gt;=0,"+","−")&amp;ABS($GP9)</f>
        <v/>
      </c>
      <c r="HQ9" s="155">
        <f>IF($GQ9&gt;=0,"+","−")&amp;ABS($GQ9)</f>
        <v/>
      </c>
      <c r="HR9" s="155">
        <f>IF($GS9&gt;$GR9,"⚠ ","")&amp;"PERÍCIAS · "&amp;$GS9&amp;" DE "&amp;$GR9</f>
        <v/>
      </c>
      <c r="HS9" s="155">
        <f>IF($EO9="","",IFERROR(IF((INDEX($FP9:$FT9,1,MATCH(VLOOKUP($EO9,$CC$2:$CD$24,2,FALSE),$BU$2:$BU$6,0))+$CZ$3)&gt;=0,"+","−")&amp;ABS((INDEX($FP9:$FT9,1,MATCH(VLOOKUP($EO9,$CC$2:$CD$24,2,FALSE),$BU$2:$BU$6,0))+$CZ$3)),""))</f>
        <v/>
      </c>
      <c r="HT9" s="155">
        <f>IF($EP9="","",IFERROR(IF((INDEX($FP9:$FT9,1,MATCH(VLOOKUP($EP9,$CC$2:$CD$24,2,FALSE),$BU$2:$BU$6,0))+$CZ$3)&gt;=0,"+","−")&amp;ABS((INDEX($FP9:$FT9,1,MATCH(VLOOKUP($EP9,$CC$2:$CD$24,2,FALSE),$BU$2:$BU$6,0))+$CZ$3)),""))</f>
        <v/>
      </c>
      <c r="HU9" s="155">
        <f>IF($EQ9="","",IFERROR(IF((INDEX($FP9:$FT9,1,MATCH(VLOOKUP($EQ9,$CC$2:$CD$24,2,FALSE),$BU$2:$BU$6,0))+$CZ$3)&gt;=0,"+","−")&amp;ABS((INDEX($FP9:$FT9,1,MATCH(VLOOKUP($EQ9,$CC$2:$CD$24,2,FALSE),$BU$2:$BU$6,0))+$CZ$3)),""))</f>
        <v/>
      </c>
      <c r="HV9" s="155">
        <f>IF($ER9="","",IFERROR(IF((INDEX($FP9:$FT9,1,MATCH(VLOOKUP($ER9,$CC$2:$CD$24,2,FALSE),$BU$2:$BU$6,0))+$CZ$3)&gt;=0,"+","−")&amp;ABS((INDEX($FP9:$FT9,1,MATCH(VLOOKUP($ER9,$CC$2:$CD$24,2,FALSE),$BU$2:$BU$6,0))+$CZ$3)),""))</f>
        <v/>
      </c>
      <c r="HW9" s="155">
        <f>IF($ES9="","",IFERROR(IF((INDEX($FP9:$FT9,1,MATCH(VLOOKUP($ES9,$CC$2:$CD$24,2,FALSE),$BU$2:$BU$6,0))+$CZ$3)&gt;=0,"+","−")&amp;ABS((INDEX($FP9:$FT9,1,MATCH(VLOOKUP($ES9,$CC$2:$CD$24,2,FALSE),$BU$2:$BU$6,0))+$CZ$3)),""))</f>
        <v/>
      </c>
      <c r="HX9" s="155">
        <f>IF($ET9="","",IFERROR(IF((INDEX($FP9:$FT9,1,MATCH(VLOOKUP($ET9,$CC$2:$CD$24,2,FALSE),$BU$2:$BU$6,0))+$CZ$3)&gt;=0,"+","−")&amp;ABS((INDEX($FP9:$FT9,1,MATCH(VLOOKUP($ET9,$CC$2:$CD$24,2,FALSE),$BU$2:$BU$6,0))+$CZ$3)),""))</f>
        <v/>
      </c>
      <c r="HY9" s="155">
        <f>IF($EU9="","",IFERROR(IF((INDEX($FP9:$FT9,1,MATCH(VLOOKUP($EU9,$CC$2:$CD$24,2,FALSE),$BU$2:$BU$6,0))+$CZ$3)&gt;=0,"+","−")&amp;ABS((INDEX($FP9:$FT9,1,MATCH(VLOOKUP($EU9,$CC$2:$CD$24,2,FALSE),$BU$2:$BU$6,0))+$CZ$3)),""))</f>
        <v/>
      </c>
      <c r="HZ9" s="155">
        <f>IF($DD9="Maldição domada","RESERVA · MÁX. "&amp;$GZ9,"RESERVA DE PE")</f>
        <v/>
      </c>
      <c r="IA9" s="155">
        <f>IF($EG9&gt;$HA9,"⚠ ","")&amp;"EQUIPAMENTO · "&amp;$EG9&amp;" DE "&amp;$HA9&amp;" DE VOLUME"&amp;IF($EG9&gt;$HA9," · PASSOU DO LIMITE","")</f>
        <v/>
      </c>
      <c r="IB9" s="155">
        <f>IF(OR($HC9&gt;0,$HB9&gt;$HD9),"⚠ ","")&amp;"FAMÍLIAS · "&amp;$HB9&amp;" ABERTAS"&amp;IF($HC9&gt;0," · REPETIDA","")&amp;IF($HB9&gt;$HD9," · O LIMITE É "&amp;$HD9,"")</f>
        <v/>
      </c>
      <c r="IC9" s="155">
        <f>"HABILIDADES · básica de "&amp;$FO9&amp;"d6 · "&amp;$GT9&amp;IF($GT9&gt;1," espaços"," espaço")&amp;" de especial até a Classe "&amp;$FN9&amp;" · "&amp;$GV9&amp;IF($GV9&gt;1," talentos"," talento")</f>
        <v/>
      </c>
      <c r="ID9" s="155">
        <f>IF($GW9&gt;$GV9,"⚠ ","")&amp;"TALENTOS · "&amp;$GW9&amp;" DE "&amp;$GV9</f>
        <v/>
      </c>
      <c r="IE9" s="155">
        <f>IFERROR(VLOOKUP($EV9,$BI$2:$BL$15,2,FALSE),0)</f>
        <v/>
      </c>
      <c r="IF9" s="155">
        <f>IFERROR(VLOOKUP($EW9,$BI$2:$BL$15,2,FALSE),0)</f>
        <v/>
      </c>
      <c r="IG9" s="155">
        <f>IFERROR(VLOOKUP($EX9,$BI$2:$BL$15,2,FALSE),0)</f>
        <v/>
      </c>
      <c r="IH9" s="155">
        <f>IFERROR(VLOOKUP($EY9,$BI$2:$BL$15,2,FALSE),0)</f>
        <v/>
      </c>
      <c r="II9" s="155">
        <f>IFERROR(VLOOKUP($EZ9,$BI$2:$BL$15,2,FALSE),0)</f>
        <v/>
      </c>
      <c r="IJ9" s="155">
        <f>IFERROR(VLOOKUP($FA9,$BI$2:$BL$15,2,FALSE),0)</f>
        <v/>
      </c>
      <c r="IK9" s="155">
        <f>IFERROR(VLOOKUP($FB9,$BI$2:$BL$15,2,FALSE),0)</f>
        <v/>
      </c>
      <c r="IL9" s="155">
        <f>IFERROR(VLOOKUP($FC9,$BI$2:$BL$15,2,FALSE),0)</f>
        <v/>
      </c>
      <c r="IM9" s="155">
        <f>IF($EV9="","",IF(1&gt;$FM9,"⚠ Este talento abre no nível 1",IF($IE9&gt;1,"⚠ Categoria "&amp;$IE9&amp;": este ganho vai até a 1 · ","")&amp;IFERROR(VLOOKUP($EV9,$BI$2:$BL$15,3,FALSE),"")))</f>
        <v/>
      </c>
      <c r="IN9" s="155">
        <f>IF($EW9="","",IF(6&gt;$FM9,"⚠ Este talento abre no nível 6",IF($IF9&gt;1,"⚠ Categoria "&amp;$IF9&amp;": este ganho vai até a 1 · ","")&amp;IFERROR(VLOOKUP($EW9,$BI$2:$BL$15,3,FALSE),"")))</f>
        <v/>
      </c>
      <c r="IO9" s="155">
        <f>IF($EX9="","",IF(10&gt;$FM9,"⚠ Este talento abre no nível 10",IF($IG9&gt;2,"⚠ Categoria "&amp;$IG9&amp;": este ganho vai até a 2 · ","")&amp;IFERROR(VLOOKUP($EX9,$BI$2:$BL$15,3,FALSE),"")))</f>
        <v/>
      </c>
      <c r="IP9" s="155">
        <f>IF($EY9="","",IF(14&gt;$FM9,"⚠ Este talento abre no nível 14",IF($IH9&gt;3,"⚠ Categoria "&amp;$IH9&amp;": este ganho vai até a 3 · ","")&amp;IFERROR(VLOOKUP($EY9,$BI$2:$BL$15,3,FALSE),"")))</f>
        <v/>
      </c>
      <c r="IQ9" s="155">
        <f>IF($EZ9="","",IF(18&gt;$FM9,"⚠ Este talento abre no nível 18",IF($II9&gt;3,"⚠ Categoria "&amp;$II9&amp;": este ganho vai até a 3 · ","")&amp;IFERROR(VLOOKUP($EZ9,$BI$2:$BL$15,3,FALSE),"")))</f>
        <v/>
      </c>
      <c r="IR9" s="155">
        <f>IF($FA9="","",IF(22&gt;$FM9,"⚠ Este talento abre no nível 22",IF($IJ9&gt;3,"⚠ Categoria "&amp;$IJ9&amp;": este ganho vai até a 3 · ","")&amp;IFERROR(VLOOKUP($FA9,$BI$2:$BL$15,3,FALSE),"")))</f>
        <v/>
      </c>
      <c r="IS9" s="155">
        <f>IF($FB9="","",IF(26&gt;$FM9,"⚠ Este talento abre no nível 26",IF($IK9&gt;3,"⚠ Categoria "&amp;$IK9&amp;": este ganho vai até a 3 · ","")&amp;IFERROR(VLOOKUP($FB9,$BI$2:$BL$15,3,FALSE),"")))</f>
        <v/>
      </c>
      <c r="IT9" s="155">
        <f>IF($FC9="","",IF(30&gt;$FM9,"⚠ Este talento abre no nível 30",IF($IL9&gt;3,"⚠ Categoria "&amp;$IL9&amp;": este ganho vai até a 3 · ","")&amp;IFERROR(VLOOKUP($FC9,$BI$2:$BL$15,3,FALSE),"")))</f>
        <v/>
      </c>
      <c r="IU9" s="155">
        <f>IF($FD9="","",IFERROR(VLOOKUP($FD9,$BI$2:$BL$15,3,FALSE),""))</f>
        <v/>
      </c>
      <c r="IV9" s="155">
        <f>IF($FE9="","",IFERROR(VLOOKUP($FE9,$BI$2:$BL$15,3,FALSE),""))</f>
        <v/>
      </c>
      <c r="IW9" s="155">
        <f>IF($FF9="","",IFERROR(VLOOKUP($FF9,$BI$2:$BL$15,3,FALSE),""))</f>
        <v/>
      </c>
      <c r="IX9" s="155">
        <f>CEILING(4.5*$FG9,1)&amp;" PE"</f>
        <v/>
      </c>
      <c r="IY9" s="155">
        <f>CEILING(4.5*$FH9,1)&amp;" PE"</f>
        <v/>
      </c>
      <c r="IZ9" s="155">
        <f>CEILING(4.5*$FI9,1)&amp;" PE"</f>
        <v/>
      </c>
      <c r="JA9" s="155">
        <f>INDEX($P$2:$P$8,$FG9)&amp;" pontos + "&amp;$FG9&amp;"d8"</f>
        <v/>
      </c>
      <c r="JB9" s="155">
        <f>INDEX($P$2:$P$8,$FH9)&amp;" pontos + "&amp;$FH9&amp;"d8"</f>
        <v/>
      </c>
      <c r="JC9" s="155">
        <f>INDEX($P$2:$P$8,$FI9)&amp;" pontos + "&amp;$FI9&amp;"d8"</f>
        <v/>
      </c>
      <c r="JD9" s="155">
        <f>IF($FM9&lt;17,"—",VLOOKUP($FM9,$CN$2:$CQ$4,4,TRUE)&amp;" PE")</f>
        <v/>
      </c>
      <c r="JE9" s="155">
        <f>IF($FM9&lt;17,"Abre no nível 17",VLOOKUP($FM9,$CN$2:$CQ$4,2,TRUE)&amp;" fixos · "&amp;VLOOKUP($FM9,$CN$2:$CQ$4,3,TRUE)&amp;" pontos")</f>
        <v/>
      </c>
      <c r="JF9" s="155">
        <f>IF($FJ9="Sem Barreiras",7,6)*$FN9&amp;" PE"</f>
        <v/>
      </c>
      <c r="JG9" s="155">
        <f>"Acerto "&amp;$FN9&amp;"d8"</f>
        <v/>
      </c>
      <c r="JH9" s="155">
        <f>IFERROR(VLOOKUP($FJ9,$CS$2:$CU$4,3,FALSE),"Escolha o degrau")</f>
        <v/>
      </c>
      <c r="JI9" s="155">
        <f>8&amp;" · "&amp;IF($FK9=0,"vazia",$DC9&amp;" · nv "&amp;$FM9&amp;" · "&amp;$GF9&amp;"/"&amp;$GD9)</f>
        <v/>
      </c>
      <c r="JM9" s="153" t="inlineStr">
        <is>
          <t>Invocação 8</t>
        </is>
      </c>
      <c r="JN9" s="155">
        <f>ADDRESS(ROW('INVOCAÇÕES'!D28),COLUMN('INVOCAÇÕES'!D28),4)</f>
        <v/>
      </c>
      <c r="JO9" s="155">
        <f>ADDRESS(ROW('INVOCAÇÕES'!AA207),COLUMN('INVOCAÇÕES'!AA207),4)</f>
        <v/>
      </c>
      <c r="JP9" s="153" t="inlineStr">
        <is>
          <t>DADOS_INVOC!$JI$9</t>
        </is>
      </c>
      <c r="JR9" s="155">
        <f>IF(OR($AW9="",COUNTIF($EJ$2:$EN$2,$AW9)&gt;0),$AV9,"")</f>
        <v/>
      </c>
      <c r="JS9" s="155">
        <f>IF(AND($AX9=1,OR($AW9="",COUNTIF($EJ$2:$EN$2,$AW9)&gt;0)),$AV9,"")</f>
        <v/>
      </c>
      <c r="JU9" s="155">
        <f>IF(OR($W9="",COUNTIF($EJ$2:$EN$2,$W9)&gt;0),$V9,"")</f>
        <v/>
      </c>
      <c r="JV9" s="155">
        <f>IF(AND($AF9=1,OR($W9="",COUNTIF($EJ$2:$EN$2,$W9)&gt;0)),$V9,"")</f>
        <v/>
      </c>
      <c r="JX9" s="155">
        <f>IF(OR($AW9="",COUNTIF($EJ$3:$EN$3,$AW9)&gt;0),$AV9,"")</f>
        <v/>
      </c>
      <c r="JY9" s="155">
        <f>IF(AND($AX9=1,OR($AW9="",COUNTIF($EJ$3:$EN$3,$AW9)&gt;0)),$AV9,"")</f>
        <v/>
      </c>
      <c r="KA9" s="155">
        <f>IF(OR($W9="",COUNTIF($EJ$3:$EN$3,$W9)&gt;0),$V9,"")</f>
        <v/>
      </c>
      <c r="KB9" s="155">
        <f>IF(AND($AF9=1,OR($W9="",COUNTIF($EJ$3:$EN$3,$W9)&gt;0)),$V9,"")</f>
        <v/>
      </c>
      <c r="KD9" s="155">
        <f>IF(OR($AW9="",COUNTIF($EJ$4:$EN$4,$AW9)&gt;0),$AV9,"")</f>
        <v/>
      </c>
      <c r="KE9" s="155">
        <f>IF(AND($AX9=1,OR($AW9="",COUNTIF($EJ$4:$EN$4,$AW9)&gt;0)),$AV9,"")</f>
        <v/>
      </c>
      <c r="KG9" s="155">
        <f>IF(OR($W9="",COUNTIF($EJ$4:$EN$4,$W9)&gt;0),$V9,"")</f>
        <v/>
      </c>
      <c r="KH9" s="155">
        <f>IF(AND($AF9=1,OR($W9="",COUNTIF($EJ$4:$EN$4,$W9)&gt;0)),$V9,"")</f>
        <v/>
      </c>
      <c r="KJ9" s="155">
        <f>IF(OR($AW9="",COUNTIF($EJ$5:$EN$5,$AW9)&gt;0),$AV9,"")</f>
        <v/>
      </c>
      <c r="KK9" s="155">
        <f>IF(AND($AX9=1,OR($AW9="",COUNTIF($EJ$5:$EN$5,$AW9)&gt;0)),$AV9,"")</f>
        <v/>
      </c>
      <c r="KM9" s="155">
        <f>IF(OR($W9="",COUNTIF($EJ$5:$EN$5,$W9)&gt;0),$V9,"")</f>
        <v/>
      </c>
      <c r="KN9" s="155">
        <f>IF(AND($AF9=1,OR($W9="",COUNTIF($EJ$5:$EN$5,$W9)&gt;0)),$V9,"")</f>
        <v/>
      </c>
      <c r="KP9" s="155">
        <f>IF(OR($AW9="",COUNTIF($EJ$6:$EN$6,$AW9)&gt;0),$AV9,"")</f>
        <v/>
      </c>
      <c r="KQ9" s="155">
        <f>IF(AND($AX9=1,OR($AW9="",COUNTIF($EJ$6:$EN$6,$AW9)&gt;0)),$AV9,"")</f>
        <v/>
      </c>
      <c r="KS9" s="155">
        <f>IF(OR($W9="",COUNTIF($EJ$6:$EN$6,$W9)&gt;0),$V9,"")</f>
        <v/>
      </c>
      <c r="KT9" s="155">
        <f>IF(AND($AF9=1,OR($W9="",COUNTIF($EJ$6:$EN$6,$W9)&gt;0)),$V9,"")</f>
        <v/>
      </c>
      <c r="KV9" s="155">
        <f>IF(OR($AW9="",COUNTIF($EJ$7:$EN$7,$AW9)&gt;0),$AV9,"")</f>
        <v/>
      </c>
      <c r="KW9" s="155">
        <f>IF(AND($AX9=1,OR($AW9="",COUNTIF($EJ$7:$EN$7,$AW9)&gt;0)),$AV9,"")</f>
        <v/>
      </c>
      <c r="KY9" s="155">
        <f>IF(OR($W9="",COUNTIF($EJ$7:$EN$7,$W9)&gt;0),$V9,"")</f>
        <v/>
      </c>
      <c r="KZ9" s="155">
        <f>IF(AND($AF9=1,OR($W9="",COUNTIF($EJ$7:$EN$7,$W9)&gt;0)),$V9,"")</f>
        <v/>
      </c>
      <c r="LB9" s="155">
        <f>IF(OR($AW9="",COUNTIF($EJ$8:$EN$8,$AW9)&gt;0),$AV9,"")</f>
        <v/>
      </c>
      <c r="LC9" s="155">
        <f>IF(AND($AX9=1,OR($AW9="",COUNTIF($EJ$8:$EN$8,$AW9)&gt;0)),$AV9,"")</f>
        <v/>
      </c>
      <c r="LE9" s="155">
        <f>IF(OR($W9="",COUNTIF($EJ$8:$EN$8,$W9)&gt;0),$V9,"")</f>
        <v/>
      </c>
      <c r="LF9" s="155">
        <f>IF(AND($AF9=1,OR($W9="",COUNTIF($EJ$8:$EN$8,$W9)&gt;0)),$V9,"")</f>
        <v/>
      </c>
      <c r="LH9" s="155">
        <f>IF(OR($AW9="",COUNTIF($EJ$9:$EN$9,$AW9)&gt;0),$AV9,"")</f>
        <v/>
      </c>
      <c r="LI9" s="155">
        <f>IF(AND($AX9=1,OR($AW9="",COUNTIF($EJ$9:$EN$9,$AW9)&gt;0)),$AV9,"")</f>
        <v/>
      </c>
      <c r="LK9" s="155">
        <f>IF(OR($W9="",COUNTIF($EJ$9:$EN$9,$W9)&gt;0),$V9,"")</f>
        <v/>
      </c>
      <c r="LL9" s="155">
        <f>IF(AND($AF9=1,OR($W9="",COUNTIF($EJ$9:$EN$9,$W9)&gt;0)),$V9,"")</f>
        <v/>
      </c>
      <c r="LN9" s="155">
        <f>IF(OR($AW9="",COUNTIF($EJ$10:$EN$10,$AW9)&gt;0),$AV9,"")</f>
        <v/>
      </c>
      <c r="LO9" s="155">
        <f>IF(AND($AX9=1,OR($AW9="",COUNTIF($EJ$10:$EN$10,$AW9)&gt;0)),$AV9,"")</f>
        <v/>
      </c>
      <c r="LQ9" s="155">
        <f>IF(OR($W9="",COUNTIF($EJ$10:$EN$10,$W9)&gt;0),$V9,"")</f>
        <v/>
      </c>
      <c r="LR9" s="155">
        <f>IF(AND($AF9=1,OR($W9="",COUNTIF($EJ$10:$EN$10,$W9)&gt;0)),$V9,"")</f>
        <v/>
      </c>
      <c r="LT9" s="155">
        <f>IF(OR($AW9="",COUNTIF($EJ$11:$EN$11,$AW9)&gt;0),$AV9,"")</f>
        <v/>
      </c>
      <c r="LU9" s="155">
        <f>IF(AND($AX9=1,OR($AW9="",COUNTIF($EJ$11:$EN$11,$AW9)&gt;0)),$AV9,"")</f>
        <v/>
      </c>
      <c r="LW9" s="155">
        <f>IF(OR($W9="",COUNTIF($EJ$11:$EN$11,$W9)&gt;0),$V9,"")</f>
        <v/>
      </c>
      <c r="LX9" s="155">
        <f>IF(AND($AF9=1,OR($W9="",COUNTIF($EJ$11:$EN$11,$W9)&gt;0)),$V9,"")</f>
        <v/>
      </c>
      <c r="LZ9" s="155">
        <f>IF(OR($AW9="",COUNTIF($EJ$12:$EN$12,$AW9)&gt;0),$AV9,"")</f>
        <v/>
      </c>
      <c r="MA9" s="155">
        <f>IF(AND($AX9=1,OR($AW9="",COUNTIF($EJ$12:$EN$12,$AW9)&gt;0)),$AV9,"")</f>
        <v/>
      </c>
      <c r="MC9" s="155">
        <f>IF(OR($W9="",COUNTIF($EJ$12:$EN$12,$W9)&gt;0),$V9,"")</f>
        <v/>
      </c>
      <c r="MD9" s="155">
        <f>IF(AND($AF9=1,OR($W9="",COUNTIF($EJ$12:$EN$12,$W9)&gt;0)),$V9,"")</f>
        <v/>
      </c>
      <c r="MF9" s="155">
        <f>IF(OR($AW9="",COUNTIF($EJ$13:$EN$13,$AW9)&gt;0),$AV9,"")</f>
        <v/>
      </c>
      <c r="MG9" s="155">
        <f>IF(AND($AX9=1,OR($AW9="",COUNTIF($EJ$13:$EN$13,$AW9)&gt;0)),$AV9,"")</f>
        <v/>
      </c>
      <c r="MI9" s="155">
        <f>IF(OR($W9="",COUNTIF($EJ$13:$EN$13,$W9)&gt;0),$V9,"")</f>
        <v/>
      </c>
      <c r="MJ9" s="155">
        <f>IF(AND($AF9=1,OR($W9="",COUNTIF($EJ$13:$EN$13,$W9)&gt;0)),$V9,"")</f>
        <v/>
      </c>
      <c r="ML9" s="153" t="inlineStr">
        <is>
          <t>Ficha 1 · Especial 6</t>
        </is>
      </c>
      <c r="MM9" s="155" t="n">
        <v>1</v>
      </c>
      <c r="MN9" s="155" t="n">
        <v>1</v>
      </c>
      <c r="MO9" s="155" t="n">
        <v>20</v>
      </c>
      <c r="MP9" s="153" t="inlineStr">
        <is>
          <t>ESPECIAL 6</t>
        </is>
      </c>
      <c r="MQ9" s="155">
        <f>MAX(1,MIN(7,N('INVOCAÇÕES'!$O$114)))</f>
        <v/>
      </c>
      <c r="MR9" s="155">
        <f>'INVOCAÇÕES'!$P$114&amp;""</f>
        <v/>
      </c>
      <c r="MS9" s="155">
        <f>'INVOCAÇÕES'!$O$119&amp;""</f>
        <v/>
      </c>
      <c r="MT9" s="155">
        <f>'INVOCAÇÕES'!$O$120&amp;""</f>
        <v/>
      </c>
      <c r="MU9" s="155">
        <f>'INVOCAÇÕES'!$Q$120&amp;""</f>
        <v/>
      </c>
      <c r="MV9" s="155">
        <f>'INVOCAÇÕES'!$P$123&amp;""</f>
        <v/>
      </c>
      <c r="MW9" s="155">
        <f>'INVOCAÇÕES'!$P$124&amp;""</f>
        <v/>
      </c>
      <c r="MX9" s="155">
        <f>'INVOCAÇÕES'!$P$125&amp;""</f>
        <v/>
      </c>
      <c r="MY9" s="155">
        <f>'INVOCAÇÕES'!$P$126&amp;""</f>
        <v/>
      </c>
      <c r="MZ9" s="155">
        <f>'INVOCAÇÕES'!$P$127&amp;""</f>
        <v/>
      </c>
      <c r="NA9" s="155">
        <f>'INVOCAÇÕES'!$P$128&amp;""</f>
        <v/>
      </c>
      <c r="NB9" s="155">
        <f>IF($MR9&lt;&gt;"",1,0)</f>
        <v/>
      </c>
      <c r="NC9" s="155">
        <f>INDEX($FM$2:$FM$13,$MM9)</f>
        <v/>
      </c>
      <c r="ND9" s="155">
        <f>INDEX($FN$2:$FN$13,$MM9)</f>
        <v/>
      </c>
      <c r="NE9" s="155">
        <f>INDEX($FO$2:$FO$13,$MM9)</f>
        <v/>
      </c>
      <c r="NF9" s="155">
        <f>INDEX($FZ$2:$FZ$13,$MM9)</f>
        <v/>
      </c>
      <c r="NG9" s="155">
        <f>INDEX($GA$2:$GA$13,$MM9)</f>
        <v/>
      </c>
      <c r="NH9" s="155">
        <f>IFERROR(MATCH($MS9,$V$2:$V$11,0),0)</f>
        <v/>
      </c>
      <c r="NI9" s="155">
        <f>IFERROR(VLOOKUP($MV9,$AV$2:$BA$84,2,FALSE),"")</f>
        <v/>
      </c>
      <c r="NJ9" s="155">
        <f>IFERROR(VLOOKUP($MW9,$AV$2:$BA$84,2,FALSE),"")</f>
        <v/>
      </c>
      <c r="NK9" s="155">
        <f>IFERROR(VLOOKUP($MX9,$AV$2:$BA$84,2,FALSE),"")</f>
        <v/>
      </c>
      <c r="NL9" s="155">
        <f>IFERROR(VLOOKUP($MY9,$AV$2:$BA$84,2,FALSE),"")</f>
        <v/>
      </c>
      <c r="NM9" s="155">
        <f>IFERROR(VLOOKUP($MV9,$AV$2:$BA$84,3,FALSE),0)</f>
        <v/>
      </c>
      <c r="NN9" s="155">
        <f>IFERROR(VLOOKUP($MW9,$AV$2:$BA$84,3,FALSE),0)</f>
        <v/>
      </c>
      <c r="NO9" s="155">
        <f>IFERROR(VLOOKUP($MX9,$AV$2:$BA$84,3,FALSE),0)</f>
        <v/>
      </c>
      <c r="NP9" s="155">
        <f>IFERROR(VLOOKUP($MY9,$AV$2:$BA$84,3,FALSE),0)</f>
        <v/>
      </c>
      <c r="NQ9" s="155">
        <f>IF($MQ9=0,0,IF($NH9=0,0,INDEX($X$2:$X$11,$NH9)))</f>
        <v/>
      </c>
      <c r="NR9" s="155">
        <f>IF(OR($NM9=0,$MQ9=0),0,$NM9+3*IF(AND($NI9&lt;&gt;"",OR($NI9=INDEX($EJ$2:$EJ$13,$MM9),$NI9=INDEX($EK$2:$EK$13,$MM9))),1,0))</f>
        <v/>
      </c>
      <c r="NS9" s="155">
        <f>IF(OR($NN9=0,$MQ9=0),0,$NN9+3*IF(AND($NJ9&lt;&gt;"",OR($NJ9=INDEX($EJ$2:$EJ$13,$MM9),$NJ9=INDEX($EK$2:$EK$13,$MM9))),1,0))</f>
        <v/>
      </c>
      <c r="NT9" s="155">
        <f>IF(OR($NO9=0,$MQ9=0),0,$NO9+3*IF(AND($NK9&lt;&gt;"",OR($NK9=INDEX($EJ$2:$EJ$13,$MM9),$NK9=INDEX($EK$2:$EK$13,$MM9))),1,0))</f>
        <v/>
      </c>
      <c r="NU9" s="155">
        <f>IF(OR($NP9=0,$MQ9=0),0,$NP9+3*IF(AND($NL9&lt;&gt;"",OR($NL9=INDEX($EJ$2:$EJ$13,$MM9),$NL9=INDEX($EK$2:$EK$13,$MM9))),1,0))</f>
        <v/>
      </c>
      <c r="NV9" s="155">
        <f>IF($NH9=0,0,IF(INDEX($W$2:$W$11,$NH9)="",0,IF(COUNTIF(INDEX($EJ$2:$EN$13,$MM9,0),INDEX($W$2:$W$11,$NH9))=0,1,0)))</f>
        <v/>
      </c>
      <c r="NW9" s="155">
        <f>IF(OR($NM9=0,$NI9=""),0,IF(COUNTIF(INDEX($EJ$2:$EN$13,$MM9,0),$NI9)=0,1,0))</f>
        <v/>
      </c>
      <c r="NX9" s="155">
        <f>IF(OR($NN9=0,$NJ9=""),0,IF(COUNTIF(INDEX($EJ$2:$EN$13,$MM9,0),$NJ9)=0,1,0))</f>
        <v/>
      </c>
      <c r="NY9" s="155">
        <f>IF(OR($NO9=0,$NK9=""),0,IF(COUNTIF(INDEX($EJ$2:$EN$13,$MM9,0),$NK9)=0,1,0))</f>
        <v/>
      </c>
      <c r="NZ9" s="155">
        <f>IF(OR($NP9=0,$NL9=""),0,IF(COUNTIF(INDEX($EJ$2:$EN$13,$MM9,0),$NL9)=0,1,0))</f>
        <v/>
      </c>
      <c r="OA9" s="155">
        <f>IFERROR(VLOOKUP($MV9,$AV$2:$BA$84,4,FALSE),0)+IFERROR(VLOOKUP($MW9,$AV$2:$BA$84,4,FALSE),0)+IFERROR(VLOOKUP($MX9,$AV$2:$BA$84,4,FALSE),0)+IFERROR(VLOOKUP($MY9,$AV$2:$BA$84,4,FALSE),0)</f>
        <v/>
      </c>
      <c r="OB9" s="155">
        <f>IFERROR(VLOOKUP($MV9,$AV$2:$BA$84,6,FALSE),0)+IFERROR(VLOOKUP($MW9,$AV$2:$BA$84,6,FALSE),0)+IFERROR(VLOOKUP($MX9,$AV$2:$BA$84,6,FALSE),0)+IFERROR(VLOOKUP($MY9,$AV$2:$BA$84,6,FALSE),0)</f>
        <v/>
      </c>
      <c r="OC9" s="155">
        <f>TEXTJOIN(", ",TRUE,IF(IFERROR(VLOOKUP($MV9,$AV$2:$BA$84,5,FALSE),0)=1,$MV9,""),IF(IFERROR(VLOOKUP($MW9,$AV$2:$BA$84,5,FALSE),0)=1,$MW9,""),IF(IFERROR(VLOOKUP($MX9,$AV$2:$BA$84,5,FALSE),0)=1,$MX9,""),IF(IFERROR(VLOOKUP($MY9,$AV$2:$BA$84,5,FALSE),0)=1,$MY9,""))</f>
        <v/>
      </c>
      <c r="OD9" s="155">
        <f>IF($NH9=0,0,INDEX($Y$2:$Y$11,$NH9))</f>
        <v/>
      </c>
      <c r="OE9" s="155">
        <f>IF($NH9=0,0,INDEX($Z$2:$Z$11,$NH9))</f>
        <v/>
      </c>
      <c r="OF9" s="155">
        <f>IF($NH9=0,0,INDEX($AB$2:$AB$11,$NH9))</f>
        <v/>
      </c>
      <c r="OG9" s="155">
        <f>IFERROR(VLOOKUP($MZ9,$BC$2:$BG$24,3,FALSE),0)</f>
        <v/>
      </c>
      <c r="OH9" s="155">
        <f>IFERROR(VLOOKUP($NA9,$BC$2:$BG$24,3,FALSE),0)</f>
        <v/>
      </c>
      <c r="OI9" s="155">
        <f>IFERROR(VLOOKUP($MZ9,$BC$2:$BG$24,2,FALSE),"")</f>
        <v/>
      </c>
      <c r="OJ9" s="155">
        <f>IFERROR(VLOOKUP($NA9,$BC$2:$BG$24,2,FALSE),"")</f>
        <v/>
      </c>
      <c r="OK9" s="155">
        <f>COUNTIF($NQ9:$NU9,1)</f>
        <v/>
      </c>
      <c r="OL9" s="155">
        <f>COUNTIF($NQ9:$NU9,2)</f>
        <v/>
      </c>
      <c r="OM9" s="155">
        <f>COUNTIF($NQ9:$NU9,3)</f>
        <v/>
      </c>
      <c r="ON9" s="155">
        <f>COUNTIF($NQ9:$NU9,4)</f>
        <v/>
      </c>
      <c r="OO9" s="155">
        <f>COUNTIF($NQ9:$NU9,5)</f>
        <v/>
      </c>
      <c r="OP9" s="155">
        <f>COUNTIF($NQ9:$NU9,6)</f>
        <v/>
      </c>
      <c r="OQ9" s="155">
        <f>COUNTIF($OG9:$OH9,1)</f>
        <v/>
      </c>
      <c r="OR9" s="155">
        <f>COUNTIF($OG9:$OH9,2)+$OD9</f>
        <v/>
      </c>
      <c r="OS9" s="155">
        <f>COUNTIF($MV9:$MY9,"?*")</f>
        <v/>
      </c>
      <c r="OT9" s="155">
        <f>COUNTIF($MZ9:$NA9,"?*")+$OD9</f>
        <v/>
      </c>
      <c r="OU9" s="155">
        <f>IF($MQ9=0,0,SUMPRODUCT($OK9:$OP9,INDEX($I$2:$N$8,MAX(1,$MQ9),0)))</f>
        <v/>
      </c>
      <c r="OV9" s="155">
        <f>IF($MQ9=0,0,$OQ9*CEILING($MQ9/2,1)+$OR9*$MQ9)</f>
        <v/>
      </c>
      <c r="OW9" s="155">
        <f>MIN(2*$MQ9,$OV9)</f>
        <v/>
      </c>
      <c r="OX9" s="155">
        <f>MIN($OW9,$OU9)</f>
        <v/>
      </c>
      <c r="OY9" s="155">
        <f>$OW9-$OX9</f>
        <v/>
      </c>
      <c r="OZ9" s="155">
        <f>IF($MQ9=0,0,INDEX($P$2:$P$8,MAX(1,$MQ9)))</f>
        <v/>
      </c>
      <c r="PA9" s="155">
        <f>$OZ9-$OU9+$OX9</f>
        <v/>
      </c>
      <c r="PB9" s="155">
        <f>IF($MQ9=0,MAX(0,$NE9-IF($OS9&gt;0,1,0)),MAX(0,$PA9))</f>
        <v/>
      </c>
      <c r="PC9" s="155">
        <f>IF($MQ9=0,0,(IF(COUNTIF($MV9:$MY9,"Salto")&gt;0,1,0)+IF(COUNTIF($MV9:$MY9,"Queima")&gt;0,1,0)+IF(COUNTIF($MV9:$MY9,"Estilhaço")&gt;0,1,0))*FLOOR($PB9/2,1))</f>
        <v/>
      </c>
      <c r="PD9" s="155">
        <f>MAX(0,2-SUMPRODUCT($OK9:$OP9,$I$2:$N$2)+MIN(2,$OQ9*1+$OR9*1,SUMPRODUCT($OK9:$OP9,$I$2:$N$2)))</f>
        <v/>
      </c>
      <c r="PE9" s="155">
        <f>MAX(0,4-SUMPRODUCT($OK9:$OP9,$I$3:$N$3)+MIN(4,$OQ9*1+$OR9*2,SUMPRODUCT($OK9:$OP9,$I$3:$N$3)))</f>
        <v/>
      </c>
      <c r="PF9" s="155">
        <f>MAX(0,6-SUMPRODUCT($OK9:$OP9,$I$4:$N$4)+MIN(6,$OQ9*2+$OR9*3,SUMPRODUCT($OK9:$OP9,$I$4:$N$4)))</f>
        <v/>
      </c>
      <c r="PG9" s="155">
        <f>MAX(0,9-SUMPRODUCT($OK9:$OP9,$I$5:$N$5)+MIN(8,$OQ9*2+$OR9*4,SUMPRODUCT($OK9:$OP9,$I$5:$N$5)))</f>
        <v/>
      </c>
      <c r="PH9" s="155">
        <f>MAX(0,11-SUMPRODUCT($OK9:$OP9,$I$6:$N$6)+MIN(10,$OQ9*3+$OR9*5,SUMPRODUCT($OK9:$OP9,$I$6:$N$6)))</f>
        <v/>
      </c>
      <c r="PI9" s="155">
        <f>MAX(0,13-SUMPRODUCT($OK9:$OP9,$I$7:$N$7)+MIN(12,$OQ9*3+$OR9*6,SUMPRODUCT($OK9:$OP9,$I$7:$N$7)))</f>
        <v/>
      </c>
      <c r="PJ9" s="155">
        <f>MAX(0,16-SUMPRODUCT($OK9:$OP9,$I$8:$N$8)+MIN(14,$OQ9*4+$OR9*7,SUMPRODUCT($OK9:$OP9,$I$8:$N$8)))</f>
        <v/>
      </c>
      <c r="PK9" s="155">
        <f>IF($OE9=2,3*$PD9&amp;" de vida temp.",IF($OE9=3,"sem dano",IF($PD9=0,IF($OE9=1,"sem cura","sem dano"),IF($OE9=1,"cura ","")&amp;$PD9&amp;"d8")))</f>
        <v/>
      </c>
      <c r="PL9" s="155">
        <f>IF($OE9=2,3*$PE9&amp;" de vida temp.",IF($OE9=3,"sem dano",IF($PE9=0,IF($OE9=1,"sem cura","sem dano"),IF($OE9=1,"cura ","")&amp;$PE9&amp;"d8")))</f>
        <v/>
      </c>
      <c r="PM9" s="155">
        <f>IF($OE9=2,3*$PF9&amp;" de vida temp.",IF($OE9=3,"sem dano",IF($PF9=0,IF($OE9=1,"sem cura","sem dano"),IF($OE9=1,"cura ","")&amp;$PF9&amp;"d8")))</f>
        <v/>
      </c>
      <c r="PN9" s="155">
        <f>IF($OE9=2,3*$PG9&amp;" de vida temp.",IF($OE9=3,"sem dano",IF($PG9=0,IF($OE9=1,"sem cura","sem dano"),IF($OE9=1,"cura ","")&amp;$PG9&amp;"d8")))</f>
        <v/>
      </c>
      <c r="PO9" s="155">
        <f>IF($OE9=2,3*$PH9&amp;" de vida temp.",IF($OE9=3,"sem dano",IF($PH9=0,IF($OE9=1,"sem cura","sem dano"),IF($OE9=1,"cura ","")&amp;$PH9&amp;"d8")))</f>
        <v/>
      </c>
      <c r="PP9" s="155">
        <f>IF($OE9=2,3*$PI9&amp;" de vida temp.",IF($OE9=3,"sem dano",IF($PI9=0,IF($OE9=1,"sem cura","sem dano"),IF($OE9=1,"cura ","")&amp;$PI9&amp;"d8")))</f>
        <v/>
      </c>
      <c r="PQ9" s="155">
        <f>IF($OE9=2,3*$PJ9&amp;" de vida temp.",IF($OE9=3,"sem dano",IF($PJ9=0,IF($OE9=1,"sem cura","sem dano"),IF($OE9=1,"cura ","")&amp;$PJ9&amp;"d8")))</f>
        <v/>
      </c>
      <c r="PR9" s="155">
        <f>IF($NB9=0,"",TEXTJOIN(" · ",TRUE,IF($MO9&gt;$NC9,"Este lugar abre no nível "&amp;$MO9,""),IF($MQ9&gt;$ND9,"Classe "&amp;$MQ9&amp;": o nível "&amp;$NC9&amp;" libera até a "&amp;$ND9,""),IF($NV9=1,"A Forma "&amp;$MS9&amp;" pede "&amp;INDEX($W$2:$W$11,$NH9)&amp;" aberta",""),IF(AND($MQ9=0,$NH9&gt;0,IF($NH9=0,0,INDEX($AF$2:$AF$11,$NH9))=0),$MS9&amp;" não existe na Classe 0",""),IF($NW9=1,"Família Fechada: "&amp;$MV9,""),IF($NX9=1,"Família Fechada: "&amp;$MW9,""),IF($NY9=1,"Família Fechada: "&amp;$MX9,""),IF($NZ9=1,"Família Fechada: "&amp;$MY9,""),IF(AND($MQ9&gt;0,$OS9&gt;INDEX($O$2:$O$8,MAX(1,$MQ9))),$OS9&amp;" Melhorias: a Classe "&amp;$MQ9&amp;" aceita "&amp;INDEX($O$2:$O$8,MAX(1,$MQ9)),""),IF(AND($MQ9=0,$OS9&gt;1),"A básica aceita uma Melhoria",""),IF(AND($MQ9=0,COUNTIF($NM9:$NP9,"&gt;1")&gt;0),"A básica só aceita Melhoria Leve",""),IF(AND($MQ9&gt;0,$OT9&gt;2),$OT9&amp;" Restrições"&amp;IF($OD9=1,", contando a que a Forma "&amp;$MS9&amp;" já traz","")&amp;": o limite é 2",""),IF(AND($MQ9=0,COUNTIF($MZ9:$NA9,"?*")&gt;1),"A básica aceita uma Restrição Leve",""),IF(AND($MQ9=0,COUNTIF($OG9:$OH9,2)&gt;0),"A básica só aceita Restrição Leve",""),IF(AND($MQ9&gt;0,$PA9&lt;0),"Orçamento estourado: faltam "&amp;(-$PA9)&amp;IF($PA9&lt;-1," pontos"," ponto"),""),IF(IFERROR(VLOOKUP($MZ9,$BC$2:$BG$24,4,FALSE),0)+IFERROR(VLOOKUP($NA9,$BC$2:$BG$24,4,FALSE),0)&gt;1,$OI9&amp;" e "&amp;$OJ9&amp;" são as duas de frequência",""),IF(AND((COUNTIF($MV9:$MY9,"Rápido")+COUNTIF($OI9:$OJ9,"Rápido"))&gt;0,(COUNTIF($MV9:$MY9,"Atrasar")+COUNTIF($OI9:$OJ9,"Atrasar"))&gt;0),"Rápido não entra com Atrasar",""),IF(AND((COUNTIF($MV9:$MY9,"Reação")+COUNTIF($OI9:$OJ9,"Reação"))&gt;0,(COUNTIF($MV9:$MY9,"Rápido")+COUNTIF($OI9:$OJ9,"Rápido"))&gt;0),"Reação não entra com Rápido",""),IF(AND((COUNTIF($MV9:$MY9,"Reação")+COUNTIF($OI9:$OJ9,"Reação"))&gt;0,(COUNTIF($MV9:$MY9,"Armado")+COUNTIF($OI9:$OJ9,"Armado"))&gt;0),"Reação não entra com Armado",""),IF(AND((COUNTIF($MV9:$MY9,"Reação")+COUNTIF($OI9:$OJ9,"Reação"))&gt;0,(COUNTIF($MV9:$MY9,"Atrasar")+COUNTIF($OI9:$OJ9,"Atrasar"))&gt;0),"Reação não entra com Atrasar",""),IF(AND((COUNTIF($MV9:$MY9,"Reação")+COUNTIF($OI9:$OJ9,"Reação"))&gt;0,(COUNTIF($MV9:$MY9,"Parado")+COUNTIF($OI9:$OJ9,"Parado"))&gt;0),"Reação não entra com Parado",""),IF(AND((COUNTIF($MV9:$MY9,"Atrasar")+COUNTIF($OI9:$OJ9,"Atrasar"))&gt;0,(COUNTIF($MV9:$MY9,"Parado")+COUNTIF($OI9:$OJ9,"Parado"))&gt;0),"Atrasar não entra com Parado",""),IF(AND((COUNTIF($MV9:$MY9,"Armado")+COUNTIF($OI9:$OJ9,"Armado"))&gt;0,(COUNTIF($MV9:$MY9,"Carregar")+COUNTIF($OI9:$OJ9,"Carregar"))&gt;0),"Armado não entra com Carregar",""),IF(AND(COUNTIF($OI9:$OJ9,"Corpo a Corpo")&gt;0,$OD9=0,OR($MS9="Cone",$MS9="Linha")),"Corpo a Corpo não entra em "&amp;$MS9,""),IF(AND(COUNTIF($OI9:$OJ9,"Corpo a Corpo")&gt;0,$OD9=1),"A Forma "&amp;$MS9&amp;" já traz o Corpo a Corpo",""),IF(AND(COUNTIF($OI9:$OJ9,"Tudo ou Nada")&gt;0,$OF9=0),"Tudo ou Nada só entra em habilidade de Teste de Resistência",""),IF(AND(COUNTIF($MV9:$MY9,"Inescapável")&gt;0,OR($OS9&gt;1,$OT9&gt;0)),"Inescapável não aceita outra peça",""),IF(AND($MQ9&gt;0,$PB9*IF(COUNTIF($MV9:$MY9,"Remate")&gt;0,1.25,1)+$PC9&gt;4*$MQ9),($PB9*IF(COUNTIF($MV9:$MY9,"Remate")&gt;0,1.25,1)+$PC9)&amp;" dados somando repetições"&amp;IF(COUNTIF($MV9:$MY9,"Remate")&gt;0," e o Remate","")&amp;": o teto da Classe "&amp;$MQ9&amp;" é "&amp;4*$MQ9,"")))</f>
        <v/>
      </c>
      <c r="PS9" s="155">
        <f>IF($PR9="",0,(LEN($PR9)-LEN(SUBSTITUTE($PR9," · ","")))/3+1)</f>
        <v/>
      </c>
      <c r="PT9" s="155">
        <f>IF($NB9=0,"",TEXTJOIN(" · ",TRUE,IF($OV9&gt;2*$MQ9,"A devolução parou no teto de "&amp;2*$MQ9,""),IF($OY9&gt;0,"Devolução perdida: "&amp;$OY9&amp;IF($OY9&gt;1," pontos"," ponto")&amp;" sem peça para pagar",""),IF(AND($OA9&gt;0,AND($MQ9&gt;0,$OE9=0),$PB9=0),"Controle sem dano: uma rodada a mais e CD +2",""),IF(AND($OA9&gt;0,AND($MQ9&gt;0,$OE9=0),$PB9&gt;0,$PB9&lt;=$MQ9),"Controle com saldo até a Classe: uma rodada a mais",""),IF(AND($MQ9&gt;0,$OC9&lt;&gt;""),"Efeito de "&amp;$OC9&amp;" pela Classe "&amp;MAX(1,$MQ9-1),"")))</f>
        <v/>
      </c>
      <c r="PU9" s="155">
        <f>IF($PT9="",0,(LEN($PT9)-LEN(SUBSTITUTE($PT9," · ","")))/3+1)</f>
        <v/>
      </c>
      <c r="PV9" s="155">
        <f>IF($NB9=0,IF($OS9+COUNTIF($MZ9:$NA9,"?*")&gt;0,"Dê um nome",""),IF($PS9&gt;0,"⚠ "&amp;$PS9&amp;IF($PS9&gt;1," erros"," erro"),IF($PU9&gt;0,"! "&amp;$PU9&amp;IF($PU9&gt;1," avisos"," aviso"),"Na regra")))</f>
        <v/>
      </c>
      <c r="PW9" s="155">
        <f>IF($NB9=0,"",IF($PS9+$PU9=0,"Dentro das regras que a ficha confere",$PR9&amp;IF(AND($PS9&gt;0,$PU9&gt;0)," · ","")&amp;$PT9))</f>
        <v/>
      </c>
      <c r="PX9" s="155">
        <f>IF($MO9&gt;$NC9,$MP9&amp;" · ABRE NO NÍVEL "&amp;$MO9,$MP9)</f>
        <v/>
      </c>
      <c r="PY9" s="155">
        <f>IF($NB9=0,"",IF($MQ9=0,"Sem PE",3*$MQ9&amp;" PE"))</f>
        <v/>
      </c>
      <c r="PZ9" s="155">
        <f>IF($NB9=0,"",IF($MQ9=0,"A atuação básica dela",IF(COUNTIF($OI9:$OJ9,"Atrasar")&gt;0,"Sua Ação Completa",IF(COUNTIF($MV9:$MY9,"Rápido")&gt;0,"Sua Bônus",IF(COUNTIF($MV9:$MY9,"Reação")&gt;0,"Sua Reação","Sua Padrão")))&amp;" + a básica dela"&amp;IF(COUNTIF($MV9:$MY9,"Reação")&gt;0," e a coletiva","")&amp;IF(COUNTIF($OI9:$OJ9,"Carregar")&gt;0," · em dois turnos","")))</f>
        <v/>
      </c>
      <c r="QA9" s="155">
        <f>IF($MU9&lt;&gt;"",$MU9,IF($NH9=0,"",INDEX($AA$2:$AA$11,$NH9)))</f>
        <v/>
      </c>
      <c r="QB9" s="155">
        <f>IF(OR($NB9=0,$NH9=0),"",IF(COUNTIF($MV9:$MY9,"Inescapável")&gt;0,"Automático",IF($QA9="Ataque",IF($NF9="","Ataque","Ataque "&amp;IF(($NF9+2*IF(COUNTIF($MV9:$MY9,"Precisão")&gt;0,1,0))&gt;=0,"+","−")&amp;ABS(($NF9+2*IF(COUNTIF($MV9:$MY9,"Precisão")&gt;0,1,0))))&amp;IF($OB9&gt;0," · TR"&amp;IF($NG9="",""," CD "&amp;$NG9),""),IF(LEFT($QA9,2)="TR",$QA9&amp;IF($NG9="",""," · CD "&amp;$NG9)&amp;IF(COUNTIF($MV9:$MY9,"Certeiro")&gt;0," · metade",""),"Sem rolagem"))))</f>
        <v/>
      </c>
      <c r="QC9" s="155">
        <f>IF(OR($NB9=0,$NH9=0),"",IF($MQ9=0,IF(OR($OE9&gt;=1,$PB9=0),"Sem dano",$PB9&amp;"d6"&amp;IF($MT9="",""," "&amp;$MT9)),IF(OR($OE9&gt;=1,$PB9=0),UPPER(LEFT(INDEX($PK9:$PQ9,1,MAX(1,$MQ9)),1))&amp;MID(INDEX($PK9:$PQ9,1,MAX(1,$MQ9)),2,99),UPPER(LEFT(INDEX($PK9:$PQ9,1,MAX(1,$MQ9)),1))&amp;MID(INDEX($PK9:$PQ9,1,MAX(1,$MQ9)),2,99)&amp;IF($MT9="",""," "&amp;$MT9)&amp;IF($PC9&gt;0," · +"&amp;$PC9&amp;"d8",""))))</f>
        <v/>
      </c>
      <c r="QD9" s="155">
        <f>COUNTIF($MV9:$MY9,"Longe")+3*COUNTIF($MV9:$MY9,"Muito Longe")</f>
        <v/>
      </c>
      <c r="QE9" s="155">
        <f>COUNTIF($MV9:$MY9,"Maior")+3*COUNTIF($MV9:$MY9,"Muito Maior")</f>
        <v/>
      </c>
      <c r="QF9" s="155">
        <f>IF($NH9=0,0,CHOOSE(1+INDEX($AC$2:$AC$11,$NH9),0,$QD9,$QE9,$QD9+$QE9))</f>
        <v/>
      </c>
      <c r="QG9" s="155">
        <f>IF($NH9=0,0,CHOOSE(1+INDEX($AD$2:$AD$11,$NH9),0,$QD9,$QE9,$QD9+$QE9))</f>
        <v/>
      </c>
      <c r="QH9" s="155">
        <f>IF(OR($NB9=0,$NH9=0),"",INDEX($AI$2:$AN$41,($NH9-1)*4+IF($MQ9=0,1,IF($MQ9&lt;=5,2,IF($MQ9=6,3,4))),1+MIN(5,$QF9))&amp;INDEX($AO$2:$AT$41,($NH9-1)*4+IF($MQ9=0,1,IF($MQ9&lt;=5,2,IF($MQ9=6,3,4))),1+MIN(5,$QG9))&amp;IF(INDEX($AE$2:$AE$11,$NH9)=1,IF(COUNTIF($MV9:$MY9,"Mais Um")&gt;0," · +"&amp;COUNTIF($MV9:$MY9,"Mais Um")&amp;IF(COUNTIF($MV9:$MY9,"Mais Um")&gt;1," alvos"," alvo"),"")&amp;IF(COUNTIF($MV9:$MY9,"Rajada")&gt;0,IF($MQ9=0," · 1 tiro"," · "&amp;(MAX(1,$MQ9-1)+1)&amp;" tiros"),""),""))</f>
        <v/>
      </c>
      <c r="QI9" s="155">
        <f>IF($NB9=0,"",IF($MQ9=0,$NE9&amp;"d6"&amp;IF($OS9&gt;0," − 1 = "&amp;$PB9&amp;"d6"," da básica do nível "&amp;$NC9),$OZ9&amp;" − "&amp;$OU9&amp;" + "&amp;$OX9&amp;" = "&amp;$PA9&amp;" · teto "&amp;4*$MQ9&amp;"d8"&amp;IF($OD9=1," · a Forma devolve "&amp;$MQ9,"")&amp;IF($OY9&gt;0," · perde "&amp;$OY9,"")))</f>
        <v/>
      </c>
      <c r="QJ9" s="155">
        <f>IF($NB9=0,"",IF($MQ9=0,"A básica não amplia: os dados dela sobem com o nível",IF($MQ9&gt;=$ND9,"Já está na maior Classe que o nível liberou",TEXTJOIN(" · ",TRUE,IF(AND(2&gt;$MQ9,2&lt;=$ND9),"2 → "&amp;$PL9&amp;", 6 PE",""),IF(AND(3&gt;$MQ9,3&lt;=$ND9),"3 → "&amp;$PM9&amp;", 9 PE",""),IF(AND(4&gt;$MQ9,4&lt;=$ND9),"4 → "&amp;$PN9&amp;", 12 PE",""),IF(AND(5&gt;$MQ9,5&lt;=$ND9),"5 → "&amp;$PO9&amp;", 15 PE",""),IF(AND(6&gt;$MQ9,6&lt;=$ND9),"6 → "&amp;$PP9&amp;", 18 PE",""),IF(AND(7&gt;$MQ9,7&lt;=$ND9),"7 → "&amp;$PQ9&amp;", 21 PE","")))))</f>
        <v/>
      </c>
      <c r="QK9" s="155">
        <f>IF(OR($NB9=0,$NM9=0),"",IF($MQ9=0,"−1 dado","−"&amp;INDEX($I$2:$N$8,MAX(1,$MQ9),MAX(1,$NR9))&amp;" · "&amp;CHOOSE(MAX(1,$NR9),"Leve","Média","Pesada","Leve · Livre","Média · Livre","Pesada · Livre")))</f>
        <v/>
      </c>
      <c r="QL9" s="155">
        <f>IF(OR($NB9=0,$NN9=0),"",IF($MQ9=0,"−1 dado","−"&amp;INDEX($I$2:$N$8,MAX(1,$MQ9),MAX(1,$NS9))&amp;" · "&amp;CHOOSE(MAX(1,$NS9),"Leve","Média","Pesada","Leve · Livre","Média · Livre","Pesada · Livre")))</f>
        <v/>
      </c>
      <c r="QM9" s="155">
        <f>IF(OR($NB9=0,$NO9=0),"",IF($MQ9=0,"−1 dado","−"&amp;INDEX($I$2:$N$8,MAX(1,$MQ9),MAX(1,$NT9))&amp;" · "&amp;CHOOSE(MAX(1,$NT9),"Leve","Média","Pesada","Leve · Livre","Média · Livre","Pesada · Livre")))</f>
        <v/>
      </c>
      <c r="QN9" s="155">
        <f>IF(OR($NB9=0,$NP9=0),"",IF($MQ9=0,"−1 dado","−"&amp;INDEX($I$2:$N$8,MAX(1,$MQ9),MAX(1,$NU9))&amp;" · "&amp;CHOOSE(MAX(1,$NU9),"Leve","Média","Pesada","Leve · Livre","Média · Livre","Pesada · Livre")))</f>
        <v/>
      </c>
      <c r="QO9" s="155">
        <f>IF(OR($NB9=0,$MZ9=""),"",IF($MQ9=0,"não devolve","+"&amp;IF($OG9=1,CEILING($MQ9/2,1),$MQ9)))</f>
        <v/>
      </c>
      <c r="QP9" s="155">
        <f>IF(OR($NB9=0,$NA9=""),"",IF($MQ9=0,"não devolve","+"&amp;IF($OH9=1,CEILING($MQ9/2,1),$MQ9)))</f>
        <v/>
      </c>
    </row>
    <row r="10">
      <c r="V10" s="153" t="inlineStr">
        <is>
          <t>Onda</t>
        </is>
      </c>
      <c r="W10" s="153" t="inlineStr">
        <is>
          <t>Amparo</t>
        </is>
      </c>
      <c r="X10" s="155" t="n">
        <v>3</v>
      </c>
      <c r="Y10" s="155" t="n">
        <v>0</v>
      </c>
      <c r="Z10" s="155" t="n">
        <v>1</v>
      </c>
      <c r="AA10" s="153" t="inlineStr">
        <is>
          <t>—</t>
        </is>
      </c>
      <c r="AB10" s="155" t="n">
        <v>0</v>
      </c>
      <c r="AC10" s="155" t="n">
        <v>2</v>
      </c>
      <c r="AD10" s="155" t="n">
        <v>0</v>
      </c>
      <c r="AE10" s="155" t="n">
        <v>0</v>
      </c>
      <c r="AF10" s="155" t="n">
        <v>0</v>
      </c>
      <c r="AH10" s="153" t="inlineStr">
        <is>
          <t>Explosão · classe 0</t>
        </is>
      </c>
      <c r="AI10" s="153" t="inlineStr">
        <is>
          <t>Raio 3 m</t>
        </is>
      </c>
      <c r="AJ10" s="153" t="inlineStr">
        <is>
          <t>Raio 4,5 m</t>
        </is>
      </c>
      <c r="AK10" s="153" t="inlineStr">
        <is>
          <t>Raio 6 m</t>
        </is>
      </c>
      <c r="AL10" s="153" t="inlineStr">
        <is>
          <t>Raio 9 m</t>
        </is>
      </c>
      <c r="AM10" s="153" t="inlineStr">
        <is>
          <t>Raio 15 m</t>
        </is>
      </c>
      <c r="AN10" s="153" t="inlineStr">
        <is>
          <t>Raio 15 m</t>
        </is>
      </c>
      <c r="AO10" s="153" t="inlineStr">
        <is>
          <t>, a 9 m</t>
        </is>
      </c>
      <c r="AP10" s="153" t="inlineStr">
        <is>
          <t>, a 18 m</t>
        </is>
      </c>
      <c r="AQ10" s="153" t="inlineStr">
        <is>
          <t>, a 36 m</t>
        </is>
      </c>
      <c r="AR10" s="153" t="inlineStr">
        <is>
          <t>, a 90 m</t>
        </is>
      </c>
      <c r="AS10" s="153" t="inlineStr">
        <is>
          <t>, a visão a olho nu</t>
        </is>
      </c>
      <c r="AT10" s="153" t="inlineStr">
        <is>
          <t>, a visão a olho nu</t>
        </is>
      </c>
      <c r="AV10" s="153" t="inlineStr">
        <is>
          <t>Muito Maior</t>
        </is>
      </c>
      <c r="AW10" s="153" t="inlineStr">
        <is>
          <t>Área</t>
        </is>
      </c>
      <c r="AX10" s="155" t="n">
        <v>3</v>
      </c>
      <c r="AY10" s="155" t="n">
        <v>0</v>
      </c>
      <c r="AZ10" s="155" t="n">
        <v>0</v>
      </c>
      <c r="BA10" s="155" t="n">
        <v>0</v>
      </c>
      <c r="BC10" s="153" t="inlineStr">
        <is>
          <t>Fraqueza (Leve)</t>
        </is>
      </c>
      <c r="BD10" s="153" t="inlineStr">
        <is>
          <t>Fraqueza</t>
        </is>
      </c>
      <c r="BE10" s="155" t="n">
        <v>1</v>
      </c>
      <c r="BF10" s="155" t="n">
        <v>0</v>
      </c>
      <c r="BG10" s="153" t="inlineStr">
        <is>
          <t>Fraqueza (Leve)</t>
        </is>
      </c>
      <c r="BI10" s="153" t="inlineStr">
        <is>
          <t>Costura</t>
        </is>
      </c>
      <c r="BJ10" s="155" t="n">
        <v>2</v>
      </c>
      <c r="BK10" s="153" t="inlineStr">
        <is>
          <t>Uma vez por cena, quando um aliado a até 9 m sofreria uma redução de seus pontos de vida a 0, você pode fazer com que ele permaneça com 1 ponto de vida. Não exige ação nem Reação.</t>
        </is>
      </c>
      <c r="BL10" s="153" t="inlineStr"/>
      <c r="BS10" s="153" t="inlineStr">
        <is>
          <t>Amparo</t>
        </is>
      </c>
      <c r="CC10" s="153" t="inlineStr">
        <is>
          <t>Religião</t>
        </is>
      </c>
      <c r="CD10" s="153" t="inlineStr">
        <is>
          <t>Inteligência</t>
        </is>
      </c>
      <c r="CH10" s="153" t="inlineStr">
        <is>
          <t>Veneno</t>
        </is>
      </c>
      <c r="CY10" s="153" t="inlineStr">
        <is>
          <t>fichas com nome</t>
        </is>
      </c>
      <c r="CZ10" s="155">
        <f>SUM($FK$2:$FK$13)</f>
        <v/>
      </c>
      <c r="DB10" s="155" t="n">
        <v>9</v>
      </c>
      <c r="DC10" s="155">
        <f>'INVOCAÇÕES'!$AB$409&amp;""</f>
        <v/>
      </c>
      <c r="DD10" s="155">
        <f>'INVOCAÇÕES'!$AB$439&amp;""</f>
        <v/>
      </c>
      <c r="DE10" s="155">
        <f>'INVOCAÇÕES'!$AB$443&amp;""</f>
        <v/>
      </c>
      <c r="DF10" s="155">
        <f>N('INVOCAÇÕES'!$AD$443)</f>
        <v/>
      </c>
      <c r="DG10" s="155">
        <f>'INVOCAÇÕES'!$AE$443&amp;""</f>
        <v/>
      </c>
      <c r="DH10" s="155">
        <f>N('INVOCAÇÕES'!$AH$416)</f>
        <v/>
      </c>
      <c r="DI10" s="155">
        <f>N('INVOCAÇÕES'!$AI$416)</f>
        <v/>
      </c>
      <c r="DJ10" s="155">
        <f>N('INVOCAÇÕES'!$AJ$416)</f>
        <v/>
      </c>
      <c r="DK10" s="155">
        <f>N('INVOCAÇÕES'!$AK$416)</f>
        <v/>
      </c>
      <c r="DL10" s="155">
        <f>N('INVOCAÇÕES'!$AL$416)</f>
        <v/>
      </c>
      <c r="DM10" s="155">
        <f>N('INVOCAÇÕES'!$AH$417)</f>
        <v/>
      </c>
      <c r="DN10" s="155">
        <f>N('INVOCAÇÕES'!$AI$417)</f>
        <v/>
      </c>
      <c r="DO10" s="155">
        <f>N('INVOCAÇÕES'!$AJ$417)</f>
        <v/>
      </c>
      <c r="DP10" s="155">
        <f>N('INVOCAÇÕES'!$AK$417)</f>
        <v/>
      </c>
      <c r="DQ10" s="155">
        <f>N('INVOCAÇÕES'!$AL$417)</f>
        <v/>
      </c>
      <c r="DR10" s="155">
        <f>'INVOCAÇÕES'!$AH$430&amp;""</f>
        <v/>
      </c>
      <c r="DS10" s="155">
        <f>'INVOCAÇÕES'!$AK$430&amp;""</f>
        <v/>
      </c>
      <c r="DT10" s="155">
        <f>'INVOCAÇÕES'!$AL$425&amp;""</f>
        <v/>
      </c>
      <c r="DU10" s="155">
        <f>N('INVOCAÇÕES'!$AH$422)</f>
        <v/>
      </c>
      <c r="DV10" s="155">
        <f>N('INVOCAÇÕES'!$AI$422)</f>
        <v/>
      </c>
      <c r="DW10" s="155">
        <f>N('INVOCAÇÕES'!$AJ$422)</f>
        <v/>
      </c>
      <c r="DX10" s="155">
        <f>N('INVOCAÇÕES'!$AK$422)</f>
        <v/>
      </c>
      <c r="DY10" s="155">
        <f>N('INVOCAÇÕES'!$AL$422)</f>
        <v/>
      </c>
      <c r="DZ10" s="155">
        <f>N('INVOCAÇÕES'!$AH$427)</f>
        <v/>
      </c>
      <c r="EA10" s="155">
        <f>N('INVOCAÇÕES'!$AI$427)</f>
        <v/>
      </c>
      <c r="EB10" s="155">
        <f>N('INVOCAÇÕES'!$AJ$427)</f>
        <v/>
      </c>
      <c r="EC10" s="155">
        <f>N('INVOCAÇÕES'!$AK$427)</f>
        <v/>
      </c>
      <c r="ED10" s="155">
        <f>'INVOCAÇÕES'!$AN$409&amp;""</f>
        <v/>
      </c>
      <c r="EE10" s="155">
        <f>N('INVOCAÇÕES'!$AP$409)</f>
        <v/>
      </c>
      <c r="EF10" s="155">
        <f>'INVOCAÇÕES'!$AR$409&amp;""</f>
        <v/>
      </c>
      <c r="EG10" s="155">
        <f>SUM('INVOCAÇÕES'!$AR$429:'INVOCAÇÕES'!$AR$431,'INVOCAÇÕES'!$AR$433:'INVOCAÇÕES'!$AR$438)</f>
        <v/>
      </c>
      <c r="EH10" s="155">
        <f>'INVOCAÇÕES'!$AN$414&amp;""</f>
        <v/>
      </c>
      <c r="EI10" s="155">
        <f>'INVOCAÇÕES'!$AO$414&amp;""</f>
        <v/>
      </c>
      <c r="EJ10" s="155">
        <f>'INVOCAÇÕES'!$AH$444&amp;""</f>
        <v/>
      </c>
      <c r="EK10" s="155">
        <f>'INVOCAÇÕES'!$AI$444&amp;""</f>
        <v/>
      </c>
      <c r="EL10" s="155">
        <f>'INVOCAÇÕES'!$AJ$444&amp;""</f>
        <v/>
      </c>
      <c r="EM10" s="155">
        <f>'INVOCAÇÕES'!$AK$444&amp;""</f>
        <v/>
      </c>
      <c r="EN10" s="155">
        <f>'INVOCAÇÕES'!$AL$444&amp;""</f>
        <v/>
      </c>
      <c r="EO10" s="155">
        <f>'INVOCAÇÕES'!$AH$434&amp;""</f>
        <v/>
      </c>
      <c r="EP10" s="155">
        <f>'INVOCAÇÕES'!$AH$435&amp;""</f>
        <v/>
      </c>
      <c r="EQ10" s="155">
        <f>'INVOCAÇÕES'!$AH$436&amp;""</f>
        <v/>
      </c>
      <c r="ER10" s="155">
        <f>'INVOCAÇÕES'!$AH$437&amp;""</f>
        <v/>
      </c>
      <c r="ES10" s="155">
        <f>'INVOCAÇÕES'!$AH$438&amp;""</f>
        <v/>
      </c>
      <c r="ET10" s="155">
        <f>'INVOCAÇÕES'!$AH$439&amp;""</f>
        <v/>
      </c>
      <c r="EU10" s="155">
        <f>'INVOCAÇÕES'!$AH$440&amp;""</f>
        <v/>
      </c>
      <c r="EV10" s="155">
        <f>'INVOCAÇÕES'!$AC$476&amp;""</f>
        <v/>
      </c>
      <c r="EW10" s="155">
        <f>'INVOCAÇÕES'!$AC$477&amp;""</f>
        <v/>
      </c>
      <c r="EX10" s="155">
        <f>'INVOCAÇÕES'!$AC$478&amp;""</f>
        <v/>
      </c>
      <c r="EY10" s="155">
        <f>'INVOCAÇÕES'!$AC$479&amp;""</f>
        <v/>
      </c>
      <c r="EZ10" s="155">
        <f>'INVOCAÇÕES'!$AC$480&amp;""</f>
        <v/>
      </c>
      <c r="FA10" s="155">
        <f>'INVOCAÇÕES'!$AC$481&amp;""</f>
        <v/>
      </c>
      <c r="FB10" s="155">
        <f>'INVOCAÇÕES'!$AC$482&amp;""</f>
        <v/>
      </c>
      <c r="FC10" s="155">
        <f>'INVOCAÇÕES'!$AC$483&amp;""</f>
        <v/>
      </c>
      <c r="FD10" s="155">
        <f>'INVOCAÇÕES'!$AC$578&amp;""</f>
        <v/>
      </c>
      <c r="FE10" s="155">
        <f>'INVOCAÇÕES'!$AC$579&amp;""</f>
        <v/>
      </c>
      <c r="FF10" s="155">
        <f>'INVOCAÇÕES'!$AC$580&amp;""</f>
        <v/>
      </c>
      <c r="FG10" s="155">
        <f>MAX(3,MIN(7,N('INVOCAÇÕES'!$AB$585)))</f>
        <v/>
      </c>
      <c r="FH10" s="155">
        <f>MAX(3,MIN(7,N('INVOCAÇÕES'!$AH$585)))</f>
        <v/>
      </c>
      <c r="FI10" s="155">
        <f>MAX(3,MIN(7,N('INVOCAÇÕES'!$AN$585)))</f>
        <v/>
      </c>
      <c r="FJ10" s="155">
        <f>'INVOCAÇÕES'!$AH$599&amp;""</f>
        <v/>
      </c>
      <c r="FK10" s="155">
        <f>IF($DC10&lt;&gt;"",1,0)</f>
        <v/>
      </c>
      <c r="FL10" s="155">
        <f>IFERROR(VLOOKUP($DE10,$BP$2:$BQ$5,2,FALSE),1)</f>
        <v/>
      </c>
      <c r="FM10" s="155">
        <f>IF($FL10=1,$CZ$2,MAX(1,MIN($CZ$2,IF($DF10=0,$CZ$2,$DF10))))</f>
        <v/>
      </c>
      <c r="FN10" s="155">
        <f>VLOOKUP(MAX(1,$FM10),$A$2:$D$8,2,TRUE)</f>
        <v/>
      </c>
      <c r="FO10" s="155">
        <f>VLOOKUP(MAX(1,$FM10),$A$2:$D$8,3,TRUE)</f>
        <v/>
      </c>
      <c r="FP10" s="155">
        <f>$DH10+$DM10</f>
        <v/>
      </c>
      <c r="FQ10" s="155">
        <f>$DI10+$DN10</f>
        <v/>
      </c>
      <c r="FR10" s="155">
        <f>$DJ10+$DO10</f>
        <v/>
      </c>
      <c r="FS10" s="155">
        <f>$DK10+$DP10</f>
        <v/>
      </c>
      <c r="FT10" s="155">
        <f>$DL10+$DQ10</f>
        <v/>
      </c>
      <c r="FU10" s="155">
        <f>SUM($DH10:$DL10)</f>
        <v/>
      </c>
      <c r="FV10" s="155">
        <f>9+$FW10</f>
        <v/>
      </c>
      <c r="FW10" s="155">
        <f>COUNTIF($F$2:$F$8,"&lt;="&amp;$FM10)</f>
        <v/>
      </c>
      <c r="FX10" s="155">
        <f>MAX(0,$DH10-3)+MAX(0,$DI10-3)+MAX(0,$DJ10-3)+MAX(0,$DK10-3)+MAX(0,$DL10-3)</f>
        <v/>
      </c>
      <c r="FY10" s="155">
        <f>IFERROR(INDEX($FP10:$FT10,1,MATCH($DR10,$BU$2:$BU$6,0)),"")</f>
        <v/>
      </c>
      <c r="FZ10" s="155">
        <f>IF($FY10="","",$FY10+$CZ$3+$DU10)</f>
        <v/>
      </c>
      <c r="GA10" s="155">
        <f>IF($FY10="","",8+$FY10+$CZ$3+$DV10)</f>
        <v/>
      </c>
      <c r="GB10" s="155">
        <f>10+$FQ10+$CZ$7+$DW10</f>
        <v/>
      </c>
      <c r="GC10" s="155">
        <f>IF($DD10="Corpo amaldiçoado de criação",1,0)</f>
        <v/>
      </c>
      <c r="GD10" s="155">
        <f>5+$FR10+(3+$GC10+$FR10)*($FM10-1)+$DX10</f>
        <v/>
      </c>
      <c r="GE10" s="155">
        <f>IF($FK10=0,"",$GD10)</f>
        <v/>
      </c>
      <c r="GF10" s="155">
        <f>IF($ED10="",$GD10,MAX(0,MIN(IFERROR(VALUE($ED10),$GD10),$GD10)))</f>
        <v/>
      </c>
      <c r="GG10" s="155">
        <f>IF(AND($FK10=1,$EH10&lt;&gt;"Sem alma"),MAX(1,INT($GD10/2)),"")</f>
        <v/>
      </c>
      <c r="GH10" s="155">
        <f>$GG10</f>
        <v/>
      </c>
      <c r="GI10" s="155">
        <f>IF($GG10="","",IF($EI10="",$GG10,MAX(0,MIN(IFERROR(VALUE($EI10),$GG10),$GG10))))</f>
        <v/>
      </c>
      <c r="GJ10" s="155">
        <f>IF($FK10=0,"",IF($GG10="","—",$GG10))</f>
        <v/>
      </c>
      <c r="GK10" s="155">
        <f>IF($FK10=0,"",IF($GG10="","Sem alma · imune a dano de Alma",IF($GI10&lt;=0,"Estágio 4 · caída, como a zero de vida",IF($GI10&lt;=$GG10/4,"Estágio 3 · desvantagem em ataques e TRs, Classe pela metade",IF($GI10&lt;=$GG10/2,"Estágio 2 · metade do deslocamento, +1 PE por Classe",IF($GI10&lt;=$GG10*3/4,"Estágio 1 · desvantagem em perícias","Alma inteira"))))))</f>
        <v/>
      </c>
      <c r="GL10" s="155">
        <f>9+$DY10</f>
        <v/>
      </c>
      <c r="GM10" s="155">
        <f>IF($DS10="Destreza",$FQ10,$FP10)</f>
        <v/>
      </c>
      <c r="GN10" s="155">
        <f>$GM10+IF($DT10="Físico",$CZ$3,0)+$DZ10</f>
        <v/>
      </c>
      <c r="GO10" s="155">
        <f>$FR10+IF($DT10="Vigor",$CZ$3,0)+$EA10</f>
        <v/>
      </c>
      <c r="GP10" s="155">
        <f>$FS10+IF($DT10="Intelecto",$CZ$3,0)+$EB10</f>
        <v/>
      </c>
      <c r="GQ10" s="155">
        <f>$FT10+IF($DT10="Espírito",$CZ$3,0)+$EC10</f>
        <v/>
      </c>
      <c r="GR10" s="155">
        <f>4+INT($DK10/2)</f>
        <v/>
      </c>
      <c r="GS10" s="155">
        <f>COUNTIF($EO10:$EU10,"?*")</f>
        <v/>
      </c>
      <c r="GT10" s="155">
        <f>INT((2+$FM10/2)/2)</f>
        <v/>
      </c>
      <c r="GU10" s="155">
        <f>IF($FM10&gt;=11,2,1)</f>
        <v/>
      </c>
      <c r="GV10" s="155">
        <f>1+$FW10</f>
        <v/>
      </c>
      <c r="GW10" s="155">
        <f>COUNTIF($EV10:$FC10,"?*")</f>
        <v/>
      </c>
      <c r="GX10" s="155">
        <f>IF(AND($DD10="Shikigami de criação",$DG10="Com carga"),MAX(1,CEILING($FN10/2,1)),$FN10)</f>
        <v/>
      </c>
      <c r="GY10" s="155">
        <f>$FN10+$GX10</f>
        <v/>
      </c>
      <c r="GZ10" s="155">
        <f>$FM10*(1+INT($DL10/3))</f>
        <v/>
      </c>
      <c r="HA10" s="155">
        <f>5+$FP10</f>
        <v/>
      </c>
      <c r="HB10" s="155">
        <f>COUNTIF($EJ10:$EN10,"?*")</f>
        <v/>
      </c>
      <c r="HC10" s="155">
        <f>IF($EJ10="",0,IF(COUNTIF($EJ10:$EN10,$EJ10)&gt;1,1,0))+IF($EK10="",0,IF(COUNTIF($EJ10:$EN10,$EK10)&gt;1,1,0))+IF($EL10="",0,IF(COUNTIF($EJ10:$EN10,$EL10)&gt;1,1,0))+IF($EM10="",0,IF(COUNTIF($EJ10:$EN10,$EM10)&gt;1,1,0))+IF($EN10="",0,IF(COUNTIF($EJ10:$EN10,$EN10)&gt;1,1,0))</f>
        <v/>
      </c>
      <c r="HD10" s="155">
        <f>$CZ$11</f>
        <v/>
      </c>
      <c r="HE10" s="155">
        <f>IF($FK10=0,"INVOCAÇÃO 9 · lugar vazio",$DC10&amp;" · "&amp;$DD10&amp;" · nível "&amp;$FM10&amp;" · vida "&amp;$GF10&amp;" de "&amp;$GD10)</f>
        <v/>
      </c>
      <c r="HF10" s="155">
        <f>IF($FK10=0,"VAZIA",UPPER($DC10))</f>
        <v/>
      </c>
      <c r="HG10" s="155">
        <f>IF($CZ$3&gt;=0,"+","−")&amp;ABS($CZ$3)</f>
        <v/>
      </c>
      <c r="HH10" s="155">
        <f>$GX10&amp;" PE"</f>
        <v/>
      </c>
      <c r="HI10" s="155">
        <f>$GY10&amp;" PE"</f>
        <v/>
      </c>
      <c r="HJ10" s="155">
        <f>IF(OR($FU10&gt;$FV10,$FX10&gt;$FW10),"⚠ ",IF(AND($FK10=1,$FU10&lt;$FV10),"! ",""))&amp;"ATRIBUTOS · "&amp;$FU10&amp;" DE "&amp;$FV10&amp;" PONTOS"&amp;IF($FX10&gt;$FW10," · ACIMA DE 3 SÓ COM MARCO","")</f>
        <v/>
      </c>
      <c r="HK10" s="155">
        <f>IF($FZ10="","",IF($FZ10&gt;=0,"+","−")&amp;ABS($FZ10))</f>
        <v/>
      </c>
      <c r="HL10" s="155">
        <f>IF($GA10="","",$GA10)</f>
        <v/>
      </c>
      <c r="HM10" s="155">
        <f>SUBSTITUTE($GL10&amp;" m",".",",")</f>
        <v/>
      </c>
      <c r="HN10" s="155">
        <f>IF($GN10&gt;=0,"+","−")&amp;ABS($GN10)</f>
        <v/>
      </c>
      <c r="HO10" s="155">
        <f>IF($GO10&gt;=0,"+","−")&amp;ABS($GO10)</f>
        <v/>
      </c>
      <c r="HP10" s="155">
        <f>IF($GP10&gt;=0,"+","−")&amp;ABS($GP10)</f>
        <v/>
      </c>
      <c r="HQ10" s="155">
        <f>IF($GQ10&gt;=0,"+","−")&amp;ABS($GQ10)</f>
        <v/>
      </c>
      <c r="HR10" s="155">
        <f>IF($GS10&gt;$GR10,"⚠ ","")&amp;"PERÍCIAS · "&amp;$GS10&amp;" DE "&amp;$GR10</f>
        <v/>
      </c>
      <c r="HS10" s="155">
        <f>IF($EO10="","",IFERROR(IF((INDEX($FP10:$FT10,1,MATCH(VLOOKUP($EO10,$CC$2:$CD$24,2,FALSE),$BU$2:$BU$6,0))+$CZ$3)&gt;=0,"+","−")&amp;ABS((INDEX($FP10:$FT10,1,MATCH(VLOOKUP($EO10,$CC$2:$CD$24,2,FALSE),$BU$2:$BU$6,0))+$CZ$3)),""))</f>
        <v/>
      </c>
      <c r="HT10" s="155">
        <f>IF($EP10="","",IFERROR(IF((INDEX($FP10:$FT10,1,MATCH(VLOOKUP($EP10,$CC$2:$CD$24,2,FALSE),$BU$2:$BU$6,0))+$CZ$3)&gt;=0,"+","−")&amp;ABS((INDEX($FP10:$FT10,1,MATCH(VLOOKUP($EP10,$CC$2:$CD$24,2,FALSE),$BU$2:$BU$6,0))+$CZ$3)),""))</f>
        <v/>
      </c>
      <c r="HU10" s="155">
        <f>IF($EQ10="","",IFERROR(IF((INDEX($FP10:$FT10,1,MATCH(VLOOKUP($EQ10,$CC$2:$CD$24,2,FALSE),$BU$2:$BU$6,0))+$CZ$3)&gt;=0,"+","−")&amp;ABS((INDEX($FP10:$FT10,1,MATCH(VLOOKUP($EQ10,$CC$2:$CD$24,2,FALSE),$BU$2:$BU$6,0))+$CZ$3)),""))</f>
        <v/>
      </c>
      <c r="HV10" s="155">
        <f>IF($ER10="","",IFERROR(IF((INDEX($FP10:$FT10,1,MATCH(VLOOKUP($ER10,$CC$2:$CD$24,2,FALSE),$BU$2:$BU$6,0))+$CZ$3)&gt;=0,"+","−")&amp;ABS((INDEX($FP10:$FT10,1,MATCH(VLOOKUP($ER10,$CC$2:$CD$24,2,FALSE),$BU$2:$BU$6,0))+$CZ$3)),""))</f>
        <v/>
      </c>
      <c r="HW10" s="155">
        <f>IF($ES10="","",IFERROR(IF((INDEX($FP10:$FT10,1,MATCH(VLOOKUP($ES10,$CC$2:$CD$24,2,FALSE),$BU$2:$BU$6,0))+$CZ$3)&gt;=0,"+","−")&amp;ABS((INDEX($FP10:$FT10,1,MATCH(VLOOKUP($ES10,$CC$2:$CD$24,2,FALSE),$BU$2:$BU$6,0))+$CZ$3)),""))</f>
        <v/>
      </c>
      <c r="HX10" s="155">
        <f>IF($ET10="","",IFERROR(IF((INDEX($FP10:$FT10,1,MATCH(VLOOKUP($ET10,$CC$2:$CD$24,2,FALSE),$BU$2:$BU$6,0))+$CZ$3)&gt;=0,"+","−")&amp;ABS((INDEX($FP10:$FT10,1,MATCH(VLOOKUP($ET10,$CC$2:$CD$24,2,FALSE),$BU$2:$BU$6,0))+$CZ$3)),""))</f>
        <v/>
      </c>
      <c r="HY10" s="155">
        <f>IF($EU10="","",IFERROR(IF((INDEX($FP10:$FT10,1,MATCH(VLOOKUP($EU10,$CC$2:$CD$24,2,FALSE),$BU$2:$BU$6,0))+$CZ$3)&gt;=0,"+","−")&amp;ABS((INDEX($FP10:$FT10,1,MATCH(VLOOKUP($EU10,$CC$2:$CD$24,2,FALSE),$BU$2:$BU$6,0))+$CZ$3)),""))</f>
        <v/>
      </c>
      <c r="HZ10" s="155">
        <f>IF($DD10="Maldição domada","RESERVA · MÁX. "&amp;$GZ10,"RESERVA DE PE")</f>
        <v/>
      </c>
      <c r="IA10" s="155">
        <f>IF($EG10&gt;$HA10,"⚠ ","")&amp;"EQUIPAMENTO · "&amp;$EG10&amp;" DE "&amp;$HA10&amp;" DE VOLUME"&amp;IF($EG10&gt;$HA10," · PASSOU DO LIMITE","")</f>
        <v/>
      </c>
      <c r="IB10" s="155">
        <f>IF(OR($HC10&gt;0,$HB10&gt;$HD10),"⚠ ","")&amp;"FAMÍLIAS · "&amp;$HB10&amp;" ABERTAS"&amp;IF($HC10&gt;0," · REPETIDA","")&amp;IF($HB10&gt;$HD10," · O LIMITE É "&amp;$HD10,"")</f>
        <v/>
      </c>
      <c r="IC10" s="155">
        <f>"HABILIDADES · básica de "&amp;$FO10&amp;"d6 · "&amp;$GT10&amp;IF($GT10&gt;1," espaços"," espaço")&amp;" de especial até a Classe "&amp;$FN10&amp;" · "&amp;$GV10&amp;IF($GV10&gt;1," talentos"," talento")</f>
        <v/>
      </c>
      <c r="ID10" s="155">
        <f>IF($GW10&gt;$GV10,"⚠ ","")&amp;"TALENTOS · "&amp;$GW10&amp;" DE "&amp;$GV10</f>
        <v/>
      </c>
      <c r="IE10" s="155">
        <f>IFERROR(VLOOKUP($EV10,$BI$2:$BL$15,2,FALSE),0)</f>
        <v/>
      </c>
      <c r="IF10" s="155">
        <f>IFERROR(VLOOKUP($EW10,$BI$2:$BL$15,2,FALSE),0)</f>
        <v/>
      </c>
      <c r="IG10" s="155">
        <f>IFERROR(VLOOKUP($EX10,$BI$2:$BL$15,2,FALSE),0)</f>
        <v/>
      </c>
      <c r="IH10" s="155">
        <f>IFERROR(VLOOKUP($EY10,$BI$2:$BL$15,2,FALSE),0)</f>
        <v/>
      </c>
      <c r="II10" s="155">
        <f>IFERROR(VLOOKUP($EZ10,$BI$2:$BL$15,2,FALSE),0)</f>
        <v/>
      </c>
      <c r="IJ10" s="155">
        <f>IFERROR(VLOOKUP($FA10,$BI$2:$BL$15,2,FALSE),0)</f>
        <v/>
      </c>
      <c r="IK10" s="155">
        <f>IFERROR(VLOOKUP($FB10,$BI$2:$BL$15,2,FALSE),0)</f>
        <v/>
      </c>
      <c r="IL10" s="155">
        <f>IFERROR(VLOOKUP($FC10,$BI$2:$BL$15,2,FALSE),0)</f>
        <v/>
      </c>
      <c r="IM10" s="155">
        <f>IF($EV10="","",IF(1&gt;$FM10,"⚠ Este talento abre no nível 1",IF($IE10&gt;1,"⚠ Categoria "&amp;$IE10&amp;": este ganho vai até a 1 · ","")&amp;IFERROR(VLOOKUP($EV10,$BI$2:$BL$15,3,FALSE),"")))</f>
        <v/>
      </c>
      <c r="IN10" s="155">
        <f>IF($EW10="","",IF(6&gt;$FM10,"⚠ Este talento abre no nível 6",IF($IF10&gt;1,"⚠ Categoria "&amp;$IF10&amp;": este ganho vai até a 1 · ","")&amp;IFERROR(VLOOKUP($EW10,$BI$2:$BL$15,3,FALSE),"")))</f>
        <v/>
      </c>
      <c r="IO10" s="155">
        <f>IF($EX10="","",IF(10&gt;$FM10,"⚠ Este talento abre no nível 10",IF($IG10&gt;2,"⚠ Categoria "&amp;$IG10&amp;": este ganho vai até a 2 · ","")&amp;IFERROR(VLOOKUP($EX10,$BI$2:$BL$15,3,FALSE),"")))</f>
        <v/>
      </c>
      <c r="IP10" s="155">
        <f>IF($EY10="","",IF(14&gt;$FM10,"⚠ Este talento abre no nível 14",IF($IH10&gt;3,"⚠ Categoria "&amp;$IH10&amp;": este ganho vai até a 3 · ","")&amp;IFERROR(VLOOKUP($EY10,$BI$2:$BL$15,3,FALSE),"")))</f>
        <v/>
      </c>
      <c r="IQ10" s="155">
        <f>IF($EZ10="","",IF(18&gt;$FM10,"⚠ Este talento abre no nível 18",IF($II10&gt;3,"⚠ Categoria "&amp;$II10&amp;": este ganho vai até a 3 · ","")&amp;IFERROR(VLOOKUP($EZ10,$BI$2:$BL$15,3,FALSE),"")))</f>
        <v/>
      </c>
      <c r="IR10" s="155">
        <f>IF($FA10="","",IF(22&gt;$FM10,"⚠ Este talento abre no nível 22",IF($IJ10&gt;3,"⚠ Categoria "&amp;$IJ10&amp;": este ganho vai até a 3 · ","")&amp;IFERROR(VLOOKUP($FA10,$BI$2:$BL$15,3,FALSE),"")))</f>
        <v/>
      </c>
      <c r="IS10" s="155">
        <f>IF($FB10="","",IF(26&gt;$FM10,"⚠ Este talento abre no nível 26",IF($IK10&gt;3,"⚠ Categoria "&amp;$IK10&amp;": este ganho vai até a 3 · ","")&amp;IFERROR(VLOOKUP($FB10,$BI$2:$BL$15,3,FALSE),"")))</f>
        <v/>
      </c>
      <c r="IT10" s="155">
        <f>IF($FC10="","",IF(30&gt;$FM10,"⚠ Este talento abre no nível 30",IF($IL10&gt;3,"⚠ Categoria "&amp;$IL10&amp;": este ganho vai até a 3 · ","")&amp;IFERROR(VLOOKUP($FC10,$BI$2:$BL$15,3,FALSE),"")))</f>
        <v/>
      </c>
      <c r="IU10" s="155">
        <f>IF($FD10="","",IFERROR(VLOOKUP($FD10,$BI$2:$BL$15,3,FALSE),""))</f>
        <v/>
      </c>
      <c r="IV10" s="155">
        <f>IF($FE10="","",IFERROR(VLOOKUP($FE10,$BI$2:$BL$15,3,FALSE),""))</f>
        <v/>
      </c>
      <c r="IW10" s="155">
        <f>IF($FF10="","",IFERROR(VLOOKUP($FF10,$BI$2:$BL$15,3,FALSE),""))</f>
        <v/>
      </c>
      <c r="IX10" s="155">
        <f>CEILING(4.5*$FG10,1)&amp;" PE"</f>
        <v/>
      </c>
      <c r="IY10" s="155">
        <f>CEILING(4.5*$FH10,1)&amp;" PE"</f>
        <v/>
      </c>
      <c r="IZ10" s="155">
        <f>CEILING(4.5*$FI10,1)&amp;" PE"</f>
        <v/>
      </c>
      <c r="JA10" s="155">
        <f>INDEX($P$2:$P$8,$FG10)&amp;" pontos + "&amp;$FG10&amp;"d8"</f>
        <v/>
      </c>
      <c r="JB10" s="155">
        <f>INDEX($P$2:$P$8,$FH10)&amp;" pontos + "&amp;$FH10&amp;"d8"</f>
        <v/>
      </c>
      <c r="JC10" s="155">
        <f>INDEX($P$2:$P$8,$FI10)&amp;" pontos + "&amp;$FI10&amp;"d8"</f>
        <v/>
      </c>
      <c r="JD10" s="155">
        <f>IF($FM10&lt;17,"—",VLOOKUP($FM10,$CN$2:$CQ$4,4,TRUE)&amp;" PE")</f>
        <v/>
      </c>
      <c r="JE10" s="155">
        <f>IF($FM10&lt;17,"Abre no nível 17",VLOOKUP($FM10,$CN$2:$CQ$4,2,TRUE)&amp;" fixos · "&amp;VLOOKUP($FM10,$CN$2:$CQ$4,3,TRUE)&amp;" pontos")</f>
        <v/>
      </c>
      <c r="JF10" s="155">
        <f>IF($FJ10="Sem Barreiras",7,6)*$FN10&amp;" PE"</f>
        <v/>
      </c>
      <c r="JG10" s="155">
        <f>"Acerto "&amp;$FN10&amp;"d8"</f>
        <v/>
      </c>
      <c r="JH10" s="155">
        <f>IFERROR(VLOOKUP($FJ10,$CS$2:$CU$4,3,FALSE),"Escolha o degrau")</f>
        <v/>
      </c>
      <c r="JI10" s="155">
        <f>9&amp;" · "&amp;IF($FK10=0,"vazia",$DC10&amp;" · nv "&amp;$FM10&amp;" · "&amp;$GF10&amp;"/"&amp;$GD10)</f>
        <v/>
      </c>
      <c r="JM10" s="153" t="inlineStr">
        <is>
          <t>Invocação 9</t>
        </is>
      </c>
      <c r="JN10" s="155">
        <f>ADDRESS(ROW('INVOCAÇÕES'!D29),COLUMN('INVOCAÇÕES'!D29),4)</f>
        <v/>
      </c>
      <c r="JO10" s="155">
        <f>ADDRESS(ROW('INVOCAÇÕES'!AA405),COLUMN('INVOCAÇÕES'!AA405),4)</f>
        <v/>
      </c>
      <c r="JP10" s="153" t="inlineStr">
        <is>
          <t>DADOS_INVOC!$JI$10</t>
        </is>
      </c>
      <c r="JR10" s="155">
        <f>IF(OR($AW10="",COUNTIF($EJ$2:$EN$2,$AW10)&gt;0),$AV10,"")</f>
        <v/>
      </c>
      <c r="JS10" s="155">
        <f>IF(AND($AX10=1,OR($AW10="",COUNTIF($EJ$2:$EN$2,$AW10)&gt;0)),$AV10,"")</f>
        <v/>
      </c>
      <c r="JU10" s="155">
        <f>IF(OR($W10="",COUNTIF($EJ$2:$EN$2,$W10)&gt;0),$V10,"")</f>
        <v/>
      </c>
      <c r="JV10" s="155">
        <f>IF(AND($AF10=1,OR($W10="",COUNTIF($EJ$2:$EN$2,$W10)&gt;0)),$V10,"")</f>
        <v/>
      </c>
      <c r="JX10" s="155">
        <f>IF(OR($AW10="",COUNTIF($EJ$3:$EN$3,$AW10)&gt;0),$AV10,"")</f>
        <v/>
      </c>
      <c r="JY10" s="155">
        <f>IF(AND($AX10=1,OR($AW10="",COUNTIF($EJ$3:$EN$3,$AW10)&gt;0)),$AV10,"")</f>
        <v/>
      </c>
      <c r="KA10" s="155">
        <f>IF(OR($W10="",COUNTIF($EJ$3:$EN$3,$W10)&gt;0),$V10,"")</f>
        <v/>
      </c>
      <c r="KB10" s="155">
        <f>IF(AND($AF10=1,OR($W10="",COUNTIF($EJ$3:$EN$3,$W10)&gt;0)),$V10,"")</f>
        <v/>
      </c>
      <c r="KD10" s="155">
        <f>IF(OR($AW10="",COUNTIF($EJ$4:$EN$4,$AW10)&gt;0),$AV10,"")</f>
        <v/>
      </c>
      <c r="KE10" s="155">
        <f>IF(AND($AX10=1,OR($AW10="",COUNTIF($EJ$4:$EN$4,$AW10)&gt;0)),$AV10,"")</f>
        <v/>
      </c>
      <c r="KG10" s="155">
        <f>IF(OR($W10="",COUNTIF($EJ$4:$EN$4,$W10)&gt;0),$V10,"")</f>
        <v/>
      </c>
      <c r="KH10" s="155">
        <f>IF(AND($AF10=1,OR($W10="",COUNTIF($EJ$4:$EN$4,$W10)&gt;0)),$V10,"")</f>
        <v/>
      </c>
      <c r="KJ10" s="155">
        <f>IF(OR($AW10="",COUNTIF($EJ$5:$EN$5,$AW10)&gt;0),$AV10,"")</f>
        <v/>
      </c>
      <c r="KK10" s="155">
        <f>IF(AND($AX10=1,OR($AW10="",COUNTIF($EJ$5:$EN$5,$AW10)&gt;0)),$AV10,"")</f>
        <v/>
      </c>
      <c r="KM10" s="155">
        <f>IF(OR($W10="",COUNTIF($EJ$5:$EN$5,$W10)&gt;0),$V10,"")</f>
        <v/>
      </c>
      <c r="KN10" s="155">
        <f>IF(AND($AF10=1,OR($W10="",COUNTIF($EJ$5:$EN$5,$W10)&gt;0)),$V10,"")</f>
        <v/>
      </c>
      <c r="KP10" s="155">
        <f>IF(OR($AW10="",COUNTIF($EJ$6:$EN$6,$AW10)&gt;0),$AV10,"")</f>
        <v/>
      </c>
      <c r="KQ10" s="155">
        <f>IF(AND($AX10=1,OR($AW10="",COUNTIF($EJ$6:$EN$6,$AW10)&gt;0)),$AV10,"")</f>
        <v/>
      </c>
      <c r="KS10" s="155">
        <f>IF(OR($W10="",COUNTIF($EJ$6:$EN$6,$W10)&gt;0),$V10,"")</f>
        <v/>
      </c>
      <c r="KT10" s="155">
        <f>IF(AND($AF10=1,OR($W10="",COUNTIF($EJ$6:$EN$6,$W10)&gt;0)),$V10,"")</f>
        <v/>
      </c>
      <c r="KV10" s="155">
        <f>IF(OR($AW10="",COUNTIF($EJ$7:$EN$7,$AW10)&gt;0),$AV10,"")</f>
        <v/>
      </c>
      <c r="KW10" s="155">
        <f>IF(AND($AX10=1,OR($AW10="",COUNTIF($EJ$7:$EN$7,$AW10)&gt;0)),$AV10,"")</f>
        <v/>
      </c>
      <c r="KY10" s="155">
        <f>IF(OR($W10="",COUNTIF($EJ$7:$EN$7,$W10)&gt;0),$V10,"")</f>
        <v/>
      </c>
      <c r="KZ10" s="155">
        <f>IF(AND($AF10=1,OR($W10="",COUNTIF($EJ$7:$EN$7,$W10)&gt;0)),$V10,"")</f>
        <v/>
      </c>
      <c r="LB10" s="155">
        <f>IF(OR($AW10="",COUNTIF($EJ$8:$EN$8,$AW10)&gt;0),$AV10,"")</f>
        <v/>
      </c>
      <c r="LC10" s="155">
        <f>IF(AND($AX10=1,OR($AW10="",COUNTIF($EJ$8:$EN$8,$AW10)&gt;0)),$AV10,"")</f>
        <v/>
      </c>
      <c r="LE10" s="155">
        <f>IF(OR($W10="",COUNTIF($EJ$8:$EN$8,$W10)&gt;0),$V10,"")</f>
        <v/>
      </c>
      <c r="LF10" s="155">
        <f>IF(AND($AF10=1,OR($W10="",COUNTIF($EJ$8:$EN$8,$W10)&gt;0)),$V10,"")</f>
        <v/>
      </c>
      <c r="LH10" s="155">
        <f>IF(OR($AW10="",COUNTIF($EJ$9:$EN$9,$AW10)&gt;0),$AV10,"")</f>
        <v/>
      </c>
      <c r="LI10" s="155">
        <f>IF(AND($AX10=1,OR($AW10="",COUNTIF($EJ$9:$EN$9,$AW10)&gt;0)),$AV10,"")</f>
        <v/>
      </c>
      <c r="LK10" s="155">
        <f>IF(OR($W10="",COUNTIF($EJ$9:$EN$9,$W10)&gt;0),$V10,"")</f>
        <v/>
      </c>
      <c r="LL10" s="155">
        <f>IF(AND($AF10=1,OR($W10="",COUNTIF($EJ$9:$EN$9,$W10)&gt;0)),$V10,"")</f>
        <v/>
      </c>
      <c r="LN10" s="155">
        <f>IF(OR($AW10="",COUNTIF($EJ$10:$EN$10,$AW10)&gt;0),$AV10,"")</f>
        <v/>
      </c>
      <c r="LO10" s="155">
        <f>IF(AND($AX10=1,OR($AW10="",COUNTIF($EJ$10:$EN$10,$AW10)&gt;0)),$AV10,"")</f>
        <v/>
      </c>
      <c r="LQ10" s="155">
        <f>IF(OR($W10="",COUNTIF($EJ$10:$EN$10,$W10)&gt;0),$V10,"")</f>
        <v/>
      </c>
      <c r="LR10" s="155">
        <f>IF(AND($AF10=1,OR($W10="",COUNTIF($EJ$10:$EN$10,$W10)&gt;0)),$V10,"")</f>
        <v/>
      </c>
      <c r="LT10" s="155">
        <f>IF(OR($AW10="",COUNTIF($EJ$11:$EN$11,$AW10)&gt;0),$AV10,"")</f>
        <v/>
      </c>
      <c r="LU10" s="155">
        <f>IF(AND($AX10=1,OR($AW10="",COUNTIF($EJ$11:$EN$11,$AW10)&gt;0)),$AV10,"")</f>
        <v/>
      </c>
      <c r="LW10" s="155">
        <f>IF(OR($W10="",COUNTIF($EJ$11:$EN$11,$W10)&gt;0),$V10,"")</f>
        <v/>
      </c>
      <c r="LX10" s="155">
        <f>IF(AND($AF10=1,OR($W10="",COUNTIF($EJ$11:$EN$11,$W10)&gt;0)),$V10,"")</f>
        <v/>
      </c>
      <c r="LZ10" s="155">
        <f>IF(OR($AW10="",COUNTIF($EJ$12:$EN$12,$AW10)&gt;0),$AV10,"")</f>
        <v/>
      </c>
      <c r="MA10" s="155">
        <f>IF(AND($AX10=1,OR($AW10="",COUNTIF($EJ$12:$EN$12,$AW10)&gt;0)),$AV10,"")</f>
        <v/>
      </c>
      <c r="MC10" s="155">
        <f>IF(OR($W10="",COUNTIF($EJ$12:$EN$12,$W10)&gt;0),$V10,"")</f>
        <v/>
      </c>
      <c r="MD10" s="155">
        <f>IF(AND($AF10=1,OR($W10="",COUNTIF($EJ$12:$EN$12,$W10)&gt;0)),$V10,"")</f>
        <v/>
      </c>
      <c r="MF10" s="155">
        <f>IF(OR($AW10="",COUNTIF($EJ$13:$EN$13,$AW10)&gt;0),$AV10,"")</f>
        <v/>
      </c>
      <c r="MG10" s="155">
        <f>IF(AND($AX10=1,OR($AW10="",COUNTIF($EJ$13:$EN$13,$AW10)&gt;0)),$AV10,"")</f>
        <v/>
      </c>
      <c r="MI10" s="155">
        <f>IF(OR($W10="",COUNTIF($EJ$13:$EN$13,$W10)&gt;0),$V10,"")</f>
        <v/>
      </c>
      <c r="MJ10" s="155">
        <f>IF(AND($AF10=1,OR($W10="",COUNTIF($EJ$13:$EN$13,$W10)&gt;0)),$V10,"")</f>
        <v/>
      </c>
      <c r="ML10" s="153" t="inlineStr">
        <is>
          <t>Ficha 1 · Especial 7</t>
        </is>
      </c>
      <c r="MM10" s="155" t="n">
        <v>1</v>
      </c>
      <c r="MN10" s="155" t="n">
        <v>1</v>
      </c>
      <c r="MO10" s="155" t="n">
        <v>24</v>
      </c>
      <c r="MP10" s="153" t="inlineStr">
        <is>
          <t>ESPECIAL 7</t>
        </is>
      </c>
      <c r="MQ10" s="155">
        <f>MAX(1,MIN(7,N('INVOCAÇÕES'!$U$114)))</f>
        <v/>
      </c>
      <c r="MR10" s="155">
        <f>'INVOCAÇÕES'!$V$114&amp;""</f>
        <v/>
      </c>
      <c r="MS10" s="155">
        <f>'INVOCAÇÕES'!$U$119&amp;""</f>
        <v/>
      </c>
      <c r="MT10" s="155">
        <f>'INVOCAÇÕES'!$U$120&amp;""</f>
        <v/>
      </c>
      <c r="MU10" s="155">
        <f>'INVOCAÇÕES'!$W$120&amp;""</f>
        <v/>
      </c>
      <c r="MV10" s="155">
        <f>'INVOCAÇÕES'!$V$123&amp;""</f>
        <v/>
      </c>
      <c r="MW10" s="155">
        <f>'INVOCAÇÕES'!$V$124&amp;""</f>
        <v/>
      </c>
      <c r="MX10" s="155">
        <f>'INVOCAÇÕES'!$V$125&amp;""</f>
        <v/>
      </c>
      <c r="MY10" s="155">
        <f>'INVOCAÇÕES'!$V$126&amp;""</f>
        <v/>
      </c>
      <c r="MZ10" s="155">
        <f>'INVOCAÇÕES'!$V$127&amp;""</f>
        <v/>
      </c>
      <c r="NA10" s="155">
        <f>'INVOCAÇÕES'!$V$128&amp;""</f>
        <v/>
      </c>
      <c r="NB10" s="155">
        <f>IF($MR10&lt;&gt;"",1,0)</f>
        <v/>
      </c>
      <c r="NC10" s="155">
        <f>INDEX($FM$2:$FM$13,$MM10)</f>
        <v/>
      </c>
      <c r="ND10" s="155">
        <f>INDEX($FN$2:$FN$13,$MM10)</f>
        <v/>
      </c>
      <c r="NE10" s="155">
        <f>INDEX($FO$2:$FO$13,$MM10)</f>
        <v/>
      </c>
      <c r="NF10" s="155">
        <f>INDEX($FZ$2:$FZ$13,$MM10)</f>
        <v/>
      </c>
      <c r="NG10" s="155">
        <f>INDEX($GA$2:$GA$13,$MM10)</f>
        <v/>
      </c>
      <c r="NH10" s="155">
        <f>IFERROR(MATCH($MS10,$V$2:$V$11,0),0)</f>
        <v/>
      </c>
      <c r="NI10" s="155">
        <f>IFERROR(VLOOKUP($MV10,$AV$2:$BA$84,2,FALSE),"")</f>
        <v/>
      </c>
      <c r="NJ10" s="155">
        <f>IFERROR(VLOOKUP($MW10,$AV$2:$BA$84,2,FALSE),"")</f>
        <v/>
      </c>
      <c r="NK10" s="155">
        <f>IFERROR(VLOOKUP($MX10,$AV$2:$BA$84,2,FALSE),"")</f>
        <v/>
      </c>
      <c r="NL10" s="155">
        <f>IFERROR(VLOOKUP($MY10,$AV$2:$BA$84,2,FALSE),"")</f>
        <v/>
      </c>
      <c r="NM10" s="155">
        <f>IFERROR(VLOOKUP($MV10,$AV$2:$BA$84,3,FALSE),0)</f>
        <v/>
      </c>
      <c r="NN10" s="155">
        <f>IFERROR(VLOOKUP($MW10,$AV$2:$BA$84,3,FALSE),0)</f>
        <v/>
      </c>
      <c r="NO10" s="155">
        <f>IFERROR(VLOOKUP($MX10,$AV$2:$BA$84,3,FALSE),0)</f>
        <v/>
      </c>
      <c r="NP10" s="155">
        <f>IFERROR(VLOOKUP($MY10,$AV$2:$BA$84,3,FALSE),0)</f>
        <v/>
      </c>
      <c r="NQ10" s="155">
        <f>IF($MQ10=0,0,IF($NH10=0,0,INDEX($X$2:$X$11,$NH10)))</f>
        <v/>
      </c>
      <c r="NR10" s="155">
        <f>IF(OR($NM10=0,$MQ10=0),0,$NM10+3*IF(AND($NI10&lt;&gt;"",OR($NI10=INDEX($EJ$2:$EJ$13,$MM10),$NI10=INDEX($EK$2:$EK$13,$MM10))),1,0))</f>
        <v/>
      </c>
      <c r="NS10" s="155">
        <f>IF(OR($NN10=0,$MQ10=0),0,$NN10+3*IF(AND($NJ10&lt;&gt;"",OR($NJ10=INDEX($EJ$2:$EJ$13,$MM10),$NJ10=INDEX($EK$2:$EK$13,$MM10))),1,0))</f>
        <v/>
      </c>
      <c r="NT10" s="155">
        <f>IF(OR($NO10=0,$MQ10=0),0,$NO10+3*IF(AND($NK10&lt;&gt;"",OR($NK10=INDEX($EJ$2:$EJ$13,$MM10),$NK10=INDEX($EK$2:$EK$13,$MM10))),1,0))</f>
        <v/>
      </c>
      <c r="NU10" s="155">
        <f>IF(OR($NP10=0,$MQ10=0),0,$NP10+3*IF(AND($NL10&lt;&gt;"",OR($NL10=INDEX($EJ$2:$EJ$13,$MM10),$NL10=INDEX($EK$2:$EK$13,$MM10))),1,0))</f>
        <v/>
      </c>
      <c r="NV10" s="155">
        <f>IF($NH10=0,0,IF(INDEX($W$2:$W$11,$NH10)="",0,IF(COUNTIF(INDEX($EJ$2:$EN$13,$MM10,0),INDEX($W$2:$W$11,$NH10))=0,1,0)))</f>
        <v/>
      </c>
      <c r="NW10" s="155">
        <f>IF(OR($NM10=0,$NI10=""),0,IF(COUNTIF(INDEX($EJ$2:$EN$13,$MM10,0),$NI10)=0,1,0))</f>
        <v/>
      </c>
      <c r="NX10" s="155">
        <f>IF(OR($NN10=0,$NJ10=""),0,IF(COUNTIF(INDEX($EJ$2:$EN$13,$MM10,0),$NJ10)=0,1,0))</f>
        <v/>
      </c>
      <c r="NY10" s="155">
        <f>IF(OR($NO10=0,$NK10=""),0,IF(COUNTIF(INDEX($EJ$2:$EN$13,$MM10,0),$NK10)=0,1,0))</f>
        <v/>
      </c>
      <c r="NZ10" s="155">
        <f>IF(OR($NP10=0,$NL10=""),0,IF(COUNTIF(INDEX($EJ$2:$EN$13,$MM10,0),$NL10)=0,1,0))</f>
        <v/>
      </c>
      <c r="OA10" s="155">
        <f>IFERROR(VLOOKUP($MV10,$AV$2:$BA$84,4,FALSE),0)+IFERROR(VLOOKUP($MW10,$AV$2:$BA$84,4,FALSE),0)+IFERROR(VLOOKUP($MX10,$AV$2:$BA$84,4,FALSE),0)+IFERROR(VLOOKUP($MY10,$AV$2:$BA$84,4,FALSE),0)</f>
        <v/>
      </c>
      <c r="OB10" s="155">
        <f>IFERROR(VLOOKUP($MV10,$AV$2:$BA$84,6,FALSE),0)+IFERROR(VLOOKUP($MW10,$AV$2:$BA$84,6,FALSE),0)+IFERROR(VLOOKUP($MX10,$AV$2:$BA$84,6,FALSE),0)+IFERROR(VLOOKUP($MY10,$AV$2:$BA$84,6,FALSE),0)</f>
        <v/>
      </c>
      <c r="OC10" s="155">
        <f>TEXTJOIN(", ",TRUE,IF(IFERROR(VLOOKUP($MV10,$AV$2:$BA$84,5,FALSE),0)=1,$MV10,""),IF(IFERROR(VLOOKUP($MW10,$AV$2:$BA$84,5,FALSE),0)=1,$MW10,""),IF(IFERROR(VLOOKUP($MX10,$AV$2:$BA$84,5,FALSE),0)=1,$MX10,""),IF(IFERROR(VLOOKUP($MY10,$AV$2:$BA$84,5,FALSE),0)=1,$MY10,""))</f>
        <v/>
      </c>
      <c r="OD10" s="155">
        <f>IF($NH10=0,0,INDEX($Y$2:$Y$11,$NH10))</f>
        <v/>
      </c>
      <c r="OE10" s="155">
        <f>IF($NH10=0,0,INDEX($Z$2:$Z$11,$NH10))</f>
        <v/>
      </c>
      <c r="OF10" s="155">
        <f>IF($NH10=0,0,INDEX($AB$2:$AB$11,$NH10))</f>
        <v/>
      </c>
      <c r="OG10" s="155">
        <f>IFERROR(VLOOKUP($MZ10,$BC$2:$BG$24,3,FALSE),0)</f>
        <v/>
      </c>
      <c r="OH10" s="155">
        <f>IFERROR(VLOOKUP($NA10,$BC$2:$BG$24,3,FALSE),0)</f>
        <v/>
      </c>
      <c r="OI10" s="155">
        <f>IFERROR(VLOOKUP($MZ10,$BC$2:$BG$24,2,FALSE),"")</f>
        <v/>
      </c>
      <c r="OJ10" s="155">
        <f>IFERROR(VLOOKUP($NA10,$BC$2:$BG$24,2,FALSE),"")</f>
        <v/>
      </c>
      <c r="OK10" s="155">
        <f>COUNTIF($NQ10:$NU10,1)</f>
        <v/>
      </c>
      <c r="OL10" s="155">
        <f>COUNTIF($NQ10:$NU10,2)</f>
        <v/>
      </c>
      <c r="OM10" s="155">
        <f>COUNTIF($NQ10:$NU10,3)</f>
        <v/>
      </c>
      <c r="ON10" s="155">
        <f>COUNTIF($NQ10:$NU10,4)</f>
        <v/>
      </c>
      <c r="OO10" s="155">
        <f>COUNTIF($NQ10:$NU10,5)</f>
        <v/>
      </c>
      <c r="OP10" s="155">
        <f>COUNTIF($NQ10:$NU10,6)</f>
        <v/>
      </c>
      <c r="OQ10" s="155">
        <f>COUNTIF($OG10:$OH10,1)</f>
        <v/>
      </c>
      <c r="OR10" s="155">
        <f>COUNTIF($OG10:$OH10,2)+$OD10</f>
        <v/>
      </c>
      <c r="OS10" s="155">
        <f>COUNTIF($MV10:$MY10,"?*")</f>
        <v/>
      </c>
      <c r="OT10" s="155">
        <f>COUNTIF($MZ10:$NA10,"?*")+$OD10</f>
        <v/>
      </c>
      <c r="OU10" s="155">
        <f>IF($MQ10=0,0,SUMPRODUCT($OK10:$OP10,INDEX($I$2:$N$8,MAX(1,$MQ10),0)))</f>
        <v/>
      </c>
      <c r="OV10" s="155">
        <f>IF($MQ10=0,0,$OQ10*CEILING($MQ10/2,1)+$OR10*$MQ10)</f>
        <v/>
      </c>
      <c r="OW10" s="155">
        <f>MIN(2*$MQ10,$OV10)</f>
        <v/>
      </c>
      <c r="OX10" s="155">
        <f>MIN($OW10,$OU10)</f>
        <v/>
      </c>
      <c r="OY10" s="155">
        <f>$OW10-$OX10</f>
        <v/>
      </c>
      <c r="OZ10" s="155">
        <f>IF($MQ10=0,0,INDEX($P$2:$P$8,MAX(1,$MQ10)))</f>
        <v/>
      </c>
      <c r="PA10" s="155">
        <f>$OZ10-$OU10+$OX10</f>
        <v/>
      </c>
      <c r="PB10" s="155">
        <f>IF($MQ10=0,MAX(0,$NE10-IF($OS10&gt;0,1,0)),MAX(0,$PA10))</f>
        <v/>
      </c>
      <c r="PC10" s="155">
        <f>IF($MQ10=0,0,(IF(COUNTIF($MV10:$MY10,"Salto")&gt;0,1,0)+IF(COUNTIF($MV10:$MY10,"Queima")&gt;0,1,0)+IF(COUNTIF($MV10:$MY10,"Estilhaço")&gt;0,1,0))*FLOOR($PB10/2,1))</f>
        <v/>
      </c>
      <c r="PD10" s="155">
        <f>MAX(0,2-SUMPRODUCT($OK10:$OP10,$I$2:$N$2)+MIN(2,$OQ10*1+$OR10*1,SUMPRODUCT($OK10:$OP10,$I$2:$N$2)))</f>
        <v/>
      </c>
      <c r="PE10" s="155">
        <f>MAX(0,4-SUMPRODUCT($OK10:$OP10,$I$3:$N$3)+MIN(4,$OQ10*1+$OR10*2,SUMPRODUCT($OK10:$OP10,$I$3:$N$3)))</f>
        <v/>
      </c>
      <c r="PF10" s="155">
        <f>MAX(0,6-SUMPRODUCT($OK10:$OP10,$I$4:$N$4)+MIN(6,$OQ10*2+$OR10*3,SUMPRODUCT($OK10:$OP10,$I$4:$N$4)))</f>
        <v/>
      </c>
      <c r="PG10" s="155">
        <f>MAX(0,9-SUMPRODUCT($OK10:$OP10,$I$5:$N$5)+MIN(8,$OQ10*2+$OR10*4,SUMPRODUCT($OK10:$OP10,$I$5:$N$5)))</f>
        <v/>
      </c>
      <c r="PH10" s="155">
        <f>MAX(0,11-SUMPRODUCT($OK10:$OP10,$I$6:$N$6)+MIN(10,$OQ10*3+$OR10*5,SUMPRODUCT($OK10:$OP10,$I$6:$N$6)))</f>
        <v/>
      </c>
      <c r="PI10" s="155">
        <f>MAX(0,13-SUMPRODUCT($OK10:$OP10,$I$7:$N$7)+MIN(12,$OQ10*3+$OR10*6,SUMPRODUCT($OK10:$OP10,$I$7:$N$7)))</f>
        <v/>
      </c>
      <c r="PJ10" s="155">
        <f>MAX(0,16-SUMPRODUCT($OK10:$OP10,$I$8:$N$8)+MIN(14,$OQ10*4+$OR10*7,SUMPRODUCT($OK10:$OP10,$I$8:$N$8)))</f>
        <v/>
      </c>
      <c r="PK10" s="155">
        <f>IF($OE10=2,3*$PD10&amp;" de vida temp.",IF($OE10=3,"sem dano",IF($PD10=0,IF($OE10=1,"sem cura","sem dano"),IF($OE10=1,"cura ","")&amp;$PD10&amp;"d8")))</f>
        <v/>
      </c>
      <c r="PL10" s="155">
        <f>IF($OE10=2,3*$PE10&amp;" de vida temp.",IF($OE10=3,"sem dano",IF($PE10=0,IF($OE10=1,"sem cura","sem dano"),IF($OE10=1,"cura ","")&amp;$PE10&amp;"d8")))</f>
        <v/>
      </c>
      <c r="PM10" s="155">
        <f>IF($OE10=2,3*$PF10&amp;" de vida temp.",IF($OE10=3,"sem dano",IF($PF10=0,IF($OE10=1,"sem cura","sem dano"),IF($OE10=1,"cura ","")&amp;$PF10&amp;"d8")))</f>
        <v/>
      </c>
      <c r="PN10" s="155">
        <f>IF($OE10=2,3*$PG10&amp;" de vida temp.",IF($OE10=3,"sem dano",IF($PG10=0,IF($OE10=1,"sem cura","sem dano"),IF($OE10=1,"cura ","")&amp;$PG10&amp;"d8")))</f>
        <v/>
      </c>
      <c r="PO10" s="155">
        <f>IF($OE10=2,3*$PH10&amp;" de vida temp.",IF($OE10=3,"sem dano",IF($PH10=0,IF($OE10=1,"sem cura","sem dano"),IF($OE10=1,"cura ","")&amp;$PH10&amp;"d8")))</f>
        <v/>
      </c>
      <c r="PP10" s="155">
        <f>IF($OE10=2,3*$PI10&amp;" de vida temp.",IF($OE10=3,"sem dano",IF($PI10=0,IF($OE10=1,"sem cura","sem dano"),IF($OE10=1,"cura ","")&amp;$PI10&amp;"d8")))</f>
        <v/>
      </c>
      <c r="PQ10" s="155">
        <f>IF($OE10=2,3*$PJ10&amp;" de vida temp.",IF($OE10=3,"sem dano",IF($PJ10=0,IF($OE10=1,"sem cura","sem dano"),IF($OE10=1,"cura ","")&amp;$PJ10&amp;"d8")))</f>
        <v/>
      </c>
      <c r="PR10" s="155">
        <f>IF($NB10=0,"",TEXTJOIN(" · ",TRUE,IF($MO10&gt;$NC10,"Este lugar abre no nível "&amp;$MO10,""),IF($MQ10&gt;$ND10,"Classe "&amp;$MQ10&amp;": o nível "&amp;$NC10&amp;" libera até a "&amp;$ND10,""),IF($NV10=1,"A Forma "&amp;$MS10&amp;" pede "&amp;INDEX($W$2:$W$11,$NH10)&amp;" aberta",""),IF(AND($MQ10=0,$NH10&gt;0,IF($NH10=0,0,INDEX($AF$2:$AF$11,$NH10))=0),$MS10&amp;" não existe na Classe 0",""),IF($NW10=1,"Família Fechada: "&amp;$MV10,""),IF($NX10=1,"Família Fechada: "&amp;$MW10,""),IF($NY10=1,"Família Fechada: "&amp;$MX10,""),IF($NZ10=1,"Família Fechada: "&amp;$MY10,""),IF(AND($MQ10&gt;0,$OS10&gt;INDEX($O$2:$O$8,MAX(1,$MQ10))),$OS10&amp;" Melhorias: a Classe "&amp;$MQ10&amp;" aceita "&amp;INDEX($O$2:$O$8,MAX(1,$MQ10)),""),IF(AND($MQ10=0,$OS10&gt;1),"A básica aceita uma Melhoria",""),IF(AND($MQ10=0,COUNTIF($NM10:$NP10,"&gt;1")&gt;0),"A básica só aceita Melhoria Leve",""),IF(AND($MQ10&gt;0,$OT10&gt;2),$OT10&amp;" Restrições"&amp;IF($OD10=1,", contando a que a Forma "&amp;$MS10&amp;" já traz","")&amp;": o limite é 2",""),IF(AND($MQ10=0,COUNTIF($MZ10:$NA10,"?*")&gt;1),"A básica aceita uma Restrição Leve",""),IF(AND($MQ10=0,COUNTIF($OG10:$OH10,2)&gt;0),"A básica só aceita Restrição Leve",""),IF(AND($MQ10&gt;0,$PA10&lt;0),"Orçamento estourado: faltam "&amp;(-$PA10)&amp;IF($PA10&lt;-1," pontos"," ponto"),""),IF(IFERROR(VLOOKUP($MZ10,$BC$2:$BG$24,4,FALSE),0)+IFERROR(VLOOKUP($NA10,$BC$2:$BG$24,4,FALSE),0)&gt;1,$OI10&amp;" e "&amp;$OJ10&amp;" são as duas de frequência",""),IF(AND((COUNTIF($MV10:$MY10,"Rápido")+COUNTIF($OI10:$OJ10,"Rápido"))&gt;0,(COUNTIF($MV10:$MY10,"Atrasar")+COUNTIF($OI10:$OJ10,"Atrasar"))&gt;0),"Rápido não entra com Atrasar",""),IF(AND((COUNTIF($MV10:$MY10,"Reação")+COUNTIF($OI10:$OJ10,"Reação"))&gt;0,(COUNTIF($MV10:$MY10,"Rápido")+COUNTIF($OI10:$OJ10,"Rápido"))&gt;0),"Reação não entra com Rápido",""),IF(AND((COUNTIF($MV10:$MY10,"Reação")+COUNTIF($OI10:$OJ10,"Reação"))&gt;0,(COUNTIF($MV10:$MY10,"Armado")+COUNTIF($OI10:$OJ10,"Armado"))&gt;0),"Reação não entra com Armado",""),IF(AND((COUNTIF($MV10:$MY10,"Reação")+COUNTIF($OI10:$OJ10,"Reação"))&gt;0,(COUNTIF($MV10:$MY10,"Atrasar")+COUNTIF($OI10:$OJ10,"Atrasar"))&gt;0),"Reação não entra com Atrasar",""),IF(AND((COUNTIF($MV10:$MY10,"Reação")+COUNTIF($OI10:$OJ10,"Reação"))&gt;0,(COUNTIF($MV10:$MY10,"Parado")+COUNTIF($OI10:$OJ10,"Parado"))&gt;0),"Reação não entra com Parado",""),IF(AND((COUNTIF($MV10:$MY10,"Atrasar")+COUNTIF($OI10:$OJ10,"Atrasar"))&gt;0,(COUNTIF($MV10:$MY10,"Parado")+COUNTIF($OI10:$OJ10,"Parado"))&gt;0),"Atrasar não entra com Parado",""),IF(AND((COUNTIF($MV10:$MY10,"Armado")+COUNTIF($OI10:$OJ10,"Armado"))&gt;0,(COUNTIF($MV10:$MY10,"Carregar")+COUNTIF($OI10:$OJ10,"Carregar"))&gt;0),"Armado não entra com Carregar",""),IF(AND(COUNTIF($OI10:$OJ10,"Corpo a Corpo")&gt;0,$OD10=0,OR($MS10="Cone",$MS10="Linha")),"Corpo a Corpo não entra em "&amp;$MS10,""),IF(AND(COUNTIF($OI10:$OJ10,"Corpo a Corpo")&gt;0,$OD10=1),"A Forma "&amp;$MS10&amp;" já traz o Corpo a Corpo",""),IF(AND(COUNTIF($OI10:$OJ10,"Tudo ou Nada")&gt;0,$OF10=0),"Tudo ou Nada só entra em habilidade de Teste de Resistência",""),IF(AND(COUNTIF($MV10:$MY10,"Inescapável")&gt;0,OR($OS10&gt;1,$OT10&gt;0)),"Inescapável não aceita outra peça",""),IF(AND($MQ10&gt;0,$PB10*IF(COUNTIF($MV10:$MY10,"Remate")&gt;0,1.25,1)+$PC10&gt;4*$MQ10),($PB10*IF(COUNTIF($MV10:$MY10,"Remate")&gt;0,1.25,1)+$PC10)&amp;" dados somando repetições"&amp;IF(COUNTIF($MV10:$MY10,"Remate")&gt;0," e o Remate","")&amp;": o teto da Classe "&amp;$MQ10&amp;" é "&amp;4*$MQ10,"")))</f>
        <v/>
      </c>
      <c r="PS10" s="155">
        <f>IF($PR10="",0,(LEN($PR10)-LEN(SUBSTITUTE($PR10," · ","")))/3+1)</f>
        <v/>
      </c>
      <c r="PT10" s="155">
        <f>IF($NB10=0,"",TEXTJOIN(" · ",TRUE,IF($OV10&gt;2*$MQ10,"A devolução parou no teto de "&amp;2*$MQ10,""),IF($OY10&gt;0,"Devolução perdida: "&amp;$OY10&amp;IF($OY10&gt;1," pontos"," ponto")&amp;" sem peça para pagar",""),IF(AND($OA10&gt;0,AND($MQ10&gt;0,$OE10=0),$PB10=0),"Controle sem dano: uma rodada a mais e CD +2",""),IF(AND($OA10&gt;0,AND($MQ10&gt;0,$OE10=0),$PB10&gt;0,$PB10&lt;=$MQ10),"Controle com saldo até a Classe: uma rodada a mais",""),IF(AND($MQ10&gt;0,$OC10&lt;&gt;""),"Efeito de "&amp;$OC10&amp;" pela Classe "&amp;MAX(1,$MQ10-1),"")))</f>
        <v/>
      </c>
      <c r="PU10" s="155">
        <f>IF($PT10="",0,(LEN($PT10)-LEN(SUBSTITUTE($PT10," · ","")))/3+1)</f>
        <v/>
      </c>
      <c r="PV10" s="155">
        <f>IF($NB10=0,IF($OS10+COUNTIF($MZ10:$NA10,"?*")&gt;0,"Dê um nome",""),IF($PS10&gt;0,"⚠ "&amp;$PS10&amp;IF($PS10&gt;1," erros"," erro"),IF($PU10&gt;0,"! "&amp;$PU10&amp;IF($PU10&gt;1," avisos"," aviso"),"Na regra")))</f>
        <v/>
      </c>
      <c r="PW10" s="155">
        <f>IF($NB10=0,"",IF($PS10+$PU10=0,"Dentro das regras que a ficha confere",$PR10&amp;IF(AND($PS10&gt;0,$PU10&gt;0)," · ","")&amp;$PT10))</f>
        <v/>
      </c>
      <c r="PX10" s="155">
        <f>IF($MO10&gt;$NC10,$MP10&amp;" · ABRE NO NÍVEL "&amp;$MO10,$MP10)</f>
        <v/>
      </c>
      <c r="PY10" s="155">
        <f>IF($NB10=0,"",IF($MQ10=0,"Sem PE",3*$MQ10&amp;" PE"))</f>
        <v/>
      </c>
      <c r="PZ10" s="155">
        <f>IF($NB10=0,"",IF($MQ10=0,"A atuação básica dela",IF(COUNTIF($OI10:$OJ10,"Atrasar")&gt;0,"Sua Ação Completa",IF(COUNTIF($MV10:$MY10,"Rápido")&gt;0,"Sua Bônus",IF(COUNTIF($MV10:$MY10,"Reação")&gt;0,"Sua Reação","Sua Padrão")))&amp;" + a básica dela"&amp;IF(COUNTIF($MV10:$MY10,"Reação")&gt;0," e a coletiva","")&amp;IF(COUNTIF($OI10:$OJ10,"Carregar")&gt;0," · em dois turnos","")))</f>
        <v/>
      </c>
      <c r="QA10" s="155">
        <f>IF($MU10&lt;&gt;"",$MU10,IF($NH10=0,"",INDEX($AA$2:$AA$11,$NH10)))</f>
        <v/>
      </c>
      <c r="QB10" s="155">
        <f>IF(OR($NB10=0,$NH10=0),"",IF(COUNTIF($MV10:$MY10,"Inescapável")&gt;0,"Automático",IF($QA10="Ataque",IF($NF10="","Ataque","Ataque "&amp;IF(($NF10+2*IF(COUNTIF($MV10:$MY10,"Precisão")&gt;0,1,0))&gt;=0,"+","−")&amp;ABS(($NF10+2*IF(COUNTIF($MV10:$MY10,"Precisão")&gt;0,1,0))))&amp;IF($OB10&gt;0," · TR"&amp;IF($NG10="",""," CD "&amp;$NG10),""),IF(LEFT($QA10,2)="TR",$QA10&amp;IF($NG10="",""," · CD "&amp;$NG10)&amp;IF(COUNTIF($MV10:$MY10,"Certeiro")&gt;0," · metade",""),"Sem rolagem"))))</f>
        <v/>
      </c>
      <c r="QC10" s="155">
        <f>IF(OR($NB10=0,$NH10=0),"",IF($MQ10=0,IF(OR($OE10&gt;=1,$PB10=0),"Sem dano",$PB10&amp;"d6"&amp;IF($MT10="",""," "&amp;$MT10)),IF(OR($OE10&gt;=1,$PB10=0),UPPER(LEFT(INDEX($PK10:$PQ10,1,MAX(1,$MQ10)),1))&amp;MID(INDEX($PK10:$PQ10,1,MAX(1,$MQ10)),2,99),UPPER(LEFT(INDEX($PK10:$PQ10,1,MAX(1,$MQ10)),1))&amp;MID(INDEX($PK10:$PQ10,1,MAX(1,$MQ10)),2,99)&amp;IF($MT10="",""," "&amp;$MT10)&amp;IF($PC10&gt;0," · +"&amp;$PC10&amp;"d8",""))))</f>
        <v/>
      </c>
      <c r="QD10" s="155">
        <f>COUNTIF($MV10:$MY10,"Longe")+3*COUNTIF($MV10:$MY10,"Muito Longe")</f>
        <v/>
      </c>
      <c r="QE10" s="155">
        <f>COUNTIF($MV10:$MY10,"Maior")+3*COUNTIF($MV10:$MY10,"Muito Maior")</f>
        <v/>
      </c>
      <c r="QF10" s="155">
        <f>IF($NH10=0,0,CHOOSE(1+INDEX($AC$2:$AC$11,$NH10),0,$QD10,$QE10,$QD10+$QE10))</f>
        <v/>
      </c>
      <c r="QG10" s="155">
        <f>IF($NH10=0,0,CHOOSE(1+INDEX($AD$2:$AD$11,$NH10),0,$QD10,$QE10,$QD10+$QE10))</f>
        <v/>
      </c>
      <c r="QH10" s="155">
        <f>IF(OR($NB10=0,$NH10=0),"",INDEX($AI$2:$AN$41,($NH10-1)*4+IF($MQ10=0,1,IF($MQ10&lt;=5,2,IF($MQ10=6,3,4))),1+MIN(5,$QF10))&amp;INDEX($AO$2:$AT$41,($NH10-1)*4+IF($MQ10=0,1,IF($MQ10&lt;=5,2,IF($MQ10=6,3,4))),1+MIN(5,$QG10))&amp;IF(INDEX($AE$2:$AE$11,$NH10)=1,IF(COUNTIF($MV10:$MY10,"Mais Um")&gt;0," · +"&amp;COUNTIF($MV10:$MY10,"Mais Um")&amp;IF(COUNTIF($MV10:$MY10,"Mais Um")&gt;1," alvos"," alvo"),"")&amp;IF(COUNTIF($MV10:$MY10,"Rajada")&gt;0,IF($MQ10=0," · 1 tiro"," · "&amp;(MAX(1,$MQ10-1)+1)&amp;" tiros"),""),""))</f>
        <v/>
      </c>
      <c r="QI10" s="155">
        <f>IF($NB10=0,"",IF($MQ10=0,$NE10&amp;"d6"&amp;IF($OS10&gt;0," − 1 = "&amp;$PB10&amp;"d6"," da básica do nível "&amp;$NC10),$OZ10&amp;" − "&amp;$OU10&amp;" + "&amp;$OX10&amp;" = "&amp;$PA10&amp;" · teto "&amp;4*$MQ10&amp;"d8"&amp;IF($OD10=1," · a Forma devolve "&amp;$MQ10,"")&amp;IF($OY10&gt;0," · perde "&amp;$OY10,"")))</f>
        <v/>
      </c>
      <c r="QJ10" s="155">
        <f>IF($NB10=0,"",IF($MQ10=0,"A básica não amplia: os dados dela sobem com o nível",IF($MQ10&gt;=$ND10,"Já está na maior Classe que o nível liberou",TEXTJOIN(" · ",TRUE,IF(AND(2&gt;$MQ10,2&lt;=$ND10),"2 → "&amp;$PL10&amp;", 6 PE",""),IF(AND(3&gt;$MQ10,3&lt;=$ND10),"3 → "&amp;$PM10&amp;", 9 PE",""),IF(AND(4&gt;$MQ10,4&lt;=$ND10),"4 → "&amp;$PN10&amp;", 12 PE",""),IF(AND(5&gt;$MQ10,5&lt;=$ND10),"5 → "&amp;$PO10&amp;", 15 PE",""),IF(AND(6&gt;$MQ10,6&lt;=$ND10),"6 → "&amp;$PP10&amp;", 18 PE",""),IF(AND(7&gt;$MQ10,7&lt;=$ND10),"7 → "&amp;$PQ10&amp;", 21 PE","")))))</f>
        <v/>
      </c>
      <c r="QK10" s="155">
        <f>IF(OR($NB10=0,$NM10=0),"",IF($MQ10=0,"−1 dado","−"&amp;INDEX($I$2:$N$8,MAX(1,$MQ10),MAX(1,$NR10))&amp;" · "&amp;CHOOSE(MAX(1,$NR10),"Leve","Média","Pesada","Leve · Livre","Média · Livre","Pesada · Livre")))</f>
        <v/>
      </c>
      <c r="QL10" s="155">
        <f>IF(OR($NB10=0,$NN10=0),"",IF($MQ10=0,"−1 dado","−"&amp;INDEX($I$2:$N$8,MAX(1,$MQ10),MAX(1,$NS10))&amp;" · "&amp;CHOOSE(MAX(1,$NS10),"Leve","Média","Pesada","Leve · Livre","Média · Livre","Pesada · Livre")))</f>
        <v/>
      </c>
      <c r="QM10" s="155">
        <f>IF(OR($NB10=0,$NO10=0),"",IF($MQ10=0,"−1 dado","−"&amp;INDEX($I$2:$N$8,MAX(1,$MQ10),MAX(1,$NT10))&amp;" · "&amp;CHOOSE(MAX(1,$NT10),"Leve","Média","Pesada","Leve · Livre","Média · Livre","Pesada · Livre")))</f>
        <v/>
      </c>
      <c r="QN10" s="155">
        <f>IF(OR($NB10=0,$NP10=0),"",IF($MQ10=0,"−1 dado","−"&amp;INDEX($I$2:$N$8,MAX(1,$MQ10),MAX(1,$NU10))&amp;" · "&amp;CHOOSE(MAX(1,$NU10),"Leve","Média","Pesada","Leve · Livre","Média · Livre","Pesada · Livre")))</f>
        <v/>
      </c>
      <c r="QO10" s="155">
        <f>IF(OR($NB10=0,$MZ10=""),"",IF($MQ10=0,"não devolve","+"&amp;IF($OG10=1,CEILING($MQ10/2,1),$MQ10)))</f>
        <v/>
      </c>
      <c r="QP10" s="155">
        <f>IF(OR($NB10=0,$NA10=""),"",IF($MQ10=0,"não devolve","+"&amp;IF($OH10=1,CEILING($MQ10/2,1),$MQ10)))</f>
        <v/>
      </c>
    </row>
    <row r="11">
      <c r="V11" s="153" t="inlineStr">
        <is>
          <t>Efeito</t>
        </is>
      </c>
      <c r="W11" s="153" t="inlineStr"/>
      <c r="X11" s="155" t="n">
        <v>0</v>
      </c>
      <c r="Y11" s="155" t="n">
        <v>0</v>
      </c>
      <c r="Z11" s="155" t="n">
        <v>3</v>
      </c>
      <c r="AA11" s="153" t="inlineStr">
        <is>
          <t>—</t>
        </is>
      </c>
      <c r="AB11" s="155" t="n">
        <v>0</v>
      </c>
      <c r="AC11" s="155" t="n">
        <v>0</v>
      </c>
      <c r="AD11" s="155" t="n">
        <v>0</v>
      </c>
      <c r="AE11" s="155" t="n">
        <v>0</v>
      </c>
      <c r="AF11" s="155" t="n">
        <v>1</v>
      </c>
      <c r="AH11" s="153" t="inlineStr">
        <is>
          <t>Explosão · classes 1 a 5</t>
        </is>
      </c>
      <c r="AI11" s="153" t="inlineStr">
        <is>
          <t>Raio 3 m</t>
        </is>
      </c>
      <c r="AJ11" s="153" t="inlineStr">
        <is>
          <t>Raio 4,5 m</t>
        </is>
      </c>
      <c r="AK11" s="153" t="inlineStr">
        <is>
          <t>Raio 6 m</t>
        </is>
      </c>
      <c r="AL11" s="153" t="inlineStr">
        <is>
          <t>Raio 9 m</t>
        </is>
      </c>
      <c r="AM11" s="153" t="inlineStr">
        <is>
          <t>Raio 15 m</t>
        </is>
      </c>
      <c r="AN11" s="153" t="inlineStr">
        <is>
          <t>Raio 15 m</t>
        </is>
      </c>
      <c r="AO11" s="153" t="inlineStr">
        <is>
          <t>, a 18 m</t>
        </is>
      </c>
      <c r="AP11" s="153" t="inlineStr">
        <is>
          <t>, a 36 m</t>
        </is>
      </c>
      <c r="AQ11" s="153" t="inlineStr">
        <is>
          <t>, a 90 m</t>
        </is>
      </c>
      <c r="AR11" s="153" t="inlineStr">
        <is>
          <t>, a visão a olho nu</t>
        </is>
      </c>
      <c r="AS11" s="153" t="inlineStr">
        <is>
          <t>, a visão a olho nu</t>
        </is>
      </c>
      <c r="AT11" s="153" t="inlineStr">
        <is>
          <t>, a visão a olho nu</t>
        </is>
      </c>
      <c r="AV11" s="153" t="inlineStr">
        <is>
          <t>Escolher</t>
        </is>
      </c>
      <c r="AW11" s="153" t="inlineStr">
        <is>
          <t>Área</t>
        </is>
      </c>
      <c r="AX11" s="155" t="n">
        <v>2</v>
      </c>
      <c r="AY11" s="155" t="n">
        <v>0</v>
      </c>
      <c r="AZ11" s="155" t="n">
        <v>0</v>
      </c>
      <c r="BA11" s="155" t="n">
        <v>0</v>
      </c>
      <c r="BC11" s="153" t="inlineStr">
        <is>
          <t>Fraqueza (Média)</t>
        </is>
      </c>
      <c r="BD11" s="153" t="inlineStr">
        <is>
          <t>Fraqueza</t>
        </is>
      </c>
      <c r="BE11" s="155" t="n">
        <v>2</v>
      </c>
      <c r="BF11" s="155" t="n">
        <v>0</v>
      </c>
      <c r="BG11" s="153" t="inlineStr"/>
      <c r="BI11" s="153" t="inlineStr">
        <is>
          <t>Contramedida</t>
        </is>
      </c>
      <c r="BJ11" s="155" t="n">
        <v>2</v>
      </c>
      <c r="BK11"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3" t="inlineStr"/>
      <c r="CC11" s="153" t="inlineStr">
        <is>
          <t>História</t>
        </is>
      </c>
      <c r="CD11" s="153" t="inlineStr">
        <is>
          <t>Inteligência</t>
        </is>
      </c>
      <c r="CH11" s="153" t="inlineStr">
        <is>
          <t>Radiante</t>
        </is>
      </c>
      <c r="CY11" s="153" t="inlineStr">
        <is>
          <t>famílias da trilha</t>
        </is>
      </c>
      <c r="CZ11" s="155">
        <f>IF($CZ$4="Invocação Principal",5,IF(OR($CZ$4="Parceria",$CZ$4="Múltiplas Invocações"),4,3))</f>
        <v/>
      </c>
      <c r="DB11" s="155" t="n">
        <v>10</v>
      </c>
      <c r="DC11" s="155">
        <f>'INVOCAÇÕES'!$AB$607&amp;""</f>
        <v/>
      </c>
      <c r="DD11" s="155">
        <f>'INVOCAÇÕES'!$AB$637&amp;""</f>
        <v/>
      </c>
      <c r="DE11" s="155">
        <f>'INVOCAÇÕES'!$AB$641&amp;""</f>
        <v/>
      </c>
      <c r="DF11" s="155">
        <f>N('INVOCAÇÕES'!$AD$641)</f>
        <v/>
      </c>
      <c r="DG11" s="155">
        <f>'INVOCAÇÕES'!$AE$641&amp;""</f>
        <v/>
      </c>
      <c r="DH11" s="155">
        <f>N('INVOCAÇÕES'!$AH$614)</f>
        <v/>
      </c>
      <c r="DI11" s="155">
        <f>N('INVOCAÇÕES'!$AI$614)</f>
        <v/>
      </c>
      <c r="DJ11" s="155">
        <f>N('INVOCAÇÕES'!$AJ$614)</f>
        <v/>
      </c>
      <c r="DK11" s="155">
        <f>N('INVOCAÇÕES'!$AK$614)</f>
        <v/>
      </c>
      <c r="DL11" s="155">
        <f>N('INVOCAÇÕES'!$AL$614)</f>
        <v/>
      </c>
      <c r="DM11" s="155">
        <f>N('INVOCAÇÕES'!$AH$615)</f>
        <v/>
      </c>
      <c r="DN11" s="155">
        <f>N('INVOCAÇÕES'!$AI$615)</f>
        <v/>
      </c>
      <c r="DO11" s="155">
        <f>N('INVOCAÇÕES'!$AJ$615)</f>
        <v/>
      </c>
      <c r="DP11" s="155">
        <f>N('INVOCAÇÕES'!$AK$615)</f>
        <v/>
      </c>
      <c r="DQ11" s="155">
        <f>N('INVOCAÇÕES'!$AL$615)</f>
        <v/>
      </c>
      <c r="DR11" s="155">
        <f>'INVOCAÇÕES'!$AH$628&amp;""</f>
        <v/>
      </c>
      <c r="DS11" s="155">
        <f>'INVOCAÇÕES'!$AK$628&amp;""</f>
        <v/>
      </c>
      <c r="DT11" s="155">
        <f>'INVOCAÇÕES'!$AL$623&amp;""</f>
        <v/>
      </c>
      <c r="DU11" s="155">
        <f>N('INVOCAÇÕES'!$AH$620)</f>
        <v/>
      </c>
      <c r="DV11" s="155">
        <f>N('INVOCAÇÕES'!$AI$620)</f>
        <v/>
      </c>
      <c r="DW11" s="155">
        <f>N('INVOCAÇÕES'!$AJ$620)</f>
        <v/>
      </c>
      <c r="DX11" s="155">
        <f>N('INVOCAÇÕES'!$AK$620)</f>
        <v/>
      </c>
      <c r="DY11" s="155">
        <f>N('INVOCAÇÕES'!$AL$620)</f>
        <v/>
      </c>
      <c r="DZ11" s="155">
        <f>N('INVOCAÇÕES'!$AH$625)</f>
        <v/>
      </c>
      <c r="EA11" s="155">
        <f>N('INVOCAÇÕES'!$AI$625)</f>
        <v/>
      </c>
      <c r="EB11" s="155">
        <f>N('INVOCAÇÕES'!$AJ$625)</f>
        <v/>
      </c>
      <c r="EC11" s="155">
        <f>N('INVOCAÇÕES'!$AK$625)</f>
        <v/>
      </c>
      <c r="ED11" s="155">
        <f>'INVOCAÇÕES'!$AN$607&amp;""</f>
        <v/>
      </c>
      <c r="EE11" s="155">
        <f>N('INVOCAÇÕES'!$AP$607)</f>
        <v/>
      </c>
      <c r="EF11" s="155">
        <f>'INVOCAÇÕES'!$AR$607&amp;""</f>
        <v/>
      </c>
      <c r="EG11" s="155">
        <f>SUM('INVOCAÇÕES'!$AR$627:'INVOCAÇÕES'!$AR$629,'INVOCAÇÕES'!$AR$631:'INVOCAÇÕES'!$AR$636)</f>
        <v/>
      </c>
      <c r="EH11" s="155">
        <f>'INVOCAÇÕES'!$AN$612&amp;""</f>
        <v/>
      </c>
      <c r="EI11" s="155">
        <f>'INVOCAÇÕES'!$AO$612&amp;""</f>
        <v/>
      </c>
      <c r="EJ11" s="155">
        <f>'INVOCAÇÕES'!$AH$642&amp;""</f>
        <v/>
      </c>
      <c r="EK11" s="155">
        <f>'INVOCAÇÕES'!$AI$642&amp;""</f>
        <v/>
      </c>
      <c r="EL11" s="155">
        <f>'INVOCAÇÕES'!$AJ$642&amp;""</f>
        <v/>
      </c>
      <c r="EM11" s="155">
        <f>'INVOCAÇÕES'!$AK$642&amp;""</f>
        <v/>
      </c>
      <c r="EN11" s="155">
        <f>'INVOCAÇÕES'!$AL$642&amp;""</f>
        <v/>
      </c>
      <c r="EO11" s="155">
        <f>'INVOCAÇÕES'!$AH$632&amp;""</f>
        <v/>
      </c>
      <c r="EP11" s="155">
        <f>'INVOCAÇÕES'!$AH$633&amp;""</f>
        <v/>
      </c>
      <c r="EQ11" s="155">
        <f>'INVOCAÇÕES'!$AH$634&amp;""</f>
        <v/>
      </c>
      <c r="ER11" s="155">
        <f>'INVOCAÇÕES'!$AH$635&amp;""</f>
        <v/>
      </c>
      <c r="ES11" s="155">
        <f>'INVOCAÇÕES'!$AH$636&amp;""</f>
        <v/>
      </c>
      <c r="ET11" s="155">
        <f>'INVOCAÇÕES'!$AH$637&amp;""</f>
        <v/>
      </c>
      <c r="EU11" s="155">
        <f>'INVOCAÇÕES'!$AH$638&amp;""</f>
        <v/>
      </c>
      <c r="EV11" s="155">
        <f>'INVOCAÇÕES'!$AC$674&amp;""</f>
        <v/>
      </c>
      <c r="EW11" s="155">
        <f>'INVOCAÇÕES'!$AC$675&amp;""</f>
        <v/>
      </c>
      <c r="EX11" s="155">
        <f>'INVOCAÇÕES'!$AC$676&amp;""</f>
        <v/>
      </c>
      <c r="EY11" s="155">
        <f>'INVOCAÇÕES'!$AC$677&amp;""</f>
        <v/>
      </c>
      <c r="EZ11" s="155">
        <f>'INVOCAÇÕES'!$AC$678&amp;""</f>
        <v/>
      </c>
      <c r="FA11" s="155">
        <f>'INVOCAÇÕES'!$AC$679&amp;""</f>
        <v/>
      </c>
      <c r="FB11" s="155">
        <f>'INVOCAÇÕES'!$AC$680&amp;""</f>
        <v/>
      </c>
      <c r="FC11" s="155">
        <f>'INVOCAÇÕES'!$AC$681&amp;""</f>
        <v/>
      </c>
      <c r="FD11" s="155">
        <f>'INVOCAÇÕES'!$AC$776&amp;""</f>
        <v/>
      </c>
      <c r="FE11" s="155">
        <f>'INVOCAÇÕES'!$AC$777&amp;""</f>
        <v/>
      </c>
      <c r="FF11" s="155">
        <f>'INVOCAÇÕES'!$AC$778&amp;""</f>
        <v/>
      </c>
      <c r="FG11" s="155">
        <f>MAX(3,MIN(7,N('INVOCAÇÕES'!$AB$783)))</f>
        <v/>
      </c>
      <c r="FH11" s="155">
        <f>MAX(3,MIN(7,N('INVOCAÇÕES'!$AH$783)))</f>
        <v/>
      </c>
      <c r="FI11" s="155">
        <f>MAX(3,MIN(7,N('INVOCAÇÕES'!$AN$783)))</f>
        <v/>
      </c>
      <c r="FJ11" s="155">
        <f>'INVOCAÇÕES'!$AH$797&amp;""</f>
        <v/>
      </c>
      <c r="FK11" s="155">
        <f>IF($DC11&lt;&gt;"",1,0)</f>
        <v/>
      </c>
      <c r="FL11" s="155">
        <f>IFERROR(VLOOKUP($DE11,$BP$2:$BQ$5,2,FALSE),1)</f>
        <v/>
      </c>
      <c r="FM11" s="155">
        <f>IF($FL11=1,$CZ$2,MAX(1,MIN($CZ$2,IF($DF11=0,$CZ$2,$DF11))))</f>
        <v/>
      </c>
      <c r="FN11" s="155">
        <f>VLOOKUP(MAX(1,$FM11),$A$2:$D$8,2,TRUE)</f>
        <v/>
      </c>
      <c r="FO11" s="155">
        <f>VLOOKUP(MAX(1,$FM11),$A$2:$D$8,3,TRUE)</f>
        <v/>
      </c>
      <c r="FP11" s="155">
        <f>$DH11+$DM11</f>
        <v/>
      </c>
      <c r="FQ11" s="155">
        <f>$DI11+$DN11</f>
        <v/>
      </c>
      <c r="FR11" s="155">
        <f>$DJ11+$DO11</f>
        <v/>
      </c>
      <c r="FS11" s="155">
        <f>$DK11+$DP11</f>
        <v/>
      </c>
      <c r="FT11" s="155">
        <f>$DL11+$DQ11</f>
        <v/>
      </c>
      <c r="FU11" s="155">
        <f>SUM($DH11:$DL11)</f>
        <v/>
      </c>
      <c r="FV11" s="155">
        <f>9+$FW11</f>
        <v/>
      </c>
      <c r="FW11" s="155">
        <f>COUNTIF($F$2:$F$8,"&lt;="&amp;$FM11)</f>
        <v/>
      </c>
      <c r="FX11" s="155">
        <f>MAX(0,$DH11-3)+MAX(0,$DI11-3)+MAX(0,$DJ11-3)+MAX(0,$DK11-3)+MAX(0,$DL11-3)</f>
        <v/>
      </c>
      <c r="FY11" s="155">
        <f>IFERROR(INDEX($FP11:$FT11,1,MATCH($DR11,$BU$2:$BU$6,0)),"")</f>
        <v/>
      </c>
      <c r="FZ11" s="155">
        <f>IF($FY11="","",$FY11+$CZ$3+$DU11)</f>
        <v/>
      </c>
      <c r="GA11" s="155">
        <f>IF($FY11="","",8+$FY11+$CZ$3+$DV11)</f>
        <v/>
      </c>
      <c r="GB11" s="155">
        <f>10+$FQ11+$CZ$7+$DW11</f>
        <v/>
      </c>
      <c r="GC11" s="155">
        <f>IF($DD11="Corpo amaldiçoado de criação",1,0)</f>
        <v/>
      </c>
      <c r="GD11" s="155">
        <f>5+$FR11+(3+$GC11+$FR11)*($FM11-1)+$DX11</f>
        <v/>
      </c>
      <c r="GE11" s="155">
        <f>IF($FK11=0,"",$GD11)</f>
        <v/>
      </c>
      <c r="GF11" s="155">
        <f>IF($ED11="",$GD11,MAX(0,MIN(IFERROR(VALUE($ED11),$GD11),$GD11)))</f>
        <v/>
      </c>
      <c r="GG11" s="155">
        <f>IF(AND($FK11=1,$EH11&lt;&gt;"Sem alma"),MAX(1,INT($GD11/2)),"")</f>
        <v/>
      </c>
      <c r="GH11" s="155">
        <f>$GG11</f>
        <v/>
      </c>
      <c r="GI11" s="155">
        <f>IF($GG11="","",IF($EI11="",$GG11,MAX(0,MIN(IFERROR(VALUE($EI11),$GG11),$GG11))))</f>
        <v/>
      </c>
      <c r="GJ11" s="155">
        <f>IF($FK11=0,"",IF($GG11="","—",$GG11))</f>
        <v/>
      </c>
      <c r="GK11" s="155">
        <f>IF($FK11=0,"",IF($GG11="","Sem alma · imune a dano de Alma",IF($GI11&lt;=0,"Estágio 4 · caída, como a zero de vida",IF($GI11&lt;=$GG11/4,"Estágio 3 · desvantagem em ataques e TRs, Classe pela metade",IF($GI11&lt;=$GG11/2,"Estágio 2 · metade do deslocamento, +1 PE por Classe",IF($GI11&lt;=$GG11*3/4,"Estágio 1 · desvantagem em perícias","Alma inteira"))))))</f>
        <v/>
      </c>
      <c r="GL11" s="155">
        <f>9+$DY11</f>
        <v/>
      </c>
      <c r="GM11" s="155">
        <f>IF($DS11="Destreza",$FQ11,$FP11)</f>
        <v/>
      </c>
      <c r="GN11" s="155">
        <f>$GM11+IF($DT11="Físico",$CZ$3,0)+$DZ11</f>
        <v/>
      </c>
      <c r="GO11" s="155">
        <f>$FR11+IF($DT11="Vigor",$CZ$3,0)+$EA11</f>
        <v/>
      </c>
      <c r="GP11" s="155">
        <f>$FS11+IF($DT11="Intelecto",$CZ$3,0)+$EB11</f>
        <v/>
      </c>
      <c r="GQ11" s="155">
        <f>$FT11+IF($DT11="Espírito",$CZ$3,0)+$EC11</f>
        <v/>
      </c>
      <c r="GR11" s="155">
        <f>4+INT($DK11/2)</f>
        <v/>
      </c>
      <c r="GS11" s="155">
        <f>COUNTIF($EO11:$EU11,"?*")</f>
        <v/>
      </c>
      <c r="GT11" s="155">
        <f>INT((2+$FM11/2)/2)</f>
        <v/>
      </c>
      <c r="GU11" s="155">
        <f>IF($FM11&gt;=11,2,1)</f>
        <v/>
      </c>
      <c r="GV11" s="155">
        <f>1+$FW11</f>
        <v/>
      </c>
      <c r="GW11" s="155">
        <f>COUNTIF($EV11:$FC11,"?*")</f>
        <v/>
      </c>
      <c r="GX11" s="155">
        <f>IF(AND($DD11="Shikigami de criação",$DG11="Com carga"),MAX(1,CEILING($FN11/2,1)),$FN11)</f>
        <v/>
      </c>
      <c r="GY11" s="155">
        <f>$FN11+$GX11</f>
        <v/>
      </c>
      <c r="GZ11" s="155">
        <f>$FM11*(1+INT($DL11/3))</f>
        <v/>
      </c>
      <c r="HA11" s="155">
        <f>5+$FP11</f>
        <v/>
      </c>
      <c r="HB11" s="155">
        <f>COUNTIF($EJ11:$EN11,"?*")</f>
        <v/>
      </c>
      <c r="HC11" s="155">
        <f>IF($EJ11="",0,IF(COUNTIF($EJ11:$EN11,$EJ11)&gt;1,1,0))+IF($EK11="",0,IF(COUNTIF($EJ11:$EN11,$EK11)&gt;1,1,0))+IF($EL11="",0,IF(COUNTIF($EJ11:$EN11,$EL11)&gt;1,1,0))+IF($EM11="",0,IF(COUNTIF($EJ11:$EN11,$EM11)&gt;1,1,0))+IF($EN11="",0,IF(COUNTIF($EJ11:$EN11,$EN11)&gt;1,1,0))</f>
        <v/>
      </c>
      <c r="HD11" s="155">
        <f>$CZ$11</f>
        <v/>
      </c>
      <c r="HE11" s="155">
        <f>IF($FK11=0,"INVOCAÇÃO 10 · lugar vazio",$DC11&amp;" · "&amp;$DD11&amp;" · nível "&amp;$FM11&amp;" · vida "&amp;$GF11&amp;" de "&amp;$GD11)</f>
        <v/>
      </c>
      <c r="HF11" s="155">
        <f>IF($FK11=0,"VAZIA",UPPER($DC11))</f>
        <v/>
      </c>
      <c r="HG11" s="155">
        <f>IF($CZ$3&gt;=0,"+","−")&amp;ABS($CZ$3)</f>
        <v/>
      </c>
      <c r="HH11" s="155">
        <f>$GX11&amp;" PE"</f>
        <v/>
      </c>
      <c r="HI11" s="155">
        <f>$GY11&amp;" PE"</f>
        <v/>
      </c>
      <c r="HJ11" s="155">
        <f>IF(OR($FU11&gt;$FV11,$FX11&gt;$FW11),"⚠ ",IF(AND($FK11=1,$FU11&lt;$FV11),"! ",""))&amp;"ATRIBUTOS · "&amp;$FU11&amp;" DE "&amp;$FV11&amp;" PONTOS"&amp;IF($FX11&gt;$FW11," · ACIMA DE 3 SÓ COM MARCO","")</f>
        <v/>
      </c>
      <c r="HK11" s="155">
        <f>IF($FZ11="","",IF($FZ11&gt;=0,"+","−")&amp;ABS($FZ11))</f>
        <v/>
      </c>
      <c r="HL11" s="155">
        <f>IF($GA11="","",$GA11)</f>
        <v/>
      </c>
      <c r="HM11" s="155">
        <f>SUBSTITUTE($GL11&amp;" m",".",",")</f>
        <v/>
      </c>
      <c r="HN11" s="155">
        <f>IF($GN11&gt;=0,"+","−")&amp;ABS($GN11)</f>
        <v/>
      </c>
      <c r="HO11" s="155">
        <f>IF($GO11&gt;=0,"+","−")&amp;ABS($GO11)</f>
        <v/>
      </c>
      <c r="HP11" s="155">
        <f>IF($GP11&gt;=0,"+","−")&amp;ABS($GP11)</f>
        <v/>
      </c>
      <c r="HQ11" s="155">
        <f>IF($GQ11&gt;=0,"+","−")&amp;ABS($GQ11)</f>
        <v/>
      </c>
      <c r="HR11" s="155">
        <f>IF($GS11&gt;$GR11,"⚠ ","")&amp;"PERÍCIAS · "&amp;$GS11&amp;" DE "&amp;$GR11</f>
        <v/>
      </c>
      <c r="HS11" s="155">
        <f>IF($EO11="","",IFERROR(IF((INDEX($FP11:$FT11,1,MATCH(VLOOKUP($EO11,$CC$2:$CD$24,2,FALSE),$BU$2:$BU$6,0))+$CZ$3)&gt;=0,"+","−")&amp;ABS((INDEX($FP11:$FT11,1,MATCH(VLOOKUP($EO11,$CC$2:$CD$24,2,FALSE),$BU$2:$BU$6,0))+$CZ$3)),""))</f>
        <v/>
      </c>
      <c r="HT11" s="155">
        <f>IF($EP11="","",IFERROR(IF((INDEX($FP11:$FT11,1,MATCH(VLOOKUP($EP11,$CC$2:$CD$24,2,FALSE),$BU$2:$BU$6,0))+$CZ$3)&gt;=0,"+","−")&amp;ABS((INDEX($FP11:$FT11,1,MATCH(VLOOKUP($EP11,$CC$2:$CD$24,2,FALSE),$BU$2:$BU$6,0))+$CZ$3)),""))</f>
        <v/>
      </c>
      <c r="HU11" s="155">
        <f>IF($EQ11="","",IFERROR(IF((INDEX($FP11:$FT11,1,MATCH(VLOOKUP($EQ11,$CC$2:$CD$24,2,FALSE),$BU$2:$BU$6,0))+$CZ$3)&gt;=0,"+","−")&amp;ABS((INDEX($FP11:$FT11,1,MATCH(VLOOKUP($EQ11,$CC$2:$CD$24,2,FALSE),$BU$2:$BU$6,0))+$CZ$3)),""))</f>
        <v/>
      </c>
      <c r="HV11" s="155">
        <f>IF($ER11="","",IFERROR(IF((INDEX($FP11:$FT11,1,MATCH(VLOOKUP($ER11,$CC$2:$CD$24,2,FALSE),$BU$2:$BU$6,0))+$CZ$3)&gt;=0,"+","−")&amp;ABS((INDEX($FP11:$FT11,1,MATCH(VLOOKUP($ER11,$CC$2:$CD$24,2,FALSE),$BU$2:$BU$6,0))+$CZ$3)),""))</f>
        <v/>
      </c>
      <c r="HW11" s="155">
        <f>IF($ES11="","",IFERROR(IF((INDEX($FP11:$FT11,1,MATCH(VLOOKUP($ES11,$CC$2:$CD$24,2,FALSE),$BU$2:$BU$6,0))+$CZ$3)&gt;=0,"+","−")&amp;ABS((INDEX($FP11:$FT11,1,MATCH(VLOOKUP($ES11,$CC$2:$CD$24,2,FALSE),$BU$2:$BU$6,0))+$CZ$3)),""))</f>
        <v/>
      </c>
      <c r="HX11" s="155">
        <f>IF($ET11="","",IFERROR(IF((INDEX($FP11:$FT11,1,MATCH(VLOOKUP($ET11,$CC$2:$CD$24,2,FALSE),$BU$2:$BU$6,0))+$CZ$3)&gt;=0,"+","−")&amp;ABS((INDEX($FP11:$FT11,1,MATCH(VLOOKUP($ET11,$CC$2:$CD$24,2,FALSE),$BU$2:$BU$6,0))+$CZ$3)),""))</f>
        <v/>
      </c>
      <c r="HY11" s="155">
        <f>IF($EU11="","",IFERROR(IF((INDEX($FP11:$FT11,1,MATCH(VLOOKUP($EU11,$CC$2:$CD$24,2,FALSE),$BU$2:$BU$6,0))+$CZ$3)&gt;=0,"+","−")&amp;ABS((INDEX($FP11:$FT11,1,MATCH(VLOOKUP($EU11,$CC$2:$CD$24,2,FALSE),$BU$2:$BU$6,0))+$CZ$3)),""))</f>
        <v/>
      </c>
      <c r="HZ11" s="155">
        <f>IF($DD11="Maldição domada","RESERVA · MÁX. "&amp;$GZ11,"RESERVA DE PE")</f>
        <v/>
      </c>
      <c r="IA11" s="155">
        <f>IF($EG11&gt;$HA11,"⚠ ","")&amp;"EQUIPAMENTO · "&amp;$EG11&amp;" DE "&amp;$HA11&amp;" DE VOLUME"&amp;IF($EG11&gt;$HA11," · PASSOU DO LIMITE","")</f>
        <v/>
      </c>
      <c r="IB11" s="155">
        <f>IF(OR($HC11&gt;0,$HB11&gt;$HD11),"⚠ ","")&amp;"FAMÍLIAS · "&amp;$HB11&amp;" ABERTAS"&amp;IF($HC11&gt;0," · REPETIDA","")&amp;IF($HB11&gt;$HD11," · O LIMITE É "&amp;$HD11,"")</f>
        <v/>
      </c>
      <c r="IC11" s="155">
        <f>"HABILIDADES · básica de "&amp;$FO11&amp;"d6 · "&amp;$GT11&amp;IF($GT11&gt;1," espaços"," espaço")&amp;" de especial até a Classe "&amp;$FN11&amp;" · "&amp;$GV11&amp;IF($GV11&gt;1," talentos"," talento")</f>
        <v/>
      </c>
      <c r="ID11" s="155">
        <f>IF($GW11&gt;$GV11,"⚠ ","")&amp;"TALENTOS · "&amp;$GW11&amp;" DE "&amp;$GV11</f>
        <v/>
      </c>
      <c r="IE11" s="155">
        <f>IFERROR(VLOOKUP($EV11,$BI$2:$BL$15,2,FALSE),0)</f>
        <v/>
      </c>
      <c r="IF11" s="155">
        <f>IFERROR(VLOOKUP($EW11,$BI$2:$BL$15,2,FALSE),0)</f>
        <v/>
      </c>
      <c r="IG11" s="155">
        <f>IFERROR(VLOOKUP($EX11,$BI$2:$BL$15,2,FALSE),0)</f>
        <v/>
      </c>
      <c r="IH11" s="155">
        <f>IFERROR(VLOOKUP($EY11,$BI$2:$BL$15,2,FALSE),0)</f>
        <v/>
      </c>
      <c r="II11" s="155">
        <f>IFERROR(VLOOKUP($EZ11,$BI$2:$BL$15,2,FALSE),0)</f>
        <v/>
      </c>
      <c r="IJ11" s="155">
        <f>IFERROR(VLOOKUP($FA11,$BI$2:$BL$15,2,FALSE),0)</f>
        <v/>
      </c>
      <c r="IK11" s="155">
        <f>IFERROR(VLOOKUP($FB11,$BI$2:$BL$15,2,FALSE),0)</f>
        <v/>
      </c>
      <c r="IL11" s="155">
        <f>IFERROR(VLOOKUP($FC11,$BI$2:$BL$15,2,FALSE),0)</f>
        <v/>
      </c>
      <c r="IM11" s="155">
        <f>IF($EV11="","",IF(1&gt;$FM11,"⚠ Este talento abre no nível 1",IF($IE11&gt;1,"⚠ Categoria "&amp;$IE11&amp;": este ganho vai até a 1 · ","")&amp;IFERROR(VLOOKUP($EV11,$BI$2:$BL$15,3,FALSE),"")))</f>
        <v/>
      </c>
      <c r="IN11" s="155">
        <f>IF($EW11="","",IF(6&gt;$FM11,"⚠ Este talento abre no nível 6",IF($IF11&gt;1,"⚠ Categoria "&amp;$IF11&amp;": este ganho vai até a 1 · ","")&amp;IFERROR(VLOOKUP($EW11,$BI$2:$BL$15,3,FALSE),"")))</f>
        <v/>
      </c>
      <c r="IO11" s="155">
        <f>IF($EX11="","",IF(10&gt;$FM11,"⚠ Este talento abre no nível 10",IF($IG11&gt;2,"⚠ Categoria "&amp;$IG11&amp;": este ganho vai até a 2 · ","")&amp;IFERROR(VLOOKUP($EX11,$BI$2:$BL$15,3,FALSE),"")))</f>
        <v/>
      </c>
      <c r="IP11" s="155">
        <f>IF($EY11="","",IF(14&gt;$FM11,"⚠ Este talento abre no nível 14",IF($IH11&gt;3,"⚠ Categoria "&amp;$IH11&amp;": este ganho vai até a 3 · ","")&amp;IFERROR(VLOOKUP($EY11,$BI$2:$BL$15,3,FALSE),"")))</f>
        <v/>
      </c>
      <c r="IQ11" s="155">
        <f>IF($EZ11="","",IF(18&gt;$FM11,"⚠ Este talento abre no nível 18",IF($II11&gt;3,"⚠ Categoria "&amp;$II11&amp;": este ganho vai até a 3 · ","")&amp;IFERROR(VLOOKUP($EZ11,$BI$2:$BL$15,3,FALSE),"")))</f>
        <v/>
      </c>
      <c r="IR11" s="155">
        <f>IF($FA11="","",IF(22&gt;$FM11,"⚠ Este talento abre no nível 22",IF($IJ11&gt;3,"⚠ Categoria "&amp;$IJ11&amp;": este ganho vai até a 3 · ","")&amp;IFERROR(VLOOKUP($FA11,$BI$2:$BL$15,3,FALSE),"")))</f>
        <v/>
      </c>
      <c r="IS11" s="155">
        <f>IF($FB11="","",IF(26&gt;$FM11,"⚠ Este talento abre no nível 26",IF($IK11&gt;3,"⚠ Categoria "&amp;$IK11&amp;": este ganho vai até a 3 · ","")&amp;IFERROR(VLOOKUP($FB11,$BI$2:$BL$15,3,FALSE),"")))</f>
        <v/>
      </c>
      <c r="IT11" s="155">
        <f>IF($FC11="","",IF(30&gt;$FM11,"⚠ Este talento abre no nível 30",IF($IL11&gt;3,"⚠ Categoria "&amp;$IL11&amp;": este ganho vai até a 3 · ","")&amp;IFERROR(VLOOKUP($FC11,$BI$2:$BL$15,3,FALSE),"")))</f>
        <v/>
      </c>
      <c r="IU11" s="155">
        <f>IF($FD11="","",IFERROR(VLOOKUP($FD11,$BI$2:$BL$15,3,FALSE),""))</f>
        <v/>
      </c>
      <c r="IV11" s="155">
        <f>IF($FE11="","",IFERROR(VLOOKUP($FE11,$BI$2:$BL$15,3,FALSE),""))</f>
        <v/>
      </c>
      <c r="IW11" s="155">
        <f>IF($FF11="","",IFERROR(VLOOKUP($FF11,$BI$2:$BL$15,3,FALSE),""))</f>
        <v/>
      </c>
      <c r="IX11" s="155">
        <f>CEILING(4.5*$FG11,1)&amp;" PE"</f>
        <v/>
      </c>
      <c r="IY11" s="155">
        <f>CEILING(4.5*$FH11,1)&amp;" PE"</f>
        <v/>
      </c>
      <c r="IZ11" s="155">
        <f>CEILING(4.5*$FI11,1)&amp;" PE"</f>
        <v/>
      </c>
      <c r="JA11" s="155">
        <f>INDEX($P$2:$P$8,$FG11)&amp;" pontos + "&amp;$FG11&amp;"d8"</f>
        <v/>
      </c>
      <c r="JB11" s="155">
        <f>INDEX($P$2:$P$8,$FH11)&amp;" pontos + "&amp;$FH11&amp;"d8"</f>
        <v/>
      </c>
      <c r="JC11" s="155">
        <f>INDEX($P$2:$P$8,$FI11)&amp;" pontos + "&amp;$FI11&amp;"d8"</f>
        <v/>
      </c>
      <c r="JD11" s="155">
        <f>IF($FM11&lt;17,"—",VLOOKUP($FM11,$CN$2:$CQ$4,4,TRUE)&amp;" PE")</f>
        <v/>
      </c>
      <c r="JE11" s="155">
        <f>IF($FM11&lt;17,"Abre no nível 17",VLOOKUP($FM11,$CN$2:$CQ$4,2,TRUE)&amp;" fixos · "&amp;VLOOKUP($FM11,$CN$2:$CQ$4,3,TRUE)&amp;" pontos")</f>
        <v/>
      </c>
      <c r="JF11" s="155">
        <f>IF($FJ11="Sem Barreiras",7,6)*$FN11&amp;" PE"</f>
        <v/>
      </c>
      <c r="JG11" s="155">
        <f>"Acerto "&amp;$FN11&amp;"d8"</f>
        <v/>
      </c>
      <c r="JH11" s="155">
        <f>IFERROR(VLOOKUP($FJ11,$CS$2:$CU$4,3,FALSE),"Escolha o degrau")</f>
        <v/>
      </c>
      <c r="JI11" s="155">
        <f>10&amp;" · "&amp;IF($FK11=0,"vazia",$DC11&amp;" · nv "&amp;$FM11&amp;" · "&amp;$GF11&amp;"/"&amp;$GD11)</f>
        <v/>
      </c>
      <c r="JM11" s="153" t="inlineStr">
        <is>
          <t>Invocação 10</t>
        </is>
      </c>
      <c r="JN11" s="155">
        <f>ADDRESS(ROW('INVOCAÇÕES'!D30),COLUMN('INVOCAÇÕES'!D30),4)</f>
        <v/>
      </c>
      <c r="JO11" s="155">
        <f>ADDRESS(ROW('INVOCAÇÕES'!AA603),COLUMN('INVOCAÇÕES'!AA603),4)</f>
        <v/>
      </c>
      <c r="JP11" s="153" t="inlineStr">
        <is>
          <t>DADOS_INVOC!$JI$11</t>
        </is>
      </c>
      <c r="JR11" s="155">
        <f>IF(OR($AW11="",COUNTIF($EJ$2:$EN$2,$AW11)&gt;0),$AV11,"")</f>
        <v/>
      </c>
      <c r="JS11" s="155">
        <f>IF(AND($AX11=1,OR($AW11="",COUNTIF($EJ$2:$EN$2,$AW11)&gt;0)),$AV11,"")</f>
        <v/>
      </c>
      <c r="JU11" s="155">
        <f>IF(OR($W11="",COUNTIF($EJ$2:$EN$2,$W11)&gt;0),$V11,"")</f>
        <v/>
      </c>
      <c r="JV11" s="155">
        <f>IF(AND($AF11=1,OR($W11="",COUNTIF($EJ$2:$EN$2,$W11)&gt;0)),$V11,"")</f>
        <v/>
      </c>
      <c r="JX11" s="155">
        <f>IF(OR($AW11="",COUNTIF($EJ$3:$EN$3,$AW11)&gt;0),$AV11,"")</f>
        <v/>
      </c>
      <c r="JY11" s="155">
        <f>IF(AND($AX11=1,OR($AW11="",COUNTIF($EJ$3:$EN$3,$AW11)&gt;0)),$AV11,"")</f>
        <v/>
      </c>
      <c r="KA11" s="155">
        <f>IF(OR($W11="",COUNTIF($EJ$3:$EN$3,$W11)&gt;0),$V11,"")</f>
        <v/>
      </c>
      <c r="KB11" s="155">
        <f>IF(AND($AF11=1,OR($W11="",COUNTIF($EJ$3:$EN$3,$W11)&gt;0)),$V11,"")</f>
        <v/>
      </c>
      <c r="KD11" s="155">
        <f>IF(OR($AW11="",COUNTIF($EJ$4:$EN$4,$AW11)&gt;0),$AV11,"")</f>
        <v/>
      </c>
      <c r="KE11" s="155">
        <f>IF(AND($AX11=1,OR($AW11="",COUNTIF($EJ$4:$EN$4,$AW11)&gt;0)),$AV11,"")</f>
        <v/>
      </c>
      <c r="KG11" s="155">
        <f>IF(OR($W11="",COUNTIF($EJ$4:$EN$4,$W11)&gt;0),$V11,"")</f>
        <v/>
      </c>
      <c r="KH11" s="155">
        <f>IF(AND($AF11=1,OR($W11="",COUNTIF($EJ$4:$EN$4,$W11)&gt;0)),$V11,"")</f>
        <v/>
      </c>
      <c r="KJ11" s="155">
        <f>IF(OR($AW11="",COUNTIF($EJ$5:$EN$5,$AW11)&gt;0),$AV11,"")</f>
        <v/>
      </c>
      <c r="KK11" s="155">
        <f>IF(AND($AX11=1,OR($AW11="",COUNTIF($EJ$5:$EN$5,$AW11)&gt;0)),$AV11,"")</f>
        <v/>
      </c>
      <c r="KM11" s="155">
        <f>IF(OR($W11="",COUNTIF($EJ$5:$EN$5,$W11)&gt;0),$V11,"")</f>
        <v/>
      </c>
      <c r="KN11" s="155">
        <f>IF(AND($AF11=1,OR($W11="",COUNTIF($EJ$5:$EN$5,$W11)&gt;0)),$V11,"")</f>
        <v/>
      </c>
      <c r="KP11" s="155">
        <f>IF(OR($AW11="",COUNTIF($EJ$6:$EN$6,$AW11)&gt;0),$AV11,"")</f>
        <v/>
      </c>
      <c r="KQ11" s="155">
        <f>IF(AND($AX11=1,OR($AW11="",COUNTIF($EJ$6:$EN$6,$AW11)&gt;0)),$AV11,"")</f>
        <v/>
      </c>
      <c r="KS11" s="155">
        <f>IF(OR($W11="",COUNTIF($EJ$6:$EN$6,$W11)&gt;0),$V11,"")</f>
        <v/>
      </c>
      <c r="KT11" s="155">
        <f>IF(AND($AF11=1,OR($W11="",COUNTIF($EJ$6:$EN$6,$W11)&gt;0)),$V11,"")</f>
        <v/>
      </c>
      <c r="KV11" s="155">
        <f>IF(OR($AW11="",COUNTIF($EJ$7:$EN$7,$AW11)&gt;0),$AV11,"")</f>
        <v/>
      </c>
      <c r="KW11" s="155">
        <f>IF(AND($AX11=1,OR($AW11="",COUNTIF($EJ$7:$EN$7,$AW11)&gt;0)),$AV11,"")</f>
        <v/>
      </c>
      <c r="KY11" s="155">
        <f>IF(OR($W11="",COUNTIF($EJ$7:$EN$7,$W11)&gt;0),$V11,"")</f>
        <v/>
      </c>
      <c r="KZ11" s="155">
        <f>IF(AND($AF11=1,OR($W11="",COUNTIF($EJ$7:$EN$7,$W11)&gt;0)),$V11,"")</f>
        <v/>
      </c>
      <c r="LB11" s="155">
        <f>IF(OR($AW11="",COUNTIF($EJ$8:$EN$8,$AW11)&gt;0),$AV11,"")</f>
        <v/>
      </c>
      <c r="LC11" s="155">
        <f>IF(AND($AX11=1,OR($AW11="",COUNTIF($EJ$8:$EN$8,$AW11)&gt;0)),$AV11,"")</f>
        <v/>
      </c>
      <c r="LE11" s="155">
        <f>IF(OR($W11="",COUNTIF($EJ$8:$EN$8,$W11)&gt;0),$V11,"")</f>
        <v/>
      </c>
      <c r="LF11" s="155">
        <f>IF(AND($AF11=1,OR($W11="",COUNTIF($EJ$8:$EN$8,$W11)&gt;0)),$V11,"")</f>
        <v/>
      </c>
      <c r="LH11" s="155">
        <f>IF(OR($AW11="",COUNTIF($EJ$9:$EN$9,$AW11)&gt;0),$AV11,"")</f>
        <v/>
      </c>
      <c r="LI11" s="155">
        <f>IF(AND($AX11=1,OR($AW11="",COUNTIF($EJ$9:$EN$9,$AW11)&gt;0)),$AV11,"")</f>
        <v/>
      </c>
      <c r="LK11" s="155">
        <f>IF(OR($W11="",COUNTIF($EJ$9:$EN$9,$W11)&gt;0),$V11,"")</f>
        <v/>
      </c>
      <c r="LL11" s="155">
        <f>IF(AND($AF11=1,OR($W11="",COUNTIF($EJ$9:$EN$9,$W11)&gt;0)),$V11,"")</f>
        <v/>
      </c>
      <c r="LN11" s="155">
        <f>IF(OR($AW11="",COUNTIF($EJ$10:$EN$10,$AW11)&gt;0),$AV11,"")</f>
        <v/>
      </c>
      <c r="LO11" s="155">
        <f>IF(AND($AX11=1,OR($AW11="",COUNTIF($EJ$10:$EN$10,$AW11)&gt;0)),$AV11,"")</f>
        <v/>
      </c>
      <c r="LQ11" s="155">
        <f>IF(OR($W11="",COUNTIF($EJ$10:$EN$10,$W11)&gt;0),$V11,"")</f>
        <v/>
      </c>
      <c r="LR11" s="155">
        <f>IF(AND($AF11=1,OR($W11="",COUNTIF($EJ$10:$EN$10,$W11)&gt;0)),$V11,"")</f>
        <v/>
      </c>
      <c r="LT11" s="155">
        <f>IF(OR($AW11="",COUNTIF($EJ$11:$EN$11,$AW11)&gt;0),$AV11,"")</f>
        <v/>
      </c>
      <c r="LU11" s="155">
        <f>IF(AND($AX11=1,OR($AW11="",COUNTIF($EJ$11:$EN$11,$AW11)&gt;0)),$AV11,"")</f>
        <v/>
      </c>
      <c r="LW11" s="155">
        <f>IF(OR($W11="",COUNTIF($EJ$11:$EN$11,$W11)&gt;0),$V11,"")</f>
        <v/>
      </c>
      <c r="LX11" s="155">
        <f>IF(AND($AF11=1,OR($W11="",COUNTIF($EJ$11:$EN$11,$W11)&gt;0)),$V11,"")</f>
        <v/>
      </c>
      <c r="LZ11" s="155">
        <f>IF(OR($AW11="",COUNTIF($EJ$12:$EN$12,$AW11)&gt;0),$AV11,"")</f>
        <v/>
      </c>
      <c r="MA11" s="155">
        <f>IF(AND($AX11=1,OR($AW11="",COUNTIF($EJ$12:$EN$12,$AW11)&gt;0)),$AV11,"")</f>
        <v/>
      </c>
      <c r="MC11" s="155">
        <f>IF(OR($W11="",COUNTIF($EJ$12:$EN$12,$W11)&gt;0),$V11,"")</f>
        <v/>
      </c>
      <c r="MD11" s="155">
        <f>IF(AND($AF11=1,OR($W11="",COUNTIF($EJ$12:$EN$12,$W11)&gt;0)),$V11,"")</f>
        <v/>
      </c>
      <c r="MF11" s="155">
        <f>IF(OR($AW11="",COUNTIF($EJ$13:$EN$13,$AW11)&gt;0),$AV11,"")</f>
        <v/>
      </c>
      <c r="MG11" s="155">
        <f>IF(AND($AX11=1,OR($AW11="",COUNTIF($EJ$13:$EN$13,$AW11)&gt;0)),$AV11,"")</f>
        <v/>
      </c>
      <c r="MI11" s="155">
        <f>IF(OR($W11="",COUNTIF($EJ$13:$EN$13,$W11)&gt;0),$V11,"")</f>
        <v/>
      </c>
      <c r="MJ11" s="155">
        <f>IF(AND($AF11=1,OR($W11="",COUNTIF($EJ$13:$EN$13,$W11)&gt;0)),$V11,"")</f>
        <v/>
      </c>
      <c r="ML11" s="153" t="inlineStr">
        <is>
          <t>Ficha 1 · Especial 8</t>
        </is>
      </c>
      <c r="MM11" s="155" t="n">
        <v>1</v>
      </c>
      <c r="MN11" s="155" t="n">
        <v>1</v>
      </c>
      <c r="MO11" s="155" t="n">
        <v>28</v>
      </c>
      <c r="MP11" s="153" t="inlineStr">
        <is>
          <t>ESPECIAL 8</t>
        </is>
      </c>
      <c r="MQ11" s="155">
        <f>MAX(1,MIN(7,N('INVOCAÇÕES'!$I$136)))</f>
        <v/>
      </c>
      <c r="MR11" s="155">
        <f>'INVOCAÇÕES'!$J$136&amp;""</f>
        <v/>
      </c>
      <c r="MS11" s="155">
        <f>'INVOCAÇÕES'!$I$141&amp;""</f>
        <v/>
      </c>
      <c r="MT11" s="155">
        <f>'INVOCAÇÕES'!$I$142&amp;""</f>
        <v/>
      </c>
      <c r="MU11" s="155">
        <f>'INVOCAÇÕES'!$K$142&amp;""</f>
        <v/>
      </c>
      <c r="MV11" s="155">
        <f>'INVOCAÇÕES'!$J$145&amp;""</f>
        <v/>
      </c>
      <c r="MW11" s="155">
        <f>'INVOCAÇÕES'!$J$146&amp;""</f>
        <v/>
      </c>
      <c r="MX11" s="155">
        <f>'INVOCAÇÕES'!$J$147&amp;""</f>
        <v/>
      </c>
      <c r="MY11" s="155">
        <f>'INVOCAÇÕES'!$J$148&amp;""</f>
        <v/>
      </c>
      <c r="MZ11" s="155">
        <f>'INVOCAÇÕES'!$J$149&amp;""</f>
        <v/>
      </c>
      <c r="NA11" s="155">
        <f>'INVOCAÇÕES'!$J$150&amp;""</f>
        <v/>
      </c>
      <c r="NB11" s="155">
        <f>IF($MR11&lt;&gt;"",1,0)</f>
        <v/>
      </c>
      <c r="NC11" s="155">
        <f>INDEX($FM$2:$FM$13,$MM11)</f>
        <v/>
      </c>
      <c r="ND11" s="155">
        <f>INDEX($FN$2:$FN$13,$MM11)</f>
        <v/>
      </c>
      <c r="NE11" s="155">
        <f>INDEX($FO$2:$FO$13,$MM11)</f>
        <v/>
      </c>
      <c r="NF11" s="155">
        <f>INDEX($FZ$2:$FZ$13,$MM11)</f>
        <v/>
      </c>
      <c r="NG11" s="155">
        <f>INDEX($GA$2:$GA$13,$MM11)</f>
        <v/>
      </c>
      <c r="NH11" s="155">
        <f>IFERROR(MATCH($MS11,$V$2:$V$11,0),0)</f>
        <v/>
      </c>
      <c r="NI11" s="155">
        <f>IFERROR(VLOOKUP($MV11,$AV$2:$BA$84,2,FALSE),"")</f>
        <v/>
      </c>
      <c r="NJ11" s="155">
        <f>IFERROR(VLOOKUP($MW11,$AV$2:$BA$84,2,FALSE),"")</f>
        <v/>
      </c>
      <c r="NK11" s="155">
        <f>IFERROR(VLOOKUP($MX11,$AV$2:$BA$84,2,FALSE),"")</f>
        <v/>
      </c>
      <c r="NL11" s="155">
        <f>IFERROR(VLOOKUP($MY11,$AV$2:$BA$84,2,FALSE),"")</f>
        <v/>
      </c>
      <c r="NM11" s="155">
        <f>IFERROR(VLOOKUP($MV11,$AV$2:$BA$84,3,FALSE),0)</f>
        <v/>
      </c>
      <c r="NN11" s="155">
        <f>IFERROR(VLOOKUP($MW11,$AV$2:$BA$84,3,FALSE),0)</f>
        <v/>
      </c>
      <c r="NO11" s="155">
        <f>IFERROR(VLOOKUP($MX11,$AV$2:$BA$84,3,FALSE),0)</f>
        <v/>
      </c>
      <c r="NP11" s="155">
        <f>IFERROR(VLOOKUP($MY11,$AV$2:$BA$84,3,FALSE),0)</f>
        <v/>
      </c>
      <c r="NQ11" s="155">
        <f>IF($MQ11=0,0,IF($NH11=0,0,INDEX($X$2:$X$11,$NH11)))</f>
        <v/>
      </c>
      <c r="NR11" s="155">
        <f>IF(OR($NM11=0,$MQ11=0),0,$NM11+3*IF(AND($NI11&lt;&gt;"",OR($NI11=INDEX($EJ$2:$EJ$13,$MM11),$NI11=INDEX($EK$2:$EK$13,$MM11))),1,0))</f>
        <v/>
      </c>
      <c r="NS11" s="155">
        <f>IF(OR($NN11=0,$MQ11=0),0,$NN11+3*IF(AND($NJ11&lt;&gt;"",OR($NJ11=INDEX($EJ$2:$EJ$13,$MM11),$NJ11=INDEX($EK$2:$EK$13,$MM11))),1,0))</f>
        <v/>
      </c>
      <c r="NT11" s="155">
        <f>IF(OR($NO11=0,$MQ11=0),0,$NO11+3*IF(AND($NK11&lt;&gt;"",OR($NK11=INDEX($EJ$2:$EJ$13,$MM11),$NK11=INDEX($EK$2:$EK$13,$MM11))),1,0))</f>
        <v/>
      </c>
      <c r="NU11" s="155">
        <f>IF(OR($NP11=0,$MQ11=0),0,$NP11+3*IF(AND($NL11&lt;&gt;"",OR($NL11=INDEX($EJ$2:$EJ$13,$MM11),$NL11=INDEX($EK$2:$EK$13,$MM11))),1,0))</f>
        <v/>
      </c>
      <c r="NV11" s="155">
        <f>IF($NH11=0,0,IF(INDEX($W$2:$W$11,$NH11)="",0,IF(COUNTIF(INDEX($EJ$2:$EN$13,$MM11,0),INDEX($W$2:$W$11,$NH11))=0,1,0)))</f>
        <v/>
      </c>
      <c r="NW11" s="155">
        <f>IF(OR($NM11=0,$NI11=""),0,IF(COUNTIF(INDEX($EJ$2:$EN$13,$MM11,0),$NI11)=0,1,0))</f>
        <v/>
      </c>
      <c r="NX11" s="155">
        <f>IF(OR($NN11=0,$NJ11=""),0,IF(COUNTIF(INDEX($EJ$2:$EN$13,$MM11,0),$NJ11)=0,1,0))</f>
        <v/>
      </c>
      <c r="NY11" s="155">
        <f>IF(OR($NO11=0,$NK11=""),0,IF(COUNTIF(INDEX($EJ$2:$EN$13,$MM11,0),$NK11)=0,1,0))</f>
        <v/>
      </c>
      <c r="NZ11" s="155">
        <f>IF(OR($NP11=0,$NL11=""),0,IF(COUNTIF(INDEX($EJ$2:$EN$13,$MM11,0),$NL11)=0,1,0))</f>
        <v/>
      </c>
      <c r="OA11" s="155">
        <f>IFERROR(VLOOKUP($MV11,$AV$2:$BA$84,4,FALSE),0)+IFERROR(VLOOKUP($MW11,$AV$2:$BA$84,4,FALSE),0)+IFERROR(VLOOKUP($MX11,$AV$2:$BA$84,4,FALSE),0)+IFERROR(VLOOKUP($MY11,$AV$2:$BA$84,4,FALSE),0)</f>
        <v/>
      </c>
      <c r="OB11" s="155">
        <f>IFERROR(VLOOKUP($MV11,$AV$2:$BA$84,6,FALSE),0)+IFERROR(VLOOKUP($MW11,$AV$2:$BA$84,6,FALSE),0)+IFERROR(VLOOKUP($MX11,$AV$2:$BA$84,6,FALSE),0)+IFERROR(VLOOKUP($MY11,$AV$2:$BA$84,6,FALSE),0)</f>
        <v/>
      </c>
      <c r="OC11" s="155">
        <f>TEXTJOIN(", ",TRUE,IF(IFERROR(VLOOKUP($MV11,$AV$2:$BA$84,5,FALSE),0)=1,$MV11,""),IF(IFERROR(VLOOKUP($MW11,$AV$2:$BA$84,5,FALSE),0)=1,$MW11,""),IF(IFERROR(VLOOKUP($MX11,$AV$2:$BA$84,5,FALSE),0)=1,$MX11,""),IF(IFERROR(VLOOKUP($MY11,$AV$2:$BA$84,5,FALSE),0)=1,$MY11,""))</f>
        <v/>
      </c>
      <c r="OD11" s="155">
        <f>IF($NH11=0,0,INDEX($Y$2:$Y$11,$NH11))</f>
        <v/>
      </c>
      <c r="OE11" s="155">
        <f>IF($NH11=0,0,INDEX($Z$2:$Z$11,$NH11))</f>
        <v/>
      </c>
      <c r="OF11" s="155">
        <f>IF($NH11=0,0,INDEX($AB$2:$AB$11,$NH11))</f>
        <v/>
      </c>
      <c r="OG11" s="155">
        <f>IFERROR(VLOOKUP($MZ11,$BC$2:$BG$24,3,FALSE),0)</f>
        <v/>
      </c>
      <c r="OH11" s="155">
        <f>IFERROR(VLOOKUP($NA11,$BC$2:$BG$24,3,FALSE),0)</f>
        <v/>
      </c>
      <c r="OI11" s="155">
        <f>IFERROR(VLOOKUP($MZ11,$BC$2:$BG$24,2,FALSE),"")</f>
        <v/>
      </c>
      <c r="OJ11" s="155">
        <f>IFERROR(VLOOKUP($NA11,$BC$2:$BG$24,2,FALSE),"")</f>
        <v/>
      </c>
      <c r="OK11" s="155">
        <f>COUNTIF($NQ11:$NU11,1)</f>
        <v/>
      </c>
      <c r="OL11" s="155">
        <f>COUNTIF($NQ11:$NU11,2)</f>
        <v/>
      </c>
      <c r="OM11" s="155">
        <f>COUNTIF($NQ11:$NU11,3)</f>
        <v/>
      </c>
      <c r="ON11" s="155">
        <f>COUNTIF($NQ11:$NU11,4)</f>
        <v/>
      </c>
      <c r="OO11" s="155">
        <f>COUNTIF($NQ11:$NU11,5)</f>
        <v/>
      </c>
      <c r="OP11" s="155">
        <f>COUNTIF($NQ11:$NU11,6)</f>
        <v/>
      </c>
      <c r="OQ11" s="155">
        <f>COUNTIF($OG11:$OH11,1)</f>
        <v/>
      </c>
      <c r="OR11" s="155">
        <f>COUNTIF($OG11:$OH11,2)+$OD11</f>
        <v/>
      </c>
      <c r="OS11" s="155">
        <f>COUNTIF($MV11:$MY11,"?*")</f>
        <v/>
      </c>
      <c r="OT11" s="155">
        <f>COUNTIF($MZ11:$NA11,"?*")+$OD11</f>
        <v/>
      </c>
      <c r="OU11" s="155">
        <f>IF($MQ11=0,0,SUMPRODUCT($OK11:$OP11,INDEX($I$2:$N$8,MAX(1,$MQ11),0)))</f>
        <v/>
      </c>
      <c r="OV11" s="155">
        <f>IF($MQ11=0,0,$OQ11*CEILING($MQ11/2,1)+$OR11*$MQ11)</f>
        <v/>
      </c>
      <c r="OW11" s="155">
        <f>MIN(2*$MQ11,$OV11)</f>
        <v/>
      </c>
      <c r="OX11" s="155">
        <f>MIN($OW11,$OU11)</f>
        <v/>
      </c>
      <c r="OY11" s="155">
        <f>$OW11-$OX11</f>
        <v/>
      </c>
      <c r="OZ11" s="155">
        <f>IF($MQ11=0,0,INDEX($P$2:$P$8,MAX(1,$MQ11)))</f>
        <v/>
      </c>
      <c r="PA11" s="155">
        <f>$OZ11-$OU11+$OX11</f>
        <v/>
      </c>
      <c r="PB11" s="155">
        <f>IF($MQ11=0,MAX(0,$NE11-IF($OS11&gt;0,1,0)),MAX(0,$PA11))</f>
        <v/>
      </c>
      <c r="PC11" s="155">
        <f>IF($MQ11=0,0,(IF(COUNTIF($MV11:$MY11,"Salto")&gt;0,1,0)+IF(COUNTIF($MV11:$MY11,"Queima")&gt;0,1,0)+IF(COUNTIF($MV11:$MY11,"Estilhaço")&gt;0,1,0))*FLOOR($PB11/2,1))</f>
        <v/>
      </c>
      <c r="PD11" s="155">
        <f>MAX(0,2-SUMPRODUCT($OK11:$OP11,$I$2:$N$2)+MIN(2,$OQ11*1+$OR11*1,SUMPRODUCT($OK11:$OP11,$I$2:$N$2)))</f>
        <v/>
      </c>
      <c r="PE11" s="155">
        <f>MAX(0,4-SUMPRODUCT($OK11:$OP11,$I$3:$N$3)+MIN(4,$OQ11*1+$OR11*2,SUMPRODUCT($OK11:$OP11,$I$3:$N$3)))</f>
        <v/>
      </c>
      <c r="PF11" s="155">
        <f>MAX(0,6-SUMPRODUCT($OK11:$OP11,$I$4:$N$4)+MIN(6,$OQ11*2+$OR11*3,SUMPRODUCT($OK11:$OP11,$I$4:$N$4)))</f>
        <v/>
      </c>
      <c r="PG11" s="155">
        <f>MAX(0,9-SUMPRODUCT($OK11:$OP11,$I$5:$N$5)+MIN(8,$OQ11*2+$OR11*4,SUMPRODUCT($OK11:$OP11,$I$5:$N$5)))</f>
        <v/>
      </c>
      <c r="PH11" s="155">
        <f>MAX(0,11-SUMPRODUCT($OK11:$OP11,$I$6:$N$6)+MIN(10,$OQ11*3+$OR11*5,SUMPRODUCT($OK11:$OP11,$I$6:$N$6)))</f>
        <v/>
      </c>
      <c r="PI11" s="155">
        <f>MAX(0,13-SUMPRODUCT($OK11:$OP11,$I$7:$N$7)+MIN(12,$OQ11*3+$OR11*6,SUMPRODUCT($OK11:$OP11,$I$7:$N$7)))</f>
        <v/>
      </c>
      <c r="PJ11" s="155">
        <f>MAX(0,16-SUMPRODUCT($OK11:$OP11,$I$8:$N$8)+MIN(14,$OQ11*4+$OR11*7,SUMPRODUCT($OK11:$OP11,$I$8:$N$8)))</f>
        <v/>
      </c>
      <c r="PK11" s="155">
        <f>IF($OE11=2,3*$PD11&amp;" de vida temp.",IF($OE11=3,"sem dano",IF($PD11=0,IF($OE11=1,"sem cura","sem dano"),IF($OE11=1,"cura ","")&amp;$PD11&amp;"d8")))</f>
        <v/>
      </c>
      <c r="PL11" s="155">
        <f>IF($OE11=2,3*$PE11&amp;" de vida temp.",IF($OE11=3,"sem dano",IF($PE11=0,IF($OE11=1,"sem cura","sem dano"),IF($OE11=1,"cura ","")&amp;$PE11&amp;"d8")))</f>
        <v/>
      </c>
      <c r="PM11" s="155">
        <f>IF($OE11=2,3*$PF11&amp;" de vida temp.",IF($OE11=3,"sem dano",IF($PF11=0,IF($OE11=1,"sem cura","sem dano"),IF($OE11=1,"cura ","")&amp;$PF11&amp;"d8")))</f>
        <v/>
      </c>
      <c r="PN11" s="155">
        <f>IF($OE11=2,3*$PG11&amp;" de vida temp.",IF($OE11=3,"sem dano",IF($PG11=0,IF($OE11=1,"sem cura","sem dano"),IF($OE11=1,"cura ","")&amp;$PG11&amp;"d8")))</f>
        <v/>
      </c>
      <c r="PO11" s="155">
        <f>IF($OE11=2,3*$PH11&amp;" de vida temp.",IF($OE11=3,"sem dano",IF($PH11=0,IF($OE11=1,"sem cura","sem dano"),IF($OE11=1,"cura ","")&amp;$PH11&amp;"d8")))</f>
        <v/>
      </c>
      <c r="PP11" s="155">
        <f>IF($OE11=2,3*$PI11&amp;" de vida temp.",IF($OE11=3,"sem dano",IF($PI11=0,IF($OE11=1,"sem cura","sem dano"),IF($OE11=1,"cura ","")&amp;$PI11&amp;"d8")))</f>
        <v/>
      </c>
      <c r="PQ11" s="155">
        <f>IF($OE11=2,3*$PJ11&amp;" de vida temp.",IF($OE11=3,"sem dano",IF($PJ11=0,IF($OE11=1,"sem cura","sem dano"),IF($OE11=1,"cura ","")&amp;$PJ11&amp;"d8")))</f>
        <v/>
      </c>
      <c r="PR11" s="155">
        <f>IF($NB11=0,"",TEXTJOIN(" · ",TRUE,IF($MO11&gt;$NC11,"Este lugar abre no nível "&amp;$MO11,""),IF($MQ11&gt;$ND11,"Classe "&amp;$MQ11&amp;": o nível "&amp;$NC11&amp;" libera até a "&amp;$ND11,""),IF($NV11=1,"A Forma "&amp;$MS11&amp;" pede "&amp;INDEX($W$2:$W$11,$NH11)&amp;" aberta",""),IF(AND($MQ11=0,$NH11&gt;0,IF($NH11=0,0,INDEX($AF$2:$AF$11,$NH11))=0),$MS11&amp;" não existe na Classe 0",""),IF($NW11=1,"Família Fechada: "&amp;$MV11,""),IF($NX11=1,"Família Fechada: "&amp;$MW11,""),IF($NY11=1,"Família Fechada: "&amp;$MX11,""),IF($NZ11=1,"Família Fechada: "&amp;$MY11,""),IF(AND($MQ11&gt;0,$OS11&gt;INDEX($O$2:$O$8,MAX(1,$MQ11))),$OS11&amp;" Melhorias: a Classe "&amp;$MQ11&amp;" aceita "&amp;INDEX($O$2:$O$8,MAX(1,$MQ11)),""),IF(AND($MQ11=0,$OS11&gt;1),"A básica aceita uma Melhoria",""),IF(AND($MQ11=0,COUNTIF($NM11:$NP11,"&gt;1")&gt;0),"A básica só aceita Melhoria Leve",""),IF(AND($MQ11&gt;0,$OT11&gt;2),$OT11&amp;" Restrições"&amp;IF($OD11=1,", contando a que a Forma "&amp;$MS11&amp;" já traz","")&amp;": o limite é 2",""),IF(AND($MQ11=0,COUNTIF($MZ11:$NA11,"?*")&gt;1),"A básica aceita uma Restrição Leve",""),IF(AND($MQ11=0,COUNTIF($OG11:$OH11,2)&gt;0),"A básica só aceita Restrição Leve",""),IF(AND($MQ11&gt;0,$PA11&lt;0),"Orçamento estourado: faltam "&amp;(-$PA11)&amp;IF($PA11&lt;-1," pontos"," ponto"),""),IF(IFERROR(VLOOKUP($MZ11,$BC$2:$BG$24,4,FALSE),0)+IFERROR(VLOOKUP($NA11,$BC$2:$BG$24,4,FALSE),0)&gt;1,$OI11&amp;" e "&amp;$OJ11&amp;" são as duas de frequência",""),IF(AND((COUNTIF($MV11:$MY11,"Rápido")+COUNTIF($OI11:$OJ11,"Rápido"))&gt;0,(COUNTIF($MV11:$MY11,"Atrasar")+COUNTIF($OI11:$OJ11,"Atrasar"))&gt;0),"Rápido não entra com Atrasar",""),IF(AND((COUNTIF($MV11:$MY11,"Reação")+COUNTIF($OI11:$OJ11,"Reação"))&gt;0,(COUNTIF($MV11:$MY11,"Rápido")+COUNTIF($OI11:$OJ11,"Rápido"))&gt;0),"Reação não entra com Rápido",""),IF(AND((COUNTIF($MV11:$MY11,"Reação")+COUNTIF($OI11:$OJ11,"Reação"))&gt;0,(COUNTIF($MV11:$MY11,"Armado")+COUNTIF($OI11:$OJ11,"Armado"))&gt;0),"Reação não entra com Armado",""),IF(AND((COUNTIF($MV11:$MY11,"Reação")+COUNTIF($OI11:$OJ11,"Reação"))&gt;0,(COUNTIF($MV11:$MY11,"Atrasar")+COUNTIF($OI11:$OJ11,"Atrasar"))&gt;0),"Reação não entra com Atrasar",""),IF(AND((COUNTIF($MV11:$MY11,"Reação")+COUNTIF($OI11:$OJ11,"Reação"))&gt;0,(COUNTIF($MV11:$MY11,"Parado")+COUNTIF($OI11:$OJ11,"Parado"))&gt;0),"Reação não entra com Parado",""),IF(AND((COUNTIF($MV11:$MY11,"Atrasar")+COUNTIF($OI11:$OJ11,"Atrasar"))&gt;0,(COUNTIF($MV11:$MY11,"Parado")+COUNTIF($OI11:$OJ11,"Parado"))&gt;0),"Atrasar não entra com Parado",""),IF(AND((COUNTIF($MV11:$MY11,"Armado")+COUNTIF($OI11:$OJ11,"Armado"))&gt;0,(COUNTIF($MV11:$MY11,"Carregar")+COUNTIF($OI11:$OJ11,"Carregar"))&gt;0),"Armado não entra com Carregar",""),IF(AND(COUNTIF($OI11:$OJ11,"Corpo a Corpo")&gt;0,$OD11=0,OR($MS11="Cone",$MS11="Linha")),"Corpo a Corpo não entra em "&amp;$MS11,""),IF(AND(COUNTIF($OI11:$OJ11,"Corpo a Corpo")&gt;0,$OD11=1),"A Forma "&amp;$MS11&amp;" já traz o Corpo a Corpo",""),IF(AND(COUNTIF($OI11:$OJ11,"Tudo ou Nada")&gt;0,$OF11=0),"Tudo ou Nada só entra em habilidade de Teste de Resistência",""),IF(AND(COUNTIF($MV11:$MY11,"Inescapável")&gt;0,OR($OS11&gt;1,$OT11&gt;0)),"Inescapável não aceita outra peça",""),IF(AND($MQ11&gt;0,$PB11*IF(COUNTIF($MV11:$MY11,"Remate")&gt;0,1.25,1)+$PC11&gt;4*$MQ11),($PB11*IF(COUNTIF($MV11:$MY11,"Remate")&gt;0,1.25,1)+$PC11)&amp;" dados somando repetições"&amp;IF(COUNTIF($MV11:$MY11,"Remate")&gt;0," e o Remate","")&amp;": o teto da Classe "&amp;$MQ11&amp;" é "&amp;4*$MQ11,"")))</f>
        <v/>
      </c>
      <c r="PS11" s="155">
        <f>IF($PR11="",0,(LEN($PR11)-LEN(SUBSTITUTE($PR11," · ","")))/3+1)</f>
        <v/>
      </c>
      <c r="PT11" s="155">
        <f>IF($NB11=0,"",TEXTJOIN(" · ",TRUE,IF($OV11&gt;2*$MQ11,"A devolução parou no teto de "&amp;2*$MQ11,""),IF($OY11&gt;0,"Devolução perdida: "&amp;$OY11&amp;IF($OY11&gt;1," pontos"," ponto")&amp;" sem peça para pagar",""),IF(AND($OA11&gt;0,AND($MQ11&gt;0,$OE11=0),$PB11=0),"Controle sem dano: uma rodada a mais e CD +2",""),IF(AND($OA11&gt;0,AND($MQ11&gt;0,$OE11=0),$PB11&gt;0,$PB11&lt;=$MQ11),"Controle com saldo até a Classe: uma rodada a mais",""),IF(AND($MQ11&gt;0,$OC11&lt;&gt;""),"Efeito de "&amp;$OC11&amp;" pela Classe "&amp;MAX(1,$MQ11-1),"")))</f>
        <v/>
      </c>
      <c r="PU11" s="155">
        <f>IF($PT11="",0,(LEN($PT11)-LEN(SUBSTITUTE($PT11," · ","")))/3+1)</f>
        <v/>
      </c>
      <c r="PV11" s="155">
        <f>IF($NB11=0,IF($OS11+COUNTIF($MZ11:$NA11,"?*")&gt;0,"Dê um nome",""),IF($PS11&gt;0,"⚠ "&amp;$PS11&amp;IF($PS11&gt;1," erros"," erro"),IF($PU11&gt;0,"! "&amp;$PU11&amp;IF($PU11&gt;1," avisos"," aviso"),"Na regra")))</f>
        <v/>
      </c>
      <c r="PW11" s="155">
        <f>IF($NB11=0,"",IF($PS11+$PU11=0,"Dentro das regras que a ficha confere",$PR11&amp;IF(AND($PS11&gt;0,$PU11&gt;0)," · ","")&amp;$PT11))</f>
        <v/>
      </c>
      <c r="PX11" s="155">
        <f>IF($MO11&gt;$NC11,$MP11&amp;" · ABRE NO NÍVEL "&amp;$MO11,$MP11)</f>
        <v/>
      </c>
      <c r="PY11" s="155">
        <f>IF($NB11=0,"",IF($MQ11=0,"Sem PE",3*$MQ11&amp;" PE"))</f>
        <v/>
      </c>
      <c r="PZ11" s="155">
        <f>IF($NB11=0,"",IF($MQ11=0,"A atuação básica dela",IF(COUNTIF($OI11:$OJ11,"Atrasar")&gt;0,"Sua Ação Completa",IF(COUNTIF($MV11:$MY11,"Rápido")&gt;0,"Sua Bônus",IF(COUNTIF($MV11:$MY11,"Reação")&gt;0,"Sua Reação","Sua Padrão")))&amp;" + a básica dela"&amp;IF(COUNTIF($MV11:$MY11,"Reação")&gt;0," e a coletiva","")&amp;IF(COUNTIF($OI11:$OJ11,"Carregar")&gt;0," · em dois turnos","")))</f>
        <v/>
      </c>
      <c r="QA11" s="155">
        <f>IF($MU11&lt;&gt;"",$MU11,IF($NH11=0,"",INDEX($AA$2:$AA$11,$NH11)))</f>
        <v/>
      </c>
      <c r="QB11" s="155">
        <f>IF(OR($NB11=0,$NH11=0),"",IF(COUNTIF($MV11:$MY11,"Inescapável")&gt;0,"Automático",IF($QA11="Ataque",IF($NF11="","Ataque","Ataque "&amp;IF(($NF11+2*IF(COUNTIF($MV11:$MY11,"Precisão")&gt;0,1,0))&gt;=0,"+","−")&amp;ABS(($NF11+2*IF(COUNTIF($MV11:$MY11,"Precisão")&gt;0,1,0))))&amp;IF($OB11&gt;0," · TR"&amp;IF($NG11="",""," CD "&amp;$NG11),""),IF(LEFT($QA11,2)="TR",$QA11&amp;IF($NG11="",""," · CD "&amp;$NG11)&amp;IF(COUNTIF($MV11:$MY11,"Certeiro")&gt;0," · metade",""),"Sem rolagem"))))</f>
        <v/>
      </c>
      <c r="QC11" s="155">
        <f>IF(OR($NB11=0,$NH11=0),"",IF($MQ11=0,IF(OR($OE11&gt;=1,$PB11=0),"Sem dano",$PB11&amp;"d6"&amp;IF($MT11="",""," "&amp;$MT11)),IF(OR($OE11&gt;=1,$PB11=0),UPPER(LEFT(INDEX($PK11:$PQ11,1,MAX(1,$MQ11)),1))&amp;MID(INDEX($PK11:$PQ11,1,MAX(1,$MQ11)),2,99),UPPER(LEFT(INDEX($PK11:$PQ11,1,MAX(1,$MQ11)),1))&amp;MID(INDEX($PK11:$PQ11,1,MAX(1,$MQ11)),2,99)&amp;IF($MT11="",""," "&amp;$MT11)&amp;IF($PC11&gt;0," · +"&amp;$PC11&amp;"d8",""))))</f>
        <v/>
      </c>
      <c r="QD11" s="155">
        <f>COUNTIF($MV11:$MY11,"Longe")+3*COUNTIF($MV11:$MY11,"Muito Longe")</f>
        <v/>
      </c>
      <c r="QE11" s="155">
        <f>COUNTIF($MV11:$MY11,"Maior")+3*COUNTIF($MV11:$MY11,"Muito Maior")</f>
        <v/>
      </c>
      <c r="QF11" s="155">
        <f>IF($NH11=0,0,CHOOSE(1+INDEX($AC$2:$AC$11,$NH11),0,$QD11,$QE11,$QD11+$QE11))</f>
        <v/>
      </c>
      <c r="QG11" s="155">
        <f>IF($NH11=0,0,CHOOSE(1+INDEX($AD$2:$AD$11,$NH11),0,$QD11,$QE11,$QD11+$QE11))</f>
        <v/>
      </c>
      <c r="QH11" s="155">
        <f>IF(OR($NB11=0,$NH11=0),"",INDEX($AI$2:$AN$41,($NH11-1)*4+IF($MQ11=0,1,IF($MQ11&lt;=5,2,IF($MQ11=6,3,4))),1+MIN(5,$QF11))&amp;INDEX($AO$2:$AT$41,($NH11-1)*4+IF($MQ11=0,1,IF($MQ11&lt;=5,2,IF($MQ11=6,3,4))),1+MIN(5,$QG11))&amp;IF(INDEX($AE$2:$AE$11,$NH11)=1,IF(COUNTIF($MV11:$MY11,"Mais Um")&gt;0," · +"&amp;COUNTIF($MV11:$MY11,"Mais Um")&amp;IF(COUNTIF($MV11:$MY11,"Mais Um")&gt;1," alvos"," alvo"),"")&amp;IF(COUNTIF($MV11:$MY11,"Rajada")&gt;0,IF($MQ11=0," · 1 tiro"," · "&amp;(MAX(1,$MQ11-1)+1)&amp;" tiros"),""),""))</f>
        <v/>
      </c>
      <c r="QI11" s="155">
        <f>IF($NB11=0,"",IF($MQ11=0,$NE11&amp;"d6"&amp;IF($OS11&gt;0," − 1 = "&amp;$PB11&amp;"d6"," da básica do nível "&amp;$NC11),$OZ11&amp;" − "&amp;$OU11&amp;" + "&amp;$OX11&amp;" = "&amp;$PA11&amp;" · teto "&amp;4*$MQ11&amp;"d8"&amp;IF($OD11=1," · a Forma devolve "&amp;$MQ11,"")&amp;IF($OY11&gt;0," · perde "&amp;$OY11,"")))</f>
        <v/>
      </c>
      <c r="QJ11" s="155">
        <f>IF($NB11=0,"",IF($MQ11=0,"A básica não amplia: os dados dela sobem com o nível",IF($MQ11&gt;=$ND11,"Já está na maior Classe que o nível liberou",TEXTJOIN(" · ",TRUE,IF(AND(2&gt;$MQ11,2&lt;=$ND11),"2 → "&amp;$PL11&amp;", 6 PE",""),IF(AND(3&gt;$MQ11,3&lt;=$ND11),"3 → "&amp;$PM11&amp;", 9 PE",""),IF(AND(4&gt;$MQ11,4&lt;=$ND11),"4 → "&amp;$PN11&amp;", 12 PE",""),IF(AND(5&gt;$MQ11,5&lt;=$ND11),"5 → "&amp;$PO11&amp;", 15 PE",""),IF(AND(6&gt;$MQ11,6&lt;=$ND11),"6 → "&amp;$PP11&amp;", 18 PE",""),IF(AND(7&gt;$MQ11,7&lt;=$ND11),"7 → "&amp;$PQ11&amp;", 21 PE","")))))</f>
        <v/>
      </c>
      <c r="QK11" s="155">
        <f>IF(OR($NB11=0,$NM11=0),"",IF($MQ11=0,"−1 dado","−"&amp;INDEX($I$2:$N$8,MAX(1,$MQ11),MAX(1,$NR11))&amp;" · "&amp;CHOOSE(MAX(1,$NR11),"Leve","Média","Pesada","Leve · Livre","Média · Livre","Pesada · Livre")))</f>
        <v/>
      </c>
      <c r="QL11" s="155">
        <f>IF(OR($NB11=0,$NN11=0),"",IF($MQ11=0,"−1 dado","−"&amp;INDEX($I$2:$N$8,MAX(1,$MQ11),MAX(1,$NS11))&amp;" · "&amp;CHOOSE(MAX(1,$NS11),"Leve","Média","Pesada","Leve · Livre","Média · Livre","Pesada · Livre")))</f>
        <v/>
      </c>
      <c r="QM11" s="155">
        <f>IF(OR($NB11=0,$NO11=0),"",IF($MQ11=0,"−1 dado","−"&amp;INDEX($I$2:$N$8,MAX(1,$MQ11),MAX(1,$NT11))&amp;" · "&amp;CHOOSE(MAX(1,$NT11),"Leve","Média","Pesada","Leve · Livre","Média · Livre","Pesada · Livre")))</f>
        <v/>
      </c>
      <c r="QN11" s="155">
        <f>IF(OR($NB11=0,$NP11=0),"",IF($MQ11=0,"−1 dado","−"&amp;INDEX($I$2:$N$8,MAX(1,$MQ11),MAX(1,$NU11))&amp;" · "&amp;CHOOSE(MAX(1,$NU11),"Leve","Média","Pesada","Leve · Livre","Média · Livre","Pesada · Livre")))</f>
        <v/>
      </c>
      <c r="QO11" s="155">
        <f>IF(OR($NB11=0,$MZ11=""),"",IF($MQ11=0,"não devolve","+"&amp;IF($OG11=1,CEILING($MQ11/2,1),$MQ11)))</f>
        <v/>
      </c>
      <c r="QP11" s="155">
        <f>IF(OR($NB11=0,$NA11=""),"",IF($MQ11=0,"não devolve","+"&amp;IF($OH11=1,CEILING($MQ11/2,1),$MQ11)))</f>
        <v/>
      </c>
    </row>
    <row r="12">
      <c r="AH12" s="153" t="inlineStr">
        <is>
          <t>Explosão · classe 6</t>
        </is>
      </c>
      <c r="AI12" s="153" t="inlineStr">
        <is>
          <t>Raio 3 m</t>
        </is>
      </c>
      <c r="AJ12" s="153" t="inlineStr">
        <is>
          <t>Raio 4,5 m</t>
        </is>
      </c>
      <c r="AK12" s="153" t="inlineStr">
        <is>
          <t>Raio 6 m</t>
        </is>
      </c>
      <c r="AL12" s="153" t="inlineStr">
        <is>
          <t>Raio 9 m</t>
        </is>
      </c>
      <c r="AM12" s="153" t="inlineStr">
        <is>
          <t>Raio 15 m</t>
        </is>
      </c>
      <c r="AN12" s="153" t="inlineStr">
        <is>
          <t>Raio 15 m</t>
        </is>
      </c>
      <c r="AO12" s="153" t="inlineStr">
        <is>
          <t>, a 36 m</t>
        </is>
      </c>
      <c r="AP12" s="153" t="inlineStr">
        <is>
          <t>, a 90 m</t>
        </is>
      </c>
      <c r="AQ12" s="153" t="inlineStr">
        <is>
          <t>, a visão a olho nu</t>
        </is>
      </c>
      <c r="AR12" s="153" t="inlineStr">
        <is>
          <t>, a visão a olho nu</t>
        </is>
      </c>
      <c r="AS12" s="153" t="inlineStr">
        <is>
          <t>, a visão a olho nu</t>
        </is>
      </c>
      <c r="AT12" s="153" t="inlineStr">
        <is>
          <t>, a visão a olho nu</t>
        </is>
      </c>
      <c r="AV12" s="153" t="inlineStr">
        <is>
          <t>Mais Um</t>
        </is>
      </c>
      <c r="AW12" s="153" t="inlineStr">
        <is>
          <t>Área</t>
        </is>
      </c>
      <c r="AX12" s="155" t="n">
        <v>1</v>
      </c>
      <c r="AY12" s="155" t="n">
        <v>0</v>
      </c>
      <c r="AZ12" s="155" t="n">
        <v>0</v>
      </c>
      <c r="BA12" s="155" t="n">
        <v>0</v>
      </c>
      <c r="BC12" s="153" t="inlineStr">
        <is>
          <t>Peso Morto</t>
        </is>
      </c>
      <c r="BD12" s="153" t="inlineStr">
        <is>
          <t>Peso Morto</t>
        </is>
      </c>
      <c r="BE12" s="155" t="n">
        <v>1</v>
      </c>
      <c r="BF12" s="155" t="n">
        <v>0</v>
      </c>
      <c r="BG12" s="153" t="inlineStr">
        <is>
          <t>Peso Morto</t>
        </is>
      </c>
      <c r="BI12" s="153" t="inlineStr">
        <is>
          <t>Escama</t>
        </is>
      </c>
      <c r="BJ12" s="155" t="n">
        <v>3</v>
      </c>
      <c r="BK12" s="153" t="inlineStr">
        <is>
          <t>Escolha um tipo de dano que a Regra da sua técnica justifique. Você tem resistência a esse tipo: sofre metade do dano, com o arredondamento das regras de dano.</t>
        </is>
      </c>
      <c r="BL12" s="153" t="inlineStr"/>
      <c r="CC12" s="153" t="inlineStr">
        <is>
          <t>Hierarquia</t>
        </is>
      </c>
      <c r="CD12" s="153" t="inlineStr">
        <is>
          <t>Inteligência</t>
        </is>
      </c>
      <c r="CH12" s="153" t="inlineStr">
        <is>
          <t>Necrótico</t>
        </is>
      </c>
      <c r="CY12" s="153" t="inlineStr">
        <is>
          <t>cor da barra</t>
        </is>
      </c>
      <c r="CZ12" s="155">
        <f>DADOS!$CZ$51</f>
        <v/>
      </c>
      <c r="DB12" s="155" t="n">
        <v>11</v>
      </c>
      <c r="DC12" s="155">
        <f>'INVOCAÇÕES'!$AB$805&amp;""</f>
        <v/>
      </c>
      <c r="DD12" s="155">
        <f>'INVOCAÇÕES'!$AB$835&amp;""</f>
        <v/>
      </c>
      <c r="DE12" s="155">
        <f>'INVOCAÇÕES'!$AB$839&amp;""</f>
        <v/>
      </c>
      <c r="DF12" s="155">
        <f>N('INVOCAÇÕES'!$AD$839)</f>
        <v/>
      </c>
      <c r="DG12" s="155">
        <f>'INVOCAÇÕES'!$AE$839&amp;""</f>
        <v/>
      </c>
      <c r="DH12" s="155">
        <f>N('INVOCAÇÕES'!$AH$812)</f>
        <v/>
      </c>
      <c r="DI12" s="155">
        <f>N('INVOCAÇÕES'!$AI$812)</f>
        <v/>
      </c>
      <c r="DJ12" s="155">
        <f>N('INVOCAÇÕES'!$AJ$812)</f>
        <v/>
      </c>
      <c r="DK12" s="155">
        <f>N('INVOCAÇÕES'!$AK$812)</f>
        <v/>
      </c>
      <c r="DL12" s="155">
        <f>N('INVOCAÇÕES'!$AL$812)</f>
        <v/>
      </c>
      <c r="DM12" s="155">
        <f>N('INVOCAÇÕES'!$AH$813)</f>
        <v/>
      </c>
      <c r="DN12" s="155">
        <f>N('INVOCAÇÕES'!$AI$813)</f>
        <v/>
      </c>
      <c r="DO12" s="155">
        <f>N('INVOCAÇÕES'!$AJ$813)</f>
        <v/>
      </c>
      <c r="DP12" s="155">
        <f>N('INVOCAÇÕES'!$AK$813)</f>
        <v/>
      </c>
      <c r="DQ12" s="155">
        <f>N('INVOCAÇÕES'!$AL$813)</f>
        <v/>
      </c>
      <c r="DR12" s="155">
        <f>'INVOCAÇÕES'!$AH$826&amp;""</f>
        <v/>
      </c>
      <c r="DS12" s="155">
        <f>'INVOCAÇÕES'!$AK$826&amp;""</f>
        <v/>
      </c>
      <c r="DT12" s="155">
        <f>'INVOCAÇÕES'!$AL$821&amp;""</f>
        <v/>
      </c>
      <c r="DU12" s="155">
        <f>N('INVOCAÇÕES'!$AH$818)</f>
        <v/>
      </c>
      <c r="DV12" s="155">
        <f>N('INVOCAÇÕES'!$AI$818)</f>
        <v/>
      </c>
      <c r="DW12" s="155">
        <f>N('INVOCAÇÕES'!$AJ$818)</f>
        <v/>
      </c>
      <c r="DX12" s="155">
        <f>N('INVOCAÇÕES'!$AK$818)</f>
        <v/>
      </c>
      <c r="DY12" s="155">
        <f>N('INVOCAÇÕES'!$AL$818)</f>
        <v/>
      </c>
      <c r="DZ12" s="155">
        <f>N('INVOCAÇÕES'!$AH$823)</f>
        <v/>
      </c>
      <c r="EA12" s="155">
        <f>N('INVOCAÇÕES'!$AI$823)</f>
        <v/>
      </c>
      <c r="EB12" s="155">
        <f>N('INVOCAÇÕES'!$AJ$823)</f>
        <v/>
      </c>
      <c r="EC12" s="155">
        <f>N('INVOCAÇÕES'!$AK$823)</f>
        <v/>
      </c>
      <c r="ED12" s="155">
        <f>'INVOCAÇÕES'!$AN$805&amp;""</f>
        <v/>
      </c>
      <c r="EE12" s="155">
        <f>N('INVOCAÇÕES'!$AP$805)</f>
        <v/>
      </c>
      <c r="EF12" s="155">
        <f>'INVOCAÇÕES'!$AR$805&amp;""</f>
        <v/>
      </c>
      <c r="EG12" s="155">
        <f>SUM('INVOCAÇÕES'!$AR$825:'INVOCAÇÕES'!$AR$827,'INVOCAÇÕES'!$AR$829:'INVOCAÇÕES'!$AR$834)</f>
        <v/>
      </c>
      <c r="EH12" s="155">
        <f>'INVOCAÇÕES'!$AN$810&amp;""</f>
        <v/>
      </c>
      <c r="EI12" s="155">
        <f>'INVOCAÇÕES'!$AO$810&amp;""</f>
        <v/>
      </c>
      <c r="EJ12" s="155">
        <f>'INVOCAÇÕES'!$AH$840&amp;""</f>
        <v/>
      </c>
      <c r="EK12" s="155">
        <f>'INVOCAÇÕES'!$AI$840&amp;""</f>
        <v/>
      </c>
      <c r="EL12" s="155">
        <f>'INVOCAÇÕES'!$AJ$840&amp;""</f>
        <v/>
      </c>
      <c r="EM12" s="155">
        <f>'INVOCAÇÕES'!$AK$840&amp;""</f>
        <v/>
      </c>
      <c r="EN12" s="155">
        <f>'INVOCAÇÕES'!$AL$840&amp;""</f>
        <v/>
      </c>
      <c r="EO12" s="155">
        <f>'INVOCAÇÕES'!$AH$830&amp;""</f>
        <v/>
      </c>
      <c r="EP12" s="155">
        <f>'INVOCAÇÕES'!$AH$831&amp;""</f>
        <v/>
      </c>
      <c r="EQ12" s="155">
        <f>'INVOCAÇÕES'!$AH$832&amp;""</f>
        <v/>
      </c>
      <c r="ER12" s="155">
        <f>'INVOCAÇÕES'!$AH$833&amp;""</f>
        <v/>
      </c>
      <c r="ES12" s="155">
        <f>'INVOCAÇÕES'!$AH$834&amp;""</f>
        <v/>
      </c>
      <c r="ET12" s="155">
        <f>'INVOCAÇÕES'!$AH$835&amp;""</f>
        <v/>
      </c>
      <c r="EU12" s="155">
        <f>'INVOCAÇÕES'!$AH$836&amp;""</f>
        <v/>
      </c>
      <c r="EV12" s="155">
        <f>'INVOCAÇÕES'!$AC$872&amp;""</f>
        <v/>
      </c>
      <c r="EW12" s="155">
        <f>'INVOCAÇÕES'!$AC$873&amp;""</f>
        <v/>
      </c>
      <c r="EX12" s="155">
        <f>'INVOCAÇÕES'!$AC$874&amp;""</f>
        <v/>
      </c>
      <c r="EY12" s="155">
        <f>'INVOCAÇÕES'!$AC$875&amp;""</f>
        <v/>
      </c>
      <c r="EZ12" s="155">
        <f>'INVOCAÇÕES'!$AC$876&amp;""</f>
        <v/>
      </c>
      <c r="FA12" s="155">
        <f>'INVOCAÇÕES'!$AC$877&amp;""</f>
        <v/>
      </c>
      <c r="FB12" s="155">
        <f>'INVOCAÇÕES'!$AC$878&amp;""</f>
        <v/>
      </c>
      <c r="FC12" s="155">
        <f>'INVOCAÇÕES'!$AC$879&amp;""</f>
        <v/>
      </c>
      <c r="FD12" s="155">
        <f>'INVOCAÇÕES'!$AC$974&amp;""</f>
        <v/>
      </c>
      <c r="FE12" s="155">
        <f>'INVOCAÇÕES'!$AC$975&amp;""</f>
        <v/>
      </c>
      <c r="FF12" s="155">
        <f>'INVOCAÇÕES'!$AC$976&amp;""</f>
        <v/>
      </c>
      <c r="FG12" s="155">
        <f>MAX(3,MIN(7,N('INVOCAÇÕES'!$AB$981)))</f>
        <v/>
      </c>
      <c r="FH12" s="155">
        <f>MAX(3,MIN(7,N('INVOCAÇÕES'!$AH$981)))</f>
        <v/>
      </c>
      <c r="FI12" s="155">
        <f>MAX(3,MIN(7,N('INVOCAÇÕES'!$AN$981)))</f>
        <v/>
      </c>
      <c r="FJ12" s="155">
        <f>'INVOCAÇÕES'!$AH$995&amp;""</f>
        <v/>
      </c>
      <c r="FK12" s="155">
        <f>IF($DC12&lt;&gt;"",1,0)</f>
        <v/>
      </c>
      <c r="FL12" s="155">
        <f>IFERROR(VLOOKUP($DE12,$BP$2:$BQ$5,2,FALSE),1)</f>
        <v/>
      </c>
      <c r="FM12" s="155">
        <f>IF($FL12=1,$CZ$2,MAX(1,MIN($CZ$2,IF($DF12=0,$CZ$2,$DF12))))</f>
        <v/>
      </c>
      <c r="FN12" s="155">
        <f>VLOOKUP(MAX(1,$FM12),$A$2:$D$8,2,TRUE)</f>
        <v/>
      </c>
      <c r="FO12" s="155">
        <f>VLOOKUP(MAX(1,$FM12),$A$2:$D$8,3,TRUE)</f>
        <v/>
      </c>
      <c r="FP12" s="155">
        <f>$DH12+$DM12</f>
        <v/>
      </c>
      <c r="FQ12" s="155">
        <f>$DI12+$DN12</f>
        <v/>
      </c>
      <c r="FR12" s="155">
        <f>$DJ12+$DO12</f>
        <v/>
      </c>
      <c r="FS12" s="155">
        <f>$DK12+$DP12</f>
        <v/>
      </c>
      <c r="FT12" s="155">
        <f>$DL12+$DQ12</f>
        <v/>
      </c>
      <c r="FU12" s="155">
        <f>SUM($DH12:$DL12)</f>
        <v/>
      </c>
      <c r="FV12" s="155">
        <f>9+$FW12</f>
        <v/>
      </c>
      <c r="FW12" s="155">
        <f>COUNTIF($F$2:$F$8,"&lt;="&amp;$FM12)</f>
        <v/>
      </c>
      <c r="FX12" s="155">
        <f>MAX(0,$DH12-3)+MAX(0,$DI12-3)+MAX(0,$DJ12-3)+MAX(0,$DK12-3)+MAX(0,$DL12-3)</f>
        <v/>
      </c>
      <c r="FY12" s="155">
        <f>IFERROR(INDEX($FP12:$FT12,1,MATCH($DR12,$BU$2:$BU$6,0)),"")</f>
        <v/>
      </c>
      <c r="FZ12" s="155">
        <f>IF($FY12="","",$FY12+$CZ$3+$DU12)</f>
        <v/>
      </c>
      <c r="GA12" s="155">
        <f>IF($FY12="","",8+$FY12+$CZ$3+$DV12)</f>
        <v/>
      </c>
      <c r="GB12" s="155">
        <f>10+$FQ12+$CZ$7+$DW12</f>
        <v/>
      </c>
      <c r="GC12" s="155">
        <f>IF($DD12="Corpo amaldiçoado de criação",1,0)</f>
        <v/>
      </c>
      <c r="GD12" s="155">
        <f>5+$FR12+(3+$GC12+$FR12)*($FM12-1)+$DX12</f>
        <v/>
      </c>
      <c r="GE12" s="155">
        <f>IF($FK12=0,"",$GD12)</f>
        <v/>
      </c>
      <c r="GF12" s="155">
        <f>IF($ED12="",$GD12,MAX(0,MIN(IFERROR(VALUE($ED12),$GD12),$GD12)))</f>
        <v/>
      </c>
      <c r="GG12" s="155">
        <f>IF(AND($FK12=1,$EH12&lt;&gt;"Sem alma"),MAX(1,INT($GD12/2)),"")</f>
        <v/>
      </c>
      <c r="GH12" s="155">
        <f>$GG12</f>
        <v/>
      </c>
      <c r="GI12" s="155">
        <f>IF($GG12="","",IF($EI12="",$GG12,MAX(0,MIN(IFERROR(VALUE($EI12),$GG12),$GG12))))</f>
        <v/>
      </c>
      <c r="GJ12" s="155">
        <f>IF($FK12=0,"",IF($GG12="","—",$GG12))</f>
        <v/>
      </c>
      <c r="GK12" s="155">
        <f>IF($FK12=0,"",IF($GG12="","Sem alma · imune a dano de Alma",IF($GI12&lt;=0,"Estágio 4 · caída, como a zero de vida",IF($GI12&lt;=$GG12/4,"Estágio 3 · desvantagem em ataques e TRs, Classe pela metade",IF($GI12&lt;=$GG12/2,"Estágio 2 · metade do deslocamento, +1 PE por Classe",IF($GI12&lt;=$GG12*3/4,"Estágio 1 · desvantagem em perícias","Alma inteira"))))))</f>
        <v/>
      </c>
      <c r="GL12" s="155">
        <f>9+$DY12</f>
        <v/>
      </c>
      <c r="GM12" s="155">
        <f>IF($DS12="Destreza",$FQ12,$FP12)</f>
        <v/>
      </c>
      <c r="GN12" s="155">
        <f>$GM12+IF($DT12="Físico",$CZ$3,0)+$DZ12</f>
        <v/>
      </c>
      <c r="GO12" s="155">
        <f>$FR12+IF($DT12="Vigor",$CZ$3,0)+$EA12</f>
        <v/>
      </c>
      <c r="GP12" s="155">
        <f>$FS12+IF($DT12="Intelecto",$CZ$3,0)+$EB12</f>
        <v/>
      </c>
      <c r="GQ12" s="155">
        <f>$FT12+IF($DT12="Espírito",$CZ$3,0)+$EC12</f>
        <v/>
      </c>
      <c r="GR12" s="155">
        <f>4+INT($DK12/2)</f>
        <v/>
      </c>
      <c r="GS12" s="155">
        <f>COUNTIF($EO12:$EU12,"?*")</f>
        <v/>
      </c>
      <c r="GT12" s="155">
        <f>INT((2+$FM12/2)/2)</f>
        <v/>
      </c>
      <c r="GU12" s="155">
        <f>IF($FM12&gt;=11,2,1)</f>
        <v/>
      </c>
      <c r="GV12" s="155">
        <f>1+$FW12</f>
        <v/>
      </c>
      <c r="GW12" s="155">
        <f>COUNTIF($EV12:$FC12,"?*")</f>
        <v/>
      </c>
      <c r="GX12" s="155">
        <f>IF(AND($DD12="Shikigami de criação",$DG12="Com carga"),MAX(1,CEILING($FN12/2,1)),$FN12)</f>
        <v/>
      </c>
      <c r="GY12" s="155">
        <f>$FN12+$GX12</f>
        <v/>
      </c>
      <c r="GZ12" s="155">
        <f>$FM12*(1+INT($DL12/3))</f>
        <v/>
      </c>
      <c r="HA12" s="155">
        <f>5+$FP12</f>
        <v/>
      </c>
      <c r="HB12" s="155">
        <f>COUNTIF($EJ12:$EN12,"?*")</f>
        <v/>
      </c>
      <c r="HC12" s="155">
        <f>IF($EJ12="",0,IF(COUNTIF($EJ12:$EN12,$EJ12)&gt;1,1,0))+IF($EK12="",0,IF(COUNTIF($EJ12:$EN12,$EK12)&gt;1,1,0))+IF($EL12="",0,IF(COUNTIF($EJ12:$EN12,$EL12)&gt;1,1,0))+IF($EM12="",0,IF(COUNTIF($EJ12:$EN12,$EM12)&gt;1,1,0))+IF($EN12="",0,IF(COUNTIF($EJ12:$EN12,$EN12)&gt;1,1,0))</f>
        <v/>
      </c>
      <c r="HD12" s="155">
        <f>$CZ$11</f>
        <v/>
      </c>
      <c r="HE12" s="155">
        <f>IF($FK12=0,"INVOCAÇÃO 11 · lugar vazio",$DC12&amp;" · "&amp;$DD12&amp;" · nível "&amp;$FM12&amp;" · vida "&amp;$GF12&amp;" de "&amp;$GD12)</f>
        <v/>
      </c>
      <c r="HF12" s="155">
        <f>IF($FK12=0,"VAZIA",UPPER($DC12))</f>
        <v/>
      </c>
      <c r="HG12" s="155">
        <f>IF($CZ$3&gt;=0,"+","−")&amp;ABS($CZ$3)</f>
        <v/>
      </c>
      <c r="HH12" s="155">
        <f>$GX12&amp;" PE"</f>
        <v/>
      </c>
      <c r="HI12" s="155">
        <f>$GY12&amp;" PE"</f>
        <v/>
      </c>
      <c r="HJ12" s="155">
        <f>IF(OR($FU12&gt;$FV12,$FX12&gt;$FW12),"⚠ ",IF(AND($FK12=1,$FU12&lt;$FV12),"! ",""))&amp;"ATRIBUTOS · "&amp;$FU12&amp;" DE "&amp;$FV12&amp;" PONTOS"&amp;IF($FX12&gt;$FW12," · ACIMA DE 3 SÓ COM MARCO","")</f>
        <v/>
      </c>
      <c r="HK12" s="155">
        <f>IF($FZ12="","",IF($FZ12&gt;=0,"+","−")&amp;ABS($FZ12))</f>
        <v/>
      </c>
      <c r="HL12" s="155">
        <f>IF($GA12="","",$GA12)</f>
        <v/>
      </c>
      <c r="HM12" s="155">
        <f>SUBSTITUTE($GL12&amp;" m",".",",")</f>
        <v/>
      </c>
      <c r="HN12" s="155">
        <f>IF($GN12&gt;=0,"+","−")&amp;ABS($GN12)</f>
        <v/>
      </c>
      <c r="HO12" s="155">
        <f>IF($GO12&gt;=0,"+","−")&amp;ABS($GO12)</f>
        <v/>
      </c>
      <c r="HP12" s="155">
        <f>IF($GP12&gt;=0,"+","−")&amp;ABS($GP12)</f>
        <v/>
      </c>
      <c r="HQ12" s="155">
        <f>IF($GQ12&gt;=0,"+","−")&amp;ABS($GQ12)</f>
        <v/>
      </c>
      <c r="HR12" s="155">
        <f>IF($GS12&gt;$GR12,"⚠ ","")&amp;"PERÍCIAS · "&amp;$GS12&amp;" DE "&amp;$GR12</f>
        <v/>
      </c>
      <c r="HS12" s="155">
        <f>IF($EO12="","",IFERROR(IF((INDEX($FP12:$FT12,1,MATCH(VLOOKUP($EO12,$CC$2:$CD$24,2,FALSE),$BU$2:$BU$6,0))+$CZ$3)&gt;=0,"+","−")&amp;ABS((INDEX($FP12:$FT12,1,MATCH(VLOOKUP($EO12,$CC$2:$CD$24,2,FALSE),$BU$2:$BU$6,0))+$CZ$3)),""))</f>
        <v/>
      </c>
      <c r="HT12" s="155">
        <f>IF($EP12="","",IFERROR(IF((INDEX($FP12:$FT12,1,MATCH(VLOOKUP($EP12,$CC$2:$CD$24,2,FALSE),$BU$2:$BU$6,0))+$CZ$3)&gt;=0,"+","−")&amp;ABS((INDEX($FP12:$FT12,1,MATCH(VLOOKUP($EP12,$CC$2:$CD$24,2,FALSE),$BU$2:$BU$6,0))+$CZ$3)),""))</f>
        <v/>
      </c>
      <c r="HU12" s="155">
        <f>IF($EQ12="","",IFERROR(IF((INDEX($FP12:$FT12,1,MATCH(VLOOKUP($EQ12,$CC$2:$CD$24,2,FALSE),$BU$2:$BU$6,0))+$CZ$3)&gt;=0,"+","−")&amp;ABS((INDEX($FP12:$FT12,1,MATCH(VLOOKUP($EQ12,$CC$2:$CD$24,2,FALSE),$BU$2:$BU$6,0))+$CZ$3)),""))</f>
        <v/>
      </c>
      <c r="HV12" s="155">
        <f>IF($ER12="","",IFERROR(IF((INDEX($FP12:$FT12,1,MATCH(VLOOKUP($ER12,$CC$2:$CD$24,2,FALSE),$BU$2:$BU$6,0))+$CZ$3)&gt;=0,"+","−")&amp;ABS((INDEX($FP12:$FT12,1,MATCH(VLOOKUP($ER12,$CC$2:$CD$24,2,FALSE),$BU$2:$BU$6,0))+$CZ$3)),""))</f>
        <v/>
      </c>
      <c r="HW12" s="155">
        <f>IF($ES12="","",IFERROR(IF((INDEX($FP12:$FT12,1,MATCH(VLOOKUP($ES12,$CC$2:$CD$24,2,FALSE),$BU$2:$BU$6,0))+$CZ$3)&gt;=0,"+","−")&amp;ABS((INDEX($FP12:$FT12,1,MATCH(VLOOKUP($ES12,$CC$2:$CD$24,2,FALSE),$BU$2:$BU$6,0))+$CZ$3)),""))</f>
        <v/>
      </c>
      <c r="HX12" s="155">
        <f>IF($ET12="","",IFERROR(IF((INDEX($FP12:$FT12,1,MATCH(VLOOKUP($ET12,$CC$2:$CD$24,2,FALSE),$BU$2:$BU$6,0))+$CZ$3)&gt;=0,"+","−")&amp;ABS((INDEX($FP12:$FT12,1,MATCH(VLOOKUP($ET12,$CC$2:$CD$24,2,FALSE),$BU$2:$BU$6,0))+$CZ$3)),""))</f>
        <v/>
      </c>
      <c r="HY12" s="155">
        <f>IF($EU12="","",IFERROR(IF((INDEX($FP12:$FT12,1,MATCH(VLOOKUP($EU12,$CC$2:$CD$24,2,FALSE),$BU$2:$BU$6,0))+$CZ$3)&gt;=0,"+","−")&amp;ABS((INDEX($FP12:$FT12,1,MATCH(VLOOKUP($EU12,$CC$2:$CD$24,2,FALSE),$BU$2:$BU$6,0))+$CZ$3)),""))</f>
        <v/>
      </c>
      <c r="HZ12" s="155">
        <f>IF($DD12="Maldição domada","RESERVA · MÁX. "&amp;$GZ12,"RESERVA DE PE")</f>
        <v/>
      </c>
      <c r="IA12" s="155">
        <f>IF($EG12&gt;$HA12,"⚠ ","")&amp;"EQUIPAMENTO · "&amp;$EG12&amp;" DE "&amp;$HA12&amp;" DE VOLUME"&amp;IF($EG12&gt;$HA12," · PASSOU DO LIMITE","")</f>
        <v/>
      </c>
      <c r="IB12" s="155">
        <f>IF(OR($HC12&gt;0,$HB12&gt;$HD12),"⚠ ","")&amp;"FAMÍLIAS · "&amp;$HB12&amp;" ABERTAS"&amp;IF($HC12&gt;0," · REPETIDA","")&amp;IF($HB12&gt;$HD12," · O LIMITE É "&amp;$HD12,"")</f>
        <v/>
      </c>
      <c r="IC12" s="155">
        <f>"HABILIDADES · básica de "&amp;$FO12&amp;"d6 · "&amp;$GT12&amp;IF($GT12&gt;1," espaços"," espaço")&amp;" de especial até a Classe "&amp;$FN12&amp;" · "&amp;$GV12&amp;IF($GV12&gt;1," talentos"," talento")</f>
        <v/>
      </c>
      <c r="ID12" s="155">
        <f>IF($GW12&gt;$GV12,"⚠ ","")&amp;"TALENTOS · "&amp;$GW12&amp;" DE "&amp;$GV12</f>
        <v/>
      </c>
      <c r="IE12" s="155">
        <f>IFERROR(VLOOKUP($EV12,$BI$2:$BL$15,2,FALSE),0)</f>
        <v/>
      </c>
      <c r="IF12" s="155">
        <f>IFERROR(VLOOKUP($EW12,$BI$2:$BL$15,2,FALSE),0)</f>
        <v/>
      </c>
      <c r="IG12" s="155">
        <f>IFERROR(VLOOKUP($EX12,$BI$2:$BL$15,2,FALSE),0)</f>
        <v/>
      </c>
      <c r="IH12" s="155">
        <f>IFERROR(VLOOKUP($EY12,$BI$2:$BL$15,2,FALSE),0)</f>
        <v/>
      </c>
      <c r="II12" s="155">
        <f>IFERROR(VLOOKUP($EZ12,$BI$2:$BL$15,2,FALSE),0)</f>
        <v/>
      </c>
      <c r="IJ12" s="155">
        <f>IFERROR(VLOOKUP($FA12,$BI$2:$BL$15,2,FALSE),0)</f>
        <v/>
      </c>
      <c r="IK12" s="155">
        <f>IFERROR(VLOOKUP($FB12,$BI$2:$BL$15,2,FALSE),0)</f>
        <v/>
      </c>
      <c r="IL12" s="155">
        <f>IFERROR(VLOOKUP($FC12,$BI$2:$BL$15,2,FALSE),0)</f>
        <v/>
      </c>
      <c r="IM12" s="155">
        <f>IF($EV12="","",IF(1&gt;$FM12,"⚠ Este talento abre no nível 1",IF($IE12&gt;1,"⚠ Categoria "&amp;$IE12&amp;": este ganho vai até a 1 · ","")&amp;IFERROR(VLOOKUP($EV12,$BI$2:$BL$15,3,FALSE),"")))</f>
        <v/>
      </c>
      <c r="IN12" s="155">
        <f>IF($EW12="","",IF(6&gt;$FM12,"⚠ Este talento abre no nível 6",IF($IF12&gt;1,"⚠ Categoria "&amp;$IF12&amp;": este ganho vai até a 1 · ","")&amp;IFERROR(VLOOKUP($EW12,$BI$2:$BL$15,3,FALSE),"")))</f>
        <v/>
      </c>
      <c r="IO12" s="155">
        <f>IF($EX12="","",IF(10&gt;$FM12,"⚠ Este talento abre no nível 10",IF($IG12&gt;2,"⚠ Categoria "&amp;$IG12&amp;": este ganho vai até a 2 · ","")&amp;IFERROR(VLOOKUP($EX12,$BI$2:$BL$15,3,FALSE),"")))</f>
        <v/>
      </c>
      <c r="IP12" s="155">
        <f>IF($EY12="","",IF(14&gt;$FM12,"⚠ Este talento abre no nível 14",IF($IH12&gt;3,"⚠ Categoria "&amp;$IH12&amp;": este ganho vai até a 3 · ","")&amp;IFERROR(VLOOKUP($EY12,$BI$2:$BL$15,3,FALSE),"")))</f>
        <v/>
      </c>
      <c r="IQ12" s="155">
        <f>IF($EZ12="","",IF(18&gt;$FM12,"⚠ Este talento abre no nível 18",IF($II12&gt;3,"⚠ Categoria "&amp;$II12&amp;": este ganho vai até a 3 · ","")&amp;IFERROR(VLOOKUP($EZ12,$BI$2:$BL$15,3,FALSE),"")))</f>
        <v/>
      </c>
      <c r="IR12" s="155">
        <f>IF($FA12="","",IF(22&gt;$FM12,"⚠ Este talento abre no nível 22",IF($IJ12&gt;3,"⚠ Categoria "&amp;$IJ12&amp;": este ganho vai até a 3 · ","")&amp;IFERROR(VLOOKUP($FA12,$BI$2:$BL$15,3,FALSE),"")))</f>
        <v/>
      </c>
      <c r="IS12" s="155">
        <f>IF($FB12="","",IF(26&gt;$FM12,"⚠ Este talento abre no nível 26",IF($IK12&gt;3,"⚠ Categoria "&amp;$IK12&amp;": este ganho vai até a 3 · ","")&amp;IFERROR(VLOOKUP($FB12,$BI$2:$BL$15,3,FALSE),"")))</f>
        <v/>
      </c>
      <c r="IT12" s="155">
        <f>IF($FC12="","",IF(30&gt;$FM12,"⚠ Este talento abre no nível 30",IF($IL12&gt;3,"⚠ Categoria "&amp;$IL12&amp;": este ganho vai até a 3 · ","")&amp;IFERROR(VLOOKUP($FC12,$BI$2:$BL$15,3,FALSE),"")))</f>
        <v/>
      </c>
      <c r="IU12" s="155">
        <f>IF($FD12="","",IFERROR(VLOOKUP($FD12,$BI$2:$BL$15,3,FALSE),""))</f>
        <v/>
      </c>
      <c r="IV12" s="155">
        <f>IF($FE12="","",IFERROR(VLOOKUP($FE12,$BI$2:$BL$15,3,FALSE),""))</f>
        <v/>
      </c>
      <c r="IW12" s="155">
        <f>IF($FF12="","",IFERROR(VLOOKUP($FF12,$BI$2:$BL$15,3,FALSE),""))</f>
        <v/>
      </c>
      <c r="IX12" s="155">
        <f>CEILING(4.5*$FG12,1)&amp;" PE"</f>
        <v/>
      </c>
      <c r="IY12" s="155">
        <f>CEILING(4.5*$FH12,1)&amp;" PE"</f>
        <v/>
      </c>
      <c r="IZ12" s="155">
        <f>CEILING(4.5*$FI12,1)&amp;" PE"</f>
        <v/>
      </c>
      <c r="JA12" s="155">
        <f>INDEX($P$2:$P$8,$FG12)&amp;" pontos + "&amp;$FG12&amp;"d8"</f>
        <v/>
      </c>
      <c r="JB12" s="155">
        <f>INDEX($P$2:$P$8,$FH12)&amp;" pontos + "&amp;$FH12&amp;"d8"</f>
        <v/>
      </c>
      <c r="JC12" s="155">
        <f>INDEX($P$2:$P$8,$FI12)&amp;" pontos + "&amp;$FI12&amp;"d8"</f>
        <v/>
      </c>
      <c r="JD12" s="155">
        <f>IF($FM12&lt;17,"—",VLOOKUP($FM12,$CN$2:$CQ$4,4,TRUE)&amp;" PE")</f>
        <v/>
      </c>
      <c r="JE12" s="155">
        <f>IF($FM12&lt;17,"Abre no nível 17",VLOOKUP($FM12,$CN$2:$CQ$4,2,TRUE)&amp;" fixos · "&amp;VLOOKUP($FM12,$CN$2:$CQ$4,3,TRUE)&amp;" pontos")</f>
        <v/>
      </c>
      <c r="JF12" s="155">
        <f>IF($FJ12="Sem Barreiras",7,6)*$FN12&amp;" PE"</f>
        <v/>
      </c>
      <c r="JG12" s="155">
        <f>"Acerto "&amp;$FN12&amp;"d8"</f>
        <v/>
      </c>
      <c r="JH12" s="155">
        <f>IFERROR(VLOOKUP($FJ12,$CS$2:$CU$4,3,FALSE),"Escolha o degrau")</f>
        <v/>
      </c>
      <c r="JI12" s="155">
        <f>11&amp;" · "&amp;IF($FK12=0,"vazia",$DC12&amp;" · nv "&amp;$FM12&amp;" · "&amp;$GF12&amp;"/"&amp;$GD12)</f>
        <v/>
      </c>
      <c r="JM12" s="153" t="inlineStr">
        <is>
          <t>Invocação 11</t>
        </is>
      </c>
      <c r="JN12" s="155">
        <f>ADDRESS(ROW('INVOCAÇÕES'!D31),COLUMN('INVOCAÇÕES'!D31),4)</f>
        <v/>
      </c>
      <c r="JO12" s="155">
        <f>ADDRESS(ROW('INVOCAÇÕES'!AA801),COLUMN('INVOCAÇÕES'!AA801),4)</f>
        <v/>
      </c>
      <c r="JP12" s="153" t="inlineStr">
        <is>
          <t>DADOS_INVOC!$JI$12</t>
        </is>
      </c>
      <c r="JR12" s="155">
        <f>IF(OR($AW12="",COUNTIF($EJ$2:$EN$2,$AW12)&gt;0),$AV12,"")</f>
        <v/>
      </c>
      <c r="JS12" s="155">
        <f>IF(AND($AX12=1,OR($AW12="",COUNTIF($EJ$2:$EN$2,$AW12)&gt;0)),$AV12,"")</f>
        <v/>
      </c>
      <c r="JX12" s="155">
        <f>IF(OR($AW12="",COUNTIF($EJ$3:$EN$3,$AW12)&gt;0),$AV12,"")</f>
        <v/>
      </c>
      <c r="JY12" s="155">
        <f>IF(AND($AX12=1,OR($AW12="",COUNTIF($EJ$3:$EN$3,$AW12)&gt;0)),$AV12,"")</f>
        <v/>
      </c>
      <c r="KD12" s="155">
        <f>IF(OR($AW12="",COUNTIF($EJ$4:$EN$4,$AW12)&gt;0),$AV12,"")</f>
        <v/>
      </c>
      <c r="KE12" s="155">
        <f>IF(AND($AX12=1,OR($AW12="",COUNTIF($EJ$4:$EN$4,$AW12)&gt;0)),$AV12,"")</f>
        <v/>
      </c>
      <c r="KJ12" s="155">
        <f>IF(OR($AW12="",COUNTIF($EJ$5:$EN$5,$AW12)&gt;0),$AV12,"")</f>
        <v/>
      </c>
      <c r="KK12" s="155">
        <f>IF(AND($AX12=1,OR($AW12="",COUNTIF($EJ$5:$EN$5,$AW12)&gt;0)),$AV12,"")</f>
        <v/>
      </c>
      <c r="KP12" s="155">
        <f>IF(OR($AW12="",COUNTIF($EJ$6:$EN$6,$AW12)&gt;0),$AV12,"")</f>
        <v/>
      </c>
      <c r="KQ12" s="155">
        <f>IF(AND($AX12=1,OR($AW12="",COUNTIF($EJ$6:$EN$6,$AW12)&gt;0)),$AV12,"")</f>
        <v/>
      </c>
      <c r="KV12" s="155">
        <f>IF(OR($AW12="",COUNTIF($EJ$7:$EN$7,$AW12)&gt;0),$AV12,"")</f>
        <v/>
      </c>
      <c r="KW12" s="155">
        <f>IF(AND($AX12=1,OR($AW12="",COUNTIF($EJ$7:$EN$7,$AW12)&gt;0)),$AV12,"")</f>
        <v/>
      </c>
      <c r="LB12" s="155">
        <f>IF(OR($AW12="",COUNTIF($EJ$8:$EN$8,$AW12)&gt;0),$AV12,"")</f>
        <v/>
      </c>
      <c r="LC12" s="155">
        <f>IF(AND($AX12=1,OR($AW12="",COUNTIF($EJ$8:$EN$8,$AW12)&gt;0)),$AV12,"")</f>
        <v/>
      </c>
      <c r="LH12" s="155">
        <f>IF(OR($AW12="",COUNTIF($EJ$9:$EN$9,$AW12)&gt;0),$AV12,"")</f>
        <v/>
      </c>
      <c r="LI12" s="155">
        <f>IF(AND($AX12=1,OR($AW12="",COUNTIF($EJ$9:$EN$9,$AW12)&gt;0)),$AV12,"")</f>
        <v/>
      </c>
      <c r="LN12" s="155">
        <f>IF(OR($AW12="",COUNTIF($EJ$10:$EN$10,$AW12)&gt;0),$AV12,"")</f>
        <v/>
      </c>
      <c r="LO12" s="155">
        <f>IF(AND($AX12=1,OR($AW12="",COUNTIF($EJ$10:$EN$10,$AW12)&gt;0)),$AV12,"")</f>
        <v/>
      </c>
      <c r="LT12" s="155">
        <f>IF(OR($AW12="",COUNTIF($EJ$11:$EN$11,$AW12)&gt;0),$AV12,"")</f>
        <v/>
      </c>
      <c r="LU12" s="155">
        <f>IF(AND($AX12=1,OR($AW12="",COUNTIF($EJ$11:$EN$11,$AW12)&gt;0)),$AV12,"")</f>
        <v/>
      </c>
      <c r="LZ12" s="155">
        <f>IF(OR($AW12="",COUNTIF($EJ$12:$EN$12,$AW12)&gt;0),$AV12,"")</f>
        <v/>
      </c>
      <c r="MA12" s="155">
        <f>IF(AND($AX12=1,OR($AW12="",COUNTIF($EJ$12:$EN$12,$AW12)&gt;0)),$AV12,"")</f>
        <v/>
      </c>
      <c r="MF12" s="155">
        <f>IF(OR($AW12="",COUNTIF($EJ$13:$EN$13,$AW12)&gt;0),$AV12,"")</f>
        <v/>
      </c>
      <c r="MG12" s="155">
        <f>IF(AND($AX12=1,OR($AW12="",COUNTIF($EJ$13:$EN$13,$AW12)&gt;0)),$AV12,"")</f>
        <v/>
      </c>
      <c r="ML12" s="153" t="inlineStr">
        <is>
          <t>Ficha 1 · Escolha da trilha 1</t>
        </is>
      </c>
      <c r="MM12" s="155" t="n">
        <v>1</v>
      </c>
      <c r="MN12" s="155" t="n">
        <v>2</v>
      </c>
      <c r="MO12" s="155" t="n">
        <v>0</v>
      </c>
      <c r="MP12" s="153" t="inlineStr">
        <is>
          <t>ESCOLHA DA TRILHA 1</t>
        </is>
      </c>
      <c r="MQ12" s="155">
        <f>MAX(0,MIN(7,N('INVOCAÇÕES'!$I$160)))</f>
        <v/>
      </c>
      <c r="MR12" s="155">
        <f>'INVOCAÇÕES'!$J$160&amp;""</f>
        <v/>
      </c>
      <c r="MS12" s="155">
        <f>'INVOCAÇÕES'!$I$165&amp;""</f>
        <v/>
      </c>
      <c r="MT12" s="155">
        <f>'INVOCAÇÕES'!$I$166&amp;""</f>
        <v/>
      </c>
      <c r="MU12" s="155">
        <f>'INVOCAÇÕES'!$K$166&amp;""</f>
        <v/>
      </c>
      <c r="MV12" s="155">
        <f>'INVOCAÇÕES'!$J$169&amp;""</f>
        <v/>
      </c>
      <c r="MW12" s="155">
        <f>'INVOCAÇÕES'!$J$170&amp;""</f>
        <v/>
      </c>
      <c r="MX12" s="155">
        <f>'INVOCAÇÕES'!$J$171&amp;""</f>
        <v/>
      </c>
      <c r="MY12" s="155">
        <f>'INVOCAÇÕES'!$J$172&amp;""</f>
        <v/>
      </c>
      <c r="MZ12" s="155">
        <f>'INVOCAÇÕES'!$J$173&amp;""</f>
        <v/>
      </c>
      <c r="NA12" s="155">
        <f>'INVOCAÇÕES'!$J$174&amp;""</f>
        <v/>
      </c>
      <c r="NB12" s="155">
        <f>IF($MR12&lt;&gt;"",1,0)</f>
        <v/>
      </c>
      <c r="NC12" s="155">
        <f>INDEX($FM$2:$FM$13,$MM12)</f>
        <v/>
      </c>
      <c r="ND12" s="155">
        <f>INDEX($FN$2:$FN$13,$MM12)</f>
        <v/>
      </c>
      <c r="NE12" s="155">
        <f>INDEX($FO$2:$FO$13,$MM12)</f>
        <v/>
      </c>
      <c r="NF12" s="155">
        <f>INDEX($FZ$2:$FZ$13,$MM12)</f>
        <v/>
      </c>
      <c r="NG12" s="155">
        <f>INDEX($GA$2:$GA$13,$MM12)</f>
        <v/>
      </c>
      <c r="NH12" s="155">
        <f>IFERROR(MATCH($MS12,$V$2:$V$11,0),0)</f>
        <v/>
      </c>
      <c r="NI12" s="155">
        <f>IFERROR(VLOOKUP($MV12,$AV$2:$BA$84,2,FALSE),"")</f>
        <v/>
      </c>
      <c r="NJ12" s="155">
        <f>IFERROR(VLOOKUP($MW12,$AV$2:$BA$84,2,FALSE),"")</f>
        <v/>
      </c>
      <c r="NK12" s="155">
        <f>IFERROR(VLOOKUP($MX12,$AV$2:$BA$84,2,FALSE),"")</f>
        <v/>
      </c>
      <c r="NL12" s="155">
        <f>IFERROR(VLOOKUP($MY12,$AV$2:$BA$84,2,FALSE),"")</f>
        <v/>
      </c>
      <c r="NM12" s="155">
        <f>IFERROR(VLOOKUP($MV12,$AV$2:$BA$84,3,FALSE),0)</f>
        <v/>
      </c>
      <c r="NN12" s="155">
        <f>IFERROR(VLOOKUP($MW12,$AV$2:$BA$84,3,FALSE),0)</f>
        <v/>
      </c>
      <c r="NO12" s="155">
        <f>IFERROR(VLOOKUP($MX12,$AV$2:$BA$84,3,FALSE),0)</f>
        <v/>
      </c>
      <c r="NP12" s="155">
        <f>IFERROR(VLOOKUP($MY12,$AV$2:$BA$84,3,FALSE),0)</f>
        <v/>
      </c>
      <c r="NQ12" s="155">
        <f>IF($MQ12=0,0,IF($NH12=0,0,INDEX($X$2:$X$11,$NH12)))</f>
        <v/>
      </c>
      <c r="NR12" s="155">
        <f>IF(OR($NM12=0,$MQ12=0),0,$NM12+3*IF(AND($NI12&lt;&gt;"",OR($NI12=INDEX($EJ$2:$EJ$13,$MM12),$NI12=INDEX($EK$2:$EK$13,$MM12))),1,0))</f>
        <v/>
      </c>
      <c r="NS12" s="155">
        <f>IF(OR($NN12=0,$MQ12=0),0,$NN12+3*IF(AND($NJ12&lt;&gt;"",OR($NJ12=INDEX($EJ$2:$EJ$13,$MM12),$NJ12=INDEX($EK$2:$EK$13,$MM12))),1,0))</f>
        <v/>
      </c>
      <c r="NT12" s="155">
        <f>IF(OR($NO12=0,$MQ12=0),0,$NO12+3*IF(AND($NK12&lt;&gt;"",OR($NK12=INDEX($EJ$2:$EJ$13,$MM12),$NK12=INDEX($EK$2:$EK$13,$MM12))),1,0))</f>
        <v/>
      </c>
      <c r="NU12" s="155">
        <f>IF(OR($NP12=0,$MQ12=0),0,$NP12+3*IF(AND($NL12&lt;&gt;"",OR($NL12=INDEX($EJ$2:$EJ$13,$MM12),$NL12=INDEX($EK$2:$EK$13,$MM12))),1,0))</f>
        <v/>
      </c>
      <c r="NV12" s="155">
        <f>IF($NH12=0,0,IF(INDEX($W$2:$W$11,$NH12)="",0,IF(COUNTIF(INDEX($EJ$2:$EN$13,$MM12,0),INDEX($W$2:$W$11,$NH12))=0,1,0)))</f>
        <v/>
      </c>
      <c r="NW12" s="155">
        <f>IF(OR($NM12=0,$NI12=""),0,IF(COUNTIF(INDEX($EJ$2:$EN$13,$MM12,0),$NI12)=0,1,0))</f>
        <v/>
      </c>
      <c r="NX12" s="155">
        <f>IF(OR($NN12=0,$NJ12=""),0,IF(COUNTIF(INDEX($EJ$2:$EN$13,$MM12,0),$NJ12)=0,1,0))</f>
        <v/>
      </c>
      <c r="NY12" s="155">
        <f>IF(OR($NO12=0,$NK12=""),0,IF(COUNTIF(INDEX($EJ$2:$EN$13,$MM12,0),$NK12)=0,1,0))</f>
        <v/>
      </c>
      <c r="NZ12" s="155">
        <f>IF(OR($NP12=0,$NL12=""),0,IF(COUNTIF(INDEX($EJ$2:$EN$13,$MM12,0),$NL12)=0,1,0))</f>
        <v/>
      </c>
      <c r="OA12" s="155">
        <f>IFERROR(VLOOKUP($MV12,$AV$2:$BA$84,4,FALSE),0)+IFERROR(VLOOKUP($MW12,$AV$2:$BA$84,4,FALSE),0)+IFERROR(VLOOKUP($MX12,$AV$2:$BA$84,4,FALSE),0)+IFERROR(VLOOKUP($MY12,$AV$2:$BA$84,4,FALSE),0)</f>
        <v/>
      </c>
      <c r="OB12" s="155">
        <f>IFERROR(VLOOKUP($MV12,$AV$2:$BA$84,6,FALSE),0)+IFERROR(VLOOKUP($MW12,$AV$2:$BA$84,6,FALSE),0)+IFERROR(VLOOKUP($MX12,$AV$2:$BA$84,6,FALSE),0)+IFERROR(VLOOKUP($MY12,$AV$2:$BA$84,6,FALSE),0)</f>
        <v/>
      </c>
      <c r="OC12" s="155">
        <f>TEXTJOIN(", ",TRUE,IF(IFERROR(VLOOKUP($MV12,$AV$2:$BA$84,5,FALSE),0)=1,$MV12,""),IF(IFERROR(VLOOKUP($MW12,$AV$2:$BA$84,5,FALSE),0)=1,$MW12,""),IF(IFERROR(VLOOKUP($MX12,$AV$2:$BA$84,5,FALSE),0)=1,$MX12,""),IF(IFERROR(VLOOKUP($MY12,$AV$2:$BA$84,5,FALSE),0)=1,$MY12,""))</f>
        <v/>
      </c>
      <c r="OD12" s="155">
        <f>IF($NH12=0,0,INDEX($Y$2:$Y$11,$NH12))</f>
        <v/>
      </c>
      <c r="OE12" s="155">
        <f>IF($NH12=0,0,INDEX($Z$2:$Z$11,$NH12))</f>
        <v/>
      </c>
      <c r="OF12" s="155">
        <f>IF($NH12=0,0,INDEX($AB$2:$AB$11,$NH12))</f>
        <v/>
      </c>
      <c r="OG12" s="155">
        <f>IFERROR(VLOOKUP($MZ12,$BC$2:$BG$24,3,FALSE),0)</f>
        <v/>
      </c>
      <c r="OH12" s="155">
        <f>IFERROR(VLOOKUP($NA12,$BC$2:$BG$24,3,FALSE),0)</f>
        <v/>
      </c>
      <c r="OI12" s="155">
        <f>IFERROR(VLOOKUP($MZ12,$BC$2:$BG$24,2,FALSE),"")</f>
        <v/>
      </c>
      <c r="OJ12" s="155">
        <f>IFERROR(VLOOKUP($NA12,$BC$2:$BG$24,2,FALSE),"")</f>
        <v/>
      </c>
      <c r="OK12" s="155">
        <f>COUNTIF($NQ12:$NU12,1)</f>
        <v/>
      </c>
      <c r="OL12" s="155">
        <f>COUNTIF($NQ12:$NU12,2)</f>
        <v/>
      </c>
      <c r="OM12" s="155">
        <f>COUNTIF($NQ12:$NU12,3)</f>
        <v/>
      </c>
      <c r="ON12" s="155">
        <f>COUNTIF($NQ12:$NU12,4)</f>
        <v/>
      </c>
      <c r="OO12" s="155">
        <f>COUNTIF($NQ12:$NU12,5)</f>
        <v/>
      </c>
      <c r="OP12" s="155">
        <f>COUNTIF($NQ12:$NU12,6)</f>
        <v/>
      </c>
      <c r="OQ12" s="155">
        <f>COUNTIF($OG12:$OH12,1)</f>
        <v/>
      </c>
      <c r="OR12" s="155">
        <f>COUNTIF($OG12:$OH12,2)+$OD12</f>
        <v/>
      </c>
      <c r="OS12" s="155">
        <f>COUNTIF($MV12:$MY12,"?*")</f>
        <v/>
      </c>
      <c r="OT12" s="155">
        <f>COUNTIF($MZ12:$NA12,"?*")+$OD12</f>
        <v/>
      </c>
      <c r="OU12" s="155">
        <f>IF($MQ12=0,0,SUMPRODUCT($OK12:$OP12,INDEX($I$2:$N$8,MAX(1,$MQ12),0)))</f>
        <v/>
      </c>
      <c r="OV12" s="155">
        <f>IF($MQ12=0,0,$OQ12*CEILING($MQ12/2,1)+$OR12*$MQ12)</f>
        <v/>
      </c>
      <c r="OW12" s="155">
        <f>MIN(2*$MQ12,$OV12)</f>
        <v/>
      </c>
      <c r="OX12" s="155">
        <f>MIN($OW12,$OU12)</f>
        <v/>
      </c>
      <c r="OY12" s="155">
        <f>$OW12-$OX12</f>
        <v/>
      </c>
      <c r="OZ12" s="155">
        <f>IF($MQ12=0,0,INDEX($P$2:$P$8,MAX(1,$MQ12)))</f>
        <v/>
      </c>
      <c r="PA12" s="155">
        <f>$OZ12-$OU12+$OX12</f>
        <v/>
      </c>
      <c r="PB12" s="155">
        <f>IF($MQ12=0,MAX(0,$NE12-IF($OS12&gt;0,1,0)),MAX(0,$PA12))</f>
        <v/>
      </c>
      <c r="PC12" s="155">
        <f>IF($MQ12=0,0,(IF(COUNTIF($MV12:$MY12,"Salto")&gt;0,1,0)+IF(COUNTIF($MV12:$MY12,"Queima")&gt;0,1,0)+IF(COUNTIF($MV12:$MY12,"Estilhaço")&gt;0,1,0))*FLOOR($PB12/2,1))</f>
        <v/>
      </c>
      <c r="PD12" s="155">
        <f>MAX(0,2-SUMPRODUCT($OK12:$OP12,$I$2:$N$2)+MIN(2,$OQ12*1+$OR12*1,SUMPRODUCT($OK12:$OP12,$I$2:$N$2)))</f>
        <v/>
      </c>
      <c r="PE12" s="155">
        <f>MAX(0,4-SUMPRODUCT($OK12:$OP12,$I$3:$N$3)+MIN(4,$OQ12*1+$OR12*2,SUMPRODUCT($OK12:$OP12,$I$3:$N$3)))</f>
        <v/>
      </c>
      <c r="PF12" s="155">
        <f>MAX(0,6-SUMPRODUCT($OK12:$OP12,$I$4:$N$4)+MIN(6,$OQ12*2+$OR12*3,SUMPRODUCT($OK12:$OP12,$I$4:$N$4)))</f>
        <v/>
      </c>
      <c r="PG12" s="155">
        <f>MAX(0,9-SUMPRODUCT($OK12:$OP12,$I$5:$N$5)+MIN(8,$OQ12*2+$OR12*4,SUMPRODUCT($OK12:$OP12,$I$5:$N$5)))</f>
        <v/>
      </c>
      <c r="PH12" s="155">
        <f>MAX(0,11-SUMPRODUCT($OK12:$OP12,$I$6:$N$6)+MIN(10,$OQ12*3+$OR12*5,SUMPRODUCT($OK12:$OP12,$I$6:$N$6)))</f>
        <v/>
      </c>
      <c r="PI12" s="155">
        <f>MAX(0,13-SUMPRODUCT($OK12:$OP12,$I$7:$N$7)+MIN(12,$OQ12*3+$OR12*6,SUMPRODUCT($OK12:$OP12,$I$7:$N$7)))</f>
        <v/>
      </c>
      <c r="PJ12" s="155">
        <f>MAX(0,16-SUMPRODUCT($OK12:$OP12,$I$8:$N$8)+MIN(14,$OQ12*4+$OR12*7,SUMPRODUCT($OK12:$OP12,$I$8:$N$8)))</f>
        <v/>
      </c>
      <c r="PK12" s="155">
        <f>IF($OE12=2,3*$PD12&amp;" de vida temp.",IF($OE12=3,"sem dano",IF($PD12=0,IF($OE12=1,"sem cura","sem dano"),IF($OE12=1,"cura ","")&amp;$PD12&amp;"d8")))</f>
        <v/>
      </c>
      <c r="PL12" s="155">
        <f>IF($OE12=2,3*$PE12&amp;" de vida temp.",IF($OE12=3,"sem dano",IF($PE12=0,IF($OE12=1,"sem cura","sem dano"),IF($OE12=1,"cura ","")&amp;$PE12&amp;"d8")))</f>
        <v/>
      </c>
      <c r="PM12" s="155">
        <f>IF($OE12=2,3*$PF12&amp;" de vida temp.",IF($OE12=3,"sem dano",IF($PF12=0,IF($OE12=1,"sem cura","sem dano"),IF($OE12=1,"cura ","")&amp;$PF12&amp;"d8")))</f>
        <v/>
      </c>
      <c r="PN12" s="155">
        <f>IF($OE12=2,3*$PG12&amp;" de vida temp.",IF($OE12=3,"sem dano",IF($PG12=0,IF($OE12=1,"sem cura","sem dano"),IF($OE12=1,"cura ","")&amp;$PG12&amp;"d8")))</f>
        <v/>
      </c>
      <c r="PO12" s="155">
        <f>IF($OE12=2,3*$PH12&amp;" de vida temp.",IF($OE12=3,"sem dano",IF($PH12=0,IF($OE12=1,"sem cura","sem dano"),IF($OE12=1,"cura ","")&amp;$PH12&amp;"d8")))</f>
        <v/>
      </c>
      <c r="PP12" s="155">
        <f>IF($OE12=2,3*$PI12&amp;" de vida temp.",IF($OE12=3,"sem dano",IF($PI12=0,IF($OE12=1,"sem cura","sem dano"),IF($OE12=1,"cura ","")&amp;$PI12&amp;"d8")))</f>
        <v/>
      </c>
      <c r="PQ12" s="155">
        <f>IF($OE12=2,3*$PJ12&amp;" de vida temp.",IF($OE12=3,"sem dano",IF($PJ12=0,IF($OE12=1,"sem cura","sem dano"),IF($OE12=1,"cura ","")&amp;$PJ12&amp;"d8")))</f>
        <v/>
      </c>
      <c r="PR12" s="155">
        <f>IF($NB12=0,"",TEXTJOIN(" · ",TRUE,IF($MO12&gt;$NC12,"Este lugar abre no nível "&amp;$MO12,""),IF($MQ12&gt;$ND12,"Classe "&amp;$MQ12&amp;": o nível "&amp;$NC12&amp;" libera até a "&amp;$ND12,""),IF($NV12=1,"A Forma "&amp;$MS12&amp;" pede "&amp;INDEX($W$2:$W$11,$NH12)&amp;" aberta",""),IF(AND($MQ12=0,$NH12&gt;0,IF($NH12=0,0,INDEX($AF$2:$AF$11,$NH12))=0),$MS12&amp;" não existe na Classe 0",""),IF($NW12=1,"Família Fechada: "&amp;$MV12,""),IF($NX12=1,"Família Fechada: "&amp;$MW12,""),IF($NY12=1,"Família Fechada: "&amp;$MX12,""),IF($NZ12=1,"Família Fechada: "&amp;$MY12,""),IF(AND($MQ12&gt;0,$OS12&gt;INDEX($O$2:$O$8,MAX(1,$MQ12))),$OS12&amp;" Melhorias: a Classe "&amp;$MQ12&amp;" aceita "&amp;INDEX($O$2:$O$8,MAX(1,$MQ12)),""),IF(AND($MQ12=0,$OS12&gt;1),"A básica aceita uma Melhoria",""),IF(AND($MQ12=0,COUNTIF($NM12:$NP12,"&gt;1")&gt;0),"A básica só aceita Melhoria Leve",""),IF(AND($MQ12&gt;0,$OT12&gt;2),$OT12&amp;" Restrições"&amp;IF($OD12=1,", contando a que a Forma "&amp;$MS12&amp;" já traz","")&amp;": o limite é 2",""),IF(AND($MQ12=0,COUNTIF($MZ12:$NA12,"?*")&gt;1),"A básica aceita uma Restrição Leve",""),IF(AND($MQ12=0,COUNTIF($OG12:$OH12,2)&gt;0),"A básica só aceita Restrição Leve",""),IF(AND($MQ12&gt;0,$PA12&lt;0),"Orçamento estourado: faltam "&amp;(-$PA12)&amp;IF($PA12&lt;-1," pontos"," ponto"),""),IF(IFERROR(VLOOKUP($MZ12,$BC$2:$BG$24,4,FALSE),0)+IFERROR(VLOOKUP($NA12,$BC$2:$BG$24,4,FALSE),0)&gt;1,$OI12&amp;" e "&amp;$OJ12&amp;" são as duas de frequência",""),IF(AND((COUNTIF($MV12:$MY12,"Rápido")+COUNTIF($OI12:$OJ12,"Rápido"))&gt;0,(COUNTIF($MV12:$MY12,"Atrasar")+COUNTIF($OI12:$OJ12,"Atrasar"))&gt;0),"Rápido não entra com Atrasar",""),IF(AND((COUNTIF($MV12:$MY12,"Reação")+COUNTIF($OI12:$OJ12,"Reação"))&gt;0,(COUNTIF($MV12:$MY12,"Rápido")+COUNTIF($OI12:$OJ12,"Rápido"))&gt;0),"Reação não entra com Rápido",""),IF(AND((COUNTIF($MV12:$MY12,"Reação")+COUNTIF($OI12:$OJ12,"Reação"))&gt;0,(COUNTIF($MV12:$MY12,"Armado")+COUNTIF($OI12:$OJ12,"Armado"))&gt;0),"Reação não entra com Armado",""),IF(AND((COUNTIF($MV12:$MY12,"Reação")+COUNTIF($OI12:$OJ12,"Reação"))&gt;0,(COUNTIF($MV12:$MY12,"Atrasar")+COUNTIF($OI12:$OJ12,"Atrasar"))&gt;0),"Reação não entra com Atrasar",""),IF(AND((COUNTIF($MV12:$MY12,"Reação")+COUNTIF($OI12:$OJ12,"Reação"))&gt;0,(COUNTIF($MV12:$MY12,"Parado")+COUNTIF($OI12:$OJ12,"Parado"))&gt;0),"Reação não entra com Parado",""),IF(AND((COUNTIF($MV12:$MY12,"Atrasar")+COUNTIF($OI12:$OJ12,"Atrasar"))&gt;0,(COUNTIF($MV12:$MY12,"Parado")+COUNTIF($OI12:$OJ12,"Parado"))&gt;0),"Atrasar não entra com Parado",""),IF(AND((COUNTIF($MV12:$MY12,"Armado")+COUNTIF($OI12:$OJ12,"Armado"))&gt;0,(COUNTIF($MV12:$MY12,"Carregar")+COUNTIF($OI12:$OJ12,"Carregar"))&gt;0),"Armado não entra com Carregar",""),IF(AND(COUNTIF($OI12:$OJ12,"Corpo a Corpo")&gt;0,$OD12=0,OR($MS12="Cone",$MS12="Linha")),"Corpo a Corpo não entra em "&amp;$MS12,""),IF(AND(COUNTIF($OI12:$OJ12,"Corpo a Corpo")&gt;0,$OD12=1),"A Forma "&amp;$MS12&amp;" já traz o Corpo a Corpo",""),IF(AND(COUNTIF($OI12:$OJ12,"Tudo ou Nada")&gt;0,$OF12=0),"Tudo ou Nada só entra em habilidade de Teste de Resistência",""),IF(AND(COUNTIF($MV12:$MY12,"Inescapável")&gt;0,OR($OS12&gt;1,$OT12&gt;0)),"Inescapável não aceita outra peça",""),IF(AND($MQ12&gt;0,$PB12*IF(COUNTIF($MV12:$MY12,"Remate")&gt;0,1.25,1)+$PC12&gt;4*$MQ12),($PB12*IF(COUNTIF($MV12:$MY12,"Remate")&gt;0,1.25,1)+$PC12)&amp;" dados somando repetições"&amp;IF(COUNTIF($MV12:$MY12,"Remate")&gt;0," e o Remate","")&amp;": o teto da Classe "&amp;$MQ12&amp;" é "&amp;4*$MQ12,"")))</f>
        <v/>
      </c>
      <c r="PS12" s="155">
        <f>IF($PR12="",0,(LEN($PR12)-LEN(SUBSTITUTE($PR12," · ","")))/3+1)</f>
        <v/>
      </c>
      <c r="PT12" s="155">
        <f>IF($NB12=0,"",TEXTJOIN(" · ",TRUE,IF($OV12&gt;2*$MQ12,"A devolução parou no teto de "&amp;2*$MQ12,""),IF($OY12&gt;0,"Devolução perdida: "&amp;$OY12&amp;IF($OY12&gt;1," pontos"," ponto")&amp;" sem peça para pagar",""),IF(AND($OA12&gt;0,AND($MQ12&gt;0,$OE12=0),$PB12=0),"Controle sem dano: uma rodada a mais e CD +2",""),IF(AND($OA12&gt;0,AND($MQ12&gt;0,$OE12=0),$PB12&gt;0,$PB12&lt;=$MQ12),"Controle com saldo até a Classe: uma rodada a mais",""),IF(AND($MQ12&gt;0,$OC12&lt;&gt;""),"Efeito de "&amp;$OC12&amp;" pela Classe "&amp;MAX(1,$MQ12-1),"")))</f>
        <v/>
      </c>
      <c r="PU12" s="155">
        <f>IF($PT12="",0,(LEN($PT12)-LEN(SUBSTITUTE($PT12," · ","")))/3+1)</f>
        <v/>
      </c>
      <c r="PV12" s="155">
        <f>IF($NB12=0,IF($OS12+COUNTIF($MZ12:$NA12,"?*")&gt;0,"Dê um nome",""),IF($PS12&gt;0,"⚠ "&amp;$PS12&amp;IF($PS12&gt;1," erros"," erro"),IF($PU12&gt;0,"! "&amp;$PU12&amp;IF($PU12&gt;1," avisos"," aviso"),"Na regra")))</f>
        <v/>
      </c>
      <c r="PW12" s="155">
        <f>IF($NB12=0,"",IF($PS12+$PU12=0,"Dentro das regras que a ficha confere",$PR12&amp;IF(AND($PS12&gt;0,$PU12&gt;0)," · ","")&amp;$PT12))</f>
        <v/>
      </c>
      <c r="PX12" s="155">
        <f>IF($MO12&gt;$NC12,$MP12&amp;" · ABRE NO NÍVEL "&amp;$MO12,$MP12)</f>
        <v/>
      </c>
      <c r="PY12" s="155">
        <f>IF($NB12=0,"",IF($MQ12=0,"Sem PE",3*$MQ12&amp;" PE"))</f>
        <v/>
      </c>
      <c r="PZ12" s="155">
        <f>IF($NB12=0,"",IF($MQ12=0,"A atuação básica dela",IF(COUNTIF($OI12:$OJ12,"Atrasar")&gt;0,"Sua Ação Completa",IF(COUNTIF($MV12:$MY12,"Rápido")&gt;0,"Sua Bônus",IF(COUNTIF($MV12:$MY12,"Reação")&gt;0,"Sua Reação","Sua Padrão")))&amp;" + a básica dela"&amp;IF(COUNTIF($MV12:$MY12,"Reação")&gt;0," e a coletiva","")&amp;IF(COUNTIF($OI12:$OJ12,"Carregar")&gt;0," · em dois turnos","")))</f>
        <v/>
      </c>
      <c r="QA12" s="155">
        <f>IF($MU12&lt;&gt;"",$MU12,IF($NH12=0,"",INDEX($AA$2:$AA$11,$NH12)))</f>
        <v/>
      </c>
      <c r="QB12" s="155">
        <f>IF(OR($NB12=0,$NH12=0),"",IF(COUNTIF($MV12:$MY12,"Inescapável")&gt;0,"Automático",IF($QA12="Ataque",IF($NF12="","Ataque","Ataque "&amp;IF(($NF12+2*IF(COUNTIF($MV12:$MY12,"Precisão")&gt;0,1,0))&gt;=0,"+","−")&amp;ABS(($NF12+2*IF(COUNTIF($MV12:$MY12,"Precisão")&gt;0,1,0))))&amp;IF($OB12&gt;0," · TR"&amp;IF($NG12="",""," CD "&amp;$NG12),""),IF(LEFT($QA12,2)="TR",$QA12&amp;IF($NG12="",""," · CD "&amp;$NG12)&amp;IF(COUNTIF($MV12:$MY12,"Certeiro")&gt;0," · metade",""),"Sem rolagem"))))</f>
        <v/>
      </c>
      <c r="QC12" s="155">
        <f>IF(OR($NB12=0,$NH12=0),"",IF($MQ12=0,IF(OR($OE12&gt;=1,$PB12=0),"Sem dano",$PB12&amp;"d6"&amp;IF($MT12="",""," "&amp;$MT12)),IF(OR($OE12&gt;=1,$PB12=0),UPPER(LEFT(INDEX($PK12:$PQ12,1,MAX(1,$MQ12)),1))&amp;MID(INDEX($PK12:$PQ12,1,MAX(1,$MQ12)),2,99),UPPER(LEFT(INDEX($PK12:$PQ12,1,MAX(1,$MQ12)),1))&amp;MID(INDEX($PK12:$PQ12,1,MAX(1,$MQ12)),2,99)&amp;IF($MT12="",""," "&amp;$MT12)&amp;IF($PC12&gt;0," · +"&amp;$PC12&amp;"d8",""))))</f>
        <v/>
      </c>
      <c r="QD12" s="155">
        <f>COUNTIF($MV12:$MY12,"Longe")+3*COUNTIF($MV12:$MY12,"Muito Longe")</f>
        <v/>
      </c>
      <c r="QE12" s="155">
        <f>COUNTIF($MV12:$MY12,"Maior")+3*COUNTIF($MV12:$MY12,"Muito Maior")</f>
        <v/>
      </c>
      <c r="QF12" s="155">
        <f>IF($NH12=0,0,CHOOSE(1+INDEX($AC$2:$AC$11,$NH12),0,$QD12,$QE12,$QD12+$QE12))</f>
        <v/>
      </c>
      <c r="QG12" s="155">
        <f>IF($NH12=0,0,CHOOSE(1+INDEX($AD$2:$AD$11,$NH12),0,$QD12,$QE12,$QD12+$QE12))</f>
        <v/>
      </c>
      <c r="QH12" s="155">
        <f>IF(OR($NB12=0,$NH12=0),"",INDEX($AI$2:$AN$41,($NH12-1)*4+IF($MQ12=0,1,IF($MQ12&lt;=5,2,IF($MQ12=6,3,4))),1+MIN(5,$QF12))&amp;INDEX($AO$2:$AT$41,($NH12-1)*4+IF($MQ12=0,1,IF($MQ12&lt;=5,2,IF($MQ12=6,3,4))),1+MIN(5,$QG12))&amp;IF(INDEX($AE$2:$AE$11,$NH12)=1,IF(COUNTIF($MV12:$MY12,"Mais Um")&gt;0," · +"&amp;COUNTIF($MV12:$MY12,"Mais Um")&amp;IF(COUNTIF($MV12:$MY12,"Mais Um")&gt;1," alvos"," alvo"),"")&amp;IF(COUNTIF($MV12:$MY12,"Rajada")&gt;0,IF($MQ12=0," · 1 tiro"," · "&amp;(MAX(1,$MQ12-1)+1)&amp;" tiros"),""),""))</f>
        <v/>
      </c>
      <c r="QI12" s="155">
        <f>IF($NB12=0,"",IF($MQ12=0,$NE12&amp;"d6"&amp;IF($OS12&gt;0," − 1 = "&amp;$PB12&amp;"d6"," da básica do nível "&amp;$NC12),$OZ12&amp;" − "&amp;$OU12&amp;" + "&amp;$OX12&amp;" = "&amp;$PA12&amp;" · teto "&amp;4*$MQ12&amp;"d8"&amp;IF($OD12=1," · a Forma devolve "&amp;$MQ12,"")&amp;IF($OY12&gt;0," · perde "&amp;$OY12,"")))</f>
        <v/>
      </c>
      <c r="QJ12" s="155">
        <f>IF($NB12=0,"",IF($MQ12=0,"A básica não amplia: os dados dela sobem com o nível",IF($MQ12&gt;=$ND12,"Já está na maior Classe que o nível liberou",TEXTJOIN(" · ",TRUE,IF(AND(2&gt;$MQ12,2&lt;=$ND12),"2 → "&amp;$PL12&amp;", 6 PE",""),IF(AND(3&gt;$MQ12,3&lt;=$ND12),"3 → "&amp;$PM12&amp;", 9 PE",""),IF(AND(4&gt;$MQ12,4&lt;=$ND12),"4 → "&amp;$PN12&amp;", 12 PE",""),IF(AND(5&gt;$MQ12,5&lt;=$ND12),"5 → "&amp;$PO12&amp;", 15 PE",""),IF(AND(6&gt;$MQ12,6&lt;=$ND12),"6 → "&amp;$PP12&amp;", 18 PE",""),IF(AND(7&gt;$MQ12,7&lt;=$ND12),"7 → "&amp;$PQ12&amp;", 21 PE","")))))</f>
        <v/>
      </c>
      <c r="QK12" s="155">
        <f>IF(OR($NB12=0,$NM12=0),"",IF($MQ12=0,"−1 dado","−"&amp;INDEX($I$2:$N$8,MAX(1,$MQ12),MAX(1,$NR12))&amp;" · "&amp;CHOOSE(MAX(1,$NR12),"Leve","Média","Pesada","Leve · Livre","Média · Livre","Pesada · Livre")))</f>
        <v/>
      </c>
      <c r="QL12" s="155">
        <f>IF(OR($NB12=0,$NN12=0),"",IF($MQ12=0,"−1 dado","−"&amp;INDEX($I$2:$N$8,MAX(1,$MQ12),MAX(1,$NS12))&amp;" · "&amp;CHOOSE(MAX(1,$NS12),"Leve","Média","Pesada","Leve · Livre","Média · Livre","Pesada · Livre")))</f>
        <v/>
      </c>
      <c r="QM12" s="155">
        <f>IF(OR($NB12=0,$NO12=0),"",IF($MQ12=0,"−1 dado","−"&amp;INDEX($I$2:$N$8,MAX(1,$MQ12),MAX(1,$NT12))&amp;" · "&amp;CHOOSE(MAX(1,$NT12),"Leve","Média","Pesada","Leve · Livre","Média · Livre","Pesada · Livre")))</f>
        <v/>
      </c>
      <c r="QN12" s="155">
        <f>IF(OR($NB12=0,$NP12=0),"",IF($MQ12=0,"−1 dado","−"&amp;INDEX($I$2:$N$8,MAX(1,$MQ12),MAX(1,$NU12))&amp;" · "&amp;CHOOSE(MAX(1,$NU12),"Leve","Média","Pesada","Leve · Livre","Média · Livre","Pesada · Livre")))</f>
        <v/>
      </c>
      <c r="QO12" s="155">
        <f>IF(OR($NB12=0,$MZ12=""),"",IF($MQ12=0,"não devolve","+"&amp;IF($OG12=1,CEILING($MQ12/2,1),$MQ12)))</f>
        <v/>
      </c>
      <c r="QP12" s="155">
        <f>IF(OR($NB12=0,$NA12=""),"",IF($MQ12=0,"não devolve","+"&amp;IF($OH12=1,CEILING($MQ12/2,1),$MQ12)))</f>
        <v/>
      </c>
    </row>
    <row r="13">
      <c r="AH13" s="153" t="inlineStr">
        <is>
          <t>Explosão · classe 7</t>
        </is>
      </c>
      <c r="AI13" s="153" t="inlineStr">
        <is>
          <t>Raio 4,5 m</t>
        </is>
      </c>
      <c r="AJ13" s="153" t="inlineStr">
        <is>
          <t>Raio 6 m</t>
        </is>
      </c>
      <c r="AK13" s="153" t="inlineStr">
        <is>
          <t>Raio 9 m</t>
        </is>
      </c>
      <c r="AL13" s="153" t="inlineStr">
        <is>
          <t>Raio 15 m</t>
        </is>
      </c>
      <c r="AM13" s="153" t="inlineStr">
        <is>
          <t>Raio 15 m</t>
        </is>
      </c>
      <c r="AN13" s="153" t="inlineStr">
        <is>
          <t>Raio 15 m</t>
        </is>
      </c>
      <c r="AO13" s="153" t="inlineStr">
        <is>
          <t>, a 36 m</t>
        </is>
      </c>
      <c r="AP13" s="153" t="inlineStr">
        <is>
          <t>, a 90 m</t>
        </is>
      </c>
      <c r="AQ13" s="153" t="inlineStr">
        <is>
          <t>, a visão a olho nu</t>
        </is>
      </c>
      <c r="AR13" s="153" t="inlineStr">
        <is>
          <t>, a visão a olho nu</t>
        </is>
      </c>
      <c r="AS13" s="153" t="inlineStr">
        <is>
          <t>, a visão a olho nu</t>
        </is>
      </c>
      <c r="AT13" s="153" t="inlineStr">
        <is>
          <t>, a visão a olho nu</t>
        </is>
      </c>
      <c r="AV13" s="153" t="inlineStr">
        <is>
          <t>Rajada</t>
        </is>
      </c>
      <c r="AW13" s="153" t="inlineStr">
        <is>
          <t>Área</t>
        </is>
      </c>
      <c r="AX13" s="155" t="n">
        <v>1</v>
      </c>
      <c r="AY13" s="155" t="n">
        <v>0</v>
      </c>
      <c r="AZ13" s="155" t="n">
        <v>1</v>
      </c>
      <c r="BA13" s="155" t="n">
        <v>0</v>
      </c>
      <c r="BC13" s="153" t="inlineStr">
        <is>
          <t>Frágil</t>
        </is>
      </c>
      <c r="BD13" s="153" t="inlineStr">
        <is>
          <t>Frágil</t>
        </is>
      </c>
      <c r="BE13" s="155" t="n">
        <v>1</v>
      </c>
      <c r="BF13" s="155" t="n">
        <v>0</v>
      </c>
      <c r="BG13" s="153" t="inlineStr">
        <is>
          <t>Frágil</t>
        </is>
      </c>
      <c r="BI13" s="153" t="inlineStr">
        <is>
          <t>Afinidade</t>
        </is>
      </c>
      <c r="BJ13" s="155" t="n">
        <v>3</v>
      </c>
      <c r="BK13" s="153" t="inlineStr">
        <is>
          <t>Escolha um tema presente na Regra da sua técnica. Seus feitiços desse tema ignoram cobertura Parcial e resistência ao tipo de dano que causam.</t>
        </is>
      </c>
      <c r="BL13" s="153" t="inlineStr"/>
      <c r="CC13" s="153" t="inlineStr">
        <is>
          <t>Medicina</t>
        </is>
      </c>
      <c r="CD13" s="153" t="inlineStr">
        <is>
          <t>Inteligência</t>
        </is>
      </c>
      <c r="CH13" s="153" t="inlineStr">
        <is>
          <t>Psíquico</t>
        </is>
      </c>
      <c r="DB13" s="155" t="n">
        <v>12</v>
      </c>
      <c r="DC13" s="155">
        <f>'INVOCAÇÕES'!$AB$1003&amp;""</f>
        <v/>
      </c>
      <c r="DD13" s="155">
        <f>'INVOCAÇÕES'!$AB$1033&amp;""</f>
        <v/>
      </c>
      <c r="DE13" s="155">
        <f>'INVOCAÇÕES'!$AB$1037&amp;""</f>
        <v/>
      </c>
      <c r="DF13" s="155">
        <f>N('INVOCAÇÕES'!$AD$1037)</f>
        <v/>
      </c>
      <c r="DG13" s="155">
        <f>'INVOCAÇÕES'!$AE$1037&amp;""</f>
        <v/>
      </c>
      <c r="DH13" s="155">
        <f>N('INVOCAÇÕES'!$AH$1010)</f>
        <v/>
      </c>
      <c r="DI13" s="155">
        <f>N('INVOCAÇÕES'!$AI$1010)</f>
        <v/>
      </c>
      <c r="DJ13" s="155">
        <f>N('INVOCAÇÕES'!$AJ$1010)</f>
        <v/>
      </c>
      <c r="DK13" s="155">
        <f>N('INVOCAÇÕES'!$AK$1010)</f>
        <v/>
      </c>
      <c r="DL13" s="155">
        <f>N('INVOCAÇÕES'!$AL$1010)</f>
        <v/>
      </c>
      <c r="DM13" s="155">
        <f>N('INVOCAÇÕES'!$AH$1011)</f>
        <v/>
      </c>
      <c r="DN13" s="155">
        <f>N('INVOCAÇÕES'!$AI$1011)</f>
        <v/>
      </c>
      <c r="DO13" s="155">
        <f>N('INVOCAÇÕES'!$AJ$1011)</f>
        <v/>
      </c>
      <c r="DP13" s="155">
        <f>N('INVOCAÇÕES'!$AK$1011)</f>
        <v/>
      </c>
      <c r="DQ13" s="155">
        <f>N('INVOCAÇÕES'!$AL$1011)</f>
        <v/>
      </c>
      <c r="DR13" s="155">
        <f>'INVOCAÇÕES'!$AH$1024&amp;""</f>
        <v/>
      </c>
      <c r="DS13" s="155">
        <f>'INVOCAÇÕES'!$AK$1024&amp;""</f>
        <v/>
      </c>
      <c r="DT13" s="155">
        <f>'INVOCAÇÕES'!$AL$1019&amp;""</f>
        <v/>
      </c>
      <c r="DU13" s="155">
        <f>N('INVOCAÇÕES'!$AH$1016)</f>
        <v/>
      </c>
      <c r="DV13" s="155">
        <f>N('INVOCAÇÕES'!$AI$1016)</f>
        <v/>
      </c>
      <c r="DW13" s="155">
        <f>N('INVOCAÇÕES'!$AJ$1016)</f>
        <v/>
      </c>
      <c r="DX13" s="155">
        <f>N('INVOCAÇÕES'!$AK$1016)</f>
        <v/>
      </c>
      <c r="DY13" s="155">
        <f>N('INVOCAÇÕES'!$AL$1016)</f>
        <v/>
      </c>
      <c r="DZ13" s="155">
        <f>N('INVOCAÇÕES'!$AH$1021)</f>
        <v/>
      </c>
      <c r="EA13" s="155">
        <f>N('INVOCAÇÕES'!$AI$1021)</f>
        <v/>
      </c>
      <c r="EB13" s="155">
        <f>N('INVOCAÇÕES'!$AJ$1021)</f>
        <v/>
      </c>
      <c r="EC13" s="155">
        <f>N('INVOCAÇÕES'!$AK$1021)</f>
        <v/>
      </c>
      <c r="ED13" s="155">
        <f>'INVOCAÇÕES'!$AN$1003&amp;""</f>
        <v/>
      </c>
      <c r="EE13" s="155">
        <f>N('INVOCAÇÕES'!$AP$1003)</f>
        <v/>
      </c>
      <c r="EF13" s="155">
        <f>'INVOCAÇÕES'!$AR$1003&amp;""</f>
        <v/>
      </c>
      <c r="EG13" s="155">
        <f>SUM('INVOCAÇÕES'!$AR$1023:'INVOCAÇÕES'!$AR$1025,'INVOCAÇÕES'!$AR$1027:'INVOCAÇÕES'!$AR$1032)</f>
        <v/>
      </c>
      <c r="EH13" s="155">
        <f>'INVOCAÇÕES'!$AN$1008&amp;""</f>
        <v/>
      </c>
      <c r="EI13" s="155">
        <f>'INVOCAÇÕES'!$AO$1008&amp;""</f>
        <v/>
      </c>
      <c r="EJ13" s="155">
        <f>'INVOCAÇÕES'!$AH$1038&amp;""</f>
        <v/>
      </c>
      <c r="EK13" s="155">
        <f>'INVOCAÇÕES'!$AI$1038&amp;""</f>
        <v/>
      </c>
      <c r="EL13" s="155">
        <f>'INVOCAÇÕES'!$AJ$1038&amp;""</f>
        <v/>
      </c>
      <c r="EM13" s="155">
        <f>'INVOCAÇÕES'!$AK$1038&amp;""</f>
        <v/>
      </c>
      <c r="EN13" s="155">
        <f>'INVOCAÇÕES'!$AL$1038&amp;""</f>
        <v/>
      </c>
      <c r="EO13" s="155">
        <f>'INVOCAÇÕES'!$AH$1028&amp;""</f>
        <v/>
      </c>
      <c r="EP13" s="155">
        <f>'INVOCAÇÕES'!$AH$1029&amp;""</f>
        <v/>
      </c>
      <c r="EQ13" s="155">
        <f>'INVOCAÇÕES'!$AH$1030&amp;""</f>
        <v/>
      </c>
      <c r="ER13" s="155">
        <f>'INVOCAÇÕES'!$AH$1031&amp;""</f>
        <v/>
      </c>
      <c r="ES13" s="155">
        <f>'INVOCAÇÕES'!$AH$1032&amp;""</f>
        <v/>
      </c>
      <c r="ET13" s="155">
        <f>'INVOCAÇÕES'!$AH$1033&amp;""</f>
        <v/>
      </c>
      <c r="EU13" s="155">
        <f>'INVOCAÇÕES'!$AH$1034&amp;""</f>
        <v/>
      </c>
      <c r="EV13" s="155">
        <f>'INVOCAÇÕES'!$AC$1070&amp;""</f>
        <v/>
      </c>
      <c r="EW13" s="155">
        <f>'INVOCAÇÕES'!$AC$1071&amp;""</f>
        <v/>
      </c>
      <c r="EX13" s="155">
        <f>'INVOCAÇÕES'!$AC$1072&amp;""</f>
        <v/>
      </c>
      <c r="EY13" s="155">
        <f>'INVOCAÇÕES'!$AC$1073&amp;""</f>
        <v/>
      </c>
      <c r="EZ13" s="155">
        <f>'INVOCAÇÕES'!$AC$1074&amp;""</f>
        <v/>
      </c>
      <c r="FA13" s="155">
        <f>'INVOCAÇÕES'!$AC$1075&amp;""</f>
        <v/>
      </c>
      <c r="FB13" s="155">
        <f>'INVOCAÇÕES'!$AC$1076&amp;""</f>
        <v/>
      </c>
      <c r="FC13" s="155">
        <f>'INVOCAÇÕES'!$AC$1077&amp;""</f>
        <v/>
      </c>
      <c r="FD13" s="155">
        <f>'INVOCAÇÕES'!$AC$1172&amp;""</f>
        <v/>
      </c>
      <c r="FE13" s="155">
        <f>'INVOCAÇÕES'!$AC$1173&amp;""</f>
        <v/>
      </c>
      <c r="FF13" s="155">
        <f>'INVOCAÇÕES'!$AC$1174&amp;""</f>
        <v/>
      </c>
      <c r="FG13" s="155">
        <f>MAX(3,MIN(7,N('INVOCAÇÕES'!$AB$1179)))</f>
        <v/>
      </c>
      <c r="FH13" s="155">
        <f>MAX(3,MIN(7,N('INVOCAÇÕES'!$AH$1179)))</f>
        <v/>
      </c>
      <c r="FI13" s="155">
        <f>MAX(3,MIN(7,N('INVOCAÇÕES'!$AN$1179)))</f>
        <v/>
      </c>
      <c r="FJ13" s="155">
        <f>'INVOCAÇÕES'!$AH$1193&amp;""</f>
        <v/>
      </c>
      <c r="FK13" s="155">
        <f>IF($DC13&lt;&gt;"",1,0)</f>
        <v/>
      </c>
      <c r="FL13" s="155">
        <f>IFERROR(VLOOKUP($DE13,$BP$2:$BQ$5,2,FALSE),1)</f>
        <v/>
      </c>
      <c r="FM13" s="155">
        <f>IF($FL13=1,$CZ$2,MAX(1,MIN($CZ$2,IF($DF13=0,$CZ$2,$DF13))))</f>
        <v/>
      </c>
      <c r="FN13" s="155">
        <f>VLOOKUP(MAX(1,$FM13),$A$2:$D$8,2,TRUE)</f>
        <v/>
      </c>
      <c r="FO13" s="155">
        <f>VLOOKUP(MAX(1,$FM13),$A$2:$D$8,3,TRUE)</f>
        <v/>
      </c>
      <c r="FP13" s="155">
        <f>$DH13+$DM13</f>
        <v/>
      </c>
      <c r="FQ13" s="155">
        <f>$DI13+$DN13</f>
        <v/>
      </c>
      <c r="FR13" s="155">
        <f>$DJ13+$DO13</f>
        <v/>
      </c>
      <c r="FS13" s="155">
        <f>$DK13+$DP13</f>
        <v/>
      </c>
      <c r="FT13" s="155">
        <f>$DL13+$DQ13</f>
        <v/>
      </c>
      <c r="FU13" s="155">
        <f>SUM($DH13:$DL13)</f>
        <v/>
      </c>
      <c r="FV13" s="155">
        <f>9+$FW13</f>
        <v/>
      </c>
      <c r="FW13" s="155">
        <f>COUNTIF($F$2:$F$8,"&lt;="&amp;$FM13)</f>
        <v/>
      </c>
      <c r="FX13" s="155">
        <f>MAX(0,$DH13-3)+MAX(0,$DI13-3)+MAX(0,$DJ13-3)+MAX(0,$DK13-3)+MAX(0,$DL13-3)</f>
        <v/>
      </c>
      <c r="FY13" s="155">
        <f>IFERROR(INDEX($FP13:$FT13,1,MATCH($DR13,$BU$2:$BU$6,0)),"")</f>
        <v/>
      </c>
      <c r="FZ13" s="155">
        <f>IF($FY13="","",$FY13+$CZ$3+$DU13)</f>
        <v/>
      </c>
      <c r="GA13" s="155">
        <f>IF($FY13="","",8+$FY13+$CZ$3+$DV13)</f>
        <v/>
      </c>
      <c r="GB13" s="155">
        <f>10+$FQ13+$CZ$7+$DW13</f>
        <v/>
      </c>
      <c r="GC13" s="155">
        <f>IF($DD13="Corpo amaldiçoado de criação",1,0)</f>
        <v/>
      </c>
      <c r="GD13" s="155">
        <f>5+$FR13+(3+$GC13+$FR13)*($FM13-1)+$DX13</f>
        <v/>
      </c>
      <c r="GE13" s="155">
        <f>IF($FK13=0,"",$GD13)</f>
        <v/>
      </c>
      <c r="GF13" s="155">
        <f>IF($ED13="",$GD13,MAX(0,MIN(IFERROR(VALUE($ED13),$GD13),$GD13)))</f>
        <v/>
      </c>
      <c r="GG13" s="155">
        <f>IF(AND($FK13=1,$EH13&lt;&gt;"Sem alma"),MAX(1,INT($GD13/2)),"")</f>
        <v/>
      </c>
      <c r="GH13" s="155">
        <f>$GG13</f>
        <v/>
      </c>
      <c r="GI13" s="155">
        <f>IF($GG13="","",IF($EI13="",$GG13,MAX(0,MIN(IFERROR(VALUE($EI13),$GG13),$GG13))))</f>
        <v/>
      </c>
      <c r="GJ13" s="155">
        <f>IF($FK13=0,"",IF($GG13="","—",$GG13))</f>
        <v/>
      </c>
      <c r="GK13" s="155">
        <f>IF($FK13=0,"",IF($GG13="","Sem alma · imune a dano de Alma",IF($GI13&lt;=0,"Estágio 4 · caída, como a zero de vida",IF($GI13&lt;=$GG13/4,"Estágio 3 · desvantagem em ataques e TRs, Classe pela metade",IF($GI13&lt;=$GG13/2,"Estágio 2 · metade do deslocamento, +1 PE por Classe",IF($GI13&lt;=$GG13*3/4,"Estágio 1 · desvantagem em perícias","Alma inteira"))))))</f>
        <v/>
      </c>
      <c r="GL13" s="155">
        <f>9+$DY13</f>
        <v/>
      </c>
      <c r="GM13" s="155">
        <f>IF($DS13="Destreza",$FQ13,$FP13)</f>
        <v/>
      </c>
      <c r="GN13" s="155">
        <f>$GM13+IF($DT13="Físico",$CZ$3,0)+$DZ13</f>
        <v/>
      </c>
      <c r="GO13" s="155">
        <f>$FR13+IF($DT13="Vigor",$CZ$3,0)+$EA13</f>
        <v/>
      </c>
      <c r="GP13" s="155">
        <f>$FS13+IF($DT13="Intelecto",$CZ$3,0)+$EB13</f>
        <v/>
      </c>
      <c r="GQ13" s="155">
        <f>$FT13+IF($DT13="Espírito",$CZ$3,0)+$EC13</f>
        <v/>
      </c>
      <c r="GR13" s="155">
        <f>4+INT($DK13/2)</f>
        <v/>
      </c>
      <c r="GS13" s="155">
        <f>COUNTIF($EO13:$EU13,"?*")</f>
        <v/>
      </c>
      <c r="GT13" s="155">
        <f>INT((2+$FM13/2)/2)</f>
        <v/>
      </c>
      <c r="GU13" s="155">
        <f>IF($FM13&gt;=11,2,1)</f>
        <v/>
      </c>
      <c r="GV13" s="155">
        <f>1+$FW13</f>
        <v/>
      </c>
      <c r="GW13" s="155">
        <f>COUNTIF($EV13:$FC13,"?*")</f>
        <v/>
      </c>
      <c r="GX13" s="155">
        <f>IF(AND($DD13="Shikigami de criação",$DG13="Com carga"),MAX(1,CEILING($FN13/2,1)),$FN13)</f>
        <v/>
      </c>
      <c r="GY13" s="155">
        <f>$FN13+$GX13</f>
        <v/>
      </c>
      <c r="GZ13" s="155">
        <f>$FM13*(1+INT($DL13/3))</f>
        <v/>
      </c>
      <c r="HA13" s="155">
        <f>5+$FP13</f>
        <v/>
      </c>
      <c r="HB13" s="155">
        <f>COUNTIF($EJ13:$EN13,"?*")</f>
        <v/>
      </c>
      <c r="HC13" s="155">
        <f>IF($EJ13="",0,IF(COUNTIF($EJ13:$EN13,$EJ13)&gt;1,1,0))+IF($EK13="",0,IF(COUNTIF($EJ13:$EN13,$EK13)&gt;1,1,0))+IF($EL13="",0,IF(COUNTIF($EJ13:$EN13,$EL13)&gt;1,1,0))+IF($EM13="",0,IF(COUNTIF($EJ13:$EN13,$EM13)&gt;1,1,0))+IF($EN13="",0,IF(COUNTIF($EJ13:$EN13,$EN13)&gt;1,1,0))</f>
        <v/>
      </c>
      <c r="HD13" s="155">
        <f>$CZ$11</f>
        <v/>
      </c>
      <c r="HE13" s="155">
        <f>IF($FK13=0,"INVOCAÇÃO 12 · lugar vazio",$DC13&amp;" · "&amp;$DD13&amp;" · nível "&amp;$FM13&amp;" · vida "&amp;$GF13&amp;" de "&amp;$GD13)</f>
        <v/>
      </c>
      <c r="HF13" s="155">
        <f>IF($FK13=0,"VAZIA",UPPER($DC13))</f>
        <v/>
      </c>
      <c r="HG13" s="155">
        <f>IF($CZ$3&gt;=0,"+","−")&amp;ABS($CZ$3)</f>
        <v/>
      </c>
      <c r="HH13" s="155">
        <f>$GX13&amp;" PE"</f>
        <v/>
      </c>
      <c r="HI13" s="155">
        <f>$GY13&amp;" PE"</f>
        <v/>
      </c>
      <c r="HJ13" s="155">
        <f>IF(OR($FU13&gt;$FV13,$FX13&gt;$FW13),"⚠ ",IF(AND($FK13=1,$FU13&lt;$FV13),"! ",""))&amp;"ATRIBUTOS · "&amp;$FU13&amp;" DE "&amp;$FV13&amp;" PONTOS"&amp;IF($FX13&gt;$FW13," · ACIMA DE 3 SÓ COM MARCO","")</f>
        <v/>
      </c>
      <c r="HK13" s="155">
        <f>IF($FZ13="","",IF($FZ13&gt;=0,"+","−")&amp;ABS($FZ13))</f>
        <v/>
      </c>
      <c r="HL13" s="155">
        <f>IF($GA13="","",$GA13)</f>
        <v/>
      </c>
      <c r="HM13" s="155">
        <f>SUBSTITUTE($GL13&amp;" m",".",",")</f>
        <v/>
      </c>
      <c r="HN13" s="155">
        <f>IF($GN13&gt;=0,"+","−")&amp;ABS($GN13)</f>
        <v/>
      </c>
      <c r="HO13" s="155">
        <f>IF($GO13&gt;=0,"+","−")&amp;ABS($GO13)</f>
        <v/>
      </c>
      <c r="HP13" s="155">
        <f>IF($GP13&gt;=0,"+","−")&amp;ABS($GP13)</f>
        <v/>
      </c>
      <c r="HQ13" s="155">
        <f>IF($GQ13&gt;=0,"+","−")&amp;ABS($GQ13)</f>
        <v/>
      </c>
      <c r="HR13" s="155">
        <f>IF($GS13&gt;$GR13,"⚠ ","")&amp;"PERÍCIAS · "&amp;$GS13&amp;" DE "&amp;$GR13</f>
        <v/>
      </c>
      <c r="HS13" s="155">
        <f>IF($EO13="","",IFERROR(IF((INDEX($FP13:$FT13,1,MATCH(VLOOKUP($EO13,$CC$2:$CD$24,2,FALSE),$BU$2:$BU$6,0))+$CZ$3)&gt;=0,"+","−")&amp;ABS((INDEX($FP13:$FT13,1,MATCH(VLOOKUP($EO13,$CC$2:$CD$24,2,FALSE),$BU$2:$BU$6,0))+$CZ$3)),""))</f>
        <v/>
      </c>
      <c r="HT13" s="155">
        <f>IF($EP13="","",IFERROR(IF((INDEX($FP13:$FT13,1,MATCH(VLOOKUP($EP13,$CC$2:$CD$24,2,FALSE),$BU$2:$BU$6,0))+$CZ$3)&gt;=0,"+","−")&amp;ABS((INDEX($FP13:$FT13,1,MATCH(VLOOKUP($EP13,$CC$2:$CD$24,2,FALSE),$BU$2:$BU$6,0))+$CZ$3)),""))</f>
        <v/>
      </c>
      <c r="HU13" s="155">
        <f>IF($EQ13="","",IFERROR(IF((INDEX($FP13:$FT13,1,MATCH(VLOOKUP($EQ13,$CC$2:$CD$24,2,FALSE),$BU$2:$BU$6,0))+$CZ$3)&gt;=0,"+","−")&amp;ABS((INDEX($FP13:$FT13,1,MATCH(VLOOKUP($EQ13,$CC$2:$CD$24,2,FALSE),$BU$2:$BU$6,0))+$CZ$3)),""))</f>
        <v/>
      </c>
      <c r="HV13" s="155">
        <f>IF($ER13="","",IFERROR(IF((INDEX($FP13:$FT13,1,MATCH(VLOOKUP($ER13,$CC$2:$CD$24,2,FALSE),$BU$2:$BU$6,0))+$CZ$3)&gt;=0,"+","−")&amp;ABS((INDEX($FP13:$FT13,1,MATCH(VLOOKUP($ER13,$CC$2:$CD$24,2,FALSE),$BU$2:$BU$6,0))+$CZ$3)),""))</f>
        <v/>
      </c>
      <c r="HW13" s="155">
        <f>IF($ES13="","",IFERROR(IF((INDEX($FP13:$FT13,1,MATCH(VLOOKUP($ES13,$CC$2:$CD$24,2,FALSE),$BU$2:$BU$6,0))+$CZ$3)&gt;=0,"+","−")&amp;ABS((INDEX($FP13:$FT13,1,MATCH(VLOOKUP($ES13,$CC$2:$CD$24,2,FALSE),$BU$2:$BU$6,0))+$CZ$3)),""))</f>
        <v/>
      </c>
      <c r="HX13" s="155">
        <f>IF($ET13="","",IFERROR(IF((INDEX($FP13:$FT13,1,MATCH(VLOOKUP($ET13,$CC$2:$CD$24,2,FALSE),$BU$2:$BU$6,0))+$CZ$3)&gt;=0,"+","−")&amp;ABS((INDEX($FP13:$FT13,1,MATCH(VLOOKUP($ET13,$CC$2:$CD$24,2,FALSE),$BU$2:$BU$6,0))+$CZ$3)),""))</f>
        <v/>
      </c>
      <c r="HY13" s="155">
        <f>IF($EU13="","",IFERROR(IF((INDEX($FP13:$FT13,1,MATCH(VLOOKUP($EU13,$CC$2:$CD$24,2,FALSE),$BU$2:$BU$6,0))+$CZ$3)&gt;=0,"+","−")&amp;ABS((INDEX($FP13:$FT13,1,MATCH(VLOOKUP($EU13,$CC$2:$CD$24,2,FALSE),$BU$2:$BU$6,0))+$CZ$3)),""))</f>
        <v/>
      </c>
      <c r="HZ13" s="155">
        <f>IF($DD13="Maldição domada","RESERVA · MÁX. "&amp;$GZ13,"RESERVA DE PE")</f>
        <v/>
      </c>
      <c r="IA13" s="155">
        <f>IF($EG13&gt;$HA13,"⚠ ","")&amp;"EQUIPAMENTO · "&amp;$EG13&amp;" DE "&amp;$HA13&amp;" DE VOLUME"&amp;IF($EG13&gt;$HA13," · PASSOU DO LIMITE","")</f>
        <v/>
      </c>
      <c r="IB13" s="155">
        <f>IF(OR($HC13&gt;0,$HB13&gt;$HD13),"⚠ ","")&amp;"FAMÍLIAS · "&amp;$HB13&amp;" ABERTAS"&amp;IF($HC13&gt;0," · REPETIDA","")&amp;IF($HB13&gt;$HD13," · O LIMITE É "&amp;$HD13,"")</f>
        <v/>
      </c>
      <c r="IC13" s="155">
        <f>"HABILIDADES · básica de "&amp;$FO13&amp;"d6 · "&amp;$GT13&amp;IF($GT13&gt;1," espaços"," espaço")&amp;" de especial até a Classe "&amp;$FN13&amp;" · "&amp;$GV13&amp;IF($GV13&gt;1," talentos"," talento")</f>
        <v/>
      </c>
      <c r="ID13" s="155">
        <f>IF($GW13&gt;$GV13,"⚠ ","")&amp;"TALENTOS · "&amp;$GW13&amp;" DE "&amp;$GV13</f>
        <v/>
      </c>
      <c r="IE13" s="155">
        <f>IFERROR(VLOOKUP($EV13,$BI$2:$BL$15,2,FALSE),0)</f>
        <v/>
      </c>
      <c r="IF13" s="155">
        <f>IFERROR(VLOOKUP($EW13,$BI$2:$BL$15,2,FALSE),0)</f>
        <v/>
      </c>
      <c r="IG13" s="155">
        <f>IFERROR(VLOOKUP($EX13,$BI$2:$BL$15,2,FALSE),0)</f>
        <v/>
      </c>
      <c r="IH13" s="155">
        <f>IFERROR(VLOOKUP($EY13,$BI$2:$BL$15,2,FALSE),0)</f>
        <v/>
      </c>
      <c r="II13" s="155">
        <f>IFERROR(VLOOKUP($EZ13,$BI$2:$BL$15,2,FALSE),0)</f>
        <v/>
      </c>
      <c r="IJ13" s="155">
        <f>IFERROR(VLOOKUP($FA13,$BI$2:$BL$15,2,FALSE),0)</f>
        <v/>
      </c>
      <c r="IK13" s="155">
        <f>IFERROR(VLOOKUP($FB13,$BI$2:$BL$15,2,FALSE),0)</f>
        <v/>
      </c>
      <c r="IL13" s="155">
        <f>IFERROR(VLOOKUP($FC13,$BI$2:$BL$15,2,FALSE),0)</f>
        <v/>
      </c>
      <c r="IM13" s="155">
        <f>IF($EV13="","",IF(1&gt;$FM13,"⚠ Este talento abre no nível 1",IF($IE13&gt;1,"⚠ Categoria "&amp;$IE13&amp;": este ganho vai até a 1 · ","")&amp;IFERROR(VLOOKUP($EV13,$BI$2:$BL$15,3,FALSE),"")))</f>
        <v/>
      </c>
      <c r="IN13" s="155">
        <f>IF($EW13="","",IF(6&gt;$FM13,"⚠ Este talento abre no nível 6",IF($IF13&gt;1,"⚠ Categoria "&amp;$IF13&amp;": este ganho vai até a 1 · ","")&amp;IFERROR(VLOOKUP($EW13,$BI$2:$BL$15,3,FALSE),"")))</f>
        <v/>
      </c>
      <c r="IO13" s="155">
        <f>IF($EX13="","",IF(10&gt;$FM13,"⚠ Este talento abre no nível 10",IF($IG13&gt;2,"⚠ Categoria "&amp;$IG13&amp;": este ganho vai até a 2 · ","")&amp;IFERROR(VLOOKUP($EX13,$BI$2:$BL$15,3,FALSE),"")))</f>
        <v/>
      </c>
      <c r="IP13" s="155">
        <f>IF($EY13="","",IF(14&gt;$FM13,"⚠ Este talento abre no nível 14",IF($IH13&gt;3,"⚠ Categoria "&amp;$IH13&amp;": este ganho vai até a 3 · ","")&amp;IFERROR(VLOOKUP($EY13,$BI$2:$BL$15,3,FALSE),"")))</f>
        <v/>
      </c>
      <c r="IQ13" s="155">
        <f>IF($EZ13="","",IF(18&gt;$FM13,"⚠ Este talento abre no nível 18",IF($II13&gt;3,"⚠ Categoria "&amp;$II13&amp;": este ganho vai até a 3 · ","")&amp;IFERROR(VLOOKUP($EZ13,$BI$2:$BL$15,3,FALSE),"")))</f>
        <v/>
      </c>
      <c r="IR13" s="155">
        <f>IF($FA13="","",IF(22&gt;$FM13,"⚠ Este talento abre no nível 22",IF($IJ13&gt;3,"⚠ Categoria "&amp;$IJ13&amp;": este ganho vai até a 3 · ","")&amp;IFERROR(VLOOKUP($FA13,$BI$2:$BL$15,3,FALSE),"")))</f>
        <v/>
      </c>
      <c r="IS13" s="155">
        <f>IF($FB13="","",IF(26&gt;$FM13,"⚠ Este talento abre no nível 26",IF($IK13&gt;3,"⚠ Categoria "&amp;$IK13&amp;": este ganho vai até a 3 · ","")&amp;IFERROR(VLOOKUP($FB13,$BI$2:$BL$15,3,FALSE),"")))</f>
        <v/>
      </c>
      <c r="IT13" s="155">
        <f>IF($FC13="","",IF(30&gt;$FM13,"⚠ Este talento abre no nível 30",IF($IL13&gt;3,"⚠ Categoria "&amp;$IL13&amp;": este ganho vai até a 3 · ","")&amp;IFERROR(VLOOKUP($FC13,$BI$2:$BL$15,3,FALSE),"")))</f>
        <v/>
      </c>
      <c r="IU13" s="155">
        <f>IF($FD13="","",IFERROR(VLOOKUP($FD13,$BI$2:$BL$15,3,FALSE),""))</f>
        <v/>
      </c>
      <c r="IV13" s="155">
        <f>IF($FE13="","",IFERROR(VLOOKUP($FE13,$BI$2:$BL$15,3,FALSE),""))</f>
        <v/>
      </c>
      <c r="IW13" s="155">
        <f>IF($FF13="","",IFERROR(VLOOKUP($FF13,$BI$2:$BL$15,3,FALSE),""))</f>
        <v/>
      </c>
      <c r="IX13" s="155">
        <f>CEILING(4.5*$FG13,1)&amp;" PE"</f>
        <v/>
      </c>
      <c r="IY13" s="155">
        <f>CEILING(4.5*$FH13,1)&amp;" PE"</f>
        <v/>
      </c>
      <c r="IZ13" s="155">
        <f>CEILING(4.5*$FI13,1)&amp;" PE"</f>
        <v/>
      </c>
      <c r="JA13" s="155">
        <f>INDEX($P$2:$P$8,$FG13)&amp;" pontos + "&amp;$FG13&amp;"d8"</f>
        <v/>
      </c>
      <c r="JB13" s="155">
        <f>INDEX($P$2:$P$8,$FH13)&amp;" pontos + "&amp;$FH13&amp;"d8"</f>
        <v/>
      </c>
      <c r="JC13" s="155">
        <f>INDEX($P$2:$P$8,$FI13)&amp;" pontos + "&amp;$FI13&amp;"d8"</f>
        <v/>
      </c>
      <c r="JD13" s="155">
        <f>IF($FM13&lt;17,"—",VLOOKUP($FM13,$CN$2:$CQ$4,4,TRUE)&amp;" PE")</f>
        <v/>
      </c>
      <c r="JE13" s="155">
        <f>IF($FM13&lt;17,"Abre no nível 17",VLOOKUP($FM13,$CN$2:$CQ$4,2,TRUE)&amp;" fixos · "&amp;VLOOKUP($FM13,$CN$2:$CQ$4,3,TRUE)&amp;" pontos")</f>
        <v/>
      </c>
      <c r="JF13" s="155">
        <f>IF($FJ13="Sem Barreiras",7,6)*$FN13&amp;" PE"</f>
        <v/>
      </c>
      <c r="JG13" s="155">
        <f>"Acerto "&amp;$FN13&amp;"d8"</f>
        <v/>
      </c>
      <c r="JH13" s="155">
        <f>IFERROR(VLOOKUP($FJ13,$CS$2:$CU$4,3,FALSE),"Escolha o degrau")</f>
        <v/>
      </c>
      <c r="JI13" s="155">
        <f>12&amp;" · "&amp;IF($FK13=0,"vazia",$DC13&amp;" · nv "&amp;$FM13&amp;" · "&amp;$GF13&amp;"/"&amp;$GD13)</f>
        <v/>
      </c>
      <c r="JM13" s="153" t="inlineStr">
        <is>
          <t>Invocação 12</t>
        </is>
      </c>
      <c r="JN13" s="155">
        <f>ADDRESS(ROW('INVOCAÇÕES'!D32),COLUMN('INVOCAÇÕES'!D32),4)</f>
        <v/>
      </c>
      <c r="JO13" s="155">
        <f>ADDRESS(ROW('INVOCAÇÕES'!AA999),COLUMN('INVOCAÇÕES'!AA999),4)</f>
        <v/>
      </c>
      <c r="JP13" s="153" t="inlineStr">
        <is>
          <t>DADOS_INVOC!$JI$13</t>
        </is>
      </c>
      <c r="JR13" s="155">
        <f>IF(OR($AW13="",COUNTIF($EJ$2:$EN$2,$AW13)&gt;0),$AV13,"")</f>
        <v/>
      </c>
      <c r="JS13" s="155">
        <f>IF(AND($AX13=1,OR($AW13="",COUNTIF($EJ$2:$EN$2,$AW13)&gt;0)),$AV13,"")</f>
        <v/>
      </c>
      <c r="JX13" s="155">
        <f>IF(OR($AW13="",COUNTIF($EJ$3:$EN$3,$AW13)&gt;0),$AV13,"")</f>
        <v/>
      </c>
      <c r="JY13" s="155">
        <f>IF(AND($AX13=1,OR($AW13="",COUNTIF($EJ$3:$EN$3,$AW13)&gt;0)),$AV13,"")</f>
        <v/>
      </c>
      <c r="KD13" s="155">
        <f>IF(OR($AW13="",COUNTIF($EJ$4:$EN$4,$AW13)&gt;0),$AV13,"")</f>
        <v/>
      </c>
      <c r="KE13" s="155">
        <f>IF(AND($AX13=1,OR($AW13="",COUNTIF($EJ$4:$EN$4,$AW13)&gt;0)),$AV13,"")</f>
        <v/>
      </c>
      <c r="KJ13" s="155">
        <f>IF(OR($AW13="",COUNTIF($EJ$5:$EN$5,$AW13)&gt;0),$AV13,"")</f>
        <v/>
      </c>
      <c r="KK13" s="155">
        <f>IF(AND($AX13=1,OR($AW13="",COUNTIF($EJ$5:$EN$5,$AW13)&gt;0)),$AV13,"")</f>
        <v/>
      </c>
      <c r="KP13" s="155">
        <f>IF(OR($AW13="",COUNTIF($EJ$6:$EN$6,$AW13)&gt;0),$AV13,"")</f>
        <v/>
      </c>
      <c r="KQ13" s="155">
        <f>IF(AND($AX13=1,OR($AW13="",COUNTIF($EJ$6:$EN$6,$AW13)&gt;0)),$AV13,"")</f>
        <v/>
      </c>
      <c r="KV13" s="155">
        <f>IF(OR($AW13="",COUNTIF($EJ$7:$EN$7,$AW13)&gt;0),$AV13,"")</f>
        <v/>
      </c>
      <c r="KW13" s="155">
        <f>IF(AND($AX13=1,OR($AW13="",COUNTIF($EJ$7:$EN$7,$AW13)&gt;0)),$AV13,"")</f>
        <v/>
      </c>
      <c r="LB13" s="155">
        <f>IF(OR($AW13="",COUNTIF($EJ$8:$EN$8,$AW13)&gt;0),$AV13,"")</f>
        <v/>
      </c>
      <c r="LC13" s="155">
        <f>IF(AND($AX13=1,OR($AW13="",COUNTIF($EJ$8:$EN$8,$AW13)&gt;0)),$AV13,"")</f>
        <v/>
      </c>
      <c r="LH13" s="155">
        <f>IF(OR($AW13="",COUNTIF($EJ$9:$EN$9,$AW13)&gt;0),$AV13,"")</f>
        <v/>
      </c>
      <c r="LI13" s="155">
        <f>IF(AND($AX13=1,OR($AW13="",COUNTIF($EJ$9:$EN$9,$AW13)&gt;0)),$AV13,"")</f>
        <v/>
      </c>
      <c r="LN13" s="155">
        <f>IF(OR($AW13="",COUNTIF($EJ$10:$EN$10,$AW13)&gt;0),$AV13,"")</f>
        <v/>
      </c>
      <c r="LO13" s="155">
        <f>IF(AND($AX13=1,OR($AW13="",COUNTIF($EJ$10:$EN$10,$AW13)&gt;0)),$AV13,"")</f>
        <v/>
      </c>
      <c r="LT13" s="155">
        <f>IF(OR($AW13="",COUNTIF($EJ$11:$EN$11,$AW13)&gt;0),$AV13,"")</f>
        <v/>
      </c>
      <c r="LU13" s="155">
        <f>IF(AND($AX13=1,OR($AW13="",COUNTIF($EJ$11:$EN$11,$AW13)&gt;0)),$AV13,"")</f>
        <v/>
      </c>
      <c r="LZ13" s="155">
        <f>IF(OR($AW13="",COUNTIF($EJ$12:$EN$12,$AW13)&gt;0),$AV13,"")</f>
        <v/>
      </c>
      <c r="MA13" s="155">
        <f>IF(AND($AX13=1,OR($AW13="",COUNTIF($EJ$12:$EN$12,$AW13)&gt;0)),$AV13,"")</f>
        <v/>
      </c>
      <c r="MF13" s="155">
        <f>IF(OR($AW13="",COUNTIF($EJ$13:$EN$13,$AW13)&gt;0),$AV13,"")</f>
        <v/>
      </c>
      <c r="MG13" s="155">
        <f>IF(AND($AX13=1,OR($AW13="",COUNTIF($EJ$13:$EN$13,$AW13)&gt;0)),$AV13,"")</f>
        <v/>
      </c>
      <c r="ML13" s="153" t="inlineStr">
        <is>
          <t>Ficha 1 · Escolha da trilha 2</t>
        </is>
      </c>
      <c r="MM13" s="155" t="n">
        <v>1</v>
      </c>
      <c r="MN13" s="155" t="n">
        <v>2</v>
      </c>
      <c r="MO13" s="155" t="n">
        <v>0</v>
      </c>
      <c r="MP13" s="153" t="inlineStr">
        <is>
          <t>ESCOLHA DA TRILHA 2</t>
        </is>
      </c>
      <c r="MQ13" s="155">
        <f>MAX(0,MIN(7,N('INVOCAÇÕES'!$O$160)))</f>
        <v/>
      </c>
      <c r="MR13" s="155">
        <f>'INVOCAÇÕES'!$P$160&amp;""</f>
        <v/>
      </c>
      <c r="MS13" s="155">
        <f>'INVOCAÇÕES'!$O$165&amp;""</f>
        <v/>
      </c>
      <c r="MT13" s="155">
        <f>'INVOCAÇÕES'!$O$166&amp;""</f>
        <v/>
      </c>
      <c r="MU13" s="155">
        <f>'INVOCAÇÕES'!$Q$166&amp;""</f>
        <v/>
      </c>
      <c r="MV13" s="155">
        <f>'INVOCAÇÕES'!$P$169&amp;""</f>
        <v/>
      </c>
      <c r="MW13" s="155">
        <f>'INVOCAÇÕES'!$P$170&amp;""</f>
        <v/>
      </c>
      <c r="MX13" s="155">
        <f>'INVOCAÇÕES'!$P$171&amp;""</f>
        <v/>
      </c>
      <c r="MY13" s="155">
        <f>'INVOCAÇÕES'!$P$172&amp;""</f>
        <v/>
      </c>
      <c r="MZ13" s="155">
        <f>'INVOCAÇÕES'!$P$173&amp;""</f>
        <v/>
      </c>
      <c r="NA13" s="155">
        <f>'INVOCAÇÕES'!$P$174&amp;""</f>
        <v/>
      </c>
      <c r="NB13" s="155">
        <f>IF($MR13&lt;&gt;"",1,0)</f>
        <v/>
      </c>
      <c r="NC13" s="155">
        <f>INDEX($FM$2:$FM$13,$MM13)</f>
        <v/>
      </c>
      <c r="ND13" s="155">
        <f>INDEX($FN$2:$FN$13,$MM13)</f>
        <v/>
      </c>
      <c r="NE13" s="155">
        <f>INDEX($FO$2:$FO$13,$MM13)</f>
        <v/>
      </c>
      <c r="NF13" s="155">
        <f>INDEX($FZ$2:$FZ$13,$MM13)</f>
        <v/>
      </c>
      <c r="NG13" s="155">
        <f>INDEX($GA$2:$GA$13,$MM13)</f>
        <v/>
      </c>
      <c r="NH13" s="155">
        <f>IFERROR(MATCH($MS13,$V$2:$V$11,0),0)</f>
        <v/>
      </c>
      <c r="NI13" s="155">
        <f>IFERROR(VLOOKUP($MV13,$AV$2:$BA$84,2,FALSE),"")</f>
        <v/>
      </c>
      <c r="NJ13" s="155">
        <f>IFERROR(VLOOKUP($MW13,$AV$2:$BA$84,2,FALSE),"")</f>
        <v/>
      </c>
      <c r="NK13" s="155">
        <f>IFERROR(VLOOKUP($MX13,$AV$2:$BA$84,2,FALSE),"")</f>
        <v/>
      </c>
      <c r="NL13" s="155">
        <f>IFERROR(VLOOKUP($MY13,$AV$2:$BA$84,2,FALSE),"")</f>
        <v/>
      </c>
      <c r="NM13" s="155">
        <f>IFERROR(VLOOKUP($MV13,$AV$2:$BA$84,3,FALSE),0)</f>
        <v/>
      </c>
      <c r="NN13" s="155">
        <f>IFERROR(VLOOKUP($MW13,$AV$2:$BA$84,3,FALSE),0)</f>
        <v/>
      </c>
      <c r="NO13" s="155">
        <f>IFERROR(VLOOKUP($MX13,$AV$2:$BA$84,3,FALSE),0)</f>
        <v/>
      </c>
      <c r="NP13" s="155">
        <f>IFERROR(VLOOKUP($MY13,$AV$2:$BA$84,3,FALSE),0)</f>
        <v/>
      </c>
      <c r="NQ13" s="155">
        <f>IF($MQ13=0,0,IF($NH13=0,0,INDEX($X$2:$X$11,$NH13)))</f>
        <v/>
      </c>
      <c r="NR13" s="155">
        <f>IF(OR($NM13=0,$MQ13=0),0,$NM13+3*IF(AND($NI13&lt;&gt;"",OR($NI13=INDEX($EJ$2:$EJ$13,$MM13),$NI13=INDEX($EK$2:$EK$13,$MM13))),1,0))</f>
        <v/>
      </c>
      <c r="NS13" s="155">
        <f>IF(OR($NN13=0,$MQ13=0),0,$NN13+3*IF(AND($NJ13&lt;&gt;"",OR($NJ13=INDEX($EJ$2:$EJ$13,$MM13),$NJ13=INDEX($EK$2:$EK$13,$MM13))),1,0))</f>
        <v/>
      </c>
      <c r="NT13" s="155">
        <f>IF(OR($NO13=0,$MQ13=0),0,$NO13+3*IF(AND($NK13&lt;&gt;"",OR($NK13=INDEX($EJ$2:$EJ$13,$MM13),$NK13=INDEX($EK$2:$EK$13,$MM13))),1,0))</f>
        <v/>
      </c>
      <c r="NU13" s="155">
        <f>IF(OR($NP13=0,$MQ13=0),0,$NP13+3*IF(AND($NL13&lt;&gt;"",OR($NL13=INDEX($EJ$2:$EJ$13,$MM13),$NL13=INDEX($EK$2:$EK$13,$MM13))),1,0))</f>
        <v/>
      </c>
      <c r="NV13" s="155">
        <f>IF($NH13=0,0,IF(INDEX($W$2:$W$11,$NH13)="",0,IF(COUNTIF(INDEX($EJ$2:$EN$13,$MM13,0),INDEX($W$2:$W$11,$NH13))=0,1,0)))</f>
        <v/>
      </c>
      <c r="NW13" s="155">
        <f>IF(OR($NM13=0,$NI13=""),0,IF(COUNTIF(INDEX($EJ$2:$EN$13,$MM13,0),$NI13)=0,1,0))</f>
        <v/>
      </c>
      <c r="NX13" s="155">
        <f>IF(OR($NN13=0,$NJ13=""),0,IF(COUNTIF(INDEX($EJ$2:$EN$13,$MM13,0),$NJ13)=0,1,0))</f>
        <v/>
      </c>
      <c r="NY13" s="155">
        <f>IF(OR($NO13=0,$NK13=""),0,IF(COUNTIF(INDEX($EJ$2:$EN$13,$MM13,0),$NK13)=0,1,0))</f>
        <v/>
      </c>
      <c r="NZ13" s="155">
        <f>IF(OR($NP13=0,$NL13=""),0,IF(COUNTIF(INDEX($EJ$2:$EN$13,$MM13,0),$NL13)=0,1,0))</f>
        <v/>
      </c>
      <c r="OA13" s="155">
        <f>IFERROR(VLOOKUP($MV13,$AV$2:$BA$84,4,FALSE),0)+IFERROR(VLOOKUP($MW13,$AV$2:$BA$84,4,FALSE),0)+IFERROR(VLOOKUP($MX13,$AV$2:$BA$84,4,FALSE),0)+IFERROR(VLOOKUP($MY13,$AV$2:$BA$84,4,FALSE),0)</f>
        <v/>
      </c>
      <c r="OB13" s="155">
        <f>IFERROR(VLOOKUP($MV13,$AV$2:$BA$84,6,FALSE),0)+IFERROR(VLOOKUP($MW13,$AV$2:$BA$84,6,FALSE),0)+IFERROR(VLOOKUP($MX13,$AV$2:$BA$84,6,FALSE),0)+IFERROR(VLOOKUP($MY13,$AV$2:$BA$84,6,FALSE),0)</f>
        <v/>
      </c>
      <c r="OC13" s="155">
        <f>TEXTJOIN(", ",TRUE,IF(IFERROR(VLOOKUP($MV13,$AV$2:$BA$84,5,FALSE),0)=1,$MV13,""),IF(IFERROR(VLOOKUP($MW13,$AV$2:$BA$84,5,FALSE),0)=1,$MW13,""),IF(IFERROR(VLOOKUP($MX13,$AV$2:$BA$84,5,FALSE),0)=1,$MX13,""),IF(IFERROR(VLOOKUP($MY13,$AV$2:$BA$84,5,FALSE),0)=1,$MY13,""))</f>
        <v/>
      </c>
      <c r="OD13" s="155">
        <f>IF($NH13=0,0,INDEX($Y$2:$Y$11,$NH13))</f>
        <v/>
      </c>
      <c r="OE13" s="155">
        <f>IF($NH13=0,0,INDEX($Z$2:$Z$11,$NH13))</f>
        <v/>
      </c>
      <c r="OF13" s="155">
        <f>IF($NH13=0,0,INDEX($AB$2:$AB$11,$NH13))</f>
        <v/>
      </c>
      <c r="OG13" s="155">
        <f>IFERROR(VLOOKUP($MZ13,$BC$2:$BG$24,3,FALSE),0)</f>
        <v/>
      </c>
      <c r="OH13" s="155">
        <f>IFERROR(VLOOKUP($NA13,$BC$2:$BG$24,3,FALSE),0)</f>
        <v/>
      </c>
      <c r="OI13" s="155">
        <f>IFERROR(VLOOKUP($MZ13,$BC$2:$BG$24,2,FALSE),"")</f>
        <v/>
      </c>
      <c r="OJ13" s="155">
        <f>IFERROR(VLOOKUP($NA13,$BC$2:$BG$24,2,FALSE),"")</f>
        <v/>
      </c>
      <c r="OK13" s="155">
        <f>COUNTIF($NQ13:$NU13,1)</f>
        <v/>
      </c>
      <c r="OL13" s="155">
        <f>COUNTIF($NQ13:$NU13,2)</f>
        <v/>
      </c>
      <c r="OM13" s="155">
        <f>COUNTIF($NQ13:$NU13,3)</f>
        <v/>
      </c>
      <c r="ON13" s="155">
        <f>COUNTIF($NQ13:$NU13,4)</f>
        <v/>
      </c>
      <c r="OO13" s="155">
        <f>COUNTIF($NQ13:$NU13,5)</f>
        <v/>
      </c>
      <c r="OP13" s="155">
        <f>COUNTIF($NQ13:$NU13,6)</f>
        <v/>
      </c>
      <c r="OQ13" s="155">
        <f>COUNTIF($OG13:$OH13,1)</f>
        <v/>
      </c>
      <c r="OR13" s="155">
        <f>COUNTIF($OG13:$OH13,2)+$OD13</f>
        <v/>
      </c>
      <c r="OS13" s="155">
        <f>COUNTIF($MV13:$MY13,"?*")</f>
        <v/>
      </c>
      <c r="OT13" s="155">
        <f>COUNTIF($MZ13:$NA13,"?*")+$OD13</f>
        <v/>
      </c>
      <c r="OU13" s="155">
        <f>IF($MQ13=0,0,SUMPRODUCT($OK13:$OP13,INDEX($I$2:$N$8,MAX(1,$MQ13),0)))</f>
        <v/>
      </c>
      <c r="OV13" s="155">
        <f>IF($MQ13=0,0,$OQ13*CEILING($MQ13/2,1)+$OR13*$MQ13)</f>
        <v/>
      </c>
      <c r="OW13" s="155">
        <f>MIN(2*$MQ13,$OV13)</f>
        <v/>
      </c>
      <c r="OX13" s="155">
        <f>MIN($OW13,$OU13)</f>
        <v/>
      </c>
      <c r="OY13" s="155">
        <f>$OW13-$OX13</f>
        <v/>
      </c>
      <c r="OZ13" s="155">
        <f>IF($MQ13=0,0,INDEX($P$2:$P$8,MAX(1,$MQ13)))</f>
        <v/>
      </c>
      <c r="PA13" s="155">
        <f>$OZ13-$OU13+$OX13</f>
        <v/>
      </c>
      <c r="PB13" s="155">
        <f>IF($MQ13=0,MAX(0,$NE13-IF($OS13&gt;0,1,0)),MAX(0,$PA13))</f>
        <v/>
      </c>
      <c r="PC13" s="155">
        <f>IF($MQ13=0,0,(IF(COUNTIF($MV13:$MY13,"Salto")&gt;0,1,0)+IF(COUNTIF($MV13:$MY13,"Queima")&gt;0,1,0)+IF(COUNTIF($MV13:$MY13,"Estilhaço")&gt;0,1,0))*FLOOR($PB13/2,1))</f>
        <v/>
      </c>
      <c r="PD13" s="155">
        <f>MAX(0,2-SUMPRODUCT($OK13:$OP13,$I$2:$N$2)+MIN(2,$OQ13*1+$OR13*1,SUMPRODUCT($OK13:$OP13,$I$2:$N$2)))</f>
        <v/>
      </c>
      <c r="PE13" s="155">
        <f>MAX(0,4-SUMPRODUCT($OK13:$OP13,$I$3:$N$3)+MIN(4,$OQ13*1+$OR13*2,SUMPRODUCT($OK13:$OP13,$I$3:$N$3)))</f>
        <v/>
      </c>
      <c r="PF13" s="155">
        <f>MAX(0,6-SUMPRODUCT($OK13:$OP13,$I$4:$N$4)+MIN(6,$OQ13*2+$OR13*3,SUMPRODUCT($OK13:$OP13,$I$4:$N$4)))</f>
        <v/>
      </c>
      <c r="PG13" s="155">
        <f>MAX(0,9-SUMPRODUCT($OK13:$OP13,$I$5:$N$5)+MIN(8,$OQ13*2+$OR13*4,SUMPRODUCT($OK13:$OP13,$I$5:$N$5)))</f>
        <v/>
      </c>
      <c r="PH13" s="155">
        <f>MAX(0,11-SUMPRODUCT($OK13:$OP13,$I$6:$N$6)+MIN(10,$OQ13*3+$OR13*5,SUMPRODUCT($OK13:$OP13,$I$6:$N$6)))</f>
        <v/>
      </c>
      <c r="PI13" s="155">
        <f>MAX(0,13-SUMPRODUCT($OK13:$OP13,$I$7:$N$7)+MIN(12,$OQ13*3+$OR13*6,SUMPRODUCT($OK13:$OP13,$I$7:$N$7)))</f>
        <v/>
      </c>
      <c r="PJ13" s="155">
        <f>MAX(0,16-SUMPRODUCT($OK13:$OP13,$I$8:$N$8)+MIN(14,$OQ13*4+$OR13*7,SUMPRODUCT($OK13:$OP13,$I$8:$N$8)))</f>
        <v/>
      </c>
      <c r="PK13" s="155">
        <f>IF($OE13=2,3*$PD13&amp;" de vida temp.",IF($OE13=3,"sem dano",IF($PD13=0,IF($OE13=1,"sem cura","sem dano"),IF($OE13=1,"cura ","")&amp;$PD13&amp;"d8")))</f>
        <v/>
      </c>
      <c r="PL13" s="155">
        <f>IF($OE13=2,3*$PE13&amp;" de vida temp.",IF($OE13=3,"sem dano",IF($PE13=0,IF($OE13=1,"sem cura","sem dano"),IF($OE13=1,"cura ","")&amp;$PE13&amp;"d8")))</f>
        <v/>
      </c>
      <c r="PM13" s="155">
        <f>IF($OE13=2,3*$PF13&amp;" de vida temp.",IF($OE13=3,"sem dano",IF($PF13=0,IF($OE13=1,"sem cura","sem dano"),IF($OE13=1,"cura ","")&amp;$PF13&amp;"d8")))</f>
        <v/>
      </c>
      <c r="PN13" s="155">
        <f>IF($OE13=2,3*$PG13&amp;" de vida temp.",IF($OE13=3,"sem dano",IF($PG13=0,IF($OE13=1,"sem cura","sem dano"),IF($OE13=1,"cura ","")&amp;$PG13&amp;"d8")))</f>
        <v/>
      </c>
      <c r="PO13" s="155">
        <f>IF($OE13=2,3*$PH13&amp;" de vida temp.",IF($OE13=3,"sem dano",IF($PH13=0,IF($OE13=1,"sem cura","sem dano"),IF($OE13=1,"cura ","")&amp;$PH13&amp;"d8")))</f>
        <v/>
      </c>
      <c r="PP13" s="155">
        <f>IF($OE13=2,3*$PI13&amp;" de vida temp.",IF($OE13=3,"sem dano",IF($PI13=0,IF($OE13=1,"sem cura","sem dano"),IF($OE13=1,"cura ","")&amp;$PI13&amp;"d8")))</f>
        <v/>
      </c>
      <c r="PQ13" s="155">
        <f>IF($OE13=2,3*$PJ13&amp;" de vida temp.",IF($OE13=3,"sem dano",IF($PJ13=0,IF($OE13=1,"sem cura","sem dano"),IF($OE13=1,"cura ","")&amp;$PJ13&amp;"d8")))</f>
        <v/>
      </c>
      <c r="PR13" s="155">
        <f>IF($NB13=0,"",TEXTJOIN(" · ",TRUE,IF($MO13&gt;$NC13,"Este lugar abre no nível "&amp;$MO13,""),IF($MQ13&gt;$ND13,"Classe "&amp;$MQ13&amp;": o nível "&amp;$NC13&amp;" libera até a "&amp;$ND13,""),IF($NV13=1,"A Forma "&amp;$MS13&amp;" pede "&amp;INDEX($W$2:$W$11,$NH13)&amp;" aberta",""),IF(AND($MQ13=0,$NH13&gt;0,IF($NH13=0,0,INDEX($AF$2:$AF$11,$NH13))=0),$MS13&amp;" não existe na Classe 0",""),IF($NW13=1,"Família Fechada: "&amp;$MV13,""),IF($NX13=1,"Família Fechada: "&amp;$MW13,""),IF($NY13=1,"Família Fechada: "&amp;$MX13,""),IF($NZ13=1,"Família Fechada: "&amp;$MY13,""),IF(AND($MQ13&gt;0,$OS13&gt;INDEX($O$2:$O$8,MAX(1,$MQ13))),$OS13&amp;" Melhorias: a Classe "&amp;$MQ13&amp;" aceita "&amp;INDEX($O$2:$O$8,MAX(1,$MQ13)),""),IF(AND($MQ13=0,$OS13&gt;1),"A básica aceita uma Melhoria",""),IF(AND($MQ13=0,COUNTIF($NM13:$NP13,"&gt;1")&gt;0),"A básica só aceita Melhoria Leve",""),IF(AND($MQ13&gt;0,$OT13&gt;2),$OT13&amp;" Restrições"&amp;IF($OD13=1,", contando a que a Forma "&amp;$MS13&amp;" já traz","")&amp;": o limite é 2",""),IF(AND($MQ13=0,COUNTIF($MZ13:$NA13,"?*")&gt;1),"A básica aceita uma Restrição Leve",""),IF(AND($MQ13=0,COUNTIF($OG13:$OH13,2)&gt;0),"A básica só aceita Restrição Leve",""),IF(AND($MQ13&gt;0,$PA13&lt;0),"Orçamento estourado: faltam "&amp;(-$PA13)&amp;IF($PA13&lt;-1," pontos"," ponto"),""),IF(IFERROR(VLOOKUP($MZ13,$BC$2:$BG$24,4,FALSE),0)+IFERROR(VLOOKUP($NA13,$BC$2:$BG$24,4,FALSE),0)&gt;1,$OI13&amp;" e "&amp;$OJ13&amp;" são as duas de frequência",""),IF(AND((COUNTIF($MV13:$MY13,"Rápido")+COUNTIF($OI13:$OJ13,"Rápido"))&gt;0,(COUNTIF($MV13:$MY13,"Atrasar")+COUNTIF($OI13:$OJ13,"Atrasar"))&gt;0),"Rápido não entra com Atrasar",""),IF(AND((COUNTIF($MV13:$MY13,"Reação")+COUNTIF($OI13:$OJ13,"Reação"))&gt;0,(COUNTIF($MV13:$MY13,"Rápido")+COUNTIF($OI13:$OJ13,"Rápido"))&gt;0),"Reação não entra com Rápido",""),IF(AND((COUNTIF($MV13:$MY13,"Reação")+COUNTIF($OI13:$OJ13,"Reação"))&gt;0,(COUNTIF($MV13:$MY13,"Armado")+COUNTIF($OI13:$OJ13,"Armado"))&gt;0),"Reação não entra com Armado",""),IF(AND((COUNTIF($MV13:$MY13,"Reação")+COUNTIF($OI13:$OJ13,"Reação"))&gt;0,(COUNTIF($MV13:$MY13,"Atrasar")+COUNTIF($OI13:$OJ13,"Atrasar"))&gt;0),"Reação não entra com Atrasar",""),IF(AND((COUNTIF($MV13:$MY13,"Reação")+COUNTIF($OI13:$OJ13,"Reação"))&gt;0,(COUNTIF($MV13:$MY13,"Parado")+COUNTIF($OI13:$OJ13,"Parado"))&gt;0),"Reação não entra com Parado",""),IF(AND((COUNTIF($MV13:$MY13,"Atrasar")+COUNTIF($OI13:$OJ13,"Atrasar"))&gt;0,(COUNTIF($MV13:$MY13,"Parado")+COUNTIF($OI13:$OJ13,"Parado"))&gt;0),"Atrasar não entra com Parado",""),IF(AND((COUNTIF($MV13:$MY13,"Armado")+COUNTIF($OI13:$OJ13,"Armado"))&gt;0,(COUNTIF($MV13:$MY13,"Carregar")+COUNTIF($OI13:$OJ13,"Carregar"))&gt;0),"Armado não entra com Carregar",""),IF(AND(COUNTIF($OI13:$OJ13,"Corpo a Corpo")&gt;0,$OD13=0,OR($MS13="Cone",$MS13="Linha")),"Corpo a Corpo não entra em "&amp;$MS13,""),IF(AND(COUNTIF($OI13:$OJ13,"Corpo a Corpo")&gt;0,$OD13=1),"A Forma "&amp;$MS13&amp;" já traz o Corpo a Corpo",""),IF(AND(COUNTIF($OI13:$OJ13,"Tudo ou Nada")&gt;0,$OF13=0),"Tudo ou Nada só entra em habilidade de Teste de Resistência",""),IF(AND(COUNTIF($MV13:$MY13,"Inescapável")&gt;0,OR($OS13&gt;1,$OT13&gt;0)),"Inescapável não aceita outra peça",""),IF(AND($MQ13&gt;0,$PB13*IF(COUNTIF($MV13:$MY13,"Remate")&gt;0,1.25,1)+$PC13&gt;4*$MQ13),($PB13*IF(COUNTIF($MV13:$MY13,"Remate")&gt;0,1.25,1)+$PC13)&amp;" dados somando repetições"&amp;IF(COUNTIF($MV13:$MY13,"Remate")&gt;0," e o Remate","")&amp;": o teto da Classe "&amp;$MQ13&amp;" é "&amp;4*$MQ13,"")))</f>
        <v/>
      </c>
      <c r="PS13" s="155">
        <f>IF($PR13="",0,(LEN($PR13)-LEN(SUBSTITUTE($PR13," · ","")))/3+1)</f>
        <v/>
      </c>
      <c r="PT13" s="155">
        <f>IF($NB13=0,"",TEXTJOIN(" · ",TRUE,IF($OV13&gt;2*$MQ13,"A devolução parou no teto de "&amp;2*$MQ13,""),IF($OY13&gt;0,"Devolução perdida: "&amp;$OY13&amp;IF($OY13&gt;1," pontos"," ponto")&amp;" sem peça para pagar",""),IF(AND($OA13&gt;0,AND($MQ13&gt;0,$OE13=0),$PB13=0),"Controle sem dano: uma rodada a mais e CD +2",""),IF(AND($OA13&gt;0,AND($MQ13&gt;0,$OE13=0),$PB13&gt;0,$PB13&lt;=$MQ13),"Controle com saldo até a Classe: uma rodada a mais",""),IF(AND($MQ13&gt;0,$OC13&lt;&gt;""),"Efeito de "&amp;$OC13&amp;" pela Classe "&amp;MAX(1,$MQ13-1),"")))</f>
        <v/>
      </c>
      <c r="PU13" s="155">
        <f>IF($PT13="",0,(LEN($PT13)-LEN(SUBSTITUTE($PT13," · ","")))/3+1)</f>
        <v/>
      </c>
      <c r="PV13" s="155">
        <f>IF($NB13=0,IF($OS13+COUNTIF($MZ13:$NA13,"?*")&gt;0,"Dê um nome",""),IF($PS13&gt;0,"⚠ "&amp;$PS13&amp;IF($PS13&gt;1," erros"," erro"),IF($PU13&gt;0,"! "&amp;$PU13&amp;IF($PU13&gt;1," avisos"," aviso"),"Na regra")))</f>
        <v/>
      </c>
      <c r="PW13" s="155">
        <f>IF($NB13=0,"",IF($PS13+$PU13=0,"Dentro das regras que a ficha confere",$PR13&amp;IF(AND($PS13&gt;0,$PU13&gt;0)," · ","")&amp;$PT13))</f>
        <v/>
      </c>
      <c r="PX13" s="155">
        <f>IF($MO13&gt;$NC13,$MP13&amp;" · ABRE NO NÍVEL "&amp;$MO13,$MP13)</f>
        <v/>
      </c>
      <c r="PY13" s="155">
        <f>IF($NB13=0,"",IF($MQ13=0,"Sem PE",3*$MQ13&amp;" PE"))</f>
        <v/>
      </c>
      <c r="PZ13" s="155">
        <f>IF($NB13=0,"",IF($MQ13=0,"A atuação básica dela",IF(COUNTIF($OI13:$OJ13,"Atrasar")&gt;0,"Sua Ação Completa",IF(COUNTIF($MV13:$MY13,"Rápido")&gt;0,"Sua Bônus",IF(COUNTIF($MV13:$MY13,"Reação")&gt;0,"Sua Reação","Sua Padrão")))&amp;" + a básica dela"&amp;IF(COUNTIF($MV13:$MY13,"Reação")&gt;0," e a coletiva","")&amp;IF(COUNTIF($OI13:$OJ13,"Carregar")&gt;0," · em dois turnos","")))</f>
        <v/>
      </c>
      <c r="QA13" s="155">
        <f>IF($MU13&lt;&gt;"",$MU13,IF($NH13=0,"",INDEX($AA$2:$AA$11,$NH13)))</f>
        <v/>
      </c>
      <c r="QB13" s="155">
        <f>IF(OR($NB13=0,$NH13=0),"",IF(COUNTIF($MV13:$MY13,"Inescapável")&gt;0,"Automático",IF($QA13="Ataque",IF($NF13="","Ataque","Ataque "&amp;IF(($NF13+2*IF(COUNTIF($MV13:$MY13,"Precisão")&gt;0,1,0))&gt;=0,"+","−")&amp;ABS(($NF13+2*IF(COUNTIF($MV13:$MY13,"Precisão")&gt;0,1,0))))&amp;IF($OB13&gt;0," · TR"&amp;IF($NG13="",""," CD "&amp;$NG13),""),IF(LEFT($QA13,2)="TR",$QA13&amp;IF($NG13="",""," · CD "&amp;$NG13)&amp;IF(COUNTIF($MV13:$MY13,"Certeiro")&gt;0," · metade",""),"Sem rolagem"))))</f>
        <v/>
      </c>
      <c r="QC13" s="155">
        <f>IF(OR($NB13=0,$NH13=0),"",IF($MQ13=0,IF(OR($OE13&gt;=1,$PB13=0),"Sem dano",$PB13&amp;"d6"&amp;IF($MT13="",""," "&amp;$MT13)),IF(OR($OE13&gt;=1,$PB13=0),UPPER(LEFT(INDEX($PK13:$PQ13,1,MAX(1,$MQ13)),1))&amp;MID(INDEX($PK13:$PQ13,1,MAX(1,$MQ13)),2,99),UPPER(LEFT(INDEX($PK13:$PQ13,1,MAX(1,$MQ13)),1))&amp;MID(INDEX($PK13:$PQ13,1,MAX(1,$MQ13)),2,99)&amp;IF($MT13="",""," "&amp;$MT13)&amp;IF($PC13&gt;0," · +"&amp;$PC13&amp;"d8",""))))</f>
        <v/>
      </c>
      <c r="QD13" s="155">
        <f>COUNTIF($MV13:$MY13,"Longe")+3*COUNTIF($MV13:$MY13,"Muito Longe")</f>
        <v/>
      </c>
      <c r="QE13" s="155">
        <f>COUNTIF($MV13:$MY13,"Maior")+3*COUNTIF($MV13:$MY13,"Muito Maior")</f>
        <v/>
      </c>
      <c r="QF13" s="155">
        <f>IF($NH13=0,0,CHOOSE(1+INDEX($AC$2:$AC$11,$NH13),0,$QD13,$QE13,$QD13+$QE13))</f>
        <v/>
      </c>
      <c r="QG13" s="155">
        <f>IF($NH13=0,0,CHOOSE(1+INDEX($AD$2:$AD$11,$NH13),0,$QD13,$QE13,$QD13+$QE13))</f>
        <v/>
      </c>
      <c r="QH13" s="155">
        <f>IF(OR($NB13=0,$NH13=0),"",INDEX($AI$2:$AN$41,($NH13-1)*4+IF($MQ13=0,1,IF($MQ13&lt;=5,2,IF($MQ13=6,3,4))),1+MIN(5,$QF13))&amp;INDEX($AO$2:$AT$41,($NH13-1)*4+IF($MQ13=0,1,IF($MQ13&lt;=5,2,IF($MQ13=6,3,4))),1+MIN(5,$QG13))&amp;IF(INDEX($AE$2:$AE$11,$NH13)=1,IF(COUNTIF($MV13:$MY13,"Mais Um")&gt;0," · +"&amp;COUNTIF($MV13:$MY13,"Mais Um")&amp;IF(COUNTIF($MV13:$MY13,"Mais Um")&gt;1," alvos"," alvo"),"")&amp;IF(COUNTIF($MV13:$MY13,"Rajada")&gt;0,IF($MQ13=0," · 1 tiro"," · "&amp;(MAX(1,$MQ13-1)+1)&amp;" tiros"),""),""))</f>
        <v/>
      </c>
      <c r="QI13" s="155">
        <f>IF($NB13=0,"",IF($MQ13=0,$NE13&amp;"d6"&amp;IF($OS13&gt;0," − 1 = "&amp;$PB13&amp;"d6"," da básica do nível "&amp;$NC13),$OZ13&amp;" − "&amp;$OU13&amp;" + "&amp;$OX13&amp;" = "&amp;$PA13&amp;" · teto "&amp;4*$MQ13&amp;"d8"&amp;IF($OD13=1," · a Forma devolve "&amp;$MQ13,"")&amp;IF($OY13&gt;0," · perde "&amp;$OY13,"")))</f>
        <v/>
      </c>
      <c r="QJ13" s="155">
        <f>IF($NB13=0,"",IF($MQ13=0,"A básica não amplia: os dados dela sobem com o nível",IF($MQ13&gt;=$ND13,"Já está na maior Classe que o nível liberou",TEXTJOIN(" · ",TRUE,IF(AND(2&gt;$MQ13,2&lt;=$ND13),"2 → "&amp;$PL13&amp;", 6 PE",""),IF(AND(3&gt;$MQ13,3&lt;=$ND13),"3 → "&amp;$PM13&amp;", 9 PE",""),IF(AND(4&gt;$MQ13,4&lt;=$ND13),"4 → "&amp;$PN13&amp;", 12 PE",""),IF(AND(5&gt;$MQ13,5&lt;=$ND13),"5 → "&amp;$PO13&amp;", 15 PE",""),IF(AND(6&gt;$MQ13,6&lt;=$ND13),"6 → "&amp;$PP13&amp;", 18 PE",""),IF(AND(7&gt;$MQ13,7&lt;=$ND13),"7 → "&amp;$PQ13&amp;", 21 PE","")))))</f>
        <v/>
      </c>
      <c r="QK13" s="155">
        <f>IF(OR($NB13=0,$NM13=0),"",IF($MQ13=0,"−1 dado","−"&amp;INDEX($I$2:$N$8,MAX(1,$MQ13),MAX(1,$NR13))&amp;" · "&amp;CHOOSE(MAX(1,$NR13),"Leve","Média","Pesada","Leve · Livre","Média · Livre","Pesada · Livre")))</f>
        <v/>
      </c>
      <c r="QL13" s="155">
        <f>IF(OR($NB13=0,$NN13=0),"",IF($MQ13=0,"−1 dado","−"&amp;INDEX($I$2:$N$8,MAX(1,$MQ13),MAX(1,$NS13))&amp;" · "&amp;CHOOSE(MAX(1,$NS13),"Leve","Média","Pesada","Leve · Livre","Média · Livre","Pesada · Livre")))</f>
        <v/>
      </c>
      <c r="QM13" s="155">
        <f>IF(OR($NB13=0,$NO13=0),"",IF($MQ13=0,"−1 dado","−"&amp;INDEX($I$2:$N$8,MAX(1,$MQ13),MAX(1,$NT13))&amp;" · "&amp;CHOOSE(MAX(1,$NT13),"Leve","Média","Pesada","Leve · Livre","Média · Livre","Pesada · Livre")))</f>
        <v/>
      </c>
      <c r="QN13" s="155">
        <f>IF(OR($NB13=0,$NP13=0),"",IF($MQ13=0,"−1 dado","−"&amp;INDEX($I$2:$N$8,MAX(1,$MQ13),MAX(1,$NU13))&amp;" · "&amp;CHOOSE(MAX(1,$NU13),"Leve","Média","Pesada","Leve · Livre","Média · Livre","Pesada · Livre")))</f>
        <v/>
      </c>
      <c r="QO13" s="155">
        <f>IF(OR($NB13=0,$MZ13=""),"",IF($MQ13=0,"não devolve","+"&amp;IF($OG13=1,CEILING($MQ13/2,1),$MQ13)))</f>
        <v/>
      </c>
      <c r="QP13" s="155">
        <f>IF(OR($NB13=0,$NA13=""),"",IF($MQ13=0,"não devolve","+"&amp;IF($OH13=1,CEILING($MQ13/2,1),$MQ13)))</f>
        <v/>
      </c>
    </row>
    <row r="14">
      <c r="AH14" s="153" t="inlineStr">
        <is>
          <t>Aura · classe 0</t>
        </is>
      </c>
      <c r="AI14" s="153" t="inlineStr">
        <is>
          <t>Raio 3 m, nela</t>
        </is>
      </c>
      <c r="AJ14" s="153" t="inlineStr">
        <is>
          <t>Raio 4,5 m, nela</t>
        </is>
      </c>
      <c r="AK14" s="153" t="inlineStr">
        <is>
          <t>Raio 6 m, nela</t>
        </is>
      </c>
      <c r="AL14" s="153" t="inlineStr">
        <is>
          <t>Raio 9 m, nela</t>
        </is>
      </c>
      <c r="AM14" s="153" t="inlineStr">
        <is>
          <t>Raio 15 m, nela</t>
        </is>
      </c>
      <c r="AN14" s="153" t="inlineStr">
        <is>
          <t>Raio 15 m, nela</t>
        </is>
      </c>
      <c r="AO14" s="153" t="inlineStr"/>
      <c r="AP14" s="153" t="inlineStr"/>
      <c r="AQ14" s="153" t="inlineStr"/>
      <c r="AR14" s="153" t="inlineStr"/>
      <c r="AS14" s="153" t="inlineStr"/>
      <c r="AT14" s="153" t="inlineStr"/>
      <c r="AV14" s="153" t="inlineStr">
        <is>
          <t>Fica</t>
        </is>
      </c>
      <c r="AW14" s="153" t="inlineStr">
        <is>
          <t>Área</t>
        </is>
      </c>
      <c r="AX14" s="155" t="n">
        <v>2</v>
      </c>
      <c r="AY14" s="155" t="n">
        <v>0</v>
      </c>
      <c r="AZ14" s="155" t="n">
        <v>0</v>
      </c>
      <c r="BA14" s="155" t="n">
        <v>0</v>
      </c>
      <c r="BC14" s="153" t="inlineStr">
        <is>
          <t>Sem Volta</t>
        </is>
      </c>
      <c r="BD14" s="153" t="inlineStr">
        <is>
          <t>Sem Volta</t>
        </is>
      </c>
      <c r="BE14" s="155" t="n">
        <v>2</v>
      </c>
      <c r="BF14" s="155" t="n">
        <v>0</v>
      </c>
      <c r="BG14" s="153" t="inlineStr"/>
      <c r="BI14" s="153" t="inlineStr">
        <is>
          <t>Talento Próprio (CE 1)</t>
        </is>
      </c>
      <c r="BJ14" s="155" t="n">
        <v>1</v>
      </c>
      <c r="BK14" s="153" t="inlineStr">
        <is>
          <t>Escreva nas Anotações o benefício, o gatilho, o alcance, os usos, o custo e se ele pode ser desligado, fechados com o mestre.</t>
        </is>
      </c>
      <c r="BL14" s="153" t="inlineStr">
        <is>
          <t>Talento Próprio (CE 1)</t>
        </is>
      </c>
      <c r="CC14" s="153" t="inlineStr">
        <is>
          <t>Sobrevivência</t>
        </is>
      </c>
      <c r="CD14" s="153" t="inlineStr">
        <is>
          <t>Inteligência</t>
        </is>
      </c>
      <c r="CH14" s="153" t="inlineStr">
        <is>
          <t>Energia Reversa</t>
        </is>
      </c>
      <c r="JR14" s="155">
        <f>IF(OR($AW14="",COUNTIF($EJ$2:$EN$2,$AW14)&gt;0),$AV14,"")</f>
        <v/>
      </c>
      <c r="JS14" s="155">
        <f>IF(AND($AX14=1,OR($AW14="",COUNTIF($EJ$2:$EN$2,$AW14)&gt;0)),$AV14,"")</f>
        <v/>
      </c>
      <c r="JX14" s="155">
        <f>IF(OR($AW14="",COUNTIF($EJ$3:$EN$3,$AW14)&gt;0),$AV14,"")</f>
        <v/>
      </c>
      <c r="JY14" s="155">
        <f>IF(AND($AX14=1,OR($AW14="",COUNTIF($EJ$3:$EN$3,$AW14)&gt;0)),$AV14,"")</f>
        <v/>
      </c>
      <c r="KD14" s="155">
        <f>IF(OR($AW14="",COUNTIF($EJ$4:$EN$4,$AW14)&gt;0),$AV14,"")</f>
        <v/>
      </c>
      <c r="KE14" s="155">
        <f>IF(AND($AX14=1,OR($AW14="",COUNTIF($EJ$4:$EN$4,$AW14)&gt;0)),$AV14,"")</f>
        <v/>
      </c>
      <c r="KJ14" s="155">
        <f>IF(OR($AW14="",COUNTIF($EJ$5:$EN$5,$AW14)&gt;0),$AV14,"")</f>
        <v/>
      </c>
      <c r="KK14" s="155">
        <f>IF(AND($AX14=1,OR($AW14="",COUNTIF($EJ$5:$EN$5,$AW14)&gt;0)),$AV14,"")</f>
        <v/>
      </c>
      <c r="KP14" s="155">
        <f>IF(OR($AW14="",COUNTIF($EJ$6:$EN$6,$AW14)&gt;0),$AV14,"")</f>
        <v/>
      </c>
      <c r="KQ14" s="155">
        <f>IF(AND($AX14=1,OR($AW14="",COUNTIF($EJ$6:$EN$6,$AW14)&gt;0)),$AV14,"")</f>
        <v/>
      </c>
      <c r="KV14" s="155">
        <f>IF(OR($AW14="",COUNTIF($EJ$7:$EN$7,$AW14)&gt;0),$AV14,"")</f>
        <v/>
      </c>
      <c r="KW14" s="155">
        <f>IF(AND($AX14=1,OR($AW14="",COUNTIF($EJ$7:$EN$7,$AW14)&gt;0)),$AV14,"")</f>
        <v/>
      </c>
      <c r="LB14" s="155">
        <f>IF(OR($AW14="",COUNTIF($EJ$8:$EN$8,$AW14)&gt;0),$AV14,"")</f>
        <v/>
      </c>
      <c r="LC14" s="155">
        <f>IF(AND($AX14=1,OR($AW14="",COUNTIF($EJ$8:$EN$8,$AW14)&gt;0)),$AV14,"")</f>
        <v/>
      </c>
      <c r="LH14" s="155">
        <f>IF(OR($AW14="",COUNTIF($EJ$9:$EN$9,$AW14)&gt;0),$AV14,"")</f>
        <v/>
      </c>
      <c r="LI14" s="155">
        <f>IF(AND($AX14=1,OR($AW14="",COUNTIF($EJ$9:$EN$9,$AW14)&gt;0)),$AV14,"")</f>
        <v/>
      </c>
      <c r="LN14" s="155">
        <f>IF(OR($AW14="",COUNTIF($EJ$10:$EN$10,$AW14)&gt;0),$AV14,"")</f>
        <v/>
      </c>
      <c r="LO14" s="155">
        <f>IF(AND($AX14=1,OR($AW14="",COUNTIF($EJ$10:$EN$10,$AW14)&gt;0)),$AV14,"")</f>
        <v/>
      </c>
      <c r="LT14" s="155">
        <f>IF(OR($AW14="",COUNTIF($EJ$11:$EN$11,$AW14)&gt;0),$AV14,"")</f>
        <v/>
      </c>
      <c r="LU14" s="155">
        <f>IF(AND($AX14=1,OR($AW14="",COUNTIF($EJ$11:$EN$11,$AW14)&gt;0)),$AV14,"")</f>
        <v/>
      </c>
      <c r="LZ14" s="155">
        <f>IF(OR($AW14="",COUNTIF($EJ$12:$EN$12,$AW14)&gt;0),$AV14,"")</f>
        <v/>
      </c>
      <c r="MA14" s="155">
        <f>IF(AND($AX14=1,OR($AW14="",COUNTIF($EJ$12:$EN$12,$AW14)&gt;0)),$AV14,"")</f>
        <v/>
      </c>
      <c r="MF14" s="155">
        <f>IF(OR($AW14="",COUNTIF($EJ$13:$EN$13,$AW14)&gt;0),$AV14,"")</f>
        <v/>
      </c>
      <c r="MG14" s="155">
        <f>IF(AND($AX14=1,OR($AW14="",COUNTIF($EJ$13:$EN$13,$AW14)&gt;0)),$AV14,"")</f>
        <v/>
      </c>
      <c r="ML14" s="153" t="inlineStr">
        <is>
          <t>Ficha 1 · Escolha da trilha 3</t>
        </is>
      </c>
      <c r="MM14" s="155" t="n">
        <v>1</v>
      </c>
      <c r="MN14" s="155" t="n">
        <v>2</v>
      </c>
      <c r="MO14" s="155" t="n">
        <v>0</v>
      </c>
      <c r="MP14" s="153" t="inlineStr">
        <is>
          <t>ESCOLHA DA TRILHA 3</t>
        </is>
      </c>
      <c r="MQ14" s="155">
        <f>MAX(0,MIN(7,N('INVOCAÇÕES'!$U$160)))</f>
        <v/>
      </c>
      <c r="MR14" s="155">
        <f>'INVOCAÇÕES'!$V$160&amp;""</f>
        <v/>
      </c>
      <c r="MS14" s="155">
        <f>'INVOCAÇÕES'!$U$165&amp;""</f>
        <v/>
      </c>
      <c r="MT14" s="155">
        <f>'INVOCAÇÕES'!$U$166&amp;""</f>
        <v/>
      </c>
      <c r="MU14" s="155">
        <f>'INVOCAÇÕES'!$W$166&amp;""</f>
        <v/>
      </c>
      <c r="MV14" s="155">
        <f>'INVOCAÇÕES'!$V$169&amp;""</f>
        <v/>
      </c>
      <c r="MW14" s="155">
        <f>'INVOCAÇÕES'!$V$170&amp;""</f>
        <v/>
      </c>
      <c r="MX14" s="155">
        <f>'INVOCAÇÕES'!$V$171&amp;""</f>
        <v/>
      </c>
      <c r="MY14" s="155">
        <f>'INVOCAÇÕES'!$V$172&amp;""</f>
        <v/>
      </c>
      <c r="MZ14" s="155">
        <f>'INVOCAÇÕES'!$V$173&amp;""</f>
        <v/>
      </c>
      <c r="NA14" s="155">
        <f>'INVOCAÇÕES'!$V$174&amp;""</f>
        <v/>
      </c>
      <c r="NB14" s="155">
        <f>IF($MR14&lt;&gt;"",1,0)</f>
        <v/>
      </c>
      <c r="NC14" s="155">
        <f>INDEX($FM$2:$FM$13,$MM14)</f>
        <v/>
      </c>
      <c r="ND14" s="155">
        <f>INDEX($FN$2:$FN$13,$MM14)</f>
        <v/>
      </c>
      <c r="NE14" s="155">
        <f>INDEX($FO$2:$FO$13,$MM14)</f>
        <v/>
      </c>
      <c r="NF14" s="155">
        <f>INDEX($FZ$2:$FZ$13,$MM14)</f>
        <v/>
      </c>
      <c r="NG14" s="155">
        <f>INDEX($GA$2:$GA$13,$MM14)</f>
        <v/>
      </c>
      <c r="NH14" s="155">
        <f>IFERROR(MATCH($MS14,$V$2:$V$11,0),0)</f>
        <v/>
      </c>
      <c r="NI14" s="155">
        <f>IFERROR(VLOOKUP($MV14,$AV$2:$BA$84,2,FALSE),"")</f>
        <v/>
      </c>
      <c r="NJ14" s="155">
        <f>IFERROR(VLOOKUP($MW14,$AV$2:$BA$84,2,FALSE),"")</f>
        <v/>
      </c>
      <c r="NK14" s="155">
        <f>IFERROR(VLOOKUP($MX14,$AV$2:$BA$84,2,FALSE),"")</f>
        <v/>
      </c>
      <c r="NL14" s="155">
        <f>IFERROR(VLOOKUP($MY14,$AV$2:$BA$84,2,FALSE),"")</f>
        <v/>
      </c>
      <c r="NM14" s="155">
        <f>IFERROR(VLOOKUP($MV14,$AV$2:$BA$84,3,FALSE),0)</f>
        <v/>
      </c>
      <c r="NN14" s="155">
        <f>IFERROR(VLOOKUP($MW14,$AV$2:$BA$84,3,FALSE),0)</f>
        <v/>
      </c>
      <c r="NO14" s="155">
        <f>IFERROR(VLOOKUP($MX14,$AV$2:$BA$84,3,FALSE),0)</f>
        <v/>
      </c>
      <c r="NP14" s="155">
        <f>IFERROR(VLOOKUP($MY14,$AV$2:$BA$84,3,FALSE),0)</f>
        <v/>
      </c>
      <c r="NQ14" s="155">
        <f>IF($MQ14=0,0,IF($NH14=0,0,INDEX($X$2:$X$11,$NH14)))</f>
        <v/>
      </c>
      <c r="NR14" s="155">
        <f>IF(OR($NM14=0,$MQ14=0),0,$NM14+3*IF(AND($NI14&lt;&gt;"",OR($NI14=INDEX($EJ$2:$EJ$13,$MM14),$NI14=INDEX($EK$2:$EK$13,$MM14))),1,0))</f>
        <v/>
      </c>
      <c r="NS14" s="155">
        <f>IF(OR($NN14=0,$MQ14=0),0,$NN14+3*IF(AND($NJ14&lt;&gt;"",OR($NJ14=INDEX($EJ$2:$EJ$13,$MM14),$NJ14=INDEX($EK$2:$EK$13,$MM14))),1,0))</f>
        <v/>
      </c>
      <c r="NT14" s="155">
        <f>IF(OR($NO14=0,$MQ14=0),0,$NO14+3*IF(AND($NK14&lt;&gt;"",OR($NK14=INDEX($EJ$2:$EJ$13,$MM14),$NK14=INDEX($EK$2:$EK$13,$MM14))),1,0))</f>
        <v/>
      </c>
      <c r="NU14" s="155">
        <f>IF(OR($NP14=0,$MQ14=0),0,$NP14+3*IF(AND($NL14&lt;&gt;"",OR($NL14=INDEX($EJ$2:$EJ$13,$MM14),$NL14=INDEX($EK$2:$EK$13,$MM14))),1,0))</f>
        <v/>
      </c>
      <c r="NV14" s="155">
        <f>IF($NH14=0,0,IF(INDEX($W$2:$W$11,$NH14)="",0,IF(COUNTIF(INDEX($EJ$2:$EN$13,$MM14,0),INDEX($W$2:$W$11,$NH14))=0,1,0)))</f>
        <v/>
      </c>
      <c r="NW14" s="155">
        <f>IF(OR($NM14=0,$NI14=""),0,IF(COUNTIF(INDEX($EJ$2:$EN$13,$MM14,0),$NI14)=0,1,0))</f>
        <v/>
      </c>
      <c r="NX14" s="155">
        <f>IF(OR($NN14=0,$NJ14=""),0,IF(COUNTIF(INDEX($EJ$2:$EN$13,$MM14,0),$NJ14)=0,1,0))</f>
        <v/>
      </c>
      <c r="NY14" s="155">
        <f>IF(OR($NO14=0,$NK14=""),0,IF(COUNTIF(INDEX($EJ$2:$EN$13,$MM14,0),$NK14)=0,1,0))</f>
        <v/>
      </c>
      <c r="NZ14" s="155">
        <f>IF(OR($NP14=0,$NL14=""),0,IF(COUNTIF(INDEX($EJ$2:$EN$13,$MM14,0),$NL14)=0,1,0))</f>
        <v/>
      </c>
      <c r="OA14" s="155">
        <f>IFERROR(VLOOKUP($MV14,$AV$2:$BA$84,4,FALSE),0)+IFERROR(VLOOKUP($MW14,$AV$2:$BA$84,4,FALSE),0)+IFERROR(VLOOKUP($MX14,$AV$2:$BA$84,4,FALSE),0)+IFERROR(VLOOKUP($MY14,$AV$2:$BA$84,4,FALSE),0)</f>
        <v/>
      </c>
      <c r="OB14" s="155">
        <f>IFERROR(VLOOKUP($MV14,$AV$2:$BA$84,6,FALSE),0)+IFERROR(VLOOKUP($MW14,$AV$2:$BA$84,6,FALSE),0)+IFERROR(VLOOKUP($MX14,$AV$2:$BA$84,6,FALSE),0)+IFERROR(VLOOKUP($MY14,$AV$2:$BA$84,6,FALSE),0)</f>
        <v/>
      </c>
      <c r="OC14" s="155">
        <f>TEXTJOIN(", ",TRUE,IF(IFERROR(VLOOKUP($MV14,$AV$2:$BA$84,5,FALSE),0)=1,$MV14,""),IF(IFERROR(VLOOKUP($MW14,$AV$2:$BA$84,5,FALSE),0)=1,$MW14,""),IF(IFERROR(VLOOKUP($MX14,$AV$2:$BA$84,5,FALSE),0)=1,$MX14,""),IF(IFERROR(VLOOKUP($MY14,$AV$2:$BA$84,5,FALSE),0)=1,$MY14,""))</f>
        <v/>
      </c>
      <c r="OD14" s="155">
        <f>IF($NH14=0,0,INDEX($Y$2:$Y$11,$NH14))</f>
        <v/>
      </c>
      <c r="OE14" s="155">
        <f>IF($NH14=0,0,INDEX($Z$2:$Z$11,$NH14))</f>
        <v/>
      </c>
      <c r="OF14" s="155">
        <f>IF($NH14=0,0,INDEX($AB$2:$AB$11,$NH14))</f>
        <v/>
      </c>
      <c r="OG14" s="155">
        <f>IFERROR(VLOOKUP($MZ14,$BC$2:$BG$24,3,FALSE),0)</f>
        <v/>
      </c>
      <c r="OH14" s="155">
        <f>IFERROR(VLOOKUP($NA14,$BC$2:$BG$24,3,FALSE),0)</f>
        <v/>
      </c>
      <c r="OI14" s="155">
        <f>IFERROR(VLOOKUP($MZ14,$BC$2:$BG$24,2,FALSE),"")</f>
        <v/>
      </c>
      <c r="OJ14" s="155">
        <f>IFERROR(VLOOKUP($NA14,$BC$2:$BG$24,2,FALSE),"")</f>
        <v/>
      </c>
      <c r="OK14" s="155">
        <f>COUNTIF($NQ14:$NU14,1)</f>
        <v/>
      </c>
      <c r="OL14" s="155">
        <f>COUNTIF($NQ14:$NU14,2)</f>
        <v/>
      </c>
      <c r="OM14" s="155">
        <f>COUNTIF($NQ14:$NU14,3)</f>
        <v/>
      </c>
      <c r="ON14" s="155">
        <f>COUNTIF($NQ14:$NU14,4)</f>
        <v/>
      </c>
      <c r="OO14" s="155">
        <f>COUNTIF($NQ14:$NU14,5)</f>
        <v/>
      </c>
      <c r="OP14" s="155">
        <f>COUNTIF($NQ14:$NU14,6)</f>
        <v/>
      </c>
      <c r="OQ14" s="155">
        <f>COUNTIF($OG14:$OH14,1)</f>
        <v/>
      </c>
      <c r="OR14" s="155">
        <f>COUNTIF($OG14:$OH14,2)+$OD14</f>
        <v/>
      </c>
      <c r="OS14" s="155">
        <f>COUNTIF($MV14:$MY14,"?*")</f>
        <v/>
      </c>
      <c r="OT14" s="155">
        <f>COUNTIF($MZ14:$NA14,"?*")+$OD14</f>
        <v/>
      </c>
      <c r="OU14" s="155">
        <f>IF($MQ14=0,0,SUMPRODUCT($OK14:$OP14,INDEX($I$2:$N$8,MAX(1,$MQ14),0)))</f>
        <v/>
      </c>
      <c r="OV14" s="155">
        <f>IF($MQ14=0,0,$OQ14*CEILING($MQ14/2,1)+$OR14*$MQ14)</f>
        <v/>
      </c>
      <c r="OW14" s="155">
        <f>MIN(2*$MQ14,$OV14)</f>
        <v/>
      </c>
      <c r="OX14" s="155">
        <f>MIN($OW14,$OU14)</f>
        <v/>
      </c>
      <c r="OY14" s="155">
        <f>$OW14-$OX14</f>
        <v/>
      </c>
      <c r="OZ14" s="155">
        <f>IF($MQ14=0,0,INDEX($P$2:$P$8,MAX(1,$MQ14)))</f>
        <v/>
      </c>
      <c r="PA14" s="155">
        <f>$OZ14-$OU14+$OX14</f>
        <v/>
      </c>
      <c r="PB14" s="155">
        <f>IF($MQ14=0,MAX(0,$NE14-IF($OS14&gt;0,1,0)),MAX(0,$PA14))</f>
        <v/>
      </c>
      <c r="PC14" s="155">
        <f>IF($MQ14=0,0,(IF(COUNTIF($MV14:$MY14,"Salto")&gt;0,1,0)+IF(COUNTIF($MV14:$MY14,"Queima")&gt;0,1,0)+IF(COUNTIF($MV14:$MY14,"Estilhaço")&gt;0,1,0))*FLOOR($PB14/2,1))</f>
        <v/>
      </c>
      <c r="PD14" s="155">
        <f>MAX(0,2-SUMPRODUCT($OK14:$OP14,$I$2:$N$2)+MIN(2,$OQ14*1+$OR14*1,SUMPRODUCT($OK14:$OP14,$I$2:$N$2)))</f>
        <v/>
      </c>
      <c r="PE14" s="155">
        <f>MAX(0,4-SUMPRODUCT($OK14:$OP14,$I$3:$N$3)+MIN(4,$OQ14*1+$OR14*2,SUMPRODUCT($OK14:$OP14,$I$3:$N$3)))</f>
        <v/>
      </c>
      <c r="PF14" s="155">
        <f>MAX(0,6-SUMPRODUCT($OK14:$OP14,$I$4:$N$4)+MIN(6,$OQ14*2+$OR14*3,SUMPRODUCT($OK14:$OP14,$I$4:$N$4)))</f>
        <v/>
      </c>
      <c r="PG14" s="155">
        <f>MAX(0,9-SUMPRODUCT($OK14:$OP14,$I$5:$N$5)+MIN(8,$OQ14*2+$OR14*4,SUMPRODUCT($OK14:$OP14,$I$5:$N$5)))</f>
        <v/>
      </c>
      <c r="PH14" s="155">
        <f>MAX(0,11-SUMPRODUCT($OK14:$OP14,$I$6:$N$6)+MIN(10,$OQ14*3+$OR14*5,SUMPRODUCT($OK14:$OP14,$I$6:$N$6)))</f>
        <v/>
      </c>
      <c r="PI14" s="155">
        <f>MAX(0,13-SUMPRODUCT($OK14:$OP14,$I$7:$N$7)+MIN(12,$OQ14*3+$OR14*6,SUMPRODUCT($OK14:$OP14,$I$7:$N$7)))</f>
        <v/>
      </c>
      <c r="PJ14" s="155">
        <f>MAX(0,16-SUMPRODUCT($OK14:$OP14,$I$8:$N$8)+MIN(14,$OQ14*4+$OR14*7,SUMPRODUCT($OK14:$OP14,$I$8:$N$8)))</f>
        <v/>
      </c>
      <c r="PK14" s="155">
        <f>IF($OE14=2,3*$PD14&amp;" de vida temp.",IF($OE14=3,"sem dano",IF($PD14=0,IF($OE14=1,"sem cura","sem dano"),IF($OE14=1,"cura ","")&amp;$PD14&amp;"d8")))</f>
        <v/>
      </c>
      <c r="PL14" s="155">
        <f>IF($OE14=2,3*$PE14&amp;" de vida temp.",IF($OE14=3,"sem dano",IF($PE14=0,IF($OE14=1,"sem cura","sem dano"),IF($OE14=1,"cura ","")&amp;$PE14&amp;"d8")))</f>
        <v/>
      </c>
      <c r="PM14" s="155">
        <f>IF($OE14=2,3*$PF14&amp;" de vida temp.",IF($OE14=3,"sem dano",IF($PF14=0,IF($OE14=1,"sem cura","sem dano"),IF($OE14=1,"cura ","")&amp;$PF14&amp;"d8")))</f>
        <v/>
      </c>
      <c r="PN14" s="155">
        <f>IF($OE14=2,3*$PG14&amp;" de vida temp.",IF($OE14=3,"sem dano",IF($PG14=0,IF($OE14=1,"sem cura","sem dano"),IF($OE14=1,"cura ","")&amp;$PG14&amp;"d8")))</f>
        <v/>
      </c>
      <c r="PO14" s="155">
        <f>IF($OE14=2,3*$PH14&amp;" de vida temp.",IF($OE14=3,"sem dano",IF($PH14=0,IF($OE14=1,"sem cura","sem dano"),IF($OE14=1,"cura ","")&amp;$PH14&amp;"d8")))</f>
        <v/>
      </c>
      <c r="PP14" s="155">
        <f>IF($OE14=2,3*$PI14&amp;" de vida temp.",IF($OE14=3,"sem dano",IF($PI14=0,IF($OE14=1,"sem cura","sem dano"),IF($OE14=1,"cura ","")&amp;$PI14&amp;"d8")))</f>
        <v/>
      </c>
      <c r="PQ14" s="155">
        <f>IF($OE14=2,3*$PJ14&amp;" de vida temp.",IF($OE14=3,"sem dano",IF($PJ14=0,IF($OE14=1,"sem cura","sem dano"),IF($OE14=1,"cura ","")&amp;$PJ14&amp;"d8")))</f>
        <v/>
      </c>
      <c r="PR14" s="155">
        <f>IF($NB14=0,"",TEXTJOIN(" · ",TRUE,IF($MO14&gt;$NC14,"Este lugar abre no nível "&amp;$MO14,""),IF($MQ14&gt;$ND14,"Classe "&amp;$MQ14&amp;": o nível "&amp;$NC14&amp;" libera até a "&amp;$ND14,""),IF($NV14=1,"A Forma "&amp;$MS14&amp;" pede "&amp;INDEX($W$2:$W$11,$NH14)&amp;" aberta",""),IF(AND($MQ14=0,$NH14&gt;0,IF($NH14=0,0,INDEX($AF$2:$AF$11,$NH14))=0),$MS14&amp;" não existe na Classe 0",""),IF($NW14=1,"Família Fechada: "&amp;$MV14,""),IF($NX14=1,"Família Fechada: "&amp;$MW14,""),IF($NY14=1,"Família Fechada: "&amp;$MX14,""),IF($NZ14=1,"Família Fechada: "&amp;$MY14,""),IF(AND($MQ14&gt;0,$OS14&gt;INDEX($O$2:$O$8,MAX(1,$MQ14))),$OS14&amp;" Melhorias: a Classe "&amp;$MQ14&amp;" aceita "&amp;INDEX($O$2:$O$8,MAX(1,$MQ14)),""),IF(AND($MQ14=0,$OS14&gt;1),"A básica aceita uma Melhoria",""),IF(AND($MQ14=0,COUNTIF($NM14:$NP14,"&gt;1")&gt;0),"A básica só aceita Melhoria Leve",""),IF(AND($MQ14&gt;0,$OT14&gt;2),$OT14&amp;" Restrições"&amp;IF($OD14=1,", contando a que a Forma "&amp;$MS14&amp;" já traz","")&amp;": o limite é 2",""),IF(AND($MQ14=0,COUNTIF($MZ14:$NA14,"?*")&gt;1),"A básica aceita uma Restrição Leve",""),IF(AND($MQ14=0,COUNTIF($OG14:$OH14,2)&gt;0),"A básica só aceita Restrição Leve",""),IF(AND($MQ14&gt;0,$PA14&lt;0),"Orçamento estourado: faltam "&amp;(-$PA14)&amp;IF($PA14&lt;-1," pontos"," ponto"),""),IF(IFERROR(VLOOKUP($MZ14,$BC$2:$BG$24,4,FALSE),0)+IFERROR(VLOOKUP($NA14,$BC$2:$BG$24,4,FALSE),0)&gt;1,$OI14&amp;" e "&amp;$OJ14&amp;" são as duas de frequência",""),IF(AND((COUNTIF($MV14:$MY14,"Rápido")+COUNTIF($OI14:$OJ14,"Rápido"))&gt;0,(COUNTIF($MV14:$MY14,"Atrasar")+COUNTIF($OI14:$OJ14,"Atrasar"))&gt;0),"Rápido não entra com Atrasar",""),IF(AND((COUNTIF($MV14:$MY14,"Reação")+COUNTIF($OI14:$OJ14,"Reação"))&gt;0,(COUNTIF($MV14:$MY14,"Rápido")+COUNTIF($OI14:$OJ14,"Rápido"))&gt;0),"Reação não entra com Rápido",""),IF(AND((COUNTIF($MV14:$MY14,"Reação")+COUNTIF($OI14:$OJ14,"Reação"))&gt;0,(COUNTIF($MV14:$MY14,"Armado")+COUNTIF($OI14:$OJ14,"Armado"))&gt;0),"Reação não entra com Armado",""),IF(AND((COUNTIF($MV14:$MY14,"Reação")+COUNTIF($OI14:$OJ14,"Reação"))&gt;0,(COUNTIF($MV14:$MY14,"Atrasar")+COUNTIF($OI14:$OJ14,"Atrasar"))&gt;0),"Reação não entra com Atrasar",""),IF(AND((COUNTIF($MV14:$MY14,"Reação")+COUNTIF($OI14:$OJ14,"Reação"))&gt;0,(COUNTIF($MV14:$MY14,"Parado")+COUNTIF($OI14:$OJ14,"Parado"))&gt;0),"Reação não entra com Parado",""),IF(AND((COUNTIF($MV14:$MY14,"Atrasar")+COUNTIF($OI14:$OJ14,"Atrasar"))&gt;0,(COUNTIF($MV14:$MY14,"Parado")+COUNTIF($OI14:$OJ14,"Parado"))&gt;0),"Atrasar não entra com Parado",""),IF(AND((COUNTIF($MV14:$MY14,"Armado")+COUNTIF($OI14:$OJ14,"Armado"))&gt;0,(COUNTIF($MV14:$MY14,"Carregar")+COUNTIF($OI14:$OJ14,"Carregar"))&gt;0),"Armado não entra com Carregar",""),IF(AND(COUNTIF($OI14:$OJ14,"Corpo a Corpo")&gt;0,$OD14=0,OR($MS14="Cone",$MS14="Linha")),"Corpo a Corpo não entra em "&amp;$MS14,""),IF(AND(COUNTIF($OI14:$OJ14,"Corpo a Corpo")&gt;0,$OD14=1),"A Forma "&amp;$MS14&amp;" já traz o Corpo a Corpo",""),IF(AND(COUNTIF($OI14:$OJ14,"Tudo ou Nada")&gt;0,$OF14=0),"Tudo ou Nada só entra em habilidade de Teste de Resistência",""),IF(AND(COUNTIF($MV14:$MY14,"Inescapável")&gt;0,OR($OS14&gt;1,$OT14&gt;0)),"Inescapável não aceita outra peça",""),IF(AND($MQ14&gt;0,$PB14*IF(COUNTIF($MV14:$MY14,"Remate")&gt;0,1.25,1)+$PC14&gt;4*$MQ14),($PB14*IF(COUNTIF($MV14:$MY14,"Remate")&gt;0,1.25,1)+$PC14)&amp;" dados somando repetições"&amp;IF(COUNTIF($MV14:$MY14,"Remate")&gt;0," e o Remate","")&amp;": o teto da Classe "&amp;$MQ14&amp;" é "&amp;4*$MQ14,"")))</f>
        <v/>
      </c>
      <c r="PS14" s="155">
        <f>IF($PR14="",0,(LEN($PR14)-LEN(SUBSTITUTE($PR14," · ","")))/3+1)</f>
        <v/>
      </c>
      <c r="PT14" s="155">
        <f>IF($NB14=0,"",TEXTJOIN(" · ",TRUE,IF($OV14&gt;2*$MQ14,"A devolução parou no teto de "&amp;2*$MQ14,""),IF($OY14&gt;0,"Devolução perdida: "&amp;$OY14&amp;IF($OY14&gt;1," pontos"," ponto")&amp;" sem peça para pagar",""),IF(AND($OA14&gt;0,AND($MQ14&gt;0,$OE14=0),$PB14=0),"Controle sem dano: uma rodada a mais e CD +2",""),IF(AND($OA14&gt;0,AND($MQ14&gt;0,$OE14=0),$PB14&gt;0,$PB14&lt;=$MQ14),"Controle com saldo até a Classe: uma rodada a mais",""),IF(AND($MQ14&gt;0,$OC14&lt;&gt;""),"Efeito de "&amp;$OC14&amp;" pela Classe "&amp;MAX(1,$MQ14-1),"")))</f>
        <v/>
      </c>
      <c r="PU14" s="155">
        <f>IF($PT14="",0,(LEN($PT14)-LEN(SUBSTITUTE($PT14," · ","")))/3+1)</f>
        <v/>
      </c>
      <c r="PV14" s="155">
        <f>IF($NB14=0,IF($OS14+COUNTIF($MZ14:$NA14,"?*")&gt;0,"Dê um nome",""),IF($PS14&gt;0,"⚠ "&amp;$PS14&amp;IF($PS14&gt;1," erros"," erro"),IF($PU14&gt;0,"! "&amp;$PU14&amp;IF($PU14&gt;1," avisos"," aviso"),"Na regra")))</f>
        <v/>
      </c>
      <c r="PW14" s="155">
        <f>IF($NB14=0,"",IF($PS14+$PU14=0,"Dentro das regras que a ficha confere",$PR14&amp;IF(AND($PS14&gt;0,$PU14&gt;0)," · ","")&amp;$PT14))</f>
        <v/>
      </c>
      <c r="PX14" s="155">
        <f>IF($MO14&gt;$NC14,$MP14&amp;" · ABRE NO NÍVEL "&amp;$MO14,$MP14)</f>
        <v/>
      </c>
      <c r="PY14" s="155">
        <f>IF($NB14=0,"",IF($MQ14=0,"Sem PE",3*$MQ14&amp;" PE"))</f>
        <v/>
      </c>
      <c r="PZ14" s="155">
        <f>IF($NB14=0,"",IF($MQ14=0,"A atuação básica dela",IF(COUNTIF($OI14:$OJ14,"Atrasar")&gt;0,"Sua Ação Completa",IF(COUNTIF($MV14:$MY14,"Rápido")&gt;0,"Sua Bônus",IF(COUNTIF($MV14:$MY14,"Reação")&gt;0,"Sua Reação","Sua Padrão")))&amp;" + a básica dela"&amp;IF(COUNTIF($MV14:$MY14,"Reação")&gt;0," e a coletiva","")&amp;IF(COUNTIF($OI14:$OJ14,"Carregar")&gt;0," · em dois turnos","")))</f>
        <v/>
      </c>
      <c r="QA14" s="155">
        <f>IF($MU14&lt;&gt;"",$MU14,IF($NH14=0,"",INDEX($AA$2:$AA$11,$NH14)))</f>
        <v/>
      </c>
      <c r="QB14" s="155">
        <f>IF(OR($NB14=0,$NH14=0),"",IF(COUNTIF($MV14:$MY14,"Inescapável")&gt;0,"Automático",IF($QA14="Ataque",IF($NF14="","Ataque","Ataque "&amp;IF(($NF14+2*IF(COUNTIF($MV14:$MY14,"Precisão")&gt;0,1,0))&gt;=0,"+","−")&amp;ABS(($NF14+2*IF(COUNTIF($MV14:$MY14,"Precisão")&gt;0,1,0))))&amp;IF($OB14&gt;0," · TR"&amp;IF($NG14="",""," CD "&amp;$NG14),""),IF(LEFT($QA14,2)="TR",$QA14&amp;IF($NG14="",""," · CD "&amp;$NG14)&amp;IF(COUNTIF($MV14:$MY14,"Certeiro")&gt;0," · metade",""),"Sem rolagem"))))</f>
        <v/>
      </c>
      <c r="QC14" s="155">
        <f>IF(OR($NB14=0,$NH14=0),"",IF($MQ14=0,IF(OR($OE14&gt;=1,$PB14=0),"Sem dano",$PB14&amp;"d6"&amp;IF($MT14="",""," "&amp;$MT14)),IF(OR($OE14&gt;=1,$PB14=0),UPPER(LEFT(INDEX($PK14:$PQ14,1,MAX(1,$MQ14)),1))&amp;MID(INDEX($PK14:$PQ14,1,MAX(1,$MQ14)),2,99),UPPER(LEFT(INDEX($PK14:$PQ14,1,MAX(1,$MQ14)),1))&amp;MID(INDEX($PK14:$PQ14,1,MAX(1,$MQ14)),2,99)&amp;IF($MT14="",""," "&amp;$MT14)&amp;IF($PC14&gt;0," · +"&amp;$PC14&amp;"d8",""))))</f>
        <v/>
      </c>
      <c r="QD14" s="155">
        <f>COUNTIF($MV14:$MY14,"Longe")+3*COUNTIF($MV14:$MY14,"Muito Longe")</f>
        <v/>
      </c>
      <c r="QE14" s="155">
        <f>COUNTIF($MV14:$MY14,"Maior")+3*COUNTIF($MV14:$MY14,"Muito Maior")</f>
        <v/>
      </c>
      <c r="QF14" s="155">
        <f>IF($NH14=0,0,CHOOSE(1+INDEX($AC$2:$AC$11,$NH14),0,$QD14,$QE14,$QD14+$QE14))</f>
        <v/>
      </c>
      <c r="QG14" s="155">
        <f>IF($NH14=0,0,CHOOSE(1+INDEX($AD$2:$AD$11,$NH14),0,$QD14,$QE14,$QD14+$QE14))</f>
        <v/>
      </c>
      <c r="QH14" s="155">
        <f>IF(OR($NB14=0,$NH14=0),"",INDEX($AI$2:$AN$41,($NH14-1)*4+IF($MQ14=0,1,IF($MQ14&lt;=5,2,IF($MQ14=6,3,4))),1+MIN(5,$QF14))&amp;INDEX($AO$2:$AT$41,($NH14-1)*4+IF($MQ14=0,1,IF($MQ14&lt;=5,2,IF($MQ14=6,3,4))),1+MIN(5,$QG14))&amp;IF(INDEX($AE$2:$AE$11,$NH14)=1,IF(COUNTIF($MV14:$MY14,"Mais Um")&gt;0," · +"&amp;COUNTIF($MV14:$MY14,"Mais Um")&amp;IF(COUNTIF($MV14:$MY14,"Mais Um")&gt;1," alvos"," alvo"),"")&amp;IF(COUNTIF($MV14:$MY14,"Rajada")&gt;0,IF($MQ14=0," · 1 tiro"," · "&amp;(MAX(1,$MQ14-1)+1)&amp;" tiros"),""),""))</f>
        <v/>
      </c>
      <c r="QI14" s="155">
        <f>IF($NB14=0,"",IF($MQ14=0,$NE14&amp;"d6"&amp;IF($OS14&gt;0," − 1 = "&amp;$PB14&amp;"d6"," da básica do nível "&amp;$NC14),$OZ14&amp;" − "&amp;$OU14&amp;" + "&amp;$OX14&amp;" = "&amp;$PA14&amp;" · teto "&amp;4*$MQ14&amp;"d8"&amp;IF($OD14=1," · a Forma devolve "&amp;$MQ14,"")&amp;IF($OY14&gt;0," · perde "&amp;$OY14,"")))</f>
        <v/>
      </c>
      <c r="QJ14" s="155">
        <f>IF($NB14=0,"",IF($MQ14=0,"A básica não amplia: os dados dela sobem com o nível",IF($MQ14&gt;=$ND14,"Já está na maior Classe que o nível liberou",TEXTJOIN(" · ",TRUE,IF(AND(2&gt;$MQ14,2&lt;=$ND14),"2 → "&amp;$PL14&amp;", 6 PE",""),IF(AND(3&gt;$MQ14,3&lt;=$ND14),"3 → "&amp;$PM14&amp;", 9 PE",""),IF(AND(4&gt;$MQ14,4&lt;=$ND14),"4 → "&amp;$PN14&amp;", 12 PE",""),IF(AND(5&gt;$MQ14,5&lt;=$ND14),"5 → "&amp;$PO14&amp;", 15 PE",""),IF(AND(6&gt;$MQ14,6&lt;=$ND14),"6 → "&amp;$PP14&amp;", 18 PE",""),IF(AND(7&gt;$MQ14,7&lt;=$ND14),"7 → "&amp;$PQ14&amp;", 21 PE","")))))</f>
        <v/>
      </c>
      <c r="QK14" s="155">
        <f>IF(OR($NB14=0,$NM14=0),"",IF($MQ14=0,"−1 dado","−"&amp;INDEX($I$2:$N$8,MAX(1,$MQ14),MAX(1,$NR14))&amp;" · "&amp;CHOOSE(MAX(1,$NR14),"Leve","Média","Pesada","Leve · Livre","Média · Livre","Pesada · Livre")))</f>
        <v/>
      </c>
      <c r="QL14" s="155">
        <f>IF(OR($NB14=0,$NN14=0),"",IF($MQ14=0,"−1 dado","−"&amp;INDEX($I$2:$N$8,MAX(1,$MQ14),MAX(1,$NS14))&amp;" · "&amp;CHOOSE(MAX(1,$NS14),"Leve","Média","Pesada","Leve · Livre","Média · Livre","Pesada · Livre")))</f>
        <v/>
      </c>
      <c r="QM14" s="155">
        <f>IF(OR($NB14=0,$NO14=0),"",IF($MQ14=0,"−1 dado","−"&amp;INDEX($I$2:$N$8,MAX(1,$MQ14),MAX(1,$NT14))&amp;" · "&amp;CHOOSE(MAX(1,$NT14),"Leve","Média","Pesada","Leve · Livre","Média · Livre","Pesada · Livre")))</f>
        <v/>
      </c>
      <c r="QN14" s="155">
        <f>IF(OR($NB14=0,$NP14=0),"",IF($MQ14=0,"−1 dado","−"&amp;INDEX($I$2:$N$8,MAX(1,$MQ14),MAX(1,$NU14))&amp;" · "&amp;CHOOSE(MAX(1,$NU14),"Leve","Média","Pesada","Leve · Livre","Média · Livre","Pesada · Livre")))</f>
        <v/>
      </c>
      <c r="QO14" s="155">
        <f>IF(OR($NB14=0,$MZ14=""),"",IF($MQ14=0,"não devolve","+"&amp;IF($OG14=1,CEILING($MQ14/2,1),$MQ14)))</f>
        <v/>
      </c>
      <c r="QP14" s="155">
        <f>IF(OR($NB14=0,$NA14=""),"",IF($MQ14=0,"não devolve","+"&amp;IF($OH14=1,CEILING($MQ14/2,1),$MQ14)))</f>
        <v/>
      </c>
    </row>
    <row r="15">
      <c r="AH15" s="153" t="inlineStr">
        <is>
          <t>Aura · classes 1 a 5</t>
        </is>
      </c>
      <c r="AI15" s="153" t="inlineStr">
        <is>
          <t>Raio 3 m, nela</t>
        </is>
      </c>
      <c r="AJ15" s="153" t="inlineStr">
        <is>
          <t>Raio 4,5 m, nela</t>
        </is>
      </c>
      <c r="AK15" s="153" t="inlineStr">
        <is>
          <t>Raio 6 m, nela</t>
        </is>
      </c>
      <c r="AL15" s="153" t="inlineStr">
        <is>
          <t>Raio 9 m, nela</t>
        </is>
      </c>
      <c r="AM15" s="153" t="inlineStr">
        <is>
          <t>Raio 15 m, nela</t>
        </is>
      </c>
      <c r="AN15" s="153" t="inlineStr">
        <is>
          <t>Raio 15 m, nela</t>
        </is>
      </c>
      <c r="AO15" s="153" t="inlineStr"/>
      <c r="AP15" s="153" t="inlineStr"/>
      <c r="AQ15" s="153" t="inlineStr"/>
      <c r="AR15" s="153" t="inlineStr"/>
      <c r="AS15" s="153" t="inlineStr"/>
      <c r="AT15" s="153" t="inlineStr"/>
      <c r="AV15" s="153" t="inlineStr">
        <is>
          <t>Salto</t>
        </is>
      </c>
      <c r="AW15" s="153" t="inlineStr">
        <is>
          <t>Área</t>
        </is>
      </c>
      <c r="AX15" s="155" t="n">
        <v>2</v>
      </c>
      <c r="AY15" s="155" t="n">
        <v>0</v>
      </c>
      <c r="AZ15" s="155" t="n">
        <v>0</v>
      </c>
      <c r="BA15" s="155" t="n">
        <v>0</v>
      </c>
      <c r="BC15" s="153" t="inlineStr">
        <is>
          <t>Uma Vez</t>
        </is>
      </c>
      <c r="BD15" s="153" t="inlineStr">
        <is>
          <t>Uma Vez</t>
        </is>
      </c>
      <c r="BE15" s="155" t="n">
        <v>1</v>
      </c>
      <c r="BF15" s="155" t="n">
        <v>1</v>
      </c>
      <c r="BG15" s="153" t="inlineStr">
        <is>
          <t>Uma Vez</t>
        </is>
      </c>
      <c r="BI15" s="153" t="inlineStr">
        <is>
          <t>Talento Próprio (CE 3)</t>
        </is>
      </c>
      <c r="BJ15" s="155" t="n">
        <v>3</v>
      </c>
      <c r="BK15" s="153" t="inlineStr">
        <is>
          <t>Escreva nas Anotações o benefício, o gatilho, o alcance, os usos, o custo e se ele pode ser desligado, fechados com o mestre.</t>
        </is>
      </c>
      <c r="BL15" s="153" t="inlineStr"/>
      <c r="CC15" s="153" t="inlineStr">
        <is>
          <t>Natureza</t>
        </is>
      </c>
      <c r="CD15" s="153" t="inlineStr">
        <is>
          <t>Inteligência</t>
        </is>
      </c>
      <c r="CH15" s="153" t="inlineStr">
        <is>
          <t>Força</t>
        </is>
      </c>
      <c r="JR15" s="155">
        <f>IF(OR($AW15="",COUNTIF($EJ$2:$EN$2,$AW15)&gt;0),$AV15,"")</f>
        <v/>
      </c>
      <c r="JS15" s="155">
        <f>IF(AND($AX15=1,OR($AW15="",COUNTIF($EJ$2:$EN$2,$AW15)&gt;0)),$AV15,"")</f>
        <v/>
      </c>
      <c r="JX15" s="155">
        <f>IF(OR($AW15="",COUNTIF($EJ$3:$EN$3,$AW15)&gt;0),$AV15,"")</f>
        <v/>
      </c>
      <c r="JY15" s="155">
        <f>IF(AND($AX15=1,OR($AW15="",COUNTIF($EJ$3:$EN$3,$AW15)&gt;0)),$AV15,"")</f>
        <v/>
      </c>
      <c r="KD15" s="155">
        <f>IF(OR($AW15="",COUNTIF($EJ$4:$EN$4,$AW15)&gt;0),$AV15,"")</f>
        <v/>
      </c>
      <c r="KE15" s="155">
        <f>IF(AND($AX15=1,OR($AW15="",COUNTIF($EJ$4:$EN$4,$AW15)&gt;0)),$AV15,"")</f>
        <v/>
      </c>
      <c r="KJ15" s="155">
        <f>IF(OR($AW15="",COUNTIF($EJ$5:$EN$5,$AW15)&gt;0),$AV15,"")</f>
        <v/>
      </c>
      <c r="KK15" s="155">
        <f>IF(AND($AX15=1,OR($AW15="",COUNTIF($EJ$5:$EN$5,$AW15)&gt;0)),$AV15,"")</f>
        <v/>
      </c>
      <c r="KP15" s="155">
        <f>IF(OR($AW15="",COUNTIF($EJ$6:$EN$6,$AW15)&gt;0),$AV15,"")</f>
        <v/>
      </c>
      <c r="KQ15" s="155">
        <f>IF(AND($AX15=1,OR($AW15="",COUNTIF($EJ$6:$EN$6,$AW15)&gt;0)),$AV15,"")</f>
        <v/>
      </c>
      <c r="KV15" s="155">
        <f>IF(OR($AW15="",COUNTIF($EJ$7:$EN$7,$AW15)&gt;0),$AV15,"")</f>
        <v/>
      </c>
      <c r="KW15" s="155">
        <f>IF(AND($AX15=1,OR($AW15="",COUNTIF($EJ$7:$EN$7,$AW15)&gt;0)),$AV15,"")</f>
        <v/>
      </c>
      <c r="LB15" s="155">
        <f>IF(OR($AW15="",COUNTIF($EJ$8:$EN$8,$AW15)&gt;0),$AV15,"")</f>
        <v/>
      </c>
      <c r="LC15" s="155">
        <f>IF(AND($AX15=1,OR($AW15="",COUNTIF($EJ$8:$EN$8,$AW15)&gt;0)),$AV15,"")</f>
        <v/>
      </c>
      <c r="LH15" s="155">
        <f>IF(OR($AW15="",COUNTIF($EJ$9:$EN$9,$AW15)&gt;0),$AV15,"")</f>
        <v/>
      </c>
      <c r="LI15" s="155">
        <f>IF(AND($AX15=1,OR($AW15="",COUNTIF($EJ$9:$EN$9,$AW15)&gt;0)),$AV15,"")</f>
        <v/>
      </c>
      <c r="LN15" s="155">
        <f>IF(OR($AW15="",COUNTIF($EJ$10:$EN$10,$AW15)&gt;0),$AV15,"")</f>
        <v/>
      </c>
      <c r="LO15" s="155">
        <f>IF(AND($AX15=1,OR($AW15="",COUNTIF($EJ$10:$EN$10,$AW15)&gt;0)),$AV15,"")</f>
        <v/>
      </c>
      <c r="LT15" s="155">
        <f>IF(OR($AW15="",COUNTIF($EJ$11:$EN$11,$AW15)&gt;0),$AV15,"")</f>
        <v/>
      </c>
      <c r="LU15" s="155">
        <f>IF(AND($AX15=1,OR($AW15="",COUNTIF($EJ$11:$EN$11,$AW15)&gt;0)),$AV15,"")</f>
        <v/>
      </c>
      <c r="LZ15" s="155">
        <f>IF(OR($AW15="",COUNTIF($EJ$12:$EN$12,$AW15)&gt;0),$AV15,"")</f>
        <v/>
      </c>
      <c r="MA15" s="155">
        <f>IF(AND($AX15=1,OR($AW15="",COUNTIF($EJ$12:$EN$12,$AW15)&gt;0)),$AV15,"")</f>
        <v/>
      </c>
      <c r="MF15" s="155">
        <f>IF(OR($AW15="",COUNTIF($EJ$13:$EN$13,$AW15)&gt;0),$AV15,"")</f>
        <v/>
      </c>
      <c r="MG15" s="155">
        <f>IF(AND($AX15=1,OR($AW15="",COUNTIF($EJ$13:$EN$13,$AW15)&gt;0)),$AV15,"")</f>
        <v/>
      </c>
      <c r="ML15" s="153" t="inlineStr">
        <is>
          <t>Ficha 2 · Básica 1</t>
        </is>
      </c>
      <c r="MM15" s="155" t="n">
        <v>2</v>
      </c>
      <c r="MN15" s="155" t="n">
        <v>0</v>
      </c>
      <c r="MO15" s="155" t="n">
        <v>1</v>
      </c>
      <c r="MP15" s="153" t="inlineStr">
        <is>
          <t>BÁSICA 1</t>
        </is>
      </c>
      <c r="MQ15" s="155" t="n">
        <v>0</v>
      </c>
      <c r="MR15" s="155">
        <f>'INVOCAÇÕES'!$J$256&amp;""</f>
        <v/>
      </c>
      <c r="MS15" s="155">
        <f>'INVOCAÇÕES'!$I$261&amp;""</f>
        <v/>
      </c>
      <c r="MT15" s="155">
        <f>'INVOCAÇÕES'!$I$262&amp;""</f>
        <v/>
      </c>
      <c r="MU15" s="155">
        <f>'INVOCAÇÕES'!$K$262&amp;""</f>
        <v/>
      </c>
      <c r="MV15" s="155">
        <f>'INVOCAÇÕES'!$J$265&amp;""</f>
        <v/>
      </c>
      <c r="MW15" s="155">
        <f>'INVOCAÇÕES'!$J$266&amp;""</f>
        <v/>
      </c>
      <c r="MX15" s="155">
        <f>'INVOCAÇÕES'!$J$267&amp;""</f>
        <v/>
      </c>
      <c r="MY15" s="155">
        <f>'INVOCAÇÕES'!$J$268&amp;""</f>
        <v/>
      </c>
      <c r="MZ15" s="155">
        <f>'INVOCAÇÕES'!$J$269&amp;""</f>
        <v/>
      </c>
      <c r="NA15" s="155">
        <f>'INVOCAÇÕES'!$J$270&amp;""</f>
        <v/>
      </c>
      <c r="NB15" s="155">
        <f>IF($MR15&lt;&gt;"",1,0)</f>
        <v/>
      </c>
      <c r="NC15" s="155">
        <f>INDEX($FM$2:$FM$13,$MM15)</f>
        <v/>
      </c>
      <c r="ND15" s="155">
        <f>INDEX($FN$2:$FN$13,$MM15)</f>
        <v/>
      </c>
      <c r="NE15" s="155">
        <f>INDEX($FO$2:$FO$13,$MM15)</f>
        <v/>
      </c>
      <c r="NF15" s="155">
        <f>INDEX($FZ$2:$FZ$13,$MM15)</f>
        <v/>
      </c>
      <c r="NG15" s="155">
        <f>INDEX($GA$2:$GA$13,$MM15)</f>
        <v/>
      </c>
      <c r="NH15" s="155">
        <f>IFERROR(MATCH($MS15,$V$2:$V$11,0),0)</f>
        <v/>
      </c>
      <c r="NI15" s="155">
        <f>IFERROR(VLOOKUP($MV15,$AV$2:$BA$84,2,FALSE),"")</f>
        <v/>
      </c>
      <c r="NJ15" s="155">
        <f>IFERROR(VLOOKUP($MW15,$AV$2:$BA$84,2,FALSE),"")</f>
        <v/>
      </c>
      <c r="NK15" s="155">
        <f>IFERROR(VLOOKUP($MX15,$AV$2:$BA$84,2,FALSE),"")</f>
        <v/>
      </c>
      <c r="NL15" s="155">
        <f>IFERROR(VLOOKUP($MY15,$AV$2:$BA$84,2,FALSE),"")</f>
        <v/>
      </c>
      <c r="NM15" s="155">
        <f>IFERROR(VLOOKUP($MV15,$AV$2:$BA$84,3,FALSE),0)</f>
        <v/>
      </c>
      <c r="NN15" s="155">
        <f>IFERROR(VLOOKUP($MW15,$AV$2:$BA$84,3,FALSE),0)</f>
        <v/>
      </c>
      <c r="NO15" s="155">
        <f>IFERROR(VLOOKUP($MX15,$AV$2:$BA$84,3,FALSE),0)</f>
        <v/>
      </c>
      <c r="NP15" s="155">
        <f>IFERROR(VLOOKUP($MY15,$AV$2:$BA$84,3,FALSE),0)</f>
        <v/>
      </c>
      <c r="NQ15" s="155">
        <f>IF($MQ15=0,0,IF($NH15=0,0,INDEX($X$2:$X$11,$NH15)))</f>
        <v/>
      </c>
      <c r="NR15" s="155">
        <f>IF(OR($NM15=0,$MQ15=0),0,$NM15+3*IF(AND($NI15&lt;&gt;"",OR($NI15=INDEX($EJ$2:$EJ$13,$MM15),$NI15=INDEX($EK$2:$EK$13,$MM15))),1,0))</f>
        <v/>
      </c>
      <c r="NS15" s="155">
        <f>IF(OR($NN15=0,$MQ15=0),0,$NN15+3*IF(AND($NJ15&lt;&gt;"",OR($NJ15=INDEX($EJ$2:$EJ$13,$MM15),$NJ15=INDEX($EK$2:$EK$13,$MM15))),1,0))</f>
        <v/>
      </c>
      <c r="NT15" s="155">
        <f>IF(OR($NO15=0,$MQ15=0),0,$NO15+3*IF(AND($NK15&lt;&gt;"",OR($NK15=INDEX($EJ$2:$EJ$13,$MM15),$NK15=INDEX($EK$2:$EK$13,$MM15))),1,0))</f>
        <v/>
      </c>
      <c r="NU15" s="155">
        <f>IF(OR($NP15=0,$MQ15=0),0,$NP15+3*IF(AND($NL15&lt;&gt;"",OR($NL15=INDEX($EJ$2:$EJ$13,$MM15),$NL15=INDEX($EK$2:$EK$13,$MM15))),1,0))</f>
        <v/>
      </c>
      <c r="NV15" s="155">
        <f>IF($NH15=0,0,IF(INDEX($W$2:$W$11,$NH15)="",0,IF(COUNTIF(INDEX($EJ$2:$EN$13,$MM15,0),INDEX($W$2:$W$11,$NH15))=0,1,0)))</f>
        <v/>
      </c>
      <c r="NW15" s="155">
        <f>IF(OR($NM15=0,$NI15=""),0,IF(COUNTIF(INDEX($EJ$2:$EN$13,$MM15,0),$NI15)=0,1,0))</f>
        <v/>
      </c>
      <c r="NX15" s="155">
        <f>IF(OR($NN15=0,$NJ15=""),0,IF(COUNTIF(INDEX($EJ$2:$EN$13,$MM15,0),$NJ15)=0,1,0))</f>
        <v/>
      </c>
      <c r="NY15" s="155">
        <f>IF(OR($NO15=0,$NK15=""),0,IF(COUNTIF(INDEX($EJ$2:$EN$13,$MM15,0),$NK15)=0,1,0))</f>
        <v/>
      </c>
      <c r="NZ15" s="155">
        <f>IF(OR($NP15=0,$NL15=""),0,IF(COUNTIF(INDEX($EJ$2:$EN$13,$MM15,0),$NL15)=0,1,0))</f>
        <v/>
      </c>
      <c r="OA15" s="155">
        <f>IFERROR(VLOOKUP($MV15,$AV$2:$BA$84,4,FALSE),0)+IFERROR(VLOOKUP($MW15,$AV$2:$BA$84,4,FALSE),0)+IFERROR(VLOOKUP($MX15,$AV$2:$BA$84,4,FALSE),0)+IFERROR(VLOOKUP($MY15,$AV$2:$BA$84,4,FALSE),0)</f>
        <v/>
      </c>
      <c r="OB15" s="155">
        <f>IFERROR(VLOOKUP($MV15,$AV$2:$BA$84,6,FALSE),0)+IFERROR(VLOOKUP($MW15,$AV$2:$BA$84,6,FALSE),0)+IFERROR(VLOOKUP($MX15,$AV$2:$BA$84,6,FALSE),0)+IFERROR(VLOOKUP($MY15,$AV$2:$BA$84,6,FALSE),0)</f>
        <v/>
      </c>
      <c r="OC15" s="155">
        <f>TEXTJOIN(", ",TRUE,IF(IFERROR(VLOOKUP($MV15,$AV$2:$BA$84,5,FALSE),0)=1,$MV15,""),IF(IFERROR(VLOOKUP($MW15,$AV$2:$BA$84,5,FALSE),0)=1,$MW15,""),IF(IFERROR(VLOOKUP($MX15,$AV$2:$BA$84,5,FALSE),0)=1,$MX15,""),IF(IFERROR(VLOOKUP($MY15,$AV$2:$BA$84,5,FALSE),0)=1,$MY15,""))</f>
        <v/>
      </c>
      <c r="OD15" s="155">
        <f>IF($NH15=0,0,INDEX($Y$2:$Y$11,$NH15))</f>
        <v/>
      </c>
      <c r="OE15" s="155">
        <f>IF($NH15=0,0,INDEX($Z$2:$Z$11,$NH15))</f>
        <v/>
      </c>
      <c r="OF15" s="155">
        <f>IF($NH15=0,0,INDEX($AB$2:$AB$11,$NH15))</f>
        <v/>
      </c>
      <c r="OG15" s="155">
        <f>IFERROR(VLOOKUP($MZ15,$BC$2:$BG$24,3,FALSE),0)</f>
        <v/>
      </c>
      <c r="OH15" s="155">
        <f>IFERROR(VLOOKUP($NA15,$BC$2:$BG$24,3,FALSE),0)</f>
        <v/>
      </c>
      <c r="OI15" s="155">
        <f>IFERROR(VLOOKUP($MZ15,$BC$2:$BG$24,2,FALSE),"")</f>
        <v/>
      </c>
      <c r="OJ15" s="155">
        <f>IFERROR(VLOOKUP($NA15,$BC$2:$BG$24,2,FALSE),"")</f>
        <v/>
      </c>
      <c r="OK15" s="155">
        <f>COUNTIF($NQ15:$NU15,1)</f>
        <v/>
      </c>
      <c r="OL15" s="155">
        <f>COUNTIF($NQ15:$NU15,2)</f>
        <v/>
      </c>
      <c r="OM15" s="155">
        <f>COUNTIF($NQ15:$NU15,3)</f>
        <v/>
      </c>
      <c r="ON15" s="155">
        <f>COUNTIF($NQ15:$NU15,4)</f>
        <v/>
      </c>
      <c r="OO15" s="155">
        <f>COUNTIF($NQ15:$NU15,5)</f>
        <v/>
      </c>
      <c r="OP15" s="155">
        <f>COUNTIF($NQ15:$NU15,6)</f>
        <v/>
      </c>
      <c r="OQ15" s="155">
        <f>COUNTIF($OG15:$OH15,1)</f>
        <v/>
      </c>
      <c r="OR15" s="155">
        <f>COUNTIF($OG15:$OH15,2)+$OD15</f>
        <v/>
      </c>
      <c r="OS15" s="155">
        <f>COUNTIF($MV15:$MY15,"?*")</f>
        <v/>
      </c>
      <c r="OT15" s="155">
        <f>COUNTIF($MZ15:$NA15,"?*")+$OD15</f>
        <v/>
      </c>
      <c r="OU15" s="155">
        <f>IF($MQ15=0,0,SUMPRODUCT($OK15:$OP15,INDEX($I$2:$N$8,MAX(1,$MQ15),0)))</f>
        <v/>
      </c>
      <c r="OV15" s="155">
        <f>IF($MQ15=0,0,$OQ15*CEILING($MQ15/2,1)+$OR15*$MQ15)</f>
        <v/>
      </c>
      <c r="OW15" s="155">
        <f>MIN(2*$MQ15,$OV15)</f>
        <v/>
      </c>
      <c r="OX15" s="155">
        <f>MIN($OW15,$OU15)</f>
        <v/>
      </c>
      <c r="OY15" s="155">
        <f>$OW15-$OX15</f>
        <v/>
      </c>
      <c r="OZ15" s="155">
        <f>IF($MQ15=0,0,INDEX($P$2:$P$8,MAX(1,$MQ15)))</f>
        <v/>
      </c>
      <c r="PA15" s="155">
        <f>$OZ15-$OU15+$OX15</f>
        <v/>
      </c>
      <c r="PB15" s="155">
        <f>IF($MQ15=0,MAX(0,$NE15-IF($OS15&gt;0,1,0)),MAX(0,$PA15))</f>
        <v/>
      </c>
      <c r="PC15" s="155">
        <f>IF($MQ15=0,0,(IF(COUNTIF($MV15:$MY15,"Salto")&gt;0,1,0)+IF(COUNTIF($MV15:$MY15,"Queima")&gt;0,1,0)+IF(COUNTIF($MV15:$MY15,"Estilhaço")&gt;0,1,0))*FLOOR($PB15/2,1))</f>
        <v/>
      </c>
      <c r="PD15" s="155">
        <f>MAX(0,2-SUMPRODUCT($OK15:$OP15,$I$2:$N$2)+MIN(2,$OQ15*1+$OR15*1,SUMPRODUCT($OK15:$OP15,$I$2:$N$2)))</f>
        <v/>
      </c>
      <c r="PE15" s="155">
        <f>MAX(0,4-SUMPRODUCT($OK15:$OP15,$I$3:$N$3)+MIN(4,$OQ15*1+$OR15*2,SUMPRODUCT($OK15:$OP15,$I$3:$N$3)))</f>
        <v/>
      </c>
      <c r="PF15" s="155">
        <f>MAX(0,6-SUMPRODUCT($OK15:$OP15,$I$4:$N$4)+MIN(6,$OQ15*2+$OR15*3,SUMPRODUCT($OK15:$OP15,$I$4:$N$4)))</f>
        <v/>
      </c>
      <c r="PG15" s="155">
        <f>MAX(0,9-SUMPRODUCT($OK15:$OP15,$I$5:$N$5)+MIN(8,$OQ15*2+$OR15*4,SUMPRODUCT($OK15:$OP15,$I$5:$N$5)))</f>
        <v/>
      </c>
      <c r="PH15" s="155">
        <f>MAX(0,11-SUMPRODUCT($OK15:$OP15,$I$6:$N$6)+MIN(10,$OQ15*3+$OR15*5,SUMPRODUCT($OK15:$OP15,$I$6:$N$6)))</f>
        <v/>
      </c>
      <c r="PI15" s="155">
        <f>MAX(0,13-SUMPRODUCT($OK15:$OP15,$I$7:$N$7)+MIN(12,$OQ15*3+$OR15*6,SUMPRODUCT($OK15:$OP15,$I$7:$N$7)))</f>
        <v/>
      </c>
      <c r="PJ15" s="155">
        <f>MAX(0,16-SUMPRODUCT($OK15:$OP15,$I$8:$N$8)+MIN(14,$OQ15*4+$OR15*7,SUMPRODUCT($OK15:$OP15,$I$8:$N$8)))</f>
        <v/>
      </c>
      <c r="PK15" s="155">
        <f>IF($OE15=2,3*$PD15&amp;" de vida temp.",IF($OE15=3,"sem dano",IF($PD15=0,IF($OE15=1,"sem cura","sem dano"),IF($OE15=1,"cura ","")&amp;$PD15&amp;"d8")))</f>
        <v/>
      </c>
      <c r="PL15" s="155">
        <f>IF($OE15=2,3*$PE15&amp;" de vida temp.",IF($OE15=3,"sem dano",IF($PE15=0,IF($OE15=1,"sem cura","sem dano"),IF($OE15=1,"cura ","")&amp;$PE15&amp;"d8")))</f>
        <v/>
      </c>
      <c r="PM15" s="155">
        <f>IF($OE15=2,3*$PF15&amp;" de vida temp.",IF($OE15=3,"sem dano",IF($PF15=0,IF($OE15=1,"sem cura","sem dano"),IF($OE15=1,"cura ","")&amp;$PF15&amp;"d8")))</f>
        <v/>
      </c>
      <c r="PN15" s="155">
        <f>IF($OE15=2,3*$PG15&amp;" de vida temp.",IF($OE15=3,"sem dano",IF($PG15=0,IF($OE15=1,"sem cura","sem dano"),IF($OE15=1,"cura ","")&amp;$PG15&amp;"d8")))</f>
        <v/>
      </c>
      <c r="PO15" s="155">
        <f>IF($OE15=2,3*$PH15&amp;" de vida temp.",IF($OE15=3,"sem dano",IF($PH15=0,IF($OE15=1,"sem cura","sem dano"),IF($OE15=1,"cura ","")&amp;$PH15&amp;"d8")))</f>
        <v/>
      </c>
      <c r="PP15" s="155">
        <f>IF($OE15=2,3*$PI15&amp;" de vida temp.",IF($OE15=3,"sem dano",IF($PI15=0,IF($OE15=1,"sem cura","sem dano"),IF($OE15=1,"cura ","")&amp;$PI15&amp;"d8")))</f>
        <v/>
      </c>
      <c r="PQ15" s="155">
        <f>IF($OE15=2,3*$PJ15&amp;" de vida temp.",IF($OE15=3,"sem dano",IF($PJ15=0,IF($OE15=1,"sem cura","sem dano"),IF($OE15=1,"cura ","")&amp;$PJ15&amp;"d8")))</f>
        <v/>
      </c>
      <c r="PR15" s="155">
        <f>IF($NB15=0,"",TEXTJOIN(" · ",TRUE,IF($MO15&gt;$NC15,"Este lugar abre no nível "&amp;$MO15,""),IF($MQ15&gt;$ND15,"Classe "&amp;$MQ15&amp;": o nível "&amp;$NC15&amp;" libera até a "&amp;$ND15,""),IF($NV15=1,"A Forma "&amp;$MS15&amp;" pede "&amp;INDEX($W$2:$W$11,$NH15)&amp;" aberta",""),IF(AND($MQ15=0,$NH15&gt;0,IF($NH15=0,0,INDEX($AF$2:$AF$11,$NH15))=0),$MS15&amp;" não existe na Classe 0",""),IF($NW15=1,"Família Fechada: "&amp;$MV15,""),IF($NX15=1,"Família Fechada: "&amp;$MW15,""),IF($NY15=1,"Família Fechada: "&amp;$MX15,""),IF($NZ15=1,"Família Fechada: "&amp;$MY15,""),IF(AND($MQ15&gt;0,$OS15&gt;INDEX($O$2:$O$8,MAX(1,$MQ15))),$OS15&amp;" Melhorias: a Classe "&amp;$MQ15&amp;" aceita "&amp;INDEX($O$2:$O$8,MAX(1,$MQ15)),""),IF(AND($MQ15=0,$OS15&gt;1),"A básica aceita uma Melhoria",""),IF(AND($MQ15=0,COUNTIF($NM15:$NP15,"&gt;1")&gt;0),"A básica só aceita Melhoria Leve",""),IF(AND($MQ15&gt;0,$OT15&gt;2),$OT15&amp;" Restrições"&amp;IF($OD15=1,", contando a que a Forma "&amp;$MS15&amp;" já traz","")&amp;": o limite é 2",""),IF(AND($MQ15=0,COUNTIF($MZ15:$NA15,"?*")&gt;1),"A básica aceita uma Restrição Leve",""),IF(AND($MQ15=0,COUNTIF($OG15:$OH15,2)&gt;0),"A básica só aceita Restrição Leve",""),IF(AND($MQ15&gt;0,$PA15&lt;0),"Orçamento estourado: faltam "&amp;(-$PA15)&amp;IF($PA15&lt;-1," pontos"," ponto"),""),IF(IFERROR(VLOOKUP($MZ15,$BC$2:$BG$24,4,FALSE),0)+IFERROR(VLOOKUP($NA15,$BC$2:$BG$24,4,FALSE),0)&gt;1,$OI15&amp;" e "&amp;$OJ15&amp;" são as duas de frequência",""),IF(AND((COUNTIF($MV15:$MY15,"Rápido")+COUNTIF($OI15:$OJ15,"Rápido"))&gt;0,(COUNTIF($MV15:$MY15,"Atrasar")+COUNTIF($OI15:$OJ15,"Atrasar"))&gt;0),"Rápido não entra com Atrasar",""),IF(AND((COUNTIF($MV15:$MY15,"Reação")+COUNTIF($OI15:$OJ15,"Reação"))&gt;0,(COUNTIF($MV15:$MY15,"Rápido")+COUNTIF($OI15:$OJ15,"Rápido"))&gt;0),"Reação não entra com Rápido",""),IF(AND((COUNTIF($MV15:$MY15,"Reação")+COUNTIF($OI15:$OJ15,"Reação"))&gt;0,(COUNTIF($MV15:$MY15,"Armado")+COUNTIF($OI15:$OJ15,"Armado"))&gt;0),"Reação não entra com Armado",""),IF(AND((COUNTIF($MV15:$MY15,"Reação")+COUNTIF($OI15:$OJ15,"Reação"))&gt;0,(COUNTIF($MV15:$MY15,"Atrasar")+COUNTIF($OI15:$OJ15,"Atrasar"))&gt;0),"Reação não entra com Atrasar",""),IF(AND((COUNTIF($MV15:$MY15,"Reação")+COUNTIF($OI15:$OJ15,"Reação"))&gt;0,(COUNTIF($MV15:$MY15,"Parado")+COUNTIF($OI15:$OJ15,"Parado"))&gt;0),"Reação não entra com Parado",""),IF(AND((COUNTIF($MV15:$MY15,"Atrasar")+COUNTIF($OI15:$OJ15,"Atrasar"))&gt;0,(COUNTIF($MV15:$MY15,"Parado")+COUNTIF($OI15:$OJ15,"Parado"))&gt;0),"Atrasar não entra com Parado",""),IF(AND((COUNTIF($MV15:$MY15,"Armado")+COUNTIF($OI15:$OJ15,"Armado"))&gt;0,(COUNTIF($MV15:$MY15,"Carregar")+COUNTIF($OI15:$OJ15,"Carregar"))&gt;0),"Armado não entra com Carregar",""),IF(AND(COUNTIF($OI15:$OJ15,"Corpo a Corpo")&gt;0,$OD15=0,OR($MS15="Cone",$MS15="Linha")),"Corpo a Corpo não entra em "&amp;$MS15,""),IF(AND(COUNTIF($OI15:$OJ15,"Corpo a Corpo")&gt;0,$OD15=1),"A Forma "&amp;$MS15&amp;" já traz o Corpo a Corpo",""),IF(AND(COUNTIF($OI15:$OJ15,"Tudo ou Nada")&gt;0,$OF15=0),"Tudo ou Nada só entra em habilidade de Teste de Resistência",""),IF(AND(COUNTIF($MV15:$MY15,"Inescapável")&gt;0,OR($OS15&gt;1,$OT15&gt;0)),"Inescapável não aceita outra peça",""),IF(AND($MQ15&gt;0,$PB15*IF(COUNTIF($MV15:$MY15,"Remate")&gt;0,1.25,1)+$PC15&gt;4*$MQ15),($PB15*IF(COUNTIF($MV15:$MY15,"Remate")&gt;0,1.25,1)+$PC15)&amp;" dados somando repetições"&amp;IF(COUNTIF($MV15:$MY15,"Remate")&gt;0," e o Remate","")&amp;": o teto da Classe "&amp;$MQ15&amp;" é "&amp;4*$MQ15,"")))</f>
        <v/>
      </c>
      <c r="PS15" s="155">
        <f>IF($PR15="",0,(LEN($PR15)-LEN(SUBSTITUTE($PR15," · ","")))/3+1)</f>
        <v/>
      </c>
      <c r="PT15" s="155">
        <f>IF($NB15=0,"",TEXTJOIN(" · ",TRUE,IF($OV15&gt;2*$MQ15,"A devolução parou no teto de "&amp;2*$MQ15,""),IF($OY15&gt;0,"Devolução perdida: "&amp;$OY15&amp;IF($OY15&gt;1," pontos"," ponto")&amp;" sem peça para pagar",""),IF(AND($OA15&gt;0,AND($MQ15&gt;0,$OE15=0),$PB15=0),"Controle sem dano: uma rodada a mais e CD +2",""),IF(AND($OA15&gt;0,AND($MQ15&gt;0,$OE15=0),$PB15&gt;0,$PB15&lt;=$MQ15),"Controle com saldo até a Classe: uma rodada a mais",""),IF(AND($MQ15&gt;0,$OC15&lt;&gt;""),"Efeito de "&amp;$OC15&amp;" pela Classe "&amp;MAX(1,$MQ15-1),"")))</f>
        <v/>
      </c>
      <c r="PU15" s="155">
        <f>IF($PT15="",0,(LEN($PT15)-LEN(SUBSTITUTE($PT15," · ","")))/3+1)</f>
        <v/>
      </c>
      <c r="PV15" s="155">
        <f>IF($NB15=0,IF($OS15+COUNTIF($MZ15:$NA15,"?*")&gt;0,"Dê um nome",""),IF($PS15&gt;0,"⚠ "&amp;$PS15&amp;IF($PS15&gt;1," erros"," erro"),IF($PU15&gt;0,"! "&amp;$PU15&amp;IF($PU15&gt;1," avisos"," aviso"),"Na regra")))</f>
        <v/>
      </c>
      <c r="PW15" s="155">
        <f>IF($NB15=0,"",IF($PS15+$PU15=0,"Dentro das regras que a ficha confere",$PR15&amp;IF(AND($PS15&gt;0,$PU15&gt;0)," · ","")&amp;$PT15))</f>
        <v/>
      </c>
      <c r="PX15" s="155">
        <f>IF($MO15&gt;$NC15,$MP15&amp;" · ABRE NO NÍVEL "&amp;$MO15,$MP15)</f>
        <v/>
      </c>
      <c r="PY15" s="155">
        <f>IF($NB15=0,"",IF($MQ15=0,"Sem PE",3*$MQ15&amp;" PE"))</f>
        <v/>
      </c>
      <c r="PZ15" s="155">
        <f>IF($NB15=0,"",IF($MQ15=0,"A atuação básica dela",IF(COUNTIF($OI15:$OJ15,"Atrasar")&gt;0,"Sua Ação Completa",IF(COUNTIF($MV15:$MY15,"Rápido")&gt;0,"Sua Bônus",IF(COUNTIF($MV15:$MY15,"Reação")&gt;0,"Sua Reação","Sua Padrão")))&amp;" + a básica dela"&amp;IF(COUNTIF($MV15:$MY15,"Reação")&gt;0," e a coletiva","")&amp;IF(COUNTIF($OI15:$OJ15,"Carregar")&gt;0," · em dois turnos","")))</f>
        <v/>
      </c>
      <c r="QA15" s="155">
        <f>IF($MU15&lt;&gt;"",$MU15,IF($NH15=0,"",INDEX($AA$2:$AA$11,$NH15)))</f>
        <v/>
      </c>
      <c r="QB15" s="155">
        <f>IF(OR($NB15=0,$NH15=0),"",IF(COUNTIF($MV15:$MY15,"Inescapável")&gt;0,"Automático",IF($QA15="Ataque",IF($NF15="","Ataque","Ataque "&amp;IF(($NF15+2*IF(COUNTIF($MV15:$MY15,"Precisão")&gt;0,1,0))&gt;=0,"+","−")&amp;ABS(($NF15+2*IF(COUNTIF($MV15:$MY15,"Precisão")&gt;0,1,0))))&amp;IF($OB15&gt;0," · TR"&amp;IF($NG15="",""," CD "&amp;$NG15),""),IF(LEFT($QA15,2)="TR",$QA15&amp;IF($NG15="",""," · CD "&amp;$NG15)&amp;IF(COUNTIF($MV15:$MY15,"Certeiro")&gt;0," · metade",""),"Sem rolagem"))))</f>
        <v/>
      </c>
      <c r="QC15" s="155">
        <f>IF(OR($NB15=0,$NH15=0),"",IF($MQ15=0,IF(OR($OE15&gt;=1,$PB15=0),"Sem dano",$PB15&amp;"d6"&amp;IF($MT15="",""," "&amp;$MT15)),IF(OR($OE15&gt;=1,$PB15=0),UPPER(LEFT(INDEX($PK15:$PQ15,1,MAX(1,$MQ15)),1))&amp;MID(INDEX($PK15:$PQ15,1,MAX(1,$MQ15)),2,99),UPPER(LEFT(INDEX($PK15:$PQ15,1,MAX(1,$MQ15)),1))&amp;MID(INDEX($PK15:$PQ15,1,MAX(1,$MQ15)),2,99)&amp;IF($MT15="",""," "&amp;$MT15)&amp;IF($PC15&gt;0," · +"&amp;$PC15&amp;"d8",""))))</f>
        <v/>
      </c>
      <c r="QD15" s="155">
        <f>COUNTIF($MV15:$MY15,"Longe")+3*COUNTIF($MV15:$MY15,"Muito Longe")</f>
        <v/>
      </c>
      <c r="QE15" s="155">
        <f>COUNTIF($MV15:$MY15,"Maior")+3*COUNTIF($MV15:$MY15,"Muito Maior")</f>
        <v/>
      </c>
      <c r="QF15" s="155">
        <f>IF($NH15=0,0,CHOOSE(1+INDEX($AC$2:$AC$11,$NH15),0,$QD15,$QE15,$QD15+$QE15))</f>
        <v/>
      </c>
      <c r="QG15" s="155">
        <f>IF($NH15=0,0,CHOOSE(1+INDEX($AD$2:$AD$11,$NH15),0,$QD15,$QE15,$QD15+$QE15))</f>
        <v/>
      </c>
      <c r="QH15" s="155">
        <f>IF(OR($NB15=0,$NH15=0),"",INDEX($AI$2:$AN$41,($NH15-1)*4+IF($MQ15=0,1,IF($MQ15&lt;=5,2,IF($MQ15=6,3,4))),1+MIN(5,$QF15))&amp;INDEX($AO$2:$AT$41,($NH15-1)*4+IF($MQ15=0,1,IF($MQ15&lt;=5,2,IF($MQ15=6,3,4))),1+MIN(5,$QG15))&amp;IF(INDEX($AE$2:$AE$11,$NH15)=1,IF(COUNTIF($MV15:$MY15,"Mais Um")&gt;0," · +"&amp;COUNTIF($MV15:$MY15,"Mais Um")&amp;IF(COUNTIF($MV15:$MY15,"Mais Um")&gt;1," alvos"," alvo"),"")&amp;IF(COUNTIF($MV15:$MY15,"Rajada")&gt;0,IF($MQ15=0," · 1 tiro"," · "&amp;(MAX(1,$MQ15-1)+1)&amp;" tiros"),""),""))</f>
        <v/>
      </c>
      <c r="QI15" s="155">
        <f>IF($NB15=0,"",IF($MQ15=0,$NE15&amp;"d6"&amp;IF($OS15&gt;0," − 1 = "&amp;$PB15&amp;"d6"," da básica do nível "&amp;$NC15),$OZ15&amp;" − "&amp;$OU15&amp;" + "&amp;$OX15&amp;" = "&amp;$PA15&amp;" · teto "&amp;4*$MQ15&amp;"d8"&amp;IF($OD15=1," · a Forma devolve "&amp;$MQ15,"")&amp;IF($OY15&gt;0," · perde "&amp;$OY15,"")))</f>
        <v/>
      </c>
      <c r="QJ15" s="155">
        <f>IF($NB15=0,"",IF($MQ15=0,"A básica não amplia: os dados dela sobem com o nível",IF($MQ15&gt;=$ND15,"Já está na maior Classe que o nível liberou",TEXTJOIN(" · ",TRUE,IF(AND(2&gt;$MQ15,2&lt;=$ND15),"2 → "&amp;$PL15&amp;", 6 PE",""),IF(AND(3&gt;$MQ15,3&lt;=$ND15),"3 → "&amp;$PM15&amp;", 9 PE",""),IF(AND(4&gt;$MQ15,4&lt;=$ND15),"4 → "&amp;$PN15&amp;", 12 PE",""),IF(AND(5&gt;$MQ15,5&lt;=$ND15),"5 → "&amp;$PO15&amp;", 15 PE",""),IF(AND(6&gt;$MQ15,6&lt;=$ND15),"6 → "&amp;$PP15&amp;", 18 PE",""),IF(AND(7&gt;$MQ15,7&lt;=$ND15),"7 → "&amp;$PQ15&amp;", 21 PE","")))))</f>
        <v/>
      </c>
      <c r="QK15" s="155">
        <f>IF(OR($NB15=0,$NM15=0),"",IF($MQ15=0,"−1 dado","−"&amp;INDEX($I$2:$N$8,MAX(1,$MQ15),MAX(1,$NR15))&amp;" · "&amp;CHOOSE(MAX(1,$NR15),"Leve","Média","Pesada","Leve · Livre","Média · Livre","Pesada · Livre")))</f>
        <v/>
      </c>
      <c r="QL15" s="155">
        <f>IF(OR($NB15=0,$NN15=0),"",IF($MQ15=0,"−1 dado","−"&amp;INDEX($I$2:$N$8,MAX(1,$MQ15),MAX(1,$NS15))&amp;" · "&amp;CHOOSE(MAX(1,$NS15),"Leve","Média","Pesada","Leve · Livre","Média · Livre","Pesada · Livre")))</f>
        <v/>
      </c>
      <c r="QM15" s="155">
        <f>IF(OR($NB15=0,$NO15=0),"",IF($MQ15=0,"−1 dado","−"&amp;INDEX($I$2:$N$8,MAX(1,$MQ15),MAX(1,$NT15))&amp;" · "&amp;CHOOSE(MAX(1,$NT15),"Leve","Média","Pesada","Leve · Livre","Média · Livre","Pesada · Livre")))</f>
        <v/>
      </c>
      <c r="QN15" s="155">
        <f>IF(OR($NB15=0,$NP15=0),"",IF($MQ15=0,"−1 dado","−"&amp;INDEX($I$2:$N$8,MAX(1,$MQ15),MAX(1,$NU15))&amp;" · "&amp;CHOOSE(MAX(1,$NU15),"Leve","Média","Pesada","Leve · Livre","Média · Livre","Pesada · Livre")))</f>
        <v/>
      </c>
      <c r="QO15" s="155">
        <f>IF(OR($NB15=0,$MZ15=""),"",IF($MQ15=0,"não devolve","+"&amp;IF($OG15=1,CEILING($MQ15/2,1),$MQ15)))</f>
        <v/>
      </c>
      <c r="QP15" s="155">
        <f>IF(OR($NB15=0,$NA15=""),"",IF($MQ15=0,"não devolve","+"&amp;IF($OH15=1,CEILING($MQ15/2,1),$MQ15)))</f>
        <v/>
      </c>
    </row>
    <row r="16">
      <c r="AH16" s="153" t="inlineStr">
        <is>
          <t>Aura · classe 6</t>
        </is>
      </c>
      <c r="AI16" s="153" t="inlineStr">
        <is>
          <t>Raio 3 m, nela</t>
        </is>
      </c>
      <c r="AJ16" s="153" t="inlineStr">
        <is>
          <t>Raio 4,5 m, nela</t>
        </is>
      </c>
      <c r="AK16" s="153" t="inlineStr">
        <is>
          <t>Raio 6 m, nela</t>
        </is>
      </c>
      <c r="AL16" s="153" t="inlineStr">
        <is>
          <t>Raio 9 m, nela</t>
        </is>
      </c>
      <c r="AM16" s="153" t="inlineStr">
        <is>
          <t>Raio 15 m, nela</t>
        </is>
      </c>
      <c r="AN16" s="153" t="inlineStr">
        <is>
          <t>Raio 15 m, nela</t>
        </is>
      </c>
      <c r="AO16" s="153" t="inlineStr"/>
      <c r="AP16" s="153" t="inlineStr"/>
      <c r="AQ16" s="153" t="inlineStr"/>
      <c r="AR16" s="153" t="inlineStr"/>
      <c r="AS16" s="153" t="inlineStr"/>
      <c r="AT16" s="153" t="inlineStr"/>
      <c r="AV16" s="153" t="inlineStr">
        <is>
          <t>Contorno</t>
        </is>
      </c>
      <c r="AW16" s="153" t="inlineStr">
        <is>
          <t>Área</t>
        </is>
      </c>
      <c r="AX16" s="155" t="n">
        <v>1</v>
      </c>
      <c r="AY16" s="155" t="n">
        <v>0</v>
      </c>
      <c r="AZ16" s="155" t="n">
        <v>0</v>
      </c>
      <c r="BA16" s="155" t="n">
        <v>0</v>
      </c>
      <c r="BC16" s="153" t="inlineStr">
        <is>
          <t>Condicional (Leve)</t>
        </is>
      </c>
      <c r="BD16" s="153" t="inlineStr">
        <is>
          <t>Condicional</t>
        </is>
      </c>
      <c r="BE16" s="155" t="n">
        <v>1</v>
      </c>
      <c r="BF16" s="155" t="n">
        <v>1</v>
      </c>
      <c r="BG16" s="153" t="inlineStr">
        <is>
          <t>Condicional (Leve)</t>
        </is>
      </c>
      <c r="CC16" s="153" t="inlineStr">
        <is>
          <t>Lidar com Animais</t>
        </is>
      </c>
      <c r="CD16" s="153" t="inlineStr">
        <is>
          <t>Inteligência</t>
        </is>
      </c>
      <c r="CH16" s="153" t="inlineStr">
        <is>
          <t>Alma</t>
        </is>
      </c>
      <c r="JR16" s="155">
        <f>IF(OR($AW16="",COUNTIF($EJ$2:$EN$2,$AW16)&gt;0),$AV16,"")</f>
        <v/>
      </c>
      <c r="JS16" s="155">
        <f>IF(AND($AX16=1,OR($AW16="",COUNTIF($EJ$2:$EN$2,$AW16)&gt;0)),$AV16,"")</f>
        <v/>
      </c>
      <c r="JX16" s="155">
        <f>IF(OR($AW16="",COUNTIF($EJ$3:$EN$3,$AW16)&gt;0),$AV16,"")</f>
        <v/>
      </c>
      <c r="JY16" s="155">
        <f>IF(AND($AX16=1,OR($AW16="",COUNTIF($EJ$3:$EN$3,$AW16)&gt;0)),$AV16,"")</f>
        <v/>
      </c>
      <c r="KD16" s="155">
        <f>IF(OR($AW16="",COUNTIF($EJ$4:$EN$4,$AW16)&gt;0),$AV16,"")</f>
        <v/>
      </c>
      <c r="KE16" s="155">
        <f>IF(AND($AX16=1,OR($AW16="",COUNTIF($EJ$4:$EN$4,$AW16)&gt;0)),$AV16,"")</f>
        <v/>
      </c>
      <c r="KJ16" s="155">
        <f>IF(OR($AW16="",COUNTIF($EJ$5:$EN$5,$AW16)&gt;0),$AV16,"")</f>
        <v/>
      </c>
      <c r="KK16" s="155">
        <f>IF(AND($AX16=1,OR($AW16="",COUNTIF($EJ$5:$EN$5,$AW16)&gt;0)),$AV16,"")</f>
        <v/>
      </c>
      <c r="KP16" s="155">
        <f>IF(OR($AW16="",COUNTIF($EJ$6:$EN$6,$AW16)&gt;0),$AV16,"")</f>
        <v/>
      </c>
      <c r="KQ16" s="155">
        <f>IF(AND($AX16=1,OR($AW16="",COUNTIF($EJ$6:$EN$6,$AW16)&gt;0)),$AV16,"")</f>
        <v/>
      </c>
      <c r="KV16" s="155">
        <f>IF(OR($AW16="",COUNTIF($EJ$7:$EN$7,$AW16)&gt;0),$AV16,"")</f>
        <v/>
      </c>
      <c r="KW16" s="155">
        <f>IF(AND($AX16=1,OR($AW16="",COUNTIF($EJ$7:$EN$7,$AW16)&gt;0)),$AV16,"")</f>
        <v/>
      </c>
      <c r="LB16" s="155">
        <f>IF(OR($AW16="",COUNTIF($EJ$8:$EN$8,$AW16)&gt;0),$AV16,"")</f>
        <v/>
      </c>
      <c r="LC16" s="155">
        <f>IF(AND($AX16=1,OR($AW16="",COUNTIF($EJ$8:$EN$8,$AW16)&gt;0)),$AV16,"")</f>
        <v/>
      </c>
      <c r="LH16" s="155">
        <f>IF(OR($AW16="",COUNTIF($EJ$9:$EN$9,$AW16)&gt;0),$AV16,"")</f>
        <v/>
      </c>
      <c r="LI16" s="155">
        <f>IF(AND($AX16=1,OR($AW16="",COUNTIF($EJ$9:$EN$9,$AW16)&gt;0)),$AV16,"")</f>
        <v/>
      </c>
      <c r="LN16" s="155">
        <f>IF(OR($AW16="",COUNTIF($EJ$10:$EN$10,$AW16)&gt;0),$AV16,"")</f>
        <v/>
      </c>
      <c r="LO16" s="155">
        <f>IF(AND($AX16=1,OR($AW16="",COUNTIF($EJ$10:$EN$10,$AW16)&gt;0)),$AV16,"")</f>
        <v/>
      </c>
      <c r="LT16" s="155">
        <f>IF(OR($AW16="",COUNTIF($EJ$11:$EN$11,$AW16)&gt;0),$AV16,"")</f>
        <v/>
      </c>
      <c r="LU16" s="155">
        <f>IF(AND($AX16=1,OR($AW16="",COUNTIF($EJ$11:$EN$11,$AW16)&gt;0)),$AV16,"")</f>
        <v/>
      </c>
      <c r="LZ16" s="155">
        <f>IF(OR($AW16="",COUNTIF($EJ$12:$EN$12,$AW16)&gt;0),$AV16,"")</f>
        <v/>
      </c>
      <c r="MA16" s="155">
        <f>IF(AND($AX16=1,OR($AW16="",COUNTIF($EJ$12:$EN$12,$AW16)&gt;0)),$AV16,"")</f>
        <v/>
      </c>
      <c r="MF16" s="155">
        <f>IF(OR($AW16="",COUNTIF($EJ$13:$EN$13,$AW16)&gt;0),$AV16,"")</f>
        <v/>
      </c>
      <c r="MG16" s="155">
        <f>IF(AND($AX16=1,OR($AW16="",COUNTIF($EJ$13:$EN$13,$AW16)&gt;0)),$AV16,"")</f>
        <v/>
      </c>
      <c r="ML16" s="153" t="inlineStr">
        <is>
          <t>Ficha 2 · Especial 1</t>
        </is>
      </c>
      <c r="MM16" s="155" t="n">
        <v>2</v>
      </c>
      <c r="MN16" s="155" t="n">
        <v>1</v>
      </c>
      <c r="MO16" s="155" t="n">
        <v>1</v>
      </c>
      <c r="MP16" s="153" t="inlineStr">
        <is>
          <t>ESPECIAL 1</t>
        </is>
      </c>
      <c r="MQ16" s="155">
        <f>MAX(1,MIN(7,N('INVOCAÇÕES'!$O$256)))</f>
        <v/>
      </c>
      <c r="MR16" s="155">
        <f>'INVOCAÇÕES'!$P$256&amp;""</f>
        <v/>
      </c>
      <c r="MS16" s="155">
        <f>'INVOCAÇÕES'!$O$261&amp;""</f>
        <v/>
      </c>
      <c r="MT16" s="155">
        <f>'INVOCAÇÕES'!$O$262&amp;""</f>
        <v/>
      </c>
      <c r="MU16" s="155">
        <f>'INVOCAÇÕES'!$Q$262&amp;""</f>
        <v/>
      </c>
      <c r="MV16" s="155">
        <f>'INVOCAÇÕES'!$P$265&amp;""</f>
        <v/>
      </c>
      <c r="MW16" s="155">
        <f>'INVOCAÇÕES'!$P$266&amp;""</f>
        <v/>
      </c>
      <c r="MX16" s="155">
        <f>'INVOCAÇÕES'!$P$267&amp;""</f>
        <v/>
      </c>
      <c r="MY16" s="155">
        <f>'INVOCAÇÕES'!$P$268&amp;""</f>
        <v/>
      </c>
      <c r="MZ16" s="155">
        <f>'INVOCAÇÕES'!$P$269&amp;""</f>
        <v/>
      </c>
      <c r="NA16" s="155">
        <f>'INVOCAÇÕES'!$P$270&amp;""</f>
        <v/>
      </c>
      <c r="NB16" s="155">
        <f>IF($MR16&lt;&gt;"",1,0)</f>
        <v/>
      </c>
      <c r="NC16" s="155">
        <f>INDEX($FM$2:$FM$13,$MM16)</f>
        <v/>
      </c>
      <c r="ND16" s="155">
        <f>INDEX($FN$2:$FN$13,$MM16)</f>
        <v/>
      </c>
      <c r="NE16" s="155">
        <f>INDEX($FO$2:$FO$13,$MM16)</f>
        <v/>
      </c>
      <c r="NF16" s="155">
        <f>INDEX($FZ$2:$FZ$13,$MM16)</f>
        <v/>
      </c>
      <c r="NG16" s="155">
        <f>INDEX($GA$2:$GA$13,$MM16)</f>
        <v/>
      </c>
      <c r="NH16" s="155">
        <f>IFERROR(MATCH($MS16,$V$2:$V$11,0),0)</f>
        <v/>
      </c>
      <c r="NI16" s="155">
        <f>IFERROR(VLOOKUP($MV16,$AV$2:$BA$84,2,FALSE),"")</f>
        <v/>
      </c>
      <c r="NJ16" s="155">
        <f>IFERROR(VLOOKUP($MW16,$AV$2:$BA$84,2,FALSE),"")</f>
        <v/>
      </c>
      <c r="NK16" s="155">
        <f>IFERROR(VLOOKUP($MX16,$AV$2:$BA$84,2,FALSE),"")</f>
        <v/>
      </c>
      <c r="NL16" s="155">
        <f>IFERROR(VLOOKUP($MY16,$AV$2:$BA$84,2,FALSE),"")</f>
        <v/>
      </c>
      <c r="NM16" s="155">
        <f>IFERROR(VLOOKUP($MV16,$AV$2:$BA$84,3,FALSE),0)</f>
        <v/>
      </c>
      <c r="NN16" s="155">
        <f>IFERROR(VLOOKUP($MW16,$AV$2:$BA$84,3,FALSE),0)</f>
        <v/>
      </c>
      <c r="NO16" s="155">
        <f>IFERROR(VLOOKUP($MX16,$AV$2:$BA$84,3,FALSE),0)</f>
        <v/>
      </c>
      <c r="NP16" s="155">
        <f>IFERROR(VLOOKUP($MY16,$AV$2:$BA$84,3,FALSE),0)</f>
        <v/>
      </c>
      <c r="NQ16" s="155">
        <f>IF($MQ16=0,0,IF($NH16=0,0,INDEX($X$2:$X$11,$NH16)))</f>
        <v/>
      </c>
      <c r="NR16" s="155">
        <f>IF(OR($NM16=0,$MQ16=0),0,$NM16+3*IF(AND($NI16&lt;&gt;"",OR($NI16=INDEX($EJ$2:$EJ$13,$MM16),$NI16=INDEX($EK$2:$EK$13,$MM16))),1,0))</f>
        <v/>
      </c>
      <c r="NS16" s="155">
        <f>IF(OR($NN16=0,$MQ16=0),0,$NN16+3*IF(AND($NJ16&lt;&gt;"",OR($NJ16=INDEX($EJ$2:$EJ$13,$MM16),$NJ16=INDEX($EK$2:$EK$13,$MM16))),1,0))</f>
        <v/>
      </c>
      <c r="NT16" s="155">
        <f>IF(OR($NO16=0,$MQ16=0),0,$NO16+3*IF(AND($NK16&lt;&gt;"",OR($NK16=INDEX($EJ$2:$EJ$13,$MM16),$NK16=INDEX($EK$2:$EK$13,$MM16))),1,0))</f>
        <v/>
      </c>
      <c r="NU16" s="155">
        <f>IF(OR($NP16=0,$MQ16=0),0,$NP16+3*IF(AND($NL16&lt;&gt;"",OR($NL16=INDEX($EJ$2:$EJ$13,$MM16),$NL16=INDEX($EK$2:$EK$13,$MM16))),1,0))</f>
        <v/>
      </c>
      <c r="NV16" s="155">
        <f>IF($NH16=0,0,IF(INDEX($W$2:$W$11,$NH16)="",0,IF(COUNTIF(INDEX($EJ$2:$EN$13,$MM16,0),INDEX($W$2:$W$11,$NH16))=0,1,0)))</f>
        <v/>
      </c>
      <c r="NW16" s="155">
        <f>IF(OR($NM16=0,$NI16=""),0,IF(COUNTIF(INDEX($EJ$2:$EN$13,$MM16,0),$NI16)=0,1,0))</f>
        <v/>
      </c>
      <c r="NX16" s="155">
        <f>IF(OR($NN16=0,$NJ16=""),0,IF(COUNTIF(INDEX($EJ$2:$EN$13,$MM16,0),$NJ16)=0,1,0))</f>
        <v/>
      </c>
      <c r="NY16" s="155">
        <f>IF(OR($NO16=0,$NK16=""),0,IF(COUNTIF(INDEX($EJ$2:$EN$13,$MM16,0),$NK16)=0,1,0))</f>
        <v/>
      </c>
      <c r="NZ16" s="155">
        <f>IF(OR($NP16=0,$NL16=""),0,IF(COUNTIF(INDEX($EJ$2:$EN$13,$MM16,0),$NL16)=0,1,0))</f>
        <v/>
      </c>
      <c r="OA16" s="155">
        <f>IFERROR(VLOOKUP($MV16,$AV$2:$BA$84,4,FALSE),0)+IFERROR(VLOOKUP($MW16,$AV$2:$BA$84,4,FALSE),0)+IFERROR(VLOOKUP($MX16,$AV$2:$BA$84,4,FALSE),0)+IFERROR(VLOOKUP($MY16,$AV$2:$BA$84,4,FALSE),0)</f>
        <v/>
      </c>
      <c r="OB16" s="155">
        <f>IFERROR(VLOOKUP($MV16,$AV$2:$BA$84,6,FALSE),0)+IFERROR(VLOOKUP($MW16,$AV$2:$BA$84,6,FALSE),0)+IFERROR(VLOOKUP($MX16,$AV$2:$BA$84,6,FALSE),0)+IFERROR(VLOOKUP($MY16,$AV$2:$BA$84,6,FALSE),0)</f>
        <v/>
      </c>
      <c r="OC16" s="155">
        <f>TEXTJOIN(", ",TRUE,IF(IFERROR(VLOOKUP($MV16,$AV$2:$BA$84,5,FALSE),0)=1,$MV16,""),IF(IFERROR(VLOOKUP($MW16,$AV$2:$BA$84,5,FALSE),0)=1,$MW16,""),IF(IFERROR(VLOOKUP($MX16,$AV$2:$BA$84,5,FALSE),0)=1,$MX16,""),IF(IFERROR(VLOOKUP($MY16,$AV$2:$BA$84,5,FALSE),0)=1,$MY16,""))</f>
        <v/>
      </c>
      <c r="OD16" s="155">
        <f>IF($NH16=0,0,INDEX($Y$2:$Y$11,$NH16))</f>
        <v/>
      </c>
      <c r="OE16" s="155">
        <f>IF($NH16=0,0,INDEX($Z$2:$Z$11,$NH16))</f>
        <v/>
      </c>
      <c r="OF16" s="155">
        <f>IF($NH16=0,0,INDEX($AB$2:$AB$11,$NH16))</f>
        <v/>
      </c>
      <c r="OG16" s="155">
        <f>IFERROR(VLOOKUP($MZ16,$BC$2:$BG$24,3,FALSE),0)</f>
        <v/>
      </c>
      <c r="OH16" s="155">
        <f>IFERROR(VLOOKUP($NA16,$BC$2:$BG$24,3,FALSE),0)</f>
        <v/>
      </c>
      <c r="OI16" s="155">
        <f>IFERROR(VLOOKUP($MZ16,$BC$2:$BG$24,2,FALSE),"")</f>
        <v/>
      </c>
      <c r="OJ16" s="155">
        <f>IFERROR(VLOOKUP($NA16,$BC$2:$BG$24,2,FALSE),"")</f>
        <v/>
      </c>
      <c r="OK16" s="155">
        <f>COUNTIF($NQ16:$NU16,1)</f>
        <v/>
      </c>
      <c r="OL16" s="155">
        <f>COUNTIF($NQ16:$NU16,2)</f>
        <v/>
      </c>
      <c r="OM16" s="155">
        <f>COUNTIF($NQ16:$NU16,3)</f>
        <v/>
      </c>
      <c r="ON16" s="155">
        <f>COUNTIF($NQ16:$NU16,4)</f>
        <v/>
      </c>
      <c r="OO16" s="155">
        <f>COUNTIF($NQ16:$NU16,5)</f>
        <v/>
      </c>
      <c r="OP16" s="155">
        <f>COUNTIF($NQ16:$NU16,6)</f>
        <v/>
      </c>
      <c r="OQ16" s="155">
        <f>COUNTIF($OG16:$OH16,1)</f>
        <v/>
      </c>
      <c r="OR16" s="155">
        <f>COUNTIF($OG16:$OH16,2)+$OD16</f>
        <v/>
      </c>
      <c r="OS16" s="155">
        <f>COUNTIF($MV16:$MY16,"?*")</f>
        <v/>
      </c>
      <c r="OT16" s="155">
        <f>COUNTIF($MZ16:$NA16,"?*")+$OD16</f>
        <v/>
      </c>
      <c r="OU16" s="155">
        <f>IF($MQ16=0,0,SUMPRODUCT($OK16:$OP16,INDEX($I$2:$N$8,MAX(1,$MQ16),0)))</f>
        <v/>
      </c>
      <c r="OV16" s="155">
        <f>IF($MQ16=0,0,$OQ16*CEILING($MQ16/2,1)+$OR16*$MQ16)</f>
        <v/>
      </c>
      <c r="OW16" s="155">
        <f>MIN(2*$MQ16,$OV16)</f>
        <v/>
      </c>
      <c r="OX16" s="155">
        <f>MIN($OW16,$OU16)</f>
        <v/>
      </c>
      <c r="OY16" s="155">
        <f>$OW16-$OX16</f>
        <v/>
      </c>
      <c r="OZ16" s="155">
        <f>IF($MQ16=0,0,INDEX($P$2:$P$8,MAX(1,$MQ16)))</f>
        <v/>
      </c>
      <c r="PA16" s="155">
        <f>$OZ16-$OU16+$OX16</f>
        <v/>
      </c>
      <c r="PB16" s="155">
        <f>IF($MQ16=0,MAX(0,$NE16-IF($OS16&gt;0,1,0)),MAX(0,$PA16))</f>
        <v/>
      </c>
      <c r="PC16" s="155">
        <f>IF($MQ16=0,0,(IF(COUNTIF($MV16:$MY16,"Salto")&gt;0,1,0)+IF(COUNTIF($MV16:$MY16,"Queima")&gt;0,1,0)+IF(COUNTIF($MV16:$MY16,"Estilhaço")&gt;0,1,0))*FLOOR($PB16/2,1))</f>
        <v/>
      </c>
      <c r="PD16" s="155">
        <f>MAX(0,2-SUMPRODUCT($OK16:$OP16,$I$2:$N$2)+MIN(2,$OQ16*1+$OR16*1,SUMPRODUCT($OK16:$OP16,$I$2:$N$2)))</f>
        <v/>
      </c>
      <c r="PE16" s="155">
        <f>MAX(0,4-SUMPRODUCT($OK16:$OP16,$I$3:$N$3)+MIN(4,$OQ16*1+$OR16*2,SUMPRODUCT($OK16:$OP16,$I$3:$N$3)))</f>
        <v/>
      </c>
      <c r="PF16" s="155">
        <f>MAX(0,6-SUMPRODUCT($OK16:$OP16,$I$4:$N$4)+MIN(6,$OQ16*2+$OR16*3,SUMPRODUCT($OK16:$OP16,$I$4:$N$4)))</f>
        <v/>
      </c>
      <c r="PG16" s="155">
        <f>MAX(0,9-SUMPRODUCT($OK16:$OP16,$I$5:$N$5)+MIN(8,$OQ16*2+$OR16*4,SUMPRODUCT($OK16:$OP16,$I$5:$N$5)))</f>
        <v/>
      </c>
      <c r="PH16" s="155">
        <f>MAX(0,11-SUMPRODUCT($OK16:$OP16,$I$6:$N$6)+MIN(10,$OQ16*3+$OR16*5,SUMPRODUCT($OK16:$OP16,$I$6:$N$6)))</f>
        <v/>
      </c>
      <c r="PI16" s="155">
        <f>MAX(0,13-SUMPRODUCT($OK16:$OP16,$I$7:$N$7)+MIN(12,$OQ16*3+$OR16*6,SUMPRODUCT($OK16:$OP16,$I$7:$N$7)))</f>
        <v/>
      </c>
      <c r="PJ16" s="155">
        <f>MAX(0,16-SUMPRODUCT($OK16:$OP16,$I$8:$N$8)+MIN(14,$OQ16*4+$OR16*7,SUMPRODUCT($OK16:$OP16,$I$8:$N$8)))</f>
        <v/>
      </c>
      <c r="PK16" s="155">
        <f>IF($OE16=2,3*$PD16&amp;" de vida temp.",IF($OE16=3,"sem dano",IF($PD16=0,IF($OE16=1,"sem cura","sem dano"),IF($OE16=1,"cura ","")&amp;$PD16&amp;"d8")))</f>
        <v/>
      </c>
      <c r="PL16" s="155">
        <f>IF($OE16=2,3*$PE16&amp;" de vida temp.",IF($OE16=3,"sem dano",IF($PE16=0,IF($OE16=1,"sem cura","sem dano"),IF($OE16=1,"cura ","")&amp;$PE16&amp;"d8")))</f>
        <v/>
      </c>
      <c r="PM16" s="155">
        <f>IF($OE16=2,3*$PF16&amp;" de vida temp.",IF($OE16=3,"sem dano",IF($PF16=0,IF($OE16=1,"sem cura","sem dano"),IF($OE16=1,"cura ","")&amp;$PF16&amp;"d8")))</f>
        <v/>
      </c>
      <c r="PN16" s="155">
        <f>IF($OE16=2,3*$PG16&amp;" de vida temp.",IF($OE16=3,"sem dano",IF($PG16=0,IF($OE16=1,"sem cura","sem dano"),IF($OE16=1,"cura ","")&amp;$PG16&amp;"d8")))</f>
        <v/>
      </c>
      <c r="PO16" s="155">
        <f>IF($OE16=2,3*$PH16&amp;" de vida temp.",IF($OE16=3,"sem dano",IF($PH16=0,IF($OE16=1,"sem cura","sem dano"),IF($OE16=1,"cura ","")&amp;$PH16&amp;"d8")))</f>
        <v/>
      </c>
      <c r="PP16" s="155">
        <f>IF($OE16=2,3*$PI16&amp;" de vida temp.",IF($OE16=3,"sem dano",IF($PI16=0,IF($OE16=1,"sem cura","sem dano"),IF($OE16=1,"cura ","")&amp;$PI16&amp;"d8")))</f>
        <v/>
      </c>
      <c r="PQ16" s="155">
        <f>IF($OE16=2,3*$PJ16&amp;" de vida temp.",IF($OE16=3,"sem dano",IF($PJ16=0,IF($OE16=1,"sem cura","sem dano"),IF($OE16=1,"cura ","")&amp;$PJ16&amp;"d8")))</f>
        <v/>
      </c>
      <c r="PR16" s="155">
        <f>IF($NB16=0,"",TEXTJOIN(" · ",TRUE,IF($MO16&gt;$NC16,"Este lugar abre no nível "&amp;$MO16,""),IF($MQ16&gt;$ND16,"Classe "&amp;$MQ16&amp;": o nível "&amp;$NC16&amp;" libera até a "&amp;$ND16,""),IF($NV16=1,"A Forma "&amp;$MS16&amp;" pede "&amp;INDEX($W$2:$W$11,$NH16)&amp;" aberta",""),IF(AND($MQ16=0,$NH16&gt;0,IF($NH16=0,0,INDEX($AF$2:$AF$11,$NH16))=0),$MS16&amp;" não existe na Classe 0",""),IF($NW16=1,"Família Fechada: "&amp;$MV16,""),IF($NX16=1,"Família Fechada: "&amp;$MW16,""),IF($NY16=1,"Família Fechada: "&amp;$MX16,""),IF($NZ16=1,"Família Fechada: "&amp;$MY16,""),IF(AND($MQ16&gt;0,$OS16&gt;INDEX($O$2:$O$8,MAX(1,$MQ16))),$OS16&amp;" Melhorias: a Classe "&amp;$MQ16&amp;" aceita "&amp;INDEX($O$2:$O$8,MAX(1,$MQ16)),""),IF(AND($MQ16=0,$OS16&gt;1),"A básica aceita uma Melhoria",""),IF(AND($MQ16=0,COUNTIF($NM16:$NP16,"&gt;1")&gt;0),"A básica só aceita Melhoria Leve",""),IF(AND($MQ16&gt;0,$OT16&gt;2),$OT16&amp;" Restrições"&amp;IF($OD16=1,", contando a que a Forma "&amp;$MS16&amp;" já traz","")&amp;": o limite é 2",""),IF(AND($MQ16=0,COUNTIF($MZ16:$NA16,"?*")&gt;1),"A básica aceita uma Restrição Leve",""),IF(AND($MQ16=0,COUNTIF($OG16:$OH16,2)&gt;0),"A básica só aceita Restrição Leve",""),IF(AND($MQ16&gt;0,$PA16&lt;0),"Orçamento estourado: faltam "&amp;(-$PA16)&amp;IF($PA16&lt;-1," pontos"," ponto"),""),IF(IFERROR(VLOOKUP($MZ16,$BC$2:$BG$24,4,FALSE),0)+IFERROR(VLOOKUP($NA16,$BC$2:$BG$24,4,FALSE),0)&gt;1,$OI16&amp;" e "&amp;$OJ16&amp;" são as duas de frequência",""),IF(AND((COUNTIF($MV16:$MY16,"Rápido")+COUNTIF($OI16:$OJ16,"Rápido"))&gt;0,(COUNTIF($MV16:$MY16,"Atrasar")+COUNTIF($OI16:$OJ16,"Atrasar"))&gt;0),"Rápido não entra com Atrasar",""),IF(AND((COUNTIF($MV16:$MY16,"Reação")+COUNTIF($OI16:$OJ16,"Reação"))&gt;0,(COUNTIF($MV16:$MY16,"Rápido")+COUNTIF($OI16:$OJ16,"Rápido"))&gt;0),"Reação não entra com Rápido",""),IF(AND((COUNTIF($MV16:$MY16,"Reação")+COUNTIF($OI16:$OJ16,"Reação"))&gt;0,(COUNTIF($MV16:$MY16,"Armado")+COUNTIF($OI16:$OJ16,"Armado"))&gt;0),"Reação não entra com Armado",""),IF(AND((COUNTIF($MV16:$MY16,"Reação")+COUNTIF($OI16:$OJ16,"Reação"))&gt;0,(COUNTIF($MV16:$MY16,"Atrasar")+COUNTIF($OI16:$OJ16,"Atrasar"))&gt;0),"Reação não entra com Atrasar",""),IF(AND((COUNTIF($MV16:$MY16,"Reação")+COUNTIF($OI16:$OJ16,"Reação"))&gt;0,(COUNTIF($MV16:$MY16,"Parado")+COUNTIF($OI16:$OJ16,"Parado"))&gt;0),"Reação não entra com Parado",""),IF(AND((COUNTIF($MV16:$MY16,"Atrasar")+COUNTIF($OI16:$OJ16,"Atrasar"))&gt;0,(COUNTIF($MV16:$MY16,"Parado")+COUNTIF($OI16:$OJ16,"Parado"))&gt;0),"Atrasar não entra com Parado",""),IF(AND((COUNTIF($MV16:$MY16,"Armado")+COUNTIF($OI16:$OJ16,"Armado"))&gt;0,(COUNTIF($MV16:$MY16,"Carregar")+COUNTIF($OI16:$OJ16,"Carregar"))&gt;0),"Armado não entra com Carregar",""),IF(AND(COUNTIF($OI16:$OJ16,"Corpo a Corpo")&gt;0,$OD16=0,OR($MS16="Cone",$MS16="Linha")),"Corpo a Corpo não entra em "&amp;$MS16,""),IF(AND(COUNTIF($OI16:$OJ16,"Corpo a Corpo")&gt;0,$OD16=1),"A Forma "&amp;$MS16&amp;" já traz o Corpo a Corpo",""),IF(AND(COUNTIF($OI16:$OJ16,"Tudo ou Nada")&gt;0,$OF16=0),"Tudo ou Nada só entra em habilidade de Teste de Resistência",""),IF(AND(COUNTIF($MV16:$MY16,"Inescapável")&gt;0,OR($OS16&gt;1,$OT16&gt;0)),"Inescapável não aceita outra peça",""),IF(AND($MQ16&gt;0,$PB16*IF(COUNTIF($MV16:$MY16,"Remate")&gt;0,1.25,1)+$PC16&gt;4*$MQ16),($PB16*IF(COUNTIF($MV16:$MY16,"Remate")&gt;0,1.25,1)+$PC16)&amp;" dados somando repetições"&amp;IF(COUNTIF($MV16:$MY16,"Remate")&gt;0," e o Remate","")&amp;": o teto da Classe "&amp;$MQ16&amp;" é "&amp;4*$MQ16,"")))</f>
        <v/>
      </c>
      <c r="PS16" s="155">
        <f>IF($PR16="",0,(LEN($PR16)-LEN(SUBSTITUTE($PR16," · ","")))/3+1)</f>
        <v/>
      </c>
      <c r="PT16" s="155">
        <f>IF($NB16=0,"",TEXTJOIN(" · ",TRUE,IF($OV16&gt;2*$MQ16,"A devolução parou no teto de "&amp;2*$MQ16,""),IF($OY16&gt;0,"Devolução perdida: "&amp;$OY16&amp;IF($OY16&gt;1," pontos"," ponto")&amp;" sem peça para pagar",""),IF(AND($OA16&gt;0,AND($MQ16&gt;0,$OE16=0),$PB16=0),"Controle sem dano: uma rodada a mais e CD +2",""),IF(AND($OA16&gt;0,AND($MQ16&gt;0,$OE16=0),$PB16&gt;0,$PB16&lt;=$MQ16),"Controle com saldo até a Classe: uma rodada a mais",""),IF(AND($MQ16&gt;0,$OC16&lt;&gt;""),"Efeito de "&amp;$OC16&amp;" pela Classe "&amp;MAX(1,$MQ16-1),"")))</f>
        <v/>
      </c>
      <c r="PU16" s="155">
        <f>IF($PT16="",0,(LEN($PT16)-LEN(SUBSTITUTE($PT16," · ","")))/3+1)</f>
        <v/>
      </c>
      <c r="PV16" s="155">
        <f>IF($NB16=0,IF($OS16+COUNTIF($MZ16:$NA16,"?*")&gt;0,"Dê um nome",""),IF($PS16&gt;0,"⚠ "&amp;$PS16&amp;IF($PS16&gt;1," erros"," erro"),IF($PU16&gt;0,"! "&amp;$PU16&amp;IF($PU16&gt;1," avisos"," aviso"),"Na regra")))</f>
        <v/>
      </c>
      <c r="PW16" s="155">
        <f>IF($NB16=0,"",IF($PS16+$PU16=0,"Dentro das regras que a ficha confere",$PR16&amp;IF(AND($PS16&gt;0,$PU16&gt;0)," · ","")&amp;$PT16))</f>
        <v/>
      </c>
      <c r="PX16" s="155">
        <f>IF($MO16&gt;$NC16,$MP16&amp;" · ABRE NO NÍVEL "&amp;$MO16,$MP16)</f>
        <v/>
      </c>
      <c r="PY16" s="155">
        <f>IF($NB16=0,"",IF($MQ16=0,"Sem PE",3*$MQ16&amp;" PE"))</f>
        <v/>
      </c>
      <c r="PZ16" s="155">
        <f>IF($NB16=0,"",IF($MQ16=0,"A atuação básica dela",IF(COUNTIF($OI16:$OJ16,"Atrasar")&gt;0,"Sua Ação Completa",IF(COUNTIF($MV16:$MY16,"Rápido")&gt;0,"Sua Bônus",IF(COUNTIF($MV16:$MY16,"Reação")&gt;0,"Sua Reação","Sua Padrão")))&amp;" + a básica dela"&amp;IF(COUNTIF($MV16:$MY16,"Reação")&gt;0," e a coletiva","")&amp;IF(COUNTIF($OI16:$OJ16,"Carregar")&gt;0," · em dois turnos","")))</f>
        <v/>
      </c>
      <c r="QA16" s="155">
        <f>IF($MU16&lt;&gt;"",$MU16,IF($NH16=0,"",INDEX($AA$2:$AA$11,$NH16)))</f>
        <v/>
      </c>
      <c r="QB16" s="155">
        <f>IF(OR($NB16=0,$NH16=0),"",IF(COUNTIF($MV16:$MY16,"Inescapável")&gt;0,"Automático",IF($QA16="Ataque",IF($NF16="","Ataque","Ataque "&amp;IF(($NF16+2*IF(COUNTIF($MV16:$MY16,"Precisão")&gt;0,1,0))&gt;=0,"+","−")&amp;ABS(($NF16+2*IF(COUNTIF($MV16:$MY16,"Precisão")&gt;0,1,0))))&amp;IF($OB16&gt;0," · TR"&amp;IF($NG16="",""," CD "&amp;$NG16),""),IF(LEFT($QA16,2)="TR",$QA16&amp;IF($NG16="",""," · CD "&amp;$NG16)&amp;IF(COUNTIF($MV16:$MY16,"Certeiro")&gt;0," · metade",""),"Sem rolagem"))))</f>
        <v/>
      </c>
      <c r="QC16" s="155">
        <f>IF(OR($NB16=0,$NH16=0),"",IF($MQ16=0,IF(OR($OE16&gt;=1,$PB16=0),"Sem dano",$PB16&amp;"d6"&amp;IF($MT16="",""," "&amp;$MT16)),IF(OR($OE16&gt;=1,$PB16=0),UPPER(LEFT(INDEX($PK16:$PQ16,1,MAX(1,$MQ16)),1))&amp;MID(INDEX($PK16:$PQ16,1,MAX(1,$MQ16)),2,99),UPPER(LEFT(INDEX($PK16:$PQ16,1,MAX(1,$MQ16)),1))&amp;MID(INDEX($PK16:$PQ16,1,MAX(1,$MQ16)),2,99)&amp;IF($MT16="",""," "&amp;$MT16)&amp;IF($PC16&gt;0," · +"&amp;$PC16&amp;"d8",""))))</f>
        <v/>
      </c>
      <c r="QD16" s="155">
        <f>COUNTIF($MV16:$MY16,"Longe")+3*COUNTIF($MV16:$MY16,"Muito Longe")</f>
        <v/>
      </c>
      <c r="QE16" s="155">
        <f>COUNTIF($MV16:$MY16,"Maior")+3*COUNTIF($MV16:$MY16,"Muito Maior")</f>
        <v/>
      </c>
      <c r="QF16" s="155">
        <f>IF($NH16=0,0,CHOOSE(1+INDEX($AC$2:$AC$11,$NH16),0,$QD16,$QE16,$QD16+$QE16))</f>
        <v/>
      </c>
      <c r="QG16" s="155">
        <f>IF($NH16=0,0,CHOOSE(1+INDEX($AD$2:$AD$11,$NH16),0,$QD16,$QE16,$QD16+$QE16))</f>
        <v/>
      </c>
      <c r="QH16" s="155">
        <f>IF(OR($NB16=0,$NH16=0),"",INDEX($AI$2:$AN$41,($NH16-1)*4+IF($MQ16=0,1,IF($MQ16&lt;=5,2,IF($MQ16=6,3,4))),1+MIN(5,$QF16))&amp;INDEX($AO$2:$AT$41,($NH16-1)*4+IF($MQ16=0,1,IF($MQ16&lt;=5,2,IF($MQ16=6,3,4))),1+MIN(5,$QG16))&amp;IF(INDEX($AE$2:$AE$11,$NH16)=1,IF(COUNTIF($MV16:$MY16,"Mais Um")&gt;0," · +"&amp;COUNTIF($MV16:$MY16,"Mais Um")&amp;IF(COUNTIF($MV16:$MY16,"Mais Um")&gt;1," alvos"," alvo"),"")&amp;IF(COUNTIF($MV16:$MY16,"Rajada")&gt;0,IF($MQ16=0," · 1 tiro"," · "&amp;(MAX(1,$MQ16-1)+1)&amp;" tiros"),""),""))</f>
        <v/>
      </c>
      <c r="QI16" s="155">
        <f>IF($NB16=0,"",IF($MQ16=0,$NE16&amp;"d6"&amp;IF($OS16&gt;0," − 1 = "&amp;$PB16&amp;"d6"," da básica do nível "&amp;$NC16),$OZ16&amp;" − "&amp;$OU16&amp;" + "&amp;$OX16&amp;" = "&amp;$PA16&amp;" · teto "&amp;4*$MQ16&amp;"d8"&amp;IF($OD16=1," · a Forma devolve "&amp;$MQ16,"")&amp;IF($OY16&gt;0," · perde "&amp;$OY16,"")))</f>
        <v/>
      </c>
      <c r="QJ16" s="155">
        <f>IF($NB16=0,"",IF($MQ16=0,"A básica não amplia: os dados dela sobem com o nível",IF($MQ16&gt;=$ND16,"Já está na maior Classe que o nível liberou",TEXTJOIN(" · ",TRUE,IF(AND(2&gt;$MQ16,2&lt;=$ND16),"2 → "&amp;$PL16&amp;", 6 PE",""),IF(AND(3&gt;$MQ16,3&lt;=$ND16),"3 → "&amp;$PM16&amp;", 9 PE",""),IF(AND(4&gt;$MQ16,4&lt;=$ND16),"4 → "&amp;$PN16&amp;", 12 PE",""),IF(AND(5&gt;$MQ16,5&lt;=$ND16),"5 → "&amp;$PO16&amp;", 15 PE",""),IF(AND(6&gt;$MQ16,6&lt;=$ND16),"6 → "&amp;$PP16&amp;", 18 PE",""),IF(AND(7&gt;$MQ16,7&lt;=$ND16),"7 → "&amp;$PQ16&amp;", 21 PE","")))))</f>
        <v/>
      </c>
      <c r="QK16" s="155">
        <f>IF(OR($NB16=0,$NM16=0),"",IF($MQ16=0,"−1 dado","−"&amp;INDEX($I$2:$N$8,MAX(1,$MQ16),MAX(1,$NR16))&amp;" · "&amp;CHOOSE(MAX(1,$NR16),"Leve","Média","Pesada","Leve · Livre","Média · Livre","Pesada · Livre")))</f>
        <v/>
      </c>
      <c r="QL16" s="155">
        <f>IF(OR($NB16=0,$NN16=0),"",IF($MQ16=0,"−1 dado","−"&amp;INDEX($I$2:$N$8,MAX(1,$MQ16),MAX(1,$NS16))&amp;" · "&amp;CHOOSE(MAX(1,$NS16),"Leve","Média","Pesada","Leve · Livre","Média · Livre","Pesada · Livre")))</f>
        <v/>
      </c>
      <c r="QM16" s="155">
        <f>IF(OR($NB16=0,$NO16=0),"",IF($MQ16=0,"−1 dado","−"&amp;INDEX($I$2:$N$8,MAX(1,$MQ16),MAX(1,$NT16))&amp;" · "&amp;CHOOSE(MAX(1,$NT16),"Leve","Média","Pesada","Leve · Livre","Média · Livre","Pesada · Livre")))</f>
        <v/>
      </c>
      <c r="QN16" s="155">
        <f>IF(OR($NB16=0,$NP16=0),"",IF($MQ16=0,"−1 dado","−"&amp;INDEX($I$2:$N$8,MAX(1,$MQ16),MAX(1,$NU16))&amp;" · "&amp;CHOOSE(MAX(1,$NU16),"Leve","Média","Pesada","Leve · Livre","Média · Livre","Pesada · Livre")))</f>
        <v/>
      </c>
      <c r="QO16" s="155">
        <f>IF(OR($NB16=0,$MZ16=""),"",IF($MQ16=0,"não devolve","+"&amp;IF($OG16=1,CEILING($MQ16/2,1),$MQ16)))</f>
        <v/>
      </c>
      <c r="QP16" s="155">
        <f>IF(OR($NB16=0,$NA16=""),"",IF($MQ16=0,"não devolve","+"&amp;IF($OH16=1,CEILING($MQ16/2,1),$MQ16)))</f>
        <v/>
      </c>
    </row>
    <row r="17">
      <c r="AH17" s="153" t="inlineStr">
        <is>
          <t>Aura · classe 7</t>
        </is>
      </c>
      <c r="AI17" s="153" t="inlineStr">
        <is>
          <t>Raio 4,5 m, nela</t>
        </is>
      </c>
      <c r="AJ17" s="153" t="inlineStr">
        <is>
          <t>Raio 6 m, nela</t>
        </is>
      </c>
      <c r="AK17" s="153" t="inlineStr">
        <is>
          <t>Raio 9 m, nela</t>
        </is>
      </c>
      <c r="AL17" s="153" t="inlineStr">
        <is>
          <t>Raio 15 m, nela</t>
        </is>
      </c>
      <c r="AM17" s="153" t="inlineStr">
        <is>
          <t>Raio 15 m, nela</t>
        </is>
      </c>
      <c r="AN17" s="153" t="inlineStr">
        <is>
          <t>Raio 15 m, nela</t>
        </is>
      </c>
      <c r="AO17" s="153" t="inlineStr"/>
      <c r="AP17" s="153" t="inlineStr"/>
      <c r="AQ17" s="153" t="inlineStr"/>
      <c r="AR17" s="153" t="inlineStr"/>
      <c r="AS17" s="153" t="inlineStr"/>
      <c r="AT17" s="153" t="inlineStr"/>
      <c r="AV17" s="153" t="inlineStr">
        <is>
          <t>Precisão</t>
        </is>
      </c>
      <c r="AW17" s="153" t="inlineStr">
        <is>
          <t>Mira</t>
        </is>
      </c>
      <c r="AX17" s="155" t="n">
        <v>1</v>
      </c>
      <c r="AY17" s="155" t="n">
        <v>0</v>
      </c>
      <c r="AZ17" s="155" t="n">
        <v>0</v>
      </c>
      <c r="BA17" s="155" t="n">
        <v>0</v>
      </c>
      <c r="BC17" s="153" t="inlineStr">
        <is>
          <t>Condicional (Média)</t>
        </is>
      </c>
      <c r="BD17" s="153" t="inlineStr">
        <is>
          <t>Condicional</t>
        </is>
      </c>
      <c r="BE17" s="155" t="n">
        <v>2</v>
      </c>
      <c r="BF17" s="155" t="n">
        <v>1</v>
      </c>
      <c r="BG17" s="153" t="inlineStr"/>
      <c r="CC17" s="153" t="inlineStr">
        <is>
          <t>Tecnologia</t>
        </is>
      </c>
      <c r="CD17" s="153" t="inlineStr">
        <is>
          <t>Inteligência</t>
        </is>
      </c>
      <c r="JR17" s="155">
        <f>IF(OR($AW17="",COUNTIF($EJ$2:$EN$2,$AW17)&gt;0),$AV17,"")</f>
        <v/>
      </c>
      <c r="JS17" s="155">
        <f>IF(AND($AX17=1,OR($AW17="",COUNTIF($EJ$2:$EN$2,$AW17)&gt;0)),$AV17,"")</f>
        <v/>
      </c>
      <c r="JX17" s="155">
        <f>IF(OR($AW17="",COUNTIF($EJ$3:$EN$3,$AW17)&gt;0),$AV17,"")</f>
        <v/>
      </c>
      <c r="JY17" s="155">
        <f>IF(AND($AX17=1,OR($AW17="",COUNTIF($EJ$3:$EN$3,$AW17)&gt;0)),$AV17,"")</f>
        <v/>
      </c>
      <c r="KD17" s="155">
        <f>IF(OR($AW17="",COUNTIF($EJ$4:$EN$4,$AW17)&gt;0),$AV17,"")</f>
        <v/>
      </c>
      <c r="KE17" s="155">
        <f>IF(AND($AX17=1,OR($AW17="",COUNTIF($EJ$4:$EN$4,$AW17)&gt;0)),$AV17,"")</f>
        <v/>
      </c>
      <c r="KJ17" s="155">
        <f>IF(OR($AW17="",COUNTIF($EJ$5:$EN$5,$AW17)&gt;0),$AV17,"")</f>
        <v/>
      </c>
      <c r="KK17" s="155">
        <f>IF(AND($AX17=1,OR($AW17="",COUNTIF($EJ$5:$EN$5,$AW17)&gt;0)),$AV17,"")</f>
        <v/>
      </c>
      <c r="KP17" s="155">
        <f>IF(OR($AW17="",COUNTIF($EJ$6:$EN$6,$AW17)&gt;0),$AV17,"")</f>
        <v/>
      </c>
      <c r="KQ17" s="155">
        <f>IF(AND($AX17=1,OR($AW17="",COUNTIF($EJ$6:$EN$6,$AW17)&gt;0)),$AV17,"")</f>
        <v/>
      </c>
      <c r="KV17" s="155">
        <f>IF(OR($AW17="",COUNTIF($EJ$7:$EN$7,$AW17)&gt;0),$AV17,"")</f>
        <v/>
      </c>
      <c r="KW17" s="155">
        <f>IF(AND($AX17=1,OR($AW17="",COUNTIF($EJ$7:$EN$7,$AW17)&gt;0)),$AV17,"")</f>
        <v/>
      </c>
      <c r="LB17" s="155">
        <f>IF(OR($AW17="",COUNTIF($EJ$8:$EN$8,$AW17)&gt;0),$AV17,"")</f>
        <v/>
      </c>
      <c r="LC17" s="155">
        <f>IF(AND($AX17=1,OR($AW17="",COUNTIF($EJ$8:$EN$8,$AW17)&gt;0)),$AV17,"")</f>
        <v/>
      </c>
      <c r="LH17" s="155">
        <f>IF(OR($AW17="",COUNTIF($EJ$9:$EN$9,$AW17)&gt;0),$AV17,"")</f>
        <v/>
      </c>
      <c r="LI17" s="155">
        <f>IF(AND($AX17=1,OR($AW17="",COUNTIF($EJ$9:$EN$9,$AW17)&gt;0)),$AV17,"")</f>
        <v/>
      </c>
      <c r="LN17" s="155">
        <f>IF(OR($AW17="",COUNTIF($EJ$10:$EN$10,$AW17)&gt;0),$AV17,"")</f>
        <v/>
      </c>
      <c r="LO17" s="155">
        <f>IF(AND($AX17=1,OR($AW17="",COUNTIF($EJ$10:$EN$10,$AW17)&gt;0)),$AV17,"")</f>
        <v/>
      </c>
      <c r="LT17" s="155">
        <f>IF(OR($AW17="",COUNTIF($EJ$11:$EN$11,$AW17)&gt;0),$AV17,"")</f>
        <v/>
      </c>
      <c r="LU17" s="155">
        <f>IF(AND($AX17=1,OR($AW17="",COUNTIF($EJ$11:$EN$11,$AW17)&gt;0)),$AV17,"")</f>
        <v/>
      </c>
      <c r="LZ17" s="155">
        <f>IF(OR($AW17="",COUNTIF($EJ$12:$EN$12,$AW17)&gt;0),$AV17,"")</f>
        <v/>
      </c>
      <c r="MA17" s="155">
        <f>IF(AND($AX17=1,OR($AW17="",COUNTIF($EJ$12:$EN$12,$AW17)&gt;0)),$AV17,"")</f>
        <v/>
      </c>
      <c r="MF17" s="155">
        <f>IF(OR($AW17="",COUNTIF($EJ$13:$EN$13,$AW17)&gt;0),$AV17,"")</f>
        <v/>
      </c>
      <c r="MG17" s="155">
        <f>IF(AND($AX17=1,OR($AW17="",COUNTIF($EJ$13:$EN$13,$AW17)&gt;0)),$AV17,"")</f>
        <v/>
      </c>
      <c r="ML17" s="153" t="inlineStr">
        <is>
          <t>Ficha 2 · Especial 2</t>
        </is>
      </c>
      <c r="MM17" s="155" t="n">
        <v>2</v>
      </c>
      <c r="MN17" s="155" t="n">
        <v>1</v>
      </c>
      <c r="MO17" s="155" t="n">
        <v>4</v>
      </c>
      <c r="MP17" s="153" t="inlineStr">
        <is>
          <t>ESPECIAL 2</t>
        </is>
      </c>
      <c r="MQ17" s="155">
        <f>MAX(1,MIN(7,N('INVOCAÇÕES'!$U$256)))</f>
        <v/>
      </c>
      <c r="MR17" s="155">
        <f>'INVOCAÇÕES'!$V$256&amp;""</f>
        <v/>
      </c>
      <c r="MS17" s="155">
        <f>'INVOCAÇÕES'!$U$261&amp;""</f>
        <v/>
      </c>
      <c r="MT17" s="155">
        <f>'INVOCAÇÕES'!$U$262&amp;""</f>
        <v/>
      </c>
      <c r="MU17" s="155">
        <f>'INVOCAÇÕES'!$W$262&amp;""</f>
        <v/>
      </c>
      <c r="MV17" s="155">
        <f>'INVOCAÇÕES'!$V$265&amp;""</f>
        <v/>
      </c>
      <c r="MW17" s="155">
        <f>'INVOCAÇÕES'!$V$266&amp;""</f>
        <v/>
      </c>
      <c r="MX17" s="155">
        <f>'INVOCAÇÕES'!$V$267&amp;""</f>
        <v/>
      </c>
      <c r="MY17" s="155">
        <f>'INVOCAÇÕES'!$V$268&amp;""</f>
        <v/>
      </c>
      <c r="MZ17" s="155">
        <f>'INVOCAÇÕES'!$V$269&amp;""</f>
        <v/>
      </c>
      <c r="NA17" s="155">
        <f>'INVOCAÇÕES'!$V$270&amp;""</f>
        <v/>
      </c>
      <c r="NB17" s="155">
        <f>IF($MR17&lt;&gt;"",1,0)</f>
        <v/>
      </c>
      <c r="NC17" s="155">
        <f>INDEX($FM$2:$FM$13,$MM17)</f>
        <v/>
      </c>
      <c r="ND17" s="155">
        <f>INDEX($FN$2:$FN$13,$MM17)</f>
        <v/>
      </c>
      <c r="NE17" s="155">
        <f>INDEX($FO$2:$FO$13,$MM17)</f>
        <v/>
      </c>
      <c r="NF17" s="155">
        <f>INDEX($FZ$2:$FZ$13,$MM17)</f>
        <v/>
      </c>
      <c r="NG17" s="155">
        <f>INDEX($GA$2:$GA$13,$MM17)</f>
        <v/>
      </c>
      <c r="NH17" s="155">
        <f>IFERROR(MATCH($MS17,$V$2:$V$11,0),0)</f>
        <v/>
      </c>
      <c r="NI17" s="155">
        <f>IFERROR(VLOOKUP($MV17,$AV$2:$BA$84,2,FALSE),"")</f>
        <v/>
      </c>
      <c r="NJ17" s="155">
        <f>IFERROR(VLOOKUP($MW17,$AV$2:$BA$84,2,FALSE),"")</f>
        <v/>
      </c>
      <c r="NK17" s="155">
        <f>IFERROR(VLOOKUP($MX17,$AV$2:$BA$84,2,FALSE),"")</f>
        <v/>
      </c>
      <c r="NL17" s="155">
        <f>IFERROR(VLOOKUP($MY17,$AV$2:$BA$84,2,FALSE),"")</f>
        <v/>
      </c>
      <c r="NM17" s="155">
        <f>IFERROR(VLOOKUP($MV17,$AV$2:$BA$84,3,FALSE),0)</f>
        <v/>
      </c>
      <c r="NN17" s="155">
        <f>IFERROR(VLOOKUP($MW17,$AV$2:$BA$84,3,FALSE),0)</f>
        <v/>
      </c>
      <c r="NO17" s="155">
        <f>IFERROR(VLOOKUP($MX17,$AV$2:$BA$84,3,FALSE),0)</f>
        <v/>
      </c>
      <c r="NP17" s="155">
        <f>IFERROR(VLOOKUP($MY17,$AV$2:$BA$84,3,FALSE),0)</f>
        <v/>
      </c>
      <c r="NQ17" s="155">
        <f>IF($MQ17=0,0,IF($NH17=0,0,INDEX($X$2:$X$11,$NH17)))</f>
        <v/>
      </c>
      <c r="NR17" s="155">
        <f>IF(OR($NM17=0,$MQ17=0),0,$NM17+3*IF(AND($NI17&lt;&gt;"",OR($NI17=INDEX($EJ$2:$EJ$13,$MM17),$NI17=INDEX($EK$2:$EK$13,$MM17))),1,0))</f>
        <v/>
      </c>
      <c r="NS17" s="155">
        <f>IF(OR($NN17=0,$MQ17=0),0,$NN17+3*IF(AND($NJ17&lt;&gt;"",OR($NJ17=INDEX($EJ$2:$EJ$13,$MM17),$NJ17=INDEX($EK$2:$EK$13,$MM17))),1,0))</f>
        <v/>
      </c>
      <c r="NT17" s="155">
        <f>IF(OR($NO17=0,$MQ17=0),0,$NO17+3*IF(AND($NK17&lt;&gt;"",OR($NK17=INDEX($EJ$2:$EJ$13,$MM17),$NK17=INDEX($EK$2:$EK$13,$MM17))),1,0))</f>
        <v/>
      </c>
      <c r="NU17" s="155">
        <f>IF(OR($NP17=0,$MQ17=0),0,$NP17+3*IF(AND($NL17&lt;&gt;"",OR($NL17=INDEX($EJ$2:$EJ$13,$MM17),$NL17=INDEX($EK$2:$EK$13,$MM17))),1,0))</f>
        <v/>
      </c>
      <c r="NV17" s="155">
        <f>IF($NH17=0,0,IF(INDEX($W$2:$W$11,$NH17)="",0,IF(COUNTIF(INDEX($EJ$2:$EN$13,$MM17,0),INDEX($W$2:$W$11,$NH17))=0,1,0)))</f>
        <v/>
      </c>
      <c r="NW17" s="155">
        <f>IF(OR($NM17=0,$NI17=""),0,IF(COUNTIF(INDEX($EJ$2:$EN$13,$MM17,0),$NI17)=0,1,0))</f>
        <v/>
      </c>
      <c r="NX17" s="155">
        <f>IF(OR($NN17=0,$NJ17=""),0,IF(COUNTIF(INDEX($EJ$2:$EN$13,$MM17,0),$NJ17)=0,1,0))</f>
        <v/>
      </c>
      <c r="NY17" s="155">
        <f>IF(OR($NO17=0,$NK17=""),0,IF(COUNTIF(INDEX($EJ$2:$EN$13,$MM17,0),$NK17)=0,1,0))</f>
        <v/>
      </c>
      <c r="NZ17" s="155">
        <f>IF(OR($NP17=0,$NL17=""),0,IF(COUNTIF(INDEX($EJ$2:$EN$13,$MM17,0),$NL17)=0,1,0))</f>
        <v/>
      </c>
      <c r="OA17" s="155">
        <f>IFERROR(VLOOKUP($MV17,$AV$2:$BA$84,4,FALSE),0)+IFERROR(VLOOKUP($MW17,$AV$2:$BA$84,4,FALSE),0)+IFERROR(VLOOKUP($MX17,$AV$2:$BA$84,4,FALSE),0)+IFERROR(VLOOKUP($MY17,$AV$2:$BA$84,4,FALSE),0)</f>
        <v/>
      </c>
      <c r="OB17" s="155">
        <f>IFERROR(VLOOKUP($MV17,$AV$2:$BA$84,6,FALSE),0)+IFERROR(VLOOKUP($MW17,$AV$2:$BA$84,6,FALSE),0)+IFERROR(VLOOKUP($MX17,$AV$2:$BA$84,6,FALSE),0)+IFERROR(VLOOKUP($MY17,$AV$2:$BA$84,6,FALSE),0)</f>
        <v/>
      </c>
      <c r="OC17" s="155">
        <f>TEXTJOIN(", ",TRUE,IF(IFERROR(VLOOKUP($MV17,$AV$2:$BA$84,5,FALSE),0)=1,$MV17,""),IF(IFERROR(VLOOKUP($MW17,$AV$2:$BA$84,5,FALSE),0)=1,$MW17,""),IF(IFERROR(VLOOKUP($MX17,$AV$2:$BA$84,5,FALSE),0)=1,$MX17,""),IF(IFERROR(VLOOKUP($MY17,$AV$2:$BA$84,5,FALSE),0)=1,$MY17,""))</f>
        <v/>
      </c>
      <c r="OD17" s="155">
        <f>IF($NH17=0,0,INDEX($Y$2:$Y$11,$NH17))</f>
        <v/>
      </c>
      <c r="OE17" s="155">
        <f>IF($NH17=0,0,INDEX($Z$2:$Z$11,$NH17))</f>
        <v/>
      </c>
      <c r="OF17" s="155">
        <f>IF($NH17=0,0,INDEX($AB$2:$AB$11,$NH17))</f>
        <v/>
      </c>
      <c r="OG17" s="155">
        <f>IFERROR(VLOOKUP($MZ17,$BC$2:$BG$24,3,FALSE),0)</f>
        <v/>
      </c>
      <c r="OH17" s="155">
        <f>IFERROR(VLOOKUP($NA17,$BC$2:$BG$24,3,FALSE),0)</f>
        <v/>
      </c>
      <c r="OI17" s="155">
        <f>IFERROR(VLOOKUP($MZ17,$BC$2:$BG$24,2,FALSE),"")</f>
        <v/>
      </c>
      <c r="OJ17" s="155">
        <f>IFERROR(VLOOKUP($NA17,$BC$2:$BG$24,2,FALSE),"")</f>
        <v/>
      </c>
      <c r="OK17" s="155">
        <f>COUNTIF($NQ17:$NU17,1)</f>
        <v/>
      </c>
      <c r="OL17" s="155">
        <f>COUNTIF($NQ17:$NU17,2)</f>
        <v/>
      </c>
      <c r="OM17" s="155">
        <f>COUNTIF($NQ17:$NU17,3)</f>
        <v/>
      </c>
      <c r="ON17" s="155">
        <f>COUNTIF($NQ17:$NU17,4)</f>
        <v/>
      </c>
      <c r="OO17" s="155">
        <f>COUNTIF($NQ17:$NU17,5)</f>
        <v/>
      </c>
      <c r="OP17" s="155">
        <f>COUNTIF($NQ17:$NU17,6)</f>
        <v/>
      </c>
      <c r="OQ17" s="155">
        <f>COUNTIF($OG17:$OH17,1)</f>
        <v/>
      </c>
      <c r="OR17" s="155">
        <f>COUNTIF($OG17:$OH17,2)+$OD17</f>
        <v/>
      </c>
      <c r="OS17" s="155">
        <f>COUNTIF($MV17:$MY17,"?*")</f>
        <v/>
      </c>
      <c r="OT17" s="155">
        <f>COUNTIF($MZ17:$NA17,"?*")+$OD17</f>
        <v/>
      </c>
      <c r="OU17" s="155">
        <f>IF($MQ17=0,0,SUMPRODUCT($OK17:$OP17,INDEX($I$2:$N$8,MAX(1,$MQ17),0)))</f>
        <v/>
      </c>
      <c r="OV17" s="155">
        <f>IF($MQ17=0,0,$OQ17*CEILING($MQ17/2,1)+$OR17*$MQ17)</f>
        <v/>
      </c>
      <c r="OW17" s="155">
        <f>MIN(2*$MQ17,$OV17)</f>
        <v/>
      </c>
      <c r="OX17" s="155">
        <f>MIN($OW17,$OU17)</f>
        <v/>
      </c>
      <c r="OY17" s="155">
        <f>$OW17-$OX17</f>
        <v/>
      </c>
      <c r="OZ17" s="155">
        <f>IF($MQ17=0,0,INDEX($P$2:$P$8,MAX(1,$MQ17)))</f>
        <v/>
      </c>
      <c r="PA17" s="155">
        <f>$OZ17-$OU17+$OX17</f>
        <v/>
      </c>
      <c r="PB17" s="155">
        <f>IF($MQ17=0,MAX(0,$NE17-IF($OS17&gt;0,1,0)),MAX(0,$PA17))</f>
        <v/>
      </c>
      <c r="PC17" s="155">
        <f>IF($MQ17=0,0,(IF(COUNTIF($MV17:$MY17,"Salto")&gt;0,1,0)+IF(COUNTIF($MV17:$MY17,"Queima")&gt;0,1,0)+IF(COUNTIF($MV17:$MY17,"Estilhaço")&gt;0,1,0))*FLOOR($PB17/2,1))</f>
        <v/>
      </c>
      <c r="PD17" s="155">
        <f>MAX(0,2-SUMPRODUCT($OK17:$OP17,$I$2:$N$2)+MIN(2,$OQ17*1+$OR17*1,SUMPRODUCT($OK17:$OP17,$I$2:$N$2)))</f>
        <v/>
      </c>
      <c r="PE17" s="155">
        <f>MAX(0,4-SUMPRODUCT($OK17:$OP17,$I$3:$N$3)+MIN(4,$OQ17*1+$OR17*2,SUMPRODUCT($OK17:$OP17,$I$3:$N$3)))</f>
        <v/>
      </c>
      <c r="PF17" s="155">
        <f>MAX(0,6-SUMPRODUCT($OK17:$OP17,$I$4:$N$4)+MIN(6,$OQ17*2+$OR17*3,SUMPRODUCT($OK17:$OP17,$I$4:$N$4)))</f>
        <v/>
      </c>
      <c r="PG17" s="155">
        <f>MAX(0,9-SUMPRODUCT($OK17:$OP17,$I$5:$N$5)+MIN(8,$OQ17*2+$OR17*4,SUMPRODUCT($OK17:$OP17,$I$5:$N$5)))</f>
        <v/>
      </c>
      <c r="PH17" s="155">
        <f>MAX(0,11-SUMPRODUCT($OK17:$OP17,$I$6:$N$6)+MIN(10,$OQ17*3+$OR17*5,SUMPRODUCT($OK17:$OP17,$I$6:$N$6)))</f>
        <v/>
      </c>
      <c r="PI17" s="155">
        <f>MAX(0,13-SUMPRODUCT($OK17:$OP17,$I$7:$N$7)+MIN(12,$OQ17*3+$OR17*6,SUMPRODUCT($OK17:$OP17,$I$7:$N$7)))</f>
        <v/>
      </c>
      <c r="PJ17" s="155">
        <f>MAX(0,16-SUMPRODUCT($OK17:$OP17,$I$8:$N$8)+MIN(14,$OQ17*4+$OR17*7,SUMPRODUCT($OK17:$OP17,$I$8:$N$8)))</f>
        <v/>
      </c>
      <c r="PK17" s="155">
        <f>IF($OE17=2,3*$PD17&amp;" de vida temp.",IF($OE17=3,"sem dano",IF($PD17=0,IF($OE17=1,"sem cura","sem dano"),IF($OE17=1,"cura ","")&amp;$PD17&amp;"d8")))</f>
        <v/>
      </c>
      <c r="PL17" s="155">
        <f>IF($OE17=2,3*$PE17&amp;" de vida temp.",IF($OE17=3,"sem dano",IF($PE17=0,IF($OE17=1,"sem cura","sem dano"),IF($OE17=1,"cura ","")&amp;$PE17&amp;"d8")))</f>
        <v/>
      </c>
      <c r="PM17" s="155">
        <f>IF($OE17=2,3*$PF17&amp;" de vida temp.",IF($OE17=3,"sem dano",IF($PF17=0,IF($OE17=1,"sem cura","sem dano"),IF($OE17=1,"cura ","")&amp;$PF17&amp;"d8")))</f>
        <v/>
      </c>
      <c r="PN17" s="155">
        <f>IF($OE17=2,3*$PG17&amp;" de vida temp.",IF($OE17=3,"sem dano",IF($PG17=0,IF($OE17=1,"sem cura","sem dano"),IF($OE17=1,"cura ","")&amp;$PG17&amp;"d8")))</f>
        <v/>
      </c>
      <c r="PO17" s="155">
        <f>IF($OE17=2,3*$PH17&amp;" de vida temp.",IF($OE17=3,"sem dano",IF($PH17=0,IF($OE17=1,"sem cura","sem dano"),IF($OE17=1,"cura ","")&amp;$PH17&amp;"d8")))</f>
        <v/>
      </c>
      <c r="PP17" s="155">
        <f>IF($OE17=2,3*$PI17&amp;" de vida temp.",IF($OE17=3,"sem dano",IF($PI17=0,IF($OE17=1,"sem cura","sem dano"),IF($OE17=1,"cura ","")&amp;$PI17&amp;"d8")))</f>
        <v/>
      </c>
      <c r="PQ17" s="155">
        <f>IF($OE17=2,3*$PJ17&amp;" de vida temp.",IF($OE17=3,"sem dano",IF($PJ17=0,IF($OE17=1,"sem cura","sem dano"),IF($OE17=1,"cura ","")&amp;$PJ17&amp;"d8")))</f>
        <v/>
      </c>
      <c r="PR17" s="155">
        <f>IF($NB17=0,"",TEXTJOIN(" · ",TRUE,IF($MO17&gt;$NC17,"Este lugar abre no nível "&amp;$MO17,""),IF($MQ17&gt;$ND17,"Classe "&amp;$MQ17&amp;": o nível "&amp;$NC17&amp;" libera até a "&amp;$ND17,""),IF($NV17=1,"A Forma "&amp;$MS17&amp;" pede "&amp;INDEX($W$2:$W$11,$NH17)&amp;" aberta",""),IF(AND($MQ17=0,$NH17&gt;0,IF($NH17=0,0,INDEX($AF$2:$AF$11,$NH17))=0),$MS17&amp;" não existe na Classe 0",""),IF($NW17=1,"Família Fechada: "&amp;$MV17,""),IF($NX17=1,"Família Fechada: "&amp;$MW17,""),IF($NY17=1,"Família Fechada: "&amp;$MX17,""),IF($NZ17=1,"Família Fechada: "&amp;$MY17,""),IF(AND($MQ17&gt;0,$OS17&gt;INDEX($O$2:$O$8,MAX(1,$MQ17))),$OS17&amp;" Melhorias: a Classe "&amp;$MQ17&amp;" aceita "&amp;INDEX($O$2:$O$8,MAX(1,$MQ17)),""),IF(AND($MQ17=0,$OS17&gt;1),"A básica aceita uma Melhoria",""),IF(AND($MQ17=0,COUNTIF($NM17:$NP17,"&gt;1")&gt;0),"A básica só aceita Melhoria Leve",""),IF(AND($MQ17&gt;0,$OT17&gt;2),$OT17&amp;" Restrições"&amp;IF($OD17=1,", contando a que a Forma "&amp;$MS17&amp;" já traz","")&amp;": o limite é 2",""),IF(AND($MQ17=0,COUNTIF($MZ17:$NA17,"?*")&gt;1),"A básica aceita uma Restrição Leve",""),IF(AND($MQ17=0,COUNTIF($OG17:$OH17,2)&gt;0),"A básica só aceita Restrição Leve",""),IF(AND($MQ17&gt;0,$PA17&lt;0),"Orçamento estourado: faltam "&amp;(-$PA17)&amp;IF($PA17&lt;-1," pontos"," ponto"),""),IF(IFERROR(VLOOKUP($MZ17,$BC$2:$BG$24,4,FALSE),0)+IFERROR(VLOOKUP($NA17,$BC$2:$BG$24,4,FALSE),0)&gt;1,$OI17&amp;" e "&amp;$OJ17&amp;" são as duas de frequência",""),IF(AND((COUNTIF($MV17:$MY17,"Rápido")+COUNTIF($OI17:$OJ17,"Rápido"))&gt;0,(COUNTIF($MV17:$MY17,"Atrasar")+COUNTIF($OI17:$OJ17,"Atrasar"))&gt;0),"Rápido não entra com Atrasar",""),IF(AND((COUNTIF($MV17:$MY17,"Reação")+COUNTIF($OI17:$OJ17,"Reação"))&gt;0,(COUNTIF($MV17:$MY17,"Rápido")+COUNTIF($OI17:$OJ17,"Rápido"))&gt;0),"Reação não entra com Rápido",""),IF(AND((COUNTIF($MV17:$MY17,"Reação")+COUNTIF($OI17:$OJ17,"Reação"))&gt;0,(COUNTIF($MV17:$MY17,"Armado")+COUNTIF($OI17:$OJ17,"Armado"))&gt;0),"Reação não entra com Armado",""),IF(AND((COUNTIF($MV17:$MY17,"Reação")+COUNTIF($OI17:$OJ17,"Reação"))&gt;0,(COUNTIF($MV17:$MY17,"Atrasar")+COUNTIF($OI17:$OJ17,"Atrasar"))&gt;0),"Reação não entra com Atrasar",""),IF(AND((COUNTIF($MV17:$MY17,"Reação")+COUNTIF($OI17:$OJ17,"Reação"))&gt;0,(COUNTIF($MV17:$MY17,"Parado")+COUNTIF($OI17:$OJ17,"Parado"))&gt;0),"Reação não entra com Parado",""),IF(AND((COUNTIF($MV17:$MY17,"Atrasar")+COUNTIF($OI17:$OJ17,"Atrasar"))&gt;0,(COUNTIF($MV17:$MY17,"Parado")+COUNTIF($OI17:$OJ17,"Parado"))&gt;0),"Atrasar não entra com Parado",""),IF(AND((COUNTIF($MV17:$MY17,"Armado")+COUNTIF($OI17:$OJ17,"Armado"))&gt;0,(COUNTIF($MV17:$MY17,"Carregar")+COUNTIF($OI17:$OJ17,"Carregar"))&gt;0),"Armado não entra com Carregar",""),IF(AND(COUNTIF($OI17:$OJ17,"Corpo a Corpo")&gt;0,$OD17=0,OR($MS17="Cone",$MS17="Linha")),"Corpo a Corpo não entra em "&amp;$MS17,""),IF(AND(COUNTIF($OI17:$OJ17,"Corpo a Corpo")&gt;0,$OD17=1),"A Forma "&amp;$MS17&amp;" já traz o Corpo a Corpo",""),IF(AND(COUNTIF($OI17:$OJ17,"Tudo ou Nada")&gt;0,$OF17=0),"Tudo ou Nada só entra em habilidade de Teste de Resistência",""),IF(AND(COUNTIF($MV17:$MY17,"Inescapável")&gt;0,OR($OS17&gt;1,$OT17&gt;0)),"Inescapável não aceita outra peça",""),IF(AND($MQ17&gt;0,$PB17*IF(COUNTIF($MV17:$MY17,"Remate")&gt;0,1.25,1)+$PC17&gt;4*$MQ17),($PB17*IF(COUNTIF($MV17:$MY17,"Remate")&gt;0,1.25,1)+$PC17)&amp;" dados somando repetições"&amp;IF(COUNTIF($MV17:$MY17,"Remate")&gt;0," e o Remate","")&amp;": o teto da Classe "&amp;$MQ17&amp;" é "&amp;4*$MQ17,"")))</f>
        <v/>
      </c>
      <c r="PS17" s="155">
        <f>IF($PR17="",0,(LEN($PR17)-LEN(SUBSTITUTE($PR17," · ","")))/3+1)</f>
        <v/>
      </c>
      <c r="PT17" s="155">
        <f>IF($NB17=0,"",TEXTJOIN(" · ",TRUE,IF($OV17&gt;2*$MQ17,"A devolução parou no teto de "&amp;2*$MQ17,""),IF($OY17&gt;0,"Devolução perdida: "&amp;$OY17&amp;IF($OY17&gt;1," pontos"," ponto")&amp;" sem peça para pagar",""),IF(AND($OA17&gt;0,AND($MQ17&gt;0,$OE17=0),$PB17=0),"Controle sem dano: uma rodada a mais e CD +2",""),IF(AND($OA17&gt;0,AND($MQ17&gt;0,$OE17=0),$PB17&gt;0,$PB17&lt;=$MQ17),"Controle com saldo até a Classe: uma rodada a mais",""),IF(AND($MQ17&gt;0,$OC17&lt;&gt;""),"Efeito de "&amp;$OC17&amp;" pela Classe "&amp;MAX(1,$MQ17-1),"")))</f>
        <v/>
      </c>
      <c r="PU17" s="155">
        <f>IF($PT17="",0,(LEN($PT17)-LEN(SUBSTITUTE($PT17," · ","")))/3+1)</f>
        <v/>
      </c>
      <c r="PV17" s="155">
        <f>IF($NB17=0,IF($OS17+COUNTIF($MZ17:$NA17,"?*")&gt;0,"Dê um nome",""),IF($PS17&gt;0,"⚠ "&amp;$PS17&amp;IF($PS17&gt;1," erros"," erro"),IF($PU17&gt;0,"! "&amp;$PU17&amp;IF($PU17&gt;1," avisos"," aviso"),"Na regra")))</f>
        <v/>
      </c>
      <c r="PW17" s="155">
        <f>IF($NB17=0,"",IF($PS17+$PU17=0,"Dentro das regras que a ficha confere",$PR17&amp;IF(AND($PS17&gt;0,$PU17&gt;0)," · ","")&amp;$PT17))</f>
        <v/>
      </c>
      <c r="PX17" s="155">
        <f>IF($MO17&gt;$NC17,$MP17&amp;" · ABRE NO NÍVEL "&amp;$MO17,$MP17)</f>
        <v/>
      </c>
      <c r="PY17" s="155">
        <f>IF($NB17=0,"",IF($MQ17=0,"Sem PE",3*$MQ17&amp;" PE"))</f>
        <v/>
      </c>
      <c r="PZ17" s="155">
        <f>IF($NB17=0,"",IF($MQ17=0,"A atuação básica dela",IF(COUNTIF($OI17:$OJ17,"Atrasar")&gt;0,"Sua Ação Completa",IF(COUNTIF($MV17:$MY17,"Rápido")&gt;0,"Sua Bônus",IF(COUNTIF($MV17:$MY17,"Reação")&gt;0,"Sua Reação","Sua Padrão")))&amp;" + a básica dela"&amp;IF(COUNTIF($MV17:$MY17,"Reação")&gt;0," e a coletiva","")&amp;IF(COUNTIF($OI17:$OJ17,"Carregar")&gt;0," · em dois turnos","")))</f>
        <v/>
      </c>
      <c r="QA17" s="155">
        <f>IF($MU17&lt;&gt;"",$MU17,IF($NH17=0,"",INDEX($AA$2:$AA$11,$NH17)))</f>
        <v/>
      </c>
      <c r="QB17" s="155">
        <f>IF(OR($NB17=0,$NH17=0),"",IF(COUNTIF($MV17:$MY17,"Inescapável")&gt;0,"Automático",IF($QA17="Ataque",IF($NF17="","Ataque","Ataque "&amp;IF(($NF17+2*IF(COUNTIF($MV17:$MY17,"Precisão")&gt;0,1,0))&gt;=0,"+","−")&amp;ABS(($NF17+2*IF(COUNTIF($MV17:$MY17,"Precisão")&gt;0,1,0))))&amp;IF($OB17&gt;0," · TR"&amp;IF($NG17="",""," CD "&amp;$NG17),""),IF(LEFT($QA17,2)="TR",$QA17&amp;IF($NG17="",""," · CD "&amp;$NG17)&amp;IF(COUNTIF($MV17:$MY17,"Certeiro")&gt;0," · metade",""),"Sem rolagem"))))</f>
        <v/>
      </c>
      <c r="QC17" s="155">
        <f>IF(OR($NB17=0,$NH17=0),"",IF($MQ17=0,IF(OR($OE17&gt;=1,$PB17=0),"Sem dano",$PB17&amp;"d6"&amp;IF($MT17="",""," "&amp;$MT17)),IF(OR($OE17&gt;=1,$PB17=0),UPPER(LEFT(INDEX($PK17:$PQ17,1,MAX(1,$MQ17)),1))&amp;MID(INDEX($PK17:$PQ17,1,MAX(1,$MQ17)),2,99),UPPER(LEFT(INDEX($PK17:$PQ17,1,MAX(1,$MQ17)),1))&amp;MID(INDEX($PK17:$PQ17,1,MAX(1,$MQ17)),2,99)&amp;IF($MT17="",""," "&amp;$MT17)&amp;IF($PC17&gt;0," · +"&amp;$PC17&amp;"d8",""))))</f>
        <v/>
      </c>
      <c r="QD17" s="155">
        <f>COUNTIF($MV17:$MY17,"Longe")+3*COUNTIF($MV17:$MY17,"Muito Longe")</f>
        <v/>
      </c>
      <c r="QE17" s="155">
        <f>COUNTIF($MV17:$MY17,"Maior")+3*COUNTIF($MV17:$MY17,"Muito Maior")</f>
        <v/>
      </c>
      <c r="QF17" s="155">
        <f>IF($NH17=0,0,CHOOSE(1+INDEX($AC$2:$AC$11,$NH17),0,$QD17,$QE17,$QD17+$QE17))</f>
        <v/>
      </c>
      <c r="QG17" s="155">
        <f>IF($NH17=0,0,CHOOSE(1+INDEX($AD$2:$AD$11,$NH17),0,$QD17,$QE17,$QD17+$QE17))</f>
        <v/>
      </c>
      <c r="QH17" s="155">
        <f>IF(OR($NB17=0,$NH17=0),"",INDEX($AI$2:$AN$41,($NH17-1)*4+IF($MQ17=0,1,IF($MQ17&lt;=5,2,IF($MQ17=6,3,4))),1+MIN(5,$QF17))&amp;INDEX($AO$2:$AT$41,($NH17-1)*4+IF($MQ17=0,1,IF($MQ17&lt;=5,2,IF($MQ17=6,3,4))),1+MIN(5,$QG17))&amp;IF(INDEX($AE$2:$AE$11,$NH17)=1,IF(COUNTIF($MV17:$MY17,"Mais Um")&gt;0," · +"&amp;COUNTIF($MV17:$MY17,"Mais Um")&amp;IF(COUNTIF($MV17:$MY17,"Mais Um")&gt;1," alvos"," alvo"),"")&amp;IF(COUNTIF($MV17:$MY17,"Rajada")&gt;0,IF($MQ17=0," · 1 tiro"," · "&amp;(MAX(1,$MQ17-1)+1)&amp;" tiros"),""),""))</f>
        <v/>
      </c>
      <c r="QI17" s="155">
        <f>IF($NB17=0,"",IF($MQ17=0,$NE17&amp;"d6"&amp;IF($OS17&gt;0," − 1 = "&amp;$PB17&amp;"d6"," da básica do nível "&amp;$NC17),$OZ17&amp;" − "&amp;$OU17&amp;" + "&amp;$OX17&amp;" = "&amp;$PA17&amp;" · teto "&amp;4*$MQ17&amp;"d8"&amp;IF($OD17=1," · a Forma devolve "&amp;$MQ17,"")&amp;IF($OY17&gt;0," · perde "&amp;$OY17,"")))</f>
        <v/>
      </c>
      <c r="QJ17" s="155">
        <f>IF($NB17=0,"",IF($MQ17=0,"A básica não amplia: os dados dela sobem com o nível",IF($MQ17&gt;=$ND17,"Já está na maior Classe que o nível liberou",TEXTJOIN(" · ",TRUE,IF(AND(2&gt;$MQ17,2&lt;=$ND17),"2 → "&amp;$PL17&amp;", 6 PE",""),IF(AND(3&gt;$MQ17,3&lt;=$ND17),"3 → "&amp;$PM17&amp;", 9 PE",""),IF(AND(4&gt;$MQ17,4&lt;=$ND17),"4 → "&amp;$PN17&amp;", 12 PE",""),IF(AND(5&gt;$MQ17,5&lt;=$ND17),"5 → "&amp;$PO17&amp;", 15 PE",""),IF(AND(6&gt;$MQ17,6&lt;=$ND17),"6 → "&amp;$PP17&amp;", 18 PE",""),IF(AND(7&gt;$MQ17,7&lt;=$ND17),"7 → "&amp;$PQ17&amp;", 21 PE","")))))</f>
        <v/>
      </c>
      <c r="QK17" s="155">
        <f>IF(OR($NB17=0,$NM17=0),"",IF($MQ17=0,"−1 dado","−"&amp;INDEX($I$2:$N$8,MAX(1,$MQ17),MAX(1,$NR17))&amp;" · "&amp;CHOOSE(MAX(1,$NR17),"Leve","Média","Pesada","Leve · Livre","Média · Livre","Pesada · Livre")))</f>
        <v/>
      </c>
      <c r="QL17" s="155">
        <f>IF(OR($NB17=0,$NN17=0),"",IF($MQ17=0,"−1 dado","−"&amp;INDEX($I$2:$N$8,MAX(1,$MQ17),MAX(1,$NS17))&amp;" · "&amp;CHOOSE(MAX(1,$NS17),"Leve","Média","Pesada","Leve · Livre","Média · Livre","Pesada · Livre")))</f>
        <v/>
      </c>
      <c r="QM17" s="155">
        <f>IF(OR($NB17=0,$NO17=0),"",IF($MQ17=0,"−1 dado","−"&amp;INDEX($I$2:$N$8,MAX(1,$MQ17),MAX(1,$NT17))&amp;" · "&amp;CHOOSE(MAX(1,$NT17),"Leve","Média","Pesada","Leve · Livre","Média · Livre","Pesada · Livre")))</f>
        <v/>
      </c>
      <c r="QN17" s="155">
        <f>IF(OR($NB17=0,$NP17=0),"",IF($MQ17=0,"−1 dado","−"&amp;INDEX($I$2:$N$8,MAX(1,$MQ17),MAX(1,$NU17))&amp;" · "&amp;CHOOSE(MAX(1,$NU17),"Leve","Média","Pesada","Leve · Livre","Média · Livre","Pesada · Livre")))</f>
        <v/>
      </c>
      <c r="QO17" s="155">
        <f>IF(OR($NB17=0,$MZ17=""),"",IF($MQ17=0,"não devolve","+"&amp;IF($OG17=1,CEILING($MQ17/2,1),$MQ17)))</f>
        <v/>
      </c>
      <c r="QP17" s="155">
        <f>IF(OR($NB17=0,$NA17=""),"",IF($MQ17=0,"não devolve","+"&amp;IF($OH17=1,CEILING($MQ17/2,1),$MQ17)))</f>
        <v/>
      </c>
    </row>
    <row r="18">
      <c r="AH18" s="153" t="inlineStr">
        <is>
          <t>Cone · classe 0</t>
        </is>
      </c>
      <c r="AI18" s="153" t="inlineStr">
        <is>
          <t>Cone de 3 m</t>
        </is>
      </c>
      <c r="AJ18" s="153" t="inlineStr">
        <is>
          <t>Cone de 4,5 m</t>
        </is>
      </c>
      <c r="AK18" s="153" t="inlineStr">
        <is>
          <t>Cone de 9 m</t>
        </is>
      </c>
      <c r="AL18" s="153" t="inlineStr">
        <is>
          <t>Cone de 18 m</t>
        </is>
      </c>
      <c r="AM18" s="153" t="inlineStr">
        <is>
          <t>Cone de 30 m</t>
        </is>
      </c>
      <c r="AN18" s="153" t="inlineStr">
        <is>
          <t>Cone de 60 m</t>
        </is>
      </c>
      <c r="AO18" s="153" t="inlineStr"/>
      <c r="AP18" s="153" t="inlineStr"/>
      <c r="AQ18" s="153" t="inlineStr"/>
      <c r="AR18" s="153" t="inlineStr"/>
      <c r="AS18" s="153" t="inlineStr"/>
      <c r="AT18" s="153" t="inlineStr"/>
      <c r="AV18" s="153" t="inlineStr">
        <is>
          <t>Certeiro</t>
        </is>
      </c>
      <c r="AW18" s="153" t="inlineStr">
        <is>
          <t>Mira</t>
        </is>
      </c>
      <c r="AX18" s="155" t="n">
        <v>2</v>
      </c>
      <c r="AY18" s="155" t="n">
        <v>0</v>
      </c>
      <c r="AZ18" s="155" t="n">
        <v>0</v>
      </c>
      <c r="BA18" s="155" t="n">
        <v>0</v>
      </c>
      <c r="BC18" s="153" t="inlineStr">
        <is>
          <t>Aquecer</t>
        </is>
      </c>
      <c r="BD18" s="153" t="inlineStr">
        <is>
          <t>Aquecer</t>
        </is>
      </c>
      <c r="BE18" s="155" t="n">
        <v>1</v>
      </c>
      <c r="BF18" s="155" t="n">
        <v>1</v>
      </c>
      <c r="BG18" s="153" t="inlineStr">
        <is>
          <t>Aquecer</t>
        </is>
      </c>
      <c r="CC18" s="153" t="inlineStr">
        <is>
          <t>Sentir Energia</t>
        </is>
      </c>
      <c r="CD18" s="153" t="inlineStr">
        <is>
          <t>Essência</t>
        </is>
      </c>
      <c r="JR18" s="155">
        <f>IF(OR($AW18="",COUNTIF($EJ$2:$EN$2,$AW18)&gt;0),$AV18,"")</f>
        <v/>
      </c>
      <c r="JS18" s="155">
        <f>IF(AND($AX18=1,OR($AW18="",COUNTIF($EJ$2:$EN$2,$AW18)&gt;0)),$AV18,"")</f>
        <v/>
      </c>
      <c r="JX18" s="155">
        <f>IF(OR($AW18="",COUNTIF($EJ$3:$EN$3,$AW18)&gt;0),$AV18,"")</f>
        <v/>
      </c>
      <c r="JY18" s="155">
        <f>IF(AND($AX18=1,OR($AW18="",COUNTIF($EJ$3:$EN$3,$AW18)&gt;0)),$AV18,"")</f>
        <v/>
      </c>
      <c r="KD18" s="155">
        <f>IF(OR($AW18="",COUNTIF($EJ$4:$EN$4,$AW18)&gt;0),$AV18,"")</f>
        <v/>
      </c>
      <c r="KE18" s="155">
        <f>IF(AND($AX18=1,OR($AW18="",COUNTIF($EJ$4:$EN$4,$AW18)&gt;0)),$AV18,"")</f>
        <v/>
      </c>
      <c r="KJ18" s="155">
        <f>IF(OR($AW18="",COUNTIF($EJ$5:$EN$5,$AW18)&gt;0),$AV18,"")</f>
        <v/>
      </c>
      <c r="KK18" s="155">
        <f>IF(AND($AX18=1,OR($AW18="",COUNTIF($EJ$5:$EN$5,$AW18)&gt;0)),$AV18,"")</f>
        <v/>
      </c>
      <c r="KP18" s="155">
        <f>IF(OR($AW18="",COUNTIF($EJ$6:$EN$6,$AW18)&gt;0),$AV18,"")</f>
        <v/>
      </c>
      <c r="KQ18" s="155">
        <f>IF(AND($AX18=1,OR($AW18="",COUNTIF($EJ$6:$EN$6,$AW18)&gt;0)),$AV18,"")</f>
        <v/>
      </c>
      <c r="KV18" s="155">
        <f>IF(OR($AW18="",COUNTIF($EJ$7:$EN$7,$AW18)&gt;0),$AV18,"")</f>
        <v/>
      </c>
      <c r="KW18" s="155">
        <f>IF(AND($AX18=1,OR($AW18="",COUNTIF($EJ$7:$EN$7,$AW18)&gt;0)),$AV18,"")</f>
        <v/>
      </c>
      <c r="LB18" s="155">
        <f>IF(OR($AW18="",COUNTIF($EJ$8:$EN$8,$AW18)&gt;0),$AV18,"")</f>
        <v/>
      </c>
      <c r="LC18" s="155">
        <f>IF(AND($AX18=1,OR($AW18="",COUNTIF($EJ$8:$EN$8,$AW18)&gt;0)),$AV18,"")</f>
        <v/>
      </c>
      <c r="LH18" s="155">
        <f>IF(OR($AW18="",COUNTIF($EJ$9:$EN$9,$AW18)&gt;0),$AV18,"")</f>
        <v/>
      </c>
      <c r="LI18" s="155">
        <f>IF(AND($AX18=1,OR($AW18="",COUNTIF($EJ$9:$EN$9,$AW18)&gt;0)),$AV18,"")</f>
        <v/>
      </c>
      <c r="LN18" s="155">
        <f>IF(OR($AW18="",COUNTIF($EJ$10:$EN$10,$AW18)&gt;0),$AV18,"")</f>
        <v/>
      </c>
      <c r="LO18" s="155">
        <f>IF(AND($AX18=1,OR($AW18="",COUNTIF($EJ$10:$EN$10,$AW18)&gt;0)),$AV18,"")</f>
        <v/>
      </c>
      <c r="LT18" s="155">
        <f>IF(OR($AW18="",COUNTIF($EJ$11:$EN$11,$AW18)&gt;0),$AV18,"")</f>
        <v/>
      </c>
      <c r="LU18" s="155">
        <f>IF(AND($AX18=1,OR($AW18="",COUNTIF($EJ$11:$EN$11,$AW18)&gt;0)),$AV18,"")</f>
        <v/>
      </c>
      <c r="LZ18" s="155">
        <f>IF(OR($AW18="",COUNTIF($EJ$12:$EN$12,$AW18)&gt;0),$AV18,"")</f>
        <v/>
      </c>
      <c r="MA18" s="155">
        <f>IF(AND($AX18=1,OR($AW18="",COUNTIF($EJ$12:$EN$12,$AW18)&gt;0)),$AV18,"")</f>
        <v/>
      </c>
      <c r="MF18" s="155">
        <f>IF(OR($AW18="",COUNTIF($EJ$13:$EN$13,$AW18)&gt;0),$AV18,"")</f>
        <v/>
      </c>
      <c r="MG18" s="155">
        <f>IF(AND($AX18=1,OR($AW18="",COUNTIF($EJ$13:$EN$13,$AW18)&gt;0)),$AV18,"")</f>
        <v/>
      </c>
      <c r="ML18" s="153" t="inlineStr">
        <is>
          <t>Ficha 2 · Básica 2</t>
        </is>
      </c>
      <c r="MM18" s="155" t="n">
        <v>2</v>
      </c>
      <c r="MN18" s="155" t="n">
        <v>0</v>
      </c>
      <c r="MO18" s="155" t="n">
        <v>11</v>
      </c>
      <c r="MP18" s="153" t="inlineStr">
        <is>
          <t>BÁSICA 2</t>
        </is>
      </c>
      <c r="MQ18" s="155" t="n">
        <v>0</v>
      </c>
      <c r="MR18" s="155">
        <f>'INVOCAÇÕES'!$J$290&amp;""</f>
        <v/>
      </c>
      <c r="MS18" s="155">
        <f>'INVOCAÇÕES'!$I$295&amp;""</f>
        <v/>
      </c>
      <c r="MT18" s="155">
        <f>'INVOCAÇÕES'!$I$296&amp;""</f>
        <v/>
      </c>
      <c r="MU18" s="155">
        <f>'INVOCAÇÕES'!$K$296&amp;""</f>
        <v/>
      </c>
      <c r="MV18" s="155">
        <f>'INVOCAÇÕES'!$J$299&amp;""</f>
        <v/>
      </c>
      <c r="MW18" s="155">
        <f>'INVOCAÇÕES'!$J$300&amp;""</f>
        <v/>
      </c>
      <c r="MX18" s="155">
        <f>'INVOCAÇÕES'!$J$301&amp;""</f>
        <v/>
      </c>
      <c r="MY18" s="155">
        <f>'INVOCAÇÕES'!$J$302&amp;""</f>
        <v/>
      </c>
      <c r="MZ18" s="155">
        <f>'INVOCAÇÕES'!$J$303&amp;""</f>
        <v/>
      </c>
      <c r="NA18" s="155">
        <f>'INVOCAÇÕES'!$J$304&amp;""</f>
        <v/>
      </c>
      <c r="NB18" s="155">
        <f>IF($MR18&lt;&gt;"",1,0)</f>
        <v/>
      </c>
      <c r="NC18" s="155">
        <f>INDEX($FM$2:$FM$13,$MM18)</f>
        <v/>
      </c>
      <c r="ND18" s="155">
        <f>INDEX($FN$2:$FN$13,$MM18)</f>
        <v/>
      </c>
      <c r="NE18" s="155">
        <f>INDEX($FO$2:$FO$13,$MM18)</f>
        <v/>
      </c>
      <c r="NF18" s="155">
        <f>INDEX($FZ$2:$FZ$13,$MM18)</f>
        <v/>
      </c>
      <c r="NG18" s="155">
        <f>INDEX($GA$2:$GA$13,$MM18)</f>
        <v/>
      </c>
      <c r="NH18" s="155">
        <f>IFERROR(MATCH($MS18,$V$2:$V$11,0),0)</f>
        <v/>
      </c>
      <c r="NI18" s="155">
        <f>IFERROR(VLOOKUP($MV18,$AV$2:$BA$84,2,FALSE),"")</f>
        <v/>
      </c>
      <c r="NJ18" s="155">
        <f>IFERROR(VLOOKUP($MW18,$AV$2:$BA$84,2,FALSE),"")</f>
        <v/>
      </c>
      <c r="NK18" s="155">
        <f>IFERROR(VLOOKUP($MX18,$AV$2:$BA$84,2,FALSE),"")</f>
        <v/>
      </c>
      <c r="NL18" s="155">
        <f>IFERROR(VLOOKUP($MY18,$AV$2:$BA$84,2,FALSE),"")</f>
        <v/>
      </c>
      <c r="NM18" s="155">
        <f>IFERROR(VLOOKUP($MV18,$AV$2:$BA$84,3,FALSE),0)</f>
        <v/>
      </c>
      <c r="NN18" s="155">
        <f>IFERROR(VLOOKUP($MW18,$AV$2:$BA$84,3,FALSE),0)</f>
        <v/>
      </c>
      <c r="NO18" s="155">
        <f>IFERROR(VLOOKUP($MX18,$AV$2:$BA$84,3,FALSE),0)</f>
        <v/>
      </c>
      <c r="NP18" s="155">
        <f>IFERROR(VLOOKUP($MY18,$AV$2:$BA$84,3,FALSE),0)</f>
        <v/>
      </c>
      <c r="NQ18" s="155">
        <f>IF($MQ18=0,0,IF($NH18=0,0,INDEX($X$2:$X$11,$NH18)))</f>
        <v/>
      </c>
      <c r="NR18" s="155">
        <f>IF(OR($NM18=0,$MQ18=0),0,$NM18+3*IF(AND($NI18&lt;&gt;"",OR($NI18=INDEX($EJ$2:$EJ$13,$MM18),$NI18=INDEX($EK$2:$EK$13,$MM18))),1,0))</f>
        <v/>
      </c>
      <c r="NS18" s="155">
        <f>IF(OR($NN18=0,$MQ18=0),0,$NN18+3*IF(AND($NJ18&lt;&gt;"",OR($NJ18=INDEX($EJ$2:$EJ$13,$MM18),$NJ18=INDEX($EK$2:$EK$13,$MM18))),1,0))</f>
        <v/>
      </c>
      <c r="NT18" s="155">
        <f>IF(OR($NO18=0,$MQ18=0),0,$NO18+3*IF(AND($NK18&lt;&gt;"",OR($NK18=INDEX($EJ$2:$EJ$13,$MM18),$NK18=INDEX($EK$2:$EK$13,$MM18))),1,0))</f>
        <v/>
      </c>
      <c r="NU18" s="155">
        <f>IF(OR($NP18=0,$MQ18=0),0,$NP18+3*IF(AND($NL18&lt;&gt;"",OR($NL18=INDEX($EJ$2:$EJ$13,$MM18),$NL18=INDEX($EK$2:$EK$13,$MM18))),1,0))</f>
        <v/>
      </c>
      <c r="NV18" s="155">
        <f>IF($NH18=0,0,IF(INDEX($W$2:$W$11,$NH18)="",0,IF(COUNTIF(INDEX($EJ$2:$EN$13,$MM18,0),INDEX($W$2:$W$11,$NH18))=0,1,0)))</f>
        <v/>
      </c>
      <c r="NW18" s="155">
        <f>IF(OR($NM18=0,$NI18=""),0,IF(COUNTIF(INDEX($EJ$2:$EN$13,$MM18,0),$NI18)=0,1,0))</f>
        <v/>
      </c>
      <c r="NX18" s="155">
        <f>IF(OR($NN18=0,$NJ18=""),0,IF(COUNTIF(INDEX($EJ$2:$EN$13,$MM18,0),$NJ18)=0,1,0))</f>
        <v/>
      </c>
      <c r="NY18" s="155">
        <f>IF(OR($NO18=0,$NK18=""),0,IF(COUNTIF(INDEX($EJ$2:$EN$13,$MM18,0),$NK18)=0,1,0))</f>
        <v/>
      </c>
      <c r="NZ18" s="155">
        <f>IF(OR($NP18=0,$NL18=""),0,IF(COUNTIF(INDEX($EJ$2:$EN$13,$MM18,0),$NL18)=0,1,0))</f>
        <v/>
      </c>
      <c r="OA18" s="155">
        <f>IFERROR(VLOOKUP($MV18,$AV$2:$BA$84,4,FALSE),0)+IFERROR(VLOOKUP($MW18,$AV$2:$BA$84,4,FALSE),0)+IFERROR(VLOOKUP($MX18,$AV$2:$BA$84,4,FALSE),0)+IFERROR(VLOOKUP($MY18,$AV$2:$BA$84,4,FALSE),0)</f>
        <v/>
      </c>
      <c r="OB18" s="155">
        <f>IFERROR(VLOOKUP($MV18,$AV$2:$BA$84,6,FALSE),0)+IFERROR(VLOOKUP($MW18,$AV$2:$BA$84,6,FALSE),0)+IFERROR(VLOOKUP($MX18,$AV$2:$BA$84,6,FALSE),0)+IFERROR(VLOOKUP($MY18,$AV$2:$BA$84,6,FALSE),0)</f>
        <v/>
      </c>
      <c r="OC18" s="155">
        <f>TEXTJOIN(", ",TRUE,IF(IFERROR(VLOOKUP($MV18,$AV$2:$BA$84,5,FALSE),0)=1,$MV18,""),IF(IFERROR(VLOOKUP($MW18,$AV$2:$BA$84,5,FALSE),0)=1,$MW18,""),IF(IFERROR(VLOOKUP($MX18,$AV$2:$BA$84,5,FALSE),0)=1,$MX18,""),IF(IFERROR(VLOOKUP($MY18,$AV$2:$BA$84,5,FALSE),0)=1,$MY18,""))</f>
        <v/>
      </c>
      <c r="OD18" s="155">
        <f>IF($NH18=0,0,INDEX($Y$2:$Y$11,$NH18))</f>
        <v/>
      </c>
      <c r="OE18" s="155">
        <f>IF($NH18=0,0,INDEX($Z$2:$Z$11,$NH18))</f>
        <v/>
      </c>
      <c r="OF18" s="155">
        <f>IF($NH18=0,0,INDEX($AB$2:$AB$11,$NH18))</f>
        <v/>
      </c>
      <c r="OG18" s="155">
        <f>IFERROR(VLOOKUP($MZ18,$BC$2:$BG$24,3,FALSE),0)</f>
        <v/>
      </c>
      <c r="OH18" s="155">
        <f>IFERROR(VLOOKUP($NA18,$BC$2:$BG$24,3,FALSE),0)</f>
        <v/>
      </c>
      <c r="OI18" s="155">
        <f>IFERROR(VLOOKUP($MZ18,$BC$2:$BG$24,2,FALSE),"")</f>
        <v/>
      </c>
      <c r="OJ18" s="155">
        <f>IFERROR(VLOOKUP($NA18,$BC$2:$BG$24,2,FALSE),"")</f>
        <v/>
      </c>
      <c r="OK18" s="155">
        <f>COUNTIF($NQ18:$NU18,1)</f>
        <v/>
      </c>
      <c r="OL18" s="155">
        <f>COUNTIF($NQ18:$NU18,2)</f>
        <v/>
      </c>
      <c r="OM18" s="155">
        <f>COUNTIF($NQ18:$NU18,3)</f>
        <v/>
      </c>
      <c r="ON18" s="155">
        <f>COUNTIF($NQ18:$NU18,4)</f>
        <v/>
      </c>
      <c r="OO18" s="155">
        <f>COUNTIF($NQ18:$NU18,5)</f>
        <v/>
      </c>
      <c r="OP18" s="155">
        <f>COUNTIF($NQ18:$NU18,6)</f>
        <v/>
      </c>
      <c r="OQ18" s="155">
        <f>COUNTIF($OG18:$OH18,1)</f>
        <v/>
      </c>
      <c r="OR18" s="155">
        <f>COUNTIF($OG18:$OH18,2)+$OD18</f>
        <v/>
      </c>
      <c r="OS18" s="155">
        <f>COUNTIF($MV18:$MY18,"?*")</f>
        <v/>
      </c>
      <c r="OT18" s="155">
        <f>COUNTIF($MZ18:$NA18,"?*")+$OD18</f>
        <v/>
      </c>
      <c r="OU18" s="155">
        <f>IF($MQ18=0,0,SUMPRODUCT($OK18:$OP18,INDEX($I$2:$N$8,MAX(1,$MQ18),0)))</f>
        <v/>
      </c>
      <c r="OV18" s="155">
        <f>IF($MQ18=0,0,$OQ18*CEILING($MQ18/2,1)+$OR18*$MQ18)</f>
        <v/>
      </c>
      <c r="OW18" s="155">
        <f>MIN(2*$MQ18,$OV18)</f>
        <v/>
      </c>
      <c r="OX18" s="155">
        <f>MIN($OW18,$OU18)</f>
        <v/>
      </c>
      <c r="OY18" s="155">
        <f>$OW18-$OX18</f>
        <v/>
      </c>
      <c r="OZ18" s="155">
        <f>IF($MQ18=0,0,INDEX($P$2:$P$8,MAX(1,$MQ18)))</f>
        <v/>
      </c>
      <c r="PA18" s="155">
        <f>$OZ18-$OU18+$OX18</f>
        <v/>
      </c>
      <c r="PB18" s="155">
        <f>IF($MQ18=0,MAX(0,$NE18-IF($OS18&gt;0,1,0)),MAX(0,$PA18))</f>
        <v/>
      </c>
      <c r="PC18" s="155">
        <f>IF($MQ18=0,0,(IF(COUNTIF($MV18:$MY18,"Salto")&gt;0,1,0)+IF(COUNTIF($MV18:$MY18,"Queima")&gt;0,1,0)+IF(COUNTIF($MV18:$MY18,"Estilhaço")&gt;0,1,0))*FLOOR($PB18/2,1))</f>
        <v/>
      </c>
      <c r="PD18" s="155">
        <f>MAX(0,2-SUMPRODUCT($OK18:$OP18,$I$2:$N$2)+MIN(2,$OQ18*1+$OR18*1,SUMPRODUCT($OK18:$OP18,$I$2:$N$2)))</f>
        <v/>
      </c>
      <c r="PE18" s="155">
        <f>MAX(0,4-SUMPRODUCT($OK18:$OP18,$I$3:$N$3)+MIN(4,$OQ18*1+$OR18*2,SUMPRODUCT($OK18:$OP18,$I$3:$N$3)))</f>
        <v/>
      </c>
      <c r="PF18" s="155">
        <f>MAX(0,6-SUMPRODUCT($OK18:$OP18,$I$4:$N$4)+MIN(6,$OQ18*2+$OR18*3,SUMPRODUCT($OK18:$OP18,$I$4:$N$4)))</f>
        <v/>
      </c>
      <c r="PG18" s="155">
        <f>MAX(0,9-SUMPRODUCT($OK18:$OP18,$I$5:$N$5)+MIN(8,$OQ18*2+$OR18*4,SUMPRODUCT($OK18:$OP18,$I$5:$N$5)))</f>
        <v/>
      </c>
      <c r="PH18" s="155">
        <f>MAX(0,11-SUMPRODUCT($OK18:$OP18,$I$6:$N$6)+MIN(10,$OQ18*3+$OR18*5,SUMPRODUCT($OK18:$OP18,$I$6:$N$6)))</f>
        <v/>
      </c>
      <c r="PI18" s="155">
        <f>MAX(0,13-SUMPRODUCT($OK18:$OP18,$I$7:$N$7)+MIN(12,$OQ18*3+$OR18*6,SUMPRODUCT($OK18:$OP18,$I$7:$N$7)))</f>
        <v/>
      </c>
      <c r="PJ18" s="155">
        <f>MAX(0,16-SUMPRODUCT($OK18:$OP18,$I$8:$N$8)+MIN(14,$OQ18*4+$OR18*7,SUMPRODUCT($OK18:$OP18,$I$8:$N$8)))</f>
        <v/>
      </c>
      <c r="PK18" s="155">
        <f>IF($OE18=2,3*$PD18&amp;" de vida temp.",IF($OE18=3,"sem dano",IF($PD18=0,IF($OE18=1,"sem cura","sem dano"),IF($OE18=1,"cura ","")&amp;$PD18&amp;"d8")))</f>
        <v/>
      </c>
      <c r="PL18" s="155">
        <f>IF($OE18=2,3*$PE18&amp;" de vida temp.",IF($OE18=3,"sem dano",IF($PE18=0,IF($OE18=1,"sem cura","sem dano"),IF($OE18=1,"cura ","")&amp;$PE18&amp;"d8")))</f>
        <v/>
      </c>
      <c r="PM18" s="155">
        <f>IF($OE18=2,3*$PF18&amp;" de vida temp.",IF($OE18=3,"sem dano",IF($PF18=0,IF($OE18=1,"sem cura","sem dano"),IF($OE18=1,"cura ","")&amp;$PF18&amp;"d8")))</f>
        <v/>
      </c>
      <c r="PN18" s="155">
        <f>IF($OE18=2,3*$PG18&amp;" de vida temp.",IF($OE18=3,"sem dano",IF($PG18=0,IF($OE18=1,"sem cura","sem dano"),IF($OE18=1,"cura ","")&amp;$PG18&amp;"d8")))</f>
        <v/>
      </c>
      <c r="PO18" s="155">
        <f>IF($OE18=2,3*$PH18&amp;" de vida temp.",IF($OE18=3,"sem dano",IF($PH18=0,IF($OE18=1,"sem cura","sem dano"),IF($OE18=1,"cura ","")&amp;$PH18&amp;"d8")))</f>
        <v/>
      </c>
      <c r="PP18" s="155">
        <f>IF($OE18=2,3*$PI18&amp;" de vida temp.",IF($OE18=3,"sem dano",IF($PI18=0,IF($OE18=1,"sem cura","sem dano"),IF($OE18=1,"cura ","")&amp;$PI18&amp;"d8")))</f>
        <v/>
      </c>
      <c r="PQ18" s="155">
        <f>IF($OE18=2,3*$PJ18&amp;" de vida temp.",IF($OE18=3,"sem dano",IF($PJ18=0,IF($OE18=1,"sem cura","sem dano"),IF($OE18=1,"cura ","")&amp;$PJ18&amp;"d8")))</f>
        <v/>
      </c>
      <c r="PR18" s="155">
        <f>IF($NB18=0,"",TEXTJOIN(" · ",TRUE,IF($MO18&gt;$NC18,"Este lugar abre no nível "&amp;$MO18,""),IF($MQ18&gt;$ND18,"Classe "&amp;$MQ18&amp;": o nível "&amp;$NC18&amp;" libera até a "&amp;$ND18,""),IF($NV18=1,"A Forma "&amp;$MS18&amp;" pede "&amp;INDEX($W$2:$W$11,$NH18)&amp;" aberta",""),IF(AND($MQ18=0,$NH18&gt;0,IF($NH18=0,0,INDEX($AF$2:$AF$11,$NH18))=0),$MS18&amp;" não existe na Classe 0",""),IF($NW18=1,"Família Fechada: "&amp;$MV18,""),IF($NX18=1,"Família Fechada: "&amp;$MW18,""),IF($NY18=1,"Família Fechada: "&amp;$MX18,""),IF($NZ18=1,"Família Fechada: "&amp;$MY18,""),IF(AND($MQ18&gt;0,$OS18&gt;INDEX($O$2:$O$8,MAX(1,$MQ18))),$OS18&amp;" Melhorias: a Classe "&amp;$MQ18&amp;" aceita "&amp;INDEX($O$2:$O$8,MAX(1,$MQ18)),""),IF(AND($MQ18=0,$OS18&gt;1),"A básica aceita uma Melhoria",""),IF(AND($MQ18=0,COUNTIF($NM18:$NP18,"&gt;1")&gt;0),"A básica só aceita Melhoria Leve",""),IF(AND($MQ18&gt;0,$OT18&gt;2),$OT18&amp;" Restrições"&amp;IF($OD18=1,", contando a que a Forma "&amp;$MS18&amp;" já traz","")&amp;": o limite é 2",""),IF(AND($MQ18=0,COUNTIF($MZ18:$NA18,"?*")&gt;1),"A básica aceita uma Restrição Leve",""),IF(AND($MQ18=0,COUNTIF($OG18:$OH18,2)&gt;0),"A básica só aceita Restrição Leve",""),IF(AND($MQ18&gt;0,$PA18&lt;0),"Orçamento estourado: faltam "&amp;(-$PA18)&amp;IF($PA18&lt;-1," pontos"," ponto"),""),IF(IFERROR(VLOOKUP($MZ18,$BC$2:$BG$24,4,FALSE),0)+IFERROR(VLOOKUP($NA18,$BC$2:$BG$24,4,FALSE),0)&gt;1,$OI18&amp;" e "&amp;$OJ18&amp;" são as duas de frequência",""),IF(AND((COUNTIF($MV18:$MY18,"Rápido")+COUNTIF($OI18:$OJ18,"Rápido"))&gt;0,(COUNTIF($MV18:$MY18,"Atrasar")+COUNTIF($OI18:$OJ18,"Atrasar"))&gt;0),"Rápido não entra com Atrasar",""),IF(AND((COUNTIF($MV18:$MY18,"Reação")+COUNTIF($OI18:$OJ18,"Reação"))&gt;0,(COUNTIF($MV18:$MY18,"Rápido")+COUNTIF($OI18:$OJ18,"Rápido"))&gt;0),"Reação não entra com Rápido",""),IF(AND((COUNTIF($MV18:$MY18,"Reação")+COUNTIF($OI18:$OJ18,"Reação"))&gt;0,(COUNTIF($MV18:$MY18,"Armado")+COUNTIF($OI18:$OJ18,"Armado"))&gt;0),"Reação não entra com Armado",""),IF(AND((COUNTIF($MV18:$MY18,"Reação")+COUNTIF($OI18:$OJ18,"Reação"))&gt;0,(COUNTIF($MV18:$MY18,"Atrasar")+COUNTIF($OI18:$OJ18,"Atrasar"))&gt;0),"Reação não entra com Atrasar",""),IF(AND((COUNTIF($MV18:$MY18,"Reação")+COUNTIF($OI18:$OJ18,"Reação"))&gt;0,(COUNTIF($MV18:$MY18,"Parado")+COUNTIF($OI18:$OJ18,"Parado"))&gt;0),"Reação não entra com Parado",""),IF(AND((COUNTIF($MV18:$MY18,"Atrasar")+COUNTIF($OI18:$OJ18,"Atrasar"))&gt;0,(COUNTIF($MV18:$MY18,"Parado")+COUNTIF($OI18:$OJ18,"Parado"))&gt;0),"Atrasar não entra com Parado",""),IF(AND((COUNTIF($MV18:$MY18,"Armado")+COUNTIF($OI18:$OJ18,"Armado"))&gt;0,(COUNTIF($MV18:$MY18,"Carregar")+COUNTIF($OI18:$OJ18,"Carregar"))&gt;0),"Armado não entra com Carregar",""),IF(AND(COUNTIF($OI18:$OJ18,"Corpo a Corpo")&gt;0,$OD18=0,OR($MS18="Cone",$MS18="Linha")),"Corpo a Corpo não entra em "&amp;$MS18,""),IF(AND(COUNTIF($OI18:$OJ18,"Corpo a Corpo")&gt;0,$OD18=1),"A Forma "&amp;$MS18&amp;" já traz o Corpo a Corpo",""),IF(AND(COUNTIF($OI18:$OJ18,"Tudo ou Nada")&gt;0,$OF18=0),"Tudo ou Nada só entra em habilidade de Teste de Resistência",""),IF(AND(COUNTIF($MV18:$MY18,"Inescapável")&gt;0,OR($OS18&gt;1,$OT18&gt;0)),"Inescapável não aceita outra peça",""),IF(AND($MQ18&gt;0,$PB18*IF(COUNTIF($MV18:$MY18,"Remate")&gt;0,1.25,1)+$PC18&gt;4*$MQ18),($PB18*IF(COUNTIF($MV18:$MY18,"Remate")&gt;0,1.25,1)+$PC18)&amp;" dados somando repetições"&amp;IF(COUNTIF($MV18:$MY18,"Remate")&gt;0," e o Remate","")&amp;": o teto da Classe "&amp;$MQ18&amp;" é "&amp;4*$MQ18,"")))</f>
        <v/>
      </c>
      <c r="PS18" s="155">
        <f>IF($PR18="",0,(LEN($PR18)-LEN(SUBSTITUTE($PR18," · ","")))/3+1)</f>
        <v/>
      </c>
      <c r="PT18" s="155">
        <f>IF($NB18=0,"",TEXTJOIN(" · ",TRUE,IF($OV18&gt;2*$MQ18,"A devolução parou no teto de "&amp;2*$MQ18,""),IF($OY18&gt;0,"Devolução perdida: "&amp;$OY18&amp;IF($OY18&gt;1," pontos"," ponto")&amp;" sem peça para pagar",""),IF(AND($OA18&gt;0,AND($MQ18&gt;0,$OE18=0),$PB18=0),"Controle sem dano: uma rodada a mais e CD +2",""),IF(AND($OA18&gt;0,AND($MQ18&gt;0,$OE18=0),$PB18&gt;0,$PB18&lt;=$MQ18),"Controle com saldo até a Classe: uma rodada a mais",""),IF(AND($MQ18&gt;0,$OC18&lt;&gt;""),"Efeito de "&amp;$OC18&amp;" pela Classe "&amp;MAX(1,$MQ18-1),"")))</f>
        <v/>
      </c>
      <c r="PU18" s="155">
        <f>IF($PT18="",0,(LEN($PT18)-LEN(SUBSTITUTE($PT18," · ","")))/3+1)</f>
        <v/>
      </c>
      <c r="PV18" s="155">
        <f>IF($NB18=0,IF($OS18+COUNTIF($MZ18:$NA18,"?*")&gt;0,"Dê um nome",""),IF($PS18&gt;0,"⚠ "&amp;$PS18&amp;IF($PS18&gt;1," erros"," erro"),IF($PU18&gt;0,"! "&amp;$PU18&amp;IF($PU18&gt;1," avisos"," aviso"),"Na regra")))</f>
        <v/>
      </c>
      <c r="PW18" s="155">
        <f>IF($NB18=0,"",IF($PS18+$PU18=0,"Dentro das regras que a ficha confere",$PR18&amp;IF(AND($PS18&gt;0,$PU18&gt;0)," · ","")&amp;$PT18))</f>
        <v/>
      </c>
      <c r="PX18" s="155">
        <f>IF($MO18&gt;$NC18,$MP18&amp;" · ABRE NO NÍVEL "&amp;$MO18,$MP18)</f>
        <v/>
      </c>
      <c r="PY18" s="155">
        <f>IF($NB18=0,"",IF($MQ18=0,"Sem PE",3*$MQ18&amp;" PE"))</f>
        <v/>
      </c>
      <c r="PZ18" s="155">
        <f>IF($NB18=0,"",IF($MQ18=0,"A atuação básica dela",IF(COUNTIF($OI18:$OJ18,"Atrasar")&gt;0,"Sua Ação Completa",IF(COUNTIF($MV18:$MY18,"Rápido")&gt;0,"Sua Bônus",IF(COUNTIF($MV18:$MY18,"Reação")&gt;0,"Sua Reação","Sua Padrão")))&amp;" + a básica dela"&amp;IF(COUNTIF($MV18:$MY18,"Reação")&gt;0," e a coletiva","")&amp;IF(COUNTIF($OI18:$OJ18,"Carregar")&gt;0," · em dois turnos","")))</f>
        <v/>
      </c>
      <c r="QA18" s="155">
        <f>IF($MU18&lt;&gt;"",$MU18,IF($NH18=0,"",INDEX($AA$2:$AA$11,$NH18)))</f>
        <v/>
      </c>
      <c r="QB18" s="155">
        <f>IF(OR($NB18=0,$NH18=0),"",IF(COUNTIF($MV18:$MY18,"Inescapável")&gt;0,"Automático",IF($QA18="Ataque",IF($NF18="","Ataque","Ataque "&amp;IF(($NF18+2*IF(COUNTIF($MV18:$MY18,"Precisão")&gt;0,1,0))&gt;=0,"+","−")&amp;ABS(($NF18+2*IF(COUNTIF($MV18:$MY18,"Precisão")&gt;0,1,0))))&amp;IF($OB18&gt;0," · TR"&amp;IF($NG18="",""," CD "&amp;$NG18),""),IF(LEFT($QA18,2)="TR",$QA18&amp;IF($NG18="",""," · CD "&amp;$NG18)&amp;IF(COUNTIF($MV18:$MY18,"Certeiro")&gt;0," · metade",""),"Sem rolagem"))))</f>
        <v/>
      </c>
      <c r="QC18" s="155">
        <f>IF(OR($NB18=0,$NH18=0),"",IF($MQ18=0,IF(OR($OE18&gt;=1,$PB18=0),"Sem dano",$PB18&amp;"d6"&amp;IF($MT18="",""," "&amp;$MT18)),IF(OR($OE18&gt;=1,$PB18=0),UPPER(LEFT(INDEX($PK18:$PQ18,1,MAX(1,$MQ18)),1))&amp;MID(INDEX($PK18:$PQ18,1,MAX(1,$MQ18)),2,99),UPPER(LEFT(INDEX($PK18:$PQ18,1,MAX(1,$MQ18)),1))&amp;MID(INDEX($PK18:$PQ18,1,MAX(1,$MQ18)),2,99)&amp;IF($MT18="",""," "&amp;$MT18)&amp;IF($PC18&gt;0," · +"&amp;$PC18&amp;"d8",""))))</f>
        <v/>
      </c>
      <c r="QD18" s="155">
        <f>COUNTIF($MV18:$MY18,"Longe")+3*COUNTIF($MV18:$MY18,"Muito Longe")</f>
        <v/>
      </c>
      <c r="QE18" s="155">
        <f>COUNTIF($MV18:$MY18,"Maior")+3*COUNTIF($MV18:$MY18,"Muito Maior")</f>
        <v/>
      </c>
      <c r="QF18" s="155">
        <f>IF($NH18=0,0,CHOOSE(1+INDEX($AC$2:$AC$11,$NH18),0,$QD18,$QE18,$QD18+$QE18))</f>
        <v/>
      </c>
      <c r="QG18" s="155">
        <f>IF($NH18=0,0,CHOOSE(1+INDEX($AD$2:$AD$11,$NH18),0,$QD18,$QE18,$QD18+$QE18))</f>
        <v/>
      </c>
      <c r="QH18" s="155">
        <f>IF(OR($NB18=0,$NH18=0),"",INDEX($AI$2:$AN$41,($NH18-1)*4+IF($MQ18=0,1,IF($MQ18&lt;=5,2,IF($MQ18=6,3,4))),1+MIN(5,$QF18))&amp;INDEX($AO$2:$AT$41,($NH18-1)*4+IF($MQ18=0,1,IF($MQ18&lt;=5,2,IF($MQ18=6,3,4))),1+MIN(5,$QG18))&amp;IF(INDEX($AE$2:$AE$11,$NH18)=1,IF(COUNTIF($MV18:$MY18,"Mais Um")&gt;0," · +"&amp;COUNTIF($MV18:$MY18,"Mais Um")&amp;IF(COUNTIF($MV18:$MY18,"Mais Um")&gt;1," alvos"," alvo"),"")&amp;IF(COUNTIF($MV18:$MY18,"Rajada")&gt;0,IF($MQ18=0," · 1 tiro"," · "&amp;(MAX(1,$MQ18-1)+1)&amp;" tiros"),""),""))</f>
        <v/>
      </c>
      <c r="QI18" s="155">
        <f>IF($NB18=0,"",IF($MQ18=0,$NE18&amp;"d6"&amp;IF($OS18&gt;0," − 1 = "&amp;$PB18&amp;"d6"," da básica do nível "&amp;$NC18),$OZ18&amp;" − "&amp;$OU18&amp;" + "&amp;$OX18&amp;" = "&amp;$PA18&amp;" · teto "&amp;4*$MQ18&amp;"d8"&amp;IF($OD18=1," · a Forma devolve "&amp;$MQ18,"")&amp;IF($OY18&gt;0," · perde "&amp;$OY18,"")))</f>
        <v/>
      </c>
      <c r="QJ18" s="155">
        <f>IF($NB18=0,"",IF($MQ18=0,"A básica não amplia: os dados dela sobem com o nível",IF($MQ18&gt;=$ND18,"Já está na maior Classe que o nível liberou",TEXTJOIN(" · ",TRUE,IF(AND(2&gt;$MQ18,2&lt;=$ND18),"2 → "&amp;$PL18&amp;", 6 PE",""),IF(AND(3&gt;$MQ18,3&lt;=$ND18),"3 → "&amp;$PM18&amp;", 9 PE",""),IF(AND(4&gt;$MQ18,4&lt;=$ND18),"4 → "&amp;$PN18&amp;", 12 PE",""),IF(AND(5&gt;$MQ18,5&lt;=$ND18),"5 → "&amp;$PO18&amp;", 15 PE",""),IF(AND(6&gt;$MQ18,6&lt;=$ND18),"6 → "&amp;$PP18&amp;", 18 PE",""),IF(AND(7&gt;$MQ18,7&lt;=$ND18),"7 → "&amp;$PQ18&amp;", 21 PE","")))))</f>
        <v/>
      </c>
      <c r="QK18" s="155">
        <f>IF(OR($NB18=0,$NM18=0),"",IF($MQ18=0,"−1 dado","−"&amp;INDEX($I$2:$N$8,MAX(1,$MQ18),MAX(1,$NR18))&amp;" · "&amp;CHOOSE(MAX(1,$NR18),"Leve","Média","Pesada","Leve · Livre","Média · Livre","Pesada · Livre")))</f>
        <v/>
      </c>
      <c r="QL18" s="155">
        <f>IF(OR($NB18=0,$NN18=0),"",IF($MQ18=0,"−1 dado","−"&amp;INDEX($I$2:$N$8,MAX(1,$MQ18),MAX(1,$NS18))&amp;" · "&amp;CHOOSE(MAX(1,$NS18),"Leve","Média","Pesada","Leve · Livre","Média · Livre","Pesada · Livre")))</f>
        <v/>
      </c>
      <c r="QM18" s="155">
        <f>IF(OR($NB18=0,$NO18=0),"",IF($MQ18=0,"−1 dado","−"&amp;INDEX($I$2:$N$8,MAX(1,$MQ18),MAX(1,$NT18))&amp;" · "&amp;CHOOSE(MAX(1,$NT18),"Leve","Média","Pesada","Leve · Livre","Média · Livre","Pesada · Livre")))</f>
        <v/>
      </c>
      <c r="QN18" s="155">
        <f>IF(OR($NB18=0,$NP18=0),"",IF($MQ18=0,"−1 dado","−"&amp;INDEX($I$2:$N$8,MAX(1,$MQ18),MAX(1,$NU18))&amp;" · "&amp;CHOOSE(MAX(1,$NU18),"Leve","Média","Pesada","Leve · Livre","Média · Livre","Pesada · Livre")))</f>
        <v/>
      </c>
      <c r="QO18" s="155">
        <f>IF(OR($NB18=0,$MZ18=""),"",IF($MQ18=0,"não devolve","+"&amp;IF($OG18=1,CEILING($MQ18/2,1),$MQ18)))</f>
        <v/>
      </c>
      <c r="QP18" s="155">
        <f>IF(OR($NB18=0,$NA18=""),"",IF($MQ18=0,"não devolve","+"&amp;IF($OH18=1,CEILING($MQ18/2,1),$MQ18)))</f>
        <v/>
      </c>
    </row>
    <row r="19">
      <c r="AH19" s="153" t="inlineStr">
        <is>
          <t>Cone · classes 1 a 5</t>
        </is>
      </c>
      <c r="AI19" s="153" t="inlineStr">
        <is>
          <t>Cone de 4,5 m</t>
        </is>
      </c>
      <c r="AJ19" s="153" t="inlineStr">
        <is>
          <t>Cone de 9 m</t>
        </is>
      </c>
      <c r="AK19" s="153" t="inlineStr">
        <is>
          <t>Cone de 18 m</t>
        </is>
      </c>
      <c r="AL19" s="153" t="inlineStr">
        <is>
          <t>Cone de 30 m</t>
        </is>
      </c>
      <c r="AM19" s="153" t="inlineStr">
        <is>
          <t>Cone de 60 m</t>
        </is>
      </c>
      <c r="AN19" s="153" t="inlineStr">
        <is>
          <t>Cone de 60 m</t>
        </is>
      </c>
      <c r="AO19" s="153" t="inlineStr"/>
      <c r="AP19" s="153" t="inlineStr"/>
      <c r="AQ19" s="153" t="inlineStr"/>
      <c r="AR19" s="153" t="inlineStr"/>
      <c r="AS19" s="153" t="inlineStr"/>
      <c r="AT19" s="153" t="inlineStr"/>
      <c r="AV19" s="153" t="inlineStr">
        <is>
          <t>Inescapável</t>
        </is>
      </c>
      <c r="AW19" s="153" t="inlineStr">
        <is>
          <t>Mira</t>
        </is>
      </c>
      <c r="AX19" s="155" t="n">
        <v>2</v>
      </c>
      <c r="AY19" s="155" t="n">
        <v>0</v>
      </c>
      <c r="AZ19" s="155" t="n">
        <v>0</v>
      </c>
      <c r="BA19" s="155" t="n">
        <v>0</v>
      </c>
      <c r="BC19" s="153" t="inlineStr">
        <is>
          <t>Dívida</t>
        </is>
      </c>
      <c r="BD19" s="153" t="inlineStr">
        <is>
          <t>Dívida</t>
        </is>
      </c>
      <c r="BE19" s="155" t="n">
        <v>2</v>
      </c>
      <c r="BF19" s="155" t="n">
        <v>1</v>
      </c>
      <c r="BG19" s="153" t="inlineStr"/>
      <c r="CC19" s="153" t="inlineStr">
        <is>
          <t>Percepção</t>
        </is>
      </c>
      <c r="CD19" s="153" t="inlineStr">
        <is>
          <t>Essência</t>
        </is>
      </c>
      <c r="JR19" s="155">
        <f>IF(OR($AW19="",COUNTIF($EJ$2:$EN$2,$AW19)&gt;0),$AV19,"")</f>
        <v/>
      </c>
      <c r="JS19" s="155">
        <f>IF(AND($AX19=1,OR($AW19="",COUNTIF($EJ$2:$EN$2,$AW19)&gt;0)),$AV19,"")</f>
        <v/>
      </c>
      <c r="JX19" s="155">
        <f>IF(OR($AW19="",COUNTIF($EJ$3:$EN$3,$AW19)&gt;0),$AV19,"")</f>
        <v/>
      </c>
      <c r="JY19" s="155">
        <f>IF(AND($AX19=1,OR($AW19="",COUNTIF($EJ$3:$EN$3,$AW19)&gt;0)),$AV19,"")</f>
        <v/>
      </c>
      <c r="KD19" s="155">
        <f>IF(OR($AW19="",COUNTIF($EJ$4:$EN$4,$AW19)&gt;0),$AV19,"")</f>
        <v/>
      </c>
      <c r="KE19" s="155">
        <f>IF(AND($AX19=1,OR($AW19="",COUNTIF($EJ$4:$EN$4,$AW19)&gt;0)),$AV19,"")</f>
        <v/>
      </c>
      <c r="KJ19" s="155">
        <f>IF(OR($AW19="",COUNTIF($EJ$5:$EN$5,$AW19)&gt;0),$AV19,"")</f>
        <v/>
      </c>
      <c r="KK19" s="155">
        <f>IF(AND($AX19=1,OR($AW19="",COUNTIF($EJ$5:$EN$5,$AW19)&gt;0)),$AV19,"")</f>
        <v/>
      </c>
      <c r="KP19" s="155">
        <f>IF(OR($AW19="",COUNTIF($EJ$6:$EN$6,$AW19)&gt;0),$AV19,"")</f>
        <v/>
      </c>
      <c r="KQ19" s="155">
        <f>IF(AND($AX19=1,OR($AW19="",COUNTIF($EJ$6:$EN$6,$AW19)&gt;0)),$AV19,"")</f>
        <v/>
      </c>
      <c r="KV19" s="155">
        <f>IF(OR($AW19="",COUNTIF($EJ$7:$EN$7,$AW19)&gt;0),$AV19,"")</f>
        <v/>
      </c>
      <c r="KW19" s="155">
        <f>IF(AND($AX19=1,OR($AW19="",COUNTIF($EJ$7:$EN$7,$AW19)&gt;0)),$AV19,"")</f>
        <v/>
      </c>
      <c r="LB19" s="155">
        <f>IF(OR($AW19="",COUNTIF($EJ$8:$EN$8,$AW19)&gt;0),$AV19,"")</f>
        <v/>
      </c>
      <c r="LC19" s="155">
        <f>IF(AND($AX19=1,OR($AW19="",COUNTIF($EJ$8:$EN$8,$AW19)&gt;0)),$AV19,"")</f>
        <v/>
      </c>
      <c r="LH19" s="155">
        <f>IF(OR($AW19="",COUNTIF($EJ$9:$EN$9,$AW19)&gt;0),$AV19,"")</f>
        <v/>
      </c>
      <c r="LI19" s="155">
        <f>IF(AND($AX19=1,OR($AW19="",COUNTIF($EJ$9:$EN$9,$AW19)&gt;0)),$AV19,"")</f>
        <v/>
      </c>
      <c r="LN19" s="155">
        <f>IF(OR($AW19="",COUNTIF($EJ$10:$EN$10,$AW19)&gt;0),$AV19,"")</f>
        <v/>
      </c>
      <c r="LO19" s="155">
        <f>IF(AND($AX19=1,OR($AW19="",COUNTIF($EJ$10:$EN$10,$AW19)&gt;0)),$AV19,"")</f>
        <v/>
      </c>
      <c r="LT19" s="155">
        <f>IF(OR($AW19="",COUNTIF($EJ$11:$EN$11,$AW19)&gt;0),$AV19,"")</f>
        <v/>
      </c>
      <c r="LU19" s="155">
        <f>IF(AND($AX19=1,OR($AW19="",COUNTIF($EJ$11:$EN$11,$AW19)&gt;0)),$AV19,"")</f>
        <v/>
      </c>
      <c r="LZ19" s="155">
        <f>IF(OR($AW19="",COUNTIF($EJ$12:$EN$12,$AW19)&gt;0),$AV19,"")</f>
        <v/>
      </c>
      <c r="MA19" s="155">
        <f>IF(AND($AX19=1,OR($AW19="",COUNTIF($EJ$12:$EN$12,$AW19)&gt;0)),$AV19,"")</f>
        <v/>
      </c>
      <c r="MF19" s="155">
        <f>IF(OR($AW19="",COUNTIF($EJ$13:$EN$13,$AW19)&gt;0),$AV19,"")</f>
        <v/>
      </c>
      <c r="MG19" s="155">
        <f>IF(AND($AX19=1,OR($AW19="",COUNTIF($EJ$13:$EN$13,$AW19)&gt;0)),$AV19,"")</f>
        <v/>
      </c>
      <c r="ML19" s="153" t="inlineStr">
        <is>
          <t>Ficha 2 · Especial 3</t>
        </is>
      </c>
      <c r="MM19" s="155" t="n">
        <v>2</v>
      </c>
      <c r="MN19" s="155" t="n">
        <v>1</v>
      </c>
      <c r="MO19" s="155" t="n">
        <v>8</v>
      </c>
      <c r="MP19" s="153" t="inlineStr">
        <is>
          <t>ESPECIAL 3</t>
        </is>
      </c>
      <c r="MQ19" s="155">
        <f>MAX(1,MIN(7,N('INVOCAÇÕES'!$O$290)))</f>
        <v/>
      </c>
      <c r="MR19" s="155">
        <f>'INVOCAÇÕES'!$P$290&amp;""</f>
        <v/>
      </c>
      <c r="MS19" s="155">
        <f>'INVOCAÇÕES'!$O$295&amp;""</f>
        <v/>
      </c>
      <c r="MT19" s="155">
        <f>'INVOCAÇÕES'!$O$296&amp;""</f>
        <v/>
      </c>
      <c r="MU19" s="155">
        <f>'INVOCAÇÕES'!$Q$296&amp;""</f>
        <v/>
      </c>
      <c r="MV19" s="155">
        <f>'INVOCAÇÕES'!$P$299&amp;""</f>
        <v/>
      </c>
      <c r="MW19" s="155">
        <f>'INVOCAÇÕES'!$P$300&amp;""</f>
        <v/>
      </c>
      <c r="MX19" s="155">
        <f>'INVOCAÇÕES'!$P$301&amp;""</f>
        <v/>
      </c>
      <c r="MY19" s="155">
        <f>'INVOCAÇÕES'!$P$302&amp;""</f>
        <v/>
      </c>
      <c r="MZ19" s="155">
        <f>'INVOCAÇÕES'!$P$303&amp;""</f>
        <v/>
      </c>
      <c r="NA19" s="155">
        <f>'INVOCAÇÕES'!$P$304&amp;""</f>
        <v/>
      </c>
      <c r="NB19" s="155">
        <f>IF($MR19&lt;&gt;"",1,0)</f>
        <v/>
      </c>
      <c r="NC19" s="155">
        <f>INDEX($FM$2:$FM$13,$MM19)</f>
        <v/>
      </c>
      <c r="ND19" s="155">
        <f>INDEX($FN$2:$FN$13,$MM19)</f>
        <v/>
      </c>
      <c r="NE19" s="155">
        <f>INDEX($FO$2:$FO$13,$MM19)</f>
        <v/>
      </c>
      <c r="NF19" s="155">
        <f>INDEX($FZ$2:$FZ$13,$MM19)</f>
        <v/>
      </c>
      <c r="NG19" s="155">
        <f>INDEX($GA$2:$GA$13,$MM19)</f>
        <v/>
      </c>
      <c r="NH19" s="155">
        <f>IFERROR(MATCH($MS19,$V$2:$V$11,0),0)</f>
        <v/>
      </c>
      <c r="NI19" s="155">
        <f>IFERROR(VLOOKUP($MV19,$AV$2:$BA$84,2,FALSE),"")</f>
        <v/>
      </c>
      <c r="NJ19" s="155">
        <f>IFERROR(VLOOKUP($MW19,$AV$2:$BA$84,2,FALSE),"")</f>
        <v/>
      </c>
      <c r="NK19" s="155">
        <f>IFERROR(VLOOKUP($MX19,$AV$2:$BA$84,2,FALSE),"")</f>
        <v/>
      </c>
      <c r="NL19" s="155">
        <f>IFERROR(VLOOKUP($MY19,$AV$2:$BA$84,2,FALSE),"")</f>
        <v/>
      </c>
      <c r="NM19" s="155">
        <f>IFERROR(VLOOKUP($MV19,$AV$2:$BA$84,3,FALSE),0)</f>
        <v/>
      </c>
      <c r="NN19" s="155">
        <f>IFERROR(VLOOKUP($MW19,$AV$2:$BA$84,3,FALSE),0)</f>
        <v/>
      </c>
      <c r="NO19" s="155">
        <f>IFERROR(VLOOKUP($MX19,$AV$2:$BA$84,3,FALSE),0)</f>
        <v/>
      </c>
      <c r="NP19" s="155">
        <f>IFERROR(VLOOKUP($MY19,$AV$2:$BA$84,3,FALSE),0)</f>
        <v/>
      </c>
      <c r="NQ19" s="155">
        <f>IF($MQ19=0,0,IF($NH19=0,0,INDEX($X$2:$X$11,$NH19)))</f>
        <v/>
      </c>
      <c r="NR19" s="155">
        <f>IF(OR($NM19=0,$MQ19=0),0,$NM19+3*IF(AND($NI19&lt;&gt;"",OR($NI19=INDEX($EJ$2:$EJ$13,$MM19),$NI19=INDEX($EK$2:$EK$13,$MM19))),1,0))</f>
        <v/>
      </c>
      <c r="NS19" s="155">
        <f>IF(OR($NN19=0,$MQ19=0),0,$NN19+3*IF(AND($NJ19&lt;&gt;"",OR($NJ19=INDEX($EJ$2:$EJ$13,$MM19),$NJ19=INDEX($EK$2:$EK$13,$MM19))),1,0))</f>
        <v/>
      </c>
      <c r="NT19" s="155">
        <f>IF(OR($NO19=0,$MQ19=0),0,$NO19+3*IF(AND($NK19&lt;&gt;"",OR($NK19=INDEX($EJ$2:$EJ$13,$MM19),$NK19=INDEX($EK$2:$EK$13,$MM19))),1,0))</f>
        <v/>
      </c>
      <c r="NU19" s="155">
        <f>IF(OR($NP19=0,$MQ19=0),0,$NP19+3*IF(AND($NL19&lt;&gt;"",OR($NL19=INDEX($EJ$2:$EJ$13,$MM19),$NL19=INDEX($EK$2:$EK$13,$MM19))),1,0))</f>
        <v/>
      </c>
      <c r="NV19" s="155">
        <f>IF($NH19=0,0,IF(INDEX($W$2:$W$11,$NH19)="",0,IF(COUNTIF(INDEX($EJ$2:$EN$13,$MM19,0),INDEX($W$2:$W$11,$NH19))=0,1,0)))</f>
        <v/>
      </c>
      <c r="NW19" s="155">
        <f>IF(OR($NM19=0,$NI19=""),0,IF(COUNTIF(INDEX($EJ$2:$EN$13,$MM19,0),$NI19)=0,1,0))</f>
        <v/>
      </c>
      <c r="NX19" s="155">
        <f>IF(OR($NN19=0,$NJ19=""),0,IF(COUNTIF(INDEX($EJ$2:$EN$13,$MM19,0),$NJ19)=0,1,0))</f>
        <v/>
      </c>
      <c r="NY19" s="155">
        <f>IF(OR($NO19=0,$NK19=""),0,IF(COUNTIF(INDEX($EJ$2:$EN$13,$MM19,0),$NK19)=0,1,0))</f>
        <v/>
      </c>
      <c r="NZ19" s="155">
        <f>IF(OR($NP19=0,$NL19=""),0,IF(COUNTIF(INDEX($EJ$2:$EN$13,$MM19,0),$NL19)=0,1,0))</f>
        <v/>
      </c>
      <c r="OA19" s="155">
        <f>IFERROR(VLOOKUP($MV19,$AV$2:$BA$84,4,FALSE),0)+IFERROR(VLOOKUP($MW19,$AV$2:$BA$84,4,FALSE),0)+IFERROR(VLOOKUP($MX19,$AV$2:$BA$84,4,FALSE),0)+IFERROR(VLOOKUP($MY19,$AV$2:$BA$84,4,FALSE),0)</f>
        <v/>
      </c>
      <c r="OB19" s="155">
        <f>IFERROR(VLOOKUP($MV19,$AV$2:$BA$84,6,FALSE),0)+IFERROR(VLOOKUP($MW19,$AV$2:$BA$84,6,FALSE),0)+IFERROR(VLOOKUP($MX19,$AV$2:$BA$84,6,FALSE),0)+IFERROR(VLOOKUP($MY19,$AV$2:$BA$84,6,FALSE),0)</f>
        <v/>
      </c>
      <c r="OC19" s="155">
        <f>TEXTJOIN(", ",TRUE,IF(IFERROR(VLOOKUP($MV19,$AV$2:$BA$84,5,FALSE),0)=1,$MV19,""),IF(IFERROR(VLOOKUP($MW19,$AV$2:$BA$84,5,FALSE),0)=1,$MW19,""),IF(IFERROR(VLOOKUP($MX19,$AV$2:$BA$84,5,FALSE),0)=1,$MX19,""),IF(IFERROR(VLOOKUP($MY19,$AV$2:$BA$84,5,FALSE),0)=1,$MY19,""))</f>
        <v/>
      </c>
      <c r="OD19" s="155">
        <f>IF($NH19=0,0,INDEX($Y$2:$Y$11,$NH19))</f>
        <v/>
      </c>
      <c r="OE19" s="155">
        <f>IF($NH19=0,0,INDEX($Z$2:$Z$11,$NH19))</f>
        <v/>
      </c>
      <c r="OF19" s="155">
        <f>IF($NH19=0,0,INDEX($AB$2:$AB$11,$NH19))</f>
        <v/>
      </c>
      <c r="OG19" s="155">
        <f>IFERROR(VLOOKUP($MZ19,$BC$2:$BG$24,3,FALSE),0)</f>
        <v/>
      </c>
      <c r="OH19" s="155">
        <f>IFERROR(VLOOKUP($NA19,$BC$2:$BG$24,3,FALSE),0)</f>
        <v/>
      </c>
      <c r="OI19" s="155">
        <f>IFERROR(VLOOKUP($MZ19,$BC$2:$BG$24,2,FALSE),"")</f>
        <v/>
      </c>
      <c r="OJ19" s="155">
        <f>IFERROR(VLOOKUP($NA19,$BC$2:$BG$24,2,FALSE),"")</f>
        <v/>
      </c>
      <c r="OK19" s="155">
        <f>COUNTIF($NQ19:$NU19,1)</f>
        <v/>
      </c>
      <c r="OL19" s="155">
        <f>COUNTIF($NQ19:$NU19,2)</f>
        <v/>
      </c>
      <c r="OM19" s="155">
        <f>COUNTIF($NQ19:$NU19,3)</f>
        <v/>
      </c>
      <c r="ON19" s="155">
        <f>COUNTIF($NQ19:$NU19,4)</f>
        <v/>
      </c>
      <c r="OO19" s="155">
        <f>COUNTIF($NQ19:$NU19,5)</f>
        <v/>
      </c>
      <c r="OP19" s="155">
        <f>COUNTIF($NQ19:$NU19,6)</f>
        <v/>
      </c>
      <c r="OQ19" s="155">
        <f>COUNTIF($OG19:$OH19,1)</f>
        <v/>
      </c>
      <c r="OR19" s="155">
        <f>COUNTIF($OG19:$OH19,2)+$OD19</f>
        <v/>
      </c>
      <c r="OS19" s="155">
        <f>COUNTIF($MV19:$MY19,"?*")</f>
        <v/>
      </c>
      <c r="OT19" s="155">
        <f>COUNTIF($MZ19:$NA19,"?*")+$OD19</f>
        <v/>
      </c>
      <c r="OU19" s="155">
        <f>IF($MQ19=0,0,SUMPRODUCT($OK19:$OP19,INDEX($I$2:$N$8,MAX(1,$MQ19),0)))</f>
        <v/>
      </c>
      <c r="OV19" s="155">
        <f>IF($MQ19=0,0,$OQ19*CEILING($MQ19/2,1)+$OR19*$MQ19)</f>
        <v/>
      </c>
      <c r="OW19" s="155">
        <f>MIN(2*$MQ19,$OV19)</f>
        <v/>
      </c>
      <c r="OX19" s="155">
        <f>MIN($OW19,$OU19)</f>
        <v/>
      </c>
      <c r="OY19" s="155">
        <f>$OW19-$OX19</f>
        <v/>
      </c>
      <c r="OZ19" s="155">
        <f>IF($MQ19=0,0,INDEX($P$2:$P$8,MAX(1,$MQ19)))</f>
        <v/>
      </c>
      <c r="PA19" s="155">
        <f>$OZ19-$OU19+$OX19</f>
        <v/>
      </c>
      <c r="PB19" s="155">
        <f>IF($MQ19=0,MAX(0,$NE19-IF($OS19&gt;0,1,0)),MAX(0,$PA19))</f>
        <v/>
      </c>
      <c r="PC19" s="155">
        <f>IF($MQ19=0,0,(IF(COUNTIF($MV19:$MY19,"Salto")&gt;0,1,0)+IF(COUNTIF($MV19:$MY19,"Queima")&gt;0,1,0)+IF(COUNTIF($MV19:$MY19,"Estilhaço")&gt;0,1,0))*FLOOR($PB19/2,1))</f>
        <v/>
      </c>
      <c r="PD19" s="155">
        <f>MAX(0,2-SUMPRODUCT($OK19:$OP19,$I$2:$N$2)+MIN(2,$OQ19*1+$OR19*1,SUMPRODUCT($OK19:$OP19,$I$2:$N$2)))</f>
        <v/>
      </c>
      <c r="PE19" s="155">
        <f>MAX(0,4-SUMPRODUCT($OK19:$OP19,$I$3:$N$3)+MIN(4,$OQ19*1+$OR19*2,SUMPRODUCT($OK19:$OP19,$I$3:$N$3)))</f>
        <v/>
      </c>
      <c r="PF19" s="155">
        <f>MAX(0,6-SUMPRODUCT($OK19:$OP19,$I$4:$N$4)+MIN(6,$OQ19*2+$OR19*3,SUMPRODUCT($OK19:$OP19,$I$4:$N$4)))</f>
        <v/>
      </c>
      <c r="PG19" s="155">
        <f>MAX(0,9-SUMPRODUCT($OK19:$OP19,$I$5:$N$5)+MIN(8,$OQ19*2+$OR19*4,SUMPRODUCT($OK19:$OP19,$I$5:$N$5)))</f>
        <v/>
      </c>
      <c r="PH19" s="155">
        <f>MAX(0,11-SUMPRODUCT($OK19:$OP19,$I$6:$N$6)+MIN(10,$OQ19*3+$OR19*5,SUMPRODUCT($OK19:$OP19,$I$6:$N$6)))</f>
        <v/>
      </c>
      <c r="PI19" s="155">
        <f>MAX(0,13-SUMPRODUCT($OK19:$OP19,$I$7:$N$7)+MIN(12,$OQ19*3+$OR19*6,SUMPRODUCT($OK19:$OP19,$I$7:$N$7)))</f>
        <v/>
      </c>
      <c r="PJ19" s="155">
        <f>MAX(0,16-SUMPRODUCT($OK19:$OP19,$I$8:$N$8)+MIN(14,$OQ19*4+$OR19*7,SUMPRODUCT($OK19:$OP19,$I$8:$N$8)))</f>
        <v/>
      </c>
      <c r="PK19" s="155">
        <f>IF($OE19=2,3*$PD19&amp;" de vida temp.",IF($OE19=3,"sem dano",IF($PD19=0,IF($OE19=1,"sem cura","sem dano"),IF($OE19=1,"cura ","")&amp;$PD19&amp;"d8")))</f>
        <v/>
      </c>
      <c r="PL19" s="155">
        <f>IF($OE19=2,3*$PE19&amp;" de vida temp.",IF($OE19=3,"sem dano",IF($PE19=0,IF($OE19=1,"sem cura","sem dano"),IF($OE19=1,"cura ","")&amp;$PE19&amp;"d8")))</f>
        <v/>
      </c>
      <c r="PM19" s="155">
        <f>IF($OE19=2,3*$PF19&amp;" de vida temp.",IF($OE19=3,"sem dano",IF($PF19=0,IF($OE19=1,"sem cura","sem dano"),IF($OE19=1,"cura ","")&amp;$PF19&amp;"d8")))</f>
        <v/>
      </c>
      <c r="PN19" s="155">
        <f>IF($OE19=2,3*$PG19&amp;" de vida temp.",IF($OE19=3,"sem dano",IF($PG19=0,IF($OE19=1,"sem cura","sem dano"),IF($OE19=1,"cura ","")&amp;$PG19&amp;"d8")))</f>
        <v/>
      </c>
      <c r="PO19" s="155">
        <f>IF($OE19=2,3*$PH19&amp;" de vida temp.",IF($OE19=3,"sem dano",IF($PH19=0,IF($OE19=1,"sem cura","sem dano"),IF($OE19=1,"cura ","")&amp;$PH19&amp;"d8")))</f>
        <v/>
      </c>
      <c r="PP19" s="155">
        <f>IF($OE19=2,3*$PI19&amp;" de vida temp.",IF($OE19=3,"sem dano",IF($PI19=0,IF($OE19=1,"sem cura","sem dano"),IF($OE19=1,"cura ","")&amp;$PI19&amp;"d8")))</f>
        <v/>
      </c>
      <c r="PQ19" s="155">
        <f>IF($OE19=2,3*$PJ19&amp;" de vida temp.",IF($OE19=3,"sem dano",IF($PJ19=0,IF($OE19=1,"sem cura","sem dano"),IF($OE19=1,"cura ","")&amp;$PJ19&amp;"d8")))</f>
        <v/>
      </c>
      <c r="PR19" s="155">
        <f>IF($NB19=0,"",TEXTJOIN(" · ",TRUE,IF($MO19&gt;$NC19,"Este lugar abre no nível "&amp;$MO19,""),IF($MQ19&gt;$ND19,"Classe "&amp;$MQ19&amp;": o nível "&amp;$NC19&amp;" libera até a "&amp;$ND19,""),IF($NV19=1,"A Forma "&amp;$MS19&amp;" pede "&amp;INDEX($W$2:$W$11,$NH19)&amp;" aberta",""),IF(AND($MQ19=0,$NH19&gt;0,IF($NH19=0,0,INDEX($AF$2:$AF$11,$NH19))=0),$MS19&amp;" não existe na Classe 0",""),IF($NW19=1,"Família Fechada: "&amp;$MV19,""),IF($NX19=1,"Família Fechada: "&amp;$MW19,""),IF($NY19=1,"Família Fechada: "&amp;$MX19,""),IF($NZ19=1,"Família Fechada: "&amp;$MY19,""),IF(AND($MQ19&gt;0,$OS19&gt;INDEX($O$2:$O$8,MAX(1,$MQ19))),$OS19&amp;" Melhorias: a Classe "&amp;$MQ19&amp;" aceita "&amp;INDEX($O$2:$O$8,MAX(1,$MQ19)),""),IF(AND($MQ19=0,$OS19&gt;1),"A básica aceita uma Melhoria",""),IF(AND($MQ19=0,COUNTIF($NM19:$NP19,"&gt;1")&gt;0),"A básica só aceita Melhoria Leve",""),IF(AND($MQ19&gt;0,$OT19&gt;2),$OT19&amp;" Restrições"&amp;IF($OD19=1,", contando a que a Forma "&amp;$MS19&amp;" já traz","")&amp;": o limite é 2",""),IF(AND($MQ19=0,COUNTIF($MZ19:$NA19,"?*")&gt;1),"A básica aceita uma Restrição Leve",""),IF(AND($MQ19=0,COUNTIF($OG19:$OH19,2)&gt;0),"A básica só aceita Restrição Leve",""),IF(AND($MQ19&gt;0,$PA19&lt;0),"Orçamento estourado: faltam "&amp;(-$PA19)&amp;IF($PA19&lt;-1," pontos"," ponto"),""),IF(IFERROR(VLOOKUP($MZ19,$BC$2:$BG$24,4,FALSE),0)+IFERROR(VLOOKUP($NA19,$BC$2:$BG$24,4,FALSE),0)&gt;1,$OI19&amp;" e "&amp;$OJ19&amp;" são as duas de frequência",""),IF(AND((COUNTIF($MV19:$MY19,"Rápido")+COUNTIF($OI19:$OJ19,"Rápido"))&gt;0,(COUNTIF($MV19:$MY19,"Atrasar")+COUNTIF($OI19:$OJ19,"Atrasar"))&gt;0),"Rápido não entra com Atrasar",""),IF(AND((COUNTIF($MV19:$MY19,"Reação")+COUNTIF($OI19:$OJ19,"Reação"))&gt;0,(COUNTIF($MV19:$MY19,"Rápido")+COUNTIF($OI19:$OJ19,"Rápido"))&gt;0),"Reação não entra com Rápido",""),IF(AND((COUNTIF($MV19:$MY19,"Reação")+COUNTIF($OI19:$OJ19,"Reação"))&gt;0,(COUNTIF($MV19:$MY19,"Armado")+COUNTIF($OI19:$OJ19,"Armado"))&gt;0),"Reação não entra com Armado",""),IF(AND((COUNTIF($MV19:$MY19,"Reação")+COUNTIF($OI19:$OJ19,"Reação"))&gt;0,(COUNTIF($MV19:$MY19,"Atrasar")+COUNTIF($OI19:$OJ19,"Atrasar"))&gt;0),"Reação não entra com Atrasar",""),IF(AND((COUNTIF($MV19:$MY19,"Reação")+COUNTIF($OI19:$OJ19,"Reação"))&gt;0,(COUNTIF($MV19:$MY19,"Parado")+COUNTIF($OI19:$OJ19,"Parado"))&gt;0),"Reação não entra com Parado",""),IF(AND((COUNTIF($MV19:$MY19,"Atrasar")+COUNTIF($OI19:$OJ19,"Atrasar"))&gt;0,(COUNTIF($MV19:$MY19,"Parado")+COUNTIF($OI19:$OJ19,"Parado"))&gt;0),"Atrasar não entra com Parado",""),IF(AND((COUNTIF($MV19:$MY19,"Armado")+COUNTIF($OI19:$OJ19,"Armado"))&gt;0,(COUNTIF($MV19:$MY19,"Carregar")+COUNTIF($OI19:$OJ19,"Carregar"))&gt;0),"Armado não entra com Carregar",""),IF(AND(COUNTIF($OI19:$OJ19,"Corpo a Corpo")&gt;0,$OD19=0,OR($MS19="Cone",$MS19="Linha")),"Corpo a Corpo não entra em "&amp;$MS19,""),IF(AND(COUNTIF($OI19:$OJ19,"Corpo a Corpo")&gt;0,$OD19=1),"A Forma "&amp;$MS19&amp;" já traz o Corpo a Corpo",""),IF(AND(COUNTIF($OI19:$OJ19,"Tudo ou Nada")&gt;0,$OF19=0),"Tudo ou Nada só entra em habilidade de Teste de Resistência",""),IF(AND(COUNTIF($MV19:$MY19,"Inescapável")&gt;0,OR($OS19&gt;1,$OT19&gt;0)),"Inescapável não aceita outra peça",""),IF(AND($MQ19&gt;0,$PB19*IF(COUNTIF($MV19:$MY19,"Remate")&gt;0,1.25,1)+$PC19&gt;4*$MQ19),($PB19*IF(COUNTIF($MV19:$MY19,"Remate")&gt;0,1.25,1)+$PC19)&amp;" dados somando repetições"&amp;IF(COUNTIF($MV19:$MY19,"Remate")&gt;0," e o Remate","")&amp;": o teto da Classe "&amp;$MQ19&amp;" é "&amp;4*$MQ19,"")))</f>
        <v/>
      </c>
      <c r="PS19" s="155">
        <f>IF($PR19="",0,(LEN($PR19)-LEN(SUBSTITUTE($PR19," · ","")))/3+1)</f>
        <v/>
      </c>
      <c r="PT19" s="155">
        <f>IF($NB19=0,"",TEXTJOIN(" · ",TRUE,IF($OV19&gt;2*$MQ19,"A devolução parou no teto de "&amp;2*$MQ19,""),IF($OY19&gt;0,"Devolução perdida: "&amp;$OY19&amp;IF($OY19&gt;1," pontos"," ponto")&amp;" sem peça para pagar",""),IF(AND($OA19&gt;0,AND($MQ19&gt;0,$OE19=0),$PB19=0),"Controle sem dano: uma rodada a mais e CD +2",""),IF(AND($OA19&gt;0,AND($MQ19&gt;0,$OE19=0),$PB19&gt;0,$PB19&lt;=$MQ19),"Controle com saldo até a Classe: uma rodada a mais",""),IF(AND($MQ19&gt;0,$OC19&lt;&gt;""),"Efeito de "&amp;$OC19&amp;" pela Classe "&amp;MAX(1,$MQ19-1),"")))</f>
        <v/>
      </c>
      <c r="PU19" s="155">
        <f>IF($PT19="",0,(LEN($PT19)-LEN(SUBSTITUTE($PT19," · ","")))/3+1)</f>
        <v/>
      </c>
      <c r="PV19" s="155">
        <f>IF($NB19=0,IF($OS19+COUNTIF($MZ19:$NA19,"?*")&gt;0,"Dê um nome",""),IF($PS19&gt;0,"⚠ "&amp;$PS19&amp;IF($PS19&gt;1," erros"," erro"),IF($PU19&gt;0,"! "&amp;$PU19&amp;IF($PU19&gt;1," avisos"," aviso"),"Na regra")))</f>
        <v/>
      </c>
      <c r="PW19" s="155">
        <f>IF($NB19=0,"",IF($PS19+$PU19=0,"Dentro das regras que a ficha confere",$PR19&amp;IF(AND($PS19&gt;0,$PU19&gt;0)," · ","")&amp;$PT19))</f>
        <v/>
      </c>
      <c r="PX19" s="155">
        <f>IF($MO19&gt;$NC19,$MP19&amp;" · ABRE NO NÍVEL "&amp;$MO19,$MP19)</f>
        <v/>
      </c>
      <c r="PY19" s="155">
        <f>IF($NB19=0,"",IF($MQ19=0,"Sem PE",3*$MQ19&amp;" PE"))</f>
        <v/>
      </c>
      <c r="PZ19" s="155">
        <f>IF($NB19=0,"",IF($MQ19=0,"A atuação básica dela",IF(COUNTIF($OI19:$OJ19,"Atrasar")&gt;0,"Sua Ação Completa",IF(COUNTIF($MV19:$MY19,"Rápido")&gt;0,"Sua Bônus",IF(COUNTIF($MV19:$MY19,"Reação")&gt;0,"Sua Reação","Sua Padrão")))&amp;" + a básica dela"&amp;IF(COUNTIF($MV19:$MY19,"Reação")&gt;0," e a coletiva","")&amp;IF(COUNTIF($OI19:$OJ19,"Carregar")&gt;0," · em dois turnos","")))</f>
        <v/>
      </c>
      <c r="QA19" s="155">
        <f>IF($MU19&lt;&gt;"",$MU19,IF($NH19=0,"",INDEX($AA$2:$AA$11,$NH19)))</f>
        <v/>
      </c>
      <c r="QB19" s="155">
        <f>IF(OR($NB19=0,$NH19=0),"",IF(COUNTIF($MV19:$MY19,"Inescapável")&gt;0,"Automático",IF($QA19="Ataque",IF($NF19="","Ataque","Ataque "&amp;IF(($NF19+2*IF(COUNTIF($MV19:$MY19,"Precisão")&gt;0,1,0))&gt;=0,"+","−")&amp;ABS(($NF19+2*IF(COUNTIF($MV19:$MY19,"Precisão")&gt;0,1,0))))&amp;IF($OB19&gt;0," · TR"&amp;IF($NG19="",""," CD "&amp;$NG19),""),IF(LEFT($QA19,2)="TR",$QA19&amp;IF($NG19="",""," · CD "&amp;$NG19)&amp;IF(COUNTIF($MV19:$MY19,"Certeiro")&gt;0," · metade",""),"Sem rolagem"))))</f>
        <v/>
      </c>
      <c r="QC19" s="155">
        <f>IF(OR($NB19=0,$NH19=0),"",IF($MQ19=0,IF(OR($OE19&gt;=1,$PB19=0),"Sem dano",$PB19&amp;"d6"&amp;IF($MT19="",""," "&amp;$MT19)),IF(OR($OE19&gt;=1,$PB19=0),UPPER(LEFT(INDEX($PK19:$PQ19,1,MAX(1,$MQ19)),1))&amp;MID(INDEX($PK19:$PQ19,1,MAX(1,$MQ19)),2,99),UPPER(LEFT(INDEX($PK19:$PQ19,1,MAX(1,$MQ19)),1))&amp;MID(INDEX($PK19:$PQ19,1,MAX(1,$MQ19)),2,99)&amp;IF($MT19="",""," "&amp;$MT19)&amp;IF($PC19&gt;0," · +"&amp;$PC19&amp;"d8",""))))</f>
        <v/>
      </c>
      <c r="QD19" s="155">
        <f>COUNTIF($MV19:$MY19,"Longe")+3*COUNTIF($MV19:$MY19,"Muito Longe")</f>
        <v/>
      </c>
      <c r="QE19" s="155">
        <f>COUNTIF($MV19:$MY19,"Maior")+3*COUNTIF($MV19:$MY19,"Muito Maior")</f>
        <v/>
      </c>
      <c r="QF19" s="155">
        <f>IF($NH19=0,0,CHOOSE(1+INDEX($AC$2:$AC$11,$NH19),0,$QD19,$QE19,$QD19+$QE19))</f>
        <v/>
      </c>
      <c r="QG19" s="155">
        <f>IF($NH19=0,0,CHOOSE(1+INDEX($AD$2:$AD$11,$NH19),0,$QD19,$QE19,$QD19+$QE19))</f>
        <v/>
      </c>
      <c r="QH19" s="155">
        <f>IF(OR($NB19=0,$NH19=0),"",INDEX($AI$2:$AN$41,($NH19-1)*4+IF($MQ19=0,1,IF($MQ19&lt;=5,2,IF($MQ19=6,3,4))),1+MIN(5,$QF19))&amp;INDEX($AO$2:$AT$41,($NH19-1)*4+IF($MQ19=0,1,IF($MQ19&lt;=5,2,IF($MQ19=6,3,4))),1+MIN(5,$QG19))&amp;IF(INDEX($AE$2:$AE$11,$NH19)=1,IF(COUNTIF($MV19:$MY19,"Mais Um")&gt;0," · +"&amp;COUNTIF($MV19:$MY19,"Mais Um")&amp;IF(COUNTIF($MV19:$MY19,"Mais Um")&gt;1," alvos"," alvo"),"")&amp;IF(COUNTIF($MV19:$MY19,"Rajada")&gt;0,IF($MQ19=0," · 1 tiro"," · "&amp;(MAX(1,$MQ19-1)+1)&amp;" tiros"),""),""))</f>
        <v/>
      </c>
      <c r="QI19" s="155">
        <f>IF($NB19=0,"",IF($MQ19=0,$NE19&amp;"d6"&amp;IF($OS19&gt;0," − 1 = "&amp;$PB19&amp;"d6"," da básica do nível "&amp;$NC19),$OZ19&amp;" − "&amp;$OU19&amp;" + "&amp;$OX19&amp;" = "&amp;$PA19&amp;" · teto "&amp;4*$MQ19&amp;"d8"&amp;IF($OD19=1," · a Forma devolve "&amp;$MQ19,"")&amp;IF($OY19&gt;0," · perde "&amp;$OY19,"")))</f>
        <v/>
      </c>
      <c r="QJ19" s="155">
        <f>IF($NB19=0,"",IF($MQ19=0,"A básica não amplia: os dados dela sobem com o nível",IF($MQ19&gt;=$ND19,"Já está na maior Classe que o nível liberou",TEXTJOIN(" · ",TRUE,IF(AND(2&gt;$MQ19,2&lt;=$ND19),"2 → "&amp;$PL19&amp;", 6 PE",""),IF(AND(3&gt;$MQ19,3&lt;=$ND19),"3 → "&amp;$PM19&amp;", 9 PE",""),IF(AND(4&gt;$MQ19,4&lt;=$ND19),"4 → "&amp;$PN19&amp;", 12 PE",""),IF(AND(5&gt;$MQ19,5&lt;=$ND19),"5 → "&amp;$PO19&amp;", 15 PE",""),IF(AND(6&gt;$MQ19,6&lt;=$ND19),"6 → "&amp;$PP19&amp;", 18 PE",""),IF(AND(7&gt;$MQ19,7&lt;=$ND19),"7 → "&amp;$PQ19&amp;", 21 PE","")))))</f>
        <v/>
      </c>
      <c r="QK19" s="155">
        <f>IF(OR($NB19=0,$NM19=0),"",IF($MQ19=0,"−1 dado","−"&amp;INDEX($I$2:$N$8,MAX(1,$MQ19),MAX(1,$NR19))&amp;" · "&amp;CHOOSE(MAX(1,$NR19),"Leve","Média","Pesada","Leve · Livre","Média · Livre","Pesada · Livre")))</f>
        <v/>
      </c>
      <c r="QL19" s="155">
        <f>IF(OR($NB19=0,$NN19=0),"",IF($MQ19=0,"−1 dado","−"&amp;INDEX($I$2:$N$8,MAX(1,$MQ19),MAX(1,$NS19))&amp;" · "&amp;CHOOSE(MAX(1,$NS19),"Leve","Média","Pesada","Leve · Livre","Média · Livre","Pesada · Livre")))</f>
        <v/>
      </c>
      <c r="QM19" s="155">
        <f>IF(OR($NB19=0,$NO19=0),"",IF($MQ19=0,"−1 dado","−"&amp;INDEX($I$2:$N$8,MAX(1,$MQ19),MAX(1,$NT19))&amp;" · "&amp;CHOOSE(MAX(1,$NT19),"Leve","Média","Pesada","Leve · Livre","Média · Livre","Pesada · Livre")))</f>
        <v/>
      </c>
      <c r="QN19" s="155">
        <f>IF(OR($NB19=0,$NP19=0),"",IF($MQ19=0,"−1 dado","−"&amp;INDEX($I$2:$N$8,MAX(1,$MQ19),MAX(1,$NU19))&amp;" · "&amp;CHOOSE(MAX(1,$NU19),"Leve","Média","Pesada","Leve · Livre","Média · Livre","Pesada · Livre")))</f>
        <v/>
      </c>
      <c r="QO19" s="155">
        <f>IF(OR($NB19=0,$MZ19=""),"",IF($MQ19=0,"não devolve","+"&amp;IF($OG19=1,CEILING($MQ19/2,1),$MQ19)))</f>
        <v/>
      </c>
      <c r="QP19" s="155">
        <f>IF(OR($NB19=0,$NA19=""),"",IF($MQ19=0,"não devolve","+"&amp;IF($OH19=1,CEILING($MQ19/2,1),$MQ19)))</f>
        <v/>
      </c>
    </row>
    <row r="20">
      <c r="AH20" s="153" t="inlineStr">
        <is>
          <t>Cone · classe 6</t>
        </is>
      </c>
      <c r="AI20" s="153" t="inlineStr">
        <is>
          <t>Cone de 4,5 m</t>
        </is>
      </c>
      <c r="AJ20" s="153" t="inlineStr">
        <is>
          <t>Cone de 9 m</t>
        </is>
      </c>
      <c r="AK20" s="153" t="inlineStr">
        <is>
          <t>Cone de 18 m</t>
        </is>
      </c>
      <c r="AL20" s="153" t="inlineStr">
        <is>
          <t>Cone de 30 m</t>
        </is>
      </c>
      <c r="AM20" s="153" t="inlineStr">
        <is>
          <t>Cone de 60 m</t>
        </is>
      </c>
      <c r="AN20" s="153" t="inlineStr">
        <is>
          <t>Cone de 60 m</t>
        </is>
      </c>
      <c r="AO20" s="153" t="inlineStr"/>
      <c r="AP20" s="153" t="inlineStr"/>
      <c r="AQ20" s="153" t="inlineStr"/>
      <c r="AR20" s="153" t="inlineStr"/>
      <c r="AS20" s="153" t="inlineStr"/>
      <c r="AT20" s="153" t="inlineStr"/>
      <c r="AV20" s="153" t="inlineStr">
        <is>
          <t>De Novo</t>
        </is>
      </c>
      <c r="AW20" s="153" t="inlineStr">
        <is>
          <t>Mira</t>
        </is>
      </c>
      <c r="AX20" s="155" t="n">
        <v>2</v>
      </c>
      <c r="AY20" s="155" t="n">
        <v>0</v>
      </c>
      <c r="AZ20" s="155" t="n">
        <v>0</v>
      </c>
      <c r="BA20" s="155" t="n">
        <v>0</v>
      </c>
      <c r="BC20" s="153" t="inlineStr">
        <is>
          <t>Tudo ou Nada</t>
        </is>
      </c>
      <c r="BD20" s="153" t="inlineStr">
        <is>
          <t>Tudo ou Nada</t>
        </is>
      </c>
      <c r="BE20" s="155" t="n">
        <v>1</v>
      </c>
      <c r="BF20" s="155" t="n">
        <v>0</v>
      </c>
      <c r="BG20" s="153" t="inlineStr">
        <is>
          <t>Tudo ou Nada</t>
        </is>
      </c>
      <c r="CC20" s="153" t="inlineStr">
        <is>
          <t>Persuasão</t>
        </is>
      </c>
      <c r="CD20" s="153" t="inlineStr">
        <is>
          <t>Essência</t>
        </is>
      </c>
      <c r="JR20" s="155">
        <f>IF(OR($AW20="",COUNTIF($EJ$2:$EN$2,$AW20)&gt;0),$AV20,"")</f>
        <v/>
      </c>
      <c r="JS20" s="155">
        <f>IF(AND($AX20=1,OR($AW20="",COUNTIF($EJ$2:$EN$2,$AW20)&gt;0)),$AV20,"")</f>
        <v/>
      </c>
      <c r="JX20" s="155">
        <f>IF(OR($AW20="",COUNTIF($EJ$3:$EN$3,$AW20)&gt;0),$AV20,"")</f>
        <v/>
      </c>
      <c r="JY20" s="155">
        <f>IF(AND($AX20=1,OR($AW20="",COUNTIF($EJ$3:$EN$3,$AW20)&gt;0)),$AV20,"")</f>
        <v/>
      </c>
      <c r="KD20" s="155">
        <f>IF(OR($AW20="",COUNTIF($EJ$4:$EN$4,$AW20)&gt;0),$AV20,"")</f>
        <v/>
      </c>
      <c r="KE20" s="155">
        <f>IF(AND($AX20=1,OR($AW20="",COUNTIF($EJ$4:$EN$4,$AW20)&gt;0)),$AV20,"")</f>
        <v/>
      </c>
      <c r="KJ20" s="155">
        <f>IF(OR($AW20="",COUNTIF($EJ$5:$EN$5,$AW20)&gt;0),$AV20,"")</f>
        <v/>
      </c>
      <c r="KK20" s="155">
        <f>IF(AND($AX20=1,OR($AW20="",COUNTIF($EJ$5:$EN$5,$AW20)&gt;0)),$AV20,"")</f>
        <v/>
      </c>
      <c r="KP20" s="155">
        <f>IF(OR($AW20="",COUNTIF($EJ$6:$EN$6,$AW20)&gt;0),$AV20,"")</f>
        <v/>
      </c>
      <c r="KQ20" s="155">
        <f>IF(AND($AX20=1,OR($AW20="",COUNTIF($EJ$6:$EN$6,$AW20)&gt;0)),$AV20,"")</f>
        <v/>
      </c>
      <c r="KV20" s="155">
        <f>IF(OR($AW20="",COUNTIF($EJ$7:$EN$7,$AW20)&gt;0),$AV20,"")</f>
        <v/>
      </c>
      <c r="KW20" s="155">
        <f>IF(AND($AX20=1,OR($AW20="",COUNTIF($EJ$7:$EN$7,$AW20)&gt;0)),$AV20,"")</f>
        <v/>
      </c>
      <c r="LB20" s="155">
        <f>IF(OR($AW20="",COUNTIF($EJ$8:$EN$8,$AW20)&gt;0),$AV20,"")</f>
        <v/>
      </c>
      <c r="LC20" s="155">
        <f>IF(AND($AX20=1,OR($AW20="",COUNTIF($EJ$8:$EN$8,$AW20)&gt;0)),$AV20,"")</f>
        <v/>
      </c>
      <c r="LH20" s="155">
        <f>IF(OR($AW20="",COUNTIF($EJ$9:$EN$9,$AW20)&gt;0),$AV20,"")</f>
        <v/>
      </c>
      <c r="LI20" s="155">
        <f>IF(AND($AX20=1,OR($AW20="",COUNTIF($EJ$9:$EN$9,$AW20)&gt;0)),$AV20,"")</f>
        <v/>
      </c>
      <c r="LN20" s="155">
        <f>IF(OR($AW20="",COUNTIF($EJ$10:$EN$10,$AW20)&gt;0),$AV20,"")</f>
        <v/>
      </c>
      <c r="LO20" s="155">
        <f>IF(AND($AX20=1,OR($AW20="",COUNTIF($EJ$10:$EN$10,$AW20)&gt;0)),$AV20,"")</f>
        <v/>
      </c>
      <c r="LT20" s="155">
        <f>IF(OR($AW20="",COUNTIF($EJ$11:$EN$11,$AW20)&gt;0),$AV20,"")</f>
        <v/>
      </c>
      <c r="LU20" s="155">
        <f>IF(AND($AX20=1,OR($AW20="",COUNTIF($EJ$11:$EN$11,$AW20)&gt;0)),$AV20,"")</f>
        <v/>
      </c>
      <c r="LZ20" s="155">
        <f>IF(OR($AW20="",COUNTIF($EJ$12:$EN$12,$AW20)&gt;0),$AV20,"")</f>
        <v/>
      </c>
      <c r="MA20" s="155">
        <f>IF(AND($AX20=1,OR($AW20="",COUNTIF($EJ$12:$EN$12,$AW20)&gt;0)),$AV20,"")</f>
        <v/>
      </c>
      <c r="MF20" s="155">
        <f>IF(OR($AW20="",COUNTIF($EJ$13:$EN$13,$AW20)&gt;0),$AV20,"")</f>
        <v/>
      </c>
      <c r="MG20" s="155">
        <f>IF(AND($AX20=1,OR($AW20="",COUNTIF($EJ$13:$EN$13,$AW20)&gt;0)),$AV20,"")</f>
        <v/>
      </c>
      <c r="ML20" s="153" t="inlineStr">
        <is>
          <t>Ficha 2 · Especial 4</t>
        </is>
      </c>
      <c r="MM20" s="155" t="n">
        <v>2</v>
      </c>
      <c r="MN20" s="155" t="n">
        <v>1</v>
      </c>
      <c r="MO20" s="155" t="n">
        <v>12</v>
      </c>
      <c r="MP20" s="153" t="inlineStr">
        <is>
          <t>ESPECIAL 4</t>
        </is>
      </c>
      <c r="MQ20" s="155">
        <f>MAX(1,MIN(7,N('INVOCAÇÕES'!$U$290)))</f>
        <v/>
      </c>
      <c r="MR20" s="155">
        <f>'INVOCAÇÕES'!$V$290&amp;""</f>
        <v/>
      </c>
      <c r="MS20" s="155">
        <f>'INVOCAÇÕES'!$U$295&amp;""</f>
        <v/>
      </c>
      <c r="MT20" s="155">
        <f>'INVOCAÇÕES'!$U$296&amp;""</f>
        <v/>
      </c>
      <c r="MU20" s="155">
        <f>'INVOCAÇÕES'!$W$296&amp;""</f>
        <v/>
      </c>
      <c r="MV20" s="155">
        <f>'INVOCAÇÕES'!$V$299&amp;""</f>
        <v/>
      </c>
      <c r="MW20" s="155">
        <f>'INVOCAÇÕES'!$V$300&amp;""</f>
        <v/>
      </c>
      <c r="MX20" s="155">
        <f>'INVOCAÇÕES'!$V$301&amp;""</f>
        <v/>
      </c>
      <c r="MY20" s="155">
        <f>'INVOCAÇÕES'!$V$302&amp;""</f>
        <v/>
      </c>
      <c r="MZ20" s="155">
        <f>'INVOCAÇÕES'!$V$303&amp;""</f>
        <v/>
      </c>
      <c r="NA20" s="155">
        <f>'INVOCAÇÕES'!$V$304&amp;""</f>
        <v/>
      </c>
      <c r="NB20" s="155">
        <f>IF($MR20&lt;&gt;"",1,0)</f>
        <v/>
      </c>
      <c r="NC20" s="155">
        <f>INDEX($FM$2:$FM$13,$MM20)</f>
        <v/>
      </c>
      <c r="ND20" s="155">
        <f>INDEX($FN$2:$FN$13,$MM20)</f>
        <v/>
      </c>
      <c r="NE20" s="155">
        <f>INDEX($FO$2:$FO$13,$MM20)</f>
        <v/>
      </c>
      <c r="NF20" s="155">
        <f>INDEX($FZ$2:$FZ$13,$MM20)</f>
        <v/>
      </c>
      <c r="NG20" s="155">
        <f>INDEX($GA$2:$GA$13,$MM20)</f>
        <v/>
      </c>
      <c r="NH20" s="155">
        <f>IFERROR(MATCH($MS20,$V$2:$V$11,0),0)</f>
        <v/>
      </c>
      <c r="NI20" s="155">
        <f>IFERROR(VLOOKUP($MV20,$AV$2:$BA$84,2,FALSE),"")</f>
        <v/>
      </c>
      <c r="NJ20" s="155">
        <f>IFERROR(VLOOKUP($MW20,$AV$2:$BA$84,2,FALSE),"")</f>
        <v/>
      </c>
      <c r="NK20" s="155">
        <f>IFERROR(VLOOKUP($MX20,$AV$2:$BA$84,2,FALSE),"")</f>
        <v/>
      </c>
      <c r="NL20" s="155">
        <f>IFERROR(VLOOKUP($MY20,$AV$2:$BA$84,2,FALSE),"")</f>
        <v/>
      </c>
      <c r="NM20" s="155">
        <f>IFERROR(VLOOKUP($MV20,$AV$2:$BA$84,3,FALSE),0)</f>
        <v/>
      </c>
      <c r="NN20" s="155">
        <f>IFERROR(VLOOKUP($MW20,$AV$2:$BA$84,3,FALSE),0)</f>
        <v/>
      </c>
      <c r="NO20" s="155">
        <f>IFERROR(VLOOKUP($MX20,$AV$2:$BA$84,3,FALSE),0)</f>
        <v/>
      </c>
      <c r="NP20" s="155">
        <f>IFERROR(VLOOKUP($MY20,$AV$2:$BA$84,3,FALSE),0)</f>
        <v/>
      </c>
      <c r="NQ20" s="155">
        <f>IF($MQ20=0,0,IF($NH20=0,0,INDEX($X$2:$X$11,$NH20)))</f>
        <v/>
      </c>
      <c r="NR20" s="155">
        <f>IF(OR($NM20=0,$MQ20=0),0,$NM20+3*IF(AND($NI20&lt;&gt;"",OR($NI20=INDEX($EJ$2:$EJ$13,$MM20),$NI20=INDEX($EK$2:$EK$13,$MM20))),1,0))</f>
        <v/>
      </c>
      <c r="NS20" s="155">
        <f>IF(OR($NN20=0,$MQ20=0),0,$NN20+3*IF(AND($NJ20&lt;&gt;"",OR($NJ20=INDEX($EJ$2:$EJ$13,$MM20),$NJ20=INDEX($EK$2:$EK$13,$MM20))),1,0))</f>
        <v/>
      </c>
      <c r="NT20" s="155">
        <f>IF(OR($NO20=0,$MQ20=0),0,$NO20+3*IF(AND($NK20&lt;&gt;"",OR($NK20=INDEX($EJ$2:$EJ$13,$MM20),$NK20=INDEX($EK$2:$EK$13,$MM20))),1,0))</f>
        <v/>
      </c>
      <c r="NU20" s="155">
        <f>IF(OR($NP20=0,$MQ20=0),0,$NP20+3*IF(AND($NL20&lt;&gt;"",OR($NL20=INDEX($EJ$2:$EJ$13,$MM20),$NL20=INDEX($EK$2:$EK$13,$MM20))),1,0))</f>
        <v/>
      </c>
      <c r="NV20" s="155">
        <f>IF($NH20=0,0,IF(INDEX($W$2:$W$11,$NH20)="",0,IF(COUNTIF(INDEX($EJ$2:$EN$13,$MM20,0),INDEX($W$2:$W$11,$NH20))=0,1,0)))</f>
        <v/>
      </c>
      <c r="NW20" s="155">
        <f>IF(OR($NM20=0,$NI20=""),0,IF(COUNTIF(INDEX($EJ$2:$EN$13,$MM20,0),$NI20)=0,1,0))</f>
        <v/>
      </c>
      <c r="NX20" s="155">
        <f>IF(OR($NN20=0,$NJ20=""),0,IF(COUNTIF(INDEX($EJ$2:$EN$13,$MM20,0),$NJ20)=0,1,0))</f>
        <v/>
      </c>
      <c r="NY20" s="155">
        <f>IF(OR($NO20=0,$NK20=""),0,IF(COUNTIF(INDEX($EJ$2:$EN$13,$MM20,0),$NK20)=0,1,0))</f>
        <v/>
      </c>
      <c r="NZ20" s="155">
        <f>IF(OR($NP20=0,$NL20=""),0,IF(COUNTIF(INDEX($EJ$2:$EN$13,$MM20,0),$NL20)=0,1,0))</f>
        <v/>
      </c>
      <c r="OA20" s="155">
        <f>IFERROR(VLOOKUP($MV20,$AV$2:$BA$84,4,FALSE),0)+IFERROR(VLOOKUP($MW20,$AV$2:$BA$84,4,FALSE),0)+IFERROR(VLOOKUP($MX20,$AV$2:$BA$84,4,FALSE),0)+IFERROR(VLOOKUP($MY20,$AV$2:$BA$84,4,FALSE),0)</f>
        <v/>
      </c>
      <c r="OB20" s="155">
        <f>IFERROR(VLOOKUP($MV20,$AV$2:$BA$84,6,FALSE),0)+IFERROR(VLOOKUP($MW20,$AV$2:$BA$84,6,FALSE),0)+IFERROR(VLOOKUP($MX20,$AV$2:$BA$84,6,FALSE),0)+IFERROR(VLOOKUP($MY20,$AV$2:$BA$84,6,FALSE),0)</f>
        <v/>
      </c>
      <c r="OC20" s="155">
        <f>TEXTJOIN(", ",TRUE,IF(IFERROR(VLOOKUP($MV20,$AV$2:$BA$84,5,FALSE),0)=1,$MV20,""),IF(IFERROR(VLOOKUP($MW20,$AV$2:$BA$84,5,FALSE),0)=1,$MW20,""),IF(IFERROR(VLOOKUP($MX20,$AV$2:$BA$84,5,FALSE),0)=1,$MX20,""),IF(IFERROR(VLOOKUP($MY20,$AV$2:$BA$84,5,FALSE),0)=1,$MY20,""))</f>
        <v/>
      </c>
      <c r="OD20" s="155">
        <f>IF($NH20=0,0,INDEX($Y$2:$Y$11,$NH20))</f>
        <v/>
      </c>
      <c r="OE20" s="155">
        <f>IF($NH20=0,0,INDEX($Z$2:$Z$11,$NH20))</f>
        <v/>
      </c>
      <c r="OF20" s="155">
        <f>IF($NH20=0,0,INDEX($AB$2:$AB$11,$NH20))</f>
        <v/>
      </c>
      <c r="OG20" s="155">
        <f>IFERROR(VLOOKUP($MZ20,$BC$2:$BG$24,3,FALSE),0)</f>
        <v/>
      </c>
      <c r="OH20" s="155">
        <f>IFERROR(VLOOKUP($NA20,$BC$2:$BG$24,3,FALSE),0)</f>
        <v/>
      </c>
      <c r="OI20" s="155">
        <f>IFERROR(VLOOKUP($MZ20,$BC$2:$BG$24,2,FALSE),"")</f>
        <v/>
      </c>
      <c r="OJ20" s="155">
        <f>IFERROR(VLOOKUP($NA20,$BC$2:$BG$24,2,FALSE),"")</f>
        <v/>
      </c>
      <c r="OK20" s="155">
        <f>COUNTIF($NQ20:$NU20,1)</f>
        <v/>
      </c>
      <c r="OL20" s="155">
        <f>COUNTIF($NQ20:$NU20,2)</f>
        <v/>
      </c>
      <c r="OM20" s="155">
        <f>COUNTIF($NQ20:$NU20,3)</f>
        <v/>
      </c>
      <c r="ON20" s="155">
        <f>COUNTIF($NQ20:$NU20,4)</f>
        <v/>
      </c>
      <c r="OO20" s="155">
        <f>COUNTIF($NQ20:$NU20,5)</f>
        <v/>
      </c>
      <c r="OP20" s="155">
        <f>COUNTIF($NQ20:$NU20,6)</f>
        <v/>
      </c>
      <c r="OQ20" s="155">
        <f>COUNTIF($OG20:$OH20,1)</f>
        <v/>
      </c>
      <c r="OR20" s="155">
        <f>COUNTIF($OG20:$OH20,2)+$OD20</f>
        <v/>
      </c>
      <c r="OS20" s="155">
        <f>COUNTIF($MV20:$MY20,"?*")</f>
        <v/>
      </c>
      <c r="OT20" s="155">
        <f>COUNTIF($MZ20:$NA20,"?*")+$OD20</f>
        <v/>
      </c>
      <c r="OU20" s="155">
        <f>IF($MQ20=0,0,SUMPRODUCT($OK20:$OP20,INDEX($I$2:$N$8,MAX(1,$MQ20),0)))</f>
        <v/>
      </c>
      <c r="OV20" s="155">
        <f>IF($MQ20=0,0,$OQ20*CEILING($MQ20/2,1)+$OR20*$MQ20)</f>
        <v/>
      </c>
      <c r="OW20" s="155">
        <f>MIN(2*$MQ20,$OV20)</f>
        <v/>
      </c>
      <c r="OX20" s="155">
        <f>MIN($OW20,$OU20)</f>
        <v/>
      </c>
      <c r="OY20" s="155">
        <f>$OW20-$OX20</f>
        <v/>
      </c>
      <c r="OZ20" s="155">
        <f>IF($MQ20=0,0,INDEX($P$2:$P$8,MAX(1,$MQ20)))</f>
        <v/>
      </c>
      <c r="PA20" s="155">
        <f>$OZ20-$OU20+$OX20</f>
        <v/>
      </c>
      <c r="PB20" s="155">
        <f>IF($MQ20=0,MAX(0,$NE20-IF($OS20&gt;0,1,0)),MAX(0,$PA20))</f>
        <v/>
      </c>
      <c r="PC20" s="155">
        <f>IF($MQ20=0,0,(IF(COUNTIF($MV20:$MY20,"Salto")&gt;0,1,0)+IF(COUNTIF($MV20:$MY20,"Queima")&gt;0,1,0)+IF(COUNTIF($MV20:$MY20,"Estilhaço")&gt;0,1,0))*FLOOR($PB20/2,1))</f>
        <v/>
      </c>
      <c r="PD20" s="155">
        <f>MAX(0,2-SUMPRODUCT($OK20:$OP20,$I$2:$N$2)+MIN(2,$OQ20*1+$OR20*1,SUMPRODUCT($OK20:$OP20,$I$2:$N$2)))</f>
        <v/>
      </c>
      <c r="PE20" s="155">
        <f>MAX(0,4-SUMPRODUCT($OK20:$OP20,$I$3:$N$3)+MIN(4,$OQ20*1+$OR20*2,SUMPRODUCT($OK20:$OP20,$I$3:$N$3)))</f>
        <v/>
      </c>
      <c r="PF20" s="155">
        <f>MAX(0,6-SUMPRODUCT($OK20:$OP20,$I$4:$N$4)+MIN(6,$OQ20*2+$OR20*3,SUMPRODUCT($OK20:$OP20,$I$4:$N$4)))</f>
        <v/>
      </c>
      <c r="PG20" s="155">
        <f>MAX(0,9-SUMPRODUCT($OK20:$OP20,$I$5:$N$5)+MIN(8,$OQ20*2+$OR20*4,SUMPRODUCT($OK20:$OP20,$I$5:$N$5)))</f>
        <v/>
      </c>
      <c r="PH20" s="155">
        <f>MAX(0,11-SUMPRODUCT($OK20:$OP20,$I$6:$N$6)+MIN(10,$OQ20*3+$OR20*5,SUMPRODUCT($OK20:$OP20,$I$6:$N$6)))</f>
        <v/>
      </c>
      <c r="PI20" s="155">
        <f>MAX(0,13-SUMPRODUCT($OK20:$OP20,$I$7:$N$7)+MIN(12,$OQ20*3+$OR20*6,SUMPRODUCT($OK20:$OP20,$I$7:$N$7)))</f>
        <v/>
      </c>
      <c r="PJ20" s="155">
        <f>MAX(0,16-SUMPRODUCT($OK20:$OP20,$I$8:$N$8)+MIN(14,$OQ20*4+$OR20*7,SUMPRODUCT($OK20:$OP20,$I$8:$N$8)))</f>
        <v/>
      </c>
      <c r="PK20" s="155">
        <f>IF($OE20=2,3*$PD20&amp;" de vida temp.",IF($OE20=3,"sem dano",IF($PD20=0,IF($OE20=1,"sem cura","sem dano"),IF($OE20=1,"cura ","")&amp;$PD20&amp;"d8")))</f>
        <v/>
      </c>
      <c r="PL20" s="155">
        <f>IF($OE20=2,3*$PE20&amp;" de vida temp.",IF($OE20=3,"sem dano",IF($PE20=0,IF($OE20=1,"sem cura","sem dano"),IF($OE20=1,"cura ","")&amp;$PE20&amp;"d8")))</f>
        <v/>
      </c>
      <c r="PM20" s="155">
        <f>IF($OE20=2,3*$PF20&amp;" de vida temp.",IF($OE20=3,"sem dano",IF($PF20=0,IF($OE20=1,"sem cura","sem dano"),IF($OE20=1,"cura ","")&amp;$PF20&amp;"d8")))</f>
        <v/>
      </c>
      <c r="PN20" s="155">
        <f>IF($OE20=2,3*$PG20&amp;" de vida temp.",IF($OE20=3,"sem dano",IF($PG20=0,IF($OE20=1,"sem cura","sem dano"),IF($OE20=1,"cura ","")&amp;$PG20&amp;"d8")))</f>
        <v/>
      </c>
      <c r="PO20" s="155">
        <f>IF($OE20=2,3*$PH20&amp;" de vida temp.",IF($OE20=3,"sem dano",IF($PH20=0,IF($OE20=1,"sem cura","sem dano"),IF($OE20=1,"cura ","")&amp;$PH20&amp;"d8")))</f>
        <v/>
      </c>
      <c r="PP20" s="155">
        <f>IF($OE20=2,3*$PI20&amp;" de vida temp.",IF($OE20=3,"sem dano",IF($PI20=0,IF($OE20=1,"sem cura","sem dano"),IF($OE20=1,"cura ","")&amp;$PI20&amp;"d8")))</f>
        <v/>
      </c>
      <c r="PQ20" s="155">
        <f>IF($OE20=2,3*$PJ20&amp;" de vida temp.",IF($OE20=3,"sem dano",IF($PJ20=0,IF($OE20=1,"sem cura","sem dano"),IF($OE20=1,"cura ","")&amp;$PJ20&amp;"d8")))</f>
        <v/>
      </c>
      <c r="PR20" s="155">
        <f>IF($NB20=0,"",TEXTJOIN(" · ",TRUE,IF($MO20&gt;$NC20,"Este lugar abre no nível "&amp;$MO20,""),IF($MQ20&gt;$ND20,"Classe "&amp;$MQ20&amp;": o nível "&amp;$NC20&amp;" libera até a "&amp;$ND20,""),IF($NV20=1,"A Forma "&amp;$MS20&amp;" pede "&amp;INDEX($W$2:$W$11,$NH20)&amp;" aberta",""),IF(AND($MQ20=0,$NH20&gt;0,IF($NH20=0,0,INDEX($AF$2:$AF$11,$NH20))=0),$MS20&amp;" não existe na Classe 0",""),IF($NW20=1,"Família Fechada: "&amp;$MV20,""),IF($NX20=1,"Família Fechada: "&amp;$MW20,""),IF($NY20=1,"Família Fechada: "&amp;$MX20,""),IF($NZ20=1,"Família Fechada: "&amp;$MY20,""),IF(AND($MQ20&gt;0,$OS20&gt;INDEX($O$2:$O$8,MAX(1,$MQ20))),$OS20&amp;" Melhorias: a Classe "&amp;$MQ20&amp;" aceita "&amp;INDEX($O$2:$O$8,MAX(1,$MQ20)),""),IF(AND($MQ20=0,$OS20&gt;1),"A básica aceita uma Melhoria",""),IF(AND($MQ20=0,COUNTIF($NM20:$NP20,"&gt;1")&gt;0),"A básica só aceita Melhoria Leve",""),IF(AND($MQ20&gt;0,$OT20&gt;2),$OT20&amp;" Restrições"&amp;IF($OD20=1,", contando a que a Forma "&amp;$MS20&amp;" já traz","")&amp;": o limite é 2",""),IF(AND($MQ20=0,COUNTIF($MZ20:$NA20,"?*")&gt;1),"A básica aceita uma Restrição Leve",""),IF(AND($MQ20=0,COUNTIF($OG20:$OH20,2)&gt;0),"A básica só aceita Restrição Leve",""),IF(AND($MQ20&gt;0,$PA20&lt;0),"Orçamento estourado: faltam "&amp;(-$PA20)&amp;IF($PA20&lt;-1," pontos"," ponto"),""),IF(IFERROR(VLOOKUP($MZ20,$BC$2:$BG$24,4,FALSE),0)+IFERROR(VLOOKUP($NA20,$BC$2:$BG$24,4,FALSE),0)&gt;1,$OI20&amp;" e "&amp;$OJ20&amp;" são as duas de frequência",""),IF(AND((COUNTIF($MV20:$MY20,"Rápido")+COUNTIF($OI20:$OJ20,"Rápido"))&gt;0,(COUNTIF($MV20:$MY20,"Atrasar")+COUNTIF($OI20:$OJ20,"Atrasar"))&gt;0),"Rápido não entra com Atrasar",""),IF(AND((COUNTIF($MV20:$MY20,"Reação")+COUNTIF($OI20:$OJ20,"Reação"))&gt;0,(COUNTIF($MV20:$MY20,"Rápido")+COUNTIF($OI20:$OJ20,"Rápido"))&gt;0),"Reação não entra com Rápido",""),IF(AND((COUNTIF($MV20:$MY20,"Reação")+COUNTIF($OI20:$OJ20,"Reação"))&gt;0,(COUNTIF($MV20:$MY20,"Armado")+COUNTIF($OI20:$OJ20,"Armado"))&gt;0),"Reação não entra com Armado",""),IF(AND((COUNTIF($MV20:$MY20,"Reação")+COUNTIF($OI20:$OJ20,"Reação"))&gt;0,(COUNTIF($MV20:$MY20,"Atrasar")+COUNTIF($OI20:$OJ20,"Atrasar"))&gt;0),"Reação não entra com Atrasar",""),IF(AND((COUNTIF($MV20:$MY20,"Reação")+COUNTIF($OI20:$OJ20,"Reação"))&gt;0,(COUNTIF($MV20:$MY20,"Parado")+COUNTIF($OI20:$OJ20,"Parado"))&gt;0),"Reação não entra com Parado",""),IF(AND((COUNTIF($MV20:$MY20,"Atrasar")+COUNTIF($OI20:$OJ20,"Atrasar"))&gt;0,(COUNTIF($MV20:$MY20,"Parado")+COUNTIF($OI20:$OJ20,"Parado"))&gt;0),"Atrasar não entra com Parado",""),IF(AND((COUNTIF($MV20:$MY20,"Armado")+COUNTIF($OI20:$OJ20,"Armado"))&gt;0,(COUNTIF($MV20:$MY20,"Carregar")+COUNTIF($OI20:$OJ20,"Carregar"))&gt;0),"Armado não entra com Carregar",""),IF(AND(COUNTIF($OI20:$OJ20,"Corpo a Corpo")&gt;0,$OD20=0,OR($MS20="Cone",$MS20="Linha")),"Corpo a Corpo não entra em "&amp;$MS20,""),IF(AND(COUNTIF($OI20:$OJ20,"Corpo a Corpo")&gt;0,$OD20=1),"A Forma "&amp;$MS20&amp;" já traz o Corpo a Corpo",""),IF(AND(COUNTIF($OI20:$OJ20,"Tudo ou Nada")&gt;0,$OF20=0),"Tudo ou Nada só entra em habilidade de Teste de Resistência",""),IF(AND(COUNTIF($MV20:$MY20,"Inescapável")&gt;0,OR($OS20&gt;1,$OT20&gt;0)),"Inescapável não aceita outra peça",""),IF(AND($MQ20&gt;0,$PB20*IF(COUNTIF($MV20:$MY20,"Remate")&gt;0,1.25,1)+$PC20&gt;4*$MQ20),($PB20*IF(COUNTIF($MV20:$MY20,"Remate")&gt;0,1.25,1)+$PC20)&amp;" dados somando repetições"&amp;IF(COUNTIF($MV20:$MY20,"Remate")&gt;0," e o Remate","")&amp;": o teto da Classe "&amp;$MQ20&amp;" é "&amp;4*$MQ20,"")))</f>
        <v/>
      </c>
      <c r="PS20" s="155">
        <f>IF($PR20="",0,(LEN($PR20)-LEN(SUBSTITUTE($PR20," · ","")))/3+1)</f>
        <v/>
      </c>
      <c r="PT20" s="155">
        <f>IF($NB20=0,"",TEXTJOIN(" · ",TRUE,IF($OV20&gt;2*$MQ20,"A devolução parou no teto de "&amp;2*$MQ20,""),IF($OY20&gt;0,"Devolução perdida: "&amp;$OY20&amp;IF($OY20&gt;1," pontos"," ponto")&amp;" sem peça para pagar",""),IF(AND($OA20&gt;0,AND($MQ20&gt;0,$OE20=0),$PB20=0),"Controle sem dano: uma rodada a mais e CD +2",""),IF(AND($OA20&gt;0,AND($MQ20&gt;0,$OE20=0),$PB20&gt;0,$PB20&lt;=$MQ20),"Controle com saldo até a Classe: uma rodada a mais",""),IF(AND($MQ20&gt;0,$OC20&lt;&gt;""),"Efeito de "&amp;$OC20&amp;" pela Classe "&amp;MAX(1,$MQ20-1),"")))</f>
        <v/>
      </c>
      <c r="PU20" s="155">
        <f>IF($PT20="",0,(LEN($PT20)-LEN(SUBSTITUTE($PT20," · ","")))/3+1)</f>
        <v/>
      </c>
      <c r="PV20" s="155">
        <f>IF($NB20=0,IF($OS20+COUNTIF($MZ20:$NA20,"?*")&gt;0,"Dê um nome",""),IF($PS20&gt;0,"⚠ "&amp;$PS20&amp;IF($PS20&gt;1," erros"," erro"),IF($PU20&gt;0,"! "&amp;$PU20&amp;IF($PU20&gt;1," avisos"," aviso"),"Na regra")))</f>
        <v/>
      </c>
      <c r="PW20" s="155">
        <f>IF($NB20=0,"",IF($PS20+$PU20=0,"Dentro das regras que a ficha confere",$PR20&amp;IF(AND($PS20&gt;0,$PU20&gt;0)," · ","")&amp;$PT20))</f>
        <v/>
      </c>
      <c r="PX20" s="155">
        <f>IF($MO20&gt;$NC20,$MP20&amp;" · ABRE NO NÍVEL "&amp;$MO20,$MP20)</f>
        <v/>
      </c>
      <c r="PY20" s="155">
        <f>IF($NB20=0,"",IF($MQ20=0,"Sem PE",3*$MQ20&amp;" PE"))</f>
        <v/>
      </c>
      <c r="PZ20" s="155">
        <f>IF($NB20=0,"",IF($MQ20=0,"A atuação básica dela",IF(COUNTIF($OI20:$OJ20,"Atrasar")&gt;0,"Sua Ação Completa",IF(COUNTIF($MV20:$MY20,"Rápido")&gt;0,"Sua Bônus",IF(COUNTIF($MV20:$MY20,"Reação")&gt;0,"Sua Reação","Sua Padrão")))&amp;" + a básica dela"&amp;IF(COUNTIF($MV20:$MY20,"Reação")&gt;0," e a coletiva","")&amp;IF(COUNTIF($OI20:$OJ20,"Carregar")&gt;0," · em dois turnos","")))</f>
        <v/>
      </c>
      <c r="QA20" s="155">
        <f>IF($MU20&lt;&gt;"",$MU20,IF($NH20=0,"",INDEX($AA$2:$AA$11,$NH20)))</f>
        <v/>
      </c>
      <c r="QB20" s="155">
        <f>IF(OR($NB20=0,$NH20=0),"",IF(COUNTIF($MV20:$MY20,"Inescapável")&gt;0,"Automático",IF($QA20="Ataque",IF($NF20="","Ataque","Ataque "&amp;IF(($NF20+2*IF(COUNTIF($MV20:$MY20,"Precisão")&gt;0,1,0))&gt;=0,"+","−")&amp;ABS(($NF20+2*IF(COUNTIF($MV20:$MY20,"Precisão")&gt;0,1,0))))&amp;IF($OB20&gt;0," · TR"&amp;IF($NG20="",""," CD "&amp;$NG20),""),IF(LEFT($QA20,2)="TR",$QA20&amp;IF($NG20="",""," · CD "&amp;$NG20)&amp;IF(COUNTIF($MV20:$MY20,"Certeiro")&gt;0," · metade",""),"Sem rolagem"))))</f>
        <v/>
      </c>
      <c r="QC20" s="155">
        <f>IF(OR($NB20=0,$NH20=0),"",IF($MQ20=0,IF(OR($OE20&gt;=1,$PB20=0),"Sem dano",$PB20&amp;"d6"&amp;IF($MT20="",""," "&amp;$MT20)),IF(OR($OE20&gt;=1,$PB20=0),UPPER(LEFT(INDEX($PK20:$PQ20,1,MAX(1,$MQ20)),1))&amp;MID(INDEX($PK20:$PQ20,1,MAX(1,$MQ20)),2,99),UPPER(LEFT(INDEX($PK20:$PQ20,1,MAX(1,$MQ20)),1))&amp;MID(INDEX($PK20:$PQ20,1,MAX(1,$MQ20)),2,99)&amp;IF($MT20="",""," "&amp;$MT20)&amp;IF($PC20&gt;0," · +"&amp;$PC20&amp;"d8",""))))</f>
        <v/>
      </c>
      <c r="QD20" s="155">
        <f>COUNTIF($MV20:$MY20,"Longe")+3*COUNTIF($MV20:$MY20,"Muito Longe")</f>
        <v/>
      </c>
      <c r="QE20" s="155">
        <f>COUNTIF($MV20:$MY20,"Maior")+3*COUNTIF($MV20:$MY20,"Muito Maior")</f>
        <v/>
      </c>
      <c r="QF20" s="155">
        <f>IF($NH20=0,0,CHOOSE(1+INDEX($AC$2:$AC$11,$NH20),0,$QD20,$QE20,$QD20+$QE20))</f>
        <v/>
      </c>
      <c r="QG20" s="155">
        <f>IF($NH20=0,0,CHOOSE(1+INDEX($AD$2:$AD$11,$NH20),0,$QD20,$QE20,$QD20+$QE20))</f>
        <v/>
      </c>
      <c r="QH20" s="155">
        <f>IF(OR($NB20=0,$NH20=0),"",INDEX($AI$2:$AN$41,($NH20-1)*4+IF($MQ20=0,1,IF($MQ20&lt;=5,2,IF($MQ20=6,3,4))),1+MIN(5,$QF20))&amp;INDEX($AO$2:$AT$41,($NH20-1)*4+IF($MQ20=0,1,IF($MQ20&lt;=5,2,IF($MQ20=6,3,4))),1+MIN(5,$QG20))&amp;IF(INDEX($AE$2:$AE$11,$NH20)=1,IF(COUNTIF($MV20:$MY20,"Mais Um")&gt;0," · +"&amp;COUNTIF($MV20:$MY20,"Mais Um")&amp;IF(COUNTIF($MV20:$MY20,"Mais Um")&gt;1," alvos"," alvo"),"")&amp;IF(COUNTIF($MV20:$MY20,"Rajada")&gt;0,IF($MQ20=0," · 1 tiro"," · "&amp;(MAX(1,$MQ20-1)+1)&amp;" tiros"),""),""))</f>
        <v/>
      </c>
      <c r="QI20" s="155">
        <f>IF($NB20=0,"",IF($MQ20=0,$NE20&amp;"d6"&amp;IF($OS20&gt;0," − 1 = "&amp;$PB20&amp;"d6"," da básica do nível "&amp;$NC20),$OZ20&amp;" − "&amp;$OU20&amp;" + "&amp;$OX20&amp;" = "&amp;$PA20&amp;" · teto "&amp;4*$MQ20&amp;"d8"&amp;IF($OD20=1," · a Forma devolve "&amp;$MQ20,"")&amp;IF($OY20&gt;0," · perde "&amp;$OY20,"")))</f>
        <v/>
      </c>
      <c r="QJ20" s="155">
        <f>IF($NB20=0,"",IF($MQ20=0,"A básica não amplia: os dados dela sobem com o nível",IF($MQ20&gt;=$ND20,"Já está na maior Classe que o nível liberou",TEXTJOIN(" · ",TRUE,IF(AND(2&gt;$MQ20,2&lt;=$ND20),"2 → "&amp;$PL20&amp;", 6 PE",""),IF(AND(3&gt;$MQ20,3&lt;=$ND20),"3 → "&amp;$PM20&amp;", 9 PE",""),IF(AND(4&gt;$MQ20,4&lt;=$ND20),"4 → "&amp;$PN20&amp;", 12 PE",""),IF(AND(5&gt;$MQ20,5&lt;=$ND20),"5 → "&amp;$PO20&amp;", 15 PE",""),IF(AND(6&gt;$MQ20,6&lt;=$ND20),"6 → "&amp;$PP20&amp;", 18 PE",""),IF(AND(7&gt;$MQ20,7&lt;=$ND20),"7 → "&amp;$PQ20&amp;", 21 PE","")))))</f>
        <v/>
      </c>
      <c r="QK20" s="155">
        <f>IF(OR($NB20=0,$NM20=0),"",IF($MQ20=0,"−1 dado","−"&amp;INDEX($I$2:$N$8,MAX(1,$MQ20),MAX(1,$NR20))&amp;" · "&amp;CHOOSE(MAX(1,$NR20),"Leve","Média","Pesada","Leve · Livre","Média · Livre","Pesada · Livre")))</f>
        <v/>
      </c>
      <c r="QL20" s="155">
        <f>IF(OR($NB20=0,$NN20=0),"",IF($MQ20=0,"−1 dado","−"&amp;INDEX($I$2:$N$8,MAX(1,$MQ20),MAX(1,$NS20))&amp;" · "&amp;CHOOSE(MAX(1,$NS20),"Leve","Média","Pesada","Leve · Livre","Média · Livre","Pesada · Livre")))</f>
        <v/>
      </c>
      <c r="QM20" s="155">
        <f>IF(OR($NB20=0,$NO20=0),"",IF($MQ20=0,"−1 dado","−"&amp;INDEX($I$2:$N$8,MAX(1,$MQ20),MAX(1,$NT20))&amp;" · "&amp;CHOOSE(MAX(1,$NT20),"Leve","Média","Pesada","Leve · Livre","Média · Livre","Pesada · Livre")))</f>
        <v/>
      </c>
      <c r="QN20" s="155">
        <f>IF(OR($NB20=0,$NP20=0),"",IF($MQ20=0,"−1 dado","−"&amp;INDEX($I$2:$N$8,MAX(1,$MQ20),MAX(1,$NU20))&amp;" · "&amp;CHOOSE(MAX(1,$NU20),"Leve","Média","Pesada","Leve · Livre","Média · Livre","Pesada · Livre")))</f>
        <v/>
      </c>
      <c r="QO20" s="155">
        <f>IF(OR($NB20=0,$MZ20=""),"",IF($MQ20=0,"não devolve","+"&amp;IF($OG20=1,CEILING($MQ20/2,1),$MQ20)))</f>
        <v/>
      </c>
      <c r="QP20" s="155">
        <f>IF(OR($NB20=0,$NA20=""),"",IF($MQ20=0,"não devolve","+"&amp;IF($OH20=1,CEILING($MQ20/2,1),$MQ20)))</f>
        <v/>
      </c>
    </row>
    <row r="21">
      <c r="AH21" s="153" t="inlineStr">
        <is>
          <t>Cone · classe 7</t>
        </is>
      </c>
      <c r="AI21" s="153" t="inlineStr">
        <is>
          <t>Cone de 9 m</t>
        </is>
      </c>
      <c r="AJ21" s="153" t="inlineStr">
        <is>
          <t>Cone de 18 m</t>
        </is>
      </c>
      <c r="AK21" s="153" t="inlineStr">
        <is>
          <t>Cone de 30 m</t>
        </is>
      </c>
      <c r="AL21" s="153" t="inlineStr">
        <is>
          <t>Cone de 60 m</t>
        </is>
      </c>
      <c r="AM21" s="153" t="inlineStr">
        <is>
          <t>Cone de 60 m</t>
        </is>
      </c>
      <c r="AN21" s="153" t="inlineStr">
        <is>
          <t>Cone de 60 m</t>
        </is>
      </c>
      <c r="AO21" s="153" t="inlineStr"/>
      <c r="AP21" s="153" t="inlineStr"/>
      <c r="AQ21" s="153" t="inlineStr"/>
      <c r="AR21" s="153" t="inlineStr"/>
      <c r="AS21" s="153" t="inlineStr"/>
      <c r="AT21" s="153" t="inlineStr"/>
      <c r="AV21" s="153" t="inlineStr">
        <is>
          <t>Fura</t>
        </is>
      </c>
      <c r="AW21" s="153" t="inlineStr">
        <is>
          <t>Mira</t>
        </is>
      </c>
      <c r="AX21" s="155" t="n">
        <v>2</v>
      </c>
      <c r="AY21" s="155" t="n">
        <v>0</v>
      </c>
      <c r="AZ21" s="155" t="n">
        <v>1</v>
      </c>
      <c r="BA21" s="155" t="n">
        <v>0</v>
      </c>
      <c r="BC21" s="153" t="inlineStr">
        <is>
          <t>Barulho</t>
        </is>
      </c>
      <c r="BD21" s="153" t="inlineStr">
        <is>
          <t>Barulho</t>
        </is>
      </c>
      <c r="BE21" s="155" t="n">
        <v>1</v>
      </c>
      <c r="BF21" s="155" t="n">
        <v>0</v>
      </c>
      <c r="BG21" s="153" t="inlineStr">
        <is>
          <t>Barulho</t>
        </is>
      </c>
      <c r="CC21" s="153" t="inlineStr">
        <is>
          <t>Enganação</t>
        </is>
      </c>
      <c r="CD21" s="153" t="inlineStr">
        <is>
          <t>Essência</t>
        </is>
      </c>
      <c r="JR21" s="155">
        <f>IF(OR($AW21="",COUNTIF($EJ$2:$EN$2,$AW21)&gt;0),$AV21,"")</f>
        <v/>
      </c>
      <c r="JS21" s="155">
        <f>IF(AND($AX21=1,OR($AW21="",COUNTIF($EJ$2:$EN$2,$AW21)&gt;0)),$AV21,"")</f>
        <v/>
      </c>
      <c r="JX21" s="155">
        <f>IF(OR($AW21="",COUNTIF($EJ$3:$EN$3,$AW21)&gt;0),$AV21,"")</f>
        <v/>
      </c>
      <c r="JY21" s="155">
        <f>IF(AND($AX21=1,OR($AW21="",COUNTIF($EJ$3:$EN$3,$AW21)&gt;0)),$AV21,"")</f>
        <v/>
      </c>
      <c r="KD21" s="155">
        <f>IF(OR($AW21="",COUNTIF($EJ$4:$EN$4,$AW21)&gt;0),$AV21,"")</f>
        <v/>
      </c>
      <c r="KE21" s="155">
        <f>IF(AND($AX21=1,OR($AW21="",COUNTIF($EJ$4:$EN$4,$AW21)&gt;0)),$AV21,"")</f>
        <v/>
      </c>
      <c r="KJ21" s="155">
        <f>IF(OR($AW21="",COUNTIF($EJ$5:$EN$5,$AW21)&gt;0),$AV21,"")</f>
        <v/>
      </c>
      <c r="KK21" s="155">
        <f>IF(AND($AX21=1,OR($AW21="",COUNTIF($EJ$5:$EN$5,$AW21)&gt;0)),$AV21,"")</f>
        <v/>
      </c>
      <c r="KP21" s="155">
        <f>IF(OR($AW21="",COUNTIF($EJ$6:$EN$6,$AW21)&gt;0),$AV21,"")</f>
        <v/>
      </c>
      <c r="KQ21" s="155">
        <f>IF(AND($AX21=1,OR($AW21="",COUNTIF($EJ$6:$EN$6,$AW21)&gt;0)),$AV21,"")</f>
        <v/>
      </c>
      <c r="KV21" s="155">
        <f>IF(OR($AW21="",COUNTIF($EJ$7:$EN$7,$AW21)&gt;0),$AV21,"")</f>
        <v/>
      </c>
      <c r="KW21" s="155">
        <f>IF(AND($AX21=1,OR($AW21="",COUNTIF($EJ$7:$EN$7,$AW21)&gt;0)),$AV21,"")</f>
        <v/>
      </c>
      <c r="LB21" s="155">
        <f>IF(OR($AW21="",COUNTIF($EJ$8:$EN$8,$AW21)&gt;0),$AV21,"")</f>
        <v/>
      </c>
      <c r="LC21" s="155">
        <f>IF(AND($AX21=1,OR($AW21="",COUNTIF($EJ$8:$EN$8,$AW21)&gt;0)),$AV21,"")</f>
        <v/>
      </c>
      <c r="LH21" s="155">
        <f>IF(OR($AW21="",COUNTIF($EJ$9:$EN$9,$AW21)&gt;0),$AV21,"")</f>
        <v/>
      </c>
      <c r="LI21" s="155">
        <f>IF(AND($AX21=1,OR($AW21="",COUNTIF($EJ$9:$EN$9,$AW21)&gt;0)),$AV21,"")</f>
        <v/>
      </c>
      <c r="LN21" s="155">
        <f>IF(OR($AW21="",COUNTIF($EJ$10:$EN$10,$AW21)&gt;0),$AV21,"")</f>
        <v/>
      </c>
      <c r="LO21" s="155">
        <f>IF(AND($AX21=1,OR($AW21="",COUNTIF($EJ$10:$EN$10,$AW21)&gt;0)),$AV21,"")</f>
        <v/>
      </c>
      <c r="LT21" s="155">
        <f>IF(OR($AW21="",COUNTIF($EJ$11:$EN$11,$AW21)&gt;0),$AV21,"")</f>
        <v/>
      </c>
      <c r="LU21" s="155">
        <f>IF(AND($AX21=1,OR($AW21="",COUNTIF($EJ$11:$EN$11,$AW21)&gt;0)),$AV21,"")</f>
        <v/>
      </c>
      <c r="LZ21" s="155">
        <f>IF(OR($AW21="",COUNTIF($EJ$12:$EN$12,$AW21)&gt;0),$AV21,"")</f>
        <v/>
      </c>
      <c r="MA21" s="155">
        <f>IF(AND($AX21=1,OR($AW21="",COUNTIF($EJ$12:$EN$12,$AW21)&gt;0)),$AV21,"")</f>
        <v/>
      </c>
      <c r="MF21" s="155">
        <f>IF(OR($AW21="",COUNTIF($EJ$13:$EN$13,$AW21)&gt;0),$AV21,"")</f>
        <v/>
      </c>
      <c r="MG21" s="155">
        <f>IF(AND($AX21=1,OR($AW21="",COUNTIF($EJ$13:$EN$13,$AW21)&gt;0)),$AV21,"")</f>
        <v/>
      </c>
      <c r="ML21" s="153" t="inlineStr">
        <is>
          <t>Ficha 2 · Especial 5</t>
        </is>
      </c>
      <c r="MM21" s="155" t="n">
        <v>2</v>
      </c>
      <c r="MN21" s="155" t="n">
        <v>1</v>
      </c>
      <c r="MO21" s="155" t="n">
        <v>16</v>
      </c>
      <c r="MP21" s="153" t="inlineStr">
        <is>
          <t>ESPECIAL 5</t>
        </is>
      </c>
      <c r="MQ21" s="155">
        <f>MAX(1,MIN(7,N('INVOCAÇÕES'!$I$312)))</f>
        <v/>
      </c>
      <c r="MR21" s="155">
        <f>'INVOCAÇÕES'!$J$312&amp;""</f>
        <v/>
      </c>
      <c r="MS21" s="155">
        <f>'INVOCAÇÕES'!$I$317&amp;""</f>
        <v/>
      </c>
      <c r="MT21" s="155">
        <f>'INVOCAÇÕES'!$I$318&amp;""</f>
        <v/>
      </c>
      <c r="MU21" s="155">
        <f>'INVOCAÇÕES'!$K$318&amp;""</f>
        <v/>
      </c>
      <c r="MV21" s="155">
        <f>'INVOCAÇÕES'!$J$321&amp;""</f>
        <v/>
      </c>
      <c r="MW21" s="155">
        <f>'INVOCAÇÕES'!$J$322&amp;""</f>
        <v/>
      </c>
      <c r="MX21" s="155">
        <f>'INVOCAÇÕES'!$J$323&amp;""</f>
        <v/>
      </c>
      <c r="MY21" s="155">
        <f>'INVOCAÇÕES'!$J$324&amp;""</f>
        <v/>
      </c>
      <c r="MZ21" s="155">
        <f>'INVOCAÇÕES'!$J$325&amp;""</f>
        <v/>
      </c>
      <c r="NA21" s="155">
        <f>'INVOCAÇÕES'!$J$326&amp;""</f>
        <v/>
      </c>
      <c r="NB21" s="155">
        <f>IF($MR21&lt;&gt;"",1,0)</f>
        <v/>
      </c>
      <c r="NC21" s="155">
        <f>INDEX($FM$2:$FM$13,$MM21)</f>
        <v/>
      </c>
      <c r="ND21" s="155">
        <f>INDEX($FN$2:$FN$13,$MM21)</f>
        <v/>
      </c>
      <c r="NE21" s="155">
        <f>INDEX($FO$2:$FO$13,$MM21)</f>
        <v/>
      </c>
      <c r="NF21" s="155">
        <f>INDEX($FZ$2:$FZ$13,$MM21)</f>
        <v/>
      </c>
      <c r="NG21" s="155">
        <f>INDEX($GA$2:$GA$13,$MM21)</f>
        <v/>
      </c>
      <c r="NH21" s="155">
        <f>IFERROR(MATCH($MS21,$V$2:$V$11,0),0)</f>
        <v/>
      </c>
      <c r="NI21" s="155">
        <f>IFERROR(VLOOKUP($MV21,$AV$2:$BA$84,2,FALSE),"")</f>
        <v/>
      </c>
      <c r="NJ21" s="155">
        <f>IFERROR(VLOOKUP($MW21,$AV$2:$BA$84,2,FALSE),"")</f>
        <v/>
      </c>
      <c r="NK21" s="155">
        <f>IFERROR(VLOOKUP($MX21,$AV$2:$BA$84,2,FALSE),"")</f>
        <v/>
      </c>
      <c r="NL21" s="155">
        <f>IFERROR(VLOOKUP($MY21,$AV$2:$BA$84,2,FALSE),"")</f>
        <v/>
      </c>
      <c r="NM21" s="155">
        <f>IFERROR(VLOOKUP($MV21,$AV$2:$BA$84,3,FALSE),0)</f>
        <v/>
      </c>
      <c r="NN21" s="155">
        <f>IFERROR(VLOOKUP($MW21,$AV$2:$BA$84,3,FALSE),0)</f>
        <v/>
      </c>
      <c r="NO21" s="155">
        <f>IFERROR(VLOOKUP($MX21,$AV$2:$BA$84,3,FALSE),0)</f>
        <v/>
      </c>
      <c r="NP21" s="155">
        <f>IFERROR(VLOOKUP($MY21,$AV$2:$BA$84,3,FALSE),0)</f>
        <v/>
      </c>
      <c r="NQ21" s="155">
        <f>IF($MQ21=0,0,IF($NH21=0,0,INDEX($X$2:$X$11,$NH21)))</f>
        <v/>
      </c>
      <c r="NR21" s="155">
        <f>IF(OR($NM21=0,$MQ21=0),0,$NM21+3*IF(AND($NI21&lt;&gt;"",OR($NI21=INDEX($EJ$2:$EJ$13,$MM21),$NI21=INDEX($EK$2:$EK$13,$MM21))),1,0))</f>
        <v/>
      </c>
      <c r="NS21" s="155">
        <f>IF(OR($NN21=0,$MQ21=0),0,$NN21+3*IF(AND($NJ21&lt;&gt;"",OR($NJ21=INDEX($EJ$2:$EJ$13,$MM21),$NJ21=INDEX($EK$2:$EK$13,$MM21))),1,0))</f>
        <v/>
      </c>
      <c r="NT21" s="155">
        <f>IF(OR($NO21=0,$MQ21=0),0,$NO21+3*IF(AND($NK21&lt;&gt;"",OR($NK21=INDEX($EJ$2:$EJ$13,$MM21),$NK21=INDEX($EK$2:$EK$13,$MM21))),1,0))</f>
        <v/>
      </c>
      <c r="NU21" s="155">
        <f>IF(OR($NP21=0,$MQ21=0),0,$NP21+3*IF(AND($NL21&lt;&gt;"",OR($NL21=INDEX($EJ$2:$EJ$13,$MM21),$NL21=INDEX($EK$2:$EK$13,$MM21))),1,0))</f>
        <v/>
      </c>
      <c r="NV21" s="155">
        <f>IF($NH21=0,0,IF(INDEX($W$2:$W$11,$NH21)="",0,IF(COUNTIF(INDEX($EJ$2:$EN$13,$MM21,0),INDEX($W$2:$W$11,$NH21))=0,1,0)))</f>
        <v/>
      </c>
      <c r="NW21" s="155">
        <f>IF(OR($NM21=0,$NI21=""),0,IF(COUNTIF(INDEX($EJ$2:$EN$13,$MM21,0),$NI21)=0,1,0))</f>
        <v/>
      </c>
      <c r="NX21" s="155">
        <f>IF(OR($NN21=0,$NJ21=""),0,IF(COUNTIF(INDEX($EJ$2:$EN$13,$MM21,0),$NJ21)=0,1,0))</f>
        <v/>
      </c>
      <c r="NY21" s="155">
        <f>IF(OR($NO21=0,$NK21=""),0,IF(COUNTIF(INDEX($EJ$2:$EN$13,$MM21,0),$NK21)=0,1,0))</f>
        <v/>
      </c>
      <c r="NZ21" s="155">
        <f>IF(OR($NP21=0,$NL21=""),0,IF(COUNTIF(INDEX($EJ$2:$EN$13,$MM21,0),$NL21)=0,1,0))</f>
        <v/>
      </c>
      <c r="OA21" s="155">
        <f>IFERROR(VLOOKUP($MV21,$AV$2:$BA$84,4,FALSE),0)+IFERROR(VLOOKUP($MW21,$AV$2:$BA$84,4,FALSE),0)+IFERROR(VLOOKUP($MX21,$AV$2:$BA$84,4,FALSE),0)+IFERROR(VLOOKUP($MY21,$AV$2:$BA$84,4,FALSE),0)</f>
        <v/>
      </c>
      <c r="OB21" s="155">
        <f>IFERROR(VLOOKUP($MV21,$AV$2:$BA$84,6,FALSE),0)+IFERROR(VLOOKUP($MW21,$AV$2:$BA$84,6,FALSE),0)+IFERROR(VLOOKUP($MX21,$AV$2:$BA$84,6,FALSE),0)+IFERROR(VLOOKUP($MY21,$AV$2:$BA$84,6,FALSE),0)</f>
        <v/>
      </c>
      <c r="OC21" s="155">
        <f>TEXTJOIN(", ",TRUE,IF(IFERROR(VLOOKUP($MV21,$AV$2:$BA$84,5,FALSE),0)=1,$MV21,""),IF(IFERROR(VLOOKUP($MW21,$AV$2:$BA$84,5,FALSE),0)=1,$MW21,""),IF(IFERROR(VLOOKUP($MX21,$AV$2:$BA$84,5,FALSE),0)=1,$MX21,""),IF(IFERROR(VLOOKUP($MY21,$AV$2:$BA$84,5,FALSE),0)=1,$MY21,""))</f>
        <v/>
      </c>
      <c r="OD21" s="155">
        <f>IF($NH21=0,0,INDEX($Y$2:$Y$11,$NH21))</f>
        <v/>
      </c>
      <c r="OE21" s="155">
        <f>IF($NH21=0,0,INDEX($Z$2:$Z$11,$NH21))</f>
        <v/>
      </c>
      <c r="OF21" s="155">
        <f>IF($NH21=0,0,INDEX($AB$2:$AB$11,$NH21))</f>
        <v/>
      </c>
      <c r="OG21" s="155">
        <f>IFERROR(VLOOKUP($MZ21,$BC$2:$BG$24,3,FALSE),0)</f>
        <v/>
      </c>
      <c r="OH21" s="155">
        <f>IFERROR(VLOOKUP($NA21,$BC$2:$BG$24,3,FALSE),0)</f>
        <v/>
      </c>
      <c r="OI21" s="155">
        <f>IFERROR(VLOOKUP($MZ21,$BC$2:$BG$24,2,FALSE),"")</f>
        <v/>
      </c>
      <c r="OJ21" s="155">
        <f>IFERROR(VLOOKUP($NA21,$BC$2:$BG$24,2,FALSE),"")</f>
        <v/>
      </c>
      <c r="OK21" s="155">
        <f>COUNTIF($NQ21:$NU21,1)</f>
        <v/>
      </c>
      <c r="OL21" s="155">
        <f>COUNTIF($NQ21:$NU21,2)</f>
        <v/>
      </c>
      <c r="OM21" s="155">
        <f>COUNTIF($NQ21:$NU21,3)</f>
        <v/>
      </c>
      <c r="ON21" s="155">
        <f>COUNTIF($NQ21:$NU21,4)</f>
        <v/>
      </c>
      <c r="OO21" s="155">
        <f>COUNTIF($NQ21:$NU21,5)</f>
        <v/>
      </c>
      <c r="OP21" s="155">
        <f>COUNTIF($NQ21:$NU21,6)</f>
        <v/>
      </c>
      <c r="OQ21" s="155">
        <f>COUNTIF($OG21:$OH21,1)</f>
        <v/>
      </c>
      <c r="OR21" s="155">
        <f>COUNTIF($OG21:$OH21,2)+$OD21</f>
        <v/>
      </c>
      <c r="OS21" s="155">
        <f>COUNTIF($MV21:$MY21,"?*")</f>
        <v/>
      </c>
      <c r="OT21" s="155">
        <f>COUNTIF($MZ21:$NA21,"?*")+$OD21</f>
        <v/>
      </c>
      <c r="OU21" s="155">
        <f>IF($MQ21=0,0,SUMPRODUCT($OK21:$OP21,INDEX($I$2:$N$8,MAX(1,$MQ21),0)))</f>
        <v/>
      </c>
      <c r="OV21" s="155">
        <f>IF($MQ21=0,0,$OQ21*CEILING($MQ21/2,1)+$OR21*$MQ21)</f>
        <v/>
      </c>
      <c r="OW21" s="155">
        <f>MIN(2*$MQ21,$OV21)</f>
        <v/>
      </c>
      <c r="OX21" s="155">
        <f>MIN($OW21,$OU21)</f>
        <v/>
      </c>
      <c r="OY21" s="155">
        <f>$OW21-$OX21</f>
        <v/>
      </c>
      <c r="OZ21" s="155">
        <f>IF($MQ21=0,0,INDEX($P$2:$P$8,MAX(1,$MQ21)))</f>
        <v/>
      </c>
      <c r="PA21" s="155">
        <f>$OZ21-$OU21+$OX21</f>
        <v/>
      </c>
      <c r="PB21" s="155">
        <f>IF($MQ21=0,MAX(0,$NE21-IF($OS21&gt;0,1,0)),MAX(0,$PA21))</f>
        <v/>
      </c>
      <c r="PC21" s="155">
        <f>IF($MQ21=0,0,(IF(COUNTIF($MV21:$MY21,"Salto")&gt;0,1,0)+IF(COUNTIF($MV21:$MY21,"Queima")&gt;0,1,0)+IF(COUNTIF($MV21:$MY21,"Estilhaço")&gt;0,1,0))*FLOOR($PB21/2,1))</f>
        <v/>
      </c>
      <c r="PD21" s="155">
        <f>MAX(0,2-SUMPRODUCT($OK21:$OP21,$I$2:$N$2)+MIN(2,$OQ21*1+$OR21*1,SUMPRODUCT($OK21:$OP21,$I$2:$N$2)))</f>
        <v/>
      </c>
      <c r="PE21" s="155">
        <f>MAX(0,4-SUMPRODUCT($OK21:$OP21,$I$3:$N$3)+MIN(4,$OQ21*1+$OR21*2,SUMPRODUCT($OK21:$OP21,$I$3:$N$3)))</f>
        <v/>
      </c>
      <c r="PF21" s="155">
        <f>MAX(0,6-SUMPRODUCT($OK21:$OP21,$I$4:$N$4)+MIN(6,$OQ21*2+$OR21*3,SUMPRODUCT($OK21:$OP21,$I$4:$N$4)))</f>
        <v/>
      </c>
      <c r="PG21" s="155">
        <f>MAX(0,9-SUMPRODUCT($OK21:$OP21,$I$5:$N$5)+MIN(8,$OQ21*2+$OR21*4,SUMPRODUCT($OK21:$OP21,$I$5:$N$5)))</f>
        <v/>
      </c>
      <c r="PH21" s="155">
        <f>MAX(0,11-SUMPRODUCT($OK21:$OP21,$I$6:$N$6)+MIN(10,$OQ21*3+$OR21*5,SUMPRODUCT($OK21:$OP21,$I$6:$N$6)))</f>
        <v/>
      </c>
      <c r="PI21" s="155">
        <f>MAX(0,13-SUMPRODUCT($OK21:$OP21,$I$7:$N$7)+MIN(12,$OQ21*3+$OR21*6,SUMPRODUCT($OK21:$OP21,$I$7:$N$7)))</f>
        <v/>
      </c>
      <c r="PJ21" s="155">
        <f>MAX(0,16-SUMPRODUCT($OK21:$OP21,$I$8:$N$8)+MIN(14,$OQ21*4+$OR21*7,SUMPRODUCT($OK21:$OP21,$I$8:$N$8)))</f>
        <v/>
      </c>
      <c r="PK21" s="155">
        <f>IF($OE21=2,3*$PD21&amp;" de vida temp.",IF($OE21=3,"sem dano",IF($PD21=0,IF($OE21=1,"sem cura","sem dano"),IF($OE21=1,"cura ","")&amp;$PD21&amp;"d8")))</f>
        <v/>
      </c>
      <c r="PL21" s="155">
        <f>IF($OE21=2,3*$PE21&amp;" de vida temp.",IF($OE21=3,"sem dano",IF($PE21=0,IF($OE21=1,"sem cura","sem dano"),IF($OE21=1,"cura ","")&amp;$PE21&amp;"d8")))</f>
        <v/>
      </c>
      <c r="PM21" s="155">
        <f>IF($OE21=2,3*$PF21&amp;" de vida temp.",IF($OE21=3,"sem dano",IF($PF21=0,IF($OE21=1,"sem cura","sem dano"),IF($OE21=1,"cura ","")&amp;$PF21&amp;"d8")))</f>
        <v/>
      </c>
      <c r="PN21" s="155">
        <f>IF($OE21=2,3*$PG21&amp;" de vida temp.",IF($OE21=3,"sem dano",IF($PG21=0,IF($OE21=1,"sem cura","sem dano"),IF($OE21=1,"cura ","")&amp;$PG21&amp;"d8")))</f>
        <v/>
      </c>
      <c r="PO21" s="155">
        <f>IF($OE21=2,3*$PH21&amp;" de vida temp.",IF($OE21=3,"sem dano",IF($PH21=0,IF($OE21=1,"sem cura","sem dano"),IF($OE21=1,"cura ","")&amp;$PH21&amp;"d8")))</f>
        <v/>
      </c>
      <c r="PP21" s="155">
        <f>IF($OE21=2,3*$PI21&amp;" de vida temp.",IF($OE21=3,"sem dano",IF($PI21=0,IF($OE21=1,"sem cura","sem dano"),IF($OE21=1,"cura ","")&amp;$PI21&amp;"d8")))</f>
        <v/>
      </c>
      <c r="PQ21" s="155">
        <f>IF($OE21=2,3*$PJ21&amp;" de vida temp.",IF($OE21=3,"sem dano",IF($PJ21=0,IF($OE21=1,"sem cura","sem dano"),IF($OE21=1,"cura ","")&amp;$PJ21&amp;"d8")))</f>
        <v/>
      </c>
      <c r="PR21" s="155">
        <f>IF($NB21=0,"",TEXTJOIN(" · ",TRUE,IF($MO21&gt;$NC21,"Este lugar abre no nível "&amp;$MO21,""),IF($MQ21&gt;$ND21,"Classe "&amp;$MQ21&amp;": o nível "&amp;$NC21&amp;" libera até a "&amp;$ND21,""),IF($NV21=1,"A Forma "&amp;$MS21&amp;" pede "&amp;INDEX($W$2:$W$11,$NH21)&amp;" aberta",""),IF(AND($MQ21=0,$NH21&gt;0,IF($NH21=0,0,INDEX($AF$2:$AF$11,$NH21))=0),$MS21&amp;" não existe na Classe 0",""),IF($NW21=1,"Família Fechada: "&amp;$MV21,""),IF($NX21=1,"Família Fechada: "&amp;$MW21,""),IF($NY21=1,"Família Fechada: "&amp;$MX21,""),IF($NZ21=1,"Família Fechada: "&amp;$MY21,""),IF(AND($MQ21&gt;0,$OS21&gt;INDEX($O$2:$O$8,MAX(1,$MQ21))),$OS21&amp;" Melhorias: a Classe "&amp;$MQ21&amp;" aceita "&amp;INDEX($O$2:$O$8,MAX(1,$MQ21)),""),IF(AND($MQ21=0,$OS21&gt;1),"A básica aceita uma Melhoria",""),IF(AND($MQ21=0,COUNTIF($NM21:$NP21,"&gt;1")&gt;0),"A básica só aceita Melhoria Leve",""),IF(AND($MQ21&gt;0,$OT21&gt;2),$OT21&amp;" Restrições"&amp;IF($OD21=1,", contando a que a Forma "&amp;$MS21&amp;" já traz","")&amp;": o limite é 2",""),IF(AND($MQ21=0,COUNTIF($MZ21:$NA21,"?*")&gt;1),"A básica aceita uma Restrição Leve",""),IF(AND($MQ21=0,COUNTIF($OG21:$OH21,2)&gt;0),"A básica só aceita Restrição Leve",""),IF(AND($MQ21&gt;0,$PA21&lt;0),"Orçamento estourado: faltam "&amp;(-$PA21)&amp;IF($PA21&lt;-1," pontos"," ponto"),""),IF(IFERROR(VLOOKUP($MZ21,$BC$2:$BG$24,4,FALSE),0)+IFERROR(VLOOKUP($NA21,$BC$2:$BG$24,4,FALSE),0)&gt;1,$OI21&amp;" e "&amp;$OJ21&amp;" são as duas de frequência",""),IF(AND((COUNTIF($MV21:$MY21,"Rápido")+COUNTIF($OI21:$OJ21,"Rápido"))&gt;0,(COUNTIF($MV21:$MY21,"Atrasar")+COUNTIF($OI21:$OJ21,"Atrasar"))&gt;0),"Rápido não entra com Atrasar",""),IF(AND((COUNTIF($MV21:$MY21,"Reação")+COUNTIF($OI21:$OJ21,"Reação"))&gt;0,(COUNTIF($MV21:$MY21,"Rápido")+COUNTIF($OI21:$OJ21,"Rápido"))&gt;0),"Reação não entra com Rápido",""),IF(AND((COUNTIF($MV21:$MY21,"Reação")+COUNTIF($OI21:$OJ21,"Reação"))&gt;0,(COUNTIF($MV21:$MY21,"Armado")+COUNTIF($OI21:$OJ21,"Armado"))&gt;0),"Reação não entra com Armado",""),IF(AND((COUNTIF($MV21:$MY21,"Reação")+COUNTIF($OI21:$OJ21,"Reação"))&gt;0,(COUNTIF($MV21:$MY21,"Atrasar")+COUNTIF($OI21:$OJ21,"Atrasar"))&gt;0),"Reação não entra com Atrasar",""),IF(AND((COUNTIF($MV21:$MY21,"Reação")+COUNTIF($OI21:$OJ21,"Reação"))&gt;0,(COUNTIF($MV21:$MY21,"Parado")+COUNTIF($OI21:$OJ21,"Parado"))&gt;0),"Reação não entra com Parado",""),IF(AND((COUNTIF($MV21:$MY21,"Atrasar")+COUNTIF($OI21:$OJ21,"Atrasar"))&gt;0,(COUNTIF($MV21:$MY21,"Parado")+COUNTIF($OI21:$OJ21,"Parado"))&gt;0),"Atrasar não entra com Parado",""),IF(AND((COUNTIF($MV21:$MY21,"Armado")+COUNTIF($OI21:$OJ21,"Armado"))&gt;0,(COUNTIF($MV21:$MY21,"Carregar")+COUNTIF($OI21:$OJ21,"Carregar"))&gt;0),"Armado não entra com Carregar",""),IF(AND(COUNTIF($OI21:$OJ21,"Corpo a Corpo")&gt;0,$OD21=0,OR($MS21="Cone",$MS21="Linha")),"Corpo a Corpo não entra em "&amp;$MS21,""),IF(AND(COUNTIF($OI21:$OJ21,"Corpo a Corpo")&gt;0,$OD21=1),"A Forma "&amp;$MS21&amp;" já traz o Corpo a Corpo",""),IF(AND(COUNTIF($OI21:$OJ21,"Tudo ou Nada")&gt;0,$OF21=0),"Tudo ou Nada só entra em habilidade de Teste de Resistência",""),IF(AND(COUNTIF($MV21:$MY21,"Inescapável")&gt;0,OR($OS21&gt;1,$OT21&gt;0)),"Inescapável não aceita outra peça",""),IF(AND($MQ21&gt;0,$PB21*IF(COUNTIF($MV21:$MY21,"Remate")&gt;0,1.25,1)+$PC21&gt;4*$MQ21),($PB21*IF(COUNTIF($MV21:$MY21,"Remate")&gt;0,1.25,1)+$PC21)&amp;" dados somando repetições"&amp;IF(COUNTIF($MV21:$MY21,"Remate")&gt;0," e o Remate","")&amp;": o teto da Classe "&amp;$MQ21&amp;" é "&amp;4*$MQ21,"")))</f>
        <v/>
      </c>
      <c r="PS21" s="155">
        <f>IF($PR21="",0,(LEN($PR21)-LEN(SUBSTITUTE($PR21," · ","")))/3+1)</f>
        <v/>
      </c>
      <c r="PT21" s="155">
        <f>IF($NB21=0,"",TEXTJOIN(" · ",TRUE,IF($OV21&gt;2*$MQ21,"A devolução parou no teto de "&amp;2*$MQ21,""),IF($OY21&gt;0,"Devolução perdida: "&amp;$OY21&amp;IF($OY21&gt;1," pontos"," ponto")&amp;" sem peça para pagar",""),IF(AND($OA21&gt;0,AND($MQ21&gt;0,$OE21=0),$PB21=0),"Controle sem dano: uma rodada a mais e CD +2",""),IF(AND($OA21&gt;0,AND($MQ21&gt;0,$OE21=0),$PB21&gt;0,$PB21&lt;=$MQ21),"Controle com saldo até a Classe: uma rodada a mais",""),IF(AND($MQ21&gt;0,$OC21&lt;&gt;""),"Efeito de "&amp;$OC21&amp;" pela Classe "&amp;MAX(1,$MQ21-1),"")))</f>
        <v/>
      </c>
      <c r="PU21" s="155">
        <f>IF($PT21="",0,(LEN($PT21)-LEN(SUBSTITUTE($PT21," · ","")))/3+1)</f>
        <v/>
      </c>
      <c r="PV21" s="155">
        <f>IF($NB21=0,IF($OS21+COUNTIF($MZ21:$NA21,"?*")&gt;0,"Dê um nome",""),IF($PS21&gt;0,"⚠ "&amp;$PS21&amp;IF($PS21&gt;1," erros"," erro"),IF($PU21&gt;0,"! "&amp;$PU21&amp;IF($PU21&gt;1," avisos"," aviso"),"Na regra")))</f>
        <v/>
      </c>
      <c r="PW21" s="155">
        <f>IF($NB21=0,"",IF($PS21+$PU21=0,"Dentro das regras que a ficha confere",$PR21&amp;IF(AND($PS21&gt;0,$PU21&gt;0)," · ","")&amp;$PT21))</f>
        <v/>
      </c>
      <c r="PX21" s="155">
        <f>IF($MO21&gt;$NC21,$MP21&amp;" · ABRE NO NÍVEL "&amp;$MO21,$MP21)</f>
        <v/>
      </c>
      <c r="PY21" s="155">
        <f>IF($NB21=0,"",IF($MQ21=0,"Sem PE",3*$MQ21&amp;" PE"))</f>
        <v/>
      </c>
      <c r="PZ21" s="155">
        <f>IF($NB21=0,"",IF($MQ21=0,"A atuação básica dela",IF(COUNTIF($OI21:$OJ21,"Atrasar")&gt;0,"Sua Ação Completa",IF(COUNTIF($MV21:$MY21,"Rápido")&gt;0,"Sua Bônus",IF(COUNTIF($MV21:$MY21,"Reação")&gt;0,"Sua Reação","Sua Padrão")))&amp;" + a básica dela"&amp;IF(COUNTIF($MV21:$MY21,"Reação")&gt;0," e a coletiva","")&amp;IF(COUNTIF($OI21:$OJ21,"Carregar")&gt;0," · em dois turnos","")))</f>
        <v/>
      </c>
      <c r="QA21" s="155">
        <f>IF($MU21&lt;&gt;"",$MU21,IF($NH21=0,"",INDEX($AA$2:$AA$11,$NH21)))</f>
        <v/>
      </c>
      <c r="QB21" s="155">
        <f>IF(OR($NB21=0,$NH21=0),"",IF(COUNTIF($MV21:$MY21,"Inescapável")&gt;0,"Automático",IF($QA21="Ataque",IF($NF21="","Ataque","Ataque "&amp;IF(($NF21+2*IF(COUNTIF($MV21:$MY21,"Precisão")&gt;0,1,0))&gt;=0,"+","−")&amp;ABS(($NF21+2*IF(COUNTIF($MV21:$MY21,"Precisão")&gt;0,1,0))))&amp;IF($OB21&gt;0," · TR"&amp;IF($NG21="",""," CD "&amp;$NG21),""),IF(LEFT($QA21,2)="TR",$QA21&amp;IF($NG21="",""," · CD "&amp;$NG21)&amp;IF(COUNTIF($MV21:$MY21,"Certeiro")&gt;0," · metade",""),"Sem rolagem"))))</f>
        <v/>
      </c>
      <c r="QC21" s="155">
        <f>IF(OR($NB21=0,$NH21=0),"",IF($MQ21=0,IF(OR($OE21&gt;=1,$PB21=0),"Sem dano",$PB21&amp;"d6"&amp;IF($MT21="",""," "&amp;$MT21)),IF(OR($OE21&gt;=1,$PB21=0),UPPER(LEFT(INDEX($PK21:$PQ21,1,MAX(1,$MQ21)),1))&amp;MID(INDEX($PK21:$PQ21,1,MAX(1,$MQ21)),2,99),UPPER(LEFT(INDEX($PK21:$PQ21,1,MAX(1,$MQ21)),1))&amp;MID(INDEX($PK21:$PQ21,1,MAX(1,$MQ21)),2,99)&amp;IF($MT21="",""," "&amp;$MT21)&amp;IF($PC21&gt;0," · +"&amp;$PC21&amp;"d8",""))))</f>
        <v/>
      </c>
      <c r="QD21" s="155">
        <f>COUNTIF($MV21:$MY21,"Longe")+3*COUNTIF($MV21:$MY21,"Muito Longe")</f>
        <v/>
      </c>
      <c r="QE21" s="155">
        <f>COUNTIF($MV21:$MY21,"Maior")+3*COUNTIF($MV21:$MY21,"Muito Maior")</f>
        <v/>
      </c>
      <c r="QF21" s="155">
        <f>IF($NH21=0,0,CHOOSE(1+INDEX($AC$2:$AC$11,$NH21),0,$QD21,$QE21,$QD21+$QE21))</f>
        <v/>
      </c>
      <c r="QG21" s="155">
        <f>IF($NH21=0,0,CHOOSE(1+INDEX($AD$2:$AD$11,$NH21),0,$QD21,$QE21,$QD21+$QE21))</f>
        <v/>
      </c>
      <c r="QH21" s="155">
        <f>IF(OR($NB21=0,$NH21=0),"",INDEX($AI$2:$AN$41,($NH21-1)*4+IF($MQ21=0,1,IF($MQ21&lt;=5,2,IF($MQ21=6,3,4))),1+MIN(5,$QF21))&amp;INDEX($AO$2:$AT$41,($NH21-1)*4+IF($MQ21=0,1,IF($MQ21&lt;=5,2,IF($MQ21=6,3,4))),1+MIN(5,$QG21))&amp;IF(INDEX($AE$2:$AE$11,$NH21)=1,IF(COUNTIF($MV21:$MY21,"Mais Um")&gt;0," · +"&amp;COUNTIF($MV21:$MY21,"Mais Um")&amp;IF(COUNTIF($MV21:$MY21,"Mais Um")&gt;1," alvos"," alvo"),"")&amp;IF(COUNTIF($MV21:$MY21,"Rajada")&gt;0,IF($MQ21=0," · 1 tiro"," · "&amp;(MAX(1,$MQ21-1)+1)&amp;" tiros"),""),""))</f>
        <v/>
      </c>
      <c r="QI21" s="155">
        <f>IF($NB21=0,"",IF($MQ21=0,$NE21&amp;"d6"&amp;IF($OS21&gt;0," − 1 = "&amp;$PB21&amp;"d6"," da básica do nível "&amp;$NC21),$OZ21&amp;" − "&amp;$OU21&amp;" + "&amp;$OX21&amp;" = "&amp;$PA21&amp;" · teto "&amp;4*$MQ21&amp;"d8"&amp;IF($OD21=1," · a Forma devolve "&amp;$MQ21,"")&amp;IF($OY21&gt;0," · perde "&amp;$OY21,"")))</f>
        <v/>
      </c>
      <c r="QJ21" s="155">
        <f>IF($NB21=0,"",IF($MQ21=0,"A básica não amplia: os dados dela sobem com o nível",IF($MQ21&gt;=$ND21,"Já está na maior Classe que o nível liberou",TEXTJOIN(" · ",TRUE,IF(AND(2&gt;$MQ21,2&lt;=$ND21),"2 → "&amp;$PL21&amp;", 6 PE",""),IF(AND(3&gt;$MQ21,3&lt;=$ND21),"3 → "&amp;$PM21&amp;", 9 PE",""),IF(AND(4&gt;$MQ21,4&lt;=$ND21),"4 → "&amp;$PN21&amp;", 12 PE",""),IF(AND(5&gt;$MQ21,5&lt;=$ND21),"5 → "&amp;$PO21&amp;", 15 PE",""),IF(AND(6&gt;$MQ21,6&lt;=$ND21),"6 → "&amp;$PP21&amp;", 18 PE",""),IF(AND(7&gt;$MQ21,7&lt;=$ND21),"7 → "&amp;$PQ21&amp;", 21 PE","")))))</f>
        <v/>
      </c>
      <c r="QK21" s="155">
        <f>IF(OR($NB21=0,$NM21=0),"",IF($MQ21=0,"−1 dado","−"&amp;INDEX($I$2:$N$8,MAX(1,$MQ21),MAX(1,$NR21))&amp;" · "&amp;CHOOSE(MAX(1,$NR21),"Leve","Média","Pesada","Leve · Livre","Média · Livre","Pesada · Livre")))</f>
        <v/>
      </c>
      <c r="QL21" s="155">
        <f>IF(OR($NB21=0,$NN21=0),"",IF($MQ21=0,"−1 dado","−"&amp;INDEX($I$2:$N$8,MAX(1,$MQ21),MAX(1,$NS21))&amp;" · "&amp;CHOOSE(MAX(1,$NS21),"Leve","Média","Pesada","Leve · Livre","Média · Livre","Pesada · Livre")))</f>
        <v/>
      </c>
      <c r="QM21" s="155">
        <f>IF(OR($NB21=0,$NO21=0),"",IF($MQ21=0,"−1 dado","−"&amp;INDEX($I$2:$N$8,MAX(1,$MQ21),MAX(1,$NT21))&amp;" · "&amp;CHOOSE(MAX(1,$NT21),"Leve","Média","Pesada","Leve · Livre","Média · Livre","Pesada · Livre")))</f>
        <v/>
      </c>
      <c r="QN21" s="155">
        <f>IF(OR($NB21=0,$NP21=0),"",IF($MQ21=0,"−1 dado","−"&amp;INDEX($I$2:$N$8,MAX(1,$MQ21),MAX(1,$NU21))&amp;" · "&amp;CHOOSE(MAX(1,$NU21),"Leve","Média","Pesada","Leve · Livre","Média · Livre","Pesada · Livre")))</f>
        <v/>
      </c>
      <c r="QO21" s="155">
        <f>IF(OR($NB21=0,$MZ21=""),"",IF($MQ21=0,"não devolve","+"&amp;IF($OG21=1,CEILING($MQ21/2,1),$MQ21)))</f>
        <v/>
      </c>
      <c r="QP21" s="155">
        <f>IF(OR($NB21=0,$NA21=""),"",IF($MQ21=0,"não devolve","+"&amp;IF($OH21=1,CEILING($MQ21/2,1),$MQ21)))</f>
        <v/>
      </c>
    </row>
    <row r="22">
      <c r="AH22" s="153" t="inlineStr">
        <is>
          <t>Linha · classe 0</t>
        </is>
      </c>
      <c r="AI22" s="153" t="inlineStr">
        <is>
          <t>Linha de 9 m por 1,5 m</t>
        </is>
      </c>
      <c r="AJ22" s="153" t="inlineStr">
        <is>
          <t>Linha de 18 m por 1,5 m</t>
        </is>
      </c>
      <c r="AK22" s="153" t="inlineStr">
        <is>
          <t>Linha de 30 m por 1,5 m</t>
        </is>
      </c>
      <c r="AL22" s="153" t="inlineStr">
        <is>
          <t>Linha de 60 m por 1,5 m</t>
        </is>
      </c>
      <c r="AM22" s="153" t="inlineStr">
        <is>
          <t>Linha de 60 m por 1,5 m</t>
        </is>
      </c>
      <c r="AN22" s="153" t="inlineStr">
        <is>
          <t>Linha de 60 m por 1,5 m</t>
        </is>
      </c>
      <c r="AO22" s="153" t="inlineStr"/>
      <c r="AP22" s="153" t="inlineStr"/>
      <c r="AQ22" s="153" t="inlineStr"/>
      <c r="AR22" s="153" t="inlineStr"/>
      <c r="AS22" s="153" t="inlineStr"/>
      <c r="AT22" s="153" t="inlineStr"/>
      <c r="AV22" s="153" t="inlineStr">
        <is>
          <t>Corrói</t>
        </is>
      </c>
      <c r="AW22" s="153" t="inlineStr">
        <is>
          <t>Mira</t>
        </is>
      </c>
      <c r="AX22" s="155" t="n">
        <v>3</v>
      </c>
      <c r="AY22" s="155" t="n">
        <v>0</v>
      </c>
      <c r="AZ22" s="155" t="n">
        <v>0</v>
      </c>
      <c r="BA22" s="155" t="n">
        <v>0</v>
      </c>
      <c r="BC22" s="153" t="inlineStr">
        <is>
          <t>Assinatura</t>
        </is>
      </c>
      <c r="BD22" s="153" t="inlineStr">
        <is>
          <t>Assinatura</t>
        </is>
      </c>
      <c r="BE22" s="155" t="n">
        <v>1</v>
      </c>
      <c r="BF22" s="155" t="n">
        <v>0</v>
      </c>
      <c r="BG22" s="153" t="inlineStr">
        <is>
          <t>Assinatura</t>
        </is>
      </c>
      <c r="CC22" s="153" t="inlineStr">
        <is>
          <t>Intimidação</t>
        </is>
      </c>
      <c r="CD22" s="153" t="inlineStr">
        <is>
          <t>Essência</t>
        </is>
      </c>
      <c r="JR22" s="155">
        <f>IF(OR($AW22="",COUNTIF($EJ$2:$EN$2,$AW22)&gt;0),$AV22,"")</f>
        <v/>
      </c>
      <c r="JS22" s="155">
        <f>IF(AND($AX22=1,OR($AW22="",COUNTIF($EJ$2:$EN$2,$AW22)&gt;0)),$AV22,"")</f>
        <v/>
      </c>
      <c r="JX22" s="155">
        <f>IF(OR($AW22="",COUNTIF($EJ$3:$EN$3,$AW22)&gt;0),$AV22,"")</f>
        <v/>
      </c>
      <c r="JY22" s="155">
        <f>IF(AND($AX22=1,OR($AW22="",COUNTIF($EJ$3:$EN$3,$AW22)&gt;0)),$AV22,"")</f>
        <v/>
      </c>
      <c r="KD22" s="155">
        <f>IF(OR($AW22="",COUNTIF($EJ$4:$EN$4,$AW22)&gt;0),$AV22,"")</f>
        <v/>
      </c>
      <c r="KE22" s="155">
        <f>IF(AND($AX22=1,OR($AW22="",COUNTIF($EJ$4:$EN$4,$AW22)&gt;0)),$AV22,"")</f>
        <v/>
      </c>
      <c r="KJ22" s="155">
        <f>IF(OR($AW22="",COUNTIF($EJ$5:$EN$5,$AW22)&gt;0),$AV22,"")</f>
        <v/>
      </c>
      <c r="KK22" s="155">
        <f>IF(AND($AX22=1,OR($AW22="",COUNTIF($EJ$5:$EN$5,$AW22)&gt;0)),$AV22,"")</f>
        <v/>
      </c>
      <c r="KP22" s="155">
        <f>IF(OR($AW22="",COUNTIF($EJ$6:$EN$6,$AW22)&gt;0),$AV22,"")</f>
        <v/>
      </c>
      <c r="KQ22" s="155">
        <f>IF(AND($AX22=1,OR($AW22="",COUNTIF($EJ$6:$EN$6,$AW22)&gt;0)),$AV22,"")</f>
        <v/>
      </c>
      <c r="KV22" s="155">
        <f>IF(OR($AW22="",COUNTIF($EJ$7:$EN$7,$AW22)&gt;0),$AV22,"")</f>
        <v/>
      </c>
      <c r="KW22" s="155">
        <f>IF(AND($AX22=1,OR($AW22="",COUNTIF($EJ$7:$EN$7,$AW22)&gt;0)),$AV22,"")</f>
        <v/>
      </c>
      <c r="LB22" s="155">
        <f>IF(OR($AW22="",COUNTIF($EJ$8:$EN$8,$AW22)&gt;0),$AV22,"")</f>
        <v/>
      </c>
      <c r="LC22" s="155">
        <f>IF(AND($AX22=1,OR($AW22="",COUNTIF($EJ$8:$EN$8,$AW22)&gt;0)),$AV22,"")</f>
        <v/>
      </c>
      <c r="LH22" s="155">
        <f>IF(OR($AW22="",COUNTIF($EJ$9:$EN$9,$AW22)&gt;0),$AV22,"")</f>
        <v/>
      </c>
      <c r="LI22" s="155">
        <f>IF(AND($AX22=1,OR($AW22="",COUNTIF($EJ$9:$EN$9,$AW22)&gt;0)),$AV22,"")</f>
        <v/>
      </c>
      <c r="LN22" s="155">
        <f>IF(OR($AW22="",COUNTIF($EJ$10:$EN$10,$AW22)&gt;0),$AV22,"")</f>
        <v/>
      </c>
      <c r="LO22" s="155">
        <f>IF(AND($AX22=1,OR($AW22="",COUNTIF($EJ$10:$EN$10,$AW22)&gt;0)),$AV22,"")</f>
        <v/>
      </c>
      <c r="LT22" s="155">
        <f>IF(OR($AW22="",COUNTIF($EJ$11:$EN$11,$AW22)&gt;0),$AV22,"")</f>
        <v/>
      </c>
      <c r="LU22" s="155">
        <f>IF(AND($AX22=1,OR($AW22="",COUNTIF($EJ$11:$EN$11,$AW22)&gt;0)),$AV22,"")</f>
        <v/>
      </c>
      <c r="LZ22" s="155">
        <f>IF(OR($AW22="",COUNTIF($EJ$12:$EN$12,$AW22)&gt;0),$AV22,"")</f>
        <v/>
      </c>
      <c r="MA22" s="155">
        <f>IF(AND($AX22=1,OR($AW22="",COUNTIF($EJ$12:$EN$12,$AW22)&gt;0)),$AV22,"")</f>
        <v/>
      </c>
      <c r="MF22" s="155">
        <f>IF(OR($AW22="",COUNTIF($EJ$13:$EN$13,$AW22)&gt;0),$AV22,"")</f>
        <v/>
      </c>
      <c r="MG22" s="155">
        <f>IF(AND($AX22=1,OR($AW22="",COUNTIF($EJ$13:$EN$13,$AW22)&gt;0)),$AV22,"")</f>
        <v/>
      </c>
      <c r="ML22" s="153" t="inlineStr">
        <is>
          <t>Ficha 2 · Especial 6</t>
        </is>
      </c>
      <c r="MM22" s="155" t="n">
        <v>2</v>
      </c>
      <c r="MN22" s="155" t="n">
        <v>1</v>
      </c>
      <c r="MO22" s="155" t="n">
        <v>20</v>
      </c>
      <c r="MP22" s="153" t="inlineStr">
        <is>
          <t>ESPECIAL 6</t>
        </is>
      </c>
      <c r="MQ22" s="155">
        <f>MAX(1,MIN(7,N('INVOCAÇÕES'!$O$312)))</f>
        <v/>
      </c>
      <c r="MR22" s="155">
        <f>'INVOCAÇÕES'!$P$312&amp;""</f>
        <v/>
      </c>
      <c r="MS22" s="155">
        <f>'INVOCAÇÕES'!$O$317&amp;""</f>
        <v/>
      </c>
      <c r="MT22" s="155">
        <f>'INVOCAÇÕES'!$O$318&amp;""</f>
        <v/>
      </c>
      <c r="MU22" s="155">
        <f>'INVOCAÇÕES'!$Q$318&amp;""</f>
        <v/>
      </c>
      <c r="MV22" s="155">
        <f>'INVOCAÇÕES'!$P$321&amp;""</f>
        <v/>
      </c>
      <c r="MW22" s="155">
        <f>'INVOCAÇÕES'!$P$322&amp;""</f>
        <v/>
      </c>
      <c r="MX22" s="155">
        <f>'INVOCAÇÕES'!$P$323&amp;""</f>
        <v/>
      </c>
      <c r="MY22" s="155">
        <f>'INVOCAÇÕES'!$P$324&amp;""</f>
        <v/>
      </c>
      <c r="MZ22" s="155">
        <f>'INVOCAÇÕES'!$P$325&amp;""</f>
        <v/>
      </c>
      <c r="NA22" s="155">
        <f>'INVOCAÇÕES'!$P$326&amp;""</f>
        <v/>
      </c>
      <c r="NB22" s="155">
        <f>IF($MR22&lt;&gt;"",1,0)</f>
        <v/>
      </c>
      <c r="NC22" s="155">
        <f>INDEX($FM$2:$FM$13,$MM22)</f>
        <v/>
      </c>
      <c r="ND22" s="155">
        <f>INDEX($FN$2:$FN$13,$MM22)</f>
        <v/>
      </c>
      <c r="NE22" s="155">
        <f>INDEX($FO$2:$FO$13,$MM22)</f>
        <v/>
      </c>
      <c r="NF22" s="155">
        <f>INDEX($FZ$2:$FZ$13,$MM22)</f>
        <v/>
      </c>
      <c r="NG22" s="155">
        <f>INDEX($GA$2:$GA$13,$MM22)</f>
        <v/>
      </c>
      <c r="NH22" s="155">
        <f>IFERROR(MATCH($MS22,$V$2:$V$11,0),0)</f>
        <v/>
      </c>
      <c r="NI22" s="155">
        <f>IFERROR(VLOOKUP($MV22,$AV$2:$BA$84,2,FALSE),"")</f>
        <v/>
      </c>
      <c r="NJ22" s="155">
        <f>IFERROR(VLOOKUP($MW22,$AV$2:$BA$84,2,FALSE),"")</f>
        <v/>
      </c>
      <c r="NK22" s="155">
        <f>IFERROR(VLOOKUP($MX22,$AV$2:$BA$84,2,FALSE),"")</f>
        <v/>
      </c>
      <c r="NL22" s="155">
        <f>IFERROR(VLOOKUP($MY22,$AV$2:$BA$84,2,FALSE),"")</f>
        <v/>
      </c>
      <c r="NM22" s="155">
        <f>IFERROR(VLOOKUP($MV22,$AV$2:$BA$84,3,FALSE),0)</f>
        <v/>
      </c>
      <c r="NN22" s="155">
        <f>IFERROR(VLOOKUP($MW22,$AV$2:$BA$84,3,FALSE),0)</f>
        <v/>
      </c>
      <c r="NO22" s="155">
        <f>IFERROR(VLOOKUP($MX22,$AV$2:$BA$84,3,FALSE),0)</f>
        <v/>
      </c>
      <c r="NP22" s="155">
        <f>IFERROR(VLOOKUP($MY22,$AV$2:$BA$84,3,FALSE),0)</f>
        <v/>
      </c>
      <c r="NQ22" s="155">
        <f>IF($MQ22=0,0,IF($NH22=0,0,INDEX($X$2:$X$11,$NH22)))</f>
        <v/>
      </c>
      <c r="NR22" s="155">
        <f>IF(OR($NM22=0,$MQ22=0),0,$NM22+3*IF(AND($NI22&lt;&gt;"",OR($NI22=INDEX($EJ$2:$EJ$13,$MM22),$NI22=INDEX($EK$2:$EK$13,$MM22))),1,0))</f>
        <v/>
      </c>
      <c r="NS22" s="155">
        <f>IF(OR($NN22=0,$MQ22=0),0,$NN22+3*IF(AND($NJ22&lt;&gt;"",OR($NJ22=INDEX($EJ$2:$EJ$13,$MM22),$NJ22=INDEX($EK$2:$EK$13,$MM22))),1,0))</f>
        <v/>
      </c>
      <c r="NT22" s="155">
        <f>IF(OR($NO22=0,$MQ22=0),0,$NO22+3*IF(AND($NK22&lt;&gt;"",OR($NK22=INDEX($EJ$2:$EJ$13,$MM22),$NK22=INDEX($EK$2:$EK$13,$MM22))),1,0))</f>
        <v/>
      </c>
      <c r="NU22" s="155">
        <f>IF(OR($NP22=0,$MQ22=0),0,$NP22+3*IF(AND($NL22&lt;&gt;"",OR($NL22=INDEX($EJ$2:$EJ$13,$MM22),$NL22=INDEX($EK$2:$EK$13,$MM22))),1,0))</f>
        <v/>
      </c>
      <c r="NV22" s="155">
        <f>IF($NH22=0,0,IF(INDEX($W$2:$W$11,$NH22)="",0,IF(COUNTIF(INDEX($EJ$2:$EN$13,$MM22,0),INDEX($W$2:$W$11,$NH22))=0,1,0)))</f>
        <v/>
      </c>
      <c r="NW22" s="155">
        <f>IF(OR($NM22=0,$NI22=""),0,IF(COUNTIF(INDEX($EJ$2:$EN$13,$MM22,0),$NI22)=0,1,0))</f>
        <v/>
      </c>
      <c r="NX22" s="155">
        <f>IF(OR($NN22=0,$NJ22=""),0,IF(COUNTIF(INDEX($EJ$2:$EN$13,$MM22,0),$NJ22)=0,1,0))</f>
        <v/>
      </c>
      <c r="NY22" s="155">
        <f>IF(OR($NO22=0,$NK22=""),0,IF(COUNTIF(INDEX($EJ$2:$EN$13,$MM22,0),$NK22)=0,1,0))</f>
        <v/>
      </c>
      <c r="NZ22" s="155">
        <f>IF(OR($NP22=0,$NL22=""),0,IF(COUNTIF(INDEX($EJ$2:$EN$13,$MM22,0),$NL22)=0,1,0))</f>
        <v/>
      </c>
      <c r="OA22" s="155">
        <f>IFERROR(VLOOKUP($MV22,$AV$2:$BA$84,4,FALSE),0)+IFERROR(VLOOKUP($MW22,$AV$2:$BA$84,4,FALSE),0)+IFERROR(VLOOKUP($MX22,$AV$2:$BA$84,4,FALSE),0)+IFERROR(VLOOKUP($MY22,$AV$2:$BA$84,4,FALSE),0)</f>
        <v/>
      </c>
      <c r="OB22" s="155">
        <f>IFERROR(VLOOKUP($MV22,$AV$2:$BA$84,6,FALSE),0)+IFERROR(VLOOKUP($MW22,$AV$2:$BA$84,6,FALSE),0)+IFERROR(VLOOKUP($MX22,$AV$2:$BA$84,6,FALSE),0)+IFERROR(VLOOKUP($MY22,$AV$2:$BA$84,6,FALSE),0)</f>
        <v/>
      </c>
      <c r="OC22" s="155">
        <f>TEXTJOIN(", ",TRUE,IF(IFERROR(VLOOKUP($MV22,$AV$2:$BA$84,5,FALSE),0)=1,$MV22,""),IF(IFERROR(VLOOKUP($MW22,$AV$2:$BA$84,5,FALSE),0)=1,$MW22,""),IF(IFERROR(VLOOKUP($MX22,$AV$2:$BA$84,5,FALSE),0)=1,$MX22,""),IF(IFERROR(VLOOKUP($MY22,$AV$2:$BA$84,5,FALSE),0)=1,$MY22,""))</f>
        <v/>
      </c>
      <c r="OD22" s="155">
        <f>IF($NH22=0,0,INDEX($Y$2:$Y$11,$NH22))</f>
        <v/>
      </c>
      <c r="OE22" s="155">
        <f>IF($NH22=0,0,INDEX($Z$2:$Z$11,$NH22))</f>
        <v/>
      </c>
      <c r="OF22" s="155">
        <f>IF($NH22=0,0,INDEX($AB$2:$AB$11,$NH22))</f>
        <v/>
      </c>
      <c r="OG22" s="155">
        <f>IFERROR(VLOOKUP($MZ22,$BC$2:$BG$24,3,FALSE),0)</f>
        <v/>
      </c>
      <c r="OH22" s="155">
        <f>IFERROR(VLOOKUP($NA22,$BC$2:$BG$24,3,FALSE),0)</f>
        <v/>
      </c>
      <c r="OI22" s="155">
        <f>IFERROR(VLOOKUP($MZ22,$BC$2:$BG$24,2,FALSE),"")</f>
        <v/>
      </c>
      <c r="OJ22" s="155">
        <f>IFERROR(VLOOKUP($NA22,$BC$2:$BG$24,2,FALSE),"")</f>
        <v/>
      </c>
      <c r="OK22" s="155">
        <f>COUNTIF($NQ22:$NU22,1)</f>
        <v/>
      </c>
      <c r="OL22" s="155">
        <f>COUNTIF($NQ22:$NU22,2)</f>
        <v/>
      </c>
      <c r="OM22" s="155">
        <f>COUNTIF($NQ22:$NU22,3)</f>
        <v/>
      </c>
      <c r="ON22" s="155">
        <f>COUNTIF($NQ22:$NU22,4)</f>
        <v/>
      </c>
      <c r="OO22" s="155">
        <f>COUNTIF($NQ22:$NU22,5)</f>
        <v/>
      </c>
      <c r="OP22" s="155">
        <f>COUNTIF($NQ22:$NU22,6)</f>
        <v/>
      </c>
      <c r="OQ22" s="155">
        <f>COUNTIF($OG22:$OH22,1)</f>
        <v/>
      </c>
      <c r="OR22" s="155">
        <f>COUNTIF($OG22:$OH22,2)+$OD22</f>
        <v/>
      </c>
      <c r="OS22" s="155">
        <f>COUNTIF($MV22:$MY22,"?*")</f>
        <v/>
      </c>
      <c r="OT22" s="155">
        <f>COUNTIF($MZ22:$NA22,"?*")+$OD22</f>
        <v/>
      </c>
      <c r="OU22" s="155">
        <f>IF($MQ22=0,0,SUMPRODUCT($OK22:$OP22,INDEX($I$2:$N$8,MAX(1,$MQ22),0)))</f>
        <v/>
      </c>
      <c r="OV22" s="155">
        <f>IF($MQ22=0,0,$OQ22*CEILING($MQ22/2,1)+$OR22*$MQ22)</f>
        <v/>
      </c>
      <c r="OW22" s="155">
        <f>MIN(2*$MQ22,$OV22)</f>
        <v/>
      </c>
      <c r="OX22" s="155">
        <f>MIN($OW22,$OU22)</f>
        <v/>
      </c>
      <c r="OY22" s="155">
        <f>$OW22-$OX22</f>
        <v/>
      </c>
      <c r="OZ22" s="155">
        <f>IF($MQ22=0,0,INDEX($P$2:$P$8,MAX(1,$MQ22)))</f>
        <v/>
      </c>
      <c r="PA22" s="155">
        <f>$OZ22-$OU22+$OX22</f>
        <v/>
      </c>
      <c r="PB22" s="155">
        <f>IF($MQ22=0,MAX(0,$NE22-IF($OS22&gt;0,1,0)),MAX(0,$PA22))</f>
        <v/>
      </c>
      <c r="PC22" s="155">
        <f>IF($MQ22=0,0,(IF(COUNTIF($MV22:$MY22,"Salto")&gt;0,1,0)+IF(COUNTIF($MV22:$MY22,"Queima")&gt;0,1,0)+IF(COUNTIF($MV22:$MY22,"Estilhaço")&gt;0,1,0))*FLOOR($PB22/2,1))</f>
        <v/>
      </c>
      <c r="PD22" s="155">
        <f>MAX(0,2-SUMPRODUCT($OK22:$OP22,$I$2:$N$2)+MIN(2,$OQ22*1+$OR22*1,SUMPRODUCT($OK22:$OP22,$I$2:$N$2)))</f>
        <v/>
      </c>
      <c r="PE22" s="155">
        <f>MAX(0,4-SUMPRODUCT($OK22:$OP22,$I$3:$N$3)+MIN(4,$OQ22*1+$OR22*2,SUMPRODUCT($OK22:$OP22,$I$3:$N$3)))</f>
        <v/>
      </c>
      <c r="PF22" s="155">
        <f>MAX(0,6-SUMPRODUCT($OK22:$OP22,$I$4:$N$4)+MIN(6,$OQ22*2+$OR22*3,SUMPRODUCT($OK22:$OP22,$I$4:$N$4)))</f>
        <v/>
      </c>
      <c r="PG22" s="155">
        <f>MAX(0,9-SUMPRODUCT($OK22:$OP22,$I$5:$N$5)+MIN(8,$OQ22*2+$OR22*4,SUMPRODUCT($OK22:$OP22,$I$5:$N$5)))</f>
        <v/>
      </c>
      <c r="PH22" s="155">
        <f>MAX(0,11-SUMPRODUCT($OK22:$OP22,$I$6:$N$6)+MIN(10,$OQ22*3+$OR22*5,SUMPRODUCT($OK22:$OP22,$I$6:$N$6)))</f>
        <v/>
      </c>
      <c r="PI22" s="155">
        <f>MAX(0,13-SUMPRODUCT($OK22:$OP22,$I$7:$N$7)+MIN(12,$OQ22*3+$OR22*6,SUMPRODUCT($OK22:$OP22,$I$7:$N$7)))</f>
        <v/>
      </c>
      <c r="PJ22" s="155">
        <f>MAX(0,16-SUMPRODUCT($OK22:$OP22,$I$8:$N$8)+MIN(14,$OQ22*4+$OR22*7,SUMPRODUCT($OK22:$OP22,$I$8:$N$8)))</f>
        <v/>
      </c>
      <c r="PK22" s="155">
        <f>IF($OE22=2,3*$PD22&amp;" de vida temp.",IF($OE22=3,"sem dano",IF($PD22=0,IF($OE22=1,"sem cura","sem dano"),IF($OE22=1,"cura ","")&amp;$PD22&amp;"d8")))</f>
        <v/>
      </c>
      <c r="PL22" s="155">
        <f>IF($OE22=2,3*$PE22&amp;" de vida temp.",IF($OE22=3,"sem dano",IF($PE22=0,IF($OE22=1,"sem cura","sem dano"),IF($OE22=1,"cura ","")&amp;$PE22&amp;"d8")))</f>
        <v/>
      </c>
      <c r="PM22" s="155">
        <f>IF($OE22=2,3*$PF22&amp;" de vida temp.",IF($OE22=3,"sem dano",IF($PF22=0,IF($OE22=1,"sem cura","sem dano"),IF($OE22=1,"cura ","")&amp;$PF22&amp;"d8")))</f>
        <v/>
      </c>
      <c r="PN22" s="155">
        <f>IF($OE22=2,3*$PG22&amp;" de vida temp.",IF($OE22=3,"sem dano",IF($PG22=0,IF($OE22=1,"sem cura","sem dano"),IF($OE22=1,"cura ","")&amp;$PG22&amp;"d8")))</f>
        <v/>
      </c>
      <c r="PO22" s="155">
        <f>IF($OE22=2,3*$PH22&amp;" de vida temp.",IF($OE22=3,"sem dano",IF($PH22=0,IF($OE22=1,"sem cura","sem dano"),IF($OE22=1,"cura ","")&amp;$PH22&amp;"d8")))</f>
        <v/>
      </c>
      <c r="PP22" s="155">
        <f>IF($OE22=2,3*$PI22&amp;" de vida temp.",IF($OE22=3,"sem dano",IF($PI22=0,IF($OE22=1,"sem cura","sem dano"),IF($OE22=1,"cura ","")&amp;$PI22&amp;"d8")))</f>
        <v/>
      </c>
      <c r="PQ22" s="155">
        <f>IF($OE22=2,3*$PJ22&amp;" de vida temp.",IF($OE22=3,"sem dano",IF($PJ22=0,IF($OE22=1,"sem cura","sem dano"),IF($OE22=1,"cura ","")&amp;$PJ22&amp;"d8")))</f>
        <v/>
      </c>
      <c r="PR22" s="155">
        <f>IF($NB22=0,"",TEXTJOIN(" · ",TRUE,IF($MO22&gt;$NC22,"Este lugar abre no nível "&amp;$MO22,""),IF($MQ22&gt;$ND22,"Classe "&amp;$MQ22&amp;": o nível "&amp;$NC22&amp;" libera até a "&amp;$ND22,""),IF($NV22=1,"A Forma "&amp;$MS22&amp;" pede "&amp;INDEX($W$2:$W$11,$NH22)&amp;" aberta",""),IF(AND($MQ22=0,$NH22&gt;0,IF($NH22=0,0,INDEX($AF$2:$AF$11,$NH22))=0),$MS22&amp;" não existe na Classe 0",""),IF($NW22=1,"Família Fechada: "&amp;$MV22,""),IF($NX22=1,"Família Fechada: "&amp;$MW22,""),IF($NY22=1,"Família Fechada: "&amp;$MX22,""),IF($NZ22=1,"Família Fechada: "&amp;$MY22,""),IF(AND($MQ22&gt;0,$OS22&gt;INDEX($O$2:$O$8,MAX(1,$MQ22))),$OS22&amp;" Melhorias: a Classe "&amp;$MQ22&amp;" aceita "&amp;INDEX($O$2:$O$8,MAX(1,$MQ22)),""),IF(AND($MQ22=0,$OS22&gt;1),"A básica aceita uma Melhoria",""),IF(AND($MQ22=0,COUNTIF($NM22:$NP22,"&gt;1")&gt;0),"A básica só aceita Melhoria Leve",""),IF(AND($MQ22&gt;0,$OT22&gt;2),$OT22&amp;" Restrições"&amp;IF($OD22=1,", contando a que a Forma "&amp;$MS22&amp;" já traz","")&amp;": o limite é 2",""),IF(AND($MQ22=0,COUNTIF($MZ22:$NA22,"?*")&gt;1),"A básica aceita uma Restrição Leve",""),IF(AND($MQ22=0,COUNTIF($OG22:$OH22,2)&gt;0),"A básica só aceita Restrição Leve",""),IF(AND($MQ22&gt;0,$PA22&lt;0),"Orçamento estourado: faltam "&amp;(-$PA22)&amp;IF($PA22&lt;-1," pontos"," ponto"),""),IF(IFERROR(VLOOKUP($MZ22,$BC$2:$BG$24,4,FALSE),0)+IFERROR(VLOOKUP($NA22,$BC$2:$BG$24,4,FALSE),0)&gt;1,$OI22&amp;" e "&amp;$OJ22&amp;" são as duas de frequência",""),IF(AND((COUNTIF($MV22:$MY22,"Rápido")+COUNTIF($OI22:$OJ22,"Rápido"))&gt;0,(COUNTIF($MV22:$MY22,"Atrasar")+COUNTIF($OI22:$OJ22,"Atrasar"))&gt;0),"Rápido não entra com Atrasar",""),IF(AND((COUNTIF($MV22:$MY22,"Reação")+COUNTIF($OI22:$OJ22,"Reação"))&gt;0,(COUNTIF($MV22:$MY22,"Rápido")+COUNTIF($OI22:$OJ22,"Rápido"))&gt;0),"Reação não entra com Rápido",""),IF(AND((COUNTIF($MV22:$MY22,"Reação")+COUNTIF($OI22:$OJ22,"Reação"))&gt;0,(COUNTIF($MV22:$MY22,"Armado")+COUNTIF($OI22:$OJ22,"Armado"))&gt;0),"Reação não entra com Armado",""),IF(AND((COUNTIF($MV22:$MY22,"Reação")+COUNTIF($OI22:$OJ22,"Reação"))&gt;0,(COUNTIF($MV22:$MY22,"Atrasar")+COUNTIF($OI22:$OJ22,"Atrasar"))&gt;0),"Reação não entra com Atrasar",""),IF(AND((COUNTIF($MV22:$MY22,"Reação")+COUNTIF($OI22:$OJ22,"Reação"))&gt;0,(COUNTIF($MV22:$MY22,"Parado")+COUNTIF($OI22:$OJ22,"Parado"))&gt;0),"Reação não entra com Parado",""),IF(AND((COUNTIF($MV22:$MY22,"Atrasar")+COUNTIF($OI22:$OJ22,"Atrasar"))&gt;0,(COUNTIF($MV22:$MY22,"Parado")+COUNTIF($OI22:$OJ22,"Parado"))&gt;0),"Atrasar não entra com Parado",""),IF(AND((COUNTIF($MV22:$MY22,"Armado")+COUNTIF($OI22:$OJ22,"Armado"))&gt;0,(COUNTIF($MV22:$MY22,"Carregar")+COUNTIF($OI22:$OJ22,"Carregar"))&gt;0),"Armado não entra com Carregar",""),IF(AND(COUNTIF($OI22:$OJ22,"Corpo a Corpo")&gt;0,$OD22=0,OR($MS22="Cone",$MS22="Linha")),"Corpo a Corpo não entra em "&amp;$MS22,""),IF(AND(COUNTIF($OI22:$OJ22,"Corpo a Corpo")&gt;0,$OD22=1),"A Forma "&amp;$MS22&amp;" já traz o Corpo a Corpo",""),IF(AND(COUNTIF($OI22:$OJ22,"Tudo ou Nada")&gt;0,$OF22=0),"Tudo ou Nada só entra em habilidade de Teste de Resistência",""),IF(AND(COUNTIF($MV22:$MY22,"Inescapável")&gt;0,OR($OS22&gt;1,$OT22&gt;0)),"Inescapável não aceita outra peça",""),IF(AND($MQ22&gt;0,$PB22*IF(COUNTIF($MV22:$MY22,"Remate")&gt;0,1.25,1)+$PC22&gt;4*$MQ22),($PB22*IF(COUNTIF($MV22:$MY22,"Remate")&gt;0,1.25,1)+$PC22)&amp;" dados somando repetições"&amp;IF(COUNTIF($MV22:$MY22,"Remate")&gt;0," e o Remate","")&amp;": o teto da Classe "&amp;$MQ22&amp;" é "&amp;4*$MQ22,"")))</f>
        <v/>
      </c>
      <c r="PS22" s="155">
        <f>IF($PR22="",0,(LEN($PR22)-LEN(SUBSTITUTE($PR22," · ","")))/3+1)</f>
        <v/>
      </c>
      <c r="PT22" s="155">
        <f>IF($NB22=0,"",TEXTJOIN(" · ",TRUE,IF($OV22&gt;2*$MQ22,"A devolução parou no teto de "&amp;2*$MQ22,""),IF($OY22&gt;0,"Devolução perdida: "&amp;$OY22&amp;IF($OY22&gt;1," pontos"," ponto")&amp;" sem peça para pagar",""),IF(AND($OA22&gt;0,AND($MQ22&gt;0,$OE22=0),$PB22=0),"Controle sem dano: uma rodada a mais e CD +2",""),IF(AND($OA22&gt;0,AND($MQ22&gt;0,$OE22=0),$PB22&gt;0,$PB22&lt;=$MQ22),"Controle com saldo até a Classe: uma rodada a mais",""),IF(AND($MQ22&gt;0,$OC22&lt;&gt;""),"Efeito de "&amp;$OC22&amp;" pela Classe "&amp;MAX(1,$MQ22-1),"")))</f>
        <v/>
      </c>
      <c r="PU22" s="155">
        <f>IF($PT22="",0,(LEN($PT22)-LEN(SUBSTITUTE($PT22," · ","")))/3+1)</f>
        <v/>
      </c>
      <c r="PV22" s="155">
        <f>IF($NB22=0,IF($OS22+COUNTIF($MZ22:$NA22,"?*")&gt;0,"Dê um nome",""),IF($PS22&gt;0,"⚠ "&amp;$PS22&amp;IF($PS22&gt;1," erros"," erro"),IF($PU22&gt;0,"! "&amp;$PU22&amp;IF($PU22&gt;1," avisos"," aviso"),"Na regra")))</f>
        <v/>
      </c>
      <c r="PW22" s="155">
        <f>IF($NB22=0,"",IF($PS22+$PU22=0,"Dentro das regras que a ficha confere",$PR22&amp;IF(AND($PS22&gt;0,$PU22&gt;0)," · ","")&amp;$PT22))</f>
        <v/>
      </c>
      <c r="PX22" s="155">
        <f>IF($MO22&gt;$NC22,$MP22&amp;" · ABRE NO NÍVEL "&amp;$MO22,$MP22)</f>
        <v/>
      </c>
      <c r="PY22" s="155">
        <f>IF($NB22=0,"",IF($MQ22=0,"Sem PE",3*$MQ22&amp;" PE"))</f>
        <v/>
      </c>
      <c r="PZ22" s="155">
        <f>IF($NB22=0,"",IF($MQ22=0,"A atuação básica dela",IF(COUNTIF($OI22:$OJ22,"Atrasar")&gt;0,"Sua Ação Completa",IF(COUNTIF($MV22:$MY22,"Rápido")&gt;0,"Sua Bônus",IF(COUNTIF($MV22:$MY22,"Reação")&gt;0,"Sua Reação","Sua Padrão")))&amp;" + a básica dela"&amp;IF(COUNTIF($MV22:$MY22,"Reação")&gt;0," e a coletiva","")&amp;IF(COUNTIF($OI22:$OJ22,"Carregar")&gt;0," · em dois turnos","")))</f>
        <v/>
      </c>
      <c r="QA22" s="155">
        <f>IF($MU22&lt;&gt;"",$MU22,IF($NH22=0,"",INDEX($AA$2:$AA$11,$NH22)))</f>
        <v/>
      </c>
      <c r="QB22" s="155">
        <f>IF(OR($NB22=0,$NH22=0),"",IF(COUNTIF($MV22:$MY22,"Inescapável")&gt;0,"Automático",IF($QA22="Ataque",IF($NF22="","Ataque","Ataque "&amp;IF(($NF22+2*IF(COUNTIF($MV22:$MY22,"Precisão")&gt;0,1,0))&gt;=0,"+","−")&amp;ABS(($NF22+2*IF(COUNTIF($MV22:$MY22,"Precisão")&gt;0,1,0))))&amp;IF($OB22&gt;0," · TR"&amp;IF($NG22="",""," CD "&amp;$NG22),""),IF(LEFT($QA22,2)="TR",$QA22&amp;IF($NG22="",""," · CD "&amp;$NG22)&amp;IF(COUNTIF($MV22:$MY22,"Certeiro")&gt;0," · metade",""),"Sem rolagem"))))</f>
        <v/>
      </c>
      <c r="QC22" s="155">
        <f>IF(OR($NB22=0,$NH22=0),"",IF($MQ22=0,IF(OR($OE22&gt;=1,$PB22=0),"Sem dano",$PB22&amp;"d6"&amp;IF($MT22="",""," "&amp;$MT22)),IF(OR($OE22&gt;=1,$PB22=0),UPPER(LEFT(INDEX($PK22:$PQ22,1,MAX(1,$MQ22)),1))&amp;MID(INDEX($PK22:$PQ22,1,MAX(1,$MQ22)),2,99),UPPER(LEFT(INDEX($PK22:$PQ22,1,MAX(1,$MQ22)),1))&amp;MID(INDEX($PK22:$PQ22,1,MAX(1,$MQ22)),2,99)&amp;IF($MT22="",""," "&amp;$MT22)&amp;IF($PC22&gt;0," · +"&amp;$PC22&amp;"d8",""))))</f>
        <v/>
      </c>
      <c r="QD22" s="155">
        <f>COUNTIF($MV22:$MY22,"Longe")+3*COUNTIF($MV22:$MY22,"Muito Longe")</f>
        <v/>
      </c>
      <c r="QE22" s="155">
        <f>COUNTIF($MV22:$MY22,"Maior")+3*COUNTIF($MV22:$MY22,"Muito Maior")</f>
        <v/>
      </c>
      <c r="QF22" s="155">
        <f>IF($NH22=0,0,CHOOSE(1+INDEX($AC$2:$AC$11,$NH22),0,$QD22,$QE22,$QD22+$QE22))</f>
        <v/>
      </c>
      <c r="QG22" s="155">
        <f>IF($NH22=0,0,CHOOSE(1+INDEX($AD$2:$AD$11,$NH22),0,$QD22,$QE22,$QD22+$QE22))</f>
        <v/>
      </c>
      <c r="QH22" s="155">
        <f>IF(OR($NB22=0,$NH22=0),"",INDEX($AI$2:$AN$41,($NH22-1)*4+IF($MQ22=0,1,IF($MQ22&lt;=5,2,IF($MQ22=6,3,4))),1+MIN(5,$QF22))&amp;INDEX($AO$2:$AT$41,($NH22-1)*4+IF($MQ22=0,1,IF($MQ22&lt;=5,2,IF($MQ22=6,3,4))),1+MIN(5,$QG22))&amp;IF(INDEX($AE$2:$AE$11,$NH22)=1,IF(COUNTIF($MV22:$MY22,"Mais Um")&gt;0," · +"&amp;COUNTIF($MV22:$MY22,"Mais Um")&amp;IF(COUNTIF($MV22:$MY22,"Mais Um")&gt;1," alvos"," alvo"),"")&amp;IF(COUNTIF($MV22:$MY22,"Rajada")&gt;0,IF($MQ22=0," · 1 tiro"," · "&amp;(MAX(1,$MQ22-1)+1)&amp;" tiros"),""),""))</f>
        <v/>
      </c>
      <c r="QI22" s="155">
        <f>IF($NB22=0,"",IF($MQ22=0,$NE22&amp;"d6"&amp;IF($OS22&gt;0," − 1 = "&amp;$PB22&amp;"d6"," da básica do nível "&amp;$NC22),$OZ22&amp;" − "&amp;$OU22&amp;" + "&amp;$OX22&amp;" = "&amp;$PA22&amp;" · teto "&amp;4*$MQ22&amp;"d8"&amp;IF($OD22=1," · a Forma devolve "&amp;$MQ22,"")&amp;IF($OY22&gt;0," · perde "&amp;$OY22,"")))</f>
        <v/>
      </c>
      <c r="QJ22" s="155">
        <f>IF($NB22=0,"",IF($MQ22=0,"A básica não amplia: os dados dela sobem com o nível",IF($MQ22&gt;=$ND22,"Já está na maior Classe que o nível liberou",TEXTJOIN(" · ",TRUE,IF(AND(2&gt;$MQ22,2&lt;=$ND22),"2 → "&amp;$PL22&amp;", 6 PE",""),IF(AND(3&gt;$MQ22,3&lt;=$ND22),"3 → "&amp;$PM22&amp;", 9 PE",""),IF(AND(4&gt;$MQ22,4&lt;=$ND22),"4 → "&amp;$PN22&amp;", 12 PE",""),IF(AND(5&gt;$MQ22,5&lt;=$ND22),"5 → "&amp;$PO22&amp;", 15 PE",""),IF(AND(6&gt;$MQ22,6&lt;=$ND22),"6 → "&amp;$PP22&amp;", 18 PE",""),IF(AND(7&gt;$MQ22,7&lt;=$ND22),"7 → "&amp;$PQ22&amp;", 21 PE","")))))</f>
        <v/>
      </c>
      <c r="QK22" s="155">
        <f>IF(OR($NB22=0,$NM22=0),"",IF($MQ22=0,"−1 dado","−"&amp;INDEX($I$2:$N$8,MAX(1,$MQ22),MAX(1,$NR22))&amp;" · "&amp;CHOOSE(MAX(1,$NR22),"Leve","Média","Pesada","Leve · Livre","Média · Livre","Pesada · Livre")))</f>
        <v/>
      </c>
      <c r="QL22" s="155">
        <f>IF(OR($NB22=0,$NN22=0),"",IF($MQ22=0,"−1 dado","−"&amp;INDEX($I$2:$N$8,MAX(1,$MQ22),MAX(1,$NS22))&amp;" · "&amp;CHOOSE(MAX(1,$NS22),"Leve","Média","Pesada","Leve · Livre","Média · Livre","Pesada · Livre")))</f>
        <v/>
      </c>
      <c r="QM22" s="155">
        <f>IF(OR($NB22=0,$NO22=0),"",IF($MQ22=0,"−1 dado","−"&amp;INDEX($I$2:$N$8,MAX(1,$MQ22),MAX(1,$NT22))&amp;" · "&amp;CHOOSE(MAX(1,$NT22),"Leve","Média","Pesada","Leve · Livre","Média · Livre","Pesada · Livre")))</f>
        <v/>
      </c>
      <c r="QN22" s="155">
        <f>IF(OR($NB22=0,$NP22=0),"",IF($MQ22=0,"−1 dado","−"&amp;INDEX($I$2:$N$8,MAX(1,$MQ22),MAX(1,$NU22))&amp;" · "&amp;CHOOSE(MAX(1,$NU22),"Leve","Média","Pesada","Leve · Livre","Média · Livre","Pesada · Livre")))</f>
        <v/>
      </c>
      <c r="QO22" s="155">
        <f>IF(OR($NB22=0,$MZ22=""),"",IF($MQ22=0,"não devolve","+"&amp;IF($OG22=1,CEILING($MQ22/2,1),$MQ22)))</f>
        <v/>
      </c>
      <c r="QP22" s="155">
        <f>IF(OR($NB22=0,$NA22=""),"",IF($MQ22=0,"não devolve","+"&amp;IF($OH22=1,CEILING($MQ22/2,1),$MQ22)))</f>
        <v/>
      </c>
    </row>
    <row r="23">
      <c r="AH23" s="153" t="inlineStr">
        <is>
          <t>Linha · classes 1 a 5</t>
        </is>
      </c>
      <c r="AI23" s="153" t="inlineStr">
        <is>
          <t>Linha de 18 m por 1,5 m</t>
        </is>
      </c>
      <c r="AJ23" s="153" t="inlineStr">
        <is>
          <t>Linha de 30 m por 1,5 m</t>
        </is>
      </c>
      <c r="AK23" s="153" t="inlineStr">
        <is>
          <t>Linha de 60 m por 1,5 m</t>
        </is>
      </c>
      <c r="AL23" s="153" t="inlineStr">
        <is>
          <t>Linha de 60 m por 1,5 m</t>
        </is>
      </c>
      <c r="AM23" s="153" t="inlineStr">
        <is>
          <t>Linha de 60 m por 1,5 m</t>
        </is>
      </c>
      <c r="AN23" s="153" t="inlineStr">
        <is>
          <t>Linha de 60 m por 1,5 m</t>
        </is>
      </c>
      <c r="AO23" s="153" t="inlineStr"/>
      <c r="AP23" s="153" t="inlineStr"/>
      <c r="AQ23" s="153" t="inlineStr"/>
      <c r="AR23" s="153" t="inlineStr"/>
      <c r="AS23" s="153" t="inlineStr"/>
      <c r="AT23" s="153" t="inlineStr"/>
      <c r="AV23" s="153" t="inlineStr">
        <is>
          <t>Sem Cobertura</t>
        </is>
      </c>
      <c r="AW23" s="153" t="inlineStr">
        <is>
          <t>Mira</t>
        </is>
      </c>
      <c r="AX23" s="155" t="n">
        <v>1</v>
      </c>
      <c r="AY23" s="155" t="n">
        <v>0</v>
      </c>
      <c r="AZ23" s="155" t="n">
        <v>0</v>
      </c>
      <c r="BA23" s="155" t="n">
        <v>0</v>
      </c>
      <c r="BC23" s="153" t="inlineStr">
        <is>
          <t>Restrição Própria (Leve)</t>
        </is>
      </c>
      <c r="BD23" s="153" t="inlineStr">
        <is>
          <t>Restrição Própria</t>
        </is>
      </c>
      <c r="BE23" s="155" t="n">
        <v>1</v>
      </c>
      <c r="BF23" s="155" t="n">
        <v>0</v>
      </c>
      <c r="BG23" s="153" t="inlineStr">
        <is>
          <t>Restrição Própria (Leve)</t>
        </is>
      </c>
      <c r="CC23" s="153" t="inlineStr">
        <is>
          <t>Atuação</t>
        </is>
      </c>
      <c r="CD23" s="153" t="inlineStr">
        <is>
          <t>Essência</t>
        </is>
      </c>
      <c r="JR23" s="155">
        <f>IF(OR($AW23="",COUNTIF($EJ$2:$EN$2,$AW23)&gt;0),$AV23,"")</f>
        <v/>
      </c>
      <c r="JS23" s="155">
        <f>IF(AND($AX23=1,OR($AW23="",COUNTIF($EJ$2:$EN$2,$AW23)&gt;0)),$AV23,"")</f>
        <v/>
      </c>
      <c r="JX23" s="155">
        <f>IF(OR($AW23="",COUNTIF($EJ$3:$EN$3,$AW23)&gt;0),$AV23,"")</f>
        <v/>
      </c>
      <c r="JY23" s="155">
        <f>IF(AND($AX23=1,OR($AW23="",COUNTIF($EJ$3:$EN$3,$AW23)&gt;0)),$AV23,"")</f>
        <v/>
      </c>
      <c r="KD23" s="155">
        <f>IF(OR($AW23="",COUNTIF($EJ$4:$EN$4,$AW23)&gt;0),$AV23,"")</f>
        <v/>
      </c>
      <c r="KE23" s="155">
        <f>IF(AND($AX23=1,OR($AW23="",COUNTIF($EJ$4:$EN$4,$AW23)&gt;0)),$AV23,"")</f>
        <v/>
      </c>
      <c r="KJ23" s="155">
        <f>IF(OR($AW23="",COUNTIF($EJ$5:$EN$5,$AW23)&gt;0),$AV23,"")</f>
        <v/>
      </c>
      <c r="KK23" s="155">
        <f>IF(AND($AX23=1,OR($AW23="",COUNTIF($EJ$5:$EN$5,$AW23)&gt;0)),$AV23,"")</f>
        <v/>
      </c>
      <c r="KP23" s="155">
        <f>IF(OR($AW23="",COUNTIF($EJ$6:$EN$6,$AW23)&gt;0),$AV23,"")</f>
        <v/>
      </c>
      <c r="KQ23" s="155">
        <f>IF(AND($AX23=1,OR($AW23="",COUNTIF($EJ$6:$EN$6,$AW23)&gt;0)),$AV23,"")</f>
        <v/>
      </c>
      <c r="KV23" s="155">
        <f>IF(OR($AW23="",COUNTIF($EJ$7:$EN$7,$AW23)&gt;0),$AV23,"")</f>
        <v/>
      </c>
      <c r="KW23" s="155">
        <f>IF(AND($AX23=1,OR($AW23="",COUNTIF($EJ$7:$EN$7,$AW23)&gt;0)),$AV23,"")</f>
        <v/>
      </c>
      <c r="LB23" s="155">
        <f>IF(OR($AW23="",COUNTIF($EJ$8:$EN$8,$AW23)&gt;0),$AV23,"")</f>
        <v/>
      </c>
      <c r="LC23" s="155">
        <f>IF(AND($AX23=1,OR($AW23="",COUNTIF($EJ$8:$EN$8,$AW23)&gt;0)),$AV23,"")</f>
        <v/>
      </c>
      <c r="LH23" s="155">
        <f>IF(OR($AW23="",COUNTIF($EJ$9:$EN$9,$AW23)&gt;0),$AV23,"")</f>
        <v/>
      </c>
      <c r="LI23" s="155">
        <f>IF(AND($AX23=1,OR($AW23="",COUNTIF($EJ$9:$EN$9,$AW23)&gt;0)),$AV23,"")</f>
        <v/>
      </c>
      <c r="LN23" s="155">
        <f>IF(OR($AW23="",COUNTIF($EJ$10:$EN$10,$AW23)&gt;0),$AV23,"")</f>
        <v/>
      </c>
      <c r="LO23" s="155">
        <f>IF(AND($AX23=1,OR($AW23="",COUNTIF($EJ$10:$EN$10,$AW23)&gt;0)),$AV23,"")</f>
        <v/>
      </c>
      <c r="LT23" s="155">
        <f>IF(OR($AW23="",COUNTIF($EJ$11:$EN$11,$AW23)&gt;0),$AV23,"")</f>
        <v/>
      </c>
      <c r="LU23" s="155">
        <f>IF(AND($AX23=1,OR($AW23="",COUNTIF($EJ$11:$EN$11,$AW23)&gt;0)),$AV23,"")</f>
        <v/>
      </c>
      <c r="LZ23" s="155">
        <f>IF(OR($AW23="",COUNTIF($EJ$12:$EN$12,$AW23)&gt;0),$AV23,"")</f>
        <v/>
      </c>
      <c r="MA23" s="155">
        <f>IF(AND($AX23=1,OR($AW23="",COUNTIF($EJ$12:$EN$12,$AW23)&gt;0)),$AV23,"")</f>
        <v/>
      </c>
      <c r="MF23" s="155">
        <f>IF(OR($AW23="",COUNTIF($EJ$13:$EN$13,$AW23)&gt;0),$AV23,"")</f>
        <v/>
      </c>
      <c r="MG23" s="155">
        <f>IF(AND($AX23=1,OR($AW23="",COUNTIF($EJ$13:$EN$13,$AW23)&gt;0)),$AV23,"")</f>
        <v/>
      </c>
      <c r="ML23" s="153" t="inlineStr">
        <is>
          <t>Ficha 2 · Especial 7</t>
        </is>
      </c>
      <c r="MM23" s="155" t="n">
        <v>2</v>
      </c>
      <c r="MN23" s="155" t="n">
        <v>1</v>
      </c>
      <c r="MO23" s="155" t="n">
        <v>24</v>
      </c>
      <c r="MP23" s="153" t="inlineStr">
        <is>
          <t>ESPECIAL 7</t>
        </is>
      </c>
      <c r="MQ23" s="155">
        <f>MAX(1,MIN(7,N('INVOCAÇÕES'!$U$312)))</f>
        <v/>
      </c>
      <c r="MR23" s="155">
        <f>'INVOCAÇÕES'!$V$312&amp;""</f>
        <v/>
      </c>
      <c r="MS23" s="155">
        <f>'INVOCAÇÕES'!$U$317&amp;""</f>
        <v/>
      </c>
      <c r="MT23" s="155">
        <f>'INVOCAÇÕES'!$U$318&amp;""</f>
        <v/>
      </c>
      <c r="MU23" s="155">
        <f>'INVOCAÇÕES'!$W$318&amp;""</f>
        <v/>
      </c>
      <c r="MV23" s="155">
        <f>'INVOCAÇÕES'!$V$321&amp;""</f>
        <v/>
      </c>
      <c r="MW23" s="155">
        <f>'INVOCAÇÕES'!$V$322&amp;""</f>
        <v/>
      </c>
      <c r="MX23" s="155">
        <f>'INVOCAÇÕES'!$V$323&amp;""</f>
        <v/>
      </c>
      <c r="MY23" s="155">
        <f>'INVOCAÇÕES'!$V$324&amp;""</f>
        <v/>
      </c>
      <c r="MZ23" s="155">
        <f>'INVOCAÇÕES'!$V$325&amp;""</f>
        <v/>
      </c>
      <c r="NA23" s="155">
        <f>'INVOCAÇÕES'!$V$326&amp;""</f>
        <v/>
      </c>
      <c r="NB23" s="155">
        <f>IF($MR23&lt;&gt;"",1,0)</f>
        <v/>
      </c>
      <c r="NC23" s="155">
        <f>INDEX($FM$2:$FM$13,$MM23)</f>
        <v/>
      </c>
      <c r="ND23" s="155">
        <f>INDEX($FN$2:$FN$13,$MM23)</f>
        <v/>
      </c>
      <c r="NE23" s="155">
        <f>INDEX($FO$2:$FO$13,$MM23)</f>
        <v/>
      </c>
      <c r="NF23" s="155">
        <f>INDEX($FZ$2:$FZ$13,$MM23)</f>
        <v/>
      </c>
      <c r="NG23" s="155">
        <f>INDEX($GA$2:$GA$13,$MM23)</f>
        <v/>
      </c>
      <c r="NH23" s="155">
        <f>IFERROR(MATCH($MS23,$V$2:$V$11,0),0)</f>
        <v/>
      </c>
      <c r="NI23" s="155">
        <f>IFERROR(VLOOKUP($MV23,$AV$2:$BA$84,2,FALSE),"")</f>
        <v/>
      </c>
      <c r="NJ23" s="155">
        <f>IFERROR(VLOOKUP($MW23,$AV$2:$BA$84,2,FALSE),"")</f>
        <v/>
      </c>
      <c r="NK23" s="155">
        <f>IFERROR(VLOOKUP($MX23,$AV$2:$BA$84,2,FALSE),"")</f>
        <v/>
      </c>
      <c r="NL23" s="155">
        <f>IFERROR(VLOOKUP($MY23,$AV$2:$BA$84,2,FALSE),"")</f>
        <v/>
      </c>
      <c r="NM23" s="155">
        <f>IFERROR(VLOOKUP($MV23,$AV$2:$BA$84,3,FALSE),0)</f>
        <v/>
      </c>
      <c r="NN23" s="155">
        <f>IFERROR(VLOOKUP($MW23,$AV$2:$BA$84,3,FALSE),0)</f>
        <v/>
      </c>
      <c r="NO23" s="155">
        <f>IFERROR(VLOOKUP($MX23,$AV$2:$BA$84,3,FALSE),0)</f>
        <v/>
      </c>
      <c r="NP23" s="155">
        <f>IFERROR(VLOOKUP($MY23,$AV$2:$BA$84,3,FALSE),0)</f>
        <v/>
      </c>
      <c r="NQ23" s="155">
        <f>IF($MQ23=0,0,IF($NH23=0,0,INDEX($X$2:$X$11,$NH23)))</f>
        <v/>
      </c>
      <c r="NR23" s="155">
        <f>IF(OR($NM23=0,$MQ23=0),0,$NM23+3*IF(AND($NI23&lt;&gt;"",OR($NI23=INDEX($EJ$2:$EJ$13,$MM23),$NI23=INDEX($EK$2:$EK$13,$MM23))),1,0))</f>
        <v/>
      </c>
      <c r="NS23" s="155">
        <f>IF(OR($NN23=0,$MQ23=0),0,$NN23+3*IF(AND($NJ23&lt;&gt;"",OR($NJ23=INDEX($EJ$2:$EJ$13,$MM23),$NJ23=INDEX($EK$2:$EK$13,$MM23))),1,0))</f>
        <v/>
      </c>
      <c r="NT23" s="155">
        <f>IF(OR($NO23=0,$MQ23=0),0,$NO23+3*IF(AND($NK23&lt;&gt;"",OR($NK23=INDEX($EJ$2:$EJ$13,$MM23),$NK23=INDEX($EK$2:$EK$13,$MM23))),1,0))</f>
        <v/>
      </c>
      <c r="NU23" s="155">
        <f>IF(OR($NP23=0,$MQ23=0),0,$NP23+3*IF(AND($NL23&lt;&gt;"",OR($NL23=INDEX($EJ$2:$EJ$13,$MM23),$NL23=INDEX($EK$2:$EK$13,$MM23))),1,0))</f>
        <v/>
      </c>
      <c r="NV23" s="155">
        <f>IF($NH23=0,0,IF(INDEX($W$2:$W$11,$NH23)="",0,IF(COUNTIF(INDEX($EJ$2:$EN$13,$MM23,0),INDEX($W$2:$W$11,$NH23))=0,1,0)))</f>
        <v/>
      </c>
      <c r="NW23" s="155">
        <f>IF(OR($NM23=0,$NI23=""),0,IF(COUNTIF(INDEX($EJ$2:$EN$13,$MM23,0),$NI23)=0,1,0))</f>
        <v/>
      </c>
      <c r="NX23" s="155">
        <f>IF(OR($NN23=0,$NJ23=""),0,IF(COUNTIF(INDEX($EJ$2:$EN$13,$MM23,0),$NJ23)=0,1,0))</f>
        <v/>
      </c>
      <c r="NY23" s="155">
        <f>IF(OR($NO23=0,$NK23=""),0,IF(COUNTIF(INDEX($EJ$2:$EN$13,$MM23,0),$NK23)=0,1,0))</f>
        <v/>
      </c>
      <c r="NZ23" s="155">
        <f>IF(OR($NP23=0,$NL23=""),0,IF(COUNTIF(INDEX($EJ$2:$EN$13,$MM23,0),$NL23)=0,1,0))</f>
        <v/>
      </c>
      <c r="OA23" s="155">
        <f>IFERROR(VLOOKUP($MV23,$AV$2:$BA$84,4,FALSE),0)+IFERROR(VLOOKUP($MW23,$AV$2:$BA$84,4,FALSE),0)+IFERROR(VLOOKUP($MX23,$AV$2:$BA$84,4,FALSE),0)+IFERROR(VLOOKUP($MY23,$AV$2:$BA$84,4,FALSE),0)</f>
        <v/>
      </c>
      <c r="OB23" s="155">
        <f>IFERROR(VLOOKUP($MV23,$AV$2:$BA$84,6,FALSE),0)+IFERROR(VLOOKUP($MW23,$AV$2:$BA$84,6,FALSE),0)+IFERROR(VLOOKUP($MX23,$AV$2:$BA$84,6,FALSE),0)+IFERROR(VLOOKUP($MY23,$AV$2:$BA$84,6,FALSE),0)</f>
        <v/>
      </c>
      <c r="OC23" s="155">
        <f>TEXTJOIN(", ",TRUE,IF(IFERROR(VLOOKUP($MV23,$AV$2:$BA$84,5,FALSE),0)=1,$MV23,""),IF(IFERROR(VLOOKUP($MW23,$AV$2:$BA$84,5,FALSE),0)=1,$MW23,""),IF(IFERROR(VLOOKUP($MX23,$AV$2:$BA$84,5,FALSE),0)=1,$MX23,""),IF(IFERROR(VLOOKUP($MY23,$AV$2:$BA$84,5,FALSE),0)=1,$MY23,""))</f>
        <v/>
      </c>
      <c r="OD23" s="155">
        <f>IF($NH23=0,0,INDEX($Y$2:$Y$11,$NH23))</f>
        <v/>
      </c>
      <c r="OE23" s="155">
        <f>IF($NH23=0,0,INDEX($Z$2:$Z$11,$NH23))</f>
        <v/>
      </c>
      <c r="OF23" s="155">
        <f>IF($NH23=0,0,INDEX($AB$2:$AB$11,$NH23))</f>
        <v/>
      </c>
      <c r="OG23" s="155">
        <f>IFERROR(VLOOKUP($MZ23,$BC$2:$BG$24,3,FALSE),0)</f>
        <v/>
      </c>
      <c r="OH23" s="155">
        <f>IFERROR(VLOOKUP($NA23,$BC$2:$BG$24,3,FALSE),0)</f>
        <v/>
      </c>
      <c r="OI23" s="155">
        <f>IFERROR(VLOOKUP($MZ23,$BC$2:$BG$24,2,FALSE),"")</f>
        <v/>
      </c>
      <c r="OJ23" s="155">
        <f>IFERROR(VLOOKUP($NA23,$BC$2:$BG$24,2,FALSE),"")</f>
        <v/>
      </c>
      <c r="OK23" s="155">
        <f>COUNTIF($NQ23:$NU23,1)</f>
        <v/>
      </c>
      <c r="OL23" s="155">
        <f>COUNTIF($NQ23:$NU23,2)</f>
        <v/>
      </c>
      <c r="OM23" s="155">
        <f>COUNTIF($NQ23:$NU23,3)</f>
        <v/>
      </c>
      <c r="ON23" s="155">
        <f>COUNTIF($NQ23:$NU23,4)</f>
        <v/>
      </c>
      <c r="OO23" s="155">
        <f>COUNTIF($NQ23:$NU23,5)</f>
        <v/>
      </c>
      <c r="OP23" s="155">
        <f>COUNTIF($NQ23:$NU23,6)</f>
        <v/>
      </c>
      <c r="OQ23" s="155">
        <f>COUNTIF($OG23:$OH23,1)</f>
        <v/>
      </c>
      <c r="OR23" s="155">
        <f>COUNTIF($OG23:$OH23,2)+$OD23</f>
        <v/>
      </c>
      <c r="OS23" s="155">
        <f>COUNTIF($MV23:$MY23,"?*")</f>
        <v/>
      </c>
      <c r="OT23" s="155">
        <f>COUNTIF($MZ23:$NA23,"?*")+$OD23</f>
        <v/>
      </c>
      <c r="OU23" s="155">
        <f>IF($MQ23=0,0,SUMPRODUCT($OK23:$OP23,INDEX($I$2:$N$8,MAX(1,$MQ23),0)))</f>
        <v/>
      </c>
      <c r="OV23" s="155">
        <f>IF($MQ23=0,0,$OQ23*CEILING($MQ23/2,1)+$OR23*$MQ23)</f>
        <v/>
      </c>
      <c r="OW23" s="155">
        <f>MIN(2*$MQ23,$OV23)</f>
        <v/>
      </c>
      <c r="OX23" s="155">
        <f>MIN($OW23,$OU23)</f>
        <v/>
      </c>
      <c r="OY23" s="155">
        <f>$OW23-$OX23</f>
        <v/>
      </c>
      <c r="OZ23" s="155">
        <f>IF($MQ23=0,0,INDEX($P$2:$P$8,MAX(1,$MQ23)))</f>
        <v/>
      </c>
      <c r="PA23" s="155">
        <f>$OZ23-$OU23+$OX23</f>
        <v/>
      </c>
      <c r="PB23" s="155">
        <f>IF($MQ23=0,MAX(0,$NE23-IF($OS23&gt;0,1,0)),MAX(0,$PA23))</f>
        <v/>
      </c>
      <c r="PC23" s="155">
        <f>IF($MQ23=0,0,(IF(COUNTIF($MV23:$MY23,"Salto")&gt;0,1,0)+IF(COUNTIF($MV23:$MY23,"Queima")&gt;0,1,0)+IF(COUNTIF($MV23:$MY23,"Estilhaço")&gt;0,1,0))*FLOOR($PB23/2,1))</f>
        <v/>
      </c>
      <c r="PD23" s="155">
        <f>MAX(0,2-SUMPRODUCT($OK23:$OP23,$I$2:$N$2)+MIN(2,$OQ23*1+$OR23*1,SUMPRODUCT($OK23:$OP23,$I$2:$N$2)))</f>
        <v/>
      </c>
      <c r="PE23" s="155">
        <f>MAX(0,4-SUMPRODUCT($OK23:$OP23,$I$3:$N$3)+MIN(4,$OQ23*1+$OR23*2,SUMPRODUCT($OK23:$OP23,$I$3:$N$3)))</f>
        <v/>
      </c>
      <c r="PF23" s="155">
        <f>MAX(0,6-SUMPRODUCT($OK23:$OP23,$I$4:$N$4)+MIN(6,$OQ23*2+$OR23*3,SUMPRODUCT($OK23:$OP23,$I$4:$N$4)))</f>
        <v/>
      </c>
      <c r="PG23" s="155">
        <f>MAX(0,9-SUMPRODUCT($OK23:$OP23,$I$5:$N$5)+MIN(8,$OQ23*2+$OR23*4,SUMPRODUCT($OK23:$OP23,$I$5:$N$5)))</f>
        <v/>
      </c>
      <c r="PH23" s="155">
        <f>MAX(0,11-SUMPRODUCT($OK23:$OP23,$I$6:$N$6)+MIN(10,$OQ23*3+$OR23*5,SUMPRODUCT($OK23:$OP23,$I$6:$N$6)))</f>
        <v/>
      </c>
      <c r="PI23" s="155">
        <f>MAX(0,13-SUMPRODUCT($OK23:$OP23,$I$7:$N$7)+MIN(12,$OQ23*3+$OR23*6,SUMPRODUCT($OK23:$OP23,$I$7:$N$7)))</f>
        <v/>
      </c>
      <c r="PJ23" s="155">
        <f>MAX(0,16-SUMPRODUCT($OK23:$OP23,$I$8:$N$8)+MIN(14,$OQ23*4+$OR23*7,SUMPRODUCT($OK23:$OP23,$I$8:$N$8)))</f>
        <v/>
      </c>
      <c r="PK23" s="155">
        <f>IF($OE23=2,3*$PD23&amp;" de vida temp.",IF($OE23=3,"sem dano",IF($PD23=0,IF($OE23=1,"sem cura","sem dano"),IF($OE23=1,"cura ","")&amp;$PD23&amp;"d8")))</f>
        <v/>
      </c>
      <c r="PL23" s="155">
        <f>IF($OE23=2,3*$PE23&amp;" de vida temp.",IF($OE23=3,"sem dano",IF($PE23=0,IF($OE23=1,"sem cura","sem dano"),IF($OE23=1,"cura ","")&amp;$PE23&amp;"d8")))</f>
        <v/>
      </c>
      <c r="PM23" s="155">
        <f>IF($OE23=2,3*$PF23&amp;" de vida temp.",IF($OE23=3,"sem dano",IF($PF23=0,IF($OE23=1,"sem cura","sem dano"),IF($OE23=1,"cura ","")&amp;$PF23&amp;"d8")))</f>
        <v/>
      </c>
      <c r="PN23" s="155">
        <f>IF($OE23=2,3*$PG23&amp;" de vida temp.",IF($OE23=3,"sem dano",IF($PG23=0,IF($OE23=1,"sem cura","sem dano"),IF($OE23=1,"cura ","")&amp;$PG23&amp;"d8")))</f>
        <v/>
      </c>
      <c r="PO23" s="155">
        <f>IF($OE23=2,3*$PH23&amp;" de vida temp.",IF($OE23=3,"sem dano",IF($PH23=0,IF($OE23=1,"sem cura","sem dano"),IF($OE23=1,"cura ","")&amp;$PH23&amp;"d8")))</f>
        <v/>
      </c>
      <c r="PP23" s="155">
        <f>IF($OE23=2,3*$PI23&amp;" de vida temp.",IF($OE23=3,"sem dano",IF($PI23=0,IF($OE23=1,"sem cura","sem dano"),IF($OE23=1,"cura ","")&amp;$PI23&amp;"d8")))</f>
        <v/>
      </c>
      <c r="PQ23" s="155">
        <f>IF($OE23=2,3*$PJ23&amp;" de vida temp.",IF($OE23=3,"sem dano",IF($PJ23=0,IF($OE23=1,"sem cura","sem dano"),IF($OE23=1,"cura ","")&amp;$PJ23&amp;"d8")))</f>
        <v/>
      </c>
      <c r="PR23" s="155">
        <f>IF($NB23=0,"",TEXTJOIN(" · ",TRUE,IF($MO23&gt;$NC23,"Este lugar abre no nível "&amp;$MO23,""),IF($MQ23&gt;$ND23,"Classe "&amp;$MQ23&amp;": o nível "&amp;$NC23&amp;" libera até a "&amp;$ND23,""),IF($NV23=1,"A Forma "&amp;$MS23&amp;" pede "&amp;INDEX($W$2:$W$11,$NH23)&amp;" aberta",""),IF(AND($MQ23=0,$NH23&gt;0,IF($NH23=0,0,INDEX($AF$2:$AF$11,$NH23))=0),$MS23&amp;" não existe na Classe 0",""),IF($NW23=1,"Família Fechada: "&amp;$MV23,""),IF($NX23=1,"Família Fechada: "&amp;$MW23,""),IF($NY23=1,"Família Fechada: "&amp;$MX23,""),IF($NZ23=1,"Família Fechada: "&amp;$MY23,""),IF(AND($MQ23&gt;0,$OS23&gt;INDEX($O$2:$O$8,MAX(1,$MQ23))),$OS23&amp;" Melhorias: a Classe "&amp;$MQ23&amp;" aceita "&amp;INDEX($O$2:$O$8,MAX(1,$MQ23)),""),IF(AND($MQ23=0,$OS23&gt;1),"A básica aceita uma Melhoria",""),IF(AND($MQ23=0,COUNTIF($NM23:$NP23,"&gt;1")&gt;0),"A básica só aceita Melhoria Leve",""),IF(AND($MQ23&gt;0,$OT23&gt;2),$OT23&amp;" Restrições"&amp;IF($OD23=1,", contando a que a Forma "&amp;$MS23&amp;" já traz","")&amp;": o limite é 2",""),IF(AND($MQ23=0,COUNTIF($MZ23:$NA23,"?*")&gt;1),"A básica aceita uma Restrição Leve",""),IF(AND($MQ23=0,COUNTIF($OG23:$OH23,2)&gt;0),"A básica só aceita Restrição Leve",""),IF(AND($MQ23&gt;0,$PA23&lt;0),"Orçamento estourado: faltam "&amp;(-$PA23)&amp;IF($PA23&lt;-1," pontos"," ponto"),""),IF(IFERROR(VLOOKUP($MZ23,$BC$2:$BG$24,4,FALSE),0)+IFERROR(VLOOKUP($NA23,$BC$2:$BG$24,4,FALSE),0)&gt;1,$OI23&amp;" e "&amp;$OJ23&amp;" são as duas de frequência",""),IF(AND((COUNTIF($MV23:$MY23,"Rápido")+COUNTIF($OI23:$OJ23,"Rápido"))&gt;0,(COUNTIF($MV23:$MY23,"Atrasar")+COUNTIF($OI23:$OJ23,"Atrasar"))&gt;0),"Rápido não entra com Atrasar",""),IF(AND((COUNTIF($MV23:$MY23,"Reação")+COUNTIF($OI23:$OJ23,"Reação"))&gt;0,(COUNTIF($MV23:$MY23,"Rápido")+COUNTIF($OI23:$OJ23,"Rápido"))&gt;0),"Reação não entra com Rápido",""),IF(AND((COUNTIF($MV23:$MY23,"Reação")+COUNTIF($OI23:$OJ23,"Reação"))&gt;0,(COUNTIF($MV23:$MY23,"Armado")+COUNTIF($OI23:$OJ23,"Armado"))&gt;0),"Reação não entra com Armado",""),IF(AND((COUNTIF($MV23:$MY23,"Reação")+COUNTIF($OI23:$OJ23,"Reação"))&gt;0,(COUNTIF($MV23:$MY23,"Atrasar")+COUNTIF($OI23:$OJ23,"Atrasar"))&gt;0),"Reação não entra com Atrasar",""),IF(AND((COUNTIF($MV23:$MY23,"Reação")+COUNTIF($OI23:$OJ23,"Reação"))&gt;0,(COUNTIF($MV23:$MY23,"Parado")+COUNTIF($OI23:$OJ23,"Parado"))&gt;0),"Reação não entra com Parado",""),IF(AND((COUNTIF($MV23:$MY23,"Atrasar")+COUNTIF($OI23:$OJ23,"Atrasar"))&gt;0,(COUNTIF($MV23:$MY23,"Parado")+COUNTIF($OI23:$OJ23,"Parado"))&gt;0),"Atrasar não entra com Parado",""),IF(AND((COUNTIF($MV23:$MY23,"Armado")+COUNTIF($OI23:$OJ23,"Armado"))&gt;0,(COUNTIF($MV23:$MY23,"Carregar")+COUNTIF($OI23:$OJ23,"Carregar"))&gt;0),"Armado não entra com Carregar",""),IF(AND(COUNTIF($OI23:$OJ23,"Corpo a Corpo")&gt;0,$OD23=0,OR($MS23="Cone",$MS23="Linha")),"Corpo a Corpo não entra em "&amp;$MS23,""),IF(AND(COUNTIF($OI23:$OJ23,"Corpo a Corpo")&gt;0,$OD23=1),"A Forma "&amp;$MS23&amp;" já traz o Corpo a Corpo",""),IF(AND(COUNTIF($OI23:$OJ23,"Tudo ou Nada")&gt;0,$OF23=0),"Tudo ou Nada só entra em habilidade de Teste de Resistência",""),IF(AND(COUNTIF($MV23:$MY23,"Inescapável")&gt;0,OR($OS23&gt;1,$OT23&gt;0)),"Inescapável não aceita outra peça",""),IF(AND($MQ23&gt;0,$PB23*IF(COUNTIF($MV23:$MY23,"Remate")&gt;0,1.25,1)+$PC23&gt;4*$MQ23),($PB23*IF(COUNTIF($MV23:$MY23,"Remate")&gt;0,1.25,1)+$PC23)&amp;" dados somando repetições"&amp;IF(COUNTIF($MV23:$MY23,"Remate")&gt;0," e o Remate","")&amp;": o teto da Classe "&amp;$MQ23&amp;" é "&amp;4*$MQ23,"")))</f>
        <v/>
      </c>
      <c r="PS23" s="155">
        <f>IF($PR23="",0,(LEN($PR23)-LEN(SUBSTITUTE($PR23," · ","")))/3+1)</f>
        <v/>
      </c>
      <c r="PT23" s="155">
        <f>IF($NB23=0,"",TEXTJOIN(" · ",TRUE,IF($OV23&gt;2*$MQ23,"A devolução parou no teto de "&amp;2*$MQ23,""),IF($OY23&gt;0,"Devolução perdida: "&amp;$OY23&amp;IF($OY23&gt;1," pontos"," ponto")&amp;" sem peça para pagar",""),IF(AND($OA23&gt;0,AND($MQ23&gt;0,$OE23=0),$PB23=0),"Controle sem dano: uma rodada a mais e CD +2",""),IF(AND($OA23&gt;0,AND($MQ23&gt;0,$OE23=0),$PB23&gt;0,$PB23&lt;=$MQ23),"Controle com saldo até a Classe: uma rodada a mais",""),IF(AND($MQ23&gt;0,$OC23&lt;&gt;""),"Efeito de "&amp;$OC23&amp;" pela Classe "&amp;MAX(1,$MQ23-1),"")))</f>
        <v/>
      </c>
      <c r="PU23" s="155">
        <f>IF($PT23="",0,(LEN($PT23)-LEN(SUBSTITUTE($PT23," · ","")))/3+1)</f>
        <v/>
      </c>
      <c r="PV23" s="155">
        <f>IF($NB23=0,IF($OS23+COUNTIF($MZ23:$NA23,"?*")&gt;0,"Dê um nome",""),IF($PS23&gt;0,"⚠ "&amp;$PS23&amp;IF($PS23&gt;1," erros"," erro"),IF($PU23&gt;0,"! "&amp;$PU23&amp;IF($PU23&gt;1," avisos"," aviso"),"Na regra")))</f>
        <v/>
      </c>
      <c r="PW23" s="155">
        <f>IF($NB23=0,"",IF($PS23+$PU23=0,"Dentro das regras que a ficha confere",$PR23&amp;IF(AND($PS23&gt;0,$PU23&gt;0)," · ","")&amp;$PT23))</f>
        <v/>
      </c>
      <c r="PX23" s="155">
        <f>IF($MO23&gt;$NC23,$MP23&amp;" · ABRE NO NÍVEL "&amp;$MO23,$MP23)</f>
        <v/>
      </c>
      <c r="PY23" s="155">
        <f>IF($NB23=0,"",IF($MQ23=0,"Sem PE",3*$MQ23&amp;" PE"))</f>
        <v/>
      </c>
      <c r="PZ23" s="155">
        <f>IF($NB23=0,"",IF($MQ23=0,"A atuação básica dela",IF(COUNTIF($OI23:$OJ23,"Atrasar")&gt;0,"Sua Ação Completa",IF(COUNTIF($MV23:$MY23,"Rápido")&gt;0,"Sua Bônus",IF(COUNTIF($MV23:$MY23,"Reação")&gt;0,"Sua Reação","Sua Padrão")))&amp;" + a básica dela"&amp;IF(COUNTIF($MV23:$MY23,"Reação")&gt;0," e a coletiva","")&amp;IF(COUNTIF($OI23:$OJ23,"Carregar")&gt;0," · em dois turnos","")))</f>
        <v/>
      </c>
      <c r="QA23" s="155">
        <f>IF($MU23&lt;&gt;"",$MU23,IF($NH23=0,"",INDEX($AA$2:$AA$11,$NH23)))</f>
        <v/>
      </c>
      <c r="QB23" s="155">
        <f>IF(OR($NB23=0,$NH23=0),"",IF(COUNTIF($MV23:$MY23,"Inescapável")&gt;0,"Automático",IF($QA23="Ataque",IF($NF23="","Ataque","Ataque "&amp;IF(($NF23+2*IF(COUNTIF($MV23:$MY23,"Precisão")&gt;0,1,0))&gt;=0,"+","−")&amp;ABS(($NF23+2*IF(COUNTIF($MV23:$MY23,"Precisão")&gt;0,1,0))))&amp;IF($OB23&gt;0," · TR"&amp;IF($NG23="",""," CD "&amp;$NG23),""),IF(LEFT($QA23,2)="TR",$QA23&amp;IF($NG23="",""," · CD "&amp;$NG23)&amp;IF(COUNTIF($MV23:$MY23,"Certeiro")&gt;0," · metade",""),"Sem rolagem"))))</f>
        <v/>
      </c>
      <c r="QC23" s="155">
        <f>IF(OR($NB23=0,$NH23=0),"",IF($MQ23=0,IF(OR($OE23&gt;=1,$PB23=0),"Sem dano",$PB23&amp;"d6"&amp;IF($MT23="",""," "&amp;$MT23)),IF(OR($OE23&gt;=1,$PB23=0),UPPER(LEFT(INDEX($PK23:$PQ23,1,MAX(1,$MQ23)),1))&amp;MID(INDEX($PK23:$PQ23,1,MAX(1,$MQ23)),2,99),UPPER(LEFT(INDEX($PK23:$PQ23,1,MAX(1,$MQ23)),1))&amp;MID(INDEX($PK23:$PQ23,1,MAX(1,$MQ23)),2,99)&amp;IF($MT23="",""," "&amp;$MT23)&amp;IF($PC23&gt;0," · +"&amp;$PC23&amp;"d8",""))))</f>
        <v/>
      </c>
      <c r="QD23" s="155">
        <f>COUNTIF($MV23:$MY23,"Longe")+3*COUNTIF($MV23:$MY23,"Muito Longe")</f>
        <v/>
      </c>
      <c r="QE23" s="155">
        <f>COUNTIF($MV23:$MY23,"Maior")+3*COUNTIF($MV23:$MY23,"Muito Maior")</f>
        <v/>
      </c>
      <c r="QF23" s="155">
        <f>IF($NH23=0,0,CHOOSE(1+INDEX($AC$2:$AC$11,$NH23),0,$QD23,$QE23,$QD23+$QE23))</f>
        <v/>
      </c>
      <c r="QG23" s="155">
        <f>IF($NH23=0,0,CHOOSE(1+INDEX($AD$2:$AD$11,$NH23),0,$QD23,$QE23,$QD23+$QE23))</f>
        <v/>
      </c>
      <c r="QH23" s="155">
        <f>IF(OR($NB23=0,$NH23=0),"",INDEX($AI$2:$AN$41,($NH23-1)*4+IF($MQ23=0,1,IF($MQ23&lt;=5,2,IF($MQ23=6,3,4))),1+MIN(5,$QF23))&amp;INDEX($AO$2:$AT$41,($NH23-1)*4+IF($MQ23=0,1,IF($MQ23&lt;=5,2,IF($MQ23=6,3,4))),1+MIN(5,$QG23))&amp;IF(INDEX($AE$2:$AE$11,$NH23)=1,IF(COUNTIF($MV23:$MY23,"Mais Um")&gt;0," · +"&amp;COUNTIF($MV23:$MY23,"Mais Um")&amp;IF(COUNTIF($MV23:$MY23,"Mais Um")&gt;1," alvos"," alvo"),"")&amp;IF(COUNTIF($MV23:$MY23,"Rajada")&gt;0,IF($MQ23=0," · 1 tiro"," · "&amp;(MAX(1,$MQ23-1)+1)&amp;" tiros"),""),""))</f>
        <v/>
      </c>
      <c r="QI23" s="155">
        <f>IF($NB23=0,"",IF($MQ23=0,$NE23&amp;"d6"&amp;IF($OS23&gt;0," − 1 = "&amp;$PB23&amp;"d6"," da básica do nível "&amp;$NC23),$OZ23&amp;" − "&amp;$OU23&amp;" + "&amp;$OX23&amp;" = "&amp;$PA23&amp;" · teto "&amp;4*$MQ23&amp;"d8"&amp;IF($OD23=1," · a Forma devolve "&amp;$MQ23,"")&amp;IF($OY23&gt;0," · perde "&amp;$OY23,"")))</f>
        <v/>
      </c>
      <c r="QJ23" s="155">
        <f>IF($NB23=0,"",IF($MQ23=0,"A básica não amplia: os dados dela sobem com o nível",IF($MQ23&gt;=$ND23,"Já está na maior Classe que o nível liberou",TEXTJOIN(" · ",TRUE,IF(AND(2&gt;$MQ23,2&lt;=$ND23),"2 → "&amp;$PL23&amp;", 6 PE",""),IF(AND(3&gt;$MQ23,3&lt;=$ND23),"3 → "&amp;$PM23&amp;", 9 PE",""),IF(AND(4&gt;$MQ23,4&lt;=$ND23),"4 → "&amp;$PN23&amp;", 12 PE",""),IF(AND(5&gt;$MQ23,5&lt;=$ND23),"5 → "&amp;$PO23&amp;", 15 PE",""),IF(AND(6&gt;$MQ23,6&lt;=$ND23),"6 → "&amp;$PP23&amp;", 18 PE",""),IF(AND(7&gt;$MQ23,7&lt;=$ND23),"7 → "&amp;$PQ23&amp;", 21 PE","")))))</f>
        <v/>
      </c>
      <c r="QK23" s="155">
        <f>IF(OR($NB23=0,$NM23=0),"",IF($MQ23=0,"−1 dado","−"&amp;INDEX($I$2:$N$8,MAX(1,$MQ23),MAX(1,$NR23))&amp;" · "&amp;CHOOSE(MAX(1,$NR23),"Leve","Média","Pesada","Leve · Livre","Média · Livre","Pesada · Livre")))</f>
        <v/>
      </c>
      <c r="QL23" s="155">
        <f>IF(OR($NB23=0,$NN23=0),"",IF($MQ23=0,"−1 dado","−"&amp;INDEX($I$2:$N$8,MAX(1,$MQ23),MAX(1,$NS23))&amp;" · "&amp;CHOOSE(MAX(1,$NS23),"Leve","Média","Pesada","Leve · Livre","Média · Livre","Pesada · Livre")))</f>
        <v/>
      </c>
      <c r="QM23" s="155">
        <f>IF(OR($NB23=0,$NO23=0),"",IF($MQ23=0,"−1 dado","−"&amp;INDEX($I$2:$N$8,MAX(1,$MQ23),MAX(1,$NT23))&amp;" · "&amp;CHOOSE(MAX(1,$NT23),"Leve","Média","Pesada","Leve · Livre","Média · Livre","Pesada · Livre")))</f>
        <v/>
      </c>
      <c r="QN23" s="155">
        <f>IF(OR($NB23=0,$NP23=0),"",IF($MQ23=0,"−1 dado","−"&amp;INDEX($I$2:$N$8,MAX(1,$MQ23),MAX(1,$NU23))&amp;" · "&amp;CHOOSE(MAX(1,$NU23),"Leve","Média","Pesada","Leve · Livre","Média · Livre","Pesada · Livre")))</f>
        <v/>
      </c>
      <c r="QO23" s="155">
        <f>IF(OR($NB23=0,$MZ23=""),"",IF($MQ23=0,"não devolve","+"&amp;IF($OG23=1,CEILING($MQ23/2,1),$MQ23)))</f>
        <v/>
      </c>
      <c r="QP23" s="155">
        <f>IF(OR($NB23=0,$NA23=""),"",IF($MQ23=0,"não devolve","+"&amp;IF($OH23=1,CEILING($MQ23/2,1),$MQ23)))</f>
        <v/>
      </c>
    </row>
    <row r="24">
      <c r="AH24" s="153" t="inlineStr">
        <is>
          <t>Linha · classe 6</t>
        </is>
      </c>
      <c r="AI24" s="153" t="inlineStr">
        <is>
          <t>Linha de 18 m por 1,5 m</t>
        </is>
      </c>
      <c r="AJ24" s="153" t="inlineStr">
        <is>
          <t>Linha de 30 m por 1,5 m</t>
        </is>
      </c>
      <c r="AK24" s="153" t="inlineStr">
        <is>
          <t>Linha de 60 m por 1,5 m</t>
        </is>
      </c>
      <c r="AL24" s="153" t="inlineStr">
        <is>
          <t>Linha de 60 m por 1,5 m</t>
        </is>
      </c>
      <c r="AM24" s="153" t="inlineStr">
        <is>
          <t>Linha de 60 m por 1,5 m</t>
        </is>
      </c>
      <c r="AN24" s="153" t="inlineStr">
        <is>
          <t>Linha de 60 m por 1,5 m</t>
        </is>
      </c>
      <c r="AO24" s="153" t="inlineStr"/>
      <c r="AP24" s="153" t="inlineStr"/>
      <c r="AQ24" s="153" t="inlineStr"/>
      <c r="AR24" s="153" t="inlineStr"/>
      <c r="AS24" s="153" t="inlineStr"/>
      <c r="AT24" s="153" t="inlineStr"/>
      <c r="AV24" s="153" t="inlineStr">
        <is>
          <t>Toca a Alma</t>
        </is>
      </c>
      <c r="AW24" s="153" t="inlineStr">
        <is>
          <t>Mira</t>
        </is>
      </c>
      <c r="AX24" s="155" t="n">
        <v>1</v>
      </c>
      <c r="AY24" s="155" t="n">
        <v>0</v>
      </c>
      <c r="AZ24" s="155" t="n">
        <v>0</v>
      </c>
      <c r="BA24" s="155" t="n">
        <v>0</v>
      </c>
      <c r="BC24" s="153" t="inlineStr">
        <is>
          <t>Restrição Própria (Média)</t>
        </is>
      </c>
      <c r="BD24" s="153" t="inlineStr">
        <is>
          <t>Restrição Própria</t>
        </is>
      </c>
      <c r="BE24" s="155" t="n">
        <v>2</v>
      </c>
      <c r="BF24" s="155" t="n">
        <v>0</v>
      </c>
      <c r="BG24" s="153" t="inlineStr"/>
      <c r="CC24" s="153" t="inlineStr">
        <is>
          <t>Provocar</t>
        </is>
      </c>
      <c r="CD24" s="153" t="inlineStr">
        <is>
          <t>Essência</t>
        </is>
      </c>
      <c r="JR24" s="155">
        <f>IF(OR($AW24="",COUNTIF($EJ$2:$EN$2,$AW24)&gt;0),$AV24,"")</f>
        <v/>
      </c>
      <c r="JS24" s="155">
        <f>IF(AND($AX24=1,OR($AW24="",COUNTIF($EJ$2:$EN$2,$AW24)&gt;0)),$AV24,"")</f>
        <v/>
      </c>
      <c r="JX24" s="155">
        <f>IF(OR($AW24="",COUNTIF($EJ$3:$EN$3,$AW24)&gt;0),$AV24,"")</f>
        <v/>
      </c>
      <c r="JY24" s="155">
        <f>IF(AND($AX24=1,OR($AW24="",COUNTIF($EJ$3:$EN$3,$AW24)&gt;0)),$AV24,"")</f>
        <v/>
      </c>
      <c r="KD24" s="155">
        <f>IF(OR($AW24="",COUNTIF($EJ$4:$EN$4,$AW24)&gt;0),$AV24,"")</f>
        <v/>
      </c>
      <c r="KE24" s="155">
        <f>IF(AND($AX24=1,OR($AW24="",COUNTIF($EJ$4:$EN$4,$AW24)&gt;0)),$AV24,"")</f>
        <v/>
      </c>
      <c r="KJ24" s="155">
        <f>IF(OR($AW24="",COUNTIF($EJ$5:$EN$5,$AW24)&gt;0),$AV24,"")</f>
        <v/>
      </c>
      <c r="KK24" s="155">
        <f>IF(AND($AX24=1,OR($AW24="",COUNTIF($EJ$5:$EN$5,$AW24)&gt;0)),$AV24,"")</f>
        <v/>
      </c>
      <c r="KP24" s="155">
        <f>IF(OR($AW24="",COUNTIF($EJ$6:$EN$6,$AW24)&gt;0),$AV24,"")</f>
        <v/>
      </c>
      <c r="KQ24" s="155">
        <f>IF(AND($AX24=1,OR($AW24="",COUNTIF($EJ$6:$EN$6,$AW24)&gt;0)),$AV24,"")</f>
        <v/>
      </c>
      <c r="KV24" s="155">
        <f>IF(OR($AW24="",COUNTIF($EJ$7:$EN$7,$AW24)&gt;0),$AV24,"")</f>
        <v/>
      </c>
      <c r="KW24" s="155">
        <f>IF(AND($AX24=1,OR($AW24="",COUNTIF($EJ$7:$EN$7,$AW24)&gt;0)),$AV24,"")</f>
        <v/>
      </c>
      <c r="LB24" s="155">
        <f>IF(OR($AW24="",COUNTIF($EJ$8:$EN$8,$AW24)&gt;0),$AV24,"")</f>
        <v/>
      </c>
      <c r="LC24" s="155">
        <f>IF(AND($AX24=1,OR($AW24="",COUNTIF($EJ$8:$EN$8,$AW24)&gt;0)),$AV24,"")</f>
        <v/>
      </c>
      <c r="LH24" s="155">
        <f>IF(OR($AW24="",COUNTIF($EJ$9:$EN$9,$AW24)&gt;0),$AV24,"")</f>
        <v/>
      </c>
      <c r="LI24" s="155">
        <f>IF(AND($AX24=1,OR($AW24="",COUNTIF($EJ$9:$EN$9,$AW24)&gt;0)),$AV24,"")</f>
        <v/>
      </c>
      <c r="LN24" s="155">
        <f>IF(OR($AW24="",COUNTIF($EJ$10:$EN$10,$AW24)&gt;0),$AV24,"")</f>
        <v/>
      </c>
      <c r="LO24" s="155">
        <f>IF(AND($AX24=1,OR($AW24="",COUNTIF($EJ$10:$EN$10,$AW24)&gt;0)),$AV24,"")</f>
        <v/>
      </c>
      <c r="LT24" s="155">
        <f>IF(OR($AW24="",COUNTIF($EJ$11:$EN$11,$AW24)&gt;0),$AV24,"")</f>
        <v/>
      </c>
      <c r="LU24" s="155">
        <f>IF(AND($AX24=1,OR($AW24="",COUNTIF($EJ$11:$EN$11,$AW24)&gt;0)),$AV24,"")</f>
        <v/>
      </c>
      <c r="LZ24" s="155">
        <f>IF(OR($AW24="",COUNTIF($EJ$12:$EN$12,$AW24)&gt;0),$AV24,"")</f>
        <v/>
      </c>
      <c r="MA24" s="155">
        <f>IF(AND($AX24=1,OR($AW24="",COUNTIF($EJ$12:$EN$12,$AW24)&gt;0)),$AV24,"")</f>
        <v/>
      </c>
      <c r="MF24" s="155">
        <f>IF(OR($AW24="",COUNTIF($EJ$13:$EN$13,$AW24)&gt;0),$AV24,"")</f>
        <v/>
      </c>
      <c r="MG24" s="155">
        <f>IF(AND($AX24=1,OR($AW24="",COUNTIF($EJ$13:$EN$13,$AW24)&gt;0)),$AV24,"")</f>
        <v/>
      </c>
      <c r="ML24" s="153" t="inlineStr">
        <is>
          <t>Ficha 2 · Especial 8</t>
        </is>
      </c>
      <c r="MM24" s="155" t="n">
        <v>2</v>
      </c>
      <c r="MN24" s="155" t="n">
        <v>1</v>
      </c>
      <c r="MO24" s="155" t="n">
        <v>28</v>
      </c>
      <c r="MP24" s="153" t="inlineStr">
        <is>
          <t>ESPECIAL 8</t>
        </is>
      </c>
      <c r="MQ24" s="155">
        <f>MAX(1,MIN(7,N('INVOCAÇÕES'!$I$334)))</f>
        <v/>
      </c>
      <c r="MR24" s="155">
        <f>'INVOCAÇÕES'!$J$334&amp;""</f>
        <v/>
      </c>
      <c r="MS24" s="155">
        <f>'INVOCAÇÕES'!$I$339&amp;""</f>
        <v/>
      </c>
      <c r="MT24" s="155">
        <f>'INVOCAÇÕES'!$I$340&amp;""</f>
        <v/>
      </c>
      <c r="MU24" s="155">
        <f>'INVOCAÇÕES'!$K$340&amp;""</f>
        <v/>
      </c>
      <c r="MV24" s="155">
        <f>'INVOCAÇÕES'!$J$343&amp;""</f>
        <v/>
      </c>
      <c r="MW24" s="155">
        <f>'INVOCAÇÕES'!$J$344&amp;""</f>
        <v/>
      </c>
      <c r="MX24" s="155">
        <f>'INVOCAÇÕES'!$J$345&amp;""</f>
        <v/>
      </c>
      <c r="MY24" s="155">
        <f>'INVOCAÇÕES'!$J$346&amp;""</f>
        <v/>
      </c>
      <c r="MZ24" s="155">
        <f>'INVOCAÇÕES'!$J$347&amp;""</f>
        <v/>
      </c>
      <c r="NA24" s="155">
        <f>'INVOCAÇÕES'!$J$348&amp;""</f>
        <v/>
      </c>
      <c r="NB24" s="155">
        <f>IF($MR24&lt;&gt;"",1,0)</f>
        <v/>
      </c>
      <c r="NC24" s="155">
        <f>INDEX($FM$2:$FM$13,$MM24)</f>
        <v/>
      </c>
      <c r="ND24" s="155">
        <f>INDEX($FN$2:$FN$13,$MM24)</f>
        <v/>
      </c>
      <c r="NE24" s="155">
        <f>INDEX($FO$2:$FO$13,$MM24)</f>
        <v/>
      </c>
      <c r="NF24" s="155">
        <f>INDEX($FZ$2:$FZ$13,$MM24)</f>
        <v/>
      </c>
      <c r="NG24" s="155">
        <f>INDEX($GA$2:$GA$13,$MM24)</f>
        <v/>
      </c>
      <c r="NH24" s="155">
        <f>IFERROR(MATCH($MS24,$V$2:$V$11,0),0)</f>
        <v/>
      </c>
      <c r="NI24" s="155">
        <f>IFERROR(VLOOKUP($MV24,$AV$2:$BA$84,2,FALSE),"")</f>
        <v/>
      </c>
      <c r="NJ24" s="155">
        <f>IFERROR(VLOOKUP($MW24,$AV$2:$BA$84,2,FALSE),"")</f>
        <v/>
      </c>
      <c r="NK24" s="155">
        <f>IFERROR(VLOOKUP($MX24,$AV$2:$BA$84,2,FALSE),"")</f>
        <v/>
      </c>
      <c r="NL24" s="155">
        <f>IFERROR(VLOOKUP($MY24,$AV$2:$BA$84,2,FALSE),"")</f>
        <v/>
      </c>
      <c r="NM24" s="155">
        <f>IFERROR(VLOOKUP($MV24,$AV$2:$BA$84,3,FALSE),0)</f>
        <v/>
      </c>
      <c r="NN24" s="155">
        <f>IFERROR(VLOOKUP($MW24,$AV$2:$BA$84,3,FALSE),0)</f>
        <v/>
      </c>
      <c r="NO24" s="155">
        <f>IFERROR(VLOOKUP($MX24,$AV$2:$BA$84,3,FALSE),0)</f>
        <v/>
      </c>
      <c r="NP24" s="155">
        <f>IFERROR(VLOOKUP($MY24,$AV$2:$BA$84,3,FALSE),0)</f>
        <v/>
      </c>
      <c r="NQ24" s="155">
        <f>IF($MQ24=0,0,IF($NH24=0,0,INDEX($X$2:$X$11,$NH24)))</f>
        <v/>
      </c>
      <c r="NR24" s="155">
        <f>IF(OR($NM24=0,$MQ24=0),0,$NM24+3*IF(AND($NI24&lt;&gt;"",OR($NI24=INDEX($EJ$2:$EJ$13,$MM24),$NI24=INDEX($EK$2:$EK$13,$MM24))),1,0))</f>
        <v/>
      </c>
      <c r="NS24" s="155">
        <f>IF(OR($NN24=0,$MQ24=0),0,$NN24+3*IF(AND($NJ24&lt;&gt;"",OR($NJ24=INDEX($EJ$2:$EJ$13,$MM24),$NJ24=INDEX($EK$2:$EK$13,$MM24))),1,0))</f>
        <v/>
      </c>
      <c r="NT24" s="155">
        <f>IF(OR($NO24=0,$MQ24=0),0,$NO24+3*IF(AND($NK24&lt;&gt;"",OR($NK24=INDEX($EJ$2:$EJ$13,$MM24),$NK24=INDEX($EK$2:$EK$13,$MM24))),1,0))</f>
        <v/>
      </c>
      <c r="NU24" s="155">
        <f>IF(OR($NP24=0,$MQ24=0),0,$NP24+3*IF(AND($NL24&lt;&gt;"",OR($NL24=INDEX($EJ$2:$EJ$13,$MM24),$NL24=INDEX($EK$2:$EK$13,$MM24))),1,0))</f>
        <v/>
      </c>
      <c r="NV24" s="155">
        <f>IF($NH24=0,0,IF(INDEX($W$2:$W$11,$NH24)="",0,IF(COUNTIF(INDEX($EJ$2:$EN$13,$MM24,0),INDEX($W$2:$W$11,$NH24))=0,1,0)))</f>
        <v/>
      </c>
      <c r="NW24" s="155">
        <f>IF(OR($NM24=0,$NI24=""),0,IF(COUNTIF(INDEX($EJ$2:$EN$13,$MM24,0),$NI24)=0,1,0))</f>
        <v/>
      </c>
      <c r="NX24" s="155">
        <f>IF(OR($NN24=0,$NJ24=""),0,IF(COUNTIF(INDEX($EJ$2:$EN$13,$MM24,0),$NJ24)=0,1,0))</f>
        <v/>
      </c>
      <c r="NY24" s="155">
        <f>IF(OR($NO24=0,$NK24=""),0,IF(COUNTIF(INDEX($EJ$2:$EN$13,$MM24,0),$NK24)=0,1,0))</f>
        <v/>
      </c>
      <c r="NZ24" s="155">
        <f>IF(OR($NP24=0,$NL24=""),0,IF(COUNTIF(INDEX($EJ$2:$EN$13,$MM24,0),$NL24)=0,1,0))</f>
        <v/>
      </c>
      <c r="OA24" s="155">
        <f>IFERROR(VLOOKUP($MV24,$AV$2:$BA$84,4,FALSE),0)+IFERROR(VLOOKUP($MW24,$AV$2:$BA$84,4,FALSE),0)+IFERROR(VLOOKUP($MX24,$AV$2:$BA$84,4,FALSE),0)+IFERROR(VLOOKUP($MY24,$AV$2:$BA$84,4,FALSE),0)</f>
        <v/>
      </c>
      <c r="OB24" s="155">
        <f>IFERROR(VLOOKUP($MV24,$AV$2:$BA$84,6,FALSE),0)+IFERROR(VLOOKUP($MW24,$AV$2:$BA$84,6,FALSE),0)+IFERROR(VLOOKUP($MX24,$AV$2:$BA$84,6,FALSE),0)+IFERROR(VLOOKUP($MY24,$AV$2:$BA$84,6,FALSE),0)</f>
        <v/>
      </c>
      <c r="OC24" s="155">
        <f>TEXTJOIN(", ",TRUE,IF(IFERROR(VLOOKUP($MV24,$AV$2:$BA$84,5,FALSE),0)=1,$MV24,""),IF(IFERROR(VLOOKUP($MW24,$AV$2:$BA$84,5,FALSE),0)=1,$MW24,""),IF(IFERROR(VLOOKUP($MX24,$AV$2:$BA$84,5,FALSE),0)=1,$MX24,""),IF(IFERROR(VLOOKUP($MY24,$AV$2:$BA$84,5,FALSE),0)=1,$MY24,""))</f>
        <v/>
      </c>
      <c r="OD24" s="155">
        <f>IF($NH24=0,0,INDEX($Y$2:$Y$11,$NH24))</f>
        <v/>
      </c>
      <c r="OE24" s="155">
        <f>IF($NH24=0,0,INDEX($Z$2:$Z$11,$NH24))</f>
        <v/>
      </c>
      <c r="OF24" s="155">
        <f>IF($NH24=0,0,INDEX($AB$2:$AB$11,$NH24))</f>
        <v/>
      </c>
      <c r="OG24" s="155">
        <f>IFERROR(VLOOKUP($MZ24,$BC$2:$BG$24,3,FALSE),0)</f>
        <v/>
      </c>
      <c r="OH24" s="155">
        <f>IFERROR(VLOOKUP($NA24,$BC$2:$BG$24,3,FALSE),0)</f>
        <v/>
      </c>
      <c r="OI24" s="155">
        <f>IFERROR(VLOOKUP($MZ24,$BC$2:$BG$24,2,FALSE),"")</f>
        <v/>
      </c>
      <c r="OJ24" s="155">
        <f>IFERROR(VLOOKUP($NA24,$BC$2:$BG$24,2,FALSE),"")</f>
        <v/>
      </c>
      <c r="OK24" s="155">
        <f>COUNTIF($NQ24:$NU24,1)</f>
        <v/>
      </c>
      <c r="OL24" s="155">
        <f>COUNTIF($NQ24:$NU24,2)</f>
        <v/>
      </c>
      <c r="OM24" s="155">
        <f>COUNTIF($NQ24:$NU24,3)</f>
        <v/>
      </c>
      <c r="ON24" s="155">
        <f>COUNTIF($NQ24:$NU24,4)</f>
        <v/>
      </c>
      <c r="OO24" s="155">
        <f>COUNTIF($NQ24:$NU24,5)</f>
        <v/>
      </c>
      <c r="OP24" s="155">
        <f>COUNTIF($NQ24:$NU24,6)</f>
        <v/>
      </c>
      <c r="OQ24" s="155">
        <f>COUNTIF($OG24:$OH24,1)</f>
        <v/>
      </c>
      <c r="OR24" s="155">
        <f>COUNTIF($OG24:$OH24,2)+$OD24</f>
        <v/>
      </c>
      <c r="OS24" s="155">
        <f>COUNTIF($MV24:$MY24,"?*")</f>
        <v/>
      </c>
      <c r="OT24" s="155">
        <f>COUNTIF($MZ24:$NA24,"?*")+$OD24</f>
        <v/>
      </c>
      <c r="OU24" s="155">
        <f>IF($MQ24=0,0,SUMPRODUCT($OK24:$OP24,INDEX($I$2:$N$8,MAX(1,$MQ24),0)))</f>
        <v/>
      </c>
      <c r="OV24" s="155">
        <f>IF($MQ24=0,0,$OQ24*CEILING($MQ24/2,1)+$OR24*$MQ24)</f>
        <v/>
      </c>
      <c r="OW24" s="155">
        <f>MIN(2*$MQ24,$OV24)</f>
        <v/>
      </c>
      <c r="OX24" s="155">
        <f>MIN($OW24,$OU24)</f>
        <v/>
      </c>
      <c r="OY24" s="155">
        <f>$OW24-$OX24</f>
        <v/>
      </c>
      <c r="OZ24" s="155">
        <f>IF($MQ24=0,0,INDEX($P$2:$P$8,MAX(1,$MQ24)))</f>
        <v/>
      </c>
      <c r="PA24" s="155">
        <f>$OZ24-$OU24+$OX24</f>
        <v/>
      </c>
      <c r="PB24" s="155">
        <f>IF($MQ24=0,MAX(0,$NE24-IF($OS24&gt;0,1,0)),MAX(0,$PA24))</f>
        <v/>
      </c>
      <c r="PC24" s="155">
        <f>IF($MQ24=0,0,(IF(COUNTIF($MV24:$MY24,"Salto")&gt;0,1,0)+IF(COUNTIF($MV24:$MY24,"Queima")&gt;0,1,0)+IF(COUNTIF($MV24:$MY24,"Estilhaço")&gt;0,1,0))*FLOOR($PB24/2,1))</f>
        <v/>
      </c>
      <c r="PD24" s="155">
        <f>MAX(0,2-SUMPRODUCT($OK24:$OP24,$I$2:$N$2)+MIN(2,$OQ24*1+$OR24*1,SUMPRODUCT($OK24:$OP24,$I$2:$N$2)))</f>
        <v/>
      </c>
      <c r="PE24" s="155">
        <f>MAX(0,4-SUMPRODUCT($OK24:$OP24,$I$3:$N$3)+MIN(4,$OQ24*1+$OR24*2,SUMPRODUCT($OK24:$OP24,$I$3:$N$3)))</f>
        <v/>
      </c>
      <c r="PF24" s="155">
        <f>MAX(0,6-SUMPRODUCT($OK24:$OP24,$I$4:$N$4)+MIN(6,$OQ24*2+$OR24*3,SUMPRODUCT($OK24:$OP24,$I$4:$N$4)))</f>
        <v/>
      </c>
      <c r="PG24" s="155">
        <f>MAX(0,9-SUMPRODUCT($OK24:$OP24,$I$5:$N$5)+MIN(8,$OQ24*2+$OR24*4,SUMPRODUCT($OK24:$OP24,$I$5:$N$5)))</f>
        <v/>
      </c>
      <c r="PH24" s="155">
        <f>MAX(0,11-SUMPRODUCT($OK24:$OP24,$I$6:$N$6)+MIN(10,$OQ24*3+$OR24*5,SUMPRODUCT($OK24:$OP24,$I$6:$N$6)))</f>
        <v/>
      </c>
      <c r="PI24" s="155">
        <f>MAX(0,13-SUMPRODUCT($OK24:$OP24,$I$7:$N$7)+MIN(12,$OQ24*3+$OR24*6,SUMPRODUCT($OK24:$OP24,$I$7:$N$7)))</f>
        <v/>
      </c>
      <c r="PJ24" s="155">
        <f>MAX(0,16-SUMPRODUCT($OK24:$OP24,$I$8:$N$8)+MIN(14,$OQ24*4+$OR24*7,SUMPRODUCT($OK24:$OP24,$I$8:$N$8)))</f>
        <v/>
      </c>
      <c r="PK24" s="155">
        <f>IF($OE24=2,3*$PD24&amp;" de vida temp.",IF($OE24=3,"sem dano",IF($PD24=0,IF($OE24=1,"sem cura","sem dano"),IF($OE24=1,"cura ","")&amp;$PD24&amp;"d8")))</f>
        <v/>
      </c>
      <c r="PL24" s="155">
        <f>IF($OE24=2,3*$PE24&amp;" de vida temp.",IF($OE24=3,"sem dano",IF($PE24=0,IF($OE24=1,"sem cura","sem dano"),IF($OE24=1,"cura ","")&amp;$PE24&amp;"d8")))</f>
        <v/>
      </c>
      <c r="PM24" s="155">
        <f>IF($OE24=2,3*$PF24&amp;" de vida temp.",IF($OE24=3,"sem dano",IF($PF24=0,IF($OE24=1,"sem cura","sem dano"),IF($OE24=1,"cura ","")&amp;$PF24&amp;"d8")))</f>
        <v/>
      </c>
      <c r="PN24" s="155">
        <f>IF($OE24=2,3*$PG24&amp;" de vida temp.",IF($OE24=3,"sem dano",IF($PG24=0,IF($OE24=1,"sem cura","sem dano"),IF($OE24=1,"cura ","")&amp;$PG24&amp;"d8")))</f>
        <v/>
      </c>
      <c r="PO24" s="155">
        <f>IF($OE24=2,3*$PH24&amp;" de vida temp.",IF($OE24=3,"sem dano",IF($PH24=0,IF($OE24=1,"sem cura","sem dano"),IF($OE24=1,"cura ","")&amp;$PH24&amp;"d8")))</f>
        <v/>
      </c>
      <c r="PP24" s="155">
        <f>IF($OE24=2,3*$PI24&amp;" de vida temp.",IF($OE24=3,"sem dano",IF($PI24=0,IF($OE24=1,"sem cura","sem dano"),IF($OE24=1,"cura ","")&amp;$PI24&amp;"d8")))</f>
        <v/>
      </c>
      <c r="PQ24" s="155">
        <f>IF($OE24=2,3*$PJ24&amp;" de vida temp.",IF($OE24=3,"sem dano",IF($PJ24=0,IF($OE24=1,"sem cura","sem dano"),IF($OE24=1,"cura ","")&amp;$PJ24&amp;"d8")))</f>
        <v/>
      </c>
      <c r="PR24" s="155">
        <f>IF($NB24=0,"",TEXTJOIN(" · ",TRUE,IF($MO24&gt;$NC24,"Este lugar abre no nível "&amp;$MO24,""),IF($MQ24&gt;$ND24,"Classe "&amp;$MQ24&amp;": o nível "&amp;$NC24&amp;" libera até a "&amp;$ND24,""),IF($NV24=1,"A Forma "&amp;$MS24&amp;" pede "&amp;INDEX($W$2:$W$11,$NH24)&amp;" aberta",""),IF(AND($MQ24=0,$NH24&gt;0,IF($NH24=0,0,INDEX($AF$2:$AF$11,$NH24))=0),$MS24&amp;" não existe na Classe 0",""),IF($NW24=1,"Família Fechada: "&amp;$MV24,""),IF($NX24=1,"Família Fechada: "&amp;$MW24,""),IF($NY24=1,"Família Fechada: "&amp;$MX24,""),IF($NZ24=1,"Família Fechada: "&amp;$MY24,""),IF(AND($MQ24&gt;0,$OS24&gt;INDEX($O$2:$O$8,MAX(1,$MQ24))),$OS24&amp;" Melhorias: a Classe "&amp;$MQ24&amp;" aceita "&amp;INDEX($O$2:$O$8,MAX(1,$MQ24)),""),IF(AND($MQ24=0,$OS24&gt;1),"A básica aceita uma Melhoria",""),IF(AND($MQ24=0,COUNTIF($NM24:$NP24,"&gt;1")&gt;0),"A básica só aceita Melhoria Leve",""),IF(AND($MQ24&gt;0,$OT24&gt;2),$OT24&amp;" Restrições"&amp;IF($OD24=1,", contando a que a Forma "&amp;$MS24&amp;" já traz","")&amp;": o limite é 2",""),IF(AND($MQ24=0,COUNTIF($MZ24:$NA24,"?*")&gt;1),"A básica aceita uma Restrição Leve",""),IF(AND($MQ24=0,COUNTIF($OG24:$OH24,2)&gt;0),"A básica só aceita Restrição Leve",""),IF(AND($MQ24&gt;0,$PA24&lt;0),"Orçamento estourado: faltam "&amp;(-$PA24)&amp;IF($PA24&lt;-1," pontos"," ponto"),""),IF(IFERROR(VLOOKUP($MZ24,$BC$2:$BG$24,4,FALSE),0)+IFERROR(VLOOKUP($NA24,$BC$2:$BG$24,4,FALSE),0)&gt;1,$OI24&amp;" e "&amp;$OJ24&amp;" são as duas de frequência",""),IF(AND((COUNTIF($MV24:$MY24,"Rápido")+COUNTIF($OI24:$OJ24,"Rápido"))&gt;0,(COUNTIF($MV24:$MY24,"Atrasar")+COUNTIF($OI24:$OJ24,"Atrasar"))&gt;0),"Rápido não entra com Atrasar",""),IF(AND((COUNTIF($MV24:$MY24,"Reação")+COUNTIF($OI24:$OJ24,"Reação"))&gt;0,(COUNTIF($MV24:$MY24,"Rápido")+COUNTIF($OI24:$OJ24,"Rápido"))&gt;0),"Reação não entra com Rápido",""),IF(AND((COUNTIF($MV24:$MY24,"Reação")+COUNTIF($OI24:$OJ24,"Reação"))&gt;0,(COUNTIF($MV24:$MY24,"Armado")+COUNTIF($OI24:$OJ24,"Armado"))&gt;0),"Reação não entra com Armado",""),IF(AND((COUNTIF($MV24:$MY24,"Reação")+COUNTIF($OI24:$OJ24,"Reação"))&gt;0,(COUNTIF($MV24:$MY24,"Atrasar")+COUNTIF($OI24:$OJ24,"Atrasar"))&gt;0),"Reação não entra com Atrasar",""),IF(AND((COUNTIF($MV24:$MY24,"Reação")+COUNTIF($OI24:$OJ24,"Reação"))&gt;0,(COUNTIF($MV24:$MY24,"Parado")+COUNTIF($OI24:$OJ24,"Parado"))&gt;0),"Reação não entra com Parado",""),IF(AND((COUNTIF($MV24:$MY24,"Atrasar")+COUNTIF($OI24:$OJ24,"Atrasar"))&gt;0,(COUNTIF($MV24:$MY24,"Parado")+COUNTIF($OI24:$OJ24,"Parado"))&gt;0),"Atrasar não entra com Parado",""),IF(AND((COUNTIF($MV24:$MY24,"Armado")+COUNTIF($OI24:$OJ24,"Armado"))&gt;0,(COUNTIF($MV24:$MY24,"Carregar")+COUNTIF($OI24:$OJ24,"Carregar"))&gt;0),"Armado não entra com Carregar",""),IF(AND(COUNTIF($OI24:$OJ24,"Corpo a Corpo")&gt;0,$OD24=0,OR($MS24="Cone",$MS24="Linha")),"Corpo a Corpo não entra em "&amp;$MS24,""),IF(AND(COUNTIF($OI24:$OJ24,"Corpo a Corpo")&gt;0,$OD24=1),"A Forma "&amp;$MS24&amp;" já traz o Corpo a Corpo",""),IF(AND(COUNTIF($OI24:$OJ24,"Tudo ou Nada")&gt;0,$OF24=0),"Tudo ou Nada só entra em habilidade de Teste de Resistência",""),IF(AND(COUNTIF($MV24:$MY24,"Inescapável")&gt;0,OR($OS24&gt;1,$OT24&gt;0)),"Inescapável não aceita outra peça",""),IF(AND($MQ24&gt;0,$PB24*IF(COUNTIF($MV24:$MY24,"Remate")&gt;0,1.25,1)+$PC24&gt;4*$MQ24),($PB24*IF(COUNTIF($MV24:$MY24,"Remate")&gt;0,1.25,1)+$PC24)&amp;" dados somando repetições"&amp;IF(COUNTIF($MV24:$MY24,"Remate")&gt;0," e o Remate","")&amp;": o teto da Classe "&amp;$MQ24&amp;" é "&amp;4*$MQ24,"")))</f>
        <v/>
      </c>
      <c r="PS24" s="155">
        <f>IF($PR24="",0,(LEN($PR24)-LEN(SUBSTITUTE($PR24," · ","")))/3+1)</f>
        <v/>
      </c>
      <c r="PT24" s="155">
        <f>IF($NB24=0,"",TEXTJOIN(" · ",TRUE,IF($OV24&gt;2*$MQ24,"A devolução parou no teto de "&amp;2*$MQ24,""),IF($OY24&gt;0,"Devolução perdida: "&amp;$OY24&amp;IF($OY24&gt;1," pontos"," ponto")&amp;" sem peça para pagar",""),IF(AND($OA24&gt;0,AND($MQ24&gt;0,$OE24=0),$PB24=0),"Controle sem dano: uma rodada a mais e CD +2",""),IF(AND($OA24&gt;0,AND($MQ24&gt;0,$OE24=0),$PB24&gt;0,$PB24&lt;=$MQ24),"Controle com saldo até a Classe: uma rodada a mais",""),IF(AND($MQ24&gt;0,$OC24&lt;&gt;""),"Efeito de "&amp;$OC24&amp;" pela Classe "&amp;MAX(1,$MQ24-1),"")))</f>
        <v/>
      </c>
      <c r="PU24" s="155">
        <f>IF($PT24="",0,(LEN($PT24)-LEN(SUBSTITUTE($PT24," · ","")))/3+1)</f>
        <v/>
      </c>
      <c r="PV24" s="155">
        <f>IF($NB24=0,IF($OS24+COUNTIF($MZ24:$NA24,"?*")&gt;0,"Dê um nome",""),IF($PS24&gt;0,"⚠ "&amp;$PS24&amp;IF($PS24&gt;1," erros"," erro"),IF($PU24&gt;0,"! "&amp;$PU24&amp;IF($PU24&gt;1," avisos"," aviso"),"Na regra")))</f>
        <v/>
      </c>
      <c r="PW24" s="155">
        <f>IF($NB24=0,"",IF($PS24+$PU24=0,"Dentro das regras que a ficha confere",$PR24&amp;IF(AND($PS24&gt;0,$PU24&gt;0)," · ","")&amp;$PT24))</f>
        <v/>
      </c>
      <c r="PX24" s="155">
        <f>IF($MO24&gt;$NC24,$MP24&amp;" · ABRE NO NÍVEL "&amp;$MO24,$MP24)</f>
        <v/>
      </c>
      <c r="PY24" s="155">
        <f>IF($NB24=0,"",IF($MQ24=0,"Sem PE",3*$MQ24&amp;" PE"))</f>
        <v/>
      </c>
      <c r="PZ24" s="155">
        <f>IF($NB24=0,"",IF($MQ24=0,"A atuação básica dela",IF(COUNTIF($OI24:$OJ24,"Atrasar")&gt;0,"Sua Ação Completa",IF(COUNTIF($MV24:$MY24,"Rápido")&gt;0,"Sua Bônus",IF(COUNTIF($MV24:$MY24,"Reação")&gt;0,"Sua Reação","Sua Padrão")))&amp;" + a básica dela"&amp;IF(COUNTIF($MV24:$MY24,"Reação")&gt;0," e a coletiva","")&amp;IF(COUNTIF($OI24:$OJ24,"Carregar")&gt;0," · em dois turnos","")))</f>
        <v/>
      </c>
      <c r="QA24" s="155">
        <f>IF($MU24&lt;&gt;"",$MU24,IF($NH24=0,"",INDEX($AA$2:$AA$11,$NH24)))</f>
        <v/>
      </c>
      <c r="QB24" s="155">
        <f>IF(OR($NB24=0,$NH24=0),"",IF(COUNTIF($MV24:$MY24,"Inescapável")&gt;0,"Automático",IF($QA24="Ataque",IF($NF24="","Ataque","Ataque "&amp;IF(($NF24+2*IF(COUNTIF($MV24:$MY24,"Precisão")&gt;0,1,0))&gt;=0,"+","−")&amp;ABS(($NF24+2*IF(COUNTIF($MV24:$MY24,"Precisão")&gt;0,1,0))))&amp;IF($OB24&gt;0," · TR"&amp;IF($NG24="",""," CD "&amp;$NG24),""),IF(LEFT($QA24,2)="TR",$QA24&amp;IF($NG24="",""," · CD "&amp;$NG24)&amp;IF(COUNTIF($MV24:$MY24,"Certeiro")&gt;0," · metade",""),"Sem rolagem"))))</f>
        <v/>
      </c>
      <c r="QC24" s="155">
        <f>IF(OR($NB24=0,$NH24=0),"",IF($MQ24=0,IF(OR($OE24&gt;=1,$PB24=0),"Sem dano",$PB24&amp;"d6"&amp;IF($MT24="",""," "&amp;$MT24)),IF(OR($OE24&gt;=1,$PB24=0),UPPER(LEFT(INDEX($PK24:$PQ24,1,MAX(1,$MQ24)),1))&amp;MID(INDEX($PK24:$PQ24,1,MAX(1,$MQ24)),2,99),UPPER(LEFT(INDEX($PK24:$PQ24,1,MAX(1,$MQ24)),1))&amp;MID(INDEX($PK24:$PQ24,1,MAX(1,$MQ24)),2,99)&amp;IF($MT24="",""," "&amp;$MT24)&amp;IF($PC24&gt;0," · +"&amp;$PC24&amp;"d8",""))))</f>
        <v/>
      </c>
      <c r="QD24" s="155">
        <f>COUNTIF($MV24:$MY24,"Longe")+3*COUNTIF($MV24:$MY24,"Muito Longe")</f>
        <v/>
      </c>
      <c r="QE24" s="155">
        <f>COUNTIF($MV24:$MY24,"Maior")+3*COUNTIF($MV24:$MY24,"Muito Maior")</f>
        <v/>
      </c>
      <c r="QF24" s="155">
        <f>IF($NH24=0,0,CHOOSE(1+INDEX($AC$2:$AC$11,$NH24),0,$QD24,$QE24,$QD24+$QE24))</f>
        <v/>
      </c>
      <c r="QG24" s="155">
        <f>IF($NH24=0,0,CHOOSE(1+INDEX($AD$2:$AD$11,$NH24),0,$QD24,$QE24,$QD24+$QE24))</f>
        <v/>
      </c>
      <c r="QH24" s="155">
        <f>IF(OR($NB24=0,$NH24=0),"",INDEX($AI$2:$AN$41,($NH24-1)*4+IF($MQ24=0,1,IF($MQ24&lt;=5,2,IF($MQ24=6,3,4))),1+MIN(5,$QF24))&amp;INDEX($AO$2:$AT$41,($NH24-1)*4+IF($MQ24=0,1,IF($MQ24&lt;=5,2,IF($MQ24=6,3,4))),1+MIN(5,$QG24))&amp;IF(INDEX($AE$2:$AE$11,$NH24)=1,IF(COUNTIF($MV24:$MY24,"Mais Um")&gt;0," · +"&amp;COUNTIF($MV24:$MY24,"Mais Um")&amp;IF(COUNTIF($MV24:$MY24,"Mais Um")&gt;1," alvos"," alvo"),"")&amp;IF(COUNTIF($MV24:$MY24,"Rajada")&gt;0,IF($MQ24=0," · 1 tiro"," · "&amp;(MAX(1,$MQ24-1)+1)&amp;" tiros"),""),""))</f>
        <v/>
      </c>
      <c r="QI24" s="155">
        <f>IF($NB24=0,"",IF($MQ24=0,$NE24&amp;"d6"&amp;IF($OS24&gt;0," − 1 = "&amp;$PB24&amp;"d6"," da básica do nível "&amp;$NC24),$OZ24&amp;" − "&amp;$OU24&amp;" + "&amp;$OX24&amp;" = "&amp;$PA24&amp;" · teto "&amp;4*$MQ24&amp;"d8"&amp;IF($OD24=1," · a Forma devolve "&amp;$MQ24,"")&amp;IF($OY24&gt;0," · perde "&amp;$OY24,"")))</f>
        <v/>
      </c>
      <c r="QJ24" s="155">
        <f>IF($NB24=0,"",IF($MQ24=0,"A básica não amplia: os dados dela sobem com o nível",IF($MQ24&gt;=$ND24,"Já está na maior Classe que o nível liberou",TEXTJOIN(" · ",TRUE,IF(AND(2&gt;$MQ24,2&lt;=$ND24),"2 → "&amp;$PL24&amp;", 6 PE",""),IF(AND(3&gt;$MQ24,3&lt;=$ND24),"3 → "&amp;$PM24&amp;", 9 PE",""),IF(AND(4&gt;$MQ24,4&lt;=$ND24),"4 → "&amp;$PN24&amp;", 12 PE",""),IF(AND(5&gt;$MQ24,5&lt;=$ND24),"5 → "&amp;$PO24&amp;", 15 PE",""),IF(AND(6&gt;$MQ24,6&lt;=$ND24),"6 → "&amp;$PP24&amp;", 18 PE",""),IF(AND(7&gt;$MQ24,7&lt;=$ND24),"7 → "&amp;$PQ24&amp;", 21 PE","")))))</f>
        <v/>
      </c>
      <c r="QK24" s="155">
        <f>IF(OR($NB24=0,$NM24=0),"",IF($MQ24=0,"−1 dado","−"&amp;INDEX($I$2:$N$8,MAX(1,$MQ24),MAX(1,$NR24))&amp;" · "&amp;CHOOSE(MAX(1,$NR24),"Leve","Média","Pesada","Leve · Livre","Média · Livre","Pesada · Livre")))</f>
        <v/>
      </c>
      <c r="QL24" s="155">
        <f>IF(OR($NB24=0,$NN24=0),"",IF($MQ24=0,"−1 dado","−"&amp;INDEX($I$2:$N$8,MAX(1,$MQ24),MAX(1,$NS24))&amp;" · "&amp;CHOOSE(MAX(1,$NS24),"Leve","Média","Pesada","Leve · Livre","Média · Livre","Pesada · Livre")))</f>
        <v/>
      </c>
      <c r="QM24" s="155">
        <f>IF(OR($NB24=0,$NO24=0),"",IF($MQ24=0,"−1 dado","−"&amp;INDEX($I$2:$N$8,MAX(1,$MQ24),MAX(1,$NT24))&amp;" · "&amp;CHOOSE(MAX(1,$NT24),"Leve","Média","Pesada","Leve · Livre","Média · Livre","Pesada · Livre")))</f>
        <v/>
      </c>
      <c r="QN24" s="155">
        <f>IF(OR($NB24=0,$NP24=0),"",IF($MQ24=0,"−1 dado","−"&amp;INDEX($I$2:$N$8,MAX(1,$MQ24),MAX(1,$NU24))&amp;" · "&amp;CHOOSE(MAX(1,$NU24),"Leve","Média","Pesada","Leve · Livre","Média · Livre","Pesada · Livre")))</f>
        <v/>
      </c>
      <c r="QO24" s="155">
        <f>IF(OR($NB24=0,$MZ24=""),"",IF($MQ24=0,"não devolve","+"&amp;IF($OG24=1,CEILING($MQ24/2,1),$MQ24)))</f>
        <v/>
      </c>
      <c r="QP24" s="155">
        <f>IF(OR($NB24=0,$NA24=""),"",IF($MQ24=0,"não devolve","+"&amp;IF($OH24=1,CEILING($MQ24/2,1),$MQ24)))</f>
        <v/>
      </c>
    </row>
    <row r="25">
      <c r="AH25" s="153" t="inlineStr">
        <is>
          <t>Linha · classe 7</t>
        </is>
      </c>
      <c r="AI25" s="153" t="inlineStr">
        <is>
          <t>Linha de 30 m por 1,5 m</t>
        </is>
      </c>
      <c r="AJ25" s="153" t="inlineStr">
        <is>
          <t>Linha de 60 m por 1,5 m</t>
        </is>
      </c>
      <c r="AK25" s="153" t="inlineStr">
        <is>
          <t>Linha de 60 m por 1,5 m</t>
        </is>
      </c>
      <c r="AL25" s="153" t="inlineStr">
        <is>
          <t>Linha de 60 m por 1,5 m</t>
        </is>
      </c>
      <c r="AM25" s="153" t="inlineStr">
        <is>
          <t>Linha de 60 m por 1,5 m</t>
        </is>
      </c>
      <c r="AN25" s="153" t="inlineStr">
        <is>
          <t>Linha de 60 m por 1,5 m</t>
        </is>
      </c>
      <c r="AO25" s="153" t="inlineStr"/>
      <c r="AP25" s="153" t="inlineStr"/>
      <c r="AQ25" s="153" t="inlineStr"/>
      <c r="AR25" s="153" t="inlineStr"/>
      <c r="AS25" s="153" t="inlineStr"/>
      <c r="AT25" s="153" t="inlineStr"/>
      <c r="AV25" s="153" t="inlineStr">
        <is>
          <t>Lento</t>
        </is>
      </c>
      <c r="AW25" s="153" t="inlineStr">
        <is>
          <t>Controle</t>
        </is>
      </c>
      <c r="AX25" s="155" t="n">
        <v>1</v>
      </c>
      <c r="AY25" s="155" t="n">
        <v>1</v>
      </c>
      <c r="AZ25" s="155" t="n">
        <v>0</v>
      </c>
      <c r="BA25" s="155" t="n">
        <v>1</v>
      </c>
      <c r="JR25" s="155">
        <f>IF(OR($AW25="",COUNTIF($EJ$2:$EN$2,$AW25)&gt;0),$AV25,"")</f>
        <v/>
      </c>
      <c r="JS25" s="155">
        <f>IF(AND($AX25=1,OR($AW25="",COUNTIF($EJ$2:$EN$2,$AW25)&gt;0)),$AV25,"")</f>
        <v/>
      </c>
      <c r="JX25" s="155">
        <f>IF(OR($AW25="",COUNTIF($EJ$3:$EN$3,$AW25)&gt;0),$AV25,"")</f>
        <v/>
      </c>
      <c r="JY25" s="155">
        <f>IF(AND($AX25=1,OR($AW25="",COUNTIF($EJ$3:$EN$3,$AW25)&gt;0)),$AV25,"")</f>
        <v/>
      </c>
      <c r="KD25" s="155">
        <f>IF(OR($AW25="",COUNTIF($EJ$4:$EN$4,$AW25)&gt;0),$AV25,"")</f>
        <v/>
      </c>
      <c r="KE25" s="155">
        <f>IF(AND($AX25=1,OR($AW25="",COUNTIF($EJ$4:$EN$4,$AW25)&gt;0)),$AV25,"")</f>
        <v/>
      </c>
      <c r="KJ25" s="155">
        <f>IF(OR($AW25="",COUNTIF($EJ$5:$EN$5,$AW25)&gt;0),$AV25,"")</f>
        <v/>
      </c>
      <c r="KK25" s="155">
        <f>IF(AND($AX25=1,OR($AW25="",COUNTIF($EJ$5:$EN$5,$AW25)&gt;0)),$AV25,"")</f>
        <v/>
      </c>
      <c r="KP25" s="155">
        <f>IF(OR($AW25="",COUNTIF($EJ$6:$EN$6,$AW25)&gt;0),$AV25,"")</f>
        <v/>
      </c>
      <c r="KQ25" s="155">
        <f>IF(AND($AX25=1,OR($AW25="",COUNTIF($EJ$6:$EN$6,$AW25)&gt;0)),$AV25,"")</f>
        <v/>
      </c>
      <c r="KV25" s="155">
        <f>IF(OR($AW25="",COUNTIF($EJ$7:$EN$7,$AW25)&gt;0),$AV25,"")</f>
        <v/>
      </c>
      <c r="KW25" s="155">
        <f>IF(AND($AX25=1,OR($AW25="",COUNTIF($EJ$7:$EN$7,$AW25)&gt;0)),$AV25,"")</f>
        <v/>
      </c>
      <c r="LB25" s="155">
        <f>IF(OR($AW25="",COUNTIF($EJ$8:$EN$8,$AW25)&gt;0),$AV25,"")</f>
        <v/>
      </c>
      <c r="LC25" s="155">
        <f>IF(AND($AX25=1,OR($AW25="",COUNTIF($EJ$8:$EN$8,$AW25)&gt;0)),$AV25,"")</f>
        <v/>
      </c>
      <c r="LH25" s="155">
        <f>IF(OR($AW25="",COUNTIF($EJ$9:$EN$9,$AW25)&gt;0),$AV25,"")</f>
        <v/>
      </c>
      <c r="LI25" s="155">
        <f>IF(AND($AX25=1,OR($AW25="",COUNTIF($EJ$9:$EN$9,$AW25)&gt;0)),$AV25,"")</f>
        <v/>
      </c>
      <c r="LN25" s="155">
        <f>IF(OR($AW25="",COUNTIF($EJ$10:$EN$10,$AW25)&gt;0),$AV25,"")</f>
        <v/>
      </c>
      <c r="LO25" s="155">
        <f>IF(AND($AX25=1,OR($AW25="",COUNTIF($EJ$10:$EN$10,$AW25)&gt;0)),$AV25,"")</f>
        <v/>
      </c>
      <c r="LT25" s="155">
        <f>IF(OR($AW25="",COUNTIF($EJ$11:$EN$11,$AW25)&gt;0),$AV25,"")</f>
        <v/>
      </c>
      <c r="LU25" s="155">
        <f>IF(AND($AX25=1,OR($AW25="",COUNTIF($EJ$11:$EN$11,$AW25)&gt;0)),$AV25,"")</f>
        <v/>
      </c>
      <c r="LZ25" s="155">
        <f>IF(OR($AW25="",COUNTIF($EJ$12:$EN$12,$AW25)&gt;0),$AV25,"")</f>
        <v/>
      </c>
      <c r="MA25" s="155">
        <f>IF(AND($AX25=1,OR($AW25="",COUNTIF($EJ$12:$EN$12,$AW25)&gt;0)),$AV25,"")</f>
        <v/>
      </c>
      <c r="MF25" s="155">
        <f>IF(OR($AW25="",COUNTIF($EJ$13:$EN$13,$AW25)&gt;0),$AV25,"")</f>
        <v/>
      </c>
      <c r="MG25" s="155">
        <f>IF(AND($AX25=1,OR($AW25="",COUNTIF($EJ$13:$EN$13,$AW25)&gt;0)),$AV25,"")</f>
        <v/>
      </c>
      <c r="ML25" s="153" t="inlineStr">
        <is>
          <t>Ficha 2 · Escolha da trilha 1</t>
        </is>
      </c>
      <c r="MM25" s="155" t="n">
        <v>2</v>
      </c>
      <c r="MN25" s="155" t="n">
        <v>2</v>
      </c>
      <c r="MO25" s="155" t="n">
        <v>0</v>
      </c>
      <c r="MP25" s="153" t="inlineStr">
        <is>
          <t>ESCOLHA DA TRILHA 1</t>
        </is>
      </c>
      <c r="MQ25" s="155">
        <f>MAX(0,MIN(7,N('INVOCAÇÕES'!$I$358)))</f>
        <v/>
      </c>
      <c r="MR25" s="155">
        <f>'INVOCAÇÕES'!$J$358&amp;""</f>
        <v/>
      </c>
      <c r="MS25" s="155">
        <f>'INVOCAÇÕES'!$I$363&amp;""</f>
        <v/>
      </c>
      <c r="MT25" s="155">
        <f>'INVOCAÇÕES'!$I$364&amp;""</f>
        <v/>
      </c>
      <c r="MU25" s="155">
        <f>'INVOCAÇÕES'!$K$364&amp;""</f>
        <v/>
      </c>
      <c r="MV25" s="155">
        <f>'INVOCAÇÕES'!$J$367&amp;""</f>
        <v/>
      </c>
      <c r="MW25" s="155">
        <f>'INVOCAÇÕES'!$J$368&amp;""</f>
        <v/>
      </c>
      <c r="MX25" s="155">
        <f>'INVOCAÇÕES'!$J$369&amp;""</f>
        <v/>
      </c>
      <c r="MY25" s="155">
        <f>'INVOCAÇÕES'!$J$370&amp;""</f>
        <v/>
      </c>
      <c r="MZ25" s="155">
        <f>'INVOCAÇÕES'!$J$371&amp;""</f>
        <v/>
      </c>
      <c r="NA25" s="155">
        <f>'INVOCAÇÕES'!$J$372&amp;""</f>
        <v/>
      </c>
      <c r="NB25" s="155">
        <f>IF($MR25&lt;&gt;"",1,0)</f>
        <v/>
      </c>
      <c r="NC25" s="155">
        <f>INDEX($FM$2:$FM$13,$MM25)</f>
        <v/>
      </c>
      <c r="ND25" s="155">
        <f>INDEX($FN$2:$FN$13,$MM25)</f>
        <v/>
      </c>
      <c r="NE25" s="155">
        <f>INDEX($FO$2:$FO$13,$MM25)</f>
        <v/>
      </c>
      <c r="NF25" s="155">
        <f>INDEX($FZ$2:$FZ$13,$MM25)</f>
        <v/>
      </c>
      <c r="NG25" s="155">
        <f>INDEX($GA$2:$GA$13,$MM25)</f>
        <v/>
      </c>
      <c r="NH25" s="155">
        <f>IFERROR(MATCH($MS25,$V$2:$V$11,0),0)</f>
        <v/>
      </c>
      <c r="NI25" s="155">
        <f>IFERROR(VLOOKUP($MV25,$AV$2:$BA$84,2,FALSE),"")</f>
        <v/>
      </c>
      <c r="NJ25" s="155">
        <f>IFERROR(VLOOKUP($MW25,$AV$2:$BA$84,2,FALSE),"")</f>
        <v/>
      </c>
      <c r="NK25" s="155">
        <f>IFERROR(VLOOKUP($MX25,$AV$2:$BA$84,2,FALSE),"")</f>
        <v/>
      </c>
      <c r="NL25" s="155">
        <f>IFERROR(VLOOKUP($MY25,$AV$2:$BA$84,2,FALSE),"")</f>
        <v/>
      </c>
      <c r="NM25" s="155">
        <f>IFERROR(VLOOKUP($MV25,$AV$2:$BA$84,3,FALSE),0)</f>
        <v/>
      </c>
      <c r="NN25" s="155">
        <f>IFERROR(VLOOKUP($MW25,$AV$2:$BA$84,3,FALSE),0)</f>
        <v/>
      </c>
      <c r="NO25" s="155">
        <f>IFERROR(VLOOKUP($MX25,$AV$2:$BA$84,3,FALSE),0)</f>
        <v/>
      </c>
      <c r="NP25" s="155">
        <f>IFERROR(VLOOKUP($MY25,$AV$2:$BA$84,3,FALSE),0)</f>
        <v/>
      </c>
      <c r="NQ25" s="155">
        <f>IF($MQ25=0,0,IF($NH25=0,0,INDEX($X$2:$X$11,$NH25)))</f>
        <v/>
      </c>
      <c r="NR25" s="155">
        <f>IF(OR($NM25=0,$MQ25=0),0,$NM25+3*IF(AND($NI25&lt;&gt;"",OR($NI25=INDEX($EJ$2:$EJ$13,$MM25),$NI25=INDEX($EK$2:$EK$13,$MM25))),1,0))</f>
        <v/>
      </c>
      <c r="NS25" s="155">
        <f>IF(OR($NN25=0,$MQ25=0),0,$NN25+3*IF(AND($NJ25&lt;&gt;"",OR($NJ25=INDEX($EJ$2:$EJ$13,$MM25),$NJ25=INDEX($EK$2:$EK$13,$MM25))),1,0))</f>
        <v/>
      </c>
      <c r="NT25" s="155">
        <f>IF(OR($NO25=0,$MQ25=0),0,$NO25+3*IF(AND($NK25&lt;&gt;"",OR($NK25=INDEX($EJ$2:$EJ$13,$MM25),$NK25=INDEX($EK$2:$EK$13,$MM25))),1,0))</f>
        <v/>
      </c>
      <c r="NU25" s="155">
        <f>IF(OR($NP25=0,$MQ25=0),0,$NP25+3*IF(AND($NL25&lt;&gt;"",OR($NL25=INDEX($EJ$2:$EJ$13,$MM25),$NL25=INDEX($EK$2:$EK$13,$MM25))),1,0))</f>
        <v/>
      </c>
      <c r="NV25" s="155">
        <f>IF($NH25=0,0,IF(INDEX($W$2:$W$11,$NH25)="",0,IF(COUNTIF(INDEX($EJ$2:$EN$13,$MM25,0),INDEX($W$2:$W$11,$NH25))=0,1,0)))</f>
        <v/>
      </c>
      <c r="NW25" s="155">
        <f>IF(OR($NM25=0,$NI25=""),0,IF(COUNTIF(INDEX($EJ$2:$EN$13,$MM25,0),$NI25)=0,1,0))</f>
        <v/>
      </c>
      <c r="NX25" s="155">
        <f>IF(OR($NN25=0,$NJ25=""),0,IF(COUNTIF(INDEX($EJ$2:$EN$13,$MM25,0),$NJ25)=0,1,0))</f>
        <v/>
      </c>
      <c r="NY25" s="155">
        <f>IF(OR($NO25=0,$NK25=""),0,IF(COUNTIF(INDEX($EJ$2:$EN$13,$MM25,0),$NK25)=0,1,0))</f>
        <v/>
      </c>
      <c r="NZ25" s="155">
        <f>IF(OR($NP25=0,$NL25=""),0,IF(COUNTIF(INDEX($EJ$2:$EN$13,$MM25,0),$NL25)=0,1,0))</f>
        <v/>
      </c>
      <c r="OA25" s="155">
        <f>IFERROR(VLOOKUP($MV25,$AV$2:$BA$84,4,FALSE),0)+IFERROR(VLOOKUP($MW25,$AV$2:$BA$84,4,FALSE),0)+IFERROR(VLOOKUP($MX25,$AV$2:$BA$84,4,FALSE),0)+IFERROR(VLOOKUP($MY25,$AV$2:$BA$84,4,FALSE),0)</f>
        <v/>
      </c>
      <c r="OB25" s="155">
        <f>IFERROR(VLOOKUP($MV25,$AV$2:$BA$84,6,FALSE),0)+IFERROR(VLOOKUP($MW25,$AV$2:$BA$84,6,FALSE),0)+IFERROR(VLOOKUP($MX25,$AV$2:$BA$84,6,FALSE),0)+IFERROR(VLOOKUP($MY25,$AV$2:$BA$84,6,FALSE),0)</f>
        <v/>
      </c>
      <c r="OC25" s="155">
        <f>TEXTJOIN(", ",TRUE,IF(IFERROR(VLOOKUP($MV25,$AV$2:$BA$84,5,FALSE),0)=1,$MV25,""),IF(IFERROR(VLOOKUP($MW25,$AV$2:$BA$84,5,FALSE),0)=1,$MW25,""),IF(IFERROR(VLOOKUP($MX25,$AV$2:$BA$84,5,FALSE),0)=1,$MX25,""),IF(IFERROR(VLOOKUP($MY25,$AV$2:$BA$84,5,FALSE),0)=1,$MY25,""))</f>
        <v/>
      </c>
      <c r="OD25" s="155">
        <f>IF($NH25=0,0,INDEX($Y$2:$Y$11,$NH25))</f>
        <v/>
      </c>
      <c r="OE25" s="155">
        <f>IF($NH25=0,0,INDEX($Z$2:$Z$11,$NH25))</f>
        <v/>
      </c>
      <c r="OF25" s="155">
        <f>IF($NH25=0,0,INDEX($AB$2:$AB$11,$NH25))</f>
        <v/>
      </c>
      <c r="OG25" s="155">
        <f>IFERROR(VLOOKUP($MZ25,$BC$2:$BG$24,3,FALSE),0)</f>
        <v/>
      </c>
      <c r="OH25" s="155">
        <f>IFERROR(VLOOKUP($NA25,$BC$2:$BG$24,3,FALSE),0)</f>
        <v/>
      </c>
      <c r="OI25" s="155">
        <f>IFERROR(VLOOKUP($MZ25,$BC$2:$BG$24,2,FALSE),"")</f>
        <v/>
      </c>
      <c r="OJ25" s="155">
        <f>IFERROR(VLOOKUP($NA25,$BC$2:$BG$24,2,FALSE),"")</f>
        <v/>
      </c>
      <c r="OK25" s="155">
        <f>COUNTIF($NQ25:$NU25,1)</f>
        <v/>
      </c>
      <c r="OL25" s="155">
        <f>COUNTIF($NQ25:$NU25,2)</f>
        <v/>
      </c>
      <c r="OM25" s="155">
        <f>COUNTIF($NQ25:$NU25,3)</f>
        <v/>
      </c>
      <c r="ON25" s="155">
        <f>COUNTIF($NQ25:$NU25,4)</f>
        <v/>
      </c>
      <c r="OO25" s="155">
        <f>COUNTIF($NQ25:$NU25,5)</f>
        <v/>
      </c>
      <c r="OP25" s="155">
        <f>COUNTIF($NQ25:$NU25,6)</f>
        <v/>
      </c>
      <c r="OQ25" s="155">
        <f>COUNTIF($OG25:$OH25,1)</f>
        <v/>
      </c>
      <c r="OR25" s="155">
        <f>COUNTIF($OG25:$OH25,2)+$OD25</f>
        <v/>
      </c>
      <c r="OS25" s="155">
        <f>COUNTIF($MV25:$MY25,"?*")</f>
        <v/>
      </c>
      <c r="OT25" s="155">
        <f>COUNTIF($MZ25:$NA25,"?*")+$OD25</f>
        <v/>
      </c>
      <c r="OU25" s="155">
        <f>IF($MQ25=0,0,SUMPRODUCT($OK25:$OP25,INDEX($I$2:$N$8,MAX(1,$MQ25),0)))</f>
        <v/>
      </c>
      <c r="OV25" s="155">
        <f>IF($MQ25=0,0,$OQ25*CEILING($MQ25/2,1)+$OR25*$MQ25)</f>
        <v/>
      </c>
      <c r="OW25" s="155">
        <f>MIN(2*$MQ25,$OV25)</f>
        <v/>
      </c>
      <c r="OX25" s="155">
        <f>MIN($OW25,$OU25)</f>
        <v/>
      </c>
      <c r="OY25" s="155">
        <f>$OW25-$OX25</f>
        <v/>
      </c>
      <c r="OZ25" s="155">
        <f>IF($MQ25=0,0,INDEX($P$2:$P$8,MAX(1,$MQ25)))</f>
        <v/>
      </c>
      <c r="PA25" s="155">
        <f>$OZ25-$OU25+$OX25</f>
        <v/>
      </c>
      <c r="PB25" s="155">
        <f>IF($MQ25=0,MAX(0,$NE25-IF($OS25&gt;0,1,0)),MAX(0,$PA25))</f>
        <v/>
      </c>
      <c r="PC25" s="155">
        <f>IF($MQ25=0,0,(IF(COUNTIF($MV25:$MY25,"Salto")&gt;0,1,0)+IF(COUNTIF($MV25:$MY25,"Queima")&gt;0,1,0)+IF(COUNTIF($MV25:$MY25,"Estilhaço")&gt;0,1,0))*FLOOR($PB25/2,1))</f>
        <v/>
      </c>
      <c r="PD25" s="155">
        <f>MAX(0,2-SUMPRODUCT($OK25:$OP25,$I$2:$N$2)+MIN(2,$OQ25*1+$OR25*1,SUMPRODUCT($OK25:$OP25,$I$2:$N$2)))</f>
        <v/>
      </c>
      <c r="PE25" s="155">
        <f>MAX(0,4-SUMPRODUCT($OK25:$OP25,$I$3:$N$3)+MIN(4,$OQ25*1+$OR25*2,SUMPRODUCT($OK25:$OP25,$I$3:$N$3)))</f>
        <v/>
      </c>
      <c r="PF25" s="155">
        <f>MAX(0,6-SUMPRODUCT($OK25:$OP25,$I$4:$N$4)+MIN(6,$OQ25*2+$OR25*3,SUMPRODUCT($OK25:$OP25,$I$4:$N$4)))</f>
        <v/>
      </c>
      <c r="PG25" s="155">
        <f>MAX(0,9-SUMPRODUCT($OK25:$OP25,$I$5:$N$5)+MIN(8,$OQ25*2+$OR25*4,SUMPRODUCT($OK25:$OP25,$I$5:$N$5)))</f>
        <v/>
      </c>
      <c r="PH25" s="155">
        <f>MAX(0,11-SUMPRODUCT($OK25:$OP25,$I$6:$N$6)+MIN(10,$OQ25*3+$OR25*5,SUMPRODUCT($OK25:$OP25,$I$6:$N$6)))</f>
        <v/>
      </c>
      <c r="PI25" s="155">
        <f>MAX(0,13-SUMPRODUCT($OK25:$OP25,$I$7:$N$7)+MIN(12,$OQ25*3+$OR25*6,SUMPRODUCT($OK25:$OP25,$I$7:$N$7)))</f>
        <v/>
      </c>
      <c r="PJ25" s="155">
        <f>MAX(0,16-SUMPRODUCT($OK25:$OP25,$I$8:$N$8)+MIN(14,$OQ25*4+$OR25*7,SUMPRODUCT($OK25:$OP25,$I$8:$N$8)))</f>
        <v/>
      </c>
      <c r="PK25" s="155">
        <f>IF($OE25=2,3*$PD25&amp;" de vida temp.",IF($OE25=3,"sem dano",IF($PD25=0,IF($OE25=1,"sem cura","sem dano"),IF($OE25=1,"cura ","")&amp;$PD25&amp;"d8")))</f>
        <v/>
      </c>
      <c r="PL25" s="155">
        <f>IF($OE25=2,3*$PE25&amp;" de vida temp.",IF($OE25=3,"sem dano",IF($PE25=0,IF($OE25=1,"sem cura","sem dano"),IF($OE25=1,"cura ","")&amp;$PE25&amp;"d8")))</f>
        <v/>
      </c>
      <c r="PM25" s="155">
        <f>IF($OE25=2,3*$PF25&amp;" de vida temp.",IF($OE25=3,"sem dano",IF($PF25=0,IF($OE25=1,"sem cura","sem dano"),IF($OE25=1,"cura ","")&amp;$PF25&amp;"d8")))</f>
        <v/>
      </c>
      <c r="PN25" s="155">
        <f>IF($OE25=2,3*$PG25&amp;" de vida temp.",IF($OE25=3,"sem dano",IF($PG25=0,IF($OE25=1,"sem cura","sem dano"),IF($OE25=1,"cura ","")&amp;$PG25&amp;"d8")))</f>
        <v/>
      </c>
      <c r="PO25" s="155">
        <f>IF($OE25=2,3*$PH25&amp;" de vida temp.",IF($OE25=3,"sem dano",IF($PH25=0,IF($OE25=1,"sem cura","sem dano"),IF($OE25=1,"cura ","")&amp;$PH25&amp;"d8")))</f>
        <v/>
      </c>
      <c r="PP25" s="155">
        <f>IF($OE25=2,3*$PI25&amp;" de vida temp.",IF($OE25=3,"sem dano",IF($PI25=0,IF($OE25=1,"sem cura","sem dano"),IF($OE25=1,"cura ","")&amp;$PI25&amp;"d8")))</f>
        <v/>
      </c>
      <c r="PQ25" s="155">
        <f>IF($OE25=2,3*$PJ25&amp;" de vida temp.",IF($OE25=3,"sem dano",IF($PJ25=0,IF($OE25=1,"sem cura","sem dano"),IF($OE25=1,"cura ","")&amp;$PJ25&amp;"d8")))</f>
        <v/>
      </c>
      <c r="PR25" s="155">
        <f>IF($NB25=0,"",TEXTJOIN(" · ",TRUE,IF($MO25&gt;$NC25,"Este lugar abre no nível "&amp;$MO25,""),IF($MQ25&gt;$ND25,"Classe "&amp;$MQ25&amp;": o nível "&amp;$NC25&amp;" libera até a "&amp;$ND25,""),IF($NV25=1,"A Forma "&amp;$MS25&amp;" pede "&amp;INDEX($W$2:$W$11,$NH25)&amp;" aberta",""),IF(AND($MQ25=0,$NH25&gt;0,IF($NH25=0,0,INDEX($AF$2:$AF$11,$NH25))=0),$MS25&amp;" não existe na Classe 0",""),IF($NW25=1,"Família Fechada: "&amp;$MV25,""),IF($NX25=1,"Família Fechada: "&amp;$MW25,""),IF($NY25=1,"Família Fechada: "&amp;$MX25,""),IF($NZ25=1,"Família Fechada: "&amp;$MY25,""),IF(AND($MQ25&gt;0,$OS25&gt;INDEX($O$2:$O$8,MAX(1,$MQ25))),$OS25&amp;" Melhorias: a Classe "&amp;$MQ25&amp;" aceita "&amp;INDEX($O$2:$O$8,MAX(1,$MQ25)),""),IF(AND($MQ25=0,$OS25&gt;1),"A básica aceita uma Melhoria",""),IF(AND($MQ25=0,COUNTIF($NM25:$NP25,"&gt;1")&gt;0),"A básica só aceita Melhoria Leve",""),IF(AND($MQ25&gt;0,$OT25&gt;2),$OT25&amp;" Restrições"&amp;IF($OD25=1,", contando a que a Forma "&amp;$MS25&amp;" já traz","")&amp;": o limite é 2",""),IF(AND($MQ25=0,COUNTIF($MZ25:$NA25,"?*")&gt;1),"A básica aceita uma Restrição Leve",""),IF(AND($MQ25=0,COUNTIF($OG25:$OH25,2)&gt;0),"A básica só aceita Restrição Leve",""),IF(AND($MQ25&gt;0,$PA25&lt;0),"Orçamento estourado: faltam "&amp;(-$PA25)&amp;IF($PA25&lt;-1," pontos"," ponto"),""),IF(IFERROR(VLOOKUP($MZ25,$BC$2:$BG$24,4,FALSE),0)+IFERROR(VLOOKUP($NA25,$BC$2:$BG$24,4,FALSE),0)&gt;1,$OI25&amp;" e "&amp;$OJ25&amp;" são as duas de frequência",""),IF(AND((COUNTIF($MV25:$MY25,"Rápido")+COUNTIF($OI25:$OJ25,"Rápido"))&gt;0,(COUNTIF($MV25:$MY25,"Atrasar")+COUNTIF($OI25:$OJ25,"Atrasar"))&gt;0),"Rápido não entra com Atrasar",""),IF(AND((COUNTIF($MV25:$MY25,"Reação")+COUNTIF($OI25:$OJ25,"Reação"))&gt;0,(COUNTIF($MV25:$MY25,"Rápido")+COUNTIF($OI25:$OJ25,"Rápido"))&gt;0),"Reação não entra com Rápido",""),IF(AND((COUNTIF($MV25:$MY25,"Reação")+COUNTIF($OI25:$OJ25,"Reação"))&gt;0,(COUNTIF($MV25:$MY25,"Armado")+COUNTIF($OI25:$OJ25,"Armado"))&gt;0),"Reação não entra com Armado",""),IF(AND((COUNTIF($MV25:$MY25,"Reação")+COUNTIF($OI25:$OJ25,"Reação"))&gt;0,(COUNTIF($MV25:$MY25,"Atrasar")+COUNTIF($OI25:$OJ25,"Atrasar"))&gt;0),"Reação não entra com Atrasar",""),IF(AND((COUNTIF($MV25:$MY25,"Reação")+COUNTIF($OI25:$OJ25,"Reação"))&gt;0,(COUNTIF($MV25:$MY25,"Parado")+COUNTIF($OI25:$OJ25,"Parado"))&gt;0),"Reação não entra com Parado",""),IF(AND((COUNTIF($MV25:$MY25,"Atrasar")+COUNTIF($OI25:$OJ25,"Atrasar"))&gt;0,(COUNTIF($MV25:$MY25,"Parado")+COUNTIF($OI25:$OJ25,"Parado"))&gt;0),"Atrasar não entra com Parado",""),IF(AND((COUNTIF($MV25:$MY25,"Armado")+COUNTIF($OI25:$OJ25,"Armado"))&gt;0,(COUNTIF($MV25:$MY25,"Carregar")+COUNTIF($OI25:$OJ25,"Carregar"))&gt;0),"Armado não entra com Carregar",""),IF(AND(COUNTIF($OI25:$OJ25,"Corpo a Corpo")&gt;0,$OD25=0,OR($MS25="Cone",$MS25="Linha")),"Corpo a Corpo não entra em "&amp;$MS25,""),IF(AND(COUNTIF($OI25:$OJ25,"Corpo a Corpo")&gt;0,$OD25=1),"A Forma "&amp;$MS25&amp;" já traz o Corpo a Corpo",""),IF(AND(COUNTIF($OI25:$OJ25,"Tudo ou Nada")&gt;0,$OF25=0),"Tudo ou Nada só entra em habilidade de Teste de Resistência",""),IF(AND(COUNTIF($MV25:$MY25,"Inescapável")&gt;0,OR($OS25&gt;1,$OT25&gt;0)),"Inescapável não aceita outra peça",""),IF(AND($MQ25&gt;0,$PB25*IF(COUNTIF($MV25:$MY25,"Remate")&gt;0,1.25,1)+$PC25&gt;4*$MQ25),($PB25*IF(COUNTIF($MV25:$MY25,"Remate")&gt;0,1.25,1)+$PC25)&amp;" dados somando repetições"&amp;IF(COUNTIF($MV25:$MY25,"Remate")&gt;0," e o Remate","")&amp;": o teto da Classe "&amp;$MQ25&amp;" é "&amp;4*$MQ25,"")))</f>
        <v/>
      </c>
      <c r="PS25" s="155">
        <f>IF($PR25="",0,(LEN($PR25)-LEN(SUBSTITUTE($PR25," · ","")))/3+1)</f>
        <v/>
      </c>
      <c r="PT25" s="155">
        <f>IF($NB25=0,"",TEXTJOIN(" · ",TRUE,IF($OV25&gt;2*$MQ25,"A devolução parou no teto de "&amp;2*$MQ25,""),IF($OY25&gt;0,"Devolução perdida: "&amp;$OY25&amp;IF($OY25&gt;1," pontos"," ponto")&amp;" sem peça para pagar",""),IF(AND($OA25&gt;0,AND($MQ25&gt;0,$OE25=0),$PB25=0),"Controle sem dano: uma rodada a mais e CD +2",""),IF(AND($OA25&gt;0,AND($MQ25&gt;0,$OE25=0),$PB25&gt;0,$PB25&lt;=$MQ25),"Controle com saldo até a Classe: uma rodada a mais",""),IF(AND($MQ25&gt;0,$OC25&lt;&gt;""),"Efeito de "&amp;$OC25&amp;" pela Classe "&amp;MAX(1,$MQ25-1),"")))</f>
        <v/>
      </c>
      <c r="PU25" s="155">
        <f>IF($PT25="",0,(LEN($PT25)-LEN(SUBSTITUTE($PT25," · ","")))/3+1)</f>
        <v/>
      </c>
      <c r="PV25" s="155">
        <f>IF($NB25=0,IF($OS25+COUNTIF($MZ25:$NA25,"?*")&gt;0,"Dê um nome",""),IF($PS25&gt;0,"⚠ "&amp;$PS25&amp;IF($PS25&gt;1," erros"," erro"),IF($PU25&gt;0,"! "&amp;$PU25&amp;IF($PU25&gt;1," avisos"," aviso"),"Na regra")))</f>
        <v/>
      </c>
      <c r="PW25" s="155">
        <f>IF($NB25=0,"",IF($PS25+$PU25=0,"Dentro das regras que a ficha confere",$PR25&amp;IF(AND($PS25&gt;0,$PU25&gt;0)," · ","")&amp;$PT25))</f>
        <v/>
      </c>
      <c r="PX25" s="155">
        <f>IF($MO25&gt;$NC25,$MP25&amp;" · ABRE NO NÍVEL "&amp;$MO25,$MP25)</f>
        <v/>
      </c>
      <c r="PY25" s="155">
        <f>IF($NB25=0,"",IF($MQ25=0,"Sem PE",3*$MQ25&amp;" PE"))</f>
        <v/>
      </c>
      <c r="PZ25" s="155">
        <f>IF($NB25=0,"",IF($MQ25=0,"A atuação básica dela",IF(COUNTIF($OI25:$OJ25,"Atrasar")&gt;0,"Sua Ação Completa",IF(COUNTIF($MV25:$MY25,"Rápido")&gt;0,"Sua Bônus",IF(COUNTIF($MV25:$MY25,"Reação")&gt;0,"Sua Reação","Sua Padrão")))&amp;" + a básica dela"&amp;IF(COUNTIF($MV25:$MY25,"Reação")&gt;0," e a coletiva","")&amp;IF(COUNTIF($OI25:$OJ25,"Carregar")&gt;0," · em dois turnos","")))</f>
        <v/>
      </c>
      <c r="QA25" s="155">
        <f>IF($MU25&lt;&gt;"",$MU25,IF($NH25=0,"",INDEX($AA$2:$AA$11,$NH25)))</f>
        <v/>
      </c>
      <c r="QB25" s="155">
        <f>IF(OR($NB25=0,$NH25=0),"",IF(COUNTIF($MV25:$MY25,"Inescapável")&gt;0,"Automático",IF($QA25="Ataque",IF($NF25="","Ataque","Ataque "&amp;IF(($NF25+2*IF(COUNTIF($MV25:$MY25,"Precisão")&gt;0,1,0))&gt;=0,"+","−")&amp;ABS(($NF25+2*IF(COUNTIF($MV25:$MY25,"Precisão")&gt;0,1,0))))&amp;IF($OB25&gt;0," · TR"&amp;IF($NG25="",""," CD "&amp;$NG25),""),IF(LEFT($QA25,2)="TR",$QA25&amp;IF($NG25="",""," · CD "&amp;$NG25)&amp;IF(COUNTIF($MV25:$MY25,"Certeiro")&gt;0," · metade",""),"Sem rolagem"))))</f>
        <v/>
      </c>
      <c r="QC25" s="155">
        <f>IF(OR($NB25=0,$NH25=0),"",IF($MQ25=0,IF(OR($OE25&gt;=1,$PB25=0),"Sem dano",$PB25&amp;"d6"&amp;IF($MT25="",""," "&amp;$MT25)),IF(OR($OE25&gt;=1,$PB25=0),UPPER(LEFT(INDEX($PK25:$PQ25,1,MAX(1,$MQ25)),1))&amp;MID(INDEX($PK25:$PQ25,1,MAX(1,$MQ25)),2,99),UPPER(LEFT(INDEX($PK25:$PQ25,1,MAX(1,$MQ25)),1))&amp;MID(INDEX($PK25:$PQ25,1,MAX(1,$MQ25)),2,99)&amp;IF($MT25="",""," "&amp;$MT25)&amp;IF($PC25&gt;0," · +"&amp;$PC25&amp;"d8",""))))</f>
        <v/>
      </c>
      <c r="QD25" s="155">
        <f>COUNTIF($MV25:$MY25,"Longe")+3*COUNTIF($MV25:$MY25,"Muito Longe")</f>
        <v/>
      </c>
      <c r="QE25" s="155">
        <f>COUNTIF($MV25:$MY25,"Maior")+3*COUNTIF($MV25:$MY25,"Muito Maior")</f>
        <v/>
      </c>
      <c r="QF25" s="155">
        <f>IF($NH25=0,0,CHOOSE(1+INDEX($AC$2:$AC$11,$NH25),0,$QD25,$QE25,$QD25+$QE25))</f>
        <v/>
      </c>
      <c r="QG25" s="155">
        <f>IF($NH25=0,0,CHOOSE(1+INDEX($AD$2:$AD$11,$NH25),0,$QD25,$QE25,$QD25+$QE25))</f>
        <v/>
      </c>
      <c r="QH25" s="155">
        <f>IF(OR($NB25=0,$NH25=0),"",INDEX($AI$2:$AN$41,($NH25-1)*4+IF($MQ25=0,1,IF($MQ25&lt;=5,2,IF($MQ25=6,3,4))),1+MIN(5,$QF25))&amp;INDEX($AO$2:$AT$41,($NH25-1)*4+IF($MQ25=0,1,IF($MQ25&lt;=5,2,IF($MQ25=6,3,4))),1+MIN(5,$QG25))&amp;IF(INDEX($AE$2:$AE$11,$NH25)=1,IF(COUNTIF($MV25:$MY25,"Mais Um")&gt;0," · +"&amp;COUNTIF($MV25:$MY25,"Mais Um")&amp;IF(COUNTIF($MV25:$MY25,"Mais Um")&gt;1," alvos"," alvo"),"")&amp;IF(COUNTIF($MV25:$MY25,"Rajada")&gt;0,IF($MQ25=0," · 1 tiro"," · "&amp;(MAX(1,$MQ25-1)+1)&amp;" tiros"),""),""))</f>
        <v/>
      </c>
      <c r="QI25" s="155">
        <f>IF($NB25=0,"",IF($MQ25=0,$NE25&amp;"d6"&amp;IF($OS25&gt;0," − 1 = "&amp;$PB25&amp;"d6"," da básica do nível "&amp;$NC25),$OZ25&amp;" − "&amp;$OU25&amp;" + "&amp;$OX25&amp;" = "&amp;$PA25&amp;" · teto "&amp;4*$MQ25&amp;"d8"&amp;IF($OD25=1," · a Forma devolve "&amp;$MQ25,"")&amp;IF($OY25&gt;0," · perde "&amp;$OY25,"")))</f>
        <v/>
      </c>
      <c r="QJ25" s="155">
        <f>IF($NB25=0,"",IF($MQ25=0,"A básica não amplia: os dados dela sobem com o nível",IF($MQ25&gt;=$ND25,"Já está na maior Classe que o nível liberou",TEXTJOIN(" · ",TRUE,IF(AND(2&gt;$MQ25,2&lt;=$ND25),"2 → "&amp;$PL25&amp;", 6 PE",""),IF(AND(3&gt;$MQ25,3&lt;=$ND25),"3 → "&amp;$PM25&amp;", 9 PE",""),IF(AND(4&gt;$MQ25,4&lt;=$ND25),"4 → "&amp;$PN25&amp;", 12 PE",""),IF(AND(5&gt;$MQ25,5&lt;=$ND25),"5 → "&amp;$PO25&amp;", 15 PE",""),IF(AND(6&gt;$MQ25,6&lt;=$ND25),"6 → "&amp;$PP25&amp;", 18 PE",""),IF(AND(7&gt;$MQ25,7&lt;=$ND25),"7 → "&amp;$PQ25&amp;", 21 PE","")))))</f>
        <v/>
      </c>
      <c r="QK25" s="155">
        <f>IF(OR($NB25=0,$NM25=0),"",IF($MQ25=0,"−1 dado","−"&amp;INDEX($I$2:$N$8,MAX(1,$MQ25),MAX(1,$NR25))&amp;" · "&amp;CHOOSE(MAX(1,$NR25),"Leve","Média","Pesada","Leve · Livre","Média · Livre","Pesada · Livre")))</f>
        <v/>
      </c>
      <c r="QL25" s="155">
        <f>IF(OR($NB25=0,$NN25=0),"",IF($MQ25=0,"−1 dado","−"&amp;INDEX($I$2:$N$8,MAX(1,$MQ25),MAX(1,$NS25))&amp;" · "&amp;CHOOSE(MAX(1,$NS25),"Leve","Média","Pesada","Leve · Livre","Média · Livre","Pesada · Livre")))</f>
        <v/>
      </c>
      <c r="QM25" s="155">
        <f>IF(OR($NB25=0,$NO25=0),"",IF($MQ25=0,"−1 dado","−"&amp;INDEX($I$2:$N$8,MAX(1,$MQ25),MAX(1,$NT25))&amp;" · "&amp;CHOOSE(MAX(1,$NT25),"Leve","Média","Pesada","Leve · Livre","Média · Livre","Pesada · Livre")))</f>
        <v/>
      </c>
      <c r="QN25" s="155">
        <f>IF(OR($NB25=0,$NP25=0),"",IF($MQ25=0,"−1 dado","−"&amp;INDEX($I$2:$N$8,MAX(1,$MQ25),MAX(1,$NU25))&amp;" · "&amp;CHOOSE(MAX(1,$NU25),"Leve","Média","Pesada","Leve · Livre","Média · Livre","Pesada · Livre")))</f>
        <v/>
      </c>
      <c r="QO25" s="155">
        <f>IF(OR($NB25=0,$MZ25=""),"",IF($MQ25=0,"não devolve","+"&amp;IF($OG25=1,CEILING($MQ25/2,1),$MQ25)))</f>
        <v/>
      </c>
      <c r="QP25" s="155">
        <f>IF(OR($NB25=0,$NA25=""),"",IF($MQ25=0,"não devolve","+"&amp;IF($OH25=1,CEILING($MQ25/2,1),$MQ25)))</f>
        <v/>
      </c>
    </row>
    <row r="26">
      <c r="AH26" s="153" t="inlineStr">
        <is>
          <t>Cura · classe 0</t>
        </is>
      </c>
      <c r="AI26" s="153" t="inlineStr">
        <is>
          <t>—</t>
        </is>
      </c>
      <c r="AJ26" s="153" t="inlineStr">
        <is>
          <t>—</t>
        </is>
      </c>
      <c r="AK26" s="153" t="inlineStr">
        <is>
          <t>—</t>
        </is>
      </c>
      <c r="AL26" s="153" t="inlineStr">
        <is>
          <t>—</t>
        </is>
      </c>
      <c r="AM26" s="153" t="inlineStr">
        <is>
          <t>—</t>
        </is>
      </c>
      <c r="AN26" s="153" t="inlineStr">
        <is>
          <t>—</t>
        </is>
      </c>
      <c r="AO26" s="153" t="inlineStr"/>
      <c r="AP26" s="153" t="inlineStr"/>
      <c r="AQ26" s="153" t="inlineStr"/>
      <c r="AR26" s="153" t="inlineStr"/>
      <c r="AS26" s="153" t="inlineStr"/>
      <c r="AT26" s="153" t="inlineStr"/>
      <c r="AV26" s="153" t="inlineStr">
        <is>
          <t>Guarda Aberta</t>
        </is>
      </c>
      <c r="AW26" s="153" t="inlineStr">
        <is>
          <t>Controle</t>
        </is>
      </c>
      <c r="AX26" s="155" t="n">
        <v>1</v>
      </c>
      <c r="AY26" s="155" t="n">
        <v>1</v>
      </c>
      <c r="AZ26" s="155" t="n">
        <v>0</v>
      </c>
      <c r="BA26" s="155" t="n">
        <v>1</v>
      </c>
      <c r="JR26" s="155">
        <f>IF(OR($AW26="",COUNTIF($EJ$2:$EN$2,$AW26)&gt;0),$AV26,"")</f>
        <v/>
      </c>
      <c r="JS26" s="155">
        <f>IF(AND($AX26=1,OR($AW26="",COUNTIF($EJ$2:$EN$2,$AW26)&gt;0)),$AV26,"")</f>
        <v/>
      </c>
      <c r="JX26" s="155">
        <f>IF(OR($AW26="",COUNTIF($EJ$3:$EN$3,$AW26)&gt;0),$AV26,"")</f>
        <v/>
      </c>
      <c r="JY26" s="155">
        <f>IF(AND($AX26=1,OR($AW26="",COUNTIF($EJ$3:$EN$3,$AW26)&gt;0)),$AV26,"")</f>
        <v/>
      </c>
      <c r="KD26" s="155">
        <f>IF(OR($AW26="",COUNTIF($EJ$4:$EN$4,$AW26)&gt;0),$AV26,"")</f>
        <v/>
      </c>
      <c r="KE26" s="155">
        <f>IF(AND($AX26=1,OR($AW26="",COUNTIF($EJ$4:$EN$4,$AW26)&gt;0)),$AV26,"")</f>
        <v/>
      </c>
      <c r="KJ26" s="155">
        <f>IF(OR($AW26="",COUNTIF($EJ$5:$EN$5,$AW26)&gt;0),$AV26,"")</f>
        <v/>
      </c>
      <c r="KK26" s="155">
        <f>IF(AND($AX26=1,OR($AW26="",COUNTIF($EJ$5:$EN$5,$AW26)&gt;0)),$AV26,"")</f>
        <v/>
      </c>
      <c r="KP26" s="155">
        <f>IF(OR($AW26="",COUNTIF($EJ$6:$EN$6,$AW26)&gt;0),$AV26,"")</f>
        <v/>
      </c>
      <c r="KQ26" s="155">
        <f>IF(AND($AX26=1,OR($AW26="",COUNTIF($EJ$6:$EN$6,$AW26)&gt;0)),$AV26,"")</f>
        <v/>
      </c>
      <c r="KV26" s="155">
        <f>IF(OR($AW26="",COUNTIF($EJ$7:$EN$7,$AW26)&gt;0),$AV26,"")</f>
        <v/>
      </c>
      <c r="KW26" s="155">
        <f>IF(AND($AX26=1,OR($AW26="",COUNTIF($EJ$7:$EN$7,$AW26)&gt;0)),$AV26,"")</f>
        <v/>
      </c>
      <c r="LB26" s="155">
        <f>IF(OR($AW26="",COUNTIF($EJ$8:$EN$8,$AW26)&gt;0),$AV26,"")</f>
        <v/>
      </c>
      <c r="LC26" s="155">
        <f>IF(AND($AX26=1,OR($AW26="",COUNTIF($EJ$8:$EN$8,$AW26)&gt;0)),$AV26,"")</f>
        <v/>
      </c>
      <c r="LH26" s="155">
        <f>IF(OR($AW26="",COUNTIF($EJ$9:$EN$9,$AW26)&gt;0),$AV26,"")</f>
        <v/>
      </c>
      <c r="LI26" s="155">
        <f>IF(AND($AX26=1,OR($AW26="",COUNTIF($EJ$9:$EN$9,$AW26)&gt;0)),$AV26,"")</f>
        <v/>
      </c>
      <c r="LN26" s="155">
        <f>IF(OR($AW26="",COUNTIF($EJ$10:$EN$10,$AW26)&gt;0),$AV26,"")</f>
        <v/>
      </c>
      <c r="LO26" s="155">
        <f>IF(AND($AX26=1,OR($AW26="",COUNTIF($EJ$10:$EN$10,$AW26)&gt;0)),$AV26,"")</f>
        <v/>
      </c>
      <c r="LT26" s="155">
        <f>IF(OR($AW26="",COUNTIF($EJ$11:$EN$11,$AW26)&gt;0),$AV26,"")</f>
        <v/>
      </c>
      <c r="LU26" s="155">
        <f>IF(AND($AX26=1,OR($AW26="",COUNTIF($EJ$11:$EN$11,$AW26)&gt;0)),$AV26,"")</f>
        <v/>
      </c>
      <c r="LZ26" s="155">
        <f>IF(OR($AW26="",COUNTIF($EJ$12:$EN$12,$AW26)&gt;0),$AV26,"")</f>
        <v/>
      </c>
      <c r="MA26" s="155">
        <f>IF(AND($AX26=1,OR($AW26="",COUNTIF($EJ$12:$EN$12,$AW26)&gt;0)),$AV26,"")</f>
        <v/>
      </c>
      <c r="MF26" s="155">
        <f>IF(OR($AW26="",COUNTIF($EJ$13:$EN$13,$AW26)&gt;0),$AV26,"")</f>
        <v/>
      </c>
      <c r="MG26" s="155">
        <f>IF(AND($AX26=1,OR($AW26="",COUNTIF($EJ$13:$EN$13,$AW26)&gt;0)),$AV26,"")</f>
        <v/>
      </c>
      <c r="ML26" s="153" t="inlineStr">
        <is>
          <t>Ficha 2 · Escolha da trilha 2</t>
        </is>
      </c>
      <c r="MM26" s="155" t="n">
        <v>2</v>
      </c>
      <c r="MN26" s="155" t="n">
        <v>2</v>
      </c>
      <c r="MO26" s="155" t="n">
        <v>0</v>
      </c>
      <c r="MP26" s="153" t="inlineStr">
        <is>
          <t>ESCOLHA DA TRILHA 2</t>
        </is>
      </c>
      <c r="MQ26" s="155">
        <f>MAX(0,MIN(7,N('INVOCAÇÕES'!$O$358)))</f>
        <v/>
      </c>
      <c r="MR26" s="155">
        <f>'INVOCAÇÕES'!$P$358&amp;""</f>
        <v/>
      </c>
      <c r="MS26" s="155">
        <f>'INVOCAÇÕES'!$O$363&amp;""</f>
        <v/>
      </c>
      <c r="MT26" s="155">
        <f>'INVOCAÇÕES'!$O$364&amp;""</f>
        <v/>
      </c>
      <c r="MU26" s="155">
        <f>'INVOCAÇÕES'!$Q$364&amp;""</f>
        <v/>
      </c>
      <c r="MV26" s="155">
        <f>'INVOCAÇÕES'!$P$367&amp;""</f>
        <v/>
      </c>
      <c r="MW26" s="155">
        <f>'INVOCAÇÕES'!$P$368&amp;""</f>
        <v/>
      </c>
      <c r="MX26" s="155">
        <f>'INVOCAÇÕES'!$P$369&amp;""</f>
        <v/>
      </c>
      <c r="MY26" s="155">
        <f>'INVOCAÇÕES'!$P$370&amp;""</f>
        <v/>
      </c>
      <c r="MZ26" s="155">
        <f>'INVOCAÇÕES'!$P$371&amp;""</f>
        <v/>
      </c>
      <c r="NA26" s="155">
        <f>'INVOCAÇÕES'!$P$372&amp;""</f>
        <v/>
      </c>
      <c r="NB26" s="155">
        <f>IF($MR26&lt;&gt;"",1,0)</f>
        <v/>
      </c>
      <c r="NC26" s="155">
        <f>INDEX($FM$2:$FM$13,$MM26)</f>
        <v/>
      </c>
      <c r="ND26" s="155">
        <f>INDEX($FN$2:$FN$13,$MM26)</f>
        <v/>
      </c>
      <c r="NE26" s="155">
        <f>INDEX($FO$2:$FO$13,$MM26)</f>
        <v/>
      </c>
      <c r="NF26" s="155">
        <f>INDEX($FZ$2:$FZ$13,$MM26)</f>
        <v/>
      </c>
      <c r="NG26" s="155">
        <f>INDEX($GA$2:$GA$13,$MM26)</f>
        <v/>
      </c>
      <c r="NH26" s="155">
        <f>IFERROR(MATCH($MS26,$V$2:$V$11,0),0)</f>
        <v/>
      </c>
      <c r="NI26" s="155">
        <f>IFERROR(VLOOKUP($MV26,$AV$2:$BA$84,2,FALSE),"")</f>
        <v/>
      </c>
      <c r="NJ26" s="155">
        <f>IFERROR(VLOOKUP($MW26,$AV$2:$BA$84,2,FALSE),"")</f>
        <v/>
      </c>
      <c r="NK26" s="155">
        <f>IFERROR(VLOOKUP($MX26,$AV$2:$BA$84,2,FALSE),"")</f>
        <v/>
      </c>
      <c r="NL26" s="155">
        <f>IFERROR(VLOOKUP($MY26,$AV$2:$BA$84,2,FALSE),"")</f>
        <v/>
      </c>
      <c r="NM26" s="155">
        <f>IFERROR(VLOOKUP($MV26,$AV$2:$BA$84,3,FALSE),0)</f>
        <v/>
      </c>
      <c r="NN26" s="155">
        <f>IFERROR(VLOOKUP($MW26,$AV$2:$BA$84,3,FALSE),0)</f>
        <v/>
      </c>
      <c r="NO26" s="155">
        <f>IFERROR(VLOOKUP($MX26,$AV$2:$BA$84,3,FALSE),0)</f>
        <v/>
      </c>
      <c r="NP26" s="155">
        <f>IFERROR(VLOOKUP($MY26,$AV$2:$BA$84,3,FALSE),0)</f>
        <v/>
      </c>
      <c r="NQ26" s="155">
        <f>IF($MQ26=0,0,IF($NH26=0,0,INDEX($X$2:$X$11,$NH26)))</f>
        <v/>
      </c>
      <c r="NR26" s="155">
        <f>IF(OR($NM26=0,$MQ26=0),0,$NM26+3*IF(AND($NI26&lt;&gt;"",OR($NI26=INDEX($EJ$2:$EJ$13,$MM26),$NI26=INDEX($EK$2:$EK$13,$MM26))),1,0))</f>
        <v/>
      </c>
      <c r="NS26" s="155">
        <f>IF(OR($NN26=0,$MQ26=0),0,$NN26+3*IF(AND($NJ26&lt;&gt;"",OR($NJ26=INDEX($EJ$2:$EJ$13,$MM26),$NJ26=INDEX($EK$2:$EK$13,$MM26))),1,0))</f>
        <v/>
      </c>
      <c r="NT26" s="155">
        <f>IF(OR($NO26=0,$MQ26=0),0,$NO26+3*IF(AND($NK26&lt;&gt;"",OR($NK26=INDEX($EJ$2:$EJ$13,$MM26),$NK26=INDEX($EK$2:$EK$13,$MM26))),1,0))</f>
        <v/>
      </c>
      <c r="NU26" s="155">
        <f>IF(OR($NP26=0,$MQ26=0),0,$NP26+3*IF(AND($NL26&lt;&gt;"",OR($NL26=INDEX($EJ$2:$EJ$13,$MM26),$NL26=INDEX($EK$2:$EK$13,$MM26))),1,0))</f>
        <v/>
      </c>
      <c r="NV26" s="155">
        <f>IF($NH26=0,0,IF(INDEX($W$2:$W$11,$NH26)="",0,IF(COUNTIF(INDEX($EJ$2:$EN$13,$MM26,0),INDEX($W$2:$W$11,$NH26))=0,1,0)))</f>
        <v/>
      </c>
      <c r="NW26" s="155">
        <f>IF(OR($NM26=0,$NI26=""),0,IF(COUNTIF(INDEX($EJ$2:$EN$13,$MM26,0),$NI26)=0,1,0))</f>
        <v/>
      </c>
      <c r="NX26" s="155">
        <f>IF(OR($NN26=0,$NJ26=""),0,IF(COUNTIF(INDEX($EJ$2:$EN$13,$MM26,0),$NJ26)=0,1,0))</f>
        <v/>
      </c>
      <c r="NY26" s="155">
        <f>IF(OR($NO26=0,$NK26=""),0,IF(COUNTIF(INDEX($EJ$2:$EN$13,$MM26,0),$NK26)=0,1,0))</f>
        <v/>
      </c>
      <c r="NZ26" s="155">
        <f>IF(OR($NP26=0,$NL26=""),0,IF(COUNTIF(INDEX($EJ$2:$EN$13,$MM26,0),$NL26)=0,1,0))</f>
        <v/>
      </c>
      <c r="OA26" s="155">
        <f>IFERROR(VLOOKUP($MV26,$AV$2:$BA$84,4,FALSE),0)+IFERROR(VLOOKUP($MW26,$AV$2:$BA$84,4,FALSE),0)+IFERROR(VLOOKUP($MX26,$AV$2:$BA$84,4,FALSE),0)+IFERROR(VLOOKUP($MY26,$AV$2:$BA$84,4,FALSE),0)</f>
        <v/>
      </c>
      <c r="OB26" s="155">
        <f>IFERROR(VLOOKUP($MV26,$AV$2:$BA$84,6,FALSE),0)+IFERROR(VLOOKUP($MW26,$AV$2:$BA$84,6,FALSE),0)+IFERROR(VLOOKUP($MX26,$AV$2:$BA$84,6,FALSE),0)+IFERROR(VLOOKUP($MY26,$AV$2:$BA$84,6,FALSE),0)</f>
        <v/>
      </c>
      <c r="OC26" s="155">
        <f>TEXTJOIN(", ",TRUE,IF(IFERROR(VLOOKUP($MV26,$AV$2:$BA$84,5,FALSE),0)=1,$MV26,""),IF(IFERROR(VLOOKUP($MW26,$AV$2:$BA$84,5,FALSE),0)=1,$MW26,""),IF(IFERROR(VLOOKUP($MX26,$AV$2:$BA$84,5,FALSE),0)=1,$MX26,""),IF(IFERROR(VLOOKUP($MY26,$AV$2:$BA$84,5,FALSE),0)=1,$MY26,""))</f>
        <v/>
      </c>
      <c r="OD26" s="155">
        <f>IF($NH26=0,0,INDEX($Y$2:$Y$11,$NH26))</f>
        <v/>
      </c>
      <c r="OE26" s="155">
        <f>IF($NH26=0,0,INDEX($Z$2:$Z$11,$NH26))</f>
        <v/>
      </c>
      <c r="OF26" s="155">
        <f>IF($NH26=0,0,INDEX($AB$2:$AB$11,$NH26))</f>
        <v/>
      </c>
      <c r="OG26" s="155">
        <f>IFERROR(VLOOKUP($MZ26,$BC$2:$BG$24,3,FALSE),0)</f>
        <v/>
      </c>
      <c r="OH26" s="155">
        <f>IFERROR(VLOOKUP($NA26,$BC$2:$BG$24,3,FALSE),0)</f>
        <v/>
      </c>
      <c r="OI26" s="155">
        <f>IFERROR(VLOOKUP($MZ26,$BC$2:$BG$24,2,FALSE),"")</f>
        <v/>
      </c>
      <c r="OJ26" s="155">
        <f>IFERROR(VLOOKUP($NA26,$BC$2:$BG$24,2,FALSE),"")</f>
        <v/>
      </c>
      <c r="OK26" s="155">
        <f>COUNTIF($NQ26:$NU26,1)</f>
        <v/>
      </c>
      <c r="OL26" s="155">
        <f>COUNTIF($NQ26:$NU26,2)</f>
        <v/>
      </c>
      <c r="OM26" s="155">
        <f>COUNTIF($NQ26:$NU26,3)</f>
        <v/>
      </c>
      <c r="ON26" s="155">
        <f>COUNTIF($NQ26:$NU26,4)</f>
        <v/>
      </c>
      <c r="OO26" s="155">
        <f>COUNTIF($NQ26:$NU26,5)</f>
        <v/>
      </c>
      <c r="OP26" s="155">
        <f>COUNTIF($NQ26:$NU26,6)</f>
        <v/>
      </c>
      <c r="OQ26" s="155">
        <f>COUNTIF($OG26:$OH26,1)</f>
        <v/>
      </c>
      <c r="OR26" s="155">
        <f>COUNTIF($OG26:$OH26,2)+$OD26</f>
        <v/>
      </c>
      <c r="OS26" s="155">
        <f>COUNTIF($MV26:$MY26,"?*")</f>
        <v/>
      </c>
      <c r="OT26" s="155">
        <f>COUNTIF($MZ26:$NA26,"?*")+$OD26</f>
        <v/>
      </c>
      <c r="OU26" s="155">
        <f>IF($MQ26=0,0,SUMPRODUCT($OK26:$OP26,INDEX($I$2:$N$8,MAX(1,$MQ26),0)))</f>
        <v/>
      </c>
      <c r="OV26" s="155">
        <f>IF($MQ26=0,0,$OQ26*CEILING($MQ26/2,1)+$OR26*$MQ26)</f>
        <v/>
      </c>
      <c r="OW26" s="155">
        <f>MIN(2*$MQ26,$OV26)</f>
        <v/>
      </c>
      <c r="OX26" s="155">
        <f>MIN($OW26,$OU26)</f>
        <v/>
      </c>
      <c r="OY26" s="155">
        <f>$OW26-$OX26</f>
        <v/>
      </c>
      <c r="OZ26" s="155">
        <f>IF($MQ26=0,0,INDEX($P$2:$P$8,MAX(1,$MQ26)))</f>
        <v/>
      </c>
      <c r="PA26" s="155">
        <f>$OZ26-$OU26+$OX26</f>
        <v/>
      </c>
      <c r="PB26" s="155">
        <f>IF($MQ26=0,MAX(0,$NE26-IF($OS26&gt;0,1,0)),MAX(0,$PA26))</f>
        <v/>
      </c>
      <c r="PC26" s="155">
        <f>IF($MQ26=0,0,(IF(COUNTIF($MV26:$MY26,"Salto")&gt;0,1,0)+IF(COUNTIF($MV26:$MY26,"Queima")&gt;0,1,0)+IF(COUNTIF($MV26:$MY26,"Estilhaço")&gt;0,1,0))*FLOOR($PB26/2,1))</f>
        <v/>
      </c>
      <c r="PD26" s="155">
        <f>MAX(0,2-SUMPRODUCT($OK26:$OP26,$I$2:$N$2)+MIN(2,$OQ26*1+$OR26*1,SUMPRODUCT($OK26:$OP26,$I$2:$N$2)))</f>
        <v/>
      </c>
      <c r="PE26" s="155">
        <f>MAX(0,4-SUMPRODUCT($OK26:$OP26,$I$3:$N$3)+MIN(4,$OQ26*1+$OR26*2,SUMPRODUCT($OK26:$OP26,$I$3:$N$3)))</f>
        <v/>
      </c>
      <c r="PF26" s="155">
        <f>MAX(0,6-SUMPRODUCT($OK26:$OP26,$I$4:$N$4)+MIN(6,$OQ26*2+$OR26*3,SUMPRODUCT($OK26:$OP26,$I$4:$N$4)))</f>
        <v/>
      </c>
      <c r="PG26" s="155">
        <f>MAX(0,9-SUMPRODUCT($OK26:$OP26,$I$5:$N$5)+MIN(8,$OQ26*2+$OR26*4,SUMPRODUCT($OK26:$OP26,$I$5:$N$5)))</f>
        <v/>
      </c>
      <c r="PH26" s="155">
        <f>MAX(0,11-SUMPRODUCT($OK26:$OP26,$I$6:$N$6)+MIN(10,$OQ26*3+$OR26*5,SUMPRODUCT($OK26:$OP26,$I$6:$N$6)))</f>
        <v/>
      </c>
      <c r="PI26" s="155">
        <f>MAX(0,13-SUMPRODUCT($OK26:$OP26,$I$7:$N$7)+MIN(12,$OQ26*3+$OR26*6,SUMPRODUCT($OK26:$OP26,$I$7:$N$7)))</f>
        <v/>
      </c>
      <c r="PJ26" s="155">
        <f>MAX(0,16-SUMPRODUCT($OK26:$OP26,$I$8:$N$8)+MIN(14,$OQ26*4+$OR26*7,SUMPRODUCT($OK26:$OP26,$I$8:$N$8)))</f>
        <v/>
      </c>
      <c r="PK26" s="155">
        <f>IF($OE26=2,3*$PD26&amp;" de vida temp.",IF($OE26=3,"sem dano",IF($PD26=0,IF($OE26=1,"sem cura","sem dano"),IF($OE26=1,"cura ","")&amp;$PD26&amp;"d8")))</f>
        <v/>
      </c>
      <c r="PL26" s="155">
        <f>IF($OE26=2,3*$PE26&amp;" de vida temp.",IF($OE26=3,"sem dano",IF($PE26=0,IF($OE26=1,"sem cura","sem dano"),IF($OE26=1,"cura ","")&amp;$PE26&amp;"d8")))</f>
        <v/>
      </c>
      <c r="PM26" s="155">
        <f>IF($OE26=2,3*$PF26&amp;" de vida temp.",IF($OE26=3,"sem dano",IF($PF26=0,IF($OE26=1,"sem cura","sem dano"),IF($OE26=1,"cura ","")&amp;$PF26&amp;"d8")))</f>
        <v/>
      </c>
      <c r="PN26" s="155">
        <f>IF($OE26=2,3*$PG26&amp;" de vida temp.",IF($OE26=3,"sem dano",IF($PG26=0,IF($OE26=1,"sem cura","sem dano"),IF($OE26=1,"cura ","")&amp;$PG26&amp;"d8")))</f>
        <v/>
      </c>
      <c r="PO26" s="155">
        <f>IF($OE26=2,3*$PH26&amp;" de vida temp.",IF($OE26=3,"sem dano",IF($PH26=0,IF($OE26=1,"sem cura","sem dano"),IF($OE26=1,"cura ","")&amp;$PH26&amp;"d8")))</f>
        <v/>
      </c>
      <c r="PP26" s="155">
        <f>IF($OE26=2,3*$PI26&amp;" de vida temp.",IF($OE26=3,"sem dano",IF($PI26=0,IF($OE26=1,"sem cura","sem dano"),IF($OE26=1,"cura ","")&amp;$PI26&amp;"d8")))</f>
        <v/>
      </c>
      <c r="PQ26" s="155">
        <f>IF($OE26=2,3*$PJ26&amp;" de vida temp.",IF($OE26=3,"sem dano",IF($PJ26=0,IF($OE26=1,"sem cura","sem dano"),IF($OE26=1,"cura ","")&amp;$PJ26&amp;"d8")))</f>
        <v/>
      </c>
      <c r="PR26" s="155">
        <f>IF($NB26=0,"",TEXTJOIN(" · ",TRUE,IF($MO26&gt;$NC26,"Este lugar abre no nível "&amp;$MO26,""),IF($MQ26&gt;$ND26,"Classe "&amp;$MQ26&amp;": o nível "&amp;$NC26&amp;" libera até a "&amp;$ND26,""),IF($NV26=1,"A Forma "&amp;$MS26&amp;" pede "&amp;INDEX($W$2:$W$11,$NH26)&amp;" aberta",""),IF(AND($MQ26=0,$NH26&gt;0,IF($NH26=0,0,INDEX($AF$2:$AF$11,$NH26))=0),$MS26&amp;" não existe na Classe 0",""),IF($NW26=1,"Família Fechada: "&amp;$MV26,""),IF($NX26=1,"Família Fechada: "&amp;$MW26,""),IF($NY26=1,"Família Fechada: "&amp;$MX26,""),IF($NZ26=1,"Família Fechada: "&amp;$MY26,""),IF(AND($MQ26&gt;0,$OS26&gt;INDEX($O$2:$O$8,MAX(1,$MQ26))),$OS26&amp;" Melhorias: a Classe "&amp;$MQ26&amp;" aceita "&amp;INDEX($O$2:$O$8,MAX(1,$MQ26)),""),IF(AND($MQ26=0,$OS26&gt;1),"A básica aceita uma Melhoria",""),IF(AND($MQ26=0,COUNTIF($NM26:$NP26,"&gt;1")&gt;0),"A básica só aceita Melhoria Leve",""),IF(AND($MQ26&gt;0,$OT26&gt;2),$OT26&amp;" Restrições"&amp;IF($OD26=1,", contando a que a Forma "&amp;$MS26&amp;" já traz","")&amp;": o limite é 2",""),IF(AND($MQ26=0,COUNTIF($MZ26:$NA26,"?*")&gt;1),"A básica aceita uma Restrição Leve",""),IF(AND($MQ26=0,COUNTIF($OG26:$OH26,2)&gt;0),"A básica só aceita Restrição Leve",""),IF(AND($MQ26&gt;0,$PA26&lt;0),"Orçamento estourado: faltam "&amp;(-$PA26)&amp;IF($PA26&lt;-1," pontos"," ponto"),""),IF(IFERROR(VLOOKUP($MZ26,$BC$2:$BG$24,4,FALSE),0)+IFERROR(VLOOKUP($NA26,$BC$2:$BG$24,4,FALSE),0)&gt;1,$OI26&amp;" e "&amp;$OJ26&amp;" são as duas de frequência",""),IF(AND((COUNTIF($MV26:$MY26,"Rápido")+COUNTIF($OI26:$OJ26,"Rápido"))&gt;0,(COUNTIF($MV26:$MY26,"Atrasar")+COUNTIF($OI26:$OJ26,"Atrasar"))&gt;0),"Rápido não entra com Atrasar",""),IF(AND((COUNTIF($MV26:$MY26,"Reação")+COUNTIF($OI26:$OJ26,"Reação"))&gt;0,(COUNTIF($MV26:$MY26,"Rápido")+COUNTIF($OI26:$OJ26,"Rápido"))&gt;0),"Reação não entra com Rápido",""),IF(AND((COUNTIF($MV26:$MY26,"Reação")+COUNTIF($OI26:$OJ26,"Reação"))&gt;0,(COUNTIF($MV26:$MY26,"Armado")+COUNTIF($OI26:$OJ26,"Armado"))&gt;0),"Reação não entra com Armado",""),IF(AND((COUNTIF($MV26:$MY26,"Reação")+COUNTIF($OI26:$OJ26,"Reação"))&gt;0,(COUNTIF($MV26:$MY26,"Atrasar")+COUNTIF($OI26:$OJ26,"Atrasar"))&gt;0),"Reação não entra com Atrasar",""),IF(AND((COUNTIF($MV26:$MY26,"Reação")+COUNTIF($OI26:$OJ26,"Reação"))&gt;0,(COUNTIF($MV26:$MY26,"Parado")+COUNTIF($OI26:$OJ26,"Parado"))&gt;0),"Reação não entra com Parado",""),IF(AND((COUNTIF($MV26:$MY26,"Atrasar")+COUNTIF($OI26:$OJ26,"Atrasar"))&gt;0,(COUNTIF($MV26:$MY26,"Parado")+COUNTIF($OI26:$OJ26,"Parado"))&gt;0),"Atrasar não entra com Parado",""),IF(AND((COUNTIF($MV26:$MY26,"Armado")+COUNTIF($OI26:$OJ26,"Armado"))&gt;0,(COUNTIF($MV26:$MY26,"Carregar")+COUNTIF($OI26:$OJ26,"Carregar"))&gt;0),"Armado não entra com Carregar",""),IF(AND(COUNTIF($OI26:$OJ26,"Corpo a Corpo")&gt;0,$OD26=0,OR($MS26="Cone",$MS26="Linha")),"Corpo a Corpo não entra em "&amp;$MS26,""),IF(AND(COUNTIF($OI26:$OJ26,"Corpo a Corpo")&gt;0,$OD26=1),"A Forma "&amp;$MS26&amp;" já traz o Corpo a Corpo",""),IF(AND(COUNTIF($OI26:$OJ26,"Tudo ou Nada")&gt;0,$OF26=0),"Tudo ou Nada só entra em habilidade de Teste de Resistência",""),IF(AND(COUNTIF($MV26:$MY26,"Inescapável")&gt;0,OR($OS26&gt;1,$OT26&gt;0)),"Inescapável não aceita outra peça",""),IF(AND($MQ26&gt;0,$PB26*IF(COUNTIF($MV26:$MY26,"Remate")&gt;0,1.25,1)+$PC26&gt;4*$MQ26),($PB26*IF(COUNTIF($MV26:$MY26,"Remate")&gt;0,1.25,1)+$PC26)&amp;" dados somando repetições"&amp;IF(COUNTIF($MV26:$MY26,"Remate")&gt;0," e o Remate","")&amp;": o teto da Classe "&amp;$MQ26&amp;" é "&amp;4*$MQ26,"")))</f>
        <v/>
      </c>
      <c r="PS26" s="155">
        <f>IF($PR26="",0,(LEN($PR26)-LEN(SUBSTITUTE($PR26," · ","")))/3+1)</f>
        <v/>
      </c>
      <c r="PT26" s="155">
        <f>IF($NB26=0,"",TEXTJOIN(" · ",TRUE,IF($OV26&gt;2*$MQ26,"A devolução parou no teto de "&amp;2*$MQ26,""),IF($OY26&gt;0,"Devolução perdida: "&amp;$OY26&amp;IF($OY26&gt;1," pontos"," ponto")&amp;" sem peça para pagar",""),IF(AND($OA26&gt;0,AND($MQ26&gt;0,$OE26=0),$PB26=0),"Controle sem dano: uma rodada a mais e CD +2",""),IF(AND($OA26&gt;0,AND($MQ26&gt;0,$OE26=0),$PB26&gt;0,$PB26&lt;=$MQ26),"Controle com saldo até a Classe: uma rodada a mais",""),IF(AND($MQ26&gt;0,$OC26&lt;&gt;""),"Efeito de "&amp;$OC26&amp;" pela Classe "&amp;MAX(1,$MQ26-1),"")))</f>
        <v/>
      </c>
      <c r="PU26" s="155">
        <f>IF($PT26="",0,(LEN($PT26)-LEN(SUBSTITUTE($PT26," · ","")))/3+1)</f>
        <v/>
      </c>
      <c r="PV26" s="155">
        <f>IF($NB26=0,IF($OS26+COUNTIF($MZ26:$NA26,"?*")&gt;0,"Dê um nome",""),IF($PS26&gt;0,"⚠ "&amp;$PS26&amp;IF($PS26&gt;1," erros"," erro"),IF($PU26&gt;0,"! "&amp;$PU26&amp;IF($PU26&gt;1," avisos"," aviso"),"Na regra")))</f>
        <v/>
      </c>
      <c r="PW26" s="155">
        <f>IF($NB26=0,"",IF($PS26+$PU26=0,"Dentro das regras que a ficha confere",$PR26&amp;IF(AND($PS26&gt;0,$PU26&gt;0)," · ","")&amp;$PT26))</f>
        <v/>
      </c>
      <c r="PX26" s="155">
        <f>IF($MO26&gt;$NC26,$MP26&amp;" · ABRE NO NÍVEL "&amp;$MO26,$MP26)</f>
        <v/>
      </c>
      <c r="PY26" s="155">
        <f>IF($NB26=0,"",IF($MQ26=0,"Sem PE",3*$MQ26&amp;" PE"))</f>
        <v/>
      </c>
      <c r="PZ26" s="155">
        <f>IF($NB26=0,"",IF($MQ26=0,"A atuação básica dela",IF(COUNTIF($OI26:$OJ26,"Atrasar")&gt;0,"Sua Ação Completa",IF(COUNTIF($MV26:$MY26,"Rápido")&gt;0,"Sua Bônus",IF(COUNTIF($MV26:$MY26,"Reação")&gt;0,"Sua Reação","Sua Padrão")))&amp;" + a básica dela"&amp;IF(COUNTIF($MV26:$MY26,"Reação")&gt;0," e a coletiva","")&amp;IF(COUNTIF($OI26:$OJ26,"Carregar")&gt;0," · em dois turnos","")))</f>
        <v/>
      </c>
      <c r="QA26" s="155">
        <f>IF($MU26&lt;&gt;"",$MU26,IF($NH26=0,"",INDEX($AA$2:$AA$11,$NH26)))</f>
        <v/>
      </c>
      <c r="QB26" s="155">
        <f>IF(OR($NB26=0,$NH26=0),"",IF(COUNTIF($MV26:$MY26,"Inescapável")&gt;0,"Automático",IF($QA26="Ataque",IF($NF26="","Ataque","Ataque "&amp;IF(($NF26+2*IF(COUNTIF($MV26:$MY26,"Precisão")&gt;0,1,0))&gt;=0,"+","−")&amp;ABS(($NF26+2*IF(COUNTIF($MV26:$MY26,"Precisão")&gt;0,1,0))))&amp;IF($OB26&gt;0," · TR"&amp;IF($NG26="",""," CD "&amp;$NG26),""),IF(LEFT($QA26,2)="TR",$QA26&amp;IF($NG26="",""," · CD "&amp;$NG26)&amp;IF(COUNTIF($MV26:$MY26,"Certeiro")&gt;0," · metade",""),"Sem rolagem"))))</f>
        <v/>
      </c>
      <c r="QC26" s="155">
        <f>IF(OR($NB26=0,$NH26=0),"",IF($MQ26=0,IF(OR($OE26&gt;=1,$PB26=0),"Sem dano",$PB26&amp;"d6"&amp;IF($MT26="",""," "&amp;$MT26)),IF(OR($OE26&gt;=1,$PB26=0),UPPER(LEFT(INDEX($PK26:$PQ26,1,MAX(1,$MQ26)),1))&amp;MID(INDEX($PK26:$PQ26,1,MAX(1,$MQ26)),2,99),UPPER(LEFT(INDEX($PK26:$PQ26,1,MAX(1,$MQ26)),1))&amp;MID(INDEX($PK26:$PQ26,1,MAX(1,$MQ26)),2,99)&amp;IF($MT26="",""," "&amp;$MT26)&amp;IF($PC26&gt;0," · +"&amp;$PC26&amp;"d8",""))))</f>
        <v/>
      </c>
      <c r="QD26" s="155">
        <f>COUNTIF($MV26:$MY26,"Longe")+3*COUNTIF($MV26:$MY26,"Muito Longe")</f>
        <v/>
      </c>
      <c r="QE26" s="155">
        <f>COUNTIF($MV26:$MY26,"Maior")+3*COUNTIF($MV26:$MY26,"Muito Maior")</f>
        <v/>
      </c>
      <c r="QF26" s="155">
        <f>IF($NH26=0,0,CHOOSE(1+INDEX($AC$2:$AC$11,$NH26),0,$QD26,$QE26,$QD26+$QE26))</f>
        <v/>
      </c>
      <c r="QG26" s="155">
        <f>IF($NH26=0,0,CHOOSE(1+INDEX($AD$2:$AD$11,$NH26),0,$QD26,$QE26,$QD26+$QE26))</f>
        <v/>
      </c>
      <c r="QH26" s="155">
        <f>IF(OR($NB26=0,$NH26=0),"",INDEX($AI$2:$AN$41,($NH26-1)*4+IF($MQ26=0,1,IF($MQ26&lt;=5,2,IF($MQ26=6,3,4))),1+MIN(5,$QF26))&amp;INDEX($AO$2:$AT$41,($NH26-1)*4+IF($MQ26=0,1,IF($MQ26&lt;=5,2,IF($MQ26=6,3,4))),1+MIN(5,$QG26))&amp;IF(INDEX($AE$2:$AE$11,$NH26)=1,IF(COUNTIF($MV26:$MY26,"Mais Um")&gt;0," · +"&amp;COUNTIF($MV26:$MY26,"Mais Um")&amp;IF(COUNTIF($MV26:$MY26,"Mais Um")&gt;1," alvos"," alvo"),"")&amp;IF(COUNTIF($MV26:$MY26,"Rajada")&gt;0,IF($MQ26=0," · 1 tiro"," · "&amp;(MAX(1,$MQ26-1)+1)&amp;" tiros"),""),""))</f>
        <v/>
      </c>
      <c r="QI26" s="155">
        <f>IF($NB26=0,"",IF($MQ26=0,$NE26&amp;"d6"&amp;IF($OS26&gt;0," − 1 = "&amp;$PB26&amp;"d6"," da básica do nível "&amp;$NC26),$OZ26&amp;" − "&amp;$OU26&amp;" + "&amp;$OX26&amp;" = "&amp;$PA26&amp;" · teto "&amp;4*$MQ26&amp;"d8"&amp;IF($OD26=1," · a Forma devolve "&amp;$MQ26,"")&amp;IF($OY26&gt;0," · perde "&amp;$OY26,"")))</f>
        <v/>
      </c>
      <c r="QJ26" s="155">
        <f>IF($NB26=0,"",IF($MQ26=0,"A básica não amplia: os dados dela sobem com o nível",IF($MQ26&gt;=$ND26,"Já está na maior Classe que o nível liberou",TEXTJOIN(" · ",TRUE,IF(AND(2&gt;$MQ26,2&lt;=$ND26),"2 → "&amp;$PL26&amp;", 6 PE",""),IF(AND(3&gt;$MQ26,3&lt;=$ND26),"3 → "&amp;$PM26&amp;", 9 PE",""),IF(AND(4&gt;$MQ26,4&lt;=$ND26),"4 → "&amp;$PN26&amp;", 12 PE",""),IF(AND(5&gt;$MQ26,5&lt;=$ND26),"5 → "&amp;$PO26&amp;", 15 PE",""),IF(AND(6&gt;$MQ26,6&lt;=$ND26),"6 → "&amp;$PP26&amp;", 18 PE",""),IF(AND(7&gt;$MQ26,7&lt;=$ND26),"7 → "&amp;$PQ26&amp;", 21 PE","")))))</f>
        <v/>
      </c>
      <c r="QK26" s="155">
        <f>IF(OR($NB26=0,$NM26=0),"",IF($MQ26=0,"−1 dado","−"&amp;INDEX($I$2:$N$8,MAX(1,$MQ26),MAX(1,$NR26))&amp;" · "&amp;CHOOSE(MAX(1,$NR26),"Leve","Média","Pesada","Leve · Livre","Média · Livre","Pesada · Livre")))</f>
        <v/>
      </c>
      <c r="QL26" s="155">
        <f>IF(OR($NB26=0,$NN26=0),"",IF($MQ26=0,"−1 dado","−"&amp;INDEX($I$2:$N$8,MAX(1,$MQ26),MAX(1,$NS26))&amp;" · "&amp;CHOOSE(MAX(1,$NS26),"Leve","Média","Pesada","Leve · Livre","Média · Livre","Pesada · Livre")))</f>
        <v/>
      </c>
      <c r="QM26" s="155">
        <f>IF(OR($NB26=0,$NO26=0),"",IF($MQ26=0,"−1 dado","−"&amp;INDEX($I$2:$N$8,MAX(1,$MQ26),MAX(1,$NT26))&amp;" · "&amp;CHOOSE(MAX(1,$NT26),"Leve","Média","Pesada","Leve · Livre","Média · Livre","Pesada · Livre")))</f>
        <v/>
      </c>
      <c r="QN26" s="155">
        <f>IF(OR($NB26=0,$NP26=0),"",IF($MQ26=0,"−1 dado","−"&amp;INDEX($I$2:$N$8,MAX(1,$MQ26),MAX(1,$NU26))&amp;" · "&amp;CHOOSE(MAX(1,$NU26),"Leve","Média","Pesada","Leve · Livre","Média · Livre","Pesada · Livre")))</f>
        <v/>
      </c>
      <c r="QO26" s="155">
        <f>IF(OR($NB26=0,$MZ26=""),"",IF($MQ26=0,"não devolve","+"&amp;IF($OG26=1,CEILING($MQ26/2,1),$MQ26)))</f>
        <v/>
      </c>
      <c r="QP26" s="155">
        <f>IF(OR($NB26=0,$NA26=""),"",IF($MQ26=0,"não devolve","+"&amp;IF($OH26=1,CEILING($MQ26/2,1),$MQ26)))</f>
        <v/>
      </c>
    </row>
    <row r="27">
      <c r="AH27" s="153" t="inlineStr">
        <is>
          <t>Cura · classes 1 a 5</t>
        </is>
      </c>
      <c r="AI27" s="153" t="inlineStr">
        <is>
          <t>Um aliado a 9 m</t>
        </is>
      </c>
      <c r="AJ27" s="153" t="inlineStr">
        <is>
          <t>Um aliado a 18 m</t>
        </is>
      </c>
      <c r="AK27" s="153" t="inlineStr">
        <is>
          <t>Um aliado a 36 m</t>
        </is>
      </c>
      <c r="AL27" s="153" t="inlineStr">
        <is>
          <t>Um aliado a 90 m</t>
        </is>
      </c>
      <c r="AM27" s="153" t="inlineStr">
        <is>
          <t>Um aliado a visão a olho nu</t>
        </is>
      </c>
      <c r="AN27" s="153" t="inlineStr">
        <is>
          <t>Um aliado a visão a olho nu</t>
        </is>
      </c>
      <c r="AO27" s="153" t="inlineStr"/>
      <c r="AP27" s="153" t="inlineStr"/>
      <c r="AQ27" s="153" t="inlineStr"/>
      <c r="AR27" s="153" t="inlineStr"/>
      <c r="AS27" s="153" t="inlineStr"/>
      <c r="AT27" s="153" t="inlineStr"/>
      <c r="AV27" s="153" t="inlineStr">
        <is>
          <t>Derrubado</t>
        </is>
      </c>
      <c r="AW27" s="153" t="inlineStr">
        <is>
          <t>Controle</t>
        </is>
      </c>
      <c r="AX27" s="155" t="n">
        <v>1</v>
      </c>
      <c r="AY27" s="155" t="n">
        <v>1</v>
      </c>
      <c r="AZ27" s="155" t="n">
        <v>0</v>
      </c>
      <c r="BA27" s="155" t="n">
        <v>1</v>
      </c>
      <c r="JR27" s="155">
        <f>IF(OR($AW27="",COUNTIF($EJ$2:$EN$2,$AW27)&gt;0),$AV27,"")</f>
        <v/>
      </c>
      <c r="JS27" s="155">
        <f>IF(AND($AX27=1,OR($AW27="",COUNTIF($EJ$2:$EN$2,$AW27)&gt;0)),$AV27,"")</f>
        <v/>
      </c>
      <c r="JX27" s="155">
        <f>IF(OR($AW27="",COUNTIF($EJ$3:$EN$3,$AW27)&gt;0),$AV27,"")</f>
        <v/>
      </c>
      <c r="JY27" s="155">
        <f>IF(AND($AX27=1,OR($AW27="",COUNTIF($EJ$3:$EN$3,$AW27)&gt;0)),$AV27,"")</f>
        <v/>
      </c>
      <c r="KD27" s="155">
        <f>IF(OR($AW27="",COUNTIF($EJ$4:$EN$4,$AW27)&gt;0),$AV27,"")</f>
        <v/>
      </c>
      <c r="KE27" s="155">
        <f>IF(AND($AX27=1,OR($AW27="",COUNTIF($EJ$4:$EN$4,$AW27)&gt;0)),$AV27,"")</f>
        <v/>
      </c>
      <c r="KJ27" s="155">
        <f>IF(OR($AW27="",COUNTIF($EJ$5:$EN$5,$AW27)&gt;0),$AV27,"")</f>
        <v/>
      </c>
      <c r="KK27" s="155">
        <f>IF(AND($AX27=1,OR($AW27="",COUNTIF($EJ$5:$EN$5,$AW27)&gt;0)),$AV27,"")</f>
        <v/>
      </c>
      <c r="KP27" s="155">
        <f>IF(OR($AW27="",COUNTIF($EJ$6:$EN$6,$AW27)&gt;0),$AV27,"")</f>
        <v/>
      </c>
      <c r="KQ27" s="155">
        <f>IF(AND($AX27=1,OR($AW27="",COUNTIF($EJ$6:$EN$6,$AW27)&gt;0)),$AV27,"")</f>
        <v/>
      </c>
      <c r="KV27" s="155">
        <f>IF(OR($AW27="",COUNTIF($EJ$7:$EN$7,$AW27)&gt;0),$AV27,"")</f>
        <v/>
      </c>
      <c r="KW27" s="155">
        <f>IF(AND($AX27=1,OR($AW27="",COUNTIF($EJ$7:$EN$7,$AW27)&gt;0)),$AV27,"")</f>
        <v/>
      </c>
      <c r="LB27" s="155">
        <f>IF(OR($AW27="",COUNTIF($EJ$8:$EN$8,$AW27)&gt;0),$AV27,"")</f>
        <v/>
      </c>
      <c r="LC27" s="155">
        <f>IF(AND($AX27=1,OR($AW27="",COUNTIF($EJ$8:$EN$8,$AW27)&gt;0)),$AV27,"")</f>
        <v/>
      </c>
      <c r="LH27" s="155">
        <f>IF(OR($AW27="",COUNTIF($EJ$9:$EN$9,$AW27)&gt;0),$AV27,"")</f>
        <v/>
      </c>
      <c r="LI27" s="155">
        <f>IF(AND($AX27=1,OR($AW27="",COUNTIF($EJ$9:$EN$9,$AW27)&gt;0)),$AV27,"")</f>
        <v/>
      </c>
      <c r="LN27" s="155">
        <f>IF(OR($AW27="",COUNTIF($EJ$10:$EN$10,$AW27)&gt;0),$AV27,"")</f>
        <v/>
      </c>
      <c r="LO27" s="155">
        <f>IF(AND($AX27=1,OR($AW27="",COUNTIF($EJ$10:$EN$10,$AW27)&gt;0)),$AV27,"")</f>
        <v/>
      </c>
      <c r="LT27" s="155">
        <f>IF(OR($AW27="",COUNTIF($EJ$11:$EN$11,$AW27)&gt;0),$AV27,"")</f>
        <v/>
      </c>
      <c r="LU27" s="155">
        <f>IF(AND($AX27=1,OR($AW27="",COUNTIF($EJ$11:$EN$11,$AW27)&gt;0)),$AV27,"")</f>
        <v/>
      </c>
      <c r="LZ27" s="155">
        <f>IF(OR($AW27="",COUNTIF($EJ$12:$EN$12,$AW27)&gt;0),$AV27,"")</f>
        <v/>
      </c>
      <c r="MA27" s="155">
        <f>IF(AND($AX27=1,OR($AW27="",COUNTIF($EJ$12:$EN$12,$AW27)&gt;0)),$AV27,"")</f>
        <v/>
      </c>
      <c r="MF27" s="155">
        <f>IF(OR($AW27="",COUNTIF($EJ$13:$EN$13,$AW27)&gt;0),$AV27,"")</f>
        <v/>
      </c>
      <c r="MG27" s="155">
        <f>IF(AND($AX27=1,OR($AW27="",COUNTIF($EJ$13:$EN$13,$AW27)&gt;0)),$AV27,"")</f>
        <v/>
      </c>
      <c r="ML27" s="153" t="inlineStr">
        <is>
          <t>Ficha 2 · Escolha da trilha 3</t>
        </is>
      </c>
      <c r="MM27" s="155" t="n">
        <v>2</v>
      </c>
      <c r="MN27" s="155" t="n">
        <v>2</v>
      </c>
      <c r="MO27" s="155" t="n">
        <v>0</v>
      </c>
      <c r="MP27" s="153" t="inlineStr">
        <is>
          <t>ESCOLHA DA TRILHA 3</t>
        </is>
      </c>
      <c r="MQ27" s="155">
        <f>MAX(0,MIN(7,N('INVOCAÇÕES'!$U$358)))</f>
        <v/>
      </c>
      <c r="MR27" s="155">
        <f>'INVOCAÇÕES'!$V$358&amp;""</f>
        <v/>
      </c>
      <c r="MS27" s="155">
        <f>'INVOCAÇÕES'!$U$363&amp;""</f>
        <v/>
      </c>
      <c r="MT27" s="155">
        <f>'INVOCAÇÕES'!$U$364&amp;""</f>
        <v/>
      </c>
      <c r="MU27" s="155">
        <f>'INVOCAÇÕES'!$W$364&amp;""</f>
        <v/>
      </c>
      <c r="MV27" s="155">
        <f>'INVOCAÇÕES'!$V$367&amp;""</f>
        <v/>
      </c>
      <c r="MW27" s="155">
        <f>'INVOCAÇÕES'!$V$368&amp;""</f>
        <v/>
      </c>
      <c r="MX27" s="155">
        <f>'INVOCAÇÕES'!$V$369&amp;""</f>
        <v/>
      </c>
      <c r="MY27" s="155">
        <f>'INVOCAÇÕES'!$V$370&amp;""</f>
        <v/>
      </c>
      <c r="MZ27" s="155">
        <f>'INVOCAÇÕES'!$V$371&amp;""</f>
        <v/>
      </c>
      <c r="NA27" s="155">
        <f>'INVOCAÇÕES'!$V$372&amp;""</f>
        <v/>
      </c>
      <c r="NB27" s="155">
        <f>IF($MR27&lt;&gt;"",1,0)</f>
        <v/>
      </c>
      <c r="NC27" s="155">
        <f>INDEX($FM$2:$FM$13,$MM27)</f>
        <v/>
      </c>
      <c r="ND27" s="155">
        <f>INDEX($FN$2:$FN$13,$MM27)</f>
        <v/>
      </c>
      <c r="NE27" s="155">
        <f>INDEX($FO$2:$FO$13,$MM27)</f>
        <v/>
      </c>
      <c r="NF27" s="155">
        <f>INDEX($FZ$2:$FZ$13,$MM27)</f>
        <v/>
      </c>
      <c r="NG27" s="155">
        <f>INDEX($GA$2:$GA$13,$MM27)</f>
        <v/>
      </c>
      <c r="NH27" s="155">
        <f>IFERROR(MATCH($MS27,$V$2:$V$11,0),0)</f>
        <v/>
      </c>
      <c r="NI27" s="155">
        <f>IFERROR(VLOOKUP($MV27,$AV$2:$BA$84,2,FALSE),"")</f>
        <v/>
      </c>
      <c r="NJ27" s="155">
        <f>IFERROR(VLOOKUP($MW27,$AV$2:$BA$84,2,FALSE),"")</f>
        <v/>
      </c>
      <c r="NK27" s="155">
        <f>IFERROR(VLOOKUP($MX27,$AV$2:$BA$84,2,FALSE),"")</f>
        <v/>
      </c>
      <c r="NL27" s="155">
        <f>IFERROR(VLOOKUP($MY27,$AV$2:$BA$84,2,FALSE),"")</f>
        <v/>
      </c>
      <c r="NM27" s="155">
        <f>IFERROR(VLOOKUP($MV27,$AV$2:$BA$84,3,FALSE),0)</f>
        <v/>
      </c>
      <c r="NN27" s="155">
        <f>IFERROR(VLOOKUP($MW27,$AV$2:$BA$84,3,FALSE),0)</f>
        <v/>
      </c>
      <c r="NO27" s="155">
        <f>IFERROR(VLOOKUP($MX27,$AV$2:$BA$84,3,FALSE),0)</f>
        <v/>
      </c>
      <c r="NP27" s="155">
        <f>IFERROR(VLOOKUP($MY27,$AV$2:$BA$84,3,FALSE),0)</f>
        <v/>
      </c>
      <c r="NQ27" s="155">
        <f>IF($MQ27=0,0,IF($NH27=0,0,INDEX($X$2:$X$11,$NH27)))</f>
        <v/>
      </c>
      <c r="NR27" s="155">
        <f>IF(OR($NM27=0,$MQ27=0),0,$NM27+3*IF(AND($NI27&lt;&gt;"",OR($NI27=INDEX($EJ$2:$EJ$13,$MM27),$NI27=INDEX($EK$2:$EK$13,$MM27))),1,0))</f>
        <v/>
      </c>
      <c r="NS27" s="155">
        <f>IF(OR($NN27=0,$MQ27=0),0,$NN27+3*IF(AND($NJ27&lt;&gt;"",OR($NJ27=INDEX($EJ$2:$EJ$13,$MM27),$NJ27=INDEX($EK$2:$EK$13,$MM27))),1,0))</f>
        <v/>
      </c>
      <c r="NT27" s="155">
        <f>IF(OR($NO27=0,$MQ27=0),0,$NO27+3*IF(AND($NK27&lt;&gt;"",OR($NK27=INDEX($EJ$2:$EJ$13,$MM27),$NK27=INDEX($EK$2:$EK$13,$MM27))),1,0))</f>
        <v/>
      </c>
      <c r="NU27" s="155">
        <f>IF(OR($NP27=0,$MQ27=0),0,$NP27+3*IF(AND($NL27&lt;&gt;"",OR($NL27=INDEX($EJ$2:$EJ$13,$MM27),$NL27=INDEX($EK$2:$EK$13,$MM27))),1,0))</f>
        <v/>
      </c>
      <c r="NV27" s="155">
        <f>IF($NH27=0,0,IF(INDEX($W$2:$W$11,$NH27)="",0,IF(COUNTIF(INDEX($EJ$2:$EN$13,$MM27,0),INDEX($W$2:$W$11,$NH27))=0,1,0)))</f>
        <v/>
      </c>
      <c r="NW27" s="155">
        <f>IF(OR($NM27=0,$NI27=""),0,IF(COUNTIF(INDEX($EJ$2:$EN$13,$MM27,0),$NI27)=0,1,0))</f>
        <v/>
      </c>
      <c r="NX27" s="155">
        <f>IF(OR($NN27=0,$NJ27=""),0,IF(COUNTIF(INDEX($EJ$2:$EN$13,$MM27,0),$NJ27)=0,1,0))</f>
        <v/>
      </c>
      <c r="NY27" s="155">
        <f>IF(OR($NO27=0,$NK27=""),0,IF(COUNTIF(INDEX($EJ$2:$EN$13,$MM27,0),$NK27)=0,1,0))</f>
        <v/>
      </c>
      <c r="NZ27" s="155">
        <f>IF(OR($NP27=0,$NL27=""),0,IF(COUNTIF(INDEX($EJ$2:$EN$13,$MM27,0),$NL27)=0,1,0))</f>
        <v/>
      </c>
      <c r="OA27" s="155">
        <f>IFERROR(VLOOKUP($MV27,$AV$2:$BA$84,4,FALSE),0)+IFERROR(VLOOKUP($MW27,$AV$2:$BA$84,4,FALSE),0)+IFERROR(VLOOKUP($MX27,$AV$2:$BA$84,4,FALSE),0)+IFERROR(VLOOKUP($MY27,$AV$2:$BA$84,4,FALSE),0)</f>
        <v/>
      </c>
      <c r="OB27" s="155">
        <f>IFERROR(VLOOKUP($MV27,$AV$2:$BA$84,6,FALSE),0)+IFERROR(VLOOKUP($MW27,$AV$2:$BA$84,6,FALSE),0)+IFERROR(VLOOKUP($MX27,$AV$2:$BA$84,6,FALSE),0)+IFERROR(VLOOKUP($MY27,$AV$2:$BA$84,6,FALSE),0)</f>
        <v/>
      </c>
      <c r="OC27" s="155">
        <f>TEXTJOIN(", ",TRUE,IF(IFERROR(VLOOKUP($MV27,$AV$2:$BA$84,5,FALSE),0)=1,$MV27,""),IF(IFERROR(VLOOKUP($MW27,$AV$2:$BA$84,5,FALSE),0)=1,$MW27,""),IF(IFERROR(VLOOKUP($MX27,$AV$2:$BA$84,5,FALSE),0)=1,$MX27,""),IF(IFERROR(VLOOKUP($MY27,$AV$2:$BA$84,5,FALSE),0)=1,$MY27,""))</f>
        <v/>
      </c>
      <c r="OD27" s="155">
        <f>IF($NH27=0,0,INDEX($Y$2:$Y$11,$NH27))</f>
        <v/>
      </c>
      <c r="OE27" s="155">
        <f>IF($NH27=0,0,INDEX($Z$2:$Z$11,$NH27))</f>
        <v/>
      </c>
      <c r="OF27" s="155">
        <f>IF($NH27=0,0,INDEX($AB$2:$AB$11,$NH27))</f>
        <v/>
      </c>
      <c r="OG27" s="155">
        <f>IFERROR(VLOOKUP($MZ27,$BC$2:$BG$24,3,FALSE),0)</f>
        <v/>
      </c>
      <c r="OH27" s="155">
        <f>IFERROR(VLOOKUP($NA27,$BC$2:$BG$24,3,FALSE),0)</f>
        <v/>
      </c>
      <c r="OI27" s="155">
        <f>IFERROR(VLOOKUP($MZ27,$BC$2:$BG$24,2,FALSE),"")</f>
        <v/>
      </c>
      <c r="OJ27" s="155">
        <f>IFERROR(VLOOKUP($NA27,$BC$2:$BG$24,2,FALSE),"")</f>
        <v/>
      </c>
      <c r="OK27" s="155">
        <f>COUNTIF($NQ27:$NU27,1)</f>
        <v/>
      </c>
      <c r="OL27" s="155">
        <f>COUNTIF($NQ27:$NU27,2)</f>
        <v/>
      </c>
      <c r="OM27" s="155">
        <f>COUNTIF($NQ27:$NU27,3)</f>
        <v/>
      </c>
      <c r="ON27" s="155">
        <f>COUNTIF($NQ27:$NU27,4)</f>
        <v/>
      </c>
      <c r="OO27" s="155">
        <f>COUNTIF($NQ27:$NU27,5)</f>
        <v/>
      </c>
      <c r="OP27" s="155">
        <f>COUNTIF($NQ27:$NU27,6)</f>
        <v/>
      </c>
      <c r="OQ27" s="155">
        <f>COUNTIF($OG27:$OH27,1)</f>
        <v/>
      </c>
      <c r="OR27" s="155">
        <f>COUNTIF($OG27:$OH27,2)+$OD27</f>
        <v/>
      </c>
      <c r="OS27" s="155">
        <f>COUNTIF($MV27:$MY27,"?*")</f>
        <v/>
      </c>
      <c r="OT27" s="155">
        <f>COUNTIF($MZ27:$NA27,"?*")+$OD27</f>
        <v/>
      </c>
      <c r="OU27" s="155">
        <f>IF($MQ27=0,0,SUMPRODUCT($OK27:$OP27,INDEX($I$2:$N$8,MAX(1,$MQ27),0)))</f>
        <v/>
      </c>
      <c r="OV27" s="155">
        <f>IF($MQ27=0,0,$OQ27*CEILING($MQ27/2,1)+$OR27*$MQ27)</f>
        <v/>
      </c>
      <c r="OW27" s="155">
        <f>MIN(2*$MQ27,$OV27)</f>
        <v/>
      </c>
      <c r="OX27" s="155">
        <f>MIN($OW27,$OU27)</f>
        <v/>
      </c>
      <c r="OY27" s="155">
        <f>$OW27-$OX27</f>
        <v/>
      </c>
      <c r="OZ27" s="155">
        <f>IF($MQ27=0,0,INDEX($P$2:$P$8,MAX(1,$MQ27)))</f>
        <v/>
      </c>
      <c r="PA27" s="155">
        <f>$OZ27-$OU27+$OX27</f>
        <v/>
      </c>
      <c r="PB27" s="155">
        <f>IF($MQ27=0,MAX(0,$NE27-IF($OS27&gt;0,1,0)),MAX(0,$PA27))</f>
        <v/>
      </c>
      <c r="PC27" s="155">
        <f>IF($MQ27=0,0,(IF(COUNTIF($MV27:$MY27,"Salto")&gt;0,1,0)+IF(COUNTIF($MV27:$MY27,"Queima")&gt;0,1,0)+IF(COUNTIF($MV27:$MY27,"Estilhaço")&gt;0,1,0))*FLOOR($PB27/2,1))</f>
        <v/>
      </c>
      <c r="PD27" s="155">
        <f>MAX(0,2-SUMPRODUCT($OK27:$OP27,$I$2:$N$2)+MIN(2,$OQ27*1+$OR27*1,SUMPRODUCT($OK27:$OP27,$I$2:$N$2)))</f>
        <v/>
      </c>
      <c r="PE27" s="155">
        <f>MAX(0,4-SUMPRODUCT($OK27:$OP27,$I$3:$N$3)+MIN(4,$OQ27*1+$OR27*2,SUMPRODUCT($OK27:$OP27,$I$3:$N$3)))</f>
        <v/>
      </c>
      <c r="PF27" s="155">
        <f>MAX(0,6-SUMPRODUCT($OK27:$OP27,$I$4:$N$4)+MIN(6,$OQ27*2+$OR27*3,SUMPRODUCT($OK27:$OP27,$I$4:$N$4)))</f>
        <v/>
      </c>
      <c r="PG27" s="155">
        <f>MAX(0,9-SUMPRODUCT($OK27:$OP27,$I$5:$N$5)+MIN(8,$OQ27*2+$OR27*4,SUMPRODUCT($OK27:$OP27,$I$5:$N$5)))</f>
        <v/>
      </c>
      <c r="PH27" s="155">
        <f>MAX(0,11-SUMPRODUCT($OK27:$OP27,$I$6:$N$6)+MIN(10,$OQ27*3+$OR27*5,SUMPRODUCT($OK27:$OP27,$I$6:$N$6)))</f>
        <v/>
      </c>
      <c r="PI27" s="155">
        <f>MAX(0,13-SUMPRODUCT($OK27:$OP27,$I$7:$N$7)+MIN(12,$OQ27*3+$OR27*6,SUMPRODUCT($OK27:$OP27,$I$7:$N$7)))</f>
        <v/>
      </c>
      <c r="PJ27" s="155">
        <f>MAX(0,16-SUMPRODUCT($OK27:$OP27,$I$8:$N$8)+MIN(14,$OQ27*4+$OR27*7,SUMPRODUCT($OK27:$OP27,$I$8:$N$8)))</f>
        <v/>
      </c>
      <c r="PK27" s="155">
        <f>IF($OE27=2,3*$PD27&amp;" de vida temp.",IF($OE27=3,"sem dano",IF($PD27=0,IF($OE27=1,"sem cura","sem dano"),IF($OE27=1,"cura ","")&amp;$PD27&amp;"d8")))</f>
        <v/>
      </c>
      <c r="PL27" s="155">
        <f>IF($OE27=2,3*$PE27&amp;" de vida temp.",IF($OE27=3,"sem dano",IF($PE27=0,IF($OE27=1,"sem cura","sem dano"),IF($OE27=1,"cura ","")&amp;$PE27&amp;"d8")))</f>
        <v/>
      </c>
      <c r="PM27" s="155">
        <f>IF($OE27=2,3*$PF27&amp;" de vida temp.",IF($OE27=3,"sem dano",IF($PF27=0,IF($OE27=1,"sem cura","sem dano"),IF($OE27=1,"cura ","")&amp;$PF27&amp;"d8")))</f>
        <v/>
      </c>
      <c r="PN27" s="155">
        <f>IF($OE27=2,3*$PG27&amp;" de vida temp.",IF($OE27=3,"sem dano",IF($PG27=0,IF($OE27=1,"sem cura","sem dano"),IF($OE27=1,"cura ","")&amp;$PG27&amp;"d8")))</f>
        <v/>
      </c>
      <c r="PO27" s="155">
        <f>IF($OE27=2,3*$PH27&amp;" de vida temp.",IF($OE27=3,"sem dano",IF($PH27=0,IF($OE27=1,"sem cura","sem dano"),IF($OE27=1,"cura ","")&amp;$PH27&amp;"d8")))</f>
        <v/>
      </c>
      <c r="PP27" s="155">
        <f>IF($OE27=2,3*$PI27&amp;" de vida temp.",IF($OE27=3,"sem dano",IF($PI27=0,IF($OE27=1,"sem cura","sem dano"),IF($OE27=1,"cura ","")&amp;$PI27&amp;"d8")))</f>
        <v/>
      </c>
      <c r="PQ27" s="155">
        <f>IF($OE27=2,3*$PJ27&amp;" de vida temp.",IF($OE27=3,"sem dano",IF($PJ27=0,IF($OE27=1,"sem cura","sem dano"),IF($OE27=1,"cura ","")&amp;$PJ27&amp;"d8")))</f>
        <v/>
      </c>
      <c r="PR27" s="155">
        <f>IF($NB27=0,"",TEXTJOIN(" · ",TRUE,IF($MO27&gt;$NC27,"Este lugar abre no nível "&amp;$MO27,""),IF($MQ27&gt;$ND27,"Classe "&amp;$MQ27&amp;": o nível "&amp;$NC27&amp;" libera até a "&amp;$ND27,""),IF($NV27=1,"A Forma "&amp;$MS27&amp;" pede "&amp;INDEX($W$2:$W$11,$NH27)&amp;" aberta",""),IF(AND($MQ27=0,$NH27&gt;0,IF($NH27=0,0,INDEX($AF$2:$AF$11,$NH27))=0),$MS27&amp;" não existe na Classe 0",""),IF($NW27=1,"Família Fechada: "&amp;$MV27,""),IF($NX27=1,"Família Fechada: "&amp;$MW27,""),IF($NY27=1,"Família Fechada: "&amp;$MX27,""),IF($NZ27=1,"Família Fechada: "&amp;$MY27,""),IF(AND($MQ27&gt;0,$OS27&gt;INDEX($O$2:$O$8,MAX(1,$MQ27))),$OS27&amp;" Melhorias: a Classe "&amp;$MQ27&amp;" aceita "&amp;INDEX($O$2:$O$8,MAX(1,$MQ27)),""),IF(AND($MQ27=0,$OS27&gt;1),"A básica aceita uma Melhoria",""),IF(AND($MQ27=0,COUNTIF($NM27:$NP27,"&gt;1")&gt;0),"A básica só aceita Melhoria Leve",""),IF(AND($MQ27&gt;0,$OT27&gt;2),$OT27&amp;" Restrições"&amp;IF($OD27=1,", contando a que a Forma "&amp;$MS27&amp;" já traz","")&amp;": o limite é 2",""),IF(AND($MQ27=0,COUNTIF($MZ27:$NA27,"?*")&gt;1),"A básica aceita uma Restrição Leve",""),IF(AND($MQ27=0,COUNTIF($OG27:$OH27,2)&gt;0),"A básica só aceita Restrição Leve",""),IF(AND($MQ27&gt;0,$PA27&lt;0),"Orçamento estourado: faltam "&amp;(-$PA27)&amp;IF($PA27&lt;-1," pontos"," ponto"),""),IF(IFERROR(VLOOKUP($MZ27,$BC$2:$BG$24,4,FALSE),0)+IFERROR(VLOOKUP($NA27,$BC$2:$BG$24,4,FALSE),0)&gt;1,$OI27&amp;" e "&amp;$OJ27&amp;" são as duas de frequência",""),IF(AND((COUNTIF($MV27:$MY27,"Rápido")+COUNTIF($OI27:$OJ27,"Rápido"))&gt;0,(COUNTIF($MV27:$MY27,"Atrasar")+COUNTIF($OI27:$OJ27,"Atrasar"))&gt;0),"Rápido não entra com Atrasar",""),IF(AND((COUNTIF($MV27:$MY27,"Reação")+COUNTIF($OI27:$OJ27,"Reação"))&gt;0,(COUNTIF($MV27:$MY27,"Rápido")+COUNTIF($OI27:$OJ27,"Rápido"))&gt;0),"Reação não entra com Rápido",""),IF(AND((COUNTIF($MV27:$MY27,"Reação")+COUNTIF($OI27:$OJ27,"Reação"))&gt;0,(COUNTIF($MV27:$MY27,"Armado")+COUNTIF($OI27:$OJ27,"Armado"))&gt;0),"Reação não entra com Armado",""),IF(AND((COUNTIF($MV27:$MY27,"Reação")+COUNTIF($OI27:$OJ27,"Reação"))&gt;0,(COUNTIF($MV27:$MY27,"Atrasar")+COUNTIF($OI27:$OJ27,"Atrasar"))&gt;0),"Reação não entra com Atrasar",""),IF(AND((COUNTIF($MV27:$MY27,"Reação")+COUNTIF($OI27:$OJ27,"Reação"))&gt;0,(COUNTIF($MV27:$MY27,"Parado")+COUNTIF($OI27:$OJ27,"Parado"))&gt;0),"Reação não entra com Parado",""),IF(AND((COUNTIF($MV27:$MY27,"Atrasar")+COUNTIF($OI27:$OJ27,"Atrasar"))&gt;0,(COUNTIF($MV27:$MY27,"Parado")+COUNTIF($OI27:$OJ27,"Parado"))&gt;0),"Atrasar não entra com Parado",""),IF(AND((COUNTIF($MV27:$MY27,"Armado")+COUNTIF($OI27:$OJ27,"Armado"))&gt;0,(COUNTIF($MV27:$MY27,"Carregar")+COUNTIF($OI27:$OJ27,"Carregar"))&gt;0),"Armado não entra com Carregar",""),IF(AND(COUNTIF($OI27:$OJ27,"Corpo a Corpo")&gt;0,$OD27=0,OR($MS27="Cone",$MS27="Linha")),"Corpo a Corpo não entra em "&amp;$MS27,""),IF(AND(COUNTIF($OI27:$OJ27,"Corpo a Corpo")&gt;0,$OD27=1),"A Forma "&amp;$MS27&amp;" já traz o Corpo a Corpo",""),IF(AND(COUNTIF($OI27:$OJ27,"Tudo ou Nada")&gt;0,$OF27=0),"Tudo ou Nada só entra em habilidade de Teste de Resistência",""),IF(AND(COUNTIF($MV27:$MY27,"Inescapável")&gt;0,OR($OS27&gt;1,$OT27&gt;0)),"Inescapável não aceita outra peça",""),IF(AND($MQ27&gt;0,$PB27*IF(COUNTIF($MV27:$MY27,"Remate")&gt;0,1.25,1)+$PC27&gt;4*$MQ27),($PB27*IF(COUNTIF($MV27:$MY27,"Remate")&gt;0,1.25,1)+$PC27)&amp;" dados somando repetições"&amp;IF(COUNTIF($MV27:$MY27,"Remate")&gt;0," e o Remate","")&amp;": o teto da Classe "&amp;$MQ27&amp;" é "&amp;4*$MQ27,"")))</f>
        <v/>
      </c>
      <c r="PS27" s="155">
        <f>IF($PR27="",0,(LEN($PR27)-LEN(SUBSTITUTE($PR27," · ","")))/3+1)</f>
        <v/>
      </c>
      <c r="PT27" s="155">
        <f>IF($NB27=0,"",TEXTJOIN(" · ",TRUE,IF($OV27&gt;2*$MQ27,"A devolução parou no teto de "&amp;2*$MQ27,""),IF($OY27&gt;0,"Devolução perdida: "&amp;$OY27&amp;IF($OY27&gt;1," pontos"," ponto")&amp;" sem peça para pagar",""),IF(AND($OA27&gt;0,AND($MQ27&gt;0,$OE27=0),$PB27=0),"Controle sem dano: uma rodada a mais e CD +2",""),IF(AND($OA27&gt;0,AND($MQ27&gt;0,$OE27=0),$PB27&gt;0,$PB27&lt;=$MQ27),"Controle com saldo até a Classe: uma rodada a mais",""),IF(AND($MQ27&gt;0,$OC27&lt;&gt;""),"Efeito de "&amp;$OC27&amp;" pela Classe "&amp;MAX(1,$MQ27-1),"")))</f>
        <v/>
      </c>
      <c r="PU27" s="155">
        <f>IF($PT27="",0,(LEN($PT27)-LEN(SUBSTITUTE($PT27," · ","")))/3+1)</f>
        <v/>
      </c>
      <c r="PV27" s="155">
        <f>IF($NB27=0,IF($OS27+COUNTIF($MZ27:$NA27,"?*")&gt;0,"Dê um nome",""),IF($PS27&gt;0,"⚠ "&amp;$PS27&amp;IF($PS27&gt;1," erros"," erro"),IF($PU27&gt;0,"! "&amp;$PU27&amp;IF($PU27&gt;1," avisos"," aviso"),"Na regra")))</f>
        <v/>
      </c>
      <c r="PW27" s="155">
        <f>IF($NB27=0,"",IF($PS27+$PU27=0,"Dentro das regras que a ficha confere",$PR27&amp;IF(AND($PS27&gt;0,$PU27&gt;0)," · ","")&amp;$PT27))</f>
        <v/>
      </c>
      <c r="PX27" s="155">
        <f>IF($MO27&gt;$NC27,$MP27&amp;" · ABRE NO NÍVEL "&amp;$MO27,$MP27)</f>
        <v/>
      </c>
      <c r="PY27" s="155">
        <f>IF($NB27=0,"",IF($MQ27=0,"Sem PE",3*$MQ27&amp;" PE"))</f>
        <v/>
      </c>
      <c r="PZ27" s="155">
        <f>IF($NB27=0,"",IF($MQ27=0,"A atuação básica dela",IF(COUNTIF($OI27:$OJ27,"Atrasar")&gt;0,"Sua Ação Completa",IF(COUNTIF($MV27:$MY27,"Rápido")&gt;0,"Sua Bônus",IF(COUNTIF($MV27:$MY27,"Reação")&gt;0,"Sua Reação","Sua Padrão")))&amp;" + a básica dela"&amp;IF(COUNTIF($MV27:$MY27,"Reação")&gt;0," e a coletiva","")&amp;IF(COUNTIF($OI27:$OJ27,"Carregar")&gt;0," · em dois turnos","")))</f>
        <v/>
      </c>
      <c r="QA27" s="155">
        <f>IF($MU27&lt;&gt;"",$MU27,IF($NH27=0,"",INDEX($AA$2:$AA$11,$NH27)))</f>
        <v/>
      </c>
      <c r="QB27" s="155">
        <f>IF(OR($NB27=0,$NH27=0),"",IF(COUNTIF($MV27:$MY27,"Inescapável")&gt;0,"Automático",IF($QA27="Ataque",IF($NF27="","Ataque","Ataque "&amp;IF(($NF27+2*IF(COUNTIF($MV27:$MY27,"Precisão")&gt;0,1,0))&gt;=0,"+","−")&amp;ABS(($NF27+2*IF(COUNTIF($MV27:$MY27,"Precisão")&gt;0,1,0))))&amp;IF($OB27&gt;0," · TR"&amp;IF($NG27="",""," CD "&amp;$NG27),""),IF(LEFT($QA27,2)="TR",$QA27&amp;IF($NG27="",""," · CD "&amp;$NG27)&amp;IF(COUNTIF($MV27:$MY27,"Certeiro")&gt;0," · metade",""),"Sem rolagem"))))</f>
        <v/>
      </c>
      <c r="QC27" s="155">
        <f>IF(OR($NB27=0,$NH27=0),"",IF($MQ27=0,IF(OR($OE27&gt;=1,$PB27=0),"Sem dano",$PB27&amp;"d6"&amp;IF($MT27="",""," "&amp;$MT27)),IF(OR($OE27&gt;=1,$PB27=0),UPPER(LEFT(INDEX($PK27:$PQ27,1,MAX(1,$MQ27)),1))&amp;MID(INDEX($PK27:$PQ27,1,MAX(1,$MQ27)),2,99),UPPER(LEFT(INDEX($PK27:$PQ27,1,MAX(1,$MQ27)),1))&amp;MID(INDEX($PK27:$PQ27,1,MAX(1,$MQ27)),2,99)&amp;IF($MT27="",""," "&amp;$MT27)&amp;IF($PC27&gt;0," · +"&amp;$PC27&amp;"d8",""))))</f>
        <v/>
      </c>
      <c r="QD27" s="155">
        <f>COUNTIF($MV27:$MY27,"Longe")+3*COUNTIF($MV27:$MY27,"Muito Longe")</f>
        <v/>
      </c>
      <c r="QE27" s="155">
        <f>COUNTIF($MV27:$MY27,"Maior")+3*COUNTIF($MV27:$MY27,"Muito Maior")</f>
        <v/>
      </c>
      <c r="QF27" s="155">
        <f>IF($NH27=0,0,CHOOSE(1+INDEX($AC$2:$AC$11,$NH27),0,$QD27,$QE27,$QD27+$QE27))</f>
        <v/>
      </c>
      <c r="QG27" s="155">
        <f>IF($NH27=0,0,CHOOSE(1+INDEX($AD$2:$AD$11,$NH27),0,$QD27,$QE27,$QD27+$QE27))</f>
        <v/>
      </c>
      <c r="QH27" s="155">
        <f>IF(OR($NB27=0,$NH27=0),"",INDEX($AI$2:$AN$41,($NH27-1)*4+IF($MQ27=0,1,IF($MQ27&lt;=5,2,IF($MQ27=6,3,4))),1+MIN(5,$QF27))&amp;INDEX($AO$2:$AT$41,($NH27-1)*4+IF($MQ27=0,1,IF($MQ27&lt;=5,2,IF($MQ27=6,3,4))),1+MIN(5,$QG27))&amp;IF(INDEX($AE$2:$AE$11,$NH27)=1,IF(COUNTIF($MV27:$MY27,"Mais Um")&gt;0," · +"&amp;COUNTIF($MV27:$MY27,"Mais Um")&amp;IF(COUNTIF($MV27:$MY27,"Mais Um")&gt;1," alvos"," alvo"),"")&amp;IF(COUNTIF($MV27:$MY27,"Rajada")&gt;0,IF($MQ27=0," · 1 tiro"," · "&amp;(MAX(1,$MQ27-1)+1)&amp;" tiros"),""),""))</f>
        <v/>
      </c>
      <c r="QI27" s="155">
        <f>IF($NB27=0,"",IF($MQ27=0,$NE27&amp;"d6"&amp;IF($OS27&gt;0," − 1 = "&amp;$PB27&amp;"d6"," da básica do nível "&amp;$NC27),$OZ27&amp;" − "&amp;$OU27&amp;" + "&amp;$OX27&amp;" = "&amp;$PA27&amp;" · teto "&amp;4*$MQ27&amp;"d8"&amp;IF($OD27=1," · a Forma devolve "&amp;$MQ27,"")&amp;IF($OY27&gt;0," · perde "&amp;$OY27,"")))</f>
        <v/>
      </c>
      <c r="QJ27" s="155">
        <f>IF($NB27=0,"",IF($MQ27=0,"A básica não amplia: os dados dela sobem com o nível",IF($MQ27&gt;=$ND27,"Já está na maior Classe que o nível liberou",TEXTJOIN(" · ",TRUE,IF(AND(2&gt;$MQ27,2&lt;=$ND27),"2 → "&amp;$PL27&amp;", 6 PE",""),IF(AND(3&gt;$MQ27,3&lt;=$ND27),"3 → "&amp;$PM27&amp;", 9 PE",""),IF(AND(4&gt;$MQ27,4&lt;=$ND27),"4 → "&amp;$PN27&amp;", 12 PE",""),IF(AND(5&gt;$MQ27,5&lt;=$ND27),"5 → "&amp;$PO27&amp;", 15 PE",""),IF(AND(6&gt;$MQ27,6&lt;=$ND27),"6 → "&amp;$PP27&amp;", 18 PE",""),IF(AND(7&gt;$MQ27,7&lt;=$ND27),"7 → "&amp;$PQ27&amp;", 21 PE","")))))</f>
        <v/>
      </c>
      <c r="QK27" s="155">
        <f>IF(OR($NB27=0,$NM27=0),"",IF($MQ27=0,"−1 dado","−"&amp;INDEX($I$2:$N$8,MAX(1,$MQ27),MAX(1,$NR27))&amp;" · "&amp;CHOOSE(MAX(1,$NR27),"Leve","Média","Pesada","Leve · Livre","Média · Livre","Pesada · Livre")))</f>
        <v/>
      </c>
      <c r="QL27" s="155">
        <f>IF(OR($NB27=0,$NN27=0),"",IF($MQ27=0,"−1 dado","−"&amp;INDEX($I$2:$N$8,MAX(1,$MQ27),MAX(1,$NS27))&amp;" · "&amp;CHOOSE(MAX(1,$NS27),"Leve","Média","Pesada","Leve · Livre","Média · Livre","Pesada · Livre")))</f>
        <v/>
      </c>
      <c r="QM27" s="155">
        <f>IF(OR($NB27=0,$NO27=0),"",IF($MQ27=0,"−1 dado","−"&amp;INDEX($I$2:$N$8,MAX(1,$MQ27),MAX(1,$NT27))&amp;" · "&amp;CHOOSE(MAX(1,$NT27),"Leve","Média","Pesada","Leve · Livre","Média · Livre","Pesada · Livre")))</f>
        <v/>
      </c>
      <c r="QN27" s="155">
        <f>IF(OR($NB27=0,$NP27=0),"",IF($MQ27=0,"−1 dado","−"&amp;INDEX($I$2:$N$8,MAX(1,$MQ27),MAX(1,$NU27))&amp;" · "&amp;CHOOSE(MAX(1,$NU27),"Leve","Média","Pesada","Leve · Livre","Média · Livre","Pesada · Livre")))</f>
        <v/>
      </c>
      <c r="QO27" s="155">
        <f>IF(OR($NB27=0,$MZ27=""),"",IF($MQ27=0,"não devolve","+"&amp;IF($OG27=1,CEILING($MQ27/2,1),$MQ27)))</f>
        <v/>
      </c>
      <c r="QP27" s="155">
        <f>IF(OR($NB27=0,$NA27=""),"",IF($MQ27=0,"não devolve","+"&amp;IF($OH27=1,CEILING($MQ27/2,1),$MQ27)))</f>
        <v/>
      </c>
    </row>
    <row r="28">
      <c r="AH28" s="153" t="inlineStr">
        <is>
          <t>Cura · classe 6</t>
        </is>
      </c>
      <c r="AI28" s="153" t="inlineStr">
        <is>
          <t>Um aliado a 18 m</t>
        </is>
      </c>
      <c r="AJ28" s="153" t="inlineStr">
        <is>
          <t>Um aliado a 36 m</t>
        </is>
      </c>
      <c r="AK28" s="153" t="inlineStr">
        <is>
          <t>Um aliado a 90 m</t>
        </is>
      </c>
      <c r="AL28" s="153" t="inlineStr">
        <is>
          <t>Um aliado a visão a olho nu</t>
        </is>
      </c>
      <c r="AM28" s="153" t="inlineStr">
        <is>
          <t>Um aliado a visão a olho nu</t>
        </is>
      </c>
      <c r="AN28" s="153" t="inlineStr">
        <is>
          <t>Um aliado a visão a olho nu</t>
        </is>
      </c>
      <c r="AO28" s="153" t="inlineStr"/>
      <c r="AP28" s="153" t="inlineStr"/>
      <c r="AQ28" s="153" t="inlineStr"/>
      <c r="AR28" s="153" t="inlineStr"/>
      <c r="AS28" s="153" t="inlineStr"/>
      <c r="AT28" s="153" t="inlineStr"/>
      <c r="AV28" s="153" t="inlineStr">
        <is>
          <t>Agarrado</t>
        </is>
      </c>
      <c r="AW28" s="153" t="inlineStr">
        <is>
          <t>Controle</t>
        </is>
      </c>
      <c r="AX28" s="155" t="n">
        <v>1</v>
      </c>
      <c r="AY28" s="155" t="n">
        <v>1</v>
      </c>
      <c r="AZ28" s="155" t="n">
        <v>0</v>
      </c>
      <c r="BA28" s="155" t="n">
        <v>1</v>
      </c>
      <c r="JR28" s="155">
        <f>IF(OR($AW28="",COUNTIF($EJ$2:$EN$2,$AW28)&gt;0),$AV28,"")</f>
        <v/>
      </c>
      <c r="JS28" s="155">
        <f>IF(AND($AX28=1,OR($AW28="",COUNTIF($EJ$2:$EN$2,$AW28)&gt;0)),$AV28,"")</f>
        <v/>
      </c>
      <c r="JX28" s="155">
        <f>IF(OR($AW28="",COUNTIF($EJ$3:$EN$3,$AW28)&gt;0),$AV28,"")</f>
        <v/>
      </c>
      <c r="JY28" s="155">
        <f>IF(AND($AX28=1,OR($AW28="",COUNTIF($EJ$3:$EN$3,$AW28)&gt;0)),$AV28,"")</f>
        <v/>
      </c>
      <c r="KD28" s="155">
        <f>IF(OR($AW28="",COUNTIF($EJ$4:$EN$4,$AW28)&gt;0),$AV28,"")</f>
        <v/>
      </c>
      <c r="KE28" s="155">
        <f>IF(AND($AX28=1,OR($AW28="",COUNTIF($EJ$4:$EN$4,$AW28)&gt;0)),$AV28,"")</f>
        <v/>
      </c>
      <c r="KJ28" s="155">
        <f>IF(OR($AW28="",COUNTIF($EJ$5:$EN$5,$AW28)&gt;0),$AV28,"")</f>
        <v/>
      </c>
      <c r="KK28" s="155">
        <f>IF(AND($AX28=1,OR($AW28="",COUNTIF($EJ$5:$EN$5,$AW28)&gt;0)),$AV28,"")</f>
        <v/>
      </c>
      <c r="KP28" s="155">
        <f>IF(OR($AW28="",COUNTIF($EJ$6:$EN$6,$AW28)&gt;0),$AV28,"")</f>
        <v/>
      </c>
      <c r="KQ28" s="155">
        <f>IF(AND($AX28=1,OR($AW28="",COUNTIF($EJ$6:$EN$6,$AW28)&gt;0)),$AV28,"")</f>
        <v/>
      </c>
      <c r="KV28" s="155">
        <f>IF(OR($AW28="",COUNTIF($EJ$7:$EN$7,$AW28)&gt;0),$AV28,"")</f>
        <v/>
      </c>
      <c r="KW28" s="155">
        <f>IF(AND($AX28=1,OR($AW28="",COUNTIF($EJ$7:$EN$7,$AW28)&gt;0)),$AV28,"")</f>
        <v/>
      </c>
      <c r="LB28" s="155">
        <f>IF(OR($AW28="",COUNTIF($EJ$8:$EN$8,$AW28)&gt;0),$AV28,"")</f>
        <v/>
      </c>
      <c r="LC28" s="155">
        <f>IF(AND($AX28=1,OR($AW28="",COUNTIF($EJ$8:$EN$8,$AW28)&gt;0)),$AV28,"")</f>
        <v/>
      </c>
      <c r="LH28" s="155">
        <f>IF(OR($AW28="",COUNTIF($EJ$9:$EN$9,$AW28)&gt;0),$AV28,"")</f>
        <v/>
      </c>
      <c r="LI28" s="155">
        <f>IF(AND($AX28=1,OR($AW28="",COUNTIF($EJ$9:$EN$9,$AW28)&gt;0)),$AV28,"")</f>
        <v/>
      </c>
      <c r="LN28" s="155">
        <f>IF(OR($AW28="",COUNTIF($EJ$10:$EN$10,$AW28)&gt;0),$AV28,"")</f>
        <v/>
      </c>
      <c r="LO28" s="155">
        <f>IF(AND($AX28=1,OR($AW28="",COUNTIF($EJ$10:$EN$10,$AW28)&gt;0)),$AV28,"")</f>
        <v/>
      </c>
      <c r="LT28" s="155">
        <f>IF(OR($AW28="",COUNTIF($EJ$11:$EN$11,$AW28)&gt;0),$AV28,"")</f>
        <v/>
      </c>
      <c r="LU28" s="155">
        <f>IF(AND($AX28=1,OR($AW28="",COUNTIF($EJ$11:$EN$11,$AW28)&gt;0)),$AV28,"")</f>
        <v/>
      </c>
      <c r="LZ28" s="155">
        <f>IF(OR($AW28="",COUNTIF($EJ$12:$EN$12,$AW28)&gt;0),$AV28,"")</f>
        <v/>
      </c>
      <c r="MA28" s="155">
        <f>IF(AND($AX28=1,OR($AW28="",COUNTIF($EJ$12:$EN$12,$AW28)&gt;0)),$AV28,"")</f>
        <v/>
      </c>
      <c r="MF28" s="155">
        <f>IF(OR($AW28="",COUNTIF($EJ$13:$EN$13,$AW28)&gt;0),$AV28,"")</f>
        <v/>
      </c>
      <c r="MG28" s="155">
        <f>IF(AND($AX28=1,OR($AW28="",COUNTIF($EJ$13:$EN$13,$AW28)&gt;0)),$AV28,"")</f>
        <v/>
      </c>
      <c r="ML28" s="153" t="inlineStr">
        <is>
          <t>Ficha 3 · Básica 1</t>
        </is>
      </c>
      <c r="MM28" s="155" t="n">
        <v>3</v>
      </c>
      <c r="MN28" s="155" t="n">
        <v>0</v>
      </c>
      <c r="MO28" s="155" t="n">
        <v>1</v>
      </c>
      <c r="MP28" s="153" t="inlineStr">
        <is>
          <t>BÁSICA 1</t>
        </is>
      </c>
      <c r="MQ28" s="155" t="n">
        <v>0</v>
      </c>
      <c r="MR28" s="155">
        <f>'INVOCAÇÕES'!$J$454&amp;""</f>
        <v/>
      </c>
      <c r="MS28" s="155">
        <f>'INVOCAÇÕES'!$I$459&amp;""</f>
        <v/>
      </c>
      <c r="MT28" s="155">
        <f>'INVOCAÇÕES'!$I$460&amp;""</f>
        <v/>
      </c>
      <c r="MU28" s="155">
        <f>'INVOCAÇÕES'!$K$460&amp;""</f>
        <v/>
      </c>
      <c r="MV28" s="155">
        <f>'INVOCAÇÕES'!$J$463&amp;""</f>
        <v/>
      </c>
      <c r="MW28" s="155">
        <f>'INVOCAÇÕES'!$J$464&amp;""</f>
        <v/>
      </c>
      <c r="MX28" s="155">
        <f>'INVOCAÇÕES'!$J$465&amp;""</f>
        <v/>
      </c>
      <c r="MY28" s="155">
        <f>'INVOCAÇÕES'!$J$466&amp;""</f>
        <v/>
      </c>
      <c r="MZ28" s="155">
        <f>'INVOCAÇÕES'!$J$467&amp;""</f>
        <v/>
      </c>
      <c r="NA28" s="155">
        <f>'INVOCAÇÕES'!$J$468&amp;""</f>
        <v/>
      </c>
      <c r="NB28" s="155">
        <f>IF($MR28&lt;&gt;"",1,0)</f>
        <v/>
      </c>
      <c r="NC28" s="155">
        <f>INDEX($FM$2:$FM$13,$MM28)</f>
        <v/>
      </c>
      <c r="ND28" s="155">
        <f>INDEX($FN$2:$FN$13,$MM28)</f>
        <v/>
      </c>
      <c r="NE28" s="155">
        <f>INDEX($FO$2:$FO$13,$MM28)</f>
        <v/>
      </c>
      <c r="NF28" s="155">
        <f>INDEX($FZ$2:$FZ$13,$MM28)</f>
        <v/>
      </c>
      <c r="NG28" s="155">
        <f>INDEX($GA$2:$GA$13,$MM28)</f>
        <v/>
      </c>
      <c r="NH28" s="155">
        <f>IFERROR(MATCH($MS28,$V$2:$V$11,0),0)</f>
        <v/>
      </c>
      <c r="NI28" s="155">
        <f>IFERROR(VLOOKUP($MV28,$AV$2:$BA$84,2,FALSE),"")</f>
        <v/>
      </c>
      <c r="NJ28" s="155">
        <f>IFERROR(VLOOKUP($MW28,$AV$2:$BA$84,2,FALSE),"")</f>
        <v/>
      </c>
      <c r="NK28" s="155">
        <f>IFERROR(VLOOKUP($MX28,$AV$2:$BA$84,2,FALSE),"")</f>
        <v/>
      </c>
      <c r="NL28" s="155">
        <f>IFERROR(VLOOKUP($MY28,$AV$2:$BA$84,2,FALSE),"")</f>
        <v/>
      </c>
      <c r="NM28" s="155">
        <f>IFERROR(VLOOKUP($MV28,$AV$2:$BA$84,3,FALSE),0)</f>
        <v/>
      </c>
      <c r="NN28" s="155">
        <f>IFERROR(VLOOKUP($MW28,$AV$2:$BA$84,3,FALSE),0)</f>
        <v/>
      </c>
      <c r="NO28" s="155">
        <f>IFERROR(VLOOKUP($MX28,$AV$2:$BA$84,3,FALSE),0)</f>
        <v/>
      </c>
      <c r="NP28" s="155">
        <f>IFERROR(VLOOKUP($MY28,$AV$2:$BA$84,3,FALSE),0)</f>
        <v/>
      </c>
      <c r="NQ28" s="155">
        <f>IF($MQ28=0,0,IF($NH28=0,0,INDEX($X$2:$X$11,$NH28)))</f>
        <v/>
      </c>
      <c r="NR28" s="155">
        <f>IF(OR($NM28=0,$MQ28=0),0,$NM28+3*IF(AND($NI28&lt;&gt;"",OR($NI28=INDEX($EJ$2:$EJ$13,$MM28),$NI28=INDEX($EK$2:$EK$13,$MM28))),1,0))</f>
        <v/>
      </c>
      <c r="NS28" s="155">
        <f>IF(OR($NN28=0,$MQ28=0),0,$NN28+3*IF(AND($NJ28&lt;&gt;"",OR($NJ28=INDEX($EJ$2:$EJ$13,$MM28),$NJ28=INDEX($EK$2:$EK$13,$MM28))),1,0))</f>
        <v/>
      </c>
      <c r="NT28" s="155">
        <f>IF(OR($NO28=0,$MQ28=0),0,$NO28+3*IF(AND($NK28&lt;&gt;"",OR($NK28=INDEX($EJ$2:$EJ$13,$MM28),$NK28=INDEX($EK$2:$EK$13,$MM28))),1,0))</f>
        <v/>
      </c>
      <c r="NU28" s="155">
        <f>IF(OR($NP28=0,$MQ28=0),0,$NP28+3*IF(AND($NL28&lt;&gt;"",OR($NL28=INDEX($EJ$2:$EJ$13,$MM28),$NL28=INDEX($EK$2:$EK$13,$MM28))),1,0))</f>
        <v/>
      </c>
      <c r="NV28" s="155">
        <f>IF($NH28=0,0,IF(INDEX($W$2:$W$11,$NH28)="",0,IF(COUNTIF(INDEX($EJ$2:$EN$13,$MM28,0),INDEX($W$2:$W$11,$NH28))=0,1,0)))</f>
        <v/>
      </c>
      <c r="NW28" s="155">
        <f>IF(OR($NM28=0,$NI28=""),0,IF(COUNTIF(INDEX($EJ$2:$EN$13,$MM28,0),$NI28)=0,1,0))</f>
        <v/>
      </c>
      <c r="NX28" s="155">
        <f>IF(OR($NN28=0,$NJ28=""),0,IF(COUNTIF(INDEX($EJ$2:$EN$13,$MM28,0),$NJ28)=0,1,0))</f>
        <v/>
      </c>
      <c r="NY28" s="155">
        <f>IF(OR($NO28=0,$NK28=""),0,IF(COUNTIF(INDEX($EJ$2:$EN$13,$MM28,0),$NK28)=0,1,0))</f>
        <v/>
      </c>
      <c r="NZ28" s="155">
        <f>IF(OR($NP28=0,$NL28=""),0,IF(COUNTIF(INDEX($EJ$2:$EN$13,$MM28,0),$NL28)=0,1,0))</f>
        <v/>
      </c>
      <c r="OA28" s="155">
        <f>IFERROR(VLOOKUP($MV28,$AV$2:$BA$84,4,FALSE),0)+IFERROR(VLOOKUP($MW28,$AV$2:$BA$84,4,FALSE),0)+IFERROR(VLOOKUP($MX28,$AV$2:$BA$84,4,FALSE),0)+IFERROR(VLOOKUP($MY28,$AV$2:$BA$84,4,FALSE),0)</f>
        <v/>
      </c>
      <c r="OB28" s="155">
        <f>IFERROR(VLOOKUP($MV28,$AV$2:$BA$84,6,FALSE),0)+IFERROR(VLOOKUP($MW28,$AV$2:$BA$84,6,FALSE),0)+IFERROR(VLOOKUP($MX28,$AV$2:$BA$84,6,FALSE),0)+IFERROR(VLOOKUP($MY28,$AV$2:$BA$84,6,FALSE),0)</f>
        <v/>
      </c>
      <c r="OC28" s="155">
        <f>TEXTJOIN(", ",TRUE,IF(IFERROR(VLOOKUP($MV28,$AV$2:$BA$84,5,FALSE),0)=1,$MV28,""),IF(IFERROR(VLOOKUP($MW28,$AV$2:$BA$84,5,FALSE),0)=1,$MW28,""),IF(IFERROR(VLOOKUP($MX28,$AV$2:$BA$84,5,FALSE),0)=1,$MX28,""),IF(IFERROR(VLOOKUP($MY28,$AV$2:$BA$84,5,FALSE),0)=1,$MY28,""))</f>
        <v/>
      </c>
      <c r="OD28" s="155">
        <f>IF($NH28=0,0,INDEX($Y$2:$Y$11,$NH28))</f>
        <v/>
      </c>
      <c r="OE28" s="155">
        <f>IF($NH28=0,0,INDEX($Z$2:$Z$11,$NH28))</f>
        <v/>
      </c>
      <c r="OF28" s="155">
        <f>IF($NH28=0,0,INDEX($AB$2:$AB$11,$NH28))</f>
        <v/>
      </c>
      <c r="OG28" s="155">
        <f>IFERROR(VLOOKUP($MZ28,$BC$2:$BG$24,3,FALSE),0)</f>
        <v/>
      </c>
      <c r="OH28" s="155">
        <f>IFERROR(VLOOKUP($NA28,$BC$2:$BG$24,3,FALSE),0)</f>
        <v/>
      </c>
      <c r="OI28" s="155">
        <f>IFERROR(VLOOKUP($MZ28,$BC$2:$BG$24,2,FALSE),"")</f>
        <v/>
      </c>
      <c r="OJ28" s="155">
        <f>IFERROR(VLOOKUP($NA28,$BC$2:$BG$24,2,FALSE),"")</f>
        <v/>
      </c>
      <c r="OK28" s="155">
        <f>COUNTIF($NQ28:$NU28,1)</f>
        <v/>
      </c>
      <c r="OL28" s="155">
        <f>COUNTIF($NQ28:$NU28,2)</f>
        <v/>
      </c>
      <c r="OM28" s="155">
        <f>COUNTIF($NQ28:$NU28,3)</f>
        <v/>
      </c>
      <c r="ON28" s="155">
        <f>COUNTIF($NQ28:$NU28,4)</f>
        <v/>
      </c>
      <c r="OO28" s="155">
        <f>COUNTIF($NQ28:$NU28,5)</f>
        <v/>
      </c>
      <c r="OP28" s="155">
        <f>COUNTIF($NQ28:$NU28,6)</f>
        <v/>
      </c>
      <c r="OQ28" s="155">
        <f>COUNTIF($OG28:$OH28,1)</f>
        <v/>
      </c>
      <c r="OR28" s="155">
        <f>COUNTIF($OG28:$OH28,2)+$OD28</f>
        <v/>
      </c>
      <c r="OS28" s="155">
        <f>COUNTIF($MV28:$MY28,"?*")</f>
        <v/>
      </c>
      <c r="OT28" s="155">
        <f>COUNTIF($MZ28:$NA28,"?*")+$OD28</f>
        <v/>
      </c>
      <c r="OU28" s="155">
        <f>IF($MQ28=0,0,SUMPRODUCT($OK28:$OP28,INDEX($I$2:$N$8,MAX(1,$MQ28),0)))</f>
        <v/>
      </c>
      <c r="OV28" s="155">
        <f>IF($MQ28=0,0,$OQ28*CEILING($MQ28/2,1)+$OR28*$MQ28)</f>
        <v/>
      </c>
      <c r="OW28" s="155">
        <f>MIN(2*$MQ28,$OV28)</f>
        <v/>
      </c>
      <c r="OX28" s="155">
        <f>MIN($OW28,$OU28)</f>
        <v/>
      </c>
      <c r="OY28" s="155">
        <f>$OW28-$OX28</f>
        <v/>
      </c>
      <c r="OZ28" s="155">
        <f>IF($MQ28=0,0,INDEX($P$2:$P$8,MAX(1,$MQ28)))</f>
        <v/>
      </c>
      <c r="PA28" s="155">
        <f>$OZ28-$OU28+$OX28</f>
        <v/>
      </c>
      <c r="PB28" s="155">
        <f>IF($MQ28=0,MAX(0,$NE28-IF($OS28&gt;0,1,0)),MAX(0,$PA28))</f>
        <v/>
      </c>
      <c r="PC28" s="155">
        <f>IF($MQ28=0,0,(IF(COUNTIF($MV28:$MY28,"Salto")&gt;0,1,0)+IF(COUNTIF($MV28:$MY28,"Queima")&gt;0,1,0)+IF(COUNTIF($MV28:$MY28,"Estilhaço")&gt;0,1,0))*FLOOR($PB28/2,1))</f>
        <v/>
      </c>
      <c r="PD28" s="155">
        <f>MAX(0,2-SUMPRODUCT($OK28:$OP28,$I$2:$N$2)+MIN(2,$OQ28*1+$OR28*1,SUMPRODUCT($OK28:$OP28,$I$2:$N$2)))</f>
        <v/>
      </c>
      <c r="PE28" s="155">
        <f>MAX(0,4-SUMPRODUCT($OK28:$OP28,$I$3:$N$3)+MIN(4,$OQ28*1+$OR28*2,SUMPRODUCT($OK28:$OP28,$I$3:$N$3)))</f>
        <v/>
      </c>
      <c r="PF28" s="155">
        <f>MAX(0,6-SUMPRODUCT($OK28:$OP28,$I$4:$N$4)+MIN(6,$OQ28*2+$OR28*3,SUMPRODUCT($OK28:$OP28,$I$4:$N$4)))</f>
        <v/>
      </c>
      <c r="PG28" s="155">
        <f>MAX(0,9-SUMPRODUCT($OK28:$OP28,$I$5:$N$5)+MIN(8,$OQ28*2+$OR28*4,SUMPRODUCT($OK28:$OP28,$I$5:$N$5)))</f>
        <v/>
      </c>
      <c r="PH28" s="155">
        <f>MAX(0,11-SUMPRODUCT($OK28:$OP28,$I$6:$N$6)+MIN(10,$OQ28*3+$OR28*5,SUMPRODUCT($OK28:$OP28,$I$6:$N$6)))</f>
        <v/>
      </c>
      <c r="PI28" s="155">
        <f>MAX(0,13-SUMPRODUCT($OK28:$OP28,$I$7:$N$7)+MIN(12,$OQ28*3+$OR28*6,SUMPRODUCT($OK28:$OP28,$I$7:$N$7)))</f>
        <v/>
      </c>
      <c r="PJ28" s="155">
        <f>MAX(0,16-SUMPRODUCT($OK28:$OP28,$I$8:$N$8)+MIN(14,$OQ28*4+$OR28*7,SUMPRODUCT($OK28:$OP28,$I$8:$N$8)))</f>
        <v/>
      </c>
      <c r="PK28" s="155">
        <f>IF($OE28=2,3*$PD28&amp;" de vida temp.",IF($OE28=3,"sem dano",IF($PD28=0,IF($OE28=1,"sem cura","sem dano"),IF($OE28=1,"cura ","")&amp;$PD28&amp;"d8")))</f>
        <v/>
      </c>
      <c r="PL28" s="155">
        <f>IF($OE28=2,3*$PE28&amp;" de vida temp.",IF($OE28=3,"sem dano",IF($PE28=0,IF($OE28=1,"sem cura","sem dano"),IF($OE28=1,"cura ","")&amp;$PE28&amp;"d8")))</f>
        <v/>
      </c>
      <c r="PM28" s="155">
        <f>IF($OE28=2,3*$PF28&amp;" de vida temp.",IF($OE28=3,"sem dano",IF($PF28=0,IF($OE28=1,"sem cura","sem dano"),IF($OE28=1,"cura ","")&amp;$PF28&amp;"d8")))</f>
        <v/>
      </c>
      <c r="PN28" s="155">
        <f>IF($OE28=2,3*$PG28&amp;" de vida temp.",IF($OE28=3,"sem dano",IF($PG28=0,IF($OE28=1,"sem cura","sem dano"),IF($OE28=1,"cura ","")&amp;$PG28&amp;"d8")))</f>
        <v/>
      </c>
      <c r="PO28" s="155">
        <f>IF($OE28=2,3*$PH28&amp;" de vida temp.",IF($OE28=3,"sem dano",IF($PH28=0,IF($OE28=1,"sem cura","sem dano"),IF($OE28=1,"cura ","")&amp;$PH28&amp;"d8")))</f>
        <v/>
      </c>
      <c r="PP28" s="155">
        <f>IF($OE28=2,3*$PI28&amp;" de vida temp.",IF($OE28=3,"sem dano",IF($PI28=0,IF($OE28=1,"sem cura","sem dano"),IF($OE28=1,"cura ","")&amp;$PI28&amp;"d8")))</f>
        <v/>
      </c>
      <c r="PQ28" s="155">
        <f>IF($OE28=2,3*$PJ28&amp;" de vida temp.",IF($OE28=3,"sem dano",IF($PJ28=0,IF($OE28=1,"sem cura","sem dano"),IF($OE28=1,"cura ","")&amp;$PJ28&amp;"d8")))</f>
        <v/>
      </c>
      <c r="PR28" s="155">
        <f>IF($NB28=0,"",TEXTJOIN(" · ",TRUE,IF($MO28&gt;$NC28,"Este lugar abre no nível "&amp;$MO28,""),IF($MQ28&gt;$ND28,"Classe "&amp;$MQ28&amp;": o nível "&amp;$NC28&amp;" libera até a "&amp;$ND28,""),IF($NV28=1,"A Forma "&amp;$MS28&amp;" pede "&amp;INDEX($W$2:$W$11,$NH28)&amp;" aberta",""),IF(AND($MQ28=0,$NH28&gt;0,IF($NH28=0,0,INDEX($AF$2:$AF$11,$NH28))=0),$MS28&amp;" não existe na Classe 0",""),IF($NW28=1,"Família Fechada: "&amp;$MV28,""),IF($NX28=1,"Família Fechada: "&amp;$MW28,""),IF($NY28=1,"Família Fechada: "&amp;$MX28,""),IF($NZ28=1,"Família Fechada: "&amp;$MY28,""),IF(AND($MQ28&gt;0,$OS28&gt;INDEX($O$2:$O$8,MAX(1,$MQ28))),$OS28&amp;" Melhorias: a Classe "&amp;$MQ28&amp;" aceita "&amp;INDEX($O$2:$O$8,MAX(1,$MQ28)),""),IF(AND($MQ28=0,$OS28&gt;1),"A básica aceita uma Melhoria",""),IF(AND($MQ28=0,COUNTIF($NM28:$NP28,"&gt;1")&gt;0),"A básica só aceita Melhoria Leve",""),IF(AND($MQ28&gt;0,$OT28&gt;2),$OT28&amp;" Restrições"&amp;IF($OD28=1,", contando a que a Forma "&amp;$MS28&amp;" já traz","")&amp;": o limite é 2",""),IF(AND($MQ28=0,COUNTIF($MZ28:$NA28,"?*")&gt;1),"A básica aceita uma Restrição Leve",""),IF(AND($MQ28=0,COUNTIF($OG28:$OH28,2)&gt;0),"A básica só aceita Restrição Leve",""),IF(AND($MQ28&gt;0,$PA28&lt;0),"Orçamento estourado: faltam "&amp;(-$PA28)&amp;IF($PA28&lt;-1," pontos"," ponto"),""),IF(IFERROR(VLOOKUP($MZ28,$BC$2:$BG$24,4,FALSE),0)+IFERROR(VLOOKUP($NA28,$BC$2:$BG$24,4,FALSE),0)&gt;1,$OI28&amp;" e "&amp;$OJ28&amp;" são as duas de frequência",""),IF(AND((COUNTIF($MV28:$MY28,"Rápido")+COUNTIF($OI28:$OJ28,"Rápido"))&gt;0,(COUNTIF($MV28:$MY28,"Atrasar")+COUNTIF($OI28:$OJ28,"Atrasar"))&gt;0),"Rápido não entra com Atrasar",""),IF(AND((COUNTIF($MV28:$MY28,"Reação")+COUNTIF($OI28:$OJ28,"Reação"))&gt;0,(COUNTIF($MV28:$MY28,"Rápido")+COUNTIF($OI28:$OJ28,"Rápido"))&gt;0),"Reação não entra com Rápido",""),IF(AND((COUNTIF($MV28:$MY28,"Reação")+COUNTIF($OI28:$OJ28,"Reação"))&gt;0,(COUNTIF($MV28:$MY28,"Armado")+COUNTIF($OI28:$OJ28,"Armado"))&gt;0),"Reação não entra com Armado",""),IF(AND((COUNTIF($MV28:$MY28,"Reação")+COUNTIF($OI28:$OJ28,"Reação"))&gt;0,(COUNTIF($MV28:$MY28,"Atrasar")+COUNTIF($OI28:$OJ28,"Atrasar"))&gt;0),"Reação não entra com Atrasar",""),IF(AND((COUNTIF($MV28:$MY28,"Reação")+COUNTIF($OI28:$OJ28,"Reação"))&gt;0,(COUNTIF($MV28:$MY28,"Parado")+COUNTIF($OI28:$OJ28,"Parado"))&gt;0),"Reação não entra com Parado",""),IF(AND((COUNTIF($MV28:$MY28,"Atrasar")+COUNTIF($OI28:$OJ28,"Atrasar"))&gt;0,(COUNTIF($MV28:$MY28,"Parado")+COUNTIF($OI28:$OJ28,"Parado"))&gt;0),"Atrasar não entra com Parado",""),IF(AND((COUNTIF($MV28:$MY28,"Armado")+COUNTIF($OI28:$OJ28,"Armado"))&gt;0,(COUNTIF($MV28:$MY28,"Carregar")+COUNTIF($OI28:$OJ28,"Carregar"))&gt;0),"Armado não entra com Carregar",""),IF(AND(COUNTIF($OI28:$OJ28,"Corpo a Corpo")&gt;0,$OD28=0,OR($MS28="Cone",$MS28="Linha")),"Corpo a Corpo não entra em "&amp;$MS28,""),IF(AND(COUNTIF($OI28:$OJ28,"Corpo a Corpo")&gt;0,$OD28=1),"A Forma "&amp;$MS28&amp;" já traz o Corpo a Corpo",""),IF(AND(COUNTIF($OI28:$OJ28,"Tudo ou Nada")&gt;0,$OF28=0),"Tudo ou Nada só entra em habilidade de Teste de Resistência",""),IF(AND(COUNTIF($MV28:$MY28,"Inescapável")&gt;0,OR($OS28&gt;1,$OT28&gt;0)),"Inescapável não aceita outra peça",""),IF(AND($MQ28&gt;0,$PB28*IF(COUNTIF($MV28:$MY28,"Remate")&gt;0,1.25,1)+$PC28&gt;4*$MQ28),($PB28*IF(COUNTIF($MV28:$MY28,"Remate")&gt;0,1.25,1)+$PC28)&amp;" dados somando repetições"&amp;IF(COUNTIF($MV28:$MY28,"Remate")&gt;0," e o Remate","")&amp;": o teto da Classe "&amp;$MQ28&amp;" é "&amp;4*$MQ28,"")))</f>
        <v/>
      </c>
      <c r="PS28" s="155">
        <f>IF($PR28="",0,(LEN($PR28)-LEN(SUBSTITUTE($PR28," · ","")))/3+1)</f>
        <v/>
      </c>
      <c r="PT28" s="155">
        <f>IF($NB28=0,"",TEXTJOIN(" · ",TRUE,IF($OV28&gt;2*$MQ28,"A devolução parou no teto de "&amp;2*$MQ28,""),IF($OY28&gt;0,"Devolução perdida: "&amp;$OY28&amp;IF($OY28&gt;1," pontos"," ponto")&amp;" sem peça para pagar",""),IF(AND($OA28&gt;0,AND($MQ28&gt;0,$OE28=0),$PB28=0),"Controle sem dano: uma rodada a mais e CD +2",""),IF(AND($OA28&gt;0,AND($MQ28&gt;0,$OE28=0),$PB28&gt;0,$PB28&lt;=$MQ28),"Controle com saldo até a Classe: uma rodada a mais",""),IF(AND($MQ28&gt;0,$OC28&lt;&gt;""),"Efeito de "&amp;$OC28&amp;" pela Classe "&amp;MAX(1,$MQ28-1),"")))</f>
        <v/>
      </c>
      <c r="PU28" s="155">
        <f>IF($PT28="",0,(LEN($PT28)-LEN(SUBSTITUTE($PT28," · ","")))/3+1)</f>
        <v/>
      </c>
      <c r="PV28" s="155">
        <f>IF($NB28=0,IF($OS28+COUNTIF($MZ28:$NA28,"?*")&gt;0,"Dê um nome",""),IF($PS28&gt;0,"⚠ "&amp;$PS28&amp;IF($PS28&gt;1," erros"," erro"),IF($PU28&gt;0,"! "&amp;$PU28&amp;IF($PU28&gt;1," avisos"," aviso"),"Na regra")))</f>
        <v/>
      </c>
      <c r="PW28" s="155">
        <f>IF($NB28=0,"",IF($PS28+$PU28=0,"Dentro das regras que a ficha confere",$PR28&amp;IF(AND($PS28&gt;0,$PU28&gt;0)," · ","")&amp;$PT28))</f>
        <v/>
      </c>
      <c r="PX28" s="155">
        <f>IF($MO28&gt;$NC28,$MP28&amp;" · ABRE NO NÍVEL "&amp;$MO28,$MP28)</f>
        <v/>
      </c>
      <c r="PY28" s="155">
        <f>IF($NB28=0,"",IF($MQ28=0,"Sem PE",3*$MQ28&amp;" PE"))</f>
        <v/>
      </c>
      <c r="PZ28" s="155">
        <f>IF($NB28=0,"",IF($MQ28=0,"A atuação básica dela",IF(COUNTIF($OI28:$OJ28,"Atrasar")&gt;0,"Sua Ação Completa",IF(COUNTIF($MV28:$MY28,"Rápido")&gt;0,"Sua Bônus",IF(COUNTIF($MV28:$MY28,"Reação")&gt;0,"Sua Reação","Sua Padrão")))&amp;" + a básica dela"&amp;IF(COUNTIF($MV28:$MY28,"Reação")&gt;0," e a coletiva","")&amp;IF(COUNTIF($OI28:$OJ28,"Carregar")&gt;0," · em dois turnos","")))</f>
        <v/>
      </c>
      <c r="QA28" s="155">
        <f>IF($MU28&lt;&gt;"",$MU28,IF($NH28=0,"",INDEX($AA$2:$AA$11,$NH28)))</f>
        <v/>
      </c>
      <c r="QB28" s="155">
        <f>IF(OR($NB28=0,$NH28=0),"",IF(COUNTIF($MV28:$MY28,"Inescapável")&gt;0,"Automático",IF($QA28="Ataque",IF($NF28="","Ataque","Ataque "&amp;IF(($NF28+2*IF(COUNTIF($MV28:$MY28,"Precisão")&gt;0,1,0))&gt;=0,"+","−")&amp;ABS(($NF28+2*IF(COUNTIF($MV28:$MY28,"Precisão")&gt;0,1,0))))&amp;IF($OB28&gt;0," · TR"&amp;IF($NG28="",""," CD "&amp;$NG28),""),IF(LEFT($QA28,2)="TR",$QA28&amp;IF($NG28="",""," · CD "&amp;$NG28)&amp;IF(COUNTIF($MV28:$MY28,"Certeiro")&gt;0," · metade",""),"Sem rolagem"))))</f>
        <v/>
      </c>
      <c r="QC28" s="155">
        <f>IF(OR($NB28=0,$NH28=0),"",IF($MQ28=0,IF(OR($OE28&gt;=1,$PB28=0),"Sem dano",$PB28&amp;"d6"&amp;IF($MT28="",""," "&amp;$MT28)),IF(OR($OE28&gt;=1,$PB28=0),UPPER(LEFT(INDEX($PK28:$PQ28,1,MAX(1,$MQ28)),1))&amp;MID(INDEX($PK28:$PQ28,1,MAX(1,$MQ28)),2,99),UPPER(LEFT(INDEX($PK28:$PQ28,1,MAX(1,$MQ28)),1))&amp;MID(INDEX($PK28:$PQ28,1,MAX(1,$MQ28)),2,99)&amp;IF($MT28="",""," "&amp;$MT28)&amp;IF($PC28&gt;0," · +"&amp;$PC28&amp;"d8",""))))</f>
        <v/>
      </c>
      <c r="QD28" s="155">
        <f>COUNTIF($MV28:$MY28,"Longe")+3*COUNTIF($MV28:$MY28,"Muito Longe")</f>
        <v/>
      </c>
      <c r="QE28" s="155">
        <f>COUNTIF($MV28:$MY28,"Maior")+3*COUNTIF($MV28:$MY28,"Muito Maior")</f>
        <v/>
      </c>
      <c r="QF28" s="155">
        <f>IF($NH28=0,0,CHOOSE(1+INDEX($AC$2:$AC$11,$NH28),0,$QD28,$QE28,$QD28+$QE28))</f>
        <v/>
      </c>
      <c r="QG28" s="155">
        <f>IF($NH28=0,0,CHOOSE(1+INDEX($AD$2:$AD$11,$NH28),0,$QD28,$QE28,$QD28+$QE28))</f>
        <v/>
      </c>
      <c r="QH28" s="155">
        <f>IF(OR($NB28=0,$NH28=0),"",INDEX($AI$2:$AN$41,($NH28-1)*4+IF($MQ28=0,1,IF($MQ28&lt;=5,2,IF($MQ28=6,3,4))),1+MIN(5,$QF28))&amp;INDEX($AO$2:$AT$41,($NH28-1)*4+IF($MQ28=0,1,IF($MQ28&lt;=5,2,IF($MQ28=6,3,4))),1+MIN(5,$QG28))&amp;IF(INDEX($AE$2:$AE$11,$NH28)=1,IF(COUNTIF($MV28:$MY28,"Mais Um")&gt;0," · +"&amp;COUNTIF($MV28:$MY28,"Mais Um")&amp;IF(COUNTIF($MV28:$MY28,"Mais Um")&gt;1," alvos"," alvo"),"")&amp;IF(COUNTIF($MV28:$MY28,"Rajada")&gt;0,IF($MQ28=0," · 1 tiro"," · "&amp;(MAX(1,$MQ28-1)+1)&amp;" tiros"),""),""))</f>
        <v/>
      </c>
      <c r="QI28" s="155">
        <f>IF($NB28=0,"",IF($MQ28=0,$NE28&amp;"d6"&amp;IF($OS28&gt;0," − 1 = "&amp;$PB28&amp;"d6"," da básica do nível "&amp;$NC28),$OZ28&amp;" − "&amp;$OU28&amp;" + "&amp;$OX28&amp;" = "&amp;$PA28&amp;" · teto "&amp;4*$MQ28&amp;"d8"&amp;IF($OD28=1," · a Forma devolve "&amp;$MQ28,"")&amp;IF($OY28&gt;0," · perde "&amp;$OY28,"")))</f>
        <v/>
      </c>
      <c r="QJ28" s="155">
        <f>IF($NB28=0,"",IF($MQ28=0,"A básica não amplia: os dados dela sobem com o nível",IF($MQ28&gt;=$ND28,"Já está na maior Classe que o nível liberou",TEXTJOIN(" · ",TRUE,IF(AND(2&gt;$MQ28,2&lt;=$ND28),"2 → "&amp;$PL28&amp;", 6 PE",""),IF(AND(3&gt;$MQ28,3&lt;=$ND28),"3 → "&amp;$PM28&amp;", 9 PE",""),IF(AND(4&gt;$MQ28,4&lt;=$ND28),"4 → "&amp;$PN28&amp;", 12 PE",""),IF(AND(5&gt;$MQ28,5&lt;=$ND28),"5 → "&amp;$PO28&amp;", 15 PE",""),IF(AND(6&gt;$MQ28,6&lt;=$ND28),"6 → "&amp;$PP28&amp;", 18 PE",""),IF(AND(7&gt;$MQ28,7&lt;=$ND28),"7 → "&amp;$PQ28&amp;", 21 PE","")))))</f>
        <v/>
      </c>
      <c r="QK28" s="155">
        <f>IF(OR($NB28=0,$NM28=0),"",IF($MQ28=0,"−1 dado","−"&amp;INDEX($I$2:$N$8,MAX(1,$MQ28),MAX(1,$NR28))&amp;" · "&amp;CHOOSE(MAX(1,$NR28),"Leve","Média","Pesada","Leve · Livre","Média · Livre","Pesada · Livre")))</f>
        <v/>
      </c>
      <c r="QL28" s="155">
        <f>IF(OR($NB28=0,$NN28=0),"",IF($MQ28=0,"−1 dado","−"&amp;INDEX($I$2:$N$8,MAX(1,$MQ28),MAX(1,$NS28))&amp;" · "&amp;CHOOSE(MAX(1,$NS28),"Leve","Média","Pesada","Leve · Livre","Média · Livre","Pesada · Livre")))</f>
        <v/>
      </c>
      <c r="QM28" s="155">
        <f>IF(OR($NB28=0,$NO28=0),"",IF($MQ28=0,"−1 dado","−"&amp;INDEX($I$2:$N$8,MAX(1,$MQ28),MAX(1,$NT28))&amp;" · "&amp;CHOOSE(MAX(1,$NT28),"Leve","Média","Pesada","Leve · Livre","Média · Livre","Pesada · Livre")))</f>
        <v/>
      </c>
      <c r="QN28" s="155">
        <f>IF(OR($NB28=0,$NP28=0),"",IF($MQ28=0,"−1 dado","−"&amp;INDEX($I$2:$N$8,MAX(1,$MQ28),MAX(1,$NU28))&amp;" · "&amp;CHOOSE(MAX(1,$NU28),"Leve","Média","Pesada","Leve · Livre","Média · Livre","Pesada · Livre")))</f>
        <v/>
      </c>
      <c r="QO28" s="155">
        <f>IF(OR($NB28=0,$MZ28=""),"",IF($MQ28=0,"não devolve","+"&amp;IF($OG28=1,CEILING($MQ28/2,1),$MQ28)))</f>
        <v/>
      </c>
      <c r="QP28" s="155">
        <f>IF(OR($NB28=0,$NA28=""),"",IF($MQ28=0,"não devolve","+"&amp;IF($OH28=1,CEILING($MQ28/2,1),$MQ28)))</f>
        <v/>
      </c>
    </row>
    <row r="29">
      <c r="AH29" s="153" t="inlineStr">
        <is>
          <t>Cura · classe 7</t>
        </is>
      </c>
      <c r="AI29" s="153" t="inlineStr">
        <is>
          <t>Um aliado a 18 m</t>
        </is>
      </c>
      <c r="AJ29" s="153" t="inlineStr">
        <is>
          <t>Um aliado a 36 m</t>
        </is>
      </c>
      <c r="AK29" s="153" t="inlineStr">
        <is>
          <t>Um aliado a 90 m</t>
        </is>
      </c>
      <c r="AL29" s="153" t="inlineStr">
        <is>
          <t>Um aliado a visão a olho nu</t>
        </is>
      </c>
      <c r="AM29" s="153" t="inlineStr">
        <is>
          <t>Um aliado a visão a olho nu</t>
        </is>
      </c>
      <c r="AN29" s="153" t="inlineStr">
        <is>
          <t>Um aliado a visão a olho nu</t>
        </is>
      </c>
      <c r="AO29" s="153" t="inlineStr"/>
      <c r="AP29" s="153" t="inlineStr"/>
      <c r="AQ29" s="153" t="inlineStr"/>
      <c r="AR29" s="153" t="inlineStr"/>
      <c r="AS29" s="153" t="inlineStr"/>
      <c r="AT29" s="153" t="inlineStr"/>
      <c r="AV29" s="153" t="inlineStr">
        <is>
          <t>Desarmado</t>
        </is>
      </c>
      <c r="AW29" s="153" t="inlineStr">
        <is>
          <t>Controle</t>
        </is>
      </c>
      <c r="AX29" s="155" t="n">
        <v>1</v>
      </c>
      <c r="AY29" s="155" t="n">
        <v>1</v>
      </c>
      <c r="AZ29" s="155" t="n">
        <v>0</v>
      </c>
      <c r="BA29" s="155" t="n">
        <v>1</v>
      </c>
      <c r="JR29" s="155">
        <f>IF(OR($AW29="",COUNTIF($EJ$2:$EN$2,$AW29)&gt;0),$AV29,"")</f>
        <v/>
      </c>
      <c r="JS29" s="155">
        <f>IF(AND($AX29=1,OR($AW29="",COUNTIF($EJ$2:$EN$2,$AW29)&gt;0)),$AV29,"")</f>
        <v/>
      </c>
      <c r="JX29" s="155">
        <f>IF(OR($AW29="",COUNTIF($EJ$3:$EN$3,$AW29)&gt;0),$AV29,"")</f>
        <v/>
      </c>
      <c r="JY29" s="155">
        <f>IF(AND($AX29=1,OR($AW29="",COUNTIF($EJ$3:$EN$3,$AW29)&gt;0)),$AV29,"")</f>
        <v/>
      </c>
      <c r="KD29" s="155">
        <f>IF(OR($AW29="",COUNTIF($EJ$4:$EN$4,$AW29)&gt;0),$AV29,"")</f>
        <v/>
      </c>
      <c r="KE29" s="155">
        <f>IF(AND($AX29=1,OR($AW29="",COUNTIF($EJ$4:$EN$4,$AW29)&gt;0)),$AV29,"")</f>
        <v/>
      </c>
      <c r="KJ29" s="155">
        <f>IF(OR($AW29="",COUNTIF($EJ$5:$EN$5,$AW29)&gt;0),$AV29,"")</f>
        <v/>
      </c>
      <c r="KK29" s="155">
        <f>IF(AND($AX29=1,OR($AW29="",COUNTIF($EJ$5:$EN$5,$AW29)&gt;0)),$AV29,"")</f>
        <v/>
      </c>
      <c r="KP29" s="155">
        <f>IF(OR($AW29="",COUNTIF($EJ$6:$EN$6,$AW29)&gt;0),$AV29,"")</f>
        <v/>
      </c>
      <c r="KQ29" s="155">
        <f>IF(AND($AX29=1,OR($AW29="",COUNTIF($EJ$6:$EN$6,$AW29)&gt;0)),$AV29,"")</f>
        <v/>
      </c>
      <c r="KV29" s="155">
        <f>IF(OR($AW29="",COUNTIF($EJ$7:$EN$7,$AW29)&gt;0),$AV29,"")</f>
        <v/>
      </c>
      <c r="KW29" s="155">
        <f>IF(AND($AX29=1,OR($AW29="",COUNTIF($EJ$7:$EN$7,$AW29)&gt;0)),$AV29,"")</f>
        <v/>
      </c>
      <c r="LB29" s="155">
        <f>IF(OR($AW29="",COUNTIF($EJ$8:$EN$8,$AW29)&gt;0),$AV29,"")</f>
        <v/>
      </c>
      <c r="LC29" s="155">
        <f>IF(AND($AX29=1,OR($AW29="",COUNTIF($EJ$8:$EN$8,$AW29)&gt;0)),$AV29,"")</f>
        <v/>
      </c>
      <c r="LH29" s="155">
        <f>IF(OR($AW29="",COUNTIF($EJ$9:$EN$9,$AW29)&gt;0),$AV29,"")</f>
        <v/>
      </c>
      <c r="LI29" s="155">
        <f>IF(AND($AX29=1,OR($AW29="",COUNTIF($EJ$9:$EN$9,$AW29)&gt;0)),$AV29,"")</f>
        <v/>
      </c>
      <c r="LN29" s="155">
        <f>IF(OR($AW29="",COUNTIF($EJ$10:$EN$10,$AW29)&gt;0),$AV29,"")</f>
        <v/>
      </c>
      <c r="LO29" s="155">
        <f>IF(AND($AX29=1,OR($AW29="",COUNTIF($EJ$10:$EN$10,$AW29)&gt;0)),$AV29,"")</f>
        <v/>
      </c>
      <c r="LT29" s="155">
        <f>IF(OR($AW29="",COUNTIF($EJ$11:$EN$11,$AW29)&gt;0),$AV29,"")</f>
        <v/>
      </c>
      <c r="LU29" s="155">
        <f>IF(AND($AX29=1,OR($AW29="",COUNTIF($EJ$11:$EN$11,$AW29)&gt;0)),$AV29,"")</f>
        <v/>
      </c>
      <c r="LZ29" s="155">
        <f>IF(OR($AW29="",COUNTIF($EJ$12:$EN$12,$AW29)&gt;0),$AV29,"")</f>
        <v/>
      </c>
      <c r="MA29" s="155">
        <f>IF(AND($AX29=1,OR($AW29="",COUNTIF($EJ$12:$EN$12,$AW29)&gt;0)),$AV29,"")</f>
        <v/>
      </c>
      <c r="MF29" s="155">
        <f>IF(OR($AW29="",COUNTIF($EJ$13:$EN$13,$AW29)&gt;0),$AV29,"")</f>
        <v/>
      </c>
      <c r="MG29" s="155">
        <f>IF(AND($AX29=1,OR($AW29="",COUNTIF($EJ$13:$EN$13,$AW29)&gt;0)),$AV29,"")</f>
        <v/>
      </c>
      <c r="ML29" s="153" t="inlineStr">
        <is>
          <t>Ficha 3 · Especial 1</t>
        </is>
      </c>
      <c r="MM29" s="155" t="n">
        <v>3</v>
      </c>
      <c r="MN29" s="155" t="n">
        <v>1</v>
      </c>
      <c r="MO29" s="155" t="n">
        <v>1</v>
      </c>
      <c r="MP29" s="153" t="inlineStr">
        <is>
          <t>ESPECIAL 1</t>
        </is>
      </c>
      <c r="MQ29" s="155">
        <f>MAX(1,MIN(7,N('INVOCAÇÕES'!$O$454)))</f>
        <v/>
      </c>
      <c r="MR29" s="155">
        <f>'INVOCAÇÕES'!$P$454&amp;""</f>
        <v/>
      </c>
      <c r="MS29" s="155">
        <f>'INVOCAÇÕES'!$O$459&amp;""</f>
        <v/>
      </c>
      <c r="MT29" s="155">
        <f>'INVOCAÇÕES'!$O$460&amp;""</f>
        <v/>
      </c>
      <c r="MU29" s="155">
        <f>'INVOCAÇÕES'!$Q$460&amp;""</f>
        <v/>
      </c>
      <c r="MV29" s="155">
        <f>'INVOCAÇÕES'!$P$463&amp;""</f>
        <v/>
      </c>
      <c r="MW29" s="155">
        <f>'INVOCAÇÕES'!$P$464&amp;""</f>
        <v/>
      </c>
      <c r="MX29" s="155">
        <f>'INVOCAÇÕES'!$P$465&amp;""</f>
        <v/>
      </c>
      <c r="MY29" s="155">
        <f>'INVOCAÇÕES'!$P$466&amp;""</f>
        <v/>
      </c>
      <c r="MZ29" s="155">
        <f>'INVOCAÇÕES'!$P$467&amp;""</f>
        <v/>
      </c>
      <c r="NA29" s="155">
        <f>'INVOCAÇÕES'!$P$468&amp;""</f>
        <v/>
      </c>
      <c r="NB29" s="155">
        <f>IF($MR29&lt;&gt;"",1,0)</f>
        <v/>
      </c>
      <c r="NC29" s="155">
        <f>INDEX($FM$2:$FM$13,$MM29)</f>
        <v/>
      </c>
      <c r="ND29" s="155">
        <f>INDEX($FN$2:$FN$13,$MM29)</f>
        <v/>
      </c>
      <c r="NE29" s="155">
        <f>INDEX($FO$2:$FO$13,$MM29)</f>
        <v/>
      </c>
      <c r="NF29" s="155">
        <f>INDEX($FZ$2:$FZ$13,$MM29)</f>
        <v/>
      </c>
      <c r="NG29" s="155">
        <f>INDEX($GA$2:$GA$13,$MM29)</f>
        <v/>
      </c>
      <c r="NH29" s="155">
        <f>IFERROR(MATCH($MS29,$V$2:$V$11,0),0)</f>
        <v/>
      </c>
      <c r="NI29" s="155">
        <f>IFERROR(VLOOKUP($MV29,$AV$2:$BA$84,2,FALSE),"")</f>
        <v/>
      </c>
      <c r="NJ29" s="155">
        <f>IFERROR(VLOOKUP($MW29,$AV$2:$BA$84,2,FALSE),"")</f>
        <v/>
      </c>
      <c r="NK29" s="155">
        <f>IFERROR(VLOOKUP($MX29,$AV$2:$BA$84,2,FALSE),"")</f>
        <v/>
      </c>
      <c r="NL29" s="155">
        <f>IFERROR(VLOOKUP($MY29,$AV$2:$BA$84,2,FALSE),"")</f>
        <v/>
      </c>
      <c r="NM29" s="155">
        <f>IFERROR(VLOOKUP($MV29,$AV$2:$BA$84,3,FALSE),0)</f>
        <v/>
      </c>
      <c r="NN29" s="155">
        <f>IFERROR(VLOOKUP($MW29,$AV$2:$BA$84,3,FALSE),0)</f>
        <v/>
      </c>
      <c r="NO29" s="155">
        <f>IFERROR(VLOOKUP($MX29,$AV$2:$BA$84,3,FALSE),0)</f>
        <v/>
      </c>
      <c r="NP29" s="155">
        <f>IFERROR(VLOOKUP($MY29,$AV$2:$BA$84,3,FALSE),0)</f>
        <v/>
      </c>
      <c r="NQ29" s="155">
        <f>IF($MQ29=0,0,IF($NH29=0,0,INDEX($X$2:$X$11,$NH29)))</f>
        <v/>
      </c>
      <c r="NR29" s="155">
        <f>IF(OR($NM29=0,$MQ29=0),0,$NM29+3*IF(AND($NI29&lt;&gt;"",OR($NI29=INDEX($EJ$2:$EJ$13,$MM29),$NI29=INDEX($EK$2:$EK$13,$MM29))),1,0))</f>
        <v/>
      </c>
      <c r="NS29" s="155">
        <f>IF(OR($NN29=0,$MQ29=0),0,$NN29+3*IF(AND($NJ29&lt;&gt;"",OR($NJ29=INDEX($EJ$2:$EJ$13,$MM29),$NJ29=INDEX($EK$2:$EK$13,$MM29))),1,0))</f>
        <v/>
      </c>
      <c r="NT29" s="155">
        <f>IF(OR($NO29=0,$MQ29=0),0,$NO29+3*IF(AND($NK29&lt;&gt;"",OR($NK29=INDEX($EJ$2:$EJ$13,$MM29),$NK29=INDEX($EK$2:$EK$13,$MM29))),1,0))</f>
        <v/>
      </c>
      <c r="NU29" s="155">
        <f>IF(OR($NP29=0,$MQ29=0),0,$NP29+3*IF(AND($NL29&lt;&gt;"",OR($NL29=INDEX($EJ$2:$EJ$13,$MM29),$NL29=INDEX($EK$2:$EK$13,$MM29))),1,0))</f>
        <v/>
      </c>
      <c r="NV29" s="155">
        <f>IF($NH29=0,0,IF(INDEX($W$2:$W$11,$NH29)="",0,IF(COUNTIF(INDEX($EJ$2:$EN$13,$MM29,0),INDEX($W$2:$W$11,$NH29))=0,1,0)))</f>
        <v/>
      </c>
      <c r="NW29" s="155">
        <f>IF(OR($NM29=0,$NI29=""),0,IF(COUNTIF(INDEX($EJ$2:$EN$13,$MM29,0),$NI29)=0,1,0))</f>
        <v/>
      </c>
      <c r="NX29" s="155">
        <f>IF(OR($NN29=0,$NJ29=""),0,IF(COUNTIF(INDEX($EJ$2:$EN$13,$MM29,0),$NJ29)=0,1,0))</f>
        <v/>
      </c>
      <c r="NY29" s="155">
        <f>IF(OR($NO29=0,$NK29=""),0,IF(COUNTIF(INDEX($EJ$2:$EN$13,$MM29,0),$NK29)=0,1,0))</f>
        <v/>
      </c>
      <c r="NZ29" s="155">
        <f>IF(OR($NP29=0,$NL29=""),0,IF(COUNTIF(INDEX($EJ$2:$EN$13,$MM29,0),$NL29)=0,1,0))</f>
        <v/>
      </c>
      <c r="OA29" s="155">
        <f>IFERROR(VLOOKUP($MV29,$AV$2:$BA$84,4,FALSE),0)+IFERROR(VLOOKUP($MW29,$AV$2:$BA$84,4,FALSE),0)+IFERROR(VLOOKUP($MX29,$AV$2:$BA$84,4,FALSE),0)+IFERROR(VLOOKUP($MY29,$AV$2:$BA$84,4,FALSE),0)</f>
        <v/>
      </c>
      <c r="OB29" s="155">
        <f>IFERROR(VLOOKUP($MV29,$AV$2:$BA$84,6,FALSE),0)+IFERROR(VLOOKUP($MW29,$AV$2:$BA$84,6,FALSE),0)+IFERROR(VLOOKUP($MX29,$AV$2:$BA$84,6,FALSE),0)+IFERROR(VLOOKUP($MY29,$AV$2:$BA$84,6,FALSE),0)</f>
        <v/>
      </c>
      <c r="OC29" s="155">
        <f>TEXTJOIN(", ",TRUE,IF(IFERROR(VLOOKUP($MV29,$AV$2:$BA$84,5,FALSE),0)=1,$MV29,""),IF(IFERROR(VLOOKUP($MW29,$AV$2:$BA$84,5,FALSE),0)=1,$MW29,""),IF(IFERROR(VLOOKUP($MX29,$AV$2:$BA$84,5,FALSE),0)=1,$MX29,""),IF(IFERROR(VLOOKUP($MY29,$AV$2:$BA$84,5,FALSE),0)=1,$MY29,""))</f>
        <v/>
      </c>
      <c r="OD29" s="155">
        <f>IF($NH29=0,0,INDEX($Y$2:$Y$11,$NH29))</f>
        <v/>
      </c>
      <c r="OE29" s="155">
        <f>IF($NH29=0,0,INDEX($Z$2:$Z$11,$NH29))</f>
        <v/>
      </c>
      <c r="OF29" s="155">
        <f>IF($NH29=0,0,INDEX($AB$2:$AB$11,$NH29))</f>
        <v/>
      </c>
      <c r="OG29" s="155">
        <f>IFERROR(VLOOKUP($MZ29,$BC$2:$BG$24,3,FALSE),0)</f>
        <v/>
      </c>
      <c r="OH29" s="155">
        <f>IFERROR(VLOOKUP($NA29,$BC$2:$BG$24,3,FALSE),0)</f>
        <v/>
      </c>
      <c r="OI29" s="155">
        <f>IFERROR(VLOOKUP($MZ29,$BC$2:$BG$24,2,FALSE),"")</f>
        <v/>
      </c>
      <c r="OJ29" s="155">
        <f>IFERROR(VLOOKUP($NA29,$BC$2:$BG$24,2,FALSE),"")</f>
        <v/>
      </c>
      <c r="OK29" s="155">
        <f>COUNTIF($NQ29:$NU29,1)</f>
        <v/>
      </c>
      <c r="OL29" s="155">
        <f>COUNTIF($NQ29:$NU29,2)</f>
        <v/>
      </c>
      <c r="OM29" s="155">
        <f>COUNTIF($NQ29:$NU29,3)</f>
        <v/>
      </c>
      <c r="ON29" s="155">
        <f>COUNTIF($NQ29:$NU29,4)</f>
        <v/>
      </c>
      <c r="OO29" s="155">
        <f>COUNTIF($NQ29:$NU29,5)</f>
        <v/>
      </c>
      <c r="OP29" s="155">
        <f>COUNTIF($NQ29:$NU29,6)</f>
        <v/>
      </c>
      <c r="OQ29" s="155">
        <f>COUNTIF($OG29:$OH29,1)</f>
        <v/>
      </c>
      <c r="OR29" s="155">
        <f>COUNTIF($OG29:$OH29,2)+$OD29</f>
        <v/>
      </c>
      <c r="OS29" s="155">
        <f>COUNTIF($MV29:$MY29,"?*")</f>
        <v/>
      </c>
      <c r="OT29" s="155">
        <f>COUNTIF($MZ29:$NA29,"?*")+$OD29</f>
        <v/>
      </c>
      <c r="OU29" s="155">
        <f>IF($MQ29=0,0,SUMPRODUCT($OK29:$OP29,INDEX($I$2:$N$8,MAX(1,$MQ29),0)))</f>
        <v/>
      </c>
      <c r="OV29" s="155">
        <f>IF($MQ29=0,0,$OQ29*CEILING($MQ29/2,1)+$OR29*$MQ29)</f>
        <v/>
      </c>
      <c r="OW29" s="155">
        <f>MIN(2*$MQ29,$OV29)</f>
        <v/>
      </c>
      <c r="OX29" s="155">
        <f>MIN($OW29,$OU29)</f>
        <v/>
      </c>
      <c r="OY29" s="155">
        <f>$OW29-$OX29</f>
        <v/>
      </c>
      <c r="OZ29" s="155">
        <f>IF($MQ29=0,0,INDEX($P$2:$P$8,MAX(1,$MQ29)))</f>
        <v/>
      </c>
      <c r="PA29" s="155">
        <f>$OZ29-$OU29+$OX29</f>
        <v/>
      </c>
      <c r="PB29" s="155">
        <f>IF($MQ29=0,MAX(0,$NE29-IF($OS29&gt;0,1,0)),MAX(0,$PA29))</f>
        <v/>
      </c>
      <c r="PC29" s="155">
        <f>IF($MQ29=0,0,(IF(COUNTIF($MV29:$MY29,"Salto")&gt;0,1,0)+IF(COUNTIF($MV29:$MY29,"Queima")&gt;0,1,0)+IF(COUNTIF($MV29:$MY29,"Estilhaço")&gt;0,1,0))*FLOOR($PB29/2,1))</f>
        <v/>
      </c>
      <c r="PD29" s="155">
        <f>MAX(0,2-SUMPRODUCT($OK29:$OP29,$I$2:$N$2)+MIN(2,$OQ29*1+$OR29*1,SUMPRODUCT($OK29:$OP29,$I$2:$N$2)))</f>
        <v/>
      </c>
      <c r="PE29" s="155">
        <f>MAX(0,4-SUMPRODUCT($OK29:$OP29,$I$3:$N$3)+MIN(4,$OQ29*1+$OR29*2,SUMPRODUCT($OK29:$OP29,$I$3:$N$3)))</f>
        <v/>
      </c>
      <c r="PF29" s="155">
        <f>MAX(0,6-SUMPRODUCT($OK29:$OP29,$I$4:$N$4)+MIN(6,$OQ29*2+$OR29*3,SUMPRODUCT($OK29:$OP29,$I$4:$N$4)))</f>
        <v/>
      </c>
      <c r="PG29" s="155">
        <f>MAX(0,9-SUMPRODUCT($OK29:$OP29,$I$5:$N$5)+MIN(8,$OQ29*2+$OR29*4,SUMPRODUCT($OK29:$OP29,$I$5:$N$5)))</f>
        <v/>
      </c>
      <c r="PH29" s="155">
        <f>MAX(0,11-SUMPRODUCT($OK29:$OP29,$I$6:$N$6)+MIN(10,$OQ29*3+$OR29*5,SUMPRODUCT($OK29:$OP29,$I$6:$N$6)))</f>
        <v/>
      </c>
      <c r="PI29" s="155">
        <f>MAX(0,13-SUMPRODUCT($OK29:$OP29,$I$7:$N$7)+MIN(12,$OQ29*3+$OR29*6,SUMPRODUCT($OK29:$OP29,$I$7:$N$7)))</f>
        <v/>
      </c>
      <c r="PJ29" s="155">
        <f>MAX(0,16-SUMPRODUCT($OK29:$OP29,$I$8:$N$8)+MIN(14,$OQ29*4+$OR29*7,SUMPRODUCT($OK29:$OP29,$I$8:$N$8)))</f>
        <v/>
      </c>
      <c r="PK29" s="155">
        <f>IF($OE29=2,3*$PD29&amp;" de vida temp.",IF($OE29=3,"sem dano",IF($PD29=0,IF($OE29=1,"sem cura","sem dano"),IF($OE29=1,"cura ","")&amp;$PD29&amp;"d8")))</f>
        <v/>
      </c>
      <c r="PL29" s="155">
        <f>IF($OE29=2,3*$PE29&amp;" de vida temp.",IF($OE29=3,"sem dano",IF($PE29=0,IF($OE29=1,"sem cura","sem dano"),IF($OE29=1,"cura ","")&amp;$PE29&amp;"d8")))</f>
        <v/>
      </c>
      <c r="PM29" s="155">
        <f>IF($OE29=2,3*$PF29&amp;" de vida temp.",IF($OE29=3,"sem dano",IF($PF29=0,IF($OE29=1,"sem cura","sem dano"),IF($OE29=1,"cura ","")&amp;$PF29&amp;"d8")))</f>
        <v/>
      </c>
      <c r="PN29" s="155">
        <f>IF($OE29=2,3*$PG29&amp;" de vida temp.",IF($OE29=3,"sem dano",IF($PG29=0,IF($OE29=1,"sem cura","sem dano"),IF($OE29=1,"cura ","")&amp;$PG29&amp;"d8")))</f>
        <v/>
      </c>
      <c r="PO29" s="155">
        <f>IF($OE29=2,3*$PH29&amp;" de vida temp.",IF($OE29=3,"sem dano",IF($PH29=0,IF($OE29=1,"sem cura","sem dano"),IF($OE29=1,"cura ","")&amp;$PH29&amp;"d8")))</f>
        <v/>
      </c>
      <c r="PP29" s="155">
        <f>IF($OE29=2,3*$PI29&amp;" de vida temp.",IF($OE29=3,"sem dano",IF($PI29=0,IF($OE29=1,"sem cura","sem dano"),IF($OE29=1,"cura ","")&amp;$PI29&amp;"d8")))</f>
        <v/>
      </c>
      <c r="PQ29" s="155">
        <f>IF($OE29=2,3*$PJ29&amp;" de vida temp.",IF($OE29=3,"sem dano",IF($PJ29=0,IF($OE29=1,"sem cura","sem dano"),IF($OE29=1,"cura ","")&amp;$PJ29&amp;"d8")))</f>
        <v/>
      </c>
      <c r="PR29" s="155">
        <f>IF($NB29=0,"",TEXTJOIN(" · ",TRUE,IF($MO29&gt;$NC29,"Este lugar abre no nível "&amp;$MO29,""),IF($MQ29&gt;$ND29,"Classe "&amp;$MQ29&amp;": o nível "&amp;$NC29&amp;" libera até a "&amp;$ND29,""),IF($NV29=1,"A Forma "&amp;$MS29&amp;" pede "&amp;INDEX($W$2:$W$11,$NH29)&amp;" aberta",""),IF(AND($MQ29=0,$NH29&gt;0,IF($NH29=0,0,INDEX($AF$2:$AF$11,$NH29))=0),$MS29&amp;" não existe na Classe 0",""),IF($NW29=1,"Família Fechada: "&amp;$MV29,""),IF($NX29=1,"Família Fechada: "&amp;$MW29,""),IF($NY29=1,"Família Fechada: "&amp;$MX29,""),IF($NZ29=1,"Família Fechada: "&amp;$MY29,""),IF(AND($MQ29&gt;0,$OS29&gt;INDEX($O$2:$O$8,MAX(1,$MQ29))),$OS29&amp;" Melhorias: a Classe "&amp;$MQ29&amp;" aceita "&amp;INDEX($O$2:$O$8,MAX(1,$MQ29)),""),IF(AND($MQ29=0,$OS29&gt;1),"A básica aceita uma Melhoria",""),IF(AND($MQ29=0,COUNTIF($NM29:$NP29,"&gt;1")&gt;0),"A básica só aceita Melhoria Leve",""),IF(AND($MQ29&gt;0,$OT29&gt;2),$OT29&amp;" Restrições"&amp;IF($OD29=1,", contando a que a Forma "&amp;$MS29&amp;" já traz","")&amp;": o limite é 2",""),IF(AND($MQ29=0,COUNTIF($MZ29:$NA29,"?*")&gt;1),"A básica aceita uma Restrição Leve",""),IF(AND($MQ29=0,COUNTIF($OG29:$OH29,2)&gt;0),"A básica só aceita Restrição Leve",""),IF(AND($MQ29&gt;0,$PA29&lt;0),"Orçamento estourado: faltam "&amp;(-$PA29)&amp;IF($PA29&lt;-1," pontos"," ponto"),""),IF(IFERROR(VLOOKUP($MZ29,$BC$2:$BG$24,4,FALSE),0)+IFERROR(VLOOKUP($NA29,$BC$2:$BG$24,4,FALSE),0)&gt;1,$OI29&amp;" e "&amp;$OJ29&amp;" são as duas de frequência",""),IF(AND((COUNTIF($MV29:$MY29,"Rápido")+COUNTIF($OI29:$OJ29,"Rápido"))&gt;0,(COUNTIF($MV29:$MY29,"Atrasar")+COUNTIF($OI29:$OJ29,"Atrasar"))&gt;0),"Rápido não entra com Atrasar",""),IF(AND((COUNTIF($MV29:$MY29,"Reação")+COUNTIF($OI29:$OJ29,"Reação"))&gt;0,(COUNTIF($MV29:$MY29,"Rápido")+COUNTIF($OI29:$OJ29,"Rápido"))&gt;0),"Reação não entra com Rápido",""),IF(AND((COUNTIF($MV29:$MY29,"Reação")+COUNTIF($OI29:$OJ29,"Reação"))&gt;0,(COUNTIF($MV29:$MY29,"Armado")+COUNTIF($OI29:$OJ29,"Armado"))&gt;0),"Reação não entra com Armado",""),IF(AND((COUNTIF($MV29:$MY29,"Reação")+COUNTIF($OI29:$OJ29,"Reação"))&gt;0,(COUNTIF($MV29:$MY29,"Atrasar")+COUNTIF($OI29:$OJ29,"Atrasar"))&gt;0),"Reação não entra com Atrasar",""),IF(AND((COUNTIF($MV29:$MY29,"Reação")+COUNTIF($OI29:$OJ29,"Reação"))&gt;0,(COUNTIF($MV29:$MY29,"Parado")+COUNTIF($OI29:$OJ29,"Parado"))&gt;0),"Reação não entra com Parado",""),IF(AND((COUNTIF($MV29:$MY29,"Atrasar")+COUNTIF($OI29:$OJ29,"Atrasar"))&gt;0,(COUNTIF($MV29:$MY29,"Parado")+COUNTIF($OI29:$OJ29,"Parado"))&gt;0),"Atrasar não entra com Parado",""),IF(AND((COUNTIF($MV29:$MY29,"Armado")+COUNTIF($OI29:$OJ29,"Armado"))&gt;0,(COUNTIF($MV29:$MY29,"Carregar")+COUNTIF($OI29:$OJ29,"Carregar"))&gt;0),"Armado não entra com Carregar",""),IF(AND(COUNTIF($OI29:$OJ29,"Corpo a Corpo")&gt;0,$OD29=0,OR($MS29="Cone",$MS29="Linha")),"Corpo a Corpo não entra em "&amp;$MS29,""),IF(AND(COUNTIF($OI29:$OJ29,"Corpo a Corpo")&gt;0,$OD29=1),"A Forma "&amp;$MS29&amp;" já traz o Corpo a Corpo",""),IF(AND(COUNTIF($OI29:$OJ29,"Tudo ou Nada")&gt;0,$OF29=0),"Tudo ou Nada só entra em habilidade de Teste de Resistência",""),IF(AND(COUNTIF($MV29:$MY29,"Inescapável")&gt;0,OR($OS29&gt;1,$OT29&gt;0)),"Inescapável não aceita outra peça",""),IF(AND($MQ29&gt;0,$PB29*IF(COUNTIF($MV29:$MY29,"Remate")&gt;0,1.25,1)+$PC29&gt;4*$MQ29),($PB29*IF(COUNTIF($MV29:$MY29,"Remate")&gt;0,1.25,1)+$PC29)&amp;" dados somando repetições"&amp;IF(COUNTIF($MV29:$MY29,"Remate")&gt;0," e o Remate","")&amp;": o teto da Classe "&amp;$MQ29&amp;" é "&amp;4*$MQ29,"")))</f>
        <v/>
      </c>
      <c r="PS29" s="155">
        <f>IF($PR29="",0,(LEN($PR29)-LEN(SUBSTITUTE($PR29," · ","")))/3+1)</f>
        <v/>
      </c>
      <c r="PT29" s="155">
        <f>IF($NB29=0,"",TEXTJOIN(" · ",TRUE,IF($OV29&gt;2*$MQ29,"A devolução parou no teto de "&amp;2*$MQ29,""),IF($OY29&gt;0,"Devolução perdida: "&amp;$OY29&amp;IF($OY29&gt;1," pontos"," ponto")&amp;" sem peça para pagar",""),IF(AND($OA29&gt;0,AND($MQ29&gt;0,$OE29=0),$PB29=0),"Controle sem dano: uma rodada a mais e CD +2",""),IF(AND($OA29&gt;0,AND($MQ29&gt;0,$OE29=0),$PB29&gt;0,$PB29&lt;=$MQ29),"Controle com saldo até a Classe: uma rodada a mais",""),IF(AND($MQ29&gt;0,$OC29&lt;&gt;""),"Efeito de "&amp;$OC29&amp;" pela Classe "&amp;MAX(1,$MQ29-1),"")))</f>
        <v/>
      </c>
      <c r="PU29" s="155">
        <f>IF($PT29="",0,(LEN($PT29)-LEN(SUBSTITUTE($PT29," · ","")))/3+1)</f>
        <v/>
      </c>
      <c r="PV29" s="155">
        <f>IF($NB29=0,IF($OS29+COUNTIF($MZ29:$NA29,"?*")&gt;0,"Dê um nome",""),IF($PS29&gt;0,"⚠ "&amp;$PS29&amp;IF($PS29&gt;1," erros"," erro"),IF($PU29&gt;0,"! "&amp;$PU29&amp;IF($PU29&gt;1," avisos"," aviso"),"Na regra")))</f>
        <v/>
      </c>
      <c r="PW29" s="155">
        <f>IF($NB29=0,"",IF($PS29+$PU29=0,"Dentro das regras que a ficha confere",$PR29&amp;IF(AND($PS29&gt;0,$PU29&gt;0)," · ","")&amp;$PT29))</f>
        <v/>
      </c>
      <c r="PX29" s="155">
        <f>IF($MO29&gt;$NC29,$MP29&amp;" · ABRE NO NÍVEL "&amp;$MO29,$MP29)</f>
        <v/>
      </c>
      <c r="PY29" s="155">
        <f>IF($NB29=0,"",IF($MQ29=0,"Sem PE",3*$MQ29&amp;" PE"))</f>
        <v/>
      </c>
      <c r="PZ29" s="155">
        <f>IF($NB29=0,"",IF($MQ29=0,"A atuação básica dela",IF(COUNTIF($OI29:$OJ29,"Atrasar")&gt;0,"Sua Ação Completa",IF(COUNTIF($MV29:$MY29,"Rápido")&gt;0,"Sua Bônus",IF(COUNTIF($MV29:$MY29,"Reação")&gt;0,"Sua Reação","Sua Padrão")))&amp;" + a básica dela"&amp;IF(COUNTIF($MV29:$MY29,"Reação")&gt;0," e a coletiva","")&amp;IF(COUNTIF($OI29:$OJ29,"Carregar")&gt;0," · em dois turnos","")))</f>
        <v/>
      </c>
      <c r="QA29" s="155">
        <f>IF($MU29&lt;&gt;"",$MU29,IF($NH29=0,"",INDEX($AA$2:$AA$11,$NH29)))</f>
        <v/>
      </c>
      <c r="QB29" s="155">
        <f>IF(OR($NB29=0,$NH29=0),"",IF(COUNTIF($MV29:$MY29,"Inescapável")&gt;0,"Automático",IF($QA29="Ataque",IF($NF29="","Ataque","Ataque "&amp;IF(($NF29+2*IF(COUNTIF($MV29:$MY29,"Precisão")&gt;0,1,0))&gt;=0,"+","−")&amp;ABS(($NF29+2*IF(COUNTIF($MV29:$MY29,"Precisão")&gt;0,1,0))))&amp;IF($OB29&gt;0," · TR"&amp;IF($NG29="",""," CD "&amp;$NG29),""),IF(LEFT($QA29,2)="TR",$QA29&amp;IF($NG29="",""," · CD "&amp;$NG29)&amp;IF(COUNTIF($MV29:$MY29,"Certeiro")&gt;0," · metade",""),"Sem rolagem"))))</f>
        <v/>
      </c>
      <c r="QC29" s="155">
        <f>IF(OR($NB29=0,$NH29=0),"",IF($MQ29=0,IF(OR($OE29&gt;=1,$PB29=0),"Sem dano",$PB29&amp;"d6"&amp;IF($MT29="",""," "&amp;$MT29)),IF(OR($OE29&gt;=1,$PB29=0),UPPER(LEFT(INDEX($PK29:$PQ29,1,MAX(1,$MQ29)),1))&amp;MID(INDEX($PK29:$PQ29,1,MAX(1,$MQ29)),2,99),UPPER(LEFT(INDEX($PK29:$PQ29,1,MAX(1,$MQ29)),1))&amp;MID(INDEX($PK29:$PQ29,1,MAX(1,$MQ29)),2,99)&amp;IF($MT29="",""," "&amp;$MT29)&amp;IF($PC29&gt;0," · +"&amp;$PC29&amp;"d8",""))))</f>
        <v/>
      </c>
      <c r="QD29" s="155">
        <f>COUNTIF($MV29:$MY29,"Longe")+3*COUNTIF($MV29:$MY29,"Muito Longe")</f>
        <v/>
      </c>
      <c r="QE29" s="155">
        <f>COUNTIF($MV29:$MY29,"Maior")+3*COUNTIF($MV29:$MY29,"Muito Maior")</f>
        <v/>
      </c>
      <c r="QF29" s="155">
        <f>IF($NH29=0,0,CHOOSE(1+INDEX($AC$2:$AC$11,$NH29),0,$QD29,$QE29,$QD29+$QE29))</f>
        <v/>
      </c>
      <c r="QG29" s="155">
        <f>IF($NH29=0,0,CHOOSE(1+INDEX($AD$2:$AD$11,$NH29),0,$QD29,$QE29,$QD29+$QE29))</f>
        <v/>
      </c>
      <c r="QH29" s="155">
        <f>IF(OR($NB29=0,$NH29=0),"",INDEX($AI$2:$AN$41,($NH29-1)*4+IF($MQ29=0,1,IF($MQ29&lt;=5,2,IF($MQ29=6,3,4))),1+MIN(5,$QF29))&amp;INDEX($AO$2:$AT$41,($NH29-1)*4+IF($MQ29=0,1,IF($MQ29&lt;=5,2,IF($MQ29=6,3,4))),1+MIN(5,$QG29))&amp;IF(INDEX($AE$2:$AE$11,$NH29)=1,IF(COUNTIF($MV29:$MY29,"Mais Um")&gt;0," · +"&amp;COUNTIF($MV29:$MY29,"Mais Um")&amp;IF(COUNTIF($MV29:$MY29,"Mais Um")&gt;1," alvos"," alvo"),"")&amp;IF(COUNTIF($MV29:$MY29,"Rajada")&gt;0,IF($MQ29=0," · 1 tiro"," · "&amp;(MAX(1,$MQ29-1)+1)&amp;" tiros"),""),""))</f>
        <v/>
      </c>
      <c r="QI29" s="155">
        <f>IF($NB29=0,"",IF($MQ29=0,$NE29&amp;"d6"&amp;IF($OS29&gt;0," − 1 = "&amp;$PB29&amp;"d6"," da básica do nível "&amp;$NC29),$OZ29&amp;" − "&amp;$OU29&amp;" + "&amp;$OX29&amp;" = "&amp;$PA29&amp;" · teto "&amp;4*$MQ29&amp;"d8"&amp;IF($OD29=1," · a Forma devolve "&amp;$MQ29,"")&amp;IF($OY29&gt;0," · perde "&amp;$OY29,"")))</f>
        <v/>
      </c>
      <c r="QJ29" s="155">
        <f>IF($NB29=0,"",IF($MQ29=0,"A básica não amplia: os dados dela sobem com o nível",IF($MQ29&gt;=$ND29,"Já está na maior Classe que o nível liberou",TEXTJOIN(" · ",TRUE,IF(AND(2&gt;$MQ29,2&lt;=$ND29),"2 → "&amp;$PL29&amp;", 6 PE",""),IF(AND(3&gt;$MQ29,3&lt;=$ND29),"3 → "&amp;$PM29&amp;", 9 PE",""),IF(AND(4&gt;$MQ29,4&lt;=$ND29),"4 → "&amp;$PN29&amp;", 12 PE",""),IF(AND(5&gt;$MQ29,5&lt;=$ND29),"5 → "&amp;$PO29&amp;", 15 PE",""),IF(AND(6&gt;$MQ29,6&lt;=$ND29),"6 → "&amp;$PP29&amp;", 18 PE",""),IF(AND(7&gt;$MQ29,7&lt;=$ND29),"7 → "&amp;$PQ29&amp;", 21 PE","")))))</f>
        <v/>
      </c>
      <c r="QK29" s="155">
        <f>IF(OR($NB29=0,$NM29=0),"",IF($MQ29=0,"−1 dado","−"&amp;INDEX($I$2:$N$8,MAX(1,$MQ29),MAX(1,$NR29))&amp;" · "&amp;CHOOSE(MAX(1,$NR29),"Leve","Média","Pesada","Leve · Livre","Média · Livre","Pesada · Livre")))</f>
        <v/>
      </c>
      <c r="QL29" s="155">
        <f>IF(OR($NB29=0,$NN29=0),"",IF($MQ29=0,"−1 dado","−"&amp;INDEX($I$2:$N$8,MAX(1,$MQ29),MAX(1,$NS29))&amp;" · "&amp;CHOOSE(MAX(1,$NS29),"Leve","Média","Pesada","Leve · Livre","Média · Livre","Pesada · Livre")))</f>
        <v/>
      </c>
      <c r="QM29" s="155">
        <f>IF(OR($NB29=0,$NO29=0),"",IF($MQ29=0,"−1 dado","−"&amp;INDEX($I$2:$N$8,MAX(1,$MQ29),MAX(1,$NT29))&amp;" · "&amp;CHOOSE(MAX(1,$NT29),"Leve","Média","Pesada","Leve · Livre","Média · Livre","Pesada · Livre")))</f>
        <v/>
      </c>
      <c r="QN29" s="155">
        <f>IF(OR($NB29=0,$NP29=0),"",IF($MQ29=0,"−1 dado","−"&amp;INDEX($I$2:$N$8,MAX(1,$MQ29),MAX(1,$NU29))&amp;" · "&amp;CHOOSE(MAX(1,$NU29),"Leve","Média","Pesada","Leve · Livre","Média · Livre","Pesada · Livre")))</f>
        <v/>
      </c>
      <c r="QO29" s="155">
        <f>IF(OR($NB29=0,$MZ29=""),"",IF($MQ29=0,"não devolve","+"&amp;IF($OG29=1,CEILING($MQ29/2,1),$MQ29)))</f>
        <v/>
      </c>
      <c r="QP29" s="155">
        <f>IF(OR($NB29=0,$NA29=""),"",IF($MQ29=0,"não devolve","+"&amp;IF($OH29=1,CEILING($MQ29/2,1),$MQ29)))</f>
        <v/>
      </c>
    </row>
    <row r="30">
      <c r="AH30" s="153" t="inlineStr">
        <is>
          <t>Apoio · classe 0</t>
        </is>
      </c>
      <c r="AI30" s="153" t="inlineStr">
        <is>
          <t>Um aliado a 4,5 m</t>
        </is>
      </c>
      <c r="AJ30" s="153" t="inlineStr">
        <is>
          <t>Um aliado a 9 m</t>
        </is>
      </c>
      <c r="AK30" s="153" t="inlineStr">
        <is>
          <t>Um aliado a 18 m</t>
        </is>
      </c>
      <c r="AL30" s="153" t="inlineStr">
        <is>
          <t>Um aliado a 36 m</t>
        </is>
      </c>
      <c r="AM30" s="153" t="inlineStr">
        <is>
          <t>Um aliado a 90 m</t>
        </is>
      </c>
      <c r="AN30" s="153" t="inlineStr">
        <is>
          <t>Um aliado a visão a olho nu</t>
        </is>
      </c>
      <c r="AO30" s="153" t="inlineStr"/>
      <c r="AP30" s="153" t="inlineStr"/>
      <c r="AQ30" s="153" t="inlineStr"/>
      <c r="AR30" s="153" t="inlineStr"/>
      <c r="AS30" s="153" t="inlineStr"/>
      <c r="AT30" s="153" t="inlineStr"/>
      <c r="AV30" s="153" t="inlineStr">
        <is>
          <t>Surdo</t>
        </is>
      </c>
      <c r="AW30" s="153" t="inlineStr">
        <is>
          <t>Controle</t>
        </is>
      </c>
      <c r="AX30" s="155" t="n">
        <v>1</v>
      </c>
      <c r="AY30" s="155" t="n">
        <v>1</v>
      </c>
      <c r="AZ30" s="155" t="n">
        <v>0</v>
      </c>
      <c r="BA30" s="155" t="n">
        <v>1</v>
      </c>
      <c r="JR30" s="155">
        <f>IF(OR($AW30="",COUNTIF($EJ$2:$EN$2,$AW30)&gt;0),$AV30,"")</f>
        <v/>
      </c>
      <c r="JS30" s="155">
        <f>IF(AND($AX30=1,OR($AW30="",COUNTIF($EJ$2:$EN$2,$AW30)&gt;0)),$AV30,"")</f>
        <v/>
      </c>
      <c r="JX30" s="155">
        <f>IF(OR($AW30="",COUNTIF($EJ$3:$EN$3,$AW30)&gt;0),$AV30,"")</f>
        <v/>
      </c>
      <c r="JY30" s="155">
        <f>IF(AND($AX30=1,OR($AW30="",COUNTIF($EJ$3:$EN$3,$AW30)&gt;0)),$AV30,"")</f>
        <v/>
      </c>
      <c r="KD30" s="155">
        <f>IF(OR($AW30="",COUNTIF($EJ$4:$EN$4,$AW30)&gt;0),$AV30,"")</f>
        <v/>
      </c>
      <c r="KE30" s="155">
        <f>IF(AND($AX30=1,OR($AW30="",COUNTIF($EJ$4:$EN$4,$AW30)&gt;0)),$AV30,"")</f>
        <v/>
      </c>
      <c r="KJ30" s="155">
        <f>IF(OR($AW30="",COUNTIF($EJ$5:$EN$5,$AW30)&gt;0),$AV30,"")</f>
        <v/>
      </c>
      <c r="KK30" s="155">
        <f>IF(AND($AX30=1,OR($AW30="",COUNTIF($EJ$5:$EN$5,$AW30)&gt;0)),$AV30,"")</f>
        <v/>
      </c>
      <c r="KP30" s="155">
        <f>IF(OR($AW30="",COUNTIF($EJ$6:$EN$6,$AW30)&gt;0),$AV30,"")</f>
        <v/>
      </c>
      <c r="KQ30" s="155">
        <f>IF(AND($AX30=1,OR($AW30="",COUNTIF($EJ$6:$EN$6,$AW30)&gt;0)),$AV30,"")</f>
        <v/>
      </c>
      <c r="KV30" s="155">
        <f>IF(OR($AW30="",COUNTIF($EJ$7:$EN$7,$AW30)&gt;0),$AV30,"")</f>
        <v/>
      </c>
      <c r="KW30" s="155">
        <f>IF(AND($AX30=1,OR($AW30="",COUNTIF($EJ$7:$EN$7,$AW30)&gt;0)),$AV30,"")</f>
        <v/>
      </c>
      <c r="LB30" s="155">
        <f>IF(OR($AW30="",COUNTIF($EJ$8:$EN$8,$AW30)&gt;0),$AV30,"")</f>
        <v/>
      </c>
      <c r="LC30" s="155">
        <f>IF(AND($AX30=1,OR($AW30="",COUNTIF($EJ$8:$EN$8,$AW30)&gt;0)),$AV30,"")</f>
        <v/>
      </c>
      <c r="LH30" s="155">
        <f>IF(OR($AW30="",COUNTIF($EJ$9:$EN$9,$AW30)&gt;0),$AV30,"")</f>
        <v/>
      </c>
      <c r="LI30" s="155">
        <f>IF(AND($AX30=1,OR($AW30="",COUNTIF($EJ$9:$EN$9,$AW30)&gt;0)),$AV30,"")</f>
        <v/>
      </c>
      <c r="LN30" s="155">
        <f>IF(OR($AW30="",COUNTIF($EJ$10:$EN$10,$AW30)&gt;0),$AV30,"")</f>
        <v/>
      </c>
      <c r="LO30" s="155">
        <f>IF(AND($AX30=1,OR($AW30="",COUNTIF($EJ$10:$EN$10,$AW30)&gt;0)),$AV30,"")</f>
        <v/>
      </c>
      <c r="LT30" s="155">
        <f>IF(OR($AW30="",COUNTIF($EJ$11:$EN$11,$AW30)&gt;0),$AV30,"")</f>
        <v/>
      </c>
      <c r="LU30" s="155">
        <f>IF(AND($AX30=1,OR($AW30="",COUNTIF($EJ$11:$EN$11,$AW30)&gt;0)),$AV30,"")</f>
        <v/>
      </c>
      <c r="LZ30" s="155">
        <f>IF(OR($AW30="",COUNTIF($EJ$12:$EN$12,$AW30)&gt;0),$AV30,"")</f>
        <v/>
      </c>
      <c r="MA30" s="155">
        <f>IF(AND($AX30=1,OR($AW30="",COUNTIF($EJ$12:$EN$12,$AW30)&gt;0)),$AV30,"")</f>
        <v/>
      </c>
      <c r="MF30" s="155">
        <f>IF(OR($AW30="",COUNTIF($EJ$13:$EN$13,$AW30)&gt;0),$AV30,"")</f>
        <v/>
      </c>
      <c r="MG30" s="155">
        <f>IF(AND($AX30=1,OR($AW30="",COUNTIF($EJ$13:$EN$13,$AW30)&gt;0)),$AV30,"")</f>
        <v/>
      </c>
      <c r="ML30" s="153" t="inlineStr">
        <is>
          <t>Ficha 3 · Especial 2</t>
        </is>
      </c>
      <c r="MM30" s="155" t="n">
        <v>3</v>
      </c>
      <c r="MN30" s="155" t="n">
        <v>1</v>
      </c>
      <c r="MO30" s="155" t="n">
        <v>4</v>
      </c>
      <c r="MP30" s="153" t="inlineStr">
        <is>
          <t>ESPECIAL 2</t>
        </is>
      </c>
      <c r="MQ30" s="155">
        <f>MAX(1,MIN(7,N('INVOCAÇÕES'!$U$454)))</f>
        <v/>
      </c>
      <c r="MR30" s="155">
        <f>'INVOCAÇÕES'!$V$454&amp;""</f>
        <v/>
      </c>
      <c r="MS30" s="155">
        <f>'INVOCAÇÕES'!$U$459&amp;""</f>
        <v/>
      </c>
      <c r="MT30" s="155">
        <f>'INVOCAÇÕES'!$U$460&amp;""</f>
        <v/>
      </c>
      <c r="MU30" s="155">
        <f>'INVOCAÇÕES'!$W$460&amp;""</f>
        <v/>
      </c>
      <c r="MV30" s="155">
        <f>'INVOCAÇÕES'!$V$463&amp;""</f>
        <v/>
      </c>
      <c r="MW30" s="155">
        <f>'INVOCAÇÕES'!$V$464&amp;""</f>
        <v/>
      </c>
      <c r="MX30" s="155">
        <f>'INVOCAÇÕES'!$V$465&amp;""</f>
        <v/>
      </c>
      <c r="MY30" s="155">
        <f>'INVOCAÇÕES'!$V$466&amp;""</f>
        <v/>
      </c>
      <c r="MZ30" s="155">
        <f>'INVOCAÇÕES'!$V$467&amp;""</f>
        <v/>
      </c>
      <c r="NA30" s="155">
        <f>'INVOCAÇÕES'!$V$468&amp;""</f>
        <v/>
      </c>
      <c r="NB30" s="155">
        <f>IF($MR30&lt;&gt;"",1,0)</f>
        <v/>
      </c>
      <c r="NC30" s="155">
        <f>INDEX($FM$2:$FM$13,$MM30)</f>
        <v/>
      </c>
      <c r="ND30" s="155">
        <f>INDEX($FN$2:$FN$13,$MM30)</f>
        <v/>
      </c>
      <c r="NE30" s="155">
        <f>INDEX($FO$2:$FO$13,$MM30)</f>
        <v/>
      </c>
      <c r="NF30" s="155">
        <f>INDEX($FZ$2:$FZ$13,$MM30)</f>
        <v/>
      </c>
      <c r="NG30" s="155">
        <f>INDEX($GA$2:$GA$13,$MM30)</f>
        <v/>
      </c>
      <c r="NH30" s="155">
        <f>IFERROR(MATCH($MS30,$V$2:$V$11,0),0)</f>
        <v/>
      </c>
      <c r="NI30" s="155">
        <f>IFERROR(VLOOKUP($MV30,$AV$2:$BA$84,2,FALSE),"")</f>
        <v/>
      </c>
      <c r="NJ30" s="155">
        <f>IFERROR(VLOOKUP($MW30,$AV$2:$BA$84,2,FALSE),"")</f>
        <v/>
      </c>
      <c r="NK30" s="155">
        <f>IFERROR(VLOOKUP($MX30,$AV$2:$BA$84,2,FALSE),"")</f>
        <v/>
      </c>
      <c r="NL30" s="155">
        <f>IFERROR(VLOOKUP($MY30,$AV$2:$BA$84,2,FALSE),"")</f>
        <v/>
      </c>
      <c r="NM30" s="155">
        <f>IFERROR(VLOOKUP($MV30,$AV$2:$BA$84,3,FALSE),0)</f>
        <v/>
      </c>
      <c r="NN30" s="155">
        <f>IFERROR(VLOOKUP($MW30,$AV$2:$BA$84,3,FALSE),0)</f>
        <v/>
      </c>
      <c r="NO30" s="155">
        <f>IFERROR(VLOOKUP($MX30,$AV$2:$BA$84,3,FALSE),0)</f>
        <v/>
      </c>
      <c r="NP30" s="155">
        <f>IFERROR(VLOOKUP($MY30,$AV$2:$BA$84,3,FALSE),0)</f>
        <v/>
      </c>
      <c r="NQ30" s="155">
        <f>IF($MQ30=0,0,IF($NH30=0,0,INDEX($X$2:$X$11,$NH30)))</f>
        <v/>
      </c>
      <c r="NR30" s="155">
        <f>IF(OR($NM30=0,$MQ30=0),0,$NM30+3*IF(AND($NI30&lt;&gt;"",OR($NI30=INDEX($EJ$2:$EJ$13,$MM30),$NI30=INDEX($EK$2:$EK$13,$MM30))),1,0))</f>
        <v/>
      </c>
      <c r="NS30" s="155">
        <f>IF(OR($NN30=0,$MQ30=0),0,$NN30+3*IF(AND($NJ30&lt;&gt;"",OR($NJ30=INDEX($EJ$2:$EJ$13,$MM30),$NJ30=INDEX($EK$2:$EK$13,$MM30))),1,0))</f>
        <v/>
      </c>
      <c r="NT30" s="155">
        <f>IF(OR($NO30=0,$MQ30=0),0,$NO30+3*IF(AND($NK30&lt;&gt;"",OR($NK30=INDEX($EJ$2:$EJ$13,$MM30),$NK30=INDEX($EK$2:$EK$13,$MM30))),1,0))</f>
        <v/>
      </c>
      <c r="NU30" s="155">
        <f>IF(OR($NP30=0,$MQ30=0),0,$NP30+3*IF(AND($NL30&lt;&gt;"",OR($NL30=INDEX($EJ$2:$EJ$13,$MM30),$NL30=INDEX($EK$2:$EK$13,$MM30))),1,0))</f>
        <v/>
      </c>
      <c r="NV30" s="155">
        <f>IF($NH30=0,0,IF(INDEX($W$2:$W$11,$NH30)="",0,IF(COUNTIF(INDEX($EJ$2:$EN$13,$MM30,0),INDEX($W$2:$W$11,$NH30))=0,1,0)))</f>
        <v/>
      </c>
      <c r="NW30" s="155">
        <f>IF(OR($NM30=0,$NI30=""),0,IF(COUNTIF(INDEX($EJ$2:$EN$13,$MM30,0),$NI30)=0,1,0))</f>
        <v/>
      </c>
      <c r="NX30" s="155">
        <f>IF(OR($NN30=0,$NJ30=""),0,IF(COUNTIF(INDEX($EJ$2:$EN$13,$MM30,0),$NJ30)=0,1,0))</f>
        <v/>
      </c>
      <c r="NY30" s="155">
        <f>IF(OR($NO30=0,$NK30=""),0,IF(COUNTIF(INDEX($EJ$2:$EN$13,$MM30,0),$NK30)=0,1,0))</f>
        <v/>
      </c>
      <c r="NZ30" s="155">
        <f>IF(OR($NP30=0,$NL30=""),0,IF(COUNTIF(INDEX($EJ$2:$EN$13,$MM30,0),$NL30)=0,1,0))</f>
        <v/>
      </c>
      <c r="OA30" s="155">
        <f>IFERROR(VLOOKUP($MV30,$AV$2:$BA$84,4,FALSE),0)+IFERROR(VLOOKUP($MW30,$AV$2:$BA$84,4,FALSE),0)+IFERROR(VLOOKUP($MX30,$AV$2:$BA$84,4,FALSE),0)+IFERROR(VLOOKUP($MY30,$AV$2:$BA$84,4,FALSE),0)</f>
        <v/>
      </c>
      <c r="OB30" s="155">
        <f>IFERROR(VLOOKUP($MV30,$AV$2:$BA$84,6,FALSE),0)+IFERROR(VLOOKUP($MW30,$AV$2:$BA$84,6,FALSE),0)+IFERROR(VLOOKUP($MX30,$AV$2:$BA$84,6,FALSE),0)+IFERROR(VLOOKUP($MY30,$AV$2:$BA$84,6,FALSE),0)</f>
        <v/>
      </c>
      <c r="OC30" s="155">
        <f>TEXTJOIN(", ",TRUE,IF(IFERROR(VLOOKUP($MV30,$AV$2:$BA$84,5,FALSE),0)=1,$MV30,""),IF(IFERROR(VLOOKUP($MW30,$AV$2:$BA$84,5,FALSE),0)=1,$MW30,""),IF(IFERROR(VLOOKUP($MX30,$AV$2:$BA$84,5,FALSE),0)=1,$MX30,""),IF(IFERROR(VLOOKUP($MY30,$AV$2:$BA$84,5,FALSE),0)=1,$MY30,""))</f>
        <v/>
      </c>
      <c r="OD30" s="155">
        <f>IF($NH30=0,0,INDEX($Y$2:$Y$11,$NH30))</f>
        <v/>
      </c>
      <c r="OE30" s="155">
        <f>IF($NH30=0,0,INDEX($Z$2:$Z$11,$NH30))</f>
        <v/>
      </c>
      <c r="OF30" s="155">
        <f>IF($NH30=0,0,INDEX($AB$2:$AB$11,$NH30))</f>
        <v/>
      </c>
      <c r="OG30" s="155">
        <f>IFERROR(VLOOKUP($MZ30,$BC$2:$BG$24,3,FALSE),0)</f>
        <v/>
      </c>
      <c r="OH30" s="155">
        <f>IFERROR(VLOOKUP($NA30,$BC$2:$BG$24,3,FALSE),0)</f>
        <v/>
      </c>
      <c r="OI30" s="155">
        <f>IFERROR(VLOOKUP($MZ30,$BC$2:$BG$24,2,FALSE),"")</f>
        <v/>
      </c>
      <c r="OJ30" s="155">
        <f>IFERROR(VLOOKUP($NA30,$BC$2:$BG$24,2,FALSE),"")</f>
        <v/>
      </c>
      <c r="OK30" s="155">
        <f>COUNTIF($NQ30:$NU30,1)</f>
        <v/>
      </c>
      <c r="OL30" s="155">
        <f>COUNTIF($NQ30:$NU30,2)</f>
        <v/>
      </c>
      <c r="OM30" s="155">
        <f>COUNTIF($NQ30:$NU30,3)</f>
        <v/>
      </c>
      <c r="ON30" s="155">
        <f>COUNTIF($NQ30:$NU30,4)</f>
        <v/>
      </c>
      <c r="OO30" s="155">
        <f>COUNTIF($NQ30:$NU30,5)</f>
        <v/>
      </c>
      <c r="OP30" s="155">
        <f>COUNTIF($NQ30:$NU30,6)</f>
        <v/>
      </c>
      <c r="OQ30" s="155">
        <f>COUNTIF($OG30:$OH30,1)</f>
        <v/>
      </c>
      <c r="OR30" s="155">
        <f>COUNTIF($OG30:$OH30,2)+$OD30</f>
        <v/>
      </c>
      <c r="OS30" s="155">
        <f>COUNTIF($MV30:$MY30,"?*")</f>
        <v/>
      </c>
      <c r="OT30" s="155">
        <f>COUNTIF($MZ30:$NA30,"?*")+$OD30</f>
        <v/>
      </c>
      <c r="OU30" s="155">
        <f>IF($MQ30=0,0,SUMPRODUCT($OK30:$OP30,INDEX($I$2:$N$8,MAX(1,$MQ30),0)))</f>
        <v/>
      </c>
      <c r="OV30" s="155">
        <f>IF($MQ30=0,0,$OQ30*CEILING($MQ30/2,1)+$OR30*$MQ30)</f>
        <v/>
      </c>
      <c r="OW30" s="155">
        <f>MIN(2*$MQ30,$OV30)</f>
        <v/>
      </c>
      <c r="OX30" s="155">
        <f>MIN($OW30,$OU30)</f>
        <v/>
      </c>
      <c r="OY30" s="155">
        <f>$OW30-$OX30</f>
        <v/>
      </c>
      <c r="OZ30" s="155">
        <f>IF($MQ30=0,0,INDEX($P$2:$P$8,MAX(1,$MQ30)))</f>
        <v/>
      </c>
      <c r="PA30" s="155">
        <f>$OZ30-$OU30+$OX30</f>
        <v/>
      </c>
      <c r="PB30" s="155">
        <f>IF($MQ30=0,MAX(0,$NE30-IF($OS30&gt;0,1,0)),MAX(0,$PA30))</f>
        <v/>
      </c>
      <c r="PC30" s="155">
        <f>IF($MQ30=0,0,(IF(COUNTIF($MV30:$MY30,"Salto")&gt;0,1,0)+IF(COUNTIF($MV30:$MY30,"Queima")&gt;0,1,0)+IF(COUNTIF($MV30:$MY30,"Estilhaço")&gt;0,1,0))*FLOOR($PB30/2,1))</f>
        <v/>
      </c>
      <c r="PD30" s="155">
        <f>MAX(0,2-SUMPRODUCT($OK30:$OP30,$I$2:$N$2)+MIN(2,$OQ30*1+$OR30*1,SUMPRODUCT($OK30:$OP30,$I$2:$N$2)))</f>
        <v/>
      </c>
      <c r="PE30" s="155">
        <f>MAX(0,4-SUMPRODUCT($OK30:$OP30,$I$3:$N$3)+MIN(4,$OQ30*1+$OR30*2,SUMPRODUCT($OK30:$OP30,$I$3:$N$3)))</f>
        <v/>
      </c>
      <c r="PF30" s="155">
        <f>MAX(0,6-SUMPRODUCT($OK30:$OP30,$I$4:$N$4)+MIN(6,$OQ30*2+$OR30*3,SUMPRODUCT($OK30:$OP30,$I$4:$N$4)))</f>
        <v/>
      </c>
      <c r="PG30" s="155">
        <f>MAX(0,9-SUMPRODUCT($OK30:$OP30,$I$5:$N$5)+MIN(8,$OQ30*2+$OR30*4,SUMPRODUCT($OK30:$OP30,$I$5:$N$5)))</f>
        <v/>
      </c>
      <c r="PH30" s="155">
        <f>MAX(0,11-SUMPRODUCT($OK30:$OP30,$I$6:$N$6)+MIN(10,$OQ30*3+$OR30*5,SUMPRODUCT($OK30:$OP30,$I$6:$N$6)))</f>
        <v/>
      </c>
      <c r="PI30" s="155">
        <f>MAX(0,13-SUMPRODUCT($OK30:$OP30,$I$7:$N$7)+MIN(12,$OQ30*3+$OR30*6,SUMPRODUCT($OK30:$OP30,$I$7:$N$7)))</f>
        <v/>
      </c>
      <c r="PJ30" s="155">
        <f>MAX(0,16-SUMPRODUCT($OK30:$OP30,$I$8:$N$8)+MIN(14,$OQ30*4+$OR30*7,SUMPRODUCT($OK30:$OP30,$I$8:$N$8)))</f>
        <v/>
      </c>
      <c r="PK30" s="155">
        <f>IF($OE30=2,3*$PD30&amp;" de vida temp.",IF($OE30=3,"sem dano",IF($PD30=0,IF($OE30=1,"sem cura","sem dano"),IF($OE30=1,"cura ","")&amp;$PD30&amp;"d8")))</f>
        <v/>
      </c>
      <c r="PL30" s="155">
        <f>IF($OE30=2,3*$PE30&amp;" de vida temp.",IF($OE30=3,"sem dano",IF($PE30=0,IF($OE30=1,"sem cura","sem dano"),IF($OE30=1,"cura ","")&amp;$PE30&amp;"d8")))</f>
        <v/>
      </c>
      <c r="PM30" s="155">
        <f>IF($OE30=2,3*$PF30&amp;" de vida temp.",IF($OE30=3,"sem dano",IF($PF30=0,IF($OE30=1,"sem cura","sem dano"),IF($OE30=1,"cura ","")&amp;$PF30&amp;"d8")))</f>
        <v/>
      </c>
      <c r="PN30" s="155">
        <f>IF($OE30=2,3*$PG30&amp;" de vida temp.",IF($OE30=3,"sem dano",IF($PG30=0,IF($OE30=1,"sem cura","sem dano"),IF($OE30=1,"cura ","")&amp;$PG30&amp;"d8")))</f>
        <v/>
      </c>
      <c r="PO30" s="155">
        <f>IF($OE30=2,3*$PH30&amp;" de vida temp.",IF($OE30=3,"sem dano",IF($PH30=0,IF($OE30=1,"sem cura","sem dano"),IF($OE30=1,"cura ","")&amp;$PH30&amp;"d8")))</f>
        <v/>
      </c>
      <c r="PP30" s="155">
        <f>IF($OE30=2,3*$PI30&amp;" de vida temp.",IF($OE30=3,"sem dano",IF($PI30=0,IF($OE30=1,"sem cura","sem dano"),IF($OE30=1,"cura ","")&amp;$PI30&amp;"d8")))</f>
        <v/>
      </c>
      <c r="PQ30" s="155">
        <f>IF($OE30=2,3*$PJ30&amp;" de vida temp.",IF($OE30=3,"sem dano",IF($PJ30=0,IF($OE30=1,"sem cura","sem dano"),IF($OE30=1,"cura ","")&amp;$PJ30&amp;"d8")))</f>
        <v/>
      </c>
      <c r="PR30" s="155">
        <f>IF($NB30=0,"",TEXTJOIN(" · ",TRUE,IF($MO30&gt;$NC30,"Este lugar abre no nível "&amp;$MO30,""),IF($MQ30&gt;$ND30,"Classe "&amp;$MQ30&amp;": o nível "&amp;$NC30&amp;" libera até a "&amp;$ND30,""),IF($NV30=1,"A Forma "&amp;$MS30&amp;" pede "&amp;INDEX($W$2:$W$11,$NH30)&amp;" aberta",""),IF(AND($MQ30=0,$NH30&gt;0,IF($NH30=0,0,INDEX($AF$2:$AF$11,$NH30))=0),$MS30&amp;" não existe na Classe 0",""),IF($NW30=1,"Família Fechada: "&amp;$MV30,""),IF($NX30=1,"Família Fechada: "&amp;$MW30,""),IF($NY30=1,"Família Fechada: "&amp;$MX30,""),IF($NZ30=1,"Família Fechada: "&amp;$MY30,""),IF(AND($MQ30&gt;0,$OS30&gt;INDEX($O$2:$O$8,MAX(1,$MQ30))),$OS30&amp;" Melhorias: a Classe "&amp;$MQ30&amp;" aceita "&amp;INDEX($O$2:$O$8,MAX(1,$MQ30)),""),IF(AND($MQ30=0,$OS30&gt;1),"A básica aceita uma Melhoria",""),IF(AND($MQ30=0,COUNTIF($NM30:$NP30,"&gt;1")&gt;0),"A básica só aceita Melhoria Leve",""),IF(AND($MQ30&gt;0,$OT30&gt;2),$OT30&amp;" Restrições"&amp;IF($OD30=1,", contando a que a Forma "&amp;$MS30&amp;" já traz","")&amp;": o limite é 2",""),IF(AND($MQ30=0,COUNTIF($MZ30:$NA30,"?*")&gt;1),"A básica aceita uma Restrição Leve",""),IF(AND($MQ30=0,COUNTIF($OG30:$OH30,2)&gt;0),"A básica só aceita Restrição Leve",""),IF(AND($MQ30&gt;0,$PA30&lt;0),"Orçamento estourado: faltam "&amp;(-$PA30)&amp;IF($PA30&lt;-1," pontos"," ponto"),""),IF(IFERROR(VLOOKUP($MZ30,$BC$2:$BG$24,4,FALSE),0)+IFERROR(VLOOKUP($NA30,$BC$2:$BG$24,4,FALSE),0)&gt;1,$OI30&amp;" e "&amp;$OJ30&amp;" são as duas de frequência",""),IF(AND((COUNTIF($MV30:$MY30,"Rápido")+COUNTIF($OI30:$OJ30,"Rápido"))&gt;0,(COUNTIF($MV30:$MY30,"Atrasar")+COUNTIF($OI30:$OJ30,"Atrasar"))&gt;0),"Rápido não entra com Atrasar",""),IF(AND((COUNTIF($MV30:$MY30,"Reação")+COUNTIF($OI30:$OJ30,"Reação"))&gt;0,(COUNTIF($MV30:$MY30,"Rápido")+COUNTIF($OI30:$OJ30,"Rápido"))&gt;0),"Reação não entra com Rápido",""),IF(AND((COUNTIF($MV30:$MY30,"Reação")+COUNTIF($OI30:$OJ30,"Reação"))&gt;0,(COUNTIF($MV30:$MY30,"Armado")+COUNTIF($OI30:$OJ30,"Armado"))&gt;0),"Reação não entra com Armado",""),IF(AND((COUNTIF($MV30:$MY30,"Reação")+COUNTIF($OI30:$OJ30,"Reação"))&gt;0,(COUNTIF($MV30:$MY30,"Atrasar")+COUNTIF($OI30:$OJ30,"Atrasar"))&gt;0),"Reação não entra com Atrasar",""),IF(AND((COUNTIF($MV30:$MY30,"Reação")+COUNTIF($OI30:$OJ30,"Reação"))&gt;0,(COUNTIF($MV30:$MY30,"Parado")+COUNTIF($OI30:$OJ30,"Parado"))&gt;0),"Reação não entra com Parado",""),IF(AND((COUNTIF($MV30:$MY30,"Atrasar")+COUNTIF($OI30:$OJ30,"Atrasar"))&gt;0,(COUNTIF($MV30:$MY30,"Parado")+COUNTIF($OI30:$OJ30,"Parado"))&gt;0),"Atrasar não entra com Parado",""),IF(AND((COUNTIF($MV30:$MY30,"Armado")+COUNTIF($OI30:$OJ30,"Armado"))&gt;0,(COUNTIF($MV30:$MY30,"Carregar")+COUNTIF($OI30:$OJ30,"Carregar"))&gt;0),"Armado não entra com Carregar",""),IF(AND(COUNTIF($OI30:$OJ30,"Corpo a Corpo")&gt;0,$OD30=0,OR($MS30="Cone",$MS30="Linha")),"Corpo a Corpo não entra em "&amp;$MS30,""),IF(AND(COUNTIF($OI30:$OJ30,"Corpo a Corpo")&gt;0,$OD30=1),"A Forma "&amp;$MS30&amp;" já traz o Corpo a Corpo",""),IF(AND(COUNTIF($OI30:$OJ30,"Tudo ou Nada")&gt;0,$OF30=0),"Tudo ou Nada só entra em habilidade de Teste de Resistência",""),IF(AND(COUNTIF($MV30:$MY30,"Inescapável")&gt;0,OR($OS30&gt;1,$OT30&gt;0)),"Inescapável não aceita outra peça",""),IF(AND($MQ30&gt;0,$PB30*IF(COUNTIF($MV30:$MY30,"Remate")&gt;0,1.25,1)+$PC30&gt;4*$MQ30),($PB30*IF(COUNTIF($MV30:$MY30,"Remate")&gt;0,1.25,1)+$PC30)&amp;" dados somando repetições"&amp;IF(COUNTIF($MV30:$MY30,"Remate")&gt;0," e o Remate","")&amp;": o teto da Classe "&amp;$MQ30&amp;" é "&amp;4*$MQ30,"")))</f>
        <v/>
      </c>
      <c r="PS30" s="155">
        <f>IF($PR30="",0,(LEN($PR30)-LEN(SUBSTITUTE($PR30," · ","")))/3+1)</f>
        <v/>
      </c>
      <c r="PT30" s="155">
        <f>IF($NB30=0,"",TEXTJOIN(" · ",TRUE,IF($OV30&gt;2*$MQ30,"A devolução parou no teto de "&amp;2*$MQ30,""),IF($OY30&gt;0,"Devolução perdida: "&amp;$OY30&amp;IF($OY30&gt;1," pontos"," ponto")&amp;" sem peça para pagar",""),IF(AND($OA30&gt;0,AND($MQ30&gt;0,$OE30=0),$PB30=0),"Controle sem dano: uma rodada a mais e CD +2",""),IF(AND($OA30&gt;0,AND($MQ30&gt;0,$OE30=0),$PB30&gt;0,$PB30&lt;=$MQ30),"Controle com saldo até a Classe: uma rodada a mais",""),IF(AND($MQ30&gt;0,$OC30&lt;&gt;""),"Efeito de "&amp;$OC30&amp;" pela Classe "&amp;MAX(1,$MQ30-1),"")))</f>
        <v/>
      </c>
      <c r="PU30" s="155">
        <f>IF($PT30="",0,(LEN($PT30)-LEN(SUBSTITUTE($PT30," · ","")))/3+1)</f>
        <v/>
      </c>
      <c r="PV30" s="155">
        <f>IF($NB30=0,IF($OS30+COUNTIF($MZ30:$NA30,"?*")&gt;0,"Dê um nome",""),IF($PS30&gt;0,"⚠ "&amp;$PS30&amp;IF($PS30&gt;1," erros"," erro"),IF($PU30&gt;0,"! "&amp;$PU30&amp;IF($PU30&gt;1," avisos"," aviso"),"Na regra")))</f>
        <v/>
      </c>
      <c r="PW30" s="155">
        <f>IF($NB30=0,"",IF($PS30+$PU30=0,"Dentro das regras que a ficha confere",$PR30&amp;IF(AND($PS30&gt;0,$PU30&gt;0)," · ","")&amp;$PT30))</f>
        <v/>
      </c>
      <c r="PX30" s="155">
        <f>IF($MO30&gt;$NC30,$MP30&amp;" · ABRE NO NÍVEL "&amp;$MO30,$MP30)</f>
        <v/>
      </c>
      <c r="PY30" s="155">
        <f>IF($NB30=0,"",IF($MQ30=0,"Sem PE",3*$MQ30&amp;" PE"))</f>
        <v/>
      </c>
      <c r="PZ30" s="155">
        <f>IF($NB30=0,"",IF($MQ30=0,"A atuação básica dela",IF(COUNTIF($OI30:$OJ30,"Atrasar")&gt;0,"Sua Ação Completa",IF(COUNTIF($MV30:$MY30,"Rápido")&gt;0,"Sua Bônus",IF(COUNTIF($MV30:$MY30,"Reação")&gt;0,"Sua Reação","Sua Padrão")))&amp;" + a básica dela"&amp;IF(COUNTIF($MV30:$MY30,"Reação")&gt;0," e a coletiva","")&amp;IF(COUNTIF($OI30:$OJ30,"Carregar")&gt;0," · em dois turnos","")))</f>
        <v/>
      </c>
      <c r="QA30" s="155">
        <f>IF($MU30&lt;&gt;"",$MU30,IF($NH30=0,"",INDEX($AA$2:$AA$11,$NH30)))</f>
        <v/>
      </c>
      <c r="QB30" s="155">
        <f>IF(OR($NB30=0,$NH30=0),"",IF(COUNTIF($MV30:$MY30,"Inescapável")&gt;0,"Automático",IF($QA30="Ataque",IF($NF30="","Ataque","Ataque "&amp;IF(($NF30+2*IF(COUNTIF($MV30:$MY30,"Precisão")&gt;0,1,0))&gt;=0,"+","−")&amp;ABS(($NF30+2*IF(COUNTIF($MV30:$MY30,"Precisão")&gt;0,1,0))))&amp;IF($OB30&gt;0," · TR"&amp;IF($NG30="",""," CD "&amp;$NG30),""),IF(LEFT($QA30,2)="TR",$QA30&amp;IF($NG30="",""," · CD "&amp;$NG30)&amp;IF(COUNTIF($MV30:$MY30,"Certeiro")&gt;0," · metade",""),"Sem rolagem"))))</f>
        <v/>
      </c>
      <c r="QC30" s="155">
        <f>IF(OR($NB30=0,$NH30=0),"",IF($MQ30=0,IF(OR($OE30&gt;=1,$PB30=0),"Sem dano",$PB30&amp;"d6"&amp;IF($MT30="",""," "&amp;$MT30)),IF(OR($OE30&gt;=1,$PB30=0),UPPER(LEFT(INDEX($PK30:$PQ30,1,MAX(1,$MQ30)),1))&amp;MID(INDEX($PK30:$PQ30,1,MAX(1,$MQ30)),2,99),UPPER(LEFT(INDEX($PK30:$PQ30,1,MAX(1,$MQ30)),1))&amp;MID(INDEX($PK30:$PQ30,1,MAX(1,$MQ30)),2,99)&amp;IF($MT30="",""," "&amp;$MT30)&amp;IF($PC30&gt;0," · +"&amp;$PC30&amp;"d8",""))))</f>
        <v/>
      </c>
      <c r="QD30" s="155">
        <f>COUNTIF($MV30:$MY30,"Longe")+3*COUNTIF($MV30:$MY30,"Muito Longe")</f>
        <v/>
      </c>
      <c r="QE30" s="155">
        <f>COUNTIF($MV30:$MY30,"Maior")+3*COUNTIF($MV30:$MY30,"Muito Maior")</f>
        <v/>
      </c>
      <c r="QF30" s="155">
        <f>IF($NH30=0,0,CHOOSE(1+INDEX($AC$2:$AC$11,$NH30),0,$QD30,$QE30,$QD30+$QE30))</f>
        <v/>
      </c>
      <c r="QG30" s="155">
        <f>IF($NH30=0,0,CHOOSE(1+INDEX($AD$2:$AD$11,$NH30),0,$QD30,$QE30,$QD30+$QE30))</f>
        <v/>
      </c>
      <c r="QH30" s="155">
        <f>IF(OR($NB30=0,$NH30=0),"",INDEX($AI$2:$AN$41,($NH30-1)*4+IF($MQ30=0,1,IF($MQ30&lt;=5,2,IF($MQ30=6,3,4))),1+MIN(5,$QF30))&amp;INDEX($AO$2:$AT$41,($NH30-1)*4+IF($MQ30=0,1,IF($MQ30&lt;=5,2,IF($MQ30=6,3,4))),1+MIN(5,$QG30))&amp;IF(INDEX($AE$2:$AE$11,$NH30)=1,IF(COUNTIF($MV30:$MY30,"Mais Um")&gt;0," · +"&amp;COUNTIF($MV30:$MY30,"Mais Um")&amp;IF(COUNTIF($MV30:$MY30,"Mais Um")&gt;1," alvos"," alvo"),"")&amp;IF(COUNTIF($MV30:$MY30,"Rajada")&gt;0,IF($MQ30=0," · 1 tiro"," · "&amp;(MAX(1,$MQ30-1)+1)&amp;" tiros"),""),""))</f>
        <v/>
      </c>
      <c r="QI30" s="155">
        <f>IF($NB30=0,"",IF($MQ30=0,$NE30&amp;"d6"&amp;IF($OS30&gt;0," − 1 = "&amp;$PB30&amp;"d6"," da básica do nível "&amp;$NC30),$OZ30&amp;" − "&amp;$OU30&amp;" + "&amp;$OX30&amp;" = "&amp;$PA30&amp;" · teto "&amp;4*$MQ30&amp;"d8"&amp;IF($OD30=1," · a Forma devolve "&amp;$MQ30,"")&amp;IF($OY30&gt;0," · perde "&amp;$OY30,"")))</f>
        <v/>
      </c>
      <c r="QJ30" s="155">
        <f>IF($NB30=0,"",IF($MQ30=0,"A básica não amplia: os dados dela sobem com o nível",IF($MQ30&gt;=$ND30,"Já está na maior Classe que o nível liberou",TEXTJOIN(" · ",TRUE,IF(AND(2&gt;$MQ30,2&lt;=$ND30),"2 → "&amp;$PL30&amp;", 6 PE",""),IF(AND(3&gt;$MQ30,3&lt;=$ND30),"3 → "&amp;$PM30&amp;", 9 PE",""),IF(AND(4&gt;$MQ30,4&lt;=$ND30),"4 → "&amp;$PN30&amp;", 12 PE",""),IF(AND(5&gt;$MQ30,5&lt;=$ND30),"5 → "&amp;$PO30&amp;", 15 PE",""),IF(AND(6&gt;$MQ30,6&lt;=$ND30),"6 → "&amp;$PP30&amp;", 18 PE",""),IF(AND(7&gt;$MQ30,7&lt;=$ND30),"7 → "&amp;$PQ30&amp;", 21 PE","")))))</f>
        <v/>
      </c>
      <c r="QK30" s="155">
        <f>IF(OR($NB30=0,$NM30=0),"",IF($MQ30=0,"−1 dado","−"&amp;INDEX($I$2:$N$8,MAX(1,$MQ30),MAX(1,$NR30))&amp;" · "&amp;CHOOSE(MAX(1,$NR30),"Leve","Média","Pesada","Leve · Livre","Média · Livre","Pesada · Livre")))</f>
        <v/>
      </c>
      <c r="QL30" s="155">
        <f>IF(OR($NB30=0,$NN30=0),"",IF($MQ30=0,"−1 dado","−"&amp;INDEX($I$2:$N$8,MAX(1,$MQ30),MAX(1,$NS30))&amp;" · "&amp;CHOOSE(MAX(1,$NS30),"Leve","Média","Pesada","Leve · Livre","Média · Livre","Pesada · Livre")))</f>
        <v/>
      </c>
      <c r="QM30" s="155">
        <f>IF(OR($NB30=0,$NO30=0),"",IF($MQ30=0,"−1 dado","−"&amp;INDEX($I$2:$N$8,MAX(1,$MQ30),MAX(1,$NT30))&amp;" · "&amp;CHOOSE(MAX(1,$NT30),"Leve","Média","Pesada","Leve · Livre","Média · Livre","Pesada · Livre")))</f>
        <v/>
      </c>
      <c r="QN30" s="155">
        <f>IF(OR($NB30=0,$NP30=0),"",IF($MQ30=0,"−1 dado","−"&amp;INDEX($I$2:$N$8,MAX(1,$MQ30),MAX(1,$NU30))&amp;" · "&amp;CHOOSE(MAX(1,$NU30),"Leve","Média","Pesada","Leve · Livre","Média · Livre","Pesada · Livre")))</f>
        <v/>
      </c>
      <c r="QO30" s="155">
        <f>IF(OR($NB30=0,$MZ30=""),"",IF($MQ30=0,"não devolve","+"&amp;IF($OG30=1,CEILING($MQ30/2,1),$MQ30)))</f>
        <v/>
      </c>
      <c r="QP30" s="155">
        <f>IF(OR($NB30=0,$NA30=""),"",IF($MQ30=0,"não devolve","+"&amp;IF($OH30=1,CEILING($MQ30/2,1),$MQ30)))</f>
        <v/>
      </c>
    </row>
    <row r="31">
      <c r="AH31" s="153" t="inlineStr">
        <is>
          <t>Apoio · classes 1 a 5</t>
        </is>
      </c>
      <c r="AI31" s="153" t="inlineStr">
        <is>
          <t>Um aliado a 9 m</t>
        </is>
      </c>
      <c r="AJ31" s="153" t="inlineStr">
        <is>
          <t>Um aliado a 18 m</t>
        </is>
      </c>
      <c r="AK31" s="153" t="inlineStr">
        <is>
          <t>Um aliado a 36 m</t>
        </is>
      </c>
      <c r="AL31" s="153" t="inlineStr">
        <is>
          <t>Um aliado a 90 m</t>
        </is>
      </c>
      <c r="AM31" s="153" t="inlineStr">
        <is>
          <t>Um aliado a visão a olho nu</t>
        </is>
      </c>
      <c r="AN31" s="153" t="inlineStr">
        <is>
          <t>Um aliado a visão a olho nu</t>
        </is>
      </c>
      <c r="AO31" s="153" t="inlineStr"/>
      <c r="AP31" s="153" t="inlineStr"/>
      <c r="AQ31" s="153" t="inlineStr"/>
      <c r="AR31" s="153" t="inlineStr"/>
      <c r="AS31" s="153" t="inlineStr"/>
      <c r="AT31" s="153" t="inlineStr"/>
      <c r="AV31" s="153" t="inlineStr">
        <is>
          <t>Calado</t>
        </is>
      </c>
      <c r="AW31" s="153" t="inlineStr">
        <is>
          <t>Controle</t>
        </is>
      </c>
      <c r="AX31" s="155" t="n">
        <v>2</v>
      </c>
      <c r="AY31" s="155" t="n">
        <v>1</v>
      </c>
      <c r="AZ31" s="155" t="n">
        <v>0</v>
      </c>
      <c r="BA31" s="155" t="n">
        <v>1</v>
      </c>
      <c r="JR31" s="155">
        <f>IF(OR($AW31="",COUNTIF($EJ$2:$EN$2,$AW31)&gt;0),$AV31,"")</f>
        <v/>
      </c>
      <c r="JS31" s="155">
        <f>IF(AND($AX31=1,OR($AW31="",COUNTIF($EJ$2:$EN$2,$AW31)&gt;0)),$AV31,"")</f>
        <v/>
      </c>
      <c r="JX31" s="155">
        <f>IF(OR($AW31="",COUNTIF($EJ$3:$EN$3,$AW31)&gt;0),$AV31,"")</f>
        <v/>
      </c>
      <c r="JY31" s="155">
        <f>IF(AND($AX31=1,OR($AW31="",COUNTIF($EJ$3:$EN$3,$AW31)&gt;0)),$AV31,"")</f>
        <v/>
      </c>
      <c r="KD31" s="155">
        <f>IF(OR($AW31="",COUNTIF($EJ$4:$EN$4,$AW31)&gt;0),$AV31,"")</f>
        <v/>
      </c>
      <c r="KE31" s="155">
        <f>IF(AND($AX31=1,OR($AW31="",COUNTIF($EJ$4:$EN$4,$AW31)&gt;0)),$AV31,"")</f>
        <v/>
      </c>
      <c r="KJ31" s="155">
        <f>IF(OR($AW31="",COUNTIF($EJ$5:$EN$5,$AW31)&gt;0),$AV31,"")</f>
        <v/>
      </c>
      <c r="KK31" s="155">
        <f>IF(AND($AX31=1,OR($AW31="",COUNTIF($EJ$5:$EN$5,$AW31)&gt;0)),$AV31,"")</f>
        <v/>
      </c>
      <c r="KP31" s="155">
        <f>IF(OR($AW31="",COUNTIF($EJ$6:$EN$6,$AW31)&gt;0),$AV31,"")</f>
        <v/>
      </c>
      <c r="KQ31" s="155">
        <f>IF(AND($AX31=1,OR($AW31="",COUNTIF($EJ$6:$EN$6,$AW31)&gt;0)),$AV31,"")</f>
        <v/>
      </c>
      <c r="KV31" s="155">
        <f>IF(OR($AW31="",COUNTIF($EJ$7:$EN$7,$AW31)&gt;0),$AV31,"")</f>
        <v/>
      </c>
      <c r="KW31" s="155">
        <f>IF(AND($AX31=1,OR($AW31="",COUNTIF($EJ$7:$EN$7,$AW31)&gt;0)),$AV31,"")</f>
        <v/>
      </c>
      <c r="LB31" s="155">
        <f>IF(OR($AW31="",COUNTIF($EJ$8:$EN$8,$AW31)&gt;0),$AV31,"")</f>
        <v/>
      </c>
      <c r="LC31" s="155">
        <f>IF(AND($AX31=1,OR($AW31="",COUNTIF($EJ$8:$EN$8,$AW31)&gt;0)),$AV31,"")</f>
        <v/>
      </c>
      <c r="LH31" s="155">
        <f>IF(OR($AW31="",COUNTIF($EJ$9:$EN$9,$AW31)&gt;0),$AV31,"")</f>
        <v/>
      </c>
      <c r="LI31" s="155">
        <f>IF(AND($AX31=1,OR($AW31="",COUNTIF($EJ$9:$EN$9,$AW31)&gt;0)),$AV31,"")</f>
        <v/>
      </c>
      <c r="LN31" s="155">
        <f>IF(OR($AW31="",COUNTIF($EJ$10:$EN$10,$AW31)&gt;0),$AV31,"")</f>
        <v/>
      </c>
      <c r="LO31" s="155">
        <f>IF(AND($AX31=1,OR($AW31="",COUNTIF($EJ$10:$EN$10,$AW31)&gt;0)),$AV31,"")</f>
        <v/>
      </c>
      <c r="LT31" s="155">
        <f>IF(OR($AW31="",COUNTIF($EJ$11:$EN$11,$AW31)&gt;0),$AV31,"")</f>
        <v/>
      </c>
      <c r="LU31" s="155">
        <f>IF(AND($AX31=1,OR($AW31="",COUNTIF($EJ$11:$EN$11,$AW31)&gt;0)),$AV31,"")</f>
        <v/>
      </c>
      <c r="LZ31" s="155">
        <f>IF(OR($AW31="",COUNTIF($EJ$12:$EN$12,$AW31)&gt;0),$AV31,"")</f>
        <v/>
      </c>
      <c r="MA31" s="155">
        <f>IF(AND($AX31=1,OR($AW31="",COUNTIF($EJ$12:$EN$12,$AW31)&gt;0)),$AV31,"")</f>
        <v/>
      </c>
      <c r="MF31" s="155">
        <f>IF(OR($AW31="",COUNTIF($EJ$13:$EN$13,$AW31)&gt;0),$AV31,"")</f>
        <v/>
      </c>
      <c r="MG31" s="155">
        <f>IF(AND($AX31=1,OR($AW31="",COUNTIF($EJ$13:$EN$13,$AW31)&gt;0)),$AV31,"")</f>
        <v/>
      </c>
      <c r="ML31" s="153" t="inlineStr">
        <is>
          <t>Ficha 3 · Básica 2</t>
        </is>
      </c>
      <c r="MM31" s="155" t="n">
        <v>3</v>
      </c>
      <c r="MN31" s="155" t="n">
        <v>0</v>
      </c>
      <c r="MO31" s="155" t="n">
        <v>11</v>
      </c>
      <c r="MP31" s="153" t="inlineStr">
        <is>
          <t>BÁSICA 2</t>
        </is>
      </c>
      <c r="MQ31" s="155" t="n">
        <v>0</v>
      </c>
      <c r="MR31" s="155">
        <f>'INVOCAÇÕES'!$J$488&amp;""</f>
        <v/>
      </c>
      <c r="MS31" s="155">
        <f>'INVOCAÇÕES'!$I$493&amp;""</f>
        <v/>
      </c>
      <c r="MT31" s="155">
        <f>'INVOCAÇÕES'!$I$494&amp;""</f>
        <v/>
      </c>
      <c r="MU31" s="155">
        <f>'INVOCAÇÕES'!$K$494&amp;""</f>
        <v/>
      </c>
      <c r="MV31" s="155">
        <f>'INVOCAÇÕES'!$J$497&amp;""</f>
        <v/>
      </c>
      <c r="MW31" s="155">
        <f>'INVOCAÇÕES'!$J$498&amp;""</f>
        <v/>
      </c>
      <c r="MX31" s="155">
        <f>'INVOCAÇÕES'!$J$499&amp;""</f>
        <v/>
      </c>
      <c r="MY31" s="155">
        <f>'INVOCAÇÕES'!$J$500&amp;""</f>
        <v/>
      </c>
      <c r="MZ31" s="155">
        <f>'INVOCAÇÕES'!$J$501&amp;""</f>
        <v/>
      </c>
      <c r="NA31" s="155">
        <f>'INVOCAÇÕES'!$J$502&amp;""</f>
        <v/>
      </c>
      <c r="NB31" s="155">
        <f>IF($MR31&lt;&gt;"",1,0)</f>
        <v/>
      </c>
      <c r="NC31" s="155">
        <f>INDEX($FM$2:$FM$13,$MM31)</f>
        <v/>
      </c>
      <c r="ND31" s="155">
        <f>INDEX($FN$2:$FN$13,$MM31)</f>
        <v/>
      </c>
      <c r="NE31" s="155">
        <f>INDEX($FO$2:$FO$13,$MM31)</f>
        <v/>
      </c>
      <c r="NF31" s="155">
        <f>INDEX($FZ$2:$FZ$13,$MM31)</f>
        <v/>
      </c>
      <c r="NG31" s="155">
        <f>INDEX($GA$2:$GA$13,$MM31)</f>
        <v/>
      </c>
      <c r="NH31" s="155">
        <f>IFERROR(MATCH($MS31,$V$2:$V$11,0),0)</f>
        <v/>
      </c>
      <c r="NI31" s="155">
        <f>IFERROR(VLOOKUP($MV31,$AV$2:$BA$84,2,FALSE),"")</f>
        <v/>
      </c>
      <c r="NJ31" s="155">
        <f>IFERROR(VLOOKUP($MW31,$AV$2:$BA$84,2,FALSE),"")</f>
        <v/>
      </c>
      <c r="NK31" s="155">
        <f>IFERROR(VLOOKUP($MX31,$AV$2:$BA$84,2,FALSE),"")</f>
        <v/>
      </c>
      <c r="NL31" s="155">
        <f>IFERROR(VLOOKUP($MY31,$AV$2:$BA$84,2,FALSE),"")</f>
        <v/>
      </c>
      <c r="NM31" s="155">
        <f>IFERROR(VLOOKUP($MV31,$AV$2:$BA$84,3,FALSE),0)</f>
        <v/>
      </c>
      <c r="NN31" s="155">
        <f>IFERROR(VLOOKUP($MW31,$AV$2:$BA$84,3,FALSE),0)</f>
        <v/>
      </c>
      <c r="NO31" s="155">
        <f>IFERROR(VLOOKUP($MX31,$AV$2:$BA$84,3,FALSE),0)</f>
        <v/>
      </c>
      <c r="NP31" s="155">
        <f>IFERROR(VLOOKUP($MY31,$AV$2:$BA$84,3,FALSE),0)</f>
        <v/>
      </c>
      <c r="NQ31" s="155">
        <f>IF($MQ31=0,0,IF($NH31=0,0,INDEX($X$2:$X$11,$NH31)))</f>
        <v/>
      </c>
      <c r="NR31" s="155">
        <f>IF(OR($NM31=0,$MQ31=0),0,$NM31+3*IF(AND($NI31&lt;&gt;"",OR($NI31=INDEX($EJ$2:$EJ$13,$MM31),$NI31=INDEX($EK$2:$EK$13,$MM31))),1,0))</f>
        <v/>
      </c>
      <c r="NS31" s="155">
        <f>IF(OR($NN31=0,$MQ31=0),0,$NN31+3*IF(AND($NJ31&lt;&gt;"",OR($NJ31=INDEX($EJ$2:$EJ$13,$MM31),$NJ31=INDEX($EK$2:$EK$13,$MM31))),1,0))</f>
        <v/>
      </c>
      <c r="NT31" s="155">
        <f>IF(OR($NO31=0,$MQ31=0),0,$NO31+3*IF(AND($NK31&lt;&gt;"",OR($NK31=INDEX($EJ$2:$EJ$13,$MM31),$NK31=INDEX($EK$2:$EK$13,$MM31))),1,0))</f>
        <v/>
      </c>
      <c r="NU31" s="155">
        <f>IF(OR($NP31=0,$MQ31=0),0,$NP31+3*IF(AND($NL31&lt;&gt;"",OR($NL31=INDEX($EJ$2:$EJ$13,$MM31),$NL31=INDEX($EK$2:$EK$13,$MM31))),1,0))</f>
        <v/>
      </c>
      <c r="NV31" s="155">
        <f>IF($NH31=0,0,IF(INDEX($W$2:$W$11,$NH31)="",0,IF(COUNTIF(INDEX($EJ$2:$EN$13,$MM31,0),INDEX($W$2:$W$11,$NH31))=0,1,0)))</f>
        <v/>
      </c>
      <c r="NW31" s="155">
        <f>IF(OR($NM31=0,$NI31=""),0,IF(COUNTIF(INDEX($EJ$2:$EN$13,$MM31,0),$NI31)=0,1,0))</f>
        <v/>
      </c>
      <c r="NX31" s="155">
        <f>IF(OR($NN31=0,$NJ31=""),0,IF(COUNTIF(INDEX($EJ$2:$EN$13,$MM31,0),$NJ31)=0,1,0))</f>
        <v/>
      </c>
      <c r="NY31" s="155">
        <f>IF(OR($NO31=0,$NK31=""),0,IF(COUNTIF(INDEX($EJ$2:$EN$13,$MM31,0),$NK31)=0,1,0))</f>
        <v/>
      </c>
      <c r="NZ31" s="155">
        <f>IF(OR($NP31=0,$NL31=""),0,IF(COUNTIF(INDEX($EJ$2:$EN$13,$MM31,0),$NL31)=0,1,0))</f>
        <v/>
      </c>
      <c r="OA31" s="155">
        <f>IFERROR(VLOOKUP($MV31,$AV$2:$BA$84,4,FALSE),0)+IFERROR(VLOOKUP($MW31,$AV$2:$BA$84,4,FALSE),0)+IFERROR(VLOOKUP($MX31,$AV$2:$BA$84,4,FALSE),0)+IFERROR(VLOOKUP($MY31,$AV$2:$BA$84,4,FALSE),0)</f>
        <v/>
      </c>
      <c r="OB31" s="155">
        <f>IFERROR(VLOOKUP($MV31,$AV$2:$BA$84,6,FALSE),0)+IFERROR(VLOOKUP($MW31,$AV$2:$BA$84,6,FALSE),0)+IFERROR(VLOOKUP($MX31,$AV$2:$BA$84,6,FALSE),0)+IFERROR(VLOOKUP($MY31,$AV$2:$BA$84,6,FALSE),0)</f>
        <v/>
      </c>
      <c r="OC31" s="155">
        <f>TEXTJOIN(", ",TRUE,IF(IFERROR(VLOOKUP($MV31,$AV$2:$BA$84,5,FALSE),0)=1,$MV31,""),IF(IFERROR(VLOOKUP($MW31,$AV$2:$BA$84,5,FALSE),0)=1,$MW31,""),IF(IFERROR(VLOOKUP($MX31,$AV$2:$BA$84,5,FALSE),0)=1,$MX31,""),IF(IFERROR(VLOOKUP($MY31,$AV$2:$BA$84,5,FALSE),0)=1,$MY31,""))</f>
        <v/>
      </c>
      <c r="OD31" s="155">
        <f>IF($NH31=0,0,INDEX($Y$2:$Y$11,$NH31))</f>
        <v/>
      </c>
      <c r="OE31" s="155">
        <f>IF($NH31=0,0,INDEX($Z$2:$Z$11,$NH31))</f>
        <v/>
      </c>
      <c r="OF31" s="155">
        <f>IF($NH31=0,0,INDEX($AB$2:$AB$11,$NH31))</f>
        <v/>
      </c>
      <c r="OG31" s="155">
        <f>IFERROR(VLOOKUP($MZ31,$BC$2:$BG$24,3,FALSE),0)</f>
        <v/>
      </c>
      <c r="OH31" s="155">
        <f>IFERROR(VLOOKUP($NA31,$BC$2:$BG$24,3,FALSE),0)</f>
        <v/>
      </c>
      <c r="OI31" s="155">
        <f>IFERROR(VLOOKUP($MZ31,$BC$2:$BG$24,2,FALSE),"")</f>
        <v/>
      </c>
      <c r="OJ31" s="155">
        <f>IFERROR(VLOOKUP($NA31,$BC$2:$BG$24,2,FALSE),"")</f>
        <v/>
      </c>
      <c r="OK31" s="155">
        <f>COUNTIF($NQ31:$NU31,1)</f>
        <v/>
      </c>
      <c r="OL31" s="155">
        <f>COUNTIF($NQ31:$NU31,2)</f>
        <v/>
      </c>
      <c r="OM31" s="155">
        <f>COUNTIF($NQ31:$NU31,3)</f>
        <v/>
      </c>
      <c r="ON31" s="155">
        <f>COUNTIF($NQ31:$NU31,4)</f>
        <v/>
      </c>
      <c r="OO31" s="155">
        <f>COUNTIF($NQ31:$NU31,5)</f>
        <v/>
      </c>
      <c r="OP31" s="155">
        <f>COUNTIF($NQ31:$NU31,6)</f>
        <v/>
      </c>
      <c r="OQ31" s="155">
        <f>COUNTIF($OG31:$OH31,1)</f>
        <v/>
      </c>
      <c r="OR31" s="155">
        <f>COUNTIF($OG31:$OH31,2)+$OD31</f>
        <v/>
      </c>
      <c r="OS31" s="155">
        <f>COUNTIF($MV31:$MY31,"?*")</f>
        <v/>
      </c>
      <c r="OT31" s="155">
        <f>COUNTIF($MZ31:$NA31,"?*")+$OD31</f>
        <v/>
      </c>
      <c r="OU31" s="155">
        <f>IF($MQ31=0,0,SUMPRODUCT($OK31:$OP31,INDEX($I$2:$N$8,MAX(1,$MQ31),0)))</f>
        <v/>
      </c>
      <c r="OV31" s="155">
        <f>IF($MQ31=0,0,$OQ31*CEILING($MQ31/2,1)+$OR31*$MQ31)</f>
        <v/>
      </c>
      <c r="OW31" s="155">
        <f>MIN(2*$MQ31,$OV31)</f>
        <v/>
      </c>
      <c r="OX31" s="155">
        <f>MIN($OW31,$OU31)</f>
        <v/>
      </c>
      <c r="OY31" s="155">
        <f>$OW31-$OX31</f>
        <v/>
      </c>
      <c r="OZ31" s="155">
        <f>IF($MQ31=0,0,INDEX($P$2:$P$8,MAX(1,$MQ31)))</f>
        <v/>
      </c>
      <c r="PA31" s="155">
        <f>$OZ31-$OU31+$OX31</f>
        <v/>
      </c>
      <c r="PB31" s="155">
        <f>IF($MQ31=0,MAX(0,$NE31-IF($OS31&gt;0,1,0)),MAX(0,$PA31))</f>
        <v/>
      </c>
      <c r="PC31" s="155">
        <f>IF($MQ31=0,0,(IF(COUNTIF($MV31:$MY31,"Salto")&gt;0,1,0)+IF(COUNTIF($MV31:$MY31,"Queima")&gt;0,1,0)+IF(COUNTIF($MV31:$MY31,"Estilhaço")&gt;0,1,0))*FLOOR($PB31/2,1))</f>
        <v/>
      </c>
      <c r="PD31" s="155">
        <f>MAX(0,2-SUMPRODUCT($OK31:$OP31,$I$2:$N$2)+MIN(2,$OQ31*1+$OR31*1,SUMPRODUCT($OK31:$OP31,$I$2:$N$2)))</f>
        <v/>
      </c>
      <c r="PE31" s="155">
        <f>MAX(0,4-SUMPRODUCT($OK31:$OP31,$I$3:$N$3)+MIN(4,$OQ31*1+$OR31*2,SUMPRODUCT($OK31:$OP31,$I$3:$N$3)))</f>
        <v/>
      </c>
      <c r="PF31" s="155">
        <f>MAX(0,6-SUMPRODUCT($OK31:$OP31,$I$4:$N$4)+MIN(6,$OQ31*2+$OR31*3,SUMPRODUCT($OK31:$OP31,$I$4:$N$4)))</f>
        <v/>
      </c>
      <c r="PG31" s="155">
        <f>MAX(0,9-SUMPRODUCT($OK31:$OP31,$I$5:$N$5)+MIN(8,$OQ31*2+$OR31*4,SUMPRODUCT($OK31:$OP31,$I$5:$N$5)))</f>
        <v/>
      </c>
      <c r="PH31" s="155">
        <f>MAX(0,11-SUMPRODUCT($OK31:$OP31,$I$6:$N$6)+MIN(10,$OQ31*3+$OR31*5,SUMPRODUCT($OK31:$OP31,$I$6:$N$6)))</f>
        <v/>
      </c>
      <c r="PI31" s="155">
        <f>MAX(0,13-SUMPRODUCT($OK31:$OP31,$I$7:$N$7)+MIN(12,$OQ31*3+$OR31*6,SUMPRODUCT($OK31:$OP31,$I$7:$N$7)))</f>
        <v/>
      </c>
      <c r="PJ31" s="155">
        <f>MAX(0,16-SUMPRODUCT($OK31:$OP31,$I$8:$N$8)+MIN(14,$OQ31*4+$OR31*7,SUMPRODUCT($OK31:$OP31,$I$8:$N$8)))</f>
        <v/>
      </c>
      <c r="PK31" s="155">
        <f>IF($OE31=2,3*$PD31&amp;" de vida temp.",IF($OE31=3,"sem dano",IF($PD31=0,IF($OE31=1,"sem cura","sem dano"),IF($OE31=1,"cura ","")&amp;$PD31&amp;"d8")))</f>
        <v/>
      </c>
      <c r="PL31" s="155">
        <f>IF($OE31=2,3*$PE31&amp;" de vida temp.",IF($OE31=3,"sem dano",IF($PE31=0,IF($OE31=1,"sem cura","sem dano"),IF($OE31=1,"cura ","")&amp;$PE31&amp;"d8")))</f>
        <v/>
      </c>
      <c r="PM31" s="155">
        <f>IF($OE31=2,3*$PF31&amp;" de vida temp.",IF($OE31=3,"sem dano",IF($PF31=0,IF($OE31=1,"sem cura","sem dano"),IF($OE31=1,"cura ","")&amp;$PF31&amp;"d8")))</f>
        <v/>
      </c>
      <c r="PN31" s="155">
        <f>IF($OE31=2,3*$PG31&amp;" de vida temp.",IF($OE31=3,"sem dano",IF($PG31=0,IF($OE31=1,"sem cura","sem dano"),IF($OE31=1,"cura ","")&amp;$PG31&amp;"d8")))</f>
        <v/>
      </c>
      <c r="PO31" s="155">
        <f>IF($OE31=2,3*$PH31&amp;" de vida temp.",IF($OE31=3,"sem dano",IF($PH31=0,IF($OE31=1,"sem cura","sem dano"),IF($OE31=1,"cura ","")&amp;$PH31&amp;"d8")))</f>
        <v/>
      </c>
      <c r="PP31" s="155">
        <f>IF($OE31=2,3*$PI31&amp;" de vida temp.",IF($OE31=3,"sem dano",IF($PI31=0,IF($OE31=1,"sem cura","sem dano"),IF($OE31=1,"cura ","")&amp;$PI31&amp;"d8")))</f>
        <v/>
      </c>
      <c r="PQ31" s="155">
        <f>IF($OE31=2,3*$PJ31&amp;" de vida temp.",IF($OE31=3,"sem dano",IF($PJ31=0,IF($OE31=1,"sem cura","sem dano"),IF($OE31=1,"cura ","")&amp;$PJ31&amp;"d8")))</f>
        <v/>
      </c>
      <c r="PR31" s="155">
        <f>IF($NB31=0,"",TEXTJOIN(" · ",TRUE,IF($MO31&gt;$NC31,"Este lugar abre no nível "&amp;$MO31,""),IF($MQ31&gt;$ND31,"Classe "&amp;$MQ31&amp;": o nível "&amp;$NC31&amp;" libera até a "&amp;$ND31,""),IF($NV31=1,"A Forma "&amp;$MS31&amp;" pede "&amp;INDEX($W$2:$W$11,$NH31)&amp;" aberta",""),IF(AND($MQ31=0,$NH31&gt;0,IF($NH31=0,0,INDEX($AF$2:$AF$11,$NH31))=0),$MS31&amp;" não existe na Classe 0",""),IF($NW31=1,"Família Fechada: "&amp;$MV31,""),IF($NX31=1,"Família Fechada: "&amp;$MW31,""),IF($NY31=1,"Família Fechada: "&amp;$MX31,""),IF($NZ31=1,"Família Fechada: "&amp;$MY31,""),IF(AND($MQ31&gt;0,$OS31&gt;INDEX($O$2:$O$8,MAX(1,$MQ31))),$OS31&amp;" Melhorias: a Classe "&amp;$MQ31&amp;" aceita "&amp;INDEX($O$2:$O$8,MAX(1,$MQ31)),""),IF(AND($MQ31=0,$OS31&gt;1),"A básica aceita uma Melhoria",""),IF(AND($MQ31=0,COUNTIF($NM31:$NP31,"&gt;1")&gt;0),"A básica só aceita Melhoria Leve",""),IF(AND($MQ31&gt;0,$OT31&gt;2),$OT31&amp;" Restrições"&amp;IF($OD31=1,", contando a que a Forma "&amp;$MS31&amp;" já traz","")&amp;": o limite é 2",""),IF(AND($MQ31=0,COUNTIF($MZ31:$NA31,"?*")&gt;1),"A básica aceita uma Restrição Leve",""),IF(AND($MQ31=0,COUNTIF($OG31:$OH31,2)&gt;0),"A básica só aceita Restrição Leve",""),IF(AND($MQ31&gt;0,$PA31&lt;0),"Orçamento estourado: faltam "&amp;(-$PA31)&amp;IF($PA31&lt;-1," pontos"," ponto"),""),IF(IFERROR(VLOOKUP($MZ31,$BC$2:$BG$24,4,FALSE),0)+IFERROR(VLOOKUP($NA31,$BC$2:$BG$24,4,FALSE),0)&gt;1,$OI31&amp;" e "&amp;$OJ31&amp;" são as duas de frequência",""),IF(AND((COUNTIF($MV31:$MY31,"Rápido")+COUNTIF($OI31:$OJ31,"Rápido"))&gt;0,(COUNTIF($MV31:$MY31,"Atrasar")+COUNTIF($OI31:$OJ31,"Atrasar"))&gt;0),"Rápido não entra com Atrasar",""),IF(AND((COUNTIF($MV31:$MY31,"Reação")+COUNTIF($OI31:$OJ31,"Reação"))&gt;0,(COUNTIF($MV31:$MY31,"Rápido")+COUNTIF($OI31:$OJ31,"Rápido"))&gt;0),"Reação não entra com Rápido",""),IF(AND((COUNTIF($MV31:$MY31,"Reação")+COUNTIF($OI31:$OJ31,"Reação"))&gt;0,(COUNTIF($MV31:$MY31,"Armado")+COUNTIF($OI31:$OJ31,"Armado"))&gt;0),"Reação não entra com Armado",""),IF(AND((COUNTIF($MV31:$MY31,"Reação")+COUNTIF($OI31:$OJ31,"Reação"))&gt;0,(COUNTIF($MV31:$MY31,"Atrasar")+COUNTIF($OI31:$OJ31,"Atrasar"))&gt;0),"Reação não entra com Atrasar",""),IF(AND((COUNTIF($MV31:$MY31,"Reação")+COUNTIF($OI31:$OJ31,"Reação"))&gt;0,(COUNTIF($MV31:$MY31,"Parado")+COUNTIF($OI31:$OJ31,"Parado"))&gt;0),"Reação não entra com Parado",""),IF(AND((COUNTIF($MV31:$MY31,"Atrasar")+COUNTIF($OI31:$OJ31,"Atrasar"))&gt;0,(COUNTIF($MV31:$MY31,"Parado")+COUNTIF($OI31:$OJ31,"Parado"))&gt;0),"Atrasar não entra com Parado",""),IF(AND((COUNTIF($MV31:$MY31,"Armado")+COUNTIF($OI31:$OJ31,"Armado"))&gt;0,(COUNTIF($MV31:$MY31,"Carregar")+COUNTIF($OI31:$OJ31,"Carregar"))&gt;0),"Armado não entra com Carregar",""),IF(AND(COUNTIF($OI31:$OJ31,"Corpo a Corpo")&gt;0,$OD31=0,OR($MS31="Cone",$MS31="Linha")),"Corpo a Corpo não entra em "&amp;$MS31,""),IF(AND(COUNTIF($OI31:$OJ31,"Corpo a Corpo")&gt;0,$OD31=1),"A Forma "&amp;$MS31&amp;" já traz o Corpo a Corpo",""),IF(AND(COUNTIF($OI31:$OJ31,"Tudo ou Nada")&gt;0,$OF31=0),"Tudo ou Nada só entra em habilidade de Teste de Resistência",""),IF(AND(COUNTIF($MV31:$MY31,"Inescapável")&gt;0,OR($OS31&gt;1,$OT31&gt;0)),"Inescapável não aceita outra peça",""),IF(AND($MQ31&gt;0,$PB31*IF(COUNTIF($MV31:$MY31,"Remate")&gt;0,1.25,1)+$PC31&gt;4*$MQ31),($PB31*IF(COUNTIF($MV31:$MY31,"Remate")&gt;0,1.25,1)+$PC31)&amp;" dados somando repetições"&amp;IF(COUNTIF($MV31:$MY31,"Remate")&gt;0," e o Remate","")&amp;": o teto da Classe "&amp;$MQ31&amp;" é "&amp;4*$MQ31,"")))</f>
        <v/>
      </c>
      <c r="PS31" s="155">
        <f>IF($PR31="",0,(LEN($PR31)-LEN(SUBSTITUTE($PR31," · ","")))/3+1)</f>
        <v/>
      </c>
      <c r="PT31" s="155">
        <f>IF($NB31=0,"",TEXTJOIN(" · ",TRUE,IF($OV31&gt;2*$MQ31,"A devolução parou no teto de "&amp;2*$MQ31,""),IF($OY31&gt;0,"Devolução perdida: "&amp;$OY31&amp;IF($OY31&gt;1," pontos"," ponto")&amp;" sem peça para pagar",""),IF(AND($OA31&gt;0,AND($MQ31&gt;0,$OE31=0),$PB31=0),"Controle sem dano: uma rodada a mais e CD +2",""),IF(AND($OA31&gt;0,AND($MQ31&gt;0,$OE31=0),$PB31&gt;0,$PB31&lt;=$MQ31),"Controle com saldo até a Classe: uma rodada a mais",""),IF(AND($MQ31&gt;0,$OC31&lt;&gt;""),"Efeito de "&amp;$OC31&amp;" pela Classe "&amp;MAX(1,$MQ31-1),"")))</f>
        <v/>
      </c>
      <c r="PU31" s="155">
        <f>IF($PT31="",0,(LEN($PT31)-LEN(SUBSTITUTE($PT31," · ","")))/3+1)</f>
        <v/>
      </c>
      <c r="PV31" s="155">
        <f>IF($NB31=0,IF($OS31+COUNTIF($MZ31:$NA31,"?*")&gt;0,"Dê um nome",""),IF($PS31&gt;0,"⚠ "&amp;$PS31&amp;IF($PS31&gt;1," erros"," erro"),IF($PU31&gt;0,"! "&amp;$PU31&amp;IF($PU31&gt;1," avisos"," aviso"),"Na regra")))</f>
        <v/>
      </c>
      <c r="PW31" s="155">
        <f>IF($NB31=0,"",IF($PS31+$PU31=0,"Dentro das regras que a ficha confere",$PR31&amp;IF(AND($PS31&gt;0,$PU31&gt;0)," · ","")&amp;$PT31))</f>
        <v/>
      </c>
      <c r="PX31" s="155">
        <f>IF($MO31&gt;$NC31,$MP31&amp;" · ABRE NO NÍVEL "&amp;$MO31,$MP31)</f>
        <v/>
      </c>
      <c r="PY31" s="155">
        <f>IF($NB31=0,"",IF($MQ31=0,"Sem PE",3*$MQ31&amp;" PE"))</f>
        <v/>
      </c>
      <c r="PZ31" s="155">
        <f>IF($NB31=0,"",IF($MQ31=0,"A atuação básica dela",IF(COUNTIF($OI31:$OJ31,"Atrasar")&gt;0,"Sua Ação Completa",IF(COUNTIF($MV31:$MY31,"Rápido")&gt;0,"Sua Bônus",IF(COUNTIF($MV31:$MY31,"Reação")&gt;0,"Sua Reação","Sua Padrão")))&amp;" + a básica dela"&amp;IF(COUNTIF($MV31:$MY31,"Reação")&gt;0," e a coletiva","")&amp;IF(COUNTIF($OI31:$OJ31,"Carregar")&gt;0," · em dois turnos","")))</f>
        <v/>
      </c>
      <c r="QA31" s="155">
        <f>IF($MU31&lt;&gt;"",$MU31,IF($NH31=0,"",INDEX($AA$2:$AA$11,$NH31)))</f>
        <v/>
      </c>
      <c r="QB31" s="155">
        <f>IF(OR($NB31=0,$NH31=0),"",IF(COUNTIF($MV31:$MY31,"Inescapável")&gt;0,"Automático",IF($QA31="Ataque",IF($NF31="","Ataque","Ataque "&amp;IF(($NF31+2*IF(COUNTIF($MV31:$MY31,"Precisão")&gt;0,1,0))&gt;=0,"+","−")&amp;ABS(($NF31+2*IF(COUNTIF($MV31:$MY31,"Precisão")&gt;0,1,0))))&amp;IF($OB31&gt;0," · TR"&amp;IF($NG31="",""," CD "&amp;$NG31),""),IF(LEFT($QA31,2)="TR",$QA31&amp;IF($NG31="",""," · CD "&amp;$NG31)&amp;IF(COUNTIF($MV31:$MY31,"Certeiro")&gt;0," · metade",""),"Sem rolagem"))))</f>
        <v/>
      </c>
      <c r="QC31" s="155">
        <f>IF(OR($NB31=0,$NH31=0),"",IF($MQ31=0,IF(OR($OE31&gt;=1,$PB31=0),"Sem dano",$PB31&amp;"d6"&amp;IF($MT31="",""," "&amp;$MT31)),IF(OR($OE31&gt;=1,$PB31=0),UPPER(LEFT(INDEX($PK31:$PQ31,1,MAX(1,$MQ31)),1))&amp;MID(INDEX($PK31:$PQ31,1,MAX(1,$MQ31)),2,99),UPPER(LEFT(INDEX($PK31:$PQ31,1,MAX(1,$MQ31)),1))&amp;MID(INDEX($PK31:$PQ31,1,MAX(1,$MQ31)),2,99)&amp;IF($MT31="",""," "&amp;$MT31)&amp;IF($PC31&gt;0," · +"&amp;$PC31&amp;"d8",""))))</f>
        <v/>
      </c>
      <c r="QD31" s="155">
        <f>COUNTIF($MV31:$MY31,"Longe")+3*COUNTIF($MV31:$MY31,"Muito Longe")</f>
        <v/>
      </c>
      <c r="QE31" s="155">
        <f>COUNTIF($MV31:$MY31,"Maior")+3*COUNTIF($MV31:$MY31,"Muito Maior")</f>
        <v/>
      </c>
      <c r="QF31" s="155">
        <f>IF($NH31=0,0,CHOOSE(1+INDEX($AC$2:$AC$11,$NH31),0,$QD31,$QE31,$QD31+$QE31))</f>
        <v/>
      </c>
      <c r="QG31" s="155">
        <f>IF($NH31=0,0,CHOOSE(1+INDEX($AD$2:$AD$11,$NH31),0,$QD31,$QE31,$QD31+$QE31))</f>
        <v/>
      </c>
      <c r="QH31" s="155">
        <f>IF(OR($NB31=0,$NH31=0),"",INDEX($AI$2:$AN$41,($NH31-1)*4+IF($MQ31=0,1,IF($MQ31&lt;=5,2,IF($MQ31=6,3,4))),1+MIN(5,$QF31))&amp;INDEX($AO$2:$AT$41,($NH31-1)*4+IF($MQ31=0,1,IF($MQ31&lt;=5,2,IF($MQ31=6,3,4))),1+MIN(5,$QG31))&amp;IF(INDEX($AE$2:$AE$11,$NH31)=1,IF(COUNTIF($MV31:$MY31,"Mais Um")&gt;0," · +"&amp;COUNTIF($MV31:$MY31,"Mais Um")&amp;IF(COUNTIF($MV31:$MY31,"Mais Um")&gt;1," alvos"," alvo"),"")&amp;IF(COUNTIF($MV31:$MY31,"Rajada")&gt;0,IF($MQ31=0," · 1 tiro"," · "&amp;(MAX(1,$MQ31-1)+1)&amp;" tiros"),""),""))</f>
        <v/>
      </c>
      <c r="QI31" s="155">
        <f>IF($NB31=0,"",IF($MQ31=0,$NE31&amp;"d6"&amp;IF($OS31&gt;0," − 1 = "&amp;$PB31&amp;"d6"," da básica do nível "&amp;$NC31),$OZ31&amp;" − "&amp;$OU31&amp;" + "&amp;$OX31&amp;" = "&amp;$PA31&amp;" · teto "&amp;4*$MQ31&amp;"d8"&amp;IF($OD31=1," · a Forma devolve "&amp;$MQ31,"")&amp;IF($OY31&gt;0," · perde "&amp;$OY31,"")))</f>
        <v/>
      </c>
      <c r="QJ31" s="155">
        <f>IF($NB31=0,"",IF($MQ31=0,"A básica não amplia: os dados dela sobem com o nível",IF($MQ31&gt;=$ND31,"Já está na maior Classe que o nível liberou",TEXTJOIN(" · ",TRUE,IF(AND(2&gt;$MQ31,2&lt;=$ND31),"2 → "&amp;$PL31&amp;", 6 PE",""),IF(AND(3&gt;$MQ31,3&lt;=$ND31),"3 → "&amp;$PM31&amp;", 9 PE",""),IF(AND(4&gt;$MQ31,4&lt;=$ND31),"4 → "&amp;$PN31&amp;", 12 PE",""),IF(AND(5&gt;$MQ31,5&lt;=$ND31),"5 → "&amp;$PO31&amp;", 15 PE",""),IF(AND(6&gt;$MQ31,6&lt;=$ND31),"6 → "&amp;$PP31&amp;", 18 PE",""),IF(AND(7&gt;$MQ31,7&lt;=$ND31),"7 → "&amp;$PQ31&amp;", 21 PE","")))))</f>
        <v/>
      </c>
      <c r="QK31" s="155">
        <f>IF(OR($NB31=0,$NM31=0),"",IF($MQ31=0,"−1 dado","−"&amp;INDEX($I$2:$N$8,MAX(1,$MQ31),MAX(1,$NR31))&amp;" · "&amp;CHOOSE(MAX(1,$NR31),"Leve","Média","Pesada","Leve · Livre","Média · Livre","Pesada · Livre")))</f>
        <v/>
      </c>
      <c r="QL31" s="155">
        <f>IF(OR($NB31=0,$NN31=0),"",IF($MQ31=0,"−1 dado","−"&amp;INDEX($I$2:$N$8,MAX(1,$MQ31),MAX(1,$NS31))&amp;" · "&amp;CHOOSE(MAX(1,$NS31),"Leve","Média","Pesada","Leve · Livre","Média · Livre","Pesada · Livre")))</f>
        <v/>
      </c>
      <c r="QM31" s="155">
        <f>IF(OR($NB31=0,$NO31=0),"",IF($MQ31=0,"−1 dado","−"&amp;INDEX($I$2:$N$8,MAX(1,$MQ31),MAX(1,$NT31))&amp;" · "&amp;CHOOSE(MAX(1,$NT31),"Leve","Média","Pesada","Leve · Livre","Média · Livre","Pesada · Livre")))</f>
        <v/>
      </c>
      <c r="QN31" s="155">
        <f>IF(OR($NB31=0,$NP31=0),"",IF($MQ31=0,"−1 dado","−"&amp;INDEX($I$2:$N$8,MAX(1,$MQ31),MAX(1,$NU31))&amp;" · "&amp;CHOOSE(MAX(1,$NU31),"Leve","Média","Pesada","Leve · Livre","Média · Livre","Pesada · Livre")))</f>
        <v/>
      </c>
      <c r="QO31" s="155">
        <f>IF(OR($NB31=0,$MZ31=""),"",IF($MQ31=0,"não devolve","+"&amp;IF($OG31=1,CEILING($MQ31/2,1),$MQ31)))</f>
        <v/>
      </c>
      <c r="QP31" s="155">
        <f>IF(OR($NB31=0,$NA31=""),"",IF($MQ31=0,"não devolve","+"&amp;IF($OH31=1,CEILING($MQ31/2,1),$MQ31)))</f>
        <v/>
      </c>
    </row>
    <row r="32">
      <c r="AH32" s="153" t="inlineStr">
        <is>
          <t>Apoio · classe 6</t>
        </is>
      </c>
      <c r="AI32" s="153" t="inlineStr">
        <is>
          <t>Um aliado a 18 m</t>
        </is>
      </c>
      <c r="AJ32" s="153" t="inlineStr">
        <is>
          <t>Um aliado a 36 m</t>
        </is>
      </c>
      <c r="AK32" s="153" t="inlineStr">
        <is>
          <t>Um aliado a 90 m</t>
        </is>
      </c>
      <c r="AL32" s="153" t="inlineStr">
        <is>
          <t>Um aliado a visão a olho nu</t>
        </is>
      </c>
      <c r="AM32" s="153" t="inlineStr">
        <is>
          <t>Um aliado a visão a olho nu</t>
        </is>
      </c>
      <c r="AN32" s="153" t="inlineStr">
        <is>
          <t>Um aliado a visão a olho nu</t>
        </is>
      </c>
      <c r="AO32" s="153" t="inlineStr"/>
      <c r="AP32" s="153" t="inlineStr"/>
      <c r="AQ32" s="153" t="inlineStr"/>
      <c r="AR32" s="153" t="inlineStr"/>
      <c r="AS32" s="153" t="inlineStr"/>
      <c r="AT32" s="153" t="inlineStr"/>
      <c r="AV32" s="153" t="inlineStr">
        <is>
          <t>Enfeitiçado</t>
        </is>
      </c>
      <c r="AW32" s="153" t="inlineStr">
        <is>
          <t>Controle</t>
        </is>
      </c>
      <c r="AX32" s="155" t="n">
        <v>2</v>
      </c>
      <c r="AY32" s="155" t="n">
        <v>1</v>
      </c>
      <c r="AZ32" s="155" t="n">
        <v>0</v>
      </c>
      <c r="BA32" s="155" t="n">
        <v>1</v>
      </c>
      <c r="JR32" s="155">
        <f>IF(OR($AW32="",COUNTIF($EJ$2:$EN$2,$AW32)&gt;0),$AV32,"")</f>
        <v/>
      </c>
      <c r="JS32" s="155">
        <f>IF(AND($AX32=1,OR($AW32="",COUNTIF($EJ$2:$EN$2,$AW32)&gt;0)),$AV32,"")</f>
        <v/>
      </c>
      <c r="JX32" s="155">
        <f>IF(OR($AW32="",COUNTIF($EJ$3:$EN$3,$AW32)&gt;0),$AV32,"")</f>
        <v/>
      </c>
      <c r="JY32" s="155">
        <f>IF(AND($AX32=1,OR($AW32="",COUNTIF($EJ$3:$EN$3,$AW32)&gt;0)),$AV32,"")</f>
        <v/>
      </c>
      <c r="KD32" s="155">
        <f>IF(OR($AW32="",COUNTIF($EJ$4:$EN$4,$AW32)&gt;0),$AV32,"")</f>
        <v/>
      </c>
      <c r="KE32" s="155">
        <f>IF(AND($AX32=1,OR($AW32="",COUNTIF($EJ$4:$EN$4,$AW32)&gt;0)),$AV32,"")</f>
        <v/>
      </c>
      <c r="KJ32" s="155">
        <f>IF(OR($AW32="",COUNTIF($EJ$5:$EN$5,$AW32)&gt;0),$AV32,"")</f>
        <v/>
      </c>
      <c r="KK32" s="155">
        <f>IF(AND($AX32=1,OR($AW32="",COUNTIF($EJ$5:$EN$5,$AW32)&gt;0)),$AV32,"")</f>
        <v/>
      </c>
      <c r="KP32" s="155">
        <f>IF(OR($AW32="",COUNTIF($EJ$6:$EN$6,$AW32)&gt;0),$AV32,"")</f>
        <v/>
      </c>
      <c r="KQ32" s="155">
        <f>IF(AND($AX32=1,OR($AW32="",COUNTIF($EJ$6:$EN$6,$AW32)&gt;0)),$AV32,"")</f>
        <v/>
      </c>
      <c r="KV32" s="155">
        <f>IF(OR($AW32="",COUNTIF($EJ$7:$EN$7,$AW32)&gt;0),$AV32,"")</f>
        <v/>
      </c>
      <c r="KW32" s="155">
        <f>IF(AND($AX32=1,OR($AW32="",COUNTIF($EJ$7:$EN$7,$AW32)&gt;0)),$AV32,"")</f>
        <v/>
      </c>
      <c r="LB32" s="155">
        <f>IF(OR($AW32="",COUNTIF($EJ$8:$EN$8,$AW32)&gt;0),$AV32,"")</f>
        <v/>
      </c>
      <c r="LC32" s="155">
        <f>IF(AND($AX32=1,OR($AW32="",COUNTIF($EJ$8:$EN$8,$AW32)&gt;0)),$AV32,"")</f>
        <v/>
      </c>
      <c r="LH32" s="155">
        <f>IF(OR($AW32="",COUNTIF($EJ$9:$EN$9,$AW32)&gt;0),$AV32,"")</f>
        <v/>
      </c>
      <c r="LI32" s="155">
        <f>IF(AND($AX32=1,OR($AW32="",COUNTIF($EJ$9:$EN$9,$AW32)&gt;0)),$AV32,"")</f>
        <v/>
      </c>
      <c r="LN32" s="155">
        <f>IF(OR($AW32="",COUNTIF($EJ$10:$EN$10,$AW32)&gt;0),$AV32,"")</f>
        <v/>
      </c>
      <c r="LO32" s="155">
        <f>IF(AND($AX32=1,OR($AW32="",COUNTIF($EJ$10:$EN$10,$AW32)&gt;0)),$AV32,"")</f>
        <v/>
      </c>
      <c r="LT32" s="155">
        <f>IF(OR($AW32="",COUNTIF($EJ$11:$EN$11,$AW32)&gt;0),$AV32,"")</f>
        <v/>
      </c>
      <c r="LU32" s="155">
        <f>IF(AND($AX32=1,OR($AW32="",COUNTIF($EJ$11:$EN$11,$AW32)&gt;0)),$AV32,"")</f>
        <v/>
      </c>
      <c r="LZ32" s="155">
        <f>IF(OR($AW32="",COUNTIF($EJ$12:$EN$12,$AW32)&gt;0),$AV32,"")</f>
        <v/>
      </c>
      <c r="MA32" s="155">
        <f>IF(AND($AX32=1,OR($AW32="",COUNTIF($EJ$12:$EN$12,$AW32)&gt;0)),$AV32,"")</f>
        <v/>
      </c>
      <c r="MF32" s="155">
        <f>IF(OR($AW32="",COUNTIF($EJ$13:$EN$13,$AW32)&gt;0),$AV32,"")</f>
        <v/>
      </c>
      <c r="MG32" s="155">
        <f>IF(AND($AX32=1,OR($AW32="",COUNTIF($EJ$13:$EN$13,$AW32)&gt;0)),$AV32,"")</f>
        <v/>
      </c>
      <c r="ML32" s="153" t="inlineStr">
        <is>
          <t>Ficha 3 · Especial 3</t>
        </is>
      </c>
      <c r="MM32" s="155" t="n">
        <v>3</v>
      </c>
      <c r="MN32" s="155" t="n">
        <v>1</v>
      </c>
      <c r="MO32" s="155" t="n">
        <v>8</v>
      </c>
      <c r="MP32" s="153" t="inlineStr">
        <is>
          <t>ESPECIAL 3</t>
        </is>
      </c>
      <c r="MQ32" s="155">
        <f>MAX(1,MIN(7,N('INVOCAÇÕES'!$O$488)))</f>
        <v/>
      </c>
      <c r="MR32" s="155">
        <f>'INVOCAÇÕES'!$P$488&amp;""</f>
        <v/>
      </c>
      <c r="MS32" s="155">
        <f>'INVOCAÇÕES'!$O$493&amp;""</f>
        <v/>
      </c>
      <c r="MT32" s="155">
        <f>'INVOCAÇÕES'!$O$494&amp;""</f>
        <v/>
      </c>
      <c r="MU32" s="155">
        <f>'INVOCAÇÕES'!$Q$494&amp;""</f>
        <v/>
      </c>
      <c r="MV32" s="155">
        <f>'INVOCAÇÕES'!$P$497&amp;""</f>
        <v/>
      </c>
      <c r="MW32" s="155">
        <f>'INVOCAÇÕES'!$P$498&amp;""</f>
        <v/>
      </c>
      <c r="MX32" s="155">
        <f>'INVOCAÇÕES'!$P$499&amp;""</f>
        <v/>
      </c>
      <c r="MY32" s="155">
        <f>'INVOCAÇÕES'!$P$500&amp;""</f>
        <v/>
      </c>
      <c r="MZ32" s="155">
        <f>'INVOCAÇÕES'!$P$501&amp;""</f>
        <v/>
      </c>
      <c r="NA32" s="155">
        <f>'INVOCAÇÕES'!$P$502&amp;""</f>
        <v/>
      </c>
      <c r="NB32" s="155">
        <f>IF($MR32&lt;&gt;"",1,0)</f>
        <v/>
      </c>
      <c r="NC32" s="155">
        <f>INDEX($FM$2:$FM$13,$MM32)</f>
        <v/>
      </c>
      <c r="ND32" s="155">
        <f>INDEX($FN$2:$FN$13,$MM32)</f>
        <v/>
      </c>
      <c r="NE32" s="155">
        <f>INDEX($FO$2:$FO$13,$MM32)</f>
        <v/>
      </c>
      <c r="NF32" s="155">
        <f>INDEX($FZ$2:$FZ$13,$MM32)</f>
        <v/>
      </c>
      <c r="NG32" s="155">
        <f>INDEX($GA$2:$GA$13,$MM32)</f>
        <v/>
      </c>
      <c r="NH32" s="155">
        <f>IFERROR(MATCH($MS32,$V$2:$V$11,0),0)</f>
        <v/>
      </c>
      <c r="NI32" s="155">
        <f>IFERROR(VLOOKUP($MV32,$AV$2:$BA$84,2,FALSE),"")</f>
        <v/>
      </c>
      <c r="NJ32" s="155">
        <f>IFERROR(VLOOKUP($MW32,$AV$2:$BA$84,2,FALSE),"")</f>
        <v/>
      </c>
      <c r="NK32" s="155">
        <f>IFERROR(VLOOKUP($MX32,$AV$2:$BA$84,2,FALSE),"")</f>
        <v/>
      </c>
      <c r="NL32" s="155">
        <f>IFERROR(VLOOKUP($MY32,$AV$2:$BA$84,2,FALSE),"")</f>
        <v/>
      </c>
      <c r="NM32" s="155">
        <f>IFERROR(VLOOKUP($MV32,$AV$2:$BA$84,3,FALSE),0)</f>
        <v/>
      </c>
      <c r="NN32" s="155">
        <f>IFERROR(VLOOKUP($MW32,$AV$2:$BA$84,3,FALSE),0)</f>
        <v/>
      </c>
      <c r="NO32" s="155">
        <f>IFERROR(VLOOKUP($MX32,$AV$2:$BA$84,3,FALSE),0)</f>
        <v/>
      </c>
      <c r="NP32" s="155">
        <f>IFERROR(VLOOKUP($MY32,$AV$2:$BA$84,3,FALSE),0)</f>
        <v/>
      </c>
      <c r="NQ32" s="155">
        <f>IF($MQ32=0,0,IF($NH32=0,0,INDEX($X$2:$X$11,$NH32)))</f>
        <v/>
      </c>
      <c r="NR32" s="155">
        <f>IF(OR($NM32=0,$MQ32=0),0,$NM32+3*IF(AND($NI32&lt;&gt;"",OR($NI32=INDEX($EJ$2:$EJ$13,$MM32),$NI32=INDEX($EK$2:$EK$13,$MM32))),1,0))</f>
        <v/>
      </c>
      <c r="NS32" s="155">
        <f>IF(OR($NN32=0,$MQ32=0),0,$NN32+3*IF(AND($NJ32&lt;&gt;"",OR($NJ32=INDEX($EJ$2:$EJ$13,$MM32),$NJ32=INDEX($EK$2:$EK$13,$MM32))),1,0))</f>
        <v/>
      </c>
      <c r="NT32" s="155">
        <f>IF(OR($NO32=0,$MQ32=0),0,$NO32+3*IF(AND($NK32&lt;&gt;"",OR($NK32=INDEX($EJ$2:$EJ$13,$MM32),$NK32=INDEX($EK$2:$EK$13,$MM32))),1,0))</f>
        <v/>
      </c>
      <c r="NU32" s="155">
        <f>IF(OR($NP32=0,$MQ32=0),0,$NP32+3*IF(AND($NL32&lt;&gt;"",OR($NL32=INDEX($EJ$2:$EJ$13,$MM32),$NL32=INDEX($EK$2:$EK$13,$MM32))),1,0))</f>
        <v/>
      </c>
      <c r="NV32" s="155">
        <f>IF($NH32=0,0,IF(INDEX($W$2:$W$11,$NH32)="",0,IF(COUNTIF(INDEX($EJ$2:$EN$13,$MM32,0),INDEX($W$2:$W$11,$NH32))=0,1,0)))</f>
        <v/>
      </c>
      <c r="NW32" s="155">
        <f>IF(OR($NM32=0,$NI32=""),0,IF(COUNTIF(INDEX($EJ$2:$EN$13,$MM32,0),$NI32)=0,1,0))</f>
        <v/>
      </c>
      <c r="NX32" s="155">
        <f>IF(OR($NN32=0,$NJ32=""),0,IF(COUNTIF(INDEX($EJ$2:$EN$13,$MM32,0),$NJ32)=0,1,0))</f>
        <v/>
      </c>
      <c r="NY32" s="155">
        <f>IF(OR($NO32=0,$NK32=""),0,IF(COUNTIF(INDEX($EJ$2:$EN$13,$MM32,0),$NK32)=0,1,0))</f>
        <v/>
      </c>
      <c r="NZ32" s="155">
        <f>IF(OR($NP32=0,$NL32=""),0,IF(COUNTIF(INDEX($EJ$2:$EN$13,$MM32,0),$NL32)=0,1,0))</f>
        <v/>
      </c>
      <c r="OA32" s="155">
        <f>IFERROR(VLOOKUP($MV32,$AV$2:$BA$84,4,FALSE),0)+IFERROR(VLOOKUP($MW32,$AV$2:$BA$84,4,FALSE),0)+IFERROR(VLOOKUP($MX32,$AV$2:$BA$84,4,FALSE),0)+IFERROR(VLOOKUP($MY32,$AV$2:$BA$84,4,FALSE),0)</f>
        <v/>
      </c>
      <c r="OB32" s="155">
        <f>IFERROR(VLOOKUP($MV32,$AV$2:$BA$84,6,FALSE),0)+IFERROR(VLOOKUP($MW32,$AV$2:$BA$84,6,FALSE),0)+IFERROR(VLOOKUP($MX32,$AV$2:$BA$84,6,FALSE),0)+IFERROR(VLOOKUP($MY32,$AV$2:$BA$84,6,FALSE),0)</f>
        <v/>
      </c>
      <c r="OC32" s="155">
        <f>TEXTJOIN(", ",TRUE,IF(IFERROR(VLOOKUP($MV32,$AV$2:$BA$84,5,FALSE),0)=1,$MV32,""),IF(IFERROR(VLOOKUP($MW32,$AV$2:$BA$84,5,FALSE),0)=1,$MW32,""),IF(IFERROR(VLOOKUP($MX32,$AV$2:$BA$84,5,FALSE),0)=1,$MX32,""),IF(IFERROR(VLOOKUP($MY32,$AV$2:$BA$84,5,FALSE),0)=1,$MY32,""))</f>
        <v/>
      </c>
      <c r="OD32" s="155">
        <f>IF($NH32=0,0,INDEX($Y$2:$Y$11,$NH32))</f>
        <v/>
      </c>
      <c r="OE32" s="155">
        <f>IF($NH32=0,0,INDEX($Z$2:$Z$11,$NH32))</f>
        <v/>
      </c>
      <c r="OF32" s="155">
        <f>IF($NH32=0,0,INDEX($AB$2:$AB$11,$NH32))</f>
        <v/>
      </c>
      <c r="OG32" s="155">
        <f>IFERROR(VLOOKUP($MZ32,$BC$2:$BG$24,3,FALSE),0)</f>
        <v/>
      </c>
      <c r="OH32" s="155">
        <f>IFERROR(VLOOKUP($NA32,$BC$2:$BG$24,3,FALSE),0)</f>
        <v/>
      </c>
      <c r="OI32" s="155">
        <f>IFERROR(VLOOKUP($MZ32,$BC$2:$BG$24,2,FALSE),"")</f>
        <v/>
      </c>
      <c r="OJ32" s="155">
        <f>IFERROR(VLOOKUP($NA32,$BC$2:$BG$24,2,FALSE),"")</f>
        <v/>
      </c>
      <c r="OK32" s="155">
        <f>COUNTIF($NQ32:$NU32,1)</f>
        <v/>
      </c>
      <c r="OL32" s="155">
        <f>COUNTIF($NQ32:$NU32,2)</f>
        <v/>
      </c>
      <c r="OM32" s="155">
        <f>COUNTIF($NQ32:$NU32,3)</f>
        <v/>
      </c>
      <c r="ON32" s="155">
        <f>COUNTIF($NQ32:$NU32,4)</f>
        <v/>
      </c>
      <c r="OO32" s="155">
        <f>COUNTIF($NQ32:$NU32,5)</f>
        <v/>
      </c>
      <c r="OP32" s="155">
        <f>COUNTIF($NQ32:$NU32,6)</f>
        <v/>
      </c>
      <c r="OQ32" s="155">
        <f>COUNTIF($OG32:$OH32,1)</f>
        <v/>
      </c>
      <c r="OR32" s="155">
        <f>COUNTIF($OG32:$OH32,2)+$OD32</f>
        <v/>
      </c>
      <c r="OS32" s="155">
        <f>COUNTIF($MV32:$MY32,"?*")</f>
        <v/>
      </c>
      <c r="OT32" s="155">
        <f>COUNTIF($MZ32:$NA32,"?*")+$OD32</f>
        <v/>
      </c>
      <c r="OU32" s="155">
        <f>IF($MQ32=0,0,SUMPRODUCT($OK32:$OP32,INDEX($I$2:$N$8,MAX(1,$MQ32),0)))</f>
        <v/>
      </c>
      <c r="OV32" s="155">
        <f>IF($MQ32=0,0,$OQ32*CEILING($MQ32/2,1)+$OR32*$MQ32)</f>
        <v/>
      </c>
      <c r="OW32" s="155">
        <f>MIN(2*$MQ32,$OV32)</f>
        <v/>
      </c>
      <c r="OX32" s="155">
        <f>MIN($OW32,$OU32)</f>
        <v/>
      </c>
      <c r="OY32" s="155">
        <f>$OW32-$OX32</f>
        <v/>
      </c>
      <c r="OZ32" s="155">
        <f>IF($MQ32=0,0,INDEX($P$2:$P$8,MAX(1,$MQ32)))</f>
        <v/>
      </c>
      <c r="PA32" s="155">
        <f>$OZ32-$OU32+$OX32</f>
        <v/>
      </c>
      <c r="PB32" s="155">
        <f>IF($MQ32=0,MAX(0,$NE32-IF($OS32&gt;0,1,0)),MAX(0,$PA32))</f>
        <v/>
      </c>
      <c r="PC32" s="155">
        <f>IF($MQ32=0,0,(IF(COUNTIF($MV32:$MY32,"Salto")&gt;0,1,0)+IF(COUNTIF($MV32:$MY32,"Queima")&gt;0,1,0)+IF(COUNTIF($MV32:$MY32,"Estilhaço")&gt;0,1,0))*FLOOR($PB32/2,1))</f>
        <v/>
      </c>
      <c r="PD32" s="155">
        <f>MAX(0,2-SUMPRODUCT($OK32:$OP32,$I$2:$N$2)+MIN(2,$OQ32*1+$OR32*1,SUMPRODUCT($OK32:$OP32,$I$2:$N$2)))</f>
        <v/>
      </c>
      <c r="PE32" s="155">
        <f>MAX(0,4-SUMPRODUCT($OK32:$OP32,$I$3:$N$3)+MIN(4,$OQ32*1+$OR32*2,SUMPRODUCT($OK32:$OP32,$I$3:$N$3)))</f>
        <v/>
      </c>
      <c r="PF32" s="155">
        <f>MAX(0,6-SUMPRODUCT($OK32:$OP32,$I$4:$N$4)+MIN(6,$OQ32*2+$OR32*3,SUMPRODUCT($OK32:$OP32,$I$4:$N$4)))</f>
        <v/>
      </c>
      <c r="PG32" s="155">
        <f>MAX(0,9-SUMPRODUCT($OK32:$OP32,$I$5:$N$5)+MIN(8,$OQ32*2+$OR32*4,SUMPRODUCT($OK32:$OP32,$I$5:$N$5)))</f>
        <v/>
      </c>
      <c r="PH32" s="155">
        <f>MAX(0,11-SUMPRODUCT($OK32:$OP32,$I$6:$N$6)+MIN(10,$OQ32*3+$OR32*5,SUMPRODUCT($OK32:$OP32,$I$6:$N$6)))</f>
        <v/>
      </c>
      <c r="PI32" s="155">
        <f>MAX(0,13-SUMPRODUCT($OK32:$OP32,$I$7:$N$7)+MIN(12,$OQ32*3+$OR32*6,SUMPRODUCT($OK32:$OP32,$I$7:$N$7)))</f>
        <v/>
      </c>
      <c r="PJ32" s="155">
        <f>MAX(0,16-SUMPRODUCT($OK32:$OP32,$I$8:$N$8)+MIN(14,$OQ32*4+$OR32*7,SUMPRODUCT($OK32:$OP32,$I$8:$N$8)))</f>
        <v/>
      </c>
      <c r="PK32" s="155">
        <f>IF($OE32=2,3*$PD32&amp;" de vida temp.",IF($OE32=3,"sem dano",IF($PD32=0,IF($OE32=1,"sem cura","sem dano"),IF($OE32=1,"cura ","")&amp;$PD32&amp;"d8")))</f>
        <v/>
      </c>
      <c r="PL32" s="155">
        <f>IF($OE32=2,3*$PE32&amp;" de vida temp.",IF($OE32=3,"sem dano",IF($PE32=0,IF($OE32=1,"sem cura","sem dano"),IF($OE32=1,"cura ","")&amp;$PE32&amp;"d8")))</f>
        <v/>
      </c>
      <c r="PM32" s="155">
        <f>IF($OE32=2,3*$PF32&amp;" de vida temp.",IF($OE32=3,"sem dano",IF($PF32=0,IF($OE32=1,"sem cura","sem dano"),IF($OE32=1,"cura ","")&amp;$PF32&amp;"d8")))</f>
        <v/>
      </c>
      <c r="PN32" s="155">
        <f>IF($OE32=2,3*$PG32&amp;" de vida temp.",IF($OE32=3,"sem dano",IF($PG32=0,IF($OE32=1,"sem cura","sem dano"),IF($OE32=1,"cura ","")&amp;$PG32&amp;"d8")))</f>
        <v/>
      </c>
      <c r="PO32" s="155">
        <f>IF($OE32=2,3*$PH32&amp;" de vida temp.",IF($OE32=3,"sem dano",IF($PH32=0,IF($OE32=1,"sem cura","sem dano"),IF($OE32=1,"cura ","")&amp;$PH32&amp;"d8")))</f>
        <v/>
      </c>
      <c r="PP32" s="155">
        <f>IF($OE32=2,3*$PI32&amp;" de vida temp.",IF($OE32=3,"sem dano",IF($PI32=0,IF($OE32=1,"sem cura","sem dano"),IF($OE32=1,"cura ","")&amp;$PI32&amp;"d8")))</f>
        <v/>
      </c>
      <c r="PQ32" s="155">
        <f>IF($OE32=2,3*$PJ32&amp;" de vida temp.",IF($OE32=3,"sem dano",IF($PJ32=0,IF($OE32=1,"sem cura","sem dano"),IF($OE32=1,"cura ","")&amp;$PJ32&amp;"d8")))</f>
        <v/>
      </c>
      <c r="PR32" s="155">
        <f>IF($NB32=0,"",TEXTJOIN(" · ",TRUE,IF($MO32&gt;$NC32,"Este lugar abre no nível "&amp;$MO32,""),IF($MQ32&gt;$ND32,"Classe "&amp;$MQ32&amp;": o nível "&amp;$NC32&amp;" libera até a "&amp;$ND32,""),IF($NV32=1,"A Forma "&amp;$MS32&amp;" pede "&amp;INDEX($W$2:$W$11,$NH32)&amp;" aberta",""),IF(AND($MQ32=0,$NH32&gt;0,IF($NH32=0,0,INDEX($AF$2:$AF$11,$NH32))=0),$MS32&amp;" não existe na Classe 0",""),IF($NW32=1,"Família Fechada: "&amp;$MV32,""),IF($NX32=1,"Família Fechada: "&amp;$MW32,""),IF($NY32=1,"Família Fechada: "&amp;$MX32,""),IF($NZ32=1,"Família Fechada: "&amp;$MY32,""),IF(AND($MQ32&gt;0,$OS32&gt;INDEX($O$2:$O$8,MAX(1,$MQ32))),$OS32&amp;" Melhorias: a Classe "&amp;$MQ32&amp;" aceita "&amp;INDEX($O$2:$O$8,MAX(1,$MQ32)),""),IF(AND($MQ32=0,$OS32&gt;1),"A básica aceita uma Melhoria",""),IF(AND($MQ32=0,COUNTIF($NM32:$NP32,"&gt;1")&gt;0),"A básica só aceita Melhoria Leve",""),IF(AND($MQ32&gt;0,$OT32&gt;2),$OT32&amp;" Restrições"&amp;IF($OD32=1,", contando a que a Forma "&amp;$MS32&amp;" já traz","")&amp;": o limite é 2",""),IF(AND($MQ32=0,COUNTIF($MZ32:$NA32,"?*")&gt;1),"A básica aceita uma Restrição Leve",""),IF(AND($MQ32=0,COUNTIF($OG32:$OH32,2)&gt;0),"A básica só aceita Restrição Leve",""),IF(AND($MQ32&gt;0,$PA32&lt;0),"Orçamento estourado: faltam "&amp;(-$PA32)&amp;IF($PA32&lt;-1," pontos"," ponto"),""),IF(IFERROR(VLOOKUP($MZ32,$BC$2:$BG$24,4,FALSE),0)+IFERROR(VLOOKUP($NA32,$BC$2:$BG$24,4,FALSE),0)&gt;1,$OI32&amp;" e "&amp;$OJ32&amp;" são as duas de frequência",""),IF(AND((COUNTIF($MV32:$MY32,"Rápido")+COUNTIF($OI32:$OJ32,"Rápido"))&gt;0,(COUNTIF($MV32:$MY32,"Atrasar")+COUNTIF($OI32:$OJ32,"Atrasar"))&gt;0),"Rápido não entra com Atrasar",""),IF(AND((COUNTIF($MV32:$MY32,"Reação")+COUNTIF($OI32:$OJ32,"Reação"))&gt;0,(COUNTIF($MV32:$MY32,"Rápido")+COUNTIF($OI32:$OJ32,"Rápido"))&gt;0),"Reação não entra com Rápido",""),IF(AND((COUNTIF($MV32:$MY32,"Reação")+COUNTIF($OI32:$OJ32,"Reação"))&gt;0,(COUNTIF($MV32:$MY32,"Armado")+COUNTIF($OI32:$OJ32,"Armado"))&gt;0),"Reação não entra com Armado",""),IF(AND((COUNTIF($MV32:$MY32,"Reação")+COUNTIF($OI32:$OJ32,"Reação"))&gt;0,(COUNTIF($MV32:$MY32,"Atrasar")+COUNTIF($OI32:$OJ32,"Atrasar"))&gt;0),"Reação não entra com Atrasar",""),IF(AND((COUNTIF($MV32:$MY32,"Reação")+COUNTIF($OI32:$OJ32,"Reação"))&gt;0,(COUNTIF($MV32:$MY32,"Parado")+COUNTIF($OI32:$OJ32,"Parado"))&gt;0),"Reação não entra com Parado",""),IF(AND((COUNTIF($MV32:$MY32,"Atrasar")+COUNTIF($OI32:$OJ32,"Atrasar"))&gt;0,(COUNTIF($MV32:$MY32,"Parado")+COUNTIF($OI32:$OJ32,"Parado"))&gt;0),"Atrasar não entra com Parado",""),IF(AND((COUNTIF($MV32:$MY32,"Armado")+COUNTIF($OI32:$OJ32,"Armado"))&gt;0,(COUNTIF($MV32:$MY32,"Carregar")+COUNTIF($OI32:$OJ32,"Carregar"))&gt;0),"Armado não entra com Carregar",""),IF(AND(COUNTIF($OI32:$OJ32,"Corpo a Corpo")&gt;0,$OD32=0,OR($MS32="Cone",$MS32="Linha")),"Corpo a Corpo não entra em "&amp;$MS32,""),IF(AND(COUNTIF($OI32:$OJ32,"Corpo a Corpo")&gt;0,$OD32=1),"A Forma "&amp;$MS32&amp;" já traz o Corpo a Corpo",""),IF(AND(COUNTIF($OI32:$OJ32,"Tudo ou Nada")&gt;0,$OF32=0),"Tudo ou Nada só entra em habilidade de Teste de Resistência",""),IF(AND(COUNTIF($MV32:$MY32,"Inescapável")&gt;0,OR($OS32&gt;1,$OT32&gt;0)),"Inescapável não aceita outra peça",""),IF(AND($MQ32&gt;0,$PB32*IF(COUNTIF($MV32:$MY32,"Remate")&gt;0,1.25,1)+$PC32&gt;4*$MQ32),($PB32*IF(COUNTIF($MV32:$MY32,"Remate")&gt;0,1.25,1)+$PC32)&amp;" dados somando repetições"&amp;IF(COUNTIF($MV32:$MY32,"Remate")&gt;0," e o Remate","")&amp;": o teto da Classe "&amp;$MQ32&amp;" é "&amp;4*$MQ32,"")))</f>
        <v/>
      </c>
      <c r="PS32" s="155">
        <f>IF($PR32="",0,(LEN($PR32)-LEN(SUBSTITUTE($PR32," · ","")))/3+1)</f>
        <v/>
      </c>
      <c r="PT32" s="155">
        <f>IF($NB32=0,"",TEXTJOIN(" · ",TRUE,IF($OV32&gt;2*$MQ32,"A devolução parou no teto de "&amp;2*$MQ32,""),IF($OY32&gt;0,"Devolução perdida: "&amp;$OY32&amp;IF($OY32&gt;1," pontos"," ponto")&amp;" sem peça para pagar",""),IF(AND($OA32&gt;0,AND($MQ32&gt;0,$OE32=0),$PB32=0),"Controle sem dano: uma rodada a mais e CD +2",""),IF(AND($OA32&gt;0,AND($MQ32&gt;0,$OE32=0),$PB32&gt;0,$PB32&lt;=$MQ32),"Controle com saldo até a Classe: uma rodada a mais",""),IF(AND($MQ32&gt;0,$OC32&lt;&gt;""),"Efeito de "&amp;$OC32&amp;" pela Classe "&amp;MAX(1,$MQ32-1),"")))</f>
        <v/>
      </c>
      <c r="PU32" s="155">
        <f>IF($PT32="",0,(LEN($PT32)-LEN(SUBSTITUTE($PT32," · ","")))/3+1)</f>
        <v/>
      </c>
      <c r="PV32" s="155">
        <f>IF($NB32=0,IF($OS32+COUNTIF($MZ32:$NA32,"?*")&gt;0,"Dê um nome",""),IF($PS32&gt;0,"⚠ "&amp;$PS32&amp;IF($PS32&gt;1," erros"," erro"),IF($PU32&gt;0,"! "&amp;$PU32&amp;IF($PU32&gt;1," avisos"," aviso"),"Na regra")))</f>
        <v/>
      </c>
      <c r="PW32" s="155">
        <f>IF($NB32=0,"",IF($PS32+$PU32=0,"Dentro das regras que a ficha confere",$PR32&amp;IF(AND($PS32&gt;0,$PU32&gt;0)," · ","")&amp;$PT32))</f>
        <v/>
      </c>
      <c r="PX32" s="155">
        <f>IF($MO32&gt;$NC32,$MP32&amp;" · ABRE NO NÍVEL "&amp;$MO32,$MP32)</f>
        <v/>
      </c>
      <c r="PY32" s="155">
        <f>IF($NB32=0,"",IF($MQ32=0,"Sem PE",3*$MQ32&amp;" PE"))</f>
        <v/>
      </c>
      <c r="PZ32" s="155">
        <f>IF($NB32=0,"",IF($MQ32=0,"A atuação básica dela",IF(COUNTIF($OI32:$OJ32,"Atrasar")&gt;0,"Sua Ação Completa",IF(COUNTIF($MV32:$MY32,"Rápido")&gt;0,"Sua Bônus",IF(COUNTIF($MV32:$MY32,"Reação")&gt;0,"Sua Reação","Sua Padrão")))&amp;" + a básica dela"&amp;IF(COUNTIF($MV32:$MY32,"Reação")&gt;0," e a coletiva","")&amp;IF(COUNTIF($OI32:$OJ32,"Carregar")&gt;0," · em dois turnos","")))</f>
        <v/>
      </c>
      <c r="QA32" s="155">
        <f>IF($MU32&lt;&gt;"",$MU32,IF($NH32=0,"",INDEX($AA$2:$AA$11,$NH32)))</f>
        <v/>
      </c>
      <c r="QB32" s="155">
        <f>IF(OR($NB32=0,$NH32=0),"",IF(COUNTIF($MV32:$MY32,"Inescapável")&gt;0,"Automático",IF($QA32="Ataque",IF($NF32="","Ataque","Ataque "&amp;IF(($NF32+2*IF(COUNTIF($MV32:$MY32,"Precisão")&gt;0,1,0))&gt;=0,"+","−")&amp;ABS(($NF32+2*IF(COUNTIF($MV32:$MY32,"Precisão")&gt;0,1,0))))&amp;IF($OB32&gt;0," · TR"&amp;IF($NG32="",""," CD "&amp;$NG32),""),IF(LEFT($QA32,2)="TR",$QA32&amp;IF($NG32="",""," · CD "&amp;$NG32)&amp;IF(COUNTIF($MV32:$MY32,"Certeiro")&gt;0," · metade",""),"Sem rolagem"))))</f>
        <v/>
      </c>
      <c r="QC32" s="155">
        <f>IF(OR($NB32=0,$NH32=0),"",IF($MQ32=0,IF(OR($OE32&gt;=1,$PB32=0),"Sem dano",$PB32&amp;"d6"&amp;IF($MT32="",""," "&amp;$MT32)),IF(OR($OE32&gt;=1,$PB32=0),UPPER(LEFT(INDEX($PK32:$PQ32,1,MAX(1,$MQ32)),1))&amp;MID(INDEX($PK32:$PQ32,1,MAX(1,$MQ32)),2,99),UPPER(LEFT(INDEX($PK32:$PQ32,1,MAX(1,$MQ32)),1))&amp;MID(INDEX($PK32:$PQ32,1,MAX(1,$MQ32)),2,99)&amp;IF($MT32="",""," "&amp;$MT32)&amp;IF($PC32&gt;0," · +"&amp;$PC32&amp;"d8",""))))</f>
        <v/>
      </c>
      <c r="QD32" s="155">
        <f>COUNTIF($MV32:$MY32,"Longe")+3*COUNTIF($MV32:$MY32,"Muito Longe")</f>
        <v/>
      </c>
      <c r="QE32" s="155">
        <f>COUNTIF($MV32:$MY32,"Maior")+3*COUNTIF($MV32:$MY32,"Muito Maior")</f>
        <v/>
      </c>
      <c r="QF32" s="155">
        <f>IF($NH32=0,0,CHOOSE(1+INDEX($AC$2:$AC$11,$NH32),0,$QD32,$QE32,$QD32+$QE32))</f>
        <v/>
      </c>
      <c r="QG32" s="155">
        <f>IF($NH32=0,0,CHOOSE(1+INDEX($AD$2:$AD$11,$NH32),0,$QD32,$QE32,$QD32+$QE32))</f>
        <v/>
      </c>
      <c r="QH32" s="155">
        <f>IF(OR($NB32=0,$NH32=0),"",INDEX($AI$2:$AN$41,($NH32-1)*4+IF($MQ32=0,1,IF($MQ32&lt;=5,2,IF($MQ32=6,3,4))),1+MIN(5,$QF32))&amp;INDEX($AO$2:$AT$41,($NH32-1)*4+IF($MQ32=0,1,IF($MQ32&lt;=5,2,IF($MQ32=6,3,4))),1+MIN(5,$QG32))&amp;IF(INDEX($AE$2:$AE$11,$NH32)=1,IF(COUNTIF($MV32:$MY32,"Mais Um")&gt;0," · +"&amp;COUNTIF($MV32:$MY32,"Mais Um")&amp;IF(COUNTIF($MV32:$MY32,"Mais Um")&gt;1," alvos"," alvo"),"")&amp;IF(COUNTIF($MV32:$MY32,"Rajada")&gt;0,IF($MQ32=0," · 1 tiro"," · "&amp;(MAX(1,$MQ32-1)+1)&amp;" tiros"),""),""))</f>
        <v/>
      </c>
      <c r="QI32" s="155">
        <f>IF($NB32=0,"",IF($MQ32=0,$NE32&amp;"d6"&amp;IF($OS32&gt;0," − 1 = "&amp;$PB32&amp;"d6"," da básica do nível "&amp;$NC32),$OZ32&amp;" − "&amp;$OU32&amp;" + "&amp;$OX32&amp;" = "&amp;$PA32&amp;" · teto "&amp;4*$MQ32&amp;"d8"&amp;IF($OD32=1," · a Forma devolve "&amp;$MQ32,"")&amp;IF($OY32&gt;0," · perde "&amp;$OY32,"")))</f>
        <v/>
      </c>
      <c r="QJ32" s="155">
        <f>IF($NB32=0,"",IF($MQ32=0,"A básica não amplia: os dados dela sobem com o nível",IF($MQ32&gt;=$ND32,"Já está na maior Classe que o nível liberou",TEXTJOIN(" · ",TRUE,IF(AND(2&gt;$MQ32,2&lt;=$ND32),"2 → "&amp;$PL32&amp;", 6 PE",""),IF(AND(3&gt;$MQ32,3&lt;=$ND32),"3 → "&amp;$PM32&amp;", 9 PE",""),IF(AND(4&gt;$MQ32,4&lt;=$ND32),"4 → "&amp;$PN32&amp;", 12 PE",""),IF(AND(5&gt;$MQ32,5&lt;=$ND32),"5 → "&amp;$PO32&amp;", 15 PE",""),IF(AND(6&gt;$MQ32,6&lt;=$ND32),"6 → "&amp;$PP32&amp;", 18 PE",""),IF(AND(7&gt;$MQ32,7&lt;=$ND32),"7 → "&amp;$PQ32&amp;", 21 PE","")))))</f>
        <v/>
      </c>
      <c r="QK32" s="155">
        <f>IF(OR($NB32=0,$NM32=0),"",IF($MQ32=0,"−1 dado","−"&amp;INDEX($I$2:$N$8,MAX(1,$MQ32),MAX(1,$NR32))&amp;" · "&amp;CHOOSE(MAX(1,$NR32),"Leve","Média","Pesada","Leve · Livre","Média · Livre","Pesada · Livre")))</f>
        <v/>
      </c>
      <c r="QL32" s="155">
        <f>IF(OR($NB32=0,$NN32=0),"",IF($MQ32=0,"−1 dado","−"&amp;INDEX($I$2:$N$8,MAX(1,$MQ32),MAX(1,$NS32))&amp;" · "&amp;CHOOSE(MAX(1,$NS32),"Leve","Média","Pesada","Leve · Livre","Média · Livre","Pesada · Livre")))</f>
        <v/>
      </c>
      <c r="QM32" s="155">
        <f>IF(OR($NB32=0,$NO32=0),"",IF($MQ32=0,"−1 dado","−"&amp;INDEX($I$2:$N$8,MAX(1,$MQ32),MAX(1,$NT32))&amp;" · "&amp;CHOOSE(MAX(1,$NT32),"Leve","Média","Pesada","Leve · Livre","Média · Livre","Pesada · Livre")))</f>
        <v/>
      </c>
      <c r="QN32" s="155">
        <f>IF(OR($NB32=0,$NP32=0),"",IF($MQ32=0,"−1 dado","−"&amp;INDEX($I$2:$N$8,MAX(1,$MQ32),MAX(1,$NU32))&amp;" · "&amp;CHOOSE(MAX(1,$NU32),"Leve","Média","Pesada","Leve · Livre","Média · Livre","Pesada · Livre")))</f>
        <v/>
      </c>
      <c r="QO32" s="155">
        <f>IF(OR($NB32=0,$MZ32=""),"",IF($MQ32=0,"não devolve","+"&amp;IF($OG32=1,CEILING($MQ32/2,1),$MQ32)))</f>
        <v/>
      </c>
      <c r="QP32" s="155">
        <f>IF(OR($NB32=0,$NA32=""),"",IF($MQ32=0,"não devolve","+"&amp;IF($OH32=1,CEILING($MQ32/2,1),$MQ32)))</f>
        <v/>
      </c>
    </row>
    <row r="33">
      <c r="AH33" s="153" t="inlineStr">
        <is>
          <t>Apoio · classe 7</t>
        </is>
      </c>
      <c r="AI33" s="153" t="inlineStr">
        <is>
          <t>Um aliado a 18 m</t>
        </is>
      </c>
      <c r="AJ33" s="153" t="inlineStr">
        <is>
          <t>Um aliado a 36 m</t>
        </is>
      </c>
      <c r="AK33" s="153" t="inlineStr">
        <is>
          <t>Um aliado a 90 m</t>
        </is>
      </c>
      <c r="AL33" s="153" t="inlineStr">
        <is>
          <t>Um aliado a visão a olho nu</t>
        </is>
      </c>
      <c r="AM33" s="153" t="inlineStr">
        <is>
          <t>Um aliado a visão a olho nu</t>
        </is>
      </c>
      <c r="AN33" s="153" t="inlineStr">
        <is>
          <t>Um aliado a visão a olho nu</t>
        </is>
      </c>
      <c r="AO33" s="153" t="inlineStr"/>
      <c r="AP33" s="153" t="inlineStr"/>
      <c r="AQ33" s="153" t="inlineStr"/>
      <c r="AR33" s="153" t="inlineStr"/>
      <c r="AS33" s="153" t="inlineStr"/>
      <c r="AT33" s="153" t="inlineStr"/>
      <c r="AV33" s="153" t="inlineStr">
        <is>
          <t>Impedido</t>
        </is>
      </c>
      <c r="AW33" s="153" t="inlineStr">
        <is>
          <t>Controle</t>
        </is>
      </c>
      <c r="AX33" s="155" t="n">
        <v>3</v>
      </c>
      <c r="AY33" s="155" t="n">
        <v>1</v>
      </c>
      <c r="AZ33" s="155" t="n">
        <v>0</v>
      </c>
      <c r="BA33" s="155" t="n">
        <v>1</v>
      </c>
      <c r="JR33" s="155">
        <f>IF(OR($AW33="",COUNTIF($EJ$2:$EN$2,$AW33)&gt;0),$AV33,"")</f>
        <v/>
      </c>
      <c r="JS33" s="155">
        <f>IF(AND($AX33=1,OR($AW33="",COUNTIF($EJ$2:$EN$2,$AW33)&gt;0)),$AV33,"")</f>
        <v/>
      </c>
      <c r="JX33" s="155">
        <f>IF(OR($AW33="",COUNTIF($EJ$3:$EN$3,$AW33)&gt;0),$AV33,"")</f>
        <v/>
      </c>
      <c r="JY33" s="155">
        <f>IF(AND($AX33=1,OR($AW33="",COUNTIF($EJ$3:$EN$3,$AW33)&gt;0)),$AV33,"")</f>
        <v/>
      </c>
      <c r="KD33" s="155">
        <f>IF(OR($AW33="",COUNTIF($EJ$4:$EN$4,$AW33)&gt;0),$AV33,"")</f>
        <v/>
      </c>
      <c r="KE33" s="155">
        <f>IF(AND($AX33=1,OR($AW33="",COUNTIF($EJ$4:$EN$4,$AW33)&gt;0)),$AV33,"")</f>
        <v/>
      </c>
      <c r="KJ33" s="155">
        <f>IF(OR($AW33="",COUNTIF($EJ$5:$EN$5,$AW33)&gt;0),$AV33,"")</f>
        <v/>
      </c>
      <c r="KK33" s="155">
        <f>IF(AND($AX33=1,OR($AW33="",COUNTIF($EJ$5:$EN$5,$AW33)&gt;0)),$AV33,"")</f>
        <v/>
      </c>
      <c r="KP33" s="155">
        <f>IF(OR($AW33="",COUNTIF($EJ$6:$EN$6,$AW33)&gt;0),$AV33,"")</f>
        <v/>
      </c>
      <c r="KQ33" s="155">
        <f>IF(AND($AX33=1,OR($AW33="",COUNTIF($EJ$6:$EN$6,$AW33)&gt;0)),$AV33,"")</f>
        <v/>
      </c>
      <c r="KV33" s="155">
        <f>IF(OR($AW33="",COUNTIF($EJ$7:$EN$7,$AW33)&gt;0),$AV33,"")</f>
        <v/>
      </c>
      <c r="KW33" s="155">
        <f>IF(AND($AX33=1,OR($AW33="",COUNTIF($EJ$7:$EN$7,$AW33)&gt;0)),$AV33,"")</f>
        <v/>
      </c>
      <c r="LB33" s="155">
        <f>IF(OR($AW33="",COUNTIF($EJ$8:$EN$8,$AW33)&gt;0),$AV33,"")</f>
        <v/>
      </c>
      <c r="LC33" s="155">
        <f>IF(AND($AX33=1,OR($AW33="",COUNTIF($EJ$8:$EN$8,$AW33)&gt;0)),$AV33,"")</f>
        <v/>
      </c>
      <c r="LH33" s="155">
        <f>IF(OR($AW33="",COUNTIF($EJ$9:$EN$9,$AW33)&gt;0),$AV33,"")</f>
        <v/>
      </c>
      <c r="LI33" s="155">
        <f>IF(AND($AX33=1,OR($AW33="",COUNTIF($EJ$9:$EN$9,$AW33)&gt;0)),$AV33,"")</f>
        <v/>
      </c>
      <c r="LN33" s="155">
        <f>IF(OR($AW33="",COUNTIF($EJ$10:$EN$10,$AW33)&gt;0),$AV33,"")</f>
        <v/>
      </c>
      <c r="LO33" s="155">
        <f>IF(AND($AX33=1,OR($AW33="",COUNTIF($EJ$10:$EN$10,$AW33)&gt;0)),$AV33,"")</f>
        <v/>
      </c>
      <c r="LT33" s="155">
        <f>IF(OR($AW33="",COUNTIF($EJ$11:$EN$11,$AW33)&gt;0),$AV33,"")</f>
        <v/>
      </c>
      <c r="LU33" s="155">
        <f>IF(AND($AX33=1,OR($AW33="",COUNTIF($EJ$11:$EN$11,$AW33)&gt;0)),$AV33,"")</f>
        <v/>
      </c>
      <c r="LZ33" s="155">
        <f>IF(OR($AW33="",COUNTIF($EJ$12:$EN$12,$AW33)&gt;0),$AV33,"")</f>
        <v/>
      </c>
      <c r="MA33" s="155">
        <f>IF(AND($AX33=1,OR($AW33="",COUNTIF($EJ$12:$EN$12,$AW33)&gt;0)),$AV33,"")</f>
        <v/>
      </c>
      <c r="MF33" s="155">
        <f>IF(OR($AW33="",COUNTIF($EJ$13:$EN$13,$AW33)&gt;0),$AV33,"")</f>
        <v/>
      </c>
      <c r="MG33" s="155">
        <f>IF(AND($AX33=1,OR($AW33="",COUNTIF($EJ$13:$EN$13,$AW33)&gt;0)),$AV33,"")</f>
        <v/>
      </c>
      <c r="ML33" s="153" t="inlineStr">
        <is>
          <t>Ficha 3 · Especial 4</t>
        </is>
      </c>
      <c r="MM33" s="155" t="n">
        <v>3</v>
      </c>
      <c r="MN33" s="155" t="n">
        <v>1</v>
      </c>
      <c r="MO33" s="155" t="n">
        <v>12</v>
      </c>
      <c r="MP33" s="153" t="inlineStr">
        <is>
          <t>ESPECIAL 4</t>
        </is>
      </c>
      <c r="MQ33" s="155">
        <f>MAX(1,MIN(7,N('INVOCAÇÕES'!$U$488)))</f>
        <v/>
      </c>
      <c r="MR33" s="155">
        <f>'INVOCAÇÕES'!$V$488&amp;""</f>
        <v/>
      </c>
      <c r="MS33" s="155">
        <f>'INVOCAÇÕES'!$U$493&amp;""</f>
        <v/>
      </c>
      <c r="MT33" s="155">
        <f>'INVOCAÇÕES'!$U$494&amp;""</f>
        <v/>
      </c>
      <c r="MU33" s="155">
        <f>'INVOCAÇÕES'!$W$494&amp;""</f>
        <v/>
      </c>
      <c r="MV33" s="155">
        <f>'INVOCAÇÕES'!$V$497&amp;""</f>
        <v/>
      </c>
      <c r="MW33" s="155">
        <f>'INVOCAÇÕES'!$V$498&amp;""</f>
        <v/>
      </c>
      <c r="MX33" s="155">
        <f>'INVOCAÇÕES'!$V$499&amp;""</f>
        <v/>
      </c>
      <c r="MY33" s="155">
        <f>'INVOCAÇÕES'!$V$500&amp;""</f>
        <v/>
      </c>
      <c r="MZ33" s="155">
        <f>'INVOCAÇÕES'!$V$501&amp;""</f>
        <v/>
      </c>
      <c r="NA33" s="155">
        <f>'INVOCAÇÕES'!$V$502&amp;""</f>
        <v/>
      </c>
      <c r="NB33" s="155">
        <f>IF($MR33&lt;&gt;"",1,0)</f>
        <v/>
      </c>
      <c r="NC33" s="155">
        <f>INDEX($FM$2:$FM$13,$MM33)</f>
        <v/>
      </c>
      <c r="ND33" s="155">
        <f>INDEX($FN$2:$FN$13,$MM33)</f>
        <v/>
      </c>
      <c r="NE33" s="155">
        <f>INDEX($FO$2:$FO$13,$MM33)</f>
        <v/>
      </c>
      <c r="NF33" s="155">
        <f>INDEX($FZ$2:$FZ$13,$MM33)</f>
        <v/>
      </c>
      <c r="NG33" s="155">
        <f>INDEX($GA$2:$GA$13,$MM33)</f>
        <v/>
      </c>
      <c r="NH33" s="155">
        <f>IFERROR(MATCH($MS33,$V$2:$V$11,0),0)</f>
        <v/>
      </c>
      <c r="NI33" s="155">
        <f>IFERROR(VLOOKUP($MV33,$AV$2:$BA$84,2,FALSE),"")</f>
        <v/>
      </c>
      <c r="NJ33" s="155">
        <f>IFERROR(VLOOKUP($MW33,$AV$2:$BA$84,2,FALSE),"")</f>
        <v/>
      </c>
      <c r="NK33" s="155">
        <f>IFERROR(VLOOKUP($MX33,$AV$2:$BA$84,2,FALSE),"")</f>
        <v/>
      </c>
      <c r="NL33" s="155">
        <f>IFERROR(VLOOKUP($MY33,$AV$2:$BA$84,2,FALSE),"")</f>
        <v/>
      </c>
      <c r="NM33" s="155">
        <f>IFERROR(VLOOKUP($MV33,$AV$2:$BA$84,3,FALSE),0)</f>
        <v/>
      </c>
      <c r="NN33" s="155">
        <f>IFERROR(VLOOKUP($MW33,$AV$2:$BA$84,3,FALSE),0)</f>
        <v/>
      </c>
      <c r="NO33" s="155">
        <f>IFERROR(VLOOKUP($MX33,$AV$2:$BA$84,3,FALSE),0)</f>
        <v/>
      </c>
      <c r="NP33" s="155">
        <f>IFERROR(VLOOKUP($MY33,$AV$2:$BA$84,3,FALSE),0)</f>
        <v/>
      </c>
      <c r="NQ33" s="155">
        <f>IF($MQ33=0,0,IF($NH33=0,0,INDEX($X$2:$X$11,$NH33)))</f>
        <v/>
      </c>
      <c r="NR33" s="155">
        <f>IF(OR($NM33=0,$MQ33=0),0,$NM33+3*IF(AND($NI33&lt;&gt;"",OR($NI33=INDEX($EJ$2:$EJ$13,$MM33),$NI33=INDEX($EK$2:$EK$13,$MM33))),1,0))</f>
        <v/>
      </c>
      <c r="NS33" s="155">
        <f>IF(OR($NN33=0,$MQ33=0),0,$NN33+3*IF(AND($NJ33&lt;&gt;"",OR($NJ33=INDEX($EJ$2:$EJ$13,$MM33),$NJ33=INDEX($EK$2:$EK$13,$MM33))),1,0))</f>
        <v/>
      </c>
      <c r="NT33" s="155">
        <f>IF(OR($NO33=0,$MQ33=0),0,$NO33+3*IF(AND($NK33&lt;&gt;"",OR($NK33=INDEX($EJ$2:$EJ$13,$MM33),$NK33=INDEX($EK$2:$EK$13,$MM33))),1,0))</f>
        <v/>
      </c>
      <c r="NU33" s="155">
        <f>IF(OR($NP33=0,$MQ33=0),0,$NP33+3*IF(AND($NL33&lt;&gt;"",OR($NL33=INDEX($EJ$2:$EJ$13,$MM33),$NL33=INDEX($EK$2:$EK$13,$MM33))),1,0))</f>
        <v/>
      </c>
      <c r="NV33" s="155">
        <f>IF($NH33=0,0,IF(INDEX($W$2:$W$11,$NH33)="",0,IF(COUNTIF(INDEX($EJ$2:$EN$13,$MM33,0),INDEX($W$2:$W$11,$NH33))=0,1,0)))</f>
        <v/>
      </c>
      <c r="NW33" s="155">
        <f>IF(OR($NM33=0,$NI33=""),0,IF(COUNTIF(INDEX($EJ$2:$EN$13,$MM33,0),$NI33)=0,1,0))</f>
        <v/>
      </c>
      <c r="NX33" s="155">
        <f>IF(OR($NN33=0,$NJ33=""),0,IF(COUNTIF(INDEX($EJ$2:$EN$13,$MM33,0),$NJ33)=0,1,0))</f>
        <v/>
      </c>
      <c r="NY33" s="155">
        <f>IF(OR($NO33=0,$NK33=""),0,IF(COUNTIF(INDEX($EJ$2:$EN$13,$MM33,0),$NK33)=0,1,0))</f>
        <v/>
      </c>
      <c r="NZ33" s="155">
        <f>IF(OR($NP33=0,$NL33=""),0,IF(COUNTIF(INDEX($EJ$2:$EN$13,$MM33,0),$NL33)=0,1,0))</f>
        <v/>
      </c>
      <c r="OA33" s="155">
        <f>IFERROR(VLOOKUP($MV33,$AV$2:$BA$84,4,FALSE),0)+IFERROR(VLOOKUP($MW33,$AV$2:$BA$84,4,FALSE),0)+IFERROR(VLOOKUP($MX33,$AV$2:$BA$84,4,FALSE),0)+IFERROR(VLOOKUP($MY33,$AV$2:$BA$84,4,FALSE),0)</f>
        <v/>
      </c>
      <c r="OB33" s="155">
        <f>IFERROR(VLOOKUP($MV33,$AV$2:$BA$84,6,FALSE),0)+IFERROR(VLOOKUP($MW33,$AV$2:$BA$84,6,FALSE),0)+IFERROR(VLOOKUP($MX33,$AV$2:$BA$84,6,FALSE),0)+IFERROR(VLOOKUP($MY33,$AV$2:$BA$84,6,FALSE),0)</f>
        <v/>
      </c>
      <c r="OC33" s="155">
        <f>TEXTJOIN(", ",TRUE,IF(IFERROR(VLOOKUP($MV33,$AV$2:$BA$84,5,FALSE),0)=1,$MV33,""),IF(IFERROR(VLOOKUP($MW33,$AV$2:$BA$84,5,FALSE),0)=1,$MW33,""),IF(IFERROR(VLOOKUP($MX33,$AV$2:$BA$84,5,FALSE),0)=1,$MX33,""),IF(IFERROR(VLOOKUP($MY33,$AV$2:$BA$84,5,FALSE),0)=1,$MY33,""))</f>
        <v/>
      </c>
      <c r="OD33" s="155">
        <f>IF($NH33=0,0,INDEX($Y$2:$Y$11,$NH33))</f>
        <v/>
      </c>
      <c r="OE33" s="155">
        <f>IF($NH33=0,0,INDEX($Z$2:$Z$11,$NH33))</f>
        <v/>
      </c>
      <c r="OF33" s="155">
        <f>IF($NH33=0,0,INDEX($AB$2:$AB$11,$NH33))</f>
        <v/>
      </c>
      <c r="OG33" s="155">
        <f>IFERROR(VLOOKUP($MZ33,$BC$2:$BG$24,3,FALSE),0)</f>
        <v/>
      </c>
      <c r="OH33" s="155">
        <f>IFERROR(VLOOKUP($NA33,$BC$2:$BG$24,3,FALSE),0)</f>
        <v/>
      </c>
      <c r="OI33" s="155">
        <f>IFERROR(VLOOKUP($MZ33,$BC$2:$BG$24,2,FALSE),"")</f>
        <v/>
      </c>
      <c r="OJ33" s="155">
        <f>IFERROR(VLOOKUP($NA33,$BC$2:$BG$24,2,FALSE),"")</f>
        <v/>
      </c>
      <c r="OK33" s="155">
        <f>COUNTIF($NQ33:$NU33,1)</f>
        <v/>
      </c>
      <c r="OL33" s="155">
        <f>COUNTIF($NQ33:$NU33,2)</f>
        <v/>
      </c>
      <c r="OM33" s="155">
        <f>COUNTIF($NQ33:$NU33,3)</f>
        <v/>
      </c>
      <c r="ON33" s="155">
        <f>COUNTIF($NQ33:$NU33,4)</f>
        <v/>
      </c>
      <c r="OO33" s="155">
        <f>COUNTIF($NQ33:$NU33,5)</f>
        <v/>
      </c>
      <c r="OP33" s="155">
        <f>COUNTIF($NQ33:$NU33,6)</f>
        <v/>
      </c>
      <c r="OQ33" s="155">
        <f>COUNTIF($OG33:$OH33,1)</f>
        <v/>
      </c>
      <c r="OR33" s="155">
        <f>COUNTIF($OG33:$OH33,2)+$OD33</f>
        <v/>
      </c>
      <c r="OS33" s="155">
        <f>COUNTIF($MV33:$MY33,"?*")</f>
        <v/>
      </c>
      <c r="OT33" s="155">
        <f>COUNTIF($MZ33:$NA33,"?*")+$OD33</f>
        <v/>
      </c>
      <c r="OU33" s="155">
        <f>IF($MQ33=0,0,SUMPRODUCT($OK33:$OP33,INDEX($I$2:$N$8,MAX(1,$MQ33),0)))</f>
        <v/>
      </c>
      <c r="OV33" s="155">
        <f>IF($MQ33=0,0,$OQ33*CEILING($MQ33/2,1)+$OR33*$MQ33)</f>
        <v/>
      </c>
      <c r="OW33" s="155">
        <f>MIN(2*$MQ33,$OV33)</f>
        <v/>
      </c>
      <c r="OX33" s="155">
        <f>MIN($OW33,$OU33)</f>
        <v/>
      </c>
      <c r="OY33" s="155">
        <f>$OW33-$OX33</f>
        <v/>
      </c>
      <c r="OZ33" s="155">
        <f>IF($MQ33=0,0,INDEX($P$2:$P$8,MAX(1,$MQ33)))</f>
        <v/>
      </c>
      <c r="PA33" s="155">
        <f>$OZ33-$OU33+$OX33</f>
        <v/>
      </c>
      <c r="PB33" s="155">
        <f>IF($MQ33=0,MAX(0,$NE33-IF($OS33&gt;0,1,0)),MAX(0,$PA33))</f>
        <v/>
      </c>
      <c r="PC33" s="155">
        <f>IF($MQ33=0,0,(IF(COUNTIF($MV33:$MY33,"Salto")&gt;0,1,0)+IF(COUNTIF($MV33:$MY33,"Queima")&gt;0,1,0)+IF(COUNTIF($MV33:$MY33,"Estilhaço")&gt;0,1,0))*FLOOR($PB33/2,1))</f>
        <v/>
      </c>
      <c r="PD33" s="155">
        <f>MAX(0,2-SUMPRODUCT($OK33:$OP33,$I$2:$N$2)+MIN(2,$OQ33*1+$OR33*1,SUMPRODUCT($OK33:$OP33,$I$2:$N$2)))</f>
        <v/>
      </c>
      <c r="PE33" s="155">
        <f>MAX(0,4-SUMPRODUCT($OK33:$OP33,$I$3:$N$3)+MIN(4,$OQ33*1+$OR33*2,SUMPRODUCT($OK33:$OP33,$I$3:$N$3)))</f>
        <v/>
      </c>
      <c r="PF33" s="155">
        <f>MAX(0,6-SUMPRODUCT($OK33:$OP33,$I$4:$N$4)+MIN(6,$OQ33*2+$OR33*3,SUMPRODUCT($OK33:$OP33,$I$4:$N$4)))</f>
        <v/>
      </c>
      <c r="PG33" s="155">
        <f>MAX(0,9-SUMPRODUCT($OK33:$OP33,$I$5:$N$5)+MIN(8,$OQ33*2+$OR33*4,SUMPRODUCT($OK33:$OP33,$I$5:$N$5)))</f>
        <v/>
      </c>
      <c r="PH33" s="155">
        <f>MAX(0,11-SUMPRODUCT($OK33:$OP33,$I$6:$N$6)+MIN(10,$OQ33*3+$OR33*5,SUMPRODUCT($OK33:$OP33,$I$6:$N$6)))</f>
        <v/>
      </c>
      <c r="PI33" s="155">
        <f>MAX(0,13-SUMPRODUCT($OK33:$OP33,$I$7:$N$7)+MIN(12,$OQ33*3+$OR33*6,SUMPRODUCT($OK33:$OP33,$I$7:$N$7)))</f>
        <v/>
      </c>
      <c r="PJ33" s="155">
        <f>MAX(0,16-SUMPRODUCT($OK33:$OP33,$I$8:$N$8)+MIN(14,$OQ33*4+$OR33*7,SUMPRODUCT($OK33:$OP33,$I$8:$N$8)))</f>
        <v/>
      </c>
      <c r="PK33" s="155">
        <f>IF($OE33=2,3*$PD33&amp;" de vida temp.",IF($OE33=3,"sem dano",IF($PD33=0,IF($OE33=1,"sem cura","sem dano"),IF($OE33=1,"cura ","")&amp;$PD33&amp;"d8")))</f>
        <v/>
      </c>
      <c r="PL33" s="155">
        <f>IF($OE33=2,3*$PE33&amp;" de vida temp.",IF($OE33=3,"sem dano",IF($PE33=0,IF($OE33=1,"sem cura","sem dano"),IF($OE33=1,"cura ","")&amp;$PE33&amp;"d8")))</f>
        <v/>
      </c>
      <c r="PM33" s="155">
        <f>IF($OE33=2,3*$PF33&amp;" de vida temp.",IF($OE33=3,"sem dano",IF($PF33=0,IF($OE33=1,"sem cura","sem dano"),IF($OE33=1,"cura ","")&amp;$PF33&amp;"d8")))</f>
        <v/>
      </c>
      <c r="PN33" s="155">
        <f>IF($OE33=2,3*$PG33&amp;" de vida temp.",IF($OE33=3,"sem dano",IF($PG33=0,IF($OE33=1,"sem cura","sem dano"),IF($OE33=1,"cura ","")&amp;$PG33&amp;"d8")))</f>
        <v/>
      </c>
      <c r="PO33" s="155">
        <f>IF($OE33=2,3*$PH33&amp;" de vida temp.",IF($OE33=3,"sem dano",IF($PH33=0,IF($OE33=1,"sem cura","sem dano"),IF($OE33=1,"cura ","")&amp;$PH33&amp;"d8")))</f>
        <v/>
      </c>
      <c r="PP33" s="155">
        <f>IF($OE33=2,3*$PI33&amp;" de vida temp.",IF($OE33=3,"sem dano",IF($PI33=0,IF($OE33=1,"sem cura","sem dano"),IF($OE33=1,"cura ","")&amp;$PI33&amp;"d8")))</f>
        <v/>
      </c>
      <c r="PQ33" s="155">
        <f>IF($OE33=2,3*$PJ33&amp;" de vida temp.",IF($OE33=3,"sem dano",IF($PJ33=0,IF($OE33=1,"sem cura","sem dano"),IF($OE33=1,"cura ","")&amp;$PJ33&amp;"d8")))</f>
        <v/>
      </c>
      <c r="PR33" s="155">
        <f>IF($NB33=0,"",TEXTJOIN(" · ",TRUE,IF($MO33&gt;$NC33,"Este lugar abre no nível "&amp;$MO33,""),IF($MQ33&gt;$ND33,"Classe "&amp;$MQ33&amp;": o nível "&amp;$NC33&amp;" libera até a "&amp;$ND33,""),IF($NV33=1,"A Forma "&amp;$MS33&amp;" pede "&amp;INDEX($W$2:$W$11,$NH33)&amp;" aberta",""),IF(AND($MQ33=0,$NH33&gt;0,IF($NH33=0,0,INDEX($AF$2:$AF$11,$NH33))=0),$MS33&amp;" não existe na Classe 0",""),IF($NW33=1,"Família Fechada: "&amp;$MV33,""),IF($NX33=1,"Família Fechada: "&amp;$MW33,""),IF($NY33=1,"Família Fechada: "&amp;$MX33,""),IF($NZ33=1,"Família Fechada: "&amp;$MY33,""),IF(AND($MQ33&gt;0,$OS33&gt;INDEX($O$2:$O$8,MAX(1,$MQ33))),$OS33&amp;" Melhorias: a Classe "&amp;$MQ33&amp;" aceita "&amp;INDEX($O$2:$O$8,MAX(1,$MQ33)),""),IF(AND($MQ33=0,$OS33&gt;1),"A básica aceita uma Melhoria",""),IF(AND($MQ33=0,COUNTIF($NM33:$NP33,"&gt;1")&gt;0),"A básica só aceita Melhoria Leve",""),IF(AND($MQ33&gt;0,$OT33&gt;2),$OT33&amp;" Restrições"&amp;IF($OD33=1,", contando a que a Forma "&amp;$MS33&amp;" já traz","")&amp;": o limite é 2",""),IF(AND($MQ33=0,COUNTIF($MZ33:$NA33,"?*")&gt;1),"A básica aceita uma Restrição Leve",""),IF(AND($MQ33=0,COUNTIF($OG33:$OH33,2)&gt;0),"A básica só aceita Restrição Leve",""),IF(AND($MQ33&gt;0,$PA33&lt;0),"Orçamento estourado: faltam "&amp;(-$PA33)&amp;IF($PA33&lt;-1," pontos"," ponto"),""),IF(IFERROR(VLOOKUP($MZ33,$BC$2:$BG$24,4,FALSE),0)+IFERROR(VLOOKUP($NA33,$BC$2:$BG$24,4,FALSE),0)&gt;1,$OI33&amp;" e "&amp;$OJ33&amp;" são as duas de frequência",""),IF(AND((COUNTIF($MV33:$MY33,"Rápido")+COUNTIF($OI33:$OJ33,"Rápido"))&gt;0,(COUNTIF($MV33:$MY33,"Atrasar")+COUNTIF($OI33:$OJ33,"Atrasar"))&gt;0),"Rápido não entra com Atrasar",""),IF(AND((COUNTIF($MV33:$MY33,"Reação")+COUNTIF($OI33:$OJ33,"Reação"))&gt;0,(COUNTIF($MV33:$MY33,"Rápido")+COUNTIF($OI33:$OJ33,"Rápido"))&gt;0),"Reação não entra com Rápido",""),IF(AND((COUNTIF($MV33:$MY33,"Reação")+COUNTIF($OI33:$OJ33,"Reação"))&gt;0,(COUNTIF($MV33:$MY33,"Armado")+COUNTIF($OI33:$OJ33,"Armado"))&gt;0),"Reação não entra com Armado",""),IF(AND((COUNTIF($MV33:$MY33,"Reação")+COUNTIF($OI33:$OJ33,"Reação"))&gt;0,(COUNTIF($MV33:$MY33,"Atrasar")+COUNTIF($OI33:$OJ33,"Atrasar"))&gt;0),"Reação não entra com Atrasar",""),IF(AND((COUNTIF($MV33:$MY33,"Reação")+COUNTIF($OI33:$OJ33,"Reação"))&gt;0,(COUNTIF($MV33:$MY33,"Parado")+COUNTIF($OI33:$OJ33,"Parado"))&gt;0),"Reação não entra com Parado",""),IF(AND((COUNTIF($MV33:$MY33,"Atrasar")+COUNTIF($OI33:$OJ33,"Atrasar"))&gt;0,(COUNTIF($MV33:$MY33,"Parado")+COUNTIF($OI33:$OJ33,"Parado"))&gt;0),"Atrasar não entra com Parado",""),IF(AND((COUNTIF($MV33:$MY33,"Armado")+COUNTIF($OI33:$OJ33,"Armado"))&gt;0,(COUNTIF($MV33:$MY33,"Carregar")+COUNTIF($OI33:$OJ33,"Carregar"))&gt;0),"Armado não entra com Carregar",""),IF(AND(COUNTIF($OI33:$OJ33,"Corpo a Corpo")&gt;0,$OD33=0,OR($MS33="Cone",$MS33="Linha")),"Corpo a Corpo não entra em "&amp;$MS33,""),IF(AND(COUNTIF($OI33:$OJ33,"Corpo a Corpo")&gt;0,$OD33=1),"A Forma "&amp;$MS33&amp;" já traz o Corpo a Corpo",""),IF(AND(COUNTIF($OI33:$OJ33,"Tudo ou Nada")&gt;0,$OF33=0),"Tudo ou Nada só entra em habilidade de Teste de Resistência",""),IF(AND(COUNTIF($MV33:$MY33,"Inescapável")&gt;0,OR($OS33&gt;1,$OT33&gt;0)),"Inescapável não aceita outra peça",""),IF(AND($MQ33&gt;0,$PB33*IF(COUNTIF($MV33:$MY33,"Remate")&gt;0,1.25,1)+$PC33&gt;4*$MQ33),($PB33*IF(COUNTIF($MV33:$MY33,"Remate")&gt;0,1.25,1)+$PC33)&amp;" dados somando repetições"&amp;IF(COUNTIF($MV33:$MY33,"Remate")&gt;0," e o Remate","")&amp;": o teto da Classe "&amp;$MQ33&amp;" é "&amp;4*$MQ33,"")))</f>
        <v/>
      </c>
      <c r="PS33" s="155">
        <f>IF($PR33="",0,(LEN($PR33)-LEN(SUBSTITUTE($PR33," · ","")))/3+1)</f>
        <v/>
      </c>
      <c r="PT33" s="155">
        <f>IF($NB33=0,"",TEXTJOIN(" · ",TRUE,IF($OV33&gt;2*$MQ33,"A devolução parou no teto de "&amp;2*$MQ33,""),IF($OY33&gt;0,"Devolução perdida: "&amp;$OY33&amp;IF($OY33&gt;1," pontos"," ponto")&amp;" sem peça para pagar",""),IF(AND($OA33&gt;0,AND($MQ33&gt;0,$OE33=0),$PB33=0),"Controle sem dano: uma rodada a mais e CD +2",""),IF(AND($OA33&gt;0,AND($MQ33&gt;0,$OE33=0),$PB33&gt;0,$PB33&lt;=$MQ33),"Controle com saldo até a Classe: uma rodada a mais",""),IF(AND($MQ33&gt;0,$OC33&lt;&gt;""),"Efeito de "&amp;$OC33&amp;" pela Classe "&amp;MAX(1,$MQ33-1),"")))</f>
        <v/>
      </c>
      <c r="PU33" s="155">
        <f>IF($PT33="",0,(LEN($PT33)-LEN(SUBSTITUTE($PT33," · ","")))/3+1)</f>
        <v/>
      </c>
      <c r="PV33" s="155">
        <f>IF($NB33=0,IF($OS33+COUNTIF($MZ33:$NA33,"?*")&gt;0,"Dê um nome",""),IF($PS33&gt;0,"⚠ "&amp;$PS33&amp;IF($PS33&gt;1," erros"," erro"),IF($PU33&gt;0,"! "&amp;$PU33&amp;IF($PU33&gt;1," avisos"," aviso"),"Na regra")))</f>
        <v/>
      </c>
      <c r="PW33" s="155">
        <f>IF($NB33=0,"",IF($PS33+$PU33=0,"Dentro das regras que a ficha confere",$PR33&amp;IF(AND($PS33&gt;0,$PU33&gt;0)," · ","")&amp;$PT33))</f>
        <v/>
      </c>
      <c r="PX33" s="155">
        <f>IF($MO33&gt;$NC33,$MP33&amp;" · ABRE NO NÍVEL "&amp;$MO33,$MP33)</f>
        <v/>
      </c>
      <c r="PY33" s="155">
        <f>IF($NB33=0,"",IF($MQ33=0,"Sem PE",3*$MQ33&amp;" PE"))</f>
        <v/>
      </c>
      <c r="PZ33" s="155">
        <f>IF($NB33=0,"",IF($MQ33=0,"A atuação básica dela",IF(COUNTIF($OI33:$OJ33,"Atrasar")&gt;0,"Sua Ação Completa",IF(COUNTIF($MV33:$MY33,"Rápido")&gt;0,"Sua Bônus",IF(COUNTIF($MV33:$MY33,"Reação")&gt;0,"Sua Reação","Sua Padrão")))&amp;" + a básica dela"&amp;IF(COUNTIF($MV33:$MY33,"Reação")&gt;0," e a coletiva","")&amp;IF(COUNTIF($OI33:$OJ33,"Carregar")&gt;0," · em dois turnos","")))</f>
        <v/>
      </c>
      <c r="QA33" s="155">
        <f>IF($MU33&lt;&gt;"",$MU33,IF($NH33=0,"",INDEX($AA$2:$AA$11,$NH33)))</f>
        <v/>
      </c>
      <c r="QB33" s="155">
        <f>IF(OR($NB33=0,$NH33=0),"",IF(COUNTIF($MV33:$MY33,"Inescapável")&gt;0,"Automático",IF($QA33="Ataque",IF($NF33="","Ataque","Ataque "&amp;IF(($NF33+2*IF(COUNTIF($MV33:$MY33,"Precisão")&gt;0,1,0))&gt;=0,"+","−")&amp;ABS(($NF33+2*IF(COUNTIF($MV33:$MY33,"Precisão")&gt;0,1,0))))&amp;IF($OB33&gt;0," · TR"&amp;IF($NG33="",""," CD "&amp;$NG33),""),IF(LEFT($QA33,2)="TR",$QA33&amp;IF($NG33="",""," · CD "&amp;$NG33)&amp;IF(COUNTIF($MV33:$MY33,"Certeiro")&gt;0," · metade",""),"Sem rolagem"))))</f>
        <v/>
      </c>
      <c r="QC33" s="155">
        <f>IF(OR($NB33=0,$NH33=0),"",IF($MQ33=0,IF(OR($OE33&gt;=1,$PB33=0),"Sem dano",$PB33&amp;"d6"&amp;IF($MT33="",""," "&amp;$MT33)),IF(OR($OE33&gt;=1,$PB33=0),UPPER(LEFT(INDEX($PK33:$PQ33,1,MAX(1,$MQ33)),1))&amp;MID(INDEX($PK33:$PQ33,1,MAX(1,$MQ33)),2,99),UPPER(LEFT(INDEX($PK33:$PQ33,1,MAX(1,$MQ33)),1))&amp;MID(INDEX($PK33:$PQ33,1,MAX(1,$MQ33)),2,99)&amp;IF($MT33="",""," "&amp;$MT33)&amp;IF($PC33&gt;0," · +"&amp;$PC33&amp;"d8",""))))</f>
        <v/>
      </c>
      <c r="QD33" s="155">
        <f>COUNTIF($MV33:$MY33,"Longe")+3*COUNTIF($MV33:$MY33,"Muito Longe")</f>
        <v/>
      </c>
      <c r="QE33" s="155">
        <f>COUNTIF($MV33:$MY33,"Maior")+3*COUNTIF($MV33:$MY33,"Muito Maior")</f>
        <v/>
      </c>
      <c r="QF33" s="155">
        <f>IF($NH33=0,0,CHOOSE(1+INDEX($AC$2:$AC$11,$NH33),0,$QD33,$QE33,$QD33+$QE33))</f>
        <v/>
      </c>
      <c r="QG33" s="155">
        <f>IF($NH33=0,0,CHOOSE(1+INDEX($AD$2:$AD$11,$NH33),0,$QD33,$QE33,$QD33+$QE33))</f>
        <v/>
      </c>
      <c r="QH33" s="155">
        <f>IF(OR($NB33=0,$NH33=0),"",INDEX($AI$2:$AN$41,($NH33-1)*4+IF($MQ33=0,1,IF($MQ33&lt;=5,2,IF($MQ33=6,3,4))),1+MIN(5,$QF33))&amp;INDEX($AO$2:$AT$41,($NH33-1)*4+IF($MQ33=0,1,IF($MQ33&lt;=5,2,IF($MQ33=6,3,4))),1+MIN(5,$QG33))&amp;IF(INDEX($AE$2:$AE$11,$NH33)=1,IF(COUNTIF($MV33:$MY33,"Mais Um")&gt;0," · +"&amp;COUNTIF($MV33:$MY33,"Mais Um")&amp;IF(COUNTIF($MV33:$MY33,"Mais Um")&gt;1," alvos"," alvo"),"")&amp;IF(COUNTIF($MV33:$MY33,"Rajada")&gt;0,IF($MQ33=0," · 1 tiro"," · "&amp;(MAX(1,$MQ33-1)+1)&amp;" tiros"),""),""))</f>
        <v/>
      </c>
      <c r="QI33" s="155">
        <f>IF($NB33=0,"",IF($MQ33=0,$NE33&amp;"d6"&amp;IF($OS33&gt;0," − 1 = "&amp;$PB33&amp;"d6"," da básica do nível "&amp;$NC33),$OZ33&amp;" − "&amp;$OU33&amp;" + "&amp;$OX33&amp;" = "&amp;$PA33&amp;" · teto "&amp;4*$MQ33&amp;"d8"&amp;IF($OD33=1," · a Forma devolve "&amp;$MQ33,"")&amp;IF($OY33&gt;0," · perde "&amp;$OY33,"")))</f>
        <v/>
      </c>
      <c r="QJ33" s="155">
        <f>IF($NB33=0,"",IF($MQ33=0,"A básica não amplia: os dados dela sobem com o nível",IF($MQ33&gt;=$ND33,"Já está na maior Classe que o nível liberou",TEXTJOIN(" · ",TRUE,IF(AND(2&gt;$MQ33,2&lt;=$ND33),"2 → "&amp;$PL33&amp;", 6 PE",""),IF(AND(3&gt;$MQ33,3&lt;=$ND33),"3 → "&amp;$PM33&amp;", 9 PE",""),IF(AND(4&gt;$MQ33,4&lt;=$ND33),"4 → "&amp;$PN33&amp;", 12 PE",""),IF(AND(5&gt;$MQ33,5&lt;=$ND33),"5 → "&amp;$PO33&amp;", 15 PE",""),IF(AND(6&gt;$MQ33,6&lt;=$ND33),"6 → "&amp;$PP33&amp;", 18 PE",""),IF(AND(7&gt;$MQ33,7&lt;=$ND33),"7 → "&amp;$PQ33&amp;", 21 PE","")))))</f>
        <v/>
      </c>
      <c r="QK33" s="155">
        <f>IF(OR($NB33=0,$NM33=0),"",IF($MQ33=0,"−1 dado","−"&amp;INDEX($I$2:$N$8,MAX(1,$MQ33),MAX(1,$NR33))&amp;" · "&amp;CHOOSE(MAX(1,$NR33),"Leve","Média","Pesada","Leve · Livre","Média · Livre","Pesada · Livre")))</f>
        <v/>
      </c>
      <c r="QL33" s="155">
        <f>IF(OR($NB33=0,$NN33=0),"",IF($MQ33=0,"−1 dado","−"&amp;INDEX($I$2:$N$8,MAX(1,$MQ33),MAX(1,$NS33))&amp;" · "&amp;CHOOSE(MAX(1,$NS33),"Leve","Média","Pesada","Leve · Livre","Média · Livre","Pesada · Livre")))</f>
        <v/>
      </c>
      <c r="QM33" s="155">
        <f>IF(OR($NB33=0,$NO33=0),"",IF($MQ33=0,"−1 dado","−"&amp;INDEX($I$2:$N$8,MAX(1,$MQ33),MAX(1,$NT33))&amp;" · "&amp;CHOOSE(MAX(1,$NT33),"Leve","Média","Pesada","Leve · Livre","Média · Livre","Pesada · Livre")))</f>
        <v/>
      </c>
      <c r="QN33" s="155">
        <f>IF(OR($NB33=0,$NP33=0),"",IF($MQ33=0,"−1 dado","−"&amp;INDEX($I$2:$N$8,MAX(1,$MQ33),MAX(1,$NU33))&amp;" · "&amp;CHOOSE(MAX(1,$NU33),"Leve","Média","Pesada","Leve · Livre","Média · Livre","Pesada · Livre")))</f>
        <v/>
      </c>
      <c r="QO33" s="155">
        <f>IF(OR($NB33=0,$MZ33=""),"",IF($MQ33=0,"não devolve","+"&amp;IF($OG33=1,CEILING($MQ33/2,1),$MQ33)))</f>
        <v/>
      </c>
      <c r="QP33" s="155">
        <f>IF(OR($NB33=0,$NA33=""),"",IF($MQ33=0,"não devolve","+"&amp;IF($OH33=1,CEILING($MQ33/2,1),$MQ33)))</f>
        <v/>
      </c>
    </row>
    <row r="34">
      <c r="AH34" s="153" t="inlineStr">
        <is>
          <t>Onda · classe 0</t>
        </is>
      </c>
      <c r="AI34" s="153" t="inlineStr">
        <is>
          <t>—</t>
        </is>
      </c>
      <c r="AJ34" s="153" t="inlineStr">
        <is>
          <t>—</t>
        </is>
      </c>
      <c r="AK34" s="153" t="inlineStr">
        <is>
          <t>—</t>
        </is>
      </c>
      <c r="AL34" s="153" t="inlineStr">
        <is>
          <t>—</t>
        </is>
      </c>
      <c r="AM34" s="153" t="inlineStr">
        <is>
          <t>—</t>
        </is>
      </c>
      <c r="AN34" s="153" t="inlineStr">
        <is>
          <t>—</t>
        </is>
      </c>
      <c r="AO34" s="153" t="inlineStr"/>
      <c r="AP34" s="153" t="inlineStr"/>
      <c r="AQ34" s="153" t="inlineStr"/>
      <c r="AR34" s="153" t="inlineStr"/>
      <c r="AS34" s="153" t="inlineStr"/>
      <c r="AT34" s="153" t="inlineStr"/>
      <c r="AV34" s="153" t="inlineStr">
        <is>
          <t>Cego</t>
        </is>
      </c>
      <c r="AW34" s="153" t="inlineStr">
        <is>
          <t>Controle</t>
        </is>
      </c>
      <c r="AX34" s="155" t="n">
        <v>3</v>
      </c>
      <c r="AY34" s="155" t="n">
        <v>1</v>
      </c>
      <c r="AZ34" s="155" t="n">
        <v>0</v>
      </c>
      <c r="BA34" s="155" t="n">
        <v>1</v>
      </c>
      <c r="JR34" s="155">
        <f>IF(OR($AW34="",COUNTIF($EJ$2:$EN$2,$AW34)&gt;0),$AV34,"")</f>
        <v/>
      </c>
      <c r="JS34" s="155">
        <f>IF(AND($AX34=1,OR($AW34="",COUNTIF($EJ$2:$EN$2,$AW34)&gt;0)),$AV34,"")</f>
        <v/>
      </c>
      <c r="JX34" s="155">
        <f>IF(OR($AW34="",COUNTIF($EJ$3:$EN$3,$AW34)&gt;0),$AV34,"")</f>
        <v/>
      </c>
      <c r="JY34" s="155">
        <f>IF(AND($AX34=1,OR($AW34="",COUNTIF($EJ$3:$EN$3,$AW34)&gt;0)),$AV34,"")</f>
        <v/>
      </c>
      <c r="KD34" s="155">
        <f>IF(OR($AW34="",COUNTIF($EJ$4:$EN$4,$AW34)&gt;0),$AV34,"")</f>
        <v/>
      </c>
      <c r="KE34" s="155">
        <f>IF(AND($AX34=1,OR($AW34="",COUNTIF($EJ$4:$EN$4,$AW34)&gt;0)),$AV34,"")</f>
        <v/>
      </c>
      <c r="KJ34" s="155">
        <f>IF(OR($AW34="",COUNTIF($EJ$5:$EN$5,$AW34)&gt;0),$AV34,"")</f>
        <v/>
      </c>
      <c r="KK34" s="155">
        <f>IF(AND($AX34=1,OR($AW34="",COUNTIF($EJ$5:$EN$5,$AW34)&gt;0)),$AV34,"")</f>
        <v/>
      </c>
      <c r="KP34" s="155">
        <f>IF(OR($AW34="",COUNTIF($EJ$6:$EN$6,$AW34)&gt;0),$AV34,"")</f>
        <v/>
      </c>
      <c r="KQ34" s="155">
        <f>IF(AND($AX34=1,OR($AW34="",COUNTIF($EJ$6:$EN$6,$AW34)&gt;0)),$AV34,"")</f>
        <v/>
      </c>
      <c r="KV34" s="155">
        <f>IF(OR($AW34="",COUNTIF($EJ$7:$EN$7,$AW34)&gt;0),$AV34,"")</f>
        <v/>
      </c>
      <c r="KW34" s="155">
        <f>IF(AND($AX34=1,OR($AW34="",COUNTIF($EJ$7:$EN$7,$AW34)&gt;0)),$AV34,"")</f>
        <v/>
      </c>
      <c r="LB34" s="155">
        <f>IF(OR($AW34="",COUNTIF($EJ$8:$EN$8,$AW34)&gt;0),$AV34,"")</f>
        <v/>
      </c>
      <c r="LC34" s="155">
        <f>IF(AND($AX34=1,OR($AW34="",COUNTIF($EJ$8:$EN$8,$AW34)&gt;0)),$AV34,"")</f>
        <v/>
      </c>
      <c r="LH34" s="155">
        <f>IF(OR($AW34="",COUNTIF($EJ$9:$EN$9,$AW34)&gt;0),$AV34,"")</f>
        <v/>
      </c>
      <c r="LI34" s="155">
        <f>IF(AND($AX34=1,OR($AW34="",COUNTIF($EJ$9:$EN$9,$AW34)&gt;0)),$AV34,"")</f>
        <v/>
      </c>
      <c r="LN34" s="155">
        <f>IF(OR($AW34="",COUNTIF($EJ$10:$EN$10,$AW34)&gt;0),$AV34,"")</f>
        <v/>
      </c>
      <c r="LO34" s="155">
        <f>IF(AND($AX34=1,OR($AW34="",COUNTIF($EJ$10:$EN$10,$AW34)&gt;0)),$AV34,"")</f>
        <v/>
      </c>
      <c r="LT34" s="155">
        <f>IF(OR($AW34="",COUNTIF($EJ$11:$EN$11,$AW34)&gt;0),$AV34,"")</f>
        <v/>
      </c>
      <c r="LU34" s="155">
        <f>IF(AND($AX34=1,OR($AW34="",COUNTIF($EJ$11:$EN$11,$AW34)&gt;0)),$AV34,"")</f>
        <v/>
      </c>
      <c r="LZ34" s="155">
        <f>IF(OR($AW34="",COUNTIF($EJ$12:$EN$12,$AW34)&gt;0),$AV34,"")</f>
        <v/>
      </c>
      <c r="MA34" s="155">
        <f>IF(AND($AX34=1,OR($AW34="",COUNTIF($EJ$12:$EN$12,$AW34)&gt;0)),$AV34,"")</f>
        <v/>
      </c>
      <c r="MF34" s="155">
        <f>IF(OR($AW34="",COUNTIF($EJ$13:$EN$13,$AW34)&gt;0),$AV34,"")</f>
        <v/>
      </c>
      <c r="MG34" s="155">
        <f>IF(AND($AX34=1,OR($AW34="",COUNTIF($EJ$13:$EN$13,$AW34)&gt;0)),$AV34,"")</f>
        <v/>
      </c>
      <c r="ML34" s="153" t="inlineStr">
        <is>
          <t>Ficha 3 · Especial 5</t>
        </is>
      </c>
      <c r="MM34" s="155" t="n">
        <v>3</v>
      </c>
      <c r="MN34" s="155" t="n">
        <v>1</v>
      </c>
      <c r="MO34" s="155" t="n">
        <v>16</v>
      </c>
      <c r="MP34" s="153" t="inlineStr">
        <is>
          <t>ESPECIAL 5</t>
        </is>
      </c>
      <c r="MQ34" s="155">
        <f>MAX(1,MIN(7,N('INVOCAÇÕES'!$I$510)))</f>
        <v/>
      </c>
      <c r="MR34" s="155">
        <f>'INVOCAÇÕES'!$J$510&amp;""</f>
        <v/>
      </c>
      <c r="MS34" s="155">
        <f>'INVOCAÇÕES'!$I$515&amp;""</f>
        <v/>
      </c>
      <c r="MT34" s="155">
        <f>'INVOCAÇÕES'!$I$516&amp;""</f>
        <v/>
      </c>
      <c r="MU34" s="155">
        <f>'INVOCAÇÕES'!$K$516&amp;""</f>
        <v/>
      </c>
      <c r="MV34" s="155">
        <f>'INVOCAÇÕES'!$J$519&amp;""</f>
        <v/>
      </c>
      <c r="MW34" s="155">
        <f>'INVOCAÇÕES'!$J$520&amp;""</f>
        <v/>
      </c>
      <c r="MX34" s="155">
        <f>'INVOCAÇÕES'!$J$521&amp;""</f>
        <v/>
      </c>
      <c r="MY34" s="155">
        <f>'INVOCAÇÕES'!$J$522&amp;""</f>
        <v/>
      </c>
      <c r="MZ34" s="155">
        <f>'INVOCAÇÕES'!$J$523&amp;""</f>
        <v/>
      </c>
      <c r="NA34" s="155">
        <f>'INVOCAÇÕES'!$J$524&amp;""</f>
        <v/>
      </c>
      <c r="NB34" s="155">
        <f>IF($MR34&lt;&gt;"",1,0)</f>
        <v/>
      </c>
      <c r="NC34" s="155">
        <f>INDEX($FM$2:$FM$13,$MM34)</f>
        <v/>
      </c>
      <c r="ND34" s="155">
        <f>INDEX($FN$2:$FN$13,$MM34)</f>
        <v/>
      </c>
      <c r="NE34" s="155">
        <f>INDEX($FO$2:$FO$13,$MM34)</f>
        <v/>
      </c>
      <c r="NF34" s="155">
        <f>INDEX($FZ$2:$FZ$13,$MM34)</f>
        <v/>
      </c>
      <c r="NG34" s="155">
        <f>INDEX($GA$2:$GA$13,$MM34)</f>
        <v/>
      </c>
      <c r="NH34" s="155">
        <f>IFERROR(MATCH($MS34,$V$2:$V$11,0),0)</f>
        <v/>
      </c>
      <c r="NI34" s="155">
        <f>IFERROR(VLOOKUP($MV34,$AV$2:$BA$84,2,FALSE),"")</f>
        <v/>
      </c>
      <c r="NJ34" s="155">
        <f>IFERROR(VLOOKUP($MW34,$AV$2:$BA$84,2,FALSE),"")</f>
        <v/>
      </c>
      <c r="NK34" s="155">
        <f>IFERROR(VLOOKUP($MX34,$AV$2:$BA$84,2,FALSE),"")</f>
        <v/>
      </c>
      <c r="NL34" s="155">
        <f>IFERROR(VLOOKUP($MY34,$AV$2:$BA$84,2,FALSE),"")</f>
        <v/>
      </c>
      <c r="NM34" s="155">
        <f>IFERROR(VLOOKUP($MV34,$AV$2:$BA$84,3,FALSE),0)</f>
        <v/>
      </c>
      <c r="NN34" s="155">
        <f>IFERROR(VLOOKUP($MW34,$AV$2:$BA$84,3,FALSE),0)</f>
        <v/>
      </c>
      <c r="NO34" s="155">
        <f>IFERROR(VLOOKUP($MX34,$AV$2:$BA$84,3,FALSE),0)</f>
        <v/>
      </c>
      <c r="NP34" s="155">
        <f>IFERROR(VLOOKUP($MY34,$AV$2:$BA$84,3,FALSE),0)</f>
        <v/>
      </c>
      <c r="NQ34" s="155">
        <f>IF($MQ34=0,0,IF($NH34=0,0,INDEX($X$2:$X$11,$NH34)))</f>
        <v/>
      </c>
      <c r="NR34" s="155">
        <f>IF(OR($NM34=0,$MQ34=0),0,$NM34+3*IF(AND($NI34&lt;&gt;"",OR($NI34=INDEX($EJ$2:$EJ$13,$MM34),$NI34=INDEX($EK$2:$EK$13,$MM34))),1,0))</f>
        <v/>
      </c>
      <c r="NS34" s="155">
        <f>IF(OR($NN34=0,$MQ34=0),0,$NN34+3*IF(AND($NJ34&lt;&gt;"",OR($NJ34=INDEX($EJ$2:$EJ$13,$MM34),$NJ34=INDEX($EK$2:$EK$13,$MM34))),1,0))</f>
        <v/>
      </c>
      <c r="NT34" s="155">
        <f>IF(OR($NO34=0,$MQ34=0),0,$NO34+3*IF(AND($NK34&lt;&gt;"",OR($NK34=INDEX($EJ$2:$EJ$13,$MM34),$NK34=INDEX($EK$2:$EK$13,$MM34))),1,0))</f>
        <v/>
      </c>
      <c r="NU34" s="155">
        <f>IF(OR($NP34=0,$MQ34=0),0,$NP34+3*IF(AND($NL34&lt;&gt;"",OR($NL34=INDEX($EJ$2:$EJ$13,$MM34),$NL34=INDEX($EK$2:$EK$13,$MM34))),1,0))</f>
        <v/>
      </c>
      <c r="NV34" s="155">
        <f>IF($NH34=0,0,IF(INDEX($W$2:$W$11,$NH34)="",0,IF(COUNTIF(INDEX($EJ$2:$EN$13,$MM34,0),INDEX($W$2:$W$11,$NH34))=0,1,0)))</f>
        <v/>
      </c>
      <c r="NW34" s="155">
        <f>IF(OR($NM34=0,$NI34=""),0,IF(COUNTIF(INDEX($EJ$2:$EN$13,$MM34,0),$NI34)=0,1,0))</f>
        <v/>
      </c>
      <c r="NX34" s="155">
        <f>IF(OR($NN34=0,$NJ34=""),0,IF(COUNTIF(INDEX($EJ$2:$EN$13,$MM34,0),$NJ34)=0,1,0))</f>
        <v/>
      </c>
      <c r="NY34" s="155">
        <f>IF(OR($NO34=0,$NK34=""),0,IF(COUNTIF(INDEX($EJ$2:$EN$13,$MM34,0),$NK34)=0,1,0))</f>
        <v/>
      </c>
      <c r="NZ34" s="155">
        <f>IF(OR($NP34=0,$NL34=""),0,IF(COUNTIF(INDEX($EJ$2:$EN$13,$MM34,0),$NL34)=0,1,0))</f>
        <v/>
      </c>
      <c r="OA34" s="155">
        <f>IFERROR(VLOOKUP($MV34,$AV$2:$BA$84,4,FALSE),0)+IFERROR(VLOOKUP($MW34,$AV$2:$BA$84,4,FALSE),0)+IFERROR(VLOOKUP($MX34,$AV$2:$BA$84,4,FALSE),0)+IFERROR(VLOOKUP($MY34,$AV$2:$BA$84,4,FALSE),0)</f>
        <v/>
      </c>
      <c r="OB34" s="155">
        <f>IFERROR(VLOOKUP($MV34,$AV$2:$BA$84,6,FALSE),0)+IFERROR(VLOOKUP($MW34,$AV$2:$BA$84,6,FALSE),0)+IFERROR(VLOOKUP($MX34,$AV$2:$BA$84,6,FALSE),0)+IFERROR(VLOOKUP($MY34,$AV$2:$BA$84,6,FALSE),0)</f>
        <v/>
      </c>
      <c r="OC34" s="155">
        <f>TEXTJOIN(", ",TRUE,IF(IFERROR(VLOOKUP($MV34,$AV$2:$BA$84,5,FALSE),0)=1,$MV34,""),IF(IFERROR(VLOOKUP($MW34,$AV$2:$BA$84,5,FALSE),0)=1,$MW34,""),IF(IFERROR(VLOOKUP($MX34,$AV$2:$BA$84,5,FALSE),0)=1,$MX34,""),IF(IFERROR(VLOOKUP($MY34,$AV$2:$BA$84,5,FALSE),0)=1,$MY34,""))</f>
        <v/>
      </c>
      <c r="OD34" s="155">
        <f>IF($NH34=0,0,INDEX($Y$2:$Y$11,$NH34))</f>
        <v/>
      </c>
      <c r="OE34" s="155">
        <f>IF($NH34=0,0,INDEX($Z$2:$Z$11,$NH34))</f>
        <v/>
      </c>
      <c r="OF34" s="155">
        <f>IF($NH34=0,0,INDEX($AB$2:$AB$11,$NH34))</f>
        <v/>
      </c>
      <c r="OG34" s="155">
        <f>IFERROR(VLOOKUP($MZ34,$BC$2:$BG$24,3,FALSE),0)</f>
        <v/>
      </c>
      <c r="OH34" s="155">
        <f>IFERROR(VLOOKUP($NA34,$BC$2:$BG$24,3,FALSE),0)</f>
        <v/>
      </c>
      <c r="OI34" s="155">
        <f>IFERROR(VLOOKUP($MZ34,$BC$2:$BG$24,2,FALSE),"")</f>
        <v/>
      </c>
      <c r="OJ34" s="155">
        <f>IFERROR(VLOOKUP($NA34,$BC$2:$BG$24,2,FALSE),"")</f>
        <v/>
      </c>
      <c r="OK34" s="155">
        <f>COUNTIF($NQ34:$NU34,1)</f>
        <v/>
      </c>
      <c r="OL34" s="155">
        <f>COUNTIF($NQ34:$NU34,2)</f>
        <v/>
      </c>
      <c r="OM34" s="155">
        <f>COUNTIF($NQ34:$NU34,3)</f>
        <v/>
      </c>
      <c r="ON34" s="155">
        <f>COUNTIF($NQ34:$NU34,4)</f>
        <v/>
      </c>
      <c r="OO34" s="155">
        <f>COUNTIF($NQ34:$NU34,5)</f>
        <v/>
      </c>
      <c r="OP34" s="155">
        <f>COUNTIF($NQ34:$NU34,6)</f>
        <v/>
      </c>
      <c r="OQ34" s="155">
        <f>COUNTIF($OG34:$OH34,1)</f>
        <v/>
      </c>
      <c r="OR34" s="155">
        <f>COUNTIF($OG34:$OH34,2)+$OD34</f>
        <v/>
      </c>
      <c r="OS34" s="155">
        <f>COUNTIF($MV34:$MY34,"?*")</f>
        <v/>
      </c>
      <c r="OT34" s="155">
        <f>COUNTIF($MZ34:$NA34,"?*")+$OD34</f>
        <v/>
      </c>
      <c r="OU34" s="155">
        <f>IF($MQ34=0,0,SUMPRODUCT($OK34:$OP34,INDEX($I$2:$N$8,MAX(1,$MQ34),0)))</f>
        <v/>
      </c>
      <c r="OV34" s="155">
        <f>IF($MQ34=0,0,$OQ34*CEILING($MQ34/2,1)+$OR34*$MQ34)</f>
        <v/>
      </c>
      <c r="OW34" s="155">
        <f>MIN(2*$MQ34,$OV34)</f>
        <v/>
      </c>
      <c r="OX34" s="155">
        <f>MIN($OW34,$OU34)</f>
        <v/>
      </c>
      <c r="OY34" s="155">
        <f>$OW34-$OX34</f>
        <v/>
      </c>
      <c r="OZ34" s="155">
        <f>IF($MQ34=0,0,INDEX($P$2:$P$8,MAX(1,$MQ34)))</f>
        <v/>
      </c>
      <c r="PA34" s="155">
        <f>$OZ34-$OU34+$OX34</f>
        <v/>
      </c>
      <c r="PB34" s="155">
        <f>IF($MQ34=0,MAX(0,$NE34-IF($OS34&gt;0,1,0)),MAX(0,$PA34))</f>
        <v/>
      </c>
      <c r="PC34" s="155">
        <f>IF($MQ34=0,0,(IF(COUNTIF($MV34:$MY34,"Salto")&gt;0,1,0)+IF(COUNTIF($MV34:$MY34,"Queima")&gt;0,1,0)+IF(COUNTIF($MV34:$MY34,"Estilhaço")&gt;0,1,0))*FLOOR($PB34/2,1))</f>
        <v/>
      </c>
      <c r="PD34" s="155">
        <f>MAX(0,2-SUMPRODUCT($OK34:$OP34,$I$2:$N$2)+MIN(2,$OQ34*1+$OR34*1,SUMPRODUCT($OK34:$OP34,$I$2:$N$2)))</f>
        <v/>
      </c>
      <c r="PE34" s="155">
        <f>MAX(0,4-SUMPRODUCT($OK34:$OP34,$I$3:$N$3)+MIN(4,$OQ34*1+$OR34*2,SUMPRODUCT($OK34:$OP34,$I$3:$N$3)))</f>
        <v/>
      </c>
      <c r="PF34" s="155">
        <f>MAX(0,6-SUMPRODUCT($OK34:$OP34,$I$4:$N$4)+MIN(6,$OQ34*2+$OR34*3,SUMPRODUCT($OK34:$OP34,$I$4:$N$4)))</f>
        <v/>
      </c>
      <c r="PG34" s="155">
        <f>MAX(0,9-SUMPRODUCT($OK34:$OP34,$I$5:$N$5)+MIN(8,$OQ34*2+$OR34*4,SUMPRODUCT($OK34:$OP34,$I$5:$N$5)))</f>
        <v/>
      </c>
      <c r="PH34" s="155">
        <f>MAX(0,11-SUMPRODUCT($OK34:$OP34,$I$6:$N$6)+MIN(10,$OQ34*3+$OR34*5,SUMPRODUCT($OK34:$OP34,$I$6:$N$6)))</f>
        <v/>
      </c>
      <c r="PI34" s="155">
        <f>MAX(0,13-SUMPRODUCT($OK34:$OP34,$I$7:$N$7)+MIN(12,$OQ34*3+$OR34*6,SUMPRODUCT($OK34:$OP34,$I$7:$N$7)))</f>
        <v/>
      </c>
      <c r="PJ34" s="155">
        <f>MAX(0,16-SUMPRODUCT($OK34:$OP34,$I$8:$N$8)+MIN(14,$OQ34*4+$OR34*7,SUMPRODUCT($OK34:$OP34,$I$8:$N$8)))</f>
        <v/>
      </c>
      <c r="PK34" s="155">
        <f>IF($OE34=2,3*$PD34&amp;" de vida temp.",IF($OE34=3,"sem dano",IF($PD34=0,IF($OE34=1,"sem cura","sem dano"),IF($OE34=1,"cura ","")&amp;$PD34&amp;"d8")))</f>
        <v/>
      </c>
      <c r="PL34" s="155">
        <f>IF($OE34=2,3*$PE34&amp;" de vida temp.",IF($OE34=3,"sem dano",IF($PE34=0,IF($OE34=1,"sem cura","sem dano"),IF($OE34=1,"cura ","")&amp;$PE34&amp;"d8")))</f>
        <v/>
      </c>
      <c r="PM34" s="155">
        <f>IF($OE34=2,3*$PF34&amp;" de vida temp.",IF($OE34=3,"sem dano",IF($PF34=0,IF($OE34=1,"sem cura","sem dano"),IF($OE34=1,"cura ","")&amp;$PF34&amp;"d8")))</f>
        <v/>
      </c>
      <c r="PN34" s="155">
        <f>IF($OE34=2,3*$PG34&amp;" de vida temp.",IF($OE34=3,"sem dano",IF($PG34=0,IF($OE34=1,"sem cura","sem dano"),IF($OE34=1,"cura ","")&amp;$PG34&amp;"d8")))</f>
        <v/>
      </c>
      <c r="PO34" s="155">
        <f>IF($OE34=2,3*$PH34&amp;" de vida temp.",IF($OE34=3,"sem dano",IF($PH34=0,IF($OE34=1,"sem cura","sem dano"),IF($OE34=1,"cura ","")&amp;$PH34&amp;"d8")))</f>
        <v/>
      </c>
      <c r="PP34" s="155">
        <f>IF($OE34=2,3*$PI34&amp;" de vida temp.",IF($OE34=3,"sem dano",IF($PI34=0,IF($OE34=1,"sem cura","sem dano"),IF($OE34=1,"cura ","")&amp;$PI34&amp;"d8")))</f>
        <v/>
      </c>
      <c r="PQ34" s="155">
        <f>IF($OE34=2,3*$PJ34&amp;" de vida temp.",IF($OE34=3,"sem dano",IF($PJ34=0,IF($OE34=1,"sem cura","sem dano"),IF($OE34=1,"cura ","")&amp;$PJ34&amp;"d8")))</f>
        <v/>
      </c>
      <c r="PR34" s="155">
        <f>IF($NB34=0,"",TEXTJOIN(" · ",TRUE,IF($MO34&gt;$NC34,"Este lugar abre no nível "&amp;$MO34,""),IF($MQ34&gt;$ND34,"Classe "&amp;$MQ34&amp;": o nível "&amp;$NC34&amp;" libera até a "&amp;$ND34,""),IF($NV34=1,"A Forma "&amp;$MS34&amp;" pede "&amp;INDEX($W$2:$W$11,$NH34)&amp;" aberta",""),IF(AND($MQ34=0,$NH34&gt;0,IF($NH34=0,0,INDEX($AF$2:$AF$11,$NH34))=0),$MS34&amp;" não existe na Classe 0",""),IF($NW34=1,"Família Fechada: "&amp;$MV34,""),IF($NX34=1,"Família Fechada: "&amp;$MW34,""),IF($NY34=1,"Família Fechada: "&amp;$MX34,""),IF($NZ34=1,"Família Fechada: "&amp;$MY34,""),IF(AND($MQ34&gt;0,$OS34&gt;INDEX($O$2:$O$8,MAX(1,$MQ34))),$OS34&amp;" Melhorias: a Classe "&amp;$MQ34&amp;" aceita "&amp;INDEX($O$2:$O$8,MAX(1,$MQ34)),""),IF(AND($MQ34=0,$OS34&gt;1),"A básica aceita uma Melhoria",""),IF(AND($MQ34=0,COUNTIF($NM34:$NP34,"&gt;1")&gt;0),"A básica só aceita Melhoria Leve",""),IF(AND($MQ34&gt;0,$OT34&gt;2),$OT34&amp;" Restrições"&amp;IF($OD34=1,", contando a que a Forma "&amp;$MS34&amp;" já traz","")&amp;": o limite é 2",""),IF(AND($MQ34=0,COUNTIF($MZ34:$NA34,"?*")&gt;1),"A básica aceita uma Restrição Leve",""),IF(AND($MQ34=0,COUNTIF($OG34:$OH34,2)&gt;0),"A básica só aceita Restrição Leve",""),IF(AND($MQ34&gt;0,$PA34&lt;0),"Orçamento estourado: faltam "&amp;(-$PA34)&amp;IF($PA34&lt;-1," pontos"," ponto"),""),IF(IFERROR(VLOOKUP($MZ34,$BC$2:$BG$24,4,FALSE),0)+IFERROR(VLOOKUP($NA34,$BC$2:$BG$24,4,FALSE),0)&gt;1,$OI34&amp;" e "&amp;$OJ34&amp;" são as duas de frequência",""),IF(AND((COUNTIF($MV34:$MY34,"Rápido")+COUNTIF($OI34:$OJ34,"Rápido"))&gt;0,(COUNTIF($MV34:$MY34,"Atrasar")+COUNTIF($OI34:$OJ34,"Atrasar"))&gt;0),"Rápido não entra com Atrasar",""),IF(AND((COUNTIF($MV34:$MY34,"Reação")+COUNTIF($OI34:$OJ34,"Reação"))&gt;0,(COUNTIF($MV34:$MY34,"Rápido")+COUNTIF($OI34:$OJ34,"Rápido"))&gt;0),"Reação não entra com Rápido",""),IF(AND((COUNTIF($MV34:$MY34,"Reação")+COUNTIF($OI34:$OJ34,"Reação"))&gt;0,(COUNTIF($MV34:$MY34,"Armado")+COUNTIF($OI34:$OJ34,"Armado"))&gt;0),"Reação não entra com Armado",""),IF(AND((COUNTIF($MV34:$MY34,"Reação")+COUNTIF($OI34:$OJ34,"Reação"))&gt;0,(COUNTIF($MV34:$MY34,"Atrasar")+COUNTIF($OI34:$OJ34,"Atrasar"))&gt;0),"Reação não entra com Atrasar",""),IF(AND((COUNTIF($MV34:$MY34,"Reação")+COUNTIF($OI34:$OJ34,"Reação"))&gt;0,(COUNTIF($MV34:$MY34,"Parado")+COUNTIF($OI34:$OJ34,"Parado"))&gt;0),"Reação não entra com Parado",""),IF(AND((COUNTIF($MV34:$MY34,"Atrasar")+COUNTIF($OI34:$OJ34,"Atrasar"))&gt;0,(COUNTIF($MV34:$MY34,"Parado")+COUNTIF($OI34:$OJ34,"Parado"))&gt;0),"Atrasar não entra com Parado",""),IF(AND((COUNTIF($MV34:$MY34,"Armado")+COUNTIF($OI34:$OJ34,"Armado"))&gt;0,(COUNTIF($MV34:$MY34,"Carregar")+COUNTIF($OI34:$OJ34,"Carregar"))&gt;0),"Armado não entra com Carregar",""),IF(AND(COUNTIF($OI34:$OJ34,"Corpo a Corpo")&gt;0,$OD34=0,OR($MS34="Cone",$MS34="Linha")),"Corpo a Corpo não entra em "&amp;$MS34,""),IF(AND(COUNTIF($OI34:$OJ34,"Corpo a Corpo")&gt;0,$OD34=1),"A Forma "&amp;$MS34&amp;" já traz o Corpo a Corpo",""),IF(AND(COUNTIF($OI34:$OJ34,"Tudo ou Nada")&gt;0,$OF34=0),"Tudo ou Nada só entra em habilidade de Teste de Resistência",""),IF(AND(COUNTIF($MV34:$MY34,"Inescapável")&gt;0,OR($OS34&gt;1,$OT34&gt;0)),"Inescapável não aceita outra peça",""),IF(AND($MQ34&gt;0,$PB34*IF(COUNTIF($MV34:$MY34,"Remate")&gt;0,1.25,1)+$PC34&gt;4*$MQ34),($PB34*IF(COUNTIF($MV34:$MY34,"Remate")&gt;0,1.25,1)+$PC34)&amp;" dados somando repetições"&amp;IF(COUNTIF($MV34:$MY34,"Remate")&gt;0," e o Remate","")&amp;": o teto da Classe "&amp;$MQ34&amp;" é "&amp;4*$MQ34,"")))</f>
        <v/>
      </c>
      <c r="PS34" s="155">
        <f>IF($PR34="",0,(LEN($PR34)-LEN(SUBSTITUTE($PR34," · ","")))/3+1)</f>
        <v/>
      </c>
      <c r="PT34" s="155">
        <f>IF($NB34=0,"",TEXTJOIN(" · ",TRUE,IF($OV34&gt;2*$MQ34,"A devolução parou no teto de "&amp;2*$MQ34,""),IF($OY34&gt;0,"Devolução perdida: "&amp;$OY34&amp;IF($OY34&gt;1," pontos"," ponto")&amp;" sem peça para pagar",""),IF(AND($OA34&gt;0,AND($MQ34&gt;0,$OE34=0),$PB34=0),"Controle sem dano: uma rodada a mais e CD +2",""),IF(AND($OA34&gt;0,AND($MQ34&gt;0,$OE34=0),$PB34&gt;0,$PB34&lt;=$MQ34),"Controle com saldo até a Classe: uma rodada a mais",""),IF(AND($MQ34&gt;0,$OC34&lt;&gt;""),"Efeito de "&amp;$OC34&amp;" pela Classe "&amp;MAX(1,$MQ34-1),"")))</f>
        <v/>
      </c>
      <c r="PU34" s="155">
        <f>IF($PT34="",0,(LEN($PT34)-LEN(SUBSTITUTE($PT34," · ","")))/3+1)</f>
        <v/>
      </c>
      <c r="PV34" s="155">
        <f>IF($NB34=0,IF($OS34+COUNTIF($MZ34:$NA34,"?*")&gt;0,"Dê um nome",""),IF($PS34&gt;0,"⚠ "&amp;$PS34&amp;IF($PS34&gt;1," erros"," erro"),IF($PU34&gt;0,"! "&amp;$PU34&amp;IF($PU34&gt;1," avisos"," aviso"),"Na regra")))</f>
        <v/>
      </c>
      <c r="PW34" s="155">
        <f>IF($NB34=0,"",IF($PS34+$PU34=0,"Dentro das regras que a ficha confere",$PR34&amp;IF(AND($PS34&gt;0,$PU34&gt;0)," · ","")&amp;$PT34))</f>
        <v/>
      </c>
      <c r="PX34" s="155">
        <f>IF($MO34&gt;$NC34,$MP34&amp;" · ABRE NO NÍVEL "&amp;$MO34,$MP34)</f>
        <v/>
      </c>
      <c r="PY34" s="155">
        <f>IF($NB34=0,"",IF($MQ34=0,"Sem PE",3*$MQ34&amp;" PE"))</f>
        <v/>
      </c>
      <c r="PZ34" s="155">
        <f>IF($NB34=0,"",IF($MQ34=0,"A atuação básica dela",IF(COUNTIF($OI34:$OJ34,"Atrasar")&gt;0,"Sua Ação Completa",IF(COUNTIF($MV34:$MY34,"Rápido")&gt;0,"Sua Bônus",IF(COUNTIF($MV34:$MY34,"Reação")&gt;0,"Sua Reação","Sua Padrão")))&amp;" + a básica dela"&amp;IF(COUNTIF($MV34:$MY34,"Reação")&gt;0," e a coletiva","")&amp;IF(COUNTIF($OI34:$OJ34,"Carregar")&gt;0," · em dois turnos","")))</f>
        <v/>
      </c>
      <c r="QA34" s="155">
        <f>IF($MU34&lt;&gt;"",$MU34,IF($NH34=0,"",INDEX($AA$2:$AA$11,$NH34)))</f>
        <v/>
      </c>
      <c r="QB34" s="155">
        <f>IF(OR($NB34=0,$NH34=0),"",IF(COUNTIF($MV34:$MY34,"Inescapável")&gt;0,"Automático",IF($QA34="Ataque",IF($NF34="","Ataque","Ataque "&amp;IF(($NF34+2*IF(COUNTIF($MV34:$MY34,"Precisão")&gt;0,1,0))&gt;=0,"+","−")&amp;ABS(($NF34+2*IF(COUNTIF($MV34:$MY34,"Precisão")&gt;0,1,0))))&amp;IF($OB34&gt;0," · TR"&amp;IF($NG34="",""," CD "&amp;$NG34),""),IF(LEFT($QA34,2)="TR",$QA34&amp;IF($NG34="",""," · CD "&amp;$NG34)&amp;IF(COUNTIF($MV34:$MY34,"Certeiro")&gt;0," · metade",""),"Sem rolagem"))))</f>
        <v/>
      </c>
      <c r="QC34" s="155">
        <f>IF(OR($NB34=0,$NH34=0),"",IF($MQ34=0,IF(OR($OE34&gt;=1,$PB34=0),"Sem dano",$PB34&amp;"d6"&amp;IF($MT34="",""," "&amp;$MT34)),IF(OR($OE34&gt;=1,$PB34=0),UPPER(LEFT(INDEX($PK34:$PQ34,1,MAX(1,$MQ34)),1))&amp;MID(INDEX($PK34:$PQ34,1,MAX(1,$MQ34)),2,99),UPPER(LEFT(INDEX($PK34:$PQ34,1,MAX(1,$MQ34)),1))&amp;MID(INDEX($PK34:$PQ34,1,MAX(1,$MQ34)),2,99)&amp;IF($MT34="",""," "&amp;$MT34)&amp;IF($PC34&gt;0," · +"&amp;$PC34&amp;"d8",""))))</f>
        <v/>
      </c>
      <c r="QD34" s="155">
        <f>COUNTIF($MV34:$MY34,"Longe")+3*COUNTIF($MV34:$MY34,"Muito Longe")</f>
        <v/>
      </c>
      <c r="QE34" s="155">
        <f>COUNTIF($MV34:$MY34,"Maior")+3*COUNTIF($MV34:$MY34,"Muito Maior")</f>
        <v/>
      </c>
      <c r="QF34" s="155">
        <f>IF($NH34=0,0,CHOOSE(1+INDEX($AC$2:$AC$11,$NH34),0,$QD34,$QE34,$QD34+$QE34))</f>
        <v/>
      </c>
      <c r="QG34" s="155">
        <f>IF($NH34=0,0,CHOOSE(1+INDEX($AD$2:$AD$11,$NH34),0,$QD34,$QE34,$QD34+$QE34))</f>
        <v/>
      </c>
      <c r="QH34" s="155">
        <f>IF(OR($NB34=0,$NH34=0),"",INDEX($AI$2:$AN$41,($NH34-1)*4+IF($MQ34=0,1,IF($MQ34&lt;=5,2,IF($MQ34=6,3,4))),1+MIN(5,$QF34))&amp;INDEX($AO$2:$AT$41,($NH34-1)*4+IF($MQ34=0,1,IF($MQ34&lt;=5,2,IF($MQ34=6,3,4))),1+MIN(5,$QG34))&amp;IF(INDEX($AE$2:$AE$11,$NH34)=1,IF(COUNTIF($MV34:$MY34,"Mais Um")&gt;0," · +"&amp;COUNTIF($MV34:$MY34,"Mais Um")&amp;IF(COUNTIF($MV34:$MY34,"Mais Um")&gt;1," alvos"," alvo"),"")&amp;IF(COUNTIF($MV34:$MY34,"Rajada")&gt;0,IF($MQ34=0," · 1 tiro"," · "&amp;(MAX(1,$MQ34-1)+1)&amp;" tiros"),""),""))</f>
        <v/>
      </c>
      <c r="QI34" s="155">
        <f>IF($NB34=0,"",IF($MQ34=0,$NE34&amp;"d6"&amp;IF($OS34&gt;0," − 1 = "&amp;$PB34&amp;"d6"," da básica do nível "&amp;$NC34),$OZ34&amp;" − "&amp;$OU34&amp;" + "&amp;$OX34&amp;" = "&amp;$PA34&amp;" · teto "&amp;4*$MQ34&amp;"d8"&amp;IF($OD34=1," · a Forma devolve "&amp;$MQ34,"")&amp;IF($OY34&gt;0," · perde "&amp;$OY34,"")))</f>
        <v/>
      </c>
      <c r="QJ34" s="155">
        <f>IF($NB34=0,"",IF($MQ34=0,"A básica não amplia: os dados dela sobem com o nível",IF($MQ34&gt;=$ND34,"Já está na maior Classe que o nível liberou",TEXTJOIN(" · ",TRUE,IF(AND(2&gt;$MQ34,2&lt;=$ND34),"2 → "&amp;$PL34&amp;", 6 PE",""),IF(AND(3&gt;$MQ34,3&lt;=$ND34),"3 → "&amp;$PM34&amp;", 9 PE",""),IF(AND(4&gt;$MQ34,4&lt;=$ND34),"4 → "&amp;$PN34&amp;", 12 PE",""),IF(AND(5&gt;$MQ34,5&lt;=$ND34),"5 → "&amp;$PO34&amp;", 15 PE",""),IF(AND(6&gt;$MQ34,6&lt;=$ND34),"6 → "&amp;$PP34&amp;", 18 PE",""),IF(AND(7&gt;$MQ34,7&lt;=$ND34),"7 → "&amp;$PQ34&amp;", 21 PE","")))))</f>
        <v/>
      </c>
      <c r="QK34" s="155">
        <f>IF(OR($NB34=0,$NM34=0),"",IF($MQ34=0,"−1 dado","−"&amp;INDEX($I$2:$N$8,MAX(1,$MQ34),MAX(1,$NR34))&amp;" · "&amp;CHOOSE(MAX(1,$NR34),"Leve","Média","Pesada","Leve · Livre","Média · Livre","Pesada · Livre")))</f>
        <v/>
      </c>
      <c r="QL34" s="155">
        <f>IF(OR($NB34=0,$NN34=0),"",IF($MQ34=0,"−1 dado","−"&amp;INDEX($I$2:$N$8,MAX(1,$MQ34),MAX(1,$NS34))&amp;" · "&amp;CHOOSE(MAX(1,$NS34),"Leve","Média","Pesada","Leve · Livre","Média · Livre","Pesada · Livre")))</f>
        <v/>
      </c>
      <c r="QM34" s="155">
        <f>IF(OR($NB34=0,$NO34=0),"",IF($MQ34=0,"−1 dado","−"&amp;INDEX($I$2:$N$8,MAX(1,$MQ34),MAX(1,$NT34))&amp;" · "&amp;CHOOSE(MAX(1,$NT34),"Leve","Média","Pesada","Leve · Livre","Média · Livre","Pesada · Livre")))</f>
        <v/>
      </c>
      <c r="QN34" s="155">
        <f>IF(OR($NB34=0,$NP34=0),"",IF($MQ34=0,"−1 dado","−"&amp;INDEX($I$2:$N$8,MAX(1,$MQ34),MAX(1,$NU34))&amp;" · "&amp;CHOOSE(MAX(1,$NU34),"Leve","Média","Pesada","Leve · Livre","Média · Livre","Pesada · Livre")))</f>
        <v/>
      </c>
      <c r="QO34" s="155">
        <f>IF(OR($NB34=0,$MZ34=""),"",IF($MQ34=0,"não devolve","+"&amp;IF($OG34=1,CEILING($MQ34/2,1),$MQ34)))</f>
        <v/>
      </c>
      <c r="QP34" s="155">
        <f>IF(OR($NB34=0,$NA34=""),"",IF($MQ34=0,"não devolve","+"&amp;IF($OH34=1,CEILING($MQ34/2,1),$MQ34)))</f>
        <v/>
      </c>
    </row>
    <row r="35">
      <c r="AH35" s="153" t="inlineStr">
        <is>
          <t>Onda · classes 1 a 5</t>
        </is>
      </c>
      <c r="AI35" s="153" t="inlineStr">
        <is>
          <t>Raio 3 m, nela</t>
        </is>
      </c>
      <c r="AJ35" s="153" t="inlineStr">
        <is>
          <t>Raio 4,5 m, nela</t>
        </is>
      </c>
      <c r="AK35" s="153" t="inlineStr">
        <is>
          <t>Raio 6 m, nela</t>
        </is>
      </c>
      <c r="AL35" s="153" t="inlineStr">
        <is>
          <t>Raio 9 m, nela</t>
        </is>
      </c>
      <c r="AM35" s="153" t="inlineStr">
        <is>
          <t>Raio 15 m, nela</t>
        </is>
      </c>
      <c r="AN35" s="153" t="inlineStr">
        <is>
          <t>Raio 15 m, nela</t>
        </is>
      </c>
      <c r="AO35" s="153" t="inlineStr"/>
      <c r="AP35" s="153" t="inlineStr"/>
      <c r="AQ35" s="153" t="inlineStr"/>
      <c r="AR35" s="153" t="inlineStr"/>
      <c r="AS35" s="153" t="inlineStr"/>
      <c r="AT35" s="153" t="inlineStr"/>
      <c r="AV35" s="153" t="inlineStr">
        <is>
          <t>Amedrontado</t>
        </is>
      </c>
      <c r="AW35" s="153" t="inlineStr">
        <is>
          <t>Controle</t>
        </is>
      </c>
      <c r="AX35" s="155" t="n">
        <v>3</v>
      </c>
      <c r="AY35" s="155" t="n">
        <v>1</v>
      </c>
      <c r="AZ35" s="155" t="n">
        <v>0</v>
      </c>
      <c r="BA35" s="155" t="n">
        <v>1</v>
      </c>
      <c r="JR35" s="155">
        <f>IF(OR($AW35="",COUNTIF($EJ$2:$EN$2,$AW35)&gt;0),$AV35,"")</f>
        <v/>
      </c>
      <c r="JS35" s="155">
        <f>IF(AND($AX35=1,OR($AW35="",COUNTIF($EJ$2:$EN$2,$AW35)&gt;0)),$AV35,"")</f>
        <v/>
      </c>
      <c r="JX35" s="155">
        <f>IF(OR($AW35="",COUNTIF($EJ$3:$EN$3,$AW35)&gt;0),$AV35,"")</f>
        <v/>
      </c>
      <c r="JY35" s="155">
        <f>IF(AND($AX35=1,OR($AW35="",COUNTIF($EJ$3:$EN$3,$AW35)&gt;0)),$AV35,"")</f>
        <v/>
      </c>
      <c r="KD35" s="155">
        <f>IF(OR($AW35="",COUNTIF($EJ$4:$EN$4,$AW35)&gt;0),$AV35,"")</f>
        <v/>
      </c>
      <c r="KE35" s="155">
        <f>IF(AND($AX35=1,OR($AW35="",COUNTIF($EJ$4:$EN$4,$AW35)&gt;0)),$AV35,"")</f>
        <v/>
      </c>
      <c r="KJ35" s="155">
        <f>IF(OR($AW35="",COUNTIF($EJ$5:$EN$5,$AW35)&gt;0),$AV35,"")</f>
        <v/>
      </c>
      <c r="KK35" s="155">
        <f>IF(AND($AX35=1,OR($AW35="",COUNTIF($EJ$5:$EN$5,$AW35)&gt;0)),$AV35,"")</f>
        <v/>
      </c>
      <c r="KP35" s="155">
        <f>IF(OR($AW35="",COUNTIF($EJ$6:$EN$6,$AW35)&gt;0),$AV35,"")</f>
        <v/>
      </c>
      <c r="KQ35" s="155">
        <f>IF(AND($AX35=1,OR($AW35="",COUNTIF($EJ$6:$EN$6,$AW35)&gt;0)),$AV35,"")</f>
        <v/>
      </c>
      <c r="KV35" s="155">
        <f>IF(OR($AW35="",COUNTIF($EJ$7:$EN$7,$AW35)&gt;0),$AV35,"")</f>
        <v/>
      </c>
      <c r="KW35" s="155">
        <f>IF(AND($AX35=1,OR($AW35="",COUNTIF($EJ$7:$EN$7,$AW35)&gt;0)),$AV35,"")</f>
        <v/>
      </c>
      <c r="LB35" s="155">
        <f>IF(OR($AW35="",COUNTIF($EJ$8:$EN$8,$AW35)&gt;0),$AV35,"")</f>
        <v/>
      </c>
      <c r="LC35" s="155">
        <f>IF(AND($AX35=1,OR($AW35="",COUNTIF($EJ$8:$EN$8,$AW35)&gt;0)),$AV35,"")</f>
        <v/>
      </c>
      <c r="LH35" s="155">
        <f>IF(OR($AW35="",COUNTIF($EJ$9:$EN$9,$AW35)&gt;0),$AV35,"")</f>
        <v/>
      </c>
      <c r="LI35" s="155">
        <f>IF(AND($AX35=1,OR($AW35="",COUNTIF($EJ$9:$EN$9,$AW35)&gt;0)),$AV35,"")</f>
        <v/>
      </c>
      <c r="LN35" s="155">
        <f>IF(OR($AW35="",COUNTIF($EJ$10:$EN$10,$AW35)&gt;0),$AV35,"")</f>
        <v/>
      </c>
      <c r="LO35" s="155">
        <f>IF(AND($AX35=1,OR($AW35="",COUNTIF($EJ$10:$EN$10,$AW35)&gt;0)),$AV35,"")</f>
        <v/>
      </c>
      <c r="LT35" s="155">
        <f>IF(OR($AW35="",COUNTIF($EJ$11:$EN$11,$AW35)&gt;0),$AV35,"")</f>
        <v/>
      </c>
      <c r="LU35" s="155">
        <f>IF(AND($AX35=1,OR($AW35="",COUNTIF($EJ$11:$EN$11,$AW35)&gt;0)),$AV35,"")</f>
        <v/>
      </c>
      <c r="LZ35" s="155">
        <f>IF(OR($AW35="",COUNTIF($EJ$12:$EN$12,$AW35)&gt;0),$AV35,"")</f>
        <v/>
      </c>
      <c r="MA35" s="155">
        <f>IF(AND($AX35=1,OR($AW35="",COUNTIF($EJ$12:$EN$12,$AW35)&gt;0)),$AV35,"")</f>
        <v/>
      </c>
      <c r="MF35" s="155">
        <f>IF(OR($AW35="",COUNTIF($EJ$13:$EN$13,$AW35)&gt;0),$AV35,"")</f>
        <v/>
      </c>
      <c r="MG35" s="155">
        <f>IF(AND($AX35=1,OR($AW35="",COUNTIF($EJ$13:$EN$13,$AW35)&gt;0)),$AV35,"")</f>
        <v/>
      </c>
      <c r="ML35" s="153" t="inlineStr">
        <is>
          <t>Ficha 3 · Especial 6</t>
        </is>
      </c>
      <c r="MM35" s="155" t="n">
        <v>3</v>
      </c>
      <c r="MN35" s="155" t="n">
        <v>1</v>
      </c>
      <c r="MO35" s="155" t="n">
        <v>20</v>
      </c>
      <c r="MP35" s="153" t="inlineStr">
        <is>
          <t>ESPECIAL 6</t>
        </is>
      </c>
      <c r="MQ35" s="155">
        <f>MAX(1,MIN(7,N('INVOCAÇÕES'!$O$510)))</f>
        <v/>
      </c>
      <c r="MR35" s="155">
        <f>'INVOCAÇÕES'!$P$510&amp;""</f>
        <v/>
      </c>
      <c r="MS35" s="155">
        <f>'INVOCAÇÕES'!$O$515&amp;""</f>
        <v/>
      </c>
      <c r="MT35" s="155">
        <f>'INVOCAÇÕES'!$O$516&amp;""</f>
        <v/>
      </c>
      <c r="MU35" s="155">
        <f>'INVOCAÇÕES'!$Q$516&amp;""</f>
        <v/>
      </c>
      <c r="MV35" s="155">
        <f>'INVOCAÇÕES'!$P$519&amp;""</f>
        <v/>
      </c>
      <c r="MW35" s="155">
        <f>'INVOCAÇÕES'!$P$520&amp;""</f>
        <v/>
      </c>
      <c r="MX35" s="155">
        <f>'INVOCAÇÕES'!$P$521&amp;""</f>
        <v/>
      </c>
      <c r="MY35" s="155">
        <f>'INVOCAÇÕES'!$P$522&amp;""</f>
        <v/>
      </c>
      <c r="MZ35" s="155">
        <f>'INVOCAÇÕES'!$P$523&amp;""</f>
        <v/>
      </c>
      <c r="NA35" s="155">
        <f>'INVOCAÇÕES'!$P$524&amp;""</f>
        <v/>
      </c>
      <c r="NB35" s="155">
        <f>IF($MR35&lt;&gt;"",1,0)</f>
        <v/>
      </c>
      <c r="NC35" s="155">
        <f>INDEX($FM$2:$FM$13,$MM35)</f>
        <v/>
      </c>
      <c r="ND35" s="155">
        <f>INDEX($FN$2:$FN$13,$MM35)</f>
        <v/>
      </c>
      <c r="NE35" s="155">
        <f>INDEX($FO$2:$FO$13,$MM35)</f>
        <v/>
      </c>
      <c r="NF35" s="155">
        <f>INDEX($FZ$2:$FZ$13,$MM35)</f>
        <v/>
      </c>
      <c r="NG35" s="155">
        <f>INDEX($GA$2:$GA$13,$MM35)</f>
        <v/>
      </c>
      <c r="NH35" s="155">
        <f>IFERROR(MATCH($MS35,$V$2:$V$11,0),0)</f>
        <v/>
      </c>
      <c r="NI35" s="155">
        <f>IFERROR(VLOOKUP($MV35,$AV$2:$BA$84,2,FALSE),"")</f>
        <v/>
      </c>
      <c r="NJ35" s="155">
        <f>IFERROR(VLOOKUP($MW35,$AV$2:$BA$84,2,FALSE),"")</f>
        <v/>
      </c>
      <c r="NK35" s="155">
        <f>IFERROR(VLOOKUP($MX35,$AV$2:$BA$84,2,FALSE),"")</f>
        <v/>
      </c>
      <c r="NL35" s="155">
        <f>IFERROR(VLOOKUP($MY35,$AV$2:$BA$84,2,FALSE),"")</f>
        <v/>
      </c>
      <c r="NM35" s="155">
        <f>IFERROR(VLOOKUP($MV35,$AV$2:$BA$84,3,FALSE),0)</f>
        <v/>
      </c>
      <c r="NN35" s="155">
        <f>IFERROR(VLOOKUP($MW35,$AV$2:$BA$84,3,FALSE),0)</f>
        <v/>
      </c>
      <c r="NO35" s="155">
        <f>IFERROR(VLOOKUP($MX35,$AV$2:$BA$84,3,FALSE),0)</f>
        <v/>
      </c>
      <c r="NP35" s="155">
        <f>IFERROR(VLOOKUP($MY35,$AV$2:$BA$84,3,FALSE),0)</f>
        <v/>
      </c>
      <c r="NQ35" s="155">
        <f>IF($MQ35=0,0,IF($NH35=0,0,INDEX($X$2:$X$11,$NH35)))</f>
        <v/>
      </c>
      <c r="NR35" s="155">
        <f>IF(OR($NM35=0,$MQ35=0),0,$NM35+3*IF(AND($NI35&lt;&gt;"",OR($NI35=INDEX($EJ$2:$EJ$13,$MM35),$NI35=INDEX($EK$2:$EK$13,$MM35))),1,0))</f>
        <v/>
      </c>
      <c r="NS35" s="155">
        <f>IF(OR($NN35=0,$MQ35=0),0,$NN35+3*IF(AND($NJ35&lt;&gt;"",OR($NJ35=INDEX($EJ$2:$EJ$13,$MM35),$NJ35=INDEX($EK$2:$EK$13,$MM35))),1,0))</f>
        <v/>
      </c>
      <c r="NT35" s="155">
        <f>IF(OR($NO35=0,$MQ35=0),0,$NO35+3*IF(AND($NK35&lt;&gt;"",OR($NK35=INDEX($EJ$2:$EJ$13,$MM35),$NK35=INDEX($EK$2:$EK$13,$MM35))),1,0))</f>
        <v/>
      </c>
      <c r="NU35" s="155">
        <f>IF(OR($NP35=0,$MQ35=0),0,$NP35+3*IF(AND($NL35&lt;&gt;"",OR($NL35=INDEX($EJ$2:$EJ$13,$MM35),$NL35=INDEX($EK$2:$EK$13,$MM35))),1,0))</f>
        <v/>
      </c>
      <c r="NV35" s="155">
        <f>IF($NH35=0,0,IF(INDEX($W$2:$W$11,$NH35)="",0,IF(COUNTIF(INDEX($EJ$2:$EN$13,$MM35,0),INDEX($W$2:$W$11,$NH35))=0,1,0)))</f>
        <v/>
      </c>
      <c r="NW35" s="155">
        <f>IF(OR($NM35=0,$NI35=""),0,IF(COUNTIF(INDEX($EJ$2:$EN$13,$MM35,0),$NI35)=0,1,0))</f>
        <v/>
      </c>
      <c r="NX35" s="155">
        <f>IF(OR($NN35=0,$NJ35=""),0,IF(COUNTIF(INDEX($EJ$2:$EN$13,$MM35,0),$NJ35)=0,1,0))</f>
        <v/>
      </c>
      <c r="NY35" s="155">
        <f>IF(OR($NO35=0,$NK35=""),0,IF(COUNTIF(INDEX($EJ$2:$EN$13,$MM35,0),$NK35)=0,1,0))</f>
        <v/>
      </c>
      <c r="NZ35" s="155">
        <f>IF(OR($NP35=0,$NL35=""),0,IF(COUNTIF(INDEX($EJ$2:$EN$13,$MM35,0),$NL35)=0,1,0))</f>
        <v/>
      </c>
      <c r="OA35" s="155">
        <f>IFERROR(VLOOKUP($MV35,$AV$2:$BA$84,4,FALSE),0)+IFERROR(VLOOKUP($MW35,$AV$2:$BA$84,4,FALSE),0)+IFERROR(VLOOKUP($MX35,$AV$2:$BA$84,4,FALSE),0)+IFERROR(VLOOKUP($MY35,$AV$2:$BA$84,4,FALSE),0)</f>
        <v/>
      </c>
      <c r="OB35" s="155">
        <f>IFERROR(VLOOKUP($MV35,$AV$2:$BA$84,6,FALSE),0)+IFERROR(VLOOKUP($MW35,$AV$2:$BA$84,6,FALSE),0)+IFERROR(VLOOKUP($MX35,$AV$2:$BA$84,6,FALSE),0)+IFERROR(VLOOKUP($MY35,$AV$2:$BA$84,6,FALSE),0)</f>
        <v/>
      </c>
      <c r="OC35" s="155">
        <f>TEXTJOIN(", ",TRUE,IF(IFERROR(VLOOKUP($MV35,$AV$2:$BA$84,5,FALSE),0)=1,$MV35,""),IF(IFERROR(VLOOKUP($MW35,$AV$2:$BA$84,5,FALSE),0)=1,$MW35,""),IF(IFERROR(VLOOKUP($MX35,$AV$2:$BA$84,5,FALSE),0)=1,$MX35,""),IF(IFERROR(VLOOKUP($MY35,$AV$2:$BA$84,5,FALSE),0)=1,$MY35,""))</f>
        <v/>
      </c>
      <c r="OD35" s="155">
        <f>IF($NH35=0,0,INDEX($Y$2:$Y$11,$NH35))</f>
        <v/>
      </c>
      <c r="OE35" s="155">
        <f>IF($NH35=0,0,INDEX($Z$2:$Z$11,$NH35))</f>
        <v/>
      </c>
      <c r="OF35" s="155">
        <f>IF($NH35=0,0,INDEX($AB$2:$AB$11,$NH35))</f>
        <v/>
      </c>
      <c r="OG35" s="155">
        <f>IFERROR(VLOOKUP($MZ35,$BC$2:$BG$24,3,FALSE),0)</f>
        <v/>
      </c>
      <c r="OH35" s="155">
        <f>IFERROR(VLOOKUP($NA35,$BC$2:$BG$24,3,FALSE),0)</f>
        <v/>
      </c>
      <c r="OI35" s="155">
        <f>IFERROR(VLOOKUP($MZ35,$BC$2:$BG$24,2,FALSE),"")</f>
        <v/>
      </c>
      <c r="OJ35" s="155">
        <f>IFERROR(VLOOKUP($NA35,$BC$2:$BG$24,2,FALSE),"")</f>
        <v/>
      </c>
      <c r="OK35" s="155">
        <f>COUNTIF($NQ35:$NU35,1)</f>
        <v/>
      </c>
      <c r="OL35" s="155">
        <f>COUNTIF($NQ35:$NU35,2)</f>
        <v/>
      </c>
      <c r="OM35" s="155">
        <f>COUNTIF($NQ35:$NU35,3)</f>
        <v/>
      </c>
      <c r="ON35" s="155">
        <f>COUNTIF($NQ35:$NU35,4)</f>
        <v/>
      </c>
      <c r="OO35" s="155">
        <f>COUNTIF($NQ35:$NU35,5)</f>
        <v/>
      </c>
      <c r="OP35" s="155">
        <f>COUNTIF($NQ35:$NU35,6)</f>
        <v/>
      </c>
      <c r="OQ35" s="155">
        <f>COUNTIF($OG35:$OH35,1)</f>
        <v/>
      </c>
      <c r="OR35" s="155">
        <f>COUNTIF($OG35:$OH35,2)+$OD35</f>
        <v/>
      </c>
      <c r="OS35" s="155">
        <f>COUNTIF($MV35:$MY35,"?*")</f>
        <v/>
      </c>
      <c r="OT35" s="155">
        <f>COUNTIF($MZ35:$NA35,"?*")+$OD35</f>
        <v/>
      </c>
      <c r="OU35" s="155">
        <f>IF($MQ35=0,0,SUMPRODUCT($OK35:$OP35,INDEX($I$2:$N$8,MAX(1,$MQ35),0)))</f>
        <v/>
      </c>
      <c r="OV35" s="155">
        <f>IF($MQ35=0,0,$OQ35*CEILING($MQ35/2,1)+$OR35*$MQ35)</f>
        <v/>
      </c>
      <c r="OW35" s="155">
        <f>MIN(2*$MQ35,$OV35)</f>
        <v/>
      </c>
      <c r="OX35" s="155">
        <f>MIN($OW35,$OU35)</f>
        <v/>
      </c>
      <c r="OY35" s="155">
        <f>$OW35-$OX35</f>
        <v/>
      </c>
      <c r="OZ35" s="155">
        <f>IF($MQ35=0,0,INDEX($P$2:$P$8,MAX(1,$MQ35)))</f>
        <v/>
      </c>
      <c r="PA35" s="155">
        <f>$OZ35-$OU35+$OX35</f>
        <v/>
      </c>
      <c r="PB35" s="155">
        <f>IF($MQ35=0,MAX(0,$NE35-IF($OS35&gt;0,1,0)),MAX(0,$PA35))</f>
        <v/>
      </c>
      <c r="PC35" s="155">
        <f>IF($MQ35=0,0,(IF(COUNTIF($MV35:$MY35,"Salto")&gt;0,1,0)+IF(COUNTIF($MV35:$MY35,"Queima")&gt;0,1,0)+IF(COUNTIF($MV35:$MY35,"Estilhaço")&gt;0,1,0))*FLOOR($PB35/2,1))</f>
        <v/>
      </c>
      <c r="PD35" s="155">
        <f>MAX(0,2-SUMPRODUCT($OK35:$OP35,$I$2:$N$2)+MIN(2,$OQ35*1+$OR35*1,SUMPRODUCT($OK35:$OP35,$I$2:$N$2)))</f>
        <v/>
      </c>
      <c r="PE35" s="155">
        <f>MAX(0,4-SUMPRODUCT($OK35:$OP35,$I$3:$N$3)+MIN(4,$OQ35*1+$OR35*2,SUMPRODUCT($OK35:$OP35,$I$3:$N$3)))</f>
        <v/>
      </c>
      <c r="PF35" s="155">
        <f>MAX(0,6-SUMPRODUCT($OK35:$OP35,$I$4:$N$4)+MIN(6,$OQ35*2+$OR35*3,SUMPRODUCT($OK35:$OP35,$I$4:$N$4)))</f>
        <v/>
      </c>
      <c r="PG35" s="155">
        <f>MAX(0,9-SUMPRODUCT($OK35:$OP35,$I$5:$N$5)+MIN(8,$OQ35*2+$OR35*4,SUMPRODUCT($OK35:$OP35,$I$5:$N$5)))</f>
        <v/>
      </c>
      <c r="PH35" s="155">
        <f>MAX(0,11-SUMPRODUCT($OK35:$OP35,$I$6:$N$6)+MIN(10,$OQ35*3+$OR35*5,SUMPRODUCT($OK35:$OP35,$I$6:$N$6)))</f>
        <v/>
      </c>
      <c r="PI35" s="155">
        <f>MAX(0,13-SUMPRODUCT($OK35:$OP35,$I$7:$N$7)+MIN(12,$OQ35*3+$OR35*6,SUMPRODUCT($OK35:$OP35,$I$7:$N$7)))</f>
        <v/>
      </c>
      <c r="PJ35" s="155">
        <f>MAX(0,16-SUMPRODUCT($OK35:$OP35,$I$8:$N$8)+MIN(14,$OQ35*4+$OR35*7,SUMPRODUCT($OK35:$OP35,$I$8:$N$8)))</f>
        <v/>
      </c>
      <c r="PK35" s="155">
        <f>IF($OE35=2,3*$PD35&amp;" de vida temp.",IF($OE35=3,"sem dano",IF($PD35=0,IF($OE35=1,"sem cura","sem dano"),IF($OE35=1,"cura ","")&amp;$PD35&amp;"d8")))</f>
        <v/>
      </c>
      <c r="PL35" s="155">
        <f>IF($OE35=2,3*$PE35&amp;" de vida temp.",IF($OE35=3,"sem dano",IF($PE35=0,IF($OE35=1,"sem cura","sem dano"),IF($OE35=1,"cura ","")&amp;$PE35&amp;"d8")))</f>
        <v/>
      </c>
      <c r="PM35" s="155">
        <f>IF($OE35=2,3*$PF35&amp;" de vida temp.",IF($OE35=3,"sem dano",IF($PF35=0,IF($OE35=1,"sem cura","sem dano"),IF($OE35=1,"cura ","")&amp;$PF35&amp;"d8")))</f>
        <v/>
      </c>
      <c r="PN35" s="155">
        <f>IF($OE35=2,3*$PG35&amp;" de vida temp.",IF($OE35=3,"sem dano",IF($PG35=0,IF($OE35=1,"sem cura","sem dano"),IF($OE35=1,"cura ","")&amp;$PG35&amp;"d8")))</f>
        <v/>
      </c>
      <c r="PO35" s="155">
        <f>IF($OE35=2,3*$PH35&amp;" de vida temp.",IF($OE35=3,"sem dano",IF($PH35=0,IF($OE35=1,"sem cura","sem dano"),IF($OE35=1,"cura ","")&amp;$PH35&amp;"d8")))</f>
        <v/>
      </c>
      <c r="PP35" s="155">
        <f>IF($OE35=2,3*$PI35&amp;" de vida temp.",IF($OE35=3,"sem dano",IF($PI35=0,IF($OE35=1,"sem cura","sem dano"),IF($OE35=1,"cura ","")&amp;$PI35&amp;"d8")))</f>
        <v/>
      </c>
      <c r="PQ35" s="155">
        <f>IF($OE35=2,3*$PJ35&amp;" de vida temp.",IF($OE35=3,"sem dano",IF($PJ35=0,IF($OE35=1,"sem cura","sem dano"),IF($OE35=1,"cura ","")&amp;$PJ35&amp;"d8")))</f>
        <v/>
      </c>
      <c r="PR35" s="155">
        <f>IF($NB35=0,"",TEXTJOIN(" · ",TRUE,IF($MO35&gt;$NC35,"Este lugar abre no nível "&amp;$MO35,""),IF($MQ35&gt;$ND35,"Classe "&amp;$MQ35&amp;": o nível "&amp;$NC35&amp;" libera até a "&amp;$ND35,""),IF($NV35=1,"A Forma "&amp;$MS35&amp;" pede "&amp;INDEX($W$2:$W$11,$NH35)&amp;" aberta",""),IF(AND($MQ35=0,$NH35&gt;0,IF($NH35=0,0,INDEX($AF$2:$AF$11,$NH35))=0),$MS35&amp;" não existe na Classe 0",""),IF($NW35=1,"Família Fechada: "&amp;$MV35,""),IF($NX35=1,"Família Fechada: "&amp;$MW35,""),IF($NY35=1,"Família Fechada: "&amp;$MX35,""),IF($NZ35=1,"Família Fechada: "&amp;$MY35,""),IF(AND($MQ35&gt;0,$OS35&gt;INDEX($O$2:$O$8,MAX(1,$MQ35))),$OS35&amp;" Melhorias: a Classe "&amp;$MQ35&amp;" aceita "&amp;INDEX($O$2:$O$8,MAX(1,$MQ35)),""),IF(AND($MQ35=0,$OS35&gt;1),"A básica aceita uma Melhoria",""),IF(AND($MQ35=0,COUNTIF($NM35:$NP35,"&gt;1")&gt;0),"A básica só aceita Melhoria Leve",""),IF(AND($MQ35&gt;0,$OT35&gt;2),$OT35&amp;" Restrições"&amp;IF($OD35=1,", contando a que a Forma "&amp;$MS35&amp;" já traz","")&amp;": o limite é 2",""),IF(AND($MQ35=0,COUNTIF($MZ35:$NA35,"?*")&gt;1),"A básica aceita uma Restrição Leve",""),IF(AND($MQ35=0,COUNTIF($OG35:$OH35,2)&gt;0),"A básica só aceita Restrição Leve",""),IF(AND($MQ35&gt;0,$PA35&lt;0),"Orçamento estourado: faltam "&amp;(-$PA35)&amp;IF($PA35&lt;-1," pontos"," ponto"),""),IF(IFERROR(VLOOKUP($MZ35,$BC$2:$BG$24,4,FALSE),0)+IFERROR(VLOOKUP($NA35,$BC$2:$BG$24,4,FALSE),0)&gt;1,$OI35&amp;" e "&amp;$OJ35&amp;" são as duas de frequência",""),IF(AND((COUNTIF($MV35:$MY35,"Rápido")+COUNTIF($OI35:$OJ35,"Rápido"))&gt;0,(COUNTIF($MV35:$MY35,"Atrasar")+COUNTIF($OI35:$OJ35,"Atrasar"))&gt;0),"Rápido não entra com Atrasar",""),IF(AND((COUNTIF($MV35:$MY35,"Reação")+COUNTIF($OI35:$OJ35,"Reação"))&gt;0,(COUNTIF($MV35:$MY35,"Rápido")+COUNTIF($OI35:$OJ35,"Rápido"))&gt;0),"Reação não entra com Rápido",""),IF(AND((COUNTIF($MV35:$MY35,"Reação")+COUNTIF($OI35:$OJ35,"Reação"))&gt;0,(COUNTIF($MV35:$MY35,"Armado")+COUNTIF($OI35:$OJ35,"Armado"))&gt;0),"Reação não entra com Armado",""),IF(AND((COUNTIF($MV35:$MY35,"Reação")+COUNTIF($OI35:$OJ35,"Reação"))&gt;0,(COUNTIF($MV35:$MY35,"Atrasar")+COUNTIF($OI35:$OJ35,"Atrasar"))&gt;0),"Reação não entra com Atrasar",""),IF(AND((COUNTIF($MV35:$MY35,"Reação")+COUNTIF($OI35:$OJ35,"Reação"))&gt;0,(COUNTIF($MV35:$MY35,"Parado")+COUNTIF($OI35:$OJ35,"Parado"))&gt;0),"Reação não entra com Parado",""),IF(AND((COUNTIF($MV35:$MY35,"Atrasar")+COUNTIF($OI35:$OJ35,"Atrasar"))&gt;0,(COUNTIF($MV35:$MY35,"Parado")+COUNTIF($OI35:$OJ35,"Parado"))&gt;0),"Atrasar não entra com Parado",""),IF(AND((COUNTIF($MV35:$MY35,"Armado")+COUNTIF($OI35:$OJ35,"Armado"))&gt;0,(COUNTIF($MV35:$MY35,"Carregar")+COUNTIF($OI35:$OJ35,"Carregar"))&gt;0),"Armado não entra com Carregar",""),IF(AND(COUNTIF($OI35:$OJ35,"Corpo a Corpo")&gt;0,$OD35=0,OR($MS35="Cone",$MS35="Linha")),"Corpo a Corpo não entra em "&amp;$MS35,""),IF(AND(COUNTIF($OI35:$OJ35,"Corpo a Corpo")&gt;0,$OD35=1),"A Forma "&amp;$MS35&amp;" já traz o Corpo a Corpo",""),IF(AND(COUNTIF($OI35:$OJ35,"Tudo ou Nada")&gt;0,$OF35=0),"Tudo ou Nada só entra em habilidade de Teste de Resistência",""),IF(AND(COUNTIF($MV35:$MY35,"Inescapável")&gt;0,OR($OS35&gt;1,$OT35&gt;0)),"Inescapável não aceita outra peça",""),IF(AND($MQ35&gt;0,$PB35*IF(COUNTIF($MV35:$MY35,"Remate")&gt;0,1.25,1)+$PC35&gt;4*$MQ35),($PB35*IF(COUNTIF($MV35:$MY35,"Remate")&gt;0,1.25,1)+$PC35)&amp;" dados somando repetições"&amp;IF(COUNTIF($MV35:$MY35,"Remate")&gt;0," e o Remate","")&amp;": o teto da Classe "&amp;$MQ35&amp;" é "&amp;4*$MQ35,"")))</f>
        <v/>
      </c>
      <c r="PS35" s="155">
        <f>IF($PR35="",0,(LEN($PR35)-LEN(SUBSTITUTE($PR35," · ","")))/3+1)</f>
        <v/>
      </c>
      <c r="PT35" s="155">
        <f>IF($NB35=0,"",TEXTJOIN(" · ",TRUE,IF($OV35&gt;2*$MQ35,"A devolução parou no teto de "&amp;2*$MQ35,""),IF($OY35&gt;0,"Devolução perdida: "&amp;$OY35&amp;IF($OY35&gt;1," pontos"," ponto")&amp;" sem peça para pagar",""),IF(AND($OA35&gt;0,AND($MQ35&gt;0,$OE35=0),$PB35=0),"Controle sem dano: uma rodada a mais e CD +2",""),IF(AND($OA35&gt;0,AND($MQ35&gt;0,$OE35=0),$PB35&gt;0,$PB35&lt;=$MQ35),"Controle com saldo até a Classe: uma rodada a mais",""),IF(AND($MQ35&gt;0,$OC35&lt;&gt;""),"Efeito de "&amp;$OC35&amp;" pela Classe "&amp;MAX(1,$MQ35-1),"")))</f>
        <v/>
      </c>
      <c r="PU35" s="155">
        <f>IF($PT35="",0,(LEN($PT35)-LEN(SUBSTITUTE($PT35," · ","")))/3+1)</f>
        <v/>
      </c>
      <c r="PV35" s="155">
        <f>IF($NB35=0,IF($OS35+COUNTIF($MZ35:$NA35,"?*")&gt;0,"Dê um nome",""),IF($PS35&gt;0,"⚠ "&amp;$PS35&amp;IF($PS35&gt;1," erros"," erro"),IF($PU35&gt;0,"! "&amp;$PU35&amp;IF($PU35&gt;1," avisos"," aviso"),"Na regra")))</f>
        <v/>
      </c>
      <c r="PW35" s="155">
        <f>IF($NB35=0,"",IF($PS35+$PU35=0,"Dentro das regras que a ficha confere",$PR35&amp;IF(AND($PS35&gt;0,$PU35&gt;0)," · ","")&amp;$PT35))</f>
        <v/>
      </c>
      <c r="PX35" s="155">
        <f>IF($MO35&gt;$NC35,$MP35&amp;" · ABRE NO NÍVEL "&amp;$MO35,$MP35)</f>
        <v/>
      </c>
      <c r="PY35" s="155">
        <f>IF($NB35=0,"",IF($MQ35=0,"Sem PE",3*$MQ35&amp;" PE"))</f>
        <v/>
      </c>
      <c r="PZ35" s="155">
        <f>IF($NB35=0,"",IF($MQ35=0,"A atuação básica dela",IF(COUNTIF($OI35:$OJ35,"Atrasar")&gt;0,"Sua Ação Completa",IF(COUNTIF($MV35:$MY35,"Rápido")&gt;0,"Sua Bônus",IF(COUNTIF($MV35:$MY35,"Reação")&gt;0,"Sua Reação","Sua Padrão")))&amp;" + a básica dela"&amp;IF(COUNTIF($MV35:$MY35,"Reação")&gt;0," e a coletiva","")&amp;IF(COUNTIF($OI35:$OJ35,"Carregar")&gt;0," · em dois turnos","")))</f>
        <v/>
      </c>
      <c r="QA35" s="155">
        <f>IF($MU35&lt;&gt;"",$MU35,IF($NH35=0,"",INDEX($AA$2:$AA$11,$NH35)))</f>
        <v/>
      </c>
      <c r="QB35" s="155">
        <f>IF(OR($NB35=0,$NH35=0),"",IF(COUNTIF($MV35:$MY35,"Inescapável")&gt;0,"Automático",IF($QA35="Ataque",IF($NF35="","Ataque","Ataque "&amp;IF(($NF35+2*IF(COUNTIF($MV35:$MY35,"Precisão")&gt;0,1,0))&gt;=0,"+","−")&amp;ABS(($NF35+2*IF(COUNTIF($MV35:$MY35,"Precisão")&gt;0,1,0))))&amp;IF($OB35&gt;0," · TR"&amp;IF($NG35="",""," CD "&amp;$NG35),""),IF(LEFT($QA35,2)="TR",$QA35&amp;IF($NG35="",""," · CD "&amp;$NG35)&amp;IF(COUNTIF($MV35:$MY35,"Certeiro")&gt;0," · metade",""),"Sem rolagem"))))</f>
        <v/>
      </c>
      <c r="QC35" s="155">
        <f>IF(OR($NB35=0,$NH35=0),"",IF($MQ35=0,IF(OR($OE35&gt;=1,$PB35=0),"Sem dano",$PB35&amp;"d6"&amp;IF($MT35="",""," "&amp;$MT35)),IF(OR($OE35&gt;=1,$PB35=0),UPPER(LEFT(INDEX($PK35:$PQ35,1,MAX(1,$MQ35)),1))&amp;MID(INDEX($PK35:$PQ35,1,MAX(1,$MQ35)),2,99),UPPER(LEFT(INDEX($PK35:$PQ35,1,MAX(1,$MQ35)),1))&amp;MID(INDEX($PK35:$PQ35,1,MAX(1,$MQ35)),2,99)&amp;IF($MT35="",""," "&amp;$MT35)&amp;IF($PC35&gt;0," · +"&amp;$PC35&amp;"d8",""))))</f>
        <v/>
      </c>
      <c r="QD35" s="155">
        <f>COUNTIF($MV35:$MY35,"Longe")+3*COUNTIF($MV35:$MY35,"Muito Longe")</f>
        <v/>
      </c>
      <c r="QE35" s="155">
        <f>COUNTIF($MV35:$MY35,"Maior")+3*COUNTIF($MV35:$MY35,"Muito Maior")</f>
        <v/>
      </c>
      <c r="QF35" s="155">
        <f>IF($NH35=0,0,CHOOSE(1+INDEX($AC$2:$AC$11,$NH35),0,$QD35,$QE35,$QD35+$QE35))</f>
        <v/>
      </c>
      <c r="QG35" s="155">
        <f>IF($NH35=0,0,CHOOSE(1+INDEX($AD$2:$AD$11,$NH35),0,$QD35,$QE35,$QD35+$QE35))</f>
        <v/>
      </c>
      <c r="QH35" s="155">
        <f>IF(OR($NB35=0,$NH35=0),"",INDEX($AI$2:$AN$41,($NH35-1)*4+IF($MQ35=0,1,IF($MQ35&lt;=5,2,IF($MQ35=6,3,4))),1+MIN(5,$QF35))&amp;INDEX($AO$2:$AT$41,($NH35-1)*4+IF($MQ35=0,1,IF($MQ35&lt;=5,2,IF($MQ35=6,3,4))),1+MIN(5,$QG35))&amp;IF(INDEX($AE$2:$AE$11,$NH35)=1,IF(COUNTIF($MV35:$MY35,"Mais Um")&gt;0," · +"&amp;COUNTIF($MV35:$MY35,"Mais Um")&amp;IF(COUNTIF($MV35:$MY35,"Mais Um")&gt;1," alvos"," alvo"),"")&amp;IF(COUNTIF($MV35:$MY35,"Rajada")&gt;0,IF($MQ35=0," · 1 tiro"," · "&amp;(MAX(1,$MQ35-1)+1)&amp;" tiros"),""),""))</f>
        <v/>
      </c>
      <c r="QI35" s="155">
        <f>IF($NB35=0,"",IF($MQ35=0,$NE35&amp;"d6"&amp;IF($OS35&gt;0," − 1 = "&amp;$PB35&amp;"d6"," da básica do nível "&amp;$NC35),$OZ35&amp;" − "&amp;$OU35&amp;" + "&amp;$OX35&amp;" = "&amp;$PA35&amp;" · teto "&amp;4*$MQ35&amp;"d8"&amp;IF($OD35=1," · a Forma devolve "&amp;$MQ35,"")&amp;IF($OY35&gt;0," · perde "&amp;$OY35,"")))</f>
        <v/>
      </c>
      <c r="QJ35" s="155">
        <f>IF($NB35=0,"",IF($MQ35=0,"A básica não amplia: os dados dela sobem com o nível",IF($MQ35&gt;=$ND35,"Já está na maior Classe que o nível liberou",TEXTJOIN(" · ",TRUE,IF(AND(2&gt;$MQ35,2&lt;=$ND35),"2 → "&amp;$PL35&amp;", 6 PE",""),IF(AND(3&gt;$MQ35,3&lt;=$ND35),"3 → "&amp;$PM35&amp;", 9 PE",""),IF(AND(4&gt;$MQ35,4&lt;=$ND35),"4 → "&amp;$PN35&amp;", 12 PE",""),IF(AND(5&gt;$MQ35,5&lt;=$ND35),"5 → "&amp;$PO35&amp;", 15 PE",""),IF(AND(6&gt;$MQ35,6&lt;=$ND35),"6 → "&amp;$PP35&amp;", 18 PE",""),IF(AND(7&gt;$MQ35,7&lt;=$ND35),"7 → "&amp;$PQ35&amp;", 21 PE","")))))</f>
        <v/>
      </c>
      <c r="QK35" s="155">
        <f>IF(OR($NB35=0,$NM35=0),"",IF($MQ35=0,"−1 dado","−"&amp;INDEX($I$2:$N$8,MAX(1,$MQ35),MAX(1,$NR35))&amp;" · "&amp;CHOOSE(MAX(1,$NR35),"Leve","Média","Pesada","Leve · Livre","Média · Livre","Pesada · Livre")))</f>
        <v/>
      </c>
      <c r="QL35" s="155">
        <f>IF(OR($NB35=0,$NN35=0),"",IF($MQ35=0,"−1 dado","−"&amp;INDEX($I$2:$N$8,MAX(1,$MQ35),MAX(1,$NS35))&amp;" · "&amp;CHOOSE(MAX(1,$NS35),"Leve","Média","Pesada","Leve · Livre","Média · Livre","Pesada · Livre")))</f>
        <v/>
      </c>
      <c r="QM35" s="155">
        <f>IF(OR($NB35=0,$NO35=0),"",IF($MQ35=0,"−1 dado","−"&amp;INDEX($I$2:$N$8,MAX(1,$MQ35),MAX(1,$NT35))&amp;" · "&amp;CHOOSE(MAX(1,$NT35),"Leve","Média","Pesada","Leve · Livre","Média · Livre","Pesada · Livre")))</f>
        <v/>
      </c>
      <c r="QN35" s="155">
        <f>IF(OR($NB35=0,$NP35=0),"",IF($MQ35=0,"−1 dado","−"&amp;INDEX($I$2:$N$8,MAX(1,$MQ35),MAX(1,$NU35))&amp;" · "&amp;CHOOSE(MAX(1,$NU35),"Leve","Média","Pesada","Leve · Livre","Média · Livre","Pesada · Livre")))</f>
        <v/>
      </c>
      <c r="QO35" s="155">
        <f>IF(OR($NB35=0,$MZ35=""),"",IF($MQ35=0,"não devolve","+"&amp;IF($OG35=1,CEILING($MQ35/2,1),$MQ35)))</f>
        <v/>
      </c>
      <c r="QP35" s="155">
        <f>IF(OR($NB35=0,$NA35=""),"",IF($MQ35=0,"não devolve","+"&amp;IF($OH35=1,CEILING($MQ35/2,1),$MQ35)))</f>
        <v/>
      </c>
    </row>
    <row r="36">
      <c r="AH36" s="153" t="inlineStr">
        <is>
          <t>Onda · classe 6</t>
        </is>
      </c>
      <c r="AI36" s="153" t="inlineStr">
        <is>
          <t>Raio 3 m, nela</t>
        </is>
      </c>
      <c r="AJ36" s="153" t="inlineStr">
        <is>
          <t>Raio 4,5 m, nela</t>
        </is>
      </c>
      <c r="AK36" s="153" t="inlineStr">
        <is>
          <t>Raio 6 m, nela</t>
        </is>
      </c>
      <c r="AL36" s="153" t="inlineStr">
        <is>
          <t>Raio 9 m, nela</t>
        </is>
      </c>
      <c r="AM36" s="153" t="inlineStr">
        <is>
          <t>Raio 15 m, nela</t>
        </is>
      </c>
      <c r="AN36" s="153" t="inlineStr">
        <is>
          <t>Raio 15 m, nela</t>
        </is>
      </c>
      <c r="AO36" s="153" t="inlineStr"/>
      <c r="AP36" s="153" t="inlineStr"/>
      <c r="AQ36" s="153" t="inlineStr"/>
      <c r="AR36" s="153" t="inlineStr"/>
      <c r="AS36" s="153" t="inlineStr"/>
      <c r="AT36" s="153" t="inlineStr"/>
      <c r="AV36" s="153" t="inlineStr">
        <is>
          <t>Envenenado</t>
        </is>
      </c>
      <c r="AW36" s="153" t="inlineStr">
        <is>
          <t>Controle</t>
        </is>
      </c>
      <c r="AX36" s="155" t="n">
        <v>3</v>
      </c>
      <c r="AY36" s="155" t="n">
        <v>1</v>
      </c>
      <c r="AZ36" s="155" t="n">
        <v>0</v>
      </c>
      <c r="BA36" s="155" t="n">
        <v>1</v>
      </c>
      <c r="JR36" s="155">
        <f>IF(OR($AW36="",COUNTIF($EJ$2:$EN$2,$AW36)&gt;0),$AV36,"")</f>
        <v/>
      </c>
      <c r="JS36" s="155">
        <f>IF(AND($AX36=1,OR($AW36="",COUNTIF($EJ$2:$EN$2,$AW36)&gt;0)),$AV36,"")</f>
        <v/>
      </c>
      <c r="JX36" s="155">
        <f>IF(OR($AW36="",COUNTIF($EJ$3:$EN$3,$AW36)&gt;0),$AV36,"")</f>
        <v/>
      </c>
      <c r="JY36" s="155">
        <f>IF(AND($AX36=1,OR($AW36="",COUNTIF($EJ$3:$EN$3,$AW36)&gt;0)),$AV36,"")</f>
        <v/>
      </c>
      <c r="KD36" s="155">
        <f>IF(OR($AW36="",COUNTIF($EJ$4:$EN$4,$AW36)&gt;0),$AV36,"")</f>
        <v/>
      </c>
      <c r="KE36" s="155">
        <f>IF(AND($AX36=1,OR($AW36="",COUNTIF($EJ$4:$EN$4,$AW36)&gt;0)),$AV36,"")</f>
        <v/>
      </c>
      <c r="KJ36" s="155">
        <f>IF(OR($AW36="",COUNTIF($EJ$5:$EN$5,$AW36)&gt;0),$AV36,"")</f>
        <v/>
      </c>
      <c r="KK36" s="155">
        <f>IF(AND($AX36=1,OR($AW36="",COUNTIF($EJ$5:$EN$5,$AW36)&gt;0)),$AV36,"")</f>
        <v/>
      </c>
      <c r="KP36" s="155">
        <f>IF(OR($AW36="",COUNTIF($EJ$6:$EN$6,$AW36)&gt;0),$AV36,"")</f>
        <v/>
      </c>
      <c r="KQ36" s="155">
        <f>IF(AND($AX36=1,OR($AW36="",COUNTIF($EJ$6:$EN$6,$AW36)&gt;0)),$AV36,"")</f>
        <v/>
      </c>
      <c r="KV36" s="155">
        <f>IF(OR($AW36="",COUNTIF($EJ$7:$EN$7,$AW36)&gt;0),$AV36,"")</f>
        <v/>
      </c>
      <c r="KW36" s="155">
        <f>IF(AND($AX36=1,OR($AW36="",COUNTIF($EJ$7:$EN$7,$AW36)&gt;0)),$AV36,"")</f>
        <v/>
      </c>
      <c r="LB36" s="155">
        <f>IF(OR($AW36="",COUNTIF($EJ$8:$EN$8,$AW36)&gt;0),$AV36,"")</f>
        <v/>
      </c>
      <c r="LC36" s="155">
        <f>IF(AND($AX36=1,OR($AW36="",COUNTIF($EJ$8:$EN$8,$AW36)&gt;0)),$AV36,"")</f>
        <v/>
      </c>
      <c r="LH36" s="155">
        <f>IF(OR($AW36="",COUNTIF($EJ$9:$EN$9,$AW36)&gt;0),$AV36,"")</f>
        <v/>
      </c>
      <c r="LI36" s="155">
        <f>IF(AND($AX36=1,OR($AW36="",COUNTIF($EJ$9:$EN$9,$AW36)&gt;0)),$AV36,"")</f>
        <v/>
      </c>
      <c r="LN36" s="155">
        <f>IF(OR($AW36="",COUNTIF($EJ$10:$EN$10,$AW36)&gt;0),$AV36,"")</f>
        <v/>
      </c>
      <c r="LO36" s="155">
        <f>IF(AND($AX36=1,OR($AW36="",COUNTIF($EJ$10:$EN$10,$AW36)&gt;0)),$AV36,"")</f>
        <v/>
      </c>
      <c r="LT36" s="155">
        <f>IF(OR($AW36="",COUNTIF($EJ$11:$EN$11,$AW36)&gt;0),$AV36,"")</f>
        <v/>
      </c>
      <c r="LU36" s="155">
        <f>IF(AND($AX36=1,OR($AW36="",COUNTIF($EJ$11:$EN$11,$AW36)&gt;0)),$AV36,"")</f>
        <v/>
      </c>
      <c r="LZ36" s="155">
        <f>IF(OR($AW36="",COUNTIF($EJ$12:$EN$12,$AW36)&gt;0),$AV36,"")</f>
        <v/>
      </c>
      <c r="MA36" s="155">
        <f>IF(AND($AX36=1,OR($AW36="",COUNTIF($EJ$12:$EN$12,$AW36)&gt;0)),$AV36,"")</f>
        <v/>
      </c>
      <c r="MF36" s="155">
        <f>IF(OR($AW36="",COUNTIF($EJ$13:$EN$13,$AW36)&gt;0),$AV36,"")</f>
        <v/>
      </c>
      <c r="MG36" s="155">
        <f>IF(AND($AX36=1,OR($AW36="",COUNTIF($EJ$13:$EN$13,$AW36)&gt;0)),$AV36,"")</f>
        <v/>
      </c>
      <c r="ML36" s="153" t="inlineStr">
        <is>
          <t>Ficha 3 · Especial 7</t>
        </is>
      </c>
      <c r="MM36" s="155" t="n">
        <v>3</v>
      </c>
      <c r="MN36" s="155" t="n">
        <v>1</v>
      </c>
      <c r="MO36" s="155" t="n">
        <v>24</v>
      </c>
      <c r="MP36" s="153" t="inlineStr">
        <is>
          <t>ESPECIAL 7</t>
        </is>
      </c>
      <c r="MQ36" s="155">
        <f>MAX(1,MIN(7,N('INVOCAÇÕES'!$U$510)))</f>
        <v/>
      </c>
      <c r="MR36" s="155">
        <f>'INVOCAÇÕES'!$V$510&amp;""</f>
        <v/>
      </c>
      <c r="MS36" s="155">
        <f>'INVOCAÇÕES'!$U$515&amp;""</f>
        <v/>
      </c>
      <c r="MT36" s="155">
        <f>'INVOCAÇÕES'!$U$516&amp;""</f>
        <v/>
      </c>
      <c r="MU36" s="155">
        <f>'INVOCAÇÕES'!$W$516&amp;""</f>
        <v/>
      </c>
      <c r="MV36" s="155">
        <f>'INVOCAÇÕES'!$V$519&amp;""</f>
        <v/>
      </c>
      <c r="MW36" s="155">
        <f>'INVOCAÇÕES'!$V$520&amp;""</f>
        <v/>
      </c>
      <c r="MX36" s="155">
        <f>'INVOCAÇÕES'!$V$521&amp;""</f>
        <v/>
      </c>
      <c r="MY36" s="155">
        <f>'INVOCAÇÕES'!$V$522&amp;""</f>
        <v/>
      </c>
      <c r="MZ36" s="155">
        <f>'INVOCAÇÕES'!$V$523&amp;""</f>
        <v/>
      </c>
      <c r="NA36" s="155">
        <f>'INVOCAÇÕES'!$V$524&amp;""</f>
        <v/>
      </c>
      <c r="NB36" s="155">
        <f>IF($MR36&lt;&gt;"",1,0)</f>
        <v/>
      </c>
      <c r="NC36" s="155">
        <f>INDEX($FM$2:$FM$13,$MM36)</f>
        <v/>
      </c>
      <c r="ND36" s="155">
        <f>INDEX($FN$2:$FN$13,$MM36)</f>
        <v/>
      </c>
      <c r="NE36" s="155">
        <f>INDEX($FO$2:$FO$13,$MM36)</f>
        <v/>
      </c>
      <c r="NF36" s="155">
        <f>INDEX($FZ$2:$FZ$13,$MM36)</f>
        <v/>
      </c>
      <c r="NG36" s="155">
        <f>INDEX($GA$2:$GA$13,$MM36)</f>
        <v/>
      </c>
      <c r="NH36" s="155">
        <f>IFERROR(MATCH($MS36,$V$2:$V$11,0),0)</f>
        <v/>
      </c>
      <c r="NI36" s="155">
        <f>IFERROR(VLOOKUP($MV36,$AV$2:$BA$84,2,FALSE),"")</f>
        <v/>
      </c>
      <c r="NJ36" s="155">
        <f>IFERROR(VLOOKUP($MW36,$AV$2:$BA$84,2,FALSE),"")</f>
        <v/>
      </c>
      <c r="NK36" s="155">
        <f>IFERROR(VLOOKUP($MX36,$AV$2:$BA$84,2,FALSE),"")</f>
        <v/>
      </c>
      <c r="NL36" s="155">
        <f>IFERROR(VLOOKUP($MY36,$AV$2:$BA$84,2,FALSE),"")</f>
        <v/>
      </c>
      <c r="NM36" s="155">
        <f>IFERROR(VLOOKUP($MV36,$AV$2:$BA$84,3,FALSE),0)</f>
        <v/>
      </c>
      <c r="NN36" s="155">
        <f>IFERROR(VLOOKUP($MW36,$AV$2:$BA$84,3,FALSE),0)</f>
        <v/>
      </c>
      <c r="NO36" s="155">
        <f>IFERROR(VLOOKUP($MX36,$AV$2:$BA$84,3,FALSE),0)</f>
        <v/>
      </c>
      <c r="NP36" s="155">
        <f>IFERROR(VLOOKUP($MY36,$AV$2:$BA$84,3,FALSE),0)</f>
        <v/>
      </c>
      <c r="NQ36" s="155">
        <f>IF($MQ36=0,0,IF($NH36=0,0,INDEX($X$2:$X$11,$NH36)))</f>
        <v/>
      </c>
      <c r="NR36" s="155">
        <f>IF(OR($NM36=0,$MQ36=0),0,$NM36+3*IF(AND($NI36&lt;&gt;"",OR($NI36=INDEX($EJ$2:$EJ$13,$MM36),$NI36=INDEX($EK$2:$EK$13,$MM36))),1,0))</f>
        <v/>
      </c>
      <c r="NS36" s="155">
        <f>IF(OR($NN36=0,$MQ36=0),0,$NN36+3*IF(AND($NJ36&lt;&gt;"",OR($NJ36=INDEX($EJ$2:$EJ$13,$MM36),$NJ36=INDEX($EK$2:$EK$13,$MM36))),1,0))</f>
        <v/>
      </c>
      <c r="NT36" s="155">
        <f>IF(OR($NO36=0,$MQ36=0),0,$NO36+3*IF(AND($NK36&lt;&gt;"",OR($NK36=INDEX($EJ$2:$EJ$13,$MM36),$NK36=INDEX($EK$2:$EK$13,$MM36))),1,0))</f>
        <v/>
      </c>
      <c r="NU36" s="155">
        <f>IF(OR($NP36=0,$MQ36=0),0,$NP36+3*IF(AND($NL36&lt;&gt;"",OR($NL36=INDEX($EJ$2:$EJ$13,$MM36),$NL36=INDEX($EK$2:$EK$13,$MM36))),1,0))</f>
        <v/>
      </c>
      <c r="NV36" s="155">
        <f>IF($NH36=0,0,IF(INDEX($W$2:$W$11,$NH36)="",0,IF(COUNTIF(INDEX($EJ$2:$EN$13,$MM36,0),INDEX($W$2:$W$11,$NH36))=0,1,0)))</f>
        <v/>
      </c>
      <c r="NW36" s="155">
        <f>IF(OR($NM36=0,$NI36=""),0,IF(COUNTIF(INDEX($EJ$2:$EN$13,$MM36,0),$NI36)=0,1,0))</f>
        <v/>
      </c>
      <c r="NX36" s="155">
        <f>IF(OR($NN36=0,$NJ36=""),0,IF(COUNTIF(INDEX($EJ$2:$EN$13,$MM36,0),$NJ36)=0,1,0))</f>
        <v/>
      </c>
      <c r="NY36" s="155">
        <f>IF(OR($NO36=0,$NK36=""),0,IF(COUNTIF(INDEX($EJ$2:$EN$13,$MM36,0),$NK36)=0,1,0))</f>
        <v/>
      </c>
      <c r="NZ36" s="155">
        <f>IF(OR($NP36=0,$NL36=""),0,IF(COUNTIF(INDEX($EJ$2:$EN$13,$MM36,0),$NL36)=0,1,0))</f>
        <v/>
      </c>
      <c r="OA36" s="155">
        <f>IFERROR(VLOOKUP($MV36,$AV$2:$BA$84,4,FALSE),0)+IFERROR(VLOOKUP($MW36,$AV$2:$BA$84,4,FALSE),0)+IFERROR(VLOOKUP($MX36,$AV$2:$BA$84,4,FALSE),0)+IFERROR(VLOOKUP($MY36,$AV$2:$BA$84,4,FALSE),0)</f>
        <v/>
      </c>
      <c r="OB36" s="155">
        <f>IFERROR(VLOOKUP($MV36,$AV$2:$BA$84,6,FALSE),0)+IFERROR(VLOOKUP($MW36,$AV$2:$BA$84,6,FALSE),0)+IFERROR(VLOOKUP($MX36,$AV$2:$BA$84,6,FALSE),0)+IFERROR(VLOOKUP($MY36,$AV$2:$BA$84,6,FALSE),0)</f>
        <v/>
      </c>
      <c r="OC36" s="155">
        <f>TEXTJOIN(", ",TRUE,IF(IFERROR(VLOOKUP($MV36,$AV$2:$BA$84,5,FALSE),0)=1,$MV36,""),IF(IFERROR(VLOOKUP($MW36,$AV$2:$BA$84,5,FALSE),0)=1,$MW36,""),IF(IFERROR(VLOOKUP($MX36,$AV$2:$BA$84,5,FALSE),0)=1,$MX36,""),IF(IFERROR(VLOOKUP($MY36,$AV$2:$BA$84,5,FALSE),0)=1,$MY36,""))</f>
        <v/>
      </c>
      <c r="OD36" s="155">
        <f>IF($NH36=0,0,INDEX($Y$2:$Y$11,$NH36))</f>
        <v/>
      </c>
      <c r="OE36" s="155">
        <f>IF($NH36=0,0,INDEX($Z$2:$Z$11,$NH36))</f>
        <v/>
      </c>
      <c r="OF36" s="155">
        <f>IF($NH36=0,0,INDEX($AB$2:$AB$11,$NH36))</f>
        <v/>
      </c>
      <c r="OG36" s="155">
        <f>IFERROR(VLOOKUP($MZ36,$BC$2:$BG$24,3,FALSE),0)</f>
        <v/>
      </c>
      <c r="OH36" s="155">
        <f>IFERROR(VLOOKUP($NA36,$BC$2:$BG$24,3,FALSE),0)</f>
        <v/>
      </c>
      <c r="OI36" s="155">
        <f>IFERROR(VLOOKUP($MZ36,$BC$2:$BG$24,2,FALSE),"")</f>
        <v/>
      </c>
      <c r="OJ36" s="155">
        <f>IFERROR(VLOOKUP($NA36,$BC$2:$BG$24,2,FALSE),"")</f>
        <v/>
      </c>
      <c r="OK36" s="155">
        <f>COUNTIF($NQ36:$NU36,1)</f>
        <v/>
      </c>
      <c r="OL36" s="155">
        <f>COUNTIF($NQ36:$NU36,2)</f>
        <v/>
      </c>
      <c r="OM36" s="155">
        <f>COUNTIF($NQ36:$NU36,3)</f>
        <v/>
      </c>
      <c r="ON36" s="155">
        <f>COUNTIF($NQ36:$NU36,4)</f>
        <v/>
      </c>
      <c r="OO36" s="155">
        <f>COUNTIF($NQ36:$NU36,5)</f>
        <v/>
      </c>
      <c r="OP36" s="155">
        <f>COUNTIF($NQ36:$NU36,6)</f>
        <v/>
      </c>
      <c r="OQ36" s="155">
        <f>COUNTIF($OG36:$OH36,1)</f>
        <v/>
      </c>
      <c r="OR36" s="155">
        <f>COUNTIF($OG36:$OH36,2)+$OD36</f>
        <v/>
      </c>
      <c r="OS36" s="155">
        <f>COUNTIF($MV36:$MY36,"?*")</f>
        <v/>
      </c>
      <c r="OT36" s="155">
        <f>COUNTIF($MZ36:$NA36,"?*")+$OD36</f>
        <v/>
      </c>
      <c r="OU36" s="155">
        <f>IF($MQ36=0,0,SUMPRODUCT($OK36:$OP36,INDEX($I$2:$N$8,MAX(1,$MQ36),0)))</f>
        <v/>
      </c>
      <c r="OV36" s="155">
        <f>IF($MQ36=0,0,$OQ36*CEILING($MQ36/2,1)+$OR36*$MQ36)</f>
        <v/>
      </c>
      <c r="OW36" s="155">
        <f>MIN(2*$MQ36,$OV36)</f>
        <v/>
      </c>
      <c r="OX36" s="155">
        <f>MIN($OW36,$OU36)</f>
        <v/>
      </c>
      <c r="OY36" s="155">
        <f>$OW36-$OX36</f>
        <v/>
      </c>
      <c r="OZ36" s="155">
        <f>IF($MQ36=0,0,INDEX($P$2:$P$8,MAX(1,$MQ36)))</f>
        <v/>
      </c>
      <c r="PA36" s="155">
        <f>$OZ36-$OU36+$OX36</f>
        <v/>
      </c>
      <c r="PB36" s="155">
        <f>IF($MQ36=0,MAX(0,$NE36-IF($OS36&gt;0,1,0)),MAX(0,$PA36))</f>
        <v/>
      </c>
      <c r="PC36" s="155">
        <f>IF($MQ36=0,0,(IF(COUNTIF($MV36:$MY36,"Salto")&gt;0,1,0)+IF(COUNTIF($MV36:$MY36,"Queima")&gt;0,1,0)+IF(COUNTIF($MV36:$MY36,"Estilhaço")&gt;0,1,0))*FLOOR($PB36/2,1))</f>
        <v/>
      </c>
      <c r="PD36" s="155">
        <f>MAX(0,2-SUMPRODUCT($OK36:$OP36,$I$2:$N$2)+MIN(2,$OQ36*1+$OR36*1,SUMPRODUCT($OK36:$OP36,$I$2:$N$2)))</f>
        <v/>
      </c>
      <c r="PE36" s="155">
        <f>MAX(0,4-SUMPRODUCT($OK36:$OP36,$I$3:$N$3)+MIN(4,$OQ36*1+$OR36*2,SUMPRODUCT($OK36:$OP36,$I$3:$N$3)))</f>
        <v/>
      </c>
      <c r="PF36" s="155">
        <f>MAX(0,6-SUMPRODUCT($OK36:$OP36,$I$4:$N$4)+MIN(6,$OQ36*2+$OR36*3,SUMPRODUCT($OK36:$OP36,$I$4:$N$4)))</f>
        <v/>
      </c>
      <c r="PG36" s="155">
        <f>MAX(0,9-SUMPRODUCT($OK36:$OP36,$I$5:$N$5)+MIN(8,$OQ36*2+$OR36*4,SUMPRODUCT($OK36:$OP36,$I$5:$N$5)))</f>
        <v/>
      </c>
      <c r="PH36" s="155">
        <f>MAX(0,11-SUMPRODUCT($OK36:$OP36,$I$6:$N$6)+MIN(10,$OQ36*3+$OR36*5,SUMPRODUCT($OK36:$OP36,$I$6:$N$6)))</f>
        <v/>
      </c>
      <c r="PI36" s="155">
        <f>MAX(0,13-SUMPRODUCT($OK36:$OP36,$I$7:$N$7)+MIN(12,$OQ36*3+$OR36*6,SUMPRODUCT($OK36:$OP36,$I$7:$N$7)))</f>
        <v/>
      </c>
      <c r="PJ36" s="155">
        <f>MAX(0,16-SUMPRODUCT($OK36:$OP36,$I$8:$N$8)+MIN(14,$OQ36*4+$OR36*7,SUMPRODUCT($OK36:$OP36,$I$8:$N$8)))</f>
        <v/>
      </c>
      <c r="PK36" s="155">
        <f>IF($OE36=2,3*$PD36&amp;" de vida temp.",IF($OE36=3,"sem dano",IF($PD36=0,IF($OE36=1,"sem cura","sem dano"),IF($OE36=1,"cura ","")&amp;$PD36&amp;"d8")))</f>
        <v/>
      </c>
      <c r="PL36" s="155">
        <f>IF($OE36=2,3*$PE36&amp;" de vida temp.",IF($OE36=3,"sem dano",IF($PE36=0,IF($OE36=1,"sem cura","sem dano"),IF($OE36=1,"cura ","")&amp;$PE36&amp;"d8")))</f>
        <v/>
      </c>
      <c r="PM36" s="155">
        <f>IF($OE36=2,3*$PF36&amp;" de vida temp.",IF($OE36=3,"sem dano",IF($PF36=0,IF($OE36=1,"sem cura","sem dano"),IF($OE36=1,"cura ","")&amp;$PF36&amp;"d8")))</f>
        <v/>
      </c>
      <c r="PN36" s="155">
        <f>IF($OE36=2,3*$PG36&amp;" de vida temp.",IF($OE36=3,"sem dano",IF($PG36=0,IF($OE36=1,"sem cura","sem dano"),IF($OE36=1,"cura ","")&amp;$PG36&amp;"d8")))</f>
        <v/>
      </c>
      <c r="PO36" s="155">
        <f>IF($OE36=2,3*$PH36&amp;" de vida temp.",IF($OE36=3,"sem dano",IF($PH36=0,IF($OE36=1,"sem cura","sem dano"),IF($OE36=1,"cura ","")&amp;$PH36&amp;"d8")))</f>
        <v/>
      </c>
      <c r="PP36" s="155">
        <f>IF($OE36=2,3*$PI36&amp;" de vida temp.",IF($OE36=3,"sem dano",IF($PI36=0,IF($OE36=1,"sem cura","sem dano"),IF($OE36=1,"cura ","")&amp;$PI36&amp;"d8")))</f>
        <v/>
      </c>
      <c r="PQ36" s="155">
        <f>IF($OE36=2,3*$PJ36&amp;" de vida temp.",IF($OE36=3,"sem dano",IF($PJ36=0,IF($OE36=1,"sem cura","sem dano"),IF($OE36=1,"cura ","")&amp;$PJ36&amp;"d8")))</f>
        <v/>
      </c>
      <c r="PR36" s="155">
        <f>IF($NB36=0,"",TEXTJOIN(" · ",TRUE,IF($MO36&gt;$NC36,"Este lugar abre no nível "&amp;$MO36,""),IF($MQ36&gt;$ND36,"Classe "&amp;$MQ36&amp;": o nível "&amp;$NC36&amp;" libera até a "&amp;$ND36,""),IF($NV36=1,"A Forma "&amp;$MS36&amp;" pede "&amp;INDEX($W$2:$W$11,$NH36)&amp;" aberta",""),IF(AND($MQ36=0,$NH36&gt;0,IF($NH36=0,0,INDEX($AF$2:$AF$11,$NH36))=0),$MS36&amp;" não existe na Classe 0",""),IF($NW36=1,"Família Fechada: "&amp;$MV36,""),IF($NX36=1,"Família Fechada: "&amp;$MW36,""),IF($NY36=1,"Família Fechada: "&amp;$MX36,""),IF($NZ36=1,"Família Fechada: "&amp;$MY36,""),IF(AND($MQ36&gt;0,$OS36&gt;INDEX($O$2:$O$8,MAX(1,$MQ36))),$OS36&amp;" Melhorias: a Classe "&amp;$MQ36&amp;" aceita "&amp;INDEX($O$2:$O$8,MAX(1,$MQ36)),""),IF(AND($MQ36=0,$OS36&gt;1),"A básica aceita uma Melhoria",""),IF(AND($MQ36=0,COUNTIF($NM36:$NP36,"&gt;1")&gt;0),"A básica só aceita Melhoria Leve",""),IF(AND($MQ36&gt;0,$OT36&gt;2),$OT36&amp;" Restrições"&amp;IF($OD36=1,", contando a que a Forma "&amp;$MS36&amp;" já traz","")&amp;": o limite é 2",""),IF(AND($MQ36=0,COUNTIF($MZ36:$NA36,"?*")&gt;1),"A básica aceita uma Restrição Leve",""),IF(AND($MQ36=0,COUNTIF($OG36:$OH36,2)&gt;0),"A básica só aceita Restrição Leve",""),IF(AND($MQ36&gt;0,$PA36&lt;0),"Orçamento estourado: faltam "&amp;(-$PA36)&amp;IF($PA36&lt;-1," pontos"," ponto"),""),IF(IFERROR(VLOOKUP($MZ36,$BC$2:$BG$24,4,FALSE),0)+IFERROR(VLOOKUP($NA36,$BC$2:$BG$24,4,FALSE),0)&gt;1,$OI36&amp;" e "&amp;$OJ36&amp;" são as duas de frequência",""),IF(AND((COUNTIF($MV36:$MY36,"Rápido")+COUNTIF($OI36:$OJ36,"Rápido"))&gt;0,(COUNTIF($MV36:$MY36,"Atrasar")+COUNTIF($OI36:$OJ36,"Atrasar"))&gt;0),"Rápido não entra com Atrasar",""),IF(AND((COUNTIF($MV36:$MY36,"Reação")+COUNTIF($OI36:$OJ36,"Reação"))&gt;0,(COUNTIF($MV36:$MY36,"Rápido")+COUNTIF($OI36:$OJ36,"Rápido"))&gt;0),"Reação não entra com Rápido",""),IF(AND((COUNTIF($MV36:$MY36,"Reação")+COUNTIF($OI36:$OJ36,"Reação"))&gt;0,(COUNTIF($MV36:$MY36,"Armado")+COUNTIF($OI36:$OJ36,"Armado"))&gt;0),"Reação não entra com Armado",""),IF(AND((COUNTIF($MV36:$MY36,"Reação")+COUNTIF($OI36:$OJ36,"Reação"))&gt;0,(COUNTIF($MV36:$MY36,"Atrasar")+COUNTIF($OI36:$OJ36,"Atrasar"))&gt;0),"Reação não entra com Atrasar",""),IF(AND((COUNTIF($MV36:$MY36,"Reação")+COUNTIF($OI36:$OJ36,"Reação"))&gt;0,(COUNTIF($MV36:$MY36,"Parado")+COUNTIF($OI36:$OJ36,"Parado"))&gt;0),"Reação não entra com Parado",""),IF(AND((COUNTIF($MV36:$MY36,"Atrasar")+COUNTIF($OI36:$OJ36,"Atrasar"))&gt;0,(COUNTIF($MV36:$MY36,"Parado")+COUNTIF($OI36:$OJ36,"Parado"))&gt;0),"Atrasar não entra com Parado",""),IF(AND((COUNTIF($MV36:$MY36,"Armado")+COUNTIF($OI36:$OJ36,"Armado"))&gt;0,(COUNTIF($MV36:$MY36,"Carregar")+COUNTIF($OI36:$OJ36,"Carregar"))&gt;0),"Armado não entra com Carregar",""),IF(AND(COUNTIF($OI36:$OJ36,"Corpo a Corpo")&gt;0,$OD36=0,OR($MS36="Cone",$MS36="Linha")),"Corpo a Corpo não entra em "&amp;$MS36,""),IF(AND(COUNTIF($OI36:$OJ36,"Corpo a Corpo")&gt;0,$OD36=1),"A Forma "&amp;$MS36&amp;" já traz o Corpo a Corpo",""),IF(AND(COUNTIF($OI36:$OJ36,"Tudo ou Nada")&gt;0,$OF36=0),"Tudo ou Nada só entra em habilidade de Teste de Resistência",""),IF(AND(COUNTIF($MV36:$MY36,"Inescapável")&gt;0,OR($OS36&gt;1,$OT36&gt;0)),"Inescapável não aceita outra peça",""),IF(AND($MQ36&gt;0,$PB36*IF(COUNTIF($MV36:$MY36,"Remate")&gt;0,1.25,1)+$PC36&gt;4*$MQ36),($PB36*IF(COUNTIF($MV36:$MY36,"Remate")&gt;0,1.25,1)+$PC36)&amp;" dados somando repetições"&amp;IF(COUNTIF($MV36:$MY36,"Remate")&gt;0," e o Remate","")&amp;": o teto da Classe "&amp;$MQ36&amp;" é "&amp;4*$MQ36,"")))</f>
        <v/>
      </c>
      <c r="PS36" s="155">
        <f>IF($PR36="",0,(LEN($PR36)-LEN(SUBSTITUTE($PR36," · ","")))/3+1)</f>
        <v/>
      </c>
      <c r="PT36" s="155">
        <f>IF($NB36=0,"",TEXTJOIN(" · ",TRUE,IF($OV36&gt;2*$MQ36,"A devolução parou no teto de "&amp;2*$MQ36,""),IF($OY36&gt;0,"Devolução perdida: "&amp;$OY36&amp;IF($OY36&gt;1," pontos"," ponto")&amp;" sem peça para pagar",""),IF(AND($OA36&gt;0,AND($MQ36&gt;0,$OE36=0),$PB36=0),"Controle sem dano: uma rodada a mais e CD +2",""),IF(AND($OA36&gt;0,AND($MQ36&gt;0,$OE36=0),$PB36&gt;0,$PB36&lt;=$MQ36),"Controle com saldo até a Classe: uma rodada a mais",""),IF(AND($MQ36&gt;0,$OC36&lt;&gt;""),"Efeito de "&amp;$OC36&amp;" pela Classe "&amp;MAX(1,$MQ36-1),"")))</f>
        <v/>
      </c>
      <c r="PU36" s="155">
        <f>IF($PT36="",0,(LEN($PT36)-LEN(SUBSTITUTE($PT36," · ","")))/3+1)</f>
        <v/>
      </c>
      <c r="PV36" s="155">
        <f>IF($NB36=0,IF($OS36+COUNTIF($MZ36:$NA36,"?*")&gt;0,"Dê um nome",""),IF($PS36&gt;0,"⚠ "&amp;$PS36&amp;IF($PS36&gt;1," erros"," erro"),IF($PU36&gt;0,"! "&amp;$PU36&amp;IF($PU36&gt;1," avisos"," aviso"),"Na regra")))</f>
        <v/>
      </c>
      <c r="PW36" s="155">
        <f>IF($NB36=0,"",IF($PS36+$PU36=0,"Dentro das regras que a ficha confere",$PR36&amp;IF(AND($PS36&gt;0,$PU36&gt;0)," · ","")&amp;$PT36))</f>
        <v/>
      </c>
      <c r="PX36" s="155">
        <f>IF($MO36&gt;$NC36,$MP36&amp;" · ABRE NO NÍVEL "&amp;$MO36,$MP36)</f>
        <v/>
      </c>
      <c r="PY36" s="155">
        <f>IF($NB36=0,"",IF($MQ36=0,"Sem PE",3*$MQ36&amp;" PE"))</f>
        <v/>
      </c>
      <c r="PZ36" s="155">
        <f>IF($NB36=0,"",IF($MQ36=0,"A atuação básica dela",IF(COUNTIF($OI36:$OJ36,"Atrasar")&gt;0,"Sua Ação Completa",IF(COUNTIF($MV36:$MY36,"Rápido")&gt;0,"Sua Bônus",IF(COUNTIF($MV36:$MY36,"Reação")&gt;0,"Sua Reação","Sua Padrão")))&amp;" + a básica dela"&amp;IF(COUNTIF($MV36:$MY36,"Reação")&gt;0," e a coletiva","")&amp;IF(COUNTIF($OI36:$OJ36,"Carregar")&gt;0," · em dois turnos","")))</f>
        <v/>
      </c>
      <c r="QA36" s="155">
        <f>IF($MU36&lt;&gt;"",$MU36,IF($NH36=0,"",INDEX($AA$2:$AA$11,$NH36)))</f>
        <v/>
      </c>
      <c r="QB36" s="155">
        <f>IF(OR($NB36=0,$NH36=0),"",IF(COUNTIF($MV36:$MY36,"Inescapável")&gt;0,"Automático",IF($QA36="Ataque",IF($NF36="","Ataque","Ataque "&amp;IF(($NF36+2*IF(COUNTIF($MV36:$MY36,"Precisão")&gt;0,1,0))&gt;=0,"+","−")&amp;ABS(($NF36+2*IF(COUNTIF($MV36:$MY36,"Precisão")&gt;0,1,0))))&amp;IF($OB36&gt;0," · TR"&amp;IF($NG36="",""," CD "&amp;$NG36),""),IF(LEFT($QA36,2)="TR",$QA36&amp;IF($NG36="",""," · CD "&amp;$NG36)&amp;IF(COUNTIF($MV36:$MY36,"Certeiro")&gt;0," · metade",""),"Sem rolagem"))))</f>
        <v/>
      </c>
      <c r="QC36" s="155">
        <f>IF(OR($NB36=0,$NH36=0),"",IF($MQ36=0,IF(OR($OE36&gt;=1,$PB36=0),"Sem dano",$PB36&amp;"d6"&amp;IF($MT36="",""," "&amp;$MT36)),IF(OR($OE36&gt;=1,$PB36=0),UPPER(LEFT(INDEX($PK36:$PQ36,1,MAX(1,$MQ36)),1))&amp;MID(INDEX($PK36:$PQ36,1,MAX(1,$MQ36)),2,99),UPPER(LEFT(INDEX($PK36:$PQ36,1,MAX(1,$MQ36)),1))&amp;MID(INDEX($PK36:$PQ36,1,MAX(1,$MQ36)),2,99)&amp;IF($MT36="",""," "&amp;$MT36)&amp;IF($PC36&gt;0," · +"&amp;$PC36&amp;"d8",""))))</f>
        <v/>
      </c>
      <c r="QD36" s="155">
        <f>COUNTIF($MV36:$MY36,"Longe")+3*COUNTIF($MV36:$MY36,"Muito Longe")</f>
        <v/>
      </c>
      <c r="QE36" s="155">
        <f>COUNTIF($MV36:$MY36,"Maior")+3*COUNTIF($MV36:$MY36,"Muito Maior")</f>
        <v/>
      </c>
      <c r="QF36" s="155">
        <f>IF($NH36=0,0,CHOOSE(1+INDEX($AC$2:$AC$11,$NH36),0,$QD36,$QE36,$QD36+$QE36))</f>
        <v/>
      </c>
      <c r="QG36" s="155">
        <f>IF($NH36=0,0,CHOOSE(1+INDEX($AD$2:$AD$11,$NH36),0,$QD36,$QE36,$QD36+$QE36))</f>
        <v/>
      </c>
      <c r="QH36" s="155">
        <f>IF(OR($NB36=0,$NH36=0),"",INDEX($AI$2:$AN$41,($NH36-1)*4+IF($MQ36=0,1,IF($MQ36&lt;=5,2,IF($MQ36=6,3,4))),1+MIN(5,$QF36))&amp;INDEX($AO$2:$AT$41,($NH36-1)*4+IF($MQ36=0,1,IF($MQ36&lt;=5,2,IF($MQ36=6,3,4))),1+MIN(5,$QG36))&amp;IF(INDEX($AE$2:$AE$11,$NH36)=1,IF(COUNTIF($MV36:$MY36,"Mais Um")&gt;0," · +"&amp;COUNTIF($MV36:$MY36,"Mais Um")&amp;IF(COUNTIF($MV36:$MY36,"Mais Um")&gt;1," alvos"," alvo"),"")&amp;IF(COUNTIF($MV36:$MY36,"Rajada")&gt;0,IF($MQ36=0," · 1 tiro"," · "&amp;(MAX(1,$MQ36-1)+1)&amp;" tiros"),""),""))</f>
        <v/>
      </c>
      <c r="QI36" s="155">
        <f>IF($NB36=0,"",IF($MQ36=0,$NE36&amp;"d6"&amp;IF($OS36&gt;0," − 1 = "&amp;$PB36&amp;"d6"," da básica do nível "&amp;$NC36),$OZ36&amp;" − "&amp;$OU36&amp;" + "&amp;$OX36&amp;" = "&amp;$PA36&amp;" · teto "&amp;4*$MQ36&amp;"d8"&amp;IF($OD36=1," · a Forma devolve "&amp;$MQ36,"")&amp;IF($OY36&gt;0," · perde "&amp;$OY36,"")))</f>
        <v/>
      </c>
      <c r="QJ36" s="155">
        <f>IF($NB36=0,"",IF($MQ36=0,"A básica não amplia: os dados dela sobem com o nível",IF($MQ36&gt;=$ND36,"Já está na maior Classe que o nível liberou",TEXTJOIN(" · ",TRUE,IF(AND(2&gt;$MQ36,2&lt;=$ND36),"2 → "&amp;$PL36&amp;", 6 PE",""),IF(AND(3&gt;$MQ36,3&lt;=$ND36),"3 → "&amp;$PM36&amp;", 9 PE",""),IF(AND(4&gt;$MQ36,4&lt;=$ND36),"4 → "&amp;$PN36&amp;", 12 PE",""),IF(AND(5&gt;$MQ36,5&lt;=$ND36),"5 → "&amp;$PO36&amp;", 15 PE",""),IF(AND(6&gt;$MQ36,6&lt;=$ND36),"6 → "&amp;$PP36&amp;", 18 PE",""),IF(AND(7&gt;$MQ36,7&lt;=$ND36),"7 → "&amp;$PQ36&amp;", 21 PE","")))))</f>
        <v/>
      </c>
      <c r="QK36" s="155">
        <f>IF(OR($NB36=0,$NM36=0),"",IF($MQ36=0,"−1 dado","−"&amp;INDEX($I$2:$N$8,MAX(1,$MQ36),MAX(1,$NR36))&amp;" · "&amp;CHOOSE(MAX(1,$NR36),"Leve","Média","Pesada","Leve · Livre","Média · Livre","Pesada · Livre")))</f>
        <v/>
      </c>
      <c r="QL36" s="155">
        <f>IF(OR($NB36=0,$NN36=0),"",IF($MQ36=0,"−1 dado","−"&amp;INDEX($I$2:$N$8,MAX(1,$MQ36),MAX(1,$NS36))&amp;" · "&amp;CHOOSE(MAX(1,$NS36),"Leve","Média","Pesada","Leve · Livre","Média · Livre","Pesada · Livre")))</f>
        <v/>
      </c>
      <c r="QM36" s="155">
        <f>IF(OR($NB36=0,$NO36=0),"",IF($MQ36=0,"−1 dado","−"&amp;INDEX($I$2:$N$8,MAX(1,$MQ36),MAX(1,$NT36))&amp;" · "&amp;CHOOSE(MAX(1,$NT36),"Leve","Média","Pesada","Leve · Livre","Média · Livre","Pesada · Livre")))</f>
        <v/>
      </c>
      <c r="QN36" s="155">
        <f>IF(OR($NB36=0,$NP36=0),"",IF($MQ36=0,"−1 dado","−"&amp;INDEX($I$2:$N$8,MAX(1,$MQ36),MAX(1,$NU36))&amp;" · "&amp;CHOOSE(MAX(1,$NU36),"Leve","Média","Pesada","Leve · Livre","Média · Livre","Pesada · Livre")))</f>
        <v/>
      </c>
      <c r="QO36" s="155">
        <f>IF(OR($NB36=0,$MZ36=""),"",IF($MQ36=0,"não devolve","+"&amp;IF($OG36=1,CEILING($MQ36/2,1),$MQ36)))</f>
        <v/>
      </c>
      <c r="QP36" s="155">
        <f>IF(OR($NB36=0,$NA36=""),"",IF($MQ36=0,"não devolve","+"&amp;IF($OH36=1,CEILING($MQ36/2,1),$MQ36)))</f>
        <v/>
      </c>
    </row>
    <row r="37">
      <c r="AH37" s="153" t="inlineStr">
        <is>
          <t>Onda · classe 7</t>
        </is>
      </c>
      <c r="AI37" s="153" t="inlineStr">
        <is>
          <t>Raio 4,5 m, nela</t>
        </is>
      </c>
      <c r="AJ37" s="153" t="inlineStr">
        <is>
          <t>Raio 6 m, nela</t>
        </is>
      </c>
      <c r="AK37" s="153" t="inlineStr">
        <is>
          <t>Raio 9 m, nela</t>
        </is>
      </c>
      <c r="AL37" s="153" t="inlineStr">
        <is>
          <t>Raio 15 m, nela</t>
        </is>
      </c>
      <c r="AM37" s="153" t="inlineStr">
        <is>
          <t>Raio 15 m, nela</t>
        </is>
      </c>
      <c r="AN37" s="153" t="inlineStr">
        <is>
          <t>Raio 15 m, nela</t>
        </is>
      </c>
      <c r="AO37" s="153" t="inlineStr"/>
      <c r="AP37" s="153" t="inlineStr"/>
      <c r="AQ37" s="153" t="inlineStr"/>
      <c r="AR37" s="153" t="inlineStr"/>
      <c r="AS37" s="153" t="inlineStr"/>
      <c r="AT37" s="153" t="inlineStr"/>
      <c r="AV37" s="153" t="inlineStr">
        <is>
          <t>Atordoado</t>
        </is>
      </c>
      <c r="AW37" s="153" t="inlineStr">
        <is>
          <t>Controle</t>
        </is>
      </c>
      <c r="AX37" s="155" t="n">
        <v>3</v>
      </c>
      <c r="AY37" s="155" t="n">
        <v>1</v>
      </c>
      <c r="AZ37" s="155" t="n">
        <v>0</v>
      </c>
      <c r="BA37" s="155" t="n">
        <v>1</v>
      </c>
      <c r="JR37" s="155">
        <f>IF(OR($AW37="",COUNTIF($EJ$2:$EN$2,$AW37)&gt;0),$AV37,"")</f>
        <v/>
      </c>
      <c r="JS37" s="155">
        <f>IF(AND($AX37=1,OR($AW37="",COUNTIF($EJ$2:$EN$2,$AW37)&gt;0)),$AV37,"")</f>
        <v/>
      </c>
      <c r="JX37" s="155">
        <f>IF(OR($AW37="",COUNTIF($EJ$3:$EN$3,$AW37)&gt;0),$AV37,"")</f>
        <v/>
      </c>
      <c r="JY37" s="155">
        <f>IF(AND($AX37=1,OR($AW37="",COUNTIF($EJ$3:$EN$3,$AW37)&gt;0)),$AV37,"")</f>
        <v/>
      </c>
      <c r="KD37" s="155">
        <f>IF(OR($AW37="",COUNTIF($EJ$4:$EN$4,$AW37)&gt;0),$AV37,"")</f>
        <v/>
      </c>
      <c r="KE37" s="155">
        <f>IF(AND($AX37=1,OR($AW37="",COUNTIF($EJ$4:$EN$4,$AW37)&gt;0)),$AV37,"")</f>
        <v/>
      </c>
      <c r="KJ37" s="155">
        <f>IF(OR($AW37="",COUNTIF($EJ$5:$EN$5,$AW37)&gt;0),$AV37,"")</f>
        <v/>
      </c>
      <c r="KK37" s="155">
        <f>IF(AND($AX37=1,OR($AW37="",COUNTIF($EJ$5:$EN$5,$AW37)&gt;0)),$AV37,"")</f>
        <v/>
      </c>
      <c r="KP37" s="155">
        <f>IF(OR($AW37="",COUNTIF($EJ$6:$EN$6,$AW37)&gt;0),$AV37,"")</f>
        <v/>
      </c>
      <c r="KQ37" s="155">
        <f>IF(AND($AX37=1,OR($AW37="",COUNTIF($EJ$6:$EN$6,$AW37)&gt;0)),$AV37,"")</f>
        <v/>
      </c>
      <c r="KV37" s="155">
        <f>IF(OR($AW37="",COUNTIF($EJ$7:$EN$7,$AW37)&gt;0),$AV37,"")</f>
        <v/>
      </c>
      <c r="KW37" s="155">
        <f>IF(AND($AX37=1,OR($AW37="",COUNTIF($EJ$7:$EN$7,$AW37)&gt;0)),$AV37,"")</f>
        <v/>
      </c>
      <c r="LB37" s="155">
        <f>IF(OR($AW37="",COUNTIF($EJ$8:$EN$8,$AW37)&gt;0),$AV37,"")</f>
        <v/>
      </c>
      <c r="LC37" s="155">
        <f>IF(AND($AX37=1,OR($AW37="",COUNTIF($EJ$8:$EN$8,$AW37)&gt;0)),$AV37,"")</f>
        <v/>
      </c>
      <c r="LH37" s="155">
        <f>IF(OR($AW37="",COUNTIF($EJ$9:$EN$9,$AW37)&gt;0),$AV37,"")</f>
        <v/>
      </c>
      <c r="LI37" s="155">
        <f>IF(AND($AX37=1,OR($AW37="",COUNTIF($EJ$9:$EN$9,$AW37)&gt;0)),$AV37,"")</f>
        <v/>
      </c>
      <c r="LN37" s="155">
        <f>IF(OR($AW37="",COUNTIF($EJ$10:$EN$10,$AW37)&gt;0),$AV37,"")</f>
        <v/>
      </c>
      <c r="LO37" s="155">
        <f>IF(AND($AX37=1,OR($AW37="",COUNTIF($EJ$10:$EN$10,$AW37)&gt;0)),$AV37,"")</f>
        <v/>
      </c>
      <c r="LT37" s="155">
        <f>IF(OR($AW37="",COUNTIF($EJ$11:$EN$11,$AW37)&gt;0),$AV37,"")</f>
        <v/>
      </c>
      <c r="LU37" s="155">
        <f>IF(AND($AX37=1,OR($AW37="",COUNTIF($EJ$11:$EN$11,$AW37)&gt;0)),$AV37,"")</f>
        <v/>
      </c>
      <c r="LZ37" s="155">
        <f>IF(OR($AW37="",COUNTIF($EJ$12:$EN$12,$AW37)&gt;0),$AV37,"")</f>
        <v/>
      </c>
      <c r="MA37" s="155">
        <f>IF(AND($AX37=1,OR($AW37="",COUNTIF($EJ$12:$EN$12,$AW37)&gt;0)),$AV37,"")</f>
        <v/>
      </c>
      <c r="MF37" s="155">
        <f>IF(OR($AW37="",COUNTIF($EJ$13:$EN$13,$AW37)&gt;0),$AV37,"")</f>
        <v/>
      </c>
      <c r="MG37" s="155">
        <f>IF(AND($AX37=1,OR($AW37="",COUNTIF($EJ$13:$EN$13,$AW37)&gt;0)),$AV37,"")</f>
        <v/>
      </c>
      <c r="ML37" s="153" t="inlineStr">
        <is>
          <t>Ficha 3 · Especial 8</t>
        </is>
      </c>
      <c r="MM37" s="155" t="n">
        <v>3</v>
      </c>
      <c r="MN37" s="155" t="n">
        <v>1</v>
      </c>
      <c r="MO37" s="155" t="n">
        <v>28</v>
      </c>
      <c r="MP37" s="153" t="inlineStr">
        <is>
          <t>ESPECIAL 8</t>
        </is>
      </c>
      <c r="MQ37" s="155">
        <f>MAX(1,MIN(7,N('INVOCAÇÕES'!$I$532)))</f>
        <v/>
      </c>
      <c r="MR37" s="155">
        <f>'INVOCAÇÕES'!$J$532&amp;""</f>
        <v/>
      </c>
      <c r="MS37" s="155">
        <f>'INVOCAÇÕES'!$I$537&amp;""</f>
        <v/>
      </c>
      <c r="MT37" s="155">
        <f>'INVOCAÇÕES'!$I$538&amp;""</f>
        <v/>
      </c>
      <c r="MU37" s="155">
        <f>'INVOCAÇÕES'!$K$538&amp;""</f>
        <v/>
      </c>
      <c r="MV37" s="155">
        <f>'INVOCAÇÕES'!$J$541&amp;""</f>
        <v/>
      </c>
      <c r="MW37" s="155">
        <f>'INVOCAÇÕES'!$J$542&amp;""</f>
        <v/>
      </c>
      <c r="MX37" s="155">
        <f>'INVOCAÇÕES'!$J$543&amp;""</f>
        <v/>
      </c>
      <c r="MY37" s="155">
        <f>'INVOCAÇÕES'!$J$544&amp;""</f>
        <v/>
      </c>
      <c r="MZ37" s="155">
        <f>'INVOCAÇÕES'!$J$545&amp;""</f>
        <v/>
      </c>
      <c r="NA37" s="155">
        <f>'INVOCAÇÕES'!$J$546&amp;""</f>
        <v/>
      </c>
      <c r="NB37" s="155">
        <f>IF($MR37&lt;&gt;"",1,0)</f>
        <v/>
      </c>
      <c r="NC37" s="155">
        <f>INDEX($FM$2:$FM$13,$MM37)</f>
        <v/>
      </c>
      <c r="ND37" s="155">
        <f>INDEX($FN$2:$FN$13,$MM37)</f>
        <v/>
      </c>
      <c r="NE37" s="155">
        <f>INDEX($FO$2:$FO$13,$MM37)</f>
        <v/>
      </c>
      <c r="NF37" s="155">
        <f>INDEX($FZ$2:$FZ$13,$MM37)</f>
        <v/>
      </c>
      <c r="NG37" s="155">
        <f>INDEX($GA$2:$GA$13,$MM37)</f>
        <v/>
      </c>
      <c r="NH37" s="155">
        <f>IFERROR(MATCH($MS37,$V$2:$V$11,0),0)</f>
        <v/>
      </c>
      <c r="NI37" s="155">
        <f>IFERROR(VLOOKUP($MV37,$AV$2:$BA$84,2,FALSE),"")</f>
        <v/>
      </c>
      <c r="NJ37" s="155">
        <f>IFERROR(VLOOKUP($MW37,$AV$2:$BA$84,2,FALSE),"")</f>
        <v/>
      </c>
      <c r="NK37" s="155">
        <f>IFERROR(VLOOKUP($MX37,$AV$2:$BA$84,2,FALSE),"")</f>
        <v/>
      </c>
      <c r="NL37" s="155">
        <f>IFERROR(VLOOKUP($MY37,$AV$2:$BA$84,2,FALSE),"")</f>
        <v/>
      </c>
      <c r="NM37" s="155">
        <f>IFERROR(VLOOKUP($MV37,$AV$2:$BA$84,3,FALSE),0)</f>
        <v/>
      </c>
      <c r="NN37" s="155">
        <f>IFERROR(VLOOKUP($MW37,$AV$2:$BA$84,3,FALSE),0)</f>
        <v/>
      </c>
      <c r="NO37" s="155">
        <f>IFERROR(VLOOKUP($MX37,$AV$2:$BA$84,3,FALSE),0)</f>
        <v/>
      </c>
      <c r="NP37" s="155">
        <f>IFERROR(VLOOKUP($MY37,$AV$2:$BA$84,3,FALSE),0)</f>
        <v/>
      </c>
      <c r="NQ37" s="155">
        <f>IF($MQ37=0,0,IF($NH37=0,0,INDEX($X$2:$X$11,$NH37)))</f>
        <v/>
      </c>
      <c r="NR37" s="155">
        <f>IF(OR($NM37=0,$MQ37=0),0,$NM37+3*IF(AND($NI37&lt;&gt;"",OR($NI37=INDEX($EJ$2:$EJ$13,$MM37),$NI37=INDEX($EK$2:$EK$13,$MM37))),1,0))</f>
        <v/>
      </c>
      <c r="NS37" s="155">
        <f>IF(OR($NN37=0,$MQ37=0),0,$NN37+3*IF(AND($NJ37&lt;&gt;"",OR($NJ37=INDEX($EJ$2:$EJ$13,$MM37),$NJ37=INDEX($EK$2:$EK$13,$MM37))),1,0))</f>
        <v/>
      </c>
      <c r="NT37" s="155">
        <f>IF(OR($NO37=0,$MQ37=0),0,$NO37+3*IF(AND($NK37&lt;&gt;"",OR($NK37=INDEX($EJ$2:$EJ$13,$MM37),$NK37=INDEX($EK$2:$EK$13,$MM37))),1,0))</f>
        <v/>
      </c>
      <c r="NU37" s="155">
        <f>IF(OR($NP37=0,$MQ37=0),0,$NP37+3*IF(AND($NL37&lt;&gt;"",OR($NL37=INDEX($EJ$2:$EJ$13,$MM37),$NL37=INDEX($EK$2:$EK$13,$MM37))),1,0))</f>
        <v/>
      </c>
      <c r="NV37" s="155">
        <f>IF($NH37=0,0,IF(INDEX($W$2:$W$11,$NH37)="",0,IF(COUNTIF(INDEX($EJ$2:$EN$13,$MM37,0),INDEX($W$2:$W$11,$NH37))=0,1,0)))</f>
        <v/>
      </c>
      <c r="NW37" s="155">
        <f>IF(OR($NM37=0,$NI37=""),0,IF(COUNTIF(INDEX($EJ$2:$EN$13,$MM37,0),$NI37)=0,1,0))</f>
        <v/>
      </c>
      <c r="NX37" s="155">
        <f>IF(OR($NN37=0,$NJ37=""),0,IF(COUNTIF(INDEX($EJ$2:$EN$13,$MM37,0),$NJ37)=0,1,0))</f>
        <v/>
      </c>
      <c r="NY37" s="155">
        <f>IF(OR($NO37=0,$NK37=""),0,IF(COUNTIF(INDEX($EJ$2:$EN$13,$MM37,0),$NK37)=0,1,0))</f>
        <v/>
      </c>
      <c r="NZ37" s="155">
        <f>IF(OR($NP37=0,$NL37=""),0,IF(COUNTIF(INDEX($EJ$2:$EN$13,$MM37,0),$NL37)=0,1,0))</f>
        <v/>
      </c>
      <c r="OA37" s="155">
        <f>IFERROR(VLOOKUP($MV37,$AV$2:$BA$84,4,FALSE),0)+IFERROR(VLOOKUP($MW37,$AV$2:$BA$84,4,FALSE),0)+IFERROR(VLOOKUP($MX37,$AV$2:$BA$84,4,FALSE),0)+IFERROR(VLOOKUP($MY37,$AV$2:$BA$84,4,FALSE),0)</f>
        <v/>
      </c>
      <c r="OB37" s="155">
        <f>IFERROR(VLOOKUP($MV37,$AV$2:$BA$84,6,FALSE),0)+IFERROR(VLOOKUP($MW37,$AV$2:$BA$84,6,FALSE),0)+IFERROR(VLOOKUP($MX37,$AV$2:$BA$84,6,FALSE),0)+IFERROR(VLOOKUP($MY37,$AV$2:$BA$84,6,FALSE),0)</f>
        <v/>
      </c>
      <c r="OC37" s="155">
        <f>TEXTJOIN(", ",TRUE,IF(IFERROR(VLOOKUP($MV37,$AV$2:$BA$84,5,FALSE),0)=1,$MV37,""),IF(IFERROR(VLOOKUP($MW37,$AV$2:$BA$84,5,FALSE),0)=1,$MW37,""),IF(IFERROR(VLOOKUP($MX37,$AV$2:$BA$84,5,FALSE),0)=1,$MX37,""),IF(IFERROR(VLOOKUP($MY37,$AV$2:$BA$84,5,FALSE),0)=1,$MY37,""))</f>
        <v/>
      </c>
      <c r="OD37" s="155">
        <f>IF($NH37=0,0,INDEX($Y$2:$Y$11,$NH37))</f>
        <v/>
      </c>
      <c r="OE37" s="155">
        <f>IF($NH37=0,0,INDEX($Z$2:$Z$11,$NH37))</f>
        <v/>
      </c>
      <c r="OF37" s="155">
        <f>IF($NH37=0,0,INDEX($AB$2:$AB$11,$NH37))</f>
        <v/>
      </c>
      <c r="OG37" s="155">
        <f>IFERROR(VLOOKUP($MZ37,$BC$2:$BG$24,3,FALSE),0)</f>
        <v/>
      </c>
      <c r="OH37" s="155">
        <f>IFERROR(VLOOKUP($NA37,$BC$2:$BG$24,3,FALSE),0)</f>
        <v/>
      </c>
      <c r="OI37" s="155">
        <f>IFERROR(VLOOKUP($MZ37,$BC$2:$BG$24,2,FALSE),"")</f>
        <v/>
      </c>
      <c r="OJ37" s="155">
        <f>IFERROR(VLOOKUP($NA37,$BC$2:$BG$24,2,FALSE),"")</f>
        <v/>
      </c>
      <c r="OK37" s="155">
        <f>COUNTIF($NQ37:$NU37,1)</f>
        <v/>
      </c>
      <c r="OL37" s="155">
        <f>COUNTIF($NQ37:$NU37,2)</f>
        <v/>
      </c>
      <c r="OM37" s="155">
        <f>COUNTIF($NQ37:$NU37,3)</f>
        <v/>
      </c>
      <c r="ON37" s="155">
        <f>COUNTIF($NQ37:$NU37,4)</f>
        <v/>
      </c>
      <c r="OO37" s="155">
        <f>COUNTIF($NQ37:$NU37,5)</f>
        <v/>
      </c>
      <c r="OP37" s="155">
        <f>COUNTIF($NQ37:$NU37,6)</f>
        <v/>
      </c>
      <c r="OQ37" s="155">
        <f>COUNTIF($OG37:$OH37,1)</f>
        <v/>
      </c>
      <c r="OR37" s="155">
        <f>COUNTIF($OG37:$OH37,2)+$OD37</f>
        <v/>
      </c>
      <c r="OS37" s="155">
        <f>COUNTIF($MV37:$MY37,"?*")</f>
        <v/>
      </c>
      <c r="OT37" s="155">
        <f>COUNTIF($MZ37:$NA37,"?*")+$OD37</f>
        <v/>
      </c>
      <c r="OU37" s="155">
        <f>IF($MQ37=0,0,SUMPRODUCT($OK37:$OP37,INDEX($I$2:$N$8,MAX(1,$MQ37),0)))</f>
        <v/>
      </c>
      <c r="OV37" s="155">
        <f>IF($MQ37=0,0,$OQ37*CEILING($MQ37/2,1)+$OR37*$MQ37)</f>
        <v/>
      </c>
      <c r="OW37" s="155">
        <f>MIN(2*$MQ37,$OV37)</f>
        <v/>
      </c>
      <c r="OX37" s="155">
        <f>MIN($OW37,$OU37)</f>
        <v/>
      </c>
      <c r="OY37" s="155">
        <f>$OW37-$OX37</f>
        <v/>
      </c>
      <c r="OZ37" s="155">
        <f>IF($MQ37=0,0,INDEX($P$2:$P$8,MAX(1,$MQ37)))</f>
        <v/>
      </c>
      <c r="PA37" s="155">
        <f>$OZ37-$OU37+$OX37</f>
        <v/>
      </c>
      <c r="PB37" s="155">
        <f>IF($MQ37=0,MAX(0,$NE37-IF($OS37&gt;0,1,0)),MAX(0,$PA37))</f>
        <v/>
      </c>
      <c r="PC37" s="155">
        <f>IF($MQ37=0,0,(IF(COUNTIF($MV37:$MY37,"Salto")&gt;0,1,0)+IF(COUNTIF($MV37:$MY37,"Queima")&gt;0,1,0)+IF(COUNTIF($MV37:$MY37,"Estilhaço")&gt;0,1,0))*FLOOR($PB37/2,1))</f>
        <v/>
      </c>
      <c r="PD37" s="155">
        <f>MAX(0,2-SUMPRODUCT($OK37:$OP37,$I$2:$N$2)+MIN(2,$OQ37*1+$OR37*1,SUMPRODUCT($OK37:$OP37,$I$2:$N$2)))</f>
        <v/>
      </c>
      <c r="PE37" s="155">
        <f>MAX(0,4-SUMPRODUCT($OK37:$OP37,$I$3:$N$3)+MIN(4,$OQ37*1+$OR37*2,SUMPRODUCT($OK37:$OP37,$I$3:$N$3)))</f>
        <v/>
      </c>
      <c r="PF37" s="155">
        <f>MAX(0,6-SUMPRODUCT($OK37:$OP37,$I$4:$N$4)+MIN(6,$OQ37*2+$OR37*3,SUMPRODUCT($OK37:$OP37,$I$4:$N$4)))</f>
        <v/>
      </c>
      <c r="PG37" s="155">
        <f>MAX(0,9-SUMPRODUCT($OK37:$OP37,$I$5:$N$5)+MIN(8,$OQ37*2+$OR37*4,SUMPRODUCT($OK37:$OP37,$I$5:$N$5)))</f>
        <v/>
      </c>
      <c r="PH37" s="155">
        <f>MAX(0,11-SUMPRODUCT($OK37:$OP37,$I$6:$N$6)+MIN(10,$OQ37*3+$OR37*5,SUMPRODUCT($OK37:$OP37,$I$6:$N$6)))</f>
        <v/>
      </c>
      <c r="PI37" s="155">
        <f>MAX(0,13-SUMPRODUCT($OK37:$OP37,$I$7:$N$7)+MIN(12,$OQ37*3+$OR37*6,SUMPRODUCT($OK37:$OP37,$I$7:$N$7)))</f>
        <v/>
      </c>
      <c r="PJ37" s="155">
        <f>MAX(0,16-SUMPRODUCT($OK37:$OP37,$I$8:$N$8)+MIN(14,$OQ37*4+$OR37*7,SUMPRODUCT($OK37:$OP37,$I$8:$N$8)))</f>
        <v/>
      </c>
      <c r="PK37" s="155">
        <f>IF($OE37=2,3*$PD37&amp;" de vida temp.",IF($OE37=3,"sem dano",IF($PD37=0,IF($OE37=1,"sem cura","sem dano"),IF($OE37=1,"cura ","")&amp;$PD37&amp;"d8")))</f>
        <v/>
      </c>
      <c r="PL37" s="155">
        <f>IF($OE37=2,3*$PE37&amp;" de vida temp.",IF($OE37=3,"sem dano",IF($PE37=0,IF($OE37=1,"sem cura","sem dano"),IF($OE37=1,"cura ","")&amp;$PE37&amp;"d8")))</f>
        <v/>
      </c>
      <c r="PM37" s="155">
        <f>IF($OE37=2,3*$PF37&amp;" de vida temp.",IF($OE37=3,"sem dano",IF($PF37=0,IF($OE37=1,"sem cura","sem dano"),IF($OE37=1,"cura ","")&amp;$PF37&amp;"d8")))</f>
        <v/>
      </c>
      <c r="PN37" s="155">
        <f>IF($OE37=2,3*$PG37&amp;" de vida temp.",IF($OE37=3,"sem dano",IF($PG37=0,IF($OE37=1,"sem cura","sem dano"),IF($OE37=1,"cura ","")&amp;$PG37&amp;"d8")))</f>
        <v/>
      </c>
      <c r="PO37" s="155">
        <f>IF($OE37=2,3*$PH37&amp;" de vida temp.",IF($OE37=3,"sem dano",IF($PH37=0,IF($OE37=1,"sem cura","sem dano"),IF($OE37=1,"cura ","")&amp;$PH37&amp;"d8")))</f>
        <v/>
      </c>
      <c r="PP37" s="155">
        <f>IF($OE37=2,3*$PI37&amp;" de vida temp.",IF($OE37=3,"sem dano",IF($PI37=0,IF($OE37=1,"sem cura","sem dano"),IF($OE37=1,"cura ","")&amp;$PI37&amp;"d8")))</f>
        <v/>
      </c>
      <c r="PQ37" s="155">
        <f>IF($OE37=2,3*$PJ37&amp;" de vida temp.",IF($OE37=3,"sem dano",IF($PJ37=0,IF($OE37=1,"sem cura","sem dano"),IF($OE37=1,"cura ","")&amp;$PJ37&amp;"d8")))</f>
        <v/>
      </c>
      <c r="PR37" s="155">
        <f>IF($NB37=0,"",TEXTJOIN(" · ",TRUE,IF($MO37&gt;$NC37,"Este lugar abre no nível "&amp;$MO37,""),IF($MQ37&gt;$ND37,"Classe "&amp;$MQ37&amp;": o nível "&amp;$NC37&amp;" libera até a "&amp;$ND37,""),IF($NV37=1,"A Forma "&amp;$MS37&amp;" pede "&amp;INDEX($W$2:$W$11,$NH37)&amp;" aberta",""),IF(AND($MQ37=0,$NH37&gt;0,IF($NH37=0,0,INDEX($AF$2:$AF$11,$NH37))=0),$MS37&amp;" não existe na Classe 0",""),IF($NW37=1,"Família Fechada: "&amp;$MV37,""),IF($NX37=1,"Família Fechada: "&amp;$MW37,""),IF($NY37=1,"Família Fechada: "&amp;$MX37,""),IF($NZ37=1,"Família Fechada: "&amp;$MY37,""),IF(AND($MQ37&gt;0,$OS37&gt;INDEX($O$2:$O$8,MAX(1,$MQ37))),$OS37&amp;" Melhorias: a Classe "&amp;$MQ37&amp;" aceita "&amp;INDEX($O$2:$O$8,MAX(1,$MQ37)),""),IF(AND($MQ37=0,$OS37&gt;1),"A básica aceita uma Melhoria",""),IF(AND($MQ37=0,COUNTIF($NM37:$NP37,"&gt;1")&gt;0),"A básica só aceita Melhoria Leve",""),IF(AND($MQ37&gt;0,$OT37&gt;2),$OT37&amp;" Restrições"&amp;IF($OD37=1,", contando a que a Forma "&amp;$MS37&amp;" já traz","")&amp;": o limite é 2",""),IF(AND($MQ37=0,COUNTIF($MZ37:$NA37,"?*")&gt;1),"A básica aceita uma Restrição Leve",""),IF(AND($MQ37=0,COUNTIF($OG37:$OH37,2)&gt;0),"A básica só aceita Restrição Leve",""),IF(AND($MQ37&gt;0,$PA37&lt;0),"Orçamento estourado: faltam "&amp;(-$PA37)&amp;IF($PA37&lt;-1," pontos"," ponto"),""),IF(IFERROR(VLOOKUP($MZ37,$BC$2:$BG$24,4,FALSE),0)+IFERROR(VLOOKUP($NA37,$BC$2:$BG$24,4,FALSE),0)&gt;1,$OI37&amp;" e "&amp;$OJ37&amp;" são as duas de frequência",""),IF(AND((COUNTIF($MV37:$MY37,"Rápido")+COUNTIF($OI37:$OJ37,"Rápido"))&gt;0,(COUNTIF($MV37:$MY37,"Atrasar")+COUNTIF($OI37:$OJ37,"Atrasar"))&gt;0),"Rápido não entra com Atrasar",""),IF(AND((COUNTIF($MV37:$MY37,"Reação")+COUNTIF($OI37:$OJ37,"Reação"))&gt;0,(COUNTIF($MV37:$MY37,"Rápido")+COUNTIF($OI37:$OJ37,"Rápido"))&gt;0),"Reação não entra com Rápido",""),IF(AND((COUNTIF($MV37:$MY37,"Reação")+COUNTIF($OI37:$OJ37,"Reação"))&gt;0,(COUNTIF($MV37:$MY37,"Armado")+COUNTIF($OI37:$OJ37,"Armado"))&gt;0),"Reação não entra com Armado",""),IF(AND((COUNTIF($MV37:$MY37,"Reação")+COUNTIF($OI37:$OJ37,"Reação"))&gt;0,(COUNTIF($MV37:$MY37,"Atrasar")+COUNTIF($OI37:$OJ37,"Atrasar"))&gt;0),"Reação não entra com Atrasar",""),IF(AND((COUNTIF($MV37:$MY37,"Reação")+COUNTIF($OI37:$OJ37,"Reação"))&gt;0,(COUNTIF($MV37:$MY37,"Parado")+COUNTIF($OI37:$OJ37,"Parado"))&gt;0),"Reação não entra com Parado",""),IF(AND((COUNTIF($MV37:$MY37,"Atrasar")+COUNTIF($OI37:$OJ37,"Atrasar"))&gt;0,(COUNTIF($MV37:$MY37,"Parado")+COUNTIF($OI37:$OJ37,"Parado"))&gt;0),"Atrasar não entra com Parado",""),IF(AND((COUNTIF($MV37:$MY37,"Armado")+COUNTIF($OI37:$OJ37,"Armado"))&gt;0,(COUNTIF($MV37:$MY37,"Carregar")+COUNTIF($OI37:$OJ37,"Carregar"))&gt;0),"Armado não entra com Carregar",""),IF(AND(COUNTIF($OI37:$OJ37,"Corpo a Corpo")&gt;0,$OD37=0,OR($MS37="Cone",$MS37="Linha")),"Corpo a Corpo não entra em "&amp;$MS37,""),IF(AND(COUNTIF($OI37:$OJ37,"Corpo a Corpo")&gt;0,$OD37=1),"A Forma "&amp;$MS37&amp;" já traz o Corpo a Corpo",""),IF(AND(COUNTIF($OI37:$OJ37,"Tudo ou Nada")&gt;0,$OF37=0),"Tudo ou Nada só entra em habilidade de Teste de Resistência",""),IF(AND(COUNTIF($MV37:$MY37,"Inescapável")&gt;0,OR($OS37&gt;1,$OT37&gt;0)),"Inescapável não aceita outra peça",""),IF(AND($MQ37&gt;0,$PB37*IF(COUNTIF($MV37:$MY37,"Remate")&gt;0,1.25,1)+$PC37&gt;4*$MQ37),($PB37*IF(COUNTIF($MV37:$MY37,"Remate")&gt;0,1.25,1)+$PC37)&amp;" dados somando repetições"&amp;IF(COUNTIF($MV37:$MY37,"Remate")&gt;0," e o Remate","")&amp;": o teto da Classe "&amp;$MQ37&amp;" é "&amp;4*$MQ37,"")))</f>
        <v/>
      </c>
      <c r="PS37" s="155">
        <f>IF($PR37="",0,(LEN($PR37)-LEN(SUBSTITUTE($PR37," · ","")))/3+1)</f>
        <v/>
      </c>
      <c r="PT37" s="155">
        <f>IF($NB37=0,"",TEXTJOIN(" · ",TRUE,IF($OV37&gt;2*$MQ37,"A devolução parou no teto de "&amp;2*$MQ37,""),IF($OY37&gt;0,"Devolução perdida: "&amp;$OY37&amp;IF($OY37&gt;1," pontos"," ponto")&amp;" sem peça para pagar",""),IF(AND($OA37&gt;0,AND($MQ37&gt;0,$OE37=0),$PB37=0),"Controle sem dano: uma rodada a mais e CD +2",""),IF(AND($OA37&gt;0,AND($MQ37&gt;0,$OE37=0),$PB37&gt;0,$PB37&lt;=$MQ37),"Controle com saldo até a Classe: uma rodada a mais",""),IF(AND($MQ37&gt;0,$OC37&lt;&gt;""),"Efeito de "&amp;$OC37&amp;" pela Classe "&amp;MAX(1,$MQ37-1),"")))</f>
        <v/>
      </c>
      <c r="PU37" s="155">
        <f>IF($PT37="",0,(LEN($PT37)-LEN(SUBSTITUTE($PT37," · ","")))/3+1)</f>
        <v/>
      </c>
      <c r="PV37" s="155">
        <f>IF($NB37=0,IF($OS37+COUNTIF($MZ37:$NA37,"?*")&gt;0,"Dê um nome",""),IF($PS37&gt;0,"⚠ "&amp;$PS37&amp;IF($PS37&gt;1," erros"," erro"),IF($PU37&gt;0,"! "&amp;$PU37&amp;IF($PU37&gt;1," avisos"," aviso"),"Na regra")))</f>
        <v/>
      </c>
      <c r="PW37" s="155">
        <f>IF($NB37=0,"",IF($PS37+$PU37=0,"Dentro das regras que a ficha confere",$PR37&amp;IF(AND($PS37&gt;0,$PU37&gt;0)," · ","")&amp;$PT37))</f>
        <v/>
      </c>
      <c r="PX37" s="155">
        <f>IF($MO37&gt;$NC37,$MP37&amp;" · ABRE NO NÍVEL "&amp;$MO37,$MP37)</f>
        <v/>
      </c>
      <c r="PY37" s="155">
        <f>IF($NB37=0,"",IF($MQ37=0,"Sem PE",3*$MQ37&amp;" PE"))</f>
        <v/>
      </c>
      <c r="PZ37" s="155">
        <f>IF($NB37=0,"",IF($MQ37=0,"A atuação básica dela",IF(COUNTIF($OI37:$OJ37,"Atrasar")&gt;0,"Sua Ação Completa",IF(COUNTIF($MV37:$MY37,"Rápido")&gt;0,"Sua Bônus",IF(COUNTIF($MV37:$MY37,"Reação")&gt;0,"Sua Reação","Sua Padrão")))&amp;" + a básica dela"&amp;IF(COUNTIF($MV37:$MY37,"Reação")&gt;0," e a coletiva","")&amp;IF(COUNTIF($OI37:$OJ37,"Carregar")&gt;0," · em dois turnos","")))</f>
        <v/>
      </c>
      <c r="QA37" s="155">
        <f>IF($MU37&lt;&gt;"",$MU37,IF($NH37=0,"",INDEX($AA$2:$AA$11,$NH37)))</f>
        <v/>
      </c>
      <c r="QB37" s="155">
        <f>IF(OR($NB37=0,$NH37=0),"",IF(COUNTIF($MV37:$MY37,"Inescapável")&gt;0,"Automático",IF($QA37="Ataque",IF($NF37="","Ataque","Ataque "&amp;IF(($NF37+2*IF(COUNTIF($MV37:$MY37,"Precisão")&gt;0,1,0))&gt;=0,"+","−")&amp;ABS(($NF37+2*IF(COUNTIF($MV37:$MY37,"Precisão")&gt;0,1,0))))&amp;IF($OB37&gt;0," · TR"&amp;IF($NG37="",""," CD "&amp;$NG37),""),IF(LEFT($QA37,2)="TR",$QA37&amp;IF($NG37="",""," · CD "&amp;$NG37)&amp;IF(COUNTIF($MV37:$MY37,"Certeiro")&gt;0," · metade",""),"Sem rolagem"))))</f>
        <v/>
      </c>
      <c r="QC37" s="155">
        <f>IF(OR($NB37=0,$NH37=0),"",IF($MQ37=0,IF(OR($OE37&gt;=1,$PB37=0),"Sem dano",$PB37&amp;"d6"&amp;IF($MT37="",""," "&amp;$MT37)),IF(OR($OE37&gt;=1,$PB37=0),UPPER(LEFT(INDEX($PK37:$PQ37,1,MAX(1,$MQ37)),1))&amp;MID(INDEX($PK37:$PQ37,1,MAX(1,$MQ37)),2,99),UPPER(LEFT(INDEX($PK37:$PQ37,1,MAX(1,$MQ37)),1))&amp;MID(INDEX($PK37:$PQ37,1,MAX(1,$MQ37)),2,99)&amp;IF($MT37="",""," "&amp;$MT37)&amp;IF($PC37&gt;0," · +"&amp;$PC37&amp;"d8",""))))</f>
        <v/>
      </c>
      <c r="QD37" s="155">
        <f>COUNTIF($MV37:$MY37,"Longe")+3*COUNTIF($MV37:$MY37,"Muito Longe")</f>
        <v/>
      </c>
      <c r="QE37" s="155">
        <f>COUNTIF($MV37:$MY37,"Maior")+3*COUNTIF($MV37:$MY37,"Muito Maior")</f>
        <v/>
      </c>
      <c r="QF37" s="155">
        <f>IF($NH37=0,0,CHOOSE(1+INDEX($AC$2:$AC$11,$NH37),0,$QD37,$QE37,$QD37+$QE37))</f>
        <v/>
      </c>
      <c r="QG37" s="155">
        <f>IF($NH37=0,0,CHOOSE(1+INDEX($AD$2:$AD$11,$NH37),0,$QD37,$QE37,$QD37+$QE37))</f>
        <v/>
      </c>
      <c r="QH37" s="155">
        <f>IF(OR($NB37=0,$NH37=0),"",INDEX($AI$2:$AN$41,($NH37-1)*4+IF($MQ37=0,1,IF($MQ37&lt;=5,2,IF($MQ37=6,3,4))),1+MIN(5,$QF37))&amp;INDEX($AO$2:$AT$41,($NH37-1)*4+IF($MQ37=0,1,IF($MQ37&lt;=5,2,IF($MQ37=6,3,4))),1+MIN(5,$QG37))&amp;IF(INDEX($AE$2:$AE$11,$NH37)=1,IF(COUNTIF($MV37:$MY37,"Mais Um")&gt;0," · +"&amp;COUNTIF($MV37:$MY37,"Mais Um")&amp;IF(COUNTIF($MV37:$MY37,"Mais Um")&gt;1," alvos"," alvo"),"")&amp;IF(COUNTIF($MV37:$MY37,"Rajada")&gt;0,IF($MQ37=0," · 1 tiro"," · "&amp;(MAX(1,$MQ37-1)+1)&amp;" tiros"),""),""))</f>
        <v/>
      </c>
      <c r="QI37" s="155">
        <f>IF($NB37=0,"",IF($MQ37=0,$NE37&amp;"d6"&amp;IF($OS37&gt;0," − 1 = "&amp;$PB37&amp;"d6"," da básica do nível "&amp;$NC37),$OZ37&amp;" − "&amp;$OU37&amp;" + "&amp;$OX37&amp;" = "&amp;$PA37&amp;" · teto "&amp;4*$MQ37&amp;"d8"&amp;IF($OD37=1," · a Forma devolve "&amp;$MQ37,"")&amp;IF($OY37&gt;0," · perde "&amp;$OY37,"")))</f>
        <v/>
      </c>
      <c r="QJ37" s="155">
        <f>IF($NB37=0,"",IF($MQ37=0,"A básica não amplia: os dados dela sobem com o nível",IF($MQ37&gt;=$ND37,"Já está na maior Classe que o nível liberou",TEXTJOIN(" · ",TRUE,IF(AND(2&gt;$MQ37,2&lt;=$ND37),"2 → "&amp;$PL37&amp;", 6 PE",""),IF(AND(3&gt;$MQ37,3&lt;=$ND37),"3 → "&amp;$PM37&amp;", 9 PE",""),IF(AND(4&gt;$MQ37,4&lt;=$ND37),"4 → "&amp;$PN37&amp;", 12 PE",""),IF(AND(5&gt;$MQ37,5&lt;=$ND37),"5 → "&amp;$PO37&amp;", 15 PE",""),IF(AND(6&gt;$MQ37,6&lt;=$ND37),"6 → "&amp;$PP37&amp;", 18 PE",""),IF(AND(7&gt;$MQ37,7&lt;=$ND37),"7 → "&amp;$PQ37&amp;", 21 PE","")))))</f>
        <v/>
      </c>
      <c r="QK37" s="155">
        <f>IF(OR($NB37=0,$NM37=0),"",IF($MQ37=0,"−1 dado","−"&amp;INDEX($I$2:$N$8,MAX(1,$MQ37),MAX(1,$NR37))&amp;" · "&amp;CHOOSE(MAX(1,$NR37),"Leve","Média","Pesada","Leve · Livre","Média · Livre","Pesada · Livre")))</f>
        <v/>
      </c>
      <c r="QL37" s="155">
        <f>IF(OR($NB37=0,$NN37=0),"",IF($MQ37=0,"−1 dado","−"&amp;INDEX($I$2:$N$8,MAX(1,$MQ37),MAX(1,$NS37))&amp;" · "&amp;CHOOSE(MAX(1,$NS37),"Leve","Média","Pesada","Leve · Livre","Média · Livre","Pesada · Livre")))</f>
        <v/>
      </c>
      <c r="QM37" s="155">
        <f>IF(OR($NB37=0,$NO37=0),"",IF($MQ37=0,"−1 dado","−"&amp;INDEX($I$2:$N$8,MAX(1,$MQ37),MAX(1,$NT37))&amp;" · "&amp;CHOOSE(MAX(1,$NT37),"Leve","Média","Pesada","Leve · Livre","Média · Livre","Pesada · Livre")))</f>
        <v/>
      </c>
      <c r="QN37" s="155">
        <f>IF(OR($NB37=0,$NP37=0),"",IF($MQ37=0,"−1 dado","−"&amp;INDEX($I$2:$N$8,MAX(1,$MQ37),MAX(1,$NU37))&amp;" · "&amp;CHOOSE(MAX(1,$NU37),"Leve","Média","Pesada","Leve · Livre","Média · Livre","Pesada · Livre")))</f>
        <v/>
      </c>
      <c r="QO37" s="155">
        <f>IF(OR($NB37=0,$MZ37=""),"",IF($MQ37=0,"não devolve","+"&amp;IF($OG37=1,CEILING($MQ37/2,1),$MQ37)))</f>
        <v/>
      </c>
      <c r="QP37" s="155">
        <f>IF(OR($NB37=0,$NA37=""),"",IF($MQ37=0,"não devolve","+"&amp;IF($OH37=1,CEILING($MQ37/2,1),$MQ37)))</f>
        <v/>
      </c>
    </row>
    <row r="38">
      <c r="AH38" s="153" t="inlineStr">
        <is>
          <t>Efeito · classe 0</t>
        </is>
      </c>
      <c r="AI38" s="153" t="inlineStr">
        <is>
          <t>Fora de combate</t>
        </is>
      </c>
      <c r="AJ38" s="153" t="inlineStr">
        <is>
          <t>Fora de combate</t>
        </is>
      </c>
      <c r="AK38" s="153" t="inlineStr">
        <is>
          <t>Fora de combate</t>
        </is>
      </c>
      <c r="AL38" s="153" t="inlineStr">
        <is>
          <t>Fora de combate</t>
        </is>
      </c>
      <c r="AM38" s="153" t="inlineStr">
        <is>
          <t>Fora de combate</t>
        </is>
      </c>
      <c r="AN38" s="153" t="inlineStr">
        <is>
          <t>Fora de combate</t>
        </is>
      </c>
      <c r="AO38" s="153" t="inlineStr"/>
      <c r="AP38" s="153" t="inlineStr"/>
      <c r="AQ38" s="153" t="inlineStr"/>
      <c r="AR38" s="153" t="inlineStr"/>
      <c r="AS38" s="153" t="inlineStr"/>
      <c r="AT38" s="153" t="inlineStr"/>
      <c r="AV38" s="153" t="inlineStr">
        <is>
          <t>Terreno</t>
        </is>
      </c>
      <c r="AW38" s="153" t="inlineStr">
        <is>
          <t>Controle</t>
        </is>
      </c>
      <c r="AX38" s="155" t="n">
        <v>1</v>
      </c>
      <c r="AY38" s="155" t="n">
        <v>1</v>
      </c>
      <c r="AZ38" s="155" t="n">
        <v>0</v>
      </c>
      <c r="BA38" s="155" t="n">
        <v>0</v>
      </c>
      <c r="JR38" s="155">
        <f>IF(OR($AW38="",COUNTIF($EJ$2:$EN$2,$AW38)&gt;0),$AV38,"")</f>
        <v/>
      </c>
      <c r="JS38" s="155">
        <f>IF(AND($AX38=1,OR($AW38="",COUNTIF($EJ$2:$EN$2,$AW38)&gt;0)),$AV38,"")</f>
        <v/>
      </c>
      <c r="JX38" s="155">
        <f>IF(OR($AW38="",COUNTIF($EJ$3:$EN$3,$AW38)&gt;0),$AV38,"")</f>
        <v/>
      </c>
      <c r="JY38" s="155">
        <f>IF(AND($AX38=1,OR($AW38="",COUNTIF($EJ$3:$EN$3,$AW38)&gt;0)),$AV38,"")</f>
        <v/>
      </c>
      <c r="KD38" s="155">
        <f>IF(OR($AW38="",COUNTIF($EJ$4:$EN$4,$AW38)&gt;0),$AV38,"")</f>
        <v/>
      </c>
      <c r="KE38" s="155">
        <f>IF(AND($AX38=1,OR($AW38="",COUNTIF($EJ$4:$EN$4,$AW38)&gt;0)),$AV38,"")</f>
        <v/>
      </c>
      <c r="KJ38" s="155">
        <f>IF(OR($AW38="",COUNTIF($EJ$5:$EN$5,$AW38)&gt;0),$AV38,"")</f>
        <v/>
      </c>
      <c r="KK38" s="155">
        <f>IF(AND($AX38=1,OR($AW38="",COUNTIF($EJ$5:$EN$5,$AW38)&gt;0)),$AV38,"")</f>
        <v/>
      </c>
      <c r="KP38" s="155">
        <f>IF(OR($AW38="",COUNTIF($EJ$6:$EN$6,$AW38)&gt;0),$AV38,"")</f>
        <v/>
      </c>
      <c r="KQ38" s="155">
        <f>IF(AND($AX38=1,OR($AW38="",COUNTIF($EJ$6:$EN$6,$AW38)&gt;0)),$AV38,"")</f>
        <v/>
      </c>
      <c r="KV38" s="155">
        <f>IF(OR($AW38="",COUNTIF($EJ$7:$EN$7,$AW38)&gt;0),$AV38,"")</f>
        <v/>
      </c>
      <c r="KW38" s="155">
        <f>IF(AND($AX38=1,OR($AW38="",COUNTIF($EJ$7:$EN$7,$AW38)&gt;0)),$AV38,"")</f>
        <v/>
      </c>
      <c r="LB38" s="155">
        <f>IF(OR($AW38="",COUNTIF($EJ$8:$EN$8,$AW38)&gt;0),$AV38,"")</f>
        <v/>
      </c>
      <c r="LC38" s="155">
        <f>IF(AND($AX38=1,OR($AW38="",COUNTIF($EJ$8:$EN$8,$AW38)&gt;0)),$AV38,"")</f>
        <v/>
      </c>
      <c r="LH38" s="155">
        <f>IF(OR($AW38="",COUNTIF($EJ$9:$EN$9,$AW38)&gt;0),$AV38,"")</f>
        <v/>
      </c>
      <c r="LI38" s="155">
        <f>IF(AND($AX38=1,OR($AW38="",COUNTIF($EJ$9:$EN$9,$AW38)&gt;0)),$AV38,"")</f>
        <v/>
      </c>
      <c r="LN38" s="155">
        <f>IF(OR($AW38="",COUNTIF($EJ$10:$EN$10,$AW38)&gt;0),$AV38,"")</f>
        <v/>
      </c>
      <c r="LO38" s="155">
        <f>IF(AND($AX38=1,OR($AW38="",COUNTIF($EJ$10:$EN$10,$AW38)&gt;0)),$AV38,"")</f>
        <v/>
      </c>
      <c r="LT38" s="155">
        <f>IF(OR($AW38="",COUNTIF($EJ$11:$EN$11,$AW38)&gt;0),$AV38,"")</f>
        <v/>
      </c>
      <c r="LU38" s="155">
        <f>IF(AND($AX38=1,OR($AW38="",COUNTIF($EJ$11:$EN$11,$AW38)&gt;0)),$AV38,"")</f>
        <v/>
      </c>
      <c r="LZ38" s="155">
        <f>IF(OR($AW38="",COUNTIF($EJ$12:$EN$12,$AW38)&gt;0),$AV38,"")</f>
        <v/>
      </c>
      <c r="MA38" s="155">
        <f>IF(AND($AX38=1,OR($AW38="",COUNTIF($EJ$12:$EN$12,$AW38)&gt;0)),$AV38,"")</f>
        <v/>
      </c>
      <c r="MF38" s="155">
        <f>IF(OR($AW38="",COUNTIF($EJ$13:$EN$13,$AW38)&gt;0),$AV38,"")</f>
        <v/>
      </c>
      <c r="MG38" s="155">
        <f>IF(AND($AX38=1,OR($AW38="",COUNTIF($EJ$13:$EN$13,$AW38)&gt;0)),$AV38,"")</f>
        <v/>
      </c>
      <c r="ML38" s="153" t="inlineStr">
        <is>
          <t>Ficha 3 · Escolha da trilha 1</t>
        </is>
      </c>
      <c r="MM38" s="155" t="n">
        <v>3</v>
      </c>
      <c r="MN38" s="155" t="n">
        <v>2</v>
      </c>
      <c r="MO38" s="155" t="n">
        <v>0</v>
      </c>
      <c r="MP38" s="153" t="inlineStr">
        <is>
          <t>ESCOLHA DA TRILHA 1</t>
        </is>
      </c>
      <c r="MQ38" s="155">
        <f>MAX(0,MIN(7,N('INVOCAÇÕES'!$I$556)))</f>
        <v/>
      </c>
      <c r="MR38" s="155">
        <f>'INVOCAÇÕES'!$J$556&amp;""</f>
        <v/>
      </c>
      <c r="MS38" s="155">
        <f>'INVOCAÇÕES'!$I$561&amp;""</f>
        <v/>
      </c>
      <c r="MT38" s="155">
        <f>'INVOCAÇÕES'!$I$562&amp;""</f>
        <v/>
      </c>
      <c r="MU38" s="155">
        <f>'INVOCAÇÕES'!$K$562&amp;""</f>
        <v/>
      </c>
      <c r="MV38" s="155">
        <f>'INVOCAÇÕES'!$J$565&amp;""</f>
        <v/>
      </c>
      <c r="MW38" s="155">
        <f>'INVOCAÇÕES'!$J$566&amp;""</f>
        <v/>
      </c>
      <c r="MX38" s="155">
        <f>'INVOCAÇÕES'!$J$567&amp;""</f>
        <v/>
      </c>
      <c r="MY38" s="155">
        <f>'INVOCAÇÕES'!$J$568&amp;""</f>
        <v/>
      </c>
      <c r="MZ38" s="155">
        <f>'INVOCAÇÕES'!$J$569&amp;""</f>
        <v/>
      </c>
      <c r="NA38" s="155">
        <f>'INVOCAÇÕES'!$J$570&amp;""</f>
        <v/>
      </c>
      <c r="NB38" s="155">
        <f>IF($MR38&lt;&gt;"",1,0)</f>
        <v/>
      </c>
      <c r="NC38" s="155">
        <f>INDEX($FM$2:$FM$13,$MM38)</f>
        <v/>
      </c>
      <c r="ND38" s="155">
        <f>INDEX($FN$2:$FN$13,$MM38)</f>
        <v/>
      </c>
      <c r="NE38" s="155">
        <f>INDEX($FO$2:$FO$13,$MM38)</f>
        <v/>
      </c>
      <c r="NF38" s="155">
        <f>INDEX($FZ$2:$FZ$13,$MM38)</f>
        <v/>
      </c>
      <c r="NG38" s="155">
        <f>INDEX($GA$2:$GA$13,$MM38)</f>
        <v/>
      </c>
      <c r="NH38" s="155">
        <f>IFERROR(MATCH($MS38,$V$2:$V$11,0),0)</f>
        <v/>
      </c>
      <c r="NI38" s="155">
        <f>IFERROR(VLOOKUP($MV38,$AV$2:$BA$84,2,FALSE),"")</f>
        <v/>
      </c>
      <c r="NJ38" s="155">
        <f>IFERROR(VLOOKUP($MW38,$AV$2:$BA$84,2,FALSE),"")</f>
        <v/>
      </c>
      <c r="NK38" s="155">
        <f>IFERROR(VLOOKUP($MX38,$AV$2:$BA$84,2,FALSE),"")</f>
        <v/>
      </c>
      <c r="NL38" s="155">
        <f>IFERROR(VLOOKUP($MY38,$AV$2:$BA$84,2,FALSE),"")</f>
        <v/>
      </c>
      <c r="NM38" s="155">
        <f>IFERROR(VLOOKUP($MV38,$AV$2:$BA$84,3,FALSE),0)</f>
        <v/>
      </c>
      <c r="NN38" s="155">
        <f>IFERROR(VLOOKUP($MW38,$AV$2:$BA$84,3,FALSE),0)</f>
        <v/>
      </c>
      <c r="NO38" s="155">
        <f>IFERROR(VLOOKUP($MX38,$AV$2:$BA$84,3,FALSE),0)</f>
        <v/>
      </c>
      <c r="NP38" s="155">
        <f>IFERROR(VLOOKUP($MY38,$AV$2:$BA$84,3,FALSE),0)</f>
        <v/>
      </c>
      <c r="NQ38" s="155">
        <f>IF($MQ38=0,0,IF($NH38=0,0,INDEX($X$2:$X$11,$NH38)))</f>
        <v/>
      </c>
      <c r="NR38" s="155">
        <f>IF(OR($NM38=0,$MQ38=0),0,$NM38+3*IF(AND($NI38&lt;&gt;"",OR($NI38=INDEX($EJ$2:$EJ$13,$MM38),$NI38=INDEX($EK$2:$EK$13,$MM38))),1,0))</f>
        <v/>
      </c>
      <c r="NS38" s="155">
        <f>IF(OR($NN38=0,$MQ38=0),0,$NN38+3*IF(AND($NJ38&lt;&gt;"",OR($NJ38=INDEX($EJ$2:$EJ$13,$MM38),$NJ38=INDEX($EK$2:$EK$13,$MM38))),1,0))</f>
        <v/>
      </c>
      <c r="NT38" s="155">
        <f>IF(OR($NO38=0,$MQ38=0),0,$NO38+3*IF(AND($NK38&lt;&gt;"",OR($NK38=INDEX($EJ$2:$EJ$13,$MM38),$NK38=INDEX($EK$2:$EK$13,$MM38))),1,0))</f>
        <v/>
      </c>
      <c r="NU38" s="155">
        <f>IF(OR($NP38=0,$MQ38=0),0,$NP38+3*IF(AND($NL38&lt;&gt;"",OR($NL38=INDEX($EJ$2:$EJ$13,$MM38),$NL38=INDEX($EK$2:$EK$13,$MM38))),1,0))</f>
        <v/>
      </c>
      <c r="NV38" s="155">
        <f>IF($NH38=0,0,IF(INDEX($W$2:$W$11,$NH38)="",0,IF(COUNTIF(INDEX($EJ$2:$EN$13,$MM38,0),INDEX($W$2:$W$11,$NH38))=0,1,0)))</f>
        <v/>
      </c>
      <c r="NW38" s="155">
        <f>IF(OR($NM38=0,$NI38=""),0,IF(COUNTIF(INDEX($EJ$2:$EN$13,$MM38,0),$NI38)=0,1,0))</f>
        <v/>
      </c>
      <c r="NX38" s="155">
        <f>IF(OR($NN38=0,$NJ38=""),0,IF(COUNTIF(INDEX($EJ$2:$EN$13,$MM38,0),$NJ38)=0,1,0))</f>
        <v/>
      </c>
      <c r="NY38" s="155">
        <f>IF(OR($NO38=0,$NK38=""),0,IF(COUNTIF(INDEX($EJ$2:$EN$13,$MM38,0),$NK38)=0,1,0))</f>
        <v/>
      </c>
      <c r="NZ38" s="155">
        <f>IF(OR($NP38=0,$NL38=""),0,IF(COUNTIF(INDEX($EJ$2:$EN$13,$MM38,0),$NL38)=0,1,0))</f>
        <v/>
      </c>
      <c r="OA38" s="155">
        <f>IFERROR(VLOOKUP($MV38,$AV$2:$BA$84,4,FALSE),0)+IFERROR(VLOOKUP($MW38,$AV$2:$BA$84,4,FALSE),0)+IFERROR(VLOOKUP($MX38,$AV$2:$BA$84,4,FALSE),0)+IFERROR(VLOOKUP($MY38,$AV$2:$BA$84,4,FALSE),0)</f>
        <v/>
      </c>
      <c r="OB38" s="155">
        <f>IFERROR(VLOOKUP($MV38,$AV$2:$BA$84,6,FALSE),0)+IFERROR(VLOOKUP($MW38,$AV$2:$BA$84,6,FALSE),0)+IFERROR(VLOOKUP($MX38,$AV$2:$BA$84,6,FALSE),0)+IFERROR(VLOOKUP($MY38,$AV$2:$BA$84,6,FALSE),0)</f>
        <v/>
      </c>
      <c r="OC38" s="155">
        <f>TEXTJOIN(", ",TRUE,IF(IFERROR(VLOOKUP($MV38,$AV$2:$BA$84,5,FALSE),0)=1,$MV38,""),IF(IFERROR(VLOOKUP($MW38,$AV$2:$BA$84,5,FALSE),0)=1,$MW38,""),IF(IFERROR(VLOOKUP($MX38,$AV$2:$BA$84,5,FALSE),0)=1,$MX38,""),IF(IFERROR(VLOOKUP($MY38,$AV$2:$BA$84,5,FALSE),0)=1,$MY38,""))</f>
        <v/>
      </c>
      <c r="OD38" s="155">
        <f>IF($NH38=0,0,INDEX($Y$2:$Y$11,$NH38))</f>
        <v/>
      </c>
      <c r="OE38" s="155">
        <f>IF($NH38=0,0,INDEX($Z$2:$Z$11,$NH38))</f>
        <v/>
      </c>
      <c r="OF38" s="155">
        <f>IF($NH38=0,0,INDEX($AB$2:$AB$11,$NH38))</f>
        <v/>
      </c>
      <c r="OG38" s="155">
        <f>IFERROR(VLOOKUP($MZ38,$BC$2:$BG$24,3,FALSE),0)</f>
        <v/>
      </c>
      <c r="OH38" s="155">
        <f>IFERROR(VLOOKUP($NA38,$BC$2:$BG$24,3,FALSE),0)</f>
        <v/>
      </c>
      <c r="OI38" s="155">
        <f>IFERROR(VLOOKUP($MZ38,$BC$2:$BG$24,2,FALSE),"")</f>
        <v/>
      </c>
      <c r="OJ38" s="155">
        <f>IFERROR(VLOOKUP($NA38,$BC$2:$BG$24,2,FALSE),"")</f>
        <v/>
      </c>
      <c r="OK38" s="155">
        <f>COUNTIF($NQ38:$NU38,1)</f>
        <v/>
      </c>
      <c r="OL38" s="155">
        <f>COUNTIF($NQ38:$NU38,2)</f>
        <v/>
      </c>
      <c r="OM38" s="155">
        <f>COUNTIF($NQ38:$NU38,3)</f>
        <v/>
      </c>
      <c r="ON38" s="155">
        <f>COUNTIF($NQ38:$NU38,4)</f>
        <v/>
      </c>
      <c r="OO38" s="155">
        <f>COUNTIF($NQ38:$NU38,5)</f>
        <v/>
      </c>
      <c r="OP38" s="155">
        <f>COUNTIF($NQ38:$NU38,6)</f>
        <v/>
      </c>
      <c r="OQ38" s="155">
        <f>COUNTIF($OG38:$OH38,1)</f>
        <v/>
      </c>
      <c r="OR38" s="155">
        <f>COUNTIF($OG38:$OH38,2)+$OD38</f>
        <v/>
      </c>
      <c r="OS38" s="155">
        <f>COUNTIF($MV38:$MY38,"?*")</f>
        <v/>
      </c>
      <c r="OT38" s="155">
        <f>COUNTIF($MZ38:$NA38,"?*")+$OD38</f>
        <v/>
      </c>
      <c r="OU38" s="155">
        <f>IF($MQ38=0,0,SUMPRODUCT($OK38:$OP38,INDEX($I$2:$N$8,MAX(1,$MQ38),0)))</f>
        <v/>
      </c>
      <c r="OV38" s="155">
        <f>IF($MQ38=0,0,$OQ38*CEILING($MQ38/2,1)+$OR38*$MQ38)</f>
        <v/>
      </c>
      <c r="OW38" s="155">
        <f>MIN(2*$MQ38,$OV38)</f>
        <v/>
      </c>
      <c r="OX38" s="155">
        <f>MIN($OW38,$OU38)</f>
        <v/>
      </c>
      <c r="OY38" s="155">
        <f>$OW38-$OX38</f>
        <v/>
      </c>
      <c r="OZ38" s="155">
        <f>IF($MQ38=0,0,INDEX($P$2:$P$8,MAX(1,$MQ38)))</f>
        <v/>
      </c>
      <c r="PA38" s="155">
        <f>$OZ38-$OU38+$OX38</f>
        <v/>
      </c>
      <c r="PB38" s="155">
        <f>IF($MQ38=0,MAX(0,$NE38-IF($OS38&gt;0,1,0)),MAX(0,$PA38))</f>
        <v/>
      </c>
      <c r="PC38" s="155">
        <f>IF($MQ38=0,0,(IF(COUNTIF($MV38:$MY38,"Salto")&gt;0,1,0)+IF(COUNTIF($MV38:$MY38,"Queima")&gt;0,1,0)+IF(COUNTIF($MV38:$MY38,"Estilhaço")&gt;0,1,0))*FLOOR($PB38/2,1))</f>
        <v/>
      </c>
      <c r="PD38" s="155">
        <f>MAX(0,2-SUMPRODUCT($OK38:$OP38,$I$2:$N$2)+MIN(2,$OQ38*1+$OR38*1,SUMPRODUCT($OK38:$OP38,$I$2:$N$2)))</f>
        <v/>
      </c>
      <c r="PE38" s="155">
        <f>MAX(0,4-SUMPRODUCT($OK38:$OP38,$I$3:$N$3)+MIN(4,$OQ38*1+$OR38*2,SUMPRODUCT($OK38:$OP38,$I$3:$N$3)))</f>
        <v/>
      </c>
      <c r="PF38" s="155">
        <f>MAX(0,6-SUMPRODUCT($OK38:$OP38,$I$4:$N$4)+MIN(6,$OQ38*2+$OR38*3,SUMPRODUCT($OK38:$OP38,$I$4:$N$4)))</f>
        <v/>
      </c>
      <c r="PG38" s="155">
        <f>MAX(0,9-SUMPRODUCT($OK38:$OP38,$I$5:$N$5)+MIN(8,$OQ38*2+$OR38*4,SUMPRODUCT($OK38:$OP38,$I$5:$N$5)))</f>
        <v/>
      </c>
      <c r="PH38" s="155">
        <f>MAX(0,11-SUMPRODUCT($OK38:$OP38,$I$6:$N$6)+MIN(10,$OQ38*3+$OR38*5,SUMPRODUCT($OK38:$OP38,$I$6:$N$6)))</f>
        <v/>
      </c>
      <c r="PI38" s="155">
        <f>MAX(0,13-SUMPRODUCT($OK38:$OP38,$I$7:$N$7)+MIN(12,$OQ38*3+$OR38*6,SUMPRODUCT($OK38:$OP38,$I$7:$N$7)))</f>
        <v/>
      </c>
      <c r="PJ38" s="155">
        <f>MAX(0,16-SUMPRODUCT($OK38:$OP38,$I$8:$N$8)+MIN(14,$OQ38*4+$OR38*7,SUMPRODUCT($OK38:$OP38,$I$8:$N$8)))</f>
        <v/>
      </c>
      <c r="PK38" s="155">
        <f>IF($OE38=2,3*$PD38&amp;" de vida temp.",IF($OE38=3,"sem dano",IF($PD38=0,IF($OE38=1,"sem cura","sem dano"),IF($OE38=1,"cura ","")&amp;$PD38&amp;"d8")))</f>
        <v/>
      </c>
      <c r="PL38" s="155">
        <f>IF($OE38=2,3*$PE38&amp;" de vida temp.",IF($OE38=3,"sem dano",IF($PE38=0,IF($OE38=1,"sem cura","sem dano"),IF($OE38=1,"cura ","")&amp;$PE38&amp;"d8")))</f>
        <v/>
      </c>
      <c r="PM38" s="155">
        <f>IF($OE38=2,3*$PF38&amp;" de vida temp.",IF($OE38=3,"sem dano",IF($PF38=0,IF($OE38=1,"sem cura","sem dano"),IF($OE38=1,"cura ","")&amp;$PF38&amp;"d8")))</f>
        <v/>
      </c>
      <c r="PN38" s="155">
        <f>IF($OE38=2,3*$PG38&amp;" de vida temp.",IF($OE38=3,"sem dano",IF($PG38=0,IF($OE38=1,"sem cura","sem dano"),IF($OE38=1,"cura ","")&amp;$PG38&amp;"d8")))</f>
        <v/>
      </c>
      <c r="PO38" s="155">
        <f>IF($OE38=2,3*$PH38&amp;" de vida temp.",IF($OE38=3,"sem dano",IF($PH38=0,IF($OE38=1,"sem cura","sem dano"),IF($OE38=1,"cura ","")&amp;$PH38&amp;"d8")))</f>
        <v/>
      </c>
      <c r="PP38" s="155">
        <f>IF($OE38=2,3*$PI38&amp;" de vida temp.",IF($OE38=3,"sem dano",IF($PI38=0,IF($OE38=1,"sem cura","sem dano"),IF($OE38=1,"cura ","")&amp;$PI38&amp;"d8")))</f>
        <v/>
      </c>
      <c r="PQ38" s="155">
        <f>IF($OE38=2,3*$PJ38&amp;" de vida temp.",IF($OE38=3,"sem dano",IF($PJ38=0,IF($OE38=1,"sem cura","sem dano"),IF($OE38=1,"cura ","")&amp;$PJ38&amp;"d8")))</f>
        <v/>
      </c>
      <c r="PR38" s="155">
        <f>IF($NB38=0,"",TEXTJOIN(" · ",TRUE,IF($MO38&gt;$NC38,"Este lugar abre no nível "&amp;$MO38,""),IF($MQ38&gt;$ND38,"Classe "&amp;$MQ38&amp;": o nível "&amp;$NC38&amp;" libera até a "&amp;$ND38,""),IF($NV38=1,"A Forma "&amp;$MS38&amp;" pede "&amp;INDEX($W$2:$W$11,$NH38)&amp;" aberta",""),IF(AND($MQ38=0,$NH38&gt;0,IF($NH38=0,0,INDEX($AF$2:$AF$11,$NH38))=0),$MS38&amp;" não existe na Classe 0",""),IF($NW38=1,"Família Fechada: "&amp;$MV38,""),IF($NX38=1,"Família Fechada: "&amp;$MW38,""),IF($NY38=1,"Família Fechada: "&amp;$MX38,""),IF($NZ38=1,"Família Fechada: "&amp;$MY38,""),IF(AND($MQ38&gt;0,$OS38&gt;INDEX($O$2:$O$8,MAX(1,$MQ38))),$OS38&amp;" Melhorias: a Classe "&amp;$MQ38&amp;" aceita "&amp;INDEX($O$2:$O$8,MAX(1,$MQ38)),""),IF(AND($MQ38=0,$OS38&gt;1),"A básica aceita uma Melhoria",""),IF(AND($MQ38=0,COUNTIF($NM38:$NP38,"&gt;1")&gt;0),"A básica só aceita Melhoria Leve",""),IF(AND($MQ38&gt;0,$OT38&gt;2),$OT38&amp;" Restrições"&amp;IF($OD38=1,", contando a que a Forma "&amp;$MS38&amp;" já traz","")&amp;": o limite é 2",""),IF(AND($MQ38=0,COUNTIF($MZ38:$NA38,"?*")&gt;1),"A básica aceita uma Restrição Leve",""),IF(AND($MQ38=0,COUNTIF($OG38:$OH38,2)&gt;0),"A básica só aceita Restrição Leve",""),IF(AND($MQ38&gt;0,$PA38&lt;0),"Orçamento estourado: faltam "&amp;(-$PA38)&amp;IF($PA38&lt;-1," pontos"," ponto"),""),IF(IFERROR(VLOOKUP($MZ38,$BC$2:$BG$24,4,FALSE),0)+IFERROR(VLOOKUP($NA38,$BC$2:$BG$24,4,FALSE),0)&gt;1,$OI38&amp;" e "&amp;$OJ38&amp;" são as duas de frequência",""),IF(AND((COUNTIF($MV38:$MY38,"Rápido")+COUNTIF($OI38:$OJ38,"Rápido"))&gt;0,(COUNTIF($MV38:$MY38,"Atrasar")+COUNTIF($OI38:$OJ38,"Atrasar"))&gt;0),"Rápido não entra com Atrasar",""),IF(AND((COUNTIF($MV38:$MY38,"Reação")+COUNTIF($OI38:$OJ38,"Reação"))&gt;0,(COUNTIF($MV38:$MY38,"Rápido")+COUNTIF($OI38:$OJ38,"Rápido"))&gt;0),"Reação não entra com Rápido",""),IF(AND((COUNTIF($MV38:$MY38,"Reação")+COUNTIF($OI38:$OJ38,"Reação"))&gt;0,(COUNTIF($MV38:$MY38,"Armado")+COUNTIF($OI38:$OJ38,"Armado"))&gt;0),"Reação não entra com Armado",""),IF(AND((COUNTIF($MV38:$MY38,"Reação")+COUNTIF($OI38:$OJ38,"Reação"))&gt;0,(COUNTIF($MV38:$MY38,"Atrasar")+COUNTIF($OI38:$OJ38,"Atrasar"))&gt;0),"Reação não entra com Atrasar",""),IF(AND((COUNTIF($MV38:$MY38,"Reação")+COUNTIF($OI38:$OJ38,"Reação"))&gt;0,(COUNTIF($MV38:$MY38,"Parado")+COUNTIF($OI38:$OJ38,"Parado"))&gt;0),"Reação não entra com Parado",""),IF(AND((COUNTIF($MV38:$MY38,"Atrasar")+COUNTIF($OI38:$OJ38,"Atrasar"))&gt;0,(COUNTIF($MV38:$MY38,"Parado")+COUNTIF($OI38:$OJ38,"Parado"))&gt;0),"Atrasar não entra com Parado",""),IF(AND((COUNTIF($MV38:$MY38,"Armado")+COUNTIF($OI38:$OJ38,"Armado"))&gt;0,(COUNTIF($MV38:$MY38,"Carregar")+COUNTIF($OI38:$OJ38,"Carregar"))&gt;0),"Armado não entra com Carregar",""),IF(AND(COUNTIF($OI38:$OJ38,"Corpo a Corpo")&gt;0,$OD38=0,OR($MS38="Cone",$MS38="Linha")),"Corpo a Corpo não entra em "&amp;$MS38,""),IF(AND(COUNTIF($OI38:$OJ38,"Corpo a Corpo")&gt;0,$OD38=1),"A Forma "&amp;$MS38&amp;" já traz o Corpo a Corpo",""),IF(AND(COUNTIF($OI38:$OJ38,"Tudo ou Nada")&gt;0,$OF38=0),"Tudo ou Nada só entra em habilidade de Teste de Resistência",""),IF(AND(COUNTIF($MV38:$MY38,"Inescapável")&gt;0,OR($OS38&gt;1,$OT38&gt;0)),"Inescapável não aceita outra peça",""),IF(AND($MQ38&gt;0,$PB38*IF(COUNTIF($MV38:$MY38,"Remate")&gt;0,1.25,1)+$PC38&gt;4*$MQ38),($PB38*IF(COUNTIF($MV38:$MY38,"Remate")&gt;0,1.25,1)+$PC38)&amp;" dados somando repetições"&amp;IF(COUNTIF($MV38:$MY38,"Remate")&gt;0," e o Remate","")&amp;": o teto da Classe "&amp;$MQ38&amp;" é "&amp;4*$MQ38,"")))</f>
        <v/>
      </c>
      <c r="PS38" s="155">
        <f>IF($PR38="",0,(LEN($PR38)-LEN(SUBSTITUTE($PR38," · ","")))/3+1)</f>
        <v/>
      </c>
      <c r="PT38" s="155">
        <f>IF($NB38=0,"",TEXTJOIN(" · ",TRUE,IF($OV38&gt;2*$MQ38,"A devolução parou no teto de "&amp;2*$MQ38,""),IF($OY38&gt;0,"Devolução perdida: "&amp;$OY38&amp;IF($OY38&gt;1," pontos"," ponto")&amp;" sem peça para pagar",""),IF(AND($OA38&gt;0,AND($MQ38&gt;0,$OE38=0),$PB38=0),"Controle sem dano: uma rodada a mais e CD +2",""),IF(AND($OA38&gt;0,AND($MQ38&gt;0,$OE38=0),$PB38&gt;0,$PB38&lt;=$MQ38),"Controle com saldo até a Classe: uma rodada a mais",""),IF(AND($MQ38&gt;0,$OC38&lt;&gt;""),"Efeito de "&amp;$OC38&amp;" pela Classe "&amp;MAX(1,$MQ38-1),"")))</f>
        <v/>
      </c>
      <c r="PU38" s="155">
        <f>IF($PT38="",0,(LEN($PT38)-LEN(SUBSTITUTE($PT38," · ","")))/3+1)</f>
        <v/>
      </c>
      <c r="PV38" s="155">
        <f>IF($NB38=0,IF($OS38+COUNTIF($MZ38:$NA38,"?*")&gt;0,"Dê um nome",""),IF($PS38&gt;0,"⚠ "&amp;$PS38&amp;IF($PS38&gt;1," erros"," erro"),IF($PU38&gt;0,"! "&amp;$PU38&amp;IF($PU38&gt;1," avisos"," aviso"),"Na regra")))</f>
        <v/>
      </c>
      <c r="PW38" s="155">
        <f>IF($NB38=0,"",IF($PS38+$PU38=0,"Dentro das regras que a ficha confere",$PR38&amp;IF(AND($PS38&gt;0,$PU38&gt;0)," · ","")&amp;$PT38))</f>
        <v/>
      </c>
      <c r="PX38" s="155">
        <f>IF($MO38&gt;$NC38,$MP38&amp;" · ABRE NO NÍVEL "&amp;$MO38,$MP38)</f>
        <v/>
      </c>
      <c r="PY38" s="155">
        <f>IF($NB38=0,"",IF($MQ38=0,"Sem PE",3*$MQ38&amp;" PE"))</f>
        <v/>
      </c>
      <c r="PZ38" s="155">
        <f>IF($NB38=0,"",IF($MQ38=0,"A atuação básica dela",IF(COUNTIF($OI38:$OJ38,"Atrasar")&gt;0,"Sua Ação Completa",IF(COUNTIF($MV38:$MY38,"Rápido")&gt;0,"Sua Bônus",IF(COUNTIF($MV38:$MY38,"Reação")&gt;0,"Sua Reação","Sua Padrão")))&amp;" + a básica dela"&amp;IF(COUNTIF($MV38:$MY38,"Reação")&gt;0," e a coletiva","")&amp;IF(COUNTIF($OI38:$OJ38,"Carregar")&gt;0," · em dois turnos","")))</f>
        <v/>
      </c>
      <c r="QA38" s="155">
        <f>IF($MU38&lt;&gt;"",$MU38,IF($NH38=0,"",INDEX($AA$2:$AA$11,$NH38)))</f>
        <v/>
      </c>
      <c r="QB38" s="155">
        <f>IF(OR($NB38=0,$NH38=0),"",IF(COUNTIF($MV38:$MY38,"Inescapável")&gt;0,"Automático",IF($QA38="Ataque",IF($NF38="","Ataque","Ataque "&amp;IF(($NF38+2*IF(COUNTIF($MV38:$MY38,"Precisão")&gt;0,1,0))&gt;=0,"+","−")&amp;ABS(($NF38+2*IF(COUNTIF($MV38:$MY38,"Precisão")&gt;0,1,0))))&amp;IF($OB38&gt;0," · TR"&amp;IF($NG38="",""," CD "&amp;$NG38),""),IF(LEFT($QA38,2)="TR",$QA38&amp;IF($NG38="",""," · CD "&amp;$NG38)&amp;IF(COUNTIF($MV38:$MY38,"Certeiro")&gt;0," · metade",""),"Sem rolagem"))))</f>
        <v/>
      </c>
      <c r="QC38" s="155">
        <f>IF(OR($NB38=0,$NH38=0),"",IF($MQ38=0,IF(OR($OE38&gt;=1,$PB38=0),"Sem dano",$PB38&amp;"d6"&amp;IF($MT38="",""," "&amp;$MT38)),IF(OR($OE38&gt;=1,$PB38=0),UPPER(LEFT(INDEX($PK38:$PQ38,1,MAX(1,$MQ38)),1))&amp;MID(INDEX($PK38:$PQ38,1,MAX(1,$MQ38)),2,99),UPPER(LEFT(INDEX($PK38:$PQ38,1,MAX(1,$MQ38)),1))&amp;MID(INDEX($PK38:$PQ38,1,MAX(1,$MQ38)),2,99)&amp;IF($MT38="",""," "&amp;$MT38)&amp;IF($PC38&gt;0," · +"&amp;$PC38&amp;"d8",""))))</f>
        <v/>
      </c>
      <c r="QD38" s="155">
        <f>COUNTIF($MV38:$MY38,"Longe")+3*COUNTIF($MV38:$MY38,"Muito Longe")</f>
        <v/>
      </c>
      <c r="QE38" s="155">
        <f>COUNTIF($MV38:$MY38,"Maior")+3*COUNTIF($MV38:$MY38,"Muito Maior")</f>
        <v/>
      </c>
      <c r="QF38" s="155">
        <f>IF($NH38=0,0,CHOOSE(1+INDEX($AC$2:$AC$11,$NH38),0,$QD38,$QE38,$QD38+$QE38))</f>
        <v/>
      </c>
      <c r="QG38" s="155">
        <f>IF($NH38=0,0,CHOOSE(1+INDEX($AD$2:$AD$11,$NH38),0,$QD38,$QE38,$QD38+$QE38))</f>
        <v/>
      </c>
      <c r="QH38" s="155">
        <f>IF(OR($NB38=0,$NH38=0),"",INDEX($AI$2:$AN$41,($NH38-1)*4+IF($MQ38=0,1,IF($MQ38&lt;=5,2,IF($MQ38=6,3,4))),1+MIN(5,$QF38))&amp;INDEX($AO$2:$AT$41,($NH38-1)*4+IF($MQ38=0,1,IF($MQ38&lt;=5,2,IF($MQ38=6,3,4))),1+MIN(5,$QG38))&amp;IF(INDEX($AE$2:$AE$11,$NH38)=1,IF(COUNTIF($MV38:$MY38,"Mais Um")&gt;0," · +"&amp;COUNTIF($MV38:$MY38,"Mais Um")&amp;IF(COUNTIF($MV38:$MY38,"Mais Um")&gt;1," alvos"," alvo"),"")&amp;IF(COUNTIF($MV38:$MY38,"Rajada")&gt;0,IF($MQ38=0," · 1 tiro"," · "&amp;(MAX(1,$MQ38-1)+1)&amp;" tiros"),""),""))</f>
        <v/>
      </c>
      <c r="QI38" s="155">
        <f>IF($NB38=0,"",IF($MQ38=0,$NE38&amp;"d6"&amp;IF($OS38&gt;0," − 1 = "&amp;$PB38&amp;"d6"," da básica do nível "&amp;$NC38),$OZ38&amp;" − "&amp;$OU38&amp;" + "&amp;$OX38&amp;" = "&amp;$PA38&amp;" · teto "&amp;4*$MQ38&amp;"d8"&amp;IF($OD38=1," · a Forma devolve "&amp;$MQ38,"")&amp;IF($OY38&gt;0," · perde "&amp;$OY38,"")))</f>
        <v/>
      </c>
      <c r="QJ38" s="155">
        <f>IF($NB38=0,"",IF($MQ38=0,"A básica não amplia: os dados dela sobem com o nível",IF($MQ38&gt;=$ND38,"Já está na maior Classe que o nível liberou",TEXTJOIN(" · ",TRUE,IF(AND(2&gt;$MQ38,2&lt;=$ND38),"2 → "&amp;$PL38&amp;", 6 PE",""),IF(AND(3&gt;$MQ38,3&lt;=$ND38),"3 → "&amp;$PM38&amp;", 9 PE",""),IF(AND(4&gt;$MQ38,4&lt;=$ND38),"4 → "&amp;$PN38&amp;", 12 PE",""),IF(AND(5&gt;$MQ38,5&lt;=$ND38),"5 → "&amp;$PO38&amp;", 15 PE",""),IF(AND(6&gt;$MQ38,6&lt;=$ND38),"6 → "&amp;$PP38&amp;", 18 PE",""),IF(AND(7&gt;$MQ38,7&lt;=$ND38),"7 → "&amp;$PQ38&amp;", 21 PE","")))))</f>
        <v/>
      </c>
      <c r="QK38" s="155">
        <f>IF(OR($NB38=0,$NM38=0),"",IF($MQ38=0,"−1 dado","−"&amp;INDEX($I$2:$N$8,MAX(1,$MQ38),MAX(1,$NR38))&amp;" · "&amp;CHOOSE(MAX(1,$NR38),"Leve","Média","Pesada","Leve · Livre","Média · Livre","Pesada · Livre")))</f>
        <v/>
      </c>
      <c r="QL38" s="155">
        <f>IF(OR($NB38=0,$NN38=0),"",IF($MQ38=0,"−1 dado","−"&amp;INDEX($I$2:$N$8,MAX(1,$MQ38),MAX(1,$NS38))&amp;" · "&amp;CHOOSE(MAX(1,$NS38),"Leve","Média","Pesada","Leve · Livre","Média · Livre","Pesada · Livre")))</f>
        <v/>
      </c>
      <c r="QM38" s="155">
        <f>IF(OR($NB38=0,$NO38=0),"",IF($MQ38=0,"−1 dado","−"&amp;INDEX($I$2:$N$8,MAX(1,$MQ38),MAX(1,$NT38))&amp;" · "&amp;CHOOSE(MAX(1,$NT38),"Leve","Média","Pesada","Leve · Livre","Média · Livre","Pesada · Livre")))</f>
        <v/>
      </c>
      <c r="QN38" s="155">
        <f>IF(OR($NB38=0,$NP38=0),"",IF($MQ38=0,"−1 dado","−"&amp;INDEX($I$2:$N$8,MAX(1,$MQ38),MAX(1,$NU38))&amp;" · "&amp;CHOOSE(MAX(1,$NU38),"Leve","Média","Pesada","Leve · Livre","Média · Livre","Pesada · Livre")))</f>
        <v/>
      </c>
      <c r="QO38" s="155">
        <f>IF(OR($NB38=0,$MZ38=""),"",IF($MQ38=0,"não devolve","+"&amp;IF($OG38=1,CEILING($MQ38/2,1),$MQ38)))</f>
        <v/>
      </c>
      <c r="QP38" s="155">
        <f>IF(OR($NB38=0,$NA38=""),"",IF($MQ38=0,"não devolve","+"&amp;IF($OH38=1,CEILING($MQ38/2,1),$MQ38)))</f>
        <v/>
      </c>
    </row>
    <row r="39">
      <c r="AH39" s="153" t="inlineStr">
        <is>
          <t>Efeito · classes 1 a 5</t>
        </is>
      </c>
      <c r="AI39" s="153" t="inlineStr">
        <is>
          <t>Fora de combate</t>
        </is>
      </c>
      <c r="AJ39" s="153" t="inlineStr">
        <is>
          <t>Fora de combate</t>
        </is>
      </c>
      <c r="AK39" s="153" t="inlineStr">
        <is>
          <t>Fora de combate</t>
        </is>
      </c>
      <c r="AL39" s="153" t="inlineStr">
        <is>
          <t>Fora de combate</t>
        </is>
      </c>
      <c r="AM39" s="153" t="inlineStr">
        <is>
          <t>Fora de combate</t>
        </is>
      </c>
      <c r="AN39" s="153" t="inlineStr">
        <is>
          <t>Fora de combate</t>
        </is>
      </c>
      <c r="AO39" s="153" t="inlineStr"/>
      <c r="AP39" s="153" t="inlineStr"/>
      <c r="AQ39" s="153" t="inlineStr"/>
      <c r="AR39" s="153" t="inlineStr"/>
      <c r="AS39" s="153" t="inlineStr"/>
      <c r="AT39" s="153" t="inlineStr"/>
      <c r="AV39" s="153" t="inlineStr">
        <is>
          <t>Cerca</t>
        </is>
      </c>
      <c r="AW39" s="153" t="inlineStr">
        <is>
          <t>Controle</t>
        </is>
      </c>
      <c r="AX39" s="155" t="n">
        <v>1</v>
      </c>
      <c r="AY39" s="155" t="n">
        <v>1</v>
      </c>
      <c r="AZ39" s="155" t="n">
        <v>0</v>
      </c>
      <c r="BA39" s="155" t="n">
        <v>1</v>
      </c>
      <c r="JR39" s="155">
        <f>IF(OR($AW39="",COUNTIF($EJ$2:$EN$2,$AW39)&gt;0),$AV39,"")</f>
        <v/>
      </c>
      <c r="JS39" s="155">
        <f>IF(AND($AX39=1,OR($AW39="",COUNTIF($EJ$2:$EN$2,$AW39)&gt;0)),$AV39,"")</f>
        <v/>
      </c>
      <c r="JX39" s="155">
        <f>IF(OR($AW39="",COUNTIF($EJ$3:$EN$3,$AW39)&gt;0),$AV39,"")</f>
        <v/>
      </c>
      <c r="JY39" s="155">
        <f>IF(AND($AX39=1,OR($AW39="",COUNTIF($EJ$3:$EN$3,$AW39)&gt;0)),$AV39,"")</f>
        <v/>
      </c>
      <c r="KD39" s="155">
        <f>IF(OR($AW39="",COUNTIF($EJ$4:$EN$4,$AW39)&gt;0),$AV39,"")</f>
        <v/>
      </c>
      <c r="KE39" s="155">
        <f>IF(AND($AX39=1,OR($AW39="",COUNTIF($EJ$4:$EN$4,$AW39)&gt;0)),$AV39,"")</f>
        <v/>
      </c>
      <c r="KJ39" s="155">
        <f>IF(OR($AW39="",COUNTIF($EJ$5:$EN$5,$AW39)&gt;0),$AV39,"")</f>
        <v/>
      </c>
      <c r="KK39" s="155">
        <f>IF(AND($AX39=1,OR($AW39="",COUNTIF($EJ$5:$EN$5,$AW39)&gt;0)),$AV39,"")</f>
        <v/>
      </c>
      <c r="KP39" s="155">
        <f>IF(OR($AW39="",COUNTIF($EJ$6:$EN$6,$AW39)&gt;0),$AV39,"")</f>
        <v/>
      </c>
      <c r="KQ39" s="155">
        <f>IF(AND($AX39=1,OR($AW39="",COUNTIF($EJ$6:$EN$6,$AW39)&gt;0)),$AV39,"")</f>
        <v/>
      </c>
      <c r="KV39" s="155">
        <f>IF(OR($AW39="",COUNTIF($EJ$7:$EN$7,$AW39)&gt;0),$AV39,"")</f>
        <v/>
      </c>
      <c r="KW39" s="155">
        <f>IF(AND($AX39=1,OR($AW39="",COUNTIF($EJ$7:$EN$7,$AW39)&gt;0)),$AV39,"")</f>
        <v/>
      </c>
      <c r="LB39" s="155">
        <f>IF(OR($AW39="",COUNTIF($EJ$8:$EN$8,$AW39)&gt;0),$AV39,"")</f>
        <v/>
      </c>
      <c r="LC39" s="155">
        <f>IF(AND($AX39=1,OR($AW39="",COUNTIF($EJ$8:$EN$8,$AW39)&gt;0)),$AV39,"")</f>
        <v/>
      </c>
      <c r="LH39" s="155">
        <f>IF(OR($AW39="",COUNTIF($EJ$9:$EN$9,$AW39)&gt;0),$AV39,"")</f>
        <v/>
      </c>
      <c r="LI39" s="155">
        <f>IF(AND($AX39=1,OR($AW39="",COUNTIF($EJ$9:$EN$9,$AW39)&gt;0)),$AV39,"")</f>
        <v/>
      </c>
      <c r="LN39" s="155">
        <f>IF(OR($AW39="",COUNTIF($EJ$10:$EN$10,$AW39)&gt;0),$AV39,"")</f>
        <v/>
      </c>
      <c r="LO39" s="155">
        <f>IF(AND($AX39=1,OR($AW39="",COUNTIF($EJ$10:$EN$10,$AW39)&gt;0)),$AV39,"")</f>
        <v/>
      </c>
      <c r="LT39" s="155">
        <f>IF(OR($AW39="",COUNTIF($EJ$11:$EN$11,$AW39)&gt;0),$AV39,"")</f>
        <v/>
      </c>
      <c r="LU39" s="155">
        <f>IF(AND($AX39=1,OR($AW39="",COUNTIF($EJ$11:$EN$11,$AW39)&gt;0)),$AV39,"")</f>
        <v/>
      </c>
      <c r="LZ39" s="155">
        <f>IF(OR($AW39="",COUNTIF($EJ$12:$EN$12,$AW39)&gt;0),$AV39,"")</f>
        <v/>
      </c>
      <c r="MA39" s="155">
        <f>IF(AND($AX39=1,OR($AW39="",COUNTIF($EJ$12:$EN$12,$AW39)&gt;0)),$AV39,"")</f>
        <v/>
      </c>
      <c r="MF39" s="155">
        <f>IF(OR($AW39="",COUNTIF($EJ$13:$EN$13,$AW39)&gt;0),$AV39,"")</f>
        <v/>
      </c>
      <c r="MG39" s="155">
        <f>IF(AND($AX39=1,OR($AW39="",COUNTIF($EJ$13:$EN$13,$AW39)&gt;0)),$AV39,"")</f>
        <v/>
      </c>
      <c r="ML39" s="153" t="inlineStr">
        <is>
          <t>Ficha 3 · Escolha da trilha 2</t>
        </is>
      </c>
      <c r="MM39" s="155" t="n">
        <v>3</v>
      </c>
      <c r="MN39" s="155" t="n">
        <v>2</v>
      </c>
      <c r="MO39" s="155" t="n">
        <v>0</v>
      </c>
      <c r="MP39" s="153" t="inlineStr">
        <is>
          <t>ESCOLHA DA TRILHA 2</t>
        </is>
      </c>
      <c r="MQ39" s="155">
        <f>MAX(0,MIN(7,N('INVOCAÇÕES'!$O$556)))</f>
        <v/>
      </c>
      <c r="MR39" s="155">
        <f>'INVOCAÇÕES'!$P$556&amp;""</f>
        <v/>
      </c>
      <c r="MS39" s="155">
        <f>'INVOCAÇÕES'!$O$561&amp;""</f>
        <v/>
      </c>
      <c r="MT39" s="155">
        <f>'INVOCAÇÕES'!$O$562&amp;""</f>
        <v/>
      </c>
      <c r="MU39" s="155">
        <f>'INVOCAÇÕES'!$Q$562&amp;""</f>
        <v/>
      </c>
      <c r="MV39" s="155">
        <f>'INVOCAÇÕES'!$P$565&amp;""</f>
        <v/>
      </c>
      <c r="MW39" s="155">
        <f>'INVOCAÇÕES'!$P$566&amp;""</f>
        <v/>
      </c>
      <c r="MX39" s="155">
        <f>'INVOCAÇÕES'!$P$567&amp;""</f>
        <v/>
      </c>
      <c r="MY39" s="155">
        <f>'INVOCAÇÕES'!$P$568&amp;""</f>
        <v/>
      </c>
      <c r="MZ39" s="155">
        <f>'INVOCAÇÕES'!$P$569&amp;""</f>
        <v/>
      </c>
      <c r="NA39" s="155">
        <f>'INVOCAÇÕES'!$P$570&amp;""</f>
        <v/>
      </c>
      <c r="NB39" s="155">
        <f>IF($MR39&lt;&gt;"",1,0)</f>
        <v/>
      </c>
      <c r="NC39" s="155">
        <f>INDEX($FM$2:$FM$13,$MM39)</f>
        <v/>
      </c>
      <c r="ND39" s="155">
        <f>INDEX($FN$2:$FN$13,$MM39)</f>
        <v/>
      </c>
      <c r="NE39" s="155">
        <f>INDEX($FO$2:$FO$13,$MM39)</f>
        <v/>
      </c>
      <c r="NF39" s="155">
        <f>INDEX($FZ$2:$FZ$13,$MM39)</f>
        <v/>
      </c>
      <c r="NG39" s="155">
        <f>INDEX($GA$2:$GA$13,$MM39)</f>
        <v/>
      </c>
      <c r="NH39" s="155">
        <f>IFERROR(MATCH($MS39,$V$2:$V$11,0),0)</f>
        <v/>
      </c>
      <c r="NI39" s="155">
        <f>IFERROR(VLOOKUP($MV39,$AV$2:$BA$84,2,FALSE),"")</f>
        <v/>
      </c>
      <c r="NJ39" s="155">
        <f>IFERROR(VLOOKUP($MW39,$AV$2:$BA$84,2,FALSE),"")</f>
        <v/>
      </c>
      <c r="NK39" s="155">
        <f>IFERROR(VLOOKUP($MX39,$AV$2:$BA$84,2,FALSE),"")</f>
        <v/>
      </c>
      <c r="NL39" s="155">
        <f>IFERROR(VLOOKUP($MY39,$AV$2:$BA$84,2,FALSE),"")</f>
        <v/>
      </c>
      <c r="NM39" s="155">
        <f>IFERROR(VLOOKUP($MV39,$AV$2:$BA$84,3,FALSE),0)</f>
        <v/>
      </c>
      <c r="NN39" s="155">
        <f>IFERROR(VLOOKUP($MW39,$AV$2:$BA$84,3,FALSE),0)</f>
        <v/>
      </c>
      <c r="NO39" s="155">
        <f>IFERROR(VLOOKUP($MX39,$AV$2:$BA$84,3,FALSE),0)</f>
        <v/>
      </c>
      <c r="NP39" s="155">
        <f>IFERROR(VLOOKUP($MY39,$AV$2:$BA$84,3,FALSE),0)</f>
        <v/>
      </c>
      <c r="NQ39" s="155">
        <f>IF($MQ39=0,0,IF($NH39=0,0,INDEX($X$2:$X$11,$NH39)))</f>
        <v/>
      </c>
      <c r="NR39" s="155">
        <f>IF(OR($NM39=0,$MQ39=0),0,$NM39+3*IF(AND($NI39&lt;&gt;"",OR($NI39=INDEX($EJ$2:$EJ$13,$MM39),$NI39=INDEX($EK$2:$EK$13,$MM39))),1,0))</f>
        <v/>
      </c>
      <c r="NS39" s="155">
        <f>IF(OR($NN39=0,$MQ39=0),0,$NN39+3*IF(AND($NJ39&lt;&gt;"",OR($NJ39=INDEX($EJ$2:$EJ$13,$MM39),$NJ39=INDEX($EK$2:$EK$13,$MM39))),1,0))</f>
        <v/>
      </c>
      <c r="NT39" s="155">
        <f>IF(OR($NO39=0,$MQ39=0),0,$NO39+3*IF(AND($NK39&lt;&gt;"",OR($NK39=INDEX($EJ$2:$EJ$13,$MM39),$NK39=INDEX($EK$2:$EK$13,$MM39))),1,0))</f>
        <v/>
      </c>
      <c r="NU39" s="155">
        <f>IF(OR($NP39=0,$MQ39=0),0,$NP39+3*IF(AND($NL39&lt;&gt;"",OR($NL39=INDEX($EJ$2:$EJ$13,$MM39),$NL39=INDEX($EK$2:$EK$13,$MM39))),1,0))</f>
        <v/>
      </c>
      <c r="NV39" s="155">
        <f>IF($NH39=0,0,IF(INDEX($W$2:$W$11,$NH39)="",0,IF(COUNTIF(INDEX($EJ$2:$EN$13,$MM39,0),INDEX($W$2:$W$11,$NH39))=0,1,0)))</f>
        <v/>
      </c>
      <c r="NW39" s="155">
        <f>IF(OR($NM39=0,$NI39=""),0,IF(COUNTIF(INDEX($EJ$2:$EN$13,$MM39,0),$NI39)=0,1,0))</f>
        <v/>
      </c>
      <c r="NX39" s="155">
        <f>IF(OR($NN39=0,$NJ39=""),0,IF(COUNTIF(INDEX($EJ$2:$EN$13,$MM39,0),$NJ39)=0,1,0))</f>
        <v/>
      </c>
      <c r="NY39" s="155">
        <f>IF(OR($NO39=0,$NK39=""),0,IF(COUNTIF(INDEX($EJ$2:$EN$13,$MM39,0),$NK39)=0,1,0))</f>
        <v/>
      </c>
      <c r="NZ39" s="155">
        <f>IF(OR($NP39=0,$NL39=""),0,IF(COUNTIF(INDEX($EJ$2:$EN$13,$MM39,0),$NL39)=0,1,0))</f>
        <v/>
      </c>
      <c r="OA39" s="155">
        <f>IFERROR(VLOOKUP($MV39,$AV$2:$BA$84,4,FALSE),0)+IFERROR(VLOOKUP($MW39,$AV$2:$BA$84,4,FALSE),0)+IFERROR(VLOOKUP($MX39,$AV$2:$BA$84,4,FALSE),0)+IFERROR(VLOOKUP($MY39,$AV$2:$BA$84,4,FALSE),0)</f>
        <v/>
      </c>
      <c r="OB39" s="155">
        <f>IFERROR(VLOOKUP($MV39,$AV$2:$BA$84,6,FALSE),0)+IFERROR(VLOOKUP($MW39,$AV$2:$BA$84,6,FALSE),0)+IFERROR(VLOOKUP($MX39,$AV$2:$BA$84,6,FALSE),0)+IFERROR(VLOOKUP($MY39,$AV$2:$BA$84,6,FALSE),0)</f>
        <v/>
      </c>
      <c r="OC39" s="155">
        <f>TEXTJOIN(", ",TRUE,IF(IFERROR(VLOOKUP($MV39,$AV$2:$BA$84,5,FALSE),0)=1,$MV39,""),IF(IFERROR(VLOOKUP($MW39,$AV$2:$BA$84,5,FALSE),0)=1,$MW39,""),IF(IFERROR(VLOOKUP($MX39,$AV$2:$BA$84,5,FALSE),0)=1,$MX39,""),IF(IFERROR(VLOOKUP($MY39,$AV$2:$BA$84,5,FALSE),0)=1,$MY39,""))</f>
        <v/>
      </c>
      <c r="OD39" s="155">
        <f>IF($NH39=0,0,INDEX($Y$2:$Y$11,$NH39))</f>
        <v/>
      </c>
      <c r="OE39" s="155">
        <f>IF($NH39=0,0,INDEX($Z$2:$Z$11,$NH39))</f>
        <v/>
      </c>
      <c r="OF39" s="155">
        <f>IF($NH39=0,0,INDEX($AB$2:$AB$11,$NH39))</f>
        <v/>
      </c>
      <c r="OG39" s="155">
        <f>IFERROR(VLOOKUP($MZ39,$BC$2:$BG$24,3,FALSE),0)</f>
        <v/>
      </c>
      <c r="OH39" s="155">
        <f>IFERROR(VLOOKUP($NA39,$BC$2:$BG$24,3,FALSE),0)</f>
        <v/>
      </c>
      <c r="OI39" s="155">
        <f>IFERROR(VLOOKUP($MZ39,$BC$2:$BG$24,2,FALSE),"")</f>
        <v/>
      </c>
      <c r="OJ39" s="155">
        <f>IFERROR(VLOOKUP($NA39,$BC$2:$BG$24,2,FALSE),"")</f>
        <v/>
      </c>
      <c r="OK39" s="155">
        <f>COUNTIF($NQ39:$NU39,1)</f>
        <v/>
      </c>
      <c r="OL39" s="155">
        <f>COUNTIF($NQ39:$NU39,2)</f>
        <v/>
      </c>
      <c r="OM39" s="155">
        <f>COUNTIF($NQ39:$NU39,3)</f>
        <v/>
      </c>
      <c r="ON39" s="155">
        <f>COUNTIF($NQ39:$NU39,4)</f>
        <v/>
      </c>
      <c r="OO39" s="155">
        <f>COUNTIF($NQ39:$NU39,5)</f>
        <v/>
      </c>
      <c r="OP39" s="155">
        <f>COUNTIF($NQ39:$NU39,6)</f>
        <v/>
      </c>
      <c r="OQ39" s="155">
        <f>COUNTIF($OG39:$OH39,1)</f>
        <v/>
      </c>
      <c r="OR39" s="155">
        <f>COUNTIF($OG39:$OH39,2)+$OD39</f>
        <v/>
      </c>
      <c r="OS39" s="155">
        <f>COUNTIF($MV39:$MY39,"?*")</f>
        <v/>
      </c>
      <c r="OT39" s="155">
        <f>COUNTIF($MZ39:$NA39,"?*")+$OD39</f>
        <v/>
      </c>
      <c r="OU39" s="155">
        <f>IF($MQ39=0,0,SUMPRODUCT($OK39:$OP39,INDEX($I$2:$N$8,MAX(1,$MQ39),0)))</f>
        <v/>
      </c>
      <c r="OV39" s="155">
        <f>IF($MQ39=0,0,$OQ39*CEILING($MQ39/2,1)+$OR39*$MQ39)</f>
        <v/>
      </c>
      <c r="OW39" s="155">
        <f>MIN(2*$MQ39,$OV39)</f>
        <v/>
      </c>
      <c r="OX39" s="155">
        <f>MIN($OW39,$OU39)</f>
        <v/>
      </c>
      <c r="OY39" s="155">
        <f>$OW39-$OX39</f>
        <v/>
      </c>
      <c r="OZ39" s="155">
        <f>IF($MQ39=0,0,INDEX($P$2:$P$8,MAX(1,$MQ39)))</f>
        <v/>
      </c>
      <c r="PA39" s="155">
        <f>$OZ39-$OU39+$OX39</f>
        <v/>
      </c>
      <c r="PB39" s="155">
        <f>IF($MQ39=0,MAX(0,$NE39-IF($OS39&gt;0,1,0)),MAX(0,$PA39))</f>
        <v/>
      </c>
      <c r="PC39" s="155">
        <f>IF($MQ39=0,0,(IF(COUNTIF($MV39:$MY39,"Salto")&gt;0,1,0)+IF(COUNTIF($MV39:$MY39,"Queima")&gt;0,1,0)+IF(COUNTIF($MV39:$MY39,"Estilhaço")&gt;0,1,0))*FLOOR($PB39/2,1))</f>
        <v/>
      </c>
      <c r="PD39" s="155">
        <f>MAX(0,2-SUMPRODUCT($OK39:$OP39,$I$2:$N$2)+MIN(2,$OQ39*1+$OR39*1,SUMPRODUCT($OK39:$OP39,$I$2:$N$2)))</f>
        <v/>
      </c>
      <c r="PE39" s="155">
        <f>MAX(0,4-SUMPRODUCT($OK39:$OP39,$I$3:$N$3)+MIN(4,$OQ39*1+$OR39*2,SUMPRODUCT($OK39:$OP39,$I$3:$N$3)))</f>
        <v/>
      </c>
      <c r="PF39" s="155">
        <f>MAX(0,6-SUMPRODUCT($OK39:$OP39,$I$4:$N$4)+MIN(6,$OQ39*2+$OR39*3,SUMPRODUCT($OK39:$OP39,$I$4:$N$4)))</f>
        <v/>
      </c>
      <c r="PG39" s="155">
        <f>MAX(0,9-SUMPRODUCT($OK39:$OP39,$I$5:$N$5)+MIN(8,$OQ39*2+$OR39*4,SUMPRODUCT($OK39:$OP39,$I$5:$N$5)))</f>
        <v/>
      </c>
      <c r="PH39" s="155">
        <f>MAX(0,11-SUMPRODUCT($OK39:$OP39,$I$6:$N$6)+MIN(10,$OQ39*3+$OR39*5,SUMPRODUCT($OK39:$OP39,$I$6:$N$6)))</f>
        <v/>
      </c>
      <c r="PI39" s="155">
        <f>MAX(0,13-SUMPRODUCT($OK39:$OP39,$I$7:$N$7)+MIN(12,$OQ39*3+$OR39*6,SUMPRODUCT($OK39:$OP39,$I$7:$N$7)))</f>
        <v/>
      </c>
      <c r="PJ39" s="155">
        <f>MAX(0,16-SUMPRODUCT($OK39:$OP39,$I$8:$N$8)+MIN(14,$OQ39*4+$OR39*7,SUMPRODUCT($OK39:$OP39,$I$8:$N$8)))</f>
        <v/>
      </c>
      <c r="PK39" s="155">
        <f>IF($OE39=2,3*$PD39&amp;" de vida temp.",IF($OE39=3,"sem dano",IF($PD39=0,IF($OE39=1,"sem cura","sem dano"),IF($OE39=1,"cura ","")&amp;$PD39&amp;"d8")))</f>
        <v/>
      </c>
      <c r="PL39" s="155">
        <f>IF($OE39=2,3*$PE39&amp;" de vida temp.",IF($OE39=3,"sem dano",IF($PE39=0,IF($OE39=1,"sem cura","sem dano"),IF($OE39=1,"cura ","")&amp;$PE39&amp;"d8")))</f>
        <v/>
      </c>
      <c r="PM39" s="155">
        <f>IF($OE39=2,3*$PF39&amp;" de vida temp.",IF($OE39=3,"sem dano",IF($PF39=0,IF($OE39=1,"sem cura","sem dano"),IF($OE39=1,"cura ","")&amp;$PF39&amp;"d8")))</f>
        <v/>
      </c>
      <c r="PN39" s="155">
        <f>IF($OE39=2,3*$PG39&amp;" de vida temp.",IF($OE39=3,"sem dano",IF($PG39=0,IF($OE39=1,"sem cura","sem dano"),IF($OE39=1,"cura ","")&amp;$PG39&amp;"d8")))</f>
        <v/>
      </c>
      <c r="PO39" s="155">
        <f>IF($OE39=2,3*$PH39&amp;" de vida temp.",IF($OE39=3,"sem dano",IF($PH39=0,IF($OE39=1,"sem cura","sem dano"),IF($OE39=1,"cura ","")&amp;$PH39&amp;"d8")))</f>
        <v/>
      </c>
      <c r="PP39" s="155">
        <f>IF($OE39=2,3*$PI39&amp;" de vida temp.",IF($OE39=3,"sem dano",IF($PI39=0,IF($OE39=1,"sem cura","sem dano"),IF($OE39=1,"cura ","")&amp;$PI39&amp;"d8")))</f>
        <v/>
      </c>
      <c r="PQ39" s="155">
        <f>IF($OE39=2,3*$PJ39&amp;" de vida temp.",IF($OE39=3,"sem dano",IF($PJ39=0,IF($OE39=1,"sem cura","sem dano"),IF($OE39=1,"cura ","")&amp;$PJ39&amp;"d8")))</f>
        <v/>
      </c>
      <c r="PR39" s="155">
        <f>IF($NB39=0,"",TEXTJOIN(" · ",TRUE,IF($MO39&gt;$NC39,"Este lugar abre no nível "&amp;$MO39,""),IF($MQ39&gt;$ND39,"Classe "&amp;$MQ39&amp;": o nível "&amp;$NC39&amp;" libera até a "&amp;$ND39,""),IF($NV39=1,"A Forma "&amp;$MS39&amp;" pede "&amp;INDEX($W$2:$W$11,$NH39)&amp;" aberta",""),IF(AND($MQ39=0,$NH39&gt;0,IF($NH39=0,0,INDEX($AF$2:$AF$11,$NH39))=0),$MS39&amp;" não existe na Classe 0",""),IF($NW39=1,"Família Fechada: "&amp;$MV39,""),IF($NX39=1,"Família Fechada: "&amp;$MW39,""),IF($NY39=1,"Família Fechada: "&amp;$MX39,""),IF($NZ39=1,"Família Fechada: "&amp;$MY39,""),IF(AND($MQ39&gt;0,$OS39&gt;INDEX($O$2:$O$8,MAX(1,$MQ39))),$OS39&amp;" Melhorias: a Classe "&amp;$MQ39&amp;" aceita "&amp;INDEX($O$2:$O$8,MAX(1,$MQ39)),""),IF(AND($MQ39=0,$OS39&gt;1),"A básica aceita uma Melhoria",""),IF(AND($MQ39=0,COUNTIF($NM39:$NP39,"&gt;1")&gt;0),"A básica só aceita Melhoria Leve",""),IF(AND($MQ39&gt;0,$OT39&gt;2),$OT39&amp;" Restrições"&amp;IF($OD39=1,", contando a que a Forma "&amp;$MS39&amp;" já traz","")&amp;": o limite é 2",""),IF(AND($MQ39=0,COUNTIF($MZ39:$NA39,"?*")&gt;1),"A básica aceita uma Restrição Leve",""),IF(AND($MQ39=0,COUNTIF($OG39:$OH39,2)&gt;0),"A básica só aceita Restrição Leve",""),IF(AND($MQ39&gt;0,$PA39&lt;0),"Orçamento estourado: faltam "&amp;(-$PA39)&amp;IF($PA39&lt;-1," pontos"," ponto"),""),IF(IFERROR(VLOOKUP($MZ39,$BC$2:$BG$24,4,FALSE),0)+IFERROR(VLOOKUP($NA39,$BC$2:$BG$24,4,FALSE),0)&gt;1,$OI39&amp;" e "&amp;$OJ39&amp;" são as duas de frequência",""),IF(AND((COUNTIF($MV39:$MY39,"Rápido")+COUNTIF($OI39:$OJ39,"Rápido"))&gt;0,(COUNTIF($MV39:$MY39,"Atrasar")+COUNTIF($OI39:$OJ39,"Atrasar"))&gt;0),"Rápido não entra com Atrasar",""),IF(AND((COUNTIF($MV39:$MY39,"Reação")+COUNTIF($OI39:$OJ39,"Reação"))&gt;0,(COUNTIF($MV39:$MY39,"Rápido")+COUNTIF($OI39:$OJ39,"Rápido"))&gt;0),"Reação não entra com Rápido",""),IF(AND((COUNTIF($MV39:$MY39,"Reação")+COUNTIF($OI39:$OJ39,"Reação"))&gt;0,(COUNTIF($MV39:$MY39,"Armado")+COUNTIF($OI39:$OJ39,"Armado"))&gt;0),"Reação não entra com Armado",""),IF(AND((COUNTIF($MV39:$MY39,"Reação")+COUNTIF($OI39:$OJ39,"Reação"))&gt;0,(COUNTIF($MV39:$MY39,"Atrasar")+COUNTIF($OI39:$OJ39,"Atrasar"))&gt;0),"Reação não entra com Atrasar",""),IF(AND((COUNTIF($MV39:$MY39,"Reação")+COUNTIF($OI39:$OJ39,"Reação"))&gt;0,(COUNTIF($MV39:$MY39,"Parado")+COUNTIF($OI39:$OJ39,"Parado"))&gt;0),"Reação não entra com Parado",""),IF(AND((COUNTIF($MV39:$MY39,"Atrasar")+COUNTIF($OI39:$OJ39,"Atrasar"))&gt;0,(COUNTIF($MV39:$MY39,"Parado")+COUNTIF($OI39:$OJ39,"Parado"))&gt;0),"Atrasar não entra com Parado",""),IF(AND((COUNTIF($MV39:$MY39,"Armado")+COUNTIF($OI39:$OJ39,"Armado"))&gt;0,(COUNTIF($MV39:$MY39,"Carregar")+COUNTIF($OI39:$OJ39,"Carregar"))&gt;0),"Armado não entra com Carregar",""),IF(AND(COUNTIF($OI39:$OJ39,"Corpo a Corpo")&gt;0,$OD39=0,OR($MS39="Cone",$MS39="Linha")),"Corpo a Corpo não entra em "&amp;$MS39,""),IF(AND(COUNTIF($OI39:$OJ39,"Corpo a Corpo")&gt;0,$OD39=1),"A Forma "&amp;$MS39&amp;" já traz o Corpo a Corpo",""),IF(AND(COUNTIF($OI39:$OJ39,"Tudo ou Nada")&gt;0,$OF39=0),"Tudo ou Nada só entra em habilidade de Teste de Resistência",""),IF(AND(COUNTIF($MV39:$MY39,"Inescapável")&gt;0,OR($OS39&gt;1,$OT39&gt;0)),"Inescapável não aceita outra peça",""),IF(AND($MQ39&gt;0,$PB39*IF(COUNTIF($MV39:$MY39,"Remate")&gt;0,1.25,1)+$PC39&gt;4*$MQ39),($PB39*IF(COUNTIF($MV39:$MY39,"Remate")&gt;0,1.25,1)+$PC39)&amp;" dados somando repetições"&amp;IF(COUNTIF($MV39:$MY39,"Remate")&gt;0," e o Remate","")&amp;": o teto da Classe "&amp;$MQ39&amp;" é "&amp;4*$MQ39,"")))</f>
        <v/>
      </c>
      <c r="PS39" s="155">
        <f>IF($PR39="",0,(LEN($PR39)-LEN(SUBSTITUTE($PR39," · ","")))/3+1)</f>
        <v/>
      </c>
      <c r="PT39" s="155">
        <f>IF($NB39=0,"",TEXTJOIN(" · ",TRUE,IF($OV39&gt;2*$MQ39,"A devolução parou no teto de "&amp;2*$MQ39,""),IF($OY39&gt;0,"Devolução perdida: "&amp;$OY39&amp;IF($OY39&gt;1," pontos"," ponto")&amp;" sem peça para pagar",""),IF(AND($OA39&gt;0,AND($MQ39&gt;0,$OE39=0),$PB39=0),"Controle sem dano: uma rodada a mais e CD +2",""),IF(AND($OA39&gt;0,AND($MQ39&gt;0,$OE39=0),$PB39&gt;0,$PB39&lt;=$MQ39),"Controle com saldo até a Classe: uma rodada a mais",""),IF(AND($MQ39&gt;0,$OC39&lt;&gt;""),"Efeito de "&amp;$OC39&amp;" pela Classe "&amp;MAX(1,$MQ39-1),"")))</f>
        <v/>
      </c>
      <c r="PU39" s="155">
        <f>IF($PT39="",0,(LEN($PT39)-LEN(SUBSTITUTE($PT39," · ","")))/3+1)</f>
        <v/>
      </c>
      <c r="PV39" s="155">
        <f>IF($NB39=0,IF($OS39+COUNTIF($MZ39:$NA39,"?*")&gt;0,"Dê um nome",""),IF($PS39&gt;0,"⚠ "&amp;$PS39&amp;IF($PS39&gt;1," erros"," erro"),IF($PU39&gt;0,"! "&amp;$PU39&amp;IF($PU39&gt;1," avisos"," aviso"),"Na regra")))</f>
        <v/>
      </c>
      <c r="PW39" s="155">
        <f>IF($NB39=0,"",IF($PS39+$PU39=0,"Dentro das regras que a ficha confere",$PR39&amp;IF(AND($PS39&gt;0,$PU39&gt;0)," · ","")&amp;$PT39))</f>
        <v/>
      </c>
      <c r="PX39" s="155">
        <f>IF($MO39&gt;$NC39,$MP39&amp;" · ABRE NO NÍVEL "&amp;$MO39,$MP39)</f>
        <v/>
      </c>
      <c r="PY39" s="155">
        <f>IF($NB39=0,"",IF($MQ39=0,"Sem PE",3*$MQ39&amp;" PE"))</f>
        <v/>
      </c>
      <c r="PZ39" s="155">
        <f>IF($NB39=0,"",IF($MQ39=0,"A atuação básica dela",IF(COUNTIF($OI39:$OJ39,"Atrasar")&gt;0,"Sua Ação Completa",IF(COUNTIF($MV39:$MY39,"Rápido")&gt;0,"Sua Bônus",IF(COUNTIF($MV39:$MY39,"Reação")&gt;0,"Sua Reação","Sua Padrão")))&amp;" + a básica dela"&amp;IF(COUNTIF($MV39:$MY39,"Reação")&gt;0," e a coletiva","")&amp;IF(COUNTIF($OI39:$OJ39,"Carregar")&gt;0," · em dois turnos","")))</f>
        <v/>
      </c>
      <c r="QA39" s="155">
        <f>IF($MU39&lt;&gt;"",$MU39,IF($NH39=0,"",INDEX($AA$2:$AA$11,$NH39)))</f>
        <v/>
      </c>
      <c r="QB39" s="155">
        <f>IF(OR($NB39=0,$NH39=0),"",IF(COUNTIF($MV39:$MY39,"Inescapável")&gt;0,"Automático",IF($QA39="Ataque",IF($NF39="","Ataque","Ataque "&amp;IF(($NF39+2*IF(COUNTIF($MV39:$MY39,"Precisão")&gt;0,1,0))&gt;=0,"+","−")&amp;ABS(($NF39+2*IF(COUNTIF($MV39:$MY39,"Precisão")&gt;0,1,0))))&amp;IF($OB39&gt;0," · TR"&amp;IF($NG39="",""," CD "&amp;$NG39),""),IF(LEFT($QA39,2)="TR",$QA39&amp;IF($NG39="",""," · CD "&amp;$NG39)&amp;IF(COUNTIF($MV39:$MY39,"Certeiro")&gt;0," · metade",""),"Sem rolagem"))))</f>
        <v/>
      </c>
      <c r="QC39" s="155">
        <f>IF(OR($NB39=0,$NH39=0),"",IF($MQ39=0,IF(OR($OE39&gt;=1,$PB39=0),"Sem dano",$PB39&amp;"d6"&amp;IF($MT39="",""," "&amp;$MT39)),IF(OR($OE39&gt;=1,$PB39=0),UPPER(LEFT(INDEX($PK39:$PQ39,1,MAX(1,$MQ39)),1))&amp;MID(INDEX($PK39:$PQ39,1,MAX(1,$MQ39)),2,99),UPPER(LEFT(INDEX($PK39:$PQ39,1,MAX(1,$MQ39)),1))&amp;MID(INDEX($PK39:$PQ39,1,MAX(1,$MQ39)),2,99)&amp;IF($MT39="",""," "&amp;$MT39)&amp;IF($PC39&gt;0," · +"&amp;$PC39&amp;"d8",""))))</f>
        <v/>
      </c>
      <c r="QD39" s="155">
        <f>COUNTIF($MV39:$MY39,"Longe")+3*COUNTIF($MV39:$MY39,"Muito Longe")</f>
        <v/>
      </c>
      <c r="QE39" s="155">
        <f>COUNTIF($MV39:$MY39,"Maior")+3*COUNTIF($MV39:$MY39,"Muito Maior")</f>
        <v/>
      </c>
      <c r="QF39" s="155">
        <f>IF($NH39=0,0,CHOOSE(1+INDEX($AC$2:$AC$11,$NH39),0,$QD39,$QE39,$QD39+$QE39))</f>
        <v/>
      </c>
      <c r="QG39" s="155">
        <f>IF($NH39=0,0,CHOOSE(1+INDEX($AD$2:$AD$11,$NH39),0,$QD39,$QE39,$QD39+$QE39))</f>
        <v/>
      </c>
      <c r="QH39" s="155">
        <f>IF(OR($NB39=0,$NH39=0),"",INDEX($AI$2:$AN$41,($NH39-1)*4+IF($MQ39=0,1,IF($MQ39&lt;=5,2,IF($MQ39=6,3,4))),1+MIN(5,$QF39))&amp;INDEX($AO$2:$AT$41,($NH39-1)*4+IF($MQ39=0,1,IF($MQ39&lt;=5,2,IF($MQ39=6,3,4))),1+MIN(5,$QG39))&amp;IF(INDEX($AE$2:$AE$11,$NH39)=1,IF(COUNTIF($MV39:$MY39,"Mais Um")&gt;0," · +"&amp;COUNTIF($MV39:$MY39,"Mais Um")&amp;IF(COUNTIF($MV39:$MY39,"Mais Um")&gt;1," alvos"," alvo"),"")&amp;IF(COUNTIF($MV39:$MY39,"Rajada")&gt;0,IF($MQ39=0," · 1 tiro"," · "&amp;(MAX(1,$MQ39-1)+1)&amp;" tiros"),""),""))</f>
        <v/>
      </c>
      <c r="QI39" s="155">
        <f>IF($NB39=0,"",IF($MQ39=0,$NE39&amp;"d6"&amp;IF($OS39&gt;0," − 1 = "&amp;$PB39&amp;"d6"," da básica do nível "&amp;$NC39),$OZ39&amp;" − "&amp;$OU39&amp;" + "&amp;$OX39&amp;" = "&amp;$PA39&amp;" · teto "&amp;4*$MQ39&amp;"d8"&amp;IF($OD39=1," · a Forma devolve "&amp;$MQ39,"")&amp;IF($OY39&gt;0," · perde "&amp;$OY39,"")))</f>
        <v/>
      </c>
      <c r="QJ39" s="155">
        <f>IF($NB39=0,"",IF($MQ39=0,"A básica não amplia: os dados dela sobem com o nível",IF($MQ39&gt;=$ND39,"Já está na maior Classe que o nível liberou",TEXTJOIN(" · ",TRUE,IF(AND(2&gt;$MQ39,2&lt;=$ND39),"2 → "&amp;$PL39&amp;", 6 PE",""),IF(AND(3&gt;$MQ39,3&lt;=$ND39),"3 → "&amp;$PM39&amp;", 9 PE",""),IF(AND(4&gt;$MQ39,4&lt;=$ND39),"4 → "&amp;$PN39&amp;", 12 PE",""),IF(AND(5&gt;$MQ39,5&lt;=$ND39),"5 → "&amp;$PO39&amp;", 15 PE",""),IF(AND(6&gt;$MQ39,6&lt;=$ND39),"6 → "&amp;$PP39&amp;", 18 PE",""),IF(AND(7&gt;$MQ39,7&lt;=$ND39),"7 → "&amp;$PQ39&amp;", 21 PE","")))))</f>
        <v/>
      </c>
      <c r="QK39" s="155">
        <f>IF(OR($NB39=0,$NM39=0),"",IF($MQ39=0,"−1 dado","−"&amp;INDEX($I$2:$N$8,MAX(1,$MQ39),MAX(1,$NR39))&amp;" · "&amp;CHOOSE(MAX(1,$NR39),"Leve","Média","Pesada","Leve · Livre","Média · Livre","Pesada · Livre")))</f>
        <v/>
      </c>
      <c r="QL39" s="155">
        <f>IF(OR($NB39=0,$NN39=0),"",IF($MQ39=0,"−1 dado","−"&amp;INDEX($I$2:$N$8,MAX(1,$MQ39),MAX(1,$NS39))&amp;" · "&amp;CHOOSE(MAX(1,$NS39),"Leve","Média","Pesada","Leve · Livre","Média · Livre","Pesada · Livre")))</f>
        <v/>
      </c>
      <c r="QM39" s="155">
        <f>IF(OR($NB39=0,$NO39=0),"",IF($MQ39=0,"−1 dado","−"&amp;INDEX($I$2:$N$8,MAX(1,$MQ39),MAX(1,$NT39))&amp;" · "&amp;CHOOSE(MAX(1,$NT39),"Leve","Média","Pesada","Leve · Livre","Média · Livre","Pesada · Livre")))</f>
        <v/>
      </c>
      <c r="QN39" s="155">
        <f>IF(OR($NB39=0,$NP39=0),"",IF($MQ39=0,"−1 dado","−"&amp;INDEX($I$2:$N$8,MAX(1,$MQ39),MAX(1,$NU39))&amp;" · "&amp;CHOOSE(MAX(1,$NU39),"Leve","Média","Pesada","Leve · Livre","Média · Livre","Pesada · Livre")))</f>
        <v/>
      </c>
      <c r="QO39" s="155">
        <f>IF(OR($NB39=0,$MZ39=""),"",IF($MQ39=0,"não devolve","+"&amp;IF($OG39=1,CEILING($MQ39/2,1),$MQ39)))</f>
        <v/>
      </c>
      <c r="QP39" s="155">
        <f>IF(OR($NB39=0,$NA39=""),"",IF($MQ39=0,"não devolve","+"&amp;IF($OH39=1,CEILING($MQ39/2,1),$MQ39)))</f>
        <v/>
      </c>
    </row>
    <row r="40">
      <c r="AH40" s="153" t="inlineStr">
        <is>
          <t>Efeito · classe 6</t>
        </is>
      </c>
      <c r="AI40" s="153" t="inlineStr">
        <is>
          <t>Fora de combate</t>
        </is>
      </c>
      <c r="AJ40" s="153" t="inlineStr">
        <is>
          <t>Fora de combate</t>
        </is>
      </c>
      <c r="AK40" s="153" t="inlineStr">
        <is>
          <t>Fora de combate</t>
        </is>
      </c>
      <c r="AL40" s="153" t="inlineStr">
        <is>
          <t>Fora de combate</t>
        </is>
      </c>
      <c r="AM40" s="153" t="inlineStr">
        <is>
          <t>Fora de combate</t>
        </is>
      </c>
      <c r="AN40" s="153" t="inlineStr">
        <is>
          <t>Fora de combate</t>
        </is>
      </c>
      <c r="AO40" s="153" t="inlineStr"/>
      <c r="AP40" s="153" t="inlineStr"/>
      <c r="AQ40" s="153" t="inlineStr"/>
      <c r="AR40" s="153" t="inlineStr"/>
      <c r="AS40" s="153" t="inlineStr"/>
      <c r="AT40" s="153" t="inlineStr"/>
      <c r="AV40" s="153" t="inlineStr">
        <is>
          <t>Desarma o Feitiço</t>
        </is>
      </c>
      <c r="AW40" s="153" t="inlineStr">
        <is>
          <t>Controle</t>
        </is>
      </c>
      <c r="AX40" s="155" t="n">
        <v>2</v>
      </c>
      <c r="AY40" s="155" t="n">
        <v>1</v>
      </c>
      <c r="AZ40" s="155" t="n">
        <v>1</v>
      </c>
      <c r="BA40" s="155" t="n">
        <v>0</v>
      </c>
      <c r="JR40" s="155">
        <f>IF(OR($AW40="",COUNTIF($EJ$2:$EN$2,$AW40)&gt;0),$AV40,"")</f>
        <v/>
      </c>
      <c r="JS40" s="155">
        <f>IF(AND($AX40=1,OR($AW40="",COUNTIF($EJ$2:$EN$2,$AW40)&gt;0)),$AV40,"")</f>
        <v/>
      </c>
      <c r="JX40" s="155">
        <f>IF(OR($AW40="",COUNTIF($EJ$3:$EN$3,$AW40)&gt;0),$AV40,"")</f>
        <v/>
      </c>
      <c r="JY40" s="155">
        <f>IF(AND($AX40=1,OR($AW40="",COUNTIF($EJ$3:$EN$3,$AW40)&gt;0)),$AV40,"")</f>
        <v/>
      </c>
      <c r="KD40" s="155">
        <f>IF(OR($AW40="",COUNTIF($EJ$4:$EN$4,$AW40)&gt;0),$AV40,"")</f>
        <v/>
      </c>
      <c r="KE40" s="155">
        <f>IF(AND($AX40=1,OR($AW40="",COUNTIF($EJ$4:$EN$4,$AW40)&gt;0)),$AV40,"")</f>
        <v/>
      </c>
      <c r="KJ40" s="155">
        <f>IF(OR($AW40="",COUNTIF($EJ$5:$EN$5,$AW40)&gt;0),$AV40,"")</f>
        <v/>
      </c>
      <c r="KK40" s="155">
        <f>IF(AND($AX40=1,OR($AW40="",COUNTIF($EJ$5:$EN$5,$AW40)&gt;0)),$AV40,"")</f>
        <v/>
      </c>
      <c r="KP40" s="155">
        <f>IF(OR($AW40="",COUNTIF($EJ$6:$EN$6,$AW40)&gt;0),$AV40,"")</f>
        <v/>
      </c>
      <c r="KQ40" s="155">
        <f>IF(AND($AX40=1,OR($AW40="",COUNTIF($EJ$6:$EN$6,$AW40)&gt;0)),$AV40,"")</f>
        <v/>
      </c>
      <c r="KV40" s="155">
        <f>IF(OR($AW40="",COUNTIF($EJ$7:$EN$7,$AW40)&gt;0),$AV40,"")</f>
        <v/>
      </c>
      <c r="KW40" s="155">
        <f>IF(AND($AX40=1,OR($AW40="",COUNTIF($EJ$7:$EN$7,$AW40)&gt;0)),$AV40,"")</f>
        <v/>
      </c>
      <c r="LB40" s="155">
        <f>IF(OR($AW40="",COUNTIF($EJ$8:$EN$8,$AW40)&gt;0),$AV40,"")</f>
        <v/>
      </c>
      <c r="LC40" s="155">
        <f>IF(AND($AX40=1,OR($AW40="",COUNTIF($EJ$8:$EN$8,$AW40)&gt;0)),$AV40,"")</f>
        <v/>
      </c>
      <c r="LH40" s="155">
        <f>IF(OR($AW40="",COUNTIF($EJ$9:$EN$9,$AW40)&gt;0),$AV40,"")</f>
        <v/>
      </c>
      <c r="LI40" s="155">
        <f>IF(AND($AX40=1,OR($AW40="",COUNTIF($EJ$9:$EN$9,$AW40)&gt;0)),$AV40,"")</f>
        <v/>
      </c>
      <c r="LN40" s="155">
        <f>IF(OR($AW40="",COUNTIF($EJ$10:$EN$10,$AW40)&gt;0),$AV40,"")</f>
        <v/>
      </c>
      <c r="LO40" s="155">
        <f>IF(AND($AX40=1,OR($AW40="",COUNTIF($EJ$10:$EN$10,$AW40)&gt;0)),$AV40,"")</f>
        <v/>
      </c>
      <c r="LT40" s="155">
        <f>IF(OR($AW40="",COUNTIF($EJ$11:$EN$11,$AW40)&gt;0),$AV40,"")</f>
        <v/>
      </c>
      <c r="LU40" s="155">
        <f>IF(AND($AX40=1,OR($AW40="",COUNTIF($EJ$11:$EN$11,$AW40)&gt;0)),$AV40,"")</f>
        <v/>
      </c>
      <c r="LZ40" s="155">
        <f>IF(OR($AW40="",COUNTIF($EJ$12:$EN$12,$AW40)&gt;0),$AV40,"")</f>
        <v/>
      </c>
      <c r="MA40" s="155">
        <f>IF(AND($AX40=1,OR($AW40="",COUNTIF($EJ$12:$EN$12,$AW40)&gt;0)),$AV40,"")</f>
        <v/>
      </c>
      <c r="MF40" s="155">
        <f>IF(OR($AW40="",COUNTIF($EJ$13:$EN$13,$AW40)&gt;0),$AV40,"")</f>
        <v/>
      </c>
      <c r="MG40" s="155">
        <f>IF(AND($AX40=1,OR($AW40="",COUNTIF($EJ$13:$EN$13,$AW40)&gt;0)),$AV40,"")</f>
        <v/>
      </c>
      <c r="ML40" s="153" t="inlineStr">
        <is>
          <t>Ficha 3 · Escolha da trilha 3</t>
        </is>
      </c>
      <c r="MM40" s="155" t="n">
        <v>3</v>
      </c>
      <c r="MN40" s="155" t="n">
        <v>2</v>
      </c>
      <c r="MO40" s="155" t="n">
        <v>0</v>
      </c>
      <c r="MP40" s="153" t="inlineStr">
        <is>
          <t>ESCOLHA DA TRILHA 3</t>
        </is>
      </c>
      <c r="MQ40" s="155">
        <f>MAX(0,MIN(7,N('INVOCAÇÕES'!$U$556)))</f>
        <v/>
      </c>
      <c r="MR40" s="155">
        <f>'INVOCAÇÕES'!$V$556&amp;""</f>
        <v/>
      </c>
      <c r="MS40" s="155">
        <f>'INVOCAÇÕES'!$U$561&amp;""</f>
        <v/>
      </c>
      <c r="MT40" s="155">
        <f>'INVOCAÇÕES'!$U$562&amp;""</f>
        <v/>
      </c>
      <c r="MU40" s="155">
        <f>'INVOCAÇÕES'!$W$562&amp;""</f>
        <v/>
      </c>
      <c r="MV40" s="155">
        <f>'INVOCAÇÕES'!$V$565&amp;""</f>
        <v/>
      </c>
      <c r="MW40" s="155">
        <f>'INVOCAÇÕES'!$V$566&amp;""</f>
        <v/>
      </c>
      <c r="MX40" s="155">
        <f>'INVOCAÇÕES'!$V$567&amp;""</f>
        <v/>
      </c>
      <c r="MY40" s="155">
        <f>'INVOCAÇÕES'!$V$568&amp;""</f>
        <v/>
      </c>
      <c r="MZ40" s="155">
        <f>'INVOCAÇÕES'!$V$569&amp;""</f>
        <v/>
      </c>
      <c r="NA40" s="155">
        <f>'INVOCAÇÕES'!$V$570&amp;""</f>
        <v/>
      </c>
      <c r="NB40" s="155">
        <f>IF($MR40&lt;&gt;"",1,0)</f>
        <v/>
      </c>
      <c r="NC40" s="155">
        <f>INDEX($FM$2:$FM$13,$MM40)</f>
        <v/>
      </c>
      <c r="ND40" s="155">
        <f>INDEX($FN$2:$FN$13,$MM40)</f>
        <v/>
      </c>
      <c r="NE40" s="155">
        <f>INDEX($FO$2:$FO$13,$MM40)</f>
        <v/>
      </c>
      <c r="NF40" s="155">
        <f>INDEX($FZ$2:$FZ$13,$MM40)</f>
        <v/>
      </c>
      <c r="NG40" s="155">
        <f>INDEX($GA$2:$GA$13,$MM40)</f>
        <v/>
      </c>
      <c r="NH40" s="155">
        <f>IFERROR(MATCH($MS40,$V$2:$V$11,0),0)</f>
        <v/>
      </c>
      <c r="NI40" s="155">
        <f>IFERROR(VLOOKUP($MV40,$AV$2:$BA$84,2,FALSE),"")</f>
        <v/>
      </c>
      <c r="NJ40" s="155">
        <f>IFERROR(VLOOKUP($MW40,$AV$2:$BA$84,2,FALSE),"")</f>
        <v/>
      </c>
      <c r="NK40" s="155">
        <f>IFERROR(VLOOKUP($MX40,$AV$2:$BA$84,2,FALSE),"")</f>
        <v/>
      </c>
      <c r="NL40" s="155">
        <f>IFERROR(VLOOKUP($MY40,$AV$2:$BA$84,2,FALSE),"")</f>
        <v/>
      </c>
      <c r="NM40" s="155">
        <f>IFERROR(VLOOKUP($MV40,$AV$2:$BA$84,3,FALSE),0)</f>
        <v/>
      </c>
      <c r="NN40" s="155">
        <f>IFERROR(VLOOKUP($MW40,$AV$2:$BA$84,3,FALSE),0)</f>
        <v/>
      </c>
      <c r="NO40" s="155">
        <f>IFERROR(VLOOKUP($MX40,$AV$2:$BA$84,3,FALSE),0)</f>
        <v/>
      </c>
      <c r="NP40" s="155">
        <f>IFERROR(VLOOKUP($MY40,$AV$2:$BA$84,3,FALSE),0)</f>
        <v/>
      </c>
      <c r="NQ40" s="155">
        <f>IF($MQ40=0,0,IF($NH40=0,0,INDEX($X$2:$X$11,$NH40)))</f>
        <v/>
      </c>
      <c r="NR40" s="155">
        <f>IF(OR($NM40=0,$MQ40=0),0,$NM40+3*IF(AND($NI40&lt;&gt;"",OR($NI40=INDEX($EJ$2:$EJ$13,$MM40),$NI40=INDEX($EK$2:$EK$13,$MM40))),1,0))</f>
        <v/>
      </c>
      <c r="NS40" s="155">
        <f>IF(OR($NN40=0,$MQ40=0),0,$NN40+3*IF(AND($NJ40&lt;&gt;"",OR($NJ40=INDEX($EJ$2:$EJ$13,$MM40),$NJ40=INDEX($EK$2:$EK$13,$MM40))),1,0))</f>
        <v/>
      </c>
      <c r="NT40" s="155">
        <f>IF(OR($NO40=0,$MQ40=0),0,$NO40+3*IF(AND($NK40&lt;&gt;"",OR($NK40=INDEX($EJ$2:$EJ$13,$MM40),$NK40=INDEX($EK$2:$EK$13,$MM40))),1,0))</f>
        <v/>
      </c>
      <c r="NU40" s="155">
        <f>IF(OR($NP40=0,$MQ40=0),0,$NP40+3*IF(AND($NL40&lt;&gt;"",OR($NL40=INDEX($EJ$2:$EJ$13,$MM40),$NL40=INDEX($EK$2:$EK$13,$MM40))),1,0))</f>
        <v/>
      </c>
      <c r="NV40" s="155">
        <f>IF($NH40=0,0,IF(INDEX($W$2:$W$11,$NH40)="",0,IF(COUNTIF(INDEX($EJ$2:$EN$13,$MM40,0),INDEX($W$2:$W$11,$NH40))=0,1,0)))</f>
        <v/>
      </c>
      <c r="NW40" s="155">
        <f>IF(OR($NM40=0,$NI40=""),0,IF(COUNTIF(INDEX($EJ$2:$EN$13,$MM40,0),$NI40)=0,1,0))</f>
        <v/>
      </c>
      <c r="NX40" s="155">
        <f>IF(OR($NN40=0,$NJ40=""),0,IF(COUNTIF(INDEX($EJ$2:$EN$13,$MM40,0),$NJ40)=0,1,0))</f>
        <v/>
      </c>
      <c r="NY40" s="155">
        <f>IF(OR($NO40=0,$NK40=""),0,IF(COUNTIF(INDEX($EJ$2:$EN$13,$MM40,0),$NK40)=0,1,0))</f>
        <v/>
      </c>
      <c r="NZ40" s="155">
        <f>IF(OR($NP40=0,$NL40=""),0,IF(COUNTIF(INDEX($EJ$2:$EN$13,$MM40,0),$NL40)=0,1,0))</f>
        <v/>
      </c>
      <c r="OA40" s="155">
        <f>IFERROR(VLOOKUP($MV40,$AV$2:$BA$84,4,FALSE),0)+IFERROR(VLOOKUP($MW40,$AV$2:$BA$84,4,FALSE),0)+IFERROR(VLOOKUP($MX40,$AV$2:$BA$84,4,FALSE),0)+IFERROR(VLOOKUP($MY40,$AV$2:$BA$84,4,FALSE),0)</f>
        <v/>
      </c>
      <c r="OB40" s="155">
        <f>IFERROR(VLOOKUP($MV40,$AV$2:$BA$84,6,FALSE),0)+IFERROR(VLOOKUP($MW40,$AV$2:$BA$84,6,FALSE),0)+IFERROR(VLOOKUP($MX40,$AV$2:$BA$84,6,FALSE),0)+IFERROR(VLOOKUP($MY40,$AV$2:$BA$84,6,FALSE),0)</f>
        <v/>
      </c>
      <c r="OC40" s="155">
        <f>TEXTJOIN(", ",TRUE,IF(IFERROR(VLOOKUP($MV40,$AV$2:$BA$84,5,FALSE),0)=1,$MV40,""),IF(IFERROR(VLOOKUP($MW40,$AV$2:$BA$84,5,FALSE),0)=1,$MW40,""),IF(IFERROR(VLOOKUP($MX40,$AV$2:$BA$84,5,FALSE),0)=1,$MX40,""),IF(IFERROR(VLOOKUP($MY40,$AV$2:$BA$84,5,FALSE),0)=1,$MY40,""))</f>
        <v/>
      </c>
      <c r="OD40" s="155">
        <f>IF($NH40=0,0,INDEX($Y$2:$Y$11,$NH40))</f>
        <v/>
      </c>
      <c r="OE40" s="155">
        <f>IF($NH40=0,0,INDEX($Z$2:$Z$11,$NH40))</f>
        <v/>
      </c>
      <c r="OF40" s="155">
        <f>IF($NH40=0,0,INDEX($AB$2:$AB$11,$NH40))</f>
        <v/>
      </c>
      <c r="OG40" s="155">
        <f>IFERROR(VLOOKUP($MZ40,$BC$2:$BG$24,3,FALSE),0)</f>
        <v/>
      </c>
      <c r="OH40" s="155">
        <f>IFERROR(VLOOKUP($NA40,$BC$2:$BG$24,3,FALSE),0)</f>
        <v/>
      </c>
      <c r="OI40" s="155">
        <f>IFERROR(VLOOKUP($MZ40,$BC$2:$BG$24,2,FALSE),"")</f>
        <v/>
      </c>
      <c r="OJ40" s="155">
        <f>IFERROR(VLOOKUP($NA40,$BC$2:$BG$24,2,FALSE),"")</f>
        <v/>
      </c>
      <c r="OK40" s="155">
        <f>COUNTIF($NQ40:$NU40,1)</f>
        <v/>
      </c>
      <c r="OL40" s="155">
        <f>COUNTIF($NQ40:$NU40,2)</f>
        <v/>
      </c>
      <c r="OM40" s="155">
        <f>COUNTIF($NQ40:$NU40,3)</f>
        <v/>
      </c>
      <c r="ON40" s="155">
        <f>COUNTIF($NQ40:$NU40,4)</f>
        <v/>
      </c>
      <c r="OO40" s="155">
        <f>COUNTIF($NQ40:$NU40,5)</f>
        <v/>
      </c>
      <c r="OP40" s="155">
        <f>COUNTIF($NQ40:$NU40,6)</f>
        <v/>
      </c>
      <c r="OQ40" s="155">
        <f>COUNTIF($OG40:$OH40,1)</f>
        <v/>
      </c>
      <c r="OR40" s="155">
        <f>COUNTIF($OG40:$OH40,2)+$OD40</f>
        <v/>
      </c>
      <c r="OS40" s="155">
        <f>COUNTIF($MV40:$MY40,"?*")</f>
        <v/>
      </c>
      <c r="OT40" s="155">
        <f>COUNTIF($MZ40:$NA40,"?*")+$OD40</f>
        <v/>
      </c>
      <c r="OU40" s="155">
        <f>IF($MQ40=0,0,SUMPRODUCT($OK40:$OP40,INDEX($I$2:$N$8,MAX(1,$MQ40),0)))</f>
        <v/>
      </c>
      <c r="OV40" s="155">
        <f>IF($MQ40=0,0,$OQ40*CEILING($MQ40/2,1)+$OR40*$MQ40)</f>
        <v/>
      </c>
      <c r="OW40" s="155">
        <f>MIN(2*$MQ40,$OV40)</f>
        <v/>
      </c>
      <c r="OX40" s="155">
        <f>MIN($OW40,$OU40)</f>
        <v/>
      </c>
      <c r="OY40" s="155">
        <f>$OW40-$OX40</f>
        <v/>
      </c>
      <c r="OZ40" s="155">
        <f>IF($MQ40=0,0,INDEX($P$2:$P$8,MAX(1,$MQ40)))</f>
        <v/>
      </c>
      <c r="PA40" s="155">
        <f>$OZ40-$OU40+$OX40</f>
        <v/>
      </c>
      <c r="PB40" s="155">
        <f>IF($MQ40=0,MAX(0,$NE40-IF($OS40&gt;0,1,0)),MAX(0,$PA40))</f>
        <v/>
      </c>
      <c r="PC40" s="155">
        <f>IF($MQ40=0,0,(IF(COUNTIF($MV40:$MY40,"Salto")&gt;0,1,0)+IF(COUNTIF($MV40:$MY40,"Queima")&gt;0,1,0)+IF(COUNTIF($MV40:$MY40,"Estilhaço")&gt;0,1,0))*FLOOR($PB40/2,1))</f>
        <v/>
      </c>
      <c r="PD40" s="155">
        <f>MAX(0,2-SUMPRODUCT($OK40:$OP40,$I$2:$N$2)+MIN(2,$OQ40*1+$OR40*1,SUMPRODUCT($OK40:$OP40,$I$2:$N$2)))</f>
        <v/>
      </c>
      <c r="PE40" s="155">
        <f>MAX(0,4-SUMPRODUCT($OK40:$OP40,$I$3:$N$3)+MIN(4,$OQ40*1+$OR40*2,SUMPRODUCT($OK40:$OP40,$I$3:$N$3)))</f>
        <v/>
      </c>
      <c r="PF40" s="155">
        <f>MAX(0,6-SUMPRODUCT($OK40:$OP40,$I$4:$N$4)+MIN(6,$OQ40*2+$OR40*3,SUMPRODUCT($OK40:$OP40,$I$4:$N$4)))</f>
        <v/>
      </c>
      <c r="PG40" s="155">
        <f>MAX(0,9-SUMPRODUCT($OK40:$OP40,$I$5:$N$5)+MIN(8,$OQ40*2+$OR40*4,SUMPRODUCT($OK40:$OP40,$I$5:$N$5)))</f>
        <v/>
      </c>
      <c r="PH40" s="155">
        <f>MAX(0,11-SUMPRODUCT($OK40:$OP40,$I$6:$N$6)+MIN(10,$OQ40*3+$OR40*5,SUMPRODUCT($OK40:$OP40,$I$6:$N$6)))</f>
        <v/>
      </c>
      <c r="PI40" s="155">
        <f>MAX(0,13-SUMPRODUCT($OK40:$OP40,$I$7:$N$7)+MIN(12,$OQ40*3+$OR40*6,SUMPRODUCT($OK40:$OP40,$I$7:$N$7)))</f>
        <v/>
      </c>
      <c r="PJ40" s="155">
        <f>MAX(0,16-SUMPRODUCT($OK40:$OP40,$I$8:$N$8)+MIN(14,$OQ40*4+$OR40*7,SUMPRODUCT($OK40:$OP40,$I$8:$N$8)))</f>
        <v/>
      </c>
      <c r="PK40" s="155">
        <f>IF($OE40=2,3*$PD40&amp;" de vida temp.",IF($OE40=3,"sem dano",IF($PD40=0,IF($OE40=1,"sem cura","sem dano"),IF($OE40=1,"cura ","")&amp;$PD40&amp;"d8")))</f>
        <v/>
      </c>
      <c r="PL40" s="155">
        <f>IF($OE40=2,3*$PE40&amp;" de vida temp.",IF($OE40=3,"sem dano",IF($PE40=0,IF($OE40=1,"sem cura","sem dano"),IF($OE40=1,"cura ","")&amp;$PE40&amp;"d8")))</f>
        <v/>
      </c>
      <c r="PM40" s="155">
        <f>IF($OE40=2,3*$PF40&amp;" de vida temp.",IF($OE40=3,"sem dano",IF($PF40=0,IF($OE40=1,"sem cura","sem dano"),IF($OE40=1,"cura ","")&amp;$PF40&amp;"d8")))</f>
        <v/>
      </c>
      <c r="PN40" s="155">
        <f>IF($OE40=2,3*$PG40&amp;" de vida temp.",IF($OE40=3,"sem dano",IF($PG40=0,IF($OE40=1,"sem cura","sem dano"),IF($OE40=1,"cura ","")&amp;$PG40&amp;"d8")))</f>
        <v/>
      </c>
      <c r="PO40" s="155">
        <f>IF($OE40=2,3*$PH40&amp;" de vida temp.",IF($OE40=3,"sem dano",IF($PH40=0,IF($OE40=1,"sem cura","sem dano"),IF($OE40=1,"cura ","")&amp;$PH40&amp;"d8")))</f>
        <v/>
      </c>
      <c r="PP40" s="155">
        <f>IF($OE40=2,3*$PI40&amp;" de vida temp.",IF($OE40=3,"sem dano",IF($PI40=0,IF($OE40=1,"sem cura","sem dano"),IF($OE40=1,"cura ","")&amp;$PI40&amp;"d8")))</f>
        <v/>
      </c>
      <c r="PQ40" s="155">
        <f>IF($OE40=2,3*$PJ40&amp;" de vida temp.",IF($OE40=3,"sem dano",IF($PJ40=0,IF($OE40=1,"sem cura","sem dano"),IF($OE40=1,"cura ","")&amp;$PJ40&amp;"d8")))</f>
        <v/>
      </c>
      <c r="PR40" s="155">
        <f>IF($NB40=0,"",TEXTJOIN(" · ",TRUE,IF($MO40&gt;$NC40,"Este lugar abre no nível "&amp;$MO40,""),IF($MQ40&gt;$ND40,"Classe "&amp;$MQ40&amp;": o nível "&amp;$NC40&amp;" libera até a "&amp;$ND40,""),IF($NV40=1,"A Forma "&amp;$MS40&amp;" pede "&amp;INDEX($W$2:$W$11,$NH40)&amp;" aberta",""),IF(AND($MQ40=0,$NH40&gt;0,IF($NH40=0,0,INDEX($AF$2:$AF$11,$NH40))=0),$MS40&amp;" não existe na Classe 0",""),IF($NW40=1,"Família Fechada: "&amp;$MV40,""),IF($NX40=1,"Família Fechada: "&amp;$MW40,""),IF($NY40=1,"Família Fechada: "&amp;$MX40,""),IF($NZ40=1,"Família Fechada: "&amp;$MY40,""),IF(AND($MQ40&gt;0,$OS40&gt;INDEX($O$2:$O$8,MAX(1,$MQ40))),$OS40&amp;" Melhorias: a Classe "&amp;$MQ40&amp;" aceita "&amp;INDEX($O$2:$O$8,MAX(1,$MQ40)),""),IF(AND($MQ40=0,$OS40&gt;1),"A básica aceita uma Melhoria",""),IF(AND($MQ40=0,COUNTIF($NM40:$NP40,"&gt;1")&gt;0),"A básica só aceita Melhoria Leve",""),IF(AND($MQ40&gt;0,$OT40&gt;2),$OT40&amp;" Restrições"&amp;IF($OD40=1,", contando a que a Forma "&amp;$MS40&amp;" já traz","")&amp;": o limite é 2",""),IF(AND($MQ40=0,COUNTIF($MZ40:$NA40,"?*")&gt;1),"A básica aceita uma Restrição Leve",""),IF(AND($MQ40=0,COUNTIF($OG40:$OH40,2)&gt;0),"A básica só aceita Restrição Leve",""),IF(AND($MQ40&gt;0,$PA40&lt;0),"Orçamento estourado: faltam "&amp;(-$PA40)&amp;IF($PA40&lt;-1," pontos"," ponto"),""),IF(IFERROR(VLOOKUP($MZ40,$BC$2:$BG$24,4,FALSE),0)+IFERROR(VLOOKUP($NA40,$BC$2:$BG$24,4,FALSE),0)&gt;1,$OI40&amp;" e "&amp;$OJ40&amp;" são as duas de frequência",""),IF(AND((COUNTIF($MV40:$MY40,"Rápido")+COUNTIF($OI40:$OJ40,"Rápido"))&gt;0,(COUNTIF($MV40:$MY40,"Atrasar")+COUNTIF($OI40:$OJ40,"Atrasar"))&gt;0),"Rápido não entra com Atrasar",""),IF(AND((COUNTIF($MV40:$MY40,"Reação")+COUNTIF($OI40:$OJ40,"Reação"))&gt;0,(COUNTIF($MV40:$MY40,"Rápido")+COUNTIF($OI40:$OJ40,"Rápido"))&gt;0),"Reação não entra com Rápido",""),IF(AND((COUNTIF($MV40:$MY40,"Reação")+COUNTIF($OI40:$OJ40,"Reação"))&gt;0,(COUNTIF($MV40:$MY40,"Armado")+COUNTIF($OI40:$OJ40,"Armado"))&gt;0),"Reação não entra com Armado",""),IF(AND((COUNTIF($MV40:$MY40,"Reação")+COUNTIF($OI40:$OJ40,"Reação"))&gt;0,(COUNTIF($MV40:$MY40,"Atrasar")+COUNTIF($OI40:$OJ40,"Atrasar"))&gt;0),"Reação não entra com Atrasar",""),IF(AND((COUNTIF($MV40:$MY40,"Reação")+COUNTIF($OI40:$OJ40,"Reação"))&gt;0,(COUNTIF($MV40:$MY40,"Parado")+COUNTIF($OI40:$OJ40,"Parado"))&gt;0),"Reação não entra com Parado",""),IF(AND((COUNTIF($MV40:$MY40,"Atrasar")+COUNTIF($OI40:$OJ40,"Atrasar"))&gt;0,(COUNTIF($MV40:$MY40,"Parado")+COUNTIF($OI40:$OJ40,"Parado"))&gt;0),"Atrasar não entra com Parado",""),IF(AND((COUNTIF($MV40:$MY40,"Armado")+COUNTIF($OI40:$OJ40,"Armado"))&gt;0,(COUNTIF($MV40:$MY40,"Carregar")+COUNTIF($OI40:$OJ40,"Carregar"))&gt;0),"Armado não entra com Carregar",""),IF(AND(COUNTIF($OI40:$OJ40,"Corpo a Corpo")&gt;0,$OD40=0,OR($MS40="Cone",$MS40="Linha")),"Corpo a Corpo não entra em "&amp;$MS40,""),IF(AND(COUNTIF($OI40:$OJ40,"Corpo a Corpo")&gt;0,$OD40=1),"A Forma "&amp;$MS40&amp;" já traz o Corpo a Corpo",""),IF(AND(COUNTIF($OI40:$OJ40,"Tudo ou Nada")&gt;0,$OF40=0),"Tudo ou Nada só entra em habilidade de Teste de Resistência",""),IF(AND(COUNTIF($MV40:$MY40,"Inescapável")&gt;0,OR($OS40&gt;1,$OT40&gt;0)),"Inescapável não aceita outra peça",""),IF(AND($MQ40&gt;0,$PB40*IF(COUNTIF($MV40:$MY40,"Remate")&gt;0,1.25,1)+$PC40&gt;4*$MQ40),($PB40*IF(COUNTIF($MV40:$MY40,"Remate")&gt;0,1.25,1)+$PC40)&amp;" dados somando repetições"&amp;IF(COUNTIF($MV40:$MY40,"Remate")&gt;0," e o Remate","")&amp;": o teto da Classe "&amp;$MQ40&amp;" é "&amp;4*$MQ40,"")))</f>
        <v/>
      </c>
      <c r="PS40" s="155">
        <f>IF($PR40="",0,(LEN($PR40)-LEN(SUBSTITUTE($PR40," · ","")))/3+1)</f>
        <v/>
      </c>
      <c r="PT40" s="155">
        <f>IF($NB40=0,"",TEXTJOIN(" · ",TRUE,IF($OV40&gt;2*$MQ40,"A devolução parou no teto de "&amp;2*$MQ40,""),IF($OY40&gt;0,"Devolução perdida: "&amp;$OY40&amp;IF($OY40&gt;1," pontos"," ponto")&amp;" sem peça para pagar",""),IF(AND($OA40&gt;0,AND($MQ40&gt;0,$OE40=0),$PB40=0),"Controle sem dano: uma rodada a mais e CD +2",""),IF(AND($OA40&gt;0,AND($MQ40&gt;0,$OE40=0),$PB40&gt;0,$PB40&lt;=$MQ40),"Controle com saldo até a Classe: uma rodada a mais",""),IF(AND($MQ40&gt;0,$OC40&lt;&gt;""),"Efeito de "&amp;$OC40&amp;" pela Classe "&amp;MAX(1,$MQ40-1),"")))</f>
        <v/>
      </c>
      <c r="PU40" s="155">
        <f>IF($PT40="",0,(LEN($PT40)-LEN(SUBSTITUTE($PT40," · ","")))/3+1)</f>
        <v/>
      </c>
      <c r="PV40" s="155">
        <f>IF($NB40=0,IF($OS40+COUNTIF($MZ40:$NA40,"?*")&gt;0,"Dê um nome",""),IF($PS40&gt;0,"⚠ "&amp;$PS40&amp;IF($PS40&gt;1," erros"," erro"),IF($PU40&gt;0,"! "&amp;$PU40&amp;IF($PU40&gt;1," avisos"," aviso"),"Na regra")))</f>
        <v/>
      </c>
      <c r="PW40" s="155">
        <f>IF($NB40=0,"",IF($PS40+$PU40=0,"Dentro das regras que a ficha confere",$PR40&amp;IF(AND($PS40&gt;0,$PU40&gt;0)," · ","")&amp;$PT40))</f>
        <v/>
      </c>
      <c r="PX40" s="155">
        <f>IF($MO40&gt;$NC40,$MP40&amp;" · ABRE NO NÍVEL "&amp;$MO40,$MP40)</f>
        <v/>
      </c>
      <c r="PY40" s="155">
        <f>IF($NB40=0,"",IF($MQ40=0,"Sem PE",3*$MQ40&amp;" PE"))</f>
        <v/>
      </c>
      <c r="PZ40" s="155">
        <f>IF($NB40=0,"",IF($MQ40=0,"A atuação básica dela",IF(COUNTIF($OI40:$OJ40,"Atrasar")&gt;0,"Sua Ação Completa",IF(COUNTIF($MV40:$MY40,"Rápido")&gt;0,"Sua Bônus",IF(COUNTIF($MV40:$MY40,"Reação")&gt;0,"Sua Reação","Sua Padrão")))&amp;" + a básica dela"&amp;IF(COUNTIF($MV40:$MY40,"Reação")&gt;0," e a coletiva","")&amp;IF(COUNTIF($OI40:$OJ40,"Carregar")&gt;0," · em dois turnos","")))</f>
        <v/>
      </c>
      <c r="QA40" s="155">
        <f>IF($MU40&lt;&gt;"",$MU40,IF($NH40=0,"",INDEX($AA$2:$AA$11,$NH40)))</f>
        <v/>
      </c>
      <c r="QB40" s="155">
        <f>IF(OR($NB40=0,$NH40=0),"",IF(COUNTIF($MV40:$MY40,"Inescapável")&gt;0,"Automático",IF($QA40="Ataque",IF($NF40="","Ataque","Ataque "&amp;IF(($NF40+2*IF(COUNTIF($MV40:$MY40,"Precisão")&gt;0,1,0))&gt;=0,"+","−")&amp;ABS(($NF40+2*IF(COUNTIF($MV40:$MY40,"Precisão")&gt;0,1,0))))&amp;IF($OB40&gt;0," · TR"&amp;IF($NG40="",""," CD "&amp;$NG40),""),IF(LEFT($QA40,2)="TR",$QA40&amp;IF($NG40="",""," · CD "&amp;$NG40)&amp;IF(COUNTIF($MV40:$MY40,"Certeiro")&gt;0," · metade",""),"Sem rolagem"))))</f>
        <v/>
      </c>
      <c r="QC40" s="155">
        <f>IF(OR($NB40=0,$NH40=0),"",IF($MQ40=0,IF(OR($OE40&gt;=1,$PB40=0),"Sem dano",$PB40&amp;"d6"&amp;IF($MT40="",""," "&amp;$MT40)),IF(OR($OE40&gt;=1,$PB40=0),UPPER(LEFT(INDEX($PK40:$PQ40,1,MAX(1,$MQ40)),1))&amp;MID(INDEX($PK40:$PQ40,1,MAX(1,$MQ40)),2,99),UPPER(LEFT(INDEX($PK40:$PQ40,1,MAX(1,$MQ40)),1))&amp;MID(INDEX($PK40:$PQ40,1,MAX(1,$MQ40)),2,99)&amp;IF($MT40="",""," "&amp;$MT40)&amp;IF($PC40&gt;0," · +"&amp;$PC40&amp;"d8",""))))</f>
        <v/>
      </c>
      <c r="QD40" s="155">
        <f>COUNTIF($MV40:$MY40,"Longe")+3*COUNTIF($MV40:$MY40,"Muito Longe")</f>
        <v/>
      </c>
      <c r="QE40" s="155">
        <f>COUNTIF($MV40:$MY40,"Maior")+3*COUNTIF($MV40:$MY40,"Muito Maior")</f>
        <v/>
      </c>
      <c r="QF40" s="155">
        <f>IF($NH40=0,0,CHOOSE(1+INDEX($AC$2:$AC$11,$NH40),0,$QD40,$QE40,$QD40+$QE40))</f>
        <v/>
      </c>
      <c r="QG40" s="155">
        <f>IF($NH40=0,0,CHOOSE(1+INDEX($AD$2:$AD$11,$NH40),0,$QD40,$QE40,$QD40+$QE40))</f>
        <v/>
      </c>
      <c r="QH40" s="155">
        <f>IF(OR($NB40=0,$NH40=0),"",INDEX($AI$2:$AN$41,($NH40-1)*4+IF($MQ40=0,1,IF($MQ40&lt;=5,2,IF($MQ40=6,3,4))),1+MIN(5,$QF40))&amp;INDEX($AO$2:$AT$41,($NH40-1)*4+IF($MQ40=0,1,IF($MQ40&lt;=5,2,IF($MQ40=6,3,4))),1+MIN(5,$QG40))&amp;IF(INDEX($AE$2:$AE$11,$NH40)=1,IF(COUNTIF($MV40:$MY40,"Mais Um")&gt;0," · +"&amp;COUNTIF($MV40:$MY40,"Mais Um")&amp;IF(COUNTIF($MV40:$MY40,"Mais Um")&gt;1," alvos"," alvo"),"")&amp;IF(COUNTIF($MV40:$MY40,"Rajada")&gt;0,IF($MQ40=0," · 1 tiro"," · "&amp;(MAX(1,$MQ40-1)+1)&amp;" tiros"),""),""))</f>
        <v/>
      </c>
      <c r="QI40" s="155">
        <f>IF($NB40=0,"",IF($MQ40=0,$NE40&amp;"d6"&amp;IF($OS40&gt;0," − 1 = "&amp;$PB40&amp;"d6"," da básica do nível "&amp;$NC40),$OZ40&amp;" − "&amp;$OU40&amp;" + "&amp;$OX40&amp;" = "&amp;$PA40&amp;" · teto "&amp;4*$MQ40&amp;"d8"&amp;IF($OD40=1," · a Forma devolve "&amp;$MQ40,"")&amp;IF($OY40&gt;0," · perde "&amp;$OY40,"")))</f>
        <v/>
      </c>
      <c r="QJ40" s="155">
        <f>IF($NB40=0,"",IF($MQ40=0,"A básica não amplia: os dados dela sobem com o nível",IF($MQ40&gt;=$ND40,"Já está na maior Classe que o nível liberou",TEXTJOIN(" · ",TRUE,IF(AND(2&gt;$MQ40,2&lt;=$ND40),"2 → "&amp;$PL40&amp;", 6 PE",""),IF(AND(3&gt;$MQ40,3&lt;=$ND40),"3 → "&amp;$PM40&amp;", 9 PE",""),IF(AND(4&gt;$MQ40,4&lt;=$ND40),"4 → "&amp;$PN40&amp;", 12 PE",""),IF(AND(5&gt;$MQ40,5&lt;=$ND40),"5 → "&amp;$PO40&amp;", 15 PE",""),IF(AND(6&gt;$MQ40,6&lt;=$ND40),"6 → "&amp;$PP40&amp;", 18 PE",""),IF(AND(7&gt;$MQ40,7&lt;=$ND40),"7 → "&amp;$PQ40&amp;", 21 PE","")))))</f>
        <v/>
      </c>
      <c r="QK40" s="155">
        <f>IF(OR($NB40=0,$NM40=0),"",IF($MQ40=0,"−1 dado","−"&amp;INDEX($I$2:$N$8,MAX(1,$MQ40),MAX(1,$NR40))&amp;" · "&amp;CHOOSE(MAX(1,$NR40),"Leve","Média","Pesada","Leve · Livre","Média · Livre","Pesada · Livre")))</f>
        <v/>
      </c>
      <c r="QL40" s="155">
        <f>IF(OR($NB40=0,$NN40=0),"",IF($MQ40=0,"−1 dado","−"&amp;INDEX($I$2:$N$8,MAX(1,$MQ40),MAX(1,$NS40))&amp;" · "&amp;CHOOSE(MAX(1,$NS40),"Leve","Média","Pesada","Leve · Livre","Média · Livre","Pesada · Livre")))</f>
        <v/>
      </c>
      <c r="QM40" s="155">
        <f>IF(OR($NB40=0,$NO40=0),"",IF($MQ40=0,"−1 dado","−"&amp;INDEX($I$2:$N$8,MAX(1,$MQ40),MAX(1,$NT40))&amp;" · "&amp;CHOOSE(MAX(1,$NT40),"Leve","Média","Pesada","Leve · Livre","Média · Livre","Pesada · Livre")))</f>
        <v/>
      </c>
      <c r="QN40" s="155">
        <f>IF(OR($NB40=0,$NP40=0),"",IF($MQ40=0,"−1 dado","−"&amp;INDEX($I$2:$N$8,MAX(1,$MQ40),MAX(1,$NU40))&amp;" · "&amp;CHOOSE(MAX(1,$NU40),"Leve","Média","Pesada","Leve · Livre","Média · Livre","Pesada · Livre")))</f>
        <v/>
      </c>
      <c r="QO40" s="155">
        <f>IF(OR($NB40=0,$MZ40=""),"",IF($MQ40=0,"não devolve","+"&amp;IF($OG40=1,CEILING($MQ40/2,1),$MQ40)))</f>
        <v/>
      </c>
      <c r="QP40" s="155">
        <f>IF(OR($NB40=0,$NA40=""),"",IF($MQ40=0,"não devolve","+"&amp;IF($OH40=1,CEILING($MQ40/2,1),$MQ40)))</f>
        <v/>
      </c>
    </row>
    <row r="41">
      <c r="AH41" s="153" t="inlineStr">
        <is>
          <t>Efeito · classe 7</t>
        </is>
      </c>
      <c r="AI41" s="153" t="inlineStr">
        <is>
          <t>Fora de combate</t>
        </is>
      </c>
      <c r="AJ41" s="153" t="inlineStr">
        <is>
          <t>Fora de combate</t>
        </is>
      </c>
      <c r="AK41" s="153" t="inlineStr">
        <is>
          <t>Fora de combate</t>
        </is>
      </c>
      <c r="AL41" s="153" t="inlineStr">
        <is>
          <t>Fora de combate</t>
        </is>
      </c>
      <c r="AM41" s="153" t="inlineStr">
        <is>
          <t>Fora de combate</t>
        </is>
      </c>
      <c r="AN41" s="153" t="inlineStr">
        <is>
          <t>Fora de combate</t>
        </is>
      </c>
      <c r="AO41" s="153" t="inlineStr"/>
      <c r="AP41" s="153" t="inlineStr"/>
      <c r="AQ41" s="153" t="inlineStr"/>
      <c r="AR41" s="153" t="inlineStr"/>
      <c r="AS41" s="153" t="inlineStr"/>
      <c r="AT41" s="153" t="inlineStr"/>
      <c r="AV41" s="153" t="inlineStr">
        <is>
          <t>Anteparo</t>
        </is>
      </c>
      <c r="AW41" s="153" t="inlineStr">
        <is>
          <t>Controle</t>
        </is>
      </c>
      <c r="AX41" s="155" t="n">
        <v>2</v>
      </c>
      <c r="AY41" s="155" t="n">
        <v>1</v>
      </c>
      <c r="AZ41" s="155" t="n">
        <v>1</v>
      </c>
      <c r="BA41" s="155" t="n">
        <v>0</v>
      </c>
      <c r="JR41" s="155">
        <f>IF(OR($AW41="",COUNTIF($EJ$2:$EN$2,$AW41)&gt;0),$AV41,"")</f>
        <v/>
      </c>
      <c r="JS41" s="155">
        <f>IF(AND($AX41=1,OR($AW41="",COUNTIF($EJ$2:$EN$2,$AW41)&gt;0)),$AV41,"")</f>
        <v/>
      </c>
      <c r="JX41" s="155">
        <f>IF(OR($AW41="",COUNTIF($EJ$3:$EN$3,$AW41)&gt;0),$AV41,"")</f>
        <v/>
      </c>
      <c r="JY41" s="155">
        <f>IF(AND($AX41=1,OR($AW41="",COUNTIF($EJ$3:$EN$3,$AW41)&gt;0)),$AV41,"")</f>
        <v/>
      </c>
      <c r="KD41" s="155">
        <f>IF(OR($AW41="",COUNTIF($EJ$4:$EN$4,$AW41)&gt;0),$AV41,"")</f>
        <v/>
      </c>
      <c r="KE41" s="155">
        <f>IF(AND($AX41=1,OR($AW41="",COUNTIF($EJ$4:$EN$4,$AW41)&gt;0)),$AV41,"")</f>
        <v/>
      </c>
      <c r="KJ41" s="155">
        <f>IF(OR($AW41="",COUNTIF($EJ$5:$EN$5,$AW41)&gt;0),$AV41,"")</f>
        <v/>
      </c>
      <c r="KK41" s="155">
        <f>IF(AND($AX41=1,OR($AW41="",COUNTIF($EJ$5:$EN$5,$AW41)&gt;0)),$AV41,"")</f>
        <v/>
      </c>
      <c r="KP41" s="155">
        <f>IF(OR($AW41="",COUNTIF($EJ$6:$EN$6,$AW41)&gt;0),$AV41,"")</f>
        <v/>
      </c>
      <c r="KQ41" s="155">
        <f>IF(AND($AX41=1,OR($AW41="",COUNTIF($EJ$6:$EN$6,$AW41)&gt;0)),$AV41,"")</f>
        <v/>
      </c>
      <c r="KV41" s="155">
        <f>IF(OR($AW41="",COUNTIF($EJ$7:$EN$7,$AW41)&gt;0),$AV41,"")</f>
        <v/>
      </c>
      <c r="KW41" s="155">
        <f>IF(AND($AX41=1,OR($AW41="",COUNTIF($EJ$7:$EN$7,$AW41)&gt;0)),$AV41,"")</f>
        <v/>
      </c>
      <c r="LB41" s="155">
        <f>IF(OR($AW41="",COUNTIF($EJ$8:$EN$8,$AW41)&gt;0),$AV41,"")</f>
        <v/>
      </c>
      <c r="LC41" s="155">
        <f>IF(AND($AX41=1,OR($AW41="",COUNTIF($EJ$8:$EN$8,$AW41)&gt;0)),$AV41,"")</f>
        <v/>
      </c>
      <c r="LH41" s="155">
        <f>IF(OR($AW41="",COUNTIF($EJ$9:$EN$9,$AW41)&gt;0),$AV41,"")</f>
        <v/>
      </c>
      <c r="LI41" s="155">
        <f>IF(AND($AX41=1,OR($AW41="",COUNTIF($EJ$9:$EN$9,$AW41)&gt;0)),$AV41,"")</f>
        <v/>
      </c>
      <c r="LN41" s="155">
        <f>IF(OR($AW41="",COUNTIF($EJ$10:$EN$10,$AW41)&gt;0),$AV41,"")</f>
        <v/>
      </c>
      <c r="LO41" s="155">
        <f>IF(AND($AX41=1,OR($AW41="",COUNTIF($EJ$10:$EN$10,$AW41)&gt;0)),$AV41,"")</f>
        <v/>
      </c>
      <c r="LT41" s="155">
        <f>IF(OR($AW41="",COUNTIF($EJ$11:$EN$11,$AW41)&gt;0),$AV41,"")</f>
        <v/>
      </c>
      <c r="LU41" s="155">
        <f>IF(AND($AX41=1,OR($AW41="",COUNTIF($EJ$11:$EN$11,$AW41)&gt;0)),$AV41,"")</f>
        <v/>
      </c>
      <c r="LZ41" s="155">
        <f>IF(OR($AW41="",COUNTIF($EJ$12:$EN$12,$AW41)&gt;0),$AV41,"")</f>
        <v/>
      </c>
      <c r="MA41" s="155">
        <f>IF(AND($AX41=1,OR($AW41="",COUNTIF($EJ$12:$EN$12,$AW41)&gt;0)),$AV41,"")</f>
        <v/>
      </c>
      <c r="MF41" s="155">
        <f>IF(OR($AW41="",COUNTIF($EJ$13:$EN$13,$AW41)&gt;0),$AV41,"")</f>
        <v/>
      </c>
      <c r="MG41" s="155">
        <f>IF(AND($AX41=1,OR($AW41="",COUNTIF($EJ$13:$EN$13,$AW41)&gt;0)),$AV41,"")</f>
        <v/>
      </c>
      <c r="ML41" s="153" t="inlineStr">
        <is>
          <t>Ficha 4 · Básica 1</t>
        </is>
      </c>
      <c r="MM41" s="155" t="n">
        <v>4</v>
      </c>
      <c r="MN41" s="155" t="n">
        <v>0</v>
      </c>
      <c r="MO41" s="155" t="n">
        <v>1</v>
      </c>
      <c r="MP41" s="153" t="inlineStr">
        <is>
          <t>BÁSICA 1</t>
        </is>
      </c>
      <c r="MQ41" s="155" t="n">
        <v>0</v>
      </c>
      <c r="MR41" s="155">
        <f>'INVOCAÇÕES'!$J$652&amp;""</f>
        <v/>
      </c>
      <c r="MS41" s="155">
        <f>'INVOCAÇÕES'!$I$657&amp;""</f>
        <v/>
      </c>
      <c r="MT41" s="155">
        <f>'INVOCAÇÕES'!$I$658&amp;""</f>
        <v/>
      </c>
      <c r="MU41" s="155">
        <f>'INVOCAÇÕES'!$K$658&amp;""</f>
        <v/>
      </c>
      <c r="MV41" s="155">
        <f>'INVOCAÇÕES'!$J$661&amp;""</f>
        <v/>
      </c>
      <c r="MW41" s="155">
        <f>'INVOCAÇÕES'!$J$662&amp;""</f>
        <v/>
      </c>
      <c r="MX41" s="155">
        <f>'INVOCAÇÕES'!$J$663&amp;""</f>
        <v/>
      </c>
      <c r="MY41" s="155">
        <f>'INVOCAÇÕES'!$J$664&amp;""</f>
        <v/>
      </c>
      <c r="MZ41" s="155">
        <f>'INVOCAÇÕES'!$J$665&amp;""</f>
        <v/>
      </c>
      <c r="NA41" s="155">
        <f>'INVOCAÇÕES'!$J$666&amp;""</f>
        <v/>
      </c>
      <c r="NB41" s="155">
        <f>IF($MR41&lt;&gt;"",1,0)</f>
        <v/>
      </c>
      <c r="NC41" s="155">
        <f>INDEX($FM$2:$FM$13,$MM41)</f>
        <v/>
      </c>
      <c r="ND41" s="155">
        <f>INDEX($FN$2:$FN$13,$MM41)</f>
        <v/>
      </c>
      <c r="NE41" s="155">
        <f>INDEX($FO$2:$FO$13,$MM41)</f>
        <v/>
      </c>
      <c r="NF41" s="155">
        <f>INDEX($FZ$2:$FZ$13,$MM41)</f>
        <v/>
      </c>
      <c r="NG41" s="155">
        <f>INDEX($GA$2:$GA$13,$MM41)</f>
        <v/>
      </c>
      <c r="NH41" s="155">
        <f>IFERROR(MATCH($MS41,$V$2:$V$11,0),0)</f>
        <v/>
      </c>
      <c r="NI41" s="155">
        <f>IFERROR(VLOOKUP($MV41,$AV$2:$BA$84,2,FALSE),"")</f>
        <v/>
      </c>
      <c r="NJ41" s="155">
        <f>IFERROR(VLOOKUP($MW41,$AV$2:$BA$84,2,FALSE),"")</f>
        <v/>
      </c>
      <c r="NK41" s="155">
        <f>IFERROR(VLOOKUP($MX41,$AV$2:$BA$84,2,FALSE),"")</f>
        <v/>
      </c>
      <c r="NL41" s="155">
        <f>IFERROR(VLOOKUP($MY41,$AV$2:$BA$84,2,FALSE),"")</f>
        <v/>
      </c>
      <c r="NM41" s="155">
        <f>IFERROR(VLOOKUP($MV41,$AV$2:$BA$84,3,FALSE),0)</f>
        <v/>
      </c>
      <c r="NN41" s="155">
        <f>IFERROR(VLOOKUP($MW41,$AV$2:$BA$84,3,FALSE),0)</f>
        <v/>
      </c>
      <c r="NO41" s="155">
        <f>IFERROR(VLOOKUP($MX41,$AV$2:$BA$84,3,FALSE),0)</f>
        <v/>
      </c>
      <c r="NP41" s="155">
        <f>IFERROR(VLOOKUP($MY41,$AV$2:$BA$84,3,FALSE),0)</f>
        <v/>
      </c>
      <c r="NQ41" s="155">
        <f>IF($MQ41=0,0,IF($NH41=0,0,INDEX($X$2:$X$11,$NH41)))</f>
        <v/>
      </c>
      <c r="NR41" s="155">
        <f>IF(OR($NM41=0,$MQ41=0),0,$NM41+3*IF(AND($NI41&lt;&gt;"",OR($NI41=INDEX($EJ$2:$EJ$13,$MM41),$NI41=INDEX($EK$2:$EK$13,$MM41))),1,0))</f>
        <v/>
      </c>
      <c r="NS41" s="155">
        <f>IF(OR($NN41=0,$MQ41=0),0,$NN41+3*IF(AND($NJ41&lt;&gt;"",OR($NJ41=INDEX($EJ$2:$EJ$13,$MM41),$NJ41=INDEX($EK$2:$EK$13,$MM41))),1,0))</f>
        <v/>
      </c>
      <c r="NT41" s="155">
        <f>IF(OR($NO41=0,$MQ41=0),0,$NO41+3*IF(AND($NK41&lt;&gt;"",OR($NK41=INDEX($EJ$2:$EJ$13,$MM41),$NK41=INDEX($EK$2:$EK$13,$MM41))),1,0))</f>
        <v/>
      </c>
      <c r="NU41" s="155">
        <f>IF(OR($NP41=0,$MQ41=0),0,$NP41+3*IF(AND($NL41&lt;&gt;"",OR($NL41=INDEX($EJ$2:$EJ$13,$MM41),$NL41=INDEX($EK$2:$EK$13,$MM41))),1,0))</f>
        <v/>
      </c>
      <c r="NV41" s="155">
        <f>IF($NH41=0,0,IF(INDEX($W$2:$W$11,$NH41)="",0,IF(COUNTIF(INDEX($EJ$2:$EN$13,$MM41,0),INDEX($W$2:$W$11,$NH41))=0,1,0)))</f>
        <v/>
      </c>
      <c r="NW41" s="155">
        <f>IF(OR($NM41=0,$NI41=""),0,IF(COUNTIF(INDEX($EJ$2:$EN$13,$MM41,0),$NI41)=0,1,0))</f>
        <v/>
      </c>
      <c r="NX41" s="155">
        <f>IF(OR($NN41=0,$NJ41=""),0,IF(COUNTIF(INDEX($EJ$2:$EN$13,$MM41,0),$NJ41)=0,1,0))</f>
        <v/>
      </c>
      <c r="NY41" s="155">
        <f>IF(OR($NO41=0,$NK41=""),0,IF(COUNTIF(INDEX($EJ$2:$EN$13,$MM41,0),$NK41)=0,1,0))</f>
        <v/>
      </c>
      <c r="NZ41" s="155">
        <f>IF(OR($NP41=0,$NL41=""),0,IF(COUNTIF(INDEX($EJ$2:$EN$13,$MM41,0),$NL41)=0,1,0))</f>
        <v/>
      </c>
      <c r="OA41" s="155">
        <f>IFERROR(VLOOKUP($MV41,$AV$2:$BA$84,4,FALSE),0)+IFERROR(VLOOKUP($MW41,$AV$2:$BA$84,4,FALSE),0)+IFERROR(VLOOKUP($MX41,$AV$2:$BA$84,4,FALSE),0)+IFERROR(VLOOKUP($MY41,$AV$2:$BA$84,4,FALSE),0)</f>
        <v/>
      </c>
      <c r="OB41" s="155">
        <f>IFERROR(VLOOKUP($MV41,$AV$2:$BA$84,6,FALSE),0)+IFERROR(VLOOKUP($MW41,$AV$2:$BA$84,6,FALSE),0)+IFERROR(VLOOKUP($MX41,$AV$2:$BA$84,6,FALSE),0)+IFERROR(VLOOKUP($MY41,$AV$2:$BA$84,6,FALSE),0)</f>
        <v/>
      </c>
      <c r="OC41" s="155">
        <f>TEXTJOIN(", ",TRUE,IF(IFERROR(VLOOKUP($MV41,$AV$2:$BA$84,5,FALSE),0)=1,$MV41,""),IF(IFERROR(VLOOKUP($MW41,$AV$2:$BA$84,5,FALSE),0)=1,$MW41,""),IF(IFERROR(VLOOKUP($MX41,$AV$2:$BA$84,5,FALSE),0)=1,$MX41,""),IF(IFERROR(VLOOKUP($MY41,$AV$2:$BA$84,5,FALSE),0)=1,$MY41,""))</f>
        <v/>
      </c>
      <c r="OD41" s="155">
        <f>IF($NH41=0,0,INDEX($Y$2:$Y$11,$NH41))</f>
        <v/>
      </c>
      <c r="OE41" s="155">
        <f>IF($NH41=0,0,INDEX($Z$2:$Z$11,$NH41))</f>
        <v/>
      </c>
      <c r="OF41" s="155">
        <f>IF($NH41=0,0,INDEX($AB$2:$AB$11,$NH41))</f>
        <v/>
      </c>
      <c r="OG41" s="155">
        <f>IFERROR(VLOOKUP($MZ41,$BC$2:$BG$24,3,FALSE),0)</f>
        <v/>
      </c>
      <c r="OH41" s="155">
        <f>IFERROR(VLOOKUP($NA41,$BC$2:$BG$24,3,FALSE),0)</f>
        <v/>
      </c>
      <c r="OI41" s="155">
        <f>IFERROR(VLOOKUP($MZ41,$BC$2:$BG$24,2,FALSE),"")</f>
        <v/>
      </c>
      <c r="OJ41" s="155">
        <f>IFERROR(VLOOKUP($NA41,$BC$2:$BG$24,2,FALSE),"")</f>
        <v/>
      </c>
      <c r="OK41" s="155">
        <f>COUNTIF($NQ41:$NU41,1)</f>
        <v/>
      </c>
      <c r="OL41" s="155">
        <f>COUNTIF($NQ41:$NU41,2)</f>
        <v/>
      </c>
      <c r="OM41" s="155">
        <f>COUNTIF($NQ41:$NU41,3)</f>
        <v/>
      </c>
      <c r="ON41" s="155">
        <f>COUNTIF($NQ41:$NU41,4)</f>
        <v/>
      </c>
      <c r="OO41" s="155">
        <f>COUNTIF($NQ41:$NU41,5)</f>
        <v/>
      </c>
      <c r="OP41" s="155">
        <f>COUNTIF($NQ41:$NU41,6)</f>
        <v/>
      </c>
      <c r="OQ41" s="155">
        <f>COUNTIF($OG41:$OH41,1)</f>
        <v/>
      </c>
      <c r="OR41" s="155">
        <f>COUNTIF($OG41:$OH41,2)+$OD41</f>
        <v/>
      </c>
      <c r="OS41" s="155">
        <f>COUNTIF($MV41:$MY41,"?*")</f>
        <v/>
      </c>
      <c r="OT41" s="155">
        <f>COUNTIF($MZ41:$NA41,"?*")+$OD41</f>
        <v/>
      </c>
      <c r="OU41" s="155">
        <f>IF($MQ41=0,0,SUMPRODUCT($OK41:$OP41,INDEX($I$2:$N$8,MAX(1,$MQ41),0)))</f>
        <v/>
      </c>
      <c r="OV41" s="155">
        <f>IF($MQ41=0,0,$OQ41*CEILING($MQ41/2,1)+$OR41*$MQ41)</f>
        <v/>
      </c>
      <c r="OW41" s="155">
        <f>MIN(2*$MQ41,$OV41)</f>
        <v/>
      </c>
      <c r="OX41" s="155">
        <f>MIN($OW41,$OU41)</f>
        <v/>
      </c>
      <c r="OY41" s="155">
        <f>$OW41-$OX41</f>
        <v/>
      </c>
      <c r="OZ41" s="155">
        <f>IF($MQ41=0,0,INDEX($P$2:$P$8,MAX(1,$MQ41)))</f>
        <v/>
      </c>
      <c r="PA41" s="155">
        <f>$OZ41-$OU41+$OX41</f>
        <v/>
      </c>
      <c r="PB41" s="155">
        <f>IF($MQ41=0,MAX(0,$NE41-IF($OS41&gt;0,1,0)),MAX(0,$PA41))</f>
        <v/>
      </c>
      <c r="PC41" s="155">
        <f>IF($MQ41=0,0,(IF(COUNTIF($MV41:$MY41,"Salto")&gt;0,1,0)+IF(COUNTIF($MV41:$MY41,"Queima")&gt;0,1,0)+IF(COUNTIF($MV41:$MY41,"Estilhaço")&gt;0,1,0))*FLOOR($PB41/2,1))</f>
        <v/>
      </c>
      <c r="PD41" s="155">
        <f>MAX(0,2-SUMPRODUCT($OK41:$OP41,$I$2:$N$2)+MIN(2,$OQ41*1+$OR41*1,SUMPRODUCT($OK41:$OP41,$I$2:$N$2)))</f>
        <v/>
      </c>
      <c r="PE41" s="155">
        <f>MAX(0,4-SUMPRODUCT($OK41:$OP41,$I$3:$N$3)+MIN(4,$OQ41*1+$OR41*2,SUMPRODUCT($OK41:$OP41,$I$3:$N$3)))</f>
        <v/>
      </c>
      <c r="PF41" s="155">
        <f>MAX(0,6-SUMPRODUCT($OK41:$OP41,$I$4:$N$4)+MIN(6,$OQ41*2+$OR41*3,SUMPRODUCT($OK41:$OP41,$I$4:$N$4)))</f>
        <v/>
      </c>
      <c r="PG41" s="155">
        <f>MAX(0,9-SUMPRODUCT($OK41:$OP41,$I$5:$N$5)+MIN(8,$OQ41*2+$OR41*4,SUMPRODUCT($OK41:$OP41,$I$5:$N$5)))</f>
        <v/>
      </c>
      <c r="PH41" s="155">
        <f>MAX(0,11-SUMPRODUCT($OK41:$OP41,$I$6:$N$6)+MIN(10,$OQ41*3+$OR41*5,SUMPRODUCT($OK41:$OP41,$I$6:$N$6)))</f>
        <v/>
      </c>
      <c r="PI41" s="155">
        <f>MAX(0,13-SUMPRODUCT($OK41:$OP41,$I$7:$N$7)+MIN(12,$OQ41*3+$OR41*6,SUMPRODUCT($OK41:$OP41,$I$7:$N$7)))</f>
        <v/>
      </c>
      <c r="PJ41" s="155">
        <f>MAX(0,16-SUMPRODUCT($OK41:$OP41,$I$8:$N$8)+MIN(14,$OQ41*4+$OR41*7,SUMPRODUCT($OK41:$OP41,$I$8:$N$8)))</f>
        <v/>
      </c>
      <c r="PK41" s="155">
        <f>IF($OE41=2,3*$PD41&amp;" de vida temp.",IF($OE41=3,"sem dano",IF($PD41=0,IF($OE41=1,"sem cura","sem dano"),IF($OE41=1,"cura ","")&amp;$PD41&amp;"d8")))</f>
        <v/>
      </c>
      <c r="PL41" s="155">
        <f>IF($OE41=2,3*$PE41&amp;" de vida temp.",IF($OE41=3,"sem dano",IF($PE41=0,IF($OE41=1,"sem cura","sem dano"),IF($OE41=1,"cura ","")&amp;$PE41&amp;"d8")))</f>
        <v/>
      </c>
      <c r="PM41" s="155">
        <f>IF($OE41=2,3*$PF41&amp;" de vida temp.",IF($OE41=3,"sem dano",IF($PF41=0,IF($OE41=1,"sem cura","sem dano"),IF($OE41=1,"cura ","")&amp;$PF41&amp;"d8")))</f>
        <v/>
      </c>
      <c r="PN41" s="155">
        <f>IF($OE41=2,3*$PG41&amp;" de vida temp.",IF($OE41=3,"sem dano",IF($PG41=0,IF($OE41=1,"sem cura","sem dano"),IF($OE41=1,"cura ","")&amp;$PG41&amp;"d8")))</f>
        <v/>
      </c>
      <c r="PO41" s="155">
        <f>IF($OE41=2,3*$PH41&amp;" de vida temp.",IF($OE41=3,"sem dano",IF($PH41=0,IF($OE41=1,"sem cura","sem dano"),IF($OE41=1,"cura ","")&amp;$PH41&amp;"d8")))</f>
        <v/>
      </c>
      <c r="PP41" s="155">
        <f>IF($OE41=2,3*$PI41&amp;" de vida temp.",IF($OE41=3,"sem dano",IF($PI41=0,IF($OE41=1,"sem cura","sem dano"),IF($OE41=1,"cura ","")&amp;$PI41&amp;"d8")))</f>
        <v/>
      </c>
      <c r="PQ41" s="155">
        <f>IF($OE41=2,3*$PJ41&amp;" de vida temp.",IF($OE41=3,"sem dano",IF($PJ41=0,IF($OE41=1,"sem cura","sem dano"),IF($OE41=1,"cura ","")&amp;$PJ41&amp;"d8")))</f>
        <v/>
      </c>
      <c r="PR41" s="155">
        <f>IF($NB41=0,"",TEXTJOIN(" · ",TRUE,IF($MO41&gt;$NC41,"Este lugar abre no nível "&amp;$MO41,""),IF($MQ41&gt;$ND41,"Classe "&amp;$MQ41&amp;": o nível "&amp;$NC41&amp;" libera até a "&amp;$ND41,""),IF($NV41=1,"A Forma "&amp;$MS41&amp;" pede "&amp;INDEX($W$2:$W$11,$NH41)&amp;" aberta",""),IF(AND($MQ41=0,$NH41&gt;0,IF($NH41=0,0,INDEX($AF$2:$AF$11,$NH41))=0),$MS41&amp;" não existe na Classe 0",""),IF($NW41=1,"Família Fechada: "&amp;$MV41,""),IF($NX41=1,"Família Fechada: "&amp;$MW41,""),IF($NY41=1,"Família Fechada: "&amp;$MX41,""),IF($NZ41=1,"Família Fechada: "&amp;$MY41,""),IF(AND($MQ41&gt;0,$OS41&gt;INDEX($O$2:$O$8,MAX(1,$MQ41))),$OS41&amp;" Melhorias: a Classe "&amp;$MQ41&amp;" aceita "&amp;INDEX($O$2:$O$8,MAX(1,$MQ41)),""),IF(AND($MQ41=0,$OS41&gt;1),"A básica aceita uma Melhoria",""),IF(AND($MQ41=0,COUNTIF($NM41:$NP41,"&gt;1")&gt;0),"A básica só aceita Melhoria Leve",""),IF(AND($MQ41&gt;0,$OT41&gt;2),$OT41&amp;" Restrições"&amp;IF($OD41=1,", contando a que a Forma "&amp;$MS41&amp;" já traz","")&amp;": o limite é 2",""),IF(AND($MQ41=0,COUNTIF($MZ41:$NA41,"?*")&gt;1),"A básica aceita uma Restrição Leve",""),IF(AND($MQ41=0,COUNTIF($OG41:$OH41,2)&gt;0),"A básica só aceita Restrição Leve",""),IF(AND($MQ41&gt;0,$PA41&lt;0),"Orçamento estourado: faltam "&amp;(-$PA41)&amp;IF($PA41&lt;-1," pontos"," ponto"),""),IF(IFERROR(VLOOKUP($MZ41,$BC$2:$BG$24,4,FALSE),0)+IFERROR(VLOOKUP($NA41,$BC$2:$BG$24,4,FALSE),0)&gt;1,$OI41&amp;" e "&amp;$OJ41&amp;" são as duas de frequência",""),IF(AND((COUNTIF($MV41:$MY41,"Rápido")+COUNTIF($OI41:$OJ41,"Rápido"))&gt;0,(COUNTIF($MV41:$MY41,"Atrasar")+COUNTIF($OI41:$OJ41,"Atrasar"))&gt;0),"Rápido não entra com Atrasar",""),IF(AND((COUNTIF($MV41:$MY41,"Reação")+COUNTIF($OI41:$OJ41,"Reação"))&gt;0,(COUNTIF($MV41:$MY41,"Rápido")+COUNTIF($OI41:$OJ41,"Rápido"))&gt;0),"Reação não entra com Rápido",""),IF(AND((COUNTIF($MV41:$MY41,"Reação")+COUNTIF($OI41:$OJ41,"Reação"))&gt;0,(COUNTIF($MV41:$MY41,"Armado")+COUNTIF($OI41:$OJ41,"Armado"))&gt;0),"Reação não entra com Armado",""),IF(AND((COUNTIF($MV41:$MY41,"Reação")+COUNTIF($OI41:$OJ41,"Reação"))&gt;0,(COUNTIF($MV41:$MY41,"Atrasar")+COUNTIF($OI41:$OJ41,"Atrasar"))&gt;0),"Reação não entra com Atrasar",""),IF(AND((COUNTIF($MV41:$MY41,"Reação")+COUNTIF($OI41:$OJ41,"Reação"))&gt;0,(COUNTIF($MV41:$MY41,"Parado")+COUNTIF($OI41:$OJ41,"Parado"))&gt;0),"Reação não entra com Parado",""),IF(AND((COUNTIF($MV41:$MY41,"Atrasar")+COUNTIF($OI41:$OJ41,"Atrasar"))&gt;0,(COUNTIF($MV41:$MY41,"Parado")+COUNTIF($OI41:$OJ41,"Parado"))&gt;0),"Atrasar não entra com Parado",""),IF(AND((COUNTIF($MV41:$MY41,"Armado")+COUNTIF($OI41:$OJ41,"Armado"))&gt;0,(COUNTIF($MV41:$MY41,"Carregar")+COUNTIF($OI41:$OJ41,"Carregar"))&gt;0),"Armado não entra com Carregar",""),IF(AND(COUNTIF($OI41:$OJ41,"Corpo a Corpo")&gt;0,$OD41=0,OR($MS41="Cone",$MS41="Linha")),"Corpo a Corpo não entra em "&amp;$MS41,""),IF(AND(COUNTIF($OI41:$OJ41,"Corpo a Corpo")&gt;0,$OD41=1),"A Forma "&amp;$MS41&amp;" já traz o Corpo a Corpo",""),IF(AND(COUNTIF($OI41:$OJ41,"Tudo ou Nada")&gt;0,$OF41=0),"Tudo ou Nada só entra em habilidade de Teste de Resistência",""),IF(AND(COUNTIF($MV41:$MY41,"Inescapável")&gt;0,OR($OS41&gt;1,$OT41&gt;0)),"Inescapável não aceita outra peça",""),IF(AND($MQ41&gt;0,$PB41*IF(COUNTIF($MV41:$MY41,"Remate")&gt;0,1.25,1)+$PC41&gt;4*$MQ41),($PB41*IF(COUNTIF($MV41:$MY41,"Remate")&gt;0,1.25,1)+$PC41)&amp;" dados somando repetições"&amp;IF(COUNTIF($MV41:$MY41,"Remate")&gt;0," e o Remate","")&amp;": o teto da Classe "&amp;$MQ41&amp;" é "&amp;4*$MQ41,"")))</f>
        <v/>
      </c>
      <c r="PS41" s="155">
        <f>IF($PR41="",0,(LEN($PR41)-LEN(SUBSTITUTE($PR41," · ","")))/3+1)</f>
        <v/>
      </c>
      <c r="PT41" s="155">
        <f>IF($NB41=0,"",TEXTJOIN(" · ",TRUE,IF($OV41&gt;2*$MQ41,"A devolução parou no teto de "&amp;2*$MQ41,""),IF($OY41&gt;0,"Devolução perdida: "&amp;$OY41&amp;IF($OY41&gt;1," pontos"," ponto")&amp;" sem peça para pagar",""),IF(AND($OA41&gt;0,AND($MQ41&gt;0,$OE41=0),$PB41=0),"Controle sem dano: uma rodada a mais e CD +2",""),IF(AND($OA41&gt;0,AND($MQ41&gt;0,$OE41=0),$PB41&gt;0,$PB41&lt;=$MQ41),"Controle com saldo até a Classe: uma rodada a mais",""),IF(AND($MQ41&gt;0,$OC41&lt;&gt;""),"Efeito de "&amp;$OC41&amp;" pela Classe "&amp;MAX(1,$MQ41-1),"")))</f>
        <v/>
      </c>
      <c r="PU41" s="155">
        <f>IF($PT41="",0,(LEN($PT41)-LEN(SUBSTITUTE($PT41," · ","")))/3+1)</f>
        <v/>
      </c>
      <c r="PV41" s="155">
        <f>IF($NB41=0,IF($OS41+COUNTIF($MZ41:$NA41,"?*")&gt;0,"Dê um nome",""),IF($PS41&gt;0,"⚠ "&amp;$PS41&amp;IF($PS41&gt;1," erros"," erro"),IF($PU41&gt;0,"! "&amp;$PU41&amp;IF($PU41&gt;1," avisos"," aviso"),"Na regra")))</f>
        <v/>
      </c>
      <c r="PW41" s="155">
        <f>IF($NB41=0,"",IF($PS41+$PU41=0,"Dentro das regras que a ficha confere",$PR41&amp;IF(AND($PS41&gt;0,$PU41&gt;0)," · ","")&amp;$PT41))</f>
        <v/>
      </c>
      <c r="PX41" s="155">
        <f>IF($MO41&gt;$NC41,$MP41&amp;" · ABRE NO NÍVEL "&amp;$MO41,$MP41)</f>
        <v/>
      </c>
      <c r="PY41" s="155">
        <f>IF($NB41=0,"",IF($MQ41=0,"Sem PE",3*$MQ41&amp;" PE"))</f>
        <v/>
      </c>
      <c r="PZ41" s="155">
        <f>IF($NB41=0,"",IF($MQ41=0,"A atuação básica dela",IF(COUNTIF($OI41:$OJ41,"Atrasar")&gt;0,"Sua Ação Completa",IF(COUNTIF($MV41:$MY41,"Rápido")&gt;0,"Sua Bônus",IF(COUNTIF($MV41:$MY41,"Reação")&gt;0,"Sua Reação","Sua Padrão")))&amp;" + a básica dela"&amp;IF(COUNTIF($MV41:$MY41,"Reação")&gt;0," e a coletiva","")&amp;IF(COUNTIF($OI41:$OJ41,"Carregar")&gt;0," · em dois turnos","")))</f>
        <v/>
      </c>
      <c r="QA41" s="155">
        <f>IF($MU41&lt;&gt;"",$MU41,IF($NH41=0,"",INDEX($AA$2:$AA$11,$NH41)))</f>
        <v/>
      </c>
      <c r="QB41" s="155">
        <f>IF(OR($NB41=0,$NH41=0),"",IF(COUNTIF($MV41:$MY41,"Inescapável")&gt;0,"Automático",IF($QA41="Ataque",IF($NF41="","Ataque","Ataque "&amp;IF(($NF41+2*IF(COUNTIF($MV41:$MY41,"Precisão")&gt;0,1,0))&gt;=0,"+","−")&amp;ABS(($NF41+2*IF(COUNTIF($MV41:$MY41,"Precisão")&gt;0,1,0))))&amp;IF($OB41&gt;0," · TR"&amp;IF($NG41="",""," CD "&amp;$NG41),""),IF(LEFT($QA41,2)="TR",$QA41&amp;IF($NG41="",""," · CD "&amp;$NG41)&amp;IF(COUNTIF($MV41:$MY41,"Certeiro")&gt;0," · metade",""),"Sem rolagem"))))</f>
        <v/>
      </c>
      <c r="QC41" s="155">
        <f>IF(OR($NB41=0,$NH41=0),"",IF($MQ41=0,IF(OR($OE41&gt;=1,$PB41=0),"Sem dano",$PB41&amp;"d6"&amp;IF($MT41="",""," "&amp;$MT41)),IF(OR($OE41&gt;=1,$PB41=0),UPPER(LEFT(INDEX($PK41:$PQ41,1,MAX(1,$MQ41)),1))&amp;MID(INDEX($PK41:$PQ41,1,MAX(1,$MQ41)),2,99),UPPER(LEFT(INDEX($PK41:$PQ41,1,MAX(1,$MQ41)),1))&amp;MID(INDEX($PK41:$PQ41,1,MAX(1,$MQ41)),2,99)&amp;IF($MT41="",""," "&amp;$MT41)&amp;IF($PC41&gt;0," · +"&amp;$PC41&amp;"d8",""))))</f>
        <v/>
      </c>
      <c r="QD41" s="155">
        <f>COUNTIF($MV41:$MY41,"Longe")+3*COUNTIF($MV41:$MY41,"Muito Longe")</f>
        <v/>
      </c>
      <c r="QE41" s="155">
        <f>COUNTIF($MV41:$MY41,"Maior")+3*COUNTIF($MV41:$MY41,"Muito Maior")</f>
        <v/>
      </c>
      <c r="QF41" s="155">
        <f>IF($NH41=0,0,CHOOSE(1+INDEX($AC$2:$AC$11,$NH41),0,$QD41,$QE41,$QD41+$QE41))</f>
        <v/>
      </c>
      <c r="QG41" s="155">
        <f>IF($NH41=0,0,CHOOSE(1+INDEX($AD$2:$AD$11,$NH41),0,$QD41,$QE41,$QD41+$QE41))</f>
        <v/>
      </c>
      <c r="QH41" s="155">
        <f>IF(OR($NB41=0,$NH41=0),"",INDEX($AI$2:$AN$41,($NH41-1)*4+IF($MQ41=0,1,IF($MQ41&lt;=5,2,IF($MQ41=6,3,4))),1+MIN(5,$QF41))&amp;INDEX($AO$2:$AT$41,($NH41-1)*4+IF($MQ41=0,1,IF($MQ41&lt;=5,2,IF($MQ41=6,3,4))),1+MIN(5,$QG41))&amp;IF(INDEX($AE$2:$AE$11,$NH41)=1,IF(COUNTIF($MV41:$MY41,"Mais Um")&gt;0," · +"&amp;COUNTIF($MV41:$MY41,"Mais Um")&amp;IF(COUNTIF($MV41:$MY41,"Mais Um")&gt;1," alvos"," alvo"),"")&amp;IF(COUNTIF($MV41:$MY41,"Rajada")&gt;0,IF($MQ41=0," · 1 tiro"," · "&amp;(MAX(1,$MQ41-1)+1)&amp;" tiros"),""),""))</f>
        <v/>
      </c>
      <c r="QI41" s="155">
        <f>IF($NB41=0,"",IF($MQ41=0,$NE41&amp;"d6"&amp;IF($OS41&gt;0," − 1 = "&amp;$PB41&amp;"d6"," da básica do nível "&amp;$NC41),$OZ41&amp;" − "&amp;$OU41&amp;" + "&amp;$OX41&amp;" = "&amp;$PA41&amp;" · teto "&amp;4*$MQ41&amp;"d8"&amp;IF($OD41=1," · a Forma devolve "&amp;$MQ41,"")&amp;IF($OY41&gt;0," · perde "&amp;$OY41,"")))</f>
        <v/>
      </c>
      <c r="QJ41" s="155">
        <f>IF($NB41=0,"",IF($MQ41=0,"A básica não amplia: os dados dela sobem com o nível",IF($MQ41&gt;=$ND41,"Já está na maior Classe que o nível liberou",TEXTJOIN(" · ",TRUE,IF(AND(2&gt;$MQ41,2&lt;=$ND41),"2 → "&amp;$PL41&amp;", 6 PE",""),IF(AND(3&gt;$MQ41,3&lt;=$ND41),"3 → "&amp;$PM41&amp;", 9 PE",""),IF(AND(4&gt;$MQ41,4&lt;=$ND41),"4 → "&amp;$PN41&amp;", 12 PE",""),IF(AND(5&gt;$MQ41,5&lt;=$ND41),"5 → "&amp;$PO41&amp;", 15 PE",""),IF(AND(6&gt;$MQ41,6&lt;=$ND41),"6 → "&amp;$PP41&amp;", 18 PE",""),IF(AND(7&gt;$MQ41,7&lt;=$ND41),"7 → "&amp;$PQ41&amp;", 21 PE","")))))</f>
        <v/>
      </c>
      <c r="QK41" s="155">
        <f>IF(OR($NB41=0,$NM41=0),"",IF($MQ41=0,"−1 dado","−"&amp;INDEX($I$2:$N$8,MAX(1,$MQ41),MAX(1,$NR41))&amp;" · "&amp;CHOOSE(MAX(1,$NR41),"Leve","Média","Pesada","Leve · Livre","Média · Livre","Pesada · Livre")))</f>
        <v/>
      </c>
      <c r="QL41" s="155">
        <f>IF(OR($NB41=0,$NN41=0),"",IF($MQ41=0,"−1 dado","−"&amp;INDEX($I$2:$N$8,MAX(1,$MQ41),MAX(1,$NS41))&amp;" · "&amp;CHOOSE(MAX(1,$NS41),"Leve","Média","Pesada","Leve · Livre","Média · Livre","Pesada · Livre")))</f>
        <v/>
      </c>
      <c r="QM41" s="155">
        <f>IF(OR($NB41=0,$NO41=0),"",IF($MQ41=0,"−1 dado","−"&amp;INDEX($I$2:$N$8,MAX(1,$MQ41),MAX(1,$NT41))&amp;" · "&amp;CHOOSE(MAX(1,$NT41),"Leve","Média","Pesada","Leve · Livre","Média · Livre","Pesada · Livre")))</f>
        <v/>
      </c>
      <c r="QN41" s="155">
        <f>IF(OR($NB41=0,$NP41=0),"",IF($MQ41=0,"−1 dado","−"&amp;INDEX($I$2:$N$8,MAX(1,$MQ41),MAX(1,$NU41))&amp;" · "&amp;CHOOSE(MAX(1,$NU41),"Leve","Média","Pesada","Leve · Livre","Média · Livre","Pesada · Livre")))</f>
        <v/>
      </c>
      <c r="QO41" s="155">
        <f>IF(OR($NB41=0,$MZ41=""),"",IF($MQ41=0,"não devolve","+"&amp;IF($OG41=1,CEILING($MQ41/2,1),$MQ41)))</f>
        <v/>
      </c>
      <c r="QP41" s="155">
        <f>IF(OR($NB41=0,$NA41=""),"",IF($MQ41=0,"não devolve","+"&amp;IF($OH41=1,CEILING($MQ41/2,1),$MQ41)))</f>
        <v/>
      </c>
    </row>
    <row r="42">
      <c r="AV42" s="153" t="inlineStr">
        <is>
          <t>Prende</t>
        </is>
      </c>
      <c r="AW42" s="153" t="inlineStr">
        <is>
          <t>Controle</t>
        </is>
      </c>
      <c r="AX42" s="155" t="n">
        <v>2</v>
      </c>
      <c r="AY42" s="155" t="n">
        <v>1</v>
      </c>
      <c r="AZ42" s="155" t="n">
        <v>0</v>
      </c>
      <c r="BA42" s="155" t="n">
        <v>1</v>
      </c>
      <c r="JR42" s="155">
        <f>IF(OR($AW42="",COUNTIF($EJ$2:$EN$2,$AW42)&gt;0),$AV42,"")</f>
        <v/>
      </c>
      <c r="JS42" s="155">
        <f>IF(AND($AX42=1,OR($AW42="",COUNTIF($EJ$2:$EN$2,$AW42)&gt;0)),$AV42,"")</f>
        <v/>
      </c>
      <c r="JX42" s="155">
        <f>IF(OR($AW42="",COUNTIF($EJ$3:$EN$3,$AW42)&gt;0),$AV42,"")</f>
        <v/>
      </c>
      <c r="JY42" s="155">
        <f>IF(AND($AX42=1,OR($AW42="",COUNTIF($EJ$3:$EN$3,$AW42)&gt;0)),$AV42,"")</f>
        <v/>
      </c>
      <c r="KD42" s="155">
        <f>IF(OR($AW42="",COUNTIF($EJ$4:$EN$4,$AW42)&gt;0),$AV42,"")</f>
        <v/>
      </c>
      <c r="KE42" s="155">
        <f>IF(AND($AX42=1,OR($AW42="",COUNTIF($EJ$4:$EN$4,$AW42)&gt;0)),$AV42,"")</f>
        <v/>
      </c>
      <c r="KJ42" s="155">
        <f>IF(OR($AW42="",COUNTIF($EJ$5:$EN$5,$AW42)&gt;0),$AV42,"")</f>
        <v/>
      </c>
      <c r="KK42" s="155">
        <f>IF(AND($AX42=1,OR($AW42="",COUNTIF($EJ$5:$EN$5,$AW42)&gt;0)),$AV42,"")</f>
        <v/>
      </c>
      <c r="KP42" s="155">
        <f>IF(OR($AW42="",COUNTIF($EJ$6:$EN$6,$AW42)&gt;0),$AV42,"")</f>
        <v/>
      </c>
      <c r="KQ42" s="155">
        <f>IF(AND($AX42=1,OR($AW42="",COUNTIF($EJ$6:$EN$6,$AW42)&gt;0)),$AV42,"")</f>
        <v/>
      </c>
      <c r="KV42" s="155">
        <f>IF(OR($AW42="",COUNTIF($EJ$7:$EN$7,$AW42)&gt;0),$AV42,"")</f>
        <v/>
      </c>
      <c r="KW42" s="155">
        <f>IF(AND($AX42=1,OR($AW42="",COUNTIF($EJ$7:$EN$7,$AW42)&gt;0)),$AV42,"")</f>
        <v/>
      </c>
      <c r="LB42" s="155">
        <f>IF(OR($AW42="",COUNTIF($EJ$8:$EN$8,$AW42)&gt;0),$AV42,"")</f>
        <v/>
      </c>
      <c r="LC42" s="155">
        <f>IF(AND($AX42=1,OR($AW42="",COUNTIF($EJ$8:$EN$8,$AW42)&gt;0)),$AV42,"")</f>
        <v/>
      </c>
      <c r="LH42" s="155">
        <f>IF(OR($AW42="",COUNTIF($EJ$9:$EN$9,$AW42)&gt;0),$AV42,"")</f>
        <v/>
      </c>
      <c r="LI42" s="155">
        <f>IF(AND($AX42=1,OR($AW42="",COUNTIF($EJ$9:$EN$9,$AW42)&gt;0)),$AV42,"")</f>
        <v/>
      </c>
      <c r="LN42" s="155">
        <f>IF(OR($AW42="",COUNTIF($EJ$10:$EN$10,$AW42)&gt;0),$AV42,"")</f>
        <v/>
      </c>
      <c r="LO42" s="155">
        <f>IF(AND($AX42=1,OR($AW42="",COUNTIF($EJ$10:$EN$10,$AW42)&gt;0)),$AV42,"")</f>
        <v/>
      </c>
      <c r="LT42" s="155">
        <f>IF(OR($AW42="",COUNTIF($EJ$11:$EN$11,$AW42)&gt;0),$AV42,"")</f>
        <v/>
      </c>
      <c r="LU42" s="155">
        <f>IF(AND($AX42=1,OR($AW42="",COUNTIF($EJ$11:$EN$11,$AW42)&gt;0)),$AV42,"")</f>
        <v/>
      </c>
      <c r="LZ42" s="155">
        <f>IF(OR($AW42="",COUNTIF($EJ$12:$EN$12,$AW42)&gt;0),$AV42,"")</f>
        <v/>
      </c>
      <c r="MA42" s="155">
        <f>IF(AND($AX42=1,OR($AW42="",COUNTIF($EJ$12:$EN$12,$AW42)&gt;0)),$AV42,"")</f>
        <v/>
      </c>
      <c r="MF42" s="155">
        <f>IF(OR($AW42="",COUNTIF($EJ$13:$EN$13,$AW42)&gt;0),$AV42,"")</f>
        <v/>
      </c>
      <c r="MG42" s="155">
        <f>IF(AND($AX42=1,OR($AW42="",COUNTIF($EJ$13:$EN$13,$AW42)&gt;0)),$AV42,"")</f>
        <v/>
      </c>
      <c r="ML42" s="153" t="inlineStr">
        <is>
          <t>Ficha 4 · Especial 1</t>
        </is>
      </c>
      <c r="MM42" s="155" t="n">
        <v>4</v>
      </c>
      <c r="MN42" s="155" t="n">
        <v>1</v>
      </c>
      <c r="MO42" s="155" t="n">
        <v>1</v>
      </c>
      <c r="MP42" s="153" t="inlineStr">
        <is>
          <t>ESPECIAL 1</t>
        </is>
      </c>
      <c r="MQ42" s="155">
        <f>MAX(1,MIN(7,N('INVOCAÇÕES'!$O$652)))</f>
        <v/>
      </c>
      <c r="MR42" s="155">
        <f>'INVOCAÇÕES'!$P$652&amp;""</f>
        <v/>
      </c>
      <c r="MS42" s="155">
        <f>'INVOCAÇÕES'!$O$657&amp;""</f>
        <v/>
      </c>
      <c r="MT42" s="155">
        <f>'INVOCAÇÕES'!$O$658&amp;""</f>
        <v/>
      </c>
      <c r="MU42" s="155">
        <f>'INVOCAÇÕES'!$Q$658&amp;""</f>
        <v/>
      </c>
      <c r="MV42" s="155">
        <f>'INVOCAÇÕES'!$P$661&amp;""</f>
        <v/>
      </c>
      <c r="MW42" s="155">
        <f>'INVOCAÇÕES'!$P$662&amp;""</f>
        <v/>
      </c>
      <c r="MX42" s="155">
        <f>'INVOCAÇÕES'!$P$663&amp;""</f>
        <v/>
      </c>
      <c r="MY42" s="155">
        <f>'INVOCAÇÕES'!$P$664&amp;""</f>
        <v/>
      </c>
      <c r="MZ42" s="155">
        <f>'INVOCAÇÕES'!$P$665&amp;""</f>
        <v/>
      </c>
      <c r="NA42" s="155">
        <f>'INVOCAÇÕES'!$P$666&amp;""</f>
        <v/>
      </c>
      <c r="NB42" s="155">
        <f>IF($MR42&lt;&gt;"",1,0)</f>
        <v/>
      </c>
      <c r="NC42" s="155">
        <f>INDEX($FM$2:$FM$13,$MM42)</f>
        <v/>
      </c>
      <c r="ND42" s="155">
        <f>INDEX($FN$2:$FN$13,$MM42)</f>
        <v/>
      </c>
      <c r="NE42" s="155">
        <f>INDEX($FO$2:$FO$13,$MM42)</f>
        <v/>
      </c>
      <c r="NF42" s="155">
        <f>INDEX($FZ$2:$FZ$13,$MM42)</f>
        <v/>
      </c>
      <c r="NG42" s="155">
        <f>INDEX($GA$2:$GA$13,$MM42)</f>
        <v/>
      </c>
      <c r="NH42" s="155">
        <f>IFERROR(MATCH($MS42,$V$2:$V$11,0),0)</f>
        <v/>
      </c>
      <c r="NI42" s="155">
        <f>IFERROR(VLOOKUP($MV42,$AV$2:$BA$84,2,FALSE),"")</f>
        <v/>
      </c>
      <c r="NJ42" s="155">
        <f>IFERROR(VLOOKUP($MW42,$AV$2:$BA$84,2,FALSE),"")</f>
        <v/>
      </c>
      <c r="NK42" s="155">
        <f>IFERROR(VLOOKUP($MX42,$AV$2:$BA$84,2,FALSE),"")</f>
        <v/>
      </c>
      <c r="NL42" s="155">
        <f>IFERROR(VLOOKUP($MY42,$AV$2:$BA$84,2,FALSE),"")</f>
        <v/>
      </c>
      <c r="NM42" s="155">
        <f>IFERROR(VLOOKUP($MV42,$AV$2:$BA$84,3,FALSE),0)</f>
        <v/>
      </c>
      <c r="NN42" s="155">
        <f>IFERROR(VLOOKUP($MW42,$AV$2:$BA$84,3,FALSE),0)</f>
        <v/>
      </c>
      <c r="NO42" s="155">
        <f>IFERROR(VLOOKUP($MX42,$AV$2:$BA$84,3,FALSE),0)</f>
        <v/>
      </c>
      <c r="NP42" s="155">
        <f>IFERROR(VLOOKUP($MY42,$AV$2:$BA$84,3,FALSE),0)</f>
        <v/>
      </c>
      <c r="NQ42" s="155">
        <f>IF($MQ42=0,0,IF($NH42=0,0,INDEX($X$2:$X$11,$NH42)))</f>
        <v/>
      </c>
      <c r="NR42" s="155">
        <f>IF(OR($NM42=0,$MQ42=0),0,$NM42+3*IF(AND($NI42&lt;&gt;"",OR($NI42=INDEX($EJ$2:$EJ$13,$MM42),$NI42=INDEX($EK$2:$EK$13,$MM42))),1,0))</f>
        <v/>
      </c>
      <c r="NS42" s="155">
        <f>IF(OR($NN42=0,$MQ42=0),0,$NN42+3*IF(AND($NJ42&lt;&gt;"",OR($NJ42=INDEX($EJ$2:$EJ$13,$MM42),$NJ42=INDEX($EK$2:$EK$13,$MM42))),1,0))</f>
        <v/>
      </c>
      <c r="NT42" s="155">
        <f>IF(OR($NO42=0,$MQ42=0),0,$NO42+3*IF(AND($NK42&lt;&gt;"",OR($NK42=INDEX($EJ$2:$EJ$13,$MM42),$NK42=INDEX($EK$2:$EK$13,$MM42))),1,0))</f>
        <v/>
      </c>
      <c r="NU42" s="155">
        <f>IF(OR($NP42=0,$MQ42=0),0,$NP42+3*IF(AND($NL42&lt;&gt;"",OR($NL42=INDEX($EJ$2:$EJ$13,$MM42),$NL42=INDEX($EK$2:$EK$13,$MM42))),1,0))</f>
        <v/>
      </c>
      <c r="NV42" s="155">
        <f>IF($NH42=0,0,IF(INDEX($W$2:$W$11,$NH42)="",0,IF(COUNTIF(INDEX($EJ$2:$EN$13,$MM42,0),INDEX($W$2:$W$11,$NH42))=0,1,0)))</f>
        <v/>
      </c>
      <c r="NW42" s="155">
        <f>IF(OR($NM42=0,$NI42=""),0,IF(COUNTIF(INDEX($EJ$2:$EN$13,$MM42,0),$NI42)=0,1,0))</f>
        <v/>
      </c>
      <c r="NX42" s="155">
        <f>IF(OR($NN42=0,$NJ42=""),0,IF(COUNTIF(INDEX($EJ$2:$EN$13,$MM42,0),$NJ42)=0,1,0))</f>
        <v/>
      </c>
      <c r="NY42" s="155">
        <f>IF(OR($NO42=0,$NK42=""),0,IF(COUNTIF(INDEX($EJ$2:$EN$13,$MM42,0),$NK42)=0,1,0))</f>
        <v/>
      </c>
      <c r="NZ42" s="155">
        <f>IF(OR($NP42=0,$NL42=""),0,IF(COUNTIF(INDEX($EJ$2:$EN$13,$MM42,0),$NL42)=0,1,0))</f>
        <v/>
      </c>
      <c r="OA42" s="155">
        <f>IFERROR(VLOOKUP($MV42,$AV$2:$BA$84,4,FALSE),0)+IFERROR(VLOOKUP($MW42,$AV$2:$BA$84,4,FALSE),0)+IFERROR(VLOOKUP($MX42,$AV$2:$BA$84,4,FALSE),0)+IFERROR(VLOOKUP($MY42,$AV$2:$BA$84,4,FALSE),0)</f>
        <v/>
      </c>
      <c r="OB42" s="155">
        <f>IFERROR(VLOOKUP($MV42,$AV$2:$BA$84,6,FALSE),0)+IFERROR(VLOOKUP($MW42,$AV$2:$BA$84,6,FALSE),0)+IFERROR(VLOOKUP($MX42,$AV$2:$BA$84,6,FALSE),0)+IFERROR(VLOOKUP($MY42,$AV$2:$BA$84,6,FALSE),0)</f>
        <v/>
      </c>
      <c r="OC42" s="155">
        <f>TEXTJOIN(", ",TRUE,IF(IFERROR(VLOOKUP($MV42,$AV$2:$BA$84,5,FALSE),0)=1,$MV42,""),IF(IFERROR(VLOOKUP($MW42,$AV$2:$BA$84,5,FALSE),0)=1,$MW42,""),IF(IFERROR(VLOOKUP($MX42,$AV$2:$BA$84,5,FALSE),0)=1,$MX42,""),IF(IFERROR(VLOOKUP($MY42,$AV$2:$BA$84,5,FALSE),0)=1,$MY42,""))</f>
        <v/>
      </c>
      <c r="OD42" s="155">
        <f>IF($NH42=0,0,INDEX($Y$2:$Y$11,$NH42))</f>
        <v/>
      </c>
      <c r="OE42" s="155">
        <f>IF($NH42=0,0,INDEX($Z$2:$Z$11,$NH42))</f>
        <v/>
      </c>
      <c r="OF42" s="155">
        <f>IF($NH42=0,0,INDEX($AB$2:$AB$11,$NH42))</f>
        <v/>
      </c>
      <c r="OG42" s="155">
        <f>IFERROR(VLOOKUP($MZ42,$BC$2:$BG$24,3,FALSE),0)</f>
        <v/>
      </c>
      <c r="OH42" s="155">
        <f>IFERROR(VLOOKUP($NA42,$BC$2:$BG$24,3,FALSE),0)</f>
        <v/>
      </c>
      <c r="OI42" s="155">
        <f>IFERROR(VLOOKUP($MZ42,$BC$2:$BG$24,2,FALSE),"")</f>
        <v/>
      </c>
      <c r="OJ42" s="155">
        <f>IFERROR(VLOOKUP($NA42,$BC$2:$BG$24,2,FALSE),"")</f>
        <v/>
      </c>
      <c r="OK42" s="155">
        <f>COUNTIF($NQ42:$NU42,1)</f>
        <v/>
      </c>
      <c r="OL42" s="155">
        <f>COUNTIF($NQ42:$NU42,2)</f>
        <v/>
      </c>
      <c r="OM42" s="155">
        <f>COUNTIF($NQ42:$NU42,3)</f>
        <v/>
      </c>
      <c r="ON42" s="155">
        <f>COUNTIF($NQ42:$NU42,4)</f>
        <v/>
      </c>
      <c r="OO42" s="155">
        <f>COUNTIF($NQ42:$NU42,5)</f>
        <v/>
      </c>
      <c r="OP42" s="155">
        <f>COUNTIF($NQ42:$NU42,6)</f>
        <v/>
      </c>
      <c r="OQ42" s="155">
        <f>COUNTIF($OG42:$OH42,1)</f>
        <v/>
      </c>
      <c r="OR42" s="155">
        <f>COUNTIF($OG42:$OH42,2)+$OD42</f>
        <v/>
      </c>
      <c r="OS42" s="155">
        <f>COUNTIF($MV42:$MY42,"?*")</f>
        <v/>
      </c>
      <c r="OT42" s="155">
        <f>COUNTIF($MZ42:$NA42,"?*")+$OD42</f>
        <v/>
      </c>
      <c r="OU42" s="155">
        <f>IF($MQ42=0,0,SUMPRODUCT($OK42:$OP42,INDEX($I$2:$N$8,MAX(1,$MQ42),0)))</f>
        <v/>
      </c>
      <c r="OV42" s="155">
        <f>IF($MQ42=0,0,$OQ42*CEILING($MQ42/2,1)+$OR42*$MQ42)</f>
        <v/>
      </c>
      <c r="OW42" s="155">
        <f>MIN(2*$MQ42,$OV42)</f>
        <v/>
      </c>
      <c r="OX42" s="155">
        <f>MIN($OW42,$OU42)</f>
        <v/>
      </c>
      <c r="OY42" s="155">
        <f>$OW42-$OX42</f>
        <v/>
      </c>
      <c r="OZ42" s="155">
        <f>IF($MQ42=0,0,INDEX($P$2:$P$8,MAX(1,$MQ42)))</f>
        <v/>
      </c>
      <c r="PA42" s="155">
        <f>$OZ42-$OU42+$OX42</f>
        <v/>
      </c>
      <c r="PB42" s="155">
        <f>IF($MQ42=0,MAX(0,$NE42-IF($OS42&gt;0,1,0)),MAX(0,$PA42))</f>
        <v/>
      </c>
      <c r="PC42" s="155">
        <f>IF($MQ42=0,0,(IF(COUNTIF($MV42:$MY42,"Salto")&gt;0,1,0)+IF(COUNTIF($MV42:$MY42,"Queima")&gt;0,1,0)+IF(COUNTIF($MV42:$MY42,"Estilhaço")&gt;0,1,0))*FLOOR($PB42/2,1))</f>
        <v/>
      </c>
      <c r="PD42" s="155">
        <f>MAX(0,2-SUMPRODUCT($OK42:$OP42,$I$2:$N$2)+MIN(2,$OQ42*1+$OR42*1,SUMPRODUCT($OK42:$OP42,$I$2:$N$2)))</f>
        <v/>
      </c>
      <c r="PE42" s="155">
        <f>MAX(0,4-SUMPRODUCT($OK42:$OP42,$I$3:$N$3)+MIN(4,$OQ42*1+$OR42*2,SUMPRODUCT($OK42:$OP42,$I$3:$N$3)))</f>
        <v/>
      </c>
      <c r="PF42" s="155">
        <f>MAX(0,6-SUMPRODUCT($OK42:$OP42,$I$4:$N$4)+MIN(6,$OQ42*2+$OR42*3,SUMPRODUCT($OK42:$OP42,$I$4:$N$4)))</f>
        <v/>
      </c>
      <c r="PG42" s="155">
        <f>MAX(0,9-SUMPRODUCT($OK42:$OP42,$I$5:$N$5)+MIN(8,$OQ42*2+$OR42*4,SUMPRODUCT($OK42:$OP42,$I$5:$N$5)))</f>
        <v/>
      </c>
      <c r="PH42" s="155">
        <f>MAX(0,11-SUMPRODUCT($OK42:$OP42,$I$6:$N$6)+MIN(10,$OQ42*3+$OR42*5,SUMPRODUCT($OK42:$OP42,$I$6:$N$6)))</f>
        <v/>
      </c>
      <c r="PI42" s="155">
        <f>MAX(0,13-SUMPRODUCT($OK42:$OP42,$I$7:$N$7)+MIN(12,$OQ42*3+$OR42*6,SUMPRODUCT($OK42:$OP42,$I$7:$N$7)))</f>
        <v/>
      </c>
      <c r="PJ42" s="155">
        <f>MAX(0,16-SUMPRODUCT($OK42:$OP42,$I$8:$N$8)+MIN(14,$OQ42*4+$OR42*7,SUMPRODUCT($OK42:$OP42,$I$8:$N$8)))</f>
        <v/>
      </c>
      <c r="PK42" s="155">
        <f>IF($OE42=2,3*$PD42&amp;" de vida temp.",IF($OE42=3,"sem dano",IF($PD42=0,IF($OE42=1,"sem cura","sem dano"),IF($OE42=1,"cura ","")&amp;$PD42&amp;"d8")))</f>
        <v/>
      </c>
      <c r="PL42" s="155">
        <f>IF($OE42=2,3*$PE42&amp;" de vida temp.",IF($OE42=3,"sem dano",IF($PE42=0,IF($OE42=1,"sem cura","sem dano"),IF($OE42=1,"cura ","")&amp;$PE42&amp;"d8")))</f>
        <v/>
      </c>
      <c r="PM42" s="155">
        <f>IF($OE42=2,3*$PF42&amp;" de vida temp.",IF($OE42=3,"sem dano",IF($PF42=0,IF($OE42=1,"sem cura","sem dano"),IF($OE42=1,"cura ","")&amp;$PF42&amp;"d8")))</f>
        <v/>
      </c>
      <c r="PN42" s="155">
        <f>IF($OE42=2,3*$PG42&amp;" de vida temp.",IF($OE42=3,"sem dano",IF($PG42=0,IF($OE42=1,"sem cura","sem dano"),IF($OE42=1,"cura ","")&amp;$PG42&amp;"d8")))</f>
        <v/>
      </c>
      <c r="PO42" s="155">
        <f>IF($OE42=2,3*$PH42&amp;" de vida temp.",IF($OE42=3,"sem dano",IF($PH42=0,IF($OE42=1,"sem cura","sem dano"),IF($OE42=1,"cura ","")&amp;$PH42&amp;"d8")))</f>
        <v/>
      </c>
      <c r="PP42" s="155">
        <f>IF($OE42=2,3*$PI42&amp;" de vida temp.",IF($OE42=3,"sem dano",IF($PI42=0,IF($OE42=1,"sem cura","sem dano"),IF($OE42=1,"cura ","")&amp;$PI42&amp;"d8")))</f>
        <v/>
      </c>
      <c r="PQ42" s="155">
        <f>IF($OE42=2,3*$PJ42&amp;" de vida temp.",IF($OE42=3,"sem dano",IF($PJ42=0,IF($OE42=1,"sem cura","sem dano"),IF($OE42=1,"cura ","")&amp;$PJ42&amp;"d8")))</f>
        <v/>
      </c>
      <c r="PR42" s="155">
        <f>IF($NB42=0,"",TEXTJOIN(" · ",TRUE,IF($MO42&gt;$NC42,"Este lugar abre no nível "&amp;$MO42,""),IF($MQ42&gt;$ND42,"Classe "&amp;$MQ42&amp;": o nível "&amp;$NC42&amp;" libera até a "&amp;$ND42,""),IF($NV42=1,"A Forma "&amp;$MS42&amp;" pede "&amp;INDEX($W$2:$W$11,$NH42)&amp;" aberta",""),IF(AND($MQ42=0,$NH42&gt;0,IF($NH42=0,0,INDEX($AF$2:$AF$11,$NH42))=0),$MS42&amp;" não existe na Classe 0",""),IF($NW42=1,"Família Fechada: "&amp;$MV42,""),IF($NX42=1,"Família Fechada: "&amp;$MW42,""),IF($NY42=1,"Família Fechada: "&amp;$MX42,""),IF($NZ42=1,"Família Fechada: "&amp;$MY42,""),IF(AND($MQ42&gt;0,$OS42&gt;INDEX($O$2:$O$8,MAX(1,$MQ42))),$OS42&amp;" Melhorias: a Classe "&amp;$MQ42&amp;" aceita "&amp;INDEX($O$2:$O$8,MAX(1,$MQ42)),""),IF(AND($MQ42=0,$OS42&gt;1),"A básica aceita uma Melhoria",""),IF(AND($MQ42=0,COUNTIF($NM42:$NP42,"&gt;1")&gt;0),"A básica só aceita Melhoria Leve",""),IF(AND($MQ42&gt;0,$OT42&gt;2),$OT42&amp;" Restrições"&amp;IF($OD42=1,", contando a que a Forma "&amp;$MS42&amp;" já traz","")&amp;": o limite é 2",""),IF(AND($MQ42=0,COUNTIF($MZ42:$NA42,"?*")&gt;1),"A básica aceita uma Restrição Leve",""),IF(AND($MQ42=0,COUNTIF($OG42:$OH42,2)&gt;0),"A básica só aceita Restrição Leve",""),IF(AND($MQ42&gt;0,$PA42&lt;0),"Orçamento estourado: faltam "&amp;(-$PA42)&amp;IF($PA42&lt;-1," pontos"," ponto"),""),IF(IFERROR(VLOOKUP($MZ42,$BC$2:$BG$24,4,FALSE),0)+IFERROR(VLOOKUP($NA42,$BC$2:$BG$24,4,FALSE),0)&gt;1,$OI42&amp;" e "&amp;$OJ42&amp;" são as duas de frequência",""),IF(AND((COUNTIF($MV42:$MY42,"Rápido")+COUNTIF($OI42:$OJ42,"Rápido"))&gt;0,(COUNTIF($MV42:$MY42,"Atrasar")+COUNTIF($OI42:$OJ42,"Atrasar"))&gt;0),"Rápido não entra com Atrasar",""),IF(AND((COUNTIF($MV42:$MY42,"Reação")+COUNTIF($OI42:$OJ42,"Reação"))&gt;0,(COUNTIF($MV42:$MY42,"Rápido")+COUNTIF($OI42:$OJ42,"Rápido"))&gt;0),"Reação não entra com Rápido",""),IF(AND((COUNTIF($MV42:$MY42,"Reação")+COUNTIF($OI42:$OJ42,"Reação"))&gt;0,(COUNTIF($MV42:$MY42,"Armado")+COUNTIF($OI42:$OJ42,"Armado"))&gt;0),"Reação não entra com Armado",""),IF(AND((COUNTIF($MV42:$MY42,"Reação")+COUNTIF($OI42:$OJ42,"Reação"))&gt;0,(COUNTIF($MV42:$MY42,"Atrasar")+COUNTIF($OI42:$OJ42,"Atrasar"))&gt;0),"Reação não entra com Atrasar",""),IF(AND((COUNTIF($MV42:$MY42,"Reação")+COUNTIF($OI42:$OJ42,"Reação"))&gt;0,(COUNTIF($MV42:$MY42,"Parado")+COUNTIF($OI42:$OJ42,"Parado"))&gt;0),"Reação não entra com Parado",""),IF(AND((COUNTIF($MV42:$MY42,"Atrasar")+COUNTIF($OI42:$OJ42,"Atrasar"))&gt;0,(COUNTIF($MV42:$MY42,"Parado")+COUNTIF($OI42:$OJ42,"Parado"))&gt;0),"Atrasar não entra com Parado",""),IF(AND((COUNTIF($MV42:$MY42,"Armado")+COUNTIF($OI42:$OJ42,"Armado"))&gt;0,(COUNTIF($MV42:$MY42,"Carregar")+COUNTIF($OI42:$OJ42,"Carregar"))&gt;0),"Armado não entra com Carregar",""),IF(AND(COUNTIF($OI42:$OJ42,"Corpo a Corpo")&gt;0,$OD42=0,OR($MS42="Cone",$MS42="Linha")),"Corpo a Corpo não entra em "&amp;$MS42,""),IF(AND(COUNTIF($OI42:$OJ42,"Corpo a Corpo")&gt;0,$OD42=1),"A Forma "&amp;$MS42&amp;" já traz o Corpo a Corpo",""),IF(AND(COUNTIF($OI42:$OJ42,"Tudo ou Nada")&gt;0,$OF42=0),"Tudo ou Nada só entra em habilidade de Teste de Resistência",""),IF(AND(COUNTIF($MV42:$MY42,"Inescapável")&gt;0,OR($OS42&gt;1,$OT42&gt;0)),"Inescapável não aceita outra peça",""),IF(AND($MQ42&gt;0,$PB42*IF(COUNTIF($MV42:$MY42,"Remate")&gt;0,1.25,1)+$PC42&gt;4*$MQ42),($PB42*IF(COUNTIF($MV42:$MY42,"Remate")&gt;0,1.25,1)+$PC42)&amp;" dados somando repetições"&amp;IF(COUNTIF($MV42:$MY42,"Remate")&gt;0," e o Remate","")&amp;": o teto da Classe "&amp;$MQ42&amp;" é "&amp;4*$MQ42,"")))</f>
        <v/>
      </c>
      <c r="PS42" s="155">
        <f>IF($PR42="",0,(LEN($PR42)-LEN(SUBSTITUTE($PR42," · ","")))/3+1)</f>
        <v/>
      </c>
      <c r="PT42" s="155">
        <f>IF($NB42=0,"",TEXTJOIN(" · ",TRUE,IF($OV42&gt;2*$MQ42,"A devolução parou no teto de "&amp;2*$MQ42,""),IF($OY42&gt;0,"Devolução perdida: "&amp;$OY42&amp;IF($OY42&gt;1," pontos"," ponto")&amp;" sem peça para pagar",""),IF(AND($OA42&gt;0,AND($MQ42&gt;0,$OE42=0),$PB42=0),"Controle sem dano: uma rodada a mais e CD +2",""),IF(AND($OA42&gt;0,AND($MQ42&gt;0,$OE42=0),$PB42&gt;0,$PB42&lt;=$MQ42),"Controle com saldo até a Classe: uma rodada a mais",""),IF(AND($MQ42&gt;0,$OC42&lt;&gt;""),"Efeito de "&amp;$OC42&amp;" pela Classe "&amp;MAX(1,$MQ42-1),"")))</f>
        <v/>
      </c>
      <c r="PU42" s="155">
        <f>IF($PT42="",0,(LEN($PT42)-LEN(SUBSTITUTE($PT42," · ","")))/3+1)</f>
        <v/>
      </c>
      <c r="PV42" s="155">
        <f>IF($NB42=0,IF($OS42+COUNTIF($MZ42:$NA42,"?*")&gt;0,"Dê um nome",""),IF($PS42&gt;0,"⚠ "&amp;$PS42&amp;IF($PS42&gt;1," erros"," erro"),IF($PU42&gt;0,"! "&amp;$PU42&amp;IF($PU42&gt;1," avisos"," aviso"),"Na regra")))</f>
        <v/>
      </c>
      <c r="PW42" s="155">
        <f>IF($NB42=0,"",IF($PS42+$PU42=0,"Dentro das regras que a ficha confere",$PR42&amp;IF(AND($PS42&gt;0,$PU42&gt;0)," · ","")&amp;$PT42))</f>
        <v/>
      </c>
      <c r="PX42" s="155">
        <f>IF($MO42&gt;$NC42,$MP42&amp;" · ABRE NO NÍVEL "&amp;$MO42,$MP42)</f>
        <v/>
      </c>
      <c r="PY42" s="155">
        <f>IF($NB42=0,"",IF($MQ42=0,"Sem PE",3*$MQ42&amp;" PE"))</f>
        <v/>
      </c>
      <c r="PZ42" s="155">
        <f>IF($NB42=0,"",IF($MQ42=0,"A atuação básica dela",IF(COUNTIF($OI42:$OJ42,"Atrasar")&gt;0,"Sua Ação Completa",IF(COUNTIF($MV42:$MY42,"Rápido")&gt;0,"Sua Bônus",IF(COUNTIF($MV42:$MY42,"Reação")&gt;0,"Sua Reação","Sua Padrão")))&amp;" + a básica dela"&amp;IF(COUNTIF($MV42:$MY42,"Reação")&gt;0," e a coletiva","")&amp;IF(COUNTIF($OI42:$OJ42,"Carregar")&gt;0," · em dois turnos","")))</f>
        <v/>
      </c>
      <c r="QA42" s="155">
        <f>IF($MU42&lt;&gt;"",$MU42,IF($NH42=0,"",INDEX($AA$2:$AA$11,$NH42)))</f>
        <v/>
      </c>
      <c r="QB42" s="155">
        <f>IF(OR($NB42=0,$NH42=0),"",IF(COUNTIF($MV42:$MY42,"Inescapável")&gt;0,"Automático",IF($QA42="Ataque",IF($NF42="","Ataque","Ataque "&amp;IF(($NF42+2*IF(COUNTIF($MV42:$MY42,"Precisão")&gt;0,1,0))&gt;=0,"+","−")&amp;ABS(($NF42+2*IF(COUNTIF($MV42:$MY42,"Precisão")&gt;0,1,0))))&amp;IF($OB42&gt;0," · TR"&amp;IF($NG42="",""," CD "&amp;$NG42),""),IF(LEFT($QA42,2)="TR",$QA42&amp;IF($NG42="",""," · CD "&amp;$NG42)&amp;IF(COUNTIF($MV42:$MY42,"Certeiro")&gt;0," · metade",""),"Sem rolagem"))))</f>
        <v/>
      </c>
      <c r="QC42" s="155">
        <f>IF(OR($NB42=0,$NH42=0),"",IF($MQ42=0,IF(OR($OE42&gt;=1,$PB42=0),"Sem dano",$PB42&amp;"d6"&amp;IF($MT42="",""," "&amp;$MT42)),IF(OR($OE42&gt;=1,$PB42=0),UPPER(LEFT(INDEX($PK42:$PQ42,1,MAX(1,$MQ42)),1))&amp;MID(INDEX($PK42:$PQ42,1,MAX(1,$MQ42)),2,99),UPPER(LEFT(INDEX($PK42:$PQ42,1,MAX(1,$MQ42)),1))&amp;MID(INDEX($PK42:$PQ42,1,MAX(1,$MQ42)),2,99)&amp;IF($MT42="",""," "&amp;$MT42)&amp;IF($PC42&gt;0," · +"&amp;$PC42&amp;"d8",""))))</f>
        <v/>
      </c>
      <c r="QD42" s="155">
        <f>COUNTIF($MV42:$MY42,"Longe")+3*COUNTIF($MV42:$MY42,"Muito Longe")</f>
        <v/>
      </c>
      <c r="QE42" s="155">
        <f>COUNTIF($MV42:$MY42,"Maior")+3*COUNTIF($MV42:$MY42,"Muito Maior")</f>
        <v/>
      </c>
      <c r="QF42" s="155">
        <f>IF($NH42=0,0,CHOOSE(1+INDEX($AC$2:$AC$11,$NH42),0,$QD42,$QE42,$QD42+$QE42))</f>
        <v/>
      </c>
      <c r="QG42" s="155">
        <f>IF($NH42=0,0,CHOOSE(1+INDEX($AD$2:$AD$11,$NH42),0,$QD42,$QE42,$QD42+$QE42))</f>
        <v/>
      </c>
      <c r="QH42" s="155">
        <f>IF(OR($NB42=0,$NH42=0),"",INDEX($AI$2:$AN$41,($NH42-1)*4+IF($MQ42=0,1,IF($MQ42&lt;=5,2,IF($MQ42=6,3,4))),1+MIN(5,$QF42))&amp;INDEX($AO$2:$AT$41,($NH42-1)*4+IF($MQ42=0,1,IF($MQ42&lt;=5,2,IF($MQ42=6,3,4))),1+MIN(5,$QG42))&amp;IF(INDEX($AE$2:$AE$11,$NH42)=1,IF(COUNTIF($MV42:$MY42,"Mais Um")&gt;0," · +"&amp;COUNTIF($MV42:$MY42,"Mais Um")&amp;IF(COUNTIF($MV42:$MY42,"Mais Um")&gt;1," alvos"," alvo"),"")&amp;IF(COUNTIF($MV42:$MY42,"Rajada")&gt;0,IF($MQ42=0," · 1 tiro"," · "&amp;(MAX(1,$MQ42-1)+1)&amp;" tiros"),""),""))</f>
        <v/>
      </c>
      <c r="QI42" s="155">
        <f>IF($NB42=0,"",IF($MQ42=0,$NE42&amp;"d6"&amp;IF($OS42&gt;0," − 1 = "&amp;$PB42&amp;"d6"," da básica do nível "&amp;$NC42),$OZ42&amp;" − "&amp;$OU42&amp;" + "&amp;$OX42&amp;" = "&amp;$PA42&amp;" · teto "&amp;4*$MQ42&amp;"d8"&amp;IF($OD42=1," · a Forma devolve "&amp;$MQ42,"")&amp;IF($OY42&gt;0," · perde "&amp;$OY42,"")))</f>
        <v/>
      </c>
      <c r="QJ42" s="155">
        <f>IF($NB42=0,"",IF($MQ42=0,"A básica não amplia: os dados dela sobem com o nível",IF($MQ42&gt;=$ND42,"Já está na maior Classe que o nível liberou",TEXTJOIN(" · ",TRUE,IF(AND(2&gt;$MQ42,2&lt;=$ND42),"2 → "&amp;$PL42&amp;", 6 PE",""),IF(AND(3&gt;$MQ42,3&lt;=$ND42),"3 → "&amp;$PM42&amp;", 9 PE",""),IF(AND(4&gt;$MQ42,4&lt;=$ND42),"4 → "&amp;$PN42&amp;", 12 PE",""),IF(AND(5&gt;$MQ42,5&lt;=$ND42),"5 → "&amp;$PO42&amp;", 15 PE",""),IF(AND(6&gt;$MQ42,6&lt;=$ND42),"6 → "&amp;$PP42&amp;", 18 PE",""),IF(AND(7&gt;$MQ42,7&lt;=$ND42),"7 → "&amp;$PQ42&amp;", 21 PE","")))))</f>
        <v/>
      </c>
      <c r="QK42" s="155">
        <f>IF(OR($NB42=0,$NM42=0),"",IF($MQ42=0,"−1 dado","−"&amp;INDEX($I$2:$N$8,MAX(1,$MQ42),MAX(1,$NR42))&amp;" · "&amp;CHOOSE(MAX(1,$NR42),"Leve","Média","Pesada","Leve · Livre","Média · Livre","Pesada · Livre")))</f>
        <v/>
      </c>
      <c r="QL42" s="155">
        <f>IF(OR($NB42=0,$NN42=0),"",IF($MQ42=0,"−1 dado","−"&amp;INDEX($I$2:$N$8,MAX(1,$MQ42),MAX(1,$NS42))&amp;" · "&amp;CHOOSE(MAX(1,$NS42),"Leve","Média","Pesada","Leve · Livre","Média · Livre","Pesada · Livre")))</f>
        <v/>
      </c>
      <c r="QM42" s="155">
        <f>IF(OR($NB42=0,$NO42=0),"",IF($MQ42=0,"−1 dado","−"&amp;INDEX($I$2:$N$8,MAX(1,$MQ42),MAX(1,$NT42))&amp;" · "&amp;CHOOSE(MAX(1,$NT42),"Leve","Média","Pesada","Leve · Livre","Média · Livre","Pesada · Livre")))</f>
        <v/>
      </c>
      <c r="QN42" s="155">
        <f>IF(OR($NB42=0,$NP42=0),"",IF($MQ42=0,"−1 dado","−"&amp;INDEX($I$2:$N$8,MAX(1,$MQ42),MAX(1,$NU42))&amp;" · "&amp;CHOOSE(MAX(1,$NU42),"Leve","Média","Pesada","Leve · Livre","Média · Livre","Pesada · Livre")))</f>
        <v/>
      </c>
      <c r="QO42" s="155">
        <f>IF(OR($NB42=0,$MZ42=""),"",IF($MQ42=0,"não devolve","+"&amp;IF($OG42=1,CEILING($MQ42/2,1),$MQ42)))</f>
        <v/>
      </c>
      <c r="QP42" s="155">
        <f>IF(OR($NB42=0,$NA42=""),"",IF($MQ42=0,"não devolve","+"&amp;IF($OH42=1,CEILING($MQ42/2,1),$MQ42)))</f>
        <v/>
      </c>
    </row>
    <row r="43">
      <c r="AV43" s="153" t="inlineStr">
        <is>
          <t>Puxa</t>
        </is>
      </c>
      <c r="AW43" s="153" t="inlineStr">
        <is>
          <t>Controle</t>
        </is>
      </c>
      <c r="AX43" s="155" t="n">
        <v>2</v>
      </c>
      <c r="AY43" s="155" t="n">
        <v>1</v>
      </c>
      <c r="AZ43" s="155" t="n">
        <v>0</v>
      </c>
      <c r="BA43" s="155" t="n">
        <v>0</v>
      </c>
      <c r="JR43" s="155">
        <f>IF(OR($AW43="",COUNTIF($EJ$2:$EN$2,$AW43)&gt;0),$AV43,"")</f>
        <v/>
      </c>
      <c r="JS43" s="155">
        <f>IF(AND($AX43=1,OR($AW43="",COUNTIF($EJ$2:$EN$2,$AW43)&gt;0)),$AV43,"")</f>
        <v/>
      </c>
      <c r="JX43" s="155">
        <f>IF(OR($AW43="",COUNTIF($EJ$3:$EN$3,$AW43)&gt;0),$AV43,"")</f>
        <v/>
      </c>
      <c r="JY43" s="155">
        <f>IF(AND($AX43=1,OR($AW43="",COUNTIF($EJ$3:$EN$3,$AW43)&gt;0)),$AV43,"")</f>
        <v/>
      </c>
      <c r="KD43" s="155">
        <f>IF(OR($AW43="",COUNTIF($EJ$4:$EN$4,$AW43)&gt;0),$AV43,"")</f>
        <v/>
      </c>
      <c r="KE43" s="155">
        <f>IF(AND($AX43=1,OR($AW43="",COUNTIF($EJ$4:$EN$4,$AW43)&gt;0)),$AV43,"")</f>
        <v/>
      </c>
      <c r="KJ43" s="155">
        <f>IF(OR($AW43="",COUNTIF($EJ$5:$EN$5,$AW43)&gt;0),$AV43,"")</f>
        <v/>
      </c>
      <c r="KK43" s="155">
        <f>IF(AND($AX43=1,OR($AW43="",COUNTIF($EJ$5:$EN$5,$AW43)&gt;0)),$AV43,"")</f>
        <v/>
      </c>
      <c r="KP43" s="155">
        <f>IF(OR($AW43="",COUNTIF($EJ$6:$EN$6,$AW43)&gt;0),$AV43,"")</f>
        <v/>
      </c>
      <c r="KQ43" s="155">
        <f>IF(AND($AX43=1,OR($AW43="",COUNTIF($EJ$6:$EN$6,$AW43)&gt;0)),$AV43,"")</f>
        <v/>
      </c>
      <c r="KV43" s="155">
        <f>IF(OR($AW43="",COUNTIF($EJ$7:$EN$7,$AW43)&gt;0),$AV43,"")</f>
        <v/>
      </c>
      <c r="KW43" s="155">
        <f>IF(AND($AX43=1,OR($AW43="",COUNTIF($EJ$7:$EN$7,$AW43)&gt;0)),$AV43,"")</f>
        <v/>
      </c>
      <c r="LB43" s="155">
        <f>IF(OR($AW43="",COUNTIF($EJ$8:$EN$8,$AW43)&gt;0),$AV43,"")</f>
        <v/>
      </c>
      <c r="LC43" s="155">
        <f>IF(AND($AX43=1,OR($AW43="",COUNTIF($EJ$8:$EN$8,$AW43)&gt;0)),$AV43,"")</f>
        <v/>
      </c>
      <c r="LH43" s="155">
        <f>IF(OR($AW43="",COUNTIF($EJ$9:$EN$9,$AW43)&gt;0),$AV43,"")</f>
        <v/>
      </c>
      <c r="LI43" s="155">
        <f>IF(AND($AX43=1,OR($AW43="",COUNTIF($EJ$9:$EN$9,$AW43)&gt;0)),$AV43,"")</f>
        <v/>
      </c>
      <c r="LN43" s="155">
        <f>IF(OR($AW43="",COUNTIF($EJ$10:$EN$10,$AW43)&gt;0),$AV43,"")</f>
        <v/>
      </c>
      <c r="LO43" s="155">
        <f>IF(AND($AX43=1,OR($AW43="",COUNTIF($EJ$10:$EN$10,$AW43)&gt;0)),$AV43,"")</f>
        <v/>
      </c>
      <c r="LT43" s="155">
        <f>IF(OR($AW43="",COUNTIF($EJ$11:$EN$11,$AW43)&gt;0),$AV43,"")</f>
        <v/>
      </c>
      <c r="LU43" s="155">
        <f>IF(AND($AX43=1,OR($AW43="",COUNTIF($EJ$11:$EN$11,$AW43)&gt;0)),$AV43,"")</f>
        <v/>
      </c>
      <c r="LZ43" s="155">
        <f>IF(OR($AW43="",COUNTIF($EJ$12:$EN$12,$AW43)&gt;0),$AV43,"")</f>
        <v/>
      </c>
      <c r="MA43" s="155">
        <f>IF(AND($AX43=1,OR($AW43="",COUNTIF($EJ$12:$EN$12,$AW43)&gt;0)),$AV43,"")</f>
        <v/>
      </c>
      <c r="MF43" s="155">
        <f>IF(OR($AW43="",COUNTIF($EJ$13:$EN$13,$AW43)&gt;0),$AV43,"")</f>
        <v/>
      </c>
      <c r="MG43" s="155">
        <f>IF(AND($AX43=1,OR($AW43="",COUNTIF($EJ$13:$EN$13,$AW43)&gt;0)),$AV43,"")</f>
        <v/>
      </c>
      <c r="ML43" s="153" t="inlineStr">
        <is>
          <t>Ficha 4 · Especial 2</t>
        </is>
      </c>
      <c r="MM43" s="155" t="n">
        <v>4</v>
      </c>
      <c r="MN43" s="155" t="n">
        <v>1</v>
      </c>
      <c r="MO43" s="155" t="n">
        <v>4</v>
      </c>
      <c r="MP43" s="153" t="inlineStr">
        <is>
          <t>ESPECIAL 2</t>
        </is>
      </c>
      <c r="MQ43" s="155">
        <f>MAX(1,MIN(7,N('INVOCAÇÕES'!$U$652)))</f>
        <v/>
      </c>
      <c r="MR43" s="155">
        <f>'INVOCAÇÕES'!$V$652&amp;""</f>
        <v/>
      </c>
      <c r="MS43" s="155">
        <f>'INVOCAÇÕES'!$U$657&amp;""</f>
        <v/>
      </c>
      <c r="MT43" s="155">
        <f>'INVOCAÇÕES'!$U$658&amp;""</f>
        <v/>
      </c>
      <c r="MU43" s="155">
        <f>'INVOCAÇÕES'!$W$658&amp;""</f>
        <v/>
      </c>
      <c r="MV43" s="155">
        <f>'INVOCAÇÕES'!$V$661&amp;""</f>
        <v/>
      </c>
      <c r="MW43" s="155">
        <f>'INVOCAÇÕES'!$V$662&amp;""</f>
        <v/>
      </c>
      <c r="MX43" s="155">
        <f>'INVOCAÇÕES'!$V$663&amp;""</f>
        <v/>
      </c>
      <c r="MY43" s="155">
        <f>'INVOCAÇÕES'!$V$664&amp;""</f>
        <v/>
      </c>
      <c r="MZ43" s="155">
        <f>'INVOCAÇÕES'!$V$665&amp;""</f>
        <v/>
      </c>
      <c r="NA43" s="155">
        <f>'INVOCAÇÕES'!$V$666&amp;""</f>
        <v/>
      </c>
      <c r="NB43" s="155">
        <f>IF($MR43&lt;&gt;"",1,0)</f>
        <v/>
      </c>
      <c r="NC43" s="155">
        <f>INDEX($FM$2:$FM$13,$MM43)</f>
        <v/>
      </c>
      <c r="ND43" s="155">
        <f>INDEX($FN$2:$FN$13,$MM43)</f>
        <v/>
      </c>
      <c r="NE43" s="155">
        <f>INDEX($FO$2:$FO$13,$MM43)</f>
        <v/>
      </c>
      <c r="NF43" s="155">
        <f>INDEX($FZ$2:$FZ$13,$MM43)</f>
        <v/>
      </c>
      <c r="NG43" s="155">
        <f>INDEX($GA$2:$GA$13,$MM43)</f>
        <v/>
      </c>
      <c r="NH43" s="155">
        <f>IFERROR(MATCH($MS43,$V$2:$V$11,0),0)</f>
        <v/>
      </c>
      <c r="NI43" s="155">
        <f>IFERROR(VLOOKUP($MV43,$AV$2:$BA$84,2,FALSE),"")</f>
        <v/>
      </c>
      <c r="NJ43" s="155">
        <f>IFERROR(VLOOKUP($MW43,$AV$2:$BA$84,2,FALSE),"")</f>
        <v/>
      </c>
      <c r="NK43" s="155">
        <f>IFERROR(VLOOKUP($MX43,$AV$2:$BA$84,2,FALSE),"")</f>
        <v/>
      </c>
      <c r="NL43" s="155">
        <f>IFERROR(VLOOKUP($MY43,$AV$2:$BA$84,2,FALSE),"")</f>
        <v/>
      </c>
      <c r="NM43" s="155">
        <f>IFERROR(VLOOKUP($MV43,$AV$2:$BA$84,3,FALSE),0)</f>
        <v/>
      </c>
      <c r="NN43" s="155">
        <f>IFERROR(VLOOKUP($MW43,$AV$2:$BA$84,3,FALSE),0)</f>
        <v/>
      </c>
      <c r="NO43" s="155">
        <f>IFERROR(VLOOKUP($MX43,$AV$2:$BA$84,3,FALSE),0)</f>
        <v/>
      </c>
      <c r="NP43" s="155">
        <f>IFERROR(VLOOKUP($MY43,$AV$2:$BA$84,3,FALSE),0)</f>
        <v/>
      </c>
      <c r="NQ43" s="155">
        <f>IF($MQ43=0,0,IF($NH43=0,0,INDEX($X$2:$X$11,$NH43)))</f>
        <v/>
      </c>
      <c r="NR43" s="155">
        <f>IF(OR($NM43=0,$MQ43=0),0,$NM43+3*IF(AND($NI43&lt;&gt;"",OR($NI43=INDEX($EJ$2:$EJ$13,$MM43),$NI43=INDEX($EK$2:$EK$13,$MM43))),1,0))</f>
        <v/>
      </c>
      <c r="NS43" s="155">
        <f>IF(OR($NN43=0,$MQ43=0),0,$NN43+3*IF(AND($NJ43&lt;&gt;"",OR($NJ43=INDEX($EJ$2:$EJ$13,$MM43),$NJ43=INDEX($EK$2:$EK$13,$MM43))),1,0))</f>
        <v/>
      </c>
      <c r="NT43" s="155">
        <f>IF(OR($NO43=0,$MQ43=0),0,$NO43+3*IF(AND($NK43&lt;&gt;"",OR($NK43=INDEX($EJ$2:$EJ$13,$MM43),$NK43=INDEX($EK$2:$EK$13,$MM43))),1,0))</f>
        <v/>
      </c>
      <c r="NU43" s="155">
        <f>IF(OR($NP43=0,$MQ43=0),0,$NP43+3*IF(AND($NL43&lt;&gt;"",OR($NL43=INDEX($EJ$2:$EJ$13,$MM43),$NL43=INDEX($EK$2:$EK$13,$MM43))),1,0))</f>
        <v/>
      </c>
      <c r="NV43" s="155">
        <f>IF($NH43=0,0,IF(INDEX($W$2:$W$11,$NH43)="",0,IF(COUNTIF(INDEX($EJ$2:$EN$13,$MM43,0),INDEX($W$2:$W$11,$NH43))=0,1,0)))</f>
        <v/>
      </c>
      <c r="NW43" s="155">
        <f>IF(OR($NM43=0,$NI43=""),0,IF(COUNTIF(INDEX($EJ$2:$EN$13,$MM43,0),$NI43)=0,1,0))</f>
        <v/>
      </c>
      <c r="NX43" s="155">
        <f>IF(OR($NN43=0,$NJ43=""),0,IF(COUNTIF(INDEX($EJ$2:$EN$13,$MM43,0),$NJ43)=0,1,0))</f>
        <v/>
      </c>
      <c r="NY43" s="155">
        <f>IF(OR($NO43=0,$NK43=""),0,IF(COUNTIF(INDEX($EJ$2:$EN$13,$MM43,0),$NK43)=0,1,0))</f>
        <v/>
      </c>
      <c r="NZ43" s="155">
        <f>IF(OR($NP43=0,$NL43=""),0,IF(COUNTIF(INDEX($EJ$2:$EN$13,$MM43,0),$NL43)=0,1,0))</f>
        <v/>
      </c>
      <c r="OA43" s="155">
        <f>IFERROR(VLOOKUP($MV43,$AV$2:$BA$84,4,FALSE),0)+IFERROR(VLOOKUP($MW43,$AV$2:$BA$84,4,FALSE),0)+IFERROR(VLOOKUP($MX43,$AV$2:$BA$84,4,FALSE),0)+IFERROR(VLOOKUP($MY43,$AV$2:$BA$84,4,FALSE),0)</f>
        <v/>
      </c>
      <c r="OB43" s="155">
        <f>IFERROR(VLOOKUP($MV43,$AV$2:$BA$84,6,FALSE),0)+IFERROR(VLOOKUP($MW43,$AV$2:$BA$84,6,FALSE),0)+IFERROR(VLOOKUP($MX43,$AV$2:$BA$84,6,FALSE),0)+IFERROR(VLOOKUP($MY43,$AV$2:$BA$84,6,FALSE),0)</f>
        <v/>
      </c>
      <c r="OC43" s="155">
        <f>TEXTJOIN(", ",TRUE,IF(IFERROR(VLOOKUP($MV43,$AV$2:$BA$84,5,FALSE),0)=1,$MV43,""),IF(IFERROR(VLOOKUP($MW43,$AV$2:$BA$84,5,FALSE),0)=1,$MW43,""),IF(IFERROR(VLOOKUP($MX43,$AV$2:$BA$84,5,FALSE),0)=1,$MX43,""),IF(IFERROR(VLOOKUP($MY43,$AV$2:$BA$84,5,FALSE),0)=1,$MY43,""))</f>
        <v/>
      </c>
      <c r="OD43" s="155">
        <f>IF($NH43=0,0,INDEX($Y$2:$Y$11,$NH43))</f>
        <v/>
      </c>
      <c r="OE43" s="155">
        <f>IF($NH43=0,0,INDEX($Z$2:$Z$11,$NH43))</f>
        <v/>
      </c>
      <c r="OF43" s="155">
        <f>IF($NH43=0,0,INDEX($AB$2:$AB$11,$NH43))</f>
        <v/>
      </c>
      <c r="OG43" s="155">
        <f>IFERROR(VLOOKUP($MZ43,$BC$2:$BG$24,3,FALSE),0)</f>
        <v/>
      </c>
      <c r="OH43" s="155">
        <f>IFERROR(VLOOKUP($NA43,$BC$2:$BG$24,3,FALSE),0)</f>
        <v/>
      </c>
      <c r="OI43" s="155">
        <f>IFERROR(VLOOKUP($MZ43,$BC$2:$BG$24,2,FALSE),"")</f>
        <v/>
      </c>
      <c r="OJ43" s="155">
        <f>IFERROR(VLOOKUP($NA43,$BC$2:$BG$24,2,FALSE),"")</f>
        <v/>
      </c>
      <c r="OK43" s="155">
        <f>COUNTIF($NQ43:$NU43,1)</f>
        <v/>
      </c>
      <c r="OL43" s="155">
        <f>COUNTIF($NQ43:$NU43,2)</f>
        <v/>
      </c>
      <c r="OM43" s="155">
        <f>COUNTIF($NQ43:$NU43,3)</f>
        <v/>
      </c>
      <c r="ON43" s="155">
        <f>COUNTIF($NQ43:$NU43,4)</f>
        <v/>
      </c>
      <c r="OO43" s="155">
        <f>COUNTIF($NQ43:$NU43,5)</f>
        <v/>
      </c>
      <c r="OP43" s="155">
        <f>COUNTIF($NQ43:$NU43,6)</f>
        <v/>
      </c>
      <c r="OQ43" s="155">
        <f>COUNTIF($OG43:$OH43,1)</f>
        <v/>
      </c>
      <c r="OR43" s="155">
        <f>COUNTIF($OG43:$OH43,2)+$OD43</f>
        <v/>
      </c>
      <c r="OS43" s="155">
        <f>COUNTIF($MV43:$MY43,"?*")</f>
        <v/>
      </c>
      <c r="OT43" s="155">
        <f>COUNTIF($MZ43:$NA43,"?*")+$OD43</f>
        <v/>
      </c>
      <c r="OU43" s="155">
        <f>IF($MQ43=0,0,SUMPRODUCT($OK43:$OP43,INDEX($I$2:$N$8,MAX(1,$MQ43),0)))</f>
        <v/>
      </c>
      <c r="OV43" s="155">
        <f>IF($MQ43=0,0,$OQ43*CEILING($MQ43/2,1)+$OR43*$MQ43)</f>
        <v/>
      </c>
      <c r="OW43" s="155">
        <f>MIN(2*$MQ43,$OV43)</f>
        <v/>
      </c>
      <c r="OX43" s="155">
        <f>MIN($OW43,$OU43)</f>
        <v/>
      </c>
      <c r="OY43" s="155">
        <f>$OW43-$OX43</f>
        <v/>
      </c>
      <c r="OZ43" s="155">
        <f>IF($MQ43=0,0,INDEX($P$2:$P$8,MAX(1,$MQ43)))</f>
        <v/>
      </c>
      <c r="PA43" s="155">
        <f>$OZ43-$OU43+$OX43</f>
        <v/>
      </c>
      <c r="PB43" s="155">
        <f>IF($MQ43=0,MAX(0,$NE43-IF($OS43&gt;0,1,0)),MAX(0,$PA43))</f>
        <v/>
      </c>
      <c r="PC43" s="155">
        <f>IF($MQ43=0,0,(IF(COUNTIF($MV43:$MY43,"Salto")&gt;0,1,0)+IF(COUNTIF($MV43:$MY43,"Queima")&gt;0,1,0)+IF(COUNTIF($MV43:$MY43,"Estilhaço")&gt;0,1,0))*FLOOR($PB43/2,1))</f>
        <v/>
      </c>
      <c r="PD43" s="155">
        <f>MAX(0,2-SUMPRODUCT($OK43:$OP43,$I$2:$N$2)+MIN(2,$OQ43*1+$OR43*1,SUMPRODUCT($OK43:$OP43,$I$2:$N$2)))</f>
        <v/>
      </c>
      <c r="PE43" s="155">
        <f>MAX(0,4-SUMPRODUCT($OK43:$OP43,$I$3:$N$3)+MIN(4,$OQ43*1+$OR43*2,SUMPRODUCT($OK43:$OP43,$I$3:$N$3)))</f>
        <v/>
      </c>
      <c r="PF43" s="155">
        <f>MAX(0,6-SUMPRODUCT($OK43:$OP43,$I$4:$N$4)+MIN(6,$OQ43*2+$OR43*3,SUMPRODUCT($OK43:$OP43,$I$4:$N$4)))</f>
        <v/>
      </c>
      <c r="PG43" s="155">
        <f>MAX(0,9-SUMPRODUCT($OK43:$OP43,$I$5:$N$5)+MIN(8,$OQ43*2+$OR43*4,SUMPRODUCT($OK43:$OP43,$I$5:$N$5)))</f>
        <v/>
      </c>
      <c r="PH43" s="155">
        <f>MAX(0,11-SUMPRODUCT($OK43:$OP43,$I$6:$N$6)+MIN(10,$OQ43*3+$OR43*5,SUMPRODUCT($OK43:$OP43,$I$6:$N$6)))</f>
        <v/>
      </c>
      <c r="PI43" s="155">
        <f>MAX(0,13-SUMPRODUCT($OK43:$OP43,$I$7:$N$7)+MIN(12,$OQ43*3+$OR43*6,SUMPRODUCT($OK43:$OP43,$I$7:$N$7)))</f>
        <v/>
      </c>
      <c r="PJ43" s="155">
        <f>MAX(0,16-SUMPRODUCT($OK43:$OP43,$I$8:$N$8)+MIN(14,$OQ43*4+$OR43*7,SUMPRODUCT($OK43:$OP43,$I$8:$N$8)))</f>
        <v/>
      </c>
      <c r="PK43" s="155">
        <f>IF($OE43=2,3*$PD43&amp;" de vida temp.",IF($OE43=3,"sem dano",IF($PD43=0,IF($OE43=1,"sem cura","sem dano"),IF($OE43=1,"cura ","")&amp;$PD43&amp;"d8")))</f>
        <v/>
      </c>
      <c r="PL43" s="155">
        <f>IF($OE43=2,3*$PE43&amp;" de vida temp.",IF($OE43=3,"sem dano",IF($PE43=0,IF($OE43=1,"sem cura","sem dano"),IF($OE43=1,"cura ","")&amp;$PE43&amp;"d8")))</f>
        <v/>
      </c>
      <c r="PM43" s="155">
        <f>IF($OE43=2,3*$PF43&amp;" de vida temp.",IF($OE43=3,"sem dano",IF($PF43=0,IF($OE43=1,"sem cura","sem dano"),IF($OE43=1,"cura ","")&amp;$PF43&amp;"d8")))</f>
        <v/>
      </c>
      <c r="PN43" s="155">
        <f>IF($OE43=2,3*$PG43&amp;" de vida temp.",IF($OE43=3,"sem dano",IF($PG43=0,IF($OE43=1,"sem cura","sem dano"),IF($OE43=1,"cura ","")&amp;$PG43&amp;"d8")))</f>
        <v/>
      </c>
      <c r="PO43" s="155">
        <f>IF($OE43=2,3*$PH43&amp;" de vida temp.",IF($OE43=3,"sem dano",IF($PH43=0,IF($OE43=1,"sem cura","sem dano"),IF($OE43=1,"cura ","")&amp;$PH43&amp;"d8")))</f>
        <v/>
      </c>
      <c r="PP43" s="155">
        <f>IF($OE43=2,3*$PI43&amp;" de vida temp.",IF($OE43=3,"sem dano",IF($PI43=0,IF($OE43=1,"sem cura","sem dano"),IF($OE43=1,"cura ","")&amp;$PI43&amp;"d8")))</f>
        <v/>
      </c>
      <c r="PQ43" s="155">
        <f>IF($OE43=2,3*$PJ43&amp;" de vida temp.",IF($OE43=3,"sem dano",IF($PJ43=0,IF($OE43=1,"sem cura","sem dano"),IF($OE43=1,"cura ","")&amp;$PJ43&amp;"d8")))</f>
        <v/>
      </c>
      <c r="PR43" s="155">
        <f>IF($NB43=0,"",TEXTJOIN(" · ",TRUE,IF($MO43&gt;$NC43,"Este lugar abre no nível "&amp;$MO43,""),IF($MQ43&gt;$ND43,"Classe "&amp;$MQ43&amp;": o nível "&amp;$NC43&amp;" libera até a "&amp;$ND43,""),IF($NV43=1,"A Forma "&amp;$MS43&amp;" pede "&amp;INDEX($W$2:$W$11,$NH43)&amp;" aberta",""),IF(AND($MQ43=0,$NH43&gt;0,IF($NH43=0,0,INDEX($AF$2:$AF$11,$NH43))=0),$MS43&amp;" não existe na Classe 0",""),IF($NW43=1,"Família Fechada: "&amp;$MV43,""),IF($NX43=1,"Família Fechada: "&amp;$MW43,""),IF($NY43=1,"Família Fechada: "&amp;$MX43,""),IF($NZ43=1,"Família Fechada: "&amp;$MY43,""),IF(AND($MQ43&gt;0,$OS43&gt;INDEX($O$2:$O$8,MAX(1,$MQ43))),$OS43&amp;" Melhorias: a Classe "&amp;$MQ43&amp;" aceita "&amp;INDEX($O$2:$O$8,MAX(1,$MQ43)),""),IF(AND($MQ43=0,$OS43&gt;1),"A básica aceita uma Melhoria",""),IF(AND($MQ43=0,COUNTIF($NM43:$NP43,"&gt;1")&gt;0),"A básica só aceita Melhoria Leve",""),IF(AND($MQ43&gt;0,$OT43&gt;2),$OT43&amp;" Restrições"&amp;IF($OD43=1,", contando a que a Forma "&amp;$MS43&amp;" já traz","")&amp;": o limite é 2",""),IF(AND($MQ43=0,COUNTIF($MZ43:$NA43,"?*")&gt;1),"A básica aceita uma Restrição Leve",""),IF(AND($MQ43=0,COUNTIF($OG43:$OH43,2)&gt;0),"A básica só aceita Restrição Leve",""),IF(AND($MQ43&gt;0,$PA43&lt;0),"Orçamento estourado: faltam "&amp;(-$PA43)&amp;IF($PA43&lt;-1," pontos"," ponto"),""),IF(IFERROR(VLOOKUP($MZ43,$BC$2:$BG$24,4,FALSE),0)+IFERROR(VLOOKUP($NA43,$BC$2:$BG$24,4,FALSE),0)&gt;1,$OI43&amp;" e "&amp;$OJ43&amp;" são as duas de frequência",""),IF(AND((COUNTIF($MV43:$MY43,"Rápido")+COUNTIF($OI43:$OJ43,"Rápido"))&gt;0,(COUNTIF($MV43:$MY43,"Atrasar")+COUNTIF($OI43:$OJ43,"Atrasar"))&gt;0),"Rápido não entra com Atrasar",""),IF(AND((COUNTIF($MV43:$MY43,"Reação")+COUNTIF($OI43:$OJ43,"Reação"))&gt;0,(COUNTIF($MV43:$MY43,"Rápido")+COUNTIF($OI43:$OJ43,"Rápido"))&gt;0),"Reação não entra com Rápido",""),IF(AND((COUNTIF($MV43:$MY43,"Reação")+COUNTIF($OI43:$OJ43,"Reação"))&gt;0,(COUNTIF($MV43:$MY43,"Armado")+COUNTIF($OI43:$OJ43,"Armado"))&gt;0),"Reação não entra com Armado",""),IF(AND((COUNTIF($MV43:$MY43,"Reação")+COUNTIF($OI43:$OJ43,"Reação"))&gt;0,(COUNTIF($MV43:$MY43,"Atrasar")+COUNTIF($OI43:$OJ43,"Atrasar"))&gt;0),"Reação não entra com Atrasar",""),IF(AND((COUNTIF($MV43:$MY43,"Reação")+COUNTIF($OI43:$OJ43,"Reação"))&gt;0,(COUNTIF($MV43:$MY43,"Parado")+COUNTIF($OI43:$OJ43,"Parado"))&gt;0),"Reação não entra com Parado",""),IF(AND((COUNTIF($MV43:$MY43,"Atrasar")+COUNTIF($OI43:$OJ43,"Atrasar"))&gt;0,(COUNTIF($MV43:$MY43,"Parado")+COUNTIF($OI43:$OJ43,"Parado"))&gt;0),"Atrasar não entra com Parado",""),IF(AND((COUNTIF($MV43:$MY43,"Armado")+COUNTIF($OI43:$OJ43,"Armado"))&gt;0,(COUNTIF($MV43:$MY43,"Carregar")+COUNTIF($OI43:$OJ43,"Carregar"))&gt;0),"Armado não entra com Carregar",""),IF(AND(COUNTIF($OI43:$OJ43,"Corpo a Corpo")&gt;0,$OD43=0,OR($MS43="Cone",$MS43="Linha")),"Corpo a Corpo não entra em "&amp;$MS43,""),IF(AND(COUNTIF($OI43:$OJ43,"Corpo a Corpo")&gt;0,$OD43=1),"A Forma "&amp;$MS43&amp;" já traz o Corpo a Corpo",""),IF(AND(COUNTIF($OI43:$OJ43,"Tudo ou Nada")&gt;0,$OF43=0),"Tudo ou Nada só entra em habilidade de Teste de Resistência",""),IF(AND(COUNTIF($MV43:$MY43,"Inescapável")&gt;0,OR($OS43&gt;1,$OT43&gt;0)),"Inescapável não aceita outra peça",""),IF(AND($MQ43&gt;0,$PB43*IF(COUNTIF($MV43:$MY43,"Remate")&gt;0,1.25,1)+$PC43&gt;4*$MQ43),($PB43*IF(COUNTIF($MV43:$MY43,"Remate")&gt;0,1.25,1)+$PC43)&amp;" dados somando repetições"&amp;IF(COUNTIF($MV43:$MY43,"Remate")&gt;0," e o Remate","")&amp;": o teto da Classe "&amp;$MQ43&amp;" é "&amp;4*$MQ43,"")))</f>
        <v/>
      </c>
      <c r="PS43" s="155">
        <f>IF($PR43="",0,(LEN($PR43)-LEN(SUBSTITUTE($PR43," · ","")))/3+1)</f>
        <v/>
      </c>
      <c r="PT43" s="155">
        <f>IF($NB43=0,"",TEXTJOIN(" · ",TRUE,IF($OV43&gt;2*$MQ43,"A devolução parou no teto de "&amp;2*$MQ43,""),IF($OY43&gt;0,"Devolução perdida: "&amp;$OY43&amp;IF($OY43&gt;1," pontos"," ponto")&amp;" sem peça para pagar",""),IF(AND($OA43&gt;0,AND($MQ43&gt;0,$OE43=0),$PB43=0),"Controle sem dano: uma rodada a mais e CD +2",""),IF(AND($OA43&gt;0,AND($MQ43&gt;0,$OE43=0),$PB43&gt;0,$PB43&lt;=$MQ43),"Controle com saldo até a Classe: uma rodada a mais",""),IF(AND($MQ43&gt;0,$OC43&lt;&gt;""),"Efeito de "&amp;$OC43&amp;" pela Classe "&amp;MAX(1,$MQ43-1),"")))</f>
        <v/>
      </c>
      <c r="PU43" s="155">
        <f>IF($PT43="",0,(LEN($PT43)-LEN(SUBSTITUTE($PT43," · ","")))/3+1)</f>
        <v/>
      </c>
      <c r="PV43" s="155">
        <f>IF($NB43=0,IF($OS43+COUNTIF($MZ43:$NA43,"?*")&gt;0,"Dê um nome",""),IF($PS43&gt;0,"⚠ "&amp;$PS43&amp;IF($PS43&gt;1," erros"," erro"),IF($PU43&gt;0,"! "&amp;$PU43&amp;IF($PU43&gt;1," avisos"," aviso"),"Na regra")))</f>
        <v/>
      </c>
      <c r="PW43" s="155">
        <f>IF($NB43=0,"",IF($PS43+$PU43=0,"Dentro das regras que a ficha confere",$PR43&amp;IF(AND($PS43&gt;0,$PU43&gt;0)," · ","")&amp;$PT43))</f>
        <v/>
      </c>
      <c r="PX43" s="155">
        <f>IF($MO43&gt;$NC43,$MP43&amp;" · ABRE NO NÍVEL "&amp;$MO43,$MP43)</f>
        <v/>
      </c>
      <c r="PY43" s="155">
        <f>IF($NB43=0,"",IF($MQ43=0,"Sem PE",3*$MQ43&amp;" PE"))</f>
        <v/>
      </c>
      <c r="PZ43" s="155">
        <f>IF($NB43=0,"",IF($MQ43=0,"A atuação básica dela",IF(COUNTIF($OI43:$OJ43,"Atrasar")&gt;0,"Sua Ação Completa",IF(COUNTIF($MV43:$MY43,"Rápido")&gt;0,"Sua Bônus",IF(COUNTIF($MV43:$MY43,"Reação")&gt;0,"Sua Reação","Sua Padrão")))&amp;" + a básica dela"&amp;IF(COUNTIF($MV43:$MY43,"Reação")&gt;0," e a coletiva","")&amp;IF(COUNTIF($OI43:$OJ43,"Carregar")&gt;0," · em dois turnos","")))</f>
        <v/>
      </c>
      <c r="QA43" s="155">
        <f>IF($MU43&lt;&gt;"",$MU43,IF($NH43=0,"",INDEX($AA$2:$AA$11,$NH43)))</f>
        <v/>
      </c>
      <c r="QB43" s="155">
        <f>IF(OR($NB43=0,$NH43=0),"",IF(COUNTIF($MV43:$MY43,"Inescapável")&gt;0,"Automático",IF($QA43="Ataque",IF($NF43="","Ataque","Ataque "&amp;IF(($NF43+2*IF(COUNTIF($MV43:$MY43,"Precisão")&gt;0,1,0))&gt;=0,"+","−")&amp;ABS(($NF43+2*IF(COUNTIF($MV43:$MY43,"Precisão")&gt;0,1,0))))&amp;IF($OB43&gt;0," · TR"&amp;IF($NG43="",""," CD "&amp;$NG43),""),IF(LEFT($QA43,2)="TR",$QA43&amp;IF($NG43="",""," · CD "&amp;$NG43)&amp;IF(COUNTIF($MV43:$MY43,"Certeiro")&gt;0," · metade",""),"Sem rolagem"))))</f>
        <v/>
      </c>
      <c r="QC43" s="155">
        <f>IF(OR($NB43=0,$NH43=0),"",IF($MQ43=0,IF(OR($OE43&gt;=1,$PB43=0),"Sem dano",$PB43&amp;"d6"&amp;IF($MT43="",""," "&amp;$MT43)),IF(OR($OE43&gt;=1,$PB43=0),UPPER(LEFT(INDEX($PK43:$PQ43,1,MAX(1,$MQ43)),1))&amp;MID(INDEX($PK43:$PQ43,1,MAX(1,$MQ43)),2,99),UPPER(LEFT(INDEX($PK43:$PQ43,1,MAX(1,$MQ43)),1))&amp;MID(INDEX($PK43:$PQ43,1,MAX(1,$MQ43)),2,99)&amp;IF($MT43="",""," "&amp;$MT43)&amp;IF($PC43&gt;0," · +"&amp;$PC43&amp;"d8",""))))</f>
        <v/>
      </c>
      <c r="QD43" s="155">
        <f>COUNTIF($MV43:$MY43,"Longe")+3*COUNTIF($MV43:$MY43,"Muito Longe")</f>
        <v/>
      </c>
      <c r="QE43" s="155">
        <f>COUNTIF($MV43:$MY43,"Maior")+3*COUNTIF($MV43:$MY43,"Muito Maior")</f>
        <v/>
      </c>
      <c r="QF43" s="155">
        <f>IF($NH43=0,0,CHOOSE(1+INDEX($AC$2:$AC$11,$NH43),0,$QD43,$QE43,$QD43+$QE43))</f>
        <v/>
      </c>
      <c r="QG43" s="155">
        <f>IF($NH43=0,0,CHOOSE(1+INDEX($AD$2:$AD$11,$NH43),0,$QD43,$QE43,$QD43+$QE43))</f>
        <v/>
      </c>
      <c r="QH43" s="155">
        <f>IF(OR($NB43=0,$NH43=0),"",INDEX($AI$2:$AN$41,($NH43-1)*4+IF($MQ43=0,1,IF($MQ43&lt;=5,2,IF($MQ43=6,3,4))),1+MIN(5,$QF43))&amp;INDEX($AO$2:$AT$41,($NH43-1)*4+IF($MQ43=0,1,IF($MQ43&lt;=5,2,IF($MQ43=6,3,4))),1+MIN(5,$QG43))&amp;IF(INDEX($AE$2:$AE$11,$NH43)=1,IF(COUNTIF($MV43:$MY43,"Mais Um")&gt;0," · +"&amp;COUNTIF($MV43:$MY43,"Mais Um")&amp;IF(COUNTIF($MV43:$MY43,"Mais Um")&gt;1," alvos"," alvo"),"")&amp;IF(COUNTIF($MV43:$MY43,"Rajada")&gt;0,IF($MQ43=0," · 1 tiro"," · "&amp;(MAX(1,$MQ43-1)+1)&amp;" tiros"),""),""))</f>
        <v/>
      </c>
      <c r="QI43" s="155">
        <f>IF($NB43=0,"",IF($MQ43=0,$NE43&amp;"d6"&amp;IF($OS43&gt;0," − 1 = "&amp;$PB43&amp;"d6"," da básica do nível "&amp;$NC43),$OZ43&amp;" − "&amp;$OU43&amp;" + "&amp;$OX43&amp;" = "&amp;$PA43&amp;" · teto "&amp;4*$MQ43&amp;"d8"&amp;IF($OD43=1," · a Forma devolve "&amp;$MQ43,"")&amp;IF($OY43&gt;0," · perde "&amp;$OY43,"")))</f>
        <v/>
      </c>
      <c r="QJ43" s="155">
        <f>IF($NB43=0,"",IF($MQ43=0,"A básica não amplia: os dados dela sobem com o nível",IF($MQ43&gt;=$ND43,"Já está na maior Classe que o nível liberou",TEXTJOIN(" · ",TRUE,IF(AND(2&gt;$MQ43,2&lt;=$ND43),"2 → "&amp;$PL43&amp;", 6 PE",""),IF(AND(3&gt;$MQ43,3&lt;=$ND43),"3 → "&amp;$PM43&amp;", 9 PE",""),IF(AND(4&gt;$MQ43,4&lt;=$ND43),"4 → "&amp;$PN43&amp;", 12 PE",""),IF(AND(5&gt;$MQ43,5&lt;=$ND43),"5 → "&amp;$PO43&amp;", 15 PE",""),IF(AND(6&gt;$MQ43,6&lt;=$ND43),"6 → "&amp;$PP43&amp;", 18 PE",""),IF(AND(7&gt;$MQ43,7&lt;=$ND43),"7 → "&amp;$PQ43&amp;", 21 PE","")))))</f>
        <v/>
      </c>
      <c r="QK43" s="155">
        <f>IF(OR($NB43=0,$NM43=0),"",IF($MQ43=0,"−1 dado","−"&amp;INDEX($I$2:$N$8,MAX(1,$MQ43),MAX(1,$NR43))&amp;" · "&amp;CHOOSE(MAX(1,$NR43),"Leve","Média","Pesada","Leve · Livre","Média · Livre","Pesada · Livre")))</f>
        <v/>
      </c>
      <c r="QL43" s="155">
        <f>IF(OR($NB43=0,$NN43=0),"",IF($MQ43=0,"−1 dado","−"&amp;INDEX($I$2:$N$8,MAX(1,$MQ43),MAX(1,$NS43))&amp;" · "&amp;CHOOSE(MAX(1,$NS43),"Leve","Média","Pesada","Leve · Livre","Média · Livre","Pesada · Livre")))</f>
        <v/>
      </c>
      <c r="QM43" s="155">
        <f>IF(OR($NB43=0,$NO43=0),"",IF($MQ43=0,"−1 dado","−"&amp;INDEX($I$2:$N$8,MAX(1,$MQ43),MAX(1,$NT43))&amp;" · "&amp;CHOOSE(MAX(1,$NT43),"Leve","Média","Pesada","Leve · Livre","Média · Livre","Pesada · Livre")))</f>
        <v/>
      </c>
      <c r="QN43" s="155">
        <f>IF(OR($NB43=0,$NP43=0),"",IF($MQ43=0,"−1 dado","−"&amp;INDEX($I$2:$N$8,MAX(1,$MQ43),MAX(1,$NU43))&amp;" · "&amp;CHOOSE(MAX(1,$NU43),"Leve","Média","Pesada","Leve · Livre","Média · Livre","Pesada · Livre")))</f>
        <v/>
      </c>
      <c r="QO43" s="155">
        <f>IF(OR($NB43=0,$MZ43=""),"",IF($MQ43=0,"não devolve","+"&amp;IF($OG43=1,CEILING($MQ43/2,1),$MQ43)))</f>
        <v/>
      </c>
      <c r="QP43" s="155">
        <f>IF(OR($NB43=0,$NA43=""),"",IF($MQ43=0,"não devolve","+"&amp;IF($OH43=1,CEILING($MQ43/2,1),$MQ43)))</f>
        <v/>
      </c>
    </row>
    <row r="44">
      <c r="AV44" s="153" t="inlineStr">
        <is>
          <t>Impulso</t>
        </is>
      </c>
      <c r="AW44" s="153" t="inlineStr">
        <is>
          <t>Auxiliares</t>
        </is>
      </c>
      <c r="AX44" s="155" t="n">
        <v>1</v>
      </c>
      <c r="AY44" s="155" t="n">
        <v>0</v>
      </c>
      <c r="AZ44" s="155" t="n">
        <v>0</v>
      </c>
      <c r="BA44" s="155" t="n">
        <v>0</v>
      </c>
      <c r="JR44" s="155">
        <f>IF(OR($AW44="",COUNTIF($EJ$2:$EN$2,$AW44)&gt;0),$AV44,"")</f>
        <v/>
      </c>
      <c r="JS44" s="155">
        <f>IF(AND($AX44=1,OR($AW44="",COUNTIF($EJ$2:$EN$2,$AW44)&gt;0)),$AV44,"")</f>
        <v/>
      </c>
      <c r="JX44" s="155">
        <f>IF(OR($AW44="",COUNTIF($EJ$3:$EN$3,$AW44)&gt;0),$AV44,"")</f>
        <v/>
      </c>
      <c r="JY44" s="155">
        <f>IF(AND($AX44=1,OR($AW44="",COUNTIF($EJ$3:$EN$3,$AW44)&gt;0)),$AV44,"")</f>
        <v/>
      </c>
      <c r="KD44" s="155">
        <f>IF(OR($AW44="",COUNTIF($EJ$4:$EN$4,$AW44)&gt;0),$AV44,"")</f>
        <v/>
      </c>
      <c r="KE44" s="155">
        <f>IF(AND($AX44=1,OR($AW44="",COUNTIF($EJ$4:$EN$4,$AW44)&gt;0)),$AV44,"")</f>
        <v/>
      </c>
      <c r="KJ44" s="155">
        <f>IF(OR($AW44="",COUNTIF($EJ$5:$EN$5,$AW44)&gt;0),$AV44,"")</f>
        <v/>
      </c>
      <c r="KK44" s="155">
        <f>IF(AND($AX44=1,OR($AW44="",COUNTIF($EJ$5:$EN$5,$AW44)&gt;0)),$AV44,"")</f>
        <v/>
      </c>
      <c r="KP44" s="155">
        <f>IF(OR($AW44="",COUNTIF($EJ$6:$EN$6,$AW44)&gt;0),$AV44,"")</f>
        <v/>
      </c>
      <c r="KQ44" s="155">
        <f>IF(AND($AX44=1,OR($AW44="",COUNTIF($EJ$6:$EN$6,$AW44)&gt;0)),$AV44,"")</f>
        <v/>
      </c>
      <c r="KV44" s="155">
        <f>IF(OR($AW44="",COUNTIF($EJ$7:$EN$7,$AW44)&gt;0),$AV44,"")</f>
        <v/>
      </c>
      <c r="KW44" s="155">
        <f>IF(AND($AX44=1,OR($AW44="",COUNTIF($EJ$7:$EN$7,$AW44)&gt;0)),$AV44,"")</f>
        <v/>
      </c>
      <c r="LB44" s="155">
        <f>IF(OR($AW44="",COUNTIF($EJ$8:$EN$8,$AW44)&gt;0),$AV44,"")</f>
        <v/>
      </c>
      <c r="LC44" s="155">
        <f>IF(AND($AX44=1,OR($AW44="",COUNTIF($EJ$8:$EN$8,$AW44)&gt;0)),$AV44,"")</f>
        <v/>
      </c>
      <c r="LH44" s="155">
        <f>IF(OR($AW44="",COUNTIF($EJ$9:$EN$9,$AW44)&gt;0),$AV44,"")</f>
        <v/>
      </c>
      <c r="LI44" s="155">
        <f>IF(AND($AX44=1,OR($AW44="",COUNTIF($EJ$9:$EN$9,$AW44)&gt;0)),$AV44,"")</f>
        <v/>
      </c>
      <c r="LN44" s="155">
        <f>IF(OR($AW44="",COUNTIF($EJ$10:$EN$10,$AW44)&gt;0),$AV44,"")</f>
        <v/>
      </c>
      <c r="LO44" s="155">
        <f>IF(AND($AX44=1,OR($AW44="",COUNTIF($EJ$10:$EN$10,$AW44)&gt;0)),$AV44,"")</f>
        <v/>
      </c>
      <c r="LT44" s="155">
        <f>IF(OR($AW44="",COUNTIF($EJ$11:$EN$11,$AW44)&gt;0),$AV44,"")</f>
        <v/>
      </c>
      <c r="LU44" s="155">
        <f>IF(AND($AX44=1,OR($AW44="",COUNTIF($EJ$11:$EN$11,$AW44)&gt;0)),$AV44,"")</f>
        <v/>
      </c>
      <c r="LZ44" s="155">
        <f>IF(OR($AW44="",COUNTIF($EJ$12:$EN$12,$AW44)&gt;0),$AV44,"")</f>
        <v/>
      </c>
      <c r="MA44" s="155">
        <f>IF(AND($AX44=1,OR($AW44="",COUNTIF($EJ$12:$EN$12,$AW44)&gt;0)),$AV44,"")</f>
        <v/>
      </c>
      <c r="MF44" s="155">
        <f>IF(OR($AW44="",COUNTIF($EJ$13:$EN$13,$AW44)&gt;0),$AV44,"")</f>
        <v/>
      </c>
      <c r="MG44" s="155">
        <f>IF(AND($AX44=1,OR($AW44="",COUNTIF($EJ$13:$EN$13,$AW44)&gt;0)),$AV44,"")</f>
        <v/>
      </c>
      <c r="ML44" s="153" t="inlineStr">
        <is>
          <t>Ficha 4 · Básica 2</t>
        </is>
      </c>
      <c r="MM44" s="155" t="n">
        <v>4</v>
      </c>
      <c r="MN44" s="155" t="n">
        <v>0</v>
      </c>
      <c r="MO44" s="155" t="n">
        <v>11</v>
      </c>
      <c r="MP44" s="153" t="inlineStr">
        <is>
          <t>BÁSICA 2</t>
        </is>
      </c>
      <c r="MQ44" s="155" t="n">
        <v>0</v>
      </c>
      <c r="MR44" s="155">
        <f>'INVOCAÇÕES'!$J$686&amp;""</f>
        <v/>
      </c>
      <c r="MS44" s="155">
        <f>'INVOCAÇÕES'!$I$691&amp;""</f>
        <v/>
      </c>
      <c r="MT44" s="155">
        <f>'INVOCAÇÕES'!$I$692&amp;""</f>
        <v/>
      </c>
      <c r="MU44" s="155">
        <f>'INVOCAÇÕES'!$K$692&amp;""</f>
        <v/>
      </c>
      <c r="MV44" s="155">
        <f>'INVOCAÇÕES'!$J$695&amp;""</f>
        <v/>
      </c>
      <c r="MW44" s="155">
        <f>'INVOCAÇÕES'!$J$696&amp;""</f>
        <v/>
      </c>
      <c r="MX44" s="155">
        <f>'INVOCAÇÕES'!$J$697&amp;""</f>
        <v/>
      </c>
      <c r="MY44" s="155">
        <f>'INVOCAÇÕES'!$J$698&amp;""</f>
        <v/>
      </c>
      <c r="MZ44" s="155">
        <f>'INVOCAÇÕES'!$J$699&amp;""</f>
        <v/>
      </c>
      <c r="NA44" s="155">
        <f>'INVOCAÇÕES'!$J$700&amp;""</f>
        <v/>
      </c>
      <c r="NB44" s="155">
        <f>IF($MR44&lt;&gt;"",1,0)</f>
        <v/>
      </c>
      <c r="NC44" s="155">
        <f>INDEX($FM$2:$FM$13,$MM44)</f>
        <v/>
      </c>
      <c r="ND44" s="155">
        <f>INDEX($FN$2:$FN$13,$MM44)</f>
        <v/>
      </c>
      <c r="NE44" s="155">
        <f>INDEX($FO$2:$FO$13,$MM44)</f>
        <v/>
      </c>
      <c r="NF44" s="155">
        <f>INDEX($FZ$2:$FZ$13,$MM44)</f>
        <v/>
      </c>
      <c r="NG44" s="155">
        <f>INDEX($GA$2:$GA$13,$MM44)</f>
        <v/>
      </c>
      <c r="NH44" s="155">
        <f>IFERROR(MATCH($MS44,$V$2:$V$11,0),0)</f>
        <v/>
      </c>
      <c r="NI44" s="155">
        <f>IFERROR(VLOOKUP($MV44,$AV$2:$BA$84,2,FALSE),"")</f>
        <v/>
      </c>
      <c r="NJ44" s="155">
        <f>IFERROR(VLOOKUP($MW44,$AV$2:$BA$84,2,FALSE),"")</f>
        <v/>
      </c>
      <c r="NK44" s="155">
        <f>IFERROR(VLOOKUP($MX44,$AV$2:$BA$84,2,FALSE),"")</f>
        <v/>
      </c>
      <c r="NL44" s="155">
        <f>IFERROR(VLOOKUP($MY44,$AV$2:$BA$84,2,FALSE),"")</f>
        <v/>
      </c>
      <c r="NM44" s="155">
        <f>IFERROR(VLOOKUP($MV44,$AV$2:$BA$84,3,FALSE),0)</f>
        <v/>
      </c>
      <c r="NN44" s="155">
        <f>IFERROR(VLOOKUP($MW44,$AV$2:$BA$84,3,FALSE),0)</f>
        <v/>
      </c>
      <c r="NO44" s="155">
        <f>IFERROR(VLOOKUP($MX44,$AV$2:$BA$84,3,FALSE),0)</f>
        <v/>
      </c>
      <c r="NP44" s="155">
        <f>IFERROR(VLOOKUP($MY44,$AV$2:$BA$84,3,FALSE),0)</f>
        <v/>
      </c>
      <c r="NQ44" s="155">
        <f>IF($MQ44=0,0,IF($NH44=0,0,INDEX($X$2:$X$11,$NH44)))</f>
        <v/>
      </c>
      <c r="NR44" s="155">
        <f>IF(OR($NM44=0,$MQ44=0),0,$NM44+3*IF(AND($NI44&lt;&gt;"",OR($NI44=INDEX($EJ$2:$EJ$13,$MM44),$NI44=INDEX($EK$2:$EK$13,$MM44))),1,0))</f>
        <v/>
      </c>
      <c r="NS44" s="155">
        <f>IF(OR($NN44=0,$MQ44=0),0,$NN44+3*IF(AND($NJ44&lt;&gt;"",OR($NJ44=INDEX($EJ$2:$EJ$13,$MM44),$NJ44=INDEX($EK$2:$EK$13,$MM44))),1,0))</f>
        <v/>
      </c>
      <c r="NT44" s="155">
        <f>IF(OR($NO44=0,$MQ44=0),0,$NO44+3*IF(AND($NK44&lt;&gt;"",OR($NK44=INDEX($EJ$2:$EJ$13,$MM44),$NK44=INDEX($EK$2:$EK$13,$MM44))),1,0))</f>
        <v/>
      </c>
      <c r="NU44" s="155">
        <f>IF(OR($NP44=0,$MQ44=0),0,$NP44+3*IF(AND($NL44&lt;&gt;"",OR($NL44=INDEX($EJ$2:$EJ$13,$MM44),$NL44=INDEX($EK$2:$EK$13,$MM44))),1,0))</f>
        <v/>
      </c>
      <c r="NV44" s="155">
        <f>IF($NH44=0,0,IF(INDEX($W$2:$W$11,$NH44)="",0,IF(COUNTIF(INDEX($EJ$2:$EN$13,$MM44,0),INDEX($W$2:$W$11,$NH44))=0,1,0)))</f>
        <v/>
      </c>
      <c r="NW44" s="155">
        <f>IF(OR($NM44=0,$NI44=""),0,IF(COUNTIF(INDEX($EJ$2:$EN$13,$MM44,0),$NI44)=0,1,0))</f>
        <v/>
      </c>
      <c r="NX44" s="155">
        <f>IF(OR($NN44=0,$NJ44=""),0,IF(COUNTIF(INDEX($EJ$2:$EN$13,$MM44,0),$NJ44)=0,1,0))</f>
        <v/>
      </c>
      <c r="NY44" s="155">
        <f>IF(OR($NO44=0,$NK44=""),0,IF(COUNTIF(INDEX($EJ$2:$EN$13,$MM44,0),$NK44)=0,1,0))</f>
        <v/>
      </c>
      <c r="NZ44" s="155">
        <f>IF(OR($NP44=0,$NL44=""),0,IF(COUNTIF(INDEX($EJ$2:$EN$13,$MM44,0),$NL44)=0,1,0))</f>
        <v/>
      </c>
      <c r="OA44" s="155">
        <f>IFERROR(VLOOKUP($MV44,$AV$2:$BA$84,4,FALSE),0)+IFERROR(VLOOKUP($MW44,$AV$2:$BA$84,4,FALSE),0)+IFERROR(VLOOKUP($MX44,$AV$2:$BA$84,4,FALSE),0)+IFERROR(VLOOKUP($MY44,$AV$2:$BA$84,4,FALSE),0)</f>
        <v/>
      </c>
      <c r="OB44" s="155">
        <f>IFERROR(VLOOKUP($MV44,$AV$2:$BA$84,6,FALSE),0)+IFERROR(VLOOKUP($MW44,$AV$2:$BA$84,6,FALSE),0)+IFERROR(VLOOKUP($MX44,$AV$2:$BA$84,6,FALSE),0)+IFERROR(VLOOKUP($MY44,$AV$2:$BA$84,6,FALSE),0)</f>
        <v/>
      </c>
      <c r="OC44" s="155">
        <f>TEXTJOIN(", ",TRUE,IF(IFERROR(VLOOKUP($MV44,$AV$2:$BA$84,5,FALSE),0)=1,$MV44,""),IF(IFERROR(VLOOKUP($MW44,$AV$2:$BA$84,5,FALSE),0)=1,$MW44,""),IF(IFERROR(VLOOKUP($MX44,$AV$2:$BA$84,5,FALSE),0)=1,$MX44,""),IF(IFERROR(VLOOKUP($MY44,$AV$2:$BA$84,5,FALSE),0)=1,$MY44,""))</f>
        <v/>
      </c>
      <c r="OD44" s="155">
        <f>IF($NH44=0,0,INDEX($Y$2:$Y$11,$NH44))</f>
        <v/>
      </c>
      <c r="OE44" s="155">
        <f>IF($NH44=0,0,INDEX($Z$2:$Z$11,$NH44))</f>
        <v/>
      </c>
      <c r="OF44" s="155">
        <f>IF($NH44=0,0,INDEX($AB$2:$AB$11,$NH44))</f>
        <v/>
      </c>
      <c r="OG44" s="155">
        <f>IFERROR(VLOOKUP($MZ44,$BC$2:$BG$24,3,FALSE),0)</f>
        <v/>
      </c>
      <c r="OH44" s="155">
        <f>IFERROR(VLOOKUP($NA44,$BC$2:$BG$24,3,FALSE),0)</f>
        <v/>
      </c>
      <c r="OI44" s="155">
        <f>IFERROR(VLOOKUP($MZ44,$BC$2:$BG$24,2,FALSE),"")</f>
        <v/>
      </c>
      <c r="OJ44" s="155">
        <f>IFERROR(VLOOKUP($NA44,$BC$2:$BG$24,2,FALSE),"")</f>
        <v/>
      </c>
      <c r="OK44" s="155">
        <f>COUNTIF($NQ44:$NU44,1)</f>
        <v/>
      </c>
      <c r="OL44" s="155">
        <f>COUNTIF($NQ44:$NU44,2)</f>
        <v/>
      </c>
      <c r="OM44" s="155">
        <f>COUNTIF($NQ44:$NU44,3)</f>
        <v/>
      </c>
      <c r="ON44" s="155">
        <f>COUNTIF($NQ44:$NU44,4)</f>
        <v/>
      </c>
      <c r="OO44" s="155">
        <f>COUNTIF($NQ44:$NU44,5)</f>
        <v/>
      </c>
      <c r="OP44" s="155">
        <f>COUNTIF($NQ44:$NU44,6)</f>
        <v/>
      </c>
      <c r="OQ44" s="155">
        <f>COUNTIF($OG44:$OH44,1)</f>
        <v/>
      </c>
      <c r="OR44" s="155">
        <f>COUNTIF($OG44:$OH44,2)+$OD44</f>
        <v/>
      </c>
      <c r="OS44" s="155">
        <f>COUNTIF($MV44:$MY44,"?*")</f>
        <v/>
      </c>
      <c r="OT44" s="155">
        <f>COUNTIF($MZ44:$NA44,"?*")+$OD44</f>
        <v/>
      </c>
      <c r="OU44" s="155">
        <f>IF($MQ44=0,0,SUMPRODUCT($OK44:$OP44,INDEX($I$2:$N$8,MAX(1,$MQ44),0)))</f>
        <v/>
      </c>
      <c r="OV44" s="155">
        <f>IF($MQ44=0,0,$OQ44*CEILING($MQ44/2,1)+$OR44*$MQ44)</f>
        <v/>
      </c>
      <c r="OW44" s="155">
        <f>MIN(2*$MQ44,$OV44)</f>
        <v/>
      </c>
      <c r="OX44" s="155">
        <f>MIN($OW44,$OU44)</f>
        <v/>
      </c>
      <c r="OY44" s="155">
        <f>$OW44-$OX44</f>
        <v/>
      </c>
      <c r="OZ44" s="155">
        <f>IF($MQ44=0,0,INDEX($P$2:$P$8,MAX(1,$MQ44)))</f>
        <v/>
      </c>
      <c r="PA44" s="155">
        <f>$OZ44-$OU44+$OX44</f>
        <v/>
      </c>
      <c r="PB44" s="155">
        <f>IF($MQ44=0,MAX(0,$NE44-IF($OS44&gt;0,1,0)),MAX(0,$PA44))</f>
        <v/>
      </c>
      <c r="PC44" s="155">
        <f>IF($MQ44=0,0,(IF(COUNTIF($MV44:$MY44,"Salto")&gt;0,1,0)+IF(COUNTIF($MV44:$MY44,"Queima")&gt;0,1,0)+IF(COUNTIF($MV44:$MY44,"Estilhaço")&gt;0,1,0))*FLOOR($PB44/2,1))</f>
        <v/>
      </c>
      <c r="PD44" s="155">
        <f>MAX(0,2-SUMPRODUCT($OK44:$OP44,$I$2:$N$2)+MIN(2,$OQ44*1+$OR44*1,SUMPRODUCT($OK44:$OP44,$I$2:$N$2)))</f>
        <v/>
      </c>
      <c r="PE44" s="155">
        <f>MAX(0,4-SUMPRODUCT($OK44:$OP44,$I$3:$N$3)+MIN(4,$OQ44*1+$OR44*2,SUMPRODUCT($OK44:$OP44,$I$3:$N$3)))</f>
        <v/>
      </c>
      <c r="PF44" s="155">
        <f>MAX(0,6-SUMPRODUCT($OK44:$OP44,$I$4:$N$4)+MIN(6,$OQ44*2+$OR44*3,SUMPRODUCT($OK44:$OP44,$I$4:$N$4)))</f>
        <v/>
      </c>
      <c r="PG44" s="155">
        <f>MAX(0,9-SUMPRODUCT($OK44:$OP44,$I$5:$N$5)+MIN(8,$OQ44*2+$OR44*4,SUMPRODUCT($OK44:$OP44,$I$5:$N$5)))</f>
        <v/>
      </c>
      <c r="PH44" s="155">
        <f>MAX(0,11-SUMPRODUCT($OK44:$OP44,$I$6:$N$6)+MIN(10,$OQ44*3+$OR44*5,SUMPRODUCT($OK44:$OP44,$I$6:$N$6)))</f>
        <v/>
      </c>
      <c r="PI44" s="155">
        <f>MAX(0,13-SUMPRODUCT($OK44:$OP44,$I$7:$N$7)+MIN(12,$OQ44*3+$OR44*6,SUMPRODUCT($OK44:$OP44,$I$7:$N$7)))</f>
        <v/>
      </c>
      <c r="PJ44" s="155">
        <f>MAX(0,16-SUMPRODUCT($OK44:$OP44,$I$8:$N$8)+MIN(14,$OQ44*4+$OR44*7,SUMPRODUCT($OK44:$OP44,$I$8:$N$8)))</f>
        <v/>
      </c>
      <c r="PK44" s="155">
        <f>IF($OE44=2,3*$PD44&amp;" de vida temp.",IF($OE44=3,"sem dano",IF($PD44=0,IF($OE44=1,"sem cura","sem dano"),IF($OE44=1,"cura ","")&amp;$PD44&amp;"d8")))</f>
        <v/>
      </c>
      <c r="PL44" s="155">
        <f>IF($OE44=2,3*$PE44&amp;" de vida temp.",IF($OE44=3,"sem dano",IF($PE44=0,IF($OE44=1,"sem cura","sem dano"),IF($OE44=1,"cura ","")&amp;$PE44&amp;"d8")))</f>
        <v/>
      </c>
      <c r="PM44" s="155">
        <f>IF($OE44=2,3*$PF44&amp;" de vida temp.",IF($OE44=3,"sem dano",IF($PF44=0,IF($OE44=1,"sem cura","sem dano"),IF($OE44=1,"cura ","")&amp;$PF44&amp;"d8")))</f>
        <v/>
      </c>
      <c r="PN44" s="155">
        <f>IF($OE44=2,3*$PG44&amp;" de vida temp.",IF($OE44=3,"sem dano",IF($PG44=0,IF($OE44=1,"sem cura","sem dano"),IF($OE44=1,"cura ","")&amp;$PG44&amp;"d8")))</f>
        <v/>
      </c>
      <c r="PO44" s="155">
        <f>IF($OE44=2,3*$PH44&amp;" de vida temp.",IF($OE44=3,"sem dano",IF($PH44=0,IF($OE44=1,"sem cura","sem dano"),IF($OE44=1,"cura ","")&amp;$PH44&amp;"d8")))</f>
        <v/>
      </c>
      <c r="PP44" s="155">
        <f>IF($OE44=2,3*$PI44&amp;" de vida temp.",IF($OE44=3,"sem dano",IF($PI44=0,IF($OE44=1,"sem cura","sem dano"),IF($OE44=1,"cura ","")&amp;$PI44&amp;"d8")))</f>
        <v/>
      </c>
      <c r="PQ44" s="155">
        <f>IF($OE44=2,3*$PJ44&amp;" de vida temp.",IF($OE44=3,"sem dano",IF($PJ44=0,IF($OE44=1,"sem cura","sem dano"),IF($OE44=1,"cura ","")&amp;$PJ44&amp;"d8")))</f>
        <v/>
      </c>
      <c r="PR44" s="155">
        <f>IF($NB44=0,"",TEXTJOIN(" · ",TRUE,IF($MO44&gt;$NC44,"Este lugar abre no nível "&amp;$MO44,""),IF($MQ44&gt;$ND44,"Classe "&amp;$MQ44&amp;": o nível "&amp;$NC44&amp;" libera até a "&amp;$ND44,""),IF($NV44=1,"A Forma "&amp;$MS44&amp;" pede "&amp;INDEX($W$2:$W$11,$NH44)&amp;" aberta",""),IF(AND($MQ44=0,$NH44&gt;0,IF($NH44=0,0,INDEX($AF$2:$AF$11,$NH44))=0),$MS44&amp;" não existe na Classe 0",""),IF($NW44=1,"Família Fechada: "&amp;$MV44,""),IF($NX44=1,"Família Fechada: "&amp;$MW44,""),IF($NY44=1,"Família Fechada: "&amp;$MX44,""),IF($NZ44=1,"Família Fechada: "&amp;$MY44,""),IF(AND($MQ44&gt;0,$OS44&gt;INDEX($O$2:$O$8,MAX(1,$MQ44))),$OS44&amp;" Melhorias: a Classe "&amp;$MQ44&amp;" aceita "&amp;INDEX($O$2:$O$8,MAX(1,$MQ44)),""),IF(AND($MQ44=0,$OS44&gt;1),"A básica aceita uma Melhoria",""),IF(AND($MQ44=0,COUNTIF($NM44:$NP44,"&gt;1")&gt;0),"A básica só aceita Melhoria Leve",""),IF(AND($MQ44&gt;0,$OT44&gt;2),$OT44&amp;" Restrições"&amp;IF($OD44=1,", contando a que a Forma "&amp;$MS44&amp;" já traz","")&amp;": o limite é 2",""),IF(AND($MQ44=0,COUNTIF($MZ44:$NA44,"?*")&gt;1),"A básica aceita uma Restrição Leve",""),IF(AND($MQ44=0,COUNTIF($OG44:$OH44,2)&gt;0),"A básica só aceita Restrição Leve",""),IF(AND($MQ44&gt;0,$PA44&lt;0),"Orçamento estourado: faltam "&amp;(-$PA44)&amp;IF($PA44&lt;-1," pontos"," ponto"),""),IF(IFERROR(VLOOKUP($MZ44,$BC$2:$BG$24,4,FALSE),0)+IFERROR(VLOOKUP($NA44,$BC$2:$BG$24,4,FALSE),0)&gt;1,$OI44&amp;" e "&amp;$OJ44&amp;" são as duas de frequência",""),IF(AND((COUNTIF($MV44:$MY44,"Rápido")+COUNTIF($OI44:$OJ44,"Rápido"))&gt;0,(COUNTIF($MV44:$MY44,"Atrasar")+COUNTIF($OI44:$OJ44,"Atrasar"))&gt;0),"Rápido não entra com Atrasar",""),IF(AND((COUNTIF($MV44:$MY44,"Reação")+COUNTIF($OI44:$OJ44,"Reação"))&gt;0,(COUNTIF($MV44:$MY44,"Rápido")+COUNTIF($OI44:$OJ44,"Rápido"))&gt;0),"Reação não entra com Rápido",""),IF(AND((COUNTIF($MV44:$MY44,"Reação")+COUNTIF($OI44:$OJ44,"Reação"))&gt;0,(COUNTIF($MV44:$MY44,"Armado")+COUNTIF($OI44:$OJ44,"Armado"))&gt;0),"Reação não entra com Armado",""),IF(AND((COUNTIF($MV44:$MY44,"Reação")+COUNTIF($OI44:$OJ44,"Reação"))&gt;0,(COUNTIF($MV44:$MY44,"Atrasar")+COUNTIF($OI44:$OJ44,"Atrasar"))&gt;0),"Reação não entra com Atrasar",""),IF(AND((COUNTIF($MV44:$MY44,"Reação")+COUNTIF($OI44:$OJ44,"Reação"))&gt;0,(COUNTIF($MV44:$MY44,"Parado")+COUNTIF($OI44:$OJ44,"Parado"))&gt;0),"Reação não entra com Parado",""),IF(AND((COUNTIF($MV44:$MY44,"Atrasar")+COUNTIF($OI44:$OJ44,"Atrasar"))&gt;0,(COUNTIF($MV44:$MY44,"Parado")+COUNTIF($OI44:$OJ44,"Parado"))&gt;0),"Atrasar não entra com Parado",""),IF(AND((COUNTIF($MV44:$MY44,"Armado")+COUNTIF($OI44:$OJ44,"Armado"))&gt;0,(COUNTIF($MV44:$MY44,"Carregar")+COUNTIF($OI44:$OJ44,"Carregar"))&gt;0),"Armado não entra com Carregar",""),IF(AND(COUNTIF($OI44:$OJ44,"Corpo a Corpo")&gt;0,$OD44=0,OR($MS44="Cone",$MS44="Linha")),"Corpo a Corpo não entra em "&amp;$MS44,""),IF(AND(COUNTIF($OI44:$OJ44,"Corpo a Corpo")&gt;0,$OD44=1),"A Forma "&amp;$MS44&amp;" já traz o Corpo a Corpo",""),IF(AND(COUNTIF($OI44:$OJ44,"Tudo ou Nada")&gt;0,$OF44=0),"Tudo ou Nada só entra em habilidade de Teste de Resistência",""),IF(AND(COUNTIF($MV44:$MY44,"Inescapável")&gt;0,OR($OS44&gt;1,$OT44&gt;0)),"Inescapável não aceita outra peça",""),IF(AND($MQ44&gt;0,$PB44*IF(COUNTIF($MV44:$MY44,"Remate")&gt;0,1.25,1)+$PC44&gt;4*$MQ44),($PB44*IF(COUNTIF($MV44:$MY44,"Remate")&gt;0,1.25,1)+$PC44)&amp;" dados somando repetições"&amp;IF(COUNTIF($MV44:$MY44,"Remate")&gt;0," e o Remate","")&amp;": o teto da Classe "&amp;$MQ44&amp;" é "&amp;4*$MQ44,"")))</f>
        <v/>
      </c>
      <c r="PS44" s="155">
        <f>IF($PR44="",0,(LEN($PR44)-LEN(SUBSTITUTE($PR44," · ","")))/3+1)</f>
        <v/>
      </c>
      <c r="PT44" s="155">
        <f>IF($NB44=0,"",TEXTJOIN(" · ",TRUE,IF($OV44&gt;2*$MQ44,"A devolução parou no teto de "&amp;2*$MQ44,""),IF($OY44&gt;0,"Devolução perdida: "&amp;$OY44&amp;IF($OY44&gt;1," pontos"," ponto")&amp;" sem peça para pagar",""),IF(AND($OA44&gt;0,AND($MQ44&gt;0,$OE44=0),$PB44=0),"Controle sem dano: uma rodada a mais e CD +2",""),IF(AND($OA44&gt;0,AND($MQ44&gt;0,$OE44=0),$PB44&gt;0,$PB44&lt;=$MQ44),"Controle com saldo até a Classe: uma rodada a mais",""),IF(AND($MQ44&gt;0,$OC44&lt;&gt;""),"Efeito de "&amp;$OC44&amp;" pela Classe "&amp;MAX(1,$MQ44-1),"")))</f>
        <v/>
      </c>
      <c r="PU44" s="155">
        <f>IF($PT44="",0,(LEN($PT44)-LEN(SUBSTITUTE($PT44," · ","")))/3+1)</f>
        <v/>
      </c>
      <c r="PV44" s="155">
        <f>IF($NB44=0,IF($OS44+COUNTIF($MZ44:$NA44,"?*")&gt;0,"Dê um nome",""),IF($PS44&gt;0,"⚠ "&amp;$PS44&amp;IF($PS44&gt;1," erros"," erro"),IF($PU44&gt;0,"! "&amp;$PU44&amp;IF($PU44&gt;1," avisos"," aviso"),"Na regra")))</f>
        <v/>
      </c>
      <c r="PW44" s="155">
        <f>IF($NB44=0,"",IF($PS44+$PU44=0,"Dentro das regras que a ficha confere",$PR44&amp;IF(AND($PS44&gt;0,$PU44&gt;0)," · ","")&amp;$PT44))</f>
        <v/>
      </c>
      <c r="PX44" s="155">
        <f>IF($MO44&gt;$NC44,$MP44&amp;" · ABRE NO NÍVEL "&amp;$MO44,$MP44)</f>
        <v/>
      </c>
      <c r="PY44" s="155">
        <f>IF($NB44=0,"",IF($MQ44=0,"Sem PE",3*$MQ44&amp;" PE"))</f>
        <v/>
      </c>
      <c r="PZ44" s="155">
        <f>IF($NB44=0,"",IF($MQ44=0,"A atuação básica dela",IF(COUNTIF($OI44:$OJ44,"Atrasar")&gt;0,"Sua Ação Completa",IF(COUNTIF($MV44:$MY44,"Rápido")&gt;0,"Sua Bônus",IF(COUNTIF($MV44:$MY44,"Reação")&gt;0,"Sua Reação","Sua Padrão")))&amp;" + a básica dela"&amp;IF(COUNTIF($MV44:$MY44,"Reação")&gt;0," e a coletiva","")&amp;IF(COUNTIF($OI44:$OJ44,"Carregar")&gt;0," · em dois turnos","")))</f>
        <v/>
      </c>
      <c r="QA44" s="155">
        <f>IF($MU44&lt;&gt;"",$MU44,IF($NH44=0,"",INDEX($AA$2:$AA$11,$NH44)))</f>
        <v/>
      </c>
      <c r="QB44" s="155">
        <f>IF(OR($NB44=0,$NH44=0),"",IF(COUNTIF($MV44:$MY44,"Inescapável")&gt;0,"Automático",IF($QA44="Ataque",IF($NF44="","Ataque","Ataque "&amp;IF(($NF44+2*IF(COUNTIF($MV44:$MY44,"Precisão")&gt;0,1,0))&gt;=0,"+","−")&amp;ABS(($NF44+2*IF(COUNTIF($MV44:$MY44,"Precisão")&gt;0,1,0))))&amp;IF($OB44&gt;0," · TR"&amp;IF($NG44="",""," CD "&amp;$NG44),""),IF(LEFT($QA44,2)="TR",$QA44&amp;IF($NG44="",""," · CD "&amp;$NG44)&amp;IF(COUNTIF($MV44:$MY44,"Certeiro")&gt;0," · metade",""),"Sem rolagem"))))</f>
        <v/>
      </c>
      <c r="QC44" s="155">
        <f>IF(OR($NB44=0,$NH44=0),"",IF($MQ44=0,IF(OR($OE44&gt;=1,$PB44=0),"Sem dano",$PB44&amp;"d6"&amp;IF($MT44="",""," "&amp;$MT44)),IF(OR($OE44&gt;=1,$PB44=0),UPPER(LEFT(INDEX($PK44:$PQ44,1,MAX(1,$MQ44)),1))&amp;MID(INDEX($PK44:$PQ44,1,MAX(1,$MQ44)),2,99),UPPER(LEFT(INDEX($PK44:$PQ44,1,MAX(1,$MQ44)),1))&amp;MID(INDEX($PK44:$PQ44,1,MAX(1,$MQ44)),2,99)&amp;IF($MT44="",""," "&amp;$MT44)&amp;IF($PC44&gt;0," · +"&amp;$PC44&amp;"d8",""))))</f>
        <v/>
      </c>
      <c r="QD44" s="155">
        <f>COUNTIF($MV44:$MY44,"Longe")+3*COUNTIF($MV44:$MY44,"Muito Longe")</f>
        <v/>
      </c>
      <c r="QE44" s="155">
        <f>COUNTIF($MV44:$MY44,"Maior")+3*COUNTIF($MV44:$MY44,"Muito Maior")</f>
        <v/>
      </c>
      <c r="QF44" s="155">
        <f>IF($NH44=0,0,CHOOSE(1+INDEX($AC$2:$AC$11,$NH44),0,$QD44,$QE44,$QD44+$QE44))</f>
        <v/>
      </c>
      <c r="QG44" s="155">
        <f>IF($NH44=0,0,CHOOSE(1+INDEX($AD$2:$AD$11,$NH44),0,$QD44,$QE44,$QD44+$QE44))</f>
        <v/>
      </c>
      <c r="QH44" s="155">
        <f>IF(OR($NB44=0,$NH44=0),"",INDEX($AI$2:$AN$41,($NH44-1)*4+IF($MQ44=0,1,IF($MQ44&lt;=5,2,IF($MQ44=6,3,4))),1+MIN(5,$QF44))&amp;INDEX($AO$2:$AT$41,($NH44-1)*4+IF($MQ44=0,1,IF($MQ44&lt;=5,2,IF($MQ44=6,3,4))),1+MIN(5,$QG44))&amp;IF(INDEX($AE$2:$AE$11,$NH44)=1,IF(COUNTIF($MV44:$MY44,"Mais Um")&gt;0," · +"&amp;COUNTIF($MV44:$MY44,"Mais Um")&amp;IF(COUNTIF($MV44:$MY44,"Mais Um")&gt;1," alvos"," alvo"),"")&amp;IF(COUNTIF($MV44:$MY44,"Rajada")&gt;0,IF($MQ44=0," · 1 tiro"," · "&amp;(MAX(1,$MQ44-1)+1)&amp;" tiros"),""),""))</f>
        <v/>
      </c>
      <c r="QI44" s="155">
        <f>IF($NB44=0,"",IF($MQ44=0,$NE44&amp;"d6"&amp;IF($OS44&gt;0," − 1 = "&amp;$PB44&amp;"d6"," da básica do nível "&amp;$NC44),$OZ44&amp;" − "&amp;$OU44&amp;" + "&amp;$OX44&amp;" = "&amp;$PA44&amp;" · teto "&amp;4*$MQ44&amp;"d8"&amp;IF($OD44=1," · a Forma devolve "&amp;$MQ44,"")&amp;IF($OY44&gt;0," · perde "&amp;$OY44,"")))</f>
        <v/>
      </c>
      <c r="QJ44" s="155">
        <f>IF($NB44=0,"",IF($MQ44=0,"A básica não amplia: os dados dela sobem com o nível",IF($MQ44&gt;=$ND44,"Já está na maior Classe que o nível liberou",TEXTJOIN(" · ",TRUE,IF(AND(2&gt;$MQ44,2&lt;=$ND44),"2 → "&amp;$PL44&amp;", 6 PE",""),IF(AND(3&gt;$MQ44,3&lt;=$ND44),"3 → "&amp;$PM44&amp;", 9 PE",""),IF(AND(4&gt;$MQ44,4&lt;=$ND44),"4 → "&amp;$PN44&amp;", 12 PE",""),IF(AND(5&gt;$MQ44,5&lt;=$ND44),"5 → "&amp;$PO44&amp;", 15 PE",""),IF(AND(6&gt;$MQ44,6&lt;=$ND44),"6 → "&amp;$PP44&amp;", 18 PE",""),IF(AND(7&gt;$MQ44,7&lt;=$ND44),"7 → "&amp;$PQ44&amp;", 21 PE","")))))</f>
        <v/>
      </c>
      <c r="QK44" s="155">
        <f>IF(OR($NB44=0,$NM44=0),"",IF($MQ44=0,"−1 dado","−"&amp;INDEX($I$2:$N$8,MAX(1,$MQ44),MAX(1,$NR44))&amp;" · "&amp;CHOOSE(MAX(1,$NR44),"Leve","Média","Pesada","Leve · Livre","Média · Livre","Pesada · Livre")))</f>
        <v/>
      </c>
      <c r="QL44" s="155">
        <f>IF(OR($NB44=0,$NN44=0),"",IF($MQ44=0,"−1 dado","−"&amp;INDEX($I$2:$N$8,MAX(1,$MQ44),MAX(1,$NS44))&amp;" · "&amp;CHOOSE(MAX(1,$NS44),"Leve","Média","Pesada","Leve · Livre","Média · Livre","Pesada · Livre")))</f>
        <v/>
      </c>
      <c r="QM44" s="155">
        <f>IF(OR($NB44=0,$NO44=0),"",IF($MQ44=0,"−1 dado","−"&amp;INDEX($I$2:$N$8,MAX(1,$MQ44),MAX(1,$NT44))&amp;" · "&amp;CHOOSE(MAX(1,$NT44),"Leve","Média","Pesada","Leve · Livre","Média · Livre","Pesada · Livre")))</f>
        <v/>
      </c>
      <c r="QN44" s="155">
        <f>IF(OR($NB44=0,$NP44=0),"",IF($MQ44=0,"−1 dado","−"&amp;INDEX($I$2:$N$8,MAX(1,$MQ44),MAX(1,$NU44))&amp;" · "&amp;CHOOSE(MAX(1,$NU44),"Leve","Média","Pesada","Leve · Livre","Média · Livre","Pesada · Livre")))</f>
        <v/>
      </c>
      <c r="QO44" s="155">
        <f>IF(OR($NB44=0,$MZ44=""),"",IF($MQ44=0,"não devolve","+"&amp;IF($OG44=1,CEILING($MQ44/2,1),$MQ44)))</f>
        <v/>
      </c>
      <c r="QP44" s="155">
        <f>IF(OR($NB44=0,$NA44=""),"",IF($MQ44=0,"não devolve","+"&amp;IF($OH44=1,CEILING($MQ44/2,1),$MQ44)))</f>
        <v/>
      </c>
    </row>
    <row r="45">
      <c r="AV45" s="153" t="inlineStr">
        <is>
          <t>Trava</t>
        </is>
      </c>
      <c r="AW45" s="153" t="inlineStr">
        <is>
          <t>Auxiliares</t>
        </is>
      </c>
      <c r="AX45" s="155" t="n">
        <v>1</v>
      </c>
      <c r="AY45" s="155" t="n">
        <v>0</v>
      </c>
      <c r="AZ45" s="155" t="n">
        <v>0</v>
      </c>
      <c r="BA45" s="155" t="n">
        <v>0</v>
      </c>
      <c r="JR45" s="155">
        <f>IF(OR($AW45="",COUNTIF($EJ$2:$EN$2,$AW45)&gt;0),$AV45,"")</f>
        <v/>
      </c>
      <c r="JS45" s="155">
        <f>IF(AND($AX45=1,OR($AW45="",COUNTIF($EJ$2:$EN$2,$AW45)&gt;0)),$AV45,"")</f>
        <v/>
      </c>
      <c r="JX45" s="155">
        <f>IF(OR($AW45="",COUNTIF($EJ$3:$EN$3,$AW45)&gt;0),$AV45,"")</f>
        <v/>
      </c>
      <c r="JY45" s="155">
        <f>IF(AND($AX45=1,OR($AW45="",COUNTIF($EJ$3:$EN$3,$AW45)&gt;0)),$AV45,"")</f>
        <v/>
      </c>
      <c r="KD45" s="155">
        <f>IF(OR($AW45="",COUNTIF($EJ$4:$EN$4,$AW45)&gt;0),$AV45,"")</f>
        <v/>
      </c>
      <c r="KE45" s="155">
        <f>IF(AND($AX45=1,OR($AW45="",COUNTIF($EJ$4:$EN$4,$AW45)&gt;0)),$AV45,"")</f>
        <v/>
      </c>
      <c r="KJ45" s="155">
        <f>IF(OR($AW45="",COUNTIF($EJ$5:$EN$5,$AW45)&gt;0),$AV45,"")</f>
        <v/>
      </c>
      <c r="KK45" s="155">
        <f>IF(AND($AX45=1,OR($AW45="",COUNTIF($EJ$5:$EN$5,$AW45)&gt;0)),$AV45,"")</f>
        <v/>
      </c>
      <c r="KP45" s="155">
        <f>IF(OR($AW45="",COUNTIF($EJ$6:$EN$6,$AW45)&gt;0),$AV45,"")</f>
        <v/>
      </c>
      <c r="KQ45" s="155">
        <f>IF(AND($AX45=1,OR($AW45="",COUNTIF($EJ$6:$EN$6,$AW45)&gt;0)),$AV45,"")</f>
        <v/>
      </c>
      <c r="KV45" s="155">
        <f>IF(OR($AW45="",COUNTIF($EJ$7:$EN$7,$AW45)&gt;0),$AV45,"")</f>
        <v/>
      </c>
      <c r="KW45" s="155">
        <f>IF(AND($AX45=1,OR($AW45="",COUNTIF($EJ$7:$EN$7,$AW45)&gt;0)),$AV45,"")</f>
        <v/>
      </c>
      <c r="LB45" s="155">
        <f>IF(OR($AW45="",COUNTIF($EJ$8:$EN$8,$AW45)&gt;0),$AV45,"")</f>
        <v/>
      </c>
      <c r="LC45" s="155">
        <f>IF(AND($AX45=1,OR($AW45="",COUNTIF($EJ$8:$EN$8,$AW45)&gt;0)),$AV45,"")</f>
        <v/>
      </c>
      <c r="LH45" s="155">
        <f>IF(OR($AW45="",COUNTIF($EJ$9:$EN$9,$AW45)&gt;0),$AV45,"")</f>
        <v/>
      </c>
      <c r="LI45" s="155">
        <f>IF(AND($AX45=1,OR($AW45="",COUNTIF($EJ$9:$EN$9,$AW45)&gt;0)),$AV45,"")</f>
        <v/>
      </c>
      <c r="LN45" s="155">
        <f>IF(OR($AW45="",COUNTIF($EJ$10:$EN$10,$AW45)&gt;0),$AV45,"")</f>
        <v/>
      </c>
      <c r="LO45" s="155">
        <f>IF(AND($AX45=1,OR($AW45="",COUNTIF($EJ$10:$EN$10,$AW45)&gt;0)),$AV45,"")</f>
        <v/>
      </c>
      <c r="LT45" s="155">
        <f>IF(OR($AW45="",COUNTIF($EJ$11:$EN$11,$AW45)&gt;0),$AV45,"")</f>
        <v/>
      </c>
      <c r="LU45" s="155">
        <f>IF(AND($AX45=1,OR($AW45="",COUNTIF($EJ$11:$EN$11,$AW45)&gt;0)),$AV45,"")</f>
        <v/>
      </c>
      <c r="LZ45" s="155">
        <f>IF(OR($AW45="",COUNTIF($EJ$12:$EN$12,$AW45)&gt;0),$AV45,"")</f>
        <v/>
      </c>
      <c r="MA45" s="155">
        <f>IF(AND($AX45=1,OR($AW45="",COUNTIF($EJ$12:$EN$12,$AW45)&gt;0)),$AV45,"")</f>
        <v/>
      </c>
      <c r="MF45" s="155">
        <f>IF(OR($AW45="",COUNTIF($EJ$13:$EN$13,$AW45)&gt;0),$AV45,"")</f>
        <v/>
      </c>
      <c r="MG45" s="155">
        <f>IF(AND($AX45=1,OR($AW45="",COUNTIF($EJ$13:$EN$13,$AW45)&gt;0)),$AV45,"")</f>
        <v/>
      </c>
      <c r="ML45" s="153" t="inlineStr">
        <is>
          <t>Ficha 4 · Especial 3</t>
        </is>
      </c>
      <c r="MM45" s="155" t="n">
        <v>4</v>
      </c>
      <c r="MN45" s="155" t="n">
        <v>1</v>
      </c>
      <c r="MO45" s="155" t="n">
        <v>8</v>
      </c>
      <c r="MP45" s="153" t="inlineStr">
        <is>
          <t>ESPECIAL 3</t>
        </is>
      </c>
      <c r="MQ45" s="155">
        <f>MAX(1,MIN(7,N('INVOCAÇÕES'!$O$686)))</f>
        <v/>
      </c>
      <c r="MR45" s="155">
        <f>'INVOCAÇÕES'!$P$686&amp;""</f>
        <v/>
      </c>
      <c r="MS45" s="155">
        <f>'INVOCAÇÕES'!$O$691&amp;""</f>
        <v/>
      </c>
      <c r="MT45" s="155">
        <f>'INVOCAÇÕES'!$O$692&amp;""</f>
        <v/>
      </c>
      <c r="MU45" s="155">
        <f>'INVOCAÇÕES'!$Q$692&amp;""</f>
        <v/>
      </c>
      <c r="MV45" s="155">
        <f>'INVOCAÇÕES'!$P$695&amp;""</f>
        <v/>
      </c>
      <c r="MW45" s="155">
        <f>'INVOCAÇÕES'!$P$696&amp;""</f>
        <v/>
      </c>
      <c r="MX45" s="155">
        <f>'INVOCAÇÕES'!$P$697&amp;""</f>
        <v/>
      </c>
      <c r="MY45" s="155">
        <f>'INVOCAÇÕES'!$P$698&amp;""</f>
        <v/>
      </c>
      <c r="MZ45" s="155">
        <f>'INVOCAÇÕES'!$P$699&amp;""</f>
        <v/>
      </c>
      <c r="NA45" s="155">
        <f>'INVOCAÇÕES'!$P$700&amp;""</f>
        <v/>
      </c>
      <c r="NB45" s="155">
        <f>IF($MR45&lt;&gt;"",1,0)</f>
        <v/>
      </c>
      <c r="NC45" s="155">
        <f>INDEX($FM$2:$FM$13,$MM45)</f>
        <v/>
      </c>
      <c r="ND45" s="155">
        <f>INDEX($FN$2:$FN$13,$MM45)</f>
        <v/>
      </c>
      <c r="NE45" s="155">
        <f>INDEX($FO$2:$FO$13,$MM45)</f>
        <v/>
      </c>
      <c r="NF45" s="155">
        <f>INDEX($FZ$2:$FZ$13,$MM45)</f>
        <v/>
      </c>
      <c r="NG45" s="155">
        <f>INDEX($GA$2:$GA$13,$MM45)</f>
        <v/>
      </c>
      <c r="NH45" s="155">
        <f>IFERROR(MATCH($MS45,$V$2:$V$11,0),0)</f>
        <v/>
      </c>
      <c r="NI45" s="155">
        <f>IFERROR(VLOOKUP($MV45,$AV$2:$BA$84,2,FALSE),"")</f>
        <v/>
      </c>
      <c r="NJ45" s="155">
        <f>IFERROR(VLOOKUP($MW45,$AV$2:$BA$84,2,FALSE),"")</f>
        <v/>
      </c>
      <c r="NK45" s="155">
        <f>IFERROR(VLOOKUP($MX45,$AV$2:$BA$84,2,FALSE),"")</f>
        <v/>
      </c>
      <c r="NL45" s="155">
        <f>IFERROR(VLOOKUP($MY45,$AV$2:$BA$84,2,FALSE),"")</f>
        <v/>
      </c>
      <c r="NM45" s="155">
        <f>IFERROR(VLOOKUP($MV45,$AV$2:$BA$84,3,FALSE),0)</f>
        <v/>
      </c>
      <c r="NN45" s="155">
        <f>IFERROR(VLOOKUP($MW45,$AV$2:$BA$84,3,FALSE),0)</f>
        <v/>
      </c>
      <c r="NO45" s="155">
        <f>IFERROR(VLOOKUP($MX45,$AV$2:$BA$84,3,FALSE),0)</f>
        <v/>
      </c>
      <c r="NP45" s="155">
        <f>IFERROR(VLOOKUP($MY45,$AV$2:$BA$84,3,FALSE),0)</f>
        <v/>
      </c>
      <c r="NQ45" s="155">
        <f>IF($MQ45=0,0,IF($NH45=0,0,INDEX($X$2:$X$11,$NH45)))</f>
        <v/>
      </c>
      <c r="NR45" s="155">
        <f>IF(OR($NM45=0,$MQ45=0),0,$NM45+3*IF(AND($NI45&lt;&gt;"",OR($NI45=INDEX($EJ$2:$EJ$13,$MM45),$NI45=INDEX($EK$2:$EK$13,$MM45))),1,0))</f>
        <v/>
      </c>
      <c r="NS45" s="155">
        <f>IF(OR($NN45=0,$MQ45=0),0,$NN45+3*IF(AND($NJ45&lt;&gt;"",OR($NJ45=INDEX($EJ$2:$EJ$13,$MM45),$NJ45=INDEX($EK$2:$EK$13,$MM45))),1,0))</f>
        <v/>
      </c>
      <c r="NT45" s="155">
        <f>IF(OR($NO45=0,$MQ45=0),0,$NO45+3*IF(AND($NK45&lt;&gt;"",OR($NK45=INDEX($EJ$2:$EJ$13,$MM45),$NK45=INDEX($EK$2:$EK$13,$MM45))),1,0))</f>
        <v/>
      </c>
      <c r="NU45" s="155">
        <f>IF(OR($NP45=0,$MQ45=0),0,$NP45+3*IF(AND($NL45&lt;&gt;"",OR($NL45=INDEX($EJ$2:$EJ$13,$MM45),$NL45=INDEX($EK$2:$EK$13,$MM45))),1,0))</f>
        <v/>
      </c>
      <c r="NV45" s="155">
        <f>IF($NH45=0,0,IF(INDEX($W$2:$W$11,$NH45)="",0,IF(COUNTIF(INDEX($EJ$2:$EN$13,$MM45,0),INDEX($W$2:$W$11,$NH45))=0,1,0)))</f>
        <v/>
      </c>
      <c r="NW45" s="155">
        <f>IF(OR($NM45=0,$NI45=""),0,IF(COUNTIF(INDEX($EJ$2:$EN$13,$MM45,0),$NI45)=0,1,0))</f>
        <v/>
      </c>
      <c r="NX45" s="155">
        <f>IF(OR($NN45=0,$NJ45=""),0,IF(COUNTIF(INDEX($EJ$2:$EN$13,$MM45,0),$NJ45)=0,1,0))</f>
        <v/>
      </c>
      <c r="NY45" s="155">
        <f>IF(OR($NO45=0,$NK45=""),0,IF(COUNTIF(INDEX($EJ$2:$EN$13,$MM45,0),$NK45)=0,1,0))</f>
        <v/>
      </c>
      <c r="NZ45" s="155">
        <f>IF(OR($NP45=0,$NL45=""),0,IF(COUNTIF(INDEX($EJ$2:$EN$13,$MM45,0),$NL45)=0,1,0))</f>
        <v/>
      </c>
      <c r="OA45" s="155">
        <f>IFERROR(VLOOKUP($MV45,$AV$2:$BA$84,4,FALSE),0)+IFERROR(VLOOKUP($MW45,$AV$2:$BA$84,4,FALSE),0)+IFERROR(VLOOKUP($MX45,$AV$2:$BA$84,4,FALSE),0)+IFERROR(VLOOKUP($MY45,$AV$2:$BA$84,4,FALSE),0)</f>
        <v/>
      </c>
      <c r="OB45" s="155">
        <f>IFERROR(VLOOKUP($MV45,$AV$2:$BA$84,6,FALSE),0)+IFERROR(VLOOKUP($MW45,$AV$2:$BA$84,6,FALSE),0)+IFERROR(VLOOKUP($MX45,$AV$2:$BA$84,6,FALSE),0)+IFERROR(VLOOKUP($MY45,$AV$2:$BA$84,6,FALSE),0)</f>
        <v/>
      </c>
      <c r="OC45" s="155">
        <f>TEXTJOIN(", ",TRUE,IF(IFERROR(VLOOKUP($MV45,$AV$2:$BA$84,5,FALSE),0)=1,$MV45,""),IF(IFERROR(VLOOKUP($MW45,$AV$2:$BA$84,5,FALSE),0)=1,$MW45,""),IF(IFERROR(VLOOKUP($MX45,$AV$2:$BA$84,5,FALSE),0)=1,$MX45,""),IF(IFERROR(VLOOKUP($MY45,$AV$2:$BA$84,5,FALSE),0)=1,$MY45,""))</f>
        <v/>
      </c>
      <c r="OD45" s="155">
        <f>IF($NH45=0,0,INDEX($Y$2:$Y$11,$NH45))</f>
        <v/>
      </c>
      <c r="OE45" s="155">
        <f>IF($NH45=0,0,INDEX($Z$2:$Z$11,$NH45))</f>
        <v/>
      </c>
      <c r="OF45" s="155">
        <f>IF($NH45=0,0,INDEX($AB$2:$AB$11,$NH45))</f>
        <v/>
      </c>
      <c r="OG45" s="155">
        <f>IFERROR(VLOOKUP($MZ45,$BC$2:$BG$24,3,FALSE),0)</f>
        <v/>
      </c>
      <c r="OH45" s="155">
        <f>IFERROR(VLOOKUP($NA45,$BC$2:$BG$24,3,FALSE),0)</f>
        <v/>
      </c>
      <c r="OI45" s="155">
        <f>IFERROR(VLOOKUP($MZ45,$BC$2:$BG$24,2,FALSE),"")</f>
        <v/>
      </c>
      <c r="OJ45" s="155">
        <f>IFERROR(VLOOKUP($NA45,$BC$2:$BG$24,2,FALSE),"")</f>
        <v/>
      </c>
      <c r="OK45" s="155">
        <f>COUNTIF($NQ45:$NU45,1)</f>
        <v/>
      </c>
      <c r="OL45" s="155">
        <f>COUNTIF($NQ45:$NU45,2)</f>
        <v/>
      </c>
      <c r="OM45" s="155">
        <f>COUNTIF($NQ45:$NU45,3)</f>
        <v/>
      </c>
      <c r="ON45" s="155">
        <f>COUNTIF($NQ45:$NU45,4)</f>
        <v/>
      </c>
      <c r="OO45" s="155">
        <f>COUNTIF($NQ45:$NU45,5)</f>
        <v/>
      </c>
      <c r="OP45" s="155">
        <f>COUNTIF($NQ45:$NU45,6)</f>
        <v/>
      </c>
      <c r="OQ45" s="155">
        <f>COUNTIF($OG45:$OH45,1)</f>
        <v/>
      </c>
      <c r="OR45" s="155">
        <f>COUNTIF($OG45:$OH45,2)+$OD45</f>
        <v/>
      </c>
      <c r="OS45" s="155">
        <f>COUNTIF($MV45:$MY45,"?*")</f>
        <v/>
      </c>
      <c r="OT45" s="155">
        <f>COUNTIF($MZ45:$NA45,"?*")+$OD45</f>
        <v/>
      </c>
      <c r="OU45" s="155">
        <f>IF($MQ45=0,0,SUMPRODUCT($OK45:$OP45,INDEX($I$2:$N$8,MAX(1,$MQ45),0)))</f>
        <v/>
      </c>
      <c r="OV45" s="155">
        <f>IF($MQ45=0,0,$OQ45*CEILING($MQ45/2,1)+$OR45*$MQ45)</f>
        <v/>
      </c>
      <c r="OW45" s="155">
        <f>MIN(2*$MQ45,$OV45)</f>
        <v/>
      </c>
      <c r="OX45" s="155">
        <f>MIN($OW45,$OU45)</f>
        <v/>
      </c>
      <c r="OY45" s="155">
        <f>$OW45-$OX45</f>
        <v/>
      </c>
      <c r="OZ45" s="155">
        <f>IF($MQ45=0,0,INDEX($P$2:$P$8,MAX(1,$MQ45)))</f>
        <v/>
      </c>
      <c r="PA45" s="155">
        <f>$OZ45-$OU45+$OX45</f>
        <v/>
      </c>
      <c r="PB45" s="155">
        <f>IF($MQ45=0,MAX(0,$NE45-IF($OS45&gt;0,1,0)),MAX(0,$PA45))</f>
        <v/>
      </c>
      <c r="PC45" s="155">
        <f>IF($MQ45=0,0,(IF(COUNTIF($MV45:$MY45,"Salto")&gt;0,1,0)+IF(COUNTIF($MV45:$MY45,"Queima")&gt;0,1,0)+IF(COUNTIF($MV45:$MY45,"Estilhaço")&gt;0,1,0))*FLOOR($PB45/2,1))</f>
        <v/>
      </c>
      <c r="PD45" s="155">
        <f>MAX(0,2-SUMPRODUCT($OK45:$OP45,$I$2:$N$2)+MIN(2,$OQ45*1+$OR45*1,SUMPRODUCT($OK45:$OP45,$I$2:$N$2)))</f>
        <v/>
      </c>
      <c r="PE45" s="155">
        <f>MAX(0,4-SUMPRODUCT($OK45:$OP45,$I$3:$N$3)+MIN(4,$OQ45*1+$OR45*2,SUMPRODUCT($OK45:$OP45,$I$3:$N$3)))</f>
        <v/>
      </c>
      <c r="PF45" s="155">
        <f>MAX(0,6-SUMPRODUCT($OK45:$OP45,$I$4:$N$4)+MIN(6,$OQ45*2+$OR45*3,SUMPRODUCT($OK45:$OP45,$I$4:$N$4)))</f>
        <v/>
      </c>
      <c r="PG45" s="155">
        <f>MAX(0,9-SUMPRODUCT($OK45:$OP45,$I$5:$N$5)+MIN(8,$OQ45*2+$OR45*4,SUMPRODUCT($OK45:$OP45,$I$5:$N$5)))</f>
        <v/>
      </c>
      <c r="PH45" s="155">
        <f>MAX(0,11-SUMPRODUCT($OK45:$OP45,$I$6:$N$6)+MIN(10,$OQ45*3+$OR45*5,SUMPRODUCT($OK45:$OP45,$I$6:$N$6)))</f>
        <v/>
      </c>
      <c r="PI45" s="155">
        <f>MAX(0,13-SUMPRODUCT($OK45:$OP45,$I$7:$N$7)+MIN(12,$OQ45*3+$OR45*6,SUMPRODUCT($OK45:$OP45,$I$7:$N$7)))</f>
        <v/>
      </c>
      <c r="PJ45" s="155">
        <f>MAX(0,16-SUMPRODUCT($OK45:$OP45,$I$8:$N$8)+MIN(14,$OQ45*4+$OR45*7,SUMPRODUCT($OK45:$OP45,$I$8:$N$8)))</f>
        <v/>
      </c>
      <c r="PK45" s="155">
        <f>IF($OE45=2,3*$PD45&amp;" de vida temp.",IF($OE45=3,"sem dano",IF($PD45=0,IF($OE45=1,"sem cura","sem dano"),IF($OE45=1,"cura ","")&amp;$PD45&amp;"d8")))</f>
        <v/>
      </c>
      <c r="PL45" s="155">
        <f>IF($OE45=2,3*$PE45&amp;" de vida temp.",IF($OE45=3,"sem dano",IF($PE45=0,IF($OE45=1,"sem cura","sem dano"),IF($OE45=1,"cura ","")&amp;$PE45&amp;"d8")))</f>
        <v/>
      </c>
      <c r="PM45" s="155">
        <f>IF($OE45=2,3*$PF45&amp;" de vida temp.",IF($OE45=3,"sem dano",IF($PF45=0,IF($OE45=1,"sem cura","sem dano"),IF($OE45=1,"cura ","")&amp;$PF45&amp;"d8")))</f>
        <v/>
      </c>
      <c r="PN45" s="155">
        <f>IF($OE45=2,3*$PG45&amp;" de vida temp.",IF($OE45=3,"sem dano",IF($PG45=0,IF($OE45=1,"sem cura","sem dano"),IF($OE45=1,"cura ","")&amp;$PG45&amp;"d8")))</f>
        <v/>
      </c>
      <c r="PO45" s="155">
        <f>IF($OE45=2,3*$PH45&amp;" de vida temp.",IF($OE45=3,"sem dano",IF($PH45=0,IF($OE45=1,"sem cura","sem dano"),IF($OE45=1,"cura ","")&amp;$PH45&amp;"d8")))</f>
        <v/>
      </c>
      <c r="PP45" s="155">
        <f>IF($OE45=2,3*$PI45&amp;" de vida temp.",IF($OE45=3,"sem dano",IF($PI45=0,IF($OE45=1,"sem cura","sem dano"),IF($OE45=1,"cura ","")&amp;$PI45&amp;"d8")))</f>
        <v/>
      </c>
      <c r="PQ45" s="155">
        <f>IF($OE45=2,3*$PJ45&amp;" de vida temp.",IF($OE45=3,"sem dano",IF($PJ45=0,IF($OE45=1,"sem cura","sem dano"),IF($OE45=1,"cura ","")&amp;$PJ45&amp;"d8")))</f>
        <v/>
      </c>
      <c r="PR45" s="155">
        <f>IF($NB45=0,"",TEXTJOIN(" · ",TRUE,IF($MO45&gt;$NC45,"Este lugar abre no nível "&amp;$MO45,""),IF($MQ45&gt;$ND45,"Classe "&amp;$MQ45&amp;": o nível "&amp;$NC45&amp;" libera até a "&amp;$ND45,""),IF($NV45=1,"A Forma "&amp;$MS45&amp;" pede "&amp;INDEX($W$2:$W$11,$NH45)&amp;" aberta",""),IF(AND($MQ45=0,$NH45&gt;0,IF($NH45=0,0,INDEX($AF$2:$AF$11,$NH45))=0),$MS45&amp;" não existe na Classe 0",""),IF($NW45=1,"Família Fechada: "&amp;$MV45,""),IF($NX45=1,"Família Fechada: "&amp;$MW45,""),IF($NY45=1,"Família Fechada: "&amp;$MX45,""),IF($NZ45=1,"Família Fechada: "&amp;$MY45,""),IF(AND($MQ45&gt;0,$OS45&gt;INDEX($O$2:$O$8,MAX(1,$MQ45))),$OS45&amp;" Melhorias: a Classe "&amp;$MQ45&amp;" aceita "&amp;INDEX($O$2:$O$8,MAX(1,$MQ45)),""),IF(AND($MQ45=0,$OS45&gt;1),"A básica aceita uma Melhoria",""),IF(AND($MQ45=0,COUNTIF($NM45:$NP45,"&gt;1")&gt;0),"A básica só aceita Melhoria Leve",""),IF(AND($MQ45&gt;0,$OT45&gt;2),$OT45&amp;" Restrições"&amp;IF($OD45=1,", contando a que a Forma "&amp;$MS45&amp;" já traz","")&amp;": o limite é 2",""),IF(AND($MQ45=0,COUNTIF($MZ45:$NA45,"?*")&gt;1),"A básica aceita uma Restrição Leve",""),IF(AND($MQ45=0,COUNTIF($OG45:$OH45,2)&gt;0),"A básica só aceita Restrição Leve",""),IF(AND($MQ45&gt;0,$PA45&lt;0),"Orçamento estourado: faltam "&amp;(-$PA45)&amp;IF($PA45&lt;-1," pontos"," ponto"),""),IF(IFERROR(VLOOKUP($MZ45,$BC$2:$BG$24,4,FALSE),0)+IFERROR(VLOOKUP($NA45,$BC$2:$BG$24,4,FALSE),0)&gt;1,$OI45&amp;" e "&amp;$OJ45&amp;" são as duas de frequência",""),IF(AND((COUNTIF($MV45:$MY45,"Rápido")+COUNTIF($OI45:$OJ45,"Rápido"))&gt;0,(COUNTIF($MV45:$MY45,"Atrasar")+COUNTIF($OI45:$OJ45,"Atrasar"))&gt;0),"Rápido não entra com Atrasar",""),IF(AND((COUNTIF($MV45:$MY45,"Reação")+COUNTIF($OI45:$OJ45,"Reação"))&gt;0,(COUNTIF($MV45:$MY45,"Rápido")+COUNTIF($OI45:$OJ45,"Rápido"))&gt;0),"Reação não entra com Rápido",""),IF(AND((COUNTIF($MV45:$MY45,"Reação")+COUNTIF($OI45:$OJ45,"Reação"))&gt;0,(COUNTIF($MV45:$MY45,"Armado")+COUNTIF($OI45:$OJ45,"Armado"))&gt;0),"Reação não entra com Armado",""),IF(AND((COUNTIF($MV45:$MY45,"Reação")+COUNTIF($OI45:$OJ45,"Reação"))&gt;0,(COUNTIF($MV45:$MY45,"Atrasar")+COUNTIF($OI45:$OJ45,"Atrasar"))&gt;0),"Reação não entra com Atrasar",""),IF(AND((COUNTIF($MV45:$MY45,"Reação")+COUNTIF($OI45:$OJ45,"Reação"))&gt;0,(COUNTIF($MV45:$MY45,"Parado")+COUNTIF($OI45:$OJ45,"Parado"))&gt;0),"Reação não entra com Parado",""),IF(AND((COUNTIF($MV45:$MY45,"Atrasar")+COUNTIF($OI45:$OJ45,"Atrasar"))&gt;0,(COUNTIF($MV45:$MY45,"Parado")+COUNTIF($OI45:$OJ45,"Parado"))&gt;0),"Atrasar não entra com Parado",""),IF(AND((COUNTIF($MV45:$MY45,"Armado")+COUNTIF($OI45:$OJ45,"Armado"))&gt;0,(COUNTIF($MV45:$MY45,"Carregar")+COUNTIF($OI45:$OJ45,"Carregar"))&gt;0),"Armado não entra com Carregar",""),IF(AND(COUNTIF($OI45:$OJ45,"Corpo a Corpo")&gt;0,$OD45=0,OR($MS45="Cone",$MS45="Linha")),"Corpo a Corpo não entra em "&amp;$MS45,""),IF(AND(COUNTIF($OI45:$OJ45,"Corpo a Corpo")&gt;0,$OD45=1),"A Forma "&amp;$MS45&amp;" já traz o Corpo a Corpo",""),IF(AND(COUNTIF($OI45:$OJ45,"Tudo ou Nada")&gt;0,$OF45=0),"Tudo ou Nada só entra em habilidade de Teste de Resistência",""),IF(AND(COUNTIF($MV45:$MY45,"Inescapável")&gt;0,OR($OS45&gt;1,$OT45&gt;0)),"Inescapável não aceita outra peça",""),IF(AND($MQ45&gt;0,$PB45*IF(COUNTIF($MV45:$MY45,"Remate")&gt;0,1.25,1)+$PC45&gt;4*$MQ45),($PB45*IF(COUNTIF($MV45:$MY45,"Remate")&gt;0,1.25,1)+$PC45)&amp;" dados somando repetições"&amp;IF(COUNTIF($MV45:$MY45,"Remate")&gt;0," e o Remate","")&amp;": o teto da Classe "&amp;$MQ45&amp;" é "&amp;4*$MQ45,"")))</f>
        <v/>
      </c>
      <c r="PS45" s="155">
        <f>IF($PR45="",0,(LEN($PR45)-LEN(SUBSTITUTE($PR45," · ","")))/3+1)</f>
        <v/>
      </c>
      <c r="PT45" s="155">
        <f>IF($NB45=0,"",TEXTJOIN(" · ",TRUE,IF($OV45&gt;2*$MQ45,"A devolução parou no teto de "&amp;2*$MQ45,""),IF($OY45&gt;0,"Devolução perdida: "&amp;$OY45&amp;IF($OY45&gt;1," pontos"," ponto")&amp;" sem peça para pagar",""),IF(AND($OA45&gt;0,AND($MQ45&gt;0,$OE45=0),$PB45=0),"Controle sem dano: uma rodada a mais e CD +2",""),IF(AND($OA45&gt;0,AND($MQ45&gt;0,$OE45=0),$PB45&gt;0,$PB45&lt;=$MQ45),"Controle com saldo até a Classe: uma rodada a mais",""),IF(AND($MQ45&gt;0,$OC45&lt;&gt;""),"Efeito de "&amp;$OC45&amp;" pela Classe "&amp;MAX(1,$MQ45-1),"")))</f>
        <v/>
      </c>
      <c r="PU45" s="155">
        <f>IF($PT45="",0,(LEN($PT45)-LEN(SUBSTITUTE($PT45," · ","")))/3+1)</f>
        <v/>
      </c>
      <c r="PV45" s="155">
        <f>IF($NB45=0,IF($OS45+COUNTIF($MZ45:$NA45,"?*")&gt;0,"Dê um nome",""),IF($PS45&gt;0,"⚠ "&amp;$PS45&amp;IF($PS45&gt;1," erros"," erro"),IF($PU45&gt;0,"! "&amp;$PU45&amp;IF($PU45&gt;1," avisos"," aviso"),"Na regra")))</f>
        <v/>
      </c>
      <c r="PW45" s="155">
        <f>IF($NB45=0,"",IF($PS45+$PU45=0,"Dentro das regras que a ficha confere",$PR45&amp;IF(AND($PS45&gt;0,$PU45&gt;0)," · ","")&amp;$PT45))</f>
        <v/>
      </c>
      <c r="PX45" s="155">
        <f>IF($MO45&gt;$NC45,$MP45&amp;" · ABRE NO NÍVEL "&amp;$MO45,$MP45)</f>
        <v/>
      </c>
      <c r="PY45" s="155">
        <f>IF($NB45=0,"",IF($MQ45=0,"Sem PE",3*$MQ45&amp;" PE"))</f>
        <v/>
      </c>
      <c r="PZ45" s="155">
        <f>IF($NB45=0,"",IF($MQ45=0,"A atuação básica dela",IF(COUNTIF($OI45:$OJ45,"Atrasar")&gt;0,"Sua Ação Completa",IF(COUNTIF($MV45:$MY45,"Rápido")&gt;0,"Sua Bônus",IF(COUNTIF($MV45:$MY45,"Reação")&gt;0,"Sua Reação","Sua Padrão")))&amp;" + a básica dela"&amp;IF(COUNTIF($MV45:$MY45,"Reação")&gt;0," e a coletiva","")&amp;IF(COUNTIF($OI45:$OJ45,"Carregar")&gt;0," · em dois turnos","")))</f>
        <v/>
      </c>
      <c r="QA45" s="155">
        <f>IF($MU45&lt;&gt;"",$MU45,IF($NH45=0,"",INDEX($AA$2:$AA$11,$NH45)))</f>
        <v/>
      </c>
      <c r="QB45" s="155">
        <f>IF(OR($NB45=0,$NH45=0),"",IF(COUNTIF($MV45:$MY45,"Inescapável")&gt;0,"Automático",IF($QA45="Ataque",IF($NF45="","Ataque","Ataque "&amp;IF(($NF45+2*IF(COUNTIF($MV45:$MY45,"Precisão")&gt;0,1,0))&gt;=0,"+","−")&amp;ABS(($NF45+2*IF(COUNTIF($MV45:$MY45,"Precisão")&gt;0,1,0))))&amp;IF($OB45&gt;0," · TR"&amp;IF($NG45="",""," CD "&amp;$NG45),""),IF(LEFT($QA45,2)="TR",$QA45&amp;IF($NG45="",""," · CD "&amp;$NG45)&amp;IF(COUNTIF($MV45:$MY45,"Certeiro")&gt;0," · metade",""),"Sem rolagem"))))</f>
        <v/>
      </c>
      <c r="QC45" s="155">
        <f>IF(OR($NB45=0,$NH45=0),"",IF($MQ45=0,IF(OR($OE45&gt;=1,$PB45=0),"Sem dano",$PB45&amp;"d6"&amp;IF($MT45="",""," "&amp;$MT45)),IF(OR($OE45&gt;=1,$PB45=0),UPPER(LEFT(INDEX($PK45:$PQ45,1,MAX(1,$MQ45)),1))&amp;MID(INDEX($PK45:$PQ45,1,MAX(1,$MQ45)),2,99),UPPER(LEFT(INDEX($PK45:$PQ45,1,MAX(1,$MQ45)),1))&amp;MID(INDEX($PK45:$PQ45,1,MAX(1,$MQ45)),2,99)&amp;IF($MT45="",""," "&amp;$MT45)&amp;IF($PC45&gt;0," · +"&amp;$PC45&amp;"d8",""))))</f>
        <v/>
      </c>
      <c r="QD45" s="155">
        <f>COUNTIF($MV45:$MY45,"Longe")+3*COUNTIF($MV45:$MY45,"Muito Longe")</f>
        <v/>
      </c>
      <c r="QE45" s="155">
        <f>COUNTIF($MV45:$MY45,"Maior")+3*COUNTIF($MV45:$MY45,"Muito Maior")</f>
        <v/>
      </c>
      <c r="QF45" s="155">
        <f>IF($NH45=0,0,CHOOSE(1+INDEX($AC$2:$AC$11,$NH45),0,$QD45,$QE45,$QD45+$QE45))</f>
        <v/>
      </c>
      <c r="QG45" s="155">
        <f>IF($NH45=0,0,CHOOSE(1+INDEX($AD$2:$AD$11,$NH45),0,$QD45,$QE45,$QD45+$QE45))</f>
        <v/>
      </c>
      <c r="QH45" s="155">
        <f>IF(OR($NB45=0,$NH45=0),"",INDEX($AI$2:$AN$41,($NH45-1)*4+IF($MQ45=0,1,IF($MQ45&lt;=5,2,IF($MQ45=6,3,4))),1+MIN(5,$QF45))&amp;INDEX($AO$2:$AT$41,($NH45-1)*4+IF($MQ45=0,1,IF($MQ45&lt;=5,2,IF($MQ45=6,3,4))),1+MIN(5,$QG45))&amp;IF(INDEX($AE$2:$AE$11,$NH45)=1,IF(COUNTIF($MV45:$MY45,"Mais Um")&gt;0," · +"&amp;COUNTIF($MV45:$MY45,"Mais Um")&amp;IF(COUNTIF($MV45:$MY45,"Mais Um")&gt;1," alvos"," alvo"),"")&amp;IF(COUNTIF($MV45:$MY45,"Rajada")&gt;0,IF($MQ45=0," · 1 tiro"," · "&amp;(MAX(1,$MQ45-1)+1)&amp;" tiros"),""),""))</f>
        <v/>
      </c>
      <c r="QI45" s="155">
        <f>IF($NB45=0,"",IF($MQ45=0,$NE45&amp;"d6"&amp;IF($OS45&gt;0," − 1 = "&amp;$PB45&amp;"d6"," da básica do nível "&amp;$NC45),$OZ45&amp;" − "&amp;$OU45&amp;" + "&amp;$OX45&amp;" = "&amp;$PA45&amp;" · teto "&amp;4*$MQ45&amp;"d8"&amp;IF($OD45=1," · a Forma devolve "&amp;$MQ45,"")&amp;IF($OY45&gt;0," · perde "&amp;$OY45,"")))</f>
        <v/>
      </c>
      <c r="QJ45" s="155">
        <f>IF($NB45=0,"",IF($MQ45=0,"A básica não amplia: os dados dela sobem com o nível",IF($MQ45&gt;=$ND45,"Já está na maior Classe que o nível liberou",TEXTJOIN(" · ",TRUE,IF(AND(2&gt;$MQ45,2&lt;=$ND45),"2 → "&amp;$PL45&amp;", 6 PE",""),IF(AND(3&gt;$MQ45,3&lt;=$ND45),"3 → "&amp;$PM45&amp;", 9 PE",""),IF(AND(4&gt;$MQ45,4&lt;=$ND45),"4 → "&amp;$PN45&amp;", 12 PE",""),IF(AND(5&gt;$MQ45,5&lt;=$ND45),"5 → "&amp;$PO45&amp;", 15 PE",""),IF(AND(6&gt;$MQ45,6&lt;=$ND45),"6 → "&amp;$PP45&amp;", 18 PE",""),IF(AND(7&gt;$MQ45,7&lt;=$ND45),"7 → "&amp;$PQ45&amp;", 21 PE","")))))</f>
        <v/>
      </c>
      <c r="QK45" s="155">
        <f>IF(OR($NB45=0,$NM45=0),"",IF($MQ45=0,"−1 dado","−"&amp;INDEX($I$2:$N$8,MAX(1,$MQ45),MAX(1,$NR45))&amp;" · "&amp;CHOOSE(MAX(1,$NR45),"Leve","Média","Pesada","Leve · Livre","Média · Livre","Pesada · Livre")))</f>
        <v/>
      </c>
      <c r="QL45" s="155">
        <f>IF(OR($NB45=0,$NN45=0),"",IF($MQ45=0,"−1 dado","−"&amp;INDEX($I$2:$N$8,MAX(1,$MQ45),MAX(1,$NS45))&amp;" · "&amp;CHOOSE(MAX(1,$NS45),"Leve","Média","Pesada","Leve · Livre","Média · Livre","Pesada · Livre")))</f>
        <v/>
      </c>
      <c r="QM45" s="155">
        <f>IF(OR($NB45=0,$NO45=0),"",IF($MQ45=0,"−1 dado","−"&amp;INDEX($I$2:$N$8,MAX(1,$MQ45),MAX(1,$NT45))&amp;" · "&amp;CHOOSE(MAX(1,$NT45),"Leve","Média","Pesada","Leve · Livre","Média · Livre","Pesada · Livre")))</f>
        <v/>
      </c>
      <c r="QN45" s="155">
        <f>IF(OR($NB45=0,$NP45=0),"",IF($MQ45=0,"−1 dado","−"&amp;INDEX($I$2:$N$8,MAX(1,$MQ45),MAX(1,$NU45))&amp;" · "&amp;CHOOSE(MAX(1,$NU45),"Leve","Média","Pesada","Leve · Livre","Média · Livre","Pesada · Livre")))</f>
        <v/>
      </c>
      <c r="QO45" s="155">
        <f>IF(OR($NB45=0,$MZ45=""),"",IF($MQ45=0,"não devolve","+"&amp;IF($OG45=1,CEILING($MQ45/2,1),$MQ45)))</f>
        <v/>
      </c>
      <c r="QP45" s="155">
        <f>IF(OR($NB45=0,$NA45=""),"",IF($MQ45=0,"não devolve","+"&amp;IF($OH45=1,CEILING($MQ45/2,1),$MQ45)))</f>
        <v/>
      </c>
    </row>
    <row r="46">
      <c r="AV46" s="153" t="inlineStr">
        <is>
          <t>Abre Ferida</t>
        </is>
      </c>
      <c r="AW46" s="153" t="inlineStr">
        <is>
          <t>Auxiliares</t>
        </is>
      </c>
      <c r="AX46" s="155" t="n">
        <v>1</v>
      </c>
      <c r="AY46" s="155" t="n">
        <v>0</v>
      </c>
      <c r="AZ46" s="155" t="n">
        <v>0</v>
      </c>
      <c r="BA46" s="155" t="n">
        <v>0</v>
      </c>
      <c r="JR46" s="155">
        <f>IF(OR($AW46="",COUNTIF($EJ$2:$EN$2,$AW46)&gt;0),$AV46,"")</f>
        <v/>
      </c>
      <c r="JS46" s="155">
        <f>IF(AND($AX46=1,OR($AW46="",COUNTIF($EJ$2:$EN$2,$AW46)&gt;0)),$AV46,"")</f>
        <v/>
      </c>
      <c r="JX46" s="155">
        <f>IF(OR($AW46="",COUNTIF($EJ$3:$EN$3,$AW46)&gt;0),$AV46,"")</f>
        <v/>
      </c>
      <c r="JY46" s="155">
        <f>IF(AND($AX46=1,OR($AW46="",COUNTIF($EJ$3:$EN$3,$AW46)&gt;0)),$AV46,"")</f>
        <v/>
      </c>
      <c r="KD46" s="155">
        <f>IF(OR($AW46="",COUNTIF($EJ$4:$EN$4,$AW46)&gt;0),$AV46,"")</f>
        <v/>
      </c>
      <c r="KE46" s="155">
        <f>IF(AND($AX46=1,OR($AW46="",COUNTIF($EJ$4:$EN$4,$AW46)&gt;0)),$AV46,"")</f>
        <v/>
      </c>
      <c r="KJ46" s="155">
        <f>IF(OR($AW46="",COUNTIF($EJ$5:$EN$5,$AW46)&gt;0),$AV46,"")</f>
        <v/>
      </c>
      <c r="KK46" s="155">
        <f>IF(AND($AX46=1,OR($AW46="",COUNTIF($EJ$5:$EN$5,$AW46)&gt;0)),$AV46,"")</f>
        <v/>
      </c>
      <c r="KP46" s="155">
        <f>IF(OR($AW46="",COUNTIF($EJ$6:$EN$6,$AW46)&gt;0),$AV46,"")</f>
        <v/>
      </c>
      <c r="KQ46" s="155">
        <f>IF(AND($AX46=1,OR($AW46="",COUNTIF($EJ$6:$EN$6,$AW46)&gt;0)),$AV46,"")</f>
        <v/>
      </c>
      <c r="KV46" s="155">
        <f>IF(OR($AW46="",COUNTIF($EJ$7:$EN$7,$AW46)&gt;0),$AV46,"")</f>
        <v/>
      </c>
      <c r="KW46" s="155">
        <f>IF(AND($AX46=1,OR($AW46="",COUNTIF($EJ$7:$EN$7,$AW46)&gt;0)),$AV46,"")</f>
        <v/>
      </c>
      <c r="LB46" s="155">
        <f>IF(OR($AW46="",COUNTIF($EJ$8:$EN$8,$AW46)&gt;0),$AV46,"")</f>
        <v/>
      </c>
      <c r="LC46" s="155">
        <f>IF(AND($AX46=1,OR($AW46="",COUNTIF($EJ$8:$EN$8,$AW46)&gt;0)),$AV46,"")</f>
        <v/>
      </c>
      <c r="LH46" s="155">
        <f>IF(OR($AW46="",COUNTIF($EJ$9:$EN$9,$AW46)&gt;0),$AV46,"")</f>
        <v/>
      </c>
      <c r="LI46" s="155">
        <f>IF(AND($AX46=1,OR($AW46="",COUNTIF($EJ$9:$EN$9,$AW46)&gt;0)),$AV46,"")</f>
        <v/>
      </c>
      <c r="LN46" s="155">
        <f>IF(OR($AW46="",COUNTIF($EJ$10:$EN$10,$AW46)&gt;0),$AV46,"")</f>
        <v/>
      </c>
      <c r="LO46" s="155">
        <f>IF(AND($AX46=1,OR($AW46="",COUNTIF($EJ$10:$EN$10,$AW46)&gt;0)),$AV46,"")</f>
        <v/>
      </c>
      <c r="LT46" s="155">
        <f>IF(OR($AW46="",COUNTIF($EJ$11:$EN$11,$AW46)&gt;0),$AV46,"")</f>
        <v/>
      </c>
      <c r="LU46" s="155">
        <f>IF(AND($AX46=1,OR($AW46="",COUNTIF($EJ$11:$EN$11,$AW46)&gt;0)),$AV46,"")</f>
        <v/>
      </c>
      <c r="LZ46" s="155">
        <f>IF(OR($AW46="",COUNTIF($EJ$12:$EN$12,$AW46)&gt;0),$AV46,"")</f>
        <v/>
      </c>
      <c r="MA46" s="155">
        <f>IF(AND($AX46=1,OR($AW46="",COUNTIF($EJ$12:$EN$12,$AW46)&gt;0)),$AV46,"")</f>
        <v/>
      </c>
      <c r="MF46" s="155">
        <f>IF(OR($AW46="",COUNTIF($EJ$13:$EN$13,$AW46)&gt;0),$AV46,"")</f>
        <v/>
      </c>
      <c r="MG46" s="155">
        <f>IF(AND($AX46=1,OR($AW46="",COUNTIF($EJ$13:$EN$13,$AW46)&gt;0)),$AV46,"")</f>
        <v/>
      </c>
      <c r="ML46" s="153" t="inlineStr">
        <is>
          <t>Ficha 4 · Especial 4</t>
        </is>
      </c>
      <c r="MM46" s="155" t="n">
        <v>4</v>
      </c>
      <c r="MN46" s="155" t="n">
        <v>1</v>
      </c>
      <c r="MO46" s="155" t="n">
        <v>12</v>
      </c>
      <c r="MP46" s="153" t="inlineStr">
        <is>
          <t>ESPECIAL 4</t>
        </is>
      </c>
      <c r="MQ46" s="155">
        <f>MAX(1,MIN(7,N('INVOCAÇÕES'!$U$686)))</f>
        <v/>
      </c>
      <c r="MR46" s="155">
        <f>'INVOCAÇÕES'!$V$686&amp;""</f>
        <v/>
      </c>
      <c r="MS46" s="155">
        <f>'INVOCAÇÕES'!$U$691&amp;""</f>
        <v/>
      </c>
      <c r="MT46" s="155">
        <f>'INVOCAÇÕES'!$U$692&amp;""</f>
        <v/>
      </c>
      <c r="MU46" s="155">
        <f>'INVOCAÇÕES'!$W$692&amp;""</f>
        <v/>
      </c>
      <c r="MV46" s="155">
        <f>'INVOCAÇÕES'!$V$695&amp;""</f>
        <v/>
      </c>
      <c r="MW46" s="155">
        <f>'INVOCAÇÕES'!$V$696&amp;""</f>
        <v/>
      </c>
      <c r="MX46" s="155">
        <f>'INVOCAÇÕES'!$V$697&amp;""</f>
        <v/>
      </c>
      <c r="MY46" s="155">
        <f>'INVOCAÇÕES'!$V$698&amp;""</f>
        <v/>
      </c>
      <c r="MZ46" s="155">
        <f>'INVOCAÇÕES'!$V$699&amp;""</f>
        <v/>
      </c>
      <c r="NA46" s="155">
        <f>'INVOCAÇÕES'!$V$700&amp;""</f>
        <v/>
      </c>
      <c r="NB46" s="155">
        <f>IF($MR46&lt;&gt;"",1,0)</f>
        <v/>
      </c>
      <c r="NC46" s="155">
        <f>INDEX($FM$2:$FM$13,$MM46)</f>
        <v/>
      </c>
      <c r="ND46" s="155">
        <f>INDEX($FN$2:$FN$13,$MM46)</f>
        <v/>
      </c>
      <c r="NE46" s="155">
        <f>INDEX($FO$2:$FO$13,$MM46)</f>
        <v/>
      </c>
      <c r="NF46" s="155">
        <f>INDEX($FZ$2:$FZ$13,$MM46)</f>
        <v/>
      </c>
      <c r="NG46" s="155">
        <f>INDEX($GA$2:$GA$13,$MM46)</f>
        <v/>
      </c>
      <c r="NH46" s="155">
        <f>IFERROR(MATCH($MS46,$V$2:$V$11,0),0)</f>
        <v/>
      </c>
      <c r="NI46" s="155">
        <f>IFERROR(VLOOKUP($MV46,$AV$2:$BA$84,2,FALSE),"")</f>
        <v/>
      </c>
      <c r="NJ46" s="155">
        <f>IFERROR(VLOOKUP($MW46,$AV$2:$BA$84,2,FALSE),"")</f>
        <v/>
      </c>
      <c r="NK46" s="155">
        <f>IFERROR(VLOOKUP($MX46,$AV$2:$BA$84,2,FALSE),"")</f>
        <v/>
      </c>
      <c r="NL46" s="155">
        <f>IFERROR(VLOOKUP($MY46,$AV$2:$BA$84,2,FALSE),"")</f>
        <v/>
      </c>
      <c r="NM46" s="155">
        <f>IFERROR(VLOOKUP($MV46,$AV$2:$BA$84,3,FALSE),0)</f>
        <v/>
      </c>
      <c r="NN46" s="155">
        <f>IFERROR(VLOOKUP($MW46,$AV$2:$BA$84,3,FALSE),0)</f>
        <v/>
      </c>
      <c r="NO46" s="155">
        <f>IFERROR(VLOOKUP($MX46,$AV$2:$BA$84,3,FALSE),0)</f>
        <v/>
      </c>
      <c r="NP46" s="155">
        <f>IFERROR(VLOOKUP($MY46,$AV$2:$BA$84,3,FALSE),0)</f>
        <v/>
      </c>
      <c r="NQ46" s="155">
        <f>IF($MQ46=0,0,IF($NH46=0,0,INDEX($X$2:$X$11,$NH46)))</f>
        <v/>
      </c>
      <c r="NR46" s="155">
        <f>IF(OR($NM46=0,$MQ46=0),0,$NM46+3*IF(AND($NI46&lt;&gt;"",OR($NI46=INDEX($EJ$2:$EJ$13,$MM46),$NI46=INDEX($EK$2:$EK$13,$MM46))),1,0))</f>
        <v/>
      </c>
      <c r="NS46" s="155">
        <f>IF(OR($NN46=0,$MQ46=0),0,$NN46+3*IF(AND($NJ46&lt;&gt;"",OR($NJ46=INDEX($EJ$2:$EJ$13,$MM46),$NJ46=INDEX($EK$2:$EK$13,$MM46))),1,0))</f>
        <v/>
      </c>
      <c r="NT46" s="155">
        <f>IF(OR($NO46=0,$MQ46=0),0,$NO46+3*IF(AND($NK46&lt;&gt;"",OR($NK46=INDEX($EJ$2:$EJ$13,$MM46),$NK46=INDEX($EK$2:$EK$13,$MM46))),1,0))</f>
        <v/>
      </c>
      <c r="NU46" s="155">
        <f>IF(OR($NP46=0,$MQ46=0),0,$NP46+3*IF(AND($NL46&lt;&gt;"",OR($NL46=INDEX($EJ$2:$EJ$13,$MM46),$NL46=INDEX($EK$2:$EK$13,$MM46))),1,0))</f>
        <v/>
      </c>
      <c r="NV46" s="155">
        <f>IF($NH46=0,0,IF(INDEX($W$2:$W$11,$NH46)="",0,IF(COUNTIF(INDEX($EJ$2:$EN$13,$MM46,0),INDEX($W$2:$W$11,$NH46))=0,1,0)))</f>
        <v/>
      </c>
      <c r="NW46" s="155">
        <f>IF(OR($NM46=0,$NI46=""),0,IF(COUNTIF(INDEX($EJ$2:$EN$13,$MM46,0),$NI46)=0,1,0))</f>
        <v/>
      </c>
      <c r="NX46" s="155">
        <f>IF(OR($NN46=0,$NJ46=""),0,IF(COUNTIF(INDEX($EJ$2:$EN$13,$MM46,0),$NJ46)=0,1,0))</f>
        <v/>
      </c>
      <c r="NY46" s="155">
        <f>IF(OR($NO46=0,$NK46=""),0,IF(COUNTIF(INDEX($EJ$2:$EN$13,$MM46,0),$NK46)=0,1,0))</f>
        <v/>
      </c>
      <c r="NZ46" s="155">
        <f>IF(OR($NP46=0,$NL46=""),0,IF(COUNTIF(INDEX($EJ$2:$EN$13,$MM46,0),$NL46)=0,1,0))</f>
        <v/>
      </c>
      <c r="OA46" s="155">
        <f>IFERROR(VLOOKUP($MV46,$AV$2:$BA$84,4,FALSE),0)+IFERROR(VLOOKUP($MW46,$AV$2:$BA$84,4,FALSE),0)+IFERROR(VLOOKUP($MX46,$AV$2:$BA$84,4,FALSE),0)+IFERROR(VLOOKUP($MY46,$AV$2:$BA$84,4,FALSE),0)</f>
        <v/>
      </c>
      <c r="OB46" s="155">
        <f>IFERROR(VLOOKUP($MV46,$AV$2:$BA$84,6,FALSE),0)+IFERROR(VLOOKUP($MW46,$AV$2:$BA$84,6,FALSE),0)+IFERROR(VLOOKUP($MX46,$AV$2:$BA$84,6,FALSE),0)+IFERROR(VLOOKUP($MY46,$AV$2:$BA$84,6,FALSE),0)</f>
        <v/>
      </c>
      <c r="OC46" s="155">
        <f>TEXTJOIN(", ",TRUE,IF(IFERROR(VLOOKUP($MV46,$AV$2:$BA$84,5,FALSE),0)=1,$MV46,""),IF(IFERROR(VLOOKUP($MW46,$AV$2:$BA$84,5,FALSE),0)=1,$MW46,""),IF(IFERROR(VLOOKUP($MX46,$AV$2:$BA$84,5,FALSE),0)=1,$MX46,""),IF(IFERROR(VLOOKUP($MY46,$AV$2:$BA$84,5,FALSE),0)=1,$MY46,""))</f>
        <v/>
      </c>
      <c r="OD46" s="155">
        <f>IF($NH46=0,0,INDEX($Y$2:$Y$11,$NH46))</f>
        <v/>
      </c>
      <c r="OE46" s="155">
        <f>IF($NH46=0,0,INDEX($Z$2:$Z$11,$NH46))</f>
        <v/>
      </c>
      <c r="OF46" s="155">
        <f>IF($NH46=0,0,INDEX($AB$2:$AB$11,$NH46))</f>
        <v/>
      </c>
      <c r="OG46" s="155">
        <f>IFERROR(VLOOKUP($MZ46,$BC$2:$BG$24,3,FALSE),0)</f>
        <v/>
      </c>
      <c r="OH46" s="155">
        <f>IFERROR(VLOOKUP($NA46,$BC$2:$BG$24,3,FALSE),0)</f>
        <v/>
      </c>
      <c r="OI46" s="155">
        <f>IFERROR(VLOOKUP($MZ46,$BC$2:$BG$24,2,FALSE),"")</f>
        <v/>
      </c>
      <c r="OJ46" s="155">
        <f>IFERROR(VLOOKUP($NA46,$BC$2:$BG$24,2,FALSE),"")</f>
        <v/>
      </c>
      <c r="OK46" s="155">
        <f>COUNTIF($NQ46:$NU46,1)</f>
        <v/>
      </c>
      <c r="OL46" s="155">
        <f>COUNTIF($NQ46:$NU46,2)</f>
        <v/>
      </c>
      <c r="OM46" s="155">
        <f>COUNTIF($NQ46:$NU46,3)</f>
        <v/>
      </c>
      <c r="ON46" s="155">
        <f>COUNTIF($NQ46:$NU46,4)</f>
        <v/>
      </c>
      <c r="OO46" s="155">
        <f>COUNTIF($NQ46:$NU46,5)</f>
        <v/>
      </c>
      <c r="OP46" s="155">
        <f>COUNTIF($NQ46:$NU46,6)</f>
        <v/>
      </c>
      <c r="OQ46" s="155">
        <f>COUNTIF($OG46:$OH46,1)</f>
        <v/>
      </c>
      <c r="OR46" s="155">
        <f>COUNTIF($OG46:$OH46,2)+$OD46</f>
        <v/>
      </c>
      <c r="OS46" s="155">
        <f>COUNTIF($MV46:$MY46,"?*")</f>
        <v/>
      </c>
      <c r="OT46" s="155">
        <f>COUNTIF($MZ46:$NA46,"?*")+$OD46</f>
        <v/>
      </c>
      <c r="OU46" s="155">
        <f>IF($MQ46=0,0,SUMPRODUCT($OK46:$OP46,INDEX($I$2:$N$8,MAX(1,$MQ46),0)))</f>
        <v/>
      </c>
      <c r="OV46" s="155">
        <f>IF($MQ46=0,0,$OQ46*CEILING($MQ46/2,1)+$OR46*$MQ46)</f>
        <v/>
      </c>
      <c r="OW46" s="155">
        <f>MIN(2*$MQ46,$OV46)</f>
        <v/>
      </c>
      <c r="OX46" s="155">
        <f>MIN($OW46,$OU46)</f>
        <v/>
      </c>
      <c r="OY46" s="155">
        <f>$OW46-$OX46</f>
        <v/>
      </c>
      <c r="OZ46" s="155">
        <f>IF($MQ46=0,0,INDEX($P$2:$P$8,MAX(1,$MQ46)))</f>
        <v/>
      </c>
      <c r="PA46" s="155">
        <f>$OZ46-$OU46+$OX46</f>
        <v/>
      </c>
      <c r="PB46" s="155">
        <f>IF($MQ46=0,MAX(0,$NE46-IF($OS46&gt;0,1,0)),MAX(0,$PA46))</f>
        <v/>
      </c>
      <c r="PC46" s="155">
        <f>IF($MQ46=0,0,(IF(COUNTIF($MV46:$MY46,"Salto")&gt;0,1,0)+IF(COUNTIF($MV46:$MY46,"Queima")&gt;0,1,0)+IF(COUNTIF($MV46:$MY46,"Estilhaço")&gt;0,1,0))*FLOOR($PB46/2,1))</f>
        <v/>
      </c>
      <c r="PD46" s="155">
        <f>MAX(0,2-SUMPRODUCT($OK46:$OP46,$I$2:$N$2)+MIN(2,$OQ46*1+$OR46*1,SUMPRODUCT($OK46:$OP46,$I$2:$N$2)))</f>
        <v/>
      </c>
      <c r="PE46" s="155">
        <f>MAX(0,4-SUMPRODUCT($OK46:$OP46,$I$3:$N$3)+MIN(4,$OQ46*1+$OR46*2,SUMPRODUCT($OK46:$OP46,$I$3:$N$3)))</f>
        <v/>
      </c>
      <c r="PF46" s="155">
        <f>MAX(0,6-SUMPRODUCT($OK46:$OP46,$I$4:$N$4)+MIN(6,$OQ46*2+$OR46*3,SUMPRODUCT($OK46:$OP46,$I$4:$N$4)))</f>
        <v/>
      </c>
      <c r="PG46" s="155">
        <f>MAX(0,9-SUMPRODUCT($OK46:$OP46,$I$5:$N$5)+MIN(8,$OQ46*2+$OR46*4,SUMPRODUCT($OK46:$OP46,$I$5:$N$5)))</f>
        <v/>
      </c>
      <c r="PH46" s="155">
        <f>MAX(0,11-SUMPRODUCT($OK46:$OP46,$I$6:$N$6)+MIN(10,$OQ46*3+$OR46*5,SUMPRODUCT($OK46:$OP46,$I$6:$N$6)))</f>
        <v/>
      </c>
      <c r="PI46" s="155">
        <f>MAX(0,13-SUMPRODUCT($OK46:$OP46,$I$7:$N$7)+MIN(12,$OQ46*3+$OR46*6,SUMPRODUCT($OK46:$OP46,$I$7:$N$7)))</f>
        <v/>
      </c>
      <c r="PJ46" s="155">
        <f>MAX(0,16-SUMPRODUCT($OK46:$OP46,$I$8:$N$8)+MIN(14,$OQ46*4+$OR46*7,SUMPRODUCT($OK46:$OP46,$I$8:$N$8)))</f>
        <v/>
      </c>
      <c r="PK46" s="155">
        <f>IF($OE46=2,3*$PD46&amp;" de vida temp.",IF($OE46=3,"sem dano",IF($PD46=0,IF($OE46=1,"sem cura","sem dano"),IF($OE46=1,"cura ","")&amp;$PD46&amp;"d8")))</f>
        <v/>
      </c>
      <c r="PL46" s="155">
        <f>IF($OE46=2,3*$PE46&amp;" de vida temp.",IF($OE46=3,"sem dano",IF($PE46=0,IF($OE46=1,"sem cura","sem dano"),IF($OE46=1,"cura ","")&amp;$PE46&amp;"d8")))</f>
        <v/>
      </c>
      <c r="PM46" s="155">
        <f>IF($OE46=2,3*$PF46&amp;" de vida temp.",IF($OE46=3,"sem dano",IF($PF46=0,IF($OE46=1,"sem cura","sem dano"),IF($OE46=1,"cura ","")&amp;$PF46&amp;"d8")))</f>
        <v/>
      </c>
      <c r="PN46" s="155">
        <f>IF($OE46=2,3*$PG46&amp;" de vida temp.",IF($OE46=3,"sem dano",IF($PG46=0,IF($OE46=1,"sem cura","sem dano"),IF($OE46=1,"cura ","")&amp;$PG46&amp;"d8")))</f>
        <v/>
      </c>
      <c r="PO46" s="155">
        <f>IF($OE46=2,3*$PH46&amp;" de vida temp.",IF($OE46=3,"sem dano",IF($PH46=0,IF($OE46=1,"sem cura","sem dano"),IF($OE46=1,"cura ","")&amp;$PH46&amp;"d8")))</f>
        <v/>
      </c>
      <c r="PP46" s="155">
        <f>IF($OE46=2,3*$PI46&amp;" de vida temp.",IF($OE46=3,"sem dano",IF($PI46=0,IF($OE46=1,"sem cura","sem dano"),IF($OE46=1,"cura ","")&amp;$PI46&amp;"d8")))</f>
        <v/>
      </c>
      <c r="PQ46" s="155">
        <f>IF($OE46=2,3*$PJ46&amp;" de vida temp.",IF($OE46=3,"sem dano",IF($PJ46=0,IF($OE46=1,"sem cura","sem dano"),IF($OE46=1,"cura ","")&amp;$PJ46&amp;"d8")))</f>
        <v/>
      </c>
      <c r="PR46" s="155">
        <f>IF($NB46=0,"",TEXTJOIN(" · ",TRUE,IF($MO46&gt;$NC46,"Este lugar abre no nível "&amp;$MO46,""),IF($MQ46&gt;$ND46,"Classe "&amp;$MQ46&amp;": o nível "&amp;$NC46&amp;" libera até a "&amp;$ND46,""),IF($NV46=1,"A Forma "&amp;$MS46&amp;" pede "&amp;INDEX($W$2:$W$11,$NH46)&amp;" aberta",""),IF(AND($MQ46=0,$NH46&gt;0,IF($NH46=0,0,INDEX($AF$2:$AF$11,$NH46))=0),$MS46&amp;" não existe na Classe 0",""),IF($NW46=1,"Família Fechada: "&amp;$MV46,""),IF($NX46=1,"Família Fechada: "&amp;$MW46,""),IF($NY46=1,"Família Fechada: "&amp;$MX46,""),IF($NZ46=1,"Família Fechada: "&amp;$MY46,""),IF(AND($MQ46&gt;0,$OS46&gt;INDEX($O$2:$O$8,MAX(1,$MQ46))),$OS46&amp;" Melhorias: a Classe "&amp;$MQ46&amp;" aceita "&amp;INDEX($O$2:$O$8,MAX(1,$MQ46)),""),IF(AND($MQ46=0,$OS46&gt;1),"A básica aceita uma Melhoria",""),IF(AND($MQ46=0,COUNTIF($NM46:$NP46,"&gt;1")&gt;0),"A básica só aceita Melhoria Leve",""),IF(AND($MQ46&gt;0,$OT46&gt;2),$OT46&amp;" Restrições"&amp;IF($OD46=1,", contando a que a Forma "&amp;$MS46&amp;" já traz","")&amp;": o limite é 2",""),IF(AND($MQ46=0,COUNTIF($MZ46:$NA46,"?*")&gt;1),"A básica aceita uma Restrição Leve",""),IF(AND($MQ46=0,COUNTIF($OG46:$OH46,2)&gt;0),"A básica só aceita Restrição Leve",""),IF(AND($MQ46&gt;0,$PA46&lt;0),"Orçamento estourado: faltam "&amp;(-$PA46)&amp;IF($PA46&lt;-1," pontos"," ponto"),""),IF(IFERROR(VLOOKUP($MZ46,$BC$2:$BG$24,4,FALSE),0)+IFERROR(VLOOKUP($NA46,$BC$2:$BG$24,4,FALSE),0)&gt;1,$OI46&amp;" e "&amp;$OJ46&amp;" são as duas de frequência",""),IF(AND((COUNTIF($MV46:$MY46,"Rápido")+COUNTIF($OI46:$OJ46,"Rápido"))&gt;0,(COUNTIF($MV46:$MY46,"Atrasar")+COUNTIF($OI46:$OJ46,"Atrasar"))&gt;0),"Rápido não entra com Atrasar",""),IF(AND((COUNTIF($MV46:$MY46,"Reação")+COUNTIF($OI46:$OJ46,"Reação"))&gt;0,(COUNTIF($MV46:$MY46,"Rápido")+COUNTIF($OI46:$OJ46,"Rápido"))&gt;0),"Reação não entra com Rápido",""),IF(AND((COUNTIF($MV46:$MY46,"Reação")+COUNTIF($OI46:$OJ46,"Reação"))&gt;0,(COUNTIF($MV46:$MY46,"Armado")+COUNTIF($OI46:$OJ46,"Armado"))&gt;0),"Reação não entra com Armado",""),IF(AND((COUNTIF($MV46:$MY46,"Reação")+COUNTIF($OI46:$OJ46,"Reação"))&gt;0,(COUNTIF($MV46:$MY46,"Atrasar")+COUNTIF($OI46:$OJ46,"Atrasar"))&gt;0),"Reação não entra com Atrasar",""),IF(AND((COUNTIF($MV46:$MY46,"Reação")+COUNTIF($OI46:$OJ46,"Reação"))&gt;0,(COUNTIF($MV46:$MY46,"Parado")+COUNTIF($OI46:$OJ46,"Parado"))&gt;0),"Reação não entra com Parado",""),IF(AND((COUNTIF($MV46:$MY46,"Atrasar")+COUNTIF($OI46:$OJ46,"Atrasar"))&gt;0,(COUNTIF($MV46:$MY46,"Parado")+COUNTIF($OI46:$OJ46,"Parado"))&gt;0),"Atrasar não entra com Parado",""),IF(AND((COUNTIF($MV46:$MY46,"Armado")+COUNTIF($OI46:$OJ46,"Armado"))&gt;0,(COUNTIF($MV46:$MY46,"Carregar")+COUNTIF($OI46:$OJ46,"Carregar"))&gt;0),"Armado não entra com Carregar",""),IF(AND(COUNTIF($OI46:$OJ46,"Corpo a Corpo")&gt;0,$OD46=0,OR($MS46="Cone",$MS46="Linha")),"Corpo a Corpo não entra em "&amp;$MS46,""),IF(AND(COUNTIF($OI46:$OJ46,"Corpo a Corpo")&gt;0,$OD46=1),"A Forma "&amp;$MS46&amp;" já traz o Corpo a Corpo",""),IF(AND(COUNTIF($OI46:$OJ46,"Tudo ou Nada")&gt;0,$OF46=0),"Tudo ou Nada só entra em habilidade de Teste de Resistência",""),IF(AND(COUNTIF($MV46:$MY46,"Inescapável")&gt;0,OR($OS46&gt;1,$OT46&gt;0)),"Inescapável não aceita outra peça",""),IF(AND($MQ46&gt;0,$PB46*IF(COUNTIF($MV46:$MY46,"Remate")&gt;0,1.25,1)+$PC46&gt;4*$MQ46),($PB46*IF(COUNTIF($MV46:$MY46,"Remate")&gt;0,1.25,1)+$PC46)&amp;" dados somando repetições"&amp;IF(COUNTIF($MV46:$MY46,"Remate")&gt;0," e o Remate","")&amp;": o teto da Classe "&amp;$MQ46&amp;" é "&amp;4*$MQ46,"")))</f>
        <v/>
      </c>
      <c r="PS46" s="155">
        <f>IF($PR46="",0,(LEN($PR46)-LEN(SUBSTITUTE($PR46," · ","")))/3+1)</f>
        <v/>
      </c>
      <c r="PT46" s="155">
        <f>IF($NB46=0,"",TEXTJOIN(" · ",TRUE,IF($OV46&gt;2*$MQ46,"A devolução parou no teto de "&amp;2*$MQ46,""),IF($OY46&gt;0,"Devolução perdida: "&amp;$OY46&amp;IF($OY46&gt;1," pontos"," ponto")&amp;" sem peça para pagar",""),IF(AND($OA46&gt;0,AND($MQ46&gt;0,$OE46=0),$PB46=0),"Controle sem dano: uma rodada a mais e CD +2",""),IF(AND($OA46&gt;0,AND($MQ46&gt;0,$OE46=0),$PB46&gt;0,$PB46&lt;=$MQ46),"Controle com saldo até a Classe: uma rodada a mais",""),IF(AND($MQ46&gt;0,$OC46&lt;&gt;""),"Efeito de "&amp;$OC46&amp;" pela Classe "&amp;MAX(1,$MQ46-1),"")))</f>
        <v/>
      </c>
      <c r="PU46" s="155">
        <f>IF($PT46="",0,(LEN($PT46)-LEN(SUBSTITUTE($PT46," · ","")))/3+1)</f>
        <v/>
      </c>
      <c r="PV46" s="155">
        <f>IF($NB46=0,IF($OS46+COUNTIF($MZ46:$NA46,"?*")&gt;0,"Dê um nome",""),IF($PS46&gt;0,"⚠ "&amp;$PS46&amp;IF($PS46&gt;1," erros"," erro"),IF($PU46&gt;0,"! "&amp;$PU46&amp;IF($PU46&gt;1," avisos"," aviso"),"Na regra")))</f>
        <v/>
      </c>
      <c r="PW46" s="155">
        <f>IF($NB46=0,"",IF($PS46+$PU46=0,"Dentro das regras que a ficha confere",$PR46&amp;IF(AND($PS46&gt;0,$PU46&gt;0)," · ","")&amp;$PT46))</f>
        <v/>
      </c>
      <c r="PX46" s="155">
        <f>IF($MO46&gt;$NC46,$MP46&amp;" · ABRE NO NÍVEL "&amp;$MO46,$MP46)</f>
        <v/>
      </c>
      <c r="PY46" s="155">
        <f>IF($NB46=0,"",IF($MQ46=0,"Sem PE",3*$MQ46&amp;" PE"))</f>
        <v/>
      </c>
      <c r="PZ46" s="155">
        <f>IF($NB46=0,"",IF($MQ46=0,"A atuação básica dela",IF(COUNTIF($OI46:$OJ46,"Atrasar")&gt;0,"Sua Ação Completa",IF(COUNTIF($MV46:$MY46,"Rápido")&gt;0,"Sua Bônus",IF(COUNTIF($MV46:$MY46,"Reação")&gt;0,"Sua Reação","Sua Padrão")))&amp;" + a básica dela"&amp;IF(COUNTIF($MV46:$MY46,"Reação")&gt;0," e a coletiva","")&amp;IF(COUNTIF($OI46:$OJ46,"Carregar")&gt;0," · em dois turnos","")))</f>
        <v/>
      </c>
      <c r="QA46" s="155">
        <f>IF($MU46&lt;&gt;"",$MU46,IF($NH46=0,"",INDEX($AA$2:$AA$11,$NH46)))</f>
        <v/>
      </c>
      <c r="QB46" s="155">
        <f>IF(OR($NB46=0,$NH46=0),"",IF(COUNTIF($MV46:$MY46,"Inescapável")&gt;0,"Automático",IF($QA46="Ataque",IF($NF46="","Ataque","Ataque "&amp;IF(($NF46+2*IF(COUNTIF($MV46:$MY46,"Precisão")&gt;0,1,0))&gt;=0,"+","−")&amp;ABS(($NF46+2*IF(COUNTIF($MV46:$MY46,"Precisão")&gt;0,1,0))))&amp;IF($OB46&gt;0," · TR"&amp;IF($NG46="",""," CD "&amp;$NG46),""),IF(LEFT($QA46,2)="TR",$QA46&amp;IF($NG46="",""," · CD "&amp;$NG46)&amp;IF(COUNTIF($MV46:$MY46,"Certeiro")&gt;0," · metade",""),"Sem rolagem"))))</f>
        <v/>
      </c>
      <c r="QC46" s="155">
        <f>IF(OR($NB46=0,$NH46=0),"",IF($MQ46=0,IF(OR($OE46&gt;=1,$PB46=0),"Sem dano",$PB46&amp;"d6"&amp;IF($MT46="",""," "&amp;$MT46)),IF(OR($OE46&gt;=1,$PB46=0),UPPER(LEFT(INDEX($PK46:$PQ46,1,MAX(1,$MQ46)),1))&amp;MID(INDEX($PK46:$PQ46,1,MAX(1,$MQ46)),2,99),UPPER(LEFT(INDEX($PK46:$PQ46,1,MAX(1,$MQ46)),1))&amp;MID(INDEX($PK46:$PQ46,1,MAX(1,$MQ46)),2,99)&amp;IF($MT46="",""," "&amp;$MT46)&amp;IF($PC46&gt;0," · +"&amp;$PC46&amp;"d8",""))))</f>
        <v/>
      </c>
      <c r="QD46" s="155">
        <f>COUNTIF($MV46:$MY46,"Longe")+3*COUNTIF($MV46:$MY46,"Muito Longe")</f>
        <v/>
      </c>
      <c r="QE46" s="155">
        <f>COUNTIF($MV46:$MY46,"Maior")+3*COUNTIF($MV46:$MY46,"Muito Maior")</f>
        <v/>
      </c>
      <c r="QF46" s="155">
        <f>IF($NH46=0,0,CHOOSE(1+INDEX($AC$2:$AC$11,$NH46),0,$QD46,$QE46,$QD46+$QE46))</f>
        <v/>
      </c>
      <c r="QG46" s="155">
        <f>IF($NH46=0,0,CHOOSE(1+INDEX($AD$2:$AD$11,$NH46),0,$QD46,$QE46,$QD46+$QE46))</f>
        <v/>
      </c>
      <c r="QH46" s="155">
        <f>IF(OR($NB46=0,$NH46=0),"",INDEX($AI$2:$AN$41,($NH46-1)*4+IF($MQ46=0,1,IF($MQ46&lt;=5,2,IF($MQ46=6,3,4))),1+MIN(5,$QF46))&amp;INDEX($AO$2:$AT$41,($NH46-1)*4+IF($MQ46=0,1,IF($MQ46&lt;=5,2,IF($MQ46=6,3,4))),1+MIN(5,$QG46))&amp;IF(INDEX($AE$2:$AE$11,$NH46)=1,IF(COUNTIF($MV46:$MY46,"Mais Um")&gt;0," · +"&amp;COUNTIF($MV46:$MY46,"Mais Um")&amp;IF(COUNTIF($MV46:$MY46,"Mais Um")&gt;1," alvos"," alvo"),"")&amp;IF(COUNTIF($MV46:$MY46,"Rajada")&gt;0,IF($MQ46=0," · 1 tiro"," · "&amp;(MAX(1,$MQ46-1)+1)&amp;" tiros"),""),""))</f>
        <v/>
      </c>
      <c r="QI46" s="155">
        <f>IF($NB46=0,"",IF($MQ46=0,$NE46&amp;"d6"&amp;IF($OS46&gt;0," − 1 = "&amp;$PB46&amp;"d6"," da básica do nível "&amp;$NC46),$OZ46&amp;" − "&amp;$OU46&amp;" + "&amp;$OX46&amp;" = "&amp;$PA46&amp;" · teto "&amp;4*$MQ46&amp;"d8"&amp;IF($OD46=1," · a Forma devolve "&amp;$MQ46,"")&amp;IF($OY46&gt;0," · perde "&amp;$OY46,"")))</f>
        <v/>
      </c>
      <c r="QJ46" s="155">
        <f>IF($NB46=0,"",IF($MQ46=0,"A básica não amplia: os dados dela sobem com o nível",IF($MQ46&gt;=$ND46,"Já está na maior Classe que o nível liberou",TEXTJOIN(" · ",TRUE,IF(AND(2&gt;$MQ46,2&lt;=$ND46),"2 → "&amp;$PL46&amp;", 6 PE",""),IF(AND(3&gt;$MQ46,3&lt;=$ND46),"3 → "&amp;$PM46&amp;", 9 PE",""),IF(AND(4&gt;$MQ46,4&lt;=$ND46),"4 → "&amp;$PN46&amp;", 12 PE",""),IF(AND(5&gt;$MQ46,5&lt;=$ND46),"5 → "&amp;$PO46&amp;", 15 PE",""),IF(AND(6&gt;$MQ46,6&lt;=$ND46),"6 → "&amp;$PP46&amp;", 18 PE",""),IF(AND(7&gt;$MQ46,7&lt;=$ND46),"7 → "&amp;$PQ46&amp;", 21 PE","")))))</f>
        <v/>
      </c>
      <c r="QK46" s="155">
        <f>IF(OR($NB46=0,$NM46=0),"",IF($MQ46=0,"−1 dado","−"&amp;INDEX($I$2:$N$8,MAX(1,$MQ46),MAX(1,$NR46))&amp;" · "&amp;CHOOSE(MAX(1,$NR46),"Leve","Média","Pesada","Leve · Livre","Média · Livre","Pesada · Livre")))</f>
        <v/>
      </c>
      <c r="QL46" s="155">
        <f>IF(OR($NB46=0,$NN46=0),"",IF($MQ46=0,"−1 dado","−"&amp;INDEX($I$2:$N$8,MAX(1,$MQ46),MAX(1,$NS46))&amp;" · "&amp;CHOOSE(MAX(1,$NS46),"Leve","Média","Pesada","Leve · Livre","Média · Livre","Pesada · Livre")))</f>
        <v/>
      </c>
      <c r="QM46" s="155">
        <f>IF(OR($NB46=0,$NO46=0),"",IF($MQ46=0,"−1 dado","−"&amp;INDEX($I$2:$N$8,MAX(1,$MQ46),MAX(1,$NT46))&amp;" · "&amp;CHOOSE(MAX(1,$NT46),"Leve","Média","Pesada","Leve · Livre","Média · Livre","Pesada · Livre")))</f>
        <v/>
      </c>
      <c r="QN46" s="155">
        <f>IF(OR($NB46=0,$NP46=0),"",IF($MQ46=0,"−1 dado","−"&amp;INDEX($I$2:$N$8,MAX(1,$MQ46),MAX(1,$NU46))&amp;" · "&amp;CHOOSE(MAX(1,$NU46),"Leve","Média","Pesada","Leve · Livre","Média · Livre","Pesada · Livre")))</f>
        <v/>
      </c>
      <c r="QO46" s="155">
        <f>IF(OR($NB46=0,$MZ46=""),"",IF($MQ46=0,"não devolve","+"&amp;IF($OG46=1,CEILING($MQ46/2,1),$MQ46)))</f>
        <v/>
      </c>
      <c r="QP46" s="155">
        <f>IF(OR($NB46=0,$NA46=""),"",IF($MQ46=0,"não devolve","+"&amp;IF($OH46=1,CEILING($MQ46/2,1),$MQ46)))</f>
        <v/>
      </c>
    </row>
    <row r="47">
      <c r="AV47" s="153" t="inlineStr">
        <is>
          <t>Sobrecarga</t>
        </is>
      </c>
      <c r="AW47" s="153" t="inlineStr">
        <is>
          <t>Auxiliares</t>
        </is>
      </c>
      <c r="AX47" s="155" t="n">
        <v>1</v>
      </c>
      <c r="AY47" s="155" t="n">
        <v>0</v>
      </c>
      <c r="AZ47" s="155" t="n">
        <v>0</v>
      </c>
      <c r="BA47" s="155" t="n">
        <v>0</v>
      </c>
      <c r="JR47" s="155">
        <f>IF(OR($AW47="",COUNTIF($EJ$2:$EN$2,$AW47)&gt;0),$AV47,"")</f>
        <v/>
      </c>
      <c r="JS47" s="155">
        <f>IF(AND($AX47=1,OR($AW47="",COUNTIF($EJ$2:$EN$2,$AW47)&gt;0)),$AV47,"")</f>
        <v/>
      </c>
      <c r="JX47" s="155">
        <f>IF(OR($AW47="",COUNTIF($EJ$3:$EN$3,$AW47)&gt;0),$AV47,"")</f>
        <v/>
      </c>
      <c r="JY47" s="155">
        <f>IF(AND($AX47=1,OR($AW47="",COUNTIF($EJ$3:$EN$3,$AW47)&gt;0)),$AV47,"")</f>
        <v/>
      </c>
      <c r="KD47" s="155">
        <f>IF(OR($AW47="",COUNTIF($EJ$4:$EN$4,$AW47)&gt;0),$AV47,"")</f>
        <v/>
      </c>
      <c r="KE47" s="155">
        <f>IF(AND($AX47=1,OR($AW47="",COUNTIF($EJ$4:$EN$4,$AW47)&gt;0)),$AV47,"")</f>
        <v/>
      </c>
      <c r="KJ47" s="155">
        <f>IF(OR($AW47="",COUNTIF($EJ$5:$EN$5,$AW47)&gt;0),$AV47,"")</f>
        <v/>
      </c>
      <c r="KK47" s="155">
        <f>IF(AND($AX47=1,OR($AW47="",COUNTIF($EJ$5:$EN$5,$AW47)&gt;0)),$AV47,"")</f>
        <v/>
      </c>
      <c r="KP47" s="155">
        <f>IF(OR($AW47="",COUNTIF($EJ$6:$EN$6,$AW47)&gt;0),$AV47,"")</f>
        <v/>
      </c>
      <c r="KQ47" s="155">
        <f>IF(AND($AX47=1,OR($AW47="",COUNTIF($EJ$6:$EN$6,$AW47)&gt;0)),$AV47,"")</f>
        <v/>
      </c>
      <c r="KV47" s="155">
        <f>IF(OR($AW47="",COUNTIF($EJ$7:$EN$7,$AW47)&gt;0),$AV47,"")</f>
        <v/>
      </c>
      <c r="KW47" s="155">
        <f>IF(AND($AX47=1,OR($AW47="",COUNTIF($EJ$7:$EN$7,$AW47)&gt;0)),$AV47,"")</f>
        <v/>
      </c>
      <c r="LB47" s="155">
        <f>IF(OR($AW47="",COUNTIF($EJ$8:$EN$8,$AW47)&gt;0),$AV47,"")</f>
        <v/>
      </c>
      <c r="LC47" s="155">
        <f>IF(AND($AX47=1,OR($AW47="",COUNTIF($EJ$8:$EN$8,$AW47)&gt;0)),$AV47,"")</f>
        <v/>
      </c>
      <c r="LH47" s="155">
        <f>IF(OR($AW47="",COUNTIF($EJ$9:$EN$9,$AW47)&gt;0),$AV47,"")</f>
        <v/>
      </c>
      <c r="LI47" s="155">
        <f>IF(AND($AX47=1,OR($AW47="",COUNTIF($EJ$9:$EN$9,$AW47)&gt;0)),$AV47,"")</f>
        <v/>
      </c>
      <c r="LN47" s="155">
        <f>IF(OR($AW47="",COUNTIF($EJ$10:$EN$10,$AW47)&gt;0),$AV47,"")</f>
        <v/>
      </c>
      <c r="LO47" s="155">
        <f>IF(AND($AX47=1,OR($AW47="",COUNTIF($EJ$10:$EN$10,$AW47)&gt;0)),$AV47,"")</f>
        <v/>
      </c>
      <c r="LT47" s="155">
        <f>IF(OR($AW47="",COUNTIF($EJ$11:$EN$11,$AW47)&gt;0),$AV47,"")</f>
        <v/>
      </c>
      <c r="LU47" s="155">
        <f>IF(AND($AX47=1,OR($AW47="",COUNTIF($EJ$11:$EN$11,$AW47)&gt;0)),$AV47,"")</f>
        <v/>
      </c>
      <c r="LZ47" s="155">
        <f>IF(OR($AW47="",COUNTIF($EJ$12:$EN$12,$AW47)&gt;0),$AV47,"")</f>
        <v/>
      </c>
      <c r="MA47" s="155">
        <f>IF(AND($AX47=1,OR($AW47="",COUNTIF($EJ$12:$EN$12,$AW47)&gt;0)),$AV47,"")</f>
        <v/>
      </c>
      <c r="MF47" s="155">
        <f>IF(OR($AW47="",COUNTIF($EJ$13:$EN$13,$AW47)&gt;0),$AV47,"")</f>
        <v/>
      </c>
      <c r="MG47" s="155">
        <f>IF(AND($AX47=1,OR($AW47="",COUNTIF($EJ$13:$EN$13,$AW47)&gt;0)),$AV47,"")</f>
        <v/>
      </c>
      <c r="ML47" s="153" t="inlineStr">
        <is>
          <t>Ficha 4 · Especial 5</t>
        </is>
      </c>
      <c r="MM47" s="155" t="n">
        <v>4</v>
      </c>
      <c r="MN47" s="155" t="n">
        <v>1</v>
      </c>
      <c r="MO47" s="155" t="n">
        <v>16</v>
      </c>
      <c r="MP47" s="153" t="inlineStr">
        <is>
          <t>ESPECIAL 5</t>
        </is>
      </c>
      <c r="MQ47" s="155">
        <f>MAX(1,MIN(7,N('INVOCAÇÕES'!$I$708)))</f>
        <v/>
      </c>
      <c r="MR47" s="155">
        <f>'INVOCAÇÕES'!$J$708&amp;""</f>
        <v/>
      </c>
      <c r="MS47" s="155">
        <f>'INVOCAÇÕES'!$I$713&amp;""</f>
        <v/>
      </c>
      <c r="MT47" s="155">
        <f>'INVOCAÇÕES'!$I$714&amp;""</f>
        <v/>
      </c>
      <c r="MU47" s="155">
        <f>'INVOCAÇÕES'!$K$714&amp;""</f>
        <v/>
      </c>
      <c r="MV47" s="155">
        <f>'INVOCAÇÕES'!$J$717&amp;""</f>
        <v/>
      </c>
      <c r="MW47" s="155">
        <f>'INVOCAÇÕES'!$J$718&amp;""</f>
        <v/>
      </c>
      <c r="MX47" s="155">
        <f>'INVOCAÇÕES'!$J$719&amp;""</f>
        <v/>
      </c>
      <c r="MY47" s="155">
        <f>'INVOCAÇÕES'!$J$720&amp;""</f>
        <v/>
      </c>
      <c r="MZ47" s="155">
        <f>'INVOCAÇÕES'!$J$721&amp;""</f>
        <v/>
      </c>
      <c r="NA47" s="155">
        <f>'INVOCAÇÕES'!$J$722&amp;""</f>
        <v/>
      </c>
      <c r="NB47" s="155">
        <f>IF($MR47&lt;&gt;"",1,0)</f>
        <v/>
      </c>
      <c r="NC47" s="155">
        <f>INDEX($FM$2:$FM$13,$MM47)</f>
        <v/>
      </c>
      <c r="ND47" s="155">
        <f>INDEX($FN$2:$FN$13,$MM47)</f>
        <v/>
      </c>
      <c r="NE47" s="155">
        <f>INDEX($FO$2:$FO$13,$MM47)</f>
        <v/>
      </c>
      <c r="NF47" s="155">
        <f>INDEX($FZ$2:$FZ$13,$MM47)</f>
        <v/>
      </c>
      <c r="NG47" s="155">
        <f>INDEX($GA$2:$GA$13,$MM47)</f>
        <v/>
      </c>
      <c r="NH47" s="155">
        <f>IFERROR(MATCH($MS47,$V$2:$V$11,0),0)</f>
        <v/>
      </c>
      <c r="NI47" s="155">
        <f>IFERROR(VLOOKUP($MV47,$AV$2:$BA$84,2,FALSE),"")</f>
        <v/>
      </c>
      <c r="NJ47" s="155">
        <f>IFERROR(VLOOKUP($MW47,$AV$2:$BA$84,2,FALSE),"")</f>
        <v/>
      </c>
      <c r="NK47" s="155">
        <f>IFERROR(VLOOKUP($MX47,$AV$2:$BA$84,2,FALSE),"")</f>
        <v/>
      </c>
      <c r="NL47" s="155">
        <f>IFERROR(VLOOKUP($MY47,$AV$2:$BA$84,2,FALSE),"")</f>
        <v/>
      </c>
      <c r="NM47" s="155">
        <f>IFERROR(VLOOKUP($MV47,$AV$2:$BA$84,3,FALSE),0)</f>
        <v/>
      </c>
      <c r="NN47" s="155">
        <f>IFERROR(VLOOKUP($MW47,$AV$2:$BA$84,3,FALSE),0)</f>
        <v/>
      </c>
      <c r="NO47" s="155">
        <f>IFERROR(VLOOKUP($MX47,$AV$2:$BA$84,3,FALSE),0)</f>
        <v/>
      </c>
      <c r="NP47" s="155">
        <f>IFERROR(VLOOKUP($MY47,$AV$2:$BA$84,3,FALSE),0)</f>
        <v/>
      </c>
      <c r="NQ47" s="155">
        <f>IF($MQ47=0,0,IF($NH47=0,0,INDEX($X$2:$X$11,$NH47)))</f>
        <v/>
      </c>
      <c r="NR47" s="155">
        <f>IF(OR($NM47=0,$MQ47=0),0,$NM47+3*IF(AND($NI47&lt;&gt;"",OR($NI47=INDEX($EJ$2:$EJ$13,$MM47),$NI47=INDEX($EK$2:$EK$13,$MM47))),1,0))</f>
        <v/>
      </c>
      <c r="NS47" s="155">
        <f>IF(OR($NN47=0,$MQ47=0),0,$NN47+3*IF(AND($NJ47&lt;&gt;"",OR($NJ47=INDEX($EJ$2:$EJ$13,$MM47),$NJ47=INDEX($EK$2:$EK$13,$MM47))),1,0))</f>
        <v/>
      </c>
      <c r="NT47" s="155">
        <f>IF(OR($NO47=0,$MQ47=0),0,$NO47+3*IF(AND($NK47&lt;&gt;"",OR($NK47=INDEX($EJ$2:$EJ$13,$MM47),$NK47=INDEX($EK$2:$EK$13,$MM47))),1,0))</f>
        <v/>
      </c>
      <c r="NU47" s="155">
        <f>IF(OR($NP47=0,$MQ47=0),0,$NP47+3*IF(AND($NL47&lt;&gt;"",OR($NL47=INDEX($EJ$2:$EJ$13,$MM47),$NL47=INDEX($EK$2:$EK$13,$MM47))),1,0))</f>
        <v/>
      </c>
      <c r="NV47" s="155">
        <f>IF($NH47=0,0,IF(INDEX($W$2:$W$11,$NH47)="",0,IF(COUNTIF(INDEX($EJ$2:$EN$13,$MM47,0),INDEX($W$2:$W$11,$NH47))=0,1,0)))</f>
        <v/>
      </c>
      <c r="NW47" s="155">
        <f>IF(OR($NM47=0,$NI47=""),0,IF(COUNTIF(INDEX($EJ$2:$EN$13,$MM47,0),$NI47)=0,1,0))</f>
        <v/>
      </c>
      <c r="NX47" s="155">
        <f>IF(OR($NN47=0,$NJ47=""),0,IF(COUNTIF(INDEX($EJ$2:$EN$13,$MM47,0),$NJ47)=0,1,0))</f>
        <v/>
      </c>
      <c r="NY47" s="155">
        <f>IF(OR($NO47=0,$NK47=""),0,IF(COUNTIF(INDEX($EJ$2:$EN$13,$MM47,0),$NK47)=0,1,0))</f>
        <v/>
      </c>
      <c r="NZ47" s="155">
        <f>IF(OR($NP47=0,$NL47=""),0,IF(COUNTIF(INDEX($EJ$2:$EN$13,$MM47,0),$NL47)=0,1,0))</f>
        <v/>
      </c>
      <c r="OA47" s="155">
        <f>IFERROR(VLOOKUP($MV47,$AV$2:$BA$84,4,FALSE),0)+IFERROR(VLOOKUP($MW47,$AV$2:$BA$84,4,FALSE),0)+IFERROR(VLOOKUP($MX47,$AV$2:$BA$84,4,FALSE),0)+IFERROR(VLOOKUP($MY47,$AV$2:$BA$84,4,FALSE),0)</f>
        <v/>
      </c>
      <c r="OB47" s="155">
        <f>IFERROR(VLOOKUP($MV47,$AV$2:$BA$84,6,FALSE),0)+IFERROR(VLOOKUP($MW47,$AV$2:$BA$84,6,FALSE),0)+IFERROR(VLOOKUP($MX47,$AV$2:$BA$84,6,FALSE),0)+IFERROR(VLOOKUP($MY47,$AV$2:$BA$84,6,FALSE),0)</f>
        <v/>
      </c>
      <c r="OC47" s="155">
        <f>TEXTJOIN(", ",TRUE,IF(IFERROR(VLOOKUP($MV47,$AV$2:$BA$84,5,FALSE),0)=1,$MV47,""),IF(IFERROR(VLOOKUP($MW47,$AV$2:$BA$84,5,FALSE),0)=1,$MW47,""),IF(IFERROR(VLOOKUP($MX47,$AV$2:$BA$84,5,FALSE),0)=1,$MX47,""),IF(IFERROR(VLOOKUP($MY47,$AV$2:$BA$84,5,FALSE),0)=1,$MY47,""))</f>
        <v/>
      </c>
      <c r="OD47" s="155">
        <f>IF($NH47=0,0,INDEX($Y$2:$Y$11,$NH47))</f>
        <v/>
      </c>
      <c r="OE47" s="155">
        <f>IF($NH47=0,0,INDEX($Z$2:$Z$11,$NH47))</f>
        <v/>
      </c>
      <c r="OF47" s="155">
        <f>IF($NH47=0,0,INDEX($AB$2:$AB$11,$NH47))</f>
        <v/>
      </c>
      <c r="OG47" s="155">
        <f>IFERROR(VLOOKUP($MZ47,$BC$2:$BG$24,3,FALSE),0)</f>
        <v/>
      </c>
      <c r="OH47" s="155">
        <f>IFERROR(VLOOKUP($NA47,$BC$2:$BG$24,3,FALSE),0)</f>
        <v/>
      </c>
      <c r="OI47" s="155">
        <f>IFERROR(VLOOKUP($MZ47,$BC$2:$BG$24,2,FALSE),"")</f>
        <v/>
      </c>
      <c r="OJ47" s="155">
        <f>IFERROR(VLOOKUP($NA47,$BC$2:$BG$24,2,FALSE),"")</f>
        <v/>
      </c>
      <c r="OK47" s="155">
        <f>COUNTIF($NQ47:$NU47,1)</f>
        <v/>
      </c>
      <c r="OL47" s="155">
        <f>COUNTIF($NQ47:$NU47,2)</f>
        <v/>
      </c>
      <c r="OM47" s="155">
        <f>COUNTIF($NQ47:$NU47,3)</f>
        <v/>
      </c>
      <c r="ON47" s="155">
        <f>COUNTIF($NQ47:$NU47,4)</f>
        <v/>
      </c>
      <c r="OO47" s="155">
        <f>COUNTIF($NQ47:$NU47,5)</f>
        <v/>
      </c>
      <c r="OP47" s="155">
        <f>COUNTIF($NQ47:$NU47,6)</f>
        <v/>
      </c>
      <c r="OQ47" s="155">
        <f>COUNTIF($OG47:$OH47,1)</f>
        <v/>
      </c>
      <c r="OR47" s="155">
        <f>COUNTIF($OG47:$OH47,2)+$OD47</f>
        <v/>
      </c>
      <c r="OS47" s="155">
        <f>COUNTIF($MV47:$MY47,"?*")</f>
        <v/>
      </c>
      <c r="OT47" s="155">
        <f>COUNTIF($MZ47:$NA47,"?*")+$OD47</f>
        <v/>
      </c>
      <c r="OU47" s="155">
        <f>IF($MQ47=0,0,SUMPRODUCT($OK47:$OP47,INDEX($I$2:$N$8,MAX(1,$MQ47),0)))</f>
        <v/>
      </c>
      <c r="OV47" s="155">
        <f>IF($MQ47=0,0,$OQ47*CEILING($MQ47/2,1)+$OR47*$MQ47)</f>
        <v/>
      </c>
      <c r="OW47" s="155">
        <f>MIN(2*$MQ47,$OV47)</f>
        <v/>
      </c>
      <c r="OX47" s="155">
        <f>MIN($OW47,$OU47)</f>
        <v/>
      </c>
      <c r="OY47" s="155">
        <f>$OW47-$OX47</f>
        <v/>
      </c>
      <c r="OZ47" s="155">
        <f>IF($MQ47=0,0,INDEX($P$2:$P$8,MAX(1,$MQ47)))</f>
        <v/>
      </c>
      <c r="PA47" s="155">
        <f>$OZ47-$OU47+$OX47</f>
        <v/>
      </c>
      <c r="PB47" s="155">
        <f>IF($MQ47=0,MAX(0,$NE47-IF($OS47&gt;0,1,0)),MAX(0,$PA47))</f>
        <v/>
      </c>
      <c r="PC47" s="155">
        <f>IF($MQ47=0,0,(IF(COUNTIF($MV47:$MY47,"Salto")&gt;0,1,0)+IF(COUNTIF($MV47:$MY47,"Queima")&gt;0,1,0)+IF(COUNTIF($MV47:$MY47,"Estilhaço")&gt;0,1,0))*FLOOR($PB47/2,1))</f>
        <v/>
      </c>
      <c r="PD47" s="155">
        <f>MAX(0,2-SUMPRODUCT($OK47:$OP47,$I$2:$N$2)+MIN(2,$OQ47*1+$OR47*1,SUMPRODUCT($OK47:$OP47,$I$2:$N$2)))</f>
        <v/>
      </c>
      <c r="PE47" s="155">
        <f>MAX(0,4-SUMPRODUCT($OK47:$OP47,$I$3:$N$3)+MIN(4,$OQ47*1+$OR47*2,SUMPRODUCT($OK47:$OP47,$I$3:$N$3)))</f>
        <v/>
      </c>
      <c r="PF47" s="155">
        <f>MAX(0,6-SUMPRODUCT($OK47:$OP47,$I$4:$N$4)+MIN(6,$OQ47*2+$OR47*3,SUMPRODUCT($OK47:$OP47,$I$4:$N$4)))</f>
        <v/>
      </c>
      <c r="PG47" s="155">
        <f>MAX(0,9-SUMPRODUCT($OK47:$OP47,$I$5:$N$5)+MIN(8,$OQ47*2+$OR47*4,SUMPRODUCT($OK47:$OP47,$I$5:$N$5)))</f>
        <v/>
      </c>
      <c r="PH47" s="155">
        <f>MAX(0,11-SUMPRODUCT($OK47:$OP47,$I$6:$N$6)+MIN(10,$OQ47*3+$OR47*5,SUMPRODUCT($OK47:$OP47,$I$6:$N$6)))</f>
        <v/>
      </c>
      <c r="PI47" s="155">
        <f>MAX(0,13-SUMPRODUCT($OK47:$OP47,$I$7:$N$7)+MIN(12,$OQ47*3+$OR47*6,SUMPRODUCT($OK47:$OP47,$I$7:$N$7)))</f>
        <v/>
      </c>
      <c r="PJ47" s="155">
        <f>MAX(0,16-SUMPRODUCT($OK47:$OP47,$I$8:$N$8)+MIN(14,$OQ47*4+$OR47*7,SUMPRODUCT($OK47:$OP47,$I$8:$N$8)))</f>
        <v/>
      </c>
      <c r="PK47" s="155">
        <f>IF($OE47=2,3*$PD47&amp;" de vida temp.",IF($OE47=3,"sem dano",IF($PD47=0,IF($OE47=1,"sem cura","sem dano"),IF($OE47=1,"cura ","")&amp;$PD47&amp;"d8")))</f>
        <v/>
      </c>
      <c r="PL47" s="155">
        <f>IF($OE47=2,3*$PE47&amp;" de vida temp.",IF($OE47=3,"sem dano",IF($PE47=0,IF($OE47=1,"sem cura","sem dano"),IF($OE47=1,"cura ","")&amp;$PE47&amp;"d8")))</f>
        <v/>
      </c>
      <c r="PM47" s="155">
        <f>IF($OE47=2,3*$PF47&amp;" de vida temp.",IF($OE47=3,"sem dano",IF($PF47=0,IF($OE47=1,"sem cura","sem dano"),IF($OE47=1,"cura ","")&amp;$PF47&amp;"d8")))</f>
        <v/>
      </c>
      <c r="PN47" s="155">
        <f>IF($OE47=2,3*$PG47&amp;" de vida temp.",IF($OE47=3,"sem dano",IF($PG47=0,IF($OE47=1,"sem cura","sem dano"),IF($OE47=1,"cura ","")&amp;$PG47&amp;"d8")))</f>
        <v/>
      </c>
      <c r="PO47" s="155">
        <f>IF($OE47=2,3*$PH47&amp;" de vida temp.",IF($OE47=3,"sem dano",IF($PH47=0,IF($OE47=1,"sem cura","sem dano"),IF($OE47=1,"cura ","")&amp;$PH47&amp;"d8")))</f>
        <v/>
      </c>
      <c r="PP47" s="155">
        <f>IF($OE47=2,3*$PI47&amp;" de vida temp.",IF($OE47=3,"sem dano",IF($PI47=0,IF($OE47=1,"sem cura","sem dano"),IF($OE47=1,"cura ","")&amp;$PI47&amp;"d8")))</f>
        <v/>
      </c>
      <c r="PQ47" s="155">
        <f>IF($OE47=2,3*$PJ47&amp;" de vida temp.",IF($OE47=3,"sem dano",IF($PJ47=0,IF($OE47=1,"sem cura","sem dano"),IF($OE47=1,"cura ","")&amp;$PJ47&amp;"d8")))</f>
        <v/>
      </c>
      <c r="PR47" s="155">
        <f>IF($NB47=0,"",TEXTJOIN(" · ",TRUE,IF($MO47&gt;$NC47,"Este lugar abre no nível "&amp;$MO47,""),IF($MQ47&gt;$ND47,"Classe "&amp;$MQ47&amp;": o nível "&amp;$NC47&amp;" libera até a "&amp;$ND47,""),IF($NV47=1,"A Forma "&amp;$MS47&amp;" pede "&amp;INDEX($W$2:$W$11,$NH47)&amp;" aberta",""),IF(AND($MQ47=0,$NH47&gt;0,IF($NH47=0,0,INDEX($AF$2:$AF$11,$NH47))=0),$MS47&amp;" não existe na Classe 0",""),IF($NW47=1,"Família Fechada: "&amp;$MV47,""),IF($NX47=1,"Família Fechada: "&amp;$MW47,""),IF($NY47=1,"Família Fechada: "&amp;$MX47,""),IF($NZ47=1,"Família Fechada: "&amp;$MY47,""),IF(AND($MQ47&gt;0,$OS47&gt;INDEX($O$2:$O$8,MAX(1,$MQ47))),$OS47&amp;" Melhorias: a Classe "&amp;$MQ47&amp;" aceita "&amp;INDEX($O$2:$O$8,MAX(1,$MQ47)),""),IF(AND($MQ47=0,$OS47&gt;1),"A básica aceita uma Melhoria",""),IF(AND($MQ47=0,COUNTIF($NM47:$NP47,"&gt;1")&gt;0),"A básica só aceita Melhoria Leve",""),IF(AND($MQ47&gt;0,$OT47&gt;2),$OT47&amp;" Restrições"&amp;IF($OD47=1,", contando a que a Forma "&amp;$MS47&amp;" já traz","")&amp;": o limite é 2",""),IF(AND($MQ47=0,COUNTIF($MZ47:$NA47,"?*")&gt;1),"A básica aceita uma Restrição Leve",""),IF(AND($MQ47=0,COUNTIF($OG47:$OH47,2)&gt;0),"A básica só aceita Restrição Leve",""),IF(AND($MQ47&gt;0,$PA47&lt;0),"Orçamento estourado: faltam "&amp;(-$PA47)&amp;IF($PA47&lt;-1," pontos"," ponto"),""),IF(IFERROR(VLOOKUP($MZ47,$BC$2:$BG$24,4,FALSE),0)+IFERROR(VLOOKUP($NA47,$BC$2:$BG$24,4,FALSE),0)&gt;1,$OI47&amp;" e "&amp;$OJ47&amp;" são as duas de frequência",""),IF(AND((COUNTIF($MV47:$MY47,"Rápido")+COUNTIF($OI47:$OJ47,"Rápido"))&gt;0,(COUNTIF($MV47:$MY47,"Atrasar")+COUNTIF($OI47:$OJ47,"Atrasar"))&gt;0),"Rápido não entra com Atrasar",""),IF(AND((COUNTIF($MV47:$MY47,"Reação")+COUNTIF($OI47:$OJ47,"Reação"))&gt;0,(COUNTIF($MV47:$MY47,"Rápido")+COUNTIF($OI47:$OJ47,"Rápido"))&gt;0),"Reação não entra com Rápido",""),IF(AND((COUNTIF($MV47:$MY47,"Reação")+COUNTIF($OI47:$OJ47,"Reação"))&gt;0,(COUNTIF($MV47:$MY47,"Armado")+COUNTIF($OI47:$OJ47,"Armado"))&gt;0),"Reação não entra com Armado",""),IF(AND((COUNTIF($MV47:$MY47,"Reação")+COUNTIF($OI47:$OJ47,"Reação"))&gt;0,(COUNTIF($MV47:$MY47,"Atrasar")+COUNTIF($OI47:$OJ47,"Atrasar"))&gt;0),"Reação não entra com Atrasar",""),IF(AND((COUNTIF($MV47:$MY47,"Reação")+COUNTIF($OI47:$OJ47,"Reação"))&gt;0,(COUNTIF($MV47:$MY47,"Parado")+COUNTIF($OI47:$OJ47,"Parado"))&gt;0),"Reação não entra com Parado",""),IF(AND((COUNTIF($MV47:$MY47,"Atrasar")+COUNTIF($OI47:$OJ47,"Atrasar"))&gt;0,(COUNTIF($MV47:$MY47,"Parado")+COUNTIF($OI47:$OJ47,"Parado"))&gt;0),"Atrasar não entra com Parado",""),IF(AND((COUNTIF($MV47:$MY47,"Armado")+COUNTIF($OI47:$OJ47,"Armado"))&gt;0,(COUNTIF($MV47:$MY47,"Carregar")+COUNTIF($OI47:$OJ47,"Carregar"))&gt;0),"Armado não entra com Carregar",""),IF(AND(COUNTIF($OI47:$OJ47,"Corpo a Corpo")&gt;0,$OD47=0,OR($MS47="Cone",$MS47="Linha")),"Corpo a Corpo não entra em "&amp;$MS47,""),IF(AND(COUNTIF($OI47:$OJ47,"Corpo a Corpo")&gt;0,$OD47=1),"A Forma "&amp;$MS47&amp;" já traz o Corpo a Corpo",""),IF(AND(COUNTIF($OI47:$OJ47,"Tudo ou Nada")&gt;0,$OF47=0),"Tudo ou Nada só entra em habilidade de Teste de Resistência",""),IF(AND(COUNTIF($MV47:$MY47,"Inescapável")&gt;0,OR($OS47&gt;1,$OT47&gt;0)),"Inescapável não aceita outra peça",""),IF(AND($MQ47&gt;0,$PB47*IF(COUNTIF($MV47:$MY47,"Remate")&gt;0,1.25,1)+$PC47&gt;4*$MQ47),($PB47*IF(COUNTIF($MV47:$MY47,"Remate")&gt;0,1.25,1)+$PC47)&amp;" dados somando repetições"&amp;IF(COUNTIF($MV47:$MY47,"Remate")&gt;0," e o Remate","")&amp;": o teto da Classe "&amp;$MQ47&amp;" é "&amp;4*$MQ47,"")))</f>
        <v/>
      </c>
      <c r="PS47" s="155">
        <f>IF($PR47="",0,(LEN($PR47)-LEN(SUBSTITUTE($PR47," · ","")))/3+1)</f>
        <v/>
      </c>
      <c r="PT47" s="155">
        <f>IF($NB47=0,"",TEXTJOIN(" · ",TRUE,IF($OV47&gt;2*$MQ47,"A devolução parou no teto de "&amp;2*$MQ47,""),IF($OY47&gt;0,"Devolução perdida: "&amp;$OY47&amp;IF($OY47&gt;1," pontos"," ponto")&amp;" sem peça para pagar",""),IF(AND($OA47&gt;0,AND($MQ47&gt;0,$OE47=0),$PB47=0),"Controle sem dano: uma rodada a mais e CD +2",""),IF(AND($OA47&gt;0,AND($MQ47&gt;0,$OE47=0),$PB47&gt;0,$PB47&lt;=$MQ47),"Controle com saldo até a Classe: uma rodada a mais",""),IF(AND($MQ47&gt;0,$OC47&lt;&gt;""),"Efeito de "&amp;$OC47&amp;" pela Classe "&amp;MAX(1,$MQ47-1),"")))</f>
        <v/>
      </c>
      <c r="PU47" s="155">
        <f>IF($PT47="",0,(LEN($PT47)-LEN(SUBSTITUTE($PT47," · ","")))/3+1)</f>
        <v/>
      </c>
      <c r="PV47" s="155">
        <f>IF($NB47=0,IF($OS47+COUNTIF($MZ47:$NA47,"?*")&gt;0,"Dê um nome",""),IF($PS47&gt;0,"⚠ "&amp;$PS47&amp;IF($PS47&gt;1," erros"," erro"),IF($PU47&gt;0,"! "&amp;$PU47&amp;IF($PU47&gt;1," avisos"," aviso"),"Na regra")))</f>
        <v/>
      </c>
      <c r="PW47" s="155">
        <f>IF($NB47=0,"",IF($PS47+$PU47=0,"Dentro das regras que a ficha confere",$PR47&amp;IF(AND($PS47&gt;0,$PU47&gt;0)," · ","")&amp;$PT47))</f>
        <v/>
      </c>
      <c r="PX47" s="155">
        <f>IF($MO47&gt;$NC47,$MP47&amp;" · ABRE NO NÍVEL "&amp;$MO47,$MP47)</f>
        <v/>
      </c>
      <c r="PY47" s="155">
        <f>IF($NB47=0,"",IF($MQ47=0,"Sem PE",3*$MQ47&amp;" PE"))</f>
        <v/>
      </c>
      <c r="PZ47" s="155">
        <f>IF($NB47=0,"",IF($MQ47=0,"A atuação básica dela",IF(COUNTIF($OI47:$OJ47,"Atrasar")&gt;0,"Sua Ação Completa",IF(COUNTIF($MV47:$MY47,"Rápido")&gt;0,"Sua Bônus",IF(COUNTIF($MV47:$MY47,"Reação")&gt;0,"Sua Reação","Sua Padrão")))&amp;" + a básica dela"&amp;IF(COUNTIF($MV47:$MY47,"Reação")&gt;0," e a coletiva","")&amp;IF(COUNTIF($OI47:$OJ47,"Carregar")&gt;0," · em dois turnos","")))</f>
        <v/>
      </c>
      <c r="QA47" s="155">
        <f>IF($MU47&lt;&gt;"",$MU47,IF($NH47=0,"",INDEX($AA$2:$AA$11,$NH47)))</f>
        <v/>
      </c>
      <c r="QB47" s="155">
        <f>IF(OR($NB47=0,$NH47=0),"",IF(COUNTIF($MV47:$MY47,"Inescapável")&gt;0,"Automático",IF($QA47="Ataque",IF($NF47="","Ataque","Ataque "&amp;IF(($NF47+2*IF(COUNTIF($MV47:$MY47,"Precisão")&gt;0,1,0))&gt;=0,"+","−")&amp;ABS(($NF47+2*IF(COUNTIF($MV47:$MY47,"Precisão")&gt;0,1,0))))&amp;IF($OB47&gt;0," · TR"&amp;IF($NG47="",""," CD "&amp;$NG47),""),IF(LEFT($QA47,2)="TR",$QA47&amp;IF($NG47="",""," · CD "&amp;$NG47)&amp;IF(COUNTIF($MV47:$MY47,"Certeiro")&gt;0," · metade",""),"Sem rolagem"))))</f>
        <v/>
      </c>
      <c r="QC47" s="155">
        <f>IF(OR($NB47=0,$NH47=0),"",IF($MQ47=0,IF(OR($OE47&gt;=1,$PB47=0),"Sem dano",$PB47&amp;"d6"&amp;IF($MT47="",""," "&amp;$MT47)),IF(OR($OE47&gt;=1,$PB47=0),UPPER(LEFT(INDEX($PK47:$PQ47,1,MAX(1,$MQ47)),1))&amp;MID(INDEX($PK47:$PQ47,1,MAX(1,$MQ47)),2,99),UPPER(LEFT(INDEX($PK47:$PQ47,1,MAX(1,$MQ47)),1))&amp;MID(INDEX($PK47:$PQ47,1,MAX(1,$MQ47)),2,99)&amp;IF($MT47="",""," "&amp;$MT47)&amp;IF($PC47&gt;0," · +"&amp;$PC47&amp;"d8",""))))</f>
        <v/>
      </c>
      <c r="QD47" s="155">
        <f>COUNTIF($MV47:$MY47,"Longe")+3*COUNTIF($MV47:$MY47,"Muito Longe")</f>
        <v/>
      </c>
      <c r="QE47" s="155">
        <f>COUNTIF($MV47:$MY47,"Maior")+3*COUNTIF($MV47:$MY47,"Muito Maior")</f>
        <v/>
      </c>
      <c r="QF47" s="155">
        <f>IF($NH47=0,0,CHOOSE(1+INDEX($AC$2:$AC$11,$NH47),0,$QD47,$QE47,$QD47+$QE47))</f>
        <v/>
      </c>
      <c r="QG47" s="155">
        <f>IF($NH47=0,0,CHOOSE(1+INDEX($AD$2:$AD$11,$NH47),0,$QD47,$QE47,$QD47+$QE47))</f>
        <v/>
      </c>
      <c r="QH47" s="155">
        <f>IF(OR($NB47=0,$NH47=0),"",INDEX($AI$2:$AN$41,($NH47-1)*4+IF($MQ47=0,1,IF($MQ47&lt;=5,2,IF($MQ47=6,3,4))),1+MIN(5,$QF47))&amp;INDEX($AO$2:$AT$41,($NH47-1)*4+IF($MQ47=0,1,IF($MQ47&lt;=5,2,IF($MQ47=6,3,4))),1+MIN(5,$QG47))&amp;IF(INDEX($AE$2:$AE$11,$NH47)=1,IF(COUNTIF($MV47:$MY47,"Mais Um")&gt;0," · +"&amp;COUNTIF($MV47:$MY47,"Mais Um")&amp;IF(COUNTIF($MV47:$MY47,"Mais Um")&gt;1," alvos"," alvo"),"")&amp;IF(COUNTIF($MV47:$MY47,"Rajada")&gt;0,IF($MQ47=0," · 1 tiro"," · "&amp;(MAX(1,$MQ47-1)+1)&amp;" tiros"),""),""))</f>
        <v/>
      </c>
      <c r="QI47" s="155">
        <f>IF($NB47=0,"",IF($MQ47=0,$NE47&amp;"d6"&amp;IF($OS47&gt;0," − 1 = "&amp;$PB47&amp;"d6"," da básica do nível "&amp;$NC47),$OZ47&amp;" − "&amp;$OU47&amp;" + "&amp;$OX47&amp;" = "&amp;$PA47&amp;" · teto "&amp;4*$MQ47&amp;"d8"&amp;IF($OD47=1," · a Forma devolve "&amp;$MQ47,"")&amp;IF($OY47&gt;0," · perde "&amp;$OY47,"")))</f>
        <v/>
      </c>
      <c r="QJ47" s="155">
        <f>IF($NB47=0,"",IF($MQ47=0,"A básica não amplia: os dados dela sobem com o nível",IF($MQ47&gt;=$ND47,"Já está na maior Classe que o nível liberou",TEXTJOIN(" · ",TRUE,IF(AND(2&gt;$MQ47,2&lt;=$ND47),"2 → "&amp;$PL47&amp;", 6 PE",""),IF(AND(3&gt;$MQ47,3&lt;=$ND47),"3 → "&amp;$PM47&amp;", 9 PE",""),IF(AND(4&gt;$MQ47,4&lt;=$ND47),"4 → "&amp;$PN47&amp;", 12 PE",""),IF(AND(5&gt;$MQ47,5&lt;=$ND47),"5 → "&amp;$PO47&amp;", 15 PE",""),IF(AND(6&gt;$MQ47,6&lt;=$ND47),"6 → "&amp;$PP47&amp;", 18 PE",""),IF(AND(7&gt;$MQ47,7&lt;=$ND47),"7 → "&amp;$PQ47&amp;", 21 PE","")))))</f>
        <v/>
      </c>
      <c r="QK47" s="155">
        <f>IF(OR($NB47=0,$NM47=0),"",IF($MQ47=0,"−1 dado","−"&amp;INDEX($I$2:$N$8,MAX(1,$MQ47),MAX(1,$NR47))&amp;" · "&amp;CHOOSE(MAX(1,$NR47),"Leve","Média","Pesada","Leve · Livre","Média · Livre","Pesada · Livre")))</f>
        <v/>
      </c>
      <c r="QL47" s="155">
        <f>IF(OR($NB47=0,$NN47=0),"",IF($MQ47=0,"−1 dado","−"&amp;INDEX($I$2:$N$8,MAX(1,$MQ47),MAX(1,$NS47))&amp;" · "&amp;CHOOSE(MAX(1,$NS47),"Leve","Média","Pesada","Leve · Livre","Média · Livre","Pesada · Livre")))</f>
        <v/>
      </c>
      <c r="QM47" s="155">
        <f>IF(OR($NB47=0,$NO47=0),"",IF($MQ47=0,"−1 dado","−"&amp;INDEX($I$2:$N$8,MAX(1,$MQ47),MAX(1,$NT47))&amp;" · "&amp;CHOOSE(MAX(1,$NT47),"Leve","Média","Pesada","Leve · Livre","Média · Livre","Pesada · Livre")))</f>
        <v/>
      </c>
      <c r="QN47" s="155">
        <f>IF(OR($NB47=0,$NP47=0),"",IF($MQ47=0,"−1 dado","−"&amp;INDEX($I$2:$N$8,MAX(1,$MQ47),MAX(1,$NU47))&amp;" · "&amp;CHOOSE(MAX(1,$NU47),"Leve","Média","Pesada","Leve · Livre","Média · Livre","Pesada · Livre")))</f>
        <v/>
      </c>
      <c r="QO47" s="155">
        <f>IF(OR($NB47=0,$MZ47=""),"",IF($MQ47=0,"não devolve","+"&amp;IF($OG47=1,CEILING($MQ47/2,1),$MQ47)))</f>
        <v/>
      </c>
      <c r="QP47" s="155">
        <f>IF(OR($NB47=0,$NA47=""),"",IF($MQ47=0,"não devolve","+"&amp;IF($OH47=1,CEILING($MQ47/2,1),$MQ47)))</f>
        <v/>
      </c>
    </row>
    <row r="48">
      <c r="AV48" s="153" t="inlineStr">
        <is>
          <t>Firmeza</t>
        </is>
      </c>
      <c r="AW48" s="153" t="inlineStr">
        <is>
          <t>Auxiliares</t>
        </is>
      </c>
      <c r="AX48" s="155" t="n">
        <v>2</v>
      </c>
      <c r="AY48" s="155" t="n">
        <v>0</v>
      </c>
      <c r="AZ48" s="155" t="n">
        <v>0</v>
      </c>
      <c r="BA48" s="155" t="n">
        <v>0</v>
      </c>
      <c r="JR48" s="155">
        <f>IF(OR($AW48="",COUNTIF($EJ$2:$EN$2,$AW48)&gt;0),$AV48,"")</f>
        <v/>
      </c>
      <c r="JS48" s="155">
        <f>IF(AND($AX48=1,OR($AW48="",COUNTIF($EJ$2:$EN$2,$AW48)&gt;0)),$AV48,"")</f>
        <v/>
      </c>
      <c r="JX48" s="155">
        <f>IF(OR($AW48="",COUNTIF($EJ$3:$EN$3,$AW48)&gt;0),$AV48,"")</f>
        <v/>
      </c>
      <c r="JY48" s="155">
        <f>IF(AND($AX48=1,OR($AW48="",COUNTIF($EJ$3:$EN$3,$AW48)&gt;0)),$AV48,"")</f>
        <v/>
      </c>
      <c r="KD48" s="155">
        <f>IF(OR($AW48="",COUNTIF($EJ$4:$EN$4,$AW48)&gt;0),$AV48,"")</f>
        <v/>
      </c>
      <c r="KE48" s="155">
        <f>IF(AND($AX48=1,OR($AW48="",COUNTIF($EJ$4:$EN$4,$AW48)&gt;0)),$AV48,"")</f>
        <v/>
      </c>
      <c r="KJ48" s="155">
        <f>IF(OR($AW48="",COUNTIF($EJ$5:$EN$5,$AW48)&gt;0),$AV48,"")</f>
        <v/>
      </c>
      <c r="KK48" s="155">
        <f>IF(AND($AX48=1,OR($AW48="",COUNTIF($EJ$5:$EN$5,$AW48)&gt;0)),$AV48,"")</f>
        <v/>
      </c>
      <c r="KP48" s="155">
        <f>IF(OR($AW48="",COUNTIF($EJ$6:$EN$6,$AW48)&gt;0),$AV48,"")</f>
        <v/>
      </c>
      <c r="KQ48" s="155">
        <f>IF(AND($AX48=1,OR($AW48="",COUNTIF($EJ$6:$EN$6,$AW48)&gt;0)),$AV48,"")</f>
        <v/>
      </c>
      <c r="KV48" s="155">
        <f>IF(OR($AW48="",COUNTIF($EJ$7:$EN$7,$AW48)&gt;0),$AV48,"")</f>
        <v/>
      </c>
      <c r="KW48" s="155">
        <f>IF(AND($AX48=1,OR($AW48="",COUNTIF($EJ$7:$EN$7,$AW48)&gt;0)),$AV48,"")</f>
        <v/>
      </c>
      <c r="LB48" s="155">
        <f>IF(OR($AW48="",COUNTIF($EJ$8:$EN$8,$AW48)&gt;0),$AV48,"")</f>
        <v/>
      </c>
      <c r="LC48" s="155">
        <f>IF(AND($AX48=1,OR($AW48="",COUNTIF($EJ$8:$EN$8,$AW48)&gt;0)),$AV48,"")</f>
        <v/>
      </c>
      <c r="LH48" s="155">
        <f>IF(OR($AW48="",COUNTIF($EJ$9:$EN$9,$AW48)&gt;0),$AV48,"")</f>
        <v/>
      </c>
      <c r="LI48" s="155">
        <f>IF(AND($AX48=1,OR($AW48="",COUNTIF($EJ$9:$EN$9,$AW48)&gt;0)),$AV48,"")</f>
        <v/>
      </c>
      <c r="LN48" s="155">
        <f>IF(OR($AW48="",COUNTIF($EJ$10:$EN$10,$AW48)&gt;0),$AV48,"")</f>
        <v/>
      </c>
      <c r="LO48" s="155">
        <f>IF(AND($AX48=1,OR($AW48="",COUNTIF($EJ$10:$EN$10,$AW48)&gt;0)),$AV48,"")</f>
        <v/>
      </c>
      <c r="LT48" s="155">
        <f>IF(OR($AW48="",COUNTIF($EJ$11:$EN$11,$AW48)&gt;0),$AV48,"")</f>
        <v/>
      </c>
      <c r="LU48" s="155">
        <f>IF(AND($AX48=1,OR($AW48="",COUNTIF($EJ$11:$EN$11,$AW48)&gt;0)),$AV48,"")</f>
        <v/>
      </c>
      <c r="LZ48" s="155">
        <f>IF(OR($AW48="",COUNTIF($EJ$12:$EN$12,$AW48)&gt;0),$AV48,"")</f>
        <v/>
      </c>
      <c r="MA48" s="155">
        <f>IF(AND($AX48=1,OR($AW48="",COUNTIF($EJ$12:$EN$12,$AW48)&gt;0)),$AV48,"")</f>
        <v/>
      </c>
      <c r="MF48" s="155">
        <f>IF(OR($AW48="",COUNTIF($EJ$13:$EN$13,$AW48)&gt;0),$AV48,"")</f>
        <v/>
      </c>
      <c r="MG48" s="155">
        <f>IF(AND($AX48=1,OR($AW48="",COUNTIF($EJ$13:$EN$13,$AW48)&gt;0)),$AV48,"")</f>
        <v/>
      </c>
      <c r="ML48" s="153" t="inlineStr">
        <is>
          <t>Ficha 4 · Especial 6</t>
        </is>
      </c>
      <c r="MM48" s="155" t="n">
        <v>4</v>
      </c>
      <c r="MN48" s="155" t="n">
        <v>1</v>
      </c>
      <c r="MO48" s="155" t="n">
        <v>20</v>
      </c>
      <c r="MP48" s="153" t="inlineStr">
        <is>
          <t>ESPECIAL 6</t>
        </is>
      </c>
      <c r="MQ48" s="155">
        <f>MAX(1,MIN(7,N('INVOCAÇÕES'!$O$708)))</f>
        <v/>
      </c>
      <c r="MR48" s="155">
        <f>'INVOCAÇÕES'!$P$708&amp;""</f>
        <v/>
      </c>
      <c r="MS48" s="155">
        <f>'INVOCAÇÕES'!$O$713&amp;""</f>
        <v/>
      </c>
      <c r="MT48" s="155">
        <f>'INVOCAÇÕES'!$O$714&amp;""</f>
        <v/>
      </c>
      <c r="MU48" s="155">
        <f>'INVOCAÇÕES'!$Q$714&amp;""</f>
        <v/>
      </c>
      <c r="MV48" s="155">
        <f>'INVOCAÇÕES'!$P$717&amp;""</f>
        <v/>
      </c>
      <c r="MW48" s="155">
        <f>'INVOCAÇÕES'!$P$718&amp;""</f>
        <v/>
      </c>
      <c r="MX48" s="155">
        <f>'INVOCAÇÕES'!$P$719&amp;""</f>
        <v/>
      </c>
      <c r="MY48" s="155">
        <f>'INVOCAÇÕES'!$P$720&amp;""</f>
        <v/>
      </c>
      <c r="MZ48" s="155">
        <f>'INVOCAÇÕES'!$P$721&amp;""</f>
        <v/>
      </c>
      <c r="NA48" s="155">
        <f>'INVOCAÇÕES'!$P$722&amp;""</f>
        <v/>
      </c>
      <c r="NB48" s="155">
        <f>IF($MR48&lt;&gt;"",1,0)</f>
        <v/>
      </c>
      <c r="NC48" s="155">
        <f>INDEX($FM$2:$FM$13,$MM48)</f>
        <v/>
      </c>
      <c r="ND48" s="155">
        <f>INDEX($FN$2:$FN$13,$MM48)</f>
        <v/>
      </c>
      <c r="NE48" s="155">
        <f>INDEX($FO$2:$FO$13,$MM48)</f>
        <v/>
      </c>
      <c r="NF48" s="155">
        <f>INDEX($FZ$2:$FZ$13,$MM48)</f>
        <v/>
      </c>
      <c r="NG48" s="155">
        <f>INDEX($GA$2:$GA$13,$MM48)</f>
        <v/>
      </c>
      <c r="NH48" s="155">
        <f>IFERROR(MATCH($MS48,$V$2:$V$11,0),0)</f>
        <v/>
      </c>
      <c r="NI48" s="155">
        <f>IFERROR(VLOOKUP($MV48,$AV$2:$BA$84,2,FALSE),"")</f>
        <v/>
      </c>
      <c r="NJ48" s="155">
        <f>IFERROR(VLOOKUP($MW48,$AV$2:$BA$84,2,FALSE),"")</f>
        <v/>
      </c>
      <c r="NK48" s="155">
        <f>IFERROR(VLOOKUP($MX48,$AV$2:$BA$84,2,FALSE),"")</f>
        <v/>
      </c>
      <c r="NL48" s="155">
        <f>IFERROR(VLOOKUP($MY48,$AV$2:$BA$84,2,FALSE),"")</f>
        <v/>
      </c>
      <c r="NM48" s="155">
        <f>IFERROR(VLOOKUP($MV48,$AV$2:$BA$84,3,FALSE),0)</f>
        <v/>
      </c>
      <c r="NN48" s="155">
        <f>IFERROR(VLOOKUP($MW48,$AV$2:$BA$84,3,FALSE),0)</f>
        <v/>
      </c>
      <c r="NO48" s="155">
        <f>IFERROR(VLOOKUP($MX48,$AV$2:$BA$84,3,FALSE),0)</f>
        <v/>
      </c>
      <c r="NP48" s="155">
        <f>IFERROR(VLOOKUP($MY48,$AV$2:$BA$84,3,FALSE),0)</f>
        <v/>
      </c>
      <c r="NQ48" s="155">
        <f>IF($MQ48=0,0,IF($NH48=0,0,INDEX($X$2:$X$11,$NH48)))</f>
        <v/>
      </c>
      <c r="NR48" s="155">
        <f>IF(OR($NM48=0,$MQ48=0),0,$NM48+3*IF(AND($NI48&lt;&gt;"",OR($NI48=INDEX($EJ$2:$EJ$13,$MM48),$NI48=INDEX($EK$2:$EK$13,$MM48))),1,0))</f>
        <v/>
      </c>
      <c r="NS48" s="155">
        <f>IF(OR($NN48=0,$MQ48=0),0,$NN48+3*IF(AND($NJ48&lt;&gt;"",OR($NJ48=INDEX($EJ$2:$EJ$13,$MM48),$NJ48=INDEX($EK$2:$EK$13,$MM48))),1,0))</f>
        <v/>
      </c>
      <c r="NT48" s="155">
        <f>IF(OR($NO48=0,$MQ48=0),0,$NO48+3*IF(AND($NK48&lt;&gt;"",OR($NK48=INDEX($EJ$2:$EJ$13,$MM48),$NK48=INDEX($EK$2:$EK$13,$MM48))),1,0))</f>
        <v/>
      </c>
      <c r="NU48" s="155">
        <f>IF(OR($NP48=0,$MQ48=0),0,$NP48+3*IF(AND($NL48&lt;&gt;"",OR($NL48=INDEX($EJ$2:$EJ$13,$MM48),$NL48=INDEX($EK$2:$EK$13,$MM48))),1,0))</f>
        <v/>
      </c>
      <c r="NV48" s="155">
        <f>IF($NH48=0,0,IF(INDEX($W$2:$W$11,$NH48)="",0,IF(COUNTIF(INDEX($EJ$2:$EN$13,$MM48,0),INDEX($W$2:$W$11,$NH48))=0,1,0)))</f>
        <v/>
      </c>
      <c r="NW48" s="155">
        <f>IF(OR($NM48=0,$NI48=""),0,IF(COUNTIF(INDEX($EJ$2:$EN$13,$MM48,0),$NI48)=0,1,0))</f>
        <v/>
      </c>
      <c r="NX48" s="155">
        <f>IF(OR($NN48=0,$NJ48=""),0,IF(COUNTIF(INDEX($EJ$2:$EN$13,$MM48,0),$NJ48)=0,1,0))</f>
        <v/>
      </c>
      <c r="NY48" s="155">
        <f>IF(OR($NO48=0,$NK48=""),0,IF(COUNTIF(INDEX($EJ$2:$EN$13,$MM48,0),$NK48)=0,1,0))</f>
        <v/>
      </c>
      <c r="NZ48" s="155">
        <f>IF(OR($NP48=0,$NL48=""),0,IF(COUNTIF(INDEX($EJ$2:$EN$13,$MM48,0),$NL48)=0,1,0))</f>
        <v/>
      </c>
      <c r="OA48" s="155">
        <f>IFERROR(VLOOKUP($MV48,$AV$2:$BA$84,4,FALSE),0)+IFERROR(VLOOKUP($MW48,$AV$2:$BA$84,4,FALSE),0)+IFERROR(VLOOKUP($MX48,$AV$2:$BA$84,4,FALSE),0)+IFERROR(VLOOKUP($MY48,$AV$2:$BA$84,4,FALSE),0)</f>
        <v/>
      </c>
      <c r="OB48" s="155">
        <f>IFERROR(VLOOKUP($MV48,$AV$2:$BA$84,6,FALSE),0)+IFERROR(VLOOKUP($MW48,$AV$2:$BA$84,6,FALSE),0)+IFERROR(VLOOKUP($MX48,$AV$2:$BA$84,6,FALSE),0)+IFERROR(VLOOKUP($MY48,$AV$2:$BA$84,6,FALSE),0)</f>
        <v/>
      </c>
      <c r="OC48" s="155">
        <f>TEXTJOIN(", ",TRUE,IF(IFERROR(VLOOKUP($MV48,$AV$2:$BA$84,5,FALSE),0)=1,$MV48,""),IF(IFERROR(VLOOKUP($MW48,$AV$2:$BA$84,5,FALSE),0)=1,$MW48,""),IF(IFERROR(VLOOKUP($MX48,$AV$2:$BA$84,5,FALSE),0)=1,$MX48,""),IF(IFERROR(VLOOKUP($MY48,$AV$2:$BA$84,5,FALSE),0)=1,$MY48,""))</f>
        <v/>
      </c>
      <c r="OD48" s="155">
        <f>IF($NH48=0,0,INDEX($Y$2:$Y$11,$NH48))</f>
        <v/>
      </c>
      <c r="OE48" s="155">
        <f>IF($NH48=0,0,INDEX($Z$2:$Z$11,$NH48))</f>
        <v/>
      </c>
      <c r="OF48" s="155">
        <f>IF($NH48=0,0,INDEX($AB$2:$AB$11,$NH48))</f>
        <v/>
      </c>
      <c r="OG48" s="155">
        <f>IFERROR(VLOOKUP($MZ48,$BC$2:$BG$24,3,FALSE),0)</f>
        <v/>
      </c>
      <c r="OH48" s="155">
        <f>IFERROR(VLOOKUP($NA48,$BC$2:$BG$24,3,FALSE),0)</f>
        <v/>
      </c>
      <c r="OI48" s="155">
        <f>IFERROR(VLOOKUP($MZ48,$BC$2:$BG$24,2,FALSE),"")</f>
        <v/>
      </c>
      <c r="OJ48" s="155">
        <f>IFERROR(VLOOKUP($NA48,$BC$2:$BG$24,2,FALSE),"")</f>
        <v/>
      </c>
      <c r="OK48" s="155">
        <f>COUNTIF($NQ48:$NU48,1)</f>
        <v/>
      </c>
      <c r="OL48" s="155">
        <f>COUNTIF($NQ48:$NU48,2)</f>
        <v/>
      </c>
      <c r="OM48" s="155">
        <f>COUNTIF($NQ48:$NU48,3)</f>
        <v/>
      </c>
      <c r="ON48" s="155">
        <f>COUNTIF($NQ48:$NU48,4)</f>
        <v/>
      </c>
      <c r="OO48" s="155">
        <f>COUNTIF($NQ48:$NU48,5)</f>
        <v/>
      </c>
      <c r="OP48" s="155">
        <f>COUNTIF($NQ48:$NU48,6)</f>
        <v/>
      </c>
      <c r="OQ48" s="155">
        <f>COUNTIF($OG48:$OH48,1)</f>
        <v/>
      </c>
      <c r="OR48" s="155">
        <f>COUNTIF($OG48:$OH48,2)+$OD48</f>
        <v/>
      </c>
      <c r="OS48" s="155">
        <f>COUNTIF($MV48:$MY48,"?*")</f>
        <v/>
      </c>
      <c r="OT48" s="155">
        <f>COUNTIF($MZ48:$NA48,"?*")+$OD48</f>
        <v/>
      </c>
      <c r="OU48" s="155">
        <f>IF($MQ48=0,0,SUMPRODUCT($OK48:$OP48,INDEX($I$2:$N$8,MAX(1,$MQ48),0)))</f>
        <v/>
      </c>
      <c r="OV48" s="155">
        <f>IF($MQ48=0,0,$OQ48*CEILING($MQ48/2,1)+$OR48*$MQ48)</f>
        <v/>
      </c>
      <c r="OW48" s="155">
        <f>MIN(2*$MQ48,$OV48)</f>
        <v/>
      </c>
      <c r="OX48" s="155">
        <f>MIN($OW48,$OU48)</f>
        <v/>
      </c>
      <c r="OY48" s="155">
        <f>$OW48-$OX48</f>
        <v/>
      </c>
      <c r="OZ48" s="155">
        <f>IF($MQ48=0,0,INDEX($P$2:$P$8,MAX(1,$MQ48)))</f>
        <v/>
      </c>
      <c r="PA48" s="155">
        <f>$OZ48-$OU48+$OX48</f>
        <v/>
      </c>
      <c r="PB48" s="155">
        <f>IF($MQ48=0,MAX(0,$NE48-IF($OS48&gt;0,1,0)),MAX(0,$PA48))</f>
        <v/>
      </c>
      <c r="PC48" s="155">
        <f>IF($MQ48=0,0,(IF(COUNTIF($MV48:$MY48,"Salto")&gt;0,1,0)+IF(COUNTIF($MV48:$MY48,"Queima")&gt;0,1,0)+IF(COUNTIF($MV48:$MY48,"Estilhaço")&gt;0,1,0))*FLOOR($PB48/2,1))</f>
        <v/>
      </c>
      <c r="PD48" s="155">
        <f>MAX(0,2-SUMPRODUCT($OK48:$OP48,$I$2:$N$2)+MIN(2,$OQ48*1+$OR48*1,SUMPRODUCT($OK48:$OP48,$I$2:$N$2)))</f>
        <v/>
      </c>
      <c r="PE48" s="155">
        <f>MAX(0,4-SUMPRODUCT($OK48:$OP48,$I$3:$N$3)+MIN(4,$OQ48*1+$OR48*2,SUMPRODUCT($OK48:$OP48,$I$3:$N$3)))</f>
        <v/>
      </c>
      <c r="PF48" s="155">
        <f>MAX(0,6-SUMPRODUCT($OK48:$OP48,$I$4:$N$4)+MIN(6,$OQ48*2+$OR48*3,SUMPRODUCT($OK48:$OP48,$I$4:$N$4)))</f>
        <v/>
      </c>
      <c r="PG48" s="155">
        <f>MAX(0,9-SUMPRODUCT($OK48:$OP48,$I$5:$N$5)+MIN(8,$OQ48*2+$OR48*4,SUMPRODUCT($OK48:$OP48,$I$5:$N$5)))</f>
        <v/>
      </c>
      <c r="PH48" s="155">
        <f>MAX(0,11-SUMPRODUCT($OK48:$OP48,$I$6:$N$6)+MIN(10,$OQ48*3+$OR48*5,SUMPRODUCT($OK48:$OP48,$I$6:$N$6)))</f>
        <v/>
      </c>
      <c r="PI48" s="155">
        <f>MAX(0,13-SUMPRODUCT($OK48:$OP48,$I$7:$N$7)+MIN(12,$OQ48*3+$OR48*6,SUMPRODUCT($OK48:$OP48,$I$7:$N$7)))</f>
        <v/>
      </c>
      <c r="PJ48" s="155">
        <f>MAX(0,16-SUMPRODUCT($OK48:$OP48,$I$8:$N$8)+MIN(14,$OQ48*4+$OR48*7,SUMPRODUCT($OK48:$OP48,$I$8:$N$8)))</f>
        <v/>
      </c>
      <c r="PK48" s="155">
        <f>IF($OE48=2,3*$PD48&amp;" de vida temp.",IF($OE48=3,"sem dano",IF($PD48=0,IF($OE48=1,"sem cura","sem dano"),IF($OE48=1,"cura ","")&amp;$PD48&amp;"d8")))</f>
        <v/>
      </c>
      <c r="PL48" s="155">
        <f>IF($OE48=2,3*$PE48&amp;" de vida temp.",IF($OE48=3,"sem dano",IF($PE48=0,IF($OE48=1,"sem cura","sem dano"),IF($OE48=1,"cura ","")&amp;$PE48&amp;"d8")))</f>
        <v/>
      </c>
      <c r="PM48" s="155">
        <f>IF($OE48=2,3*$PF48&amp;" de vida temp.",IF($OE48=3,"sem dano",IF($PF48=0,IF($OE48=1,"sem cura","sem dano"),IF($OE48=1,"cura ","")&amp;$PF48&amp;"d8")))</f>
        <v/>
      </c>
      <c r="PN48" s="155">
        <f>IF($OE48=2,3*$PG48&amp;" de vida temp.",IF($OE48=3,"sem dano",IF($PG48=0,IF($OE48=1,"sem cura","sem dano"),IF($OE48=1,"cura ","")&amp;$PG48&amp;"d8")))</f>
        <v/>
      </c>
      <c r="PO48" s="155">
        <f>IF($OE48=2,3*$PH48&amp;" de vida temp.",IF($OE48=3,"sem dano",IF($PH48=0,IF($OE48=1,"sem cura","sem dano"),IF($OE48=1,"cura ","")&amp;$PH48&amp;"d8")))</f>
        <v/>
      </c>
      <c r="PP48" s="155">
        <f>IF($OE48=2,3*$PI48&amp;" de vida temp.",IF($OE48=3,"sem dano",IF($PI48=0,IF($OE48=1,"sem cura","sem dano"),IF($OE48=1,"cura ","")&amp;$PI48&amp;"d8")))</f>
        <v/>
      </c>
      <c r="PQ48" s="155">
        <f>IF($OE48=2,3*$PJ48&amp;" de vida temp.",IF($OE48=3,"sem dano",IF($PJ48=0,IF($OE48=1,"sem cura","sem dano"),IF($OE48=1,"cura ","")&amp;$PJ48&amp;"d8")))</f>
        <v/>
      </c>
      <c r="PR48" s="155">
        <f>IF($NB48=0,"",TEXTJOIN(" · ",TRUE,IF($MO48&gt;$NC48,"Este lugar abre no nível "&amp;$MO48,""),IF($MQ48&gt;$ND48,"Classe "&amp;$MQ48&amp;": o nível "&amp;$NC48&amp;" libera até a "&amp;$ND48,""),IF($NV48=1,"A Forma "&amp;$MS48&amp;" pede "&amp;INDEX($W$2:$W$11,$NH48)&amp;" aberta",""),IF(AND($MQ48=0,$NH48&gt;0,IF($NH48=0,0,INDEX($AF$2:$AF$11,$NH48))=0),$MS48&amp;" não existe na Classe 0",""),IF($NW48=1,"Família Fechada: "&amp;$MV48,""),IF($NX48=1,"Família Fechada: "&amp;$MW48,""),IF($NY48=1,"Família Fechada: "&amp;$MX48,""),IF($NZ48=1,"Família Fechada: "&amp;$MY48,""),IF(AND($MQ48&gt;0,$OS48&gt;INDEX($O$2:$O$8,MAX(1,$MQ48))),$OS48&amp;" Melhorias: a Classe "&amp;$MQ48&amp;" aceita "&amp;INDEX($O$2:$O$8,MAX(1,$MQ48)),""),IF(AND($MQ48=0,$OS48&gt;1),"A básica aceita uma Melhoria",""),IF(AND($MQ48=0,COUNTIF($NM48:$NP48,"&gt;1")&gt;0),"A básica só aceita Melhoria Leve",""),IF(AND($MQ48&gt;0,$OT48&gt;2),$OT48&amp;" Restrições"&amp;IF($OD48=1,", contando a que a Forma "&amp;$MS48&amp;" já traz","")&amp;": o limite é 2",""),IF(AND($MQ48=0,COUNTIF($MZ48:$NA48,"?*")&gt;1),"A básica aceita uma Restrição Leve",""),IF(AND($MQ48=0,COUNTIF($OG48:$OH48,2)&gt;0),"A básica só aceita Restrição Leve",""),IF(AND($MQ48&gt;0,$PA48&lt;0),"Orçamento estourado: faltam "&amp;(-$PA48)&amp;IF($PA48&lt;-1," pontos"," ponto"),""),IF(IFERROR(VLOOKUP($MZ48,$BC$2:$BG$24,4,FALSE),0)+IFERROR(VLOOKUP($NA48,$BC$2:$BG$24,4,FALSE),0)&gt;1,$OI48&amp;" e "&amp;$OJ48&amp;" são as duas de frequência",""),IF(AND((COUNTIF($MV48:$MY48,"Rápido")+COUNTIF($OI48:$OJ48,"Rápido"))&gt;0,(COUNTIF($MV48:$MY48,"Atrasar")+COUNTIF($OI48:$OJ48,"Atrasar"))&gt;0),"Rápido não entra com Atrasar",""),IF(AND((COUNTIF($MV48:$MY48,"Reação")+COUNTIF($OI48:$OJ48,"Reação"))&gt;0,(COUNTIF($MV48:$MY48,"Rápido")+COUNTIF($OI48:$OJ48,"Rápido"))&gt;0),"Reação não entra com Rápido",""),IF(AND((COUNTIF($MV48:$MY48,"Reação")+COUNTIF($OI48:$OJ48,"Reação"))&gt;0,(COUNTIF($MV48:$MY48,"Armado")+COUNTIF($OI48:$OJ48,"Armado"))&gt;0),"Reação não entra com Armado",""),IF(AND((COUNTIF($MV48:$MY48,"Reação")+COUNTIF($OI48:$OJ48,"Reação"))&gt;0,(COUNTIF($MV48:$MY48,"Atrasar")+COUNTIF($OI48:$OJ48,"Atrasar"))&gt;0),"Reação não entra com Atrasar",""),IF(AND((COUNTIF($MV48:$MY48,"Reação")+COUNTIF($OI48:$OJ48,"Reação"))&gt;0,(COUNTIF($MV48:$MY48,"Parado")+COUNTIF($OI48:$OJ48,"Parado"))&gt;0),"Reação não entra com Parado",""),IF(AND((COUNTIF($MV48:$MY48,"Atrasar")+COUNTIF($OI48:$OJ48,"Atrasar"))&gt;0,(COUNTIF($MV48:$MY48,"Parado")+COUNTIF($OI48:$OJ48,"Parado"))&gt;0),"Atrasar não entra com Parado",""),IF(AND((COUNTIF($MV48:$MY48,"Armado")+COUNTIF($OI48:$OJ48,"Armado"))&gt;0,(COUNTIF($MV48:$MY48,"Carregar")+COUNTIF($OI48:$OJ48,"Carregar"))&gt;0),"Armado não entra com Carregar",""),IF(AND(COUNTIF($OI48:$OJ48,"Corpo a Corpo")&gt;0,$OD48=0,OR($MS48="Cone",$MS48="Linha")),"Corpo a Corpo não entra em "&amp;$MS48,""),IF(AND(COUNTIF($OI48:$OJ48,"Corpo a Corpo")&gt;0,$OD48=1),"A Forma "&amp;$MS48&amp;" já traz o Corpo a Corpo",""),IF(AND(COUNTIF($OI48:$OJ48,"Tudo ou Nada")&gt;0,$OF48=0),"Tudo ou Nada só entra em habilidade de Teste de Resistência",""),IF(AND(COUNTIF($MV48:$MY48,"Inescapável")&gt;0,OR($OS48&gt;1,$OT48&gt;0)),"Inescapável não aceita outra peça",""),IF(AND($MQ48&gt;0,$PB48*IF(COUNTIF($MV48:$MY48,"Remate")&gt;0,1.25,1)+$PC48&gt;4*$MQ48),($PB48*IF(COUNTIF($MV48:$MY48,"Remate")&gt;0,1.25,1)+$PC48)&amp;" dados somando repetições"&amp;IF(COUNTIF($MV48:$MY48,"Remate")&gt;0," e o Remate","")&amp;": o teto da Classe "&amp;$MQ48&amp;" é "&amp;4*$MQ48,"")))</f>
        <v/>
      </c>
      <c r="PS48" s="155">
        <f>IF($PR48="",0,(LEN($PR48)-LEN(SUBSTITUTE($PR48," · ","")))/3+1)</f>
        <v/>
      </c>
      <c r="PT48" s="155">
        <f>IF($NB48=0,"",TEXTJOIN(" · ",TRUE,IF($OV48&gt;2*$MQ48,"A devolução parou no teto de "&amp;2*$MQ48,""),IF($OY48&gt;0,"Devolução perdida: "&amp;$OY48&amp;IF($OY48&gt;1," pontos"," ponto")&amp;" sem peça para pagar",""),IF(AND($OA48&gt;0,AND($MQ48&gt;0,$OE48=0),$PB48=0),"Controle sem dano: uma rodada a mais e CD +2",""),IF(AND($OA48&gt;0,AND($MQ48&gt;0,$OE48=0),$PB48&gt;0,$PB48&lt;=$MQ48),"Controle com saldo até a Classe: uma rodada a mais",""),IF(AND($MQ48&gt;0,$OC48&lt;&gt;""),"Efeito de "&amp;$OC48&amp;" pela Classe "&amp;MAX(1,$MQ48-1),"")))</f>
        <v/>
      </c>
      <c r="PU48" s="155">
        <f>IF($PT48="",0,(LEN($PT48)-LEN(SUBSTITUTE($PT48," · ","")))/3+1)</f>
        <v/>
      </c>
      <c r="PV48" s="155">
        <f>IF($NB48=0,IF($OS48+COUNTIF($MZ48:$NA48,"?*")&gt;0,"Dê um nome",""),IF($PS48&gt;0,"⚠ "&amp;$PS48&amp;IF($PS48&gt;1," erros"," erro"),IF($PU48&gt;0,"! "&amp;$PU48&amp;IF($PU48&gt;1," avisos"," aviso"),"Na regra")))</f>
        <v/>
      </c>
      <c r="PW48" s="155">
        <f>IF($NB48=0,"",IF($PS48+$PU48=0,"Dentro das regras que a ficha confere",$PR48&amp;IF(AND($PS48&gt;0,$PU48&gt;0)," · ","")&amp;$PT48))</f>
        <v/>
      </c>
      <c r="PX48" s="155">
        <f>IF($MO48&gt;$NC48,$MP48&amp;" · ABRE NO NÍVEL "&amp;$MO48,$MP48)</f>
        <v/>
      </c>
      <c r="PY48" s="155">
        <f>IF($NB48=0,"",IF($MQ48=0,"Sem PE",3*$MQ48&amp;" PE"))</f>
        <v/>
      </c>
      <c r="PZ48" s="155">
        <f>IF($NB48=0,"",IF($MQ48=0,"A atuação básica dela",IF(COUNTIF($OI48:$OJ48,"Atrasar")&gt;0,"Sua Ação Completa",IF(COUNTIF($MV48:$MY48,"Rápido")&gt;0,"Sua Bônus",IF(COUNTIF($MV48:$MY48,"Reação")&gt;0,"Sua Reação","Sua Padrão")))&amp;" + a básica dela"&amp;IF(COUNTIF($MV48:$MY48,"Reação")&gt;0," e a coletiva","")&amp;IF(COUNTIF($OI48:$OJ48,"Carregar")&gt;0," · em dois turnos","")))</f>
        <v/>
      </c>
      <c r="QA48" s="155">
        <f>IF($MU48&lt;&gt;"",$MU48,IF($NH48=0,"",INDEX($AA$2:$AA$11,$NH48)))</f>
        <v/>
      </c>
      <c r="QB48" s="155">
        <f>IF(OR($NB48=0,$NH48=0),"",IF(COUNTIF($MV48:$MY48,"Inescapável")&gt;0,"Automático",IF($QA48="Ataque",IF($NF48="","Ataque","Ataque "&amp;IF(($NF48+2*IF(COUNTIF($MV48:$MY48,"Precisão")&gt;0,1,0))&gt;=0,"+","−")&amp;ABS(($NF48+2*IF(COUNTIF($MV48:$MY48,"Precisão")&gt;0,1,0))))&amp;IF($OB48&gt;0," · TR"&amp;IF($NG48="",""," CD "&amp;$NG48),""),IF(LEFT($QA48,2)="TR",$QA48&amp;IF($NG48="",""," · CD "&amp;$NG48)&amp;IF(COUNTIF($MV48:$MY48,"Certeiro")&gt;0," · metade",""),"Sem rolagem"))))</f>
        <v/>
      </c>
      <c r="QC48" s="155">
        <f>IF(OR($NB48=0,$NH48=0),"",IF($MQ48=0,IF(OR($OE48&gt;=1,$PB48=0),"Sem dano",$PB48&amp;"d6"&amp;IF($MT48="",""," "&amp;$MT48)),IF(OR($OE48&gt;=1,$PB48=0),UPPER(LEFT(INDEX($PK48:$PQ48,1,MAX(1,$MQ48)),1))&amp;MID(INDEX($PK48:$PQ48,1,MAX(1,$MQ48)),2,99),UPPER(LEFT(INDEX($PK48:$PQ48,1,MAX(1,$MQ48)),1))&amp;MID(INDEX($PK48:$PQ48,1,MAX(1,$MQ48)),2,99)&amp;IF($MT48="",""," "&amp;$MT48)&amp;IF($PC48&gt;0," · +"&amp;$PC48&amp;"d8",""))))</f>
        <v/>
      </c>
      <c r="QD48" s="155">
        <f>COUNTIF($MV48:$MY48,"Longe")+3*COUNTIF($MV48:$MY48,"Muito Longe")</f>
        <v/>
      </c>
      <c r="QE48" s="155">
        <f>COUNTIF($MV48:$MY48,"Maior")+3*COUNTIF($MV48:$MY48,"Muito Maior")</f>
        <v/>
      </c>
      <c r="QF48" s="155">
        <f>IF($NH48=0,0,CHOOSE(1+INDEX($AC$2:$AC$11,$NH48),0,$QD48,$QE48,$QD48+$QE48))</f>
        <v/>
      </c>
      <c r="QG48" s="155">
        <f>IF($NH48=0,0,CHOOSE(1+INDEX($AD$2:$AD$11,$NH48),0,$QD48,$QE48,$QD48+$QE48))</f>
        <v/>
      </c>
      <c r="QH48" s="155">
        <f>IF(OR($NB48=0,$NH48=0),"",INDEX($AI$2:$AN$41,($NH48-1)*4+IF($MQ48=0,1,IF($MQ48&lt;=5,2,IF($MQ48=6,3,4))),1+MIN(5,$QF48))&amp;INDEX($AO$2:$AT$41,($NH48-1)*4+IF($MQ48=0,1,IF($MQ48&lt;=5,2,IF($MQ48=6,3,4))),1+MIN(5,$QG48))&amp;IF(INDEX($AE$2:$AE$11,$NH48)=1,IF(COUNTIF($MV48:$MY48,"Mais Um")&gt;0," · +"&amp;COUNTIF($MV48:$MY48,"Mais Um")&amp;IF(COUNTIF($MV48:$MY48,"Mais Um")&gt;1," alvos"," alvo"),"")&amp;IF(COUNTIF($MV48:$MY48,"Rajada")&gt;0,IF($MQ48=0," · 1 tiro"," · "&amp;(MAX(1,$MQ48-1)+1)&amp;" tiros"),""),""))</f>
        <v/>
      </c>
      <c r="QI48" s="155">
        <f>IF($NB48=0,"",IF($MQ48=0,$NE48&amp;"d6"&amp;IF($OS48&gt;0," − 1 = "&amp;$PB48&amp;"d6"," da básica do nível "&amp;$NC48),$OZ48&amp;" − "&amp;$OU48&amp;" + "&amp;$OX48&amp;" = "&amp;$PA48&amp;" · teto "&amp;4*$MQ48&amp;"d8"&amp;IF($OD48=1," · a Forma devolve "&amp;$MQ48,"")&amp;IF($OY48&gt;0," · perde "&amp;$OY48,"")))</f>
        <v/>
      </c>
      <c r="QJ48" s="155">
        <f>IF($NB48=0,"",IF($MQ48=0,"A básica não amplia: os dados dela sobem com o nível",IF($MQ48&gt;=$ND48,"Já está na maior Classe que o nível liberou",TEXTJOIN(" · ",TRUE,IF(AND(2&gt;$MQ48,2&lt;=$ND48),"2 → "&amp;$PL48&amp;", 6 PE",""),IF(AND(3&gt;$MQ48,3&lt;=$ND48),"3 → "&amp;$PM48&amp;", 9 PE",""),IF(AND(4&gt;$MQ48,4&lt;=$ND48),"4 → "&amp;$PN48&amp;", 12 PE",""),IF(AND(5&gt;$MQ48,5&lt;=$ND48),"5 → "&amp;$PO48&amp;", 15 PE",""),IF(AND(6&gt;$MQ48,6&lt;=$ND48),"6 → "&amp;$PP48&amp;", 18 PE",""),IF(AND(7&gt;$MQ48,7&lt;=$ND48),"7 → "&amp;$PQ48&amp;", 21 PE","")))))</f>
        <v/>
      </c>
      <c r="QK48" s="155">
        <f>IF(OR($NB48=0,$NM48=0),"",IF($MQ48=0,"−1 dado","−"&amp;INDEX($I$2:$N$8,MAX(1,$MQ48),MAX(1,$NR48))&amp;" · "&amp;CHOOSE(MAX(1,$NR48),"Leve","Média","Pesada","Leve · Livre","Média · Livre","Pesada · Livre")))</f>
        <v/>
      </c>
      <c r="QL48" s="155">
        <f>IF(OR($NB48=0,$NN48=0),"",IF($MQ48=0,"−1 dado","−"&amp;INDEX($I$2:$N$8,MAX(1,$MQ48),MAX(1,$NS48))&amp;" · "&amp;CHOOSE(MAX(1,$NS48),"Leve","Média","Pesada","Leve · Livre","Média · Livre","Pesada · Livre")))</f>
        <v/>
      </c>
      <c r="QM48" s="155">
        <f>IF(OR($NB48=0,$NO48=0),"",IF($MQ48=0,"−1 dado","−"&amp;INDEX($I$2:$N$8,MAX(1,$MQ48),MAX(1,$NT48))&amp;" · "&amp;CHOOSE(MAX(1,$NT48),"Leve","Média","Pesada","Leve · Livre","Média · Livre","Pesada · Livre")))</f>
        <v/>
      </c>
      <c r="QN48" s="155">
        <f>IF(OR($NB48=0,$NP48=0),"",IF($MQ48=0,"−1 dado","−"&amp;INDEX($I$2:$N$8,MAX(1,$MQ48),MAX(1,$NU48))&amp;" · "&amp;CHOOSE(MAX(1,$NU48),"Leve","Média","Pesada","Leve · Livre","Média · Livre","Pesada · Livre")))</f>
        <v/>
      </c>
      <c r="QO48" s="155">
        <f>IF(OR($NB48=0,$MZ48=""),"",IF($MQ48=0,"não devolve","+"&amp;IF($OG48=1,CEILING($MQ48/2,1),$MQ48)))</f>
        <v/>
      </c>
      <c r="QP48" s="155">
        <f>IF(OR($NB48=0,$NA48=""),"",IF($MQ48=0,"não devolve","+"&amp;IF($OH48=1,CEILING($MQ48/2,1),$MQ48)))</f>
        <v/>
      </c>
    </row>
    <row r="49">
      <c r="AV49" s="153" t="inlineStr">
        <is>
          <t>Guarda</t>
        </is>
      </c>
      <c r="AW49" s="153" t="inlineStr">
        <is>
          <t>Auxiliares</t>
        </is>
      </c>
      <c r="AX49" s="155" t="n">
        <v>2</v>
      </c>
      <c r="AY49" s="155" t="n">
        <v>0</v>
      </c>
      <c r="AZ49" s="155" t="n">
        <v>0</v>
      </c>
      <c r="BA49" s="155" t="n">
        <v>0</v>
      </c>
      <c r="JR49" s="155">
        <f>IF(OR($AW49="",COUNTIF($EJ$2:$EN$2,$AW49)&gt;0),$AV49,"")</f>
        <v/>
      </c>
      <c r="JS49" s="155">
        <f>IF(AND($AX49=1,OR($AW49="",COUNTIF($EJ$2:$EN$2,$AW49)&gt;0)),$AV49,"")</f>
        <v/>
      </c>
      <c r="JX49" s="155">
        <f>IF(OR($AW49="",COUNTIF($EJ$3:$EN$3,$AW49)&gt;0),$AV49,"")</f>
        <v/>
      </c>
      <c r="JY49" s="155">
        <f>IF(AND($AX49=1,OR($AW49="",COUNTIF($EJ$3:$EN$3,$AW49)&gt;0)),$AV49,"")</f>
        <v/>
      </c>
      <c r="KD49" s="155">
        <f>IF(OR($AW49="",COUNTIF($EJ$4:$EN$4,$AW49)&gt;0),$AV49,"")</f>
        <v/>
      </c>
      <c r="KE49" s="155">
        <f>IF(AND($AX49=1,OR($AW49="",COUNTIF($EJ$4:$EN$4,$AW49)&gt;0)),$AV49,"")</f>
        <v/>
      </c>
      <c r="KJ49" s="155">
        <f>IF(OR($AW49="",COUNTIF($EJ$5:$EN$5,$AW49)&gt;0),$AV49,"")</f>
        <v/>
      </c>
      <c r="KK49" s="155">
        <f>IF(AND($AX49=1,OR($AW49="",COUNTIF($EJ$5:$EN$5,$AW49)&gt;0)),$AV49,"")</f>
        <v/>
      </c>
      <c r="KP49" s="155">
        <f>IF(OR($AW49="",COUNTIF($EJ$6:$EN$6,$AW49)&gt;0),$AV49,"")</f>
        <v/>
      </c>
      <c r="KQ49" s="155">
        <f>IF(AND($AX49=1,OR($AW49="",COUNTIF($EJ$6:$EN$6,$AW49)&gt;0)),$AV49,"")</f>
        <v/>
      </c>
      <c r="KV49" s="155">
        <f>IF(OR($AW49="",COUNTIF($EJ$7:$EN$7,$AW49)&gt;0),$AV49,"")</f>
        <v/>
      </c>
      <c r="KW49" s="155">
        <f>IF(AND($AX49=1,OR($AW49="",COUNTIF($EJ$7:$EN$7,$AW49)&gt;0)),$AV49,"")</f>
        <v/>
      </c>
      <c r="LB49" s="155">
        <f>IF(OR($AW49="",COUNTIF($EJ$8:$EN$8,$AW49)&gt;0),$AV49,"")</f>
        <v/>
      </c>
      <c r="LC49" s="155">
        <f>IF(AND($AX49=1,OR($AW49="",COUNTIF($EJ$8:$EN$8,$AW49)&gt;0)),$AV49,"")</f>
        <v/>
      </c>
      <c r="LH49" s="155">
        <f>IF(OR($AW49="",COUNTIF($EJ$9:$EN$9,$AW49)&gt;0),$AV49,"")</f>
        <v/>
      </c>
      <c r="LI49" s="155">
        <f>IF(AND($AX49=1,OR($AW49="",COUNTIF($EJ$9:$EN$9,$AW49)&gt;0)),$AV49,"")</f>
        <v/>
      </c>
      <c r="LN49" s="155">
        <f>IF(OR($AW49="",COUNTIF($EJ$10:$EN$10,$AW49)&gt;0),$AV49,"")</f>
        <v/>
      </c>
      <c r="LO49" s="155">
        <f>IF(AND($AX49=1,OR($AW49="",COUNTIF($EJ$10:$EN$10,$AW49)&gt;0)),$AV49,"")</f>
        <v/>
      </c>
      <c r="LT49" s="155">
        <f>IF(OR($AW49="",COUNTIF($EJ$11:$EN$11,$AW49)&gt;0),$AV49,"")</f>
        <v/>
      </c>
      <c r="LU49" s="155">
        <f>IF(AND($AX49=1,OR($AW49="",COUNTIF($EJ$11:$EN$11,$AW49)&gt;0)),$AV49,"")</f>
        <v/>
      </c>
      <c r="LZ49" s="155">
        <f>IF(OR($AW49="",COUNTIF($EJ$12:$EN$12,$AW49)&gt;0),$AV49,"")</f>
        <v/>
      </c>
      <c r="MA49" s="155">
        <f>IF(AND($AX49=1,OR($AW49="",COUNTIF($EJ$12:$EN$12,$AW49)&gt;0)),$AV49,"")</f>
        <v/>
      </c>
      <c r="MF49" s="155">
        <f>IF(OR($AW49="",COUNTIF($EJ$13:$EN$13,$AW49)&gt;0),$AV49,"")</f>
        <v/>
      </c>
      <c r="MG49" s="155">
        <f>IF(AND($AX49=1,OR($AW49="",COUNTIF($EJ$13:$EN$13,$AW49)&gt;0)),$AV49,"")</f>
        <v/>
      </c>
      <c r="ML49" s="153" t="inlineStr">
        <is>
          <t>Ficha 4 · Especial 7</t>
        </is>
      </c>
      <c r="MM49" s="155" t="n">
        <v>4</v>
      </c>
      <c r="MN49" s="155" t="n">
        <v>1</v>
      </c>
      <c r="MO49" s="155" t="n">
        <v>24</v>
      </c>
      <c r="MP49" s="153" t="inlineStr">
        <is>
          <t>ESPECIAL 7</t>
        </is>
      </c>
      <c r="MQ49" s="155">
        <f>MAX(1,MIN(7,N('INVOCAÇÕES'!$U$708)))</f>
        <v/>
      </c>
      <c r="MR49" s="155">
        <f>'INVOCAÇÕES'!$V$708&amp;""</f>
        <v/>
      </c>
      <c r="MS49" s="155">
        <f>'INVOCAÇÕES'!$U$713&amp;""</f>
        <v/>
      </c>
      <c r="MT49" s="155">
        <f>'INVOCAÇÕES'!$U$714&amp;""</f>
        <v/>
      </c>
      <c r="MU49" s="155">
        <f>'INVOCAÇÕES'!$W$714&amp;""</f>
        <v/>
      </c>
      <c r="MV49" s="155">
        <f>'INVOCAÇÕES'!$V$717&amp;""</f>
        <v/>
      </c>
      <c r="MW49" s="155">
        <f>'INVOCAÇÕES'!$V$718&amp;""</f>
        <v/>
      </c>
      <c r="MX49" s="155">
        <f>'INVOCAÇÕES'!$V$719&amp;""</f>
        <v/>
      </c>
      <c r="MY49" s="155">
        <f>'INVOCAÇÕES'!$V$720&amp;""</f>
        <v/>
      </c>
      <c r="MZ49" s="155">
        <f>'INVOCAÇÕES'!$V$721&amp;""</f>
        <v/>
      </c>
      <c r="NA49" s="155">
        <f>'INVOCAÇÕES'!$V$722&amp;""</f>
        <v/>
      </c>
      <c r="NB49" s="155">
        <f>IF($MR49&lt;&gt;"",1,0)</f>
        <v/>
      </c>
      <c r="NC49" s="155">
        <f>INDEX($FM$2:$FM$13,$MM49)</f>
        <v/>
      </c>
      <c r="ND49" s="155">
        <f>INDEX($FN$2:$FN$13,$MM49)</f>
        <v/>
      </c>
      <c r="NE49" s="155">
        <f>INDEX($FO$2:$FO$13,$MM49)</f>
        <v/>
      </c>
      <c r="NF49" s="155">
        <f>INDEX($FZ$2:$FZ$13,$MM49)</f>
        <v/>
      </c>
      <c r="NG49" s="155">
        <f>INDEX($GA$2:$GA$13,$MM49)</f>
        <v/>
      </c>
      <c r="NH49" s="155">
        <f>IFERROR(MATCH($MS49,$V$2:$V$11,0),0)</f>
        <v/>
      </c>
      <c r="NI49" s="155">
        <f>IFERROR(VLOOKUP($MV49,$AV$2:$BA$84,2,FALSE),"")</f>
        <v/>
      </c>
      <c r="NJ49" s="155">
        <f>IFERROR(VLOOKUP($MW49,$AV$2:$BA$84,2,FALSE),"")</f>
        <v/>
      </c>
      <c r="NK49" s="155">
        <f>IFERROR(VLOOKUP($MX49,$AV$2:$BA$84,2,FALSE),"")</f>
        <v/>
      </c>
      <c r="NL49" s="155">
        <f>IFERROR(VLOOKUP($MY49,$AV$2:$BA$84,2,FALSE),"")</f>
        <v/>
      </c>
      <c r="NM49" s="155">
        <f>IFERROR(VLOOKUP($MV49,$AV$2:$BA$84,3,FALSE),0)</f>
        <v/>
      </c>
      <c r="NN49" s="155">
        <f>IFERROR(VLOOKUP($MW49,$AV$2:$BA$84,3,FALSE),0)</f>
        <v/>
      </c>
      <c r="NO49" s="155">
        <f>IFERROR(VLOOKUP($MX49,$AV$2:$BA$84,3,FALSE),0)</f>
        <v/>
      </c>
      <c r="NP49" s="155">
        <f>IFERROR(VLOOKUP($MY49,$AV$2:$BA$84,3,FALSE),0)</f>
        <v/>
      </c>
      <c r="NQ49" s="155">
        <f>IF($MQ49=0,0,IF($NH49=0,0,INDEX($X$2:$X$11,$NH49)))</f>
        <v/>
      </c>
      <c r="NR49" s="155">
        <f>IF(OR($NM49=0,$MQ49=0),0,$NM49+3*IF(AND($NI49&lt;&gt;"",OR($NI49=INDEX($EJ$2:$EJ$13,$MM49),$NI49=INDEX($EK$2:$EK$13,$MM49))),1,0))</f>
        <v/>
      </c>
      <c r="NS49" s="155">
        <f>IF(OR($NN49=0,$MQ49=0),0,$NN49+3*IF(AND($NJ49&lt;&gt;"",OR($NJ49=INDEX($EJ$2:$EJ$13,$MM49),$NJ49=INDEX($EK$2:$EK$13,$MM49))),1,0))</f>
        <v/>
      </c>
      <c r="NT49" s="155">
        <f>IF(OR($NO49=0,$MQ49=0),0,$NO49+3*IF(AND($NK49&lt;&gt;"",OR($NK49=INDEX($EJ$2:$EJ$13,$MM49),$NK49=INDEX($EK$2:$EK$13,$MM49))),1,0))</f>
        <v/>
      </c>
      <c r="NU49" s="155">
        <f>IF(OR($NP49=0,$MQ49=0),0,$NP49+3*IF(AND($NL49&lt;&gt;"",OR($NL49=INDEX($EJ$2:$EJ$13,$MM49),$NL49=INDEX($EK$2:$EK$13,$MM49))),1,0))</f>
        <v/>
      </c>
      <c r="NV49" s="155">
        <f>IF($NH49=0,0,IF(INDEX($W$2:$W$11,$NH49)="",0,IF(COUNTIF(INDEX($EJ$2:$EN$13,$MM49,0),INDEX($W$2:$W$11,$NH49))=0,1,0)))</f>
        <v/>
      </c>
      <c r="NW49" s="155">
        <f>IF(OR($NM49=0,$NI49=""),0,IF(COUNTIF(INDEX($EJ$2:$EN$13,$MM49,0),$NI49)=0,1,0))</f>
        <v/>
      </c>
      <c r="NX49" s="155">
        <f>IF(OR($NN49=0,$NJ49=""),0,IF(COUNTIF(INDEX($EJ$2:$EN$13,$MM49,0),$NJ49)=0,1,0))</f>
        <v/>
      </c>
      <c r="NY49" s="155">
        <f>IF(OR($NO49=0,$NK49=""),0,IF(COUNTIF(INDEX($EJ$2:$EN$13,$MM49,0),$NK49)=0,1,0))</f>
        <v/>
      </c>
      <c r="NZ49" s="155">
        <f>IF(OR($NP49=0,$NL49=""),0,IF(COUNTIF(INDEX($EJ$2:$EN$13,$MM49,0),$NL49)=0,1,0))</f>
        <v/>
      </c>
      <c r="OA49" s="155">
        <f>IFERROR(VLOOKUP($MV49,$AV$2:$BA$84,4,FALSE),0)+IFERROR(VLOOKUP($MW49,$AV$2:$BA$84,4,FALSE),0)+IFERROR(VLOOKUP($MX49,$AV$2:$BA$84,4,FALSE),0)+IFERROR(VLOOKUP($MY49,$AV$2:$BA$84,4,FALSE),0)</f>
        <v/>
      </c>
      <c r="OB49" s="155">
        <f>IFERROR(VLOOKUP($MV49,$AV$2:$BA$84,6,FALSE),0)+IFERROR(VLOOKUP($MW49,$AV$2:$BA$84,6,FALSE),0)+IFERROR(VLOOKUP($MX49,$AV$2:$BA$84,6,FALSE),0)+IFERROR(VLOOKUP($MY49,$AV$2:$BA$84,6,FALSE),0)</f>
        <v/>
      </c>
      <c r="OC49" s="155">
        <f>TEXTJOIN(", ",TRUE,IF(IFERROR(VLOOKUP($MV49,$AV$2:$BA$84,5,FALSE),0)=1,$MV49,""),IF(IFERROR(VLOOKUP($MW49,$AV$2:$BA$84,5,FALSE),0)=1,$MW49,""),IF(IFERROR(VLOOKUP($MX49,$AV$2:$BA$84,5,FALSE),0)=1,$MX49,""),IF(IFERROR(VLOOKUP($MY49,$AV$2:$BA$84,5,FALSE),0)=1,$MY49,""))</f>
        <v/>
      </c>
      <c r="OD49" s="155">
        <f>IF($NH49=0,0,INDEX($Y$2:$Y$11,$NH49))</f>
        <v/>
      </c>
      <c r="OE49" s="155">
        <f>IF($NH49=0,0,INDEX($Z$2:$Z$11,$NH49))</f>
        <v/>
      </c>
      <c r="OF49" s="155">
        <f>IF($NH49=0,0,INDEX($AB$2:$AB$11,$NH49))</f>
        <v/>
      </c>
      <c r="OG49" s="155">
        <f>IFERROR(VLOOKUP($MZ49,$BC$2:$BG$24,3,FALSE),0)</f>
        <v/>
      </c>
      <c r="OH49" s="155">
        <f>IFERROR(VLOOKUP($NA49,$BC$2:$BG$24,3,FALSE),0)</f>
        <v/>
      </c>
      <c r="OI49" s="155">
        <f>IFERROR(VLOOKUP($MZ49,$BC$2:$BG$24,2,FALSE),"")</f>
        <v/>
      </c>
      <c r="OJ49" s="155">
        <f>IFERROR(VLOOKUP($NA49,$BC$2:$BG$24,2,FALSE),"")</f>
        <v/>
      </c>
      <c r="OK49" s="155">
        <f>COUNTIF($NQ49:$NU49,1)</f>
        <v/>
      </c>
      <c r="OL49" s="155">
        <f>COUNTIF($NQ49:$NU49,2)</f>
        <v/>
      </c>
      <c r="OM49" s="155">
        <f>COUNTIF($NQ49:$NU49,3)</f>
        <v/>
      </c>
      <c r="ON49" s="155">
        <f>COUNTIF($NQ49:$NU49,4)</f>
        <v/>
      </c>
      <c r="OO49" s="155">
        <f>COUNTIF($NQ49:$NU49,5)</f>
        <v/>
      </c>
      <c r="OP49" s="155">
        <f>COUNTIF($NQ49:$NU49,6)</f>
        <v/>
      </c>
      <c r="OQ49" s="155">
        <f>COUNTIF($OG49:$OH49,1)</f>
        <v/>
      </c>
      <c r="OR49" s="155">
        <f>COUNTIF($OG49:$OH49,2)+$OD49</f>
        <v/>
      </c>
      <c r="OS49" s="155">
        <f>COUNTIF($MV49:$MY49,"?*")</f>
        <v/>
      </c>
      <c r="OT49" s="155">
        <f>COUNTIF($MZ49:$NA49,"?*")+$OD49</f>
        <v/>
      </c>
      <c r="OU49" s="155">
        <f>IF($MQ49=0,0,SUMPRODUCT($OK49:$OP49,INDEX($I$2:$N$8,MAX(1,$MQ49),0)))</f>
        <v/>
      </c>
      <c r="OV49" s="155">
        <f>IF($MQ49=0,0,$OQ49*CEILING($MQ49/2,1)+$OR49*$MQ49)</f>
        <v/>
      </c>
      <c r="OW49" s="155">
        <f>MIN(2*$MQ49,$OV49)</f>
        <v/>
      </c>
      <c r="OX49" s="155">
        <f>MIN($OW49,$OU49)</f>
        <v/>
      </c>
      <c r="OY49" s="155">
        <f>$OW49-$OX49</f>
        <v/>
      </c>
      <c r="OZ49" s="155">
        <f>IF($MQ49=0,0,INDEX($P$2:$P$8,MAX(1,$MQ49)))</f>
        <v/>
      </c>
      <c r="PA49" s="155">
        <f>$OZ49-$OU49+$OX49</f>
        <v/>
      </c>
      <c r="PB49" s="155">
        <f>IF($MQ49=0,MAX(0,$NE49-IF($OS49&gt;0,1,0)),MAX(0,$PA49))</f>
        <v/>
      </c>
      <c r="PC49" s="155">
        <f>IF($MQ49=0,0,(IF(COUNTIF($MV49:$MY49,"Salto")&gt;0,1,0)+IF(COUNTIF($MV49:$MY49,"Queima")&gt;0,1,0)+IF(COUNTIF($MV49:$MY49,"Estilhaço")&gt;0,1,0))*FLOOR($PB49/2,1))</f>
        <v/>
      </c>
      <c r="PD49" s="155">
        <f>MAX(0,2-SUMPRODUCT($OK49:$OP49,$I$2:$N$2)+MIN(2,$OQ49*1+$OR49*1,SUMPRODUCT($OK49:$OP49,$I$2:$N$2)))</f>
        <v/>
      </c>
      <c r="PE49" s="155">
        <f>MAX(0,4-SUMPRODUCT($OK49:$OP49,$I$3:$N$3)+MIN(4,$OQ49*1+$OR49*2,SUMPRODUCT($OK49:$OP49,$I$3:$N$3)))</f>
        <v/>
      </c>
      <c r="PF49" s="155">
        <f>MAX(0,6-SUMPRODUCT($OK49:$OP49,$I$4:$N$4)+MIN(6,$OQ49*2+$OR49*3,SUMPRODUCT($OK49:$OP49,$I$4:$N$4)))</f>
        <v/>
      </c>
      <c r="PG49" s="155">
        <f>MAX(0,9-SUMPRODUCT($OK49:$OP49,$I$5:$N$5)+MIN(8,$OQ49*2+$OR49*4,SUMPRODUCT($OK49:$OP49,$I$5:$N$5)))</f>
        <v/>
      </c>
      <c r="PH49" s="155">
        <f>MAX(0,11-SUMPRODUCT($OK49:$OP49,$I$6:$N$6)+MIN(10,$OQ49*3+$OR49*5,SUMPRODUCT($OK49:$OP49,$I$6:$N$6)))</f>
        <v/>
      </c>
      <c r="PI49" s="155">
        <f>MAX(0,13-SUMPRODUCT($OK49:$OP49,$I$7:$N$7)+MIN(12,$OQ49*3+$OR49*6,SUMPRODUCT($OK49:$OP49,$I$7:$N$7)))</f>
        <v/>
      </c>
      <c r="PJ49" s="155">
        <f>MAX(0,16-SUMPRODUCT($OK49:$OP49,$I$8:$N$8)+MIN(14,$OQ49*4+$OR49*7,SUMPRODUCT($OK49:$OP49,$I$8:$N$8)))</f>
        <v/>
      </c>
      <c r="PK49" s="155">
        <f>IF($OE49=2,3*$PD49&amp;" de vida temp.",IF($OE49=3,"sem dano",IF($PD49=0,IF($OE49=1,"sem cura","sem dano"),IF($OE49=1,"cura ","")&amp;$PD49&amp;"d8")))</f>
        <v/>
      </c>
      <c r="PL49" s="155">
        <f>IF($OE49=2,3*$PE49&amp;" de vida temp.",IF($OE49=3,"sem dano",IF($PE49=0,IF($OE49=1,"sem cura","sem dano"),IF($OE49=1,"cura ","")&amp;$PE49&amp;"d8")))</f>
        <v/>
      </c>
      <c r="PM49" s="155">
        <f>IF($OE49=2,3*$PF49&amp;" de vida temp.",IF($OE49=3,"sem dano",IF($PF49=0,IF($OE49=1,"sem cura","sem dano"),IF($OE49=1,"cura ","")&amp;$PF49&amp;"d8")))</f>
        <v/>
      </c>
      <c r="PN49" s="155">
        <f>IF($OE49=2,3*$PG49&amp;" de vida temp.",IF($OE49=3,"sem dano",IF($PG49=0,IF($OE49=1,"sem cura","sem dano"),IF($OE49=1,"cura ","")&amp;$PG49&amp;"d8")))</f>
        <v/>
      </c>
      <c r="PO49" s="155">
        <f>IF($OE49=2,3*$PH49&amp;" de vida temp.",IF($OE49=3,"sem dano",IF($PH49=0,IF($OE49=1,"sem cura","sem dano"),IF($OE49=1,"cura ","")&amp;$PH49&amp;"d8")))</f>
        <v/>
      </c>
      <c r="PP49" s="155">
        <f>IF($OE49=2,3*$PI49&amp;" de vida temp.",IF($OE49=3,"sem dano",IF($PI49=0,IF($OE49=1,"sem cura","sem dano"),IF($OE49=1,"cura ","")&amp;$PI49&amp;"d8")))</f>
        <v/>
      </c>
      <c r="PQ49" s="155">
        <f>IF($OE49=2,3*$PJ49&amp;" de vida temp.",IF($OE49=3,"sem dano",IF($PJ49=0,IF($OE49=1,"sem cura","sem dano"),IF($OE49=1,"cura ","")&amp;$PJ49&amp;"d8")))</f>
        <v/>
      </c>
      <c r="PR49" s="155">
        <f>IF($NB49=0,"",TEXTJOIN(" · ",TRUE,IF($MO49&gt;$NC49,"Este lugar abre no nível "&amp;$MO49,""),IF($MQ49&gt;$ND49,"Classe "&amp;$MQ49&amp;": o nível "&amp;$NC49&amp;" libera até a "&amp;$ND49,""),IF($NV49=1,"A Forma "&amp;$MS49&amp;" pede "&amp;INDEX($W$2:$W$11,$NH49)&amp;" aberta",""),IF(AND($MQ49=0,$NH49&gt;0,IF($NH49=0,0,INDEX($AF$2:$AF$11,$NH49))=0),$MS49&amp;" não existe na Classe 0",""),IF($NW49=1,"Família Fechada: "&amp;$MV49,""),IF($NX49=1,"Família Fechada: "&amp;$MW49,""),IF($NY49=1,"Família Fechada: "&amp;$MX49,""),IF($NZ49=1,"Família Fechada: "&amp;$MY49,""),IF(AND($MQ49&gt;0,$OS49&gt;INDEX($O$2:$O$8,MAX(1,$MQ49))),$OS49&amp;" Melhorias: a Classe "&amp;$MQ49&amp;" aceita "&amp;INDEX($O$2:$O$8,MAX(1,$MQ49)),""),IF(AND($MQ49=0,$OS49&gt;1),"A básica aceita uma Melhoria",""),IF(AND($MQ49=0,COUNTIF($NM49:$NP49,"&gt;1")&gt;0),"A básica só aceita Melhoria Leve",""),IF(AND($MQ49&gt;0,$OT49&gt;2),$OT49&amp;" Restrições"&amp;IF($OD49=1,", contando a que a Forma "&amp;$MS49&amp;" já traz","")&amp;": o limite é 2",""),IF(AND($MQ49=0,COUNTIF($MZ49:$NA49,"?*")&gt;1),"A básica aceita uma Restrição Leve",""),IF(AND($MQ49=0,COUNTIF($OG49:$OH49,2)&gt;0),"A básica só aceita Restrição Leve",""),IF(AND($MQ49&gt;0,$PA49&lt;0),"Orçamento estourado: faltam "&amp;(-$PA49)&amp;IF($PA49&lt;-1," pontos"," ponto"),""),IF(IFERROR(VLOOKUP($MZ49,$BC$2:$BG$24,4,FALSE),0)+IFERROR(VLOOKUP($NA49,$BC$2:$BG$24,4,FALSE),0)&gt;1,$OI49&amp;" e "&amp;$OJ49&amp;" são as duas de frequência",""),IF(AND((COUNTIF($MV49:$MY49,"Rápido")+COUNTIF($OI49:$OJ49,"Rápido"))&gt;0,(COUNTIF($MV49:$MY49,"Atrasar")+COUNTIF($OI49:$OJ49,"Atrasar"))&gt;0),"Rápido não entra com Atrasar",""),IF(AND((COUNTIF($MV49:$MY49,"Reação")+COUNTIF($OI49:$OJ49,"Reação"))&gt;0,(COUNTIF($MV49:$MY49,"Rápido")+COUNTIF($OI49:$OJ49,"Rápido"))&gt;0),"Reação não entra com Rápido",""),IF(AND((COUNTIF($MV49:$MY49,"Reação")+COUNTIF($OI49:$OJ49,"Reação"))&gt;0,(COUNTIF($MV49:$MY49,"Armado")+COUNTIF($OI49:$OJ49,"Armado"))&gt;0),"Reação não entra com Armado",""),IF(AND((COUNTIF($MV49:$MY49,"Reação")+COUNTIF($OI49:$OJ49,"Reação"))&gt;0,(COUNTIF($MV49:$MY49,"Atrasar")+COUNTIF($OI49:$OJ49,"Atrasar"))&gt;0),"Reação não entra com Atrasar",""),IF(AND((COUNTIF($MV49:$MY49,"Reação")+COUNTIF($OI49:$OJ49,"Reação"))&gt;0,(COUNTIF($MV49:$MY49,"Parado")+COUNTIF($OI49:$OJ49,"Parado"))&gt;0),"Reação não entra com Parado",""),IF(AND((COUNTIF($MV49:$MY49,"Atrasar")+COUNTIF($OI49:$OJ49,"Atrasar"))&gt;0,(COUNTIF($MV49:$MY49,"Parado")+COUNTIF($OI49:$OJ49,"Parado"))&gt;0),"Atrasar não entra com Parado",""),IF(AND((COUNTIF($MV49:$MY49,"Armado")+COUNTIF($OI49:$OJ49,"Armado"))&gt;0,(COUNTIF($MV49:$MY49,"Carregar")+COUNTIF($OI49:$OJ49,"Carregar"))&gt;0),"Armado não entra com Carregar",""),IF(AND(COUNTIF($OI49:$OJ49,"Corpo a Corpo")&gt;0,$OD49=0,OR($MS49="Cone",$MS49="Linha")),"Corpo a Corpo não entra em "&amp;$MS49,""),IF(AND(COUNTIF($OI49:$OJ49,"Corpo a Corpo")&gt;0,$OD49=1),"A Forma "&amp;$MS49&amp;" já traz o Corpo a Corpo",""),IF(AND(COUNTIF($OI49:$OJ49,"Tudo ou Nada")&gt;0,$OF49=0),"Tudo ou Nada só entra em habilidade de Teste de Resistência",""),IF(AND(COUNTIF($MV49:$MY49,"Inescapável")&gt;0,OR($OS49&gt;1,$OT49&gt;0)),"Inescapável não aceita outra peça",""),IF(AND($MQ49&gt;0,$PB49*IF(COUNTIF($MV49:$MY49,"Remate")&gt;0,1.25,1)+$PC49&gt;4*$MQ49),($PB49*IF(COUNTIF($MV49:$MY49,"Remate")&gt;0,1.25,1)+$PC49)&amp;" dados somando repetições"&amp;IF(COUNTIF($MV49:$MY49,"Remate")&gt;0," e o Remate","")&amp;": o teto da Classe "&amp;$MQ49&amp;" é "&amp;4*$MQ49,"")))</f>
        <v/>
      </c>
      <c r="PS49" s="155">
        <f>IF($PR49="",0,(LEN($PR49)-LEN(SUBSTITUTE($PR49," · ","")))/3+1)</f>
        <v/>
      </c>
      <c r="PT49" s="155">
        <f>IF($NB49=0,"",TEXTJOIN(" · ",TRUE,IF($OV49&gt;2*$MQ49,"A devolução parou no teto de "&amp;2*$MQ49,""),IF($OY49&gt;0,"Devolução perdida: "&amp;$OY49&amp;IF($OY49&gt;1," pontos"," ponto")&amp;" sem peça para pagar",""),IF(AND($OA49&gt;0,AND($MQ49&gt;0,$OE49=0),$PB49=0),"Controle sem dano: uma rodada a mais e CD +2",""),IF(AND($OA49&gt;0,AND($MQ49&gt;0,$OE49=0),$PB49&gt;0,$PB49&lt;=$MQ49),"Controle com saldo até a Classe: uma rodada a mais",""),IF(AND($MQ49&gt;0,$OC49&lt;&gt;""),"Efeito de "&amp;$OC49&amp;" pela Classe "&amp;MAX(1,$MQ49-1),"")))</f>
        <v/>
      </c>
      <c r="PU49" s="155">
        <f>IF($PT49="",0,(LEN($PT49)-LEN(SUBSTITUTE($PT49," · ","")))/3+1)</f>
        <v/>
      </c>
      <c r="PV49" s="155">
        <f>IF($NB49=0,IF($OS49+COUNTIF($MZ49:$NA49,"?*")&gt;0,"Dê um nome",""),IF($PS49&gt;0,"⚠ "&amp;$PS49&amp;IF($PS49&gt;1," erros"," erro"),IF($PU49&gt;0,"! "&amp;$PU49&amp;IF($PU49&gt;1," avisos"," aviso"),"Na regra")))</f>
        <v/>
      </c>
      <c r="PW49" s="155">
        <f>IF($NB49=0,"",IF($PS49+$PU49=0,"Dentro das regras que a ficha confere",$PR49&amp;IF(AND($PS49&gt;0,$PU49&gt;0)," · ","")&amp;$PT49))</f>
        <v/>
      </c>
      <c r="PX49" s="155">
        <f>IF($MO49&gt;$NC49,$MP49&amp;" · ABRE NO NÍVEL "&amp;$MO49,$MP49)</f>
        <v/>
      </c>
      <c r="PY49" s="155">
        <f>IF($NB49=0,"",IF($MQ49=0,"Sem PE",3*$MQ49&amp;" PE"))</f>
        <v/>
      </c>
      <c r="PZ49" s="155">
        <f>IF($NB49=0,"",IF($MQ49=0,"A atuação básica dela",IF(COUNTIF($OI49:$OJ49,"Atrasar")&gt;0,"Sua Ação Completa",IF(COUNTIF($MV49:$MY49,"Rápido")&gt;0,"Sua Bônus",IF(COUNTIF($MV49:$MY49,"Reação")&gt;0,"Sua Reação","Sua Padrão")))&amp;" + a básica dela"&amp;IF(COUNTIF($MV49:$MY49,"Reação")&gt;0," e a coletiva","")&amp;IF(COUNTIF($OI49:$OJ49,"Carregar")&gt;0," · em dois turnos","")))</f>
        <v/>
      </c>
      <c r="QA49" s="155">
        <f>IF($MU49&lt;&gt;"",$MU49,IF($NH49=0,"",INDEX($AA$2:$AA$11,$NH49)))</f>
        <v/>
      </c>
      <c r="QB49" s="155">
        <f>IF(OR($NB49=0,$NH49=0),"",IF(COUNTIF($MV49:$MY49,"Inescapável")&gt;0,"Automático",IF($QA49="Ataque",IF($NF49="","Ataque","Ataque "&amp;IF(($NF49+2*IF(COUNTIF($MV49:$MY49,"Precisão")&gt;0,1,0))&gt;=0,"+","−")&amp;ABS(($NF49+2*IF(COUNTIF($MV49:$MY49,"Precisão")&gt;0,1,0))))&amp;IF($OB49&gt;0," · TR"&amp;IF($NG49="",""," CD "&amp;$NG49),""),IF(LEFT($QA49,2)="TR",$QA49&amp;IF($NG49="",""," · CD "&amp;$NG49)&amp;IF(COUNTIF($MV49:$MY49,"Certeiro")&gt;0," · metade",""),"Sem rolagem"))))</f>
        <v/>
      </c>
      <c r="QC49" s="155">
        <f>IF(OR($NB49=0,$NH49=0),"",IF($MQ49=0,IF(OR($OE49&gt;=1,$PB49=0),"Sem dano",$PB49&amp;"d6"&amp;IF($MT49="",""," "&amp;$MT49)),IF(OR($OE49&gt;=1,$PB49=0),UPPER(LEFT(INDEX($PK49:$PQ49,1,MAX(1,$MQ49)),1))&amp;MID(INDEX($PK49:$PQ49,1,MAX(1,$MQ49)),2,99),UPPER(LEFT(INDEX($PK49:$PQ49,1,MAX(1,$MQ49)),1))&amp;MID(INDEX($PK49:$PQ49,1,MAX(1,$MQ49)),2,99)&amp;IF($MT49="",""," "&amp;$MT49)&amp;IF($PC49&gt;0," · +"&amp;$PC49&amp;"d8",""))))</f>
        <v/>
      </c>
      <c r="QD49" s="155">
        <f>COUNTIF($MV49:$MY49,"Longe")+3*COUNTIF($MV49:$MY49,"Muito Longe")</f>
        <v/>
      </c>
      <c r="QE49" s="155">
        <f>COUNTIF($MV49:$MY49,"Maior")+3*COUNTIF($MV49:$MY49,"Muito Maior")</f>
        <v/>
      </c>
      <c r="QF49" s="155">
        <f>IF($NH49=0,0,CHOOSE(1+INDEX($AC$2:$AC$11,$NH49),0,$QD49,$QE49,$QD49+$QE49))</f>
        <v/>
      </c>
      <c r="QG49" s="155">
        <f>IF($NH49=0,0,CHOOSE(1+INDEX($AD$2:$AD$11,$NH49),0,$QD49,$QE49,$QD49+$QE49))</f>
        <v/>
      </c>
      <c r="QH49" s="155">
        <f>IF(OR($NB49=0,$NH49=0),"",INDEX($AI$2:$AN$41,($NH49-1)*4+IF($MQ49=0,1,IF($MQ49&lt;=5,2,IF($MQ49=6,3,4))),1+MIN(5,$QF49))&amp;INDEX($AO$2:$AT$41,($NH49-1)*4+IF($MQ49=0,1,IF($MQ49&lt;=5,2,IF($MQ49=6,3,4))),1+MIN(5,$QG49))&amp;IF(INDEX($AE$2:$AE$11,$NH49)=1,IF(COUNTIF($MV49:$MY49,"Mais Um")&gt;0," · +"&amp;COUNTIF($MV49:$MY49,"Mais Um")&amp;IF(COUNTIF($MV49:$MY49,"Mais Um")&gt;1," alvos"," alvo"),"")&amp;IF(COUNTIF($MV49:$MY49,"Rajada")&gt;0,IF($MQ49=0," · 1 tiro"," · "&amp;(MAX(1,$MQ49-1)+1)&amp;" tiros"),""),""))</f>
        <v/>
      </c>
      <c r="QI49" s="155">
        <f>IF($NB49=0,"",IF($MQ49=0,$NE49&amp;"d6"&amp;IF($OS49&gt;0," − 1 = "&amp;$PB49&amp;"d6"," da básica do nível "&amp;$NC49),$OZ49&amp;" − "&amp;$OU49&amp;" + "&amp;$OX49&amp;" = "&amp;$PA49&amp;" · teto "&amp;4*$MQ49&amp;"d8"&amp;IF($OD49=1," · a Forma devolve "&amp;$MQ49,"")&amp;IF($OY49&gt;0," · perde "&amp;$OY49,"")))</f>
        <v/>
      </c>
      <c r="QJ49" s="155">
        <f>IF($NB49=0,"",IF($MQ49=0,"A básica não amplia: os dados dela sobem com o nível",IF($MQ49&gt;=$ND49,"Já está na maior Classe que o nível liberou",TEXTJOIN(" · ",TRUE,IF(AND(2&gt;$MQ49,2&lt;=$ND49),"2 → "&amp;$PL49&amp;", 6 PE",""),IF(AND(3&gt;$MQ49,3&lt;=$ND49),"3 → "&amp;$PM49&amp;", 9 PE",""),IF(AND(4&gt;$MQ49,4&lt;=$ND49),"4 → "&amp;$PN49&amp;", 12 PE",""),IF(AND(5&gt;$MQ49,5&lt;=$ND49),"5 → "&amp;$PO49&amp;", 15 PE",""),IF(AND(6&gt;$MQ49,6&lt;=$ND49),"6 → "&amp;$PP49&amp;", 18 PE",""),IF(AND(7&gt;$MQ49,7&lt;=$ND49),"7 → "&amp;$PQ49&amp;", 21 PE","")))))</f>
        <v/>
      </c>
      <c r="QK49" s="155">
        <f>IF(OR($NB49=0,$NM49=0),"",IF($MQ49=0,"−1 dado","−"&amp;INDEX($I$2:$N$8,MAX(1,$MQ49),MAX(1,$NR49))&amp;" · "&amp;CHOOSE(MAX(1,$NR49),"Leve","Média","Pesada","Leve · Livre","Média · Livre","Pesada · Livre")))</f>
        <v/>
      </c>
      <c r="QL49" s="155">
        <f>IF(OR($NB49=0,$NN49=0),"",IF($MQ49=0,"−1 dado","−"&amp;INDEX($I$2:$N$8,MAX(1,$MQ49),MAX(1,$NS49))&amp;" · "&amp;CHOOSE(MAX(1,$NS49),"Leve","Média","Pesada","Leve · Livre","Média · Livre","Pesada · Livre")))</f>
        <v/>
      </c>
      <c r="QM49" s="155">
        <f>IF(OR($NB49=0,$NO49=0),"",IF($MQ49=0,"−1 dado","−"&amp;INDEX($I$2:$N$8,MAX(1,$MQ49),MAX(1,$NT49))&amp;" · "&amp;CHOOSE(MAX(1,$NT49),"Leve","Média","Pesada","Leve · Livre","Média · Livre","Pesada · Livre")))</f>
        <v/>
      </c>
      <c r="QN49" s="155">
        <f>IF(OR($NB49=0,$NP49=0),"",IF($MQ49=0,"−1 dado","−"&amp;INDEX($I$2:$N$8,MAX(1,$MQ49),MAX(1,$NU49))&amp;" · "&amp;CHOOSE(MAX(1,$NU49),"Leve","Média","Pesada","Leve · Livre","Média · Livre","Pesada · Livre")))</f>
        <v/>
      </c>
      <c r="QO49" s="155">
        <f>IF(OR($NB49=0,$MZ49=""),"",IF($MQ49=0,"não devolve","+"&amp;IF($OG49=1,CEILING($MQ49/2,1),$MQ49)))</f>
        <v/>
      </c>
      <c r="QP49" s="155">
        <f>IF(OR($NB49=0,$NA49=""),"",IF($MQ49=0,"não devolve","+"&amp;IF($OH49=1,CEILING($MQ49/2,1),$MQ49)))</f>
        <v/>
      </c>
    </row>
    <row r="50">
      <c r="AV50" s="153" t="inlineStr">
        <is>
          <t>Pressa</t>
        </is>
      </c>
      <c r="AW50" s="153" t="inlineStr">
        <is>
          <t>Auxiliares</t>
        </is>
      </c>
      <c r="AX50" s="155" t="n">
        <v>2</v>
      </c>
      <c r="AY50" s="155" t="n">
        <v>0</v>
      </c>
      <c r="AZ50" s="155" t="n">
        <v>0</v>
      </c>
      <c r="BA50" s="155" t="n">
        <v>0</v>
      </c>
      <c r="JR50" s="155">
        <f>IF(OR($AW50="",COUNTIF($EJ$2:$EN$2,$AW50)&gt;0),$AV50,"")</f>
        <v/>
      </c>
      <c r="JS50" s="155">
        <f>IF(AND($AX50=1,OR($AW50="",COUNTIF($EJ$2:$EN$2,$AW50)&gt;0)),$AV50,"")</f>
        <v/>
      </c>
      <c r="JX50" s="155">
        <f>IF(OR($AW50="",COUNTIF($EJ$3:$EN$3,$AW50)&gt;0),$AV50,"")</f>
        <v/>
      </c>
      <c r="JY50" s="155">
        <f>IF(AND($AX50=1,OR($AW50="",COUNTIF($EJ$3:$EN$3,$AW50)&gt;0)),$AV50,"")</f>
        <v/>
      </c>
      <c r="KD50" s="155">
        <f>IF(OR($AW50="",COUNTIF($EJ$4:$EN$4,$AW50)&gt;0),$AV50,"")</f>
        <v/>
      </c>
      <c r="KE50" s="155">
        <f>IF(AND($AX50=1,OR($AW50="",COUNTIF($EJ$4:$EN$4,$AW50)&gt;0)),$AV50,"")</f>
        <v/>
      </c>
      <c r="KJ50" s="155">
        <f>IF(OR($AW50="",COUNTIF($EJ$5:$EN$5,$AW50)&gt;0),$AV50,"")</f>
        <v/>
      </c>
      <c r="KK50" s="155">
        <f>IF(AND($AX50=1,OR($AW50="",COUNTIF($EJ$5:$EN$5,$AW50)&gt;0)),$AV50,"")</f>
        <v/>
      </c>
      <c r="KP50" s="155">
        <f>IF(OR($AW50="",COUNTIF($EJ$6:$EN$6,$AW50)&gt;0),$AV50,"")</f>
        <v/>
      </c>
      <c r="KQ50" s="155">
        <f>IF(AND($AX50=1,OR($AW50="",COUNTIF($EJ$6:$EN$6,$AW50)&gt;0)),$AV50,"")</f>
        <v/>
      </c>
      <c r="KV50" s="155">
        <f>IF(OR($AW50="",COUNTIF($EJ$7:$EN$7,$AW50)&gt;0),$AV50,"")</f>
        <v/>
      </c>
      <c r="KW50" s="155">
        <f>IF(AND($AX50=1,OR($AW50="",COUNTIF($EJ$7:$EN$7,$AW50)&gt;0)),$AV50,"")</f>
        <v/>
      </c>
      <c r="LB50" s="155">
        <f>IF(OR($AW50="",COUNTIF($EJ$8:$EN$8,$AW50)&gt;0),$AV50,"")</f>
        <v/>
      </c>
      <c r="LC50" s="155">
        <f>IF(AND($AX50=1,OR($AW50="",COUNTIF($EJ$8:$EN$8,$AW50)&gt;0)),$AV50,"")</f>
        <v/>
      </c>
      <c r="LH50" s="155">
        <f>IF(OR($AW50="",COUNTIF($EJ$9:$EN$9,$AW50)&gt;0),$AV50,"")</f>
        <v/>
      </c>
      <c r="LI50" s="155">
        <f>IF(AND($AX50=1,OR($AW50="",COUNTIF($EJ$9:$EN$9,$AW50)&gt;0)),$AV50,"")</f>
        <v/>
      </c>
      <c r="LN50" s="155">
        <f>IF(OR($AW50="",COUNTIF($EJ$10:$EN$10,$AW50)&gt;0),$AV50,"")</f>
        <v/>
      </c>
      <c r="LO50" s="155">
        <f>IF(AND($AX50=1,OR($AW50="",COUNTIF($EJ$10:$EN$10,$AW50)&gt;0)),$AV50,"")</f>
        <v/>
      </c>
      <c r="LT50" s="155">
        <f>IF(OR($AW50="",COUNTIF($EJ$11:$EN$11,$AW50)&gt;0),$AV50,"")</f>
        <v/>
      </c>
      <c r="LU50" s="155">
        <f>IF(AND($AX50=1,OR($AW50="",COUNTIF($EJ$11:$EN$11,$AW50)&gt;0)),$AV50,"")</f>
        <v/>
      </c>
      <c r="LZ50" s="155">
        <f>IF(OR($AW50="",COUNTIF($EJ$12:$EN$12,$AW50)&gt;0),$AV50,"")</f>
        <v/>
      </c>
      <c r="MA50" s="155">
        <f>IF(AND($AX50=1,OR($AW50="",COUNTIF($EJ$12:$EN$12,$AW50)&gt;0)),$AV50,"")</f>
        <v/>
      </c>
      <c r="MF50" s="155">
        <f>IF(OR($AW50="",COUNTIF($EJ$13:$EN$13,$AW50)&gt;0),$AV50,"")</f>
        <v/>
      </c>
      <c r="MG50" s="155">
        <f>IF(AND($AX50=1,OR($AW50="",COUNTIF($EJ$13:$EN$13,$AW50)&gt;0)),$AV50,"")</f>
        <v/>
      </c>
      <c r="ML50" s="153" t="inlineStr">
        <is>
          <t>Ficha 4 · Especial 8</t>
        </is>
      </c>
      <c r="MM50" s="155" t="n">
        <v>4</v>
      </c>
      <c r="MN50" s="155" t="n">
        <v>1</v>
      </c>
      <c r="MO50" s="155" t="n">
        <v>28</v>
      </c>
      <c r="MP50" s="153" t="inlineStr">
        <is>
          <t>ESPECIAL 8</t>
        </is>
      </c>
      <c r="MQ50" s="155">
        <f>MAX(1,MIN(7,N('INVOCAÇÕES'!$I$730)))</f>
        <v/>
      </c>
      <c r="MR50" s="155">
        <f>'INVOCAÇÕES'!$J$730&amp;""</f>
        <v/>
      </c>
      <c r="MS50" s="155">
        <f>'INVOCAÇÕES'!$I$735&amp;""</f>
        <v/>
      </c>
      <c r="MT50" s="155">
        <f>'INVOCAÇÕES'!$I$736&amp;""</f>
        <v/>
      </c>
      <c r="MU50" s="155">
        <f>'INVOCAÇÕES'!$K$736&amp;""</f>
        <v/>
      </c>
      <c r="MV50" s="155">
        <f>'INVOCAÇÕES'!$J$739&amp;""</f>
        <v/>
      </c>
      <c r="MW50" s="155">
        <f>'INVOCAÇÕES'!$J$740&amp;""</f>
        <v/>
      </c>
      <c r="MX50" s="155">
        <f>'INVOCAÇÕES'!$J$741&amp;""</f>
        <v/>
      </c>
      <c r="MY50" s="155">
        <f>'INVOCAÇÕES'!$J$742&amp;""</f>
        <v/>
      </c>
      <c r="MZ50" s="155">
        <f>'INVOCAÇÕES'!$J$743&amp;""</f>
        <v/>
      </c>
      <c r="NA50" s="155">
        <f>'INVOCAÇÕES'!$J$744&amp;""</f>
        <v/>
      </c>
      <c r="NB50" s="155">
        <f>IF($MR50&lt;&gt;"",1,0)</f>
        <v/>
      </c>
      <c r="NC50" s="155">
        <f>INDEX($FM$2:$FM$13,$MM50)</f>
        <v/>
      </c>
      <c r="ND50" s="155">
        <f>INDEX($FN$2:$FN$13,$MM50)</f>
        <v/>
      </c>
      <c r="NE50" s="155">
        <f>INDEX($FO$2:$FO$13,$MM50)</f>
        <v/>
      </c>
      <c r="NF50" s="155">
        <f>INDEX($FZ$2:$FZ$13,$MM50)</f>
        <v/>
      </c>
      <c r="NG50" s="155">
        <f>INDEX($GA$2:$GA$13,$MM50)</f>
        <v/>
      </c>
      <c r="NH50" s="155">
        <f>IFERROR(MATCH($MS50,$V$2:$V$11,0),0)</f>
        <v/>
      </c>
      <c r="NI50" s="155">
        <f>IFERROR(VLOOKUP($MV50,$AV$2:$BA$84,2,FALSE),"")</f>
        <v/>
      </c>
      <c r="NJ50" s="155">
        <f>IFERROR(VLOOKUP($MW50,$AV$2:$BA$84,2,FALSE),"")</f>
        <v/>
      </c>
      <c r="NK50" s="155">
        <f>IFERROR(VLOOKUP($MX50,$AV$2:$BA$84,2,FALSE),"")</f>
        <v/>
      </c>
      <c r="NL50" s="155">
        <f>IFERROR(VLOOKUP($MY50,$AV$2:$BA$84,2,FALSE),"")</f>
        <v/>
      </c>
      <c r="NM50" s="155">
        <f>IFERROR(VLOOKUP($MV50,$AV$2:$BA$84,3,FALSE),0)</f>
        <v/>
      </c>
      <c r="NN50" s="155">
        <f>IFERROR(VLOOKUP($MW50,$AV$2:$BA$84,3,FALSE),0)</f>
        <v/>
      </c>
      <c r="NO50" s="155">
        <f>IFERROR(VLOOKUP($MX50,$AV$2:$BA$84,3,FALSE),0)</f>
        <v/>
      </c>
      <c r="NP50" s="155">
        <f>IFERROR(VLOOKUP($MY50,$AV$2:$BA$84,3,FALSE),0)</f>
        <v/>
      </c>
      <c r="NQ50" s="155">
        <f>IF($MQ50=0,0,IF($NH50=0,0,INDEX($X$2:$X$11,$NH50)))</f>
        <v/>
      </c>
      <c r="NR50" s="155">
        <f>IF(OR($NM50=0,$MQ50=0),0,$NM50+3*IF(AND($NI50&lt;&gt;"",OR($NI50=INDEX($EJ$2:$EJ$13,$MM50),$NI50=INDEX($EK$2:$EK$13,$MM50))),1,0))</f>
        <v/>
      </c>
      <c r="NS50" s="155">
        <f>IF(OR($NN50=0,$MQ50=0),0,$NN50+3*IF(AND($NJ50&lt;&gt;"",OR($NJ50=INDEX($EJ$2:$EJ$13,$MM50),$NJ50=INDEX($EK$2:$EK$13,$MM50))),1,0))</f>
        <v/>
      </c>
      <c r="NT50" s="155">
        <f>IF(OR($NO50=0,$MQ50=0),0,$NO50+3*IF(AND($NK50&lt;&gt;"",OR($NK50=INDEX($EJ$2:$EJ$13,$MM50),$NK50=INDEX($EK$2:$EK$13,$MM50))),1,0))</f>
        <v/>
      </c>
      <c r="NU50" s="155">
        <f>IF(OR($NP50=0,$MQ50=0),0,$NP50+3*IF(AND($NL50&lt;&gt;"",OR($NL50=INDEX($EJ$2:$EJ$13,$MM50),$NL50=INDEX($EK$2:$EK$13,$MM50))),1,0))</f>
        <v/>
      </c>
      <c r="NV50" s="155">
        <f>IF($NH50=0,0,IF(INDEX($W$2:$W$11,$NH50)="",0,IF(COUNTIF(INDEX($EJ$2:$EN$13,$MM50,0),INDEX($W$2:$W$11,$NH50))=0,1,0)))</f>
        <v/>
      </c>
      <c r="NW50" s="155">
        <f>IF(OR($NM50=0,$NI50=""),0,IF(COUNTIF(INDEX($EJ$2:$EN$13,$MM50,0),$NI50)=0,1,0))</f>
        <v/>
      </c>
      <c r="NX50" s="155">
        <f>IF(OR($NN50=0,$NJ50=""),0,IF(COUNTIF(INDEX($EJ$2:$EN$13,$MM50,0),$NJ50)=0,1,0))</f>
        <v/>
      </c>
      <c r="NY50" s="155">
        <f>IF(OR($NO50=0,$NK50=""),0,IF(COUNTIF(INDEX($EJ$2:$EN$13,$MM50,0),$NK50)=0,1,0))</f>
        <v/>
      </c>
      <c r="NZ50" s="155">
        <f>IF(OR($NP50=0,$NL50=""),0,IF(COUNTIF(INDEX($EJ$2:$EN$13,$MM50,0),$NL50)=0,1,0))</f>
        <v/>
      </c>
      <c r="OA50" s="155">
        <f>IFERROR(VLOOKUP($MV50,$AV$2:$BA$84,4,FALSE),0)+IFERROR(VLOOKUP($MW50,$AV$2:$BA$84,4,FALSE),0)+IFERROR(VLOOKUP($MX50,$AV$2:$BA$84,4,FALSE),0)+IFERROR(VLOOKUP($MY50,$AV$2:$BA$84,4,FALSE),0)</f>
        <v/>
      </c>
      <c r="OB50" s="155">
        <f>IFERROR(VLOOKUP($MV50,$AV$2:$BA$84,6,FALSE),0)+IFERROR(VLOOKUP($MW50,$AV$2:$BA$84,6,FALSE),0)+IFERROR(VLOOKUP($MX50,$AV$2:$BA$84,6,FALSE),0)+IFERROR(VLOOKUP($MY50,$AV$2:$BA$84,6,FALSE),0)</f>
        <v/>
      </c>
      <c r="OC50" s="155">
        <f>TEXTJOIN(", ",TRUE,IF(IFERROR(VLOOKUP($MV50,$AV$2:$BA$84,5,FALSE),0)=1,$MV50,""),IF(IFERROR(VLOOKUP($MW50,$AV$2:$BA$84,5,FALSE),0)=1,$MW50,""),IF(IFERROR(VLOOKUP($MX50,$AV$2:$BA$84,5,FALSE),0)=1,$MX50,""),IF(IFERROR(VLOOKUP($MY50,$AV$2:$BA$84,5,FALSE),0)=1,$MY50,""))</f>
        <v/>
      </c>
      <c r="OD50" s="155">
        <f>IF($NH50=0,0,INDEX($Y$2:$Y$11,$NH50))</f>
        <v/>
      </c>
      <c r="OE50" s="155">
        <f>IF($NH50=0,0,INDEX($Z$2:$Z$11,$NH50))</f>
        <v/>
      </c>
      <c r="OF50" s="155">
        <f>IF($NH50=0,0,INDEX($AB$2:$AB$11,$NH50))</f>
        <v/>
      </c>
      <c r="OG50" s="155">
        <f>IFERROR(VLOOKUP($MZ50,$BC$2:$BG$24,3,FALSE),0)</f>
        <v/>
      </c>
      <c r="OH50" s="155">
        <f>IFERROR(VLOOKUP($NA50,$BC$2:$BG$24,3,FALSE),0)</f>
        <v/>
      </c>
      <c r="OI50" s="155">
        <f>IFERROR(VLOOKUP($MZ50,$BC$2:$BG$24,2,FALSE),"")</f>
        <v/>
      </c>
      <c r="OJ50" s="155">
        <f>IFERROR(VLOOKUP($NA50,$BC$2:$BG$24,2,FALSE),"")</f>
        <v/>
      </c>
      <c r="OK50" s="155">
        <f>COUNTIF($NQ50:$NU50,1)</f>
        <v/>
      </c>
      <c r="OL50" s="155">
        <f>COUNTIF($NQ50:$NU50,2)</f>
        <v/>
      </c>
      <c r="OM50" s="155">
        <f>COUNTIF($NQ50:$NU50,3)</f>
        <v/>
      </c>
      <c r="ON50" s="155">
        <f>COUNTIF($NQ50:$NU50,4)</f>
        <v/>
      </c>
      <c r="OO50" s="155">
        <f>COUNTIF($NQ50:$NU50,5)</f>
        <v/>
      </c>
      <c r="OP50" s="155">
        <f>COUNTIF($NQ50:$NU50,6)</f>
        <v/>
      </c>
      <c r="OQ50" s="155">
        <f>COUNTIF($OG50:$OH50,1)</f>
        <v/>
      </c>
      <c r="OR50" s="155">
        <f>COUNTIF($OG50:$OH50,2)+$OD50</f>
        <v/>
      </c>
      <c r="OS50" s="155">
        <f>COUNTIF($MV50:$MY50,"?*")</f>
        <v/>
      </c>
      <c r="OT50" s="155">
        <f>COUNTIF($MZ50:$NA50,"?*")+$OD50</f>
        <v/>
      </c>
      <c r="OU50" s="155">
        <f>IF($MQ50=0,0,SUMPRODUCT($OK50:$OP50,INDEX($I$2:$N$8,MAX(1,$MQ50),0)))</f>
        <v/>
      </c>
      <c r="OV50" s="155">
        <f>IF($MQ50=0,0,$OQ50*CEILING($MQ50/2,1)+$OR50*$MQ50)</f>
        <v/>
      </c>
      <c r="OW50" s="155">
        <f>MIN(2*$MQ50,$OV50)</f>
        <v/>
      </c>
      <c r="OX50" s="155">
        <f>MIN($OW50,$OU50)</f>
        <v/>
      </c>
      <c r="OY50" s="155">
        <f>$OW50-$OX50</f>
        <v/>
      </c>
      <c r="OZ50" s="155">
        <f>IF($MQ50=0,0,INDEX($P$2:$P$8,MAX(1,$MQ50)))</f>
        <v/>
      </c>
      <c r="PA50" s="155">
        <f>$OZ50-$OU50+$OX50</f>
        <v/>
      </c>
      <c r="PB50" s="155">
        <f>IF($MQ50=0,MAX(0,$NE50-IF($OS50&gt;0,1,0)),MAX(0,$PA50))</f>
        <v/>
      </c>
      <c r="PC50" s="155">
        <f>IF($MQ50=0,0,(IF(COUNTIF($MV50:$MY50,"Salto")&gt;0,1,0)+IF(COUNTIF($MV50:$MY50,"Queima")&gt;0,1,0)+IF(COUNTIF($MV50:$MY50,"Estilhaço")&gt;0,1,0))*FLOOR($PB50/2,1))</f>
        <v/>
      </c>
      <c r="PD50" s="155">
        <f>MAX(0,2-SUMPRODUCT($OK50:$OP50,$I$2:$N$2)+MIN(2,$OQ50*1+$OR50*1,SUMPRODUCT($OK50:$OP50,$I$2:$N$2)))</f>
        <v/>
      </c>
      <c r="PE50" s="155">
        <f>MAX(0,4-SUMPRODUCT($OK50:$OP50,$I$3:$N$3)+MIN(4,$OQ50*1+$OR50*2,SUMPRODUCT($OK50:$OP50,$I$3:$N$3)))</f>
        <v/>
      </c>
      <c r="PF50" s="155">
        <f>MAX(0,6-SUMPRODUCT($OK50:$OP50,$I$4:$N$4)+MIN(6,$OQ50*2+$OR50*3,SUMPRODUCT($OK50:$OP50,$I$4:$N$4)))</f>
        <v/>
      </c>
      <c r="PG50" s="155">
        <f>MAX(0,9-SUMPRODUCT($OK50:$OP50,$I$5:$N$5)+MIN(8,$OQ50*2+$OR50*4,SUMPRODUCT($OK50:$OP50,$I$5:$N$5)))</f>
        <v/>
      </c>
      <c r="PH50" s="155">
        <f>MAX(0,11-SUMPRODUCT($OK50:$OP50,$I$6:$N$6)+MIN(10,$OQ50*3+$OR50*5,SUMPRODUCT($OK50:$OP50,$I$6:$N$6)))</f>
        <v/>
      </c>
      <c r="PI50" s="155">
        <f>MAX(0,13-SUMPRODUCT($OK50:$OP50,$I$7:$N$7)+MIN(12,$OQ50*3+$OR50*6,SUMPRODUCT($OK50:$OP50,$I$7:$N$7)))</f>
        <v/>
      </c>
      <c r="PJ50" s="155">
        <f>MAX(0,16-SUMPRODUCT($OK50:$OP50,$I$8:$N$8)+MIN(14,$OQ50*4+$OR50*7,SUMPRODUCT($OK50:$OP50,$I$8:$N$8)))</f>
        <v/>
      </c>
      <c r="PK50" s="155">
        <f>IF($OE50=2,3*$PD50&amp;" de vida temp.",IF($OE50=3,"sem dano",IF($PD50=0,IF($OE50=1,"sem cura","sem dano"),IF($OE50=1,"cura ","")&amp;$PD50&amp;"d8")))</f>
        <v/>
      </c>
      <c r="PL50" s="155">
        <f>IF($OE50=2,3*$PE50&amp;" de vida temp.",IF($OE50=3,"sem dano",IF($PE50=0,IF($OE50=1,"sem cura","sem dano"),IF($OE50=1,"cura ","")&amp;$PE50&amp;"d8")))</f>
        <v/>
      </c>
      <c r="PM50" s="155">
        <f>IF($OE50=2,3*$PF50&amp;" de vida temp.",IF($OE50=3,"sem dano",IF($PF50=0,IF($OE50=1,"sem cura","sem dano"),IF($OE50=1,"cura ","")&amp;$PF50&amp;"d8")))</f>
        <v/>
      </c>
      <c r="PN50" s="155">
        <f>IF($OE50=2,3*$PG50&amp;" de vida temp.",IF($OE50=3,"sem dano",IF($PG50=0,IF($OE50=1,"sem cura","sem dano"),IF($OE50=1,"cura ","")&amp;$PG50&amp;"d8")))</f>
        <v/>
      </c>
      <c r="PO50" s="155">
        <f>IF($OE50=2,3*$PH50&amp;" de vida temp.",IF($OE50=3,"sem dano",IF($PH50=0,IF($OE50=1,"sem cura","sem dano"),IF($OE50=1,"cura ","")&amp;$PH50&amp;"d8")))</f>
        <v/>
      </c>
      <c r="PP50" s="155">
        <f>IF($OE50=2,3*$PI50&amp;" de vida temp.",IF($OE50=3,"sem dano",IF($PI50=0,IF($OE50=1,"sem cura","sem dano"),IF($OE50=1,"cura ","")&amp;$PI50&amp;"d8")))</f>
        <v/>
      </c>
      <c r="PQ50" s="155">
        <f>IF($OE50=2,3*$PJ50&amp;" de vida temp.",IF($OE50=3,"sem dano",IF($PJ50=0,IF($OE50=1,"sem cura","sem dano"),IF($OE50=1,"cura ","")&amp;$PJ50&amp;"d8")))</f>
        <v/>
      </c>
      <c r="PR50" s="155">
        <f>IF($NB50=0,"",TEXTJOIN(" · ",TRUE,IF($MO50&gt;$NC50,"Este lugar abre no nível "&amp;$MO50,""),IF($MQ50&gt;$ND50,"Classe "&amp;$MQ50&amp;": o nível "&amp;$NC50&amp;" libera até a "&amp;$ND50,""),IF($NV50=1,"A Forma "&amp;$MS50&amp;" pede "&amp;INDEX($W$2:$W$11,$NH50)&amp;" aberta",""),IF(AND($MQ50=0,$NH50&gt;0,IF($NH50=0,0,INDEX($AF$2:$AF$11,$NH50))=0),$MS50&amp;" não existe na Classe 0",""),IF($NW50=1,"Família Fechada: "&amp;$MV50,""),IF($NX50=1,"Família Fechada: "&amp;$MW50,""),IF($NY50=1,"Família Fechada: "&amp;$MX50,""),IF($NZ50=1,"Família Fechada: "&amp;$MY50,""),IF(AND($MQ50&gt;0,$OS50&gt;INDEX($O$2:$O$8,MAX(1,$MQ50))),$OS50&amp;" Melhorias: a Classe "&amp;$MQ50&amp;" aceita "&amp;INDEX($O$2:$O$8,MAX(1,$MQ50)),""),IF(AND($MQ50=0,$OS50&gt;1),"A básica aceita uma Melhoria",""),IF(AND($MQ50=0,COUNTIF($NM50:$NP50,"&gt;1")&gt;0),"A básica só aceita Melhoria Leve",""),IF(AND($MQ50&gt;0,$OT50&gt;2),$OT50&amp;" Restrições"&amp;IF($OD50=1,", contando a que a Forma "&amp;$MS50&amp;" já traz","")&amp;": o limite é 2",""),IF(AND($MQ50=0,COUNTIF($MZ50:$NA50,"?*")&gt;1),"A básica aceita uma Restrição Leve",""),IF(AND($MQ50=0,COUNTIF($OG50:$OH50,2)&gt;0),"A básica só aceita Restrição Leve",""),IF(AND($MQ50&gt;0,$PA50&lt;0),"Orçamento estourado: faltam "&amp;(-$PA50)&amp;IF($PA50&lt;-1," pontos"," ponto"),""),IF(IFERROR(VLOOKUP($MZ50,$BC$2:$BG$24,4,FALSE),0)+IFERROR(VLOOKUP($NA50,$BC$2:$BG$24,4,FALSE),0)&gt;1,$OI50&amp;" e "&amp;$OJ50&amp;" são as duas de frequência",""),IF(AND((COUNTIF($MV50:$MY50,"Rápido")+COUNTIF($OI50:$OJ50,"Rápido"))&gt;0,(COUNTIF($MV50:$MY50,"Atrasar")+COUNTIF($OI50:$OJ50,"Atrasar"))&gt;0),"Rápido não entra com Atrasar",""),IF(AND((COUNTIF($MV50:$MY50,"Reação")+COUNTIF($OI50:$OJ50,"Reação"))&gt;0,(COUNTIF($MV50:$MY50,"Rápido")+COUNTIF($OI50:$OJ50,"Rápido"))&gt;0),"Reação não entra com Rápido",""),IF(AND((COUNTIF($MV50:$MY50,"Reação")+COUNTIF($OI50:$OJ50,"Reação"))&gt;0,(COUNTIF($MV50:$MY50,"Armado")+COUNTIF($OI50:$OJ50,"Armado"))&gt;0),"Reação não entra com Armado",""),IF(AND((COUNTIF($MV50:$MY50,"Reação")+COUNTIF($OI50:$OJ50,"Reação"))&gt;0,(COUNTIF($MV50:$MY50,"Atrasar")+COUNTIF($OI50:$OJ50,"Atrasar"))&gt;0),"Reação não entra com Atrasar",""),IF(AND((COUNTIF($MV50:$MY50,"Reação")+COUNTIF($OI50:$OJ50,"Reação"))&gt;0,(COUNTIF($MV50:$MY50,"Parado")+COUNTIF($OI50:$OJ50,"Parado"))&gt;0),"Reação não entra com Parado",""),IF(AND((COUNTIF($MV50:$MY50,"Atrasar")+COUNTIF($OI50:$OJ50,"Atrasar"))&gt;0,(COUNTIF($MV50:$MY50,"Parado")+COUNTIF($OI50:$OJ50,"Parado"))&gt;0),"Atrasar não entra com Parado",""),IF(AND((COUNTIF($MV50:$MY50,"Armado")+COUNTIF($OI50:$OJ50,"Armado"))&gt;0,(COUNTIF($MV50:$MY50,"Carregar")+COUNTIF($OI50:$OJ50,"Carregar"))&gt;0),"Armado não entra com Carregar",""),IF(AND(COUNTIF($OI50:$OJ50,"Corpo a Corpo")&gt;0,$OD50=0,OR($MS50="Cone",$MS50="Linha")),"Corpo a Corpo não entra em "&amp;$MS50,""),IF(AND(COUNTIF($OI50:$OJ50,"Corpo a Corpo")&gt;0,$OD50=1),"A Forma "&amp;$MS50&amp;" já traz o Corpo a Corpo",""),IF(AND(COUNTIF($OI50:$OJ50,"Tudo ou Nada")&gt;0,$OF50=0),"Tudo ou Nada só entra em habilidade de Teste de Resistência",""),IF(AND(COUNTIF($MV50:$MY50,"Inescapável")&gt;0,OR($OS50&gt;1,$OT50&gt;0)),"Inescapável não aceita outra peça",""),IF(AND($MQ50&gt;0,$PB50*IF(COUNTIF($MV50:$MY50,"Remate")&gt;0,1.25,1)+$PC50&gt;4*$MQ50),($PB50*IF(COUNTIF($MV50:$MY50,"Remate")&gt;0,1.25,1)+$PC50)&amp;" dados somando repetições"&amp;IF(COUNTIF($MV50:$MY50,"Remate")&gt;0," e o Remate","")&amp;": o teto da Classe "&amp;$MQ50&amp;" é "&amp;4*$MQ50,"")))</f>
        <v/>
      </c>
      <c r="PS50" s="155">
        <f>IF($PR50="",0,(LEN($PR50)-LEN(SUBSTITUTE($PR50," · ","")))/3+1)</f>
        <v/>
      </c>
      <c r="PT50" s="155">
        <f>IF($NB50=0,"",TEXTJOIN(" · ",TRUE,IF($OV50&gt;2*$MQ50,"A devolução parou no teto de "&amp;2*$MQ50,""),IF($OY50&gt;0,"Devolução perdida: "&amp;$OY50&amp;IF($OY50&gt;1," pontos"," ponto")&amp;" sem peça para pagar",""),IF(AND($OA50&gt;0,AND($MQ50&gt;0,$OE50=0),$PB50=0),"Controle sem dano: uma rodada a mais e CD +2",""),IF(AND($OA50&gt;0,AND($MQ50&gt;0,$OE50=0),$PB50&gt;0,$PB50&lt;=$MQ50),"Controle com saldo até a Classe: uma rodada a mais",""),IF(AND($MQ50&gt;0,$OC50&lt;&gt;""),"Efeito de "&amp;$OC50&amp;" pela Classe "&amp;MAX(1,$MQ50-1),"")))</f>
        <v/>
      </c>
      <c r="PU50" s="155">
        <f>IF($PT50="",0,(LEN($PT50)-LEN(SUBSTITUTE($PT50," · ","")))/3+1)</f>
        <v/>
      </c>
      <c r="PV50" s="155">
        <f>IF($NB50=0,IF($OS50+COUNTIF($MZ50:$NA50,"?*")&gt;0,"Dê um nome",""),IF($PS50&gt;0,"⚠ "&amp;$PS50&amp;IF($PS50&gt;1," erros"," erro"),IF($PU50&gt;0,"! "&amp;$PU50&amp;IF($PU50&gt;1," avisos"," aviso"),"Na regra")))</f>
        <v/>
      </c>
      <c r="PW50" s="155">
        <f>IF($NB50=0,"",IF($PS50+$PU50=0,"Dentro das regras que a ficha confere",$PR50&amp;IF(AND($PS50&gt;0,$PU50&gt;0)," · ","")&amp;$PT50))</f>
        <v/>
      </c>
      <c r="PX50" s="155">
        <f>IF($MO50&gt;$NC50,$MP50&amp;" · ABRE NO NÍVEL "&amp;$MO50,$MP50)</f>
        <v/>
      </c>
      <c r="PY50" s="155">
        <f>IF($NB50=0,"",IF($MQ50=0,"Sem PE",3*$MQ50&amp;" PE"))</f>
        <v/>
      </c>
      <c r="PZ50" s="155">
        <f>IF($NB50=0,"",IF($MQ50=0,"A atuação básica dela",IF(COUNTIF($OI50:$OJ50,"Atrasar")&gt;0,"Sua Ação Completa",IF(COUNTIF($MV50:$MY50,"Rápido")&gt;0,"Sua Bônus",IF(COUNTIF($MV50:$MY50,"Reação")&gt;0,"Sua Reação","Sua Padrão")))&amp;" + a básica dela"&amp;IF(COUNTIF($MV50:$MY50,"Reação")&gt;0," e a coletiva","")&amp;IF(COUNTIF($OI50:$OJ50,"Carregar")&gt;0," · em dois turnos","")))</f>
        <v/>
      </c>
      <c r="QA50" s="155">
        <f>IF($MU50&lt;&gt;"",$MU50,IF($NH50=0,"",INDEX($AA$2:$AA$11,$NH50)))</f>
        <v/>
      </c>
      <c r="QB50" s="155">
        <f>IF(OR($NB50=0,$NH50=0),"",IF(COUNTIF($MV50:$MY50,"Inescapável")&gt;0,"Automático",IF($QA50="Ataque",IF($NF50="","Ataque","Ataque "&amp;IF(($NF50+2*IF(COUNTIF($MV50:$MY50,"Precisão")&gt;0,1,0))&gt;=0,"+","−")&amp;ABS(($NF50+2*IF(COUNTIF($MV50:$MY50,"Precisão")&gt;0,1,0))))&amp;IF($OB50&gt;0," · TR"&amp;IF($NG50="",""," CD "&amp;$NG50),""),IF(LEFT($QA50,2)="TR",$QA50&amp;IF($NG50="",""," · CD "&amp;$NG50)&amp;IF(COUNTIF($MV50:$MY50,"Certeiro")&gt;0," · metade",""),"Sem rolagem"))))</f>
        <v/>
      </c>
      <c r="QC50" s="155">
        <f>IF(OR($NB50=0,$NH50=0),"",IF($MQ50=0,IF(OR($OE50&gt;=1,$PB50=0),"Sem dano",$PB50&amp;"d6"&amp;IF($MT50="",""," "&amp;$MT50)),IF(OR($OE50&gt;=1,$PB50=0),UPPER(LEFT(INDEX($PK50:$PQ50,1,MAX(1,$MQ50)),1))&amp;MID(INDEX($PK50:$PQ50,1,MAX(1,$MQ50)),2,99),UPPER(LEFT(INDEX($PK50:$PQ50,1,MAX(1,$MQ50)),1))&amp;MID(INDEX($PK50:$PQ50,1,MAX(1,$MQ50)),2,99)&amp;IF($MT50="",""," "&amp;$MT50)&amp;IF($PC50&gt;0," · +"&amp;$PC50&amp;"d8",""))))</f>
        <v/>
      </c>
      <c r="QD50" s="155">
        <f>COUNTIF($MV50:$MY50,"Longe")+3*COUNTIF($MV50:$MY50,"Muito Longe")</f>
        <v/>
      </c>
      <c r="QE50" s="155">
        <f>COUNTIF($MV50:$MY50,"Maior")+3*COUNTIF($MV50:$MY50,"Muito Maior")</f>
        <v/>
      </c>
      <c r="QF50" s="155">
        <f>IF($NH50=0,0,CHOOSE(1+INDEX($AC$2:$AC$11,$NH50),0,$QD50,$QE50,$QD50+$QE50))</f>
        <v/>
      </c>
      <c r="QG50" s="155">
        <f>IF($NH50=0,0,CHOOSE(1+INDEX($AD$2:$AD$11,$NH50),0,$QD50,$QE50,$QD50+$QE50))</f>
        <v/>
      </c>
      <c r="QH50" s="155">
        <f>IF(OR($NB50=0,$NH50=0),"",INDEX($AI$2:$AN$41,($NH50-1)*4+IF($MQ50=0,1,IF($MQ50&lt;=5,2,IF($MQ50=6,3,4))),1+MIN(5,$QF50))&amp;INDEX($AO$2:$AT$41,($NH50-1)*4+IF($MQ50=0,1,IF($MQ50&lt;=5,2,IF($MQ50=6,3,4))),1+MIN(5,$QG50))&amp;IF(INDEX($AE$2:$AE$11,$NH50)=1,IF(COUNTIF($MV50:$MY50,"Mais Um")&gt;0," · +"&amp;COUNTIF($MV50:$MY50,"Mais Um")&amp;IF(COUNTIF($MV50:$MY50,"Mais Um")&gt;1," alvos"," alvo"),"")&amp;IF(COUNTIF($MV50:$MY50,"Rajada")&gt;0,IF($MQ50=0," · 1 tiro"," · "&amp;(MAX(1,$MQ50-1)+1)&amp;" tiros"),""),""))</f>
        <v/>
      </c>
      <c r="QI50" s="155">
        <f>IF($NB50=0,"",IF($MQ50=0,$NE50&amp;"d6"&amp;IF($OS50&gt;0," − 1 = "&amp;$PB50&amp;"d6"," da básica do nível "&amp;$NC50),$OZ50&amp;" − "&amp;$OU50&amp;" + "&amp;$OX50&amp;" = "&amp;$PA50&amp;" · teto "&amp;4*$MQ50&amp;"d8"&amp;IF($OD50=1," · a Forma devolve "&amp;$MQ50,"")&amp;IF($OY50&gt;0," · perde "&amp;$OY50,"")))</f>
        <v/>
      </c>
      <c r="QJ50" s="155">
        <f>IF($NB50=0,"",IF($MQ50=0,"A básica não amplia: os dados dela sobem com o nível",IF($MQ50&gt;=$ND50,"Já está na maior Classe que o nível liberou",TEXTJOIN(" · ",TRUE,IF(AND(2&gt;$MQ50,2&lt;=$ND50),"2 → "&amp;$PL50&amp;", 6 PE",""),IF(AND(3&gt;$MQ50,3&lt;=$ND50),"3 → "&amp;$PM50&amp;", 9 PE",""),IF(AND(4&gt;$MQ50,4&lt;=$ND50),"4 → "&amp;$PN50&amp;", 12 PE",""),IF(AND(5&gt;$MQ50,5&lt;=$ND50),"5 → "&amp;$PO50&amp;", 15 PE",""),IF(AND(6&gt;$MQ50,6&lt;=$ND50),"6 → "&amp;$PP50&amp;", 18 PE",""),IF(AND(7&gt;$MQ50,7&lt;=$ND50),"7 → "&amp;$PQ50&amp;", 21 PE","")))))</f>
        <v/>
      </c>
      <c r="QK50" s="155">
        <f>IF(OR($NB50=0,$NM50=0),"",IF($MQ50=0,"−1 dado","−"&amp;INDEX($I$2:$N$8,MAX(1,$MQ50),MAX(1,$NR50))&amp;" · "&amp;CHOOSE(MAX(1,$NR50),"Leve","Média","Pesada","Leve · Livre","Média · Livre","Pesada · Livre")))</f>
        <v/>
      </c>
      <c r="QL50" s="155">
        <f>IF(OR($NB50=0,$NN50=0),"",IF($MQ50=0,"−1 dado","−"&amp;INDEX($I$2:$N$8,MAX(1,$MQ50),MAX(1,$NS50))&amp;" · "&amp;CHOOSE(MAX(1,$NS50),"Leve","Média","Pesada","Leve · Livre","Média · Livre","Pesada · Livre")))</f>
        <v/>
      </c>
      <c r="QM50" s="155">
        <f>IF(OR($NB50=0,$NO50=0),"",IF($MQ50=0,"−1 dado","−"&amp;INDEX($I$2:$N$8,MAX(1,$MQ50),MAX(1,$NT50))&amp;" · "&amp;CHOOSE(MAX(1,$NT50),"Leve","Média","Pesada","Leve · Livre","Média · Livre","Pesada · Livre")))</f>
        <v/>
      </c>
      <c r="QN50" s="155">
        <f>IF(OR($NB50=0,$NP50=0),"",IF($MQ50=0,"−1 dado","−"&amp;INDEX($I$2:$N$8,MAX(1,$MQ50),MAX(1,$NU50))&amp;" · "&amp;CHOOSE(MAX(1,$NU50),"Leve","Média","Pesada","Leve · Livre","Média · Livre","Pesada · Livre")))</f>
        <v/>
      </c>
      <c r="QO50" s="155">
        <f>IF(OR($NB50=0,$MZ50=""),"",IF($MQ50=0,"não devolve","+"&amp;IF($OG50=1,CEILING($MQ50/2,1),$MQ50)))</f>
        <v/>
      </c>
      <c r="QP50" s="155">
        <f>IF(OR($NB50=0,$NA50=""),"",IF($MQ50=0,"não devolve","+"&amp;IF($OH50=1,CEILING($MQ50/2,1),$MQ50)))</f>
        <v/>
      </c>
    </row>
    <row r="51">
      <c r="AV51" s="153" t="inlineStr">
        <is>
          <t>Enfraquece</t>
        </is>
      </c>
      <c r="AW51" s="153" t="inlineStr">
        <is>
          <t>Auxiliares</t>
        </is>
      </c>
      <c r="AX51" s="155" t="n">
        <v>2</v>
      </c>
      <c r="AY51" s="155" t="n">
        <v>0</v>
      </c>
      <c r="AZ51" s="155" t="n">
        <v>0</v>
      </c>
      <c r="BA51" s="155" t="n">
        <v>0</v>
      </c>
      <c r="JR51" s="155">
        <f>IF(OR($AW51="",COUNTIF($EJ$2:$EN$2,$AW51)&gt;0),$AV51,"")</f>
        <v/>
      </c>
      <c r="JS51" s="155">
        <f>IF(AND($AX51=1,OR($AW51="",COUNTIF($EJ$2:$EN$2,$AW51)&gt;0)),$AV51,"")</f>
        <v/>
      </c>
      <c r="JX51" s="155">
        <f>IF(OR($AW51="",COUNTIF($EJ$3:$EN$3,$AW51)&gt;0),$AV51,"")</f>
        <v/>
      </c>
      <c r="JY51" s="155">
        <f>IF(AND($AX51=1,OR($AW51="",COUNTIF($EJ$3:$EN$3,$AW51)&gt;0)),$AV51,"")</f>
        <v/>
      </c>
      <c r="KD51" s="155">
        <f>IF(OR($AW51="",COUNTIF($EJ$4:$EN$4,$AW51)&gt;0),$AV51,"")</f>
        <v/>
      </c>
      <c r="KE51" s="155">
        <f>IF(AND($AX51=1,OR($AW51="",COUNTIF($EJ$4:$EN$4,$AW51)&gt;0)),$AV51,"")</f>
        <v/>
      </c>
      <c r="KJ51" s="155">
        <f>IF(OR($AW51="",COUNTIF($EJ$5:$EN$5,$AW51)&gt;0),$AV51,"")</f>
        <v/>
      </c>
      <c r="KK51" s="155">
        <f>IF(AND($AX51=1,OR($AW51="",COUNTIF($EJ$5:$EN$5,$AW51)&gt;0)),$AV51,"")</f>
        <v/>
      </c>
      <c r="KP51" s="155">
        <f>IF(OR($AW51="",COUNTIF($EJ$6:$EN$6,$AW51)&gt;0),$AV51,"")</f>
        <v/>
      </c>
      <c r="KQ51" s="155">
        <f>IF(AND($AX51=1,OR($AW51="",COUNTIF($EJ$6:$EN$6,$AW51)&gt;0)),$AV51,"")</f>
        <v/>
      </c>
      <c r="KV51" s="155">
        <f>IF(OR($AW51="",COUNTIF($EJ$7:$EN$7,$AW51)&gt;0),$AV51,"")</f>
        <v/>
      </c>
      <c r="KW51" s="155">
        <f>IF(AND($AX51=1,OR($AW51="",COUNTIF($EJ$7:$EN$7,$AW51)&gt;0)),$AV51,"")</f>
        <v/>
      </c>
      <c r="LB51" s="155">
        <f>IF(OR($AW51="",COUNTIF($EJ$8:$EN$8,$AW51)&gt;0),$AV51,"")</f>
        <v/>
      </c>
      <c r="LC51" s="155">
        <f>IF(AND($AX51=1,OR($AW51="",COUNTIF($EJ$8:$EN$8,$AW51)&gt;0)),$AV51,"")</f>
        <v/>
      </c>
      <c r="LH51" s="155">
        <f>IF(OR($AW51="",COUNTIF($EJ$9:$EN$9,$AW51)&gt;0),$AV51,"")</f>
        <v/>
      </c>
      <c r="LI51" s="155">
        <f>IF(AND($AX51=1,OR($AW51="",COUNTIF($EJ$9:$EN$9,$AW51)&gt;0)),$AV51,"")</f>
        <v/>
      </c>
      <c r="LN51" s="155">
        <f>IF(OR($AW51="",COUNTIF($EJ$10:$EN$10,$AW51)&gt;0),$AV51,"")</f>
        <v/>
      </c>
      <c r="LO51" s="155">
        <f>IF(AND($AX51=1,OR($AW51="",COUNTIF($EJ$10:$EN$10,$AW51)&gt;0)),$AV51,"")</f>
        <v/>
      </c>
      <c r="LT51" s="155">
        <f>IF(OR($AW51="",COUNTIF($EJ$11:$EN$11,$AW51)&gt;0),$AV51,"")</f>
        <v/>
      </c>
      <c r="LU51" s="155">
        <f>IF(AND($AX51=1,OR($AW51="",COUNTIF($EJ$11:$EN$11,$AW51)&gt;0)),$AV51,"")</f>
        <v/>
      </c>
      <c r="LZ51" s="155">
        <f>IF(OR($AW51="",COUNTIF($EJ$12:$EN$12,$AW51)&gt;0),$AV51,"")</f>
        <v/>
      </c>
      <c r="MA51" s="155">
        <f>IF(AND($AX51=1,OR($AW51="",COUNTIF($EJ$12:$EN$12,$AW51)&gt;0)),$AV51,"")</f>
        <v/>
      </c>
      <c r="MF51" s="155">
        <f>IF(OR($AW51="",COUNTIF($EJ$13:$EN$13,$AW51)&gt;0),$AV51,"")</f>
        <v/>
      </c>
      <c r="MG51" s="155">
        <f>IF(AND($AX51=1,OR($AW51="",COUNTIF($EJ$13:$EN$13,$AW51)&gt;0)),$AV51,"")</f>
        <v/>
      </c>
      <c r="ML51" s="153" t="inlineStr">
        <is>
          <t>Ficha 4 · Escolha da trilha 1</t>
        </is>
      </c>
      <c r="MM51" s="155" t="n">
        <v>4</v>
      </c>
      <c r="MN51" s="155" t="n">
        <v>2</v>
      </c>
      <c r="MO51" s="155" t="n">
        <v>0</v>
      </c>
      <c r="MP51" s="153" t="inlineStr">
        <is>
          <t>ESCOLHA DA TRILHA 1</t>
        </is>
      </c>
      <c r="MQ51" s="155">
        <f>MAX(0,MIN(7,N('INVOCAÇÕES'!$I$754)))</f>
        <v/>
      </c>
      <c r="MR51" s="155">
        <f>'INVOCAÇÕES'!$J$754&amp;""</f>
        <v/>
      </c>
      <c r="MS51" s="155">
        <f>'INVOCAÇÕES'!$I$759&amp;""</f>
        <v/>
      </c>
      <c r="MT51" s="155">
        <f>'INVOCAÇÕES'!$I$760&amp;""</f>
        <v/>
      </c>
      <c r="MU51" s="155">
        <f>'INVOCAÇÕES'!$K$760&amp;""</f>
        <v/>
      </c>
      <c r="MV51" s="155">
        <f>'INVOCAÇÕES'!$J$763&amp;""</f>
        <v/>
      </c>
      <c r="MW51" s="155">
        <f>'INVOCAÇÕES'!$J$764&amp;""</f>
        <v/>
      </c>
      <c r="MX51" s="155">
        <f>'INVOCAÇÕES'!$J$765&amp;""</f>
        <v/>
      </c>
      <c r="MY51" s="155">
        <f>'INVOCAÇÕES'!$J$766&amp;""</f>
        <v/>
      </c>
      <c r="MZ51" s="155">
        <f>'INVOCAÇÕES'!$J$767&amp;""</f>
        <v/>
      </c>
      <c r="NA51" s="155">
        <f>'INVOCAÇÕES'!$J$768&amp;""</f>
        <v/>
      </c>
      <c r="NB51" s="155">
        <f>IF($MR51&lt;&gt;"",1,0)</f>
        <v/>
      </c>
      <c r="NC51" s="155">
        <f>INDEX($FM$2:$FM$13,$MM51)</f>
        <v/>
      </c>
      <c r="ND51" s="155">
        <f>INDEX($FN$2:$FN$13,$MM51)</f>
        <v/>
      </c>
      <c r="NE51" s="155">
        <f>INDEX($FO$2:$FO$13,$MM51)</f>
        <v/>
      </c>
      <c r="NF51" s="155">
        <f>INDEX($FZ$2:$FZ$13,$MM51)</f>
        <v/>
      </c>
      <c r="NG51" s="155">
        <f>INDEX($GA$2:$GA$13,$MM51)</f>
        <v/>
      </c>
      <c r="NH51" s="155">
        <f>IFERROR(MATCH($MS51,$V$2:$V$11,0),0)</f>
        <v/>
      </c>
      <c r="NI51" s="155">
        <f>IFERROR(VLOOKUP($MV51,$AV$2:$BA$84,2,FALSE),"")</f>
        <v/>
      </c>
      <c r="NJ51" s="155">
        <f>IFERROR(VLOOKUP($MW51,$AV$2:$BA$84,2,FALSE),"")</f>
        <v/>
      </c>
      <c r="NK51" s="155">
        <f>IFERROR(VLOOKUP($MX51,$AV$2:$BA$84,2,FALSE),"")</f>
        <v/>
      </c>
      <c r="NL51" s="155">
        <f>IFERROR(VLOOKUP($MY51,$AV$2:$BA$84,2,FALSE),"")</f>
        <v/>
      </c>
      <c r="NM51" s="155">
        <f>IFERROR(VLOOKUP($MV51,$AV$2:$BA$84,3,FALSE),0)</f>
        <v/>
      </c>
      <c r="NN51" s="155">
        <f>IFERROR(VLOOKUP($MW51,$AV$2:$BA$84,3,FALSE),0)</f>
        <v/>
      </c>
      <c r="NO51" s="155">
        <f>IFERROR(VLOOKUP($MX51,$AV$2:$BA$84,3,FALSE),0)</f>
        <v/>
      </c>
      <c r="NP51" s="155">
        <f>IFERROR(VLOOKUP($MY51,$AV$2:$BA$84,3,FALSE),0)</f>
        <v/>
      </c>
      <c r="NQ51" s="155">
        <f>IF($MQ51=0,0,IF($NH51=0,0,INDEX($X$2:$X$11,$NH51)))</f>
        <v/>
      </c>
      <c r="NR51" s="155">
        <f>IF(OR($NM51=0,$MQ51=0),0,$NM51+3*IF(AND($NI51&lt;&gt;"",OR($NI51=INDEX($EJ$2:$EJ$13,$MM51),$NI51=INDEX($EK$2:$EK$13,$MM51))),1,0))</f>
        <v/>
      </c>
      <c r="NS51" s="155">
        <f>IF(OR($NN51=0,$MQ51=0),0,$NN51+3*IF(AND($NJ51&lt;&gt;"",OR($NJ51=INDEX($EJ$2:$EJ$13,$MM51),$NJ51=INDEX($EK$2:$EK$13,$MM51))),1,0))</f>
        <v/>
      </c>
      <c r="NT51" s="155">
        <f>IF(OR($NO51=0,$MQ51=0),0,$NO51+3*IF(AND($NK51&lt;&gt;"",OR($NK51=INDEX($EJ$2:$EJ$13,$MM51),$NK51=INDEX($EK$2:$EK$13,$MM51))),1,0))</f>
        <v/>
      </c>
      <c r="NU51" s="155">
        <f>IF(OR($NP51=0,$MQ51=0),0,$NP51+3*IF(AND($NL51&lt;&gt;"",OR($NL51=INDEX($EJ$2:$EJ$13,$MM51),$NL51=INDEX($EK$2:$EK$13,$MM51))),1,0))</f>
        <v/>
      </c>
      <c r="NV51" s="155">
        <f>IF($NH51=0,0,IF(INDEX($W$2:$W$11,$NH51)="",0,IF(COUNTIF(INDEX($EJ$2:$EN$13,$MM51,0),INDEX($W$2:$W$11,$NH51))=0,1,0)))</f>
        <v/>
      </c>
      <c r="NW51" s="155">
        <f>IF(OR($NM51=0,$NI51=""),0,IF(COUNTIF(INDEX($EJ$2:$EN$13,$MM51,0),$NI51)=0,1,0))</f>
        <v/>
      </c>
      <c r="NX51" s="155">
        <f>IF(OR($NN51=0,$NJ51=""),0,IF(COUNTIF(INDEX($EJ$2:$EN$13,$MM51,0),$NJ51)=0,1,0))</f>
        <v/>
      </c>
      <c r="NY51" s="155">
        <f>IF(OR($NO51=0,$NK51=""),0,IF(COUNTIF(INDEX($EJ$2:$EN$13,$MM51,0),$NK51)=0,1,0))</f>
        <v/>
      </c>
      <c r="NZ51" s="155">
        <f>IF(OR($NP51=0,$NL51=""),0,IF(COUNTIF(INDEX($EJ$2:$EN$13,$MM51,0),$NL51)=0,1,0))</f>
        <v/>
      </c>
      <c r="OA51" s="155">
        <f>IFERROR(VLOOKUP($MV51,$AV$2:$BA$84,4,FALSE),0)+IFERROR(VLOOKUP($MW51,$AV$2:$BA$84,4,FALSE),0)+IFERROR(VLOOKUP($MX51,$AV$2:$BA$84,4,FALSE),0)+IFERROR(VLOOKUP($MY51,$AV$2:$BA$84,4,FALSE),0)</f>
        <v/>
      </c>
      <c r="OB51" s="155">
        <f>IFERROR(VLOOKUP($MV51,$AV$2:$BA$84,6,FALSE),0)+IFERROR(VLOOKUP($MW51,$AV$2:$BA$84,6,FALSE),0)+IFERROR(VLOOKUP($MX51,$AV$2:$BA$84,6,FALSE),0)+IFERROR(VLOOKUP($MY51,$AV$2:$BA$84,6,FALSE),0)</f>
        <v/>
      </c>
      <c r="OC51" s="155">
        <f>TEXTJOIN(", ",TRUE,IF(IFERROR(VLOOKUP($MV51,$AV$2:$BA$84,5,FALSE),0)=1,$MV51,""),IF(IFERROR(VLOOKUP($MW51,$AV$2:$BA$84,5,FALSE),0)=1,$MW51,""),IF(IFERROR(VLOOKUP($MX51,$AV$2:$BA$84,5,FALSE),0)=1,$MX51,""),IF(IFERROR(VLOOKUP($MY51,$AV$2:$BA$84,5,FALSE),0)=1,$MY51,""))</f>
        <v/>
      </c>
      <c r="OD51" s="155">
        <f>IF($NH51=0,0,INDEX($Y$2:$Y$11,$NH51))</f>
        <v/>
      </c>
      <c r="OE51" s="155">
        <f>IF($NH51=0,0,INDEX($Z$2:$Z$11,$NH51))</f>
        <v/>
      </c>
      <c r="OF51" s="155">
        <f>IF($NH51=0,0,INDEX($AB$2:$AB$11,$NH51))</f>
        <v/>
      </c>
      <c r="OG51" s="155">
        <f>IFERROR(VLOOKUP($MZ51,$BC$2:$BG$24,3,FALSE),0)</f>
        <v/>
      </c>
      <c r="OH51" s="155">
        <f>IFERROR(VLOOKUP($NA51,$BC$2:$BG$24,3,FALSE),0)</f>
        <v/>
      </c>
      <c r="OI51" s="155">
        <f>IFERROR(VLOOKUP($MZ51,$BC$2:$BG$24,2,FALSE),"")</f>
        <v/>
      </c>
      <c r="OJ51" s="155">
        <f>IFERROR(VLOOKUP($NA51,$BC$2:$BG$24,2,FALSE),"")</f>
        <v/>
      </c>
      <c r="OK51" s="155">
        <f>COUNTIF($NQ51:$NU51,1)</f>
        <v/>
      </c>
      <c r="OL51" s="155">
        <f>COUNTIF($NQ51:$NU51,2)</f>
        <v/>
      </c>
      <c r="OM51" s="155">
        <f>COUNTIF($NQ51:$NU51,3)</f>
        <v/>
      </c>
      <c r="ON51" s="155">
        <f>COUNTIF($NQ51:$NU51,4)</f>
        <v/>
      </c>
      <c r="OO51" s="155">
        <f>COUNTIF($NQ51:$NU51,5)</f>
        <v/>
      </c>
      <c r="OP51" s="155">
        <f>COUNTIF($NQ51:$NU51,6)</f>
        <v/>
      </c>
      <c r="OQ51" s="155">
        <f>COUNTIF($OG51:$OH51,1)</f>
        <v/>
      </c>
      <c r="OR51" s="155">
        <f>COUNTIF($OG51:$OH51,2)+$OD51</f>
        <v/>
      </c>
      <c r="OS51" s="155">
        <f>COUNTIF($MV51:$MY51,"?*")</f>
        <v/>
      </c>
      <c r="OT51" s="155">
        <f>COUNTIF($MZ51:$NA51,"?*")+$OD51</f>
        <v/>
      </c>
      <c r="OU51" s="155">
        <f>IF($MQ51=0,0,SUMPRODUCT($OK51:$OP51,INDEX($I$2:$N$8,MAX(1,$MQ51),0)))</f>
        <v/>
      </c>
      <c r="OV51" s="155">
        <f>IF($MQ51=0,0,$OQ51*CEILING($MQ51/2,1)+$OR51*$MQ51)</f>
        <v/>
      </c>
      <c r="OW51" s="155">
        <f>MIN(2*$MQ51,$OV51)</f>
        <v/>
      </c>
      <c r="OX51" s="155">
        <f>MIN($OW51,$OU51)</f>
        <v/>
      </c>
      <c r="OY51" s="155">
        <f>$OW51-$OX51</f>
        <v/>
      </c>
      <c r="OZ51" s="155">
        <f>IF($MQ51=0,0,INDEX($P$2:$P$8,MAX(1,$MQ51)))</f>
        <v/>
      </c>
      <c r="PA51" s="155">
        <f>$OZ51-$OU51+$OX51</f>
        <v/>
      </c>
      <c r="PB51" s="155">
        <f>IF($MQ51=0,MAX(0,$NE51-IF($OS51&gt;0,1,0)),MAX(0,$PA51))</f>
        <v/>
      </c>
      <c r="PC51" s="155">
        <f>IF($MQ51=0,0,(IF(COUNTIF($MV51:$MY51,"Salto")&gt;0,1,0)+IF(COUNTIF($MV51:$MY51,"Queima")&gt;0,1,0)+IF(COUNTIF($MV51:$MY51,"Estilhaço")&gt;0,1,0))*FLOOR($PB51/2,1))</f>
        <v/>
      </c>
      <c r="PD51" s="155">
        <f>MAX(0,2-SUMPRODUCT($OK51:$OP51,$I$2:$N$2)+MIN(2,$OQ51*1+$OR51*1,SUMPRODUCT($OK51:$OP51,$I$2:$N$2)))</f>
        <v/>
      </c>
      <c r="PE51" s="155">
        <f>MAX(0,4-SUMPRODUCT($OK51:$OP51,$I$3:$N$3)+MIN(4,$OQ51*1+$OR51*2,SUMPRODUCT($OK51:$OP51,$I$3:$N$3)))</f>
        <v/>
      </c>
      <c r="PF51" s="155">
        <f>MAX(0,6-SUMPRODUCT($OK51:$OP51,$I$4:$N$4)+MIN(6,$OQ51*2+$OR51*3,SUMPRODUCT($OK51:$OP51,$I$4:$N$4)))</f>
        <v/>
      </c>
      <c r="PG51" s="155">
        <f>MAX(0,9-SUMPRODUCT($OK51:$OP51,$I$5:$N$5)+MIN(8,$OQ51*2+$OR51*4,SUMPRODUCT($OK51:$OP51,$I$5:$N$5)))</f>
        <v/>
      </c>
      <c r="PH51" s="155">
        <f>MAX(0,11-SUMPRODUCT($OK51:$OP51,$I$6:$N$6)+MIN(10,$OQ51*3+$OR51*5,SUMPRODUCT($OK51:$OP51,$I$6:$N$6)))</f>
        <v/>
      </c>
      <c r="PI51" s="155">
        <f>MAX(0,13-SUMPRODUCT($OK51:$OP51,$I$7:$N$7)+MIN(12,$OQ51*3+$OR51*6,SUMPRODUCT($OK51:$OP51,$I$7:$N$7)))</f>
        <v/>
      </c>
      <c r="PJ51" s="155">
        <f>MAX(0,16-SUMPRODUCT($OK51:$OP51,$I$8:$N$8)+MIN(14,$OQ51*4+$OR51*7,SUMPRODUCT($OK51:$OP51,$I$8:$N$8)))</f>
        <v/>
      </c>
      <c r="PK51" s="155">
        <f>IF($OE51=2,3*$PD51&amp;" de vida temp.",IF($OE51=3,"sem dano",IF($PD51=0,IF($OE51=1,"sem cura","sem dano"),IF($OE51=1,"cura ","")&amp;$PD51&amp;"d8")))</f>
        <v/>
      </c>
      <c r="PL51" s="155">
        <f>IF($OE51=2,3*$PE51&amp;" de vida temp.",IF($OE51=3,"sem dano",IF($PE51=0,IF($OE51=1,"sem cura","sem dano"),IF($OE51=1,"cura ","")&amp;$PE51&amp;"d8")))</f>
        <v/>
      </c>
      <c r="PM51" s="155">
        <f>IF($OE51=2,3*$PF51&amp;" de vida temp.",IF($OE51=3,"sem dano",IF($PF51=0,IF($OE51=1,"sem cura","sem dano"),IF($OE51=1,"cura ","")&amp;$PF51&amp;"d8")))</f>
        <v/>
      </c>
      <c r="PN51" s="155">
        <f>IF($OE51=2,3*$PG51&amp;" de vida temp.",IF($OE51=3,"sem dano",IF($PG51=0,IF($OE51=1,"sem cura","sem dano"),IF($OE51=1,"cura ","")&amp;$PG51&amp;"d8")))</f>
        <v/>
      </c>
      <c r="PO51" s="155">
        <f>IF($OE51=2,3*$PH51&amp;" de vida temp.",IF($OE51=3,"sem dano",IF($PH51=0,IF($OE51=1,"sem cura","sem dano"),IF($OE51=1,"cura ","")&amp;$PH51&amp;"d8")))</f>
        <v/>
      </c>
      <c r="PP51" s="155">
        <f>IF($OE51=2,3*$PI51&amp;" de vida temp.",IF($OE51=3,"sem dano",IF($PI51=0,IF($OE51=1,"sem cura","sem dano"),IF($OE51=1,"cura ","")&amp;$PI51&amp;"d8")))</f>
        <v/>
      </c>
      <c r="PQ51" s="155">
        <f>IF($OE51=2,3*$PJ51&amp;" de vida temp.",IF($OE51=3,"sem dano",IF($PJ51=0,IF($OE51=1,"sem cura","sem dano"),IF($OE51=1,"cura ","")&amp;$PJ51&amp;"d8")))</f>
        <v/>
      </c>
      <c r="PR51" s="155">
        <f>IF($NB51=0,"",TEXTJOIN(" · ",TRUE,IF($MO51&gt;$NC51,"Este lugar abre no nível "&amp;$MO51,""),IF($MQ51&gt;$ND51,"Classe "&amp;$MQ51&amp;": o nível "&amp;$NC51&amp;" libera até a "&amp;$ND51,""),IF($NV51=1,"A Forma "&amp;$MS51&amp;" pede "&amp;INDEX($W$2:$W$11,$NH51)&amp;" aberta",""),IF(AND($MQ51=0,$NH51&gt;0,IF($NH51=0,0,INDEX($AF$2:$AF$11,$NH51))=0),$MS51&amp;" não existe na Classe 0",""),IF($NW51=1,"Família Fechada: "&amp;$MV51,""),IF($NX51=1,"Família Fechada: "&amp;$MW51,""),IF($NY51=1,"Família Fechada: "&amp;$MX51,""),IF($NZ51=1,"Família Fechada: "&amp;$MY51,""),IF(AND($MQ51&gt;0,$OS51&gt;INDEX($O$2:$O$8,MAX(1,$MQ51))),$OS51&amp;" Melhorias: a Classe "&amp;$MQ51&amp;" aceita "&amp;INDEX($O$2:$O$8,MAX(1,$MQ51)),""),IF(AND($MQ51=0,$OS51&gt;1),"A básica aceita uma Melhoria",""),IF(AND($MQ51=0,COUNTIF($NM51:$NP51,"&gt;1")&gt;0),"A básica só aceita Melhoria Leve",""),IF(AND($MQ51&gt;0,$OT51&gt;2),$OT51&amp;" Restrições"&amp;IF($OD51=1,", contando a que a Forma "&amp;$MS51&amp;" já traz","")&amp;": o limite é 2",""),IF(AND($MQ51=0,COUNTIF($MZ51:$NA51,"?*")&gt;1),"A básica aceita uma Restrição Leve",""),IF(AND($MQ51=0,COUNTIF($OG51:$OH51,2)&gt;0),"A básica só aceita Restrição Leve",""),IF(AND($MQ51&gt;0,$PA51&lt;0),"Orçamento estourado: faltam "&amp;(-$PA51)&amp;IF($PA51&lt;-1," pontos"," ponto"),""),IF(IFERROR(VLOOKUP($MZ51,$BC$2:$BG$24,4,FALSE),0)+IFERROR(VLOOKUP($NA51,$BC$2:$BG$24,4,FALSE),0)&gt;1,$OI51&amp;" e "&amp;$OJ51&amp;" são as duas de frequência",""),IF(AND((COUNTIF($MV51:$MY51,"Rápido")+COUNTIF($OI51:$OJ51,"Rápido"))&gt;0,(COUNTIF($MV51:$MY51,"Atrasar")+COUNTIF($OI51:$OJ51,"Atrasar"))&gt;0),"Rápido não entra com Atrasar",""),IF(AND((COUNTIF($MV51:$MY51,"Reação")+COUNTIF($OI51:$OJ51,"Reação"))&gt;0,(COUNTIF($MV51:$MY51,"Rápido")+COUNTIF($OI51:$OJ51,"Rápido"))&gt;0),"Reação não entra com Rápido",""),IF(AND((COUNTIF($MV51:$MY51,"Reação")+COUNTIF($OI51:$OJ51,"Reação"))&gt;0,(COUNTIF($MV51:$MY51,"Armado")+COUNTIF($OI51:$OJ51,"Armado"))&gt;0),"Reação não entra com Armado",""),IF(AND((COUNTIF($MV51:$MY51,"Reação")+COUNTIF($OI51:$OJ51,"Reação"))&gt;0,(COUNTIF($MV51:$MY51,"Atrasar")+COUNTIF($OI51:$OJ51,"Atrasar"))&gt;0),"Reação não entra com Atrasar",""),IF(AND((COUNTIF($MV51:$MY51,"Reação")+COUNTIF($OI51:$OJ51,"Reação"))&gt;0,(COUNTIF($MV51:$MY51,"Parado")+COUNTIF($OI51:$OJ51,"Parado"))&gt;0),"Reação não entra com Parado",""),IF(AND((COUNTIF($MV51:$MY51,"Atrasar")+COUNTIF($OI51:$OJ51,"Atrasar"))&gt;0,(COUNTIF($MV51:$MY51,"Parado")+COUNTIF($OI51:$OJ51,"Parado"))&gt;0),"Atrasar não entra com Parado",""),IF(AND((COUNTIF($MV51:$MY51,"Armado")+COUNTIF($OI51:$OJ51,"Armado"))&gt;0,(COUNTIF($MV51:$MY51,"Carregar")+COUNTIF($OI51:$OJ51,"Carregar"))&gt;0),"Armado não entra com Carregar",""),IF(AND(COUNTIF($OI51:$OJ51,"Corpo a Corpo")&gt;0,$OD51=0,OR($MS51="Cone",$MS51="Linha")),"Corpo a Corpo não entra em "&amp;$MS51,""),IF(AND(COUNTIF($OI51:$OJ51,"Corpo a Corpo")&gt;0,$OD51=1),"A Forma "&amp;$MS51&amp;" já traz o Corpo a Corpo",""),IF(AND(COUNTIF($OI51:$OJ51,"Tudo ou Nada")&gt;0,$OF51=0),"Tudo ou Nada só entra em habilidade de Teste de Resistência",""),IF(AND(COUNTIF($MV51:$MY51,"Inescapável")&gt;0,OR($OS51&gt;1,$OT51&gt;0)),"Inescapável não aceita outra peça",""),IF(AND($MQ51&gt;0,$PB51*IF(COUNTIF($MV51:$MY51,"Remate")&gt;0,1.25,1)+$PC51&gt;4*$MQ51),($PB51*IF(COUNTIF($MV51:$MY51,"Remate")&gt;0,1.25,1)+$PC51)&amp;" dados somando repetições"&amp;IF(COUNTIF($MV51:$MY51,"Remate")&gt;0," e o Remate","")&amp;": o teto da Classe "&amp;$MQ51&amp;" é "&amp;4*$MQ51,"")))</f>
        <v/>
      </c>
      <c r="PS51" s="155">
        <f>IF($PR51="",0,(LEN($PR51)-LEN(SUBSTITUTE($PR51," · ","")))/3+1)</f>
        <v/>
      </c>
      <c r="PT51" s="155">
        <f>IF($NB51=0,"",TEXTJOIN(" · ",TRUE,IF($OV51&gt;2*$MQ51,"A devolução parou no teto de "&amp;2*$MQ51,""),IF($OY51&gt;0,"Devolução perdida: "&amp;$OY51&amp;IF($OY51&gt;1," pontos"," ponto")&amp;" sem peça para pagar",""),IF(AND($OA51&gt;0,AND($MQ51&gt;0,$OE51=0),$PB51=0),"Controle sem dano: uma rodada a mais e CD +2",""),IF(AND($OA51&gt;0,AND($MQ51&gt;0,$OE51=0),$PB51&gt;0,$PB51&lt;=$MQ51),"Controle com saldo até a Classe: uma rodada a mais",""),IF(AND($MQ51&gt;0,$OC51&lt;&gt;""),"Efeito de "&amp;$OC51&amp;" pela Classe "&amp;MAX(1,$MQ51-1),"")))</f>
        <v/>
      </c>
      <c r="PU51" s="155">
        <f>IF($PT51="",0,(LEN($PT51)-LEN(SUBSTITUTE($PT51," · ","")))/3+1)</f>
        <v/>
      </c>
      <c r="PV51" s="155">
        <f>IF($NB51=0,IF($OS51+COUNTIF($MZ51:$NA51,"?*")&gt;0,"Dê um nome",""),IF($PS51&gt;0,"⚠ "&amp;$PS51&amp;IF($PS51&gt;1," erros"," erro"),IF($PU51&gt;0,"! "&amp;$PU51&amp;IF($PU51&gt;1," avisos"," aviso"),"Na regra")))</f>
        <v/>
      </c>
      <c r="PW51" s="155">
        <f>IF($NB51=0,"",IF($PS51+$PU51=0,"Dentro das regras que a ficha confere",$PR51&amp;IF(AND($PS51&gt;0,$PU51&gt;0)," · ","")&amp;$PT51))</f>
        <v/>
      </c>
      <c r="PX51" s="155">
        <f>IF($MO51&gt;$NC51,$MP51&amp;" · ABRE NO NÍVEL "&amp;$MO51,$MP51)</f>
        <v/>
      </c>
      <c r="PY51" s="155">
        <f>IF($NB51=0,"",IF($MQ51=0,"Sem PE",3*$MQ51&amp;" PE"))</f>
        <v/>
      </c>
      <c r="PZ51" s="155">
        <f>IF($NB51=0,"",IF($MQ51=0,"A atuação básica dela",IF(COUNTIF($OI51:$OJ51,"Atrasar")&gt;0,"Sua Ação Completa",IF(COUNTIF($MV51:$MY51,"Rápido")&gt;0,"Sua Bônus",IF(COUNTIF($MV51:$MY51,"Reação")&gt;0,"Sua Reação","Sua Padrão")))&amp;" + a básica dela"&amp;IF(COUNTIF($MV51:$MY51,"Reação")&gt;0," e a coletiva","")&amp;IF(COUNTIF($OI51:$OJ51,"Carregar")&gt;0," · em dois turnos","")))</f>
        <v/>
      </c>
      <c r="QA51" s="155">
        <f>IF($MU51&lt;&gt;"",$MU51,IF($NH51=0,"",INDEX($AA$2:$AA$11,$NH51)))</f>
        <v/>
      </c>
      <c r="QB51" s="155">
        <f>IF(OR($NB51=0,$NH51=0),"",IF(COUNTIF($MV51:$MY51,"Inescapável")&gt;0,"Automático",IF($QA51="Ataque",IF($NF51="","Ataque","Ataque "&amp;IF(($NF51+2*IF(COUNTIF($MV51:$MY51,"Precisão")&gt;0,1,0))&gt;=0,"+","−")&amp;ABS(($NF51+2*IF(COUNTIF($MV51:$MY51,"Precisão")&gt;0,1,0))))&amp;IF($OB51&gt;0," · TR"&amp;IF($NG51="",""," CD "&amp;$NG51),""),IF(LEFT($QA51,2)="TR",$QA51&amp;IF($NG51="",""," · CD "&amp;$NG51)&amp;IF(COUNTIF($MV51:$MY51,"Certeiro")&gt;0," · metade",""),"Sem rolagem"))))</f>
        <v/>
      </c>
      <c r="QC51" s="155">
        <f>IF(OR($NB51=0,$NH51=0),"",IF($MQ51=0,IF(OR($OE51&gt;=1,$PB51=0),"Sem dano",$PB51&amp;"d6"&amp;IF($MT51="",""," "&amp;$MT51)),IF(OR($OE51&gt;=1,$PB51=0),UPPER(LEFT(INDEX($PK51:$PQ51,1,MAX(1,$MQ51)),1))&amp;MID(INDEX($PK51:$PQ51,1,MAX(1,$MQ51)),2,99),UPPER(LEFT(INDEX($PK51:$PQ51,1,MAX(1,$MQ51)),1))&amp;MID(INDEX($PK51:$PQ51,1,MAX(1,$MQ51)),2,99)&amp;IF($MT51="",""," "&amp;$MT51)&amp;IF($PC51&gt;0," · +"&amp;$PC51&amp;"d8",""))))</f>
        <v/>
      </c>
      <c r="QD51" s="155">
        <f>COUNTIF($MV51:$MY51,"Longe")+3*COUNTIF($MV51:$MY51,"Muito Longe")</f>
        <v/>
      </c>
      <c r="QE51" s="155">
        <f>COUNTIF($MV51:$MY51,"Maior")+3*COUNTIF($MV51:$MY51,"Muito Maior")</f>
        <v/>
      </c>
      <c r="QF51" s="155">
        <f>IF($NH51=0,0,CHOOSE(1+INDEX($AC$2:$AC$11,$NH51),0,$QD51,$QE51,$QD51+$QE51))</f>
        <v/>
      </c>
      <c r="QG51" s="155">
        <f>IF($NH51=0,0,CHOOSE(1+INDEX($AD$2:$AD$11,$NH51),0,$QD51,$QE51,$QD51+$QE51))</f>
        <v/>
      </c>
      <c r="QH51" s="155">
        <f>IF(OR($NB51=0,$NH51=0),"",INDEX($AI$2:$AN$41,($NH51-1)*4+IF($MQ51=0,1,IF($MQ51&lt;=5,2,IF($MQ51=6,3,4))),1+MIN(5,$QF51))&amp;INDEX($AO$2:$AT$41,($NH51-1)*4+IF($MQ51=0,1,IF($MQ51&lt;=5,2,IF($MQ51=6,3,4))),1+MIN(5,$QG51))&amp;IF(INDEX($AE$2:$AE$11,$NH51)=1,IF(COUNTIF($MV51:$MY51,"Mais Um")&gt;0," · +"&amp;COUNTIF($MV51:$MY51,"Mais Um")&amp;IF(COUNTIF($MV51:$MY51,"Mais Um")&gt;1," alvos"," alvo"),"")&amp;IF(COUNTIF($MV51:$MY51,"Rajada")&gt;0,IF($MQ51=0," · 1 tiro"," · "&amp;(MAX(1,$MQ51-1)+1)&amp;" tiros"),""),""))</f>
        <v/>
      </c>
      <c r="QI51" s="155">
        <f>IF($NB51=0,"",IF($MQ51=0,$NE51&amp;"d6"&amp;IF($OS51&gt;0," − 1 = "&amp;$PB51&amp;"d6"," da básica do nível "&amp;$NC51),$OZ51&amp;" − "&amp;$OU51&amp;" + "&amp;$OX51&amp;" = "&amp;$PA51&amp;" · teto "&amp;4*$MQ51&amp;"d8"&amp;IF($OD51=1," · a Forma devolve "&amp;$MQ51,"")&amp;IF($OY51&gt;0," · perde "&amp;$OY51,"")))</f>
        <v/>
      </c>
      <c r="QJ51" s="155">
        <f>IF($NB51=0,"",IF($MQ51=0,"A básica não amplia: os dados dela sobem com o nível",IF($MQ51&gt;=$ND51,"Já está na maior Classe que o nível liberou",TEXTJOIN(" · ",TRUE,IF(AND(2&gt;$MQ51,2&lt;=$ND51),"2 → "&amp;$PL51&amp;", 6 PE",""),IF(AND(3&gt;$MQ51,3&lt;=$ND51),"3 → "&amp;$PM51&amp;", 9 PE",""),IF(AND(4&gt;$MQ51,4&lt;=$ND51),"4 → "&amp;$PN51&amp;", 12 PE",""),IF(AND(5&gt;$MQ51,5&lt;=$ND51),"5 → "&amp;$PO51&amp;", 15 PE",""),IF(AND(6&gt;$MQ51,6&lt;=$ND51),"6 → "&amp;$PP51&amp;", 18 PE",""),IF(AND(7&gt;$MQ51,7&lt;=$ND51),"7 → "&amp;$PQ51&amp;", 21 PE","")))))</f>
        <v/>
      </c>
      <c r="QK51" s="155">
        <f>IF(OR($NB51=0,$NM51=0),"",IF($MQ51=0,"−1 dado","−"&amp;INDEX($I$2:$N$8,MAX(1,$MQ51),MAX(1,$NR51))&amp;" · "&amp;CHOOSE(MAX(1,$NR51),"Leve","Média","Pesada","Leve · Livre","Média · Livre","Pesada · Livre")))</f>
        <v/>
      </c>
      <c r="QL51" s="155">
        <f>IF(OR($NB51=0,$NN51=0),"",IF($MQ51=0,"−1 dado","−"&amp;INDEX($I$2:$N$8,MAX(1,$MQ51),MAX(1,$NS51))&amp;" · "&amp;CHOOSE(MAX(1,$NS51),"Leve","Média","Pesada","Leve · Livre","Média · Livre","Pesada · Livre")))</f>
        <v/>
      </c>
      <c r="QM51" s="155">
        <f>IF(OR($NB51=0,$NO51=0),"",IF($MQ51=0,"−1 dado","−"&amp;INDEX($I$2:$N$8,MAX(1,$MQ51),MAX(1,$NT51))&amp;" · "&amp;CHOOSE(MAX(1,$NT51),"Leve","Média","Pesada","Leve · Livre","Média · Livre","Pesada · Livre")))</f>
        <v/>
      </c>
      <c r="QN51" s="155">
        <f>IF(OR($NB51=0,$NP51=0),"",IF($MQ51=0,"−1 dado","−"&amp;INDEX($I$2:$N$8,MAX(1,$MQ51),MAX(1,$NU51))&amp;" · "&amp;CHOOSE(MAX(1,$NU51),"Leve","Média","Pesada","Leve · Livre","Média · Livre","Pesada · Livre")))</f>
        <v/>
      </c>
      <c r="QO51" s="155">
        <f>IF(OR($NB51=0,$MZ51=""),"",IF($MQ51=0,"não devolve","+"&amp;IF($OG51=1,CEILING($MQ51/2,1),$MQ51)))</f>
        <v/>
      </c>
      <c r="QP51" s="155">
        <f>IF(OR($NB51=0,$NA51=""),"",IF($MQ51=0,"não devolve","+"&amp;IF($OH51=1,CEILING($MQ51/2,1),$MQ51)))</f>
        <v/>
      </c>
    </row>
    <row r="52">
      <c r="AV52" s="153" t="inlineStr">
        <is>
          <t>Ecoa</t>
        </is>
      </c>
      <c r="AW52" s="153" t="inlineStr">
        <is>
          <t>Auxiliares</t>
        </is>
      </c>
      <c r="AX52" s="155" t="n">
        <v>2</v>
      </c>
      <c r="AY52" s="155" t="n">
        <v>0</v>
      </c>
      <c r="AZ52" s="155" t="n">
        <v>0</v>
      </c>
      <c r="BA52" s="155" t="n">
        <v>0</v>
      </c>
      <c r="JR52" s="155">
        <f>IF(OR($AW52="",COUNTIF($EJ$2:$EN$2,$AW52)&gt;0),$AV52,"")</f>
        <v/>
      </c>
      <c r="JS52" s="155">
        <f>IF(AND($AX52=1,OR($AW52="",COUNTIF($EJ$2:$EN$2,$AW52)&gt;0)),$AV52,"")</f>
        <v/>
      </c>
      <c r="JX52" s="155">
        <f>IF(OR($AW52="",COUNTIF($EJ$3:$EN$3,$AW52)&gt;0),$AV52,"")</f>
        <v/>
      </c>
      <c r="JY52" s="155">
        <f>IF(AND($AX52=1,OR($AW52="",COUNTIF($EJ$3:$EN$3,$AW52)&gt;0)),$AV52,"")</f>
        <v/>
      </c>
      <c r="KD52" s="155">
        <f>IF(OR($AW52="",COUNTIF($EJ$4:$EN$4,$AW52)&gt;0),$AV52,"")</f>
        <v/>
      </c>
      <c r="KE52" s="155">
        <f>IF(AND($AX52=1,OR($AW52="",COUNTIF($EJ$4:$EN$4,$AW52)&gt;0)),$AV52,"")</f>
        <v/>
      </c>
      <c r="KJ52" s="155">
        <f>IF(OR($AW52="",COUNTIF($EJ$5:$EN$5,$AW52)&gt;0),$AV52,"")</f>
        <v/>
      </c>
      <c r="KK52" s="155">
        <f>IF(AND($AX52=1,OR($AW52="",COUNTIF($EJ$5:$EN$5,$AW52)&gt;0)),$AV52,"")</f>
        <v/>
      </c>
      <c r="KP52" s="155">
        <f>IF(OR($AW52="",COUNTIF($EJ$6:$EN$6,$AW52)&gt;0),$AV52,"")</f>
        <v/>
      </c>
      <c r="KQ52" s="155">
        <f>IF(AND($AX52=1,OR($AW52="",COUNTIF($EJ$6:$EN$6,$AW52)&gt;0)),$AV52,"")</f>
        <v/>
      </c>
      <c r="KV52" s="155">
        <f>IF(OR($AW52="",COUNTIF($EJ$7:$EN$7,$AW52)&gt;0),$AV52,"")</f>
        <v/>
      </c>
      <c r="KW52" s="155">
        <f>IF(AND($AX52=1,OR($AW52="",COUNTIF($EJ$7:$EN$7,$AW52)&gt;0)),$AV52,"")</f>
        <v/>
      </c>
      <c r="LB52" s="155">
        <f>IF(OR($AW52="",COUNTIF($EJ$8:$EN$8,$AW52)&gt;0),$AV52,"")</f>
        <v/>
      </c>
      <c r="LC52" s="155">
        <f>IF(AND($AX52=1,OR($AW52="",COUNTIF($EJ$8:$EN$8,$AW52)&gt;0)),$AV52,"")</f>
        <v/>
      </c>
      <c r="LH52" s="155">
        <f>IF(OR($AW52="",COUNTIF($EJ$9:$EN$9,$AW52)&gt;0),$AV52,"")</f>
        <v/>
      </c>
      <c r="LI52" s="155">
        <f>IF(AND($AX52=1,OR($AW52="",COUNTIF($EJ$9:$EN$9,$AW52)&gt;0)),$AV52,"")</f>
        <v/>
      </c>
      <c r="LN52" s="155">
        <f>IF(OR($AW52="",COUNTIF($EJ$10:$EN$10,$AW52)&gt;0),$AV52,"")</f>
        <v/>
      </c>
      <c r="LO52" s="155">
        <f>IF(AND($AX52=1,OR($AW52="",COUNTIF($EJ$10:$EN$10,$AW52)&gt;0)),$AV52,"")</f>
        <v/>
      </c>
      <c r="LT52" s="155">
        <f>IF(OR($AW52="",COUNTIF($EJ$11:$EN$11,$AW52)&gt;0),$AV52,"")</f>
        <v/>
      </c>
      <c r="LU52" s="155">
        <f>IF(AND($AX52=1,OR($AW52="",COUNTIF($EJ$11:$EN$11,$AW52)&gt;0)),$AV52,"")</f>
        <v/>
      </c>
      <c r="LZ52" s="155">
        <f>IF(OR($AW52="",COUNTIF($EJ$12:$EN$12,$AW52)&gt;0),$AV52,"")</f>
        <v/>
      </c>
      <c r="MA52" s="155">
        <f>IF(AND($AX52=1,OR($AW52="",COUNTIF($EJ$12:$EN$12,$AW52)&gt;0)),$AV52,"")</f>
        <v/>
      </c>
      <c r="MF52" s="155">
        <f>IF(OR($AW52="",COUNTIF($EJ$13:$EN$13,$AW52)&gt;0),$AV52,"")</f>
        <v/>
      </c>
      <c r="MG52" s="155">
        <f>IF(AND($AX52=1,OR($AW52="",COUNTIF($EJ$13:$EN$13,$AW52)&gt;0)),$AV52,"")</f>
        <v/>
      </c>
      <c r="ML52" s="153" t="inlineStr">
        <is>
          <t>Ficha 4 · Escolha da trilha 2</t>
        </is>
      </c>
      <c r="MM52" s="155" t="n">
        <v>4</v>
      </c>
      <c r="MN52" s="155" t="n">
        <v>2</v>
      </c>
      <c r="MO52" s="155" t="n">
        <v>0</v>
      </c>
      <c r="MP52" s="153" t="inlineStr">
        <is>
          <t>ESCOLHA DA TRILHA 2</t>
        </is>
      </c>
      <c r="MQ52" s="155">
        <f>MAX(0,MIN(7,N('INVOCAÇÕES'!$O$754)))</f>
        <v/>
      </c>
      <c r="MR52" s="155">
        <f>'INVOCAÇÕES'!$P$754&amp;""</f>
        <v/>
      </c>
      <c r="MS52" s="155">
        <f>'INVOCAÇÕES'!$O$759&amp;""</f>
        <v/>
      </c>
      <c r="MT52" s="155">
        <f>'INVOCAÇÕES'!$O$760&amp;""</f>
        <v/>
      </c>
      <c r="MU52" s="155">
        <f>'INVOCAÇÕES'!$Q$760&amp;""</f>
        <v/>
      </c>
      <c r="MV52" s="155">
        <f>'INVOCAÇÕES'!$P$763&amp;""</f>
        <v/>
      </c>
      <c r="MW52" s="155">
        <f>'INVOCAÇÕES'!$P$764&amp;""</f>
        <v/>
      </c>
      <c r="MX52" s="155">
        <f>'INVOCAÇÕES'!$P$765&amp;""</f>
        <v/>
      </c>
      <c r="MY52" s="155">
        <f>'INVOCAÇÕES'!$P$766&amp;""</f>
        <v/>
      </c>
      <c r="MZ52" s="155">
        <f>'INVOCAÇÕES'!$P$767&amp;""</f>
        <v/>
      </c>
      <c r="NA52" s="155">
        <f>'INVOCAÇÕES'!$P$768&amp;""</f>
        <v/>
      </c>
      <c r="NB52" s="155">
        <f>IF($MR52&lt;&gt;"",1,0)</f>
        <v/>
      </c>
      <c r="NC52" s="155">
        <f>INDEX($FM$2:$FM$13,$MM52)</f>
        <v/>
      </c>
      <c r="ND52" s="155">
        <f>INDEX($FN$2:$FN$13,$MM52)</f>
        <v/>
      </c>
      <c r="NE52" s="155">
        <f>INDEX($FO$2:$FO$13,$MM52)</f>
        <v/>
      </c>
      <c r="NF52" s="155">
        <f>INDEX($FZ$2:$FZ$13,$MM52)</f>
        <v/>
      </c>
      <c r="NG52" s="155">
        <f>INDEX($GA$2:$GA$13,$MM52)</f>
        <v/>
      </c>
      <c r="NH52" s="155">
        <f>IFERROR(MATCH($MS52,$V$2:$V$11,0),0)</f>
        <v/>
      </c>
      <c r="NI52" s="155">
        <f>IFERROR(VLOOKUP($MV52,$AV$2:$BA$84,2,FALSE),"")</f>
        <v/>
      </c>
      <c r="NJ52" s="155">
        <f>IFERROR(VLOOKUP($MW52,$AV$2:$BA$84,2,FALSE),"")</f>
        <v/>
      </c>
      <c r="NK52" s="155">
        <f>IFERROR(VLOOKUP($MX52,$AV$2:$BA$84,2,FALSE),"")</f>
        <v/>
      </c>
      <c r="NL52" s="155">
        <f>IFERROR(VLOOKUP($MY52,$AV$2:$BA$84,2,FALSE),"")</f>
        <v/>
      </c>
      <c r="NM52" s="155">
        <f>IFERROR(VLOOKUP($MV52,$AV$2:$BA$84,3,FALSE),0)</f>
        <v/>
      </c>
      <c r="NN52" s="155">
        <f>IFERROR(VLOOKUP($MW52,$AV$2:$BA$84,3,FALSE),0)</f>
        <v/>
      </c>
      <c r="NO52" s="155">
        <f>IFERROR(VLOOKUP($MX52,$AV$2:$BA$84,3,FALSE),0)</f>
        <v/>
      </c>
      <c r="NP52" s="155">
        <f>IFERROR(VLOOKUP($MY52,$AV$2:$BA$84,3,FALSE),0)</f>
        <v/>
      </c>
      <c r="NQ52" s="155">
        <f>IF($MQ52=0,0,IF($NH52=0,0,INDEX($X$2:$X$11,$NH52)))</f>
        <v/>
      </c>
      <c r="NR52" s="155">
        <f>IF(OR($NM52=0,$MQ52=0),0,$NM52+3*IF(AND($NI52&lt;&gt;"",OR($NI52=INDEX($EJ$2:$EJ$13,$MM52),$NI52=INDEX($EK$2:$EK$13,$MM52))),1,0))</f>
        <v/>
      </c>
      <c r="NS52" s="155">
        <f>IF(OR($NN52=0,$MQ52=0),0,$NN52+3*IF(AND($NJ52&lt;&gt;"",OR($NJ52=INDEX($EJ$2:$EJ$13,$MM52),$NJ52=INDEX($EK$2:$EK$13,$MM52))),1,0))</f>
        <v/>
      </c>
      <c r="NT52" s="155">
        <f>IF(OR($NO52=0,$MQ52=0),0,$NO52+3*IF(AND($NK52&lt;&gt;"",OR($NK52=INDEX($EJ$2:$EJ$13,$MM52),$NK52=INDEX($EK$2:$EK$13,$MM52))),1,0))</f>
        <v/>
      </c>
      <c r="NU52" s="155">
        <f>IF(OR($NP52=0,$MQ52=0),0,$NP52+3*IF(AND($NL52&lt;&gt;"",OR($NL52=INDEX($EJ$2:$EJ$13,$MM52),$NL52=INDEX($EK$2:$EK$13,$MM52))),1,0))</f>
        <v/>
      </c>
      <c r="NV52" s="155">
        <f>IF($NH52=0,0,IF(INDEX($W$2:$W$11,$NH52)="",0,IF(COUNTIF(INDEX($EJ$2:$EN$13,$MM52,0),INDEX($W$2:$W$11,$NH52))=0,1,0)))</f>
        <v/>
      </c>
      <c r="NW52" s="155">
        <f>IF(OR($NM52=0,$NI52=""),0,IF(COUNTIF(INDEX($EJ$2:$EN$13,$MM52,0),$NI52)=0,1,0))</f>
        <v/>
      </c>
      <c r="NX52" s="155">
        <f>IF(OR($NN52=0,$NJ52=""),0,IF(COUNTIF(INDEX($EJ$2:$EN$13,$MM52,0),$NJ52)=0,1,0))</f>
        <v/>
      </c>
      <c r="NY52" s="155">
        <f>IF(OR($NO52=0,$NK52=""),0,IF(COUNTIF(INDEX($EJ$2:$EN$13,$MM52,0),$NK52)=0,1,0))</f>
        <v/>
      </c>
      <c r="NZ52" s="155">
        <f>IF(OR($NP52=0,$NL52=""),0,IF(COUNTIF(INDEX($EJ$2:$EN$13,$MM52,0),$NL52)=0,1,0))</f>
        <v/>
      </c>
      <c r="OA52" s="155">
        <f>IFERROR(VLOOKUP($MV52,$AV$2:$BA$84,4,FALSE),0)+IFERROR(VLOOKUP($MW52,$AV$2:$BA$84,4,FALSE),0)+IFERROR(VLOOKUP($MX52,$AV$2:$BA$84,4,FALSE),0)+IFERROR(VLOOKUP($MY52,$AV$2:$BA$84,4,FALSE),0)</f>
        <v/>
      </c>
      <c r="OB52" s="155">
        <f>IFERROR(VLOOKUP($MV52,$AV$2:$BA$84,6,FALSE),0)+IFERROR(VLOOKUP($MW52,$AV$2:$BA$84,6,FALSE),0)+IFERROR(VLOOKUP($MX52,$AV$2:$BA$84,6,FALSE),0)+IFERROR(VLOOKUP($MY52,$AV$2:$BA$84,6,FALSE),0)</f>
        <v/>
      </c>
      <c r="OC52" s="155">
        <f>TEXTJOIN(", ",TRUE,IF(IFERROR(VLOOKUP($MV52,$AV$2:$BA$84,5,FALSE),0)=1,$MV52,""),IF(IFERROR(VLOOKUP($MW52,$AV$2:$BA$84,5,FALSE),0)=1,$MW52,""),IF(IFERROR(VLOOKUP($MX52,$AV$2:$BA$84,5,FALSE),0)=1,$MX52,""),IF(IFERROR(VLOOKUP($MY52,$AV$2:$BA$84,5,FALSE),0)=1,$MY52,""))</f>
        <v/>
      </c>
      <c r="OD52" s="155">
        <f>IF($NH52=0,0,INDEX($Y$2:$Y$11,$NH52))</f>
        <v/>
      </c>
      <c r="OE52" s="155">
        <f>IF($NH52=0,0,INDEX($Z$2:$Z$11,$NH52))</f>
        <v/>
      </c>
      <c r="OF52" s="155">
        <f>IF($NH52=0,0,INDEX($AB$2:$AB$11,$NH52))</f>
        <v/>
      </c>
      <c r="OG52" s="155">
        <f>IFERROR(VLOOKUP($MZ52,$BC$2:$BG$24,3,FALSE),0)</f>
        <v/>
      </c>
      <c r="OH52" s="155">
        <f>IFERROR(VLOOKUP($NA52,$BC$2:$BG$24,3,FALSE),0)</f>
        <v/>
      </c>
      <c r="OI52" s="155">
        <f>IFERROR(VLOOKUP($MZ52,$BC$2:$BG$24,2,FALSE),"")</f>
        <v/>
      </c>
      <c r="OJ52" s="155">
        <f>IFERROR(VLOOKUP($NA52,$BC$2:$BG$24,2,FALSE),"")</f>
        <v/>
      </c>
      <c r="OK52" s="155">
        <f>COUNTIF($NQ52:$NU52,1)</f>
        <v/>
      </c>
      <c r="OL52" s="155">
        <f>COUNTIF($NQ52:$NU52,2)</f>
        <v/>
      </c>
      <c r="OM52" s="155">
        <f>COUNTIF($NQ52:$NU52,3)</f>
        <v/>
      </c>
      <c r="ON52" s="155">
        <f>COUNTIF($NQ52:$NU52,4)</f>
        <v/>
      </c>
      <c r="OO52" s="155">
        <f>COUNTIF($NQ52:$NU52,5)</f>
        <v/>
      </c>
      <c r="OP52" s="155">
        <f>COUNTIF($NQ52:$NU52,6)</f>
        <v/>
      </c>
      <c r="OQ52" s="155">
        <f>COUNTIF($OG52:$OH52,1)</f>
        <v/>
      </c>
      <c r="OR52" s="155">
        <f>COUNTIF($OG52:$OH52,2)+$OD52</f>
        <v/>
      </c>
      <c r="OS52" s="155">
        <f>COUNTIF($MV52:$MY52,"?*")</f>
        <v/>
      </c>
      <c r="OT52" s="155">
        <f>COUNTIF($MZ52:$NA52,"?*")+$OD52</f>
        <v/>
      </c>
      <c r="OU52" s="155">
        <f>IF($MQ52=0,0,SUMPRODUCT($OK52:$OP52,INDEX($I$2:$N$8,MAX(1,$MQ52),0)))</f>
        <v/>
      </c>
      <c r="OV52" s="155">
        <f>IF($MQ52=0,0,$OQ52*CEILING($MQ52/2,1)+$OR52*$MQ52)</f>
        <v/>
      </c>
      <c r="OW52" s="155">
        <f>MIN(2*$MQ52,$OV52)</f>
        <v/>
      </c>
      <c r="OX52" s="155">
        <f>MIN($OW52,$OU52)</f>
        <v/>
      </c>
      <c r="OY52" s="155">
        <f>$OW52-$OX52</f>
        <v/>
      </c>
      <c r="OZ52" s="155">
        <f>IF($MQ52=0,0,INDEX($P$2:$P$8,MAX(1,$MQ52)))</f>
        <v/>
      </c>
      <c r="PA52" s="155">
        <f>$OZ52-$OU52+$OX52</f>
        <v/>
      </c>
      <c r="PB52" s="155">
        <f>IF($MQ52=0,MAX(0,$NE52-IF($OS52&gt;0,1,0)),MAX(0,$PA52))</f>
        <v/>
      </c>
      <c r="PC52" s="155">
        <f>IF($MQ52=0,0,(IF(COUNTIF($MV52:$MY52,"Salto")&gt;0,1,0)+IF(COUNTIF($MV52:$MY52,"Queima")&gt;0,1,0)+IF(COUNTIF($MV52:$MY52,"Estilhaço")&gt;0,1,0))*FLOOR($PB52/2,1))</f>
        <v/>
      </c>
      <c r="PD52" s="155">
        <f>MAX(0,2-SUMPRODUCT($OK52:$OP52,$I$2:$N$2)+MIN(2,$OQ52*1+$OR52*1,SUMPRODUCT($OK52:$OP52,$I$2:$N$2)))</f>
        <v/>
      </c>
      <c r="PE52" s="155">
        <f>MAX(0,4-SUMPRODUCT($OK52:$OP52,$I$3:$N$3)+MIN(4,$OQ52*1+$OR52*2,SUMPRODUCT($OK52:$OP52,$I$3:$N$3)))</f>
        <v/>
      </c>
      <c r="PF52" s="155">
        <f>MAX(0,6-SUMPRODUCT($OK52:$OP52,$I$4:$N$4)+MIN(6,$OQ52*2+$OR52*3,SUMPRODUCT($OK52:$OP52,$I$4:$N$4)))</f>
        <v/>
      </c>
      <c r="PG52" s="155">
        <f>MAX(0,9-SUMPRODUCT($OK52:$OP52,$I$5:$N$5)+MIN(8,$OQ52*2+$OR52*4,SUMPRODUCT($OK52:$OP52,$I$5:$N$5)))</f>
        <v/>
      </c>
      <c r="PH52" s="155">
        <f>MAX(0,11-SUMPRODUCT($OK52:$OP52,$I$6:$N$6)+MIN(10,$OQ52*3+$OR52*5,SUMPRODUCT($OK52:$OP52,$I$6:$N$6)))</f>
        <v/>
      </c>
      <c r="PI52" s="155">
        <f>MAX(0,13-SUMPRODUCT($OK52:$OP52,$I$7:$N$7)+MIN(12,$OQ52*3+$OR52*6,SUMPRODUCT($OK52:$OP52,$I$7:$N$7)))</f>
        <v/>
      </c>
      <c r="PJ52" s="155">
        <f>MAX(0,16-SUMPRODUCT($OK52:$OP52,$I$8:$N$8)+MIN(14,$OQ52*4+$OR52*7,SUMPRODUCT($OK52:$OP52,$I$8:$N$8)))</f>
        <v/>
      </c>
      <c r="PK52" s="155">
        <f>IF($OE52=2,3*$PD52&amp;" de vida temp.",IF($OE52=3,"sem dano",IF($PD52=0,IF($OE52=1,"sem cura","sem dano"),IF($OE52=1,"cura ","")&amp;$PD52&amp;"d8")))</f>
        <v/>
      </c>
      <c r="PL52" s="155">
        <f>IF($OE52=2,3*$PE52&amp;" de vida temp.",IF($OE52=3,"sem dano",IF($PE52=0,IF($OE52=1,"sem cura","sem dano"),IF($OE52=1,"cura ","")&amp;$PE52&amp;"d8")))</f>
        <v/>
      </c>
      <c r="PM52" s="155">
        <f>IF($OE52=2,3*$PF52&amp;" de vida temp.",IF($OE52=3,"sem dano",IF($PF52=0,IF($OE52=1,"sem cura","sem dano"),IF($OE52=1,"cura ","")&amp;$PF52&amp;"d8")))</f>
        <v/>
      </c>
      <c r="PN52" s="155">
        <f>IF($OE52=2,3*$PG52&amp;" de vida temp.",IF($OE52=3,"sem dano",IF($PG52=0,IF($OE52=1,"sem cura","sem dano"),IF($OE52=1,"cura ","")&amp;$PG52&amp;"d8")))</f>
        <v/>
      </c>
      <c r="PO52" s="155">
        <f>IF($OE52=2,3*$PH52&amp;" de vida temp.",IF($OE52=3,"sem dano",IF($PH52=0,IF($OE52=1,"sem cura","sem dano"),IF($OE52=1,"cura ","")&amp;$PH52&amp;"d8")))</f>
        <v/>
      </c>
      <c r="PP52" s="155">
        <f>IF($OE52=2,3*$PI52&amp;" de vida temp.",IF($OE52=3,"sem dano",IF($PI52=0,IF($OE52=1,"sem cura","sem dano"),IF($OE52=1,"cura ","")&amp;$PI52&amp;"d8")))</f>
        <v/>
      </c>
      <c r="PQ52" s="155">
        <f>IF($OE52=2,3*$PJ52&amp;" de vida temp.",IF($OE52=3,"sem dano",IF($PJ52=0,IF($OE52=1,"sem cura","sem dano"),IF($OE52=1,"cura ","")&amp;$PJ52&amp;"d8")))</f>
        <v/>
      </c>
      <c r="PR52" s="155">
        <f>IF($NB52=0,"",TEXTJOIN(" · ",TRUE,IF($MO52&gt;$NC52,"Este lugar abre no nível "&amp;$MO52,""),IF($MQ52&gt;$ND52,"Classe "&amp;$MQ52&amp;": o nível "&amp;$NC52&amp;" libera até a "&amp;$ND52,""),IF($NV52=1,"A Forma "&amp;$MS52&amp;" pede "&amp;INDEX($W$2:$W$11,$NH52)&amp;" aberta",""),IF(AND($MQ52=0,$NH52&gt;0,IF($NH52=0,0,INDEX($AF$2:$AF$11,$NH52))=0),$MS52&amp;" não existe na Classe 0",""),IF($NW52=1,"Família Fechada: "&amp;$MV52,""),IF($NX52=1,"Família Fechada: "&amp;$MW52,""),IF($NY52=1,"Família Fechada: "&amp;$MX52,""),IF($NZ52=1,"Família Fechada: "&amp;$MY52,""),IF(AND($MQ52&gt;0,$OS52&gt;INDEX($O$2:$O$8,MAX(1,$MQ52))),$OS52&amp;" Melhorias: a Classe "&amp;$MQ52&amp;" aceita "&amp;INDEX($O$2:$O$8,MAX(1,$MQ52)),""),IF(AND($MQ52=0,$OS52&gt;1),"A básica aceita uma Melhoria",""),IF(AND($MQ52=0,COUNTIF($NM52:$NP52,"&gt;1")&gt;0),"A básica só aceita Melhoria Leve",""),IF(AND($MQ52&gt;0,$OT52&gt;2),$OT52&amp;" Restrições"&amp;IF($OD52=1,", contando a que a Forma "&amp;$MS52&amp;" já traz","")&amp;": o limite é 2",""),IF(AND($MQ52=0,COUNTIF($MZ52:$NA52,"?*")&gt;1),"A básica aceita uma Restrição Leve",""),IF(AND($MQ52=0,COUNTIF($OG52:$OH52,2)&gt;0),"A básica só aceita Restrição Leve",""),IF(AND($MQ52&gt;0,$PA52&lt;0),"Orçamento estourado: faltam "&amp;(-$PA52)&amp;IF($PA52&lt;-1," pontos"," ponto"),""),IF(IFERROR(VLOOKUP($MZ52,$BC$2:$BG$24,4,FALSE),0)+IFERROR(VLOOKUP($NA52,$BC$2:$BG$24,4,FALSE),0)&gt;1,$OI52&amp;" e "&amp;$OJ52&amp;" são as duas de frequência",""),IF(AND((COUNTIF($MV52:$MY52,"Rápido")+COUNTIF($OI52:$OJ52,"Rápido"))&gt;0,(COUNTIF($MV52:$MY52,"Atrasar")+COUNTIF($OI52:$OJ52,"Atrasar"))&gt;0),"Rápido não entra com Atrasar",""),IF(AND((COUNTIF($MV52:$MY52,"Reação")+COUNTIF($OI52:$OJ52,"Reação"))&gt;0,(COUNTIF($MV52:$MY52,"Rápido")+COUNTIF($OI52:$OJ52,"Rápido"))&gt;0),"Reação não entra com Rápido",""),IF(AND((COUNTIF($MV52:$MY52,"Reação")+COUNTIF($OI52:$OJ52,"Reação"))&gt;0,(COUNTIF($MV52:$MY52,"Armado")+COUNTIF($OI52:$OJ52,"Armado"))&gt;0),"Reação não entra com Armado",""),IF(AND((COUNTIF($MV52:$MY52,"Reação")+COUNTIF($OI52:$OJ52,"Reação"))&gt;0,(COUNTIF($MV52:$MY52,"Atrasar")+COUNTIF($OI52:$OJ52,"Atrasar"))&gt;0),"Reação não entra com Atrasar",""),IF(AND((COUNTIF($MV52:$MY52,"Reação")+COUNTIF($OI52:$OJ52,"Reação"))&gt;0,(COUNTIF($MV52:$MY52,"Parado")+COUNTIF($OI52:$OJ52,"Parado"))&gt;0),"Reação não entra com Parado",""),IF(AND((COUNTIF($MV52:$MY52,"Atrasar")+COUNTIF($OI52:$OJ52,"Atrasar"))&gt;0,(COUNTIF($MV52:$MY52,"Parado")+COUNTIF($OI52:$OJ52,"Parado"))&gt;0),"Atrasar não entra com Parado",""),IF(AND((COUNTIF($MV52:$MY52,"Armado")+COUNTIF($OI52:$OJ52,"Armado"))&gt;0,(COUNTIF($MV52:$MY52,"Carregar")+COUNTIF($OI52:$OJ52,"Carregar"))&gt;0),"Armado não entra com Carregar",""),IF(AND(COUNTIF($OI52:$OJ52,"Corpo a Corpo")&gt;0,$OD52=0,OR($MS52="Cone",$MS52="Linha")),"Corpo a Corpo não entra em "&amp;$MS52,""),IF(AND(COUNTIF($OI52:$OJ52,"Corpo a Corpo")&gt;0,$OD52=1),"A Forma "&amp;$MS52&amp;" já traz o Corpo a Corpo",""),IF(AND(COUNTIF($OI52:$OJ52,"Tudo ou Nada")&gt;0,$OF52=0),"Tudo ou Nada só entra em habilidade de Teste de Resistência",""),IF(AND(COUNTIF($MV52:$MY52,"Inescapável")&gt;0,OR($OS52&gt;1,$OT52&gt;0)),"Inescapável não aceita outra peça",""),IF(AND($MQ52&gt;0,$PB52*IF(COUNTIF($MV52:$MY52,"Remate")&gt;0,1.25,1)+$PC52&gt;4*$MQ52),($PB52*IF(COUNTIF($MV52:$MY52,"Remate")&gt;0,1.25,1)+$PC52)&amp;" dados somando repetições"&amp;IF(COUNTIF($MV52:$MY52,"Remate")&gt;0," e o Remate","")&amp;": o teto da Classe "&amp;$MQ52&amp;" é "&amp;4*$MQ52,"")))</f>
        <v/>
      </c>
      <c r="PS52" s="155">
        <f>IF($PR52="",0,(LEN($PR52)-LEN(SUBSTITUTE($PR52," · ","")))/3+1)</f>
        <v/>
      </c>
      <c r="PT52" s="155">
        <f>IF($NB52=0,"",TEXTJOIN(" · ",TRUE,IF($OV52&gt;2*$MQ52,"A devolução parou no teto de "&amp;2*$MQ52,""),IF($OY52&gt;0,"Devolução perdida: "&amp;$OY52&amp;IF($OY52&gt;1," pontos"," ponto")&amp;" sem peça para pagar",""),IF(AND($OA52&gt;0,AND($MQ52&gt;0,$OE52=0),$PB52=0),"Controle sem dano: uma rodada a mais e CD +2",""),IF(AND($OA52&gt;0,AND($MQ52&gt;0,$OE52=0),$PB52&gt;0,$PB52&lt;=$MQ52),"Controle com saldo até a Classe: uma rodada a mais",""),IF(AND($MQ52&gt;0,$OC52&lt;&gt;""),"Efeito de "&amp;$OC52&amp;" pela Classe "&amp;MAX(1,$MQ52-1),"")))</f>
        <v/>
      </c>
      <c r="PU52" s="155">
        <f>IF($PT52="",0,(LEN($PT52)-LEN(SUBSTITUTE($PT52," · ","")))/3+1)</f>
        <v/>
      </c>
      <c r="PV52" s="155">
        <f>IF($NB52=0,IF($OS52+COUNTIF($MZ52:$NA52,"?*")&gt;0,"Dê um nome",""),IF($PS52&gt;0,"⚠ "&amp;$PS52&amp;IF($PS52&gt;1," erros"," erro"),IF($PU52&gt;0,"! "&amp;$PU52&amp;IF($PU52&gt;1," avisos"," aviso"),"Na regra")))</f>
        <v/>
      </c>
      <c r="PW52" s="155">
        <f>IF($NB52=0,"",IF($PS52+$PU52=0,"Dentro das regras que a ficha confere",$PR52&amp;IF(AND($PS52&gt;0,$PU52&gt;0)," · ","")&amp;$PT52))</f>
        <v/>
      </c>
      <c r="PX52" s="155">
        <f>IF($MO52&gt;$NC52,$MP52&amp;" · ABRE NO NÍVEL "&amp;$MO52,$MP52)</f>
        <v/>
      </c>
      <c r="PY52" s="155">
        <f>IF($NB52=0,"",IF($MQ52=0,"Sem PE",3*$MQ52&amp;" PE"))</f>
        <v/>
      </c>
      <c r="PZ52" s="155">
        <f>IF($NB52=0,"",IF($MQ52=0,"A atuação básica dela",IF(COUNTIF($OI52:$OJ52,"Atrasar")&gt;0,"Sua Ação Completa",IF(COUNTIF($MV52:$MY52,"Rápido")&gt;0,"Sua Bônus",IF(COUNTIF($MV52:$MY52,"Reação")&gt;0,"Sua Reação","Sua Padrão")))&amp;" + a básica dela"&amp;IF(COUNTIF($MV52:$MY52,"Reação")&gt;0," e a coletiva","")&amp;IF(COUNTIF($OI52:$OJ52,"Carregar")&gt;0," · em dois turnos","")))</f>
        <v/>
      </c>
      <c r="QA52" s="155">
        <f>IF($MU52&lt;&gt;"",$MU52,IF($NH52=0,"",INDEX($AA$2:$AA$11,$NH52)))</f>
        <v/>
      </c>
      <c r="QB52" s="155">
        <f>IF(OR($NB52=0,$NH52=0),"",IF(COUNTIF($MV52:$MY52,"Inescapável")&gt;0,"Automático",IF($QA52="Ataque",IF($NF52="","Ataque","Ataque "&amp;IF(($NF52+2*IF(COUNTIF($MV52:$MY52,"Precisão")&gt;0,1,0))&gt;=0,"+","−")&amp;ABS(($NF52+2*IF(COUNTIF($MV52:$MY52,"Precisão")&gt;0,1,0))))&amp;IF($OB52&gt;0," · TR"&amp;IF($NG52="",""," CD "&amp;$NG52),""),IF(LEFT($QA52,2)="TR",$QA52&amp;IF($NG52="",""," · CD "&amp;$NG52)&amp;IF(COUNTIF($MV52:$MY52,"Certeiro")&gt;0," · metade",""),"Sem rolagem"))))</f>
        <v/>
      </c>
      <c r="QC52" s="155">
        <f>IF(OR($NB52=0,$NH52=0),"",IF($MQ52=0,IF(OR($OE52&gt;=1,$PB52=0),"Sem dano",$PB52&amp;"d6"&amp;IF($MT52="",""," "&amp;$MT52)),IF(OR($OE52&gt;=1,$PB52=0),UPPER(LEFT(INDEX($PK52:$PQ52,1,MAX(1,$MQ52)),1))&amp;MID(INDEX($PK52:$PQ52,1,MAX(1,$MQ52)),2,99),UPPER(LEFT(INDEX($PK52:$PQ52,1,MAX(1,$MQ52)),1))&amp;MID(INDEX($PK52:$PQ52,1,MAX(1,$MQ52)),2,99)&amp;IF($MT52="",""," "&amp;$MT52)&amp;IF($PC52&gt;0," · +"&amp;$PC52&amp;"d8",""))))</f>
        <v/>
      </c>
      <c r="QD52" s="155">
        <f>COUNTIF($MV52:$MY52,"Longe")+3*COUNTIF($MV52:$MY52,"Muito Longe")</f>
        <v/>
      </c>
      <c r="QE52" s="155">
        <f>COUNTIF($MV52:$MY52,"Maior")+3*COUNTIF($MV52:$MY52,"Muito Maior")</f>
        <v/>
      </c>
      <c r="QF52" s="155">
        <f>IF($NH52=0,0,CHOOSE(1+INDEX($AC$2:$AC$11,$NH52),0,$QD52,$QE52,$QD52+$QE52))</f>
        <v/>
      </c>
      <c r="QG52" s="155">
        <f>IF($NH52=0,0,CHOOSE(1+INDEX($AD$2:$AD$11,$NH52),0,$QD52,$QE52,$QD52+$QE52))</f>
        <v/>
      </c>
      <c r="QH52" s="155">
        <f>IF(OR($NB52=0,$NH52=0),"",INDEX($AI$2:$AN$41,($NH52-1)*4+IF($MQ52=0,1,IF($MQ52&lt;=5,2,IF($MQ52=6,3,4))),1+MIN(5,$QF52))&amp;INDEX($AO$2:$AT$41,($NH52-1)*4+IF($MQ52=0,1,IF($MQ52&lt;=5,2,IF($MQ52=6,3,4))),1+MIN(5,$QG52))&amp;IF(INDEX($AE$2:$AE$11,$NH52)=1,IF(COUNTIF($MV52:$MY52,"Mais Um")&gt;0," · +"&amp;COUNTIF($MV52:$MY52,"Mais Um")&amp;IF(COUNTIF($MV52:$MY52,"Mais Um")&gt;1," alvos"," alvo"),"")&amp;IF(COUNTIF($MV52:$MY52,"Rajada")&gt;0,IF($MQ52=0," · 1 tiro"," · "&amp;(MAX(1,$MQ52-1)+1)&amp;" tiros"),""),""))</f>
        <v/>
      </c>
      <c r="QI52" s="155">
        <f>IF($NB52=0,"",IF($MQ52=0,$NE52&amp;"d6"&amp;IF($OS52&gt;0," − 1 = "&amp;$PB52&amp;"d6"," da básica do nível "&amp;$NC52),$OZ52&amp;" − "&amp;$OU52&amp;" + "&amp;$OX52&amp;" = "&amp;$PA52&amp;" · teto "&amp;4*$MQ52&amp;"d8"&amp;IF($OD52=1," · a Forma devolve "&amp;$MQ52,"")&amp;IF($OY52&gt;0," · perde "&amp;$OY52,"")))</f>
        <v/>
      </c>
      <c r="QJ52" s="155">
        <f>IF($NB52=0,"",IF($MQ52=0,"A básica não amplia: os dados dela sobem com o nível",IF($MQ52&gt;=$ND52,"Já está na maior Classe que o nível liberou",TEXTJOIN(" · ",TRUE,IF(AND(2&gt;$MQ52,2&lt;=$ND52),"2 → "&amp;$PL52&amp;", 6 PE",""),IF(AND(3&gt;$MQ52,3&lt;=$ND52),"3 → "&amp;$PM52&amp;", 9 PE",""),IF(AND(4&gt;$MQ52,4&lt;=$ND52),"4 → "&amp;$PN52&amp;", 12 PE",""),IF(AND(5&gt;$MQ52,5&lt;=$ND52),"5 → "&amp;$PO52&amp;", 15 PE",""),IF(AND(6&gt;$MQ52,6&lt;=$ND52),"6 → "&amp;$PP52&amp;", 18 PE",""),IF(AND(7&gt;$MQ52,7&lt;=$ND52),"7 → "&amp;$PQ52&amp;", 21 PE","")))))</f>
        <v/>
      </c>
      <c r="QK52" s="155">
        <f>IF(OR($NB52=0,$NM52=0),"",IF($MQ52=0,"−1 dado","−"&amp;INDEX($I$2:$N$8,MAX(1,$MQ52),MAX(1,$NR52))&amp;" · "&amp;CHOOSE(MAX(1,$NR52),"Leve","Média","Pesada","Leve · Livre","Média · Livre","Pesada · Livre")))</f>
        <v/>
      </c>
      <c r="QL52" s="155">
        <f>IF(OR($NB52=0,$NN52=0),"",IF($MQ52=0,"−1 dado","−"&amp;INDEX($I$2:$N$8,MAX(1,$MQ52),MAX(1,$NS52))&amp;" · "&amp;CHOOSE(MAX(1,$NS52),"Leve","Média","Pesada","Leve · Livre","Média · Livre","Pesada · Livre")))</f>
        <v/>
      </c>
      <c r="QM52" s="155">
        <f>IF(OR($NB52=0,$NO52=0),"",IF($MQ52=0,"−1 dado","−"&amp;INDEX($I$2:$N$8,MAX(1,$MQ52),MAX(1,$NT52))&amp;" · "&amp;CHOOSE(MAX(1,$NT52),"Leve","Média","Pesada","Leve · Livre","Média · Livre","Pesada · Livre")))</f>
        <v/>
      </c>
      <c r="QN52" s="155">
        <f>IF(OR($NB52=0,$NP52=0),"",IF($MQ52=0,"−1 dado","−"&amp;INDEX($I$2:$N$8,MAX(1,$MQ52),MAX(1,$NU52))&amp;" · "&amp;CHOOSE(MAX(1,$NU52),"Leve","Média","Pesada","Leve · Livre","Média · Livre","Pesada · Livre")))</f>
        <v/>
      </c>
      <c r="QO52" s="155">
        <f>IF(OR($NB52=0,$MZ52=""),"",IF($MQ52=0,"não devolve","+"&amp;IF($OG52=1,CEILING($MQ52/2,1),$MQ52)))</f>
        <v/>
      </c>
      <c r="QP52" s="155">
        <f>IF(OR($NB52=0,$NA52=""),"",IF($MQ52=0,"não devolve","+"&amp;IF($OH52=1,CEILING($MQ52/2,1),$MQ52)))</f>
        <v/>
      </c>
    </row>
    <row r="53">
      <c r="AV53" s="153" t="inlineStr">
        <is>
          <t>Queima</t>
        </is>
      </c>
      <c r="AW53" s="153" t="inlineStr">
        <is>
          <t>Castigo</t>
        </is>
      </c>
      <c r="AX53" s="155" t="n">
        <v>2</v>
      </c>
      <c r="AY53" s="155" t="n">
        <v>0</v>
      </c>
      <c r="AZ53" s="155" t="n">
        <v>0</v>
      </c>
      <c r="BA53" s="155" t="n">
        <v>0</v>
      </c>
      <c r="JR53" s="155">
        <f>IF(OR($AW53="",COUNTIF($EJ$2:$EN$2,$AW53)&gt;0),$AV53,"")</f>
        <v/>
      </c>
      <c r="JS53" s="155">
        <f>IF(AND($AX53=1,OR($AW53="",COUNTIF($EJ$2:$EN$2,$AW53)&gt;0)),$AV53,"")</f>
        <v/>
      </c>
      <c r="JX53" s="155">
        <f>IF(OR($AW53="",COUNTIF($EJ$3:$EN$3,$AW53)&gt;0),$AV53,"")</f>
        <v/>
      </c>
      <c r="JY53" s="155">
        <f>IF(AND($AX53=1,OR($AW53="",COUNTIF($EJ$3:$EN$3,$AW53)&gt;0)),$AV53,"")</f>
        <v/>
      </c>
      <c r="KD53" s="155">
        <f>IF(OR($AW53="",COUNTIF($EJ$4:$EN$4,$AW53)&gt;0),$AV53,"")</f>
        <v/>
      </c>
      <c r="KE53" s="155">
        <f>IF(AND($AX53=1,OR($AW53="",COUNTIF($EJ$4:$EN$4,$AW53)&gt;0)),$AV53,"")</f>
        <v/>
      </c>
      <c r="KJ53" s="155">
        <f>IF(OR($AW53="",COUNTIF($EJ$5:$EN$5,$AW53)&gt;0),$AV53,"")</f>
        <v/>
      </c>
      <c r="KK53" s="155">
        <f>IF(AND($AX53=1,OR($AW53="",COUNTIF($EJ$5:$EN$5,$AW53)&gt;0)),$AV53,"")</f>
        <v/>
      </c>
      <c r="KP53" s="155">
        <f>IF(OR($AW53="",COUNTIF($EJ$6:$EN$6,$AW53)&gt;0),$AV53,"")</f>
        <v/>
      </c>
      <c r="KQ53" s="155">
        <f>IF(AND($AX53=1,OR($AW53="",COUNTIF($EJ$6:$EN$6,$AW53)&gt;0)),$AV53,"")</f>
        <v/>
      </c>
      <c r="KV53" s="155">
        <f>IF(OR($AW53="",COUNTIF($EJ$7:$EN$7,$AW53)&gt;0),$AV53,"")</f>
        <v/>
      </c>
      <c r="KW53" s="155">
        <f>IF(AND($AX53=1,OR($AW53="",COUNTIF($EJ$7:$EN$7,$AW53)&gt;0)),$AV53,"")</f>
        <v/>
      </c>
      <c r="LB53" s="155">
        <f>IF(OR($AW53="",COUNTIF($EJ$8:$EN$8,$AW53)&gt;0),$AV53,"")</f>
        <v/>
      </c>
      <c r="LC53" s="155">
        <f>IF(AND($AX53=1,OR($AW53="",COUNTIF($EJ$8:$EN$8,$AW53)&gt;0)),$AV53,"")</f>
        <v/>
      </c>
      <c r="LH53" s="155">
        <f>IF(OR($AW53="",COUNTIF($EJ$9:$EN$9,$AW53)&gt;0),$AV53,"")</f>
        <v/>
      </c>
      <c r="LI53" s="155">
        <f>IF(AND($AX53=1,OR($AW53="",COUNTIF($EJ$9:$EN$9,$AW53)&gt;0)),$AV53,"")</f>
        <v/>
      </c>
      <c r="LN53" s="155">
        <f>IF(OR($AW53="",COUNTIF($EJ$10:$EN$10,$AW53)&gt;0),$AV53,"")</f>
        <v/>
      </c>
      <c r="LO53" s="155">
        <f>IF(AND($AX53=1,OR($AW53="",COUNTIF($EJ$10:$EN$10,$AW53)&gt;0)),$AV53,"")</f>
        <v/>
      </c>
      <c r="LT53" s="155">
        <f>IF(OR($AW53="",COUNTIF($EJ$11:$EN$11,$AW53)&gt;0),$AV53,"")</f>
        <v/>
      </c>
      <c r="LU53" s="155">
        <f>IF(AND($AX53=1,OR($AW53="",COUNTIF($EJ$11:$EN$11,$AW53)&gt;0)),$AV53,"")</f>
        <v/>
      </c>
      <c r="LZ53" s="155">
        <f>IF(OR($AW53="",COUNTIF($EJ$12:$EN$12,$AW53)&gt;0),$AV53,"")</f>
        <v/>
      </c>
      <c r="MA53" s="155">
        <f>IF(AND($AX53=1,OR($AW53="",COUNTIF($EJ$12:$EN$12,$AW53)&gt;0)),$AV53,"")</f>
        <v/>
      </c>
      <c r="MF53" s="155">
        <f>IF(OR($AW53="",COUNTIF($EJ$13:$EN$13,$AW53)&gt;0),$AV53,"")</f>
        <v/>
      </c>
      <c r="MG53" s="155">
        <f>IF(AND($AX53=1,OR($AW53="",COUNTIF($EJ$13:$EN$13,$AW53)&gt;0)),$AV53,"")</f>
        <v/>
      </c>
      <c r="ML53" s="153" t="inlineStr">
        <is>
          <t>Ficha 4 · Escolha da trilha 3</t>
        </is>
      </c>
      <c r="MM53" s="155" t="n">
        <v>4</v>
      </c>
      <c r="MN53" s="155" t="n">
        <v>2</v>
      </c>
      <c r="MO53" s="155" t="n">
        <v>0</v>
      </c>
      <c r="MP53" s="153" t="inlineStr">
        <is>
          <t>ESCOLHA DA TRILHA 3</t>
        </is>
      </c>
      <c r="MQ53" s="155">
        <f>MAX(0,MIN(7,N('INVOCAÇÕES'!$U$754)))</f>
        <v/>
      </c>
      <c r="MR53" s="155">
        <f>'INVOCAÇÕES'!$V$754&amp;""</f>
        <v/>
      </c>
      <c r="MS53" s="155">
        <f>'INVOCAÇÕES'!$U$759&amp;""</f>
        <v/>
      </c>
      <c r="MT53" s="155">
        <f>'INVOCAÇÕES'!$U$760&amp;""</f>
        <v/>
      </c>
      <c r="MU53" s="155">
        <f>'INVOCAÇÕES'!$W$760&amp;""</f>
        <v/>
      </c>
      <c r="MV53" s="155">
        <f>'INVOCAÇÕES'!$V$763&amp;""</f>
        <v/>
      </c>
      <c r="MW53" s="155">
        <f>'INVOCAÇÕES'!$V$764&amp;""</f>
        <v/>
      </c>
      <c r="MX53" s="155">
        <f>'INVOCAÇÕES'!$V$765&amp;""</f>
        <v/>
      </c>
      <c r="MY53" s="155">
        <f>'INVOCAÇÕES'!$V$766&amp;""</f>
        <v/>
      </c>
      <c r="MZ53" s="155">
        <f>'INVOCAÇÕES'!$V$767&amp;""</f>
        <v/>
      </c>
      <c r="NA53" s="155">
        <f>'INVOCAÇÕES'!$V$768&amp;""</f>
        <v/>
      </c>
      <c r="NB53" s="155">
        <f>IF($MR53&lt;&gt;"",1,0)</f>
        <v/>
      </c>
      <c r="NC53" s="155">
        <f>INDEX($FM$2:$FM$13,$MM53)</f>
        <v/>
      </c>
      <c r="ND53" s="155">
        <f>INDEX($FN$2:$FN$13,$MM53)</f>
        <v/>
      </c>
      <c r="NE53" s="155">
        <f>INDEX($FO$2:$FO$13,$MM53)</f>
        <v/>
      </c>
      <c r="NF53" s="155">
        <f>INDEX($FZ$2:$FZ$13,$MM53)</f>
        <v/>
      </c>
      <c r="NG53" s="155">
        <f>INDEX($GA$2:$GA$13,$MM53)</f>
        <v/>
      </c>
      <c r="NH53" s="155">
        <f>IFERROR(MATCH($MS53,$V$2:$V$11,0),0)</f>
        <v/>
      </c>
      <c r="NI53" s="155">
        <f>IFERROR(VLOOKUP($MV53,$AV$2:$BA$84,2,FALSE),"")</f>
        <v/>
      </c>
      <c r="NJ53" s="155">
        <f>IFERROR(VLOOKUP($MW53,$AV$2:$BA$84,2,FALSE),"")</f>
        <v/>
      </c>
      <c r="NK53" s="155">
        <f>IFERROR(VLOOKUP($MX53,$AV$2:$BA$84,2,FALSE),"")</f>
        <v/>
      </c>
      <c r="NL53" s="155">
        <f>IFERROR(VLOOKUP($MY53,$AV$2:$BA$84,2,FALSE),"")</f>
        <v/>
      </c>
      <c r="NM53" s="155">
        <f>IFERROR(VLOOKUP($MV53,$AV$2:$BA$84,3,FALSE),0)</f>
        <v/>
      </c>
      <c r="NN53" s="155">
        <f>IFERROR(VLOOKUP($MW53,$AV$2:$BA$84,3,FALSE),0)</f>
        <v/>
      </c>
      <c r="NO53" s="155">
        <f>IFERROR(VLOOKUP($MX53,$AV$2:$BA$84,3,FALSE),0)</f>
        <v/>
      </c>
      <c r="NP53" s="155">
        <f>IFERROR(VLOOKUP($MY53,$AV$2:$BA$84,3,FALSE),0)</f>
        <v/>
      </c>
      <c r="NQ53" s="155">
        <f>IF($MQ53=0,0,IF($NH53=0,0,INDEX($X$2:$X$11,$NH53)))</f>
        <v/>
      </c>
      <c r="NR53" s="155">
        <f>IF(OR($NM53=0,$MQ53=0),0,$NM53+3*IF(AND($NI53&lt;&gt;"",OR($NI53=INDEX($EJ$2:$EJ$13,$MM53),$NI53=INDEX($EK$2:$EK$13,$MM53))),1,0))</f>
        <v/>
      </c>
      <c r="NS53" s="155">
        <f>IF(OR($NN53=0,$MQ53=0),0,$NN53+3*IF(AND($NJ53&lt;&gt;"",OR($NJ53=INDEX($EJ$2:$EJ$13,$MM53),$NJ53=INDEX($EK$2:$EK$13,$MM53))),1,0))</f>
        <v/>
      </c>
      <c r="NT53" s="155">
        <f>IF(OR($NO53=0,$MQ53=0),0,$NO53+3*IF(AND($NK53&lt;&gt;"",OR($NK53=INDEX($EJ$2:$EJ$13,$MM53),$NK53=INDEX($EK$2:$EK$13,$MM53))),1,0))</f>
        <v/>
      </c>
      <c r="NU53" s="155">
        <f>IF(OR($NP53=0,$MQ53=0),0,$NP53+3*IF(AND($NL53&lt;&gt;"",OR($NL53=INDEX($EJ$2:$EJ$13,$MM53),$NL53=INDEX($EK$2:$EK$13,$MM53))),1,0))</f>
        <v/>
      </c>
      <c r="NV53" s="155">
        <f>IF($NH53=0,0,IF(INDEX($W$2:$W$11,$NH53)="",0,IF(COUNTIF(INDEX($EJ$2:$EN$13,$MM53,0),INDEX($W$2:$W$11,$NH53))=0,1,0)))</f>
        <v/>
      </c>
      <c r="NW53" s="155">
        <f>IF(OR($NM53=0,$NI53=""),0,IF(COUNTIF(INDEX($EJ$2:$EN$13,$MM53,0),$NI53)=0,1,0))</f>
        <v/>
      </c>
      <c r="NX53" s="155">
        <f>IF(OR($NN53=0,$NJ53=""),0,IF(COUNTIF(INDEX($EJ$2:$EN$13,$MM53,0),$NJ53)=0,1,0))</f>
        <v/>
      </c>
      <c r="NY53" s="155">
        <f>IF(OR($NO53=0,$NK53=""),0,IF(COUNTIF(INDEX($EJ$2:$EN$13,$MM53,0),$NK53)=0,1,0))</f>
        <v/>
      </c>
      <c r="NZ53" s="155">
        <f>IF(OR($NP53=0,$NL53=""),0,IF(COUNTIF(INDEX($EJ$2:$EN$13,$MM53,0),$NL53)=0,1,0))</f>
        <v/>
      </c>
      <c r="OA53" s="155">
        <f>IFERROR(VLOOKUP($MV53,$AV$2:$BA$84,4,FALSE),0)+IFERROR(VLOOKUP($MW53,$AV$2:$BA$84,4,FALSE),0)+IFERROR(VLOOKUP($MX53,$AV$2:$BA$84,4,FALSE),0)+IFERROR(VLOOKUP($MY53,$AV$2:$BA$84,4,FALSE),0)</f>
        <v/>
      </c>
      <c r="OB53" s="155">
        <f>IFERROR(VLOOKUP($MV53,$AV$2:$BA$84,6,FALSE),0)+IFERROR(VLOOKUP($MW53,$AV$2:$BA$84,6,FALSE),0)+IFERROR(VLOOKUP($MX53,$AV$2:$BA$84,6,FALSE),0)+IFERROR(VLOOKUP($MY53,$AV$2:$BA$84,6,FALSE),0)</f>
        <v/>
      </c>
      <c r="OC53" s="155">
        <f>TEXTJOIN(", ",TRUE,IF(IFERROR(VLOOKUP($MV53,$AV$2:$BA$84,5,FALSE),0)=1,$MV53,""),IF(IFERROR(VLOOKUP($MW53,$AV$2:$BA$84,5,FALSE),0)=1,$MW53,""),IF(IFERROR(VLOOKUP($MX53,$AV$2:$BA$84,5,FALSE),0)=1,$MX53,""),IF(IFERROR(VLOOKUP($MY53,$AV$2:$BA$84,5,FALSE),0)=1,$MY53,""))</f>
        <v/>
      </c>
      <c r="OD53" s="155">
        <f>IF($NH53=0,0,INDEX($Y$2:$Y$11,$NH53))</f>
        <v/>
      </c>
      <c r="OE53" s="155">
        <f>IF($NH53=0,0,INDEX($Z$2:$Z$11,$NH53))</f>
        <v/>
      </c>
      <c r="OF53" s="155">
        <f>IF($NH53=0,0,INDEX($AB$2:$AB$11,$NH53))</f>
        <v/>
      </c>
      <c r="OG53" s="155">
        <f>IFERROR(VLOOKUP($MZ53,$BC$2:$BG$24,3,FALSE),0)</f>
        <v/>
      </c>
      <c r="OH53" s="155">
        <f>IFERROR(VLOOKUP($NA53,$BC$2:$BG$24,3,FALSE),0)</f>
        <v/>
      </c>
      <c r="OI53" s="155">
        <f>IFERROR(VLOOKUP($MZ53,$BC$2:$BG$24,2,FALSE),"")</f>
        <v/>
      </c>
      <c r="OJ53" s="155">
        <f>IFERROR(VLOOKUP($NA53,$BC$2:$BG$24,2,FALSE),"")</f>
        <v/>
      </c>
      <c r="OK53" s="155">
        <f>COUNTIF($NQ53:$NU53,1)</f>
        <v/>
      </c>
      <c r="OL53" s="155">
        <f>COUNTIF($NQ53:$NU53,2)</f>
        <v/>
      </c>
      <c r="OM53" s="155">
        <f>COUNTIF($NQ53:$NU53,3)</f>
        <v/>
      </c>
      <c r="ON53" s="155">
        <f>COUNTIF($NQ53:$NU53,4)</f>
        <v/>
      </c>
      <c r="OO53" s="155">
        <f>COUNTIF($NQ53:$NU53,5)</f>
        <v/>
      </c>
      <c r="OP53" s="155">
        <f>COUNTIF($NQ53:$NU53,6)</f>
        <v/>
      </c>
      <c r="OQ53" s="155">
        <f>COUNTIF($OG53:$OH53,1)</f>
        <v/>
      </c>
      <c r="OR53" s="155">
        <f>COUNTIF($OG53:$OH53,2)+$OD53</f>
        <v/>
      </c>
      <c r="OS53" s="155">
        <f>COUNTIF($MV53:$MY53,"?*")</f>
        <v/>
      </c>
      <c r="OT53" s="155">
        <f>COUNTIF($MZ53:$NA53,"?*")+$OD53</f>
        <v/>
      </c>
      <c r="OU53" s="155">
        <f>IF($MQ53=0,0,SUMPRODUCT($OK53:$OP53,INDEX($I$2:$N$8,MAX(1,$MQ53),0)))</f>
        <v/>
      </c>
      <c r="OV53" s="155">
        <f>IF($MQ53=0,0,$OQ53*CEILING($MQ53/2,1)+$OR53*$MQ53)</f>
        <v/>
      </c>
      <c r="OW53" s="155">
        <f>MIN(2*$MQ53,$OV53)</f>
        <v/>
      </c>
      <c r="OX53" s="155">
        <f>MIN($OW53,$OU53)</f>
        <v/>
      </c>
      <c r="OY53" s="155">
        <f>$OW53-$OX53</f>
        <v/>
      </c>
      <c r="OZ53" s="155">
        <f>IF($MQ53=0,0,INDEX($P$2:$P$8,MAX(1,$MQ53)))</f>
        <v/>
      </c>
      <c r="PA53" s="155">
        <f>$OZ53-$OU53+$OX53</f>
        <v/>
      </c>
      <c r="PB53" s="155">
        <f>IF($MQ53=0,MAX(0,$NE53-IF($OS53&gt;0,1,0)),MAX(0,$PA53))</f>
        <v/>
      </c>
      <c r="PC53" s="155">
        <f>IF($MQ53=0,0,(IF(COUNTIF($MV53:$MY53,"Salto")&gt;0,1,0)+IF(COUNTIF($MV53:$MY53,"Queima")&gt;0,1,0)+IF(COUNTIF($MV53:$MY53,"Estilhaço")&gt;0,1,0))*FLOOR($PB53/2,1))</f>
        <v/>
      </c>
      <c r="PD53" s="155">
        <f>MAX(0,2-SUMPRODUCT($OK53:$OP53,$I$2:$N$2)+MIN(2,$OQ53*1+$OR53*1,SUMPRODUCT($OK53:$OP53,$I$2:$N$2)))</f>
        <v/>
      </c>
      <c r="PE53" s="155">
        <f>MAX(0,4-SUMPRODUCT($OK53:$OP53,$I$3:$N$3)+MIN(4,$OQ53*1+$OR53*2,SUMPRODUCT($OK53:$OP53,$I$3:$N$3)))</f>
        <v/>
      </c>
      <c r="PF53" s="155">
        <f>MAX(0,6-SUMPRODUCT($OK53:$OP53,$I$4:$N$4)+MIN(6,$OQ53*2+$OR53*3,SUMPRODUCT($OK53:$OP53,$I$4:$N$4)))</f>
        <v/>
      </c>
      <c r="PG53" s="155">
        <f>MAX(0,9-SUMPRODUCT($OK53:$OP53,$I$5:$N$5)+MIN(8,$OQ53*2+$OR53*4,SUMPRODUCT($OK53:$OP53,$I$5:$N$5)))</f>
        <v/>
      </c>
      <c r="PH53" s="155">
        <f>MAX(0,11-SUMPRODUCT($OK53:$OP53,$I$6:$N$6)+MIN(10,$OQ53*3+$OR53*5,SUMPRODUCT($OK53:$OP53,$I$6:$N$6)))</f>
        <v/>
      </c>
      <c r="PI53" s="155">
        <f>MAX(0,13-SUMPRODUCT($OK53:$OP53,$I$7:$N$7)+MIN(12,$OQ53*3+$OR53*6,SUMPRODUCT($OK53:$OP53,$I$7:$N$7)))</f>
        <v/>
      </c>
      <c r="PJ53" s="155">
        <f>MAX(0,16-SUMPRODUCT($OK53:$OP53,$I$8:$N$8)+MIN(14,$OQ53*4+$OR53*7,SUMPRODUCT($OK53:$OP53,$I$8:$N$8)))</f>
        <v/>
      </c>
      <c r="PK53" s="155">
        <f>IF($OE53=2,3*$PD53&amp;" de vida temp.",IF($OE53=3,"sem dano",IF($PD53=0,IF($OE53=1,"sem cura","sem dano"),IF($OE53=1,"cura ","")&amp;$PD53&amp;"d8")))</f>
        <v/>
      </c>
      <c r="PL53" s="155">
        <f>IF($OE53=2,3*$PE53&amp;" de vida temp.",IF($OE53=3,"sem dano",IF($PE53=0,IF($OE53=1,"sem cura","sem dano"),IF($OE53=1,"cura ","")&amp;$PE53&amp;"d8")))</f>
        <v/>
      </c>
      <c r="PM53" s="155">
        <f>IF($OE53=2,3*$PF53&amp;" de vida temp.",IF($OE53=3,"sem dano",IF($PF53=0,IF($OE53=1,"sem cura","sem dano"),IF($OE53=1,"cura ","")&amp;$PF53&amp;"d8")))</f>
        <v/>
      </c>
      <c r="PN53" s="155">
        <f>IF($OE53=2,3*$PG53&amp;" de vida temp.",IF($OE53=3,"sem dano",IF($PG53=0,IF($OE53=1,"sem cura","sem dano"),IF($OE53=1,"cura ","")&amp;$PG53&amp;"d8")))</f>
        <v/>
      </c>
      <c r="PO53" s="155">
        <f>IF($OE53=2,3*$PH53&amp;" de vida temp.",IF($OE53=3,"sem dano",IF($PH53=0,IF($OE53=1,"sem cura","sem dano"),IF($OE53=1,"cura ","")&amp;$PH53&amp;"d8")))</f>
        <v/>
      </c>
      <c r="PP53" s="155">
        <f>IF($OE53=2,3*$PI53&amp;" de vida temp.",IF($OE53=3,"sem dano",IF($PI53=0,IF($OE53=1,"sem cura","sem dano"),IF($OE53=1,"cura ","")&amp;$PI53&amp;"d8")))</f>
        <v/>
      </c>
      <c r="PQ53" s="155">
        <f>IF($OE53=2,3*$PJ53&amp;" de vida temp.",IF($OE53=3,"sem dano",IF($PJ53=0,IF($OE53=1,"sem cura","sem dano"),IF($OE53=1,"cura ","")&amp;$PJ53&amp;"d8")))</f>
        <v/>
      </c>
      <c r="PR53" s="155">
        <f>IF($NB53=0,"",TEXTJOIN(" · ",TRUE,IF($MO53&gt;$NC53,"Este lugar abre no nível "&amp;$MO53,""),IF($MQ53&gt;$ND53,"Classe "&amp;$MQ53&amp;": o nível "&amp;$NC53&amp;" libera até a "&amp;$ND53,""),IF($NV53=1,"A Forma "&amp;$MS53&amp;" pede "&amp;INDEX($W$2:$W$11,$NH53)&amp;" aberta",""),IF(AND($MQ53=0,$NH53&gt;0,IF($NH53=0,0,INDEX($AF$2:$AF$11,$NH53))=0),$MS53&amp;" não existe na Classe 0",""),IF($NW53=1,"Família Fechada: "&amp;$MV53,""),IF($NX53=1,"Família Fechada: "&amp;$MW53,""),IF($NY53=1,"Família Fechada: "&amp;$MX53,""),IF($NZ53=1,"Família Fechada: "&amp;$MY53,""),IF(AND($MQ53&gt;0,$OS53&gt;INDEX($O$2:$O$8,MAX(1,$MQ53))),$OS53&amp;" Melhorias: a Classe "&amp;$MQ53&amp;" aceita "&amp;INDEX($O$2:$O$8,MAX(1,$MQ53)),""),IF(AND($MQ53=0,$OS53&gt;1),"A básica aceita uma Melhoria",""),IF(AND($MQ53=0,COUNTIF($NM53:$NP53,"&gt;1")&gt;0),"A básica só aceita Melhoria Leve",""),IF(AND($MQ53&gt;0,$OT53&gt;2),$OT53&amp;" Restrições"&amp;IF($OD53=1,", contando a que a Forma "&amp;$MS53&amp;" já traz","")&amp;": o limite é 2",""),IF(AND($MQ53=0,COUNTIF($MZ53:$NA53,"?*")&gt;1),"A básica aceita uma Restrição Leve",""),IF(AND($MQ53=0,COUNTIF($OG53:$OH53,2)&gt;0),"A básica só aceita Restrição Leve",""),IF(AND($MQ53&gt;0,$PA53&lt;0),"Orçamento estourado: faltam "&amp;(-$PA53)&amp;IF($PA53&lt;-1," pontos"," ponto"),""),IF(IFERROR(VLOOKUP($MZ53,$BC$2:$BG$24,4,FALSE),0)+IFERROR(VLOOKUP($NA53,$BC$2:$BG$24,4,FALSE),0)&gt;1,$OI53&amp;" e "&amp;$OJ53&amp;" são as duas de frequência",""),IF(AND((COUNTIF($MV53:$MY53,"Rápido")+COUNTIF($OI53:$OJ53,"Rápido"))&gt;0,(COUNTIF($MV53:$MY53,"Atrasar")+COUNTIF($OI53:$OJ53,"Atrasar"))&gt;0),"Rápido não entra com Atrasar",""),IF(AND((COUNTIF($MV53:$MY53,"Reação")+COUNTIF($OI53:$OJ53,"Reação"))&gt;0,(COUNTIF($MV53:$MY53,"Rápido")+COUNTIF($OI53:$OJ53,"Rápido"))&gt;0),"Reação não entra com Rápido",""),IF(AND((COUNTIF($MV53:$MY53,"Reação")+COUNTIF($OI53:$OJ53,"Reação"))&gt;0,(COUNTIF($MV53:$MY53,"Armado")+COUNTIF($OI53:$OJ53,"Armado"))&gt;0),"Reação não entra com Armado",""),IF(AND((COUNTIF($MV53:$MY53,"Reação")+COUNTIF($OI53:$OJ53,"Reação"))&gt;0,(COUNTIF($MV53:$MY53,"Atrasar")+COUNTIF($OI53:$OJ53,"Atrasar"))&gt;0),"Reação não entra com Atrasar",""),IF(AND((COUNTIF($MV53:$MY53,"Reação")+COUNTIF($OI53:$OJ53,"Reação"))&gt;0,(COUNTIF($MV53:$MY53,"Parado")+COUNTIF($OI53:$OJ53,"Parado"))&gt;0),"Reação não entra com Parado",""),IF(AND((COUNTIF($MV53:$MY53,"Atrasar")+COUNTIF($OI53:$OJ53,"Atrasar"))&gt;0,(COUNTIF($MV53:$MY53,"Parado")+COUNTIF($OI53:$OJ53,"Parado"))&gt;0),"Atrasar não entra com Parado",""),IF(AND((COUNTIF($MV53:$MY53,"Armado")+COUNTIF($OI53:$OJ53,"Armado"))&gt;0,(COUNTIF($MV53:$MY53,"Carregar")+COUNTIF($OI53:$OJ53,"Carregar"))&gt;0),"Armado não entra com Carregar",""),IF(AND(COUNTIF($OI53:$OJ53,"Corpo a Corpo")&gt;0,$OD53=0,OR($MS53="Cone",$MS53="Linha")),"Corpo a Corpo não entra em "&amp;$MS53,""),IF(AND(COUNTIF($OI53:$OJ53,"Corpo a Corpo")&gt;0,$OD53=1),"A Forma "&amp;$MS53&amp;" já traz o Corpo a Corpo",""),IF(AND(COUNTIF($OI53:$OJ53,"Tudo ou Nada")&gt;0,$OF53=0),"Tudo ou Nada só entra em habilidade de Teste de Resistência",""),IF(AND(COUNTIF($MV53:$MY53,"Inescapável")&gt;0,OR($OS53&gt;1,$OT53&gt;0)),"Inescapável não aceita outra peça",""),IF(AND($MQ53&gt;0,$PB53*IF(COUNTIF($MV53:$MY53,"Remate")&gt;0,1.25,1)+$PC53&gt;4*$MQ53),($PB53*IF(COUNTIF($MV53:$MY53,"Remate")&gt;0,1.25,1)+$PC53)&amp;" dados somando repetições"&amp;IF(COUNTIF($MV53:$MY53,"Remate")&gt;0," e o Remate","")&amp;": o teto da Classe "&amp;$MQ53&amp;" é "&amp;4*$MQ53,"")))</f>
        <v/>
      </c>
      <c r="PS53" s="155">
        <f>IF($PR53="",0,(LEN($PR53)-LEN(SUBSTITUTE($PR53," · ","")))/3+1)</f>
        <v/>
      </c>
      <c r="PT53" s="155">
        <f>IF($NB53=0,"",TEXTJOIN(" · ",TRUE,IF($OV53&gt;2*$MQ53,"A devolução parou no teto de "&amp;2*$MQ53,""),IF($OY53&gt;0,"Devolução perdida: "&amp;$OY53&amp;IF($OY53&gt;1," pontos"," ponto")&amp;" sem peça para pagar",""),IF(AND($OA53&gt;0,AND($MQ53&gt;0,$OE53=0),$PB53=0),"Controle sem dano: uma rodada a mais e CD +2",""),IF(AND($OA53&gt;0,AND($MQ53&gt;0,$OE53=0),$PB53&gt;0,$PB53&lt;=$MQ53),"Controle com saldo até a Classe: uma rodada a mais",""),IF(AND($MQ53&gt;0,$OC53&lt;&gt;""),"Efeito de "&amp;$OC53&amp;" pela Classe "&amp;MAX(1,$MQ53-1),"")))</f>
        <v/>
      </c>
      <c r="PU53" s="155">
        <f>IF($PT53="",0,(LEN($PT53)-LEN(SUBSTITUTE($PT53," · ","")))/3+1)</f>
        <v/>
      </c>
      <c r="PV53" s="155">
        <f>IF($NB53=0,IF($OS53+COUNTIF($MZ53:$NA53,"?*")&gt;0,"Dê um nome",""),IF($PS53&gt;0,"⚠ "&amp;$PS53&amp;IF($PS53&gt;1," erros"," erro"),IF($PU53&gt;0,"! "&amp;$PU53&amp;IF($PU53&gt;1," avisos"," aviso"),"Na regra")))</f>
        <v/>
      </c>
      <c r="PW53" s="155">
        <f>IF($NB53=0,"",IF($PS53+$PU53=0,"Dentro das regras que a ficha confere",$PR53&amp;IF(AND($PS53&gt;0,$PU53&gt;0)," · ","")&amp;$PT53))</f>
        <v/>
      </c>
      <c r="PX53" s="155">
        <f>IF($MO53&gt;$NC53,$MP53&amp;" · ABRE NO NÍVEL "&amp;$MO53,$MP53)</f>
        <v/>
      </c>
      <c r="PY53" s="155">
        <f>IF($NB53=0,"",IF($MQ53=0,"Sem PE",3*$MQ53&amp;" PE"))</f>
        <v/>
      </c>
      <c r="PZ53" s="155">
        <f>IF($NB53=0,"",IF($MQ53=0,"A atuação básica dela",IF(COUNTIF($OI53:$OJ53,"Atrasar")&gt;0,"Sua Ação Completa",IF(COUNTIF($MV53:$MY53,"Rápido")&gt;0,"Sua Bônus",IF(COUNTIF($MV53:$MY53,"Reação")&gt;0,"Sua Reação","Sua Padrão")))&amp;" + a básica dela"&amp;IF(COUNTIF($MV53:$MY53,"Reação")&gt;0," e a coletiva","")&amp;IF(COUNTIF($OI53:$OJ53,"Carregar")&gt;0," · em dois turnos","")))</f>
        <v/>
      </c>
      <c r="QA53" s="155">
        <f>IF($MU53&lt;&gt;"",$MU53,IF($NH53=0,"",INDEX($AA$2:$AA$11,$NH53)))</f>
        <v/>
      </c>
      <c r="QB53" s="155">
        <f>IF(OR($NB53=0,$NH53=0),"",IF(COUNTIF($MV53:$MY53,"Inescapável")&gt;0,"Automático",IF($QA53="Ataque",IF($NF53="","Ataque","Ataque "&amp;IF(($NF53+2*IF(COUNTIF($MV53:$MY53,"Precisão")&gt;0,1,0))&gt;=0,"+","−")&amp;ABS(($NF53+2*IF(COUNTIF($MV53:$MY53,"Precisão")&gt;0,1,0))))&amp;IF($OB53&gt;0," · TR"&amp;IF($NG53="",""," CD "&amp;$NG53),""),IF(LEFT($QA53,2)="TR",$QA53&amp;IF($NG53="",""," · CD "&amp;$NG53)&amp;IF(COUNTIF($MV53:$MY53,"Certeiro")&gt;0," · metade",""),"Sem rolagem"))))</f>
        <v/>
      </c>
      <c r="QC53" s="155">
        <f>IF(OR($NB53=0,$NH53=0),"",IF($MQ53=0,IF(OR($OE53&gt;=1,$PB53=0),"Sem dano",$PB53&amp;"d6"&amp;IF($MT53="",""," "&amp;$MT53)),IF(OR($OE53&gt;=1,$PB53=0),UPPER(LEFT(INDEX($PK53:$PQ53,1,MAX(1,$MQ53)),1))&amp;MID(INDEX($PK53:$PQ53,1,MAX(1,$MQ53)),2,99),UPPER(LEFT(INDEX($PK53:$PQ53,1,MAX(1,$MQ53)),1))&amp;MID(INDEX($PK53:$PQ53,1,MAX(1,$MQ53)),2,99)&amp;IF($MT53="",""," "&amp;$MT53)&amp;IF($PC53&gt;0," · +"&amp;$PC53&amp;"d8",""))))</f>
        <v/>
      </c>
      <c r="QD53" s="155">
        <f>COUNTIF($MV53:$MY53,"Longe")+3*COUNTIF($MV53:$MY53,"Muito Longe")</f>
        <v/>
      </c>
      <c r="QE53" s="155">
        <f>COUNTIF($MV53:$MY53,"Maior")+3*COUNTIF($MV53:$MY53,"Muito Maior")</f>
        <v/>
      </c>
      <c r="QF53" s="155">
        <f>IF($NH53=0,0,CHOOSE(1+INDEX($AC$2:$AC$11,$NH53),0,$QD53,$QE53,$QD53+$QE53))</f>
        <v/>
      </c>
      <c r="QG53" s="155">
        <f>IF($NH53=0,0,CHOOSE(1+INDEX($AD$2:$AD$11,$NH53),0,$QD53,$QE53,$QD53+$QE53))</f>
        <v/>
      </c>
      <c r="QH53" s="155">
        <f>IF(OR($NB53=0,$NH53=0),"",INDEX($AI$2:$AN$41,($NH53-1)*4+IF($MQ53=0,1,IF($MQ53&lt;=5,2,IF($MQ53=6,3,4))),1+MIN(5,$QF53))&amp;INDEX($AO$2:$AT$41,($NH53-1)*4+IF($MQ53=0,1,IF($MQ53&lt;=5,2,IF($MQ53=6,3,4))),1+MIN(5,$QG53))&amp;IF(INDEX($AE$2:$AE$11,$NH53)=1,IF(COUNTIF($MV53:$MY53,"Mais Um")&gt;0," · +"&amp;COUNTIF($MV53:$MY53,"Mais Um")&amp;IF(COUNTIF($MV53:$MY53,"Mais Um")&gt;1," alvos"," alvo"),"")&amp;IF(COUNTIF($MV53:$MY53,"Rajada")&gt;0,IF($MQ53=0," · 1 tiro"," · "&amp;(MAX(1,$MQ53-1)+1)&amp;" tiros"),""),""))</f>
        <v/>
      </c>
      <c r="QI53" s="155">
        <f>IF($NB53=0,"",IF($MQ53=0,$NE53&amp;"d6"&amp;IF($OS53&gt;0," − 1 = "&amp;$PB53&amp;"d6"," da básica do nível "&amp;$NC53),$OZ53&amp;" − "&amp;$OU53&amp;" + "&amp;$OX53&amp;" = "&amp;$PA53&amp;" · teto "&amp;4*$MQ53&amp;"d8"&amp;IF($OD53=1," · a Forma devolve "&amp;$MQ53,"")&amp;IF($OY53&gt;0," · perde "&amp;$OY53,"")))</f>
        <v/>
      </c>
      <c r="QJ53" s="155">
        <f>IF($NB53=0,"",IF($MQ53=0,"A básica não amplia: os dados dela sobem com o nível",IF($MQ53&gt;=$ND53,"Já está na maior Classe que o nível liberou",TEXTJOIN(" · ",TRUE,IF(AND(2&gt;$MQ53,2&lt;=$ND53),"2 → "&amp;$PL53&amp;", 6 PE",""),IF(AND(3&gt;$MQ53,3&lt;=$ND53),"3 → "&amp;$PM53&amp;", 9 PE",""),IF(AND(4&gt;$MQ53,4&lt;=$ND53),"4 → "&amp;$PN53&amp;", 12 PE",""),IF(AND(5&gt;$MQ53,5&lt;=$ND53),"5 → "&amp;$PO53&amp;", 15 PE",""),IF(AND(6&gt;$MQ53,6&lt;=$ND53),"6 → "&amp;$PP53&amp;", 18 PE",""),IF(AND(7&gt;$MQ53,7&lt;=$ND53),"7 → "&amp;$PQ53&amp;", 21 PE","")))))</f>
        <v/>
      </c>
      <c r="QK53" s="155">
        <f>IF(OR($NB53=0,$NM53=0),"",IF($MQ53=0,"−1 dado","−"&amp;INDEX($I$2:$N$8,MAX(1,$MQ53),MAX(1,$NR53))&amp;" · "&amp;CHOOSE(MAX(1,$NR53),"Leve","Média","Pesada","Leve · Livre","Média · Livre","Pesada · Livre")))</f>
        <v/>
      </c>
      <c r="QL53" s="155">
        <f>IF(OR($NB53=0,$NN53=0),"",IF($MQ53=0,"−1 dado","−"&amp;INDEX($I$2:$N$8,MAX(1,$MQ53),MAX(1,$NS53))&amp;" · "&amp;CHOOSE(MAX(1,$NS53),"Leve","Média","Pesada","Leve · Livre","Média · Livre","Pesada · Livre")))</f>
        <v/>
      </c>
      <c r="QM53" s="155">
        <f>IF(OR($NB53=0,$NO53=0),"",IF($MQ53=0,"−1 dado","−"&amp;INDEX($I$2:$N$8,MAX(1,$MQ53),MAX(1,$NT53))&amp;" · "&amp;CHOOSE(MAX(1,$NT53),"Leve","Média","Pesada","Leve · Livre","Média · Livre","Pesada · Livre")))</f>
        <v/>
      </c>
      <c r="QN53" s="155">
        <f>IF(OR($NB53=0,$NP53=0),"",IF($MQ53=0,"−1 dado","−"&amp;INDEX($I$2:$N$8,MAX(1,$MQ53),MAX(1,$NU53))&amp;" · "&amp;CHOOSE(MAX(1,$NU53),"Leve","Média","Pesada","Leve · Livre","Média · Livre","Pesada · Livre")))</f>
        <v/>
      </c>
      <c r="QO53" s="155">
        <f>IF(OR($NB53=0,$MZ53=""),"",IF($MQ53=0,"não devolve","+"&amp;IF($OG53=1,CEILING($MQ53/2,1),$MQ53)))</f>
        <v/>
      </c>
      <c r="QP53" s="155">
        <f>IF(OR($NB53=0,$NA53=""),"",IF($MQ53=0,"não devolve","+"&amp;IF($OH53=1,CEILING($MQ53/2,1),$MQ53)))</f>
        <v/>
      </c>
    </row>
    <row r="54">
      <c r="AV54" s="153" t="inlineStr">
        <is>
          <t>Acúmulo</t>
        </is>
      </c>
      <c r="AW54" s="153" t="inlineStr">
        <is>
          <t>Castigo</t>
        </is>
      </c>
      <c r="AX54" s="155" t="n">
        <v>2</v>
      </c>
      <c r="AY54" s="155" t="n">
        <v>0</v>
      </c>
      <c r="AZ54" s="155" t="n">
        <v>0</v>
      </c>
      <c r="BA54" s="155" t="n">
        <v>0</v>
      </c>
      <c r="JR54" s="155">
        <f>IF(OR($AW54="",COUNTIF($EJ$2:$EN$2,$AW54)&gt;0),$AV54,"")</f>
        <v/>
      </c>
      <c r="JS54" s="155">
        <f>IF(AND($AX54=1,OR($AW54="",COUNTIF($EJ$2:$EN$2,$AW54)&gt;0)),$AV54,"")</f>
        <v/>
      </c>
      <c r="JX54" s="155">
        <f>IF(OR($AW54="",COUNTIF($EJ$3:$EN$3,$AW54)&gt;0),$AV54,"")</f>
        <v/>
      </c>
      <c r="JY54" s="155">
        <f>IF(AND($AX54=1,OR($AW54="",COUNTIF($EJ$3:$EN$3,$AW54)&gt;0)),$AV54,"")</f>
        <v/>
      </c>
      <c r="KD54" s="155">
        <f>IF(OR($AW54="",COUNTIF($EJ$4:$EN$4,$AW54)&gt;0),$AV54,"")</f>
        <v/>
      </c>
      <c r="KE54" s="155">
        <f>IF(AND($AX54=1,OR($AW54="",COUNTIF($EJ$4:$EN$4,$AW54)&gt;0)),$AV54,"")</f>
        <v/>
      </c>
      <c r="KJ54" s="155">
        <f>IF(OR($AW54="",COUNTIF($EJ$5:$EN$5,$AW54)&gt;0),$AV54,"")</f>
        <v/>
      </c>
      <c r="KK54" s="155">
        <f>IF(AND($AX54=1,OR($AW54="",COUNTIF($EJ$5:$EN$5,$AW54)&gt;0)),$AV54,"")</f>
        <v/>
      </c>
      <c r="KP54" s="155">
        <f>IF(OR($AW54="",COUNTIF($EJ$6:$EN$6,$AW54)&gt;0),$AV54,"")</f>
        <v/>
      </c>
      <c r="KQ54" s="155">
        <f>IF(AND($AX54=1,OR($AW54="",COUNTIF($EJ$6:$EN$6,$AW54)&gt;0)),$AV54,"")</f>
        <v/>
      </c>
      <c r="KV54" s="155">
        <f>IF(OR($AW54="",COUNTIF($EJ$7:$EN$7,$AW54)&gt;0),$AV54,"")</f>
        <v/>
      </c>
      <c r="KW54" s="155">
        <f>IF(AND($AX54=1,OR($AW54="",COUNTIF($EJ$7:$EN$7,$AW54)&gt;0)),$AV54,"")</f>
        <v/>
      </c>
      <c r="LB54" s="155">
        <f>IF(OR($AW54="",COUNTIF($EJ$8:$EN$8,$AW54)&gt;0),$AV54,"")</f>
        <v/>
      </c>
      <c r="LC54" s="155">
        <f>IF(AND($AX54=1,OR($AW54="",COUNTIF($EJ$8:$EN$8,$AW54)&gt;0)),$AV54,"")</f>
        <v/>
      </c>
      <c r="LH54" s="155">
        <f>IF(OR($AW54="",COUNTIF($EJ$9:$EN$9,$AW54)&gt;0),$AV54,"")</f>
        <v/>
      </c>
      <c r="LI54" s="155">
        <f>IF(AND($AX54=1,OR($AW54="",COUNTIF($EJ$9:$EN$9,$AW54)&gt;0)),$AV54,"")</f>
        <v/>
      </c>
      <c r="LN54" s="155">
        <f>IF(OR($AW54="",COUNTIF($EJ$10:$EN$10,$AW54)&gt;0),$AV54,"")</f>
        <v/>
      </c>
      <c r="LO54" s="155">
        <f>IF(AND($AX54=1,OR($AW54="",COUNTIF($EJ$10:$EN$10,$AW54)&gt;0)),$AV54,"")</f>
        <v/>
      </c>
      <c r="LT54" s="155">
        <f>IF(OR($AW54="",COUNTIF($EJ$11:$EN$11,$AW54)&gt;0),$AV54,"")</f>
        <v/>
      </c>
      <c r="LU54" s="155">
        <f>IF(AND($AX54=1,OR($AW54="",COUNTIF($EJ$11:$EN$11,$AW54)&gt;0)),$AV54,"")</f>
        <v/>
      </c>
      <c r="LZ54" s="155">
        <f>IF(OR($AW54="",COUNTIF($EJ$12:$EN$12,$AW54)&gt;0),$AV54,"")</f>
        <v/>
      </c>
      <c r="MA54" s="155">
        <f>IF(AND($AX54=1,OR($AW54="",COUNTIF($EJ$12:$EN$12,$AW54)&gt;0)),$AV54,"")</f>
        <v/>
      </c>
      <c r="MF54" s="155">
        <f>IF(OR($AW54="",COUNTIF($EJ$13:$EN$13,$AW54)&gt;0),$AV54,"")</f>
        <v/>
      </c>
      <c r="MG54" s="155">
        <f>IF(AND($AX54=1,OR($AW54="",COUNTIF($EJ$13:$EN$13,$AW54)&gt;0)),$AV54,"")</f>
        <v/>
      </c>
      <c r="ML54" s="153" t="inlineStr">
        <is>
          <t>Ficha 5 · Básica 1</t>
        </is>
      </c>
      <c r="MM54" s="155" t="n">
        <v>5</v>
      </c>
      <c r="MN54" s="155" t="n">
        <v>0</v>
      </c>
      <c r="MO54" s="155" t="n">
        <v>1</v>
      </c>
      <c r="MP54" s="153" t="inlineStr">
        <is>
          <t>BÁSICA 1</t>
        </is>
      </c>
      <c r="MQ54" s="155" t="n">
        <v>0</v>
      </c>
      <c r="MR54" s="155">
        <f>'INVOCAÇÕES'!$J$850&amp;""</f>
        <v/>
      </c>
      <c r="MS54" s="155">
        <f>'INVOCAÇÕES'!$I$855&amp;""</f>
        <v/>
      </c>
      <c r="MT54" s="155">
        <f>'INVOCAÇÕES'!$I$856&amp;""</f>
        <v/>
      </c>
      <c r="MU54" s="155">
        <f>'INVOCAÇÕES'!$K$856&amp;""</f>
        <v/>
      </c>
      <c r="MV54" s="155">
        <f>'INVOCAÇÕES'!$J$859&amp;""</f>
        <v/>
      </c>
      <c r="MW54" s="155">
        <f>'INVOCAÇÕES'!$J$860&amp;""</f>
        <v/>
      </c>
      <c r="MX54" s="155">
        <f>'INVOCAÇÕES'!$J$861&amp;""</f>
        <v/>
      </c>
      <c r="MY54" s="155">
        <f>'INVOCAÇÕES'!$J$862&amp;""</f>
        <v/>
      </c>
      <c r="MZ54" s="155">
        <f>'INVOCAÇÕES'!$J$863&amp;""</f>
        <v/>
      </c>
      <c r="NA54" s="155">
        <f>'INVOCAÇÕES'!$J$864&amp;""</f>
        <v/>
      </c>
      <c r="NB54" s="155">
        <f>IF($MR54&lt;&gt;"",1,0)</f>
        <v/>
      </c>
      <c r="NC54" s="155">
        <f>INDEX($FM$2:$FM$13,$MM54)</f>
        <v/>
      </c>
      <c r="ND54" s="155">
        <f>INDEX($FN$2:$FN$13,$MM54)</f>
        <v/>
      </c>
      <c r="NE54" s="155">
        <f>INDEX($FO$2:$FO$13,$MM54)</f>
        <v/>
      </c>
      <c r="NF54" s="155">
        <f>INDEX($FZ$2:$FZ$13,$MM54)</f>
        <v/>
      </c>
      <c r="NG54" s="155">
        <f>INDEX($GA$2:$GA$13,$MM54)</f>
        <v/>
      </c>
      <c r="NH54" s="155">
        <f>IFERROR(MATCH($MS54,$V$2:$V$11,0),0)</f>
        <v/>
      </c>
      <c r="NI54" s="155">
        <f>IFERROR(VLOOKUP($MV54,$AV$2:$BA$84,2,FALSE),"")</f>
        <v/>
      </c>
      <c r="NJ54" s="155">
        <f>IFERROR(VLOOKUP($MW54,$AV$2:$BA$84,2,FALSE),"")</f>
        <v/>
      </c>
      <c r="NK54" s="155">
        <f>IFERROR(VLOOKUP($MX54,$AV$2:$BA$84,2,FALSE),"")</f>
        <v/>
      </c>
      <c r="NL54" s="155">
        <f>IFERROR(VLOOKUP($MY54,$AV$2:$BA$84,2,FALSE),"")</f>
        <v/>
      </c>
      <c r="NM54" s="155">
        <f>IFERROR(VLOOKUP($MV54,$AV$2:$BA$84,3,FALSE),0)</f>
        <v/>
      </c>
      <c r="NN54" s="155">
        <f>IFERROR(VLOOKUP($MW54,$AV$2:$BA$84,3,FALSE),0)</f>
        <v/>
      </c>
      <c r="NO54" s="155">
        <f>IFERROR(VLOOKUP($MX54,$AV$2:$BA$84,3,FALSE),0)</f>
        <v/>
      </c>
      <c r="NP54" s="155">
        <f>IFERROR(VLOOKUP($MY54,$AV$2:$BA$84,3,FALSE),0)</f>
        <v/>
      </c>
      <c r="NQ54" s="155">
        <f>IF($MQ54=0,0,IF($NH54=0,0,INDEX($X$2:$X$11,$NH54)))</f>
        <v/>
      </c>
      <c r="NR54" s="155">
        <f>IF(OR($NM54=0,$MQ54=0),0,$NM54+3*IF(AND($NI54&lt;&gt;"",OR($NI54=INDEX($EJ$2:$EJ$13,$MM54),$NI54=INDEX($EK$2:$EK$13,$MM54))),1,0))</f>
        <v/>
      </c>
      <c r="NS54" s="155">
        <f>IF(OR($NN54=0,$MQ54=0),0,$NN54+3*IF(AND($NJ54&lt;&gt;"",OR($NJ54=INDEX($EJ$2:$EJ$13,$MM54),$NJ54=INDEX($EK$2:$EK$13,$MM54))),1,0))</f>
        <v/>
      </c>
      <c r="NT54" s="155">
        <f>IF(OR($NO54=0,$MQ54=0),0,$NO54+3*IF(AND($NK54&lt;&gt;"",OR($NK54=INDEX($EJ$2:$EJ$13,$MM54),$NK54=INDEX($EK$2:$EK$13,$MM54))),1,0))</f>
        <v/>
      </c>
      <c r="NU54" s="155">
        <f>IF(OR($NP54=0,$MQ54=0),0,$NP54+3*IF(AND($NL54&lt;&gt;"",OR($NL54=INDEX($EJ$2:$EJ$13,$MM54),$NL54=INDEX($EK$2:$EK$13,$MM54))),1,0))</f>
        <v/>
      </c>
      <c r="NV54" s="155">
        <f>IF($NH54=0,0,IF(INDEX($W$2:$W$11,$NH54)="",0,IF(COUNTIF(INDEX($EJ$2:$EN$13,$MM54,0),INDEX($W$2:$W$11,$NH54))=0,1,0)))</f>
        <v/>
      </c>
      <c r="NW54" s="155">
        <f>IF(OR($NM54=0,$NI54=""),0,IF(COUNTIF(INDEX($EJ$2:$EN$13,$MM54,0),$NI54)=0,1,0))</f>
        <v/>
      </c>
      <c r="NX54" s="155">
        <f>IF(OR($NN54=0,$NJ54=""),0,IF(COUNTIF(INDEX($EJ$2:$EN$13,$MM54,0),$NJ54)=0,1,0))</f>
        <v/>
      </c>
      <c r="NY54" s="155">
        <f>IF(OR($NO54=0,$NK54=""),0,IF(COUNTIF(INDEX($EJ$2:$EN$13,$MM54,0),$NK54)=0,1,0))</f>
        <v/>
      </c>
      <c r="NZ54" s="155">
        <f>IF(OR($NP54=0,$NL54=""),0,IF(COUNTIF(INDEX($EJ$2:$EN$13,$MM54,0),$NL54)=0,1,0))</f>
        <v/>
      </c>
      <c r="OA54" s="155">
        <f>IFERROR(VLOOKUP($MV54,$AV$2:$BA$84,4,FALSE),0)+IFERROR(VLOOKUP($MW54,$AV$2:$BA$84,4,FALSE),0)+IFERROR(VLOOKUP($MX54,$AV$2:$BA$84,4,FALSE),0)+IFERROR(VLOOKUP($MY54,$AV$2:$BA$84,4,FALSE),0)</f>
        <v/>
      </c>
      <c r="OB54" s="155">
        <f>IFERROR(VLOOKUP($MV54,$AV$2:$BA$84,6,FALSE),0)+IFERROR(VLOOKUP($MW54,$AV$2:$BA$84,6,FALSE),0)+IFERROR(VLOOKUP($MX54,$AV$2:$BA$84,6,FALSE),0)+IFERROR(VLOOKUP($MY54,$AV$2:$BA$84,6,FALSE),0)</f>
        <v/>
      </c>
      <c r="OC54" s="155">
        <f>TEXTJOIN(", ",TRUE,IF(IFERROR(VLOOKUP($MV54,$AV$2:$BA$84,5,FALSE),0)=1,$MV54,""),IF(IFERROR(VLOOKUP($MW54,$AV$2:$BA$84,5,FALSE),0)=1,$MW54,""),IF(IFERROR(VLOOKUP($MX54,$AV$2:$BA$84,5,FALSE),0)=1,$MX54,""),IF(IFERROR(VLOOKUP($MY54,$AV$2:$BA$84,5,FALSE),0)=1,$MY54,""))</f>
        <v/>
      </c>
      <c r="OD54" s="155">
        <f>IF($NH54=0,0,INDEX($Y$2:$Y$11,$NH54))</f>
        <v/>
      </c>
      <c r="OE54" s="155">
        <f>IF($NH54=0,0,INDEX($Z$2:$Z$11,$NH54))</f>
        <v/>
      </c>
      <c r="OF54" s="155">
        <f>IF($NH54=0,0,INDEX($AB$2:$AB$11,$NH54))</f>
        <v/>
      </c>
      <c r="OG54" s="155">
        <f>IFERROR(VLOOKUP($MZ54,$BC$2:$BG$24,3,FALSE),0)</f>
        <v/>
      </c>
      <c r="OH54" s="155">
        <f>IFERROR(VLOOKUP($NA54,$BC$2:$BG$24,3,FALSE),0)</f>
        <v/>
      </c>
      <c r="OI54" s="155">
        <f>IFERROR(VLOOKUP($MZ54,$BC$2:$BG$24,2,FALSE),"")</f>
        <v/>
      </c>
      <c r="OJ54" s="155">
        <f>IFERROR(VLOOKUP($NA54,$BC$2:$BG$24,2,FALSE),"")</f>
        <v/>
      </c>
      <c r="OK54" s="155">
        <f>COUNTIF($NQ54:$NU54,1)</f>
        <v/>
      </c>
      <c r="OL54" s="155">
        <f>COUNTIF($NQ54:$NU54,2)</f>
        <v/>
      </c>
      <c r="OM54" s="155">
        <f>COUNTIF($NQ54:$NU54,3)</f>
        <v/>
      </c>
      <c r="ON54" s="155">
        <f>COUNTIF($NQ54:$NU54,4)</f>
        <v/>
      </c>
      <c r="OO54" s="155">
        <f>COUNTIF($NQ54:$NU54,5)</f>
        <v/>
      </c>
      <c r="OP54" s="155">
        <f>COUNTIF($NQ54:$NU54,6)</f>
        <v/>
      </c>
      <c r="OQ54" s="155">
        <f>COUNTIF($OG54:$OH54,1)</f>
        <v/>
      </c>
      <c r="OR54" s="155">
        <f>COUNTIF($OG54:$OH54,2)+$OD54</f>
        <v/>
      </c>
      <c r="OS54" s="155">
        <f>COUNTIF($MV54:$MY54,"?*")</f>
        <v/>
      </c>
      <c r="OT54" s="155">
        <f>COUNTIF($MZ54:$NA54,"?*")+$OD54</f>
        <v/>
      </c>
      <c r="OU54" s="155">
        <f>IF($MQ54=0,0,SUMPRODUCT($OK54:$OP54,INDEX($I$2:$N$8,MAX(1,$MQ54),0)))</f>
        <v/>
      </c>
      <c r="OV54" s="155">
        <f>IF($MQ54=0,0,$OQ54*CEILING($MQ54/2,1)+$OR54*$MQ54)</f>
        <v/>
      </c>
      <c r="OW54" s="155">
        <f>MIN(2*$MQ54,$OV54)</f>
        <v/>
      </c>
      <c r="OX54" s="155">
        <f>MIN($OW54,$OU54)</f>
        <v/>
      </c>
      <c r="OY54" s="155">
        <f>$OW54-$OX54</f>
        <v/>
      </c>
      <c r="OZ54" s="155">
        <f>IF($MQ54=0,0,INDEX($P$2:$P$8,MAX(1,$MQ54)))</f>
        <v/>
      </c>
      <c r="PA54" s="155">
        <f>$OZ54-$OU54+$OX54</f>
        <v/>
      </c>
      <c r="PB54" s="155">
        <f>IF($MQ54=0,MAX(0,$NE54-IF($OS54&gt;0,1,0)),MAX(0,$PA54))</f>
        <v/>
      </c>
      <c r="PC54" s="155">
        <f>IF($MQ54=0,0,(IF(COUNTIF($MV54:$MY54,"Salto")&gt;0,1,0)+IF(COUNTIF($MV54:$MY54,"Queima")&gt;0,1,0)+IF(COUNTIF($MV54:$MY54,"Estilhaço")&gt;0,1,0))*FLOOR($PB54/2,1))</f>
        <v/>
      </c>
      <c r="PD54" s="155">
        <f>MAX(0,2-SUMPRODUCT($OK54:$OP54,$I$2:$N$2)+MIN(2,$OQ54*1+$OR54*1,SUMPRODUCT($OK54:$OP54,$I$2:$N$2)))</f>
        <v/>
      </c>
      <c r="PE54" s="155">
        <f>MAX(0,4-SUMPRODUCT($OK54:$OP54,$I$3:$N$3)+MIN(4,$OQ54*1+$OR54*2,SUMPRODUCT($OK54:$OP54,$I$3:$N$3)))</f>
        <v/>
      </c>
      <c r="PF54" s="155">
        <f>MAX(0,6-SUMPRODUCT($OK54:$OP54,$I$4:$N$4)+MIN(6,$OQ54*2+$OR54*3,SUMPRODUCT($OK54:$OP54,$I$4:$N$4)))</f>
        <v/>
      </c>
      <c r="PG54" s="155">
        <f>MAX(0,9-SUMPRODUCT($OK54:$OP54,$I$5:$N$5)+MIN(8,$OQ54*2+$OR54*4,SUMPRODUCT($OK54:$OP54,$I$5:$N$5)))</f>
        <v/>
      </c>
      <c r="PH54" s="155">
        <f>MAX(0,11-SUMPRODUCT($OK54:$OP54,$I$6:$N$6)+MIN(10,$OQ54*3+$OR54*5,SUMPRODUCT($OK54:$OP54,$I$6:$N$6)))</f>
        <v/>
      </c>
      <c r="PI54" s="155">
        <f>MAX(0,13-SUMPRODUCT($OK54:$OP54,$I$7:$N$7)+MIN(12,$OQ54*3+$OR54*6,SUMPRODUCT($OK54:$OP54,$I$7:$N$7)))</f>
        <v/>
      </c>
      <c r="PJ54" s="155">
        <f>MAX(0,16-SUMPRODUCT($OK54:$OP54,$I$8:$N$8)+MIN(14,$OQ54*4+$OR54*7,SUMPRODUCT($OK54:$OP54,$I$8:$N$8)))</f>
        <v/>
      </c>
      <c r="PK54" s="155">
        <f>IF($OE54=2,3*$PD54&amp;" de vida temp.",IF($OE54=3,"sem dano",IF($PD54=0,IF($OE54=1,"sem cura","sem dano"),IF($OE54=1,"cura ","")&amp;$PD54&amp;"d8")))</f>
        <v/>
      </c>
      <c r="PL54" s="155">
        <f>IF($OE54=2,3*$PE54&amp;" de vida temp.",IF($OE54=3,"sem dano",IF($PE54=0,IF($OE54=1,"sem cura","sem dano"),IF($OE54=1,"cura ","")&amp;$PE54&amp;"d8")))</f>
        <v/>
      </c>
      <c r="PM54" s="155">
        <f>IF($OE54=2,3*$PF54&amp;" de vida temp.",IF($OE54=3,"sem dano",IF($PF54=0,IF($OE54=1,"sem cura","sem dano"),IF($OE54=1,"cura ","")&amp;$PF54&amp;"d8")))</f>
        <v/>
      </c>
      <c r="PN54" s="155">
        <f>IF($OE54=2,3*$PG54&amp;" de vida temp.",IF($OE54=3,"sem dano",IF($PG54=0,IF($OE54=1,"sem cura","sem dano"),IF($OE54=1,"cura ","")&amp;$PG54&amp;"d8")))</f>
        <v/>
      </c>
      <c r="PO54" s="155">
        <f>IF($OE54=2,3*$PH54&amp;" de vida temp.",IF($OE54=3,"sem dano",IF($PH54=0,IF($OE54=1,"sem cura","sem dano"),IF($OE54=1,"cura ","")&amp;$PH54&amp;"d8")))</f>
        <v/>
      </c>
      <c r="PP54" s="155">
        <f>IF($OE54=2,3*$PI54&amp;" de vida temp.",IF($OE54=3,"sem dano",IF($PI54=0,IF($OE54=1,"sem cura","sem dano"),IF($OE54=1,"cura ","")&amp;$PI54&amp;"d8")))</f>
        <v/>
      </c>
      <c r="PQ54" s="155">
        <f>IF($OE54=2,3*$PJ54&amp;" de vida temp.",IF($OE54=3,"sem dano",IF($PJ54=0,IF($OE54=1,"sem cura","sem dano"),IF($OE54=1,"cura ","")&amp;$PJ54&amp;"d8")))</f>
        <v/>
      </c>
      <c r="PR54" s="155">
        <f>IF($NB54=0,"",TEXTJOIN(" · ",TRUE,IF($MO54&gt;$NC54,"Este lugar abre no nível "&amp;$MO54,""),IF($MQ54&gt;$ND54,"Classe "&amp;$MQ54&amp;": o nível "&amp;$NC54&amp;" libera até a "&amp;$ND54,""),IF($NV54=1,"A Forma "&amp;$MS54&amp;" pede "&amp;INDEX($W$2:$W$11,$NH54)&amp;" aberta",""),IF(AND($MQ54=0,$NH54&gt;0,IF($NH54=0,0,INDEX($AF$2:$AF$11,$NH54))=0),$MS54&amp;" não existe na Classe 0",""),IF($NW54=1,"Família Fechada: "&amp;$MV54,""),IF($NX54=1,"Família Fechada: "&amp;$MW54,""),IF($NY54=1,"Família Fechada: "&amp;$MX54,""),IF($NZ54=1,"Família Fechada: "&amp;$MY54,""),IF(AND($MQ54&gt;0,$OS54&gt;INDEX($O$2:$O$8,MAX(1,$MQ54))),$OS54&amp;" Melhorias: a Classe "&amp;$MQ54&amp;" aceita "&amp;INDEX($O$2:$O$8,MAX(1,$MQ54)),""),IF(AND($MQ54=0,$OS54&gt;1),"A básica aceita uma Melhoria",""),IF(AND($MQ54=0,COUNTIF($NM54:$NP54,"&gt;1")&gt;0),"A básica só aceita Melhoria Leve",""),IF(AND($MQ54&gt;0,$OT54&gt;2),$OT54&amp;" Restrições"&amp;IF($OD54=1,", contando a que a Forma "&amp;$MS54&amp;" já traz","")&amp;": o limite é 2",""),IF(AND($MQ54=0,COUNTIF($MZ54:$NA54,"?*")&gt;1),"A básica aceita uma Restrição Leve",""),IF(AND($MQ54=0,COUNTIF($OG54:$OH54,2)&gt;0),"A básica só aceita Restrição Leve",""),IF(AND($MQ54&gt;0,$PA54&lt;0),"Orçamento estourado: faltam "&amp;(-$PA54)&amp;IF($PA54&lt;-1," pontos"," ponto"),""),IF(IFERROR(VLOOKUP($MZ54,$BC$2:$BG$24,4,FALSE),0)+IFERROR(VLOOKUP($NA54,$BC$2:$BG$24,4,FALSE),0)&gt;1,$OI54&amp;" e "&amp;$OJ54&amp;" são as duas de frequência",""),IF(AND((COUNTIF($MV54:$MY54,"Rápido")+COUNTIF($OI54:$OJ54,"Rápido"))&gt;0,(COUNTIF($MV54:$MY54,"Atrasar")+COUNTIF($OI54:$OJ54,"Atrasar"))&gt;0),"Rápido não entra com Atrasar",""),IF(AND((COUNTIF($MV54:$MY54,"Reação")+COUNTIF($OI54:$OJ54,"Reação"))&gt;0,(COUNTIF($MV54:$MY54,"Rápido")+COUNTIF($OI54:$OJ54,"Rápido"))&gt;0),"Reação não entra com Rápido",""),IF(AND((COUNTIF($MV54:$MY54,"Reação")+COUNTIF($OI54:$OJ54,"Reação"))&gt;0,(COUNTIF($MV54:$MY54,"Armado")+COUNTIF($OI54:$OJ54,"Armado"))&gt;0),"Reação não entra com Armado",""),IF(AND((COUNTIF($MV54:$MY54,"Reação")+COUNTIF($OI54:$OJ54,"Reação"))&gt;0,(COUNTIF($MV54:$MY54,"Atrasar")+COUNTIF($OI54:$OJ54,"Atrasar"))&gt;0),"Reação não entra com Atrasar",""),IF(AND((COUNTIF($MV54:$MY54,"Reação")+COUNTIF($OI54:$OJ54,"Reação"))&gt;0,(COUNTIF($MV54:$MY54,"Parado")+COUNTIF($OI54:$OJ54,"Parado"))&gt;0),"Reação não entra com Parado",""),IF(AND((COUNTIF($MV54:$MY54,"Atrasar")+COUNTIF($OI54:$OJ54,"Atrasar"))&gt;0,(COUNTIF($MV54:$MY54,"Parado")+COUNTIF($OI54:$OJ54,"Parado"))&gt;0),"Atrasar não entra com Parado",""),IF(AND((COUNTIF($MV54:$MY54,"Armado")+COUNTIF($OI54:$OJ54,"Armado"))&gt;0,(COUNTIF($MV54:$MY54,"Carregar")+COUNTIF($OI54:$OJ54,"Carregar"))&gt;0),"Armado não entra com Carregar",""),IF(AND(COUNTIF($OI54:$OJ54,"Corpo a Corpo")&gt;0,$OD54=0,OR($MS54="Cone",$MS54="Linha")),"Corpo a Corpo não entra em "&amp;$MS54,""),IF(AND(COUNTIF($OI54:$OJ54,"Corpo a Corpo")&gt;0,$OD54=1),"A Forma "&amp;$MS54&amp;" já traz o Corpo a Corpo",""),IF(AND(COUNTIF($OI54:$OJ54,"Tudo ou Nada")&gt;0,$OF54=0),"Tudo ou Nada só entra em habilidade de Teste de Resistência",""),IF(AND(COUNTIF($MV54:$MY54,"Inescapável")&gt;0,OR($OS54&gt;1,$OT54&gt;0)),"Inescapável não aceita outra peça",""),IF(AND($MQ54&gt;0,$PB54*IF(COUNTIF($MV54:$MY54,"Remate")&gt;0,1.25,1)+$PC54&gt;4*$MQ54),($PB54*IF(COUNTIF($MV54:$MY54,"Remate")&gt;0,1.25,1)+$PC54)&amp;" dados somando repetições"&amp;IF(COUNTIF($MV54:$MY54,"Remate")&gt;0," e o Remate","")&amp;": o teto da Classe "&amp;$MQ54&amp;" é "&amp;4*$MQ54,"")))</f>
        <v/>
      </c>
      <c r="PS54" s="155">
        <f>IF($PR54="",0,(LEN($PR54)-LEN(SUBSTITUTE($PR54," · ","")))/3+1)</f>
        <v/>
      </c>
      <c r="PT54" s="155">
        <f>IF($NB54=0,"",TEXTJOIN(" · ",TRUE,IF($OV54&gt;2*$MQ54,"A devolução parou no teto de "&amp;2*$MQ54,""),IF($OY54&gt;0,"Devolução perdida: "&amp;$OY54&amp;IF($OY54&gt;1," pontos"," ponto")&amp;" sem peça para pagar",""),IF(AND($OA54&gt;0,AND($MQ54&gt;0,$OE54=0),$PB54=0),"Controle sem dano: uma rodada a mais e CD +2",""),IF(AND($OA54&gt;0,AND($MQ54&gt;0,$OE54=0),$PB54&gt;0,$PB54&lt;=$MQ54),"Controle com saldo até a Classe: uma rodada a mais",""),IF(AND($MQ54&gt;0,$OC54&lt;&gt;""),"Efeito de "&amp;$OC54&amp;" pela Classe "&amp;MAX(1,$MQ54-1),"")))</f>
        <v/>
      </c>
      <c r="PU54" s="155">
        <f>IF($PT54="",0,(LEN($PT54)-LEN(SUBSTITUTE($PT54," · ","")))/3+1)</f>
        <v/>
      </c>
      <c r="PV54" s="155">
        <f>IF($NB54=0,IF($OS54+COUNTIF($MZ54:$NA54,"?*")&gt;0,"Dê um nome",""),IF($PS54&gt;0,"⚠ "&amp;$PS54&amp;IF($PS54&gt;1," erros"," erro"),IF($PU54&gt;0,"! "&amp;$PU54&amp;IF($PU54&gt;1," avisos"," aviso"),"Na regra")))</f>
        <v/>
      </c>
      <c r="PW54" s="155">
        <f>IF($NB54=0,"",IF($PS54+$PU54=0,"Dentro das regras que a ficha confere",$PR54&amp;IF(AND($PS54&gt;0,$PU54&gt;0)," · ","")&amp;$PT54))</f>
        <v/>
      </c>
      <c r="PX54" s="155">
        <f>IF($MO54&gt;$NC54,$MP54&amp;" · ABRE NO NÍVEL "&amp;$MO54,$MP54)</f>
        <v/>
      </c>
      <c r="PY54" s="155">
        <f>IF($NB54=0,"",IF($MQ54=0,"Sem PE",3*$MQ54&amp;" PE"))</f>
        <v/>
      </c>
      <c r="PZ54" s="155">
        <f>IF($NB54=0,"",IF($MQ54=0,"A atuação básica dela",IF(COUNTIF($OI54:$OJ54,"Atrasar")&gt;0,"Sua Ação Completa",IF(COUNTIF($MV54:$MY54,"Rápido")&gt;0,"Sua Bônus",IF(COUNTIF($MV54:$MY54,"Reação")&gt;0,"Sua Reação","Sua Padrão")))&amp;" + a básica dela"&amp;IF(COUNTIF($MV54:$MY54,"Reação")&gt;0," e a coletiva","")&amp;IF(COUNTIF($OI54:$OJ54,"Carregar")&gt;0," · em dois turnos","")))</f>
        <v/>
      </c>
      <c r="QA54" s="155">
        <f>IF($MU54&lt;&gt;"",$MU54,IF($NH54=0,"",INDEX($AA$2:$AA$11,$NH54)))</f>
        <v/>
      </c>
      <c r="QB54" s="155">
        <f>IF(OR($NB54=0,$NH54=0),"",IF(COUNTIF($MV54:$MY54,"Inescapável")&gt;0,"Automático",IF($QA54="Ataque",IF($NF54="","Ataque","Ataque "&amp;IF(($NF54+2*IF(COUNTIF($MV54:$MY54,"Precisão")&gt;0,1,0))&gt;=0,"+","−")&amp;ABS(($NF54+2*IF(COUNTIF($MV54:$MY54,"Precisão")&gt;0,1,0))))&amp;IF($OB54&gt;0," · TR"&amp;IF($NG54="",""," CD "&amp;$NG54),""),IF(LEFT($QA54,2)="TR",$QA54&amp;IF($NG54="",""," · CD "&amp;$NG54)&amp;IF(COUNTIF($MV54:$MY54,"Certeiro")&gt;0," · metade",""),"Sem rolagem"))))</f>
        <v/>
      </c>
      <c r="QC54" s="155">
        <f>IF(OR($NB54=0,$NH54=0),"",IF($MQ54=0,IF(OR($OE54&gt;=1,$PB54=0),"Sem dano",$PB54&amp;"d6"&amp;IF($MT54="",""," "&amp;$MT54)),IF(OR($OE54&gt;=1,$PB54=0),UPPER(LEFT(INDEX($PK54:$PQ54,1,MAX(1,$MQ54)),1))&amp;MID(INDEX($PK54:$PQ54,1,MAX(1,$MQ54)),2,99),UPPER(LEFT(INDEX($PK54:$PQ54,1,MAX(1,$MQ54)),1))&amp;MID(INDEX($PK54:$PQ54,1,MAX(1,$MQ54)),2,99)&amp;IF($MT54="",""," "&amp;$MT54)&amp;IF($PC54&gt;0," · +"&amp;$PC54&amp;"d8",""))))</f>
        <v/>
      </c>
      <c r="QD54" s="155">
        <f>COUNTIF($MV54:$MY54,"Longe")+3*COUNTIF($MV54:$MY54,"Muito Longe")</f>
        <v/>
      </c>
      <c r="QE54" s="155">
        <f>COUNTIF($MV54:$MY54,"Maior")+3*COUNTIF($MV54:$MY54,"Muito Maior")</f>
        <v/>
      </c>
      <c r="QF54" s="155">
        <f>IF($NH54=0,0,CHOOSE(1+INDEX($AC$2:$AC$11,$NH54),0,$QD54,$QE54,$QD54+$QE54))</f>
        <v/>
      </c>
      <c r="QG54" s="155">
        <f>IF($NH54=0,0,CHOOSE(1+INDEX($AD$2:$AD$11,$NH54),0,$QD54,$QE54,$QD54+$QE54))</f>
        <v/>
      </c>
      <c r="QH54" s="155">
        <f>IF(OR($NB54=0,$NH54=0),"",INDEX($AI$2:$AN$41,($NH54-1)*4+IF($MQ54=0,1,IF($MQ54&lt;=5,2,IF($MQ54=6,3,4))),1+MIN(5,$QF54))&amp;INDEX($AO$2:$AT$41,($NH54-1)*4+IF($MQ54=0,1,IF($MQ54&lt;=5,2,IF($MQ54=6,3,4))),1+MIN(5,$QG54))&amp;IF(INDEX($AE$2:$AE$11,$NH54)=1,IF(COUNTIF($MV54:$MY54,"Mais Um")&gt;0," · +"&amp;COUNTIF($MV54:$MY54,"Mais Um")&amp;IF(COUNTIF($MV54:$MY54,"Mais Um")&gt;1," alvos"," alvo"),"")&amp;IF(COUNTIF($MV54:$MY54,"Rajada")&gt;0,IF($MQ54=0," · 1 tiro"," · "&amp;(MAX(1,$MQ54-1)+1)&amp;" tiros"),""),""))</f>
        <v/>
      </c>
      <c r="QI54" s="155">
        <f>IF($NB54=0,"",IF($MQ54=0,$NE54&amp;"d6"&amp;IF($OS54&gt;0," − 1 = "&amp;$PB54&amp;"d6"," da básica do nível "&amp;$NC54),$OZ54&amp;" − "&amp;$OU54&amp;" + "&amp;$OX54&amp;" = "&amp;$PA54&amp;" · teto "&amp;4*$MQ54&amp;"d8"&amp;IF($OD54=1," · a Forma devolve "&amp;$MQ54,"")&amp;IF($OY54&gt;0," · perde "&amp;$OY54,"")))</f>
        <v/>
      </c>
      <c r="QJ54" s="155">
        <f>IF($NB54=0,"",IF($MQ54=0,"A básica não amplia: os dados dela sobem com o nível",IF($MQ54&gt;=$ND54,"Já está na maior Classe que o nível liberou",TEXTJOIN(" · ",TRUE,IF(AND(2&gt;$MQ54,2&lt;=$ND54),"2 → "&amp;$PL54&amp;", 6 PE",""),IF(AND(3&gt;$MQ54,3&lt;=$ND54),"3 → "&amp;$PM54&amp;", 9 PE",""),IF(AND(4&gt;$MQ54,4&lt;=$ND54),"4 → "&amp;$PN54&amp;", 12 PE",""),IF(AND(5&gt;$MQ54,5&lt;=$ND54),"5 → "&amp;$PO54&amp;", 15 PE",""),IF(AND(6&gt;$MQ54,6&lt;=$ND54),"6 → "&amp;$PP54&amp;", 18 PE",""),IF(AND(7&gt;$MQ54,7&lt;=$ND54),"7 → "&amp;$PQ54&amp;", 21 PE","")))))</f>
        <v/>
      </c>
      <c r="QK54" s="155">
        <f>IF(OR($NB54=0,$NM54=0),"",IF($MQ54=0,"−1 dado","−"&amp;INDEX($I$2:$N$8,MAX(1,$MQ54),MAX(1,$NR54))&amp;" · "&amp;CHOOSE(MAX(1,$NR54),"Leve","Média","Pesada","Leve · Livre","Média · Livre","Pesada · Livre")))</f>
        <v/>
      </c>
      <c r="QL54" s="155">
        <f>IF(OR($NB54=0,$NN54=0),"",IF($MQ54=0,"−1 dado","−"&amp;INDEX($I$2:$N$8,MAX(1,$MQ54),MAX(1,$NS54))&amp;" · "&amp;CHOOSE(MAX(1,$NS54),"Leve","Média","Pesada","Leve · Livre","Média · Livre","Pesada · Livre")))</f>
        <v/>
      </c>
      <c r="QM54" s="155">
        <f>IF(OR($NB54=0,$NO54=0),"",IF($MQ54=0,"−1 dado","−"&amp;INDEX($I$2:$N$8,MAX(1,$MQ54),MAX(1,$NT54))&amp;" · "&amp;CHOOSE(MAX(1,$NT54),"Leve","Média","Pesada","Leve · Livre","Média · Livre","Pesada · Livre")))</f>
        <v/>
      </c>
      <c r="QN54" s="155">
        <f>IF(OR($NB54=0,$NP54=0),"",IF($MQ54=0,"−1 dado","−"&amp;INDEX($I$2:$N$8,MAX(1,$MQ54),MAX(1,$NU54))&amp;" · "&amp;CHOOSE(MAX(1,$NU54),"Leve","Média","Pesada","Leve · Livre","Média · Livre","Pesada · Livre")))</f>
        <v/>
      </c>
      <c r="QO54" s="155">
        <f>IF(OR($NB54=0,$MZ54=""),"",IF($MQ54=0,"não devolve","+"&amp;IF($OG54=1,CEILING($MQ54/2,1),$MQ54)))</f>
        <v/>
      </c>
      <c r="QP54" s="155">
        <f>IF(OR($NB54=0,$NA54=""),"",IF($MQ54=0,"não devolve","+"&amp;IF($OH54=1,CEILING($MQ54/2,1),$MQ54)))</f>
        <v/>
      </c>
    </row>
    <row r="55">
      <c r="AV55" s="153" t="inlineStr">
        <is>
          <t>Remate</t>
        </is>
      </c>
      <c r="AW55" s="153" t="inlineStr">
        <is>
          <t>Castigo</t>
        </is>
      </c>
      <c r="AX55" s="155" t="n">
        <v>2</v>
      </c>
      <c r="AY55" s="155" t="n">
        <v>0</v>
      </c>
      <c r="AZ55" s="155" t="n">
        <v>0</v>
      </c>
      <c r="BA55" s="155" t="n">
        <v>0</v>
      </c>
      <c r="JR55" s="155">
        <f>IF(OR($AW55="",COUNTIF($EJ$2:$EN$2,$AW55)&gt;0),$AV55,"")</f>
        <v/>
      </c>
      <c r="JS55" s="155">
        <f>IF(AND($AX55=1,OR($AW55="",COUNTIF($EJ$2:$EN$2,$AW55)&gt;0)),$AV55,"")</f>
        <v/>
      </c>
      <c r="JX55" s="155">
        <f>IF(OR($AW55="",COUNTIF($EJ$3:$EN$3,$AW55)&gt;0),$AV55,"")</f>
        <v/>
      </c>
      <c r="JY55" s="155">
        <f>IF(AND($AX55=1,OR($AW55="",COUNTIF($EJ$3:$EN$3,$AW55)&gt;0)),$AV55,"")</f>
        <v/>
      </c>
      <c r="KD55" s="155">
        <f>IF(OR($AW55="",COUNTIF($EJ$4:$EN$4,$AW55)&gt;0),$AV55,"")</f>
        <v/>
      </c>
      <c r="KE55" s="155">
        <f>IF(AND($AX55=1,OR($AW55="",COUNTIF($EJ$4:$EN$4,$AW55)&gt;0)),$AV55,"")</f>
        <v/>
      </c>
      <c r="KJ55" s="155">
        <f>IF(OR($AW55="",COUNTIF($EJ$5:$EN$5,$AW55)&gt;0),$AV55,"")</f>
        <v/>
      </c>
      <c r="KK55" s="155">
        <f>IF(AND($AX55=1,OR($AW55="",COUNTIF($EJ$5:$EN$5,$AW55)&gt;0)),$AV55,"")</f>
        <v/>
      </c>
      <c r="KP55" s="155">
        <f>IF(OR($AW55="",COUNTIF($EJ$6:$EN$6,$AW55)&gt;0),$AV55,"")</f>
        <v/>
      </c>
      <c r="KQ55" s="155">
        <f>IF(AND($AX55=1,OR($AW55="",COUNTIF($EJ$6:$EN$6,$AW55)&gt;0)),$AV55,"")</f>
        <v/>
      </c>
      <c r="KV55" s="155">
        <f>IF(OR($AW55="",COUNTIF($EJ$7:$EN$7,$AW55)&gt;0),$AV55,"")</f>
        <v/>
      </c>
      <c r="KW55" s="155">
        <f>IF(AND($AX55=1,OR($AW55="",COUNTIF($EJ$7:$EN$7,$AW55)&gt;0)),$AV55,"")</f>
        <v/>
      </c>
      <c r="LB55" s="155">
        <f>IF(OR($AW55="",COUNTIF($EJ$8:$EN$8,$AW55)&gt;0),$AV55,"")</f>
        <v/>
      </c>
      <c r="LC55" s="155">
        <f>IF(AND($AX55=1,OR($AW55="",COUNTIF($EJ$8:$EN$8,$AW55)&gt;0)),$AV55,"")</f>
        <v/>
      </c>
      <c r="LH55" s="155">
        <f>IF(OR($AW55="",COUNTIF($EJ$9:$EN$9,$AW55)&gt;0),$AV55,"")</f>
        <v/>
      </c>
      <c r="LI55" s="155">
        <f>IF(AND($AX55=1,OR($AW55="",COUNTIF($EJ$9:$EN$9,$AW55)&gt;0)),$AV55,"")</f>
        <v/>
      </c>
      <c r="LN55" s="155">
        <f>IF(OR($AW55="",COUNTIF($EJ$10:$EN$10,$AW55)&gt;0),$AV55,"")</f>
        <v/>
      </c>
      <c r="LO55" s="155">
        <f>IF(AND($AX55=1,OR($AW55="",COUNTIF($EJ$10:$EN$10,$AW55)&gt;0)),$AV55,"")</f>
        <v/>
      </c>
      <c r="LT55" s="155">
        <f>IF(OR($AW55="",COUNTIF($EJ$11:$EN$11,$AW55)&gt;0),$AV55,"")</f>
        <v/>
      </c>
      <c r="LU55" s="155">
        <f>IF(AND($AX55=1,OR($AW55="",COUNTIF($EJ$11:$EN$11,$AW55)&gt;0)),$AV55,"")</f>
        <v/>
      </c>
      <c r="LZ55" s="155">
        <f>IF(OR($AW55="",COUNTIF($EJ$12:$EN$12,$AW55)&gt;0),$AV55,"")</f>
        <v/>
      </c>
      <c r="MA55" s="155">
        <f>IF(AND($AX55=1,OR($AW55="",COUNTIF($EJ$12:$EN$12,$AW55)&gt;0)),$AV55,"")</f>
        <v/>
      </c>
      <c r="MF55" s="155">
        <f>IF(OR($AW55="",COUNTIF($EJ$13:$EN$13,$AW55)&gt;0),$AV55,"")</f>
        <v/>
      </c>
      <c r="MG55" s="155">
        <f>IF(AND($AX55=1,OR($AW55="",COUNTIF($EJ$13:$EN$13,$AW55)&gt;0)),$AV55,"")</f>
        <v/>
      </c>
      <c r="ML55" s="153" t="inlineStr">
        <is>
          <t>Ficha 5 · Especial 1</t>
        </is>
      </c>
      <c r="MM55" s="155" t="n">
        <v>5</v>
      </c>
      <c r="MN55" s="155" t="n">
        <v>1</v>
      </c>
      <c r="MO55" s="155" t="n">
        <v>1</v>
      </c>
      <c r="MP55" s="153" t="inlineStr">
        <is>
          <t>ESPECIAL 1</t>
        </is>
      </c>
      <c r="MQ55" s="155">
        <f>MAX(1,MIN(7,N('INVOCAÇÕES'!$O$850)))</f>
        <v/>
      </c>
      <c r="MR55" s="155">
        <f>'INVOCAÇÕES'!$P$850&amp;""</f>
        <v/>
      </c>
      <c r="MS55" s="155">
        <f>'INVOCAÇÕES'!$O$855&amp;""</f>
        <v/>
      </c>
      <c r="MT55" s="155">
        <f>'INVOCAÇÕES'!$O$856&amp;""</f>
        <v/>
      </c>
      <c r="MU55" s="155">
        <f>'INVOCAÇÕES'!$Q$856&amp;""</f>
        <v/>
      </c>
      <c r="MV55" s="155">
        <f>'INVOCAÇÕES'!$P$859&amp;""</f>
        <v/>
      </c>
      <c r="MW55" s="155">
        <f>'INVOCAÇÕES'!$P$860&amp;""</f>
        <v/>
      </c>
      <c r="MX55" s="155">
        <f>'INVOCAÇÕES'!$P$861&amp;""</f>
        <v/>
      </c>
      <c r="MY55" s="155">
        <f>'INVOCAÇÕES'!$P$862&amp;""</f>
        <v/>
      </c>
      <c r="MZ55" s="155">
        <f>'INVOCAÇÕES'!$P$863&amp;""</f>
        <v/>
      </c>
      <c r="NA55" s="155">
        <f>'INVOCAÇÕES'!$P$864&amp;""</f>
        <v/>
      </c>
      <c r="NB55" s="155">
        <f>IF($MR55&lt;&gt;"",1,0)</f>
        <v/>
      </c>
      <c r="NC55" s="155">
        <f>INDEX($FM$2:$FM$13,$MM55)</f>
        <v/>
      </c>
      <c r="ND55" s="155">
        <f>INDEX($FN$2:$FN$13,$MM55)</f>
        <v/>
      </c>
      <c r="NE55" s="155">
        <f>INDEX($FO$2:$FO$13,$MM55)</f>
        <v/>
      </c>
      <c r="NF55" s="155">
        <f>INDEX($FZ$2:$FZ$13,$MM55)</f>
        <v/>
      </c>
      <c r="NG55" s="155">
        <f>INDEX($GA$2:$GA$13,$MM55)</f>
        <v/>
      </c>
      <c r="NH55" s="155">
        <f>IFERROR(MATCH($MS55,$V$2:$V$11,0),0)</f>
        <v/>
      </c>
      <c r="NI55" s="155">
        <f>IFERROR(VLOOKUP($MV55,$AV$2:$BA$84,2,FALSE),"")</f>
        <v/>
      </c>
      <c r="NJ55" s="155">
        <f>IFERROR(VLOOKUP($MW55,$AV$2:$BA$84,2,FALSE),"")</f>
        <v/>
      </c>
      <c r="NK55" s="155">
        <f>IFERROR(VLOOKUP($MX55,$AV$2:$BA$84,2,FALSE),"")</f>
        <v/>
      </c>
      <c r="NL55" s="155">
        <f>IFERROR(VLOOKUP($MY55,$AV$2:$BA$84,2,FALSE),"")</f>
        <v/>
      </c>
      <c r="NM55" s="155">
        <f>IFERROR(VLOOKUP($MV55,$AV$2:$BA$84,3,FALSE),0)</f>
        <v/>
      </c>
      <c r="NN55" s="155">
        <f>IFERROR(VLOOKUP($MW55,$AV$2:$BA$84,3,FALSE),0)</f>
        <v/>
      </c>
      <c r="NO55" s="155">
        <f>IFERROR(VLOOKUP($MX55,$AV$2:$BA$84,3,FALSE),0)</f>
        <v/>
      </c>
      <c r="NP55" s="155">
        <f>IFERROR(VLOOKUP($MY55,$AV$2:$BA$84,3,FALSE),0)</f>
        <v/>
      </c>
      <c r="NQ55" s="155">
        <f>IF($MQ55=0,0,IF($NH55=0,0,INDEX($X$2:$X$11,$NH55)))</f>
        <v/>
      </c>
      <c r="NR55" s="155">
        <f>IF(OR($NM55=0,$MQ55=0),0,$NM55+3*IF(AND($NI55&lt;&gt;"",OR($NI55=INDEX($EJ$2:$EJ$13,$MM55),$NI55=INDEX($EK$2:$EK$13,$MM55))),1,0))</f>
        <v/>
      </c>
      <c r="NS55" s="155">
        <f>IF(OR($NN55=0,$MQ55=0),0,$NN55+3*IF(AND($NJ55&lt;&gt;"",OR($NJ55=INDEX($EJ$2:$EJ$13,$MM55),$NJ55=INDEX($EK$2:$EK$13,$MM55))),1,0))</f>
        <v/>
      </c>
      <c r="NT55" s="155">
        <f>IF(OR($NO55=0,$MQ55=0),0,$NO55+3*IF(AND($NK55&lt;&gt;"",OR($NK55=INDEX($EJ$2:$EJ$13,$MM55),$NK55=INDEX($EK$2:$EK$13,$MM55))),1,0))</f>
        <v/>
      </c>
      <c r="NU55" s="155">
        <f>IF(OR($NP55=0,$MQ55=0),0,$NP55+3*IF(AND($NL55&lt;&gt;"",OR($NL55=INDEX($EJ$2:$EJ$13,$MM55),$NL55=INDEX($EK$2:$EK$13,$MM55))),1,0))</f>
        <v/>
      </c>
      <c r="NV55" s="155">
        <f>IF($NH55=0,0,IF(INDEX($W$2:$W$11,$NH55)="",0,IF(COUNTIF(INDEX($EJ$2:$EN$13,$MM55,0),INDEX($W$2:$W$11,$NH55))=0,1,0)))</f>
        <v/>
      </c>
      <c r="NW55" s="155">
        <f>IF(OR($NM55=0,$NI55=""),0,IF(COUNTIF(INDEX($EJ$2:$EN$13,$MM55,0),$NI55)=0,1,0))</f>
        <v/>
      </c>
      <c r="NX55" s="155">
        <f>IF(OR($NN55=0,$NJ55=""),0,IF(COUNTIF(INDEX($EJ$2:$EN$13,$MM55,0),$NJ55)=0,1,0))</f>
        <v/>
      </c>
      <c r="NY55" s="155">
        <f>IF(OR($NO55=0,$NK55=""),0,IF(COUNTIF(INDEX($EJ$2:$EN$13,$MM55,0),$NK55)=0,1,0))</f>
        <v/>
      </c>
      <c r="NZ55" s="155">
        <f>IF(OR($NP55=0,$NL55=""),0,IF(COUNTIF(INDEX($EJ$2:$EN$13,$MM55,0),$NL55)=0,1,0))</f>
        <v/>
      </c>
      <c r="OA55" s="155">
        <f>IFERROR(VLOOKUP($MV55,$AV$2:$BA$84,4,FALSE),0)+IFERROR(VLOOKUP($MW55,$AV$2:$BA$84,4,FALSE),0)+IFERROR(VLOOKUP($MX55,$AV$2:$BA$84,4,FALSE),0)+IFERROR(VLOOKUP($MY55,$AV$2:$BA$84,4,FALSE),0)</f>
        <v/>
      </c>
      <c r="OB55" s="155">
        <f>IFERROR(VLOOKUP($MV55,$AV$2:$BA$84,6,FALSE),0)+IFERROR(VLOOKUP($MW55,$AV$2:$BA$84,6,FALSE),0)+IFERROR(VLOOKUP($MX55,$AV$2:$BA$84,6,FALSE),0)+IFERROR(VLOOKUP($MY55,$AV$2:$BA$84,6,FALSE),0)</f>
        <v/>
      </c>
      <c r="OC55" s="155">
        <f>TEXTJOIN(", ",TRUE,IF(IFERROR(VLOOKUP($MV55,$AV$2:$BA$84,5,FALSE),0)=1,$MV55,""),IF(IFERROR(VLOOKUP($MW55,$AV$2:$BA$84,5,FALSE),0)=1,$MW55,""),IF(IFERROR(VLOOKUP($MX55,$AV$2:$BA$84,5,FALSE),0)=1,$MX55,""),IF(IFERROR(VLOOKUP($MY55,$AV$2:$BA$84,5,FALSE),0)=1,$MY55,""))</f>
        <v/>
      </c>
      <c r="OD55" s="155">
        <f>IF($NH55=0,0,INDEX($Y$2:$Y$11,$NH55))</f>
        <v/>
      </c>
      <c r="OE55" s="155">
        <f>IF($NH55=0,0,INDEX($Z$2:$Z$11,$NH55))</f>
        <v/>
      </c>
      <c r="OF55" s="155">
        <f>IF($NH55=0,0,INDEX($AB$2:$AB$11,$NH55))</f>
        <v/>
      </c>
      <c r="OG55" s="155">
        <f>IFERROR(VLOOKUP($MZ55,$BC$2:$BG$24,3,FALSE),0)</f>
        <v/>
      </c>
      <c r="OH55" s="155">
        <f>IFERROR(VLOOKUP($NA55,$BC$2:$BG$24,3,FALSE),0)</f>
        <v/>
      </c>
      <c r="OI55" s="155">
        <f>IFERROR(VLOOKUP($MZ55,$BC$2:$BG$24,2,FALSE),"")</f>
        <v/>
      </c>
      <c r="OJ55" s="155">
        <f>IFERROR(VLOOKUP($NA55,$BC$2:$BG$24,2,FALSE),"")</f>
        <v/>
      </c>
      <c r="OK55" s="155">
        <f>COUNTIF($NQ55:$NU55,1)</f>
        <v/>
      </c>
      <c r="OL55" s="155">
        <f>COUNTIF($NQ55:$NU55,2)</f>
        <v/>
      </c>
      <c r="OM55" s="155">
        <f>COUNTIF($NQ55:$NU55,3)</f>
        <v/>
      </c>
      <c r="ON55" s="155">
        <f>COUNTIF($NQ55:$NU55,4)</f>
        <v/>
      </c>
      <c r="OO55" s="155">
        <f>COUNTIF($NQ55:$NU55,5)</f>
        <v/>
      </c>
      <c r="OP55" s="155">
        <f>COUNTIF($NQ55:$NU55,6)</f>
        <v/>
      </c>
      <c r="OQ55" s="155">
        <f>COUNTIF($OG55:$OH55,1)</f>
        <v/>
      </c>
      <c r="OR55" s="155">
        <f>COUNTIF($OG55:$OH55,2)+$OD55</f>
        <v/>
      </c>
      <c r="OS55" s="155">
        <f>COUNTIF($MV55:$MY55,"?*")</f>
        <v/>
      </c>
      <c r="OT55" s="155">
        <f>COUNTIF($MZ55:$NA55,"?*")+$OD55</f>
        <v/>
      </c>
      <c r="OU55" s="155">
        <f>IF($MQ55=0,0,SUMPRODUCT($OK55:$OP55,INDEX($I$2:$N$8,MAX(1,$MQ55),0)))</f>
        <v/>
      </c>
      <c r="OV55" s="155">
        <f>IF($MQ55=0,0,$OQ55*CEILING($MQ55/2,1)+$OR55*$MQ55)</f>
        <v/>
      </c>
      <c r="OW55" s="155">
        <f>MIN(2*$MQ55,$OV55)</f>
        <v/>
      </c>
      <c r="OX55" s="155">
        <f>MIN($OW55,$OU55)</f>
        <v/>
      </c>
      <c r="OY55" s="155">
        <f>$OW55-$OX55</f>
        <v/>
      </c>
      <c r="OZ55" s="155">
        <f>IF($MQ55=0,0,INDEX($P$2:$P$8,MAX(1,$MQ55)))</f>
        <v/>
      </c>
      <c r="PA55" s="155">
        <f>$OZ55-$OU55+$OX55</f>
        <v/>
      </c>
      <c r="PB55" s="155">
        <f>IF($MQ55=0,MAX(0,$NE55-IF($OS55&gt;0,1,0)),MAX(0,$PA55))</f>
        <v/>
      </c>
      <c r="PC55" s="155">
        <f>IF($MQ55=0,0,(IF(COUNTIF($MV55:$MY55,"Salto")&gt;0,1,0)+IF(COUNTIF($MV55:$MY55,"Queima")&gt;0,1,0)+IF(COUNTIF($MV55:$MY55,"Estilhaço")&gt;0,1,0))*FLOOR($PB55/2,1))</f>
        <v/>
      </c>
      <c r="PD55" s="155">
        <f>MAX(0,2-SUMPRODUCT($OK55:$OP55,$I$2:$N$2)+MIN(2,$OQ55*1+$OR55*1,SUMPRODUCT($OK55:$OP55,$I$2:$N$2)))</f>
        <v/>
      </c>
      <c r="PE55" s="155">
        <f>MAX(0,4-SUMPRODUCT($OK55:$OP55,$I$3:$N$3)+MIN(4,$OQ55*1+$OR55*2,SUMPRODUCT($OK55:$OP55,$I$3:$N$3)))</f>
        <v/>
      </c>
      <c r="PF55" s="155">
        <f>MAX(0,6-SUMPRODUCT($OK55:$OP55,$I$4:$N$4)+MIN(6,$OQ55*2+$OR55*3,SUMPRODUCT($OK55:$OP55,$I$4:$N$4)))</f>
        <v/>
      </c>
      <c r="PG55" s="155">
        <f>MAX(0,9-SUMPRODUCT($OK55:$OP55,$I$5:$N$5)+MIN(8,$OQ55*2+$OR55*4,SUMPRODUCT($OK55:$OP55,$I$5:$N$5)))</f>
        <v/>
      </c>
      <c r="PH55" s="155">
        <f>MAX(0,11-SUMPRODUCT($OK55:$OP55,$I$6:$N$6)+MIN(10,$OQ55*3+$OR55*5,SUMPRODUCT($OK55:$OP55,$I$6:$N$6)))</f>
        <v/>
      </c>
      <c r="PI55" s="155">
        <f>MAX(0,13-SUMPRODUCT($OK55:$OP55,$I$7:$N$7)+MIN(12,$OQ55*3+$OR55*6,SUMPRODUCT($OK55:$OP55,$I$7:$N$7)))</f>
        <v/>
      </c>
      <c r="PJ55" s="155">
        <f>MAX(0,16-SUMPRODUCT($OK55:$OP55,$I$8:$N$8)+MIN(14,$OQ55*4+$OR55*7,SUMPRODUCT($OK55:$OP55,$I$8:$N$8)))</f>
        <v/>
      </c>
      <c r="PK55" s="155">
        <f>IF($OE55=2,3*$PD55&amp;" de vida temp.",IF($OE55=3,"sem dano",IF($PD55=0,IF($OE55=1,"sem cura","sem dano"),IF($OE55=1,"cura ","")&amp;$PD55&amp;"d8")))</f>
        <v/>
      </c>
      <c r="PL55" s="155">
        <f>IF($OE55=2,3*$PE55&amp;" de vida temp.",IF($OE55=3,"sem dano",IF($PE55=0,IF($OE55=1,"sem cura","sem dano"),IF($OE55=1,"cura ","")&amp;$PE55&amp;"d8")))</f>
        <v/>
      </c>
      <c r="PM55" s="155">
        <f>IF($OE55=2,3*$PF55&amp;" de vida temp.",IF($OE55=3,"sem dano",IF($PF55=0,IF($OE55=1,"sem cura","sem dano"),IF($OE55=1,"cura ","")&amp;$PF55&amp;"d8")))</f>
        <v/>
      </c>
      <c r="PN55" s="155">
        <f>IF($OE55=2,3*$PG55&amp;" de vida temp.",IF($OE55=3,"sem dano",IF($PG55=0,IF($OE55=1,"sem cura","sem dano"),IF($OE55=1,"cura ","")&amp;$PG55&amp;"d8")))</f>
        <v/>
      </c>
      <c r="PO55" s="155">
        <f>IF($OE55=2,3*$PH55&amp;" de vida temp.",IF($OE55=3,"sem dano",IF($PH55=0,IF($OE55=1,"sem cura","sem dano"),IF($OE55=1,"cura ","")&amp;$PH55&amp;"d8")))</f>
        <v/>
      </c>
      <c r="PP55" s="155">
        <f>IF($OE55=2,3*$PI55&amp;" de vida temp.",IF($OE55=3,"sem dano",IF($PI55=0,IF($OE55=1,"sem cura","sem dano"),IF($OE55=1,"cura ","")&amp;$PI55&amp;"d8")))</f>
        <v/>
      </c>
      <c r="PQ55" s="155">
        <f>IF($OE55=2,3*$PJ55&amp;" de vida temp.",IF($OE55=3,"sem dano",IF($PJ55=0,IF($OE55=1,"sem cura","sem dano"),IF($OE55=1,"cura ","")&amp;$PJ55&amp;"d8")))</f>
        <v/>
      </c>
      <c r="PR55" s="155">
        <f>IF($NB55=0,"",TEXTJOIN(" · ",TRUE,IF($MO55&gt;$NC55,"Este lugar abre no nível "&amp;$MO55,""),IF($MQ55&gt;$ND55,"Classe "&amp;$MQ55&amp;": o nível "&amp;$NC55&amp;" libera até a "&amp;$ND55,""),IF($NV55=1,"A Forma "&amp;$MS55&amp;" pede "&amp;INDEX($W$2:$W$11,$NH55)&amp;" aberta",""),IF(AND($MQ55=0,$NH55&gt;0,IF($NH55=0,0,INDEX($AF$2:$AF$11,$NH55))=0),$MS55&amp;" não existe na Classe 0",""),IF($NW55=1,"Família Fechada: "&amp;$MV55,""),IF($NX55=1,"Família Fechada: "&amp;$MW55,""),IF($NY55=1,"Família Fechada: "&amp;$MX55,""),IF($NZ55=1,"Família Fechada: "&amp;$MY55,""),IF(AND($MQ55&gt;0,$OS55&gt;INDEX($O$2:$O$8,MAX(1,$MQ55))),$OS55&amp;" Melhorias: a Classe "&amp;$MQ55&amp;" aceita "&amp;INDEX($O$2:$O$8,MAX(1,$MQ55)),""),IF(AND($MQ55=0,$OS55&gt;1),"A básica aceita uma Melhoria",""),IF(AND($MQ55=0,COUNTIF($NM55:$NP55,"&gt;1")&gt;0),"A básica só aceita Melhoria Leve",""),IF(AND($MQ55&gt;0,$OT55&gt;2),$OT55&amp;" Restrições"&amp;IF($OD55=1,", contando a que a Forma "&amp;$MS55&amp;" já traz","")&amp;": o limite é 2",""),IF(AND($MQ55=0,COUNTIF($MZ55:$NA55,"?*")&gt;1),"A básica aceita uma Restrição Leve",""),IF(AND($MQ55=0,COUNTIF($OG55:$OH55,2)&gt;0),"A básica só aceita Restrição Leve",""),IF(AND($MQ55&gt;0,$PA55&lt;0),"Orçamento estourado: faltam "&amp;(-$PA55)&amp;IF($PA55&lt;-1," pontos"," ponto"),""),IF(IFERROR(VLOOKUP($MZ55,$BC$2:$BG$24,4,FALSE),0)+IFERROR(VLOOKUP($NA55,$BC$2:$BG$24,4,FALSE),0)&gt;1,$OI55&amp;" e "&amp;$OJ55&amp;" são as duas de frequência",""),IF(AND((COUNTIF($MV55:$MY55,"Rápido")+COUNTIF($OI55:$OJ55,"Rápido"))&gt;0,(COUNTIF($MV55:$MY55,"Atrasar")+COUNTIF($OI55:$OJ55,"Atrasar"))&gt;0),"Rápido não entra com Atrasar",""),IF(AND((COUNTIF($MV55:$MY55,"Reação")+COUNTIF($OI55:$OJ55,"Reação"))&gt;0,(COUNTIF($MV55:$MY55,"Rápido")+COUNTIF($OI55:$OJ55,"Rápido"))&gt;0),"Reação não entra com Rápido",""),IF(AND((COUNTIF($MV55:$MY55,"Reação")+COUNTIF($OI55:$OJ55,"Reação"))&gt;0,(COUNTIF($MV55:$MY55,"Armado")+COUNTIF($OI55:$OJ55,"Armado"))&gt;0),"Reação não entra com Armado",""),IF(AND((COUNTIF($MV55:$MY55,"Reação")+COUNTIF($OI55:$OJ55,"Reação"))&gt;0,(COUNTIF($MV55:$MY55,"Atrasar")+COUNTIF($OI55:$OJ55,"Atrasar"))&gt;0),"Reação não entra com Atrasar",""),IF(AND((COUNTIF($MV55:$MY55,"Reação")+COUNTIF($OI55:$OJ55,"Reação"))&gt;0,(COUNTIF($MV55:$MY55,"Parado")+COUNTIF($OI55:$OJ55,"Parado"))&gt;0),"Reação não entra com Parado",""),IF(AND((COUNTIF($MV55:$MY55,"Atrasar")+COUNTIF($OI55:$OJ55,"Atrasar"))&gt;0,(COUNTIF($MV55:$MY55,"Parado")+COUNTIF($OI55:$OJ55,"Parado"))&gt;0),"Atrasar não entra com Parado",""),IF(AND((COUNTIF($MV55:$MY55,"Armado")+COUNTIF($OI55:$OJ55,"Armado"))&gt;0,(COUNTIF($MV55:$MY55,"Carregar")+COUNTIF($OI55:$OJ55,"Carregar"))&gt;0),"Armado não entra com Carregar",""),IF(AND(COUNTIF($OI55:$OJ55,"Corpo a Corpo")&gt;0,$OD55=0,OR($MS55="Cone",$MS55="Linha")),"Corpo a Corpo não entra em "&amp;$MS55,""),IF(AND(COUNTIF($OI55:$OJ55,"Corpo a Corpo")&gt;0,$OD55=1),"A Forma "&amp;$MS55&amp;" já traz o Corpo a Corpo",""),IF(AND(COUNTIF($OI55:$OJ55,"Tudo ou Nada")&gt;0,$OF55=0),"Tudo ou Nada só entra em habilidade de Teste de Resistência",""),IF(AND(COUNTIF($MV55:$MY55,"Inescapável")&gt;0,OR($OS55&gt;1,$OT55&gt;0)),"Inescapável não aceita outra peça",""),IF(AND($MQ55&gt;0,$PB55*IF(COUNTIF($MV55:$MY55,"Remate")&gt;0,1.25,1)+$PC55&gt;4*$MQ55),($PB55*IF(COUNTIF($MV55:$MY55,"Remate")&gt;0,1.25,1)+$PC55)&amp;" dados somando repetições"&amp;IF(COUNTIF($MV55:$MY55,"Remate")&gt;0," e o Remate","")&amp;": o teto da Classe "&amp;$MQ55&amp;" é "&amp;4*$MQ55,"")))</f>
        <v/>
      </c>
      <c r="PS55" s="155">
        <f>IF($PR55="",0,(LEN($PR55)-LEN(SUBSTITUTE($PR55," · ","")))/3+1)</f>
        <v/>
      </c>
      <c r="PT55" s="155">
        <f>IF($NB55=0,"",TEXTJOIN(" · ",TRUE,IF($OV55&gt;2*$MQ55,"A devolução parou no teto de "&amp;2*$MQ55,""),IF($OY55&gt;0,"Devolução perdida: "&amp;$OY55&amp;IF($OY55&gt;1," pontos"," ponto")&amp;" sem peça para pagar",""),IF(AND($OA55&gt;0,AND($MQ55&gt;0,$OE55=0),$PB55=0),"Controle sem dano: uma rodada a mais e CD +2",""),IF(AND($OA55&gt;0,AND($MQ55&gt;0,$OE55=0),$PB55&gt;0,$PB55&lt;=$MQ55),"Controle com saldo até a Classe: uma rodada a mais",""),IF(AND($MQ55&gt;0,$OC55&lt;&gt;""),"Efeito de "&amp;$OC55&amp;" pela Classe "&amp;MAX(1,$MQ55-1),"")))</f>
        <v/>
      </c>
      <c r="PU55" s="155">
        <f>IF($PT55="",0,(LEN($PT55)-LEN(SUBSTITUTE($PT55," · ","")))/3+1)</f>
        <v/>
      </c>
      <c r="PV55" s="155">
        <f>IF($NB55=0,IF($OS55+COUNTIF($MZ55:$NA55,"?*")&gt;0,"Dê um nome",""),IF($PS55&gt;0,"⚠ "&amp;$PS55&amp;IF($PS55&gt;1," erros"," erro"),IF($PU55&gt;0,"! "&amp;$PU55&amp;IF($PU55&gt;1," avisos"," aviso"),"Na regra")))</f>
        <v/>
      </c>
      <c r="PW55" s="155">
        <f>IF($NB55=0,"",IF($PS55+$PU55=0,"Dentro das regras que a ficha confere",$PR55&amp;IF(AND($PS55&gt;0,$PU55&gt;0)," · ","")&amp;$PT55))</f>
        <v/>
      </c>
      <c r="PX55" s="155">
        <f>IF($MO55&gt;$NC55,$MP55&amp;" · ABRE NO NÍVEL "&amp;$MO55,$MP55)</f>
        <v/>
      </c>
      <c r="PY55" s="155">
        <f>IF($NB55=0,"",IF($MQ55=0,"Sem PE",3*$MQ55&amp;" PE"))</f>
        <v/>
      </c>
      <c r="PZ55" s="155">
        <f>IF($NB55=0,"",IF($MQ55=0,"A atuação básica dela",IF(COUNTIF($OI55:$OJ55,"Atrasar")&gt;0,"Sua Ação Completa",IF(COUNTIF($MV55:$MY55,"Rápido")&gt;0,"Sua Bônus",IF(COUNTIF($MV55:$MY55,"Reação")&gt;0,"Sua Reação","Sua Padrão")))&amp;" + a básica dela"&amp;IF(COUNTIF($MV55:$MY55,"Reação")&gt;0," e a coletiva","")&amp;IF(COUNTIF($OI55:$OJ55,"Carregar")&gt;0," · em dois turnos","")))</f>
        <v/>
      </c>
      <c r="QA55" s="155">
        <f>IF($MU55&lt;&gt;"",$MU55,IF($NH55=0,"",INDEX($AA$2:$AA$11,$NH55)))</f>
        <v/>
      </c>
      <c r="QB55" s="155">
        <f>IF(OR($NB55=0,$NH55=0),"",IF(COUNTIF($MV55:$MY55,"Inescapável")&gt;0,"Automático",IF($QA55="Ataque",IF($NF55="","Ataque","Ataque "&amp;IF(($NF55+2*IF(COUNTIF($MV55:$MY55,"Precisão")&gt;0,1,0))&gt;=0,"+","−")&amp;ABS(($NF55+2*IF(COUNTIF($MV55:$MY55,"Precisão")&gt;0,1,0))))&amp;IF($OB55&gt;0," · TR"&amp;IF($NG55="",""," CD "&amp;$NG55),""),IF(LEFT($QA55,2)="TR",$QA55&amp;IF($NG55="",""," · CD "&amp;$NG55)&amp;IF(COUNTIF($MV55:$MY55,"Certeiro")&gt;0," · metade",""),"Sem rolagem"))))</f>
        <v/>
      </c>
      <c r="QC55" s="155">
        <f>IF(OR($NB55=0,$NH55=0),"",IF($MQ55=0,IF(OR($OE55&gt;=1,$PB55=0),"Sem dano",$PB55&amp;"d6"&amp;IF($MT55="",""," "&amp;$MT55)),IF(OR($OE55&gt;=1,$PB55=0),UPPER(LEFT(INDEX($PK55:$PQ55,1,MAX(1,$MQ55)),1))&amp;MID(INDEX($PK55:$PQ55,1,MAX(1,$MQ55)),2,99),UPPER(LEFT(INDEX($PK55:$PQ55,1,MAX(1,$MQ55)),1))&amp;MID(INDEX($PK55:$PQ55,1,MAX(1,$MQ55)),2,99)&amp;IF($MT55="",""," "&amp;$MT55)&amp;IF($PC55&gt;0," · +"&amp;$PC55&amp;"d8",""))))</f>
        <v/>
      </c>
      <c r="QD55" s="155">
        <f>COUNTIF($MV55:$MY55,"Longe")+3*COUNTIF($MV55:$MY55,"Muito Longe")</f>
        <v/>
      </c>
      <c r="QE55" s="155">
        <f>COUNTIF($MV55:$MY55,"Maior")+3*COUNTIF($MV55:$MY55,"Muito Maior")</f>
        <v/>
      </c>
      <c r="QF55" s="155">
        <f>IF($NH55=0,0,CHOOSE(1+INDEX($AC$2:$AC$11,$NH55),0,$QD55,$QE55,$QD55+$QE55))</f>
        <v/>
      </c>
      <c r="QG55" s="155">
        <f>IF($NH55=0,0,CHOOSE(1+INDEX($AD$2:$AD$11,$NH55),0,$QD55,$QE55,$QD55+$QE55))</f>
        <v/>
      </c>
      <c r="QH55" s="155">
        <f>IF(OR($NB55=0,$NH55=0),"",INDEX($AI$2:$AN$41,($NH55-1)*4+IF($MQ55=0,1,IF($MQ55&lt;=5,2,IF($MQ55=6,3,4))),1+MIN(5,$QF55))&amp;INDEX($AO$2:$AT$41,($NH55-1)*4+IF($MQ55=0,1,IF($MQ55&lt;=5,2,IF($MQ55=6,3,4))),1+MIN(5,$QG55))&amp;IF(INDEX($AE$2:$AE$11,$NH55)=1,IF(COUNTIF($MV55:$MY55,"Mais Um")&gt;0," · +"&amp;COUNTIF($MV55:$MY55,"Mais Um")&amp;IF(COUNTIF($MV55:$MY55,"Mais Um")&gt;1," alvos"," alvo"),"")&amp;IF(COUNTIF($MV55:$MY55,"Rajada")&gt;0,IF($MQ55=0," · 1 tiro"," · "&amp;(MAX(1,$MQ55-1)+1)&amp;" tiros"),""),""))</f>
        <v/>
      </c>
      <c r="QI55" s="155">
        <f>IF($NB55=0,"",IF($MQ55=0,$NE55&amp;"d6"&amp;IF($OS55&gt;0," − 1 = "&amp;$PB55&amp;"d6"," da básica do nível "&amp;$NC55),$OZ55&amp;" − "&amp;$OU55&amp;" + "&amp;$OX55&amp;" = "&amp;$PA55&amp;" · teto "&amp;4*$MQ55&amp;"d8"&amp;IF($OD55=1," · a Forma devolve "&amp;$MQ55,"")&amp;IF($OY55&gt;0," · perde "&amp;$OY55,"")))</f>
        <v/>
      </c>
      <c r="QJ55" s="155">
        <f>IF($NB55=0,"",IF($MQ55=0,"A básica não amplia: os dados dela sobem com o nível",IF($MQ55&gt;=$ND55,"Já está na maior Classe que o nível liberou",TEXTJOIN(" · ",TRUE,IF(AND(2&gt;$MQ55,2&lt;=$ND55),"2 → "&amp;$PL55&amp;", 6 PE",""),IF(AND(3&gt;$MQ55,3&lt;=$ND55),"3 → "&amp;$PM55&amp;", 9 PE",""),IF(AND(4&gt;$MQ55,4&lt;=$ND55),"4 → "&amp;$PN55&amp;", 12 PE",""),IF(AND(5&gt;$MQ55,5&lt;=$ND55),"5 → "&amp;$PO55&amp;", 15 PE",""),IF(AND(6&gt;$MQ55,6&lt;=$ND55),"6 → "&amp;$PP55&amp;", 18 PE",""),IF(AND(7&gt;$MQ55,7&lt;=$ND55),"7 → "&amp;$PQ55&amp;", 21 PE","")))))</f>
        <v/>
      </c>
      <c r="QK55" s="155">
        <f>IF(OR($NB55=0,$NM55=0),"",IF($MQ55=0,"−1 dado","−"&amp;INDEX($I$2:$N$8,MAX(1,$MQ55),MAX(1,$NR55))&amp;" · "&amp;CHOOSE(MAX(1,$NR55),"Leve","Média","Pesada","Leve · Livre","Média · Livre","Pesada · Livre")))</f>
        <v/>
      </c>
      <c r="QL55" s="155">
        <f>IF(OR($NB55=0,$NN55=0),"",IF($MQ55=0,"−1 dado","−"&amp;INDEX($I$2:$N$8,MAX(1,$MQ55),MAX(1,$NS55))&amp;" · "&amp;CHOOSE(MAX(1,$NS55),"Leve","Média","Pesada","Leve · Livre","Média · Livre","Pesada · Livre")))</f>
        <v/>
      </c>
      <c r="QM55" s="155">
        <f>IF(OR($NB55=0,$NO55=0),"",IF($MQ55=0,"−1 dado","−"&amp;INDEX($I$2:$N$8,MAX(1,$MQ55),MAX(1,$NT55))&amp;" · "&amp;CHOOSE(MAX(1,$NT55),"Leve","Média","Pesada","Leve · Livre","Média · Livre","Pesada · Livre")))</f>
        <v/>
      </c>
      <c r="QN55" s="155">
        <f>IF(OR($NB55=0,$NP55=0),"",IF($MQ55=0,"−1 dado","−"&amp;INDEX($I$2:$N$8,MAX(1,$MQ55),MAX(1,$NU55))&amp;" · "&amp;CHOOSE(MAX(1,$NU55),"Leve","Média","Pesada","Leve · Livre","Média · Livre","Pesada · Livre")))</f>
        <v/>
      </c>
      <c r="QO55" s="155">
        <f>IF(OR($NB55=0,$MZ55=""),"",IF($MQ55=0,"não devolve","+"&amp;IF($OG55=1,CEILING($MQ55/2,1),$MQ55)))</f>
        <v/>
      </c>
      <c r="QP55" s="155">
        <f>IF(OR($NB55=0,$NA55=""),"",IF($MQ55=0,"não devolve","+"&amp;IF($OH55=1,CEILING($MQ55/2,1),$MQ55)))</f>
        <v/>
      </c>
    </row>
    <row r="56">
      <c r="AV56" s="153" t="inlineStr">
        <is>
          <t>Estilhaço</t>
        </is>
      </c>
      <c r="AW56" s="153" t="inlineStr">
        <is>
          <t>Castigo</t>
        </is>
      </c>
      <c r="AX56" s="155" t="n">
        <v>1</v>
      </c>
      <c r="AY56" s="155" t="n">
        <v>0</v>
      </c>
      <c r="AZ56" s="155" t="n">
        <v>0</v>
      </c>
      <c r="BA56" s="155" t="n">
        <v>0</v>
      </c>
      <c r="JR56" s="155">
        <f>IF(OR($AW56="",COUNTIF($EJ$2:$EN$2,$AW56)&gt;0),$AV56,"")</f>
        <v/>
      </c>
      <c r="JS56" s="155">
        <f>IF(AND($AX56=1,OR($AW56="",COUNTIF($EJ$2:$EN$2,$AW56)&gt;0)),$AV56,"")</f>
        <v/>
      </c>
      <c r="JX56" s="155">
        <f>IF(OR($AW56="",COUNTIF($EJ$3:$EN$3,$AW56)&gt;0),$AV56,"")</f>
        <v/>
      </c>
      <c r="JY56" s="155">
        <f>IF(AND($AX56=1,OR($AW56="",COUNTIF($EJ$3:$EN$3,$AW56)&gt;0)),$AV56,"")</f>
        <v/>
      </c>
      <c r="KD56" s="155">
        <f>IF(OR($AW56="",COUNTIF($EJ$4:$EN$4,$AW56)&gt;0),$AV56,"")</f>
        <v/>
      </c>
      <c r="KE56" s="155">
        <f>IF(AND($AX56=1,OR($AW56="",COUNTIF($EJ$4:$EN$4,$AW56)&gt;0)),$AV56,"")</f>
        <v/>
      </c>
      <c r="KJ56" s="155">
        <f>IF(OR($AW56="",COUNTIF($EJ$5:$EN$5,$AW56)&gt;0),$AV56,"")</f>
        <v/>
      </c>
      <c r="KK56" s="155">
        <f>IF(AND($AX56=1,OR($AW56="",COUNTIF($EJ$5:$EN$5,$AW56)&gt;0)),$AV56,"")</f>
        <v/>
      </c>
      <c r="KP56" s="155">
        <f>IF(OR($AW56="",COUNTIF($EJ$6:$EN$6,$AW56)&gt;0),$AV56,"")</f>
        <v/>
      </c>
      <c r="KQ56" s="155">
        <f>IF(AND($AX56=1,OR($AW56="",COUNTIF($EJ$6:$EN$6,$AW56)&gt;0)),$AV56,"")</f>
        <v/>
      </c>
      <c r="KV56" s="155">
        <f>IF(OR($AW56="",COUNTIF($EJ$7:$EN$7,$AW56)&gt;0),$AV56,"")</f>
        <v/>
      </c>
      <c r="KW56" s="155">
        <f>IF(AND($AX56=1,OR($AW56="",COUNTIF($EJ$7:$EN$7,$AW56)&gt;0)),$AV56,"")</f>
        <v/>
      </c>
      <c r="LB56" s="155">
        <f>IF(OR($AW56="",COUNTIF($EJ$8:$EN$8,$AW56)&gt;0),$AV56,"")</f>
        <v/>
      </c>
      <c r="LC56" s="155">
        <f>IF(AND($AX56=1,OR($AW56="",COUNTIF($EJ$8:$EN$8,$AW56)&gt;0)),$AV56,"")</f>
        <v/>
      </c>
      <c r="LH56" s="155">
        <f>IF(OR($AW56="",COUNTIF($EJ$9:$EN$9,$AW56)&gt;0),$AV56,"")</f>
        <v/>
      </c>
      <c r="LI56" s="155">
        <f>IF(AND($AX56=1,OR($AW56="",COUNTIF($EJ$9:$EN$9,$AW56)&gt;0)),$AV56,"")</f>
        <v/>
      </c>
      <c r="LN56" s="155">
        <f>IF(OR($AW56="",COUNTIF($EJ$10:$EN$10,$AW56)&gt;0),$AV56,"")</f>
        <v/>
      </c>
      <c r="LO56" s="155">
        <f>IF(AND($AX56=1,OR($AW56="",COUNTIF($EJ$10:$EN$10,$AW56)&gt;0)),$AV56,"")</f>
        <v/>
      </c>
      <c r="LT56" s="155">
        <f>IF(OR($AW56="",COUNTIF($EJ$11:$EN$11,$AW56)&gt;0),$AV56,"")</f>
        <v/>
      </c>
      <c r="LU56" s="155">
        <f>IF(AND($AX56=1,OR($AW56="",COUNTIF($EJ$11:$EN$11,$AW56)&gt;0)),$AV56,"")</f>
        <v/>
      </c>
      <c r="LZ56" s="155">
        <f>IF(OR($AW56="",COUNTIF($EJ$12:$EN$12,$AW56)&gt;0),$AV56,"")</f>
        <v/>
      </c>
      <c r="MA56" s="155">
        <f>IF(AND($AX56=1,OR($AW56="",COUNTIF($EJ$12:$EN$12,$AW56)&gt;0)),$AV56,"")</f>
        <v/>
      </c>
      <c r="MF56" s="155">
        <f>IF(OR($AW56="",COUNTIF($EJ$13:$EN$13,$AW56)&gt;0),$AV56,"")</f>
        <v/>
      </c>
      <c r="MG56" s="155">
        <f>IF(AND($AX56=1,OR($AW56="",COUNTIF($EJ$13:$EN$13,$AW56)&gt;0)),$AV56,"")</f>
        <v/>
      </c>
      <c r="ML56" s="153" t="inlineStr">
        <is>
          <t>Ficha 5 · Especial 2</t>
        </is>
      </c>
      <c r="MM56" s="155" t="n">
        <v>5</v>
      </c>
      <c r="MN56" s="155" t="n">
        <v>1</v>
      </c>
      <c r="MO56" s="155" t="n">
        <v>4</v>
      </c>
      <c r="MP56" s="153" t="inlineStr">
        <is>
          <t>ESPECIAL 2</t>
        </is>
      </c>
      <c r="MQ56" s="155">
        <f>MAX(1,MIN(7,N('INVOCAÇÕES'!$U$850)))</f>
        <v/>
      </c>
      <c r="MR56" s="155">
        <f>'INVOCAÇÕES'!$V$850&amp;""</f>
        <v/>
      </c>
      <c r="MS56" s="155">
        <f>'INVOCAÇÕES'!$U$855&amp;""</f>
        <v/>
      </c>
      <c r="MT56" s="155">
        <f>'INVOCAÇÕES'!$U$856&amp;""</f>
        <v/>
      </c>
      <c r="MU56" s="155">
        <f>'INVOCAÇÕES'!$W$856&amp;""</f>
        <v/>
      </c>
      <c r="MV56" s="155">
        <f>'INVOCAÇÕES'!$V$859&amp;""</f>
        <v/>
      </c>
      <c r="MW56" s="155">
        <f>'INVOCAÇÕES'!$V$860&amp;""</f>
        <v/>
      </c>
      <c r="MX56" s="155">
        <f>'INVOCAÇÕES'!$V$861&amp;""</f>
        <v/>
      </c>
      <c r="MY56" s="155">
        <f>'INVOCAÇÕES'!$V$862&amp;""</f>
        <v/>
      </c>
      <c r="MZ56" s="155">
        <f>'INVOCAÇÕES'!$V$863&amp;""</f>
        <v/>
      </c>
      <c r="NA56" s="155">
        <f>'INVOCAÇÕES'!$V$864&amp;""</f>
        <v/>
      </c>
      <c r="NB56" s="155">
        <f>IF($MR56&lt;&gt;"",1,0)</f>
        <v/>
      </c>
      <c r="NC56" s="155">
        <f>INDEX($FM$2:$FM$13,$MM56)</f>
        <v/>
      </c>
      <c r="ND56" s="155">
        <f>INDEX($FN$2:$FN$13,$MM56)</f>
        <v/>
      </c>
      <c r="NE56" s="155">
        <f>INDEX($FO$2:$FO$13,$MM56)</f>
        <v/>
      </c>
      <c r="NF56" s="155">
        <f>INDEX($FZ$2:$FZ$13,$MM56)</f>
        <v/>
      </c>
      <c r="NG56" s="155">
        <f>INDEX($GA$2:$GA$13,$MM56)</f>
        <v/>
      </c>
      <c r="NH56" s="155">
        <f>IFERROR(MATCH($MS56,$V$2:$V$11,0),0)</f>
        <v/>
      </c>
      <c r="NI56" s="155">
        <f>IFERROR(VLOOKUP($MV56,$AV$2:$BA$84,2,FALSE),"")</f>
        <v/>
      </c>
      <c r="NJ56" s="155">
        <f>IFERROR(VLOOKUP($MW56,$AV$2:$BA$84,2,FALSE),"")</f>
        <v/>
      </c>
      <c r="NK56" s="155">
        <f>IFERROR(VLOOKUP($MX56,$AV$2:$BA$84,2,FALSE),"")</f>
        <v/>
      </c>
      <c r="NL56" s="155">
        <f>IFERROR(VLOOKUP($MY56,$AV$2:$BA$84,2,FALSE),"")</f>
        <v/>
      </c>
      <c r="NM56" s="155">
        <f>IFERROR(VLOOKUP($MV56,$AV$2:$BA$84,3,FALSE),0)</f>
        <v/>
      </c>
      <c r="NN56" s="155">
        <f>IFERROR(VLOOKUP($MW56,$AV$2:$BA$84,3,FALSE),0)</f>
        <v/>
      </c>
      <c r="NO56" s="155">
        <f>IFERROR(VLOOKUP($MX56,$AV$2:$BA$84,3,FALSE),0)</f>
        <v/>
      </c>
      <c r="NP56" s="155">
        <f>IFERROR(VLOOKUP($MY56,$AV$2:$BA$84,3,FALSE),0)</f>
        <v/>
      </c>
      <c r="NQ56" s="155">
        <f>IF($MQ56=0,0,IF($NH56=0,0,INDEX($X$2:$X$11,$NH56)))</f>
        <v/>
      </c>
      <c r="NR56" s="155">
        <f>IF(OR($NM56=0,$MQ56=0),0,$NM56+3*IF(AND($NI56&lt;&gt;"",OR($NI56=INDEX($EJ$2:$EJ$13,$MM56),$NI56=INDEX($EK$2:$EK$13,$MM56))),1,0))</f>
        <v/>
      </c>
      <c r="NS56" s="155">
        <f>IF(OR($NN56=0,$MQ56=0),0,$NN56+3*IF(AND($NJ56&lt;&gt;"",OR($NJ56=INDEX($EJ$2:$EJ$13,$MM56),$NJ56=INDEX($EK$2:$EK$13,$MM56))),1,0))</f>
        <v/>
      </c>
      <c r="NT56" s="155">
        <f>IF(OR($NO56=0,$MQ56=0),0,$NO56+3*IF(AND($NK56&lt;&gt;"",OR($NK56=INDEX($EJ$2:$EJ$13,$MM56),$NK56=INDEX($EK$2:$EK$13,$MM56))),1,0))</f>
        <v/>
      </c>
      <c r="NU56" s="155">
        <f>IF(OR($NP56=0,$MQ56=0),0,$NP56+3*IF(AND($NL56&lt;&gt;"",OR($NL56=INDEX($EJ$2:$EJ$13,$MM56),$NL56=INDEX($EK$2:$EK$13,$MM56))),1,0))</f>
        <v/>
      </c>
      <c r="NV56" s="155">
        <f>IF($NH56=0,0,IF(INDEX($W$2:$W$11,$NH56)="",0,IF(COUNTIF(INDEX($EJ$2:$EN$13,$MM56,0),INDEX($W$2:$W$11,$NH56))=0,1,0)))</f>
        <v/>
      </c>
      <c r="NW56" s="155">
        <f>IF(OR($NM56=0,$NI56=""),0,IF(COUNTIF(INDEX($EJ$2:$EN$13,$MM56,0),$NI56)=0,1,0))</f>
        <v/>
      </c>
      <c r="NX56" s="155">
        <f>IF(OR($NN56=0,$NJ56=""),0,IF(COUNTIF(INDEX($EJ$2:$EN$13,$MM56,0),$NJ56)=0,1,0))</f>
        <v/>
      </c>
      <c r="NY56" s="155">
        <f>IF(OR($NO56=0,$NK56=""),0,IF(COUNTIF(INDEX($EJ$2:$EN$13,$MM56,0),$NK56)=0,1,0))</f>
        <v/>
      </c>
      <c r="NZ56" s="155">
        <f>IF(OR($NP56=0,$NL56=""),0,IF(COUNTIF(INDEX($EJ$2:$EN$13,$MM56,0),$NL56)=0,1,0))</f>
        <v/>
      </c>
      <c r="OA56" s="155">
        <f>IFERROR(VLOOKUP($MV56,$AV$2:$BA$84,4,FALSE),0)+IFERROR(VLOOKUP($MW56,$AV$2:$BA$84,4,FALSE),0)+IFERROR(VLOOKUP($MX56,$AV$2:$BA$84,4,FALSE),0)+IFERROR(VLOOKUP($MY56,$AV$2:$BA$84,4,FALSE),0)</f>
        <v/>
      </c>
      <c r="OB56" s="155">
        <f>IFERROR(VLOOKUP($MV56,$AV$2:$BA$84,6,FALSE),0)+IFERROR(VLOOKUP($MW56,$AV$2:$BA$84,6,FALSE),0)+IFERROR(VLOOKUP($MX56,$AV$2:$BA$84,6,FALSE),0)+IFERROR(VLOOKUP($MY56,$AV$2:$BA$84,6,FALSE),0)</f>
        <v/>
      </c>
      <c r="OC56" s="155">
        <f>TEXTJOIN(", ",TRUE,IF(IFERROR(VLOOKUP($MV56,$AV$2:$BA$84,5,FALSE),0)=1,$MV56,""),IF(IFERROR(VLOOKUP($MW56,$AV$2:$BA$84,5,FALSE),0)=1,$MW56,""),IF(IFERROR(VLOOKUP($MX56,$AV$2:$BA$84,5,FALSE),0)=1,$MX56,""),IF(IFERROR(VLOOKUP($MY56,$AV$2:$BA$84,5,FALSE),0)=1,$MY56,""))</f>
        <v/>
      </c>
      <c r="OD56" s="155">
        <f>IF($NH56=0,0,INDEX($Y$2:$Y$11,$NH56))</f>
        <v/>
      </c>
      <c r="OE56" s="155">
        <f>IF($NH56=0,0,INDEX($Z$2:$Z$11,$NH56))</f>
        <v/>
      </c>
      <c r="OF56" s="155">
        <f>IF($NH56=0,0,INDEX($AB$2:$AB$11,$NH56))</f>
        <v/>
      </c>
      <c r="OG56" s="155">
        <f>IFERROR(VLOOKUP($MZ56,$BC$2:$BG$24,3,FALSE),0)</f>
        <v/>
      </c>
      <c r="OH56" s="155">
        <f>IFERROR(VLOOKUP($NA56,$BC$2:$BG$24,3,FALSE),0)</f>
        <v/>
      </c>
      <c r="OI56" s="155">
        <f>IFERROR(VLOOKUP($MZ56,$BC$2:$BG$24,2,FALSE),"")</f>
        <v/>
      </c>
      <c r="OJ56" s="155">
        <f>IFERROR(VLOOKUP($NA56,$BC$2:$BG$24,2,FALSE),"")</f>
        <v/>
      </c>
      <c r="OK56" s="155">
        <f>COUNTIF($NQ56:$NU56,1)</f>
        <v/>
      </c>
      <c r="OL56" s="155">
        <f>COUNTIF($NQ56:$NU56,2)</f>
        <v/>
      </c>
      <c r="OM56" s="155">
        <f>COUNTIF($NQ56:$NU56,3)</f>
        <v/>
      </c>
      <c r="ON56" s="155">
        <f>COUNTIF($NQ56:$NU56,4)</f>
        <v/>
      </c>
      <c r="OO56" s="155">
        <f>COUNTIF($NQ56:$NU56,5)</f>
        <v/>
      </c>
      <c r="OP56" s="155">
        <f>COUNTIF($NQ56:$NU56,6)</f>
        <v/>
      </c>
      <c r="OQ56" s="155">
        <f>COUNTIF($OG56:$OH56,1)</f>
        <v/>
      </c>
      <c r="OR56" s="155">
        <f>COUNTIF($OG56:$OH56,2)+$OD56</f>
        <v/>
      </c>
      <c r="OS56" s="155">
        <f>COUNTIF($MV56:$MY56,"?*")</f>
        <v/>
      </c>
      <c r="OT56" s="155">
        <f>COUNTIF($MZ56:$NA56,"?*")+$OD56</f>
        <v/>
      </c>
      <c r="OU56" s="155">
        <f>IF($MQ56=0,0,SUMPRODUCT($OK56:$OP56,INDEX($I$2:$N$8,MAX(1,$MQ56),0)))</f>
        <v/>
      </c>
      <c r="OV56" s="155">
        <f>IF($MQ56=0,0,$OQ56*CEILING($MQ56/2,1)+$OR56*$MQ56)</f>
        <v/>
      </c>
      <c r="OW56" s="155">
        <f>MIN(2*$MQ56,$OV56)</f>
        <v/>
      </c>
      <c r="OX56" s="155">
        <f>MIN($OW56,$OU56)</f>
        <v/>
      </c>
      <c r="OY56" s="155">
        <f>$OW56-$OX56</f>
        <v/>
      </c>
      <c r="OZ56" s="155">
        <f>IF($MQ56=0,0,INDEX($P$2:$P$8,MAX(1,$MQ56)))</f>
        <v/>
      </c>
      <c r="PA56" s="155">
        <f>$OZ56-$OU56+$OX56</f>
        <v/>
      </c>
      <c r="PB56" s="155">
        <f>IF($MQ56=0,MAX(0,$NE56-IF($OS56&gt;0,1,0)),MAX(0,$PA56))</f>
        <v/>
      </c>
      <c r="PC56" s="155">
        <f>IF($MQ56=0,0,(IF(COUNTIF($MV56:$MY56,"Salto")&gt;0,1,0)+IF(COUNTIF($MV56:$MY56,"Queima")&gt;0,1,0)+IF(COUNTIF($MV56:$MY56,"Estilhaço")&gt;0,1,0))*FLOOR($PB56/2,1))</f>
        <v/>
      </c>
      <c r="PD56" s="155">
        <f>MAX(0,2-SUMPRODUCT($OK56:$OP56,$I$2:$N$2)+MIN(2,$OQ56*1+$OR56*1,SUMPRODUCT($OK56:$OP56,$I$2:$N$2)))</f>
        <v/>
      </c>
      <c r="PE56" s="155">
        <f>MAX(0,4-SUMPRODUCT($OK56:$OP56,$I$3:$N$3)+MIN(4,$OQ56*1+$OR56*2,SUMPRODUCT($OK56:$OP56,$I$3:$N$3)))</f>
        <v/>
      </c>
      <c r="PF56" s="155">
        <f>MAX(0,6-SUMPRODUCT($OK56:$OP56,$I$4:$N$4)+MIN(6,$OQ56*2+$OR56*3,SUMPRODUCT($OK56:$OP56,$I$4:$N$4)))</f>
        <v/>
      </c>
      <c r="PG56" s="155">
        <f>MAX(0,9-SUMPRODUCT($OK56:$OP56,$I$5:$N$5)+MIN(8,$OQ56*2+$OR56*4,SUMPRODUCT($OK56:$OP56,$I$5:$N$5)))</f>
        <v/>
      </c>
      <c r="PH56" s="155">
        <f>MAX(0,11-SUMPRODUCT($OK56:$OP56,$I$6:$N$6)+MIN(10,$OQ56*3+$OR56*5,SUMPRODUCT($OK56:$OP56,$I$6:$N$6)))</f>
        <v/>
      </c>
      <c r="PI56" s="155">
        <f>MAX(0,13-SUMPRODUCT($OK56:$OP56,$I$7:$N$7)+MIN(12,$OQ56*3+$OR56*6,SUMPRODUCT($OK56:$OP56,$I$7:$N$7)))</f>
        <v/>
      </c>
      <c r="PJ56" s="155">
        <f>MAX(0,16-SUMPRODUCT($OK56:$OP56,$I$8:$N$8)+MIN(14,$OQ56*4+$OR56*7,SUMPRODUCT($OK56:$OP56,$I$8:$N$8)))</f>
        <v/>
      </c>
      <c r="PK56" s="155">
        <f>IF($OE56=2,3*$PD56&amp;" de vida temp.",IF($OE56=3,"sem dano",IF($PD56=0,IF($OE56=1,"sem cura","sem dano"),IF($OE56=1,"cura ","")&amp;$PD56&amp;"d8")))</f>
        <v/>
      </c>
      <c r="PL56" s="155">
        <f>IF($OE56=2,3*$PE56&amp;" de vida temp.",IF($OE56=3,"sem dano",IF($PE56=0,IF($OE56=1,"sem cura","sem dano"),IF($OE56=1,"cura ","")&amp;$PE56&amp;"d8")))</f>
        <v/>
      </c>
      <c r="PM56" s="155">
        <f>IF($OE56=2,3*$PF56&amp;" de vida temp.",IF($OE56=3,"sem dano",IF($PF56=0,IF($OE56=1,"sem cura","sem dano"),IF($OE56=1,"cura ","")&amp;$PF56&amp;"d8")))</f>
        <v/>
      </c>
      <c r="PN56" s="155">
        <f>IF($OE56=2,3*$PG56&amp;" de vida temp.",IF($OE56=3,"sem dano",IF($PG56=0,IF($OE56=1,"sem cura","sem dano"),IF($OE56=1,"cura ","")&amp;$PG56&amp;"d8")))</f>
        <v/>
      </c>
      <c r="PO56" s="155">
        <f>IF($OE56=2,3*$PH56&amp;" de vida temp.",IF($OE56=3,"sem dano",IF($PH56=0,IF($OE56=1,"sem cura","sem dano"),IF($OE56=1,"cura ","")&amp;$PH56&amp;"d8")))</f>
        <v/>
      </c>
      <c r="PP56" s="155">
        <f>IF($OE56=2,3*$PI56&amp;" de vida temp.",IF($OE56=3,"sem dano",IF($PI56=0,IF($OE56=1,"sem cura","sem dano"),IF($OE56=1,"cura ","")&amp;$PI56&amp;"d8")))</f>
        <v/>
      </c>
      <c r="PQ56" s="155">
        <f>IF($OE56=2,3*$PJ56&amp;" de vida temp.",IF($OE56=3,"sem dano",IF($PJ56=0,IF($OE56=1,"sem cura","sem dano"),IF($OE56=1,"cura ","")&amp;$PJ56&amp;"d8")))</f>
        <v/>
      </c>
      <c r="PR56" s="155">
        <f>IF($NB56=0,"",TEXTJOIN(" · ",TRUE,IF($MO56&gt;$NC56,"Este lugar abre no nível "&amp;$MO56,""),IF($MQ56&gt;$ND56,"Classe "&amp;$MQ56&amp;": o nível "&amp;$NC56&amp;" libera até a "&amp;$ND56,""),IF($NV56=1,"A Forma "&amp;$MS56&amp;" pede "&amp;INDEX($W$2:$W$11,$NH56)&amp;" aberta",""),IF(AND($MQ56=0,$NH56&gt;0,IF($NH56=0,0,INDEX($AF$2:$AF$11,$NH56))=0),$MS56&amp;" não existe na Classe 0",""),IF($NW56=1,"Família Fechada: "&amp;$MV56,""),IF($NX56=1,"Família Fechada: "&amp;$MW56,""),IF($NY56=1,"Família Fechada: "&amp;$MX56,""),IF($NZ56=1,"Família Fechada: "&amp;$MY56,""),IF(AND($MQ56&gt;0,$OS56&gt;INDEX($O$2:$O$8,MAX(1,$MQ56))),$OS56&amp;" Melhorias: a Classe "&amp;$MQ56&amp;" aceita "&amp;INDEX($O$2:$O$8,MAX(1,$MQ56)),""),IF(AND($MQ56=0,$OS56&gt;1),"A básica aceita uma Melhoria",""),IF(AND($MQ56=0,COUNTIF($NM56:$NP56,"&gt;1")&gt;0),"A básica só aceita Melhoria Leve",""),IF(AND($MQ56&gt;0,$OT56&gt;2),$OT56&amp;" Restrições"&amp;IF($OD56=1,", contando a que a Forma "&amp;$MS56&amp;" já traz","")&amp;": o limite é 2",""),IF(AND($MQ56=0,COUNTIF($MZ56:$NA56,"?*")&gt;1),"A básica aceita uma Restrição Leve",""),IF(AND($MQ56=0,COUNTIF($OG56:$OH56,2)&gt;0),"A básica só aceita Restrição Leve",""),IF(AND($MQ56&gt;0,$PA56&lt;0),"Orçamento estourado: faltam "&amp;(-$PA56)&amp;IF($PA56&lt;-1," pontos"," ponto"),""),IF(IFERROR(VLOOKUP($MZ56,$BC$2:$BG$24,4,FALSE),0)+IFERROR(VLOOKUP($NA56,$BC$2:$BG$24,4,FALSE),0)&gt;1,$OI56&amp;" e "&amp;$OJ56&amp;" são as duas de frequência",""),IF(AND((COUNTIF($MV56:$MY56,"Rápido")+COUNTIF($OI56:$OJ56,"Rápido"))&gt;0,(COUNTIF($MV56:$MY56,"Atrasar")+COUNTIF($OI56:$OJ56,"Atrasar"))&gt;0),"Rápido não entra com Atrasar",""),IF(AND((COUNTIF($MV56:$MY56,"Reação")+COUNTIF($OI56:$OJ56,"Reação"))&gt;0,(COUNTIF($MV56:$MY56,"Rápido")+COUNTIF($OI56:$OJ56,"Rápido"))&gt;0),"Reação não entra com Rápido",""),IF(AND((COUNTIF($MV56:$MY56,"Reação")+COUNTIF($OI56:$OJ56,"Reação"))&gt;0,(COUNTIF($MV56:$MY56,"Armado")+COUNTIF($OI56:$OJ56,"Armado"))&gt;0),"Reação não entra com Armado",""),IF(AND((COUNTIF($MV56:$MY56,"Reação")+COUNTIF($OI56:$OJ56,"Reação"))&gt;0,(COUNTIF($MV56:$MY56,"Atrasar")+COUNTIF($OI56:$OJ56,"Atrasar"))&gt;0),"Reação não entra com Atrasar",""),IF(AND((COUNTIF($MV56:$MY56,"Reação")+COUNTIF($OI56:$OJ56,"Reação"))&gt;0,(COUNTIF($MV56:$MY56,"Parado")+COUNTIF($OI56:$OJ56,"Parado"))&gt;0),"Reação não entra com Parado",""),IF(AND((COUNTIF($MV56:$MY56,"Atrasar")+COUNTIF($OI56:$OJ56,"Atrasar"))&gt;0,(COUNTIF($MV56:$MY56,"Parado")+COUNTIF($OI56:$OJ56,"Parado"))&gt;0),"Atrasar não entra com Parado",""),IF(AND((COUNTIF($MV56:$MY56,"Armado")+COUNTIF($OI56:$OJ56,"Armado"))&gt;0,(COUNTIF($MV56:$MY56,"Carregar")+COUNTIF($OI56:$OJ56,"Carregar"))&gt;0),"Armado não entra com Carregar",""),IF(AND(COUNTIF($OI56:$OJ56,"Corpo a Corpo")&gt;0,$OD56=0,OR($MS56="Cone",$MS56="Linha")),"Corpo a Corpo não entra em "&amp;$MS56,""),IF(AND(COUNTIF($OI56:$OJ56,"Corpo a Corpo")&gt;0,$OD56=1),"A Forma "&amp;$MS56&amp;" já traz o Corpo a Corpo",""),IF(AND(COUNTIF($OI56:$OJ56,"Tudo ou Nada")&gt;0,$OF56=0),"Tudo ou Nada só entra em habilidade de Teste de Resistência",""),IF(AND(COUNTIF($MV56:$MY56,"Inescapável")&gt;0,OR($OS56&gt;1,$OT56&gt;0)),"Inescapável não aceita outra peça",""),IF(AND($MQ56&gt;0,$PB56*IF(COUNTIF($MV56:$MY56,"Remate")&gt;0,1.25,1)+$PC56&gt;4*$MQ56),($PB56*IF(COUNTIF($MV56:$MY56,"Remate")&gt;0,1.25,1)+$PC56)&amp;" dados somando repetições"&amp;IF(COUNTIF($MV56:$MY56,"Remate")&gt;0," e o Remate","")&amp;": o teto da Classe "&amp;$MQ56&amp;" é "&amp;4*$MQ56,"")))</f>
        <v/>
      </c>
      <c r="PS56" s="155">
        <f>IF($PR56="",0,(LEN($PR56)-LEN(SUBSTITUTE($PR56," · ","")))/3+1)</f>
        <v/>
      </c>
      <c r="PT56" s="155">
        <f>IF($NB56=0,"",TEXTJOIN(" · ",TRUE,IF($OV56&gt;2*$MQ56,"A devolução parou no teto de "&amp;2*$MQ56,""),IF($OY56&gt;0,"Devolução perdida: "&amp;$OY56&amp;IF($OY56&gt;1," pontos"," ponto")&amp;" sem peça para pagar",""),IF(AND($OA56&gt;0,AND($MQ56&gt;0,$OE56=0),$PB56=0),"Controle sem dano: uma rodada a mais e CD +2",""),IF(AND($OA56&gt;0,AND($MQ56&gt;0,$OE56=0),$PB56&gt;0,$PB56&lt;=$MQ56),"Controle com saldo até a Classe: uma rodada a mais",""),IF(AND($MQ56&gt;0,$OC56&lt;&gt;""),"Efeito de "&amp;$OC56&amp;" pela Classe "&amp;MAX(1,$MQ56-1),"")))</f>
        <v/>
      </c>
      <c r="PU56" s="155">
        <f>IF($PT56="",0,(LEN($PT56)-LEN(SUBSTITUTE($PT56," · ","")))/3+1)</f>
        <v/>
      </c>
      <c r="PV56" s="155">
        <f>IF($NB56=0,IF($OS56+COUNTIF($MZ56:$NA56,"?*")&gt;0,"Dê um nome",""),IF($PS56&gt;0,"⚠ "&amp;$PS56&amp;IF($PS56&gt;1," erros"," erro"),IF($PU56&gt;0,"! "&amp;$PU56&amp;IF($PU56&gt;1," avisos"," aviso"),"Na regra")))</f>
        <v/>
      </c>
      <c r="PW56" s="155">
        <f>IF($NB56=0,"",IF($PS56+$PU56=0,"Dentro das regras que a ficha confere",$PR56&amp;IF(AND($PS56&gt;0,$PU56&gt;0)," · ","")&amp;$PT56))</f>
        <v/>
      </c>
      <c r="PX56" s="155">
        <f>IF($MO56&gt;$NC56,$MP56&amp;" · ABRE NO NÍVEL "&amp;$MO56,$MP56)</f>
        <v/>
      </c>
      <c r="PY56" s="155">
        <f>IF($NB56=0,"",IF($MQ56=0,"Sem PE",3*$MQ56&amp;" PE"))</f>
        <v/>
      </c>
      <c r="PZ56" s="155">
        <f>IF($NB56=0,"",IF($MQ56=0,"A atuação básica dela",IF(COUNTIF($OI56:$OJ56,"Atrasar")&gt;0,"Sua Ação Completa",IF(COUNTIF($MV56:$MY56,"Rápido")&gt;0,"Sua Bônus",IF(COUNTIF($MV56:$MY56,"Reação")&gt;0,"Sua Reação","Sua Padrão")))&amp;" + a básica dela"&amp;IF(COUNTIF($MV56:$MY56,"Reação")&gt;0," e a coletiva","")&amp;IF(COUNTIF($OI56:$OJ56,"Carregar")&gt;0," · em dois turnos","")))</f>
        <v/>
      </c>
      <c r="QA56" s="155">
        <f>IF($MU56&lt;&gt;"",$MU56,IF($NH56=0,"",INDEX($AA$2:$AA$11,$NH56)))</f>
        <v/>
      </c>
      <c r="QB56" s="155">
        <f>IF(OR($NB56=0,$NH56=0),"",IF(COUNTIF($MV56:$MY56,"Inescapável")&gt;0,"Automático",IF($QA56="Ataque",IF($NF56="","Ataque","Ataque "&amp;IF(($NF56+2*IF(COUNTIF($MV56:$MY56,"Precisão")&gt;0,1,0))&gt;=0,"+","−")&amp;ABS(($NF56+2*IF(COUNTIF($MV56:$MY56,"Precisão")&gt;0,1,0))))&amp;IF($OB56&gt;0," · TR"&amp;IF($NG56="",""," CD "&amp;$NG56),""),IF(LEFT($QA56,2)="TR",$QA56&amp;IF($NG56="",""," · CD "&amp;$NG56)&amp;IF(COUNTIF($MV56:$MY56,"Certeiro")&gt;0," · metade",""),"Sem rolagem"))))</f>
        <v/>
      </c>
      <c r="QC56" s="155">
        <f>IF(OR($NB56=0,$NH56=0),"",IF($MQ56=0,IF(OR($OE56&gt;=1,$PB56=0),"Sem dano",$PB56&amp;"d6"&amp;IF($MT56="",""," "&amp;$MT56)),IF(OR($OE56&gt;=1,$PB56=0),UPPER(LEFT(INDEX($PK56:$PQ56,1,MAX(1,$MQ56)),1))&amp;MID(INDEX($PK56:$PQ56,1,MAX(1,$MQ56)),2,99),UPPER(LEFT(INDEX($PK56:$PQ56,1,MAX(1,$MQ56)),1))&amp;MID(INDEX($PK56:$PQ56,1,MAX(1,$MQ56)),2,99)&amp;IF($MT56="",""," "&amp;$MT56)&amp;IF($PC56&gt;0," · +"&amp;$PC56&amp;"d8",""))))</f>
        <v/>
      </c>
      <c r="QD56" s="155">
        <f>COUNTIF($MV56:$MY56,"Longe")+3*COUNTIF($MV56:$MY56,"Muito Longe")</f>
        <v/>
      </c>
      <c r="QE56" s="155">
        <f>COUNTIF($MV56:$MY56,"Maior")+3*COUNTIF($MV56:$MY56,"Muito Maior")</f>
        <v/>
      </c>
      <c r="QF56" s="155">
        <f>IF($NH56=0,0,CHOOSE(1+INDEX($AC$2:$AC$11,$NH56),0,$QD56,$QE56,$QD56+$QE56))</f>
        <v/>
      </c>
      <c r="QG56" s="155">
        <f>IF($NH56=0,0,CHOOSE(1+INDEX($AD$2:$AD$11,$NH56),0,$QD56,$QE56,$QD56+$QE56))</f>
        <v/>
      </c>
      <c r="QH56" s="155">
        <f>IF(OR($NB56=0,$NH56=0),"",INDEX($AI$2:$AN$41,($NH56-1)*4+IF($MQ56=0,1,IF($MQ56&lt;=5,2,IF($MQ56=6,3,4))),1+MIN(5,$QF56))&amp;INDEX($AO$2:$AT$41,($NH56-1)*4+IF($MQ56=0,1,IF($MQ56&lt;=5,2,IF($MQ56=6,3,4))),1+MIN(5,$QG56))&amp;IF(INDEX($AE$2:$AE$11,$NH56)=1,IF(COUNTIF($MV56:$MY56,"Mais Um")&gt;0," · +"&amp;COUNTIF($MV56:$MY56,"Mais Um")&amp;IF(COUNTIF($MV56:$MY56,"Mais Um")&gt;1," alvos"," alvo"),"")&amp;IF(COUNTIF($MV56:$MY56,"Rajada")&gt;0,IF($MQ56=0," · 1 tiro"," · "&amp;(MAX(1,$MQ56-1)+1)&amp;" tiros"),""),""))</f>
        <v/>
      </c>
      <c r="QI56" s="155">
        <f>IF($NB56=0,"",IF($MQ56=0,$NE56&amp;"d6"&amp;IF($OS56&gt;0," − 1 = "&amp;$PB56&amp;"d6"," da básica do nível "&amp;$NC56),$OZ56&amp;" − "&amp;$OU56&amp;" + "&amp;$OX56&amp;" = "&amp;$PA56&amp;" · teto "&amp;4*$MQ56&amp;"d8"&amp;IF($OD56=1," · a Forma devolve "&amp;$MQ56,"")&amp;IF($OY56&gt;0," · perde "&amp;$OY56,"")))</f>
        <v/>
      </c>
      <c r="QJ56" s="155">
        <f>IF($NB56=0,"",IF($MQ56=0,"A básica não amplia: os dados dela sobem com o nível",IF($MQ56&gt;=$ND56,"Já está na maior Classe que o nível liberou",TEXTJOIN(" · ",TRUE,IF(AND(2&gt;$MQ56,2&lt;=$ND56),"2 → "&amp;$PL56&amp;", 6 PE",""),IF(AND(3&gt;$MQ56,3&lt;=$ND56),"3 → "&amp;$PM56&amp;", 9 PE",""),IF(AND(4&gt;$MQ56,4&lt;=$ND56),"4 → "&amp;$PN56&amp;", 12 PE",""),IF(AND(5&gt;$MQ56,5&lt;=$ND56),"5 → "&amp;$PO56&amp;", 15 PE",""),IF(AND(6&gt;$MQ56,6&lt;=$ND56),"6 → "&amp;$PP56&amp;", 18 PE",""),IF(AND(7&gt;$MQ56,7&lt;=$ND56),"7 → "&amp;$PQ56&amp;", 21 PE","")))))</f>
        <v/>
      </c>
      <c r="QK56" s="155">
        <f>IF(OR($NB56=0,$NM56=0),"",IF($MQ56=0,"−1 dado","−"&amp;INDEX($I$2:$N$8,MAX(1,$MQ56),MAX(1,$NR56))&amp;" · "&amp;CHOOSE(MAX(1,$NR56),"Leve","Média","Pesada","Leve · Livre","Média · Livre","Pesada · Livre")))</f>
        <v/>
      </c>
      <c r="QL56" s="155">
        <f>IF(OR($NB56=0,$NN56=0),"",IF($MQ56=0,"−1 dado","−"&amp;INDEX($I$2:$N$8,MAX(1,$MQ56),MAX(1,$NS56))&amp;" · "&amp;CHOOSE(MAX(1,$NS56),"Leve","Média","Pesada","Leve · Livre","Média · Livre","Pesada · Livre")))</f>
        <v/>
      </c>
      <c r="QM56" s="155">
        <f>IF(OR($NB56=0,$NO56=0),"",IF($MQ56=0,"−1 dado","−"&amp;INDEX($I$2:$N$8,MAX(1,$MQ56),MAX(1,$NT56))&amp;" · "&amp;CHOOSE(MAX(1,$NT56),"Leve","Média","Pesada","Leve · Livre","Média · Livre","Pesada · Livre")))</f>
        <v/>
      </c>
      <c r="QN56" s="155">
        <f>IF(OR($NB56=0,$NP56=0),"",IF($MQ56=0,"−1 dado","−"&amp;INDEX($I$2:$N$8,MAX(1,$MQ56),MAX(1,$NU56))&amp;" · "&amp;CHOOSE(MAX(1,$NU56),"Leve","Média","Pesada","Leve · Livre","Média · Livre","Pesada · Livre")))</f>
        <v/>
      </c>
      <c r="QO56" s="155">
        <f>IF(OR($NB56=0,$MZ56=""),"",IF($MQ56=0,"não devolve","+"&amp;IF($OG56=1,CEILING($MQ56/2,1),$MQ56)))</f>
        <v/>
      </c>
      <c r="QP56" s="155">
        <f>IF(OR($NB56=0,$NA56=""),"",IF($MQ56=0,"não devolve","+"&amp;IF($OH56=1,CEILING($MQ56/2,1),$MQ56)))</f>
        <v/>
      </c>
    </row>
    <row r="57">
      <c r="AV57" s="153" t="inlineStr">
        <is>
          <t>Quebra Coisa</t>
        </is>
      </c>
      <c r="AW57" s="153" t="inlineStr">
        <is>
          <t>Castigo</t>
        </is>
      </c>
      <c r="AX57" s="155" t="n">
        <v>1</v>
      </c>
      <c r="AY57" s="155" t="n">
        <v>0</v>
      </c>
      <c r="AZ57" s="155" t="n">
        <v>0</v>
      </c>
      <c r="BA57" s="155" t="n">
        <v>0</v>
      </c>
      <c r="JR57" s="155">
        <f>IF(OR($AW57="",COUNTIF($EJ$2:$EN$2,$AW57)&gt;0),$AV57,"")</f>
        <v/>
      </c>
      <c r="JS57" s="155">
        <f>IF(AND($AX57=1,OR($AW57="",COUNTIF($EJ$2:$EN$2,$AW57)&gt;0)),$AV57,"")</f>
        <v/>
      </c>
      <c r="JX57" s="155">
        <f>IF(OR($AW57="",COUNTIF($EJ$3:$EN$3,$AW57)&gt;0),$AV57,"")</f>
        <v/>
      </c>
      <c r="JY57" s="155">
        <f>IF(AND($AX57=1,OR($AW57="",COUNTIF($EJ$3:$EN$3,$AW57)&gt;0)),$AV57,"")</f>
        <v/>
      </c>
      <c r="KD57" s="155">
        <f>IF(OR($AW57="",COUNTIF($EJ$4:$EN$4,$AW57)&gt;0),$AV57,"")</f>
        <v/>
      </c>
      <c r="KE57" s="155">
        <f>IF(AND($AX57=1,OR($AW57="",COUNTIF($EJ$4:$EN$4,$AW57)&gt;0)),$AV57,"")</f>
        <v/>
      </c>
      <c r="KJ57" s="155">
        <f>IF(OR($AW57="",COUNTIF($EJ$5:$EN$5,$AW57)&gt;0),$AV57,"")</f>
        <v/>
      </c>
      <c r="KK57" s="155">
        <f>IF(AND($AX57=1,OR($AW57="",COUNTIF($EJ$5:$EN$5,$AW57)&gt;0)),$AV57,"")</f>
        <v/>
      </c>
      <c r="KP57" s="155">
        <f>IF(OR($AW57="",COUNTIF($EJ$6:$EN$6,$AW57)&gt;0),$AV57,"")</f>
        <v/>
      </c>
      <c r="KQ57" s="155">
        <f>IF(AND($AX57=1,OR($AW57="",COUNTIF($EJ$6:$EN$6,$AW57)&gt;0)),$AV57,"")</f>
        <v/>
      </c>
      <c r="KV57" s="155">
        <f>IF(OR($AW57="",COUNTIF($EJ$7:$EN$7,$AW57)&gt;0),$AV57,"")</f>
        <v/>
      </c>
      <c r="KW57" s="155">
        <f>IF(AND($AX57=1,OR($AW57="",COUNTIF($EJ$7:$EN$7,$AW57)&gt;0)),$AV57,"")</f>
        <v/>
      </c>
      <c r="LB57" s="155">
        <f>IF(OR($AW57="",COUNTIF($EJ$8:$EN$8,$AW57)&gt;0),$AV57,"")</f>
        <v/>
      </c>
      <c r="LC57" s="155">
        <f>IF(AND($AX57=1,OR($AW57="",COUNTIF($EJ$8:$EN$8,$AW57)&gt;0)),$AV57,"")</f>
        <v/>
      </c>
      <c r="LH57" s="155">
        <f>IF(OR($AW57="",COUNTIF($EJ$9:$EN$9,$AW57)&gt;0),$AV57,"")</f>
        <v/>
      </c>
      <c r="LI57" s="155">
        <f>IF(AND($AX57=1,OR($AW57="",COUNTIF($EJ$9:$EN$9,$AW57)&gt;0)),$AV57,"")</f>
        <v/>
      </c>
      <c r="LN57" s="155">
        <f>IF(OR($AW57="",COUNTIF($EJ$10:$EN$10,$AW57)&gt;0),$AV57,"")</f>
        <v/>
      </c>
      <c r="LO57" s="155">
        <f>IF(AND($AX57=1,OR($AW57="",COUNTIF($EJ$10:$EN$10,$AW57)&gt;0)),$AV57,"")</f>
        <v/>
      </c>
      <c r="LT57" s="155">
        <f>IF(OR($AW57="",COUNTIF($EJ$11:$EN$11,$AW57)&gt;0),$AV57,"")</f>
        <v/>
      </c>
      <c r="LU57" s="155">
        <f>IF(AND($AX57=1,OR($AW57="",COUNTIF($EJ$11:$EN$11,$AW57)&gt;0)),$AV57,"")</f>
        <v/>
      </c>
      <c r="LZ57" s="155">
        <f>IF(OR($AW57="",COUNTIF($EJ$12:$EN$12,$AW57)&gt;0),$AV57,"")</f>
        <v/>
      </c>
      <c r="MA57" s="155">
        <f>IF(AND($AX57=1,OR($AW57="",COUNTIF($EJ$12:$EN$12,$AW57)&gt;0)),$AV57,"")</f>
        <v/>
      </c>
      <c r="MF57" s="155">
        <f>IF(OR($AW57="",COUNTIF($EJ$13:$EN$13,$AW57)&gt;0),$AV57,"")</f>
        <v/>
      </c>
      <c r="MG57" s="155">
        <f>IF(AND($AX57=1,OR($AW57="",COUNTIF($EJ$13:$EN$13,$AW57)&gt;0)),$AV57,"")</f>
        <v/>
      </c>
      <c r="ML57" s="153" t="inlineStr">
        <is>
          <t>Ficha 5 · Básica 2</t>
        </is>
      </c>
      <c r="MM57" s="155" t="n">
        <v>5</v>
      </c>
      <c r="MN57" s="155" t="n">
        <v>0</v>
      </c>
      <c r="MO57" s="155" t="n">
        <v>11</v>
      </c>
      <c r="MP57" s="153" t="inlineStr">
        <is>
          <t>BÁSICA 2</t>
        </is>
      </c>
      <c r="MQ57" s="155" t="n">
        <v>0</v>
      </c>
      <c r="MR57" s="155">
        <f>'INVOCAÇÕES'!$J$884&amp;""</f>
        <v/>
      </c>
      <c r="MS57" s="155">
        <f>'INVOCAÇÕES'!$I$889&amp;""</f>
        <v/>
      </c>
      <c r="MT57" s="155">
        <f>'INVOCAÇÕES'!$I$890&amp;""</f>
        <v/>
      </c>
      <c r="MU57" s="155">
        <f>'INVOCAÇÕES'!$K$890&amp;""</f>
        <v/>
      </c>
      <c r="MV57" s="155">
        <f>'INVOCAÇÕES'!$J$893&amp;""</f>
        <v/>
      </c>
      <c r="MW57" s="155">
        <f>'INVOCAÇÕES'!$J$894&amp;""</f>
        <v/>
      </c>
      <c r="MX57" s="155">
        <f>'INVOCAÇÕES'!$J$895&amp;""</f>
        <v/>
      </c>
      <c r="MY57" s="155">
        <f>'INVOCAÇÕES'!$J$896&amp;""</f>
        <v/>
      </c>
      <c r="MZ57" s="155">
        <f>'INVOCAÇÕES'!$J$897&amp;""</f>
        <v/>
      </c>
      <c r="NA57" s="155">
        <f>'INVOCAÇÕES'!$J$898&amp;""</f>
        <v/>
      </c>
      <c r="NB57" s="155">
        <f>IF($MR57&lt;&gt;"",1,0)</f>
        <v/>
      </c>
      <c r="NC57" s="155">
        <f>INDEX($FM$2:$FM$13,$MM57)</f>
        <v/>
      </c>
      <c r="ND57" s="155">
        <f>INDEX($FN$2:$FN$13,$MM57)</f>
        <v/>
      </c>
      <c r="NE57" s="155">
        <f>INDEX($FO$2:$FO$13,$MM57)</f>
        <v/>
      </c>
      <c r="NF57" s="155">
        <f>INDEX($FZ$2:$FZ$13,$MM57)</f>
        <v/>
      </c>
      <c r="NG57" s="155">
        <f>INDEX($GA$2:$GA$13,$MM57)</f>
        <v/>
      </c>
      <c r="NH57" s="155">
        <f>IFERROR(MATCH($MS57,$V$2:$V$11,0),0)</f>
        <v/>
      </c>
      <c r="NI57" s="155">
        <f>IFERROR(VLOOKUP($MV57,$AV$2:$BA$84,2,FALSE),"")</f>
        <v/>
      </c>
      <c r="NJ57" s="155">
        <f>IFERROR(VLOOKUP($MW57,$AV$2:$BA$84,2,FALSE),"")</f>
        <v/>
      </c>
      <c r="NK57" s="155">
        <f>IFERROR(VLOOKUP($MX57,$AV$2:$BA$84,2,FALSE),"")</f>
        <v/>
      </c>
      <c r="NL57" s="155">
        <f>IFERROR(VLOOKUP($MY57,$AV$2:$BA$84,2,FALSE),"")</f>
        <v/>
      </c>
      <c r="NM57" s="155">
        <f>IFERROR(VLOOKUP($MV57,$AV$2:$BA$84,3,FALSE),0)</f>
        <v/>
      </c>
      <c r="NN57" s="155">
        <f>IFERROR(VLOOKUP($MW57,$AV$2:$BA$84,3,FALSE),0)</f>
        <v/>
      </c>
      <c r="NO57" s="155">
        <f>IFERROR(VLOOKUP($MX57,$AV$2:$BA$84,3,FALSE),0)</f>
        <v/>
      </c>
      <c r="NP57" s="155">
        <f>IFERROR(VLOOKUP($MY57,$AV$2:$BA$84,3,FALSE),0)</f>
        <v/>
      </c>
      <c r="NQ57" s="155">
        <f>IF($MQ57=0,0,IF($NH57=0,0,INDEX($X$2:$X$11,$NH57)))</f>
        <v/>
      </c>
      <c r="NR57" s="155">
        <f>IF(OR($NM57=0,$MQ57=0),0,$NM57+3*IF(AND($NI57&lt;&gt;"",OR($NI57=INDEX($EJ$2:$EJ$13,$MM57),$NI57=INDEX($EK$2:$EK$13,$MM57))),1,0))</f>
        <v/>
      </c>
      <c r="NS57" s="155">
        <f>IF(OR($NN57=0,$MQ57=0),0,$NN57+3*IF(AND($NJ57&lt;&gt;"",OR($NJ57=INDEX($EJ$2:$EJ$13,$MM57),$NJ57=INDEX($EK$2:$EK$13,$MM57))),1,0))</f>
        <v/>
      </c>
      <c r="NT57" s="155">
        <f>IF(OR($NO57=0,$MQ57=0),0,$NO57+3*IF(AND($NK57&lt;&gt;"",OR($NK57=INDEX($EJ$2:$EJ$13,$MM57),$NK57=INDEX($EK$2:$EK$13,$MM57))),1,0))</f>
        <v/>
      </c>
      <c r="NU57" s="155">
        <f>IF(OR($NP57=0,$MQ57=0),0,$NP57+3*IF(AND($NL57&lt;&gt;"",OR($NL57=INDEX($EJ$2:$EJ$13,$MM57),$NL57=INDEX($EK$2:$EK$13,$MM57))),1,0))</f>
        <v/>
      </c>
      <c r="NV57" s="155">
        <f>IF($NH57=0,0,IF(INDEX($W$2:$W$11,$NH57)="",0,IF(COUNTIF(INDEX($EJ$2:$EN$13,$MM57,0),INDEX($W$2:$W$11,$NH57))=0,1,0)))</f>
        <v/>
      </c>
      <c r="NW57" s="155">
        <f>IF(OR($NM57=0,$NI57=""),0,IF(COUNTIF(INDEX($EJ$2:$EN$13,$MM57,0),$NI57)=0,1,0))</f>
        <v/>
      </c>
      <c r="NX57" s="155">
        <f>IF(OR($NN57=0,$NJ57=""),0,IF(COUNTIF(INDEX($EJ$2:$EN$13,$MM57,0),$NJ57)=0,1,0))</f>
        <v/>
      </c>
      <c r="NY57" s="155">
        <f>IF(OR($NO57=0,$NK57=""),0,IF(COUNTIF(INDEX($EJ$2:$EN$13,$MM57,0),$NK57)=0,1,0))</f>
        <v/>
      </c>
      <c r="NZ57" s="155">
        <f>IF(OR($NP57=0,$NL57=""),0,IF(COUNTIF(INDEX($EJ$2:$EN$13,$MM57,0),$NL57)=0,1,0))</f>
        <v/>
      </c>
      <c r="OA57" s="155">
        <f>IFERROR(VLOOKUP($MV57,$AV$2:$BA$84,4,FALSE),0)+IFERROR(VLOOKUP($MW57,$AV$2:$BA$84,4,FALSE),0)+IFERROR(VLOOKUP($MX57,$AV$2:$BA$84,4,FALSE),0)+IFERROR(VLOOKUP($MY57,$AV$2:$BA$84,4,FALSE),0)</f>
        <v/>
      </c>
      <c r="OB57" s="155">
        <f>IFERROR(VLOOKUP($MV57,$AV$2:$BA$84,6,FALSE),0)+IFERROR(VLOOKUP($MW57,$AV$2:$BA$84,6,FALSE),0)+IFERROR(VLOOKUP($MX57,$AV$2:$BA$84,6,FALSE),0)+IFERROR(VLOOKUP($MY57,$AV$2:$BA$84,6,FALSE),0)</f>
        <v/>
      </c>
      <c r="OC57" s="155">
        <f>TEXTJOIN(", ",TRUE,IF(IFERROR(VLOOKUP($MV57,$AV$2:$BA$84,5,FALSE),0)=1,$MV57,""),IF(IFERROR(VLOOKUP($MW57,$AV$2:$BA$84,5,FALSE),0)=1,$MW57,""),IF(IFERROR(VLOOKUP($MX57,$AV$2:$BA$84,5,FALSE),0)=1,$MX57,""),IF(IFERROR(VLOOKUP($MY57,$AV$2:$BA$84,5,FALSE),0)=1,$MY57,""))</f>
        <v/>
      </c>
      <c r="OD57" s="155">
        <f>IF($NH57=0,0,INDEX($Y$2:$Y$11,$NH57))</f>
        <v/>
      </c>
      <c r="OE57" s="155">
        <f>IF($NH57=0,0,INDEX($Z$2:$Z$11,$NH57))</f>
        <v/>
      </c>
      <c r="OF57" s="155">
        <f>IF($NH57=0,0,INDEX($AB$2:$AB$11,$NH57))</f>
        <v/>
      </c>
      <c r="OG57" s="155">
        <f>IFERROR(VLOOKUP($MZ57,$BC$2:$BG$24,3,FALSE),0)</f>
        <v/>
      </c>
      <c r="OH57" s="155">
        <f>IFERROR(VLOOKUP($NA57,$BC$2:$BG$24,3,FALSE),0)</f>
        <v/>
      </c>
      <c r="OI57" s="155">
        <f>IFERROR(VLOOKUP($MZ57,$BC$2:$BG$24,2,FALSE),"")</f>
        <v/>
      </c>
      <c r="OJ57" s="155">
        <f>IFERROR(VLOOKUP($NA57,$BC$2:$BG$24,2,FALSE),"")</f>
        <v/>
      </c>
      <c r="OK57" s="155">
        <f>COUNTIF($NQ57:$NU57,1)</f>
        <v/>
      </c>
      <c r="OL57" s="155">
        <f>COUNTIF($NQ57:$NU57,2)</f>
        <v/>
      </c>
      <c r="OM57" s="155">
        <f>COUNTIF($NQ57:$NU57,3)</f>
        <v/>
      </c>
      <c r="ON57" s="155">
        <f>COUNTIF($NQ57:$NU57,4)</f>
        <v/>
      </c>
      <c r="OO57" s="155">
        <f>COUNTIF($NQ57:$NU57,5)</f>
        <v/>
      </c>
      <c r="OP57" s="155">
        <f>COUNTIF($NQ57:$NU57,6)</f>
        <v/>
      </c>
      <c r="OQ57" s="155">
        <f>COUNTIF($OG57:$OH57,1)</f>
        <v/>
      </c>
      <c r="OR57" s="155">
        <f>COUNTIF($OG57:$OH57,2)+$OD57</f>
        <v/>
      </c>
      <c r="OS57" s="155">
        <f>COUNTIF($MV57:$MY57,"?*")</f>
        <v/>
      </c>
      <c r="OT57" s="155">
        <f>COUNTIF($MZ57:$NA57,"?*")+$OD57</f>
        <v/>
      </c>
      <c r="OU57" s="155">
        <f>IF($MQ57=0,0,SUMPRODUCT($OK57:$OP57,INDEX($I$2:$N$8,MAX(1,$MQ57),0)))</f>
        <v/>
      </c>
      <c r="OV57" s="155">
        <f>IF($MQ57=0,0,$OQ57*CEILING($MQ57/2,1)+$OR57*$MQ57)</f>
        <v/>
      </c>
      <c r="OW57" s="155">
        <f>MIN(2*$MQ57,$OV57)</f>
        <v/>
      </c>
      <c r="OX57" s="155">
        <f>MIN($OW57,$OU57)</f>
        <v/>
      </c>
      <c r="OY57" s="155">
        <f>$OW57-$OX57</f>
        <v/>
      </c>
      <c r="OZ57" s="155">
        <f>IF($MQ57=0,0,INDEX($P$2:$P$8,MAX(1,$MQ57)))</f>
        <v/>
      </c>
      <c r="PA57" s="155">
        <f>$OZ57-$OU57+$OX57</f>
        <v/>
      </c>
      <c r="PB57" s="155">
        <f>IF($MQ57=0,MAX(0,$NE57-IF($OS57&gt;0,1,0)),MAX(0,$PA57))</f>
        <v/>
      </c>
      <c r="PC57" s="155">
        <f>IF($MQ57=0,0,(IF(COUNTIF($MV57:$MY57,"Salto")&gt;0,1,0)+IF(COUNTIF($MV57:$MY57,"Queima")&gt;0,1,0)+IF(COUNTIF($MV57:$MY57,"Estilhaço")&gt;0,1,0))*FLOOR($PB57/2,1))</f>
        <v/>
      </c>
      <c r="PD57" s="155">
        <f>MAX(0,2-SUMPRODUCT($OK57:$OP57,$I$2:$N$2)+MIN(2,$OQ57*1+$OR57*1,SUMPRODUCT($OK57:$OP57,$I$2:$N$2)))</f>
        <v/>
      </c>
      <c r="PE57" s="155">
        <f>MAX(0,4-SUMPRODUCT($OK57:$OP57,$I$3:$N$3)+MIN(4,$OQ57*1+$OR57*2,SUMPRODUCT($OK57:$OP57,$I$3:$N$3)))</f>
        <v/>
      </c>
      <c r="PF57" s="155">
        <f>MAX(0,6-SUMPRODUCT($OK57:$OP57,$I$4:$N$4)+MIN(6,$OQ57*2+$OR57*3,SUMPRODUCT($OK57:$OP57,$I$4:$N$4)))</f>
        <v/>
      </c>
      <c r="PG57" s="155">
        <f>MAX(0,9-SUMPRODUCT($OK57:$OP57,$I$5:$N$5)+MIN(8,$OQ57*2+$OR57*4,SUMPRODUCT($OK57:$OP57,$I$5:$N$5)))</f>
        <v/>
      </c>
      <c r="PH57" s="155">
        <f>MAX(0,11-SUMPRODUCT($OK57:$OP57,$I$6:$N$6)+MIN(10,$OQ57*3+$OR57*5,SUMPRODUCT($OK57:$OP57,$I$6:$N$6)))</f>
        <v/>
      </c>
      <c r="PI57" s="155">
        <f>MAX(0,13-SUMPRODUCT($OK57:$OP57,$I$7:$N$7)+MIN(12,$OQ57*3+$OR57*6,SUMPRODUCT($OK57:$OP57,$I$7:$N$7)))</f>
        <v/>
      </c>
      <c r="PJ57" s="155">
        <f>MAX(0,16-SUMPRODUCT($OK57:$OP57,$I$8:$N$8)+MIN(14,$OQ57*4+$OR57*7,SUMPRODUCT($OK57:$OP57,$I$8:$N$8)))</f>
        <v/>
      </c>
      <c r="PK57" s="155">
        <f>IF($OE57=2,3*$PD57&amp;" de vida temp.",IF($OE57=3,"sem dano",IF($PD57=0,IF($OE57=1,"sem cura","sem dano"),IF($OE57=1,"cura ","")&amp;$PD57&amp;"d8")))</f>
        <v/>
      </c>
      <c r="PL57" s="155">
        <f>IF($OE57=2,3*$PE57&amp;" de vida temp.",IF($OE57=3,"sem dano",IF($PE57=0,IF($OE57=1,"sem cura","sem dano"),IF($OE57=1,"cura ","")&amp;$PE57&amp;"d8")))</f>
        <v/>
      </c>
      <c r="PM57" s="155">
        <f>IF($OE57=2,3*$PF57&amp;" de vida temp.",IF($OE57=3,"sem dano",IF($PF57=0,IF($OE57=1,"sem cura","sem dano"),IF($OE57=1,"cura ","")&amp;$PF57&amp;"d8")))</f>
        <v/>
      </c>
      <c r="PN57" s="155">
        <f>IF($OE57=2,3*$PG57&amp;" de vida temp.",IF($OE57=3,"sem dano",IF($PG57=0,IF($OE57=1,"sem cura","sem dano"),IF($OE57=1,"cura ","")&amp;$PG57&amp;"d8")))</f>
        <v/>
      </c>
      <c r="PO57" s="155">
        <f>IF($OE57=2,3*$PH57&amp;" de vida temp.",IF($OE57=3,"sem dano",IF($PH57=0,IF($OE57=1,"sem cura","sem dano"),IF($OE57=1,"cura ","")&amp;$PH57&amp;"d8")))</f>
        <v/>
      </c>
      <c r="PP57" s="155">
        <f>IF($OE57=2,3*$PI57&amp;" de vida temp.",IF($OE57=3,"sem dano",IF($PI57=0,IF($OE57=1,"sem cura","sem dano"),IF($OE57=1,"cura ","")&amp;$PI57&amp;"d8")))</f>
        <v/>
      </c>
      <c r="PQ57" s="155">
        <f>IF($OE57=2,3*$PJ57&amp;" de vida temp.",IF($OE57=3,"sem dano",IF($PJ57=0,IF($OE57=1,"sem cura","sem dano"),IF($OE57=1,"cura ","")&amp;$PJ57&amp;"d8")))</f>
        <v/>
      </c>
      <c r="PR57" s="155">
        <f>IF($NB57=0,"",TEXTJOIN(" · ",TRUE,IF($MO57&gt;$NC57,"Este lugar abre no nível "&amp;$MO57,""),IF($MQ57&gt;$ND57,"Classe "&amp;$MQ57&amp;": o nível "&amp;$NC57&amp;" libera até a "&amp;$ND57,""),IF($NV57=1,"A Forma "&amp;$MS57&amp;" pede "&amp;INDEX($W$2:$W$11,$NH57)&amp;" aberta",""),IF(AND($MQ57=0,$NH57&gt;0,IF($NH57=0,0,INDEX($AF$2:$AF$11,$NH57))=0),$MS57&amp;" não existe na Classe 0",""),IF($NW57=1,"Família Fechada: "&amp;$MV57,""),IF($NX57=1,"Família Fechada: "&amp;$MW57,""),IF($NY57=1,"Família Fechada: "&amp;$MX57,""),IF($NZ57=1,"Família Fechada: "&amp;$MY57,""),IF(AND($MQ57&gt;0,$OS57&gt;INDEX($O$2:$O$8,MAX(1,$MQ57))),$OS57&amp;" Melhorias: a Classe "&amp;$MQ57&amp;" aceita "&amp;INDEX($O$2:$O$8,MAX(1,$MQ57)),""),IF(AND($MQ57=0,$OS57&gt;1),"A básica aceita uma Melhoria",""),IF(AND($MQ57=0,COUNTIF($NM57:$NP57,"&gt;1")&gt;0),"A básica só aceita Melhoria Leve",""),IF(AND($MQ57&gt;0,$OT57&gt;2),$OT57&amp;" Restrições"&amp;IF($OD57=1,", contando a que a Forma "&amp;$MS57&amp;" já traz","")&amp;": o limite é 2",""),IF(AND($MQ57=0,COUNTIF($MZ57:$NA57,"?*")&gt;1),"A básica aceita uma Restrição Leve",""),IF(AND($MQ57=0,COUNTIF($OG57:$OH57,2)&gt;0),"A básica só aceita Restrição Leve",""),IF(AND($MQ57&gt;0,$PA57&lt;0),"Orçamento estourado: faltam "&amp;(-$PA57)&amp;IF($PA57&lt;-1," pontos"," ponto"),""),IF(IFERROR(VLOOKUP($MZ57,$BC$2:$BG$24,4,FALSE),0)+IFERROR(VLOOKUP($NA57,$BC$2:$BG$24,4,FALSE),0)&gt;1,$OI57&amp;" e "&amp;$OJ57&amp;" são as duas de frequência",""),IF(AND((COUNTIF($MV57:$MY57,"Rápido")+COUNTIF($OI57:$OJ57,"Rápido"))&gt;0,(COUNTIF($MV57:$MY57,"Atrasar")+COUNTIF($OI57:$OJ57,"Atrasar"))&gt;0),"Rápido não entra com Atrasar",""),IF(AND((COUNTIF($MV57:$MY57,"Reação")+COUNTIF($OI57:$OJ57,"Reação"))&gt;0,(COUNTIF($MV57:$MY57,"Rápido")+COUNTIF($OI57:$OJ57,"Rápido"))&gt;0),"Reação não entra com Rápido",""),IF(AND((COUNTIF($MV57:$MY57,"Reação")+COUNTIF($OI57:$OJ57,"Reação"))&gt;0,(COUNTIF($MV57:$MY57,"Armado")+COUNTIF($OI57:$OJ57,"Armado"))&gt;0),"Reação não entra com Armado",""),IF(AND((COUNTIF($MV57:$MY57,"Reação")+COUNTIF($OI57:$OJ57,"Reação"))&gt;0,(COUNTIF($MV57:$MY57,"Atrasar")+COUNTIF($OI57:$OJ57,"Atrasar"))&gt;0),"Reação não entra com Atrasar",""),IF(AND((COUNTIF($MV57:$MY57,"Reação")+COUNTIF($OI57:$OJ57,"Reação"))&gt;0,(COUNTIF($MV57:$MY57,"Parado")+COUNTIF($OI57:$OJ57,"Parado"))&gt;0),"Reação não entra com Parado",""),IF(AND((COUNTIF($MV57:$MY57,"Atrasar")+COUNTIF($OI57:$OJ57,"Atrasar"))&gt;0,(COUNTIF($MV57:$MY57,"Parado")+COUNTIF($OI57:$OJ57,"Parado"))&gt;0),"Atrasar não entra com Parado",""),IF(AND((COUNTIF($MV57:$MY57,"Armado")+COUNTIF($OI57:$OJ57,"Armado"))&gt;0,(COUNTIF($MV57:$MY57,"Carregar")+COUNTIF($OI57:$OJ57,"Carregar"))&gt;0),"Armado não entra com Carregar",""),IF(AND(COUNTIF($OI57:$OJ57,"Corpo a Corpo")&gt;0,$OD57=0,OR($MS57="Cone",$MS57="Linha")),"Corpo a Corpo não entra em "&amp;$MS57,""),IF(AND(COUNTIF($OI57:$OJ57,"Corpo a Corpo")&gt;0,$OD57=1),"A Forma "&amp;$MS57&amp;" já traz o Corpo a Corpo",""),IF(AND(COUNTIF($OI57:$OJ57,"Tudo ou Nada")&gt;0,$OF57=0),"Tudo ou Nada só entra em habilidade de Teste de Resistência",""),IF(AND(COUNTIF($MV57:$MY57,"Inescapável")&gt;0,OR($OS57&gt;1,$OT57&gt;0)),"Inescapável não aceita outra peça",""),IF(AND($MQ57&gt;0,$PB57*IF(COUNTIF($MV57:$MY57,"Remate")&gt;0,1.25,1)+$PC57&gt;4*$MQ57),($PB57*IF(COUNTIF($MV57:$MY57,"Remate")&gt;0,1.25,1)+$PC57)&amp;" dados somando repetições"&amp;IF(COUNTIF($MV57:$MY57,"Remate")&gt;0," e o Remate","")&amp;": o teto da Classe "&amp;$MQ57&amp;" é "&amp;4*$MQ57,"")))</f>
        <v/>
      </c>
      <c r="PS57" s="155">
        <f>IF($PR57="",0,(LEN($PR57)-LEN(SUBSTITUTE($PR57," · ","")))/3+1)</f>
        <v/>
      </c>
      <c r="PT57" s="155">
        <f>IF($NB57=0,"",TEXTJOIN(" · ",TRUE,IF($OV57&gt;2*$MQ57,"A devolução parou no teto de "&amp;2*$MQ57,""),IF($OY57&gt;0,"Devolução perdida: "&amp;$OY57&amp;IF($OY57&gt;1," pontos"," ponto")&amp;" sem peça para pagar",""),IF(AND($OA57&gt;0,AND($MQ57&gt;0,$OE57=0),$PB57=0),"Controle sem dano: uma rodada a mais e CD +2",""),IF(AND($OA57&gt;0,AND($MQ57&gt;0,$OE57=0),$PB57&gt;0,$PB57&lt;=$MQ57),"Controle com saldo até a Classe: uma rodada a mais",""),IF(AND($MQ57&gt;0,$OC57&lt;&gt;""),"Efeito de "&amp;$OC57&amp;" pela Classe "&amp;MAX(1,$MQ57-1),"")))</f>
        <v/>
      </c>
      <c r="PU57" s="155">
        <f>IF($PT57="",0,(LEN($PT57)-LEN(SUBSTITUTE($PT57," · ","")))/3+1)</f>
        <v/>
      </c>
      <c r="PV57" s="155">
        <f>IF($NB57=0,IF($OS57+COUNTIF($MZ57:$NA57,"?*")&gt;0,"Dê um nome",""),IF($PS57&gt;0,"⚠ "&amp;$PS57&amp;IF($PS57&gt;1," erros"," erro"),IF($PU57&gt;0,"! "&amp;$PU57&amp;IF($PU57&gt;1," avisos"," aviso"),"Na regra")))</f>
        <v/>
      </c>
      <c r="PW57" s="155">
        <f>IF($NB57=0,"",IF($PS57+$PU57=0,"Dentro das regras que a ficha confere",$PR57&amp;IF(AND($PS57&gt;0,$PU57&gt;0)," · ","")&amp;$PT57))</f>
        <v/>
      </c>
      <c r="PX57" s="155">
        <f>IF($MO57&gt;$NC57,$MP57&amp;" · ABRE NO NÍVEL "&amp;$MO57,$MP57)</f>
        <v/>
      </c>
      <c r="PY57" s="155">
        <f>IF($NB57=0,"",IF($MQ57=0,"Sem PE",3*$MQ57&amp;" PE"))</f>
        <v/>
      </c>
      <c r="PZ57" s="155">
        <f>IF($NB57=0,"",IF($MQ57=0,"A atuação básica dela",IF(COUNTIF($OI57:$OJ57,"Atrasar")&gt;0,"Sua Ação Completa",IF(COUNTIF($MV57:$MY57,"Rápido")&gt;0,"Sua Bônus",IF(COUNTIF($MV57:$MY57,"Reação")&gt;0,"Sua Reação","Sua Padrão")))&amp;" + a básica dela"&amp;IF(COUNTIF($MV57:$MY57,"Reação")&gt;0," e a coletiva","")&amp;IF(COUNTIF($OI57:$OJ57,"Carregar")&gt;0," · em dois turnos","")))</f>
        <v/>
      </c>
      <c r="QA57" s="155">
        <f>IF($MU57&lt;&gt;"",$MU57,IF($NH57=0,"",INDEX($AA$2:$AA$11,$NH57)))</f>
        <v/>
      </c>
      <c r="QB57" s="155">
        <f>IF(OR($NB57=0,$NH57=0),"",IF(COUNTIF($MV57:$MY57,"Inescapável")&gt;0,"Automático",IF($QA57="Ataque",IF($NF57="","Ataque","Ataque "&amp;IF(($NF57+2*IF(COUNTIF($MV57:$MY57,"Precisão")&gt;0,1,0))&gt;=0,"+","−")&amp;ABS(($NF57+2*IF(COUNTIF($MV57:$MY57,"Precisão")&gt;0,1,0))))&amp;IF($OB57&gt;0," · TR"&amp;IF($NG57="",""," CD "&amp;$NG57),""),IF(LEFT($QA57,2)="TR",$QA57&amp;IF($NG57="",""," · CD "&amp;$NG57)&amp;IF(COUNTIF($MV57:$MY57,"Certeiro")&gt;0," · metade",""),"Sem rolagem"))))</f>
        <v/>
      </c>
      <c r="QC57" s="155">
        <f>IF(OR($NB57=0,$NH57=0),"",IF($MQ57=0,IF(OR($OE57&gt;=1,$PB57=0),"Sem dano",$PB57&amp;"d6"&amp;IF($MT57="",""," "&amp;$MT57)),IF(OR($OE57&gt;=1,$PB57=0),UPPER(LEFT(INDEX($PK57:$PQ57,1,MAX(1,$MQ57)),1))&amp;MID(INDEX($PK57:$PQ57,1,MAX(1,$MQ57)),2,99),UPPER(LEFT(INDEX($PK57:$PQ57,1,MAX(1,$MQ57)),1))&amp;MID(INDEX($PK57:$PQ57,1,MAX(1,$MQ57)),2,99)&amp;IF($MT57="",""," "&amp;$MT57)&amp;IF($PC57&gt;0," · +"&amp;$PC57&amp;"d8",""))))</f>
        <v/>
      </c>
      <c r="QD57" s="155">
        <f>COUNTIF($MV57:$MY57,"Longe")+3*COUNTIF($MV57:$MY57,"Muito Longe")</f>
        <v/>
      </c>
      <c r="QE57" s="155">
        <f>COUNTIF($MV57:$MY57,"Maior")+3*COUNTIF($MV57:$MY57,"Muito Maior")</f>
        <v/>
      </c>
      <c r="QF57" s="155">
        <f>IF($NH57=0,0,CHOOSE(1+INDEX($AC$2:$AC$11,$NH57),0,$QD57,$QE57,$QD57+$QE57))</f>
        <v/>
      </c>
      <c r="QG57" s="155">
        <f>IF($NH57=0,0,CHOOSE(1+INDEX($AD$2:$AD$11,$NH57),0,$QD57,$QE57,$QD57+$QE57))</f>
        <v/>
      </c>
      <c r="QH57" s="155">
        <f>IF(OR($NB57=0,$NH57=0),"",INDEX($AI$2:$AN$41,($NH57-1)*4+IF($MQ57=0,1,IF($MQ57&lt;=5,2,IF($MQ57=6,3,4))),1+MIN(5,$QF57))&amp;INDEX($AO$2:$AT$41,($NH57-1)*4+IF($MQ57=0,1,IF($MQ57&lt;=5,2,IF($MQ57=6,3,4))),1+MIN(5,$QG57))&amp;IF(INDEX($AE$2:$AE$11,$NH57)=1,IF(COUNTIF($MV57:$MY57,"Mais Um")&gt;0," · +"&amp;COUNTIF($MV57:$MY57,"Mais Um")&amp;IF(COUNTIF($MV57:$MY57,"Mais Um")&gt;1," alvos"," alvo"),"")&amp;IF(COUNTIF($MV57:$MY57,"Rajada")&gt;0,IF($MQ57=0," · 1 tiro"," · "&amp;(MAX(1,$MQ57-1)+1)&amp;" tiros"),""),""))</f>
        <v/>
      </c>
      <c r="QI57" s="155">
        <f>IF($NB57=0,"",IF($MQ57=0,$NE57&amp;"d6"&amp;IF($OS57&gt;0," − 1 = "&amp;$PB57&amp;"d6"," da básica do nível "&amp;$NC57),$OZ57&amp;" − "&amp;$OU57&amp;" + "&amp;$OX57&amp;" = "&amp;$PA57&amp;" · teto "&amp;4*$MQ57&amp;"d8"&amp;IF($OD57=1," · a Forma devolve "&amp;$MQ57,"")&amp;IF($OY57&gt;0," · perde "&amp;$OY57,"")))</f>
        <v/>
      </c>
      <c r="QJ57" s="155">
        <f>IF($NB57=0,"",IF($MQ57=0,"A básica não amplia: os dados dela sobem com o nível",IF($MQ57&gt;=$ND57,"Já está na maior Classe que o nível liberou",TEXTJOIN(" · ",TRUE,IF(AND(2&gt;$MQ57,2&lt;=$ND57),"2 → "&amp;$PL57&amp;", 6 PE",""),IF(AND(3&gt;$MQ57,3&lt;=$ND57),"3 → "&amp;$PM57&amp;", 9 PE",""),IF(AND(4&gt;$MQ57,4&lt;=$ND57),"4 → "&amp;$PN57&amp;", 12 PE",""),IF(AND(5&gt;$MQ57,5&lt;=$ND57),"5 → "&amp;$PO57&amp;", 15 PE",""),IF(AND(6&gt;$MQ57,6&lt;=$ND57),"6 → "&amp;$PP57&amp;", 18 PE",""),IF(AND(7&gt;$MQ57,7&lt;=$ND57),"7 → "&amp;$PQ57&amp;", 21 PE","")))))</f>
        <v/>
      </c>
      <c r="QK57" s="155">
        <f>IF(OR($NB57=0,$NM57=0),"",IF($MQ57=0,"−1 dado","−"&amp;INDEX($I$2:$N$8,MAX(1,$MQ57),MAX(1,$NR57))&amp;" · "&amp;CHOOSE(MAX(1,$NR57),"Leve","Média","Pesada","Leve · Livre","Média · Livre","Pesada · Livre")))</f>
        <v/>
      </c>
      <c r="QL57" s="155">
        <f>IF(OR($NB57=0,$NN57=0),"",IF($MQ57=0,"−1 dado","−"&amp;INDEX($I$2:$N$8,MAX(1,$MQ57),MAX(1,$NS57))&amp;" · "&amp;CHOOSE(MAX(1,$NS57),"Leve","Média","Pesada","Leve · Livre","Média · Livre","Pesada · Livre")))</f>
        <v/>
      </c>
      <c r="QM57" s="155">
        <f>IF(OR($NB57=0,$NO57=0),"",IF($MQ57=0,"−1 dado","−"&amp;INDEX($I$2:$N$8,MAX(1,$MQ57),MAX(1,$NT57))&amp;" · "&amp;CHOOSE(MAX(1,$NT57),"Leve","Média","Pesada","Leve · Livre","Média · Livre","Pesada · Livre")))</f>
        <v/>
      </c>
      <c r="QN57" s="155">
        <f>IF(OR($NB57=0,$NP57=0),"",IF($MQ57=0,"−1 dado","−"&amp;INDEX($I$2:$N$8,MAX(1,$MQ57),MAX(1,$NU57))&amp;" · "&amp;CHOOSE(MAX(1,$NU57),"Leve","Média","Pesada","Leve · Livre","Média · Livre","Pesada · Livre")))</f>
        <v/>
      </c>
      <c r="QO57" s="155">
        <f>IF(OR($NB57=0,$MZ57=""),"",IF($MQ57=0,"não devolve","+"&amp;IF($OG57=1,CEILING($MQ57/2,1),$MQ57)))</f>
        <v/>
      </c>
      <c r="QP57" s="155">
        <f>IF(OR($NB57=0,$NA57=""),"",IF($MQ57=0,"não devolve","+"&amp;IF($OH57=1,CEILING($MQ57/2,1),$MQ57)))</f>
        <v/>
      </c>
    </row>
    <row r="58">
      <c r="AV58" s="153" t="inlineStr">
        <is>
          <t>Rasga Escudo</t>
        </is>
      </c>
      <c r="AW58" s="153" t="inlineStr">
        <is>
          <t>Castigo</t>
        </is>
      </c>
      <c r="AX58" s="155" t="n">
        <v>2</v>
      </c>
      <c r="AY58" s="155" t="n">
        <v>0</v>
      </c>
      <c r="AZ58" s="155" t="n">
        <v>0</v>
      </c>
      <c r="BA58" s="155" t="n">
        <v>0</v>
      </c>
      <c r="JR58" s="155">
        <f>IF(OR($AW58="",COUNTIF($EJ$2:$EN$2,$AW58)&gt;0),$AV58,"")</f>
        <v/>
      </c>
      <c r="JS58" s="155">
        <f>IF(AND($AX58=1,OR($AW58="",COUNTIF($EJ$2:$EN$2,$AW58)&gt;0)),$AV58,"")</f>
        <v/>
      </c>
      <c r="JX58" s="155">
        <f>IF(OR($AW58="",COUNTIF($EJ$3:$EN$3,$AW58)&gt;0),$AV58,"")</f>
        <v/>
      </c>
      <c r="JY58" s="155">
        <f>IF(AND($AX58=1,OR($AW58="",COUNTIF($EJ$3:$EN$3,$AW58)&gt;0)),$AV58,"")</f>
        <v/>
      </c>
      <c r="KD58" s="155">
        <f>IF(OR($AW58="",COUNTIF($EJ$4:$EN$4,$AW58)&gt;0),$AV58,"")</f>
        <v/>
      </c>
      <c r="KE58" s="155">
        <f>IF(AND($AX58=1,OR($AW58="",COUNTIF($EJ$4:$EN$4,$AW58)&gt;0)),$AV58,"")</f>
        <v/>
      </c>
      <c r="KJ58" s="155">
        <f>IF(OR($AW58="",COUNTIF($EJ$5:$EN$5,$AW58)&gt;0),$AV58,"")</f>
        <v/>
      </c>
      <c r="KK58" s="155">
        <f>IF(AND($AX58=1,OR($AW58="",COUNTIF($EJ$5:$EN$5,$AW58)&gt;0)),$AV58,"")</f>
        <v/>
      </c>
      <c r="KP58" s="155">
        <f>IF(OR($AW58="",COUNTIF($EJ$6:$EN$6,$AW58)&gt;0),$AV58,"")</f>
        <v/>
      </c>
      <c r="KQ58" s="155">
        <f>IF(AND($AX58=1,OR($AW58="",COUNTIF($EJ$6:$EN$6,$AW58)&gt;0)),$AV58,"")</f>
        <v/>
      </c>
      <c r="KV58" s="155">
        <f>IF(OR($AW58="",COUNTIF($EJ$7:$EN$7,$AW58)&gt;0),$AV58,"")</f>
        <v/>
      </c>
      <c r="KW58" s="155">
        <f>IF(AND($AX58=1,OR($AW58="",COUNTIF($EJ$7:$EN$7,$AW58)&gt;0)),$AV58,"")</f>
        <v/>
      </c>
      <c r="LB58" s="155">
        <f>IF(OR($AW58="",COUNTIF($EJ$8:$EN$8,$AW58)&gt;0),$AV58,"")</f>
        <v/>
      </c>
      <c r="LC58" s="155">
        <f>IF(AND($AX58=1,OR($AW58="",COUNTIF($EJ$8:$EN$8,$AW58)&gt;0)),$AV58,"")</f>
        <v/>
      </c>
      <c r="LH58" s="155">
        <f>IF(OR($AW58="",COUNTIF($EJ$9:$EN$9,$AW58)&gt;0),$AV58,"")</f>
        <v/>
      </c>
      <c r="LI58" s="155">
        <f>IF(AND($AX58=1,OR($AW58="",COUNTIF($EJ$9:$EN$9,$AW58)&gt;0)),$AV58,"")</f>
        <v/>
      </c>
      <c r="LN58" s="155">
        <f>IF(OR($AW58="",COUNTIF($EJ$10:$EN$10,$AW58)&gt;0),$AV58,"")</f>
        <v/>
      </c>
      <c r="LO58" s="155">
        <f>IF(AND($AX58=1,OR($AW58="",COUNTIF($EJ$10:$EN$10,$AW58)&gt;0)),$AV58,"")</f>
        <v/>
      </c>
      <c r="LT58" s="155">
        <f>IF(OR($AW58="",COUNTIF($EJ$11:$EN$11,$AW58)&gt;0),$AV58,"")</f>
        <v/>
      </c>
      <c r="LU58" s="155">
        <f>IF(AND($AX58=1,OR($AW58="",COUNTIF($EJ$11:$EN$11,$AW58)&gt;0)),$AV58,"")</f>
        <v/>
      </c>
      <c r="LZ58" s="155">
        <f>IF(OR($AW58="",COUNTIF($EJ$12:$EN$12,$AW58)&gt;0),$AV58,"")</f>
        <v/>
      </c>
      <c r="MA58" s="155">
        <f>IF(AND($AX58=1,OR($AW58="",COUNTIF($EJ$12:$EN$12,$AW58)&gt;0)),$AV58,"")</f>
        <v/>
      </c>
      <c r="MF58" s="155">
        <f>IF(OR($AW58="",COUNTIF($EJ$13:$EN$13,$AW58)&gt;0),$AV58,"")</f>
        <v/>
      </c>
      <c r="MG58" s="155">
        <f>IF(AND($AX58=1,OR($AW58="",COUNTIF($EJ$13:$EN$13,$AW58)&gt;0)),$AV58,"")</f>
        <v/>
      </c>
      <c r="ML58" s="153" t="inlineStr">
        <is>
          <t>Ficha 5 · Especial 3</t>
        </is>
      </c>
      <c r="MM58" s="155" t="n">
        <v>5</v>
      </c>
      <c r="MN58" s="155" t="n">
        <v>1</v>
      </c>
      <c r="MO58" s="155" t="n">
        <v>8</v>
      </c>
      <c r="MP58" s="153" t="inlineStr">
        <is>
          <t>ESPECIAL 3</t>
        </is>
      </c>
      <c r="MQ58" s="155">
        <f>MAX(1,MIN(7,N('INVOCAÇÕES'!$O$884)))</f>
        <v/>
      </c>
      <c r="MR58" s="155">
        <f>'INVOCAÇÕES'!$P$884&amp;""</f>
        <v/>
      </c>
      <c r="MS58" s="155">
        <f>'INVOCAÇÕES'!$O$889&amp;""</f>
        <v/>
      </c>
      <c r="MT58" s="155">
        <f>'INVOCAÇÕES'!$O$890&amp;""</f>
        <v/>
      </c>
      <c r="MU58" s="155">
        <f>'INVOCAÇÕES'!$Q$890&amp;""</f>
        <v/>
      </c>
      <c r="MV58" s="155">
        <f>'INVOCAÇÕES'!$P$893&amp;""</f>
        <v/>
      </c>
      <c r="MW58" s="155">
        <f>'INVOCAÇÕES'!$P$894&amp;""</f>
        <v/>
      </c>
      <c r="MX58" s="155">
        <f>'INVOCAÇÕES'!$P$895&amp;""</f>
        <v/>
      </c>
      <c r="MY58" s="155">
        <f>'INVOCAÇÕES'!$P$896&amp;""</f>
        <v/>
      </c>
      <c r="MZ58" s="155">
        <f>'INVOCAÇÕES'!$P$897&amp;""</f>
        <v/>
      </c>
      <c r="NA58" s="155">
        <f>'INVOCAÇÕES'!$P$898&amp;""</f>
        <v/>
      </c>
      <c r="NB58" s="155">
        <f>IF($MR58&lt;&gt;"",1,0)</f>
        <v/>
      </c>
      <c r="NC58" s="155">
        <f>INDEX($FM$2:$FM$13,$MM58)</f>
        <v/>
      </c>
      <c r="ND58" s="155">
        <f>INDEX($FN$2:$FN$13,$MM58)</f>
        <v/>
      </c>
      <c r="NE58" s="155">
        <f>INDEX($FO$2:$FO$13,$MM58)</f>
        <v/>
      </c>
      <c r="NF58" s="155">
        <f>INDEX($FZ$2:$FZ$13,$MM58)</f>
        <v/>
      </c>
      <c r="NG58" s="155">
        <f>INDEX($GA$2:$GA$13,$MM58)</f>
        <v/>
      </c>
      <c r="NH58" s="155">
        <f>IFERROR(MATCH($MS58,$V$2:$V$11,0),0)</f>
        <v/>
      </c>
      <c r="NI58" s="155">
        <f>IFERROR(VLOOKUP($MV58,$AV$2:$BA$84,2,FALSE),"")</f>
        <v/>
      </c>
      <c r="NJ58" s="155">
        <f>IFERROR(VLOOKUP($MW58,$AV$2:$BA$84,2,FALSE),"")</f>
        <v/>
      </c>
      <c r="NK58" s="155">
        <f>IFERROR(VLOOKUP($MX58,$AV$2:$BA$84,2,FALSE),"")</f>
        <v/>
      </c>
      <c r="NL58" s="155">
        <f>IFERROR(VLOOKUP($MY58,$AV$2:$BA$84,2,FALSE),"")</f>
        <v/>
      </c>
      <c r="NM58" s="155">
        <f>IFERROR(VLOOKUP($MV58,$AV$2:$BA$84,3,FALSE),0)</f>
        <v/>
      </c>
      <c r="NN58" s="155">
        <f>IFERROR(VLOOKUP($MW58,$AV$2:$BA$84,3,FALSE),0)</f>
        <v/>
      </c>
      <c r="NO58" s="155">
        <f>IFERROR(VLOOKUP($MX58,$AV$2:$BA$84,3,FALSE),0)</f>
        <v/>
      </c>
      <c r="NP58" s="155">
        <f>IFERROR(VLOOKUP($MY58,$AV$2:$BA$84,3,FALSE),0)</f>
        <v/>
      </c>
      <c r="NQ58" s="155">
        <f>IF($MQ58=0,0,IF($NH58=0,0,INDEX($X$2:$X$11,$NH58)))</f>
        <v/>
      </c>
      <c r="NR58" s="155">
        <f>IF(OR($NM58=0,$MQ58=0),0,$NM58+3*IF(AND($NI58&lt;&gt;"",OR($NI58=INDEX($EJ$2:$EJ$13,$MM58),$NI58=INDEX($EK$2:$EK$13,$MM58))),1,0))</f>
        <v/>
      </c>
      <c r="NS58" s="155">
        <f>IF(OR($NN58=0,$MQ58=0),0,$NN58+3*IF(AND($NJ58&lt;&gt;"",OR($NJ58=INDEX($EJ$2:$EJ$13,$MM58),$NJ58=INDEX($EK$2:$EK$13,$MM58))),1,0))</f>
        <v/>
      </c>
      <c r="NT58" s="155">
        <f>IF(OR($NO58=0,$MQ58=0),0,$NO58+3*IF(AND($NK58&lt;&gt;"",OR($NK58=INDEX($EJ$2:$EJ$13,$MM58),$NK58=INDEX($EK$2:$EK$13,$MM58))),1,0))</f>
        <v/>
      </c>
      <c r="NU58" s="155">
        <f>IF(OR($NP58=0,$MQ58=0),0,$NP58+3*IF(AND($NL58&lt;&gt;"",OR($NL58=INDEX($EJ$2:$EJ$13,$MM58),$NL58=INDEX($EK$2:$EK$13,$MM58))),1,0))</f>
        <v/>
      </c>
      <c r="NV58" s="155">
        <f>IF($NH58=0,0,IF(INDEX($W$2:$W$11,$NH58)="",0,IF(COUNTIF(INDEX($EJ$2:$EN$13,$MM58,0),INDEX($W$2:$W$11,$NH58))=0,1,0)))</f>
        <v/>
      </c>
      <c r="NW58" s="155">
        <f>IF(OR($NM58=0,$NI58=""),0,IF(COUNTIF(INDEX($EJ$2:$EN$13,$MM58,0),$NI58)=0,1,0))</f>
        <v/>
      </c>
      <c r="NX58" s="155">
        <f>IF(OR($NN58=0,$NJ58=""),0,IF(COUNTIF(INDEX($EJ$2:$EN$13,$MM58,0),$NJ58)=0,1,0))</f>
        <v/>
      </c>
      <c r="NY58" s="155">
        <f>IF(OR($NO58=0,$NK58=""),0,IF(COUNTIF(INDEX($EJ$2:$EN$13,$MM58,0),$NK58)=0,1,0))</f>
        <v/>
      </c>
      <c r="NZ58" s="155">
        <f>IF(OR($NP58=0,$NL58=""),0,IF(COUNTIF(INDEX($EJ$2:$EN$13,$MM58,0),$NL58)=0,1,0))</f>
        <v/>
      </c>
      <c r="OA58" s="155">
        <f>IFERROR(VLOOKUP($MV58,$AV$2:$BA$84,4,FALSE),0)+IFERROR(VLOOKUP($MW58,$AV$2:$BA$84,4,FALSE),0)+IFERROR(VLOOKUP($MX58,$AV$2:$BA$84,4,FALSE),0)+IFERROR(VLOOKUP($MY58,$AV$2:$BA$84,4,FALSE),0)</f>
        <v/>
      </c>
      <c r="OB58" s="155">
        <f>IFERROR(VLOOKUP($MV58,$AV$2:$BA$84,6,FALSE),0)+IFERROR(VLOOKUP($MW58,$AV$2:$BA$84,6,FALSE),0)+IFERROR(VLOOKUP($MX58,$AV$2:$BA$84,6,FALSE),0)+IFERROR(VLOOKUP($MY58,$AV$2:$BA$84,6,FALSE),0)</f>
        <v/>
      </c>
      <c r="OC58" s="155">
        <f>TEXTJOIN(", ",TRUE,IF(IFERROR(VLOOKUP($MV58,$AV$2:$BA$84,5,FALSE),0)=1,$MV58,""),IF(IFERROR(VLOOKUP($MW58,$AV$2:$BA$84,5,FALSE),0)=1,$MW58,""),IF(IFERROR(VLOOKUP($MX58,$AV$2:$BA$84,5,FALSE),0)=1,$MX58,""),IF(IFERROR(VLOOKUP($MY58,$AV$2:$BA$84,5,FALSE),0)=1,$MY58,""))</f>
        <v/>
      </c>
      <c r="OD58" s="155">
        <f>IF($NH58=0,0,INDEX($Y$2:$Y$11,$NH58))</f>
        <v/>
      </c>
      <c r="OE58" s="155">
        <f>IF($NH58=0,0,INDEX($Z$2:$Z$11,$NH58))</f>
        <v/>
      </c>
      <c r="OF58" s="155">
        <f>IF($NH58=0,0,INDEX($AB$2:$AB$11,$NH58))</f>
        <v/>
      </c>
      <c r="OG58" s="155">
        <f>IFERROR(VLOOKUP($MZ58,$BC$2:$BG$24,3,FALSE),0)</f>
        <v/>
      </c>
      <c r="OH58" s="155">
        <f>IFERROR(VLOOKUP($NA58,$BC$2:$BG$24,3,FALSE),0)</f>
        <v/>
      </c>
      <c r="OI58" s="155">
        <f>IFERROR(VLOOKUP($MZ58,$BC$2:$BG$24,2,FALSE),"")</f>
        <v/>
      </c>
      <c r="OJ58" s="155">
        <f>IFERROR(VLOOKUP($NA58,$BC$2:$BG$24,2,FALSE),"")</f>
        <v/>
      </c>
      <c r="OK58" s="155">
        <f>COUNTIF($NQ58:$NU58,1)</f>
        <v/>
      </c>
      <c r="OL58" s="155">
        <f>COUNTIF($NQ58:$NU58,2)</f>
        <v/>
      </c>
      <c r="OM58" s="155">
        <f>COUNTIF($NQ58:$NU58,3)</f>
        <v/>
      </c>
      <c r="ON58" s="155">
        <f>COUNTIF($NQ58:$NU58,4)</f>
        <v/>
      </c>
      <c r="OO58" s="155">
        <f>COUNTIF($NQ58:$NU58,5)</f>
        <v/>
      </c>
      <c r="OP58" s="155">
        <f>COUNTIF($NQ58:$NU58,6)</f>
        <v/>
      </c>
      <c r="OQ58" s="155">
        <f>COUNTIF($OG58:$OH58,1)</f>
        <v/>
      </c>
      <c r="OR58" s="155">
        <f>COUNTIF($OG58:$OH58,2)+$OD58</f>
        <v/>
      </c>
      <c r="OS58" s="155">
        <f>COUNTIF($MV58:$MY58,"?*")</f>
        <v/>
      </c>
      <c r="OT58" s="155">
        <f>COUNTIF($MZ58:$NA58,"?*")+$OD58</f>
        <v/>
      </c>
      <c r="OU58" s="155">
        <f>IF($MQ58=0,0,SUMPRODUCT($OK58:$OP58,INDEX($I$2:$N$8,MAX(1,$MQ58),0)))</f>
        <v/>
      </c>
      <c r="OV58" s="155">
        <f>IF($MQ58=0,0,$OQ58*CEILING($MQ58/2,1)+$OR58*$MQ58)</f>
        <v/>
      </c>
      <c r="OW58" s="155">
        <f>MIN(2*$MQ58,$OV58)</f>
        <v/>
      </c>
      <c r="OX58" s="155">
        <f>MIN($OW58,$OU58)</f>
        <v/>
      </c>
      <c r="OY58" s="155">
        <f>$OW58-$OX58</f>
        <v/>
      </c>
      <c r="OZ58" s="155">
        <f>IF($MQ58=0,0,INDEX($P$2:$P$8,MAX(1,$MQ58)))</f>
        <v/>
      </c>
      <c r="PA58" s="155">
        <f>$OZ58-$OU58+$OX58</f>
        <v/>
      </c>
      <c r="PB58" s="155">
        <f>IF($MQ58=0,MAX(0,$NE58-IF($OS58&gt;0,1,0)),MAX(0,$PA58))</f>
        <v/>
      </c>
      <c r="PC58" s="155">
        <f>IF($MQ58=0,0,(IF(COUNTIF($MV58:$MY58,"Salto")&gt;0,1,0)+IF(COUNTIF($MV58:$MY58,"Queima")&gt;0,1,0)+IF(COUNTIF($MV58:$MY58,"Estilhaço")&gt;0,1,0))*FLOOR($PB58/2,1))</f>
        <v/>
      </c>
      <c r="PD58" s="155">
        <f>MAX(0,2-SUMPRODUCT($OK58:$OP58,$I$2:$N$2)+MIN(2,$OQ58*1+$OR58*1,SUMPRODUCT($OK58:$OP58,$I$2:$N$2)))</f>
        <v/>
      </c>
      <c r="PE58" s="155">
        <f>MAX(0,4-SUMPRODUCT($OK58:$OP58,$I$3:$N$3)+MIN(4,$OQ58*1+$OR58*2,SUMPRODUCT($OK58:$OP58,$I$3:$N$3)))</f>
        <v/>
      </c>
      <c r="PF58" s="155">
        <f>MAX(0,6-SUMPRODUCT($OK58:$OP58,$I$4:$N$4)+MIN(6,$OQ58*2+$OR58*3,SUMPRODUCT($OK58:$OP58,$I$4:$N$4)))</f>
        <v/>
      </c>
      <c r="PG58" s="155">
        <f>MAX(0,9-SUMPRODUCT($OK58:$OP58,$I$5:$N$5)+MIN(8,$OQ58*2+$OR58*4,SUMPRODUCT($OK58:$OP58,$I$5:$N$5)))</f>
        <v/>
      </c>
      <c r="PH58" s="155">
        <f>MAX(0,11-SUMPRODUCT($OK58:$OP58,$I$6:$N$6)+MIN(10,$OQ58*3+$OR58*5,SUMPRODUCT($OK58:$OP58,$I$6:$N$6)))</f>
        <v/>
      </c>
      <c r="PI58" s="155">
        <f>MAX(0,13-SUMPRODUCT($OK58:$OP58,$I$7:$N$7)+MIN(12,$OQ58*3+$OR58*6,SUMPRODUCT($OK58:$OP58,$I$7:$N$7)))</f>
        <v/>
      </c>
      <c r="PJ58" s="155">
        <f>MAX(0,16-SUMPRODUCT($OK58:$OP58,$I$8:$N$8)+MIN(14,$OQ58*4+$OR58*7,SUMPRODUCT($OK58:$OP58,$I$8:$N$8)))</f>
        <v/>
      </c>
      <c r="PK58" s="155">
        <f>IF($OE58=2,3*$PD58&amp;" de vida temp.",IF($OE58=3,"sem dano",IF($PD58=0,IF($OE58=1,"sem cura","sem dano"),IF($OE58=1,"cura ","")&amp;$PD58&amp;"d8")))</f>
        <v/>
      </c>
      <c r="PL58" s="155">
        <f>IF($OE58=2,3*$PE58&amp;" de vida temp.",IF($OE58=3,"sem dano",IF($PE58=0,IF($OE58=1,"sem cura","sem dano"),IF($OE58=1,"cura ","")&amp;$PE58&amp;"d8")))</f>
        <v/>
      </c>
      <c r="PM58" s="155">
        <f>IF($OE58=2,3*$PF58&amp;" de vida temp.",IF($OE58=3,"sem dano",IF($PF58=0,IF($OE58=1,"sem cura","sem dano"),IF($OE58=1,"cura ","")&amp;$PF58&amp;"d8")))</f>
        <v/>
      </c>
      <c r="PN58" s="155">
        <f>IF($OE58=2,3*$PG58&amp;" de vida temp.",IF($OE58=3,"sem dano",IF($PG58=0,IF($OE58=1,"sem cura","sem dano"),IF($OE58=1,"cura ","")&amp;$PG58&amp;"d8")))</f>
        <v/>
      </c>
      <c r="PO58" s="155">
        <f>IF($OE58=2,3*$PH58&amp;" de vida temp.",IF($OE58=3,"sem dano",IF($PH58=0,IF($OE58=1,"sem cura","sem dano"),IF($OE58=1,"cura ","")&amp;$PH58&amp;"d8")))</f>
        <v/>
      </c>
      <c r="PP58" s="155">
        <f>IF($OE58=2,3*$PI58&amp;" de vida temp.",IF($OE58=3,"sem dano",IF($PI58=0,IF($OE58=1,"sem cura","sem dano"),IF($OE58=1,"cura ","")&amp;$PI58&amp;"d8")))</f>
        <v/>
      </c>
      <c r="PQ58" s="155">
        <f>IF($OE58=2,3*$PJ58&amp;" de vida temp.",IF($OE58=3,"sem dano",IF($PJ58=0,IF($OE58=1,"sem cura","sem dano"),IF($OE58=1,"cura ","")&amp;$PJ58&amp;"d8")))</f>
        <v/>
      </c>
      <c r="PR58" s="155">
        <f>IF($NB58=0,"",TEXTJOIN(" · ",TRUE,IF($MO58&gt;$NC58,"Este lugar abre no nível "&amp;$MO58,""),IF($MQ58&gt;$ND58,"Classe "&amp;$MQ58&amp;": o nível "&amp;$NC58&amp;" libera até a "&amp;$ND58,""),IF($NV58=1,"A Forma "&amp;$MS58&amp;" pede "&amp;INDEX($W$2:$W$11,$NH58)&amp;" aberta",""),IF(AND($MQ58=0,$NH58&gt;0,IF($NH58=0,0,INDEX($AF$2:$AF$11,$NH58))=0),$MS58&amp;" não existe na Classe 0",""),IF($NW58=1,"Família Fechada: "&amp;$MV58,""),IF($NX58=1,"Família Fechada: "&amp;$MW58,""),IF($NY58=1,"Família Fechada: "&amp;$MX58,""),IF($NZ58=1,"Família Fechada: "&amp;$MY58,""),IF(AND($MQ58&gt;0,$OS58&gt;INDEX($O$2:$O$8,MAX(1,$MQ58))),$OS58&amp;" Melhorias: a Classe "&amp;$MQ58&amp;" aceita "&amp;INDEX($O$2:$O$8,MAX(1,$MQ58)),""),IF(AND($MQ58=0,$OS58&gt;1),"A básica aceita uma Melhoria",""),IF(AND($MQ58=0,COUNTIF($NM58:$NP58,"&gt;1")&gt;0),"A básica só aceita Melhoria Leve",""),IF(AND($MQ58&gt;0,$OT58&gt;2),$OT58&amp;" Restrições"&amp;IF($OD58=1,", contando a que a Forma "&amp;$MS58&amp;" já traz","")&amp;": o limite é 2",""),IF(AND($MQ58=0,COUNTIF($MZ58:$NA58,"?*")&gt;1),"A básica aceita uma Restrição Leve",""),IF(AND($MQ58=0,COUNTIF($OG58:$OH58,2)&gt;0),"A básica só aceita Restrição Leve",""),IF(AND($MQ58&gt;0,$PA58&lt;0),"Orçamento estourado: faltam "&amp;(-$PA58)&amp;IF($PA58&lt;-1," pontos"," ponto"),""),IF(IFERROR(VLOOKUP($MZ58,$BC$2:$BG$24,4,FALSE),0)+IFERROR(VLOOKUP($NA58,$BC$2:$BG$24,4,FALSE),0)&gt;1,$OI58&amp;" e "&amp;$OJ58&amp;" são as duas de frequência",""),IF(AND((COUNTIF($MV58:$MY58,"Rápido")+COUNTIF($OI58:$OJ58,"Rápido"))&gt;0,(COUNTIF($MV58:$MY58,"Atrasar")+COUNTIF($OI58:$OJ58,"Atrasar"))&gt;0),"Rápido não entra com Atrasar",""),IF(AND((COUNTIF($MV58:$MY58,"Reação")+COUNTIF($OI58:$OJ58,"Reação"))&gt;0,(COUNTIF($MV58:$MY58,"Rápido")+COUNTIF($OI58:$OJ58,"Rápido"))&gt;0),"Reação não entra com Rápido",""),IF(AND((COUNTIF($MV58:$MY58,"Reação")+COUNTIF($OI58:$OJ58,"Reação"))&gt;0,(COUNTIF($MV58:$MY58,"Armado")+COUNTIF($OI58:$OJ58,"Armado"))&gt;0),"Reação não entra com Armado",""),IF(AND((COUNTIF($MV58:$MY58,"Reação")+COUNTIF($OI58:$OJ58,"Reação"))&gt;0,(COUNTIF($MV58:$MY58,"Atrasar")+COUNTIF($OI58:$OJ58,"Atrasar"))&gt;0),"Reação não entra com Atrasar",""),IF(AND((COUNTIF($MV58:$MY58,"Reação")+COUNTIF($OI58:$OJ58,"Reação"))&gt;0,(COUNTIF($MV58:$MY58,"Parado")+COUNTIF($OI58:$OJ58,"Parado"))&gt;0),"Reação não entra com Parado",""),IF(AND((COUNTIF($MV58:$MY58,"Atrasar")+COUNTIF($OI58:$OJ58,"Atrasar"))&gt;0,(COUNTIF($MV58:$MY58,"Parado")+COUNTIF($OI58:$OJ58,"Parado"))&gt;0),"Atrasar não entra com Parado",""),IF(AND((COUNTIF($MV58:$MY58,"Armado")+COUNTIF($OI58:$OJ58,"Armado"))&gt;0,(COUNTIF($MV58:$MY58,"Carregar")+COUNTIF($OI58:$OJ58,"Carregar"))&gt;0),"Armado não entra com Carregar",""),IF(AND(COUNTIF($OI58:$OJ58,"Corpo a Corpo")&gt;0,$OD58=0,OR($MS58="Cone",$MS58="Linha")),"Corpo a Corpo não entra em "&amp;$MS58,""),IF(AND(COUNTIF($OI58:$OJ58,"Corpo a Corpo")&gt;0,$OD58=1),"A Forma "&amp;$MS58&amp;" já traz o Corpo a Corpo",""),IF(AND(COUNTIF($OI58:$OJ58,"Tudo ou Nada")&gt;0,$OF58=0),"Tudo ou Nada só entra em habilidade de Teste de Resistência",""),IF(AND(COUNTIF($MV58:$MY58,"Inescapável")&gt;0,OR($OS58&gt;1,$OT58&gt;0)),"Inescapável não aceita outra peça",""),IF(AND($MQ58&gt;0,$PB58*IF(COUNTIF($MV58:$MY58,"Remate")&gt;0,1.25,1)+$PC58&gt;4*$MQ58),($PB58*IF(COUNTIF($MV58:$MY58,"Remate")&gt;0,1.25,1)+$PC58)&amp;" dados somando repetições"&amp;IF(COUNTIF($MV58:$MY58,"Remate")&gt;0," e o Remate","")&amp;": o teto da Classe "&amp;$MQ58&amp;" é "&amp;4*$MQ58,"")))</f>
        <v/>
      </c>
      <c r="PS58" s="155">
        <f>IF($PR58="",0,(LEN($PR58)-LEN(SUBSTITUTE($PR58," · ","")))/3+1)</f>
        <v/>
      </c>
      <c r="PT58" s="155">
        <f>IF($NB58=0,"",TEXTJOIN(" · ",TRUE,IF($OV58&gt;2*$MQ58,"A devolução parou no teto de "&amp;2*$MQ58,""),IF($OY58&gt;0,"Devolução perdida: "&amp;$OY58&amp;IF($OY58&gt;1," pontos"," ponto")&amp;" sem peça para pagar",""),IF(AND($OA58&gt;0,AND($MQ58&gt;0,$OE58=0),$PB58=0),"Controle sem dano: uma rodada a mais e CD +2",""),IF(AND($OA58&gt;0,AND($MQ58&gt;0,$OE58=0),$PB58&gt;0,$PB58&lt;=$MQ58),"Controle com saldo até a Classe: uma rodada a mais",""),IF(AND($MQ58&gt;0,$OC58&lt;&gt;""),"Efeito de "&amp;$OC58&amp;" pela Classe "&amp;MAX(1,$MQ58-1),"")))</f>
        <v/>
      </c>
      <c r="PU58" s="155">
        <f>IF($PT58="",0,(LEN($PT58)-LEN(SUBSTITUTE($PT58," · ","")))/3+1)</f>
        <v/>
      </c>
      <c r="PV58" s="155">
        <f>IF($NB58=0,IF($OS58+COUNTIF($MZ58:$NA58,"?*")&gt;0,"Dê um nome",""),IF($PS58&gt;0,"⚠ "&amp;$PS58&amp;IF($PS58&gt;1," erros"," erro"),IF($PU58&gt;0,"! "&amp;$PU58&amp;IF($PU58&gt;1," avisos"," aviso"),"Na regra")))</f>
        <v/>
      </c>
      <c r="PW58" s="155">
        <f>IF($NB58=0,"",IF($PS58+$PU58=0,"Dentro das regras que a ficha confere",$PR58&amp;IF(AND($PS58&gt;0,$PU58&gt;0)," · ","")&amp;$PT58))</f>
        <v/>
      </c>
      <c r="PX58" s="155">
        <f>IF($MO58&gt;$NC58,$MP58&amp;" · ABRE NO NÍVEL "&amp;$MO58,$MP58)</f>
        <v/>
      </c>
      <c r="PY58" s="155">
        <f>IF($NB58=0,"",IF($MQ58=0,"Sem PE",3*$MQ58&amp;" PE"))</f>
        <v/>
      </c>
      <c r="PZ58" s="155">
        <f>IF($NB58=0,"",IF($MQ58=0,"A atuação básica dela",IF(COUNTIF($OI58:$OJ58,"Atrasar")&gt;0,"Sua Ação Completa",IF(COUNTIF($MV58:$MY58,"Rápido")&gt;0,"Sua Bônus",IF(COUNTIF($MV58:$MY58,"Reação")&gt;0,"Sua Reação","Sua Padrão")))&amp;" + a básica dela"&amp;IF(COUNTIF($MV58:$MY58,"Reação")&gt;0," e a coletiva","")&amp;IF(COUNTIF($OI58:$OJ58,"Carregar")&gt;0," · em dois turnos","")))</f>
        <v/>
      </c>
      <c r="QA58" s="155">
        <f>IF($MU58&lt;&gt;"",$MU58,IF($NH58=0,"",INDEX($AA$2:$AA$11,$NH58)))</f>
        <v/>
      </c>
      <c r="QB58" s="155">
        <f>IF(OR($NB58=0,$NH58=0),"",IF(COUNTIF($MV58:$MY58,"Inescapável")&gt;0,"Automático",IF($QA58="Ataque",IF($NF58="","Ataque","Ataque "&amp;IF(($NF58+2*IF(COUNTIF($MV58:$MY58,"Precisão")&gt;0,1,0))&gt;=0,"+","−")&amp;ABS(($NF58+2*IF(COUNTIF($MV58:$MY58,"Precisão")&gt;0,1,0))))&amp;IF($OB58&gt;0," · TR"&amp;IF($NG58="",""," CD "&amp;$NG58),""),IF(LEFT($QA58,2)="TR",$QA58&amp;IF($NG58="",""," · CD "&amp;$NG58)&amp;IF(COUNTIF($MV58:$MY58,"Certeiro")&gt;0," · metade",""),"Sem rolagem"))))</f>
        <v/>
      </c>
      <c r="QC58" s="155">
        <f>IF(OR($NB58=0,$NH58=0),"",IF($MQ58=0,IF(OR($OE58&gt;=1,$PB58=0),"Sem dano",$PB58&amp;"d6"&amp;IF($MT58="",""," "&amp;$MT58)),IF(OR($OE58&gt;=1,$PB58=0),UPPER(LEFT(INDEX($PK58:$PQ58,1,MAX(1,$MQ58)),1))&amp;MID(INDEX($PK58:$PQ58,1,MAX(1,$MQ58)),2,99),UPPER(LEFT(INDEX($PK58:$PQ58,1,MAX(1,$MQ58)),1))&amp;MID(INDEX($PK58:$PQ58,1,MAX(1,$MQ58)),2,99)&amp;IF($MT58="",""," "&amp;$MT58)&amp;IF($PC58&gt;0," · +"&amp;$PC58&amp;"d8",""))))</f>
        <v/>
      </c>
      <c r="QD58" s="155">
        <f>COUNTIF($MV58:$MY58,"Longe")+3*COUNTIF($MV58:$MY58,"Muito Longe")</f>
        <v/>
      </c>
      <c r="QE58" s="155">
        <f>COUNTIF($MV58:$MY58,"Maior")+3*COUNTIF($MV58:$MY58,"Muito Maior")</f>
        <v/>
      </c>
      <c r="QF58" s="155">
        <f>IF($NH58=0,0,CHOOSE(1+INDEX($AC$2:$AC$11,$NH58),0,$QD58,$QE58,$QD58+$QE58))</f>
        <v/>
      </c>
      <c r="QG58" s="155">
        <f>IF($NH58=0,0,CHOOSE(1+INDEX($AD$2:$AD$11,$NH58),0,$QD58,$QE58,$QD58+$QE58))</f>
        <v/>
      </c>
      <c r="QH58" s="155">
        <f>IF(OR($NB58=0,$NH58=0),"",INDEX($AI$2:$AN$41,($NH58-1)*4+IF($MQ58=0,1,IF($MQ58&lt;=5,2,IF($MQ58=6,3,4))),1+MIN(5,$QF58))&amp;INDEX($AO$2:$AT$41,($NH58-1)*4+IF($MQ58=0,1,IF($MQ58&lt;=5,2,IF($MQ58=6,3,4))),1+MIN(5,$QG58))&amp;IF(INDEX($AE$2:$AE$11,$NH58)=1,IF(COUNTIF($MV58:$MY58,"Mais Um")&gt;0," · +"&amp;COUNTIF($MV58:$MY58,"Mais Um")&amp;IF(COUNTIF($MV58:$MY58,"Mais Um")&gt;1," alvos"," alvo"),"")&amp;IF(COUNTIF($MV58:$MY58,"Rajada")&gt;0,IF($MQ58=0," · 1 tiro"," · "&amp;(MAX(1,$MQ58-1)+1)&amp;" tiros"),""),""))</f>
        <v/>
      </c>
      <c r="QI58" s="155">
        <f>IF($NB58=0,"",IF($MQ58=0,$NE58&amp;"d6"&amp;IF($OS58&gt;0," − 1 = "&amp;$PB58&amp;"d6"," da básica do nível "&amp;$NC58),$OZ58&amp;" − "&amp;$OU58&amp;" + "&amp;$OX58&amp;" = "&amp;$PA58&amp;" · teto "&amp;4*$MQ58&amp;"d8"&amp;IF($OD58=1," · a Forma devolve "&amp;$MQ58,"")&amp;IF($OY58&gt;0," · perde "&amp;$OY58,"")))</f>
        <v/>
      </c>
      <c r="QJ58" s="155">
        <f>IF($NB58=0,"",IF($MQ58=0,"A básica não amplia: os dados dela sobem com o nível",IF($MQ58&gt;=$ND58,"Já está na maior Classe que o nível liberou",TEXTJOIN(" · ",TRUE,IF(AND(2&gt;$MQ58,2&lt;=$ND58),"2 → "&amp;$PL58&amp;", 6 PE",""),IF(AND(3&gt;$MQ58,3&lt;=$ND58),"3 → "&amp;$PM58&amp;", 9 PE",""),IF(AND(4&gt;$MQ58,4&lt;=$ND58),"4 → "&amp;$PN58&amp;", 12 PE",""),IF(AND(5&gt;$MQ58,5&lt;=$ND58),"5 → "&amp;$PO58&amp;", 15 PE",""),IF(AND(6&gt;$MQ58,6&lt;=$ND58),"6 → "&amp;$PP58&amp;", 18 PE",""),IF(AND(7&gt;$MQ58,7&lt;=$ND58),"7 → "&amp;$PQ58&amp;", 21 PE","")))))</f>
        <v/>
      </c>
      <c r="QK58" s="155">
        <f>IF(OR($NB58=0,$NM58=0),"",IF($MQ58=0,"−1 dado","−"&amp;INDEX($I$2:$N$8,MAX(1,$MQ58),MAX(1,$NR58))&amp;" · "&amp;CHOOSE(MAX(1,$NR58),"Leve","Média","Pesada","Leve · Livre","Média · Livre","Pesada · Livre")))</f>
        <v/>
      </c>
      <c r="QL58" s="155">
        <f>IF(OR($NB58=0,$NN58=0),"",IF($MQ58=0,"−1 dado","−"&amp;INDEX($I$2:$N$8,MAX(1,$MQ58),MAX(1,$NS58))&amp;" · "&amp;CHOOSE(MAX(1,$NS58),"Leve","Média","Pesada","Leve · Livre","Média · Livre","Pesada · Livre")))</f>
        <v/>
      </c>
      <c r="QM58" s="155">
        <f>IF(OR($NB58=0,$NO58=0),"",IF($MQ58=0,"−1 dado","−"&amp;INDEX($I$2:$N$8,MAX(1,$MQ58),MAX(1,$NT58))&amp;" · "&amp;CHOOSE(MAX(1,$NT58),"Leve","Média","Pesada","Leve · Livre","Média · Livre","Pesada · Livre")))</f>
        <v/>
      </c>
      <c r="QN58" s="155">
        <f>IF(OR($NB58=0,$NP58=0),"",IF($MQ58=0,"−1 dado","−"&amp;INDEX($I$2:$N$8,MAX(1,$MQ58),MAX(1,$NU58))&amp;" · "&amp;CHOOSE(MAX(1,$NU58),"Leve","Média","Pesada","Leve · Livre","Média · Livre","Pesada · Livre")))</f>
        <v/>
      </c>
      <c r="QO58" s="155">
        <f>IF(OR($NB58=0,$MZ58=""),"",IF($MQ58=0,"não devolve","+"&amp;IF($OG58=1,CEILING($MQ58/2,1),$MQ58)))</f>
        <v/>
      </c>
      <c r="QP58" s="155">
        <f>IF(OR($NB58=0,$NA58=""),"",IF($MQ58=0,"não devolve","+"&amp;IF($OH58=1,CEILING($MQ58/2,1),$MQ58)))</f>
        <v/>
      </c>
    </row>
    <row r="59">
      <c r="AV59" s="153" t="inlineStr">
        <is>
          <t>Sem Cura</t>
        </is>
      </c>
      <c r="AW59" s="153" t="inlineStr">
        <is>
          <t>Castigo</t>
        </is>
      </c>
      <c r="AX59" s="155" t="n">
        <v>2</v>
      </c>
      <c r="AY59" s="155" t="n">
        <v>0</v>
      </c>
      <c r="AZ59" s="155" t="n">
        <v>0</v>
      </c>
      <c r="BA59" s="155" t="n">
        <v>0</v>
      </c>
      <c r="JR59" s="155">
        <f>IF(OR($AW59="",COUNTIF($EJ$2:$EN$2,$AW59)&gt;0),$AV59,"")</f>
        <v/>
      </c>
      <c r="JS59" s="155">
        <f>IF(AND($AX59=1,OR($AW59="",COUNTIF($EJ$2:$EN$2,$AW59)&gt;0)),$AV59,"")</f>
        <v/>
      </c>
      <c r="JX59" s="155">
        <f>IF(OR($AW59="",COUNTIF($EJ$3:$EN$3,$AW59)&gt;0),$AV59,"")</f>
        <v/>
      </c>
      <c r="JY59" s="155">
        <f>IF(AND($AX59=1,OR($AW59="",COUNTIF($EJ$3:$EN$3,$AW59)&gt;0)),$AV59,"")</f>
        <v/>
      </c>
      <c r="KD59" s="155">
        <f>IF(OR($AW59="",COUNTIF($EJ$4:$EN$4,$AW59)&gt;0),$AV59,"")</f>
        <v/>
      </c>
      <c r="KE59" s="155">
        <f>IF(AND($AX59=1,OR($AW59="",COUNTIF($EJ$4:$EN$4,$AW59)&gt;0)),$AV59,"")</f>
        <v/>
      </c>
      <c r="KJ59" s="155">
        <f>IF(OR($AW59="",COUNTIF($EJ$5:$EN$5,$AW59)&gt;0),$AV59,"")</f>
        <v/>
      </c>
      <c r="KK59" s="155">
        <f>IF(AND($AX59=1,OR($AW59="",COUNTIF($EJ$5:$EN$5,$AW59)&gt;0)),$AV59,"")</f>
        <v/>
      </c>
      <c r="KP59" s="155">
        <f>IF(OR($AW59="",COUNTIF($EJ$6:$EN$6,$AW59)&gt;0),$AV59,"")</f>
        <v/>
      </c>
      <c r="KQ59" s="155">
        <f>IF(AND($AX59=1,OR($AW59="",COUNTIF($EJ$6:$EN$6,$AW59)&gt;0)),$AV59,"")</f>
        <v/>
      </c>
      <c r="KV59" s="155">
        <f>IF(OR($AW59="",COUNTIF($EJ$7:$EN$7,$AW59)&gt;0),$AV59,"")</f>
        <v/>
      </c>
      <c r="KW59" s="155">
        <f>IF(AND($AX59=1,OR($AW59="",COUNTIF($EJ$7:$EN$7,$AW59)&gt;0)),$AV59,"")</f>
        <v/>
      </c>
      <c r="LB59" s="155">
        <f>IF(OR($AW59="",COUNTIF($EJ$8:$EN$8,$AW59)&gt;0),$AV59,"")</f>
        <v/>
      </c>
      <c r="LC59" s="155">
        <f>IF(AND($AX59=1,OR($AW59="",COUNTIF($EJ$8:$EN$8,$AW59)&gt;0)),$AV59,"")</f>
        <v/>
      </c>
      <c r="LH59" s="155">
        <f>IF(OR($AW59="",COUNTIF($EJ$9:$EN$9,$AW59)&gt;0),$AV59,"")</f>
        <v/>
      </c>
      <c r="LI59" s="155">
        <f>IF(AND($AX59=1,OR($AW59="",COUNTIF($EJ$9:$EN$9,$AW59)&gt;0)),$AV59,"")</f>
        <v/>
      </c>
      <c r="LN59" s="155">
        <f>IF(OR($AW59="",COUNTIF($EJ$10:$EN$10,$AW59)&gt;0),$AV59,"")</f>
        <v/>
      </c>
      <c r="LO59" s="155">
        <f>IF(AND($AX59=1,OR($AW59="",COUNTIF($EJ$10:$EN$10,$AW59)&gt;0)),$AV59,"")</f>
        <v/>
      </c>
      <c r="LT59" s="155">
        <f>IF(OR($AW59="",COUNTIF($EJ$11:$EN$11,$AW59)&gt;0),$AV59,"")</f>
        <v/>
      </c>
      <c r="LU59" s="155">
        <f>IF(AND($AX59=1,OR($AW59="",COUNTIF($EJ$11:$EN$11,$AW59)&gt;0)),$AV59,"")</f>
        <v/>
      </c>
      <c r="LZ59" s="155">
        <f>IF(OR($AW59="",COUNTIF($EJ$12:$EN$12,$AW59)&gt;0),$AV59,"")</f>
        <v/>
      </c>
      <c r="MA59" s="155">
        <f>IF(AND($AX59=1,OR($AW59="",COUNTIF($EJ$12:$EN$12,$AW59)&gt;0)),$AV59,"")</f>
        <v/>
      </c>
      <c r="MF59" s="155">
        <f>IF(OR($AW59="",COUNTIF($EJ$13:$EN$13,$AW59)&gt;0),$AV59,"")</f>
        <v/>
      </c>
      <c r="MG59" s="155">
        <f>IF(AND($AX59=1,OR($AW59="",COUNTIF($EJ$13:$EN$13,$AW59)&gt;0)),$AV59,"")</f>
        <v/>
      </c>
      <c r="ML59" s="153" t="inlineStr">
        <is>
          <t>Ficha 5 · Especial 4</t>
        </is>
      </c>
      <c r="MM59" s="155" t="n">
        <v>5</v>
      </c>
      <c r="MN59" s="155" t="n">
        <v>1</v>
      </c>
      <c r="MO59" s="155" t="n">
        <v>12</v>
      </c>
      <c r="MP59" s="153" t="inlineStr">
        <is>
          <t>ESPECIAL 4</t>
        </is>
      </c>
      <c r="MQ59" s="155">
        <f>MAX(1,MIN(7,N('INVOCAÇÕES'!$U$884)))</f>
        <v/>
      </c>
      <c r="MR59" s="155">
        <f>'INVOCAÇÕES'!$V$884&amp;""</f>
        <v/>
      </c>
      <c r="MS59" s="155">
        <f>'INVOCAÇÕES'!$U$889&amp;""</f>
        <v/>
      </c>
      <c r="MT59" s="155">
        <f>'INVOCAÇÕES'!$U$890&amp;""</f>
        <v/>
      </c>
      <c r="MU59" s="155">
        <f>'INVOCAÇÕES'!$W$890&amp;""</f>
        <v/>
      </c>
      <c r="MV59" s="155">
        <f>'INVOCAÇÕES'!$V$893&amp;""</f>
        <v/>
      </c>
      <c r="MW59" s="155">
        <f>'INVOCAÇÕES'!$V$894&amp;""</f>
        <v/>
      </c>
      <c r="MX59" s="155">
        <f>'INVOCAÇÕES'!$V$895&amp;""</f>
        <v/>
      </c>
      <c r="MY59" s="155">
        <f>'INVOCAÇÕES'!$V$896&amp;""</f>
        <v/>
      </c>
      <c r="MZ59" s="155">
        <f>'INVOCAÇÕES'!$V$897&amp;""</f>
        <v/>
      </c>
      <c r="NA59" s="155">
        <f>'INVOCAÇÕES'!$V$898&amp;""</f>
        <v/>
      </c>
      <c r="NB59" s="155">
        <f>IF($MR59&lt;&gt;"",1,0)</f>
        <v/>
      </c>
      <c r="NC59" s="155">
        <f>INDEX($FM$2:$FM$13,$MM59)</f>
        <v/>
      </c>
      <c r="ND59" s="155">
        <f>INDEX($FN$2:$FN$13,$MM59)</f>
        <v/>
      </c>
      <c r="NE59" s="155">
        <f>INDEX($FO$2:$FO$13,$MM59)</f>
        <v/>
      </c>
      <c r="NF59" s="155">
        <f>INDEX($FZ$2:$FZ$13,$MM59)</f>
        <v/>
      </c>
      <c r="NG59" s="155">
        <f>INDEX($GA$2:$GA$13,$MM59)</f>
        <v/>
      </c>
      <c r="NH59" s="155">
        <f>IFERROR(MATCH($MS59,$V$2:$V$11,0),0)</f>
        <v/>
      </c>
      <c r="NI59" s="155">
        <f>IFERROR(VLOOKUP($MV59,$AV$2:$BA$84,2,FALSE),"")</f>
        <v/>
      </c>
      <c r="NJ59" s="155">
        <f>IFERROR(VLOOKUP($MW59,$AV$2:$BA$84,2,FALSE),"")</f>
        <v/>
      </c>
      <c r="NK59" s="155">
        <f>IFERROR(VLOOKUP($MX59,$AV$2:$BA$84,2,FALSE),"")</f>
        <v/>
      </c>
      <c r="NL59" s="155">
        <f>IFERROR(VLOOKUP($MY59,$AV$2:$BA$84,2,FALSE),"")</f>
        <v/>
      </c>
      <c r="NM59" s="155">
        <f>IFERROR(VLOOKUP($MV59,$AV$2:$BA$84,3,FALSE),0)</f>
        <v/>
      </c>
      <c r="NN59" s="155">
        <f>IFERROR(VLOOKUP($MW59,$AV$2:$BA$84,3,FALSE),0)</f>
        <v/>
      </c>
      <c r="NO59" s="155">
        <f>IFERROR(VLOOKUP($MX59,$AV$2:$BA$84,3,FALSE),0)</f>
        <v/>
      </c>
      <c r="NP59" s="155">
        <f>IFERROR(VLOOKUP($MY59,$AV$2:$BA$84,3,FALSE),0)</f>
        <v/>
      </c>
      <c r="NQ59" s="155">
        <f>IF($MQ59=0,0,IF($NH59=0,0,INDEX($X$2:$X$11,$NH59)))</f>
        <v/>
      </c>
      <c r="NR59" s="155">
        <f>IF(OR($NM59=0,$MQ59=0),0,$NM59+3*IF(AND($NI59&lt;&gt;"",OR($NI59=INDEX($EJ$2:$EJ$13,$MM59),$NI59=INDEX($EK$2:$EK$13,$MM59))),1,0))</f>
        <v/>
      </c>
      <c r="NS59" s="155">
        <f>IF(OR($NN59=0,$MQ59=0),0,$NN59+3*IF(AND($NJ59&lt;&gt;"",OR($NJ59=INDEX($EJ$2:$EJ$13,$MM59),$NJ59=INDEX($EK$2:$EK$13,$MM59))),1,0))</f>
        <v/>
      </c>
      <c r="NT59" s="155">
        <f>IF(OR($NO59=0,$MQ59=0),0,$NO59+3*IF(AND($NK59&lt;&gt;"",OR($NK59=INDEX($EJ$2:$EJ$13,$MM59),$NK59=INDEX($EK$2:$EK$13,$MM59))),1,0))</f>
        <v/>
      </c>
      <c r="NU59" s="155">
        <f>IF(OR($NP59=0,$MQ59=0),0,$NP59+3*IF(AND($NL59&lt;&gt;"",OR($NL59=INDEX($EJ$2:$EJ$13,$MM59),$NL59=INDEX($EK$2:$EK$13,$MM59))),1,0))</f>
        <v/>
      </c>
      <c r="NV59" s="155">
        <f>IF($NH59=0,0,IF(INDEX($W$2:$W$11,$NH59)="",0,IF(COUNTIF(INDEX($EJ$2:$EN$13,$MM59,0),INDEX($W$2:$W$11,$NH59))=0,1,0)))</f>
        <v/>
      </c>
      <c r="NW59" s="155">
        <f>IF(OR($NM59=0,$NI59=""),0,IF(COUNTIF(INDEX($EJ$2:$EN$13,$MM59,0),$NI59)=0,1,0))</f>
        <v/>
      </c>
      <c r="NX59" s="155">
        <f>IF(OR($NN59=0,$NJ59=""),0,IF(COUNTIF(INDEX($EJ$2:$EN$13,$MM59,0),$NJ59)=0,1,0))</f>
        <v/>
      </c>
      <c r="NY59" s="155">
        <f>IF(OR($NO59=0,$NK59=""),0,IF(COUNTIF(INDEX($EJ$2:$EN$13,$MM59,0),$NK59)=0,1,0))</f>
        <v/>
      </c>
      <c r="NZ59" s="155">
        <f>IF(OR($NP59=0,$NL59=""),0,IF(COUNTIF(INDEX($EJ$2:$EN$13,$MM59,0),$NL59)=0,1,0))</f>
        <v/>
      </c>
      <c r="OA59" s="155">
        <f>IFERROR(VLOOKUP($MV59,$AV$2:$BA$84,4,FALSE),0)+IFERROR(VLOOKUP($MW59,$AV$2:$BA$84,4,FALSE),0)+IFERROR(VLOOKUP($MX59,$AV$2:$BA$84,4,FALSE),0)+IFERROR(VLOOKUP($MY59,$AV$2:$BA$84,4,FALSE),0)</f>
        <v/>
      </c>
      <c r="OB59" s="155">
        <f>IFERROR(VLOOKUP($MV59,$AV$2:$BA$84,6,FALSE),0)+IFERROR(VLOOKUP($MW59,$AV$2:$BA$84,6,FALSE),0)+IFERROR(VLOOKUP($MX59,$AV$2:$BA$84,6,FALSE),0)+IFERROR(VLOOKUP($MY59,$AV$2:$BA$84,6,FALSE),0)</f>
        <v/>
      </c>
      <c r="OC59" s="155">
        <f>TEXTJOIN(", ",TRUE,IF(IFERROR(VLOOKUP($MV59,$AV$2:$BA$84,5,FALSE),0)=1,$MV59,""),IF(IFERROR(VLOOKUP($MW59,$AV$2:$BA$84,5,FALSE),0)=1,$MW59,""),IF(IFERROR(VLOOKUP($MX59,$AV$2:$BA$84,5,FALSE),0)=1,$MX59,""),IF(IFERROR(VLOOKUP($MY59,$AV$2:$BA$84,5,FALSE),0)=1,$MY59,""))</f>
        <v/>
      </c>
      <c r="OD59" s="155">
        <f>IF($NH59=0,0,INDEX($Y$2:$Y$11,$NH59))</f>
        <v/>
      </c>
      <c r="OE59" s="155">
        <f>IF($NH59=0,0,INDEX($Z$2:$Z$11,$NH59))</f>
        <v/>
      </c>
      <c r="OF59" s="155">
        <f>IF($NH59=0,0,INDEX($AB$2:$AB$11,$NH59))</f>
        <v/>
      </c>
      <c r="OG59" s="155">
        <f>IFERROR(VLOOKUP($MZ59,$BC$2:$BG$24,3,FALSE),0)</f>
        <v/>
      </c>
      <c r="OH59" s="155">
        <f>IFERROR(VLOOKUP($NA59,$BC$2:$BG$24,3,FALSE),0)</f>
        <v/>
      </c>
      <c r="OI59" s="155">
        <f>IFERROR(VLOOKUP($MZ59,$BC$2:$BG$24,2,FALSE),"")</f>
        <v/>
      </c>
      <c r="OJ59" s="155">
        <f>IFERROR(VLOOKUP($NA59,$BC$2:$BG$24,2,FALSE),"")</f>
        <v/>
      </c>
      <c r="OK59" s="155">
        <f>COUNTIF($NQ59:$NU59,1)</f>
        <v/>
      </c>
      <c r="OL59" s="155">
        <f>COUNTIF($NQ59:$NU59,2)</f>
        <v/>
      </c>
      <c r="OM59" s="155">
        <f>COUNTIF($NQ59:$NU59,3)</f>
        <v/>
      </c>
      <c r="ON59" s="155">
        <f>COUNTIF($NQ59:$NU59,4)</f>
        <v/>
      </c>
      <c r="OO59" s="155">
        <f>COUNTIF($NQ59:$NU59,5)</f>
        <v/>
      </c>
      <c r="OP59" s="155">
        <f>COUNTIF($NQ59:$NU59,6)</f>
        <v/>
      </c>
      <c r="OQ59" s="155">
        <f>COUNTIF($OG59:$OH59,1)</f>
        <v/>
      </c>
      <c r="OR59" s="155">
        <f>COUNTIF($OG59:$OH59,2)+$OD59</f>
        <v/>
      </c>
      <c r="OS59" s="155">
        <f>COUNTIF($MV59:$MY59,"?*")</f>
        <v/>
      </c>
      <c r="OT59" s="155">
        <f>COUNTIF($MZ59:$NA59,"?*")+$OD59</f>
        <v/>
      </c>
      <c r="OU59" s="155">
        <f>IF($MQ59=0,0,SUMPRODUCT($OK59:$OP59,INDEX($I$2:$N$8,MAX(1,$MQ59),0)))</f>
        <v/>
      </c>
      <c r="OV59" s="155">
        <f>IF($MQ59=0,0,$OQ59*CEILING($MQ59/2,1)+$OR59*$MQ59)</f>
        <v/>
      </c>
      <c r="OW59" s="155">
        <f>MIN(2*$MQ59,$OV59)</f>
        <v/>
      </c>
      <c r="OX59" s="155">
        <f>MIN($OW59,$OU59)</f>
        <v/>
      </c>
      <c r="OY59" s="155">
        <f>$OW59-$OX59</f>
        <v/>
      </c>
      <c r="OZ59" s="155">
        <f>IF($MQ59=0,0,INDEX($P$2:$P$8,MAX(1,$MQ59)))</f>
        <v/>
      </c>
      <c r="PA59" s="155">
        <f>$OZ59-$OU59+$OX59</f>
        <v/>
      </c>
      <c r="PB59" s="155">
        <f>IF($MQ59=0,MAX(0,$NE59-IF($OS59&gt;0,1,0)),MAX(0,$PA59))</f>
        <v/>
      </c>
      <c r="PC59" s="155">
        <f>IF($MQ59=0,0,(IF(COUNTIF($MV59:$MY59,"Salto")&gt;0,1,0)+IF(COUNTIF($MV59:$MY59,"Queima")&gt;0,1,0)+IF(COUNTIF($MV59:$MY59,"Estilhaço")&gt;0,1,0))*FLOOR($PB59/2,1))</f>
        <v/>
      </c>
      <c r="PD59" s="155">
        <f>MAX(0,2-SUMPRODUCT($OK59:$OP59,$I$2:$N$2)+MIN(2,$OQ59*1+$OR59*1,SUMPRODUCT($OK59:$OP59,$I$2:$N$2)))</f>
        <v/>
      </c>
      <c r="PE59" s="155">
        <f>MAX(0,4-SUMPRODUCT($OK59:$OP59,$I$3:$N$3)+MIN(4,$OQ59*1+$OR59*2,SUMPRODUCT($OK59:$OP59,$I$3:$N$3)))</f>
        <v/>
      </c>
      <c r="PF59" s="155">
        <f>MAX(0,6-SUMPRODUCT($OK59:$OP59,$I$4:$N$4)+MIN(6,$OQ59*2+$OR59*3,SUMPRODUCT($OK59:$OP59,$I$4:$N$4)))</f>
        <v/>
      </c>
      <c r="PG59" s="155">
        <f>MAX(0,9-SUMPRODUCT($OK59:$OP59,$I$5:$N$5)+MIN(8,$OQ59*2+$OR59*4,SUMPRODUCT($OK59:$OP59,$I$5:$N$5)))</f>
        <v/>
      </c>
      <c r="PH59" s="155">
        <f>MAX(0,11-SUMPRODUCT($OK59:$OP59,$I$6:$N$6)+MIN(10,$OQ59*3+$OR59*5,SUMPRODUCT($OK59:$OP59,$I$6:$N$6)))</f>
        <v/>
      </c>
      <c r="PI59" s="155">
        <f>MAX(0,13-SUMPRODUCT($OK59:$OP59,$I$7:$N$7)+MIN(12,$OQ59*3+$OR59*6,SUMPRODUCT($OK59:$OP59,$I$7:$N$7)))</f>
        <v/>
      </c>
      <c r="PJ59" s="155">
        <f>MAX(0,16-SUMPRODUCT($OK59:$OP59,$I$8:$N$8)+MIN(14,$OQ59*4+$OR59*7,SUMPRODUCT($OK59:$OP59,$I$8:$N$8)))</f>
        <v/>
      </c>
      <c r="PK59" s="155">
        <f>IF($OE59=2,3*$PD59&amp;" de vida temp.",IF($OE59=3,"sem dano",IF($PD59=0,IF($OE59=1,"sem cura","sem dano"),IF($OE59=1,"cura ","")&amp;$PD59&amp;"d8")))</f>
        <v/>
      </c>
      <c r="PL59" s="155">
        <f>IF($OE59=2,3*$PE59&amp;" de vida temp.",IF($OE59=3,"sem dano",IF($PE59=0,IF($OE59=1,"sem cura","sem dano"),IF($OE59=1,"cura ","")&amp;$PE59&amp;"d8")))</f>
        <v/>
      </c>
      <c r="PM59" s="155">
        <f>IF($OE59=2,3*$PF59&amp;" de vida temp.",IF($OE59=3,"sem dano",IF($PF59=0,IF($OE59=1,"sem cura","sem dano"),IF($OE59=1,"cura ","")&amp;$PF59&amp;"d8")))</f>
        <v/>
      </c>
      <c r="PN59" s="155">
        <f>IF($OE59=2,3*$PG59&amp;" de vida temp.",IF($OE59=3,"sem dano",IF($PG59=0,IF($OE59=1,"sem cura","sem dano"),IF($OE59=1,"cura ","")&amp;$PG59&amp;"d8")))</f>
        <v/>
      </c>
      <c r="PO59" s="155">
        <f>IF($OE59=2,3*$PH59&amp;" de vida temp.",IF($OE59=3,"sem dano",IF($PH59=0,IF($OE59=1,"sem cura","sem dano"),IF($OE59=1,"cura ","")&amp;$PH59&amp;"d8")))</f>
        <v/>
      </c>
      <c r="PP59" s="155">
        <f>IF($OE59=2,3*$PI59&amp;" de vida temp.",IF($OE59=3,"sem dano",IF($PI59=0,IF($OE59=1,"sem cura","sem dano"),IF($OE59=1,"cura ","")&amp;$PI59&amp;"d8")))</f>
        <v/>
      </c>
      <c r="PQ59" s="155">
        <f>IF($OE59=2,3*$PJ59&amp;" de vida temp.",IF($OE59=3,"sem dano",IF($PJ59=0,IF($OE59=1,"sem cura","sem dano"),IF($OE59=1,"cura ","")&amp;$PJ59&amp;"d8")))</f>
        <v/>
      </c>
      <c r="PR59" s="155">
        <f>IF($NB59=0,"",TEXTJOIN(" · ",TRUE,IF($MO59&gt;$NC59,"Este lugar abre no nível "&amp;$MO59,""),IF($MQ59&gt;$ND59,"Classe "&amp;$MQ59&amp;": o nível "&amp;$NC59&amp;" libera até a "&amp;$ND59,""),IF($NV59=1,"A Forma "&amp;$MS59&amp;" pede "&amp;INDEX($W$2:$W$11,$NH59)&amp;" aberta",""),IF(AND($MQ59=0,$NH59&gt;0,IF($NH59=0,0,INDEX($AF$2:$AF$11,$NH59))=0),$MS59&amp;" não existe na Classe 0",""),IF($NW59=1,"Família Fechada: "&amp;$MV59,""),IF($NX59=1,"Família Fechada: "&amp;$MW59,""),IF($NY59=1,"Família Fechada: "&amp;$MX59,""),IF($NZ59=1,"Família Fechada: "&amp;$MY59,""),IF(AND($MQ59&gt;0,$OS59&gt;INDEX($O$2:$O$8,MAX(1,$MQ59))),$OS59&amp;" Melhorias: a Classe "&amp;$MQ59&amp;" aceita "&amp;INDEX($O$2:$O$8,MAX(1,$MQ59)),""),IF(AND($MQ59=0,$OS59&gt;1),"A básica aceita uma Melhoria",""),IF(AND($MQ59=0,COUNTIF($NM59:$NP59,"&gt;1")&gt;0),"A básica só aceita Melhoria Leve",""),IF(AND($MQ59&gt;0,$OT59&gt;2),$OT59&amp;" Restrições"&amp;IF($OD59=1,", contando a que a Forma "&amp;$MS59&amp;" já traz","")&amp;": o limite é 2",""),IF(AND($MQ59=0,COUNTIF($MZ59:$NA59,"?*")&gt;1),"A básica aceita uma Restrição Leve",""),IF(AND($MQ59=0,COUNTIF($OG59:$OH59,2)&gt;0),"A básica só aceita Restrição Leve",""),IF(AND($MQ59&gt;0,$PA59&lt;0),"Orçamento estourado: faltam "&amp;(-$PA59)&amp;IF($PA59&lt;-1," pontos"," ponto"),""),IF(IFERROR(VLOOKUP($MZ59,$BC$2:$BG$24,4,FALSE),0)+IFERROR(VLOOKUP($NA59,$BC$2:$BG$24,4,FALSE),0)&gt;1,$OI59&amp;" e "&amp;$OJ59&amp;" são as duas de frequência",""),IF(AND((COUNTIF($MV59:$MY59,"Rápido")+COUNTIF($OI59:$OJ59,"Rápido"))&gt;0,(COUNTIF($MV59:$MY59,"Atrasar")+COUNTIF($OI59:$OJ59,"Atrasar"))&gt;0),"Rápido não entra com Atrasar",""),IF(AND((COUNTIF($MV59:$MY59,"Reação")+COUNTIF($OI59:$OJ59,"Reação"))&gt;0,(COUNTIF($MV59:$MY59,"Rápido")+COUNTIF($OI59:$OJ59,"Rápido"))&gt;0),"Reação não entra com Rápido",""),IF(AND((COUNTIF($MV59:$MY59,"Reação")+COUNTIF($OI59:$OJ59,"Reação"))&gt;0,(COUNTIF($MV59:$MY59,"Armado")+COUNTIF($OI59:$OJ59,"Armado"))&gt;0),"Reação não entra com Armado",""),IF(AND((COUNTIF($MV59:$MY59,"Reação")+COUNTIF($OI59:$OJ59,"Reação"))&gt;0,(COUNTIF($MV59:$MY59,"Atrasar")+COUNTIF($OI59:$OJ59,"Atrasar"))&gt;0),"Reação não entra com Atrasar",""),IF(AND((COUNTIF($MV59:$MY59,"Reação")+COUNTIF($OI59:$OJ59,"Reação"))&gt;0,(COUNTIF($MV59:$MY59,"Parado")+COUNTIF($OI59:$OJ59,"Parado"))&gt;0),"Reação não entra com Parado",""),IF(AND((COUNTIF($MV59:$MY59,"Atrasar")+COUNTIF($OI59:$OJ59,"Atrasar"))&gt;0,(COUNTIF($MV59:$MY59,"Parado")+COUNTIF($OI59:$OJ59,"Parado"))&gt;0),"Atrasar não entra com Parado",""),IF(AND((COUNTIF($MV59:$MY59,"Armado")+COUNTIF($OI59:$OJ59,"Armado"))&gt;0,(COUNTIF($MV59:$MY59,"Carregar")+COUNTIF($OI59:$OJ59,"Carregar"))&gt;0),"Armado não entra com Carregar",""),IF(AND(COUNTIF($OI59:$OJ59,"Corpo a Corpo")&gt;0,$OD59=0,OR($MS59="Cone",$MS59="Linha")),"Corpo a Corpo não entra em "&amp;$MS59,""),IF(AND(COUNTIF($OI59:$OJ59,"Corpo a Corpo")&gt;0,$OD59=1),"A Forma "&amp;$MS59&amp;" já traz o Corpo a Corpo",""),IF(AND(COUNTIF($OI59:$OJ59,"Tudo ou Nada")&gt;0,$OF59=0),"Tudo ou Nada só entra em habilidade de Teste de Resistência",""),IF(AND(COUNTIF($MV59:$MY59,"Inescapável")&gt;0,OR($OS59&gt;1,$OT59&gt;0)),"Inescapável não aceita outra peça",""),IF(AND($MQ59&gt;0,$PB59*IF(COUNTIF($MV59:$MY59,"Remate")&gt;0,1.25,1)+$PC59&gt;4*$MQ59),($PB59*IF(COUNTIF($MV59:$MY59,"Remate")&gt;0,1.25,1)+$PC59)&amp;" dados somando repetições"&amp;IF(COUNTIF($MV59:$MY59,"Remate")&gt;0," e o Remate","")&amp;": o teto da Classe "&amp;$MQ59&amp;" é "&amp;4*$MQ59,"")))</f>
        <v/>
      </c>
      <c r="PS59" s="155">
        <f>IF($PR59="",0,(LEN($PR59)-LEN(SUBSTITUTE($PR59," · ","")))/3+1)</f>
        <v/>
      </c>
      <c r="PT59" s="155">
        <f>IF($NB59=0,"",TEXTJOIN(" · ",TRUE,IF($OV59&gt;2*$MQ59,"A devolução parou no teto de "&amp;2*$MQ59,""),IF($OY59&gt;0,"Devolução perdida: "&amp;$OY59&amp;IF($OY59&gt;1," pontos"," ponto")&amp;" sem peça para pagar",""),IF(AND($OA59&gt;0,AND($MQ59&gt;0,$OE59=0),$PB59=0),"Controle sem dano: uma rodada a mais e CD +2",""),IF(AND($OA59&gt;0,AND($MQ59&gt;0,$OE59=0),$PB59&gt;0,$PB59&lt;=$MQ59),"Controle com saldo até a Classe: uma rodada a mais",""),IF(AND($MQ59&gt;0,$OC59&lt;&gt;""),"Efeito de "&amp;$OC59&amp;" pela Classe "&amp;MAX(1,$MQ59-1),"")))</f>
        <v/>
      </c>
      <c r="PU59" s="155">
        <f>IF($PT59="",0,(LEN($PT59)-LEN(SUBSTITUTE($PT59," · ","")))/3+1)</f>
        <v/>
      </c>
      <c r="PV59" s="155">
        <f>IF($NB59=0,IF($OS59+COUNTIF($MZ59:$NA59,"?*")&gt;0,"Dê um nome",""),IF($PS59&gt;0,"⚠ "&amp;$PS59&amp;IF($PS59&gt;1," erros"," erro"),IF($PU59&gt;0,"! "&amp;$PU59&amp;IF($PU59&gt;1," avisos"," aviso"),"Na regra")))</f>
        <v/>
      </c>
      <c r="PW59" s="155">
        <f>IF($NB59=0,"",IF($PS59+$PU59=0,"Dentro das regras que a ficha confere",$PR59&amp;IF(AND($PS59&gt;0,$PU59&gt;0)," · ","")&amp;$PT59))</f>
        <v/>
      </c>
      <c r="PX59" s="155">
        <f>IF($MO59&gt;$NC59,$MP59&amp;" · ABRE NO NÍVEL "&amp;$MO59,$MP59)</f>
        <v/>
      </c>
      <c r="PY59" s="155">
        <f>IF($NB59=0,"",IF($MQ59=0,"Sem PE",3*$MQ59&amp;" PE"))</f>
        <v/>
      </c>
      <c r="PZ59" s="155">
        <f>IF($NB59=0,"",IF($MQ59=0,"A atuação básica dela",IF(COUNTIF($OI59:$OJ59,"Atrasar")&gt;0,"Sua Ação Completa",IF(COUNTIF($MV59:$MY59,"Rápido")&gt;0,"Sua Bônus",IF(COUNTIF($MV59:$MY59,"Reação")&gt;0,"Sua Reação","Sua Padrão")))&amp;" + a básica dela"&amp;IF(COUNTIF($MV59:$MY59,"Reação")&gt;0," e a coletiva","")&amp;IF(COUNTIF($OI59:$OJ59,"Carregar")&gt;0," · em dois turnos","")))</f>
        <v/>
      </c>
      <c r="QA59" s="155">
        <f>IF($MU59&lt;&gt;"",$MU59,IF($NH59=0,"",INDEX($AA$2:$AA$11,$NH59)))</f>
        <v/>
      </c>
      <c r="QB59" s="155">
        <f>IF(OR($NB59=0,$NH59=0),"",IF(COUNTIF($MV59:$MY59,"Inescapável")&gt;0,"Automático",IF($QA59="Ataque",IF($NF59="","Ataque","Ataque "&amp;IF(($NF59+2*IF(COUNTIF($MV59:$MY59,"Precisão")&gt;0,1,0))&gt;=0,"+","−")&amp;ABS(($NF59+2*IF(COUNTIF($MV59:$MY59,"Precisão")&gt;0,1,0))))&amp;IF($OB59&gt;0," · TR"&amp;IF($NG59="",""," CD "&amp;$NG59),""),IF(LEFT($QA59,2)="TR",$QA59&amp;IF($NG59="",""," · CD "&amp;$NG59)&amp;IF(COUNTIF($MV59:$MY59,"Certeiro")&gt;0," · metade",""),"Sem rolagem"))))</f>
        <v/>
      </c>
      <c r="QC59" s="155">
        <f>IF(OR($NB59=0,$NH59=0),"",IF($MQ59=0,IF(OR($OE59&gt;=1,$PB59=0),"Sem dano",$PB59&amp;"d6"&amp;IF($MT59="",""," "&amp;$MT59)),IF(OR($OE59&gt;=1,$PB59=0),UPPER(LEFT(INDEX($PK59:$PQ59,1,MAX(1,$MQ59)),1))&amp;MID(INDEX($PK59:$PQ59,1,MAX(1,$MQ59)),2,99),UPPER(LEFT(INDEX($PK59:$PQ59,1,MAX(1,$MQ59)),1))&amp;MID(INDEX($PK59:$PQ59,1,MAX(1,$MQ59)),2,99)&amp;IF($MT59="",""," "&amp;$MT59)&amp;IF($PC59&gt;0," · +"&amp;$PC59&amp;"d8",""))))</f>
        <v/>
      </c>
      <c r="QD59" s="155">
        <f>COUNTIF($MV59:$MY59,"Longe")+3*COUNTIF($MV59:$MY59,"Muito Longe")</f>
        <v/>
      </c>
      <c r="QE59" s="155">
        <f>COUNTIF($MV59:$MY59,"Maior")+3*COUNTIF($MV59:$MY59,"Muito Maior")</f>
        <v/>
      </c>
      <c r="QF59" s="155">
        <f>IF($NH59=0,0,CHOOSE(1+INDEX($AC$2:$AC$11,$NH59),0,$QD59,$QE59,$QD59+$QE59))</f>
        <v/>
      </c>
      <c r="QG59" s="155">
        <f>IF($NH59=0,0,CHOOSE(1+INDEX($AD$2:$AD$11,$NH59),0,$QD59,$QE59,$QD59+$QE59))</f>
        <v/>
      </c>
      <c r="QH59" s="155">
        <f>IF(OR($NB59=0,$NH59=0),"",INDEX($AI$2:$AN$41,($NH59-1)*4+IF($MQ59=0,1,IF($MQ59&lt;=5,2,IF($MQ59=6,3,4))),1+MIN(5,$QF59))&amp;INDEX($AO$2:$AT$41,($NH59-1)*4+IF($MQ59=0,1,IF($MQ59&lt;=5,2,IF($MQ59=6,3,4))),1+MIN(5,$QG59))&amp;IF(INDEX($AE$2:$AE$11,$NH59)=1,IF(COUNTIF($MV59:$MY59,"Mais Um")&gt;0," · +"&amp;COUNTIF($MV59:$MY59,"Mais Um")&amp;IF(COUNTIF($MV59:$MY59,"Mais Um")&gt;1," alvos"," alvo"),"")&amp;IF(COUNTIF($MV59:$MY59,"Rajada")&gt;0,IF($MQ59=0," · 1 tiro"," · "&amp;(MAX(1,$MQ59-1)+1)&amp;" tiros"),""),""))</f>
        <v/>
      </c>
      <c r="QI59" s="155">
        <f>IF($NB59=0,"",IF($MQ59=0,$NE59&amp;"d6"&amp;IF($OS59&gt;0," − 1 = "&amp;$PB59&amp;"d6"," da básica do nível "&amp;$NC59),$OZ59&amp;" − "&amp;$OU59&amp;" + "&amp;$OX59&amp;" = "&amp;$PA59&amp;" · teto "&amp;4*$MQ59&amp;"d8"&amp;IF($OD59=1," · a Forma devolve "&amp;$MQ59,"")&amp;IF($OY59&gt;0," · perde "&amp;$OY59,"")))</f>
        <v/>
      </c>
      <c r="QJ59" s="155">
        <f>IF($NB59=0,"",IF($MQ59=0,"A básica não amplia: os dados dela sobem com o nível",IF($MQ59&gt;=$ND59,"Já está na maior Classe que o nível liberou",TEXTJOIN(" · ",TRUE,IF(AND(2&gt;$MQ59,2&lt;=$ND59),"2 → "&amp;$PL59&amp;", 6 PE",""),IF(AND(3&gt;$MQ59,3&lt;=$ND59),"3 → "&amp;$PM59&amp;", 9 PE",""),IF(AND(4&gt;$MQ59,4&lt;=$ND59),"4 → "&amp;$PN59&amp;", 12 PE",""),IF(AND(5&gt;$MQ59,5&lt;=$ND59),"5 → "&amp;$PO59&amp;", 15 PE",""),IF(AND(6&gt;$MQ59,6&lt;=$ND59),"6 → "&amp;$PP59&amp;", 18 PE",""),IF(AND(7&gt;$MQ59,7&lt;=$ND59),"7 → "&amp;$PQ59&amp;", 21 PE","")))))</f>
        <v/>
      </c>
      <c r="QK59" s="155">
        <f>IF(OR($NB59=0,$NM59=0),"",IF($MQ59=0,"−1 dado","−"&amp;INDEX($I$2:$N$8,MAX(1,$MQ59),MAX(1,$NR59))&amp;" · "&amp;CHOOSE(MAX(1,$NR59),"Leve","Média","Pesada","Leve · Livre","Média · Livre","Pesada · Livre")))</f>
        <v/>
      </c>
      <c r="QL59" s="155">
        <f>IF(OR($NB59=0,$NN59=0),"",IF($MQ59=0,"−1 dado","−"&amp;INDEX($I$2:$N$8,MAX(1,$MQ59),MAX(1,$NS59))&amp;" · "&amp;CHOOSE(MAX(1,$NS59),"Leve","Média","Pesada","Leve · Livre","Média · Livre","Pesada · Livre")))</f>
        <v/>
      </c>
      <c r="QM59" s="155">
        <f>IF(OR($NB59=0,$NO59=0),"",IF($MQ59=0,"−1 dado","−"&amp;INDEX($I$2:$N$8,MAX(1,$MQ59),MAX(1,$NT59))&amp;" · "&amp;CHOOSE(MAX(1,$NT59),"Leve","Média","Pesada","Leve · Livre","Média · Livre","Pesada · Livre")))</f>
        <v/>
      </c>
      <c r="QN59" s="155">
        <f>IF(OR($NB59=0,$NP59=0),"",IF($MQ59=0,"−1 dado","−"&amp;INDEX($I$2:$N$8,MAX(1,$MQ59),MAX(1,$NU59))&amp;" · "&amp;CHOOSE(MAX(1,$NU59),"Leve","Média","Pesada","Leve · Livre","Média · Livre","Pesada · Livre")))</f>
        <v/>
      </c>
      <c r="QO59" s="155">
        <f>IF(OR($NB59=0,$MZ59=""),"",IF($MQ59=0,"não devolve","+"&amp;IF($OG59=1,CEILING($MQ59/2,1),$MQ59)))</f>
        <v/>
      </c>
      <c r="QP59" s="155">
        <f>IF(OR($NB59=0,$NA59=""),"",IF($MQ59=0,"não devolve","+"&amp;IF($OH59=1,CEILING($MQ59/2,1),$MQ59)))</f>
        <v/>
      </c>
    </row>
    <row r="60">
      <c r="AV60" s="153" t="inlineStr">
        <is>
          <t>Rápido</t>
        </is>
      </c>
      <c r="AW60" s="153" t="inlineStr">
        <is>
          <t>Tempo</t>
        </is>
      </c>
      <c r="AX60" s="155" t="n">
        <v>3</v>
      </c>
      <c r="AY60" s="155" t="n">
        <v>0</v>
      </c>
      <c r="AZ60" s="155" t="n">
        <v>0</v>
      </c>
      <c r="BA60" s="155" t="n">
        <v>0</v>
      </c>
      <c r="JR60" s="155">
        <f>IF(OR($AW60="",COUNTIF($EJ$2:$EN$2,$AW60)&gt;0),$AV60,"")</f>
        <v/>
      </c>
      <c r="JS60" s="155">
        <f>IF(AND($AX60=1,OR($AW60="",COUNTIF($EJ$2:$EN$2,$AW60)&gt;0)),$AV60,"")</f>
        <v/>
      </c>
      <c r="JX60" s="155">
        <f>IF(OR($AW60="",COUNTIF($EJ$3:$EN$3,$AW60)&gt;0),$AV60,"")</f>
        <v/>
      </c>
      <c r="JY60" s="155">
        <f>IF(AND($AX60=1,OR($AW60="",COUNTIF($EJ$3:$EN$3,$AW60)&gt;0)),$AV60,"")</f>
        <v/>
      </c>
      <c r="KD60" s="155">
        <f>IF(OR($AW60="",COUNTIF($EJ$4:$EN$4,$AW60)&gt;0),$AV60,"")</f>
        <v/>
      </c>
      <c r="KE60" s="155">
        <f>IF(AND($AX60=1,OR($AW60="",COUNTIF($EJ$4:$EN$4,$AW60)&gt;0)),$AV60,"")</f>
        <v/>
      </c>
      <c r="KJ60" s="155">
        <f>IF(OR($AW60="",COUNTIF($EJ$5:$EN$5,$AW60)&gt;0),$AV60,"")</f>
        <v/>
      </c>
      <c r="KK60" s="155">
        <f>IF(AND($AX60=1,OR($AW60="",COUNTIF($EJ$5:$EN$5,$AW60)&gt;0)),$AV60,"")</f>
        <v/>
      </c>
      <c r="KP60" s="155">
        <f>IF(OR($AW60="",COUNTIF($EJ$6:$EN$6,$AW60)&gt;0),$AV60,"")</f>
        <v/>
      </c>
      <c r="KQ60" s="155">
        <f>IF(AND($AX60=1,OR($AW60="",COUNTIF($EJ$6:$EN$6,$AW60)&gt;0)),$AV60,"")</f>
        <v/>
      </c>
      <c r="KV60" s="155">
        <f>IF(OR($AW60="",COUNTIF($EJ$7:$EN$7,$AW60)&gt;0),$AV60,"")</f>
        <v/>
      </c>
      <c r="KW60" s="155">
        <f>IF(AND($AX60=1,OR($AW60="",COUNTIF($EJ$7:$EN$7,$AW60)&gt;0)),$AV60,"")</f>
        <v/>
      </c>
      <c r="LB60" s="155">
        <f>IF(OR($AW60="",COUNTIF($EJ$8:$EN$8,$AW60)&gt;0),$AV60,"")</f>
        <v/>
      </c>
      <c r="LC60" s="155">
        <f>IF(AND($AX60=1,OR($AW60="",COUNTIF($EJ$8:$EN$8,$AW60)&gt;0)),$AV60,"")</f>
        <v/>
      </c>
      <c r="LH60" s="155">
        <f>IF(OR($AW60="",COUNTIF($EJ$9:$EN$9,$AW60)&gt;0),$AV60,"")</f>
        <v/>
      </c>
      <c r="LI60" s="155">
        <f>IF(AND($AX60=1,OR($AW60="",COUNTIF($EJ$9:$EN$9,$AW60)&gt;0)),$AV60,"")</f>
        <v/>
      </c>
      <c r="LN60" s="155">
        <f>IF(OR($AW60="",COUNTIF($EJ$10:$EN$10,$AW60)&gt;0),$AV60,"")</f>
        <v/>
      </c>
      <c r="LO60" s="155">
        <f>IF(AND($AX60=1,OR($AW60="",COUNTIF($EJ$10:$EN$10,$AW60)&gt;0)),$AV60,"")</f>
        <v/>
      </c>
      <c r="LT60" s="155">
        <f>IF(OR($AW60="",COUNTIF($EJ$11:$EN$11,$AW60)&gt;0),$AV60,"")</f>
        <v/>
      </c>
      <c r="LU60" s="155">
        <f>IF(AND($AX60=1,OR($AW60="",COUNTIF($EJ$11:$EN$11,$AW60)&gt;0)),$AV60,"")</f>
        <v/>
      </c>
      <c r="LZ60" s="155">
        <f>IF(OR($AW60="",COUNTIF($EJ$12:$EN$12,$AW60)&gt;0),$AV60,"")</f>
        <v/>
      </c>
      <c r="MA60" s="155">
        <f>IF(AND($AX60=1,OR($AW60="",COUNTIF($EJ$12:$EN$12,$AW60)&gt;0)),$AV60,"")</f>
        <v/>
      </c>
      <c r="MF60" s="155">
        <f>IF(OR($AW60="",COUNTIF($EJ$13:$EN$13,$AW60)&gt;0),$AV60,"")</f>
        <v/>
      </c>
      <c r="MG60" s="155">
        <f>IF(AND($AX60=1,OR($AW60="",COUNTIF($EJ$13:$EN$13,$AW60)&gt;0)),$AV60,"")</f>
        <v/>
      </c>
      <c r="ML60" s="153" t="inlineStr">
        <is>
          <t>Ficha 5 · Especial 5</t>
        </is>
      </c>
      <c r="MM60" s="155" t="n">
        <v>5</v>
      </c>
      <c r="MN60" s="155" t="n">
        <v>1</v>
      </c>
      <c r="MO60" s="155" t="n">
        <v>16</v>
      </c>
      <c r="MP60" s="153" t="inlineStr">
        <is>
          <t>ESPECIAL 5</t>
        </is>
      </c>
      <c r="MQ60" s="155">
        <f>MAX(1,MIN(7,N('INVOCAÇÕES'!$I$906)))</f>
        <v/>
      </c>
      <c r="MR60" s="155">
        <f>'INVOCAÇÕES'!$J$906&amp;""</f>
        <v/>
      </c>
      <c r="MS60" s="155">
        <f>'INVOCAÇÕES'!$I$911&amp;""</f>
        <v/>
      </c>
      <c r="MT60" s="155">
        <f>'INVOCAÇÕES'!$I$912&amp;""</f>
        <v/>
      </c>
      <c r="MU60" s="155">
        <f>'INVOCAÇÕES'!$K$912&amp;""</f>
        <v/>
      </c>
      <c r="MV60" s="155">
        <f>'INVOCAÇÕES'!$J$915&amp;""</f>
        <v/>
      </c>
      <c r="MW60" s="155">
        <f>'INVOCAÇÕES'!$J$916&amp;""</f>
        <v/>
      </c>
      <c r="MX60" s="155">
        <f>'INVOCAÇÕES'!$J$917&amp;""</f>
        <v/>
      </c>
      <c r="MY60" s="155">
        <f>'INVOCAÇÕES'!$J$918&amp;""</f>
        <v/>
      </c>
      <c r="MZ60" s="155">
        <f>'INVOCAÇÕES'!$J$919&amp;""</f>
        <v/>
      </c>
      <c r="NA60" s="155">
        <f>'INVOCAÇÕES'!$J$920&amp;""</f>
        <v/>
      </c>
      <c r="NB60" s="155">
        <f>IF($MR60&lt;&gt;"",1,0)</f>
        <v/>
      </c>
      <c r="NC60" s="155">
        <f>INDEX($FM$2:$FM$13,$MM60)</f>
        <v/>
      </c>
      <c r="ND60" s="155">
        <f>INDEX($FN$2:$FN$13,$MM60)</f>
        <v/>
      </c>
      <c r="NE60" s="155">
        <f>INDEX($FO$2:$FO$13,$MM60)</f>
        <v/>
      </c>
      <c r="NF60" s="155">
        <f>INDEX($FZ$2:$FZ$13,$MM60)</f>
        <v/>
      </c>
      <c r="NG60" s="155">
        <f>INDEX($GA$2:$GA$13,$MM60)</f>
        <v/>
      </c>
      <c r="NH60" s="155">
        <f>IFERROR(MATCH($MS60,$V$2:$V$11,0),0)</f>
        <v/>
      </c>
      <c r="NI60" s="155">
        <f>IFERROR(VLOOKUP($MV60,$AV$2:$BA$84,2,FALSE),"")</f>
        <v/>
      </c>
      <c r="NJ60" s="155">
        <f>IFERROR(VLOOKUP($MW60,$AV$2:$BA$84,2,FALSE),"")</f>
        <v/>
      </c>
      <c r="NK60" s="155">
        <f>IFERROR(VLOOKUP($MX60,$AV$2:$BA$84,2,FALSE),"")</f>
        <v/>
      </c>
      <c r="NL60" s="155">
        <f>IFERROR(VLOOKUP($MY60,$AV$2:$BA$84,2,FALSE),"")</f>
        <v/>
      </c>
      <c r="NM60" s="155">
        <f>IFERROR(VLOOKUP($MV60,$AV$2:$BA$84,3,FALSE),0)</f>
        <v/>
      </c>
      <c r="NN60" s="155">
        <f>IFERROR(VLOOKUP($MW60,$AV$2:$BA$84,3,FALSE),0)</f>
        <v/>
      </c>
      <c r="NO60" s="155">
        <f>IFERROR(VLOOKUP($MX60,$AV$2:$BA$84,3,FALSE),0)</f>
        <v/>
      </c>
      <c r="NP60" s="155">
        <f>IFERROR(VLOOKUP($MY60,$AV$2:$BA$84,3,FALSE),0)</f>
        <v/>
      </c>
      <c r="NQ60" s="155">
        <f>IF($MQ60=0,0,IF($NH60=0,0,INDEX($X$2:$X$11,$NH60)))</f>
        <v/>
      </c>
      <c r="NR60" s="155">
        <f>IF(OR($NM60=0,$MQ60=0),0,$NM60+3*IF(AND($NI60&lt;&gt;"",OR($NI60=INDEX($EJ$2:$EJ$13,$MM60),$NI60=INDEX($EK$2:$EK$13,$MM60))),1,0))</f>
        <v/>
      </c>
      <c r="NS60" s="155">
        <f>IF(OR($NN60=0,$MQ60=0),0,$NN60+3*IF(AND($NJ60&lt;&gt;"",OR($NJ60=INDEX($EJ$2:$EJ$13,$MM60),$NJ60=INDEX($EK$2:$EK$13,$MM60))),1,0))</f>
        <v/>
      </c>
      <c r="NT60" s="155">
        <f>IF(OR($NO60=0,$MQ60=0),0,$NO60+3*IF(AND($NK60&lt;&gt;"",OR($NK60=INDEX($EJ$2:$EJ$13,$MM60),$NK60=INDEX($EK$2:$EK$13,$MM60))),1,0))</f>
        <v/>
      </c>
      <c r="NU60" s="155">
        <f>IF(OR($NP60=0,$MQ60=0),0,$NP60+3*IF(AND($NL60&lt;&gt;"",OR($NL60=INDEX($EJ$2:$EJ$13,$MM60),$NL60=INDEX($EK$2:$EK$13,$MM60))),1,0))</f>
        <v/>
      </c>
      <c r="NV60" s="155">
        <f>IF($NH60=0,0,IF(INDEX($W$2:$W$11,$NH60)="",0,IF(COUNTIF(INDEX($EJ$2:$EN$13,$MM60,0),INDEX($W$2:$W$11,$NH60))=0,1,0)))</f>
        <v/>
      </c>
      <c r="NW60" s="155">
        <f>IF(OR($NM60=0,$NI60=""),0,IF(COUNTIF(INDEX($EJ$2:$EN$13,$MM60,0),$NI60)=0,1,0))</f>
        <v/>
      </c>
      <c r="NX60" s="155">
        <f>IF(OR($NN60=0,$NJ60=""),0,IF(COUNTIF(INDEX($EJ$2:$EN$13,$MM60,0),$NJ60)=0,1,0))</f>
        <v/>
      </c>
      <c r="NY60" s="155">
        <f>IF(OR($NO60=0,$NK60=""),0,IF(COUNTIF(INDEX($EJ$2:$EN$13,$MM60,0),$NK60)=0,1,0))</f>
        <v/>
      </c>
      <c r="NZ60" s="155">
        <f>IF(OR($NP60=0,$NL60=""),0,IF(COUNTIF(INDEX($EJ$2:$EN$13,$MM60,0),$NL60)=0,1,0))</f>
        <v/>
      </c>
      <c r="OA60" s="155">
        <f>IFERROR(VLOOKUP($MV60,$AV$2:$BA$84,4,FALSE),0)+IFERROR(VLOOKUP($MW60,$AV$2:$BA$84,4,FALSE),0)+IFERROR(VLOOKUP($MX60,$AV$2:$BA$84,4,FALSE),0)+IFERROR(VLOOKUP($MY60,$AV$2:$BA$84,4,FALSE),0)</f>
        <v/>
      </c>
      <c r="OB60" s="155">
        <f>IFERROR(VLOOKUP($MV60,$AV$2:$BA$84,6,FALSE),0)+IFERROR(VLOOKUP($MW60,$AV$2:$BA$84,6,FALSE),0)+IFERROR(VLOOKUP($MX60,$AV$2:$BA$84,6,FALSE),0)+IFERROR(VLOOKUP($MY60,$AV$2:$BA$84,6,FALSE),0)</f>
        <v/>
      </c>
      <c r="OC60" s="155">
        <f>TEXTJOIN(", ",TRUE,IF(IFERROR(VLOOKUP($MV60,$AV$2:$BA$84,5,FALSE),0)=1,$MV60,""),IF(IFERROR(VLOOKUP($MW60,$AV$2:$BA$84,5,FALSE),0)=1,$MW60,""),IF(IFERROR(VLOOKUP($MX60,$AV$2:$BA$84,5,FALSE),0)=1,$MX60,""),IF(IFERROR(VLOOKUP($MY60,$AV$2:$BA$84,5,FALSE),0)=1,$MY60,""))</f>
        <v/>
      </c>
      <c r="OD60" s="155">
        <f>IF($NH60=0,0,INDEX($Y$2:$Y$11,$NH60))</f>
        <v/>
      </c>
      <c r="OE60" s="155">
        <f>IF($NH60=0,0,INDEX($Z$2:$Z$11,$NH60))</f>
        <v/>
      </c>
      <c r="OF60" s="155">
        <f>IF($NH60=0,0,INDEX($AB$2:$AB$11,$NH60))</f>
        <v/>
      </c>
      <c r="OG60" s="155">
        <f>IFERROR(VLOOKUP($MZ60,$BC$2:$BG$24,3,FALSE),0)</f>
        <v/>
      </c>
      <c r="OH60" s="155">
        <f>IFERROR(VLOOKUP($NA60,$BC$2:$BG$24,3,FALSE),0)</f>
        <v/>
      </c>
      <c r="OI60" s="155">
        <f>IFERROR(VLOOKUP($MZ60,$BC$2:$BG$24,2,FALSE),"")</f>
        <v/>
      </c>
      <c r="OJ60" s="155">
        <f>IFERROR(VLOOKUP($NA60,$BC$2:$BG$24,2,FALSE),"")</f>
        <v/>
      </c>
      <c r="OK60" s="155">
        <f>COUNTIF($NQ60:$NU60,1)</f>
        <v/>
      </c>
      <c r="OL60" s="155">
        <f>COUNTIF($NQ60:$NU60,2)</f>
        <v/>
      </c>
      <c r="OM60" s="155">
        <f>COUNTIF($NQ60:$NU60,3)</f>
        <v/>
      </c>
      <c r="ON60" s="155">
        <f>COUNTIF($NQ60:$NU60,4)</f>
        <v/>
      </c>
      <c r="OO60" s="155">
        <f>COUNTIF($NQ60:$NU60,5)</f>
        <v/>
      </c>
      <c r="OP60" s="155">
        <f>COUNTIF($NQ60:$NU60,6)</f>
        <v/>
      </c>
      <c r="OQ60" s="155">
        <f>COUNTIF($OG60:$OH60,1)</f>
        <v/>
      </c>
      <c r="OR60" s="155">
        <f>COUNTIF($OG60:$OH60,2)+$OD60</f>
        <v/>
      </c>
      <c r="OS60" s="155">
        <f>COUNTIF($MV60:$MY60,"?*")</f>
        <v/>
      </c>
      <c r="OT60" s="155">
        <f>COUNTIF($MZ60:$NA60,"?*")+$OD60</f>
        <v/>
      </c>
      <c r="OU60" s="155">
        <f>IF($MQ60=0,0,SUMPRODUCT($OK60:$OP60,INDEX($I$2:$N$8,MAX(1,$MQ60),0)))</f>
        <v/>
      </c>
      <c r="OV60" s="155">
        <f>IF($MQ60=0,0,$OQ60*CEILING($MQ60/2,1)+$OR60*$MQ60)</f>
        <v/>
      </c>
      <c r="OW60" s="155">
        <f>MIN(2*$MQ60,$OV60)</f>
        <v/>
      </c>
      <c r="OX60" s="155">
        <f>MIN($OW60,$OU60)</f>
        <v/>
      </c>
      <c r="OY60" s="155">
        <f>$OW60-$OX60</f>
        <v/>
      </c>
      <c r="OZ60" s="155">
        <f>IF($MQ60=0,0,INDEX($P$2:$P$8,MAX(1,$MQ60)))</f>
        <v/>
      </c>
      <c r="PA60" s="155">
        <f>$OZ60-$OU60+$OX60</f>
        <v/>
      </c>
      <c r="PB60" s="155">
        <f>IF($MQ60=0,MAX(0,$NE60-IF($OS60&gt;0,1,0)),MAX(0,$PA60))</f>
        <v/>
      </c>
      <c r="PC60" s="155">
        <f>IF($MQ60=0,0,(IF(COUNTIF($MV60:$MY60,"Salto")&gt;0,1,0)+IF(COUNTIF($MV60:$MY60,"Queima")&gt;0,1,0)+IF(COUNTIF($MV60:$MY60,"Estilhaço")&gt;0,1,0))*FLOOR($PB60/2,1))</f>
        <v/>
      </c>
      <c r="PD60" s="155">
        <f>MAX(0,2-SUMPRODUCT($OK60:$OP60,$I$2:$N$2)+MIN(2,$OQ60*1+$OR60*1,SUMPRODUCT($OK60:$OP60,$I$2:$N$2)))</f>
        <v/>
      </c>
      <c r="PE60" s="155">
        <f>MAX(0,4-SUMPRODUCT($OK60:$OP60,$I$3:$N$3)+MIN(4,$OQ60*1+$OR60*2,SUMPRODUCT($OK60:$OP60,$I$3:$N$3)))</f>
        <v/>
      </c>
      <c r="PF60" s="155">
        <f>MAX(0,6-SUMPRODUCT($OK60:$OP60,$I$4:$N$4)+MIN(6,$OQ60*2+$OR60*3,SUMPRODUCT($OK60:$OP60,$I$4:$N$4)))</f>
        <v/>
      </c>
      <c r="PG60" s="155">
        <f>MAX(0,9-SUMPRODUCT($OK60:$OP60,$I$5:$N$5)+MIN(8,$OQ60*2+$OR60*4,SUMPRODUCT($OK60:$OP60,$I$5:$N$5)))</f>
        <v/>
      </c>
      <c r="PH60" s="155">
        <f>MAX(0,11-SUMPRODUCT($OK60:$OP60,$I$6:$N$6)+MIN(10,$OQ60*3+$OR60*5,SUMPRODUCT($OK60:$OP60,$I$6:$N$6)))</f>
        <v/>
      </c>
      <c r="PI60" s="155">
        <f>MAX(0,13-SUMPRODUCT($OK60:$OP60,$I$7:$N$7)+MIN(12,$OQ60*3+$OR60*6,SUMPRODUCT($OK60:$OP60,$I$7:$N$7)))</f>
        <v/>
      </c>
      <c r="PJ60" s="155">
        <f>MAX(0,16-SUMPRODUCT($OK60:$OP60,$I$8:$N$8)+MIN(14,$OQ60*4+$OR60*7,SUMPRODUCT($OK60:$OP60,$I$8:$N$8)))</f>
        <v/>
      </c>
      <c r="PK60" s="155">
        <f>IF($OE60=2,3*$PD60&amp;" de vida temp.",IF($OE60=3,"sem dano",IF($PD60=0,IF($OE60=1,"sem cura","sem dano"),IF($OE60=1,"cura ","")&amp;$PD60&amp;"d8")))</f>
        <v/>
      </c>
      <c r="PL60" s="155">
        <f>IF($OE60=2,3*$PE60&amp;" de vida temp.",IF($OE60=3,"sem dano",IF($PE60=0,IF($OE60=1,"sem cura","sem dano"),IF($OE60=1,"cura ","")&amp;$PE60&amp;"d8")))</f>
        <v/>
      </c>
      <c r="PM60" s="155">
        <f>IF($OE60=2,3*$PF60&amp;" de vida temp.",IF($OE60=3,"sem dano",IF($PF60=0,IF($OE60=1,"sem cura","sem dano"),IF($OE60=1,"cura ","")&amp;$PF60&amp;"d8")))</f>
        <v/>
      </c>
      <c r="PN60" s="155">
        <f>IF($OE60=2,3*$PG60&amp;" de vida temp.",IF($OE60=3,"sem dano",IF($PG60=0,IF($OE60=1,"sem cura","sem dano"),IF($OE60=1,"cura ","")&amp;$PG60&amp;"d8")))</f>
        <v/>
      </c>
      <c r="PO60" s="155">
        <f>IF($OE60=2,3*$PH60&amp;" de vida temp.",IF($OE60=3,"sem dano",IF($PH60=0,IF($OE60=1,"sem cura","sem dano"),IF($OE60=1,"cura ","")&amp;$PH60&amp;"d8")))</f>
        <v/>
      </c>
      <c r="PP60" s="155">
        <f>IF($OE60=2,3*$PI60&amp;" de vida temp.",IF($OE60=3,"sem dano",IF($PI60=0,IF($OE60=1,"sem cura","sem dano"),IF($OE60=1,"cura ","")&amp;$PI60&amp;"d8")))</f>
        <v/>
      </c>
      <c r="PQ60" s="155">
        <f>IF($OE60=2,3*$PJ60&amp;" de vida temp.",IF($OE60=3,"sem dano",IF($PJ60=0,IF($OE60=1,"sem cura","sem dano"),IF($OE60=1,"cura ","")&amp;$PJ60&amp;"d8")))</f>
        <v/>
      </c>
      <c r="PR60" s="155">
        <f>IF($NB60=0,"",TEXTJOIN(" · ",TRUE,IF($MO60&gt;$NC60,"Este lugar abre no nível "&amp;$MO60,""),IF($MQ60&gt;$ND60,"Classe "&amp;$MQ60&amp;": o nível "&amp;$NC60&amp;" libera até a "&amp;$ND60,""),IF($NV60=1,"A Forma "&amp;$MS60&amp;" pede "&amp;INDEX($W$2:$W$11,$NH60)&amp;" aberta",""),IF(AND($MQ60=0,$NH60&gt;0,IF($NH60=0,0,INDEX($AF$2:$AF$11,$NH60))=0),$MS60&amp;" não existe na Classe 0",""),IF($NW60=1,"Família Fechada: "&amp;$MV60,""),IF($NX60=1,"Família Fechada: "&amp;$MW60,""),IF($NY60=1,"Família Fechada: "&amp;$MX60,""),IF($NZ60=1,"Família Fechada: "&amp;$MY60,""),IF(AND($MQ60&gt;0,$OS60&gt;INDEX($O$2:$O$8,MAX(1,$MQ60))),$OS60&amp;" Melhorias: a Classe "&amp;$MQ60&amp;" aceita "&amp;INDEX($O$2:$O$8,MAX(1,$MQ60)),""),IF(AND($MQ60=0,$OS60&gt;1),"A básica aceita uma Melhoria",""),IF(AND($MQ60=0,COUNTIF($NM60:$NP60,"&gt;1")&gt;0),"A básica só aceita Melhoria Leve",""),IF(AND($MQ60&gt;0,$OT60&gt;2),$OT60&amp;" Restrições"&amp;IF($OD60=1,", contando a que a Forma "&amp;$MS60&amp;" já traz","")&amp;": o limite é 2",""),IF(AND($MQ60=0,COUNTIF($MZ60:$NA60,"?*")&gt;1),"A básica aceita uma Restrição Leve",""),IF(AND($MQ60=0,COUNTIF($OG60:$OH60,2)&gt;0),"A básica só aceita Restrição Leve",""),IF(AND($MQ60&gt;0,$PA60&lt;0),"Orçamento estourado: faltam "&amp;(-$PA60)&amp;IF($PA60&lt;-1," pontos"," ponto"),""),IF(IFERROR(VLOOKUP($MZ60,$BC$2:$BG$24,4,FALSE),0)+IFERROR(VLOOKUP($NA60,$BC$2:$BG$24,4,FALSE),0)&gt;1,$OI60&amp;" e "&amp;$OJ60&amp;" são as duas de frequência",""),IF(AND((COUNTIF($MV60:$MY60,"Rápido")+COUNTIF($OI60:$OJ60,"Rápido"))&gt;0,(COUNTIF($MV60:$MY60,"Atrasar")+COUNTIF($OI60:$OJ60,"Atrasar"))&gt;0),"Rápido não entra com Atrasar",""),IF(AND((COUNTIF($MV60:$MY60,"Reação")+COUNTIF($OI60:$OJ60,"Reação"))&gt;0,(COUNTIF($MV60:$MY60,"Rápido")+COUNTIF($OI60:$OJ60,"Rápido"))&gt;0),"Reação não entra com Rápido",""),IF(AND((COUNTIF($MV60:$MY60,"Reação")+COUNTIF($OI60:$OJ60,"Reação"))&gt;0,(COUNTIF($MV60:$MY60,"Armado")+COUNTIF($OI60:$OJ60,"Armado"))&gt;0),"Reação não entra com Armado",""),IF(AND((COUNTIF($MV60:$MY60,"Reação")+COUNTIF($OI60:$OJ60,"Reação"))&gt;0,(COUNTIF($MV60:$MY60,"Atrasar")+COUNTIF($OI60:$OJ60,"Atrasar"))&gt;0),"Reação não entra com Atrasar",""),IF(AND((COUNTIF($MV60:$MY60,"Reação")+COUNTIF($OI60:$OJ60,"Reação"))&gt;0,(COUNTIF($MV60:$MY60,"Parado")+COUNTIF($OI60:$OJ60,"Parado"))&gt;0),"Reação não entra com Parado",""),IF(AND((COUNTIF($MV60:$MY60,"Atrasar")+COUNTIF($OI60:$OJ60,"Atrasar"))&gt;0,(COUNTIF($MV60:$MY60,"Parado")+COUNTIF($OI60:$OJ60,"Parado"))&gt;0),"Atrasar não entra com Parado",""),IF(AND((COUNTIF($MV60:$MY60,"Armado")+COUNTIF($OI60:$OJ60,"Armado"))&gt;0,(COUNTIF($MV60:$MY60,"Carregar")+COUNTIF($OI60:$OJ60,"Carregar"))&gt;0),"Armado não entra com Carregar",""),IF(AND(COUNTIF($OI60:$OJ60,"Corpo a Corpo")&gt;0,$OD60=0,OR($MS60="Cone",$MS60="Linha")),"Corpo a Corpo não entra em "&amp;$MS60,""),IF(AND(COUNTIF($OI60:$OJ60,"Corpo a Corpo")&gt;0,$OD60=1),"A Forma "&amp;$MS60&amp;" já traz o Corpo a Corpo",""),IF(AND(COUNTIF($OI60:$OJ60,"Tudo ou Nada")&gt;0,$OF60=0),"Tudo ou Nada só entra em habilidade de Teste de Resistência",""),IF(AND(COUNTIF($MV60:$MY60,"Inescapável")&gt;0,OR($OS60&gt;1,$OT60&gt;0)),"Inescapável não aceita outra peça",""),IF(AND($MQ60&gt;0,$PB60*IF(COUNTIF($MV60:$MY60,"Remate")&gt;0,1.25,1)+$PC60&gt;4*$MQ60),($PB60*IF(COUNTIF($MV60:$MY60,"Remate")&gt;0,1.25,1)+$PC60)&amp;" dados somando repetições"&amp;IF(COUNTIF($MV60:$MY60,"Remate")&gt;0," e o Remate","")&amp;": o teto da Classe "&amp;$MQ60&amp;" é "&amp;4*$MQ60,"")))</f>
        <v/>
      </c>
      <c r="PS60" s="155">
        <f>IF($PR60="",0,(LEN($PR60)-LEN(SUBSTITUTE($PR60," · ","")))/3+1)</f>
        <v/>
      </c>
      <c r="PT60" s="155">
        <f>IF($NB60=0,"",TEXTJOIN(" · ",TRUE,IF($OV60&gt;2*$MQ60,"A devolução parou no teto de "&amp;2*$MQ60,""),IF($OY60&gt;0,"Devolução perdida: "&amp;$OY60&amp;IF($OY60&gt;1," pontos"," ponto")&amp;" sem peça para pagar",""),IF(AND($OA60&gt;0,AND($MQ60&gt;0,$OE60=0),$PB60=0),"Controle sem dano: uma rodada a mais e CD +2",""),IF(AND($OA60&gt;0,AND($MQ60&gt;0,$OE60=0),$PB60&gt;0,$PB60&lt;=$MQ60),"Controle com saldo até a Classe: uma rodada a mais",""),IF(AND($MQ60&gt;0,$OC60&lt;&gt;""),"Efeito de "&amp;$OC60&amp;" pela Classe "&amp;MAX(1,$MQ60-1),"")))</f>
        <v/>
      </c>
      <c r="PU60" s="155">
        <f>IF($PT60="",0,(LEN($PT60)-LEN(SUBSTITUTE($PT60," · ","")))/3+1)</f>
        <v/>
      </c>
      <c r="PV60" s="155">
        <f>IF($NB60=0,IF($OS60+COUNTIF($MZ60:$NA60,"?*")&gt;0,"Dê um nome",""),IF($PS60&gt;0,"⚠ "&amp;$PS60&amp;IF($PS60&gt;1," erros"," erro"),IF($PU60&gt;0,"! "&amp;$PU60&amp;IF($PU60&gt;1," avisos"," aviso"),"Na regra")))</f>
        <v/>
      </c>
      <c r="PW60" s="155">
        <f>IF($NB60=0,"",IF($PS60+$PU60=0,"Dentro das regras que a ficha confere",$PR60&amp;IF(AND($PS60&gt;0,$PU60&gt;0)," · ","")&amp;$PT60))</f>
        <v/>
      </c>
      <c r="PX60" s="155">
        <f>IF($MO60&gt;$NC60,$MP60&amp;" · ABRE NO NÍVEL "&amp;$MO60,$MP60)</f>
        <v/>
      </c>
      <c r="PY60" s="155">
        <f>IF($NB60=0,"",IF($MQ60=0,"Sem PE",3*$MQ60&amp;" PE"))</f>
        <v/>
      </c>
      <c r="PZ60" s="155">
        <f>IF($NB60=0,"",IF($MQ60=0,"A atuação básica dela",IF(COUNTIF($OI60:$OJ60,"Atrasar")&gt;0,"Sua Ação Completa",IF(COUNTIF($MV60:$MY60,"Rápido")&gt;0,"Sua Bônus",IF(COUNTIF($MV60:$MY60,"Reação")&gt;0,"Sua Reação","Sua Padrão")))&amp;" + a básica dela"&amp;IF(COUNTIF($MV60:$MY60,"Reação")&gt;0," e a coletiva","")&amp;IF(COUNTIF($OI60:$OJ60,"Carregar")&gt;0," · em dois turnos","")))</f>
        <v/>
      </c>
      <c r="QA60" s="155">
        <f>IF($MU60&lt;&gt;"",$MU60,IF($NH60=0,"",INDEX($AA$2:$AA$11,$NH60)))</f>
        <v/>
      </c>
      <c r="QB60" s="155">
        <f>IF(OR($NB60=0,$NH60=0),"",IF(COUNTIF($MV60:$MY60,"Inescapável")&gt;0,"Automático",IF($QA60="Ataque",IF($NF60="","Ataque","Ataque "&amp;IF(($NF60+2*IF(COUNTIF($MV60:$MY60,"Precisão")&gt;0,1,0))&gt;=0,"+","−")&amp;ABS(($NF60+2*IF(COUNTIF($MV60:$MY60,"Precisão")&gt;0,1,0))))&amp;IF($OB60&gt;0," · TR"&amp;IF($NG60="",""," CD "&amp;$NG60),""),IF(LEFT($QA60,2)="TR",$QA60&amp;IF($NG60="",""," · CD "&amp;$NG60)&amp;IF(COUNTIF($MV60:$MY60,"Certeiro")&gt;0," · metade",""),"Sem rolagem"))))</f>
        <v/>
      </c>
      <c r="QC60" s="155">
        <f>IF(OR($NB60=0,$NH60=0),"",IF($MQ60=0,IF(OR($OE60&gt;=1,$PB60=0),"Sem dano",$PB60&amp;"d6"&amp;IF($MT60="",""," "&amp;$MT60)),IF(OR($OE60&gt;=1,$PB60=0),UPPER(LEFT(INDEX($PK60:$PQ60,1,MAX(1,$MQ60)),1))&amp;MID(INDEX($PK60:$PQ60,1,MAX(1,$MQ60)),2,99),UPPER(LEFT(INDEX($PK60:$PQ60,1,MAX(1,$MQ60)),1))&amp;MID(INDEX($PK60:$PQ60,1,MAX(1,$MQ60)),2,99)&amp;IF($MT60="",""," "&amp;$MT60)&amp;IF($PC60&gt;0," · +"&amp;$PC60&amp;"d8",""))))</f>
        <v/>
      </c>
      <c r="QD60" s="155">
        <f>COUNTIF($MV60:$MY60,"Longe")+3*COUNTIF($MV60:$MY60,"Muito Longe")</f>
        <v/>
      </c>
      <c r="QE60" s="155">
        <f>COUNTIF($MV60:$MY60,"Maior")+3*COUNTIF($MV60:$MY60,"Muito Maior")</f>
        <v/>
      </c>
      <c r="QF60" s="155">
        <f>IF($NH60=0,0,CHOOSE(1+INDEX($AC$2:$AC$11,$NH60),0,$QD60,$QE60,$QD60+$QE60))</f>
        <v/>
      </c>
      <c r="QG60" s="155">
        <f>IF($NH60=0,0,CHOOSE(1+INDEX($AD$2:$AD$11,$NH60),0,$QD60,$QE60,$QD60+$QE60))</f>
        <v/>
      </c>
      <c r="QH60" s="155">
        <f>IF(OR($NB60=0,$NH60=0),"",INDEX($AI$2:$AN$41,($NH60-1)*4+IF($MQ60=0,1,IF($MQ60&lt;=5,2,IF($MQ60=6,3,4))),1+MIN(5,$QF60))&amp;INDEX($AO$2:$AT$41,($NH60-1)*4+IF($MQ60=0,1,IF($MQ60&lt;=5,2,IF($MQ60=6,3,4))),1+MIN(5,$QG60))&amp;IF(INDEX($AE$2:$AE$11,$NH60)=1,IF(COUNTIF($MV60:$MY60,"Mais Um")&gt;0," · +"&amp;COUNTIF($MV60:$MY60,"Mais Um")&amp;IF(COUNTIF($MV60:$MY60,"Mais Um")&gt;1," alvos"," alvo"),"")&amp;IF(COUNTIF($MV60:$MY60,"Rajada")&gt;0,IF($MQ60=0," · 1 tiro"," · "&amp;(MAX(1,$MQ60-1)+1)&amp;" tiros"),""),""))</f>
        <v/>
      </c>
      <c r="QI60" s="155">
        <f>IF($NB60=0,"",IF($MQ60=0,$NE60&amp;"d6"&amp;IF($OS60&gt;0," − 1 = "&amp;$PB60&amp;"d6"," da básica do nível "&amp;$NC60),$OZ60&amp;" − "&amp;$OU60&amp;" + "&amp;$OX60&amp;" = "&amp;$PA60&amp;" · teto "&amp;4*$MQ60&amp;"d8"&amp;IF($OD60=1," · a Forma devolve "&amp;$MQ60,"")&amp;IF($OY60&gt;0," · perde "&amp;$OY60,"")))</f>
        <v/>
      </c>
      <c r="QJ60" s="155">
        <f>IF($NB60=0,"",IF($MQ60=0,"A básica não amplia: os dados dela sobem com o nível",IF($MQ60&gt;=$ND60,"Já está na maior Classe que o nível liberou",TEXTJOIN(" · ",TRUE,IF(AND(2&gt;$MQ60,2&lt;=$ND60),"2 → "&amp;$PL60&amp;", 6 PE",""),IF(AND(3&gt;$MQ60,3&lt;=$ND60),"3 → "&amp;$PM60&amp;", 9 PE",""),IF(AND(4&gt;$MQ60,4&lt;=$ND60),"4 → "&amp;$PN60&amp;", 12 PE",""),IF(AND(5&gt;$MQ60,5&lt;=$ND60),"5 → "&amp;$PO60&amp;", 15 PE",""),IF(AND(6&gt;$MQ60,6&lt;=$ND60),"6 → "&amp;$PP60&amp;", 18 PE",""),IF(AND(7&gt;$MQ60,7&lt;=$ND60),"7 → "&amp;$PQ60&amp;", 21 PE","")))))</f>
        <v/>
      </c>
      <c r="QK60" s="155">
        <f>IF(OR($NB60=0,$NM60=0),"",IF($MQ60=0,"−1 dado","−"&amp;INDEX($I$2:$N$8,MAX(1,$MQ60),MAX(1,$NR60))&amp;" · "&amp;CHOOSE(MAX(1,$NR60),"Leve","Média","Pesada","Leve · Livre","Média · Livre","Pesada · Livre")))</f>
        <v/>
      </c>
      <c r="QL60" s="155">
        <f>IF(OR($NB60=0,$NN60=0),"",IF($MQ60=0,"−1 dado","−"&amp;INDEX($I$2:$N$8,MAX(1,$MQ60),MAX(1,$NS60))&amp;" · "&amp;CHOOSE(MAX(1,$NS60),"Leve","Média","Pesada","Leve · Livre","Média · Livre","Pesada · Livre")))</f>
        <v/>
      </c>
      <c r="QM60" s="155">
        <f>IF(OR($NB60=0,$NO60=0),"",IF($MQ60=0,"−1 dado","−"&amp;INDEX($I$2:$N$8,MAX(1,$MQ60),MAX(1,$NT60))&amp;" · "&amp;CHOOSE(MAX(1,$NT60),"Leve","Média","Pesada","Leve · Livre","Média · Livre","Pesada · Livre")))</f>
        <v/>
      </c>
      <c r="QN60" s="155">
        <f>IF(OR($NB60=0,$NP60=0),"",IF($MQ60=0,"−1 dado","−"&amp;INDEX($I$2:$N$8,MAX(1,$MQ60),MAX(1,$NU60))&amp;" · "&amp;CHOOSE(MAX(1,$NU60),"Leve","Média","Pesada","Leve · Livre","Média · Livre","Pesada · Livre")))</f>
        <v/>
      </c>
      <c r="QO60" s="155">
        <f>IF(OR($NB60=0,$MZ60=""),"",IF($MQ60=0,"não devolve","+"&amp;IF($OG60=1,CEILING($MQ60/2,1),$MQ60)))</f>
        <v/>
      </c>
      <c r="QP60" s="155">
        <f>IF(OR($NB60=0,$NA60=""),"",IF($MQ60=0,"não devolve","+"&amp;IF($OH60=1,CEILING($MQ60/2,1),$MQ60)))</f>
        <v/>
      </c>
    </row>
    <row r="61">
      <c r="AV61" s="153" t="inlineStr">
        <is>
          <t>Reação</t>
        </is>
      </c>
      <c r="AW61" s="153" t="inlineStr">
        <is>
          <t>Tempo</t>
        </is>
      </c>
      <c r="AX61" s="155" t="n">
        <v>3</v>
      </c>
      <c r="AY61" s="155" t="n">
        <v>0</v>
      </c>
      <c r="AZ61" s="155" t="n">
        <v>0</v>
      </c>
      <c r="BA61" s="155" t="n">
        <v>0</v>
      </c>
      <c r="JR61" s="155">
        <f>IF(OR($AW61="",COUNTIF($EJ$2:$EN$2,$AW61)&gt;0),$AV61,"")</f>
        <v/>
      </c>
      <c r="JS61" s="155">
        <f>IF(AND($AX61=1,OR($AW61="",COUNTIF($EJ$2:$EN$2,$AW61)&gt;0)),$AV61,"")</f>
        <v/>
      </c>
      <c r="JX61" s="155">
        <f>IF(OR($AW61="",COUNTIF($EJ$3:$EN$3,$AW61)&gt;0),$AV61,"")</f>
        <v/>
      </c>
      <c r="JY61" s="155">
        <f>IF(AND($AX61=1,OR($AW61="",COUNTIF($EJ$3:$EN$3,$AW61)&gt;0)),$AV61,"")</f>
        <v/>
      </c>
      <c r="KD61" s="155">
        <f>IF(OR($AW61="",COUNTIF($EJ$4:$EN$4,$AW61)&gt;0),$AV61,"")</f>
        <v/>
      </c>
      <c r="KE61" s="155">
        <f>IF(AND($AX61=1,OR($AW61="",COUNTIF($EJ$4:$EN$4,$AW61)&gt;0)),$AV61,"")</f>
        <v/>
      </c>
      <c r="KJ61" s="155">
        <f>IF(OR($AW61="",COUNTIF($EJ$5:$EN$5,$AW61)&gt;0),$AV61,"")</f>
        <v/>
      </c>
      <c r="KK61" s="155">
        <f>IF(AND($AX61=1,OR($AW61="",COUNTIF($EJ$5:$EN$5,$AW61)&gt;0)),$AV61,"")</f>
        <v/>
      </c>
      <c r="KP61" s="155">
        <f>IF(OR($AW61="",COUNTIF($EJ$6:$EN$6,$AW61)&gt;0),$AV61,"")</f>
        <v/>
      </c>
      <c r="KQ61" s="155">
        <f>IF(AND($AX61=1,OR($AW61="",COUNTIF($EJ$6:$EN$6,$AW61)&gt;0)),$AV61,"")</f>
        <v/>
      </c>
      <c r="KV61" s="155">
        <f>IF(OR($AW61="",COUNTIF($EJ$7:$EN$7,$AW61)&gt;0),$AV61,"")</f>
        <v/>
      </c>
      <c r="KW61" s="155">
        <f>IF(AND($AX61=1,OR($AW61="",COUNTIF($EJ$7:$EN$7,$AW61)&gt;0)),$AV61,"")</f>
        <v/>
      </c>
      <c r="LB61" s="155">
        <f>IF(OR($AW61="",COUNTIF($EJ$8:$EN$8,$AW61)&gt;0),$AV61,"")</f>
        <v/>
      </c>
      <c r="LC61" s="155">
        <f>IF(AND($AX61=1,OR($AW61="",COUNTIF($EJ$8:$EN$8,$AW61)&gt;0)),$AV61,"")</f>
        <v/>
      </c>
      <c r="LH61" s="155">
        <f>IF(OR($AW61="",COUNTIF($EJ$9:$EN$9,$AW61)&gt;0),$AV61,"")</f>
        <v/>
      </c>
      <c r="LI61" s="155">
        <f>IF(AND($AX61=1,OR($AW61="",COUNTIF($EJ$9:$EN$9,$AW61)&gt;0)),$AV61,"")</f>
        <v/>
      </c>
      <c r="LN61" s="155">
        <f>IF(OR($AW61="",COUNTIF($EJ$10:$EN$10,$AW61)&gt;0),$AV61,"")</f>
        <v/>
      </c>
      <c r="LO61" s="155">
        <f>IF(AND($AX61=1,OR($AW61="",COUNTIF($EJ$10:$EN$10,$AW61)&gt;0)),$AV61,"")</f>
        <v/>
      </c>
      <c r="LT61" s="155">
        <f>IF(OR($AW61="",COUNTIF($EJ$11:$EN$11,$AW61)&gt;0),$AV61,"")</f>
        <v/>
      </c>
      <c r="LU61" s="155">
        <f>IF(AND($AX61=1,OR($AW61="",COUNTIF($EJ$11:$EN$11,$AW61)&gt;0)),$AV61,"")</f>
        <v/>
      </c>
      <c r="LZ61" s="155">
        <f>IF(OR($AW61="",COUNTIF($EJ$12:$EN$12,$AW61)&gt;0),$AV61,"")</f>
        <v/>
      </c>
      <c r="MA61" s="155">
        <f>IF(AND($AX61=1,OR($AW61="",COUNTIF($EJ$12:$EN$12,$AW61)&gt;0)),$AV61,"")</f>
        <v/>
      </c>
      <c r="MF61" s="155">
        <f>IF(OR($AW61="",COUNTIF($EJ$13:$EN$13,$AW61)&gt;0),$AV61,"")</f>
        <v/>
      </c>
      <c r="MG61" s="155">
        <f>IF(AND($AX61=1,OR($AW61="",COUNTIF($EJ$13:$EN$13,$AW61)&gt;0)),$AV61,"")</f>
        <v/>
      </c>
      <c r="ML61" s="153" t="inlineStr">
        <is>
          <t>Ficha 5 · Especial 6</t>
        </is>
      </c>
      <c r="MM61" s="155" t="n">
        <v>5</v>
      </c>
      <c r="MN61" s="155" t="n">
        <v>1</v>
      </c>
      <c r="MO61" s="155" t="n">
        <v>20</v>
      </c>
      <c r="MP61" s="153" t="inlineStr">
        <is>
          <t>ESPECIAL 6</t>
        </is>
      </c>
      <c r="MQ61" s="155">
        <f>MAX(1,MIN(7,N('INVOCAÇÕES'!$O$906)))</f>
        <v/>
      </c>
      <c r="MR61" s="155">
        <f>'INVOCAÇÕES'!$P$906&amp;""</f>
        <v/>
      </c>
      <c r="MS61" s="155">
        <f>'INVOCAÇÕES'!$O$911&amp;""</f>
        <v/>
      </c>
      <c r="MT61" s="155">
        <f>'INVOCAÇÕES'!$O$912&amp;""</f>
        <v/>
      </c>
      <c r="MU61" s="155">
        <f>'INVOCAÇÕES'!$Q$912&amp;""</f>
        <v/>
      </c>
      <c r="MV61" s="155">
        <f>'INVOCAÇÕES'!$P$915&amp;""</f>
        <v/>
      </c>
      <c r="MW61" s="155">
        <f>'INVOCAÇÕES'!$P$916&amp;""</f>
        <v/>
      </c>
      <c r="MX61" s="155">
        <f>'INVOCAÇÕES'!$P$917&amp;""</f>
        <v/>
      </c>
      <c r="MY61" s="155">
        <f>'INVOCAÇÕES'!$P$918&amp;""</f>
        <v/>
      </c>
      <c r="MZ61" s="155">
        <f>'INVOCAÇÕES'!$P$919&amp;""</f>
        <v/>
      </c>
      <c r="NA61" s="155">
        <f>'INVOCAÇÕES'!$P$920&amp;""</f>
        <v/>
      </c>
      <c r="NB61" s="155">
        <f>IF($MR61&lt;&gt;"",1,0)</f>
        <v/>
      </c>
      <c r="NC61" s="155">
        <f>INDEX($FM$2:$FM$13,$MM61)</f>
        <v/>
      </c>
      <c r="ND61" s="155">
        <f>INDEX($FN$2:$FN$13,$MM61)</f>
        <v/>
      </c>
      <c r="NE61" s="155">
        <f>INDEX($FO$2:$FO$13,$MM61)</f>
        <v/>
      </c>
      <c r="NF61" s="155">
        <f>INDEX($FZ$2:$FZ$13,$MM61)</f>
        <v/>
      </c>
      <c r="NG61" s="155">
        <f>INDEX($GA$2:$GA$13,$MM61)</f>
        <v/>
      </c>
      <c r="NH61" s="155">
        <f>IFERROR(MATCH($MS61,$V$2:$V$11,0),0)</f>
        <v/>
      </c>
      <c r="NI61" s="155">
        <f>IFERROR(VLOOKUP($MV61,$AV$2:$BA$84,2,FALSE),"")</f>
        <v/>
      </c>
      <c r="NJ61" s="155">
        <f>IFERROR(VLOOKUP($MW61,$AV$2:$BA$84,2,FALSE),"")</f>
        <v/>
      </c>
      <c r="NK61" s="155">
        <f>IFERROR(VLOOKUP($MX61,$AV$2:$BA$84,2,FALSE),"")</f>
        <v/>
      </c>
      <c r="NL61" s="155">
        <f>IFERROR(VLOOKUP($MY61,$AV$2:$BA$84,2,FALSE),"")</f>
        <v/>
      </c>
      <c r="NM61" s="155">
        <f>IFERROR(VLOOKUP($MV61,$AV$2:$BA$84,3,FALSE),0)</f>
        <v/>
      </c>
      <c r="NN61" s="155">
        <f>IFERROR(VLOOKUP($MW61,$AV$2:$BA$84,3,FALSE),0)</f>
        <v/>
      </c>
      <c r="NO61" s="155">
        <f>IFERROR(VLOOKUP($MX61,$AV$2:$BA$84,3,FALSE),0)</f>
        <v/>
      </c>
      <c r="NP61" s="155">
        <f>IFERROR(VLOOKUP($MY61,$AV$2:$BA$84,3,FALSE),0)</f>
        <v/>
      </c>
      <c r="NQ61" s="155">
        <f>IF($MQ61=0,0,IF($NH61=0,0,INDEX($X$2:$X$11,$NH61)))</f>
        <v/>
      </c>
      <c r="NR61" s="155">
        <f>IF(OR($NM61=0,$MQ61=0),0,$NM61+3*IF(AND($NI61&lt;&gt;"",OR($NI61=INDEX($EJ$2:$EJ$13,$MM61),$NI61=INDEX($EK$2:$EK$13,$MM61))),1,0))</f>
        <v/>
      </c>
      <c r="NS61" s="155">
        <f>IF(OR($NN61=0,$MQ61=0),0,$NN61+3*IF(AND($NJ61&lt;&gt;"",OR($NJ61=INDEX($EJ$2:$EJ$13,$MM61),$NJ61=INDEX($EK$2:$EK$13,$MM61))),1,0))</f>
        <v/>
      </c>
      <c r="NT61" s="155">
        <f>IF(OR($NO61=0,$MQ61=0),0,$NO61+3*IF(AND($NK61&lt;&gt;"",OR($NK61=INDEX($EJ$2:$EJ$13,$MM61),$NK61=INDEX($EK$2:$EK$13,$MM61))),1,0))</f>
        <v/>
      </c>
      <c r="NU61" s="155">
        <f>IF(OR($NP61=0,$MQ61=0),0,$NP61+3*IF(AND($NL61&lt;&gt;"",OR($NL61=INDEX($EJ$2:$EJ$13,$MM61),$NL61=INDEX($EK$2:$EK$13,$MM61))),1,0))</f>
        <v/>
      </c>
      <c r="NV61" s="155">
        <f>IF($NH61=0,0,IF(INDEX($W$2:$W$11,$NH61)="",0,IF(COUNTIF(INDEX($EJ$2:$EN$13,$MM61,0),INDEX($W$2:$W$11,$NH61))=0,1,0)))</f>
        <v/>
      </c>
      <c r="NW61" s="155">
        <f>IF(OR($NM61=0,$NI61=""),0,IF(COUNTIF(INDEX($EJ$2:$EN$13,$MM61,0),$NI61)=0,1,0))</f>
        <v/>
      </c>
      <c r="NX61" s="155">
        <f>IF(OR($NN61=0,$NJ61=""),0,IF(COUNTIF(INDEX($EJ$2:$EN$13,$MM61,0),$NJ61)=0,1,0))</f>
        <v/>
      </c>
      <c r="NY61" s="155">
        <f>IF(OR($NO61=0,$NK61=""),0,IF(COUNTIF(INDEX($EJ$2:$EN$13,$MM61,0),$NK61)=0,1,0))</f>
        <v/>
      </c>
      <c r="NZ61" s="155">
        <f>IF(OR($NP61=0,$NL61=""),0,IF(COUNTIF(INDEX($EJ$2:$EN$13,$MM61,0),$NL61)=0,1,0))</f>
        <v/>
      </c>
      <c r="OA61" s="155">
        <f>IFERROR(VLOOKUP($MV61,$AV$2:$BA$84,4,FALSE),0)+IFERROR(VLOOKUP($MW61,$AV$2:$BA$84,4,FALSE),0)+IFERROR(VLOOKUP($MX61,$AV$2:$BA$84,4,FALSE),0)+IFERROR(VLOOKUP($MY61,$AV$2:$BA$84,4,FALSE),0)</f>
        <v/>
      </c>
      <c r="OB61" s="155">
        <f>IFERROR(VLOOKUP($MV61,$AV$2:$BA$84,6,FALSE),0)+IFERROR(VLOOKUP($MW61,$AV$2:$BA$84,6,FALSE),0)+IFERROR(VLOOKUP($MX61,$AV$2:$BA$84,6,FALSE),0)+IFERROR(VLOOKUP($MY61,$AV$2:$BA$84,6,FALSE),0)</f>
        <v/>
      </c>
      <c r="OC61" s="155">
        <f>TEXTJOIN(", ",TRUE,IF(IFERROR(VLOOKUP($MV61,$AV$2:$BA$84,5,FALSE),0)=1,$MV61,""),IF(IFERROR(VLOOKUP($MW61,$AV$2:$BA$84,5,FALSE),0)=1,$MW61,""),IF(IFERROR(VLOOKUP($MX61,$AV$2:$BA$84,5,FALSE),0)=1,$MX61,""),IF(IFERROR(VLOOKUP($MY61,$AV$2:$BA$84,5,FALSE),0)=1,$MY61,""))</f>
        <v/>
      </c>
      <c r="OD61" s="155">
        <f>IF($NH61=0,0,INDEX($Y$2:$Y$11,$NH61))</f>
        <v/>
      </c>
      <c r="OE61" s="155">
        <f>IF($NH61=0,0,INDEX($Z$2:$Z$11,$NH61))</f>
        <v/>
      </c>
      <c r="OF61" s="155">
        <f>IF($NH61=0,0,INDEX($AB$2:$AB$11,$NH61))</f>
        <v/>
      </c>
      <c r="OG61" s="155">
        <f>IFERROR(VLOOKUP($MZ61,$BC$2:$BG$24,3,FALSE),0)</f>
        <v/>
      </c>
      <c r="OH61" s="155">
        <f>IFERROR(VLOOKUP($NA61,$BC$2:$BG$24,3,FALSE),0)</f>
        <v/>
      </c>
      <c r="OI61" s="155">
        <f>IFERROR(VLOOKUP($MZ61,$BC$2:$BG$24,2,FALSE),"")</f>
        <v/>
      </c>
      <c r="OJ61" s="155">
        <f>IFERROR(VLOOKUP($NA61,$BC$2:$BG$24,2,FALSE),"")</f>
        <v/>
      </c>
      <c r="OK61" s="155">
        <f>COUNTIF($NQ61:$NU61,1)</f>
        <v/>
      </c>
      <c r="OL61" s="155">
        <f>COUNTIF($NQ61:$NU61,2)</f>
        <v/>
      </c>
      <c r="OM61" s="155">
        <f>COUNTIF($NQ61:$NU61,3)</f>
        <v/>
      </c>
      <c r="ON61" s="155">
        <f>COUNTIF($NQ61:$NU61,4)</f>
        <v/>
      </c>
      <c r="OO61" s="155">
        <f>COUNTIF($NQ61:$NU61,5)</f>
        <v/>
      </c>
      <c r="OP61" s="155">
        <f>COUNTIF($NQ61:$NU61,6)</f>
        <v/>
      </c>
      <c r="OQ61" s="155">
        <f>COUNTIF($OG61:$OH61,1)</f>
        <v/>
      </c>
      <c r="OR61" s="155">
        <f>COUNTIF($OG61:$OH61,2)+$OD61</f>
        <v/>
      </c>
      <c r="OS61" s="155">
        <f>COUNTIF($MV61:$MY61,"?*")</f>
        <v/>
      </c>
      <c r="OT61" s="155">
        <f>COUNTIF($MZ61:$NA61,"?*")+$OD61</f>
        <v/>
      </c>
      <c r="OU61" s="155">
        <f>IF($MQ61=0,0,SUMPRODUCT($OK61:$OP61,INDEX($I$2:$N$8,MAX(1,$MQ61),0)))</f>
        <v/>
      </c>
      <c r="OV61" s="155">
        <f>IF($MQ61=0,0,$OQ61*CEILING($MQ61/2,1)+$OR61*$MQ61)</f>
        <v/>
      </c>
      <c r="OW61" s="155">
        <f>MIN(2*$MQ61,$OV61)</f>
        <v/>
      </c>
      <c r="OX61" s="155">
        <f>MIN($OW61,$OU61)</f>
        <v/>
      </c>
      <c r="OY61" s="155">
        <f>$OW61-$OX61</f>
        <v/>
      </c>
      <c r="OZ61" s="155">
        <f>IF($MQ61=0,0,INDEX($P$2:$P$8,MAX(1,$MQ61)))</f>
        <v/>
      </c>
      <c r="PA61" s="155">
        <f>$OZ61-$OU61+$OX61</f>
        <v/>
      </c>
      <c r="PB61" s="155">
        <f>IF($MQ61=0,MAX(0,$NE61-IF($OS61&gt;0,1,0)),MAX(0,$PA61))</f>
        <v/>
      </c>
      <c r="PC61" s="155">
        <f>IF($MQ61=0,0,(IF(COUNTIF($MV61:$MY61,"Salto")&gt;0,1,0)+IF(COUNTIF($MV61:$MY61,"Queima")&gt;0,1,0)+IF(COUNTIF($MV61:$MY61,"Estilhaço")&gt;0,1,0))*FLOOR($PB61/2,1))</f>
        <v/>
      </c>
      <c r="PD61" s="155">
        <f>MAX(0,2-SUMPRODUCT($OK61:$OP61,$I$2:$N$2)+MIN(2,$OQ61*1+$OR61*1,SUMPRODUCT($OK61:$OP61,$I$2:$N$2)))</f>
        <v/>
      </c>
      <c r="PE61" s="155">
        <f>MAX(0,4-SUMPRODUCT($OK61:$OP61,$I$3:$N$3)+MIN(4,$OQ61*1+$OR61*2,SUMPRODUCT($OK61:$OP61,$I$3:$N$3)))</f>
        <v/>
      </c>
      <c r="PF61" s="155">
        <f>MAX(0,6-SUMPRODUCT($OK61:$OP61,$I$4:$N$4)+MIN(6,$OQ61*2+$OR61*3,SUMPRODUCT($OK61:$OP61,$I$4:$N$4)))</f>
        <v/>
      </c>
      <c r="PG61" s="155">
        <f>MAX(0,9-SUMPRODUCT($OK61:$OP61,$I$5:$N$5)+MIN(8,$OQ61*2+$OR61*4,SUMPRODUCT($OK61:$OP61,$I$5:$N$5)))</f>
        <v/>
      </c>
      <c r="PH61" s="155">
        <f>MAX(0,11-SUMPRODUCT($OK61:$OP61,$I$6:$N$6)+MIN(10,$OQ61*3+$OR61*5,SUMPRODUCT($OK61:$OP61,$I$6:$N$6)))</f>
        <v/>
      </c>
      <c r="PI61" s="155">
        <f>MAX(0,13-SUMPRODUCT($OK61:$OP61,$I$7:$N$7)+MIN(12,$OQ61*3+$OR61*6,SUMPRODUCT($OK61:$OP61,$I$7:$N$7)))</f>
        <v/>
      </c>
      <c r="PJ61" s="155">
        <f>MAX(0,16-SUMPRODUCT($OK61:$OP61,$I$8:$N$8)+MIN(14,$OQ61*4+$OR61*7,SUMPRODUCT($OK61:$OP61,$I$8:$N$8)))</f>
        <v/>
      </c>
      <c r="PK61" s="155">
        <f>IF($OE61=2,3*$PD61&amp;" de vida temp.",IF($OE61=3,"sem dano",IF($PD61=0,IF($OE61=1,"sem cura","sem dano"),IF($OE61=1,"cura ","")&amp;$PD61&amp;"d8")))</f>
        <v/>
      </c>
      <c r="PL61" s="155">
        <f>IF($OE61=2,3*$PE61&amp;" de vida temp.",IF($OE61=3,"sem dano",IF($PE61=0,IF($OE61=1,"sem cura","sem dano"),IF($OE61=1,"cura ","")&amp;$PE61&amp;"d8")))</f>
        <v/>
      </c>
      <c r="PM61" s="155">
        <f>IF($OE61=2,3*$PF61&amp;" de vida temp.",IF($OE61=3,"sem dano",IF($PF61=0,IF($OE61=1,"sem cura","sem dano"),IF($OE61=1,"cura ","")&amp;$PF61&amp;"d8")))</f>
        <v/>
      </c>
      <c r="PN61" s="155">
        <f>IF($OE61=2,3*$PG61&amp;" de vida temp.",IF($OE61=3,"sem dano",IF($PG61=0,IF($OE61=1,"sem cura","sem dano"),IF($OE61=1,"cura ","")&amp;$PG61&amp;"d8")))</f>
        <v/>
      </c>
      <c r="PO61" s="155">
        <f>IF($OE61=2,3*$PH61&amp;" de vida temp.",IF($OE61=3,"sem dano",IF($PH61=0,IF($OE61=1,"sem cura","sem dano"),IF($OE61=1,"cura ","")&amp;$PH61&amp;"d8")))</f>
        <v/>
      </c>
      <c r="PP61" s="155">
        <f>IF($OE61=2,3*$PI61&amp;" de vida temp.",IF($OE61=3,"sem dano",IF($PI61=0,IF($OE61=1,"sem cura","sem dano"),IF($OE61=1,"cura ","")&amp;$PI61&amp;"d8")))</f>
        <v/>
      </c>
      <c r="PQ61" s="155">
        <f>IF($OE61=2,3*$PJ61&amp;" de vida temp.",IF($OE61=3,"sem dano",IF($PJ61=0,IF($OE61=1,"sem cura","sem dano"),IF($OE61=1,"cura ","")&amp;$PJ61&amp;"d8")))</f>
        <v/>
      </c>
      <c r="PR61" s="155">
        <f>IF($NB61=0,"",TEXTJOIN(" · ",TRUE,IF($MO61&gt;$NC61,"Este lugar abre no nível "&amp;$MO61,""),IF($MQ61&gt;$ND61,"Classe "&amp;$MQ61&amp;": o nível "&amp;$NC61&amp;" libera até a "&amp;$ND61,""),IF($NV61=1,"A Forma "&amp;$MS61&amp;" pede "&amp;INDEX($W$2:$W$11,$NH61)&amp;" aberta",""),IF(AND($MQ61=0,$NH61&gt;0,IF($NH61=0,0,INDEX($AF$2:$AF$11,$NH61))=0),$MS61&amp;" não existe na Classe 0",""),IF($NW61=1,"Família Fechada: "&amp;$MV61,""),IF($NX61=1,"Família Fechada: "&amp;$MW61,""),IF($NY61=1,"Família Fechada: "&amp;$MX61,""),IF($NZ61=1,"Família Fechada: "&amp;$MY61,""),IF(AND($MQ61&gt;0,$OS61&gt;INDEX($O$2:$O$8,MAX(1,$MQ61))),$OS61&amp;" Melhorias: a Classe "&amp;$MQ61&amp;" aceita "&amp;INDEX($O$2:$O$8,MAX(1,$MQ61)),""),IF(AND($MQ61=0,$OS61&gt;1),"A básica aceita uma Melhoria",""),IF(AND($MQ61=0,COUNTIF($NM61:$NP61,"&gt;1")&gt;0),"A básica só aceita Melhoria Leve",""),IF(AND($MQ61&gt;0,$OT61&gt;2),$OT61&amp;" Restrições"&amp;IF($OD61=1,", contando a que a Forma "&amp;$MS61&amp;" já traz","")&amp;": o limite é 2",""),IF(AND($MQ61=0,COUNTIF($MZ61:$NA61,"?*")&gt;1),"A básica aceita uma Restrição Leve",""),IF(AND($MQ61=0,COUNTIF($OG61:$OH61,2)&gt;0),"A básica só aceita Restrição Leve",""),IF(AND($MQ61&gt;0,$PA61&lt;0),"Orçamento estourado: faltam "&amp;(-$PA61)&amp;IF($PA61&lt;-1," pontos"," ponto"),""),IF(IFERROR(VLOOKUP($MZ61,$BC$2:$BG$24,4,FALSE),0)+IFERROR(VLOOKUP($NA61,$BC$2:$BG$24,4,FALSE),0)&gt;1,$OI61&amp;" e "&amp;$OJ61&amp;" são as duas de frequência",""),IF(AND((COUNTIF($MV61:$MY61,"Rápido")+COUNTIF($OI61:$OJ61,"Rápido"))&gt;0,(COUNTIF($MV61:$MY61,"Atrasar")+COUNTIF($OI61:$OJ61,"Atrasar"))&gt;0),"Rápido não entra com Atrasar",""),IF(AND((COUNTIF($MV61:$MY61,"Reação")+COUNTIF($OI61:$OJ61,"Reação"))&gt;0,(COUNTIF($MV61:$MY61,"Rápido")+COUNTIF($OI61:$OJ61,"Rápido"))&gt;0),"Reação não entra com Rápido",""),IF(AND((COUNTIF($MV61:$MY61,"Reação")+COUNTIF($OI61:$OJ61,"Reação"))&gt;0,(COUNTIF($MV61:$MY61,"Armado")+COUNTIF($OI61:$OJ61,"Armado"))&gt;0),"Reação não entra com Armado",""),IF(AND((COUNTIF($MV61:$MY61,"Reação")+COUNTIF($OI61:$OJ61,"Reação"))&gt;0,(COUNTIF($MV61:$MY61,"Atrasar")+COUNTIF($OI61:$OJ61,"Atrasar"))&gt;0),"Reação não entra com Atrasar",""),IF(AND((COUNTIF($MV61:$MY61,"Reação")+COUNTIF($OI61:$OJ61,"Reação"))&gt;0,(COUNTIF($MV61:$MY61,"Parado")+COUNTIF($OI61:$OJ61,"Parado"))&gt;0),"Reação não entra com Parado",""),IF(AND((COUNTIF($MV61:$MY61,"Atrasar")+COUNTIF($OI61:$OJ61,"Atrasar"))&gt;0,(COUNTIF($MV61:$MY61,"Parado")+COUNTIF($OI61:$OJ61,"Parado"))&gt;0),"Atrasar não entra com Parado",""),IF(AND((COUNTIF($MV61:$MY61,"Armado")+COUNTIF($OI61:$OJ61,"Armado"))&gt;0,(COUNTIF($MV61:$MY61,"Carregar")+COUNTIF($OI61:$OJ61,"Carregar"))&gt;0),"Armado não entra com Carregar",""),IF(AND(COUNTIF($OI61:$OJ61,"Corpo a Corpo")&gt;0,$OD61=0,OR($MS61="Cone",$MS61="Linha")),"Corpo a Corpo não entra em "&amp;$MS61,""),IF(AND(COUNTIF($OI61:$OJ61,"Corpo a Corpo")&gt;0,$OD61=1),"A Forma "&amp;$MS61&amp;" já traz o Corpo a Corpo",""),IF(AND(COUNTIF($OI61:$OJ61,"Tudo ou Nada")&gt;0,$OF61=0),"Tudo ou Nada só entra em habilidade de Teste de Resistência",""),IF(AND(COUNTIF($MV61:$MY61,"Inescapável")&gt;0,OR($OS61&gt;1,$OT61&gt;0)),"Inescapável não aceita outra peça",""),IF(AND($MQ61&gt;0,$PB61*IF(COUNTIF($MV61:$MY61,"Remate")&gt;0,1.25,1)+$PC61&gt;4*$MQ61),($PB61*IF(COUNTIF($MV61:$MY61,"Remate")&gt;0,1.25,1)+$PC61)&amp;" dados somando repetições"&amp;IF(COUNTIF($MV61:$MY61,"Remate")&gt;0," e o Remate","")&amp;": o teto da Classe "&amp;$MQ61&amp;" é "&amp;4*$MQ61,"")))</f>
        <v/>
      </c>
      <c r="PS61" s="155">
        <f>IF($PR61="",0,(LEN($PR61)-LEN(SUBSTITUTE($PR61," · ","")))/3+1)</f>
        <v/>
      </c>
      <c r="PT61" s="155">
        <f>IF($NB61=0,"",TEXTJOIN(" · ",TRUE,IF($OV61&gt;2*$MQ61,"A devolução parou no teto de "&amp;2*$MQ61,""),IF($OY61&gt;0,"Devolução perdida: "&amp;$OY61&amp;IF($OY61&gt;1," pontos"," ponto")&amp;" sem peça para pagar",""),IF(AND($OA61&gt;0,AND($MQ61&gt;0,$OE61=0),$PB61=0),"Controle sem dano: uma rodada a mais e CD +2",""),IF(AND($OA61&gt;0,AND($MQ61&gt;0,$OE61=0),$PB61&gt;0,$PB61&lt;=$MQ61),"Controle com saldo até a Classe: uma rodada a mais",""),IF(AND($MQ61&gt;0,$OC61&lt;&gt;""),"Efeito de "&amp;$OC61&amp;" pela Classe "&amp;MAX(1,$MQ61-1),"")))</f>
        <v/>
      </c>
      <c r="PU61" s="155">
        <f>IF($PT61="",0,(LEN($PT61)-LEN(SUBSTITUTE($PT61," · ","")))/3+1)</f>
        <v/>
      </c>
      <c r="PV61" s="155">
        <f>IF($NB61=0,IF($OS61+COUNTIF($MZ61:$NA61,"?*")&gt;0,"Dê um nome",""),IF($PS61&gt;0,"⚠ "&amp;$PS61&amp;IF($PS61&gt;1," erros"," erro"),IF($PU61&gt;0,"! "&amp;$PU61&amp;IF($PU61&gt;1," avisos"," aviso"),"Na regra")))</f>
        <v/>
      </c>
      <c r="PW61" s="155">
        <f>IF($NB61=0,"",IF($PS61+$PU61=0,"Dentro das regras que a ficha confere",$PR61&amp;IF(AND($PS61&gt;0,$PU61&gt;0)," · ","")&amp;$PT61))</f>
        <v/>
      </c>
      <c r="PX61" s="155">
        <f>IF($MO61&gt;$NC61,$MP61&amp;" · ABRE NO NÍVEL "&amp;$MO61,$MP61)</f>
        <v/>
      </c>
      <c r="PY61" s="155">
        <f>IF($NB61=0,"",IF($MQ61=0,"Sem PE",3*$MQ61&amp;" PE"))</f>
        <v/>
      </c>
      <c r="PZ61" s="155">
        <f>IF($NB61=0,"",IF($MQ61=0,"A atuação básica dela",IF(COUNTIF($OI61:$OJ61,"Atrasar")&gt;0,"Sua Ação Completa",IF(COUNTIF($MV61:$MY61,"Rápido")&gt;0,"Sua Bônus",IF(COUNTIF($MV61:$MY61,"Reação")&gt;0,"Sua Reação","Sua Padrão")))&amp;" + a básica dela"&amp;IF(COUNTIF($MV61:$MY61,"Reação")&gt;0," e a coletiva","")&amp;IF(COUNTIF($OI61:$OJ61,"Carregar")&gt;0," · em dois turnos","")))</f>
        <v/>
      </c>
      <c r="QA61" s="155">
        <f>IF($MU61&lt;&gt;"",$MU61,IF($NH61=0,"",INDEX($AA$2:$AA$11,$NH61)))</f>
        <v/>
      </c>
      <c r="QB61" s="155">
        <f>IF(OR($NB61=0,$NH61=0),"",IF(COUNTIF($MV61:$MY61,"Inescapável")&gt;0,"Automático",IF($QA61="Ataque",IF($NF61="","Ataque","Ataque "&amp;IF(($NF61+2*IF(COUNTIF($MV61:$MY61,"Precisão")&gt;0,1,0))&gt;=0,"+","−")&amp;ABS(($NF61+2*IF(COUNTIF($MV61:$MY61,"Precisão")&gt;0,1,0))))&amp;IF($OB61&gt;0," · TR"&amp;IF($NG61="",""," CD "&amp;$NG61),""),IF(LEFT($QA61,2)="TR",$QA61&amp;IF($NG61="",""," · CD "&amp;$NG61)&amp;IF(COUNTIF($MV61:$MY61,"Certeiro")&gt;0," · metade",""),"Sem rolagem"))))</f>
        <v/>
      </c>
      <c r="QC61" s="155">
        <f>IF(OR($NB61=0,$NH61=0),"",IF($MQ61=0,IF(OR($OE61&gt;=1,$PB61=0),"Sem dano",$PB61&amp;"d6"&amp;IF($MT61="",""," "&amp;$MT61)),IF(OR($OE61&gt;=1,$PB61=0),UPPER(LEFT(INDEX($PK61:$PQ61,1,MAX(1,$MQ61)),1))&amp;MID(INDEX($PK61:$PQ61,1,MAX(1,$MQ61)),2,99),UPPER(LEFT(INDEX($PK61:$PQ61,1,MAX(1,$MQ61)),1))&amp;MID(INDEX($PK61:$PQ61,1,MAX(1,$MQ61)),2,99)&amp;IF($MT61="",""," "&amp;$MT61)&amp;IF($PC61&gt;0," · +"&amp;$PC61&amp;"d8",""))))</f>
        <v/>
      </c>
      <c r="QD61" s="155">
        <f>COUNTIF($MV61:$MY61,"Longe")+3*COUNTIF($MV61:$MY61,"Muito Longe")</f>
        <v/>
      </c>
      <c r="QE61" s="155">
        <f>COUNTIF($MV61:$MY61,"Maior")+3*COUNTIF($MV61:$MY61,"Muito Maior")</f>
        <v/>
      </c>
      <c r="QF61" s="155">
        <f>IF($NH61=0,0,CHOOSE(1+INDEX($AC$2:$AC$11,$NH61),0,$QD61,$QE61,$QD61+$QE61))</f>
        <v/>
      </c>
      <c r="QG61" s="155">
        <f>IF($NH61=0,0,CHOOSE(1+INDEX($AD$2:$AD$11,$NH61),0,$QD61,$QE61,$QD61+$QE61))</f>
        <v/>
      </c>
      <c r="QH61" s="155">
        <f>IF(OR($NB61=0,$NH61=0),"",INDEX($AI$2:$AN$41,($NH61-1)*4+IF($MQ61=0,1,IF($MQ61&lt;=5,2,IF($MQ61=6,3,4))),1+MIN(5,$QF61))&amp;INDEX($AO$2:$AT$41,($NH61-1)*4+IF($MQ61=0,1,IF($MQ61&lt;=5,2,IF($MQ61=6,3,4))),1+MIN(5,$QG61))&amp;IF(INDEX($AE$2:$AE$11,$NH61)=1,IF(COUNTIF($MV61:$MY61,"Mais Um")&gt;0," · +"&amp;COUNTIF($MV61:$MY61,"Mais Um")&amp;IF(COUNTIF($MV61:$MY61,"Mais Um")&gt;1," alvos"," alvo"),"")&amp;IF(COUNTIF($MV61:$MY61,"Rajada")&gt;0,IF($MQ61=0," · 1 tiro"," · "&amp;(MAX(1,$MQ61-1)+1)&amp;" tiros"),""),""))</f>
        <v/>
      </c>
      <c r="QI61" s="155">
        <f>IF($NB61=0,"",IF($MQ61=0,$NE61&amp;"d6"&amp;IF($OS61&gt;0," − 1 = "&amp;$PB61&amp;"d6"," da básica do nível "&amp;$NC61),$OZ61&amp;" − "&amp;$OU61&amp;" + "&amp;$OX61&amp;" = "&amp;$PA61&amp;" · teto "&amp;4*$MQ61&amp;"d8"&amp;IF($OD61=1," · a Forma devolve "&amp;$MQ61,"")&amp;IF($OY61&gt;0," · perde "&amp;$OY61,"")))</f>
        <v/>
      </c>
      <c r="QJ61" s="155">
        <f>IF($NB61=0,"",IF($MQ61=0,"A básica não amplia: os dados dela sobem com o nível",IF($MQ61&gt;=$ND61,"Já está na maior Classe que o nível liberou",TEXTJOIN(" · ",TRUE,IF(AND(2&gt;$MQ61,2&lt;=$ND61),"2 → "&amp;$PL61&amp;", 6 PE",""),IF(AND(3&gt;$MQ61,3&lt;=$ND61),"3 → "&amp;$PM61&amp;", 9 PE",""),IF(AND(4&gt;$MQ61,4&lt;=$ND61),"4 → "&amp;$PN61&amp;", 12 PE",""),IF(AND(5&gt;$MQ61,5&lt;=$ND61),"5 → "&amp;$PO61&amp;", 15 PE",""),IF(AND(6&gt;$MQ61,6&lt;=$ND61),"6 → "&amp;$PP61&amp;", 18 PE",""),IF(AND(7&gt;$MQ61,7&lt;=$ND61),"7 → "&amp;$PQ61&amp;", 21 PE","")))))</f>
        <v/>
      </c>
      <c r="QK61" s="155">
        <f>IF(OR($NB61=0,$NM61=0),"",IF($MQ61=0,"−1 dado","−"&amp;INDEX($I$2:$N$8,MAX(1,$MQ61),MAX(1,$NR61))&amp;" · "&amp;CHOOSE(MAX(1,$NR61),"Leve","Média","Pesada","Leve · Livre","Média · Livre","Pesada · Livre")))</f>
        <v/>
      </c>
      <c r="QL61" s="155">
        <f>IF(OR($NB61=0,$NN61=0),"",IF($MQ61=0,"−1 dado","−"&amp;INDEX($I$2:$N$8,MAX(1,$MQ61),MAX(1,$NS61))&amp;" · "&amp;CHOOSE(MAX(1,$NS61),"Leve","Média","Pesada","Leve · Livre","Média · Livre","Pesada · Livre")))</f>
        <v/>
      </c>
      <c r="QM61" s="155">
        <f>IF(OR($NB61=0,$NO61=0),"",IF($MQ61=0,"−1 dado","−"&amp;INDEX($I$2:$N$8,MAX(1,$MQ61),MAX(1,$NT61))&amp;" · "&amp;CHOOSE(MAX(1,$NT61),"Leve","Média","Pesada","Leve · Livre","Média · Livre","Pesada · Livre")))</f>
        <v/>
      </c>
      <c r="QN61" s="155">
        <f>IF(OR($NB61=0,$NP61=0),"",IF($MQ61=0,"−1 dado","−"&amp;INDEX($I$2:$N$8,MAX(1,$MQ61),MAX(1,$NU61))&amp;" · "&amp;CHOOSE(MAX(1,$NU61),"Leve","Média","Pesada","Leve · Livre","Média · Livre","Pesada · Livre")))</f>
        <v/>
      </c>
      <c r="QO61" s="155">
        <f>IF(OR($NB61=0,$MZ61=""),"",IF($MQ61=0,"não devolve","+"&amp;IF($OG61=1,CEILING($MQ61/2,1),$MQ61)))</f>
        <v/>
      </c>
      <c r="QP61" s="155">
        <f>IF(OR($NB61=0,$NA61=""),"",IF($MQ61=0,"não devolve","+"&amp;IF($OH61=1,CEILING($MQ61/2,1),$MQ61)))</f>
        <v/>
      </c>
    </row>
    <row r="62">
      <c r="AV62" s="153" t="inlineStr">
        <is>
          <t>Armado</t>
        </is>
      </c>
      <c r="AW62" s="153" t="inlineStr">
        <is>
          <t>Tempo</t>
        </is>
      </c>
      <c r="AX62" s="155" t="n">
        <v>1</v>
      </c>
      <c r="AY62" s="155" t="n">
        <v>0</v>
      </c>
      <c r="AZ62" s="155" t="n">
        <v>0</v>
      </c>
      <c r="BA62" s="155" t="n">
        <v>0</v>
      </c>
      <c r="JR62" s="155">
        <f>IF(OR($AW62="",COUNTIF($EJ$2:$EN$2,$AW62)&gt;0),$AV62,"")</f>
        <v/>
      </c>
      <c r="JS62" s="155">
        <f>IF(AND($AX62=1,OR($AW62="",COUNTIF($EJ$2:$EN$2,$AW62)&gt;0)),$AV62,"")</f>
        <v/>
      </c>
      <c r="JX62" s="155">
        <f>IF(OR($AW62="",COUNTIF($EJ$3:$EN$3,$AW62)&gt;0),$AV62,"")</f>
        <v/>
      </c>
      <c r="JY62" s="155">
        <f>IF(AND($AX62=1,OR($AW62="",COUNTIF($EJ$3:$EN$3,$AW62)&gt;0)),$AV62,"")</f>
        <v/>
      </c>
      <c r="KD62" s="155">
        <f>IF(OR($AW62="",COUNTIF($EJ$4:$EN$4,$AW62)&gt;0),$AV62,"")</f>
        <v/>
      </c>
      <c r="KE62" s="155">
        <f>IF(AND($AX62=1,OR($AW62="",COUNTIF($EJ$4:$EN$4,$AW62)&gt;0)),$AV62,"")</f>
        <v/>
      </c>
      <c r="KJ62" s="155">
        <f>IF(OR($AW62="",COUNTIF($EJ$5:$EN$5,$AW62)&gt;0),$AV62,"")</f>
        <v/>
      </c>
      <c r="KK62" s="155">
        <f>IF(AND($AX62=1,OR($AW62="",COUNTIF($EJ$5:$EN$5,$AW62)&gt;0)),$AV62,"")</f>
        <v/>
      </c>
      <c r="KP62" s="155">
        <f>IF(OR($AW62="",COUNTIF($EJ$6:$EN$6,$AW62)&gt;0),$AV62,"")</f>
        <v/>
      </c>
      <c r="KQ62" s="155">
        <f>IF(AND($AX62=1,OR($AW62="",COUNTIF($EJ$6:$EN$6,$AW62)&gt;0)),$AV62,"")</f>
        <v/>
      </c>
      <c r="KV62" s="155">
        <f>IF(OR($AW62="",COUNTIF($EJ$7:$EN$7,$AW62)&gt;0),$AV62,"")</f>
        <v/>
      </c>
      <c r="KW62" s="155">
        <f>IF(AND($AX62=1,OR($AW62="",COUNTIF($EJ$7:$EN$7,$AW62)&gt;0)),$AV62,"")</f>
        <v/>
      </c>
      <c r="LB62" s="155">
        <f>IF(OR($AW62="",COUNTIF($EJ$8:$EN$8,$AW62)&gt;0),$AV62,"")</f>
        <v/>
      </c>
      <c r="LC62" s="155">
        <f>IF(AND($AX62=1,OR($AW62="",COUNTIF($EJ$8:$EN$8,$AW62)&gt;0)),$AV62,"")</f>
        <v/>
      </c>
      <c r="LH62" s="155">
        <f>IF(OR($AW62="",COUNTIF($EJ$9:$EN$9,$AW62)&gt;0),$AV62,"")</f>
        <v/>
      </c>
      <c r="LI62" s="155">
        <f>IF(AND($AX62=1,OR($AW62="",COUNTIF($EJ$9:$EN$9,$AW62)&gt;0)),$AV62,"")</f>
        <v/>
      </c>
      <c r="LN62" s="155">
        <f>IF(OR($AW62="",COUNTIF($EJ$10:$EN$10,$AW62)&gt;0),$AV62,"")</f>
        <v/>
      </c>
      <c r="LO62" s="155">
        <f>IF(AND($AX62=1,OR($AW62="",COUNTIF($EJ$10:$EN$10,$AW62)&gt;0)),$AV62,"")</f>
        <v/>
      </c>
      <c r="LT62" s="155">
        <f>IF(OR($AW62="",COUNTIF($EJ$11:$EN$11,$AW62)&gt;0),$AV62,"")</f>
        <v/>
      </c>
      <c r="LU62" s="155">
        <f>IF(AND($AX62=1,OR($AW62="",COUNTIF($EJ$11:$EN$11,$AW62)&gt;0)),$AV62,"")</f>
        <v/>
      </c>
      <c r="LZ62" s="155">
        <f>IF(OR($AW62="",COUNTIF($EJ$12:$EN$12,$AW62)&gt;0),$AV62,"")</f>
        <v/>
      </c>
      <c r="MA62" s="155">
        <f>IF(AND($AX62=1,OR($AW62="",COUNTIF($EJ$12:$EN$12,$AW62)&gt;0)),$AV62,"")</f>
        <v/>
      </c>
      <c r="MF62" s="155">
        <f>IF(OR($AW62="",COUNTIF($EJ$13:$EN$13,$AW62)&gt;0),$AV62,"")</f>
        <v/>
      </c>
      <c r="MG62" s="155">
        <f>IF(AND($AX62=1,OR($AW62="",COUNTIF($EJ$13:$EN$13,$AW62)&gt;0)),$AV62,"")</f>
        <v/>
      </c>
      <c r="ML62" s="153" t="inlineStr">
        <is>
          <t>Ficha 5 · Especial 7</t>
        </is>
      </c>
      <c r="MM62" s="155" t="n">
        <v>5</v>
      </c>
      <c r="MN62" s="155" t="n">
        <v>1</v>
      </c>
      <c r="MO62" s="155" t="n">
        <v>24</v>
      </c>
      <c r="MP62" s="153" t="inlineStr">
        <is>
          <t>ESPECIAL 7</t>
        </is>
      </c>
      <c r="MQ62" s="155">
        <f>MAX(1,MIN(7,N('INVOCAÇÕES'!$U$906)))</f>
        <v/>
      </c>
      <c r="MR62" s="155">
        <f>'INVOCAÇÕES'!$V$906&amp;""</f>
        <v/>
      </c>
      <c r="MS62" s="155">
        <f>'INVOCAÇÕES'!$U$911&amp;""</f>
        <v/>
      </c>
      <c r="MT62" s="155">
        <f>'INVOCAÇÕES'!$U$912&amp;""</f>
        <v/>
      </c>
      <c r="MU62" s="155">
        <f>'INVOCAÇÕES'!$W$912&amp;""</f>
        <v/>
      </c>
      <c r="MV62" s="155">
        <f>'INVOCAÇÕES'!$V$915&amp;""</f>
        <v/>
      </c>
      <c r="MW62" s="155">
        <f>'INVOCAÇÕES'!$V$916&amp;""</f>
        <v/>
      </c>
      <c r="MX62" s="155">
        <f>'INVOCAÇÕES'!$V$917&amp;""</f>
        <v/>
      </c>
      <c r="MY62" s="155">
        <f>'INVOCAÇÕES'!$V$918&amp;""</f>
        <v/>
      </c>
      <c r="MZ62" s="155">
        <f>'INVOCAÇÕES'!$V$919&amp;""</f>
        <v/>
      </c>
      <c r="NA62" s="155">
        <f>'INVOCAÇÕES'!$V$920&amp;""</f>
        <v/>
      </c>
      <c r="NB62" s="155">
        <f>IF($MR62&lt;&gt;"",1,0)</f>
        <v/>
      </c>
      <c r="NC62" s="155">
        <f>INDEX($FM$2:$FM$13,$MM62)</f>
        <v/>
      </c>
      <c r="ND62" s="155">
        <f>INDEX($FN$2:$FN$13,$MM62)</f>
        <v/>
      </c>
      <c r="NE62" s="155">
        <f>INDEX($FO$2:$FO$13,$MM62)</f>
        <v/>
      </c>
      <c r="NF62" s="155">
        <f>INDEX($FZ$2:$FZ$13,$MM62)</f>
        <v/>
      </c>
      <c r="NG62" s="155">
        <f>INDEX($GA$2:$GA$13,$MM62)</f>
        <v/>
      </c>
      <c r="NH62" s="155">
        <f>IFERROR(MATCH($MS62,$V$2:$V$11,0),0)</f>
        <v/>
      </c>
      <c r="NI62" s="155">
        <f>IFERROR(VLOOKUP($MV62,$AV$2:$BA$84,2,FALSE),"")</f>
        <v/>
      </c>
      <c r="NJ62" s="155">
        <f>IFERROR(VLOOKUP($MW62,$AV$2:$BA$84,2,FALSE),"")</f>
        <v/>
      </c>
      <c r="NK62" s="155">
        <f>IFERROR(VLOOKUP($MX62,$AV$2:$BA$84,2,FALSE),"")</f>
        <v/>
      </c>
      <c r="NL62" s="155">
        <f>IFERROR(VLOOKUP($MY62,$AV$2:$BA$84,2,FALSE),"")</f>
        <v/>
      </c>
      <c r="NM62" s="155">
        <f>IFERROR(VLOOKUP($MV62,$AV$2:$BA$84,3,FALSE),0)</f>
        <v/>
      </c>
      <c r="NN62" s="155">
        <f>IFERROR(VLOOKUP($MW62,$AV$2:$BA$84,3,FALSE),0)</f>
        <v/>
      </c>
      <c r="NO62" s="155">
        <f>IFERROR(VLOOKUP($MX62,$AV$2:$BA$84,3,FALSE),0)</f>
        <v/>
      </c>
      <c r="NP62" s="155">
        <f>IFERROR(VLOOKUP($MY62,$AV$2:$BA$84,3,FALSE),0)</f>
        <v/>
      </c>
      <c r="NQ62" s="155">
        <f>IF($MQ62=0,0,IF($NH62=0,0,INDEX($X$2:$X$11,$NH62)))</f>
        <v/>
      </c>
      <c r="NR62" s="155">
        <f>IF(OR($NM62=0,$MQ62=0),0,$NM62+3*IF(AND($NI62&lt;&gt;"",OR($NI62=INDEX($EJ$2:$EJ$13,$MM62),$NI62=INDEX($EK$2:$EK$13,$MM62))),1,0))</f>
        <v/>
      </c>
      <c r="NS62" s="155">
        <f>IF(OR($NN62=0,$MQ62=0),0,$NN62+3*IF(AND($NJ62&lt;&gt;"",OR($NJ62=INDEX($EJ$2:$EJ$13,$MM62),$NJ62=INDEX($EK$2:$EK$13,$MM62))),1,0))</f>
        <v/>
      </c>
      <c r="NT62" s="155">
        <f>IF(OR($NO62=0,$MQ62=0),0,$NO62+3*IF(AND($NK62&lt;&gt;"",OR($NK62=INDEX($EJ$2:$EJ$13,$MM62),$NK62=INDEX($EK$2:$EK$13,$MM62))),1,0))</f>
        <v/>
      </c>
      <c r="NU62" s="155">
        <f>IF(OR($NP62=0,$MQ62=0),0,$NP62+3*IF(AND($NL62&lt;&gt;"",OR($NL62=INDEX($EJ$2:$EJ$13,$MM62),$NL62=INDEX($EK$2:$EK$13,$MM62))),1,0))</f>
        <v/>
      </c>
      <c r="NV62" s="155">
        <f>IF($NH62=0,0,IF(INDEX($W$2:$W$11,$NH62)="",0,IF(COUNTIF(INDEX($EJ$2:$EN$13,$MM62,0),INDEX($W$2:$W$11,$NH62))=0,1,0)))</f>
        <v/>
      </c>
      <c r="NW62" s="155">
        <f>IF(OR($NM62=0,$NI62=""),0,IF(COUNTIF(INDEX($EJ$2:$EN$13,$MM62,0),$NI62)=0,1,0))</f>
        <v/>
      </c>
      <c r="NX62" s="155">
        <f>IF(OR($NN62=0,$NJ62=""),0,IF(COUNTIF(INDEX($EJ$2:$EN$13,$MM62,0),$NJ62)=0,1,0))</f>
        <v/>
      </c>
      <c r="NY62" s="155">
        <f>IF(OR($NO62=0,$NK62=""),0,IF(COUNTIF(INDEX($EJ$2:$EN$13,$MM62,0),$NK62)=0,1,0))</f>
        <v/>
      </c>
      <c r="NZ62" s="155">
        <f>IF(OR($NP62=0,$NL62=""),0,IF(COUNTIF(INDEX($EJ$2:$EN$13,$MM62,0),$NL62)=0,1,0))</f>
        <v/>
      </c>
      <c r="OA62" s="155">
        <f>IFERROR(VLOOKUP($MV62,$AV$2:$BA$84,4,FALSE),0)+IFERROR(VLOOKUP($MW62,$AV$2:$BA$84,4,FALSE),0)+IFERROR(VLOOKUP($MX62,$AV$2:$BA$84,4,FALSE),0)+IFERROR(VLOOKUP($MY62,$AV$2:$BA$84,4,FALSE),0)</f>
        <v/>
      </c>
      <c r="OB62" s="155">
        <f>IFERROR(VLOOKUP($MV62,$AV$2:$BA$84,6,FALSE),0)+IFERROR(VLOOKUP($MW62,$AV$2:$BA$84,6,FALSE),0)+IFERROR(VLOOKUP($MX62,$AV$2:$BA$84,6,FALSE),0)+IFERROR(VLOOKUP($MY62,$AV$2:$BA$84,6,FALSE),0)</f>
        <v/>
      </c>
      <c r="OC62" s="155">
        <f>TEXTJOIN(", ",TRUE,IF(IFERROR(VLOOKUP($MV62,$AV$2:$BA$84,5,FALSE),0)=1,$MV62,""),IF(IFERROR(VLOOKUP($MW62,$AV$2:$BA$84,5,FALSE),0)=1,$MW62,""),IF(IFERROR(VLOOKUP($MX62,$AV$2:$BA$84,5,FALSE),0)=1,$MX62,""),IF(IFERROR(VLOOKUP($MY62,$AV$2:$BA$84,5,FALSE),0)=1,$MY62,""))</f>
        <v/>
      </c>
      <c r="OD62" s="155">
        <f>IF($NH62=0,0,INDEX($Y$2:$Y$11,$NH62))</f>
        <v/>
      </c>
      <c r="OE62" s="155">
        <f>IF($NH62=0,0,INDEX($Z$2:$Z$11,$NH62))</f>
        <v/>
      </c>
      <c r="OF62" s="155">
        <f>IF($NH62=0,0,INDEX($AB$2:$AB$11,$NH62))</f>
        <v/>
      </c>
      <c r="OG62" s="155">
        <f>IFERROR(VLOOKUP($MZ62,$BC$2:$BG$24,3,FALSE),0)</f>
        <v/>
      </c>
      <c r="OH62" s="155">
        <f>IFERROR(VLOOKUP($NA62,$BC$2:$BG$24,3,FALSE),0)</f>
        <v/>
      </c>
      <c r="OI62" s="155">
        <f>IFERROR(VLOOKUP($MZ62,$BC$2:$BG$24,2,FALSE),"")</f>
        <v/>
      </c>
      <c r="OJ62" s="155">
        <f>IFERROR(VLOOKUP($NA62,$BC$2:$BG$24,2,FALSE),"")</f>
        <v/>
      </c>
      <c r="OK62" s="155">
        <f>COUNTIF($NQ62:$NU62,1)</f>
        <v/>
      </c>
      <c r="OL62" s="155">
        <f>COUNTIF($NQ62:$NU62,2)</f>
        <v/>
      </c>
      <c r="OM62" s="155">
        <f>COUNTIF($NQ62:$NU62,3)</f>
        <v/>
      </c>
      <c r="ON62" s="155">
        <f>COUNTIF($NQ62:$NU62,4)</f>
        <v/>
      </c>
      <c r="OO62" s="155">
        <f>COUNTIF($NQ62:$NU62,5)</f>
        <v/>
      </c>
      <c r="OP62" s="155">
        <f>COUNTIF($NQ62:$NU62,6)</f>
        <v/>
      </c>
      <c r="OQ62" s="155">
        <f>COUNTIF($OG62:$OH62,1)</f>
        <v/>
      </c>
      <c r="OR62" s="155">
        <f>COUNTIF($OG62:$OH62,2)+$OD62</f>
        <v/>
      </c>
      <c r="OS62" s="155">
        <f>COUNTIF($MV62:$MY62,"?*")</f>
        <v/>
      </c>
      <c r="OT62" s="155">
        <f>COUNTIF($MZ62:$NA62,"?*")+$OD62</f>
        <v/>
      </c>
      <c r="OU62" s="155">
        <f>IF($MQ62=0,0,SUMPRODUCT($OK62:$OP62,INDEX($I$2:$N$8,MAX(1,$MQ62),0)))</f>
        <v/>
      </c>
      <c r="OV62" s="155">
        <f>IF($MQ62=0,0,$OQ62*CEILING($MQ62/2,1)+$OR62*$MQ62)</f>
        <v/>
      </c>
      <c r="OW62" s="155">
        <f>MIN(2*$MQ62,$OV62)</f>
        <v/>
      </c>
      <c r="OX62" s="155">
        <f>MIN($OW62,$OU62)</f>
        <v/>
      </c>
      <c r="OY62" s="155">
        <f>$OW62-$OX62</f>
        <v/>
      </c>
      <c r="OZ62" s="155">
        <f>IF($MQ62=0,0,INDEX($P$2:$P$8,MAX(1,$MQ62)))</f>
        <v/>
      </c>
      <c r="PA62" s="155">
        <f>$OZ62-$OU62+$OX62</f>
        <v/>
      </c>
      <c r="PB62" s="155">
        <f>IF($MQ62=0,MAX(0,$NE62-IF($OS62&gt;0,1,0)),MAX(0,$PA62))</f>
        <v/>
      </c>
      <c r="PC62" s="155">
        <f>IF($MQ62=0,0,(IF(COUNTIF($MV62:$MY62,"Salto")&gt;0,1,0)+IF(COUNTIF($MV62:$MY62,"Queima")&gt;0,1,0)+IF(COUNTIF($MV62:$MY62,"Estilhaço")&gt;0,1,0))*FLOOR($PB62/2,1))</f>
        <v/>
      </c>
      <c r="PD62" s="155">
        <f>MAX(0,2-SUMPRODUCT($OK62:$OP62,$I$2:$N$2)+MIN(2,$OQ62*1+$OR62*1,SUMPRODUCT($OK62:$OP62,$I$2:$N$2)))</f>
        <v/>
      </c>
      <c r="PE62" s="155">
        <f>MAX(0,4-SUMPRODUCT($OK62:$OP62,$I$3:$N$3)+MIN(4,$OQ62*1+$OR62*2,SUMPRODUCT($OK62:$OP62,$I$3:$N$3)))</f>
        <v/>
      </c>
      <c r="PF62" s="155">
        <f>MAX(0,6-SUMPRODUCT($OK62:$OP62,$I$4:$N$4)+MIN(6,$OQ62*2+$OR62*3,SUMPRODUCT($OK62:$OP62,$I$4:$N$4)))</f>
        <v/>
      </c>
      <c r="PG62" s="155">
        <f>MAX(0,9-SUMPRODUCT($OK62:$OP62,$I$5:$N$5)+MIN(8,$OQ62*2+$OR62*4,SUMPRODUCT($OK62:$OP62,$I$5:$N$5)))</f>
        <v/>
      </c>
      <c r="PH62" s="155">
        <f>MAX(0,11-SUMPRODUCT($OK62:$OP62,$I$6:$N$6)+MIN(10,$OQ62*3+$OR62*5,SUMPRODUCT($OK62:$OP62,$I$6:$N$6)))</f>
        <v/>
      </c>
      <c r="PI62" s="155">
        <f>MAX(0,13-SUMPRODUCT($OK62:$OP62,$I$7:$N$7)+MIN(12,$OQ62*3+$OR62*6,SUMPRODUCT($OK62:$OP62,$I$7:$N$7)))</f>
        <v/>
      </c>
      <c r="PJ62" s="155">
        <f>MAX(0,16-SUMPRODUCT($OK62:$OP62,$I$8:$N$8)+MIN(14,$OQ62*4+$OR62*7,SUMPRODUCT($OK62:$OP62,$I$8:$N$8)))</f>
        <v/>
      </c>
      <c r="PK62" s="155">
        <f>IF($OE62=2,3*$PD62&amp;" de vida temp.",IF($OE62=3,"sem dano",IF($PD62=0,IF($OE62=1,"sem cura","sem dano"),IF($OE62=1,"cura ","")&amp;$PD62&amp;"d8")))</f>
        <v/>
      </c>
      <c r="PL62" s="155">
        <f>IF($OE62=2,3*$PE62&amp;" de vida temp.",IF($OE62=3,"sem dano",IF($PE62=0,IF($OE62=1,"sem cura","sem dano"),IF($OE62=1,"cura ","")&amp;$PE62&amp;"d8")))</f>
        <v/>
      </c>
      <c r="PM62" s="155">
        <f>IF($OE62=2,3*$PF62&amp;" de vida temp.",IF($OE62=3,"sem dano",IF($PF62=0,IF($OE62=1,"sem cura","sem dano"),IF($OE62=1,"cura ","")&amp;$PF62&amp;"d8")))</f>
        <v/>
      </c>
      <c r="PN62" s="155">
        <f>IF($OE62=2,3*$PG62&amp;" de vida temp.",IF($OE62=3,"sem dano",IF($PG62=0,IF($OE62=1,"sem cura","sem dano"),IF($OE62=1,"cura ","")&amp;$PG62&amp;"d8")))</f>
        <v/>
      </c>
      <c r="PO62" s="155">
        <f>IF($OE62=2,3*$PH62&amp;" de vida temp.",IF($OE62=3,"sem dano",IF($PH62=0,IF($OE62=1,"sem cura","sem dano"),IF($OE62=1,"cura ","")&amp;$PH62&amp;"d8")))</f>
        <v/>
      </c>
      <c r="PP62" s="155">
        <f>IF($OE62=2,3*$PI62&amp;" de vida temp.",IF($OE62=3,"sem dano",IF($PI62=0,IF($OE62=1,"sem cura","sem dano"),IF($OE62=1,"cura ","")&amp;$PI62&amp;"d8")))</f>
        <v/>
      </c>
      <c r="PQ62" s="155">
        <f>IF($OE62=2,3*$PJ62&amp;" de vida temp.",IF($OE62=3,"sem dano",IF($PJ62=0,IF($OE62=1,"sem cura","sem dano"),IF($OE62=1,"cura ","")&amp;$PJ62&amp;"d8")))</f>
        <v/>
      </c>
      <c r="PR62" s="155">
        <f>IF($NB62=0,"",TEXTJOIN(" · ",TRUE,IF($MO62&gt;$NC62,"Este lugar abre no nível "&amp;$MO62,""),IF($MQ62&gt;$ND62,"Classe "&amp;$MQ62&amp;": o nível "&amp;$NC62&amp;" libera até a "&amp;$ND62,""),IF($NV62=1,"A Forma "&amp;$MS62&amp;" pede "&amp;INDEX($W$2:$W$11,$NH62)&amp;" aberta",""),IF(AND($MQ62=0,$NH62&gt;0,IF($NH62=0,0,INDEX($AF$2:$AF$11,$NH62))=0),$MS62&amp;" não existe na Classe 0",""),IF($NW62=1,"Família Fechada: "&amp;$MV62,""),IF($NX62=1,"Família Fechada: "&amp;$MW62,""),IF($NY62=1,"Família Fechada: "&amp;$MX62,""),IF($NZ62=1,"Família Fechada: "&amp;$MY62,""),IF(AND($MQ62&gt;0,$OS62&gt;INDEX($O$2:$O$8,MAX(1,$MQ62))),$OS62&amp;" Melhorias: a Classe "&amp;$MQ62&amp;" aceita "&amp;INDEX($O$2:$O$8,MAX(1,$MQ62)),""),IF(AND($MQ62=0,$OS62&gt;1),"A básica aceita uma Melhoria",""),IF(AND($MQ62=0,COUNTIF($NM62:$NP62,"&gt;1")&gt;0),"A básica só aceita Melhoria Leve",""),IF(AND($MQ62&gt;0,$OT62&gt;2),$OT62&amp;" Restrições"&amp;IF($OD62=1,", contando a que a Forma "&amp;$MS62&amp;" já traz","")&amp;": o limite é 2",""),IF(AND($MQ62=0,COUNTIF($MZ62:$NA62,"?*")&gt;1),"A básica aceita uma Restrição Leve",""),IF(AND($MQ62=0,COUNTIF($OG62:$OH62,2)&gt;0),"A básica só aceita Restrição Leve",""),IF(AND($MQ62&gt;0,$PA62&lt;0),"Orçamento estourado: faltam "&amp;(-$PA62)&amp;IF($PA62&lt;-1," pontos"," ponto"),""),IF(IFERROR(VLOOKUP($MZ62,$BC$2:$BG$24,4,FALSE),0)+IFERROR(VLOOKUP($NA62,$BC$2:$BG$24,4,FALSE),0)&gt;1,$OI62&amp;" e "&amp;$OJ62&amp;" são as duas de frequência",""),IF(AND((COUNTIF($MV62:$MY62,"Rápido")+COUNTIF($OI62:$OJ62,"Rápido"))&gt;0,(COUNTIF($MV62:$MY62,"Atrasar")+COUNTIF($OI62:$OJ62,"Atrasar"))&gt;0),"Rápido não entra com Atrasar",""),IF(AND((COUNTIF($MV62:$MY62,"Reação")+COUNTIF($OI62:$OJ62,"Reação"))&gt;0,(COUNTIF($MV62:$MY62,"Rápido")+COUNTIF($OI62:$OJ62,"Rápido"))&gt;0),"Reação não entra com Rápido",""),IF(AND((COUNTIF($MV62:$MY62,"Reação")+COUNTIF($OI62:$OJ62,"Reação"))&gt;0,(COUNTIF($MV62:$MY62,"Armado")+COUNTIF($OI62:$OJ62,"Armado"))&gt;0),"Reação não entra com Armado",""),IF(AND((COUNTIF($MV62:$MY62,"Reação")+COUNTIF($OI62:$OJ62,"Reação"))&gt;0,(COUNTIF($MV62:$MY62,"Atrasar")+COUNTIF($OI62:$OJ62,"Atrasar"))&gt;0),"Reação não entra com Atrasar",""),IF(AND((COUNTIF($MV62:$MY62,"Reação")+COUNTIF($OI62:$OJ62,"Reação"))&gt;0,(COUNTIF($MV62:$MY62,"Parado")+COUNTIF($OI62:$OJ62,"Parado"))&gt;0),"Reação não entra com Parado",""),IF(AND((COUNTIF($MV62:$MY62,"Atrasar")+COUNTIF($OI62:$OJ62,"Atrasar"))&gt;0,(COUNTIF($MV62:$MY62,"Parado")+COUNTIF($OI62:$OJ62,"Parado"))&gt;0),"Atrasar não entra com Parado",""),IF(AND((COUNTIF($MV62:$MY62,"Armado")+COUNTIF($OI62:$OJ62,"Armado"))&gt;0,(COUNTIF($MV62:$MY62,"Carregar")+COUNTIF($OI62:$OJ62,"Carregar"))&gt;0),"Armado não entra com Carregar",""),IF(AND(COUNTIF($OI62:$OJ62,"Corpo a Corpo")&gt;0,$OD62=0,OR($MS62="Cone",$MS62="Linha")),"Corpo a Corpo não entra em "&amp;$MS62,""),IF(AND(COUNTIF($OI62:$OJ62,"Corpo a Corpo")&gt;0,$OD62=1),"A Forma "&amp;$MS62&amp;" já traz o Corpo a Corpo",""),IF(AND(COUNTIF($OI62:$OJ62,"Tudo ou Nada")&gt;0,$OF62=0),"Tudo ou Nada só entra em habilidade de Teste de Resistência",""),IF(AND(COUNTIF($MV62:$MY62,"Inescapável")&gt;0,OR($OS62&gt;1,$OT62&gt;0)),"Inescapável não aceita outra peça",""),IF(AND($MQ62&gt;0,$PB62*IF(COUNTIF($MV62:$MY62,"Remate")&gt;0,1.25,1)+$PC62&gt;4*$MQ62),($PB62*IF(COUNTIF($MV62:$MY62,"Remate")&gt;0,1.25,1)+$PC62)&amp;" dados somando repetições"&amp;IF(COUNTIF($MV62:$MY62,"Remate")&gt;0," e o Remate","")&amp;": o teto da Classe "&amp;$MQ62&amp;" é "&amp;4*$MQ62,"")))</f>
        <v/>
      </c>
      <c r="PS62" s="155">
        <f>IF($PR62="",0,(LEN($PR62)-LEN(SUBSTITUTE($PR62," · ","")))/3+1)</f>
        <v/>
      </c>
      <c r="PT62" s="155">
        <f>IF($NB62=0,"",TEXTJOIN(" · ",TRUE,IF($OV62&gt;2*$MQ62,"A devolução parou no teto de "&amp;2*$MQ62,""),IF($OY62&gt;0,"Devolução perdida: "&amp;$OY62&amp;IF($OY62&gt;1," pontos"," ponto")&amp;" sem peça para pagar",""),IF(AND($OA62&gt;0,AND($MQ62&gt;0,$OE62=0),$PB62=0),"Controle sem dano: uma rodada a mais e CD +2",""),IF(AND($OA62&gt;0,AND($MQ62&gt;0,$OE62=0),$PB62&gt;0,$PB62&lt;=$MQ62),"Controle com saldo até a Classe: uma rodada a mais",""),IF(AND($MQ62&gt;0,$OC62&lt;&gt;""),"Efeito de "&amp;$OC62&amp;" pela Classe "&amp;MAX(1,$MQ62-1),"")))</f>
        <v/>
      </c>
      <c r="PU62" s="155">
        <f>IF($PT62="",0,(LEN($PT62)-LEN(SUBSTITUTE($PT62," · ","")))/3+1)</f>
        <v/>
      </c>
      <c r="PV62" s="155">
        <f>IF($NB62=0,IF($OS62+COUNTIF($MZ62:$NA62,"?*")&gt;0,"Dê um nome",""),IF($PS62&gt;0,"⚠ "&amp;$PS62&amp;IF($PS62&gt;1," erros"," erro"),IF($PU62&gt;0,"! "&amp;$PU62&amp;IF($PU62&gt;1," avisos"," aviso"),"Na regra")))</f>
        <v/>
      </c>
      <c r="PW62" s="155">
        <f>IF($NB62=0,"",IF($PS62+$PU62=0,"Dentro das regras que a ficha confere",$PR62&amp;IF(AND($PS62&gt;0,$PU62&gt;0)," · ","")&amp;$PT62))</f>
        <v/>
      </c>
      <c r="PX62" s="155">
        <f>IF($MO62&gt;$NC62,$MP62&amp;" · ABRE NO NÍVEL "&amp;$MO62,$MP62)</f>
        <v/>
      </c>
      <c r="PY62" s="155">
        <f>IF($NB62=0,"",IF($MQ62=0,"Sem PE",3*$MQ62&amp;" PE"))</f>
        <v/>
      </c>
      <c r="PZ62" s="155">
        <f>IF($NB62=0,"",IF($MQ62=0,"A atuação básica dela",IF(COUNTIF($OI62:$OJ62,"Atrasar")&gt;0,"Sua Ação Completa",IF(COUNTIF($MV62:$MY62,"Rápido")&gt;0,"Sua Bônus",IF(COUNTIF($MV62:$MY62,"Reação")&gt;0,"Sua Reação","Sua Padrão")))&amp;" + a básica dela"&amp;IF(COUNTIF($MV62:$MY62,"Reação")&gt;0," e a coletiva","")&amp;IF(COUNTIF($OI62:$OJ62,"Carregar")&gt;0," · em dois turnos","")))</f>
        <v/>
      </c>
      <c r="QA62" s="155">
        <f>IF($MU62&lt;&gt;"",$MU62,IF($NH62=0,"",INDEX($AA$2:$AA$11,$NH62)))</f>
        <v/>
      </c>
      <c r="QB62" s="155">
        <f>IF(OR($NB62=0,$NH62=0),"",IF(COUNTIF($MV62:$MY62,"Inescapável")&gt;0,"Automático",IF($QA62="Ataque",IF($NF62="","Ataque","Ataque "&amp;IF(($NF62+2*IF(COUNTIF($MV62:$MY62,"Precisão")&gt;0,1,0))&gt;=0,"+","−")&amp;ABS(($NF62+2*IF(COUNTIF($MV62:$MY62,"Precisão")&gt;0,1,0))))&amp;IF($OB62&gt;0," · TR"&amp;IF($NG62="",""," CD "&amp;$NG62),""),IF(LEFT($QA62,2)="TR",$QA62&amp;IF($NG62="",""," · CD "&amp;$NG62)&amp;IF(COUNTIF($MV62:$MY62,"Certeiro")&gt;0," · metade",""),"Sem rolagem"))))</f>
        <v/>
      </c>
      <c r="QC62" s="155">
        <f>IF(OR($NB62=0,$NH62=0),"",IF($MQ62=0,IF(OR($OE62&gt;=1,$PB62=0),"Sem dano",$PB62&amp;"d6"&amp;IF($MT62="",""," "&amp;$MT62)),IF(OR($OE62&gt;=1,$PB62=0),UPPER(LEFT(INDEX($PK62:$PQ62,1,MAX(1,$MQ62)),1))&amp;MID(INDEX($PK62:$PQ62,1,MAX(1,$MQ62)),2,99),UPPER(LEFT(INDEX($PK62:$PQ62,1,MAX(1,$MQ62)),1))&amp;MID(INDEX($PK62:$PQ62,1,MAX(1,$MQ62)),2,99)&amp;IF($MT62="",""," "&amp;$MT62)&amp;IF($PC62&gt;0," · +"&amp;$PC62&amp;"d8",""))))</f>
        <v/>
      </c>
      <c r="QD62" s="155">
        <f>COUNTIF($MV62:$MY62,"Longe")+3*COUNTIF($MV62:$MY62,"Muito Longe")</f>
        <v/>
      </c>
      <c r="QE62" s="155">
        <f>COUNTIF($MV62:$MY62,"Maior")+3*COUNTIF($MV62:$MY62,"Muito Maior")</f>
        <v/>
      </c>
      <c r="QF62" s="155">
        <f>IF($NH62=0,0,CHOOSE(1+INDEX($AC$2:$AC$11,$NH62),0,$QD62,$QE62,$QD62+$QE62))</f>
        <v/>
      </c>
      <c r="QG62" s="155">
        <f>IF($NH62=0,0,CHOOSE(1+INDEX($AD$2:$AD$11,$NH62),0,$QD62,$QE62,$QD62+$QE62))</f>
        <v/>
      </c>
      <c r="QH62" s="155">
        <f>IF(OR($NB62=0,$NH62=0),"",INDEX($AI$2:$AN$41,($NH62-1)*4+IF($MQ62=0,1,IF($MQ62&lt;=5,2,IF($MQ62=6,3,4))),1+MIN(5,$QF62))&amp;INDEX($AO$2:$AT$41,($NH62-1)*4+IF($MQ62=0,1,IF($MQ62&lt;=5,2,IF($MQ62=6,3,4))),1+MIN(5,$QG62))&amp;IF(INDEX($AE$2:$AE$11,$NH62)=1,IF(COUNTIF($MV62:$MY62,"Mais Um")&gt;0," · +"&amp;COUNTIF($MV62:$MY62,"Mais Um")&amp;IF(COUNTIF($MV62:$MY62,"Mais Um")&gt;1," alvos"," alvo"),"")&amp;IF(COUNTIF($MV62:$MY62,"Rajada")&gt;0,IF($MQ62=0," · 1 tiro"," · "&amp;(MAX(1,$MQ62-1)+1)&amp;" tiros"),""),""))</f>
        <v/>
      </c>
      <c r="QI62" s="155">
        <f>IF($NB62=0,"",IF($MQ62=0,$NE62&amp;"d6"&amp;IF($OS62&gt;0," − 1 = "&amp;$PB62&amp;"d6"," da básica do nível "&amp;$NC62),$OZ62&amp;" − "&amp;$OU62&amp;" + "&amp;$OX62&amp;" = "&amp;$PA62&amp;" · teto "&amp;4*$MQ62&amp;"d8"&amp;IF($OD62=1," · a Forma devolve "&amp;$MQ62,"")&amp;IF($OY62&gt;0," · perde "&amp;$OY62,"")))</f>
        <v/>
      </c>
      <c r="QJ62" s="155">
        <f>IF($NB62=0,"",IF($MQ62=0,"A básica não amplia: os dados dela sobem com o nível",IF($MQ62&gt;=$ND62,"Já está na maior Classe que o nível liberou",TEXTJOIN(" · ",TRUE,IF(AND(2&gt;$MQ62,2&lt;=$ND62),"2 → "&amp;$PL62&amp;", 6 PE",""),IF(AND(3&gt;$MQ62,3&lt;=$ND62),"3 → "&amp;$PM62&amp;", 9 PE",""),IF(AND(4&gt;$MQ62,4&lt;=$ND62),"4 → "&amp;$PN62&amp;", 12 PE",""),IF(AND(5&gt;$MQ62,5&lt;=$ND62),"5 → "&amp;$PO62&amp;", 15 PE",""),IF(AND(6&gt;$MQ62,6&lt;=$ND62),"6 → "&amp;$PP62&amp;", 18 PE",""),IF(AND(7&gt;$MQ62,7&lt;=$ND62),"7 → "&amp;$PQ62&amp;", 21 PE","")))))</f>
        <v/>
      </c>
      <c r="QK62" s="155">
        <f>IF(OR($NB62=0,$NM62=0),"",IF($MQ62=0,"−1 dado","−"&amp;INDEX($I$2:$N$8,MAX(1,$MQ62),MAX(1,$NR62))&amp;" · "&amp;CHOOSE(MAX(1,$NR62),"Leve","Média","Pesada","Leve · Livre","Média · Livre","Pesada · Livre")))</f>
        <v/>
      </c>
      <c r="QL62" s="155">
        <f>IF(OR($NB62=0,$NN62=0),"",IF($MQ62=0,"−1 dado","−"&amp;INDEX($I$2:$N$8,MAX(1,$MQ62),MAX(1,$NS62))&amp;" · "&amp;CHOOSE(MAX(1,$NS62),"Leve","Média","Pesada","Leve · Livre","Média · Livre","Pesada · Livre")))</f>
        <v/>
      </c>
      <c r="QM62" s="155">
        <f>IF(OR($NB62=0,$NO62=0),"",IF($MQ62=0,"−1 dado","−"&amp;INDEX($I$2:$N$8,MAX(1,$MQ62),MAX(1,$NT62))&amp;" · "&amp;CHOOSE(MAX(1,$NT62),"Leve","Média","Pesada","Leve · Livre","Média · Livre","Pesada · Livre")))</f>
        <v/>
      </c>
      <c r="QN62" s="155">
        <f>IF(OR($NB62=0,$NP62=0),"",IF($MQ62=0,"−1 dado","−"&amp;INDEX($I$2:$N$8,MAX(1,$MQ62),MAX(1,$NU62))&amp;" · "&amp;CHOOSE(MAX(1,$NU62),"Leve","Média","Pesada","Leve · Livre","Média · Livre","Pesada · Livre")))</f>
        <v/>
      </c>
      <c r="QO62" s="155">
        <f>IF(OR($NB62=0,$MZ62=""),"",IF($MQ62=0,"não devolve","+"&amp;IF($OG62=1,CEILING($MQ62/2,1),$MQ62)))</f>
        <v/>
      </c>
      <c r="QP62" s="155">
        <f>IF(OR($NB62=0,$NA62=""),"",IF($MQ62=0,"não devolve","+"&amp;IF($OH62=1,CEILING($MQ62/2,1),$MQ62)))</f>
        <v/>
      </c>
    </row>
    <row r="63">
      <c r="AV63" s="153" t="inlineStr">
        <is>
          <t>Silencioso</t>
        </is>
      </c>
      <c r="AW63" s="153" t="inlineStr">
        <is>
          <t>Tempo</t>
        </is>
      </c>
      <c r="AX63" s="155" t="n">
        <v>1</v>
      </c>
      <c r="AY63" s="155" t="n">
        <v>0</v>
      </c>
      <c r="AZ63" s="155" t="n">
        <v>0</v>
      </c>
      <c r="BA63" s="155" t="n">
        <v>0</v>
      </c>
      <c r="JR63" s="155">
        <f>IF(OR($AW63="",COUNTIF($EJ$2:$EN$2,$AW63)&gt;0),$AV63,"")</f>
        <v/>
      </c>
      <c r="JS63" s="155">
        <f>IF(AND($AX63=1,OR($AW63="",COUNTIF($EJ$2:$EN$2,$AW63)&gt;0)),$AV63,"")</f>
        <v/>
      </c>
      <c r="JX63" s="155">
        <f>IF(OR($AW63="",COUNTIF($EJ$3:$EN$3,$AW63)&gt;0),$AV63,"")</f>
        <v/>
      </c>
      <c r="JY63" s="155">
        <f>IF(AND($AX63=1,OR($AW63="",COUNTIF($EJ$3:$EN$3,$AW63)&gt;0)),$AV63,"")</f>
        <v/>
      </c>
      <c r="KD63" s="155">
        <f>IF(OR($AW63="",COUNTIF($EJ$4:$EN$4,$AW63)&gt;0),$AV63,"")</f>
        <v/>
      </c>
      <c r="KE63" s="155">
        <f>IF(AND($AX63=1,OR($AW63="",COUNTIF($EJ$4:$EN$4,$AW63)&gt;0)),$AV63,"")</f>
        <v/>
      </c>
      <c r="KJ63" s="155">
        <f>IF(OR($AW63="",COUNTIF($EJ$5:$EN$5,$AW63)&gt;0),$AV63,"")</f>
        <v/>
      </c>
      <c r="KK63" s="155">
        <f>IF(AND($AX63=1,OR($AW63="",COUNTIF($EJ$5:$EN$5,$AW63)&gt;0)),$AV63,"")</f>
        <v/>
      </c>
      <c r="KP63" s="155">
        <f>IF(OR($AW63="",COUNTIF($EJ$6:$EN$6,$AW63)&gt;0),$AV63,"")</f>
        <v/>
      </c>
      <c r="KQ63" s="155">
        <f>IF(AND($AX63=1,OR($AW63="",COUNTIF($EJ$6:$EN$6,$AW63)&gt;0)),$AV63,"")</f>
        <v/>
      </c>
      <c r="KV63" s="155">
        <f>IF(OR($AW63="",COUNTIF($EJ$7:$EN$7,$AW63)&gt;0),$AV63,"")</f>
        <v/>
      </c>
      <c r="KW63" s="155">
        <f>IF(AND($AX63=1,OR($AW63="",COUNTIF($EJ$7:$EN$7,$AW63)&gt;0)),$AV63,"")</f>
        <v/>
      </c>
      <c r="LB63" s="155">
        <f>IF(OR($AW63="",COUNTIF($EJ$8:$EN$8,$AW63)&gt;0),$AV63,"")</f>
        <v/>
      </c>
      <c r="LC63" s="155">
        <f>IF(AND($AX63=1,OR($AW63="",COUNTIF($EJ$8:$EN$8,$AW63)&gt;0)),$AV63,"")</f>
        <v/>
      </c>
      <c r="LH63" s="155">
        <f>IF(OR($AW63="",COUNTIF($EJ$9:$EN$9,$AW63)&gt;0),$AV63,"")</f>
        <v/>
      </c>
      <c r="LI63" s="155">
        <f>IF(AND($AX63=1,OR($AW63="",COUNTIF($EJ$9:$EN$9,$AW63)&gt;0)),$AV63,"")</f>
        <v/>
      </c>
      <c r="LN63" s="155">
        <f>IF(OR($AW63="",COUNTIF($EJ$10:$EN$10,$AW63)&gt;0),$AV63,"")</f>
        <v/>
      </c>
      <c r="LO63" s="155">
        <f>IF(AND($AX63=1,OR($AW63="",COUNTIF($EJ$10:$EN$10,$AW63)&gt;0)),$AV63,"")</f>
        <v/>
      </c>
      <c r="LT63" s="155">
        <f>IF(OR($AW63="",COUNTIF($EJ$11:$EN$11,$AW63)&gt;0),$AV63,"")</f>
        <v/>
      </c>
      <c r="LU63" s="155">
        <f>IF(AND($AX63=1,OR($AW63="",COUNTIF($EJ$11:$EN$11,$AW63)&gt;0)),$AV63,"")</f>
        <v/>
      </c>
      <c r="LZ63" s="155">
        <f>IF(OR($AW63="",COUNTIF($EJ$12:$EN$12,$AW63)&gt;0),$AV63,"")</f>
        <v/>
      </c>
      <c r="MA63" s="155">
        <f>IF(AND($AX63=1,OR($AW63="",COUNTIF($EJ$12:$EN$12,$AW63)&gt;0)),$AV63,"")</f>
        <v/>
      </c>
      <c r="MF63" s="155">
        <f>IF(OR($AW63="",COUNTIF($EJ$13:$EN$13,$AW63)&gt;0),$AV63,"")</f>
        <v/>
      </c>
      <c r="MG63" s="155">
        <f>IF(AND($AX63=1,OR($AW63="",COUNTIF($EJ$13:$EN$13,$AW63)&gt;0)),$AV63,"")</f>
        <v/>
      </c>
      <c r="ML63" s="153" t="inlineStr">
        <is>
          <t>Ficha 5 · Especial 8</t>
        </is>
      </c>
      <c r="MM63" s="155" t="n">
        <v>5</v>
      </c>
      <c r="MN63" s="155" t="n">
        <v>1</v>
      </c>
      <c r="MO63" s="155" t="n">
        <v>28</v>
      </c>
      <c r="MP63" s="153" t="inlineStr">
        <is>
          <t>ESPECIAL 8</t>
        </is>
      </c>
      <c r="MQ63" s="155">
        <f>MAX(1,MIN(7,N('INVOCAÇÕES'!$I$928)))</f>
        <v/>
      </c>
      <c r="MR63" s="155">
        <f>'INVOCAÇÕES'!$J$928&amp;""</f>
        <v/>
      </c>
      <c r="MS63" s="155">
        <f>'INVOCAÇÕES'!$I$933&amp;""</f>
        <v/>
      </c>
      <c r="MT63" s="155">
        <f>'INVOCAÇÕES'!$I$934&amp;""</f>
        <v/>
      </c>
      <c r="MU63" s="155">
        <f>'INVOCAÇÕES'!$K$934&amp;""</f>
        <v/>
      </c>
      <c r="MV63" s="155">
        <f>'INVOCAÇÕES'!$J$937&amp;""</f>
        <v/>
      </c>
      <c r="MW63" s="155">
        <f>'INVOCAÇÕES'!$J$938&amp;""</f>
        <v/>
      </c>
      <c r="MX63" s="155">
        <f>'INVOCAÇÕES'!$J$939&amp;""</f>
        <v/>
      </c>
      <c r="MY63" s="155">
        <f>'INVOCAÇÕES'!$J$940&amp;""</f>
        <v/>
      </c>
      <c r="MZ63" s="155">
        <f>'INVOCAÇÕES'!$J$941&amp;""</f>
        <v/>
      </c>
      <c r="NA63" s="155">
        <f>'INVOCAÇÕES'!$J$942&amp;""</f>
        <v/>
      </c>
      <c r="NB63" s="155">
        <f>IF($MR63&lt;&gt;"",1,0)</f>
        <v/>
      </c>
      <c r="NC63" s="155">
        <f>INDEX($FM$2:$FM$13,$MM63)</f>
        <v/>
      </c>
      <c r="ND63" s="155">
        <f>INDEX($FN$2:$FN$13,$MM63)</f>
        <v/>
      </c>
      <c r="NE63" s="155">
        <f>INDEX($FO$2:$FO$13,$MM63)</f>
        <v/>
      </c>
      <c r="NF63" s="155">
        <f>INDEX($FZ$2:$FZ$13,$MM63)</f>
        <v/>
      </c>
      <c r="NG63" s="155">
        <f>INDEX($GA$2:$GA$13,$MM63)</f>
        <v/>
      </c>
      <c r="NH63" s="155">
        <f>IFERROR(MATCH($MS63,$V$2:$V$11,0),0)</f>
        <v/>
      </c>
      <c r="NI63" s="155">
        <f>IFERROR(VLOOKUP($MV63,$AV$2:$BA$84,2,FALSE),"")</f>
        <v/>
      </c>
      <c r="NJ63" s="155">
        <f>IFERROR(VLOOKUP($MW63,$AV$2:$BA$84,2,FALSE),"")</f>
        <v/>
      </c>
      <c r="NK63" s="155">
        <f>IFERROR(VLOOKUP($MX63,$AV$2:$BA$84,2,FALSE),"")</f>
        <v/>
      </c>
      <c r="NL63" s="155">
        <f>IFERROR(VLOOKUP($MY63,$AV$2:$BA$84,2,FALSE),"")</f>
        <v/>
      </c>
      <c r="NM63" s="155">
        <f>IFERROR(VLOOKUP($MV63,$AV$2:$BA$84,3,FALSE),0)</f>
        <v/>
      </c>
      <c r="NN63" s="155">
        <f>IFERROR(VLOOKUP($MW63,$AV$2:$BA$84,3,FALSE),0)</f>
        <v/>
      </c>
      <c r="NO63" s="155">
        <f>IFERROR(VLOOKUP($MX63,$AV$2:$BA$84,3,FALSE),0)</f>
        <v/>
      </c>
      <c r="NP63" s="155">
        <f>IFERROR(VLOOKUP($MY63,$AV$2:$BA$84,3,FALSE),0)</f>
        <v/>
      </c>
      <c r="NQ63" s="155">
        <f>IF($MQ63=0,0,IF($NH63=0,0,INDEX($X$2:$X$11,$NH63)))</f>
        <v/>
      </c>
      <c r="NR63" s="155">
        <f>IF(OR($NM63=0,$MQ63=0),0,$NM63+3*IF(AND($NI63&lt;&gt;"",OR($NI63=INDEX($EJ$2:$EJ$13,$MM63),$NI63=INDEX($EK$2:$EK$13,$MM63))),1,0))</f>
        <v/>
      </c>
      <c r="NS63" s="155">
        <f>IF(OR($NN63=0,$MQ63=0),0,$NN63+3*IF(AND($NJ63&lt;&gt;"",OR($NJ63=INDEX($EJ$2:$EJ$13,$MM63),$NJ63=INDEX($EK$2:$EK$13,$MM63))),1,0))</f>
        <v/>
      </c>
      <c r="NT63" s="155">
        <f>IF(OR($NO63=0,$MQ63=0),0,$NO63+3*IF(AND($NK63&lt;&gt;"",OR($NK63=INDEX($EJ$2:$EJ$13,$MM63),$NK63=INDEX($EK$2:$EK$13,$MM63))),1,0))</f>
        <v/>
      </c>
      <c r="NU63" s="155">
        <f>IF(OR($NP63=0,$MQ63=0),0,$NP63+3*IF(AND($NL63&lt;&gt;"",OR($NL63=INDEX($EJ$2:$EJ$13,$MM63),$NL63=INDEX($EK$2:$EK$13,$MM63))),1,0))</f>
        <v/>
      </c>
      <c r="NV63" s="155">
        <f>IF($NH63=0,0,IF(INDEX($W$2:$W$11,$NH63)="",0,IF(COUNTIF(INDEX($EJ$2:$EN$13,$MM63,0),INDEX($W$2:$W$11,$NH63))=0,1,0)))</f>
        <v/>
      </c>
      <c r="NW63" s="155">
        <f>IF(OR($NM63=0,$NI63=""),0,IF(COUNTIF(INDEX($EJ$2:$EN$13,$MM63,0),$NI63)=0,1,0))</f>
        <v/>
      </c>
      <c r="NX63" s="155">
        <f>IF(OR($NN63=0,$NJ63=""),0,IF(COUNTIF(INDEX($EJ$2:$EN$13,$MM63,0),$NJ63)=0,1,0))</f>
        <v/>
      </c>
      <c r="NY63" s="155">
        <f>IF(OR($NO63=0,$NK63=""),0,IF(COUNTIF(INDEX($EJ$2:$EN$13,$MM63,0),$NK63)=0,1,0))</f>
        <v/>
      </c>
      <c r="NZ63" s="155">
        <f>IF(OR($NP63=0,$NL63=""),0,IF(COUNTIF(INDEX($EJ$2:$EN$13,$MM63,0),$NL63)=0,1,0))</f>
        <v/>
      </c>
      <c r="OA63" s="155">
        <f>IFERROR(VLOOKUP($MV63,$AV$2:$BA$84,4,FALSE),0)+IFERROR(VLOOKUP($MW63,$AV$2:$BA$84,4,FALSE),0)+IFERROR(VLOOKUP($MX63,$AV$2:$BA$84,4,FALSE),0)+IFERROR(VLOOKUP($MY63,$AV$2:$BA$84,4,FALSE),0)</f>
        <v/>
      </c>
      <c r="OB63" s="155">
        <f>IFERROR(VLOOKUP($MV63,$AV$2:$BA$84,6,FALSE),0)+IFERROR(VLOOKUP($MW63,$AV$2:$BA$84,6,FALSE),0)+IFERROR(VLOOKUP($MX63,$AV$2:$BA$84,6,FALSE),0)+IFERROR(VLOOKUP($MY63,$AV$2:$BA$84,6,FALSE),0)</f>
        <v/>
      </c>
      <c r="OC63" s="155">
        <f>TEXTJOIN(", ",TRUE,IF(IFERROR(VLOOKUP($MV63,$AV$2:$BA$84,5,FALSE),0)=1,$MV63,""),IF(IFERROR(VLOOKUP($MW63,$AV$2:$BA$84,5,FALSE),0)=1,$MW63,""),IF(IFERROR(VLOOKUP($MX63,$AV$2:$BA$84,5,FALSE),0)=1,$MX63,""),IF(IFERROR(VLOOKUP($MY63,$AV$2:$BA$84,5,FALSE),0)=1,$MY63,""))</f>
        <v/>
      </c>
      <c r="OD63" s="155">
        <f>IF($NH63=0,0,INDEX($Y$2:$Y$11,$NH63))</f>
        <v/>
      </c>
      <c r="OE63" s="155">
        <f>IF($NH63=0,0,INDEX($Z$2:$Z$11,$NH63))</f>
        <v/>
      </c>
      <c r="OF63" s="155">
        <f>IF($NH63=0,0,INDEX($AB$2:$AB$11,$NH63))</f>
        <v/>
      </c>
      <c r="OG63" s="155">
        <f>IFERROR(VLOOKUP($MZ63,$BC$2:$BG$24,3,FALSE),0)</f>
        <v/>
      </c>
      <c r="OH63" s="155">
        <f>IFERROR(VLOOKUP($NA63,$BC$2:$BG$24,3,FALSE),0)</f>
        <v/>
      </c>
      <c r="OI63" s="155">
        <f>IFERROR(VLOOKUP($MZ63,$BC$2:$BG$24,2,FALSE),"")</f>
        <v/>
      </c>
      <c r="OJ63" s="155">
        <f>IFERROR(VLOOKUP($NA63,$BC$2:$BG$24,2,FALSE),"")</f>
        <v/>
      </c>
      <c r="OK63" s="155">
        <f>COUNTIF($NQ63:$NU63,1)</f>
        <v/>
      </c>
      <c r="OL63" s="155">
        <f>COUNTIF($NQ63:$NU63,2)</f>
        <v/>
      </c>
      <c r="OM63" s="155">
        <f>COUNTIF($NQ63:$NU63,3)</f>
        <v/>
      </c>
      <c r="ON63" s="155">
        <f>COUNTIF($NQ63:$NU63,4)</f>
        <v/>
      </c>
      <c r="OO63" s="155">
        <f>COUNTIF($NQ63:$NU63,5)</f>
        <v/>
      </c>
      <c r="OP63" s="155">
        <f>COUNTIF($NQ63:$NU63,6)</f>
        <v/>
      </c>
      <c r="OQ63" s="155">
        <f>COUNTIF($OG63:$OH63,1)</f>
        <v/>
      </c>
      <c r="OR63" s="155">
        <f>COUNTIF($OG63:$OH63,2)+$OD63</f>
        <v/>
      </c>
      <c r="OS63" s="155">
        <f>COUNTIF($MV63:$MY63,"?*")</f>
        <v/>
      </c>
      <c r="OT63" s="155">
        <f>COUNTIF($MZ63:$NA63,"?*")+$OD63</f>
        <v/>
      </c>
      <c r="OU63" s="155">
        <f>IF($MQ63=0,0,SUMPRODUCT($OK63:$OP63,INDEX($I$2:$N$8,MAX(1,$MQ63),0)))</f>
        <v/>
      </c>
      <c r="OV63" s="155">
        <f>IF($MQ63=0,0,$OQ63*CEILING($MQ63/2,1)+$OR63*$MQ63)</f>
        <v/>
      </c>
      <c r="OW63" s="155">
        <f>MIN(2*$MQ63,$OV63)</f>
        <v/>
      </c>
      <c r="OX63" s="155">
        <f>MIN($OW63,$OU63)</f>
        <v/>
      </c>
      <c r="OY63" s="155">
        <f>$OW63-$OX63</f>
        <v/>
      </c>
      <c r="OZ63" s="155">
        <f>IF($MQ63=0,0,INDEX($P$2:$P$8,MAX(1,$MQ63)))</f>
        <v/>
      </c>
      <c r="PA63" s="155">
        <f>$OZ63-$OU63+$OX63</f>
        <v/>
      </c>
      <c r="PB63" s="155">
        <f>IF($MQ63=0,MAX(0,$NE63-IF($OS63&gt;0,1,0)),MAX(0,$PA63))</f>
        <v/>
      </c>
      <c r="PC63" s="155">
        <f>IF($MQ63=0,0,(IF(COUNTIF($MV63:$MY63,"Salto")&gt;0,1,0)+IF(COUNTIF($MV63:$MY63,"Queima")&gt;0,1,0)+IF(COUNTIF($MV63:$MY63,"Estilhaço")&gt;0,1,0))*FLOOR($PB63/2,1))</f>
        <v/>
      </c>
      <c r="PD63" s="155">
        <f>MAX(0,2-SUMPRODUCT($OK63:$OP63,$I$2:$N$2)+MIN(2,$OQ63*1+$OR63*1,SUMPRODUCT($OK63:$OP63,$I$2:$N$2)))</f>
        <v/>
      </c>
      <c r="PE63" s="155">
        <f>MAX(0,4-SUMPRODUCT($OK63:$OP63,$I$3:$N$3)+MIN(4,$OQ63*1+$OR63*2,SUMPRODUCT($OK63:$OP63,$I$3:$N$3)))</f>
        <v/>
      </c>
      <c r="PF63" s="155">
        <f>MAX(0,6-SUMPRODUCT($OK63:$OP63,$I$4:$N$4)+MIN(6,$OQ63*2+$OR63*3,SUMPRODUCT($OK63:$OP63,$I$4:$N$4)))</f>
        <v/>
      </c>
      <c r="PG63" s="155">
        <f>MAX(0,9-SUMPRODUCT($OK63:$OP63,$I$5:$N$5)+MIN(8,$OQ63*2+$OR63*4,SUMPRODUCT($OK63:$OP63,$I$5:$N$5)))</f>
        <v/>
      </c>
      <c r="PH63" s="155">
        <f>MAX(0,11-SUMPRODUCT($OK63:$OP63,$I$6:$N$6)+MIN(10,$OQ63*3+$OR63*5,SUMPRODUCT($OK63:$OP63,$I$6:$N$6)))</f>
        <v/>
      </c>
      <c r="PI63" s="155">
        <f>MAX(0,13-SUMPRODUCT($OK63:$OP63,$I$7:$N$7)+MIN(12,$OQ63*3+$OR63*6,SUMPRODUCT($OK63:$OP63,$I$7:$N$7)))</f>
        <v/>
      </c>
      <c r="PJ63" s="155">
        <f>MAX(0,16-SUMPRODUCT($OK63:$OP63,$I$8:$N$8)+MIN(14,$OQ63*4+$OR63*7,SUMPRODUCT($OK63:$OP63,$I$8:$N$8)))</f>
        <v/>
      </c>
      <c r="PK63" s="155">
        <f>IF($OE63=2,3*$PD63&amp;" de vida temp.",IF($OE63=3,"sem dano",IF($PD63=0,IF($OE63=1,"sem cura","sem dano"),IF($OE63=1,"cura ","")&amp;$PD63&amp;"d8")))</f>
        <v/>
      </c>
      <c r="PL63" s="155">
        <f>IF($OE63=2,3*$PE63&amp;" de vida temp.",IF($OE63=3,"sem dano",IF($PE63=0,IF($OE63=1,"sem cura","sem dano"),IF($OE63=1,"cura ","")&amp;$PE63&amp;"d8")))</f>
        <v/>
      </c>
      <c r="PM63" s="155">
        <f>IF($OE63=2,3*$PF63&amp;" de vida temp.",IF($OE63=3,"sem dano",IF($PF63=0,IF($OE63=1,"sem cura","sem dano"),IF($OE63=1,"cura ","")&amp;$PF63&amp;"d8")))</f>
        <v/>
      </c>
      <c r="PN63" s="155">
        <f>IF($OE63=2,3*$PG63&amp;" de vida temp.",IF($OE63=3,"sem dano",IF($PG63=0,IF($OE63=1,"sem cura","sem dano"),IF($OE63=1,"cura ","")&amp;$PG63&amp;"d8")))</f>
        <v/>
      </c>
      <c r="PO63" s="155">
        <f>IF($OE63=2,3*$PH63&amp;" de vida temp.",IF($OE63=3,"sem dano",IF($PH63=0,IF($OE63=1,"sem cura","sem dano"),IF($OE63=1,"cura ","")&amp;$PH63&amp;"d8")))</f>
        <v/>
      </c>
      <c r="PP63" s="155">
        <f>IF($OE63=2,3*$PI63&amp;" de vida temp.",IF($OE63=3,"sem dano",IF($PI63=0,IF($OE63=1,"sem cura","sem dano"),IF($OE63=1,"cura ","")&amp;$PI63&amp;"d8")))</f>
        <v/>
      </c>
      <c r="PQ63" s="155">
        <f>IF($OE63=2,3*$PJ63&amp;" de vida temp.",IF($OE63=3,"sem dano",IF($PJ63=0,IF($OE63=1,"sem cura","sem dano"),IF($OE63=1,"cura ","")&amp;$PJ63&amp;"d8")))</f>
        <v/>
      </c>
      <c r="PR63" s="155">
        <f>IF($NB63=0,"",TEXTJOIN(" · ",TRUE,IF($MO63&gt;$NC63,"Este lugar abre no nível "&amp;$MO63,""),IF($MQ63&gt;$ND63,"Classe "&amp;$MQ63&amp;": o nível "&amp;$NC63&amp;" libera até a "&amp;$ND63,""),IF($NV63=1,"A Forma "&amp;$MS63&amp;" pede "&amp;INDEX($W$2:$W$11,$NH63)&amp;" aberta",""),IF(AND($MQ63=0,$NH63&gt;0,IF($NH63=0,0,INDEX($AF$2:$AF$11,$NH63))=0),$MS63&amp;" não existe na Classe 0",""),IF($NW63=1,"Família Fechada: "&amp;$MV63,""),IF($NX63=1,"Família Fechada: "&amp;$MW63,""),IF($NY63=1,"Família Fechada: "&amp;$MX63,""),IF($NZ63=1,"Família Fechada: "&amp;$MY63,""),IF(AND($MQ63&gt;0,$OS63&gt;INDEX($O$2:$O$8,MAX(1,$MQ63))),$OS63&amp;" Melhorias: a Classe "&amp;$MQ63&amp;" aceita "&amp;INDEX($O$2:$O$8,MAX(1,$MQ63)),""),IF(AND($MQ63=0,$OS63&gt;1),"A básica aceita uma Melhoria",""),IF(AND($MQ63=0,COUNTIF($NM63:$NP63,"&gt;1")&gt;0),"A básica só aceita Melhoria Leve",""),IF(AND($MQ63&gt;0,$OT63&gt;2),$OT63&amp;" Restrições"&amp;IF($OD63=1,", contando a que a Forma "&amp;$MS63&amp;" já traz","")&amp;": o limite é 2",""),IF(AND($MQ63=0,COUNTIF($MZ63:$NA63,"?*")&gt;1),"A básica aceita uma Restrição Leve",""),IF(AND($MQ63=0,COUNTIF($OG63:$OH63,2)&gt;0),"A básica só aceita Restrição Leve",""),IF(AND($MQ63&gt;0,$PA63&lt;0),"Orçamento estourado: faltam "&amp;(-$PA63)&amp;IF($PA63&lt;-1," pontos"," ponto"),""),IF(IFERROR(VLOOKUP($MZ63,$BC$2:$BG$24,4,FALSE),0)+IFERROR(VLOOKUP($NA63,$BC$2:$BG$24,4,FALSE),0)&gt;1,$OI63&amp;" e "&amp;$OJ63&amp;" são as duas de frequência",""),IF(AND((COUNTIF($MV63:$MY63,"Rápido")+COUNTIF($OI63:$OJ63,"Rápido"))&gt;0,(COUNTIF($MV63:$MY63,"Atrasar")+COUNTIF($OI63:$OJ63,"Atrasar"))&gt;0),"Rápido não entra com Atrasar",""),IF(AND((COUNTIF($MV63:$MY63,"Reação")+COUNTIF($OI63:$OJ63,"Reação"))&gt;0,(COUNTIF($MV63:$MY63,"Rápido")+COUNTIF($OI63:$OJ63,"Rápido"))&gt;0),"Reação não entra com Rápido",""),IF(AND((COUNTIF($MV63:$MY63,"Reação")+COUNTIF($OI63:$OJ63,"Reação"))&gt;0,(COUNTIF($MV63:$MY63,"Armado")+COUNTIF($OI63:$OJ63,"Armado"))&gt;0),"Reação não entra com Armado",""),IF(AND((COUNTIF($MV63:$MY63,"Reação")+COUNTIF($OI63:$OJ63,"Reação"))&gt;0,(COUNTIF($MV63:$MY63,"Atrasar")+COUNTIF($OI63:$OJ63,"Atrasar"))&gt;0),"Reação não entra com Atrasar",""),IF(AND((COUNTIF($MV63:$MY63,"Reação")+COUNTIF($OI63:$OJ63,"Reação"))&gt;0,(COUNTIF($MV63:$MY63,"Parado")+COUNTIF($OI63:$OJ63,"Parado"))&gt;0),"Reação não entra com Parado",""),IF(AND((COUNTIF($MV63:$MY63,"Atrasar")+COUNTIF($OI63:$OJ63,"Atrasar"))&gt;0,(COUNTIF($MV63:$MY63,"Parado")+COUNTIF($OI63:$OJ63,"Parado"))&gt;0),"Atrasar não entra com Parado",""),IF(AND((COUNTIF($MV63:$MY63,"Armado")+COUNTIF($OI63:$OJ63,"Armado"))&gt;0,(COUNTIF($MV63:$MY63,"Carregar")+COUNTIF($OI63:$OJ63,"Carregar"))&gt;0),"Armado não entra com Carregar",""),IF(AND(COUNTIF($OI63:$OJ63,"Corpo a Corpo")&gt;0,$OD63=0,OR($MS63="Cone",$MS63="Linha")),"Corpo a Corpo não entra em "&amp;$MS63,""),IF(AND(COUNTIF($OI63:$OJ63,"Corpo a Corpo")&gt;0,$OD63=1),"A Forma "&amp;$MS63&amp;" já traz o Corpo a Corpo",""),IF(AND(COUNTIF($OI63:$OJ63,"Tudo ou Nada")&gt;0,$OF63=0),"Tudo ou Nada só entra em habilidade de Teste de Resistência",""),IF(AND(COUNTIF($MV63:$MY63,"Inescapável")&gt;0,OR($OS63&gt;1,$OT63&gt;0)),"Inescapável não aceita outra peça",""),IF(AND($MQ63&gt;0,$PB63*IF(COUNTIF($MV63:$MY63,"Remate")&gt;0,1.25,1)+$PC63&gt;4*$MQ63),($PB63*IF(COUNTIF($MV63:$MY63,"Remate")&gt;0,1.25,1)+$PC63)&amp;" dados somando repetições"&amp;IF(COUNTIF($MV63:$MY63,"Remate")&gt;0," e o Remate","")&amp;": o teto da Classe "&amp;$MQ63&amp;" é "&amp;4*$MQ63,"")))</f>
        <v/>
      </c>
      <c r="PS63" s="155">
        <f>IF($PR63="",0,(LEN($PR63)-LEN(SUBSTITUTE($PR63," · ","")))/3+1)</f>
        <v/>
      </c>
      <c r="PT63" s="155">
        <f>IF($NB63=0,"",TEXTJOIN(" · ",TRUE,IF($OV63&gt;2*$MQ63,"A devolução parou no teto de "&amp;2*$MQ63,""),IF($OY63&gt;0,"Devolução perdida: "&amp;$OY63&amp;IF($OY63&gt;1," pontos"," ponto")&amp;" sem peça para pagar",""),IF(AND($OA63&gt;0,AND($MQ63&gt;0,$OE63=0),$PB63=0),"Controle sem dano: uma rodada a mais e CD +2",""),IF(AND($OA63&gt;0,AND($MQ63&gt;0,$OE63=0),$PB63&gt;0,$PB63&lt;=$MQ63),"Controle com saldo até a Classe: uma rodada a mais",""),IF(AND($MQ63&gt;0,$OC63&lt;&gt;""),"Efeito de "&amp;$OC63&amp;" pela Classe "&amp;MAX(1,$MQ63-1),"")))</f>
        <v/>
      </c>
      <c r="PU63" s="155">
        <f>IF($PT63="",0,(LEN($PT63)-LEN(SUBSTITUTE($PT63," · ","")))/3+1)</f>
        <v/>
      </c>
      <c r="PV63" s="155">
        <f>IF($NB63=0,IF($OS63+COUNTIF($MZ63:$NA63,"?*")&gt;0,"Dê um nome",""),IF($PS63&gt;0,"⚠ "&amp;$PS63&amp;IF($PS63&gt;1," erros"," erro"),IF($PU63&gt;0,"! "&amp;$PU63&amp;IF($PU63&gt;1," avisos"," aviso"),"Na regra")))</f>
        <v/>
      </c>
      <c r="PW63" s="155">
        <f>IF($NB63=0,"",IF($PS63+$PU63=0,"Dentro das regras que a ficha confere",$PR63&amp;IF(AND($PS63&gt;0,$PU63&gt;0)," · ","")&amp;$PT63))</f>
        <v/>
      </c>
      <c r="PX63" s="155">
        <f>IF($MO63&gt;$NC63,$MP63&amp;" · ABRE NO NÍVEL "&amp;$MO63,$MP63)</f>
        <v/>
      </c>
      <c r="PY63" s="155">
        <f>IF($NB63=0,"",IF($MQ63=0,"Sem PE",3*$MQ63&amp;" PE"))</f>
        <v/>
      </c>
      <c r="PZ63" s="155">
        <f>IF($NB63=0,"",IF($MQ63=0,"A atuação básica dela",IF(COUNTIF($OI63:$OJ63,"Atrasar")&gt;0,"Sua Ação Completa",IF(COUNTIF($MV63:$MY63,"Rápido")&gt;0,"Sua Bônus",IF(COUNTIF($MV63:$MY63,"Reação")&gt;0,"Sua Reação","Sua Padrão")))&amp;" + a básica dela"&amp;IF(COUNTIF($MV63:$MY63,"Reação")&gt;0," e a coletiva","")&amp;IF(COUNTIF($OI63:$OJ63,"Carregar")&gt;0," · em dois turnos","")))</f>
        <v/>
      </c>
      <c r="QA63" s="155">
        <f>IF($MU63&lt;&gt;"",$MU63,IF($NH63=0,"",INDEX($AA$2:$AA$11,$NH63)))</f>
        <v/>
      </c>
      <c r="QB63" s="155">
        <f>IF(OR($NB63=0,$NH63=0),"",IF(COUNTIF($MV63:$MY63,"Inescapável")&gt;0,"Automático",IF($QA63="Ataque",IF($NF63="","Ataque","Ataque "&amp;IF(($NF63+2*IF(COUNTIF($MV63:$MY63,"Precisão")&gt;0,1,0))&gt;=0,"+","−")&amp;ABS(($NF63+2*IF(COUNTIF($MV63:$MY63,"Precisão")&gt;0,1,0))))&amp;IF($OB63&gt;0," · TR"&amp;IF($NG63="",""," CD "&amp;$NG63),""),IF(LEFT($QA63,2)="TR",$QA63&amp;IF($NG63="",""," · CD "&amp;$NG63)&amp;IF(COUNTIF($MV63:$MY63,"Certeiro")&gt;0," · metade",""),"Sem rolagem"))))</f>
        <v/>
      </c>
      <c r="QC63" s="155">
        <f>IF(OR($NB63=0,$NH63=0),"",IF($MQ63=0,IF(OR($OE63&gt;=1,$PB63=0),"Sem dano",$PB63&amp;"d6"&amp;IF($MT63="",""," "&amp;$MT63)),IF(OR($OE63&gt;=1,$PB63=0),UPPER(LEFT(INDEX($PK63:$PQ63,1,MAX(1,$MQ63)),1))&amp;MID(INDEX($PK63:$PQ63,1,MAX(1,$MQ63)),2,99),UPPER(LEFT(INDEX($PK63:$PQ63,1,MAX(1,$MQ63)),1))&amp;MID(INDEX($PK63:$PQ63,1,MAX(1,$MQ63)),2,99)&amp;IF($MT63="",""," "&amp;$MT63)&amp;IF($PC63&gt;0," · +"&amp;$PC63&amp;"d8",""))))</f>
        <v/>
      </c>
      <c r="QD63" s="155">
        <f>COUNTIF($MV63:$MY63,"Longe")+3*COUNTIF($MV63:$MY63,"Muito Longe")</f>
        <v/>
      </c>
      <c r="QE63" s="155">
        <f>COUNTIF($MV63:$MY63,"Maior")+3*COUNTIF($MV63:$MY63,"Muito Maior")</f>
        <v/>
      </c>
      <c r="QF63" s="155">
        <f>IF($NH63=0,0,CHOOSE(1+INDEX($AC$2:$AC$11,$NH63),0,$QD63,$QE63,$QD63+$QE63))</f>
        <v/>
      </c>
      <c r="QG63" s="155">
        <f>IF($NH63=0,0,CHOOSE(1+INDEX($AD$2:$AD$11,$NH63),0,$QD63,$QE63,$QD63+$QE63))</f>
        <v/>
      </c>
      <c r="QH63" s="155">
        <f>IF(OR($NB63=0,$NH63=0),"",INDEX($AI$2:$AN$41,($NH63-1)*4+IF($MQ63=0,1,IF($MQ63&lt;=5,2,IF($MQ63=6,3,4))),1+MIN(5,$QF63))&amp;INDEX($AO$2:$AT$41,($NH63-1)*4+IF($MQ63=0,1,IF($MQ63&lt;=5,2,IF($MQ63=6,3,4))),1+MIN(5,$QG63))&amp;IF(INDEX($AE$2:$AE$11,$NH63)=1,IF(COUNTIF($MV63:$MY63,"Mais Um")&gt;0," · +"&amp;COUNTIF($MV63:$MY63,"Mais Um")&amp;IF(COUNTIF($MV63:$MY63,"Mais Um")&gt;1," alvos"," alvo"),"")&amp;IF(COUNTIF($MV63:$MY63,"Rajada")&gt;0,IF($MQ63=0," · 1 tiro"," · "&amp;(MAX(1,$MQ63-1)+1)&amp;" tiros"),""),""))</f>
        <v/>
      </c>
      <c r="QI63" s="155">
        <f>IF($NB63=0,"",IF($MQ63=0,$NE63&amp;"d6"&amp;IF($OS63&gt;0," − 1 = "&amp;$PB63&amp;"d6"," da básica do nível "&amp;$NC63),$OZ63&amp;" − "&amp;$OU63&amp;" + "&amp;$OX63&amp;" = "&amp;$PA63&amp;" · teto "&amp;4*$MQ63&amp;"d8"&amp;IF($OD63=1," · a Forma devolve "&amp;$MQ63,"")&amp;IF($OY63&gt;0," · perde "&amp;$OY63,"")))</f>
        <v/>
      </c>
      <c r="QJ63" s="155">
        <f>IF($NB63=0,"",IF($MQ63=0,"A básica não amplia: os dados dela sobem com o nível",IF($MQ63&gt;=$ND63,"Já está na maior Classe que o nível liberou",TEXTJOIN(" · ",TRUE,IF(AND(2&gt;$MQ63,2&lt;=$ND63),"2 → "&amp;$PL63&amp;", 6 PE",""),IF(AND(3&gt;$MQ63,3&lt;=$ND63),"3 → "&amp;$PM63&amp;", 9 PE",""),IF(AND(4&gt;$MQ63,4&lt;=$ND63),"4 → "&amp;$PN63&amp;", 12 PE",""),IF(AND(5&gt;$MQ63,5&lt;=$ND63),"5 → "&amp;$PO63&amp;", 15 PE",""),IF(AND(6&gt;$MQ63,6&lt;=$ND63),"6 → "&amp;$PP63&amp;", 18 PE",""),IF(AND(7&gt;$MQ63,7&lt;=$ND63),"7 → "&amp;$PQ63&amp;", 21 PE","")))))</f>
        <v/>
      </c>
      <c r="QK63" s="155">
        <f>IF(OR($NB63=0,$NM63=0),"",IF($MQ63=0,"−1 dado","−"&amp;INDEX($I$2:$N$8,MAX(1,$MQ63),MAX(1,$NR63))&amp;" · "&amp;CHOOSE(MAX(1,$NR63),"Leve","Média","Pesada","Leve · Livre","Média · Livre","Pesada · Livre")))</f>
        <v/>
      </c>
      <c r="QL63" s="155">
        <f>IF(OR($NB63=0,$NN63=0),"",IF($MQ63=0,"−1 dado","−"&amp;INDEX($I$2:$N$8,MAX(1,$MQ63),MAX(1,$NS63))&amp;" · "&amp;CHOOSE(MAX(1,$NS63),"Leve","Média","Pesada","Leve · Livre","Média · Livre","Pesada · Livre")))</f>
        <v/>
      </c>
      <c r="QM63" s="155">
        <f>IF(OR($NB63=0,$NO63=0),"",IF($MQ63=0,"−1 dado","−"&amp;INDEX($I$2:$N$8,MAX(1,$MQ63),MAX(1,$NT63))&amp;" · "&amp;CHOOSE(MAX(1,$NT63),"Leve","Média","Pesada","Leve · Livre","Média · Livre","Pesada · Livre")))</f>
        <v/>
      </c>
      <c r="QN63" s="155">
        <f>IF(OR($NB63=0,$NP63=0),"",IF($MQ63=0,"−1 dado","−"&amp;INDEX($I$2:$N$8,MAX(1,$MQ63),MAX(1,$NU63))&amp;" · "&amp;CHOOSE(MAX(1,$NU63),"Leve","Média","Pesada","Leve · Livre","Média · Livre","Pesada · Livre")))</f>
        <v/>
      </c>
      <c r="QO63" s="155">
        <f>IF(OR($NB63=0,$MZ63=""),"",IF($MQ63=0,"não devolve","+"&amp;IF($OG63=1,CEILING($MQ63/2,1),$MQ63)))</f>
        <v/>
      </c>
      <c r="QP63" s="155">
        <f>IF(OR($NB63=0,$NA63=""),"",IF($MQ63=0,"não devolve","+"&amp;IF($OH63=1,CEILING($MQ63/2,1),$MQ63)))</f>
        <v/>
      </c>
    </row>
    <row r="64">
      <c r="AV64" s="153" t="inlineStr">
        <is>
          <t>Adianta</t>
        </is>
      </c>
      <c r="AW64" s="153" t="inlineStr">
        <is>
          <t>Tempo</t>
        </is>
      </c>
      <c r="AX64" s="155" t="n">
        <v>2</v>
      </c>
      <c r="AY64" s="155" t="n">
        <v>0</v>
      </c>
      <c r="AZ64" s="155" t="n">
        <v>0</v>
      </c>
      <c r="BA64" s="155" t="n">
        <v>0</v>
      </c>
      <c r="JR64" s="155">
        <f>IF(OR($AW64="",COUNTIF($EJ$2:$EN$2,$AW64)&gt;0),$AV64,"")</f>
        <v/>
      </c>
      <c r="JS64" s="155">
        <f>IF(AND($AX64=1,OR($AW64="",COUNTIF($EJ$2:$EN$2,$AW64)&gt;0)),$AV64,"")</f>
        <v/>
      </c>
      <c r="JX64" s="155">
        <f>IF(OR($AW64="",COUNTIF($EJ$3:$EN$3,$AW64)&gt;0),$AV64,"")</f>
        <v/>
      </c>
      <c r="JY64" s="155">
        <f>IF(AND($AX64=1,OR($AW64="",COUNTIF($EJ$3:$EN$3,$AW64)&gt;0)),$AV64,"")</f>
        <v/>
      </c>
      <c r="KD64" s="155">
        <f>IF(OR($AW64="",COUNTIF($EJ$4:$EN$4,$AW64)&gt;0),$AV64,"")</f>
        <v/>
      </c>
      <c r="KE64" s="155">
        <f>IF(AND($AX64=1,OR($AW64="",COUNTIF($EJ$4:$EN$4,$AW64)&gt;0)),$AV64,"")</f>
        <v/>
      </c>
      <c r="KJ64" s="155">
        <f>IF(OR($AW64="",COUNTIF($EJ$5:$EN$5,$AW64)&gt;0),$AV64,"")</f>
        <v/>
      </c>
      <c r="KK64" s="155">
        <f>IF(AND($AX64=1,OR($AW64="",COUNTIF($EJ$5:$EN$5,$AW64)&gt;0)),$AV64,"")</f>
        <v/>
      </c>
      <c r="KP64" s="155">
        <f>IF(OR($AW64="",COUNTIF($EJ$6:$EN$6,$AW64)&gt;0),$AV64,"")</f>
        <v/>
      </c>
      <c r="KQ64" s="155">
        <f>IF(AND($AX64=1,OR($AW64="",COUNTIF($EJ$6:$EN$6,$AW64)&gt;0)),$AV64,"")</f>
        <v/>
      </c>
      <c r="KV64" s="155">
        <f>IF(OR($AW64="",COUNTIF($EJ$7:$EN$7,$AW64)&gt;0),$AV64,"")</f>
        <v/>
      </c>
      <c r="KW64" s="155">
        <f>IF(AND($AX64=1,OR($AW64="",COUNTIF($EJ$7:$EN$7,$AW64)&gt;0)),$AV64,"")</f>
        <v/>
      </c>
      <c r="LB64" s="155">
        <f>IF(OR($AW64="",COUNTIF($EJ$8:$EN$8,$AW64)&gt;0),$AV64,"")</f>
        <v/>
      </c>
      <c r="LC64" s="155">
        <f>IF(AND($AX64=1,OR($AW64="",COUNTIF($EJ$8:$EN$8,$AW64)&gt;0)),$AV64,"")</f>
        <v/>
      </c>
      <c r="LH64" s="155">
        <f>IF(OR($AW64="",COUNTIF($EJ$9:$EN$9,$AW64)&gt;0),$AV64,"")</f>
        <v/>
      </c>
      <c r="LI64" s="155">
        <f>IF(AND($AX64=1,OR($AW64="",COUNTIF($EJ$9:$EN$9,$AW64)&gt;0)),$AV64,"")</f>
        <v/>
      </c>
      <c r="LN64" s="155">
        <f>IF(OR($AW64="",COUNTIF($EJ$10:$EN$10,$AW64)&gt;0),$AV64,"")</f>
        <v/>
      </c>
      <c r="LO64" s="155">
        <f>IF(AND($AX64=1,OR($AW64="",COUNTIF($EJ$10:$EN$10,$AW64)&gt;0)),$AV64,"")</f>
        <v/>
      </c>
      <c r="LT64" s="155">
        <f>IF(OR($AW64="",COUNTIF($EJ$11:$EN$11,$AW64)&gt;0),$AV64,"")</f>
        <v/>
      </c>
      <c r="LU64" s="155">
        <f>IF(AND($AX64=1,OR($AW64="",COUNTIF($EJ$11:$EN$11,$AW64)&gt;0)),$AV64,"")</f>
        <v/>
      </c>
      <c r="LZ64" s="155">
        <f>IF(OR($AW64="",COUNTIF($EJ$12:$EN$12,$AW64)&gt;0),$AV64,"")</f>
        <v/>
      </c>
      <c r="MA64" s="155">
        <f>IF(AND($AX64=1,OR($AW64="",COUNTIF($EJ$12:$EN$12,$AW64)&gt;0)),$AV64,"")</f>
        <v/>
      </c>
      <c r="MF64" s="155">
        <f>IF(OR($AW64="",COUNTIF($EJ$13:$EN$13,$AW64)&gt;0),$AV64,"")</f>
        <v/>
      </c>
      <c r="MG64" s="155">
        <f>IF(AND($AX64=1,OR($AW64="",COUNTIF($EJ$13:$EN$13,$AW64)&gt;0)),$AV64,"")</f>
        <v/>
      </c>
      <c r="ML64" s="153" t="inlineStr">
        <is>
          <t>Ficha 5 · Escolha da trilha 1</t>
        </is>
      </c>
      <c r="MM64" s="155" t="n">
        <v>5</v>
      </c>
      <c r="MN64" s="155" t="n">
        <v>2</v>
      </c>
      <c r="MO64" s="155" t="n">
        <v>0</v>
      </c>
      <c r="MP64" s="153" t="inlineStr">
        <is>
          <t>ESCOLHA DA TRILHA 1</t>
        </is>
      </c>
      <c r="MQ64" s="155">
        <f>MAX(0,MIN(7,N('INVOCAÇÕES'!$I$952)))</f>
        <v/>
      </c>
      <c r="MR64" s="155">
        <f>'INVOCAÇÕES'!$J$952&amp;""</f>
        <v/>
      </c>
      <c r="MS64" s="155">
        <f>'INVOCAÇÕES'!$I$957&amp;""</f>
        <v/>
      </c>
      <c r="MT64" s="155">
        <f>'INVOCAÇÕES'!$I$958&amp;""</f>
        <v/>
      </c>
      <c r="MU64" s="155">
        <f>'INVOCAÇÕES'!$K$958&amp;""</f>
        <v/>
      </c>
      <c r="MV64" s="155">
        <f>'INVOCAÇÕES'!$J$961&amp;""</f>
        <v/>
      </c>
      <c r="MW64" s="155">
        <f>'INVOCAÇÕES'!$J$962&amp;""</f>
        <v/>
      </c>
      <c r="MX64" s="155">
        <f>'INVOCAÇÕES'!$J$963&amp;""</f>
        <v/>
      </c>
      <c r="MY64" s="155">
        <f>'INVOCAÇÕES'!$J$964&amp;""</f>
        <v/>
      </c>
      <c r="MZ64" s="155">
        <f>'INVOCAÇÕES'!$J$965&amp;""</f>
        <v/>
      </c>
      <c r="NA64" s="155">
        <f>'INVOCAÇÕES'!$J$966&amp;""</f>
        <v/>
      </c>
      <c r="NB64" s="155">
        <f>IF($MR64&lt;&gt;"",1,0)</f>
        <v/>
      </c>
      <c r="NC64" s="155">
        <f>INDEX($FM$2:$FM$13,$MM64)</f>
        <v/>
      </c>
      <c r="ND64" s="155">
        <f>INDEX($FN$2:$FN$13,$MM64)</f>
        <v/>
      </c>
      <c r="NE64" s="155">
        <f>INDEX($FO$2:$FO$13,$MM64)</f>
        <v/>
      </c>
      <c r="NF64" s="155">
        <f>INDEX($FZ$2:$FZ$13,$MM64)</f>
        <v/>
      </c>
      <c r="NG64" s="155">
        <f>INDEX($GA$2:$GA$13,$MM64)</f>
        <v/>
      </c>
      <c r="NH64" s="155">
        <f>IFERROR(MATCH($MS64,$V$2:$V$11,0),0)</f>
        <v/>
      </c>
      <c r="NI64" s="155">
        <f>IFERROR(VLOOKUP($MV64,$AV$2:$BA$84,2,FALSE),"")</f>
        <v/>
      </c>
      <c r="NJ64" s="155">
        <f>IFERROR(VLOOKUP($MW64,$AV$2:$BA$84,2,FALSE),"")</f>
        <v/>
      </c>
      <c r="NK64" s="155">
        <f>IFERROR(VLOOKUP($MX64,$AV$2:$BA$84,2,FALSE),"")</f>
        <v/>
      </c>
      <c r="NL64" s="155">
        <f>IFERROR(VLOOKUP($MY64,$AV$2:$BA$84,2,FALSE),"")</f>
        <v/>
      </c>
      <c r="NM64" s="155">
        <f>IFERROR(VLOOKUP($MV64,$AV$2:$BA$84,3,FALSE),0)</f>
        <v/>
      </c>
      <c r="NN64" s="155">
        <f>IFERROR(VLOOKUP($MW64,$AV$2:$BA$84,3,FALSE),0)</f>
        <v/>
      </c>
      <c r="NO64" s="155">
        <f>IFERROR(VLOOKUP($MX64,$AV$2:$BA$84,3,FALSE),0)</f>
        <v/>
      </c>
      <c r="NP64" s="155">
        <f>IFERROR(VLOOKUP($MY64,$AV$2:$BA$84,3,FALSE),0)</f>
        <v/>
      </c>
      <c r="NQ64" s="155">
        <f>IF($MQ64=0,0,IF($NH64=0,0,INDEX($X$2:$X$11,$NH64)))</f>
        <v/>
      </c>
      <c r="NR64" s="155">
        <f>IF(OR($NM64=0,$MQ64=0),0,$NM64+3*IF(AND($NI64&lt;&gt;"",OR($NI64=INDEX($EJ$2:$EJ$13,$MM64),$NI64=INDEX($EK$2:$EK$13,$MM64))),1,0))</f>
        <v/>
      </c>
      <c r="NS64" s="155">
        <f>IF(OR($NN64=0,$MQ64=0),0,$NN64+3*IF(AND($NJ64&lt;&gt;"",OR($NJ64=INDEX($EJ$2:$EJ$13,$MM64),$NJ64=INDEX($EK$2:$EK$13,$MM64))),1,0))</f>
        <v/>
      </c>
      <c r="NT64" s="155">
        <f>IF(OR($NO64=0,$MQ64=0),0,$NO64+3*IF(AND($NK64&lt;&gt;"",OR($NK64=INDEX($EJ$2:$EJ$13,$MM64),$NK64=INDEX($EK$2:$EK$13,$MM64))),1,0))</f>
        <v/>
      </c>
      <c r="NU64" s="155">
        <f>IF(OR($NP64=0,$MQ64=0),0,$NP64+3*IF(AND($NL64&lt;&gt;"",OR($NL64=INDEX($EJ$2:$EJ$13,$MM64),$NL64=INDEX($EK$2:$EK$13,$MM64))),1,0))</f>
        <v/>
      </c>
      <c r="NV64" s="155">
        <f>IF($NH64=0,0,IF(INDEX($W$2:$W$11,$NH64)="",0,IF(COUNTIF(INDEX($EJ$2:$EN$13,$MM64,0),INDEX($W$2:$W$11,$NH64))=0,1,0)))</f>
        <v/>
      </c>
      <c r="NW64" s="155">
        <f>IF(OR($NM64=0,$NI64=""),0,IF(COUNTIF(INDEX($EJ$2:$EN$13,$MM64,0),$NI64)=0,1,0))</f>
        <v/>
      </c>
      <c r="NX64" s="155">
        <f>IF(OR($NN64=0,$NJ64=""),0,IF(COUNTIF(INDEX($EJ$2:$EN$13,$MM64,0),$NJ64)=0,1,0))</f>
        <v/>
      </c>
      <c r="NY64" s="155">
        <f>IF(OR($NO64=0,$NK64=""),0,IF(COUNTIF(INDEX($EJ$2:$EN$13,$MM64,0),$NK64)=0,1,0))</f>
        <v/>
      </c>
      <c r="NZ64" s="155">
        <f>IF(OR($NP64=0,$NL64=""),0,IF(COUNTIF(INDEX($EJ$2:$EN$13,$MM64,0),$NL64)=0,1,0))</f>
        <v/>
      </c>
      <c r="OA64" s="155">
        <f>IFERROR(VLOOKUP($MV64,$AV$2:$BA$84,4,FALSE),0)+IFERROR(VLOOKUP($MW64,$AV$2:$BA$84,4,FALSE),0)+IFERROR(VLOOKUP($MX64,$AV$2:$BA$84,4,FALSE),0)+IFERROR(VLOOKUP($MY64,$AV$2:$BA$84,4,FALSE),0)</f>
        <v/>
      </c>
      <c r="OB64" s="155">
        <f>IFERROR(VLOOKUP($MV64,$AV$2:$BA$84,6,FALSE),0)+IFERROR(VLOOKUP($MW64,$AV$2:$BA$84,6,FALSE),0)+IFERROR(VLOOKUP($MX64,$AV$2:$BA$84,6,FALSE),0)+IFERROR(VLOOKUP($MY64,$AV$2:$BA$84,6,FALSE),0)</f>
        <v/>
      </c>
      <c r="OC64" s="155">
        <f>TEXTJOIN(", ",TRUE,IF(IFERROR(VLOOKUP($MV64,$AV$2:$BA$84,5,FALSE),0)=1,$MV64,""),IF(IFERROR(VLOOKUP($MW64,$AV$2:$BA$84,5,FALSE),0)=1,$MW64,""),IF(IFERROR(VLOOKUP($MX64,$AV$2:$BA$84,5,FALSE),0)=1,$MX64,""),IF(IFERROR(VLOOKUP($MY64,$AV$2:$BA$84,5,FALSE),0)=1,$MY64,""))</f>
        <v/>
      </c>
      <c r="OD64" s="155">
        <f>IF($NH64=0,0,INDEX($Y$2:$Y$11,$NH64))</f>
        <v/>
      </c>
      <c r="OE64" s="155">
        <f>IF($NH64=0,0,INDEX($Z$2:$Z$11,$NH64))</f>
        <v/>
      </c>
      <c r="OF64" s="155">
        <f>IF($NH64=0,0,INDEX($AB$2:$AB$11,$NH64))</f>
        <v/>
      </c>
      <c r="OG64" s="155">
        <f>IFERROR(VLOOKUP($MZ64,$BC$2:$BG$24,3,FALSE),0)</f>
        <v/>
      </c>
      <c r="OH64" s="155">
        <f>IFERROR(VLOOKUP($NA64,$BC$2:$BG$24,3,FALSE),0)</f>
        <v/>
      </c>
      <c r="OI64" s="155">
        <f>IFERROR(VLOOKUP($MZ64,$BC$2:$BG$24,2,FALSE),"")</f>
        <v/>
      </c>
      <c r="OJ64" s="155">
        <f>IFERROR(VLOOKUP($NA64,$BC$2:$BG$24,2,FALSE),"")</f>
        <v/>
      </c>
      <c r="OK64" s="155">
        <f>COUNTIF($NQ64:$NU64,1)</f>
        <v/>
      </c>
      <c r="OL64" s="155">
        <f>COUNTIF($NQ64:$NU64,2)</f>
        <v/>
      </c>
      <c r="OM64" s="155">
        <f>COUNTIF($NQ64:$NU64,3)</f>
        <v/>
      </c>
      <c r="ON64" s="155">
        <f>COUNTIF($NQ64:$NU64,4)</f>
        <v/>
      </c>
      <c r="OO64" s="155">
        <f>COUNTIF($NQ64:$NU64,5)</f>
        <v/>
      </c>
      <c r="OP64" s="155">
        <f>COUNTIF($NQ64:$NU64,6)</f>
        <v/>
      </c>
      <c r="OQ64" s="155">
        <f>COUNTIF($OG64:$OH64,1)</f>
        <v/>
      </c>
      <c r="OR64" s="155">
        <f>COUNTIF($OG64:$OH64,2)+$OD64</f>
        <v/>
      </c>
      <c r="OS64" s="155">
        <f>COUNTIF($MV64:$MY64,"?*")</f>
        <v/>
      </c>
      <c r="OT64" s="155">
        <f>COUNTIF($MZ64:$NA64,"?*")+$OD64</f>
        <v/>
      </c>
      <c r="OU64" s="155">
        <f>IF($MQ64=0,0,SUMPRODUCT($OK64:$OP64,INDEX($I$2:$N$8,MAX(1,$MQ64),0)))</f>
        <v/>
      </c>
      <c r="OV64" s="155">
        <f>IF($MQ64=0,0,$OQ64*CEILING($MQ64/2,1)+$OR64*$MQ64)</f>
        <v/>
      </c>
      <c r="OW64" s="155">
        <f>MIN(2*$MQ64,$OV64)</f>
        <v/>
      </c>
      <c r="OX64" s="155">
        <f>MIN($OW64,$OU64)</f>
        <v/>
      </c>
      <c r="OY64" s="155">
        <f>$OW64-$OX64</f>
        <v/>
      </c>
      <c r="OZ64" s="155">
        <f>IF($MQ64=0,0,INDEX($P$2:$P$8,MAX(1,$MQ64)))</f>
        <v/>
      </c>
      <c r="PA64" s="155">
        <f>$OZ64-$OU64+$OX64</f>
        <v/>
      </c>
      <c r="PB64" s="155">
        <f>IF($MQ64=0,MAX(0,$NE64-IF($OS64&gt;0,1,0)),MAX(0,$PA64))</f>
        <v/>
      </c>
      <c r="PC64" s="155">
        <f>IF($MQ64=0,0,(IF(COUNTIF($MV64:$MY64,"Salto")&gt;0,1,0)+IF(COUNTIF($MV64:$MY64,"Queima")&gt;0,1,0)+IF(COUNTIF($MV64:$MY64,"Estilhaço")&gt;0,1,0))*FLOOR($PB64/2,1))</f>
        <v/>
      </c>
      <c r="PD64" s="155">
        <f>MAX(0,2-SUMPRODUCT($OK64:$OP64,$I$2:$N$2)+MIN(2,$OQ64*1+$OR64*1,SUMPRODUCT($OK64:$OP64,$I$2:$N$2)))</f>
        <v/>
      </c>
      <c r="PE64" s="155">
        <f>MAX(0,4-SUMPRODUCT($OK64:$OP64,$I$3:$N$3)+MIN(4,$OQ64*1+$OR64*2,SUMPRODUCT($OK64:$OP64,$I$3:$N$3)))</f>
        <v/>
      </c>
      <c r="PF64" s="155">
        <f>MAX(0,6-SUMPRODUCT($OK64:$OP64,$I$4:$N$4)+MIN(6,$OQ64*2+$OR64*3,SUMPRODUCT($OK64:$OP64,$I$4:$N$4)))</f>
        <v/>
      </c>
      <c r="PG64" s="155">
        <f>MAX(0,9-SUMPRODUCT($OK64:$OP64,$I$5:$N$5)+MIN(8,$OQ64*2+$OR64*4,SUMPRODUCT($OK64:$OP64,$I$5:$N$5)))</f>
        <v/>
      </c>
      <c r="PH64" s="155">
        <f>MAX(0,11-SUMPRODUCT($OK64:$OP64,$I$6:$N$6)+MIN(10,$OQ64*3+$OR64*5,SUMPRODUCT($OK64:$OP64,$I$6:$N$6)))</f>
        <v/>
      </c>
      <c r="PI64" s="155">
        <f>MAX(0,13-SUMPRODUCT($OK64:$OP64,$I$7:$N$7)+MIN(12,$OQ64*3+$OR64*6,SUMPRODUCT($OK64:$OP64,$I$7:$N$7)))</f>
        <v/>
      </c>
      <c r="PJ64" s="155">
        <f>MAX(0,16-SUMPRODUCT($OK64:$OP64,$I$8:$N$8)+MIN(14,$OQ64*4+$OR64*7,SUMPRODUCT($OK64:$OP64,$I$8:$N$8)))</f>
        <v/>
      </c>
      <c r="PK64" s="155">
        <f>IF($OE64=2,3*$PD64&amp;" de vida temp.",IF($OE64=3,"sem dano",IF($PD64=0,IF($OE64=1,"sem cura","sem dano"),IF($OE64=1,"cura ","")&amp;$PD64&amp;"d8")))</f>
        <v/>
      </c>
      <c r="PL64" s="155">
        <f>IF($OE64=2,3*$PE64&amp;" de vida temp.",IF($OE64=3,"sem dano",IF($PE64=0,IF($OE64=1,"sem cura","sem dano"),IF($OE64=1,"cura ","")&amp;$PE64&amp;"d8")))</f>
        <v/>
      </c>
      <c r="PM64" s="155">
        <f>IF($OE64=2,3*$PF64&amp;" de vida temp.",IF($OE64=3,"sem dano",IF($PF64=0,IF($OE64=1,"sem cura","sem dano"),IF($OE64=1,"cura ","")&amp;$PF64&amp;"d8")))</f>
        <v/>
      </c>
      <c r="PN64" s="155">
        <f>IF($OE64=2,3*$PG64&amp;" de vida temp.",IF($OE64=3,"sem dano",IF($PG64=0,IF($OE64=1,"sem cura","sem dano"),IF($OE64=1,"cura ","")&amp;$PG64&amp;"d8")))</f>
        <v/>
      </c>
      <c r="PO64" s="155">
        <f>IF($OE64=2,3*$PH64&amp;" de vida temp.",IF($OE64=3,"sem dano",IF($PH64=0,IF($OE64=1,"sem cura","sem dano"),IF($OE64=1,"cura ","")&amp;$PH64&amp;"d8")))</f>
        <v/>
      </c>
      <c r="PP64" s="155">
        <f>IF($OE64=2,3*$PI64&amp;" de vida temp.",IF($OE64=3,"sem dano",IF($PI64=0,IF($OE64=1,"sem cura","sem dano"),IF($OE64=1,"cura ","")&amp;$PI64&amp;"d8")))</f>
        <v/>
      </c>
      <c r="PQ64" s="155">
        <f>IF($OE64=2,3*$PJ64&amp;" de vida temp.",IF($OE64=3,"sem dano",IF($PJ64=0,IF($OE64=1,"sem cura","sem dano"),IF($OE64=1,"cura ","")&amp;$PJ64&amp;"d8")))</f>
        <v/>
      </c>
      <c r="PR64" s="155">
        <f>IF($NB64=0,"",TEXTJOIN(" · ",TRUE,IF($MO64&gt;$NC64,"Este lugar abre no nível "&amp;$MO64,""),IF($MQ64&gt;$ND64,"Classe "&amp;$MQ64&amp;": o nível "&amp;$NC64&amp;" libera até a "&amp;$ND64,""),IF($NV64=1,"A Forma "&amp;$MS64&amp;" pede "&amp;INDEX($W$2:$W$11,$NH64)&amp;" aberta",""),IF(AND($MQ64=0,$NH64&gt;0,IF($NH64=0,0,INDEX($AF$2:$AF$11,$NH64))=0),$MS64&amp;" não existe na Classe 0",""),IF($NW64=1,"Família Fechada: "&amp;$MV64,""),IF($NX64=1,"Família Fechada: "&amp;$MW64,""),IF($NY64=1,"Família Fechada: "&amp;$MX64,""),IF($NZ64=1,"Família Fechada: "&amp;$MY64,""),IF(AND($MQ64&gt;0,$OS64&gt;INDEX($O$2:$O$8,MAX(1,$MQ64))),$OS64&amp;" Melhorias: a Classe "&amp;$MQ64&amp;" aceita "&amp;INDEX($O$2:$O$8,MAX(1,$MQ64)),""),IF(AND($MQ64=0,$OS64&gt;1),"A básica aceita uma Melhoria",""),IF(AND($MQ64=0,COUNTIF($NM64:$NP64,"&gt;1")&gt;0),"A básica só aceita Melhoria Leve",""),IF(AND($MQ64&gt;0,$OT64&gt;2),$OT64&amp;" Restrições"&amp;IF($OD64=1,", contando a que a Forma "&amp;$MS64&amp;" já traz","")&amp;": o limite é 2",""),IF(AND($MQ64=0,COUNTIF($MZ64:$NA64,"?*")&gt;1),"A básica aceita uma Restrição Leve",""),IF(AND($MQ64=0,COUNTIF($OG64:$OH64,2)&gt;0),"A básica só aceita Restrição Leve",""),IF(AND($MQ64&gt;0,$PA64&lt;0),"Orçamento estourado: faltam "&amp;(-$PA64)&amp;IF($PA64&lt;-1," pontos"," ponto"),""),IF(IFERROR(VLOOKUP($MZ64,$BC$2:$BG$24,4,FALSE),0)+IFERROR(VLOOKUP($NA64,$BC$2:$BG$24,4,FALSE),0)&gt;1,$OI64&amp;" e "&amp;$OJ64&amp;" são as duas de frequência",""),IF(AND((COUNTIF($MV64:$MY64,"Rápido")+COUNTIF($OI64:$OJ64,"Rápido"))&gt;0,(COUNTIF($MV64:$MY64,"Atrasar")+COUNTIF($OI64:$OJ64,"Atrasar"))&gt;0),"Rápido não entra com Atrasar",""),IF(AND((COUNTIF($MV64:$MY64,"Reação")+COUNTIF($OI64:$OJ64,"Reação"))&gt;0,(COUNTIF($MV64:$MY64,"Rápido")+COUNTIF($OI64:$OJ64,"Rápido"))&gt;0),"Reação não entra com Rápido",""),IF(AND((COUNTIF($MV64:$MY64,"Reação")+COUNTIF($OI64:$OJ64,"Reação"))&gt;0,(COUNTIF($MV64:$MY64,"Armado")+COUNTIF($OI64:$OJ64,"Armado"))&gt;0),"Reação não entra com Armado",""),IF(AND((COUNTIF($MV64:$MY64,"Reação")+COUNTIF($OI64:$OJ64,"Reação"))&gt;0,(COUNTIF($MV64:$MY64,"Atrasar")+COUNTIF($OI64:$OJ64,"Atrasar"))&gt;0),"Reação não entra com Atrasar",""),IF(AND((COUNTIF($MV64:$MY64,"Reação")+COUNTIF($OI64:$OJ64,"Reação"))&gt;0,(COUNTIF($MV64:$MY64,"Parado")+COUNTIF($OI64:$OJ64,"Parado"))&gt;0),"Reação não entra com Parado",""),IF(AND((COUNTIF($MV64:$MY64,"Atrasar")+COUNTIF($OI64:$OJ64,"Atrasar"))&gt;0,(COUNTIF($MV64:$MY64,"Parado")+COUNTIF($OI64:$OJ64,"Parado"))&gt;0),"Atrasar não entra com Parado",""),IF(AND((COUNTIF($MV64:$MY64,"Armado")+COUNTIF($OI64:$OJ64,"Armado"))&gt;0,(COUNTIF($MV64:$MY64,"Carregar")+COUNTIF($OI64:$OJ64,"Carregar"))&gt;0),"Armado não entra com Carregar",""),IF(AND(COUNTIF($OI64:$OJ64,"Corpo a Corpo")&gt;0,$OD64=0,OR($MS64="Cone",$MS64="Linha")),"Corpo a Corpo não entra em "&amp;$MS64,""),IF(AND(COUNTIF($OI64:$OJ64,"Corpo a Corpo")&gt;0,$OD64=1),"A Forma "&amp;$MS64&amp;" já traz o Corpo a Corpo",""),IF(AND(COUNTIF($OI64:$OJ64,"Tudo ou Nada")&gt;0,$OF64=0),"Tudo ou Nada só entra em habilidade de Teste de Resistência",""),IF(AND(COUNTIF($MV64:$MY64,"Inescapável")&gt;0,OR($OS64&gt;1,$OT64&gt;0)),"Inescapável não aceita outra peça",""),IF(AND($MQ64&gt;0,$PB64*IF(COUNTIF($MV64:$MY64,"Remate")&gt;0,1.25,1)+$PC64&gt;4*$MQ64),($PB64*IF(COUNTIF($MV64:$MY64,"Remate")&gt;0,1.25,1)+$PC64)&amp;" dados somando repetições"&amp;IF(COUNTIF($MV64:$MY64,"Remate")&gt;0," e o Remate","")&amp;": o teto da Classe "&amp;$MQ64&amp;" é "&amp;4*$MQ64,"")))</f>
        <v/>
      </c>
      <c r="PS64" s="155">
        <f>IF($PR64="",0,(LEN($PR64)-LEN(SUBSTITUTE($PR64," · ","")))/3+1)</f>
        <v/>
      </c>
      <c r="PT64" s="155">
        <f>IF($NB64=0,"",TEXTJOIN(" · ",TRUE,IF($OV64&gt;2*$MQ64,"A devolução parou no teto de "&amp;2*$MQ64,""),IF($OY64&gt;0,"Devolução perdida: "&amp;$OY64&amp;IF($OY64&gt;1," pontos"," ponto")&amp;" sem peça para pagar",""),IF(AND($OA64&gt;0,AND($MQ64&gt;0,$OE64=0),$PB64=0),"Controle sem dano: uma rodada a mais e CD +2",""),IF(AND($OA64&gt;0,AND($MQ64&gt;0,$OE64=0),$PB64&gt;0,$PB64&lt;=$MQ64),"Controle com saldo até a Classe: uma rodada a mais",""),IF(AND($MQ64&gt;0,$OC64&lt;&gt;""),"Efeito de "&amp;$OC64&amp;" pela Classe "&amp;MAX(1,$MQ64-1),"")))</f>
        <v/>
      </c>
      <c r="PU64" s="155">
        <f>IF($PT64="",0,(LEN($PT64)-LEN(SUBSTITUTE($PT64," · ","")))/3+1)</f>
        <v/>
      </c>
      <c r="PV64" s="155">
        <f>IF($NB64=0,IF($OS64+COUNTIF($MZ64:$NA64,"?*")&gt;0,"Dê um nome",""),IF($PS64&gt;0,"⚠ "&amp;$PS64&amp;IF($PS64&gt;1," erros"," erro"),IF($PU64&gt;0,"! "&amp;$PU64&amp;IF($PU64&gt;1," avisos"," aviso"),"Na regra")))</f>
        <v/>
      </c>
      <c r="PW64" s="155">
        <f>IF($NB64=0,"",IF($PS64+$PU64=0,"Dentro das regras que a ficha confere",$PR64&amp;IF(AND($PS64&gt;0,$PU64&gt;0)," · ","")&amp;$PT64))</f>
        <v/>
      </c>
      <c r="PX64" s="155">
        <f>IF($MO64&gt;$NC64,$MP64&amp;" · ABRE NO NÍVEL "&amp;$MO64,$MP64)</f>
        <v/>
      </c>
      <c r="PY64" s="155">
        <f>IF($NB64=0,"",IF($MQ64=0,"Sem PE",3*$MQ64&amp;" PE"))</f>
        <v/>
      </c>
      <c r="PZ64" s="155">
        <f>IF($NB64=0,"",IF($MQ64=0,"A atuação básica dela",IF(COUNTIF($OI64:$OJ64,"Atrasar")&gt;0,"Sua Ação Completa",IF(COUNTIF($MV64:$MY64,"Rápido")&gt;0,"Sua Bônus",IF(COUNTIF($MV64:$MY64,"Reação")&gt;0,"Sua Reação","Sua Padrão")))&amp;" + a básica dela"&amp;IF(COUNTIF($MV64:$MY64,"Reação")&gt;0," e a coletiva","")&amp;IF(COUNTIF($OI64:$OJ64,"Carregar")&gt;0," · em dois turnos","")))</f>
        <v/>
      </c>
      <c r="QA64" s="155">
        <f>IF($MU64&lt;&gt;"",$MU64,IF($NH64=0,"",INDEX($AA$2:$AA$11,$NH64)))</f>
        <v/>
      </c>
      <c r="QB64" s="155">
        <f>IF(OR($NB64=0,$NH64=0),"",IF(COUNTIF($MV64:$MY64,"Inescapável")&gt;0,"Automático",IF($QA64="Ataque",IF($NF64="","Ataque","Ataque "&amp;IF(($NF64+2*IF(COUNTIF($MV64:$MY64,"Precisão")&gt;0,1,0))&gt;=0,"+","−")&amp;ABS(($NF64+2*IF(COUNTIF($MV64:$MY64,"Precisão")&gt;0,1,0))))&amp;IF($OB64&gt;0," · TR"&amp;IF($NG64="",""," CD "&amp;$NG64),""),IF(LEFT($QA64,2)="TR",$QA64&amp;IF($NG64="",""," · CD "&amp;$NG64)&amp;IF(COUNTIF($MV64:$MY64,"Certeiro")&gt;0," · metade",""),"Sem rolagem"))))</f>
        <v/>
      </c>
      <c r="QC64" s="155">
        <f>IF(OR($NB64=0,$NH64=0),"",IF($MQ64=0,IF(OR($OE64&gt;=1,$PB64=0),"Sem dano",$PB64&amp;"d6"&amp;IF($MT64="",""," "&amp;$MT64)),IF(OR($OE64&gt;=1,$PB64=0),UPPER(LEFT(INDEX($PK64:$PQ64,1,MAX(1,$MQ64)),1))&amp;MID(INDEX($PK64:$PQ64,1,MAX(1,$MQ64)),2,99),UPPER(LEFT(INDEX($PK64:$PQ64,1,MAX(1,$MQ64)),1))&amp;MID(INDEX($PK64:$PQ64,1,MAX(1,$MQ64)),2,99)&amp;IF($MT64="",""," "&amp;$MT64)&amp;IF($PC64&gt;0," · +"&amp;$PC64&amp;"d8",""))))</f>
        <v/>
      </c>
      <c r="QD64" s="155">
        <f>COUNTIF($MV64:$MY64,"Longe")+3*COUNTIF($MV64:$MY64,"Muito Longe")</f>
        <v/>
      </c>
      <c r="QE64" s="155">
        <f>COUNTIF($MV64:$MY64,"Maior")+3*COUNTIF($MV64:$MY64,"Muito Maior")</f>
        <v/>
      </c>
      <c r="QF64" s="155">
        <f>IF($NH64=0,0,CHOOSE(1+INDEX($AC$2:$AC$11,$NH64),0,$QD64,$QE64,$QD64+$QE64))</f>
        <v/>
      </c>
      <c r="QG64" s="155">
        <f>IF($NH64=0,0,CHOOSE(1+INDEX($AD$2:$AD$11,$NH64),0,$QD64,$QE64,$QD64+$QE64))</f>
        <v/>
      </c>
      <c r="QH64" s="155">
        <f>IF(OR($NB64=0,$NH64=0),"",INDEX($AI$2:$AN$41,($NH64-1)*4+IF($MQ64=0,1,IF($MQ64&lt;=5,2,IF($MQ64=6,3,4))),1+MIN(5,$QF64))&amp;INDEX($AO$2:$AT$41,($NH64-1)*4+IF($MQ64=0,1,IF($MQ64&lt;=5,2,IF($MQ64=6,3,4))),1+MIN(5,$QG64))&amp;IF(INDEX($AE$2:$AE$11,$NH64)=1,IF(COUNTIF($MV64:$MY64,"Mais Um")&gt;0," · +"&amp;COUNTIF($MV64:$MY64,"Mais Um")&amp;IF(COUNTIF($MV64:$MY64,"Mais Um")&gt;1," alvos"," alvo"),"")&amp;IF(COUNTIF($MV64:$MY64,"Rajada")&gt;0,IF($MQ64=0," · 1 tiro"," · "&amp;(MAX(1,$MQ64-1)+1)&amp;" tiros"),""),""))</f>
        <v/>
      </c>
      <c r="QI64" s="155">
        <f>IF($NB64=0,"",IF($MQ64=0,$NE64&amp;"d6"&amp;IF($OS64&gt;0," − 1 = "&amp;$PB64&amp;"d6"," da básica do nível "&amp;$NC64),$OZ64&amp;" − "&amp;$OU64&amp;" + "&amp;$OX64&amp;" = "&amp;$PA64&amp;" · teto "&amp;4*$MQ64&amp;"d8"&amp;IF($OD64=1," · a Forma devolve "&amp;$MQ64,"")&amp;IF($OY64&gt;0," · perde "&amp;$OY64,"")))</f>
        <v/>
      </c>
      <c r="QJ64" s="155">
        <f>IF($NB64=0,"",IF($MQ64=0,"A básica não amplia: os dados dela sobem com o nível",IF($MQ64&gt;=$ND64,"Já está na maior Classe que o nível liberou",TEXTJOIN(" · ",TRUE,IF(AND(2&gt;$MQ64,2&lt;=$ND64),"2 → "&amp;$PL64&amp;", 6 PE",""),IF(AND(3&gt;$MQ64,3&lt;=$ND64),"3 → "&amp;$PM64&amp;", 9 PE",""),IF(AND(4&gt;$MQ64,4&lt;=$ND64),"4 → "&amp;$PN64&amp;", 12 PE",""),IF(AND(5&gt;$MQ64,5&lt;=$ND64),"5 → "&amp;$PO64&amp;", 15 PE",""),IF(AND(6&gt;$MQ64,6&lt;=$ND64),"6 → "&amp;$PP64&amp;", 18 PE",""),IF(AND(7&gt;$MQ64,7&lt;=$ND64),"7 → "&amp;$PQ64&amp;", 21 PE","")))))</f>
        <v/>
      </c>
      <c r="QK64" s="155">
        <f>IF(OR($NB64=0,$NM64=0),"",IF($MQ64=0,"−1 dado","−"&amp;INDEX($I$2:$N$8,MAX(1,$MQ64),MAX(1,$NR64))&amp;" · "&amp;CHOOSE(MAX(1,$NR64),"Leve","Média","Pesada","Leve · Livre","Média · Livre","Pesada · Livre")))</f>
        <v/>
      </c>
      <c r="QL64" s="155">
        <f>IF(OR($NB64=0,$NN64=0),"",IF($MQ64=0,"−1 dado","−"&amp;INDEX($I$2:$N$8,MAX(1,$MQ64),MAX(1,$NS64))&amp;" · "&amp;CHOOSE(MAX(1,$NS64),"Leve","Média","Pesada","Leve · Livre","Média · Livre","Pesada · Livre")))</f>
        <v/>
      </c>
      <c r="QM64" s="155">
        <f>IF(OR($NB64=0,$NO64=0),"",IF($MQ64=0,"−1 dado","−"&amp;INDEX($I$2:$N$8,MAX(1,$MQ64),MAX(1,$NT64))&amp;" · "&amp;CHOOSE(MAX(1,$NT64),"Leve","Média","Pesada","Leve · Livre","Média · Livre","Pesada · Livre")))</f>
        <v/>
      </c>
      <c r="QN64" s="155">
        <f>IF(OR($NB64=0,$NP64=0),"",IF($MQ64=0,"−1 dado","−"&amp;INDEX($I$2:$N$8,MAX(1,$MQ64),MAX(1,$NU64))&amp;" · "&amp;CHOOSE(MAX(1,$NU64),"Leve","Média","Pesada","Leve · Livre","Média · Livre","Pesada · Livre")))</f>
        <v/>
      </c>
      <c r="QO64" s="155">
        <f>IF(OR($NB64=0,$MZ64=""),"",IF($MQ64=0,"não devolve","+"&amp;IF($OG64=1,CEILING($MQ64/2,1),$MQ64)))</f>
        <v/>
      </c>
      <c r="QP64" s="155">
        <f>IF(OR($NB64=0,$NA64=""),"",IF($MQ64=0,"não devolve","+"&amp;IF($OH64=1,CEILING($MQ64/2,1),$MQ64)))</f>
        <v/>
      </c>
    </row>
    <row r="65">
      <c r="AV65" s="153" t="inlineStr">
        <is>
          <t>Segura</t>
        </is>
      </c>
      <c r="AW65" s="153" t="inlineStr">
        <is>
          <t>Tempo</t>
        </is>
      </c>
      <c r="AX65" s="155" t="n">
        <v>1</v>
      </c>
      <c r="AY65" s="155" t="n">
        <v>0</v>
      </c>
      <c r="AZ65" s="155" t="n">
        <v>0</v>
      </c>
      <c r="BA65" s="155" t="n">
        <v>0</v>
      </c>
      <c r="JR65" s="155">
        <f>IF(OR($AW65="",COUNTIF($EJ$2:$EN$2,$AW65)&gt;0),$AV65,"")</f>
        <v/>
      </c>
      <c r="JS65" s="155">
        <f>IF(AND($AX65=1,OR($AW65="",COUNTIF($EJ$2:$EN$2,$AW65)&gt;0)),$AV65,"")</f>
        <v/>
      </c>
      <c r="JX65" s="155">
        <f>IF(OR($AW65="",COUNTIF($EJ$3:$EN$3,$AW65)&gt;0),$AV65,"")</f>
        <v/>
      </c>
      <c r="JY65" s="155">
        <f>IF(AND($AX65=1,OR($AW65="",COUNTIF($EJ$3:$EN$3,$AW65)&gt;0)),$AV65,"")</f>
        <v/>
      </c>
      <c r="KD65" s="155">
        <f>IF(OR($AW65="",COUNTIF($EJ$4:$EN$4,$AW65)&gt;0),$AV65,"")</f>
        <v/>
      </c>
      <c r="KE65" s="155">
        <f>IF(AND($AX65=1,OR($AW65="",COUNTIF($EJ$4:$EN$4,$AW65)&gt;0)),$AV65,"")</f>
        <v/>
      </c>
      <c r="KJ65" s="155">
        <f>IF(OR($AW65="",COUNTIF($EJ$5:$EN$5,$AW65)&gt;0),$AV65,"")</f>
        <v/>
      </c>
      <c r="KK65" s="155">
        <f>IF(AND($AX65=1,OR($AW65="",COUNTIF($EJ$5:$EN$5,$AW65)&gt;0)),$AV65,"")</f>
        <v/>
      </c>
      <c r="KP65" s="155">
        <f>IF(OR($AW65="",COUNTIF($EJ$6:$EN$6,$AW65)&gt;0),$AV65,"")</f>
        <v/>
      </c>
      <c r="KQ65" s="155">
        <f>IF(AND($AX65=1,OR($AW65="",COUNTIF($EJ$6:$EN$6,$AW65)&gt;0)),$AV65,"")</f>
        <v/>
      </c>
      <c r="KV65" s="155">
        <f>IF(OR($AW65="",COUNTIF($EJ$7:$EN$7,$AW65)&gt;0),$AV65,"")</f>
        <v/>
      </c>
      <c r="KW65" s="155">
        <f>IF(AND($AX65=1,OR($AW65="",COUNTIF($EJ$7:$EN$7,$AW65)&gt;0)),$AV65,"")</f>
        <v/>
      </c>
      <c r="LB65" s="155">
        <f>IF(OR($AW65="",COUNTIF($EJ$8:$EN$8,$AW65)&gt;0),$AV65,"")</f>
        <v/>
      </c>
      <c r="LC65" s="155">
        <f>IF(AND($AX65=1,OR($AW65="",COUNTIF($EJ$8:$EN$8,$AW65)&gt;0)),$AV65,"")</f>
        <v/>
      </c>
      <c r="LH65" s="155">
        <f>IF(OR($AW65="",COUNTIF($EJ$9:$EN$9,$AW65)&gt;0),$AV65,"")</f>
        <v/>
      </c>
      <c r="LI65" s="155">
        <f>IF(AND($AX65=1,OR($AW65="",COUNTIF($EJ$9:$EN$9,$AW65)&gt;0)),$AV65,"")</f>
        <v/>
      </c>
      <c r="LN65" s="155">
        <f>IF(OR($AW65="",COUNTIF($EJ$10:$EN$10,$AW65)&gt;0),$AV65,"")</f>
        <v/>
      </c>
      <c r="LO65" s="155">
        <f>IF(AND($AX65=1,OR($AW65="",COUNTIF($EJ$10:$EN$10,$AW65)&gt;0)),$AV65,"")</f>
        <v/>
      </c>
      <c r="LT65" s="155">
        <f>IF(OR($AW65="",COUNTIF($EJ$11:$EN$11,$AW65)&gt;0),$AV65,"")</f>
        <v/>
      </c>
      <c r="LU65" s="155">
        <f>IF(AND($AX65=1,OR($AW65="",COUNTIF($EJ$11:$EN$11,$AW65)&gt;0)),$AV65,"")</f>
        <v/>
      </c>
      <c r="LZ65" s="155">
        <f>IF(OR($AW65="",COUNTIF($EJ$12:$EN$12,$AW65)&gt;0),$AV65,"")</f>
        <v/>
      </c>
      <c r="MA65" s="155">
        <f>IF(AND($AX65=1,OR($AW65="",COUNTIF($EJ$12:$EN$12,$AW65)&gt;0)),$AV65,"")</f>
        <v/>
      </c>
      <c r="MF65" s="155">
        <f>IF(OR($AW65="",COUNTIF($EJ$13:$EN$13,$AW65)&gt;0),$AV65,"")</f>
        <v/>
      </c>
      <c r="MG65" s="155">
        <f>IF(AND($AX65=1,OR($AW65="",COUNTIF($EJ$13:$EN$13,$AW65)&gt;0)),$AV65,"")</f>
        <v/>
      </c>
      <c r="ML65" s="153" t="inlineStr">
        <is>
          <t>Ficha 5 · Escolha da trilha 2</t>
        </is>
      </c>
      <c r="MM65" s="155" t="n">
        <v>5</v>
      </c>
      <c r="MN65" s="155" t="n">
        <v>2</v>
      </c>
      <c r="MO65" s="155" t="n">
        <v>0</v>
      </c>
      <c r="MP65" s="153" t="inlineStr">
        <is>
          <t>ESCOLHA DA TRILHA 2</t>
        </is>
      </c>
      <c r="MQ65" s="155">
        <f>MAX(0,MIN(7,N('INVOCAÇÕES'!$O$952)))</f>
        <v/>
      </c>
      <c r="MR65" s="155">
        <f>'INVOCAÇÕES'!$P$952&amp;""</f>
        <v/>
      </c>
      <c r="MS65" s="155">
        <f>'INVOCAÇÕES'!$O$957&amp;""</f>
        <v/>
      </c>
      <c r="MT65" s="155">
        <f>'INVOCAÇÕES'!$O$958&amp;""</f>
        <v/>
      </c>
      <c r="MU65" s="155">
        <f>'INVOCAÇÕES'!$Q$958&amp;""</f>
        <v/>
      </c>
      <c r="MV65" s="155">
        <f>'INVOCAÇÕES'!$P$961&amp;""</f>
        <v/>
      </c>
      <c r="MW65" s="155">
        <f>'INVOCAÇÕES'!$P$962&amp;""</f>
        <v/>
      </c>
      <c r="MX65" s="155">
        <f>'INVOCAÇÕES'!$P$963&amp;""</f>
        <v/>
      </c>
      <c r="MY65" s="155">
        <f>'INVOCAÇÕES'!$P$964&amp;""</f>
        <v/>
      </c>
      <c r="MZ65" s="155">
        <f>'INVOCAÇÕES'!$P$965&amp;""</f>
        <v/>
      </c>
      <c r="NA65" s="155">
        <f>'INVOCAÇÕES'!$P$966&amp;""</f>
        <v/>
      </c>
      <c r="NB65" s="155">
        <f>IF($MR65&lt;&gt;"",1,0)</f>
        <v/>
      </c>
      <c r="NC65" s="155">
        <f>INDEX($FM$2:$FM$13,$MM65)</f>
        <v/>
      </c>
      <c r="ND65" s="155">
        <f>INDEX($FN$2:$FN$13,$MM65)</f>
        <v/>
      </c>
      <c r="NE65" s="155">
        <f>INDEX($FO$2:$FO$13,$MM65)</f>
        <v/>
      </c>
      <c r="NF65" s="155">
        <f>INDEX($FZ$2:$FZ$13,$MM65)</f>
        <v/>
      </c>
      <c r="NG65" s="155">
        <f>INDEX($GA$2:$GA$13,$MM65)</f>
        <v/>
      </c>
      <c r="NH65" s="155">
        <f>IFERROR(MATCH($MS65,$V$2:$V$11,0),0)</f>
        <v/>
      </c>
      <c r="NI65" s="155">
        <f>IFERROR(VLOOKUP($MV65,$AV$2:$BA$84,2,FALSE),"")</f>
        <v/>
      </c>
      <c r="NJ65" s="155">
        <f>IFERROR(VLOOKUP($MW65,$AV$2:$BA$84,2,FALSE),"")</f>
        <v/>
      </c>
      <c r="NK65" s="155">
        <f>IFERROR(VLOOKUP($MX65,$AV$2:$BA$84,2,FALSE),"")</f>
        <v/>
      </c>
      <c r="NL65" s="155">
        <f>IFERROR(VLOOKUP($MY65,$AV$2:$BA$84,2,FALSE),"")</f>
        <v/>
      </c>
      <c r="NM65" s="155">
        <f>IFERROR(VLOOKUP($MV65,$AV$2:$BA$84,3,FALSE),0)</f>
        <v/>
      </c>
      <c r="NN65" s="155">
        <f>IFERROR(VLOOKUP($MW65,$AV$2:$BA$84,3,FALSE),0)</f>
        <v/>
      </c>
      <c r="NO65" s="155">
        <f>IFERROR(VLOOKUP($MX65,$AV$2:$BA$84,3,FALSE),0)</f>
        <v/>
      </c>
      <c r="NP65" s="155">
        <f>IFERROR(VLOOKUP($MY65,$AV$2:$BA$84,3,FALSE),0)</f>
        <v/>
      </c>
      <c r="NQ65" s="155">
        <f>IF($MQ65=0,0,IF($NH65=0,0,INDEX($X$2:$X$11,$NH65)))</f>
        <v/>
      </c>
      <c r="NR65" s="155">
        <f>IF(OR($NM65=0,$MQ65=0),0,$NM65+3*IF(AND($NI65&lt;&gt;"",OR($NI65=INDEX($EJ$2:$EJ$13,$MM65),$NI65=INDEX($EK$2:$EK$13,$MM65))),1,0))</f>
        <v/>
      </c>
      <c r="NS65" s="155">
        <f>IF(OR($NN65=0,$MQ65=0),0,$NN65+3*IF(AND($NJ65&lt;&gt;"",OR($NJ65=INDEX($EJ$2:$EJ$13,$MM65),$NJ65=INDEX($EK$2:$EK$13,$MM65))),1,0))</f>
        <v/>
      </c>
      <c r="NT65" s="155">
        <f>IF(OR($NO65=0,$MQ65=0),0,$NO65+3*IF(AND($NK65&lt;&gt;"",OR($NK65=INDEX($EJ$2:$EJ$13,$MM65),$NK65=INDEX($EK$2:$EK$13,$MM65))),1,0))</f>
        <v/>
      </c>
      <c r="NU65" s="155">
        <f>IF(OR($NP65=0,$MQ65=0),0,$NP65+3*IF(AND($NL65&lt;&gt;"",OR($NL65=INDEX($EJ$2:$EJ$13,$MM65),$NL65=INDEX($EK$2:$EK$13,$MM65))),1,0))</f>
        <v/>
      </c>
      <c r="NV65" s="155">
        <f>IF($NH65=0,0,IF(INDEX($W$2:$W$11,$NH65)="",0,IF(COUNTIF(INDEX($EJ$2:$EN$13,$MM65,0),INDEX($W$2:$W$11,$NH65))=0,1,0)))</f>
        <v/>
      </c>
      <c r="NW65" s="155">
        <f>IF(OR($NM65=0,$NI65=""),0,IF(COUNTIF(INDEX($EJ$2:$EN$13,$MM65,0),$NI65)=0,1,0))</f>
        <v/>
      </c>
      <c r="NX65" s="155">
        <f>IF(OR($NN65=0,$NJ65=""),0,IF(COUNTIF(INDEX($EJ$2:$EN$13,$MM65,0),$NJ65)=0,1,0))</f>
        <v/>
      </c>
      <c r="NY65" s="155">
        <f>IF(OR($NO65=0,$NK65=""),0,IF(COUNTIF(INDEX($EJ$2:$EN$13,$MM65,0),$NK65)=0,1,0))</f>
        <v/>
      </c>
      <c r="NZ65" s="155">
        <f>IF(OR($NP65=0,$NL65=""),0,IF(COUNTIF(INDEX($EJ$2:$EN$13,$MM65,0),$NL65)=0,1,0))</f>
        <v/>
      </c>
      <c r="OA65" s="155">
        <f>IFERROR(VLOOKUP($MV65,$AV$2:$BA$84,4,FALSE),0)+IFERROR(VLOOKUP($MW65,$AV$2:$BA$84,4,FALSE),0)+IFERROR(VLOOKUP($MX65,$AV$2:$BA$84,4,FALSE),0)+IFERROR(VLOOKUP($MY65,$AV$2:$BA$84,4,FALSE),0)</f>
        <v/>
      </c>
      <c r="OB65" s="155">
        <f>IFERROR(VLOOKUP($MV65,$AV$2:$BA$84,6,FALSE),0)+IFERROR(VLOOKUP($MW65,$AV$2:$BA$84,6,FALSE),0)+IFERROR(VLOOKUP($MX65,$AV$2:$BA$84,6,FALSE),0)+IFERROR(VLOOKUP($MY65,$AV$2:$BA$84,6,FALSE),0)</f>
        <v/>
      </c>
      <c r="OC65" s="155">
        <f>TEXTJOIN(", ",TRUE,IF(IFERROR(VLOOKUP($MV65,$AV$2:$BA$84,5,FALSE),0)=1,$MV65,""),IF(IFERROR(VLOOKUP($MW65,$AV$2:$BA$84,5,FALSE),0)=1,$MW65,""),IF(IFERROR(VLOOKUP($MX65,$AV$2:$BA$84,5,FALSE),0)=1,$MX65,""),IF(IFERROR(VLOOKUP($MY65,$AV$2:$BA$84,5,FALSE),0)=1,$MY65,""))</f>
        <v/>
      </c>
      <c r="OD65" s="155">
        <f>IF($NH65=0,0,INDEX($Y$2:$Y$11,$NH65))</f>
        <v/>
      </c>
      <c r="OE65" s="155">
        <f>IF($NH65=0,0,INDEX($Z$2:$Z$11,$NH65))</f>
        <v/>
      </c>
      <c r="OF65" s="155">
        <f>IF($NH65=0,0,INDEX($AB$2:$AB$11,$NH65))</f>
        <v/>
      </c>
      <c r="OG65" s="155">
        <f>IFERROR(VLOOKUP($MZ65,$BC$2:$BG$24,3,FALSE),0)</f>
        <v/>
      </c>
      <c r="OH65" s="155">
        <f>IFERROR(VLOOKUP($NA65,$BC$2:$BG$24,3,FALSE),0)</f>
        <v/>
      </c>
      <c r="OI65" s="155">
        <f>IFERROR(VLOOKUP($MZ65,$BC$2:$BG$24,2,FALSE),"")</f>
        <v/>
      </c>
      <c r="OJ65" s="155">
        <f>IFERROR(VLOOKUP($NA65,$BC$2:$BG$24,2,FALSE),"")</f>
        <v/>
      </c>
      <c r="OK65" s="155">
        <f>COUNTIF($NQ65:$NU65,1)</f>
        <v/>
      </c>
      <c r="OL65" s="155">
        <f>COUNTIF($NQ65:$NU65,2)</f>
        <v/>
      </c>
      <c r="OM65" s="155">
        <f>COUNTIF($NQ65:$NU65,3)</f>
        <v/>
      </c>
      <c r="ON65" s="155">
        <f>COUNTIF($NQ65:$NU65,4)</f>
        <v/>
      </c>
      <c r="OO65" s="155">
        <f>COUNTIF($NQ65:$NU65,5)</f>
        <v/>
      </c>
      <c r="OP65" s="155">
        <f>COUNTIF($NQ65:$NU65,6)</f>
        <v/>
      </c>
      <c r="OQ65" s="155">
        <f>COUNTIF($OG65:$OH65,1)</f>
        <v/>
      </c>
      <c r="OR65" s="155">
        <f>COUNTIF($OG65:$OH65,2)+$OD65</f>
        <v/>
      </c>
      <c r="OS65" s="155">
        <f>COUNTIF($MV65:$MY65,"?*")</f>
        <v/>
      </c>
      <c r="OT65" s="155">
        <f>COUNTIF($MZ65:$NA65,"?*")+$OD65</f>
        <v/>
      </c>
      <c r="OU65" s="155">
        <f>IF($MQ65=0,0,SUMPRODUCT($OK65:$OP65,INDEX($I$2:$N$8,MAX(1,$MQ65),0)))</f>
        <v/>
      </c>
      <c r="OV65" s="155">
        <f>IF($MQ65=0,0,$OQ65*CEILING($MQ65/2,1)+$OR65*$MQ65)</f>
        <v/>
      </c>
      <c r="OW65" s="155">
        <f>MIN(2*$MQ65,$OV65)</f>
        <v/>
      </c>
      <c r="OX65" s="155">
        <f>MIN($OW65,$OU65)</f>
        <v/>
      </c>
      <c r="OY65" s="155">
        <f>$OW65-$OX65</f>
        <v/>
      </c>
      <c r="OZ65" s="155">
        <f>IF($MQ65=0,0,INDEX($P$2:$P$8,MAX(1,$MQ65)))</f>
        <v/>
      </c>
      <c r="PA65" s="155">
        <f>$OZ65-$OU65+$OX65</f>
        <v/>
      </c>
      <c r="PB65" s="155">
        <f>IF($MQ65=0,MAX(0,$NE65-IF($OS65&gt;0,1,0)),MAX(0,$PA65))</f>
        <v/>
      </c>
      <c r="PC65" s="155">
        <f>IF($MQ65=0,0,(IF(COUNTIF($MV65:$MY65,"Salto")&gt;0,1,0)+IF(COUNTIF($MV65:$MY65,"Queima")&gt;0,1,0)+IF(COUNTIF($MV65:$MY65,"Estilhaço")&gt;0,1,0))*FLOOR($PB65/2,1))</f>
        <v/>
      </c>
      <c r="PD65" s="155">
        <f>MAX(0,2-SUMPRODUCT($OK65:$OP65,$I$2:$N$2)+MIN(2,$OQ65*1+$OR65*1,SUMPRODUCT($OK65:$OP65,$I$2:$N$2)))</f>
        <v/>
      </c>
      <c r="PE65" s="155">
        <f>MAX(0,4-SUMPRODUCT($OK65:$OP65,$I$3:$N$3)+MIN(4,$OQ65*1+$OR65*2,SUMPRODUCT($OK65:$OP65,$I$3:$N$3)))</f>
        <v/>
      </c>
      <c r="PF65" s="155">
        <f>MAX(0,6-SUMPRODUCT($OK65:$OP65,$I$4:$N$4)+MIN(6,$OQ65*2+$OR65*3,SUMPRODUCT($OK65:$OP65,$I$4:$N$4)))</f>
        <v/>
      </c>
      <c r="PG65" s="155">
        <f>MAX(0,9-SUMPRODUCT($OK65:$OP65,$I$5:$N$5)+MIN(8,$OQ65*2+$OR65*4,SUMPRODUCT($OK65:$OP65,$I$5:$N$5)))</f>
        <v/>
      </c>
      <c r="PH65" s="155">
        <f>MAX(0,11-SUMPRODUCT($OK65:$OP65,$I$6:$N$6)+MIN(10,$OQ65*3+$OR65*5,SUMPRODUCT($OK65:$OP65,$I$6:$N$6)))</f>
        <v/>
      </c>
      <c r="PI65" s="155">
        <f>MAX(0,13-SUMPRODUCT($OK65:$OP65,$I$7:$N$7)+MIN(12,$OQ65*3+$OR65*6,SUMPRODUCT($OK65:$OP65,$I$7:$N$7)))</f>
        <v/>
      </c>
      <c r="PJ65" s="155">
        <f>MAX(0,16-SUMPRODUCT($OK65:$OP65,$I$8:$N$8)+MIN(14,$OQ65*4+$OR65*7,SUMPRODUCT($OK65:$OP65,$I$8:$N$8)))</f>
        <v/>
      </c>
      <c r="PK65" s="155">
        <f>IF($OE65=2,3*$PD65&amp;" de vida temp.",IF($OE65=3,"sem dano",IF($PD65=0,IF($OE65=1,"sem cura","sem dano"),IF($OE65=1,"cura ","")&amp;$PD65&amp;"d8")))</f>
        <v/>
      </c>
      <c r="PL65" s="155">
        <f>IF($OE65=2,3*$PE65&amp;" de vida temp.",IF($OE65=3,"sem dano",IF($PE65=0,IF($OE65=1,"sem cura","sem dano"),IF($OE65=1,"cura ","")&amp;$PE65&amp;"d8")))</f>
        <v/>
      </c>
      <c r="PM65" s="155">
        <f>IF($OE65=2,3*$PF65&amp;" de vida temp.",IF($OE65=3,"sem dano",IF($PF65=0,IF($OE65=1,"sem cura","sem dano"),IF($OE65=1,"cura ","")&amp;$PF65&amp;"d8")))</f>
        <v/>
      </c>
      <c r="PN65" s="155">
        <f>IF($OE65=2,3*$PG65&amp;" de vida temp.",IF($OE65=3,"sem dano",IF($PG65=0,IF($OE65=1,"sem cura","sem dano"),IF($OE65=1,"cura ","")&amp;$PG65&amp;"d8")))</f>
        <v/>
      </c>
      <c r="PO65" s="155">
        <f>IF($OE65=2,3*$PH65&amp;" de vida temp.",IF($OE65=3,"sem dano",IF($PH65=0,IF($OE65=1,"sem cura","sem dano"),IF($OE65=1,"cura ","")&amp;$PH65&amp;"d8")))</f>
        <v/>
      </c>
      <c r="PP65" s="155">
        <f>IF($OE65=2,3*$PI65&amp;" de vida temp.",IF($OE65=3,"sem dano",IF($PI65=0,IF($OE65=1,"sem cura","sem dano"),IF($OE65=1,"cura ","")&amp;$PI65&amp;"d8")))</f>
        <v/>
      </c>
      <c r="PQ65" s="155">
        <f>IF($OE65=2,3*$PJ65&amp;" de vida temp.",IF($OE65=3,"sem dano",IF($PJ65=0,IF($OE65=1,"sem cura","sem dano"),IF($OE65=1,"cura ","")&amp;$PJ65&amp;"d8")))</f>
        <v/>
      </c>
      <c r="PR65" s="155">
        <f>IF($NB65=0,"",TEXTJOIN(" · ",TRUE,IF($MO65&gt;$NC65,"Este lugar abre no nível "&amp;$MO65,""),IF($MQ65&gt;$ND65,"Classe "&amp;$MQ65&amp;": o nível "&amp;$NC65&amp;" libera até a "&amp;$ND65,""),IF($NV65=1,"A Forma "&amp;$MS65&amp;" pede "&amp;INDEX($W$2:$W$11,$NH65)&amp;" aberta",""),IF(AND($MQ65=0,$NH65&gt;0,IF($NH65=0,0,INDEX($AF$2:$AF$11,$NH65))=0),$MS65&amp;" não existe na Classe 0",""),IF($NW65=1,"Família Fechada: "&amp;$MV65,""),IF($NX65=1,"Família Fechada: "&amp;$MW65,""),IF($NY65=1,"Família Fechada: "&amp;$MX65,""),IF($NZ65=1,"Família Fechada: "&amp;$MY65,""),IF(AND($MQ65&gt;0,$OS65&gt;INDEX($O$2:$O$8,MAX(1,$MQ65))),$OS65&amp;" Melhorias: a Classe "&amp;$MQ65&amp;" aceita "&amp;INDEX($O$2:$O$8,MAX(1,$MQ65)),""),IF(AND($MQ65=0,$OS65&gt;1),"A básica aceita uma Melhoria",""),IF(AND($MQ65=0,COUNTIF($NM65:$NP65,"&gt;1")&gt;0),"A básica só aceita Melhoria Leve",""),IF(AND($MQ65&gt;0,$OT65&gt;2),$OT65&amp;" Restrições"&amp;IF($OD65=1,", contando a que a Forma "&amp;$MS65&amp;" já traz","")&amp;": o limite é 2",""),IF(AND($MQ65=0,COUNTIF($MZ65:$NA65,"?*")&gt;1),"A básica aceita uma Restrição Leve",""),IF(AND($MQ65=0,COUNTIF($OG65:$OH65,2)&gt;0),"A básica só aceita Restrição Leve",""),IF(AND($MQ65&gt;0,$PA65&lt;0),"Orçamento estourado: faltam "&amp;(-$PA65)&amp;IF($PA65&lt;-1," pontos"," ponto"),""),IF(IFERROR(VLOOKUP($MZ65,$BC$2:$BG$24,4,FALSE),0)+IFERROR(VLOOKUP($NA65,$BC$2:$BG$24,4,FALSE),0)&gt;1,$OI65&amp;" e "&amp;$OJ65&amp;" são as duas de frequência",""),IF(AND((COUNTIF($MV65:$MY65,"Rápido")+COUNTIF($OI65:$OJ65,"Rápido"))&gt;0,(COUNTIF($MV65:$MY65,"Atrasar")+COUNTIF($OI65:$OJ65,"Atrasar"))&gt;0),"Rápido não entra com Atrasar",""),IF(AND((COUNTIF($MV65:$MY65,"Reação")+COUNTIF($OI65:$OJ65,"Reação"))&gt;0,(COUNTIF($MV65:$MY65,"Rápido")+COUNTIF($OI65:$OJ65,"Rápido"))&gt;0),"Reação não entra com Rápido",""),IF(AND((COUNTIF($MV65:$MY65,"Reação")+COUNTIF($OI65:$OJ65,"Reação"))&gt;0,(COUNTIF($MV65:$MY65,"Armado")+COUNTIF($OI65:$OJ65,"Armado"))&gt;0),"Reação não entra com Armado",""),IF(AND((COUNTIF($MV65:$MY65,"Reação")+COUNTIF($OI65:$OJ65,"Reação"))&gt;0,(COUNTIF($MV65:$MY65,"Atrasar")+COUNTIF($OI65:$OJ65,"Atrasar"))&gt;0),"Reação não entra com Atrasar",""),IF(AND((COUNTIF($MV65:$MY65,"Reação")+COUNTIF($OI65:$OJ65,"Reação"))&gt;0,(COUNTIF($MV65:$MY65,"Parado")+COUNTIF($OI65:$OJ65,"Parado"))&gt;0),"Reação não entra com Parado",""),IF(AND((COUNTIF($MV65:$MY65,"Atrasar")+COUNTIF($OI65:$OJ65,"Atrasar"))&gt;0,(COUNTIF($MV65:$MY65,"Parado")+COUNTIF($OI65:$OJ65,"Parado"))&gt;0),"Atrasar não entra com Parado",""),IF(AND((COUNTIF($MV65:$MY65,"Armado")+COUNTIF($OI65:$OJ65,"Armado"))&gt;0,(COUNTIF($MV65:$MY65,"Carregar")+COUNTIF($OI65:$OJ65,"Carregar"))&gt;0),"Armado não entra com Carregar",""),IF(AND(COUNTIF($OI65:$OJ65,"Corpo a Corpo")&gt;0,$OD65=0,OR($MS65="Cone",$MS65="Linha")),"Corpo a Corpo não entra em "&amp;$MS65,""),IF(AND(COUNTIF($OI65:$OJ65,"Corpo a Corpo")&gt;0,$OD65=1),"A Forma "&amp;$MS65&amp;" já traz o Corpo a Corpo",""),IF(AND(COUNTIF($OI65:$OJ65,"Tudo ou Nada")&gt;0,$OF65=0),"Tudo ou Nada só entra em habilidade de Teste de Resistência",""),IF(AND(COUNTIF($MV65:$MY65,"Inescapável")&gt;0,OR($OS65&gt;1,$OT65&gt;0)),"Inescapável não aceita outra peça",""),IF(AND($MQ65&gt;0,$PB65*IF(COUNTIF($MV65:$MY65,"Remate")&gt;0,1.25,1)+$PC65&gt;4*$MQ65),($PB65*IF(COUNTIF($MV65:$MY65,"Remate")&gt;0,1.25,1)+$PC65)&amp;" dados somando repetições"&amp;IF(COUNTIF($MV65:$MY65,"Remate")&gt;0," e o Remate","")&amp;": o teto da Classe "&amp;$MQ65&amp;" é "&amp;4*$MQ65,"")))</f>
        <v/>
      </c>
      <c r="PS65" s="155">
        <f>IF($PR65="",0,(LEN($PR65)-LEN(SUBSTITUTE($PR65," · ","")))/3+1)</f>
        <v/>
      </c>
      <c r="PT65" s="155">
        <f>IF($NB65=0,"",TEXTJOIN(" · ",TRUE,IF($OV65&gt;2*$MQ65,"A devolução parou no teto de "&amp;2*$MQ65,""),IF($OY65&gt;0,"Devolução perdida: "&amp;$OY65&amp;IF($OY65&gt;1," pontos"," ponto")&amp;" sem peça para pagar",""),IF(AND($OA65&gt;0,AND($MQ65&gt;0,$OE65=0),$PB65=0),"Controle sem dano: uma rodada a mais e CD +2",""),IF(AND($OA65&gt;0,AND($MQ65&gt;0,$OE65=0),$PB65&gt;0,$PB65&lt;=$MQ65),"Controle com saldo até a Classe: uma rodada a mais",""),IF(AND($MQ65&gt;0,$OC65&lt;&gt;""),"Efeito de "&amp;$OC65&amp;" pela Classe "&amp;MAX(1,$MQ65-1),"")))</f>
        <v/>
      </c>
      <c r="PU65" s="155">
        <f>IF($PT65="",0,(LEN($PT65)-LEN(SUBSTITUTE($PT65," · ","")))/3+1)</f>
        <v/>
      </c>
      <c r="PV65" s="155">
        <f>IF($NB65=0,IF($OS65+COUNTIF($MZ65:$NA65,"?*")&gt;0,"Dê um nome",""),IF($PS65&gt;0,"⚠ "&amp;$PS65&amp;IF($PS65&gt;1," erros"," erro"),IF($PU65&gt;0,"! "&amp;$PU65&amp;IF($PU65&gt;1," avisos"," aviso"),"Na regra")))</f>
        <v/>
      </c>
      <c r="PW65" s="155">
        <f>IF($NB65=0,"",IF($PS65+$PU65=0,"Dentro das regras que a ficha confere",$PR65&amp;IF(AND($PS65&gt;0,$PU65&gt;0)," · ","")&amp;$PT65))</f>
        <v/>
      </c>
      <c r="PX65" s="155">
        <f>IF($MO65&gt;$NC65,$MP65&amp;" · ABRE NO NÍVEL "&amp;$MO65,$MP65)</f>
        <v/>
      </c>
      <c r="PY65" s="155">
        <f>IF($NB65=0,"",IF($MQ65=0,"Sem PE",3*$MQ65&amp;" PE"))</f>
        <v/>
      </c>
      <c r="PZ65" s="155">
        <f>IF($NB65=0,"",IF($MQ65=0,"A atuação básica dela",IF(COUNTIF($OI65:$OJ65,"Atrasar")&gt;0,"Sua Ação Completa",IF(COUNTIF($MV65:$MY65,"Rápido")&gt;0,"Sua Bônus",IF(COUNTIF($MV65:$MY65,"Reação")&gt;0,"Sua Reação","Sua Padrão")))&amp;" + a básica dela"&amp;IF(COUNTIF($MV65:$MY65,"Reação")&gt;0," e a coletiva","")&amp;IF(COUNTIF($OI65:$OJ65,"Carregar")&gt;0," · em dois turnos","")))</f>
        <v/>
      </c>
      <c r="QA65" s="155">
        <f>IF($MU65&lt;&gt;"",$MU65,IF($NH65=0,"",INDEX($AA$2:$AA$11,$NH65)))</f>
        <v/>
      </c>
      <c r="QB65" s="155">
        <f>IF(OR($NB65=0,$NH65=0),"",IF(COUNTIF($MV65:$MY65,"Inescapável")&gt;0,"Automático",IF($QA65="Ataque",IF($NF65="","Ataque","Ataque "&amp;IF(($NF65+2*IF(COUNTIF($MV65:$MY65,"Precisão")&gt;0,1,0))&gt;=0,"+","−")&amp;ABS(($NF65+2*IF(COUNTIF($MV65:$MY65,"Precisão")&gt;0,1,0))))&amp;IF($OB65&gt;0," · TR"&amp;IF($NG65="",""," CD "&amp;$NG65),""),IF(LEFT($QA65,2)="TR",$QA65&amp;IF($NG65="",""," · CD "&amp;$NG65)&amp;IF(COUNTIF($MV65:$MY65,"Certeiro")&gt;0," · metade",""),"Sem rolagem"))))</f>
        <v/>
      </c>
      <c r="QC65" s="155">
        <f>IF(OR($NB65=0,$NH65=0),"",IF($MQ65=0,IF(OR($OE65&gt;=1,$PB65=0),"Sem dano",$PB65&amp;"d6"&amp;IF($MT65="",""," "&amp;$MT65)),IF(OR($OE65&gt;=1,$PB65=0),UPPER(LEFT(INDEX($PK65:$PQ65,1,MAX(1,$MQ65)),1))&amp;MID(INDEX($PK65:$PQ65,1,MAX(1,$MQ65)),2,99),UPPER(LEFT(INDEX($PK65:$PQ65,1,MAX(1,$MQ65)),1))&amp;MID(INDEX($PK65:$PQ65,1,MAX(1,$MQ65)),2,99)&amp;IF($MT65="",""," "&amp;$MT65)&amp;IF($PC65&gt;0," · +"&amp;$PC65&amp;"d8",""))))</f>
        <v/>
      </c>
      <c r="QD65" s="155">
        <f>COUNTIF($MV65:$MY65,"Longe")+3*COUNTIF($MV65:$MY65,"Muito Longe")</f>
        <v/>
      </c>
      <c r="QE65" s="155">
        <f>COUNTIF($MV65:$MY65,"Maior")+3*COUNTIF($MV65:$MY65,"Muito Maior")</f>
        <v/>
      </c>
      <c r="QF65" s="155">
        <f>IF($NH65=0,0,CHOOSE(1+INDEX($AC$2:$AC$11,$NH65),0,$QD65,$QE65,$QD65+$QE65))</f>
        <v/>
      </c>
      <c r="QG65" s="155">
        <f>IF($NH65=0,0,CHOOSE(1+INDEX($AD$2:$AD$11,$NH65),0,$QD65,$QE65,$QD65+$QE65))</f>
        <v/>
      </c>
      <c r="QH65" s="155">
        <f>IF(OR($NB65=0,$NH65=0),"",INDEX($AI$2:$AN$41,($NH65-1)*4+IF($MQ65=0,1,IF($MQ65&lt;=5,2,IF($MQ65=6,3,4))),1+MIN(5,$QF65))&amp;INDEX($AO$2:$AT$41,($NH65-1)*4+IF($MQ65=0,1,IF($MQ65&lt;=5,2,IF($MQ65=6,3,4))),1+MIN(5,$QG65))&amp;IF(INDEX($AE$2:$AE$11,$NH65)=1,IF(COUNTIF($MV65:$MY65,"Mais Um")&gt;0," · +"&amp;COUNTIF($MV65:$MY65,"Mais Um")&amp;IF(COUNTIF($MV65:$MY65,"Mais Um")&gt;1," alvos"," alvo"),"")&amp;IF(COUNTIF($MV65:$MY65,"Rajada")&gt;0,IF($MQ65=0," · 1 tiro"," · "&amp;(MAX(1,$MQ65-1)+1)&amp;" tiros"),""),""))</f>
        <v/>
      </c>
      <c r="QI65" s="155">
        <f>IF($NB65=0,"",IF($MQ65=0,$NE65&amp;"d6"&amp;IF($OS65&gt;0," − 1 = "&amp;$PB65&amp;"d6"," da básica do nível "&amp;$NC65),$OZ65&amp;" − "&amp;$OU65&amp;" + "&amp;$OX65&amp;" = "&amp;$PA65&amp;" · teto "&amp;4*$MQ65&amp;"d8"&amp;IF($OD65=1," · a Forma devolve "&amp;$MQ65,"")&amp;IF($OY65&gt;0," · perde "&amp;$OY65,"")))</f>
        <v/>
      </c>
      <c r="QJ65" s="155">
        <f>IF($NB65=0,"",IF($MQ65=0,"A básica não amplia: os dados dela sobem com o nível",IF($MQ65&gt;=$ND65,"Já está na maior Classe que o nível liberou",TEXTJOIN(" · ",TRUE,IF(AND(2&gt;$MQ65,2&lt;=$ND65),"2 → "&amp;$PL65&amp;", 6 PE",""),IF(AND(3&gt;$MQ65,3&lt;=$ND65),"3 → "&amp;$PM65&amp;", 9 PE",""),IF(AND(4&gt;$MQ65,4&lt;=$ND65),"4 → "&amp;$PN65&amp;", 12 PE",""),IF(AND(5&gt;$MQ65,5&lt;=$ND65),"5 → "&amp;$PO65&amp;", 15 PE",""),IF(AND(6&gt;$MQ65,6&lt;=$ND65),"6 → "&amp;$PP65&amp;", 18 PE",""),IF(AND(7&gt;$MQ65,7&lt;=$ND65),"7 → "&amp;$PQ65&amp;", 21 PE","")))))</f>
        <v/>
      </c>
      <c r="QK65" s="155">
        <f>IF(OR($NB65=0,$NM65=0),"",IF($MQ65=0,"−1 dado","−"&amp;INDEX($I$2:$N$8,MAX(1,$MQ65),MAX(1,$NR65))&amp;" · "&amp;CHOOSE(MAX(1,$NR65),"Leve","Média","Pesada","Leve · Livre","Média · Livre","Pesada · Livre")))</f>
        <v/>
      </c>
      <c r="QL65" s="155">
        <f>IF(OR($NB65=0,$NN65=0),"",IF($MQ65=0,"−1 dado","−"&amp;INDEX($I$2:$N$8,MAX(1,$MQ65),MAX(1,$NS65))&amp;" · "&amp;CHOOSE(MAX(1,$NS65),"Leve","Média","Pesada","Leve · Livre","Média · Livre","Pesada · Livre")))</f>
        <v/>
      </c>
      <c r="QM65" s="155">
        <f>IF(OR($NB65=0,$NO65=0),"",IF($MQ65=0,"−1 dado","−"&amp;INDEX($I$2:$N$8,MAX(1,$MQ65),MAX(1,$NT65))&amp;" · "&amp;CHOOSE(MAX(1,$NT65),"Leve","Média","Pesada","Leve · Livre","Média · Livre","Pesada · Livre")))</f>
        <v/>
      </c>
      <c r="QN65" s="155">
        <f>IF(OR($NB65=0,$NP65=0),"",IF($MQ65=0,"−1 dado","−"&amp;INDEX($I$2:$N$8,MAX(1,$MQ65),MAX(1,$NU65))&amp;" · "&amp;CHOOSE(MAX(1,$NU65),"Leve","Média","Pesada","Leve · Livre","Média · Livre","Pesada · Livre")))</f>
        <v/>
      </c>
      <c r="QO65" s="155">
        <f>IF(OR($NB65=0,$MZ65=""),"",IF($MQ65=0,"não devolve","+"&amp;IF($OG65=1,CEILING($MQ65/2,1),$MQ65)))</f>
        <v/>
      </c>
      <c r="QP65" s="155">
        <f>IF(OR($NB65=0,$NA65=""),"",IF($MQ65=0,"não devolve","+"&amp;IF($OH65=1,CEILING($MQ65/2,1),$MQ65)))</f>
        <v/>
      </c>
    </row>
    <row r="66">
      <c r="AV66" s="153" t="inlineStr">
        <is>
          <t>Concentrada</t>
        </is>
      </c>
      <c r="AW66" s="153" t="inlineStr">
        <is>
          <t>Tempo</t>
        </is>
      </c>
      <c r="AX66" s="155" t="n">
        <v>1</v>
      </c>
      <c r="AY66" s="155" t="n">
        <v>0</v>
      </c>
      <c r="AZ66" s="155" t="n">
        <v>0</v>
      </c>
      <c r="BA66" s="155" t="n">
        <v>0</v>
      </c>
      <c r="JR66" s="155">
        <f>IF(OR($AW66="",COUNTIF($EJ$2:$EN$2,$AW66)&gt;0),$AV66,"")</f>
        <v/>
      </c>
      <c r="JS66" s="155">
        <f>IF(AND($AX66=1,OR($AW66="",COUNTIF($EJ$2:$EN$2,$AW66)&gt;0)),$AV66,"")</f>
        <v/>
      </c>
      <c r="JX66" s="155">
        <f>IF(OR($AW66="",COUNTIF($EJ$3:$EN$3,$AW66)&gt;0),$AV66,"")</f>
        <v/>
      </c>
      <c r="JY66" s="155">
        <f>IF(AND($AX66=1,OR($AW66="",COUNTIF($EJ$3:$EN$3,$AW66)&gt;0)),$AV66,"")</f>
        <v/>
      </c>
      <c r="KD66" s="155">
        <f>IF(OR($AW66="",COUNTIF($EJ$4:$EN$4,$AW66)&gt;0),$AV66,"")</f>
        <v/>
      </c>
      <c r="KE66" s="155">
        <f>IF(AND($AX66=1,OR($AW66="",COUNTIF($EJ$4:$EN$4,$AW66)&gt;0)),$AV66,"")</f>
        <v/>
      </c>
      <c r="KJ66" s="155">
        <f>IF(OR($AW66="",COUNTIF($EJ$5:$EN$5,$AW66)&gt;0),$AV66,"")</f>
        <v/>
      </c>
      <c r="KK66" s="155">
        <f>IF(AND($AX66=1,OR($AW66="",COUNTIF($EJ$5:$EN$5,$AW66)&gt;0)),$AV66,"")</f>
        <v/>
      </c>
      <c r="KP66" s="155">
        <f>IF(OR($AW66="",COUNTIF($EJ$6:$EN$6,$AW66)&gt;0),$AV66,"")</f>
        <v/>
      </c>
      <c r="KQ66" s="155">
        <f>IF(AND($AX66=1,OR($AW66="",COUNTIF($EJ$6:$EN$6,$AW66)&gt;0)),$AV66,"")</f>
        <v/>
      </c>
      <c r="KV66" s="155">
        <f>IF(OR($AW66="",COUNTIF($EJ$7:$EN$7,$AW66)&gt;0),$AV66,"")</f>
        <v/>
      </c>
      <c r="KW66" s="155">
        <f>IF(AND($AX66=1,OR($AW66="",COUNTIF($EJ$7:$EN$7,$AW66)&gt;0)),$AV66,"")</f>
        <v/>
      </c>
      <c r="LB66" s="155">
        <f>IF(OR($AW66="",COUNTIF($EJ$8:$EN$8,$AW66)&gt;0),$AV66,"")</f>
        <v/>
      </c>
      <c r="LC66" s="155">
        <f>IF(AND($AX66=1,OR($AW66="",COUNTIF($EJ$8:$EN$8,$AW66)&gt;0)),$AV66,"")</f>
        <v/>
      </c>
      <c r="LH66" s="155">
        <f>IF(OR($AW66="",COUNTIF($EJ$9:$EN$9,$AW66)&gt;0),$AV66,"")</f>
        <v/>
      </c>
      <c r="LI66" s="155">
        <f>IF(AND($AX66=1,OR($AW66="",COUNTIF($EJ$9:$EN$9,$AW66)&gt;0)),$AV66,"")</f>
        <v/>
      </c>
      <c r="LN66" s="155">
        <f>IF(OR($AW66="",COUNTIF($EJ$10:$EN$10,$AW66)&gt;0),$AV66,"")</f>
        <v/>
      </c>
      <c r="LO66" s="155">
        <f>IF(AND($AX66=1,OR($AW66="",COUNTIF($EJ$10:$EN$10,$AW66)&gt;0)),$AV66,"")</f>
        <v/>
      </c>
      <c r="LT66" s="155">
        <f>IF(OR($AW66="",COUNTIF($EJ$11:$EN$11,$AW66)&gt;0),$AV66,"")</f>
        <v/>
      </c>
      <c r="LU66" s="155">
        <f>IF(AND($AX66=1,OR($AW66="",COUNTIF($EJ$11:$EN$11,$AW66)&gt;0)),$AV66,"")</f>
        <v/>
      </c>
      <c r="LZ66" s="155">
        <f>IF(OR($AW66="",COUNTIF($EJ$12:$EN$12,$AW66)&gt;0),$AV66,"")</f>
        <v/>
      </c>
      <c r="MA66" s="155">
        <f>IF(AND($AX66=1,OR($AW66="",COUNTIF($EJ$12:$EN$12,$AW66)&gt;0)),$AV66,"")</f>
        <v/>
      </c>
      <c r="MF66" s="155">
        <f>IF(OR($AW66="",COUNTIF($EJ$13:$EN$13,$AW66)&gt;0),$AV66,"")</f>
        <v/>
      </c>
      <c r="MG66" s="155">
        <f>IF(AND($AX66=1,OR($AW66="",COUNTIF($EJ$13:$EN$13,$AW66)&gt;0)),$AV66,"")</f>
        <v/>
      </c>
      <c r="ML66" s="153" t="inlineStr">
        <is>
          <t>Ficha 5 · Escolha da trilha 3</t>
        </is>
      </c>
      <c r="MM66" s="155" t="n">
        <v>5</v>
      </c>
      <c r="MN66" s="155" t="n">
        <v>2</v>
      </c>
      <c r="MO66" s="155" t="n">
        <v>0</v>
      </c>
      <c r="MP66" s="153" t="inlineStr">
        <is>
          <t>ESCOLHA DA TRILHA 3</t>
        </is>
      </c>
      <c r="MQ66" s="155">
        <f>MAX(0,MIN(7,N('INVOCAÇÕES'!$U$952)))</f>
        <v/>
      </c>
      <c r="MR66" s="155">
        <f>'INVOCAÇÕES'!$V$952&amp;""</f>
        <v/>
      </c>
      <c r="MS66" s="155">
        <f>'INVOCAÇÕES'!$U$957&amp;""</f>
        <v/>
      </c>
      <c r="MT66" s="155">
        <f>'INVOCAÇÕES'!$U$958&amp;""</f>
        <v/>
      </c>
      <c r="MU66" s="155">
        <f>'INVOCAÇÕES'!$W$958&amp;""</f>
        <v/>
      </c>
      <c r="MV66" s="155">
        <f>'INVOCAÇÕES'!$V$961&amp;""</f>
        <v/>
      </c>
      <c r="MW66" s="155">
        <f>'INVOCAÇÕES'!$V$962&amp;""</f>
        <v/>
      </c>
      <c r="MX66" s="155">
        <f>'INVOCAÇÕES'!$V$963&amp;""</f>
        <v/>
      </c>
      <c r="MY66" s="155">
        <f>'INVOCAÇÕES'!$V$964&amp;""</f>
        <v/>
      </c>
      <c r="MZ66" s="155">
        <f>'INVOCAÇÕES'!$V$965&amp;""</f>
        <v/>
      </c>
      <c r="NA66" s="155">
        <f>'INVOCAÇÕES'!$V$966&amp;""</f>
        <v/>
      </c>
      <c r="NB66" s="155">
        <f>IF($MR66&lt;&gt;"",1,0)</f>
        <v/>
      </c>
      <c r="NC66" s="155">
        <f>INDEX($FM$2:$FM$13,$MM66)</f>
        <v/>
      </c>
      <c r="ND66" s="155">
        <f>INDEX($FN$2:$FN$13,$MM66)</f>
        <v/>
      </c>
      <c r="NE66" s="155">
        <f>INDEX($FO$2:$FO$13,$MM66)</f>
        <v/>
      </c>
      <c r="NF66" s="155">
        <f>INDEX($FZ$2:$FZ$13,$MM66)</f>
        <v/>
      </c>
      <c r="NG66" s="155">
        <f>INDEX($GA$2:$GA$13,$MM66)</f>
        <v/>
      </c>
      <c r="NH66" s="155">
        <f>IFERROR(MATCH($MS66,$V$2:$V$11,0),0)</f>
        <v/>
      </c>
      <c r="NI66" s="155">
        <f>IFERROR(VLOOKUP($MV66,$AV$2:$BA$84,2,FALSE),"")</f>
        <v/>
      </c>
      <c r="NJ66" s="155">
        <f>IFERROR(VLOOKUP($MW66,$AV$2:$BA$84,2,FALSE),"")</f>
        <v/>
      </c>
      <c r="NK66" s="155">
        <f>IFERROR(VLOOKUP($MX66,$AV$2:$BA$84,2,FALSE),"")</f>
        <v/>
      </c>
      <c r="NL66" s="155">
        <f>IFERROR(VLOOKUP($MY66,$AV$2:$BA$84,2,FALSE),"")</f>
        <v/>
      </c>
      <c r="NM66" s="155">
        <f>IFERROR(VLOOKUP($MV66,$AV$2:$BA$84,3,FALSE),0)</f>
        <v/>
      </c>
      <c r="NN66" s="155">
        <f>IFERROR(VLOOKUP($MW66,$AV$2:$BA$84,3,FALSE),0)</f>
        <v/>
      </c>
      <c r="NO66" s="155">
        <f>IFERROR(VLOOKUP($MX66,$AV$2:$BA$84,3,FALSE),0)</f>
        <v/>
      </c>
      <c r="NP66" s="155">
        <f>IFERROR(VLOOKUP($MY66,$AV$2:$BA$84,3,FALSE),0)</f>
        <v/>
      </c>
      <c r="NQ66" s="155">
        <f>IF($MQ66=0,0,IF($NH66=0,0,INDEX($X$2:$X$11,$NH66)))</f>
        <v/>
      </c>
      <c r="NR66" s="155">
        <f>IF(OR($NM66=0,$MQ66=0),0,$NM66+3*IF(AND($NI66&lt;&gt;"",OR($NI66=INDEX($EJ$2:$EJ$13,$MM66),$NI66=INDEX($EK$2:$EK$13,$MM66))),1,0))</f>
        <v/>
      </c>
      <c r="NS66" s="155">
        <f>IF(OR($NN66=0,$MQ66=0),0,$NN66+3*IF(AND($NJ66&lt;&gt;"",OR($NJ66=INDEX($EJ$2:$EJ$13,$MM66),$NJ66=INDEX($EK$2:$EK$13,$MM66))),1,0))</f>
        <v/>
      </c>
      <c r="NT66" s="155">
        <f>IF(OR($NO66=0,$MQ66=0),0,$NO66+3*IF(AND($NK66&lt;&gt;"",OR($NK66=INDEX($EJ$2:$EJ$13,$MM66),$NK66=INDEX($EK$2:$EK$13,$MM66))),1,0))</f>
        <v/>
      </c>
      <c r="NU66" s="155">
        <f>IF(OR($NP66=0,$MQ66=0),0,$NP66+3*IF(AND($NL66&lt;&gt;"",OR($NL66=INDEX($EJ$2:$EJ$13,$MM66),$NL66=INDEX($EK$2:$EK$13,$MM66))),1,0))</f>
        <v/>
      </c>
      <c r="NV66" s="155">
        <f>IF($NH66=0,0,IF(INDEX($W$2:$W$11,$NH66)="",0,IF(COUNTIF(INDEX($EJ$2:$EN$13,$MM66,0),INDEX($W$2:$W$11,$NH66))=0,1,0)))</f>
        <v/>
      </c>
      <c r="NW66" s="155">
        <f>IF(OR($NM66=0,$NI66=""),0,IF(COUNTIF(INDEX($EJ$2:$EN$13,$MM66,0),$NI66)=0,1,0))</f>
        <v/>
      </c>
      <c r="NX66" s="155">
        <f>IF(OR($NN66=0,$NJ66=""),0,IF(COUNTIF(INDEX($EJ$2:$EN$13,$MM66,0),$NJ66)=0,1,0))</f>
        <v/>
      </c>
      <c r="NY66" s="155">
        <f>IF(OR($NO66=0,$NK66=""),0,IF(COUNTIF(INDEX($EJ$2:$EN$13,$MM66,0),$NK66)=0,1,0))</f>
        <v/>
      </c>
      <c r="NZ66" s="155">
        <f>IF(OR($NP66=0,$NL66=""),0,IF(COUNTIF(INDEX($EJ$2:$EN$13,$MM66,0),$NL66)=0,1,0))</f>
        <v/>
      </c>
      <c r="OA66" s="155">
        <f>IFERROR(VLOOKUP($MV66,$AV$2:$BA$84,4,FALSE),0)+IFERROR(VLOOKUP($MW66,$AV$2:$BA$84,4,FALSE),0)+IFERROR(VLOOKUP($MX66,$AV$2:$BA$84,4,FALSE),0)+IFERROR(VLOOKUP($MY66,$AV$2:$BA$84,4,FALSE),0)</f>
        <v/>
      </c>
      <c r="OB66" s="155">
        <f>IFERROR(VLOOKUP($MV66,$AV$2:$BA$84,6,FALSE),0)+IFERROR(VLOOKUP($MW66,$AV$2:$BA$84,6,FALSE),0)+IFERROR(VLOOKUP($MX66,$AV$2:$BA$84,6,FALSE),0)+IFERROR(VLOOKUP($MY66,$AV$2:$BA$84,6,FALSE),0)</f>
        <v/>
      </c>
      <c r="OC66" s="155">
        <f>TEXTJOIN(", ",TRUE,IF(IFERROR(VLOOKUP($MV66,$AV$2:$BA$84,5,FALSE),0)=1,$MV66,""),IF(IFERROR(VLOOKUP($MW66,$AV$2:$BA$84,5,FALSE),0)=1,$MW66,""),IF(IFERROR(VLOOKUP($MX66,$AV$2:$BA$84,5,FALSE),0)=1,$MX66,""),IF(IFERROR(VLOOKUP($MY66,$AV$2:$BA$84,5,FALSE),0)=1,$MY66,""))</f>
        <v/>
      </c>
      <c r="OD66" s="155">
        <f>IF($NH66=0,0,INDEX($Y$2:$Y$11,$NH66))</f>
        <v/>
      </c>
      <c r="OE66" s="155">
        <f>IF($NH66=0,0,INDEX($Z$2:$Z$11,$NH66))</f>
        <v/>
      </c>
      <c r="OF66" s="155">
        <f>IF($NH66=0,0,INDEX($AB$2:$AB$11,$NH66))</f>
        <v/>
      </c>
      <c r="OG66" s="155">
        <f>IFERROR(VLOOKUP($MZ66,$BC$2:$BG$24,3,FALSE),0)</f>
        <v/>
      </c>
      <c r="OH66" s="155">
        <f>IFERROR(VLOOKUP($NA66,$BC$2:$BG$24,3,FALSE),0)</f>
        <v/>
      </c>
      <c r="OI66" s="155">
        <f>IFERROR(VLOOKUP($MZ66,$BC$2:$BG$24,2,FALSE),"")</f>
        <v/>
      </c>
      <c r="OJ66" s="155">
        <f>IFERROR(VLOOKUP($NA66,$BC$2:$BG$24,2,FALSE),"")</f>
        <v/>
      </c>
      <c r="OK66" s="155">
        <f>COUNTIF($NQ66:$NU66,1)</f>
        <v/>
      </c>
      <c r="OL66" s="155">
        <f>COUNTIF($NQ66:$NU66,2)</f>
        <v/>
      </c>
      <c r="OM66" s="155">
        <f>COUNTIF($NQ66:$NU66,3)</f>
        <v/>
      </c>
      <c r="ON66" s="155">
        <f>COUNTIF($NQ66:$NU66,4)</f>
        <v/>
      </c>
      <c r="OO66" s="155">
        <f>COUNTIF($NQ66:$NU66,5)</f>
        <v/>
      </c>
      <c r="OP66" s="155">
        <f>COUNTIF($NQ66:$NU66,6)</f>
        <v/>
      </c>
      <c r="OQ66" s="155">
        <f>COUNTIF($OG66:$OH66,1)</f>
        <v/>
      </c>
      <c r="OR66" s="155">
        <f>COUNTIF($OG66:$OH66,2)+$OD66</f>
        <v/>
      </c>
      <c r="OS66" s="155">
        <f>COUNTIF($MV66:$MY66,"?*")</f>
        <v/>
      </c>
      <c r="OT66" s="155">
        <f>COUNTIF($MZ66:$NA66,"?*")+$OD66</f>
        <v/>
      </c>
      <c r="OU66" s="155">
        <f>IF($MQ66=0,0,SUMPRODUCT($OK66:$OP66,INDEX($I$2:$N$8,MAX(1,$MQ66),0)))</f>
        <v/>
      </c>
      <c r="OV66" s="155">
        <f>IF($MQ66=0,0,$OQ66*CEILING($MQ66/2,1)+$OR66*$MQ66)</f>
        <v/>
      </c>
      <c r="OW66" s="155">
        <f>MIN(2*$MQ66,$OV66)</f>
        <v/>
      </c>
      <c r="OX66" s="155">
        <f>MIN($OW66,$OU66)</f>
        <v/>
      </c>
      <c r="OY66" s="155">
        <f>$OW66-$OX66</f>
        <v/>
      </c>
      <c r="OZ66" s="155">
        <f>IF($MQ66=0,0,INDEX($P$2:$P$8,MAX(1,$MQ66)))</f>
        <v/>
      </c>
      <c r="PA66" s="155">
        <f>$OZ66-$OU66+$OX66</f>
        <v/>
      </c>
      <c r="PB66" s="155">
        <f>IF($MQ66=0,MAX(0,$NE66-IF($OS66&gt;0,1,0)),MAX(0,$PA66))</f>
        <v/>
      </c>
      <c r="PC66" s="155">
        <f>IF($MQ66=0,0,(IF(COUNTIF($MV66:$MY66,"Salto")&gt;0,1,0)+IF(COUNTIF($MV66:$MY66,"Queima")&gt;0,1,0)+IF(COUNTIF($MV66:$MY66,"Estilhaço")&gt;0,1,0))*FLOOR($PB66/2,1))</f>
        <v/>
      </c>
      <c r="PD66" s="155">
        <f>MAX(0,2-SUMPRODUCT($OK66:$OP66,$I$2:$N$2)+MIN(2,$OQ66*1+$OR66*1,SUMPRODUCT($OK66:$OP66,$I$2:$N$2)))</f>
        <v/>
      </c>
      <c r="PE66" s="155">
        <f>MAX(0,4-SUMPRODUCT($OK66:$OP66,$I$3:$N$3)+MIN(4,$OQ66*1+$OR66*2,SUMPRODUCT($OK66:$OP66,$I$3:$N$3)))</f>
        <v/>
      </c>
      <c r="PF66" s="155">
        <f>MAX(0,6-SUMPRODUCT($OK66:$OP66,$I$4:$N$4)+MIN(6,$OQ66*2+$OR66*3,SUMPRODUCT($OK66:$OP66,$I$4:$N$4)))</f>
        <v/>
      </c>
      <c r="PG66" s="155">
        <f>MAX(0,9-SUMPRODUCT($OK66:$OP66,$I$5:$N$5)+MIN(8,$OQ66*2+$OR66*4,SUMPRODUCT($OK66:$OP66,$I$5:$N$5)))</f>
        <v/>
      </c>
      <c r="PH66" s="155">
        <f>MAX(0,11-SUMPRODUCT($OK66:$OP66,$I$6:$N$6)+MIN(10,$OQ66*3+$OR66*5,SUMPRODUCT($OK66:$OP66,$I$6:$N$6)))</f>
        <v/>
      </c>
      <c r="PI66" s="155">
        <f>MAX(0,13-SUMPRODUCT($OK66:$OP66,$I$7:$N$7)+MIN(12,$OQ66*3+$OR66*6,SUMPRODUCT($OK66:$OP66,$I$7:$N$7)))</f>
        <v/>
      </c>
      <c r="PJ66" s="155">
        <f>MAX(0,16-SUMPRODUCT($OK66:$OP66,$I$8:$N$8)+MIN(14,$OQ66*4+$OR66*7,SUMPRODUCT($OK66:$OP66,$I$8:$N$8)))</f>
        <v/>
      </c>
      <c r="PK66" s="155">
        <f>IF($OE66=2,3*$PD66&amp;" de vida temp.",IF($OE66=3,"sem dano",IF($PD66=0,IF($OE66=1,"sem cura","sem dano"),IF($OE66=1,"cura ","")&amp;$PD66&amp;"d8")))</f>
        <v/>
      </c>
      <c r="PL66" s="155">
        <f>IF($OE66=2,3*$PE66&amp;" de vida temp.",IF($OE66=3,"sem dano",IF($PE66=0,IF($OE66=1,"sem cura","sem dano"),IF($OE66=1,"cura ","")&amp;$PE66&amp;"d8")))</f>
        <v/>
      </c>
      <c r="PM66" s="155">
        <f>IF($OE66=2,3*$PF66&amp;" de vida temp.",IF($OE66=3,"sem dano",IF($PF66=0,IF($OE66=1,"sem cura","sem dano"),IF($OE66=1,"cura ","")&amp;$PF66&amp;"d8")))</f>
        <v/>
      </c>
      <c r="PN66" s="155">
        <f>IF($OE66=2,3*$PG66&amp;" de vida temp.",IF($OE66=3,"sem dano",IF($PG66=0,IF($OE66=1,"sem cura","sem dano"),IF($OE66=1,"cura ","")&amp;$PG66&amp;"d8")))</f>
        <v/>
      </c>
      <c r="PO66" s="155">
        <f>IF($OE66=2,3*$PH66&amp;" de vida temp.",IF($OE66=3,"sem dano",IF($PH66=0,IF($OE66=1,"sem cura","sem dano"),IF($OE66=1,"cura ","")&amp;$PH66&amp;"d8")))</f>
        <v/>
      </c>
      <c r="PP66" s="155">
        <f>IF($OE66=2,3*$PI66&amp;" de vida temp.",IF($OE66=3,"sem dano",IF($PI66=0,IF($OE66=1,"sem cura","sem dano"),IF($OE66=1,"cura ","")&amp;$PI66&amp;"d8")))</f>
        <v/>
      </c>
      <c r="PQ66" s="155">
        <f>IF($OE66=2,3*$PJ66&amp;" de vida temp.",IF($OE66=3,"sem dano",IF($PJ66=0,IF($OE66=1,"sem cura","sem dano"),IF($OE66=1,"cura ","")&amp;$PJ66&amp;"d8")))</f>
        <v/>
      </c>
      <c r="PR66" s="155">
        <f>IF($NB66=0,"",TEXTJOIN(" · ",TRUE,IF($MO66&gt;$NC66,"Este lugar abre no nível "&amp;$MO66,""),IF($MQ66&gt;$ND66,"Classe "&amp;$MQ66&amp;": o nível "&amp;$NC66&amp;" libera até a "&amp;$ND66,""),IF($NV66=1,"A Forma "&amp;$MS66&amp;" pede "&amp;INDEX($W$2:$W$11,$NH66)&amp;" aberta",""),IF(AND($MQ66=0,$NH66&gt;0,IF($NH66=0,0,INDEX($AF$2:$AF$11,$NH66))=0),$MS66&amp;" não existe na Classe 0",""),IF($NW66=1,"Família Fechada: "&amp;$MV66,""),IF($NX66=1,"Família Fechada: "&amp;$MW66,""),IF($NY66=1,"Família Fechada: "&amp;$MX66,""),IF($NZ66=1,"Família Fechada: "&amp;$MY66,""),IF(AND($MQ66&gt;0,$OS66&gt;INDEX($O$2:$O$8,MAX(1,$MQ66))),$OS66&amp;" Melhorias: a Classe "&amp;$MQ66&amp;" aceita "&amp;INDEX($O$2:$O$8,MAX(1,$MQ66)),""),IF(AND($MQ66=0,$OS66&gt;1),"A básica aceita uma Melhoria",""),IF(AND($MQ66=0,COUNTIF($NM66:$NP66,"&gt;1")&gt;0),"A básica só aceita Melhoria Leve",""),IF(AND($MQ66&gt;0,$OT66&gt;2),$OT66&amp;" Restrições"&amp;IF($OD66=1,", contando a que a Forma "&amp;$MS66&amp;" já traz","")&amp;": o limite é 2",""),IF(AND($MQ66=0,COUNTIF($MZ66:$NA66,"?*")&gt;1),"A básica aceita uma Restrição Leve",""),IF(AND($MQ66=0,COUNTIF($OG66:$OH66,2)&gt;0),"A básica só aceita Restrição Leve",""),IF(AND($MQ66&gt;0,$PA66&lt;0),"Orçamento estourado: faltam "&amp;(-$PA66)&amp;IF($PA66&lt;-1," pontos"," ponto"),""),IF(IFERROR(VLOOKUP($MZ66,$BC$2:$BG$24,4,FALSE),0)+IFERROR(VLOOKUP($NA66,$BC$2:$BG$24,4,FALSE),0)&gt;1,$OI66&amp;" e "&amp;$OJ66&amp;" são as duas de frequência",""),IF(AND((COUNTIF($MV66:$MY66,"Rápido")+COUNTIF($OI66:$OJ66,"Rápido"))&gt;0,(COUNTIF($MV66:$MY66,"Atrasar")+COUNTIF($OI66:$OJ66,"Atrasar"))&gt;0),"Rápido não entra com Atrasar",""),IF(AND((COUNTIF($MV66:$MY66,"Reação")+COUNTIF($OI66:$OJ66,"Reação"))&gt;0,(COUNTIF($MV66:$MY66,"Rápido")+COUNTIF($OI66:$OJ66,"Rápido"))&gt;0),"Reação não entra com Rápido",""),IF(AND((COUNTIF($MV66:$MY66,"Reação")+COUNTIF($OI66:$OJ66,"Reação"))&gt;0,(COUNTIF($MV66:$MY66,"Armado")+COUNTIF($OI66:$OJ66,"Armado"))&gt;0),"Reação não entra com Armado",""),IF(AND((COUNTIF($MV66:$MY66,"Reação")+COUNTIF($OI66:$OJ66,"Reação"))&gt;0,(COUNTIF($MV66:$MY66,"Atrasar")+COUNTIF($OI66:$OJ66,"Atrasar"))&gt;0),"Reação não entra com Atrasar",""),IF(AND((COUNTIF($MV66:$MY66,"Reação")+COUNTIF($OI66:$OJ66,"Reação"))&gt;0,(COUNTIF($MV66:$MY66,"Parado")+COUNTIF($OI66:$OJ66,"Parado"))&gt;0),"Reação não entra com Parado",""),IF(AND((COUNTIF($MV66:$MY66,"Atrasar")+COUNTIF($OI66:$OJ66,"Atrasar"))&gt;0,(COUNTIF($MV66:$MY66,"Parado")+COUNTIF($OI66:$OJ66,"Parado"))&gt;0),"Atrasar não entra com Parado",""),IF(AND((COUNTIF($MV66:$MY66,"Armado")+COUNTIF($OI66:$OJ66,"Armado"))&gt;0,(COUNTIF($MV66:$MY66,"Carregar")+COUNTIF($OI66:$OJ66,"Carregar"))&gt;0),"Armado não entra com Carregar",""),IF(AND(COUNTIF($OI66:$OJ66,"Corpo a Corpo")&gt;0,$OD66=0,OR($MS66="Cone",$MS66="Linha")),"Corpo a Corpo não entra em "&amp;$MS66,""),IF(AND(COUNTIF($OI66:$OJ66,"Corpo a Corpo")&gt;0,$OD66=1),"A Forma "&amp;$MS66&amp;" já traz o Corpo a Corpo",""),IF(AND(COUNTIF($OI66:$OJ66,"Tudo ou Nada")&gt;0,$OF66=0),"Tudo ou Nada só entra em habilidade de Teste de Resistência",""),IF(AND(COUNTIF($MV66:$MY66,"Inescapável")&gt;0,OR($OS66&gt;1,$OT66&gt;0)),"Inescapável não aceita outra peça",""),IF(AND($MQ66&gt;0,$PB66*IF(COUNTIF($MV66:$MY66,"Remate")&gt;0,1.25,1)+$PC66&gt;4*$MQ66),($PB66*IF(COUNTIF($MV66:$MY66,"Remate")&gt;0,1.25,1)+$PC66)&amp;" dados somando repetições"&amp;IF(COUNTIF($MV66:$MY66,"Remate")&gt;0," e o Remate","")&amp;": o teto da Classe "&amp;$MQ66&amp;" é "&amp;4*$MQ66,"")))</f>
        <v/>
      </c>
      <c r="PS66" s="155">
        <f>IF($PR66="",0,(LEN($PR66)-LEN(SUBSTITUTE($PR66," · ","")))/3+1)</f>
        <v/>
      </c>
      <c r="PT66" s="155">
        <f>IF($NB66=0,"",TEXTJOIN(" · ",TRUE,IF($OV66&gt;2*$MQ66,"A devolução parou no teto de "&amp;2*$MQ66,""),IF($OY66&gt;0,"Devolução perdida: "&amp;$OY66&amp;IF($OY66&gt;1," pontos"," ponto")&amp;" sem peça para pagar",""),IF(AND($OA66&gt;0,AND($MQ66&gt;0,$OE66=0),$PB66=0),"Controle sem dano: uma rodada a mais e CD +2",""),IF(AND($OA66&gt;0,AND($MQ66&gt;0,$OE66=0),$PB66&gt;0,$PB66&lt;=$MQ66),"Controle com saldo até a Classe: uma rodada a mais",""),IF(AND($MQ66&gt;0,$OC66&lt;&gt;""),"Efeito de "&amp;$OC66&amp;" pela Classe "&amp;MAX(1,$MQ66-1),"")))</f>
        <v/>
      </c>
      <c r="PU66" s="155">
        <f>IF($PT66="",0,(LEN($PT66)-LEN(SUBSTITUTE($PT66," · ","")))/3+1)</f>
        <v/>
      </c>
      <c r="PV66" s="155">
        <f>IF($NB66=0,IF($OS66+COUNTIF($MZ66:$NA66,"?*")&gt;0,"Dê um nome",""),IF($PS66&gt;0,"⚠ "&amp;$PS66&amp;IF($PS66&gt;1," erros"," erro"),IF($PU66&gt;0,"! "&amp;$PU66&amp;IF($PU66&gt;1," avisos"," aviso"),"Na regra")))</f>
        <v/>
      </c>
      <c r="PW66" s="155">
        <f>IF($NB66=0,"",IF($PS66+$PU66=0,"Dentro das regras que a ficha confere",$PR66&amp;IF(AND($PS66&gt;0,$PU66&gt;0)," · ","")&amp;$PT66))</f>
        <v/>
      </c>
      <c r="PX66" s="155">
        <f>IF($MO66&gt;$NC66,$MP66&amp;" · ABRE NO NÍVEL "&amp;$MO66,$MP66)</f>
        <v/>
      </c>
      <c r="PY66" s="155">
        <f>IF($NB66=0,"",IF($MQ66=0,"Sem PE",3*$MQ66&amp;" PE"))</f>
        <v/>
      </c>
      <c r="PZ66" s="155">
        <f>IF($NB66=0,"",IF($MQ66=0,"A atuação básica dela",IF(COUNTIF($OI66:$OJ66,"Atrasar")&gt;0,"Sua Ação Completa",IF(COUNTIF($MV66:$MY66,"Rápido")&gt;0,"Sua Bônus",IF(COUNTIF($MV66:$MY66,"Reação")&gt;0,"Sua Reação","Sua Padrão")))&amp;" + a básica dela"&amp;IF(COUNTIF($MV66:$MY66,"Reação")&gt;0," e a coletiva","")&amp;IF(COUNTIF($OI66:$OJ66,"Carregar")&gt;0," · em dois turnos","")))</f>
        <v/>
      </c>
      <c r="QA66" s="155">
        <f>IF($MU66&lt;&gt;"",$MU66,IF($NH66=0,"",INDEX($AA$2:$AA$11,$NH66)))</f>
        <v/>
      </c>
      <c r="QB66" s="155">
        <f>IF(OR($NB66=0,$NH66=0),"",IF(COUNTIF($MV66:$MY66,"Inescapável")&gt;0,"Automático",IF($QA66="Ataque",IF($NF66="","Ataque","Ataque "&amp;IF(($NF66+2*IF(COUNTIF($MV66:$MY66,"Precisão")&gt;0,1,0))&gt;=0,"+","−")&amp;ABS(($NF66+2*IF(COUNTIF($MV66:$MY66,"Precisão")&gt;0,1,0))))&amp;IF($OB66&gt;0," · TR"&amp;IF($NG66="",""," CD "&amp;$NG66),""),IF(LEFT($QA66,2)="TR",$QA66&amp;IF($NG66="",""," · CD "&amp;$NG66)&amp;IF(COUNTIF($MV66:$MY66,"Certeiro")&gt;0," · metade",""),"Sem rolagem"))))</f>
        <v/>
      </c>
      <c r="QC66" s="155">
        <f>IF(OR($NB66=0,$NH66=0),"",IF($MQ66=0,IF(OR($OE66&gt;=1,$PB66=0),"Sem dano",$PB66&amp;"d6"&amp;IF($MT66="",""," "&amp;$MT66)),IF(OR($OE66&gt;=1,$PB66=0),UPPER(LEFT(INDEX($PK66:$PQ66,1,MAX(1,$MQ66)),1))&amp;MID(INDEX($PK66:$PQ66,1,MAX(1,$MQ66)),2,99),UPPER(LEFT(INDEX($PK66:$PQ66,1,MAX(1,$MQ66)),1))&amp;MID(INDEX($PK66:$PQ66,1,MAX(1,$MQ66)),2,99)&amp;IF($MT66="",""," "&amp;$MT66)&amp;IF($PC66&gt;0," · +"&amp;$PC66&amp;"d8",""))))</f>
        <v/>
      </c>
      <c r="QD66" s="155">
        <f>COUNTIF($MV66:$MY66,"Longe")+3*COUNTIF($MV66:$MY66,"Muito Longe")</f>
        <v/>
      </c>
      <c r="QE66" s="155">
        <f>COUNTIF($MV66:$MY66,"Maior")+3*COUNTIF($MV66:$MY66,"Muito Maior")</f>
        <v/>
      </c>
      <c r="QF66" s="155">
        <f>IF($NH66=0,0,CHOOSE(1+INDEX($AC$2:$AC$11,$NH66),0,$QD66,$QE66,$QD66+$QE66))</f>
        <v/>
      </c>
      <c r="QG66" s="155">
        <f>IF($NH66=0,0,CHOOSE(1+INDEX($AD$2:$AD$11,$NH66),0,$QD66,$QE66,$QD66+$QE66))</f>
        <v/>
      </c>
      <c r="QH66" s="155">
        <f>IF(OR($NB66=0,$NH66=0),"",INDEX($AI$2:$AN$41,($NH66-1)*4+IF($MQ66=0,1,IF($MQ66&lt;=5,2,IF($MQ66=6,3,4))),1+MIN(5,$QF66))&amp;INDEX($AO$2:$AT$41,($NH66-1)*4+IF($MQ66=0,1,IF($MQ66&lt;=5,2,IF($MQ66=6,3,4))),1+MIN(5,$QG66))&amp;IF(INDEX($AE$2:$AE$11,$NH66)=1,IF(COUNTIF($MV66:$MY66,"Mais Um")&gt;0," · +"&amp;COUNTIF($MV66:$MY66,"Mais Um")&amp;IF(COUNTIF($MV66:$MY66,"Mais Um")&gt;1," alvos"," alvo"),"")&amp;IF(COUNTIF($MV66:$MY66,"Rajada")&gt;0,IF($MQ66=0," · 1 tiro"," · "&amp;(MAX(1,$MQ66-1)+1)&amp;" tiros"),""),""))</f>
        <v/>
      </c>
      <c r="QI66" s="155">
        <f>IF($NB66=0,"",IF($MQ66=0,$NE66&amp;"d6"&amp;IF($OS66&gt;0," − 1 = "&amp;$PB66&amp;"d6"," da básica do nível "&amp;$NC66),$OZ66&amp;" − "&amp;$OU66&amp;" + "&amp;$OX66&amp;" = "&amp;$PA66&amp;" · teto "&amp;4*$MQ66&amp;"d8"&amp;IF($OD66=1," · a Forma devolve "&amp;$MQ66,"")&amp;IF($OY66&gt;0," · perde "&amp;$OY66,"")))</f>
        <v/>
      </c>
      <c r="QJ66" s="155">
        <f>IF($NB66=0,"",IF($MQ66=0,"A básica não amplia: os dados dela sobem com o nível",IF($MQ66&gt;=$ND66,"Já está na maior Classe que o nível liberou",TEXTJOIN(" · ",TRUE,IF(AND(2&gt;$MQ66,2&lt;=$ND66),"2 → "&amp;$PL66&amp;", 6 PE",""),IF(AND(3&gt;$MQ66,3&lt;=$ND66),"3 → "&amp;$PM66&amp;", 9 PE",""),IF(AND(4&gt;$MQ66,4&lt;=$ND66),"4 → "&amp;$PN66&amp;", 12 PE",""),IF(AND(5&gt;$MQ66,5&lt;=$ND66),"5 → "&amp;$PO66&amp;", 15 PE",""),IF(AND(6&gt;$MQ66,6&lt;=$ND66),"6 → "&amp;$PP66&amp;", 18 PE",""),IF(AND(7&gt;$MQ66,7&lt;=$ND66),"7 → "&amp;$PQ66&amp;", 21 PE","")))))</f>
        <v/>
      </c>
      <c r="QK66" s="155">
        <f>IF(OR($NB66=0,$NM66=0),"",IF($MQ66=0,"−1 dado","−"&amp;INDEX($I$2:$N$8,MAX(1,$MQ66),MAX(1,$NR66))&amp;" · "&amp;CHOOSE(MAX(1,$NR66),"Leve","Média","Pesada","Leve · Livre","Média · Livre","Pesada · Livre")))</f>
        <v/>
      </c>
      <c r="QL66" s="155">
        <f>IF(OR($NB66=0,$NN66=0),"",IF($MQ66=0,"−1 dado","−"&amp;INDEX($I$2:$N$8,MAX(1,$MQ66),MAX(1,$NS66))&amp;" · "&amp;CHOOSE(MAX(1,$NS66),"Leve","Média","Pesada","Leve · Livre","Média · Livre","Pesada · Livre")))</f>
        <v/>
      </c>
      <c r="QM66" s="155">
        <f>IF(OR($NB66=0,$NO66=0),"",IF($MQ66=0,"−1 dado","−"&amp;INDEX($I$2:$N$8,MAX(1,$MQ66),MAX(1,$NT66))&amp;" · "&amp;CHOOSE(MAX(1,$NT66),"Leve","Média","Pesada","Leve · Livre","Média · Livre","Pesada · Livre")))</f>
        <v/>
      </c>
      <c r="QN66" s="155">
        <f>IF(OR($NB66=0,$NP66=0),"",IF($MQ66=0,"−1 dado","−"&amp;INDEX($I$2:$N$8,MAX(1,$MQ66),MAX(1,$NU66))&amp;" · "&amp;CHOOSE(MAX(1,$NU66),"Leve","Média","Pesada","Leve · Livre","Média · Livre","Pesada · Livre")))</f>
        <v/>
      </c>
      <c r="QO66" s="155">
        <f>IF(OR($NB66=0,$MZ66=""),"",IF($MQ66=0,"não devolve","+"&amp;IF($OG66=1,CEILING($MQ66/2,1),$MQ66)))</f>
        <v/>
      </c>
      <c r="QP66" s="155">
        <f>IF(OR($NB66=0,$NA66=""),"",IF($MQ66=0,"não devolve","+"&amp;IF($OH66=1,CEILING($MQ66/2,1),$MQ66)))</f>
        <v/>
      </c>
    </row>
    <row r="67">
      <c r="AV67" s="153" t="inlineStr">
        <is>
          <t>Duradoura</t>
        </is>
      </c>
      <c r="AW67" s="153" t="inlineStr">
        <is>
          <t>Tempo</t>
        </is>
      </c>
      <c r="AX67" s="155" t="n">
        <v>2</v>
      </c>
      <c r="AY67" s="155" t="n">
        <v>0</v>
      </c>
      <c r="AZ67" s="155" t="n">
        <v>0</v>
      </c>
      <c r="BA67" s="155" t="n">
        <v>0</v>
      </c>
      <c r="JR67" s="155">
        <f>IF(OR($AW67="",COUNTIF($EJ$2:$EN$2,$AW67)&gt;0),$AV67,"")</f>
        <v/>
      </c>
      <c r="JS67" s="155">
        <f>IF(AND($AX67=1,OR($AW67="",COUNTIF($EJ$2:$EN$2,$AW67)&gt;0)),$AV67,"")</f>
        <v/>
      </c>
      <c r="JX67" s="155">
        <f>IF(OR($AW67="",COUNTIF($EJ$3:$EN$3,$AW67)&gt;0),$AV67,"")</f>
        <v/>
      </c>
      <c r="JY67" s="155">
        <f>IF(AND($AX67=1,OR($AW67="",COUNTIF($EJ$3:$EN$3,$AW67)&gt;0)),$AV67,"")</f>
        <v/>
      </c>
      <c r="KD67" s="155">
        <f>IF(OR($AW67="",COUNTIF($EJ$4:$EN$4,$AW67)&gt;0),$AV67,"")</f>
        <v/>
      </c>
      <c r="KE67" s="155">
        <f>IF(AND($AX67=1,OR($AW67="",COUNTIF($EJ$4:$EN$4,$AW67)&gt;0)),$AV67,"")</f>
        <v/>
      </c>
      <c r="KJ67" s="155">
        <f>IF(OR($AW67="",COUNTIF($EJ$5:$EN$5,$AW67)&gt;0),$AV67,"")</f>
        <v/>
      </c>
      <c r="KK67" s="155">
        <f>IF(AND($AX67=1,OR($AW67="",COUNTIF($EJ$5:$EN$5,$AW67)&gt;0)),$AV67,"")</f>
        <v/>
      </c>
      <c r="KP67" s="155">
        <f>IF(OR($AW67="",COUNTIF($EJ$6:$EN$6,$AW67)&gt;0),$AV67,"")</f>
        <v/>
      </c>
      <c r="KQ67" s="155">
        <f>IF(AND($AX67=1,OR($AW67="",COUNTIF($EJ$6:$EN$6,$AW67)&gt;0)),$AV67,"")</f>
        <v/>
      </c>
      <c r="KV67" s="155">
        <f>IF(OR($AW67="",COUNTIF($EJ$7:$EN$7,$AW67)&gt;0),$AV67,"")</f>
        <v/>
      </c>
      <c r="KW67" s="155">
        <f>IF(AND($AX67=1,OR($AW67="",COUNTIF($EJ$7:$EN$7,$AW67)&gt;0)),$AV67,"")</f>
        <v/>
      </c>
      <c r="LB67" s="155">
        <f>IF(OR($AW67="",COUNTIF($EJ$8:$EN$8,$AW67)&gt;0),$AV67,"")</f>
        <v/>
      </c>
      <c r="LC67" s="155">
        <f>IF(AND($AX67=1,OR($AW67="",COUNTIF($EJ$8:$EN$8,$AW67)&gt;0)),$AV67,"")</f>
        <v/>
      </c>
      <c r="LH67" s="155">
        <f>IF(OR($AW67="",COUNTIF($EJ$9:$EN$9,$AW67)&gt;0),$AV67,"")</f>
        <v/>
      </c>
      <c r="LI67" s="155">
        <f>IF(AND($AX67=1,OR($AW67="",COUNTIF($EJ$9:$EN$9,$AW67)&gt;0)),$AV67,"")</f>
        <v/>
      </c>
      <c r="LN67" s="155">
        <f>IF(OR($AW67="",COUNTIF($EJ$10:$EN$10,$AW67)&gt;0),$AV67,"")</f>
        <v/>
      </c>
      <c r="LO67" s="155">
        <f>IF(AND($AX67=1,OR($AW67="",COUNTIF($EJ$10:$EN$10,$AW67)&gt;0)),$AV67,"")</f>
        <v/>
      </c>
      <c r="LT67" s="155">
        <f>IF(OR($AW67="",COUNTIF($EJ$11:$EN$11,$AW67)&gt;0),$AV67,"")</f>
        <v/>
      </c>
      <c r="LU67" s="155">
        <f>IF(AND($AX67=1,OR($AW67="",COUNTIF($EJ$11:$EN$11,$AW67)&gt;0)),$AV67,"")</f>
        <v/>
      </c>
      <c r="LZ67" s="155">
        <f>IF(OR($AW67="",COUNTIF($EJ$12:$EN$12,$AW67)&gt;0),$AV67,"")</f>
        <v/>
      </c>
      <c r="MA67" s="155">
        <f>IF(AND($AX67=1,OR($AW67="",COUNTIF($EJ$12:$EN$12,$AW67)&gt;0)),$AV67,"")</f>
        <v/>
      </c>
      <c r="MF67" s="155">
        <f>IF(OR($AW67="",COUNTIF($EJ$13:$EN$13,$AW67)&gt;0),$AV67,"")</f>
        <v/>
      </c>
      <c r="MG67" s="155">
        <f>IF(AND($AX67=1,OR($AW67="",COUNTIF($EJ$13:$EN$13,$AW67)&gt;0)),$AV67,"")</f>
        <v/>
      </c>
      <c r="ML67" s="153" t="inlineStr">
        <is>
          <t>Ficha 6 · Básica 1</t>
        </is>
      </c>
      <c r="MM67" s="155" t="n">
        <v>6</v>
      </c>
      <c r="MN67" s="155" t="n">
        <v>0</v>
      </c>
      <c r="MO67" s="155" t="n">
        <v>1</v>
      </c>
      <c r="MP67" s="153" t="inlineStr">
        <is>
          <t>BÁSICA 1</t>
        </is>
      </c>
      <c r="MQ67" s="155" t="n">
        <v>0</v>
      </c>
      <c r="MR67" s="155">
        <f>'INVOCAÇÕES'!$J$1048&amp;""</f>
        <v/>
      </c>
      <c r="MS67" s="155">
        <f>'INVOCAÇÕES'!$I$1053&amp;""</f>
        <v/>
      </c>
      <c r="MT67" s="155">
        <f>'INVOCAÇÕES'!$I$1054&amp;""</f>
        <v/>
      </c>
      <c r="MU67" s="155">
        <f>'INVOCAÇÕES'!$K$1054&amp;""</f>
        <v/>
      </c>
      <c r="MV67" s="155">
        <f>'INVOCAÇÕES'!$J$1057&amp;""</f>
        <v/>
      </c>
      <c r="MW67" s="155">
        <f>'INVOCAÇÕES'!$J$1058&amp;""</f>
        <v/>
      </c>
      <c r="MX67" s="155">
        <f>'INVOCAÇÕES'!$J$1059&amp;""</f>
        <v/>
      </c>
      <c r="MY67" s="155">
        <f>'INVOCAÇÕES'!$J$1060&amp;""</f>
        <v/>
      </c>
      <c r="MZ67" s="155">
        <f>'INVOCAÇÕES'!$J$1061&amp;""</f>
        <v/>
      </c>
      <c r="NA67" s="155">
        <f>'INVOCAÇÕES'!$J$1062&amp;""</f>
        <v/>
      </c>
      <c r="NB67" s="155">
        <f>IF($MR67&lt;&gt;"",1,0)</f>
        <v/>
      </c>
      <c r="NC67" s="155">
        <f>INDEX($FM$2:$FM$13,$MM67)</f>
        <v/>
      </c>
      <c r="ND67" s="155">
        <f>INDEX($FN$2:$FN$13,$MM67)</f>
        <v/>
      </c>
      <c r="NE67" s="155">
        <f>INDEX($FO$2:$FO$13,$MM67)</f>
        <v/>
      </c>
      <c r="NF67" s="155">
        <f>INDEX($FZ$2:$FZ$13,$MM67)</f>
        <v/>
      </c>
      <c r="NG67" s="155">
        <f>INDEX($GA$2:$GA$13,$MM67)</f>
        <v/>
      </c>
      <c r="NH67" s="155">
        <f>IFERROR(MATCH($MS67,$V$2:$V$11,0),0)</f>
        <v/>
      </c>
      <c r="NI67" s="155">
        <f>IFERROR(VLOOKUP($MV67,$AV$2:$BA$84,2,FALSE),"")</f>
        <v/>
      </c>
      <c r="NJ67" s="155">
        <f>IFERROR(VLOOKUP($MW67,$AV$2:$BA$84,2,FALSE),"")</f>
        <v/>
      </c>
      <c r="NK67" s="155">
        <f>IFERROR(VLOOKUP($MX67,$AV$2:$BA$84,2,FALSE),"")</f>
        <v/>
      </c>
      <c r="NL67" s="155">
        <f>IFERROR(VLOOKUP($MY67,$AV$2:$BA$84,2,FALSE),"")</f>
        <v/>
      </c>
      <c r="NM67" s="155">
        <f>IFERROR(VLOOKUP($MV67,$AV$2:$BA$84,3,FALSE),0)</f>
        <v/>
      </c>
      <c r="NN67" s="155">
        <f>IFERROR(VLOOKUP($MW67,$AV$2:$BA$84,3,FALSE),0)</f>
        <v/>
      </c>
      <c r="NO67" s="155">
        <f>IFERROR(VLOOKUP($MX67,$AV$2:$BA$84,3,FALSE),0)</f>
        <v/>
      </c>
      <c r="NP67" s="155">
        <f>IFERROR(VLOOKUP($MY67,$AV$2:$BA$84,3,FALSE),0)</f>
        <v/>
      </c>
      <c r="NQ67" s="155">
        <f>IF($MQ67=0,0,IF($NH67=0,0,INDEX($X$2:$X$11,$NH67)))</f>
        <v/>
      </c>
      <c r="NR67" s="155">
        <f>IF(OR($NM67=0,$MQ67=0),0,$NM67+3*IF(AND($NI67&lt;&gt;"",OR($NI67=INDEX($EJ$2:$EJ$13,$MM67),$NI67=INDEX($EK$2:$EK$13,$MM67))),1,0))</f>
        <v/>
      </c>
      <c r="NS67" s="155">
        <f>IF(OR($NN67=0,$MQ67=0),0,$NN67+3*IF(AND($NJ67&lt;&gt;"",OR($NJ67=INDEX($EJ$2:$EJ$13,$MM67),$NJ67=INDEX($EK$2:$EK$13,$MM67))),1,0))</f>
        <v/>
      </c>
      <c r="NT67" s="155">
        <f>IF(OR($NO67=0,$MQ67=0),0,$NO67+3*IF(AND($NK67&lt;&gt;"",OR($NK67=INDEX($EJ$2:$EJ$13,$MM67),$NK67=INDEX($EK$2:$EK$13,$MM67))),1,0))</f>
        <v/>
      </c>
      <c r="NU67" s="155">
        <f>IF(OR($NP67=0,$MQ67=0),0,$NP67+3*IF(AND($NL67&lt;&gt;"",OR($NL67=INDEX($EJ$2:$EJ$13,$MM67),$NL67=INDEX($EK$2:$EK$13,$MM67))),1,0))</f>
        <v/>
      </c>
      <c r="NV67" s="155">
        <f>IF($NH67=0,0,IF(INDEX($W$2:$W$11,$NH67)="",0,IF(COUNTIF(INDEX($EJ$2:$EN$13,$MM67,0),INDEX($W$2:$W$11,$NH67))=0,1,0)))</f>
        <v/>
      </c>
      <c r="NW67" s="155">
        <f>IF(OR($NM67=0,$NI67=""),0,IF(COUNTIF(INDEX($EJ$2:$EN$13,$MM67,0),$NI67)=0,1,0))</f>
        <v/>
      </c>
      <c r="NX67" s="155">
        <f>IF(OR($NN67=0,$NJ67=""),0,IF(COUNTIF(INDEX($EJ$2:$EN$13,$MM67,0),$NJ67)=0,1,0))</f>
        <v/>
      </c>
      <c r="NY67" s="155">
        <f>IF(OR($NO67=0,$NK67=""),0,IF(COUNTIF(INDEX($EJ$2:$EN$13,$MM67,0),$NK67)=0,1,0))</f>
        <v/>
      </c>
      <c r="NZ67" s="155">
        <f>IF(OR($NP67=0,$NL67=""),0,IF(COUNTIF(INDEX($EJ$2:$EN$13,$MM67,0),$NL67)=0,1,0))</f>
        <v/>
      </c>
      <c r="OA67" s="155">
        <f>IFERROR(VLOOKUP($MV67,$AV$2:$BA$84,4,FALSE),0)+IFERROR(VLOOKUP($MW67,$AV$2:$BA$84,4,FALSE),0)+IFERROR(VLOOKUP($MX67,$AV$2:$BA$84,4,FALSE),0)+IFERROR(VLOOKUP($MY67,$AV$2:$BA$84,4,FALSE),0)</f>
        <v/>
      </c>
      <c r="OB67" s="155">
        <f>IFERROR(VLOOKUP($MV67,$AV$2:$BA$84,6,FALSE),0)+IFERROR(VLOOKUP($MW67,$AV$2:$BA$84,6,FALSE),0)+IFERROR(VLOOKUP($MX67,$AV$2:$BA$84,6,FALSE),0)+IFERROR(VLOOKUP($MY67,$AV$2:$BA$84,6,FALSE),0)</f>
        <v/>
      </c>
      <c r="OC67" s="155">
        <f>TEXTJOIN(", ",TRUE,IF(IFERROR(VLOOKUP($MV67,$AV$2:$BA$84,5,FALSE),0)=1,$MV67,""),IF(IFERROR(VLOOKUP($MW67,$AV$2:$BA$84,5,FALSE),0)=1,$MW67,""),IF(IFERROR(VLOOKUP($MX67,$AV$2:$BA$84,5,FALSE),0)=1,$MX67,""),IF(IFERROR(VLOOKUP($MY67,$AV$2:$BA$84,5,FALSE),0)=1,$MY67,""))</f>
        <v/>
      </c>
      <c r="OD67" s="155">
        <f>IF($NH67=0,0,INDEX($Y$2:$Y$11,$NH67))</f>
        <v/>
      </c>
      <c r="OE67" s="155">
        <f>IF($NH67=0,0,INDEX($Z$2:$Z$11,$NH67))</f>
        <v/>
      </c>
      <c r="OF67" s="155">
        <f>IF($NH67=0,0,INDEX($AB$2:$AB$11,$NH67))</f>
        <v/>
      </c>
      <c r="OG67" s="155">
        <f>IFERROR(VLOOKUP($MZ67,$BC$2:$BG$24,3,FALSE),0)</f>
        <v/>
      </c>
      <c r="OH67" s="155">
        <f>IFERROR(VLOOKUP($NA67,$BC$2:$BG$24,3,FALSE),0)</f>
        <v/>
      </c>
      <c r="OI67" s="155">
        <f>IFERROR(VLOOKUP($MZ67,$BC$2:$BG$24,2,FALSE),"")</f>
        <v/>
      </c>
      <c r="OJ67" s="155">
        <f>IFERROR(VLOOKUP($NA67,$BC$2:$BG$24,2,FALSE),"")</f>
        <v/>
      </c>
      <c r="OK67" s="155">
        <f>COUNTIF($NQ67:$NU67,1)</f>
        <v/>
      </c>
      <c r="OL67" s="155">
        <f>COUNTIF($NQ67:$NU67,2)</f>
        <v/>
      </c>
      <c r="OM67" s="155">
        <f>COUNTIF($NQ67:$NU67,3)</f>
        <v/>
      </c>
      <c r="ON67" s="155">
        <f>COUNTIF($NQ67:$NU67,4)</f>
        <v/>
      </c>
      <c r="OO67" s="155">
        <f>COUNTIF($NQ67:$NU67,5)</f>
        <v/>
      </c>
      <c r="OP67" s="155">
        <f>COUNTIF($NQ67:$NU67,6)</f>
        <v/>
      </c>
      <c r="OQ67" s="155">
        <f>COUNTIF($OG67:$OH67,1)</f>
        <v/>
      </c>
      <c r="OR67" s="155">
        <f>COUNTIF($OG67:$OH67,2)+$OD67</f>
        <v/>
      </c>
      <c r="OS67" s="155">
        <f>COUNTIF($MV67:$MY67,"?*")</f>
        <v/>
      </c>
      <c r="OT67" s="155">
        <f>COUNTIF($MZ67:$NA67,"?*")+$OD67</f>
        <v/>
      </c>
      <c r="OU67" s="155">
        <f>IF($MQ67=0,0,SUMPRODUCT($OK67:$OP67,INDEX($I$2:$N$8,MAX(1,$MQ67),0)))</f>
        <v/>
      </c>
      <c r="OV67" s="155">
        <f>IF($MQ67=0,0,$OQ67*CEILING($MQ67/2,1)+$OR67*$MQ67)</f>
        <v/>
      </c>
      <c r="OW67" s="155">
        <f>MIN(2*$MQ67,$OV67)</f>
        <v/>
      </c>
      <c r="OX67" s="155">
        <f>MIN($OW67,$OU67)</f>
        <v/>
      </c>
      <c r="OY67" s="155">
        <f>$OW67-$OX67</f>
        <v/>
      </c>
      <c r="OZ67" s="155">
        <f>IF($MQ67=0,0,INDEX($P$2:$P$8,MAX(1,$MQ67)))</f>
        <v/>
      </c>
      <c r="PA67" s="155">
        <f>$OZ67-$OU67+$OX67</f>
        <v/>
      </c>
      <c r="PB67" s="155">
        <f>IF($MQ67=0,MAX(0,$NE67-IF($OS67&gt;0,1,0)),MAX(0,$PA67))</f>
        <v/>
      </c>
      <c r="PC67" s="155">
        <f>IF($MQ67=0,0,(IF(COUNTIF($MV67:$MY67,"Salto")&gt;0,1,0)+IF(COUNTIF($MV67:$MY67,"Queima")&gt;0,1,0)+IF(COUNTIF($MV67:$MY67,"Estilhaço")&gt;0,1,0))*FLOOR($PB67/2,1))</f>
        <v/>
      </c>
      <c r="PD67" s="155">
        <f>MAX(0,2-SUMPRODUCT($OK67:$OP67,$I$2:$N$2)+MIN(2,$OQ67*1+$OR67*1,SUMPRODUCT($OK67:$OP67,$I$2:$N$2)))</f>
        <v/>
      </c>
      <c r="PE67" s="155">
        <f>MAX(0,4-SUMPRODUCT($OK67:$OP67,$I$3:$N$3)+MIN(4,$OQ67*1+$OR67*2,SUMPRODUCT($OK67:$OP67,$I$3:$N$3)))</f>
        <v/>
      </c>
      <c r="PF67" s="155">
        <f>MAX(0,6-SUMPRODUCT($OK67:$OP67,$I$4:$N$4)+MIN(6,$OQ67*2+$OR67*3,SUMPRODUCT($OK67:$OP67,$I$4:$N$4)))</f>
        <v/>
      </c>
      <c r="PG67" s="155">
        <f>MAX(0,9-SUMPRODUCT($OK67:$OP67,$I$5:$N$5)+MIN(8,$OQ67*2+$OR67*4,SUMPRODUCT($OK67:$OP67,$I$5:$N$5)))</f>
        <v/>
      </c>
      <c r="PH67" s="155">
        <f>MAX(0,11-SUMPRODUCT($OK67:$OP67,$I$6:$N$6)+MIN(10,$OQ67*3+$OR67*5,SUMPRODUCT($OK67:$OP67,$I$6:$N$6)))</f>
        <v/>
      </c>
      <c r="PI67" s="155">
        <f>MAX(0,13-SUMPRODUCT($OK67:$OP67,$I$7:$N$7)+MIN(12,$OQ67*3+$OR67*6,SUMPRODUCT($OK67:$OP67,$I$7:$N$7)))</f>
        <v/>
      </c>
      <c r="PJ67" s="155">
        <f>MAX(0,16-SUMPRODUCT($OK67:$OP67,$I$8:$N$8)+MIN(14,$OQ67*4+$OR67*7,SUMPRODUCT($OK67:$OP67,$I$8:$N$8)))</f>
        <v/>
      </c>
      <c r="PK67" s="155">
        <f>IF($OE67=2,3*$PD67&amp;" de vida temp.",IF($OE67=3,"sem dano",IF($PD67=0,IF($OE67=1,"sem cura","sem dano"),IF($OE67=1,"cura ","")&amp;$PD67&amp;"d8")))</f>
        <v/>
      </c>
      <c r="PL67" s="155">
        <f>IF($OE67=2,3*$PE67&amp;" de vida temp.",IF($OE67=3,"sem dano",IF($PE67=0,IF($OE67=1,"sem cura","sem dano"),IF($OE67=1,"cura ","")&amp;$PE67&amp;"d8")))</f>
        <v/>
      </c>
      <c r="PM67" s="155">
        <f>IF($OE67=2,3*$PF67&amp;" de vida temp.",IF($OE67=3,"sem dano",IF($PF67=0,IF($OE67=1,"sem cura","sem dano"),IF($OE67=1,"cura ","")&amp;$PF67&amp;"d8")))</f>
        <v/>
      </c>
      <c r="PN67" s="155">
        <f>IF($OE67=2,3*$PG67&amp;" de vida temp.",IF($OE67=3,"sem dano",IF($PG67=0,IF($OE67=1,"sem cura","sem dano"),IF($OE67=1,"cura ","")&amp;$PG67&amp;"d8")))</f>
        <v/>
      </c>
      <c r="PO67" s="155">
        <f>IF($OE67=2,3*$PH67&amp;" de vida temp.",IF($OE67=3,"sem dano",IF($PH67=0,IF($OE67=1,"sem cura","sem dano"),IF($OE67=1,"cura ","")&amp;$PH67&amp;"d8")))</f>
        <v/>
      </c>
      <c r="PP67" s="155">
        <f>IF($OE67=2,3*$PI67&amp;" de vida temp.",IF($OE67=3,"sem dano",IF($PI67=0,IF($OE67=1,"sem cura","sem dano"),IF($OE67=1,"cura ","")&amp;$PI67&amp;"d8")))</f>
        <v/>
      </c>
      <c r="PQ67" s="155">
        <f>IF($OE67=2,3*$PJ67&amp;" de vida temp.",IF($OE67=3,"sem dano",IF($PJ67=0,IF($OE67=1,"sem cura","sem dano"),IF($OE67=1,"cura ","")&amp;$PJ67&amp;"d8")))</f>
        <v/>
      </c>
      <c r="PR67" s="155">
        <f>IF($NB67=0,"",TEXTJOIN(" · ",TRUE,IF($MO67&gt;$NC67,"Este lugar abre no nível "&amp;$MO67,""),IF($MQ67&gt;$ND67,"Classe "&amp;$MQ67&amp;": o nível "&amp;$NC67&amp;" libera até a "&amp;$ND67,""),IF($NV67=1,"A Forma "&amp;$MS67&amp;" pede "&amp;INDEX($W$2:$W$11,$NH67)&amp;" aberta",""),IF(AND($MQ67=0,$NH67&gt;0,IF($NH67=0,0,INDEX($AF$2:$AF$11,$NH67))=0),$MS67&amp;" não existe na Classe 0",""),IF($NW67=1,"Família Fechada: "&amp;$MV67,""),IF($NX67=1,"Família Fechada: "&amp;$MW67,""),IF($NY67=1,"Família Fechada: "&amp;$MX67,""),IF($NZ67=1,"Família Fechada: "&amp;$MY67,""),IF(AND($MQ67&gt;0,$OS67&gt;INDEX($O$2:$O$8,MAX(1,$MQ67))),$OS67&amp;" Melhorias: a Classe "&amp;$MQ67&amp;" aceita "&amp;INDEX($O$2:$O$8,MAX(1,$MQ67)),""),IF(AND($MQ67=0,$OS67&gt;1),"A básica aceita uma Melhoria",""),IF(AND($MQ67=0,COUNTIF($NM67:$NP67,"&gt;1")&gt;0),"A básica só aceita Melhoria Leve",""),IF(AND($MQ67&gt;0,$OT67&gt;2),$OT67&amp;" Restrições"&amp;IF($OD67=1,", contando a que a Forma "&amp;$MS67&amp;" já traz","")&amp;": o limite é 2",""),IF(AND($MQ67=0,COUNTIF($MZ67:$NA67,"?*")&gt;1),"A básica aceita uma Restrição Leve",""),IF(AND($MQ67=0,COUNTIF($OG67:$OH67,2)&gt;0),"A básica só aceita Restrição Leve",""),IF(AND($MQ67&gt;0,$PA67&lt;0),"Orçamento estourado: faltam "&amp;(-$PA67)&amp;IF($PA67&lt;-1," pontos"," ponto"),""),IF(IFERROR(VLOOKUP($MZ67,$BC$2:$BG$24,4,FALSE),0)+IFERROR(VLOOKUP($NA67,$BC$2:$BG$24,4,FALSE),0)&gt;1,$OI67&amp;" e "&amp;$OJ67&amp;" são as duas de frequência",""),IF(AND((COUNTIF($MV67:$MY67,"Rápido")+COUNTIF($OI67:$OJ67,"Rápido"))&gt;0,(COUNTIF($MV67:$MY67,"Atrasar")+COUNTIF($OI67:$OJ67,"Atrasar"))&gt;0),"Rápido não entra com Atrasar",""),IF(AND((COUNTIF($MV67:$MY67,"Reação")+COUNTIF($OI67:$OJ67,"Reação"))&gt;0,(COUNTIF($MV67:$MY67,"Rápido")+COUNTIF($OI67:$OJ67,"Rápido"))&gt;0),"Reação não entra com Rápido",""),IF(AND((COUNTIF($MV67:$MY67,"Reação")+COUNTIF($OI67:$OJ67,"Reação"))&gt;0,(COUNTIF($MV67:$MY67,"Armado")+COUNTIF($OI67:$OJ67,"Armado"))&gt;0),"Reação não entra com Armado",""),IF(AND((COUNTIF($MV67:$MY67,"Reação")+COUNTIF($OI67:$OJ67,"Reação"))&gt;0,(COUNTIF($MV67:$MY67,"Atrasar")+COUNTIF($OI67:$OJ67,"Atrasar"))&gt;0),"Reação não entra com Atrasar",""),IF(AND((COUNTIF($MV67:$MY67,"Reação")+COUNTIF($OI67:$OJ67,"Reação"))&gt;0,(COUNTIF($MV67:$MY67,"Parado")+COUNTIF($OI67:$OJ67,"Parado"))&gt;0),"Reação não entra com Parado",""),IF(AND((COUNTIF($MV67:$MY67,"Atrasar")+COUNTIF($OI67:$OJ67,"Atrasar"))&gt;0,(COUNTIF($MV67:$MY67,"Parado")+COUNTIF($OI67:$OJ67,"Parado"))&gt;0),"Atrasar não entra com Parado",""),IF(AND((COUNTIF($MV67:$MY67,"Armado")+COUNTIF($OI67:$OJ67,"Armado"))&gt;0,(COUNTIF($MV67:$MY67,"Carregar")+COUNTIF($OI67:$OJ67,"Carregar"))&gt;0),"Armado não entra com Carregar",""),IF(AND(COUNTIF($OI67:$OJ67,"Corpo a Corpo")&gt;0,$OD67=0,OR($MS67="Cone",$MS67="Linha")),"Corpo a Corpo não entra em "&amp;$MS67,""),IF(AND(COUNTIF($OI67:$OJ67,"Corpo a Corpo")&gt;0,$OD67=1),"A Forma "&amp;$MS67&amp;" já traz o Corpo a Corpo",""),IF(AND(COUNTIF($OI67:$OJ67,"Tudo ou Nada")&gt;0,$OF67=0),"Tudo ou Nada só entra em habilidade de Teste de Resistência",""),IF(AND(COUNTIF($MV67:$MY67,"Inescapável")&gt;0,OR($OS67&gt;1,$OT67&gt;0)),"Inescapável não aceita outra peça",""),IF(AND($MQ67&gt;0,$PB67*IF(COUNTIF($MV67:$MY67,"Remate")&gt;0,1.25,1)+$PC67&gt;4*$MQ67),($PB67*IF(COUNTIF($MV67:$MY67,"Remate")&gt;0,1.25,1)+$PC67)&amp;" dados somando repetições"&amp;IF(COUNTIF($MV67:$MY67,"Remate")&gt;0," e o Remate","")&amp;": o teto da Classe "&amp;$MQ67&amp;" é "&amp;4*$MQ67,"")))</f>
        <v/>
      </c>
      <c r="PS67" s="155">
        <f>IF($PR67="",0,(LEN($PR67)-LEN(SUBSTITUTE($PR67," · ","")))/3+1)</f>
        <v/>
      </c>
      <c r="PT67" s="155">
        <f>IF($NB67=0,"",TEXTJOIN(" · ",TRUE,IF($OV67&gt;2*$MQ67,"A devolução parou no teto de "&amp;2*$MQ67,""),IF($OY67&gt;0,"Devolução perdida: "&amp;$OY67&amp;IF($OY67&gt;1," pontos"," ponto")&amp;" sem peça para pagar",""),IF(AND($OA67&gt;0,AND($MQ67&gt;0,$OE67=0),$PB67=0),"Controle sem dano: uma rodada a mais e CD +2",""),IF(AND($OA67&gt;0,AND($MQ67&gt;0,$OE67=0),$PB67&gt;0,$PB67&lt;=$MQ67),"Controle com saldo até a Classe: uma rodada a mais",""),IF(AND($MQ67&gt;0,$OC67&lt;&gt;""),"Efeito de "&amp;$OC67&amp;" pela Classe "&amp;MAX(1,$MQ67-1),"")))</f>
        <v/>
      </c>
      <c r="PU67" s="155">
        <f>IF($PT67="",0,(LEN($PT67)-LEN(SUBSTITUTE($PT67," · ","")))/3+1)</f>
        <v/>
      </c>
      <c r="PV67" s="155">
        <f>IF($NB67=0,IF($OS67+COUNTIF($MZ67:$NA67,"?*")&gt;0,"Dê um nome",""),IF($PS67&gt;0,"⚠ "&amp;$PS67&amp;IF($PS67&gt;1," erros"," erro"),IF($PU67&gt;0,"! "&amp;$PU67&amp;IF($PU67&gt;1," avisos"," aviso"),"Na regra")))</f>
        <v/>
      </c>
      <c r="PW67" s="155">
        <f>IF($NB67=0,"",IF($PS67+$PU67=0,"Dentro das regras que a ficha confere",$PR67&amp;IF(AND($PS67&gt;0,$PU67&gt;0)," · ","")&amp;$PT67))</f>
        <v/>
      </c>
      <c r="PX67" s="155">
        <f>IF($MO67&gt;$NC67,$MP67&amp;" · ABRE NO NÍVEL "&amp;$MO67,$MP67)</f>
        <v/>
      </c>
      <c r="PY67" s="155">
        <f>IF($NB67=0,"",IF($MQ67=0,"Sem PE",3*$MQ67&amp;" PE"))</f>
        <v/>
      </c>
      <c r="PZ67" s="155">
        <f>IF($NB67=0,"",IF($MQ67=0,"A atuação básica dela",IF(COUNTIF($OI67:$OJ67,"Atrasar")&gt;0,"Sua Ação Completa",IF(COUNTIF($MV67:$MY67,"Rápido")&gt;0,"Sua Bônus",IF(COUNTIF($MV67:$MY67,"Reação")&gt;0,"Sua Reação","Sua Padrão")))&amp;" + a básica dela"&amp;IF(COUNTIF($MV67:$MY67,"Reação")&gt;0," e a coletiva","")&amp;IF(COUNTIF($OI67:$OJ67,"Carregar")&gt;0," · em dois turnos","")))</f>
        <v/>
      </c>
      <c r="QA67" s="155">
        <f>IF($MU67&lt;&gt;"",$MU67,IF($NH67=0,"",INDEX($AA$2:$AA$11,$NH67)))</f>
        <v/>
      </c>
      <c r="QB67" s="155">
        <f>IF(OR($NB67=0,$NH67=0),"",IF(COUNTIF($MV67:$MY67,"Inescapável")&gt;0,"Automático",IF($QA67="Ataque",IF($NF67="","Ataque","Ataque "&amp;IF(($NF67+2*IF(COUNTIF($MV67:$MY67,"Precisão")&gt;0,1,0))&gt;=0,"+","−")&amp;ABS(($NF67+2*IF(COUNTIF($MV67:$MY67,"Precisão")&gt;0,1,0))))&amp;IF($OB67&gt;0," · TR"&amp;IF($NG67="",""," CD "&amp;$NG67),""),IF(LEFT($QA67,2)="TR",$QA67&amp;IF($NG67="",""," · CD "&amp;$NG67)&amp;IF(COUNTIF($MV67:$MY67,"Certeiro")&gt;0," · metade",""),"Sem rolagem"))))</f>
        <v/>
      </c>
      <c r="QC67" s="155">
        <f>IF(OR($NB67=0,$NH67=0),"",IF($MQ67=0,IF(OR($OE67&gt;=1,$PB67=0),"Sem dano",$PB67&amp;"d6"&amp;IF($MT67="",""," "&amp;$MT67)),IF(OR($OE67&gt;=1,$PB67=0),UPPER(LEFT(INDEX($PK67:$PQ67,1,MAX(1,$MQ67)),1))&amp;MID(INDEX($PK67:$PQ67,1,MAX(1,$MQ67)),2,99),UPPER(LEFT(INDEX($PK67:$PQ67,1,MAX(1,$MQ67)),1))&amp;MID(INDEX($PK67:$PQ67,1,MAX(1,$MQ67)),2,99)&amp;IF($MT67="",""," "&amp;$MT67)&amp;IF($PC67&gt;0," · +"&amp;$PC67&amp;"d8",""))))</f>
        <v/>
      </c>
      <c r="QD67" s="155">
        <f>COUNTIF($MV67:$MY67,"Longe")+3*COUNTIF($MV67:$MY67,"Muito Longe")</f>
        <v/>
      </c>
      <c r="QE67" s="155">
        <f>COUNTIF($MV67:$MY67,"Maior")+3*COUNTIF($MV67:$MY67,"Muito Maior")</f>
        <v/>
      </c>
      <c r="QF67" s="155">
        <f>IF($NH67=0,0,CHOOSE(1+INDEX($AC$2:$AC$11,$NH67),0,$QD67,$QE67,$QD67+$QE67))</f>
        <v/>
      </c>
      <c r="QG67" s="155">
        <f>IF($NH67=0,0,CHOOSE(1+INDEX($AD$2:$AD$11,$NH67),0,$QD67,$QE67,$QD67+$QE67))</f>
        <v/>
      </c>
      <c r="QH67" s="155">
        <f>IF(OR($NB67=0,$NH67=0),"",INDEX($AI$2:$AN$41,($NH67-1)*4+IF($MQ67=0,1,IF($MQ67&lt;=5,2,IF($MQ67=6,3,4))),1+MIN(5,$QF67))&amp;INDEX($AO$2:$AT$41,($NH67-1)*4+IF($MQ67=0,1,IF($MQ67&lt;=5,2,IF($MQ67=6,3,4))),1+MIN(5,$QG67))&amp;IF(INDEX($AE$2:$AE$11,$NH67)=1,IF(COUNTIF($MV67:$MY67,"Mais Um")&gt;0," · +"&amp;COUNTIF($MV67:$MY67,"Mais Um")&amp;IF(COUNTIF($MV67:$MY67,"Mais Um")&gt;1," alvos"," alvo"),"")&amp;IF(COUNTIF($MV67:$MY67,"Rajada")&gt;0,IF($MQ67=0," · 1 tiro"," · "&amp;(MAX(1,$MQ67-1)+1)&amp;" tiros"),""),""))</f>
        <v/>
      </c>
      <c r="QI67" s="155">
        <f>IF($NB67=0,"",IF($MQ67=0,$NE67&amp;"d6"&amp;IF($OS67&gt;0," − 1 = "&amp;$PB67&amp;"d6"," da básica do nível "&amp;$NC67),$OZ67&amp;" − "&amp;$OU67&amp;" + "&amp;$OX67&amp;" = "&amp;$PA67&amp;" · teto "&amp;4*$MQ67&amp;"d8"&amp;IF($OD67=1," · a Forma devolve "&amp;$MQ67,"")&amp;IF($OY67&gt;0," · perde "&amp;$OY67,"")))</f>
        <v/>
      </c>
      <c r="QJ67" s="155">
        <f>IF($NB67=0,"",IF($MQ67=0,"A básica não amplia: os dados dela sobem com o nível",IF($MQ67&gt;=$ND67,"Já está na maior Classe que o nível liberou",TEXTJOIN(" · ",TRUE,IF(AND(2&gt;$MQ67,2&lt;=$ND67),"2 → "&amp;$PL67&amp;", 6 PE",""),IF(AND(3&gt;$MQ67,3&lt;=$ND67),"3 → "&amp;$PM67&amp;", 9 PE",""),IF(AND(4&gt;$MQ67,4&lt;=$ND67),"4 → "&amp;$PN67&amp;", 12 PE",""),IF(AND(5&gt;$MQ67,5&lt;=$ND67),"5 → "&amp;$PO67&amp;", 15 PE",""),IF(AND(6&gt;$MQ67,6&lt;=$ND67),"6 → "&amp;$PP67&amp;", 18 PE",""),IF(AND(7&gt;$MQ67,7&lt;=$ND67),"7 → "&amp;$PQ67&amp;", 21 PE","")))))</f>
        <v/>
      </c>
      <c r="QK67" s="155">
        <f>IF(OR($NB67=0,$NM67=0),"",IF($MQ67=0,"−1 dado","−"&amp;INDEX($I$2:$N$8,MAX(1,$MQ67),MAX(1,$NR67))&amp;" · "&amp;CHOOSE(MAX(1,$NR67),"Leve","Média","Pesada","Leve · Livre","Média · Livre","Pesada · Livre")))</f>
        <v/>
      </c>
      <c r="QL67" s="155">
        <f>IF(OR($NB67=0,$NN67=0),"",IF($MQ67=0,"−1 dado","−"&amp;INDEX($I$2:$N$8,MAX(1,$MQ67),MAX(1,$NS67))&amp;" · "&amp;CHOOSE(MAX(1,$NS67),"Leve","Média","Pesada","Leve · Livre","Média · Livre","Pesada · Livre")))</f>
        <v/>
      </c>
      <c r="QM67" s="155">
        <f>IF(OR($NB67=0,$NO67=0),"",IF($MQ67=0,"−1 dado","−"&amp;INDEX($I$2:$N$8,MAX(1,$MQ67),MAX(1,$NT67))&amp;" · "&amp;CHOOSE(MAX(1,$NT67),"Leve","Média","Pesada","Leve · Livre","Média · Livre","Pesada · Livre")))</f>
        <v/>
      </c>
      <c r="QN67" s="155">
        <f>IF(OR($NB67=0,$NP67=0),"",IF($MQ67=0,"−1 dado","−"&amp;INDEX($I$2:$N$8,MAX(1,$MQ67),MAX(1,$NU67))&amp;" · "&amp;CHOOSE(MAX(1,$NU67),"Leve","Média","Pesada","Leve · Livre","Média · Livre","Pesada · Livre")))</f>
        <v/>
      </c>
      <c r="QO67" s="155">
        <f>IF(OR($NB67=0,$MZ67=""),"",IF($MQ67=0,"não devolve","+"&amp;IF($OG67=1,CEILING($MQ67/2,1),$MQ67)))</f>
        <v/>
      </c>
      <c r="QP67" s="155">
        <f>IF(OR($NB67=0,$NA67=""),"",IF($MQ67=0,"não devolve","+"&amp;IF($OH67=1,CEILING($MQ67/2,1),$MQ67)))</f>
        <v/>
      </c>
    </row>
    <row r="68">
      <c r="AV68" s="153" t="inlineStr">
        <is>
          <t>Marca</t>
        </is>
      </c>
      <c r="AW68" s="153" t="inlineStr">
        <is>
          <t>Marca</t>
        </is>
      </c>
      <c r="AX68" s="155" t="n">
        <v>1</v>
      </c>
      <c r="AY68" s="155" t="n">
        <v>0</v>
      </c>
      <c r="AZ68" s="155" t="n">
        <v>0</v>
      </c>
      <c r="BA68" s="155" t="n">
        <v>0</v>
      </c>
      <c r="JR68" s="155">
        <f>IF(OR($AW68="",COUNTIF($EJ$2:$EN$2,$AW68)&gt;0),$AV68,"")</f>
        <v/>
      </c>
      <c r="JS68" s="155">
        <f>IF(AND($AX68=1,OR($AW68="",COUNTIF($EJ$2:$EN$2,$AW68)&gt;0)),$AV68,"")</f>
        <v/>
      </c>
      <c r="JX68" s="155">
        <f>IF(OR($AW68="",COUNTIF($EJ$3:$EN$3,$AW68)&gt;0),$AV68,"")</f>
        <v/>
      </c>
      <c r="JY68" s="155">
        <f>IF(AND($AX68=1,OR($AW68="",COUNTIF($EJ$3:$EN$3,$AW68)&gt;0)),$AV68,"")</f>
        <v/>
      </c>
      <c r="KD68" s="155">
        <f>IF(OR($AW68="",COUNTIF($EJ$4:$EN$4,$AW68)&gt;0),$AV68,"")</f>
        <v/>
      </c>
      <c r="KE68" s="155">
        <f>IF(AND($AX68=1,OR($AW68="",COUNTIF($EJ$4:$EN$4,$AW68)&gt;0)),$AV68,"")</f>
        <v/>
      </c>
      <c r="KJ68" s="155">
        <f>IF(OR($AW68="",COUNTIF($EJ$5:$EN$5,$AW68)&gt;0),$AV68,"")</f>
        <v/>
      </c>
      <c r="KK68" s="155">
        <f>IF(AND($AX68=1,OR($AW68="",COUNTIF($EJ$5:$EN$5,$AW68)&gt;0)),$AV68,"")</f>
        <v/>
      </c>
      <c r="KP68" s="155">
        <f>IF(OR($AW68="",COUNTIF($EJ$6:$EN$6,$AW68)&gt;0),$AV68,"")</f>
        <v/>
      </c>
      <c r="KQ68" s="155">
        <f>IF(AND($AX68=1,OR($AW68="",COUNTIF($EJ$6:$EN$6,$AW68)&gt;0)),$AV68,"")</f>
        <v/>
      </c>
      <c r="KV68" s="155">
        <f>IF(OR($AW68="",COUNTIF($EJ$7:$EN$7,$AW68)&gt;0),$AV68,"")</f>
        <v/>
      </c>
      <c r="KW68" s="155">
        <f>IF(AND($AX68=1,OR($AW68="",COUNTIF($EJ$7:$EN$7,$AW68)&gt;0)),$AV68,"")</f>
        <v/>
      </c>
      <c r="LB68" s="155">
        <f>IF(OR($AW68="",COUNTIF($EJ$8:$EN$8,$AW68)&gt;0),$AV68,"")</f>
        <v/>
      </c>
      <c r="LC68" s="155">
        <f>IF(AND($AX68=1,OR($AW68="",COUNTIF($EJ$8:$EN$8,$AW68)&gt;0)),$AV68,"")</f>
        <v/>
      </c>
      <c r="LH68" s="155">
        <f>IF(OR($AW68="",COUNTIF($EJ$9:$EN$9,$AW68)&gt;0),$AV68,"")</f>
        <v/>
      </c>
      <c r="LI68" s="155">
        <f>IF(AND($AX68=1,OR($AW68="",COUNTIF($EJ$9:$EN$9,$AW68)&gt;0)),$AV68,"")</f>
        <v/>
      </c>
      <c r="LN68" s="155">
        <f>IF(OR($AW68="",COUNTIF($EJ$10:$EN$10,$AW68)&gt;0),$AV68,"")</f>
        <v/>
      </c>
      <c r="LO68" s="155">
        <f>IF(AND($AX68=1,OR($AW68="",COUNTIF($EJ$10:$EN$10,$AW68)&gt;0)),$AV68,"")</f>
        <v/>
      </c>
      <c r="LT68" s="155">
        <f>IF(OR($AW68="",COUNTIF($EJ$11:$EN$11,$AW68)&gt;0),$AV68,"")</f>
        <v/>
      </c>
      <c r="LU68" s="155">
        <f>IF(AND($AX68=1,OR($AW68="",COUNTIF($EJ$11:$EN$11,$AW68)&gt;0)),$AV68,"")</f>
        <v/>
      </c>
      <c r="LZ68" s="155">
        <f>IF(OR($AW68="",COUNTIF($EJ$12:$EN$12,$AW68)&gt;0),$AV68,"")</f>
        <v/>
      </c>
      <c r="MA68" s="155">
        <f>IF(AND($AX68=1,OR($AW68="",COUNTIF($EJ$12:$EN$12,$AW68)&gt;0)),$AV68,"")</f>
        <v/>
      </c>
      <c r="MF68" s="155">
        <f>IF(OR($AW68="",COUNTIF($EJ$13:$EN$13,$AW68)&gt;0),$AV68,"")</f>
        <v/>
      </c>
      <c r="MG68" s="155">
        <f>IF(AND($AX68=1,OR($AW68="",COUNTIF($EJ$13:$EN$13,$AW68)&gt;0)),$AV68,"")</f>
        <v/>
      </c>
      <c r="ML68" s="153" t="inlineStr">
        <is>
          <t>Ficha 6 · Especial 1</t>
        </is>
      </c>
      <c r="MM68" s="155" t="n">
        <v>6</v>
      </c>
      <c r="MN68" s="155" t="n">
        <v>1</v>
      </c>
      <c r="MO68" s="155" t="n">
        <v>1</v>
      </c>
      <c r="MP68" s="153" t="inlineStr">
        <is>
          <t>ESPECIAL 1</t>
        </is>
      </c>
      <c r="MQ68" s="155">
        <f>MAX(1,MIN(7,N('INVOCAÇÕES'!$O$1048)))</f>
        <v/>
      </c>
      <c r="MR68" s="155">
        <f>'INVOCAÇÕES'!$P$1048&amp;""</f>
        <v/>
      </c>
      <c r="MS68" s="155">
        <f>'INVOCAÇÕES'!$O$1053&amp;""</f>
        <v/>
      </c>
      <c r="MT68" s="155">
        <f>'INVOCAÇÕES'!$O$1054&amp;""</f>
        <v/>
      </c>
      <c r="MU68" s="155">
        <f>'INVOCAÇÕES'!$Q$1054&amp;""</f>
        <v/>
      </c>
      <c r="MV68" s="155">
        <f>'INVOCAÇÕES'!$P$1057&amp;""</f>
        <v/>
      </c>
      <c r="MW68" s="155">
        <f>'INVOCAÇÕES'!$P$1058&amp;""</f>
        <v/>
      </c>
      <c r="MX68" s="155">
        <f>'INVOCAÇÕES'!$P$1059&amp;""</f>
        <v/>
      </c>
      <c r="MY68" s="155">
        <f>'INVOCAÇÕES'!$P$1060&amp;""</f>
        <v/>
      </c>
      <c r="MZ68" s="155">
        <f>'INVOCAÇÕES'!$P$1061&amp;""</f>
        <v/>
      </c>
      <c r="NA68" s="155">
        <f>'INVOCAÇÕES'!$P$1062&amp;""</f>
        <v/>
      </c>
      <c r="NB68" s="155">
        <f>IF($MR68&lt;&gt;"",1,0)</f>
        <v/>
      </c>
      <c r="NC68" s="155">
        <f>INDEX($FM$2:$FM$13,$MM68)</f>
        <v/>
      </c>
      <c r="ND68" s="155">
        <f>INDEX($FN$2:$FN$13,$MM68)</f>
        <v/>
      </c>
      <c r="NE68" s="155">
        <f>INDEX($FO$2:$FO$13,$MM68)</f>
        <v/>
      </c>
      <c r="NF68" s="155">
        <f>INDEX($FZ$2:$FZ$13,$MM68)</f>
        <v/>
      </c>
      <c r="NG68" s="155">
        <f>INDEX($GA$2:$GA$13,$MM68)</f>
        <v/>
      </c>
      <c r="NH68" s="155">
        <f>IFERROR(MATCH($MS68,$V$2:$V$11,0),0)</f>
        <v/>
      </c>
      <c r="NI68" s="155">
        <f>IFERROR(VLOOKUP($MV68,$AV$2:$BA$84,2,FALSE),"")</f>
        <v/>
      </c>
      <c r="NJ68" s="155">
        <f>IFERROR(VLOOKUP($MW68,$AV$2:$BA$84,2,FALSE),"")</f>
        <v/>
      </c>
      <c r="NK68" s="155">
        <f>IFERROR(VLOOKUP($MX68,$AV$2:$BA$84,2,FALSE),"")</f>
        <v/>
      </c>
      <c r="NL68" s="155">
        <f>IFERROR(VLOOKUP($MY68,$AV$2:$BA$84,2,FALSE),"")</f>
        <v/>
      </c>
      <c r="NM68" s="155">
        <f>IFERROR(VLOOKUP($MV68,$AV$2:$BA$84,3,FALSE),0)</f>
        <v/>
      </c>
      <c r="NN68" s="155">
        <f>IFERROR(VLOOKUP($MW68,$AV$2:$BA$84,3,FALSE),0)</f>
        <v/>
      </c>
      <c r="NO68" s="155">
        <f>IFERROR(VLOOKUP($MX68,$AV$2:$BA$84,3,FALSE),0)</f>
        <v/>
      </c>
      <c r="NP68" s="155">
        <f>IFERROR(VLOOKUP($MY68,$AV$2:$BA$84,3,FALSE),0)</f>
        <v/>
      </c>
      <c r="NQ68" s="155">
        <f>IF($MQ68=0,0,IF($NH68=0,0,INDEX($X$2:$X$11,$NH68)))</f>
        <v/>
      </c>
      <c r="NR68" s="155">
        <f>IF(OR($NM68=0,$MQ68=0),0,$NM68+3*IF(AND($NI68&lt;&gt;"",OR($NI68=INDEX($EJ$2:$EJ$13,$MM68),$NI68=INDEX($EK$2:$EK$13,$MM68))),1,0))</f>
        <v/>
      </c>
      <c r="NS68" s="155">
        <f>IF(OR($NN68=0,$MQ68=0),0,$NN68+3*IF(AND($NJ68&lt;&gt;"",OR($NJ68=INDEX($EJ$2:$EJ$13,$MM68),$NJ68=INDEX($EK$2:$EK$13,$MM68))),1,0))</f>
        <v/>
      </c>
      <c r="NT68" s="155">
        <f>IF(OR($NO68=0,$MQ68=0),0,$NO68+3*IF(AND($NK68&lt;&gt;"",OR($NK68=INDEX($EJ$2:$EJ$13,$MM68),$NK68=INDEX($EK$2:$EK$13,$MM68))),1,0))</f>
        <v/>
      </c>
      <c r="NU68" s="155">
        <f>IF(OR($NP68=0,$MQ68=0),0,$NP68+3*IF(AND($NL68&lt;&gt;"",OR($NL68=INDEX($EJ$2:$EJ$13,$MM68),$NL68=INDEX($EK$2:$EK$13,$MM68))),1,0))</f>
        <v/>
      </c>
      <c r="NV68" s="155">
        <f>IF($NH68=0,0,IF(INDEX($W$2:$W$11,$NH68)="",0,IF(COUNTIF(INDEX($EJ$2:$EN$13,$MM68,0),INDEX($W$2:$W$11,$NH68))=0,1,0)))</f>
        <v/>
      </c>
      <c r="NW68" s="155">
        <f>IF(OR($NM68=0,$NI68=""),0,IF(COUNTIF(INDEX($EJ$2:$EN$13,$MM68,0),$NI68)=0,1,0))</f>
        <v/>
      </c>
      <c r="NX68" s="155">
        <f>IF(OR($NN68=0,$NJ68=""),0,IF(COUNTIF(INDEX($EJ$2:$EN$13,$MM68,0),$NJ68)=0,1,0))</f>
        <v/>
      </c>
      <c r="NY68" s="155">
        <f>IF(OR($NO68=0,$NK68=""),0,IF(COUNTIF(INDEX($EJ$2:$EN$13,$MM68,0),$NK68)=0,1,0))</f>
        <v/>
      </c>
      <c r="NZ68" s="155">
        <f>IF(OR($NP68=0,$NL68=""),0,IF(COUNTIF(INDEX($EJ$2:$EN$13,$MM68,0),$NL68)=0,1,0))</f>
        <v/>
      </c>
      <c r="OA68" s="155">
        <f>IFERROR(VLOOKUP($MV68,$AV$2:$BA$84,4,FALSE),0)+IFERROR(VLOOKUP($MW68,$AV$2:$BA$84,4,FALSE),0)+IFERROR(VLOOKUP($MX68,$AV$2:$BA$84,4,FALSE),0)+IFERROR(VLOOKUP($MY68,$AV$2:$BA$84,4,FALSE),0)</f>
        <v/>
      </c>
      <c r="OB68" s="155">
        <f>IFERROR(VLOOKUP($MV68,$AV$2:$BA$84,6,FALSE),0)+IFERROR(VLOOKUP($MW68,$AV$2:$BA$84,6,FALSE),0)+IFERROR(VLOOKUP($MX68,$AV$2:$BA$84,6,FALSE),0)+IFERROR(VLOOKUP($MY68,$AV$2:$BA$84,6,FALSE),0)</f>
        <v/>
      </c>
      <c r="OC68" s="155">
        <f>TEXTJOIN(", ",TRUE,IF(IFERROR(VLOOKUP($MV68,$AV$2:$BA$84,5,FALSE),0)=1,$MV68,""),IF(IFERROR(VLOOKUP($MW68,$AV$2:$BA$84,5,FALSE),0)=1,$MW68,""),IF(IFERROR(VLOOKUP($MX68,$AV$2:$BA$84,5,FALSE),0)=1,$MX68,""),IF(IFERROR(VLOOKUP($MY68,$AV$2:$BA$84,5,FALSE),0)=1,$MY68,""))</f>
        <v/>
      </c>
      <c r="OD68" s="155">
        <f>IF($NH68=0,0,INDEX($Y$2:$Y$11,$NH68))</f>
        <v/>
      </c>
      <c r="OE68" s="155">
        <f>IF($NH68=0,0,INDEX($Z$2:$Z$11,$NH68))</f>
        <v/>
      </c>
      <c r="OF68" s="155">
        <f>IF($NH68=0,0,INDEX($AB$2:$AB$11,$NH68))</f>
        <v/>
      </c>
      <c r="OG68" s="155">
        <f>IFERROR(VLOOKUP($MZ68,$BC$2:$BG$24,3,FALSE),0)</f>
        <v/>
      </c>
      <c r="OH68" s="155">
        <f>IFERROR(VLOOKUP($NA68,$BC$2:$BG$24,3,FALSE),0)</f>
        <v/>
      </c>
      <c r="OI68" s="155">
        <f>IFERROR(VLOOKUP($MZ68,$BC$2:$BG$24,2,FALSE),"")</f>
        <v/>
      </c>
      <c r="OJ68" s="155">
        <f>IFERROR(VLOOKUP($NA68,$BC$2:$BG$24,2,FALSE),"")</f>
        <v/>
      </c>
      <c r="OK68" s="155">
        <f>COUNTIF($NQ68:$NU68,1)</f>
        <v/>
      </c>
      <c r="OL68" s="155">
        <f>COUNTIF($NQ68:$NU68,2)</f>
        <v/>
      </c>
      <c r="OM68" s="155">
        <f>COUNTIF($NQ68:$NU68,3)</f>
        <v/>
      </c>
      <c r="ON68" s="155">
        <f>COUNTIF($NQ68:$NU68,4)</f>
        <v/>
      </c>
      <c r="OO68" s="155">
        <f>COUNTIF($NQ68:$NU68,5)</f>
        <v/>
      </c>
      <c r="OP68" s="155">
        <f>COUNTIF($NQ68:$NU68,6)</f>
        <v/>
      </c>
      <c r="OQ68" s="155">
        <f>COUNTIF($OG68:$OH68,1)</f>
        <v/>
      </c>
      <c r="OR68" s="155">
        <f>COUNTIF($OG68:$OH68,2)+$OD68</f>
        <v/>
      </c>
      <c r="OS68" s="155">
        <f>COUNTIF($MV68:$MY68,"?*")</f>
        <v/>
      </c>
      <c r="OT68" s="155">
        <f>COUNTIF($MZ68:$NA68,"?*")+$OD68</f>
        <v/>
      </c>
      <c r="OU68" s="155">
        <f>IF($MQ68=0,0,SUMPRODUCT($OK68:$OP68,INDEX($I$2:$N$8,MAX(1,$MQ68),0)))</f>
        <v/>
      </c>
      <c r="OV68" s="155">
        <f>IF($MQ68=0,0,$OQ68*CEILING($MQ68/2,1)+$OR68*$MQ68)</f>
        <v/>
      </c>
      <c r="OW68" s="155">
        <f>MIN(2*$MQ68,$OV68)</f>
        <v/>
      </c>
      <c r="OX68" s="155">
        <f>MIN($OW68,$OU68)</f>
        <v/>
      </c>
      <c r="OY68" s="155">
        <f>$OW68-$OX68</f>
        <v/>
      </c>
      <c r="OZ68" s="155">
        <f>IF($MQ68=0,0,INDEX($P$2:$P$8,MAX(1,$MQ68)))</f>
        <v/>
      </c>
      <c r="PA68" s="155">
        <f>$OZ68-$OU68+$OX68</f>
        <v/>
      </c>
      <c r="PB68" s="155">
        <f>IF($MQ68=0,MAX(0,$NE68-IF($OS68&gt;0,1,0)),MAX(0,$PA68))</f>
        <v/>
      </c>
      <c r="PC68" s="155">
        <f>IF($MQ68=0,0,(IF(COUNTIF($MV68:$MY68,"Salto")&gt;0,1,0)+IF(COUNTIF($MV68:$MY68,"Queima")&gt;0,1,0)+IF(COUNTIF($MV68:$MY68,"Estilhaço")&gt;0,1,0))*FLOOR($PB68/2,1))</f>
        <v/>
      </c>
      <c r="PD68" s="155">
        <f>MAX(0,2-SUMPRODUCT($OK68:$OP68,$I$2:$N$2)+MIN(2,$OQ68*1+$OR68*1,SUMPRODUCT($OK68:$OP68,$I$2:$N$2)))</f>
        <v/>
      </c>
      <c r="PE68" s="155">
        <f>MAX(0,4-SUMPRODUCT($OK68:$OP68,$I$3:$N$3)+MIN(4,$OQ68*1+$OR68*2,SUMPRODUCT($OK68:$OP68,$I$3:$N$3)))</f>
        <v/>
      </c>
      <c r="PF68" s="155">
        <f>MAX(0,6-SUMPRODUCT($OK68:$OP68,$I$4:$N$4)+MIN(6,$OQ68*2+$OR68*3,SUMPRODUCT($OK68:$OP68,$I$4:$N$4)))</f>
        <v/>
      </c>
      <c r="PG68" s="155">
        <f>MAX(0,9-SUMPRODUCT($OK68:$OP68,$I$5:$N$5)+MIN(8,$OQ68*2+$OR68*4,SUMPRODUCT($OK68:$OP68,$I$5:$N$5)))</f>
        <v/>
      </c>
      <c r="PH68" s="155">
        <f>MAX(0,11-SUMPRODUCT($OK68:$OP68,$I$6:$N$6)+MIN(10,$OQ68*3+$OR68*5,SUMPRODUCT($OK68:$OP68,$I$6:$N$6)))</f>
        <v/>
      </c>
      <c r="PI68" s="155">
        <f>MAX(0,13-SUMPRODUCT($OK68:$OP68,$I$7:$N$7)+MIN(12,$OQ68*3+$OR68*6,SUMPRODUCT($OK68:$OP68,$I$7:$N$7)))</f>
        <v/>
      </c>
      <c r="PJ68" s="155">
        <f>MAX(0,16-SUMPRODUCT($OK68:$OP68,$I$8:$N$8)+MIN(14,$OQ68*4+$OR68*7,SUMPRODUCT($OK68:$OP68,$I$8:$N$8)))</f>
        <v/>
      </c>
      <c r="PK68" s="155">
        <f>IF($OE68=2,3*$PD68&amp;" de vida temp.",IF($OE68=3,"sem dano",IF($PD68=0,IF($OE68=1,"sem cura","sem dano"),IF($OE68=1,"cura ","")&amp;$PD68&amp;"d8")))</f>
        <v/>
      </c>
      <c r="PL68" s="155">
        <f>IF($OE68=2,3*$PE68&amp;" de vida temp.",IF($OE68=3,"sem dano",IF($PE68=0,IF($OE68=1,"sem cura","sem dano"),IF($OE68=1,"cura ","")&amp;$PE68&amp;"d8")))</f>
        <v/>
      </c>
      <c r="PM68" s="155">
        <f>IF($OE68=2,3*$PF68&amp;" de vida temp.",IF($OE68=3,"sem dano",IF($PF68=0,IF($OE68=1,"sem cura","sem dano"),IF($OE68=1,"cura ","")&amp;$PF68&amp;"d8")))</f>
        <v/>
      </c>
      <c r="PN68" s="155">
        <f>IF($OE68=2,3*$PG68&amp;" de vida temp.",IF($OE68=3,"sem dano",IF($PG68=0,IF($OE68=1,"sem cura","sem dano"),IF($OE68=1,"cura ","")&amp;$PG68&amp;"d8")))</f>
        <v/>
      </c>
      <c r="PO68" s="155">
        <f>IF($OE68=2,3*$PH68&amp;" de vida temp.",IF($OE68=3,"sem dano",IF($PH68=0,IF($OE68=1,"sem cura","sem dano"),IF($OE68=1,"cura ","")&amp;$PH68&amp;"d8")))</f>
        <v/>
      </c>
      <c r="PP68" s="155">
        <f>IF($OE68=2,3*$PI68&amp;" de vida temp.",IF($OE68=3,"sem dano",IF($PI68=0,IF($OE68=1,"sem cura","sem dano"),IF($OE68=1,"cura ","")&amp;$PI68&amp;"d8")))</f>
        <v/>
      </c>
      <c r="PQ68" s="155">
        <f>IF($OE68=2,3*$PJ68&amp;" de vida temp.",IF($OE68=3,"sem dano",IF($PJ68=0,IF($OE68=1,"sem cura","sem dano"),IF($OE68=1,"cura ","")&amp;$PJ68&amp;"d8")))</f>
        <v/>
      </c>
      <c r="PR68" s="155">
        <f>IF($NB68=0,"",TEXTJOIN(" · ",TRUE,IF($MO68&gt;$NC68,"Este lugar abre no nível "&amp;$MO68,""),IF($MQ68&gt;$ND68,"Classe "&amp;$MQ68&amp;": o nível "&amp;$NC68&amp;" libera até a "&amp;$ND68,""),IF($NV68=1,"A Forma "&amp;$MS68&amp;" pede "&amp;INDEX($W$2:$W$11,$NH68)&amp;" aberta",""),IF(AND($MQ68=0,$NH68&gt;0,IF($NH68=0,0,INDEX($AF$2:$AF$11,$NH68))=0),$MS68&amp;" não existe na Classe 0",""),IF($NW68=1,"Família Fechada: "&amp;$MV68,""),IF($NX68=1,"Família Fechada: "&amp;$MW68,""),IF($NY68=1,"Família Fechada: "&amp;$MX68,""),IF($NZ68=1,"Família Fechada: "&amp;$MY68,""),IF(AND($MQ68&gt;0,$OS68&gt;INDEX($O$2:$O$8,MAX(1,$MQ68))),$OS68&amp;" Melhorias: a Classe "&amp;$MQ68&amp;" aceita "&amp;INDEX($O$2:$O$8,MAX(1,$MQ68)),""),IF(AND($MQ68=0,$OS68&gt;1),"A básica aceita uma Melhoria",""),IF(AND($MQ68=0,COUNTIF($NM68:$NP68,"&gt;1")&gt;0),"A básica só aceita Melhoria Leve",""),IF(AND($MQ68&gt;0,$OT68&gt;2),$OT68&amp;" Restrições"&amp;IF($OD68=1,", contando a que a Forma "&amp;$MS68&amp;" já traz","")&amp;": o limite é 2",""),IF(AND($MQ68=0,COUNTIF($MZ68:$NA68,"?*")&gt;1),"A básica aceita uma Restrição Leve",""),IF(AND($MQ68=0,COUNTIF($OG68:$OH68,2)&gt;0),"A básica só aceita Restrição Leve",""),IF(AND($MQ68&gt;0,$PA68&lt;0),"Orçamento estourado: faltam "&amp;(-$PA68)&amp;IF($PA68&lt;-1," pontos"," ponto"),""),IF(IFERROR(VLOOKUP($MZ68,$BC$2:$BG$24,4,FALSE),0)+IFERROR(VLOOKUP($NA68,$BC$2:$BG$24,4,FALSE),0)&gt;1,$OI68&amp;" e "&amp;$OJ68&amp;" são as duas de frequência",""),IF(AND((COUNTIF($MV68:$MY68,"Rápido")+COUNTIF($OI68:$OJ68,"Rápido"))&gt;0,(COUNTIF($MV68:$MY68,"Atrasar")+COUNTIF($OI68:$OJ68,"Atrasar"))&gt;0),"Rápido não entra com Atrasar",""),IF(AND((COUNTIF($MV68:$MY68,"Reação")+COUNTIF($OI68:$OJ68,"Reação"))&gt;0,(COUNTIF($MV68:$MY68,"Rápido")+COUNTIF($OI68:$OJ68,"Rápido"))&gt;0),"Reação não entra com Rápido",""),IF(AND((COUNTIF($MV68:$MY68,"Reação")+COUNTIF($OI68:$OJ68,"Reação"))&gt;0,(COUNTIF($MV68:$MY68,"Armado")+COUNTIF($OI68:$OJ68,"Armado"))&gt;0),"Reação não entra com Armado",""),IF(AND((COUNTIF($MV68:$MY68,"Reação")+COUNTIF($OI68:$OJ68,"Reação"))&gt;0,(COUNTIF($MV68:$MY68,"Atrasar")+COUNTIF($OI68:$OJ68,"Atrasar"))&gt;0),"Reação não entra com Atrasar",""),IF(AND((COUNTIF($MV68:$MY68,"Reação")+COUNTIF($OI68:$OJ68,"Reação"))&gt;0,(COUNTIF($MV68:$MY68,"Parado")+COUNTIF($OI68:$OJ68,"Parado"))&gt;0),"Reação não entra com Parado",""),IF(AND((COUNTIF($MV68:$MY68,"Atrasar")+COUNTIF($OI68:$OJ68,"Atrasar"))&gt;0,(COUNTIF($MV68:$MY68,"Parado")+COUNTIF($OI68:$OJ68,"Parado"))&gt;0),"Atrasar não entra com Parado",""),IF(AND((COUNTIF($MV68:$MY68,"Armado")+COUNTIF($OI68:$OJ68,"Armado"))&gt;0,(COUNTIF($MV68:$MY68,"Carregar")+COUNTIF($OI68:$OJ68,"Carregar"))&gt;0),"Armado não entra com Carregar",""),IF(AND(COUNTIF($OI68:$OJ68,"Corpo a Corpo")&gt;0,$OD68=0,OR($MS68="Cone",$MS68="Linha")),"Corpo a Corpo não entra em "&amp;$MS68,""),IF(AND(COUNTIF($OI68:$OJ68,"Corpo a Corpo")&gt;0,$OD68=1),"A Forma "&amp;$MS68&amp;" já traz o Corpo a Corpo",""),IF(AND(COUNTIF($OI68:$OJ68,"Tudo ou Nada")&gt;0,$OF68=0),"Tudo ou Nada só entra em habilidade de Teste de Resistência",""),IF(AND(COUNTIF($MV68:$MY68,"Inescapável")&gt;0,OR($OS68&gt;1,$OT68&gt;0)),"Inescapável não aceita outra peça",""),IF(AND($MQ68&gt;0,$PB68*IF(COUNTIF($MV68:$MY68,"Remate")&gt;0,1.25,1)+$PC68&gt;4*$MQ68),($PB68*IF(COUNTIF($MV68:$MY68,"Remate")&gt;0,1.25,1)+$PC68)&amp;" dados somando repetições"&amp;IF(COUNTIF($MV68:$MY68,"Remate")&gt;0," e o Remate","")&amp;": o teto da Classe "&amp;$MQ68&amp;" é "&amp;4*$MQ68,"")))</f>
        <v/>
      </c>
      <c r="PS68" s="155">
        <f>IF($PR68="",0,(LEN($PR68)-LEN(SUBSTITUTE($PR68," · ","")))/3+1)</f>
        <v/>
      </c>
      <c r="PT68" s="155">
        <f>IF($NB68=0,"",TEXTJOIN(" · ",TRUE,IF($OV68&gt;2*$MQ68,"A devolução parou no teto de "&amp;2*$MQ68,""),IF($OY68&gt;0,"Devolução perdida: "&amp;$OY68&amp;IF($OY68&gt;1," pontos"," ponto")&amp;" sem peça para pagar",""),IF(AND($OA68&gt;0,AND($MQ68&gt;0,$OE68=0),$PB68=0),"Controle sem dano: uma rodada a mais e CD +2",""),IF(AND($OA68&gt;0,AND($MQ68&gt;0,$OE68=0),$PB68&gt;0,$PB68&lt;=$MQ68),"Controle com saldo até a Classe: uma rodada a mais",""),IF(AND($MQ68&gt;0,$OC68&lt;&gt;""),"Efeito de "&amp;$OC68&amp;" pela Classe "&amp;MAX(1,$MQ68-1),"")))</f>
        <v/>
      </c>
      <c r="PU68" s="155">
        <f>IF($PT68="",0,(LEN($PT68)-LEN(SUBSTITUTE($PT68," · ","")))/3+1)</f>
        <v/>
      </c>
      <c r="PV68" s="155">
        <f>IF($NB68=0,IF($OS68+COUNTIF($MZ68:$NA68,"?*")&gt;0,"Dê um nome",""),IF($PS68&gt;0,"⚠ "&amp;$PS68&amp;IF($PS68&gt;1," erros"," erro"),IF($PU68&gt;0,"! "&amp;$PU68&amp;IF($PU68&gt;1," avisos"," aviso"),"Na regra")))</f>
        <v/>
      </c>
      <c r="PW68" s="155">
        <f>IF($NB68=0,"",IF($PS68+$PU68=0,"Dentro das regras que a ficha confere",$PR68&amp;IF(AND($PS68&gt;0,$PU68&gt;0)," · ","")&amp;$PT68))</f>
        <v/>
      </c>
      <c r="PX68" s="155">
        <f>IF($MO68&gt;$NC68,$MP68&amp;" · ABRE NO NÍVEL "&amp;$MO68,$MP68)</f>
        <v/>
      </c>
      <c r="PY68" s="155">
        <f>IF($NB68=0,"",IF($MQ68=0,"Sem PE",3*$MQ68&amp;" PE"))</f>
        <v/>
      </c>
      <c r="PZ68" s="155">
        <f>IF($NB68=0,"",IF($MQ68=0,"A atuação básica dela",IF(COUNTIF($OI68:$OJ68,"Atrasar")&gt;0,"Sua Ação Completa",IF(COUNTIF($MV68:$MY68,"Rápido")&gt;0,"Sua Bônus",IF(COUNTIF($MV68:$MY68,"Reação")&gt;0,"Sua Reação","Sua Padrão")))&amp;" + a básica dela"&amp;IF(COUNTIF($MV68:$MY68,"Reação")&gt;0," e a coletiva","")&amp;IF(COUNTIF($OI68:$OJ68,"Carregar")&gt;0," · em dois turnos","")))</f>
        <v/>
      </c>
      <c r="QA68" s="155">
        <f>IF($MU68&lt;&gt;"",$MU68,IF($NH68=0,"",INDEX($AA$2:$AA$11,$NH68)))</f>
        <v/>
      </c>
      <c r="QB68" s="155">
        <f>IF(OR($NB68=0,$NH68=0),"",IF(COUNTIF($MV68:$MY68,"Inescapável")&gt;0,"Automático",IF($QA68="Ataque",IF($NF68="","Ataque","Ataque "&amp;IF(($NF68+2*IF(COUNTIF($MV68:$MY68,"Precisão")&gt;0,1,0))&gt;=0,"+","−")&amp;ABS(($NF68+2*IF(COUNTIF($MV68:$MY68,"Precisão")&gt;0,1,0))))&amp;IF($OB68&gt;0," · TR"&amp;IF($NG68="",""," CD "&amp;$NG68),""),IF(LEFT($QA68,2)="TR",$QA68&amp;IF($NG68="",""," · CD "&amp;$NG68)&amp;IF(COUNTIF($MV68:$MY68,"Certeiro")&gt;0," · metade",""),"Sem rolagem"))))</f>
        <v/>
      </c>
      <c r="QC68" s="155">
        <f>IF(OR($NB68=0,$NH68=0),"",IF($MQ68=0,IF(OR($OE68&gt;=1,$PB68=0),"Sem dano",$PB68&amp;"d6"&amp;IF($MT68="",""," "&amp;$MT68)),IF(OR($OE68&gt;=1,$PB68=0),UPPER(LEFT(INDEX($PK68:$PQ68,1,MAX(1,$MQ68)),1))&amp;MID(INDEX($PK68:$PQ68,1,MAX(1,$MQ68)),2,99),UPPER(LEFT(INDEX($PK68:$PQ68,1,MAX(1,$MQ68)),1))&amp;MID(INDEX($PK68:$PQ68,1,MAX(1,$MQ68)),2,99)&amp;IF($MT68="",""," "&amp;$MT68)&amp;IF($PC68&gt;0," · +"&amp;$PC68&amp;"d8",""))))</f>
        <v/>
      </c>
      <c r="QD68" s="155">
        <f>COUNTIF($MV68:$MY68,"Longe")+3*COUNTIF($MV68:$MY68,"Muito Longe")</f>
        <v/>
      </c>
      <c r="QE68" s="155">
        <f>COUNTIF($MV68:$MY68,"Maior")+3*COUNTIF($MV68:$MY68,"Muito Maior")</f>
        <v/>
      </c>
      <c r="QF68" s="155">
        <f>IF($NH68=0,0,CHOOSE(1+INDEX($AC$2:$AC$11,$NH68),0,$QD68,$QE68,$QD68+$QE68))</f>
        <v/>
      </c>
      <c r="QG68" s="155">
        <f>IF($NH68=0,0,CHOOSE(1+INDEX($AD$2:$AD$11,$NH68),0,$QD68,$QE68,$QD68+$QE68))</f>
        <v/>
      </c>
      <c r="QH68" s="155">
        <f>IF(OR($NB68=0,$NH68=0),"",INDEX($AI$2:$AN$41,($NH68-1)*4+IF($MQ68=0,1,IF($MQ68&lt;=5,2,IF($MQ68=6,3,4))),1+MIN(5,$QF68))&amp;INDEX($AO$2:$AT$41,($NH68-1)*4+IF($MQ68=0,1,IF($MQ68&lt;=5,2,IF($MQ68=6,3,4))),1+MIN(5,$QG68))&amp;IF(INDEX($AE$2:$AE$11,$NH68)=1,IF(COUNTIF($MV68:$MY68,"Mais Um")&gt;0," · +"&amp;COUNTIF($MV68:$MY68,"Mais Um")&amp;IF(COUNTIF($MV68:$MY68,"Mais Um")&gt;1," alvos"," alvo"),"")&amp;IF(COUNTIF($MV68:$MY68,"Rajada")&gt;0,IF($MQ68=0," · 1 tiro"," · "&amp;(MAX(1,$MQ68-1)+1)&amp;" tiros"),""),""))</f>
        <v/>
      </c>
      <c r="QI68" s="155">
        <f>IF($NB68=0,"",IF($MQ68=0,$NE68&amp;"d6"&amp;IF($OS68&gt;0," − 1 = "&amp;$PB68&amp;"d6"," da básica do nível "&amp;$NC68),$OZ68&amp;" − "&amp;$OU68&amp;" + "&amp;$OX68&amp;" = "&amp;$PA68&amp;" · teto "&amp;4*$MQ68&amp;"d8"&amp;IF($OD68=1," · a Forma devolve "&amp;$MQ68,"")&amp;IF($OY68&gt;0," · perde "&amp;$OY68,"")))</f>
        <v/>
      </c>
      <c r="QJ68" s="155">
        <f>IF($NB68=0,"",IF($MQ68=0,"A básica não amplia: os dados dela sobem com o nível",IF($MQ68&gt;=$ND68,"Já está na maior Classe que o nível liberou",TEXTJOIN(" · ",TRUE,IF(AND(2&gt;$MQ68,2&lt;=$ND68),"2 → "&amp;$PL68&amp;", 6 PE",""),IF(AND(3&gt;$MQ68,3&lt;=$ND68),"3 → "&amp;$PM68&amp;", 9 PE",""),IF(AND(4&gt;$MQ68,4&lt;=$ND68),"4 → "&amp;$PN68&amp;", 12 PE",""),IF(AND(5&gt;$MQ68,5&lt;=$ND68),"5 → "&amp;$PO68&amp;", 15 PE",""),IF(AND(6&gt;$MQ68,6&lt;=$ND68),"6 → "&amp;$PP68&amp;", 18 PE",""),IF(AND(7&gt;$MQ68,7&lt;=$ND68),"7 → "&amp;$PQ68&amp;", 21 PE","")))))</f>
        <v/>
      </c>
      <c r="QK68" s="155">
        <f>IF(OR($NB68=0,$NM68=0),"",IF($MQ68=0,"−1 dado","−"&amp;INDEX($I$2:$N$8,MAX(1,$MQ68),MAX(1,$NR68))&amp;" · "&amp;CHOOSE(MAX(1,$NR68),"Leve","Média","Pesada","Leve · Livre","Média · Livre","Pesada · Livre")))</f>
        <v/>
      </c>
      <c r="QL68" s="155">
        <f>IF(OR($NB68=0,$NN68=0),"",IF($MQ68=0,"−1 dado","−"&amp;INDEX($I$2:$N$8,MAX(1,$MQ68),MAX(1,$NS68))&amp;" · "&amp;CHOOSE(MAX(1,$NS68),"Leve","Média","Pesada","Leve · Livre","Média · Livre","Pesada · Livre")))</f>
        <v/>
      </c>
      <c r="QM68" s="155">
        <f>IF(OR($NB68=0,$NO68=0),"",IF($MQ68=0,"−1 dado","−"&amp;INDEX($I$2:$N$8,MAX(1,$MQ68),MAX(1,$NT68))&amp;" · "&amp;CHOOSE(MAX(1,$NT68),"Leve","Média","Pesada","Leve · Livre","Média · Livre","Pesada · Livre")))</f>
        <v/>
      </c>
      <c r="QN68" s="155">
        <f>IF(OR($NB68=0,$NP68=0),"",IF($MQ68=0,"−1 dado","−"&amp;INDEX($I$2:$N$8,MAX(1,$MQ68),MAX(1,$NU68))&amp;" · "&amp;CHOOSE(MAX(1,$NU68),"Leve","Média","Pesada","Leve · Livre","Média · Livre","Pesada · Livre")))</f>
        <v/>
      </c>
      <c r="QO68" s="155">
        <f>IF(OR($NB68=0,$MZ68=""),"",IF($MQ68=0,"não devolve","+"&amp;IF($OG68=1,CEILING($MQ68/2,1),$MQ68)))</f>
        <v/>
      </c>
      <c r="QP68" s="155">
        <f>IF(OR($NB68=0,$NA68=""),"",IF($MQ68=0,"não devolve","+"&amp;IF($OH68=1,CEILING($MQ68/2,1),$MQ68)))</f>
        <v/>
      </c>
    </row>
    <row r="69">
      <c r="AV69" s="153" t="inlineStr">
        <is>
          <t>Alvo de Caça</t>
        </is>
      </c>
      <c r="AW69" s="153" t="inlineStr">
        <is>
          <t>Marca</t>
        </is>
      </c>
      <c r="AX69" s="155" t="n">
        <v>1</v>
      </c>
      <c r="AY69" s="155" t="n">
        <v>0</v>
      </c>
      <c r="AZ69" s="155" t="n">
        <v>0</v>
      </c>
      <c r="BA69" s="155" t="n">
        <v>0</v>
      </c>
      <c r="JR69" s="155">
        <f>IF(OR($AW69="",COUNTIF($EJ$2:$EN$2,$AW69)&gt;0),$AV69,"")</f>
        <v/>
      </c>
      <c r="JS69" s="155">
        <f>IF(AND($AX69=1,OR($AW69="",COUNTIF($EJ$2:$EN$2,$AW69)&gt;0)),$AV69,"")</f>
        <v/>
      </c>
      <c r="JX69" s="155">
        <f>IF(OR($AW69="",COUNTIF($EJ$3:$EN$3,$AW69)&gt;0),$AV69,"")</f>
        <v/>
      </c>
      <c r="JY69" s="155">
        <f>IF(AND($AX69=1,OR($AW69="",COUNTIF($EJ$3:$EN$3,$AW69)&gt;0)),$AV69,"")</f>
        <v/>
      </c>
      <c r="KD69" s="155">
        <f>IF(OR($AW69="",COUNTIF($EJ$4:$EN$4,$AW69)&gt;0),$AV69,"")</f>
        <v/>
      </c>
      <c r="KE69" s="155">
        <f>IF(AND($AX69=1,OR($AW69="",COUNTIF($EJ$4:$EN$4,$AW69)&gt;0)),$AV69,"")</f>
        <v/>
      </c>
      <c r="KJ69" s="155">
        <f>IF(OR($AW69="",COUNTIF($EJ$5:$EN$5,$AW69)&gt;0),$AV69,"")</f>
        <v/>
      </c>
      <c r="KK69" s="155">
        <f>IF(AND($AX69=1,OR($AW69="",COUNTIF($EJ$5:$EN$5,$AW69)&gt;0)),$AV69,"")</f>
        <v/>
      </c>
      <c r="KP69" s="155">
        <f>IF(OR($AW69="",COUNTIF($EJ$6:$EN$6,$AW69)&gt;0),$AV69,"")</f>
        <v/>
      </c>
      <c r="KQ69" s="155">
        <f>IF(AND($AX69=1,OR($AW69="",COUNTIF($EJ$6:$EN$6,$AW69)&gt;0)),$AV69,"")</f>
        <v/>
      </c>
      <c r="KV69" s="155">
        <f>IF(OR($AW69="",COUNTIF($EJ$7:$EN$7,$AW69)&gt;0),$AV69,"")</f>
        <v/>
      </c>
      <c r="KW69" s="155">
        <f>IF(AND($AX69=1,OR($AW69="",COUNTIF($EJ$7:$EN$7,$AW69)&gt;0)),$AV69,"")</f>
        <v/>
      </c>
      <c r="LB69" s="155">
        <f>IF(OR($AW69="",COUNTIF($EJ$8:$EN$8,$AW69)&gt;0),$AV69,"")</f>
        <v/>
      </c>
      <c r="LC69" s="155">
        <f>IF(AND($AX69=1,OR($AW69="",COUNTIF($EJ$8:$EN$8,$AW69)&gt;0)),$AV69,"")</f>
        <v/>
      </c>
      <c r="LH69" s="155">
        <f>IF(OR($AW69="",COUNTIF($EJ$9:$EN$9,$AW69)&gt;0),$AV69,"")</f>
        <v/>
      </c>
      <c r="LI69" s="155">
        <f>IF(AND($AX69=1,OR($AW69="",COUNTIF($EJ$9:$EN$9,$AW69)&gt;0)),$AV69,"")</f>
        <v/>
      </c>
      <c r="LN69" s="155">
        <f>IF(OR($AW69="",COUNTIF($EJ$10:$EN$10,$AW69)&gt;0),$AV69,"")</f>
        <v/>
      </c>
      <c r="LO69" s="155">
        <f>IF(AND($AX69=1,OR($AW69="",COUNTIF($EJ$10:$EN$10,$AW69)&gt;0)),$AV69,"")</f>
        <v/>
      </c>
      <c r="LT69" s="155">
        <f>IF(OR($AW69="",COUNTIF($EJ$11:$EN$11,$AW69)&gt;0),$AV69,"")</f>
        <v/>
      </c>
      <c r="LU69" s="155">
        <f>IF(AND($AX69=1,OR($AW69="",COUNTIF($EJ$11:$EN$11,$AW69)&gt;0)),$AV69,"")</f>
        <v/>
      </c>
      <c r="LZ69" s="155">
        <f>IF(OR($AW69="",COUNTIF($EJ$12:$EN$12,$AW69)&gt;0),$AV69,"")</f>
        <v/>
      </c>
      <c r="MA69" s="155">
        <f>IF(AND($AX69=1,OR($AW69="",COUNTIF($EJ$12:$EN$12,$AW69)&gt;0)),$AV69,"")</f>
        <v/>
      </c>
      <c r="MF69" s="155">
        <f>IF(OR($AW69="",COUNTIF($EJ$13:$EN$13,$AW69)&gt;0),$AV69,"")</f>
        <v/>
      </c>
      <c r="MG69" s="155">
        <f>IF(AND($AX69=1,OR($AW69="",COUNTIF($EJ$13:$EN$13,$AW69)&gt;0)),$AV69,"")</f>
        <v/>
      </c>
      <c r="ML69" s="153" t="inlineStr">
        <is>
          <t>Ficha 6 · Especial 2</t>
        </is>
      </c>
      <c r="MM69" s="155" t="n">
        <v>6</v>
      </c>
      <c r="MN69" s="155" t="n">
        <v>1</v>
      </c>
      <c r="MO69" s="155" t="n">
        <v>4</v>
      </c>
      <c r="MP69" s="153" t="inlineStr">
        <is>
          <t>ESPECIAL 2</t>
        </is>
      </c>
      <c r="MQ69" s="155">
        <f>MAX(1,MIN(7,N('INVOCAÇÕES'!$U$1048)))</f>
        <v/>
      </c>
      <c r="MR69" s="155">
        <f>'INVOCAÇÕES'!$V$1048&amp;""</f>
        <v/>
      </c>
      <c r="MS69" s="155">
        <f>'INVOCAÇÕES'!$U$1053&amp;""</f>
        <v/>
      </c>
      <c r="MT69" s="155">
        <f>'INVOCAÇÕES'!$U$1054&amp;""</f>
        <v/>
      </c>
      <c r="MU69" s="155">
        <f>'INVOCAÇÕES'!$W$1054&amp;""</f>
        <v/>
      </c>
      <c r="MV69" s="155">
        <f>'INVOCAÇÕES'!$V$1057&amp;""</f>
        <v/>
      </c>
      <c r="MW69" s="155">
        <f>'INVOCAÇÕES'!$V$1058&amp;""</f>
        <v/>
      </c>
      <c r="MX69" s="155">
        <f>'INVOCAÇÕES'!$V$1059&amp;""</f>
        <v/>
      </c>
      <c r="MY69" s="155">
        <f>'INVOCAÇÕES'!$V$1060&amp;""</f>
        <v/>
      </c>
      <c r="MZ69" s="155">
        <f>'INVOCAÇÕES'!$V$1061&amp;""</f>
        <v/>
      </c>
      <c r="NA69" s="155">
        <f>'INVOCAÇÕES'!$V$1062&amp;""</f>
        <v/>
      </c>
      <c r="NB69" s="155">
        <f>IF($MR69&lt;&gt;"",1,0)</f>
        <v/>
      </c>
      <c r="NC69" s="155">
        <f>INDEX($FM$2:$FM$13,$MM69)</f>
        <v/>
      </c>
      <c r="ND69" s="155">
        <f>INDEX($FN$2:$FN$13,$MM69)</f>
        <v/>
      </c>
      <c r="NE69" s="155">
        <f>INDEX($FO$2:$FO$13,$MM69)</f>
        <v/>
      </c>
      <c r="NF69" s="155">
        <f>INDEX($FZ$2:$FZ$13,$MM69)</f>
        <v/>
      </c>
      <c r="NG69" s="155">
        <f>INDEX($GA$2:$GA$13,$MM69)</f>
        <v/>
      </c>
      <c r="NH69" s="155">
        <f>IFERROR(MATCH($MS69,$V$2:$V$11,0),0)</f>
        <v/>
      </c>
      <c r="NI69" s="155">
        <f>IFERROR(VLOOKUP($MV69,$AV$2:$BA$84,2,FALSE),"")</f>
        <v/>
      </c>
      <c r="NJ69" s="155">
        <f>IFERROR(VLOOKUP($MW69,$AV$2:$BA$84,2,FALSE),"")</f>
        <v/>
      </c>
      <c r="NK69" s="155">
        <f>IFERROR(VLOOKUP($MX69,$AV$2:$BA$84,2,FALSE),"")</f>
        <v/>
      </c>
      <c r="NL69" s="155">
        <f>IFERROR(VLOOKUP($MY69,$AV$2:$BA$84,2,FALSE),"")</f>
        <v/>
      </c>
      <c r="NM69" s="155">
        <f>IFERROR(VLOOKUP($MV69,$AV$2:$BA$84,3,FALSE),0)</f>
        <v/>
      </c>
      <c r="NN69" s="155">
        <f>IFERROR(VLOOKUP($MW69,$AV$2:$BA$84,3,FALSE),0)</f>
        <v/>
      </c>
      <c r="NO69" s="155">
        <f>IFERROR(VLOOKUP($MX69,$AV$2:$BA$84,3,FALSE),0)</f>
        <v/>
      </c>
      <c r="NP69" s="155">
        <f>IFERROR(VLOOKUP($MY69,$AV$2:$BA$84,3,FALSE),0)</f>
        <v/>
      </c>
      <c r="NQ69" s="155">
        <f>IF($MQ69=0,0,IF($NH69=0,0,INDEX($X$2:$X$11,$NH69)))</f>
        <v/>
      </c>
      <c r="NR69" s="155">
        <f>IF(OR($NM69=0,$MQ69=0),0,$NM69+3*IF(AND($NI69&lt;&gt;"",OR($NI69=INDEX($EJ$2:$EJ$13,$MM69),$NI69=INDEX($EK$2:$EK$13,$MM69))),1,0))</f>
        <v/>
      </c>
      <c r="NS69" s="155">
        <f>IF(OR($NN69=0,$MQ69=0),0,$NN69+3*IF(AND($NJ69&lt;&gt;"",OR($NJ69=INDEX($EJ$2:$EJ$13,$MM69),$NJ69=INDEX($EK$2:$EK$13,$MM69))),1,0))</f>
        <v/>
      </c>
      <c r="NT69" s="155">
        <f>IF(OR($NO69=0,$MQ69=0),0,$NO69+3*IF(AND($NK69&lt;&gt;"",OR($NK69=INDEX($EJ$2:$EJ$13,$MM69),$NK69=INDEX($EK$2:$EK$13,$MM69))),1,0))</f>
        <v/>
      </c>
      <c r="NU69" s="155">
        <f>IF(OR($NP69=0,$MQ69=0),0,$NP69+3*IF(AND($NL69&lt;&gt;"",OR($NL69=INDEX($EJ$2:$EJ$13,$MM69),$NL69=INDEX($EK$2:$EK$13,$MM69))),1,0))</f>
        <v/>
      </c>
      <c r="NV69" s="155">
        <f>IF($NH69=0,0,IF(INDEX($W$2:$W$11,$NH69)="",0,IF(COUNTIF(INDEX($EJ$2:$EN$13,$MM69,0),INDEX($W$2:$W$11,$NH69))=0,1,0)))</f>
        <v/>
      </c>
      <c r="NW69" s="155">
        <f>IF(OR($NM69=0,$NI69=""),0,IF(COUNTIF(INDEX($EJ$2:$EN$13,$MM69,0),$NI69)=0,1,0))</f>
        <v/>
      </c>
      <c r="NX69" s="155">
        <f>IF(OR($NN69=0,$NJ69=""),0,IF(COUNTIF(INDEX($EJ$2:$EN$13,$MM69,0),$NJ69)=0,1,0))</f>
        <v/>
      </c>
      <c r="NY69" s="155">
        <f>IF(OR($NO69=0,$NK69=""),0,IF(COUNTIF(INDEX($EJ$2:$EN$13,$MM69,0),$NK69)=0,1,0))</f>
        <v/>
      </c>
      <c r="NZ69" s="155">
        <f>IF(OR($NP69=0,$NL69=""),0,IF(COUNTIF(INDEX($EJ$2:$EN$13,$MM69,0),$NL69)=0,1,0))</f>
        <v/>
      </c>
      <c r="OA69" s="155">
        <f>IFERROR(VLOOKUP($MV69,$AV$2:$BA$84,4,FALSE),0)+IFERROR(VLOOKUP($MW69,$AV$2:$BA$84,4,FALSE),0)+IFERROR(VLOOKUP($MX69,$AV$2:$BA$84,4,FALSE),0)+IFERROR(VLOOKUP($MY69,$AV$2:$BA$84,4,FALSE),0)</f>
        <v/>
      </c>
      <c r="OB69" s="155">
        <f>IFERROR(VLOOKUP($MV69,$AV$2:$BA$84,6,FALSE),0)+IFERROR(VLOOKUP($MW69,$AV$2:$BA$84,6,FALSE),0)+IFERROR(VLOOKUP($MX69,$AV$2:$BA$84,6,FALSE),0)+IFERROR(VLOOKUP($MY69,$AV$2:$BA$84,6,FALSE),0)</f>
        <v/>
      </c>
      <c r="OC69" s="155">
        <f>TEXTJOIN(", ",TRUE,IF(IFERROR(VLOOKUP($MV69,$AV$2:$BA$84,5,FALSE),0)=1,$MV69,""),IF(IFERROR(VLOOKUP($MW69,$AV$2:$BA$84,5,FALSE),0)=1,$MW69,""),IF(IFERROR(VLOOKUP($MX69,$AV$2:$BA$84,5,FALSE),0)=1,$MX69,""),IF(IFERROR(VLOOKUP($MY69,$AV$2:$BA$84,5,FALSE),0)=1,$MY69,""))</f>
        <v/>
      </c>
      <c r="OD69" s="155">
        <f>IF($NH69=0,0,INDEX($Y$2:$Y$11,$NH69))</f>
        <v/>
      </c>
      <c r="OE69" s="155">
        <f>IF($NH69=0,0,INDEX($Z$2:$Z$11,$NH69))</f>
        <v/>
      </c>
      <c r="OF69" s="155">
        <f>IF($NH69=0,0,INDEX($AB$2:$AB$11,$NH69))</f>
        <v/>
      </c>
      <c r="OG69" s="155">
        <f>IFERROR(VLOOKUP($MZ69,$BC$2:$BG$24,3,FALSE),0)</f>
        <v/>
      </c>
      <c r="OH69" s="155">
        <f>IFERROR(VLOOKUP($NA69,$BC$2:$BG$24,3,FALSE),0)</f>
        <v/>
      </c>
      <c r="OI69" s="155">
        <f>IFERROR(VLOOKUP($MZ69,$BC$2:$BG$24,2,FALSE),"")</f>
        <v/>
      </c>
      <c r="OJ69" s="155">
        <f>IFERROR(VLOOKUP($NA69,$BC$2:$BG$24,2,FALSE),"")</f>
        <v/>
      </c>
      <c r="OK69" s="155">
        <f>COUNTIF($NQ69:$NU69,1)</f>
        <v/>
      </c>
      <c r="OL69" s="155">
        <f>COUNTIF($NQ69:$NU69,2)</f>
        <v/>
      </c>
      <c r="OM69" s="155">
        <f>COUNTIF($NQ69:$NU69,3)</f>
        <v/>
      </c>
      <c r="ON69" s="155">
        <f>COUNTIF($NQ69:$NU69,4)</f>
        <v/>
      </c>
      <c r="OO69" s="155">
        <f>COUNTIF($NQ69:$NU69,5)</f>
        <v/>
      </c>
      <c r="OP69" s="155">
        <f>COUNTIF($NQ69:$NU69,6)</f>
        <v/>
      </c>
      <c r="OQ69" s="155">
        <f>COUNTIF($OG69:$OH69,1)</f>
        <v/>
      </c>
      <c r="OR69" s="155">
        <f>COUNTIF($OG69:$OH69,2)+$OD69</f>
        <v/>
      </c>
      <c r="OS69" s="155">
        <f>COUNTIF($MV69:$MY69,"?*")</f>
        <v/>
      </c>
      <c r="OT69" s="155">
        <f>COUNTIF($MZ69:$NA69,"?*")+$OD69</f>
        <v/>
      </c>
      <c r="OU69" s="155">
        <f>IF($MQ69=0,0,SUMPRODUCT($OK69:$OP69,INDEX($I$2:$N$8,MAX(1,$MQ69),0)))</f>
        <v/>
      </c>
      <c r="OV69" s="155">
        <f>IF($MQ69=0,0,$OQ69*CEILING($MQ69/2,1)+$OR69*$MQ69)</f>
        <v/>
      </c>
      <c r="OW69" s="155">
        <f>MIN(2*$MQ69,$OV69)</f>
        <v/>
      </c>
      <c r="OX69" s="155">
        <f>MIN($OW69,$OU69)</f>
        <v/>
      </c>
      <c r="OY69" s="155">
        <f>$OW69-$OX69</f>
        <v/>
      </c>
      <c r="OZ69" s="155">
        <f>IF($MQ69=0,0,INDEX($P$2:$P$8,MAX(1,$MQ69)))</f>
        <v/>
      </c>
      <c r="PA69" s="155">
        <f>$OZ69-$OU69+$OX69</f>
        <v/>
      </c>
      <c r="PB69" s="155">
        <f>IF($MQ69=0,MAX(0,$NE69-IF($OS69&gt;0,1,0)),MAX(0,$PA69))</f>
        <v/>
      </c>
      <c r="PC69" s="155">
        <f>IF($MQ69=0,0,(IF(COUNTIF($MV69:$MY69,"Salto")&gt;0,1,0)+IF(COUNTIF($MV69:$MY69,"Queima")&gt;0,1,0)+IF(COUNTIF($MV69:$MY69,"Estilhaço")&gt;0,1,0))*FLOOR($PB69/2,1))</f>
        <v/>
      </c>
      <c r="PD69" s="155">
        <f>MAX(0,2-SUMPRODUCT($OK69:$OP69,$I$2:$N$2)+MIN(2,$OQ69*1+$OR69*1,SUMPRODUCT($OK69:$OP69,$I$2:$N$2)))</f>
        <v/>
      </c>
      <c r="PE69" s="155">
        <f>MAX(0,4-SUMPRODUCT($OK69:$OP69,$I$3:$N$3)+MIN(4,$OQ69*1+$OR69*2,SUMPRODUCT($OK69:$OP69,$I$3:$N$3)))</f>
        <v/>
      </c>
      <c r="PF69" s="155">
        <f>MAX(0,6-SUMPRODUCT($OK69:$OP69,$I$4:$N$4)+MIN(6,$OQ69*2+$OR69*3,SUMPRODUCT($OK69:$OP69,$I$4:$N$4)))</f>
        <v/>
      </c>
      <c r="PG69" s="155">
        <f>MAX(0,9-SUMPRODUCT($OK69:$OP69,$I$5:$N$5)+MIN(8,$OQ69*2+$OR69*4,SUMPRODUCT($OK69:$OP69,$I$5:$N$5)))</f>
        <v/>
      </c>
      <c r="PH69" s="155">
        <f>MAX(0,11-SUMPRODUCT($OK69:$OP69,$I$6:$N$6)+MIN(10,$OQ69*3+$OR69*5,SUMPRODUCT($OK69:$OP69,$I$6:$N$6)))</f>
        <v/>
      </c>
      <c r="PI69" s="155">
        <f>MAX(0,13-SUMPRODUCT($OK69:$OP69,$I$7:$N$7)+MIN(12,$OQ69*3+$OR69*6,SUMPRODUCT($OK69:$OP69,$I$7:$N$7)))</f>
        <v/>
      </c>
      <c r="PJ69" s="155">
        <f>MAX(0,16-SUMPRODUCT($OK69:$OP69,$I$8:$N$8)+MIN(14,$OQ69*4+$OR69*7,SUMPRODUCT($OK69:$OP69,$I$8:$N$8)))</f>
        <v/>
      </c>
      <c r="PK69" s="155">
        <f>IF($OE69=2,3*$PD69&amp;" de vida temp.",IF($OE69=3,"sem dano",IF($PD69=0,IF($OE69=1,"sem cura","sem dano"),IF($OE69=1,"cura ","")&amp;$PD69&amp;"d8")))</f>
        <v/>
      </c>
      <c r="PL69" s="155">
        <f>IF($OE69=2,3*$PE69&amp;" de vida temp.",IF($OE69=3,"sem dano",IF($PE69=0,IF($OE69=1,"sem cura","sem dano"),IF($OE69=1,"cura ","")&amp;$PE69&amp;"d8")))</f>
        <v/>
      </c>
      <c r="PM69" s="155">
        <f>IF($OE69=2,3*$PF69&amp;" de vida temp.",IF($OE69=3,"sem dano",IF($PF69=0,IF($OE69=1,"sem cura","sem dano"),IF($OE69=1,"cura ","")&amp;$PF69&amp;"d8")))</f>
        <v/>
      </c>
      <c r="PN69" s="155">
        <f>IF($OE69=2,3*$PG69&amp;" de vida temp.",IF($OE69=3,"sem dano",IF($PG69=0,IF($OE69=1,"sem cura","sem dano"),IF($OE69=1,"cura ","")&amp;$PG69&amp;"d8")))</f>
        <v/>
      </c>
      <c r="PO69" s="155">
        <f>IF($OE69=2,3*$PH69&amp;" de vida temp.",IF($OE69=3,"sem dano",IF($PH69=0,IF($OE69=1,"sem cura","sem dano"),IF($OE69=1,"cura ","")&amp;$PH69&amp;"d8")))</f>
        <v/>
      </c>
      <c r="PP69" s="155">
        <f>IF($OE69=2,3*$PI69&amp;" de vida temp.",IF($OE69=3,"sem dano",IF($PI69=0,IF($OE69=1,"sem cura","sem dano"),IF($OE69=1,"cura ","")&amp;$PI69&amp;"d8")))</f>
        <v/>
      </c>
      <c r="PQ69" s="155">
        <f>IF($OE69=2,3*$PJ69&amp;" de vida temp.",IF($OE69=3,"sem dano",IF($PJ69=0,IF($OE69=1,"sem cura","sem dano"),IF($OE69=1,"cura ","")&amp;$PJ69&amp;"d8")))</f>
        <v/>
      </c>
      <c r="PR69" s="155">
        <f>IF($NB69=0,"",TEXTJOIN(" · ",TRUE,IF($MO69&gt;$NC69,"Este lugar abre no nível "&amp;$MO69,""),IF($MQ69&gt;$ND69,"Classe "&amp;$MQ69&amp;": o nível "&amp;$NC69&amp;" libera até a "&amp;$ND69,""),IF($NV69=1,"A Forma "&amp;$MS69&amp;" pede "&amp;INDEX($W$2:$W$11,$NH69)&amp;" aberta",""),IF(AND($MQ69=0,$NH69&gt;0,IF($NH69=0,0,INDEX($AF$2:$AF$11,$NH69))=0),$MS69&amp;" não existe na Classe 0",""),IF($NW69=1,"Família Fechada: "&amp;$MV69,""),IF($NX69=1,"Família Fechada: "&amp;$MW69,""),IF($NY69=1,"Família Fechada: "&amp;$MX69,""),IF($NZ69=1,"Família Fechada: "&amp;$MY69,""),IF(AND($MQ69&gt;0,$OS69&gt;INDEX($O$2:$O$8,MAX(1,$MQ69))),$OS69&amp;" Melhorias: a Classe "&amp;$MQ69&amp;" aceita "&amp;INDEX($O$2:$O$8,MAX(1,$MQ69)),""),IF(AND($MQ69=0,$OS69&gt;1),"A básica aceita uma Melhoria",""),IF(AND($MQ69=0,COUNTIF($NM69:$NP69,"&gt;1")&gt;0),"A básica só aceita Melhoria Leve",""),IF(AND($MQ69&gt;0,$OT69&gt;2),$OT69&amp;" Restrições"&amp;IF($OD69=1,", contando a que a Forma "&amp;$MS69&amp;" já traz","")&amp;": o limite é 2",""),IF(AND($MQ69=0,COUNTIF($MZ69:$NA69,"?*")&gt;1),"A básica aceita uma Restrição Leve",""),IF(AND($MQ69=0,COUNTIF($OG69:$OH69,2)&gt;0),"A básica só aceita Restrição Leve",""),IF(AND($MQ69&gt;0,$PA69&lt;0),"Orçamento estourado: faltam "&amp;(-$PA69)&amp;IF($PA69&lt;-1," pontos"," ponto"),""),IF(IFERROR(VLOOKUP($MZ69,$BC$2:$BG$24,4,FALSE),0)+IFERROR(VLOOKUP($NA69,$BC$2:$BG$24,4,FALSE),0)&gt;1,$OI69&amp;" e "&amp;$OJ69&amp;" são as duas de frequência",""),IF(AND((COUNTIF($MV69:$MY69,"Rápido")+COUNTIF($OI69:$OJ69,"Rápido"))&gt;0,(COUNTIF($MV69:$MY69,"Atrasar")+COUNTIF($OI69:$OJ69,"Atrasar"))&gt;0),"Rápido não entra com Atrasar",""),IF(AND((COUNTIF($MV69:$MY69,"Reação")+COUNTIF($OI69:$OJ69,"Reação"))&gt;0,(COUNTIF($MV69:$MY69,"Rápido")+COUNTIF($OI69:$OJ69,"Rápido"))&gt;0),"Reação não entra com Rápido",""),IF(AND((COUNTIF($MV69:$MY69,"Reação")+COUNTIF($OI69:$OJ69,"Reação"))&gt;0,(COUNTIF($MV69:$MY69,"Armado")+COUNTIF($OI69:$OJ69,"Armado"))&gt;0),"Reação não entra com Armado",""),IF(AND((COUNTIF($MV69:$MY69,"Reação")+COUNTIF($OI69:$OJ69,"Reação"))&gt;0,(COUNTIF($MV69:$MY69,"Atrasar")+COUNTIF($OI69:$OJ69,"Atrasar"))&gt;0),"Reação não entra com Atrasar",""),IF(AND((COUNTIF($MV69:$MY69,"Reação")+COUNTIF($OI69:$OJ69,"Reação"))&gt;0,(COUNTIF($MV69:$MY69,"Parado")+COUNTIF($OI69:$OJ69,"Parado"))&gt;0),"Reação não entra com Parado",""),IF(AND((COUNTIF($MV69:$MY69,"Atrasar")+COUNTIF($OI69:$OJ69,"Atrasar"))&gt;0,(COUNTIF($MV69:$MY69,"Parado")+COUNTIF($OI69:$OJ69,"Parado"))&gt;0),"Atrasar não entra com Parado",""),IF(AND((COUNTIF($MV69:$MY69,"Armado")+COUNTIF($OI69:$OJ69,"Armado"))&gt;0,(COUNTIF($MV69:$MY69,"Carregar")+COUNTIF($OI69:$OJ69,"Carregar"))&gt;0),"Armado não entra com Carregar",""),IF(AND(COUNTIF($OI69:$OJ69,"Corpo a Corpo")&gt;0,$OD69=0,OR($MS69="Cone",$MS69="Linha")),"Corpo a Corpo não entra em "&amp;$MS69,""),IF(AND(COUNTIF($OI69:$OJ69,"Corpo a Corpo")&gt;0,$OD69=1),"A Forma "&amp;$MS69&amp;" já traz o Corpo a Corpo",""),IF(AND(COUNTIF($OI69:$OJ69,"Tudo ou Nada")&gt;0,$OF69=0),"Tudo ou Nada só entra em habilidade de Teste de Resistência",""),IF(AND(COUNTIF($MV69:$MY69,"Inescapável")&gt;0,OR($OS69&gt;1,$OT69&gt;0)),"Inescapável não aceita outra peça",""),IF(AND($MQ69&gt;0,$PB69*IF(COUNTIF($MV69:$MY69,"Remate")&gt;0,1.25,1)+$PC69&gt;4*$MQ69),($PB69*IF(COUNTIF($MV69:$MY69,"Remate")&gt;0,1.25,1)+$PC69)&amp;" dados somando repetições"&amp;IF(COUNTIF($MV69:$MY69,"Remate")&gt;0," e o Remate","")&amp;": o teto da Classe "&amp;$MQ69&amp;" é "&amp;4*$MQ69,"")))</f>
        <v/>
      </c>
      <c r="PS69" s="155">
        <f>IF($PR69="",0,(LEN($PR69)-LEN(SUBSTITUTE($PR69," · ","")))/3+1)</f>
        <v/>
      </c>
      <c r="PT69" s="155">
        <f>IF($NB69=0,"",TEXTJOIN(" · ",TRUE,IF($OV69&gt;2*$MQ69,"A devolução parou no teto de "&amp;2*$MQ69,""),IF($OY69&gt;0,"Devolução perdida: "&amp;$OY69&amp;IF($OY69&gt;1," pontos"," ponto")&amp;" sem peça para pagar",""),IF(AND($OA69&gt;0,AND($MQ69&gt;0,$OE69=0),$PB69=0),"Controle sem dano: uma rodada a mais e CD +2",""),IF(AND($OA69&gt;0,AND($MQ69&gt;0,$OE69=0),$PB69&gt;0,$PB69&lt;=$MQ69),"Controle com saldo até a Classe: uma rodada a mais",""),IF(AND($MQ69&gt;0,$OC69&lt;&gt;""),"Efeito de "&amp;$OC69&amp;" pela Classe "&amp;MAX(1,$MQ69-1),"")))</f>
        <v/>
      </c>
      <c r="PU69" s="155">
        <f>IF($PT69="",0,(LEN($PT69)-LEN(SUBSTITUTE($PT69," · ","")))/3+1)</f>
        <v/>
      </c>
      <c r="PV69" s="155">
        <f>IF($NB69=0,IF($OS69+COUNTIF($MZ69:$NA69,"?*")&gt;0,"Dê um nome",""),IF($PS69&gt;0,"⚠ "&amp;$PS69&amp;IF($PS69&gt;1," erros"," erro"),IF($PU69&gt;0,"! "&amp;$PU69&amp;IF($PU69&gt;1," avisos"," aviso"),"Na regra")))</f>
        <v/>
      </c>
      <c r="PW69" s="155">
        <f>IF($NB69=0,"",IF($PS69+$PU69=0,"Dentro das regras que a ficha confere",$PR69&amp;IF(AND($PS69&gt;0,$PU69&gt;0)," · ","")&amp;$PT69))</f>
        <v/>
      </c>
      <c r="PX69" s="155">
        <f>IF($MO69&gt;$NC69,$MP69&amp;" · ABRE NO NÍVEL "&amp;$MO69,$MP69)</f>
        <v/>
      </c>
      <c r="PY69" s="155">
        <f>IF($NB69=0,"",IF($MQ69=0,"Sem PE",3*$MQ69&amp;" PE"))</f>
        <v/>
      </c>
      <c r="PZ69" s="155">
        <f>IF($NB69=0,"",IF($MQ69=0,"A atuação básica dela",IF(COUNTIF($OI69:$OJ69,"Atrasar")&gt;0,"Sua Ação Completa",IF(COUNTIF($MV69:$MY69,"Rápido")&gt;0,"Sua Bônus",IF(COUNTIF($MV69:$MY69,"Reação")&gt;0,"Sua Reação","Sua Padrão")))&amp;" + a básica dela"&amp;IF(COUNTIF($MV69:$MY69,"Reação")&gt;0," e a coletiva","")&amp;IF(COUNTIF($OI69:$OJ69,"Carregar")&gt;0," · em dois turnos","")))</f>
        <v/>
      </c>
      <c r="QA69" s="155">
        <f>IF($MU69&lt;&gt;"",$MU69,IF($NH69=0,"",INDEX($AA$2:$AA$11,$NH69)))</f>
        <v/>
      </c>
      <c r="QB69" s="155">
        <f>IF(OR($NB69=0,$NH69=0),"",IF(COUNTIF($MV69:$MY69,"Inescapável")&gt;0,"Automático",IF($QA69="Ataque",IF($NF69="","Ataque","Ataque "&amp;IF(($NF69+2*IF(COUNTIF($MV69:$MY69,"Precisão")&gt;0,1,0))&gt;=0,"+","−")&amp;ABS(($NF69+2*IF(COUNTIF($MV69:$MY69,"Precisão")&gt;0,1,0))))&amp;IF($OB69&gt;0," · TR"&amp;IF($NG69="",""," CD "&amp;$NG69),""),IF(LEFT($QA69,2)="TR",$QA69&amp;IF($NG69="",""," · CD "&amp;$NG69)&amp;IF(COUNTIF($MV69:$MY69,"Certeiro")&gt;0," · metade",""),"Sem rolagem"))))</f>
        <v/>
      </c>
      <c r="QC69" s="155">
        <f>IF(OR($NB69=0,$NH69=0),"",IF($MQ69=0,IF(OR($OE69&gt;=1,$PB69=0),"Sem dano",$PB69&amp;"d6"&amp;IF($MT69="",""," "&amp;$MT69)),IF(OR($OE69&gt;=1,$PB69=0),UPPER(LEFT(INDEX($PK69:$PQ69,1,MAX(1,$MQ69)),1))&amp;MID(INDEX($PK69:$PQ69,1,MAX(1,$MQ69)),2,99),UPPER(LEFT(INDEX($PK69:$PQ69,1,MAX(1,$MQ69)),1))&amp;MID(INDEX($PK69:$PQ69,1,MAX(1,$MQ69)),2,99)&amp;IF($MT69="",""," "&amp;$MT69)&amp;IF($PC69&gt;0," · +"&amp;$PC69&amp;"d8",""))))</f>
        <v/>
      </c>
      <c r="QD69" s="155">
        <f>COUNTIF($MV69:$MY69,"Longe")+3*COUNTIF($MV69:$MY69,"Muito Longe")</f>
        <v/>
      </c>
      <c r="QE69" s="155">
        <f>COUNTIF($MV69:$MY69,"Maior")+3*COUNTIF($MV69:$MY69,"Muito Maior")</f>
        <v/>
      </c>
      <c r="QF69" s="155">
        <f>IF($NH69=0,0,CHOOSE(1+INDEX($AC$2:$AC$11,$NH69),0,$QD69,$QE69,$QD69+$QE69))</f>
        <v/>
      </c>
      <c r="QG69" s="155">
        <f>IF($NH69=0,0,CHOOSE(1+INDEX($AD$2:$AD$11,$NH69),0,$QD69,$QE69,$QD69+$QE69))</f>
        <v/>
      </c>
      <c r="QH69" s="155">
        <f>IF(OR($NB69=0,$NH69=0),"",INDEX($AI$2:$AN$41,($NH69-1)*4+IF($MQ69=0,1,IF($MQ69&lt;=5,2,IF($MQ69=6,3,4))),1+MIN(5,$QF69))&amp;INDEX($AO$2:$AT$41,($NH69-1)*4+IF($MQ69=0,1,IF($MQ69&lt;=5,2,IF($MQ69=6,3,4))),1+MIN(5,$QG69))&amp;IF(INDEX($AE$2:$AE$11,$NH69)=1,IF(COUNTIF($MV69:$MY69,"Mais Um")&gt;0," · +"&amp;COUNTIF($MV69:$MY69,"Mais Um")&amp;IF(COUNTIF($MV69:$MY69,"Mais Um")&gt;1," alvos"," alvo"),"")&amp;IF(COUNTIF($MV69:$MY69,"Rajada")&gt;0,IF($MQ69=0," · 1 tiro"," · "&amp;(MAX(1,$MQ69-1)+1)&amp;" tiros"),""),""))</f>
        <v/>
      </c>
      <c r="QI69" s="155">
        <f>IF($NB69=0,"",IF($MQ69=0,$NE69&amp;"d6"&amp;IF($OS69&gt;0," − 1 = "&amp;$PB69&amp;"d6"," da básica do nível "&amp;$NC69),$OZ69&amp;" − "&amp;$OU69&amp;" + "&amp;$OX69&amp;" = "&amp;$PA69&amp;" · teto "&amp;4*$MQ69&amp;"d8"&amp;IF($OD69=1," · a Forma devolve "&amp;$MQ69,"")&amp;IF($OY69&gt;0," · perde "&amp;$OY69,"")))</f>
        <v/>
      </c>
      <c r="QJ69" s="155">
        <f>IF($NB69=0,"",IF($MQ69=0,"A básica não amplia: os dados dela sobem com o nível",IF($MQ69&gt;=$ND69,"Já está na maior Classe que o nível liberou",TEXTJOIN(" · ",TRUE,IF(AND(2&gt;$MQ69,2&lt;=$ND69),"2 → "&amp;$PL69&amp;", 6 PE",""),IF(AND(3&gt;$MQ69,3&lt;=$ND69),"3 → "&amp;$PM69&amp;", 9 PE",""),IF(AND(4&gt;$MQ69,4&lt;=$ND69),"4 → "&amp;$PN69&amp;", 12 PE",""),IF(AND(5&gt;$MQ69,5&lt;=$ND69),"5 → "&amp;$PO69&amp;", 15 PE",""),IF(AND(6&gt;$MQ69,6&lt;=$ND69),"6 → "&amp;$PP69&amp;", 18 PE",""),IF(AND(7&gt;$MQ69,7&lt;=$ND69),"7 → "&amp;$PQ69&amp;", 21 PE","")))))</f>
        <v/>
      </c>
      <c r="QK69" s="155">
        <f>IF(OR($NB69=0,$NM69=0),"",IF($MQ69=0,"−1 dado","−"&amp;INDEX($I$2:$N$8,MAX(1,$MQ69),MAX(1,$NR69))&amp;" · "&amp;CHOOSE(MAX(1,$NR69),"Leve","Média","Pesada","Leve · Livre","Média · Livre","Pesada · Livre")))</f>
        <v/>
      </c>
      <c r="QL69" s="155">
        <f>IF(OR($NB69=0,$NN69=0),"",IF($MQ69=0,"−1 dado","−"&amp;INDEX($I$2:$N$8,MAX(1,$MQ69),MAX(1,$NS69))&amp;" · "&amp;CHOOSE(MAX(1,$NS69),"Leve","Média","Pesada","Leve · Livre","Média · Livre","Pesada · Livre")))</f>
        <v/>
      </c>
      <c r="QM69" s="155">
        <f>IF(OR($NB69=0,$NO69=0),"",IF($MQ69=0,"−1 dado","−"&amp;INDEX($I$2:$N$8,MAX(1,$MQ69),MAX(1,$NT69))&amp;" · "&amp;CHOOSE(MAX(1,$NT69),"Leve","Média","Pesada","Leve · Livre","Média · Livre","Pesada · Livre")))</f>
        <v/>
      </c>
      <c r="QN69" s="155">
        <f>IF(OR($NB69=0,$NP69=0),"",IF($MQ69=0,"−1 dado","−"&amp;INDEX($I$2:$N$8,MAX(1,$MQ69),MAX(1,$NU69))&amp;" · "&amp;CHOOSE(MAX(1,$NU69),"Leve","Média","Pesada","Leve · Livre","Média · Livre","Pesada · Livre")))</f>
        <v/>
      </c>
      <c r="QO69" s="155">
        <f>IF(OR($NB69=0,$MZ69=""),"",IF($MQ69=0,"não devolve","+"&amp;IF($OG69=1,CEILING($MQ69/2,1),$MQ69)))</f>
        <v/>
      </c>
      <c r="QP69" s="155">
        <f>IF(OR($NB69=0,$NA69=""),"",IF($MQ69=0,"não devolve","+"&amp;IF($OH69=1,CEILING($MQ69/2,1),$MQ69)))</f>
        <v/>
      </c>
    </row>
    <row r="70">
      <c r="AV70" s="153" t="inlineStr">
        <is>
          <t>Rastro</t>
        </is>
      </c>
      <c r="AW70" s="153" t="inlineStr">
        <is>
          <t>Marca</t>
        </is>
      </c>
      <c r="AX70" s="155" t="n">
        <v>1</v>
      </c>
      <c r="AY70" s="155" t="n">
        <v>0</v>
      </c>
      <c r="AZ70" s="155" t="n">
        <v>0</v>
      </c>
      <c r="BA70" s="155" t="n">
        <v>0</v>
      </c>
      <c r="JR70" s="155">
        <f>IF(OR($AW70="",COUNTIF($EJ$2:$EN$2,$AW70)&gt;0),$AV70,"")</f>
        <v/>
      </c>
      <c r="JS70" s="155">
        <f>IF(AND($AX70=1,OR($AW70="",COUNTIF($EJ$2:$EN$2,$AW70)&gt;0)),$AV70,"")</f>
        <v/>
      </c>
      <c r="JX70" s="155">
        <f>IF(OR($AW70="",COUNTIF($EJ$3:$EN$3,$AW70)&gt;0),$AV70,"")</f>
        <v/>
      </c>
      <c r="JY70" s="155">
        <f>IF(AND($AX70=1,OR($AW70="",COUNTIF($EJ$3:$EN$3,$AW70)&gt;0)),$AV70,"")</f>
        <v/>
      </c>
      <c r="KD70" s="155">
        <f>IF(OR($AW70="",COUNTIF($EJ$4:$EN$4,$AW70)&gt;0),$AV70,"")</f>
        <v/>
      </c>
      <c r="KE70" s="155">
        <f>IF(AND($AX70=1,OR($AW70="",COUNTIF($EJ$4:$EN$4,$AW70)&gt;0)),$AV70,"")</f>
        <v/>
      </c>
      <c r="KJ70" s="155">
        <f>IF(OR($AW70="",COUNTIF($EJ$5:$EN$5,$AW70)&gt;0),$AV70,"")</f>
        <v/>
      </c>
      <c r="KK70" s="155">
        <f>IF(AND($AX70=1,OR($AW70="",COUNTIF($EJ$5:$EN$5,$AW70)&gt;0)),$AV70,"")</f>
        <v/>
      </c>
      <c r="KP70" s="155">
        <f>IF(OR($AW70="",COUNTIF($EJ$6:$EN$6,$AW70)&gt;0),$AV70,"")</f>
        <v/>
      </c>
      <c r="KQ70" s="155">
        <f>IF(AND($AX70=1,OR($AW70="",COUNTIF($EJ$6:$EN$6,$AW70)&gt;0)),$AV70,"")</f>
        <v/>
      </c>
      <c r="KV70" s="155">
        <f>IF(OR($AW70="",COUNTIF($EJ$7:$EN$7,$AW70)&gt;0),$AV70,"")</f>
        <v/>
      </c>
      <c r="KW70" s="155">
        <f>IF(AND($AX70=1,OR($AW70="",COUNTIF($EJ$7:$EN$7,$AW70)&gt;0)),$AV70,"")</f>
        <v/>
      </c>
      <c r="LB70" s="155">
        <f>IF(OR($AW70="",COUNTIF($EJ$8:$EN$8,$AW70)&gt;0),$AV70,"")</f>
        <v/>
      </c>
      <c r="LC70" s="155">
        <f>IF(AND($AX70=1,OR($AW70="",COUNTIF($EJ$8:$EN$8,$AW70)&gt;0)),$AV70,"")</f>
        <v/>
      </c>
      <c r="LH70" s="155">
        <f>IF(OR($AW70="",COUNTIF($EJ$9:$EN$9,$AW70)&gt;0),$AV70,"")</f>
        <v/>
      </c>
      <c r="LI70" s="155">
        <f>IF(AND($AX70=1,OR($AW70="",COUNTIF($EJ$9:$EN$9,$AW70)&gt;0)),$AV70,"")</f>
        <v/>
      </c>
      <c r="LN70" s="155">
        <f>IF(OR($AW70="",COUNTIF($EJ$10:$EN$10,$AW70)&gt;0),$AV70,"")</f>
        <v/>
      </c>
      <c r="LO70" s="155">
        <f>IF(AND($AX70=1,OR($AW70="",COUNTIF($EJ$10:$EN$10,$AW70)&gt;0)),$AV70,"")</f>
        <v/>
      </c>
      <c r="LT70" s="155">
        <f>IF(OR($AW70="",COUNTIF($EJ$11:$EN$11,$AW70)&gt;0),$AV70,"")</f>
        <v/>
      </c>
      <c r="LU70" s="155">
        <f>IF(AND($AX70=1,OR($AW70="",COUNTIF($EJ$11:$EN$11,$AW70)&gt;0)),$AV70,"")</f>
        <v/>
      </c>
      <c r="LZ70" s="155">
        <f>IF(OR($AW70="",COUNTIF($EJ$12:$EN$12,$AW70)&gt;0),$AV70,"")</f>
        <v/>
      </c>
      <c r="MA70" s="155">
        <f>IF(AND($AX70=1,OR($AW70="",COUNTIF($EJ$12:$EN$12,$AW70)&gt;0)),$AV70,"")</f>
        <v/>
      </c>
      <c r="MF70" s="155">
        <f>IF(OR($AW70="",COUNTIF($EJ$13:$EN$13,$AW70)&gt;0),$AV70,"")</f>
        <v/>
      </c>
      <c r="MG70" s="155">
        <f>IF(AND($AX70=1,OR($AW70="",COUNTIF($EJ$13:$EN$13,$AW70)&gt;0)),$AV70,"")</f>
        <v/>
      </c>
      <c r="ML70" s="153" t="inlineStr">
        <is>
          <t>Ficha 6 · Básica 2</t>
        </is>
      </c>
      <c r="MM70" s="155" t="n">
        <v>6</v>
      </c>
      <c r="MN70" s="155" t="n">
        <v>0</v>
      </c>
      <c r="MO70" s="155" t="n">
        <v>11</v>
      </c>
      <c r="MP70" s="153" t="inlineStr">
        <is>
          <t>BÁSICA 2</t>
        </is>
      </c>
      <c r="MQ70" s="155" t="n">
        <v>0</v>
      </c>
      <c r="MR70" s="155">
        <f>'INVOCAÇÕES'!$J$1082&amp;""</f>
        <v/>
      </c>
      <c r="MS70" s="155">
        <f>'INVOCAÇÕES'!$I$1087&amp;""</f>
        <v/>
      </c>
      <c r="MT70" s="155">
        <f>'INVOCAÇÕES'!$I$1088&amp;""</f>
        <v/>
      </c>
      <c r="MU70" s="155">
        <f>'INVOCAÇÕES'!$K$1088&amp;""</f>
        <v/>
      </c>
      <c r="MV70" s="155">
        <f>'INVOCAÇÕES'!$J$1091&amp;""</f>
        <v/>
      </c>
      <c r="MW70" s="155">
        <f>'INVOCAÇÕES'!$J$1092&amp;""</f>
        <v/>
      </c>
      <c r="MX70" s="155">
        <f>'INVOCAÇÕES'!$J$1093&amp;""</f>
        <v/>
      </c>
      <c r="MY70" s="155">
        <f>'INVOCAÇÕES'!$J$1094&amp;""</f>
        <v/>
      </c>
      <c r="MZ70" s="155">
        <f>'INVOCAÇÕES'!$J$1095&amp;""</f>
        <v/>
      </c>
      <c r="NA70" s="155">
        <f>'INVOCAÇÕES'!$J$1096&amp;""</f>
        <v/>
      </c>
      <c r="NB70" s="155">
        <f>IF($MR70&lt;&gt;"",1,0)</f>
        <v/>
      </c>
      <c r="NC70" s="155">
        <f>INDEX($FM$2:$FM$13,$MM70)</f>
        <v/>
      </c>
      <c r="ND70" s="155">
        <f>INDEX($FN$2:$FN$13,$MM70)</f>
        <v/>
      </c>
      <c r="NE70" s="155">
        <f>INDEX($FO$2:$FO$13,$MM70)</f>
        <v/>
      </c>
      <c r="NF70" s="155">
        <f>INDEX($FZ$2:$FZ$13,$MM70)</f>
        <v/>
      </c>
      <c r="NG70" s="155">
        <f>INDEX($GA$2:$GA$13,$MM70)</f>
        <v/>
      </c>
      <c r="NH70" s="155">
        <f>IFERROR(MATCH($MS70,$V$2:$V$11,0),0)</f>
        <v/>
      </c>
      <c r="NI70" s="155">
        <f>IFERROR(VLOOKUP($MV70,$AV$2:$BA$84,2,FALSE),"")</f>
        <v/>
      </c>
      <c r="NJ70" s="155">
        <f>IFERROR(VLOOKUP($MW70,$AV$2:$BA$84,2,FALSE),"")</f>
        <v/>
      </c>
      <c r="NK70" s="155">
        <f>IFERROR(VLOOKUP($MX70,$AV$2:$BA$84,2,FALSE),"")</f>
        <v/>
      </c>
      <c r="NL70" s="155">
        <f>IFERROR(VLOOKUP($MY70,$AV$2:$BA$84,2,FALSE),"")</f>
        <v/>
      </c>
      <c r="NM70" s="155">
        <f>IFERROR(VLOOKUP($MV70,$AV$2:$BA$84,3,FALSE),0)</f>
        <v/>
      </c>
      <c r="NN70" s="155">
        <f>IFERROR(VLOOKUP($MW70,$AV$2:$BA$84,3,FALSE),0)</f>
        <v/>
      </c>
      <c r="NO70" s="155">
        <f>IFERROR(VLOOKUP($MX70,$AV$2:$BA$84,3,FALSE),0)</f>
        <v/>
      </c>
      <c r="NP70" s="155">
        <f>IFERROR(VLOOKUP($MY70,$AV$2:$BA$84,3,FALSE),0)</f>
        <v/>
      </c>
      <c r="NQ70" s="155">
        <f>IF($MQ70=0,0,IF($NH70=0,0,INDEX($X$2:$X$11,$NH70)))</f>
        <v/>
      </c>
      <c r="NR70" s="155">
        <f>IF(OR($NM70=0,$MQ70=0),0,$NM70+3*IF(AND($NI70&lt;&gt;"",OR($NI70=INDEX($EJ$2:$EJ$13,$MM70),$NI70=INDEX($EK$2:$EK$13,$MM70))),1,0))</f>
        <v/>
      </c>
      <c r="NS70" s="155">
        <f>IF(OR($NN70=0,$MQ70=0),0,$NN70+3*IF(AND($NJ70&lt;&gt;"",OR($NJ70=INDEX($EJ$2:$EJ$13,$MM70),$NJ70=INDEX($EK$2:$EK$13,$MM70))),1,0))</f>
        <v/>
      </c>
      <c r="NT70" s="155">
        <f>IF(OR($NO70=0,$MQ70=0),0,$NO70+3*IF(AND($NK70&lt;&gt;"",OR($NK70=INDEX($EJ$2:$EJ$13,$MM70),$NK70=INDEX($EK$2:$EK$13,$MM70))),1,0))</f>
        <v/>
      </c>
      <c r="NU70" s="155">
        <f>IF(OR($NP70=0,$MQ70=0),0,$NP70+3*IF(AND($NL70&lt;&gt;"",OR($NL70=INDEX($EJ$2:$EJ$13,$MM70),$NL70=INDEX($EK$2:$EK$13,$MM70))),1,0))</f>
        <v/>
      </c>
      <c r="NV70" s="155">
        <f>IF($NH70=0,0,IF(INDEX($W$2:$W$11,$NH70)="",0,IF(COUNTIF(INDEX($EJ$2:$EN$13,$MM70,0),INDEX($W$2:$W$11,$NH70))=0,1,0)))</f>
        <v/>
      </c>
      <c r="NW70" s="155">
        <f>IF(OR($NM70=0,$NI70=""),0,IF(COUNTIF(INDEX($EJ$2:$EN$13,$MM70,0),$NI70)=0,1,0))</f>
        <v/>
      </c>
      <c r="NX70" s="155">
        <f>IF(OR($NN70=0,$NJ70=""),0,IF(COUNTIF(INDEX($EJ$2:$EN$13,$MM70,0),$NJ70)=0,1,0))</f>
        <v/>
      </c>
      <c r="NY70" s="155">
        <f>IF(OR($NO70=0,$NK70=""),0,IF(COUNTIF(INDEX($EJ$2:$EN$13,$MM70,0),$NK70)=0,1,0))</f>
        <v/>
      </c>
      <c r="NZ70" s="155">
        <f>IF(OR($NP70=0,$NL70=""),0,IF(COUNTIF(INDEX($EJ$2:$EN$13,$MM70,0),$NL70)=0,1,0))</f>
        <v/>
      </c>
      <c r="OA70" s="155">
        <f>IFERROR(VLOOKUP($MV70,$AV$2:$BA$84,4,FALSE),0)+IFERROR(VLOOKUP($MW70,$AV$2:$BA$84,4,FALSE),0)+IFERROR(VLOOKUP($MX70,$AV$2:$BA$84,4,FALSE),0)+IFERROR(VLOOKUP($MY70,$AV$2:$BA$84,4,FALSE),0)</f>
        <v/>
      </c>
      <c r="OB70" s="155">
        <f>IFERROR(VLOOKUP($MV70,$AV$2:$BA$84,6,FALSE),0)+IFERROR(VLOOKUP($MW70,$AV$2:$BA$84,6,FALSE),0)+IFERROR(VLOOKUP($MX70,$AV$2:$BA$84,6,FALSE),0)+IFERROR(VLOOKUP($MY70,$AV$2:$BA$84,6,FALSE),0)</f>
        <v/>
      </c>
      <c r="OC70" s="155">
        <f>TEXTJOIN(", ",TRUE,IF(IFERROR(VLOOKUP($MV70,$AV$2:$BA$84,5,FALSE),0)=1,$MV70,""),IF(IFERROR(VLOOKUP($MW70,$AV$2:$BA$84,5,FALSE),0)=1,$MW70,""),IF(IFERROR(VLOOKUP($MX70,$AV$2:$BA$84,5,FALSE),0)=1,$MX70,""),IF(IFERROR(VLOOKUP($MY70,$AV$2:$BA$84,5,FALSE),0)=1,$MY70,""))</f>
        <v/>
      </c>
      <c r="OD70" s="155">
        <f>IF($NH70=0,0,INDEX($Y$2:$Y$11,$NH70))</f>
        <v/>
      </c>
      <c r="OE70" s="155">
        <f>IF($NH70=0,0,INDEX($Z$2:$Z$11,$NH70))</f>
        <v/>
      </c>
      <c r="OF70" s="155">
        <f>IF($NH70=0,0,INDEX($AB$2:$AB$11,$NH70))</f>
        <v/>
      </c>
      <c r="OG70" s="155">
        <f>IFERROR(VLOOKUP($MZ70,$BC$2:$BG$24,3,FALSE),0)</f>
        <v/>
      </c>
      <c r="OH70" s="155">
        <f>IFERROR(VLOOKUP($NA70,$BC$2:$BG$24,3,FALSE),0)</f>
        <v/>
      </c>
      <c r="OI70" s="155">
        <f>IFERROR(VLOOKUP($MZ70,$BC$2:$BG$24,2,FALSE),"")</f>
        <v/>
      </c>
      <c r="OJ70" s="155">
        <f>IFERROR(VLOOKUP($NA70,$BC$2:$BG$24,2,FALSE),"")</f>
        <v/>
      </c>
      <c r="OK70" s="155">
        <f>COUNTIF($NQ70:$NU70,1)</f>
        <v/>
      </c>
      <c r="OL70" s="155">
        <f>COUNTIF($NQ70:$NU70,2)</f>
        <v/>
      </c>
      <c r="OM70" s="155">
        <f>COUNTIF($NQ70:$NU70,3)</f>
        <v/>
      </c>
      <c r="ON70" s="155">
        <f>COUNTIF($NQ70:$NU70,4)</f>
        <v/>
      </c>
      <c r="OO70" s="155">
        <f>COUNTIF($NQ70:$NU70,5)</f>
        <v/>
      </c>
      <c r="OP70" s="155">
        <f>COUNTIF($NQ70:$NU70,6)</f>
        <v/>
      </c>
      <c r="OQ70" s="155">
        <f>COUNTIF($OG70:$OH70,1)</f>
        <v/>
      </c>
      <c r="OR70" s="155">
        <f>COUNTIF($OG70:$OH70,2)+$OD70</f>
        <v/>
      </c>
      <c r="OS70" s="155">
        <f>COUNTIF($MV70:$MY70,"?*")</f>
        <v/>
      </c>
      <c r="OT70" s="155">
        <f>COUNTIF($MZ70:$NA70,"?*")+$OD70</f>
        <v/>
      </c>
      <c r="OU70" s="155">
        <f>IF($MQ70=0,0,SUMPRODUCT($OK70:$OP70,INDEX($I$2:$N$8,MAX(1,$MQ70),0)))</f>
        <v/>
      </c>
      <c r="OV70" s="155">
        <f>IF($MQ70=0,0,$OQ70*CEILING($MQ70/2,1)+$OR70*$MQ70)</f>
        <v/>
      </c>
      <c r="OW70" s="155">
        <f>MIN(2*$MQ70,$OV70)</f>
        <v/>
      </c>
      <c r="OX70" s="155">
        <f>MIN($OW70,$OU70)</f>
        <v/>
      </c>
      <c r="OY70" s="155">
        <f>$OW70-$OX70</f>
        <v/>
      </c>
      <c r="OZ70" s="155">
        <f>IF($MQ70=0,0,INDEX($P$2:$P$8,MAX(1,$MQ70)))</f>
        <v/>
      </c>
      <c r="PA70" s="155">
        <f>$OZ70-$OU70+$OX70</f>
        <v/>
      </c>
      <c r="PB70" s="155">
        <f>IF($MQ70=0,MAX(0,$NE70-IF($OS70&gt;0,1,0)),MAX(0,$PA70))</f>
        <v/>
      </c>
      <c r="PC70" s="155">
        <f>IF($MQ70=0,0,(IF(COUNTIF($MV70:$MY70,"Salto")&gt;0,1,0)+IF(COUNTIF($MV70:$MY70,"Queima")&gt;0,1,0)+IF(COUNTIF($MV70:$MY70,"Estilhaço")&gt;0,1,0))*FLOOR($PB70/2,1))</f>
        <v/>
      </c>
      <c r="PD70" s="155">
        <f>MAX(0,2-SUMPRODUCT($OK70:$OP70,$I$2:$N$2)+MIN(2,$OQ70*1+$OR70*1,SUMPRODUCT($OK70:$OP70,$I$2:$N$2)))</f>
        <v/>
      </c>
      <c r="PE70" s="155">
        <f>MAX(0,4-SUMPRODUCT($OK70:$OP70,$I$3:$N$3)+MIN(4,$OQ70*1+$OR70*2,SUMPRODUCT($OK70:$OP70,$I$3:$N$3)))</f>
        <v/>
      </c>
      <c r="PF70" s="155">
        <f>MAX(0,6-SUMPRODUCT($OK70:$OP70,$I$4:$N$4)+MIN(6,$OQ70*2+$OR70*3,SUMPRODUCT($OK70:$OP70,$I$4:$N$4)))</f>
        <v/>
      </c>
      <c r="PG70" s="155">
        <f>MAX(0,9-SUMPRODUCT($OK70:$OP70,$I$5:$N$5)+MIN(8,$OQ70*2+$OR70*4,SUMPRODUCT($OK70:$OP70,$I$5:$N$5)))</f>
        <v/>
      </c>
      <c r="PH70" s="155">
        <f>MAX(0,11-SUMPRODUCT($OK70:$OP70,$I$6:$N$6)+MIN(10,$OQ70*3+$OR70*5,SUMPRODUCT($OK70:$OP70,$I$6:$N$6)))</f>
        <v/>
      </c>
      <c r="PI70" s="155">
        <f>MAX(0,13-SUMPRODUCT($OK70:$OP70,$I$7:$N$7)+MIN(12,$OQ70*3+$OR70*6,SUMPRODUCT($OK70:$OP70,$I$7:$N$7)))</f>
        <v/>
      </c>
      <c r="PJ70" s="155">
        <f>MAX(0,16-SUMPRODUCT($OK70:$OP70,$I$8:$N$8)+MIN(14,$OQ70*4+$OR70*7,SUMPRODUCT($OK70:$OP70,$I$8:$N$8)))</f>
        <v/>
      </c>
      <c r="PK70" s="155">
        <f>IF($OE70=2,3*$PD70&amp;" de vida temp.",IF($OE70=3,"sem dano",IF($PD70=0,IF($OE70=1,"sem cura","sem dano"),IF($OE70=1,"cura ","")&amp;$PD70&amp;"d8")))</f>
        <v/>
      </c>
      <c r="PL70" s="155">
        <f>IF($OE70=2,3*$PE70&amp;" de vida temp.",IF($OE70=3,"sem dano",IF($PE70=0,IF($OE70=1,"sem cura","sem dano"),IF($OE70=1,"cura ","")&amp;$PE70&amp;"d8")))</f>
        <v/>
      </c>
      <c r="PM70" s="155">
        <f>IF($OE70=2,3*$PF70&amp;" de vida temp.",IF($OE70=3,"sem dano",IF($PF70=0,IF($OE70=1,"sem cura","sem dano"),IF($OE70=1,"cura ","")&amp;$PF70&amp;"d8")))</f>
        <v/>
      </c>
      <c r="PN70" s="155">
        <f>IF($OE70=2,3*$PG70&amp;" de vida temp.",IF($OE70=3,"sem dano",IF($PG70=0,IF($OE70=1,"sem cura","sem dano"),IF($OE70=1,"cura ","")&amp;$PG70&amp;"d8")))</f>
        <v/>
      </c>
      <c r="PO70" s="155">
        <f>IF($OE70=2,3*$PH70&amp;" de vida temp.",IF($OE70=3,"sem dano",IF($PH70=0,IF($OE70=1,"sem cura","sem dano"),IF($OE70=1,"cura ","")&amp;$PH70&amp;"d8")))</f>
        <v/>
      </c>
      <c r="PP70" s="155">
        <f>IF($OE70=2,3*$PI70&amp;" de vida temp.",IF($OE70=3,"sem dano",IF($PI70=0,IF($OE70=1,"sem cura","sem dano"),IF($OE70=1,"cura ","")&amp;$PI70&amp;"d8")))</f>
        <v/>
      </c>
      <c r="PQ70" s="155">
        <f>IF($OE70=2,3*$PJ70&amp;" de vida temp.",IF($OE70=3,"sem dano",IF($PJ70=0,IF($OE70=1,"sem cura","sem dano"),IF($OE70=1,"cura ","")&amp;$PJ70&amp;"d8")))</f>
        <v/>
      </c>
      <c r="PR70" s="155">
        <f>IF($NB70=0,"",TEXTJOIN(" · ",TRUE,IF($MO70&gt;$NC70,"Este lugar abre no nível "&amp;$MO70,""),IF($MQ70&gt;$ND70,"Classe "&amp;$MQ70&amp;": o nível "&amp;$NC70&amp;" libera até a "&amp;$ND70,""),IF($NV70=1,"A Forma "&amp;$MS70&amp;" pede "&amp;INDEX($W$2:$W$11,$NH70)&amp;" aberta",""),IF(AND($MQ70=0,$NH70&gt;0,IF($NH70=0,0,INDEX($AF$2:$AF$11,$NH70))=0),$MS70&amp;" não existe na Classe 0",""),IF($NW70=1,"Família Fechada: "&amp;$MV70,""),IF($NX70=1,"Família Fechada: "&amp;$MW70,""),IF($NY70=1,"Família Fechada: "&amp;$MX70,""),IF($NZ70=1,"Família Fechada: "&amp;$MY70,""),IF(AND($MQ70&gt;0,$OS70&gt;INDEX($O$2:$O$8,MAX(1,$MQ70))),$OS70&amp;" Melhorias: a Classe "&amp;$MQ70&amp;" aceita "&amp;INDEX($O$2:$O$8,MAX(1,$MQ70)),""),IF(AND($MQ70=0,$OS70&gt;1),"A básica aceita uma Melhoria",""),IF(AND($MQ70=0,COUNTIF($NM70:$NP70,"&gt;1")&gt;0),"A básica só aceita Melhoria Leve",""),IF(AND($MQ70&gt;0,$OT70&gt;2),$OT70&amp;" Restrições"&amp;IF($OD70=1,", contando a que a Forma "&amp;$MS70&amp;" já traz","")&amp;": o limite é 2",""),IF(AND($MQ70=0,COUNTIF($MZ70:$NA70,"?*")&gt;1),"A básica aceita uma Restrição Leve",""),IF(AND($MQ70=0,COUNTIF($OG70:$OH70,2)&gt;0),"A básica só aceita Restrição Leve",""),IF(AND($MQ70&gt;0,$PA70&lt;0),"Orçamento estourado: faltam "&amp;(-$PA70)&amp;IF($PA70&lt;-1," pontos"," ponto"),""),IF(IFERROR(VLOOKUP($MZ70,$BC$2:$BG$24,4,FALSE),0)+IFERROR(VLOOKUP($NA70,$BC$2:$BG$24,4,FALSE),0)&gt;1,$OI70&amp;" e "&amp;$OJ70&amp;" são as duas de frequência",""),IF(AND((COUNTIF($MV70:$MY70,"Rápido")+COUNTIF($OI70:$OJ70,"Rápido"))&gt;0,(COUNTIF($MV70:$MY70,"Atrasar")+COUNTIF($OI70:$OJ70,"Atrasar"))&gt;0),"Rápido não entra com Atrasar",""),IF(AND((COUNTIF($MV70:$MY70,"Reação")+COUNTIF($OI70:$OJ70,"Reação"))&gt;0,(COUNTIF($MV70:$MY70,"Rápido")+COUNTIF($OI70:$OJ70,"Rápido"))&gt;0),"Reação não entra com Rápido",""),IF(AND((COUNTIF($MV70:$MY70,"Reação")+COUNTIF($OI70:$OJ70,"Reação"))&gt;0,(COUNTIF($MV70:$MY70,"Armado")+COUNTIF($OI70:$OJ70,"Armado"))&gt;0),"Reação não entra com Armado",""),IF(AND((COUNTIF($MV70:$MY70,"Reação")+COUNTIF($OI70:$OJ70,"Reação"))&gt;0,(COUNTIF($MV70:$MY70,"Atrasar")+COUNTIF($OI70:$OJ70,"Atrasar"))&gt;0),"Reação não entra com Atrasar",""),IF(AND((COUNTIF($MV70:$MY70,"Reação")+COUNTIF($OI70:$OJ70,"Reação"))&gt;0,(COUNTIF($MV70:$MY70,"Parado")+COUNTIF($OI70:$OJ70,"Parado"))&gt;0),"Reação não entra com Parado",""),IF(AND((COUNTIF($MV70:$MY70,"Atrasar")+COUNTIF($OI70:$OJ70,"Atrasar"))&gt;0,(COUNTIF($MV70:$MY70,"Parado")+COUNTIF($OI70:$OJ70,"Parado"))&gt;0),"Atrasar não entra com Parado",""),IF(AND((COUNTIF($MV70:$MY70,"Armado")+COUNTIF($OI70:$OJ70,"Armado"))&gt;0,(COUNTIF($MV70:$MY70,"Carregar")+COUNTIF($OI70:$OJ70,"Carregar"))&gt;0),"Armado não entra com Carregar",""),IF(AND(COUNTIF($OI70:$OJ70,"Corpo a Corpo")&gt;0,$OD70=0,OR($MS70="Cone",$MS70="Linha")),"Corpo a Corpo não entra em "&amp;$MS70,""),IF(AND(COUNTIF($OI70:$OJ70,"Corpo a Corpo")&gt;0,$OD70=1),"A Forma "&amp;$MS70&amp;" já traz o Corpo a Corpo",""),IF(AND(COUNTIF($OI70:$OJ70,"Tudo ou Nada")&gt;0,$OF70=0),"Tudo ou Nada só entra em habilidade de Teste de Resistência",""),IF(AND(COUNTIF($MV70:$MY70,"Inescapável")&gt;0,OR($OS70&gt;1,$OT70&gt;0)),"Inescapável não aceita outra peça",""),IF(AND($MQ70&gt;0,$PB70*IF(COUNTIF($MV70:$MY70,"Remate")&gt;0,1.25,1)+$PC70&gt;4*$MQ70),($PB70*IF(COUNTIF($MV70:$MY70,"Remate")&gt;0,1.25,1)+$PC70)&amp;" dados somando repetições"&amp;IF(COUNTIF($MV70:$MY70,"Remate")&gt;0," e o Remate","")&amp;": o teto da Classe "&amp;$MQ70&amp;" é "&amp;4*$MQ70,"")))</f>
        <v/>
      </c>
      <c r="PS70" s="155">
        <f>IF($PR70="",0,(LEN($PR70)-LEN(SUBSTITUTE($PR70," · ","")))/3+1)</f>
        <v/>
      </c>
      <c r="PT70" s="155">
        <f>IF($NB70=0,"",TEXTJOIN(" · ",TRUE,IF($OV70&gt;2*$MQ70,"A devolução parou no teto de "&amp;2*$MQ70,""),IF($OY70&gt;0,"Devolução perdida: "&amp;$OY70&amp;IF($OY70&gt;1," pontos"," ponto")&amp;" sem peça para pagar",""),IF(AND($OA70&gt;0,AND($MQ70&gt;0,$OE70=0),$PB70=0),"Controle sem dano: uma rodada a mais e CD +2",""),IF(AND($OA70&gt;0,AND($MQ70&gt;0,$OE70=0),$PB70&gt;0,$PB70&lt;=$MQ70),"Controle com saldo até a Classe: uma rodada a mais",""),IF(AND($MQ70&gt;0,$OC70&lt;&gt;""),"Efeito de "&amp;$OC70&amp;" pela Classe "&amp;MAX(1,$MQ70-1),"")))</f>
        <v/>
      </c>
      <c r="PU70" s="155">
        <f>IF($PT70="",0,(LEN($PT70)-LEN(SUBSTITUTE($PT70," · ","")))/3+1)</f>
        <v/>
      </c>
      <c r="PV70" s="155">
        <f>IF($NB70=0,IF($OS70+COUNTIF($MZ70:$NA70,"?*")&gt;0,"Dê um nome",""),IF($PS70&gt;0,"⚠ "&amp;$PS70&amp;IF($PS70&gt;1," erros"," erro"),IF($PU70&gt;0,"! "&amp;$PU70&amp;IF($PU70&gt;1," avisos"," aviso"),"Na regra")))</f>
        <v/>
      </c>
      <c r="PW70" s="155">
        <f>IF($NB70=0,"",IF($PS70+$PU70=0,"Dentro das regras que a ficha confere",$PR70&amp;IF(AND($PS70&gt;0,$PU70&gt;0)," · ","")&amp;$PT70))</f>
        <v/>
      </c>
      <c r="PX70" s="155">
        <f>IF($MO70&gt;$NC70,$MP70&amp;" · ABRE NO NÍVEL "&amp;$MO70,$MP70)</f>
        <v/>
      </c>
      <c r="PY70" s="155">
        <f>IF($NB70=0,"",IF($MQ70=0,"Sem PE",3*$MQ70&amp;" PE"))</f>
        <v/>
      </c>
      <c r="PZ70" s="155">
        <f>IF($NB70=0,"",IF($MQ70=0,"A atuação básica dela",IF(COUNTIF($OI70:$OJ70,"Atrasar")&gt;0,"Sua Ação Completa",IF(COUNTIF($MV70:$MY70,"Rápido")&gt;0,"Sua Bônus",IF(COUNTIF($MV70:$MY70,"Reação")&gt;0,"Sua Reação","Sua Padrão")))&amp;" + a básica dela"&amp;IF(COUNTIF($MV70:$MY70,"Reação")&gt;0," e a coletiva","")&amp;IF(COUNTIF($OI70:$OJ70,"Carregar")&gt;0," · em dois turnos","")))</f>
        <v/>
      </c>
      <c r="QA70" s="155">
        <f>IF($MU70&lt;&gt;"",$MU70,IF($NH70=0,"",INDEX($AA$2:$AA$11,$NH70)))</f>
        <v/>
      </c>
      <c r="QB70" s="155">
        <f>IF(OR($NB70=0,$NH70=0),"",IF(COUNTIF($MV70:$MY70,"Inescapável")&gt;0,"Automático",IF($QA70="Ataque",IF($NF70="","Ataque","Ataque "&amp;IF(($NF70+2*IF(COUNTIF($MV70:$MY70,"Precisão")&gt;0,1,0))&gt;=0,"+","−")&amp;ABS(($NF70+2*IF(COUNTIF($MV70:$MY70,"Precisão")&gt;0,1,0))))&amp;IF($OB70&gt;0," · TR"&amp;IF($NG70="",""," CD "&amp;$NG70),""),IF(LEFT($QA70,2)="TR",$QA70&amp;IF($NG70="",""," · CD "&amp;$NG70)&amp;IF(COUNTIF($MV70:$MY70,"Certeiro")&gt;0," · metade",""),"Sem rolagem"))))</f>
        <v/>
      </c>
      <c r="QC70" s="155">
        <f>IF(OR($NB70=0,$NH70=0),"",IF($MQ70=0,IF(OR($OE70&gt;=1,$PB70=0),"Sem dano",$PB70&amp;"d6"&amp;IF($MT70="",""," "&amp;$MT70)),IF(OR($OE70&gt;=1,$PB70=0),UPPER(LEFT(INDEX($PK70:$PQ70,1,MAX(1,$MQ70)),1))&amp;MID(INDEX($PK70:$PQ70,1,MAX(1,$MQ70)),2,99),UPPER(LEFT(INDEX($PK70:$PQ70,1,MAX(1,$MQ70)),1))&amp;MID(INDEX($PK70:$PQ70,1,MAX(1,$MQ70)),2,99)&amp;IF($MT70="",""," "&amp;$MT70)&amp;IF($PC70&gt;0," · +"&amp;$PC70&amp;"d8",""))))</f>
        <v/>
      </c>
      <c r="QD70" s="155">
        <f>COUNTIF($MV70:$MY70,"Longe")+3*COUNTIF($MV70:$MY70,"Muito Longe")</f>
        <v/>
      </c>
      <c r="QE70" s="155">
        <f>COUNTIF($MV70:$MY70,"Maior")+3*COUNTIF($MV70:$MY70,"Muito Maior")</f>
        <v/>
      </c>
      <c r="QF70" s="155">
        <f>IF($NH70=0,0,CHOOSE(1+INDEX($AC$2:$AC$11,$NH70),0,$QD70,$QE70,$QD70+$QE70))</f>
        <v/>
      </c>
      <c r="QG70" s="155">
        <f>IF($NH70=0,0,CHOOSE(1+INDEX($AD$2:$AD$11,$NH70),0,$QD70,$QE70,$QD70+$QE70))</f>
        <v/>
      </c>
      <c r="QH70" s="155">
        <f>IF(OR($NB70=0,$NH70=0),"",INDEX($AI$2:$AN$41,($NH70-1)*4+IF($MQ70=0,1,IF($MQ70&lt;=5,2,IF($MQ70=6,3,4))),1+MIN(5,$QF70))&amp;INDEX($AO$2:$AT$41,($NH70-1)*4+IF($MQ70=0,1,IF($MQ70&lt;=5,2,IF($MQ70=6,3,4))),1+MIN(5,$QG70))&amp;IF(INDEX($AE$2:$AE$11,$NH70)=1,IF(COUNTIF($MV70:$MY70,"Mais Um")&gt;0," · +"&amp;COUNTIF($MV70:$MY70,"Mais Um")&amp;IF(COUNTIF($MV70:$MY70,"Mais Um")&gt;1," alvos"," alvo"),"")&amp;IF(COUNTIF($MV70:$MY70,"Rajada")&gt;0,IF($MQ70=0," · 1 tiro"," · "&amp;(MAX(1,$MQ70-1)+1)&amp;" tiros"),""),""))</f>
        <v/>
      </c>
      <c r="QI70" s="155">
        <f>IF($NB70=0,"",IF($MQ70=0,$NE70&amp;"d6"&amp;IF($OS70&gt;0," − 1 = "&amp;$PB70&amp;"d6"," da básica do nível "&amp;$NC70),$OZ70&amp;" − "&amp;$OU70&amp;" + "&amp;$OX70&amp;" = "&amp;$PA70&amp;" · teto "&amp;4*$MQ70&amp;"d8"&amp;IF($OD70=1," · a Forma devolve "&amp;$MQ70,"")&amp;IF($OY70&gt;0," · perde "&amp;$OY70,"")))</f>
        <v/>
      </c>
      <c r="QJ70" s="155">
        <f>IF($NB70=0,"",IF($MQ70=0,"A básica não amplia: os dados dela sobem com o nível",IF($MQ70&gt;=$ND70,"Já está na maior Classe que o nível liberou",TEXTJOIN(" · ",TRUE,IF(AND(2&gt;$MQ70,2&lt;=$ND70),"2 → "&amp;$PL70&amp;", 6 PE",""),IF(AND(3&gt;$MQ70,3&lt;=$ND70),"3 → "&amp;$PM70&amp;", 9 PE",""),IF(AND(4&gt;$MQ70,4&lt;=$ND70),"4 → "&amp;$PN70&amp;", 12 PE",""),IF(AND(5&gt;$MQ70,5&lt;=$ND70),"5 → "&amp;$PO70&amp;", 15 PE",""),IF(AND(6&gt;$MQ70,6&lt;=$ND70),"6 → "&amp;$PP70&amp;", 18 PE",""),IF(AND(7&gt;$MQ70,7&lt;=$ND70),"7 → "&amp;$PQ70&amp;", 21 PE","")))))</f>
        <v/>
      </c>
      <c r="QK70" s="155">
        <f>IF(OR($NB70=0,$NM70=0),"",IF($MQ70=0,"−1 dado","−"&amp;INDEX($I$2:$N$8,MAX(1,$MQ70),MAX(1,$NR70))&amp;" · "&amp;CHOOSE(MAX(1,$NR70),"Leve","Média","Pesada","Leve · Livre","Média · Livre","Pesada · Livre")))</f>
        <v/>
      </c>
      <c r="QL70" s="155">
        <f>IF(OR($NB70=0,$NN70=0),"",IF($MQ70=0,"−1 dado","−"&amp;INDEX($I$2:$N$8,MAX(1,$MQ70),MAX(1,$NS70))&amp;" · "&amp;CHOOSE(MAX(1,$NS70),"Leve","Média","Pesada","Leve · Livre","Média · Livre","Pesada · Livre")))</f>
        <v/>
      </c>
      <c r="QM70" s="155">
        <f>IF(OR($NB70=0,$NO70=0),"",IF($MQ70=0,"−1 dado","−"&amp;INDEX($I$2:$N$8,MAX(1,$MQ70),MAX(1,$NT70))&amp;" · "&amp;CHOOSE(MAX(1,$NT70),"Leve","Média","Pesada","Leve · Livre","Média · Livre","Pesada · Livre")))</f>
        <v/>
      </c>
      <c r="QN70" s="155">
        <f>IF(OR($NB70=0,$NP70=0),"",IF($MQ70=0,"−1 dado","−"&amp;INDEX($I$2:$N$8,MAX(1,$MQ70),MAX(1,$NU70))&amp;" · "&amp;CHOOSE(MAX(1,$NU70),"Leve","Média","Pesada","Leve · Livre","Média · Livre","Pesada · Livre")))</f>
        <v/>
      </c>
      <c r="QO70" s="155">
        <f>IF(OR($NB70=0,$MZ70=""),"",IF($MQ70=0,"não devolve","+"&amp;IF($OG70=1,CEILING($MQ70/2,1),$MQ70)))</f>
        <v/>
      </c>
      <c r="QP70" s="155">
        <f>IF(OR($NB70=0,$NA70=""),"",IF($MQ70=0,"não devolve","+"&amp;IF($OH70=1,CEILING($MQ70/2,1),$MQ70)))</f>
        <v/>
      </c>
    </row>
    <row r="71">
      <c r="AV71" s="153" t="inlineStr">
        <is>
          <t>Isca</t>
        </is>
      </c>
      <c r="AW71" s="153" t="inlineStr">
        <is>
          <t>Marca</t>
        </is>
      </c>
      <c r="AX71" s="155" t="n">
        <v>1</v>
      </c>
      <c r="AY71" s="155" t="n">
        <v>0</v>
      </c>
      <c r="AZ71" s="155" t="n">
        <v>0</v>
      </c>
      <c r="BA71" s="155" t="n">
        <v>0</v>
      </c>
      <c r="JR71" s="155">
        <f>IF(OR($AW71="",COUNTIF($EJ$2:$EN$2,$AW71)&gt;0),$AV71,"")</f>
        <v/>
      </c>
      <c r="JS71" s="155">
        <f>IF(AND($AX71=1,OR($AW71="",COUNTIF($EJ$2:$EN$2,$AW71)&gt;0)),$AV71,"")</f>
        <v/>
      </c>
      <c r="JX71" s="155">
        <f>IF(OR($AW71="",COUNTIF($EJ$3:$EN$3,$AW71)&gt;0),$AV71,"")</f>
        <v/>
      </c>
      <c r="JY71" s="155">
        <f>IF(AND($AX71=1,OR($AW71="",COUNTIF($EJ$3:$EN$3,$AW71)&gt;0)),$AV71,"")</f>
        <v/>
      </c>
      <c r="KD71" s="155">
        <f>IF(OR($AW71="",COUNTIF($EJ$4:$EN$4,$AW71)&gt;0),$AV71,"")</f>
        <v/>
      </c>
      <c r="KE71" s="155">
        <f>IF(AND($AX71=1,OR($AW71="",COUNTIF($EJ$4:$EN$4,$AW71)&gt;0)),$AV71,"")</f>
        <v/>
      </c>
      <c r="KJ71" s="155">
        <f>IF(OR($AW71="",COUNTIF($EJ$5:$EN$5,$AW71)&gt;0),$AV71,"")</f>
        <v/>
      </c>
      <c r="KK71" s="155">
        <f>IF(AND($AX71=1,OR($AW71="",COUNTIF($EJ$5:$EN$5,$AW71)&gt;0)),$AV71,"")</f>
        <v/>
      </c>
      <c r="KP71" s="155">
        <f>IF(OR($AW71="",COUNTIF($EJ$6:$EN$6,$AW71)&gt;0),$AV71,"")</f>
        <v/>
      </c>
      <c r="KQ71" s="155">
        <f>IF(AND($AX71=1,OR($AW71="",COUNTIF($EJ$6:$EN$6,$AW71)&gt;0)),$AV71,"")</f>
        <v/>
      </c>
      <c r="KV71" s="155">
        <f>IF(OR($AW71="",COUNTIF($EJ$7:$EN$7,$AW71)&gt;0),$AV71,"")</f>
        <v/>
      </c>
      <c r="KW71" s="155">
        <f>IF(AND($AX71=1,OR($AW71="",COUNTIF($EJ$7:$EN$7,$AW71)&gt;0)),$AV71,"")</f>
        <v/>
      </c>
      <c r="LB71" s="155">
        <f>IF(OR($AW71="",COUNTIF($EJ$8:$EN$8,$AW71)&gt;0),$AV71,"")</f>
        <v/>
      </c>
      <c r="LC71" s="155">
        <f>IF(AND($AX71=1,OR($AW71="",COUNTIF($EJ$8:$EN$8,$AW71)&gt;0)),$AV71,"")</f>
        <v/>
      </c>
      <c r="LH71" s="155">
        <f>IF(OR($AW71="",COUNTIF($EJ$9:$EN$9,$AW71)&gt;0),$AV71,"")</f>
        <v/>
      </c>
      <c r="LI71" s="155">
        <f>IF(AND($AX71=1,OR($AW71="",COUNTIF($EJ$9:$EN$9,$AW71)&gt;0)),$AV71,"")</f>
        <v/>
      </c>
      <c r="LN71" s="155">
        <f>IF(OR($AW71="",COUNTIF($EJ$10:$EN$10,$AW71)&gt;0),$AV71,"")</f>
        <v/>
      </c>
      <c r="LO71" s="155">
        <f>IF(AND($AX71=1,OR($AW71="",COUNTIF($EJ$10:$EN$10,$AW71)&gt;0)),$AV71,"")</f>
        <v/>
      </c>
      <c r="LT71" s="155">
        <f>IF(OR($AW71="",COUNTIF($EJ$11:$EN$11,$AW71)&gt;0),$AV71,"")</f>
        <v/>
      </c>
      <c r="LU71" s="155">
        <f>IF(AND($AX71=1,OR($AW71="",COUNTIF($EJ$11:$EN$11,$AW71)&gt;0)),$AV71,"")</f>
        <v/>
      </c>
      <c r="LZ71" s="155">
        <f>IF(OR($AW71="",COUNTIF($EJ$12:$EN$12,$AW71)&gt;0),$AV71,"")</f>
        <v/>
      </c>
      <c r="MA71" s="155">
        <f>IF(AND($AX71=1,OR($AW71="",COUNTIF($EJ$12:$EN$12,$AW71)&gt;0)),$AV71,"")</f>
        <v/>
      </c>
      <c r="MF71" s="155">
        <f>IF(OR($AW71="",COUNTIF($EJ$13:$EN$13,$AW71)&gt;0),$AV71,"")</f>
        <v/>
      </c>
      <c r="MG71" s="155">
        <f>IF(AND($AX71=1,OR($AW71="",COUNTIF($EJ$13:$EN$13,$AW71)&gt;0)),$AV71,"")</f>
        <v/>
      </c>
      <c r="ML71" s="153" t="inlineStr">
        <is>
          <t>Ficha 6 · Especial 3</t>
        </is>
      </c>
      <c r="MM71" s="155" t="n">
        <v>6</v>
      </c>
      <c r="MN71" s="155" t="n">
        <v>1</v>
      </c>
      <c r="MO71" s="155" t="n">
        <v>8</v>
      </c>
      <c r="MP71" s="153" t="inlineStr">
        <is>
          <t>ESPECIAL 3</t>
        </is>
      </c>
      <c r="MQ71" s="155">
        <f>MAX(1,MIN(7,N('INVOCAÇÕES'!$O$1082)))</f>
        <v/>
      </c>
      <c r="MR71" s="155">
        <f>'INVOCAÇÕES'!$P$1082&amp;""</f>
        <v/>
      </c>
      <c r="MS71" s="155">
        <f>'INVOCAÇÕES'!$O$1087&amp;""</f>
        <v/>
      </c>
      <c r="MT71" s="155">
        <f>'INVOCAÇÕES'!$O$1088&amp;""</f>
        <v/>
      </c>
      <c r="MU71" s="155">
        <f>'INVOCAÇÕES'!$Q$1088&amp;""</f>
        <v/>
      </c>
      <c r="MV71" s="155">
        <f>'INVOCAÇÕES'!$P$1091&amp;""</f>
        <v/>
      </c>
      <c r="MW71" s="155">
        <f>'INVOCAÇÕES'!$P$1092&amp;""</f>
        <v/>
      </c>
      <c r="MX71" s="155">
        <f>'INVOCAÇÕES'!$P$1093&amp;""</f>
        <v/>
      </c>
      <c r="MY71" s="155">
        <f>'INVOCAÇÕES'!$P$1094&amp;""</f>
        <v/>
      </c>
      <c r="MZ71" s="155">
        <f>'INVOCAÇÕES'!$P$1095&amp;""</f>
        <v/>
      </c>
      <c r="NA71" s="155">
        <f>'INVOCAÇÕES'!$P$1096&amp;""</f>
        <v/>
      </c>
      <c r="NB71" s="155">
        <f>IF($MR71&lt;&gt;"",1,0)</f>
        <v/>
      </c>
      <c r="NC71" s="155">
        <f>INDEX($FM$2:$FM$13,$MM71)</f>
        <v/>
      </c>
      <c r="ND71" s="155">
        <f>INDEX($FN$2:$FN$13,$MM71)</f>
        <v/>
      </c>
      <c r="NE71" s="155">
        <f>INDEX($FO$2:$FO$13,$MM71)</f>
        <v/>
      </c>
      <c r="NF71" s="155">
        <f>INDEX($FZ$2:$FZ$13,$MM71)</f>
        <v/>
      </c>
      <c r="NG71" s="155">
        <f>INDEX($GA$2:$GA$13,$MM71)</f>
        <v/>
      </c>
      <c r="NH71" s="155">
        <f>IFERROR(MATCH($MS71,$V$2:$V$11,0),0)</f>
        <v/>
      </c>
      <c r="NI71" s="155">
        <f>IFERROR(VLOOKUP($MV71,$AV$2:$BA$84,2,FALSE),"")</f>
        <v/>
      </c>
      <c r="NJ71" s="155">
        <f>IFERROR(VLOOKUP($MW71,$AV$2:$BA$84,2,FALSE),"")</f>
        <v/>
      </c>
      <c r="NK71" s="155">
        <f>IFERROR(VLOOKUP($MX71,$AV$2:$BA$84,2,FALSE),"")</f>
        <v/>
      </c>
      <c r="NL71" s="155">
        <f>IFERROR(VLOOKUP($MY71,$AV$2:$BA$84,2,FALSE),"")</f>
        <v/>
      </c>
      <c r="NM71" s="155">
        <f>IFERROR(VLOOKUP($MV71,$AV$2:$BA$84,3,FALSE),0)</f>
        <v/>
      </c>
      <c r="NN71" s="155">
        <f>IFERROR(VLOOKUP($MW71,$AV$2:$BA$84,3,FALSE),0)</f>
        <v/>
      </c>
      <c r="NO71" s="155">
        <f>IFERROR(VLOOKUP($MX71,$AV$2:$BA$84,3,FALSE),0)</f>
        <v/>
      </c>
      <c r="NP71" s="155">
        <f>IFERROR(VLOOKUP($MY71,$AV$2:$BA$84,3,FALSE),0)</f>
        <v/>
      </c>
      <c r="NQ71" s="155">
        <f>IF($MQ71=0,0,IF($NH71=0,0,INDEX($X$2:$X$11,$NH71)))</f>
        <v/>
      </c>
      <c r="NR71" s="155">
        <f>IF(OR($NM71=0,$MQ71=0),0,$NM71+3*IF(AND($NI71&lt;&gt;"",OR($NI71=INDEX($EJ$2:$EJ$13,$MM71),$NI71=INDEX($EK$2:$EK$13,$MM71))),1,0))</f>
        <v/>
      </c>
      <c r="NS71" s="155">
        <f>IF(OR($NN71=0,$MQ71=0),0,$NN71+3*IF(AND($NJ71&lt;&gt;"",OR($NJ71=INDEX($EJ$2:$EJ$13,$MM71),$NJ71=INDEX($EK$2:$EK$13,$MM71))),1,0))</f>
        <v/>
      </c>
      <c r="NT71" s="155">
        <f>IF(OR($NO71=0,$MQ71=0),0,$NO71+3*IF(AND($NK71&lt;&gt;"",OR($NK71=INDEX($EJ$2:$EJ$13,$MM71),$NK71=INDEX($EK$2:$EK$13,$MM71))),1,0))</f>
        <v/>
      </c>
      <c r="NU71" s="155">
        <f>IF(OR($NP71=0,$MQ71=0),0,$NP71+3*IF(AND($NL71&lt;&gt;"",OR($NL71=INDEX($EJ$2:$EJ$13,$MM71),$NL71=INDEX($EK$2:$EK$13,$MM71))),1,0))</f>
        <v/>
      </c>
      <c r="NV71" s="155">
        <f>IF($NH71=0,0,IF(INDEX($W$2:$W$11,$NH71)="",0,IF(COUNTIF(INDEX($EJ$2:$EN$13,$MM71,0),INDEX($W$2:$W$11,$NH71))=0,1,0)))</f>
        <v/>
      </c>
      <c r="NW71" s="155">
        <f>IF(OR($NM71=0,$NI71=""),0,IF(COUNTIF(INDEX($EJ$2:$EN$13,$MM71,0),$NI71)=0,1,0))</f>
        <v/>
      </c>
      <c r="NX71" s="155">
        <f>IF(OR($NN71=0,$NJ71=""),0,IF(COUNTIF(INDEX($EJ$2:$EN$13,$MM71,0),$NJ71)=0,1,0))</f>
        <v/>
      </c>
      <c r="NY71" s="155">
        <f>IF(OR($NO71=0,$NK71=""),0,IF(COUNTIF(INDEX($EJ$2:$EN$13,$MM71,0),$NK71)=0,1,0))</f>
        <v/>
      </c>
      <c r="NZ71" s="155">
        <f>IF(OR($NP71=0,$NL71=""),0,IF(COUNTIF(INDEX($EJ$2:$EN$13,$MM71,0),$NL71)=0,1,0))</f>
        <v/>
      </c>
      <c r="OA71" s="155">
        <f>IFERROR(VLOOKUP($MV71,$AV$2:$BA$84,4,FALSE),0)+IFERROR(VLOOKUP($MW71,$AV$2:$BA$84,4,FALSE),0)+IFERROR(VLOOKUP($MX71,$AV$2:$BA$84,4,FALSE),0)+IFERROR(VLOOKUP($MY71,$AV$2:$BA$84,4,FALSE),0)</f>
        <v/>
      </c>
      <c r="OB71" s="155">
        <f>IFERROR(VLOOKUP($MV71,$AV$2:$BA$84,6,FALSE),0)+IFERROR(VLOOKUP($MW71,$AV$2:$BA$84,6,FALSE),0)+IFERROR(VLOOKUP($MX71,$AV$2:$BA$84,6,FALSE),0)+IFERROR(VLOOKUP($MY71,$AV$2:$BA$84,6,FALSE),0)</f>
        <v/>
      </c>
      <c r="OC71" s="155">
        <f>TEXTJOIN(", ",TRUE,IF(IFERROR(VLOOKUP($MV71,$AV$2:$BA$84,5,FALSE),0)=1,$MV71,""),IF(IFERROR(VLOOKUP($MW71,$AV$2:$BA$84,5,FALSE),0)=1,$MW71,""),IF(IFERROR(VLOOKUP($MX71,$AV$2:$BA$84,5,FALSE),0)=1,$MX71,""),IF(IFERROR(VLOOKUP($MY71,$AV$2:$BA$84,5,FALSE),0)=1,$MY71,""))</f>
        <v/>
      </c>
      <c r="OD71" s="155">
        <f>IF($NH71=0,0,INDEX($Y$2:$Y$11,$NH71))</f>
        <v/>
      </c>
      <c r="OE71" s="155">
        <f>IF($NH71=0,0,INDEX($Z$2:$Z$11,$NH71))</f>
        <v/>
      </c>
      <c r="OF71" s="155">
        <f>IF($NH71=0,0,INDEX($AB$2:$AB$11,$NH71))</f>
        <v/>
      </c>
      <c r="OG71" s="155">
        <f>IFERROR(VLOOKUP($MZ71,$BC$2:$BG$24,3,FALSE),0)</f>
        <v/>
      </c>
      <c r="OH71" s="155">
        <f>IFERROR(VLOOKUP($NA71,$BC$2:$BG$24,3,FALSE),0)</f>
        <v/>
      </c>
      <c r="OI71" s="155">
        <f>IFERROR(VLOOKUP($MZ71,$BC$2:$BG$24,2,FALSE),"")</f>
        <v/>
      </c>
      <c r="OJ71" s="155">
        <f>IFERROR(VLOOKUP($NA71,$BC$2:$BG$24,2,FALSE),"")</f>
        <v/>
      </c>
      <c r="OK71" s="155">
        <f>COUNTIF($NQ71:$NU71,1)</f>
        <v/>
      </c>
      <c r="OL71" s="155">
        <f>COUNTIF($NQ71:$NU71,2)</f>
        <v/>
      </c>
      <c r="OM71" s="155">
        <f>COUNTIF($NQ71:$NU71,3)</f>
        <v/>
      </c>
      <c r="ON71" s="155">
        <f>COUNTIF($NQ71:$NU71,4)</f>
        <v/>
      </c>
      <c r="OO71" s="155">
        <f>COUNTIF($NQ71:$NU71,5)</f>
        <v/>
      </c>
      <c r="OP71" s="155">
        <f>COUNTIF($NQ71:$NU71,6)</f>
        <v/>
      </c>
      <c r="OQ71" s="155">
        <f>COUNTIF($OG71:$OH71,1)</f>
        <v/>
      </c>
      <c r="OR71" s="155">
        <f>COUNTIF($OG71:$OH71,2)+$OD71</f>
        <v/>
      </c>
      <c r="OS71" s="155">
        <f>COUNTIF($MV71:$MY71,"?*")</f>
        <v/>
      </c>
      <c r="OT71" s="155">
        <f>COUNTIF($MZ71:$NA71,"?*")+$OD71</f>
        <v/>
      </c>
      <c r="OU71" s="155">
        <f>IF($MQ71=0,0,SUMPRODUCT($OK71:$OP71,INDEX($I$2:$N$8,MAX(1,$MQ71),0)))</f>
        <v/>
      </c>
      <c r="OV71" s="155">
        <f>IF($MQ71=0,0,$OQ71*CEILING($MQ71/2,1)+$OR71*$MQ71)</f>
        <v/>
      </c>
      <c r="OW71" s="155">
        <f>MIN(2*$MQ71,$OV71)</f>
        <v/>
      </c>
      <c r="OX71" s="155">
        <f>MIN($OW71,$OU71)</f>
        <v/>
      </c>
      <c r="OY71" s="155">
        <f>$OW71-$OX71</f>
        <v/>
      </c>
      <c r="OZ71" s="155">
        <f>IF($MQ71=0,0,INDEX($P$2:$P$8,MAX(1,$MQ71)))</f>
        <v/>
      </c>
      <c r="PA71" s="155">
        <f>$OZ71-$OU71+$OX71</f>
        <v/>
      </c>
      <c r="PB71" s="155">
        <f>IF($MQ71=0,MAX(0,$NE71-IF($OS71&gt;0,1,0)),MAX(0,$PA71))</f>
        <v/>
      </c>
      <c r="PC71" s="155">
        <f>IF($MQ71=0,0,(IF(COUNTIF($MV71:$MY71,"Salto")&gt;0,1,0)+IF(COUNTIF($MV71:$MY71,"Queima")&gt;0,1,0)+IF(COUNTIF($MV71:$MY71,"Estilhaço")&gt;0,1,0))*FLOOR($PB71/2,1))</f>
        <v/>
      </c>
      <c r="PD71" s="155">
        <f>MAX(0,2-SUMPRODUCT($OK71:$OP71,$I$2:$N$2)+MIN(2,$OQ71*1+$OR71*1,SUMPRODUCT($OK71:$OP71,$I$2:$N$2)))</f>
        <v/>
      </c>
      <c r="PE71" s="155">
        <f>MAX(0,4-SUMPRODUCT($OK71:$OP71,$I$3:$N$3)+MIN(4,$OQ71*1+$OR71*2,SUMPRODUCT($OK71:$OP71,$I$3:$N$3)))</f>
        <v/>
      </c>
      <c r="PF71" s="155">
        <f>MAX(0,6-SUMPRODUCT($OK71:$OP71,$I$4:$N$4)+MIN(6,$OQ71*2+$OR71*3,SUMPRODUCT($OK71:$OP71,$I$4:$N$4)))</f>
        <v/>
      </c>
      <c r="PG71" s="155">
        <f>MAX(0,9-SUMPRODUCT($OK71:$OP71,$I$5:$N$5)+MIN(8,$OQ71*2+$OR71*4,SUMPRODUCT($OK71:$OP71,$I$5:$N$5)))</f>
        <v/>
      </c>
      <c r="PH71" s="155">
        <f>MAX(0,11-SUMPRODUCT($OK71:$OP71,$I$6:$N$6)+MIN(10,$OQ71*3+$OR71*5,SUMPRODUCT($OK71:$OP71,$I$6:$N$6)))</f>
        <v/>
      </c>
      <c r="PI71" s="155">
        <f>MAX(0,13-SUMPRODUCT($OK71:$OP71,$I$7:$N$7)+MIN(12,$OQ71*3+$OR71*6,SUMPRODUCT($OK71:$OP71,$I$7:$N$7)))</f>
        <v/>
      </c>
      <c r="PJ71" s="155">
        <f>MAX(0,16-SUMPRODUCT($OK71:$OP71,$I$8:$N$8)+MIN(14,$OQ71*4+$OR71*7,SUMPRODUCT($OK71:$OP71,$I$8:$N$8)))</f>
        <v/>
      </c>
      <c r="PK71" s="155">
        <f>IF($OE71=2,3*$PD71&amp;" de vida temp.",IF($OE71=3,"sem dano",IF($PD71=0,IF($OE71=1,"sem cura","sem dano"),IF($OE71=1,"cura ","")&amp;$PD71&amp;"d8")))</f>
        <v/>
      </c>
      <c r="PL71" s="155">
        <f>IF($OE71=2,3*$PE71&amp;" de vida temp.",IF($OE71=3,"sem dano",IF($PE71=0,IF($OE71=1,"sem cura","sem dano"),IF($OE71=1,"cura ","")&amp;$PE71&amp;"d8")))</f>
        <v/>
      </c>
      <c r="PM71" s="155">
        <f>IF($OE71=2,3*$PF71&amp;" de vida temp.",IF($OE71=3,"sem dano",IF($PF71=0,IF($OE71=1,"sem cura","sem dano"),IF($OE71=1,"cura ","")&amp;$PF71&amp;"d8")))</f>
        <v/>
      </c>
      <c r="PN71" s="155">
        <f>IF($OE71=2,3*$PG71&amp;" de vida temp.",IF($OE71=3,"sem dano",IF($PG71=0,IF($OE71=1,"sem cura","sem dano"),IF($OE71=1,"cura ","")&amp;$PG71&amp;"d8")))</f>
        <v/>
      </c>
      <c r="PO71" s="155">
        <f>IF($OE71=2,3*$PH71&amp;" de vida temp.",IF($OE71=3,"sem dano",IF($PH71=0,IF($OE71=1,"sem cura","sem dano"),IF($OE71=1,"cura ","")&amp;$PH71&amp;"d8")))</f>
        <v/>
      </c>
      <c r="PP71" s="155">
        <f>IF($OE71=2,3*$PI71&amp;" de vida temp.",IF($OE71=3,"sem dano",IF($PI71=0,IF($OE71=1,"sem cura","sem dano"),IF($OE71=1,"cura ","")&amp;$PI71&amp;"d8")))</f>
        <v/>
      </c>
      <c r="PQ71" s="155">
        <f>IF($OE71=2,3*$PJ71&amp;" de vida temp.",IF($OE71=3,"sem dano",IF($PJ71=0,IF($OE71=1,"sem cura","sem dano"),IF($OE71=1,"cura ","")&amp;$PJ71&amp;"d8")))</f>
        <v/>
      </c>
      <c r="PR71" s="155">
        <f>IF($NB71=0,"",TEXTJOIN(" · ",TRUE,IF($MO71&gt;$NC71,"Este lugar abre no nível "&amp;$MO71,""),IF($MQ71&gt;$ND71,"Classe "&amp;$MQ71&amp;": o nível "&amp;$NC71&amp;" libera até a "&amp;$ND71,""),IF($NV71=1,"A Forma "&amp;$MS71&amp;" pede "&amp;INDEX($W$2:$W$11,$NH71)&amp;" aberta",""),IF(AND($MQ71=0,$NH71&gt;0,IF($NH71=0,0,INDEX($AF$2:$AF$11,$NH71))=0),$MS71&amp;" não existe na Classe 0",""),IF($NW71=1,"Família Fechada: "&amp;$MV71,""),IF($NX71=1,"Família Fechada: "&amp;$MW71,""),IF($NY71=1,"Família Fechada: "&amp;$MX71,""),IF($NZ71=1,"Família Fechada: "&amp;$MY71,""),IF(AND($MQ71&gt;0,$OS71&gt;INDEX($O$2:$O$8,MAX(1,$MQ71))),$OS71&amp;" Melhorias: a Classe "&amp;$MQ71&amp;" aceita "&amp;INDEX($O$2:$O$8,MAX(1,$MQ71)),""),IF(AND($MQ71=0,$OS71&gt;1),"A básica aceita uma Melhoria",""),IF(AND($MQ71=0,COUNTIF($NM71:$NP71,"&gt;1")&gt;0),"A básica só aceita Melhoria Leve",""),IF(AND($MQ71&gt;0,$OT71&gt;2),$OT71&amp;" Restrições"&amp;IF($OD71=1,", contando a que a Forma "&amp;$MS71&amp;" já traz","")&amp;": o limite é 2",""),IF(AND($MQ71=0,COUNTIF($MZ71:$NA71,"?*")&gt;1),"A básica aceita uma Restrição Leve",""),IF(AND($MQ71=0,COUNTIF($OG71:$OH71,2)&gt;0),"A básica só aceita Restrição Leve",""),IF(AND($MQ71&gt;0,$PA71&lt;0),"Orçamento estourado: faltam "&amp;(-$PA71)&amp;IF($PA71&lt;-1," pontos"," ponto"),""),IF(IFERROR(VLOOKUP($MZ71,$BC$2:$BG$24,4,FALSE),0)+IFERROR(VLOOKUP($NA71,$BC$2:$BG$24,4,FALSE),0)&gt;1,$OI71&amp;" e "&amp;$OJ71&amp;" são as duas de frequência",""),IF(AND((COUNTIF($MV71:$MY71,"Rápido")+COUNTIF($OI71:$OJ71,"Rápido"))&gt;0,(COUNTIF($MV71:$MY71,"Atrasar")+COUNTIF($OI71:$OJ71,"Atrasar"))&gt;0),"Rápido não entra com Atrasar",""),IF(AND((COUNTIF($MV71:$MY71,"Reação")+COUNTIF($OI71:$OJ71,"Reação"))&gt;0,(COUNTIF($MV71:$MY71,"Rápido")+COUNTIF($OI71:$OJ71,"Rápido"))&gt;0),"Reação não entra com Rápido",""),IF(AND((COUNTIF($MV71:$MY71,"Reação")+COUNTIF($OI71:$OJ71,"Reação"))&gt;0,(COUNTIF($MV71:$MY71,"Armado")+COUNTIF($OI71:$OJ71,"Armado"))&gt;0),"Reação não entra com Armado",""),IF(AND((COUNTIF($MV71:$MY71,"Reação")+COUNTIF($OI71:$OJ71,"Reação"))&gt;0,(COUNTIF($MV71:$MY71,"Atrasar")+COUNTIF($OI71:$OJ71,"Atrasar"))&gt;0),"Reação não entra com Atrasar",""),IF(AND((COUNTIF($MV71:$MY71,"Reação")+COUNTIF($OI71:$OJ71,"Reação"))&gt;0,(COUNTIF($MV71:$MY71,"Parado")+COUNTIF($OI71:$OJ71,"Parado"))&gt;0),"Reação não entra com Parado",""),IF(AND((COUNTIF($MV71:$MY71,"Atrasar")+COUNTIF($OI71:$OJ71,"Atrasar"))&gt;0,(COUNTIF($MV71:$MY71,"Parado")+COUNTIF($OI71:$OJ71,"Parado"))&gt;0),"Atrasar não entra com Parado",""),IF(AND((COUNTIF($MV71:$MY71,"Armado")+COUNTIF($OI71:$OJ71,"Armado"))&gt;0,(COUNTIF($MV71:$MY71,"Carregar")+COUNTIF($OI71:$OJ71,"Carregar"))&gt;0),"Armado não entra com Carregar",""),IF(AND(COUNTIF($OI71:$OJ71,"Corpo a Corpo")&gt;0,$OD71=0,OR($MS71="Cone",$MS71="Linha")),"Corpo a Corpo não entra em "&amp;$MS71,""),IF(AND(COUNTIF($OI71:$OJ71,"Corpo a Corpo")&gt;0,$OD71=1),"A Forma "&amp;$MS71&amp;" já traz o Corpo a Corpo",""),IF(AND(COUNTIF($OI71:$OJ71,"Tudo ou Nada")&gt;0,$OF71=0),"Tudo ou Nada só entra em habilidade de Teste de Resistência",""),IF(AND(COUNTIF($MV71:$MY71,"Inescapável")&gt;0,OR($OS71&gt;1,$OT71&gt;0)),"Inescapável não aceita outra peça",""),IF(AND($MQ71&gt;0,$PB71*IF(COUNTIF($MV71:$MY71,"Remate")&gt;0,1.25,1)+$PC71&gt;4*$MQ71),($PB71*IF(COUNTIF($MV71:$MY71,"Remate")&gt;0,1.25,1)+$PC71)&amp;" dados somando repetições"&amp;IF(COUNTIF($MV71:$MY71,"Remate")&gt;0," e o Remate","")&amp;": o teto da Classe "&amp;$MQ71&amp;" é "&amp;4*$MQ71,"")))</f>
        <v/>
      </c>
      <c r="PS71" s="155">
        <f>IF($PR71="",0,(LEN($PR71)-LEN(SUBSTITUTE($PR71," · ","")))/3+1)</f>
        <v/>
      </c>
      <c r="PT71" s="155">
        <f>IF($NB71=0,"",TEXTJOIN(" · ",TRUE,IF($OV71&gt;2*$MQ71,"A devolução parou no teto de "&amp;2*$MQ71,""),IF($OY71&gt;0,"Devolução perdida: "&amp;$OY71&amp;IF($OY71&gt;1," pontos"," ponto")&amp;" sem peça para pagar",""),IF(AND($OA71&gt;0,AND($MQ71&gt;0,$OE71=0),$PB71=0),"Controle sem dano: uma rodada a mais e CD +2",""),IF(AND($OA71&gt;0,AND($MQ71&gt;0,$OE71=0),$PB71&gt;0,$PB71&lt;=$MQ71),"Controle com saldo até a Classe: uma rodada a mais",""),IF(AND($MQ71&gt;0,$OC71&lt;&gt;""),"Efeito de "&amp;$OC71&amp;" pela Classe "&amp;MAX(1,$MQ71-1),"")))</f>
        <v/>
      </c>
      <c r="PU71" s="155">
        <f>IF($PT71="",0,(LEN($PT71)-LEN(SUBSTITUTE($PT71," · ","")))/3+1)</f>
        <v/>
      </c>
      <c r="PV71" s="155">
        <f>IF($NB71=0,IF($OS71+COUNTIF($MZ71:$NA71,"?*")&gt;0,"Dê um nome",""),IF($PS71&gt;0,"⚠ "&amp;$PS71&amp;IF($PS71&gt;1," erros"," erro"),IF($PU71&gt;0,"! "&amp;$PU71&amp;IF($PU71&gt;1," avisos"," aviso"),"Na regra")))</f>
        <v/>
      </c>
      <c r="PW71" s="155">
        <f>IF($NB71=0,"",IF($PS71+$PU71=0,"Dentro das regras que a ficha confere",$PR71&amp;IF(AND($PS71&gt;0,$PU71&gt;0)," · ","")&amp;$PT71))</f>
        <v/>
      </c>
      <c r="PX71" s="155">
        <f>IF($MO71&gt;$NC71,$MP71&amp;" · ABRE NO NÍVEL "&amp;$MO71,$MP71)</f>
        <v/>
      </c>
      <c r="PY71" s="155">
        <f>IF($NB71=0,"",IF($MQ71=0,"Sem PE",3*$MQ71&amp;" PE"))</f>
        <v/>
      </c>
      <c r="PZ71" s="155">
        <f>IF($NB71=0,"",IF($MQ71=0,"A atuação básica dela",IF(COUNTIF($OI71:$OJ71,"Atrasar")&gt;0,"Sua Ação Completa",IF(COUNTIF($MV71:$MY71,"Rápido")&gt;0,"Sua Bônus",IF(COUNTIF($MV71:$MY71,"Reação")&gt;0,"Sua Reação","Sua Padrão")))&amp;" + a básica dela"&amp;IF(COUNTIF($MV71:$MY71,"Reação")&gt;0," e a coletiva","")&amp;IF(COUNTIF($OI71:$OJ71,"Carregar")&gt;0," · em dois turnos","")))</f>
        <v/>
      </c>
      <c r="QA71" s="155">
        <f>IF($MU71&lt;&gt;"",$MU71,IF($NH71=0,"",INDEX($AA$2:$AA$11,$NH71)))</f>
        <v/>
      </c>
      <c r="QB71" s="155">
        <f>IF(OR($NB71=0,$NH71=0),"",IF(COUNTIF($MV71:$MY71,"Inescapável")&gt;0,"Automático",IF($QA71="Ataque",IF($NF71="","Ataque","Ataque "&amp;IF(($NF71+2*IF(COUNTIF($MV71:$MY71,"Precisão")&gt;0,1,0))&gt;=0,"+","−")&amp;ABS(($NF71+2*IF(COUNTIF($MV71:$MY71,"Precisão")&gt;0,1,0))))&amp;IF($OB71&gt;0," · TR"&amp;IF($NG71="",""," CD "&amp;$NG71),""),IF(LEFT($QA71,2)="TR",$QA71&amp;IF($NG71="",""," · CD "&amp;$NG71)&amp;IF(COUNTIF($MV71:$MY71,"Certeiro")&gt;0," · metade",""),"Sem rolagem"))))</f>
        <v/>
      </c>
      <c r="QC71" s="155">
        <f>IF(OR($NB71=0,$NH71=0),"",IF($MQ71=0,IF(OR($OE71&gt;=1,$PB71=0),"Sem dano",$PB71&amp;"d6"&amp;IF($MT71="",""," "&amp;$MT71)),IF(OR($OE71&gt;=1,$PB71=0),UPPER(LEFT(INDEX($PK71:$PQ71,1,MAX(1,$MQ71)),1))&amp;MID(INDEX($PK71:$PQ71,1,MAX(1,$MQ71)),2,99),UPPER(LEFT(INDEX($PK71:$PQ71,1,MAX(1,$MQ71)),1))&amp;MID(INDEX($PK71:$PQ71,1,MAX(1,$MQ71)),2,99)&amp;IF($MT71="",""," "&amp;$MT71)&amp;IF($PC71&gt;0," · +"&amp;$PC71&amp;"d8",""))))</f>
        <v/>
      </c>
      <c r="QD71" s="155">
        <f>COUNTIF($MV71:$MY71,"Longe")+3*COUNTIF($MV71:$MY71,"Muito Longe")</f>
        <v/>
      </c>
      <c r="QE71" s="155">
        <f>COUNTIF($MV71:$MY71,"Maior")+3*COUNTIF($MV71:$MY71,"Muito Maior")</f>
        <v/>
      </c>
      <c r="QF71" s="155">
        <f>IF($NH71=0,0,CHOOSE(1+INDEX($AC$2:$AC$11,$NH71),0,$QD71,$QE71,$QD71+$QE71))</f>
        <v/>
      </c>
      <c r="QG71" s="155">
        <f>IF($NH71=0,0,CHOOSE(1+INDEX($AD$2:$AD$11,$NH71),0,$QD71,$QE71,$QD71+$QE71))</f>
        <v/>
      </c>
      <c r="QH71" s="155">
        <f>IF(OR($NB71=0,$NH71=0),"",INDEX($AI$2:$AN$41,($NH71-1)*4+IF($MQ71=0,1,IF($MQ71&lt;=5,2,IF($MQ71=6,3,4))),1+MIN(5,$QF71))&amp;INDEX($AO$2:$AT$41,($NH71-1)*4+IF($MQ71=0,1,IF($MQ71&lt;=5,2,IF($MQ71=6,3,4))),1+MIN(5,$QG71))&amp;IF(INDEX($AE$2:$AE$11,$NH71)=1,IF(COUNTIF($MV71:$MY71,"Mais Um")&gt;0," · +"&amp;COUNTIF($MV71:$MY71,"Mais Um")&amp;IF(COUNTIF($MV71:$MY71,"Mais Um")&gt;1," alvos"," alvo"),"")&amp;IF(COUNTIF($MV71:$MY71,"Rajada")&gt;0,IF($MQ71=0," · 1 tiro"," · "&amp;(MAX(1,$MQ71-1)+1)&amp;" tiros"),""),""))</f>
        <v/>
      </c>
      <c r="QI71" s="155">
        <f>IF($NB71=0,"",IF($MQ71=0,$NE71&amp;"d6"&amp;IF($OS71&gt;0," − 1 = "&amp;$PB71&amp;"d6"," da básica do nível "&amp;$NC71),$OZ71&amp;" − "&amp;$OU71&amp;" + "&amp;$OX71&amp;" = "&amp;$PA71&amp;" · teto "&amp;4*$MQ71&amp;"d8"&amp;IF($OD71=1," · a Forma devolve "&amp;$MQ71,"")&amp;IF($OY71&gt;0," · perde "&amp;$OY71,"")))</f>
        <v/>
      </c>
      <c r="QJ71" s="155">
        <f>IF($NB71=0,"",IF($MQ71=0,"A básica não amplia: os dados dela sobem com o nível",IF($MQ71&gt;=$ND71,"Já está na maior Classe que o nível liberou",TEXTJOIN(" · ",TRUE,IF(AND(2&gt;$MQ71,2&lt;=$ND71),"2 → "&amp;$PL71&amp;", 6 PE",""),IF(AND(3&gt;$MQ71,3&lt;=$ND71),"3 → "&amp;$PM71&amp;", 9 PE",""),IF(AND(4&gt;$MQ71,4&lt;=$ND71),"4 → "&amp;$PN71&amp;", 12 PE",""),IF(AND(5&gt;$MQ71,5&lt;=$ND71),"5 → "&amp;$PO71&amp;", 15 PE",""),IF(AND(6&gt;$MQ71,6&lt;=$ND71),"6 → "&amp;$PP71&amp;", 18 PE",""),IF(AND(7&gt;$MQ71,7&lt;=$ND71),"7 → "&amp;$PQ71&amp;", 21 PE","")))))</f>
        <v/>
      </c>
      <c r="QK71" s="155">
        <f>IF(OR($NB71=0,$NM71=0),"",IF($MQ71=0,"−1 dado","−"&amp;INDEX($I$2:$N$8,MAX(1,$MQ71),MAX(1,$NR71))&amp;" · "&amp;CHOOSE(MAX(1,$NR71),"Leve","Média","Pesada","Leve · Livre","Média · Livre","Pesada · Livre")))</f>
        <v/>
      </c>
      <c r="QL71" s="155">
        <f>IF(OR($NB71=0,$NN71=0),"",IF($MQ71=0,"−1 dado","−"&amp;INDEX($I$2:$N$8,MAX(1,$MQ71),MAX(1,$NS71))&amp;" · "&amp;CHOOSE(MAX(1,$NS71),"Leve","Média","Pesada","Leve · Livre","Média · Livre","Pesada · Livre")))</f>
        <v/>
      </c>
      <c r="QM71" s="155">
        <f>IF(OR($NB71=0,$NO71=0),"",IF($MQ71=0,"−1 dado","−"&amp;INDEX($I$2:$N$8,MAX(1,$MQ71),MAX(1,$NT71))&amp;" · "&amp;CHOOSE(MAX(1,$NT71),"Leve","Média","Pesada","Leve · Livre","Média · Livre","Pesada · Livre")))</f>
        <v/>
      </c>
      <c r="QN71" s="155">
        <f>IF(OR($NB71=0,$NP71=0),"",IF($MQ71=0,"−1 dado","−"&amp;INDEX($I$2:$N$8,MAX(1,$MQ71),MAX(1,$NU71))&amp;" · "&amp;CHOOSE(MAX(1,$NU71),"Leve","Média","Pesada","Leve · Livre","Média · Livre","Pesada · Livre")))</f>
        <v/>
      </c>
      <c r="QO71" s="155">
        <f>IF(OR($NB71=0,$MZ71=""),"",IF($MQ71=0,"não devolve","+"&amp;IF($OG71=1,CEILING($MQ71/2,1),$MQ71)))</f>
        <v/>
      </c>
      <c r="QP71" s="155">
        <f>IF(OR($NB71=0,$NA71=""),"",IF($MQ71=0,"não devolve","+"&amp;IF($OH71=1,CEILING($MQ71/2,1),$MQ71)))</f>
        <v/>
      </c>
    </row>
    <row r="72">
      <c r="AV72" s="153" t="inlineStr">
        <is>
          <t>Sugar</t>
        </is>
      </c>
      <c r="AW72" s="153" t="inlineStr">
        <is>
          <t>Marca</t>
        </is>
      </c>
      <c r="AX72" s="155" t="n">
        <v>2</v>
      </c>
      <c r="AY72" s="155" t="n">
        <v>0</v>
      </c>
      <c r="AZ72" s="155" t="n">
        <v>1</v>
      </c>
      <c r="BA72" s="155" t="n">
        <v>0</v>
      </c>
      <c r="JR72" s="155">
        <f>IF(OR($AW72="",COUNTIF($EJ$2:$EN$2,$AW72)&gt;0),$AV72,"")</f>
        <v/>
      </c>
      <c r="JS72" s="155">
        <f>IF(AND($AX72=1,OR($AW72="",COUNTIF($EJ$2:$EN$2,$AW72)&gt;0)),$AV72,"")</f>
        <v/>
      </c>
      <c r="JX72" s="155">
        <f>IF(OR($AW72="",COUNTIF($EJ$3:$EN$3,$AW72)&gt;0),$AV72,"")</f>
        <v/>
      </c>
      <c r="JY72" s="155">
        <f>IF(AND($AX72=1,OR($AW72="",COUNTIF($EJ$3:$EN$3,$AW72)&gt;0)),$AV72,"")</f>
        <v/>
      </c>
      <c r="KD72" s="155">
        <f>IF(OR($AW72="",COUNTIF($EJ$4:$EN$4,$AW72)&gt;0),$AV72,"")</f>
        <v/>
      </c>
      <c r="KE72" s="155">
        <f>IF(AND($AX72=1,OR($AW72="",COUNTIF($EJ$4:$EN$4,$AW72)&gt;0)),$AV72,"")</f>
        <v/>
      </c>
      <c r="KJ72" s="155">
        <f>IF(OR($AW72="",COUNTIF($EJ$5:$EN$5,$AW72)&gt;0),$AV72,"")</f>
        <v/>
      </c>
      <c r="KK72" s="155">
        <f>IF(AND($AX72=1,OR($AW72="",COUNTIF($EJ$5:$EN$5,$AW72)&gt;0)),$AV72,"")</f>
        <v/>
      </c>
      <c r="KP72" s="155">
        <f>IF(OR($AW72="",COUNTIF($EJ$6:$EN$6,$AW72)&gt;0),$AV72,"")</f>
        <v/>
      </c>
      <c r="KQ72" s="155">
        <f>IF(AND($AX72=1,OR($AW72="",COUNTIF($EJ$6:$EN$6,$AW72)&gt;0)),$AV72,"")</f>
        <v/>
      </c>
      <c r="KV72" s="155">
        <f>IF(OR($AW72="",COUNTIF($EJ$7:$EN$7,$AW72)&gt;0),$AV72,"")</f>
        <v/>
      </c>
      <c r="KW72" s="155">
        <f>IF(AND($AX72=1,OR($AW72="",COUNTIF($EJ$7:$EN$7,$AW72)&gt;0)),$AV72,"")</f>
        <v/>
      </c>
      <c r="LB72" s="155">
        <f>IF(OR($AW72="",COUNTIF($EJ$8:$EN$8,$AW72)&gt;0),$AV72,"")</f>
        <v/>
      </c>
      <c r="LC72" s="155">
        <f>IF(AND($AX72=1,OR($AW72="",COUNTIF($EJ$8:$EN$8,$AW72)&gt;0)),$AV72,"")</f>
        <v/>
      </c>
      <c r="LH72" s="155">
        <f>IF(OR($AW72="",COUNTIF($EJ$9:$EN$9,$AW72)&gt;0),$AV72,"")</f>
        <v/>
      </c>
      <c r="LI72" s="155">
        <f>IF(AND($AX72=1,OR($AW72="",COUNTIF($EJ$9:$EN$9,$AW72)&gt;0)),$AV72,"")</f>
        <v/>
      </c>
      <c r="LN72" s="155">
        <f>IF(OR($AW72="",COUNTIF($EJ$10:$EN$10,$AW72)&gt;0),$AV72,"")</f>
        <v/>
      </c>
      <c r="LO72" s="155">
        <f>IF(AND($AX72=1,OR($AW72="",COUNTIF($EJ$10:$EN$10,$AW72)&gt;0)),$AV72,"")</f>
        <v/>
      </c>
      <c r="LT72" s="155">
        <f>IF(OR($AW72="",COUNTIF($EJ$11:$EN$11,$AW72)&gt;0),$AV72,"")</f>
        <v/>
      </c>
      <c r="LU72" s="155">
        <f>IF(AND($AX72=1,OR($AW72="",COUNTIF($EJ$11:$EN$11,$AW72)&gt;0)),$AV72,"")</f>
        <v/>
      </c>
      <c r="LZ72" s="155">
        <f>IF(OR($AW72="",COUNTIF($EJ$12:$EN$12,$AW72)&gt;0),$AV72,"")</f>
        <v/>
      </c>
      <c r="MA72" s="155">
        <f>IF(AND($AX72=1,OR($AW72="",COUNTIF($EJ$12:$EN$12,$AW72)&gt;0)),$AV72,"")</f>
        <v/>
      </c>
      <c r="MF72" s="155">
        <f>IF(OR($AW72="",COUNTIF($EJ$13:$EN$13,$AW72)&gt;0),$AV72,"")</f>
        <v/>
      </c>
      <c r="MG72" s="155">
        <f>IF(AND($AX72=1,OR($AW72="",COUNTIF($EJ$13:$EN$13,$AW72)&gt;0)),$AV72,"")</f>
        <v/>
      </c>
      <c r="ML72" s="153" t="inlineStr">
        <is>
          <t>Ficha 6 · Especial 4</t>
        </is>
      </c>
      <c r="MM72" s="155" t="n">
        <v>6</v>
      </c>
      <c r="MN72" s="155" t="n">
        <v>1</v>
      </c>
      <c r="MO72" s="155" t="n">
        <v>12</v>
      </c>
      <c r="MP72" s="153" t="inlineStr">
        <is>
          <t>ESPECIAL 4</t>
        </is>
      </c>
      <c r="MQ72" s="155">
        <f>MAX(1,MIN(7,N('INVOCAÇÕES'!$U$1082)))</f>
        <v/>
      </c>
      <c r="MR72" s="155">
        <f>'INVOCAÇÕES'!$V$1082&amp;""</f>
        <v/>
      </c>
      <c r="MS72" s="155">
        <f>'INVOCAÇÕES'!$U$1087&amp;""</f>
        <v/>
      </c>
      <c r="MT72" s="155">
        <f>'INVOCAÇÕES'!$U$1088&amp;""</f>
        <v/>
      </c>
      <c r="MU72" s="155">
        <f>'INVOCAÇÕES'!$W$1088&amp;""</f>
        <v/>
      </c>
      <c r="MV72" s="155">
        <f>'INVOCAÇÕES'!$V$1091&amp;""</f>
        <v/>
      </c>
      <c r="MW72" s="155">
        <f>'INVOCAÇÕES'!$V$1092&amp;""</f>
        <v/>
      </c>
      <c r="MX72" s="155">
        <f>'INVOCAÇÕES'!$V$1093&amp;""</f>
        <v/>
      </c>
      <c r="MY72" s="155">
        <f>'INVOCAÇÕES'!$V$1094&amp;""</f>
        <v/>
      </c>
      <c r="MZ72" s="155">
        <f>'INVOCAÇÕES'!$V$1095&amp;""</f>
        <v/>
      </c>
      <c r="NA72" s="155">
        <f>'INVOCAÇÕES'!$V$1096&amp;""</f>
        <v/>
      </c>
      <c r="NB72" s="155">
        <f>IF($MR72&lt;&gt;"",1,0)</f>
        <v/>
      </c>
      <c r="NC72" s="155">
        <f>INDEX($FM$2:$FM$13,$MM72)</f>
        <v/>
      </c>
      <c r="ND72" s="155">
        <f>INDEX($FN$2:$FN$13,$MM72)</f>
        <v/>
      </c>
      <c r="NE72" s="155">
        <f>INDEX($FO$2:$FO$13,$MM72)</f>
        <v/>
      </c>
      <c r="NF72" s="155">
        <f>INDEX($FZ$2:$FZ$13,$MM72)</f>
        <v/>
      </c>
      <c r="NG72" s="155">
        <f>INDEX($GA$2:$GA$13,$MM72)</f>
        <v/>
      </c>
      <c r="NH72" s="155">
        <f>IFERROR(MATCH($MS72,$V$2:$V$11,0),0)</f>
        <v/>
      </c>
      <c r="NI72" s="155">
        <f>IFERROR(VLOOKUP($MV72,$AV$2:$BA$84,2,FALSE),"")</f>
        <v/>
      </c>
      <c r="NJ72" s="155">
        <f>IFERROR(VLOOKUP($MW72,$AV$2:$BA$84,2,FALSE),"")</f>
        <v/>
      </c>
      <c r="NK72" s="155">
        <f>IFERROR(VLOOKUP($MX72,$AV$2:$BA$84,2,FALSE),"")</f>
        <v/>
      </c>
      <c r="NL72" s="155">
        <f>IFERROR(VLOOKUP($MY72,$AV$2:$BA$84,2,FALSE),"")</f>
        <v/>
      </c>
      <c r="NM72" s="155">
        <f>IFERROR(VLOOKUP($MV72,$AV$2:$BA$84,3,FALSE),0)</f>
        <v/>
      </c>
      <c r="NN72" s="155">
        <f>IFERROR(VLOOKUP($MW72,$AV$2:$BA$84,3,FALSE),0)</f>
        <v/>
      </c>
      <c r="NO72" s="155">
        <f>IFERROR(VLOOKUP($MX72,$AV$2:$BA$84,3,FALSE),0)</f>
        <v/>
      </c>
      <c r="NP72" s="155">
        <f>IFERROR(VLOOKUP($MY72,$AV$2:$BA$84,3,FALSE),0)</f>
        <v/>
      </c>
      <c r="NQ72" s="155">
        <f>IF($MQ72=0,0,IF($NH72=0,0,INDEX($X$2:$X$11,$NH72)))</f>
        <v/>
      </c>
      <c r="NR72" s="155">
        <f>IF(OR($NM72=0,$MQ72=0),0,$NM72+3*IF(AND($NI72&lt;&gt;"",OR($NI72=INDEX($EJ$2:$EJ$13,$MM72),$NI72=INDEX($EK$2:$EK$13,$MM72))),1,0))</f>
        <v/>
      </c>
      <c r="NS72" s="155">
        <f>IF(OR($NN72=0,$MQ72=0),0,$NN72+3*IF(AND($NJ72&lt;&gt;"",OR($NJ72=INDEX($EJ$2:$EJ$13,$MM72),$NJ72=INDEX($EK$2:$EK$13,$MM72))),1,0))</f>
        <v/>
      </c>
      <c r="NT72" s="155">
        <f>IF(OR($NO72=0,$MQ72=0),0,$NO72+3*IF(AND($NK72&lt;&gt;"",OR($NK72=INDEX($EJ$2:$EJ$13,$MM72),$NK72=INDEX($EK$2:$EK$13,$MM72))),1,0))</f>
        <v/>
      </c>
      <c r="NU72" s="155">
        <f>IF(OR($NP72=0,$MQ72=0),0,$NP72+3*IF(AND($NL72&lt;&gt;"",OR($NL72=INDEX($EJ$2:$EJ$13,$MM72),$NL72=INDEX($EK$2:$EK$13,$MM72))),1,0))</f>
        <v/>
      </c>
      <c r="NV72" s="155">
        <f>IF($NH72=0,0,IF(INDEX($W$2:$W$11,$NH72)="",0,IF(COUNTIF(INDEX($EJ$2:$EN$13,$MM72,0),INDEX($W$2:$W$11,$NH72))=0,1,0)))</f>
        <v/>
      </c>
      <c r="NW72" s="155">
        <f>IF(OR($NM72=0,$NI72=""),0,IF(COUNTIF(INDEX($EJ$2:$EN$13,$MM72,0),$NI72)=0,1,0))</f>
        <v/>
      </c>
      <c r="NX72" s="155">
        <f>IF(OR($NN72=0,$NJ72=""),0,IF(COUNTIF(INDEX($EJ$2:$EN$13,$MM72,0),$NJ72)=0,1,0))</f>
        <v/>
      </c>
      <c r="NY72" s="155">
        <f>IF(OR($NO72=0,$NK72=""),0,IF(COUNTIF(INDEX($EJ$2:$EN$13,$MM72,0),$NK72)=0,1,0))</f>
        <v/>
      </c>
      <c r="NZ72" s="155">
        <f>IF(OR($NP72=0,$NL72=""),0,IF(COUNTIF(INDEX($EJ$2:$EN$13,$MM72,0),$NL72)=0,1,0))</f>
        <v/>
      </c>
      <c r="OA72" s="155">
        <f>IFERROR(VLOOKUP($MV72,$AV$2:$BA$84,4,FALSE),0)+IFERROR(VLOOKUP($MW72,$AV$2:$BA$84,4,FALSE),0)+IFERROR(VLOOKUP($MX72,$AV$2:$BA$84,4,FALSE),0)+IFERROR(VLOOKUP($MY72,$AV$2:$BA$84,4,FALSE),0)</f>
        <v/>
      </c>
      <c r="OB72" s="155">
        <f>IFERROR(VLOOKUP($MV72,$AV$2:$BA$84,6,FALSE),0)+IFERROR(VLOOKUP($MW72,$AV$2:$BA$84,6,FALSE),0)+IFERROR(VLOOKUP($MX72,$AV$2:$BA$84,6,FALSE),0)+IFERROR(VLOOKUP($MY72,$AV$2:$BA$84,6,FALSE),0)</f>
        <v/>
      </c>
      <c r="OC72" s="155">
        <f>TEXTJOIN(", ",TRUE,IF(IFERROR(VLOOKUP($MV72,$AV$2:$BA$84,5,FALSE),0)=1,$MV72,""),IF(IFERROR(VLOOKUP($MW72,$AV$2:$BA$84,5,FALSE),0)=1,$MW72,""),IF(IFERROR(VLOOKUP($MX72,$AV$2:$BA$84,5,FALSE),0)=1,$MX72,""),IF(IFERROR(VLOOKUP($MY72,$AV$2:$BA$84,5,FALSE),0)=1,$MY72,""))</f>
        <v/>
      </c>
      <c r="OD72" s="155">
        <f>IF($NH72=0,0,INDEX($Y$2:$Y$11,$NH72))</f>
        <v/>
      </c>
      <c r="OE72" s="155">
        <f>IF($NH72=0,0,INDEX($Z$2:$Z$11,$NH72))</f>
        <v/>
      </c>
      <c r="OF72" s="155">
        <f>IF($NH72=0,0,INDEX($AB$2:$AB$11,$NH72))</f>
        <v/>
      </c>
      <c r="OG72" s="155">
        <f>IFERROR(VLOOKUP($MZ72,$BC$2:$BG$24,3,FALSE),0)</f>
        <v/>
      </c>
      <c r="OH72" s="155">
        <f>IFERROR(VLOOKUP($NA72,$BC$2:$BG$24,3,FALSE),0)</f>
        <v/>
      </c>
      <c r="OI72" s="155">
        <f>IFERROR(VLOOKUP($MZ72,$BC$2:$BG$24,2,FALSE),"")</f>
        <v/>
      </c>
      <c r="OJ72" s="155">
        <f>IFERROR(VLOOKUP($NA72,$BC$2:$BG$24,2,FALSE),"")</f>
        <v/>
      </c>
      <c r="OK72" s="155">
        <f>COUNTIF($NQ72:$NU72,1)</f>
        <v/>
      </c>
      <c r="OL72" s="155">
        <f>COUNTIF($NQ72:$NU72,2)</f>
        <v/>
      </c>
      <c r="OM72" s="155">
        <f>COUNTIF($NQ72:$NU72,3)</f>
        <v/>
      </c>
      <c r="ON72" s="155">
        <f>COUNTIF($NQ72:$NU72,4)</f>
        <v/>
      </c>
      <c r="OO72" s="155">
        <f>COUNTIF($NQ72:$NU72,5)</f>
        <v/>
      </c>
      <c r="OP72" s="155">
        <f>COUNTIF($NQ72:$NU72,6)</f>
        <v/>
      </c>
      <c r="OQ72" s="155">
        <f>COUNTIF($OG72:$OH72,1)</f>
        <v/>
      </c>
      <c r="OR72" s="155">
        <f>COUNTIF($OG72:$OH72,2)+$OD72</f>
        <v/>
      </c>
      <c r="OS72" s="155">
        <f>COUNTIF($MV72:$MY72,"?*")</f>
        <v/>
      </c>
      <c r="OT72" s="155">
        <f>COUNTIF($MZ72:$NA72,"?*")+$OD72</f>
        <v/>
      </c>
      <c r="OU72" s="155">
        <f>IF($MQ72=0,0,SUMPRODUCT($OK72:$OP72,INDEX($I$2:$N$8,MAX(1,$MQ72),0)))</f>
        <v/>
      </c>
      <c r="OV72" s="155">
        <f>IF($MQ72=0,0,$OQ72*CEILING($MQ72/2,1)+$OR72*$MQ72)</f>
        <v/>
      </c>
      <c r="OW72" s="155">
        <f>MIN(2*$MQ72,$OV72)</f>
        <v/>
      </c>
      <c r="OX72" s="155">
        <f>MIN($OW72,$OU72)</f>
        <v/>
      </c>
      <c r="OY72" s="155">
        <f>$OW72-$OX72</f>
        <v/>
      </c>
      <c r="OZ72" s="155">
        <f>IF($MQ72=0,0,INDEX($P$2:$P$8,MAX(1,$MQ72)))</f>
        <v/>
      </c>
      <c r="PA72" s="155">
        <f>$OZ72-$OU72+$OX72</f>
        <v/>
      </c>
      <c r="PB72" s="155">
        <f>IF($MQ72=0,MAX(0,$NE72-IF($OS72&gt;0,1,0)),MAX(0,$PA72))</f>
        <v/>
      </c>
      <c r="PC72" s="155">
        <f>IF($MQ72=0,0,(IF(COUNTIF($MV72:$MY72,"Salto")&gt;0,1,0)+IF(COUNTIF($MV72:$MY72,"Queima")&gt;0,1,0)+IF(COUNTIF($MV72:$MY72,"Estilhaço")&gt;0,1,0))*FLOOR($PB72/2,1))</f>
        <v/>
      </c>
      <c r="PD72" s="155">
        <f>MAX(0,2-SUMPRODUCT($OK72:$OP72,$I$2:$N$2)+MIN(2,$OQ72*1+$OR72*1,SUMPRODUCT($OK72:$OP72,$I$2:$N$2)))</f>
        <v/>
      </c>
      <c r="PE72" s="155">
        <f>MAX(0,4-SUMPRODUCT($OK72:$OP72,$I$3:$N$3)+MIN(4,$OQ72*1+$OR72*2,SUMPRODUCT($OK72:$OP72,$I$3:$N$3)))</f>
        <v/>
      </c>
      <c r="PF72" s="155">
        <f>MAX(0,6-SUMPRODUCT($OK72:$OP72,$I$4:$N$4)+MIN(6,$OQ72*2+$OR72*3,SUMPRODUCT($OK72:$OP72,$I$4:$N$4)))</f>
        <v/>
      </c>
      <c r="PG72" s="155">
        <f>MAX(0,9-SUMPRODUCT($OK72:$OP72,$I$5:$N$5)+MIN(8,$OQ72*2+$OR72*4,SUMPRODUCT($OK72:$OP72,$I$5:$N$5)))</f>
        <v/>
      </c>
      <c r="PH72" s="155">
        <f>MAX(0,11-SUMPRODUCT($OK72:$OP72,$I$6:$N$6)+MIN(10,$OQ72*3+$OR72*5,SUMPRODUCT($OK72:$OP72,$I$6:$N$6)))</f>
        <v/>
      </c>
      <c r="PI72" s="155">
        <f>MAX(0,13-SUMPRODUCT($OK72:$OP72,$I$7:$N$7)+MIN(12,$OQ72*3+$OR72*6,SUMPRODUCT($OK72:$OP72,$I$7:$N$7)))</f>
        <v/>
      </c>
      <c r="PJ72" s="155">
        <f>MAX(0,16-SUMPRODUCT($OK72:$OP72,$I$8:$N$8)+MIN(14,$OQ72*4+$OR72*7,SUMPRODUCT($OK72:$OP72,$I$8:$N$8)))</f>
        <v/>
      </c>
      <c r="PK72" s="155">
        <f>IF($OE72=2,3*$PD72&amp;" de vida temp.",IF($OE72=3,"sem dano",IF($PD72=0,IF($OE72=1,"sem cura","sem dano"),IF($OE72=1,"cura ","")&amp;$PD72&amp;"d8")))</f>
        <v/>
      </c>
      <c r="PL72" s="155">
        <f>IF($OE72=2,3*$PE72&amp;" de vida temp.",IF($OE72=3,"sem dano",IF($PE72=0,IF($OE72=1,"sem cura","sem dano"),IF($OE72=1,"cura ","")&amp;$PE72&amp;"d8")))</f>
        <v/>
      </c>
      <c r="PM72" s="155">
        <f>IF($OE72=2,3*$PF72&amp;" de vida temp.",IF($OE72=3,"sem dano",IF($PF72=0,IF($OE72=1,"sem cura","sem dano"),IF($OE72=1,"cura ","")&amp;$PF72&amp;"d8")))</f>
        <v/>
      </c>
      <c r="PN72" s="155">
        <f>IF($OE72=2,3*$PG72&amp;" de vida temp.",IF($OE72=3,"sem dano",IF($PG72=0,IF($OE72=1,"sem cura","sem dano"),IF($OE72=1,"cura ","")&amp;$PG72&amp;"d8")))</f>
        <v/>
      </c>
      <c r="PO72" s="155">
        <f>IF($OE72=2,3*$PH72&amp;" de vida temp.",IF($OE72=3,"sem dano",IF($PH72=0,IF($OE72=1,"sem cura","sem dano"),IF($OE72=1,"cura ","")&amp;$PH72&amp;"d8")))</f>
        <v/>
      </c>
      <c r="PP72" s="155">
        <f>IF($OE72=2,3*$PI72&amp;" de vida temp.",IF($OE72=3,"sem dano",IF($PI72=0,IF($OE72=1,"sem cura","sem dano"),IF($OE72=1,"cura ","")&amp;$PI72&amp;"d8")))</f>
        <v/>
      </c>
      <c r="PQ72" s="155">
        <f>IF($OE72=2,3*$PJ72&amp;" de vida temp.",IF($OE72=3,"sem dano",IF($PJ72=0,IF($OE72=1,"sem cura","sem dano"),IF($OE72=1,"cura ","")&amp;$PJ72&amp;"d8")))</f>
        <v/>
      </c>
      <c r="PR72" s="155">
        <f>IF($NB72=0,"",TEXTJOIN(" · ",TRUE,IF($MO72&gt;$NC72,"Este lugar abre no nível "&amp;$MO72,""),IF($MQ72&gt;$ND72,"Classe "&amp;$MQ72&amp;": o nível "&amp;$NC72&amp;" libera até a "&amp;$ND72,""),IF($NV72=1,"A Forma "&amp;$MS72&amp;" pede "&amp;INDEX($W$2:$W$11,$NH72)&amp;" aberta",""),IF(AND($MQ72=0,$NH72&gt;0,IF($NH72=0,0,INDEX($AF$2:$AF$11,$NH72))=0),$MS72&amp;" não existe na Classe 0",""),IF($NW72=1,"Família Fechada: "&amp;$MV72,""),IF($NX72=1,"Família Fechada: "&amp;$MW72,""),IF($NY72=1,"Família Fechada: "&amp;$MX72,""),IF($NZ72=1,"Família Fechada: "&amp;$MY72,""),IF(AND($MQ72&gt;0,$OS72&gt;INDEX($O$2:$O$8,MAX(1,$MQ72))),$OS72&amp;" Melhorias: a Classe "&amp;$MQ72&amp;" aceita "&amp;INDEX($O$2:$O$8,MAX(1,$MQ72)),""),IF(AND($MQ72=0,$OS72&gt;1),"A básica aceita uma Melhoria",""),IF(AND($MQ72=0,COUNTIF($NM72:$NP72,"&gt;1")&gt;0),"A básica só aceita Melhoria Leve",""),IF(AND($MQ72&gt;0,$OT72&gt;2),$OT72&amp;" Restrições"&amp;IF($OD72=1,", contando a que a Forma "&amp;$MS72&amp;" já traz","")&amp;": o limite é 2",""),IF(AND($MQ72=0,COUNTIF($MZ72:$NA72,"?*")&gt;1),"A básica aceita uma Restrição Leve",""),IF(AND($MQ72=0,COUNTIF($OG72:$OH72,2)&gt;0),"A básica só aceita Restrição Leve",""),IF(AND($MQ72&gt;0,$PA72&lt;0),"Orçamento estourado: faltam "&amp;(-$PA72)&amp;IF($PA72&lt;-1," pontos"," ponto"),""),IF(IFERROR(VLOOKUP($MZ72,$BC$2:$BG$24,4,FALSE),0)+IFERROR(VLOOKUP($NA72,$BC$2:$BG$24,4,FALSE),0)&gt;1,$OI72&amp;" e "&amp;$OJ72&amp;" são as duas de frequência",""),IF(AND((COUNTIF($MV72:$MY72,"Rápido")+COUNTIF($OI72:$OJ72,"Rápido"))&gt;0,(COUNTIF($MV72:$MY72,"Atrasar")+COUNTIF($OI72:$OJ72,"Atrasar"))&gt;0),"Rápido não entra com Atrasar",""),IF(AND((COUNTIF($MV72:$MY72,"Reação")+COUNTIF($OI72:$OJ72,"Reação"))&gt;0,(COUNTIF($MV72:$MY72,"Rápido")+COUNTIF($OI72:$OJ72,"Rápido"))&gt;0),"Reação não entra com Rápido",""),IF(AND((COUNTIF($MV72:$MY72,"Reação")+COUNTIF($OI72:$OJ72,"Reação"))&gt;0,(COUNTIF($MV72:$MY72,"Armado")+COUNTIF($OI72:$OJ72,"Armado"))&gt;0),"Reação não entra com Armado",""),IF(AND((COUNTIF($MV72:$MY72,"Reação")+COUNTIF($OI72:$OJ72,"Reação"))&gt;0,(COUNTIF($MV72:$MY72,"Atrasar")+COUNTIF($OI72:$OJ72,"Atrasar"))&gt;0),"Reação não entra com Atrasar",""),IF(AND((COUNTIF($MV72:$MY72,"Reação")+COUNTIF($OI72:$OJ72,"Reação"))&gt;0,(COUNTIF($MV72:$MY72,"Parado")+COUNTIF($OI72:$OJ72,"Parado"))&gt;0),"Reação não entra com Parado",""),IF(AND((COUNTIF($MV72:$MY72,"Atrasar")+COUNTIF($OI72:$OJ72,"Atrasar"))&gt;0,(COUNTIF($MV72:$MY72,"Parado")+COUNTIF($OI72:$OJ72,"Parado"))&gt;0),"Atrasar não entra com Parado",""),IF(AND((COUNTIF($MV72:$MY72,"Armado")+COUNTIF($OI72:$OJ72,"Armado"))&gt;0,(COUNTIF($MV72:$MY72,"Carregar")+COUNTIF($OI72:$OJ72,"Carregar"))&gt;0),"Armado não entra com Carregar",""),IF(AND(COUNTIF($OI72:$OJ72,"Corpo a Corpo")&gt;0,$OD72=0,OR($MS72="Cone",$MS72="Linha")),"Corpo a Corpo não entra em "&amp;$MS72,""),IF(AND(COUNTIF($OI72:$OJ72,"Corpo a Corpo")&gt;0,$OD72=1),"A Forma "&amp;$MS72&amp;" já traz o Corpo a Corpo",""),IF(AND(COUNTIF($OI72:$OJ72,"Tudo ou Nada")&gt;0,$OF72=0),"Tudo ou Nada só entra em habilidade de Teste de Resistência",""),IF(AND(COUNTIF($MV72:$MY72,"Inescapável")&gt;0,OR($OS72&gt;1,$OT72&gt;0)),"Inescapável não aceita outra peça",""),IF(AND($MQ72&gt;0,$PB72*IF(COUNTIF($MV72:$MY72,"Remate")&gt;0,1.25,1)+$PC72&gt;4*$MQ72),($PB72*IF(COUNTIF($MV72:$MY72,"Remate")&gt;0,1.25,1)+$PC72)&amp;" dados somando repetições"&amp;IF(COUNTIF($MV72:$MY72,"Remate")&gt;0," e o Remate","")&amp;": o teto da Classe "&amp;$MQ72&amp;" é "&amp;4*$MQ72,"")))</f>
        <v/>
      </c>
      <c r="PS72" s="155">
        <f>IF($PR72="",0,(LEN($PR72)-LEN(SUBSTITUTE($PR72," · ","")))/3+1)</f>
        <v/>
      </c>
      <c r="PT72" s="155">
        <f>IF($NB72=0,"",TEXTJOIN(" · ",TRUE,IF($OV72&gt;2*$MQ72,"A devolução parou no teto de "&amp;2*$MQ72,""),IF($OY72&gt;0,"Devolução perdida: "&amp;$OY72&amp;IF($OY72&gt;1," pontos"," ponto")&amp;" sem peça para pagar",""),IF(AND($OA72&gt;0,AND($MQ72&gt;0,$OE72=0),$PB72=0),"Controle sem dano: uma rodada a mais e CD +2",""),IF(AND($OA72&gt;0,AND($MQ72&gt;0,$OE72=0),$PB72&gt;0,$PB72&lt;=$MQ72),"Controle com saldo até a Classe: uma rodada a mais",""),IF(AND($MQ72&gt;0,$OC72&lt;&gt;""),"Efeito de "&amp;$OC72&amp;" pela Classe "&amp;MAX(1,$MQ72-1),"")))</f>
        <v/>
      </c>
      <c r="PU72" s="155">
        <f>IF($PT72="",0,(LEN($PT72)-LEN(SUBSTITUTE($PT72," · ","")))/3+1)</f>
        <v/>
      </c>
      <c r="PV72" s="155">
        <f>IF($NB72=0,IF($OS72+COUNTIF($MZ72:$NA72,"?*")&gt;0,"Dê um nome",""),IF($PS72&gt;0,"⚠ "&amp;$PS72&amp;IF($PS72&gt;1," erros"," erro"),IF($PU72&gt;0,"! "&amp;$PU72&amp;IF($PU72&gt;1," avisos"," aviso"),"Na regra")))</f>
        <v/>
      </c>
      <c r="PW72" s="155">
        <f>IF($NB72=0,"",IF($PS72+$PU72=0,"Dentro das regras que a ficha confere",$PR72&amp;IF(AND($PS72&gt;0,$PU72&gt;0)," · ","")&amp;$PT72))</f>
        <v/>
      </c>
      <c r="PX72" s="155">
        <f>IF($MO72&gt;$NC72,$MP72&amp;" · ABRE NO NÍVEL "&amp;$MO72,$MP72)</f>
        <v/>
      </c>
      <c r="PY72" s="155">
        <f>IF($NB72=0,"",IF($MQ72=0,"Sem PE",3*$MQ72&amp;" PE"))</f>
        <v/>
      </c>
      <c r="PZ72" s="155">
        <f>IF($NB72=0,"",IF($MQ72=0,"A atuação básica dela",IF(COUNTIF($OI72:$OJ72,"Atrasar")&gt;0,"Sua Ação Completa",IF(COUNTIF($MV72:$MY72,"Rápido")&gt;0,"Sua Bônus",IF(COUNTIF($MV72:$MY72,"Reação")&gt;0,"Sua Reação","Sua Padrão")))&amp;" + a básica dela"&amp;IF(COUNTIF($MV72:$MY72,"Reação")&gt;0," e a coletiva","")&amp;IF(COUNTIF($OI72:$OJ72,"Carregar")&gt;0," · em dois turnos","")))</f>
        <v/>
      </c>
      <c r="QA72" s="155">
        <f>IF($MU72&lt;&gt;"",$MU72,IF($NH72=0,"",INDEX($AA$2:$AA$11,$NH72)))</f>
        <v/>
      </c>
      <c r="QB72" s="155">
        <f>IF(OR($NB72=0,$NH72=0),"",IF(COUNTIF($MV72:$MY72,"Inescapável")&gt;0,"Automático",IF($QA72="Ataque",IF($NF72="","Ataque","Ataque "&amp;IF(($NF72+2*IF(COUNTIF($MV72:$MY72,"Precisão")&gt;0,1,0))&gt;=0,"+","−")&amp;ABS(($NF72+2*IF(COUNTIF($MV72:$MY72,"Precisão")&gt;0,1,0))))&amp;IF($OB72&gt;0," · TR"&amp;IF($NG72="",""," CD "&amp;$NG72),""),IF(LEFT($QA72,2)="TR",$QA72&amp;IF($NG72="",""," · CD "&amp;$NG72)&amp;IF(COUNTIF($MV72:$MY72,"Certeiro")&gt;0," · metade",""),"Sem rolagem"))))</f>
        <v/>
      </c>
      <c r="QC72" s="155">
        <f>IF(OR($NB72=0,$NH72=0),"",IF($MQ72=0,IF(OR($OE72&gt;=1,$PB72=0),"Sem dano",$PB72&amp;"d6"&amp;IF($MT72="",""," "&amp;$MT72)),IF(OR($OE72&gt;=1,$PB72=0),UPPER(LEFT(INDEX($PK72:$PQ72,1,MAX(1,$MQ72)),1))&amp;MID(INDEX($PK72:$PQ72,1,MAX(1,$MQ72)),2,99),UPPER(LEFT(INDEX($PK72:$PQ72,1,MAX(1,$MQ72)),1))&amp;MID(INDEX($PK72:$PQ72,1,MAX(1,$MQ72)),2,99)&amp;IF($MT72="",""," "&amp;$MT72)&amp;IF($PC72&gt;0," · +"&amp;$PC72&amp;"d8",""))))</f>
        <v/>
      </c>
      <c r="QD72" s="155">
        <f>COUNTIF($MV72:$MY72,"Longe")+3*COUNTIF($MV72:$MY72,"Muito Longe")</f>
        <v/>
      </c>
      <c r="QE72" s="155">
        <f>COUNTIF($MV72:$MY72,"Maior")+3*COUNTIF($MV72:$MY72,"Muito Maior")</f>
        <v/>
      </c>
      <c r="QF72" s="155">
        <f>IF($NH72=0,0,CHOOSE(1+INDEX($AC$2:$AC$11,$NH72),0,$QD72,$QE72,$QD72+$QE72))</f>
        <v/>
      </c>
      <c r="QG72" s="155">
        <f>IF($NH72=0,0,CHOOSE(1+INDEX($AD$2:$AD$11,$NH72),0,$QD72,$QE72,$QD72+$QE72))</f>
        <v/>
      </c>
      <c r="QH72" s="155">
        <f>IF(OR($NB72=0,$NH72=0),"",INDEX($AI$2:$AN$41,($NH72-1)*4+IF($MQ72=0,1,IF($MQ72&lt;=5,2,IF($MQ72=6,3,4))),1+MIN(5,$QF72))&amp;INDEX($AO$2:$AT$41,($NH72-1)*4+IF($MQ72=0,1,IF($MQ72&lt;=5,2,IF($MQ72=6,3,4))),1+MIN(5,$QG72))&amp;IF(INDEX($AE$2:$AE$11,$NH72)=1,IF(COUNTIF($MV72:$MY72,"Mais Um")&gt;0," · +"&amp;COUNTIF($MV72:$MY72,"Mais Um")&amp;IF(COUNTIF($MV72:$MY72,"Mais Um")&gt;1," alvos"," alvo"),"")&amp;IF(COUNTIF($MV72:$MY72,"Rajada")&gt;0,IF($MQ72=0," · 1 tiro"," · "&amp;(MAX(1,$MQ72-1)+1)&amp;" tiros"),""),""))</f>
        <v/>
      </c>
      <c r="QI72" s="155">
        <f>IF($NB72=0,"",IF($MQ72=0,$NE72&amp;"d6"&amp;IF($OS72&gt;0," − 1 = "&amp;$PB72&amp;"d6"," da básica do nível "&amp;$NC72),$OZ72&amp;" − "&amp;$OU72&amp;" + "&amp;$OX72&amp;" = "&amp;$PA72&amp;" · teto "&amp;4*$MQ72&amp;"d8"&amp;IF($OD72=1," · a Forma devolve "&amp;$MQ72,"")&amp;IF($OY72&gt;0," · perde "&amp;$OY72,"")))</f>
        <v/>
      </c>
      <c r="QJ72" s="155">
        <f>IF($NB72=0,"",IF($MQ72=0,"A básica não amplia: os dados dela sobem com o nível",IF($MQ72&gt;=$ND72,"Já está na maior Classe que o nível liberou",TEXTJOIN(" · ",TRUE,IF(AND(2&gt;$MQ72,2&lt;=$ND72),"2 → "&amp;$PL72&amp;", 6 PE",""),IF(AND(3&gt;$MQ72,3&lt;=$ND72),"3 → "&amp;$PM72&amp;", 9 PE",""),IF(AND(4&gt;$MQ72,4&lt;=$ND72),"4 → "&amp;$PN72&amp;", 12 PE",""),IF(AND(5&gt;$MQ72,5&lt;=$ND72),"5 → "&amp;$PO72&amp;", 15 PE",""),IF(AND(6&gt;$MQ72,6&lt;=$ND72),"6 → "&amp;$PP72&amp;", 18 PE",""),IF(AND(7&gt;$MQ72,7&lt;=$ND72),"7 → "&amp;$PQ72&amp;", 21 PE","")))))</f>
        <v/>
      </c>
      <c r="QK72" s="155">
        <f>IF(OR($NB72=0,$NM72=0),"",IF($MQ72=0,"−1 dado","−"&amp;INDEX($I$2:$N$8,MAX(1,$MQ72),MAX(1,$NR72))&amp;" · "&amp;CHOOSE(MAX(1,$NR72),"Leve","Média","Pesada","Leve · Livre","Média · Livre","Pesada · Livre")))</f>
        <v/>
      </c>
      <c r="QL72" s="155">
        <f>IF(OR($NB72=0,$NN72=0),"",IF($MQ72=0,"−1 dado","−"&amp;INDEX($I$2:$N$8,MAX(1,$MQ72),MAX(1,$NS72))&amp;" · "&amp;CHOOSE(MAX(1,$NS72),"Leve","Média","Pesada","Leve · Livre","Média · Livre","Pesada · Livre")))</f>
        <v/>
      </c>
      <c r="QM72" s="155">
        <f>IF(OR($NB72=0,$NO72=0),"",IF($MQ72=0,"−1 dado","−"&amp;INDEX($I$2:$N$8,MAX(1,$MQ72),MAX(1,$NT72))&amp;" · "&amp;CHOOSE(MAX(1,$NT72),"Leve","Média","Pesada","Leve · Livre","Média · Livre","Pesada · Livre")))</f>
        <v/>
      </c>
      <c r="QN72" s="155">
        <f>IF(OR($NB72=0,$NP72=0),"",IF($MQ72=0,"−1 dado","−"&amp;INDEX($I$2:$N$8,MAX(1,$MQ72),MAX(1,$NU72))&amp;" · "&amp;CHOOSE(MAX(1,$NU72),"Leve","Média","Pesada","Leve · Livre","Média · Livre","Pesada · Livre")))</f>
        <v/>
      </c>
      <c r="QO72" s="155">
        <f>IF(OR($NB72=0,$MZ72=""),"",IF($MQ72=0,"não devolve","+"&amp;IF($OG72=1,CEILING($MQ72/2,1),$MQ72)))</f>
        <v/>
      </c>
      <c r="QP72" s="155">
        <f>IF(OR($NB72=0,$NA72=""),"",IF($MQ72=0,"não devolve","+"&amp;IF($OH72=1,CEILING($MQ72/2,1),$MQ72)))</f>
        <v/>
      </c>
    </row>
    <row r="73">
      <c r="AV73" s="153" t="inlineStr">
        <is>
          <t>Cobrança</t>
        </is>
      </c>
      <c r="AW73" s="153" t="inlineStr">
        <is>
          <t>Marca</t>
        </is>
      </c>
      <c r="AX73" s="155" t="n">
        <v>2</v>
      </c>
      <c r="AY73" s="155" t="n">
        <v>0</v>
      </c>
      <c r="AZ73" s="155" t="n">
        <v>0</v>
      </c>
      <c r="BA73" s="155" t="n">
        <v>0</v>
      </c>
      <c r="JR73" s="155">
        <f>IF(OR($AW73="",COUNTIF($EJ$2:$EN$2,$AW73)&gt;0),$AV73,"")</f>
        <v/>
      </c>
      <c r="JS73" s="155">
        <f>IF(AND($AX73=1,OR($AW73="",COUNTIF($EJ$2:$EN$2,$AW73)&gt;0)),$AV73,"")</f>
        <v/>
      </c>
      <c r="JX73" s="155">
        <f>IF(OR($AW73="",COUNTIF($EJ$3:$EN$3,$AW73)&gt;0),$AV73,"")</f>
        <v/>
      </c>
      <c r="JY73" s="155">
        <f>IF(AND($AX73=1,OR($AW73="",COUNTIF($EJ$3:$EN$3,$AW73)&gt;0)),$AV73,"")</f>
        <v/>
      </c>
      <c r="KD73" s="155">
        <f>IF(OR($AW73="",COUNTIF($EJ$4:$EN$4,$AW73)&gt;0),$AV73,"")</f>
        <v/>
      </c>
      <c r="KE73" s="155">
        <f>IF(AND($AX73=1,OR($AW73="",COUNTIF($EJ$4:$EN$4,$AW73)&gt;0)),$AV73,"")</f>
        <v/>
      </c>
      <c r="KJ73" s="155">
        <f>IF(OR($AW73="",COUNTIF($EJ$5:$EN$5,$AW73)&gt;0),$AV73,"")</f>
        <v/>
      </c>
      <c r="KK73" s="155">
        <f>IF(AND($AX73=1,OR($AW73="",COUNTIF($EJ$5:$EN$5,$AW73)&gt;0)),$AV73,"")</f>
        <v/>
      </c>
      <c r="KP73" s="155">
        <f>IF(OR($AW73="",COUNTIF($EJ$6:$EN$6,$AW73)&gt;0),$AV73,"")</f>
        <v/>
      </c>
      <c r="KQ73" s="155">
        <f>IF(AND($AX73=1,OR($AW73="",COUNTIF($EJ$6:$EN$6,$AW73)&gt;0)),$AV73,"")</f>
        <v/>
      </c>
      <c r="KV73" s="155">
        <f>IF(OR($AW73="",COUNTIF($EJ$7:$EN$7,$AW73)&gt;0),$AV73,"")</f>
        <v/>
      </c>
      <c r="KW73" s="155">
        <f>IF(AND($AX73=1,OR($AW73="",COUNTIF($EJ$7:$EN$7,$AW73)&gt;0)),$AV73,"")</f>
        <v/>
      </c>
      <c r="LB73" s="155">
        <f>IF(OR($AW73="",COUNTIF($EJ$8:$EN$8,$AW73)&gt;0),$AV73,"")</f>
        <v/>
      </c>
      <c r="LC73" s="155">
        <f>IF(AND($AX73=1,OR($AW73="",COUNTIF($EJ$8:$EN$8,$AW73)&gt;0)),$AV73,"")</f>
        <v/>
      </c>
      <c r="LH73" s="155">
        <f>IF(OR($AW73="",COUNTIF($EJ$9:$EN$9,$AW73)&gt;0),$AV73,"")</f>
        <v/>
      </c>
      <c r="LI73" s="155">
        <f>IF(AND($AX73=1,OR($AW73="",COUNTIF($EJ$9:$EN$9,$AW73)&gt;0)),$AV73,"")</f>
        <v/>
      </c>
      <c r="LN73" s="155">
        <f>IF(OR($AW73="",COUNTIF($EJ$10:$EN$10,$AW73)&gt;0),$AV73,"")</f>
        <v/>
      </c>
      <c r="LO73" s="155">
        <f>IF(AND($AX73=1,OR($AW73="",COUNTIF($EJ$10:$EN$10,$AW73)&gt;0)),$AV73,"")</f>
        <v/>
      </c>
      <c r="LT73" s="155">
        <f>IF(OR($AW73="",COUNTIF($EJ$11:$EN$11,$AW73)&gt;0),$AV73,"")</f>
        <v/>
      </c>
      <c r="LU73" s="155">
        <f>IF(AND($AX73=1,OR($AW73="",COUNTIF($EJ$11:$EN$11,$AW73)&gt;0)),$AV73,"")</f>
        <v/>
      </c>
      <c r="LZ73" s="155">
        <f>IF(OR($AW73="",COUNTIF($EJ$12:$EN$12,$AW73)&gt;0),$AV73,"")</f>
        <v/>
      </c>
      <c r="MA73" s="155">
        <f>IF(AND($AX73=1,OR($AW73="",COUNTIF($EJ$12:$EN$12,$AW73)&gt;0)),$AV73,"")</f>
        <v/>
      </c>
      <c r="MF73" s="155">
        <f>IF(OR($AW73="",COUNTIF($EJ$13:$EN$13,$AW73)&gt;0),$AV73,"")</f>
        <v/>
      </c>
      <c r="MG73" s="155">
        <f>IF(AND($AX73=1,OR($AW73="",COUNTIF($EJ$13:$EN$13,$AW73)&gt;0)),$AV73,"")</f>
        <v/>
      </c>
      <c r="ML73" s="153" t="inlineStr">
        <is>
          <t>Ficha 6 · Especial 5</t>
        </is>
      </c>
      <c r="MM73" s="155" t="n">
        <v>6</v>
      </c>
      <c r="MN73" s="155" t="n">
        <v>1</v>
      </c>
      <c r="MO73" s="155" t="n">
        <v>16</v>
      </c>
      <c r="MP73" s="153" t="inlineStr">
        <is>
          <t>ESPECIAL 5</t>
        </is>
      </c>
      <c r="MQ73" s="155">
        <f>MAX(1,MIN(7,N('INVOCAÇÕES'!$I$1104)))</f>
        <v/>
      </c>
      <c r="MR73" s="155">
        <f>'INVOCAÇÕES'!$J$1104&amp;""</f>
        <v/>
      </c>
      <c r="MS73" s="155">
        <f>'INVOCAÇÕES'!$I$1109&amp;""</f>
        <v/>
      </c>
      <c r="MT73" s="155">
        <f>'INVOCAÇÕES'!$I$1110&amp;""</f>
        <v/>
      </c>
      <c r="MU73" s="155">
        <f>'INVOCAÇÕES'!$K$1110&amp;""</f>
        <v/>
      </c>
      <c r="MV73" s="155">
        <f>'INVOCAÇÕES'!$J$1113&amp;""</f>
        <v/>
      </c>
      <c r="MW73" s="155">
        <f>'INVOCAÇÕES'!$J$1114&amp;""</f>
        <v/>
      </c>
      <c r="MX73" s="155">
        <f>'INVOCAÇÕES'!$J$1115&amp;""</f>
        <v/>
      </c>
      <c r="MY73" s="155">
        <f>'INVOCAÇÕES'!$J$1116&amp;""</f>
        <v/>
      </c>
      <c r="MZ73" s="155">
        <f>'INVOCAÇÕES'!$J$1117&amp;""</f>
        <v/>
      </c>
      <c r="NA73" s="155">
        <f>'INVOCAÇÕES'!$J$1118&amp;""</f>
        <v/>
      </c>
      <c r="NB73" s="155">
        <f>IF($MR73&lt;&gt;"",1,0)</f>
        <v/>
      </c>
      <c r="NC73" s="155">
        <f>INDEX($FM$2:$FM$13,$MM73)</f>
        <v/>
      </c>
      <c r="ND73" s="155">
        <f>INDEX($FN$2:$FN$13,$MM73)</f>
        <v/>
      </c>
      <c r="NE73" s="155">
        <f>INDEX($FO$2:$FO$13,$MM73)</f>
        <v/>
      </c>
      <c r="NF73" s="155">
        <f>INDEX($FZ$2:$FZ$13,$MM73)</f>
        <v/>
      </c>
      <c r="NG73" s="155">
        <f>INDEX($GA$2:$GA$13,$MM73)</f>
        <v/>
      </c>
      <c r="NH73" s="155">
        <f>IFERROR(MATCH($MS73,$V$2:$V$11,0),0)</f>
        <v/>
      </c>
      <c r="NI73" s="155">
        <f>IFERROR(VLOOKUP($MV73,$AV$2:$BA$84,2,FALSE),"")</f>
        <v/>
      </c>
      <c r="NJ73" s="155">
        <f>IFERROR(VLOOKUP($MW73,$AV$2:$BA$84,2,FALSE),"")</f>
        <v/>
      </c>
      <c r="NK73" s="155">
        <f>IFERROR(VLOOKUP($MX73,$AV$2:$BA$84,2,FALSE),"")</f>
        <v/>
      </c>
      <c r="NL73" s="155">
        <f>IFERROR(VLOOKUP($MY73,$AV$2:$BA$84,2,FALSE),"")</f>
        <v/>
      </c>
      <c r="NM73" s="155">
        <f>IFERROR(VLOOKUP($MV73,$AV$2:$BA$84,3,FALSE),0)</f>
        <v/>
      </c>
      <c r="NN73" s="155">
        <f>IFERROR(VLOOKUP($MW73,$AV$2:$BA$84,3,FALSE),0)</f>
        <v/>
      </c>
      <c r="NO73" s="155">
        <f>IFERROR(VLOOKUP($MX73,$AV$2:$BA$84,3,FALSE),0)</f>
        <v/>
      </c>
      <c r="NP73" s="155">
        <f>IFERROR(VLOOKUP($MY73,$AV$2:$BA$84,3,FALSE),0)</f>
        <v/>
      </c>
      <c r="NQ73" s="155">
        <f>IF($MQ73=0,0,IF($NH73=0,0,INDEX($X$2:$X$11,$NH73)))</f>
        <v/>
      </c>
      <c r="NR73" s="155">
        <f>IF(OR($NM73=0,$MQ73=0),0,$NM73+3*IF(AND($NI73&lt;&gt;"",OR($NI73=INDEX($EJ$2:$EJ$13,$MM73),$NI73=INDEX($EK$2:$EK$13,$MM73))),1,0))</f>
        <v/>
      </c>
      <c r="NS73" s="155">
        <f>IF(OR($NN73=0,$MQ73=0),0,$NN73+3*IF(AND($NJ73&lt;&gt;"",OR($NJ73=INDEX($EJ$2:$EJ$13,$MM73),$NJ73=INDEX($EK$2:$EK$13,$MM73))),1,0))</f>
        <v/>
      </c>
      <c r="NT73" s="155">
        <f>IF(OR($NO73=0,$MQ73=0),0,$NO73+3*IF(AND($NK73&lt;&gt;"",OR($NK73=INDEX($EJ$2:$EJ$13,$MM73),$NK73=INDEX($EK$2:$EK$13,$MM73))),1,0))</f>
        <v/>
      </c>
      <c r="NU73" s="155">
        <f>IF(OR($NP73=0,$MQ73=0),0,$NP73+3*IF(AND($NL73&lt;&gt;"",OR($NL73=INDEX($EJ$2:$EJ$13,$MM73),$NL73=INDEX($EK$2:$EK$13,$MM73))),1,0))</f>
        <v/>
      </c>
      <c r="NV73" s="155">
        <f>IF($NH73=0,0,IF(INDEX($W$2:$W$11,$NH73)="",0,IF(COUNTIF(INDEX($EJ$2:$EN$13,$MM73,0),INDEX($W$2:$W$11,$NH73))=0,1,0)))</f>
        <v/>
      </c>
      <c r="NW73" s="155">
        <f>IF(OR($NM73=0,$NI73=""),0,IF(COUNTIF(INDEX($EJ$2:$EN$13,$MM73,0),$NI73)=0,1,0))</f>
        <v/>
      </c>
      <c r="NX73" s="155">
        <f>IF(OR($NN73=0,$NJ73=""),0,IF(COUNTIF(INDEX($EJ$2:$EN$13,$MM73,0),$NJ73)=0,1,0))</f>
        <v/>
      </c>
      <c r="NY73" s="155">
        <f>IF(OR($NO73=0,$NK73=""),0,IF(COUNTIF(INDEX($EJ$2:$EN$13,$MM73,0),$NK73)=0,1,0))</f>
        <v/>
      </c>
      <c r="NZ73" s="155">
        <f>IF(OR($NP73=0,$NL73=""),0,IF(COUNTIF(INDEX($EJ$2:$EN$13,$MM73,0),$NL73)=0,1,0))</f>
        <v/>
      </c>
      <c r="OA73" s="155">
        <f>IFERROR(VLOOKUP($MV73,$AV$2:$BA$84,4,FALSE),0)+IFERROR(VLOOKUP($MW73,$AV$2:$BA$84,4,FALSE),0)+IFERROR(VLOOKUP($MX73,$AV$2:$BA$84,4,FALSE),0)+IFERROR(VLOOKUP($MY73,$AV$2:$BA$84,4,FALSE),0)</f>
        <v/>
      </c>
      <c r="OB73" s="155">
        <f>IFERROR(VLOOKUP($MV73,$AV$2:$BA$84,6,FALSE),0)+IFERROR(VLOOKUP($MW73,$AV$2:$BA$84,6,FALSE),0)+IFERROR(VLOOKUP($MX73,$AV$2:$BA$84,6,FALSE),0)+IFERROR(VLOOKUP($MY73,$AV$2:$BA$84,6,FALSE),0)</f>
        <v/>
      </c>
      <c r="OC73" s="155">
        <f>TEXTJOIN(", ",TRUE,IF(IFERROR(VLOOKUP($MV73,$AV$2:$BA$84,5,FALSE),0)=1,$MV73,""),IF(IFERROR(VLOOKUP($MW73,$AV$2:$BA$84,5,FALSE),0)=1,$MW73,""),IF(IFERROR(VLOOKUP($MX73,$AV$2:$BA$84,5,FALSE),0)=1,$MX73,""),IF(IFERROR(VLOOKUP($MY73,$AV$2:$BA$84,5,FALSE),0)=1,$MY73,""))</f>
        <v/>
      </c>
      <c r="OD73" s="155">
        <f>IF($NH73=0,0,INDEX($Y$2:$Y$11,$NH73))</f>
        <v/>
      </c>
      <c r="OE73" s="155">
        <f>IF($NH73=0,0,INDEX($Z$2:$Z$11,$NH73))</f>
        <v/>
      </c>
      <c r="OF73" s="155">
        <f>IF($NH73=0,0,INDEX($AB$2:$AB$11,$NH73))</f>
        <v/>
      </c>
      <c r="OG73" s="155">
        <f>IFERROR(VLOOKUP($MZ73,$BC$2:$BG$24,3,FALSE),0)</f>
        <v/>
      </c>
      <c r="OH73" s="155">
        <f>IFERROR(VLOOKUP($NA73,$BC$2:$BG$24,3,FALSE),0)</f>
        <v/>
      </c>
      <c r="OI73" s="155">
        <f>IFERROR(VLOOKUP($MZ73,$BC$2:$BG$24,2,FALSE),"")</f>
        <v/>
      </c>
      <c r="OJ73" s="155">
        <f>IFERROR(VLOOKUP($NA73,$BC$2:$BG$24,2,FALSE),"")</f>
        <v/>
      </c>
      <c r="OK73" s="155">
        <f>COUNTIF($NQ73:$NU73,1)</f>
        <v/>
      </c>
      <c r="OL73" s="155">
        <f>COUNTIF($NQ73:$NU73,2)</f>
        <v/>
      </c>
      <c r="OM73" s="155">
        <f>COUNTIF($NQ73:$NU73,3)</f>
        <v/>
      </c>
      <c r="ON73" s="155">
        <f>COUNTIF($NQ73:$NU73,4)</f>
        <v/>
      </c>
      <c r="OO73" s="155">
        <f>COUNTIF($NQ73:$NU73,5)</f>
        <v/>
      </c>
      <c r="OP73" s="155">
        <f>COUNTIF($NQ73:$NU73,6)</f>
        <v/>
      </c>
      <c r="OQ73" s="155">
        <f>COUNTIF($OG73:$OH73,1)</f>
        <v/>
      </c>
      <c r="OR73" s="155">
        <f>COUNTIF($OG73:$OH73,2)+$OD73</f>
        <v/>
      </c>
      <c r="OS73" s="155">
        <f>COUNTIF($MV73:$MY73,"?*")</f>
        <v/>
      </c>
      <c r="OT73" s="155">
        <f>COUNTIF($MZ73:$NA73,"?*")+$OD73</f>
        <v/>
      </c>
      <c r="OU73" s="155">
        <f>IF($MQ73=0,0,SUMPRODUCT($OK73:$OP73,INDEX($I$2:$N$8,MAX(1,$MQ73),0)))</f>
        <v/>
      </c>
      <c r="OV73" s="155">
        <f>IF($MQ73=0,0,$OQ73*CEILING($MQ73/2,1)+$OR73*$MQ73)</f>
        <v/>
      </c>
      <c r="OW73" s="155">
        <f>MIN(2*$MQ73,$OV73)</f>
        <v/>
      </c>
      <c r="OX73" s="155">
        <f>MIN($OW73,$OU73)</f>
        <v/>
      </c>
      <c r="OY73" s="155">
        <f>$OW73-$OX73</f>
        <v/>
      </c>
      <c r="OZ73" s="155">
        <f>IF($MQ73=0,0,INDEX($P$2:$P$8,MAX(1,$MQ73)))</f>
        <v/>
      </c>
      <c r="PA73" s="155">
        <f>$OZ73-$OU73+$OX73</f>
        <v/>
      </c>
      <c r="PB73" s="155">
        <f>IF($MQ73=0,MAX(0,$NE73-IF($OS73&gt;0,1,0)),MAX(0,$PA73))</f>
        <v/>
      </c>
      <c r="PC73" s="155">
        <f>IF($MQ73=0,0,(IF(COUNTIF($MV73:$MY73,"Salto")&gt;0,1,0)+IF(COUNTIF($MV73:$MY73,"Queima")&gt;0,1,0)+IF(COUNTIF($MV73:$MY73,"Estilhaço")&gt;0,1,0))*FLOOR($PB73/2,1))</f>
        <v/>
      </c>
      <c r="PD73" s="155">
        <f>MAX(0,2-SUMPRODUCT($OK73:$OP73,$I$2:$N$2)+MIN(2,$OQ73*1+$OR73*1,SUMPRODUCT($OK73:$OP73,$I$2:$N$2)))</f>
        <v/>
      </c>
      <c r="PE73" s="155">
        <f>MAX(0,4-SUMPRODUCT($OK73:$OP73,$I$3:$N$3)+MIN(4,$OQ73*1+$OR73*2,SUMPRODUCT($OK73:$OP73,$I$3:$N$3)))</f>
        <v/>
      </c>
      <c r="PF73" s="155">
        <f>MAX(0,6-SUMPRODUCT($OK73:$OP73,$I$4:$N$4)+MIN(6,$OQ73*2+$OR73*3,SUMPRODUCT($OK73:$OP73,$I$4:$N$4)))</f>
        <v/>
      </c>
      <c r="PG73" s="155">
        <f>MAX(0,9-SUMPRODUCT($OK73:$OP73,$I$5:$N$5)+MIN(8,$OQ73*2+$OR73*4,SUMPRODUCT($OK73:$OP73,$I$5:$N$5)))</f>
        <v/>
      </c>
      <c r="PH73" s="155">
        <f>MAX(0,11-SUMPRODUCT($OK73:$OP73,$I$6:$N$6)+MIN(10,$OQ73*3+$OR73*5,SUMPRODUCT($OK73:$OP73,$I$6:$N$6)))</f>
        <v/>
      </c>
      <c r="PI73" s="155">
        <f>MAX(0,13-SUMPRODUCT($OK73:$OP73,$I$7:$N$7)+MIN(12,$OQ73*3+$OR73*6,SUMPRODUCT($OK73:$OP73,$I$7:$N$7)))</f>
        <v/>
      </c>
      <c r="PJ73" s="155">
        <f>MAX(0,16-SUMPRODUCT($OK73:$OP73,$I$8:$N$8)+MIN(14,$OQ73*4+$OR73*7,SUMPRODUCT($OK73:$OP73,$I$8:$N$8)))</f>
        <v/>
      </c>
      <c r="PK73" s="155">
        <f>IF($OE73=2,3*$PD73&amp;" de vida temp.",IF($OE73=3,"sem dano",IF($PD73=0,IF($OE73=1,"sem cura","sem dano"),IF($OE73=1,"cura ","")&amp;$PD73&amp;"d8")))</f>
        <v/>
      </c>
      <c r="PL73" s="155">
        <f>IF($OE73=2,3*$PE73&amp;" de vida temp.",IF($OE73=3,"sem dano",IF($PE73=0,IF($OE73=1,"sem cura","sem dano"),IF($OE73=1,"cura ","")&amp;$PE73&amp;"d8")))</f>
        <v/>
      </c>
      <c r="PM73" s="155">
        <f>IF($OE73=2,3*$PF73&amp;" de vida temp.",IF($OE73=3,"sem dano",IF($PF73=0,IF($OE73=1,"sem cura","sem dano"),IF($OE73=1,"cura ","")&amp;$PF73&amp;"d8")))</f>
        <v/>
      </c>
      <c r="PN73" s="155">
        <f>IF($OE73=2,3*$PG73&amp;" de vida temp.",IF($OE73=3,"sem dano",IF($PG73=0,IF($OE73=1,"sem cura","sem dano"),IF($OE73=1,"cura ","")&amp;$PG73&amp;"d8")))</f>
        <v/>
      </c>
      <c r="PO73" s="155">
        <f>IF($OE73=2,3*$PH73&amp;" de vida temp.",IF($OE73=3,"sem dano",IF($PH73=0,IF($OE73=1,"sem cura","sem dano"),IF($OE73=1,"cura ","")&amp;$PH73&amp;"d8")))</f>
        <v/>
      </c>
      <c r="PP73" s="155">
        <f>IF($OE73=2,3*$PI73&amp;" de vida temp.",IF($OE73=3,"sem dano",IF($PI73=0,IF($OE73=1,"sem cura","sem dano"),IF($OE73=1,"cura ","")&amp;$PI73&amp;"d8")))</f>
        <v/>
      </c>
      <c r="PQ73" s="155">
        <f>IF($OE73=2,3*$PJ73&amp;" de vida temp.",IF($OE73=3,"sem dano",IF($PJ73=0,IF($OE73=1,"sem cura","sem dano"),IF($OE73=1,"cura ","")&amp;$PJ73&amp;"d8")))</f>
        <v/>
      </c>
      <c r="PR73" s="155">
        <f>IF($NB73=0,"",TEXTJOIN(" · ",TRUE,IF($MO73&gt;$NC73,"Este lugar abre no nível "&amp;$MO73,""),IF($MQ73&gt;$ND73,"Classe "&amp;$MQ73&amp;": o nível "&amp;$NC73&amp;" libera até a "&amp;$ND73,""),IF($NV73=1,"A Forma "&amp;$MS73&amp;" pede "&amp;INDEX($W$2:$W$11,$NH73)&amp;" aberta",""),IF(AND($MQ73=0,$NH73&gt;0,IF($NH73=0,0,INDEX($AF$2:$AF$11,$NH73))=0),$MS73&amp;" não existe na Classe 0",""),IF($NW73=1,"Família Fechada: "&amp;$MV73,""),IF($NX73=1,"Família Fechada: "&amp;$MW73,""),IF($NY73=1,"Família Fechada: "&amp;$MX73,""),IF($NZ73=1,"Família Fechada: "&amp;$MY73,""),IF(AND($MQ73&gt;0,$OS73&gt;INDEX($O$2:$O$8,MAX(1,$MQ73))),$OS73&amp;" Melhorias: a Classe "&amp;$MQ73&amp;" aceita "&amp;INDEX($O$2:$O$8,MAX(1,$MQ73)),""),IF(AND($MQ73=0,$OS73&gt;1),"A básica aceita uma Melhoria",""),IF(AND($MQ73=0,COUNTIF($NM73:$NP73,"&gt;1")&gt;0),"A básica só aceita Melhoria Leve",""),IF(AND($MQ73&gt;0,$OT73&gt;2),$OT73&amp;" Restrições"&amp;IF($OD73=1,", contando a que a Forma "&amp;$MS73&amp;" já traz","")&amp;": o limite é 2",""),IF(AND($MQ73=0,COUNTIF($MZ73:$NA73,"?*")&gt;1),"A básica aceita uma Restrição Leve",""),IF(AND($MQ73=0,COUNTIF($OG73:$OH73,2)&gt;0),"A básica só aceita Restrição Leve",""),IF(AND($MQ73&gt;0,$PA73&lt;0),"Orçamento estourado: faltam "&amp;(-$PA73)&amp;IF($PA73&lt;-1," pontos"," ponto"),""),IF(IFERROR(VLOOKUP($MZ73,$BC$2:$BG$24,4,FALSE),0)+IFERROR(VLOOKUP($NA73,$BC$2:$BG$24,4,FALSE),0)&gt;1,$OI73&amp;" e "&amp;$OJ73&amp;" são as duas de frequência",""),IF(AND((COUNTIF($MV73:$MY73,"Rápido")+COUNTIF($OI73:$OJ73,"Rápido"))&gt;0,(COUNTIF($MV73:$MY73,"Atrasar")+COUNTIF($OI73:$OJ73,"Atrasar"))&gt;0),"Rápido não entra com Atrasar",""),IF(AND((COUNTIF($MV73:$MY73,"Reação")+COUNTIF($OI73:$OJ73,"Reação"))&gt;0,(COUNTIF($MV73:$MY73,"Rápido")+COUNTIF($OI73:$OJ73,"Rápido"))&gt;0),"Reação não entra com Rápido",""),IF(AND((COUNTIF($MV73:$MY73,"Reação")+COUNTIF($OI73:$OJ73,"Reação"))&gt;0,(COUNTIF($MV73:$MY73,"Armado")+COUNTIF($OI73:$OJ73,"Armado"))&gt;0),"Reação não entra com Armado",""),IF(AND((COUNTIF($MV73:$MY73,"Reação")+COUNTIF($OI73:$OJ73,"Reação"))&gt;0,(COUNTIF($MV73:$MY73,"Atrasar")+COUNTIF($OI73:$OJ73,"Atrasar"))&gt;0),"Reação não entra com Atrasar",""),IF(AND((COUNTIF($MV73:$MY73,"Reação")+COUNTIF($OI73:$OJ73,"Reação"))&gt;0,(COUNTIF($MV73:$MY73,"Parado")+COUNTIF($OI73:$OJ73,"Parado"))&gt;0),"Reação não entra com Parado",""),IF(AND((COUNTIF($MV73:$MY73,"Atrasar")+COUNTIF($OI73:$OJ73,"Atrasar"))&gt;0,(COUNTIF($MV73:$MY73,"Parado")+COUNTIF($OI73:$OJ73,"Parado"))&gt;0),"Atrasar não entra com Parado",""),IF(AND((COUNTIF($MV73:$MY73,"Armado")+COUNTIF($OI73:$OJ73,"Armado"))&gt;0,(COUNTIF($MV73:$MY73,"Carregar")+COUNTIF($OI73:$OJ73,"Carregar"))&gt;0),"Armado não entra com Carregar",""),IF(AND(COUNTIF($OI73:$OJ73,"Corpo a Corpo")&gt;0,$OD73=0,OR($MS73="Cone",$MS73="Linha")),"Corpo a Corpo não entra em "&amp;$MS73,""),IF(AND(COUNTIF($OI73:$OJ73,"Corpo a Corpo")&gt;0,$OD73=1),"A Forma "&amp;$MS73&amp;" já traz o Corpo a Corpo",""),IF(AND(COUNTIF($OI73:$OJ73,"Tudo ou Nada")&gt;0,$OF73=0),"Tudo ou Nada só entra em habilidade de Teste de Resistência",""),IF(AND(COUNTIF($MV73:$MY73,"Inescapável")&gt;0,OR($OS73&gt;1,$OT73&gt;0)),"Inescapável não aceita outra peça",""),IF(AND($MQ73&gt;0,$PB73*IF(COUNTIF($MV73:$MY73,"Remate")&gt;0,1.25,1)+$PC73&gt;4*$MQ73),($PB73*IF(COUNTIF($MV73:$MY73,"Remate")&gt;0,1.25,1)+$PC73)&amp;" dados somando repetições"&amp;IF(COUNTIF($MV73:$MY73,"Remate")&gt;0," e o Remate","")&amp;": o teto da Classe "&amp;$MQ73&amp;" é "&amp;4*$MQ73,"")))</f>
        <v/>
      </c>
      <c r="PS73" s="155">
        <f>IF($PR73="",0,(LEN($PR73)-LEN(SUBSTITUTE($PR73," · ","")))/3+1)</f>
        <v/>
      </c>
      <c r="PT73" s="155">
        <f>IF($NB73=0,"",TEXTJOIN(" · ",TRUE,IF($OV73&gt;2*$MQ73,"A devolução parou no teto de "&amp;2*$MQ73,""),IF($OY73&gt;0,"Devolução perdida: "&amp;$OY73&amp;IF($OY73&gt;1," pontos"," ponto")&amp;" sem peça para pagar",""),IF(AND($OA73&gt;0,AND($MQ73&gt;0,$OE73=0),$PB73=0),"Controle sem dano: uma rodada a mais e CD +2",""),IF(AND($OA73&gt;0,AND($MQ73&gt;0,$OE73=0),$PB73&gt;0,$PB73&lt;=$MQ73),"Controle com saldo até a Classe: uma rodada a mais",""),IF(AND($MQ73&gt;0,$OC73&lt;&gt;""),"Efeito de "&amp;$OC73&amp;" pela Classe "&amp;MAX(1,$MQ73-1),"")))</f>
        <v/>
      </c>
      <c r="PU73" s="155">
        <f>IF($PT73="",0,(LEN($PT73)-LEN(SUBSTITUTE($PT73," · ","")))/3+1)</f>
        <v/>
      </c>
      <c r="PV73" s="155">
        <f>IF($NB73=0,IF($OS73+COUNTIF($MZ73:$NA73,"?*")&gt;0,"Dê um nome",""),IF($PS73&gt;0,"⚠ "&amp;$PS73&amp;IF($PS73&gt;1," erros"," erro"),IF($PU73&gt;0,"! "&amp;$PU73&amp;IF($PU73&gt;1," avisos"," aviso"),"Na regra")))</f>
        <v/>
      </c>
      <c r="PW73" s="155">
        <f>IF($NB73=0,"",IF($PS73+$PU73=0,"Dentro das regras que a ficha confere",$PR73&amp;IF(AND($PS73&gt;0,$PU73&gt;0)," · ","")&amp;$PT73))</f>
        <v/>
      </c>
      <c r="PX73" s="155">
        <f>IF($MO73&gt;$NC73,$MP73&amp;" · ABRE NO NÍVEL "&amp;$MO73,$MP73)</f>
        <v/>
      </c>
      <c r="PY73" s="155">
        <f>IF($NB73=0,"",IF($MQ73=0,"Sem PE",3*$MQ73&amp;" PE"))</f>
        <v/>
      </c>
      <c r="PZ73" s="155">
        <f>IF($NB73=0,"",IF($MQ73=0,"A atuação básica dela",IF(COUNTIF($OI73:$OJ73,"Atrasar")&gt;0,"Sua Ação Completa",IF(COUNTIF($MV73:$MY73,"Rápido")&gt;0,"Sua Bônus",IF(COUNTIF($MV73:$MY73,"Reação")&gt;0,"Sua Reação","Sua Padrão")))&amp;" + a básica dela"&amp;IF(COUNTIF($MV73:$MY73,"Reação")&gt;0," e a coletiva","")&amp;IF(COUNTIF($OI73:$OJ73,"Carregar")&gt;0," · em dois turnos","")))</f>
        <v/>
      </c>
      <c r="QA73" s="155">
        <f>IF($MU73&lt;&gt;"",$MU73,IF($NH73=0,"",INDEX($AA$2:$AA$11,$NH73)))</f>
        <v/>
      </c>
      <c r="QB73" s="155">
        <f>IF(OR($NB73=0,$NH73=0),"",IF(COUNTIF($MV73:$MY73,"Inescapável")&gt;0,"Automático",IF($QA73="Ataque",IF($NF73="","Ataque","Ataque "&amp;IF(($NF73+2*IF(COUNTIF($MV73:$MY73,"Precisão")&gt;0,1,0))&gt;=0,"+","−")&amp;ABS(($NF73+2*IF(COUNTIF($MV73:$MY73,"Precisão")&gt;0,1,0))))&amp;IF($OB73&gt;0," · TR"&amp;IF($NG73="",""," CD "&amp;$NG73),""),IF(LEFT($QA73,2)="TR",$QA73&amp;IF($NG73="",""," · CD "&amp;$NG73)&amp;IF(COUNTIF($MV73:$MY73,"Certeiro")&gt;0," · metade",""),"Sem rolagem"))))</f>
        <v/>
      </c>
      <c r="QC73" s="155">
        <f>IF(OR($NB73=0,$NH73=0),"",IF($MQ73=0,IF(OR($OE73&gt;=1,$PB73=0),"Sem dano",$PB73&amp;"d6"&amp;IF($MT73="",""," "&amp;$MT73)),IF(OR($OE73&gt;=1,$PB73=0),UPPER(LEFT(INDEX($PK73:$PQ73,1,MAX(1,$MQ73)),1))&amp;MID(INDEX($PK73:$PQ73,1,MAX(1,$MQ73)),2,99),UPPER(LEFT(INDEX($PK73:$PQ73,1,MAX(1,$MQ73)),1))&amp;MID(INDEX($PK73:$PQ73,1,MAX(1,$MQ73)),2,99)&amp;IF($MT73="",""," "&amp;$MT73)&amp;IF($PC73&gt;0," · +"&amp;$PC73&amp;"d8",""))))</f>
        <v/>
      </c>
      <c r="QD73" s="155">
        <f>COUNTIF($MV73:$MY73,"Longe")+3*COUNTIF($MV73:$MY73,"Muito Longe")</f>
        <v/>
      </c>
      <c r="QE73" s="155">
        <f>COUNTIF($MV73:$MY73,"Maior")+3*COUNTIF($MV73:$MY73,"Muito Maior")</f>
        <v/>
      </c>
      <c r="QF73" s="155">
        <f>IF($NH73=0,0,CHOOSE(1+INDEX($AC$2:$AC$11,$NH73),0,$QD73,$QE73,$QD73+$QE73))</f>
        <v/>
      </c>
      <c r="QG73" s="155">
        <f>IF($NH73=0,0,CHOOSE(1+INDEX($AD$2:$AD$11,$NH73),0,$QD73,$QE73,$QD73+$QE73))</f>
        <v/>
      </c>
      <c r="QH73" s="155">
        <f>IF(OR($NB73=0,$NH73=0),"",INDEX($AI$2:$AN$41,($NH73-1)*4+IF($MQ73=0,1,IF($MQ73&lt;=5,2,IF($MQ73=6,3,4))),1+MIN(5,$QF73))&amp;INDEX($AO$2:$AT$41,($NH73-1)*4+IF($MQ73=0,1,IF($MQ73&lt;=5,2,IF($MQ73=6,3,4))),1+MIN(5,$QG73))&amp;IF(INDEX($AE$2:$AE$11,$NH73)=1,IF(COUNTIF($MV73:$MY73,"Mais Um")&gt;0," · +"&amp;COUNTIF($MV73:$MY73,"Mais Um")&amp;IF(COUNTIF($MV73:$MY73,"Mais Um")&gt;1," alvos"," alvo"),"")&amp;IF(COUNTIF($MV73:$MY73,"Rajada")&gt;0,IF($MQ73=0," · 1 tiro"," · "&amp;(MAX(1,$MQ73-1)+1)&amp;" tiros"),""),""))</f>
        <v/>
      </c>
      <c r="QI73" s="155">
        <f>IF($NB73=0,"",IF($MQ73=0,$NE73&amp;"d6"&amp;IF($OS73&gt;0," − 1 = "&amp;$PB73&amp;"d6"," da básica do nível "&amp;$NC73),$OZ73&amp;" − "&amp;$OU73&amp;" + "&amp;$OX73&amp;" = "&amp;$PA73&amp;" · teto "&amp;4*$MQ73&amp;"d8"&amp;IF($OD73=1," · a Forma devolve "&amp;$MQ73,"")&amp;IF($OY73&gt;0," · perde "&amp;$OY73,"")))</f>
        <v/>
      </c>
      <c r="QJ73" s="155">
        <f>IF($NB73=0,"",IF($MQ73=0,"A básica não amplia: os dados dela sobem com o nível",IF($MQ73&gt;=$ND73,"Já está na maior Classe que o nível liberou",TEXTJOIN(" · ",TRUE,IF(AND(2&gt;$MQ73,2&lt;=$ND73),"2 → "&amp;$PL73&amp;", 6 PE",""),IF(AND(3&gt;$MQ73,3&lt;=$ND73),"3 → "&amp;$PM73&amp;", 9 PE",""),IF(AND(4&gt;$MQ73,4&lt;=$ND73),"4 → "&amp;$PN73&amp;", 12 PE",""),IF(AND(5&gt;$MQ73,5&lt;=$ND73),"5 → "&amp;$PO73&amp;", 15 PE",""),IF(AND(6&gt;$MQ73,6&lt;=$ND73),"6 → "&amp;$PP73&amp;", 18 PE",""),IF(AND(7&gt;$MQ73,7&lt;=$ND73),"7 → "&amp;$PQ73&amp;", 21 PE","")))))</f>
        <v/>
      </c>
      <c r="QK73" s="155">
        <f>IF(OR($NB73=0,$NM73=0),"",IF($MQ73=0,"−1 dado","−"&amp;INDEX($I$2:$N$8,MAX(1,$MQ73),MAX(1,$NR73))&amp;" · "&amp;CHOOSE(MAX(1,$NR73),"Leve","Média","Pesada","Leve · Livre","Média · Livre","Pesada · Livre")))</f>
        <v/>
      </c>
      <c r="QL73" s="155">
        <f>IF(OR($NB73=0,$NN73=0),"",IF($MQ73=0,"−1 dado","−"&amp;INDEX($I$2:$N$8,MAX(1,$MQ73),MAX(1,$NS73))&amp;" · "&amp;CHOOSE(MAX(1,$NS73),"Leve","Média","Pesada","Leve · Livre","Média · Livre","Pesada · Livre")))</f>
        <v/>
      </c>
      <c r="QM73" s="155">
        <f>IF(OR($NB73=0,$NO73=0),"",IF($MQ73=0,"−1 dado","−"&amp;INDEX($I$2:$N$8,MAX(1,$MQ73),MAX(1,$NT73))&amp;" · "&amp;CHOOSE(MAX(1,$NT73),"Leve","Média","Pesada","Leve · Livre","Média · Livre","Pesada · Livre")))</f>
        <v/>
      </c>
      <c r="QN73" s="155">
        <f>IF(OR($NB73=0,$NP73=0),"",IF($MQ73=0,"−1 dado","−"&amp;INDEX($I$2:$N$8,MAX(1,$MQ73),MAX(1,$NU73))&amp;" · "&amp;CHOOSE(MAX(1,$NU73),"Leve","Média","Pesada","Leve · Livre","Média · Livre","Pesada · Livre")))</f>
        <v/>
      </c>
      <c r="QO73" s="155">
        <f>IF(OR($NB73=0,$MZ73=""),"",IF($MQ73=0,"não devolve","+"&amp;IF($OG73=1,CEILING($MQ73/2,1),$MQ73)))</f>
        <v/>
      </c>
      <c r="QP73" s="155">
        <f>IF(OR($NB73=0,$NA73=""),"",IF($MQ73=0,"não devolve","+"&amp;IF($OH73=1,CEILING($MQ73/2,1),$MQ73)))</f>
        <v/>
      </c>
    </row>
    <row r="74">
      <c r="AV74" s="153" t="inlineStr">
        <is>
          <t>Identificar Feitiço</t>
        </is>
      </c>
      <c r="AW74" s="153" t="inlineStr">
        <is>
          <t>Marca</t>
        </is>
      </c>
      <c r="AX74" s="155" t="n">
        <v>1</v>
      </c>
      <c r="AY74" s="155" t="n">
        <v>0</v>
      </c>
      <c r="AZ74" s="155" t="n">
        <v>0</v>
      </c>
      <c r="BA74" s="155" t="n">
        <v>0</v>
      </c>
      <c r="JR74" s="155">
        <f>IF(OR($AW74="",COUNTIF($EJ$2:$EN$2,$AW74)&gt;0),$AV74,"")</f>
        <v/>
      </c>
      <c r="JS74" s="155">
        <f>IF(AND($AX74=1,OR($AW74="",COUNTIF($EJ$2:$EN$2,$AW74)&gt;0)),$AV74,"")</f>
        <v/>
      </c>
      <c r="JX74" s="155">
        <f>IF(OR($AW74="",COUNTIF($EJ$3:$EN$3,$AW74)&gt;0),$AV74,"")</f>
        <v/>
      </c>
      <c r="JY74" s="155">
        <f>IF(AND($AX74=1,OR($AW74="",COUNTIF($EJ$3:$EN$3,$AW74)&gt;0)),$AV74,"")</f>
        <v/>
      </c>
      <c r="KD74" s="155">
        <f>IF(OR($AW74="",COUNTIF($EJ$4:$EN$4,$AW74)&gt;0),$AV74,"")</f>
        <v/>
      </c>
      <c r="KE74" s="155">
        <f>IF(AND($AX74=1,OR($AW74="",COUNTIF($EJ$4:$EN$4,$AW74)&gt;0)),$AV74,"")</f>
        <v/>
      </c>
      <c r="KJ74" s="155">
        <f>IF(OR($AW74="",COUNTIF($EJ$5:$EN$5,$AW74)&gt;0),$AV74,"")</f>
        <v/>
      </c>
      <c r="KK74" s="155">
        <f>IF(AND($AX74=1,OR($AW74="",COUNTIF($EJ$5:$EN$5,$AW74)&gt;0)),$AV74,"")</f>
        <v/>
      </c>
      <c r="KP74" s="155">
        <f>IF(OR($AW74="",COUNTIF($EJ$6:$EN$6,$AW74)&gt;0),$AV74,"")</f>
        <v/>
      </c>
      <c r="KQ74" s="155">
        <f>IF(AND($AX74=1,OR($AW74="",COUNTIF($EJ$6:$EN$6,$AW74)&gt;0)),$AV74,"")</f>
        <v/>
      </c>
      <c r="KV74" s="155">
        <f>IF(OR($AW74="",COUNTIF($EJ$7:$EN$7,$AW74)&gt;0),$AV74,"")</f>
        <v/>
      </c>
      <c r="KW74" s="155">
        <f>IF(AND($AX74=1,OR($AW74="",COUNTIF($EJ$7:$EN$7,$AW74)&gt;0)),$AV74,"")</f>
        <v/>
      </c>
      <c r="LB74" s="155">
        <f>IF(OR($AW74="",COUNTIF($EJ$8:$EN$8,$AW74)&gt;0),$AV74,"")</f>
        <v/>
      </c>
      <c r="LC74" s="155">
        <f>IF(AND($AX74=1,OR($AW74="",COUNTIF($EJ$8:$EN$8,$AW74)&gt;0)),$AV74,"")</f>
        <v/>
      </c>
      <c r="LH74" s="155">
        <f>IF(OR($AW74="",COUNTIF($EJ$9:$EN$9,$AW74)&gt;0),$AV74,"")</f>
        <v/>
      </c>
      <c r="LI74" s="155">
        <f>IF(AND($AX74=1,OR($AW74="",COUNTIF($EJ$9:$EN$9,$AW74)&gt;0)),$AV74,"")</f>
        <v/>
      </c>
      <c r="LN74" s="155">
        <f>IF(OR($AW74="",COUNTIF($EJ$10:$EN$10,$AW74)&gt;0),$AV74,"")</f>
        <v/>
      </c>
      <c r="LO74" s="155">
        <f>IF(AND($AX74=1,OR($AW74="",COUNTIF($EJ$10:$EN$10,$AW74)&gt;0)),$AV74,"")</f>
        <v/>
      </c>
      <c r="LT74" s="155">
        <f>IF(OR($AW74="",COUNTIF($EJ$11:$EN$11,$AW74)&gt;0),$AV74,"")</f>
        <v/>
      </c>
      <c r="LU74" s="155">
        <f>IF(AND($AX74=1,OR($AW74="",COUNTIF($EJ$11:$EN$11,$AW74)&gt;0)),$AV74,"")</f>
        <v/>
      </c>
      <c r="LZ74" s="155">
        <f>IF(OR($AW74="",COUNTIF($EJ$12:$EN$12,$AW74)&gt;0),$AV74,"")</f>
        <v/>
      </c>
      <c r="MA74" s="155">
        <f>IF(AND($AX74=1,OR($AW74="",COUNTIF($EJ$12:$EN$12,$AW74)&gt;0)),$AV74,"")</f>
        <v/>
      </c>
      <c r="MF74" s="155">
        <f>IF(OR($AW74="",COUNTIF($EJ$13:$EN$13,$AW74)&gt;0),$AV74,"")</f>
        <v/>
      </c>
      <c r="MG74" s="155">
        <f>IF(AND($AX74=1,OR($AW74="",COUNTIF($EJ$13:$EN$13,$AW74)&gt;0)),$AV74,"")</f>
        <v/>
      </c>
      <c r="ML74" s="153" t="inlineStr">
        <is>
          <t>Ficha 6 · Especial 6</t>
        </is>
      </c>
      <c r="MM74" s="155" t="n">
        <v>6</v>
      </c>
      <c r="MN74" s="155" t="n">
        <v>1</v>
      </c>
      <c r="MO74" s="155" t="n">
        <v>20</v>
      </c>
      <c r="MP74" s="153" t="inlineStr">
        <is>
          <t>ESPECIAL 6</t>
        </is>
      </c>
      <c r="MQ74" s="155">
        <f>MAX(1,MIN(7,N('INVOCAÇÕES'!$O$1104)))</f>
        <v/>
      </c>
      <c r="MR74" s="155">
        <f>'INVOCAÇÕES'!$P$1104&amp;""</f>
        <v/>
      </c>
      <c r="MS74" s="155">
        <f>'INVOCAÇÕES'!$O$1109&amp;""</f>
        <v/>
      </c>
      <c r="MT74" s="155">
        <f>'INVOCAÇÕES'!$O$1110&amp;""</f>
        <v/>
      </c>
      <c r="MU74" s="155">
        <f>'INVOCAÇÕES'!$Q$1110&amp;""</f>
        <v/>
      </c>
      <c r="MV74" s="155">
        <f>'INVOCAÇÕES'!$P$1113&amp;""</f>
        <v/>
      </c>
      <c r="MW74" s="155">
        <f>'INVOCAÇÕES'!$P$1114&amp;""</f>
        <v/>
      </c>
      <c r="MX74" s="155">
        <f>'INVOCAÇÕES'!$P$1115&amp;""</f>
        <v/>
      </c>
      <c r="MY74" s="155">
        <f>'INVOCAÇÕES'!$P$1116&amp;""</f>
        <v/>
      </c>
      <c r="MZ74" s="155">
        <f>'INVOCAÇÕES'!$P$1117&amp;""</f>
        <v/>
      </c>
      <c r="NA74" s="155">
        <f>'INVOCAÇÕES'!$P$1118&amp;""</f>
        <v/>
      </c>
      <c r="NB74" s="155">
        <f>IF($MR74&lt;&gt;"",1,0)</f>
        <v/>
      </c>
      <c r="NC74" s="155">
        <f>INDEX($FM$2:$FM$13,$MM74)</f>
        <v/>
      </c>
      <c r="ND74" s="155">
        <f>INDEX($FN$2:$FN$13,$MM74)</f>
        <v/>
      </c>
      <c r="NE74" s="155">
        <f>INDEX($FO$2:$FO$13,$MM74)</f>
        <v/>
      </c>
      <c r="NF74" s="155">
        <f>INDEX($FZ$2:$FZ$13,$MM74)</f>
        <v/>
      </c>
      <c r="NG74" s="155">
        <f>INDEX($GA$2:$GA$13,$MM74)</f>
        <v/>
      </c>
      <c r="NH74" s="155">
        <f>IFERROR(MATCH($MS74,$V$2:$V$11,0),0)</f>
        <v/>
      </c>
      <c r="NI74" s="155">
        <f>IFERROR(VLOOKUP($MV74,$AV$2:$BA$84,2,FALSE),"")</f>
        <v/>
      </c>
      <c r="NJ74" s="155">
        <f>IFERROR(VLOOKUP($MW74,$AV$2:$BA$84,2,FALSE),"")</f>
        <v/>
      </c>
      <c r="NK74" s="155">
        <f>IFERROR(VLOOKUP($MX74,$AV$2:$BA$84,2,FALSE),"")</f>
        <v/>
      </c>
      <c r="NL74" s="155">
        <f>IFERROR(VLOOKUP($MY74,$AV$2:$BA$84,2,FALSE),"")</f>
        <v/>
      </c>
      <c r="NM74" s="155">
        <f>IFERROR(VLOOKUP($MV74,$AV$2:$BA$84,3,FALSE),0)</f>
        <v/>
      </c>
      <c r="NN74" s="155">
        <f>IFERROR(VLOOKUP($MW74,$AV$2:$BA$84,3,FALSE),0)</f>
        <v/>
      </c>
      <c r="NO74" s="155">
        <f>IFERROR(VLOOKUP($MX74,$AV$2:$BA$84,3,FALSE),0)</f>
        <v/>
      </c>
      <c r="NP74" s="155">
        <f>IFERROR(VLOOKUP($MY74,$AV$2:$BA$84,3,FALSE),0)</f>
        <v/>
      </c>
      <c r="NQ74" s="155">
        <f>IF($MQ74=0,0,IF($NH74=0,0,INDEX($X$2:$X$11,$NH74)))</f>
        <v/>
      </c>
      <c r="NR74" s="155">
        <f>IF(OR($NM74=0,$MQ74=0),0,$NM74+3*IF(AND($NI74&lt;&gt;"",OR($NI74=INDEX($EJ$2:$EJ$13,$MM74),$NI74=INDEX($EK$2:$EK$13,$MM74))),1,0))</f>
        <v/>
      </c>
      <c r="NS74" s="155">
        <f>IF(OR($NN74=0,$MQ74=0),0,$NN74+3*IF(AND($NJ74&lt;&gt;"",OR($NJ74=INDEX($EJ$2:$EJ$13,$MM74),$NJ74=INDEX($EK$2:$EK$13,$MM74))),1,0))</f>
        <v/>
      </c>
      <c r="NT74" s="155">
        <f>IF(OR($NO74=0,$MQ74=0),0,$NO74+3*IF(AND($NK74&lt;&gt;"",OR($NK74=INDEX($EJ$2:$EJ$13,$MM74),$NK74=INDEX($EK$2:$EK$13,$MM74))),1,0))</f>
        <v/>
      </c>
      <c r="NU74" s="155">
        <f>IF(OR($NP74=0,$MQ74=0),0,$NP74+3*IF(AND($NL74&lt;&gt;"",OR($NL74=INDEX($EJ$2:$EJ$13,$MM74),$NL74=INDEX($EK$2:$EK$13,$MM74))),1,0))</f>
        <v/>
      </c>
      <c r="NV74" s="155">
        <f>IF($NH74=0,0,IF(INDEX($W$2:$W$11,$NH74)="",0,IF(COUNTIF(INDEX($EJ$2:$EN$13,$MM74,0),INDEX($W$2:$W$11,$NH74))=0,1,0)))</f>
        <v/>
      </c>
      <c r="NW74" s="155">
        <f>IF(OR($NM74=0,$NI74=""),0,IF(COUNTIF(INDEX($EJ$2:$EN$13,$MM74,0),$NI74)=0,1,0))</f>
        <v/>
      </c>
      <c r="NX74" s="155">
        <f>IF(OR($NN74=0,$NJ74=""),0,IF(COUNTIF(INDEX($EJ$2:$EN$13,$MM74,0),$NJ74)=0,1,0))</f>
        <v/>
      </c>
      <c r="NY74" s="155">
        <f>IF(OR($NO74=0,$NK74=""),0,IF(COUNTIF(INDEX($EJ$2:$EN$13,$MM74,0),$NK74)=0,1,0))</f>
        <v/>
      </c>
      <c r="NZ74" s="155">
        <f>IF(OR($NP74=0,$NL74=""),0,IF(COUNTIF(INDEX($EJ$2:$EN$13,$MM74,0),$NL74)=0,1,0))</f>
        <v/>
      </c>
      <c r="OA74" s="155">
        <f>IFERROR(VLOOKUP($MV74,$AV$2:$BA$84,4,FALSE),0)+IFERROR(VLOOKUP($MW74,$AV$2:$BA$84,4,FALSE),0)+IFERROR(VLOOKUP($MX74,$AV$2:$BA$84,4,FALSE),0)+IFERROR(VLOOKUP($MY74,$AV$2:$BA$84,4,FALSE),0)</f>
        <v/>
      </c>
      <c r="OB74" s="155">
        <f>IFERROR(VLOOKUP($MV74,$AV$2:$BA$84,6,FALSE),0)+IFERROR(VLOOKUP($MW74,$AV$2:$BA$84,6,FALSE),0)+IFERROR(VLOOKUP($MX74,$AV$2:$BA$84,6,FALSE),0)+IFERROR(VLOOKUP($MY74,$AV$2:$BA$84,6,FALSE),0)</f>
        <v/>
      </c>
      <c r="OC74" s="155">
        <f>TEXTJOIN(", ",TRUE,IF(IFERROR(VLOOKUP($MV74,$AV$2:$BA$84,5,FALSE),0)=1,$MV74,""),IF(IFERROR(VLOOKUP($MW74,$AV$2:$BA$84,5,FALSE),0)=1,$MW74,""),IF(IFERROR(VLOOKUP($MX74,$AV$2:$BA$84,5,FALSE),0)=1,$MX74,""),IF(IFERROR(VLOOKUP($MY74,$AV$2:$BA$84,5,FALSE),0)=1,$MY74,""))</f>
        <v/>
      </c>
      <c r="OD74" s="155">
        <f>IF($NH74=0,0,INDEX($Y$2:$Y$11,$NH74))</f>
        <v/>
      </c>
      <c r="OE74" s="155">
        <f>IF($NH74=0,0,INDEX($Z$2:$Z$11,$NH74))</f>
        <v/>
      </c>
      <c r="OF74" s="155">
        <f>IF($NH74=0,0,INDEX($AB$2:$AB$11,$NH74))</f>
        <v/>
      </c>
      <c r="OG74" s="155">
        <f>IFERROR(VLOOKUP($MZ74,$BC$2:$BG$24,3,FALSE),0)</f>
        <v/>
      </c>
      <c r="OH74" s="155">
        <f>IFERROR(VLOOKUP($NA74,$BC$2:$BG$24,3,FALSE),0)</f>
        <v/>
      </c>
      <c r="OI74" s="155">
        <f>IFERROR(VLOOKUP($MZ74,$BC$2:$BG$24,2,FALSE),"")</f>
        <v/>
      </c>
      <c r="OJ74" s="155">
        <f>IFERROR(VLOOKUP($NA74,$BC$2:$BG$24,2,FALSE),"")</f>
        <v/>
      </c>
      <c r="OK74" s="155">
        <f>COUNTIF($NQ74:$NU74,1)</f>
        <v/>
      </c>
      <c r="OL74" s="155">
        <f>COUNTIF($NQ74:$NU74,2)</f>
        <v/>
      </c>
      <c r="OM74" s="155">
        <f>COUNTIF($NQ74:$NU74,3)</f>
        <v/>
      </c>
      <c r="ON74" s="155">
        <f>COUNTIF($NQ74:$NU74,4)</f>
        <v/>
      </c>
      <c r="OO74" s="155">
        <f>COUNTIF($NQ74:$NU74,5)</f>
        <v/>
      </c>
      <c r="OP74" s="155">
        <f>COUNTIF($NQ74:$NU74,6)</f>
        <v/>
      </c>
      <c r="OQ74" s="155">
        <f>COUNTIF($OG74:$OH74,1)</f>
        <v/>
      </c>
      <c r="OR74" s="155">
        <f>COUNTIF($OG74:$OH74,2)+$OD74</f>
        <v/>
      </c>
      <c r="OS74" s="155">
        <f>COUNTIF($MV74:$MY74,"?*")</f>
        <v/>
      </c>
      <c r="OT74" s="155">
        <f>COUNTIF($MZ74:$NA74,"?*")+$OD74</f>
        <v/>
      </c>
      <c r="OU74" s="155">
        <f>IF($MQ74=0,0,SUMPRODUCT($OK74:$OP74,INDEX($I$2:$N$8,MAX(1,$MQ74),0)))</f>
        <v/>
      </c>
      <c r="OV74" s="155">
        <f>IF($MQ74=0,0,$OQ74*CEILING($MQ74/2,1)+$OR74*$MQ74)</f>
        <v/>
      </c>
      <c r="OW74" s="155">
        <f>MIN(2*$MQ74,$OV74)</f>
        <v/>
      </c>
      <c r="OX74" s="155">
        <f>MIN($OW74,$OU74)</f>
        <v/>
      </c>
      <c r="OY74" s="155">
        <f>$OW74-$OX74</f>
        <v/>
      </c>
      <c r="OZ74" s="155">
        <f>IF($MQ74=0,0,INDEX($P$2:$P$8,MAX(1,$MQ74)))</f>
        <v/>
      </c>
      <c r="PA74" s="155">
        <f>$OZ74-$OU74+$OX74</f>
        <v/>
      </c>
      <c r="PB74" s="155">
        <f>IF($MQ74=0,MAX(0,$NE74-IF($OS74&gt;0,1,0)),MAX(0,$PA74))</f>
        <v/>
      </c>
      <c r="PC74" s="155">
        <f>IF($MQ74=0,0,(IF(COUNTIF($MV74:$MY74,"Salto")&gt;0,1,0)+IF(COUNTIF($MV74:$MY74,"Queima")&gt;0,1,0)+IF(COUNTIF($MV74:$MY74,"Estilhaço")&gt;0,1,0))*FLOOR($PB74/2,1))</f>
        <v/>
      </c>
      <c r="PD74" s="155">
        <f>MAX(0,2-SUMPRODUCT($OK74:$OP74,$I$2:$N$2)+MIN(2,$OQ74*1+$OR74*1,SUMPRODUCT($OK74:$OP74,$I$2:$N$2)))</f>
        <v/>
      </c>
      <c r="PE74" s="155">
        <f>MAX(0,4-SUMPRODUCT($OK74:$OP74,$I$3:$N$3)+MIN(4,$OQ74*1+$OR74*2,SUMPRODUCT($OK74:$OP74,$I$3:$N$3)))</f>
        <v/>
      </c>
      <c r="PF74" s="155">
        <f>MAX(0,6-SUMPRODUCT($OK74:$OP74,$I$4:$N$4)+MIN(6,$OQ74*2+$OR74*3,SUMPRODUCT($OK74:$OP74,$I$4:$N$4)))</f>
        <v/>
      </c>
      <c r="PG74" s="155">
        <f>MAX(0,9-SUMPRODUCT($OK74:$OP74,$I$5:$N$5)+MIN(8,$OQ74*2+$OR74*4,SUMPRODUCT($OK74:$OP74,$I$5:$N$5)))</f>
        <v/>
      </c>
      <c r="PH74" s="155">
        <f>MAX(0,11-SUMPRODUCT($OK74:$OP74,$I$6:$N$6)+MIN(10,$OQ74*3+$OR74*5,SUMPRODUCT($OK74:$OP74,$I$6:$N$6)))</f>
        <v/>
      </c>
      <c r="PI74" s="155">
        <f>MAX(0,13-SUMPRODUCT($OK74:$OP74,$I$7:$N$7)+MIN(12,$OQ74*3+$OR74*6,SUMPRODUCT($OK74:$OP74,$I$7:$N$7)))</f>
        <v/>
      </c>
      <c r="PJ74" s="155">
        <f>MAX(0,16-SUMPRODUCT($OK74:$OP74,$I$8:$N$8)+MIN(14,$OQ74*4+$OR74*7,SUMPRODUCT($OK74:$OP74,$I$8:$N$8)))</f>
        <v/>
      </c>
      <c r="PK74" s="155">
        <f>IF($OE74=2,3*$PD74&amp;" de vida temp.",IF($OE74=3,"sem dano",IF($PD74=0,IF($OE74=1,"sem cura","sem dano"),IF($OE74=1,"cura ","")&amp;$PD74&amp;"d8")))</f>
        <v/>
      </c>
      <c r="PL74" s="155">
        <f>IF($OE74=2,3*$PE74&amp;" de vida temp.",IF($OE74=3,"sem dano",IF($PE74=0,IF($OE74=1,"sem cura","sem dano"),IF($OE74=1,"cura ","")&amp;$PE74&amp;"d8")))</f>
        <v/>
      </c>
      <c r="PM74" s="155">
        <f>IF($OE74=2,3*$PF74&amp;" de vida temp.",IF($OE74=3,"sem dano",IF($PF74=0,IF($OE74=1,"sem cura","sem dano"),IF($OE74=1,"cura ","")&amp;$PF74&amp;"d8")))</f>
        <v/>
      </c>
      <c r="PN74" s="155">
        <f>IF($OE74=2,3*$PG74&amp;" de vida temp.",IF($OE74=3,"sem dano",IF($PG74=0,IF($OE74=1,"sem cura","sem dano"),IF($OE74=1,"cura ","")&amp;$PG74&amp;"d8")))</f>
        <v/>
      </c>
      <c r="PO74" s="155">
        <f>IF($OE74=2,3*$PH74&amp;" de vida temp.",IF($OE74=3,"sem dano",IF($PH74=0,IF($OE74=1,"sem cura","sem dano"),IF($OE74=1,"cura ","")&amp;$PH74&amp;"d8")))</f>
        <v/>
      </c>
      <c r="PP74" s="155">
        <f>IF($OE74=2,3*$PI74&amp;" de vida temp.",IF($OE74=3,"sem dano",IF($PI74=0,IF($OE74=1,"sem cura","sem dano"),IF($OE74=1,"cura ","")&amp;$PI74&amp;"d8")))</f>
        <v/>
      </c>
      <c r="PQ74" s="155">
        <f>IF($OE74=2,3*$PJ74&amp;" de vida temp.",IF($OE74=3,"sem dano",IF($PJ74=0,IF($OE74=1,"sem cura","sem dano"),IF($OE74=1,"cura ","")&amp;$PJ74&amp;"d8")))</f>
        <v/>
      </c>
      <c r="PR74" s="155">
        <f>IF($NB74=0,"",TEXTJOIN(" · ",TRUE,IF($MO74&gt;$NC74,"Este lugar abre no nível "&amp;$MO74,""),IF($MQ74&gt;$ND74,"Classe "&amp;$MQ74&amp;": o nível "&amp;$NC74&amp;" libera até a "&amp;$ND74,""),IF($NV74=1,"A Forma "&amp;$MS74&amp;" pede "&amp;INDEX($W$2:$W$11,$NH74)&amp;" aberta",""),IF(AND($MQ74=0,$NH74&gt;0,IF($NH74=0,0,INDEX($AF$2:$AF$11,$NH74))=0),$MS74&amp;" não existe na Classe 0",""),IF($NW74=1,"Família Fechada: "&amp;$MV74,""),IF($NX74=1,"Família Fechada: "&amp;$MW74,""),IF($NY74=1,"Família Fechada: "&amp;$MX74,""),IF($NZ74=1,"Família Fechada: "&amp;$MY74,""),IF(AND($MQ74&gt;0,$OS74&gt;INDEX($O$2:$O$8,MAX(1,$MQ74))),$OS74&amp;" Melhorias: a Classe "&amp;$MQ74&amp;" aceita "&amp;INDEX($O$2:$O$8,MAX(1,$MQ74)),""),IF(AND($MQ74=0,$OS74&gt;1),"A básica aceita uma Melhoria",""),IF(AND($MQ74=0,COUNTIF($NM74:$NP74,"&gt;1")&gt;0),"A básica só aceita Melhoria Leve",""),IF(AND($MQ74&gt;0,$OT74&gt;2),$OT74&amp;" Restrições"&amp;IF($OD74=1,", contando a que a Forma "&amp;$MS74&amp;" já traz","")&amp;": o limite é 2",""),IF(AND($MQ74=0,COUNTIF($MZ74:$NA74,"?*")&gt;1),"A básica aceita uma Restrição Leve",""),IF(AND($MQ74=0,COUNTIF($OG74:$OH74,2)&gt;0),"A básica só aceita Restrição Leve",""),IF(AND($MQ74&gt;0,$PA74&lt;0),"Orçamento estourado: faltam "&amp;(-$PA74)&amp;IF($PA74&lt;-1," pontos"," ponto"),""),IF(IFERROR(VLOOKUP($MZ74,$BC$2:$BG$24,4,FALSE),0)+IFERROR(VLOOKUP($NA74,$BC$2:$BG$24,4,FALSE),0)&gt;1,$OI74&amp;" e "&amp;$OJ74&amp;" são as duas de frequência",""),IF(AND((COUNTIF($MV74:$MY74,"Rápido")+COUNTIF($OI74:$OJ74,"Rápido"))&gt;0,(COUNTIF($MV74:$MY74,"Atrasar")+COUNTIF($OI74:$OJ74,"Atrasar"))&gt;0),"Rápido não entra com Atrasar",""),IF(AND((COUNTIF($MV74:$MY74,"Reação")+COUNTIF($OI74:$OJ74,"Reação"))&gt;0,(COUNTIF($MV74:$MY74,"Rápido")+COUNTIF($OI74:$OJ74,"Rápido"))&gt;0),"Reação não entra com Rápido",""),IF(AND((COUNTIF($MV74:$MY74,"Reação")+COUNTIF($OI74:$OJ74,"Reação"))&gt;0,(COUNTIF($MV74:$MY74,"Armado")+COUNTIF($OI74:$OJ74,"Armado"))&gt;0),"Reação não entra com Armado",""),IF(AND((COUNTIF($MV74:$MY74,"Reação")+COUNTIF($OI74:$OJ74,"Reação"))&gt;0,(COUNTIF($MV74:$MY74,"Atrasar")+COUNTIF($OI74:$OJ74,"Atrasar"))&gt;0),"Reação não entra com Atrasar",""),IF(AND((COUNTIF($MV74:$MY74,"Reação")+COUNTIF($OI74:$OJ74,"Reação"))&gt;0,(COUNTIF($MV74:$MY74,"Parado")+COUNTIF($OI74:$OJ74,"Parado"))&gt;0),"Reação não entra com Parado",""),IF(AND((COUNTIF($MV74:$MY74,"Atrasar")+COUNTIF($OI74:$OJ74,"Atrasar"))&gt;0,(COUNTIF($MV74:$MY74,"Parado")+COUNTIF($OI74:$OJ74,"Parado"))&gt;0),"Atrasar não entra com Parado",""),IF(AND((COUNTIF($MV74:$MY74,"Armado")+COUNTIF($OI74:$OJ74,"Armado"))&gt;0,(COUNTIF($MV74:$MY74,"Carregar")+COUNTIF($OI74:$OJ74,"Carregar"))&gt;0),"Armado não entra com Carregar",""),IF(AND(COUNTIF($OI74:$OJ74,"Corpo a Corpo")&gt;0,$OD74=0,OR($MS74="Cone",$MS74="Linha")),"Corpo a Corpo não entra em "&amp;$MS74,""),IF(AND(COUNTIF($OI74:$OJ74,"Corpo a Corpo")&gt;0,$OD74=1),"A Forma "&amp;$MS74&amp;" já traz o Corpo a Corpo",""),IF(AND(COUNTIF($OI74:$OJ74,"Tudo ou Nada")&gt;0,$OF74=0),"Tudo ou Nada só entra em habilidade de Teste de Resistência",""),IF(AND(COUNTIF($MV74:$MY74,"Inescapável")&gt;0,OR($OS74&gt;1,$OT74&gt;0)),"Inescapável não aceita outra peça",""),IF(AND($MQ74&gt;0,$PB74*IF(COUNTIF($MV74:$MY74,"Remate")&gt;0,1.25,1)+$PC74&gt;4*$MQ74),($PB74*IF(COUNTIF($MV74:$MY74,"Remate")&gt;0,1.25,1)+$PC74)&amp;" dados somando repetições"&amp;IF(COUNTIF($MV74:$MY74,"Remate")&gt;0," e o Remate","")&amp;": o teto da Classe "&amp;$MQ74&amp;" é "&amp;4*$MQ74,"")))</f>
        <v/>
      </c>
      <c r="PS74" s="155">
        <f>IF($PR74="",0,(LEN($PR74)-LEN(SUBSTITUTE($PR74," · ","")))/3+1)</f>
        <v/>
      </c>
      <c r="PT74" s="155">
        <f>IF($NB74=0,"",TEXTJOIN(" · ",TRUE,IF($OV74&gt;2*$MQ74,"A devolução parou no teto de "&amp;2*$MQ74,""),IF($OY74&gt;0,"Devolução perdida: "&amp;$OY74&amp;IF($OY74&gt;1," pontos"," ponto")&amp;" sem peça para pagar",""),IF(AND($OA74&gt;0,AND($MQ74&gt;0,$OE74=0),$PB74=0),"Controle sem dano: uma rodada a mais e CD +2",""),IF(AND($OA74&gt;0,AND($MQ74&gt;0,$OE74=0),$PB74&gt;0,$PB74&lt;=$MQ74),"Controle com saldo até a Classe: uma rodada a mais",""),IF(AND($MQ74&gt;0,$OC74&lt;&gt;""),"Efeito de "&amp;$OC74&amp;" pela Classe "&amp;MAX(1,$MQ74-1),"")))</f>
        <v/>
      </c>
      <c r="PU74" s="155">
        <f>IF($PT74="",0,(LEN($PT74)-LEN(SUBSTITUTE($PT74," · ","")))/3+1)</f>
        <v/>
      </c>
      <c r="PV74" s="155">
        <f>IF($NB74=0,IF($OS74+COUNTIF($MZ74:$NA74,"?*")&gt;0,"Dê um nome",""),IF($PS74&gt;0,"⚠ "&amp;$PS74&amp;IF($PS74&gt;1," erros"," erro"),IF($PU74&gt;0,"! "&amp;$PU74&amp;IF($PU74&gt;1," avisos"," aviso"),"Na regra")))</f>
        <v/>
      </c>
      <c r="PW74" s="155">
        <f>IF($NB74=0,"",IF($PS74+$PU74=0,"Dentro das regras que a ficha confere",$PR74&amp;IF(AND($PS74&gt;0,$PU74&gt;0)," · ","")&amp;$PT74))</f>
        <v/>
      </c>
      <c r="PX74" s="155">
        <f>IF($MO74&gt;$NC74,$MP74&amp;" · ABRE NO NÍVEL "&amp;$MO74,$MP74)</f>
        <v/>
      </c>
      <c r="PY74" s="155">
        <f>IF($NB74=0,"",IF($MQ74=0,"Sem PE",3*$MQ74&amp;" PE"))</f>
        <v/>
      </c>
      <c r="PZ74" s="155">
        <f>IF($NB74=0,"",IF($MQ74=0,"A atuação básica dela",IF(COUNTIF($OI74:$OJ74,"Atrasar")&gt;0,"Sua Ação Completa",IF(COUNTIF($MV74:$MY74,"Rápido")&gt;0,"Sua Bônus",IF(COUNTIF($MV74:$MY74,"Reação")&gt;0,"Sua Reação","Sua Padrão")))&amp;" + a básica dela"&amp;IF(COUNTIF($MV74:$MY74,"Reação")&gt;0," e a coletiva","")&amp;IF(COUNTIF($OI74:$OJ74,"Carregar")&gt;0," · em dois turnos","")))</f>
        <v/>
      </c>
      <c r="QA74" s="155">
        <f>IF($MU74&lt;&gt;"",$MU74,IF($NH74=0,"",INDEX($AA$2:$AA$11,$NH74)))</f>
        <v/>
      </c>
      <c r="QB74" s="155">
        <f>IF(OR($NB74=0,$NH74=0),"",IF(COUNTIF($MV74:$MY74,"Inescapável")&gt;0,"Automático",IF($QA74="Ataque",IF($NF74="","Ataque","Ataque "&amp;IF(($NF74+2*IF(COUNTIF($MV74:$MY74,"Precisão")&gt;0,1,0))&gt;=0,"+","−")&amp;ABS(($NF74+2*IF(COUNTIF($MV74:$MY74,"Precisão")&gt;0,1,0))))&amp;IF($OB74&gt;0," · TR"&amp;IF($NG74="",""," CD "&amp;$NG74),""),IF(LEFT($QA74,2)="TR",$QA74&amp;IF($NG74="",""," · CD "&amp;$NG74)&amp;IF(COUNTIF($MV74:$MY74,"Certeiro")&gt;0," · metade",""),"Sem rolagem"))))</f>
        <v/>
      </c>
      <c r="QC74" s="155">
        <f>IF(OR($NB74=0,$NH74=0),"",IF($MQ74=0,IF(OR($OE74&gt;=1,$PB74=0),"Sem dano",$PB74&amp;"d6"&amp;IF($MT74="",""," "&amp;$MT74)),IF(OR($OE74&gt;=1,$PB74=0),UPPER(LEFT(INDEX($PK74:$PQ74,1,MAX(1,$MQ74)),1))&amp;MID(INDEX($PK74:$PQ74,1,MAX(1,$MQ74)),2,99),UPPER(LEFT(INDEX($PK74:$PQ74,1,MAX(1,$MQ74)),1))&amp;MID(INDEX($PK74:$PQ74,1,MAX(1,$MQ74)),2,99)&amp;IF($MT74="",""," "&amp;$MT74)&amp;IF($PC74&gt;0," · +"&amp;$PC74&amp;"d8",""))))</f>
        <v/>
      </c>
      <c r="QD74" s="155">
        <f>COUNTIF($MV74:$MY74,"Longe")+3*COUNTIF($MV74:$MY74,"Muito Longe")</f>
        <v/>
      </c>
      <c r="QE74" s="155">
        <f>COUNTIF($MV74:$MY74,"Maior")+3*COUNTIF($MV74:$MY74,"Muito Maior")</f>
        <v/>
      </c>
      <c r="QF74" s="155">
        <f>IF($NH74=0,0,CHOOSE(1+INDEX($AC$2:$AC$11,$NH74),0,$QD74,$QE74,$QD74+$QE74))</f>
        <v/>
      </c>
      <c r="QG74" s="155">
        <f>IF($NH74=0,0,CHOOSE(1+INDEX($AD$2:$AD$11,$NH74),0,$QD74,$QE74,$QD74+$QE74))</f>
        <v/>
      </c>
      <c r="QH74" s="155">
        <f>IF(OR($NB74=0,$NH74=0),"",INDEX($AI$2:$AN$41,($NH74-1)*4+IF($MQ74=0,1,IF($MQ74&lt;=5,2,IF($MQ74=6,3,4))),1+MIN(5,$QF74))&amp;INDEX($AO$2:$AT$41,($NH74-1)*4+IF($MQ74=0,1,IF($MQ74&lt;=5,2,IF($MQ74=6,3,4))),1+MIN(5,$QG74))&amp;IF(INDEX($AE$2:$AE$11,$NH74)=1,IF(COUNTIF($MV74:$MY74,"Mais Um")&gt;0," · +"&amp;COUNTIF($MV74:$MY74,"Mais Um")&amp;IF(COUNTIF($MV74:$MY74,"Mais Um")&gt;1," alvos"," alvo"),"")&amp;IF(COUNTIF($MV74:$MY74,"Rajada")&gt;0,IF($MQ74=0," · 1 tiro"," · "&amp;(MAX(1,$MQ74-1)+1)&amp;" tiros"),""),""))</f>
        <v/>
      </c>
      <c r="QI74" s="155">
        <f>IF($NB74=0,"",IF($MQ74=0,$NE74&amp;"d6"&amp;IF($OS74&gt;0," − 1 = "&amp;$PB74&amp;"d6"," da básica do nível "&amp;$NC74),$OZ74&amp;" − "&amp;$OU74&amp;" + "&amp;$OX74&amp;" = "&amp;$PA74&amp;" · teto "&amp;4*$MQ74&amp;"d8"&amp;IF($OD74=1," · a Forma devolve "&amp;$MQ74,"")&amp;IF($OY74&gt;0," · perde "&amp;$OY74,"")))</f>
        <v/>
      </c>
      <c r="QJ74" s="155">
        <f>IF($NB74=0,"",IF($MQ74=0,"A básica não amplia: os dados dela sobem com o nível",IF($MQ74&gt;=$ND74,"Já está na maior Classe que o nível liberou",TEXTJOIN(" · ",TRUE,IF(AND(2&gt;$MQ74,2&lt;=$ND74),"2 → "&amp;$PL74&amp;", 6 PE",""),IF(AND(3&gt;$MQ74,3&lt;=$ND74),"3 → "&amp;$PM74&amp;", 9 PE",""),IF(AND(4&gt;$MQ74,4&lt;=$ND74),"4 → "&amp;$PN74&amp;", 12 PE",""),IF(AND(5&gt;$MQ74,5&lt;=$ND74),"5 → "&amp;$PO74&amp;", 15 PE",""),IF(AND(6&gt;$MQ74,6&lt;=$ND74),"6 → "&amp;$PP74&amp;", 18 PE",""),IF(AND(7&gt;$MQ74,7&lt;=$ND74),"7 → "&amp;$PQ74&amp;", 21 PE","")))))</f>
        <v/>
      </c>
      <c r="QK74" s="155">
        <f>IF(OR($NB74=0,$NM74=0),"",IF($MQ74=0,"−1 dado","−"&amp;INDEX($I$2:$N$8,MAX(1,$MQ74),MAX(1,$NR74))&amp;" · "&amp;CHOOSE(MAX(1,$NR74),"Leve","Média","Pesada","Leve · Livre","Média · Livre","Pesada · Livre")))</f>
        <v/>
      </c>
      <c r="QL74" s="155">
        <f>IF(OR($NB74=0,$NN74=0),"",IF($MQ74=0,"−1 dado","−"&amp;INDEX($I$2:$N$8,MAX(1,$MQ74),MAX(1,$NS74))&amp;" · "&amp;CHOOSE(MAX(1,$NS74),"Leve","Média","Pesada","Leve · Livre","Média · Livre","Pesada · Livre")))</f>
        <v/>
      </c>
      <c r="QM74" s="155">
        <f>IF(OR($NB74=0,$NO74=0),"",IF($MQ74=0,"−1 dado","−"&amp;INDEX($I$2:$N$8,MAX(1,$MQ74),MAX(1,$NT74))&amp;" · "&amp;CHOOSE(MAX(1,$NT74),"Leve","Média","Pesada","Leve · Livre","Média · Livre","Pesada · Livre")))</f>
        <v/>
      </c>
      <c r="QN74" s="155">
        <f>IF(OR($NB74=0,$NP74=0),"",IF($MQ74=0,"−1 dado","−"&amp;INDEX($I$2:$N$8,MAX(1,$MQ74),MAX(1,$NU74))&amp;" · "&amp;CHOOSE(MAX(1,$NU74),"Leve","Média","Pesada","Leve · Livre","Média · Livre","Pesada · Livre")))</f>
        <v/>
      </c>
      <c r="QO74" s="155">
        <f>IF(OR($NB74=0,$MZ74=""),"",IF($MQ74=0,"não devolve","+"&amp;IF($OG74=1,CEILING($MQ74/2,1),$MQ74)))</f>
        <v/>
      </c>
      <c r="QP74" s="155">
        <f>IF(OR($NB74=0,$NA74=""),"",IF($MQ74=0,"não devolve","+"&amp;IF($OH74=1,CEILING($MQ74/2,1),$MQ74)))</f>
        <v/>
      </c>
    </row>
    <row r="75">
      <c r="AV75" s="153" t="inlineStr">
        <is>
          <t>Limpa</t>
        </is>
      </c>
      <c r="AW75" s="153" t="inlineStr">
        <is>
          <t>Amparo</t>
        </is>
      </c>
      <c r="AX75" s="155" t="n">
        <v>2</v>
      </c>
      <c r="AY75" s="155" t="n">
        <v>0</v>
      </c>
      <c r="AZ75" s="155" t="n">
        <v>0</v>
      </c>
      <c r="BA75" s="155" t="n">
        <v>0</v>
      </c>
      <c r="JR75" s="155">
        <f>IF(OR($AW75="",COUNTIF($EJ$2:$EN$2,$AW75)&gt;0),$AV75,"")</f>
        <v/>
      </c>
      <c r="JS75" s="155">
        <f>IF(AND($AX75=1,OR($AW75="",COUNTIF($EJ$2:$EN$2,$AW75)&gt;0)),$AV75,"")</f>
        <v/>
      </c>
      <c r="JX75" s="155">
        <f>IF(OR($AW75="",COUNTIF($EJ$3:$EN$3,$AW75)&gt;0),$AV75,"")</f>
        <v/>
      </c>
      <c r="JY75" s="155">
        <f>IF(AND($AX75=1,OR($AW75="",COUNTIF($EJ$3:$EN$3,$AW75)&gt;0)),$AV75,"")</f>
        <v/>
      </c>
      <c r="KD75" s="155">
        <f>IF(OR($AW75="",COUNTIF($EJ$4:$EN$4,$AW75)&gt;0),$AV75,"")</f>
        <v/>
      </c>
      <c r="KE75" s="155">
        <f>IF(AND($AX75=1,OR($AW75="",COUNTIF($EJ$4:$EN$4,$AW75)&gt;0)),$AV75,"")</f>
        <v/>
      </c>
      <c r="KJ75" s="155">
        <f>IF(OR($AW75="",COUNTIF($EJ$5:$EN$5,$AW75)&gt;0),$AV75,"")</f>
        <v/>
      </c>
      <c r="KK75" s="155">
        <f>IF(AND($AX75=1,OR($AW75="",COUNTIF($EJ$5:$EN$5,$AW75)&gt;0)),$AV75,"")</f>
        <v/>
      </c>
      <c r="KP75" s="155">
        <f>IF(OR($AW75="",COUNTIF($EJ$6:$EN$6,$AW75)&gt;0),$AV75,"")</f>
        <v/>
      </c>
      <c r="KQ75" s="155">
        <f>IF(AND($AX75=1,OR($AW75="",COUNTIF($EJ$6:$EN$6,$AW75)&gt;0)),$AV75,"")</f>
        <v/>
      </c>
      <c r="KV75" s="155">
        <f>IF(OR($AW75="",COUNTIF($EJ$7:$EN$7,$AW75)&gt;0),$AV75,"")</f>
        <v/>
      </c>
      <c r="KW75" s="155">
        <f>IF(AND($AX75=1,OR($AW75="",COUNTIF($EJ$7:$EN$7,$AW75)&gt;0)),$AV75,"")</f>
        <v/>
      </c>
      <c r="LB75" s="155">
        <f>IF(OR($AW75="",COUNTIF($EJ$8:$EN$8,$AW75)&gt;0),$AV75,"")</f>
        <v/>
      </c>
      <c r="LC75" s="155">
        <f>IF(AND($AX75=1,OR($AW75="",COUNTIF($EJ$8:$EN$8,$AW75)&gt;0)),$AV75,"")</f>
        <v/>
      </c>
      <c r="LH75" s="155">
        <f>IF(OR($AW75="",COUNTIF($EJ$9:$EN$9,$AW75)&gt;0),$AV75,"")</f>
        <v/>
      </c>
      <c r="LI75" s="155">
        <f>IF(AND($AX75=1,OR($AW75="",COUNTIF($EJ$9:$EN$9,$AW75)&gt;0)),$AV75,"")</f>
        <v/>
      </c>
      <c r="LN75" s="155">
        <f>IF(OR($AW75="",COUNTIF($EJ$10:$EN$10,$AW75)&gt;0),$AV75,"")</f>
        <v/>
      </c>
      <c r="LO75" s="155">
        <f>IF(AND($AX75=1,OR($AW75="",COUNTIF($EJ$10:$EN$10,$AW75)&gt;0)),$AV75,"")</f>
        <v/>
      </c>
      <c r="LT75" s="155">
        <f>IF(OR($AW75="",COUNTIF($EJ$11:$EN$11,$AW75)&gt;0),$AV75,"")</f>
        <v/>
      </c>
      <c r="LU75" s="155">
        <f>IF(AND($AX75=1,OR($AW75="",COUNTIF($EJ$11:$EN$11,$AW75)&gt;0)),$AV75,"")</f>
        <v/>
      </c>
      <c r="LZ75" s="155">
        <f>IF(OR($AW75="",COUNTIF($EJ$12:$EN$12,$AW75)&gt;0),$AV75,"")</f>
        <v/>
      </c>
      <c r="MA75" s="155">
        <f>IF(AND($AX75=1,OR($AW75="",COUNTIF($EJ$12:$EN$12,$AW75)&gt;0)),$AV75,"")</f>
        <v/>
      </c>
      <c r="MF75" s="155">
        <f>IF(OR($AW75="",COUNTIF($EJ$13:$EN$13,$AW75)&gt;0),$AV75,"")</f>
        <v/>
      </c>
      <c r="MG75" s="155">
        <f>IF(AND($AX75=1,OR($AW75="",COUNTIF($EJ$13:$EN$13,$AW75)&gt;0)),$AV75,"")</f>
        <v/>
      </c>
      <c r="ML75" s="153" t="inlineStr">
        <is>
          <t>Ficha 6 · Especial 7</t>
        </is>
      </c>
      <c r="MM75" s="155" t="n">
        <v>6</v>
      </c>
      <c r="MN75" s="155" t="n">
        <v>1</v>
      </c>
      <c r="MO75" s="155" t="n">
        <v>24</v>
      </c>
      <c r="MP75" s="153" t="inlineStr">
        <is>
          <t>ESPECIAL 7</t>
        </is>
      </c>
      <c r="MQ75" s="155">
        <f>MAX(1,MIN(7,N('INVOCAÇÕES'!$U$1104)))</f>
        <v/>
      </c>
      <c r="MR75" s="155">
        <f>'INVOCAÇÕES'!$V$1104&amp;""</f>
        <v/>
      </c>
      <c r="MS75" s="155">
        <f>'INVOCAÇÕES'!$U$1109&amp;""</f>
        <v/>
      </c>
      <c r="MT75" s="155">
        <f>'INVOCAÇÕES'!$U$1110&amp;""</f>
        <v/>
      </c>
      <c r="MU75" s="155">
        <f>'INVOCAÇÕES'!$W$1110&amp;""</f>
        <v/>
      </c>
      <c r="MV75" s="155">
        <f>'INVOCAÇÕES'!$V$1113&amp;""</f>
        <v/>
      </c>
      <c r="MW75" s="155">
        <f>'INVOCAÇÕES'!$V$1114&amp;""</f>
        <v/>
      </c>
      <c r="MX75" s="155">
        <f>'INVOCAÇÕES'!$V$1115&amp;""</f>
        <v/>
      </c>
      <c r="MY75" s="155">
        <f>'INVOCAÇÕES'!$V$1116&amp;""</f>
        <v/>
      </c>
      <c r="MZ75" s="155">
        <f>'INVOCAÇÕES'!$V$1117&amp;""</f>
        <v/>
      </c>
      <c r="NA75" s="155">
        <f>'INVOCAÇÕES'!$V$1118&amp;""</f>
        <v/>
      </c>
      <c r="NB75" s="155">
        <f>IF($MR75&lt;&gt;"",1,0)</f>
        <v/>
      </c>
      <c r="NC75" s="155">
        <f>INDEX($FM$2:$FM$13,$MM75)</f>
        <v/>
      </c>
      <c r="ND75" s="155">
        <f>INDEX($FN$2:$FN$13,$MM75)</f>
        <v/>
      </c>
      <c r="NE75" s="155">
        <f>INDEX($FO$2:$FO$13,$MM75)</f>
        <v/>
      </c>
      <c r="NF75" s="155">
        <f>INDEX($FZ$2:$FZ$13,$MM75)</f>
        <v/>
      </c>
      <c r="NG75" s="155">
        <f>INDEX($GA$2:$GA$13,$MM75)</f>
        <v/>
      </c>
      <c r="NH75" s="155">
        <f>IFERROR(MATCH($MS75,$V$2:$V$11,0),0)</f>
        <v/>
      </c>
      <c r="NI75" s="155">
        <f>IFERROR(VLOOKUP($MV75,$AV$2:$BA$84,2,FALSE),"")</f>
        <v/>
      </c>
      <c r="NJ75" s="155">
        <f>IFERROR(VLOOKUP($MW75,$AV$2:$BA$84,2,FALSE),"")</f>
        <v/>
      </c>
      <c r="NK75" s="155">
        <f>IFERROR(VLOOKUP($MX75,$AV$2:$BA$84,2,FALSE),"")</f>
        <v/>
      </c>
      <c r="NL75" s="155">
        <f>IFERROR(VLOOKUP($MY75,$AV$2:$BA$84,2,FALSE),"")</f>
        <v/>
      </c>
      <c r="NM75" s="155">
        <f>IFERROR(VLOOKUP($MV75,$AV$2:$BA$84,3,FALSE),0)</f>
        <v/>
      </c>
      <c r="NN75" s="155">
        <f>IFERROR(VLOOKUP($MW75,$AV$2:$BA$84,3,FALSE),0)</f>
        <v/>
      </c>
      <c r="NO75" s="155">
        <f>IFERROR(VLOOKUP($MX75,$AV$2:$BA$84,3,FALSE),0)</f>
        <v/>
      </c>
      <c r="NP75" s="155">
        <f>IFERROR(VLOOKUP($MY75,$AV$2:$BA$84,3,FALSE),0)</f>
        <v/>
      </c>
      <c r="NQ75" s="155">
        <f>IF($MQ75=0,0,IF($NH75=0,0,INDEX($X$2:$X$11,$NH75)))</f>
        <v/>
      </c>
      <c r="NR75" s="155">
        <f>IF(OR($NM75=0,$MQ75=0),0,$NM75+3*IF(AND($NI75&lt;&gt;"",OR($NI75=INDEX($EJ$2:$EJ$13,$MM75),$NI75=INDEX($EK$2:$EK$13,$MM75))),1,0))</f>
        <v/>
      </c>
      <c r="NS75" s="155">
        <f>IF(OR($NN75=0,$MQ75=0),0,$NN75+3*IF(AND($NJ75&lt;&gt;"",OR($NJ75=INDEX($EJ$2:$EJ$13,$MM75),$NJ75=INDEX($EK$2:$EK$13,$MM75))),1,0))</f>
        <v/>
      </c>
      <c r="NT75" s="155">
        <f>IF(OR($NO75=0,$MQ75=0),0,$NO75+3*IF(AND($NK75&lt;&gt;"",OR($NK75=INDEX($EJ$2:$EJ$13,$MM75),$NK75=INDEX($EK$2:$EK$13,$MM75))),1,0))</f>
        <v/>
      </c>
      <c r="NU75" s="155">
        <f>IF(OR($NP75=0,$MQ75=0),0,$NP75+3*IF(AND($NL75&lt;&gt;"",OR($NL75=INDEX($EJ$2:$EJ$13,$MM75),$NL75=INDEX($EK$2:$EK$13,$MM75))),1,0))</f>
        <v/>
      </c>
      <c r="NV75" s="155">
        <f>IF($NH75=0,0,IF(INDEX($W$2:$W$11,$NH75)="",0,IF(COUNTIF(INDEX($EJ$2:$EN$13,$MM75,0),INDEX($W$2:$W$11,$NH75))=0,1,0)))</f>
        <v/>
      </c>
      <c r="NW75" s="155">
        <f>IF(OR($NM75=0,$NI75=""),0,IF(COUNTIF(INDEX($EJ$2:$EN$13,$MM75,0),$NI75)=0,1,0))</f>
        <v/>
      </c>
      <c r="NX75" s="155">
        <f>IF(OR($NN75=0,$NJ75=""),0,IF(COUNTIF(INDEX($EJ$2:$EN$13,$MM75,0),$NJ75)=0,1,0))</f>
        <v/>
      </c>
      <c r="NY75" s="155">
        <f>IF(OR($NO75=0,$NK75=""),0,IF(COUNTIF(INDEX($EJ$2:$EN$13,$MM75,0),$NK75)=0,1,0))</f>
        <v/>
      </c>
      <c r="NZ75" s="155">
        <f>IF(OR($NP75=0,$NL75=""),0,IF(COUNTIF(INDEX($EJ$2:$EN$13,$MM75,0),$NL75)=0,1,0))</f>
        <v/>
      </c>
      <c r="OA75" s="155">
        <f>IFERROR(VLOOKUP($MV75,$AV$2:$BA$84,4,FALSE),0)+IFERROR(VLOOKUP($MW75,$AV$2:$BA$84,4,FALSE),0)+IFERROR(VLOOKUP($MX75,$AV$2:$BA$84,4,FALSE),0)+IFERROR(VLOOKUP($MY75,$AV$2:$BA$84,4,FALSE),0)</f>
        <v/>
      </c>
      <c r="OB75" s="155">
        <f>IFERROR(VLOOKUP($MV75,$AV$2:$BA$84,6,FALSE),0)+IFERROR(VLOOKUP($MW75,$AV$2:$BA$84,6,FALSE),0)+IFERROR(VLOOKUP($MX75,$AV$2:$BA$84,6,FALSE),0)+IFERROR(VLOOKUP($MY75,$AV$2:$BA$84,6,FALSE),0)</f>
        <v/>
      </c>
      <c r="OC75" s="155">
        <f>TEXTJOIN(", ",TRUE,IF(IFERROR(VLOOKUP($MV75,$AV$2:$BA$84,5,FALSE),0)=1,$MV75,""),IF(IFERROR(VLOOKUP($MW75,$AV$2:$BA$84,5,FALSE),0)=1,$MW75,""),IF(IFERROR(VLOOKUP($MX75,$AV$2:$BA$84,5,FALSE),0)=1,$MX75,""),IF(IFERROR(VLOOKUP($MY75,$AV$2:$BA$84,5,FALSE),0)=1,$MY75,""))</f>
        <v/>
      </c>
      <c r="OD75" s="155">
        <f>IF($NH75=0,0,INDEX($Y$2:$Y$11,$NH75))</f>
        <v/>
      </c>
      <c r="OE75" s="155">
        <f>IF($NH75=0,0,INDEX($Z$2:$Z$11,$NH75))</f>
        <v/>
      </c>
      <c r="OF75" s="155">
        <f>IF($NH75=0,0,INDEX($AB$2:$AB$11,$NH75))</f>
        <v/>
      </c>
      <c r="OG75" s="155">
        <f>IFERROR(VLOOKUP($MZ75,$BC$2:$BG$24,3,FALSE),0)</f>
        <v/>
      </c>
      <c r="OH75" s="155">
        <f>IFERROR(VLOOKUP($NA75,$BC$2:$BG$24,3,FALSE),0)</f>
        <v/>
      </c>
      <c r="OI75" s="155">
        <f>IFERROR(VLOOKUP($MZ75,$BC$2:$BG$24,2,FALSE),"")</f>
        <v/>
      </c>
      <c r="OJ75" s="155">
        <f>IFERROR(VLOOKUP($NA75,$BC$2:$BG$24,2,FALSE),"")</f>
        <v/>
      </c>
      <c r="OK75" s="155">
        <f>COUNTIF($NQ75:$NU75,1)</f>
        <v/>
      </c>
      <c r="OL75" s="155">
        <f>COUNTIF($NQ75:$NU75,2)</f>
        <v/>
      </c>
      <c r="OM75" s="155">
        <f>COUNTIF($NQ75:$NU75,3)</f>
        <v/>
      </c>
      <c r="ON75" s="155">
        <f>COUNTIF($NQ75:$NU75,4)</f>
        <v/>
      </c>
      <c r="OO75" s="155">
        <f>COUNTIF($NQ75:$NU75,5)</f>
        <v/>
      </c>
      <c r="OP75" s="155">
        <f>COUNTIF($NQ75:$NU75,6)</f>
        <v/>
      </c>
      <c r="OQ75" s="155">
        <f>COUNTIF($OG75:$OH75,1)</f>
        <v/>
      </c>
      <c r="OR75" s="155">
        <f>COUNTIF($OG75:$OH75,2)+$OD75</f>
        <v/>
      </c>
      <c r="OS75" s="155">
        <f>COUNTIF($MV75:$MY75,"?*")</f>
        <v/>
      </c>
      <c r="OT75" s="155">
        <f>COUNTIF($MZ75:$NA75,"?*")+$OD75</f>
        <v/>
      </c>
      <c r="OU75" s="155">
        <f>IF($MQ75=0,0,SUMPRODUCT($OK75:$OP75,INDEX($I$2:$N$8,MAX(1,$MQ75),0)))</f>
        <v/>
      </c>
      <c r="OV75" s="155">
        <f>IF($MQ75=0,0,$OQ75*CEILING($MQ75/2,1)+$OR75*$MQ75)</f>
        <v/>
      </c>
      <c r="OW75" s="155">
        <f>MIN(2*$MQ75,$OV75)</f>
        <v/>
      </c>
      <c r="OX75" s="155">
        <f>MIN($OW75,$OU75)</f>
        <v/>
      </c>
      <c r="OY75" s="155">
        <f>$OW75-$OX75</f>
        <v/>
      </c>
      <c r="OZ75" s="155">
        <f>IF($MQ75=0,0,INDEX($P$2:$P$8,MAX(1,$MQ75)))</f>
        <v/>
      </c>
      <c r="PA75" s="155">
        <f>$OZ75-$OU75+$OX75</f>
        <v/>
      </c>
      <c r="PB75" s="155">
        <f>IF($MQ75=0,MAX(0,$NE75-IF($OS75&gt;0,1,0)),MAX(0,$PA75))</f>
        <v/>
      </c>
      <c r="PC75" s="155">
        <f>IF($MQ75=0,0,(IF(COUNTIF($MV75:$MY75,"Salto")&gt;0,1,0)+IF(COUNTIF($MV75:$MY75,"Queima")&gt;0,1,0)+IF(COUNTIF($MV75:$MY75,"Estilhaço")&gt;0,1,0))*FLOOR($PB75/2,1))</f>
        <v/>
      </c>
      <c r="PD75" s="155">
        <f>MAX(0,2-SUMPRODUCT($OK75:$OP75,$I$2:$N$2)+MIN(2,$OQ75*1+$OR75*1,SUMPRODUCT($OK75:$OP75,$I$2:$N$2)))</f>
        <v/>
      </c>
      <c r="PE75" s="155">
        <f>MAX(0,4-SUMPRODUCT($OK75:$OP75,$I$3:$N$3)+MIN(4,$OQ75*1+$OR75*2,SUMPRODUCT($OK75:$OP75,$I$3:$N$3)))</f>
        <v/>
      </c>
      <c r="PF75" s="155">
        <f>MAX(0,6-SUMPRODUCT($OK75:$OP75,$I$4:$N$4)+MIN(6,$OQ75*2+$OR75*3,SUMPRODUCT($OK75:$OP75,$I$4:$N$4)))</f>
        <v/>
      </c>
      <c r="PG75" s="155">
        <f>MAX(0,9-SUMPRODUCT($OK75:$OP75,$I$5:$N$5)+MIN(8,$OQ75*2+$OR75*4,SUMPRODUCT($OK75:$OP75,$I$5:$N$5)))</f>
        <v/>
      </c>
      <c r="PH75" s="155">
        <f>MAX(0,11-SUMPRODUCT($OK75:$OP75,$I$6:$N$6)+MIN(10,$OQ75*3+$OR75*5,SUMPRODUCT($OK75:$OP75,$I$6:$N$6)))</f>
        <v/>
      </c>
      <c r="PI75" s="155">
        <f>MAX(0,13-SUMPRODUCT($OK75:$OP75,$I$7:$N$7)+MIN(12,$OQ75*3+$OR75*6,SUMPRODUCT($OK75:$OP75,$I$7:$N$7)))</f>
        <v/>
      </c>
      <c r="PJ75" s="155">
        <f>MAX(0,16-SUMPRODUCT($OK75:$OP75,$I$8:$N$8)+MIN(14,$OQ75*4+$OR75*7,SUMPRODUCT($OK75:$OP75,$I$8:$N$8)))</f>
        <v/>
      </c>
      <c r="PK75" s="155">
        <f>IF($OE75=2,3*$PD75&amp;" de vida temp.",IF($OE75=3,"sem dano",IF($PD75=0,IF($OE75=1,"sem cura","sem dano"),IF($OE75=1,"cura ","")&amp;$PD75&amp;"d8")))</f>
        <v/>
      </c>
      <c r="PL75" s="155">
        <f>IF($OE75=2,3*$PE75&amp;" de vida temp.",IF($OE75=3,"sem dano",IF($PE75=0,IF($OE75=1,"sem cura","sem dano"),IF($OE75=1,"cura ","")&amp;$PE75&amp;"d8")))</f>
        <v/>
      </c>
      <c r="PM75" s="155">
        <f>IF($OE75=2,3*$PF75&amp;" de vida temp.",IF($OE75=3,"sem dano",IF($PF75=0,IF($OE75=1,"sem cura","sem dano"),IF($OE75=1,"cura ","")&amp;$PF75&amp;"d8")))</f>
        <v/>
      </c>
      <c r="PN75" s="155">
        <f>IF($OE75=2,3*$PG75&amp;" de vida temp.",IF($OE75=3,"sem dano",IF($PG75=0,IF($OE75=1,"sem cura","sem dano"),IF($OE75=1,"cura ","")&amp;$PG75&amp;"d8")))</f>
        <v/>
      </c>
      <c r="PO75" s="155">
        <f>IF($OE75=2,3*$PH75&amp;" de vida temp.",IF($OE75=3,"sem dano",IF($PH75=0,IF($OE75=1,"sem cura","sem dano"),IF($OE75=1,"cura ","")&amp;$PH75&amp;"d8")))</f>
        <v/>
      </c>
      <c r="PP75" s="155">
        <f>IF($OE75=2,3*$PI75&amp;" de vida temp.",IF($OE75=3,"sem dano",IF($PI75=0,IF($OE75=1,"sem cura","sem dano"),IF($OE75=1,"cura ","")&amp;$PI75&amp;"d8")))</f>
        <v/>
      </c>
      <c r="PQ75" s="155">
        <f>IF($OE75=2,3*$PJ75&amp;" de vida temp.",IF($OE75=3,"sem dano",IF($PJ75=0,IF($OE75=1,"sem cura","sem dano"),IF($OE75=1,"cura ","")&amp;$PJ75&amp;"d8")))</f>
        <v/>
      </c>
      <c r="PR75" s="155">
        <f>IF($NB75=0,"",TEXTJOIN(" · ",TRUE,IF($MO75&gt;$NC75,"Este lugar abre no nível "&amp;$MO75,""),IF($MQ75&gt;$ND75,"Classe "&amp;$MQ75&amp;": o nível "&amp;$NC75&amp;" libera até a "&amp;$ND75,""),IF($NV75=1,"A Forma "&amp;$MS75&amp;" pede "&amp;INDEX($W$2:$W$11,$NH75)&amp;" aberta",""),IF(AND($MQ75=0,$NH75&gt;0,IF($NH75=0,0,INDEX($AF$2:$AF$11,$NH75))=0),$MS75&amp;" não existe na Classe 0",""),IF($NW75=1,"Família Fechada: "&amp;$MV75,""),IF($NX75=1,"Família Fechada: "&amp;$MW75,""),IF($NY75=1,"Família Fechada: "&amp;$MX75,""),IF($NZ75=1,"Família Fechada: "&amp;$MY75,""),IF(AND($MQ75&gt;0,$OS75&gt;INDEX($O$2:$O$8,MAX(1,$MQ75))),$OS75&amp;" Melhorias: a Classe "&amp;$MQ75&amp;" aceita "&amp;INDEX($O$2:$O$8,MAX(1,$MQ75)),""),IF(AND($MQ75=0,$OS75&gt;1),"A básica aceita uma Melhoria",""),IF(AND($MQ75=0,COUNTIF($NM75:$NP75,"&gt;1")&gt;0),"A básica só aceita Melhoria Leve",""),IF(AND($MQ75&gt;0,$OT75&gt;2),$OT75&amp;" Restrições"&amp;IF($OD75=1,", contando a que a Forma "&amp;$MS75&amp;" já traz","")&amp;": o limite é 2",""),IF(AND($MQ75=0,COUNTIF($MZ75:$NA75,"?*")&gt;1),"A básica aceita uma Restrição Leve",""),IF(AND($MQ75=0,COUNTIF($OG75:$OH75,2)&gt;0),"A básica só aceita Restrição Leve",""),IF(AND($MQ75&gt;0,$PA75&lt;0),"Orçamento estourado: faltam "&amp;(-$PA75)&amp;IF($PA75&lt;-1," pontos"," ponto"),""),IF(IFERROR(VLOOKUP($MZ75,$BC$2:$BG$24,4,FALSE),0)+IFERROR(VLOOKUP($NA75,$BC$2:$BG$24,4,FALSE),0)&gt;1,$OI75&amp;" e "&amp;$OJ75&amp;" são as duas de frequência",""),IF(AND((COUNTIF($MV75:$MY75,"Rápido")+COUNTIF($OI75:$OJ75,"Rápido"))&gt;0,(COUNTIF($MV75:$MY75,"Atrasar")+COUNTIF($OI75:$OJ75,"Atrasar"))&gt;0),"Rápido não entra com Atrasar",""),IF(AND((COUNTIF($MV75:$MY75,"Reação")+COUNTIF($OI75:$OJ75,"Reação"))&gt;0,(COUNTIF($MV75:$MY75,"Rápido")+COUNTIF($OI75:$OJ75,"Rápido"))&gt;0),"Reação não entra com Rápido",""),IF(AND((COUNTIF($MV75:$MY75,"Reação")+COUNTIF($OI75:$OJ75,"Reação"))&gt;0,(COUNTIF($MV75:$MY75,"Armado")+COUNTIF($OI75:$OJ75,"Armado"))&gt;0),"Reação não entra com Armado",""),IF(AND((COUNTIF($MV75:$MY75,"Reação")+COUNTIF($OI75:$OJ75,"Reação"))&gt;0,(COUNTIF($MV75:$MY75,"Atrasar")+COUNTIF($OI75:$OJ75,"Atrasar"))&gt;0),"Reação não entra com Atrasar",""),IF(AND((COUNTIF($MV75:$MY75,"Reação")+COUNTIF($OI75:$OJ75,"Reação"))&gt;0,(COUNTIF($MV75:$MY75,"Parado")+COUNTIF($OI75:$OJ75,"Parado"))&gt;0),"Reação não entra com Parado",""),IF(AND((COUNTIF($MV75:$MY75,"Atrasar")+COUNTIF($OI75:$OJ75,"Atrasar"))&gt;0,(COUNTIF($MV75:$MY75,"Parado")+COUNTIF($OI75:$OJ75,"Parado"))&gt;0),"Atrasar não entra com Parado",""),IF(AND((COUNTIF($MV75:$MY75,"Armado")+COUNTIF($OI75:$OJ75,"Armado"))&gt;0,(COUNTIF($MV75:$MY75,"Carregar")+COUNTIF($OI75:$OJ75,"Carregar"))&gt;0),"Armado não entra com Carregar",""),IF(AND(COUNTIF($OI75:$OJ75,"Corpo a Corpo")&gt;0,$OD75=0,OR($MS75="Cone",$MS75="Linha")),"Corpo a Corpo não entra em "&amp;$MS75,""),IF(AND(COUNTIF($OI75:$OJ75,"Corpo a Corpo")&gt;0,$OD75=1),"A Forma "&amp;$MS75&amp;" já traz o Corpo a Corpo",""),IF(AND(COUNTIF($OI75:$OJ75,"Tudo ou Nada")&gt;0,$OF75=0),"Tudo ou Nada só entra em habilidade de Teste de Resistência",""),IF(AND(COUNTIF($MV75:$MY75,"Inescapável")&gt;0,OR($OS75&gt;1,$OT75&gt;0)),"Inescapável não aceita outra peça",""),IF(AND($MQ75&gt;0,$PB75*IF(COUNTIF($MV75:$MY75,"Remate")&gt;0,1.25,1)+$PC75&gt;4*$MQ75),($PB75*IF(COUNTIF($MV75:$MY75,"Remate")&gt;0,1.25,1)+$PC75)&amp;" dados somando repetições"&amp;IF(COUNTIF($MV75:$MY75,"Remate")&gt;0," e o Remate","")&amp;": o teto da Classe "&amp;$MQ75&amp;" é "&amp;4*$MQ75,"")))</f>
        <v/>
      </c>
      <c r="PS75" s="155">
        <f>IF($PR75="",0,(LEN($PR75)-LEN(SUBSTITUTE($PR75," · ","")))/3+1)</f>
        <v/>
      </c>
      <c r="PT75" s="155">
        <f>IF($NB75=0,"",TEXTJOIN(" · ",TRUE,IF($OV75&gt;2*$MQ75,"A devolução parou no teto de "&amp;2*$MQ75,""),IF($OY75&gt;0,"Devolução perdida: "&amp;$OY75&amp;IF($OY75&gt;1," pontos"," ponto")&amp;" sem peça para pagar",""),IF(AND($OA75&gt;0,AND($MQ75&gt;0,$OE75=0),$PB75=0),"Controle sem dano: uma rodada a mais e CD +2",""),IF(AND($OA75&gt;0,AND($MQ75&gt;0,$OE75=0),$PB75&gt;0,$PB75&lt;=$MQ75),"Controle com saldo até a Classe: uma rodada a mais",""),IF(AND($MQ75&gt;0,$OC75&lt;&gt;""),"Efeito de "&amp;$OC75&amp;" pela Classe "&amp;MAX(1,$MQ75-1),"")))</f>
        <v/>
      </c>
      <c r="PU75" s="155">
        <f>IF($PT75="",0,(LEN($PT75)-LEN(SUBSTITUTE($PT75," · ","")))/3+1)</f>
        <v/>
      </c>
      <c r="PV75" s="155">
        <f>IF($NB75=0,IF($OS75+COUNTIF($MZ75:$NA75,"?*")&gt;0,"Dê um nome",""),IF($PS75&gt;0,"⚠ "&amp;$PS75&amp;IF($PS75&gt;1," erros"," erro"),IF($PU75&gt;0,"! "&amp;$PU75&amp;IF($PU75&gt;1," avisos"," aviso"),"Na regra")))</f>
        <v/>
      </c>
      <c r="PW75" s="155">
        <f>IF($NB75=0,"",IF($PS75+$PU75=0,"Dentro das regras que a ficha confere",$PR75&amp;IF(AND($PS75&gt;0,$PU75&gt;0)," · ","")&amp;$PT75))</f>
        <v/>
      </c>
      <c r="PX75" s="155">
        <f>IF($MO75&gt;$NC75,$MP75&amp;" · ABRE NO NÍVEL "&amp;$MO75,$MP75)</f>
        <v/>
      </c>
      <c r="PY75" s="155">
        <f>IF($NB75=0,"",IF($MQ75=0,"Sem PE",3*$MQ75&amp;" PE"))</f>
        <v/>
      </c>
      <c r="PZ75" s="155">
        <f>IF($NB75=0,"",IF($MQ75=0,"A atuação básica dela",IF(COUNTIF($OI75:$OJ75,"Atrasar")&gt;0,"Sua Ação Completa",IF(COUNTIF($MV75:$MY75,"Rápido")&gt;0,"Sua Bônus",IF(COUNTIF($MV75:$MY75,"Reação")&gt;0,"Sua Reação","Sua Padrão")))&amp;" + a básica dela"&amp;IF(COUNTIF($MV75:$MY75,"Reação")&gt;0," e a coletiva","")&amp;IF(COUNTIF($OI75:$OJ75,"Carregar")&gt;0," · em dois turnos","")))</f>
        <v/>
      </c>
      <c r="QA75" s="155">
        <f>IF($MU75&lt;&gt;"",$MU75,IF($NH75=0,"",INDEX($AA$2:$AA$11,$NH75)))</f>
        <v/>
      </c>
      <c r="QB75" s="155">
        <f>IF(OR($NB75=0,$NH75=0),"",IF(COUNTIF($MV75:$MY75,"Inescapável")&gt;0,"Automático",IF($QA75="Ataque",IF($NF75="","Ataque","Ataque "&amp;IF(($NF75+2*IF(COUNTIF($MV75:$MY75,"Precisão")&gt;0,1,0))&gt;=0,"+","−")&amp;ABS(($NF75+2*IF(COUNTIF($MV75:$MY75,"Precisão")&gt;0,1,0))))&amp;IF($OB75&gt;0," · TR"&amp;IF($NG75="",""," CD "&amp;$NG75),""),IF(LEFT($QA75,2)="TR",$QA75&amp;IF($NG75="",""," · CD "&amp;$NG75)&amp;IF(COUNTIF($MV75:$MY75,"Certeiro")&gt;0," · metade",""),"Sem rolagem"))))</f>
        <v/>
      </c>
      <c r="QC75" s="155">
        <f>IF(OR($NB75=0,$NH75=0),"",IF($MQ75=0,IF(OR($OE75&gt;=1,$PB75=0),"Sem dano",$PB75&amp;"d6"&amp;IF($MT75="",""," "&amp;$MT75)),IF(OR($OE75&gt;=1,$PB75=0),UPPER(LEFT(INDEX($PK75:$PQ75,1,MAX(1,$MQ75)),1))&amp;MID(INDEX($PK75:$PQ75,1,MAX(1,$MQ75)),2,99),UPPER(LEFT(INDEX($PK75:$PQ75,1,MAX(1,$MQ75)),1))&amp;MID(INDEX($PK75:$PQ75,1,MAX(1,$MQ75)),2,99)&amp;IF($MT75="",""," "&amp;$MT75)&amp;IF($PC75&gt;0," · +"&amp;$PC75&amp;"d8",""))))</f>
        <v/>
      </c>
      <c r="QD75" s="155">
        <f>COUNTIF($MV75:$MY75,"Longe")+3*COUNTIF($MV75:$MY75,"Muito Longe")</f>
        <v/>
      </c>
      <c r="QE75" s="155">
        <f>COUNTIF($MV75:$MY75,"Maior")+3*COUNTIF($MV75:$MY75,"Muito Maior")</f>
        <v/>
      </c>
      <c r="QF75" s="155">
        <f>IF($NH75=0,0,CHOOSE(1+INDEX($AC$2:$AC$11,$NH75),0,$QD75,$QE75,$QD75+$QE75))</f>
        <v/>
      </c>
      <c r="QG75" s="155">
        <f>IF($NH75=0,0,CHOOSE(1+INDEX($AD$2:$AD$11,$NH75),0,$QD75,$QE75,$QD75+$QE75))</f>
        <v/>
      </c>
      <c r="QH75" s="155">
        <f>IF(OR($NB75=0,$NH75=0),"",INDEX($AI$2:$AN$41,($NH75-1)*4+IF($MQ75=0,1,IF($MQ75&lt;=5,2,IF($MQ75=6,3,4))),1+MIN(5,$QF75))&amp;INDEX($AO$2:$AT$41,($NH75-1)*4+IF($MQ75=0,1,IF($MQ75&lt;=5,2,IF($MQ75=6,3,4))),1+MIN(5,$QG75))&amp;IF(INDEX($AE$2:$AE$11,$NH75)=1,IF(COUNTIF($MV75:$MY75,"Mais Um")&gt;0," · +"&amp;COUNTIF($MV75:$MY75,"Mais Um")&amp;IF(COUNTIF($MV75:$MY75,"Mais Um")&gt;1," alvos"," alvo"),"")&amp;IF(COUNTIF($MV75:$MY75,"Rajada")&gt;0,IF($MQ75=0," · 1 tiro"," · "&amp;(MAX(1,$MQ75-1)+1)&amp;" tiros"),""),""))</f>
        <v/>
      </c>
      <c r="QI75" s="155">
        <f>IF($NB75=0,"",IF($MQ75=0,$NE75&amp;"d6"&amp;IF($OS75&gt;0," − 1 = "&amp;$PB75&amp;"d6"," da básica do nível "&amp;$NC75),$OZ75&amp;" − "&amp;$OU75&amp;" + "&amp;$OX75&amp;" = "&amp;$PA75&amp;" · teto "&amp;4*$MQ75&amp;"d8"&amp;IF($OD75=1," · a Forma devolve "&amp;$MQ75,"")&amp;IF($OY75&gt;0," · perde "&amp;$OY75,"")))</f>
        <v/>
      </c>
      <c r="QJ75" s="155">
        <f>IF($NB75=0,"",IF($MQ75=0,"A básica não amplia: os dados dela sobem com o nível",IF($MQ75&gt;=$ND75,"Já está na maior Classe que o nível liberou",TEXTJOIN(" · ",TRUE,IF(AND(2&gt;$MQ75,2&lt;=$ND75),"2 → "&amp;$PL75&amp;", 6 PE",""),IF(AND(3&gt;$MQ75,3&lt;=$ND75),"3 → "&amp;$PM75&amp;", 9 PE",""),IF(AND(4&gt;$MQ75,4&lt;=$ND75),"4 → "&amp;$PN75&amp;", 12 PE",""),IF(AND(5&gt;$MQ75,5&lt;=$ND75),"5 → "&amp;$PO75&amp;", 15 PE",""),IF(AND(6&gt;$MQ75,6&lt;=$ND75),"6 → "&amp;$PP75&amp;", 18 PE",""),IF(AND(7&gt;$MQ75,7&lt;=$ND75),"7 → "&amp;$PQ75&amp;", 21 PE","")))))</f>
        <v/>
      </c>
      <c r="QK75" s="155">
        <f>IF(OR($NB75=0,$NM75=0),"",IF($MQ75=0,"−1 dado","−"&amp;INDEX($I$2:$N$8,MAX(1,$MQ75),MAX(1,$NR75))&amp;" · "&amp;CHOOSE(MAX(1,$NR75),"Leve","Média","Pesada","Leve · Livre","Média · Livre","Pesada · Livre")))</f>
        <v/>
      </c>
      <c r="QL75" s="155">
        <f>IF(OR($NB75=0,$NN75=0),"",IF($MQ75=0,"−1 dado","−"&amp;INDEX($I$2:$N$8,MAX(1,$MQ75),MAX(1,$NS75))&amp;" · "&amp;CHOOSE(MAX(1,$NS75),"Leve","Média","Pesada","Leve · Livre","Média · Livre","Pesada · Livre")))</f>
        <v/>
      </c>
      <c r="QM75" s="155">
        <f>IF(OR($NB75=0,$NO75=0),"",IF($MQ75=0,"−1 dado","−"&amp;INDEX($I$2:$N$8,MAX(1,$MQ75),MAX(1,$NT75))&amp;" · "&amp;CHOOSE(MAX(1,$NT75),"Leve","Média","Pesada","Leve · Livre","Média · Livre","Pesada · Livre")))</f>
        <v/>
      </c>
      <c r="QN75" s="155">
        <f>IF(OR($NB75=0,$NP75=0),"",IF($MQ75=0,"−1 dado","−"&amp;INDEX($I$2:$N$8,MAX(1,$MQ75),MAX(1,$NU75))&amp;" · "&amp;CHOOSE(MAX(1,$NU75),"Leve","Média","Pesada","Leve · Livre","Média · Livre","Pesada · Livre")))</f>
        <v/>
      </c>
      <c r="QO75" s="155">
        <f>IF(OR($NB75=0,$MZ75=""),"",IF($MQ75=0,"não devolve","+"&amp;IF($OG75=1,CEILING($MQ75/2,1),$MQ75)))</f>
        <v/>
      </c>
      <c r="QP75" s="155">
        <f>IF(OR($NB75=0,$NA75=""),"",IF($MQ75=0,"não devolve","+"&amp;IF($OH75=1,CEILING($MQ75/2,1),$MQ75)))</f>
        <v/>
      </c>
    </row>
    <row r="76">
      <c r="AV76" s="153" t="inlineStr">
        <is>
          <t>Limpa Fundo</t>
        </is>
      </c>
      <c r="AW76" s="153" t="inlineStr">
        <is>
          <t>Amparo</t>
        </is>
      </c>
      <c r="AX76" s="155" t="n">
        <v>3</v>
      </c>
      <c r="AY76" s="155" t="n">
        <v>0</v>
      </c>
      <c r="AZ76" s="155" t="n">
        <v>0</v>
      </c>
      <c r="BA76" s="155" t="n">
        <v>0</v>
      </c>
      <c r="JR76" s="155">
        <f>IF(OR($AW76="",COUNTIF($EJ$2:$EN$2,$AW76)&gt;0),$AV76,"")</f>
        <v/>
      </c>
      <c r="JS76" s="155">
        <f>IF(AND($AX76=1,OR($AW76="",COUNTIF($EJ$2:$EN$2,$AW76)&gt;0)),$AV76,"")</f>
        <v/>
      </c>
      <c r="JX76" s="155">
        <f>IF(OR($AW76="",COUNTIF($EJ$3:$EN$3,$AW76)&gt;0),$AV76,"")</f>
        <v/>
      </c>
      <c r="JY76" s="155">
        <f>IF(AND($AX76=1,OR($AW76="",COUNTIF($EJ$3:$EN$3,$AW76)&gt;0)),$AV76,"")</f>
        <v/>
      </c>
      <c r="KD76" s="155">
        <f>IF(OR($AW76="",COUNTIF($EJ$4:$EN$4,$AW76)&gt;0),$AV76,"")</f>
        <v/>
      </c>
      <c r="KE76" s="155">
        <f>IF(AND($AX76=1,OR($AW76="",COUNTIF($EJ$4:$EN$4,$AW76)&gt;0)),$AV76,"")</f>
        <v/>
      </c>
      <c r="KJ76" s="155">
        <f>IF(OR($AW76="",COUNTIF($EJ$5:$EN$5,$AW76)&gt;0),$AV76,"")</f>
        <v/>
      </c>
      <c r="KK76" s="155">
        <f>IF(AND($AX76=1,OR($AW76="",COUNTIF($EJ$5:$EN$5,$AW76)&gt;0)),$AV76,"")</f>
        <v/>
      </c>
      <c r="KP76" s="155">
        <f>IF(OR($AW76="",COUNTIF($EJ$6:$EN$6,$AW76)&gt;0),$AV76,"")</f>
        <v/>
      </c>
      <c r="KQ76" s="155">
        <f>IF(AND($AX76=1,OR($AW76="",COUNTIF($EJ$6:$EN$6,$AW76)&gt;0)),$AV76,"")</f>
        <v/>
      </c>
      <c r="KV76" s="155">
        <f>IF(OR($AW76="",COUNTIF($EJ$7:$EN$7,$AW76)&gt;0),$AV76,"")</f>
        <v/>
      </c>
      <c r="KW76" s="155">
        <f>IF(AND($AX76=1,OR($AW76="",COUNTIF($EJ$7:$EN$7,$AW76)&gt;0)),$AV76,"")</f>
        <v/>
      </c>
      <c r="LB76" s="155">
        <f>IF(OR($AW76="",COUNTIF($EJ$8:$EN$8,$AW76)&gt;0),$AV76,"")</f>
        <v/>
      </c>
      <c r="LC76" s="155">
        <f>IF(AND($AX76=1,OR($AW76="",COUNTIF($EJ$8:$EN$8,$AW76)&gt;0)),$AV76,"")</f>
        <v/>
      </c>
      <c r="LH76" s="155">
        <f>IF(OR($AW76="",COUNTIF($EJ$9:$EN$9,$AW76)&gt;0),$AV76,"")</f>
        <v/>
      </c>
      <c r="LI76" s="155">
        <f>IF(AND($AX76=1,OR($AW76="",COUNTIF($EJ$9:$EN$9,$AW76)&gt;0)),$AV76,"")</f>
        <v/>
      </c>
      <c r="LN76" s="155">
        <f>IF(OR($AW76="",COUNTIF($EJ$10:$EN$10,$AW76)&gt;0),$AV76,"")</f>
        <v/>
      </c>
      <c r="LO76" s="155">
        <f>IF(AND($AX76=1,OR($AW76="",COUNTIF($EJ$10:$EN$10,$AW76)&gt;0)),$AV76,"")</f>
        <v/>
      </c>
      <c r="LT76" s="155">
        <f>IF(OR($AW76="",COUNTIF($EJ$11:$EN$11,$AW76)&gt;0),$AV76,"")</f>
        <v/>
      </c>
      <c r="LU76" s="155">
        <f>IF(AND($AX76=1,OR($AW76="",COUNTIF($EJ$11:$EN$11,$AW76)&gt;0)),$AV76,"")</f>
        <v/>
      </c>
      <c r="LZ76" s="155">
        <f>IF(OR($AW76="",COUNTIF($EJ$12:$EN$12,$AW76)&gt;0),$AV76,"")</f>
        <v/>
      </c>
      <c r="MA76" s="155">
        <f>IF(AND($AX76=1,OR($AW76="",COUNTIF($EJ$12:$EN$12,$AW76)&gt;0)),$AV76,"")</f>
        <v/>
      </c>
      <c r="MF76" s="155">
        <f>IF(OR($AW76="",COUNTIF($EJ$13:$EN$13,$AW76)&gt;0),$AV76,"")</f>
        <v/>
      </c>
      <c r="MG76" s="155">
        <f>IF(AND($AX76=1,OR($AW76="",COUNTIF($EJ$13:$EN$13,$AW76)&gt;0)),$AV76,"")</f>
        <v/>
      </c>
      <c r="ML76" s="153" t="inlineStr">
        <is>
          <t>Ficha 6 · Especial 8</t>
        </is>
      </c>
      <c r="MM76" s="155" t="n">
        <v>6</v>
      </c>
      <c r="MN76" s="155" t="n">
        <v>1</v>
      </c>
      <c r="MO76" s="155" t="n">
        <v>28</v>
      </c>
      <c r="MP76" s="153" t="inlineStr">
        <is>
          <t>ESPECIAL 8</t>
        </is>
      </c>
      <c r="MQ76" s="155">
        <f>MAX(1,MIN(7,N('INVOCAÇÕES'!$I$1126)))</f>
        <v/>
      </c>
      <c r="MR76" s="155">
        <f>'INVOCAÇÕES'!$J$1126&amp;""</f>
        <v/>
      </c>
      <c r="MS76" s="155">
        <f>'INVOCAÇÕES'!$I$1131&amp;""</f>
        <v/>
      </c>
      <c r="MT76" s="155">
        <f>'INVOCAÇÕES'!$I$1132&amp;""</f>
        <v/>
      </c>
      <c r="MU76" s="155">
        <f>'INVOCAÇÕES'!$K$1132&amp;""</f>
        <v/>
      </c>
      <c r="MV76" s="155">
        <f>'INVOCAÇÕES'!$J$1135&amp;""</f>
        <v/>
      </c>
      <c r="MW76" s="155">
        <f>'INVOCAÇÕES'!$J$1136&amp;""</f>
        <v/>
      </c>
      <c r="MX76" s="155">
        <f>'INVOCAÇÕES'!$J$1137&amp;""</f>
        <v/>
      </c>
      <c r="MY76" s="155">
        <f>'INVOCAÇÕES'!$J$1138&amp;""</f>
        <v/>
      </c>
      <c r="MZ76" s="155">
        <f>'INVOCAÇÕES'!$J$1139&amp;""</f>
        <v/>
      </c>
      <c r="NA76" s="155">
        <f>'INVOCAÇÕES'!$J$1140&amp;""</f>
        <v/>
      </c>
      <c r="NB76" s="155">
        <f>IF($MR76&lt;&gt;"",1,0)</f>
        <v/>
      </c>
      <c r="NC76" s="155">
        <f>INDEX($FM$2:$FM$13,$MM76)</f>
        <v/>
      </c>
      <c r="ND76" s="155">
        <f>INDEX($FN$2:$FN$13,$MM76)</f>
        <v/>
      </c>
      <c r="NE76" s="155">
        <f>INDEX($FO$2:$FO$13,$MM76)</f>
        <v/>
      </c>
      <c r="NF76" s="155">
        <f>INDEX($FZ$2:$FZ$13,$MM76)</f>
        <v/>
      </c>
      <c r="NG76" s="155">
        <f>INDEX($GA$2:$GA$13,$MM76)</f>
        <v/>
      </c>
      <c r="NH76" s="155">
        <f>IFERROR(MATCH($MS76,$V$2:$V$11,0),0)</f>
        <v/>
      </c>
      <c r="NI76" s="155">
        <f>IFERROR(VLOOKUP($MV76,$AV$2:$BA$84,2,FALSE),"")</f>
        <v/>
      </c>
      <c r="NJ76" s="155">
        <f>IFERROR(VLOOKUP($MW76,$AV$2:$BA$84,2,FALSE),"")</f>
        <v/>
      </c>
      <c r="NK76" s="155">
        <f>IFERROR(VLOOKUP($MX76,$AV$2:$BA$84,2,FALSE),"")</f>
        <v/>
      </c>
      <c r="NL76" s="155">
        <f>IFERROR(VLOOKUP($MY76,$AV$2:$BA$84,2,FALSE),"")</f>
        <v/>
      </c>
      <c r="NM76" s="155">
        <f>IFERROR(VLOOKUP($MV76,$AV$2:$BA$84,3,FALSE),0)</f>
        <v/>
      </c>
      <c r="NN76" s="155">
        <f>IFERROR(VLOOKUP($MW76,$AV$2:$BA$84,3,FALSE),0)</f>
        <v/>
      </c>
      <c r="NO76" s="155">
        <f>IFERROR(VLOOKUP($MX76,$AV$2:$BA$84,3,FALSE),0)</f>
        <v/>
      </c>
      <c r="NP76" s="155">
        <f>IFERROR(VLOOKUP($MY76,$AV$2:$BA$84,3,FALSE),0)</f>
        <v/>
      </c>
      <c r="NQ76" s="155">
        <f>IF($MQ76=0,0,IF($NH76=0,0,INDEX($X$2:$X$11,$NH76)))</f>
        <v/>
      </c>
      <c r="NR76" s="155">
        <f>IF(OR($NM76=0,$MQ76=0),0,$NM76+3*IF(AND($NI76&lt;&gt;"",OR($NI76=INDEX($EJ$2:$EJ$13,$MM76),$NI76=INDEX($EK$2:$EK$13,$MM76))),1,0))</f>
        <v/>
      </c>
      <c r="NS76" s="155">
        <f>IF(OR($NN76=0,$MQ76=0),0,$NN76+3*IF(AND($NJ76&lt;&gt;"",OR($NJ76=INDEX($EJ$2:$EJ$13,$MM76),$NJ76=INDEX($EK$2:$EK$13,$MM76))),1,0))</f>
        <v/>
      </c>
      <c r="NT76" s="155">
        <f>IF(OR($NO76=0,$MQ76=0),0,$NO76+3*IF(AND($NK76&lt;&gt;"",OR($NK76=INDEX($EJ$2:$EJ$13,$MM76),$NK76=INDEX($EK$2:$EK$13,$MM76))),1,0))</f>
        <v/>
      </c>
      <c r="NU76" s="155">
        <f>IF(OR($NP76=0,$MQ76=0),0,$NP76+3*IF(AND($NL76&lt;&gt;"",OR($NL76=INDEX($EJ$2:$EJ$13,$MM76),$NL76=INDEX($EK$2:$EK$13,$MM76))),1,0))</f>
        <v/>
      </c>
      <c r="NV76" s="155">
        <f>IF($NH76=0,0,IF(INDEX($W$2:$W$11,$NH76)="",0,IF(COUNTIF(INDEX($EJ$2:$EN$13,$MM76,0),INDEX($W$2:$W$11,$NH76))=0,1,0)))</f>
        <v/>
      </c>
      <c r="NW76" s="155">
        <f>IF(OR($NM76=0,$NI76=""),0,IF(COUNTIF(INDEX($EJ$2:$EN$13,$MM76,0),$NI76)=0,1,0))</f>
        <v/>
      </c>
      <c r="NX76" s="155">
        <f>IF(OR($NN76=0,$NJ76=""),0,IF(COUNTIF(INDEX($EJ$2:$EN$13,$MM76,0),$NJ76)=0,1,0))</f>
        <v/>
      </c>
      <c r="NY76" s="155">
        <f>IF(OR($NO76=0,$NK76=""),0,IF(COUNTIF(INDEX($EJ$2:$EN$13,$MM76,0),$NK76)=0,1,0))</f>
        <v/>
      </c>
      <c r="NZ76" s="155">
        <f>IF(OR($NP76=0,$NL76=""),0,IF(COUNTIF(INDEX($EJ$2:$EN$13,$MM76,0),$NL76)=0,1,0))</f>
        <v/>
      </c>
      <c r="OA76" s="155">
        <f>IFERROR(VLOOKUP($MV76,$AV$2:$BA$84,4,FALSE),0)+IFERROR(VLOOKUP($MW76,$AV$2:$BA$84,4,FALSE),0)+IFERROR(VLOOKUP($MX76,$AV$2:$BA$84,4,FALSE),0)+IFERROR(VLOOKUP($MY76,$AV$2:$BA$84,4,FALSE),0)</f>
        <v/>
      </c>
      <c r="OB76" s="155">
        <f>IFERROR(VLOOKUP($MV76,$AV$2:$BA$84,6,FALSE),0)+IFERROR(VLOOKUP($MW76,$AV$2:$BA$84,6,FALSE),0)+IFERROR(VLOOKUP($MX76,$AV$2:$BA$84,6,FALSE),0)+IFERROR(VLOOKUP($MY76,$AV$2:$BA$84,6,FALSE),0)</f>
        <v/>
      </c>
      <c r="OC76" s="155">
        <f>TEXTJOIN(", ",TRUE,IF(IFERROR(VLOOKUP($MV76,$AV$2:$BA$84,5,FALSE),0)=1,$MV76,""),IF(IFERROR(VLOOKUP($MW76,$AV$2:$BA$84,5,FALSE),0)=1,$MW76,""),IF(IFERROR(VLOOKUP($MX76,$AV$2:$BA$84,5,FALSE),0)=1,$MX76,""),IF(IFERROR(VLOOKUP($MY76,$AV$2:$BA$84,5,FALSE),0)=1,$MY76,""))</f>
        <v/>
      </c>
      <c r="OD76" s="155">
        <f>IF($NH76=0,0,INDEX($Y$2:$Y$11,$NH76))</f>
        <v/>
      </c>
      <c r="OE76" s="155">
        <f>IF($NH76=0,0,INDEX($Z$2:$Z$11,$NH76))</f>
        <v/>
      </c>
      <c r="OF76" s="155">
        <f>IF($NH76=0,0,INDEX($AB$2:$AB$11,$NH76))</f>
        <v/>
      </c>
      <c r="OG76" s="155">
        <f>IFERROR(VLOOKUP($MZ76,$BC$2:$BG$24,3,FALSE),0)</f>
        <v/>
      </c>
      <c r="OH76" s="155">
        <f>IFERROR(VLOOKUP($NA76,$BC$2:$BG$24,3,FALSE),0)</f>
        <v/>
      </c>
      <c r="OI76" s="155">
        <f>IFERROR(VLOOKUP($MZ76,$BC$2:$BG$24,2,FALSE),"")</f>
        <v/>
      </c>
      <c r="OJ76" s="155">
        <f>IFERROR(VLOOKUP($NA76,$BC$2:$BG$24,2,FALSE),"")</f>
        <v/>
      </c>
      <c r="OK76" s="155">
        <f>COUNTIF($NQ76:$NU76,1)</f>
        <v/>
      </c>
      <c r="OL76" s="155">
        <f>COUNTIF($NQ76:$NU76,2)</f>
        <v/>
      </c>
      <c r="OM76" s="155">
        <f>COUNTIF($NQ76:$NU76,3)</f>
        <v/>
      </c>
      <c r="ON76" s="155">
        <f>COUNTIF($NQ76:$NU76,4)</f>
        <v/>
      </c>
      <c r="OO76" s="155">
        <f>COUNTIF($NQ76:$NU76,5)</f>
        <v/>
      </c>
      <c r="OP76" s="155">
        <f>COUNTIF($NQ76:$NU76,6)</f>
        <v/>
      </c>
      <c r="OQ76" s="155">
        <f>COUNTIF($OG76:$OH76,1)</f>
        <v/>
      </c>
      <c r="OR76" s="155">
        <f>COUNTIF($OG76:$OH76,2)+$OD76</f>
        <v/>
      </c>
      <c r="OS76" s="155">
        <f>COUNTIF($MV76:$MY76,"?*")</f>
        <v/>
      </c>
      <c r="OT76" s="155">
        <f>COUNTIF($MZ76:$NA76,"?*")+$OD76</f>
        <v/>
      </c>
      <c r="OU76" s="155">
        <f>IF($MQ76=0,0,SUMPRODUCT($OK76:$OP76,INDEX($I$2:$N$8,MAX(1,$MQ76),0)))</f>
        <v/>
      </c>
      <c r="OV76" s="155">
        <f>IF($MQ76=0,0,$OQ76*CEILING($MQ76/2,1)+$OR76*$MQ76)</f>
        <v/>
      </c>
      <c r="OW76" s="155">
        <f>MIN(2*$MQ76,$OV76)</f>
        <v/>
      </c>
      <c r="OX76" s="155">
        <f>MIN($OW76,$OU76)</f>
        <v/>
      </c>
      <c r="OY76" s="155">
        <f>$OW76-$OX76</f>
        <v/>
      </c>
      <c r="OZ76" s="155">
        <f>IF($MQ76=0,0,INDEX($P$2:$P$8,MAX(1,$MQ76)))</f>
        <v/>
      </c>
      <c r="PA76" s="155">
        <f>$OZ76-$OU76+$OX76</f>
        <v/>
      </c>
      <c r="PB76" s="155">
        <f>IF($MQ76=0,MAX(0,$NE76-IF($OS76&gt;0,1,0)),MAX(0,$PA76))</f>
        <v/>
      </c>
      <c r="PC76" s="155">
        <f>IF($MQ76=0,0,(IF(COUNTIF($MV76:$MY76,"Salto")&gt;0,1,0)+IF(COUNTIF($MV76:$MY76,"Queima")&gt;0,1,0)+IF(COUNTIF($MV76:$MY76,"Estilhaço")&gt;0,1,0))*FLOOR($PB76/2,1))</f>
        <v/>
      </c>
      <c r="PD76" s="155">
        <f>MAX(0,2-SUMPRODUCT($OK76:$OP76,$I$2:$N$2)+MIN(2,$OQ76*1+$OR76*1,SUMPRODUCT($OK76:$OP76,$I$2:$N$2)))</f>
        <v/>
      </c>
      <c r="PE76" s="155">
        <f>MAX(0,4-SUMPRODUCT($OK76:$OP76,$I$3:$N$3)+MIN(4,$OQ76*1+$OR76*2,SUMPRODUCT($OK76:$OP76,$I$3:$N$3)))</f>
        <v/>
      </c>
      <c r="PF76" s="155">
        <f>MAX(0,6-SUMPRODUCT($OK76:$OP76,$I$4:$N$4)+MIN(6,$OQ76*2+$OR76*3,SUMPRODUCT($OK76:$OP76,$I$4:$N$4)))</f>
        <v/>
      </c>
      <c r="PG76" s="155">
        <f>MAX(0,9-SUMPRODUCT($OK76:$OP76,$I$5:$N$5)+MIN(8,$OQ76*2+$OR76*4,SUMPRODUCT($OK76:$OP76,$I$5:$N$5)))</f>
        <v/>
      </c>
      <c r="PH76" s="155">
        <f>MAX(0,11-SUMPRODUCT($OK76:$OP76,$I$6:$N$6)+MIN(10,$OQ76*3+$OR76*5,SUMPRODUCT($OK76:$OP76,$I$6:$N$6)))</f>
        <v/>
      </c>
      <c r="PI76" s="155">
        <f>MAX(0,13-SUMPRODUCT($OK76:$OP76,$I$7:$N$7)+MIN(12,$OQ76*3+$OR76*6,SUMPRODUCT($OK76:$OP76,$I$7:$N$7)))</f>
        <v/>
      </c>
      <c r="PJ76" s="155">
        <f>MAX(0,16-SUMPRODUCT($OK76:$OP76,$I$8:$N$8)+MIN(14,$OQ76*4+$OR76*7,SUMPRODUCT($OK76:$OP76,$I$8:$N$8)))</f>
        <v/>
      </c>
      <c r="PK76" s="155">
        <f>IF($OE76=2,3*$PD76&amp;" de vida temp.",IF($OE76=3,"sem dano",IF($PD76=0,IF($OE76=1,"sem cura","sem dano"),IF($OE76=1,"cura ","")&amp;$PD76&amp;"d8")))</f>
        <v/>
      </c>
      <c r="PL76" s="155">
        <f>IF($OE76=2,3*$PE76&amp;" de vida temp.",IF($OE76=3,"sem dano",IF($PE76=0,IF($OE76=1,"sem cura","sem dano"),IF($OE76=1,"cura ","")&amp;$PE76&amp;"d8")))</f>
        <v/>
      </c>
      <c r="PM76" s="155">
        <f>IF($OE76=2,3*$PF76&amp;" de vida temp.",IF($OE76=3,"sem dano",IF($PF76=0,IF($OE76=1,"sem cura","sem dano"),IF($OE76=1,"cura ","")&amp;$PF76&amp;"d8")))</f>
        <v/>
      </c>
      <c r="PN76" s="155">
        <f>IF($OE76=2,3*$PG76&amp;" de vida temp.",IF($OE76=3,"sem dano",IF($PG76=0,IF($OE76=1,"sem cura","sem dano"),IF($OE76=1,"cura ","")&amp;$PG76&amp;"d8")))</f>
        <v/>
      </c>
      <c r="PO76" s="155">
        <f>IF($OE76=2,3*$PH76&amp;" de vida temp.",IF($OE76=3,"sem dano",IF($PH76=0,IF($OE76=1,"sem cura","sem dano"),IF($OE76=1,"cura ","")&amp;$PH76&amp;"d8")))</f>
        <v/>
      </c>
      <c r="PP76" s="155">
        <f>IF($OE76=2,3*$PI76&amp;" de vida temp.",IF($OE76=3,"sem dano",IF($PI76=0,IF($OE76=1,"sem cura","sem dano"),IF($OE76=1,"cura ","")&amp;$PI76&amp;"d8")))</f>
        <v/>
      </c>
      <c r="PQ76" s="155">
        <f>IF($OE76=2,3*$PJ76&amp;" de vida temp.",IF($OE76=3,"sem dano",IF($PJ76=0,IF($OE76=1,"sem cura","sem dano"),IF($OE76=1,"cura ","")&amp;$PJ76&amp;"d8")))</f>
        <v/>
      </c>
      <c r="PR76" s="155">
        <f>IF($NB76=0,"",TEXTJOIN(" · ",TRUE,IF($MO76&gt;$NC76,"Este lugar abre no nível "&amp;$MO76,""),IF($MQ76&gt;$ND76,"Classe "&amp;$MQ76&amp;": o nível "&amp;$NC76&amp;" libera até a "&amp;$ND76,""),IF($NV76=1,"A Forma "&amp;$MS76&amp;" pede "&amp;INDEX($W$2:$W$11,$NH76)&amp;" aberta",""),IF(AND($MQ76=0,$NH76&gt;0,IF($NH76=0,0,INDEX($AF$2:$AF$11,$NH76))=0),$MS76&amp;" não existe na Classe 0",""),IF($NW76=1,"Família Fechada: "&amp;$MV76,""),IF($NX76=1,"Família Fechada: "&amp;$MW76,""),IF($NY76=1,"Família Fechada: "&amp;$MX76,""),IF($NZ76=1,"Família Fechada: "&amp;$MY76,""),IF(AND($MQ76&gt;0,$OS76&gt;INDEX($O$2:$O$8,MAX(1,$MQ76))),$OS76&amp;" Melhorias: a Classe "&amp;$MQ76&amp;" aceita "&amp;INDEX($O$2:$O$8,MAX(1,$MQ76)),""),IF(AND($MQ76=0,$OS76&gt;1),"A básica aceita uma Melhoria",""),IF(AND($MQ76=0,COUNTIF($NM76:$NP76,"&gt;1")&gt;0),"A básica só aceita Melhoria Leve",""),IF(AND($MQ76&gt;0,$OT76&gt;2),$OT76&amp;" Restrições"&amp;IF($OD76=1,", contando a que a Forma "&amp;$MS76&amp;" já traz","")&amp;": o limite é 2",""),IF(AND($MQ76=0,COUNTIF($MZ76:$NA76,"?*")&gt;1),"A básica aceita uma Restrição Leve",""),IF(AND($MQ76=0,COUNTIF($OG76:$OH76,2)&gt;0),"A básica só aceita Restrição Leve",""),IF(AND($MQ76&gt;0,$PA76&lt;0),"Orçamento estourado: faltam "&amp;(-$PA76)&amp;IF($PA76&lt;-1," pontos"," ponto"),""),IF(IFERROR(VLOOKUP($MZ76,$BC$2:$BG$24,4,FALSE),0)+IFERROR(VLOOKUP($NA76,$BC$2:$BG$24,4,FALSE),0)&gt;1,$OI76&amp;" e "&amp;$OJ76&amp;" são as duas de frequência",""),IF(AND((COUNTIF($MV76:$MY76,"Rápido")+COUNTIF($OI76:$OJ76,"Rápido"))&gt;0,(COUNTIF($MV76:$MY76,"Atrasar")+COUNTIF($OI76:$OJ76,"Atrasar"))&gt;0),"Rápido não entra com Atrasar",""),IF(AND((COUNTIF($MV76:$MY76,"Reação")+COUNTIF($OI76:$OJ76,"Reação"))&gt;0,(COUNTIF($MV76:$MY76,"Rápido")+COUNTIF($OI76:$OJ76,"Rápido"))&gt;0),"Reação não entra com Rápido",""),IF(AND((COUNTIF($MV76:$MY76,"Reação")+COUNTIF($OI76:$OJ76,"Reação"))&gt;0,(COUNTIF($MV76:$MY76,"Armado")+COUNTIF($OI76:$OJ76,"Armado"))&gt;0),"Reação não entra com Armado",""),IF(AND((COUNTIF($MV76:$MY76,"Reação")+COUNTIF($OI76:$OJ76,"Reação"))&gt;0,(COUNTIF($MV76:$MY76,"Atrasar")+COUNTIF($OI76:$OJ76,"Atrasar"))&gt;0),"Reação não entra com Atrasar",""),IF(AND((COUNTIF($MV76:$MY76,"Reação")+COUNTIF($OI76:$OJ76,"Reação"))&gt;0,(COUNTIF($MV76:$MY76,"Parado")+COUNTIF($OI76:$OJ76,"Parado"))&gt;0),"Reação não entra com Parado",""),IF(AND((COUNTIF($MV76:$MY76,"Atrasar")+COUNTIF($OI76:$OJ76,"Atrasar"))&gt;0,(COUNTIF($MV76:$MY76,"Parado")+COUNTIF($OI76:$OJ76,"Parado"))&gt;0),"Atrasar não entra com Parado",""),IF(AND((COUNTIF($MV76:$MY76,"Armado")+COUNTIF($OI76:$OJ76,"Armado"))&gt;0,(COUNTIF($MV76:$MY76,"Carregar")+COUNTIF($OI76:$OJ76,"Carregar"))&gt;0),"Armado não entra com Carregar",""),IF(AND(COUNTIF($OI76:$OJ76,"Corpo a Corpo")&gt;0,$OD76=0,OR($MS76="Cone",$MS76="Linha")),"Corpo a Corpo não entra em "&amp;$MS76,""),IF(AND(COUNTIF($OI76:$OJ76,"Corpo a Corpo")&gt;0,$OD76=1),"A Forma "&amp;$MS76&amp;" já traz o Corpo a Corpo",""),IF(AND(COUNTIF($OI76:$OJ76,"Tudo ou Nada")&gt;0,$OF76=0),"Tudo ou Nada só entra em habilidade de Teste de Resistência",""),IF(AND(COUNTIF($MV76:$MY76,"Inescapável")&gt;0,OR($OS76&gt;1,$OT76&gt;0)),"Inescapável não aceita outra peça",""),IF(AND($MQ76&gt;0,$PB76*IF(COUNTIF($MV76:$MY76,"Remate")&gt;0,1.25,1)+$PC76&gt;4*$MQ76),($PB76*IF(COUNTIF($MV76:$MY76,"Remate")&gt;0,1.25,1)+$PC76)&amp;" dados somando repetições"&amp;IF(COUNTIF($MV76:$MY76,"Remate")&gt;0," e o Remate","")&amp;": o teto da Classe "&amp;$MQ76&amp;" é "&amp;4*$MQ76,"")))</f>
        <v/>
      </c>
      <c r="PS76" s="155">
        <f>IF($PR76="",0,(LEN($PR76)-LEN(SUBSTITUTE($PR76," · ","")))/3+1)</f>
        <v/>
      </c>
      <c r="PT76" s="155">
        <f>IF($NB76=0,"",TEXTJOIN(" · ",TRUE,IF($OV76&gt;2*$MQ76,"A devolução parou no teto de "&amp;2*$MQ76,""),IF($OY76&gt;0,"Devolução perdida: "&amp;$OY76&amp;IF($OY76&gt;1," pontos"," ponto")&amp;" sem peça para pagar",""),IF(AND($OA76&gt;0,AND($MQ76&gt;0,$OE76=0),$PB76=0),"Controle sem dano: uma rodada a mais e CD +2",""),IF(AND($OA76&gt;0,AND($MQ76&gt;0,$OE76=0),$PB76&gt;0,$PB76&lt;=$MQ76),"Controle com saldo até a Classe: uma rodada a mais",""),IF(AND($MQ76&gt;0,$OC76&lt;&gt;""),"Efeito de "&amp;$OC76&amp;" pela Classe "&amp;MAX(1,$MQ76-1),"")))</f>
        <v/>
      </c>
      <c r="PU76" s="155">
        <f>IF($PT76="",0,(LEN($PT76)-LEN(SUBSTITUTE($PT76," · ","")))/3+1)</f>
        <v/>
      </c>
      <c r="PV76" s="155">
        <f>IF($NB76=0,IF($OS76+COUNTIF($MZ76:$NA76,"?*")&gt;0,"Dê um nome",""),IF($PS76&gt;0,"⚠ "&amp;$PS76&amp;IF($PS76&gt;1," erros"," erro"),IF($PU76&gt;0,"! "&amp;$PU76&amp;IF($PU76&gt;1," avisos"," aviso"),"Na regra")))</f>
        <v/>
      </c>
      <c r="PW76" s="155">
        <f>IF($NB76=0,"",IF($PS76+$PU76=0,"Dentro das regras que a ficha confere",$PR76&amp;IF(AND($PS76&gt;0,$PU76&gt;0)," · ","")&amp;$PT76))</f>
        <v/>
      </c>
      <c r="PX76" s="155">
        <f>IF($MO76&gt;$NC76,$MP76&amp;" · ABRE NO NÍVEL "&amp;$MO76,$MP76)</f>
        <v/>
      </c>
      <c r="PY76" s="155">
        <f>IF($NB76=0,"",IF($MQ76=0,"Sem PE",3*$MQ76&amp;" PE"))</f>
        <v/>
      </c>
      <c r="PZ76" s="155">
        <f>IF($NB76=0,"",IF($MQ76=0,"A atuação básica dela",IF(COUNTIF($OI76:$OJ76,"Atrasar")&gt;0,"Sua Ação Completa",IF(COUNTIF($MV76:$MY76,"Rápido")&gt;0,"Sua Bônus",IF(COUNTIF($MV76:$MY76,"Reação")&gt;0,"Sua Reação","Sua Padrão")))&amp;" + a básica dela"&amp;IF(COUNTIF($MV76:$MY76,"Reação")&gt;0," e a coletiva","")&amp;IF(COUNTIF($OI76:$OJ76,"Carregar")&gt;0," · em dois turnos","")))</f>
        <v/>
      </c>
      <c r="QA76" s="155">
        <f>IF($MU76&lt;&gt;"",$MU76,IF($NH76=0,"",INDEX($AA$2:$AA$11,$NH76)))</f>
        <v/>
      </c>
      <c r="QB76" s="155">
        <f>IF(OR($NB76=0,$NH76=0),"",IF(COUNTIF($MV76:$MY76,"Inescapável")&gt;0,"Automático",IF($QA76="Ataque",IF($NF76="","Ataque","Ataque "&amp;IF(($NF76+2*IF(COUNTIF($MV76:$MY76,"Precisão")&gt;0,1,0))&gt;=0,"+","−")&amp;ABS(($NF76+2*IF(COUNTIF($MV76:$MY76,"Precisão")&gt;0,1,0))))&amp;IF($OB76&gt;0," · TR"&amp;IF($NG76="",""," CD "&amp;$NG76),""),IF(LEFT($QA76,2)="TR",$QA76&amp;IF($NG76="",""," · CD "&amp;$NG76)&amp;IF(COUNTIF($MV76:$MY76,"Certeiro")&gt;0," · metade",""),"Sem rolagem"))))</f>
        <v/>
      </c>
      <c r="QC76" s="155">
        <f>IF(OR($NB76=0,$NH76=0),"",IF($MQ76=0,IF(OR($OE76&gt;=1,$PB76=0),"Sem dano",$PB76&amp;"d6"&amp;IF($MT76="",""," "&amp;$MT76)),IF(OR($OE76&gt;=1,$PB76=0),UPPER(LEFT(INDEX($PK76:$PQ76,1,MAX(1,$MQ76)),1))&amp;MID(INDEX($PK76:$PQ76,1,MAX(1,$MQ76)),2,99),UPPER(LEFT(INDEX($PK76:$PQ76,1,MAX(1,$MQ76)),1))&amp;MID(INDEX($PK76:$PQ76,1,MAX(1,$MQ76)),2,99)&amp;IF($MT76="",""," "&amp;$MT76)&amp;IF($PC76&gt;0," · +"&amp;$PC76&amp;"d8",""))))</f>
        <v/>
      </c>
      <c r="QD76" s="155">
        <f>COUNTIF($MV76:$MY76,"Longe")+3*COUNTIF($MV76:$MY76,"Muito Longe")</f>
        <v/>
      </c>
      <c r="QE76" s="155">
        <f>COUNTIF($MV76:$MY76,"Maior")+3*COUNTIF($MV76:$MY76,"Muito Maior")</f>
        <v/>
      </c>
      <c r="QF76" s="155">
        <f>IF($NH76=0,0,CHOOSE(1+INDEX($AC$2:$AC$11,$NH76),0,$QD76,$QE76,$QD76+$QE76))</f>
        <v/>
      </c>
      <c r="QG76" s="155">
        <f>IF($NH76=0,0,CHOOSE(1+INDEX($AD$2:$AD$11,$NH76),0,$QD76,$QE76,$QD76+$QE76))</f>
        <v/>
      </c>
      <c r="QH76" s="155">
        <f>IF(OR($NB76=0,$NH76=0),"",INDEX($AI$2:$AN$41,($NH76-1)*4+IF($MQ76=0,1,IF($MQ76&lt;=5,2,IF($MQ76=6,3,4))),1+MIN(5,$QF76))&amp;INDEX($AO$2:$AT$41,($NH76-1)*4+IF($MQ76=0,1,IF($MQ76&lt;=5,2,IF($MQ76=6,3,4))),1+MIN(5,$QG76))&amp;IF(INDEX($AE$2:$AE$11,$NH76)=1,IF(COUNTIF($MV76:$MY76,"Mais Um")&gt;0," · +"&amp;COUNTIF($MV76:$MY76,"Mais Um")&amp;IF(COUNTIF($MV76:$MY76,"Mais Um")&gt;1," alvos"," alvo"),"")&amp;IF(COUNTIF($MV76:$MY76,"Rajada")&gt;0,IF($MQ76=0," · 1 tiro"," · "&amp;(MAX(1,$MQ76-1)+1)&amp;" tiros"),""),""))</f>
        <v/>
      </c>
      <c r="QI76" s="155">
        <f>IF($NB76=0,"",IF($MQ76=0,$NE76&amp;"d6"&amp;IF($OS76&gt;0," − 1 = "&amp;$PB76&amp;"d6"," da básica do nível "&amp;$NC76),$OZ76&amp;" − "&amp;$OU76&amp;" + "&amp;$OX76&amp;" = "&amp;$PA76&amp;" · teto "&amp;4*$MQ76&amp;"d8"&amp;IF($OD76=1," · a Forma devolve "&amp;$MQ76,"")&amp;IF($OY76&gt;0," · perde "&amp;$OY76,"")))</f>
        <v/>
      </c>
      <c r="QJ76" s="155">
        <f>IF($NB76=0,"",IF($MQ76=0,"A básica não amplia: os dados dela sobem com o nível",IF($MQ76&gt;=$ND76,"Já está na maior Classe que o nível liberou",TEXTJOIN(" · ",TRUE,IF(AND(2&gt;$MQ76,2&lt;=$ND76),"2 → "&amp;$PL76&amp;", 6 PE",""),IF(AND(3&gt;$MQ76,3&lt;=$ND76),"3 → "&amp;$PM76&amp;", 9 PE",""),IF(AND(4&gt;$MQ76,4&lt;=$ND76),"4 → "&amp;$PN76&amp;", 12 PE",""),IF(AND(5&gt;$MQ76,5&lt;=$ND76),"5 → "&amp;$PO76&amp;", 15 PE",""),IF(AND(6&gt;$MQ76,6&lt;=$ND76),"6 → "&amp;$PP76&amp;", 18 PE",""),IF(AND(7&gt;$MQ76,7&lt;=$ND76),"7 → "&amp;$PQ76&amp;", 21 PE","")))))</f>
        <v/>
      </c>
      <c r="QK76" s="155">
        <f>IF(OR($NB76=0,$NM76=0),"",IF($MQ76=0,"−1 dado","−"&amp;INDEX($I$2:$N$8,MAX(1,$MQ76),MAX(1,$NR76))&amp;" · "&amp;CHOOSE(MAX(1,$NR76),"Leve","Média","Pesada","Leve · Livre","Média · Livre","Pesada · Livre")))</f>
        <v/>
      </c>
      <c r="QL76" s="155">
        <f>IF(OR($NB76=0,$NN76=0),"",IF($MQ76=0,"−1 dado","−"&amp;INDEX($I$2:$N$8,MAX(1,$MQ76),MAX(1,$NS76))&amp;" · "&amp;CHOOSE(MAX(1,$NS76),"Leve","Média","Pesada","Leve · Livre","Média · Livre","Pesada · Livre")))</f>
        <v/>
      </c>
      <c r="QM76" s="155">
        <f>IF(OR($NB76=0,$NO76=0),"",IF($MQ76=0,"−1 dado","−"&amp;INDEX($I$2:$N$8,MAX(1,$MQ76),MAX(1,$NT76))&amp;" · "&amp;CHOOSE(MAX(1,$NT76),"Leve","Média","Pesada","Leve · Livre","Média · Livre","Pesada · Livre")))</f>
        <v/>
      </c>
      <c r="QN76" s="155">
        <f>IF(OR($NB76=0,$NP76=0),"",IF($MQ76=0,"−1 dado","−"&amp;INDEX($I$2:$N$8,MAX(1,$MQ76),MAX(1,$NU76))&amp;" · "&amp;CHOOSE(MAX(1,$NU76),"Leve","Média","Pesada","Leve · Livre","Média · Livre","Pesada · Livre")))</f>
        <v/>
      </c>
      <c r="QO76" s="155">
        <f>IF(OR($NB76=0,$MZ76=""),"",IF($MQ76=0,"não devolve","+"&amp;IF($OG76=1,CEILING($MQ76/2,1),$MQ76)))</f>
        <v/>
      </c>
      <c r="QP76" s="155">
        <f>IF(OR($NB76=0,$NA76=""),"",IF($MQ76=0,"não devolve","+"&amp;IF($OH76=1,CEILING($MQ76/2,1),$MQ76)))</f>
        <v/>
      </c>
    </row>
    <row r="77">
      <c r="AV77" s="153" t="inlineStr">
        <is>
          <t>Levanta</t>
        </is>
      </c>
      <c r="AW77" s="153" t="inlineStr">
        <is>
          <t>Amparo</t>
        </is>
      </c>
      <c r="AX77" s="155" t="n">
        <v>3</v>
      </c>
      <c r="AY77" s="155" t="n">
        <v>0</v>
      </c>
      <c r="AZ77" s="155" t="n">
        <v>1</v>
      </c>
      <c r="BA77" s="155" t="n">
        <v>0</v>
      </c>
      <c r="JR77" s="155">
        <f>IF(OR($AW77="",COUNTIF($EJ$2:$EN$2,$AW77)&gt;0),$AV77,"")</f>
        <v/>
      </c>
      <c r="JS77" s="155">
        <f>IF(AND($AX77=1,OR($AW77="",COUNTIF($EJ$2:$EN$2,$AW77)&gt;0)),$AV77,"")</f>
        <v/>
      </c>
      <c r="JX77" s="155">
        <f>IF(OR($AW77="",COUNTIF($EJ$3:$EN$3,$AW77)&gt;0),$AV77,"")</f>
        <v/>
      </c>
      <c r="JY77" s="155">
        <f>IF(AND($AX77=1,OR($AW77="",COUNTIF($EJ$3:$EN$3,$AW77)&gt;0)),$AV77,"")</f>
        <v/>
      </c>
      <c r="KD77" s="155">
        <f>IF(OR($AW77="",COUNTIF($EJ$4:$EN$4,$AW77)&gt;0),$AV77,"")</f>
        <v/>
      </c>
      <c r="KE77" s="155">
        <f>IF(AND($AX77=1,OR($AW77="",COUNTIF($EJ$4:$EN$4,$AW77)&gt;0)),$AV77,"")</f>
        <v/>
      </c>
      <c r="KJ77" s="155">
        <f>IF(OR($AW77="",COUNTIF($EJ$5:$EN$5,$AW77)&gt;0),$AV77,"")</f>
        <v/>
      </c>
      <c r="KK77" s="155">
        <f>IF(AND($AX77=1,OR($AW77="",COUNTIF($EJ$5:$EN$5,$AW77)&gt;0)),$AV77,"")</f>
        <v/>
      </c>
      <c r="KP77" s="155">
        <f>IF(OR($AW77="",COUNTIF($EJ$6:$EN$6,$AW77)&gt;0),$AV77,"")</f>
        <v/>
      </c>
      <c r="KQ77" s="155">
        <f>IF(AND($AX77=1,OR($AW77="",COUNTIF($EJ$6:$EN$6,$AW77)&gt;0)),$AV77,"")</f>
        <v/>
      </c>
      <c r="KV77" s="155">
        <f>IF(OR($AW77="",COUNTIF($EJ$7:$EN$7,$AW77)&gt;0),$AV77,"")</f>
        <v/>
      </c>
      <c r="KW77" s="155">
        <f>IF(AND($AX77=1,OR($AW77="",COUNTIF($EJ$7:$EN$7,$AW77)&gt;0)),$AV77,"")</f>
        <v/>
      </c>
      <c r="LB77" s="155">
        <f>IF(OR($AW77="",COUNTIF($EJ$8:$EN$8,$AW77)&gt;0),$AV77,"")</f>
        <v/>
      </c>
      <c r="LC77" s="155">
        <f>IF(AND($AX77=1,OR($AW77="",COUNTIF($EJ$8:$EN$8,$AW77)&gt;0)),$AV77,"")</f>
        <v/>
      </c>
      <c r="LH77" s="155">
        <f>IF(OR($AW77="",COUNTIF($EJ$9:$EN$9,$AW77)&gt;0),$AV77,"")</f>
        <v/>
      </c>
      <c r="LI77" s="155">
        <f>IF(AND($AX77=1,OR($AW77="",COUNTIF($EJ$9:$EN$9,$AW77)&gt;0)),$AV77,"")</f>
        <v/>
      </c>
      <c r="LN77" s="155">
        <f>IF(OR($AW77="",COUNTIF($EJ$10:$EN$10,$AW77)&gt;0),$AV77,"")</f>
        <v/>
      </c>
      <c r="LO77" s="155">
        <f>IF(AND($AX77=1,OR($AW77="",COUNTIF($EJ$10:$EN$10,$AW77)&gt;0)),$AV77,"")</f>
        <v/>
      </c>
      <c r="LT77" s="155">
        <f>IF(OR($AW77="",COUNTIF($EJ$11:$EN$11,$AW77)&gt;0),$AV77,"")</f>
        <v/>
      </c>
      <c r="LU77" s="155">
        <f>IF(AND($AX77=1,OR($AW77="",COUNTIF($EJ$11:$EN$11,$AW77)&gt;0)),$AV77,"")</f>
        <v/>
      </c>
      <c r="LZ77" s="155">
        <f>IF(OR($AW77="",COUNTIF($EJ$12:$EN$12,$AW77)&gt;0),$AV77,"")</f>
        <v/>
      </c>
      <c r="MA77" s="155">
        <f>IF(AND($AX77=1,OR($AW77="",COUNTIF($EJ$12:$EN$12,$AW77)&gt;0)),$AV77,"")</f>
        <v/>
      </c>
      <c r="MF77" s="155">
        <f>IF(OR($AW77="",COUNTIF($EJ$13:$EN$13,$AW77)&gt;0),$AV77,"")</f>
        <v/>
      </c>
      <c r="MG77" s="155">
        <f>IF(AND($AX77=1,OR($AW77="",COUNTIF($EJ$13:$EN$13,$AW77)&gt;0)),$AV77,"")</f>
        <v/>
      </c>
      <c r="ML77" s="153" t="inlineStr">
        <is>
          <t>Ficha 6 · Escolha da trilha 1</t>
        </is>
      </c>
      <c r="MM77" s="155" t="n">
        <v>6</v>
      </c>
      <c r="MN77" s="155" t="n">
        <v>2</v>
      </c>
      <c r="MO77" s="155" t="n">
        <v>0</v>
      </c>
      <c r="MP77" s="153" t="inlineStr">
        <is>
          <t>ESCOLHA DA TRILHA 1</t>
        </is>
      </c>
      <c r="MQ77" s="155">
        <f>MAX(0,MIN(7,N('INVOCAÇÕES'!$I$1150)))</f>
        <v/>
      </c>
      <c r="MR77" s="155">
        <f>'INVOCAÇÕES'!$J$1150&amp;""</f>
        <v/>
      </c>
      <c r="MS77" s="155">
        <f>'INVOCAÇÕES'!$I$1155&amp;""</f>
        <v/>
      </c>
      <c r="MT77" s="155">
        <f>'INVOCAÇÕES'!$I$1156&amp;""</f>
        <v/>
      </c>
      <c r="MU77" s="155">
        <f>'INVOCAÇÕES'!$K$1156&amp;""</f>
        <v/>
      </c>
      <c r="MV77" s="155">
        <f>'INVOCAÇÕES'!$J$1159&amp;""</f>
        <v/>
      </c>
      <c r="MW77" s="155">
        <f>'INVOCAÇÕES'!$J$1160&amp;""</f>
        <v/>
      </c>
      <c r="MX77" s="155">
        <f>'INVOCAÇÕES'!$J$1161&amp;""</f>
        <v/>
      </c>
      <c r="MY77" s="155">
        <f>'INVOCAÇÕES'!$J$1162&amp;""</f>
        <v/>
      </c>
      <c r="MZ77" s="155">
        <f>'INVOCAÇÕES'!$J$1163&amp;""</f>
        <v/>
      </c>
      <c r="NA77" s="155">
        <f>'INVOCAÇÕES'!$J$1164&amp;""</f>
        <v/>
      </c>
      <c r="NB77" s="155">
        <f>IF($MR77&lt;&gt;"",1,0)</f>
        <v/>
      </c>
      <c r="NC77" s="155">
        <f>INDEX($FM$2:$FM$13,$MM77)</f>
        <v/>
      </c>
      <c r="ND77" s="155">
        <f>INDEX($FN$2:$FN$13,$MM77)</f>
        <v/>
      </c>
      <c r="NE77" s="155">
        <f>INDEX($FO$2:$FO$13,$MM77)</f>
        <v/>
      </c>
      <c r="NF77" s="155">
        <f>INDEX($FZ$2:$FZ$13,$MM77)</f>
        <v/>
      </c>
      <c r="NG77" s="155">
        <f>INDEX($GA$2:$GA$13,$MM77)</f>
        <v/>
      </c>
      <c r="NH77" s="155">
        <f>IFERROR(MATCH($MS77,$V$2:$V$11,0),0)</f>
        <v/>
      </c>
      <c r="NI77" s="155">
        <f>IFERROR(VLOOKUP($MV77,$AV$2:$BA$84,2,FALSE),"")</f>
        <v/>
      </c>
      <c r="NJ77" s="155">
        <f>IFERROR(VLOOKUP($MW77,$AV$2:$BA$84,2,FALSE),"")</f>
        <v/>
      </c>
      <c r="NK77" s="155">
        <f>IFERROR(VLOOKUP($MX77,$AV$2:$BA$84,2,FALSE),"")</f>
        <v/>
      </c>
      <c r="NL77" s="155">
        <f>IFERROR(VLOOKUP($MY77,$AV$2:$BA$84,2,FALSE),"")</f>
        <v/>
      </c>
      <c r="NM77" s="155">
        <f>IFERROR(VLOOKUP($MV77,$AV$2:$BA$84,3,FALSE),0)</f>
        <v/>
      </c>
      <c r="NN77" s="155">
        <f>IFERROR(VLOOKUP($MW77,$AV$2:$BA$84,3,FALSE),0)</f>
        <v/>
      </c>
      <c r="NO77" s="155">
        <f>IFERROR(VLOOKUP($MX77,$AV$2:$BA$84,3,FALSE),0)</f>
        <v/>
      </c>
      <c r="NP77" s="155">
        <f>IFERROR(VLOOKUP($MY77,$AV$2:$BA$84,3,FALSE),0)</f>
        <v/>
      </c>
      <c r="NQ77" s="155">
        <f>IF($MQ77=0,0,IF($NH77=0,0,INDEX($X$2:$X$11,$NH77)))</f>
        <v/>
      </c>
      <c r="NR77" s="155">
        <f>IF(OR($NM77=0,$MQ77=0),0,$NM77+3*IF(AND($NI77&lt;&gt;"",OR($NI77=INDEX($EJ$2:$EJ$13,$MM77),$NI77=INDEX($EK$2:$EK$13,$MM77))),1,0))</f>
        <v/>
      </c>
      <c r="NS77" s="155">
        <f>IF(OR($NN77=0,$MQ77=0),0,$NN77+3*IF(AND($NJ77&lt;&gt;"",OR($NJ77=INDEX($EJ$2:$EJ$13,$MM77),$NJ77=INDEX($EK$2:$EK$13,$MM77))),1,0))</f>
        <v/>
      </c>
      <c r="NT77" s="155">
        <f>IF(OR($NO77=0,$MQ77=0),0,$NO77+3*IF(AND($NK77&lt;&gt;"",OR($NK77=INDEX($EJ$2:$EJ$13,$MM77),$NK77=INDEX($EK$2:$EK$13,$MM77))),1,0))</f>
        <v/>
      </c>
      <c r="NU77" s="155">
        <f>IF(OR($NP77=0,$MQ77=0),0,$NP77+3*IF(AND($NL77&lt;&gt;"",OR($NL77=INDEX($EJ$2:$EJ$13,$MM77),$NL77=INDEX($EK$2:$EK$13,$MM77))),1,0))</f>
        <v/>
      </c>
      <c r="NV77" s="155">
        <f>IF($NH77=0,0,IF(INDEX($W$2:$W$11,$NH77)="",0,IF(COUNTIF(INDEX($EJ$2:$EN$13,$MM77,0),INDEX($W$2:$W$11,$NH77))=0,1,0)))</f>
        <v/>
      </c>
      <c r="NW77" s="155">
        <f>IF(OR($NM77=0,$NI77=""),0,IF(COUNTIF(INDEX($EJ$2:$EN$13,$MM77,0),$NI77)=0,1,0))</f>
        <v/>
      </c>
      <c r="NX77" s="155">
        <f>IF(OR($NN77=0,$NJ77=""),0,IF(COUNTIF(INDEX($EJ$2:$EN$13,$MM77,0),$NJ77)=0,1,0))</f>
        <v/>
      </c>
      <c r="NY77" s="155">
        <f>IF(OR($NO77=0,$NK77=""),0,IF(COUNTIF(INDEX($EJ$2:$EN$13,$MM77,0),$NK77)=0,1,0))</f>
        <v/>
      </c>
      <c r="NZ77" s="155">
        <f>IF(OR($NP77=0,$NL77=""),0,IF(COUNTIF(INDEX($EJ$2:$EN$13,$MM77,0),$NL77)=0,1,0))</f>
        <v/>
      </c>
      <c r="OA77" s="155">
        <f>IFERROR(VLOOKUP($MV77,$AV$2:$BA$84,4,FALSE),0)+IFERROR(VLOOKUP($MW77,$AV$2:$BA$84,4,FALSE),0)+IFERROR(VLOOKUP($MX77,$AV$2:$BA$84,4,FALSE),0)+IFERROR(VLOOKUP($MY77,$AV$2:$BA$84,4,FALSE),0)</f>
        <v/>
      </c>
      <c r="OB77" s="155">
        <f>IFERROR(VLOOKUP($MV77,$AV$2:$BA$84,6,FALSE),0)+IFERROR(VLOOKUP($MW77,$AV$2:$BA$84,6,FALSE),0)+IFERROR(VLOOKUP($MX77,$AV$2:$BA$84,6,FALSE),0)+IFERROR(VLOOKUP($MY77,$AV$2:$BA$84,6,FALSE),0)</f>
        <v/>
      </c>
      <c r="OC77" s="155">
        <f>TEXTJOIN(", ",TRUE,IF(IFERROR(VLOOKUP($MV77,$AV$2:$BA$84,5,FALSE),0)=1,$MV77,""),IF(IFERROR(VLOOKUP($MW77,$AV$2:$BA$84,5,FALSE),0)=1,$MW77,""),IF(IFERROR(VLOOKUP($MX77,$AV$2:$BA$84,5,FALSE),0)=1,$MX77,""),IF(IFERROR(VLOOKUP($MY77,$AV$2:$BA$84,5,FALSE),0)=1,$MY77,""))</f>
        <v/>
      </c>
      <c r="OD77" s="155">
        <f>IF($NH77=0,0,INDEX($Y$2:$Y$11,$NH77))</f>
        <v/>
      </c>
      <c r="OE77" s="155">
        <f>IF($NH77=0,0,INDEX($Z$2:$Z$11,$NH77))</f>
        <v/>
      </c>
      <c r="OF77" s="155">
        <f>IF($NH77=0,0,INDEX($AB$2:$AB$11,$NH77))</f>
        <v/>
      </c>
      <c r="OG77" s="155">
        <f>IFERROR(VLOOKUP($MZ77,$BC$2:$BG$24,3,FALSE),0)</f>
        <v/>
      </c>
      <c r="OH77" s="155">
        <f>IFERROR(VLOOKUP($NA77,$BC$2:$BG$24,3,FALSE),0)</f>
        <v/>
      </c>
      <c r="OI77" s="155">
        <f>IFERROR(VLOOKUP($MZ77,$BC$2:$BG$24,2,FALSE),"")</f>
        <v/>
      </c>
      <c r="OJ77" s="155">
        <f>IFERROR(VLOOKUP($NA77,$BC$2:$BG$24,2,FALSE),"")</f>
        <v/>
      </c>
      <c r="OK77" s="155">
        <f>COUNTIF($NQ77:$NU77,1)</f>
        <v/>
      </c>
      <c r="OL77" s="155">
        <f>COUNTIF($NQ77:$NU77,2)</f>
        <v/>
      </c>
      <c r="OM77" s="155">
        <f>COUNTIF($NQ77:$NU77,3)</f>
        <v/>
      </c>
      <c r="ON77" s="155">
        <f>COUNTIF($NQ77:$NU77,4)</f>
        <v/>
      </c>
      <c r="OO77" s="155">
        <f>COUNTIF($NQ77:$NU77,5)</f>
        <v/>
      </c>
      <c r="OP77" s="155">
        <f>COUNTIF($NQ77:$NU77,6)</f>
        <v/>
      </c>
      <c r="OQ77" s="155">
        <f>COUNTIF($OG77:$OH77,1)</f>
        <v/>
      </c>
      <c r="OR77" s="155">
        <f>COUNTIF($OG77:$OH77,2)+$OD77</f>
        <v/>
      </c>
      <c r="OS77" s="155">
        <f>COUNTIF($MV77:$MY77,"?*")</f>
        <v/>
      </c>
      <c r="OT77" s="155">
        <f>COUNTIF($MZ77:$NA77,"?*")+$OD77</f>
        <v/>
      </c>
      <c r="OU77" s="155">
        <f>IF($MQ77=0,0,SUMPRODUCT($OK77:$OP77,INDEX($I$2:$N$8,MAX(1,$MQ77),0)))</f>
        <v/>
      </c>
      <c r="OV77" s="155">
        <f>IF($MQ77=0,0,$OQ77*CEILING($MQ77/2,1)+$OR77*$MQ77)</f>
        <v/>
      </c>
      <c r="OW77" s="155">
        <f>MIN(2*$MQ77,$OV77)</f>
        <v/>
      </c>
      <c r="OX77" s="155">
        <f>MIN($OW77,$OU77)</f>
        <v/>
      </c>
      <c r="OY77" s="155">
        <f>$OW77-$OX77</f>
        <v/>
      </c>
      <c r="OZ77" s="155">
        <f>IF($MQ77=0,0,INDEX($P$2:$P$8,MAX(1,$MQ77)))</f>
        <v/>
      </c>
      <c r="PA77" s="155">
        <f>$OZ77-$OU77+$OX77</f>
        <v/>
      </c>
      <c r="PB77" s="155">
        <f>IF($MQ77=0,MAX(0,$NE77-IF($OS77&gt;0,1,0)),MAX(0,$PA77))</f>
        <v/>
      </c>
      <c r="PC77" s="155">
        <f>IF($MQ77=0,0,(IF(COUNTIF($MV77:$MY77,"Salto")&gt;0,1,0)+IF(COUNTIF($MV77:$MY77,"Queima")&gt;0,1,0)+IF(COUNTIF($MV77:$MY77,"Estilhaço")&gt;0,1,0))*FLOOR($PB77/2,1))</f>
        <v/>
      </c>
      <c r="PD77" s="155">
        <f>MAX(0,2-SUMPRODUCT($OK77:$OP77,$I$2:$N$2)+MIN(2,$OQ77*1+$OR77*1,SUMPRODUCT($OK77:$OP77,$I$2:$N$2)))</f>
        <v/>
      </c>
      <c r="PE77" s="155">
        <f>MAX(0,4-SUMPRODUCT($OK77:$OP77,$I$3:$N$3)+MIN(4,$OQ77*1+$OR77*2,SUMPRODUCT($OK77:$OP77,$I$3:$N$3)))</f>
        <v/>
      </c>
      <c r="PF77" s="155">
        <f>MAX(0,6-SUMPRODUCT($OK77:$OP77,$I$4:$N$4)+MIN(6,$OQ77*2+$OR77*3,SUMPRODUCT($OK77:$OP77,$I$4:$N$4)))</f>
        <v/>
      </c>
      <c r="PG77" s="155">
        <f>MAX(0,9-SUMPRODUCT($OK77:$OP77,$I$5:$N$5)+MIN(8,$OQ77*2+$OR77*4,SUMPRODUCT($OK77:$OP77,$I$5:$N$5)))</f>
        <v/>
      </c>
      <c r="PH77" s="155">
        <f>MAX(0,11-SUMPRODUCT($OK77:$OP77,$I$6:$N$6)+MIN(10,$OQ77*3+$OR77*5,SUMPRODUCT($OK77:$OP77,$I$6:$N$6)))</f>
        <v/>
      </c>
      <c r="PI77" s="155">
        <f>MAX(0,13-SUMPRODUCT($OK77:$OP77,$I$7:$N$7)+MIN(12,$OQ77*3+$OR77*6,SUMPRODUCT($OK77:$OP77,$I$7:$N$7)))</f>
        <v/>
      </c>
      <c r="PJ77" s="155">
        <f>MAX(0,16-SUMPRODUCT($OK77:$OP77,$I$8:$N$8)+MIN(14,$OQ77*4+$OR77*7,SUMPRODUCT($OK77:$OP77,$I$8:$N$8)))</f>
        <v/>
      </c>
      <c r="PK77" s="155">
        <f>IF($OE77=2,3*$PD77&amp;" de vida temp.",IF($OE77=3,"sem dano",IF($PD77=0,IF($OE77=1,"sem cura","sem dano"),IF($OE77=1,"cura ","")&amp;$PD77&amp;"d8")))</f>
        <v/>
      </c>
      <c r="PL77" s="155">
        <f>IF($OE77=2,3*$PE77&amp;" de vida temp.",IF($OE77=3,"sem dano",IF($PE77=0,IF($OE77=1,"sem cura","sem dano"),IF($OE77=1,"cura ","")&amp;$PE77&amp;"d8")))</f>
        <v/>
      </c>
      <c r="PM77" s="155">
        <f>IF($OE77=2,3*$PF77&amp;" de vida temp.",IF($OE77=3,"sem dano",IF($PF77=0,IF($OE77=1,"sem cura","sem dano"),IF($OE77=1,"cura ","")&amp;$PF77&amp;"d8")))</f>
        <v/>
      </c>
      <c r="PN77" s="155">
        <f>IF($OE77=2,3*$PG77&amp;" de vida temp.",IF($OE77=3,"sem dano",IF($PG77=0,IF($OE77=1,"sem cura","sem dano"),IF($OE77=1,"cura ","")&amp;$PG77&amp;"d8")))</f>
        <v/>
      </c>
      <c r="PO77" s="155">
        <f>IF($OE77=2,3*$PH77&amp;" de vida temp.",IF($OE77=3,"sem dano",IF($PH77=0,IF($OE77=1,"sem cura","sem dano"),IF($OE77=1,"cura ","")&amp;$PH77&amp;"d8")))</f>
        <v/>
      </c>
      <c r="PP77" s="155">
        <f>IF($OE77=2,3*$PI77&amp;" de vida temp.",IF($OE77=3,"sem dano",IF($PI77=0,IF($OE77=1,"sem cura","sem dano"),IF($OE77=1,"cura ","")&amp;$PI77&amp;"d8")))</f>
        <v/>
      </c>
      <c r="PQ77" s="155">
        <f>IF($OE77=2,3*$PJ77&amp;" de vida temp.",IF($OE77=3,"sem dano",IF($PJ77=0,IF($OE77=1,"sem cura","sem dano"),IF($OE77=1,"cura ","")&amp;$PJ77&amp;"d8")))</f>
        <v/>
      </c>
      <c r="PR77" s="155">
        <f>IF($NB77=0,"",TEXTJOIN(" · ",TRUE,IF($MO77&gt;$NC77,"Este lugar abre no nível "&amp;$MO77,""),IF($MQ77&gt;$ND77,"Classe "&amp;$MQ77&amp;": o nível "&amp;$NC77&amp;" libera até a "&amp;$ND77,""),IF($NV77=1,"A Forma "&amp;$MS77&amp;" pede "&amp;INDEX($W$2:$W$11,$NH77)&amp;" aberta",""),IF(AND($MQ77=0,$NH77&gt;0,IF($NH77=0,0,INDEX($AF$2:$AF$11,$NH77))=0),$MS77&amp;" não existe na Classe 0",""),IF($NW77=1,"Família Fechada: "&amp;$MV77,""),IF($NX77=1,"Família Fechada: "&amp;$MW77,""),IF($NY77=1,"Família Fechada: "&amp;$MX77,""),IF($NZ77=1,"Família Fechada: "&amp;$MY77,""),IF(AND($MQ77&gt;0,$OS77&gt;INDEX($O$2:$O$8,MAX(1,$MQ77))),$OS77&amp;" Melhorias: a Classe "&amp;$MQ77&amp;" aceita "&amp;INDEX($O$2:$O$8,MAX(1,$MQ77)),""),IF(AND($MQ77=0,$OS77&gt;1),"A básica aceita uma Melhoria",""),IF(AND($MQ77=0,COUNTIF($NM77:$NP77,"&gt;1")&gt;0),"A básica só aceita Melhoria Leve",""),IF(AND($MQ77&gt;0,$OT77&gt;2),$OT77&amp;" Restrições"&amp;IF($OD77=1,", contando a que a Forma "&amp;$MS77&amp;" já traz","")&amp;": o limite é 2",""),IF(AND($MQ77=0,COUNTIF($MZ77:$NA77,"?*")&gt;1),"A básica aceita uma Restrição Leve",""),IF(AND($MQ77=0,COUNTIF($OG77:$OH77,2)&gt;0),"A básica só aceita Restrição Leve",""),IF(AND($MQ77&gt;0,$PA77&lt;0),"Orçamento estourado: faltam "&amp;(-$PA77)&amp;IF($PA77&lt;-1," pontos"," ponto"),""),IF(IFERROR(VLOOKUP($MZ77,$BC$2:$BG$24,4,FALSE),0)+IFERROR(VLOOKUP($NA77,$BC$2:$BG$24,4,FALSE),0)&gt;1,$OI77&amp;" e "&amp;$OJ77&amp;" são as duas de frequência",""),IF(AND((COUNTIF($MV77:$MY77,"Rápido")+COUNTIF($OI77:$OJ77,"Rápido"))&gt;0,(COUNTIF($MV77:$MY77,"Atrasar")+COUNTIF($OI77:$OJ77,"Atrasar"))&gt;0),"Rápido não entra com Atrasar",""),IF(AND((COUNTIF($MV77:$MY77,"Reação")+COUNTIF($OI77:$OJ77,"Reação"))&gt;0,(COUNTIF($MV77:$MY77,"Rápido")+COUNTIF($OI77:$OJ77,"Rápido"))&gt;0),"Reação não entra com Rápido",""),IF(AND((COUNTIF($MV77:$MY77,"Reação")+COUNTIF($OI77:$OJ77,"Reação"))&gt;0,(COUNTIF($MV77:$MY77,"Armado")+COUNTIF($OI77:$OJ77,"Armado"))&gt;0),"Reação não entra com Armado",""),IF(AND((COUNTIF($MV77:$MY77,"Reação")+COUNTIF($OI77:$OJ77,"Reação"))&gt;0,(COUNTIF($MV77:$MY77,"Atrasar")+COUNTIF($OI77:$OJ77,"Atrasar"))&gt;0),"Reação não entra com Atrasar",""),IF(AND((COUNTIF($MV77:$MY77,"Reação")+COUNTIF($OI77:$OJ77,"Reação"))&gt;0,(COUNTIF($MV77:$MY77,"Parado")+COUNTIF($OI77:$OJ77,"Parado"))&gt;0),"Reação não entra com Parado",""),IF(AND((COUNTIF($MV77:$MY77,"Atrasar")+COUNTIF($OI77:$OJ77,"Atrasar"))&gt;0,(COUNTIF($MV77:$MY77,"Parado")+COUNTIF($OI77:$OJ77,"Parado"))&gt;0),"Atrasar não entra com Parado",""),IF(AND((COUNTIF($MV77:$MY77,"Armado")+COUNTIF($OI77:$OJ77,"Armado"))&gt;0,(COUNTIF($MV77:$MY77,"Carregar")+COUNTIF($OI77:$OJ77,"Carregar"))&gt;0),"Armado não entra com Carregar",""),IF(AND(COUNTIF($OI77:$OJ77,"Corpo a Corpo")&gt;0,$OD77=0,OR($MS77="Cone",$MS77="Linha")),"Corpo a Corpo não entra em "&amp;$MS77,""),IF(AND(COUNTIF($OI77:$OJ77,"Corpo a Corpo")&gt;0,$OD77=1),"A Forma "&amp;$MS77&amp;" já traz o Corpo a Corpo",""),IF(AND(COUNTIF($OI77:$OJ77,"Tudo ou Nada")&gt;0,$OF77=0),"Tudo ou Nada só entra em habilidade de Teste de Resistência",""),IF(AND(COUNTIF($MV77:$MY77,"Inescapável")&gt;0,OR($OS77&gt;1,$OT77&gt;0)),"Inescapável não aceita outra peça",""),IF(AND($MQ77&gt;0,$PB77*IF(COUNTIF($MV77:$MY77,"Remate")&gt;0,1.25,1)+$PC77&gt;4*$MQ77),($PB77*IF(COUNTIF($MV77:$MY77,"Remate")&gt;0,1.25,1)+$PC77)&amp;" dados somando repetições"&amp;IF(COUNTIF($MV77:$MY77,"Remate")&gt;0," e o Remate","")&amp;": o teto da Classe "&amp;$MQ77&amp;" é "&amp;4*$MQ77,"")))</f>
        <v/>
      </c>
      <c r="PS77" s="155">
        <f>IF($PR77="",0,(LEN($PR77)-LEN(SUBSTITUTE($PR77," · ","")))/3+1)</f>
        <v/>
      </c>
      <c r="PT77" s="155">
        <f>IF($NB77=0,"",TEXTJOIN(" · ",TRUE,IF($OV77&gt;2*$MQ77,"A devolução parou no teto de "&amp;2*$MQ77,""),IF($OY77&gt;0,"Devolução perdida: "&amp;$OY77&amp;IF($OY77&gt;1," pontos"," ponto")&amp;" sem peça para pagar",""),IF(AND($OA77&gt;0,AND($MQ77&gt;0,$OE77=0),$PB77=0),"Controle sem dano: uma rodada a mais e CD +2",""),IF(AND($OA77&gt;0,AND($MQ77&gt;0,$OE77=0),$PB77&gt;0,$PB77&lt;=$MQ77),"Controle com saldo até a Classe: uma rodada a mais",""),IF(AND($MQ77&gt;0,$OC77&lt;&gt;""),"Efeito de "&amp;$OC77&amp;" pela Classe "&amp;MAX(1,$MQ77-1),"")))</f>
        <v/>
      </c>
      <c r="PU77" s="155">
        <f>IF($PT77="",0,(LEN($PT77)-LEN(SUBSTITUTE($PT77," · ","")))/3+1)</f>
        <v/>
      </c>
      <c r="PV77" s="155">
        <f>IF($NB77=0,IF($OS77+COUNTIF($MZ77:$NA77,"?*")&gt;0,"Dê um nome",""),IF($PS77&gt;0,"⚠ "&amp;$PS77&amp;IF($PS77&gt;1," erros"," erro"),IF($PU77&gt;0,"! "&amp;$PU77&amp;IF($PU77&gt;1," avisos"," aviso"),"Na regra")))</f>
        <v/>
      </c>
      <c r="PW77" s="155">
        <f>IF($NB77=0,"",IF($PS77+$PU77=0,"Dentro das regras que a ficha confere",$PR77&amp;IF(AND($PS77&gt;0,$PU77&gt;0)," · ","")&amp;$PT77))</f>
        <v/>
      </c>
      <c r="PX77" s="155">
        <f>IF($MO77&gt;$NC77,$MP77&amp;" · ABRE NO NÍVEL "&amp;$MO77,$MP77)</f>
        <v/>
      </c>
      <c r="PY77" s="155">
        <f>IF($NB77=0,"",IF($MQ77=0,"Sem PE",3*$MQ77&amp;" PE"))</f>
        <v/>
      </c>
      <c r="PZ77" s="155">
        <f>IF($NB77=0,"",IF($MQ77=0,"A atuação básica dela",IF(COUNTIF($OI77:$OJ77,"Atrasar")&gt;0,"Sua Ação Completa",IF(COUNTIF($MV77:$MY77,"Rápido")&gt;0,"Sua Bônus",IF(COUNTIF($MV77:$MY77,"Reação")&gt;0,"Sua Reação","Sua Padrão")))&amp;" + a básica dela"&amp;IF(COUNTIF($MV77:$MY77,"Reação")&gt;0," e a coletiva","")&amp;IF(COUNTIF($OI77:$OJ77,"Carregar")&gt;0," · em dois turnos","")))</f>
        <v/>
      </c>
      <c r="QA77" s="155">
        <f>IF($MU77&lt;&gt;"",$MU77,IF($NH77=0,"",INDEX($AA$2:$AA$11,$NH77)))</f>
        <v/>
      </c>
      <c r="QB77" s="155">
        <f>IF(OR($NB77=0,$NH77=0),"",IF(COUNTIF($MV77:$MY77,"Inescapável")&gt;0,"Automático",IF($QA77="Ataque",IF($NF77="","Ataque","Ataque "&amp;IF(($NF77+2*IF(COUNTIF($MV77:$MY77,"Precisão")&gt;0,1,0))&gt;=0,"+","−")&amp;ABS(($NF77+2*IF(COUNTIF($MV77:$MY77,"Precisão")&gt;0,1,0))))&amp;IF($OB77&gt;0," · TR"&amp;IF($NG77="",""," CD "&amp;$NG77),""),IF(LEFT($QA77,2)="TR",$QA77&amp;IF($NG77="",""," · CD "&amp;$NG77)&amp;IF(COUNTIF($MV77:$MY77,"Certeiro")&gt;0," · metade",""),"Sem rolagem"))))</f>
        <v/>
      </c>
      <c r="QC77" s="155">
        <f>IF(OR($NB77=0,$NH77=0),"",IF($MQ77=0,IF(OR($OE77&gt;=1,$PB77=0),"Sem dano",$PB77&amp;"d6"&amp;IF($MT77="",""," "&amp;$MT77)),IF(OR($OE77&gt;=1,$PB77=0),UPPER(LEFT(INDEX($PK77:$PQ77,1,MAX(1,$MQ77)),1))&amp;MID(INDEX($PK77:$PQ77,1,MAX(1,$MQ77)),2,99),UPPER(LEFT(INDEX($PK77:$PQ77,1,MAX(1,$MQ77)),1))&amp;MID(INDEX($PK77:$PQ77,1,MAX(1,$MQ77)),2,99)&amp;IF($MT77="",""," "&amp;$MT77)&amp;IF($PC77&gt;0," · +"&amp;$PC77&amp;"d8",""))))</f>
        <v/>
      </c>
      <c r="QD77" s="155">
        <f>COUNTIF($MV77:$MY77,"Longe")+3*COUNTIF($MV77:$MY77,"Muito Longe")</f>
        <v/>
      </c>
      <c r="QE77" s="155">
        <f>COUNTIF($MV77:$MY77,"Maior")+3*COUNTIF($MV77:$MY77,"Muito Maior")</f>
        <v/>
      </c>
      <c r="QF77" s="155">
        <f>IF($NH77=0,0,CHOOSE(1+INDEX($AC$2:$AC$11,$NH77),0,$QD77,$QE77,$QD77+$QE77))</f>
        <v/>
      </c>
      <c r="QG77" s="155">
        <f>IF($NH77=0,0,CHOOSE(1+INDEX($AD$2:$AD$11,$NH77),0,$QD77,$QE77,$QD77+$QE77))</f>
        <v/>
      </c>
      <c r="QH77" s="155">
        <f>IF(OR($NB77=0,$NH77=0),"",INDEX($AI$2:$AN$41,($NH77-1)*4+IF($MQ77=0,1,IF($MQ77&lt;=5,2,IF($MQ77=6,3,4))),1+MIN(5,$QF77))&amp;INDEX($AO$2:$AT$41,($NH77-1)*4+IF($MQ77=0,1,IF($MQ77&lt;=5,2,IF($MQ77=6,3,4))),1+MIN(5,$QG77))&amp;IF(INDEX($AE$2:$AE$11,$NH77)=1,IF(COUNTIF($MV77:$MY77,"Mais Um")&gt;0," · +"&amp;COUNTIF($MV77:$MY77,"Mais Um")&amp;IF(COUNTIF($MV77:$MY77,"Mais Um")&gt;1," alvos"," alvo"),"")&amp;IF(COUNTIF($MV77:$MY77,"Rajada")&gt;0,IF($MQ77=0," · 1 tiro"," · "&amp;(MAX(1,$MQ77-1)+1)&amp;" tiros"),""),""))</f>
        <v/>
      </c>
      <c r="QI77" s="155">
        <f>IF($NB77=0,"",IF($MQ77=0,$NE77&amp;"d6"&amp;IF($OS77&gt;0," − 1 = "&amp;$PB77&amp;"d6"," da básica do nível "&amp;$NC77),$OZ77&amp;" − "&amp;$OU77&amp;" + "&amp;$OX77&amp;" = "&amp;$PA77&amp;" · teto "&amp;4*$MQ77&amp;"d8"&amp;IF($OD77=1," · a Forma devolve "&amp;$MQ77,"")&amp;IF($OY77&gt;0," · perde "&amp;$OY77,"")))</f>
        <v/>
      </c>
      <c r="QJ77" s="155">
        <f>IF($NB77=0,"",IF($MQ77=0,"A básica não amplia: os dados dela sobem com o nível",IF($MQ77&gt;=$ND77,"Já está na maior Classe que o nível liberou",TEXTJOIN(" · ",TRUE,IF(AND(2&gt;$MQ77,2&lt;=$ND77),"2 → "&amp;$PL77&amp;", 6 PE",""),IF(AND(3&gt;$MQ77,3&lt;=$ND77),"3 → "&amp;$PM77&amp;", 9 PE",""),IF(AND(4&gt;$MQ77,4&lt;=$ND77),"4 → "&amp;$PN77&amp;", 12 PE",""),IF(AND(5&gt;$MQ77,5&lt;=$ND77),"5 → "&amp;$PO77&amp;", 15 PE",""),IF(AND(6&gt;$MQ77,6&lt;=$ND77),"6 → "&amp;$PP77&amp;", 18 PE",""),IF(AND(7&gt;$MQ77,7&lt;=$ND77),"7 → "&amp;$PQ77&amp;", 21 PE","")))))</f>
        <v/>
      </c>
      <c r="QK77" s="155">
        <f>IF(OR($NB77=0,$NM77=0),"",IF($MQ77=0,"−1 dado","−"&amp;INDEX($I$2:$N$8,MAX(1,$MQ77),MAX(1,$NR77))&amp;" · "&amp;CHOOSE(MAX(1,$NR77),"Leve","Média","Pesada","Leve · Livre","Média · Livre","Pesada · Livre")))</f>
        <v/>
      </c>
      <c r="QL77" s="155">
        <f>IF(OR($NB77=0,$NN77=0),"",IF($MQ77=0,"−1 dado","−"&amp;INDEX($I$2:$N$8,MAX(1,$MQ77),MAX(1,$NS77))&amp;" · "&amp;CHOOSE(MAX(1,$NS77),"Leve","Média","Pesada","Leve · Livre","Média · Livre","Pesada · Livre")))</f>
        <v/>
      </c>
      <c r="QM77" s="155">
        <f>IF(OR($NB77=0,$NO77=0),"",IF($MQ77=0,"−1 dado","−"&amp;INDEX($I$2:$N$8,MAX(1,$MQ77),MAX(1,$NT77))&amp;" · "&amp;CHOOSE(MAX(1,$NT77),"Leve","Média","Pesada","Leve · Livre","Média · Livre","Pesada · Livre")))</f>
        <v/>
      </c>
      <c r="QN77" s="155">
        <f>IF(OR($NB77=0,$NP77=0),"",IF($MQ77=0,"−1 dado","−"&amp;INDEX($I$2:$N$8,MAX(1,$MQ77),MAX(1,$NU77))&amp;" · "&amp;CHOOSE(MAX(1,$NU77),"Leve","Média","Pesada","Leve · Livre","Média · Livre","Pesada · Livre")))</f>
        <v/>
      </c>
      <c r="QO77" s="155">
        <f>IF(OR($NB77=0,$MZ77=""),"",IF($MQ77=0,"não devolve","+"&amp;IF($OG77=1,CEILING($MQ77/2,1),$MQ77)))</f>
        <v/>
      </c>
      <c r="QP77" s="155">
        <f>IF(OR($NB77=0,$NA77=""),"",IF($MQ77=0,"não devolve","+"&amp;IF($OH77=1,CEILING($MQ77/2,1),$MQ77)))</f>
        <v/>
      </c>
    </row>
    <row r="78">
      <c r="AV78" s="153" t="inlineStr">
        <is>
          <t>Remenda</t>
        </is>
      </c>
      <c r="AW78" s="153" t="inlineStr">
        <is>
          <t>Amparo</t>
        </is>
      </c>
      <c r="AX78" s="155" t="n">
        <v>3</v>
      </c>
      <c r="AY78" s="155" t="n">
        <v>0</v>
      </c>
      <c r="AZ78" s="155" t="n">
        <v>1</v>
      </c>
      <c r="BA78" s="155" t="n">
        <v>0</v>
      </c>
      <c r="JR78" s="155">
        <f>IF(OR($AW78="",COUNTIF($EJ$2:$EN$2,$AW78)&gt;0),$AV78,"")</f>
        <v/>
      </c>
      <c r="JS78" s="155">
        <f>IF(AND($AX78=1,OR($AW78="",COUNTIF($EJ$2:$EN$2,$AW78)&gt;0)),$AV78,"")</f>
        <v/>
      </c>
      <c r="JX78" s="155">
        <f>IF(OR($AW78="",COUNTIF($EJ$3:$EN$3,$AW78)&gt;0),$AV78,"")</f>
        <v/>
      </c>
      <c r="JY78" s="155">
        <f>IF(AND($AX78=1,OR($AW78="",COUNTIF($EJ$3:$EN$3,$AW78)&gt;0)),$AV78,"")</f>
        <v/>
      </c>
      <c r="KD78" s="155">
        <f>IF(OR($AW78="",COUNTIF($EJ$4:$EN$4,$AW78)&gt;0),$AV78,"")</f>
        <v/>
      </c>
      <c r="KE78" s="155">
        <f>IF(AND($AX78=1,OR($AW78="",COUNTIF($EJ$4:$EN$4,$AW78)&gt;0)),$AV78,"")</f>
        <v/>
      </c>
      <c r="KJ78" s="155">
        <f>IF(OR($AW78="",COUNTIF($EJ$5:$EN$5,$AW78)&gt;0),$AV78,"")</f>
        <v/>
      </c>
      <c r="KK78" s="155">
        <f>IF(AND($AX78=1,OR($AW78="",COUNTIF($EJ$5:$EN$5,$AW78)&gt;0)),$AV78,"")</f>
        <v/>
      </c>
      <c r="KP78" s="155">
        <f>IF(OR($AW78="",COUNTIF($EJ$6:$EN$6,$AW78)&gt;0),$AV78,"")</f>
        <v/>
      </c>
      <c r="KQ78" s="155">
        <f>IF(AND($AX78=1,OR($AW78="",COUNTIF($EJ$6:$EN$6,$AW78)&gt;0)),$AV78,"")</f>
        <v/>
      </c>
      <c r="KV78" s="155">
        <f>IF(OR($AW78="",COUNTIF($EJ$7:$EN$7,$AW78)&gt;0),$AV78,"")</f>
        <v/>
      </c>
      <c r="KW78" s="155">
        <f>IF(AND($AX78=1,OR($AW78="",COUNTIF($EJ$7:$EN$7,$AW78)&gt;0)),$AV78,"")</f>
        <v/>
      </c>
      <c r="LB78" s="155">
        <f>IF(OR($AW78="",COUNTIF($EJ$8:$EN$8,$AW78)&gt;0),$AV78,"")</f>
        <v/>
      </c>
      <c r="LC78" s="155">
        <f>IF(AND($AX78=1,OR($AW78="",COUNTIF($EJ$8:$EN$8,$AW78)&gt;0)),$AV78,"")</f>
        <v/>
      </c>
      <c r="LH78" s="155">
        <f>IF(OR($AW78="",COUNTIF($EJ$9:$EN$9,$AW78)&gt;0),$AV78,"")</f>
        <v/>
      </c>
      <c r="LI78" s="155">
        <f>IF(AND($AX78=1,OR($AW78="",COUNTIF($EJ$9:$EN$9,$AW78)&gt;0)),$AV78,"")</f>
        <v/>
      </c>
      <c r="LN78" s="155">
        <f>IF(OR($AW78="",COUNTIF($EJ$10:$EN$10,$AW78)&gt;0),$AV78,"")</f>
        <v/>
      </c>
      <c r="LO78" s="155">
        <f>IF(AND($AX78=1,OR($AW78="",COUNTIF($EJ$10:$EN$10,$AW78)&gt;0)),$AV78,"")</f>
        <v/>
      </c>
      <c r="LT78" s="155">
        <f>IF(OR($AW78="",COUNTIF($EJ$11:$EN$11,$AW78)&gt;0),$AV78,"")</f>
        <v/>
      </c>
      <c r="LU78" s="155">
        <f>IF(AND($AX78=1,OR($AW78="",COUNTIF($EJ$11:$EN$11,$AW78)&gt;0)),$AV78,"")</f>
        <v/>
      </c>
      <c r="LZ78" s="155">
        <f>IF(OR($AW78="",COUNTIF($EJ$12:$EN$12,$AW78)&gt;0),$AV78,"")</f>
        <v/>
      </c>
      <c r="MA78" s="155">
        <f>IF(AND($AX78=1,OR($AW78="",COUNTIF($EJ$12:$EN$12,$AW78)&gt;0)),$AV78,"")</f>
        <v/>
      </c>
      <c r="MF78" s="155">
        <f>IF(OR($AW78="",COUNTIF($EJ$13:$EN$13,$AW78)&gt;0),$AV78,"")</f>
        <v/>
      </c>
      <c r="MG78" s="155">
        <f>IF(AND($AX78=1,OR($AW78="",COUNTIF($EJ$13:$EN$13,$AW78)&gt;0)),$AV78,"")</f>
        <v/>
      </c>
      <c r="ML78" s="153" t="inlineStr">
        <is>
          <t>Ficha 6 · Escolha da trilha 2</t>
        </is>
      </c>
      <c r="MM78" s="155" t="n">
        <v>6</v>
      </c>
      <c r="MN78" s="155" t="n">
        <v>2</v>
      </c>
      <c r="MO78" s="155" t="n">
        <v>0</v>
      </c>
      <c r="MP78" s="153" t="inlineStr">
        <is>
          <t>ESCOLHA DA TRILHA 2</t>
        </is>
      </c>
      <c r="MQ78" s="155">
        <f>MAX(0,MIN(7,N('INVOCAÇÕES'!$O$1150)))</f>
        <v/>
      </c>
      <c r="MR78" s="155">
        <f>'INVOCAÇÕES'!$P$1150&amp;""</f>
        <v/>
      </c>
      <c r="MS78" s="155">
        <f>'INVOCAÇÕES'!$O$1155&amp;""</f>
        <v/>
      </c>
      <c r="MT78" s="155">
        <f>'INVOCAÇÕES'!$O$1156&amp;""</f>
        <v/>
      </c>
      <c r="MU78" s="155">
        <f>'INVOCAÇÕES'!$Q$1156&amp;""</f>
        <v/>
      </c>
      <c r="MV78" s="155">
        <f>'INVOCAÇÕES'!$P$1159&amp;""</f>
        <v/>
      </c>
      <c r="MW78" s="155">
        <f>'INVOCAÇÕES'!$P$1160&amp;""</f>
        <v/>
      </c>
      <c r="MX78" s="155">
        <f>'INVOCAÇÕES'!$P$1161&amp;""</f>
        <v/>
      </c>
      <c r="MY78" s="155">
        <f>'INVOCAÇÕES'!$P$1162&amp;""</f>
        <v/>
      </c>
      <c r="MZ78" s="155">
        <f>'INVOCAÇÕES'!$P$1163&amp;""</f>
        <v/>
      </c>
      <c r="NA78" s="155">
        <f>'INVOCAÇÕES'!$P$1164&amp;""</f>
        <v/>
      </c>
      <c r="NB78" s="155">
        <f>IF($MR78&lt;&gt;"",1,0)</f>
        <v/>
      </c>
      <c r="NC78" s="155">
        <f>INDEX($FM$2:$FM$13,$MM78)</f>
        <v/>
      </c>
      <c r="ND78" s="155">
        <f>INDEX($FN$2:$FN$13,$MM78)</f>
        <v/>
      </c>
      <c r="NE78" s="155">
        <f>INDEX($FO$2:$FO$13,$MM78)</f>
        <v/>
      </c>
      <c r="NF78" s="155">
        <f>INDEX($FZ$2:$FZ$13,$MM78)</f>
        <v/>
      </c>
      <c r="NG78" s="155">
        <f>INDEX($GA$2:$GA$13,$MM78)</f>
        <v/>
      </c>
      <c r="NH78" s="155">
        <f>IFERROR(MATCH($MS78,$V$2:$V$11,0),0)</f>
        <v/>
      </c>
      <c r="NI78" s="155">
        <f>IFERROR(VLOOKUP($MV78,$AV$2:$BA$84,2,FALSE),"")</f>
        <v/>
      </c>
      <c r="NJ78" s="155">
        <f>IFERROR(VLOOKUP($MW78,$AV$2:$BA$84,2,FALSE),"")</f>
        <v/>
      </c>
      <c r="NK78" s="155">
        <f>IFERROR(VLOOKUP($MX78,$AV$2:$BA$84,2,FALSE),"")</f>
        <v/>
      </c>
      <c r="NL78" s="155">
        <f>IFERROR(VLOOKUP($MY78,$AV$2:$BA$84,2,FALSE),"")</f>
        <v/>
      </c>
      <c r="NM78" s="155">
        <f>IFERROR(VLOOKUP($MV78,$AV$2:$BA$84,3,FALSE),0)</f>
        <v/>
      </c>
      <c r="NN78" s="155">
        <f>IFERROR(VLOOKUP($MW78,$AV$2:$BA$84,3,FALSE),0)</f>
        <v/>
      </c>
      <c r="NO78" s="155">
        <f>IFERROR(VLOOKUP($MX78,$AV$2:$BA$84,3,FALSE),0)</f>
        <v/>
      </c>
      <c r="NP78" s="155">
        <f>IFERROR(VLOOKUP($MY78,$AV$2:$BA$84,3,FALSE),0)</f>
        <v/>
      </c>
      <c r="NQ78" s="155">
        <f>IF($MQ78=0,0,IF($NH78=0,0,INDEX($X$2:$X$11,$NH78)))</f>
        <v/>
      </c>
      <c r="NR78" s="155">
        <f>IF(OR($NM78=0,$MQ78=0),0,$NM78+3*IF(AND($NI78&lt;&gt;"",OR($NI78=INDEX($EJ$2:$EJ$13,$MM78),$NI78=INDEX($EK$2:$EK$13,$MM78))),1,0))</f>
        <v/>
      </c>
      <c r="NS78" s="155">
        <f>IF(OR($NN78=0,$MQ78=0),0,$NN78+3*IF(AND($NJ78&lt;&gt;"",OR($NJ78=INDEX($EJ$2:$EJ$13,$MM78),$NJ78=INDEX($EK$2:$EK$13,$MM78))),1,0))</f>
        <v/>
      </c>
      <c r="NT78" s="155">
        <f>IF(OR($NO78=0,$MQ78=0),0,$NO78+3*IF(AND($NK78&lt;&gt;"",OR($NK78=INDEX($EJ$2:$EJ$13,$MM78),$NK78=INDEX($EK$2:$EK$13,$MM78))),1,0))</f>
        <v/>
      </c>
      <c r="NU78" s="155">
        <f>IF(OR($NP78=0,$MQ78=0),0,$NP78+3*IF(AND($NL78&lt;&gt;"",OR($NL78=INDEX($EJ$2:$EJ$13,$MM78),$NL78=INDEX($EK$2:$EK$13,$MM78))),1,0))</f>
        <v/>
      </c>
      <c r="NV78" s="155">
        <f>IF($NH78=0,0,IF(INDEX($W$2:$W$11,$NH78)="",0,IF(COUNTIF(INDEX($EJ$2:$EN$13,$MM78,0),INDEX($W$2:$W$11,$NH78))=0,1,0)))</f>
        <v/>
      </c>
      <c r="NW78" s="155">
        <f>IF(OR($NM78=0,$NI78=""),0,IF(COUNTIF(INDEX($EJ$2:$EN$13,$MM78,0),$NI78)=0,1,0))</f>
        <v/>
      </c>
      <c r="NX78" s="155">
        <f>IF(OR($NN78=0,$NJ78=""),0,IF(COUNTIF(INDEX($EJ$2:$EN$13,$MM78,0),$NJ78)=0,1,0))</f>
        <v/>
      </c>
      <c r="NY78" s="155">
        <f>IF(OR($NO78=0,$NK78=""),0,IF(COUNTIF(INDEX($EJ$2:$EN$13,$MM78,0),$NK78)=0,1,0))</f>
        <v/>
      </c>
      <c r="NZ78" s="155">
        <f>IF(OR($NP78=0,$NL78=""),0,IF(COUNTIF(INDEX($EJ$2:$EN$13,$MM78,0),$NL78)=0,1,0))</f>
        <v/>
      </c>
      <c r="OA78" s="155">
        <f>IFERROR(VLOOKUP($MV78,$AV$2:$BA$84,4,FALSE),0)+IFERROR(VLOOKUP($MW78,$AV$2:$BA$84,4,FALSE),0)+IFERROR(VLOOKUP($MX78,$AV$2:$BA$84,4,FALSE),0)+IFERROR(VLOOKUP($MY78,$AV$2:$BA$84,4,FALSE),0)</f>
        <v/>
      </c>
      <c r="OB78" s="155">
        <f>IFERROR(VLOOKUP($MV78,$AV$2:$BA$84,6,FALSE),0)+IFERROR(VLOOKUP($MW78,$AV$2:$BA$84,6,FALSE),0)+IFERROR(VLOOKUP($MX78,$AV$2:$BA$84,6,FALSE),0)+IFERROR(VLOOKUP($MY78,$AV$2:$BA$84,6,FALSE),0)</f>
        <v/>
      </c>
      <c r="OC78" s="155">
        <f>TEXTJOIN(", ",TRUE,IF(IFERROR(VLOOKUP($MV78,$AV$2:$BA$84,5,FALSE),0)=1,$MV78,""),IF(IFERROR(VLOOKUP($MW78,$AV$2:$BA$84,5,FALSE),0)=1,$MW78,""),IF(IFERROR(VLOOKUP($MX78,$AV$2:$BA$84,5,FALSE),0)=1,$MX78,""),IF(IFERROR(VLOOKUP($MY78,$AV$2:$BA$84,5,FALSE),0)=1,$MY78,""))</f>
        <v/>
      </c>
      <c r="OD78" s="155">
        <f>IF($NH78=0,0,INDEX($Y$2:$Y$11,$NH78))</f>
        <v/>
      </c>
      <c r="OE78" s="155">
        <f>IF($NH78=0,0,INDEX($Z$2:$Z$11,$NH78))</f>
        <v/>
      </c>
      <c r="OF78" s="155">
        <f>IF($NH78=0,0,INDEX($AB$2:$AB$11,$NH78))</f>
        <v/>
      </c>
      <c r="OG78" s="155">
        <f>IFERROR(VLOOKUP($MZ78,$BC$2:$BG$24,3,FALSE),0)</f>
        <v/>
      </c>
      <c r="OH78" s="155">
        <f>IFERROR(VLOOKUP($NA78,$BC$2:$BG$24,3,FALSE),0)</f>
        <v/>
      </c>
      <c r="OI78" s="155">
        <f>IFERROR(VLOOKUP($MZ78,$BC$2:$BG$24,2,FALSE),"")</f>
        <v/>
      </c>
      <c r="OJ78" s="155">
        <f>IFERROR(VLOOKUP($NA78,$BC$2:$BG$24,2,FALSE),"")</f>
        <v/>
      </c>
      <c r="OK78" s="155">
        <f>COUNTIF($NQ78:$NU78,1)</f>
        <v/>
      </c>
      <c r="OL78" s="155">
        <f>COUNTIF($NQ78:$NU78,2)</f>
        <v/>
      </c>
      <c r="OM78" s="155">
        <f>COUNTIF($NQ78:$NU78,3)</f>
        <v/>
      </c>
      <c r="ON78" s="155">
        <f>COUNTIF($NQ78:$NU78,4)</f>
        <v/>
      </c>
      <c r="OO78" s="155">
        <f>COUNTIF($NQ78:$NU78,5)</f>
        <v/>
      </c>
      <c r="OP78" s="155">
        <f>COUNTIF($NQ78:$NU78,6)</f>
        <v/>
      </c>
      <c r="OQ78" s="155">
        <f>COUNTIF($OG78:$OH78,1)</f>
        <v/>
      </c>
      <c r="OR78" s="155">
        <f>COUNTIF($OG78:$OH78,2)+$OD78</f>
        <v/>
      </c>
      <c r="OS78" s="155">
        <f>COUNTIF($MV78:$MY78,"?*")</f>
        <v/>
      </c>
      <c r="OT78" s="155">
        <f>COUNTIF($MZ78:$NA78,"?*")+$OD78</f>
        <v/>
      </c>
      <c r="OU78" s="155">
        <f>IF($MQ78=0,0,SUMPRODUCT($OK78:$OP78,INDEX($I$2:$N$8,MAX(1,$MQ78),0)))</f>
        <v/>
      </c>
      <c r="OV78" s="155">
        <f>IF($MQ78=0,0,$OQ78*CEILING($MQ78/2,1)+$OR78*$MQ78)</f>
        <v/>
      </c>
      <c r="OW78" s="155">
        <f>MIN(2*$MQ78,$OV78)</f>
        <v/>
      </c>
      <c r="OX78" s="155">
        <f>MIN($OW78,$OU78)</f>
        <v/>
      </c>
      <c r="OY78" s="155">
        <f>$OW78-$OX78</f>
        <v/>
      </c>
      <c r="OZ78" s="155">
        <f>IF($MQ78=0,0,INDEX($P$2:$P$8,MAX(1,$MQ78)))</f>
        <v/>
      </c>
      <c r="PA78" s="155">
        <f>$OZ78-$OU78+$OX78</f>
        <v/>
      </c>
      <c r="PB78" s="155">
        <f>IF($MQ78=0,MAX(0,$NE78-IF($OS78&gt;0,1,0)),MAX(0,$PA78))</f>
        <v/>
      </c>
      <c r="PC78" s="155">
        <f>IF($MQ78=0,0,(IF(COUNTIF($MV78:$MY78,"Salto")&gt;0,1,0)+IF(COUNTIF($MV78:$MY78,"Queima")&gt;0,1,0)+IF(COUNTIF($MV78:$MY78,"Estilhaço")&gt;0,1,0))*FLOOR($PB78/2,1))</f>
        <v/>
      </c>
      <c r="PD78" s="155">
        <f>MAX(0,2-SUMPRODUCT($OK78:$OP78,$I$2:$N$2)+MIN(2,$OQ78*1+$OR78*1,SUMPRODUCT($OK78:$OP78,$I$2:$N$2)))</f>
        <v/>
      </c>
      <c r="PE78" s="155">
        <f>MAX(0,4-SUMPRODUCT($OK78:$OP78,$I$3:$N$3)+MIN(4,$OQ78*1+$OR78*2,SUMPRODUCT($OK78:$OP78,$I$3:$N$3)))</f>
        <v/>
      </c>
      <c r="PF78" s="155">
        <f>MAX(0,6-SUMPRODUCT($OK78:$OP78,$I$4:$N$4)+MIN(6,$OQ78*2+$OR78*3,SUMPRODUCT($OK78:$OP78,$I$4:$N$4)))</f>
        <v/>
      </c>
      <c r="PG78" s="155">
        <f>MAX(0,9-SUMPRODUCT($OK78:$OP78,$I$5:$N$5)+MIN(8,$OQ78*2+$OR78*4,SUMPRODUCT($OK78:$OP78,$I$5:$N$5)))</f>
        <v/>
      </c>
      <c r="PH78" s="155">
        <f>MAX(0,11-SUMPRODUCT($OK78:$OP78,$I$6:$N$6)+MIN(10,$OQ78*3+$OR78*5,SUMPRODUCT($OK78:$OP78,$I$6:$N$6)))</f>
        <v/>
      </c>
      <c r="PI78" s="155">
        <f>MAX(0,13-SUMPRODUCT($OK78:$OP78,$I$7:$N$7)+MIN(12,$OQ78*3+$OR78*6,SUMPRODUCT($OK78:$OP78,$I$7:$N$7)))</f>
        <v/>
      </c>
      <c r="PJ78" s="155">
        <f>MAX(0,16-SUMPRODUCT($OK78:$OP78,$I$8:$N$8)+MIN(14,$OQ78*4+$OR78*7,SUMPRODUCT($OK78:$OP78,$I$8:$N$8)))</f>
        <v/>
      </c>
      <c r="PK78" s="155">
        <f>IF($OE78=2,3*$PD78&amp;" de vida temp.",IF($OE78=3,"sem dano",IF($PD78=0,IF($OE78=1,"sem cura","sem dano"),IF($OE78=1,"cura ","")&amp;$PD78&amp;"d8")))</f>
        <v/>
      </c>
      <c r="PL78" s="155">
        <f>IF($OE78=2,3*$PE78&amp;" de vida temp.",IF($OE78=3,"sem dano",IF($PE78=0,IF($OE78=1,"sem cura","sem dano"),IF($OE78=1,"cura ","")&amp;$PE78&amp;"d8")))</f>
        <v/>
      </c>
      <c r="PM78" s="155">
        <f>IF($OE78=2,3*$PF78&amp;" de vida temp.",IF($OE78=3,"sem dano",IF($PF78=0,IF($OE78=1,"sem cura","sem dano"),IF($OE78=1,"cura ","")&amp;$PF78&amp;"d8")))</f>
        <v/>
      </c>
      <c r="PN78" s="155">
        <f>IF($OE78=2,3*$PG78&amp;" de vida temp.",IF($OE78=3,"sem dano",IF($PG78=0,IF($OE78=1,"sem cura","sem dano"),IF($OE78=1,"cura ","")&amp;$PG78&amp;"d8")))</f>
        <v/>
      </c>
      <c r="PO78" s="155">
        <f>IF($OE78=2,3*$PH78&amp;" de vida temp.",IF($OE78=3,"sem dano",IF($PH78=0,IF($OE78=1,"sem cura","sem dano"),IF($OE78=1,"cura ","")&amp;$PH78&amp;"d8")))</f>
        <v/>
      </c>
      <c r="PP78" s="155">
        <f>IF($OE78=2,3*$PI78&amp;" de vida temp.",IF($OE78=3,"sem dano",IF($PI78=0,IF($OE78=1,"sem cura","sem dano"),IF($OE78=1,"cura ","")&amp;$PI78&amp;"d8")))</f>
        <v/>
      </c>
      <c r="PQ78" s="155">
        <f>IF($OE78=2,3*$PJ78&amp;" de vida temp.",IF($OE78=3,"sem dano",IF($PJ78=0,IF($OE78=1,"sem cura","sem dano"),IF($OE78=1,"cura ","")&amp;$PJ78&amp;"d8")))</f>
        <v/>
      </c>
      <c r="PR78" s="155">
        <f>IF($NB78=0,"",TEXTJOIN(" · ",TRUE,IF($MO78&gt;$NC78,"Este lugar abre no nível "&amp;$MO78,""),IF($MQ78&gt;$ND78,"Classe "&amp;$MQ78&amp;": o nível "&amp;$NC78&amp;" libera até a "&amp;$ND78,""),IF($NV78=1,"A Forma "&amp;$MS78&amp;" pede "&amp;INDEX($W$2:$W$11,$NH78)&amp;" aberta",""),IF(AND($MQ78=0,$NH78&gt;0,IF($NH78=0,0,INDEX($AF$2:$AF$11,$NH78))=0),$MS78&amp;" não existe na Classe 0",""),IF($NW78=1,"Família Fechada: "&amp;$MV78,""),IF($NX78=1,"Família Fechada: "&amp;$MW78,""),IF($NY78=1,"Família Fechada: "&amp;$MX78,""),IF($NZ78=1,"Família Fechada: "&amp;$MY78,""),IF(AND($MQ78&gt;0,$OS78&gt;INDEX($O$2:$O$8,MAX(1,$MQ78))),$OS78&amp;" Melhorias: a Classe "&amp;$MQ78&amp;" aceita "&amp;INDEX($O$2:$O$8,MAX(1,$MQ78)),""),IF(AND($MQ78=0,$OS78&gt;1),"A básica aceita uma Melhoria",""),IF(AND($MQ78=0,COUNTIF($NM78:$NP78,"&gt;1")&gt;0),"A básica só aceita Melhoria Leve",""),IF(AND($MQ78&gt;0,$OT78&gt;2),$OT78&amp;" Restrições"&amp;IF($OD78=1,", contando a que a Forma "&amp;$MS78&amp;" já traz","")&amp;": o limite é 2",""),IF(AND($MQ78=0,COUNTIF($MZ78:$NA78,"?*")&gt;1),"A básica aceita uma Restrição Leve",""),IF(AND($MQ78=0,COUNTIF($OG78:$OH78,2)&gt;0),"A básica só aceita Restrição Leve",""),IF(AND($MQ78&gt;0,$PA78&lt;0),"Orçamento estourado: faltam "&amp;(-$PA78)&amp;IF($PA78&lt;-1," pontos"," ponto"),""),IF(IFERROR(VLOOKUP($MZ78,$BC$2:$BG$24,4,FALSE),0)+IFERROR(VLOOKUP($NA78,$BC$2:$BG$24,4,FALSE),0)&gt;1,$OI78&amp;" e "&amp;$OJ78&amp;" são as duas de frequência",""),IF(AND((COUNTIF($MV78:$MY78,"Rápido")+COUNTIF($OI78:$OJ78,"Rápido"))&gt;0,(COUNTIF($MV78:$MY78,"Atrasar")+COUNTIF($OI78:$OJ78,"Atrasar"))&gt;0),"Rápido não entra com Atrasar",""),IF(AND((COUNTIF($MV78:$MY78,"Reação")+COUNTIF($OI78:$OJ78,"Reação"))&gt;0,(COUNTIF($MV78:$MY78,"Rápido")+COUNTIF($OI78:$OJ78,"Rápido"))&gt;0),"Reação não entra com Rápido",""),IF(AND((COUNTIF($MV78:$MY78,"Reação")+COUNTIF($OI78:$OJ78,"Reação"))&gt;0,(COUNTIF($MV78:$MY78,"Armado")+COUNTIF($OI78:$OJ78,"Armado"))&gt;0),"Reação não entra com Armado",""),IF(AND((COUNTIF($MV78:$MY78,"Reação")+COUNTIF($OI78:$OJ78,"Reação"))&gt;0,(COUNTIF($MV78:$MY78,"Atrasar")+COUNTIF($OI78:$OJ78,"Atrasar"))&gt;0),"Reação não entra com Atrasar",""),IF(AND((COUNTIF($MV78:$MY78,"Reação")+COUNTIF($OI78:$OJ78,"Reação"))&gt;0,(COUNTIF($MV78:$MY78,"Parado")+COUNTIF($OI78:$OJ78,"Parado"))&gt;0),"Reação não entra com Parado",""),IF(AND((COUNTIF($MV78:$MY78,"Atrasar")+COUNTIF($OI78:$OJ78,"Atrasar"))&gt;0,(COUNTIF($MV78:$MY78,"Parado")+COUNTIF($OI78:$OJ78,"Parado"))&gt;0),"Atrasar não entra com Parado",""),IF(AND((COUNTIF($MV78:$MY78,"Armado")+COUNTIF($OI78:$OJ78,"Armado"))&gt;0,(COUNTIF($MV78:$MY78,"Carregar")+COUNTIF($OI78:$OJ78,"Carregar"))&gt;0),"Armado não entra com Carregar",""),IF(AND(COUNTIF($OI78:$OJ78,"Corpo a Corpo")&gt;0,$OD78=0,OR($MS78="Cone",$MS78="Linha")),"Corpo a Corpo não entra em "&amp;$MS78,""),IF(AND(COUNTIF($OI78:$OJ78,"Corpo a Corpo")&gt;0,$OD78=1),"A Forma "&amp;$MS78&amp;" já traz o Corpo a Corpo",""),IF(AND(COUNTIF($OI78:$OJ78,"Tudo ou Nada")&gt;0,$OF78=0),"Tudo ou Nada só entra em habilidade de Teste de Resistência",""),IF(AND(COUNTIF($MV78:$MY78,"Inescapável")&gt;0,OR($OS78&gt;1,$OT78&gt;0)),"Inescapável não aceita outra peça",""),IF(AND($MQ78&gt;0,$PB78*IF(COUNTIF($MV78:$MY78,"Remate")&gt;0,1.25,1)+$PC78&gt;4*$MQ78),($PB78*IF(COUNTIF($MV78:$MY78,"Remate")&gt;0,1.25,1)+$PC78)&amp;" dados somando repetições"&amp;IF(COUNTIF($MV78:$MY78,"Remate")&gt;0," e o Remate","")&amp;": o teto da Classe "&amp;$MQ78&amp;" é "&amp;4*$MQ78,"")))</f>
        <v/>
      </c>
      <c r="PS78" s="155">
        <f>IF($PR78="",0,(LEN($PR78)-LEN(SUBSTITUTE($PR78," · ","")))/3+1)</f>
        <v/>
      </c>
      <c r="PT78" s="155">
        <f>IF($NB78=0,"",TEXTJOIN(" · ",TRUE,IF($OV78&gt;2*$MQ78,"A devolução parou no teto de "&amp;2*$MQ78,""),IF($OY78&gt;0,"Devolução perdida: "&amp;$OY78&amp;IF($OY78&gt;1," pontos"," ponto")&amp;" sem peça para pagar",""),IF(AND($OA78&gt;0,AND($MQ78&gt;0,$OE78=0),$PB78=0),"Controle sem dano: uma rodada a mais e CD +2",""),IF(AND($OA78&gt;0,AND($MQ78&gt;0,$OE78=0),$PB78&gt;0,$PB78&lt;=$MQ78),"Controle com saldo até a Classe: uma rodada a mais",""),IF(AND($MQ78&gt;0,$OC78&lt;&gt;""),"Efeito de "&amp;$OC78&amp;" pela Classe "&amp;MAX(1,$MQ78-1),"")))</f>
        <v/>
      </c>
      <c r="PU78" s="155">
        <f>IF($PT78="",0,(LEN($PT78)-LEN(SUBSTITUTE($PT78," · ","")))/3+1)</f>
        <v/>
      </c>
      <c r="PV78" s="155">
        <f>IF($NB78=0,IF($OS78+COUNTIF($MZ78:$NA78,"?*")&gt;0,"Dê um nome",""),IF($PS78&gt;0,"⚠ "&amp;$PS78&amp;IF($PS78&gt;1," erros"," erro"),IF($PU78&gt;0,"! "&amp;$PU78&amp;IF($PU78&gt;1," avisos"," aviso"),"Na regra")))</f>
        <v/>
      </c>
      <c r="PW78" s="155">
        <f>IF($NB78=0,"",IF($PS78+$PU78=0,"Dentro das regras que a ficha confere",$PR78&amp;IF(AND($PS78&gt;0,$PU78&gt;0)," · ","")&amp;$PT78))</f>
        <v/>
      </c>
      <c r="PX78" s="155">
        <f>IF($MO78&gt;$NC78,$MP78&amp;" · ABRE NO NÍVEL "&amp;$MO78,$MP78)</f>
        <v/>
      </c>
      <c r="PY78" s="155">
        <f>IF($NB78=0,"",IF($MQ78=0,"Sem PE",3*$MQ78&amp;" PE"))</f>
        <v/>
      </c>
      <c r="PZ78" s="155">
        <f>IF($NB78=0,"",IF($MQ78=0,"A atuação básica dela",IF(COUNTIF($OI78:$OJ78,"Atrasar")&gt;0,"Sua Ação Completa",IF(COUNTIF($MV78:$MY78,"Rápido")&gt;0,"Sua Bônus",IF(COUNTIF($MV78:$MY78,"Reação")&gt;0,"Sua Reação","Sua Padrão")))&amp;" + a básica dela"&amp;IF(COUNTIF($MV78:$MY78,"Reação")&gt;0," e a coletiva","")&amp;IF(COUNTIF($OI78:$OJ78,"Carregar")&gt;0," · em dois turnos","")))</f>
        <v/>
      </c>
      <c r="QA78" s="155">
        <f>IF($MU78&lt;&gt;"",$MU78,IF($NH78=0,"",INDEX($AA$2:$AA$11,$NH78)))</f>
        <v/>
      </c>
      <c r="QB78" s="155">
        <f>IF(OR($NB78=0,$NH78=0),"",IF(COUNTIF($MV78:$MY78,"Inescapável")&gt;0,"Automático",IF($QA78="Ataque",IF($NF78="","Ataque","Ataque "&amp;IF(($NF78+2*IF(COUNTIF($MV78:$MY78,"Precisão")&gt;0,1,0))&gt;=0,"+","−")&amp;ABS(($NF78+2*IF(COUNTIF($MV78:$MY78,"Precisão")&gt;0,1,0))))&amp;IF($OB78&gt;0," · TR"&amp;IF($NG78="",""," CD "&amp;$NG78),""),IF(LEFT($QA78,2)="TR",$QA78&amp;IF($NG78="",""," · CD "&amp;$NG78)&amp;IF(COUNTIF($MV78:$MY78,"Certeiro")&gt;0," · metade",""),"Sem rolagem"))))</f>
        <v/>
      </c>
      <c r="QC78" s="155">
        <f>IF(OR($NB78=0,$NH78=0),"",IF($MQ78=0,IF(OR($OE78&gt;=1,$PB78=0),"Sem dano",$PB78&amp;"d6"&amp;IF($MT78="",""," "&amp;$MT78)),IF(OR($OE78&gt;=1,$PB78=0),UPPER(LEFT(INDEX($PK78:$PQ78,1,MAX(1,$MQ78)),1))&amp;MID(INDEX($PK78:$PQ78,1,MAX(1,$MQ78)),2,99),UPPER(LEFT(INDEX($PK78:$PQ78,1,MAX(1,$MQ78)),1))&amp;MID(INDEX($PK78:$PQ78,1,MAX(1,$MQ78)),2,99)&amp;IF($MT78="",""," "&amp;$MT78)&amp;IF($PC78&gt;0," · +"&amp;$PC78&amp;"d8",""))))</f>
        <v/>
      </c>
      <c r="QD78" s="155">
        <f>COUNTIF($MV78:$MY78,"Longe")+3*COUNTIF($MV78:$MY78,"Muito Longe")</f>
        <v/>
      </c>
      <c r="QE78" s="155">
        <f>COUNTIF($MV78:$MY78,"Maior")+3*COUNTIF($MV78:$MY78,"Muito Maior")</f>
        <v/>
      </c>
      <c r="QF78" s="155">
        <f>IF($NH78=0,0,CHOOSE(1+INDEX($AC$2:$AC$11,$NH78),0,$QD78,$QE78,$QD78+$QE78))</f>
        <v/>
      </c>
      <c r="QG78" s="155">
        <f>IF($NH78=0,0,CHOOSE(1+INDEX($AD$2:$AD$11,$NH78),0,$QD78,$QE78,$QD78+$QE78))</f>
        <v/>
      </c>
      <c r="QH78" s="155">
        <f>IF(OR($NB78=0,$NH78=0),"",INDEX($AI$2:$AN$41,($NH78-1)*4+IF($MQ78=0,1,IF($MQ78&lt;=5,2,IF($MQ78=6,3,4))),1+MIN(5,$QF78))&amp;INDEX($AO$2:$AT$41,($NH78-1)*4+IF($MQ78=0,1,IF($MQ78&lt;=5,2,IF($MQ78=6,3,4))),1+MIN(5,$QG78))&amp;IF(INDEX($AE$2:$AE$11,$NH78)=1,IF(COUNTIF($MV78:$MY78,"Mais Um")&gt;0," · +"&amp;COUNTIF($MV78:$MY78,"Mais Um")&amp;IF(COUNTIF($MV78:$MY78,"Mais Um")&gt;1," alvos"," alvo"),"")&amp;IF(COUNTIF($MV78:$MY78,"Rajada")&gt;0,IF($MQ78=0," · 1 tiro"," · "&amp;(MAX(1,$MQ78-1)+1)&amp;" tiros"),""),""))</f>
        <v/>
      </c>
      <c r="QI78" s="155">
        <f>IF($NB78=0,"",IF($MQ78=0,$NE78&amp;"d6"&amp;IF($OS78&gt;0," − 1 = "&amp;$PB78&amp;"d6"," da básica do nível "&amp;$NC78),$OZ78&amp;" − "&amp;$OU78&amp;" + "&amp;$OX78&amp;" = "&amp;$PA78&amp;" · teto "&amp;4*$MQ78&amp;"d8"&amp;IF($OD78=1," · a Forma devolve "&amp;$MQ78,"")&amp;IF($OY78&gt;0," · perde "&amp;$OY78,"")))</f>
        <v/>
      </c>
      <c r="QJ78" s="155">
        <f>IF($NB78=0,"",IF($MQ78=0,"A básica não amplia: os dados dela sobem com o nível",IF($MQ78&gt;=$ND78,"Já está na maior Classe que o nível liberou",TEXTJOIN(" · ",TRUE,IF(AND(2&gt;$MQ78,2&lt;=$ND78),"2 → "&amp;$PL78&amp;", 6 PE",""),IF(AND(3&gt;$MQ78,3&lt;=$ND78),"3 → "&amp;$PM78&amp;", 9 PE",""),IF(AND(4&gt;$MQ78,4&lt;=$ND78),"4 → "&amp;$PN78&amp;", 12 PE",""),IF(AND(5&gt;$MQ78,5&lt;=$ND78),"5 → "&amp;$PO78&amp;", 15 PE",""),IF(AND(6&gt;$MQ78,6&lt;=$ND78),"6 → "&amp;$PP78&amp;", 18 PE",""),IF(AND(7&gt;$MQ78,7&lt;=$ND78),"7 → "&amp;$PQ78&amp;", 21 PE","")))))</f>
        <v/>
      </c>
      <c r="QK78" s="155">
        <f>IF(OR($NB78=0,$NM78=0),"",IF($MQ78=0,"−1 dado","−"&amp;INDEX($I$2:$N$8,MAX(1,$MQ78),MAX(1,$NR78))&amp;" · "&amp;CHOOSE(MAX(1,$NR78),"Leve","Média","Pesada","Leve · Livre","Média · Livre","Pesada · Livre")))</f>
        <v/>
      </c>
      <c r="QL78" s="155">
        <f>IF(OR($NB78=0,$NN78=0),"",IF($MQ78=0,"−1 dado","−"&amp;INDEX($I$2:$N$8,MAX(1,$MQ78),MAX(1,$NS78))&amp;" · "&amp;CHOOSE(MAX(1,$NS78),"Leve","Média","Pesada","Leve · Livre","Média · Livre","Pesada · Livre")))</f>
        <v/>
      </c>
      <c r="QM78" s="155">
        <f>IF(OR($NB78=0,$NO78=0),"",IF($MQ78=0,"−1 dado","−"&amp;INDEX($I$2:$N$8,MAX(1,$MQ78),MAX(1,$NT78))&amp;" · "&amp;CHOOSE(MAX(1,$NT78),"Leve","Média","Pesada","Leve · Livre","Média · Livre","Pesada · Livre")))</f>
        <v/>
      </c>
      <c r="QN78" s="155">
        <f>IF(OR($NB78=0,$NP78=0),"",IF($MQ78=0,"−1 dado","−"&amp;INDEX($I$2:$N$8,MAX(1,$MQ78),MAX(1,$NU78))&amp;" · "&amp;CHOOSE(MAX(1,$NU78),"Leve","Média","Pesada","Leve · Livre","Média · Livre","Pesada · Livre")))</f>
        <v/>
      </c>
      <c r="QO78" s="155">
        <f>IF(OR($NB78=0,$MZ78=""),"",IF($MQ78=0,"não devolve","+"&amp;IF($OG78=1,CEILING($MQ78/2,1),$MQ78)))</f>
        <v/>
      </c>
      <c r="QP78" s="155">
        <f>IF(OR($NB78=0,$NA78=""),"",IF($MQ78=0,"não devolve","+"&amp;IF($OH78=1,CEILING($MQ78/2,1),$MQ78)))</f>
        <v/>
      </c>
    </row>
    <row r="79">
      <c r="AV79" s="153" t="inlineStr">
        <is>
          <t>Divide</t>
        </is>
      </c>
      <c r="AW79" s="153" t="inlineStr">
        <is>
          <t>Amparo</t>
        </is>
      </c>
      <c r="AX79" s="155" t="n">
        <v>2</v>
      </c>
      <c r="AY79" s="155" t="n">
        <v>0</v>
      </c>
      <c r="AZ79" s="155" t="n">
        <v>0</v>
      </c>
      <c r="BA79" s="155" t="n">
        <v>0</v>
      </c>
      <c r="JR79" s="155">
        <f>IF(OR($AW79="",COUNTIF($EJ$2:$EN$2,$AW79)&gt;0),$AV79,"")</f>
        <v/>
      </c>
      <c r="JS79" s="155">
        <f>IF(AND($AX79=1,OR($AW79="",COUNTIF($EJ$2:$EN$2,$AW79)&gt;0)),$AV79,"")</f>
        <v/>
      </c>
      <c r="JX79" s="155">
        <f>IF(OR($AW79="",COUNTIF($EJ$3:$EN$3,$AW79)&gt;0),$AV79,"")</f>
        <v/>
      </c>
      <c r="JY79" s="155">
        <f>IF(AND($AX79=1,OR($AW79="",COUNTIF($EJ$3:$EN$3,$AW79)&gt;0)),$AV79,"")</f>
        <v/>
      </c>
      <c r="KD79" s="155">
        <f>IF(OR($AW79="",COUNTIF($EJ$4:$EN$4,$AW79)&gt;0),$AV79,"")</f>
        <v/>
      </c>
      <c r="KE79" s="155">
        <f>IF(AND($AX79=1,OR($AW79="",COUNTIF($EJ$4:$EN$4,$AW79)&gt;0)),$AV79,"")</f>
        <v/>
      </c>
      <c r="KJ79" s="155">
        <f>IF(OR($AW79="",COUNTIF($EJ$5:$EN$5,$AW79)&gt;0),$AV79,"")</f>
        <v/>
      </c>
      <c r="KK79" s="155">
        <f>IF(AND($AX79=1,OR($AW79="",COUNTIF($EJ$5:$EN$5,$AW79)&gt;0)),$AV79,"")</f>
        <v/>
      </c>
      <c r="KP79" s="155">
        <f>IF(OR($AW79="",COUNTIF($EJ$6:$EN$6,$AW79)&gt;0),$AV79,"")</f>
        <v/>
      </c>
      <c r="KQ79" s="155">
        <f>IF(AND($AX79=1,OR($AW79="",COUNTIF($EJ$6:$EN$6,$AW79)&gt;0)),$AV79,"")</f>
        <v/>
      </c>
      <c r="KV79" s="155">
        <f>IF(OR($AW79="",COUNTIF($EJ$7:$EN$7,$AW79)&gt;0),$AV79,"")</f>
        <v/>
      </c>
      <c r="KW79" s="155">
        <f>IF(AND($AX79=1,OR($AW79="",COUNTIF($EJ$7:$EN$7,$AW79)&gt;0)),$AV79,"")</f>
        <v/>
      </c>
      <c r="LB79" s="155">
        <f>IF(OR($AW79="",COUNTIF($EJ$8:$EN$8,$AW79)&gt;0),$AV79,"")</f>
        <v/>
      </c>
      <c r="LC79" s="155">
        <f>IF(AND($AX79=1,OR($AW79="",COUNTIF($EJ$8:$EN$8,$AW79)&gt;0)),$AV79,"")</f>
        <v/>
      </c>
      <c r="LH79" s="155">
        <f>IF(OR($AW79="",COUNTIF($EJ$9:$EN$9,$AW79)&gt;0),$AV79,"")</f>
        <v/>
      </c>
      <c r="LI79" s="155">
        <f>IF(AND($AX79=1,OR($AW79="",COUNTIF($EJ$9:$EN$9,$AW79)&gt;0)),$AV79,"")</f>
        <v/>
      </c>
      <c r="LN79" s="155">
        <f>IF(OR($AW79="",COUNTIF($EJ$10:$EN$10,$AW79)&gt;0),$AV79,"")</f>
        <v/>
      </c>
      <c r="LO79" s="155">
        <f>IF(AND($AX79=1,OR($AW79="",COUNTIF($EJ$10:$EN$10,$AW79)&gt;0)),$AV79,"")</f>
        <v/>
      </c>
      <c r="LT79" s="155">
        <f>IF(OR($AW79="",COUNTIF($EJ$11:$EN$11,$AW79)&gt;0),$AV79,"")</f>
        <v/>
      </c>
      <c r="LU79" s="155">
        <f>IF(AND($AX79=1,OR($AW79="",COUNTIF($EJ$11:$EN$11,$AW79)&gt;0)),$AV79,"")</f>
        <v/>
      </c>
      <c r="LZ79" s="155">
        <f>IF(OR($AW79="",COUNTIF($EJ$12:$EN$12,$AW79)&gt;0),$AV79,"")</f>
        <v/>
      </c>
      <c r="MA79" s="155">
        <f>IF(AND($AX79=1,OR($AW79="",COUNTIF($EJ$12:$EN$12,$AW79)&gt;0)),$AV79,"")</f>
        <v/>
      </c>
      <c r="MF79" s="155">
        <f>IF(OR($AW79="",COUNTIF($EJ$13:$EN$13,$AW79)&gt;0),$AV79,"")</f>
        <v/>
      </c>
      <c r="MG79" s="155">
        <f>IF(AND($AX79=1,OR($AW79="",COUNTIF($EJ$13:$EN$13,$AW79)&gt;0)),$AV79,"")</f>
        <v/>
      </c>
      <c r="ML79" s="153" t="inlineStr">
        <is>
          <t>Ficha 6 · Escolha da trilha 3</t>
        </is>
      </c>
      <c r="MM79" s="155" t="n">
        <v>6</v>
      </c>
      <c r="MN79" s="155" t="n">
        <v>2</v>
      </c>
      <c r="MO79" s="155" t="n">
        <v>0</v>
      </c>
      <c r="MP79" s="153" t="inlineStr">
        <is>
          <t>ESCOLHA DA TRILHA 3</t>
        </is>
      </c>
      <c r="MQ79" s="155">
        <f>MAX(0,MIN(7,N('INVOCAÇÕES'!$U$1150)))</f>
        <v/>
      </c>
      <c r="MR79" s="155">
        <f>'INVOCAÇÕES'!$V$1150&amp;""</f>
        <v/>
      </c>
      <c r="MS79" s="155">
        <f>'INVOCAÇÕES'!$U$1155&amp;""</f>
        <v/>
      </c>
      <c r="MT79" s="155">
        <f>'INVOCAÇÕES'!$U$1156&amp;""</f>
        <v/>
      </c>
      <c r="MU79" s="155">
        <f>'INVOCAÇÕES'!$W$1156&amp;""</f>
        <v/>
      </c>
      <c r="MV79" s="155">
        <f>'INVOCAÇÕES'!$V$1159&amp;""</f>
        <v/>
      </c>
      <c r="MW79" s="155">
        <f>'INVOCAÇÕES'!$V$1160&amp;""</f>
        <v/>
      </c>
      <c r="MX79" s="155">
        <f>'INVOCAÇÕES'!$V$1161&amp;""</f>
        <v/>
      </c>
      <c r="MY79" s="155">
        <f>'INVOCAÇÕES'!$V$1162&amp;""</f>
        <v/>
      </c>
      <c r="MZ79" s="155">
        <f>'INVOCAÇÕES'!$V$1163&amp;""</f>
        <v/>
      </c>
      <c r="NA79" s="155">
        <f>'INVOCAÇÕES'!$V$1164&amp;""</f>
        <v/>
      </c>
      <c r="NB79" s="155">
        <f>IF($MR79&lt;&gt;"",1,0)</f>
        <v/>
      </c>
      <c r="NC79" s="155">
        <f>INDEX($FM$2:$FM$13,$MM79)</f>
        <v/>
      </c>
      <c r="ND79" s="155">
        <f>INDEX($FN$2:$FN$13,$MM79)</f>
        <v/>
      </c>
      <c r="NE79" s="155">
        <f>INDEX($FO$2:$FO$13,$MM79)</f>
        <v/>
      </c>
      <c r="NF79" s="155">
        <f>INDEX($FZ$2:$FZ$13,$MM79)</f>
        <v/>
      </c>
      <c r="NG79" s="155">
        <f>INDEX($GA$2:$GA$13,$MM79)</f>
        <v/>
      </c>
      <c r="NH79" s="155">
        <f>IFERROR(MATCH($MS79,$V$2:$V$11,0),0)</f>
        <v/>
      </c>
      <c r="NI79" s="155">
        <f>IFERROR(VLOOKUP($MV79,$AV$2:$BA$84,2,FALSE),"")</f>
        <v/>
      </c>
      <c r="NJ79" s="155">
        <f>IFERROR(VLOOKUP($MW79,$AV$2:$BA$84,2,FALSE),"")</f>
        <v/>
      </c>
      <c r="NK79" s="155">
        <f>IFERROR(VLOOKUP($MX79,$AV$2:$BA$84,2,FALSE),"")</f>
        <v/>
      </c>
      <c r="NL79" s="155">
        <f>IFERROR(VLOOKUP($MY79,$AV$2:$BA$84,2,FALSE),"")</f>
        <v/>
      </c>
      <c r="NM79" s="155">
        <f>IFERROR(VLOOKUP($MV79,$AV$2:$BA$84,3,FALSE),0)</f>
        <v/>
      </c>
      <c r="NN79" s="155">
        <f>IFERROR(VLOOKUP($MW79,$AV$2:$BA$84,3,FALSE),0)</f>
        <v/>
      </c>
      <c r="NO79" s="155">
        <f>IFERROR(VLOOKUP($MX79,$AV$2:$BA$84,3,FALSE),0)</f>
        <v/>
      </c>
      <c r="NP79" s="155">
        <f>IFERROR(VLOOKUP($MY79,$AV$2:$BA$84,3,FALSE),0)</f>
        <v/>
      </c>
      <c r="NQ79" s="155">
        <f>IF($MQ79=0,0,IF($NH79=0,0,INDEX($X$2:$X$11,$NH79)))</f>
        <v/>
      </c>
      <c r="NR79" s="155">
        <f>IF(OR($NM79=0,$MQ79=0),0,$NM79+3*IF(AND($NI79&lt;&gt;"",OR($NI79=INDEX($EJ$2:$EJ$13,$MM79),$NI79=INDEX($EK$2:$EK$13,$MM79))),1,0))</f>
        <v/>
      </c>
      <c r="NS79" s="155">
        <f>IF(OR($NN79=0,$MQ79=0),0,$NN79+3*IF(AND($NJ79&lt;&gt;"",OR($NJ79=INDEX($EJ$2:$EJ$13,$MM79),$NJ79=INDEX($EK$2:$EK$13,$MM79))),1,0))</f>
        <v/>
      </c>
      <c r="NT79" s="155">
        <f>IF(OR($NO79=0,$MQ79=0),0,$NO79+3*IF(AND($NK79&lt;&gt;"",OR($NK79=INDEX($EJ$2:$EJ$13,$MM79),$NK79=INDEX($EK$2:$EK$13,$MM79))),1,0))</f>
        <v/>
      </c>
      <c r="NU79" s="155">
        <f>IF(OR($NP79=0,$MQ79=0),0,$NP79+3*IF(AND($NL79&lt;&gt;"",OR($NL79=INDEX($EJ$2:$EJ$13,$MM79),$NL79=INDEX($EK$2:$EK$13,$MM79))),1,0))</f>
        <v/>
      </c>
      <c r="NV79" s="155">
        <f>IF($NH79=0,0,IF(INDEX($W$2:$W$11,$NH79)="",0,IF(COUNTIF(INDEX($EJ$2:$EN$13,$MM79,0),INDEX($W$2:$W$11,$NH79))=0,1,0)))</f>
        <v/>
      </c>
      <c r="NW79" s="155">
        <f>IF(OR($NM79=0,$NI79=""),0,IF(COUNTIF(INDEX($EJ$2:$EN$13,$MM79,0),$NI79)=0,1,0))</f>
        <v/>
      </c>
      <c r="NX79" s="155">
        <f>IF(OR($NN79=0,$NJ79=""),0,IF(COUNTIF(INDEX($EJ$2:$EN$13,$MM79,0),$NJ79)=0,1,0))</f>
        <v/>
      </c>
      <c r="NY79" s="155">
        <f>IF(OR($NO79=0,$NK79=""),0,IF(COUNTIF(INDEX($EJ$2:$EN$13,$MM79,0),$NK79)=0,1,0))</f>
        <v/>
      </c>
      <c r="NZ79" s="155">
        <f>IF(OR($NP79=0,$NL79=""),0,IF(COUNTIF(INDEX($EJ$2:$EN$13,$MM79,0),$NL79)=0,1,0))</f>
        <v/>
      </c>
      <c r="OA79" s="155">
        <f>IFERROR(VLOOKUP($MV79,$AV$2:$BA$84,4,FALSE),0)+IFERROR(VLOOKUP($MW79,$AV$2:$BA$84,4,FALSE),0)+IFERROR(VLOOKUP($MX79,$AV$2:$BA$84,4,FALSE),0)+IFERROR(VLOOKUP($MY79,$AV$2:$BA$84,4,FALSE),0)</f>
        <v/>
      </c>
      <c r="OB79" s="155">
        <f>IFERROR(VLOOKUP($MV79,$AV$2:$BA$84,6,FALSE),0)+IFERROR(VLOOKUP($MW79,$AV$2:$BA$84,6,FALSE),0)+IFERROR(VLOOKUP($MX79,$AV$2:$BA$84,6,FALSE),0)+IFERROR(VLOOKUP($MY79,$AV$2:$BA$84,6,FALSE),0)</f>
        <v/>
      </c>
      <c r="OC79" s="155">
        <f>TEXTJOIN(", ",TRUE,IF(IFERROR(VLOOKUP($MV79,$AV$2:$BA$84,5,FALSE),0)=1,$MV79,""),IF(IFERROR(VLOOKUP($MW79,$AV$2:$BA$84,5,FALSE),0)=1,$MW79,""),IF(IFERROR(VLOOKUP($MX79,$AV$2:$BA$84,5,FALSE),0)=1,$MX79,""),IF(IFERROR(VLOOKUP($MY79,$AV$2:$BA$84,5,FALSE),0)=1,$MY79,""))</f>
        <v/>
      </c>
      <c r="OD79" s="155">
        <f>IF($NH79=0,0,INDEX($Y$2:$Y$11,$NH79))</f>
        <v/>
      </c>
      <c r="OE79" s="155">
        <f>IF($NH79=0,0,INDEX($Z$2:$Z$11,$NH79))</f>
        <v/>
      </c>
      <c r="OF79" s="155">
        <f>IF($NH79=0,0,INDEX($AB$2:$AB$11,$NH79))</f>
        <v/>
      </c>
      <c r="OG79" s="155">
        <f>IFERROR(VLOOKUP($MZ79,$BC$2:$BG$24,3,FALSE),0)</f>
        <v/>
      </c>
      <c r="OH79" s="155">
        <f>IFERROR(VLOOKUP($NA79,$BC$2:$BG$24,3,FALSE),0)</f>
        <v/>
      </c>
      <c r="OI79" s="155">
        <f>IFERROR(VLOOKUP($MZ79,$BC$2:$BG$24,2,FALSE),"")</f>
        <v/>
      </c>
      <c r="OJ79" s="155">
        <f>IFERROR(VLOOKUP($NA79,$BC$2:$BG$24,2,FALSE),"")</f>
        <v/>
      </c>
      <c r="OK79" s="155">
        <f>COUNTIF($NQ79:$NU79,1)</f>
        <v/>
      </c>
      <c r="OL79" s="155">
        <f>COUNTIF($NQ79:$NU79,2)</f>
        <v/>
      </c>
      <c r="OM79" s="155">
        <f>COUNTIF($NQ79:$NU79,3)</f>
        <v/>
      </c>
      <c r="ON79" s="155">
        <f>COUNTIF($NQ79:$NU79,4)</f>
        <v/>
      </c>
      <c r="OO79" s="155">
        <f>COUNTIF($NQ79:$NU79,5)</f>
        <v/>
      </c>
      <c r="OP79" s="155">
        <f>COUNTIF($NQ79:$NU79,6)</f>
        <v/>
      </c>
      <c r="OQ79" s="155">
        <f>COUNTIF($OG79:$OH79,1)</f>
        <v/>
      </c>
      <c r="OR79" s="155">
        <f>COUNTIF($OG79:$OH79,2)+$OD79</f>
        <v/>
      </c>
      <c r="OS79" s="155">
        <f>COUNTIF($MV79:$MY79,"?*")</f>
        <v/>
      </c>
      <c r="OT79" s="155">
        <f>COUNTIF($MZ79:$NA79,"?*")+$OD79</f>
        <v/>
      </c>
      <c r="OU79" s="155">
        <f>IF($MQ79=0,0,SUMPRODUCT($OK79:$OP79,INDEX($I$2:$N$8,MAX(1,$MQ79),0)))</f>
        <v/>
      </c>
      <c r="OV79" s="155">
        <f>IF($MQ79=0,0,$OQ79*CEILING($MQ79/2,1)+$OR79*$MQ79)</f>
        <v/>
      </c>
      <c r="OW79" s="155">
        <f>MIN(2*$MQ79,$OV79)</f>
        <v/>
      </c>
      <c r="OX79" s="155">
        <f>MIN($OW79,$OU79)</f>
        <v/>
      </c>
      <c r="OY79" s="155">
        <f>$OW79-$OX79</f>
        <v/>
      </c>
      <c r="OZ79" s="155">
        <f>IF($MQ79=0,0,INDEX($P$2:$P$8,MAX(1,$MQ79)))</f>
        <v/>
      </c>
      <c r="PA79" s="155">
        <f>$OZ79-$OU79+$OX79</f>
        <v/>
      </c>
      <c r="PB79" s="155">
        <f>IF($MQ79=0,MAX(0,$NE79-IF($OS79&gt;0,1,0)),MAX(0,$PA79))</f>
        <v/>
      </c>
      <c r="PC79" s="155">
        <f>IF($MQ79=0,0,(IF(COUNTIF($MV79:$MY79,"Salto")&gt;0,1,0)+IF(COUNTIF($MV79:$MY79,"Queima")&gt;0,1,0)+IF(COUNTIF($MV79:$MY79,"Estilhaço")&gt;0,1,0))*FLOOR($PB79/2,1))</f>
        <v/>
      </c>
      <c r="PD79" s="155">
        <f>MAX(0,2-SUMPRODUCT($OK79:$OP79,$I$2:$N$2)+MIN(2,$OQ79*1+$OR79*1,SUMPRODUCT($OK79:$OP79,$I$2:$N$2)))</f>
        <v/>
      </c>
      <c r="PE79" s="155">
        <f>MAX(0,4-SUMPRODUCT($OK79:$OP79,$I$3:$N$3)+MIN(4,$OQ79*1+$OR79*2,SUMPRODUCT($OK79:$OP79,$I$3:$N$3)))</f>
        <v/>
      </c>
      <c r="PF79" s="155">
        <f>MAX(0,6-SUMPRODUCT($OK79:$OP79,$I$4:$N$4)+MIN(6,$OQ79*2+$OR79*3,SUMPRODUCT($OK79:$OP79,$I$4:$N$4)))</f>
        <v/>
      </c>
      <c r="PG79" s="155">
        <f>MAX(0,9-SUMPRODUCT($OK79:$OP79,$I$5:$N$5)+MIN(8,$OQ79*2+$OR79*4,SUMPRODUCT($OK79:$OP79,$I$5:$N$5)))</f>
        <v/>
      </c>
      <c r="PH79" s="155">
        <f>MAX(0,11-SUMPRODUCT($OK79:$OP79,$I$6:$N$6)+MIN(10,$OQ79*3+$OR79*5,SUMPRODUCT($OK79:$OP79,$I$6:$N$6)))</f>
        <v/>
      </c>
      <c r="PI79" s="155">
        <f>MAX(0,13-SUMPRODUCT($OK79:$OP79,$I$7:$N$7)+MIN(12,$OQ79*3+$OR79*6,SUMPRODUCT($OK79:$OP79,$I$7:$N$7)))</f>
        <v/>
      </c>
      <c r="PJ79" s="155">
        <f>MAX(0,16-SUMPRODUCT($OK79:$OP79,$I$8:$N$8)+MIN(14,$OQ79*4+$OR79*7,SUMPRODUCT($OK79:$OP79,$I$8:$N$8)))</f>
        <v/>
      </c>
      <c r="PK79" s="155">
        <f>IF($OE79=2,3*$PD79&amp;" de vida temp.",IF($OE79=3,"sem dano",IF($PD79=0,IF($OE79=1,"sem cura","sem dano"),IF($OE79=1,"cura ","")&amp;$PD79&amp;"d8")))</f>
        <v/>
      </c>
      <c r="PL79" s="155">
        <f>IF($OE79=2,3*$PE79&amp;" de vida temp.",IF($OE79=3,"sem dano",IF($PE79=0,IF($OE79=1,"sem cura","sem dano"),IF($OE79=1,"cura ","")&amp;$PE79&amp;"d8")))</f>
        <v/>
      </c>
      <c r="PM79" s="155">
        <f>IF($OE79=2,3*$PF79&amp;" de vida temp.",IF($OE79=3,"sem dano",IF($PF79=0,IF($OE79=1,"sem cura","sem dano"),IF($OE79=1,"cura ","")&amp;$PF79&amp;"d8")))</f>
        <v/>
      </c>
      <c r="PN79" s="155">
        <f>IF($OE79=2,3*$PG79&amp;" de vida temp.",IF($OE79=3,"sem dano",IF($PG79=0,IF($OE79=1,"sem cura","sem dano"),IF($OE79=1,"cura ","")&amp;$PG79&amp;"d8")))</f>
        <v/>
      </c>
      <c r="PO79" s="155">
        <f>IF($OE79=2,3*$PH79&amp;" de vida temp.",IF($OE79=3,"sem dano",IF($PH79=0,IF($OE79=1,"sem cura","sem dano"),IF($OE79=1,"cura ","")&amp;$PH79&amp;"d8")))</f>
        <v/>
      </c>
      <c r="PP79" s="155">
        <f>IF($OE79=2,3*$PI79&amp;" de vida temp.",IF($OE79=3,"sem dano",IF($PI79=0,IF($OE79=1,"sem cura","sem dano"),IF($OE79=1,"cura ","")&amp;$PI79&amp;"d8")))</f>
        <v/>
      </c>
      <c r="PQ79" s="155">
        <f>IF($OE79=2,3*$PJ79&amp;" de vida temp.",IF($OE79=3,"sem dano",IF($PJ79=0,IF($OE79=1,"sem cura","sem dano"),IF($OE79=1,"cura ","")&amp;$PJ79&amp;"d8")))</f>
        <v/>
      </c>
      <c r="PR79" s="155">
        <f>IF($NB79=0,"",TEXTJOIN(" · ",TRUE,IF($MO79&gt;$NC79,"Este lugar abre no nível "&amp;$MO79,""),IF($MQ79&gt;$ND79,"Classe "&amp;$MQ79&amp;": o nível "&amp;$NC79&amp;" libera até a "&amp;$ND79,""),IF($NV79=1,"A Forma "&amp;$MS79&amp;" pede "&amp;INDEX($W$2:$W$11,$NH79)&amp;" aberta",""),IF(AND($MQ79=0,$NH79&gt;0,IF($NH79=0,0,INDEX($AF$2:$AF$11,$NH79))=0),$MS79&amp;" não existe na Classe 0",""),IF($NW79=1,"Família Fechada: "&amp;$MV79,""),IF($NX79=1,"Família Fechada: "&amp;$MW79,""),IF($NY79=1,"Família Fechada: "&amp;$MX79,""),IF($NZ79=1,"Família Fechada: "&amp;$MY79,""),IF(AND($MQ79&gt;0,$OS79&gt;INDEX($O$2:$O$8,MAX(1,$MQ79))),$OS79&amp;" Melhorias: a Classe "&amp;$MQ79&amp;" aceita "&amp;INDEX($O$2:$O$8,MAX(1,$MQ79)),""),IF(AND($MQ79=0,$OS79&gt;1),"A básica aceita uma Melhoria",""),IF(AND($MQ79=0,COUNTIF($NM79:$NP79,"&gt;1")&gt;0),"A básica só aceita Melhoria Leve",""),IF(AND($MQ79&gt;0,$OT79&gt;2),$OT79&amp;" Restrições"&amp;IF($OD79=1,", contando a que a Forma "&amp;$MS79&amp;" já traz","")&amp;": o limite é 2",""),IF(AND($MQ79=0,COUNTIF($MZ79:$NA79,"?*")&gt;1),"A básica aceita uma Restrição Leve",""),IF(AND($MQ79=0,COUNTIF($OG79:$OH79,2)&gt;0),"A básica só aceita Restrição Leve",""),IF(AND($MQ79&gt;0,$PA79&lt;0),"Orçamento estourado: faltam "&amp;(-$PA79)&amp;IF($PA79&lt;-1," pontos"," ponto"),""),IF(IFERROR(VLOOKUP($MZ79,$BC$2:$BG$24,4,FALSE),0)+IFERROR(VLOOKUP($NA79,$BC$2:$BG$24,4,FALSE),0)&gt;1,$OI79&amp;" e "&amp;$OJ79&amp;" são as duas de frequência",""),IF(AND((COUNTIF($MV79:$MY79,"Rápido")+COUNTIF($OI79:$OJ79,"Rápido"))&gt;0,(COUNTIF($MV79:$MY79,"Atrasar")+COUNTIF($OI79:$OJ79,"Atrasar"))&gt;0),"Rápido não entra com Atrasar",""),IF(AND((COUNTIF($MV79:$MY79,"Reação")+COUNTIF($OI79:$OJ79,"Reação"))&gt;0,(COUNTIF($MV79:$MY79,"Rápido")+COUNTIF($OI79:$OJ79,"Rápido"))&gt;0),"Reação não entra com Rápido",""),IF(AND((COUNTIF($MV79:$MY79,"Reação")+COUNTIF($OI79:$OJ79,"Reação"))&gt;0,(COUNTIF($MV79:$MY79,"Armado")+COUNTIF($OI79:$OJ79,"Armado"))&gt;0),"Reação não entra com Armado",""),IF(AND((COUNTIF($MV79:$MY79,"Reação")+COUNTIF($OI79:$OJ79,"Reação"))&gt;0,(COUNTIF($MV79:$MY79,"Atrasar")+COUNTIF($OI79:$OJ79,"Atrasar"))&gt;0),"Reação não entra com Atrasar",""),IF(AND((COUNTIF($MV79:$MY79,"Reação")+COUNTIF($OI79:$OJ79,"Reação"))&gt;0,(COUNTIF($MV79:$MY79,"Parado")+COUNTIF($OI79:$OJ79,"Parado"))&gt;0),"Reação não entra com Parado",""),IF(AND((COUNTIF($MV79:$MY79,"Atrasar")+COUNTIF($OI79:$OJ79,"Atrasar"))&gt;0,(COUNTIF($MV79:$MY79,"Parado")+COUNTIF($OI79:$OJ79,"Parado"))&gt;0),"Atrasar não entra com Parado",""),IF(AND((COUNTIF($MV79:$MY79,"Armado")+COUNTIF($OI79:$OJ79,"Armado"))&gt;0,(COUNTIF($MV79:$MY79,"Carregar")+COUNTIF($OI79:$OJ79,"Carregar"))&gt;0),"Armado não entra com Carregar",""),IF(AND(COUNTIF($OI79:$OJ79,"Corpo a Corpo")&gt;0,$OD79=0,OR($MS79="Cone",$MS79="Linha")),"Corpo a Corpo não entra em "&amp;$MS79,""),IF(AND(COUNTIF($OI79:$OJ79,"Corpo a Corpo")&gt;0,$OD79=1),"A Forma "&amp;$MS79&amp;" já traz o Corpo a Corpo",""),IF(AND(COUNTIF($OI79:$OJ79,"Tudo ou Nada")&gt;0,$OF79=0),"Tudo ou Nada só entra em habilidade de Teste de Resistência",""),IF(AND(COUNTIF($MV79:$MY79,"Inescapável")&gt;0,OR($OS79&gt;1,$OT79&gt;0)),"Inescapável não aceita outra peça",""),IF(AND($MQ79&gt;0,$PB79*IF(COUNTIF($MV79:$MY79,"Remate")&gt;0,1.25,1)+$PC79&gt;4*$MQ79),($PB79*IF(COUNTIF($MV79:$MY79,"Remate")&gt;0,1.25,1)+$PC79)&amp;" dados somando repetições"&amp;IF(COUNTIF($MV79:$MY79,"Remate")&gt;0," e o Remate","")&amp;": o teto da Classe "&amp;$MQ79&amp;" é "&amp;4*$MQ79,"")))</f>
        <v/>
      </c>
      <c r="PS79" s="155">
        <f>IF($PR79="",0,(LEN($PR79)-LEN(SUBSTITUTE($PR79," · ","")))/3+1)</f>
        <v/>
      </c>
      <c r="PT79" s="155">
        <f>IF($NB79=0,"",TEXTJOIN(" · ",TRUE,IF($OV79&gt;2*$MQ79,"A devolução parou no teto de "&amp;2*$MQ79,""),IF($OY79&gt;0,"Devolução perdida: "&amp;$OY79&amp;IF($OY79&gt;1," pontos"," ponto")&amp;" sem peça para pagar",""),IF(AND($OA79&gt;0,AND($MQ79&gt;0,$OE79=0),$PB79=0),"Controle sem dano: uma rodada a mais e CD +2",""),IF(AND($OA79&gt;0,AND($MQ79&gt;0,$OE79=0),$PB79&gt;0,$PB79&lt;=$MQ79),"Controle com saldo até a Classe: uma rodada a mais",""),IF(AND($MQ79&gt;0,$OC79&lt;&gt;""),"Efeito de "&amp;$OC79&amp;" pela Classe "&amp;MAX(1,$MQ79-1),"")))</f>
        <v/>
      </c>
      <c r="PU79" s="155">
        <f>IF($PT79="",0,(LEN($PT79)-LEN(SUBSTITUTE($PT79," · ","")))/3+1)</f>
        <v/>
      </c>
      <c r="PV79" s="155">
        <f>IF($NB79=0,IF($OS79+COUNTIF($MZ79:$NA79,"?*")&gt;0,"Dê um nome",""),IF($PS79&gt;0,"⚠ "&amp;$PS79&amp;IF($PS79&gt;1," erros"," erro"),IF($PU79&gt;0,"! "&amp;$PU79&amp;IF($PU79&gt;1," avisos"," aviso"),"Na regra")))</f>
        <v/>
      </c>
      <c r="PW79" s="155">
        <f>IF($NB79=0,"",IF($PS79+$PU79=0,"Dentro das regras que a ficha confere",$PR79&amp;IF(AND($PS79&gt;0,$PU79&gt;0)," · ","")&amp;$PT79))</f>
        <v/>
      </c>
      <c r="PX79" s="155">
        <f>IF($MO79&gt;$NC79,$MP79&amp;" · ABRE NO NÍVEL "&amp;$MO79,$MP79)</f>
        <v/>
      </c>
      <c r="PY79" s="155">
        <f>IF($NB79=0,"",IF($MQ79=0,"Sem PE",3*$MQ79&amp;" PE"))</f>
        <v/>
      </c>
      <c r="PZ79" s="155">
        <f>IF($NB79=0,"",IF($MQ79=0,"A atuação básica dela",IF(COUNTIF($OI79:$OJ79,"Atrasar")&gt;0,"Sua Ação Completa",IF(COUNTIF($MV79:$MY79,"Rápido")&gt;0,"Sua Bônus",IF(COUNTIF($MV79:$MY79,"Reação")&gt;0,"Sua Reação","Sua Padrão")))&amp;" + a básica dela"&amp;IF(COUNTIF($MV79:$MY79,"Reação")&gt;0," e a coletiva","")&amp;IF(COUNTIF($OI79:$OJ79,"Carregar")&gt;0," · em dois turnos","")))</f>
        <v/>
      </c>
      <c r="QA79" s="155">
        <f>IF($MU79&lt;&gt;"",$MU79,IF($NH79=0,"",INDEX($AA$2:$AA$11,$NH79)))</f>
        <v/>
      </c>
      <c r="QB79" s="155">
        <f>IF(OR($NB79=0,$NH79=0),"",IF(COUNTIF($MV79:$MY79,"Inescapável")&gt;0,"Automático",IF($QA79="Ataque",IF($NF79="","Ataque","Ataque "&amp;IF(($NF79+2*IF(COUNTIF($MV79:$MY79,"Precisão")&gt;0,1,0))&gt;=0,"+","−")&amp;ABS(($NF79+2*IF(COUNTIF($MV79:$MY79,"Precisão")&gt;0,1,0))))&amp;IF($OB79&gt;0," · TR"&amp;IF($NG79="",""," CD "&amp;$NG79),""),IF(LEFT($QA79,2)="TR",$QA79&amp;IF($NG79="",""," · CD "&amp;$NG79)&amp;IF(COUNTIF($MV79:$MY79,"Certeiro")&gt;0," · metade",""),"Sem rolagem"))))</f>
        <v/>
      </c>
      <c r="QC79" s="155">
        <f>IF(OR($NB79=0,$NH79=0),"",IF($MQ79=0,IF(OR($OE79&gt;=1,$PB79=0),"Sem dano",$PB79&amp;"d6"&amp;IF($MT79="",""," "&amp;$MT79)),IF(OR($OE79&gt;=1,$PB79=0),UPPER(LEFT(INDEX($PK79:$PQ79,1,MAX(1,$MQ79)),1))&amp;MID(INDEX($PK79:$PQ79,1,MAX(1,$MQ79)),2,99),UPPER(LEFT(INDEX($PK79:$PQ79,1,MAX(1,$MQ79)),1))&amp;MID(INDEX($PK79:$PQ79,1,MAX(1,$MQ79)),2,99)&amp;IF($MT79="",""," "&amp;$MT79)&amp;IF($PC79&gt;0," · +"&amp;$PC79&amp;"d8",""))))</f>
        <v/>
      </c>
      <c r="QD79" s="155">
        <f>COUNTIF($MV79:$MY79,"Longe")+3*COUNTIF($MV79:$MY79,"Muito Longe")</f>
        <v/>
      </c>
      <c r="QE79" s="155">
        <f>COUNTIF($MV79:$MY79,"Maior")+3*COUNTIF($MV79:$MY79,"Muito Maior")</f>
        <v/>
      </c>
      <c r="QF79" s="155">
        <f>IF($NH79=0,0,CHOOSE(1+INDEX($AC$2:$AC$11,$NH79),0,$QD79,$QE79,$QD79+$QE79))</f>
        <v/>
      </c>
      <c r="QG79" s="155">
        <f>IF($NH79=0,0,CHOOSE(1+INDEX($AD$2:$AD$11,$NH79),0,$QD79,$QE79,$QD79+$QE79))</f>
        <v/>
      </c>
      <c r="QH79" s="155">
        <f>IF(OR($NB79=0,$NH79=0),"",INDEX($AI$2:$AN$41,($NH79-1)*4+IF($MQ79=0,1,IF($MQ79&lt;=5,2,IF($MQ79=6,3,4))),1+MIN(5,$QF79))&amp;INDEX($AO$2:$AT$41,($NH79-1)*4+IF($MQ79=0,1,IF($MQ79&lt;=5,2,IF($MQ79=6,3,4))),1+MIN(5,$QG79))&amp;IF(INDEX($AE$2:$AE$11,$NH79)=1,IF(COUNTIF($MV79:$MY79,"Mais Um")&gt;0," · +"&amp;COUNTIF($MV79:$MY79,"Mais Um")&amp;IF(COUNTIF($MV79:$MY79,"Mais Um")&gt;1," alvos"," alvo"),"")&amp;IF(COUNTIF($MV79:$MY79,"Rajada")&gt;0,IF($MQ79=0," · 1 tiro"," · "&amp;(MAX(1,$MQ79-1)+1)&amp;" tiros"),""),""))</f>
        <v/>
      </c>
      <c r="QI79" s="155">
        <f>IF($NB79=0,"",IF($MQ79=0,$NE79&amp;"d6"&amp;IF($OS79&gt;0," − 1 = "&amp;$PB79&amp;"d6"," da básica do nível "&amp;$NC79),$OZ79&amp;" − "&amp;$OU79&amp;" + "&amp;$OX79&amp;" = "&amp;$PA79&amp;" · teto "&amp;4*$MQ79&amp;"d8"&amp;IF($OD79=1," · a Forma devolve "&amp;$MQ79,"")&amp;IF($OY79&gt;0," · perde "&amp;$OY79,"")))</f>
        <v/>
      </c>
      <c r="QJ79" s="155">
        <f>IF($NB79=0,"",IF($MQ79=0,"A básica não amplia: os dados dela sobem com o nível",IF($MQ79&gt;=$ND79,"Já está na maior Classe que o nível liberou",TEXTJOIN(" · ",TRUE,IF(AND(2&gt;$MQ79,2&lt;=$ND79),"2 → "&amp;$PL79&amp;", 6 PE",""),IF(AND(3&gt;$MQ79,3&lt;=$ND79),"3 → "&amp;$PM79&amp;", 9 PE",""),IF(AND(4&gt;$MQ79,4&lt;=$ND79),"4 → "&amp;$PN79&amp;", 12 PE",""),IF(AND(5&gt;$MQ79,5&lt;=$ND79),"5 → "&amp;$PO79&amp;", 15 PE",""),IF(AND(6&gt;$MQ79,6&lt;=$ND79),"6 → "&amp;$PP79&amp;", 18 PE",""),IF(AND(7&gt;$MQ79,7&lt;=$ND79),"7 → "&amp;$PQ79&amp;", 21 PE","")))))</f>
        <v/>
      </c>
      <c r="QK79" s="155">
        <f>IF(OR($NB79=0,$NM79=0),"",IF($MQ79=0,"−1 dado","−"&amp;INDEX($I$2:$N$8,MAX(1,$MQ79),MAX(1,$NR79))&amp;" · "&amp;CHOOSE(MAX(1,$NR79),"Leve","Média","Pesada","Leve · Livre","Média · Livre","Pesada · Livre")))</f>
        <v/>
      </c>
      <c r="QL79" s="155">
        <f>IF(OR($NB79=0,$NN79=0),"",IF($MQ79=0,"−1 dado","−"&amp;INDEX($I$2:$N$8,MAX(1,$MQ79),MAX(1,$NS79))&amp;" · "&amp;CHOOSE(MAX(1,$NS79),"Leve","Média","Pesada","Leve · Livre","Média · Livre","Pesada · Livre")))</f>
        <v/>
      </c>
      <c r="QM79" s="155">
        <f>IF(OR($NB79=0,$NO79=0),"",IF($MQ79=0,"−1 dado","−"&amp;INDEX($I$2:$N$8,MAX(1,$MQ79),MAX(1,$NT79))&amp;" · "&amp;CHOOSE(MAX(1,$NT79),"Leve","Média","Pesada","Leve · Livre","Média · Livre","Pesada · Livre")))</f>
        <v/>
      </c>
      <c r="QN79" s="155">
        <f>IF(OR($NB79=0,$NP79=0),"",IF($MQ79=0,"−1 dado","−"&amp;INDEX($I$2:$N$8,MAX(1,$MQ79),MAX(1,$NU79))&amp;" · "&amp;CHOOSE(MAX(1,$NU79),"Leve","Média","Pesada","Leve · Livre","Média · Livre","Pesada · Livre")))</f>
        <v/>
      </c>
      <c r="QO79" s="155">
        <f>IF(OR($NB79=0,$MZ79=""),"",IF($MQ79=0,"não devolve","+"&amp;IF($OG79=1,CEILING($MQ79/2,1),$MQ79)))</f>
        <v/>
      </c>
      <c r="QP79" s="155">
        <f>IF(OR($NB79=0,$NA79=""),"",IF($MQ79=0,"não devolve","+"&amp;IF($OH79=1,CEILING($MQ79/2,1),$MQ79)))</f>
        <v/>
      </c>
    </row>
    <row r="80">
      <c r="AV80" s="153" t="inlineStr">
        <is>
          <t>Junto</t>
        </is>
      </c>
      <c r="AW80" s="153" t="inlineStr">
        <is>
          <t>Amparo</t>
        </is>
      </c>
      <c r="AX80" s="155" t="n">
        <v>1</v>
      </c>
      <c r="AY80" s="155" t="n">
        <v>0</v>
      </c>
      <c r="AZ80" s="155" t="n">
        <v>0</v>
      </c>
      <c r="BA80" s="155" t="n">
        <v>0</v>
      </c>
      <c r="JR80" s="155">
        <f>IF(OR($AW80="",COUNTIF($EJ$2:$EN$2,$AW80)&gt;0),$AV80,"")</f>
        <v/>
      </c>
      <c r="JS80" s="155">
        <f>IF(AND($AX80=1,OR($AW80="",COUNTIF($EJ$2:$EN$2,$AW80)&gt;0)),$AV80,"")</f>
        <v/>
      </c>
      <c r="JX80" s="155">
        <f>IF(OR($AW80="",COUNTIF($EJ$3:$EN$3,$AW80)&gt;0),$AV80,"")</f>
        <v/>
      </c>
      <c r="JY80" s="155">
        <f>IF(AND($AX80=1,OR($AW80="",COUNTIF($EJ$3:$EN$3,$AW80)&gt;0)),$AV80,"")</f>
        <v/>
      </c>
      <c r="KD80" s="155">
        <f>IF(OR($AW80="",COUNTIF($EJ$4:$EN$4,$AW80)&gt;0),$AV80,"")</f>
        <v/>
      </c>
      <c r="KE80" s="155">
        <f>IF(AND($AX80=1,OR($AW80="",COUNTIF($EJ$4:$EN$4,$AW80)&gt;0)),$AV80,"")</f>
        <v/>
      </c>
      <c r="KJ80" s="155">
        <f>IF(OR($AW80="",COUNTIF($EJ$5:$EN$5,$AW80)&gt;0),$AV80,"")</f>
        <v/>
      </c>
      <c r="KK80" s="155">
        <f>IF(AND($AX80=1,OR($AW80="",COUNTIF($EJ$5:$EN$5,$AW80)&gt;0)),$AV80,"")</f>
        <v/>
      </c>
      <c r="KP80" s="155">
        <f>IF(OR($AW80="",COUNTIF($EJ$6:$EN$6,$AW80)&gt;0),$AV80,"")</f>
        <v/>
      </c>
      <c r="KQ80" s="155">
        <f>IF(AND($AX80=1,OR($AW80="",COUNTIF($EJ$6:$EN$6,$AW80)&gt;0)),$AV80,"")</f>
        <v/>
      </c>
      <c r="KV80" s="155">
        <f>IF(OR($AW80="",COUNTIF($EJ$7:$EN$7,$AW80)&gt;0),$AV80,"")</f>
        <v/>
      </c>
      <c r="KW80" s="155">
        <f>IF(AND($AX80=1,OR($AW80="",COUNTIF($EJ$7:$EN$7,$AW80)&gt;0)),$AV80,"")</f>
        <v/>
      </c>
      <c r="LB80" s="155">
        <f>IF(OR($AW80="",COUNTIF($EJ$8:$EN$8,$AW80)&gt;0),$AV80,"")</f>
        <v/>
      </c>
      <c r="LC80" s="155">
        <f>IF(AND($AX80=1,OR($AW80="",COUNTIF($EJ$8:$EN$8,$AW80)&gt;0)),$AV80,"")</f>
        <v/>
      </c>
      <c r="LH80" s="155">
        <f>IF(OR($AW80="",COUNTIF($EJ$9:$EN$9,$AW80)&gt;0),$AV80,"")</f>
        <v/>
      </c>
      <c r="LI80" s="155">
        <f>IF(AND($AX80=1,OR($AW80="",COUNTIF($EJ$9:$EN$9,$AW80)&gt;0)),$AV80,"")</f>
        <v/>
      </c>
      <c r="LN80" s="155">
        <f>IF(OR($AW80="",COUNTIF($EJ$10:$EN$10,$AW80)&gt;0),$AV80,"")</f>
        <v/>
      </c>
      <c r="LO80" s="155">
        <f>IF(AND($AX80=1,OR($AW80="",COUNTIF($EJ$10:$EN$10,$AW80)&gt;0)),$AV80,"")</f>
        <v/>
      </c>
      <c r="LT80" s="155">
        <f>IF(OR($AW80="",COUNTIF($EJ$11:$EN$11,$AW80)&gt;0),$AV80,"")</f>
        <v/>
      </c>
      <c r="LU80" s="155">
        <f>IF(AND($AX80=1,OR($AW80="",COUNTIF($EJ$11:$EN$11,$AW80)&gt;0)),$AV80,"")</f>
        <v/>
      </c>
      <c r="LZ80" s="155">
        <f>IF(OR($AW80="",COUNTIF($EJ$12:$EN$12,$AW80)&gt;0),$AV80,"")</f>
        <v/>
      </c>
      <c r="MA80" s="155">
        <f>IF(AND($AX80=1,OR($AW80="",COUNTIF($EJ$12:$EN$12,$AW80)&gt;0)),$AV80,"")</f>
        <v/>
      </c>
      <c r="MF80" s="155">
        <f>IF(OR($AW80="",COUNTIF($EJ$13:$EN$13,$AW80)&gt;0),$AV80,"")</f>
        <v/>
      </c>
      <c r="MG80" s="155">
        <f>IF(AND($AX80=1,OR($AW80="",COUNTIF($EJ$13:$EN$13,$AW80)&gt;0)),$AV80,"")</f>
        <v/>
      </c>
      <c r="ML80" s="153" t="inlineStr">
        <is>
          <t>Ficha 7 · Básica 1</t>
        </is>
      </c>
      <c r="MM80" s="155" t="n">
        <v>7</v>
      </c>
      <c r="MN80" s="155" t="n">
        <v>0</v>
      </c>
      <c r="MO80" s="155" t="n">
        <v>1</v>
      </c>
      <c r="MP80" s="153" t="inlineStr">
        <is>
          <t>BÁSICA 1</t>
        </is>
      </c>
      <c r="MQ80" s="155" t="n">
        <v>0</v>
      </c>
      <c r="MR80" s="155">
        <f>'INVOCAÇÕES'!$AC$58&amp;""</f>
        <v/>
      </c>
      <c r="MS80" s="155">
        <f>'INVOCAÇÕES'!$AB$63&amp;""</f>
        <v/>
      </c>
      <c r="MT80" s="155">
        <f>'INVOCAÇÕES'!$AB$64&amp;""</f>
        <v/>
      </c>
      <c r="MU80" s="155">
        <f>'INVOCAÇÕES'!$AD$64&amp;""</f>
        <v/>
      </c>
      <c r="MV80" s="155">
        <f>'INVOCAÇÕES'!$AC$67&amp;""</f>
        <v/>
      </c>
      <c r="MW80" s="155">
        <f>'INVOCAÇÕES'!$AC$68&amp;""</f>
        <v/>
      </c>
      <c r="MX80" s="155">
        <f>'INVOCAÇÕES'!$AC$69&amp;""</f>
        <v/>
      </c>
      <c r="MY80" s="155">
        <f>'INVOCAÇÕES'!$AC$70&amp;""</f>
        <v/>
      </c>
      <c r="MZ80" s="155">
        <f>'INVOCAÇÕES'!$AC$71&amp;""</f>
        <v/>
      </c>
      <c r="NA80" s="155">
        <f>'INVOCAÇÕES'!$AC$72&amp;""</f>
        <v/>
      </c>
      <c r="NB80" s="155">
        <f>IF($MR80&lt;&gt;"",1,0)</f>
        <v/>
      </c>
      <c r="NC80" s="155">
        <f>INDEX($FM$2:$FM$13,$MM80)</f>
        <v/>
      </c>
      <c r="ND80" s="155">
        <f>INDEX($FN$2:$FN$13,$MM80)</f>
        <v/>
      </c>
      <c r="NE80" s="155">
        <f>INDEX($FO$2:$FO$13,$MM80)</f>
        <v/>
      </c>
      <c r="NF80" s="155">
        <f>INDEX($FZ$2:$FZ$13,$MM80)</f>
        <v/>
      </c>
      <c r="NG80" s="155">
        <f>INDEX($GA$2:$GA$13,$MM80)</f>
        <v/>
      </c>
      <c r="NH80" s="155">
        <f>IFERROR(MATCH($MS80,$V$2:$V$11,0),0)</f>
        <v/>
      </c>
      <c r="NI80" s="155">
        <f>IFERROR(VLOOKUP($MV80,$AV$2:$BA$84,2,FALSE),"")</f>
        <v/>
      </c>
      <c r="NJ80" s="155">
        <f>IFERROR(VLOOKUP($MW80,$AV$2:$BA$84,2,FALSE),"")</f>
        <v/>
      </c>
      <c r="NK80" s="155">
        <f>IFERROR(VLOOKUP($MX80,$AV$2:$BA$84,2,FALSE),"")</f>
        <v/>
      </c>
      <c r="NL80" s="155">
        <f>IFERROR(VLOOKUP($MY80,$AV$2:$BA$84,2,FALSE),"")</f>
        <v/>
      </c>
      <c r="NM80" s="155">
        <f>IFERROR(VLOOKUP($MV80,$AV$2:$BA$84,3,FALSE),0)</f>
        <v/>
      </c>
      <c r="NN80" s="155">
        <f>IFERROR(VLOOKUP($MW80,$AV$2:$BA$84,3,FALSE),0)</f>
        <v/>
      </c>
      <c r="NO80" s="155">
        <f>IFERROR(VLOOKUP($MX80,$AV$2:$BA$84,3,FALSE),0)</f>
        <v/>
      </c>
      <c r="NP80" s="155">
        <f>IFERROR(VLOOKUP($MY80,$AV$2:$BA$84,3,FALSE),0)</f>
        <v/>
      </c>
      <c r="NQ80" s="155">
        <f>IF($MQ80=0,0,IF($NH80=0,0,INDEX($X$2:$X$11,$NH80)))</f>
        <v/>
      </c>
      <c r="NR80" s="155">
        <f>IF(OR($NM80=0,$MQ80=0),0,$NM80+3*IF(AND($NI80&lt;&gt;"",OR($NI80=INDEX($EJ$2:$EJ$13,$MM80),$NI80=INDEX($EK$2:$EK$13,$MM80))),1,0))</f>
        <v/>
      </c>
      <c r="NS80" s="155">
        <f>IF(OR($NN80=0,$MQ80=0),0,$NN80+3*IF(AND($NJ80&lt;&gt;"",OR($NJ80=INDEX($EJ$2:$EJ$13,$MM80),$NJ80=INDEX($EK$2:$EK$13,$MM80))),1,0))</f>
        <v/>
      </c>
      <c r="NT80" s="155">
        <f>IF(OR($NO80=0,$MQ80=0),0,$NO80+3*IF(AND($NK80&lt;&gt;"",OR($NK80=INDEX($EJ$2:$EJ$13,$MM80),$NK80=INDEX($EK$2:$EK$13,$MM80))),1,0))</f>
        <v/>
      </c>
      <c r="NU80" s="155">
        <f>IF(OR($NP80=0,$MQ80=0),0,$NP80+3*IF(AND($NL80&lt;&gt;"",OR($NL80=INDEX($EJ$2:$EJ$13,$MM80),$NL80=INDEX($EK$2:$EK$13,$MM80))),1,0))</f>
        <v/>
      </c>
      <c r="NV80" s="155">
        <f>IF($NH80=0,0,IF(INDEX($W$2:$W$11,$NH80)="",0,IF(COUNTIF(INDEX($EJ$2:$EN$13,$MM80,0),INDEX($W$2:$W$11,$NH80))=0,1,0)))</f>
        <v/>
      </c>
      <c r="NW80" s="155">
        <f>IF(OR($NM80=0,$NI80=""),0,IF(COUNTIF(INDEX($EJ$2:$EN$13,$MM80,0),$NI80)=0,1,0))</f>
        <v/>
      </c>
      <c r="NX80" s="155">
        <f>IF(OR($NN80=0,$NJ80=""),0,IF(COUNTIF(INDEX($EJ$2:$EN$13,$MM80,0),$NJ80)=0,1,0))</f>
        <v/>
      </c>
      <c r="NY80" s="155">
        <f>IF(OR($NO80=0,$NK80=""),0,IF(COUNTIF(INDEX($EJ$2:$EN$13,$MM80,0),$NK80)=0,1,0))</f>
        <v/>
      </c>
      <c r="NZ80" s="155">
        <f>IF(OR($NP80=0,$NL80=""),0,IF(COUNTIF(INDEX($EJ$2:$EN$13,$MM80,0),$NL80)=0,1,0))</f>
        <v/>
      </c>
      <c r="OA80" s="155">
        <f>IFERROR(VLOOKUP($MV80,$AV$2:$BA$84,4,FALSE),0)+IFERROR(VLOOKUP($MW80,$AV$2:$BA$84,4,FALSE),0)+IFERROR(VLOOKUP($MX80,$AV$2:$BA$84,4,FALSE),0)+IFERROR(VLOOKUP($MY80,$AV$2:$BA$84,4,FALSE),0)</f>
        <v/>
      </c>
      <c r="OB80" s="155">
        <f>IFERROR(VLOOKUP($MV80,$AV$2:$BA$84,6,FALSE),0)+IFERROR(VLOOKUP($MW80,$AV$2:$BA$84,6,FALSE),0)+IFERROR(VLOOKUP($MX80,$AV$2:$BA$84,6,FALSE),0)+IFERROR(VLOOKUP($MY80,$AV$2:$BA$84,6,FALSE),0)</f>
        <v/>
      </c>
      <c r="OC80" s="155">
        <f>TEXTJOIN(", ",TRUE,IF(IFERROR(VLOOKUP($MV80,$AV$2:$BA$84,5,FALSE),0)=1,$MV80,""),IF(IFERROR(VLOOKUP($MW80,$AV$2:$BA$84,5,FALSE),0)=1,$MW80,""),IF(IFERROR(VLOOKUP($MX80,$AV$2:$BA$84,5,FALSE),0)=1,$MX80,""),IF(IFERROR(VLOOKUP($MY80,$AV$2:$BA$84,5,FALSE),0)=1,$MY80,""))</f>
        <v/>
      </c>
      <c r="OD80" s="155">
        <f>IF($NH80=0,0,INDEX($Y$2:$Y$11,$NH80))</f>
        <v/>
      </c>
      <c r="OE80" s="155">
        <f>IF($NH80=0,0,INDEX($Z$2:$Z$11,$NH80))</f>
        <v/>
      </c>
      <c r="OF80" s="155">
        <f>IF($NH80=0,0,INDEX($AB$2:$AB$11,$NH80))</f>
        <v/>
      </c>
      <c r="OG80" s="155">
        <f>IFERROR(VLOOKUP($MZ80,$BC$2:$BG$24,3,FALSE),0)</f>
        <v/>
      </c>
      <c r="OH80" s="155">
        <f>IFERROR(VLOOKUP($NA80,$BC$2:$BG$24,3,FALSE),0)</f>
        <v/>
      </c>
      <c r="OI80" s="155">
        <f>IFERROR(VLOOKUP($MZ80,$BC$2:$BG$24,2,FALSE),"")</f>
        <v/>
      </c>
      <c r="OJ80" s="155">
        <f>IFERROR(VLOOKUP($NA80,$BC$2:$BG$24,2,FALSE),"")</f>
        <v/>
      </c>
      <c r="OK80" s="155">
        <f>COUNTIF($NQ80:$NU80,1)</f>
        <v/>
      </c>
      <c r="OL80" s="155">
        <f>COUNTIF($NQ80:$NU80,2)</f>
        <v/>
      </c>
      <c r="OM80" s="155">
        <f>COUNTIF($NQ80:$NU80,3)</f>
        <v/>
      </c>
      <c r="ON80" s="155">
        <f>COUNTIF($NQ80:$NU80,4)</f>
        <v/>
      </c>
      <c r="OO80" s="155">
        <f>COUNTIF($NQ80:$NU80,5)</f>
        <v/>
      </c>
      <c r="OP80" s="155">
        <f>COUNTIF($NQ80:$NU80,6)</f>
        <v/>
      </c>
      <c r="OQ80" s="155">
        <f>COUNTIF($OG80:$OH80,1)</f>
        <v/>
      </c>
      <c r="OR80" s="155">
        <f>COUNTIF($OG80:$OH80,2)+$OD80</f>
        <v/>
      </c>
      <c r="OS80" s="155">
        <f>COUNTIF($MV80:$MY80,"?*")</f>
        <v/>
      </c>
      <c r="OT80" s="155">
        <f>COUNTIF($MZ80:$NA80,"?*")+$OD80</f>
        <v/>
      </c>
      <c r="OU80" s="155">
        <f>IF($MQ80=0,0,SUMPRODUCT($OK80:$OP80,INDEX($I$2:$N$8,MAX(1,$MQ80),0)))</f>
        <v/>
      </c>
      <c r="OV80" s="155">
        <f>IF($MQ80=0,0,$OQ80*CEILING($MQ80/2,1)+$OR80*$MQ80)</f>
        <v/>
      </c>
      <c r="OW80" s="155">
        <f>MIN(2*$MQ80,$OV80)</f>
        <v/>
      </c>
      <c r="OX80" s="155">
        <f>MIN($OW80,$OU80)</f>
        <v/>
      </c>
      <c r="OY80" s="155">
        <f>$OW80-$OX80</f>
        <v/>
      </c>
      <c r="OZ80" s="155">
        <f>IF($MQ80=0,0,INDEX($P$2:$P$8,MAX(1,$MQ80)))</f>
        <v/>
      </c>
      <c r="PA80" s="155">
        <f>$OZ80-$OU80+$OX80</f>
        <v/>
      </c>
      <c r="PB80" s="155">
        <f>IF($MQ80=0,MAX(0,$NE80-IF($OS80&gt;0,1,0)),MAX(0,$PA80))</f>
        <v/>
      </c>
      <c r="PC80" s="155">
        <f>IF($MQ80=0,0,(IF(COUNTIF($MV80:$MY80,"Salto")&gt;0,1,0)+IF(COUNTIF($MV80:$MY80,"Queima")&gt;0,1,0)+IF(COUNTIF($MV80:$MY80,"Estilhaço")&gt;0,1,0))*FLOOR($PB80/2,1))</f>
        <v/>
      </c>
      <c r="PD80" s="155">
        <f>MAX(0,2-SUMPRODUCT($OK80:$OP80,$I$2:$N$2)+MIN(2,$OQ80*1+$OR80*1,SUMPRODUCT($OK80:$OP80,$I$2:$N$2)))</f>
        <v/>
      </c>
      <c r="PE80" s="155">
        <f>MAX(0,4-SUMPRODUCT($OK80:$OP80,$I$3:$N$3)+MIN(4,$OQ80*1+$OR80*2,SUMPRODUCT($OK80:$OP80,$I$3:$N$3)))</f>
        <v/>
      </c>
      <c r="PF80" s="155">
        <f>MAX(0,6-SUMPRODUCT($OK80:$OP80,$I$4:$N$4)+MIN(6,$OQ80*2+$OR80*3,SUMPRODUCT($OK80:$OP80,$I$4:$N$4)))</f>
        <v/>
      </c>
      <c r="PG80" s="155">
        <f>MAX(0,9-SUMPRODUCT($OK80:$OP80,$I$5:$N$5)+MIN(8,$OQ80*2+$OR80*4,SUMPRODUCT($OK80:$OP80,$I$5:$N$5)))</f>
        <v/>
      </c>
      <c r="PH80" s="155">
        <f>MAX(0,11-SUMPRODUCT($OK80:$OP80,$I$6:$N$6)+MIN(10,$OQ80*3+$OR80*5,SUMPRODUCT($OK80:$OP80,$I$6:$N$6)))</f>
        <v/>
      </c>
      <c r="PI80" s="155">
        <f>MAX(0,13-SUMPRODUCT($OK80:$OP80,$I$7:$N$7)+MIN(12,$OQ80*3+$OR80*6,SUMPRODUCT($OK80:$OP80,$I$7:$N$7)))</f>
        <v/>
      </c>
      <c r="PJ80" s="155">
        <f>MAX(0,16-SUMPRODUCT($OK80:$OP80,$I$8:$N$8)+MIN(14,$OQ80*4+$OR80*7,SUMPRODUCT($OK80:$OP80,$I$8:$N$8)))</f>
        <v/>
      </c>
      <c r="PK80" s="155">
        <f>IF($OE80=2,3*$PD80&amp;" de vida temp.",IF($OE80=3,"sem dano",IF($PD80=0,IF($OE80=1,"sem cura","sem dano"),IF($OE80=1,"cura ","")&amp;$PD80&amp;"d8")))</f>
        <v/>
      </c>
      <c r="PL80" s="155">
        <f>IF($OE80=2,3*$PE80&amp;" de vida temp.",IF($OE80=3,"sem dano",IF($PE80=0,IF($OE80=1,"sem cura","sem dano"),IF($OE80=1,"cura ","")&amp;$PE80&amp;"d8")))</f>
        <v/>
      </c>
      <c r="PM80" s="155">
        <f>IF($OE80=2,3*$PF80&amp;" de vida temp.",IF($OE80=3,"sem dano",IF($PF80=0,IF($OE80=1,"sem cura","sem dano"),IF($OE80=1,"cura ","")&amp;$PF80&amp;"d8")))</f>
        <v/>
      </c>
      <c r="PN80" s="155">
        <f>IF($OE80=2,3*$PG80&amp;" de vida temp.",IF($OE80=3,"sem dano",IF($PG80=0,IF($OE80=1,"sem cura","sem dano"),IF($OE80=1,"cura ","")&amp;$PG80&amp;"d8")))</f>
        <v/>
      </c>
      <c r="PO80" s="155">
        <f>IF($OE80=2,3*$PH80&amp;" de vida temp.",IF($OE80=3,"sem dano",IF($PH80=0,IF($OE80=1,"sem cura","sem dano"),IF($OE80=1,"cura ","")&amp;$PH80&amp;"d8")))</f>
        <v/>
      </c>
      <c r="PP80" s="155">
        <f>IF($OE80=2,3*$PI80&amp;" de vida temp.",IF($OE80=3,"sem dano",IF($PI80=0,IF($OE80=1,"sem cura","sem dano"),IF($OE80=1,"cura ","")&amp;$PI80&amp;"d8")))</f>
        <v/>
      </c>
      <c r="PQ80" s="155">
        <f>IF($OE80=2,3*$PJ80&amp;" de vida temp.",IF($OE80=3,"sem dano",IF($PJ80=0,IF($OE80=1,"sem cura","sem dano"),IF($OE80=1,"cura ","")&amp;$PJ80&amp;"d8")))</f>
        <v/>
      </c>
      <c r="PR80" s="155">
        <f>IF($NB80=0,"",TEXTJOIN(" · ",TRUE,IF($MO80&gt;$NC80,"Este lugar abre no nível "&amp;$MO80,""),IF($MQ80&gt;$ND80,"Classe "&amp;$MQ80&amp;": o nível "&amp;$NC80&amp;" libera até a "&amp;$ND80,""),IF($NV80=1,"A Forma "&amp;$MS80&amp;" pede "&amp;INDEX($W$2:$W$11,$NH80)&amp;" aberta",""),IF(AND($MQ80=0,$NH80&gt;0,IF($NH80=0,0,INDEX($AF$2:$AF$11,$NH80))=0),$MS80&amp;" não existe na Classe 0",""),IF($NW80=1,"Família Fechada: "&amp;$MV80,""),IF($NX80=1,"Família Fechada: "&amp;$MW80,""),IF($NY80=1,"Família Fechada: "&amp;$MX80,""),IF($NZ80=1,"Família Fechada: "&amp;$MY80,""),IF(AND($MQ80&gt;0,$OS80&gt;INDEX($O$2:$O$8,MAX(1,$MQ80))),$OS80&amp;" Melhorias: a Classe "&amp;$MQ80&amp;" aceita "&amp;INDEX($O$2:$O$8,MAX(1,$MQ80)),""),IF(AND($MQ80=0,$OS80&gt;1),"A básica aceita uma Melhoria",""),IF(AND($MQ80=0,COUNTIF($NM80:$NP80,"&gt;1")&gt;0),"A básica só aceita Melhoria Leve",""),IF(AND($MQ80&gt;0,$OT80&gt;2),$OT80&amp;" Restrições"&amp;IF($OD80=1,", contando a que a Forma "&amp;$MS80&amp;" já traz","")&amp;": o limite é 2",""),IF(AND($MQ80=0,COUNTIF($MZ80:$NA80,"?*")&gt;1),"A básica aceita uma Restrição Leve",""),IF(AND($MQ80=0,COUNTIF($OG80:$OH80,2)&gt;0),"A básica só aceita Restrição Leve",""),IF(AND($MQ80&gt;0,$PA80&lt;0),"Orçamento estourado: faltam "&amp;(-$PA80)&amp;IF($PA80&lt;-1," pontos"," ponto"),""),IF(IFERROR(VLOOKUP($MZ80,$BC$2:$BG$24,4,FALSE),0)+IFERROR(VLOOKUP($NA80,$BC$2:$BG$24,4,FALSE),0)&gt;1,$OI80&amp;" e "&amp;$OJ80&amp;" são as duas de frequência",""),IF(AND((COUNTIF($MV80:$MY80,"Rápido")+COUNTIF($OI80:$OJ80,"Rápido"))&gt;0,(COUNTIF($MV80:$MY80,"Atrasar")+COUNTIF($OI80:$OJ80,"Atrasar"))&gt;0),"Rápido não entra com Atrasar",""),IF(AND((COUNTIF($MV80:$MY80,"Reação")+COUNTIF($OI80:$OJ80,"Reação"))&gt;0,(COUNTIF($MV80:$MY80,"Rápido")+COUNTIF($OI80:$OJ80,"Rápido"))&gt;0),"Reação não entra com Rápido",""),IF(AND((COUNTIF($MV80:$MY80,"Reação")+COUNTIF($OI80:$OJ80,"Reação"))&gt;0,(COUNTIF($MV80:$MY80,"Armado")+COUNTIF($OI80:$OJ80,"Armado"))&gt;0),"Reação não entra com Armado",""),IF(AND((COUNTIF($MV80:$MY80,"Reação")+COUNTIF($OI80:$OJ80,"Reação"))&gt;0,(COUNTIF($MV80:$MY80,"Atrasar")+COUNTIF($OI80:$OJ80,"Atrasar"))&gt;0),"Reação não entra com Atrasar",""),IF(AND((COUNTIF($MV80:$MY80,"Reação")+COUNTIF($OI80:$OJ80,"Reação"))&gt;0,(COUNTIF($MV80:$MY80,"Parado")+COUNTIF($OI80:$OJ80,"Parado"))&gt;0),"Reação não entra com Parado",""),IF(AND((COUNTIF($MV80:$MY80,"Atrasar")+COUNTIF($OI80:$OJ80,"Atrasar"))&gt;0,(COUNTIF($MV80:$MY80,"Parado")+COUNTIF($OI80:$OJ80,"Parado"))&gt;0),"Atrasar não entra com Parado",""),IF(AND((COUNTIF($MV80:$MY80,"Armado")+COUNTIF($OI80:$OJ80,"Armado"))&gt;0,(COUNTIF($MV80:$MY80,"Carregar")+COUNTIF($OI80:$OJ80,"Carregar"))&gt;0),"Armado não entra com Carregar",""),IF(AND(COUNTIF($OI80:$OJ80,"Corpo a Corpo")&gt;0,$OD80=0,OR($MS80="Cone",$MS80="Linha")),"Corpo a Corpo não entra em "&amp;$MS80,""),IF(AND(COUNTIF($OI80:$OJ80,"Corpo a Corpo")&gt;0,$OD80=1),"A Forma "&amp;$MS80&amp;" já traz o Corpo a Corpo",""),IF(AND(COUNTIF($OI80:$OJ80,"Tudo ou Nada")&gt;0,$OF80=0),"Tudo ou Nada só entra em habilidade de Teste de Resistência",""),IF(AND(COUNTIF($MV80:$MY80,"Inescapável")&gt;0,OR($OS80&gt;1,$OT80&gt;0)),"Inescapável não aceita outra peça",""),IF(AND($MQ80&gt;0,$PB80*IF(COUNTIF($MV80:$MY80,"Remate")&gt;0,1.25,1)+$PC80&gt;4*$MQ80),($PB80*IF(COUNTIF($MV80:$MY80,"Remate")&gt;0,1.25,1)+$PC80)&amp;" dados somando repetições"&amp;IF(COUNTIF($MV80:$MY80,"Remate")&gt;0," e o Remate","")&amp;": o teto da Classe "&amp;$MQ80&amp;" é "&amp;4*$MQ80,"")))</f>
        <v/>
      </c>
      <c r="PS80" s="155">
        <f>IF($PR80="",0,(LEN($PR80)-LEN(SUBSTITUTE($PR80," · ","")))/3+1)</f>
        <v/>
      </c>
      <c r="PT80" s="155">
        <f>IF($NB80=0,"",TEXTJOIN(" · ",TRUE,IF($OV80&gt;2*$MQ80,"A devolução parou no teto de "&amp;2*$MQ80,""),IF($OY80&gt;0,"Devolução perdida: "&amp;$OY80&amp;IF($OY80&gt;1," pontos"," ponto")&amp;" sem peça para pagar",""),IF(AND($OA80&gt;0,AND($MQ80&gt;0,$OE80=0),$PB80=0),"Controle sem dano: uma rodada a mais e CD +2",""),IF(AND($OA80&gt;0,AND($MQ80&gt;0,$OE80=0),$PB80&gt;0,$PB80&lt;=$MQ80),"Controle com saldo até a Classe: uma rodada a mais",""),IF(AND($MQ80&gt;0,$OC80&lt;&gt;""),"Efeito de "&amp;$OC80&amp;" pela Classe "&amp;MAX(1,$MQ80-1),"")))</f>
        <v/>
      </c>
      <c r="PU80" s="155">
        <f>IF($PT80="",0,(LEN($PT80)-LEN(SUBSTITUTE($PT80," · ","")))/3+1)</f>
        <v/>
      </c>
      <c r="PV80" s="155">
        <f>IF($NB80=0,IF($OS80+COUNTIF($MZ80:$NA80,"?*")&gt;0,"Dê um nome",""),IF($PS80&gt;0,"⚠ "&amp;$PS80&amp;IF($PS80&gt;1," erros"," erro"),IF($PU80&gt;0,"! "&amp;$PU80&amp;IF($PU80&gt;1," avisos"," aviso"),"Na regra")))</f>
        <v/>
      </c>
      <c r="PW80" s="155">
        <f>IF($NB80=0,"",IF($PS80+$PU80=0,"Dentro das regras que a ficha confere",$PR80&amp;IF(AND($PS80&gt;0,$PU80&gt;0)," · ","")&amp;$PT80))</f>
        <v/>
      </c>
      <c r="PX80" s="155">
        <f>IF($MO80&gt;$NC80,$MP80&amp;" · ABRE NO NÍVEL "&amp;$MO80,$MP80)</f>
        <v/>
      </c>
      <c r="PY80" s="155">
        <f>IF($NB80=0,"",IF($MQ80=0,"Sem PE",3*$MQ80&amp;" PE"))</f>
        <v/>
      </c>
      <c r="PZ80" s="155">
        <f>IF($NB80=0,"",IF($MQ80=0,"A atuação básica dela",IF(COUNTIF($OI80:$OJ80,"Atrasar")&gt;0,"Sua Ação Completa",IF(COUNTIF($MV80:$MY80,"Rápido")&gt;0,"Sua Bônus",IF(COUNTIF($MV80:$MY80,"Reação")&gt;0,"Sua Reação","Sua Padrão")))&amp;" + a básica dela"&amp;IF(COUNTIF($MV80:$MY80,"Reação")&gt;0," e a coletiva","")&amp;IF(COUNTIF($OI80:$OJ80,"Carregar")&gt;0," · em dois turnos","")))</f>
        <v/>
      </c>
      <c r="QA80" s="155">
        <f>IF($MU80&lt;&gt;"",$MU80,IF($NH80=0,"",INDEX($AA$2:$AA$11,$NH80)))</f>
        <v/>
      </c>
      <c r="QB80" s="155">
        <f>IF(OR($NB80=0,$NH80=0),"",IF(COUNTIF($MV80:$MY80,"Inescapável")&gt;0,"Automático",IF($QA80="Ataque",IF($NF80="","Ataque","Ataque "&amp;IF(($NF80+2*IF(COUNTIF($MV80:$MY80,"Precisão")&gt;0,1,0))&gt;=0,"+","−")&amp;ABS(($NF80+2*IF(COUNTIF($MV80:$MY80,"Precisão")&gt;0,1,0))))&amp;IF($OB80&gt;0," · TR"&amp;IF($NG80="",""," CD "&amp;$NG80),""),IF(LEFT($QA80,2)="TR",$QA80&amp;IF($NG80="",""," · CD "&amp;$NG80)&amp;IF(COUNTIF($MV80:$MY80,"Certeiro")&gt;0," · metade",""),"Sem rolagem"))))</f>
        <v/>
      </c>
      <c r="QC80" s="155">
        <f>IF(OR($NB80=0,$NH80=0),"",IF($MQ80=0,IF(OR($OE80&gt;=1,$PB80=0),"Sem dano",$PB80&amp;"d6"&amp;IF($MT80="",""," "&amp;$MT80)),IF(OR($OE80&gt;=1,$PB80=0),UPPER(LEFT(INDEX($PK80:$PQ80,1,MAX(1,$MQ80)),1))&amp;MID(INDEX($PK80:$PQ80,1,MAX(1,$MQ80)),2,99),UPPER(LEFT(INDEX($PK80:$PQ80,1,MAX(1,$MQ80)),1))&amp;MID(INDEX($PK80:$PQ80,1,MAX(1,$MQ80)),2,99)&amp;IF($MT80="",""," "&amp;$MT80)&amp;IF($PC80&gt;0," · +"&amp;$PC80&amp;"d8",""))))</f>
        <v/>
      </c>
      <c r="QD80" s="155">
        <f>COUNTIF($MV80:$MY80,"Longe")+3*COUNTIF($MV80:$MY80,"Muito Longe")</f>
        <v/>
      </c>
      <c r="QE80" s="155">
        <f>COUNTIF($MV80:$MY80,"Maior")+3*COUNTIF($MV80:$MY80,"Muito Maior")</f>
        <v/>
      </c>
      <c r="QF80" s="155">
        <f>IF($NH80=0,0,CHOOSE(1+INDEX($AC$2:$AC$11,$NH80),0,$QD80,$QE80,$QD80+$QE80))</f>
        <v/>
      </c>
      <c r="QG80" s="155">
        <f>IF($NH80=0,0,CHOOSE(1+INDEX($AD$2:$AD$11,$NH80),0,$QD80,$QE80,$QD80+$QE80))</f>
        <v/>
      </c>
      <c r="QH80" s="155">
        <f>IF(OR($NB80=0,$NH80=0),"",INDEX($AI$2:$AN$41,($NH80-1)*4+IF($MQ80=0,1,IF($MQ80&lt;=5,2,IF($MQ80=6,3,4))),1+MIN(5,$QF80))&amp;INDEX($AO$2:$AT$41,($NH80-1)*4+IF($MQ80=0,1,IF($MQ80&lt;=5,2,IF($MQ80=6,3,4))),1+MIN(5,$QG80))&amp;IF(INDEX($AE$2:$AE$11,$NH80)=1,IF(COUNTIF($MV80:$MY80,"Mais Um")&gt;0," · +"&amp;COUNTIF($MV80:$MY80,"Mais Um")&amp;IF(COUNTIF($MV80:$MY80,"Mais Um")&gt;1," alvos"," alvo"),"")&amp;IF(COUNTIF($MV80:$MY80,"Rajada")&gt;0,IF($MQ80=0," · 1 tiro"," · "&amp;(MAX(1,$MQ80-1)+1)&amp;" tiros"),""),""))</f>
        <v/>
      </c>
      <c r="QI80" s="155">
        <f>IF($NB80=0,"",IF($MQ80=0,$NE80&amp;"d6"&amp;IF($OS80&gt;0," − 1 = "&amp;$PB80&amp;"d6"," da básica do nível "&amp;$NC80),$OZ80&amp;" − "&amp;$OU80&amp;" + "&amp;$OX80&amp;" = "&amp;$PA80&amp;" · teto "&amp;4*$MQ80&amp;"d8"&amp;IF($OD80=1," · a Forma devolve "&amp;$MQ80,"")&amp;IF($OY80&gt;0," · perde "&amp;$OY80,"")))</f>
        <v/>
      </c>
      <c r="QJ80" s="155">
        <f>IF($NB80=0,"",IF($MQ80=0,"A básica não amplia: os dados dela sobem com o nível",IF($MQ80&gt;=$ND80,"Já está na maior Classe que o nível liberou",TEXTJOIN(" · ",TRUE,IF(AND(2&gt;$MQ80,2&lt;=$ND80),"2 → "&amp;$PL80&amp;", 6 PE",""),IF(AND(3&gt;$MQ80,3&lt;=$ND80),"3 → "&amp;$PM80&amp;", 9 PE",""),IF(AND(4&gt;$MQ80,4&lt;=$ND80),"4 → "&amp;$PN80&amp;", 12 PE",""),IF(AND(5&gt;$MQ80,5&lt;=$ND80),"5 → "&amp;$PO80&amp;", 15 PE",""),IF(AND(6&gt;$MQ80,6&lt;=$ND80),"6 → "&amp;$PP80&amp;", 18 PE",""),IF(AND(7&gt;$MQ80,7&lt;=$ND80),"7 → "&amp;$PQ80&amp;", 21 PE","")))))</f>
        <v/>
      </c>
      <c r="QK80" s="155">
        <f>IF(OR($NB80=0,$NM80=0),"",IF($MQ80=0,"−1 dado","−"&amp;INDEX($I$2:$N$8,MAX(1,$MQ80),MAX(1,$NR80))&amp;" · "&amp;CHOOSE(MAX(1,$NR80),"Leve","Média","Pesada","Leve · Livre","Média · Livre","Pesada · Livre")))</f>
        <v/>
      </c>
      <c r="QL80" s="155">
        <f>IF(OR($NB80=0,$NN80=0),"",IF($MQ80=0,"−1 dado","−"&amp;INDEX($I$2:$N$8,MAX(1,$MQ80),MAX(1,$NS80))&amp;" · "&amp;CHOOSE(MAX(1,$NS80),"Leve","Média","Pesada","Leve · Livre","Média · Livre","Pesada · Livre")))</f>
        <v/>
      </c>
      <c r="QM80" s="155">
        <f>IF(OR($NB80=0,$NO80=0),"",IF($MQ80=0,"−1 dado","−"&amp;INDEX($I$2:$N$8,MAX(1,$MQ80),MAX(1,$NT80))&amp;" · "&amp;CHOOSE(MAX(1,$NT80),"Leve","Média","Pesada","Leve · Livre","Média · Livre","Pesada · Livre")))</f>
        <v/>
      </c>
      <c r="QN80" s="155">
        <f>IF(OR($NB80=0,$NP80=0),"",IF($MQ80=0,"−1 dado","−"&amp;INDEX($I$2:$N$8,MAX(1,$MQ80),MAX(1,$NU80))&amp;" · "&amp;CHOOSE(MAX(1,$NU80),"Leve","Média","Pesada","Leve · Livre","Média · Livre","Pesada · Livre")))</f>
        <v/>
      </c>
      <c r="QO80" s="155">
        <f>IF(OR($NB80=0,$MZ80=""),"",IF($MQ80=0,"não devolve","+"&amp;IF($OG80=1,CEILING($MQ80/2,1),$MQ80)))</f>
        <v/>
      </c>
      <c r="QP80" s="155">
        <f>IF(OR($NB80=0,$NA80=""),"",IF($MQ80=0,"não devolve","+"&amp;IF($OH80=1,CEILING($MQ80/2,1),$MQ80)))</f>
        <v/>
      </c>
    </row>
    <row r="81">
      <c r="AV81" s="153" t="inlineStr">
        <is>
          <t>Reserva</t>
        </is>
      </c>
      <c r="AW81" s="153" t="inlineStr">
        <is>
          <t>Amparo</t>
        </is>
      </c>
      <c r="AX81" s="155" t="n">
        <v>2</v>
      </c>
      <c r="AY81" s="155" t="n">
        <v>0</v>
      </c>
      <c r="AZ81" s="155" t="n">
        <v>0</v>
      </c>
      <c r="BA81" s="155" t="n">
        <v>0</v>
      </c>
      <c r="JR81" s="155">
        <f>IF(OR($AW81="",COUNTIF($EJ$2:$EN$2,$AW81)&gt;0),$AV81,"")</f>
        <v/>
      </c>
      <c r="JS81" s="155">
        <f>IF(AND($AX81=1,OR($AW81="",COUNTIF($EJ$2:$EN$2,$AW81)&gt;0)),$AV81,"")</f>
        <v/>
      </c>
      <c r="JX81" s="155">
        <f>IF(OR($AW81="",COUNTIF($EJ$3:$EN$3,$AW81)&gt;0),$AV81,"")</f>
        <v/>
      </c>
      <c r="JY81" s="155">
        <f>IF(AND($AX81=1,OR($AW81="",COUNTIF($EJ$3:$EN$3,$AW81)&gt;0)),$AV81,"")</f>
        <v/>
      </c>
      <c r="KD81" s="155">
        <f>IF(OR($AW81="",COUNTIF($EJ$4:$EN$4,$AW81)&gt;0),$AV81,"")</f>
        <v/>
      </c>
      <c r="KE81" s="155">
        <f>IF(AND($AX81=1,OR($AW81="",COUNTIF($EJ$4:$EN$4,$AW81)&gt;0)),$AV81,"")</f>
        <v/>
      </c>
      <c r="KJ81" s="155">
        <f>IF(OR($AW81="",COUNTIF($EJ$5:$EN$5,$AW81)&gt;0),$AV81,"")</f>
        <v/>
      </c>
      <c r="KK81" s="155">
        <f>IF(AND($AX81=1,OR($AW81="",COUNTIF($EJ$5:$EN$5,$AW81)&gt;0)),$AV81,"")</f>
        <v/>
      </c>
      <c r="KP81" s="155">
        <f>IF(OR($AW81="",COUNTIF($EJ$6:$EN$6,$AW81)&gt;0),$AV81,"")</f>
        <v/>
      </c>
      <c r="KQ81" s="155">
        <f>IF(AND($AX81=1,OR($AW81="",COUNTIF($EJ$6:$EN$6,$AW81)&gt;0)),$AV81,"")</f>
        <v/>
      </c>
      <c r="KV81" s="155">
        <f>IF(OR($AW81="",COUNTIF($EJ$7:$EN$7,$AW81)&gt;0),$AV81,"")</f>
        <v/>
      </c>
      <c r="KW81" s="155">
        <f>IF(AND($AX81=1,OR($AW81="",COUNTIF($EJ$7:$EN$7,$AW81)&gt;0)),$AV81,"")</f>
        <v/>
      </c>
      <c r="LB81" s="155">
        <f>IF(OR($AW81="",COUNTIF($EJ$8:$EN$8,$AW81)&gt;0),$AV81,"")</f>
        <v/>
      </c>
      <c r="LC81" s="155">
        <f>IF(AND($AX81=1,OR($AW81="",COUNTIF($EJ$8:$EN$8,$AW81)&gt;0)),$AV81,"")</f>
        <v/>
      </c>
      <c r="LH81" s="155">
        <f>IF(OR($AW81="",COUNTIF($EJ$9:$EN$9,$AW81)&gt;0),$AV81,"")</f>
        <v/>
      </c>
      <c r="LI81" s="155">
        <f>IF(AND($AX81=1,OR($AW81="",COUNTIF($EJ$9:$EN$9,$AW81)&gt;0)),$AV81,"")</f>
        <v/>
      </c>
      <c r="LN81" s="155">
        <f>IF(OR($AW81="",COUNTIF($EJ$10:$EN$10,$AW81)&gt;0),$AV81,"")</f>
        <v/>
      </c>
      <c r="LO81" s="155">
        <f>IF(AND($AX81=1,OR($AW81="",COUNTIF($EJ$10:$EN$10,$AW81)&gt;0)),$AV81,"")</f>
        <v/>
      </c>
      <c r="LT81" s="155">
        <f>IF(OR($AW81="",COUNTIF($EJ$11:$EN$11,$AW81)&gt;0),$AV81,"")</f>
        <v/>
      </c>
      <c r="LU81" s="155">
        <f>IF(AND($AX81=1,OR($AW81="",COUNTIF($EJ$11:$EN$11,$AW81)&gt;0)),$AV81,"")</f>
        <v/>
      </c>
      <c r="LZ81" s="155">
        <f>IF(OR($AW81="",COUNTIF($EJ$12:$EN$12,$AW81)&gt;0),$AV81,"")</f>
        <v/>
      </c>
      <c r="MA81" s="155">
        <f>IF(AND($AX81=1,OR($AW81="",COUNTIF($EJ$12:$EN$12,$AW81)&gt;0)),$AV81,"")</f>
        <v/>
      </c>
      <c r="MF81" s="155">
        <f>IF(OR($AW81="",COUNTIF($EJ$13:$EN$13,$AW81)&gt;0),$AV81,"")</f>
        <v/>
      </c>
      <c r="MG81" s="155">
        <f>IF(AND($AX81=1,OR($AW81="",COUNTIF($EJ$13:$EN$13,$AW81)&gt;0)),$AV81,"")</f>
        <v/>
      </c>
      <c r="ML81" s="153" t="inlineStr">
        <is>
          <t>Ficha 7 · Especial 1</t>
        </is>
      </c>
      <c r="MM81" s="155" t="n">
        <v>7</v>
      </c>
      <c r="MN81" s="155" t="n">
        <v>1</v>
      </c>
      <c r="MO81" s="155" t="n">
        <v>1</v>
      </c>
      <c r="MP81" s="153" t="inlineStr">
        <is>
          <t>ESPECIAL 1</t>
        </is>
      </c>
      <c r="MQ81" s="155">
        <f>MAX(1,MIN(7,N('INVOCAÇÕES'!$AH$58)))</f>
        <v/>
      </c>
      <c r="MR81" s="155">
        <f>'INVOCAÇÕES'!$AI$58&amp;""</f>
        <v/>
      </c>
      <c r="MS81" s="155">
        <f>'INVOCAÇÕES'!$AH$63&amp;""</f>
        <v/>
      </c>
      <c r="MT81" s="155">
        <f>'INVOCAÇÕES'!$AH$64&amp;""</f>
        <v/>
      </c>
      <c r="MU81" s="155">
        <f>'INVOCAÇÕES'!$AJ$64&amp;""</f>
        <v/>
      </c>
      <c r="MV81" s="155">
        <f>'INVOCAÇÕES'!$AI$67&amp;""</f>
        <v/>
      </c>
      <c r="MW81" s="155">
        <f>'INVOCAÇÕES'!$AI$68&amp;""</f>
        <v/>
      </c>
      <c r="MX81" s="155">
        <f>'INVOCAÇÕES'!$AI$69&amp;""</f>
        <v/>
      </c>
      <c r="MY81" s="155">
        <f>'INVOCAÇÕES'!$AI$70&amp;""</f>
        <v/>
      </c>
      <c r="MZ81" s="155">
        <f>'INVOCAÇÕES'!$AI$71&amp;""</f>
        <v/>
      </c>
      <c r="NA81" s="155">
        <f>'INVOCAÇÕES'!$AI$72&amp;""</f>
        <v/>
      </c>
      <c r="NB81" s="155">
        <f>IF($MR81&lt;&gt;"",1,0)</f>
        <v/>
      </c>
      <c r="NC81" s="155">
        <f>INDEX($FM$2:$FM$13,$MM81)</f>
        <v/>
      </c>
      <c r="ND81" s="155">
        <f>INDEX($FN$2:$FN$13,$MM81)</f>
        <v/>
      </c>
      <c r="NE81" s="155">
        <f>INDEX($FO$2:$FO$13,$MM81)</f>
        <v/>
      </c>
      <c r="NF81" s="155">
        <f>INDEX($FZ$2:$FZ$13,$MM81)</f>
        <v/>
      </c>
      <c r="NG81" s="155">
        <f>INDEX($GA$2:$GA$13,$MM81)</f>
        <v/>
      </c>
      <c r="NH81" s="155">
        <f>IFERROR(MATCH($MS81,$V$2:$V$11,0),0)</f>
        <v/>
      </c>
      <c r="NI81" s="155">
        <f>IFERROR(VLOOKUP($MV81,$AV$2:$BA$84,2,FALSE),"")</f>
        <v/>
      </c>
      <c r="NJ81" s="155">
        <f>IFERROR(VLOOKUP($MW81,$AV$2:$BA$84,2,FALSE),"")</f>
        <v/>
      </c>
      <c r="NK81" s="155">
        <f>IFERROR(VLOOKUP($MX81,$AV$2:$BA$84,2,FALSE),"")</f>
        <v/>
      </c>
      <c r="NL81" s="155">
        <f>IFERROR(VLOOKUP($MY81,$AV$2:$BA$84,2,FALSE),"")</f>
        <v/>
      </c>
      <c r="NM81" s="155">
        <f>IFERROR(VLOOKUP($MV81,$AV$2:$BA$84,3,FALSE),0)</f>
        <v/>
      </c>
      <c r="NN81" s="155">
        <f>IFERROR(VLOOKUP($MW81,$AV$2:$BA$84,3,FALSE),0)</f>
        <v/>
      </c>
      <c r="NO81" s="155">
        <f>IFERROR(VLOOKUP($MX81,$AV$2:$BA$84,3,FALSE),0)</f>
        <v/>
      </c>
      <c r="NP81" s="155">
        <f>IFERROR(VLOOKUP($MY81,$AV$2:$BA$84,3,FALSE),0)</f>
        <v/>
      </c>
      <c r="NQ81" s="155">
        <f>IF($MQ81=0,0,IF($NH81=0,0,INDEX($X$2:$X$11,$NH81)))</f>
        <v/>
      </c>
      <c r="NR81" s="155">
        <f>IF(OR($NM81=0,$MQ81=0),0,$NM81+3*IF(AND($NI81&lt;&gt;"",OR($NI81=INDEX($EJ$2:$EJ$13,$MM81),$NI81=INDEX($EK$2:$EK$13,$MM81))),1,0))</f>
        <v/>
      </c>
      <c r="NS81" s="155">
        <f>IF(OR($NN81=0,$MQ81=0),0,$NN81+3*IF(AND($NJ81&lt;&gt;"",OR($NJ81=INDEX($EJ$2:$EJ$13,$MM81),$NJ81=INDEX($EK$2:$EK$13,$MM81))),1,0))</f>
        <v/>
      </c>
      <c r="NT81" s="155">
        <f>IF(OR($NO81=0,$MQ81=0),0,$NO81+3*IF(AND($NK81&lt;&gt;"",OR($NK81=INDEX($EJ$2:$EJ$13,$MM81),$NK81=INDEX($EK$2:$EK$13,$MM81))),1,0))</f>
        <v/>
      </c>
      <c r="NU81" s="155">
        <f>IF(OR($NP81=0,$MQ81=0),0,$NP81+3*IF(AND($NL81&lt;&gt;"",OR($NL81=INDEX($EJ$2:$EJ$13,$MM81),$NL81=INDEX($EK$2:$EK$13,$MM81))),1,0))</f>
        <v/>
      </c>
      <c r="NV81" s="155">
        <f>IF($NH81=0,0,IF(INDEX($W$2:$W$11,$NH81)="",0,IF(COUNTIF(INDEX($EJ$2:$EN$13,$MM81,0),INDEX($W$2:$W$11,$NH81))=0,1,0)))</f>
        <v/>
      </c>
      <c r="NW81" s="155">
        <f>IF(OR($NM81=0,$NI81=""),0,IF(COUNTIF(INDEX($EJ$2:$EN$13,$MM81,0),$NI81)=0,1,0))</f>
        <v/>
      </c>
      <c r="NX81" s="155">
        <f>IF(OR($NN81=0,$NJ81=""),0,IF(COUNTIF(INDEX($EJ$2:$EN$13,$MM81,0),$NJ81)=0,1,0))</f>
        <v/>
      </c>
      <c r="NY81" s="155">
        <f>IF(OR($NO81=0,$NK81=""),0,IF(COUNTIF(INDEX($EJ$2:$EN$13,$MM81,0),$NK81)=0,1,0))</f>
        <v/>
      </c>
      <c r="NZ81" s="155">
        <f>IF(OR($NP81=0,$NL81=""),0,IF(COUNTIF(INDEX($EJ$2:$EN$13,$MM81,0),$NL81)=0,1,0))</f>
        <v/>
      </c>
      <c r="OA81" s="155">
        <f>IFERROR(VLOOKUP($MV81,$AV$2:$BA$84,4,FALSE),0)+IFERROR(VLOOKUP($MW81,$AV$2:$BA$84,4,FALSE),0)+IFERROR(VLOOKUP($MX81,$AV$2:$BA$84,4,FALSE),0)+IFERROR(VLOOKUP($MY81,$AV$2:$BA$84,4,FALSE),0)</f>
        <v/>
      </c>
      <c r="OB81" s="155">
        <f>IFERROR(VLOOKUP($MV81,$AV$2:$BA$84,6,FALSE),0)+IFERROR(VLOOKUP($MW81,$AV$2:$BA$84,6,FALSE),0)+IFERROR(VLOOKUP($MX81,$AV$2:$BA$84,6,FALSE),0)+IFERROR(VLOOKUP($MY81,$AV$2:$BA$84,6,FALSE),0)</f>
        <v/>
      </c>
      <c r="OC81" s="155">
        <f>TEXTJOIN(", ",TRUE,IF(IFERROR(VLOOKUP($MV81,$AV$2:$BA$84,5,FALSE),0)=1,$MV81,""),IF(IFERROR(VLOOKUP($MW81,$AV$2:$BA$84,5,FALSE),0)=1,$MW81,""),IF(IFERROR(VLOOKUP($MX81,$AV$2:$BA$84,5,FALSE),0)=1,$MX81,""),IF(IFERROR(VLOOKUP($MY81,$AV$2:$BA$84,5,FALSE),0)=1,$MY81,""))</f>
        <v/>
      </c>
      <c r="OD81" s="155">
        <f>IF($NH81=0,0,INDEX($Y$2:$Y$11,$NH81))</f>
        <v/>
      </c>
      <c r="OE81" s="155">
        <f>IF($NH81=0,0,INDEX($Z$2:$Z$11,$NH81))</f>
        <v/>
      </c>
      <c r="OF81" s="155">
        <f>IF($NH81=0,0,INDEX($AB$2:$AB$11,$NH81))</f>
        <v/>
      </c>
      <c r="OG81" s="155">
        <f>IFERROR(VLOOKUP($MZ81,$BC$2:$BG$24,3,FALSE),0)</f>
        <v/>
      </c>
      <c r="OH81" s="155">
        <f>IFERROR(VLOOKUP($NA81,$BC$2:$BG$24,3,FALSE),0)</f>
        <v/>
      </c>
      <c r="OI81" s="155">
        <f>IFERROR(VLOOKUP($MZ81,$BC$2:$BG$24,2,FALSE),"")</f>
        <v/>
      </c>
      <c r="OJ81" s="155">
        <f>IFERROR(VLOOKUP($NA81,$BC$2:$BG$24,2,FALSE),"")</f>
        <v/>
      </c>
      <c r="OK81" s="155">
        <f>COUNTIF($NQ81:$NU81,1)</f>
        <v/>
      </c>
      <c r="OL81" s="155">
        <f>COUNTIF($NQ81:$NU81,2)</f>
        <v/>
      </c>
      <c r="OM81" s="155">
        <f>COUNTIF($NQ81:$NU81,3)</f>
        <v/>
      </c>
      <c r="ON81" s="155">
        <f>COUNTIF($NQ81:$NU81,4)</f>
        <v/>
      </c>
      <c r="OO81" s="155">
        <f>COUNTIF($NQ81:$NU81,5)</f>
        <v/>
      </c>
      <c r="OP81" s="155">
        <f>COUNTIF($NQ81:$NU81,6)</f>
        <v/>
      </c>
      <c r="OQ81" s="155">
        <f>COUNTIF($OG81:$OH81,1)</f>
        <v/>
      </c>
      <c r="OR81" s="155">
        <f>COUNTIF($OG81:$OH81,2)+$OD81</f>
        <v/>
      </c>
      <c r="OS81" s="155">
        <f>COUNTIF($MV81:$MY81,"?*")</f>
        <v/>
      </c>
      <c r="OT81" s="155">
        <f>COUNTIF($MZ81:$NA81,"?*")+$OD81</f>
        <v/>
      </c>
      <c r="OU81" s="155">
        <f>IF($MQ81=0,0,SUMPRODUCT($OK81:$OP81,INDEX($I$2:$N$8,MAX(1,$MQ81),0)))</f>
        <v/>
      </c>
      <c r="OV81" s="155">
        <f>IF($MQ81=0,0,$OQ81*CEILING($MQ81/2,1)+$OR81*$MQ81)</f>
        <v/>
      </c>
      <c r="OW81" s="155">
        <f>MIN(2*$MQ81,$OV81)</f>
        <v/>
      </c>
      <c r="OX81" s="155">
        <f>MIN($OW81,$OU81)</f>
        <v/>
      </c>
      <c r="OY81" s="155">
        <f>$OW81-$OX81</f>
        <v/>
      </c>
      <c r="OZ81" s="155">
        <f>IF($MQ81=0,0,INDEX($P$2:$P$8,MAX(1,$MQ81)))</f>
        <v/>
      </c>
      <c r="PA81" s="155">
        <f>$OZ81-$OU81+$OX81</f>
        <v/>
      </c>
      <c r="PB81" s="155">
        <f>IF($MQ81=0,MAX(0,$NE81-IF($OS81&gt;0,1,0)),MAX(0,$PA81))</f>
        <v/>
      </c>
      <c r="PC81" s="155">
        <f>IF($MQ81=0,0,(IF(COUNTIF($MV81:$MY81,"Salto")&gt;0,1,0)+IF(COUNTIF($MV81:$MY81,"Queima")&gt;0,1,0)+IF(COUNTIF($MV81:$MY81,"Estilhaço")&gt;0,1,0))*FLOOR($PB81/2,1))</f>
        <v/>
      </c>
      <c r="PD81" s="155">
        <f>MAX(0,2-SUMPRODUCT($OK81:$OP81,$I$2:$N$2)+MIN(2,$OQ81*1+$OR81*1,SUMPRODUCT($OK81:$OP81,$I$2:$N$2)))</f>
        <v/>
      </c>
      <c r="PE81" s="155">
        <f>MAX(0,4-SUMPRODUCT($OK81:$OP81,$I$3:$N$3)+MIN(4,$OQ81*1+$OR81*2,SUMPRODUCT($OK81:$OP81,$I$3:$N$3)))</f>
        <v/>
      </c>
      <c r="PF81" s="155">
        <f>MAX(0,6-SUMPRODUCT($OK81:$OP81,$I$4:$N$4)+MIN(6,$OQ81*2+$OR81*3,SUMPRODUCT($OK81:$OP81,$I$4:$N$4)))</f>
        <v/>
      </c>
      <c r="PG81" s="155">
        <f>MAX(0,9-SUMPRODUCT($OK81:$OP81,$I$5:$N$5)+MIN(8,$OQ81*2+$OR81*4,SUMPRODUCT($OK81:$OP81,$I$5:$N$5)))</f>
        <v/>
      </c>
      <c r="PH81" s="155">
        <f>MAX(0,11-SUMPRODUCT($OK81:$OP81,$I$6:$N$6)+MIN(10,$OQ81*3+$OR81*5,SUMPRODUCT($OK81:$OP81,$I$6:$N$6)))</f>
        <v/>
      </c>
      <c r="PI81" s="155">
        <f>MAX(0,13-SUMPRODUCT($OK81:$OP81,$I$7:$N$7)+MIN(12,$OQ81*3+$OR81*6,SUMPRODUCT($OK81:$OP81,$I$7:$N$7)))</f>
        <v/>
      </c>
      <c r="PJ81" s="155">
        <f>MAX(0,16-SUMPRODUCT($OK81:$OP81,$I$8:$N$8)+MIN(14,$OQ81*4+$OR81*7,SUMPRODUCT($OK81:$OP81,$I$8:$N$8)))</f>
        <v/>
      </c>
      <c r="PK81" s="155">
        <f>IF($OE81=2,3*$PD81&amp;" de vida temp.",IF($OE81=3,"sem dano",IF($PD81=0,IF($OE81=1,"sem cura","sem dano"),IF($OE81=1,"cura ","")&amp;$PD81&amp;"d8")))</f>
        <v/>
      </c>
      <c r="PL81" s="155">
        <f>IF($OE81=2,3*$PE81&amp;" de vida temp.",IF($OE81=3,"sem dano",IF($PE81=0,IF($OE81=1,"sem cura","sem dano"),IF($OE81=1,"cura ","")&amp;$PE81&amp;"d8")))</f>
        <v/>
      </c>
      <c r="PM81" s="155">
        <f>IF($OE81=2,3*$PF81&amp;" de vida temp.",IF($OE81=3,"sem dano",IF($PF81=0,IF($OE81=1,"sem cura","sem dano"),IF($OE81=1,"cura ","")&amp;$PF81&amp;"d8")))</f>
        <v/>
      </c>
      <c r="PN81" s="155">
        <f>IF($OE81=2,3*$PG81&amp;" de vida temp.",IF($OE81=3,"sem dano",IF($PG81=0,IF($OE81=1,"sem cura","sem dano"),IF($OE81=1,"cura ","")&amp;$PG81&amp;"d8")))</f>
        <v/>
      </c>
      <c r="PO81" s="155">
        <f>IF($OE81=2,3*$PH81&amp;" de vida temp.",IF($OE81=3,"sem dano",IF($PH81=0,IF($OE81=1,"sem cura","sem dano"),IF($OE81=1,"cura ","")&amp;$PH81&amp;"d8")))</f>
        <v/>
      </c>
      <c r="PP81" s="155">
        <f>IF($OE81=2,3*$PI81&amp;" de vida temp.",IF($OE81=3,"sem dano",IF($PI81=0,IF($OE81=1,"sem cura","sem dano"),IF($OE81=1,"cura ","")&amp;$PI81&amp;"d8")))</f>
        <v/>
      </c>
      <c r="PQ81" s="155">
        <f>IF($OE81=2,3*$PJ81&amp;" de vida temp.",IF($OE81=3,"sem dano",IF($PJ81=0,IF($OE81=1,"sem cura","sem dano"),IF($OE81=1,"cura ","")&amp;$PJ81&amp;"d8")))</f>
        <v/>
      </c>
      <c r="PR81" s="155">
        <f>IF($NB81=0,"",TEXTJOIN(" · ",TRUE,IF($MO81&gt;$NC81,"Este lugar abre no nível "&amp;$MO81,""),IF($MQ81&gt;$ND81,"Classe "&amp;$MQ81&amp;": o nível "&amp;$NC81&amp;" libera até a "&amp;$ND81,""),IF($NV81=1,"A Forma "&amp;$MS81&amp;" pede "&amp;INDEX($W$2:$W$11,$NH81)&amp;" aberta",""),IF(AND($MQ81=0,$NH81&gt;0,IF($NH81=0,0,INDEX($AF$2:$AF$11,$NH81))=0),$MS81&amp;" não existe na Classe 0",""),IF($NW81=1,"Família Fechada: "&amp;$MV81,""),IF($NX81=1,"Família Fechada: "&amp;$MW81,""),IF($NY81=1,"Família Fechada: "&amp;$MX81,""),IF($NZ81=1,"Família Fechada: "&amp;$MY81,""),IF(AND($MQ81&gt;0,$OS81&gt;INDEX($O$2:$O$8,MAX(1,$MQ81))),$OS81&amp;" Melhorias: a Classe "&amp;$MQ81&amp;" aceita "&amp;INDEX($O$2:$O$8,MAX(1,$MQ81)),""),IF(AND($MQ81=0,$OS81&gt;1),"A básica aceita uma Melhoria",""),IF(AND($MQ81=0,COUNTIF($NM81:$NP81,"&gt;1")&gt;0),"A básica só aceita Melhoria Leve",""),IF(AND($MQ81&gt;0,$OT81&gt;2),$OT81&amp;" Restrições"&amp;IF($OD81=1,", contando a que a Forma "&amp;$MS81&amp;" já traz","")&amp;": o limite é 2",""),IF(AND($MQ81=0,COUNTIF($MZ81:$NA81,"?*")&gt;1),"A básica aceita uma Restrição Leve",""),IF(AND($MQ81=0,COUNTIF($OG81:$OH81,2)&gt;0),"A básica só aceita Restrição Leve",""),IF(AND($MQ81&gt;0,$PA81&lt;0),"Orçamento estourado: faltam "&amp;(-$PA81)&amp;IF($PA81&lt;-1," pontos"," ponto"),""),IF(IFERROR(VLOOKUP($MZ81,$BC$2:$BG$24,4,FALSE),0)+IFERROR(VLOOKUP($NA81,$BC$2:$BG$24,4,FALSE),0)&gt;1,$OI81&amp;" e "&amp;$OJ81&amp;" são as duas de frequência",""),IF(AND((COUNTIF($MV81:$MY81,"Rápido")+COUNTIF($OI81:$OJ81,"Rápido"))&gt;0,(COUNTIF($MV81:$MY81,"Atrasar")+COUNTIF($OI81:$OJ81,"Atrasar"))&gt;0),"Rápido não entra com Atrasar",""),IF(AND((COUNTIF($MV81:$MY81,"Reação")+COUNTIF($OI81:$OJ81,"Reação"))&gt;0,(COUNTIF($MV81:$MY81,"Rápido")+COUNTIF($OI81:$OJ81,"Rápido"))&gt;0),"Reação não entra com Rápido",""),IF(AND((COUNTIF($MV81:$MY81,"Reação")+COUNTIF($OI81:$OJ81,"Reação"))&gt;0,(COUNTIF($MV81:$MY81,"Armado")+COUNTIF($OI81:$OJ81,"Armado"))&gt;0),"Reação não entra com Armado",""),IF(AND((COUNTIF($MV81:$MY81,"Reação")+COUNTIF($OI81:$OJ81,"Reação"))&gt;0,(COUNTIF($MV81:$MY81,"Atrasar")+COUNTIF($OI81:$OJ81,"Atrasar"))&gt;0),"Reação não entra com Atrasar",""),IF(AND((COUNTIF($MV81:$MY81,"Reação")+COUNTIF($OI81:$OJ81,"Reação"))&gt;0,(COUNTIF($MV81:$MY81,"Parado")+COUNTIF($OI81:$OJ81,"Parado"))&gt;0),"Reação não entra com Parado",""),IF(AND((COUNTIF($MV81:$MY81,"Atrasar")+COUNTIF($OI81:$OJ81,"Atrasar"))&gt;0,(COUNTIF($MV81:$MY81,"Parado")+COUNTIF($OI81:$OJ81,"Parado"))&gt;0),"Atrasar não entra com Parado",""),IF(AND((COUNTIF($MV81:$MY81,"Armado")+COUNTIF($OI81:$OJ81,"Armado"))&gt;0,(COUNTIF($MV81:$MY81,"Carregar")+COUNTIF($OI81:$OJ81,"Carregar"))&gt;0),"Armado não entra com Carregar",""),IF(AND(COUNTIF($OI81:$OJ81,"Corpo a Corpo")&gt;0,$OD81=0,OR($MS81="Cone",$MS81="Linha")),"Corpo a Corpo não entra em "&amp;$MS81,""),IF(AND(COUNTIF($OI81:$OJ81,"Corpo a Corpo")&gt;0,$OD81=1),"A Forma "&amp;$MS81&amp;" já traz o Corpo a Corpo",""),IF(AND(COUNTIF($OI81:$OJ81,"Tudo ou Nada")&gt;0,$OF81=0),"Tudo ou Nada só entra em habilidade de Teste de Resistência",""),IF(AND(COUNTIF($MV81:$MY81,"Inescapável")&gt;0,OR($OS81&gt;1,$OT81&gt;0)),"Inescapável não aceita outra peça",""),IF(AND($MQ81&gt;0,$PB81*IF(COUNTIF($MV81:$MY81,"Remate")&gt;0,1.25,1)+$PC81&gt;4*$MQ81),($PB81*IF(COUNTIF($MV81:$MY81,"Remate")&gt;0,1.25,1)+$PC81)&amp;" dados somando repetições"&amp;IF(COUNTIF($MV81:$MY81,"Remate")&gt;0," e o Remate","")&amp;": o teto da Classe "&amp;$MQ81&amp;" é "&amp;4*$MQ81,"")))</f>
        <v/>
      </c>
      <c r="PS81" s="155">
        <f>IF($PR81="",0,(LEN($PR81)-LEN(SUBSTITUTE($PR81," · ","")))/3+1)</f>
        <v/>
      </c>
      <c r="PT81" s="155">
        <f>IF($NB81=0,"",TEXTJOIN(" · ",TRUE,IF($OV81&gt;2*$MQ81,"A devolução parou no teto de "&amp;2*$MQ81,""),IF($OY81&gt;0,"Devolução perdida: "&amp;$OY81&amp;IF($OY81&gt;1," pontos"," ponto")&amp;" sem peça para pagar",""),IF(AND($OA81&gt;0,AND($MQ81&gt;0,$OE81=0),$PB81=0),"Controle sem dano: uma rodada a mais e CD +2",""),IF(AND($OA81&gt;0,AND($MQ81&gt;0,$OE81=0),$PB81&gt;0,$PB81&lt;=$MQ81),"Controle com saldo até a Classe: uma rodada a mais",""),IF(AND($MQ81&gt;0,$OC81&lt;&gt;""),"Efeito de "&amp;$OC81&amp;" pela Classe "&amp;MAX(1,$MQ81-1),"")))</f>
        <v/>
      </c>
      <c r="PU81" s="155">
        <f>IF($PT81="",0,(LEN($PT81)-LEN(SUBSTITUTE($PT81," · ","")))/3+1)</f>
        <v/>
      </c>
      <c r="PV81" s="155">
        <f>IF($NB81=0,IF($OS81+COUNTIF($MZ81:$NA81,"?*")&gt;0,"Dê um nome",""),IF($PS81&gt;0,"⚠ "&amp;$PS81&amp;IF($PS81&gt;1," erros"," erro"),IF($PU81&gt;0,"! "&amp;$PU81&amp;IF($PU81&gt;1," avisos"," aviso"),"Na regra")))</f>
        <v/>
      </c>
      <c r="PW81" s="155">
        <f>IF($NB81=0,"",IF($PS81+$PU81=0,"Dentro das regras que a ficha confere",$PR81&amp;IF(AND($PS81&gt;0,$PU81&gt;0)," · ","")&amp;$PT81))</f>
        <v/>
      </c>
      <c r="PX81" s="155">
        <f>IF($MO81&gt;$NC81,$MP81&amp;" · ABRE NO NÍVEL "&amp;$MO81,$MP81)</f>
        <v/>
      </c>
      <c r="PY81" s="155">
        <f>IF($NB81=0,"",IF($MQ81=0,"Sem PE",3*$MQ81&amp;" PE"))</f>
        <v/>
      </c>
      <c r="PZ81" s="155">
        <f>IF($NB81=0,"",IF($MQ81=0,"A atuação básica dela",IF(COUNTIF($OI81:$OJ81,"Atrasar")&gt;0,"Sua Ação Completa",IF(COUNTIF($MV81:$MY81,"Rápido")&gt;0,"Sua Bônus",IF(COUNTIF($MV81:$MY81,"Reação")&gt;0,"Sua Reação","Sua Padrão")))&amp;" + a básica dela"&amp;IF(COUNTIF($MV81:$MY81,"Reação")&gt;0," e a coletiva","")&amp;IF(COUNTIF($OI81:$OJ81,"Carregar")&gt;0," · em dois turnos","")))</f>
        <v/>
      </c>
      <c r="QA81" s="155">
        <f>IF($MU81&lt;&gt;"",$MU81,IF($NH81=0,"",INDEX($AA$2:$AA$11,$NH81)))</f>
        <v/>
      </c>
      <c r="QB81" s="155">
        <f>IF(OR($NB81=0,$NH81=0),"",IF(COUNTIF($MV81:$MY81,"Inescapável")&gt;0,"Automático",IF($QA81="Ataque",IF($NF81="","Ataque","Ataque "&amp;IF(($NF81+2*IF(COUNTIF($MV81:$MY81,"Precisão")&gt;0,1,0))&gt;=0,"+","−")&amp;ABS(($NF81+2*IF(COUNTIF($MV81:$MY81,"Precisão")&gt;0,1,0))))&amp;IF($OB81&gt;0," · TR"&amp;IF($NG81="",""," CD "&amp;$NG81),""),IF(LEFT($QA81,2)="TR",$QA81&amp;IF($NG81="",""," · CD "&amp;$NG81)&amp;IF(COUNTIF($MV81:$MY81,"Certeiro")&gt;0," · metade",""),"Sem rolagem"))))</f>
        <v/>
      </c>
      <c r="QC81" s="155">
        <f>IF(OR($NB81=0,$NH81=0),"",IF($MQ81=0,IF(OR($OE81&gt;=1,$PB81=0),"Sem dano",$PB81&amp;"d6"&amp;IF($MT81="",""," "&amp;$MT81)),IF(OR($OE81&gt;=1,$PB81=0),UPPER(LEFT(INDEX($PK81:$PQ81,1,MAX(1,$MQ81)),1))&amp;MID(INDEX($PK81:$PQ81,1,MAX(1,$MQ81)),2,99),UPPER(LEFT(INDEX($PK81:$PQ81,1,MAX(1,$MQ81)),1))&amp;MID(INDEX($PK81:$PQ81,1,MAX(1,$MQ81)),2,99)&amp;IF($MT81="",""," "&amp;$MT81)&amp;IF($PC81&gt;0," · +"&amp;$PC81&amp;"d8",""))))</f>
        <v/>
      </c>
      <c r="QD81" s="155">
        <f>COUNTIF($MV81:$MY81,"Longe")+3*COUNTIF($MV81:$MY81,"Muito Longe")</f>
        <v/>
      </c>
      <c r="QE81" s="155">
        <f>COUNTIF($MV81:$MY81,"Maior")+3*COUNTIF($MV81:$MY81,"Muito Maior")</f>
        <v/>
      </c>
      <c r="QF81" s="155">
        <f>IF($NH81=0,0,CHOOSE(1+INDEX($AC$2:$AC$11,$NH81),0,$QD81,$QE81,$QD81+$QE81))</f>
        <v/>
      </c>
      <c r="QG81" s="155">
        <f>IF($NH81=0,0,CHOOSE(1+INDEX($AD$2:$AD$11,$NH81),0,$QD81,$QE81,$QD81+$QE81))</f>
        <v/>
      </c>
      <c r="QH81" s="155">
        <f>IF(OR($NB81=0,$NH81=0),"",INDEX($AI$2:$AN$41,($NH81-1)*4+IF($MQ81=0,1,IF($MQ81&lt;=5,2,IF($MQ81=6,3,4))),1+MIN(5,$QF81))&amp;INDEX($AO$2:$AT$41,($NH81-1)*4+IF($MQ81=0,1,IF($MQ81&lt;=5,2,IF($MQ81=6,3,4))),1+MIN(5,$QG81))&amp;IF(INDEX($AE$2:$AE$11,$NH81)=1,IF(COUNTIF($MV81:$MY81,"Mais Um")&gt;0," · +"&amp;COUNTIF($MV81:$MY81,"Mais Um")&amp;IF(COUNTIF($MV81:$MY81,"Mais Um")&gt;1," alvos"," alvo"),"")&amp;IF(COUNTIF($MV81:$MY81,"Rajada")&gt;0,IF($MQ81=0," · 1 tiro"," · "&amp;(MAX(1,$MQ81-1)+1)&amp;" tiros"),""),""))</f>
        <v/>
      </c>
      <c r="QI81" s="155">
        <f>IF($NB81=0,"",IF($MQ81=0,$NE81&amp;"d6"&amp;IF($OS81&gt;0," − 1 = "&amp;$PB81&amp;"d6"," da básica do nível "&amp;$NC81),$OZ81&amp;" − "&amp;$OU81&amp;" + "&amp;$OX81&amp;" = "&amp;$PA81&amp;" · teto "&amp;4*$MQ81&amp;"d8"&amp;IF($OD81=1," · a Forma devolve "&amp;$MQ81,"")&amp;IF($OY81&gt;0," · perde "&amp;$OY81,"")))</f>
        <v/>
      </c>
      <c r="QJ81" s="155">
        <f>IF($NB81=0,"",IF($MQ81=0,"A básica não amplia: os dados dela sobem com o nível",IF($MQ81&gt;=$ND81,"Já está na maior Classe que o nível liberou",TEXTJOIN(" · ",TRUE,IF(AND(2&gt;$MQ81,2&lt;=$ND81),"2 → "&amp;$PL81&amp;", 6 PE",""),IF(AND(3&gt;$MQ81,3&lt;=$ND81),"3 → "&amp;$PM81&amp;", 9 PE",""),IF(AND(4&gt;$MQ81,4&lt;=$ND81),"4 → "&amp;$PN81&amp;", 12 PE",""),IF(AND(5&gt;$MQ81,5&lt;=$ND81),"5 → "&amp;$PO81&amp;", 15 PE",""),IF(AND(6&gt;$MQ81,6&lt;=$ND81),"6 → "&amp;$PP81&amp;", 18 PE",""),IF(AND(7&gt;$MQ81,7&lt;=$ND81),"7 → "&amp;$PQ81&amp;", 21 PE","")))))</f>
        <v/>
      </c>
      <c r="QK81" s="155">
        <f>IF(OR($NB81=0,$NM81=0),"",IF($MQ81=0,"−1 dado","−"&amp;INDEX($I$2:$N$8,MAX(1,$MQ81),MAX(1,$NR81))&amp;" · "&amp;CHOOSE(MAX(1,$NR81),"Leve","Média","Pesada","Leve · Livre","Média · Livre","Pesada · Livre")))</f>
        <v/>
      </c>
      <c r="QL81" s="155">
        <f>IF(OR($NB81=0,$NN81=0),"",IF($MQ81=0,"−1 dado","−"&amp;INDEX($I$2:$N$8,MAX(1,$MQ81),MAX(1,$NS81))&amp;" · "&amp;CHOOSE(MAX(1,$NS81),"Leve","Média","Pesada","Leve · Livre","Média · Livre","Pesada · Livre")))</f>
        <v/>
      </c>
      <c r="QM81" s="155">
        <f>IF(OR($NB81=0,$NO81=0),"",IF($MQ81=0,"−1 dado","−"&amp;INDEX($I$2:$N$8,MAX(1,$MQ81),MAX(1,$NT81))&amp;" · "&amp;CHOOSE(MAX(1,$NT81),"Leve","Média","Pesada","Leve · Livre","Média · Livre","Pesada · Livre")))</f>
        <v/>
      </c>
      <c r="QN81" s="155">
        <f>IF(OR($NB81=0,$NP81=0),"",IF($MQ81=0,"−1 dado","−"&amp;INDEX($I$2:$N$8,MAX(1,$MQ81),MAX(1,$NU81))&amp;" · "&amp;CHOOSE(MAX(1,$NU81),"Leve","Média","Pesada","Leve · Livre","Média · Livre","Pesada · Livre")))</f>
        <v/>
      </c>
      <c r="QO81" s="155">
        <f>IF(OR($NB81=0,$MZ81=""),"",IF($MQ81=0,"não devolve","+"&amp;IF($OG81=1,CEILING($MQ81/2,1),$MQ81)))</f>
        <v/>
      </c>
      <c r="QP81" s="155">
        <f>IF(OR($NB81=0,$NA81=""),"",IF($MQ81=0,"não devolve","+"&amp;IF($OH81=1,CEILING($MQ81/2,1),$MQ81)))</f>
        <v/>
      </c>
    </row>
    <row r="82">
      <c r="AV82" s="153" t="inlineStr">
        <is>
          <t>Efeito Próprio (Leve)</t>
        </is>
      </c>
      <c r="AW82" s="153" t="inlineStr"/>
      <c r="AX82" s="155" t="n">
        <v>1</v>
      </c>
      <c r="AY82" s="155" t="n">
        <v>0</v>
      </c>
      <c r="AZ82" s="155" t="n">
        <v>0</v>
      </c>
      <c r="BA82" s="155" t="n">
        <v>0</v>
      </c>
      <c r="JR82" s="155">
        <f>IF(OR($AW82="",COUNTIF($EJ$2:$EN$2,$AW82)&gt;0),$AV82,"")</f>
        <v/>
      </c>
      <c r="JS82" s="155">
        <f>IF(AND($AX82=1,OR($AW82="",COUNTIF($EJ$2:$EN$2,$AW82)&gt;0)),$AV82,"")</f>
        <v/>
      </c>
      <c r="JX82" s="155">
        <f>IF(OR($AW82="",COUNTIF($EJ$3:$EN$3,$AW82)&gt;0),$AV82,"")</f>
        <v/>
      </c>
      <c r="JY82" s="155">
        <f>IF(AND($AX82=1,OR($AW82="",COUNTIF($EJ$3:$EN$3,$AW82)&gt;0)),$AV82,"")</f>
        <v/>
      </c>
      <c r="KD82" s="155">
        <f>IF(OR($AW82="",COUNTIF($EJ$4:$EN$4,$AW82)&gt;0),$AV82,"")</f>
        <v/>
      </c>
      <c r="KE82" s="155">
        <f>IF(AND($AX82=1,OR($AW82="",COUNTIF($EJ$4:$EN$4,$AW82)&gt;0)),$AV82,"")</f>
        <v/>
      </c>
      <c r="KJ82" s="155">
        <f>IF(OR($AW82="",COUNTIF($EJ$5:$EN$5,$AW82)&gt;0),$AV82,"")</f>
        <v/>
      </c>
      <c r="KK82" s="155">
        <f>IF(AND($AX82=1,OR($AW82="",COUNTIF($EJ$5:$EN$5,$AW82)&gt;0)),$AV82,"")</f>
        <v/>
      </c>
      <c r="KP82" s="155">
        <f>IF(OR($AW82="",COUNTIF($EJ$6:$EN$6,$AW82)&gt;0),$AV82,"")</f>
        <v/>
      </c>
      <c r="KQ82" s="155">
        <f>IF(AND($AX82=1,OR($AW82="",COUNTIF($EJ$6:$EN$6,$AW82)&gt;0)),$AV82,"")</f>
        <v/>
      </c>
      <c r="KV82" s="155">
        <f>IF(OR($AW82="",COUNTIF($EJ$7:$EN$7,$AW82)&gt;0),$AV82,"")</f>
        <v/>
      </c>
      <c r="KW82" s="155">
        <f>IF(AND($AX82=1,OR($AW82="",COUNTIF($EJ$7:$EN$7,$AW82)&gt;0)),$AV82,"")</f>
        <v/>
      </c>
      <c r="LB82" s="155">
        <f>IF(OR($AW82="",COUNTIF($EJ$8:$EN$8,$AW82)&gt;0),$AV82,"")</f>
        <v/>
      </c>
      <c r="LC82" s="155">
        <f>IF(AND($AX82=1,OR($AW82="",COUNTIF($EJ$8:$EN$8,$AW82)&gt;0)),$AV82,"")</f>
        <v/>
      </c>
      <c r="LH82" s="155">
        <f>IF(OR($AW82="",COUNTIF($EJ$9:$EN$9,$AW82)&gt;0),$AV82,"")</f>
        <v/>
      </c>
      <c r="LI82" s="155">
        <f>IF(AND($AX82=1,OR($AW82="",COUNTIF($EJ$9:$EN$9,$AW82)&gt;0)),$AV82,"")</f>
        <v/>
      </c>
      <c r="LN82" s="155">
        <f>IF(OR($AW82="",COUNTIF($EJ$10:$EN$10,$AW82)&gt;0),$AV82,"")</f>
        <v/>
      </c>
      <c r="LO82" s="155">
        <f>IF(AND($AX82=1,OR($AW82="",COUNTIF($EJ$10:$EN$10,$AW82)&gt;0)),$AV82,"")</f>
        <v/>
      </c>
      <c r="LT82" s="155">
        <f>IF(OR($AW82="",COUNTIF($EJ$11:$EN$11,$AW82)&gt;0),$AV82,"")</f>
        <v/>
      </c>
      <c r="LU82" s="155">
        <f>IF(AND($AX82=1,OR($AW82="",COUNTIF($EJ$11:$EN$11,$AW82)&gt;0)),$AV82,"")</f>
        <v/>
      </c>
      <c r="LZ82" s="155">
        <f>IF(OR($AW82="",COUNTIF($EJ$12:$EN$12,$AW82)&gt;0),$AV82,"")</f>
        <v/>
      </c>
      <c r="MA82" s="155">
        <f>IF(AND($AX82=1,OR($AW82="",COUNTIF($EJ$12:$EN$12,$AW82)&gt;0)),$AV82,"")</f>
        <v/>
      </c>
      <c r="MF82" s="155">
        <f>IF(OR($AW82="",COUNTIF($EJ$13:$EN$13,$AW82)&gt;0),$AV82,"")</f>
        <v/>
      </c>
      <c r="MG82" s="155">
        <f>IF(AND($AX82=1,OR($AW82="",COUNTIF($EJ$13:$EN$13,$AW82)&gt;0)),$AV82,"")</f>
        <v/>
      </c>
      <c r="ML82" s="153" t="inlineStr">
        <is>
          <t>Ficha 7 · Especial 2</t>
        </is>
      </c>
      <c r="MM82" s="155" t="n">
        <v>7</v>
      </c>
      <c r="MN82" s="155" t="n">
        <v>1</v>
      </c>
      <c r="MO82" s="155" t="n">
        <v>4</v>
      </c>
      <c r="MP82" s="153" t="inlineStr">
        <is>
          <t>ESPECIAL 2</t>
        </is>
      </c>
      <c r="MQ82" s="155">
        <f>MAX(1,MIN(7,N('INVOCAÇÕES'!$AN$58)))</f>
        <v/>
      </c>
      <c r="MR82" s="155">
        <f>'INVOCAÇÕES'!$AO$58&amp;""</f>
        <v/>
      </c>
      <c r="MS82" s="155">
        <f>'INVOCAÇÕES'!$AN$63&amp;""</f>
        <v/>
      </c>
      <c r="MT82" s="155">
        <f>'INVOCAÇÕES'!$AN$64&amp;""</f>
        <v/>
      </c>
      <c r="MU82" s="155">
        <f>'INVOCAÇÕES'!$AP$64&amp;""</f>
        <v/>
      </c>
      <c r="MV82" s="155">
        <f>'INVOCAÇÕES'!$AO$67&amp;""</f>
        <v/>
      </c>
      <c r="MW82" s="155">
        <f>'INVOCAÇÕES'!$AO$68&amp;""</f>
        <v/>
      </c>
      <c r="MX82" s="155">
        <f>'INVOCAÇÕES'!$AO$69&amp;""</f>
        <v/>
      </c>
      <c r="MY82" s="155">
        <f>'INVOCAÇÕES'!$AO$70&amp;""</f>
        <v/>
      </c>
      <c r="MZ82" s="155">
        <f>'INVOCAÇÕES'!$AO$71&amp;""</f>
        <v/>
      </c>
      <c r="NA82" s="155">
        <f>'INVOCAÇÕES'!$AO$72&amp;""</f>
        <v/>
      </c>
      <c r="NB82" s="155">
        <f>IF($MR82&lt;&gt;"",1,0)</f>
        <v/>
      </c>
      <c r="NC82" s="155">
        <f>INDEX($FM$2:$FM$13,$MM82)</f>
        <v/>
      </c>
      <c r="ND82" s="155">
        <f>INDEX($FN$2:$FN$13,$MM82)</f>
        <v/>
      </c>
      <c r="NE82" s="155">
        <f>INDEX($FO$2:$FO$13,$MM82)</f>
        <v/>
      </c>
      <c r="NF82" s="155">
        <f>INDEX($FZ$2:$FZ$13,$MM82)</f>
        <v/>
      </c>
      <c r="NG82" s="155">
        <f>INDEX($GA$2:$GA$13,$MM82)</f>
        <v/>
      </c>
      <c r="NH82" s="155">
        <f>IFERROR(MATCH($MS82,$V$2:$V$11,0),0)</f>
        <v/>
      </c>
      <c r="NI82" s="155">
        <f>IFERROR(VLOOKUP($MV82,$AV$2:$BA$84,2,FALSE),"")</f>
        <v/>
      </c>
      <c r="NJ82" s="155">
        <f>IFERROR(VLOOKUP($MW82,$AV$2:$BA$84,2,FALSE),"")</f>
        <v/>
      </c>
      <c r="NK82" s="155">
        <f>IFERROR(VLOOKUP($MX82,$AV$2:$BA$84,2,FALSE),"")</f>
        <v/>
      </c>
      <c r="NL82" s="155">
        <f>IFERROR(VLOOKUP($MY82,$AV$2:$BA$84,2,FALSE),"")</f>
        <v/>
      </c>
      <c r="NM82" s="155">
        <f>IFERROR(VLOOKUP($MV82,$AV$2:$BA$84,3,FALSE),0)</f>
        <v/>
      </c>
      <c r="NN82" s="155">
        <f>IFERROR(VLOOKUP($MW82,$AV$2:$BA$84,3,FALSE),0)</f>
        <v/>
      </c>
      <c r="NO82" s="155">
        <f>IFERROR(VLOOKUP($MX82,$AV$2:$BA$84,3,FALSE),0)</f>
        <v/>
      </c>
      <c r="NP82" s="155">
        <f>IFERROR(VLOOKUP($MY82,$AV$2:$BA$84,3,FALSE),0)</f>
        <v/>
      </c>
      <c r="NQ82" s="155">
        <f>IF($MQ82=0,0,IF($NH82=0,0,INDEX($X$2:$X$11,$NH82)))</f>
        <v/>
      </c>
      <c r="NR82" s="155">
        <f>IF(OR($NM82=0,$MQ82=0),0,$NM82+3*IF(AND($NI82&lt;&gt;"",OR($NI82=INDEX($EJ$2:$EJ$13,$MM82),$NI82=INDEX($EK$2:$EK$13,$MM82))),1,0))</f>
        <v/>
      </c>
      <c r="NS82" s="155">
        <f>IF(OR($NN82=0,$MQ82=0),0,$NN82+3*IF(AND($NJ82&lt;&gt;"",OR($NJ82=INDEX($EJ$2:$EJ$13,$MM82),$NJ82=INDEX($EK$2:$EK$13,$MM82))),1,0))</f>
        <v/>
      </c>
      <c r="NT82" s="155">
        <f>IF(OR($NO82=0,$MQ82=0),0,$NO82+3*IF(AND($NK82&lt;&gt;"",OR($NK82=INDEX($EJ$2:$EJ$13,$MM82),$NK82=INDEX($EK$2:$EK$13,$MM82))),1,0))</f>
        <v/>
      </c>
      <c r="NU82" s="155">
        <f>IF(OR($NP82=0,$MQ82=0),0,$NP82+3*IF(AND($NL82&lt;&gt;"",OR($NL82=INDEX($EJ$2:$EJ$13,$MM82),$NL82=INDEX($EK$2:$EK$13,$MM82))),1,0))</f>
        <v/>
      </c>
      <c r="NV82" s="155">
        <f>IF($NH82=0,0,IF(INDEX($W$2:$W$11,$NH82)="",0,IF(COUNTIF(INDEX($EJ$2:$EN$13,$MM82,0),INDEX($W$2:$W$11,$NH82))=0,1,0)))</f>
        <v/>
      </c>
      <c r="NW82" s="155">
        <f>IF(OR($NM82=0,$NI82=""),0,IF(COUNTIF(INDEX($EJ$2:$EN$13,$MM82,0),$NI82)=0,1,0))</f>
        <v/>
      </c>
      <c r="NX82" s="155">
        <f>IF(OR($NN82=0,$NJ82=""),0,IF(COUNTIF(INDEX($EJ$2:$EN$13,$MM82,0),$NJ82)=0,1,0))</f>
        <v/>
      </c>
      <c r="NY82" s="155">
        <f>IF(OR($NO82=0,$NK82=""),0,IF(COUNTIF(INDEX($EJ$2:$EN$13,$MM82,0),$NK82)=0,1,0))</f>
        <v/>
      </c>
      <c r="NZ82" s="155">
        <f>IF(OR($NP82=0,$NL82=""),0,IF(COUNTIF(INDEX($EJ$2:$EN$13,$MM82,0),$NL82)=0,1,0))</f>
        <v/>
      </c>
      <c r="OA82" s="155">
        <f>IFERROR(VLOOKUP($MV82,$AV$2:$BA$84,4,FALSE),0)+IFERROR(VLOOKUP($MW82,$AV$2:$BA$84,4,FALSE),0)+IFERROR(VLOOKUP($MX82,$AV$2:$BA$84,4,FALSE),0)+IFERROR(VLOOKUP($MY82,$AV$2:$BA$84,4,FALSE),0)</f>
        <v/>
      </c>
      <c r="OB82" s="155">
        <f>IFERROR(VLOOKUP($MV82,$AV$2:$BA$84,6,FALSE),0)+IFERROR(VLOOKUP($MW82,$AV$2:$BA$84,6,FALSE),0)+IFERROR(VLOOKUP($MX82,$AV$2:$BA$84,6,FALSE),0)+IFERROR(VLOOKUP($MY82,$AV$2:$BA$84,6,FALSE),0)</f>
        <v/>
      </c>
      <c r="OC82" s="155">
        <f>TEXTJOIN(", ",TRUE,IF(IFERROR(VLOOKUP($MV82,$AV$2:$BA$84,5,FALSE),0)=1,$MV82,""),IF(IFERROR(VLOOKUP($MW82,$AV$2:$BA$84,5,FALSE),0)=1,$MW82,""),IF(IFERROR(VLOOKUP($MX82,$AV$2:$BA$84,5,FALSE),0)=1,$MX82,""),IF(IFERROR(VLOOKUP($MY82,$AV$2:$BA$84,5,FALSE),0)=1,$MY82,""))</f>
        <v/>
      </c>
      <c r="OD82" s="155">
        <f>IF($NH82=0,0,INDEX($Y$2:$Y$11,$NH82))</f>
        <v/>
      </c>
      <c r="OE82" s="155">
        <f>IF($NH82=0,0,INDEX($Z$2:$Z$11,$NH82))</f>
        <v/>
      </c>
      <c r="OF82" s="155">
        <f>IF($NH82=0,0,INDEX($AB$2:$AB$11,$NH82))</f>
        <v/>
      </c>
      <c r="OG82" s="155">
        <f>IFERROR(VLOOKUP($MZ82,$BC$2:$BG$24,3,FALSE),0)</f>
        <v/>
      </c>
      <c r="OH82" s="155">
        <f>IFERROR(VLOOKUP($NA82,$BC$2:$BG$24,3,FALSE),0)</f>
        <v/>
      </c>
      <c r="OI82" s="155">
        <f>IFERROR(VLOOKUP($MZ82,$BC$2:$BG$24,2,FALSE),"")</f>
        <v/>
      </c>
      <c r="OJ82" s="155">
        <f>IFERROR(VLOOKUP($NA82,$BC$2:$BG$24,2,FALSE),"")</f>
        <v/>
      </c>
      <c r="OK82" s="155">
        <f>COUNTIF($NQ82:$NU82,1)</f>
        <v/>
      </c>
      <c r="OL82" s="155">
        <f>COUNTIF($NQ82:$NU82,2)</f>
        <v/>
      </c>
      <c r="OM82" s="155">
        <f>COUNTIF($NQ82:$NU82,3)</f>
        <v/>
      </c>
      <c r="ON82" s="155">
        <f>COUNTIF($NQ82:$NU82,4)</f>
        <v/>
      </c>
      <c r="OO82" s="155">
        <f>COUNTIF($NQ82:$NU82,5)</f>
        <v/>
      </c>
      <c r="OP82" s="155">
        <f>COUNTIF($NQ82:$NU82,6)</f>
        <v/>
      </c>
      <c r="OQ82" s="155">
        <f>COUNTIF($OG82:$OH82,1)</f>
        <v/>
      </c>
      <c r="OR82" s="155">
        <f>COUNTIF($OG82:$OH82,2)+$OD82</f>
        <v/>
      </c>
      <c r="OS82" s="155">
        <f>COUNTIF($MV82:$MY82,"?*")</f>
        <v/>
      </c>
      <c r="OT82" s="155">
        <f>COUNTIF($MZ82:$NA82,"?*")+$OD82</f>
        <v/>
      </c>
      <c r="OU82" s="155">
        <f>IF($MQ82=0,0,SUMPRODUCT($OK82:$OP82,INDEX($I$2:$N$8,MAX(1,$MQ82),0)))</f>
        <v/>
      </c>
      <c r="OV82" s="155">
        <f>IF($MQ82=0,0,$OQ82*CEILING($MQ82/2,1)+$OR82*$MQ82)</f>
        <v/>
      </c>
      <c r="OW82" s="155">
        <f>MIN(2*$MQ82,$OV82)</f>
        <v/>
      </c>
      <c r="OX82" s="155">
        <f>MIN($OW82,$OU82)</f>
        <v/>
      </c>
      <c r="OY82" s="155">
        <f>$OW82-$OX82</f>
        <v/>
      </c>
      <c r="OZ82" s="155">
        <f>IF($MQ82=0,0,INDEX($P$2:$P$8,MAX(1,$MQ82)))</f>
        <v/>
      </c>
      <c r="PA82" s="155">
        <f>$OZ82-$OU82+$OX82</f>
        <v/>
      </c>
      <c r="PB82" s="155">
        <f>IF($MQ82=0,MAX(0,$NE82-IF($OS82&gt;0,1,0)),MAX(0,$PA82))</f>
        <v/>
      </c>
      <c r="PC82" s="155">
        <f>IF($MQ82=0,0,(IF(COUNTIF($MV82:$MY82,"Salto")&gt;0,1,0)+IF(COUNTIF($MV82:$MY82,"Queima")&gt;0,1,0)+IF(COUNTIF($MV82:$MY82,"Estilhaço")&gt;0,1,0))*FLOOR($PB82/2,1))</f>
        <v/>
      </c>
      <c r="PD82" s="155">
        <f>MAX(0,2-SUMPRODUCT($OK82:$OP82,$I$2:$N$2)+MIN(2,$OQ82*1+$OR82*1,SUMPRODUCT($OK82:$OP82,$I$2:$N$2)))</f>
        <v/>
      </c>
      <c r="PE82" s="155">
        <f>MAX(0,4-SUMPRODUCT($OK82:$OP82,$I$3:$N$3)+MIN(4,$OQ82*1+$OR82*2,SUMPRODUCT($OK82:$OP82,$I$3:$N$3)))</f>
        <v/>
      </c>
      <c r="PF82" s="155">
        <f>MAX(0,6-SUMPRODUCT($OK82:$OP82,$I$4:$N$4)+MIN(6,$OQ82*2+$OR82*3,SUMPRODUCT($OK82:$OP82,$I$4:$N$4)))</f>
        <v/>
      </c>
      <c r="PG82" s="155">
        <f>MAX(0,9-SUMPRODUCT($OK82:$OP82,$I$5:$N$5)+MIN(8,$OQ82*2+$OR82*4,SUMPRODUCT($OK82:$OP82,$I$5:$N$5)))</f>
        <v/>
      </c>
      <c r="PH82" s="155">
        <f>MAX(0,11-SUMPRODUCT($OK82:$OP82,$I$6:$N$6)+MIN(10,$OQ82*3+$OR82*5,SUMPRODUCT($OK82:$OP82,$I$6:$N$6)))</f>
        <v/>
      </c>
      <c r="PI82" s="155">
        <f>MAX(0,13-SUMPRODUCT($OK82:$OP82,$I$7:$N$7)+MIN(12,$OQ82*3+$OR82*6,SUMPRODUCT($OK82:$OP82,$I$7:$N$7)))</f>
        <v/>
      </c>
      <c r="PJ82" s="155">
        <f>MAX(0,16-SUMPRODUCT($OK82:$OP82,$I$8:$N$8)+MIN(14,$OQ82*4+$OR82*7,SUMPRODUCT($OK82:$OP82,$I$8:$N$8)))</f>
        <v/>
      </c>
      <c r="PK82" s="155">
        <f>IF($OE82=2,3*$PD82&amp;" de vida temp.",IF($OE82=3,"sem dano",IF($PD82=0,IF($OE82=1,"sem cura","sem dano"),IF($OE82=1,"cura ","")&amp;$PD82&amp;"d8")))</f>
        <v/>
      </c>
      <c r="PL82" s="155">
        <f>IF($OE82=2,3*$PE82&amp;" de vida temp.",IF($OE82=3,"sem dano",IF($PE82=0,IF($OE82=1,"sem cura","sem dano"),IF($OE82=1,"cura ","")&amp;$PE82&amp;"d8")))</f>
        <v/>
      </c>
      <c r="PM82" s="155">
        <f>IF($OE82=2,3*$PF82&amp;" de vida temp.",IF($OE82=3,"sem dano",IF($PF82=0,IF($OE82=1,"sem cura","sem dano"),IF($OE82=1,"cura ","")&amp;$PF82&amp;"d8")))</f>
        <v/>
      </c>
      <c r="PN82" s="155">
        <f>IF($OE82=2,3*$PG82&amp;" de vida temp.",IF($OE82=3,"sem dano",IF($PG82=0,IF($OE82=1,"sem cura","sem dano"),IF($OE82=1,"cura ","")&amp;$PG82&amp;"d8")))</f>
        <v/>
      </c>
      <c r="PO82" s="155">
        <f>IF($OE82=2,3*$PH82&amp;" de vida temp.",IF($OE82=3,"sem dano",IF($PH82=0,IF($OE82=1,"sem cura","sem dano"),IF($OE82=1,"cura ","")&amp;$PH82&amp;"d8")))</f>
        <v/>
      </c>
      <c r="PP82" s="155">
        <f>IF($OE82=2,3*$PI82&amp;" de vida temp.",IF($OE82=3,"sem dano",IF($PI82=0,IF($OE82=1,"sem cura","sem dano"),IF($OE82=1,"cura ","")&amp;$PI82&amp;"d8")))</f>
        <v/>
      </c>
      <c r="PQ82" s="155">
        <f>IF($OE82=2,3*$PJ82&amp;" de vida temp.",IF($OE82=3,"sem dano",IF($PJ82=0,IF($OE82=1,"sem cura","sem dano"),IF($OE82=1,"cura ","")&amp;$PJ82&amp;"d8")))</f>
        <v/>
      </c>
      <c r="PR82" s="155">
        <f>IF($NB82=0,"",TEXTJOIN(" · ",TRUE,IF($MO82&gt;$NC82,"Este lugar abre no nível "&amp;$MO82,""),IF($MQ82&gt;$ND82,"Classe "&amp;$MQ82&amp;": o nível "&amp;$NC82&amp;" libera até a "&amp;$ND82,""),IF($NV82=1,"A Forma "&amp;$MS82&amp;" pede "&amp;INDEX($W$2:$W$11,$NH82)&amp;" aberta",""),IF(AND($MQ82=0,$NH82&gt;0,IF($NH82=0,0,INDEX($AF$2:$AF$11,$NH82))=0),$MS82&amp;" não existe na Classe 0",""),IF($NW82=1,"Família Fechada: "&amp;$MV82,""),IF($NX82=1,"Família Fechada: "&amp;$MW82,""),IF($NY82=1,"Família Fechada: "&amp;$MX82,""),IF($NZ82=1,"Família Fechada: "&amp;$MY82,""),IF(AND($MQ82&gt;0,$OS82&gt;INDEX($O$2:$O$8,MAX(1,$MQ82))),$OS82&amp;" Melhorias: a Classe "&amp;$MQ82&amp;" aceita "&amp;INDEX($O$2:$O$8,MAX(1,$MQ82)),""),IF(AND($MQ82=0,$OS82&gt;1),"A básica aceita uma Melhoria",""),IF(AND($MQ82=0,COUNTIF($NM82:$NP82,"&gt;1")&gt;0),"A básica só aceita Melhoria Leve",""),IF(AND($MQ82&gt;0,$OT82&gt;2),$OT82&amp;" Restrições"&amp;IF($OD82=1,", contando a que a Forma "&amp;$MS82&amp;" já traz","")&amp;": o limite é 2",""),IF(AND($MQ82=0,COUNTIF($MZ82:$NA82,"?*")&gt;1),"A básica aceita uma Restrição Leve",""),IF(AND($MQ82=0,COUNTIF($OG82:$OH82,2)&gt;0),"A básica só aceita Restrição Leve",""),IF(AND($MQ82&gt;0,$PA82&lt;0),"Orçamento estourado: faltam "&amp;(-$PA82)&amp;IF($PA82&lt;-1," pontos"," ponto"),""),IF(IFERROR(VLOOKUP($MZ82,$BC$2:$BG$24,4,FALSE),0)+IFERROR(VLOOKUP($NA82,$BC$2:$BG$24,4,FALSE),0)&gt;1,$OI82&amp;" e "&amp;$OJ82&amp;" são as duas de frequência",""),IF(AND((COUNTIF($MV82:$MY82,"Rápido")+COUNTIF($OI82:$OJ82,"Rápido"))&gt;0,(COUNTIF($MV82:$MY82,"Atrasar")+COUNTIF($OI82:$OJ82,"Atrasar"))&gt;0),"Rápido não entra com Atrasar",""),IF(AND((COUNTIF($MV82:$MY82,"Reação")+COUNTIF($OI82:$OJ82,"Reação"))&gt;0,(COUNTIF($MV82:$MY82,"Rápido")+COUNTIF($OI82:$OJ82,"Rápido"))&gt;0),"Reação não entra com Rápido",""),IF(AND((COUNTIF($MV82:$MY82,"Reação")+COUNTIF($OI82:$OJ82,"Reação"))&gt;0,(COUNTIF($MV82:$MY82,"Armado")+COUNTIF($OI82:$OJ82,"Armado"))&gt;0),"Reação não entra com Armado",""),IF(AND((COUNTIF($MV82:$MY82,"Reação")+COUNTIF($OI82:$OJ82,"Reação"))&gt;0,(COUNTIF($MV82:$MY82,"Atrasar")+COUNTIF($OI82:$OJ82,"Atrasar"))&gt;0),"Reação não entra com Atrasar",""),IF(AND((COUNTIF($MV82:$MY82,"Reação")+COUNTIF($OI82:$OJ82,"Reação"))&gt;0,(COUNTIF($MV82:$MY82,"Parado")+COUNTIF($OI82:$OJ82,"Parado"))&gt;0),"Reação não entra com Parado",""),IF(AND((COUNTIF($MV82:$MY82,"Atrasar")+COUNTIF($OI82:$OJ82,"Atrasar"))&gt;0,(COUNTIF($MV82:$MY82,"Parado")+COUNTIF($OI82:$OJ82,"Parado"))&gt;0),"Atrasar não entra com Parado",""),IF(AND((COUNTIF($MV82:$MY82,"Armado")+COUNTIF($OI82:$OJ82,"Armado"))&gt;0,(COUNTIF($MV82:$MY82,"Carregar")+COUNTIF($OI82:$OJ82,"Carregar"))&gt;0),"Armado não entra com Carregar",""),IF(AND(COUNTIF($OI82:$OJ82,"Corpo a Corpo")&gt;0,$OD82=0,OR($MS82="Cone",$MS82="Linha")),"Corpo a Corpo não entra em "&amp;$MS82,""),IF(AND(COUNTIF($OI82:$OJ82,"Corpo a Corpo")&gt;0,$OD82=1),"A Forma "&amp;$MS82&amp;" já traz o Corpo a Corpo",""),IF(AND(COUNTIF($OI82:$OJ82,"Tudo ou Nada")&gt;0,$OF82=0),"Tudo ou Nada só entra em habilidade de Teste de Resistência",""),IF(AND(COUNTIF($MV82:$MY82,"Inescapável")&gt;0,OR($OS82&gt;1,$OT82&gt;0)),"Inescapável não aceita outra peça",""),IF(AND($MQ82&gt;0,$PB82*IF(COUNTIF($MV82:$MY82,"Remate")&gt;0,1.25,1)+$PC82&gt;4*$MQ82),($PB82*IF(COUNTIF($MV82:$MY82,"Remate")&gt;0,1.25,1)+$PC82)&amp;" dados somando repetições"&amp;IF(COUNTIF($MV82:$MY82,"Remate")&gt;0," e o Remate","")&amp;": o teto da Classe "&amp;$MQ82&amp;" é "&amp;4*$MQ82,"")))</f>
        <v/>
      </c>
      <c r="PS82" s="155">
        <f>IF($PR82="",0,(LEN($PR82)-LEN(SUBSTITUTE($PR82," · ","")))/3+1)</f>
        <v/>
      </c>
      <c r="PT82" s="155">
        <f>IF($NB82=0,"",TEXTJOIN(" · ",TRUE,IF($OV82&gt;2*$MQ82,"A devolução parou no teto de "&amp;2*$MQ82,""),IF($OY82&gt;0,"Devolução perdida: "&amp;$OY82&amp;IF($OY82&gt;1," pontos"," ponto")&amp;" sem peça para pagar",""),IF(AND($OA82&gt;0,AND($MQ82&gt;0,$OE82=0),$PB82=0),"Controle sem dano: uma rodada a mais e CD +2",""),IF(AND($OA82&gt;0,AND($MQ82&gt;0,$OE82=0),$PB82&gt;0,$PB82&lt;=$MQ82),"Controle com saldo até a Classe: uma rodada a mais",""),IF(AND($MQ82&gt;0,$OC82&lt;&gt;""),"Efeito de "&amp;$OC82&amp;" pela Classe "&amp;MAX(1,$MQ82-1),"")))</f>
        <v/>
      </c>
      <c r="PU82" s="155">
        <f>IF($PT82="",0,(LEN($PT82)-LEN(SUBSTITUTE($PT82," · ","")))/3+1)</f>
        <v/>
      </c>
      <c r="PV82" s="155">
        <f>IF($NB82=0,IF($OS82+COUNTIF($MZ82:$NA82,"?*")&gt;0,"Dê um nome",""),IF($PS82&gt;0,"⚠ "&amp;$PS82&amp;IF($PS82&gt;1," erros"," erro"),IF($PU82&gt;0,"! "&amp;$PU82&amp;IF($PU82&gt;1," avisos"," aviso"),"Na regra")))</f>
        <v/>
      </c>
      <c r="PW82" s="155">
        <f>IF($NB82=0,"",IF($PS82+$PU82=0,"Dentro das regras que a ficha confere",$PR82&amp;IF(AND($PS82&gt;0,$PU82&gt;0)," · ","")&amp;$PT82))</f>
        <v/>
      </c>
      <c r="PX82" s="155">
        <f>IF($MO82&gt;$NC82,$MP82&amp;" · ABRE NO NÍVEL "&amp;$MO82,$MP82)</f>
        <v/>
      </c>
      <c r="PY82" s="155">
        <f>IF($NB82=0,"",IF($MQ82=0,"Sem PE",3*$MQ82&amp;" PE"))</f>
        <v/>
      </c>
      <c r="PZ82" s="155">
        <f>IF($NB82=0,"",IF($MQ82=0,"A atuação básica dela",IF(COUNTIF($OI82:$OJ82,"Atrasar")&gt;0,"Sua Ação Completa",IF(COUNTIF($MV82:$MY82,"Rápido")&gt;0,"Sua Bônus",IF(COUNTIF($MV82:$MY82,"Reação")&gt;0,"Sua Reação","Sua Padrão")))&amp;" + a básica dela"&amp;IF(COUNTIF($MV82:$MY82,"Reação")&gt;0," e a coletiva","")&amp;IF(COUNTIF($OI82:$OJ82,"Carregar")&gt;0," · em dois turnos","")))</f>
        <v/>
      </c>
      <c r="QA82" s="155">
        <f>IF($MU82&lt;&gt;"",$MU82,IF($NH82=0,"",INDEX($AA$2:$AA$11,$NH82)))</f>
        <v/>
      </c>
      <c r="QB82" s="155">
        <f>IF(OR($NB82=0,$NH82=0),"",IF(COUNTIF($MV82:$MY82,"Inescapável")&gt;0,"Automático",IF($QA82="Ataque",IF($NF82="","Ataque","Ataque "&amp;IF(($NF82+2*IF(COUNTIF($MV82:$MY82,"Precisão")&gt;0,1,0))&gt;=0,"+","−")&amp;ABS(($NF82+2*IF(COUNTIF($MV82:$MY82,"Precisão")&gt;0,1,0))))&amp;IF($OB82&gt;0," · TR"&amp;IF($NG82="",""," CD "&amp;$NG82),""),IF(LEFT($QA82,2)="TR",$QA82&amp;IF($NG82="",""," · CD "&amp;$NG82)&amp;IF(COUNTIF($MV82:$MY82,"Certeiro")&gt;0," · metade",""),"Sem rolagem"))))</f>
        <v/>
      </c>
      <c r="QC82" s="155">
        <f>IF(OR($NB82=0,$NH82=0),"",IF($MQ82=0,IF(OR($OE82&gt;=1,$PB82=0),"Sem dano",$PB82&amp;"d6"&amp;IF($MT82="",""," "&amp;$MT82)),IF(OR($OE82&gt;=1,$PB82=0),UPPER(LEFT(INDEX($PK82:$PQ82,1,MAX(1,$MQ82)),1))&amp;MID(INDEX($PK82:$PQ82,1,MAX(1,$MQ82)),2,99),UPPER(LEFT(INDEX($PK82:$PQ82,1,MAX(1,$MQ82)),1))&amp;MID(INDEX($PK82:$PQ82,1,MAX(1,$MQ82)),2,99)&amp;IF($MT82="",""," "&amp;$MT82)&amp;IF($PC82&gt;0," · +"&amp;$PC82&amp;"d8",""))))</f>
        <v/>
      </c>
      <c r="QD82" s="155">
        <f>COUNTIF($MV82:$MY82,"Longe")+3*COUNTIF($MV82:$MY82,"Muito Longe")</f>
        <v/>
      </c>
      <c r="QE82" s="155">
        <f>COUNTIF($MV82:$MY82,"Maior")+3*COUNTIF($MV82:$MY82,"Muito Maior")</f>
        <v/>
      </c>
      <c r="QF82" s="155">
        <f>IF($NH82=0,0,CHOOSE(1+INDEX($AC$2:$AC$11,$NH82),0,$QD82,$QE82,$QD82+$QE82))</f>
        <v/>
      </c>
      <c r="QG82" s="155">
        <f>IF($NH82=0,0,CHOOSE(1+INDEX($AD$2:$AD$11,$NH82),0,$QD82,$QE82,$QD82+$QE82))</f>
        <v/>
      </c>
      <c r="QH82" s="155">
        <f>IF(OR($NB82=0,$NH82=0),"",INDEX($AI$2:$AN$41,($NH82-1)*4+IF($MQ82=0,1,IF($MQ82&lt;=5,2,IF($MQ82=6,3,4))),1+MIN(5,$QF82))&amp;INDEX($AO$2:$AT$41,($NH82-1)*4+IF($MQ82=0,1,IF($MQ82&lt;=5,2,IF($MQ82=6,3,4))),1+MIN(5,$QG82))&amp;IF(INDEX($AE$2:$AE$11,$NH82)=1,IF(COUNTIF($MV82:$MY82,"Mais Um")&gt;0," · +"&amp;COUNTIF($MV82:$MY82,"Mais Um")&amp;IF(COUNTIF($MV82:$MY82,"Mais Um")&gt;1," alvos"," alvo"),"")&amp;IF(COUNTIF($MV82:$MY82,"Rajada")&gt;0,IF($MQ82=0," · 1 tiro"," · "&amp;(MAX(1,$MQ82-1)+1)&amp;" tiros"),""),""))</f>
        <v/>
      </c>
      <c r="QI82" s="155">
        <f>IF($NB82=0,"",IF($MQ82=0,$NE82&amp;"d6"&amp;IF($OS82&gt;0," − 1 = "&amp;$PB82&amp;"d6"," da básica do nível "&amp;$NC82),$OZ82&amp;" − "&amp;$OU82&amp;" + "&amp;$OX82&amp;" = "&amp;$PA82&amp;" · teto "&amp;4*$MQ82&amp;"d8"&amp;IF($OD82=1," · a Forma devolve "&amp;$MQ82,"")&amp;IF($OY82&gt;0," · perde "&amp;$OY82,"")))</f>
        <v/>
      </c>
      <c r="QJ82" s="155">
        <f>IF($NB82=0,"",IF($MQ82=0,"A básica não amplia: os dados dela sobem com o nível",IF($MQ82&gt;=$ND82,"Já está na maior Classe que o nível liberou",TEXTJOIN(" · ",TRUE,IF(AND(2&gt;$MQ82,2&lt;=$ND82),"2 → "&amp;$PL82&amp;", 6 PE",""),IF(AND(3&gt;$MQ82,3&lt;=$ND82),"3 → "&amp;$PM82&amp;", 9 PE",""),IF(AND(4&gt;$MQ82,4&lt;=$ND82),"4 → "&amp;$PN82&amp;", 12 PE",""),IF(AND(5&gt;$MQ82,5&lt;=$ND82),"5 → "&amp;$PO82&amp;", 15 PE",""),IF(AND(6&gt;$MQ82,6&lt;=$ND82),"6 → "&amp;$PP82&amp;", 18 PE",""),IF(AND(7&gt;$MQ82,7&lt;=$ND82),"7 → "&amp;$PQ82&amp;", 21 PE","")))))</f>
        <v/>
      </c>
      <c r="QK82" s="155">
        <f>IF(OR($NB82=0,$NM82=0),"",IF($MQ82=0,"−1 dado","−"&amp;INDEX($I$2:$N$8,MAX(1,$MQ82),MAX(1,$NR82))&amp;" · "&amp;CHOOSE(MAX(1,$NR82),"Leve","Média","Pesada","Leve · Livre","Média · Livre","Pesada · Livre")))</f>
        <v/>
      </c>
      <c r="QL82" s="155">
        <f>IF(OR($NB82=0,$NN82=0),"",IF($MQ82=0,"−1 dado","−"&amp;INDEX($I$2:$N$8,MAX(1,$MQ82),MAX(1,$NS82))&amp;" · "&amp;CHOOSE(MAX(1,$NS82),"Leve","Média","Pesada","Leve · Livre","Média · Livre","Pesada · Livre")))</f>
        <v/>
      </c>
      <c r="QM82" s="155">
        <f>IF(OR($NB82=0,$NO82=0),"",IF($MQ82=0,"−1 dado","−"&amp;INDEX($I$2:$N$8,MAX(1,$MQ82),MAX(1,$NT82))&amp;" · "&amp;CHOOSE(MAX(1,$NT82),"Leve","Média","Pesada","Leve · Livre","Média · Livre","Pesada · Livre")))</f>
        <v/>
      </c>
      <c r="QN82" s="155">
        <f>IF(OR($NB82=0,$NP82=0),"",IF($MQ82=0,"−1 dado","−"&amp;INDEX($I$2:$N$8,MAX(1,$MQ82),MAX(1,$NU82))&amp;" · "&amp;CHOOSE(MAX(1,$NU82),"Leve","Média","Pesada","Leve · Livre","Média · Livre","Pesada · Livre")))</f>
        <v/>
      </c>
      <c r="QO82" s="155">
        <f>IF(OR($NB82=0,$MZ82=""),"",IF($MQ82=0,"não devolve","+"&amp;IF($OG82=1,CEILING($MQ82/2,1),$MQ82)))</f>
        <v/>
      </c>
      <c r="QP82" s="155">
        <f>IF(OR($NB82=0,$NA82=""),"",IF($MQ82=0,"não devolve","+"&amp;IF($OH82=1,CEILING($MQ82/2,1),$MQ82)))</f>
        <v/>
      </c>
    </row>
    <row r="83">
      <c r="AV83" s="153" t="inlineStr">
        <is>
          <t>Efeito Próprio (Média)</t>
        </is>
      </c>
      <c r="AW83" s="153" t="inlineStr"/>
      <c r="AX83" s="155" t="n">
        <v>2</v>
      </c>
      <c r="AY83" s="155" t="n">
        <v>0</v>
      </c>
      <c r="AZ83" s="155" t="n">
        <v>0</v>
      </c>
      <c r="BA83" s="155" t="n">
        <v>0</v>
      </c>
      <c r="JR83" s="155">
        <f>IF(OR($AW83="",COUNTIF($EJ$2:$EN$2,$AW83)&gt;0),$AV83,"")</f>
        <v/>
      </c>
      <c r="JS83" s="155">
        <f>IF(AND($AX83=1,OR($AW83="",COUNTIF($EJ$2:$EN$2,$AW83)&gt;0)),$AV83,"")</f>
        <v/>
      </c>
      <c r="JX83" s="155">
        <f>IF(OR($AW83="",COUNTIF($EJ$3:$EN$3,$AW83)&gt;0),$AV83,"")</f>
        <v/>
      </c>
      <c r="JY83" s="155">
        <f>IF(AND($AX83=1,OR($AW83="",COUNTIF($EJ$3:$EN$3,$AW83)&gt;0)),$AV83,"")</f>
        <v/>
      </c>
      <c r="KD83" s="155">
        <f>IF(OR($AW83="",COUNTIF($EJ$4:$EN$4,$AW83)&gt;0),$AV83,"")</f>
        <v/>
      </c>
      <c r="KE83" s="155">
        <f>IF(AND($AX83=1,OR($AW83="",COUNTIF($EJ$4:$EN$4,$AW83)&gt;0)),$AV83,"")</f>
        <v/>
      </c>
      <c r="KJ83" s="155">
        <f>IF(OR($AW83="",COUNTIF($EJ$5:$EN$5,$AW83)&gt;0),$AV83,"")</f>
        <v/>
      </c>
      <c r="KK83" s="155">
        <f>IF(AND($AX83=1,OR($AW83="",COUNTIF($EJ$5:$EN$5,$AW83)&gt;0)),$AV83,"")</f>
        <v/>
      </c>
      <c r="KP83" s="155">
        <f>IF(OR($AW83="",COUNTIF($EJ$6:$EN$6,$AW83)&gt;0),$AV83,"")</f>
        <v/>
      </c>
      <c r="KQ83" s="155">
        <f>IF(AND($AX83=1,OR($AW83="",COUNTIF($EJ$6:$EN$6,$AW83)&gt;0)),$AV83,"")</f>
        <v/>
      </c>
      <c r="KV83" s="155">
        <f>IF(OR($AW83="",COUNTIF($EJ$7:$EN$7,$AW83)&gt;0),$AV83,"")</f>
        <v/>
      </c>
      <c r="KW83" s="155">
        <f>IF(AND($AX83=1,OR($AW83="",COUNTIF($EJ$7:$EN$7,$AW83)&gt;0)),$AV83,"")</f>
        <v/>
      </c>
      <c r="LB83" s="155">
        <f>IF(OR($AW83="",COUNTIF($EJ$8:$EN$8,$AW83)&gt;0),$AV83,"")</f>
        <v/>
      </c>
      <c r="LC83" s="155">
        <f>IF(AND($AX83=1,OR($AW83="",COUNTIF($EJ$8:$EN$8,$AW83)&gt;0)),$AV83,"")</f>
        <v/>
      </c>
      <c r="LH83" s="155">
        <f>IF(OR($AW83="",COUNTIF($EJ$9:$EN$9,$AW83)&gt;0),$AV83,"")</f>
        <v/>
      </c>
      <c r="LI83" s="155">
        <f>IF(AND($AX83=1,OR($AW83="",COUNTIF($EJ$9:$EN$9,$AW83)&gt;0)),$AV83,"")</f>
        <v/>
      </c>
      <c r="LN83" s="155">
        <f>IF(OR($AW83="",COUNTIF($EJ$10:$EN$10,$AW83)&gt;0),$AV83,"")</f>
        <v/>
      </c>
      <c r="LO83" s="155">
        <f>IF(AND($AX83=1,OR($AW83="",COUNTIF($EJ$10:$EN$10,$AW83)&gt;0)),$AV83,"")</f>
        <v/>
      </c>
      <c r="LT83" s="155">
        <f>IF(OR($AW83="",COUNTIF($EJ$11:$EN$11,$AW83)&gt;0),$AV83,"")</f>
        <v/>
      </c>
      <c r="LU83" s="155">
        <f>IF(AND($AX83=1,OR($AW83="",COUNTIF($EJ$11:$EN$11,$AW83)&gt;0)),$AV83,"")</f>
        <v/>
      </c>
      <c r="LZ83" s="155">
        <f>IF(OR($AW83="",COUNTIF($EJ$12:$EN$12,$AW83)&gt;0),$AV83,"")</f>
        <v/>
      </c>
      <c r="MA83" s="155">
        <f>IF(AND($AX83=1,OR($AW83="",COUNTIF($EJ$12:$EN$12,$AW83)&gt;0)),$AV83,"")</f>
        <v/>
      </c>
      <c r="MF83" s="155">
        <f>IF(OR($AW83="",COUNTIF($EJ$13:$EN$13,$AW83)&gt;0),$AV83,"")</f>
        <v/>
      </c>
      <c r="MG83" s="155">
        <f>IF(AND($AX83=1,OR($AW83="",COUNTIF($EJ$13:$EN$13,$AW83)&gt;0)),$AV83,"")</f>
        <v/>
      </c>
      <c r="ML83" s="153" t="inlineStr">
        <is>
          <t>Ficha 7 · Básica 2</t>
        </is>
      </c>
      <c r="MM83" s="155" t="n">
        <v>7</v>
      </c>
      <c r="MN83" s="155" t="n">
        <v>0</v>
      </c>
      <c r="MO83" s="155" t="n">
        <v>11</v>
      </c>
      <c r="MP83" s="153" t="inlineStr">
        <is>
          <t>BÁSICA 2</t>
        </is>
      </c>
      <c r="MQ83" s="155" t="n">
        <v>0</v>
      </c>
      <c r="MR83" s="155">
        <f>'INVOCAÇÕES'!$AC$92&amp;""</f>
        <v/>
      </c>
      <c r="MS83" s="155">
        <f>'INVOCAÇÕES'!$AB$97&amp;""</f>
        <v/>
      </c>
      <c r="MT83" s="155">
        <f>'INVOCAÇÕES'!$AB$98&amp;""</f>
        <v/>
      </c>
      <c r="MU83" s="155">
        <f>'INVOCAÇÕES'!$AD$98&amp;""</f>
        <v/>
      </c>
      <c r="MV83" s="155">
        <f>'INVOCAÇÕES'!$AC$101&amp;""</f>
        <v/>
      </c>
      <c r="MW83" s="155">
        <f>'INVOCAÇÕES'!$AC$102&amp;""</f>
        <v/>
      </c>
      <c r="MX83" s="155">
        <f>'INVOCAÇÕES'!$AC$103&amp;""</f>
        <v/>
      </c>
      <c r="MY83" s="155">
        <f>'INVOCAÇÕES'!$AC$104&amp;""</f>
        <v/>
      </c>
      <c r="MZ83" s="155">
        <f>'INVOCAÇÕES'!$AC$105&amp;""</f>
        <v/>
      </c>
      <c r="NA83" s="155">
        <f>'INVOCAÇÕES'!$AC$106&amp;""</f>
        <v/>
      </c>
      <c r="NB83" s="155">
        <f>IF($MR83&lt;&gt;"",1,0)</f>
        <v/>
      </c>
      <c r="NC83" s="155">
        <f>INDEX($FM$2:$FM$13,$MM83)</f>
        <v/>
      </c>
      <c r="ND83" s="155">
        <f>INDEX($FN$2:$FN$13,$MM83)</f>
        <v/>
      </c>
      <c r="NE83" s="155">
        <f>INDEX($FO$2:$FO$13,$MM83)</f>
        <v/>
      </c>
      <c r="NF83" s="155">
        <f>INDEX($FZ$2:$FZ$13,$MM83)</f>
        <v/>
      </c>
      <c r="NG83" s="155">
        <f>INDEX($GA$2:$GA$13,$MM83)</f>
        <v/>
      </c>
      <c r="NH83" s="155">
        <f>IFERROR(MATCH($MS83,$V$2:$V$11,0),0)</f>
        <v/>
      </c>
      <c r="NI83" s="155">
        <f>IFERROR(VLOOKUP($MV83,$AV$2:$BA$84,2,FALSE),"")</f>
        <v/>
      </c>
      <c r="NJ83" s="155">
        <f>IFERROR(VLOOKUP($MW83,$AV$2:$BA$84,2,FALSE),"")</f>
        <v/>
      </c>
      <c r="NK83" s="155">
        <f>IFERROR(VLOOKUP($MX83,$AV$2:$BA$84,2,FALSE),"")</f>
        <v/>
      </c>
      <c r="NL83" s="155">
        <f>IFERROR(VLOOKUP($MY83,$AV$2:$BA$84,2,FALSE),"")</f>
        <v/>
      </c>
      <c r="NM83" s="155">
        <f>IFERROR(VLOOKUP($MV83,$AV$2:$BA$84,3,FALSE),0)</f>
        <v/>
      </c>
      <c r="NN83" s="155">
        <f>IFERROR(VLOOKUP($MW83,$AV$2:$BA$84,3,FALSE),0)</f>
        <v/>
      </c>
      <c r="NO83" s="155">
        <f>IFERROR(VLOOKUP($MX83,$AV$2:$BA$84,3,FALSE),0)</f>
        <v/>
      </c>
      <c r="NP83" s="155">
        <f>IFERROR(VLOOKUP($MY83,$AV$2:$BA$84,3,FALSE),0)</f>
        <v/>
      </c>
      <c r="NQ83" s="155">
        <f>IF($MQ83=0,0,IF($NH83=0,0,INDEX($X$2:$X$11,$NH83)))</f>
        <v/>
      </c>
      <c r="NR83" s="155">
        <f>IF(OR($NM83=0,$MQ83=0),0,$NM83+3*IF(AND($NI83&lt;&gt;"",OR($NI83=INDEX($EJ$2:$EJ$13,$MM83),$NI83=INDEX($EK$2:$EK$13,$MM83))),1,0))</f>
        <v/>
      </c>
      <c r="NS83" s="155">
        <f>IF(OR($NN83=0,$MQ83=0),0,$NN83+3*IF(AND($NJ83&lt;&gt;"",OR($NJ83=INDEX($EJ$2:$EJ$13,$MM83),$NJ83=INDEX($EK$2:$EK$13,$MM83))),1,0))</f>
        <v/>
      </c>
      <c r="NT83" s="155">
        <f>IF(OR($NO83=0,$MQ83=0),0,$NO83+3*IF(AND($NK83&lt;&gt;"",OR($NK83=INDEX($EJ$2:$EJ$13,$MM83),$NK83=INDEX($EK$2:$EK$13,$MM83))),1,0))</f>
        <v/>
      </c>
      <c r="NU83" s="155">
        <f>IF(OR($NP83=0,$MQ83=0),0,$NP83+3*IF(AND($NL83&lt;&gt;"",OR($NL83=INDEX($EJ$2:$EJ$13,$MM83),$NL83=INDEX($EK$2:$EK$13,$MM83))),1,0))</f>
        <v/>
      </c>
      <c r="NV83" s="155">
        <f>IF($NH83=0,0,IF(INDEX($W$2:$W$11,$NH83)="",0,IF(COUNTIF(INDEX($EJ$2:$EN$13,$MM83,0),INDEX($W$2:$W$11,$NH83))=0,1,0)))</f>
        <v/>
      </c>
      <c r="NW83" s="155">
        <f>IF(OR($NM83=0,$NI83=""),0,IF(COUNTIF(INDEX($EJ$2:$EN$13,$MM83,0),$NI83)=0,1,0))</f>
        <v/>
      </c>
      <c r="NX83" s="155">
        <f>IF(OR($NN83=0,$NJ83=""),0,IF(COUNTIF(INDEX($EJ$2:$EN$13,$MM83,0),$NJ83)=0,1,0))</f>
        <v/>
      </c>
      <c r="NY83" s="155">
        <f>IF(OR($NO83=0,$NK83=""),0,IF(COUNTIF(INDEX($EJ$2:$EN$13,$MM83,0),$NK83)=0,1,0))</f>
        <v/>
      </c>
      <c r="NZ83" s="155">
        <f>IF(OR($NP83=0,$NL83=""),0,IF(COUNTIF(INDEX($EJ$2:$EN$13,$MM83,0),$NL83)=0,1,0))</f>
        <v/>
      </c>
      <c r="OA83" s="155">
        <f>IFERROR(VLOOKUP($MV83,$AV$2:$BA$84,4,FALSE),0)+IFERROR(VLOOKUP($MW83,$AV$2:$BA$84,4,FALSE),0)+IFERROR(VLOOKUP($MX83,$AV$2:$BA$84,4,FALSE),0)+IFERROR(VLOOKUP($MY83,$AV$2:$BA$84,4,FALSE),0)</f>
        <v/>
      </c>
      <c r="OB83" s="155">
        <f>IFERROR(VLOOKUP($MV83,$AV$2:$BA$84,6,FALSE),0)+IFERROR(VLOOKUP($MW83,$AV$2:$BA$84,6,FALSE),0)+IFERROR(VLOOKUP($MX83,$AV$2:$BA$84,6,FALSE),0)+IFERROR(VLOOKUP($MY83,$AV$2:$BA$84,6,FALSE),0)</f>
        <v/>
      </c>
      <c r="OC83" s="155">
        <f>TEXTJOIN(", ",TRUE,IF(IFERROR(VLOOKUP($MV83,$AV$2:$BA$84,5,FALSE),0)=1,$MV83,""),IF(IFERROR(VLOOKUP($MW83,$AV$2:$BA$84,5,FALSE),0)=1,$MW83,""),IF(IFERROR(VLOOKUP($MX83,$AV$2:$BA$84,5,FALSE),0)=1,$MX83,""),IF(IFERROR(VLOOKUP($MY83,$AV$2:$BA$84,5,FALSE),0)=1,$MY83,""))</f>
        <v/>
      </c>
      <c r="OD83" s="155">
        <f>IF($NH83=0,0,INDEX($Y$2:$Y$11,$NH83))</f>
        <v/>
      </c>
      <c r="OE83" s="155">
        <f>IF($NH83=0,0,INDEX($Z$2:$Z$11,$NH83))</f>
        <v/>
      </c>
      <c r="OF83" s="155">
        <f>IF($NH83=0,0,INDEX($AB$2:$AB$11,$NH83))</f>
        <v/>
      </c>
      <c r="OG83" s="155">
        <f>IFERROR(VLOOKUP($MZ83,$BC$2:$BG$24,3,FALSE),0)</f>
        <v/>
      </c>
      <c r="OH83" s="155">
        <f>IFERROR(VLOOKUP($NA83,$BC$2:$BG$24,3,FALSE),0)</f>
        <v/>
      </c>
      <c r="OI83" s="155">
        <f>IFERROR(VLOOKUP($MZ83,$BC$2:$BG$24,2,FALSE),"")</f>
        <v/>
      </c>
      <c r="OJ83" s="155">
        <f>IFERROR(VLOOKUP($NA83,$BC$2:$BG$24,2,FALSE),"")</f>
        <v/>
      </c>
      <c r="OK83" s="155">
        <f>COUNTIF($NQ83:$NU83,1)</f>
        <v/>
      </c>
      <c r="OL83" s="155">
        <f>COUNTIF($NQ83:$NU83,2)</f>
        <v/>
      </c>
      <c r="OM83" s="155">
        <f>COUNTIF($NQ83:$NU83,3)</f>
        <v/>
      </c>
      <c r="ON83" s="155">
        <f>COUNTIF($NQ83:$NU83,4)</f>
        <v/>
      </c>
      <c r="OO83" s="155">
        <f>COUNTIF($NQ83:$NU83,5)</f>
        <v/>
      </c>
      <c r="OP83" s="155">
        <f>COUNTIF($NQ83:$NU83,6)</f>
        <v/>
      </c>
      <c r="OQ83" s="155">
        <f>COUNTIF($OG83:$OH83,1)</f>
        <v/>
      </c>
      <c r="OR83" s="155">
        <f>COUNTIF($OG83:$OH83,2)+$OD83</f>
        <v/>
      </c>
      <c r="OS83" s="155">
        <f>COUNTIF($MV83:$MY83,"?*")</f>
        <v/>
      </c>
      <c r="OT83" s="155">
        <f>COUNTIF($MZ83:$NA83,"?*")+$OD83</f>
        <v/>
      </c>
      <c r="OU83" s="155">
        <f>IF($MQ83=0,0,SUMPRODUCT($OK83:$OP83,INDEX($I$2:$N$8,MAX(1,$MQ83),0)))</f>
        <v/>
      </c>
      <c r="OV83" s="155">
        <f>IF($MQ83=0,0,$OQ83*CEILING($MQ83/2,1)+$OR83*$MQ83)</f>
        <v/>
      </c>
      <c r="OW83" s="155">
        <f>MIN(2*$MQ83,$OV83)</f>
        <v/>
      </c>
      <c r="OX83" s="155">
        <f>MIN($OW83,$OU83)</f>
        <v/>
      </c>
      <c r="OY83" s="155">
        <f>$OW83-$OX83</f>
        <v/>
      </c>
      <c r="OZ83" s="155">
        <f>IF($MQ83=0,0,INDEX($P$2:$P$8,MAX(1,$MQ83)))</f>
        <v/>
      </c>
      <c r="PA83" s="155">
        <f>$OZ83-$OU83+$OX83</f>
        <v/>
      </c>
      <c r="PB83" s="155">
        <f>IF($MQ83=0,MAX(0,$NE83-IF($OS83&gt;0,1,0)),MAX(0,$PA83))</f>
        <v/>
      </c>
      <c r="PC83" s="155">
        <f>IF($MQ83=0,0,(IF(COUNTIF($MV83:$MY83,"Salto")&gt;0,1,0)+IF(COUNTIF($MV83:$MY83,"Queima")&gt;0,1,0)+IF(COUNTIF($MV83:$MY83,"Estilhaço")&gt;0,1,0))*FLOOR($PB83/2,1))</f>
        <v/>
      </c>
      <c r="PD83" s="155">
        <f>MAX(0,2-SUMPRODUCT($OK83:$OP83,$I$2:$N$2)+MIN(2,$OQ83*1+$OR83*1,SUMPRODUCT($OK83:$OP83,$I$2:$N$2)))</f>
        <v/>
      </c>
      <c r="PE83" s="155">
        <f>MAX(0,4-SUMPRODUCT($OK83:$OP83,$I$3:$N$3)+MIN(4,$OQ83*1+$OR83*2,SUMPRODUCT($OK83:$OP83,$I$3:$N$3)))</f>
        <v/>
      </c>
      <c r="PF83" s="155">
        <f>MAX(0,6-SUMPRODUCT($OK83:$OP83,$I$4:$N$4)+MIN(6,$OQ83*2+$OR83*3,SUMPRODUCT($OK83:$OP83,$I$4:$N$4)))</f>
        <v/>
      </c>
      <c r="PG83" s="155">
        <f>MAX(0,9-SUMPRODUCT($OK83:$OP83,$I$5:$N$5)+MIN(8,$OQ83*2+$OR83*4,SUMPRODUCT($OK83:$OP83,$I$5:$N$5)))</f>
        <v/>
      </c>
      <c r="PH83" s="155">
        <f>MAX(0,11-SUMPRODUCT($OK83:$OP83,$I$6:$N$6)+MIN(10,$OQ83*3+$OR83*5,SUMPRODUCT($OK83:$OP83,$I$6:$N$6)))</f>
        <v/>
      </c>
      <c r="PI83" s="155">
        <f>MAX(0,13-SUMPRODUCT($OK83:$OP83,$I$7:$N$7)+MIN(12,$OQ83*3+$OR83*6,SUMPRODUCT($OK83:$OP83,$I$7:$N$7)))</f>
        <v/>
      </c>
      <c r="PJ83" s="155">
        <f>MAX(0,16-SUMPRODUCT($OK83:$OP83,$I$8:$N$8)+MIN(14,$OQ83*4+$OR83*7,SUMPRODUCT($OK83:$OP83,$I$8:$N$8)))</f>
        <v/>
      </c>
      <c r="PK83" s="155">
        <f>IF($OE83=2,3*$PD83&amp;" de vida temp.",IF($OE83=3,"sem dano",IF($PD83=0,IF($OE83=1,"sem cura","sem dano"),IF($OE83=1,"cura ","")&amp;$PD83&amp;"d8")))</f>
        <v/>
      </c>
      <c r="PL83" s="155">
        <f>IF($OE83=2,3*$PE83&amp;" de vida temp.",IF($OE83=3,"sem dano",IF($PE83=0,IF($OE83=1,"sem cura","sem dano"),IF($OE83=1,"cura ","")&amp;$PE83&amp;"d8")))</f>
        <v/>
      </c>
      <c r="PM83" s="155">
        <f>IF($OE83=2,3*$PF83&amp;" de vida temp.",IF($OE83=3,"sem dano",IF($PF83=0,IF($OE83=1,"sem cura","sem dano"),IF($OE83=1,"cura ","")&amp;$PF83&amp;"d8")))</f>
        <v/>
      </c>
      <c r="PN83" s="155">
        <f>IF($OE83=2,3*$PG83&amp;" de vida temp.",IF($OE83=3,"sem dano",IF($PG83=0,IF($OE83=1,"sem cura","sem dano"),IF($OE83=1,"cura ","")&amp;$PG83&amp;"d8")))</f>
        <v/>
      </c>
      <c r="PO83" s="155">
        <f>IF($OE83=2,3*$PH83&amp;" de vida temp.",IF($OE83=3,"sem dano",IF($PH83=0,IF($OE83=1,"sem cura","sem dano"),IF($OE83=1,"cura ","")&amp;$PH83&amp;"d8")))</f>
        <v/>
      </c>
      <c r="PP83" s="155">
        <f>IF($OE83=2,3*$PI83&amp;" de vida temp.",IF($OE83=3,"sem dano",IF($PI83=0,IF($OE83=1,"sem cura","sem dano"),IF($OE83=1,"cura ","")&amp;$PI83&amp;"d8")))</f>
        <v/>
      </c>
      <c r="PQ83" s="155">
        <f>IF($OE83=2,3*$PJ83&amp;" de vida temp.",IF($OE83=3,"sem dano",IF($PJ83=0,IF($OE83=1,"sem cura","sem dano"),IF($OE83=1,"cura ","")&amp;$PJ83&amp;"d8")))</f>
        <v/>
      </c>
      <c r="PR83" s="155">
        <f>IF($NB83=0,"",TEXTJOIN(" · ",TRUE,IF($MO83&gt;$NC83,"Este lugar abre no nível "&amp;$MO83,""),IF($MQ83&gt;$ND83,"Classe "&amp;$MQ83&amp;": o nível "&amp;$NC83&amp;" libera até a "&amp;$ND83,""),IF($NV83=1,"A Forma "&amp;$MS83&amp;" pede "&amp;INDEX($W$2:$W$11,$NH83)&amp;" aberta",""),IF(AND($MQ83=0,$NH83&gt;0,IF($NH83=0,0,INDEX($AF$2:$AF$11,$NH83))=0),$MS83&amp;" não existe na Classe 0",""),IF($NW83=1,"Família Fechada: "&amp;$MV83,""),IF($NX83=1,"Família Fechada: "&amp;$MW83,""),IF($NY83=1,"Família Fechada: "&amp;$MX83,""),IF($NZ83=1,"Família Fechada: "&amp;$MY83,""),IF(AND($MQ83&gt;0,$OS83&gt;INDEX($O$2:$O$8,MAX(1,$MQ83))),$OS83&amp;" Melhorias: a Classe "&amp;$MQ83&amp;" aceita "&amp;INDEX($O$2:$O$8,MAX(1,$MQ83)),""),IF(AND($MQ83=0,$OS83&gt;1),"A básica aceita uma Melhoria",""),IF(AND($MQ83=0,COUNTIF($NM83:$NP83,"&gt;1")&gt;0),"A básica só aceita Melhoria Leve",""),IF(AND($MQ83&gt;0,$OT83&gt;2),$OT83&amp;" Restrições"&amp;IF($OD83=1,", contando a que a Forma "&amp;$MS83&amp;" já traz","")&amp;": o limite é 2",""),IF(AND($MQ83=0,COUNTIF($MZ83:$NA83,"?*")&gt;1),"A básica aceita uma Restrição Leve",""),IF(AND($MQ83=0,COUNTIF($OG83:$OH83,2)&gt;0),"A básica só aceita Restrição Leve",""),IF(AND($MQ83&gt;0,$PA83&lt;0),"Orçamento estourado: faltam "&amp;(-$PA83)&amp;IF($PA83&lt;-1," pontos"," ponto"),""),IF(IFERROR(VLOOKUP($MZ83,$BC$2:$BG$24,4,FALSE),0)+IFERROR(VLOOKUP($NA83,$BC$2:$BG$24,4,FALSE),0)&gt;1,$OI83&amp;" e "&amp;$OJ83&amp;" são as duas de frequência",""),IF(AND((COUNTIF($MV83:$MY83,"Rápido")+COUNTIF($OI83:$OJ83,"Rápido"))&gt;0,(COUNTIF($MV83:$MY83,"Atrasar")+COUNTIF($OI83:$OJ83,"Atrasar"))&gt;0),"Rápido não entra com Atrasar",""),IF(AND((COUNTIF($MV83:$MY83,"Reação")+COUNTIF($OI83:$OJ83,"Reação"))&gt;0,(COUNTIF($MV83:$MY83,"Rápido")+COUNTIF($OI83:$OJ83,"Rápido"))&gt;0),"Reação não entra com Rápido",""),IF(AND((COUNTIF($MV83:$MY83,"Reação")+COUNTIF($OI83:$OJ83,"Reação"))&gt;0,(COUNTIF($MV83:$MY83,"Armado")+COUNTIF($OI83:$OJ83,"Armado"))&gt;0),"Reação não entra com Armado",""),IF(AND((COUNTIF($MV83:$MY83,"Reação")+COUNTIF($OI83:$OJ83,"Reação"))&gt;0,(COUNTIF($MV83:$MY83,"Atrasar")+COUNTIF($OI83:$OJ83,"Atrasar"))&gt;0),"Reação não entra com Atrasar",""),IF(AND((COUNTIF($MV83:$MY83,"Reação")+COUNTIF($OI83:$OJ83,"Reação"))&gt;0,(COUNTIF($MV83:$MY83,"Parado")+COUNTIF($OI83:$OJ83,"Parado"))&gt;0),"Reação não entra com Parado",""),IF(AND((COUNTIF($MV83:$MY83,"Atrasar")+COUNTIF($OI83:$OJ83,"Atrasar"))&gt;0,(COUNTIF($MV83:$MY83,"Parado")+COUNTIF($OI83:$OJ83,"Parado"))&gt;0),"Atrasar não entra com Parado",""),IF(AND((COUNTIF($MV83:$MY83,"Armado")+COUNTIF($OI83:$OJ83,"Armado"))&gt;0,(COUNTIF($MV83:$MY83,"Carregar")+COUNTIF($OI83:$OJ83,"Carregar"))&gt;0),"Armado não entra com Carregar",""),IF(AND(COUNTIF($OI83:$OJ83,"Corpo a Corpo")&gt;0,$OD83=0,OR($MS83="Cone",$MS83="Linha")),"Corpo a Corpo não entra em "&amp;$MS83,""),IF(AND(COUNTIF($OI83:$OJ83,"Corpo a Corpo")&gt;0,$OD83=1),"A Forma "&amp;$MS83&amp;" já traz o Corpo a Corpo",""),IF(AND(COUNTIF($OI83:$OJ83,"Tudo ou Nada")&gt;0,$OF83=0),"Tudo ou Nada só entra em habilidade de Teste de Resistência",""),IF(AND(COUNTIF($MV83:$MY83,"Inescapável")&gt;0,OR($OS83&gt;1,$OT83&gt;0)),"Inescapável não aceita outra peça",""),IF(AND($MQ83&gt;0,$PB83*IF(COUNTIF($MV83:$MY83,"Remate")&gt;0,1.25,1)+$PC83&gt;4*$MQ83),($PB83*IF(COUNTIF($MV83:$MY83,"Remate")&gt;0,1.25,1)+$PC83)&amp;" dados somando repetições"&amp;IF(COUNTIF($MV83:$MY83,"Remate")&gt;0," e o Remate","")&amp;": o teto da Classe "&amp;$MQ83&amp;" é "&amp;4*$MQ83,"")))</f>
        <v/>
      </c>
      <c r="PS83" s="155">
        <f>IF($PR83="",0,(LEN($PR83)-LEN(SUBSTITUTE($PR83," · ","")))/3+1)</f>
        <v/>
      </c>
      <c r="PT83" s="155">
        <f>IF($NB83=0,"",TEXTJOIN(" · ",TRUE,IF($OV83&gt;2*$MQ83,"A devolução parou no teto de "&amp;2*$MQ83,""),IF($OY83&gt;0,"Devolução perdida: "&amp;$OY83&amp;IF($OY83&gt;1," pontos"," ponto")&amp;" sem peça para pagar",""),IF(AND($OA83&gt;0,AND($MQ83&gt;0,$OE83=0),$PB83=0),"Controle sem dano: uma rodada a mais e CD +2",""),IF(AND($OA83&gt;0,AND($MQ83&gt;0,$OE83=0),$PB83&gt;0,$PB83&lt;=$MQ83),"Controle com saldo até a Classe: uma rodada a mais",""),IF(AND($MQ83&gt;0,$OC83&lt;&gt;""),"Efeito de "&amp;$OC83&amp;" pela Classe "&amp;MAX(1,$MQ83-1),"")))</f>
        <v/>
      </c>
      <c r="PU83" s="155">
        <f>IF($PT83="",0,(LEN($PT83)-LEN(SUBSTITUTE($PT83," · ","")))/3+1)</f>
        <v/>
      </c>
      <c r="PV83" s="155">
        <f>IF($NB83=0,IF($OS83+COUNTIF($MZ83:$NA83,"?*")&gt;0,"Dê um nome",""),IF($PS83&gt;0,"⚠ "&amp;$PS83&amp;IF($PS83&gt;1," erros"," erro"),IF($PU83&gt;0,"! "&amp;$PU83&amp;IF($PU83&gt;1," avisos"," aviso"),"Na regra")))</f>
        <v/>
      </c>
      <c r="PW83" s="155">
        <f>IF($NB83=0,"",IF($PS83+$PU83=0,"Dentro das regras que a ficha confere",$PR83&amp;IF(AND($PS83&gt;0,$PU83&gt;0)," · ","")&amp;$PT83))</f>
        <v/>
      </c>
      <c r="PX83" s="155">
        <f>IF($MO83&gt;$NC83,$MP83&amp;" · ABRE NO NÍVEL "&amp;$MO83,$MP83)</f>
        <v/>
      </c>
      <c r="PY83" s="155">
        <f>IF($NB83=0,"",IF($MQ83=0,"Sem PE",3*$MQ83&amp;" PE"))</f>
        <v/>
      </c>
      <c r="PZ83" s="155">
        <f>IF($NB83=0,"",IF($MQ83=0,"A atuação básica dela",IF(COUNTIF($OI83:$OJ83,"Atrasar")&gt;0,"Sua Ação Completa",IF(COUNTIF($MV83:$MY83,"Rápido")&gt;0,"Sua Bônus",IF(COUNTIF($MV83:$MY83,"Reação")&gt;0,"Sua Reação","Sua Padrão")))&amp;" + a básica dela"&amp;IF(COUNTIF($MV83:$MY83,"Reação")&gt;0," e a coletiva","")&amp;IF(COUNTIF($OI83:$OJ83,"Carregar")&gt;0," · em dois turnos","")))</f>
        <v/>
      </c>
      <c r="QA83" s="155">
        <f>IF($MU83&lt;&gt;"",$MU83,IF($NH83=0,"",INDEX($AA$2:$AA$11,$NH83)))</f>
        <v/>
      </c>
      <c r="QB83" s="155">
        <f>IF(OR($NB83=0,$NH83=0),"",IF(COUNTIF($MV83:$MY83,"Inescapável")&gt;0,"Automático",IF($QA83="Ataque",IF($NF83="","Ataque","Ataque "&amp;IF(($NF83+2*IF(COUNTIF($MV83:$MY83,"Precisão")&gt;0,1,0))&gt;=0,"+","−")&amp;ABS(($NF83+2*IF(COUNTIF($MV83:$MY83,"Precisão")&gt;0,1,0))))&amp;IF($OB83&gt;0," · TR"&amp;IF($NG83="",""," CD "&amp;$NG83),""),IF(LEFT($QA83,2)="TR",$QA83&amp;IF($NG83="",""," · CD "&amp;$NG83)&amp;IF(COUNTIF($MV83:$MY83,"Certeiro")&gt;0," · metade",""),"Sem rolagem"))))</f>
        <v/>
      </c>
      <c r="QC83" s="155">
        <f>IF(OR($NB83=0,$NH83=0),"",IF($MQ83=0,IF(OR($OE83&gt;=1,$PB83=0),"Sem dano",$PB83&amp;"d6"&amp;IF($MT83="",""," "&amp;$MT83)),IF(OR($OE83&gt;=1,$PB83=0),UPPER(LEFT(INDEX($PK83:$PQ83,1,MAX(1,$MQ83)),1))&amp;MID(INDEX($PK83:$PQ83,1,MAX(1,$MQ83)),2,99),UPPER(LEFT(INDEX($PK83:$PQ83,1,MAX(1,$MQ83)),1))&amp;MID(INDEX($PK83:$PQ83,1,MAX(1,$MQ83)),2,99)&amp;IF($MT83="",""," "&amp;$MT83)&amp;IF($PC83&gt;0," · +"&amp;$PC83&amp;"d8",""))))</f>
        <v/>
      </c>
      <c r="QD83" s="155">
        <f>COUNTIF($MV83:$MY83,"Longe")+3*COUNTIF($MV83:$MY83,"Muito Longe")</f>
        <v/>
      </c>
      <c r="QE83" s="155">
        <f>COUNTIF($MV83:$MY83,"Maior")+3*COUNTIF($MV83:$MY83,"Muito Maior")</f>
        <v/>
      </c>
      <c r="QF83" s="155">
        <f>IF($NH83=0,0,CHOOSE(1+INDEX($AC$2:$AC$11,$NH83),0,$QD83,$QE83,$QD83+$QE83))</f>
        <v/>
      </c>
      <c r="QG83" s="155">
        <f>IF($NH83=0,0,CHOOSE(1+INDEX($AD$2:$AD$11,$NH83),0,$QD83,$QE83,$QD83+$QE83))</f>
        <v/>
      </c>
      <c r="QH83" s="155">
        <f>IF(OR($NB83=0,$NH83=0),"",INDEX($AI$2:$AN$41,($NH83-1)*4+IF($MQ83=0,1,IF($MQ83&lt;=5,2,IF($MQ83=6,3,4))),1+MIN(5,$QF83))&amp;INDEX($AO$2:$AT$41,($NH83-1)*4+IF($MQ83=0,1,IF($MQ83&lt;=5,2,IF($MQ83=6,3,4))),1+MIN(5,$QG83))&amp;IF(INDEX($AE$2:$AE$11,$NH83)=1,IF(COUNTIF($MV83:$MY83,"Mais Um")&gt;0," · +"&amp;COUNTIF($MV83:$MY83,"Mais Um")&amp;IF(COUNTIF($MV83:$MY83,"Mais Um")&gt;1," alvos"," alvo"),"")&amp;IF(COUNTIF($MV83:$MY83,"Rajada")&gt;0,IF($MQ83=0," · 1 tiro"," · "&amp;(MAX(1,$MQ83-1)+1)&amp;" tiros"),""),""))</f>
        <v/>
      </c>
      <c r="QI83" s="155">
        <f>IF($NB83=0,"",IF($MQ83=0,$NE83&amp;"d6"&amp;IF($OS83&gt;0," − 1 = "&amp;$PB83&amp;"d6"," da básica do nível "&amp;$NC83),$OZ83&amp;" − "&amp;$OU83&amp;" + "&amp;$OX83&amp;" = "&amp;$PA83&amp;" · teto "&amp;4*$MQ83&amp;"d8"&amp;IF($OD83=1," · a Forma devolve "&amp;$MQ83,"")&amp;IF($OY83&gt;0," · perde "&amp;$OY83,"")))</f>
        <v/>
      </c>
      <c r="QJ83" s="155">
        <f>IF($NB83=0,"",IF($MQ83=0,"A básica não amplia: os dados dela sobem com o nível",IF($MQ83&gt;=$ND83,"Já está na maior Classe que o nível liberou",TEXTJOIN(" · ",TRUE,IF(AND(2&gt;$MQ83,2&lt;=$ND83),"2 → "&amp;$PL83&amp;", 6 PE",""),IF(AND(3&gt;$MQ83,3&lt;=$ND83),"3 → "&amp;$PM83&amp;", 9 PE",""),IF(AND(4&gt;$MQ83,4&lt;=$ND83),"4 → "&amp;$PN83&amp;", 12 PE",""),IF(AND(5&gt;$MQ83,5&lt;=$ND83),"5 → "&amp;$PO83&amp;", 15 PE",""),IF(AND(6&gt;$MQ83,6&lt;=$ND83),"6 → "&amp;$PP83&amp;", 18 PE",""),IF(AND(7&gt;$MQ83,7&lt;=$ND83),"7 → "&amp;$PQ83&amp;", 21 PE","")))))</f>
        <v/>
      </c>
      <c r="QK83" s="155">
        <f>IF(OR($NB83=0,$NM83=0),"",IF($MQ83=0,"−1 dado","−"&amp;INDEX($I$2:$N$8,MAX(1,$MQ83),MAX(1,$NR83))&amp;" · "&amp;CHOOSE(MAX(1,$NR83),"Leve","Média","Pesada","Leve · Livre","Média · Livre","Pesada · Livre")))</f>
        <v/>
      </c>
      <c r="QL83" s="155">
        <f>IF(OR($NB83=0,$NN83=0),"",IF($MQ83=0,"−1 dado","−"&amp;INDEX($I$2:$N$8,MAX(1,$MQ83),MAX(1,$NS83))&amp;" · "&amp;CHOOSE(MAX(1,$NS83),"Leve","Média","Pesada","Leve · Livre","Média · Livre","Pesada · Livre")))</f>
        <v/>
      </c>
      <c r="QM83" s="155">
        <f>IF(OR($NB83=0,$NO83=0),"",IF($MQ83=0,"−1 dado","−"&amp;INDEX($I$2:$N$8,MAX(1,$MQ83),MAX(1,$NT83))&amp;" · "&amp;CHOOSE(MAX(1,$NT83),"Leve","Média","Pesada","Leve · Livre","Média · Livre","Pesada · Livre")))</f>
        <v/>
      </c>
      <c r="QN83" s="155">
        <f>IF(OR($NB83=0,$NP83=0),"",IF($MQ83=0,"−1 dado","−"&amp;INDEX($I$2:$N$8,MAX(1,$MQ83),MAX(1,$NU83))&amp;" · "&amp;CHOOSE(MAX(1,$NU83),"Leve","Média","Pesada","Leve · Livre","Média · Livre","Pesada · Livre")))</f>
        <v/>
      </c>
      <c r="QO83" s="155">
        <f>IF(OR($NB83=0,$MZ83=""),"",IF($MQ83=0,"não devolve","+"&amp;IF($OG83=1,CEILING($MQ83/2,1),$MQ83)))</f>
        <v/>
      </c>
      <c r="QP83" s="155">
        <f>IF(OR($NB83=0,$NA83=""),"",IF($MQ83=0,"não devolve","+"&amp;IF($OH83=1,CEILING($MQ83/2,1),$MQ83)))</f>
        <v/>
      </c>
    </row>
    <row r="84">
      <c r="AV84" s="153" t="inlineStr">
        <is>
          <t>Efeito Próprio (Pesada)</t>
        </is>
      </c>
      <c r="AW84" s="153" t="inlineStr"/>
      <c r="AX84" s="155" t="n">
        <v>3</v>
      </c>
      <c r="AY84" s="155" t="n">
        <v>0</v>
      </c>
      <c r="AZ84" s="155" t="n">
        <v>0</v>
      </c>
      <c r="BA84" s="155" t="n">
        <v>0</v>
      </c>
      <c r="JR84" s="155">
        <f>IF(OR($AW84="",COUNTIF($EJ$2:$EN$2,$AW84)&gt;0),$AV84,"")</f>
        <v/>
      </c>
      <c r="JS84" s="155">
        <f>IF(AND($AX84=1,OR($AW84="",COUNTIF($EJ$2:$EN$2,$AW84)&gt;0)),$AV84,"")</f>
        <v/>
      </c>
      <c r="JX84" s="155">
        <f>IF(OR($AW84="",COUNTIF($EJ$3:$EN$3,$AW84)&gt;0),$AV84,"")</f>
        <v/>
      </c>
      <c r="JY84" s="155">
        <f>IF(AND($AX84=1,OR($AW84="",COUNTIF($EJ$3:$EN$3,$AW84)&gt;0)),$AV84,"")</f>
        <v/>
      </c>
      <c r="KD84" s="155">
        <f>IF(OR($AW84="",COUNTIF($EJ$4:$EN$4,$AW84)&gt;0),$AV84,"")</f>
        <v/>
      </c>
      <c r="KE84" s="155">
        <f>IF(AND($AX84=1,OR($AW84="",COUNTIF($EJ$4:$EN$4,$AW84)&gt;0)),$AV84,"")</f>
        <v/>
      </c>
      <c r="KJ84" s="155">
        <f>IF(OR($AW84="",COUNTIF($EJ$5:$EN$5,$AW84)&gt;0),$AV84,"")</f>
        <v/>
      </c>
      <c r="KK84" s="155">
        <f>IF(AND($AX84=1,OR($AW84="",COUNTIF($EJ$5:$EN$5,$AW84)&gt;0)),$AV84,"")</f>
        <v/>
      </c>
      <c r="KP84" s="155">
        <f>IF(OR($AW84="",COUNTIF($EJ$6:$EN$6,$AW84)&gt;0),$AV84,"")</f>
        <v/>
      </c>
      <c r="KQ84" s="155">
        <f>IF(AND($AX84=1,OR($AW84="",COUNTIF($EJ$6:$EN$6,$AW84)&gt;0)),$AV84,"")</f>
        <v/>
      </c>
      <c r="KV84" s="155">
        <f>IF(OR($AW84="",COUNTIF($EJ$7:$EN$7,$AW84)&gt;0),$AV84,"")</f>
        <v/>
      </c>
      <c r="KW84" s="155">
        <f>IF(AND($AX84=1,OR($AW84="",COUNTIF($EJ$7:$EN$7,$AW84)&gt;0)),$AV84,"")</f>
        <v/>
      </c>
      <c r="LB84" s="155">
        <f>IF(OR($AW84="",COUNTIF($EJ$8:$EN$8,$AW84)&gt;0),$AV84,"")</f>
        <v/>
      </c>
      <c r="LC84" s="155">
        <f>IF(AND($AX84=1,OR($AW84="",COUNTIF($EJ$8:$EN$8,$AW84)&gt;0)),$AV84,"")</f>
        <v/>
      </c>
      <c r="LH84" s="155">
        <f>IF(OR($AW84="",COUNTIF($EJ$9:$EN$9,$AW84)&gt;0),$AV84,"")</f>
        <v/>
      </c>
      <c r="LI84" s="155">
        <f>IF(AND($AX84=1,OR($AW84="",COUNTIF($EJ$9:$EN$9,$AW84)&gt;0)),$AV84,"")</f>
        <v/>
      </c>
      <c r="LN84" s="155">
        <f>IF(OR($AW84="",COUNTIF($EJ$10:$EN$10,$AW84)&gt;0),$AV84,"")</f>
        <v/>
      </c>
      <c r="LO84" s="155">
        <f>IF(AND($AX84=1,OR($AW84="",COUNTIF($EJ$10:$EN$10,$AW84)&gt;0)),$AV84,"")</f>
        <v/>
      </c>
      <c r="LT84" s="155">
        <f>IF(OR($AW84="",COUNTIF($EJ$11:$EN$11,$AW84)&gt;0),$AV84,"")</f>
        <v/>
      </c>
      <c r="LU84" s="155">
        <f>IF(AND($AX84=1,OR($AW84="",COUNTIF($EJ$11:$EN$11,$AW84)&gt;0)),$AV84,"")</f>
        <v/>
      </c>
      <c r="LZ84" s="155">
        <f>IF(OR($AW84="",COUNTIF($EJ$12:$EN$12,$AW84)&gt;0),$AV84,"")</f>
        <v/>
      </c>
      <c r="MA84" s="155">
        <f>IF(AND($AX84=1,OR($AW84="",COUNTIF($EJ$12:$EN$12,$AW84)&gt;0)),$AV84,"")</f>
        <v/>
      </c>
      <c r="MF84" s="155">
        <f>IF(OR($AW84="",COUNTIF($EJ$13:$EN$13,$AW84)&gt;0),$AV84,"")</f>
        <v/>
      </c>
      <c r="MG84" s="155">
        <f>IF(AND($AX84=1,OR($AW84="",COUNTIF($EJ$13:$EN$13,$AW84)&gt;0)),$AV84,"")</f>
        <v/>
      </c>
      <c r="ML84" s="153" t="inlineStr">
        <is>
          <t>Ficha 7 · Especial 3</t>
        </is>
      </c>
      <c r="MM84" s="155" t="n">
        <v>7</v>
      </c>
      <c r="MN84" s="155" t="n">
        <v>1</v>
      </c>
      <c r="MO84" s="155" t="n">
        <v>8</v>
      </c>
      <c r="MP84" s="153" t="inlineStr">
        <is>
          <t>ESPECIAL 3</t>
        </is>
      </c>
      <c r="MQ84" s="155">
        <f>MAX(1,MIN(7,N('INVOCAÇÕES'!$AH$92)))</f>
        <v/>
      </c>
      <c r="MR84" s="155">
        <f>'INVOCAÇÕES'!$AI$92&amp;""</f>
        <v/>
      </c>
      <c r="MS84" s="155">
        <f>'INVOCAÇÕES'!$AH$97&amp;""</f>
        <v/>
      </c>
      <c r="MT84" s="155">
        <f>'INVOCAÇÕES'!$AH$98&amp;""</f>
        <v/>
      </c>
      <c r="MU84" s="155">
        <f>'INVOCAÇÕES'!$AJ$98&amp;""</f>
        <v/>
      </c>
      <c r="MV84" s="155">
        <f>'INVOCAÇÕES'!$AI$101&amp;""</f>
        <v/>
      </c>
      <c r="MW84" s="155">
        <f>'INVOCAÇÕES'!$AI$102&amp;""</f>
        <v/>
      </c>
      <c r="MX84" s="155">
        <f>'INVOCAÇÕES'!$AI$103&amp;""</f>
        <v/>
      </c>
      <c r="MY84" s="155">
        <f>'INVOCAÇÕES'!$AI$104&amp;""</f>
        <v/>
      </c>
      <c r="MZ84" s="155">
        <f>'INVOCAÇÕES'!$AI$105&amp;""</f>
        <v/>
      </c>
      <c r="NA84" s="155">
        <f>'INVOCAÇÕES'!$AI$106&amp;""</f>
        <v/>
      </c>
      <c r="NB84" s="155">
        <f>IF($MR84&lt;&gt;"",1,0)</f>
        <v/>
      </c>
      <c r="NC84" s="155">
        <f>INDEX($FM$2:$FM$13,$MM84)</f>
        <v/>
      </c>
      <c r="ND84" s="155">
        <f>INDEX($FN$2:$FN$13,$MM84)</f>
        <v/>
      </c>
      <c r="NE84" s="155">
        <f>INDEX($FO$2:$FO$13,$MM84)</f>
        <v/>
      </c>
      <c r="NF84" s="155">
        <f>INDEX($FZ$2:$FZ$13,$MM84)</f>
        <v/>
      </c>
      <c r="NG84" s="155">
        <f>INDEX($GA$2:$GA$13,$MM84)</f>
        <v/>
      </c>
      <c r="NH84" s="155">
        <f>IFERROR(MATCH($MS84,$V$2:$V$11,0),0)</f>
        <v/>
      </c>
      <c r="NI84" s="155">
        <f>IFERROR(VLOOKUP($MV84,$AV$2:$BA$84,2,FALSE),"")</f>
        <v/>
      </c>
      <c r="NJ84" s="155">
        <f>IFERROR(VLOOKUP($MW84,$AV$2:$BA$84,2,FALSE),"")</f>
        <v/>
      </c>
      <c r="NK84" s="155">
        <f>IFERROR(VLOOKUP($MX84,$AV$2:$BA$84,2,FALSE),"")</f>
        <v/>
      </c>
      <c r="NL84" s="155">
        <f>IFERROR(VLOOKUP($MY84,$AV$2:$BA$84,2,FALSE),"")</f>
        <v/>
      </c>
      <c r="NM84" s="155">
        <f>IFERROR(VLOOKUP($MV84,$AV$2:$BA$84,3,FALSE),0)</f>
        <v/>
      </c>
      <c r="NN84" s="155">
        <f>IFERROR(VLOOKUP($MW84,$AV$2:$BA$84,3,FALSE),0)</f>
        <v/>
      </c>
      <c r="NO84" s="155">
        <f>IFERROR(VLOOKUP($MX84,$AV$2:$BA$84,3,FALSE),0)</f>
        <v/>
      </c>
      <c r="NP84" s="155">
        <f>IFERROR(VLOOKUP($MY84,$AV$2:$BA$84,3,FALSE),0)</f>
        <v/>
      </c>
      <c r="NQ84" s="155">
        <f>IF($MQ84=0,0,IF($NH84=0,0,INDEX($X$2:$X$11,$NH84)))</f>
        <v/>
      </c>
      <c r="NR84" s="155">
        <f>IF(OR($NM84=0,$MQ84=0),0,$NM84+3*IF(AND($NI84&lt;&gt;"",OR($NI84=INDEX($EJ$2:$EJ$13,$MM84),$NI84=INDEX($EK$2:$EK$13,$MM84))),1,0))</f>
        <v/>
      </c>
      <c r="NS84" s="155">
        <f>IF(OR($NN84=0,$MQ84=0),0,$NN84+3*IF(AND($NJ84&lt;&gt;"",OR($NJ84=INDEX($EJ$2:$EJ$13,$MM84),$NJ84=INDEX($EK$2:$EK$13,$MM84))),1,0))</f>
        <v/>
      </c>
      <c r="NT84" s="155">
        <f>IF(OR($NO84=0,$MQ84=0),0,$NO84+3*IF(AND($NK84&lt;&gt;"",OR($NK84=INDEX($EJ$2:$EJ$13,$MM84),$NK84=INDEX($EK$2:$EK$13,$MM84))),1,0))</f>
        <v/>
      </c>
      <c r="NU84" s="155">
        <f>IF(OR($NP84=0,$MQ84=0),0,$NP84+3*IF(AND($NL84&lt;&gt;"",OR($NL84=INDEX($EJ$2:$EJ$13,$MM84),$NL84=INDEX($EK$2:$EK$13,$MM84))),1,0))</f>
        <v/>
      </c>
      <c r="NV84" s="155">
        <f>IF($NH84=0,0,IF(INDEX($W$2:$W$11,$NH84)="",0,IF(COUNTIF(INDEX($EJ$2:$EN$13,$MM84,0),INDEX($W$2:$W$11,$NH84))=0,1,0)))</f>
        <v/>
      </c>
      <c r="NW84" s="155">
        <f>IF(OR($NM84=0,$NI84=""),0,IF(COUNTIF(INDEX($EJ$2:$EN$13,$MM84,0),$NI84)=0,1,0))</f>
        <v/>
      </c>
      <c r="NX84" s="155">
        <f>IF(OR($NN84=0,$NJ84=""),0,IF(COUNTIF(INDEX($EJ$2:$EN$13,$MM84,0),$NJ84)=0,1,0))</f>
        <v/>
      </c>
      <c r="NY84" s="155">
        <f>IF(OR($NO84=0,$NK84=""),0,IF(COUNTIF(INDEX($EJ$2:$EN$13,$MM84,0),$NK84)=0,1,0))</f>
        <v/>
      </c>
      <c r="NZ84" s="155">
        <f>IF(OR($NP84=0,$NL84=""),0,IF(COUNTIF(INDEX($EJ$2:$EN$13,$MM84,0),$NL84)=0,1,0))</f>
        <v/>
      </c>
      <c r="OA84" s="155">
        <f>IFERROR(VLOOKUP($MV84,$AV$2:$BA$84,4,FALSE),0)+IFERROR(VLOOKUP($MW84,$AV$2:$BA$84,4,FALSE),0)+IFERROR(VLOOKUP($MX84,$AV$2:$BA$84,4,FALSE),0)+IFERROR(VLOOKUP($MY84,$AV$2:$BA$84,4,FALSE),0)</f>
        <v/>
      </c>
      <c r="OB84" s="155">
        <f>IFERROR(VLOOKUP($MV84,$AV$2:$BA$84,6,FALSE),0)+IFERROR(VLOOKUP($MW84,$AV$2:$BA$84,6,FALSE),0)+IFERROR(VLOOKUP($MX84,$AV$2:$BA$84,6,FALSE),0)+IFERROR(VLOOKUP($MY84,$AV$2:$BA$84,6,FALSE),0)</f>
        <v/>
      </c>
      <c r="OC84" s="155">
        <f>TEXTJOIN(", ",TRUE,IF(IFERROR(VLOOKUP($MV84,$AV$2:$BA$84,5,FALSE),0)=1,$MV84,""),IF(IFERROR(VLOOKUP($MW84,$AV$2:$BA$84,5,FALSE),0)=1,$MW84,""),IF(IFERROR(VLOOKUP($MX84,$AV$2:$BA$84,5,FALSE),0)=1,$MX84,""),IF(IFERROR(VLOOKUP($MY84,$AV$2:$BA$84,5,FALSE),0)=1,$MY84,""))</f>
        <v/>
      </c>
      <c r="OD84" s="155">
        <f>IF($NH84=0,0,INDEX($Y$2:$Y$11,$NH84))</f>
        <v/>
      </c>
      <c r="OE84" s="155">
        <f>IF($NH84=0,0,INDEX($Z$2:$Z$11,$NH84))</f>
        <v/>
      </c>
      <c r="OF84" s="155">
        <f>IF($NH84=0,0,INDEX($AB$2:$AB$11,$NH84))</f>
        <v/>
      </c>
      <c r="OG84" s="155">
        <f>IFERROR(VLOOKUP($MZ84,$BC$2:$BG$24,3,FALSE),0)</f>
        <v/>
      </c>
      <c r="OH84" s="155">
        <f>IFERROR(VLOOKUP($NA84,$BC$2:$BG$24,3,FALSE),0)</f>
        <v/>
      </c>
      <c r="OI84" s="155">
        <f>IFERROR(VLOOKUP($MZ84,$BC$2:$BG$24,2,FALSE),"")</f>
        <v/>
      </c>
      <c r="OJ84" s="155">
        <f>IFERROR(VLOOKUP($NA84,$BC$2:$BG$24,2,FALSE),"")</f>
        <v/>
      </c>
      <c r="OK84" s="155">
        <f>COUNTIF($NQ84:$NU84,1)</f>
        <v/>
      </c>
      <c r="OL84" s="155">
        <f>COUNTIF($NQ84:$NU84,2)</f>
        <v/>
      </c>
      <c r="OM84" s="155">
        <f>COUNTIF($NQ84:$NU84,3)</f>
        <v/>
      </c>
      <c r="ON84" s="155">
        <f>COUNTIF($NQ84:$NU84,4)</f>
        <v/>
      </c>
      <c r="OO84" s="155">
        <f>COUNTIF($NQ84:$NU84,5)</f>
        <v/>
      </c>
      <c r="OP84" s="155">
        <f>COUNTIF($NQ84:$NU84,6)</f>
        <v/>
      </c>
      <c r="OQ84" s="155">
        <f>COUNTIF($OG84:$OH84,1)</f>
        <v/>
      </c>
      <c r="OR84" s="155">
        <f>COUNTIF($OG84:$OH84,2)+$OD84</f>
        <v/>
      </c>
      <c r="OS84" s="155">
        <f>COUNTIF($MV84:$MY84,"?*")</f>
        <v/>
      </c>
      <c r="OT84" s="155">
        <f>COUNTIF($MZ84:$NA84,"?*")+$OD84</f>
        <v/>
      </c>
      <c r="OU84" s="155">
        <f>IF($MQ84=0,0,SUMPRODUCT($OK84:$OP84,INDEX($I$2:$N$8,MAX(1,$MQ84),0)))</f>
        <v/>
      </c>
      <c r="OV84" s="155">
        <f>IF($MQ84=0,0,$OQ84*CEILING($MQ84/2,1)+$OR84*$MQ84)</f>
        <v/>
      </c>
      <c r="OW84" s="155">
        <f>MIN(2*$MQ84,$OV84)</f>
        <v/>
      </c>
      <c r="OX84" s="155">
        <f>MIN($OW84,$OU84)</f>
        <v/>
      </c>
      <c r="OY84" s="155">
        <f>$OW84-$OX84</f>
        <v/>
      </c>
      <c r="OZ84" s="155">
        <f>IF($MQ84=0,0,INDEX($P$2:$P$8,MAX(1,$MQ84)))</f>
        <v/>
      </c>
      <c r="PA84" s="155">
        <f>$OZ84-$OU84+$OX84</f>
        <v/>
      </c>
      <c r="PB84" s="155">
        <f>IF($MQ84=0,MAX(0,$NE84-IF($OS84&gt;0,1,0)),MAX(0,$PA84))</f>
        <v/>
      </c>
      <c r="PC84" s="155">
        <f>IF($MQ84=0,0,(IF(COUNTIF($MV84:$MY84,"Salto")&gt;0,1,0)+IF(COUNTIF($MV84:$MY84,"Queima")&gt;0,1,0)+IF(COUNTIF($MV84:$MY84,"Estilhaço")&gt;0,1,0))*FLOOR($PB84/2,1))</f>
        <v/>
      </c>
      <c r="PD84" s="155">
        <f>MAX(0,2-SUMPRODUCT($OK84:$OP84,$I$2:$N$2)+MIN(2,$OQ84*1+$OR84*1,SUMPRODUCT($OK84:$OP84,$I$2:$N$2)))</f>
        <v/>
      </c>
      <c r="PE84" s="155">
        <f>MAX(0,4-SUMPRODUCT($OK84:$OP84,$I$3:$N$3)+MIN(4,$OQ84*1+$OR84*2,SUMPRODUCT($OK84:$OP84,$I$3:$N$3)))</f>
        <v/>
      </c>
      <c r="PF84" s="155">
        <f>MAX(0,6-SUMPRODUCT($OK84:$OP84,$I$4:$N$4)+MIN(6,$OQ84*2+$OR84*3,SUMPRODUCT($OK84:$OP84,$I$4:$N$4)))</f>
        <v/>
      </c>
      <c r="PG84" s="155">
        <f>MAX(0,9-SUMPRODUCT($OK84:$OP84,$I$5:$N$5)+MIN(8,$OQ84*2+$OR84*4,SUMPRODUCT($OK84:$OP84,$I$5:$N$5)))</f>
        <v/>
      </c>
      <c r="PH84" s="155">
        <f>MAX(0,11-SUMPRODUCT($OK84:$OP84,$I$6:$N$6)+MIN(10,$OQ84*3+$OR84*5,SUMPRODUCT($OK84:$OP84,$I$6:$N$6)))</f>
        <v/>
      </c>
      <c r="PI84" s="155">
        <f>MAX(0,13-SUMPRODUCT($OK84:$OP84,$I$7:$N$7)+MIN(12,$OQ84*3+$OR84*6,SUMPRODUCT($OK84:$OP84,$I$7:$N$7)))</f>
        <v/>
      </c>
      <c r="PJ84" s="155">
        <f>MAX(0,16-SUMPRODUCT($OK84:$OP84,$I$8:$N$8)+MIN(14,$OQ84*4+$OR84*7,SUMPRODUCT($OK84:$OP84,$I$8:$N$8)))</f>
        <v/>
      </c>
      <c r="PK84" s="155">
        <f>IF($OE84=2,3*$PD84&amp;" de vida temp.",IF($OE84=3,"sem dano",IF($PD84=0,IF($OE84=1,"sem cura","sem dano"),IF($OE84=1,"cura ","")&amp;$PD84&amp;"d8")))</f>
        <v/>
      </c>
      <c r="PL84" s="155">
        <f>IF($OE84=2,3*$PE84&amp;" de vida temp.",IF($OE84=3,"sem dano",IF($PE84=0,IF($OE84=1,"sem cura","sem dano"),IF($OE84=1,"cura ","")&amp;$PE84&amp;"d8")))</f>
        <v/>
      </c>
      <c r="PM84" s="155">
        <f>IF($OE84=2,3*$PF84&amp;" de vida temp.",IF($OE84=3,"sem dano",IF($PF84=0,IF($OE84=1,"sem cura","sem dano"),IF($OE84=1,"cura ","")&amp;$PF84&amp;"d8")))</f>
        <v/>
      </c>
      <c r="PN84" s="155">
        <f>IF($OE84=2,3*$PG84&amp;" de vida temp.",IF($OE84=3,"sem dano",IF($PG84=0,IF($OE84=1,"sem cura","sem dano"),IF($OE84=1,"cura ","")&amp;$PG84&amp;"d8")))</f>
        <v/>
      </c>
      <c r="PO84" s="155">
        <f>IF($OE84=2,3*$PH84&amp;" de vida temp.",IF($OE84=3,"sem dano",IF($PH84=0,IF($OE84=1,"sem cura","sem dano"),IF($OE84=1,"cura ","")&amp;$PH84&amp;"d8")))</f>
        <v/>
      </c>
      <c r="PP84" s="155">
        <f>IF($OE84=2,3*$PI84&amp;" de vida temp.",IF($OE84=3,"sem dano",IF($PI84=0,IF($OE84=1,"sem cura","sem dano"),IF($OE84=1,"cura ","")&amp;$PI84&amp;"d8")))</f>
        <v/>
      </c>
      <c r="PQ84" s="155">
        <f>IF($OE84=2,3*$PJ84&amp;" de vida temp.",IF($OE84=3,"sem dano",IF($PJ84=0,IF($OE84=1,"sem cura","sem dano"),IF($OE84=1,"cura ","")&amp;$PJ84&amp;"d8")))</f>
        <v/>
      </c>
      <c r="PR84" s="155">
        <f>IF($NB84=0,"",TEXTJOIN(" · ",TRUE,IF($MO84&gt;$NC84,"Este lugar abre no nível "&amp;$MO84,""),IF($MQ84&gt;$ND84,"Classe "&amp;$MQ84&amp;": o nível "&amp;$NC84&amp;" libera até a "&amp;$ND84,""),IF($NV84=1,"A Forma "&amp;$MS84&amp;" pede "&amp;INDEX($W$2:$W$11,$NH84)&amp;" aberta",""),IF(AND($MQ84=0,$NH84&gt;0,IF($NH84=0,0,INDEX($AF$2:$AF$11,$NH84))=0),$MS84&amp;" não existe na Classe 0",""),IF($NW84=1,"Família Fechada: "&amp;$MV84,""),IF($NX84=1,"Família Fechada: "&amp;$MW84,""),IF($NY84=1,"Família Fechada: "&amp;$MX84,""),IF($NZ84=1,"Família Fechada: "&amp;$MY84,""),IF(AND($MQ84&gt;0,$OS84&gt;INDEX($O$2:$O$8,MAX(1,$MQ84))),$OS84&amp;" Melhorias: a Classe "&amp;$MQ84&amp;" aceita "&amp;INDEX($O$2:$O$8,MAX(1,$MQ84)),""),IF(AND($MQ84=0,$OS84&gt;1),"A básica aceita uma Melhoria",""),IF(AND($MQ84=0,COUNTIF($NM84:$NP84,"&gt;1")&gt;0),"A básica só aceita Melhoria Leve",""),IF(AND($MQ84&gt;0,$OT84&gt;2),$OT84&amp;" Restrições"&amp;IF($OD84=1,", contando a que a Forma "&amp;$MS84&amp;" já traz","")&amp;": o limite é 2",""),IF(AND($MQ84=0,COUNTIF($MZ84:$NA84,"?*")&gt;1),"A básica aceita uma Restrição Leve",""),IF(AND($MQ84=0,COUNTIF($OG84:$OH84,2)&gt;0),"A básica só aceita Restrição Leve",""),IF(AND($MQ84&gt;0,$PA84&lt;0),"Orçamento estourado: faltam "&amp;(-$PA84)&amp;IF($PA84&lt;-1," pontos"," ponto"),""),IF(IFERROR(VLOOKUP($MZ84,$BC$2:$BG$24,4,FALSE),0)+IFERROR(VLOOKUP($NA84,$BC$2:$BG$24,4,FALSE),0)&gt;1,$OI84&amp;" e "&amp;$OJ84&amp;" são as duas de frequência",""),IF(AND((COUNTIF($MV84:$MY84,"Rápido")+COUNTIF($OI84:$OJ84,"Rápido"))&gt;0,(COUNTIF($MV84:$MY84,"Atrasar")+COUNTIF($OI84:$OJ84,"Atrasar"))&gt;0),"Rápido não entra com Atrasar",""),IF(AND((COUNTIF($MV84:$MY84,"Reação")+COUNTIF($OI84:$OJ84,"Reação"))&gt;0,(COUNTIF($MV84:$MY84,"Rápido")+COUNTIF($OI84:$OJ84,"Rápido"))&gt;0),"Reação não entra com Rápido",""),IF(AND((COUNTIF($MV84:$MY84,"Reação")+COUNTIF($OI84:$OJ84,"Reação"))&gt;0,(COUNTIF($MV84:$MY84,"Armado")+COUNTIF($OI84:$OJ84,"Armado"))&gt;0),"Reação não entra com Armado",""),IF(AND((COUNTIF($MV84:$MY84,"Reação")+COUNTIF($OI84:$OJ84,"Reação"))&gt;0,(COUNTIF($MV84:$MY84,"Atrasar")+COUNTIF($OI84:$OJ84,"Atrasar"))&gt;0),"Reação não entra com Atrasar",""),IF(AND((COUNTIF($MV84:$MY84,"Reação")+COUNTIF($OI84:$OJ84,"Reação"))&gt;0,(COUNTIF($MV84:$MY84,"Parado")+COUNTIF($OI84:$OJ84,"Parado"))&gt;0),"Reação não entra com Parado",""),IF(AND((COUNTIF($MV84:$MY84,"Atrasar")+COUNTIF($OI84:$OJ84,"Atrasar"))&gt;0,(COUNTIF($MV84:$MY84,"Parado")+COUNTIF($OI84:$OJ84,"Parado"))&gt;0),"Atrasar não entra com Parado",""),IF(AND((COUNTIF($MV84:$MY84,"Armado")+COUNTIF($OI84:$OJ84,"Armado"))&gt;0,(COUNTIF($MV84:$MY84,"Carregar")+COUNTIF($OI84:$OJ84,"Carregar"))&gt;0),"Armado não entra com Carregar",""),IF(AND(COUNTIF($OI84:$OJ84,"Corpo a Corpo")&gt;0,$OD84=0,OR($MS84="Cone",$MS84="Linha")),"Corpo a Corpo não entra em "&amp;$MS84,""),IF(AND(COUNTIF($OI84:$OJ84,"Corpo a Corpo")&gt;0,$OD84=1),"A Forma "&amp;$MS84&amp;" já traz o Corpo a Corpo",""),IF(AND(COUNTIF($OI84:$OJ84,"Tudo ou Nada")&gt;0,$OF84=0),"Tudo ou Nada só entra em habilidade de Teste de Resistência",""),IF(AND(COUNTIF($MV84:$MY84,"Inescapável")&gt;0,OR($OS84&gt;1,$OT84&gt;0)),"Inescapável não aceita outra peça",""),IF(AND($MQ84&gt;0,$PB84*IF(COUNTIF($MV84:$MY84,"Remate")&gt;0,1.25,1)+$PC84&gt;4*$MQ84),($PB84*IF(COUNTIF($MV84:$MY84,"Remate")&gt;0,1.25,1)+$PC84)&amp;" dados somando repetições"&amp;IF(COUNTIF($MV84:$MY84,"Remate")&gt;0," e o Remate","")&amp;": o teto da Classe "&amp;$MQ84&amp;" é "&amp;4*$MQ84,"")))</f>
        <v/>
      </c>
      <c r="PS84" s="155">
        <f>IF($PR84="",0,(LEN($PR84)-LEN(SUBSTITUTE($PR84," · ","")))/3+1)</f>
        <v/>
      </c>
      <c r="PT84" s="155">
        <f>IF($NB84=0,"",TEXTJOIN(" · ",TRUE,IF($OV84&gt;2*$MQ84,"A devolução parou no teto de "&amp;2*$MQ84,""),IF($OY84&gt;0,"Devolução perdida: "&amp;$OY84&amp;IF($OY84&gt;1," pontos"," ponto")&amp;" sem peça para pagar",""),IF(AND($OA84&gt;0,AND($MQ84&gt;0,$OE84=0),$PB84=0),"Controle sem dano: uma rodada a mais e CD +2",""),IF(AND($OA84&gt;0,AND($MQ84&gt;0,$OE84=0),$PB84&gt;0,$PB84&lt;=$MQ84),"Controle com saldo até a Classe: uma rodada a mais",""),IF(AND($MQ84&gt;0,$OC84&lt;&gt;""),"Efeito de "&amp;$OC84&amp;" pela Classe "&amp;MAX(1,$MQ84-1),"")))</f>
        <v/>
      </c>
      <c r="PU84" s="155">
        <f>IF($PT84="",0,(LEN($PT84)-LEN(SUBSTITUTE($PT84," · ","")))/3+1)</f>
        <v/>
      </c>
      <c r="PV84" s="155">
        <f>IF($NB84=0,IF($OS84+COUNTIF($MZ84:$NA84,"?*")&gt;0,"Dê um nome",""),IF($PS84&gt;0,"⚠ "&amp;$PS84&amp;IF($PS84&gt;1," erros"," erro"),IF($PU84&gt;0,"! "&amp;$PU84&amp;IF($PU84&gt;1," avisos"," aviso"),"Na regra")))</f>
        <v/>
      </c>
      <c r="PW84" s="155">
        <f>IF($NB84=0,"",IF($PS84+$PU84=0,"Dentro das regras que a ficha confere",$PR84&amp;IF(AND($PS84&gt;0,$PU84&gt;0)," · ","")&amp;$PT84))</f>
        <v/>
      </c>
      <c r="PX84" s="155">
        <f>IF($MO84&gt;$NC84,$MP84&amp;" · ABRE NO NÍVEL "&amp;$MO84,$MP84)</f>
        <v/>
      </c>
      <c r="PY84" s="155">
        <f>IF($NB84=0,"",IF($MQ84=0,"Sem PE",3*$MQ84&amp;" PE"))</f>
        <v/>
      </c>
      <c r="PZ84" s="155">
        <f>IF($NB84=0,"",IF($MQ84=0,"A atuação básica dela",IF(COUNTIF($OI84:$OJ84,"Atrasar")&gt;0,"Sua Ação Completa",IF(COUNTIF($MV84:$MY84,"Rápido")&gt;0,"Sua Bônus",IF(COUNTIF($MV84:$MY84,"Reação")&gt;0,"Sua Reação","Sua Padrão")))&amp;" + a básica dela"&amp;IF(COUNTIF($MV84:$MY84,"Reação")&gt;0," e a coletiva","")&amp;IF(COUNTIF($OI84:$OJ84,"Carregar")&gt;0," · em dois turnos","")))</f>
        <v/>
      </c>
      <c r="QA84" s="155">
        <f>IF($MU84&lt;&gt;"",$MU84,IF($NH84=0,"",INDEX($AA$2:$AA$11,$NH84)))</f>
        <v/>
      </c>
      <c r="QB84" s="155">
        <f>IF(OR($NB84=0,$NH84=0),"",IF(COUNTIF($MV84:$MY84,"Inescapável")&gt;0,"Automático",IF($QA84="Ataque",IF($NF84="","Ataque","Ataque "&amp;IF(($NF84+2*IF(COUNTIF($MV84:$MY84,"Precisão")&gt;0,1,0))&gt;=0,"+","−")&amp;ABS(($NF84+2*IF(COUNTIF($MV84:$MY84,"Precisão")&gt;0,1,0))))&amp;IF($OB84&gt;0," · TR"&amp;IF($NG84="",""," CD "&amp;$NG84),""),IF(LEFT($QA84,2)="TR",$QA84&amp;IF($NG84="",""," · CD "&amp;$NG84)&amp;IF(COUNTIF($MV84:$MY84,"Certeiro")&gt;0," · metade",""),"Sem rolagem"))))</f>
        <v/>
      </c>
      <c r="QC84" s="155">
        <f>IF(OR($NB84=0,$NH84=0),"",IF($MQ84=0,IF(OR($OE84&gt;=1,$PB84=0),"Sem dano",$PB84&amp;"d6"&amp;IF($MT84="",""," "&amp;$MT84)),IF(OR($OE84&gt;=1,$PB84=0),UPPER(LEFT(INDEX($PK84:$PQ84,1,MAX(1,$MQ84)),1))&amp;MID(INDEX($PK84:$PQ84,1,MAX(1,$MQ84)),2,99),UPPER(LEFT(INDEX($PK84:$PQ84,1,MAX(1,$MQ84)),1))&amp;MID(INDEX($PK84:$PQ84,1,MAX(1,$MQ84)),2,99)&amp;IF($MT84="",""," "&amp;$MT84)&amp;IF($PC84&gt;0," · +"&amp;$PC84&amp;"d8",""))))</f>
        <v/>
      </c>
      <c r="QD84" s="155">
        <f>COUNTIF($MV84:$MY84,"Longe")+3*COUNTIF($MV84:$MY84,"Muito Longe")</f>
        <v/>
      </c>
      <c r="QE84" s="155">
        <f>COUNTIF($MV84:$MY84,"Maior")+3*COUNTIF($MV84:$MY84,"Muito Maior")</f>
        <v/>
      </c>
      <c r="QF84" s="155">
        <f>IF($NH84=0,0,CHOOSE(1+INDEX($AC$2:$AC$11,$NH84),0,$QD84,$QE84,$QD84+$QE84))</f>
        <v/>
      </c>
      <c r="QG84" s="155">
        <f>IF($NH84=0,0,CHOOSE(1+INDEX($AD$2:$AD$11,$NH84),0,$QD84,$QE84,$QD84+$QE84))</f>
        <v/>
      </c>
      <c r="QH84" s="155">
        <f>IF(OR($NB84=0,$NH84=0),"",INDEX($AI$2:$AN$41,($NH84-1)*4+IF($MQ84=0,1,IF($MQ84&lt;=5,2,IF($MQ84=6,3,4))),1+MIN(5,$QF84))&amp;INDEX($AO$2:$AT$41,($NH84-1)*4+IF($MQ84=0,1,IF($MQ84&lt;=5,2,IF($MQ84=6,3,4))),1+MIN(5,$QG84))&amp;IF(INDEX($AE$2:$AE$11,$NH84)=1,IF(COUNTIF($MV84:$MY84,"Mais Um")&gt;0," · +"&amp;COUNTIF($MV84:$MY84,"Mais Um")&amp;IF(COUNTIF($MV84:$MY84,"Mais Um")&gt;1," alvos"," alvo"),"")&amp;IF(COUNTIF($MV84:$MY84,"Rajada")&gt;0,IF($MQ84=0," · 1 tiro"," · "&amp;(MAX(1,$MQ84-1)+1)&amp;" tiros"),""),""))</f>
        <v/>
      </c>
      <c r="QI84" s="155">
        <f>IF($NB84=0,"",IF($MQ84=0,$NE84&amp;"d6"&amp;IF($OS84&gt;0," − 1 = "&amp;$PB84&amp;"d6"," da básica do nível "&amp;$NC84),$OZ84&amp;" − "&amp;$OU84&amp;" + "&amp;$OX84&amp;" = "&amp;$PA84&amp;" · teto "&amp;4*$MQ84&amp;"d8"&amp;IF($OD84=1," · a Forma devolve "&amp;$MQ84,"")&amp;IF($OY84&gt;0," · perde "&amp;$OY84,"")))</f>
        <v/>
      </c>
      <c r="QJ84" s="155">
        <f>IF($NB84=0,"",IF($MQ84=0,"A básica não amplia: os dados dela sobem com o nível",IF($MQ84&gt;=$ND84,"Já está na maior Classe que o nível liberou",TEXTJOIN(" · ",TRUE,IF(AND(2&gt;$MQ84,2&lt;=$ND84),"2 → "&amp;$PL84&amp;", 6 PE",""),IF(AND(3&gt;$MQ84,3&lt;=$ND84),"3 → "&amp;$PM84&amp;", 9 PE",""),IF(AND(4&gt;$MQ84,4&lt;=$ND84),"4 → "&amp;$PN84&amp;", 12 PE",""),IF(AND(5&gt;$MQ84,5&lt;=$ND84),"5 → "&amp;$PO84&amp;", 15 PE",""),IF(AND(6&gt;$MQ84,6&lt;=$ND84),"6 → "&amp;$PP84&amp;", 18 PE",""),IF(AND(7&gt;$MQ84,7&lt;=$ND84),"7 → "&amp;$PQ84&amp;", 21 PE","")))))</f>
        <v/>
      </c>
      <c r="QK84" s="155">
        <f>IF(OR($NB84=0,$NM84=0),"",IF($MQ84=0,"−1 dado","−"&amp;INDEX($I$2:$N$8,MAX(1,$MQ84),MAX(1,$NR84))&amp;" · "&amp;CHOOSE(MAX(1,$NR84),"Leve","Média","Pesada","Leve · Livre","Média · Livre","Pesada · Livre")))</f>
        <v/>
      </c>
      <c r="QL84" s="155">
        <f>IF(OR($NB84=0,$NN84=0),"",IF($MQ84=0,"−1 dado","−"&amp;INDEX($I$2:$N$8,MAX(1,$MQ84),MAX(1,$NS84))&amp;" · "&amp;CHOOSE(MAX(1,$NS84),"Leve","Média","Pesada","Leve · Livre","Média · Livre","Pesada · Livre")))</f>
        <v/>
      </c>
      <c r="QM84" s="155">
        <f>IF(OR($NB84=0,$NO84=0),"",IF($MQ84=0,"−1 dado","−"&amp;INDEX($I$2:$N$8,MAX(1,$MQ84),MAX(1,$NT84))&amp;" · "&amp;CHOOSE(MAX(1,$NT84),"Leve","Média","Pesada","Leve · Livre","Média · Livre","Pesada · Livre")))</f>
        <v/>
      </c>
      <c r="QN84" s="155">
        <f>IF(OR($NB84=0,$NP84=0),"",IF($MQ84=0,"−1 dado","−"&amp;INDEX($I$2:$N$8,MAX(1,$MQ84),MAX(1,$NU84))&amp;" · "&amp;CHOOSE(MAX(1,$NU84),"Leve","Média","Pesada","Leve · Livre","Média · Livre","Pesada · Livre")))</f>
        <v/>
      </c>
      <c r="QO84" s="155">
        <f>IF(OR($NB84=0,$MZ84=""),"",IF($MQ84=0,"não devolve","+"&amp;IF($OG84=1,CEILING($MQ84/2,1),$MQ84)))</f>
        <v/>
      </c>
      <c r="QP84" s="155">
        <f>IF(OR($NB84=0,$NA84=""),"",IF($MQ84=0,"não devolve","+"&amp;IF($OH84=1,CEILING($MQ84/2,1),$MQ84)))</f>
        <v/>
      </c>
    </row>
    <row r="85">
      <c r="ML85" s="153" t="inlineStr">
        <is>
          <t>Ficha 7 · Especial 4</t>
        </is>
      </c>
      <c r="MM85" s="155" t="n">
        <v>7</v>
      </c>
      <c r="MN85" s="155" t="n">
        <v>1</v>
      </c>
      <c r="MO85" s="155" t="n">
        <v>12</v>
      </c>
      <c r="MP85" s="153" t="inlineStr">
        <is>
          <t>ESPECIAL 4</t>
        </is>
      </c>
      <c r="MQ85" s="155">
        <f>MAX(1,MIN(7,N('INVOCAÇÕES'!$AN$92)))</f>
        <v/>
      </c>
      <c r="MR85" s="155">
        <f>'INVOCAÇÕES'!$AO$92&amp;""</f>
        <v/>
      </c>
      <c r="MS85" s="155">
        <f>'INVOCAÇÕES'!$AN$97&amp;""</f>
        <v/>
      </c>
      <c r="MT85" s="155">
        <f>'INVOCAÇÕES'!$AN$98&amp;""</f>
        <v/>
      </c>
      <c r="MU85" s="155">
        <f>'INVOCAÇÕES'!$AP$98&amp;""</f>
        <v/>
      </c>
      <c r="MV85" s="155">
        <f>'INVOCAÇÕES'!$AO$101&amp;""</f>
        <v/>
      </c>
      <c r="MW85" s="155">
        <f>'INVOCAÇÕES'!$AO$102&amp;""</f>
        <v/>
      </c>
      <c r="MX85" s="155">
        <f>'INVOCAÇÕES'!$AO$103&amp;""</f>
        <v/>
      </c>
      <c r="MY85" s="155">
        <f>'INVOCAÇÕES'!$AO$104&amp;""</f>
        <v/>
      </c>
      <c r="MZ85" s="155">
        <f>'INVOCAÇÕES'!$AO$105&amp;""</f>
        <v/>
      </c>
      <c r="NA85" s="155">
        <f>'INVOCAÇÕES'!$AO$106&amp;""</f>
        <v/>
      </c>
      <c r="NB85" s="155">
        <f>IF($MR85&lt;&gt;"",1,0)</f>
        <v/>
      </c>
      <c r="NC85" s="155">
        <f>INDEX($FM$2:$FM$13,$MM85)</f>
        <v/>
      </c>
      <c r="ND85" s="155">
        <f>INDEX($FN$2:$FN$13,$MM85)</f>
        <v/>
      </c>
      <c r="NE85" s="155">
        <f>INDEX($FO$2:$FO$13,$MM85)</f>
        <v/>
      </c>
      <c r="NF85" s="155">
        <f>INDEX($FZ$2:$FZ$13,$MM85)</f>
        <v/>
      </c>
      <c r="NG85" s="155">
        <f>INDEX($GA$2:$GA$13,$MM85)</f>
        <v/>
      </c>
      <c r="NH85" s="155">
        <f>IFERROR(MATCH($MS85,$V$2:$V$11,0),0)</f>
        <v/>
      </c>
      <c r="NI85" s="155">
        <f>IFERROR(VLOOKUP($MV85,$AV$2:$BA$84,2,FALSE),"")</f>
        <v/>
      </c>
      <c r="NJ85" s="155">
        <f>IFERROR(VLOOKUP($MW85,$AV$2:$BA$84,2,FALSE),"")</f>
        <v/>
      </c>
      <c r="NK85" s="155">
        <f>IFERROR(VLOOKUP($MX85,$AV$2:$BA$84,2,FALSE),"")</f>
        <v/>
      </c>
      <c r="NL85" s="155">
        <f>IFERROR(VLOOKUP($MY85,$AV$2:$BA$84,2,FALSE),"")</f>
        <v/>
      </c>
      <c r="NM85" s="155">
        <f>IFERROR(VLOOKUP($MV85,$AV$2:$BA$84,3,FALSE),0)</f>
        <v/>
      </c>
      <c r="NN85" s="155">
        <f>IFERROR(VLOOKUP($MW85,$AV$2:$BA$84,3,FALSE),0)</f>
        <v/>
      </c>
      <c r="NO85" s="155">
        <f>IFERROR(VLOOKUP($MX85,$AV$2:$BA$84,3,FALSE),0)</f>
        <v/>
      </c>
      <c r="NP85" s="155">
        <f>IFERROR(VLOOKUP($MY85,$AV$2:$BA$84,3,FALSE),0)</f>
        <v/>
      </c>
      <c r="NQ85" s="155">
        <f>IF($MQ85=0,0,IF($NH85=0,0,INDEX($X$2:$X$11,$NH85)))</f>
        <v/>
      </c>
      <c r="NR85" s="155">
        <f>IF(OR($NM85=0,$MQ85=0),0,$NM85+3*IF(AND($NI85&lt;&gt;"",OR($NI85=INDEX($EJ$2:$EJ$13,$MM85),$NI85=INDEX($EK$2:$EK$13,$MM85))),1,0))</f>
        <v/>
      </c>
      <c r="NS85" s="155">
        <f>IF(OR($NN85=0,$MQ85=0),0,$NN85+3*IF(AND($NJ85&lt;&gt;"",OR($NJ85=INDEX($EJ$2:$EJ$13,$MM85),$NJ85=INDEX($EK$2:$EK$13,$MM85))),1,0))</f>
        <v/>
      </c>
      <c r="NT85" s="155">
        <f>IF(OR($NO85=0,$MQ85=0),0,$NO85+3*IF(AND($NK85&lt;&gt;"",OR($NK85=INDEX($EJ$2:$EJ$13,$MM85),$NK85=INDEX($EK$2:$EK$13,$MM85))),1,0))</f>
        <v/>
      </c>
      <c r="NU85" s="155">
        <f>IF(OR($NP85=0,$MQ85=0),0,$NP85+3*IF(AND($NL85&lt;&gt;"",OR($NL85=INDEX($EJ$2:$EJ$13,$MM85),$NL85=INDEX($EK$2:$EK$13,$MM85))),1,0))</f>
        <v/>
      </c>
      <c r="NV85" s="155">
        <f>IF($NH85=0,0,IF(INDEX($W$2:$W$11,$NH85)="",0,IF(COUNTIF(INDEX($EJ$2:$EN$13,$MM85,0),INDEX($W$2:$W$11,$NH85))=0,1,0)))</f>
        <v/>
      </c>
      <c r="NW85" s="155">
        <f>IF(OR($NM85=0,$NI85=""),0,IF(COUNTIF(INDEX($EJ$2:$EN$13,$MM85,0),$NI85)=0,1,0))</f>
        <v/>
      </c>
      <c r="NX85" s="155">
        <f>IF(OR($NN85=0,$NJ85=""),0,IF(COUNTIF(INDEX($EJ$2:$EN$13,$MM85,0),$NJ85)=0,1,0))</f>
        <v/>
      </c>
      <c r="NY85" s="155">
        <f>IF(OR($NO85=0,$NK85=""),0,IF(COUNTIF(INDEX($EJ$2:$EN$13,$MM85,0),$NK85)=0,1,0))</f>
        <v/>
      </c>
      <c r="NZ85" s="155">
        <f>IF(OR($NP85=0,$NL85=""),0,IF(COUNTIF(INDEX($EJ$2:$EN$13,$MM85,0),$NL85)=0,1,0))</f>
        <v/>
      </c>
      <c r="OA85" s="155">
        <f>IFERROR(VLOOKUP($MV85,$AV$2:$BA$84,4,FALSE),0)+IFERROR(VLOOKUP($MW85,$AV$2:$BA$84,4,FALSE),0)+IFERROR(VLOOKUP($MX85,$AV$2:$BA$84,4,FALSE),0)+IFERROR(VLOOKUP($MY85,$AV$2:$BA$84,4,FALSE),0)</f>
        <v/>
      </c>
      <c r="OB85" s="155">
        <f>IFERROR(VLOOKUP($MV85,$AV$2:$BA$84,6,FALSE),0)+IFERROR(VLOOKUP($MW85,$AV$2:$BA$84,6,FALSE),0)+IFERROR(VLOOKUP($MX85,$AV$2:$BA$84,6,FALSE),0)+IFERROR(VLOOKUP($MY85,$AV$2:$BA$84,6,FALSE),0)</f>
        <v/>
      </c>
      <c r="OC85" s="155">
        <f>TEXTJOIN(", ",TRUE,IF(IFERROR(VLOOKUP($MV85,$AV$2:$BA$84,5,FALSE),0)=1,$MV85,""),IF(IFERROR(VLOOKUP($MW85,$AV$2:$BA$84,5,FALSE),0)=1,$MW85,""),IF(IFERROR(VLOOKUP($MX85,$AV$2:$BA$84,5,FALSE),0)=1,$MX85,""),IF(IFERROR(VLOOKUP($MY85,$AV$2:$BA$84,5,FALSE),0)=1,$MY85,""))</f>
        <v/>
      </c>
      <c r="OD85" s="155">
        <f>IF($NH85=0,0,INDEX($Y$2:$Y$11,$NH85))</f>
        <v/>
      </c>
      <c r="OE85" s="155">
        <f>IF($NH85=0,0,INDEX($Z$2:$Z$11,$NH85))</f>
        <v/>
      </c>
      <c r="OF85" s="155">
        <f>IF($NH85=0,0,INDEX($AB$2:$AB$11,$NH85))</f>
        <v/>
      </c>
      <c r="OG85" s="155">
        <f>IFERROR(VLOOKUP($MZ85,$BC$2:$BG$24,3,FALSE),0)</f>
        <v/>
      </c>
      <c r="OH85" s="155">
        <f>IFERROR(VLOOKUP($NA85,$BC$2:$BG$24,3,FALSE),0)</f>
        <v/>
      </c>
      <c r="OI85" s="155">
        <f>IFERROR(VLOOKUP($MZ85,$BC$2:$BG$24,2,FALSE),"")</f>
        <v/>
      </c>
      <c r="OJ85" s="155">
        <f>IFERROR(VLOOKUP($NA85,$BC$2:$BG$24,2,FALSE),"")</f>
        <v/>
      </c>
      <c r="OK85" s="155">
        <f>COUNTIF($NQ85:$NU85,1)</f>
        <v/>
      </c>
      <c r="OL85" s="155">
        <f>COUNTIF($NQ85:$NU85,2)</f>
        <v/>
      </c>
      <c r="OM85" s="155">
        <f>COUNTIF($NQ85:$NU85,3)</f>
        <v/>
      </c>
      <c r="ON85" s="155">
        <f>COUNTIF($NQ85:$NU85,4)</f>
        <v/>
      </c>
      <c r="OO85" s="155">
        <f>COUNTIF($NQ85:$NU85,5)</f>
        <v/>
      </c>
      <c r="OP85" s="155">
        <f>COUNTIF($NQ85:$NU85,6)</f>
        <v/>
      </c>
      <c r="OQ85" s="155">
        <f>COUNTIF($OG85:$OH85,1)</f>
        <v/>
      </c>
      <c r="OR85" s="155">
        <f>COUNTIF($OG85:$OH85,2)+$OD85</f>
        <v/>
      </c>
      <c r="OS85" s="155">
        <f>COUNTIF($MV85:$MY85,"?*")</f>
        <v/>
      </c>
      <c r="OT85" s="155">
        <f>COUNTIF($MZ85:$NA85,"?*")+$OD85</f>
        <v/>
      </c>
      <c r="OU85" s="155">
        <f>IF($MQ85=0,0,SUMPRODUCT($OK85:$OP85,INDEX($I$2:$N$8,MAX(1,$MQ85),0)))</f>
        <v/>
      </c>
      <c r="OV85" s="155">
        <f>IF($MQ85=0,0,$OQ85*CEILING($MQ85/2,1)+$OR85*$MQ85)</f>
        <v/>
      </c>
      <c r="OW85" s="155">
        <f>MIN(2*$MQ85,$OV85)</f>
        <v/>
      </c>
      <c r="OX85" s="155">
        <f>MIN($OW85,$OU85)</f>
        <v/>
      </c>
      <c r="OY85" s="155">
        <f>$OW85-$OX85</f>
        <v/>
      </c>
      <c r="OZ85" s="155">
        <f>IF($MQ85=0,0,INDEX($P$2:$P$8,MAX(1,$MQ85)))</f>
        <v/>
      </c>
      <c r="PA85" s="155">
        <f>$OZ85-$OU85+$OX85</f>
        <v/>
      </c>
      <c r="PB85" s="155">
        <f>IF($MQ85=0,MAX(0,$NE85-IF($OS85&gt;0,1,0)),MAX(0,$PA85))</f>
        <v/>
      </c>
      <c r="PC85" s="155">
        <f>IF($MQ85=0,0,(IF(COUNTIF($MV85:$MY85,"Salto")&gt;0,1,0)+IF(COUNTIF($MV85:$MY85,"Queima")&gt;0,1,0)+IF(COUNTIF($MV85:$MY85,"Estilhaço")&gt;0,1,0))*FLOOR($PB85/2,1))</f>
        <v/>
      </c>
      <c r="PD85" s="155">
        <f>MAX(0,2-SUMPRODUCT($OK85:$OP85,$I$2:$N$2)+MIN(2,$OQ85*1+$OR85*1,SUMPRODUCT($OK85:$OP85,$I$2:$N$2)))</f>
        <v/>
      </c>
      <c r="PE85" s="155">
        <f>MAX(0,4-SUMPRODUCT($OK85:$OP85,$I$3:$N$3)+MIN(4,$OQ85*1+$OR85*2,SUMPRODUCT($OK85:$OP85,$I$3:$N$3)))</f>
        <v/>
      </c>
      <c r="PF85" s="155">
        <f>MAX(0,6-SUMPRODUCT($OK85:$OP85,$I$4:$N$4)+MIN(6,$OQ85*2+$OR85*3,SUMPRODUCT($OK85:$OP85,$I$4:$N$4)))</f>
        <v/>
      </c>
      <c r="PG85" s="155">
        <f>MAX(0,9-SUMPRODUCT($OK85:$OP85,$I$5:$N$5)+MIN(8,$OQ85*2+$OR85*4,SUMPRODUCT($OK85:$OP85,$I$5:$N$5)))</f>
        <v/>
      </c>
      <c r="PH85" s="155">
        <f>MAX(0,11-SUMPRODUCT($OK85:$OP85,$I$6:$N$6)+MIN(10,$OQ85*3+$OR85*5,SUMPRODUCT($OK85:$OP85,$I$6:$N$6)))</f>
        <v/>
      </c>
      <c r="PI85" s="155">
        <f>MAX(0,13-SUMPRODUCT($OK85:$OP85,$I$7:$N$7)+MIN(12,$OQ85*3+$OR85*6,SUMPRODUCT($OK85:$OP85,$I$7:$N$7)))</f>
        <v/>
      </c>
      <c r="PJ85" s="155">
        <f>MAX(0,16-SUMPRODUCT($OK85:$OP85,$I$8:$N$8)+MIN(14,$OQ85*4+$OR85*7,SUMPRODUCT($OK85:$OP85,$I$8:$N$8)))</f>
        <v/>
      </c>
      <c r="PK85" s="155">
        <f>IF($OE85=2,3*$PD85&amp;" de vida temp.",IF($OE85=3,"sem dano",IF($PD85=0,IF($OE85=1,"sem cura","sem dano"),IF($OE85=1,"cura ","")&amp;$PD85&amp;"d8")))</f>
        <v/>
      </c>
      <c r="PL85" s="155">
        <f>IF($OE85=2,3*$PE85&amp;" de vida temp.",IF($OE85=3,"sem dano",IF($PE85=0,IF($OE85=1,"sem cura","sem dano"),IF($OE85=1,"cura ","")&amp;$PE85&amp;"d8")))</f>
        <v/>
      </c>
      <c r="PM85" s="155">
        <f>IF($OE85=2,3*$PF85&amp;" de vida temp.",IF($OE85=3,"sem dano",IF($PF85=0,IF($OE85=1,"sem cura","sem dano"),IF($OE85=1,"cura ","")&amp;$PF85&amp;"d8")))</f>
        <v/>
      </c>
      <c r="PN85" s="155">
        <f>IF($OE85=2,3*$PG85&amp;" de vida temp.",IF($OE85=3,"sem dano",IF($PG85=0,IF($OE85=1,"sem cura","sem dano"),IF($OE85=1,"cura ","")&amp;$PG85&amp;"d8")))</f>
        <v/>
      </c>
      <c r="PO85" s="155">
        <f>IF($OE85=2,3*$PH85&amp;" de vida temp.",IF($OE85=3,"sem dano",IF($PH85=0,IF($OE85=1,"sem cura","sem dano"),IF($OE85=1,"cura ","")&amp;$PH85&amp;"d8")))</f>
        <v/>
      </c>
      <c r="PP85" s="155">
        <f>IF($OE85=2,3*$PI85&amp;" de vida temp.",IF($OE85=3,"sem dano",IF($PI85=0,IF($OE85=1,"sem cura","sem dano"),IF($OE85=1,"cura ","")&amp;$PI85&amp;"d8")))</f>
        <v/>
      </c>
      <c r="PQ85" s="155">
        <f>IF($OE85=2,3*$PJ85&amp;" de vida temp.",IF($OE85=3,"sem dano",IF($PJ85=0,IF($OE85=1,"sem cura","sem dano"),IF($OE85=1,"cura ","")&amp;$PJ85&amp;"d8")))</f>
        <v/>
      </c>
      <c r="PR85" s="155">
        <f>IF($NB85=0,"",TEXTJOIN(" · ",TRUE,IF($MO85&gt;$NC85,"Este lugar abre no nível "&amp;$MO85,""),IF($MQ85&gt;$ND85,"Classe "&amp;$MQ85&amp;": o nível "&amp;$NC85&amp;" libera até a "&amp;$ND85,""),IF($NV85=1,"A Forma "&amp;$MS85&amp;" pede "&amp;INDEX($W$2:$W$11,$NH85)&amp;" aberta",""),IF(AND($MQ85=0,$NH85&gt;0,IF($NH85=0,0,INDEX($AF$2:$AF$11,$NH85))=0),$MS85&amp;" não existe na Classe 0",""),IF($NW85=1,"Família Fechada: "&amp;$MV85,""),IF($NX85=1,"Família Fechada: "&amp;$MW85,""),IF($NY85=1,"Família Fechada: "&amp;$MX85,""),IF($NZ85=1,"Família Fechada: "&amp;$MY85,""),IF(AND($MQ85&gt;0,$OS85&gt;INDEX($O$2:$O$8,MAX(1,$MQ85))),$OS85&amp;" Melhorias: a Classe "&amp;$MQ85&amp;" aceita "&amp;INDEX($O$2:$O$8,MAX(1,$MQ85)),""),IF(AND($MQ85=0,$OS85&gt;1),"A básica aceita uma Melhoria",""),IF(AND($MQ85=0,COUNTIF($NM85:$NP85,"&gt;1")&gt;0),"A básica só aceita Melhoria Leve",""),IF(AND($MQ85&gt;0,$OT85&gt;2),$OT85&amp;" Restrições"&amp;IF($OD85=1,", contando a que a Forma "&amp;$MS85&amp;" já traz","")&amp;": o limite é 2",""),IF(AND($MQ85=0,COUNTIF($MZ85:$NA85,"?*")&gt;1),"A básica aceita uma Restrição Leve",""),IF(AND($MQ85=0,COUNTIF($OG85:$OH85,2)&gt;0),"A básica só aceita Restrição Leve",""),IF(AND($MQ85&gt;0,$PA85&lt;0),"Orçamento estourado: faltam "&amp;(-$PA85)&amp;IF($PA85&lt;-1," pontos"," ponto"),""),IF(IFERROR(VLOOKUP($MZ85,$BC$2:$BG$24,4,FALSE),0)+IFERROR(VLOOKUP($NA85,$BC$2:$BG$24,4,FALSE),0)&gt;1,$OI85&amp;" e "&amp;$OJ85&amp;" são as duas de frequência",""),IF(AND((COUNTIF($MV85:$MY85,"Rápido")+COUNTIF($OI85:$OJ85,"Rápido"))&gt;0,(COUNTIF($MV85:$MY85,"Atrasar")+COUNTIF($OI85:$OJ85,"Atrasar"))&gt;0),"Rápido não entra com Atrasar",""),IF(AND((COUNTIF($MV85:$MY85,"Reação")+COUNTIF($OI85:$OJ85,"Reação"))&gt;0,(COUNTIF($MV85:$MY85,"Rápido")+COUNTIF($OI85:$OJ85,"Rápido"))&gt;0),"Reação não entra com Rápido",""),IF(AND((COUNTIF($MV85:$MY85,"Reação")+COUNTIF($OI85:$OJ85,"Reação"))&gt;0,(COUNTIF($MV85:$MY85,"Armado")+COUNTIF($OI85:$OJ85,"Armado"))&gt;0),"Reação não entra com Armado",""),IF(AND((COUNTIF($MV85:$MY85,"Reação")+COUNTIF($OI85:$OJ85,"Reação"))&gt;0,(COUNTIF($MV85:$MY85,"Atrasar")+COUNTIF($OI85:$OJ85,"Atrasar"))&gt;0),"Reação não entra com Atrasar",""),IF(AND((COUNTIF($MV85:$MY85,"Reação")+COUNTIF($OI85:$OJ85,"Reação"))&gt;0,(COUNTIF($MV85:$MY85,"Parado")+COUNTIF($OI85:$OJ85,"Parado"))&gt;0),"Reação não entra com Parado",""),IF(AND((COUNTIF($MV85:$MY85,"Atrasar")+COUNTIF($OI85:$OJ85,"Atrasar"))&gt;0,(COUNTIF($MV85:$MY85,"Parado")+COUNTIF($OI85:$OJ85,"Parado"))&gt;0),"Atrasar não entra com Parado",""),IF(AND((COUNTIF($MV85:$MY85,"Armado")+COUNTIF($OI85:$OJ85,"Armado"))&gt;0,(COUNTIF($MV85:$MY85,"Carregar")+COUNTIF($OI85:$OJ85,"Carregar"))&gt;0),"Armado não entra com Carregar",""),IF(AND(COUNTIF($OI85:$OJ85,"Corpo a Corpo")&gt;0,$OD85=0,OR($MS85="Cone",$MS85="Linha")),"Corpo a Corpo não entra em "&amp;$MS85,""),IF(AND(COUNTIF($OI85:$OJ85,"Corpo a Corpo")&gt;0,$OD85=1),"A Forma "&amp;$MS85&amp;" já traz o Corpo a Corpo",""),IF(AND(COUNTIF($OI85:$OJ85,"Tudo ou Nada")&gt;0,$OF85=0),"Tudo ou Nada só entra em habilidade de Teste de Resistência",""),IF(AND(COUNTIF($MV85:$MY85,"Inescapável")&gt;0,OR($OS85&gt;1,$OT85&gt;0)),"Inescapável não aceita outra peça",""),IF(AND($MQ85&gt;0,$PB85*IF(COUNTIF($MV85:$MY85,"Remate")&gt;0,1.25,1)+$PC85&gt;4*$MQ85),($PB85*IF(COUNTIF($MV85:$MY85,"Remate")&gt;0,1.25,1)+$PC85)&amp;" dados somando repetições"&amp;IF(COUNTIF($MV85:$MY85,"Remate")&gt;0," e o Remate","")&amp;": o teto da Classe "&amp;$MQ85&amp;" é "&amp;4*$MQ85,"")))</f>
        <v/>
      </c>
      <c r="PS85" s="155">
        <f>IF($PR85="",0,(LEN($PR85)-LEN(SUBSTITUTE($PR85," · ","")))/3+1)</f>
        <v/>
      </c>
      <c r="PT85" s="155">
        <f>IF($NB85=0,"",TEXTJOIN(" · ",TRUE,IF($OV85&gt;2*$MQ85,"A devolução parou no teto de "&amp;2*$MQ85,""),IF($OY85&gt;0,"Devolução perdida: "&amp;$OY85&amp;IF($OY85&gt;1," pontos"," ponto")&amp;" sem peça para pagar",""),IF(AND($OA85&gt;0,AND($MQ85&gt;0,$OE85=0),$PB85=0),"Controle sem dano: uma rodada a mais e CD +2",""),IF(AND($OA85&gt;0,AND($MQ85&gt;0,$OE85=0),$PB85&gt;0,$PB85&lt;=$MQ85),"Controle com saldo até a Classe: uma rodada a mais",""),IF(AND($MQ85&gt;0,$OC85&lt;&gt;""),"Efeito de "&amp;$OC85&amp;" pela Classe "&amp;MAX(1,$MQ85-1),"")))</f>
        <v/>
      </c>
      <c r="PU85" s="155">
        <f>IF($PT85="",0,(LEN($PT85)-LEN(SUBSTITUTE($PT85," · ","")))/3+1)</f>
        <v/>
      </c>
      <c r="PV85" s="155">
        <f>IF($NB85=0,IF($OS85+COUNTIF($MZ85:$NA85,"?*")&gt;0,"Dê um nome",""),IF($PS85&gt;0,"⚠ "&amp;$PS85&amp;IF($PS85&gt;1," erros"," erro"),IF($PU85&gt;0,"! "&amp;$PU85&amp;IF($PU85&gt;1," avisos"," aviso"),"Na regra")))</f>
        <v/>
      </c>
      <c r="PW85" s="155">
        <f>IF($NB85=0,"",IF($PS85+$PU85=0,"Dentro das regras que a ficha confere",$PR85&amp;IF(AND($PS85&gt;0,$PU85&gt;0)," · ","")&amp;$PT85))</f>
        <v/>
      </c>
      <c r="PX85" s="155">
        <f>IF($MO85&gt;$NC85,$MP85&amp;" · ABRE NO NÍVEL "&amp;$MO85,$MP85)</f>
        <v/>
      </c>
      <c r="PY85" s="155">
        <f>IF($NB85=0,"",IF($MQ85=0,"Sem PE",3*$MQ85&amp;" PE"))</f>
        <v/>
      </c>
      <c r="PZ85" s="155">
        <f>IF($NB85=0,"",IF($MQ85=0,"A atuação básica dela",IF(COUNTIF($OI85:$OJ85,"Atrasar")&gt;0,"Sua Ação Completa",IF(COUNTIF($MV85:$MY85,"Rápido")&gt;0,"Sua Bônus",IF(COUNTIF($MV85:$MY85,"Reação")&gt;0,"Sua Reação","Sua Padrão")))&amp;" + a básica dela"&amp;IF(COUNTIF($MV85:$MY85,"Reação")&gt;0," e a coletiva","")&amp;IF(COUNTIF($OI85:$OJ85,"Carregar")&gt;0," · em dois turnos","")))</f>
        <v/>
      </c>
      <c r="QA85" s="155">
        <f>IF($MU85&lt;&gt;"",$MU85,IF($NH85=0,"",INDEX($AA$2:$AA$11,$NH85)))</f>
        <v/>
      </c>
      <c r="QB85" s="155">
        <f>IF(OR($NB85=0,$NH85=0),"",IF(COUNTIF($MV85:$MY85,"Inescapável")&gt;0,"Automático",IF($QA85="Ataque",IF($NF85="","Ataque","Ataque "&amp;IF(($NF85+2*IF(COUNTIF($MV85:$MY85,"Precisão")&gt;0,1,0))&gt;=0,"+","−")&amp;ABS(($NF85+2*IF(COUNTIF($MV85:$MY85,"Precisão")&gt;0,1,0))))&amp;IF($OB85&gt;0," · TR"&amp;IF($NG85="",""," CD "&amp;$NG85),""),IF(LEFT($QA85,2)="TR",$QA85&amp;IF($NG85="",""," · CD "&amp;$NG85)&amp;IF(COUNTIF($MV85:$MY85,"Certeiro")&gt;0," · metade",""),"Sem rolagem"))))</f>
        <v/>
      </c>
      <c r="QC85" s="155">
        <f>IF(OR($NB85=0,$NH85=0),"",IF($MQ85=0,IF(OR($OE85&gt;=1,$PB85=0),"Sem dano",$PB85&amp;"d6"&amp;IF($MT85="",""," "&amp;$MT85)),IF(OR($OE85&gt;=1,$PB85=0),UPPER(LEFT(INDEX($PK85:$PQ85,1,MAX(1,$MQ85)),1))&amp;MID(INDEX($PK85:$PQ85,1,MAX(1,$MQ85)),2,99),UPPER(LEFT(INDEX($PK85:$PQ85,1,MAX(1,$MQ85)),1))&amp;MID(INDEX($PK85:$PQ85,1,MAX(1,$MQ85)),2,99)&amp;IF($MT85="",""," "&amp;$MT85)&amp;IF($PC85&gt;0," · +"&amp;$PC85&amp;"d8",""))))</f>
        <v/>
      </c>
      <c r="QD85" s="155">
        <f>COUNTIF($MV85:$MY85,"Longe")+3*COUNTIF($MV85:$MY85,"Muito Longe")</f>
        <v/>
      </c>
      <c r="QE85" s="155">
        <f>COUNTIF($MV85:$MY85,"Maior")+3*COUNTIF($MV85:$MY85,"Muito Maior")</f>
        <v/>
      </c>
      <c r="QF85" s="155">
        <f>IF($NH85=0,0,CHOOSE(1+INDEX($AC$2:$AC$11,$NH85),0,$QD85,$QE85,$QD85+$QE85))</f>
        <v/>
      </c>
      <c r="QG85" s="155">
        <f>IF($NH85=0,0,CHOOSE(1+INDEX($AD$2:$AD$11,$NH85),0,$QD85,$QE85,$QD85+$QE85))</f>
        <v/>
      </c>
      <c r="QH85" s="155">
        <f>IF(OR($NB85=0,$NH85=0),"",INDEX($AI$2:$AN$41,($NH85-1)*4+IF($MQ85=0,1,IF($MQ85&lt;=5,2,IF($MQ85=6,3,4))),1+MIN(5,$QF85))&amp;INDEX($AO$2:$AT$41,($NH85-1)*4+IF($MQ85=0,1,IF($MQ85&lt;=5,2,IF($MQ85=6,3,4))),1+MIN(5,$QG85))&amp;IF(INDEX($AE$2:$AE$11,$NH85)=1,IF(COUNTIF($MV85:$MY85,"Mais Um")&gt;0," · +"&amp;COUNTIF($MV85:$MY85,"Mais Um")&amp;IF(COUNTIF($MV85:$MY85,"Mais Um")&gt;1," alvos"," alvo"),"")&amp;IF(COUNTIF($MV85:$MY85,"Rajada")&gt;0,IF($MQ85=0," · 1 tiro"," · "&amp;(MAX(1,$MQ85-1)+1)&amp;" tiros"),""),""))</f>
        <v/>
      </c>
      <c r="QI85" s="155">
        <f>IF($NB85=0,"",IF($MQ85=0,$NE85&amp;"d6"&amp;IF($OS85&gt;0," − 1 = "&amp;$PB85&amp;"d6"," da básica do nível "&amp;$NC85),$OZ85&amp;" − "&amp;$OU85&amp;" + "&amp;$OX85&amp;" = "&amp;$PA85&amp;" · teto "&amp;4*$MQ85&amp;"d8"&amp;IF($OD85=1," · a Forma devolve "&amp;$MQ85,"")&amp;IF($OY85&gt;0," · perde "&amp;$OY85,"")))</f>
        <v/>
      </c>
      <c r="QJ85" s="155">
        <f>IF($NB85=0,"",IF($MQ85=0,"A básica não amplia: os dados dela sobem com o nível",IF($MQ85&gt;=$ND85,"Já está na maior Classe que o nível liberou",TEXTJOIN(" · ",TRUE,IF(AND(2&gt;$MQ85,2&lt;=$ND85),"2 → "&amp;$PL85&amp;", 6 PE",""),IF(AND(3&gt;$MQ85,3&lt;=$ND85),"3 → "&amp;$PM85&amp;", 9 PE",""),IF(AND(4&gt;$MQ85,4&lt;=$ND85),"4 → "&amp;$PN85&amp;", 12 PE",""),IF(AND(5&gt;$MQ85,5&lt;=$ND85),"5 → "&amp;$PO85&amp;", 15 PE",""),IF(AND(6&gt;$MQ85,6&lt;=$ND85),"6 → "&amp;$PP85&amp;", 18 PE",""),IF(AND(7&gt;$MQ85,7&lt;=$ND85),"7 → "&amp;$PQ85&amp;", 21 PE","")))))</f>
        <v/>
      </c>
      <c r="QK85" s="155">
        <f>IF(OR($NB85=0,$NM85=0),"",IF($MQ85=0,"−1 dado","−"&amp;INDEX($I$2:$N$8,MAX(1,$MQ85),MAX(1,$NR85))&amp;" · "&amp;CHOOSE(MAX(1,$NR85),"Leve","Média","Pesada","Leve · Livre","Média · Livre","Pesada · Livre")))</f>
        <v/>
      </c>
      <c r="QL85" s="155">
        <f>IF(OR($NB85=0,$NN85=0),"",IF($MQ85=0,"−1 dado","−"&amp;INDEX($I$2:$N$8,MAX(1,$MQ85),MAX(1,$NS85))&amp;" · "&amp;CHOOSE(MAX(1,$NS85),"Leve","Média","Pesada","Leve · Livre","Média · Livre","Pesada · Livre")))</f>
        <v/>
      </c>
      <c r="QM85" s="155">
        <f>IF(OR($NB85=0,$NO85=0),"",IF($MQ85=0,"−1 dado","−"&amp;INDEX($I$2:$N$8,MAX(1,$MQ85),MAX(1,$NT85))&amp;" · "&amp;CHOOSE(MAX(1,$NT85),"Leve","Média","Pesada","Leve · Livre","Média · Livre","Pesada · Livre")))</f>
        <v/>
      </c>
      <c r="QN85" s="155">
        <f>IF(OR($NB85=0,$NP85=0),"",IF($MQ85=0,"−1 dado","−"&amp;INDEX($I$2:$N$8,MAX(1,$MQ85),MAX(1,$NU85))&amp;" · "&amp;CHOOSE(MAX(1,$NU85),"Leve","Média","Pesada","Leve · Livre","Média · Livre","Pesada · Livre")))</f>
        <v/>
      </c>
      <c r="QO85" s="155">
        <f>IF(OR($NB85=0,$MZ85=""),"",IF($MQ85=0,"não devolve","+"&amp;IF($OG85=1,CEILING($MQ85/2,1),$MQ85)))</f>
        <v/>
      </c>
      <c r="QP85" s="155">
        <f>IF(OR($NB85=0,$NA85=""),"",IF($MQ85=0,"não devolve","+"&amp;IF($OH85=1,CEILING($MQ85/2,1),$MQ85)))</f>
        <v/>
      </c>
    </row>
    <row r="86">
      <c r="ML86" s="153" t="inlineStr">
        <is>
          <t>Ficha 7 · Especial 5</t>
        </is>
      </c>
      <c r="MM86" s="155" t="n">
        <v>7</v>
      </c>
      <c r="MN86" s="155" t="n">
        <v>1</v>
      </c>
      <c r="MO86" s="155" t="n">
        <v>16</v>
      </c>
      <c r="MP86" s="153" t="inlineStr">
        <is>
          <t>ESPECIAL 5</t>
        </is>
      </c>
      <c r="MQ86" s="155">
        <f>MAX(1,MIN(7,N('INVOCAÇÕES'!$AB$114)))</f>
        <v/>
      </c>
      <c r="MR86" s="155">
        <f>'INVOCAÇÕES'!$AC$114&amp;""</f>
        <v/>
      </c>
      <c r="MS86" s="155">
        <f>'INVOCAÇÕES'!$AB$119&amp;""</f>
        <v/>
      </c>
      <c r="MT86" s="155">
        <f>'INVOCAÇÕES'!$AB$120&amp;""</f>
        <v/>
      </c>
      <c r="MU86" s="155">
        <f>'INVOCAÇÕES'!$AD$120&amp;""</f>
        <v/>
      </c>
      <c r="MV86" s="155">
        <f>'INVOCAÇÕES'!$AC$123&amp;""</f>
        <v/>
      </c>
      <c r="MW86" s="155">
        <f>'INVOCAÇÕES'!$AC$124&amp;""</f>
        <v/>
      </c>
      <c r="MX86" s="155">
        <f>'INVOCAÇÕES'!$AC$125&amp;""</f>
        <v/>
      </c>
      <c r="MY86" s="155">
        <f>'INVOCAÇÕES'!$AC$126&amp;""</f>
        <v/>
      </c>
      <c r="MZ86" s="155">
        <f>'INVOCAÇÕES'!$AC$127&amp;""</f>
        <v/>
      </c>
      <c r="NA86" s="155">
        <f>'INVOCAÇÕES'!$AC$128&amp;""</f>
        <v/>
      </c>
      <c r="NB86" s="155">
        <f>IF($MR86&lt;&gt;"",1,0)</f>
        <v/>
      </c>
      <c r="NC86" s="155">
        <f>INDEX($FM$2:$FM$13,$MM86)</f>
        <v/>
      </c>
      <c r="ND86" s="155">
        <f>INDEX($FN$2:$FN$13,$MM86)</f>
        <v/>
      </c>
      <c r="NE86" s="155">
        <f>INDEX($FO$2:$FO$13,$MM86)</f>
        <v/>
      </c>
      <c r="NF86" s="155">
        <f>INDEX($FZ$2:$FZ$13,$MM86)</f>
        <v/>
      </c>
      <c r="NG86" s="155">
        <f>INDEX($GA$2:$GA$13,$MM86)</f>
        <v/>
      </c>
      <c r="NH86" s="155">
        <f>IFERROR(MATCH($MS86,$V$2:$V$11,0),0)</f>
        <v/>
      </c>
      <c r="NI86" s="155">
        <f>IFERROR(VLOOKUP($MV86,$AV$2:$BA$84,2,FALSE),"")</f>
        <v/>
      </c>
      <c r="NJ86" s="155">
        <f>IFERROR(VLOOKUP($MW86,$AV$2:$BA$84,2,FALSE),"")</f>
        <v/>
      </c>
      <c r="NK86" s="155">
        <f>IFERROR(VLOOKUP($MX86,$AV$2:$BA$84,2,FALSE),"")</f>
        <v/>
      </c>
      <c r="NL86" s="155">
        <f>IFERROR(VLOOKUP($MY86,$AV$2:$BA$84,2,FALSE),"")</f>
        <v/>
      </c>
      <c r="NM86" s="155">
        <f>IFERROR(VLOOKUP($MV86,$AV$2:$BA$84,3,FALSE),0)</f>
        <v/>
      </c>
      <c r="NN86" s="155">
        <f>IFERROR(VLOOKUP($MW86,$AV$2:$BA$84,3,FALSE),0)</f>
        <v/>
      </c>
      <c r="NO86" s="155">
        <f>IFERROR(VLOOKUP($MX86,$AV$2:$BA$84,3,FALSE),0)</f>
        <v/>
      </c>
      <c r="NP86" s="155">
        <f>IFERROR(VLOOKUP($MY86,$AV$2:$BA$84,3,FALSE),0)</f>
        <v/>
      </c>
      <c r="NQ86" s="155">
        <f>IF($MQ86=0,0,IF($NH86=0,0,INDEX($X$2:$X$11,$NH86)))</f>
        <v/>
      </c>
      <c r="NR86" s="155">
        <f>IF(OR($NM86=0,$MQ86=0),0,$NM86+3*IF(AND($NI86&lt;&gt;"",OR($NI86=INDEX($EJ$2:$EJ$13,$MM86),$NI86=INDEX($EK$2:$EK$13,$MM86))),1,0))</f>
        <v/>
      </c>
      <c r="NS86" s="155">
        <f>IF(OR($NN86=0,$MQ86=0),0,$NN86+3*IF(AND($NJ86&lt;&gt;"",OR($NJ86=INDEX($EJ$2:$EJ$13,$MM86),$NJ86=INDEX($EK$2:$EK$13,$MM86))),1,0))</f>
        <v/>
      </c>
      <c r="NT86" s="155">
        <f>IF(OR($NO86=0,$MQ86=0),0,$NO86+3*IF(AND($NK86&lt;&gt;"",OR($NK86=INDEX($EJ$2:$EJ$13,$MM86),$NK86=INDEX($EK$2:$EK$13,$MM86))),1,0))</f>
        <v/>
      </c>
      <c r="NU86" s="155">
        <f>IF(OR($NP86=0,$MQ86=0),0,$NP86+3*IF(AND($NL86&lt;&gt;"",OR($NL86=INDEX($EJ$2:$EJ$13,$MM86),$NL86=INDEX($EK$2:$EK$13,$MM86))),1,0))</f>
        <v/>
      </c>
      <c r="NV86" s="155">
        <f>IF($NH86=0,0,IF(INDEX($W$2:$W$11,$NH86)="",0,IF(COUNTIF(INDEX($EJ$2:$EN$13,$MM86,0),INDEX($W$2:$W$11,$NH86))=0,1,0)))</f>
        <v/>
      </c>
      <c r="NW86" s="155">
        <f>IF(OR($NM86=0,$NI86=""),0,IF(COUNTIF(INDEX($EJ$2:$EN$13,$MM86,0),$NI86)=0,1,0))</f>
        <v/>
      </c>
      <c r="NX86" s="155">
        <f>IF(OR($NN86=0,$NJ86=""),0,IF(COUNTIF(INDEX($EJ$2:$EN$13,$MM86,0),$NJ86)=0,1,0))</f>
        <v/>
      </c>
      <c r="NY86" s="155">
        <f>IF(OR($NO86=0,$NK86=""),0,IF(COUNTIF(INDEX($EJ$2:$EN$13,$MM86,0),$NK86)=0,1,0))</f>
        <v/>
      </c>
      <c r="NZ86" s="155">
        <f>IF(OR($NP86=0,$NL86=""),0,IF(COUNTIF(INDEX($EJ$2:$EN$13,$MM86,0),$NL86)=0,1,0))</f>
        <v/>
      </c>
      <c r="OA86" s="155">
        <f>IFERROR(VLOOKUP($MV86,$AV$2:$BA$84,4,FALSE),0)+IFERROR(VLOOKUP($MW86,$AV$2:$BA$84,4,FALSE),0)+IFERROR(VLOOKUP($MX86,$AV$2:$BA$84,4,FALSE),0)+IFERROR(VLOOKUP($MY86,$AV$2:$BA$84,4,FALSE),0)</f>
        <v/>
      </c>
      <c r="OB86" s="155">
        <f>IFERROR(VLOOKUP($MV86,$AV$2:$BA$84,6,FALSE),0)+IFERROR(VLOOKUP($MW86,$AV$2:$BA$84,6,FALSE),0)+IFERROR(VLOOKUP($MX86,$AV$2:$BA$84,6,FALSE),0)+IFERROR(VLOOKUP($MY86,$AV$2:$BA$84,6,FALSE),0)</f>
        <v/>
      </c>
      <c r="OC86" s="155">
        <f>TEXTJOIN(", ",TRUE,IF(IFERROR(VLOOKUP($MV86,$AV$2:$BA$84,5,FALSE),0)=1,$MV86,""),IF(IFERROR(VLOOKUP($MW86,$AV$2:$BA$84,5,FALSE),0)=1,$MW86,""),IF(IFERROR(VLOOKUP($MX86,$AV$2:$BA$84,5,FALSE),0)=1,$MX86,""),IF(IFERROR(VLOOKUP($MY86,$AV$2:$BA$84,5,FALSE),0)=1,$MY86,""))</f>
        <v/>
      </c>
      <c r="OD86" s="155">
        <f>IF($NH86=0,0,INDEX($Y$2:$Y$11,$NH86))</f>
        <v/>
      </c>
      <c r="OE86" s="155">
        <f>IF($NH86=0,0,INDEX($Z$2:$Z$11,$NH86))</f>
        <v/>
      </c>
      <c r="OF86" s="155">
        <f>IF($NH86=0,0,INDEX($AB$2:$AB$11,$NH86))</f>
        <v/>
      </c>
      <c r="OG86" s="155">
        <f>IFERROR(VLOOKUP($MZ86,$BC$2:$BG$24,3,FALSE),0)</f>
        <v/>
      </c>
      <c r="OH86" s="155">
        <f>IFERROR(VLOOKUP($NA86,$BC$2:$BG$24,3,FALSE),0)</f>
        <v/>
      </c>
      <c r="OI86" s="155">
        <f>IFERROR(VLOOKUP($MZ86,$BC$2:$BG$24,2,FALSE),"")</f>
        <v/>
      </c>
      <c r="OJ86" s="155">
        <f>IFERROR(VLOOKUP($NA86,$BC$2:$BG$24,2,FALSE),"")</f>
        <v/>
      </c>
      <c r="OK86" s="155">
        <f>COUNTIF($NQ86:$NU86,1)</f>
        <v/>
      </c>
      <c r="OL86" s="155">
        <f>COUNTIF($NQ86:$NU86,2)</f>
        <v/>
      </c>
      <c r="OM86" s="155">
        <f>COUNTIF($NQ86:$NU86,3)</f>
        <v/>
      </c>
      <c r="ON86" s="155">
        <f>COUNTIF($NQ86:$NU86,4)</f>
        <v/>
      </c>
      <c r="OO86" s="155">
        <f>COUNTIF($NQ86:$NU86,5)</f>
        <v/>
      </c>
      <c r="OP86" s="155">
        <f>COUNTIF($NQ86:$NU86,6)</f>
        <v/>
      </c>
      <c r="OQ86" s="155">
        <f>COUNTIF($OG86:$OH86,1)</f>
        <v/>
      </c>
      <c r="OR86" s="155">
        <f>COUNTIF($OG86:$OH86,2)+$OD86</f>
        <v/>
      </c>
      <c r="OS86" s="155">
        <f>COUNTIF($MV86:$MY86,"?*")</f>
        <v/>
      </c>
      <c r="OT86" s="155">
        <f>COUNTIF($MZ86:$NA86,"?*")+$OD86</f>
        <v/>
      </c>
      <c r="OU86" s="155">
        <f>IF($MQ86=0,0,SUMPRODUCT($OK86:$OP86,INDEX($I$2:$N$8,MAX(1,$MQ86),0)))</f>
        <v/>
      </c>
      <c r="OV86" s="155">
        <f>IF($MQ86=0,0,$OQ86*CEILING($MQ86/2,1)+$OR86*$MQ86)</f>
        <v/>
      </c>
      <c r="OW86" s="155">
        <f>MIN(2*$MQ86,$OV86)</f>
        <v/>
      </c>
      <c r="OX86" s="155">
        <f>MIN($OW86,$OU86)</f>
        <v/>
      </c>
      <c r="OY86" s="155">
        <f>$OW86-$OX86</f>
        <v/>
      </c>
      <c r="OZ86" s="155">
        <f>IF($MQ86=0,0,INDEX($P$2:$P$8,MAX(1,$MQ86)))</f>
        <v/>
      </c>
      <c r="PA86" s="155">
        <f>$OZ86-$OU86+$OX86</f>
        <v/>
      </c>
      <c r="PB86" s="155">
        <f>IF($MQ86=0,MAX(0,$NE86-IF($OS86&gt;0,1,0)),MAX(0,$PA86))</f>
        <v/>
      </c>
      <c r="PC86" s="155">
        <f>IF($MQ86=0,0,(IF(COUNTIF($MV86:$MY86,"Salto")&gt;0,1,0)+IF(COUNTIF($MV86:$MY86,"Queima")&gt;0,1,0)+IF(COUNTIF($MV86:$MY86,"Estilhaço")&gt;0,1,0))*FLOOR($PB86/2,1))</f>
        <v/>
      </c>
      <c r="PD86" s="155">
        <f>MAX(0,2-SUMPRODUCT($OK86:$OP86,$I$2:$N$2)+MIN(2,$OQ86*1+$OR86*1,SUMPRODUCT($OK86:$OP86,$I$2:$N$2)))</f>
        <v/>
      </c>
      <c r="PE86" s="155">
        <f>MAX(0,4-SUMPRODUCT($OK86:$OP86,$I$3:$N$3)+MIN(4,$OQ86*1+$OR86*2,SUMPRODUCT($OK86:$OP86,$I$3:$N$3)))</f>
        <v/>
      </c>
      <c r="PF86" s="155">
        <f>MAX(0,6-SUMPRODUCT($OK86:$OP86,$I$4:$N$4)+MIN(6,$OQ86*2+$OR86*3,SUMPRODUCT($OK86:$OP86,$I$4:$N$4)))</f>
        <v/>
      </c>
      <c r="PG86" s="155">
        <f>MAX(0,9-SUMPRODUCT($OK86:$OP86,$I$5:$N$5)+MIN(8,$OQ86*2+$OR86*4,SUMPRODUCT($OK86:$OP86,$I$5:$N$5)))</f>
        <v/>
      </c>
      <c r="PH86" s="155">
        <f>MAX(0,11-SUMPRODUCT($OK86:$OP86,$I$6:$N$6)+MIN(10,$OQ86*3+$OR86*5,SUMPRODUCT($OK86:$OP86,$I$6:$N$6)))</f>
        <v/>
      </c>
      <c r="PI86" s="155">
        <f>MAX(0,13-SUMPRODUCT($OK86:$OP86,$I$7:$N$7)+MIN(12,$OQ86*3+$OR86*6,SUMPRODUCT($OK86:$OP86,$I$7:$N$7)))</f>
        <v/>
      </c>
      <c r="PJ86" s="155">
        <f>MAX(0,16-SUMPRODUCT($OK86:$OP86,$I$8:$N$8)+MIN(14,$OQ86*4+$OR86*7,SUMPRODUCT($OK86:$OP86,$I$8:$N$8)))</f>
        <v/>
      </c>
      <c r="PK86" s="155">
        <f>IF($OE86=2,3*$PD86&amp;" de vida temp.",IF($OE86=3,"sem dano",IF($PD86=0,IF($OE86=1,"sem cura","sem dano"),IF($OE86=1,"cura ","")&amp;$PD86&amp;"d8")))</f>
        <v/>
      </c>
      <c r="PL86" s="155">
        <f>IF($OE86=2,3*$PE86&amp;" de vida temp.",IF($OE86=3,"sem dano",IF($PE86=0,IF($OE86=1,"sem cura","sem dano"),IF($OE86=1,"cura ","")&amp;$PE86&amp;"d8")))</f>
        <v/>
      </c>
      <c r="PM86" s="155">
        <f>IF($OE86=2,3*$PF86&amp;" de vida temp.",IF($OE86=3,"sem dano",IF($PF86=0,IF($OE86=1,"sem cura","sem dano"),IF($OE86=1,"cura ","")&amp;$PF86&amp;"d8")))</f>
        <v/>
      </c>
      <c r="PN86" s="155">
        <f>IF($OE86=2,3*$PG86&amp;" de vida temp.",IF($OE86=3,"sem dano",IF($PG86=0,IF($OE86=1,"sem cura","sem dano"),IF($OE86=1,"cura ","")&amp;$PG86&amp;"d8")))</f>
        <v/>
      </c>
      <c r="PO86" s="155">
        <f>IF($OE86=2,3*$PH86&amp;" de vida temp.",IF($OE86=3,"sem dano",IF($PH86=0,IF($OE86=1,"sem cura","sem dano"),IF($OE86=1,"cura ","")&amp;$PH86&amp;"d8")))</f>
        <v/>
      </c>
      <c r="PP86" s="155">
        <f>IF($OE86=2,3*$PI86&amp;" de vida temp.",IF($OE86=3,"sem dano",IF($PI86=0,IF($OE86=1,"sem cura","sem dano"),IF($OE86=1,"cura ","")&amp;$PI86&amp;"d8")))</f>
        <v/>
      </c>
      <c r="PQ86" s="155">
        <f>IF($OE86=2,3*$PJ86&amp;" de vida temp.",IF($OE86=3,"sem dano",IF($PJ86=0,IF($OE86=1,"sem cura","sem dano"),IF($OE86=1,"cura ","")&amp;$PJ86&amp;"d8")))</f>
        <v/>
      </c>
      <c r="PR86" s="155">
        <f>IF($NB86=0,"",TEXTJOIN(" · ",TRUE,IF($MO86&gt;$NC86,"Este lugar abre no nível "&amp;$MO86,""),IF($MQ86&gt;$ND86,"Classe "&amp;$MQ86&amp;": o nível "&amp;$NC86&amp;" libera até a "&amp;$ND86,""),IF($NV86=1,"A Forma "&amp;$MS86&amp;" pede "&amp;INDEX($W$2:$W$11,$NH86)&amp;" aberta",""),IF(AND($MQ86=0,$NH86&gt;0,IF($NH86=0,0,INDEX($AF$2:$AF$11,$NH86))=0),$MS86&amp;" não existe na Classe 0",""),IF($NW86=1,"Família Fechada: "&amp;$MV86,""),IF($NX86=1,"Família Fechada: "&amp;$MW86,""),IF($NY86=1,"Família Fechada: "&amp;$MX86,""),IF($NZ86=1,"Família Fechada: "&amp;$MY86,""),IF(AND($MQ86&gt;0,$OS86&gt;INDEX($O$2:$O$8,MAX(1,$MQ86))),$OS86&amp;" Melhorias: a Classe "&amp;$MQ86&amp;" aceita "&amp;INDEX($O$2:$O$8,MAX(1,$MQ86)),""),IF(AND($MQ86=0,$OS86&gt;1),"A básica aceita uma Melhoria",""),IF(AND($MQ86=0,COUNTIF($NM86:$NP86,"&gt;1")&gt;0),"A básica só aceita Melhoria Leve",""),IF(AND($MQ86&gt;0,$OT86&gt;2),$OT86&amp;" Restrições"&amp;IF($OD86=1,", contando a que a Forma "&amp;$MS86&amp;" já traz","")&amp;": o limite é 2",""),IF(AND($MQ86=0,COUNTIF($MZ86:$NA86,"?*")&gt;1),"A básica aceita uma Restrição Leve",""),IF(AND($MQ86=0,COUNTIF($OG86:$OH86,2)&gt;0),"A básica só aceita Restrição Leve",""),IF(AND($MQ86&gt;0,$PA86&lt;0),"Orçamento estourado: faltam "&amp;(-$PA86)&amp;IF($PA86&lt;-1," pontos"," ponto"),""),IF(IFERROR(VLOOKUP($MZ86,$BC$2:$BG$24,4,FALSE),0)+IFERROR(VLOOKUP($NA86,$BC$2:$BG$24,4,FALSE),0)&gt;1,$OI86&amp;" e "&amp;$OJ86&amp;" são as duas de frequência",""),IF(AND((COUNTIF($MV86:$MY86,"Rápido")+COUNTIF($OI86:$OJ86,"Rápido"))&gt;0,(COUNTIF($MV86:$MY86,"Atrasar")+COUNTIF($OI86:$OJ86,"Atrasar"))&gt;0),"Rápido não entra com Atrasar",""),IF(AND((COUNTIF($MV86:$MY86,"Reação")+COUNTIF($OI86:$OJ86,"Reação"))&gt;0,(COUNTIF($MV86:$MY86,"Rápido")+COUNTIF($OI86:$OJ86,"Rápido"))&gt;0),"Reação não entra com Rápido",""),IF(AND((COUNTIF($MV86:$MY86,"Reação")+COUNTIF($OI86:$OJ86,"Reação"))&gt;0,(COUNTIF($MV86:$MY86,"Armado")+COUNTIF($OI86:$OJ86,"Armado"))&gt;0),"Reação não entra com Armado",""),IF(AND((COUNTIF($MV86:$MY86,"Reação")+COUNTIF($OI86:$OJ86,"Reação"))&gt;0,(COUNTIF($MV86:$MY86,"Atrasar")+COUNTIF($OI86:$OJ86,"Atrasar"))&gt;0),"Reação não entra com Atrasar",""),IF(AND((COUNTIF($MV86:$MY86,"Reação")+COUNTIF($OI86:$OJ86,"Reação"))&gt;0,(COUNTIF($MV86:$MY86,"Parado")+COUNTIF($OI86:$OJ86,"Parado"))&gt;0),"Reação não entra com Parado",""),IF(AND((COUNTIF($MV86:$MY86,"Atrasar")+COUNTIF($OI86:$OJ86,"Atrasar"))&gt;0,(COUNTIF($MV86:$MY86,"Parado")+COUNTIF($OI86:$OJ86,"Parado"))&gt;0),"Atrasar não entra com Parado",""),IF(AND((COUNTIF($MV86:$MY86,"Armado")+COUNTIF($OI86:$OJ86,"Armado"))&gt;0,(COUNTIF($MV86:$MY86,"Carregar")+COUNTIF($OI86:$OJ86,"Carregar"))&gt;0),"Armado não entra com Carregar",""),IF(AND(COUNTIF($OI86:$OJ86,"Corpo a Corpo")&gt;0,$OD86=0,OR($MS86="Cone",$MS86="Linha")),"Corpo a Corpo não entra em "&amp;$MS86,""),IF(AND(COUNTIF($OI86:$OJ86,"Corpo a Corpo")&gt;0,$OD86=1),"A Forma "&amp;$MS86&amp;" já traz o Corpo a Corpo",""),IF(AND(COUNTIF($OI86:$OJ86,"Tudo ou Nada")&gt;0,$OF86=0),"Tudo ou Nada só entra em habilidade de Teste de Resistência",""),IF(AND(COUNTIF($MV86:$MY86,"Inescapável")&gt;0,OR($OS86&gt;1,$OT86&gt;0)),"Inescapável não aceita outra peça",""),IF(AND($MQ86&gt;0,$PB86*IF(COUNTIF($MV86:$MY86,"Remate")&gt;0,1.25,1)+$PC86&gt;4*$MQ86),($PB86*IF(COUNTIF($MV86:$MY86,"Remate")&gt;0,1.25,1)+$PC86)&amp;" dados somando repetições"&amp;IF(COUNTIF($MV86:$MY86,"Remate")&gt;0," e o Remate","")&amp;": o teto da Classe "&amp;$MQ86&amp;" é "&amp;4*$MQ86,"")))</f>
        <v/>
      </c>
      <c r="PS86" s="155">
        <f>IF($PR86="",0,(LEN($PR86)-LEN(SUBSTITUTE($PR86," · ","")))/3+1)</f>
        <v/>
      </c>
      <c r="PT86" s="155">
        <f>IF($NB86=0,"",TEXTJOIN(" · ",TRUE,IF($OV86&gt;2*$MQ86,"A devolução parou no teto de "&amp;2*$MQ86,""),IF($OY86&gt;0,"Devolução perdida: "&amp;$OY86&amp;IF($OY86&gt;1," pontos"," ponto")&amp;" sem peça para pagar",""),IF(AND($OA86&gt;0,AND($MQ86&gt;0,$OE86=0),$PB86=0),"Controle sem dano: uma rodada a mais e CD +2",""),IF(AND($OA86&gt;0,AND($MQ86&gt;0,$OE86=0),$PB86&gt;0,$PB86&lt;=$MQ86),"Controle com saldo até a Classe: uma rodada a mais",""),IF(AND($MQ86&gt;0,$OC86&lt;&gt;""),"Efeito de "&amp;$OC86&amp;" pela Classe "&amp;MAX(1,$MQ86-1),"")))</f>
        <v/>
      </c>
      <c r="PU86" s="155">
        <f>IF($PT86="",0,(LEN($PT86)-LEN(SUBSTITUTE($PT86," · ","")))/3+1)</f>
        <v/>
      </c>
      <c r="PV86" s="155">
        <f>IF($NB86=0,IF($OS86+COUNTIF($MZ86:$NA86,"?*")&gt;0,"Dê um nome",""),IF($PS86&gt;0,"⚠ "&amp;$PS86&amp;IF($PS86&gt;1," erros"," erro"),IF($PU86&gt;0,"! "&amp;$PU86&amp;IF($PU86&gt;1," avisos"," aviso"),"Na regra")))</f>
        <v/>
      </c>
      <c r="PW86" s="155">
        <f>IF($NB86=0,"",IF($PS86+$PU86=0,"Dentro das regras que a ficha confere",$PR86&amp;IF(AND($PS86&gt;0,$PU86&gt;0)," · ","")&amp;$PT86))</f>
        <v/>
      </c>
      <c r="PX86" s="155">
        <f>IF($MO86&gt;$NC86,$MP86&amp;" · ABRE NO NÍVEL "&amp;$MO86,$MP86)</f>
        <v/>
      </c>
      <c r="PY86" s="155">
        <f>IF($NB86=0,"",IF($MQ86=0,"Sem PE",3*$MQ86&amp;" PE"))</f>
        <v/>
      </c>
      <c r="PZ86" s="155">
        <f>IF($NB86=0,"",IF($MQ86=0,"A atuação básica dela",IF(COUNTIF($OI86:$OJ86,"Atrasar")&gt;0,"Sua Ação Completa",IF(COUNTIF($MV86:$MY86,"Rápido")&gt;0,"Sua Bônus",IF(COUNTIF($MV86:$MY86,"Reação")&gt;0,"Sua Reação","Sua Padrão")))&amp;" + a básica dela"&amp;IF(COUNTIF($MV86:$MY86,"Reação")&gt;0," e a coletiva","")&amp;IF(COUNTIF($OI86:$OJ86,"Carregar")&gt;0," · em dois turnos","")))</f>
        <v/>
      </c>
      <c r="QA86" s="155">
        <f>IF($MU86&lt;&gt;"",$MU86,IF($NH86=0,"",INDEX($AA$2:$AA$11,$NH86)))</f>
        <v/>
      </c>
      <c r="QB86" s="155">
        <f>IF(OR($NB86=0,$NH86=0),"",IF(COUNTIF($MV86:$MY86,"Inescapável")&gt;0,"Automático",IF($QA86="Ataque",IF($NF86="","Ataque","Ataque "&amp;IF(($NF86+2*IF(COUNTIF($MV86:$MY86,"Precisão")&gt;0,1,0))&gt;=0,"+","−")&amp;ABS(($NF86+2*IF(COUNTIF($MV86:$MY86,"Precisão")&gt;0,1,0))))&amp;IF($OB86&gt;0," · TR"&amp;IF($NG86="",""," CD "&amp;$NG86),""),IF(LEFT($QA86,2)="TR",$QA86&amp;IF($NG86="",""," · CD "&amp;$NG86)&amp;IF(COUNTIF($MV86:$MY86,"Certeiro")&gt;0," · metade",""),"Sem rolagem"))))</f>
        <v/>
      </c>
      <c r="QC86" s="155">
        <f>IF(OR($NB86=0,$NH86=0),"",IF($MQ86=0,IF(OR($OE86&gt;=1,$PB86=0),"Sem dano",$PB86&amp;"d6"&amp;IF($MT86="",""," "&amp;$MT86)),IF(OR($OE86&gt;=1,$PB86=0),UPPER(LEFT(INDEX($PK86:$PQ86,1,MAX(1,$MQ86)),1))&amp;MID(INDEX($PK86:$PQ86,1,MAX(1,$MQ86)),2,99),UPPER(LEFT(INDEX($PK86:$PQ86,1,MAX(1,$MQ86)),1))&amp;MID(INDEX($PK86:$PQ86,1,MAX(1,$MQ86)),2,99)&amp;IF($MT86="",""," "&amp;$MT86)&amp;IF($PC86&gt;0," · +"&amp;$PC86&amp;"d8",""))))</f>
        <v/>
      </c>
      <c r="QD86" s="155">
        <f>COUNTIF($MV86:$MY86,"Longe")+3*COUNTIF($MV86:$MY86,"Muito Longe")</f>
        <v/>
      </c>
      <c r="QE86" s="155">
        <f>COUNTIF($MV86:$MY86,"Maior")+3*COUNTIF($MV86:$MY86,"Muito Maior")</f>
        <v/>
      </c>
      <c r="QF86" s="155">
        <f>IF($NH86=0,0,CHOOSE(1+INDEX($AC$2:$AC$11,$NH86),0,$QD86,$QE86,$QD86+$QE86))</f>
        <v/>
      </c>
      <c r="QG86" s="155">
        <f>IF($NH86=0,0,CHOOSE(1+INDEX($AD$2:$AD$11,$NH86),0,$QD86,$QE86,$QD86+$QE86))</f>
        <v/>
      </c>
      <c r="QH86" s="155">
        <f>IF(OR($NB86=0,$NH86=0),"",INDEX($AI$2:$AN$41,($NH86-1)*4+IF($MQ86=0,1,IF($MQ86&lt;=5,2,IF($MQ86=6,3,4))),1+MIN(5,$QF86))&amp;INDEX($AO$2:$AT$41,($NH86-1)*4+IF($MQ86=0,1,IF($MQ86&lt;=5,2,IF($MQ86=6,3,4))),1+MIN(5,$QG86))&amp;IF(INDEX($AE$2:$AE$11,$NH86)=1,IF(COUNTIF($MV86:$MY86,"Mais Um")&gt;0," · +"&amp;COUNTIF($MV86:$MY86,"Mais Um")&amp;IF(COUNTIF($MV86:$MY86,"Mais Um")&gt;1," alvos"," alvo"),"")&amp;IF(COUNTIF($MV86:$MY86,"Rajada")&gt;0,IF($MQ86=0," · 1 tiro"," · "&amp;(MAX(1,$MQ86-1)+1)&amp;" tiros"),""),""))</f>
        <v/>
      </c>
      <c r="QI86" s="155">
        <f>IF($NB86=0,"",IF($MQ86=0,$NE86&amp;"d6"&amp;IF($OS86&gt;0," − 1 = "&amp;$PB86&amp;"d6"," da básica do nível "&amp;$NC86),$OZ86&amp;" − "&amp;$OU86&amp;" + "&amp;$OX86&amp;" = "&amp;$PA86&amp;" · teto "&amp;4*$MQ86&amp;"d8"&amp;IF($OD86=1," · a Forma devolve "&amp;$MQ86,"")&amp;IF($OY86&gt;0," · perde "&amp;$OY86,"")))</f>
        <v/>
      </c>
      <c r="QJ86" s="155">
        <f>IF($NB86=0,"",IF($MQ86=0,"A básica não amplia: os dados dela sobem com o nível",IF($MQ86&gt;=$ND86,"Já está na maior Classe que o nível liberou",TEXTJOIN(" · ",TRUE,IF(AND(2&gt;$MQ86,2&lt;=$ND86),"2 → "&amp;$PL86&amp;", 6 PE",""),IF(AND(3&gt;$MQ86,3&lt;=$ND86),"3 → "&amp;$PM86&amp;", 9 PE",""),IF(AND(4&gt;$MQ86,4&lt;=$ND86),"4 → "&amp;$PN86&amp;", 12 PE",""),IF(AND(5&gt;$MQ86,5&lt;=$ND86),"5 → "&amp;$PO86&amp;", 15 PE",""),IF(AND(6&gt;$MQ86,6&lt;=$ND86),"6 → "&amp;$PP86&amp;", 18 PE",""),IF(AND(7&gt;$MQ86,7&lt;=$ND86),"7 → "&amp;$PQ86&amp;", 21 PE","")))))</f>
        <v/>
      </c>
      <c r="QK86" s="155">
        <f>IF(OR($NB86=0,$NM86=0),"",IF($MQ86=0,"−1 dado","−"&amp;INDEX($I$2:$N$8,MAX(1,$MQ86),MAX(1,$NR86))&amp;" · "&amp;CHOOSE(MAX(1,$NR86),"Leve","Média","Pesada","Leve · Livre","Média · Livre","Pesada · Livre")))</f>
        <v/>
      </c>
      <c r="QL86" s="155">
        <f>IF(OR($NB86=0,$NN86=0),"",IF($MQ86=0,"−1 dado","−"&amp;INDEX($I$2:$N$8,MAX(1,$MQ86),MAX(1,$NS86))&amp;" · "&amp;CHOOSE(MAX(1,$NS86),"Leve","Média","Pesada","Leve · Livre","Média · Livre","Pesada · Livre")))</f>
        <v/>
      </c>
      <c r="QM86" s="155">
        <f>IF(OR($NB86=0,$NO86=0),"",IF($MQ86=0,"−1 dado","−"&amp;INDEX($I$2:$N$8,MAX(1,$MQ86),MAX(1,$NT86))&amp;" · "&amp;CHOOSE(MAX(1,$NT86),"Leve","Média","Pesada","Leve · Livre","Média · Livre","Pesada · Livre")))</f>
        <v/>
      </c>
      <c r="QN86" s="155">
        <f>IF(OR($NB86=0,$NP86=0),"",IF($MQ86=0,"−1 dado","−"&amp;INDEX($I$2:$N$8,MAX(1,$MQ86),MAX(1,$NU86))&amp;" · "&amp;CHOOSE(MAX(1,$NU86),"Leve","Média","Pesada","Leve · Livre","Média · Livre","Pesada · Livre")))</f>
        <v/>
      </c>
      <c r="QO86" s="155">
        <f>IF(OR($NB86=0,$MZ86=""),"",IF($MQ86=0,"não devolve","+"&amp;IF($OG86=1,CEILING($MQ86/2,1),$MQ86)))</f>
        <v/>
      </c>
      <c r="QP86" s="155">
        <f>IF(OR($NB86=0,$NA86=""),"",IF($MQ86=0,"não devolve","+"&amp;IF($OH86=1,CEILING($MQ86/2,1),$MQ86)))</f>
        <v/>
      </c>
    </row>
    <row r="87">
      <c r="ML87" s="153" t="inlineStr">
        <is>
          <t>Ficha 7 · Especial 6</t>
        </is>
      </c>
      <c r="MM87" s="155" t="n">
        <v>7</v>
      </c>
      <c r="MN87" s="155" t="n">
        <v>1</v>
      </c>
      <c r="MO87" s="155" t="n">
        <v>20</v>
      </c>
      <c r="MP87" s="153" t="inlineStr">
        <is>
          <t>ESPECIAL 6</t>
        </is>
      </c>
      <c r="MQ87" s="155">
        <f>MAX(1,MIN(7,N('INVOCAÇÕES'!$AH$114)))</f>
        <v/>
      </c>
      <c r="MR87" s="155">
        <f>'INVOCAÇÕES'!$AI$114&amp;""</f>
        <v/>
      </c>
      <c r="MS87" s="155">
        <f>'INVOCAÇÕES'!$AH$119&amp;""</f>
        <v/>
      </c>
      <c r="MT87" s="155">
        <f>'INVOCAÇÕES'!$AH$120&amp;""</f>
        <v/>
      </c>
      <c r="MU87" s="155">
        <f>'INVOCAÇÕES'!$AJ$120&amp;""</f>
        <v/>
      </c>
      <c r="MV87" s="155">
        <f>'INVOCAÇÕES'!$AI$123&amp;""</f>
        <v/>
      </c>
      <c r="MW87" s="155">
        <f>'INVOCAÇÕES'!$AI$124&amp;""</f>
        <v/>
      </c>
      <c r="MX87" s="155">
        <f>'INVOCAÇÕES'!$AI$125&amp;""</f>
        <v/>
      </c>
      <c r="MY87" s="155">
        <f>'INVOCAÇÕES'!$AI$126&amp;""</f>
        <v/>
      </c>
      <c r="MZ87" s="155">
        <f>'INVOCAÇÕES'!$AI$127&amp;""</f>
        <v/>
      </c>
      <c r="NA87" s="155">
        <f>'INVOCAÇÕES'!$AI$128&amp;""</f>
        <v/>
      </c>
      <c r="NB87" s="155">
        <f>IF($MR87&lt;&gt;"",1,0)</f>
        <v/>
      </c>
      <c r="NC87" s="155">
        <f>INDEX($FM$2:$FM$13,$MM87)</f>
        <v/>
      </c>
      <c r="ND87" s="155">
        <f>INDEX($FN$2:$FN$13,$MM87)</f>
        <v/>
      </c>
      <c r="NE87" s="155">
        <f>INDEX($FO$2:$FO$13,$MM87)</f>
        <v/>
      </c>
      <c r="NF87" s="155">
        <f>INDEX($FZ$2:$FZ$13,$MM87)</f>
        <v/>
      </c>
      <c r="NG87" s="155">
        <f>INDEX($GA$2:$GA$13,$MM87)</f>
        <v/>
      </c>
      <c r="NH87" s="155">
        <f>IFERROR(MATCH($MS87,$V$2:$V$11,0),0)</f>
        <v/>
      </c>
      <c r="NI87" s="155">
        <f>IFERROR(VLOOKUP($MV87,$AV$2:$BA$84,2,FALSE),"")</f>
        <v/>
      </c>
      <c r="NJ87" s="155">
        <f>IFERROR(VLOOKUP($MW87,$AV$2:$BA$84,2,FALSE),"")</f>
        <v/>
      </c>
      <c r="NK87" s="155">
        <f>IFERROR(VLOOKUP($MX87,$AV$2:$BA$84,2,FALSE),"")</f>
        <v/>
      </c>
      <c r="NL87" s="155">
        <f>IFERROR(VLOOKUP($MY87,$AV$2:$BA$84,2,FALSE),"")</f>
        <v/>
      </c>
      <c r="NM87" s="155">
        <f>IFERROR(VLOOKUP($MV87,$AV$2:$BA$84,3,FALSE),0)</f>
        <v/>
      </c>
      <c r="NN87" s="155">
        <f>IFERROR(VLOOKUP($MW87,$AV$2:$BA$84,3,FALSE),0)</f>
        <v/>
      </c>
      <c r="NO87" s="155">
        <f>IFERROR(VLOOKUP($MX87,$AV$2:$BA$84,3,FALSE),0)</f>
        <v/>
      </c>
      <c r="NP87" s="155">
        <f>IFERROR(VLOOKUP($MY87,$AV$2:$BA$84,3,FALSE),0)</f>
        <v/>
      </c>
      <c r="NQ87" s="155">
        <f>IF($MQ87=0,0,IF($NH87=0,0,INDEX($X$2:$X$11,$NH87)))</f>
        <v/>
      </c>
      <c r="NR87" s="155">
        <f>IF(OR($NM87=0,$MQ87=0),0,$NM87+3*IF(AND($NI87&lt;&gt;"",OR($NI87=INDEX($EJ$2:$EJ$13,$MM87),$NI87=INDEX($EK$2:$EK$13,$MM87))),1,0))</f>
        <v/>
      </c>
      <c r="NS87" s="155">
        <f>IF(OR($NN87=0,$MQ87=0),0,$NN87+3*IF(AND($NJ87&lt;&gt;"",OR($NJ87=INDEX($EJ$2:$EJ$13,$MM87),$NJ87=INDEX($EK$2:$EK$13,$MM87))),1,0))</f>
        <v/>
      </c>
      <c r="NT87" s="155">
        <f>IF(OR($NO87=0,$MQ87=0),0,$NO87+3*IF(AND($NK87&lt;&gt;"",OR($NK87=INDEX($EJ$2:$EJ$13,$MM87),$NK87=INDEX($EK$2:$EK$13,$MM87))),1,0))</f>
        <v/>
      </c>
      <c r="NU87" s="155">
        <f>IF(OR($NP87=0,$MQ87=0),0,$NP87+3*IF(AND($NL87&lt;&gt;"",OR($NL87=INDEX($EJ$2:$EJ$13,$MM87),$NL87=INDEX($EK$2:$EK$13,$MM87))),1,0))</f>
        <v/>
      </c>
      <c r="NV87" s="155">
        <f>IF($NH87=0,0,IF(INDEX($W$2:$W$11,$NH87)="",0,IF(COUNTIF(INDEX($EJ$2:$EN$13,$MM87,0),INDEX($W$2:$W$11,$NH87))=0,1,0)))</f>
        <v/>
      </c>
      <c r="NW87" s="155">
        <f>IF(OR($NM87=0,$NI87=""),0,IF(COUNTIF(INDEX($EJ$2:$EN$13,$MM87,0),$NI87)=0,1,0))</f>
        <v/>
      </c>
      <c r="NX87" s="155">
        <f>IF(OR($NN87=0,$NJ87=""),0,IF(COUNTIF(INDEX($EJ$2:$EN$13,$MM87,0),$NJ87)=0,1,0))</f>
        <v/>
      </c>
      <c r="NY87" s="155">
        <f>IF(OR($NO87=0,$NK87=""),0,IF(COUNTIF(INDEX($EJ$2:$EN$13,$MM87,0),$NK87)=0,1,0))</f>
        <v/>
      </c>
      <c r="NZ87" s="155">
        <f>IF(OR($NP87=0,$NL87=""),0,IF(COUNTIF(INDEX($EJ$2:$EN$13,$MM87,0),$NL87)=0,1,0))</f>
        <v/>
      </c>
      <c r="OA87" s="155">
        <f>IFERROR(VLOOKUP($MV87,$AV$2:$BA$84,4,FALSE),0)+IFERROR(VLOOKUP($MW87,$AV$2:$BA$84,4,FALSE),0)+IFERROR(VLOOKUP($MX87,$AV$2:$BA$84,4,FALSE),0)+IFERROR(VLOOKUP($MY87,$AV$2:$BA$84,4,FALSE),0)</f>
        <v/>
      </c>
      <c r="OB87" s="155">
        <f>IFERROR(VLOOKUP($MV87,$AV$2:$BA$84,6,FALSE),0)+IFERROR(VLOOKUP($MW87,$AV$2:$BA$84,6,FALSE),0)+IFERROR(VLOOKUP($MX87,$AV$2:$BA$84,6,FALSE),0)+IFERROR(VLOOKUP($MY87,$AV$2:$BA$84,6,FALSE),0)</f>
        <v/>
      </c>
      <c r="OC87" s="155">
        <f>TEXTJOIN(", ",TRUE,IF(IFERROR(VLOOKUP($MV87,$AV$2:$BA$84,5,FALSE),0)=1,$MV87,""),IF(IFERROR(VLOOKUP($MW87,$AV$2:$BA$84,5,FALSE),0)=1,$MW87,""),IF(IFERROR(VLOOKUP($MX87,$AV$2:$BA$84,5,FALSE),0)=1,$MX87,""),IF(IFERROR(VLOOKUP($MY87,$AV$2:$BA$84,5,FALSE),0)=1,$MY87,""))</f>
        <v/>
      </c>
      <c r="OD87" s="155">
        <f>IF($NH87=0,0,INDEX($Y$2:$Y$11,$NH87))</f>
        <v/>
      </c>
      <c r="OE87" s="155">
        <f>IF($NH87=0,0,INDEX($Z$2:$Z$11,$NH87))</f>
        <v/>
      </c>
      <c r="OF87" s="155">
        <f>IF($NH87=0,0,INDEX($AB$2:$AB$11,$NH87))</f>
        <v/>
      </c>
      <c r="OG87" s="155">
        <f>IFERROR(VLOOKUP($MZ87,$BC$2:$BG$24,3,FALSE),0)</f>
        <v/>
      </c>
      <c r="OH87" s="155">
        <f>IFERROR(VLOOKUP($NA87,$BC$2:$BG$24,3,FALSE),0)</f>
        <v/>
      </c>
      <c r="OI87" s="155">
        <f>IFERROR(VLOOKUP($MZ87,$BC$2:$BG$24,2,FALSE),"")</f>
        <v/>
      </c>
      <c r="OJ87" s="155">
        <f>IFERROR(VLOOKUP($NA87,$BC$2:$BG$24,2,FALSE),"")</f>
        <v/>
      </c>
      <c r="OK87" s="155">
        <f>COUNTIF($NQ87:$NU87,1)</f>
        <v/>
      </c>
      <c r="OL87" s="155">
        <f>COUNTIF($NQ87:$NU87,2)</f>
        <v/>
      </c>
      <c r="OM87" s="155">
        <f>COUNTIF($NQ87:$NU87,3)</f>
        <v/>
      </c>
      <c r="ON87" s="155">
        <f>COUNTIF($NQ87:$NU87,4)</f>
        <v/>
      </c>
      <c r="OO87" s="155">
        <f>COUNTIF($NQ87:$NU87,5)</f>
        <v/>
      </c>
      <c r="OP87" s="155">
        <f>COUNTIF($NQ87:$NU87,6)</f>
        <v/>
      </c>
      <c r="OQ87" s="155">
        <f>COUNTIF($OG87:$OH87,1)</f>
        <v/>
      </c>
      <c r="OR87" s="155">
        <f>COUNTIF($OG87:$OH87,2)+$OD87</f>
        <v/>
      </c>
      <c r="OS87" s="155">
        <f>COUNTIF($MV87:$MY87,"?*")</f>
        <v/>
      </c>
      <c r="OT87" s="155">
        <f>COUNTIF($MZ87:$NA87,"?*")+$OD87</f>
        <v/>
      </c>
      <c r="OU87" s="155">
        <f>IF($MQ87=0,0,SUMPRODUCT($OK87:$OP87,INDEX($I$2:$N$8,MAX(1,$MQ87),0)))</f>
        <v/>
      </c>
      <c r="OV87" s="155">
        <f>IF($MQ87=0,0,$OQ87*CEILING($MQ87/2,1)+$OR87*$MQ87)</f>
        <v/>
      </c>
      <c r="OW87" s="155">
        <f>MIN(2*$MQ87,$OV87)</f>
        <v/>
      </c>
      <c r="OX87" s="155">
        <f>MIN($OW87,$OU87)</f>
        <v/>
      </c>
      <c r="OY87" s="155">
        <f>$OW87-$OX87</f>
        <v/>
      </c>
      <c r="OZ87" s="155">
        <f>IF($MQ87=0,0,INDEX($P$2:$P$8,MAX(1,$MQ87)))</f>
        <v/>
      </c>
      <c r="PA87" s="155">
        <f>$OZ87-$OU87+$OX87</f>
        <v/>
      </c>
      <c r="PB87" s="155">
        <f>IF($MQ87=0,MAX(0,$NE87-IF($OS87&gt;0,1,0)),MAX(0,$PA87))</f>
        <v/>
      </c>
      <c r="PC87" s="155">
        <f>IF($MQ87=0,0,(IF(COUNTIF($MV87:$MY87,"Salto")&gt;0,1,0)+IF(COUNTIF($MV87:$MY87,"Queima")&gt;0,1,0)+IF(COUNTIF($MV87:$MY87,"Estilhaço")&gt;0,1,0))*FLOOR($PB87/2,1))</f>
        <v/>
      </c>
      <c r="PD87" s="155">
        <f>MAX(0,2-SUMPRODUCT($OK87:$OP87,$I$2:$N$2)+MIN(2,$OQ87*1+$OR87*1,SUMPRODUCT($OK87:$OP87,$I$2:$N$2)))</f>
        <v/>
      </c>
      <c r="PE87" s="155">
        <f>MAX(0,4-SUMPRODUCT($OK87:$OP87,$I$3:$N$3)+MIN(4,$OQ87*1+$OR87*2,SUMPRODUCT($OK87:$OP87,$I$3:$N$3)))</f>
        <v/>
      </c>
      <c r="PF87" s="155">
        <f>MAX(0,6-SUMPRODUCT($OK87:$OP87,$I$4:$N$4)+MIN(6,$OQ87*2+$OR87*3,SUMPRODUCT($OK87:$OP87,$I$4:$N$4)))</f>
        <v/>
      </c>
      <c r="PG87" s="155">
        <f>MAX(0,9-SUMPRODUCT($OK87:$OP87,$I$5:$N$5)+MIN(8,$OQ87*2+$OR87*4,SUMPRODUCT($OK87:$OP87,$I$5:$N$5)))</f>
        <v/>
      </c>
      <c r="PH87" s="155">
        <f>MAX(0,11-SUMPRODUCT($OK87:$OP87,$I$6:$N$6)+MIN(10,$OQ87*3+$OR87*5,SUMPRODUCT($OK87:$OP87,$I$6:$N$6)))</f>
        <v/>
      </c>
      <c r="PI87" s="155">
        <f>MAX(0,13-SUMPRODUCT($OK87:$OP87,$I$7:$N$7)+MIN(12,$OQ87*3+$OR87*6,SUMPRODUCT($OK87:$OP87,$I$7:$N$7)))</f>
        <v/>
      </c>
      <c r="PJ87" s="155">
        <f>MAX(0,16-SUMPRODUCT($OK87:$OP87,$I$8:$N$8)+MIN(14,$OQ87*4+$OR87*7,SUMPRODUCT($OK87:$OP87,$I$8:$N$8)))</f>
        <v/>
      </c>
      <c r="PK87" s="155">
        <f>IF($OE87=2,3*$PD87&amp;" de vida temp.",IF($OE87=3,"sem dano",IF($PD87=0,IF($OE87=1,"sem cura","sem dano"),IF($OE87=1,"cura ","")&amp;$PD87&amp;"d8")))</f>
        <v/>
      </c>
      <c r="PL87" s="155">
        <f>IF($OE87=2,3*$PE87&amp;" de vida temp.",IF($OE87=3,"sem dano",IF($PE87=0,IF($OE87=1,"sem cura","sem dano"),IF($OE87=1,"cura ","")&amp;$PE87&amp;"d8")))</f>
        <v/>
      </c>
      <c r="PM87" s="155">
        <f>IF($OE87=2,3*$PF87&amp;" de vida temp.",IF($OE87=3,"sem dano",IF($PF87=0,IF($OE87=1,"sem cura","sem dano"),IF($OE87=1,"cura ","")&amp;$PF87&amp;"d8")))</f>
        <v/>
      </c>
      <c r="PN87" s="155">
        <f>IF($OE87=2,3*$PG87&amp;" de vida temp.",IF($OE87=3,"sem dano",IF($PG87=0,IF($OE87=1,"sem cura","sem dano"),IF($OE87=1,"cura ","")&amp;$PG87&amp;"d8")))</f>
        <v/>
      </c>
      <c r="PO87" s="155">
        <f>IF($OE87=2,3*$PH87&amp;" de vida temp.",IF($OE87=3,"sem dano",IF($PH87=0,IF($OE87=1,"sem cura","sem dano"),IF($OE87=1,"cura ","")&amp;$PH87&amp;"d8")))</f>
        <v/>
      </c>
      <c r="PP87" s="155">
        <f>IF($OE87=2,3*$PI87&amp;" de vida temp.",IF($OE87=3,"sem dano",IF($PI87=0,IF($OE87=1,"sem cura","sem dano"),IF($OE87=1,"cura ","")&amp;$PI87&amp;"d8")))</f>
        <v/>
      </c>
      <c r="PQ87" s="155">
        <f>IF($OE87=2,3*$PJ87&amp;" de vida temp.",IF($OE87=3,"sem dano",IF($PJ87=0,IF($OE87=1,"sem cura","sem dano"),IF($OE87=1,"cura ","")&amp;$PJ87&amp;"d8")))</f>
        <v/>
      </c>
      <c r="PR87" s="155">
        <f>IF($NB87=0,"",TEXTJOIN(" · ",TRUE,IF($MO87&gt;$NC87,"Este lugar abre no nível "&amp;$MO87,""),IF($MQ87&gt;$ND87,"Classe "&amp;$MQ87&amp;": o nível "&amp;$NC87&amp;" libera até a "&amp;$ND87,""),IF($NV87=1,"A Forma "&amp;$MS87&amp;" pede "&amp;INDEX($W$2:$W$11,$NH87)&amp;" aberta",""),IF(AND($MQ87=0,$NH87&gt;0,IF($NH87=0,0,INDEX($AF$2:$AF$11,$NH87))=0),$MS87&amp;" não existe na Classe 0",""),IF($NW87=1,"Família Fechada: "&amp;$MV87,""),IF($NX87=1,"Família Fechada: "&amp;$MW87,""),IF($NY87=1,"Família Fechada: "&amp;$MX87,""),IF($NZ87=1,"Família Fechada: "&amp;$MY87,""),IF(AND($MQ87&gt;0,$OS87&gt;INDEX($O$2:$O$8,MAX(1,$MQ87))),$OS87&amp;" Melhorias: a Classe "&amp;$MQ87&amp;" aceita "&amp;INDEX($O$2:$O$8,MAX(1,$MQ87)),""),IF(AND($MQ87=0,$OS87&gt;1),"A básica aceita uma Melhoria",""),IF(AND($MQ87=0,COUNTIF($NM87:$NP87,"&gt;1")&gt;0),"A básica só aceita Melhoria Leve",""),IF(AND($MQ87&gt;0,$OT87&gt;2),$OT87&amp;" Restrições"&amp;IF($OD87=1,", contando a que a Forma "&amp;$MS87&amp;" já traz","")&amp;": o limite é 2",""),IF(AND($MQ87=0,COUNTIF($MZ87:$NA87,"?*")&gt;1),"A básica aceita uma Restrição Leve",""),IF(AND($MQ87=0,COUNTIF($OG87:$OH87,2)&gt;0),"A básica só aceita Restrição Leve",""),IF(AND($MQ87&gt;0,$PA87&lt;0),"Orçamento estourado: faltam "&amp;(-$PA87)&amp;IF($PA87&lt;-1," pontos"," ponto"),""),IF(IFERROR(VLOOKUP($MZ87,$BC$2:$BG$24,4,FALSE),0)+IFERROR(VLOOKUP($NA87,$BC$2:$BG$24,4,FALSE),0)&gt;1,$OI87&amp;" e "&amp;$OJ87&amp;" são as duas de frequência",""),IF(AND((COUNTIF($MV87:$MY87,"Rápido")+COUNTIF($OI87:$OJ87,"Rápido"))&gt;0,(COUNTIF($MV87:$MY87,"Atrasar")+COUNTIF($OI87:$OJ87,"Atrasar"))&gt;0),"Rápido não entra com Atrasar",""),IF(AND((COUNTIF($MV87:$MY87,"Reação")+COUNTIF($OI87:$OJ87,"Reação"))&gt;0,(COUNTIF($MV87:$MY87,"Rápido")+COUNTIF($OI87:$OJ87,"Rápido"))&gt;0),"Reação não entra com Rápido",""),IF(AND((COUNTIF($MV87:$MY87,"Reação")+COUNTIF($OI87:$OJ87,"Reação"))&gt;0,(COUNTIF($MV87:$MY87,"Armado")+COUNTIF($OI87:$OJ87,"Armado"))&gt;0),"Reação não entra com Armado",""),IF(AND((COUNTIF($MV87:$MY87,"Reação")+COUNTIF($OI87:$OJ87,"Reação"))&gt;0,(COUNTIF($MV87:$MY87,"Atrasar")+COUNTIF($OI87:$OJ87,"Atrasar"))&gt;0),"Reação não entra com Atrasar",""),IF(AND((COUNTIF($MV87:$MY87,"Reação")+COUNTIF($OI87:$OJ87,"Reação"))&gt;0,(COUNTIF($MV87:$MY87,"Parado")+COUNTIF($OI87:$OJ87,"Parado"))&gt;0),"Reação não entra com Parado",""),IF(AND((COUNTIF($MV87:$MY87,"Atrasar")+COUNTIF($OI87:$OJ87,"Atrasar"))&gt;0,(COUNTIF($MV87:$MY87,"Parado")+COUNTIF($OI87:$OJ87,"Parado"))&gt;0),"Atrasar não entra com Parado",""),IF(AND((COUNTIF($MV87:$MY87,"Armado")+COUNTIF($OI87:$OJ87,"Armado"))&gt;0,(COUNTIF($MV87:$MY87,"Carregar")+COUNTIF($OI87:$OJ87,"Carregar"))&gt;0),"Armado não entra com Carregar",""),IF(AND(COUNTIF($OI87:$OJ87,"Corpo a Corpo")&gt;0,$OD87=0,OR($MS87="Cone",$MS87="Linha")),"Corpo a Corpo não entra em "&amp;$MS87,""),IF(AND(COUNTIF($OI87:$OJ87,"Corpo a Corpo")&gt;0,$OD87=1),"A Forma "&amp;$MS87&amp;" já traz o Corpo a Corpo",""),IF(AND(COUNTIF($OI87:$OJ87,"Tudo ou Nada")&gt;0,$OF87=0),"Tudo ou Nada só entra em habilidade de Teste de Resistência",""),IF(AND(COUNTIF($MV87:$MY87,"Inescapável")&gt;0,OR($OS87&gt;1,$OT87&gt;0)),"Inescapável não aceita outra peça",""),IF(AND($MQ87&gt;0,$PB87*IF(COUNTIF($MV87:$MY87,"Remate")&gt;0,1.25,1)+$PC87&gt;4*$MQ87),($PB87*IF(COUNTIF($MV87:$MY87,"Remate")&gt;0,1.25,1)+$PC87)&amp;" dados somando repetições"&amp;IF(COUNTIF($MV87:$MY87,"Remate")&gt;0," e o Remate","")&amp;": o teto da Classe "&amp;$MQ87&amp;" é "&amp;4*$MQ87,"")))</f>
        <v/>
      </c>
      <c r="PS87" s="155">
        <f>IF($PR87="",0,(LEN($PR87)-LEN(SUBSTITUTE($PR87," · ","")))/3+1)</f>
        <v/>
      </c>
      <c r="PT87" s="155">
        <f>IF($NB87=0,"",TEXTJOIN(" · ",TRUE,IF($OV87&gt;2*$MQ87,"A devolução parou no teto de "&amp;2*$MQ87,""),IF($OY87&gt;0,"Devolução perdida: "&amp;$OY87&amp;IF($OY87&gt;1," pontos"," ponto")&amp;" sem peça para pagar",""),IF(AND($OA87&gt;0,AND($MQ87&gt;0,$OE87=0),$PB87=0),"Controle sem dano: uma rodada a mais e CD +2",""),IF(AND($OA87&gt;0,AND($MQ87&gt;0,$OE87=0),$PB87&gt;0,$PB87&lt;=$MQ87),"Controle com saldo até a Classe: uma rodada a mais",""),IF(AND($MQ87&gt;0,$OC87&lt;&gt;""),"Efeito de "&amp;$OC87&amp;" pela Classe "&amp;MAX(1,$MQ87-1),"")))</f>
        <v/>
      </c>
      <c r="PU87" s="155">
        <f>IF($PT87="",0,(LEN($PT87)-LEN(SUBSTITUTE($PT87," · ","")))/3+1)</f>
        <v/>
      </c>
      <c r="PV87" s="155">
        <f>IF($NB87=0,IF($OS87+COUNTIF($MZ87:$NA87,"?*")&gt;0,"Dê um nome",""),IF($PS87&gt;0,"⚠ "&amp;$PS87&amp;IF($PS87&gt;1," erros"," erro"),IF($PU87&gt;0,"! "&amp;$PU87&amp;IF($PU87&gt;1," avisos"," aviso"),"Na regra")))</f>
        <v/>
      </c>
      <c r="PW87" s="155">
        <f>IF($NB87=0,"",IF($PS87+$PU87=0,"Dentro das regras que a ficha confere",$PR87&amp;IF(AND($PS87&gt;0,$PU87&gt;0)," · ","")&amp;$PT87))</f>
        <v/>
      </c>
      <c r="PX87" s="155">
        <f>IF($MO87&gt;$NC87,$MP87&amp;" · ABRE NO NÍVEL "&amp;$MO87,$MP87)</f>
        <v/>
      </c>
      <c r="PY87" s="155">
        <f>IF($NB87=0,"",IF($MQ87=0,"Sem PE",3*$MQ87&amp;" PE"))</f>
        <v/>
      </c>
      <c r="PZ87" s="155">
        <f>IF($NB87=0,"",IF($MQ87=0,"A atuação básica dela",IF(COUNTIF($OI87:$OJ87,"Atrasar")&gt;0,"Sua Ação Completa",IF(COUNTIF($MV87:$MY87,"Rápido")&gt;0,"Sua Bônus",IF(COUNTIF($MV87:$MY87,"Reação")&gt;0,"Sua Reação","Sua Padrão")))&amp;" + a básica dela"&amp;IF(COUNTIF($MV87:$MY87,"Reação")&gt;0," e a coletiva","")&amp;IF(COUNTIF($OI87:$OJ87,"Carregar")&gt;0," · em dois turnos","")))</f>
        <v/>
      </c>
      <c r="QA87" s="155">
        <f>IF($MU87&lt;&gt;"",$MU87,IF($NH87=0,"",INDEX($AA$2:$AA$11,$NH87)))</f>
        <v/>
      </c>
      <c r="QB87" s="155">
        <f>IF(OR($NB87=0,$NH87=0),"",IF(COUNTIF($MV87:$MY87,"Inescapável")&gt;0,"Automático",IF($QA87="Ataque",IF($NF87="","Ataque","Ataque "&amp;IF(($NF87+2*IF(COUNTIF($MV87:$MY87,"Precisão")&gt;0,1,0))&gt;=0,"+","−")&amp;ABS(($NF87+2*IF(COUNTIF($MV87:$MY87,"Precisão")&gt;0,1,0))))&amp;IF($OB87&gt;0," · TR"&amp;IF($NG87="",""," CD "&amp;$NG87),""),IF(LEFT($QA87,2)="TR",$QA87&amp;IF($NG87="",""," · CD "&amp;$NG87)&amp;IF(COUNTIF($MV87:$MY87,"Certeiro")&gt;0," · metade",""),"Sem rolagem"))))</f>
        <v/>
      </c>
      <c r="QC87" s="155">
        <f>IF(OR($NB87=0,$NH87=0),"",IF($MQ87=0,IF(OR($OE87&gt;=1,$PB87=0),"Sem dano",$PB87&amp;"d6"&amp;IF($MT87="",""," "&amp;$MT87)),IF(OR($OE87&gt;=1,$PB87=0),UPPER(LEFT(INDEX($PK87:$PQ87,1,MAX(1,$MQ87)),1))&amp;MID(INDEX($PK87:$PQ87,1,MAX(1,$MQ87)),2,99),UPPER(LEFT(INDEX($PK87:$PQ87,1,MAX(1,$MQ87)),1))&amp;MID(INDEX($PK87:$PQ87,1,MAX(1,$MQ87)),2,99)&amp;IF($MT87="",""," "&amp;$MT87)&amp;IF($PC87&gt;0," · +"&amp;$PC87&amp;"d8",""))))</f>
        <v/>
      </c>
      <c r="QD87" s="155">
        <f>COUNTIF($MV87:$MY87,"Longe")+3*COUNTIF($MV87:$MY87,"Muito Longe")</f>
        <v/>
      </c>
      <c r="QE87" s="155">
        <f>COUNTIF($MV87:$MY87,"Maior")+3*COUNTIF($MV87:$MY87,"Muito Maior")</f>
        <v/>
      </c>
      <c r="QF87" s="155">
        <f>IF($NH87=0,0,CHOOSE(1+INDEX($AC$2:$AC$11,$NH87),0,$QD87,$QE87,$QD87+$QE87))</f>
        <v/>
      </c>
      <c r="QG87" s="155">
        <f>IF($NH87=0,0,CHOOSE(1+INDEX($AD$2:$AD$11,$NH87),0,$QD87,$QE87,$QD87+$QE87))</f>
        <v/>
      </c>
      <c r="QH87" s="155">
        <f>IF(OR($NB87=0,$NH87=0),"",INDEX($AI$2:$AN$41,($NH87-1)*4+IF($MQ87=0,1,IF($MQ87&lt;=5,2,IF($MQ87=6,3,4))),1+MIN(5,$QF87))&amp;INDEX($AO$2:$AT$41,($NH87-1)*4+IF($MQ87=0,1,IF($MQ87&lt;=5,2,IF($MQ87=6,3,4))),1+MIN(5,$QG87))&amp;IF(INDEX($AE$2:$AE$11,$NH87)=1,IF(COUNTIF($MV87:$MY87,"Mais Um")&gt;0," · +"&amp;COUNTIF($MV87:$MY87,"Mais Um")&amp;IF(COUNTIF($MV87:$MY87,"Mais Um")&gt;1," alvos"," alvo"),"")&amp;IF(COUNTIF($MV87:$MY87,"Rajada")&gt;0,IF($MQ87=0," · 1 tiro"," · "&amp;(MAX(1,$MQ87-1)+1)&amp;" tiros"),""),""))</f>
        <v/>
      </c>
      <c r="QI87" s="155">
        <f>IF($NB87=0,"",IF($MQ87=0,$NE87&amp;"d6"&amp;IF($OS87&gt;0," − 1 = "&amp;$PB87&amp;"d6"," da básica do nível "&amp;$NC87),$OZ87&amp;" − "&amp;$OU87&amp;" + "&amp;$OX87&amp;" = "&amp;$PA87&amp;" · teto "&amp;4*$MQ87&amp;"d8"&amp;IF($OD87=1," · a Forma devolve "&amp;$MQ87,"")&amp;IF($OY87&gt;0," · perde "&amp;$OY87,"")))</f>
        <v/>
      </c>
      <c r="QJ87" s="155">
        <f>IF($NB87=0,"",IF($MQ87=0,"A básica não amplia: os dados dela sobem com o nível",IF($MQ87&gt;=$ND87,"Já está na maior Classe que o nível liberou",TEXTJOIN(" · ",TRUE,IF(AND(2&gt;$MQ87,2&lt;=$ND87),"2 → "&amp;$PL87&amp;", 6 PE",""),IF(AND(3&gt;$MQ87,3&lt;=$ND87),"3 → "&amp;$PM87&amp;", 9 PE",""),IF(AND(4&gt;$MQ87,4&lt;=$ND87),"4 → "&amp;$PN87&amp;", 12 PE",""),IF(AND(5&gt;$MQ87,5&lt;=$ND87),"5 → "&amp;$PO87&amp;", 15 PE",""),IF(AND(6&gt;$MQ87,6&lt;=$ND87),"6 → "&amp;$PP87&amp;", 18 PE",""),IF(AND(7&gt;$MQ87,7&lt;=$ND87),"7 → "&amp;$PQ87&amp;", 21 PE","")))))</f>
        <v/>
      </c>
      <c r="QK87" s="155">
        <f>IF(OR($NB87=0,$NM87=0),"",IF($MQ87=0,"−1 dado","−"&amp;INDEX($I$2:$N$8,MAX(1,$MQ87),MAX(1,$NR87))&amp;" · "&amp;CHOOSE(MAX(1,$NR87),"Leve","Média","Pesada","Leve · Livre","Média · Livre","Pesada · Livre")))</f>
        <v/>
      </c>
      <c r="QL87" s="155">
        <f>IF(OR($NB87=0,$NN87=0),"",IF($MQ87=0,"−1 dado","−"&amp;INDEX($I$2:$N$8,MAX(1,$MQ87),MAX(1,$NS87))&amp;" · "&amp;CHOOSE(MAX(1,$NS87),"Leve","Média","Pesada","Leve · Livre","Média · Livre","Pesada · Livre")))</f>
        <v/>
      </c>
      <c r="QM87" s="155">
        <f>IF(OR($NB87=0,$NO87=0),"",IF($MQ87=0,"−1 dado","−"&amp;INDEX($I$2:$N$8,MAX(1,$MQ87),MAX(1,$NT87))&amp;" · "&amp;CHOOSE(MAX(1,$NT87),"Leve","Média","Pesada","Leve · Livre","Média · Livre","Pesada · Livre")))</f>
        <v/>
      </c>
      <c r="QN87" s="155">
        <f>IF(OR($NB87=0,$NP87=0),"",IF($MQ87=0,"−1 dado","−"&amp;INDEX($I$2:$N$8,MAX(1,$MQ87),MAX(1,$NU87))&amp;" · "&amp;CHOOSE(MAX(1,$NU87),"Leve","Média","Pesada","Leve · Livre","Média · Livre","Pesada · Livre")))</f>
        <v/>
      </c>
      <c r="QO87" s="155">
        <f>IF(OR($NB87=0,$MZ87=""),"",IF($MQ87=0,"não devolve","+"&amp;IF($OG87=1,CEILING($MQ87/2,1),$MQ87)))</f>
        <v/>
      </c>
      <c r="QP87" s="155">
        <f>IF(OR($NB87=0,$NA87=""),"",IF($MQ87=0,"não devolve","+"&amp;IF($OH87=1,CEILING($MQ87/2,1),$MQ87)))</f>
        <v/>
      </c>
    </row>
    <row r="88">
      <c r="ML88" s="153" t="inlineStr">
        <is>
          <t>Ficha 7 · Especial 7</t>
        </is>
      </c>
      <c r="MM88" s="155" t="n">
        <v>7</v>
      </c>
      <c r="MN88" s="155" t="n">
        <v>1</v>
      </c>
      <c r="MO88" s="155" t="n">
        <v>24</v>
      </c>
      <c r="MP88" s="153" t="inlineStr">
        <is>
          <t>ESPECIAL 7</t>
        </is>
      </c>
      <c r="MQ88" s="155">
        <f>MAX(1,MIN(7,N('INVOCAÇÕES'!$AN$114)))</f>
        <v/>
      </c>
      <c r="MR88" s="155">
        <f>'INVOCAÇÕES'!$AO$114&amp;""</f>
        <v/>
      </c>
      <c r="MS88" s="155">
        <f>'INVOCAÇÕES'!$AN$119&amp;""</f>
        <v/>
      </c>
      <c r="MT88" s="155">
        <f>'INVOCAÇÕES'!$AN$120&amp;""</f>
        <v/>
      </c>
      <c r="MU88" s="155">
        <f>'INVOCAÇÕES'!$AP$120&amp;""</f>
        <v/>
      </c>
      <c r="MV88" s="155">
        <f>'INVOCAÇÕES'!$AO$123&amp;""</f>
        <v/>
      </c>
      <c r="MW88" s="155">
        <f>'INVOCAÇÕES'!$AO$124&amp;""</f>
        <v/>
      </c>
      <c r="MX88" s="155">
        <f>'INVOCAÇÕES'!$AO$125&amp;""</f>
        <v/>
      </c>
      <c r="MY88" s="155">
        <f>'INVOCAÇÕES'!$AO$126&amp;""</f>
        <v/>
      </c>
      <c r="MZ88" s="155">
        <f>'INVOCAÇÕES'!$AO$127&amp;""</f>
        <v/>
      </c>
      <c r="NA88" s="155">
        <f>'INVOCAÇÕES'!$AO$128&amp;""</f>
        <v/>
      </c>
      <c r="NB88" s="155">
        <f>IF($MR88&lt;&gt;"",1,0)</f>
        <v/>
      </c>
      <c r="NC88" s="155">
        <f>INDEX($FM$2:$FM$13,$MM88)</f>
        <v/>
      </c>
      <c r="ND88" s="155">
        <f>INDEX($FN$2:$FN$13,$MM88)</f>
        <v/>
      </c>
      <c r="NE88" s="155">
        <f>INDEX($FO$2:$FO$13,$MM88)</f>
        <v/>
      </c>
      <c r="NF88" s="155">
        <f>INDEX($FZ$2:$FZ$13,$MM88)</f>
        <v/>
      </c>
      <c r="NG88" s="155">
        <f>INDEX($GA$2:$GA$13,$MM88)</f>
        <v/>
      </c>
      <c r="NH88" s="155">
        <f>IFERROR(MATCH($MS88,$V$2:$V$11,0),0)</f>
        <v/>
      </c>
      <c r="NI88" s="155">
        <f>IFERROR(VLOOKUP($MV88,$AV$2:$BA$84,2,FALSE),"")</f>
        <v/>
      </c>
      <c r="NJ88" s="155">
        <f>IFERROR(VLOOKUP($MW88,$AV$2:$BA$84,2,FALSE),"")</f>
        <v/>
      </c>
      <c r="NK88" s="155">
        <f>IFERROR(VLOOKUP($MX88,$AV$2:$BA$84,2,FALSE),"")</f>
        <v/>
      </c>
      <c r="NL88" s="155">
        <f>IFERROR(VLOOKUP($MY88,$AV$2:$BA$84,2,FALSE),"")</f>
        <v/>
      </c>
      <c r="NM88" s="155">
        <f>IFERROR(VLOOKUP($MV88,$AV$2:$BA$84,3,FALSE),0)</f>
        <v/>
      </c>
      <c r="NN88" s="155">
        <f>IFERROR(VLOOKUP($MW88,$AV$2:$BA$84,3,FALSE),0)</f>
        <v/>
      </c>
      <c r="NO88" s="155">
        <f>IFERROR(VLOOKUP($MX88,$AV$2:$BA$84,3,FALSE),0)</f>
        <v/>
      </c>
      <c r="NP88" s="155">
        <f>IFERROR(VLOOKUP($MY88,$AV$2:$BA$84,3,FALSE),0)</f>
        <v/>
      </c>
      <c r="NQ88" s="155">
        <f>IF($MQ88=0,0,IF($NH88=0,0,INDEX($X$2:$X$11,$NH88)))</f>
        <v/>
      </c>
      <c r="NR88" s="155">
        <f>IF(OR($NM88=0,$MQ88=0),0,$NM88+3*IF(AND($NI88&lt;&gt;"",OR($NI88=INDEX($EJ$2:$EJ$13,$MM88),$NI88=INDEX($EK$2:$EK$13,$MM88))),1,0))</f>
        <v/>
      </c>
      <c r="NS88" s="155">
        <f>IF(OR($NN88=0,$MQ88=0),0,$NN88+3*IF(AND($NJ88&lt;&gt;"",OR($NJ88=INDEX($EJ$2:$EJ$13,$MM88),$NJ88=INDEX($EK$2:$EK$13,$MM88))),1,0))</f>
        <v/>
      </c>
      <c r="NT88" s="155">
        <f>IF(OR($NO88=0,$MQ88=0),0,$NO88+3*IF(AND($NK88&lt;&gt;"",OR($NK88=INDEX($EJ$2:$EJ$13,$MM88),$NK88=INDEX($EK$2:$EK$13,$MM88))),1,0))</f>
        <v/>
      </c>
      <c r="NU88" s="155">
        <f>IF(OR($NP88=0,$MQ88=0),0,$NP88+3*IF(AND($NL88&lt;&gt;"",OR($NL88=INDEX($EJ$2:$EJ$13,$MM88),$NL88=INDEX($EK$2:$EK$13,$MM88))),1,0))</f>
        <v/>
      </c>
      <c r="NV88" s="155">
        <f>IF($NH88=0,0,IF(INDEX($W$2:$W$11,$NH88)="",0,IF(COUNTIF(INDEX($EJ$2:$EN$13,$MM88,0),INDEX($W$2:$W$11,$NH88))=0,1,0)))</f>
        <v/>
      </c>
      <c r="NW88" s="155">
        <f>IF(OR($NM88=0,$NI88=""),0,IF(COUNTIF(INDEX($EJ$2:$EN$13,$MM88,0),$NI88)=0,1,0))</f>
        <v/>
      </c>
      <c r="NX88" s="155">
        <f>IF(OR($NN88=0,$NJ88=""),0,IF(COUNTIF(INDEX($EJ$2:$EN$13,$MM88,0),$NJ88)=0,1,0))</f>
        <v/>
      </c>
      <c r="NY88" s="155">
        <f>IF(OR($NO88=0,$NK88=""),0,IF(COUNTIF(INDEX($EJ$2:$EN$13,$MM88,0),$NK88)=0,1,0))</f>
        <v/>
      </c>
      <c r="NZ88" s="155">
        <f>IF(OR($NP88=0,$NL88=""),0,IF(COUNTIF(INDEX($EJ$2:$EN$13,$MM88,0),$NL88)=0,1,0))</f>
        <v/>
      </c>
      <c r="OA88" s="155">
        <f>IFERROR(VLOOKUP($MV88,$AV$2:$BA$84,4,FALSE),0)+IFERROR(VLOOKUP($MW88,$AV$2:$BA$84,4,FALSE),0)+IFERROR(VLOOKUP($MX88,$AV$2:$BA$84,4,FALSE),0)+IFERROR(VLOOKUP($MY88,$AV$2:$BA$84,4,FALSE),0)</f>
        <v/>
      </c>
      <c r="OB88" s="155">
        <f>IFERROR(VLOOKUP($MV88,$AV$2:$BA$84,6,FALSE),0)+IFERROR(VLOOKUP($MW88,$AV$2:$BA$84,6,FALSE),0)+IFERROR(VLOOKUP($MX88,$AV$2:$BA$84,6,FALSE),0)+IFERROR(VLOOKUP($MY88,$AV$2:$BA$84,6,FALSE),0)</f>
        <v/>
      </c>
      <c r="OC88" s="155">
        <f>TEXTJOIN(", ",TRUE,IF(IFERROR(VLOOKUP($MV88,$AV$2:$BA$84,5,FALSE),0)=1,$MV88,""),IF(IFERROR(VLOOKUP($MW88,$AV$2:$BA$84,5,FALSE),0)=1,$MW88,""),IF(IFERROR(VLOOKUP($MX88,$AV$2:$BA$84,5,FALSE),0)=1,$MX88,""),IF(IFERROR(VLOOKUP($MY88,$AV$2:$BA$84,5,FALSE),0)=1,$MY88,""))</f>
        <v/>
      </c>
      <c r="OD88" s="155">
        <f>IF($NH88=0,0,INDEX($Y$2:$Y$11,$NH88))</f>
        <v/>
      </c>
      <c r="OE88" s="155">
        <f>IF($NH88=0,0,INDEX($Z$2:$Z$11,$NH88))</f>
        <v/>
      </c>
      <c r="OF88" s="155">
        <f>IF($NH88=0,0,INDEX($AB$2:$AB$11,$NH88))</f>
        <v/>
      </c>
      <c r="OG88" s="155">
        <f>IFERROR(VLOOKUP($MZ88,$BC$2:$BG$24,3,FALSE),0)</f>
        <v/>
      </c>
      <c r="OH88" s="155">
        <f>IFERROR(VLOOKUP($NA88,$BC$2:$BG$24,3,FALSE),0)</f>
        <v/>
      </c>
      <c r="OI88" s="155">
        <f>IFERROR(VLOOKUP($MZ88,$BC$2:$BG$24,2,FALSE),"")</f>
        <v/>
      </c>
      <c r="OJ88" s="155">
        <f>IFERROR(VLOOKUP($NA88,$BC$2:$BG$24,2,FALSE),"")</f>
        <v/>
      </c>
      <c r="OK88" s="155">
        <f>COUNTIF($NQ88:$NU88,1)</f>
        <v/>
      </c>
      <c r="OL88" s="155">
        <f>COUNTIF($NQ88:$NU88,2)</f>
        <v/>
      </c>
      <c r="OM88" s="155">
        <f>COUNTIF($NQ88:$NU88,3)</f>
        <v/>
      </c>
      <c r="ON88" s="155">
        <f>COUNTIF($NQ88:$NU88,4)</f>
        <v/>
      </c>
      <c r="OO88" s="155">
        <f>COUNTIF($NQ88:$NU88,5)</f>
        <v/>
      </c>
      <c r="OP88" s="155">
        <f>COUNTIF($NQ88:$NU88,6)</f>
        <v/>
      </c>
      <c r="OQ88" s="155">
        <f>COUNTIF($OG88:$OH88,1)</f>
        <v/>
      </c>
      <c r="OR88" s="155">
        <f>COUNTIF($OG88:$OH88,2)+$OD88</f>
        <v/>
      </c>
      <c r="OS88" s="155">
        <f>COUNTIF($MV88:$MY88,"?*")</f>
        <v/>
      </c>
      <c r="OT88" s="155">
        <f>COUNTIF($MZ88:$NA88,"?*")+$OD88</f>
        <v/>
      </c>
      <c r="OU88" s="155">
        <f>IF($MQ88=0,0,SUMPRODUCT($OK88:$OP88,INDEX($I$2:$N$8,MAX(1,$MQ88),0)))</f>
        <v/>
      </c>
      <c r="OV88" s="155">
        <f>IF($MQ88=0,0,$OQ88*CEILING($MQ88/2,1)+$OR88*$MQ88)</f>
        <v/>
      </c>
      <c r="OW88" s="155">
        <f>MIN(2*$MQ88,$OV88)</f>
        <v/>
      </c>
      <c r="OX88" s="155">
        <f>MIN($OW88,$OU88)</f>
        <v/>
      </c>
      <c r="OY88" s="155">
        <f>$OW88-$OX88</f>
        <v/>
      </c>
      <c r="OZ88" s="155">
        <f>IF($MQ88=0,0,INDEX($P$2:$P$8,MAX(1,$MQ88)))</f>
        <v/>
      </c>
      <c r="PA88" s="155">
        <f>$OZ88-$OU88+$OX88</f>
        <v/>
      </c>
      <c r="PB88" s="155">
        <f>IF($MQ88=0,MAX(0,$NE88-IF($OS88&gt;0,1,0)),MAX(0,$PA88))</f>
        <v/>
      </c>
      <c r="PC88" s="155">
        <f>IF($MQ88=0,0,(IF(COUNTIF($MV88:$MY88,"Salto")&gt;0,1,0)+IF(COUNTIF($MV88:$MY88,"Queima")&gt;0,1,0)+IF(COUNTIF($MV88:$MY88,"Estilhaço")&gt;0,1,0))*FLOOR($PB88/2,1))</f>
        <v/>
      </c>
      <c r="PD88" s="155">
        <f>MAX(0,2-SUMPRODUCT($OK88:$OP88,$I$2:$N$2)+MIN(2,$OQ88*1+$OR88*1,SUMPRODUCT($OK88:$OP88,$I$2:$N$2)))</f>
        <v/>
      </c>
      <c r="PE88" s="155">
        <f>MAX(0,4-SUMPRODUCT($OK88:$OP88,$I$3:$N$3)+MIN(4,$OQ88*1+$OR88*2,SUMPRODUCT($OK88:$OP88,$I$3:$N$3)))</f>
        <v/>
      </c>
      <c r="PF88" s="155">
        <f>MAX(0,6-SUMPRODUCT($OK88:$OP88,$I$4:$N$4)+MIN(6,$OQ88*2+$OR88*3,SUMPRODUCT($OK88:$OP88,$I$4:$N$4)))</f>
        <v/>
      </c>
      <c r="PG88" s="155">
        <f>MAX(0,9-SUMPRODUCT($OK88:$OP88,$I$5:$N$5)+MIN(8,$OQ88*2+$OR88*4,SUMPRODUCT($OK88:$OP88,$I$5:$N$5)))</f>
        <v/>
      </c>
      <c r="PH88" s="155">
        <f>MAX(0,11-SUMPRODUCT($OK88:$OP88,$I$6:$N$6)+MIN(10,$OQ88*3+$OR88*5,SUMPRODUCT($OK88:$OP88,$I$6:$N$6)))</f>
        <v/>
      </c>
      <c r="PI88" s="155">
        <f>MAX(0,13-SUMPRODUCT($OK88:$OP88,$I$7:$N$7)+MIN(12,$OQ88*3+$OR88*6,SUMPRODUCT($OK88:$OP88,$I$7:$N$7)))</f>
        <v/>
      </c>
      <c r="PJ88" s="155">
        <f>MAX(0,16-SUMPRODUCT($OK88:$OP88,$I$8:$N$8)+MIN(14,$OQ88*4+$OR88*7,SUMPRODUCT($OK88:$OP88,$I$8:$N$8)))</f>
        <v/>
      </c>
      <c r="PK88" s="155">
        <f>IF($OE88=2,3*$PD88&amp;" de vida temp.",IF($OE88=3,"sem dano",IF($PD88=0,IF($OE88=1,"sem cura","sem dano"),IF($OE88=1,"cura ","")&amp;$PD88&amp;"d8")))</f>
        <v/>
      </c>
      <c r="PL88" s="155">
        <f>IF($OE88=2,3*$PE88&amp;" de vida temp.",IF($OE88=3,"sem dano",IF($PE88=0,IF($OE88=1,"sem cura","sem dano"),IF($OE88=1,"cura ","")&amp;$PE88&amp;"d8")))</f>
        <v/>
      </c>
      <c r="PM88" s="155">
        <f>IF($OE88=2,3*$PF88&amp;" de vida temp.",IF($OE88=3,"sem dano",IF($PF88=0,IF($OE88=1,"sem cura","sem dano"),IF($OE88=1,"cura ","")&amp;$PF88&amp;"d8")))</f>
        <v/>
      </c>
      <c r="PN88" s="155">
        <f>IF($OE88=2,3*$PG88&amp;" de vida temp.",IF($OE88=3,"sem dano",IF($PG88=0,IF($OE88=1,"sem cura","sem dano"),IF($OE88=1,"cura ","")&amp;$PG88&amp;"d8")))</f>
        <v/>
      </c>
      <c r="PO88" s="155">
        <f>IF($OE88=2,3*$PH88&amp;" de vida temp.",IF($OE88=3,"sem dano",IF($PH88=0,IF($OE88=1,"sem cura","sem dano"),IF($OE88=1,"cura ","")&amp;$PH88&amp;"d8")))</f>
        <v/>
      </c>
      <c r="PP88" s="155">
        <f>IF($OE88=2,3*$PI88&amp;" de vida temp.",IF($OE88=3,"sem dano",IF($PI88=0,IF($OE88=1,"sem cura","sem dano"),IF($OE88=1,"cura ","")&amp;$PI88&amp;"d8")))</f>
        <v/>
      </c>
      <c r="PQ88" s="155">
        <f>IF($OE88=2,3*$PJ88&amp;" de vida temp.",IF($OE88=3,"sem dano",IF($PJ88=0,IF($OE88=1,"sem cura","sem dano"),IF($OE88=1,"cura ","")&amp;$PJ88&amp;"d8")))</f>
        <v/>
      </c>
      <c r="PR88" s="155">
        <f>IF($NB88=0,"",TEXTJOIN(" · ",TRUE,IF($MO88&gt;$NC88,"Este lugar abre no nível "&amp;$MO88,""),IF($MQ88&gt;$ND88,"Classe "&amp;$MQ88&amp;": o nível "&amp;$NC88&amp;" libera até a "&amp;$ND88,""),IF($NV88=1,"A Forma "&amp;$MS88&amp;" pede "&amp;INDEX($W$2:$W$11,$NH88)&amp;" aberta",""),IF(AND($MQ88=0,$NH88&gt;0,IF($NH88=0,0,INDEX($AF$2:$AF$11,$NH88))=0),$MS88&amp;" não existe na Classe 0",""),IF($NW88=1,"Família Fechada: "&amp;$MV88,""),IF($NX88=1,"Família Fechada: "&amp;$MW88,""),IF($NY88=1,"Família Fechada: "&amp;$MX88,""),IF($NZ88=1,"Família Fechada: "&amp;$MY88,""),IF(AND($MQ88&gt;0,$OS88&gt;INDEX($O$2:$O$8,MAX(1,$MQ88))),$OS88&amp;" Melhorias: a Classe "&amp;$MQ88&amp;" aceita "&amp;INDEX($O$2:$O$8,MAX(1,$MQ88)),""),IF(AND($MQ88=0,$OS88&gt;1),"A básica aceita uma Melhoria",""),IF(AND($MQ88=0,COUNTIF($NM88:$NP88,"&gt;1")&gt;0),"A básica só aceita Melhoria Leve",""),IF(AND($MQ88&gt;0,$OT88&gt;2),$OT88&amp;" Restrições"&amp;IF($OD88=1,", contando a que a Forma "&amp;$MS88&amp;" já traz","")&amp;": o limite é 2",""),IF(AND($MQ88=0,COUNTIF($MZ88:$NA88,"?*")&gt;1),"A básica aceita uma Restrição Leve",""),IF(AND($MQ88=0,COUNTIF($OG88:$OH88,2)&gt;0),"A básica só aceita Restrição Leve",""),IF(AND($MQ88&gt;0,$PA88&lt;0),"Orçamento estourado: faltam "&amp;(-$PA88)&amp;IF($PA88&lt;-1," pontos"," ponto"),""),IF(IFERROR(VLOOKUP($MZ88,$BC$2:$BG$24,4,FALSE),0)+IFERROR(VLOOKUP($NA88,$BC$2:$BG$24,4,FALSE),0)&gt;1,$OI88&amp;" e "&amp;$OJ88&amp;" são as duas de frequência",""),IF(AND((COUNTIF($MV88:$MY88,"Rápido")+COUNTIF($OI88:$OJ88,"Rápido"))&gt;0,(COUNTIF($MV88:$MY88,"Atrasar")+COUNTIF($OI88:$OJ88,"Atrasar"))&gt;0),"Rápido não entra com Atrasar",""),IF(AND((COUNTIF($MV88:$MY88,"Reação")+COUNTIF($OI88:$OJ88,"Reação"))&gt;0,(COUNTIF($MV88:$MY88,"Rápido")+COUNTIF($OI88:$OJ88,"Rápido"))&gt;0),"Reação não entra com Rápido",""),IF(AND((COUNTIF($MV88:$MY88,"Reação")+COUNTIF($OI88:$OJ88,"Reação"))&gt;0,(COUNTIF($MV88:$MY88,"Armado")+COUNTIF($OI88:$OJ88,"Armado"))&gt;0),"Reação não entra com Armado",""),IF(AND((COUNTIF($MV88:$MY88,"Reação")+COUNTIF($OI88:$OJ88,"Reação"))&gt;0,(COUNTIF($MV88:$MY88,"Atrasar")+COUNTIF($OI88:$OJ88,"Atrasar"))&gt;0),"Reação não entra com Atrasar",""),IF(AND((COUNTIF($MV88:$MY88,"Reação")+COUNTIF($OI88:$OJ88,"Reação"))&gt;0,(COUNTIF($MV88:$MY88,"Parado")+COUNTIF($OI88:$OJ88,"Parado"))&gt;0),"Reação não entra com Parado",""),IF(AND((COUNTIF($MV88:$MY88,"Atrasar")+COUNTIF($OI88:$OJ88,"Atrasar"))&gt;0,(COUNTIF($MV88:$MY88,"Parado")+COUNTIF($OI88:$OJ88,"Parado"))&gt;0),"Atrasar não entra com Parado",""),IF(AND((COUNTIF($MV88:$MY88,"Armado")+COUNTIF($OI88:$OJ88,"Armado"))&gt;0,(COUNTIF($MV88:$MY88,"Carregar")+COUNTIF($OI88:$OJ88,"Carregar"))&gt;0),"Armado não entra com Carregar",""),IF(AND(COUNTIF($OI88:$OJ88,"Corpo a Corpo")&gt;0,$OD88=0,OR($MS88="Cone",$MS88="Linha")),"Corpo a Corpo não entra em "&amp;$MS88,""),IF(AND(COUNTIF($OI88:$OJ88,"Corpo a Corpo")&gt;0,$OD88=1),"A Forma "&amp;$MS88&amp;" já traz o Corpo a Corpo",""),IF(AND(COUNTIF($OI88:$OJ88,"Tudo ou Nada")&gt;0,$OF88=0),"Tudo ou Nada só entra em habilidade de Teste de Resistência",""),IF(AND(COUNTIF($MV88:$MY88,"Inescapável")&gt;0,OR($OS88&gt;1,$OT88&gt;0)),"Inescapável não aceita outra peça",""),IF(AND($MQ88&gt;0,$PB88*IF(COUNTIF($MV88:$MY88,"Remate")&gt;0,1.25,1)+$PC88&gt;4*$MQ88),($PB88*IF(COUNTIF($MV88:$MY88,"Remate")&gt;0,1.25,1)+$PC88)&amp;" dados somando repetições"&amp;IF(COUNTIF($MV88:$MY88,"Remate")&gt;0," e o Remate","")&amp;": o teto da Classe "&amp;$MQ88&amp;" é "&amp;4*$MQ88,"")))</f>
        <v/>
      </c>
      <c r="PS88" s="155">
        <f>IF($PR88="",0,(LEN($PR88)-LEN(SUBSTITUTE($PR88," · ","")))/3+1)</f>
        <v/>
      </c>
      <c r="PT88" s="155">
        <f>IF($NB88=0,"",TEXTJOIN(" · ",TRUE,IF($OV88&gt;2*$MQ88,"A devolução parou no teto de "&amp;2*$MQ88,""),IF($OY88&gt;0,"Devolução perdida: "&amp;$OY88&amp;IF($OY88&gt;1," pontos"," ponto")&amp;" sem peça para pagar",""),IF(AND($OA88&gt;0,AND($MQ88&gt;0,$OE88=0),$PB88=0),"Controle sem dano: uma rodada a mais e CD +2",""),IF(AND($OA88&gt;0,AND($MQ88&gt;0,$OE88=0),$PB88&gt;0,$PB88&lt;=$MQ88),"Controle com saldo até a Classe: uma rodada a mais",""),IF(AND($MQ88&gt;0,$OC88&lt;&gt;""),"Efeito de "&amp;$OC88&amp;" pela Classe "&amp;MAX(1,$MQ88-1),"")))</f>
        <v/>
      </c>
      <c r="PU88" s="155">
        <f>IF($PT88="",0,(LEN($PT88)-LEN(SUBSTITUTE($PT88," · ","")))/3+1)</f>
        <v/>
      </c>
      <c r="PV88" s="155">
        <f>IF($NB88=0,IF($OS88+COUNTIF($MZ88:$NA88,"?*")&gt;0,"Dê um nome",""),IF($PS88&gt;0,"⚠ "&amp;$PS88&amp;IF($PS88&gt;1," erros"," erro"),IF($PU88&gt;0,"! "&amp;$PU88&amp;IF($PU88&gt;1," avisos"," aviso"),"Na regra")))</f>
        <v/>
      </c>
      <c r="PW88" s="155">
        <f>IF($NB88=0,"",IF($PS88+$PU88=0,"Dentro das regras que a ficha confere",$PR88&amp;IF(AND($PS88&gt;0,$PU88&gt;0)," · ","")&amp;$PT88))</f>
        <v/>
      </c>
      <c r="PX88" s="155">
        <f>IF($MO88&gt;$NC88,$MP88&amp;" · ABRE NO NÍVEL "&amp;$MO88,$MP88)</f>
        <v/>
      </c>
      <c r="PY88" s="155">
        <f>IF($NB88=0,"",IF($MQ88=0,"Sem PE",3*$MQ88&amp;" PE"))</f>
        <v/>
      </c>
      <c r="PZ88" s="155">
        <f>IF($NB88=0,"",IF($MQ88=0,"A atuação básica dela",IF(COUNTIF($OI88:$OJ88,"Atrasar")&gt;0,"Sua Ação Completa",IF(COUNTIF($MV88:$MY88,"Rápido")&gt;0,"Sua Bônus",IF(COUNTIF($MV88:$MY88,"Reação")&gt;0,"Sua Reação","Sua Padrão")))&amp;" + a básica dela"&amp;IF(COUNTIF($MV88:$MY88,"Reação")&gt;0," e a coletiva","")&amp;IF(COUNTIF($OI88:$OJ88,"Carregar")&gt;0," · em dois turnos","")))</f>
        <v/>
      </c>
      <c r="QA88" s="155">
        <f>IF($MU88&lt;&gt;"",$MU88,IF($NH88=0,"",INDEX($AA$2:$AA$11,$NH88)))</f>
        <v/>
      </c>
      <c r="QB88" s="155">
        <f>IF(OR($NB88=0,$NH88=0),"",IF(COUNTIF($MV88:$MY88,"Inescapável")&gt;0,"Automático",IF($QA88="Ataque",IF($NF88="","Ataque","Ataque "&amp;IF(($NF88+2*IF(COUNTIF($MV88:$MY88,"Precisão")&gt;0,1,0))&gt;=0,"+","−")&amp;ABS(($NF88+2*IF(COUNTIF($MV88:$MY88,"Precisão")&gt;0,1,0))))&amp;IF($OB88&gt;0," · TR"&amp;IF($NG88="",""," CD "&amp;$NG88),""),IF(LEFT($QA88,2)="TR",$QA88&amp;IF($NG88="",""," · CD "&amp;$NG88)&amp;IF(COUNTIF($MV88:$MY88,"Certeiro")&gt;0," · metade",""),"Sem rolagem"))))</f>
        <v/>
      </c>
      <c r="QC88" s="155">
        <f>IF(OR($NB88=0,$NH88=0),"",IF($MQ88=0,IF(OR($OE88&gt;=1,$PB88=0),"Sem dano",$PB88&amp;"d6"&amp;IF($MT88="",""," "&amp;$MT88)),IF(OR($OE88&gt;=1,$PB88=0),UPPER(LEFT(INDEX($PK88:$PQ88,1,MAX(1,$MQ88)),1))&amp;MID(INDEX($PK88:$PQ88,1,MAX(1,$MQ88)),2,99),UPPER(LEFT(INDEX($PK88:$PQ88,1,MAX(1,$MQ88)),1))&amp;MID(INDEX($PK88:$PQ88,1,MAX(1,$MQ88)),2,99)&amp;IF($MT88="",""," "&amp;$MT88)&amp;IF($PC88&gt;0," · +"&amp;$PC88&amp;"d8",""))))</f>
        <v/>
      </c>
      <c r="QD88" s="155">
        <f>COUNTIF($MV88:$MY88,"Longe")+3*COUNTIF($MV88:$MY88,"Muito Longe")</f>
        <v/>
      </c>
      <c r="QE88" s="155">
        <f>COUNTIF($MV88:$MY88,"Maior")+3*COUNTIF($MV88:$MY88,"Muito Maior")</f>
        <v/>
      </c>
      <c r="QF88" s="155">
        <f>IF($NH88=0,0,CHOOSE(1+INDEX($AC$2:$AC$11,$NH88),0,$QD88,$QE88,$QD88+$QE88))</f>
        <v/>
      </c>
      <c r="QG88" s="155">
        <f>IF($NH88=0,0,CHOOSE(1+INDEX($AD$2:$AD$11,$NH88),0,$QD88,$QE88,$QD88+$QE88))</f>
        <v/>
      </c>
      <c r="QH88" s="155">
        <f>IF(OR($NB88=0,$NH88=0),"",INDEX($AI$2:$AN$41,($NH88-1)*4+IF($MQ88=0,1,IF($MQ88&lt;=5,2,IF($MQ88=6,3,4))),1+MIN(5,$QF88))&amp;INDEX($AO$2:$AT$41,($NH88-1)*4+IF($MQ88=0,1,IF($MQ88&lt;=5,2,IF($MQ88=6,3,4))),1+MIN(5,$QG88))&amp;IF(INDEX($AE$2:$AE$11,$NH88)=1,IF(COUNTIF($MV88:$MY88,"Mais Um")&gt;0," · +"&amp;COUNTIF($MV88:$MY88,"Mais Um")&amp;IF(COUNTIF($MV88:$MY88,"Mais Um")&gt;1," alvos"," alvo"),"")&amp;IF(COUNTIF($MV88:$MY88,"Rajada")&gt;0,IF($MQ88=0," · 1 tiro"," · "&amp;(MAX(1,$MQ88-1)+1)&amp;" tiros"),""),""))</f>
        <v/>
      </c>
      <c r="QI88" s="155">
        <f>IF($NB88=0,"",IF($MQ88=0,$NE88&amp;"d6"&amp;IF($OS88&gt;0," − 1 = "&amp;$PB88&amp;"d6"," da básica do nível "&amp;$NC88),$OZ88&amp;" − "&amp;$OU88&amp;" + "&amp;$OX88&amp;" = "&amp;$PA88&amp;" · teto "&amp;4*$MQ88&amp;"d8"&amp;IF($OD88=1," · a Forma devolve "&amp;$MQ88,"")&amp;IF($OY88&gt;0," · perde "&amp;$OY88,"")))</f>
        <v/>
      </c>
      <c r="QJ88" s="155">
        <f>IF($NB88=0,"",IF($MQ88=0,"A básica não amplia: os dados dela sobem com o nível",IF($MQ88&gt;=$ND88,"Já está na maior Classe que o nível liberou",TEXTJOIN(" · ",TRUE,IF(AND(2&gt;$MQ88,2&lt;=$ND88),"2 → "&amp;$PL88&amp;", 6 PE",""),IF(AND(3&gt;$MQ88,3&lt;=$ND88),"3 → "&amp;$PM88&amp;", 9 PE",""),IF(AND(4&gt;$MQ88,4&lt;=$ND88),"4 → "&amp;$PN88&amp;", 12 PE",""),IF(AND(5&gt;$MQ88,5&lt;=$ND88),"5 → "&amp;$PO88&amp;", 15 PE",""),IF(AND(6&gt;$MQ88,6&lt;=$ND88),"6 → "&amp;$PP88&amp;", 18 PE",""),IF(AND(7&gt;$MQ88,7&lt;=$ND88),"7 → "&amp;$PQ88&amp;", 21 PE","")))))</f>
        <v/>
      </c>
      <c r="QK88" s="155">
        <f>IF(OR($NB88=0,$NM88=0),"",IF($MQ88=0,"−1 dado","−"&amp;INDEX($I$2:$N$8,MAX(1,$MQ88),MAX(1,$NR88))&amp;" · "&amp;CHOOSE(MAX(1,$NR88),"Leve","Média","Pesada","Leve · Livre","Média · Livre","Pesada · Livre")))</f>
        <v/>
      </c>
      <c r="QL88" s="155">
        <f>IF(OR($NB88=0,$NN88=0),"",IF($MQ88=0,"−1 dado","−"&amp;INDEX($I$2:$N$8,MAX(1,$MQ88),MAX(1,$NS88))&amp;" · "&amp;CHOOSE(MAX(1,$NS88),"Leve","Média","Pesada","Leve · Livre","Média · Livre","Pesada · Livre")))</f>
        <v/>
      </c>
      <c r="QM88" s="155">
        <f>IF(OR($NB88=0,$NO88=0),"",IF($MQ88=0,"−1 dado","−"&amp;INDEX($I$2:$N$8,MAX(1,$MQ88),MAX(1,$NT88))&amp;" · "&amp;CHOOSE(MAX(1,$NT88),"Leve","Média","Pesada","Leve · Livre","Média · Livre","Pesada · Livre")))</f>
        <v/>
      </c>
      <c r="QN88" s="155">
        <f>IF(OR($NB88=0,$NP88=0),"",IF($MQ88=0,"−1 dado","−"&amp;INDEX($I$2:$N$8,MAX(1,$MQ88),MAX(1,$NU88))&amp;" · "&amp;CHOOSE(MAX(1,$NU88),"Leve","Média","Pesada","Leve · Livre","Média · Livre","Pesada · Livre")))</f>
        <v/>
      </c>
      <c r="QO88" s="155">
        <f>IF(OR($NB88=0,$MZ88=""),"",IF($MQ88=0,"não devolve","+"&amp;IF($OG88=1,CEILING($MQ88/2,1),$MQ88)))</f>
        <v/>
      </c>
      <c r="QP88" s="155">
        <f>IF(OR($NB88=0,$NA88=""),"",IF($MQ88=0,"não devolve","+"&amp;IF($OH88=1,CEILING($MQ88/2,1),$MQ88)))</f>
        <v/>
      </c>
    </row>
    <row r="89">
      <c r="ML89" s="153" t="inlineStr">
        <is>
          <t>Ficha 7 · Especial 8</t>
        </is>
      </c>
      <c r="MM89" s="155" t="n">
        <v>7</v>
      </c>
      <c r="MN89" s="155" t="n">
        <v>1</v>
      </c>
      <c r="MO89" s="155" t="n">
        <v>28</v>
      </c>
      <c r="MP89" s="153" t="inlineStr">
        <is>
          <t>ESPECIAL 8</t>
        </is>
      </c>
      <c r="MQ89" s="155">
        <f>MAX(1,MIN(7,N('INVOCAÇÕES'!$AB$136)))</f>
        <v/>
      </c>
      <c r="MR89" s="155">
        <f>'INVOCAÇÕES'!$AC$136&amp;""</f>
        <v/>
      </c>
      <c r="MS89" s="155">
        <f>'INVOCAÇÕES'!$AB$141&amp;""</f>
        <v/>
      </c>
      <c r="MT89" s="155">
        <f>'INVOCAÇÕES'!$AB$142&amp;""</f>
        <v/>
      </c>
      <c r="MU89" s="155">
        <f>'INVOCAÇÕES'!$AD$142&amp;""</f>
        <v/>
      </c>
      <c r="MV89" s="155">
        <f>'INVOCAÇÕES'!$AC$145&amp;""</f>
        <v/>
      </c>
      <c r="MW89" s="155">
        <f>'INVOCAÇÕES'!$AC$146&amp;""</f>
        <v/>
      </c>
      <c r="MX89" s="155">
        <f>'INVOCAÇÕES'!$AC$147&amp;""</f>
        <v/>
      </c>
      <c r="MY89" s="155">
        <f>'INVOCAÇÕES'!$AC$148&amp;""</f>
        <v/>
      </c>
      <c r="MZ89" s="155">
        <f>'INVOCAÇÕES'!$AC$149&amp;""</f>
        <v/>
      </c>
      <c r="NA89" s="155">
        <f>'INVOCAÇÕES'!$AC$150&amp;""</f>
        <v/>
      </c>
      <c r="NB89" s="155">
        <f>IF($MR89&lt;&gt;"",1,0)</f>
        <v/>
      </c>
      <c r="NC89" s="155">
        <f>INDEX($FM$2:$FM$13,$MM89)</f>
        <v/>
      </c>
      <c r="ND89" s="155">
        <f>INDEX($FN$2:$FN$13,$MM89)</f>
        <v/>
      </c>
      <c r="NE89" s="155">
        <f>INDEX($FO$2:$FO$13,$MM89)</f>
        <v/>
      </c>
      <c r="NF89" s="155">
        <f>INDEX($FZ$2:$FZ$13,$MM89)</f>
        <v/>
      </c>
      <c r="NG89" s="155">
        <f>INDEX($GA$2:$GA$13,$MM89)</f>
        <v/>
      </c>
      <c r="NH89" s="155">
        <f>IFERROR(MATCH($MS89,$V$2:$V$11,0),0)</f>
        <v/>
      </c>
      <c r="NI89" s="155">
        <f>IFERROR(VLOOKUP($MV89,$AV$2:$BA$84,2,FALSE),"")</f>
        <v/>
      </c>
      <c r="NJ89" s="155">
        <f>IFERROR(VLOOKUP($MW89,$AV$2:$BA$84,2,FALSE),"")</f>
        <v/>
      </c>
      <c r="NK89" s="155">
        <f>IFERROR(VLOOKUP($MX89,$AV$2:$BA$84,2,FALSE),"")</f>
        <v/>
      </c>
      <c r="NL89" s="155">
        <f>IFERROR(VLOOKUP($MY89,$AV$2:$BA$84,2,FALSE),"")</f>
        <v/>
      </c>
      <c r="NM89" s="155">
        <f>IFERROR(VLOOKUP($MV89,$AV$2:$BA$84,3,FALSE),0)</f>
        <v/>
      </c>
      <c r="NN89" s="155">
        <f>IFERROR(VLOOKUP($MW89,$AV$2:$BA$84,3,FALSE),0)</f>
        <v/>
      </c>
      <c r="NO89" s="155">
        <f>IFERROR(VLOOKUP($MX89,$AV$2:$BA$84,3,FALSE),0)</f>
        <v/>
      </c>
      <c r="NP89" s="155">
        <f>IFERROR(VLOOKUP($MY89,$AV$2:$BA$84,3,FALSE),0)</f>
        <v/>
      </c>
      <c r="NQ89" s="155">
        <f>IF($MQ89=0,0,IF($NH89=0,0,INDEX($X$2:$X$11,$NH89)))</f>
        <v/>
      </c>
      <c r="NR89" s="155">
        <f>IF(OR($NM89=0,$MQ89=0),0,$NM89+3*IF(AND($NI89&lt;&gt;"",OR($NI89=INDEX($EJ$2:$EJ$13,$MM89),$NI89=INDEX($EK$2:$EK$13,$MM89))),1,0))</f>
        <v/>
      </c>
      <c r="NS89" s="155">
        <f>IF(OR($NN89=0,$MQ89=0),0,$NN89+3*IF(AND($NJ89&lt;&gt;"",OR($NJ89=INDEX($EJ$2:$EJ$13,$MM89),$NJ89=INDEX($EK$2:$EK$13,$MM89))),1,0))</f>
        <v/>
      </c>
      <c r="NT89" s="155">
        <f>IF(OR($NO89=0,$MQ89=0),0,$NO89+3*IF(AND($NK89&lt;&gt;"",OR($NK89=INDEX($EJ$2:$EJ$13,$MM89),$NK89=INDEX($EK$2:$EK$13,$MM89))),1,0))</f>
        <v/>
      </c>
      <c r="NU89" s="155">
        <f>IF(OR($NP89=0,$MQ89=0),0,$NP89+3*IF(AND($NL89&lt;&gt;"",OR($NL89=INDEX($EJ$2:$EJ$13,$MM89),$NL89=INDEX($EK$2:$EK$13,$MM89))),1,0))</f>
        <v/>
      </c>
      <c r="NV89" s="155">
        <f>IF($NH89=0,0,IF(INDEX($W$2:$W$11,$NH89)="",0,IF(COUNTIF(INDEX($EJ$2:$EN$13,$MM89,0),INDEX($W$2:$W$11,$NH89))=0,1,0)))</f>
        <v/>
      </c>
      <c r="NW89" s="155">
        <f>IF(OR($NM89=0,$NI89=""),0,IF(COUNTIF(INDEX($EJ$2:$EN$13,$MM89,0),$NI89)=0,1,0))</f>
        <v/>
      </c>
      <c r="NX89" s="155">
        <f>IF(OR($NN89=0,$NJ89=""),0,IF(COUNTIF(INDEX($EJ$2:$EN$13,$MM89,0),$NJ89)=0,1,0))</f>
        <v/>
      </c>
      <c r="NY89" s="155">
        <f>IF(OR($NO89=0,$NK89=""),0,IF(COUNTIF(INDEX($EJ$2:$EN$13,$MM89,0),$NK89)=0,1,0))</f>
        <v/>
      </c>
      <c r="NZ89" s="155">
        <f>IF(OR($NP89=0,$NL89=""),0,IF(COUNTIF(INDEX($EJ$2:$EN$13,$MM89,0),$NL89)=0,1,0))</f>
        <v/>
      </c>
      <c r="OA89" s="155">
        <f>IFERROR(VLOOKUP($MV89,$AV$2:$BA$84,4,FALSE),0)+IFERROR(VLOOKUP($MW89,$AV$2:$BA$84,4,FALSE),0)+IFERROR(VLOOKUP($MX89,$AV$2:$BA$84,4,FALSE),0)+IFERROR(VLOOKUP($MY89,$AV$2:$BA$84,4,FALSE),0)</f>
        <v/>
      </c>
      <c r="OB89" s="155">
        <f>IFERROR(VLOOKUP($MV89,$AV$2:$BA$84,6,FALSE),0)+IFERROR(VLOOKUP($MW89,$AV$2:$BA$84,6,FALSE),0)+IFERROR(VLOOKUP($MX89,$AV$2:$BA$84,6,FALSE),0)+IFERROR(VLOOKUP($MY89,$AV$2:$BA$84,6,FALSE),0)</f>
        <v/>
      </c>
      <c r="OC89" s="155">
        <f>TEXTJOIN(", ",TRUE,IF(IFERROR(VLOOKUP($MV89,$AV$2:$BA$84,5,FALSE),0)=1,$MV89,""),IF(IFERROR(VLOOKUP($MW89,$AV$2:$BA$84,5,FALSE),0)=1,$MW89,""),IF(IFERROR(VLOOKUP($MX89,$AV$2:$BA$84,5,FALSE),0)=1,$MX89,""),IF(IFERROR(VLOOKUP($MY89,$AV$2:$BA$84,5,FALSE),0)=1,$MY89,""))</f>
        <v/>
      </c>
      <c r="OD89" s="155">
        <f>IF($NH89=0,0,INDEX($Y$2:$Y$11,$NH89))</f>
        <v/>
      </c>
      <c r="OE89" s="155">
        <f>IF($NH89=0,0,INDEX($Z$2:$Z$11,$NH89))</f>
        <v/>
      </c>
      <c r="OF89" s="155">
        <f>IF($NH89=0,0,INDEX($AB$2:$AB$11,$NH89))</f>
        <v/>
      </c>
      <c r="OG89" s="155">
        <f>IFERROR(VLOOKUP($MZ89,$BC$2:$BG$24,3,FALSE),0)</f>
        <v/>
      </c>
      <c r="OH89" s="155">
        <f>IFERROR(VLOOKUP($NA89,$BC$2:$BG$24,3,FALSE),0)</f>
        <v/>
      </c>
      <c r="OI89" s="155">
        <f>IFERROR(VLOOKUP($MZ89,$BC$2:$BG$24,2,FALSE),"")</f>
        <v/>
      </c>
      <c r="OJ89" s="155">
        <f>IFERROR(VLOOKUP($NA89,$BC$2:$BG$24,2,FALSE),"")</f>
        <v/>
      </c>
      <c r="OK89" s="155">
        <f>COUNTIF($NQ89:$NU89,1)</f>
        <v/>
      </c>
      <c r="OL89" s="155">
        <f>COUNTIF($NQ89:$NU89,2)</f>
        <v/>
      </c>
      <c r="OM89" s="155">
        <f>COUNTIF($NQ89:$NU89,3)</f>
        <v/>
      </c>
      <c r="ON89" s="155">
        <f>COUNTIF($NQ89:$NU89,4)</f>
        <v/>
      </c>
      <c r="OO89" s="155">
        <f>COUNTIF($NQ89:$NU89,5)</f>
        <v/>
      </c>
      <c r="OP89" s="155">
        <f>COUNTIF($NQ89:$NU89,6)</f>
        <v/>
      </c>
      <c r="OQ89" s="155">
        <f>COUNTIF($OG89:$OH89,1)</f>
        <v/>
      </c>
      <c r="OR89" s="155">
        <f>COUNTIF($OG89:$OH89,2)+$OD89</f>
        <v/>
      </c>
      <c r="OS89" s="155">
        <f>COUNTIF($MV89:$MY89,"?*")</f>
        <v/>
      </c>
      <c r="OT89" s="155">
        <f>COUNTIF($MZ89:$NA89,"?*")+$OD89</f>
        <v/>
      </c>
      <c r="OU89" s="155">
        <f>IF($MQ89=0,0,SUMPRODUCT($OK89:$OP89,INDEX($I$2:$N$8,MAX(1,$MQ89),0)))</f>
        <v/>
      </c>
      <c r="OV89" s="155">
        <f>IF($MQ89=0,0,$OQ89*CEILING($MQ89/2,1)+$OR89*$MQ89)</f>
        <v/>
      </c>
      <c r="OW89" s="155">
        <f>MIN(2*$MQ89,$OV89)</f>
        <v/>
      </c>
      <c r="OX89" s="155">
        <f>MIN($OW89,$OU89)</f>
        <v/>
      </c>
      <c r="OY89" s="155">
        <f>$OW89-$OX89</f>
        <v/>
      </c>
      <c r="OZ89" s="155">
        <f>IF($MQ89=0,0,INDEX($P$2:$P$8,MAX(1,$MQ89)))</f>
        <v/>
      </c>
      <c r="PA89" s="155">
        <f>$OZ89-$OU89+$OX89</f>
        <v/>
      </c>
      <c r="PB89" s="155">
        <f>IF($MQ89=0,MAX(0,$NE89-IF($OS89&gt;0,1,0)),MAX(0,$PA89))</f>
        <v/>
      </c>
      <c r="PC89" s="155">
        <f>IF($MQ89=0,0,(IF(COUNTIF($MV89:$MY89,"Salto")&gt;0,1,0)+IF(COUNTIF($MV89:$MY89,"Queima")&gt;0,1,0)+IF(COUNTIF($MV89:$MY89,"Estilhaço")&gt;0,1,0))*FLOOR($PB89/2,1))</f>
        <v/>
      </c>
      <c r="PD89" s="155">
        <f>MAX(0,2-SUMPRODUCT($OK89:$OP89,$I$2:$N$2)+MIN(2,$OQ89*1+$OR89*1,SUMPRODUCT($OK89:$OP89,$I$2:$N$2)))</f>
        <v/>
      </c>
      <c r="PE89" s="155">
        <f>MAX(0,4-SUMPRODUCT($OK89:$OP89,$I$3:$N$3)+MIN(4,$OQ89*1+$OR89*2,SUMPRODUCT($OK89:$OP89,$I$3:$N$3)))</f>
        <v/>
      </c>
      <c r="PF89" s="155">
        <f>MAX(0,6-SUMPRODUCT($OK89:$OP89,$I$4:$N$4)+MIN(6,$OQ89*2+$OR89*3,SUMPRODUCT($OK89:$OP89,$I$4:$N$4)))</f>
        <v/>
      </c>
      <c r="PG89" s="155">
        <f>MAX(0,9-SUMPRODUCT($OK89:$OP89,$I$5:$N$5)+MIN(8,$OQ89*2+$OR89*4,SUMPRODUCT($OK89:$OP89,$I$5:$N$5)))</f>
        <v/>
      </c>
      <c r="PH89" s="155">
        <f>MAX(0,11-SUMPRODUCT($OK89:$OP89,$I$6:$N$6)+MIN(10,$OQ89*3+$OR89*5,SUMPRODUCT($OK89:$OP89,$I$6:$N$6)))</f>
        <v/>
      </c>
      <c r="PI89" s="155">
        <f>MAX(0,13-SUMPRODUCT($OK89:$OP89,$I$7:$N$7)+MIN(12,$OQ89*3+$OR89*6,SUMPRODUCT($OK89:$OP89,$I$7:$N$7)))</f>
        <v/>
      </c>
      <c r="PJ89" s="155">
        <f>MAX(0,16-SUMPRODUCT($OK89:$OP89,$I$8:$N$8)+MIN(14,$OQ89*4+$OR89*7,SUMPRODUCT($OK89:$OP89,$I$8:$N$8)))</f>
        <v/>
      </c>
      <c r="PK89" s="155">
        <f>IF($OE89=2,3*$PD89&amp;" de vida temp.",IF($OE89=3,"sem dano",IF($PD89=0,IF($OE89=1,"sem cura","sem dano"),IF($OE89=1,"cura ","")&amp;$PD89&amp;"d8")))</f>
        <v/>
      </c>
      <c r="PL89" s="155">
        <f>IF($OE89=2,3*$PE89&amp;" de vida temp.",IF($OE89=3,"sem dano",IF($PE89=0,IF($OE89=1,"sem cura","sem dano"),IF($OE89=1,"cura ","")&amp;$PE89&amp;"d8")))</f>
        <v/>
      </c>
      <c r="PM89" s="155">
        <f>IF($OE89=2,3*$PF89&amp;" de vida temp.",IF($OE89=3,"sem dano",IF($PF89=0,IF($OE89=1,"sem cura","sem dano"),IF($OE89=1,"cura ","")&amp;$PF89&amp;"d8")))</f>
        <v/>
      </c>
      <c r="PN89" s="155">
        <f>IF($OE89=2,3*$PG89&amp;" de vida temp.",IF($OE89=3,"sem dano",IF($PG89=0,IF($OE89=1,"sem cura","sem dano"),IF($OE89=1,"cura ","")&amp;$PG89&amp;"d8")))</f>
        <v/>
      </c>
      <c r="PO89" s="155">
        <f>IF($OE89=2,3*$PH89&amp;" de vida temp.",IF($OE89=3,"sem dano",IF($PH89=0,IF($OE89=1,"sem cura","sem dano"),IF($OE89=1,"cura ","")&amp;$PH89&amp;"d8")))</f>
        <v/>
      </c>
      <c r="PP89" s="155">
        <f>IF($OE89=2,3*$PI89&amp;" de vida temp.",IF($OE89=3,"sem dano",IF($PI89=0,IF($OE89=1,"sem cura","sem dano"),IF($OE89=1,"cura ","")&amp;$PI89&amp;"d8")))</f>
        <v/>
      </c>
      <c r="PQ89" s="155">
        <f>IF($OE89=2,3*$PJ89&amp;" de vida temp.",IF($OE89=3,"sem dano",IF($PJ89=0,IF($OE89=1,"sem cura","sem dano"),IF($OE89=1,"cura ","")&amp;$PJ89&amp;"d8")))</f>
        <v/>
      </c>
      <c r="PR89" s="155">
        <f>IF($NB89=0,"",TEXTJOIN(" · ",TRUE,IF($MO89&gt;$NC89,"Este lugar abre no nível "&amp;$MO89,""),IF($MQ89&gt;$ND89,"Classe "&amp;$MQ89&amp;": o nível "&amp;$NC89&amp;" libera até a "&amp;$ND89,""),IF($NV89=1,"A Forma "&amp;$MS89&amp;" pede "&amp;INDEX($W$2:$W$11,$NH89)&amp;" aberta",""),IF(AND($MQ89=0,$NH89&gt;0,IF($NH89=0,0,INDEX($AF$2:$AF$11,$NH89))=0),$MS89&amp;" não existe na Classe 0",""),IF($NW89=1,"Família Fechada: "&amp;$MV89,""),IF($NX89=1,"Família Fechada: "&amp;$MW89,""),IF($NY89=1,"Família Fechada: "&amp;$MX89,""),IF($NZ89=1,"Família Fechada: "&amp;$MY89,""),IF(AND($MQ89&gt;0,$OS89&gt;INDEX($O$2:$O$8,MAX(1,$MQ89))),$OS89&amp;" Melhorias: a Classe "&amp;$MQ89&amp;" aceita "&amp;INDEX($O$2:$O$8,MAX(1,$MQ89)),""),IF(AND($MQ89=0,$OS89&gt;1),"A básica aceita uma Melhoria",""),IF(AND($MQ89=0,COUNTIF($NM89:$NP89,"&gt;1")&gt;0),"A básica só aceita Melhoria Leve",""),IF(AND($MQ89&gt;0,$OT89&gt;2),$OT89&amp;" Restrições"&amp;IF($OD89=1,", contando a que a Forma "&amp;$MS89&amp;" já traz","")&amp;": o limite é 2",""),IF(AND($MQ89=0,COUNTIF($MZ89:$NA89,"?*")&gt;1),"A básica aceita uma Restrição Leve",""),IF(AND($MQ89=0,COUNTIF($OG89:$OH89,2)&gt;0),"A básica só aceita Restrição Leve",""),IF(AND($MQ89&gt;0,$PA89&lt;0),"Orçamento estourado: faltam "&amp;(-$PA89)&amp;IF($PA89&lt;-1," pontos"," ponto"),""),IF(IFERROR(VLOOKUP($MZ89,$BC$2:$BG$24,4,FALSE),0)+IFERROR(VLOOKUP($NA89,$BC$2:$BG$24,4,FALSE),0)&gt;1,$OI89&amp;" e "&amp;$OJ89&amp;" são as duas de frequência",""),IF(AND((COUNTIF($MV89:$MY89,"Rápido")+COUNTIF($OI89:$OJ89,"Rápido"))&gt;0,(COUNTIF($MV89:$MY89,"Atrasar")+COUNTIF($OI89:$OJ89,"Atrasar"))&gt;0),"Rápido não entra com Atrasar",""),IF(AND((COUNTIF($MV89:$MY89,"Reação")+COUNTIF($OI89:$OJ89,"Reação"))&gt;0,(COUNTIF($MV89:$MY89,"Rápido")+COUNTIF($OI89:$OJ89,"Rápido"))&gt;0),"Reação não entra com Rápido",""),IF(AND((COUNTIF($MV89:$MY89,"Reação")+COUNTIF($OI89:$OJ89,"Reação"))&gt;0,(COUNTIF($MV89:$MY89,"Armado")+COUNTIF($OI89:$OJ89,"Armado"))&gt;0),"Reação não entra com Armado",""),IF(AND((COUNTIF($MV89:$MY89,"Reação")+COUNTIF($OI89:$OJ89,"Reação"))&gt;0,(COUNTIF($MV89:$MY89,"Atrasar")+COUNTIF($OI89:$OJ89,"Atrasar"))&gt;0),"Reação não entra com Atrasar",""),IF(AND((COUNTIF($MV89:$MY89,"Reação")+COUNTIF($OI89:$OJ89,"Reação"))&gt;0,(COUNTIF($MV89:$MY89,"Parado")+COUNTIF($OI89:$OJ89,"Parado"))&gt;0),"Reação não entra com Parado",""),IF(AND((COUNTIF($MV89:$MY89,"Atrasar")+COUNTIF($OI89:$OJ89,"Atrasar"))&gt;0,(COUNTIF($MV89:$MY89,"Parado")+COUNTIF($OI89:$OJ89,"Parado"))&gt;0),"Atrasar não entra com Parado",""),IF(AND((COUNTIF($MV89:$MY89,"Armado")+COUNTIF($OI89:$OJ89,"Armado"))&gt;0,(COUNTIF($MV89:$MY89,"Carregar")+COUNTIF($OI89:$OJ89,"Carregar"))&gt;0),"Armado não entra com Carregar",""),IF(AND(COUNTIF($OI89:$OJ89,"Corpo a Corpo")&gt;0,$OD89=0,OR($MS89="Cone",$MS89="Linha")),"Corpo a Corpo não entra em "&amp;$MS89,""),IF(AND(COUNTIF($OI89:$OJ89,"Corpo a Corpo")&gt;0,$OD89=1),"A Forma "&amp;$MS89&amp;" já traz o Corpo a Corpo",""),IF(AND(COUNTIF($OI89:$OJ89,"Tudo ou Nada")&gt;0,$OF89=0),"Tudo ou Nada só entra em habilidade de Teste de Resistência",""),IF(AND(COUNTIF($MV89:$MY89,"Inescapável")&gt;0,OR($OS89&gt;1,$OT89&gt;0)),"Inescapável não aceita outra peça",""),IF(AND($MQ89&gt;0,$PB89*IF(COUNTIF($MV89:$MY89,"Remate")&gt;0,1.25,1)+$PC89&gt;4*$MQ89),($PB89*IF(COUNTIF($MV89:$MY89,"Remate")&gt;0,1.25,1)+$PC89)&amp;" dados somando repetições"&amp;IF(COUNTIF($MV89:$MY89,"Remate")&gt;0," e o Remate","")&amp;": o teto da Classe "&amp;$MQ89&amp;" é "&amp;4*$MQ89,"")))</f>
        <v/>
      </c>
      <c r="PS89" s="155">
        <f>IF($PR89="",0,(LEN($PR89)-LEN(SUBSTITUTE($PR89," · ","")))/3+1)</f>
        <v/>
      </c>
      <c r="PT89" s="155">
        <f>IF($NB89=0,"",TEXTJOIN(" · ",TRUE,IF($OV89&gt;2*$MQ89,"A devolução parou no teto de "&amp;2*$MQ89,""),IF($OY89&gt;0,"Devolução perdida: "&amp;$OY89&amp;IF($OY89&gt;1," pontos"," ponto")&amp;" sem peça para pagar",""),IF(AND($OA89&gt;0,AND($MQ89&gt;0,$OE89=0),$PB89=0),"Controle sem dano: uma rodada a mais e CD +2",""),IF(AND($OA89&gt;0,AND($MQ89&gt;0,$OE89=0),$PB89&gt;0,$PB89&lt;=$MQ89),"Controle com saldo até a Classe: uma rodada a mais",""),IF(AND($MQ89&gt;0,$OC89&lt;&gt;""),"Efeito de "&amp;$OC89&amp;" pela Classe "&amp;MAX(1,$MQ89-1),"")))</f>
        <v/>
      </c>
      <c r="PU89" s="155">
        <f>IF($PT89="",0,(LEN($PT89)-LEN(SUBSTITUTE($PT89," · ","")))/3+1)</f>
        <v/>
      </c>
      <c r="PV89" s="155">
        <f>IF($NB89=0,IF($OS89+COUNTIF($MZ89:$NA89,"?*")&gt;0,"Dê um nome",""),IF($PS89&gt;0,"⚠ "&amp;$PS89&amp;IF($PS89&gt;1," erros"," erro"),IF($PU89&gt;0,"! "&amp;$PU89&amp;IF($PU89&gt;1," avisos"," aviso"),"Na regra")))</f>
        <v/>
      </c>
      <c r="PW89" s="155">
        <f>IF($NB89=0,"",IF($PS89+$PU89=0,"Dentro das regras que a ficha confere",$PR89&amp;IF(AND($PS89&gt;0,$PU89&gt;0)," · ","")&amp;$PT89))</f>
        <v/>
      </c>
      <c r="PX89" s="155">
        <f>IF($MO89&gt;$NC89,$MP89&amp;" · ABRE NO NÍVEL "&amp;$MO89,$MP89)</f>
        <v/>
      </c>
      <c r="PY89" s="155">
        <f>IF($NB89=0,"",IF($MQ89=0,"Sem PE",3*$MQ89&amp;" PE"))</f>
        <v/>
      </c>
      <c r="PZ89" s="155">
        <f>IF($NB89=0,"",IF($MQ89=0,"A atuação básica dela",IF(COUNTIF($OI89:$OJ89,"Atrasar")&gt;0,"Sua Ação Completa",IF(COUNTIF($MV89:$MY89,"Rápido")&gt;0,"Sua Bônus",IF(COUNTIF($MV89:$MY89,"Reação")&gt;0,"Sua Reação","Sua Padrão")))&amp;" + a básica dela"&amp;IF(COUNTIF($MV89:$MY89,"Reação")&gt;0," e a coletiva","")&amp;IF(COUNTIF($OI89:$OJ89,"Carregar")&gt;0," · em dois turnos","")))</f>
        <v/>
      </c>
      <c r="QA89" s="155">
        <f>IF($MU89&lt;&gt;"",$MU89,IF($NH89=0,"",INDEX($AA$2:$AA$11,$NH89)))</f>
        <v/>
      </c>
      <c r="QB89" s="155">
        <f>IF(OR($NB89=0,$NH89=0),"",IF(COUNTIF($MV89:$MY89,"Inescapável")&gt;0,"Automático",IF($QA89="Ataque",IF($NF89="","Ataque","Ataque "&amp;IF(($NF89+2*IF(COUNTIF($MV89:$MY89,"Precisão")&gt;0,1,0))&gt;=0,"+","−")&amp;ABS(($NF89+2*IF(COUNTIF($MV89:$MY89,"Precisão")&gt;0,1,0))))&amp;IF($OB89&gt;0," · TR"&amp;IF($NG89="",""," CD "&amp;$NG89),""),IF(LEFT($QA89,2)="TR",$QA89&amp;IF($NG89="",""," · CD "&amp;$NG89)&amp;IF(COUNTIF($MV89:$MY89,"Certeiro")&gt;0," · metade",""),"Sem rolagem"))))</f>
        <v/>
      </c>
      <c r="QC89" s="155">
        <f>IF(OR($NB89=0,$NH89=0),"",IF($MQ89=0,IF(OR($OE89&gt;=1,$PB89=0),"Sem dano",$PB89&amp;"d6"&amp;IF($MT89="",""," "&amp;$MT89)),IF(OR($OE89&gt;=1,$PB89=0),UPPER(LEFT(INDEX($PK89:$PQ89,1,MAX(1,$MQ89)),1))&amp;MID(INDEX($PK89:$PQ89,1,MAX(1,$MQ89)),2,99),UPPER(LEFT(INDEX($PK89:$PQ89,1,MAX(1,$MQ89)),1))&amp;MID(INDEX($PK89:$PQ89,1,MAX(1,$MQ89)),2,99)&amp;IF($MT89="",""," "&amp;$MT89)&amp;IF($PC89&gt;0," · +"&amp;$PC89&amp;"d8",""))))</f>
        <v/>
      </c>
      <c r="QD89" s="155">
        <f>COUNTIF($MV89:$MY89,"Longe")+3*COUNTIF($MV89:$MY89,"Muito Longe")</f>
        <v/>
      </c>
      <c r="QE89" s="155">
        <f>COUNTIF($MV89:$MY89,"Maior")+3*COUNTIF($MV89:$MY89,"Muito Maior")</f>
        <v/>
      </c>
      <c r="QF89" s="155">
        <f>IF($NH89=0,0,CHOOSE(1+INDEX($AC$2:$AC$11,$NH89),0,$QD89,$QE89,$QD89+$QE89))</f>
        <v/>
      </c>
      <c r="QG89" s="155">
        <f>IF($NH89=0,0,CHOOSE(1+INDEX($AD$2:$AD$11,$NH89),0,$QD89,$QE89,$QD89+$QE89))</f>
        <v/>
      </c>
      <c r="QH89" s="155">
        <f>IF(OR($NB89=0,$NH89=0),"",INDEX($AI$2:$AN$41,($NH89-1)*4+IF($MQ89=0,1,IF($MQ89&lt;=5,2,IF($MQ89=6,3,4))),1+MIN(5,$QF89))&amp;INDEX($AO$2:$AT$41,($NH89-1)*4+IF($MQ89=0,1,IF($MQ89&lt;=5,2,IF($MQ89=6,3,4))),1+MIN(5,$QG89))&amp;IF(INDEX($AE$2:$AE$11,$NH89)=1,IF(COUNTIF($MV89:$MY89,"Mais Um")&gt;0," · +"&amp;COUNTIF($MV89:$MY89,"Mais Um")&amp;IF(COUNTIF($MV89:$MY89,"Mais Um")&gt;1," alvos"," alvo"),"")&amp;IF(COUNTIF($MV89:$MY89,"Rajada")&gt;0,IF($MQ89=0," · 1 tiro"," · "&amp;(MAX(1,$MQ89-1)+1)&amp;" tiros"),""),""))</f>
        <v/>
      </c>
      <c r="QI89" s="155">
        <f>IF($NB89=0,"",IF($MQ89=0,$NE89&amp;"d6"&amp;IF($OS89&gt;0," − 1 = "&amp;$PB89&amp;"d6"," da básica do nível "&amp;$NC89),$OZ89&amp;" − "&amp;$OU89&amp;" + "&amp;$OX89&amp;" = "&amp;$PA89&amp;" · teto "&amp;4*$MQ89&amp;"d8"&amp;IF($OD89=1," · a Forma devolve "&amp;$MQ89,"")&amp;IF($OY89&gt;0," · perde "&amp;$OY89,"")))</f>
        <v/>
      </c>
      <c r="QJ89" s="155">
        <f>IF($NB89=0,"",IF($MQ89=0,"A básica não amplia: os dados dela sobem com o nível",IF($MQ89&gt;=$ND89,"Já está na maior Classe que o nível liberou",TEXTJOIN(" · ",TRUE,IF(AND(2&gt;$MQ89,2&lt;=$ND89),"2 → "&amp;$PL89&amp;", 6 PE",""),IF(AND(3&gt;$MQ89,3&lt;=$ND89),"3 → "&amp;$PM89&amp;", 9 PE",""),IF(AND(4&gt;$MQ89,4&lt;=$ND89),"4 → "&amp;$PN89&amp;", 12 PE",""),IF(AND(5&gt;$MQ89,5&lt;=$ND89),"5 → "&amp;$PO89&amp;", 15 PE",""),IF(AND(6&gt;$MQ89,6&lt;=$ND89),"6 → "&amp;$PP89&amp;", 18 PE",""),IF(AND(7&gt;$MQ89,7&lt;=$ND89),"7 → "&amp;$PQ89&amp;", 21 PE","")))))</f>
        <v/>
      </c>
      <c r="QK89" s="155">
        <f>IF(OR($NB89=0,$NM89=0),"",IF($MQ89=0,"−1 dado","−"&amp;INDEX($I$2:$N$8,MAX(1,$MQ89),MAX(1,$NR89))&amp;" · "&amp;CHOOSE(MAX(1,$NR89),"Leve","Média","Pesada","Leve · Livre","Média · Livre","Pesada · Livre")))</f>
        <v/>
      </c>
      <c r="QL89" s="155">
        <f>IF(OR($NB89=0,$NN89=0),"",IF($MQ89=0,"−1 dado","−"&amp;INDEX($I$2:$N$8,MAX(1,$MQ89),MAX(1,$NS89))&amp;" · "&amp;CHOOSE(MAX(1,$NS89),"Leve","Média","Pesada","Leve · Livre","Média · Livre","Pesada · Livre")))</f>
        <v/>
      </c>
      <c r="QM89" s="155">
        <f>IF(OR($NB89=0,$NO89=0),"",IF($MQ89=0,"−1 dado","−"&amp;INDEX($I$2:$N$8,MAX(1,$MQ89),MAX(1,$NT89))&amp;" · "&amp;CHOOSE(MAX(1,$NT89),"Leve","Média","Pesada","Leve · Livre","Média · Livre","Pesada · Livre")))</f>
        <v/>
      </c>
      <c r="QN89" s="155">
        <f>IF(OR($NB89=0,$NP89=0),"",IF($MQ89=0,"−1 dado","−"&amp;INDEX($I$2:$N$8,MAX(1,$MQ89),MAX(1,$NU89))&amp;" · "&amp;CHOOSE(MAX(1,$NU89),"Leve","Média","Pesada","Leve · Livre","Média · Livre","Pesada · Livre")))</f>
        <v/>
      </c>
      <c r="QO89" s="155">
        <f>IF(OR($NB89=0,$MZ89=""),"",IF($MQ89=0,"não devolve","+"&amp;IF($OG89=1,CEILING($MQ89/2,1),$MQ89)))</f>
        <v/>
      </c>
      <c r="QP89" s="155">
        <f>IF(OR($NB89=0,$NA89=""),"",IF($MQ89=0,"não devolve","+"&amp;IF($OH89=1,CEILING($MQ89/2,1),$MQ89)))</f>
        <v/>
      </c>
    </row>
    <row r="90">
      <c r="ML90" s="153" t="inlineStr">
        <is>
          <t>Ficha 7 · Escolha da trilha 1</t>
        </is>
      </c>
      <c r="MM90" s="155" t="n">
        <v>7</v>
      </c>
      <c r="MN90" s="155" t="n">
        <v>2</v>
      </c>
      <c r="MO90" s="155" t="n">
        <v>0</v>
      </c>
      <c r="MP90" s="153" t="inlineStr">
        <is>
          <t>ESCOLHA DA TRILHA 1</t>
        </is>
      </c>
      <c r="MQ90" s="155">
        <f>MAX(0,MIN(7,N('INVOCAÇÕES'!$AB$160)))</f>
        <v/>
      </c>
      <c r="MR90" s="155">
        <f>'INVOCAÇÕES'!$AC$160&amp;""</f>
        <v/>
      </c>
      <c r="MS90" s="155">
        <f>'INVOCAÇÕES'!$AB$165&amp;""</f>
        <v/>
      </c>
      <c r="MT90" s="155">
        <f>'INVOCAÇÕES'!$AB$166&amp;""</f>
        <v/>
      </c>
      <c r="MU90" s="155">
        <f>'INVOCAÇÕES'!$AD$166&amp;""</f>
        <v/>
      </c>
      <c r="MV90" s="155">
        <f>'INVOCAÇÕES'!$AC$169&amp;""</f>
        <v/>
      </c>
      <c r="MW90" s="155">
        <f>'INVOCAÇÕES'!$AC$170&amp;""</f>
        <v/>
      </c>
      <c r="MX90" s="155">
        <f>'INVOCAÇÕES'!$AC$171&amp;""</f>
        <v/>
      </c>
      <c r="MY90" s="155">
        <f>'INVOCAÇÕES'!$AC$172&amp;""</f>
        <v/>
      </c>
      <c r="MZ90" s="155">
        <f>'INVOCAÇÕES'!$AC$173&amp;""</f>
        <v/>
      </c>
      <c r="NA90" s="155">
        <f>'INVOCAÇÕES'!$AC$174&amp;""</f>
        <v/>
      </c>
      <c r="NB90" s="155">
        <f>IF($MR90&lt;&gt;"",1,0)</f>
        <v/>
      </c>
      <c r="NC90" s="155">
        <f>INDEX($FM$2:$FM$13,$MM90)</f>
        <v/>
      </c>
      <c r="ND90" s="155">
        <f>INDEX($FN$2:$FN$13,$MM90)</f>
        <v/>
      </c>
      <c r="NE90" s="155">
        <f>INDEX($FO$2:$FO$13,$MM90)</f>
        <v/>
      </c>
      <c r="NF90" s="155">
        <f>INDEX($FZ$2:$FZ$13,$MM90)</f>
        <v/>
      </c>
      <c r="NG90" s="155">
        <f>INDEX($GA$2:$GA$13,$MM90)</f>
        <v/>
      </c>
      <c r="NH90" s="155">
        <f>IFERROR(MATCH($MS90,$V$2:$V$11,0),0)</f>
        <v/>
      </c>
      <c r="NI90" s="155">
        <f>IFERROR(VLOOKUP($MV90,$AV$2:$BA$84,2,FALSE),"")</f>
        <v/>
      </c>
      <c r="NJ90" s="155">
        <f>IFERROR(VLOOKUP($MW90,$AV$2:$BA$84,2,FALSE),"")</f>
        <v/>
      </c>
      <c r="NK90" s="155">
        <f>IFERROR(VLOOKUP($MX90,$AV$2:$BA$84,2,FALSE),"")</f>
        <v/>
      </c>
      <c r="NL90" s="155">
        <f>IFERROR(VLOOKUP($MY90,$AV$2:$BA$84,2,FALSE),"")</f>
        <v/>
      </c>
      <c r="NM90" s="155">
        <f>IFERROR(VLOOKUP($MV90,$AV$2:$BA$84,3,FALSE),0)</f>
        <v/>
      </c>
      <c r="NN90" s="155">
        <f>IFERROR(VLOOKUP($MW90,$AV$2:$BA$84,3,FALSE),0)</f>
        <v/>
      </c>
      <c r="NO90" s="155">
        <f>IFERROR(VLOOKUP($MX90,$AV$2:$BA$84,3,FALSE),0)</f>
        <v/>
      </c>
      <c r="NP90" s="155">
        <f>IFERROR(VLOOKUP($MY90,$AV$2:$BA$84,3,FALSE),0)</f>
        <v/>
      </c>
      <c r="NQ90" s="155">
        <f>IF($MQ90=0,0,IF($NH90=0,0,INDEX($X$2:$X$11,$NH90)))</f>
        <v/>
      </c>
      <c r="NR90" s="155">
        <f>IF(OR($NM90=0,$MQ90=0),0,$NM90+3*IF(AND($NI90&lt;&gt;"",OR($NI90=INDEX($EJ$2:$EJ$13,$MM90),$NI90=INDEX($EK$2:$EK$13,$MM90))),1,0))</f>
        <v/>
      </c>
      <c r="NS90" s="155">
        <f>IF(OR($NN90=0,$MQ90=0),0,$NN90+3*IF(AND($NJ90&lt;&gt;"",OR($NJ90=INDEX($EJ$2:$EJ$13,$MM90),$NJ90=INDEX($EK$2:$EK$13,$MM90))),1,0))</f>
        <v/>
      </c>
      <c r="NT90" s="155">
        <f>IF(OR($NO90=0,$MQ90=0),0,$NO90+3*IF(AND($NK90&lt;&gt;"",OR($NK90=INDEX($EJ$2:$EJ$13,$MM90),$NK90=INDEX($EK$2:$EK$13,$MM90))),1,0))</f>
        <v/>
      </c>
      <c r="NU90" s="155">
        <f>IF(OR($NP90=0,$MQ90=0),0,$NP90+3*IF(AND($NL90&lt;&gt;"",OR($NL90=INDEX($EJ$2:$EJ$13,$MM90),$NL90=INDEX($EK$2:$EK$13,$MM90))),1,0))</f>
        <v/>
      </c>
      <c r="NV90" s="155">
        <f>IF($NH90=0,0,IF(INDEX($W$2:$W$11,$NH90)="",0,IF(COUNTIF(INDEX($EJ$2:$EN$13,$MM90,0),INDEX($W$2:$W$11,$NH90))=0,1,0)))</f>
        <v/>
      </c>
      <c r="NW90" s="155">
        <f>IF(OR($NM90=0,$NI90=""),0,IF(COUNTIF(INDEX($EJ$2:$EN$13,$MM90,0),$NI90)=0,1,0))</f>
        <v/>
      </c>
      <c r="NX90" s="155">
        <f>IF(OR($NN90=0,$NJ90=""),0,IF(COUNTIF(INDEX($EJ$2:$EN$13,$MM90,0),$NJ90)=0,1,0))</f>
        <v/>
      </c>
      <c r="NY90" s="155">
        <f>IF(OR($NO90=0,$NK90=""),0,IF(COUNTIF(INDEX($EJ$2:$EN$13,$MM90,0),$NK90)=0,1,0))</f>
        <v/>
      </c>
      <c r="NZ90" s="155">
        <f>IF(OR($NP90=0,$NL90=""),0,IF(COUNTIF(INDEX($EJ$2:$EN$13,$MM90,0),$NL90)=0,1,0))</f>
        <v/>
      </c>
      <c r="OA90" s="155">
        <f>IFERROR(VLOOKUP($MV90,$AV$2:$BA$84,4,FALSE),0)+IFERROR(VLOOKUP($MW90,$AV$2:$BA$84,4,FALSE),0)+IFERROR(VLOOKUP($MX90,$AV$2:$BA$84,4,FALSE),0)+IFERROR(VLOOKUP($MY90,$AV$2:$BA$84,4,FALSE),0)</f>
        <v/>
      </c>
      <c r="OB90" s="155">
        <f>IFERROR(VLOOKUP($MV90,$AV$2:$BA$84,6,FALSE),0)+IFERROR(VLOOKUP($MW90,$AV$2:$BA$84,6,FALSE),0)+IFERROR(VLOOKUP($MX90,$AV$2:$BA$84,6,FALSE),0)+IFERROR(VLOOKUP($MY90,$AV$2:$BA$84,6,FALSE),0)</f>
        <v/>
      </c>
      <c r="OC90" s="155">
        <f>TEXTJOIN(", ",TRUE,IF(IFERROR(VLOOKUP($MV90,$AV$2:$BA$84,5,FALSE),0)=1,$MV90,""),IF(IFERROR(VLOOKUP($MW90,$AV$2:$BA$84,5,FALSE),0)=1,$MW90,""),IF(IFERROR(VLOOKUP($MX90,$AV$2:$BA$84,5,FALSE),0)=1,$MX90,""),IF(IFERROR(VLOOKUP($MY90,$AV$2:$BA$84,5,FALSE),0)=1,$MY90,""))</f>
        <v/>
      </c>
      <c r="OD90" s="155">
        <f>IF($NH90=0,0,INDEX($Y$2:$Y$11,$NH90))</f>
        <v/>
      </c>
      <c r="OE90" s="155">
        <f>IF($NH90=0,0,INDEX($Z$2:$Z$11,$NH90))</f>
        <v/>
      </c>
      <c r="OF90" s="155">
        <f>IF($NH90=0,0,INDEX($AB$2:$AB$11,$NH90))</f>
        <v/>
      </c>
      <c r="OG90" s="155">
        <f>IFERROR(VLOOKUP($MZ90,$BC$2:$BG$24,3,FALSE),0)</f>
        <v/>
      </c>
      <c r="OH90" s="155">
        <f>IFERROR(VLOOKUP($NA90,$BC$2:$BG$24,3,FALSE),0)</f>
        <v/>
      </c>
      <c r="OI90" s="155">
        <f>IFERROR(VLOOKUP($MZ90,$BC$2:$BG$24,2,FALSE),"")</f>
        <v/>
      </c>
      <c r="OJ90" s="155">
        <f>IFERROR(VLOOKUP($NA90,$BC$2:$BG$24,2,FALSE),"")</f>
        <v/>
      </c>
      <c r="OK90" s="155">
        <f>COUNTIF($NQ90:$NU90,1)</f>
        <v/>
      </c>
      <c r="OL90" s="155">
        <f>COUNTIF($NQ90:$NU90,2)</f>
        <v/>
      </c>
      <c r="OM90" s="155">
        <f>COUNTIF($NQ90:$NU90,3)</f>
        <v/>
      </c>
      <c r="ON90" s="155">
        <f>COUNTIF($NQ90:$NU90,4)</f>
        <v/>
      </c>
      <c r="OO90" s="155">
        <f>COUNTIF($NQ90:$NU90,5)</f>
        <v/>
      </c>
      <c r="OP90" s="155">
        <f>COUNTIF($NQ90:$NU90,6)</f>
        <v/>
      </c>
      <c r="OQ90" s="155">
        <f>COUNTIF($OG90:$OH90,1)</f>
        <v/>
      </c>
      <c r="OR90" s="155">
        <f>COUNTIF($OG90:$OH90,2)+$OD90</f>
        <v/>
      </c>
      <c r="OS90" s="155">
        <f>COUNTIF($MV90:$MY90,"?*")</f>
        <v/>
      </c>
      <c r="OT90" s="155">
        <f>COUNTIF($MZ90:$NA90,"?*")+$OD90</f>
        <v/>
      </c>
      <c r="OU90" s="155">
        <f>IF($MQ90=0,0,SUMPRODUCT($OK90:$OP90,INDEX($I$2:$N$8,MAX(1,$MQ90),0)))</f>
        <v/>
      </c>
      <c r="OV90" s="155">
        <f>IF($MQ90=0,0,$OQ90*CEILING($MQ90/2,1)+$OR90*$MQ90)</f>
        <v/>
      </c>
      <c r="OW90" s="155">
        <f>MIN(2*$MQ90,$OV90)</f>
        <v/>
      </c>
      <c r="OX90" s="155">
        <f>MIN($OW90,$OU90)</f>
        <v/>
      </c>
      <c r="OY90" s="155">
        <f>$OW90-$OX90</f>
        <v/>
      </c>
      <c r="OZ90" s="155">
        <f>IF($MQ90=0,0,INDEX($P$2:$P$8,MAX(1,$MQ90)))</f>
        <v/>
      </c>
      <c r="PA90" s="155">
        <f>$OZ90-$OU90+$OX90</f>
        <v/>
      </c>
      <c r="PB90" s="155">
        <f>IF($MQ90=0,MAX(0,$NE90-IF($OS90&gt;0,1,0)),MAX(0,$PA90))</f>
        <v/>
      </c>
      <c r="PC90" s="155">
        <f>IF($MQ90=0,0,(IF(COUNTIF($MV90:$MY90,"Salto")&gt;0,1,0)+IF(COUNTIF($MV90:$MY90,"Queima")&gt;0,1,0)+IF(COUNTIF($MV90:$MY90,"Estilhaço")&gt;0,1,0))*FLOOR($PB90/2,1))</f>
        <v/>
      </c>
      <c r="PD90" s="155">
        <f>MAX(0,2-SUMPRODUCT($OK90:$OP90,$I$2:$N$2)+MIN(2,$OQ90*1+$OR90*1,SUMPRODUCT($OK90:$OP90,$I$2:$N$2)))</f>
        <v/>
      </c>
      <c r="PE90" s="155">
        <f>MAX(0,4-SUMPRODUCT($OK90:$OP90,$I$3:$N$3)+MIN(4,$OQ90*1+$OR90*2,SUMPRODUCT($OK90:$OP90,$I$3:$N$3)))</f>
        <v/>
      </c>
      <c r="PF90" s="155">
        <f>MAX(0,6-SUMPRODUCT($OK90:$OP90,$I$4:$N$4)+MIN(6,$OQ90*2+$OR90*3,SUMPRODUCT($OK90:$OP90,$I$4:$N$4)))</f>
        <v/>
      </c>
      <c r="PG90" s="155">
        <f>MAX(0,9-SUMPRODUCT($OK90:$OP90,$I$5:$N$5)+MIN(8,$OQ90*2+$OR90*4,SUMPRODUCT($OK90:$OP90,$I$5:$N$5)))</f>
        <v/>
      </c>
      <c r="PH90" s="155">
        <f>MAX(0,11-SUMPRODUCT($OK90:$OP90,$I$6:$N$6)+MIN(10,$OQ90*3+$OR90*5,SUMPRODUCT($OK90:$OP90,$I$6:$N$6)))</f>
        <v/>
      </c>
      <c r="PI90" s="155">
        <f>MAX(0,13-SUMPRODUCT($OK90:$OP90,$I$7:$N$7)+MIN(12,$OQ90*3+$OR90*6,SUMPRODUCT($OK90:$OP90,$I$7:$N$7)))</f>
        <v/>
      </c>
      <c r="PJ90" s="155">
        <f>MAX(0,16-SUMPRODUCT($OK90:$OP90,$I$8:$N$8)+MIN(14,$OQ90*4+$OR90*7,SUMPRODUCT($OK90:$OP90,$I$8:$N$8)))</f>
        <v/>
      </c>
      <c r="PK90" s="155">
        <f>IF($OE90=2,3*$PD90&amp;" de vida temp.",IF($OE90=3,"sem dano",IF($PD90=0,IF($OE90=1,"sem cura","sem dano"),IF($OE90=1,"cura ","")&amp;$PD90&amp;"d8")))</f>
        <v/>
      </c>
      <c r="PL90" s="155">
        <f>IF($OE90=2,3*$PE90&amp;" de vida temp.",IF($OE90=3,"sem dano",IF($PE90=0,IF($OE90=1,"sem cura","sem dano"),IF($OE90=1,"cura ","")&amp;$PE90&amp;"d8")))</f>
        <v/>
      </c>
      <c r="PM90" s="155">
        <f>IF($OE90=2,3*$PF90&amp;" de vida temp.",IF($OE90=3,"sem dano",IF($PF90=0,IF($OE90=1,"sem cura","sem dano"),IF($OE90=1,"cura ","")&amp;$PF90&amp;"d8")))</f>
        <v/>
      </c>
      <c r="PN90" s="155">
        <f>IF($OE90=2,3*$PG90&amp;" de vida temp.",IF($OE90=3,"sem dano",IF($PG90=0,IF($OE90=1,"sem cura","sem dano"),IF($OE90=1,"cura ","")&amp;$PG90&amp;"d8")))</f>
        <v/>
      </c>
      <c r="PO90" s="155">
        <f>IF($OE90=2,3*$PH90&amp;" de vida temp.",IF($OE90=3,"sem dano",IF($PH90=0,IF($OE90=1,"sem cura","sem dano"),IF($OE90=1,"cura ","")&amp;$PH90&amp;"d8")))</f>
        <v/>
      </c>
      <c r="PP90" s="155">
        <f>IF($OE90=2,3*$PI90&amp;" de vida temp.",IF($OE90=3,"sem dano",IF($PI90=0,IF($OE90=1,"sem cura","sem dano"),IF($OE90=1,"cura ","")&amp;$PI90&amp;"d8")))</f>
        <v/>
      </c>
      <c r="PQ90" s="155">
        <f>IF($OE90=2,3*$PJ90&amp;" de vida temp.",IF($OE90=3,"sem dano",IF($PJ90=0,IF($OE90=1,"sem cura","sem dano"),IF($OE90=1,"cura ","")&amp;$PJ90&amp;"d8")))</f>
        <v/>
      </c>
      <c r="PR90" s="155">
        <f>IF($NB90=0,"",TEXTJOIN(" · ",TRUE,IF($MO90&gt;$NC90,"Este lugar abre no nível "&amp;$MO90,""),IF($MQ90&gt;$ND90,"Classe "&amp;$MQ90&amp;": o nível "&amp;$NC90&amp;" libera até a "&amp;$ND90,""),IF($NV90=1,"A Forma "&amp;$MS90&amp;" pede "&amp;INDEX($W$2:$W$11,$NH90)&amp;" aberta",""),IF(AND($MQ90=0,$NH90&gt;0,IF($NH90=0,0,INDEX($AF$2:$AF$11,$NH90))=0),$MS90&amp;" não existe na Classe 0",""),IF($NW90=1,"Família Fechada: "&amp;$MV90,""),IF($NX90=1,"Família Fechada: "&amp;$MW90,""),IF($NY90=1,"Família Fechada: "&amp;$MX90,""),IF($NZ90=1,"Família Fechada: "&amp;$MY90,""),IF(AND($MQ90&gt;0,$OS90&gt;INDEX($O$2:$O$8,MAX(1,$MQ90))),$OS90&amp;" Melhorias: a Classe "&amp;$MQ90&amp;" aceita "&amp;INDEX($O$2:$O$8,MAX(1,$MQ90)),""),IF(AND($MQ90=0,$OS90&gt;1),"A básica aceita uma Melhoria",""),IF(AND($MQ90=0,COUNTIF($NM90:$NP90,"&gt;1")&gt;0),"A básica só aceita Melhoria Leve",""),IF(AND($MQ90&gt;0,$OT90&gt;2),$OT90&amp;" Restrições"&amp;IF($OD90=1,", contando a que a Forma "&amp;$MS90&amp;" já traz","")&amp;": o limite é 2",""),IF(AND($MQ90=0,COUNTIF($MZ90:$NA90,"?*")&gt;1),"A básica aceita uma Restrição Leve",""),IF(AND($MQ90=0,COUNTIF($OG90:$OH90,2)&gt;0),"A básica só aceita Restrição Leve",""),IF(AND($MQ90&gt;0,$PA90&lt;0),"Orçamento estourado: faltam "&amp;(-$PA90)&amp;IF($PA90&lt;-1," pontos"," ponto"),""),IF(IFERROR(VLOOKUP($MZ90,$BC$2:$BG$24,4,FALSE),0)+IFERROR(VLOOKUP($NA90,$BC$2:$BG$24,4,FALSE),0)&gt;1,$OI90&amp;" e "&amp;$OJ90&amp;" são as duas de frequência",""),IF(AND((COUNTIF($MV90:$MY90,"Rápido")+COUNTIF($OI90:$OJ90,"Rápido"))&gt;0,(COUNTIF($MV90:$MY90,"Atrasar")+COUNTIF($OI90:$OJ90,"Atrasar"))&gt;0),"Rápido não entra com Atrasar",""),IF(AND((COUNTIF($MV90:$MY90,"Reação")+COUNTIF($OI90:$OJ90,"Reação"))&gt;0,(COUNTIF($MV90:$MY90,"Rápido")+COUNTIF($OI90:$OJ90,"Rápido"))&gt;0),"Reação não entra com Rápido",""),IF(AND((COUNTIF($MV90:$MY90,"Reação")+COUNTIF($OI90:$OJ90,"Reação"))&gt;0,(COUNTIF($MV90:$MY90,"Armado")+COUNTIF($OI90:$OJ90,"Armado"))&gt;0),"Reação não entra com Armado",""),IF(AND((COUNTIF($MV90:$MY90,"Reação")+COUNTIF($OI90:$OJ90,"Reação"))&gt;0,(COUNTIF($MV90:$MY90,"Atrasar")+COUNTIF($OI90:$OJ90,"Atrasar"))&gt;0),"Reação não entra com Atrasar",""),IF(AND((COUNTIF($MV90:$MY90,"Reação")+COUNTIF($OI90:$OJ90,"Reação"))&gt;0,(COUNTIF($MV90:$MY90,"Parado")+COUNTIF($OI90:$OJ90,"Parado"))&gt;0),"Reação não entra com Parado",""),IF(AND((COUNTIF($MV90:$MY90,"Atrasar")+COUNTIF($OI90:$OJ90,"Atrasar"))&gt;0,(COUNTIF($MV90:$MY90,"Parado")+COUNTIF($OI90:$OJ90,"Parado"))&gt;0),"Atrasar não entra com Parado",""),IF(AND((COUNTIF($MV90:$MY90,"Armado")+COUNTIF($OI90:$OJ90,"Armado"))&gt;0,(COUNTIF($MV90:$MY90,"Carregar")+COUNTIF($OI90:$OJ90,"Carregar"))&gt;0),"Armado não entra com Carregar",""),IF(AND(COUNTIF($OI90:$OJ90,"Corpo a Corpo")&gt;0,$OD90=0,OR($MS90="Cone",$MS90="Linha")),"Corpo a Corpo não entra em "&amp;$MS90,""),IF(AND(COUNTIF($OI90:$OJ90,"Corpo a Corpo")&gt;0,$OD90=1),"A Forma "&amp;$MS90&amp;" já traz o Corpo a Corpo",""),IF(AND(COUNTIF($OI90:$OJ90,"Tudo ou Nada")&gt;0,$OF90=0),"Tudo ou Nada só entra em habilidade de Teste de Resistência",""),IF(AND(COUNTIF($MV90:$MY90,"Inescapável")&gt;0,OR($OS90&gt;1,$OT90&gt;0)),"Inescapável não aceita outra peça",""),IF(AND($MQ90&gt;0,$PB90*IF(COUNTIF($MV90:$MY90,"Remate")&gt;0,1.25,1)+$PC90&gt;4*$MQ90),($PB90*IF(COUNTIF($MV90:$MY90,"Remate")&gt;0,1.25,1)+$PC90)&amp;" dados somando repetições"&amp;IF(COUNTIF($MV90:$MY90,"Remate")&gt;0," e o Remate","")&amp;": o teto da Classe "&amp;$MQ90&amp;" é "&amp;4*$MQ90,"")))</f>
        <v/>
      </c>
      <c r="PS90" s="155">
        <f>IF($PR90="",0,(LEN($PR90)-LEN(SUBSTITUTE($PR90," · ","")))/3+1)</f>
        <v/>
      </c>
      <c r="PT90" s="155">
        <f>IF($NB90=0,"",TEXTJOIN(" · ",TRUE,IF($OV90&gt;2*$MQ90,"A devolução parou no teto de "&amp;2*$MQ90,""),IF($OY90&gt;0,"Devolução perdida: "&amp;$OY90&amp;IF($OY90&gt;1," pontos"," ponto")&amp;" sem peça para pagar",""),IF(AND($OA90&gt;0,AND($MQ90&gt;0,$OE90=0),$PB90=0),"Controle sem dano: uma rodada a mais e CD +2",""),IF(AND($OA90&gt;0,AND($MQ90&gt;0,$OE90=0),$PB90&gt;0,$PB90&lt;=$MQ90),"Controle com saldo até a Classe: uma rodada a mais",""),IF(AND($MQ90&gt;0,$OC90&lt;&gt;""),"Efeito de "&amp;$OC90&amp;" pela Classe "&amp;MAX(1,$MQ90-1),"")))</f>
        <v/>
      </c>
      <c r="PU90" s="155">
        <f>IF($PT90="",0,(LEN($PT90)-LEN(SUBSTITUTE($PT90," · ","")))/3+1)</f>
        <v/>
      </c>
      <c r="PV90" s="155">
        <f>IF($NB90=0,IF($OS90+COUNTIF($MZ90:$NA90,"?*")&gt;0,"Dê um nome",""),IF($PS90&gt;0,"⚠ "&amp;$PS90&amp;IF($PS90&gt;1," erros"," erro"),IF($PU90&gt;0,"! "&amp;$PU90&amp;IF($PU90&gt;1," avisos"," aviso"),"Na regra")))</f>
        <v/>
      </c>
      <c r="PW90" s="155">
        <f>IF($NB90=0,"",IF($PS90+$PU90=0,"Dentro das regras que a ficha confere",$PR90&amp;IF(AND($PS90&gt;0,$PU90&gt;0)," · ","")&amp;$PT90))</f>
        <v/>
      </c>
      <c r="PX90" s="155">
        <f>IF($MO90&gt;$NC90,$MP90&amp;" · ABRE NO NÍVEL "&amp;$MO90,$MP90)</f>
        <v/>
      </c>
      <c r="PY90" s="155">
        <f>IF($NB90=0,"",IF($MQ90=0,"Sem PE",3*$MQ90&amp;" PE"))</f>
        <v/>
      </c>
      <c r="PZ90" s="155">
        <f>IF($NB90=0,"",IF($MQ90=0,"A atuação básica dela",IF(COUNTIF($OI90:$OJ90,"Atrasar")&gt;0,"Sua Ação Completa",IF(COUNTIF($MV90:$MY90,"Rápido")&gt;0,"Sua Bônus",IF(COUNTIF($MV90:$MY90,"Reação")&gt;0,"Sua Reação","Sua Padrão")))&amp;" + a básica dela"&amp;IF(COUNTIF($MV90:$MY90,"Reação")&gt;0," e a coletiva","")&amp;IF(COUNTIF($OI90:$OJ90,"Carregar")&gt;0," · em dois turnos","")))</f>
        <v/>
      </c>
      <c r="QA90" s="155">
        <f>IF($MU90&lt;&gt;"",$MU90,IF($NH90=0,"",INDEX($AA$2:$AA$11,$NH90)))</f>
        <v/>
      </c>
      <c r="QB90" s="155">
        <f>IF(OR($NB90=0,$NH90=0),"",IF(COUNTIF($MV90:$MY90,"Inescapável")&gt;0,"Automático",IF($QA90="Ataque",IF($NF90="","Ataque","Ataque "&amp;IF(($NF90+2*IF(COUNTIF($MV90:$MY90,"Precisão")&gt;0,1,0))&gt;=0,"+","−")&amp;ABS(($NF90+2*IF(COUNTIF($MV90:$MY90,"Precisão")&gt;0,1,0))))&amp;IF($OB90&gt;0," · TR"&amp;IF($NG90="",""," CD "&amp;$NG90),""),IF(LEFT($QA90,2)="TR",$QA90&amp;IF($NG90="",""," · CD "&amp;$NG90)&amp;IF(COUNTIF($MV90:$MY90,"Certeiro")&gt;0," · metade",""),"Sem rolagem"))))</f>
        <v/>
      </c>
      <c r="QC90" s="155">
        <f>IF(OR($NB90=0,$NH90=0),"",IF($MQ90=0,IF(OR($OE90&gt;=1,$PB90=0),"Sem dano",$PB90&amp;"d6"&amp;IF($MT90="",""," "&amp;$MT90)),IF(OR($OE90&gt;=1,$PB90=0),UPPER(LEFT(INDEX($PK90:$PQ90,1,MAX(1,$MQ90)),1))&amp;MID(INDEX($PK90:$PQ90,1,MAX(1,$MQ90)),2,99),UPPER(LEFT(INDEX($PK90:$PQ90,1,MAX(1,$MQ90)),1))&amp;MID(INDEX($PK90:$PQ90,1,MAX(1,$MQ90)),2,99)&amp;IF($MT90="",""," "&amp;$MT90)&amp;IF($PC90&gt;0," · +"&amp;$PC90&amp;"d8",""))))</f>
        <v/>
      </c>
      <c r="QD90" s="155">
        <f>COUNTIF($MV90:$MY90,"Longe")+3*COUNTIF($MV90:$MY90,"Muito Longe")</f>
        <v/>
      </c>
      <c r="QE90" s="155">
        <f>COUNTIF($MV90:$MY90,"Maior")+3*COUNTIF($MV90:$MY90,"Muito Maior")</f>
        <v/>
      </c>
      <c r="QF90" s="155">
        <f>IF($NH90=0,0,CHOOSE(1+INDEX($AC$2:$AC$11,$NH90),0,$QD90,$QE90,$QD90+$QE90))</f>
        <v/>
      </c>
      <c r="QG90" s="155">
        <f>IF($NH90=0,0,CHOOSE(1+INDEX($AD$2:$AD$11,$NH90),0,$QD90,$QE90,$QD90+$QE90))</f>
        <v/>
      </c>
      <c r="QH90" s="155">
        <f>IF(OR($NB90=0,$NH90=0),"",INDEX($AI$2:$AN$41,($NH90-1)*4+IF($MQ90=0,1,IF($MQ90&lt;=5,2,IF($MQ90=6,3,4))),1+MIN(5,$QF90))&amp;INDEX($AO$2:$AT$41,($NH90-1)*4+IF($MQ90=0,1,IF($MQ90&lt;=5,2,IF($MQ90=6,3,4))),1+MIN(5,$QG90))&amp;IF(INDEX($AE$2:$AE$11,$NH90)=1,IF(COUNTIF($MV90:$MY90,"Mais Um")&gt;0," · +"&amp;COUNTIF($MV90:$MY90,"Mais Um")&amp;IF(COUNTIF($MV90:$MY90,"Mais Um")&gt;1," alvos"," alvo"),"")&amp;IF(COUNTIF($MV90:$MY90,"Rajada")&gt;0,IF($MQ90=0," · 1 tiro"," · "&amp;(MAX(1,$MQ90-1)+1)&amp;" tiros"),""),""))</f>
        <v/>
      </c>
      <c r="QI90" s="155">
        <f>IF($NB90=0,"",IF($MQ90=0,$NE90&amp;"d6"&amp;IF($OS90&gt;0," − 1 = "&amp;$PB90&amp;"d6"," da básica do nível "&amp;$NC90),$OZ90&amp;" − "&amp;$OU90&amp;" + "&amp;$OX90&amp;" = "&amp;$PA90&amp;" · teto "&amp;4*$MQ90&amp;"d8"&amp;IF($OD90=1," · a Forma devolve "&amp;$MQ90,"")&amp;IF($OY90&gt;0," · perde "&amp;$OY90,"")))</f>
        <v/>
      </c>
      <c r="QJ90" s="155">
        <f>IF($NB90=0,"",IF($MQ90=0,"A básica não amplia: os dados dela sobem com o nível",IF($MQ90&gt;=$ND90,"Já está na maior Classe que o nível liberou",TEXTJOIN(" · ",TRUE,IF(AND(2&gt;$MQ90,2&lt;=$ND90),"2 → "&amp;$PL90&amp;", 6 PE",""),IF(AND(3&gt;$MQ90,3&lt;=$ND90),"3 → "&amp;$PM90&amp;", 9 PE",""),IF(AND(4&gt;$MQ90,4&lt;=$ND90),"4 → "&amp;$PN90&amp;", 12 PE",""),IF(AND(5&gt;$MQ90,5&lt;=$ND90),"5 → "&amp;$PO90&amp;", 15 PE",""),IF(AND(6&gt;$MQ90,6&lt;=$ND90),"6 → "&amp;$PP90&amp;", 18 PE",""),IF(AND(7&gt;$MQ90,7&lt;=$ND90),"7 → "&amp;$PQ90&amp;", 21 PE","")))))</f>
        <v/>
      </c>
      <c r="QK90" s="155">
        <f>IF(OR($NB90=0,$NM90=0),"",IF($MQ90=0,"−1 dado","−"&amp;INDEX($I$2:$N$8,MAX(1,$MQ90),MAX(1,$NR90))&amp;" · "&amp;CHOOSE(MAX(1,$NR90),"Leve","Média","Pesada","Leve · Livre","Média · Livre","Pesada · Livre")))</f>
        <v/>
      </c>
      <c r="QL90" s="155">
        <f>IF(OR($NB90=0,$NN90=0),"",IF($MQ90=0,"−1 dado","−"&amp;INDEX($I$2:$N$8,MAX(1,$MQ90),MAX(1,$NS90))&amp;" · "&amp;CHOOSE(MAX(1,$NS90),"Leve","Média","Pesada","Leve · Livre","Média · Livre","Pesada · Livre")))</f>
        <v/>
      </c>
      <c r="QM90" s="155">
        <f>IF(OR($NB90=0,$NO90=0),"",IF($MQ90=0,"−1 dado","−"&amp;INDEX($I$2:$N$8,MAX(1,$MQ90),MAX(1,$NT90))&amp;" · "&amp;CHOOSE(MAX(1,$NT90),"Leve","Média","Pesada","Leve · Livre","Média · Livre","Pesada · Livre")))</f>
        <v/>
      </c>
      <c r="QN90" s="155">
        <f>IF(OR($NB90=0,$NP90=0),"",IF($MQ90=0,"−1 dado","−"&amp;INDEX($I$2:$N$8,MAX(1,$MQ90),MAX(1,$NU90))&amp;" · "&amp;CHOOSE(MAX(1,$NU90),"Leve","Média","Pesada","Leve · Livre","Média · Livre","Pesada · Livre")))</f>
        <v/>
      </c>
      <c r="QO90" s="155">
        <f>IF(OR($NB90=0,$MZ90=""),"",IF($MQ90=0,"não devolve","+"&amp;IF($OG90=1,CEILING($MQ90/2,1),$MQ90)))</f>
        <v/>
      </c>
      <c r="QP90" s="155">
        <f>IF(OR($NB90=0,$NA90=""),"",IF($MQ90=0,"não devolve","+"&amp;IF($OH90=1,CEILING($MQ90/2,1),$MQ90)))</f>
        <v/>
      </c>
    </row>
    <row r="91">
      <c r="ML91" s="153" t="inlineStr">
        <is>
          <t>Ficha 7 · Escolha da trilha 2</t>
        </is>
      </c>
      <c r="MM91" s="155" t="n">
        <v>7</v>
      </c>
      <c r="MN91" s="155" t="n">
        <v>2</v>
      </c>
      <c r="MO91" s="155" t="n">
        <v>0</v>
      </c>
      <c r="MP91" s="153" t="inlineStr">
        <is>
          <t>ESCOLHA DA TRILHA 2</t>
        </is>
      </c>
      <c r="MQ91" s="155">
        <f>MAX(0,MIN(7,N('INVOCAÇÕES'!$AH$160)))</f>
        <v/>
      </c>
      <c r="MR91" s="155">
        <f>'INVOCAÇÕES'!$AI$160&amp;""</f>
        <v/>
      </c>
      <c r="MS91" s="155">
        <f>'INVOCAÇÕES'!$AH$165&amp;""</f>
        <v/>
      </c>
      <c r="MT91" s="155">
        <f>'INVOCAÇÕES'!$AH$166&amp;""</f>
        <v/>
      </c>
      <c r="MU91" s="155">
        <f>'INVOCAÇÕES'!$AJ$166&amp;""</f>
        <v/>
      </c>
      <c r="MV91" s="155">
        <f>'INVOCAÇÕES'!$AI$169&amp;""</f>
        <v/>
      </c>
      <c r="MW91" s="155">
        <f>'INVOCAÇÕES'!$AI$170&amp;""</f>
        <v/>
      </c>
      <c r="MX91" s="155">
        <f>'INVOCAÇÕES'!$AI$171&amp;""</f>
        <v/>
      </c>
      <c r="MY91" s="155">
        <f>'INVOCAÇÕES'!$AI$172&amp;""</f>
        <v/>
      </c>
      <c r="MZ91" s="155">
        <f>'INVOCAÇÕES'!$AI$173&amp;""</f>
        <v/>
      </c>
      <c r="NA91" s="155">
        <f>'INVOCAÇÕES'!$AI$174&amp;""</f>
        <v/>
      </c>
      <c r="NB91" s="155">
        <f>IF($MR91&lt;&gt;"",1,0)</f>
        <v/>
      </c>
      <c r="NC91" s="155">
        <f>INDEX($FM$2:$FM$13,$MM91)</f>
        <v/>
      </c>
      <c r="ND91" s="155">
        <f>INDEX($FN$2:$FN$13,$MM91)</f>
        <v/>
      </c>
      <c r="NE91" s="155">
        <f>INDEX($FO$2:$FO$13,$MM91)</f>
        <v/>
      </c>
      <c r="NF91" s="155">
        <f>INDEX($FZ$2:$FZ$13,$MM91)</f>
        <v/>
      </c>
      <c r="NG91" s="155">
        <f>INDEX($GA$2:$GA$13,$MM91)</f>
        <v/>
      </c>
      <c r="NH91" s="155">
        <f>IFERROR(MATCH($MS91,$V$2:$V$11,0),0)</f>
        <v/>
      </c>
      <c r="NI91" s="155">
        <f>IFERROR(VLOOKUP($MV91,$AV$2:$BA$84,2,FALSE),"")</f>
        <v/>
      </c>
      <c r="NJ91" s="155">
        <f>IFERROR(VLOOKUP($MW91,$AV$2:$BA$84,2,FALSE),"")</f>
        <v/>
      </c>
      <c r="NK91" s="155">
        <f>IFERROR(VLOOKUP($MX91,$AV$2:$BA$84,2,FALSE),"")</f>
        <v/>
      </c>
      <c r="NL91" s="155">
        <f>IFERROR(VLOOKUP($MY91,$AV$2:$BA$84,2,FALSE),"")</f>
        <v/>
      </c>
      <c r="NM91" s="155">
        <f>IFERROR(VLOOKUP($MV91,$AV$2:$BA$84,3,FALSE),0)</f>
        <v/>
      </c>
      <c r="NN91" s="155">
        <f>IFERROR(VLOOKUP($MW91,$AV$2:$BA$84,3,FALSE),0)</f>
        <v/>
      </c>
      <c r="NO91" s="155">
        <f>IFERROR(VLOOKUP($MX91,$AV$2:$BA$84,3,FALSE),0)</f>
        <v/>
      </c>
      <c r="NP91" s="155">
        <f>IFERROR(VLOOKUP($MY91,$AV$2:$BA$84,3,FALSE),0)</f>
        <v/>
      </c>
      <c r="NQ91" s="155">
        <f>IF($MQ91=0,0,IF($NH91=0,0,INDEX($X$2:$X$11,$NH91)))</f>
        <v/>
      </c>
      <c r="NR91" s="155">
        <f>IF(OR($NM91=0,$MQ91=0),0,$NM91+3*IF(AND($NI91&lt;&gt;"",OR($NI91=INDEX($EJ$2:$EJ$13,$MM91),$NI91=INDEX($EK$2:$EK$13,$MM91))),1,0))</f>
        <v/>
      </c>
      <c r="NS91" s="155">
        <f>IF(OR($NN91=0,$MQ91=0),0,$NN91+3*IF(AND($NJ91&lt;&gt;"",OR($NJ91=INDEX($EJ$2:$EJ$13,$MM91),$NJ91=INDEX($EK$2:$EK$13,$MM91))),1,0))</f>
        <v/>
      </c>
      <c r="NT91" s="155">
        <f>IF(OR($NO91=0,$MQ91=0),0,$NO91+3*IF(AND($NK91&lt;&gt;"",OR($NK91=INDEX($EJ$2:$EJ$13,$MM91),$NK91=INDEX($EK$2:$EK$13,$MM91))),1,0))</f>
        <v/>
      </c>
      <c r="NU91" s="155">
        <f>IF(OR($NP91=0,$MQ91=0),0,$NP91+3*IF(AND($NL91&lt;&gt;"",OR($NL91=INDEX($EJ$2:$EJ$13,$MM91),$NL91=INDEX($EK$2:$EK$13,$MM91))),1,0))</f>
        <v/>
      </c>
      <c r="NV91" s="155">
        <f>IF($NH91=0,0,IF(INDEX($W$2:$W$11,$NH91)="",0,IF(COUNTIF(INDEX($EJ$2:$EN$13,$MM91,0),INDEX($W$2:$W$11,$NH91))=0,1,0)))</f>
        <v/>
      </c>
      <c r="NW91" s="155">
        <f>IF(OR($NM91=0,$NI91=""),0,IF(COUNTIF(INDEX($EJ$2:$EN$13,$MM91,0),$NI91)=0,1,0))</f>
        <v/>
      </c>
      <c r="NX91" s="155">
        <f>IF(OR($NN91=0,$NJ91=""),0,IF(COUNTIF(INDEX($EJ$2:$EN$13,$MM91,0),$NJ91)=0,1,0))</f>
        <v/>
      </c>
      <c r="NY91" s="155">
        <f>IF(OR($NO91=0,$NK91=""),0,IF(COUNTIF(INDEX($EJ$2:$EN$13,$MM91,0),$NK91)=0,1,0))</f>
        <v/>
      </c>
      <c r="NZ91" s="155">
        <f>IF(OR($NP91=0,$NL91=""),0,IF(COUNTIF(INDEX($EJ$2:$EN$13,$MM91,0),$NL91)=0,1,0))</f>
        <v/>
      </c>
      <c r="OA91" s="155">
        <f>IFERROR(VLOOKUP($MV91,$AV$2:$BA$84,4,FALSE),0)+IFERROR(VLOOKUP($MW91,$AV$2:$BA$84,4,FALSE),0)+IFERROR(VLOOKUP($MX91,$AV$2:$BA$84,4,FALSE),0)+IFERROR(VLOOKUP($MY91,$AV$2:$BA$84,4,FALSE),0)</f>
        <v/>
      </c>
      <c r="OB91" s="155">
        <f>IFERROR(VLOOKUP($MV91,$AV$2:$BA$84,6,FALSE),0)+IFERROR(VLOOKUP($MW91,$AV$2:$BA$84,6,FALSE),0)+IFERROR(VLOOKUP($MX91,$AV$2:$BA$84,6,FALSE),0)+IFERROR(VLOOKUP($MY91,$AV$2:$BA$84,6,FALSE),0)</f>
        <v/>
      </c>
      <c r="OC91" s="155">
        <f>TEXTJOIN(", ",TRUE,IF(IFERROR(VLOOKUP($MV91,$AV$2:$BA$84,5,FALSE),0)=1,$MV91,""),IF(IFERROR(VLOOKUP($MW91,$AV$2:$BA$84,5,FALSE),0)=1,$MW91,""),IF(IFERROR(VLOOKUP($MX91,$AV$2:$BA$84,5,FALSE),0)=1,$MX91,""),IF(IFERROR(VLOOKUP($MY91,$AV$2:$BA$84,5,FALSE),0)=1,$MY91,""))</f>
        <v/>
      </c>
      <c r="OD91" s="155">
        <f>IF($NH91=0,0,INDEX($Y$2:$Y$11,$NH91))</f>
        <v/>
      </c>
      <c r="OE91" s="155">
        <f>IF($NH91=0,0,INDEX($Z$2:$Z$11,$NH91))</f>
        <v/>
      </c>
      <c r="OF91" s="155">
        <f>IF($NH91=0,0,INDEX($AB$2:$AB$11,$NH91))</f>
        <v/>
      </c>
      <c r="OG91" s="155">
        <f>IFERROR(VLOOKUP($MZ91,$BC$2:$BG$24,3,FALSE),0)</f>
        <v/>
      </c>
      <c r="OH91" s="155">
        <f>IFERROR(VLOOKUP($NA91,$BC$2:$BG$24,3,FALSE),0)</f>
        <v/>
      </c>
      <c r="OI91" s="155">
        <f>IFERROR(VLOOKUP($MZ91,$BC$2:$BG$24,2,FALSE),"")</f>
        <v/>
      </c>
      <c r="OJ91" s="155">
        <f>IFERROR(VLOOKUP($NA91,$BC$2:$BG$24,2,FALSE),"")</f>
        <v/>
      </c>
      <c r="OK91" s="155">
        <f>COUNTIF($NQ91:$NU91,1)</f>
        <v/>
      </c>
      <c r="OL91" s="155">
        <f>COUNTIF($NQ91:$NU91,2)</f>
        <v/>
      </c>
      <c r="OM91" s="155">
        <f>COUNTIF($NQ91:$NU91,3)</f>
        <v/>
      </c>
      <c r="ON91" s="155">
        <f>COUNTIF($NQ91:$NU91,4)</f>
        <v/>
      </c>
      <c r="OO91" s="155">
        <f>COUNTIF($NQ91:$NU91,5)</f>
        <v/>
      </c>
      <c r="OP91" s="155">
        <f>COUNTIF($NQ91:$NU91,6)</f>
        <v/>
      </c>
      <c r="OQ91" s="155">
        <f>COUNTIF($OG91:$OH91,1)</f>
        <v/>
      </c>
      <c r="OR91" s="155">
        <f>COUNTIF($OG91:$OH91,2)+$OD91</f>
        <v/>
      </c>
      <c r="OS91" s="155">
        <f>COUNTIF($MV91:$MY91,"?*")</f>
        <v/>
      </c>
      <c r="OT91" s="155">
        <f>COUNTIF($MZ91:$NA91,"?*")+$OD91</f>
        <v/>
      </c>
      <c r="OU91" s="155">
        <f>IF($MQ91=0,0,SUMPRODUCT($OK91:$OP91,INDEX($I$2:$N$8,MAX(1,$MQ91),0)))</f>
        <v/>
      </c>
      <c r="OV91" s="155">
        <f>IF($MQ91=0,0,$OQ91*CEILING($MQ91/2,1)+$OR91*$MQ91)</f>
        <v/>
      </c>
      <c r="OW91" s="155">
        <f>MIN(2*$MQ91,$OV91)</f>
        <v/>
      </c>
      <c r="OX91" s="155">
        <f>MIN($OW91,$OU91)</f>
        <v/>
      </c>
      <c r="OY91" s="155">
        <f>$OW91-$OX91</f>
        <v/>
      </c>
      <c r="OZ91" s="155">
        <f>IF($MQ91=0,0,INDEX($P$2:$P$8,MAX(1,$MQ91)))</f>
        <v/>
      </c>
      <c r="PA91" s="155">
        <f>$OZ91-$OU91+$OX91</f>
        <v/>
      </c>
      <c r="PB91" s="155">
        <f>IF($MQ91=0,MAX(0,$NE91-IF($OS91&gt;0,1,0)),MAX(0,$PA91))</f>
        <v/>
      </c>
      <c r="PC91" s="155">
        <f>IF($MQ91=0,0,(IF(COUNTIF($MV91:$MY91,"Salto")&gt;0,1,0)+IF(COUNTIF($MV91:$MY91,"Queima")&gt;0,1,0)+IF(COUNTIF($MV91:$MY91,"Estilhaço")&gt;0,1,0))*FLOOR($PB91/2,1))</f>
        <v/>
      </c>
      <c r="PD91" s="155">
        <f>MAX(0,2-SUMPRODUCT($OK91:$OP91,$I$2:$N$2)+MIN(2,$OQ91*1+$OR91*1,SUMPRODUCT($OK91:$OP91,$I$2:$N$2)))</f>
        <v/>
      </c>
      <c r="PE91" s="155">
        <f>MAX(0,4-SUMPRODUCT($OK91:$OP91,$I$3:$N$3)+MIN(4,$OQ91*1+$OR91*2,SUMPRODUCT($OK91:$OP91,$I$3:$N$3)))</f>
        <v/>
      </c>
      <c r="PF91" s="155">
        <f>MAX(0,6-SUMPRODUCT($OK91:$OP91,$I$4:$N$4)+MIN(6,$OQ91*2+$OR91*3,SUMPRODUCT($OK91:$OP91,$I$4:$N$4)))</f>
        <v/>
      </c>
      <c r="PG91" s="155">
        <f>MAX(0,9-SUMPRODUCT($OK91:$OP91,$I$5:$N$5)+MIN(8,$OQ91*2+$OR91*4,SUMPRODUCT($OK91:$OP91,$I$5:$N$5)))</f>
        <v/>
      </c>
      <c r="PH91" s="155">
        <f>MAX(0,11-SUMPRODUCT($OK91:$OP91,$I$6:$N$6)+MIN(10,$OQ91*3+$OR91*5,SUMPRODUCT($OK91:$OP91,$I$6:$N$6)))</f>
        <v/>
      </c>
      <c r="PI91" s="155">
        <f>MAX(0,13-SUMPRODUCT($OK91:$OP91,$I$7:$N$7)+MIN(12,$OQ91*3+$OR91*6,SUMPRODUCT($OK91:$OP91,$I$7:$N$7)))</f>
        <v/>
      </c>
      <c r="PJ91" s="155">
        <f>MAX(0,16-SUMPRODUCT($OK91:$OP91,$I$8:$N$8)+MIN(14,$OQ91*4+$OR91*7,SUMPRODUCT($OK91:$OP91,$I$8:$N$8)))</f>
        <v/>
      </c>
      <c r="PK91" s="155">
        <f>IF($OE91=2,3*$PD91&amp;" de vida temp.",IF($OE91=3,"sem dano",IF($PD91=0,IF($OE91=1,"sem cura","sem dano"),IF($OE91=1,"cura ","")&amp;$PD91&amp;"d8")))</f>
        <v/>
      </c>
      <c r="PL91" s="155">
        <f>IF($OE91=2,3*$PE91&amp;" de vida temp.",IF($OE91=3,"sem dano",IF($PE91=0,IF($OE91=1,"sem cura","sem dano"),IF($OE91=1,"cura ","")&amp;$PE91&amp;"d8")))</f>
        <v/>
      </c>
      <c r="PM91" s="155">
        <f>IF($OE91=2,3*$PF91&amp;" de vida temp.",IF($OE91=3,"sem dano",IF($PF91=0,IF($OE91=1,"sem cura","sem dano"),IF($OE91=1,"cura ","")&amp;$PF91&amp;"d8")))</f>
        <v/>
      </c>
      <c r="PN91" s="155">
        <f>IF($OE91=2,3*$PG91&amp;" de vida temp.",IF($OE91=3,"sem dano",IF($PG91=0,IF($OE91=1,"sem cura","sem dano"),IF($OE91=1,"cura ","")&amp;$PG91&amp;"d8")))</f>
        <v/>
      </c>
      <c r="PO91" s="155">
        <f>IF($OE91=2,3*$PH91&amp;" de vida temp.",IF($OE91=3,"sem dano",IF($PH91=0,IF($OE91=1,"sem cura","sem dano"),IF($OE91=1,"cura ","")&amp;$PH91&amp;"d8")))</f>
        <v/>
      </c>
      <c r="PP91" s="155">
        <f>IF($OE91=2,3*$PI91&amp;" de vida temp.",IF($OE91=3,"sem dano",IF($PI91=0,IF($OE91=1,"sem cura","sem dano"),IF($OE91=1,"cura ","")&amp;$PI91&amp;"d8")))</f>
        <v/>
      </c>
      <c r="PQ91" s="155">
        <f>IF($OE91=2,3*$PJ91&amp;" de vida temp.",IF($OE91=3,"sem dano",IF($PJ91=0,IF($OE91=1,"sem cura","sem dano"),IF($OE91=1,"cura ","")&amp;$PJ91&amp;"d8")))</f>
        <v/>
      </c>
      <c r="PR91" s="155">
        <f>IF($NB91=0,"",TEXTJOIN(" · ",TRUE,IF($MO91&gt;$NC91,"Este lugar abre no nível "&amp;$MO91,""),IF($MQ91&gt;$ND91,"Classe "&amp;$MQ91&amp;": o nível "&amp;$NC91&amp;" libera até a "&amp;$ND91,""),IF($NV91=1,"A Forma "&amp;$MS91&amp;" pede "&amp;INDEX($W$2:$W$11,$NH91)&amp;" aberta",""),IF(AND($MQ91=0,$NH91&gt;0,IF($NH91=0,0,INDEX($AF$2:$AF$11,$NH91))=0),$MS91&amp;" não existe na Classe 0",""),IF($NW91=1,"Família Fechada: "&amp;$MV91,""),IF($NX91=1,"Família Fechada: "&amp;$MW91,""),IF($NY91=1,"Família Fechada: "&amp;$MX91,""),IF($NZ91=1,"Família Fechada: "&amp;$MY91,""),IF(AND($MQ91&gt;0,$OS91&gt;INDEX($O$2:$O$8,MAX(1,$MQ91))),$OS91&amp;" Melhorias: a Classe "&amp;$MQ91&amp;" aceita "&amp;INDEX($O$2:$O$8,MAX(1,$MQ91)),""),IF(AND($MQ91=0,$OS91&gt;1),"A básica aceita uma Melhoria",""),IF(AND($MQ91=0,COUNTIF($NM91:$NP91,"&gt;1")&gt;0),"A básica só aceita Melhoria Leve",""),IF(AND($MQ91&gt;0,$OT91&gt;2),$OT91&amp;" Restrições"&amp;IF($OD91=1,", contando a que a Forma "&amp;$MS91&amp;" já traz","")&amp;": o limite é 2",""),IF(AND($MQ91=0,COUNTIF($MZ91:$NA91,"?*")&gt;1),"A básica aceita uma Restrição Leve",""),IF(AND($MQ91=0,COUNTIF($OG91:$OH91,2)&gt;0),"A básica só aceita Restrição Leve",""),IF(AND($MQ91&gt;0,$PA91&lt;0),"Orçamento estourado: faltam "&amp;(-$PA91)&amp;IF($PA91&lt;-1," pontos"," ponto"),""),IF(IFERROR(VLOOKUP($MZ91,$BC$2:$BG$24,4,FALSE),0)+IFERROR(VLOOKUP($NA91,$BC$2:$BG$24,4,FALSE),0)&gt;1,$OI91&amp;" e "&amp;$OJ91&amp;" são as duas de frequência",""),IF(AND((COUNTIF($MV91:$MY91,"Rápido")+COUNTIF($OI91:$OJ91,"Rápido"))&gt;0,(COUNTIF($MV91:$MY91,"Atrasar")+COUNTIF($OI91:$OJ91,"Atrasar"))&gt;0),"Rápido não entra com Atrasar",""),IF(AND((COUNTIF($MV91:$MY91,"Reação")+COUNTIF($OI91:$OJ91,"Reação"))&gt;0,(COUNTIF($MV91:$MY91,"Rápido")+COUNTIF($OI91:$OJ91,"Rápido"))&gt;0),"Reação não entra com Rápido",""),IF(AND((COUNTIF($MV91:$MY91,"Reação")+COUNTIF($OI91:$OJ91,"Reação"))&gt;0,(COUNTIF($MV91:$MY91,"Armado")+COUNTIF($OI91:$OJ91,"Armado"))&gt;0),"Reação não entra com Armado",""),IF(AND((COUNTIF($MV91:$MY91,"Reação")+COUNTIF($OI91:$OJ91,"Reação"))&gt;0,(COUNTIF($MV91:$MY91,"Atrasar")+COUNTIF($OI91:$OJ91,"Atrasar"))&gt;0),"Reação não entra com Atrasar",""),IF(AND((COUNTIF($MV91:$MY91,"Reação")+COUNTIF($OI91:$OJ91,"Reação"))&gt;0,(COUNTIF($MV91:$MY91,"Parado")+COUNTIF($OI91:$OJ91,"Parado"))&gt;0),"Reação não entra com Parado",""),IF(AND((COUNTIF($MV91:$MY91,"Atrasar")+COUNTIF($OI91:$OJ91,"Atrasar"))&gt;0,(COUNTIF($MV91:$MY91,"Parado")+COUNTIF($OI91:$OJ91,"Parado"))&gt;0),"Atrasar não entra com Parado",""),IF(AND((COUNTIF($MV91:$MY91,"Armado")+COUNTIF($OI91:$OJ91,"Armado"))&gt;0,(COUNTIF($MV91:$MY91,"Carregar")+COUNTIF($OI91:$OJ91,"Carregar"))&gt;0),"Armado não entra com Carregar",""),IF(AND(COUNTIF($OI91:$OJ91,"Corpo a Corpo")&gt;0,$OD91=0,OR($MS91="Cone",$MS91="Linha")),"Corpo a Corpo não entra em "&amp;$MS91,""),IF(AND(COUNTIF($OI91:$OJ91,"Corpo a Corpo")&gt;0,$OD91=1),"A Forma "&amp;$MS91&amp;" já traz o Corpo a Corpo",""),IF(AND(COUNTIF($OI91:$OJ91,"Tudo ou Nada")&gt;0,$OF91=0),"Tudo ou Nada só entra em habilidade de Teste de Resistência",""),IF(AND(COUNTIF($MV91:$MY91,"Inescapável")&gt;0,OR($OS91&gt;1,$OT91&gt;0)),"Inescapável não aceita outra peça",""),IF(AND($MQ91&gt;0,$PB91*IF(COUNTIF($MV91:$MY91,"Remate")&gt;0,1.25,1)+$PC91&gt;4*$MQ91),($PB91*IF(COUNTIF($MV91:$MY91,"Remate")&gt;0,1.25,1)+$PC91)&amp;" dados somando repetições"&amp;IF(COUNTIF($MV91:$MY91,"Remate")&gt;0," e o Remate","")&amp;": o teto da Classe "&amp;$MQ91&amp;" é "&amp;4*$MQ91,"")))</f>
        <v/>
      </c>
      <c r="PS91" s="155">
        <f>IF($PR91="",0,(LEN($PR91)-LEN(SUBSTITUTE($PR91," · ","")))/3+1)</f>
        <v/>
      </c>
      <c r="PT91" s="155">
        <f>IF($NB91=0,"",TEXTJOIN(" · ",TRUE,IF($OV91&gt;2*$MQ91,"A devolução parou no teto de "&amp;2*$MQ91,""),IF($OY91&gt;0,"Devolução perdida: "&amp;$OY91&amp;IF($OY91&gt;1," pontos"," ponto")&amp;" sem peça para pagar",""),IF(AND($OA91&gt;0,AND($MQ91&gt;0,$OE91=0),$PB91=0),"Controle sem dano: uma rodada a mais e CD +2",""),IF(AND($OA91&gt;0,AND($MQ91&gt;0,$OE91=0),$PB91&gt;0,$PB91&lt;=$MQ91),"Controle com saldo até a Classe: uma rodada a mais",""),IF(AND($MQ91&gt;0,$OC91&lt;&gt;""),"Efeito de "&amp;$OC91&amp;" pela Classe "&amp;MAX(1,$MQ91-1),"")))</f>
        <v/>
      </c>
      <c r="PU91" s="155">
        <f>IF($PT91="",0,(LEN($PT91)-LEN(SUBSTITUTE($PT91," · ","")))/3+1)</f>
        <v/>
      </c>
      <c r="PV91" s="155">
        <f>IF($NB91=0,IF($OS91+COUNTIF($MZ91:$NA91,"?*")&gt;0,"Dê um nome",""),IF($PS91&gt;0,"⚠ "&amp;$PS91&amp;IF($PS91&gt;1," erros"," erro"),IF($PU91&gt;0,"! "&amp;$PU91&amp;IF($PU91&gt;1," avisos"," aviso"),"Na regra")))</f>
        <v/>
      </c>
      <c r="PW91" s="155">
        <f>IF($NB91=0,"",IF($PS91+$PU91=0,"Dentro das regras que a ficha confere",$PR91&amp;IF(AND($PS91&gt;0,$PU91&gt;0)," · ","")&amp;$PT91))</f>
        <v/>
      </c>
      <c r="PX91" s="155">
        <f>IF($MO91&gt;$NC91,$MP91&amp;" · ABRE NO NÍVEL "&amp;$MO91,$MP91)</f>
        <v/>
      </c>
      <c r="PY91" s="155">
        <f>IF($NB91=0,"",IF($MQ91=0,"Sem PE",3*$MQ91&amp;" PE"))</f>
        <v/>
      </c>
      <c r="PZ91" s="155">
        <f>IF($NB91=0,"",IF($MQ91=0,"A atuação básica dela",IF(COUNTIF($OI91:$OJ91,"Atrasar")&gt;0,"Sua Ação Completa",IF(COUNTIF($MV91:$MY91,"Rápido")&gt;0,"Sua Bônus",IF(COUNTIF($MV91:$MY91,"Reação")&gt;0,"Sua Reação","Sua Padrão")))&amp;" + a básica dela"&amp;IF(COUNTIF($MV91:$MY91,"Reação")&gt;0," e a coletiva","")&amp;IF(COUNTIF($OI91:$OJ91,"Carregar")&gt;0," · em dois turnos","")))</f>
        <v/>
      </c>
      <c r="QA91" s="155">
        <f>IF($MU91&lt;&gt;"",$MU91,IF($NH91=0,"",INDEX($AA$2:$AA$11,$NH91)))</f>
        <v/>
      </c>
      <c r="QB91" s="155">
        <f>IF(OR($NB91=0,$NH91=0),"",IF(COUNTIF($MV91:$MY91,"Inescapável")&gt;0,"Automático",IF($QA91="Ataque",IF($NF91="","Ataque","Ataque "&amp;IF(($NF91+2*IF(COUNTIF($MV91:$MY91,"Precisão")&gt;0,1,0))&gt;=0,"+","−")&amp;ABS(($NF91+2*IF(COUNTIF($MV91:$MY91,"Precisão")&gt;0,1,0))))&amp;IF($OB91&gt;0," · TR"&amp;IF($NG91="",""," CD "&amp;$NG91),""),IF(LEFT($QA91,2)="TR",$QA91&amp;IF($NG91="",""," · CD "&amp;$NG91)&amp;IF(COUNTIF($MV91:$MY91,"Certeiro")&gt;0," · metade",""),"Sem rolagem"))))</f>
        <v/>
      </c>
      <c r="QC91" s="155">
        <f>IF(OR($NB91=0,$NH91=0),"",IF($MQ91=0,IF(OR($OE91&gt;=1,$PB91=0),"Sem dano",$PB91&amp;"d6"&amp;IF($MT91="",""," "&amp;$MT91)),IF(OR($OE91&gt;=1,$PB91=0),UPPER(LEFT(INDEX($PK91:$PQ91,1,MAX(1,$MQ91)),1))&amp;MID(INDEX($PK91:$PQ91,1,MAX(1,$MQ91)),2,99),UPPER(LEFT(INDEX($PK91:$PQ91,1,MAX(1,$MQ91)),1))&amp;MID(INDEX($PK91:$PQ91,1,MAX(1,$MQ91)),2,99)&amp;IF($MT91="",""," "&amp;$MT91)&amp;IF($PC91&gt;0," · +"&amp;$PC91&amp;"d8",""))))</f>
        <v/>
      </c>
      <c r="QD91" s="155">
        <f>COUNTIF($MV91:$MY91,"Longe")+3*COUNTIF($MV91:$MY91,"Muito Longe")</f>
        <v/>
      </c>
      <c r="QE91" s="155">
        <f>COUNTIF($MV91:$MY91,"Maior")+3*COUNTIF($MV91:$MY91,"Muito Maior")</f>
        <v/>
      </c>
      <c r="QF91" s="155">
        <f>IF($NH91=0,0,CHOOSE(1+INDEX($AC$2:$AC$11,$NH91),0,$QD91,$QE91,$QD91+$QE91))</f>
        <v/>
      </c>
      <c r="QG91" s="155">
        <f>IF($NH91=0,0,CHOOSE(1+INDEX($AD$2:$AD$11,$NH91),0,$QD91,$QE91,$QD91+$QE91))</f>
        <v/>
      </c>
      <c r="QH91" s="155">
        <f>IF(OR($NB91=0,$NH91=0),"",INDEX($AI$2:$AN$41,($NH91-1)*4+IF($MQ91=0,1,IF($MQ91&lt;=5,2,IF($MQ91=6,3,4))),1+MIN(5,$QF91))&amp;INDEX($AO$2:$AT$41,($NH91-1)*4+IF($MQ91=0,1,IF($MQ91&lt;=5,2,IF($MQ91=6,3,4))),1+MIN(5,$QG91))&amp;IF(INDEX($AE$2:$AE$11,$NH91)=1,IF(COUNTIF($MV91:$MY91,"Mais Um")&gt;0," · +"&amp;COUNTIF($MV91:$MY91,"Mais Um")&amp;IF(COUNTIF($MV91:$MY91,"Mais Um")&gt;1," alvos"," alvo"),"")&amp;IF(COUNTIF($MV91:$MY91,"Rajada")&gt;0,IF($MQ91=0," · 1 tiro"," · "&amp;(MAX(1,$MQ91-1)+1)&amp;" tiros"),""),""))</f>
        <v/>
      </c>
      <c r="QI91" s="155">
        <f>IF($NB91=0,"",IF($MQ91=0,$NE91&amp;"d6"&amp;IF($OS91&gt;0," − 1 = "&amp;$PB91&amp;"d6"," da básica do nível "&amp;$NC91),$OZ91&amp;" − "&amp;$OU91&amp;" + "&amp;$OX91&amp;" = "&amp;$PA91&amp;" · teto "&amp;4*$MQ91&amp;"d8"&amp;IF($OD91=1," · a Forma devolve "&amp;$MQ91,"")&amp;IF($OY91&gt;0," · perde "&amp;$OY91,"")))</f>
        <v/>
      </c>
      <c r="QJ91" s="155">
        <f>IF($NB91=0,"",IF($MQ91=0,"A básica não amplia: os dados dela sobem com o nível",IF($MQ91&gt;=$ND91,"Já está na maior Classe que o nível liberou",TEXTJOIN(" · ",TRUE,IF(AND(2&gt;$MQ91,2&lt;=$ND91),"2 → "&amp;$PL91&amp;", 6 PE",""),IF(AND(3&gt;$MQ91,3&lt;=$ND91),"3 → "&amp;$PM91&amp;", 9 PE",""),IF(AND(4&gt;$MQ91,4&lt;=$ND91),"4 → "&amp;$PN91&amp;", 12 PE",""),IF(AND(5&gt;$MQ91,5&lt;=$ND91),"5 → "&amp;$PO91&amp;", 15 PE",""),IF(AND(6&gt;$MQ91,6&lt;=$ND91),"6 → "&amp;$PP91&amp;", 18 PE",""),IF(AND(7&gt;$MQ91,7&lt;=$ND91),"7 → "&amp;$PQ91&amp;", 21 PE","")))))</f>
        <v/>
      </c>
      <c r="QK91" s="155">
        <f>IF(OR($NB91=0,$NM91=0),"",IF($MQ91=0,"−1 dado","−"&amp;INDEX($I$2:$N$8,MAX(1,$MQ91),MAX(1,$NR91))&amp;" · "&amp;CHOOSE(MAX(1,$NR91),"Leve","Média","Pesada","Leve · Livre","Média · Livre","Pesada · Livre")))</f>
        <v/>
      </c>
      <c r="QL91" s="155">
        <f>IF(OR($NB91=0,$NN91=0),"",IF($MQ91=0,"−1 dado","−"&amp;INDEX($I$2:$N$8,MAX(1,$MQ91),MAX(1,$NS91))&amp;" · "&amp;CHOOSE(MAX(1,$NS91),"Leve","Média","Pesada","Leve · Livre","Média · Livre","Pesada · Livre")))</f>
        <v/>
      </c>
      <c r="QM91" s="155">
        <f>IF(OR($NB91=0,$NO91=0),"",IF($MQ91=0,"−1 dado","−"&amp;INDEX($I$2:$N$8,MAX(1,$MQ91),MAX(1,$NT91))&amp;" · "&amp;CHOOSE(MAX(1,$NT91),"Leve","Média","Pesada","Leve · Livre","Média · Livre","Pesada · Livre")))</f>
        <v/>
      </c>
      <c r="QN91" s="155">
        <f>IF(OR($NB91=0,$NP91=0),"",IF($MQ91=0,"−1 dado","−"&amp;INDEX($I$2:$N$8,MAX(1,$MQ91),MAX(1,$NU91))&amp;" · "&amp;CHOOSE(MAX(1,$NU91),"Leve","Média","Pesada","Leve · Livre","Média · Livre","Pesada · Livre")))</f>
        <v/>
      </c>
      <c r="QO91" s="155">
        <f>IF(OR($NB91=0,$MZ91=""),"",IF($MQ91=0,"não devolve","+"&amp;IF($OG91=1,CEILING($MQ91/2,1),$MQ91)))</f>
        <v/>
      </c>
      <c r="QP91" s="155">
        <f>IF(OR($NB91=0,$NA91=""),"",IF($MQ91=0,"não devolve","+"&amp;IF($OH91=1,CEILING($MQ91/2,1),$MQ91)))</f>
        <v/>
      </c>
    </row>
    <row r="92">
      <c r="ML92" s="153" t="inlineStr">
        <is>
          <t>Ficha 7 · Escolha da trilha 3</t>
        </is>
      </c>
      <c r="MM92" s="155" t="n">
        <v>7</v>
      </c>
      <c r="MN92" s="155" t="n">
        <v>2</v>
      </c>
      <c r="MO92" s="155" t="n">
        <v>0</v>
      </c>
      <c r="MP92" s="153" t="inlineStr">
        <is>
          <t>ESCOLHA DA TRILHA 3</t>
        </is>
      </c>
      <c r="MQ92" s="155">
        <f>MAX(0,MIN(7,N('INVOCAÇÕES'!$AN$160)))</f>
        <v/>
      </c>
      <c r="MR92" s="155">
        <f>'INVOCAÇÕES'!$AO$160&amp;""</f>
        <v/>
      </c>
      <c r="MS92" s="155">
        <f>'INVOCAÇÕES'!$AN$165&amp;""</f>
        <v/>
      </c>
      <c r="MT92" s="155">
        <f>'INVOCAÇÕES'!$AN$166&amp;""</f>
        <v/>
      </c>
      <c r="MU92" s="155">
        <f>'INVOCAÇÕES'!$AP$166&amp;""</f>
        <v/>
      </c>
      <c r="MV92" s="155">
        <f>'INVOCAÇÕES'!$AO$169&amp;""</f>
        <v/>
      </c>
      <c r="MW92" s="155">
        <f>'INVOCAÇÕES'!$AO$170&amp;""</f>
        <v/>
      </c>
      <c r="MX92" s="155">
        <f>'INVOCAÇÕES'!$AO$171&amp;""</f>
        <v/>
      </c>
      <c r="MY92" s="155">
        <f>'INVOCAÇÕES'!$AO$172&amp;""</f>
        <v/>
      </c>
      <c r="MZ92" s="155">
        <f>'INVOCAÇÕES'!$AO$173&amp;""</f>
        <v/>
      </c>
      <c r="NA92" s="155">
        <f>'INVOCAÇÕES'!$AO$174&amp;""</f>
        <v/>
      </c>
      <c r="NB92" s="155">
        <f>IF($MR92&lt;&gt;"",1,0)</f>
        <v/>
      </c>
      <c r="NC92" s="155">
        <f>INDEX($FM$2:$FM$13,$MM92)</f>
        <v/>
      </c>
      <c r="ND92" s="155">
        <f>INDEX($FN$2:$FN$13,$MM92)</f>
        <v/>
      </c>
      <c r="NE92" s="155">
        <f>INDEX($FO$2:$FO$13,$MM92)</f>
        <v/>
      </c>
      <c r="NF92" s="155">
        <f>INDEX($FZ$2:$FZ$13,$MM92)</f>
        <v/>
      </c>
      <c r="NG92" s="155">
        <f>INDEX($GA$2:$GA$13,$MM92)</f>
        <v/>
      </c>
      <c r="NH92" s="155">
        <f>IFERROR(MATCH($MS92,$V$2:$V$11,0),0)</f>
        <v/>
      </c>
      <c r="NI92" s="155">
        <f>IFERROR(VLOOKUP($MV92,$AV$2:$BA$84,2,FALSE),"")</f>
        <v/>
      </c>
      <c r="NJ92" s="155">
        <f>IFERROR(VLOOKUP($MW92,$AV$2:$BA$84,2,FALSE),"")</f>
        <v/>
      </c>
      <c r="NK92" s="155">
        <f>IFERROR(VLOOKUP($MX92,$AV$2:$BA$84,2,FALSE),"")</f>
        <v/>
      </c>
      <c r="NL92" s="155">
        <f>IFERROR(VLOOKUP($MY92,$AV$2:$BA$84,2,FALSE),"")</f>
        <v/>
      </c>
      <c r="NM92" s="155">
        <f>IFERROR(VLOOKUP($MV92,$AV$2:$BA$84,3,FALSE),0)</f>
        <v/>
      </c>
      <c r="NN92" s="155">
        <f>IFERROR(VLOOKUP($MW92,$AV$2:$BA$84,3,FALSE),0)</f>
        <v/>
      </c>
      <c r="NO92" s="155">
        <f>IFERROR(VLOOKUP($MX92,$AV$2:$BA$84,3,FALSE),0)</f>
        <v/>
      </c>
      <c r="NP92" s="155">
        <f>IFERROR(VLOOKUP($MY92,$AV$2:$BA$84,3,FALSE),0)</f>
        <v/>
      </c>
      <c r="NQ92" s="155">
        <f>IF($MQ92=0,0,IF($NH92=0,0,INDEX($X$2:$X$11,$NH92)))</f>
        <v/>
      </c>
      <c r="NR92" s="155">
        <f>IF(OR($NM92=0,$MQ92=0),0,$NM92+3*IF(AND($NI92&lt;&gt;"",OR($NI92=INDEX($EJ$2:$EJ$13,$MM92),$NI92=INDEX($EK$2:$EK$13,$MM92))),1,0))</f>
        <v/>
      </c>
      <c r="NS92" s="155">
        <f>IF(OR($NN92=0,$MQ92=0),0,$NN92+3*IF(AND($NJ92&lt;&gt;"",OR($NJ92=INDEX($EJ$2:$EJ$13,$MM92),$NJ92=INDEX($EK$2:$EK$13,$MM92))),1,0))</f>
        <v/>
      </c>
      <c r="NT92" s="155">
        <f>IF(OR($NO92=0,$MQ92=0),0,$NO92+3*IF(AND($NK92&lt;&gt;"",OR($NK92=INDEX($EJ$2:$EJ$13,$MM92),$NK92=INDEX($EK$2:$EK$13,$MM92))),1,0))</f>
        <v/>
      </c>
      <c r="NU92" s="155">
        <f>IF(OR($NP92=0,$MQ92=0),0,$NP92+3*IF(AND($NL92&lt;&gt;"",OR($NL92=INDEX($EJ$2:$EJ$13,$MM92),$NL92=INDEX($EK$2:$EK$13,$MM92))),1,0))</f>
        <v/>
      </c>
      <c r="NV92" s="155">
        <f>IF($NH92=0,0,IF(INDEX($W$2:$W$11,$NH92)="",0,IF(COUNTIF(INDEX($EJ$2:$EN$13,$MM92,0),INDEX($W$2:$W$11,$NH92))=0,1,0)))</f>
        <v/>
      </c>
      <c r="NW92" s="155">
        <f>IF(OR($NM92=0,$NI92=""),0,IF(COUNTIF(INDEX($EJ$2:$EN$13,$MM92,0),$NI92)=0,1,0))</f>
        <v/>
      </c>
      <c r="NX92" s="155">
        <f>IF(OR($NN92=0,$NJ92=""),0,IF(COUNTIF(INDEX($EJ$2:$EN$13,$MM92,0),$NJ92)=0,1,0))</f>
        <v/>
      </c>
      <c r="NY92" s="155">
        <f>IF(OR($NO92=0,$NK92=""),0,IF(COUNTIF(INDEX($EJ$2:$EN$13,$MM92,0),$NK92)=0,1,0))</f>
        <v/>
      </c>
      <c r="NZ92" s="155">
        <f>IF(OR($NP92=0,$NL92=""),0,IF(COUNTIF(INDEX($EJ$2:$EN$13,$MM92,0),$NL92)=0,1,0))</f>
        <v/>
      </c>
      <c r="OA92" s="155">
        <f>IFERROR(VLOOKUP($MV92,$AV$2:$BA$84,4,FALSE),0)+IFERROR(VLOOKUP($MW92,$AV$2:$BA$84,4,FALSE),0)+IFERROR(VLOOKUP($MX92,$AV$2:$BA$84,4,FALSE),0)+IFERROR(VLOOKUP($MY92,$AV$2:$BA$84,4,FALSE),0)</f>
        <v/>
      </c>
      <c r="OB92" s="155">
        <f>IFERROR(VLOOKUP($MV92,$AV$2:$BA$84,6,FALSE),0)+IFERROR(VLOOKUP($MW92,$AV$2:$BA$84,6,FALSE),0)+IFERROR(VLOOKUP($MX92,$AV$2:$BA$84,6,FALSE),0)+IFERROR(VLOOKUP($MY92,$AV$2:$BA$84,6,FALSE),0)</f>
        <v/>
      </c>
      <c r="OC92" s="155">
        <f>TEXTJOIN(", ",TRUE,IF(IFERROR(VLOOKUP($MV92,$AV$2:$BA$84,5,FALSE),0)=1,$MV92,""),IF(IFERROR(VLOOKUP($MW92,$AV$2:$BA$84,5,FALSE),0)=1,$MW92,""),IF(IFERROR(VLOOKUP($MX92,$AV$2:$BA$84,5,FALSE),0)=1,$MX92,""),IF(IFERROR(VLOOKUP($MY92,$AV$2:$BA$84,5,FALSE),0)=1,$MY92,""))</f>
        <v/>
      </c>
      <c r="OD92" s="155">
        <f>IF($NH92=0,0,INDEX($Y$2:$Y$11,$NH92))</f>
        <v/>
      </c>
      <c r="OE92" s="155">
        <f>IF($NH92=0,0,INDEX($Z$2:$Z$11,$NH92))</f>
        <v/>
      </c>
      <c r="OF92" s="155">
        <f>IF($NH92=0,0,INDEX($AB$2:$AB$11,$NH92))</f>
        <v/>
      </c>
      <c r="OG92" s="155">
        <f>IFERROR(VLOOKUP($MZ92,$BC$2:$BG$24,3,FALSE),0)</f>
        <v/>
      </c>
      <c r="OH92" s="155">
        <f>IFERROR(VLOOKUP($NA92,$BC$2:$BG$24,3,FALSE),0)</f>
        <v/>
      </c>
      <c r="OI92" s="155">
        <f>IFERROR(VLOOKUP($MZ92,$BC$2:$BG$24,2,FALSE),"")</f>
        <v/>
      </c>
      <c r="OJ92" s="155">
        <f>IFERROR(VLOOKUP($NA92,$BC$2:$BG$24,2,FALSE),"")</f>
        <v/>
      </c>
      <c r="OK92" s="155">
        <f>COUNTIF($NQ92:$NU92,1)</f>
        <v/>
      </c>
      <c r="OL92" s="155">
        <f>COUNTIF($NQ92:$NU92,2)</f>
        <v/>
      </c>
      <c r="OM92" s="155">
        <f>COUNTIF($NQ92:$NU92,3)</f>
        <v/>
      </c>
      <c r="ON92" s="155">
        <f>COUNTIF($NQ92:$NU92,4)</f>
        <v/>
      </c>
      <c r="OO92" s="155">
        <f>COUNTIF($NQ92:$NU92,5)</f>
        <v/>
      </c>
      <c r="OP92" s="155">
        <f>COUNTIF($NQ92:$NU92,6)</f>
        <v/>
      </c>
      <c r="OQ92" s="155">
        <f>COUNTIF($OG92:$OH92,1)</f>
        <v/>
      </c>
      <c r="OR92" s="155">
        <f>COUNTIF($OG92:$OH92,2)+$OD92</f>
        <v/>
      </c>
      <c r="OS92" s="155">
        <f>COUNTIF($MV92:$MY92,"?*")</f>
        <v/>
      </c>
      <c r="OT92" s="155">
        <f>COUNTIF($MZ92:$NA92,"?*")+$OD92</f>
        <v/>
      </c>
      <c r="OU92" s="155">
        <f>IF($MQ92=0,0,SUMPRODUCT($OK92:$OP92,INDEX($I$2:$N$8,MAX(1,$MQ92),0)))</f>
        <v/>
      </c>
      <c r="OV92" s="155">
        <f>IF($MQ92=0,0,$OQ92*CEILING($MQ92/2,1)+$OR92*$MQ92)</f>
        <v/>
      </c>
      <c r="OW92" s="155">
        <f>MIN(2*$MQ92,$OV92)</f>
        <v/>
      </c>
      <c r="OX92" s="155">
        <f>MIN($OW92,$OU92)</f>
        <v/>
      </c>
      <c r="OY92" s="155">
        <f>$OW92-$OX92</f>
        <v/>
      </c>
      <c r="OZ92" s="155">
        <f>IF($MQ92=0,0,INDEX($P$2:$P$8,MAX(1,$MQ92)))</f>
        <v/>
      </c>
      <c r="PA92" s="155">
        <f>$OZ92-$OU92+$OX92</f>
        <v/>
      </c>
      <c r="PB92" s="155">
        <f>IF($MQ92=0,MAX(0,$NE92-IF($OS92&gt;0,1,0)),MAX(0,$PA92))</f>
        <v/>
      </c>
      <c r="PC92" s="155">
        <f>IF($MQ92=0,0,(IF(COUNTIF($MV92:$MY92,"Salto")&gt;0,1,0)+IF(COUNTIF($MV92:$MY92,"Queima")&gt;0,1,0)+IF(COUNTIF($MV92:$MY92,"Estilhaço")&gt;0,1,0))*FLOOR($PB92/2,1))</f>
        <v/>
      </c>
      <c r="PD92" s="155">
        <f>MAX(0,2-SUMPRODUCT($OK92:$OP92,$I$2:$N$2)+MIN(2,$OQ92*1+$OR92*1,SUMPRODUCT($OK92:$OP92,$I$2:$N$2)))</f>
        <v/>
      </c>
      <c r="PE92" s="155">
        <f>MAX(0,4-SUMPRODUCT($OK92:$OP92,$I$3:$N$3)+MIN(4,$OQ92*1+$OR92*2,SUMPRODUCT($OK92:$OP92,$I$3:$N$3)))</f>
        <v/>
      </c>
      <c r="PF92" s="155">
        <f>MAX(0,6-SUMPRODUCT($OK92:$OP92,$I$4:$N$4)+MIN(6,$OQ92*2+$OR92*3,SUMPRODUCT($OK92:$OP92,$I$4:$N$4)))</f>
        <v/>
      </c>
      <c r="PG92" s="155">
        <f>MAX(0,9-SUMPRODUCT($OK92:$OP92,$I$5:$N$5)+MIN(8,$OQ92*2+$OR92*4,SUMPRODUCT($OK92:$OP92,$I$5:$N$5)))</f>
        <v/>
      </c>
      <c r="PH92" s="155">
        <f>MAX(0,11-SUMPRODUCT($OK92:$OP92,$I$6:$N$6)+MIN(10,$OQ92*3+$OR92*5,SUMPRODUCT($OK92:$OP92,$I$6:$N$6)))</f>
        <v/>
      </c>
      <c r="PI92" s="155">
        <f>MAX(0,13-SUMPRODUCT($OK92:$OP92,$I$7:$N$7)+MIN(12,$OQ92*3+$OR92*6,SUMPRODUCT($OK92:$OP92,$I$7:$N$7)))</f>
        <v/>
      </c>
      <c r="PJ92" s="155">
        <f>MAX(0,16-SUMPRODUCT($OK92:$OP92,$I$8:$N$8)+MIN(14,$OQ92*4+$OR92*7,SUMPRODUCT($OK92:$OP92,$I$8:$N$8)))</f>
        <v/>
      </c>
      <c r="PK92" s="155">
        <f>IF($OE92=2,3*$PD92&amp;" de vida temp.",IF($OE92=3,"sem dano",IF($PD92=0,IF($OE92=1,"sem cura","sem dano"),IF($OE92=1,"cura ","")&amp;$PD92&amp;"d8")))</f>
        <v/>
      </c>
      <c r="PL92" s="155">
        <f>IF($OE92=2,3*$PE92&amp;" de vida temp.",IF($OE92=3,"sem dano",IF($PE92=0,IF($OE92=1,"sem cura","sem dano"),IF($OE92=1,"cura ","")&amp;$PE92&amp;"d8")))</f>
        <v/>
      </c>
      <c r="PM92" s="155">
        <f>IF($OE92=2,3*$PF92&amp;" de vida temp.",IF($OE92=3,"sem dano",IF($PF92=0,IF($OE92=1,"sem cura","sem dano"),IF($OE92=1,"cura ","")&amp;$PF92&amp;"d8")))</f>
        <v/>
      </c>
      <c r="PN92" s="155">
        <f>IF($OE92=2,3*$PG92&amp;" de vida temp.",IF($OE92=3,"sem dano",IF($PG92=0,IF($OE92=1,"sem cura","sem dano"),IF($OE92=1,"cura ","")&amp;$PG92&amp;"d8")))</f>
        <v/>
      </c>
      <c r="PO92" s="155">
        <f>IF($OE92=2,3*$PH92&amp;" de vida temp.",IF($OE92=3,"sem dano",IF($PH92=0,IF($OE92=1,"sem cura","sem dano"),IF($OE92=1,"cura ","")&amp;$PH92&amp;"d8")))</f>
        <v/>
      </c>
      <c r="PP92" s="155">
        <f>IF($OE92=2,3*$PI92&amp;" de vida temp.",IF($OE92=3,"sem dano",IF($PI92=0,IF($OE92=1,"sem cura","sem dano"),IF($OE92=1,"cura ","")&amp;$PI92&amp;"d8")))</f>
        <v/>
      </c>
      <c r="PQ92" s="155">
        <f>IF($OE92=2,3*$PJ92&amp;" de vida temp.",IF($OE92=3,"sem dano",IF($PJ92=0,IF($OE92=1,"sem cura","sem dano"),IF($OE92=1,"cura ","")&amp;$PJ92&amp;"d8")))</f>
        <v/>
      </c>
      <c r="PR92" s="155">
        <f>IF($NB92=0,"",TEXTJOIN(" · ",TRUE,IF($MO92&gt;$NC92,"Este lugar abre no nível "&amp;$MO92,""),IF($MQ92&gt;$ND92,"Classe "&amp;$MQ92&amp;": o nível "&amp;$NC92&amp;" libera até a "&amp;$ND92,""),IF($NV92=1,"A Forma "&amp;$MS92&amp;" pede "&amp;INDEX($W$2:$W$11,$NH92)&amp;" aberta",""),IF(AND($MQ92=0,$NH92&gt;0,IF($NH92=0,0,INDEX($AF$2:$AF$11,$NH92))=0),$MS92&amp;" não existe na Classe 0",""),IF($NW92=1,"Família Fechada: "&amp;$MV92,""),IF($NX92=1,"Família Fechada: "&amp;$MW92,""),IF($NY92=1,"Família Fechada: "&amp;$MX92,""),IF($NZ92=1,"Família Fechada: "&amp;$MY92,""),IF(AND($MQ92&gt;0,$OS92&gt;INDEX($O$2:$O$8,MAX(1,$MQ92))),$OS92&amp;" Melhorias: a Classe "&amp;$MQ92&amp;" aceita "&amp;INDEX($O$2:$O$8,MAX(1,$MQ92)),""),IF(AND($MQ92=0,$OS92&gt;1),"A básica aceita uma Melhoria",""),IF(AND($MQ92=0,COUNTIF($NM92:$NP92,"&gt;1")&gt;0),"A básica só aceita Melhoria Leve",""),IF(AND($MQ92&gt;0,$OT92&gt;2),$OT92&amp;" Restrições"&amp;IF($OD92=1,", contando a que a Forma "&amp;$MS92&amp;" já traz","")&amp;": o limite é 2",""),IF(AND($MQ92=0,COUNTIF($MZ92:$NA92,"?*")&gt;1),"A básica aceita uma Restrição Leve",""),IF(AND($MQ92=0,COUNTIF($OG92:$OH92,2)&gt;0),"A básica só aceita Restrição Leve",""),IF(AND($MQ92&gt;0,$PA92&lt;0),"Orçamento estourado: faltam "&amp;(-$PA92)&amp;IF($PA92&lt;-1," pontos"," ponto"),""),IF(IFERROR(VLOOKUP($MZ92,$BC$2:$BG$24,4,FALSE),0)+IFERROR(VLOOKUP($NA92,$BC$2:$BG$24,4,FALSE),0)&gt;1,$OI92&amp;" e "&amp;$OJ92&amp;" são as duas de frequência",""),IF(AND((COUNTIF($MV92:$MY92,"Rápido")+COUNTIF($OI92:$OJ92,"Rápido"))&gt;0,(COUNTIF($MV92:$MY92,"Atrasar")+COUNTIF($OI92:$OJ92,"Atrasar"))&gt;0),"Rápido não entra com Atrasar",""),IF(AND((COUNTIF($MV92:$MY92,"Reação")+COUNTIF($OI92:$OJ92,"Reação"))&gt;0,(COUNTIF($MV92:$MY92,"Rápido")+COUNTIF($OI92:$OJ92,"Rápido"))&gt;0),"Reação não entra com Rápido",""),IF(AND((COUNTIF($MV92:$MY92,"Reação")+COUNTIF($OI92:$OJ92,"Reação"))&gt;0,(COUNTIF($MV92:$MY92,"Armado")+COUNTIF($OI92:$OJ92,"Armado"))&gt;0),"Reação não entra com Armado",""),IF(AND((COUNTIF($MV92:$MY92,"Reação")+COUNTIF($OI92:$OJ92,"Reação"))&gt;0,(COUNTIF($MV92:$MY92,"Atrasar")+COUNTIF($OI92:$OJ92,"Atrasar"))&gt;0),"Reação não entra com Atrasar",""),IF(AND((COUNTIF($MV92:$MY92,"Reação")+COUNTIF($OI92:$OJ92,"Reação"))&gt;0,(COUNTIF($MV92:$MY92,"Parado")+COUNTIF($OI92:$OJ92,"Parado"))&gt;0),"Reação não entra com Parado",""),IF(AND((COUNTIF($MV92:$MY92,"Atrasar")+COUNTIF($OI92:$OJ92,"Atrasar"))&gt;0,(COUNTIF($MV92:$MY92,"Parado")+COUNTIF($OI92:$OJ92,"Parado"))&gt;0),"Atrasar não entra com Parado",""),IF(AND((COUNTIF($MV92:$MY92,"Armado")+COUNTIF($OI92:$OJ92,"Armado"))&gt;0,(COUNTIF($MV92:$MY92,"Carregar")+COUNTIF($OI92:$OJ92,"Carregar"))&gt;0),"Armado não entra com Carregar",""),IF(AND(COUNTIF($OI92:$OJ92,"Corpo a Corpo")&gt;0,$OD92=0,OR($MS92="Cone",$MS92="Linha")),"Corpo a Corpo não entra em "&amp;$MS92,""),IF(AND(COUNTIF($OI92:$OJ92,"Corpo a Corpo")&gt;0,$OD92=1),"A Forma "&amp;$MS92&amp;" já traz o Corpo a Corpo",""),IF(AND(COUNTIF($OI92:$OJ92,"Tudo ou Nada")&gt;0,$OF92=0),"Tudo ou Nada só entra em habilidade de Teste de Resistência",""),IF(AND(COUNTIF($MV92:$MY92,"Inescapável")&gt;0,OR($OS92&gt;1,$OT92&gt;0)),"Inescapável não aceita outra peça",""),IF(AND($MQ92&gt;0,$PB92*IF(COUNTIF($MV92:$MY92,"Remate")&gt;0,1.25,1)+$PC92&gt;4*$MQ92),($PB92*IF(COUNTIF($MV92:$MY92,"Remate")&gt;0,1.25,1)+$PC92)&amp;" dados somando repetições"&amp;IF(COUNTIF($MV92:$MY92,"Remate")&gt;0," e o Remate","")&amp;": o teto da Classe "&amp;$MQ92&amp;" é "&amp;4*$MQ92,"")))</f>
        <v/>
      </c>
      <c r="PS92" s="155">
        <f>IF($PR92="",0,(LEN($PR92)-LEN(SUBSTITUTE($PR92," · ","")))/3+1)</f>
        <v/>
      </c>
      <c r="PT92" s="155">
        <f>IF($NB92=0,"",TEXTJOIN(" · ",TRUE,IF($OV92&gt;2*$MQ92,"A devolução parou no teto de "&amp;2*$MQ92,""),IF($OY92&gt;0,"Devolução perdida: "&amp;$OY92&amp;IF($OY92&gt;1," pontos"," ponto")&amp;" sem peça para pagar",""),IF(AND($OA92&gt;0,AND($MQ92&gt;0,$OE92=0),$PB92=0),"Controle sem dano: uma rodada a mais e CD +2",""),IF(AND($OA92&gt;0,AND($MQ92&gt;0,$OE92=0),$PB92&gt;0,$PB92&lt;=$MQ92),"Controle com saldo até a Classe: uma rodada a mais",""),IF(AND($MQ92&gt;0,$OC92&lt;&gt;""),"Efeito de "&amp;$OC92&amp;" pela Classe "&amp;MAX(1,$MQ92-1),"")))</f>
        <v/>
      </c>
      <c r="PU92" s="155">
        <f>IF($PT92="",0,(LEN($PT92)-LEN(SUBSTITUTE($PT92," · ","")))/3+1)</f>
        <v/>
      </c>
      <c r="PV92" s="155">
        <f>IF($NB92=0,IF($OS92+COUNTIF($MZ92:$NA92,"?*")&gt;0,"Dê um nome",""),IF($PS92&gt;0,"⚠ "&amp;$PS92&amp;IF($PS92&gt;1," erros"," erro"),IF($PU92&gt;0,"! "&amp;$PU92&amp;IF($PU92&gt;1," avisos"," aviso"),"Na regra")))</f>
        <v/>
      </c>
      <c r="PW92" s="155">
        <f>IF($NB92=0,"",IF($PS92+$PU92=0,"Dentro das regras que a ficha confere",$PR92&amp;IF(AND($PS92&gt;0,$PU92&gt;0)," · ","")&amp;$PT92))</f>
        <v/>
      </c>
      <c r="PX92" s="155">
        <f>IF($MO92&gt;$NC92,$MP92&amp;" · ABRE NO NÍVEL "&amp;$MO92,$MP92)</f>
        <v/>
      </c>
      <c r="PY92" s="155">
        <f>IF($NB92=0,"",IF($MQ92=0,"Sem PE",3*$MQ92&amp;" PE"))</f>
        <v/>
      </c>
      <c r="PZ92" s="155">
        <f>IF($NB92=0,"",IF($MQ92=0,"A atuação básica dela",IF(COUNTIF($OI92:$OJ92,"Atrasar")&gt;0,"Sua Ação Completa",IF(COUNTIF($MV92:$MY92,"Rápido")&gt;0,"Sua Bônus",IF(COUNTIF($MV92:$MY92,"Reação")&gt;0,"Sua Reação","Sua Padrão")))&amp;" + a básica dela"&amp;IF(COUNTIF($MV92:$MY92,"Reação")&gt;0," e a coletiva","")&amp;IF(COUNTIF($OI92:$OJ92,"Carregar")&gt;0," · em dois turnos","")))</f>
        <v/>
      </c>
      <c r="QA92" s="155">
        <f>IF($MU92&lt;&gt;"",$MU92,IF($NH92=0,"",INDEX($AA$2:$AA$11,$NH92)))</f>
        <v/>
      </c>
      <c r="QB92" s="155">
        <f>IF(OR($NB92=0,$NH92=0),"",IF(COUNTIF($MV92:$MY92,"Inescapável")&gt;0,"Automático",IF($QA92="Ataque",IF($NF92="","Ataque","Ataque "&amp;IF(($NF92+2*IF(COUNTIF($MV92:$MY92,"Precisão")&gt;0,1,0))&gt;=0,"+","−")&amp;ABS(($NF92+2*IF(COUNTIF($MV92:$MY92,"Precisão")&gt;0,1,0))))&amp;IF($OB92&gt;0," · TR"&amp;IF($NG92="",""," CD "&amp;$NG92),""),IF(LEFT($QA92,2)="TR",$QA92&amp;IF($NG92="",""," · CD "&amp;$NG92)&amp;IF(COUNTIF($MV92:$MY92,"Certeiro")&gt;0," · metade",""),"Sem rolagem"))))</f>
        <v/>
      </c>
      <c r="QC92" s="155">
        <f>IF(OR($NB92=0,$NH92=0),"",IF($MQ92=0,IF(OR($OE92&gt;=1,$PB92=0),"Sem dano",$PB92&amp;"d6"&amp;IF($MT92="",""," "&amp;$MT92)),IF(OR($OE92&gt;=1,$PB92=0),UPPER(LEFT(INDEX($PK92:$PQ92,1,MAX(1,$MQ92)),1))&amp;MID(INDEX($PK92:$PQ92,1,MAX(1,$MQ92)),2,99),UPPER(LEFT(INDEX($PK92:$PQ92,1,MAX(1,$MQ92)),1))&amp;MID(INDEX($PK92:$PQ92,1,MAX(1,$MQ92)),2,99)&amp;IF($MT92="",""," "&amp;$MT92)&amp;IF($PC92&gt;0," · +"&amp;$PC92&amp;"d8",""))))</f>
        <v/>
      </c>
      <c r="QD92" s="155">
        <f>COUNTIF($MV92:$MY92,"Longe")+3*COUNTIF($MV92:$MY92,"Muito Longe")</f>
        <v/>
      </c>
      <c r="QE92" s="155">
        <f>COUNTIF($MV92:$MY92,"Maior")+3*COUNTIF($MV92:$MY92,"Muito Maior")</f>
        <v/>
      </c>
      <c r="QF92" s="155">
        <f>IF($NH92=0,0,CHOOSE(1+INDEX($AC$2:$AC$11,$NH92),0,$QD92,$QE92,$QD92+$QE92))</f>
        <v/>
      </c>
      <c r="QG92" s="155">
        <f>IF($NH92=0,0,CHOOSE(1+INDEX($AD$2:$AD$11,$NH92),0,$QD92,$QE92,$QD92+$QE92))</f>
        <v/>
      </c>
      <c r="QH92" s="155">
        <f>IF(OR($NB92=0,$NH92=0),"",INDEX($AI$2:$AN$41,($NH92-1)*4+IF($MQ92=0,1,IF($MQ92&lt;=5,2,IF($MQ92=6,3,4))),1+MIN(5,$QF92))&amp;INDEX($AO$2:$AT$41,($NH92-1)*4+IF($MQ92=0,1,IF($MQ92&lt;=5,2,IF($MQ92=6,3,4))),1+MIN(5,$QG92))&amp;IF(INDEX($AE$2:$AE$11,$NH92)=1,IF(COUNTIF($MV92:$MY92,"Mais Um")&gt;0," · +"&amp;COUNTIF($MV92:$MY92,"Mais Um")&amp;IF(COUNTIF($MV92:$MY92,"Mais Um")&gt;1," alvos"," alvo"),"")&amp;IF(COUNTIF($MV92:$MY92,"Rajada")&gt;0,IF($MQ92=0," · 1 tiro"," · "&amp;(MAX(1,$MQ92-1)+1)&amp;" tiros"),""),""))</f>
        <v/>
      </c>
      <c r="QI92" s="155">
        <f>IF($NB92=0,"",IF($MQ92=0,$NE92&amp;"d6"&amp;IF($OS92&gt;0," − 1 = "&amp;$PB92&amp;"d6"," da básica do nível "&amp;$NC92),$OZ92&amp;" − "&amp;$OU92&amp;" + "&amp;$OX92&amp;" = "&amp;$PA92&amp;" · teto "&amp;4*$MQ92&amp;"d8"&amp;IF($OD92=1," · a Forma devolve "&amp;$MQ92,"")&amp;IF($OY92&gt;0," · perde "&amp;$OY92,"")))</f>
        <v/>
      </c>
      <c r="QJ92" s="155">
        <f>IF($NB92=0,"",IF($MQ92=0,"A básica não amplia: os dados dela sobem com o nível",IF($MQ92&gt;=$ND92,"Já está na maior Classe que o nível liberou",TEXTJOIN(" · ",TRUE,IF(AND(2&gt;$MQ92,2&lt;=$ND92),"2 → "&amp;$PL92&amp;", 6 PE",""),IF(AND(3&gt;$MQ92,3&lt;=$ND92),"3 → "&amp;$PM92&amp;", 9 PE",""),IF(AND(4&gt;$MQ92,4&lt;=$ND92),"4 → "&amp;$PN92&amp;", 12 PE",""),IF(AND(5&gt;$MQ92,5&lt;=$ND92),"5 → "&amp;$PO92&amp;", 15 PE",""),IF(AND(6&gt;$MQ92,6&lt;=$ND92),"6 → "&amp;$PP92&amp;", 18 PE",""),IF(AND(7&gt;$MQ92,7&lt;=$ND92),"7 → "&amp;$PQ92&amp;", 21 PE","")))))</f>
        <v/>
      </c>
      <c r="QK92" s="155">
        <f>IF(OR($NB92=0,$NM92=0),"",IF($MQ92=0,"−1 dado","−"&amp;INDEX($I$2:$N$8,MAX(1,$MQ92),MAX(1,$NR92))&amp;" · "&amp;CHOOSE(MAX(1,$NR92),"Leve","Média","Pesada","Leve · Livre","Média · Livre","Pesada · Livre")))</f>
        <v/>
      </c>
      <c r="QL92" s="155">
        <f>IF(OR($NB92=0,$NN92=0),"",IF($MQ92=0,"−1 dado","−"&amp;INDEX($I$2:$N$8,MAX(1,$MQ92),MAX(1,$NS92))&amp;" · "&amp;CHOOSE(MAX(1,$NS92),"Leve","Média","Pesada","Leve · Livre","Média · Livre","Pesada · Livre")))</f>
        <v/>
      </c>
      <c r="QM92" s="155">
        <f>IF(OR($NB92=0,$NO92=0),"",IF($MQ92=0,"−1 dado","−"&amp;INDEX($I$2:$N$8,MAX(1,$MQ92),MAX(1,$NT92))&amp;" · "&amp;CHOOSE(MAX(1,$NT92),"Leve","Média","Pesada","Leve · Livre","Média · Livre","Pesada · Livre")))</f>
        <v/>
      </c>
      <c r="QN92" s="155">
        <f>IF(OR($NB92=0,$NP92=0),"",IF($MQ92=0,"−1 dado","−"&amp;INDEX($I$2:$N$8,MAX(1,$MQ92),MAX(1,$NU92))&amp;" · "&amp;CHOOSE(MAX(1,$NU92),"Leve","Média","Pesada","Leve · Livre","Média · Livre","Pesada · Livre")))</f>
        <v/>
      </c>
      <c r="QO92" s="155">
        <f>IF(OR($NB92=0,$MZ92=""),"",IF($MQ92=0,"não devolve","+"&amp;IF($OG92=1,CEILING($MQ92/2,1),$MQ92)))</f>
        <v/>
      </c>
      <c r="QP92" s="155">
        <f>IF(OR($NB92=0,$NA92=""),"",IF($MQ92=0,"não devolve","+"&amp;IF($OH92=1,CEILING($MQ92/2,1),$MQ92)))</f>
        <v/>
      </c>
    </row>
    <row r="93">
      <c r="ML93" s="153" t="inlineStr">
        <is>
          <t>Ficha 8 · Básica 1</t>
        </is>
      </c>
      <c r="MM93" s="155" t="n">
        <v>8</v>
      </c>
      <c r="MN93" s="155" t="n">
        <v>0</v>
      </c>
      <c r="MO93" s="155" t="n">
        <v>1</v>
      </c>
      <c r="MP93" s="153" t="inlineStr">
        <is>
          <t>BÁSICA 1</t>
        </is>
      </c>
      <c r="MQ93" s="155" t="n">
        <v>0</v>
      </c>
      <c r="MR93" s="155">
        <f>'INVOCAÇÕES'!$AC$256&amp;""</f>
        <v/>
      </c>
      <c r="MS93" s="155">
        <f>'INVOCAÇÕES'!$AB$261&amp;""</f>
        <v/>
      </c>
      <c r="MT93" s="155">
        <f>'INVOCAÇÕES'!$AB$262&amp;""</f>
        <v/>
      </c>
      <c r="MU93" s="155">
        <f>'INVOCAÇÕES'!$AD$262&amp;""</f>
        <v/>
      </c>
      <c r="MV93" s="155">
        <f>'INVOCAÇÕES'!$AC$265&amp;""</f>
        <v/>
      </c>
      <c r="MW93" s="155">
        <f>'INVOCAÇÕES'!$AC$266&amp;""</f>
        <v/>
      </c>
      <c r="MX93" s="155">
        <f>'INVOCAÇÕES'!$AC$267&amp;""</f>
        <v/>
      </c>
      <c r="MY93" s="155">
        <f>'INVOCAÇÕES'!$AC$268&amp;""</f>
        <v/>
      </c>
      <c r="MZ93" s="155">
        <f>'INVOCAÇÕES'!$AC$269&amp;""</f>
        <v/>
      </c>
      <c r="NA93" s="155">
        <f>'INVOCAÇÕES'!$AC$270&amp;""</f>
        <v/>
      </c>
      <c r="NB93" s="155">
        <f>IF($MR93&lt;&gt;"",1,0)</f>
        <v/>
      </c>
      <c r="NC93" s="155">
        <f>INDEX($FM$2:$FM$13,$MM93)</f>
        <v/>
      </c>
      <c r="ND93" s="155">
        <f>INDEX($FN$2:$FN$13,$MM93)</f>
        <v/>
      </c>
      <c r="NE93" s="155">
        <f>INDEX($FO$2:$FO$13,$MM93)</f>
        <v/>
      </c>
      <c r="NF93" s="155">
        <f>INDEX($FZ$2:$FZ$13,$MM93)</f>
        <v/>
      </c>
      <c r="NG93" s="155">
        <f>INDEX($GA$2:$GA$13,$MM93)</f>
        <v/>
      </c>
      <c r="NH93" s="155">
        <f>IFERROR(MATCH($MS93,$V$2:$V$11,0),0)</f>
        <v/>
      </c>
      <c r="NI93" s="155">
        <f>IFERROR(VLOOKUP($MV93,$AV$2:$BA$84,2,FALSE),"")</f>
        <v/>
      </c>
      <c r="NJ93" s="155">
        <f>IFERROR(VLOOKUP($MW93,$AV$2:$BA$84,2,FALSE),"")</f>
        <v/>
      </c>
      <c r="NK93" s="155">
        <f>IFERROR(VLOOKUP($MX93,$AV$2:$BA$84,2,FALSE),"")</f>
        <v/>
      </c>
      <c r="NL93" s="155">
        <f>IFERROR(VLOOKUP($MY93,$AV$2:$BA$84,2,FALSE),"")</f>
        <v/>
      </c>
      <c r="NM93" s="155">
        <f>IFERROR(VLOOKUP($MV93,$AV$2:$BA$84,3,FALSE),0)</f>
        <v/>
      </c>
      <c r="NN93" s="155">
        <f>IFERROR(VLOOKUP($MW93,$AV$2:$BA$84,3,FALSE),0)</f>
        <v/>
      </c>
      <c r="NO93" s="155">
        <f>IFERROR(VLOOKUP($MX93,$AV$2:$BA$84,3,FALSE),0)</f>
        <v/>
      </c>
      <c r="NP93" s="155">
        <f>IFERROR(VLOOKUP($MY93,$AV$2:$BA$84,3,FALSE),0)</f>
        <v/>
      </c>
      <c r="NQ93" s="155">
        <f>IF($MQ93=0,0,IF($NH93=0,0,INDEX($X$2:$X$11,$NH93)))</f>
        <v/>
      </c>
      <c r="NR93" s="155">
        <f>IF(OR($NM93=0,$MQ93=0),0,$NM93+3*IF(AND($NI93&lt;&gt;"",OR($NI93=INDEX($EJ$2:$EJ$13,$MM93),$NI93=INDEX($EK$2:$EK$13,$MM93))),1,0))</f>
        <v/>
      </c>
      <c r="NS93" s="155">
        <f>IF(OR($NN93=0,$MQ93=0),0,$NN93+3*IF(AND($NJ93&lt;&gt;"",OR($NJ93=INDEX($EJ$2:$EJ$13,$MM93),$NJ93=INDEX($EK$2:$EK$13,$MM93))),1,0))</f>
        <v/>
      </c>
      <c r="NT93" s="155">
        <f>IF(OR($NO93=0,$MQ93=0),0,$NO93+3*IF(AND($NK93&lt;&gt;"",OR($NK93=INDEX($EJ$2:$EJ$13,$MM93),$NK93=INDEX($EK$2:$EK$13,$MM93))),1,0))</f>
        <v/>
      </c>
      <c r="NU93" s="155">
        <f>IF(OR($NP93=0,$MQ93=0),0,$NP93+3*IF(AND($NL93&lt;&gt;"",OR($NL93=INDEX($EJ$2:$EJ$13,$MM93),$NL93=INDEX($EK$2:$EK$13,$MM93))),1,0))</f>
        <v/>
      </c>
      <c r="NV93" s="155">
        <f>IF($NH93=0,0,IF(INDEX($W$2:$W$11,$NH93)="",0,IF(COUNTIF(INDEX($EJ$2:$EN$13,$MM93,0),INDEX($W$2:$W$11,$NH93))=0,1,0)))</f>
        <v/>
      </c>
      <c r="NW93" s="155">
        <f>IF(OR($NM93=0,$NI93=""),0,IF(COUNTIF(INDEX($EJ$2:$EN$13,$MM93,0),$NI93)=0,1,0))</f>
        <v/>
      </c>
      <c r="NX93" s="155">
        <f>IF(OR($NN93=0,$NJ93=""),0,IF(COUNTIF(INDEX($EJ$2:$EN$13,$MM93,0),$NJ93)=0,1,0))</f>
        <v/>
      </c>
      <c r="NY93" s="155">
        <f>IF(OR($NO93=0,$NK93=""),0,IF(COUNTIF(INDEX($EJ$2:$EN$13,$MM93,0),$NK93)=0,1,0))</f>
        <v/>
      </c>
      <c r="NZ93" s="155">
        <f>IF(OR($NP93=0,$NL93=""),0,IF(COUNTIF(INDEX($EJ$2:$EN$13,$MM93,0),$NL93)=0,1,0))</f>
        <v/>
      </c>
      <c r="OA93" s="155">
        <f>IFERROR(VLOOKUP($MV93,$AV$2:$BA$84,4,FALSE),0)+IFERROR(VLOOKUP($MW93,$AV$2:$BA$84,4,FALSE),0)+IFERROR(VLOOKUP($MX93,$AV$2:$BA$84,4,FALSE),0)+IFERROR(VLOOKUP($MY93,$AV$2:$BA$84,4,FALSE),0)</f>
        <v/>
      </c>
      <c r="OB93" s="155">
        <f>IFERROR(VLOOKUP($MV93,$AV$2:$BA$84,6,FALSE),0)+IFERROR(VLOOKUP($MW93,$AV$2:$BA$84,6,FALSE),0)+IFERROR(VLOOKUP($MX93,$AV$2:$BA$84,6,FALSE),0)+IFERROR(VLOOKUP($MY93,$AV$2:$BA$84,6,FALSE),0)</f>
        <v/>
      </c>
      <c r="OC93" s="155">
        <f>TEXTJOIN(", ",TRUE,IF(IFERROR(VLOOKUP($MV93,$AV$2:$BA$84,5,FALSE),0)=1,$MV93,""),IF(IFERROR(VLOOKUP($MW93,$AV$2:$BA$84,5,FALSE),0)=1,$MW93,""),IF(IFERROR(VLOOKUP($MX93,$AV$2:$BA$84,5,FALSE),0)=1,$MX93,""),IF(IFERROR(VLOOKUP($MY93,$AV$2:$BA$84,5,FALSE),0)=1,$MY93,""))</f>
        <v/>
      </c>
      <c r="OD93" s="155">
        <f>IF($NH93=0,0,INDEX($Y$2:$Y$11,$NH93))</f>
        <v/>
      </c>
      <c r="OE93" s="155">
        <f>IF($NH93=0,0,INDEX($Z$2:$Z$11,$NH93))</f>
        <v/>
      </c>
      <c r="OF93" s="155">
        <f>IF($NH93=0,0,INDEX($AB$2:$AB$11,$NH93))</f>
        <v/>
      </c>
      <c r="OG93" s="155">
        <f>IFERROR(VLOOKUP($MZ93,$BC$2:$BG$24,3,FALSE),0)</f>
        <v/>
      </c>
      <c r="OH93" s="155">
        <f>IFERROR(VLOOKUP($NA93,$BC$2:$BG$24,3,FALSE),0)</f>
        <v/>
      </c>
      <c r="OI93" s="155">
        <f>IFERROR(VLOOKUP($MZ93,$BC$2:$BG$24,2,FALSE),"")</f>
        <v/>
      </c>
      <c r="OJ93" s="155">
        <f>IFERROR(VLOOKUP($NA93,$BC$2:$BG$24,2,FALSE),"")</f>
        <v/>
      </c>
      <c r="OK93" s="155">
        <f>COUNTIF($NQ93:$NU93,1)</f>
        <v/>
      </c>
      <c r="OL93" s="155">
        <f>COUNTIF($NQ93:$NU93,2)</f>
        <v/>
      </c>
      <c r="OM93" s="155">
        <f>COUNTIF($NQ93:$NU93,3)</f>
        <v/>
      </c>
      <c r="ON93" s="155">
        <f>COUNTIF($NQ93:$NU93,4)</f>
        <v/>
      </c>
      <c r="OO93" s="155">
        <f>COUNTIF($NQ93:$NU93,5)</f>
        <v/>
      </c>
      <c r="OP93" s="155">
        <f>COUNTIF($NQ93:$NU93,6)</f>
        <v/>
      </c>
      <c r="OQ93" s="155">
        <f>COUNTIF($OG93:$OH93,1)</f>
        <v/>
      </c>
      <c r="OR93" s="155">
        <f>COUNTIF($OG93:$OH93,2)+$OD93</f>
        <v/>
      </c>
      <c r="OS93" s="155">
        <f>COUNTIF($MV93:$MY93,"?*")</f>
        <v/>
      </c>
      <c r="OT93" s="155">
        <f>COUNTIF($MZ93:$NA93,"?*")+$OD93</f>
        <v/>
      </c>
      <c r="OU93" s="155">
        <f>IF($MQ93=0,0,SUMPRODUCT($OK93:$OP93,INDEX($I$2:$N$8,MAX(1,$MQ93),0)))</f>
        <v/>
      </c>
      <c r="OV93" s="155">
        <f>IF($MQ93=0,0,$OQ93*CEILING($MQ93/2,1)+$OR93*$MQ93)</f>
        <v/>
      </c>
      <c r="OW93" s="155">
        <f>MIN(2*$MQ93,$OV93)</f>
        <v/>
      </c>
      <c r="OX93" s="155">
        <f>MIN($OW93,$OU93)</f>
        <v/>
      </c>
      <c r="OY93" s="155">
        <f>$OW93-$OX93</f>
        <v/>
      </c>
      <c r="OZ93" s="155">
        <f>IF($MQ93=0,0,INDEX($P$2:$P$8,MAX(1,$MQ93)))</f>
        <v/>
      </c>
      <c r="PA93" s="155">
        <f>$OZ93-$OU93+$OX93</f>
        <v/>
      </c>
      <c r="PB93" s="155">
        <f>IF($MQ93=0,MAX(0,$NE93-IF($OS93&gt;0,1,0)),MAX(0,$PA93))</f>
        <v/>
      </c>
      <c r="PC93" s="155">
        <f>IF($MQ93=0,0,(IF(COUNTIF($MV93:$MY93,"Salto")&gt;0,1,0)+IF(COUNTIF($MV93:$MY93,"Queima")&gt;0,1,0)+IF(COUNTIF($MV93:$MY93,"Estilhaço")&gt;0,1,0))*FLOOR($PB93/2,1))</f>
        <v/>
      </c>
      <c r="PD93" s="155">
        <f>MAX(0,2-SUMPRODUCT($OK93:$OP93,$I$2:$N$2)+MIN(2,$OQ93*1+$OR93*1,SUMPRODUCT($OK93:$OP93,$I$2:$N$2)))</f>
        <v/>
      </c>
      <c r="PE93" s="155">
        <f>MAX(0,4-SUMPRODUCT($OK93:$OP93,$I$3:$N$3)+MIN(4,$OQ93*1+$OR93*2,SUMPRODUCT($OK93:$OP93,$I$3:$N$3)))</f>
        <v/>
      </c>
      <c r="PF93" s="155">
        <f>MAX(0,6-SUMPRODUCT($OK93:$OP93,$I$4:$N$4)+MIN(6,$OQ93*2+$OR93*3,SUMPRODUCT($OK93:$OP93,$I$4:$N$4)))</f>
        <v/>
      </c>
      <c r="PG93" s="155">
        <f>MAX(0,9-SUMPRODUCT($OK93:$OP93,$I$5:$N$5)+MIN(8,$OQ93*2+$OR93*4,SUMPRODUCT($OK93:$OP93,$I$5:$N$5)))</f>
        <v/>
      </c>
      <c r="PH93" s="155">
        <f>MAX(0,11-SUMPRODUCT($OK93:$OP93,$I$6:$N$6)+MIN(10,$OQ93*3+$OR93*5,SUMPRODUCT($OK93:$OP93,$I$6:$N$6)))</f>
        <v/>
      </c>
      <c r="PI93" s="155">
        <f>MAX(0,13-SUMPRODUCT($OK93:$OP93,$I$7:$N$7)+MIN(12,$OQ93*3+$OR93*6,SUMPRODUCT($OK93:$OP93,$I$7:$N$7)))</f>
        <v/>
      </c>
      <c r="PJ93" s="155">
        <f>MAX(0,16-SUMPRODUCT($OK93:$OP93,$I$8:$N$8)+MIN(14,$OQ93*4+$OR93*7,SUMPRODUCT($OK93:$OP93,$I$8:$N$8)))</f>
        <v/>
      </c>
      <c r="PK93" s="155">
        <f>IF($OE93=2,3*$PD93&amp;" de vida temp.",IF($OE93=3,"sem dano",IF($PD93=0,IF($OE93=1,"sem cura","sem dano"),IF($OE93=1,"cura ","")&amp;$PD93&amp;"d8")))</f>
        <v/>
      </c>
      <c r="PL93" s="155">
        <f>IF($OE93=2,3*$PE93&amp;" de vida temp.",IF($OE93=3,"sem dano",IF($PE93=0,IF($OE93=1,"sem cura","sem dano"),IF($OE93=1,"cura ","")&amp;$PE93&amp;"d8")))</f>
        <v/>
      </c>
      <c r="PM93" s="155">
        <f>IF($OE93=2,3*$PF93&amp;" de vida temp.",IF($OE93=3,"sem dano",IF($PF93=0,IF($OE93=1,"sem cura","sem dano"),IF($OE93=1,"cura ","")&amp;$PF93&amp;"d8")))</f>
        <v/>
      </c>
      <c r="PN93" s="155">
        <f>IF($OE93=2,3*$PG93&amp;" de vida temp.",IF($OE93=3,"sem dano",IF($PG93=0,IF($OE93=1,"sem cura","sem dano"),IF($OE93=1,"cura ","")&amp;$PG93&amp;"d8")))</f>
        <v/>
      </c>
      <c r="PO93" s="155">
        <f>IF($OE93=2,3*$PH93&amp;" de vida temp.",IF($OE93=3,"sem dano",IF($PH93=0,IF($OE93=1,"sem cura","sem dano"),IF($OE93=1,"cura ","")&amp;$PH93&amp;"d8")))</f>
        <v/>
      </c>
      <c r="PP93" s="155">
        <f>IF($OE93=2,3*$PI93&amp;" de vida temp.",IF($OE93=3,"sem dano",IF($PI93=0,IF($OE93=1,"sem cura","sem dano"),IF($OE93=1,"cura ","")&amp;$PI93&amp;"d8")))</f>
        <v/>
      </c>
      <c r="PQ93" s="155">
        <f>IF($OE93=2,3*$PJ93&amp;" de vida temp.",IF($OE93=3,"sem dano",IF($PJ93=0,IF($OE93=1,"sem cura","sem dano"),IF($OE93=1,"cura ","")&amp;$PJ93&amp;"d8")))</f>
        <v/>
      </c>
      <c r="PR93" s="155">
        <f>IF($NB93=0,"",TEXTJOIN(" · ",TRUE,IF($MO93&gt;$NC93,"Este lugar abre no nível "&amp;$MO93,""),IF($MQ93&gt;$ND93,"Classe "&amp;$MQ93&amp;": o nível "&amp;$NC93&amp;" libera até a "&amp;$ND93,""),IF($NV93=1,"A Forma "&amp;$MS93&amp;" pede "&amp;INDEX($W$2:$W$11,$NH93)&amp;" aberta",""),IF(AND($MQ93=0,$NH93&gt;0,IF($NH93=0,0,INDEX($AF$2:$AF$11,$NH93))=0),$MS93&amp;" não existe na Classe 0",""),IF($NW93=1,"Família Fechada: "&amp;$MV93,""),IF($NX93=1,"Família Fechada: "&amp;$MW93,""),IF($NY93=1,"Família Fechada: "&amp;$MX93,""),IF($NZ93=1,"Família Fechada: "&amp;$MY93,""),IF(AND($MQ93&gt;0,$OS93&gt;INDEX($O$2:$O$8,MAX(1,$MQ93))),$OS93&amp;" Melhorias: a Classe "&amp;$MQ93&amp;" aceita "&amp;INDEX($O$2:$O$8,MAX(1,$MQ93)),""),IF(AND($MQ93=0,$OS93&gt;1),"A básica aceita uma Melhoria",""),IF(AND($MQ93=0,COUNTIF($NM93:$NP93,"&gt;1")&gt;0),"A básica só aceita Melhoria Leve",""),IF(AND($MQ93&gt;0,$OT93&gt;2),$OT93&amp;" Restrições"&amp;IF($OD93=1,", contando a que a Forma "&amp;$MS93&amp;" já traz","")&amp;": o limite é 2",""),IF(AND($MQ93=0,COUNTIF($MZ93:$NA93,"?*")&gt;1),"A básica aceita uma Restrição Leve",""),IF(AND($MQ93=0,COUNTIF($OG93:$OH93,2)&gt;0),"A básica só aceita Restrição Leve",""),IF(AND($MQ93&gt;0,$PA93&lt;0),"Orçamento estourado: faltam "&amp;(-$PA93)&amp;IF($PA93&lt;-1," pontos"," ponto"),""),IF(IFERROR(VLOOKUP($MZ93,$BC$2:$BG$24,4,FALSE),0)+IFERROR(VLOOKUP($NA93,$BC$2:$BG$24,4,FALSE),0)&gt;1,$OI93&amp;" e "&amp;$OJ93&amp;" são as duas de frequência",""),IF(AND((COUNTIF($MV93:$MY93,"Rápido")+COUNTIF($OI93:$OJ93,"Rápido"))&gt;0,(COUNTIF($MV93:$MY93,"Atrasar")+COUNTIF($OI93:$OJ93,"Atrasar"))&gt;0),"Rápido não entra com Atrasar",""),IF(AND((COUNTIF($MV93:$MY93,"Reação")+COUNTIF($OI93:$OJ93,"Reação"))&gt;0,(COUNTIF($MV93:$MY93,"Rápido")+COUNTIF($OI93:$OJ93,"Rápido"))&gt;0),"Reação não entra com Rápido",""),IF(AND((COUNTIF($MV93:$MY93,"Reação")+COUNTIF($OI93:$OJ93,"Reação"))&gt;0,(COUNTIF($MV93:$MY93,"Armado")+COUNTIF($OI93:$OJ93,"Armado"))&gt;0),"Reação não entra com Armado",""),IF(AND((COUNTIF($MV93:$MY93,"Reação")+COUNTIF($OI93:$OJ93,"Reação"))&gt;0,(COUNTIF($MV93:$MY93,"Atrasar")+COUNTIF($OI93:$OJ93,"Atrasar"))&gt;0),"Reação não entra com Atrasar",""),IF(AND((COUNTIF($MV93:$MY93,"Reação")+COUNTIF($OI93:$OJ93,"Reação"))&gt;0,(COUNTIF($MV93:$MY93,"Parado")+COUNTIF($OI93:$OJ93,"Parado"))&gt;0),"Reação não entra com Parado",""),IF(AND((COUNTIF($MV93:$MY93,"Atrasar")+COUNTIF($OI93:$OJ93,"Atrasar"))&gt;0,(COUNTIF($MV93:$MY93,"Parado")+COUNTIF($OI93:$OJ93,"Parado"))&gt;0),"Atrasar não entra com Parado",""),IF(AND((COUNTIF($MV93:$MY93,"Armado")+COUNTIF($OI93:$OJ93,"Armado"))&gt;0,(COUNTIF($MV93:$MY93,"Carregar")+COUNTIF($OI93:$OJ93,"Carregar"))&gt;0),"Armado não entra com Carregar",""),IF(AND(COUNTIF($OI93:$OJ93,"Corpo a Corpo")&gt;0,$OD93=0,OR($MS93="Cone",$MS93="Linha")),"Corpo a Corpo não entra em "&amp;$MS93,""),IF(AND(COUNTIF($OI93:$OJ93,"Corpo a Corpo")&gt;0,$OD93=1),"A Forma "&amp;$MS93&amp;" já traz o Corpo a Corpo",""),IF(AND(COUNTIF($OI93:$OJ93,"Tudo ou Nada")&gt;0,$OF93=0),"Tudo ou Nada só entra em habilidade de Teste de Resistência",""),IF(AND(COUNTIF($MV93:$MY93,"Inescapável")&gt;0,OR($OS93&gt;1,$OT93&gt;0)),"Inescapável não aceita outra peça",""),IF(AND($MQ93&gt;0,$PB93*IF(COUNTIF($MV93:$MY93,"Remate")&gt;0,1.25,1)+$PC93&gt;4*$MQ93),($PB93*IF(COUNTIF($MV93:$MY93,"Remate")&gt;0,1.25,1)+$PC93)&amp;" dados somando repetições"&amp;IF(COUNTIF($MV93:$MY93,"Remate")&gt;0," e o Remate","")&amp;": o teto da Classe "&amp;$MQ93&amp;" é "&amp;4*$MQ93,"")))</f>
        <v/>
      </c>
      <c r="PS93" s="155">
        <f>IF($PR93="",0,(LEN($PR93)-LEN(SUBSTITUTE($PR93," · ","")))/3+1)</f>
        <v/>
      </c>
      <c r="PT93" s="155">
        <f>IF($NB93=0,"",TEXTJOIN(" · ",TRUE,IF($OV93&gt;2*$MQ93,"A devolução parou no teto de "&amp;2*$MQ93,""),IF($OY93&gt;0,"Devolução perdida: "&amp;$OY93&amp;IF($OY93&gt;1," pontos"," ponto")&amp;" sem peça para pagar",""),IF(AND($OA93&gt;0,AND($MQ93&gt;0,$OE93=0),$PB93=0),"Controle sem dano: uma rodada a mais e CD +2",""),IF(AND($OA93&gt;0,AND($MQ93&gt;0,$OE93=0),$PB93&gt;0,$PB93&lt;=$MQ93),"Controle com saldo até a Classe: uma rodada a mais",""),IF(AND($MQ93&gt;0,$OC93&lt;&gt;""),"Efeito de "&amp;$OC93&amp;" pela Classe "&amp;MAX(1,$MQ93-1),"")))</f>
        <v/>
      </c>
      <c r="PU93" s="155">
        <f>IF($PT93="",0,(LEN($PT93)-LEN(SUBSTITUTE($PT93," · ","")))/3+1)</f>
        <v/>
      </c>
      <c r="PV93" s="155">
        <f>IF($NB93=0,IF($OS93+COUNTIF($MZ93:$NA93,"?*")&gt;0,"Dê um nome",""),IF($PS93&gt;0,"⚠ "&amp;$PS93&amp;IF($PS93&gt;1," erros"," erro"),IF($PU93&gt;0,"! "&amp;$PU93&amp;IF($PU93&gt;1," avisos"," aviso"),"Na regra")))</f>
        <v/>
      </c>
      <c r="PW93" s="155">
        <f>IF($NB93=0,"",IF($PS93+$PU93=0,"Dentro das regras que a ficha confere",$PR93&amp;IF(AND($PS93&gt;0,$PU93&gt;0)," · ","")&amp;$PT93))</f>
        <v/>
      </c>
      <c r="PX93" s="155">
        <f>IF($MO93&gt;$NC93,$MP93&amp;" · ABRE NO NÍVEL "&amp;$MO93,$MP93)</f>
        <v/>
      </c>
      <c r="PY93" s="155">
        <f>IF($NB93=0,"",IF($MQ93=0,"Sem PE",3*$MQ93&amp;" PE"))</f>
        <v/>
      </c>
      <c r="PZ93" s="155">
        <f>IF($NB93=0,"",IF($MQ93=0,"A atuação básica dela",IF(COUNTIF($OI93:$OJ93,"Atrasar")&gt;0,"Sua Ação Completa",IF(COUNTIF($MV93:$MY93,"Rápido")&gt;0,"Sua Bônus",IF(COUNTIF($MV93:$MY93,"Reação")&gt;0,"Sua Reação","Sua Padrão")))&amp;" + a básica dela"&amp;IF(COUNTIF($MV93:$MY93,"Reação")&gt;0," e a coletiva","")&amp;IF(COUNTIF($OI93:$OJ93,"Carregar")&gt;0," · em dois turnos","")))</f>
        <v/>
      </c>
      <c r="QA93" s="155">
        <f>IF($MU93&lt;&gt;"",$MU93,IF($NH93=0,"",INDEX($AA$2:$AA$11,$NH93)))</f>
        <v/>
      </c>
      <c r="QB93" s="155">
        <f>IF(OR($NB93=0,$NH93=0),"",IF(COUNTIF($MV93:$MY93,"Inescapável")&gt;0,"Automático",IF($QA93="Ataque",IF($NF93="","Ataque","Ataque "&amp;IF(($NF93+2*IF(COUNTIF($MV93:$MY93,"Precisão")&gt;0,1,0))&gt;=0,"+","−")&amp;ABS(($NF93+2*IF(COUNTIF($MV93:$MY93,"Precisão")&gt;0,1,0))))&amp;IF($OB93&gt;0," · TR"&amp;IF($NG93="",""," CD "&amp;$NG93),""),IF(LEFT($QA93,2)="TR",$QA93&amp;IF($NG93="",""," · CD "&amp;$NG93)&amp;IF(COUNTIF($MV93:$MY93,"Certeiro")&gt;0," · metade",""),"Sem rolagem"))))</f>
        <v/>
      </c>
      <c r="QC93" s="155">
        <f>IF(OR($NB93=0,$NH93=0),"",IF($MQ93=0,IF(OR($OE93&gt;=1,$PB93=0),"Sem dano",$PB93&amp;"d6"&amp;IF($MT93="",""," "&amp;$MT93)),IF(OR($OE93&gt;=1,$PB93=0),UPPER(LEFT(INDEX($PK93:$PQ93,1,MAX(1,$MQ93)),1))&amp;MID(INDEX($PK93:$PQ93,1,MAX(1,$MQ93)),2,99),UPPER(LEFT(INDEX($PK93:$PQ93,1,MAX(1,$MQ93)),1))&amp;MID(INDEX($PK93:$PQ93,1,MAX(1,$MQ93)),2,99)&amp;IF($MT93="",""," "&amp;$MT93)&amp;IF($PC93&gt;0," · +"&amp;$PC93&amp;"d8",""))))</f>
        <v/>
      </c>
      <c r="QD93" s="155">
        <f>COUNTIF($MV93:$MY93,"Longe")+3*COUNTIF($MV93:$MY93,"Muito Longe")</f>
        <v/>
      </c>
      <c r="QE93" s="155">
        <f>COUNTIF($MV93:$MY93,"Maior")+3*COUNTIF($MV93:$MY93,"Muito Maior")</f>
        <v/>
      </c>
      <c r="QF93" s="155">
        <f>IF($NH93=0,0,CHOOSE(1+INDEX($AC$2:$AC$11,$NH93),0,$QD93,$QE93,$QD93+$QE93))</f>
        <v/>
      </c>
      <c r="QG93" s="155">
        <f>IF($NH93=0,0,CHOOSE(1+INDEX($AD$2:$AD$11,$NH93),0,$QD93,$QE93,$QD93+$QE93))</f>
        <v/>
      </c>
      <c r="QH93" s="155">
        <f>IF(OR($NB93=0,$NH93=0),"",INDEX($AI$2:$AN$41,($NH93-1)*4+IF($MQ93=0,1,IF($MQ93&lt;=5,2,IF($MQ93=6,3,4))),1+MIN(5,$QF93))&amp;INDEX($AO$2:$AT$41,($NH93-1)*4+IF($MQ93=0,1,IF($MQ93&lt;=5,2,IF($MQ93=6,3,4))),1+MIN(5,$QG93))&amp;IF(INDEX($AE$2:$AE$11,$NH93)=1,IF(COUNTIF($MV93:$MY93,"Mais Um")&gt;0," · +"&amp;COUNTIF($MV93:$MY93,"Mais Um")&amp;IF(COUNTIF($MV93:$MY93,"Mais Um")&gt;1," alvos"," alvo"),"")&amp;IF(COUNTIF($MV93:$MY93,"Rajada")&gt;0,IF($MQ93=0," · 1 tiro"," · "&amp;(MAX(1,$MQ93-1)+1)&amp;" tiros"),""),""))</f>
        <v/>
      </c>
      <c r="QI93" s="155">
        <f>IF($NB93=0,"",IF($MQ93=0,$NE93&amp;"d6"&amp;IF($OS93&gt;0," − 1 = "&amp;$PB93&amp;"d6"," da básica do nível "&amp;$NC93),$OZ93&amp;" − "&amp;$OU93&amp;" + "&amp;$OX93&amp;" = "&amp;$PA93&amp;" · teto "&amp;4*$MQ93&amp;"d8"&amp;IF($OD93=1," · a Forma devolve "&amp;$MQ93,"")&amp;IF($OY93&gt;0," · perde "&amp;$OY93,"")))</f>
        <v/>
      </c>
      <c r="QJ93" s="155">
        <f>IF($NB93=0,"",IF($MQ93=0,"A básica não amplia: os dados dela sobem com o nível",IF($MQ93&gt;=$ND93,"Já está na maior Classe que o nível liberou",TEXTJOIN(" · ",TRUE,IF(AND(2&gt;$MQ93,2&lt;=$ND93),"2 → "&amp;$PL93&amp;", 6 PE",""),IF(AND(3&gt;$MQ93,3&lt;=$ND93),"3 → "&amp;$PM93&amp;", 9 PE",""),IF(AND(4&gt;$MQ93,4&lt;=$ND93),"4 → "&amp;$PN93&amp;", 12 PE",""),IF(AND(5&gt;$MQ93,5&lt;=$ND93),"5 → "&amp;$PO93&amp;", 15 PE",""),IF(AND(6&gt;$MQ93,6&lt;=$ND93),"6 → "&amp;$PP93&amp;", 18 PE",""),IF(AND(7&gt;$MQ93,7&lt;=$ND93),"7 → "&amp;$PQ93&amp;", 21 PE","")))))</f>
        <v/>
      </c>
      <c r="QK93" s="155">
        <f>IF(OR($NB93=0,$NM93=0),"",IF($MQ93=0,"−1 dado","−"&amp;INDEX($I$2:$N$8,MAX(1,$MQ93),MAX(1,$NR93))&amp;" · "&amp;CHOOSE(MAX(1,$NR93),"Leve","Média","Pesada","Leve · Livre","Média · Livre","Pesada · Livre")))</f>
        <v/>
      </c>
      <c r="QL93" s="155">
        <f>IF(OR($NB93=0,$NN93=0),"",IF($MQ93=0,"−1 dado","−"&amp;INDEX($I$2:$N$8,MAX(1,$MQ93),MAX(1,$NS93))&amp;" · "&amp;CHOOSE(MAX(1,$NS93),"Leve","Média","Pesada","Leve · Livre","Média · Livre","Pesada · Livre")))</f>
        <v/>
      </c>
      <c r="QM93" s="155">
        <f>IF(OR($NB93=0,$NO93=0),"",IF($MQ93=0,"−1 dado","−"&amp;INDEX($I$2:$N$8,MAX(1,$MQ93),MAX(1,$NT93))&amp;" · "&amp;CHOOSE(MAX(1,$NT93),"Leve","Média","Pesada","Leve · Livre","Média · Livre","Pesada · Livre")))</f>
        <v/>
      </c>
      <c r="QN93" s="155">
        <f>IF(OR($NB93=0,$NP93=0),"",IF($MQ93=0,"−1 dado","−"&amp;INDEX($I$2:$N$8,MAX(1,$MQ93),MAX(1,$NU93))&amp;" · "&amp;CHOOSE(MAX(1,$NU93),"Leve","Média","Pesada","Leve · Livre","Média · Livre","Pesada · Livre")))</f>
        <v/>
      </c>
      <c r="QO93" s="155">
        <f>IF(OR($NB93=0,$MZ93=""),"",IF($MQ93=0,"não devolve","+"&amp;IF($OG93=1,CEILING($MQ93/2,1),$MQ93)))</f>
        <v/>
      </c>
      <c r="QP93" s="155">
        <f>IF(OR($NB93=0,$NA93=""),"",IF($MQ93=0,"não devolve","+"&amp;IF($OH93=1,CEILING($MQ93/2,1),$MQ93)))</f>
        <v/>
      </c>
    </row>
    <row r="94">
      <c r="ML94" s="153" t="inlineStr">
        <is>
          <t>Ficha 8 · Especial 1</t>
        </is>
      </c>
      <c r="MM94" s="155" t="n">
        <v>8</v>
      </c>
      <c r="MN94" s="155" t="n">
        <v>1</v>
      </c>
      <c r="MO94" s="155" t="n">
        <v>1</v>
      </c>
      <c r="MP94" s="153" t="inlineStr">
        <is>
          <t>ESPECIAL 1</t>
        </is>
      </c>
      <c r="MQ94" s="155">
        <f>MAX(1,MIN(7,N('INVOCAÇÕES'!$AH$256)))</f>
        <v/>
      </c>
      <c r="MR94" s="155">
        <f>'INVOCAÇÕES'!$AI$256&amp;""</f>
        <v/>
      </c>
      <c r="MS94" s="155">
        <f>'INVOCAÇÕES'!$AH$261&amp;""</f>
        <v/>
      </c>
      <c r="MT94" s="155">
        <f>'INVOCAÇÕES'!$AH$262&amp;""</f>
        <v/>
      </c>
      <c r="MU94" s="155">
        <f>'INVOCAÇÕES'!$AJ$262&amp;""</f>
        <v/>
      </c>
      <c r="MV94" s="155">
        <f>'INVOCAÇÕES'!$AI$265&amp;""</f>
        <v/>
      </c>
      <c r="MW94" s="155">
        <f>'INVOCAÇÕES'!$AI$266&amp;""</f>
        <v/>
      </c>
      <c r="MX94" s="155">
        <f>'INVOCAÇÕES'!$AI$267&amp;""</f>
        <v/>
      </c>
      <c r="MY94" s="155">
        <f>'INVOCAÇÕES'!$AI$268&amp;""</f>
        <v/>
      </c>
      <c r="MZ94" s="155">
        <f>'INVOCAÇÕES'!$AI$269&amp;""</f>
        <v/>
      </c>
      <c r="NA94" s="155">
        <f>'INVOCAÇÕES'!$AI$270&amp;""</f>
        <v/>
      </c>
      <c r="NB94" s="155">
        <f>IF($MR94&lt;&gt;"",1,0)</f>
        <v/>
      </c>
      <c r="NC94" s="155">
        <f>INDEX($FM$2:$FM$13,$MM94)</f>
        <v/>
      </c>
      <c r="ND94" s="155">
        <f>INDEX($FN$2:$FN$13,$MM94)</f>
        <v/>
      </c>
      <c r="NE94" s="155">
        <f>INDEX($FO$2:$FO$13,$MM94)</f>
        <v/>
      </c>
      <c r="NF94" s="155">
        <f>INDEX($FZ$2:$FZ$13,$MM94)</f>
        <v/>
      </c>
      <c r="NG94" s="155">
        <f>INDEX($GA$2:$GA$13,$MM94)</f>
        <v/>
      </c>
      <c r="NH94" s="155">
        <f>IFERROR(MATCH($MS94,$V$2:$V$11,0),0)</f>
        <v/>
      </c>
      <c r="NI94" s="155">
        <f>IFERROR(VLOOKUP($MV94,$AV$2:$BA$84,2,FALSE),"")</f>
        <v/>
      </c>
      <c r="NJ94" s="155">
        <f>IFERROR(VLOOKUP($MW94,$AV$2:$BA$84,2,FALSE),"")</f>
        <v/>
      </c>
      <c r="NK94" s="155">
        <f>IFERROR(VLOOKUP($MX94,$AV$2:$BA$84,2,FALSE),"")</f>
        <v/>
      </c>
      <c r="NL94" s="155">
        <f>IFERROR(VLOOKUP($MY94,$AV$2:$BA$84,2,FALSE),"")</f>
        <v/>
      </c>
      <c r="NM94" s="155">
        <f>IFERROR(VLOOKUP($MV94,$AV$2:$BA$84,3,FALSE),0)</f>
        <v/>
      </c>
      <c r="NN94" s="155">
        <f>IFERROR(VLOOKUP($MW94,$AV$2:$BA$84,3,FALSE),0)</f>
        <v/>
      </c>
      <c r="NO94" s="155">
        <f>IFERROR(VLOOKUP($MX94,$AV$2:$BA$84,3,FALSE),0)</f>
        <v/>
      </c>
      <c r="NP94" s="155">
        <f>IFERROR(VLOOKUP($MY94,$AV$2:$BA$84,3,FALSE),0)</f>
        <v/>
      </c>
      <c r="NQ94" s="155">
        <f>IF($MQ94=0,0,IF($NH94=0,0,INDEX($X$2:$X$11,$NH94)))</f>
        <v/>
      </c>
      <c r="NR94" s="155">
        <f>IF(OR($NM94=0,$MQ94=0),0,$NM94+3*IF(AND($NI94&lt;&gt;"",OR($NI94=INDEX($EJ$2:$EJ$13,$MM94),$NI94=INDEX($EK$2:$EK$13,$MM94))),1,0))</f>
        <v/>
      </c>
      <c r="NS94" s="155">
        <f>IF(OR($NN94=0,$MQ94=0),0,$NN94+3*IF(AND($NJ94&lt;&gt;"",OR($NJ94=INDEX($EJ$2:$EJ$13,$MM94),$NJ94=INDEX($EK$2:$EK$13,$MM94))),1,0))</f>
        <v/>
      </c>
      <c r="NT94" s="155">
        <f>IF(OR($NO94=0,$MQ94=0),0,$NO94+3*IF(AND($NK94&lt;&gt;"",OR($NK94=INDEX($EJ$2:$EJ$13,$MM94),$NK94=INDEX($EK$2:$EK$13,$MM94))),1,0))</f>
        <v/>
      </c>
      <c r="NU94" s="155">
        <f>IF(OR($NP94=0,$MQ94=0),0,$NP94+3*IF(AND($NL94&lt;&gt;"",OR($NL94=INDEX($EJ$2:$EJ$13,$MM94),$NL94=INDEX($EK$2:$EK$13,$MM94))),1,0))</f>
        <v/>
      </c>
      <c r="NV94" s="155">
        <f>IF($NH94=0,0,IF(INDEX($W$2:$W$11,$NH94)="",0,IF(COUNTIF(INDEX($EJ$2:$EN$13,$MM94,0),INDEX($W$2:$W$11,$NH94))=0,1,0)))</f>
        <v/>
      </c>
      <c r="NW94" s="155">
        <f>IF(OR($NM94=0,$NI94=""),0,IF(COUNTIF(INDEX($EJ$2:$EN$13,$MM94,0),$NI94)=0,1,0))</f>
        <v/>
      </c>
      <c r="NX94" s="155">
        <f>IF(OR($NN94=0,$NJ94=""),0,IF(COUNTIF(INDEX($EJ$2:$EN$13,$MM94,0),$NJ94)=0,1,0))</f>
        <v/>
      </c>
      <c r="NY94" s="155">
        <f>IF(OR($NO94=0,$NK94=""),0,IF(COUNTIF(INDEX($EJ$2:$EN$13,$MM94,0),$NK94)=0,1,0))</f>
        <v/>
      </c>
      <c r="NZ94" s="155">
        <f>IF(OR($NP94=0,$NL94=""),0,IF(COUNTIF(INDEX($EJ$2:$EN$13,$MM94,0),$NL94)=0,1,0))</f>
        <v/>
      </c>
      <c r="OA94" s="155">
        <f>IFERROR(VLOOKUP($MV94,$AV$2:$BA$84,4,FALSE),0)+IFERROR(VLOOKUP($MW94,$AV$2:$BA$84,4,FALSE),0)+IFERROR(VLOOKUP($MX94,$AV$2:$BA$84,4,FALSE),0)+IFERROR(VLOOKUP($MY94,$AV$2:$BA$84,4,FALSE),0)</f>
        <v/>
      </c>
      <c r="OB94" s="155">
        <f>IFERROR(VLOOKUP($MV94,$AV$2:$BA$84,6,FALSE),0)+IFERROR(VLOOKUP($MW94,$AV$2:$BA$84,6,FALSE),0)+IFERROR(VLOOKUP($MX94,$AV$2:$BA$84,6,FALSE),0)+IFERROR(VLOOKUP($MY94,$AV$2:$BA$84,6,FALSE),0)</f>
        <v/>
      </c>
      <c r="OC94" s="155">
        <f>TEXTJOIN(", ",TRUE,IF(IFERROR(VLOOKUP($MV94,$AV$2:$BA$84,5,FALSE),0)=1,$MV94,""),IF(IFERROR(VLOOKUP($MW94,$AV$2:$BA$84,5,FALSE),0)=1,$MW94,""),IF(IFERROR(VLOOKUP($MX94,$AV$2:$BA$84,5,FALSE),0)=1,$MX94,""),IF(IFERROR(VLOOKUP($MY94,$AV$2:$BA$84,5,FALSE),0)=1,$MY94,""))</f>
        <v/>
      </c>
      <c r="OD94" s="155">
        <f>IF($NH94=0,0,INDEX($Y$2:$Y$11,$NH94))</f>
        <v/>
      </c>
      <c r="OE94" s="155">
        <f>IF($NH94=0,0,INDEX($Z$2:$Z$11,$NH94))</f>
        <v/>
      </c>
      <c r="OF94" s="155">
        <f>IF($NH94=0,0,INDEX($AB$2:$AB$11,$NH94))</f>
        <v/>
      </c>
      <c r="OG94" s="155">
        <f>IFERROR(VLOOKUP($MZ94,$BC$2:$BG$24,3,FALSE),0)</f>
        <v/>
      </c>
      <c r="OH94" s="155">
        <f>IFERROR(VLOOKUP($NA94,$BC$2:$BG$24,3,FALSE),0)</f>
        <v/>
      </c>
      <c r="OI94" s="155">
        <f>IFERROR(VLOOKUP($MZ94,$BC$2:$BG$24,2,FALSE),"")</f>
        <v/>
      </c>
      <c r="OJ94" s="155">
        <f>IFERROR(VLOOKUP($NA94,$BC$2:$BG$24,2,FALSE),"")</f>
        <v/>
      </c>
      <c r="OK94" s="155">
        <f>COUNTIF($NQ94:$NU94,1)</f>
        <v/>
      </c>
      <c r="OL94" s="155">
        <f>COUNTIF($NQ94:$NU94,2)</f>
        <v/>
      </c>
      <c r="OM94" s="155">
        <f>COUNTIF($NQ94:$NU94,3)</f>
        <v/>
      </c>
      <c r="ON94" s="155">
        <f>COUNTIF($NQ94:$NU94,4)</f>
        <v/>
      </c>
      <c r="OO94" s="155">
        <f>COUNTIF($NQ94:$NU94,5)</f>
        <v/>
      </c>
      <c r="OP94" s="155">
        <f>COUNTIF($NQ94:$NU94,6)</f>
        <v/>
      </c>
      <c r="OQ94" s="155">
        <f>COUNTIF($OG94:$OH94,1)</f>
        <v/>
      </c>
      <c r="OR94" s="155">
        <f>COUNTIF($OG94:$OH94,2)+$OD94</f>
        <v/>
      </c>
      <c r="OS94" s="155">
        <f>COUNTIF($MV94:$MY94,"?*")</f>
        <v/>
      </c>
      <c r="OT94" s="155">
        <f>COUNTIF($MZ94:$NA94,"?*")+$OD94</f>
        <v/>
      </c>
      <c r="OU94" s="155">
        <f>IF($MQ94=0,0,SUMPRODUCT($OK94:$OP94,INDEX($I$2:$N$8,MAX(1,$MQ94),0)))</f>
        <v/>
      </c>
      <c r="OV94" s="155">
        <f>IF($MQ94=0,0,$OQ94*CEILING($MQ94/2,1)+$OR94*$MQ94)</f>
        <v/>
      </c>
      <c r="OW94" s="155">
        <f>MIN(2*$MQ94,$OV94)</f>
        <v/>
      </c>
      <c r="OX94" s="155">
        <f>MIN($OW94,$OU94)</f>
        <v/>
      </c>
      <c r="OY94" s="155">
        <f>$OW94-$OX94</f>
        <v/>
      </c>
      <c r="OZ94" s="155">
        <f>IF($MQ94=0,0,INDEX($P$2:$P$8,MAX(1,$MQ94)))</f>
        <v/>
      </c>
      <c r="PA94" s="155">
        <f>$OZ94-$OU94+$OX94</f>
        <v/>
      </c>
      <c r="PB94" s="155">
        <f>IF($MQ94=0,MAX(0,$NE94-IF($OS94&gt;0,1,0)),MAX(0,$PA94))</f>
        <v/>
      </c>
      <c r="PC94" s="155">
        <f>IF($MQ94=0,0,(IF(COUNTIF($MV94:$MY94,"Salto")&gt;0,1,0)+IF(COUNTIF($MV94:$MY94,"Queima")&gt;0,1,0)+IF(COUNTIF($MV94:$MY94,"Estilhaço")&gt;0,1,0))*FLOOR($PB94/2,1))</f>
        <v/>
      </c>
      <c r="PD94" s="155">
        <f>MAX(0,2-SUMPRODUCT($OK94:$OP94,$I$2:$N$2)+MIN(2,$OQ94*1+$OR94*1,SUMPRODUCT($OK94:$OP94,$I$2:$N$2)))</f>
        <v/>
      </c>
      <c r="PE94" s="155">
        <f>MAX(0,4-SUMPRODUCT($OK94:$OP94,$I$3:$N$3)+MIN(4,$OQ94*1+$OR94*2,SUMPRODUCT($OK94:$OP94,$I$3:$N$3)))</f>
        <v/>
      </c>
      <c r="PF94" s="155">
        <f>MAX(0,6-SUMPRODUCT($OK94:$OP94,$I$4:$N$4)+MIN(6,$OQ94*2+$OR94*3,SUMPRODUCT($OK94:$OP94,$I$4:$N$4)))</f>
        <v/>
      </c>
      <c r="PG94" s="155">
        <f>MAX(0,9-SUMPRODUCT($OK94:$OP94,$I$5:$N$5)+MIN(8,$OQ94*2+$OR94*4,SUMPRODUCT($OK94:$OP94,$I$5:$N$5)))</f>
        <v/>
      </c>
      <c r="PH94" s="155">
        <f>MAX(0,11-SUMPRODUCT($OK94:$OP94,$I$6:$N$6)+MIN(10,$OQ94*3+$OR94*5,SUMPRODUCT($OK94:$OP94,$I$6:$N$6)))</f>
        <v/>
      </c>
      <c r="PI94" s="155">
        <f>MAX(0,13-SUMPRODUCT($OK94:$OP94,$I$7:$N$7)+MIN(12,$OQ94*3+$OR94*6,SUMPRODUCT($OK94:$OP94,$I$7:$N$7)))</f>
        <v/>
      </c>
      <c r="PJ94" s="155">
        <f>MAX(0,16-SUMPRODUCT($OK94:$OP94,$I$8:$N$8)+MIN(14,$OQ94*4+$OR94*7,SUMPRODUCT($OK94:$OP94,$I$8:$N$8)))</f>
        <v/>
      </c>
      <c r="PK94" s="155">
        <f>IF($OE94=2,3*$PD94&amp;" de vida temp.",IF($OE94=3,"sem dano",IF($PD94=0,IF($OE94=1,"sem cura","sem dano"),IF($OE94=1,"cura ","")&amp;$PD94&amp;"d8")))</f>
        <v/>
      </c>
      <c r="PL94" s="155">
        <f>IF($OE94=2,3*$PE94&amp;" de vida temp.",IF($OE94=3,"sem dano",IF($PE94=0,IF($OE94=1,"sem cura","sem dano"),IF($OE94=1,"cura ","")&amp;$PE94&amp;"d8")))</f>
        <v/>
      </c>
      <c r="PM94" s="155">
        <f>IF($OE94=2,3*$PF94&amp;" de vida temp.",IF($OE94=3,"sem dano",IF($PF94=0,IF($OE94=1,"sem cura","sem dano"),IF($OE94=1,"cura ","")&amp;$PF94&amp;"d8")))</f>
        <v/>
      </c>
      <c r="PN94" s="155">
        <f>IF($OE94=2,3*$PG94&amp;" de vida temp.",IF($OE94=3,"sem dano",IF($PG94=0,IF($OE94=1,"sem cura","sem dano"),IF($OE94=1,"cura ","")&amp;$PG94&amp;"d8")))</f>
        <v/>
      </c>
      <c r="PO94" s="155">
        <f>IF($OE94=2,3*$PH94&amp;" de vida temp.",IF($OE94=3,"sem dano",IF($PH94=0,IF($OE94=1,"sem cura","sem dano"),IF($OE94=1,"cura ","")&amp;$PH94&amp;"d8")))</f>
        <v/>
      </c>
      <c r="PP94" s="155">
        <f>IF($OE94=2,3*$PI94&amp;" de vida temp.",IF($OE94=3,"sem dano",IF($PI94=0,IF($OE94=1,"sem cura","sem dano"),IF($OE94=1,"cura ","")&amp;$PI94&amp;"d8")))</f>
        <v/>
      </c>
      <c r="PQ94" s="155">
        <f>IF($OE94=2,3*$PJ94&amp;" de vida temp.",IF($OE94=3,"sem dano",IF($PJ94=0,IF($OE94=1,"sem cura","sem dano"),IF($OE94=1,"cura ","")&amp;$PJ94&amp;"d8")))</f>
        <v/>
      </c>
      <c r="PR94" s="155">
        <f>IF($NB94=0,"",TEXTJOIN(" · ",TRUE,IF($MO94&gt;$NC94,"Este lugar abre no nível "&amp;$MO94,""),IF($MQ94&gt;$ND94,"Classe "&amp;$MQ94&amp;": o nível "&amp;$NC94&amp;" libera até a "&amp;$ND94,""),IF($NV94=1,"A Forma "&amp;$MS94&amp;" pede "&amp;INDEX($W$2:$W$11,$NH94)&amp;" aberta",""),IF(AND($MQ94=0,$NH94&gt;0,IF($NH94=0,0,INDEX($AF$2:$AF$11,$NH94))=0),$MS94&amp;" não existe na Classe 0",""),IF($NW94=1,"Família Fechada: "&amp;$MV94,""),IF($NX94=1,"Família Fechada: "&amp;$MW94,""),IF($NY94=1,"Família Fechada: "&amp;$MX94,""),IF($NZ94=1,"Família Fechada: "&amp;$MY94,""),IF(AND($MQ94&gt;0,$OS94&gt;INDEX($O$2:$O$8,MAX(1,$MQ94))),$OS94&amp;" Melhorias: a Classe "&amp;$MQ94&amp;" aceita "&amp;INDEX($O$2:$O$8,MAX(1,$MQ94)),""),IF(AND($MQ94=0,$OS94&gt;1),"A básica aceita uma Melhoria",""),IF(AND($MQ94=0,COUNTIF($NM94:$NP94,"&gt;1")&gt;0),"A básica só aceita Melhoria Leve",""),IF(AND($MQ94&gt;0,$OT94&gt;2),$OT94&amp;" Restrições"&amp;IF($OD94=1,", contando a que a Forma "&amp;$MS94&amp;" já traz","")&amp;": o limite é 2",""),IF(AND($MQ94=0,COUNTIF($MZ94:$NA94,"?*")&gt;1),"A básica aceita uma Restrição Leve",""),IF(AND($MQ94=0,COUNTIF($OG94:$OH94,2)&gt;0),"A básica só aceita Restrição Leve",""),IF(AND($MQ94&gt;0,$PA94&lt;0),"Orçamento estourado: faltam "&amp;(-$PA94)&amp;IF($PA94&lt;-1," pontos"," ponto"),""),IF(IFERROR(VLOOKUP($MZ94,$BC$2:$BG$24,4,FALSE),0)+IFERROR(VLOOKUP($NA94,$BC$2:$BG$24,4,FALSE),0)&gt;1,$OI94&amp;" e "&amp;$OJ94&amp;" são as duas de frequência",""),IF(AND((COUNTIF($MV94:$MY94,"Rápido")+COUNTIF($OI94:$OJ94,"Rápido"))&gt;0,(COUNTIF($MV94:$MY94,"Atrasar")+COUNTIF($OI94:$OJ94,"Atrasar"))&gt;0),"Rápido não entra com Atrasar",""),IF(AND((COUNTIF($MV94:$MY94,"Reação")+COUNTIF($OI94:$OJ94,"Reação"))&gt;0,(COUNTIF($MV94:$MY94,"Rápido")+COUNTIF($OI94:$OJ94,"Rápido"))&gt;0),"Reação não entra com Rápido",""),IF(AND((COUNTIF($MV94:$MY94,"Reação")+COUNTIF($OI94:$OJ94,"Reação"))&gt;0,(COUNTIF($MV94:$MY94,"Armado")+COUNTIF($OI94:$OJ94,"Armado"))&gt;0),"Reação não entra com Armado",""),IF(AND((COUNTIF($MV94:$MY94,"Reação")+COUNTIF($OI94:$OJ94,"Reação"))&gt;0,(COUNTIF($MV94:$MY94,"Atrasar")+COUNTIF($OI94:$OJ94,"Atrasar"))&gt;0),"Reação não entra com Atrasar",""),IF(AND((COUNTIF($MV94:$MY94,"Reação")+COUNTIF($OI94:$OJ94,"Reação"))&gt;0,(COUNTIF($MV94:$MY94,"Parado")+COUNTIF($OI94:$OJ94,"Parado"))&gt;0),"Reação não entra com Parado",""),IF(AND((COUNTIF($MV94:$MY94,"Atrasar")+COUNTIF($OI94:$OJ94,"Atrasar"))&gt;0,(COUNTIF($MV94:$MY94,"Parado")+COUNTIF($OI94:$OJ94,"Parado"))&gt;0),"Atrasar não entra com Parado",""),IF(AND((COUNTIF($MV94:$MY94,"Armado")+COUNTIF($OI94:$OJ94,"Armado"))&gt;0,(COUNTIF($MV94:$MY94,"Carregar")+COUNTIF($OI94:$OJ94,"Carregar"))&gt;0),"Armado não entra com Carregar",""),IF(AND(COUNTIF($OI94:$OJ94,"Corpo a Corpo")&gt;0,$OD94=0,OR($MS94="Cone",$MS94="Linha")),"Corpo a Corpo não entra em "&amp;$MS94,""),IF(AND(COUNTIF($OI94:$OJ94,"Corpo a Corpo")&gt;0,$OD94=1),"A Forma "&amp;$MS94&amp;" já traz o Corpo a Corpo",""),IF(AND(COUNTIF($OI94:$OJ94,"Tudo ou Nada")&gt;0,$OF94=0),"Tudo ou Nada só entra em habilidade de Teste de Resistência",""),IF(AND(COUNTIF($MV94:$MY94,"Inescapável")&gt;0,OR($OS94&gt;1,$OT94&gt;0)),"Inescapável não aceita outra peça",""),IF(AND($MQ94&gt;0,$PB94*IF(COUNTIF($MV94:$MY94,"Remate")&gt;0,1.25,1)+$PC94&gt;4*$MQ94),($PB94*IF(COUNTIF($MV94:$MY94,"Remate")&gt;0,1.25,1)+$PC94)&amp;" dados somando repetições"&amp;IF(COUNTIF($MV94:$MY94,"Remate")&gt;0," e o Remate","")&amp;": o teto da Classe "&amp;$MQ94&amp;" é "&amp;4*$MQ94,"")))</f>
        <v/>
      </c>
      <c r="PS94" s="155">
        <f>IF($PR94="",0,(LEN($PR94)-LEN(SUBSTITUTE($PR94," · ","")))/3+1)</f>
        <v/>
      </c>
      <c r="PT94" s="155">
        <f>IF($NB94=0,"",TEXTJOIN(" · ",TRUE,IF($OV94&gt;2*$MQ94,"A devolução parou no teto de "&amp;2*$MQ94,""),IF($OY94&gt;0,"Devolução perdida: "&amp;$OY94&amp;IF($OY94&gt;1," pontos"," ponto")&amp;" sem peça para pagar",""),IF(AND($OA94&gt;0,AND($MQ94&gt;0,$OE94=0),$PB94=0),"Controle sem dano: uma rodada a mais e CD +2",""),IF(AND($OA94&gt;0,AND($MQ94&gt;0,$OE94=0),$PB94&gt;0,$PB94&lt;=$MQ94),"Controle com saldo até a Classe: uma rodada a mais",""),IF(AND($MQ94&gt;0,$OC94&lt;&gt;""),"Efeito de "&amp;$OC94&amp;" pela Classe "&amp;MAX(1,$MQ94-1),"")))</f>
        <v/>
      </c>
      <c r="PU94" s="155">
        <f>IF($PT94="",0,(LEN($PT94)-LEN(SUBSTITUTE($PT94," · ","")))/3+1)</f>
        <v/>
      </c>
      <c r="PV94" s="155">
        <f>IF($NB94=0,IF($OS94+COUNTIF($MZ94:$NA94,"?*")&gt;0,"Dê um nome",""),IF($PS94&gt;0,"⚠ "&amp;$PS94&amp;IF($PS94&gt;1," erros"," erro"),IF($PU94&gt;0,"! "&amp;$PU94&amp;IF($PU94&gt;1," avisos"," aviso"),"Na regra")))</f>
        <v/>
      </c>
      <c r="PW94" s="155">
        <f>IF($NB94=0,"",IF($PS94+$PU94=0,"Dentro das regras que a ficha confere",$PR94&amp;IF(AND($PS94&gt;0,$PU94&gt;0)," · ","")&amp;$PT94))</f>
        <v/>
      </c>
      <c r="PX94" s="155">
        <f>IF($MO94&gt;$NC94,$MP94&amp;" · ABRE NO NÍVEL "&amp;$MO94,$MP94)</f>
        <v/>
      </c>
      <c r="PY94" s="155">
        <f>IF($NB94=0,"",IF($MQ94=0,"Sem PE",3*$MQ94&amp;" PE"))</f>
        <v/>
      </c>
      <c r="PZ94" s="155">
        <f>IF($NB94=0,"",IF($MQ94=0,"A atuação básica dela",IF(COUNTIF($OI94:$OJ94,"Atrasar")&gt;0,"Sua Ação Completa",IF(COUNTIF($MV94:$MY94,"Rápido")&gt;0,"Sua Bônus",IF(COUNTIF($MV94:$MY94,"Reação")&gt;0,"Sua Reação","Sua Padrão")))&amp;" + a básica dela"&amp;IF(COUNTIF($MV94:$MY94,"Reação")&gt;0," e a coletiva","")&amp;IF(COUNTIF($OI94:$OJ94,"Carregar")&gt;0," · em dois turnos","")))</f>
        <v/>
      </c>
      <c r="QA94" s="155">
        <f>IF($MU94&lt;&gt;"",$MU94,IF($NH94=0,"",INDEX($AA$2:$AA$11,$NH94)))</f>
        <v/>
      </c>
      <c r="QB94" s="155">
        <f>IF(OR($NB94=0,$NH94=0),"",IF(COUNTIF($MV94:$MY94,"Inescapável")&gt;0,"Automático",IF($QA94="Ataque",IF($NF94="","Ataque","Ataque "&amp;IF(($NF94+2*IF(COUNTIF($MV94:$MY94,"Precisão")&gt;0,1,0))&gt;=0,"+","−")&amp;ABS(($NF94+2*IF(COUNTIF($MV94:$MY94,"Precisão")&gt;0,1,0))))&amp;IF($OB94&gt;0," · TR"&amp;IF($NG94="",""," CD "&amp;$NG94),""),IF(LEFT($QA94,2)="TR",$QA94&amp;IF($NG94="",""," · CD "&amp;$NG94)&amp;IF(COUNTIF($MV94:$MY94,"Certeiro")&gt;0," · metade",""),"Sem rolagem"))))</f>
        <v/>
      </c>
      <c r="QC94" s="155">
        <f>IF(OR($NB94=0,$NH94=0),"",IF($MQ94=0,IF(OR($OE94&gt;=1,$PB94=0),"Sem dano",$PB94&amp;"d6"&amp;IF($MT94="",""," "&amp;$MT94)),IF(OR($OE94&gt;=1,$PB94=0),UPPER(LEFT(INDEX($PK94:$PQ94,1,MAX(1,$MQ94)),1))&amp;MID(INDEX($PK94:$PQ94,1,MAX(1,$MQ94)),2,99),UPPER(LEFT(INDEX($PK94:$PQ94,1,MAX(1,$MQ94)),1))&amp;MID(INDEX($PK94:$PQ94,1,MAX(1,$MQ94)),2,99)&amp;IF($MT94="",""," "&amp;$MT94)&amp;IF($PC94&gt;0," · +"&amp;$PC94&amp;"d8",""))))</f>
        <v/>
      </c>
      <c r="QD94" s="155">
        <f>COUNTIF($MV94:$MY94,"Longe")+3*COUNTIF($MV94:$MY94,"Muito Longe")</f>
        <v/>
      </c>
      <c r="QE94" s="155">
        <f>COUNTIF($MV94:$MY94,"Maior")+3*COUNTIF($MV94:$MY94,"Muito Maior")</f>
        <v/>
      </c>
      <c r="QF94" s="155">
        <f>IF($NH94=0,0,CHOOSE(1+INDEX($AC$2:$AC$11,$NH94),0,$QD94,$QE94,$QD94+$QE94))</f>
        <v/>
      </c>
      <c r="QG94" s="155">
        <f>IF($NH94=0,0,CHOOSE(1+INDEX($AD$2:$AD$11,$NH94),0,$QD94,$QE94,$QD94+$QE94))</f>
        <v/>
      </c>
      <c r="QH94" s="155">
        <f>IF(OR($NB94=0,$NH94=0),"",INDEX($AI$2:$AN$41,($NH94-1)*4+IF($MQ94=0,1,IF($MQ94&lt;=5,2,IF($MQ94=6,3,4))),1+MIN(5,$QF94))&amp;INDEX($AO$2:$AT$41,($NH94-1)*4+IF($MQ94=0,1,IF($MQ94&lt;=5,2,IF($MQ94=6,3,4))),1+MIN(5,$QG94))&amp;IF(INDEX($AE$2:$AE$11,$NH94)=1,IF(COUNTIF($MV94:$MY94,"Mais Um")&gt;0," · +"&amp;COUNTIF($MV94:$MY94,"Mais Um")&amp;IF(COUNTIF($MV94:$MY94,"Mais Um")&gt;1," alvos"," alvo"),"")&amp;IF(COUNTIF($MV94:$MY94,"Rajada")&gt;0,IF($MQ94=0," · 1 tiro"," · "&amp;(MAX(1,$MQ94-1)+1)&amp;" tiros"),""),""))</f>
        <v/>
      </c>
      <c r="QI94" s="155">
        <f>IF($NB94=0,"",IF($MQ94=0,$NE94&amp;"d6"&amp;IF($OS94&gt;0," − 1 = "&amp;$PB94&amp;"d6"," da básica do nível "&amp;$NC94),$OZ94&amp;" − "&amp;$OU94&amp;" + "&amp;$OX94&amp;" = "&amp;$PA94&amp;" · teto "&amp;4*$MQ94&amp;"d8"&amp;IF($OD94=1," · a Forma devolve "&amp;$MQ94,"")&amp;IF($OY94&gt;0," · perde "&amp;$OY94,"")))</f>
        <v/>
      </c>
      <c r="QJ94" s="155">
        <f>IF($NB94=0,"",IF($MQ94=0,"A básica não amplia: os dados dela sobem com o nível",IF($MQ94&gt;=$ND94,"Já está na maior Classe que o nível liberou",TEXTJOIN(" · ",TRUE,IF(AND(2&gt;$MQ94,2&lt;=$ND94),"2 → "&amp;$PL94&amp;", 6 PE",""),IF(AND(3&gt;$MQ94,3&lt;=$ND94),"3 → "&amp;$PM94&amp;", 9 PE",""),IF(AND(4&gt;$MQ94,4&lt;=$ND94),"4 → "&amp;$PN94&amp;", 12 PE",""),IF(AND(5&gt;$MQ94,5&lt;=$ND94),"5 → "&amp;$PO94&amp;", 15 PE",""),IF(AND(6&gt;$MQ94,6&lt;=$ND94),"6 → "&amp;$PP94&amp;", 18 PE",""),IF(AND(7&gt;$MQ94,7&lt;=$ND94),"7 → "&amp;$PQ94&amp;", 21 PE","")))))</f>
        <v/>
      </c>
      <c r="QK94" s="155">
        <f>IF(OR($NB94=0,$NM94=0),"",IF($MQ94=0,"−1 dado","−"&amp;INDEX($I$2:$N$8,MAX(1,$MQ94),MAX(1,$NR94))&amp;" · "&amp;CHOOSE(MAX(1,$NR94),"Leve","Média","Pesada","Leve · Livre","Média · Livre","Pesada · Livre")))</f>
        <v/>
      </c>
      <c r="QL94" s="155">
        <f>IF(OR($NB94=0,$NN94=0),"",IF($MQ94=0,"−1 dado","−"&amp;INDEX($I$2:$N$8,MAX(1,$MQ94),MAX(1,$NS94))&amp;" · "&amp;CHOOSE(MAX(1,$NS94),"Leve","Média","Pesada","Leve · Livre","Média · Livre","Pesada · Livre")))</f>
        <v/>
      </c>
      <c r="QM94" s="155">
        <f>IF(OR($NB94=0,$NO94=0),"",IF($MQ94=0,"−1 dado","−"&amp;INDEX($I$2:$N$8,MAX(1,$MQ94),MAX(1,$NT94))&amp;" · "&amp;CHOOSE(MAX(1,$NT94),"Leve","Média","Pesada","Leve · Livre","Média · Livre","Pesada · Livre")))</f>
        <v/>
      </c>
      <c r="QN94" s="155">
        <f>IF(OR($NB94=0,$NP94=0),"",IF($MQ94=0,"−1 dado","−"&amp;INDEX($I$2:$N$8,MAX(1,$MQ94),MAX(1,$NU94))&amp;" · "&amp;CHOOSE(MAX(1,$NU94),"Leve","Média","Pesada","Leve · Livre","Média · Livre","Pesada · Livre")))</f>
        <v/>
      </c>
      <c r="QO94" s="155">
        <f>IF(OR($NB94=0,$MZ94=""),"",IF($MQ94=0,"não devolve","+"&amp;IF($OG94=1,CEILING($MQ94/2,1),$MQ94)))</f>
        <v/>
      </c>
      <c r="QP94" s="155">
        <f>IF(OR($NB94=0,$NA94=""),"",IF($MQ94=0,"não devolve","+"&amp;IF($OH94=1,CEILING($MQ94/2,1),$MQ94)))</f>
        <v/>
      </c>
    </row>
    <row r="95">
      <c r="ML95" s="153" t="inlineStr">
        <is>
          <t>Ficha 8 · Especial 2</t>
        </is>
      </c>
      <c r="MM95" s="155" t="n">
        <v>8</v>
      </c>
      <c r="MN95" s="155" t="n">
        <v>1</v>
      </c>
      <c r="MO95" s="155" t="n">
        <v>4</v>
      </c>
      <c r="MP95" s="153" t="inlineStr">
        <is>
          <t>ESPECIAL 2</t>
        </is>
      </c>
      <c r="MQ95" s="155">
        <f>MAX(1,MIN(7,N('INVOCAÇÕES'!$AN$256)))</f>
        <v/>
      </c>
      <c r="MR95" s="155">
        <f>'INVOCAÇÕES'!$AO$256&amp;""</f>
        <v/>
      </c>
      <c r="MS95" s="155">
        <f>'INVOCAÇÕES'!$AN$261&amp;""</f>
        <v/>
      </c>
      <c r="MT95" s="155">
        <f>'INVOCAÇÕES'!$AN$262&amp;""</f>
        <v/>
      </c>
      <c r="MU95" s="155">
        <f>'INVOCAÇÕES'!$AP$262&amp;""</f>
        <v/>
      </c>
      <c r="MV95" s="155">
        <f>'INVOCAÇÕES'!$AO$265&amp;""</f>
        <v/>
      </c>
      <c r="MW95" s="155">
        <f>'INVOCAÇÕES'!$AO$266&amp;""</f>
        <v/>
      </c>
      <c r="MX95" s="155">
        <f>'INVOCAÇÕES'!$AO$267&amp;""</f>
        <v/>
      </c>
      <c r="MY95" s="155">
        <f>'INVOCAÇÕES'!$AO$268&amp;""</f>
        <v/>
      </c>
      <c r="MZ95" s="155">
        <f>'INVOCAÇÕES'!$AO$269&amp;""</f>
        <v/>
      </c>
      <c r="NA95" s="155">
        <f>'INVOCAÇÕES'!$AO$270&amp;""</f>
        <v/>
      </c>
      <c r="NB95" s="155">
        <f>IF($MR95&lt;&gt;"",1,0)</f>
        <v/>
      </c>
      <c r="NC95" s="155">
        <f>INDEX($FM$2:$FM$13,$MM95)</f>
        <v/>
      </c>
      <c r="ND95" s="155">
        <f>INDEX($FN$2:$FN$13,$MM95)</f>
        <v/>
      </c>
      <c r="NE95" s="155">
        <f>INDEX($FO$2:$FO$13,$MM95)</f>
        <v/>
      </c>
      <c r="NF95" s="155">
        <f>INDEX($FZ$2:$FZ$13,$MM95)</f>
        <v/>
      </c>
      <c r="NG95" s="155">
        <f>INDEX($GA$2:$GA$13,$MM95)</f>
        <v/>
      </c>
      <c r="NH95" s="155">
        <f>IFERROR(MATCH($MS95,$V$2:$V$11,0),0)</f>
        <v/>
      </c>
      <c r="NI95" s="155">
        <f>IFERROR(VLOOKUP($MV95,$AV$2:$BA$84,2,FALSE),"")</f>
        <v/>
      </c>
      <c r="NJ95" s="155">
        <f>IFERROR(VLOOKUP($MW95,$AV$2:$BA$84,2,FALSE),"")</f>
        <v/>
      </c>
      <c r="NK95" s="155">
        <f>IFERROR(VLOOKUP($MX95,$AV$2:$BA$84,2,FALSE),"")</f>
        <v/>
      </c>
      <c r="NL95" s="155">
        <f>IFERROR(VLOOKUP($MY95,$AV$2:$BA$84,2,FALSE),"")</f>
        <v/>
      </c>
      <c r="NM95" s="155">
        <f>IFERROR(VLOOKUP($MV95,$AV$2:$BA$84,3,FALSE),0)</f>
        <v/>
      </c>
      <c r="NN95" s="155">
        <f>IFERROR(VLOOKUP($MW95,$AV$2:$BA$84,3,FALSE),0)</f>
        <v/>
      </c>
      <c r="NO95" s="155">
        <f>IFERROR(VLOOKUP($MX95,$AV$2:$BA$84,3,FALSE),0)</f>
        <v/>
      </c>
      <c r="NP95" s="155">
        <f>IFERROR(VLOOKUP($MY95,$AV$2:$BA$84,3,FALSE),0)</f>
        <v/>
      </c>
      <c r="NQ95" s="155">
        <f>IF($MQ95=0,0,IF($NH95=0,0,INDEX($X$2:$X$11,$NH95)))</f>
        <v/>
      </c>
      <c r="NR95" s="155">
        <f>IF(OR($NM95=0,$MQ95=0),0,$NM95+3*IF(AND($NI95&lt;&gt;"",OR($NI95=INDEX($EJ$2:$EJ$13,$MM95),$NI95=INDEX($EK$2:$EK$13,$MM95))),1,0))</f>
        <v/>
      </c>
      <c r="NS95" s="155">
        <f>IF(OR($NN95=0,$MQ95=0),0,$NN95+3*IF(AND($NJ95&lt;&gt;"",OR($NJ95=INDEX($EJ$2:$EJ$13,$MM95),$NJ95=INDEX($EK$2:$EK$13,$MM95))),1,0))</f>
        <v/>
      </c>
      <c r="NT95" s="155">
        <f>IF(OR($NO95=0,$MQ95=0),0,$NO95+3*IF(AND($NK95&lt;&gt;"",OR($NK95=INDEX($EJ$2:$EJ$13,$MM95),$NK95=INDEX($EK$2:$EK$13,$MM95))),1,0))</f>
        <v/>
      </c>
      <c r="NU95" s="155">
        <f>IF(OR($NP95=0,$MQ95=0),0,$NP95+3*IF(AND($NL95&lt;&gt;"",OR($NL95=INDEX($EJ$2:$EJ$13,$MM95),$NL95=INDEX($EK$2:$EK$13,$MM95))),1,0))</f>
        <v/>
      </c>
      <c r="NV95" s="155">
        <f>IF($NH95=0,0,IF(INDEX($W$2:$W$11,$NH95)="",0,IF(COUNTIF(INDEX($EJ$2:$EN$13,$MM95,0),INDEX($W$2:$W$11,$NH95))=0,1,0)))</f>
        <v/>
      </c>
      <c r="NW95" s="155">
        <f>IF(OR($NM95=0,$NI95=""),0,IF(COUNTIF(INDEX($EJ$2:$EN$13,$MM95,0),$NI95)=0,1,0))</f>
        <v/>
      </c>
      <c r="NX95" s="155">
        <f>IF(OR($NN95=0,$NJ95=""),0,IF(COUNTIF(INDEX($EJ$2:$EN$13,$MM95,0),$NJ95)=0,1,0))</f>
        <v/>
      </c>
      <c r="NY95" s="155">
        <f>IF(OR($NO95=0,$NK95=""),0,IF(COUNTIF(INDEX($EJ$2:$EN$13,$MM95,0),$NK95)=0,1,0))</f>
        <v/>
      </c>
      <c r="NZ95" s="155">
        <f>IF(OR($NP95=0,$NL95=""),0,IF(COUNTIF(INDEX($EJ$2:$EN$13,$MM95,0),$NL95)=0,1,0))</f>
        <v/>
      </c>
      <c r="OA95" s="155">
        <f>IFERROR(VLOOKUP($MV95,$AV$2:$BA$84,4,FALSE),0)+IFERROR(VLOOKUP($MW95,$AV$2:$BA$84,4,FALSE),0)+IFERROR(VLOOKUP($MX95,$AV$2:$BA$84,4,FALSE),0)+IFERROR(VLOOKUP($MY95,$AV$2:$BA$84,4,FALSE),0)</f>
        <v/>
      </c>
      <c r="OB95" s="155">
        <f>IFERROR(VLOOKUP($MV95,$AV$2:$BA$84,6,FALSE),0)+IFERROR(VLOOKUP($MW95,$AV$2:$BA$84,6,FALSE),0)+IFERROR(VLOOKUP($MX95,$AV$2:$BA$84,6,FALSE),0)+IFERROR(VLOOKUP($MY95,$AV$2:$BA$84,6,FALSE),0)</f>
        <v/>
      </c>
      <c r="OC95" s="155">
        <f>TEXTJOIN(", ",TRUE,IF(IFERROR(VLOOKUP($MV95,$AV$2:$BA$84,5,FALSE),0)=1,$MV95,""),IF(IFERROR(VLOOKUP($MW95,$AV$2:$BA$84,5,FALSE),0)=1,$MW95,""),IF(IFERROR(VLOOKUP($MX95,$AV$2:$BA$84,5,FALSE),0)=1,$MX95,""),IF(IFERROR(VLOOKUP($MY95,$AV$2:$BA$84,5,FALSE),0)=1,$MY95,""))</f>
        <v/>
      </c>
      <c r="OD95" s="155">
        <f>IF($NH95=0,0,INDEX($Y$2:$Y$11,$NH95))</f>
        <v/>
      </c>
      <c r="OE95" s="155">
        <f>IF($NH95=0,0,INDEX($Z$2:$Z$11,$NH95))</f>
        <v/>
      </c>
      <c r="OF95" s="155">
        <f>IF($NH95=0,0,INDEX($AB$2:$AB$11,$NH95))</f>
        <v/>
      </c>
      <c r="OG95" s="155">
        <f>IFERROR(VLOOKUP($MZ95,$BC$2:$BG$24,3,FALSE),0)</f>
        <v/>
      </c>
      <c r="OH95" s="155">
        <f>IFERROR(VLOOKUP($NA95,$BC$2:$BG$24,3,FALSE),0)</f>
        <v/>
      </c>
      <c r="OI95" s="155">
        <f>IFERROR(VLOOKUP($MZ95,$BC$2:$BG$24,2,FALSE),"")</f>
        <v/>
      </c>
      <c r="OJ95" s="155">
        <f>IFERROR(VLOOKUP($NA95,$BC$2:$BG$24,2,FALSE),"")</f>
        <v/>
      </c>
      <c r="OK95" s="155">
        <f>COUNTIF($NQ95:$NU95,1)</f>
        <v/>
      </c>
      <c r="OL95" s="155">
        <f>COUNTIF($NQ95:$NU95,2)</f>
        <v/>
      </c>
      <c r="OM95" s="155">
        <f>COUNTIF($NQ95:$NU95,3)</f>
        <v/>
      </c>
      <c r="ON95" s="155">
        <f>COUNTIF($NQ95:$NU95,4)</f>
        <v/>
      </c>
      <c r="OO95" s="155">
        <f>COUNTIF($NQ95:$NU95,5)</f>
        <v/>
      </c>
      <c r="OP95" s="155">
        <f>COUNTIF($NQ95:$NU95,6)</f>
        <v/>
      </c>
      <c r="OQ95" s="155">
        <f>COUNTIF($OG95:$OH95,1)</f>
        <v/>
      </c>
      <c r="OR95" s="155">
        <f>COUNTIF($OG95:$OH95,2)+$OD95</f>
        <v/>
      </c>
      <c r="OS95" s="155">
        <f>COUNTIF($MV95:$MY95,"?*")</f>
        <v/>
      </c>
      <c r="OT95" s="155">
        <f>COUNTIF($MZ95:$NA95,"?*")+$OD95</f>
        <v/>
      </c>
      <c r="OU95" s="155">
        <f>IF($MQ95=0,0,SUMPRODUCT($OK95:$OP95,INDEX($I$2:$N$8,MAX(1,$MQ95),0)))</f>
        <v/>
      </c>
      <c r="OV95" s="155">
        <f>IF($MQ95=0,0,$OQ95*CEILING($MQ95/2,1)+$OR95*$MQ95)</f>
        <v/>
      </c>
      <c r="OW95" s="155">
        <f>MIN(2*$MQ95,$OV95)</f>
        <v/>
      </c>
      <c r="OX95" s="155">
        <f>MIN($OW95,$OU95)</f>
        <v/>
      </c>
      <c r="OY95" s="155">
        <f>$OW95-$OX95</f>
        <v/>
      </c>
      <c r="OZ95" s="155">
        <f>IF($MQ95=0,0,INDEX($P$2:$P$8,MAX(1,$MQ95)))</f>
        <v/>
      </c>
      <c r="PA95" s="155">
        <f>$OZ95-$OU95+$OX95</f>
        <v/>
      </c>
      <c r="PB95" s="155">
        <f>IF($MQ95=0,MAX(0,$NE95-IF($OS95&gt;0,1,0)),MAX(0,$PA95))</f>
        <v/>
      </c>
      <c r="PC95" s="155">
        <f>IF($MQ95=0,0,(IF(COUNTIF($MV95:$MY95,"Salto")&gt;0,1,0)+IF(COUNTIF($MV95:$MY95,"Queima")&gt;0,1,0)+IF(COUNTIF($MV95:$MY95,"Estilhaço")&gt;0,1,0))*FLOOR($PB95/2,1))</f>
        <v/>
      </c>
      <c r="PD95" s="155">
        <f>MAX(0,2-SUMPRODUCT($OK95:$OP95,$I$2:$N$2)+MIN(2,$OQ95*1+$OR95*1,SUMPRODUCT($OK95:$OP95,$I$2:$N$2)))</f>
        <v/>
      </c>
      <c r="PE95" s="155">
        <f>MAX(0,4-SUMPRODUCT($OK95:$OP95,$I$3:$N$3)+MIN(4,$OQ95*1+$OR95*2,SUMPRODUCT($OK95:$OP95,$I$3:$N$3)))</f>
        <v/>
      </c>
      <c r="PF95" s="155">
        <f>MAX(0,6-SUMPRODUCT($OK95:$OP95,$I$4:$N$4)+MIN(6,$OQ95*2+$OR95*3,SUMPRODUCT($OK95:$OP95,$I$4:$N$4)))</f>
        <v/>
      </c>
      <c r="PG95" s="155">
        <f>MAX(0,9-SUMPRODUCT($OK95:$OP95,$I$5:$N$5)+MIN(8,$OQ95*2+$OR95*4,SUMPRODUCT($OK95:$OP95,$I$5:$N$5)))</f>
        <v/>
      </c>
      <c r="PH95" s="155">
        <f>MAX(0,11-SUMPRODUCT($OK95:$OP95,$I$6:$N$6)+MIN(10,$OQ95*3+$OR95*5,SUMPRODUCT($OK95:$OP95,$I$6:$N$6)))</f>
        <v/>
      </c>
      <c r="PI95" s="155">
        <f>MAX(0,13-SUMPRODUCT($OK95:$OP95,$I$7:$N$7)+MIN(12,$OQ95*3+$OR95*6,SUMPRODUCT($OK95:$OP95,$I$7:$N$7)))</f>
        <v/>
      </c>
      <c r="PJ95" s="155">
        <f>MAX(0,16-SUMPRODUCT($OK95:$OP95,$I$8:$N$8)+MIN(14,$OQ95*4+$OR95*7,SUMPRODUCT($OK95:$OP95,$I$8:$N$8)))</f>
        <v/>
      </c>
      <c r="PK95" s="155">
        <f>IF($OE95=2,3*$PD95&amp;" de vida temp.",IF($OE95=3,"sem dano",IF($PD95=0,IF($OE95=1,"sem cura","sem dano"),IF($OE95=1,"cura ","")&amp;$PD95&amp;"d8")))</f>
        <v/>
      </c>
      <c r="PL95" s="155">
        <f>IF($OE95=2,3*$PE95&amp;" de vida temp.",IF($OE95=3,"sem dano",IF($PE95=0,IF($OE95=1,"sem cura","sem dano"),IF($OE95=1,"cura ","")&amp;$PE95&amp;"d8")))</f>
        <v/>
      </c>
      <c r="PM95" s="155">
        <f>IF($OE95=2,3*$PF95&amp;" de vida temp.",IF($OE95=3,"sem dano",IF($PF95=0,IF($OE95=1,"sem cura","sem dano"),IF($OE95=1,"cura ","")&amp;$PF95&amp;"d8")))</f>
        <v/>
      </c>
      <c r="PN95" s="155">
        <f>IF($OE95=2,3*$PG95&amp;" de vida temp.",IF($OE95=3,"sem dano",IF($PG95=0,IF($OE95=1,"sem cura","sem dano"),IF($OE95=1,"cura ","")&amp;$PG95&amp;"d8")))</f>
        <v/>
      </c>
      <c r="PO95" s="155">
        <f>IF($OE95=2,3*$PH95&amp;" de vida temp.",IF($OE95=3,"sem dano",IF($PH95=0,IF($OE95=1,"sem cura","sem dano"),IF($OE95=1,"cura ","")&amp;$PH95&amp;"d8")))</f>
        <v/>
      </c>
      <c r="PP95" s="155">
        <f>IF($OE95=2,3*$PI95&amp;" de vida temp.",IF($OE95=3,"sem dano",IF($PI95=0,IF($OE95=1,"sem cura","sem dano"),IF($OE95=1,"cura ","")&amp;$PI95&amp;"d8")))</f>
        <v/>
      </c>
      <c r="PQ95" s="155">
        <f>IF($OE95=2,3*$PJ95&amp;" de vida temp.",IF($OE95=3,"sem dano",IF($PJ95=0,IF($OE95=1,"sem cura","sem dano"),IF($OE95=1,"cura ","")&amp;$PJ95&amp;"d8")))</f>
        <v/>
      </c>
      <c r="PR95" s="155">
        <f>IF($NB95=0,"",TEXTJOIN(" · ",TRUE,IF($MO95&gt;$NC95,"Este lugar abre no nível "&amp;$MO95,""),IF($MQ95&gt;$ND95,"Classe "&amp;$MQ95&amp;": o nível "&amp;$NC95&amp;" libera até a "&amp;$ND95,""),IF($NV95=1,"A Forma "&amp;$MS95&amp;" pede "&amp;INDEX($W$2:$W$11,$NH95)&amp;" aberta",""),IF(AND($MQ95=0,$NH95&gt;0,IF($NH95=0,0,INDEX($AF$2:$AF$11,$NH95))=0),$MS95&amp;" não existe na Classe 0",""),IF($NW95=1,"Família Fechada: "&amp;$MV95,""),IF($NX95=1,"Família Fechada: "&amp;$MW95,""),IF($NY95=1,"Família Fechada: "&amp;$MX95,""),IF($NZ95=1,"Família Fechada: "&amp;$MY95,""),IF(AND($MQ95&gt;0,$OS95&gt;INDEX($O$2:$O$8,MAX(1,$MQ95))),$OS95&amp;" Melhorias: a Classe "&amp;$MQ95&amp;" aceita "&amp;INDEX($O$2:$O$8,MAX(1,$MQ95)),""),IF(AND($MQ95=0,$OS95&gt;1),"A básica aceita uma Melhoria",""),IF(AND($MQ95=0,COUNTIF($NM95:$NP95,"&gt;1")&gt;0),"A básica só aceita Melhoria Leve",""),IF(AND($MQ95&gt;0,$OT95&gt;2),$OT95&amp;" Restrições"&amp;IF($OD95=1,", contando a que a Forma "&amp;$MS95&amp;" já traz","")&amp;": o limite é 2",""),IF(AND($MQ95=0,COUNTIF($MZ95:$NA95,"?*")&gt;1),"A básica aceita uma Restrição Leve",""),IF(AND($MQ95=0,COUNTIF($OG95:$OH95,2)&gt;0),"A básica só aceita Restrição Leve",""),IF(AND($MQ95&gt;0,$PA95&lt;0),"Orçamento estourado: faltam "&amp;(-$PA95)&amp;IF($PA95&lt;-1," pontos"," ponto"),""),IF(IFERROR(VLOOKUP($MZ95,$BC$2:$BG$24,4,FALSE),0)+IFERROR(VLOOKUP($NA95,$BC$2:$BG$24,4,FALSE),0)&gt;1,$OI95&amp;" e "&amp;$OJ95&amp;" são as duas de frequência",""),IF(AND((COUNTIF($MV95:$MY95,"Rápido")+COUNTIF($OI95:$OJ95,"Rápido"))&gt;0,(COUNTIF($MV95:$MY95,"Atrasar")+COUNTIF($OI95:$OJ95,"Atrasar"))&gt;0),"Rápido não entra com Atrasar",""),IF(AND((COUNTIF($MV95:$MY95,"Reação")+COUNTIF($OI95:$OJ95,"Reação"))&gt;0,(COUNTIF($MV95:$MY95,"Rápido")+COUNTIF($OI95:$OJ95,"Rápido"))&gt;0),"Reação não entra com Rápido",""),IF(AND((COUNTIF($MV95:$MY95,"Reação")+COUNTIF($OI95:$OJ95,"Reação"))&gt;0,(COUNTIF($MV95:$MY95,"Armado")+COUNTIF($OI95:$OJ95,"Armado"))&gt;0),"Reação não entra com Armado",""),IF(AND((COUNTIF($MV95:$MY95,"Reação")+COUNTIF($OI95:$OJ95,"Reação"))&gt;0,(COUNTIF($MV95:$MY95,"Atrasar")+COUNTIF($OI95:$OJ95,"Atrasar"))&gt;0),"Reação não entra com Atrasar",""),IF(AND((COUNTIF($MV95:$MY95,"Reação")+COUNTIF($OI95:$OJ95,"Reação"))&gt;0,(COUNTIF($MV95:$MY95,"Parado")+COUNTIF($OI95:$OJ95,"Parado"))&gt;0),"Reação não entra com Parado",""),IF(AND((COUNTIF($MV95:$MY95,"Atrasar")+COUNTIF($OI95:$OJ95,"Atrasar"))&gt;0,(COUNTIF($MV95:$MY95,"Parado")+COUNTIF($OI95:$OJ95,"Parado"))&gt;0),"Atrasar não entra com Parado",""),IF(AND((COUNTIF($MV95:$MY95,"Armado")+COUNTIF($OI95:$OJ95,"Armado"))&gt;0,(COUNTIF($MV95:$MY95,"Carregar")+COUNTIF($OI95:$OJ95,"Carregar"))&gt;0),"Armado não entra com Carregar",""),IF(AND(COUNTIF($OI95:$OJ95,"Corpo a Corpo")&gt;0,$OD95=0,OR($MS95="Cone",$MS95="Linha")),"Corpo a Corpo não entra em "&amp;$MS95,""),IF(AND(COUNTIF($OI95:$OJ95,"Corpo a Corpo")&gt;0,$OD95=1),"A Forma "&amp;$MS95&amp;" já traz o Corpo a Corpo",""),IF(AND(COUNTIF($OI95:$OJ95,"Tudo ou Nada")&gt;0,$OF95=0),"Tudo ou Nada só entra em habilidade de Teste de Resistência",""),IF(AND(COUNTIF($MV95:$MY95,"Inescapável")&gt;0,OR($OS95&gt;1,$OT95&gt;0)),"Inescapável não aceita outra peça",""),IF(AND($MQ95&gt;0,$PB95*IF(COUNTIF($MV95:$MY95,"Remate")&gt;0,1.25,1)+$PC95&gt;4*$MQ95),($PB95*IF(COUNTIF($MV95:$MY95,"Remate")&gt;0,1.25,1)+$PC95)&amp;" dados somando repetições"&amp;IF(COUNTIF($MV95:$MY95,"Remate")&gt;0," e o Remate","")&amp;": o teto da Classe "&amp;$MQ95&amp;" é "&amp;4*$MQ95,"")))</f>
        <v/>
      </c>
      <c r="PS95" s="155">
        <f>IF($PR95="",0,(LEN($PR95)-LEN(SUBSTITUTE($PR95," · ","")))/3+1)</f>
        <v/>
      </c>
      <c r="PT95" s="155">
        <f>IF($NB95=0,"",TEXTJOIN(" · ",TRUE,IF($OV95&gt;2*$MQ95,"A devolução parou no teto de "&amp;2*$MQ95,""),IF($OY95&gt;0,"Devolução perdida: "&amp;$OY95&amp;IF($OY95&gt;1," pontos"," ponto")&amp;" sem peça para pagar",""),IF(AND($OA95&gt;0,AND($MQ95&gt;0,$OE95=0),$PB95=0),"Controle sem dano: uma rodada a mais e CD +2",""),IF(AND($OA95&gt;0,AND($MQ95&gt;0,$OE95=0),$PB95&gt;0,$PB95&lt;=$MQ95),"Controle com saldo até a Classe: uma rodada a mais",""),IF(AND($MQ95&gt;0,$OC95&lt;&gt;""),"Efeito de "&amp;$OC95&amp;" pela Classe "&amp;MAX(1,$MQ95-1),"")))</f>
        <v/>
      </c>
      <c r="PU95" s="155">
        <f>IF($PT95="",0,(LEN($PT95)-LEN(SUBSTITUTE($PT95," · ","")))/3+1)</f>
        <v/>
      </c>
      <c r="PV95" s="155">
        <f>IF($NB95=0,IF($OS95+COUNTIF($MZ95:$NA95,"?*")&gt;0,"Dê um nome",""),IF($PS95&gt;0,"⚠ "&amp;$PS95&amp;IF($PS95&gt;1," erros"," erro"),IF($PU95&gt;0,"! "&amp;$PU95&amp;IF($PU95&gt;1," avisos"," aviso"),"Na regra")))</f>
        <v/>
      </c>
      <c r="PW95" s="155">
        <f>IF($NB95=0,"",IF($PS95+$PU95=0,"Dentro das regras que a ficha confere",$PR95&amp;IF(AND($PS95&gt;0,$PU95&gt;0)," · ","")&amp;$PT95))</f>
        <v/>
      </c>
      <c r="PX95" s="155">
        <f>IF($MO95&gt;$NC95,$MP95&amp;" · ABRE NO NÍVEL "&amp;$MO95,$MP95)</f>
        <v/>
      </c>
      <c r="PY95" s="155">
        <f>IF($NB95=0,"",IF($MQ95=0,"Sem PE",3*$MQ95&amp;" PE"))</f>
        <v/>
      </c>
      <c r="PZ95" s="155">
        <f>IF($NB95=0,"",IF($MQ95=0,"A atuação básica dela",IF(COUNTIF($OI95:$OJ95,"Atrasar")&gt;0,"Sua Ação Completa",IF(COUNTIF($MV95:$MY95,"Rápido")&gt;0,"Sua Bônus",IF(COUNTIF($MV95:$MY95,"Reação")&gt;0,"Sua Reação","Sua Padrão")))&amp;" + a básica dela"&amp;IF(COUNTIF($MV95:$MY95,"Reação")&gt;0," e a coletiva","")&amp;IF(COUNTIF($OI95:$OJ95,"Carregar")&gt;0," · em dois turnos","")))</f>
        <v/>
      </c>
      <c r="QA95" s="155">
        <f>IF($MU95&lt;&gt;"",$MU95,IF($NH95=0,"",INDEX($AA$2:$AA$11,$NH95)))</f>
        <v/>
      </c>
      <c r="QB95" s="155">
        <f>IF(OR($NB95=0,$NH95=0),"",IF(COUNTIF($MV95:$MY95,"Inescapável")&gt;0,"Automático",IF($QA95="Ataque",IF($NF95="","Ataque","Ataque "&amp;IF(($NF95+2*IF(COUNTIF($MV95:$MY95,"Precisão")&gt;0,1,0))&gt;=0,"+","−")&amp;ABS(($NF95+2*IF(COUNTIF($MV95:$MY95,"Precisão")&gt;0,1,0))))&amp;IF($OB95&gt;0," · TR"&amp;IF($NG95="",""," CD "&amp;$NG95),""),IF(LEFT($QA95,2)="TR",$QA95&amp;IF($NG95="",""," · CD "&amp;$NG95)&amp;IF(COUNTIF($MV95:$MY95,"Certeiro")&gt;0," · metade",""),"Sem rolagem"))))</f>
        <v/>
      </c>
      <c r="QC95" s="155">
        <f>IF(OR($NB95=0,$NH95=0),"",IF($MQ95=0,IF(OR($OE95&gt;=1,$PB95=0),"Sem dano",$PB95&amp;"d6"&amp;IF($MT95="",""," "&amp;$MT95)),IF(OR($OE95&gt;=1,$PB95=0),UPPER(LEFT(INDEX($PK95:$PQ95,1,MAX(1,$MQ95)),1))&amp;MID(INDEX($PK95:$PQ95,1,MAX(1,$MQ95)),2,99),UPPER(LEFT(INDEX($PK95:$PQ95,1,MAX(1,$MQ95)),1))&amp;MID(INDEX($PK95:$PQ95,1,MAX(1,$MQ95)),2,99)&amp;IF($MT95="",""," "&amp;$MT95)&amp;IF($PC95&gt;0," · +"&amp;$PC95&amp;"d8",""))))</f>
        <v/>
      </c>
      <c r="QD95" s="155">
        <f>COUNTIF($MV95:$MY95,"Longe")+3*COUNTIF($MV95:$MY95,"Muito Longe")</f>
        <v/>
      </c>
      <c r="QE95" s="155">
        <f>COUNTIF($MV95:$MY95,"Maior")+3*COUNTIF($MV95:$MY95,"Muito Maior")</f>
        <v/>
      </c>
      <c r="QF95" s="155">
        <f>IF($NH95=0,0,CHOOSE(1+INDEX($AC$2:$AC$11,$NH95),0,$QD95,$QE95,$QD95+$QE95))</f>
        <v/>
      </c>
      <c r="QG95" s="155">
        <f>IF($NH95=0,0,CHOOSE(1+INDEX($AD$2:$AD$11,$NH95),0,$QD95,$QE95,$QD95+$QE95))</f>
        <v/>
      </c>
      <c r="QH95" s="155">
        <f>IF(OR($NB95=0,$NH95=0),"",INDEX($AI$2:$AN$41,($NH95-1)*4+IF($MQ95=0,1,IF($MQ95&lt;=5,2,IF($MQ95=6,3,4))),1+MIN(5,$QF95))&amp;INDEX($AO$2:$AT$41,($NH95-1)*4+IF($MQ95=0,1,IF($MQ95&lt;=5,2,IF($MQ95=6,3,4))),1+MIN(5,$QG95))&amp;IF(INDEX($AE$2:$AE$11,$NH95)=1,IF(COUNTIF($MV95:$MY95,"Mais Um")&gt;0," · +"&amp;COUNTIF($MV95:$MY95,"Mais Um")&amp;IF(COUNTIF($MV95:$MY95,"Mais Um")&gt;1," alvos"," alvo"),"")&amp;IF(COUNTIF($MV95:$MY95,"Rajada")&gt;0,IF($MQ95=0," · 1 tiro"," · "&amp;(MAX(1,$MQ95-1)+1)&amp;" tiros"),""),""))</f>
        <v/>
      </c>
      <c r="QI95" s="155">
        <f>IF($NB95=0,"",IF($MQ95=0,$NE95&amp;"d6"&amp;IF($OS95&gt;0," − 1 = "&amp;$PB95&amp;"d6"," da básica do nível "&amp;$NC95),$OZ95&amp;" − "&amp;$OU95&amp;" + "&amp;$OX95&amp;" = "&amp;$PA95&amp;" · teto "&amp;4*$MQ95&amp;"d8"&amp;IF($OD95=1," · a Forma devolve "&amp;$MQ95,"")&amp;IF($OY95&gt;0," · perde "&amp;$OY95,"")))</f>
        <v/>
      </c>
      <c r="QJ95" s="155">
        <f>IF($NB95=0,"",IF($MQ95=0,"A básica não amplia: os dados dela sobem com o nível",IF($MQ95&gt;=$ND95,"Já está na maior Classe que o nível liberou",TEXTJOIN(" · ",TRUE,IF(AND(2&gt;$MQ95,2&lt;=$ND95),"2 → "&amp;$PL95&amp;", 6 PE",""),IF(AND(3&gt;$MQ95,3&lt;=$ND95),"3 → "&amp;$PM95&amp;", 9 PE",""),IF(AND(4&gt;$MQ95,4&lt;=$ND95),"4 → "&amp;$PN95&amp;", 12 PE",""),IF(AND(5&gt;$MQ95,5&lt;=$ND95),"5 → "&amp;$PO95&amp;", 15 PE",""),IF(AND(6&gt;$MQ95,6&lt;=$ND95),"6 → "&amp;$PP95&amp;", 18 PE",""),IF(AND(7&gt;$MQ95,7&lt;=$ND95),"7 → "&amp;$PQ95&amp;", 21 PE","")))))</f>
        <v/>
      </c>
      <c r="QK95" s="155">
        <f>IF(OR($NB95=0,$NM95=0),"",IF($MQ95=0,"−1 dado","−"&amp;INDEX($I$2:$N$8,MAX(1,$MQ95),MAX(1,$NR95))&amp;" · "&amp;CHOOSE(MAX(1,$NR95),"Leve","Média","Pesada","Leve · Livre","Média · Livre","Pesada · Livre")))</f>
        <v/>
      </c>
      <c r="QL95" s="155">
        <f>IF(OR($NB95=0,$NN95=0),"",IF($MQ95=0,"−1 dado","−"&amp;INDEX($I$2:$N$8,MAX(1,$MQ95),MAX(1,$NS95))&amp;" · "&amp;CHOOSE(MAX(1,$NS95),"Leve","Média","Pesada","Leve · Livre","Média · Livre","Pesada · Livre")))</f>
        <v/>
      </c>
      <c r="QM95" s="155">
        <f>IF(OR($NB95=0,$NO95=0),"",IF($MQ95=0,"−1 dado","−"&amp;INDEX($I$2:$N$8,MAX(1,$MQ95),MAX(1,$NT95))&amp;" · "&amp;CHOOSE(MAX(1,$NT95),"Leve","Média","Pesada","Leve · Livre","Média · Livre","Pesada · Livre")))</f>
        <v/>
      </c>
      <c r="QN95" s="155">
        <f>IF(OR($NB95=0,$NP95=0),"",IF($MQ95=0,"−1 dado","−"&amp;INDEX($I$2:$N$8,MAX(1,$MQ95),MAX(1,$NU95))&amp;" · "&amp;CHOOSE(MAX(1,$NU95),"Leve","Média","Pesada","Leve · Livre","Média · Livre","Pesada · Livre")))</f>
        <v/>
      </c>
      <c r="QO95" s="155">
        <f>IF(OR($NB95=0,$MZ95=""),"",IF($MQ95=0,"não devolve","+"&amp;IF($OG95=1,CEILING($MQ95/2,1),$MQ95)))</f>
        <v/>
      </c>
      <c r="QP95" s="155">
        <f>IF(OR($NB95=0,$NA95=""),"",IF($MQ95=0,"não devolve","+"&amp;IF($OH95=1,CEILING($MQ95/2,1),$MQ95)))</f>
        <v/>
      </c>
    </row>
    <row r="96">
      <c r="ML96" s="153" t="inlineStr">
        <is>
          <t>Ficha 8 · Básica 2</t>
        </is>
      </c>
      <c r="MM96" s="155" t="n">
        <v>8</v>
      </c>
      <c r="MN96" s="155" t="n">
        <v>0</v>
      </c>
      <c r="MO96" s="155" t="n">
        <v>11</v>
      </c>
      <c r="MP96" s="153" t="inlineStr">
        <is>
          <t>BÁSICA 2</t>
        </is>
      </c>
      <c r="MQ96" s="155" t="n">
        <v>0</v>
      </c>
      <c r="MR96" s="155">
        <f>'INVOCAÇÕES'!$AC$290&amp;""</f>
        <v/>
      </c>
      <c r="MS96" s="155">
        <f>'INVOCAÇÕES'!$AB$295&amp;""</f>
        <v/>
      </c>
      <c r="MT96" s="155">
        <f>'INVOCAÇÕES'!$AB$296&amp;""</f>
        <v/>
      </c>
      <c r="MU96" s="155">
        <f>'INVOCAÇÕES'!$AD$296&amp;""</f>
        <v/>
      </c>
      <c r="MV96" s="155">
        <f>'INVOCAÇÕES'!$AC$299&amp;""</f>
        <v/>
      </c>
      <c r="MW96" s="155">
        <f>'INVOCAÇÕES'!$AC$300&amp;""</f>
        <v/>
      </c>
      <c r="MX96" s="155">
        <f>'INVOCAÇÕES'!$AC$301&amp;""</f>
        <v/>
      </c>
      <c r="MY96" s="155">
        <f>'INVOCAÇÕES'!$AC$302&amp;""</f>
        <v/>
      </c>
      <c r="MZ96" s="155">
        <f>'INVOCAÇÕES'!$AC$303&amp;""</f>
        <v/>
      </c>
      <c r="NA96" s="155">
        <f>'INVOCAÇÕES'!$AC$304&amp;""</f>
        <v/>
      </c>
      <c r="NB96" s="155">
        <f>IF($MR96&lt;&gt;"",1,0)</f>
        <v/>
      </c>
      <c r="NC96" s="155">
        <f>INDEX($FM$2:$FM$13,$MM96)</f>
        <v/>
      </c>
      <c r="ND96" s="155">
        <f>INDEX($FN$2:$FN$13,$MM96)</f>
        <v/>
      </c>
      <c r="NE96" s="155">
        <f>INDEX($FO$2:$FO$13,$MM96)</f>
        <v/>
      </c>
      <c r="NF96" s="155">
        <f>INDEX($FZ$2:$FZ$13,$MM96)</f>
        <v/>
      </c>
      <c r="NG96" s="155">
        <f>INDEX($GA$2:$GA$13,$MM96)</f>
        <v/>
      </c>
      <c r="NH96" s="155">
        <f>IFERROR(MATCH($MS96,$V$2:$V$11,0),0)</f>
        <v/>
      </c>
      <c r="NI96" s="155">
        <f>IFERROR(VLOOKUP($MV96,$AV$2:$BA$84,2,FALSE),"")</f>
        <v/>
      </c>
      <c r="NJ96" s="155">
        <f>IFERROR(VLOOKUP($MW96,$AV$2:$BA$84,2,FALSE),"")</f>
        <v/>
      </c>
      <c r="NK96" s="155">
        <f>IFERROR(VLOOKUP($MX96,$AV$2:$BA$84,2,FALSE),"")</f>
        <v/>
      </c>
      <c r="NL96" s="155">
        <f>IFERROR(VLOOKUP($MY96,$AV$2:$BA$84,2,FALSE),"")</f>
        <v/>
      </c>
      <c r="NM96" s="155">
        <f>IFERROR(VLOOKUP($MV96,$AV$2:$BA$84,3,FALSE),0)</f>
        <v/>
      </c>
      <c r="NN96" s="155">
        <f>IFERROR(VLOOKUP($MW96,$AV$2:$BA$84,3,FALSE),0)</f>
        <v/>
      </c>
      <c r="NO96" s="155">
        <f>IFERROR(VLOOKUP($MX96,$AV$2:$BA$84,3,FALSE),0)</f>
        <v/>
      </c>
      <c r="NP96" s="155">
        <f>IFERROR(VLOOKUP($MY96,$AV$2:$BA$84,3,FALSE),0)</f>
        <v/>
      </c>
      <c r="NQ96" s="155">
        <f>IF($MQ96=0,0,IF($NH96=0,0,INDEX($X$2:$X$11,$NH96)))</f>
        <v/>
      </c>
      <c r="NR96" s="155">
        <f>IF(OR($NM96=0,$MQ96=0),0,$NM96+3*IF(AND($NI96&lt;&gt;"",OR($NI96=INDEX($EJ$2:$EJ$13,$MM96),$NI96=INDEX($EK$2:$EK$13,$MM96))),1,0))</f>
        <v/>
      </c>
      <c r="NS96" s="155">
        <f>IF(OR($NN96=0,$MQ96=0),0,$NN96+3*IF(AND($NJ96&lt;&gt;"",OR($NJ96=INDEX($EJ$2:$EJ$13,$MM96),$NJ96=INDEX($EK$2:$EK$13,$MM96))),1,0))</f>
        <v/>
      </c>
      <c r="NT96" s="155">
        <f>IF(OR($NO96=0,$MQ96=0),0,$NO96+3*IF(AND($NK96&lt;&gt;"",OR($NK96=INDEX($EJ$2:$EJ$13,$MM96),$NK96=INDEX($EK$2:$EK$13,$MM96))),1,0))</f>
        <v/>
      </c>
      <c r="NU96" s="155">
        <f>IF(OR($NP96=0,$MQ96=0),0,$NP96+3*IF(AND($NL96&lt;&gt;"",OR($NL96=INDEX($EJ$2:$EJ$13,$MM96),$NL96=INDEX($EK$2:$EK$13,$MM96))),1,0))</f>
        <v/>
      </c>
      <c r="NV96" s="155">
        <f>IF($NH96=0,0,IF(INDEX($W$2:$W$11,$NH96)="",0,IF(COUNTIF(INDEX($EJ$2:$EN$13,$MM96,0),INDEX($W$2:$W$11,$NH96))=0,1,0)))</f>
        <v/>
      </c>
      <c r="NW96" s="155">
        <f>IF(OR($NM96=0,$NI96=""),0,IF(COUNTIF(INDEX($EJ$2:$EN$13,$MM96,0),$NI96)=0,1,0))</f>
        <v/>
      </c>
      <c r="NX96" s="155">
        <f>IF(OR($NN96=0,$NJ96=""),0,IF(COUNTIF(INDEX($EJ$2:$EN$13,$MM96,0),$NJ96)=0,1,0))</f>
        <v/>
      </c>
      <c r="NY96" s="155">
        <f>IF(OR($NO96=0,$NK96=""),0,IF(COUNTIF(INDEX($EJ$2:$EN$13,$MM96,0),$NK96)=0,1,0))</f>
        <v/>
      </c>
      <c r="NZ96" s="155">
        <f>IF(OR($NP96=0,$NL96=""),0,IF(COUNTIF(INDEX($EJ$2:$EN$13,$MM96,0),$NL96)=0,1,0))</f>
        <v/>
      </c>
      <c r="OA96" s="155">
        <f>IFERROR(VLOOKUP($MV96,$AV$2:$BA$84,4,FALSE),0)+IFERROR(VLOOKUP($MW96,$AV$2:$BA$84,4,FALSE),0)+IFERROR(VLOOKUP($MX96,$AV$2:$BA$84,4,FALSE),0)+IFERROR(VLOOKUP($MY96,$AV$2:$BA$84,4,FALSE),0)</f>
        <v/>
      </c>
      <c r="OB96" s="155">
        <f>IFERROR(VLOOKUP($MV96,$AV$2:$BA$84,6,FALSE),0)+IFERROR(VLOOKUP($MW96,$AV$2:$BA$84,6,FALSE),0)+IFERROR(VLOOKUP($MX96,$AV$2:$BA$84,6,FALSE),0)+IFERROR(VLOOKUP($MY96,$AV$2:$BA$84,6,FALSE),0)</f>
        <v/>
      </c>
      <c r="OC96" s="155">
        <f>TEXTJOIN(", ",TRUE,IF(IFERROR(VLOOKUP($MV96,$AV$2:$BA$84,5,FALSE),0)=1,$MV96,""),IF(IFERROR(VLOOKUP($MW96,$AV$2:$BA$84,5,FALSE),0)=1,$MW96,""),IF(IFERROR(VLOOKUP($MX96,$AV$2:$BA$84,5,FALSE),0)=1,$MX96,""),IF(IFERROR(VLOOKUP($MY96,$AV$2:$BA$84,5,FALSE),0)=1,$MY96,""))</f>
        <v/>
      </c>
      <c r="OD96" s="155">
        <f>IF($NH96=0,0,INDEX($Y$2:$Y$11,$NH96))</f>
        <v/>
      </c>
      <c r="OE96" s="155">
        <f>IF($NH96=0,0,INDEX($Z$2:$Z$11,$NH96))</f>
        <v/>
      </c>
      <c r="OF96" s="155">
        <f>IF($NH96=0,0,INDEX($AB$2:$AB$11,$NH96))</f>
        <v/>
      </c>
      <c r="OG96" s="155">
        <f>IFERROR(VLOOKUP($MZ96,$BC$2:$BG$24,3,FALSE),0)</f>
        <v/>
      </c>
      <c r="OH96" s="155">
        <f>IFERROR(VLOOKUP($NA96,$BC$2:$BG$24,3,FALSE),0)</f>
        <v/>
      </c>
      <c r="OI96" s="155">
        <f>IFERROR(VLOOKUP($MZ96,$BC$2:$BG$24,2,FALSE),"")</f>
        <v/>
      </c>
      <c r="OJ96" s="155">
        <f>IFERROR(VLOOKUP($NA96,$BC$2:$BG$24,2,FALSE),"")</f>
        <v/>
      </c>
      <c r="OK96" s="155">
        <f>COUNTIF($NQ96:$NU96,1)</f>
        <v/>
      </c>
      <c r="OL96" s="155">
        <f>COUNTIF($NQ96:$NU96,2)</f>
        <v/>
      </c>
      <c r="OM96" s="155">
        <f>COUNTIF($NQ96:$NU96,3)</f>
        <v/>
      </c>
      <c r="ON96" s="155">
        <f>COUNTIF($NQ96:$NU96,4)</f>
        <v/>
      </c>
      <c r="OO96" s="155">
        <f>COUNTIF($NQ96:$NU96,5)</f>
        <v/>
      </c>
      <c r="OP96" s="155">
        <f>COUNTIF($NQ96:$NU96,6)</f>
        <v/>
      </c>
      <c r="OQ96" s="155">
        <f>COUNTIF($OG96:$OH96,1)</f>
        <v/>
      </c>
      <c r="OR96" s="155">
        <f>COUNTIF($OG96:$OH96,2)+$OD96</f>
        <v/>
      </c>
      <c r="OS96" s="155">
        <f>COUNTIF($MV96:$MY96,"?*")</f>
        <v/>
      </c>
      <c r="OT96" s="155">
        <f>COUNTIF($MZ96:$NA96,"?*")+$OD96</f>
        <v/>
      </c>
      <c r="OU96" s="155">
        <f>IF($MQ96=0,0,SUMPRODUCT($OK96:$OP96,INDEX($I$2:$N$8,MAX(1,$MQ96),0)))</f>
        <v/>
      </c>
      <c r="OV96" s="155">
        <f>IF($MQ96=0,0,$OQ96*CEILING($MQ96/2,1)+$OR96*$MQ96)</f>
        <v/>
      </c>
      <c r="OW96" s="155">
        <f>MIN(2*$MQ96,$OV96)</f>
        <v/>
      </c>
      <c r="OX96" s="155">
        <f>MIN($OW96,$OU96)</f>
        <v/>
      </c>
      <c r="OY96" s="155">
        <f>$OW96-$OX96</f>
        <v/>
      </c>
      <c r="OZ96" s="155">
        <f>IF($MQ96=0,0,INDEX($P$2:$P$8,MAX(1,$MQ96)))</f>
        <v/>
      </c>
      <c r="PA96" s="155">
        <f>$OZ96-$OU96+$OX96</f>
        <v/>
      </c>
      <c r="PB96" s="155">
        <f>IF($MQ96=0,MAX(0,$NE96-IF($OS96&gt;0,1,0)),MAX(0,$PA96))</f>
        <v/>
      </c>
      <c r="PC96" s="155">
        <f>IF($MQ96=0,0,(IF(COUNTIF($MV96:$MY96,"Salto")&gt;0,1,0)+IF(COUNTIF($MV96:$MY96,"Queima")&gt;0,1,0)+IF(COUNTIF($MV96:$MY96,"Estilhaço")&gt;0,1,0))*FLOOR($PB96/2,1))</f>
        <v/>
      </c>
      <c r="PD96" s="155">
        <f>MAX(0,2-SUMPRODUCT($OK96:$OP96,$I$2:$N$2)+MIN(2,$OQ96*1+$OR96*1,SUMPRODUCT($OK96:$OP96,$I$2:$N$2)))</f>
        <v/>
      </c>
      <c r="PE96" s="155">
        <f>MAX(0,4-SUMPRODUCT($OK96:$OP96,$I$3:$N$3)+MIN(4,$OQ96*1+$OR96*2,SUMPRODUCT($OK96:$OP96,$I$3:$N$3)))</f>
        <v/>
      </c>
      <c r="PF96" s="155">
        <f>MAX(0,6-SUMPRODUCT($OK96:$OP96,$I$4:$N$4)+MIN(6,$OQ96*2+$OR96*3,SUMPRODUCT($OK96:$OP96,$I$4:$N$4)))</f>
        <v/>
      </c>
      <c r="PG96" s="155">
        <f>MAX(0,9-SUMPRODUCT($OK96:$OP96,$I$5:$N$5)+MIN(8,$OQ96*2+$OR96*4,SUMPRODUCT($OK96:$OP96,$I$5:$N$5)))</f>
        <v/>
      </c>
      <c r="PH96" s="155">
        <f>MAX(0,11-SUMPRODUCT($OK96:$OP96,$I$6:$N$6)+MIN(10,$OQ96*3+$OR96*5,SUMPRODUCT($OK96:$OP96,$I$6:$N$6)))</f>
        <v/>
      </c>
      <c r="PI96" s="155">
        <f>MAX(0,13-SUMPRODUCT($OK96:$OP96,$I$7:$N$7)+MIN(12,$OQ96*3+$OR96*6,SUMPRODUCT($OK96:$OP96,$I$7:$N$7)))</f>
        <v/>
      </c>
      <c r="PJ96" s="155">
        <f>MAX(0,16-SUMPRODUCT($OK96:$OP96,$I$8:$N$8)+MIN(14,$OQ96*4+$OR96*7,SUMPRODUCT($OK96:$OP96,$I$8:$N$8)))</f>
        <v/>
      </c>
      <c r="PK96" s="155">
        <f>IF($OE96=2,3*$PD96&amp;" de vida temp.",IF($OE96=3,"sem dano",IF($PD96=0,IF($OE96=1,"sem cura","sem dano"),IF($OE96=1,"cura ","")&amp;$PD96&amp;"d8")))</f>
        <v/>
      </c>
      <c r="PL96" s="155">
        <f>IF($OE96=2,3*$PE96&amp;" de vida temp.",IF($OE96=3,"sem dano",IF($PE96=0,IF($OE96=1,"sem cura","sem dano"),IF($OE96=1,"cura ","")&amp;$PE96&amp;"d8")))</f>
        <v/>
      </c>
      <c r="PM96" s="155">
        <f>IF($OE96=2,3*$PF96&amp;" de vida temp.",IF($OE96=3,"sem dano",IF($PF96=0,IF($OE96=1,"sem cura","sem dano"),IF($OE96=1,"cura ","")&amp;$PF96&amp;"d8")))</f>
        <v/>
      </c>
      <c r="PN96" s="155">
        <f>IF($OE96=2,3*$PG96&amp;" de vida temp.",IF($OE96=3,"sem dano",IF($PG96=0,IF($OE96=1,"sem cura","sem dano"),IF($OE96=1,"cura ","")&amp;$PG96&amp;"d8")))</f>
        <v/>
      </c>
      <c r="PO96" s="155">
        <f>IF($OE96=2,3*$PH96&amp;" de vida temp.",IF($OE96=3,"sem dano",IF($PH96=0,IF($OE96=1,"sem cura","sem dano"),IF($OE96=1,"cura ","")&amp;$PH96&amp;"d8")))</f>
        <v/>
      </c>
      <c r="PP96" s="155">
        <f>IF($OE96=2,3*$PI96&amp;" de vida temp.",IF($OE96=3,"sem dano",IF($PI96=0,IF($OE96=1,"sem cura","sem dano"),IF($OE96=1,"cura ","")&amp;$PI96&amp;"d8")))</f>
        <v/>
      </c>
      <c r="PQ96" s="155">
        <f>IF($OE96=2,3*$PJ96&amp;" de vida temp.",IF($OE96=3,"sem dano",IF($PJ96=0,IF($OE96=1,"sem cura","sem dano"),IF($OE96=1,"cura ","")&amp;$PJ96&amp;"d8")))</f>
        <v/>
      </c>
      <c r="PR96" s="155">
        <f>IF($NB96=0,"",TEXTJOIN(" · ",TRUE,IF($MO96&gt;$NC96,"Este lugar abre no nível "&amp;$MO96,""),IF($MQ96&gt;$ND96,"Classe "&amp;$MQ96&amp;": o nível "&amp;$NC96&amp;" libera até a "&amp;$ND96,""),IF($NV96=1,"A Forma "&amp;$MS96&amp;" pede "&amp;INDEX($W$2:$W$11,$NH96)&amp;" aberta",""),IF(AND($MQ96=0,$NH96&gt;0,IF($NH96=0,0,INDEX($AF$2:$AF$11,$NH96))=0),$MS96&amp;" não existe na Classe 0",""),IF($NW96=1,"Família Fechada: "&amp;$MV96,""),IF($NX96=1,"Família Fechada: "&amp;$MW96,""),IF($NY96=1,"Família Fechada: "&amp;$MX96,""),IF($NZ96=1,"Família Fechada: "&amp;$MY96,""),IF(AND($MQ96&gt;0,$OS96&gt;INDEX($O$2:$O$8,MAX(1,$MQ96))),$OS96&amp;" Melhorias: a Classe "&amp;$MQ96&amp;" aceita "&amp;INDEX($O$2:$O$8,MAX(1,$MQ96)),""),IF(AND($MQ96=0,$OS96&gt;1),"A básica aceita uma Melhoria",""),IF(AND($MQ96=0,COUNTIF($NM96:$NP96,"&gt;1")&gt;0),"A básica só aceita Melhoria Leve",""),IF(AND($MQ96&gt;0,$OT96&gt;2),$OT96&amp;" Restrições"&amp;IF($OD96=1,", contando a que a Forma "&amp;$MS96&amp;" já traz","")&amp;": o limite é 2",""),IF(AND($MQ96=0,COUNTIF($MZ96:$NA96,"?*")&gt;1),"A básica aceita uma Restrição Leve",""),IF(AND($MQ96=0,COUNTIF($OG96:$OH96,2)&gt;0),"A básica só aceita Restrição Leve",""),IF(AND($MQ96&gt;0,$PA96&lt;0),"Orçamento estourado: faltam "&amp;(-$PA96)&amp;IF($PA96&lt;-1," pontos"," ponto"),""),IF(IFERROR(VLOOKUP($MZ96,$BC$2:$BG$24,4,FALSE),0)+IFERROR(VLOOKUP($NA96,$BC$2:$BG$24,4,FALSE),0)&gt;1,$OI96&amp;" e "&amp;$OJ96&amp;" são as duas de frequência",""),IF(AND((COUNTIF($MV96:$MY96,"Rápido")+COUNTIF($OI96:$OJ96,"Rápido"))&gt;0,(COUNTIF($MV96:$MY96,"Atrasar")+COUNTIF($OI96:$OJ96,"Atrasar"))&gt;0),"Rápido não entra com Atrasar",""),IF(AND((COUNTIF($MV96:$MY96,"Reação")+COUNTIF($OI96:$OJ96,"Reação"))&gt;0,(COUNTIF($MV96:$MY96,"Rápido")+COUNTIF($OI96:$OJ96,"Rápido"))&gt;0),"Reação não entra com Rápido",""),IF(AND((COUNTIF($MV96:$MY96,"Reação")+COUNTIF($OI96:$OJ96,"Reação"))&gt;0,(COUNTIF($MV96:$MY96,"Armado")+COUNTIF($OI96:$OJ96,"Armado"))&gt;0),"Reação não entra com Armado",""),IF(AND((COUNTIF($MV96:$MY96,"Reação")+COUNTIF($OI96:$OJ96,"Reação"))&gt;0,(COUNTIF($MV96:$MY96,"Atrasar")+COUNTIF($OI96:$OJ96,"Atrasar"))&gt;0),"Reação não entra com Atrasar",""),IF(AND((COUNTIF($MV96:$MY96,"Reação")+COUNTIF($OI96:$OJ96,"Reação"))&gt;0,(COUNTIF($MV96:$MY96,"Parado")+COUNTIF($OI96:$OJ96,"Parado"))&gt;0),"Reação não entra com Parado",""),IF(AND((COUNTIF($MV96:$MY96,"Atrasar")+COUNTIF($OI96:$OJ96,"Atrasar"))&gt;0,(COUNTIF($MV96:$MY96,"Parado")+COUNTIF($OI96:$OJ96,"Parado"))&gt;0),"Atrasar não entra com Parado",""),IF(AND((COUNTIF($MV96:$MY96,"Armado")+COUNTIF($OI96:$OJ96,"Armado"))&gt;0,(COUNTIF($MV96:$MY96,"Carregar")+COUNTIF($OI96:$OJ96,"Carregar"))&gt;0),"Armado não entra com Carregar",""),IF(AND(COUNTIF($OI96:$OJ96,"Corpo a Corpo")&gt;0,$OD96=0,OR($MS96="Cone",$MS96="Linha")),"Corpo a Corpo não entra em "&amp;$MS96,""),IF(AND(COUNTIF($OI96:$OJ96,"Corpo a Corpo")&gt;0,$OD96=1),"A Forma "&amp;$MS96&amp;" já traz o Corpo a Corpo",""),IF(AND(COUNTIF($OI96:$OJ96,"Tudo ou Nada")&gt;0,$OF96=0),"Tudo ou Nada só entra em habilidade de Teste de Resistência",""),IF(AND(COUNTIF($MV96:$MY96,"Inescapável")&gt;0,OR($OS96&gt;1,$OT96&gt;0)),"Inescapável não aceita outra peça",""),IF(AND($MQ96&gt;0,$PB96*IF(COUNTIF($MV96:$MY96,"Remate")&gt;0,1.25,1)+$PC96&gt;4*$MQ96),($PB96*IF(COUNTIF($MV96:$MY96,"Remate")&gt;0,1.25,1)+$PC96)&amp;" dados somando repetições"&amp;IF(COUNTIF($MV96:$MY96,"Remate")&gt;0," e o Remate","")&amp;": o teto da Classe "&amp;$MQ96&amp;" é "&amp;4*$MQ96,"")))</f>
        <v/>
      </c>
      <c r="PS96" s="155">
        <f>IF($PR96="",0,(LEN($PR96)-LEN(SUBSTITUTE($PR96," · ","")))/3+1)</f>
        <v/>
      </c>
      <c r="PT96" s="155">
        <f>IF($NB96=0,"",TEXTJOIN(" · ",TRUE,IF($OV96&gt;2*$MQ96,"A devolução parou no teto de "&amp;2*$MQ96,""),IF($OY96&gt;0,"Devolução perdida: "&amp;$OY96&amp;IF($OY96&gt;1," pontos"," ponto")&amp;" sem peça para pagar",""),IF(AND($OA96&gt;0,AND($MQ96&gt;0,$OE96=0),$PB96=0),"Controle sem dano: uma rodada a mais e CD +2",""),IF(AND($OA96&gt;0,AND($MQ96&gt;0,$OE96=0),$PB96&gt;0,$PB96&lt;=$MQ96),"Controle com saldo até a Classe: uma rodada a mais",""),IF(AND($MQ96&gt;0,$OC96&lt;&gt;""),"Efeito de "&amp;$OC96&amp;" pela Classe "&amp;MAX(1,$MQ96-1),"")))</f>
        <v/>
      </c>
      <c r="PU96" s="155">
        <f>IF($PT96="",0,(LEN($PT96)-LEN(SUBSTITUTE($PT96," · ","")))/3+1)</f>
        <v/>
      </c>
      <c r="PV96" s="155">
        <f>IF($NB96=0,IF($OS96+COUNTIF($MZ96:$NA96,"?*")&gt;0,"Dê um nome",""),IF($PS96&gt;0,"⚠ "&amp;$PS96&amp;IF($PS96&gt;1," erros"," erro"),IF($PU96&gt;0,"! "&amp;$PU96&amp;IF($PU96&gt;1," avisos"," aviso"),"Na regra")))</f>
        <v/>
      </c>
      <c r="PW96" s="155">
        <f>IF($NB96=0,"",IF($PS96+$PU96=0,"Dentro das regras que a ficha confere",$PR96&amp;IF(AND($PS96&gt;0,$PU96&gt;0)," · ","")&amp;$PT96))</f>
        <v/>
      </c>
      <c r="PX96" s="155">
        <f>IF($MO96&gt;$NC96,$MP96&amp;" · ABRE NO NÍVEL "&amp;$MO96,$MP96)</f>
        <v/>
      </c>
      <c r="PY96" s="155">
        <f>IF($NB96=0,"",IF($MQ96=0,"Sem PE",3*$MQ96&amp;" PE"))</f>
        <v/>
      </c>
      <c r="PZ96" s="155">
        <f>IF($NB96=0,"",IF($MQ96=0,"A atuação básica dela",IF(COUNTIF($OI96:$OJ96,"Atrasar")&gt;0,"Sua Ação Completa",IF(COUNTIF($MV96:$MY96,"Rápido")&gt;0,"Sua Bônus",IF(COUNTIF($MV96:$MY96,"Reação")&gt;0,"Sua Reação","Sua Padrão")))&amp;" + a básica dela"&amp;IF(COUNTIF($MV96:$MY96,"Reação")&gt;0," e a coletiva","")&amp;IF(COUNTIF($OI96:$OJ96,"Carregar")&gt;0," · em dois turnos","")))</f>
        <v/>
      </c>
      <c r="QA96" s="155">
        <f>IF($MU96&lt;&gt;"",$MU96,IF($NH96=0,"",INDEX($AA$2:$AA$11,$NH96)))</f>
        <v/>
      </c>
      <c r="QB96" s="155">
        <f>IF(OR($NB96=0,$NH96=0),"",IF(COUNTIF($MV96:$MY96,"Inescapável")&gt;0,"Automático",IF($QA96="Ataque",IF($NF96="","Ataque","Ataque "&amp;IF(($NF96+2*IF(COUNTIF($MV96:$MY96,"Precisão")&gt;0,1,0))&gt;=0,"+","−")&amp;ABS(($NF96+2*IF(COUNTIF($MV96:$MY96,"Precisão")&gt;0,1,0))))&amp;IF($OB96&gt;0," · TR"&amp;IF($NG96="",""," CD "&amp;$NG96),""),IF(LEFT($QA96,2)="TR",$QA96&amp;IF($NG96="",""," · CD "&amp;$NG96)&amp;IF(COUNTIF($MV96:$MY96,"Certeiro")&gt;0," · metade",""),"Sem rolagem"))))</f>
        <v/>
      </c>
      <c r="QC96" s="155">
        <f>IF(OR($NB96=0,$NH96=0),"",IF($MQ96=0,IF(OR($OE96&gt;=1,$PB96=0),"Sem dano",$PB96&amp;"d6"&amp;IF($MT96="",""," "&amp;$MT96)),IF(OR($OE96&gt;=1,$PB96=0),UPPER(LEFT(INDEX($PK96:$PQ96,1,MAX(1,$MQ96)),1))&amp;MID(INDEX($PK96:$PQ96,1,MAX(1,$MQ96)),2,99),UPPER(LEFT(INDEX($PK96:$PQ96,1,MAX(1,$MQ96)),1))&amp;MID(INDEX($PK96:$PQ96,1,MAX(1,$MQ96)),2,99)&amp;IF($MT96="",""," "&amp;$MT96)&amp;IF($PC96&gt;0," · +"&amp;$PC96&amp;"d8",""))))</f>
        <v/>
      </c>
      <c r="QD96" s="155">
        <f>COUNTIF($MV96:$MY96,"Longe")+3*COUNTIF($MV96:$MY96,"Muito Longe")</f>
        <v/>
      </c>
      <c r="QE96" s="155">
        <f>COUNTIF($MV96:$MY96,"Maior")+3*COUNTIF($MV96:$MY96,"Muito Maior")</f>
        <v/>
      </c>
      <c r="QF96" s="155">
        <f>IF($NH96=0,0,CHOOSE(1+INDEX($AC$2:$AC$11,$NH96),0,$QD96,$QE96,$QD96+$QE96))</f>
        <v/>
      </c>
      <c r="QG96" s="155">
        <f>IF($NH96=0,0,CHOOSE(1+INDEX($AD$2:$AD$11,$NH96),0,$QD96,$QE96,$QD96+$QE96))</f>
        <v/>
      </c>
      <c r="QH96" s="155">
        <f>IF(OR($NB96=0,$NH96=0),"",INDEX($AI$2:$AN$41,($NH96-1)*4+IF($MQ96=0,1,IF($MQ96&lt;=5,2,IF($MQ96=6,3,4))),1+MIN(5,$QF96))&amp;INDEX($AO$2:$AT$41,($NH96-1)*4+IF($MQ96=0,1,IF($MQ96&lt;=5,2,IF($MQ96=6,3,4))),1+MIN(5,$QG96))&amp;IF(INDEX($AE$2:$AE$11,$NH96)=1,IF(COUNTIF($MV96:$MY96,"Mais Um")&gt;0," · +"&amp;COUNTIF($MV96:$MY96,"Mais Um")&amp;IF(COUNTIF($MV96:$MY96,"Mais Um")&gt;1," alvos"," alvo"),"")&amp;IF(COUNTIF($MV96:$MY96,"Rajada")&gt;0,IF($MQ96=0," · 1 tiro"," · "&amp;(MAX(1,$MQ96-1)+1)&amp;" tiros"),""),""))</f>
        <v/>
      </c>
      <c r="QI96" s="155">
        <f>IF($NB96=0,"",IF($MQ96=0,$NE96&amp;"d6"&amp;IF($OS96&gt;0," − 1 = "&amp;$PB96&amp;"d6"," da básica do nível "&amp;$NC96),$OZ96&amp;" − "&amp;$OU96&amp;" + "&amp;$OX96&amp;" = "&amp;$PA96&amp;" · teto "&amp;4*$MQ96&amp;"d8"&amp;IF($OD96=1," · a Forma devolve "&amp;$MQ96,"")&amp;IF($OY96&gt;0," · perde "&amp;$OY96,"")))</f>
        <v/>
      </c>
      <c r="QJ96" s="155">
        <f>IF($NB96=0,"",IF($MQ96=0,"A básica não amplia: os dados dela sobem com o nível",IF($MQ96&gt;=$ND96,"Já está na maior Classe que o nível liberou",TEXTJOIN(" · ",TRUE,IF(AND(2&gt;$MQ96,2&lt;=$ND96),"2 → "&amp;$PL96&amp;", 6 PE",""),IF(AND(3&gt;$MQ96,3&lt;=$ND96),"3 → "&amp;$PM96&amp;", 9 PE",""),IF(AND(4&gt;$MQ96,4&lt;=$ND96),"4 → "&amp;$PN96&amp;", 12 PE",""),IF(AND(5&gt;$MQ96,5&lt;=$ND96),"5 → "&amp;$PO96&amp;", 15 PE",""),IF(AND(6&gt;$MQ96,6&lt;=$ND96),"6 → "&amp;$PP96&amp;", 18 PE",""),IF(AND(7&gt;$MQ96,7&lt;=$ND96),"7 → "&amp;$PQ96&amp;", 21 PE","")))))</f>
        <v/>
      </c>
      <c r="QK96" s="155">
        <f>IF(OR($NB96=0,$NM96=0),"",IF($MQ96=0,"−1 dado","−"&amp;INDEX($I$2:$N$8,MAX(1,$MQ96),MAX(1,$NR96))&amp;" · "&amp;CHOOSE(MAX(1,$NR96),"Leve","Média","Pesada","Leve · Livre","Média · Livre","Pesada · Livre")))</f>
        <v/>
      </c>
      <c r="QL96" s="155">
        <f>IF(OR($NB96=0,$NN96=0),"",IF($MQ96=0,"−1 dado","−"&amp;INDEX($I$2:$N$8,MAX(1,$MQ96),MAX(1,$NS96))&amp;" · "&amp;CHOOSE(MAX(1,$NS96),"Leve","Média","Pesada","Leve · Livre","Média · Livre","Pesada · Livre")))</f>
        <v/>
      </c>
      <c r="QM96" s="155">
        <f>IF(OR($NB96=0,$NO96=0),"",IF($MQ96=0,"−1 dado","−"&amp;INDEX($I$2:$N$8,MAX(1,$MQ96),MAX(1,$NT96))&amp;" · "&amp;CHOOSE(MAX(1,$NT96),"Leve","Média","Pesada","Leve · Livre","Média · Livre","Pesada · Livre")))</f>
        <v/>
      </c>
      <c r="QN96" s="155">
        <f>IF(OR($NB96=0,$NP96=0),"",IF($MQ96=0,"−1 dado","−"&amp;INDEX($I$2:$N$8,MAX(1,$MQ96),MAX(1,$NU96))&amp;" · "&amp;CHOOSE(MAX(1,$NU96),"Leve","Média","Pesada","Leve · Livre","Média · Livre","Pesada · Livre")))</f>
        <v/>
      </c>
      <c r="QO96" s="155">
        <f>IF(OR($NB96=0,$MZ96=""),"",IF($MQ96=0,"não devolve","+"&amp;IF($OG96=1,CEILING($MQ96/2,1),$MQ96)))</f>
        <v/>
      </c>
      <c r="QP96" s="155">
        <f>IF(OR($NB96=0,$NA96=""),"",IF($MQ96=0,"não devolve","+"&amp;IF($OH96=1,CEILING($MQ96/2,1),$MQ96)))</f>
        <v/>
      </c>
    </row>
    <row r="97">
      <c r="ML97" s="153" t="inlineStr">
        <is>
          <t>Ficha 8 · Especial 3</t>
        </is>
      </c>
      <c r="MM97" s="155" t="n">
        <v>8</v>
      </c>
      <c r="MN97" s="155" t="n">
        <v>1</v>
      </c>
      <c r="MO97" s="155" t="n">
        <v>8</v>
      </c>
      <c r="MP97" s="153" t="inlineStr">
        <is>
          <t>ESPECIAL 3</t>
        </is>
      </c>
      <c r="MQ97" s="155">
        <f>MAX(1,MIN(7,N('INVOCAÇÕES'!$AH$290)))</f>
        <v/>
      </c>
      <c r="MR97" s="155">
        <f>'INVOCAÇÕES'!$AI$290&amp;""</f>
        <v/>
      </c>
      <c r="MS97" s="155">
        <f>'INVOCAÇÕES'!$AH$295&amp;""</f>
        <v/>
      </c>
      <c r="MT97" s="155">
        <f>'INVOCAÇÕES'!$AH$296&amp;""</f>
        <v/>
      </c>
      <c r="MU97" s="155">
        <f>'INVOCAÇÕES'!$AJ$296&amp;""</f>
        <v/>
      </c>
      <c r="MV97" s="155">
        <f>'INVOCAÇÕES'!$AI$299&amp;""</f>
        <v/>
      </c>
      <c r="MW97" s="155">
        <f>'INVOCAÇÕES'!$AI$300&amp;""</f>
        <v/>
      </c>
      <c r="MX97" s="155">
        <f>'INVOCAÇÕES'!$AI$301&amp;""</f>
        <v/>
      </c>
      <c r="MY97" s="155">
        <f>'INVOCAÇÕES'!$AI$302&amp;""</f>
        <v/>
      </c>
      <c r="MZ97" s="155">
        <f>'INVOCAÇÕES'!$AI$303&amp;""</f>
        <v/>
      </c>
      <c r="NA97" s="155">
        <f>'INVOCAÇÕES'!$AI$304&amp;""</f>
        <v/>
      </c>
      <c r="NB97" s="155">
        <f>IF($MR97&lt;&gt;"",1,0)</f>
        <v/>
      </c>
      <c r="NC97" s="155">
        <f>INDEX($FM$2:$FM$13,$MM97)</f>
        <v/>
      </c>
      <c r="ND97" s="155">
        <f>INDEX($FN$2:$FN$13,$MM97)</f>
        <v/>
      </c>
      <c r="NE97" s="155">
        <f>INDEX($FO$2:$FO$13,$MM97)</f>
        <v/>
      </c>
      <c r="NF97" s="155">
        <f>INDEX($FZ$2:$FZ$13,$MM97)</f>
        <v/>
      </c>
      <c r="NG97" s="155">
        <f>INDEX($GA$2:$GA$13,$MM97)</f>
        <v/>
      </c>
      <c r="NH97" s="155">
        <f>IFERROR(MATCH($MS97,$V$2:$V$11,0),0)</f>
        <v/>
      </c>
      <c r="NI97" s="155">
        <f>IFERROR(VLOOKUP($MV97,$AV$2:$BA$84,2,FALSE),"")</f>
        <v/>
      </c>
      <c r="NJ97" s="155">
        <f>IFERROR(VLOOKUP($MW97,$AV$2:$BA$84,2,FALSE),"")</f>
        <v/>
      </c>
      <c r="NK97" s="155">
        <f>IFERROR(VLOOKUP($MX97,$AV$2:$BA$84,2,FALSE),"")</f>
        <v/>
      </c>
      <c r="NL97" s="155">
        <f>IFERROR(VLOOKUP($MY97,$AV$2:$BA$84,2,FALSE),"")</f>
        <v/>
      </c>
      <c r="NM97" s="155">
        <f>IFERROR(VLOOKUP($MV97,$AV$2:$BA$84,3,FALSE),0)</f>
        <v/>
      </c>
      <c r="NN97" s="155">
        <f>IFERROR(VLOOKUP($MW97,$AV$2:$BA$84,3,FALSE),0)</f>
        <v/>
      </c>
      <c r="NO97" s="155">
        <f>IFERROR(VLOOKUP($MX97,$AV$2:$BA$84,3,FALSE),0)</f>
        <v/>
      </c>
      <c r="NP97" s="155">
        <f>IFERROR(VLOOKUP($MY97,$AV$2:$BA$84,3,FALSE),0)</f>
        <v/>
      </c>
      <c r="NQ97" s="155">
        <f>IF($MQ97=0,0,IF($NH97=0,0,INDEX($X$2:$X$11,$NH97)))</f>
        <v/>
      </c>
      <c r="NR97" s="155">
        <f>IF(OR($NM97=0,$MQ97=0),0,$NM97+3*IF(AND($NI97&lt;&gt;"",OR($NI97=INDEX($EJ$2:$EJ$13,$MM97),$NI97=INDEX($EK$2:$EK$13,$MM97))),1,0))</f>
        <v/>
      </c>
      <c r="NS97" s="155">
        <f>IF(OR($NN97=0,$MQ97=0),0,$NN97+3*IF(AND($NJ97&lt;&gt;"",OR($NJ97=INDEX($EJ$2:$EJ$13,$MM97),$NJ97=INDEX($EK$2:$EK$13,$MM97))),1,0))</f>
        <v/>
      </c>
      <c r="NT97" s="155">
        <f>IF(OR($NO97=0,$MQ97=0),0,$NO97+3*IF(AND($NK97&lt;&gt;"",OR($NK97=INDEX($EJ$2:$EJ$13,$MM97),$NK97=INDEX($EK$2:$EK$13,$MM97))),1,0))</f>
        <v/>
      </c>
      <c r="NU97" s="155">
        <f>IF(OR($NP97=0,$MQ97=0),0,$NP97+3*IF(AND($NL97&lt;&gt;"",OR($NL97=INDEX($EJ$2:$EJ$13,$MM97),$NL97=INDEX($EK$2:$EK$13,$MM97))),1,0))</f>
        <v/>
      </c>
      <c r="NV97" s="155">
        <f>IF($NH97=0,0,IF(INDEX($W$2:$W$11,$NH97)="",0,IF(COUNTIF(INDEX($EJ$2:$EN$13,$MM97,0),INDEX($W$2:$W$11,$NH97))=0,1,0)))</f>
        <v/>
      </c>
      <c r="NW97" s="155">
        <f>IF(OR($NM97=0,$NI97=""),0,IF(COUNTIF(INDEX($EJ$2:$EN$13,$MM97,0),$NI97)=0,1,0))</f>
        <v/>
      </c>
      <c r="NX97" s="155">
        <f>IF(OR($NN97=0,$NJ97=""),0,IF(COUNTIF(INDEX($EJ$2:$EN$13,$MM97,0),$NJ97)=0,1,0))</f>
        <v/>
      </c>
      <c r="NY97" s="155">
        <f>IF(OR($NO97=0,$NK97=""),0,IF(COUNTIF(INDEX($EJ$2:$EN$13,$MM97,0),$NK97)=0,1,0))</f>
        <v/>
      </c>
      <c r="NZ97" s="155">
        <f>IF(OR($NP97=0,$NL97=""),0,IF(COUNTIF(INDEX($EJ$2:$EN$13,$MM97,0),$NL97)=0,1,0))</f>
        <v/>
      </c>
      <c r="OA97" s="155">
        <f>IFERROR(VLOOKUP($MV97,$AV$2:$BA$84,4,FALSE),0)+IFERROR(VLOOKUP($MW97,$AV$2:$BA$84,4,FALSE),0)+IFERROR(VLOOKUP($MX97,$AV$2:$BA$84,4,FALSE),0)+IFERROR(VLOOKUP($MY97,$AV$2:$BA$84,4,FALSE),0)</f>
        <v/>
      </c>
      <c r="OB97" s="155">
        <f>IFERROR(VLOOKUP($MV97,$AV$2:$BA$84,6,FALSE),0)+IFERROR(VLOOKUP($MW97,$AV$2:$BA$84,6,FALSE),0)+IFERROR(VLOOKUP($MX97,$AV$2:$BA$84,6,FALSE),0)+IFERROR(VLOOKUP($MY97,$AV$2:$BA$84,6,FALSE),0)</f>
        <v/>
      </c>
      <c r="OC97" s="155">
        <f>TEXTJOIN(", ",TRUE,IF(IFERROR(VLOOKUP($MV97,$AV$2:$BA$84,5,FALSE),0)=1,$MV97,""),IF(IFERROR(VLOOKUP($MW97,$AV$2:$BA$84,5,FALSE),0)=1,$MW97,""),IF(IFERROR(VLOOKUP($MX97,$AV$2:$BA$84,5,FALSE),0)=1,$MX97,""),IF(IFERROR(VLOOKUP($MY97,$AV$2:$BA$84,5,FALSE),0)=1,$MY97,""))</f>
        <v/>
      </c>
      <c r="OD97" s="155">
        <f>IF($NH97=0,0,INDEX($Y$2:$Y$11,$NH97))</f>
        <v/>
      </c>
      <c r="OE97" s="155">
        <f>IF($NH97=0,0,INDEX($Z$2:$Z$11,$NH97))</f>
        <v/>
      </c>
      <c r="OF97" s="155">
        <f>IF($NH97=0,0,INDEX($AB$2:$AB$11,$NH97))</f>
        <v/>
      </c>
      <c r="OG97" s="155">
        <f>IFERROR(VLOOKUP($MZ97,$BC$2:$BG$24,3,FALSE),0)</f>
        <v/>
      </c>
      <c r="OH97" s="155">
        <f>IFERROR(VLOOKUP($NA97,$BC$2:$BG$24,3,FALSE),0)</f>
        <v/>
      </c>
      <c r="OI97" s="155">
        <f>IFERROR(VLOOKUP($MZ97,$BC$2:$BG$24,2,FALSE),"")</f>
        <v/>
      </c>
      <c r="OJ97" s="155">
        <f>IFERROR(VLOOKUP($NA97,$BC$2:$BG$24,2,FALSE),"")</f>
        <v/>
      </c>
      <c r="OK97" s="155">
        <f>COUNTIF($NQ97:$NU97,1)</f>
        <v/>
      </c>
      <c r="OL97" s="155">
        <f>COUNTIF($NQ97:$NU97,2)</f>
        <v/>
      </c>
      <c r="OM97" s="155">
        <f>COUNTIF($NQ97:$NU97,3)</f>
        <v/>
      </c>
      <c r="ON97" s="155">
        <f>COUNTIF($NQ97:$NU97,4)</f>
        <v/>
      </c>
      <c r="OO97" s="155">
        <f>COUNTIF($NQ97:$NU97,5)</f>
        <v/>
      </c>
      <c r="OP97" s="155">
        <f>COUNTIF($NQ97:$NU97,6)</f>
        <v/>
      </c>
      <c r="OQ97" s="155">
        <f>COUNTIF($OG97:$OH97,1)</f>
        <v/>
      </c>
      <c r="OR97" s="155">
        <f>COUNTIF($OG97:$OH97,2)+$OD97</f>
        <v/>
      </c>
      <c r="OS97" s="155">
        <f>COUNTIF($MV97:$MY97,"?*")</f>
        <v/>
      </c>
      <c r="OT97" s="155">
        <f>COUNTIF($MZ97:$NA97,"?*")+$OD97</f>
        <v/>
      </c>
      <c r="OU97" s="155">
        <f>IF($MQ97=0,0,SUMPRODUCT($OK97:$OP97,INDEX($I$2:$N$8,MAX(1,$MQ97),0)))</f>
        <v/>
      </c>
      <c r="OV97" s="155">
        <f>IF($MQ97=0,0,$OQ97*CEILING($MQ97/2,1)+$OR97*$MQ97)</f>
        <v/>
      </c>
      <c r="OW97" s="155">
        <f>MIN(2*$MQ97,$OV97)</f>
        <v/>
      </c>
      <c r="OX97" s="155">
        <f>MIN($OW97,$OU97)</f>
        <v/>
      </c>
      <c r="OY97" s="155">
        <f>$OW97-$OX97</f>
        <v/>
      </c>
      <c r="OZ97" s="155">
        <f>IF($MQ97=0,0,INDEX($P$2:$P$8,MAX(1,$MQ97)))</f>
        <v/>
      </c>
      <c r="PA97" s="155">
        <f>$OZ97-$OU97+$OX97</f>
        <v/>
      </c>
      <c r="PB97" s="155">
        <f>IF($MQ97=0,MAX(0,$NE97-IF($OS97&gt;0,1,0)),MAX(0,$PA97))</f>
        <v/>
      </c>
      <c r="PC97" s="155">
        <f>IF($MQ97=0,0,(IF(COUNTIF($MV97:$MY97,"Salto")&gt;0,1,0)+IF(COUNTIF($MV97:$MY97,"Queima")&gt;0,1,0)+IF(COUNTIF($MV97:$MY97,"Estilhaço")&gt;0,1,0))*FLOOR($PB97/2,1))</f>
        <v/>
      </c>
      <c r="PD97" s="155">
        <f>MAX(0,2-SUMPRODUCT($OK97:$OP97,$I$2:$N$2)+MIN(2,$OQ97*1+$OR97*1,SUMPRODUCT($OK97:$OP97,$I$2:$N$2)))</f>
        <v/>
      </c>
      <c r="PE97" s="155">
        <f>MAX(0,4-SUMPRODUCT($OK97:$OP97,$I$3:$N$3)+MIN(4,$OQ97*1+$OR97*2,SUMPRODUCT($OK97:$OP97,$I$3:$N$3)))</f>
        <v/>
      </c>
      <c r="PF97" s="155">
        <f>MAX(0,6-SUMPRODUCT($OK97:$OP97,$I$4:$N$4)+MIN(6,$OQ97*2+$OR97*3,SUMPRODUCT($OK97:$OP97,$I$4:$N$4)))</f>
        <v/>
      </c>
      <c r="PG97" s="155">
        <f>MAX(0,9-SUMPRODUCT($OK97:$OP97,$I$5:$N$5)+MIN(8,$OQ97*2+$OR97*4,SUMPRODUCT($OK97:$OP97,$I$5:$N$5)))</f>
        <v/>
      </c>
      <c r="PH97" s="155">
        <f>MAX(0,11-SUMPRODUCT($OK97:$OP97,$I$6:$N$6)+MIN(10,$OQ97*3+$OR97*5,SUMPRODUCT($OK97:$OP97,$I$6:$N$6)))</f>
        <v/>
      </c>
      <c r="PI97" s="155">
        <f>MAX(0,13-SUMPRODUCT($OK97:$OP97,$I$7:$N$7)+MIN(12,$OQ97*3+$OR97*6,SUMPRODUCT($OK97:$OP97,$I$7:$N$7)))</f>
        <v/>
      </c>
      <c r="PJ97" s="155">
        <f>MAX(0,16-SUMPRODUCT($OK97:$OP97,$I$8:$N$8)+MIN(14,$OQ97*4+$OR97*7,SUMPRODUCT($OK97:$OP97,$I$8:$N$8)))</f>
        <v/>
      </c>
      <c r="PK97" s="155">
        <f>IF($OE97=2,3*$PD97&amp;" de vida temp.",IF($OE97=3,"sem dano",IF($PD97=0,IF($OE97=1,"sem cura","sem dano"),IF($OE97=1,"cura ","")&amp;$PD97&amp;"d8")))</f>
        <v/>
      </c>
      <c r="PL97" s="155">
        <f>IF($OE97=2,3*$PE97&amp;" de vida temp.",IF($OE97=3,"sem dano",IF($PE97=0,IF($OE97=1,"sem cura","sem dano"),IF($OE97=1,"cura ","")&amp;$PE97&amp;"d8")))</f>
        <v/>
      </c>
      <c r="PM97" s="155">
        <f>IF($OE97=2,3*$PF97&amp;" de vida temp.",IF($OE97=3,"sem dano",IF($PF97=0,IF($OE97=1,"sem cura","sem dano"),IF($OE97=1,"cura ","")&amp;$PF97&amp;"d8")))</f>
        <v/>
      </c>
      <c r="PN97" s="155">
        <f>IF($OE97=2,3*$PG97&amp;" de vida temp.",IF($OE97=3,"sem dano",IF($PG97=0,IF($OE97=1,"sem cura","sem dano"),IF($OE97=1,"cura ","")&amp;$PG97&amp;"d8")))</f>
        <v/>
      </c>
      <c r="PO97" s="155">
        <f>IF($OE97=2,3*$PH97&amp;" de vida temp.",IF($OE97=3,"sem dano",IF($PH97=0,IF($OE97=1,"sem cura","sem dano"),IF($OE97=1,"cura ","")&amp;$PH97&amp;"d8")))</f>
        <v/>
      </c>
      <c r="PP97" s="155">
        <f>IF($OE97=2,3*$PI97&amp;" de vida temp.",IF($OE97=3,"sem dano",IF($PI97=0,IF($OE97=1,"sem cura","sem dano"),IF($OE97=1,"cura ","")&amp;$PI97&amp;"d8")))</f>
        <v/>
      </c>
      <c r="PQ97" s="155">
        <f>IF($OE97=2,3*$PJ97&amp;" de vida temp.",IF($OE97=3,"sem dano",IF($PJ97=0,IF($OE97=1,"sem cura","sem dano"),IF($OE97=1,"cura ","")&amp;$PJ97&amp;"d8")))</f>
        <v/>
      </c>
      <c r="PR97" s="155">
        <f>IF($NB97=0,"",TEXTJOIN(" · ",TRUE,IF($MO97&gt;$NC97,"Este lugar abre no nível "&amp;$MO97,""),IF($MQ97&gt;$ND97,"Classe "&amp;$MQ97&amp;": o nível "&amp;$NC97&amp;" libera até a "&amp;$ND97,""),IF($NV97=1,"A Forma "&amp;$MS97&amp;" pede "&amp;INDEX($W$2:$W$11,$NH97)&amp;" aberta",""),IF(AND($MQ97=0,$NH97&gt;0,IF($NH97=0,0,INDEX($AF$2:$AF$11,$NH97))=0),$MS97&amp;" não existe na Classe 0",""),IF($NW97=1,"Família Fechada: "&amp;$MV97,""),IF($NX97=1,"Família Fechada: "&amp;$MW97,""),IF($NY97=1,"Família Fechada: "&amp;$MX97,""),IF($NZ97=1,"Família Fechada: "&amp;$MY97,""),IF(AND($MQ97&gt;0,$OS97&gt;INDEX($O$2:$O$8,MAX(1,$MQ97))),$OS97&amp;" Melhorias: a Classe "&amp;$MQ97&amp;" aceita "&amp;INDEX($O$2:$O$8,MAX(1,$MQ97)),""),IF(AND($MQ97=0,$OS97&gt;1),"A básica aceita uma Melhoria",""),IF(AND($MQ97=0,COUNTIF($NM97:$NP97,"&gt;1")&gt;0),"A básica só aceita Melhoria Leve",""),IF(AND($MQ97&gt;0,$OT97&gt;2),$OT97&amp;" Restrições"&amp;IF($OD97=1,", contando a que a Forma "&amp;$MS97&amp;" já traz","")&amp;": o limite é 2",""),IF(AND($MQ97=0,COUNTIF($MZ97:$NA97,"?*")&gt;1),"A básica aceita uma Restrição Leve",""),IF(AND($MQ97=0,COUNTIF($OG97:$OH97,2)&gt;0),"A básica só aceita Restrição Leve",""),IF(AND($MQ97&gt;0,$PA97&lt;0),"Orçamento estourado: faltam "&amp;(-$PA97)&amp;IF($PA97&lt;-1," pontos"," ponto"),""),IF(IFERROR(VLOOKUP($MZ97,$BC$2:$BG$24,4,FALSE),0)+IFERROR(VLOOKUP($NA97,$BC$2:$BG$24,4,FALSE),0)&gt;1,$OI97&amp;" e "&amp;$OJ97&amp;" são as duas de frequência",""),IF(AND((COUNTIF($MV97:$MY97,"Rápido")+COUNTIF($OI97:$OJ97,"Rápido"))&gt;0,(COUNTIF($MV97:$MY97,"Atrasar")+COUNTIF($OI97:$OJ97,"Atrasar"))&gt;0),"Rápido não entra com Atrasar",""),IF(AND((COUNTIF($MV97:$MY97,"Reação")+COUNTIF($OI97:$OJ97,"Reação"))&gt;0,(COUNTIF($MV97:$MY97,"Rápido")+COUNTIF($OI97:$OJ97,"Rápido"))&gt;0),"Reação não entra com Rápido",""),IF(AND((COUNTIF($MV97:$MY97,"Reação")+COUNTIF($OI97:$OJ97,"Reação"))&gt;0,(COUNTIF($MV97:$MY97,"Armado")+COUNTIF($OI97:$OJ97,"Armado"))&gt;0),"Reação não entra com Armado",""),IF(AND((COUNTIF($MV97:$MY97,"Reação")+COUNTIF($OI97:$OJ97,"Reação"))&gt;0,(COUNTIF($MV97:$MY97,"Atrasar")+COUNTIF($OI97:$OJ97,"Atrasar"))&gt;0),"Reação não entra com Atrasar",""),IF(AND((COUNTIF($MV97:$MY97,"Reação")+COUNTIF($OI97:$OJ97,"Reação"))&gt;0,(COUNTIF($MV97:$MY97,"Parado")+COUNTIF($OI97:$OJ97,"Parado"))&gt;0),"Reação não entra com Parado",""),IF(AND((COUNTIF($MV97:$MY97,"Atrasar")+COUNTIF($OI97:$OJ97,"Atrasar"))&gt;0,(COUNTIF($MV97:$MY97,"Parado")+COUNTIF($OI97:$OJ97,"Parado"))&gt;0),"Atrasar não entra com Parado",""),IF(AND((COUNTIF($MV97:$MY97,"Armado")+COUNTIF($OI97:$OJ97,"Armado"))&gt;0,(COUNTIF($MV97:$MY97,"Carregar")+COUNTIF($OI97:$OJ97,"Carregar"))&gt;0),"Armado não entra com Carregar",""),IF(AND(COUNTIF($OI97:$OJ97,"Corpo a Corpo")&gt;0,$OD97=0,OR($MS97="Cone",$MS97="Linha")),"Corpo a Corpo não entra em "&amp;$MS97,""),IF(AND(COUNTIF($OI97:$OJ97,"Corpo a Corpo")&gt;0,$OD97=1),"A Forma "&amp;$MS97&amp;" já traz o Corpo a Corpo",""),IF(AND(COUNTIF($OI97:$OJ97,"Tudo ou Nada")&gt;0,$OF97=0),"Tudo ou Nada só entra em habilidade de Teste de Resistência",""),IF(AND(COUNTIF($MV97:$MY97,"Inescapável")&gt;0,OR($OS97&gt;1,$OT97&gt;0)),"Inescapável não aceita outra peça",""),IF(AND($MQ97&gt;0,$PB97*IF(COUNTIF($MV97:$MY97,"Remate")&gt;0,1.25,1)+$PC97&gt;4*$MQ97),($PB97*IF(COUNTIF($MV97:$MY97,"Remate")&gt;0,1.25,1)+$PC97)&amp;" dados somando repetições"&amp;IF(COUNTIF($MV97:$MY97,"Remate")&gt;0," e o Remate","")&amp;": o teto da Classe "&amp;$MQ97&amp;" é "&amp;4*$MQ97,"")))</f>
        <v/>
      </c>
      <c r="PS97" s="155">
        <f>IF($PR97="",0,(LEN($PR97)-LEN(SUBSTITUTE($PR97," · ","")))/3+1)</f>
        <v/>
      </c>
      <c r="PT97" s="155">
        <f>IF($NB97=0,"",TEXTJOIN(" · ",TRUE,IF($OV97&gt;2*$MQ97,"A devolução parou no teto de "&amp;2*$MQ97,""),IF($OY97&gt;0,"Devolução perdida: "&amp;$OY97&amp;IF($OY97&gt;1," pontos"," ponto")&amp;" sem peça para pagar",""),IF(AND($OA97&gt;0,AND($MQ97&gt;0,$OE97=0),$PB97=0),"Controle sem dano: uma rodada a mais e CD +2",""),IF(AND($OA97&gt;0,AND($MQ97&gt;0,$OE97=0),$PB97&gt;0,$PB97&lt;=$MQ97),"Controle com saldo até a Classe: uma rodada a mais",""),IF(AND($MQ97&gt;0,$OC97&lt;&gt;""),"Efeito de "&amp;$OC97&amp;" pela Classe "&amp;MAX(1,$MQ97-1),"")))</f>
        <v/>
      </c>
      <c r="PU97" s="155">
        <f>IF($PT97="",0,(LEN($PT97)-LEN(SUBSTITUTE($PT97," · ","")))/3+1)</f>
        <v/>
      </c>
      <c r="PV97" s="155">
        <f>IF($NB97=0,IF($OS97+COUNTIF($MZ97:$NA97,"?*")&gt;0,"Dê um nome",""),IF($PS97&gt;0,"⚠ "&amp;$PS97&amp;IF($PS97&gt;1," erros"," erro"),IF($PU97&gt;0,"! "&amp;$PU97&amp;IF($PU97&gt;1," avisos"," aviso"),"Na regra")))</f>
        <v/>
      </c>
      <c r="PW97" s="155">
        <f>IF($NB97=0,"",IF($PS97+$PU97=0,"Dentro das regras que a ficha confere",$PR97&amp;IF(AND($PS97&gt;0,$PU97&gt;0)," · ","")&amp;$PT97))</f>
        <v/>
      </c>
      <c r="PX97" s="155">
        <f>IF($MO97&gt;$NC97,$MP97&amp;" · ABRE NO NÍVEL "&amp;$MO97,$MP97)</f>
        <v/>
      </c>
      <c r="PY97" s="155">
        <f>IF($NB97=0,"",IF($MQ97=0,"Sem PE",3*$MQ97&amp;" PE"))</f>
        <v/>
      </c>
      <c r="PZ97" s="155">
        <f>IF($NB97=0,"",IF($MQ97=0,"A atuação básica dela",IF(COUNTIF($OI97:$OJ97,"Atrasar")&gt;0,"Sua Ação Completa",IF(COUNTIF($MV97:$MY97,"Rápido")&gt;0,"Sua Bônus",IF(COUNTIF($MV97:$MY97,"Reação")&gt;0,"Sua Reação","Sua Padrão")))&amp;" + a básica dela"&amp;IF(COUNTIF($MV97:$MY97,"Reação")&gt;0," e a coletiva","")&amp;IF(COUNTIF($OI97:$OJ97,"Carregar")&gt;0," · em dois turnos","")))</f>
        <v/>
      </c>
      <c r="QA97" s="155">
        <f>IF($MU97&lt;&gt;"",$MU97,IF($NH97=0,"",INDEX($AA$2:$AA$11,$NH97)))</f>
        <v/>
      </c>
      <c r="QB97" s="155">
        <f>IF(OR($NB97=0,$NH97=0),"",IF(COUNTIF($MV97:$MY97,"Inescapável")&gt;0,"Automático",IF($QA97="Ataque",IF($NF97="","Ataque","Ataque "&amp;IF(($NF97+2*IF(COUNTIF($MV97:$MY97,"Precisão")&gt;0,1,0))&gt;=0,"+","−")&amp;ABS(($NF97+2*IF(COUNTIF($MV97:$MY97,"Precisão")&gt;0,1,0))))&amp;IF($OB97&gt;0," · TR"&amp;IF($NG97="",""," CD "&amp;$NG97),""),IF(LEFT($QA97,2)="TR",$QA97&amp;IF($NG97="",""," · CD "&amp;$NG97)&amp;IF(COUNTIF($MV97:$MY97,"Certeiro")&gt;0," · metade",""),"Sem rolagem"))))</f>
        <v/>
      </c>
      <c r="QC97" s="155">
        <f>IF(OR($NB97=0,$NH97=0),"",IF($MQ97=0,IF(OR($OE97&gt;=1,$PB97=0),"Sem dano",$PB97&amp;"d6"&amp;IF($MT97="",""," "&amp;$MT97)),IF(OR($OE97&gt;=1,$PB97=0),UPPER(LEFT(INDEX($PK97:$PQ97,1,MAX(1,$MQ97)),1))&amp;MID(INDEX($PK97:$PQ97,1,MAX(1,$MQ97)),2,99),UPPER(LEFT(INDEX($PK97:$PQ97,1,MAX(1,$MQ97)),1))&amp;MID(INDEX($PK97:$PQ97,1,MAX(1,$MQ97)),2,99)&amp;IF($MT97="",""," "&amp;$MT97)&amp;IF($PC97&gt;0," · +"&amp;$PC97&amp;"d8",""))))</f>
        <v/>
      </c>
      <c r="QD97" s="155">
        <f>COUNTIF($MV97:$MY97,"Longe")+3*COUNTIF($MV97:$MY97,"Muito Longe")</f>
        <v/>
      </c>
      <c r="QE97" s="155">
        <f>COUNTIF($MV97:$MY97,"Maior")+3*COUNTIF($MV97:$MY97,"Muito Maior")</f>
        <v/>
      </c>
      <c r="QF97" s="155">
        <f>IF($NH97=0,0,CHOOSE(1+INDEX($AC$2:$AC$11,$NH97),0,$QD97,$QE97,$QD97+$QE97))</f>
        <v/>
      </c>
      <c r="QG97" s="155">
        <f>IF($NH97=0,0,CHOOSE(1+INDEX($AD$2:$AD$11,$NH97),0,$QD97,$QE97,$QD97+$QE97))</f>
        <v/>
      </c>
      <c r="QH97" s="155">
        <f>IF(OR($NB97=0,$NH97=0),"",INDEX($AI$2:$AN$41,($NH97-1)*4+IF($MQ97=0,1,IF($MQ97&lt;=5,2,IF($MQ97=6,3,4))),1+MIN(5,$QF97))&amp;INDEX($AO$2:$AT$41,($NH97-1)*4+IF($MQ97=0,1,IF($MQ97&lt;=5,2,IF($MQ97=6,3,4))),1+MIN(5,$QG97))&amp;IF(INDEX($AE$2:$AE$11,$NH97)=1,IF(COUNTIF($MV97:$MY97,"Mais Um")&gt;0," · +"&amp;COUNTIF($MV97:$MY97,"Mais Um")&amp;IF(COUNTIF($MV97:$MY97,"Mais Um")&gt;1," alvos"," alvo"),"")&amp;IF(COUNTIF($MV97:$MY97,"Rajada")&gt;0,IF($MQ97=0," · 1 tiro"," · "&amp;(MAX(1,$MQ97-1)+1)&amp;" tiros"),""),""))</f>
        <v/>
      </c>
      <c r="QI97" s="155">
        <f>IF($NB97=0,"",IF($MQ97=0,$NE97&amp;"d6"&amp;IF($OS97&gt;0," − 1 = "&amp;$PB97&amp;"d6"," da básica do nível "&amp;$NC97),$OZ97&amp;" − "&amp;$OU97&amp;" + "&amp;$OX97&amp;" = "&amp;$PA97&amp;" · teto "&amp;4*$MQ97&amp;"d8"&amp;IF($OD97=1," · a Forma devolve "&amp;$MQ97,"")&amp;IF($OY97&gt;0," · perde "&amp;$OY97,"")))</f>
        <v/>
      </c>
      <c r="QJ97" s="155">
        <f>IF($NB97=0,"",IF($MQ97=0,"A básica não amplia: os dados dela sobem com o nível",IF($MQ97&gt;=$ND97,"Já está na maior Classe que o nível liberou",TEXTJOIN(" · ",TRUE,IF(AND(2&gt;$MQ97,2&lt;=$ND97),"2 → "&amp;$PL97&amp;", 6 PE",""),IF(AND(3&gt;$MQ97,3&lt;=$ND97),"3 → "&amp;$PM97&amp;", 9 PE",""),IF(AND(4&gt;$MQ97,4&lt;=$ND97),"4 → "&amp;$PN97&amp;", 12 PE",""),IF(AND(5&gt;$MQ97,5&lt;=$ND97),"5 → "&amp;$PO97&amp;", 15 PE",""),IF(AND(6&gt;$MQ97,6&lt;=$ND97),"6 → "&amp;$PP97&amp;", 18 PE",""),IF(AND(7&gt;$MQ97,7&lt;=$ND97),"7 → "&amp;$PQ97&amp;", 21 PE","")))))</f>
        <v/>
      </c>
      <c r="QK97" s="155">
        <f>IF(OR($NB97=0,$NM97=0),"",IF($MQ97=0,"−1 dado","−"&amp;INDEX($I$2:$N$8,MAX(1,$MQ97),MAX(1,$NR97))&amp;" · "&amp;CHOOSE(MAX(1,$NR97),"Leve","Média","Pesada","Leve · Livre","Média · Livre","Pesada · Livre")))</f>
        <v/>
      </c>
      <c r="QL97" s="155">
        <f>IF(OR($NB97=0,$NN97=0),"",IF($MQ97=0,"−1 dado","−"&amp;INDEX($I$2:$N$8,MAX(1,$MQ97),MAX(1,$NS97))&amp;" · "&amp;CHOOSE(MAX(1,$NS97),"Leve","Média","Pesada","Leve · Livre","Média · Livre","Pesada · Livre")))</f>
        <v/>
      </c>
      <c r="QM97" s="155">
        <f>IF(OR($NB97=0,$NO97=0),"",IF($MQ97=0,"−1 dado","−"&amp;INDEX($I$2:$N$8,MAX(1,$MQ97),MAX(1,$NT97))&amp;" · "&amp;CHOOSE(MAX(1,$NT97),"Leve","Média","Pesada","Leve · Livre","Média · Livre","Pesada · Livre")))</f>
        <v/>
      </c>
      <c r="QN97" s="155">
        <f>IF(OR($NB97=0,$NP97=0),"",IF($MQ97=0,"−1 dado","−"&amp;INDEX($I$2:$N$8,MAX(1,$MQ97),MAX(1,$NU97))&amp;" · "&amp;CHOOSE(MAX(1,$NU97),"Leve","Média","Pesada","Leve · Livre","Média · Livre","Pesada · Livre")))</f>
        <v/>
      </c>
      <c r="QO97" s="155">
        <f>IF(OR($NB97=0,$MZ97=""),"",IF($MQ97=0,"não devolve","+"&amp;IF($OG97=1,CEILING($MQ97/2,1),$MQ97)))</f>
        <v/>
      </c>
      <c r="QP97" s="155">
        <f>IF(OR($NB97=0,$NA97=""),"",IF($MQ97=0,"não devolve","+"&amp;IF($OH97=1,CEILING($MQ97/2,1),$MQ97)))</f>
        <v/>
      </c>
    </row>
    <row r="98">
      <c r="ML98" s="153" t="inlineStr">
        <is>
          <t>Ficha 8 · Especial 4</t>
        </is>
      </c>
      <c r="MM98" s="155" t="n">
        <v>8</v>
      </c>
      <c r="MN98" s="155" t="n">
        <v>1</v>
      </c>
      <c r="MO98" s="155" t="n">
        <v>12</v>
      </c>
      <c r="MP98" s="153" t="inlineStr">
        <is>
          <t>ESPECIAL 4</t>
        </is>
      </c>
      <c r="MQ98" s="155">
        <f>MAX(1,MIN(7,N('INVOCAÇÕES'!$AN$290)))</f>
        <v/>
      </c>
      <c r="MR98" s="155">
        <f>'INVOCAÇÕES'!$AO$290&amp;""</f>
        <v/>
      </c>
      <c r="MS98" s="155">
        <f>'INVOCAÇÕES'!$AN$295&amp;""</f>
        <v/>
      </c>
      <c r="MT98" s="155">
        <f>'INVOCAÇÕES'!$AN$296&amp;""</f>
        <v/>
      </c>
      <c r="MU98" s="155">
        <f>'INVOCAÇÕES'!$AP$296&amp;""</f>
        <v/>
      </c>
      <c r="MV98" s="155">
        <f>'INVOCAÇÕES'!$AO$299&amp;""</f>
        <v/>
      </c>
      <c r="MW98" s="155">
        <f>'INVOCAÇÕES'!$AO$300&amp;""</f>
        <v/>
      </c>
      <c r="MX98" s="155">
        <f>'INVOCAÇÕES'!$AO$301&amp;""</f>
        <v/>
      </c>
      <c r="MY98" s="155">
        <f>'INVOCAÇÕES'!$AO$302&amp;""</f>
        <v/>
      </c>
      <c r="MZ98" s="155">
        <f>'INVOCAÇÕES'!$AO$303&amp;""</f>
        <v/>
      </c>
      <c r="NA98" s="155">
        <f>'INVOCAÇÕES'!$AO$304&amp;""</f>
        <v/>
      </c>
      <c r="NB98" s="155">
        <f>IF($MR98&lt;&gt;"",1,0)</f>
        <v/>
      </c>
      <c r="NC98" s="155">
        <f>INDEX($FM$2:$FM$13,$MM98)</f>
        <v/>
      </c>
      <c r="ND98" s="155">
        <f>INDEX($FN$2:$FN$13,$MM98)</f>
        <v/>
      </c>
      <c r="NE98" s="155">
        <f>INDEX($FO$2:$FO$13,$MM98)</f>
        <v/>
      </c>
      <c r="NF98" s="155">
        <f>INDEX($FZ$2:$FZ$13,$MM98)</f>
        <v/>
      </c>
      <c r="NG98" s="155">
        <f>INDEX($GA$2:$GA$13,$MM98)</f>
        <v/>
      </c>
      <c r="NH98" s="155">
        <f>IFERROR(MATCH($MS98,$V$2:$V$11,0),0)</f>
        <v/>
      </c>
      <c r="NI98" s="155">
        <f>IFERROR(VLOOKUP($MV98,$AV$2:$BA$84,2,FALSE),"")</f>
        <v/>
      </c>
      <c r="NJ98" s="155">
        <f>IFERROR(VLOOKUP($MW98,$AV$2:$BA$84,2,FALSE),"")</f>
        <v/>
      </c>
      <c r="NK98" s="155">
        <f>IFERROR(VLOOKUP($MX98,$AV$2:$BA$84,2,FALSE),"")</f>
        <v/>
      </c>
      <c r="NL98" s="155">
        <f>IFERROR(VLOOKUP($MY98,$AV$2:$BA$84,2,FALSE),"")</f>
        <v/>
      </c>
      <c r="NM98" s="155">
        <f>IFERROR(VLOOKUP($MV98,$AV$2:$BA$84,3,FALSE),0)</f>
        <v/>
      </c>
      <c r="NN98" s="155">
        <f>IFERROR(VLOOKUP($MW98,$AV$2:$BA$84,3,FALSE),0)</f>
        <v/>
      </c>
      <c r="NO98" s="155">
        <f>IFERROR(VLOOKUP($MX98,$AV$2:$BA$84,3,FALSE),0)</f>
        <v/>
      </c>
      <c r="NP98" s="155">
        <f>IFERROR(VLOOKUP($MY98,$AV$2:$BA$84,3,FALSE),0)</f>
        <v/>
      </c>
      <c r="NQ98" s="155">
        <f>IF($MQ98=0,0,IF($NH98=0,0,INDEX($X$2:$X$11,$NH98)))</f>
        <v/>
      </c>
      <c r="NR98" s="155">
        <f>IF(OR($NM98=0,$MQ98=0),0,$NM98+3*IF(AND($NI98&lt;&gt;"",OR($NI98=INDEX($EJ$2:$EJ$13,$MM98),$NI98=INDEX($EK$2:$EK$13,$MM98))),1,0))</f>
        <v/>
      </c>
      <c r="NS98" s="155">
        <f>IF(OR($NN98=0,$MQ98=0),0,$NN98+3*IF(AND($NJ98&lt;&gt;"",OR($NJ98=INDEX($EJ$2:$EJ$13,$MM98),$NJ98=INDEX($EK$2:$EK$13,$MM98))),1,0))</f>
        <v/>
      </c>
      <c r="NT98" s="155">
        <f>IF(OR($NO98=0,$MQ98=0),0,$NO98+3*IF(AND($NK98&lt;&gt;"",OR($NK98=INDEX($EJ$2:$EJ$13,$MM98),$NK98=INDEX($EK$2:$EK$13,$MM98))),1,0))</f>
        <v/>
      </c>
      <c r="NU98" s="155">
        <f>IF(OR($NP98=0,$MQ98=0),0,$NP98+3*IF(AND($NL98&lt;&gt;"",OR($NL98=INDEX($EJ$2:$EJ$13,$MM98),$NL98=INDEX($EK$2:$EK$13,$MM98))),1,0))</f>
        <v/>
      </c>
      <c r="NV98" s="155">
        <f>IF($NH98=0,0,IF(INDEX($W$2:$W$11,$NH98)="",0,IF(COUNTIF(INDEX($EJ$2:$EN$13,$MM98,0),INDEX($W$2:$W$11,$NH98))=0,1,0)))</f>
        <v/>
      </c>
      <c r="NW98" s="155">
        <f>IF(OR($NM98=0,$NI98=""),0,IF(COUNTIF(INDEX($EJ$2:$EN$13,$MM98,0),$NI98)=0,1,0))</f>
        <v/>
      </c>
      <c r="NX98" s="155">
        <f>IF(OR($NN98=0,$NJ98=""),0,IF(COUNTIF(INDEX($EJ$2:$EN$13,$MM98,0),$NJ98)=0,1,0))</f>
        <v/>
      </c>
      <c r="NY98" s="155">
        <f>IF(OR($NO98=0,$NK98=""),0,IF(COUNTIF(INDEX($EJ$2:$EN$13,$MM98,0),$NK98)=0,1,0))</f>
        <v/>
      </c>
      <c r="NZ98" s="155">
        <f>IF(OR($NP98=0,$NL98=""),0,IF(COUNTIF(INDEX($EJ$2:$EN$13,$MM98,0),$NL98)=0,1,0))</f>
        <v/>
      </c>
      <c r="OA98" s="155">
        <f>IFERROR(VLOOKUP($MV98,$AV$2:$BA$84,4,FALSE),0)+IFERROR(VLOOKUP($MW98,$AV$2:$BA$84,4,FALSE),0)+IFERROR(VLOOKUP($MX98,$AV$2:$BA$84,4,FALSE),0)+IFERROR(VLOOKUP($MY98,$AV$2:$BA$84,4,FALSE),0)</f>
        <v/>
      </c>
      <c r="OB98" s="155">
        <f>IFERROR(VLOOKUP($MV98,$AV$2:$BA$84,6,FALSE),0)+IFERROR(VLOOKUP($MW98,$AV$2:$BA$84,6,FALSE),0)+IFERROR(VLOOKUP($MX98,$AV$2:$BA$84,6,FALSE),0)+IFERROR(VLOOKUP($MY98,$AV$2:$BA$84,6,FALSE),0)</f>
        <v/>
      </c>
      <c r="OC98" s="155">
        <f>TEXTJOIN(", ",TRUE,IF(IFERROR(VLOOKUP($MV98,$AV$2:$BA$84,5,FALSE),0)=1,$MV98,""),IF(IFERROR(VLOOKUP($MW98,$AV$2:$BA$84,5,FALSE),0)=1,$MW98,""),IF(IFERROR(VLOOKUP($MX98,$AV$2:$BA$84,5,FALSE),0)=1,$MX98,""),IF(IFERROR(VLOOKUP($MY98,$AV$2:$BA$84,5,FALSE),0)=1,$MY98,""))</f>
        <v/>
      </c>
      <c r="OD98" s="155">
        <f>IF($NH98=0,0,INDEX($Y$2:$Y$11,$NH98))</f>
        <v/>
      </c>
      <c r="OE98" s="155">
        <f>IF($NH98=0,0,INDEX($Z$2:$Z$11,$NH98))</f>
        <v/>
      </c>
      <c r="OF98" s="155">
        <f>IF($NH98=0,0,INDEX($AB$2:$AB$11,$NH98))</f>
        <v/>
      </c>
      <c r="OG98" s="155">
        <f>IFERROR(VLOOKUP($MZ98,$BC$2:$BG$24,3,FALSE),0)</f>
        <v/>
      </c>
      <c r="OH98" s="155">
        <f>IFERROR(VLOOKUP($NA98,$BC$2:$BG$24,3,FALSE),0)</f>
        <v/>
      </c>
      <c r="OI98" s="155">
        <f>IFERROR(VLOOKUP($MZ98,$BC$2:$BG$24,2,FALSE),"")</f>
        <v/>
      </c>
      <c r="OJ98" s="155">
        <f>IFERROR(VLOOKUP($NA98,$BC$2:$BG$24,2,FALSE),"")</f>
        <v/>
      </c>
      <c r="OK98" s="155">
        <f>COUNTIF($NQ98:$NU98,1)</f>
        <v/>
      </c>
      <c r="OL98" s="155">
        <f>COUNTIF($NQ98:$NU98,2)</f>
        <v/>
      </c>
      <c r="OM98" s="155">
        <f>COUNTIF($NQ98:$NU98,3)</f>
        <v/>
      </c>
      <c r="ON98" s="155">
        <f>COUNTIF($NQ98:$NU98,4)</f>
        <v/>
      </c>
      <c r="OO98" s="155">
        <f>COUNTIF($NQ98:$NU98,5)</f>
        <v/>
      </c>
      <c r="OP98" s="155">
        <f>COUNTIF($NQ98:$NU98,6)</f>
        <v/>
      </c>
      <c r="OQ98" s="155">
        <f>COUNTIF($OG98:$OH98,1)</f>
        <v/>
      </c>
      <c r="OR98" s="155">
        <f>COUNTIF($OG98:$OH98,2)+$OD98</f>
        <v/>
      </c>
      <c r="OS98" s="155">
        <f>COUNTIF($MV98:$MY98,"?*")</f>
        <v/>
      </c>
      <c r="OT98" s="155">
        <f>COUNTIF($MZ98:$NA98,"?*")+$OD98</f>
        <v/>
      </c>
      <c r="OU98" s="155">
        <f>IF($MQ98=0,0,SUMPRODUCT($OK98:$OP98,INDEX($I$2:$N$8,MAX(1,$MQ98),0)))</f>
        <v/>
      </c>
      <c r="OV98" s="155">
        <f>IF($MQ98=0,0,$OQ98*CEILING($MQ98/2,1)+$OR98*$MQ98)</f>
        <v/>
      </c>
      <c r="OW98" s="155">
        <f>MIN(2*$MQ98,$OV98)</f>
        <v/>
      </c>
      <c r="OX98" s="155">
        <f>MIN($OW98,$OU98)</f>
        <v/>
      </c>
      <c r="OY98" s="155">
        <f>$OW98-$OX98</f>
        <v/>
      </c>
      <c r="OZ98" s="155">
        <f>IF($MQ98=0,0,INDEX($P$2:$P$8,MAX(1,$MQ98)))</f>
        <v/>
      </c>
      <c r="PA98" s="155">
        <f>$OZ98-$OU98+$OX98</f>
        <v/>
      </c>
      <c r="PB98" s="155">
        <f>IF($MQ98=0,MAX(0,$NE98-IF($OS98&gt;0,1,0)),MAX(0,$PA98))</f>
        <v/>
      </c>
      <c r="PC98" s="155">
        <f>IF($MQ98=0,0,(IF(COUNTIF($MV98:$MY98,"Salto")&gt;0,1,0)+IF(COUNTIF($MV98:$MY98,"Queima")&gt;0,1,0)+IF(COUNTIF($MV98:$MY98,"Estilhaço")&gt;0,1,0))*FLOOR($PB98/2,1))</f>
        <v/>
      </c>
      <c r="PD98" s="155">
        <f>MAX(0,2-SUMPRODUCT($OK98:$OP98,$I$2:$N$2)+MIN(2,$OQ98*1+$OR98*1,SUMPRODUCT($OK98:$OP98,$I$2:$N$2)))</f>
        <v/>
      </c>
      <c r="PE98" s="155">
        <f>MAX(0,4-SUMPRODUCT($OK98:$OP98,$I$3:$N$3)+MIN(4,$OQ98*1+$OR98*2,SUMPRODUCT($OK98:$OP98,$I$3:$N$3)))</f>
        <v/>
      </c>
      <c r="PF98" s="155">
        <f>MAX(0,6-SUMPRODUCT($OK98:$OP98,$I$4:$N$4)+MIN(6,$OQ98*2+$OR98*3,SUMPRODUCT($OK98:$OP98,$I$4:$N$4)))</f>
        <v/>
      </c>
      <c r="PG98" s="155">
        <f>MAX(0,9-SUMPRODUCT($OK98:$OP98,$I$5:$N$5)+MIN(8,$OQ98*2+$OR98*4,SUMPRODUCT($OK98:$OP98,$I$5:$N$5)))</f>
        <v/>
      </c>
      <c r="PH98" s="155">
        <f>MAX(0,11-SUMPRODUCT($OK98:$OP98,$I$6:$N$6)+MIN(10,$OQ98*3+$OR98*5,SUMPRODUCT($OK98:$OP98,$I$6:$N$6)))</f>
        <v/>
      </c>
      <c r="PI98" s="155">
        <f>MAX(0,13-SUMPRODUCT($OK98:$OP98,$I$7:$N$7)+MIN(12,$OQ98*3+$OR98*6,SUMPRODUCT($OK98:$OP98,$I$7:$N$7)))</f>
        <v/>
      </c>
      <c r="PJ98" s="155">
        <f>MAX(0,16-SUMPRODUCT($OK98:$OP98,$I$8:$N$8)+MIN(14,$OQ98*4+$OR98*7,SUMPRODUCT($OK98:$OP98,$I$8:$N$8)))</f>
        <v/>
      </c>
      <c r="PK98" s="155">
        <f>IF($OE98=2,3*$PD98&amp;" de vida temp.",IF($OE98=3,"sem dano",IF($PD98=0,IF($OE98=1,"sem cura","sem dano"),IF($OE98=1,"cura ","")&amp;$PD98&amp;"d8")))</f>
        <v/>
      </c>
      <c r="PL98" s="155">
        <f>IF($OE98=2,3*$PE98&amp;" de vida temp.",IF($OE98=3,"sem dano",IF($PE98=0,IF($OE98=1,"sem cura","sem dano"),IF($OE98=1,"cura ","")&amp;$PE98&amp;"d8")))</f>
        <v/>
      </c>
      <c r="PM98" s="155">
        <f>IF($OE98=2,3*$PF98&amp;" de vida temp.",IF($OE98=3,"sem dano",IF($PF98=0,IF($OE98=1,"sem cura","sem dano"),IF($OE98=1,"cura ","")&amp;$PF98&amp;"d8")))</f>
        <v/>
      </c>
      <c r="PN98" s="155">
        <f>IF($OE98=2,3*$PG98&amp;" de vida temp.",IF($OE98=3,"sem dano",IF($PG98=0,IF($OE98=1,"sem cura","sem dano"),IF($OE98=1,"cura ","")&amp;$PG98&amp;"d8")))</f>
        <v/>
      </c>
      <c r="PO98" s="155">
        <f>IF($OE98=2,3*$PH98&amp;" de vida temp.",IF($OE98=3,"sem dano",IF($PH98=0,IF($OE98=1,"sem cura","sem dano"),IF($OE98=1,"cura ","")&amp;$PH98&amp;"d8")))</f>
        <v/>
      </c>
      <c r="PP98" s="155">
        <f>IF($OE98=2,3*$PI98&amp;" de vida temp.",IF($OE98=3,"sem dano",IF($PI98=0,IF($OE98=1,"sem cura","sem dano"),IF($OE98=1,"cura ","")&amp;$PI98&amp;"d8")))</f>
        <v/>
      </c>
      <c r="PQ98" s="155">
        <f>IF($OE98=2,3*$PJ98&amp;" de vida temp.",IF($OE98=3,"sem dano",IF($PJ98=0,IF($OE98=1,"sem cura","sem dano"),IF($OE98=1,"cura ","")&amp;$PJ98&amp;"d8")))</f>
        <v/>
      </c>
      <c r="PR98" s="155">
        <f>IF($NB98=0,"",TEXTJOIN(" · ",TRUE,IF($MO98&gt;$NC98,"Este lugar abre no nível "&amp;$MO98,""),IF($MQ98&gt;$ND98,"Classe "&amp;$MQ98&amp;": o nível "&amp;$NC98&amp;" libera até a "&amp;$ND98,""),IF($NV98=1,"A Forma "&amp;$MS98&amp;" pede "&amp;INDEX($W$2:$W$11,$NH98)&amp;" aberta",""),IF(AND($MQ98=0,$NH98&gt;0,IF($NH98=0,0,INDEX($AF$2:$AF$11,$NH98))=0),$MS98&amp;" não existe na Classe 0",""),IF($NW98=1,"Família Fechada: "&amp;$MV98,""),IF($NX98=1,"Família Fechada: "&amp;$MW98,""),IF($NY98=1,"Família Fechada: "&amp;$MX98,""),IF($NZ98=1,"Família Fechada: "&amp;$MY98,""),IF(AND($MQ98&gt;0,$OS98&gt;INDEX($O$2:$O$8,MAX(1,$MQ98))),$OS98&amp;" Melhorias: a Classe "&amp;$MQ98&amp;" aceita "&amp;INDEX($O$2:$O$8,MAX(1,$MQ98)),""),IF(AND($MQ98=0,$OS98&gt;1),"A básica aceita uma Melhoria",""),IF(AND($MQ98=0,COUNTIF($NM98:$NP98,"&gt;1")&gt;0),"A básica só aceita Melhoria Leve",""),IF(AND($MQ98&gt;0,$OT98&gt;2),$OT98&amp;" Restrições"&amp;IF($OD98=1,", contando a que a Forma "&amp;$MS98&amp;" já traz","")&amp;": o limite é 2",""),IF(AND($MQ98=0,COUNTIF($MZ98:$NA98,"?*")&gt;1),"A básica aceita uma Restrição Leve",""),IF(AND($MQ98=0,COUNTIF($OG98:$OH98,2)&gt;0),"A básica só aceita Restrição Leve",""),IF(AND($MQ98&gt;0,$PA98&lt;0),"Orçamento estourado: faltam "&amp;(-$PA98)&amp;IF($PA98&lt;-1," pontos"," ponto"),""),IF(IFERROR(VLOOKUP($MZ98,$BC$2:$BG$24,4,FALSE),0)+IFERROR(VLOOKUP($NA98,$BC$2:$BG$24,4,FALSE),0)&gt;1,$OI98&amp;" e "&amp;$OJ98&amp;" são as duas de frequência",""),IF(AND((COUNTIF($MV98:$MY98,"Rápido")+COUNTIF($OI98:$OJ98,"Rápido"))&gt;0,(COUNTIF($MV98:$MY98,"Atrasar")+COUNTIF($OI98:$OJ98,"Atrasar"))&gt;0),"Rápido não entra com Atrasar",""),IF(AND((COUNTIF($MV98:$MY98,"Reação")+COUNTIF($OI98:$OJ98,"Reação"))&gt;0,(COUNTIF($MV98:$MY98,"Rápido")+COUNTIF($OI98:$OJ98,"Rápido"))&gt;0),"Reação não entra com Rápido",""),IF(AND((COUNTIF($MV98:$MY98,"Reação")+COUNTIF($OI98:$OJ98,"Reação"))&gt;0,(COUNTIF($MV98:$MY98,"Armado")+COUNTIF($OI98:$OJ98,"Armado"))&gt;0),"Reação não entra com Armado",""),IF(AND((COUNTIF($MV98:$MY98,"Reação")+COUNTIF($OI98:$OJ98,"Reação"))&gt;0,(COUNTIF($MV98:$MY98,"Atrasar")+COUNTIF($OI98:$OJ98,"Atrasar"))&gt;0),"Reação não entra com Atrasar",""),IF(AND((COUNTIF($MV98:$MY98,"Reação")+COUNTIF($OI98:$OJ98,"Reação"))&gt;0,(COUNTIF($MV98:$MY98,"Parado")+COUNTIF($OI98:$OJ98,"Parado"))&gt;0),"Reação não entra com Parado",""),IF(AND((COUNTIF($MV98:$MY98,"Atrasar")+COUNTIF($OI98:$OJ98,"Atrasar"))&gt;0,(COUNTIF($MV98:$MY98,"Parado")+COUNTIF($OI98:$OJ98,"Parado"))&gt;0),"Atrasar não entra com Parado",""),IF(AND((COUNTIF($MV98:$MY98,"Armado")+COUNTIF($OI98:$OJ98,"Armado"))&gt;0,(COUNTIF($MV98:$MY98,"Carregar")+COUNTIF($OI98:$OJ98,"Carregar"))&gt;0),"Armado não entra com Carregar",""),IF(AND(COUNTIF($OI98:$OJ98,"Corpo a Corpo")&gt;0,$OD98=0,OR($MS98="Cone",$MS98="Linha")),"Corpo a Corpo não entra em "&amp;$MS98,""),IF(AND(COUNTIF($OI98:$OJ98,"Corpo a Corpo")&gt;0,$OD98=1),"A Forma "&amp;$MS98&amp;" já traz o Corpo a Corpo",""),IF(AND(COUNTIF($OI98:$OJ98,"Tudo ou Nada")&gt;0,$OF98=0),"Tudo ou Nada só entra em habilidade de Teste de Resistência",""),IF(AND(COUNTIF($MV98:$MY98,"Inescapável")&gt;0,OR($OS98&gt;1,$OT98&gt;0)),"Inescapável não aceita outra peça",""),IF(AND($MQ98&gt;0,$PB98*IF(COUNTIF($MV98:$MY98,"Remate")&gt;0,1.25,1)+$PC98&gt;4*$MQ98),($PB98*IF(COUNTIF($MV98:$MY98,"Remate")&gt;0,1.25,1)+$PC98)&amp;" dados somando repetições"&amp;IF(COUNTIF($MV98:$MY98,"Remate")&gt;0," e o Remate","")&amp;": o teto da Classe "&amp;$MQ98&amp;" é "&amp;4*$MQ98,"")))</f>
        <v/>
      </c>
      <c r="PS98" s="155">
        <f>IF($PR98="",0,(LEN($PR98)-LEN(SUBSTITUTE($PR98," · ","")))/3+1)</f>
        <v/>
      </c>
      <c r="PT98" s="155">
        <f>IF($NB98=0,"",TEXTJOIN(" · ",TRUE,IF($OV98&gt;2*$MQ98,"A devolução parou no teto de "&amp;2*$MQ98,""),IF($OY98&gt;0,"Devolução perdida: "&amp;$OY98&amp;IF($OY98&gt;1," pontos"," ponto")&amp;" sem peça para pagar",""),IF(AND($OA98&gt;0,AND($MQ98&gt;0,$OE98=0),$PB98=0),"Controle sem dano: uma rodada a mais e CD +2",""),IF(AND($OA98&gt;0,AND($MQ98&gt;0,$OE98=0),$PB98&gt;0,$PB98&lt;=$MQ98),"Controle com saldo até a Classe: uma rodada a mais",""),IF(AND($MQ98&gt;0,$OC98&lt;&gt;""),"Efeito de "&amp;$OC98&amp;" pela Classe "&amp;MAX(1,$MQ98-1),"")))</f>
        <v/>
      </c>
      <c r="PU98" s="155">
        <f>IF($PT98="",0,(LEN($PT98)-LEN(SUBSTITUTE($PT98," · ","")))/3+1)</f>
        <v/>
      </c>
      <c r="PV98" s="155">
        <f>IF($NB98=0,IF($OS98+COUNTIF($MZ98:$NA98,"?*")&gt;0,"Dê um nome",""),IF($PS98&gt;0,"⚠ "&amp;$PS98&amp;IF($PS98&gt;1," erros"," erro"),IF($PU98&gt;0,"! "&amp;$PU98&amp;IF($PU98&gt;1," avisos"," aviso"),"Na regra")))</f>
        <v/>
      </c>
      <c r="PW98" s="155">
        <f>IF($NB98=0,"",IF($PS98+$PU98=0,"Dentro das regras que a ficha confere",$PR98&amp;IF(AND($PS98&gt;0,$PU98&gt;0)," · ","")&amp;$PT98))</f>
        <v/>
      </c>
      <c r="PX98" s="155">
        <f>IF($MO98&gt;$NC98,$MP98&amp;" · ABRE NO NÍVEL "&amp;$MO98,$MP98)</f>
        <v/>
      </c>
      <c r="PY98" s="155">
        <f>IF($NB98=0,"",IF($MQ98=0,"Sem PE",3*$MQ98&amp;" PE"))</f>
        <v/>
      </c>
      <c r="PZ98" s="155">
        <f>IF($NB98=0,"",IF($MQ98=0,"A atuação básica dela",IF(COUNTIF($OI98:$OJ98,"Atrasar")&gt;0,"Sua Ação Completa",IF(COUNTIF($MV98:$MY98,"Rápido")&gt;0,"Sua Bônus",IF(COUNTIF($MV98:$MY98,"Reação")&gt;0,"Sua Reação","Sua Padrão")))&amp;" + a básica dela"&amp;IF(COUNTIF($MV98:$MY98,"Reação")&gt;0," e a coletiva","")&amp;IF(COUNTIF($OI98:$OJ98,"Carregar")&gt;0," · em dois turnos","")))</f>
        <v/>
      </c>
      <c r="QA98" s="155">
        <f>IF($MU98&lt;&gt;"",$MU98,IF($NH98=0,"",INDEX($AA$2:$AA$11,$NH98)))</f>
        <v/>
      </c>
      <c r="QB98" s="155">
        <f>IF(OR($NB98=0,$NH98=0),"",IF(COUNTIF($MV98:$MY98,"Inescapável")&gt;0,"Automático",IF($QA98="Ataque",IF($NF98="","Ataque","Ataque "&amp;IF(($NF98+2*IF(COUNTIF($MV98:$MY98,"Precisão")&gt;0,1,0))&gt;=0,"+","−")&amp;ABS(($NF98+2*IF(COUNTIF($MV98:$MY98,"Precisão")&gt;0,1,0))))&amp;IF($OB98&gt;0," · TR"&amp;IF($NG98="",""," CD "&amp;$NG98),""),IF(LEFT($QA98,2)="TR",$QA98&amp;IF($NG98="",""," · CD "&amp;$NG98)&amp;IF(COUNTIF($MV98:$MY98,"Certeiro")&gt;0," · metade",""),"Sem rolagem"))))</f>
        <v/>
      </c>
      <c r="QC98" s="155">
        <f>IF(OR($NB98=0,$NH98=0),"",IF($MQ98=0,IF(OR($OE98&gt;=1,$PB98=0),"Sem dano",$PB98&amp;"d6"&amp;IF($MT98="",""," "&amp;$MT98)),IF(OR($OE98&gt;=1,$PB98=0),UPPER(LEFT(INDEX($PK98:$PQ98,1,MAX(1,$MQ98)),1))&amp;MID(INDEX($PK98:$PQ98,1,MAX(1,$MQ98)),2,99),UPPER(LEFT(INDEX($PK98:$PQ98,1,MAX(1,$MQ98)),1))&amp;MID(INDEX($PK98:$PQ98,1,MAX(1,$MQ98)),2,99)&amp;IF($MT98="",""," "&amp;$MT98)&amp;IF($PC98&gt;0," · +"&amp;$PC98&amp;"d8",""))))</f>
        <v/>
      </c>
      <c r="QD98" s="155">
        <f>COUNTIF($MV98:$MY98,"Longe")+3*COUNTIF($MV98:$MY98,"Muito Longe")</f>
        <v/>
      </c>
      <c r="QE98" s="155">
        <f>COUNTIF($MV98:$MY98,"Maior")+3*COUNTIF($MV98:$MY98,"Muito Maior")</f>
        <v/>
      </c>
      <c r="QF98" s="155">
        <f>IF($NH98=0,0,CHOOSE(1+INDEX($AC$2:$AC$11,$NH98),0,$QD98,$QE98,$QD98+$QE98))</f>
        <v/>
      </c>
      <c r="QG98" s="155">
        <f>IF($NH98=0,0,CHOOSE(1+INDEX($AD$2:$AD$11,$NH98),0,$QD98,$QE98,$QD98+$QE98))</f>
        <v/>
      </c>
      <c r="QH98" s="155">
        <f>IF(OR($NB98=0,$NH98=0),"",INDEX($AI$2:$AN$41,($NH98-1)*4+IF($MQ98=0,1,IF($MQ98&lt;=5,2,IF($MQ98=6,3,4))),1+MIN(5,$QF98))&amp;INDEX($AO$2:$AT$41,($NH98-1)*4+IF($MQ98=0,1,IF($MQ98&lt;=5,2,IF($MQ98=6,3,4))),1+MIN(5,$QG98))&amp;IF(INDEX($AE$2:$AE$11,$NH98)=1,IF(COUNTIF($MV98:$MY98,"Mais Um")&gt;0," · +"&amp;COUNTIF($MV98:$MY98,"Mais Um")&amp;IF(COUNTIF($MV98:$MY98,"Mais Um")&gt;1," alvos"," alvo"),"")&amp;IF(COUNTIF($MV98:$MY98,"Rajada")&gt;0,IF($MQ98=0," · 1 tiro"," · "&amp;(MAX(1,$MQ98-1)+1)&amp;" tiros"),""),""))</f>
        <v/>
      </c>
      <c r="QI98" s="155">
        <f>IF($NB98=0,"",IF($MQ98=0,$NE98&amp;"d6"&amp;IF($OS98&gt;0," − 1 = "&amp;$PB98&amp;"d6"," da básica do nível "&amp;$NC98),$OZ98&amp;" − "&amp;$OU98&amp;" + "&amp;$OX98&amp;" = "&amp;$PA98&amp;" · teto "&amp;4*$MQ98&amp;"d8"&amp;IF($OD98=1," · a Forma devolve "&amp;$MQ98,"")&amp;IF($OY98&gt;0," · perde "&amp;$OY98,"")))</f>
        <v/>
      </c>
      <c r="QJ98" s="155">
        <f>IF($NB98=0,"",IF($MQ98=0,"A básica não amplia: os dados dela sobem com o nível",IF($MQ98&gt;=$ND98,"Já está na maior Classe que o nível liberou",TEXTJOIN(" · ",TRUE,IF(AND(2&gt;$MQ98,2&lt;=$ND98),"2 → "&amp;$PL98&amp;", 6 PE",""),IF(AND(3&gt;$MQ98,3&lt;=$ND98),"3 → "&amp;$PM98&amp;", 9 PE",""),IF(AND(4&gt;$MQ98,4&lt;=$ND98),"4 → "&amp;$PN98&amp;", 12 PE",""),IF(AND(5&gt;$MQ98,5&lt;=$ND98),"5 → "&amp;$PO98&amp;", 15 PE",""),IF(AND(6&gt;$MQ98,6&lt;=$ND98),"6 → "&amp;$PP98&amp;", 18 PE",""),IF(AND(7&gt;$MQ98,7&lt;=$ND98),"7 → "&amp;$PQ98&amp;", 21 PE","")))))</f>
        <v/>
      </c>
      <c r="QK98" s="155">
        <f>IF(OR($NB98=0,$NM98=0),"",IF($MQ98=0,"−1 dado","−"&amp;INDEX($I$2:$N$8,MAX(1,$MQ98),MAX(1,$NR98))&amp;" · "&amp;CHOOSE(MAX(1,$NR98),"Leve","Média","Pesada","Leve · Livre","Média · Livre","Pesada · Livre")))</f>
        <v/>
      </c>
      <c r="QL98" s="155">
        <f>IF(OR($NB98=0,$NN98=0),"",IF($MQ98=0,"−1 dado","−"&amp;INDEX($I$2:$N$8,MAX(1,$MQ98),MAX(1,$NS98))&amp;" · "&amp;CHOOSE(MAX(1,$NS98),"Leve","Média","Pesada","Leve · Livre","Média · Livre","Pesada · Livre")))</f>
        <v/>
      </c>
      <c r="QM98" s="155">
        <f>IF(OR($NB98=0,$NO98=0),"",IF($MQ98=0,"−1 dado","−"&amp;INDEX($I$2:$N$8,MAX(1,$MQ98),MAX(1,$NT98))&amp;" · "&amp;CHOOSE(MAX(1,$NT98),"Leve","Média","Pesada","Leve · Livre","Média · Livre","Pesada · Livre")))</f>
        <v/>
      </c>
      <c r="QN98" s="155">
        <f>IF(OR($NB98=0,$NP98=0),"",IF($MQ98=0,"−1 dado","−"&amp;INDEX($I$2:$N$8,MAX(1,$MQ98),MAX(1,$NU98))&amp;" · "&amp;CHOOSE(MAX(1,$NU98),"Leve","Média","Pesada","Leve · Livre","Média · Livre","Pesada · Livre")))</f>
        <v/>
      </c>
      <c r="QO98" s="155">
        <f>IF(OR($NB98=0,$MZ98=""),"",IF($MQ98=0,"não devolve","+"&amp;IF($OG98=1,CEILING($MQ98/2,1),$MQ98)))</f>
        <v/>
      </c>
      <c r="QP98" s="155">
        <f>IF(OR($NB98=0,$NA98=""),"",IF($MQ98=0,"não devolve","+"&amp;IF($OH98=1,CEILING($MQ98/2,1),$MQ98)))</f>
        <v/>
      </c>
    </row>
    <row r="99">
      <c r="ML99" s="153" t="inlineStr">
        <is>
          <t>Ficha 8 · Especial 5</t>
        </is>
      </c>
      <c r="MM99" s="155" t="n">
        <v>8</v>
      </c>
      <c r="MN99" s="155" t="n">
        <v>1</v>
      </c>
      <c r="MO99" s="155" t="n">
        <v>16</v>
      </c>
      <c r="MP99" s="153" t="inlineStr">
        <is>
          <t>ESPECIAL 5</t>
        </is>
      </c>
      <c r="MQ99" s="155">
        <f>MAX(1,MIN(7,N('INVOCAÇÕES'!$AB$312)))</f>
        <v/>
      </c>
      <c r="MR99" s="155">
        <f>'INVOCAÇÕES'!$AC$312&amp;""</f>
        <v/>
      </c>
      <c r="MS99" s="155">
        <f>'INVOCAÇÕES'!$AB$317&amp;""</f>
        <v/>
      </c>
      <c r="MT99" s="155">
        <f>'INVOCAÇÕES'!$AB$318&amp;""</f>
        <v/>
      </c>
      <c r="MU99" s="155">
        <f>'INVOCAÇÕES'!$AD$318&amp;""</f>
        <v/>
      </c>
      <c r="MV99" s="155">
        <f>'INVOCAÇÕES'!$AC$321&amp;""</f>
        <v/>
      </c>
      <c r="MW99" s="155">
        <f>'INVOCAÇÕES'!$AC$322&amp;""</f>
        <v/>
      </c>
      <c r="MX99" s="155">
        <f>'INVOCAÇÕES'!$AC$323&amp;""</f>
        <v/>
      </c>
      <c r="MY99" s="155">
        <f>'INVOCAÇÕES'!$AC$324&amp;""</f>
        <v/>
      </c>
      <c r="MZ99" s="155">
        <f>'INVOCAÇÕES'!$AC$325&amp;""</f>
        <v/>
      </c>
      <c r="NA99" s="155">
        <f>'INVOCAÇÕES'!$AC$326&amp;""</f>
        <v/>
      </c>
      <c r="NB99" s="155">
        <f>IF($MR99&lt;&gt;"",1,0)</f>
        <v/>
      </c>
      <c r="NC99" s="155">
        <f>INDEX($FM$2:$FM$13,$MM99)</f>
        <v/>
      </c>
      <c r="ND99" s="155">
        <f>INDEX($FN$2:$FN$13,$MM99)</f>
        <v/>
      </c>
      <c r="NE99" s="155">
        <f>INDEX($FO$2:$FO$13,$MM99)</f>
        <v/>
      </c>
      <c r="NF99" s="155">
        <f>INDEX($FZ$2:$FZ$13,$MM99)</f>
        <v/>
      </c>
      <c r="NG99" s="155">
        <f>INDEX($GA$2:$GA$13,$MM99)</f>
        <v/>
      </c>
      <c r="NH99" s="155">
        <f>IFERROR(MATCH($MS99,$V$2:$V$11,0),0)</f>
        <v/>
      </c>
      <c r="NI99" s="155">
        <f>IFERROR(VLOOKUP($MV99,$AV$2:$BA$84,2,FALSE),"")</f>
        <v/>
      </c>
      <c r="NJ99" s="155">
        <f>IFERROR(VLOOKUP($MW99,$AV$2:$BA$84,2,FALSE),"")</f>
        <v/>
      </c>
      <c r="NK99" s="155">
        <f>IFERROR(VLOOKUP($MX99,$AV$2:$BA$84,2,FALSE),"")</f>
        <v/>
      </c>
      <c r="NL99" s="155">
        <f>IFERROR(VLOOKUP($MY99,$AV$2:$BA$84,2,FALSE),"")</f>
        <v/>
      </c>
      <c r="NM99" s="155">
        <f>IFERROR(VLOOKUP($MV99,$AV$2:$BA$84,3,FALSE),0)</f>
        <v/>
      </c>
      <c r="NN99" s="155">
        <f>IFERROR(VLOOKUP($MW99,$AV$2:$BA$84,3,FALSE),0)</f>
        <v/>
      </c>
      <c r="NO99" s="155">
        <f>IFERROR(VLOOKUP($MX99,$AV$2:$BA$84,3,FALSE),0)</f>
        <v/>
      </c>
      <c r="NP99" s="155">
        <f>IFERROR(VLOOKUP($MY99,$AV$2:$BA$84,3,FALSE),0)</f>
        <v/>
      </c>
      <c r="NQ99" s="155">
        <f>IF($MQ99=0,0,IF($NH99=0,0,INDEX($X$2:$X$11,$NH99)))</f>
        <v/>
      </c>
      <c r="NR99" s="155">
        <f>IF(OR($NM99=0,$MQ99=0),0,$NM99+3*IF(AND($NI99&lt;&gt;"",OR($NI99=INDEX($EJ$2:$EJ$13,$MM99),$NI99=INDEX($EK$2:$EK$13,$MM99))),1,0))</f>
        <v/>
      </c>
      <c r="NS99" s="155">
        <f>IF(OR($NN99=0,$MQ99=0),0,$NN99+3*IF(AND($NJ99&lt;&gt;"",OR($NJ99=INDEX($EJ$2:$EJ$13,$MM99),$NJ99=INDEX($EK$2:$EK$13,$MM99))),1,0))</f>
        <v/>
      </c>
      <c r="NT99" s="155">
        <f>IF(OR($NO99=0,$MQ99=0),0,$NO99+3*IF(AND($NK99&lt;&gt;"",OR($NK99=INDEX($EJ$2:$EJ$13,$MM99),$NK99=INDEX($EK$2:$EK$13,$MM99))),1,0))</f>
        <v/>
      </c>
      <c r="NU99" s="155">
        <f>IF(OR($NP99=0,$MQ99=0),0,$NP99+3*IF(AND($NL99&lt;&gt;"",OR($NL99=INDEX($EJ$2:$EJ$13,$MM99),$NL99=INDEX($EK$2:$EK$13,$MM99))),1,0))</f>
        <v/>
      </c>
      <c r="NV99" s="155">
        <f>IF($NH99=0,0,IF(INDEX($W$2:$W$11,$NH99)="",0,IF(COUNTIF(INDEX($EJ$2:$EN$13,$MM99,0),INDEX($W$2:$W$11,$NH99))=0,1,0)))</f>
        <v/>
      </c>
      <c r="NW99" s="155">
        <f>IF(OR($NM99=0,$NI99=""),0,IF(COUNTIF(INDEX($EJ$2:$EN$13,$MM99,0),$NI99)=0,1,0))</f>
        <v/>
      </c>
      <c r="NX99" s="155">
        <f>IF(OR($NN99=0,$NJ99=""),0,IF(COUNTIF(INDEX($EJ$2:$EN$13,$MM99,0),$NJ99)=0,1,0))</f>
        <v/>
      </c>
      <c r="NY99" s="155">
        <f>IF(OR($NO99=0,$NK99=""),0,IF(COUNTIF(INDEX($EJ$2:$EN$13,$MM99,0),$NK99)=0,1,0))</f>
        <v/>
      </c>
      <c r="NZ99" s="155">
        <f>IF(OR($NP99=0,$NL99=""),0,IF(COUNTIF(INDEX($EJ$2:$EN$13,$MM99,0),$NL99)=0,1,0))</f>
        <v/>
      </c>
      <c r="OA99" s="155">
        <f>IFERROR(VLOOKUP($MV99,$AV$2:$BA$84,4,FALSE),0)+IFERROR(VLOOKUP($MW99,$AV$2:$BA$84,4,FALSE),0)+IFERROR(VLOOKUP($MX99,$AV$2:$BA$84,4,FALSE),0)+IFERROR(VLOOKUP($MY99,$AV$2:$BA$84,4,FALSE),0)</f>
        <v/>
      </c>
      <c r="OB99" s="155">
        <f>IFERROR(VLOOKUP($MV99,$AV$2:$BA$84,6,FALSE),0)+IFERROR(VLOOKUP($MW99,$AV$2:$BA$84,6,FALSE),0)+IFERROR(VLOOKUP($MX99,$AV$2:$BA$84,6,FALSE),0)+IFERROR(VLOOKUP($MY99,$AV$2:$BA$84,6,FALSE),0)</f>
        <v/>
      </c>
      <c r="OC99" s="155">
        <f>TEXTJOIN(", ",TRUE,IF(IFERROR(VLOOKUP($MV99,$AV$2:$BA$84,5,FALSE),0)=1,$MV99,""),IF(IFERROR(VLOOKUP($MW99,$AV$2:$BA$84,5,FALSE),0)=1,$MW99,""),IF(IFERROR(VLOOKUP($MX99,$AV$2:$BA$84,5,FALSE),0)=1,$MX99,""),IF(IFERROR(VLOOKUP($MY99,$AV$2:$BA$84,5,FALSE),0)=1,$MY99,""))</f>
        <v/>
      </c>
      <c r="OD99" s="155">
        <f>IF($NH99=0,0,INDEX($Y$2:$Y$11,$NH99))</f>
        <v/>
      </c>
      <c r="OE99" s="155">
        <f>IF($NH99=0,0,INDEX($Z$2:$Z$11,$NH99))</f>
        <v/>
      </c>
      <c r="OF99" s="155">
        <f>IF($NH99=0,0,INDEX($AB$2:$AB$11,$NH99))</f>
        <v/>
      </c>
      <c r="OG99" s="155">
        <f>IFERROR(VLOOKUP($MZ99,$BC$2:$BG$24,3,FALSE),0)</f>
        <v/>
      </c>
      <c r="OH99" s="155">
        <f>IFERROR(VLOOKUP($NA99,$BC$2:$BG$24,3,FALSE),0)</f>
        <v/>
      </c>
      <c r="OI99" s="155">
        <f>IFERROR(VLOOKUP($MZ99,$BC$2:$BG$24,2,FALSE),"")</f>
        <v/>
      </c>
      <c r="OJ99" s="155">
        <f>IFERROR(VLOOKUP($NA99,$BC$2:$BG$24,2,FALSE),"")</f>
        <v/>
      </c>
      <c r="OK99" s="155">
        <f>COUNTIF($NQ99:$NU99,1)</f>
        <v/>
      </c>
      <c r="OL99" s="155">
        <f>COUNTIF($NQ99:$NU99,2)</f>
        <v/>
      </c>
      <c r="OM99" s="155">
        <f>COUNTIF($NQ99:$NU99,3)</f>
        <v/>
      </c>
      <c r="ON99" s="155">
        <f>COUNTIF($NQ99:$NU99,4)</f>
        <v/>
      </c>
      <c r="OO99" s="155">
        <f>COUNTIF($NQ99:$NU99,5)</f>
        <v/>
      </c>
      <c r="OP99" s="155">
        <f>COUNTIF($NQ99:$NU99,6)</f>
        <v/>
      </c>
      <c r="OQ99" s="155">
        <f>COUNTIF($OG99:$OH99,1)</f>
        <v/>
      </c>
      <c r="OR99" s="155">
        <f>COUNTIF($OG99:$OH99,2)+$OD99</f>
        <v/>
      </c>
      <c r="OS99" s="155">
        <f>COUNTIF($MV99:$MY99,"?*")</f>
        <v/>
      </c>
      <c r="OT99" s="155">
        <f>COUNTIF($MZ99:$NA99,"?*")+$OD99</f>
        <v/>
      </c>
      <c r="OU99" s="155">
        <f>IF($MQ99=0,0,SUMPRODUCT($OK99:$OP99,INDEX($I$2:$N$8,MAX(1,$MQ99),0)))</f>
        <v/>
      </c>
      <c r="OV99" s="155">
        <f>IF($MQ99=0,0,$OQ99*CEILING($MQ99/2,1)+$OR99*$MQ99)</f>
        <v/>
      </c>
      <c r="OW99" s="155">
        <f>MIN(2*$MQ99,$OV99)</f>
        <v/>
      </c>
      <c r="OX99" s="155">
        <f>MIN($OW99,$OU99)</f>
        <v/>
      </c>
      <c r="OY99" s="155">
        <f>$OW99-$OX99</f>
        <v/>
      </c>
      <c r="OZ99" s="155">
        <f>IF($MQ99=0,0,INDEX($P$2:$P$8,MAX(1,$MQ99)))</f>
        <v/>
      </c>
      <c r="PA99" s="155">
        <f>$OZ99-$OU99+$OX99</f>
        <v/>
      </c>
      <c r="PB99" s="155">
        <f>IF($MQ99=0,MAX(0,$NE99-IF($OS99&gt;0,1,0)),MAX(0,$PA99))</f>
        <v/>
      </c>
      <c r="PC99" s="155">
        <f>IF($MQ99=0,0,(IF(COUNTIF($MV99:$MY99,"Salto")&gt;0,1,0)+IF(COUNTIF($MV99:$MY99,"Queima")&gt;0,1,0)+IF(COUNTIF($MV99:$MY99,"Estilhaço")&gt;0,1,0))*FLOOR($PB99/2,1))</f>
        <v/>
      </c>
      <c r="PD99" s="155">
        <f>MAX(0,2-SUMPRODUCT($OK99:$OP99,$I$2:$N$2)+MIN(2,$OQ99*1+$OR99*1,SUMPRODUCT($OK99:$OP99,$I$2:$N$2)))</f>
        <v/>
      </c>
      <c r="PE99" s="155">
        <f>MAX(0,4-SUMPRODUCT($OK99:$OP99,$I$3:$N$3)+MIN(4,$OQ99*1+$OR99*2,SUMPRODUCT($OK99:$OP99,$I$3:$N$3)))</f>
        <v/>
      </c>
      <c r="PF99" s="155">
        <f>MAX(0,6-SUMPRODUCT($OK99:$OP99,$I$4:$N$4)+MIN(6,$OQ99*2+$OR99*3,SUMPRODUCT($OK99:$OP99,$I$4:$N$4)))</f>
        <v/>
      </c>
      <c r="PG99" s="155">
        <f>MAX(0,9-SUMPRODUCT($OK99:$OP99,$I$5:$N$5)+MIN(8,$OQ99*2+$OR99*4,SUMPRODUCT($OK99:$OP99,$I$5:$N$5)))</f>
        <v/>
      </c>
      <c r="PH99" s="155">
        <f>MAX(0,11-SUMPRODUCT($OK99:$OP99,$I$6:$N$6)+MIN(10,$OQ99*3+$OR99*5,SUMPRODUCT($OK99:$OP99,$I$6:$N$6)))</f>
        <v/>
      </c>
      <c r="PI99" s="155">
        <f>MAX(0,13-SUMPRODUCT($OK99:$OP99,$I$7:$N$7)+MIN(12,$OQ99*3+$OR99*6,SUMPRODUCT($OK99:$OP99,$I$7:$N$7)))</f>
        <v/>
      </c>
      <c r="PJ99" s="155">
        <f>MAX(0,16-SUMPRODUCT($OK99:$OP99,$I$8:$N$8)+MIN(14,$OQ99*4+$OR99*7,SUMPRODUCT($OK99:$OP99,$I$8:$N$8)))</f>
        <v/>
      </c>
      <c r="PK99" s="155">
        <f>IF($OE99=2,3*$PD99&amp;" de vida temp.",IF($OE99=3,"sem dano",IF($PD99=0,IF($OE99=1,"sem cura","sem dano"),IF($OE99=1,"cura ","")&amp;$PD99&amp;"d8")))</f>
        <v/>
      </c>
      <c r="PL99" s="155">
        <f>IF($OE99=2,3*$PE99&amp;" de vida temp.",IF($OE99=3,"sem dano",IF($PE99=0,IF($OE99=1,"sem cura","sem dano"),IF($OE99=1,"cura ","")&amp;$PE99&amp;"d8")))</f>
        <v/>
      </c>
      <c r="PM99" s="155">
        <f>IF($OE99=2,3*$PF99&amp;" de vida temp.",IF($OE99=3,"sem dano",IF($PF99=0,IF($OE99=1,"sem cura","sem dano"),IF($OE99=1,"cura ","")&amp;$PF99&amp;"d8")))</f>
        <v/>
      </c>
      <c r="PN99" s="155">
        <f>IF($OE99=2,3*$PG99&amp;" de vida temp.",IF($OE99=3,"sem dano",IF($PG99=0,IF($OE99=1,"sem cura","sem dano"),IF($OE99=1,"cura ","")&amp;$PG99&amp;"d8")))</f>
        <v/>
      </c>
      <c r="PO99" s="155">
        <f>IF($OE99=2,3*$PH99&amp;" de vida temp.",IF($OE99=3,"sem dano",IF($PH99=0,IF($OE99=1,"sem cura","sem dano"),IF($OE99=1,"cura ","")&amp;$PH99&amp;"d8")))</f>
        <v/>
      </c>
      <c r="PP99" s="155">
        <f>IF($OE99=2,3*$PI99&amp;" de vida temp.",IF($OE99=3,"sem dano",IF($PI99=0,IF($OE99=1,"sem cura","sem dano"),IF($OE99=1,"cura ","")&amp;$PI99&amp;"d8")))</f>
        <v/>
      </c>
      <c r="PQ99" s="155">
        <f>IF($OE99=2,3*$PJ99&amp;" de vida temp.",IF($OE99=3,"sem dano",IF($PJ99=0,IF($OE99=1,"sem cura","sem dano"),IF($OE99=1,"cura ","")&amp;$PJ99&amp;"d8")))</f>
        <v/>
      </c>
      <c r="PR99" s="155">
        <f>IF($NB99=0,"",TEXTJOIN(" · ",TRUE,IF($MO99&gt;$NC99,"Este lugar abre no nível "&amp;$MO99,""),IF($MQ99&gt;$ND99,"Classe "&amp;$MQ99&amp;": o nível "&amp;$NC99&amp;" libera até a "&amp;$ND99,""),IF($NV99=1,"A Forma "&amp;$MS99&amp;" pede "&amp;INDEX($W$2:$W$11,$NH99)&amp;" aberta",""),IF(AND($MQ99=0,$NH99&gt;0,IF($NH99=0,0,INDEX($AF$2:$AF$11,$NH99))=0),$MS99&amp;" não existe na Classe 0",""),IF($NW99=1,"Família Fechada: "&amp;$MV99,""),IF($NX99=1,"Família Fechada: "&amp;$MW99,""),IF($NY99=1,"Família Fechada: "&amp;$MX99,""),IF($NZ99=1,"Família Fechada: "&amp;$MY99,""),IF(AND($MQ99&gt;0,$OS99&gt;INDEX($O$2:$O$8,MAX(1,$MQ99))),$OS99&amp;" Melhorias: a Classe "&amp;$MQ99&amp;" aceita "&amp;INDEX($O$2:$O$8,MAX(1,$MQ99)),""),IF(AND($MQ99=0,$OS99&gt;1),"A básica aceita uma Melhoria",""),IF(AND($MQ99=0,COUNTIF($NM99:$NP99,"&gt;1")&gt;0),"A básica só aceita Melhoria Leve",""),IF(AND($MQ99&gt;0,$OT99&gt;2),$OT99&amp;" Restrições"&amp;IF($OD99=1,", contando a que a Forma "&amp;$MS99&amp;" já traz","")&amp;": o limite é 2",""),IF(AND($MQ99=0,COUNTIF($MZ99:$NA99,"?*")&gt;1),"A básica aceita uma Restrição Leve",""),IF(AND($MQ99=0,COUNTIF($OG99:$OH99,2)&gt;0),"A básica só aceita Restrição Leve",""),IF(AND($MQ99&gt;0,$PA99&lt;0),"Orçamento estourado: faltam "&amp;(-$PA99)&amp;IF($PA99&lt;-1," pontos"," ponto"),""),IF(IFERROR(VLOOKUP($MZ99,$BC$2:$BG$24,4,FALSE),0)+IFERROR(VLOOKUP($NA99,$BC$2:$BG$24,4,FALSE),0)&gt;1,$OI99&amp;" e "&amp;$OJ99&amp;" são as duas de frequência",""),IF(AND((COUNTIF($MV99:$MY99,"Rápido")+COUNTIF($OI99:$OJ99,"Rápido"))&gt;0,(COUNTIF($MV99:$MY99,"Atrasar")+COUNTIF($OI99:$OJ99,"Atrasar"))&gt;0),"Rápido não entra com Atrasar",""),IF(AND((COUNTIF($MV99:$MY99,"Reação")+COUNTIF($OI99:$OJ99,"Reação"))&gt;0,(COUNTIF($MV99:$MY99,"Rápido")+COUNTIF($OI99:$OJ99,"Rápido"))&gt;0),"Reação não entra com Rápido",""),IF(AND((COUNTIF($MV99:$MY99,"Reação")+COUNTIF($OI99:$OJ99,"Reação"))&gt;0,(COUNTIF($MV99:$MY99,"Armado")+COUNTIF($OI99:$OJ99,"Armado"))&gt;0),"Reação não entra com Armado",""),IF(AND((COUNTIF($MV99:$MY99,"Reação")+COUNTIF($OI99:$OJ99,"Reação"))&gt;0,(COUNTIF($MV99:$MY99,"Atrasar")+COUNTIF($OI99:$OJ99,"Atrasar"))&gt;0),"Reação não entra com Atrasar",""),IF(AND((COUNTIF($MV99:$MY99,"Reação")+COUNTIF($OI99:$OJ99,"Reação"))&gt;0,(COUNTIF($MV99:$MY99,"Parado")+COUNTIF($OI99:$OJ99,"Parado"))&gt;0),"Reação não entra com Parado",""),IF(AND((COUNTIF($MV99:$MY99,"Atrasar")+COUNTIF($OI99:$OJ99,"Atrasar"))&gt;0,(COUNTIF($MV99:$MY99,"Parado")+COUNTIF($OI99:$OJ99,"Parado"))&gt;0),"Atrasar não entra com Parado",""),IF(AND((COUNTIF($MV99:$MY99,"Armado")+COUNTIF($OI99:$OJ99,"Armado"))&gt;0,(COUNTIF($MV99:$MY99,"Carregar")+COUNTIF($OI99:$OJ99,"Carregar"))&gt;0),"Armado não entra com Carregar",""),IF(AND(COUNTIF($OI99:$OJ99,"Corpo a Corpo")&gt;0,$OD99=0,OR($MS99="Cone",$MS99="Linha")),"Corpo a Corpo não entra em "&amp;$MS99,""),IF(AND(COUNTIF($OI99:$OJ99,"Corpo a Corpo")&gt;0,$OD99=1),"A Forma "&amp;$MS99&amp;" já traz o Corpo a Corpo",""),IF(AND(COUNTIF($OI99:$OJ99,"Tudo ou Nada")&gt;0,$OF99=0),"Tudo ou Nada só entra em habilidade de Teste de Resistência",""),IF(AND(COUNTIF($MV99:$MY99,"Inescapável")&gt;0,OR($OS99&gt;1,$OT99&gt;0)),"Inescapável não aceita outra peça",""),IF(AND($MQ99&gt;0,$PB99*IF(COUNTIF($MV99:$MY99,"Remate")&gt;0,1.25,1)+$PC99&gt;4*$MQ99),($PB99*IF(COUNTIF($MV99:$MY99,"Remate")&gt;0,1.25,1)+$PC99)&amp;" dados somando repetições"&amp;IF(COUNTIF($MV99:$MY99,"Remate")&gt;0," e o Remate","")&amp;": o teto da Classe "&amp;$MQ99&amp;" é "&amp;4*$MQ99,"")))</f>
        <v/>
      </c>
      <c r="PS99" s="155">
        <f>IF($PR99="",0,(LEN($PR99)-LEN(SUBSTITUTE($PR99," · ","")))/3+1)</f>
        <v/>
      </c>
      <c r="PT99" s="155">
        <f>IF($NB99=0,"",TEXTJOIN(" · ",TRUE,IF($OV99&gt;2*$MQ99,"A devolução parou no teto de "&amp;2*$MQ99,""),IF($OY99&gt;0,"Devolução perdida: "&amp;$OY99&amp;IF($OY99&gt;1," pontos"," ponto")&amp;" sem peça para pagar",""),IF(AND($OA99&gt;0,AND($MQ99&gt;0,$OE99=0),$PB99=0),"Controle sem dano: uma rodada a mais e CD +2",""),IF(AND($OA99&gt;0,AND($MQ99&gt;0,$OE99=0),$PB99&gt;0,$PB99&lt;=$MQ99),"Controle com saldo até a Classe: uma rodada a mais",""),IF(AND($MQ99&gt;0,$OC99&lt;&gt;""),"Efeito de "&amp;$OC99&amp;" pela Classe "&amp;MAX(1,$MQ99-1),"")))</f>
        <v/>
      </c>
      <c r="PU99" s="155">
        <f>IF($PT99="",0,(LEN($PT99)-LEN(SUBSTITUTE($PT99," · ","")))/3+1)</f>
        <v/>
      </c>
      <c r="PV99" s="155">
        <f>IF($NB99=0,IF($OS99+COUNTIF($MZ99:$NA99,"?*")&gt;0,"Dê um nome",""),IF($PS99&gt;0,"⚠ "&amp;$PS99&amp;IF($PS99&gt;1," erros"," erro"),IF($PU99&gt;0,"! "&amp;$PU99&amp;IF($PU99&gt;1," avisos"," aviso"),"Na regra")))</f>
        <v/>
      </c>
      <c r="PW99" s="155">
        <f>IF($NB99=0,"",IF($PS99+$PU99=0,"Dentro das regras que a ficha confere",$PR99&amp;IF(AND($PS99&gt;0,$PU99&gt;0)," · ","")&amp;$PT99))</f>
        <v/>
      </c>
      <c r="PX99" s="155">
        <f>IF($MO99&gt;$NC99,$MP99&amp;" · ABRE NO NÍVEL "&amp;$MO99,$MP99)</f>
        <v/>
      </c>
      <c r="PY99" s="155">
        <f>IF($NB99=0,"",IF($MQ99=0,"Sem PE",3*$MQ99&amp;" PE"))</f>
        <v/>
      </c>
      <c r="PZ99" s="155">
        <f>IF($NB99=0,"",IF($MQ99=0,"A atuação básica dela",IF(COUNTIF($OI99:$OJ99,"Atrasar")&gt;0,"Sua Ação Completa",IF(COUNTIF($MV99:$MY99,"Rápido")&gt;0,"Sua Bônus",IF(COUNTIF($MV99:$MY99,"Reação")&gt;0,"Sua Reação","Sua Padrão")))&amp;" + a básica dela"&amp;IF(COUNTIF($MV99:$MY99,"Reação")&gt;0," e a coletiva","")&amp;IF(COUNTIF($OI99:$OJ99,"Carregar")&gt;0," · em dois turnos","")))</f>
        <v/>
      </c>
      <c r="QA99" s="155">
        <f>IF($MU99&lt;&gt;"",$MU99,IF($NH99=0,"",INDEX($AA$2:$AA$11,$NH99)))</f>
        <v/>
      </c>
      <c r="QB99" s="155">
        <f>IF(OR($NB99=0,$NH99=0),"",IF(COUNTIF($MV99:$MY99,"Inescapável")&gt;0,"Automático",IF($QA99="Ataque",IF($NF99="","Ataque","Ataque "&amp;IF(($NF99+2*IF(COUNTIF($MV99:$MY99,"Precisão")&gt;0,1,0))&gt;=0,"+","−")&amp;ABS(($NF99+2*IF(COUNTIF($MV99:$MY99,"Precisão")&gt;0,1,0))))&amp;IF($OB99&gt;0," · TR"&amp;IF($NG99="",""," CD "&amp;$NG99),""),IF(LEFT($QA99,2)="TR",$QA99&amp;IF($NG99="",""," · CD "&amp;$NG99)&amp;IF(COUNTIF($MV99:$MY99,"Certeiro")&gt;0," · metade",""),"Sem rolagem"))))</f>
        <v/>
      </c>
      <c r="QC99" s="155">
        <f>IF(OR($NB99=0,$NH99=0),"",IF($MQ99=0,IF(OR($OE99&gt;=1,$PB99=0),"Sem dano",$PB99&amp;"d6"&amp;IF($MT99="",""," "&amp;$MT99)),IF(OR($OE99&gt;=1,$PB99=0),UPPER(LEFT(INDEX($PK99:$PQ99,1,MAX(1,$MQ99)),1))&amp;MID(INDEX($PK99:$PQ99,1,MAX(1,$MQ99)),2,99),UPPER(LEFT(INDEX($PK99:$PQ99,1,MAX(1,$MQ99)),1))&amp;MID(INDEX($PK99:$PQ99,1,MAX(1,$MQ99)),2,99)&amp;IF($MT99="",""," "&amp;$MT99)&amp;IF($PC99&gt;0," · +"&amp;$PC99&amp;"d8",""))))</f>
        <v/>
      </c>
      <c r="QD99" s="155">
        <f>COUNTIF($MV99:$MY99,"Longe")+3*COUNTIF($MV99:$MY99,"Muito Longe")</f>
        <v/>
      </c>
      <c r="QE99" s="155">
        <f>COUNTIF($MV99:$MY99,"Maior")+3*COUNTIF($MV99:$MY99,"Muito Maior")</f>
        <v/>
      </c>
      <c r="QF99" s="155">
        <f>IF($NH99=0,0,CHOOSE(1+INDEX($AC$2:$AC$11,$NH99),0,$QD99,$QE99,$QD99+$QE99))</f>
        <v/>
      </c>
      <c r="QG99" s="155">
        <f>IF($NH99=0,0,CHOOSE(1+INDEX($AD$2:$AD$11,$NH99),0,$QD99,$QE99,$QD99+$QE99))</f>
        <v/>
      </c>
      <c r="QH99" s="155">
        <f>IF(OR($NB99=0,$NH99=0),"",INDEX($AI$2:$AN$41,($NH99-1)*4+IF($MQ99=0,1,IF($MQ99&lt;=5,2,IF($MQ99=6,3,4))),1+MIN(5,$QF99))&amp;INDEX($AO$2:$AT$41,($NH99-1)*4+IF($MQ99=0,1,IF($MQ99&lt;=5,2,IF($MQ99=6,3,4))),1+MIN(5,$QG99))&amp;IF(INDEX($AE$2:$AE$11,$NH99)=1,IF(COUNTIF($MV99:$MY99,"Mais Um")&gt;0," · +"&amp;COUNTIF($MV99:$MY99,"Mais Um")&amp;IF(COUNTIF($MV99:$MY99,"Mais Um")&gt;1," alvos"," alvo"),"")&amp;IF(COUNTIF($MV99:$MY99,"Rajada")&gt;0,IF($MQ99=0," · 1 tiro"," · "&amp;(MAX(1,$MQ99-1)+1)&amp;" tiros"),""),""))</f>
        <v/>
      </c>
      <c r="QI99" s="155">
        <f>IF($NB99=0,"",IF($MQ99=0,$NE99&amp;"d6"&amp;IF($OS99&gt;0," − 1 = "&amp;$PB99&amp;"d6"," da básica do nível "&amp;$NC99),$OZ99&amp;" − "&amp;$OU99&amp;" + "&amp;$OX99&amp;" = "&amp;$PA99&amp;" · teto "&amp;4*$MQ99&amp;"d8"&amp;IF($OD99=1," · a Forma devolve "&amp;$MQ99,"")&amp;IF($OY99&gt;0," · perde "&amp;$OY99,"")))</f>
        <v/>
      </c>
      <c r="QJ99" s="155">
        <f>IF($NB99=0,"",IF($MQ99=0,"A básica não amplia: os dados dela sobem com o nível",IF($MQ99&gt;=$ND99,"Já está na maior Classe que o nível liberou",TEXTJOIN(" · ",TRUE,IF(AND(2&gt;$MQ99,2&lt;=$ND99),"2 → "&amp;$PL99&amp;", 6 PE",""),IF(AND(3&gt;$MQ99,3&lt;=$ND99),"3 → "&amp;$PM99&amp;", 9 PE",""),IF(AND(4&gt;$MQ99,4&lt;=$ND99),"4 → "&amp;$PN99&amp;", 12 PE",""),IF(AND(5&gt;$MQ99,5&lt;=$ND99),"5 → "&amp;$PO99&amp;", 15 PE",""),IF(AND(6&gt;$MQ99,6&lt;=$ND99),"6 → "&amp;$PP99&amp;", 18 PE",""),IF(AND(7&gt;$MQ99,7&lt;=$ND99),"7 → "&amp;$PQ99&amp;", 21 PE","")))))</f>
        <v/>
      </c>
      <c r="QK99" s="155">
        <f>IF(OR($NB99=0,$NM99=0),"",IF($MQ99=0,"−1 dado","−"&amp;INDEX($I$2:$N$8,MAX(1,$MQ99),MAX(1,$NR99))&amp;" · "&amp;CHOOSE(MAX(1,$NR99),"Leve","Média","Pesada","Leve · Livre","Média · Livre","Pesada · Livre")))</f>
        <v/>
      </c>
      <c r="QL99" s="155">
        <f>IF(OR($NB99=0,$NN99=0),"",IF($MQ99=0,"−1 dado","−"&amp;INDEX($I$2:$N$8,MAX(1,$MQ99),MAX(1,$NS99))&amp;" · "&amp;CHOOSE(MAX(1,$NS99),"Leve","Média","Pesada","Leve · Livre","Média · Livre","Pesada · Livre")))</f>
        <v/>
      </c>
      <c r="QM99" s="155">
        <f>IF(OR($NB99=0,$NO99=0),"",IF($MQ99=0,"−1 dado","−"&amp;INDEX($I$2:$N$8,MAX(1,$MQ99),MAX(1,$NT99))&amp;" · "&amp;CHOOSE(MAX(1,$NT99),"Leve","Média","Pesada","Leve · Livre","Média · Livre","Pesada · Livre")))</f>
        <v/>
      </c>
      <c r="QN99" s="155">
        <f>IF(OR($NB99=0,$NP99=0),"",IF($MQ99=0,"−1 dado","−"&amp;INDEX($I$2:$N$8,MAX(1,$MQ99),MAX(1,$NU99))&amp;" · "&amp;CHOOSE(MAX(1,$NU99),"Leve","Média","Pesada","Leve · Livre","Média · Livre","Pesada · Livre")))</f>
        <v/>
      </c>
      <c r="QO99" s="155">
        <f>IF(OR($NB99=0,$MZ99=""),"",IF($MQ99=0,"não devolve","+"&amp;IF($OG99=1,CEILING($MQ99/2,1),$MQ99)))</f>
        <v/>
      </c>
      <c r="QP99" s="155">
        <f>IF(OR($NB99=0,$NA99=""),"",IF($MQ99=0,"não devolve","+"&amp;IF($OH99=1,CEILING($MQ99/2,1),$MQ99)))</f>
        <v/>
      </c>
    </row>
    <row r="100">
      <c r="ML100" s="153" t="inlineStr">
        <is>
          <t>Ficha 8 · Especial 6</t>
        </is>
      </c>
      <c r="MM100" s="155" t="n">
        <v>8</v>
      </c>
      <c r="MN100" s="155" t="n">
        <v>1</v>
      </c>
      <c r="MO100" s="155" t="n">
        <v>20</v>
      </c>
      <c r="MP100" s="153" t="inlineStr">
        <is>
          <t>ESPECIAL 6</t>
        </is>
      </c>
      <c r="MQ100" s="155">
        <f>MAX(1,MIN(7,N('INVOCAÇÕES'!$AH$312)))</f>
        <v/>
      </c>
      <c r="MR100" s="155">
        <f>'INVOCAÇÕES'!$AI$312&amp;""</f>
        <v/>
      </c>
      <c r="MS100" s="155">
        <f>'INVOCAÇÕES'!$AH$317&amp;""</f>
        <v/>
      </c>
      <c r="MT100" s="155">
        <f>'INVOCAÇÕES'!$AH$318&amp;""</f>
        <v/>
      </c>
      <c r="MU100" s="155">
        <f>'INVOCAÇÕES'!$AJ$318&amp;""</f>
        <v/>
      </c>
      <c r="MV100" s="155">
        <f>'INVOCAÇÕES'!$AI$321&amp;""</f>
        <v/>
      </c>
      <c r="MW100" s="155">
        <f>'INVOCAÇÕES'!$AI$322&amp;""</f>
        <v/>
      </c>
      <c r="MX100" s="155">
        <f>'INVOCAÇÕES'!$AI$323&amp;""</f>
        <v/>
      </c>
      <c r="MY100" s="155">
        <f>'INVOCAÇÕES'!$AI$324&amp;""</f>
        <v/>
      </c>
      <c r="MZ100" s="155">
        <f>'INVOCAÇÕES'!$AI$325&amp;""</f>
        <v/>
      </c>
      <c r="NA100" s="155">
        <f>'INVOCAÇÕES'!$AI$326&amp;""</f>
        <v/>
      </c>
      <c r="NB100" s="155">
        <f>IF($MR100&lt;&gt;"",1,0)</f>
        <v/>
      </c>
      <c r="NC100" s="155">
        <f>INDEX($FM$2:$FM$13,$MM100)</f>
        <v/>
      </c>
      <c r="ND100" s="155">
        <f>INDEX($FN$2:$FN$13,$MM100)</f>
        <v/>
      </c>
      <c r="NE100" s="155">
        <f>INDEX($FO$2:$FO$13,$MM100)</f>
        <v/>
      </c>
      <c r="NF100" s="155">
        <f>INDEX($FZ$2:$FZ$13,$MM100)</f>
        <v/>
      </c>
      <c r="NG100" s="155">
        <f>INDEX($GA$2:$GA$13,$MM100)</f>
        <v/>
      </c>
      <c r="NH100" s="155">
        <f>IFERROR(MATCH($MS100,$V$2:$V$11,0),0)</f>
        <v/>
      </c>
      <c r="NI100" s="155">
        <f>IFERROR(VLOOKUP($MV100,$AV$2:$BA$84,2,FALSE),"")</f>
        <v/>
      </c>
      <c r="NJ100" s="155">
        <f>IFERROR(VLOOKUP($MW100,$AV$2:$BA$84,2,FALSE),"")</f>
        <v/>
      </c>
      <c r="NK100" s="155">
        <f>IFERROR(VLOOKUP($MX100,$AV$2:$BA$84,2,FALSE),"")</f>
        <v/>
      </c>
      <c r="NL100" s="155">
        <f>IFERROR(VLOOKUP($MY100,$AV$2:$BA$84,2,FALSE),"")</f>
        <v/>
      </c>
      <c r="NM100" s="155">
        <f>IFERROR(VLOOKUP($MV100,$AV$2:$BA$84,3,FALSE),0)</f>
        <v/>
      </c>
      <c r="NN100" s="155">
        <f>IFERROR(VLOOKUP($MW100,$AV$2:$BA$84,3,FALSE),0)</f>
        <v/>
      </c>
      <c r="NO100" s="155">
        <f>IFERROR(VLOOKUP($MX100,$AV$2:$BA$84,3,FALSE),0)</f>
        <v/>
      </c>
      <c r="NP100" s="155">
        <f>IFERROR(VLOOKUP($MY100,$AV$2:$BA$84,3,FALSE),0)</f>
        <v/>
      </c>
      <c r="NQ100" s="155">
        <f>IF($MQ100=0,0,IF($NH100=0,0,INDEX($X$2:$X$11,$NH100)))</f>
        <v/>
      </c>
      <c r="NR100" s="155">
        <f>IF(OR($NM100=0,$MQ100=0),0,$NM100+3*IF(AND($NI100&lt;&gt;"",OR($NI100=INDEX($EJ$2:$EJ$13,$MM100),$NI100=INDEX($EK$2:$EK$13,$MM100))),1,0))</f>
        <v/>
      </c>
      <c r="NS100" s="155">
        <f>IF(OR($NN100=0,$MQ100=0),0,$NN100+3*IF(AND($NJ100&lt;&gt;"",OR($NJ100=INDEX($EJ$2:$EJ$13,$MM100),$NJ100=INDEX($EK$2:$EK$13,$MM100))),1,0))</f>
        <v/>
      </c>
      <c r="NT100" s="155">
        <f>IF(OR($NO100=0,$MQ100=0),0,$NO100+3*IF(AND($NK100&lt;&gt;"",OR($NK100=INDEX($EJ$2:$EJ$13,$MM100),$NK100=INDEX($EK$2:$EK$13,$MM100))),1,0))</f>
        <v/>
      </c>
      <c r="NU100" s="155">
        <f>IF(OR($NP100=0,$MQ100=0),0,$NP100+3*IF(AND($NL100&lt;&gt;"",OR($NL100=INDEX($EJ$2:$EJ$13,$MM100),$NL100=INDEX($EK$2:$EK$13,$MM100))),1,0))</f>
        <v/>
      </c>
      <c r="NV100" s="155">
        <f>IF($NH100=0,0,IF(INDEX($W$2:$W$11,$NH100)="",0,IF(COUNTIF(INDEX($EJ$2:$EN$13,$MM100,0),INDEX($W$2:$W$11,$NH100))=0,1,0)))</f>
        <v/>
      </c>
      <c r="NW100" s="155">
        <f>IF(OR($NM100=0,$NI100=""),0,IF(COUNTIF(INDEX($EJ$2:$EN$13,$MM100,0),$NI100)=0,1,0))</f>
        <v/>
      </c>
      <c r="NX100" s="155">
        <f>IF(OR($NN100=0,$NJ100=""),0,IF(COUNTIF(INDEX($EJ$2:$EN$13,$MM100,0),$NJ100)=0,1,0))</f>
        <v/>
      </c>
      <c r="NY100" s="155">
        <f>IF(OR($NO100=0,$NK100=""),0,IF(COUNTIF(INDEX($EJ$2:$EN$13,$MM100,0),$NK100)=0,1,0))</f>
        <v/>
      </c>
      <c r="NZ100" s="155">
        <f>IF(OR($NP100=0,$NL100=""),0,IF(COUNTIF(INDEX($EJ$2:$EN$13,$MM100,0),$NL100)=0,1,0))</f>
        <v/>
      </c>
      <c r="OA100" s="155">
        <f>IFERROR(VLOOKUP($MV100,$AV$2:$BA$84,4,FALSE),0)+IFERROR(VLOOKUP($MW100,$AV$2:$BA$84,4,FALSE),0)+IFERROR(VLOOKUP($MX100,$AV$2:$BA$84,4,FALSE),0)+IFERROR(VLOOKUP($MY100,$AV$2:$BA$84,4,FALSE),0)</f>
        <v/>
      </c>
      <c r="OB100" s="155">
        <f>IFERROR(VLOOKUP($MV100,$AV$2:$BA$84,6,FALSE),0)+IFERROR(VLOOKUP($MW100,$AV$2:$BA$84,6,FALSE),0)+IFERROR(VLOOKUP($MX100,$AV$2:$BA$84,6,FALSE),0)+IFERROR(VLOOKUP($MY100,$AV$2:$BA$84,6,FALSE),0)</f>
        <v/>
      </c>
      <c r="OC100" s="155">
        <f>TEXTJOIN(", ",TRUE,IF(IFERROR(VLOOKUP($MV100,$AV$2:$BA$84,5,FALSE),0)=1,$MV100,""),IF(IFERROR(VLOOKUP($MW100,$AV$2:$BA$84,5,FALSE),0)=1,$MW100,""),IF(IFERROR(VLOOKUP($MX100,$AV$2:$BA$84,5,FALSE),0)=1,$MX100,""),IF(IFERROR(VLOOKUP($MY100,$AV$2:$BA$84,5,FALSE),0)=1,$MY100,""))</f>
        <v/>
      </c>
      <c r="OD100" s="155">
        <f>IF($NH100=0,0,INDEX($Y$2:$Y$11,$NH100))</f>
        <v/>
      </c>
      <c r="OE100" s="155">
        <f>IF($NH100=0,0,INDEX($Z$2:$Z$11,$NH100))</f>
        <v/>
      </c>
      <c r="OF100" s="155">
        <f>IF($NH100=0,0,INDEX($AB$2:$AB$11,$NH100))</f>
        <v/>
      </c>
      <c r="OG100" s="155">
        <f>IFERROR(VLOOKUP($MZ100,$BC$2:$BG$24,3,FALSE),0)</f>
        <v/>
      </c>
      <c r="OH100" s="155">
        <f>IFERROR(VLOOKUP($NA100,$BC$2:$BG$24,3,FALSE),0)</f>
        <v/>
      </c>
      <c r="OI100" s="155">
        <f>IFERROR(VLOOKUP($MZ100,$BC$2:$BG$24,2,FALSE),"")</f>
        <v/>
      </c>
      <c r="OJ100" s="155">
        <f>IFERROR(VLOOKUP($NA100,$BC$2:$BG$24,2,FALSE),"")</f>
        <v/>
      </c>
      <c r="OK100" s="155">
        <f>COUNTIF($NQ100:$NU100,1)</f>
        <v/>
      </c>
      <c r="OL100" s="155">
        <f>COUNTIF($NQ100:$NU100,2)</f>
        <v/>
      </c>
      <c r="OM100" s="155">
        <f>COUNTIF($NQ100:$NU100,3)</f>
        <v/>
      </c>
      <c r="ON100" s="155">
        <f>COUNTIF($NQ100:$NU100,4)</f>
        <v/>
      </c>
      <c r="OO100" s="155">
        <f>COUNTIF($NQ100:$NU100,5)</f>
        <v/>
      </c>
      <c r="OP100" s="155">
        <f>COUNTIF($NQ100:$NU100,6)</f>
        <v/>
      </c>
      <c r="OQ100" s="155">
        <f>COUNTIF($OG100:$OH100,1)</f>
        <v/>
      </c>
      <c r="OR100" s="155">
        <f>COUNTIF($OG100:$OH100,2)+$OD100</f>
        <v/>
      </c>
      <c r="OS100" s="155">
        <f>COUNTIF($MV100:$MY100,"?*")</f>
        <v/>
      </c>
      <c r="OT100" s="155">
        <f>COUNTIF($MZ100:$NA100,"?*")+$OD100</f>
        <v/>
      </c>
      <c r="OU100" s="155">
        <f>IF($MQ100=0,0,SUMPRODUCT($OK100:$OP100,INDEX($I$2:$N$8,MAX(1,$MQ100),0)))</f>
        <v/>
      </c>
      <c r="OV100" s="155">
        <f>IF($MQ100=0,0,$OQ100*CEILING($MQ100/2,1)+$OR100*$MQ100)</f>
        <v/>
      </c>
      <c r="OW100" s="155">
        <f>MIN(2*$MQ100,$OV100)</f>
        <v/>
      </c>
      <c r="OX100" s="155">
        <f>MIN($OW100,$OU100)</f>
        <v/>
      </c>
      <c r="OY100" s="155">
        <f>$OW100-$OX100</f>
        <v/>
      </c>
      <c r="OZ100" s="155">
        <f>IF($MQ100=0,0,INDEX($P$2:$P$8,MAX(1,$MQ100)))</f>
        <v/>
      </c>
      <c r="PA100" s="155">
        <f>$OZ100-$OU100+$OX100</f>
        <v/>
      </c>
      <c r="PB100" s="155">
        <f>IF($MQ100=0,MAX(0,$NE100-IF($OS100&gt;0,1,0)),MAX(0,$PA100))</f>
        <v/>
      </c>
      <c r="PC100" s="155">
        <f>IF($MQ100=0,0,(IF(COUNTIF($MV100:$MY100,"Salto")&gt;0,1,0)+IF(COUNTIF($MV100:$MY100,"Queima")&gt;0,1,0)+IF(COUNTIF($MV100:$MY100,"Estilhaço")&gt;0,1,0))*FLOOR($PB100/2,1))</f>
        <v/>
      </c>
      <c r="PD100" s="155">
        <f>MAX(0,2-SUMPRODUCT($OK100:$OP100,$I$2:$N$2)+MIN(2,$OQ100*1+$OR100*1,SUMPRODUCT($OK100:$OP100,$I$2:$N$2)))</f>
        <v/>
      </c>
      <c r="PE100" s="155">
        <f>MAX(0,4-SUMPRODUCT($OK100:$OP100,$I$3:$N$3)+MIN(4,$OQ100*1+$OR100*2,SUMPRODUCT($OK100:$OP100,$I$3:$N$3)))</f>
        <v/>
      </c>
      <c r="PF100" s="155">
        <f>MAX(0,6-SUMPRODUCT($OK100:$OP100,$I$4:$N$4)+MIN(6,$OQ100*2+$OR100*3,SUMPRODUCT($OK100:$OP100,$I$4:$N$4)))</f>
        <v/>
      </c>
      <c r="PG100" s="155">
        <f>MAX(0,9-SUMPRODUCT($OK100:$OP100,$I$5:$N$5)+MIN(8,$OQ100*2+$OR100*4,SUMPRODUCT($OK100:$OP100,$I$5:$N$5)))</f>
        <v/>
      </c>
      <c r="PH100" s="155">
        <f>MAX(0,11-SUMPRODUCT($OK100:$OP100,$I$6:$N$6)+MIN(10,$OQ100*3+$OR100*5,SUMPRODUCT($OK100:$OP100,$I$6:$N$6)))</f>
        <v/>
      </c>
      <c r="PI100" s="155">
        <f>MAX(0,13-SUMPRODUCT($OK100:$OP100,$I$7:$N$7)+MIN(12,$OQ100*3+$OR100*6,SUMPRODUCT($OK100:$OP100,$I$7:$N$7)))</f>
        <v/>
      </c>
      <c r="PJ100" s="155">
        <f>MAX(0,16-SUMPRODUCT($OK100:$OP100,$I$8:$N$8)+MIN(14,$OQ100*4+$OR100*7,SUMPRODUCT($OK100:$OP100,$I$8:$N$8)))</f>
        <v/>
      </c>
      <c r="PK100" s="155">
        <f>IF($OE100=2,3*$PD100&amp;" de vida temp.",IF($OE100=3,"sem dano",IF($PD100=0,IF($OE100=1,"sem cura","sem dano"),IF($OE100=1,"cura ","")&amp;$PD100&amp;"d8")))</f>
        <v/>
      </c>
      <c r="PL100" s="155">
        <f>IF($OE100=2,3*$PE100&amp;" de vida temp.",IF($OE100=3,"sem dano",IF($PE100=0,IF($OE100=1,"sem cura","sem dano"),IF($OE100=1,"cura ","")&amp;$PE100&amp;"d8")))</f>
        <v/>
      </c>
      <c r="PM100" s="155">
        <f>IF($OE100=2,3*$PF100&amp;" de vida temp.",IF($OE100=3,"sem dano",IF($PF100=0,IF($OE100=1,"sem cura","sem dano"),IF($OE100=1,"cura ","")&amp;$PF100&amp;"d8")))</f>
        <v/>
      </c>
      <c r="PN100" s="155">
        <f>IF($OE100=2,3*$PG100&amp;" de vida temp.",IF($OE100=3,"sem dano",IF($PG100=0,IF($OE100=1,"sem cura","sem dano"),IF($OE100=1,"cura ","")&amp;$PG100&amp;"d8")))</f>
        <v/>
      </c>
      <c r="PO100" s="155">
        <f>IF($OE100=2,3*$PH100&amp;" de vida temp.",IF($OE100=3,"sem dano",IF($PH100=0,IF($OE100=1,"sem cura","sem dano"),IF($OE100=1,"cura ","")&amp;$PH100&amp;"d8")))</f>
        <v/>
      </c>
      <c r="PP100" s="155">
        <f>IF($OE100=2,3*$PI100&amp;" de vida temp.",IF($OE100=3,"sem dano",IF($PI100=0,IF($OE100=1,"sem cura","sem dano"),IF($OE100=1,"cura ","")&amp;$PI100&amp;"d8")))</f>
        <v/>
      </c>
      <c r="PQ100" s="155">
        <f>IF($OE100=2,3*$PJ100&amp;" de vida temp.",IF($OE100=3,"sem dano",IF($PJ100=0,IF($OE100=1,"sem cura","sem dano"),IF($OE100=1,"cura ","")&amp;$PJ100&amp;"d8")))</f>
        <v/>
      </c>
      <c r="PR100" s="155">
        <f>IF($NB100=0,"",TEXTJOIN(" · ",TRUE,IF($MO100&gt;$NC100,"Este lugar abre no nível "&amp;$MO100,""),IF($MQ100&gt;$ND100,"Classe "&amp;$MQ100&amp;": o nível "&amp;$NC100&amp;" libera até a "&amp;$ND100,""),IF($NV100=1,"A Forma "&amp;$MS100&amp;" pede "&amp;INDEX($W$2:$W$11,$NH100)&amp;" aberta",""),IF(AND($MQ100=0,$NH100&gt;0,IF($NH100=0,0,INDEX($AF$2:$AF$11,$NH100))=0),$MS100&amp;" não existe na Classe 0",""),IF($NW100=1,"Família Fechada: "&amp;$MV100,""),IF($NX100=1,"Família Fechada: "&amp;$MW100,""),IF($NY100=1,"Família Fechada: "&amp;$MX100,""),IF($NZ100=1,"Família Fechada: "&amp;$MY100,""),IF(AND($MQ100&gt;0,$OS100&gt;INDEX($O$2:$O$8,MAX(1,$MQ100))),$OS100&amp;" Melhorias: a Classe "&amp;$MQ100&amp;" aceita "&amp;INDEX($O$2:$O$8,MAX(1,$MQ100)),""),IF(AND($MQ100=0,$OS100&gt;1),"A básica aceita uma Melhoria",""),IF(AND($MQ100=0,COUNTIF($NM100:$NP100,"&gt;1")&gt;0),"A básica só aceita Melhoria Leve",""),IF(AND($MQ100&gt;0,$OT100&gt;2),$OT100&amp;" Restrições"&amp;IF($OD100=1,", contando a que a Forma "&amp;$MS100&amp;" já traz","")&amp;": o limite é 2",""),IF(AND($MQ100=0,COUNTIF($MZ100:$NA100,"?*")&gt;1),"A básica aceita uma Restrição Leve",""),IF(AND($MQ100=0,COUNTIF($OG100:$OH100,2)&gt;0),"A básica só aceita Restrição Leve",""),IF(AND($MQ100&gt;0,$PA100&lt;0),"Orçamento estourado: faltam "&amp;(-$PA100)&amp;IF($PA100&lt;-1," pontos"," ponto"),""),IF(IFERROR(VLOOKUP($MZ100,$BC$2:$BG$24,4,FALSE),0)+IFERROR(VLOOKUP($NA100,$BC$2:$BG$24,4,FALSE),0)&gt;1,$OI100&amp;" e "&amp;$OJ100&amp;" são as duas de frequência",""),IF(AND((COUNTIF($MV100:$MY100,"Rápido")+COUNTIF($OI100:$OJ100,"Rápido"))&gt;0,(COUNTIF($MV100:$MY100,"Atrasar")+COUNTIF($OI100:$OJ100,"Atrasar"))&gt;0),"Rápido não entra com Atrasar",""),IF(AND((COUNTIF($MV100:$MY100,"Reação")+COUNTIF($OI100:$OJ100,"Reação"))&gt;0,(COUNTIF($MV100:$MY100,"Rápido")+COUNTIF($OI100:$OJ100,"Rápido"))&gt;0),"Reação não entra com Rápido",""),IF(AND((COUNTIF($MV100:$MY100,"Reação")+COUNTIF($OI100:$OJ100,"Reação"))&gt;0,(COUNTIF($MV100:$MY100,"Armado")+COUNTIF($OI100:$OJ100,"Armado"))&gt;0),"Reação não entra com Armado",""),IF(AND((COUNTIF($MV100:$MY100,"Reação")+COUNTIF($OI100:$OJ100,"Reação"))&gt;0,(COUNTIF($MV100:$MY100,"Atrasar")+COUNTIF($OI100:$OJ100,"Atrasar"))&gt;0),"Reação não entra com Atrasar",""),IF(AND((COUNTIF($MV100:$MY100,"Reação")+COUNTIF($OI100:$OJ100,"Reação"))&gt;0,(COUNTIF($MV100:$MY100,"Parado")+COUNTIF($OI100:$OJ100,"Parado"))&gt;0),"Reação não entra com Parado",""),IF(AND((COUNTIF($MV100:$MY100,"Atrasar")+COUNTIF($OI100:$OJ100,"Atrasar"))&gt;0,(COUNTIF($MV100:$MY100,"Parado")+COUNTIF($OI100:$OJ100,"Parado"))&gt;0),"Atrasar não entra com Parado",""),IF(AND((COUNTIF($MV100:$MY100,"Armado")+COUNTIF($OI100:$OJ100,"Armado"))&gt;0,(COUNTIF($MV100:$MY100,"Carregar")+COUNTIF($OI100:$OJ100,"Carregar"))&gt;0),"Armado não entra com Carregar",""),IF(AND(COUNTIF($OI100:$OJ100,"Corpo a Corpo")&gt;0,$OD100=0,OR($MS100="Cone",$MS100="Linha")),"Corpo a Corpo não entra em "&amp;$MS100,""),IF(AND(COUNTIF($OI100:$OJ100,"Corpo a Corpo")&gt;0,$OD100=1),"A Forma "&amp;$MS100&amp;" já traz o Corpo a Corpo",""),IF(AND(COUNTIF($OI100:$OJ100,"Tudo ou Nada")&gt;0,$OF100=0),"Tudo ou Nada só entra em habilidade de Teste de Resistência",""),IF(AND(COUNTIF($MV100:$MY100,"Inescapável")&gt;0,OR($OS100&gt;1,$OT100&gt;0)),"Inescapável não aceita outra peça",""),IF(AND($MQ100&gt;0,$PB100*IF(COUNTIF($MV100:$MY100,"Remate")&gt;0,1.25,1)+$PC100&gt;4*$MQ100),($PB100*IF(COUNTIF($MV100:$MY100,"Remate")&gt;0,1.25,1)+$PC100)&amp;" dados somando repetições"&amp;IF(COUNTIF($MV100:$MY100,"Remate")&gt;0," e o Remate","")&amp;": o teto da Classe "&amp;$MQ100&amp;" é "&amp;4*$MQ100,"")))</f>
        <v/>
      </c>
      <c r="PS100" s="155">
        <f>IF($PR100="",0,(LEN($PR100)-LEN(SUBSTITUTE($PR100," · ","")))/3+1)</f>
        <v/>
      </c>
      <c r="PT100" s="155">
        <f>IF($NB100=0,"",TEXTJOIN(" · ",TRUE,IF($OV100&gt;2*$MQ100,"A devolução parou no teto de "&amp;2*$MQ100,""),IF($OY100&gt;0,"Devolução perdida: "&amp;$OY100&amp;IF($OY100&gt;1," pontos"," ponto")&amp;" sem peça para pagar",""),IF(AND($OA100&gt;0,AND($MQ100&gt;0,$OE100=0),$PB100=0),"Controle sem dano: uma rodada a mais e CD +2",""),IF(AND($OA100&gt;0,AND($MQ100&gt;0,$OE100=0),$PB100&gt;0,$PB100&lt;=$MQ100),"Controle com saldo até a Classe: uma rodada a mais",""),IF(AND($MQ100&gt;0,$OC100&lt;&gt;""),"Efeito de "&amp;$OC100&amp;" pela Classe "&amp;MAX(1,$MQ100-1),"")))</f>
        <v/>
      </c>
      <c r="PU100" s="155">
        <f>IF($PT100="",0,(LEN($PT100)-LEN(SUBSTITUTE($PT100," · ","")))/3+1)</f>
        <v/>
      </c>
      <c r="PV100" s="155">
        <f>IF($NB100=0,IF($OS100+COUNTIF($MZ100:$NA100,"?*")&gt;0,"Dê um nome",""),IF($PS100&gt;0,"⚠ "&amp;$PS100&amp;IF($PS100&gt;1," erros"," erro"),IF($PU100&gt;0,"! "&amp;$PU100&amp;IF($PU100&gt;1," avisos"," aviso"),"Na regra")))</f>
        <v/>
      </c>
      <c r="PW100" s="155">
        <f>IF($NB100=0,"",IF($PS100+$PU100=0,"Dentro das regras que a ficha confere",$PR100&amp;IF(AND($PS100&gt;0,$PU100&gt;0)," · ","")&amp;$PT100))</f>
        <v/>
      </c>
      <c r="PX100" s="155">
        <f>IF($MO100&gt;$NC100,$MP100&amp;" · ABRE NO NÍVEL "&amp;$MO100,$MP100)</f>
        <v/>
      </c>
      <c r="PY100" s="155">
        <f>IF($NB100=0,"",IF($MQ100=0,"Sem PE",3*$MQ100&amp;" PE"))</f>
        <v/>
      </c>
      <c r="PZ100" s="155">
        <f>IF($NB100=0,"",IF($MQ100=0,"A atuação básica dela",IF(COUNTIF($OI100:$OJ100,"Atrasar")&gt;0,"Sua Ação Completa",IF(COUNTIF($MV100:$MY100,"Rápido")&gt;0,"Sua Bônus",IF(COUNTIF($MV100:$MY100,"Reação")&gt;0,"Sua Reação","Sua Padrão")))&amp;" + a básica dela"&amp;IF(COUNTIF($MV100:$MY100,"Reação")&gt;0," e a coletiva","")&amp;IF(COUNTIF($OI100:$OJ100,"Carregar")&gt;0," · em dois turnos","")))</f>
        <v/>
      </c>
      <c r="QA100" s="155">
        <f>IF($MU100&lt;&gt;"",$MU100,IF($NH100=0,"",INDEX($AA$2:$AA$11,$NH100)))</f>
        <v/>
      </c>
      <c r="QB100" s="155">
        <f>IF(OR($NB100=0,$NH100=0),"",IF(COUNTIF($MV100:$MY100,"Inescapável")&gt;0,"Automático",IF($QA100="Ataque",IF($NF100="","Ataque","Ataque "&amp;IF(($NF100+2*IF(COUNTIF($MV100:$MY100,"Precisão")&gt;0,1,0))&gt;=0,"+","−")&amp;ABS(($NF100+2*IF(COUNTIF($MV100:$MY100,"Precisão")&gt;0,1,0))))&amp;IF($OB100&gt;0," · TR"&amp;IF($NG100="",""," CD "&amp;$NG100),""),IF(LEFT($QA100,2)="TR",$QA100&amp;IF($NG100="",""," · CD "&amp;$NG100)&amp;IF(COUNTIF($MV100:$MY100,"Certeiro")&gt;0," · metade",""),"Sem rolagem"))))</f>
        <v/>
      </c>
      <c r="QC100" s="155">
        <f>IF(OR($NB100=0,$NH100=0),"",IF($MQ100=0,IF(OR($OE100&gt;=1,$PB100=0),"Sem dano",$PB100&amp;"d6"&amp;IF($MT100="",""," "&amp;$MT100)),IF(OR($OE100&gt;=1,$PB100=0),UPPER(LEFT(INDEX($PK100:$PQ100,1,MAX(1,$MQ100)),1))&amp;MID(INDEX($PK100:$PQ100,1,MAX(1,$MQ100)),2,99),UPPER(LEFT(INDEX($PK100:$PQ100,1,MAX(1,$MQ100)),1))&amp;MID(INDEX($PK100:$PQ100,1,MAX(1,$MQ100)),2,99)&amp;IF($MT100="",""," "&amp;$MT100)&amp;IF($PC100&gt;0," · +"&amp;$PC100&amp;"d8",""))))</f>
        <v/>
      </c>
      <c r="QD100" s="155">
        <f>COUNTIF($MV100:$MY100,"Longe")+3*COUNTIF($MV100:$MY100,"Muito Longe")</f>
        <v/>
      </c>
      <c r="QE100" s="155">
        <f>COUNTIF($MV100:$MY100,"Maior")+3*COUNTIF($MV100:$MY100,"Muito Maior")</f>
        <v/>
      </c>
      <c r="QF100" s="155">
        <f>IF($NH100=0,0,CHOOSE(1+INDEX($AC$2:$AC$11,$NH100),0,$QD100,$QE100,$QD100+$QE100))</f>
        <v/>
      </c>
      <c r="QG100" s="155">
        <f>IF($NH100=0,0,CHOOSE(1+INDEX($AD$2:$AD$11,$NH100),0,$QD100,$QE100,$QD100+$QE100))</f>
        <v/>
      </c>
      <c r="QH100" s="155">
        <f>IF(OR($NB100=0,$NH100=0),"",INDEX($AI$2:$AN$41,($NH100-1)*4+IF($MQ100=0,1,IF($MQ100&lt;=5,2,IF($MQ100=6,3,4))),1+MIN(5,$QF100))&amp;INDEX($AO$2:$AT$41,($NH100-1)*4+IF($MQ100=0,1,IF($MQ100&lt;=5,2,IF($MQ100=6,3,4))),1+MIN(5,$QG100))&amp;IF(INDEX($AE$2:$AE$11,$NH100)=1,IF(COUNTIF($MV100:$MY100,"Mais Um")&gt;0," · +"&amp;COUNTIF($MV100:$MY100,"Mais Um")&amp;IF(COUNTIF($MV100:$MY100,"Mais Um")&gt;1," alvos"," alvo"),"")&amp;IF(COUNTIF($MV100:$MY100,"Rajada")&gt;0,IF($MQ100=0," · 1 tiro"," · "&amp;(MAX(1,$MQ100-1)+1)&amp;" tiros"),""),""))</f>
        <v/>
      </c>
      <c r="QI100" s="155">
        <f>IF($NB100=0,"",IF($MQ100=0,$NE100&amp;"d6"&amp;IF($OS100&gt;0," − 1 = "&amp;$PB100&amp;"d6"," da básica do nível "&amp;$NC100),$OZ100&amp;" − "&amp;$OU100&amp;" + "&amp;$OX100&amp;" = "&amp;$PA100&amp;" · teto "&amp;4*$MQ100&amp;"d8"&amp;IF($OD100=1," · a Forma devolve "&amp;$MQ100,"")&amp;IF($OY100&gt;0," · perde "&amp;$OY100,"")))</f>
        <v/>
      </c>
      <c r="QJ100" s="155">
        <f>IF($NB100=0,"",IF($MQ100=0,"A básica não amplia: os dados dela sobem com o nível",IF($MQ100&gt;=$ND100,"Já está na maior Classe que o nível liberou",TEXTJOIN(" · ",TRUE,IF(AND(2&gt;$MQ100,2&lt;=$ND100),"2 → "&amp;$PL100&amp;", 6 PE",""),IF(AND(3&gt;$MQ100,3&lt;=$ND100),"3 → "&amp;$PM100&amp;", 9 PE",""),IF(AND(4&gt;$MQ100,4&lt;=$ND100),"4 → "&amp;$PN100&amp;", 12 PE",""),IF(AND(5&gt;$MQ100,5&lt;=$ND100),"5 → "&amp;$PO100&amp;", 15 PE",""),IF(AND(6&gt;$MQ100,6&lt;=$ND100),"6 → "&amp;$PP100&amp;", 18 PE",""),IF(AND(7&gt;$MQ100,7&lt;=$ND100),"7 → "&amp;$PQ100&amp;", 21 PE","")))))</f>
        <v/>
      </c>
      <c r="QK100" s="155">
        <f>IF(OR($NB100=0,$NM100=0),"",IF($MQ100=0,"−1 dado","−"&amp;INDEX($I$2:$N$8,MAX(1,$MQ100),MAX(1,$NR100))&amp;" · "&amp;CHOOSE(MAX(1,$NR100),"Leve","Média","Pesada","Leve · Livre","Média · Livre","Pesada · Livre")))</f>
        <v/>
      </c>
      <c r="QL100" s="155">
        <f>IF(OR($NB100=0,$NN100=0),"",IF($MQ100=0,"−1 dado","−"&amp;INDEX($I$2:$N$8,MAX(1,$MQ100),MAX(1,$NS100))&amp;" · "&amp;CHOOSE(MAX(1,$NS100),"Leve","Média","Pesada","Leve · Livre","Média · Livre","Pesada · Livre")))</f>
        <v/>
      </c>
      <c r="QM100" s="155">
        <f>IF(OR($NB100=0,$NO100=0),"",IF($MQ100=0,"−1 dado","−"&amp;INDEX($I$2:$N$8,MAX(1,$MQ100),MAX(1,$NT100))&amp;" · "&amp;CHOOSE(MAX(1,$NT100),"Leve","Média","Pesada","Leve · Livre","Média · Livre","Pesada · Livre")))</f>
        <v/>
      </c>
      <c r="QN100" s="155">
        <f>IF(OR($NB100=0,$NP100=0),"",IF($MQ100=0,"−1 dado","−"&amp;INDEX($I$2:$N$8,MAX(1,$MQ100),MAX(1,$NU100))&amp;" · "&amp;CHOOSE(MAX(1,$NU100),"Leve","Média","Pesada","Leve · Livre","Média · Livre","Pesada · Livre")))</f>
        <v/>
      </c>
      <c r="QO100" s="155">
        <f>IF(OR($NB100=0,$MZ100=""),"",IF($MQ100=0,"não devolve","+"&amp;IF($OG100=1,CEILING($MQ100/2,1),$MQ100)))</f>
        <v/>
      </c>
      <c r="QP100" s="155">
        <f>IF(OR($NB100=0,$NA100=""),"",IF($MQ100=0,"não devolve","+"&amp;IF($OH100=1,CEILING($MQ100/2,1),$MQ100)))</f>
        <v/>
      </c>
    </row>
    <row r="101">
      <c r="ML101" s="153" t="inlineStr">
        <is>
          <t>Ficha 8 · Especial 7</t>
        </is>
      </c>
      <c r="MM101" s="155" t="n">
        <v>8</v>
      </c>
      <c r="MN101" s="155" t="n">
        <v>1</v>
      </c>
      <c r="MO101" s="155" t="n">
        <v>24</v>
      </c>
      <c r="MP101" s="153" t="inlineStr">
        <is>
          <t>ESPECIAL 7</t>
        </is>
      </c>
      <c r="MQ101" s="155">
        <f>MAX(1,MIN(7,N('INVOCAÇÕES'!$AN$312)))</f>
        <v/>
      </c>
      <c r="MR101" s="155">
        <f>'INVOCAÇÕES'!$AO$312&amp;""</f>
        <v/>
      </c>
      <c r="MS101" s="155">
        <f>'INVOCAÇÕES'!$AN$317&amp;""</f>
        <v/>
      </c>
      <c r="MT101" s="155">
        <f>'INVOCAÇÕES'!$AN$318&amp;""</f>
        <v/>
      </c>
      <c r="MU101" s="155">
        <f>'INVOCAÇÕES'!$AP$318&amp;""</f>
        <v/>
      </c>
      <c r="MV101" s="155">
        <f>'INVOCAÇÕES'!$AO$321&amp;""</f>
        <v/>
      </c>
      <c r="MW101" s="155">
        <f>'INVOCAÇÕES'!$AO$322&amp;""</f>
        <v/>
      </c>
      <c r="MX101" s="155">
        <f>'INVOCAÇÕES'!$AO$323&amp;""</f>
        <v/>
      </c>
      <c r="MY101" s="155">
        <f>'INVOCAÇÕES'!$AO$324&amp;""</f>
        <v/>
      </c>
      <c r="MZ101" s="155">
        <f>'INVOCAÇÕES'!$AO$325&amp;""</f>
        <v/>
      </c>
      <c r="NA101" s="155">
        <f>'INVOCAÇÕES'!$AO$326&amp;""</f>
        <v/>
      </c>
      <c r="NB101" s="155">
        <f>IF($MR101&lt;&gt;"",1,0)</f>
        <v/>
      </c>
      <c r="NC101" s="155">
        <f>INDEX($FM$2:$FM$13,$MM101)</f>
        <v/>
      </c>
      <c r="ND101" s="155">
        <f>INDEX($FN$2:$FN$13,$MM101)</f>
        <v/>
      </c>
      <c r="NE101" s="155">
        <f>INDEX($FO$2:$FO$13,$MM101)</f>
        <v/>
      </c>
      <c r="NF101" s="155">
        <f>INDEX($FZ$2:$FZ$13,$MM101)</f>
        <v/>
      </c>
      <c r="NG101" s="155">
        <f>INDEX($GA$2:$GA$13,$MM101)</f>
        <v/>
      </c>
      <c r="NH101" s="155">
        <f>IFERROR(MATCH($MS101,$V$2:$V$11,0),0)</f>
        <v/>
      </c>
      <c r="NI101" s="155">
        <f>IFERROR(VLOOKUP($MV101,$AV$2:$BA$84,2,FALSE),"")</f>
        <v/>
      </c>
      <c r="NJ101" s="155">
        <f>IFERROR(VLOOKUP($MW101,$AV$2:$BA$84,2,FALSE),"")</f>
        <v/>
      </c>
      <c r="NK101" s="155">
        <f>IFERROR(VLOOKUP($MX101,$AV$2:$BA$84,2,FALSE),"")</f>
        <v/>
      </c>
      <c r="NL101" s="155">
        <f>IFERROR(VLOOKUP($MY101,$AV$2:$BA$84,2,FALSE),"")</f>
        <v/>
      </c>
      <c r="NM101" s="155">
        <f>IFERROR(VLOOKUP($MV101,$AV$2:$BA$84,3,FALSE),0)</f>
        <v/>
      </c>
      <c r="NN101" s="155">
        <f>IFERROR(VLOOKUP($MW101,$AV$2:$BA$84,3,FALSE),0)</f>
        <v/>
      </c>
      <c r="NO101" s="155">
        <f>IFERROR(VLOOKUP($MX101,$AV$2:$BA$84,3,FALSE),0)</f>
        <v/>
      </c>
      <c r="NP101" s="155">
        <f>IFERROR(VLOOKUP($MY101,$AV$2:$BA$84,3,FALSE),0)</f>
        <v/>
      </c>
      <c r="NQ101" s="155">
        <f>IF($MQ101=0,0,IF($NH101=0,0,INDEX($X$2:$X$11,$NH101)))</f>
        <v/>
      </c>
      <c r="NR101" s="155">
        <f>IF(OR($NM101=0,$MQ101=0),0,$NM101+3*IF(AND($NI101&lt;&gt;"",OR($NI101=INDEX($EJ$2:$EJ$13,$MM101),$NI101=INDEX($EK$2:$EK$13,$MM101))),1,0))</f>
        <v/>
      </c>
      <c r="NS101" s="155">
        <f>IF(OR($NN101=0,$MQ101=0),0,$NN101+3*IF(AND($NJ101&lt;&gt;"",OR($NJ101=INDEX($EJ$2:$EJ$13,$MM101),$NJ101=INDEX($EK$2:$EK$13,$MM101))),1,0))</f>
        <v/>
      </c>
      <c r="NT101" s="155">
        <f>IF(OR($NO101=0,$MQ101=0),0,$NO101+3*IF(AND($NK101&lt;&gt;"",OR($NK101=INDEX($EJ$2:$EJ$13,$MM101),$NK101=INDEX($EK$2:$EK$13,$MM101))),1,0))</f>
        <v/>
      </c>
      <c r="NU101" s="155">
        <f>IF(OR($NP101=0,$MQ101=0),0,$NP101+3*IF(AND($NL101&lt;&gt;"",OR($NL101=INDEX($EJ$2:$EJ$13,$MM101),$NL101=INDEX($EK$2:$EK$13,$MM101))),1,0))</f>
        <v/>
      </c>
      <c r="NV101" s="155">
        <f>IF($NH101=0,0,IF(INDEX($W$2:$W$11,$NH101)="",0,IF(COUNTIF(INDEX($EJ$2:$EN$13,$MM101,0),INDEX($W$2:$W$11,$NH101))=0,1,0)))</f>
        <v/>
      </c>
      <c r="NW101" s="155">
        <f>IF(OR($NM101=0,$NI101=""),0,IF(COUNTIF(INDEX($EJ$2:$EN$13,$MM101,0),$NI101)=0,1,0))</f>
        <v/>
      </c>
      <c r="NX101" s="155">
        <f>IF(OR($NN101=0,$NJ101=""),0,IF(COUNTIF(INDEX($EJ$2:$EN$13,$MM101,0),$NJ101)=0,1,0))</f>
        <v/>
      </c>
      <c r="NY101" s="155">
        <f>IF(OR($NO101=0,$NK101=""),0,IF(COUNTIF(INDEX($EJ$2:$EN$13,$MM101,0),$NK101)=0,1,0))</f>
        <v/>
      </c>
      <c r="NZ101" s="155">
        <f>IF(OR($NP101=0,$NL101=""),0,IF(COUNTIF(INDEX($EJ$2:$EN$13,$MM101,0),$NL101)=0,1,0))</f>
        <v/>
      </c>
      <c r="OA101" s="155">
        <f>IFERROR(VLOOKUP($MV101,$AV$2:$BA$84,4,FALSE),0)+IFERROR(VLOOKUP($MW101,$AV$2:$BA$84,4,FALSE),0)+IFERROR(VLOOKUP($MX101,$AV$2:$BA$84,4,FALSE),0)+IFERROR(VLOOKUP($MY101,$AV$2:$BA$84,4,FALSE),0)</f>
        <v/>
      </c>
      <c r="OB101" s="155">
        <f>IFERROR(VLOOKUP($MV101,$AV$2:$BA$84,6,FALSE),0)+IFERROR(VLOOKUP($MW101,$AV$2:$BA$84,6,FALSE),0)+IFERROR(VLOOKUP($MX101,$AV$2:$BA$84,6,FALSE),0)+IFERROR(VLOOKUP($MY101,$AV$2:$BA$84,6,FALSE),0)</f>
        <v/>
      </c>
      <c r="OC101" s="155">
        <f>TEXTJOIN(", ",TRUE,IF(IFERROR(VLOOKUP($MV101,$AV$2:$BA$84,5,FALSE),0)=1,$MV101,""),IF(IFERROR(VLOOKUP($MW101,$AV$2:$BA$84,5,FALSE),0)=1,$MW101,""),IF(IFERROR(VLOOKUP($MX101,$AV$2:$BA$84,5,FALSE),0)=1,$MX101,""),IF(IFERROR(VLOOKUP($MY101,$AV$2:$BA$84,5,FALSE),0)=1,$MY101,""))</f>
        <v/>
      </c>
      <c r="OD101" s="155">
        <f>IF($NH101=0,0,INDEX($Y$2:$Y$11,$NH101))</f>
        <v/>
      </c>
      <c r="OE101" s="155">
        <f>IF($NH101=0,0,INDEX($Z$2:$Z$11,$NH101))</f>
        <v/>
      </c>
      <c r="OF101" s="155">
        <f>IF($NH101=0,0,INDEX($AB$2:$AB$11,$NH101))</f>
        <v/>
      </c>
      <c r="OG101" s="155">
        <f>IFERROR(VLOOKUP($MZ101,$BC$2:$BG$24,3,FALSE),0)</f>
        <v/>
      </c>
      <c r="OH101" s="155">
        <f>IFERROR(VLOOKUP($NA101,$BC$2:$BG$24,3,FALSE),0)</f>
        <v/>
      </c>
      <c r="OI101" s="155">
        <f>IFERROR(VLOOKUP($MZ101,$BC$2:$BG$24,2,FALSE),"")</f>
        <v/>
      </c>
      <c r="OJ101" s="155">
        <f>IFERROR(VLOOKUP($NA101,$BC$2:$BG$24,2,FALSE),"")</f>
        <v/>
      </c>
      <c r="OK101" s="155">
        <f>COUNTIF($NQ101:$NU101,1)</f>
        <v/>
      </c>
      <c r="OL101" s="155">
        <f>COUNTIF($NQ101:$NU101,2)</f>
        <v/>
      </c>
      <c r="OM101" s="155">
        <f>COUNTIF($NQ101:$NU101,3)</f>
        <v/>
      </c>
      <c r="ON101" s="155">
        <f>COUNTIF($NQ101:$NU101,4)</f>
        <v/>
      </c>
      <c r="OO101" s="155">
        <f>COUNTIF($NQ101:$NU101,5)</f>
        <v/>
      </c>
      <c r="OP101" s="155">
        <f>COUNTIF($NQ101:$NU101,6)</f>
        <v/>
      </c>
      <c r="OQ101" s="155">
        <f>COUNTIF($OG101:$OH101,1)</f>
        <v/>
      </c>
      <c r="OR101" s="155">
        <f>COUNTIF($OG101:$OH101,2)+$OD101</f>
        <v/>
      </c>
      <c r="OS101" s="155">
        <f>COUNTIF($MV101:$MY101,"?*")</f>
        <v/>
      </c>
      <c r="OT101" s="155">
        <f>COUNTIF($MZ101:$NA101,"?*")+$OD101</f>
        <v/>
      </c>
      <c r="OU101" s="155">
        <f>IF($MQ101=0,0,SUMPRODUCT($OK101:$OP101,INDEX($I$2:$N$8,MAX(1,$MQ101),0)))</f>
        <v/>
      </c>
      <c r="OV101" s="155">
        <f>IF($MQ101=0,0,$OQ101*CEILING($MQ101/2,1)+$OR101*$MQ101)</f>
        <v/>
      </c>
      <c r="OW101" s="155">
        <f>MIN(2*$MQ101,$OV101)</f>
        <v/>
      </c>
      <c r="OX101" s="155">
        <f>MIN($OW101,$OU101)</f>
        <v/>
      </c>
      <c r="OY101" s="155">
        <f>$OW101-$OX101</f>
        <v/>
      </c>
      <c r="OZ101" s="155">
        <f>IF($MQ101=0,0,INDEX($P$2:$P$8,MAX(1,$MQ101)))</f>
        <v/>
      </c>
      <c r="PA101" s="155">
        <f>$OZ101-$OU101+$OX101</f>
        <v/>
      </c>
      <c r="PB101" s="155">
        <f>IF($MQ101=0,MAX(0,$NE101-IF($OS101&gt;0,1,0)),MAX(0,$PA101))</f>
        <v/>
      </c>
      <c r="PC101" s="155">
        <f>IF($MQ101=0,0,(IF(COUNTIF($MV101:$MY101,"Salto")&gt;0,1,0)+IF(COUNTIF($MV101:$MY101,"Queima")&gt;0,1,0)+IF(COUNTIF($MV101:$MY101,"Estilhaço")&gt;0,1,0))*FLOOR($PB101/2,1))</f>
        <v/>
      </c>
      <c r="PD101" s="155">
        <f>MAX(0,2-SUMPRODUCT($OK101:$OP101,$I$2:$N$2)+MIN(2,$OQ101*1+$OR101*1,SUMPRODUCT($OK101:$OP101,$I$2:$N$2)))</f>
        <v/>
      </c>
      <c r="PE101" s="155">
        <f>MAX(0,4-SUMPRODUCT($OK101:$OP101,$I$3:$N$3)+MIN(4,$OQ101*1+$OR101*2,SUMPRODUCT($OK101:$OP101,$I$3:$N$3)))</f>
        <v/>
      </c>
      <c r="PF101" s="155">
        <f>MAX(0,6-SUMPRODUCT($OK101:$OP101,$I$4:$N$4)+MIN(6,$OQ101*2+$OR101*3,SUMPRODUCT($OK101:$OP101,$I$4:$N$4)))</f>
        <v/>
      </c>
      <c r="PG101" s="155">
        <f>MAX(0,9-SUMPRODUCT($OK101:$OP101,$I$5:$N$5)+MIN(8,$OQ101*2+$OR101*4,SUMPRODUCT($OK101:$OP101,$I$5:$N$5)))</f>
        <v/>
      </c>
      <c r="PH101" s="155">
        <f>MAX(0,11-SUMPRODUCT($OK101:$OP101,$I$6:$N$6)+MIN(10,$OQ101*3+$OR101*5,SUMPRODUCT($OK101:$OP101,$I$6:$N$6)))</f>
        <v/>
      </c>
      <c r="PI101" s="155">
        <f>MAX(0,13-SUMPRODUCT($OK101:$OP101,$I$7:$N$7)+MIN(12,$OQ101*3+$OR101*6,SUMPRODUCT($OK101:$OP101,$I$7:$N$7)))</f>
        <v/>
      </c>
      <c r="PJ101" s="155">
        <f>MAX(0,16-SUMPRODUCT($OK101:$OP101,$I$8:$N$8)+MIN(14,$OQ101*4+$OR101*7,SUMPRODUCT($OK101:$OP101,$I$8:$N$8)))</f>
        <v/>
      </c>
      <c r="PK101" s="155">
        <f>IF($OE101=2,3*$PD101&amp;" de vida temp.",IF($OE101=3,"sem dano",IF($PD101=0,IF($OE101=1,"sem cura","sem dano"),IF($OE101=1,"cura ","")&amp;$PD101&amp;"d8")))</f>
        <v/>
      </c>
      <c r="PL101" s="155">
        <f>IF($OE101=2,3*$PE101&amp;" de vida temp.",IF($OE101=3,"sem dano",IF($PE101=0,IF($OE101=1,"sem cura","sem dano"),IF($OE101=1,"cura ","")&amp;$PE101&amp;"d8")))</f>
        <v/>
      </c>
      <c r="PM101" s="155">
        <f>IF($OE101=2,3*$PF101&amp;" de vida temp.",IF($OE101=3,"sem dano",IF($PF101=0,IF($OE101=1,"sem cura","sem dano"),IF($OE101=1,"cura ","")&amp;$PF101&amp;"d8")))</f>
        <v/>
      </c>
      <c r="PN101" s="155">
        <f>IF($OE101=2,3*$PG101&amp;" de vida temp.",IF($OE101=3,"sem dano",IF($PG101=0,IF($OE101=1,"sem cura","sem dano"),IF($OE101=1,"cura ","")&amp;$PG101&amp;"d8")))</f>
        <v/>
      </c>
      <c r="PO101" s="155">
        <f>IF($OE101=2,3*$PH101&amp;" de vida temp.",IF($OE101=3,"sem dano",IF($PH101=0,IF($OE101=1,"sem cura","sem dano"),IF($OE101=1,"cura ","")&amp;$PH101&amp;"d8")))</f>
        <v/>
      </c>
      <c r="PP101" s="155">
        <f>IF($OE101=2,3*$PI101&amp;" de vida temp.",IF($OE101=3,"sem dano",IF($PI101=0,IF($OE101=1,"sem cura","sem dano"),IF($OE101=1,"cura ","")&amp;$PI101&amp;"d8")))</f>
        <v/>
      </c>
      <c r="PQ101" s="155">
        <f>IF($OE101=2,3*$PJ101&amp;" de vida temp.",IF($OE101=3,"sem dano",IF($PJ101=0,IF($OE101=1,"sem cura","sem dano"),IF($OE101=1,"cura ","")&amp;$PJ101&amp;"d8")))</f>
        <v/>
      </c>
      <c r="PR101" s="155">
        <f>IF($NB101=0,"",TEXTJOIN(" · ",TRUE,IF($MO101&gt;$NC101,"Este lugar abre no nível "&amp;$MO101,""),IF($MQ101&gt;$ND101,"Classe "&amp;$MQ101&amp;": o nível "&amp;$NC101&amp;" libera até a "&amp;$ND101,""),IF($NV101=1,"A Forma "&amp;$MS101&amp;" pede "&amp;INDEX($W$2:$W$11,$NH101)&amp;" aberta",""),IF(AND($MQ101=0,$NH101&gt;0,IF($NH101=0,0,INDEX($AF$2:$AF$11,$NH101))=0),$MS101&amp;" não existe na Classe 0",""),IF($NW101=1,"Família Fechada: "&amp;$MV101,""),IF($NX101=1,"Família Fechada: "&amp;$MW101,""),IF($NY101=1,"Família Fechada: "&amp;$MX101,""),IF($NZ101=1,"Família Fechada: "&amp;$MY101,""),IF(AND($MQ101&gt;0,$OS101&gt;INDEX($O$2:$O$8,MAX(1,$MQ101))),$OS101&amp;" Melhorias: a Classe "&amp;$MQ101&amp;" aceita "&amp;INDEX($O$2:$O$8,MAX(1,$MQ101)),""),IF(AND($MQ101=0,$OS101&gt;1),"A básica aceita uma Melhoria",""),IF(AND($MQ101=0,COUNTIF($NM101:$NP101,"&gt;1")&gt;0),"A básica só aceita Melhoria Leve",""),IF(AND($MQ101&gt;0,$OT101&gt;2),$OT101&amp;" Restrições"&amp;IF($OD101=1,", contando a que a Forma "&amp;$MS101&amp;" já traz","")&amp;": o limite é 2",""),IF(AND($MQ101=0,COUNTIF($MZ101:$NA101,"?*")&gt;1),"A básica aceita uma Restrição Leve",""),IF(AND($MQ101=0,COUNTIF($OG101:$OH101,2)&gt;0),"A básica só aceita Restrição Leve",""),IF(AND($MQ101&gt;0,$PA101&lt;0),"Orçamento estourado: faltam "&amp;(-$PA101)&amp;IF($PA101&lt;-1," pontos"," ponto"),""),IF(IFERROR(VLOOKUP($MZ101,$BC$2:$BG$24,4,FALSE),0)+IFERROR(VLOOKUP($NA101,$BC$2:$BG$24,4,FALSE),0)&gt;1,$OI101&amp;" e "&amp;$OJ101&amp;" são as duas de frequência",""),IF(AND((COUNTIF($MV101:$MY101,"Rápido")+COUNTIF($OI101:$OJ101,"Rápido"))&gt;0,(COUNTIF($MV101:$MY101,"Atrasar")+COUNTIF($OI101:$OJ101,"Atrasar"))&gt;0),"Rápido não entra com Atrasar",""),IF(AND((COUNTIF($MV101:$MY101,"Reação")+COUNTIF($OI101:$OJ101,"Reação"))&gt;0,(COUNTIF($MV101:$MY101,"Rápido")+COUNTIF($OI101:$OJ101,"Rápido"))&gt;0),"Reação não entra com Rápido",""),IF(AND((COUNTIF($MV101:$MY101,"Reação")+COUNTIF($OI101:$OJ101,"Reação"))&gt;0,(COUNTIF($MV101:$MY101,"Armado")+COUNTIF($OI101:$OJ101,"Armado"))&gt;0),"Reação não entra com Armado",""),IF(AND((COUNTIF($MV101:$MY101,"Reação")+COUNTIF($OI101:$OJ101,"Reação"))&gt;0,(COUNTIF($MV101:$MY101,"Atrasar")+COUNTIF($OI101:$OJ101,"Atrasar"))&gt;0),"Reação não entra com Atrasar",""),IF(AND((COUNTIF($MV101:$MY101,"Reação")+COUNTIF($OI101:$OJ101,"Reação"))&gt;0,(COUNTIF($MV101:$MY101,"Parado")+COUNTIF($OI101:$OJ101,"Parado"))&gt;0),"Reação não entra com Parado",""),IF(AND((COUNTIF($MV101:$MY101,"Atrasar")+COUNTIF($OI101:$OJ101,"Atrasar"))&gt;0,(COUNTIF($MV101:$MY101,"Parado")+COUNTIF($OI101:$OJ101,"Parado"))&gt;0),"Atrasar não entra com Parado",""),IF(AND((COUNTIF($MV101:$MY101,"Armado")+COUNTIF($OI101:$OJ101,"Armado"))&gt;0,(COUNTIF($MV101:$MY101,"Carregar")+COUNTIF($OI101:$OJ101,"Carregar"))&gt;0),"Armado não entra com Carregar",""),IF(AND(COUNTIF($OI101:$OJ101,"Corpo a Corpo")&gt;0,$OD101=0,OR($MS101="Cone",$MS101="Linha")),"Corpo a Corpo não entra em "&amp;$MS101,""),IF(AND(COUNTIF($OI101:$OJ101,"Corpo a Corpo")&gt;0,$OD101=1),"A Forma "&amp;$MS101&amp;" já traz o Corpo a Corpo",""),IF(AND(COUNTIF($OI101:$OJ101,"Tudo ou Nada")&gt;0,$OF101=0),"Tudo ou Nada só entra em habilidade de Teste de Resistência",""),IF(AND(COUNTIF($MV101:$MY101,"Inescapável")&gt;0,OR($OS101&gt;1,$OT101&gt;0)),"Inescapável não aceita outra peça",""),IF(AND($MQ101&gt;0,$PB101*IF(COUNTIF($MV101:$MY101,"Remate")&gt;0,1.25,1)+$PC101&gt;4*$MQ101),($PB101*IF(COUNTIF($MV101:$MY101,"Remate")&gt;0,1.25,1)+$PC101)&amp;" dados somando repetições"&amp;IF(COUNTIF($MV101:$MY101,"Remate")&gt;0," e o Remate","")&amp;": o teto da Classe "&amp;$MQ101&amp;" é "&amp;4*$MQ101,"")))</f>
        <v/>
      </c>
      <c r="PS101" s="155">
        <f>IF($PR101="",0,(LEN($PR101)-LEN(SUBSTITUTE($PR101," · ","")))/3+1)</f>
        <v/>
      </c>
      <c r="PT101" s="155">
        <f>IF($NB101=0,"",TEXTJOIN(" · ",TRUE,IF($OV101&gt;2*$MQ101,"A devolução parou no teto de "&amp;2*$MQ101,""),IF($OY101&gt;0,"Devolução perdida: "&amp;$OY101&amp;IF($OY101&gt;1," pontos"," ponto")&amp;" sem peça para pagar",""),IF(AND($OA101&gt;0,AND($MQ101&gt;0,$OE101=0),$PB101=0),"Controle sem dano: uma rodada a mais e CD +2",""),IF(AND($OA101&gt;0,AND($MQ101&gt;0,$OE101=0),$PB101&gt;0,$PB101&lt;=$MQ101),"Controle com saldo até a Classe: uma rodada a mais",""),IF(AND($MQ101&gt;0,$OC101&lt;&gt;""),"Efeito de "&amp;$OC101&amp;" pela Classe "&amp;MAX(1,$MQ101-1),"")))</f>
        <v/>
      </c>
      <c r="PU101" s="155">
        <f>IF($PT101="",0,(LEN($PT101)-LEN(SUBSTITUTE($PT101," · ","")))/3+1)</f>
        <v/>
      </c>
      <c r="PV101" s="155">
        <f>IF($NB101=0,IF($OS101+COUNTIF($MZ101:$NA101,"?*")&gt;0,"Dê um nome",""),IF($PS101&gt;0,"⚠ "&amp;$PS101&amp;IF($PS101&gt;1," erros"," erro"),IF($PU101&gt;0,"! "&amp;$PU101&amp;IF($PU101&gt;1," avisos"," aviso"),"Na regra")))</f>
        <v/>
      </c>
      <c r="PW101" s="155">
        <f>IF($NB101=0,"",IF($PS101+$PU101=0,"Dentro das regras que a ficha confere",$PR101&amp;IF(AND($PS101&gt;0,$PU101&gt;0)," · ","")&amp;$PT101))</f>
        <v/>
      </c>
      <c r="PX101" s="155">
        <f>IF($MO101&gt;$NC101,$MP101&amp;" · ABRE NO NÍVEL "&amp;$MO101,$MP101)</f>
        <v/>
      </c>
      <c r="PY101" s="155">
        <f>IF($NB101=0,"",IF($MQ101=0,"Sem PE",3*$MQ101&amp;" PE"))</f>
        <v/>
      </c>
      <c r="PZ101" s="155">
        <f>IF($NB101=0,"",IF($MQ101=0,"A atuação básica dela",IF(COUNTIF($OI101:$OJ101,"Atrasar")&gt;0,"Sua Ação Completa",IF(COUNTIF($MV101:$MY101,"Rápido")&gt;0,"Sua Bônus",IF(COUNTIF($MV101:$MY101,"Reação")&gt;0,"Sua Reação","Sua Padrão")))&amp;" + a básica dela"&amp;IF(COUNTIF($MV101:$MY101,"Reação")&gt;0," e a coletiva","")&amp;IF(COUNTIF($OI101:$OJ101,"Carregar")&gt;0," · em dois turnos","")))</f>
        <v/>
      </c>
      <c r="QA101" s="155">
        <f>IF($MU101&lt;&gt;"",$MU101,IF($NH101=0,"",INDEX($AA$2:$AA$11,$NH101)))</f>
        <v/>
      </c>
      <c r="QB101" s="155">
        <f>IF(OR($NB101=0,$NH101=0),"",IF(COUNTIF($MV101:$MY101,"Inescapável")&gt;0,"Automático",IF($QA101="Ataque",IF($NF101="","Ataque","Ataque "&amp;IF(($NF101+2*IF(COUNTIF($MV101:$MY101,"Precisão")&gt;0,1,0))&gt;=0,"+","−")&amp;ABS(($NF101+2*IF(COUNTIF($MV101:$MY101,"Precisão")&gt;0,1,0))))&amp;IF($OB101&gt;0," · TR"&amp;IF($NG101="",""," CD "&amp;$NG101),""),IF(LEFT($QA101,2)="TR",$QA101&amp;IF($NG101="",""," · CD "&amp;$NG101)&amp;IF(COUNTIF($MV101:$MY101,"Certeiro")&gt;0," · metade",""),"Sem rolagem"))))</f>
        <v/>
      </c>
      <c r="QC101" s="155">
        <f>IF(OR($NB101=0,$NH101=0),"",IF($MQ101=0,IF(OR($OE101&gt;=1,$PB101=0),"Sem dano",$PB101&amp;"d6"&amp;IF($MT101="",""," "&amp;$MT101)),IF(OR($OE101&gt;=1,$PB101=0),UPPER(LEFT(INDEX($PK101:$PQ101,1,MAX(1,$MQ101)),1))&amp;MID(INDEX($PK101:$PQ101,1,MAX(1,$MQ101)),2,99),UPPER(LEFT(INDEX($PK101:$PQ101,1,MAX(1,$MQ101)),1))&amp;MID(INDEX($PK101:$PQ101,1,MAX(1,$MQ101)),2,99)&amp;IF($MT101="",""," "&amp;$MT101)&amp;IF($PC101&gt;0," · +"&amp;$PC101&amp;"d8",""))))</f>
        <v/>
      </c>
      <c r="QD101" s="155">
        <f>COUNTIF($MV101:$MY101,"Longe")+3*COUNTIF($MV101:$MY101,"Muito Longe")</f>
        <v/>
      </c>
      <c r="QE101" s="155">
        <f>COUNTIF($MV101:$MY101,"Maior")+3*COUNTIF($MV101:$MY101,"Muito Maior")</f>
        <v/>
      </c>
      <c r="QF101" s="155">
        <f>IF($NH101=0,0,CHOOSE(1+INDEX($AC$2:$AC$11,$NH101),0,$QD101,$QE101,$QD101+$QE101))</f>
        <v/>
      </c>
      <c r="QG101" s="155">
        <f>IF($NH101=0,0,CHOOSE(1+INDEX($AD$2:$AD$11,$NH101),0,$QD101,$QE101,$QD101+$QE101))</f>
        <v/>
      </c>
      <c r="QH101" s="155">
        <f>IF(OR($NB101=0,$NH101=0),"",INDEX($AI$2:$AN$41,($NH101-1)*4+IF($MQ101=0,1,IF($MQ101&lt;=5,2,IF($MQ101=6,3,4))),1+MIN(5,$QF101))&amp;INDEX($AO$2:$AT$41,($NH101-1)*4+IF($MQ101=0,1,IF($MQ101&lt;=5,2,IF($MQ101=6,3,4))),1+MIN(5,$QG101))&amp;IF(INDEX($AE$2:$AE$11,$NH101)=1,IF(COUNTIF($MV101:$MY101,"Mais Um")&gt;0," · +"&amp;COUNTIF($MV101:$MY101,"Mais Um")&amp;IF(COUNTIF($MV101:$MY101,"Mais Um")&gt;1," alvos"," alvo"),"")&amp;IF(COUNTIF($MV101:$MY101,"Rajada")&gt;0,IF($MQ101=0," · 1 tiro"," · "&amp;(MAX(1,$MQ101-1)+1)&amp;" tiros"),""),""))</f>
        <v/>
      </c>
      <c r="QI101" s="155">
        <f>IF($NB101=0,"",IF($MQ101=0,$NE101&amp;"d6"&amp;IF($OS101&gt;0," − 1 = "&amp;$PB101&amp;"d6"," da básica do nível "&amp;$NC101),$OZ101&amp;" − "&amp;$OU101&amp;" + "&amp;$OX101&amp;" = "&amp;$PA101&amp;" · teto "&amp;4*$MQ101&amp;"d8"&amp;IF($OD101=1," · a Forma devolve "&amp;$MQ101,"")&amp;IF($OY101&gt;0," · perde "&amp;$OY101,"")))</f>
        <v/>
      </c>
      <c r="QJ101" s="155">
        <f>IF($NB101=0,"",IF($MQ101=0,"A básica não amplia: os dados dela sobem com o nível",IF($MQ101&gt;=$ND101,"Já está na maior Classe que o nível liberou",TEXTJOIN(" · ",TRUE,IF(AND(2&gt;$MQ101,2&lt;=$ND101),"2 → "&amp;$PL101&amp;", 6 PE",""),IF(AND(3&gt;$MQ101,3&lt;=$ND101),"3 → "&amp;$PM101&amp;", 9 PE",""),IF(AND(4&gt;$MQ101,4&lt;=$ND101),"4 → "&amp;$PN101&amp;", 12 PE",""),IF(AND(5&gt;$MQ101,5&lt;=$ND101),"5 → "&amp;$PO101&amp;", 15 PE",""),IF(AND(6&gt;$MQ101,6&lt;=$ND101),"6 → "&amp;$PP101&amp;", 18 PE",""),IF(AND(7&gt;$MQ101,7&lt;=$ND101),"7 → "&amp;$PQ101&amp;", 21 PE","")))))</f>
        <v/>
      </c>
      <c r="QK101" s="155">
        <f>IF(OR($NB101=0,$NM101=0),"",IF($MQ101=0,"−1 dado","−"&amp;INDEX($I$2:$N$8,MAX(1,$MQ101),MAX(1,$NR101))&amp;" · "&amp;CHOOSE(MAX(1,$NR101),"Leve","Média","Pesada","Leve · Livre","Média · Livre","Pesada · Livre")))</f>
        <v/>
      </c>
      <c r="QL101" s="155">
        <f>IF(OR($NB101=0,$NN101=0),"",IF($MQ101=0,"−1 dado","−"&amp;INDEX($I$2:$N$8,MAX(1,$MQ101),MAX(1,$NS101))&amp;" · "&amp;CHOOSE(MAX(1,$NS101),"Leve","Média","Pesada","Leve · Livre","Média · Livre","Pesada · Livre")))</f>
        <v/>
      </c>
      <c r="QM101" s="155">
        <f>IF(OR($NB101=0,$NO101=0),"",IF($MQ101=0,"−1 dado","−"&amp;INDEX($I$2:$N$8,MAX(1,$MQ101),MAX(1,$NT101))&amp;" · "&amp;CHOOSE(MAX(1,$NT101),"Leve","Média","Pesada","Leve · Livre","Média · Livre","Pesada · Livre")))</f>
        <v/>
      </c>
      <c r="QN101" s="155">
        <f>IF(OR($NB101=0,$NP101=0),"",IF($MQ101=0,"−1 dado","−"&amp;INDEX($I$2:$N$8,MAX(1,$MQ101),MAX(1,$NU101))&amp;" · "&amp;CHOOSE(MAX(1,$NU101),"Leve","Média","Pesada","Leve · Livre","Média · Livre","Pesada · Livre")))</f>
        <v/>
      </c>
      <c r="QO101" s="155">
        <f>IF(OR($NB101=0,$MZ101=""),"",IF($MQ101=0,"não devolve","+"&amp;IF($OG101=1,CEILING($MQ101/2,1),$MQ101)))</f>
        <v/>
      </c>
      <c r="QP101" s="155">
        <f>IF(OR($NB101=0,$NA101=""),"",IF($MQ101=0,"não devolve","+"&amp;IF($OH101=1,CEILING($MQ101/2,1),$MQ101)))</f>
        <v/>
      </c>
    </row>
    <row r="102">
      <c r="ML102" s="153" t="inlineStr">
        <is>
          <t>Ficha 8 · Especial 8</t>
        </is>
      </c>
      <c r="MM102" s="155" t="n">
        <v>8</v>
      </c>
      <c r="MN102" s="155" t="n">
        <v>1</v>
      </c>
      <c r="MO102" s="155" t="n">
        <v>28</v>
      </c>
      <c r="MP102" s="153" t="inlineStr">
        <is>
          <t>ESPECIAL 8</t>
        </is>
      </c>
      <c r="MQ102" s="155">
        <f>MAX(1,MIN(7,N('INVOCAÇÕES'!$AB$334)))</f>
        <v/>
      </c>
      <c r="MR102" s="155">
        <f>'INVOCAÇÕES'!$AC$334&amp;""</f>
        <v/>
      </c>
      <c r="MS102" s="155">
        <f>'INVOCAÇÕES'!$AB$339&amp;""</f>
        <v/>
      </c>
      <c r="MT102" s="155">
        <f>'INVOCAÇÕES'!$AB$340&amp;""</f>
        <v/>
      </c>
      <c r="MU102" s="155">
        <f>'INVOCAÇÕES'!$AD$340&amp;""</f>
        <v/>
      </c>
      <c r="MV102" s="155">
        <f>'INVOCAÇÕES'!$AC$343&amp;""</f>
        <v/>
      </c>
      <c r="MW102" s="155">
        <f>'INVOCAÇÕES'!$AC$344&amp;""</f>
        <v/>
      </c>
      <c r="MX102" s="155">
        <f>'INVOCAÇÕES'!$AC$345&amp;""</f>
        <v/>
      </c>
      <c r="MY102" s="155">
        <f>'INVOCAÇÕES'!$AC$346&amp;""</f>
        <v/>
      </c>
      <c r="MZ102" s="155">
        <f>'INVOCAÇÕES'!$AC$347&amp;""</f>
        <v/>
      </c>
      <c r="NA102" s="155">
        <f>'INVOCAÇÕES'!$AC$348&amp;""</f>
        <v/>
      </c>
      <c r="NB102" s="155">
        <f>IF($MR102&lt;&gt;"",1,0)</f>
        <v/>
      </c>
      <c r="NC102" s="155">
        <f>INDEX($FM$2:$FM$13,$MM102)</f>
        <v/>
      </c>
      <c r="ND102" s="155">
        <f>INDEX($FN$2:$FN$13,$MM102)</f>
        <v/>
      </c>
      <c r="NE102" s="155">
        <f>INDEX($FO$2:$FO$13,$MM102)</f>
        <v/>
      </c>
      <c r="NF102" s="155">
        <f>INDEX($FZ$2:$FZ$13,$MM102)</f>
        <v/>
      </c>
      <c r="NG102" s="155">
        <f>INDEX($GA$2:$GA$13,$MM102)</f>
        <v/>
      </c>
      <c r="NH102" s="155">
        <f>IFERROR(MATCH($MS102,$V$2:$V$11,0),0)</f>
        <v/>
      </c>
      <c r="NI102" s="155">
        <f>IFERROR(VLOOKUP($MV102,$AV$2:$BA$84,2,FALSE),"")</f>
        <v/>
      </c>
      <c r="NJ102" s="155">
        <f>IFERROR(VLOOKUP($MW102,$AV$2:$BA$84,2,FALSE),"")</f>
        <v/>
      </c>
      <c r="NK102" s="155">
        <f>IFERROR(VLOOKUP($MX102,$AV$2:$BA$84,2,FALSE),"")</f>
        <v/>
      </c>
      <c r="NL102" s="155">
        <f>IFERROR(VLOOKUP($MY102,$AV$2:$BA$84,2,FALSE),"")</f>
        <v/>
      </c>
      <c r="NM102" s="155">
        <f>IFERROR(VLOOKUP($MV102,$AV$2:$BA$84,3,FALSE),0)</f>
        <v/>
      </c>
      <c r="NN102" s="155">
        <f>IFERROR(VLOOKUP($MW102,$AV$2:$BA$84,3,FALSE),0)</f>
        <v/>
      </c>
      <c r="NO102" s="155">
        <f>IFERROR(VLOOKUP($MX102,$AV$2:$BA$84,3,FALSE),0)</f>
        <v/>
      </c>
      <c r="NP102" s="155">
        <f>IFERROR(VLOOKUP($MY102,$AV$2:$BA$84,3,FALSE),0)</f>
        <v/>
      </c>
      <c r="NQ102" s="155">
        <f>IF($MQ102=0,0,IF($NH102=0,0,INDEX($X$2:$X$11,$NH102)))</f>
        <v/>
      </c>
      <c r="NR102" s="155">
        <f>IF(OR($NM102=0,$MQ102=0),0,$NM102+3*IF(AND($NI102&lt;&gt;"",OR($NI102=INDEX($EJ$2:$EJ$13,$MM102),$NI102=INDEX($EK$2:$EK$13,$MM102))),1,0))</f>
        <v/>
      </c>
      <c r="NS102" s="155">
        <f>IF(OR($NN102=0,$MQ102=0),0,$NN102+3*IF(AND($NJ102&lt;&gt;"",OR($NJ102=INDEX($EJ$2:$EJ$13,$MM102),$NJ102=INDEX($EK$2:$EK$13,$MM102))),1,0))</f>
        <v/>
      </c>
      <c r="NT102" s="155">
        <f>IF(OR($NO102=0,$MQ102=0),0,$NO102+3*IF(AND($NK102&lt;&gt;"",OR($NK102=INDEX($EJ$2:$EJ$13,$MM102),$NK102=INDEX($EK$2:$EK$13,$MM102))),1,0))</f>
        <v/>
      </c>
      <c r="NU102" s="155">
        <f>IF(OR($NP102=0,$MQ102=0),0,$NP102+3*IF(AND($NL102&lt;&gt;"",OR($NL102=INDEX($EJ$2:$EJ$13,$MM102),$NL102=INDEX($EK$2:$EK$13,$MM102))),1,0))</f>
        <v/>
      </c>
      <c r="NV102" s="155">
        <f>IF($NH102=0,0,IF(INDEX($W$2:$W$11,$NH102)="",0,IF(COUNTIF(INDEX($EJ$2:$EN$13,$MM102,0),INDEX($W$2:$W$11,$NH102))=0,1,0)))</f>
        <v/>
      </c>
      <c r="NW102" s="155">
        <f>IF(OR($NM102=0,$NI102=""),0,IF(COUNTIF(INDEX($EJ$2:$EN$13,$MM102,0),$NI102)=0,1,0))</f>
        <v/>
      </c>
      <c r="NX102" s="155">
        <f>IF(OR($NN102=0,$NJ102=""),0,IF(COUNTIF(INDEX($EJ$2:$EN$13,$MM102,0),$NJ102)=0,1,0))</f>
        <v/>
      </c>
      <c r="NY102" s="155">
        <f>IF(OR($NO102=0,$NK102=""),0,IF(COUNTIF(INDEX($EJ$2:$EN$13,$MM102,0),$NK102)=0,1,0))</f>
        <v/>
      </c>
      <c r="NZ102" s="155">
        <f>IF(OR($NP102=0,$NL102=""),0,IF(COUNTIF(INDEX($EJ$2:$EN$13,$MM102,0),$NL102)=0,1,0))</f>
        <v/>
      </c>
      <c r="OA102" s="155">
        <f>IFERROR(VLOOKUP($MV102,$AV$2:$BA$84,4,FALSE),0)+IFERROR(VLOOKUP($MW102,$AV$2:$BA$84,4,FALSE),0)+IFERROR(VLOOKUP($MX102,$AV$2:$BA$84,4,FALSE),0)+IFERROR(VLOOKUP($MY102,$AV$2:$BA$84,4,FALSE),0)</f>
        <v/>
      </c>
      <c r="OB102" s="155">
        <f>IFERROR(VLOOKUP($MV102,$AV$2:$BA$84,6,FALSE),0)+IFERROR(VLOOKUP($MW102,$AV$2:$BA$84,6,FALSE),0)+IFERROR(VLOOKUP($MX102,$AV$2:$BA$84,6,FALSE),0)+IFERROR(VLOOKUP($MY102,$AV$2:$BA$84,6,FALSE),0)</f>
        <v/>
      </c>
      <c r="OC102" s="155">
        <f>TEXTJOIN(", ",TRUE,IF(IFERROR(VLOOKUP($MV102,$AV$2:$BA$84,5,FALSE),0)=1,$MV102,""),IF(IFERROR(VLOOKUP($MW102,$AV$2:$BA$84,5,FALSE),0)=1,$MW102,""),IF(IFERROR(VLOOKUP($MX102,$AV$2:$BA$84,5,FALSE),0)=1,$MX102,""),IF(IFERROR(VLOOKUP($MY102,$AV$2:$BA$84,5,FALSE),0)=1,$MY102,""))</f>
        <v/>
      </c>
      <c r="OD102" s="155">
        <f>IF($NH102=0,0,INDEX($Y$2:$Y$11,$NH102))</f>
        <v/>
      </c>
      <c r="OE102" s="155">
        <f>IF($NH102=0,0,INDEX($Z$2:$Z$11,$NH102))</f>
        <v/>
      </c>
      <c r="OF102" s="155">
        <f>IF($NH102=0,0,INDEX($AB$2:$AB$11,$NH102))</f>
        <v/>
      </c>
      <c r="OG102" s="155">
        <f>IFERROR(VLOOKUP($MZ102,$BC$2:$BG$24,3,FALSE),0)</f>
        <v/>
      </c>
      <c r="OH102" s="155">
        <f>IFERROR(VLOOKUP($NA102,$BC$2:$BG$24,3,FALSE),0)</f>
        <v/>
      </c>
      <c r="OI102" s="155">
        <f>IFERROR(VLOOKUP($MZ102,$BC$2:$BG$24,2,FALSE),"")</f>
        <v/>
      </c>
      <c r="OJ102" s="155">
        <f>IFERROR(VLOOKUP($NA102,$BC$2:$BG$24,2,FALSE),"")</f>
        <v/>
      </c>
      <c r="OK102" s="155">
        <f>COUNTIF($NQ102:$NU102,1)</f>
        <v/>
      </c>
      <c r="OL102" s="155">
        <f>COUNTIF($NQ102:$NU102,2)</f>
        <v/>
      </c>
      <c r="OM102" s="155">
        <f>COUNTIF($NQ102:$NU102,3)</f>
        <v/>
      </c>
      <c r="ON102" s="155">
        <f>COUNTIF($NQ102:$NU102,4)</f>
        <v/>
      </c>
      <c r="OO102" s="155">
        <f>COUNTIF($NQ102:$NU102,5)</f>
        <v/>
      </c>
      <c r="OP102" s="155">
        <f>COUNTIF($NQ102:$NU102,6)</f>
        <v/>
      </c>
      <c r="OQ102" s="155">
        <f>COUNTIF($OG102:$OH102,1)</f>
        <v/>
      </c>
      <c r="OR102" s="155">
        <f>COUNTIF($OG102:$OH102,2)+$OD102</f>
        <v/>
      </c>
      <c r="OS102" s="155">
        <f>COUNTIF($MV102:$MY102,"?*")</f>
        <v/>
      </c>
      <c r="OT102" s="155">
        <f>COUNTIF($MZ102:$NA102,"?*")+$OD102</f>
        <v/>
      </c>
      <c r="OU102" s="155">
        <f>IF($MQ102=0,0,SUMPRODUCT($OK102:$OP102,INDEX($I$2:$N$8,MAX(1,$MQ102),0)))</f>
        <v/>
      </c>
      <c r="OV102" s="155">
        <f>IF($MQ102=0,0,$OQ102*CEILING($MQ102/2,1)+$OR102*$MQ102)</f>
        <v/>
      </c>
      <c r="OW102" s="155">
        <f>MIN(2*$MQ102,$OV102)</f>
        <v/>
      </c>
      <c r="OX102" s="155">
        <f>MIN($OW102,$OU102)</f>
        <v/>
      </c>
      <c r="OY102" s="155">
        <f>$OW102-$OX102</f>
        <v/>
      </c>
      <c r="OZ102" s="155">
        <f>IF($MQ102=0,0,INDEX($P$2:$P$8,MAX(1,$MQ102)))</f>
        <v/>
      </c>
      <c r="PA102" s="155">
        <f>$OZ102-$OU102+$OX102</f>
        <v/>
      </c>
      <c r="PB102" s="155">
        <f>IF($MQ102=0,MAX(0,$NE102-IF($OS102&gt;0,1,0)),MAX(0,$PA102))</f>
        <v/>
      </c>
      <c r="PC102" s="155">
        <f>IF($MQ102=0,0,(IF(COUNTIF($MV102:$MY102,"Salto")&gt;0,1,0)+IF(COUNTIF($MV102:$MY102,"Queima")&gt;0,1,0)+IF(COUNTIF($MV102:$MY102,"Estilhaço")&gt;0,1,0))*FLOOR($PB102/2,1))</f>
        <v/>
      </c>
      <c r="PD102" s="155">
        <f>MAX(0,2-SUMPRODUCT($OK102:$OP102,$I$2:$N$2)+MIN(2,$OQ102*1+$OR102*1,SUMPRODUCT($OK102:$OP102,$I$2:$N$2)))</f>
        <v/>
      </c>
      <c r="PE102" s="155">
        <f>MAX(0,4-SUMPRODUCT($OK102:$OP102,$I$3:$N$3)+MIN(4,$OQ102*1+$OR102*2,SUMPRODUCT($OK102:$OP102,$I$3:$N$3)))</f>
        <v/>
      </c>
      <c r="PF102" s="155">
        <f>MAX(0,6-SUMPRODUCT($OK102:$OP102,$I$4:$N$4)+MIN(6,$OQ102*2+$OR102*3,SUMPRODUCT($OK102:$OP102,$I$4:$N$4)))</f>
        <v/>
      </c>
      <c r="PG102" s="155">
        <f>MAX(0,9-SUMPRODUCT($OK102:$OP102,$I$5:$N$5)+MIN(8,$OQ102*2+$OR102*4,SUMPRODUCT($OK102:$OP102,$I$5:$N$5)))</f>
        <v/>
      </c>
      <c r="PH102" s="155">
        <f>MAX(0,11-SUMPRODUCT($OK102:$OP102,$I$6:$N$6)+MIN(10,$OQ102*3+$OR102*5,SUMPRODUCT($OK102:$OP102,$I$6:$N$6)))</f>
        <v/>
      </c>
      <c r="PI102" s="155">
        <f>MAX(0,13-SUMPRODUCT($OK102:$OP102,$I$7:$N$7)+MIN(12,$OQ102*3+$OR102*6,SUMPRODUCT($OK102:$OP102,$I$7:$N$7)))</f>
        <v/>
      </c>
      <c r="PJ102" s="155">
        <f>MAX(0,16-SUMPRODUCT($OK102:$OP102,$I$8:$N$8)+MIN(14,$OQ102*4+$OR102*7,SUMPRODUCT($OK102:$OP102,$I$8:$N$8)))</f>
        <v/>
      </c>
      <c r="PK102" s="155">
        <f>IF($OE102=2,3*$PD102&amp;" de vida temp.",IF($OE102=3,"sem dano",IF($PD102=0,IF($OE102=1,"sem cura","sem dano"),IF($OE102=1,"cura ","")&amp;$PD102&amp;"d8")))</f>
        <v/>
      </c>
      <c r="PL102" s="155">
        <f>IF($OE102=2,3*$PE102&amp;" de vida temp.",IF($OE102=3,"sem dano",IF($PE102=0,IF($OE102=1,"sem cura","sem dano"),IF($OE102=1,"cura ","")&amp;$PE102&amp;"d8")))</f>
        <v/>
      </c>
      <c r="PM102" s="155">
        <f>IF($OE102=2,3*$PF102&amp;" de vida temp.",IF($OE102=3,"sem dano",IF($PF102=0,IF($OE102=1,"sem cura","sem dano"),IF($OE102=1,"cura ","")&amp;$PF102&amp;"d8")))</f>
        <v/>
      </c>
      <c r="PN102" s="155">
        <f>IF($OE102=2,3*$PG102&amp;" de vida temp.",IF($OE102=3,"sem dano",IF($PG102=0,IF($OE102=1,"sem cura","sem dano"),IF($OE102=1,"cura ","")&amp;$PG102&amp;"d8")))</f>
        <v/>
      </c>
      <c r="PO102" s="155">
        <f>IF($OE102=2,3*$PH102&amp;" de vida temp.",IF($OE102=3,"sem dano",IF($PH102=0,IF($OE102=1,"sem cura","sem dano"),IF($OE102=1,"cura ","")&amp;$PH102&amp;"d8")))</f>
        <v/>
      </c>
      <c r="PP102" s="155">
        <f>IF($OE102=2,3*$PI102&amp;" de vida temp.",IF($OE102=3,"sem dano",IF($PI102=0,IF($OE102=1,"sem cura","sem dano"),IF($OE102=1,"cura ","")&amp;$PI102&amp;"d8")))</f>
        <v/>
      </c>
      <c r="PQ102" s="155">
        <f>IF($OE102=2,3*$PJ102&amp;" de vida temp.",IF($OE102=3,"sem dano",IF($PJ102=0,IF($OE102=1,"sem cura","sem dano"),IF($OE102=1,"cura ","")&amp;$PJ102&amp;"d8")))</f>
        <v/>
      </c>
      <c r="PR102" s="155">
        <f>IF($NB102=0,"",TEXTJOIN(" · ",TRUE,IF($MO102&gt;$NC102,"Este lugar abre no nível "&amp;$MO102,""),IF($MQ102&gt;$ND102,"Classe "&amp;$MQ102&amp;": o nível "&amp;$NC102&amp;" libera até a "&amp;$ND102,""),IF($NV102=1,"A Forma "&amp;$MS102&amp;" pede "&amp;INDEX($W$2:$W$11,$NH102)&amp;" aberta",""),IF(AND($MQ102=0,$NH102&gt;0,IF($NH102=0,0,INDEX($AF$2:$AF$11,$NH102))=0),$MS102&amp;" não existe na Classe 0",""),IF($NW102=1,"Família Fechada: "&amp;$MV102,""),IF($NX102=1,"Família Fechada: "&amp;$MW102,""),IF($NY102=1,"Família Fechada: "&amp;$MX102,""),IF($NZ102=1,"Família Fechada: "&amp;$MY102,""),IF(AND($MQ102&gt;0,$OS102&gt;INDEX($O$2:$O$8,MAX(1,$MQ102))),$OS102&amp;" Melhorias: a Classe "&amp;$MQ102&amp;" aceita "&amp;INDEX($O$2:$O$8,MAX(1,$MQ102)),""),IF(AND($MQ102=0,$OS102&gt;1),"A básica aceita uma Melhoria",""),IF(AND($MQ102=0,COUNTIF($NM102:$NP102,"&gt;1")&gt;0),"A básica só aceita Melhoria Leve",""),IF(AND($MQ102&gt;0,$OT102&gt;2),$OT102&amp;" Restrições"&amp;IF($OD102=1,", contando a que a Forma "&amp;$MS102&amp;" já traz","")&amp;": o limite é 2",""),IF(AND($MQ102=0,COUNTIF($MZ102:$NA102,"?*")&gt;1),"A básica aceita uma Restrição Leve",""),IF(AND($MQ102=0,COUNTIF($OG102:$OH102,2)&gt;0),"A básica só aceita Restrição Leve",""),IF(AND($MQ102&gt;0,$PA102&lt;0),"Orçamento estourado: faltam "&amp;(-$PA102)&amp;IF($PA102&lt;-1," pontos"," ponto"),""),IF(IFERROR(VLOOKUP($MZ102,$BC$2:$BG$24,4,FALSE),0)+IFERROR(VLOOKUP($NA102,$BC$2:$BG$24,4,FALSE),0)&gt;1,$OI102&amp;" e "&amp;$OJ102&amp;" são as duas de frequência",""),IF(AND((COUNTIF($MV102:$MY102,"Rápido")+COUNTIF($OI102:$OJ102,"Rápido"))&gt;0,(COUNTIF($MV102:$MY102,"Atrasar")+COUNTIF($OI102:$OJ102,"Atrasar"))&gt;0),"Rápido não entra com Atrasar",""),IF(AND((COUNTIF($MV102:$MY102,"Reação")+COUNTIF($OI102:$OJ102,"Reação"))&gt;0,(COUNTIF($MV102:$MY102,"Rápido")+COUNTIF($OI102:$OJ102,"Rápido"))&gt;0),"Reação não entra com Rápido",""),IF(AND((COUNTIF($MV102:$MY102,"Reação")+COUNTIF($OI102:$OJ102,"Reação"))&gt;0,(COUNTIF($MV102:$MY102,"Armado")+COUNTIF($OI102:$OJ102,"Armado"))&gt;0),"Reação não entra com Armado",""),IF(AND((COUNTIF($MV102:$MY102,"Reação")+COUNTIF($OI102:$OJ102,"Reação"))&gt;0,(COUNTIF($MV102:$MY102,"Atrasar")+COUNTIF($OI102:$OJ102,"Atrasar"))&gt;0),"Reação não entra com Atrasar",""),IF(AND((COUNTIF($MV102:$MY102,"Reação")+COUNTIF($OI102:$OJ102,"Reação"))&gt;0,(COUNTIF($MV102:$MY102,"Parado")+COUNTIF($OI102:$OJ102,"Parado"))&gt;0),"Reação não entra com Parado",""),IF(AND((COUNTIF($MV102:$MY102,"Atrasar")+COUNTIF($OI102:$OJ102,"Atrasar"))&gt;0,(COUNTIF($MV102:$MY102,"Parado")+COUNTIF($OI102:$OJ102,"Parado"))&gt;0),"Atrasar não entra com Parado",""),IF(AND((COUNTIF($MV102:$MY102,"Armado")+COUNTIF($OI102:$OJ102,"Armado"))&gt;0,(COUNTIF($MV102:$MY102,"Carregar")+COUNTIF($OI102:$OJ102,"Carregar"))&gt;0),"Armado não entra com Carregar",""),IF(AND(COUNTIF($OI102:$OJ102,"Corpo a Corpo")&gt;0,$OD102=0,OR($MS102="Cone",$MS102="Linha")),"Corpo a Corpo não entra em "&amp;$MS102,""),IF(AND(COUNTIF($OI102:$OJ102,"Corpo a Corpo")&gt;0,$OD102=1),"A Forma "&amp;$MS102&amp;" já traz o Corpo a Corpo",""),IF(AND(COUNTIF($OI102:$OJ102,"Tudo ou Nada")&gt;0,$OF102=0),"Tudo ou Nada só entra em habilidade de Teste de Resistência",""),IF(AND(COUNTIF($MV102:$MY102,"Inescapável")&gt;0,OR($OS102&gt;1,$OT102&gt;0)),"Inescapável não aceita outra peça",""),IF(AND($MQ102&gt;0,$PB102*IF(COUNTIF($MV102:$MY102,"Remate")&gt;0,1.25,1)+$PC102&gt;4*$MQ102),($PB102*IF(COUNTIF($MV102:$MY102,"Remate")&gt;0,1.25,1)+$PC102)&amp;" dados somando repetições"&amp;IF(COUNTIF($MV102:$MY102,"Remate")&gt;0," e o Remate","")&amp;": o teto da Classe "&amp;$MQ102&amp;" é "&amp;4*$MQ102,"")))</f>
        <v/>
      </c>
      <c r="PS102" s="155">
        <f>IF($PR102="",0,(LEN($PR102)-LEN(SUBSTITUTE($PR102," · ","")))/3+1)</f>
        <v/>
      </c>
      <c r="PT102" s="155">
        <f>IF($NB102=0,"",TEXTJOIN(" · ",TRUE,IF($OV102&gt;2*$MQ102,"A devolução parou no teto de "&amp;2*$MQ102,""),IF($OY102&gt;0,"Devolução perdida: "&amp;$OY102&amp;IF($OY102&gt;1," pontos"," ponto")&amp;" sem peça para pagar",""),IF(AND($OA102&gt;0,AND($MQ102&gt;0,$OE102=0),$PB102=0),"Controle sem dano: uma rodada a mais e CD +2",""),IF(AND($OA102&gt;0,AND($MQ102&gt;0,$OE102=0),$PB102&gt;0,$PB102&lt;=$MQ102),"Controle com saldo até a Classe: uma rodada a mais",""),IF(AND($MQ102&gt;0,$OC102&lt;&gt;""),"Efeito de "&amp;$OC102&amp;" pela Classe "&amp;MAX(1,$MQ102-1),"")))</f>
        <v/>
      </c>
      <c r="PU102" s="155">
        <f>IF($PT102="",0,(LEN($PT102)-LEN(SUBSTITUTE($PT102," · ","")))/3+1)</f>
        <v/>
      </c>
      <c r="PV102" s="155">
        <f>IF($NB102=0,IF($OS102+COUNTIF($MZ102:$NA102,"?*")&gt;0,"Dê um nome",""),IF($PS102&gt;0,"⚠ "&amp;$PS102&amp;IF($PS102&gt;1," erros"," erro"),IF($PU102&gt;0,"! "&amp;$PU102&amp;IF($PU102&gt;1," avisos"," aviso"),"Na regra")))</f>
        <v/>
      </c>
      <c r="PW102" s="155">
        <f>IF($NB102=0,"",IF($PS102+$PU102=0,"Dentro das regras que a ficha confere",$PR102&amp;IF(AND($PS102&gt;0,$PU102&gt;0)," · ","")&amp;$PT102))</f>
        <v/>
      </c>
      <c r="PX102" s="155">
        <f>IF($MO102&gt;$NC102,$MP102&amp;" · ABRE NO NÍVEL "&amp;$MO102,$MP102)</f>
        <v/>
      </c>
      <c r="PY102" s="155">
        <f>IF($NB102=0,"",IF($MQ102=0,"Sem PE",3*$MQ102&amp;" PE"))</f>
        <v/>
      </c>
      <c r="PZ102" s="155">
        <f>IF($NB102=0,"",IF($MQ102=0,"A atuação básica dela",IF(COUNTIF($OI102:$OJ102,"Atrasar")&gt;0,"Sua Ação Completa",IF(COUNTIF($MV102:$MY102,"Rápido")&gt;0,"Sua Bônus",IF(COUNTIF($MV102:$MY102,"Reação")&gt;0,"Sua Reação","Sua Padrão")))&amp;" + a básica dela"&amp;IF(COUNTIF($MV102:$MY102,"Reação")&gt;0," e a coletiva","")&amp;IF(COUNTIF($OI102:$OJ102,"Carregar")&gt;0," · em dois turnos","")))</f>
        <v/>
      </c>
      <c r="QA102" s="155">
        <f>IF($MU102&lt;&gt;"",$MU102,IF($NH102=0,"",INDEX($AA$2:$AA$11,$NH102)))</f>
        <v/>
      </c>
      <c r="QB102" s="155">
        <f>IF(OR($NB102=0,$NH102=0),"",IF(COUNTIF($MV102:$MY102,"Inescapável")&gt;0,"Automático",IF($QA102="Ataque",IF($NF102="","Ataque","Ataque "&amp;IF(($NF102+2*IF(COUNTIF($MV102:$MY102,"Precisão")&gt;0,1,0))&gt;=0,"+","−")&amp;ABS(($NF102+2*IF(COUNTIF($MV102:$MY102,"Precisão")&gt;0,1,0))))&amp;IF($OB102&gt;0," · TR"&amp;IF($NG102="",""," CD "&amp;$NG102),""),IF(LEFT($QA102,2)="TR",$QA102&amp;IF($NG102="",""," · CD "&amp;$NG102)&amp;IF(COUNTIF($MV102:$MY102,"Certeiro")&gt;0," · metade",""),"Sem rolagem"))))</f>
        <v/>
      </c>
      <c r="QC102" s="155">
        <f>IF(OR($NB102=0,$NH102=0),"",IF($MQ102=0,IF(OR($OE102&gt;=1,$PB102=0),"Sem dano",$PB102&amp;"d6"&amp;IF($MT102="",""," "&amp;$MT102)),IF(OR($OE102&gt;=1,$PB102=0),UPPER(LEFT(INDEX($PK102:$PQ102,1,MAX(1,$MQ102)),1))&amp;MID(INDEX($PK102:$PQ102,1,MAX(1,$MQ102)),2,99),UPPER(LEFT(INDEX($PK102:$PQ102,1,MAX(1,$MQ102)),1))&amp;MID(INDEX($PK102:$PQ102,1,MAX(1,$MQ102)),2,99)&amp;IF($MT102="",""," "&amp;$MT102)&amp;IF($PC102&gt;0," · +"&amp;$PC102&amp;"d8",""))))</f>
        <v/>
      </c>
      <c r="QD102" s="155">
        <f>COUNTIF($MV102:$MY102,"Longe")+3*COUNTIF($MV102:$MY102,"Muito Longe")</f>
        <v/>
      </c>
      <c r="QE102" s="155">
        <f>COUNTIF($MV102:$MY102,"Maior")+3*COUNTIF($MV102:$MY102,"Muito Maior")</f>
        <v/>
      </c>
      <c r="QF102" s="155">
        <f>IF($NH102=0,0,CHOOSE(1+INDEX($AC$2:$AC$11,$NH102),0,$QD102,$QE102,$QD102+$QE102))</f>
        <v/>
      </c>
      <c r="QG102" s="155">
        <f>IF($NH102=0,0,CHOOSE(1+INDEX($AD$2:$AD$11,$NH102),0,$QD102,$QE102,$QD102+$QE102))</f>
        <v/>
      </c>
      <c r="QH102" s="155">
        <f>IF(OR($NB102=0,$NH102=0),"",INDEX($AI$2:$AN$41,($NH102-1)*4+IF($MQ102=0,1,IF($MQ102&lt;=5,2,IF($MQ102=6,3,4))),1+MIN(5,$QF102))&amp;INDEX($AO$2:$AT$41,($NH102-1)*4+IF($MQ102=0,1,IF($MQ102&lt;=5,2,IF($MQ102=6,3,4))),1+MIN(5,$QG102))&amp;IF(INDEX($AE$2:$AE$11,$NH102)=1,IF(COUNTIF($MV102:$MY102,"Mais Um")&gt;0," · +"&amp;COUNTIF($MV102:$MY102,"Mais Um")&amp;IF(COUNTIF($MV102:$MY102,"Mais Um")&gt;1," alvos"," alvo"),"")&amp;IF(COUNTIF($MV102:$MY102,"Rajada")&gt;0,IF($MQ102=0," · 1 tiro"," · "&amp;(MAX(1,$MQ102-1)+1)&amp;" tiros"),""),""))</f>
        <v/>
      </c>
      <c r="QI102" s="155">
        <f>IF($NB102=0,"",IF($MQ102=0,$NE102&amp;"d6"&amp;IF($OS102&gt;0," − 1 = "&amp;$PB102&amp;"d6"," da básica do nível "&amp;$NC102),$OZ102&amp;" − "&amp;$OU102&amp;" + "&amp;$OX102&amp;" = "&amp;$PA102&amp;" · teto "&amp;4*$MQ102&amp;"d8"&amp;IF($OD102=1," · a Forma devolve "&amp;$MQ102,"")&amp;IF($OY102&gt;0," · perde "&amp;$OY102,"")))</f>
        <v/>
      </c>
      <c r="QJ102" s="155">
        <f>IF($NB102=0,"",IF($MQ102=0,"A básica não amplia: os dados dela sobem com o nível",IF($MQ102&gt;=$ND102,"Já está na maior Classe que o nível liberou",TEXTJOIN(" · ",TRUE,IF(AND(2&gt;$MQ102,2&lt;=$ND102),"2 → "&amp;$PL102&amp;", 6 PE",""),IF(AND(3&gt;$MQ102,3&lt;=$ND102),"3 → "&amp;$PM102&amp;", 9 PE",""),IF(AND(4&gt;$MQ102,4&lt;=$ND102),"4 → "&amp;$PN102&amp;", 12 PE",""),IF(AND(5&gt;$MQ102,5&lt;=$ND102),"5 → "&amp;$PO102&amp;", 15 PE",""),IF(AND(6&gt;$MQ102,6&lt;=$ND102),"6 → "&amp;$PP102&amp;", 18 PE",""),IF(AND(7&gt;$MQ102,7&lt;=$ND102),"7 → "&amp;$PQ102&amp;", 21 PE","")))))</f>
        <v/>
      </c>
      <c r="QK102" s="155">
        <f>IF(OR($NB102=0,$NM102=0),"",IF($MQ102=0,"−1 dado","−"&amp;INDEX($I$2:$N$8,MAX(1,$MQ102),MAX(1,$NR102))&amp;" · "&amp;CHOOSE(MAX(1,$NR102),"Leve","Média","Pesada","Leve · Livre","Média · Livre","Pesada · Livre")))</f>
        <v/>
      </c>
      <c r="QL102" s="155">
        <f>IF(OR($NB102=0,$NN102=0),"",IF($MQ102=0,"−1 dado","−"&amp;INDEX($I$2:$N$8,MAX(1,$MQ102),MAX(1,$NS102))&amp;" · "&amp;CHOOSE(MAX(1,$NS102),"Leve","Média","Pesada","Leve · Livre","Média · Livre","Pesada · Livre")))</f>
        <v/>
      </c>
      <c r="QM102" s="155">
        <f>IF(OR($NB102=0,$NO102=0),"",IF($MQ102=0,"−1 dado","−"&amp;INDEX($I$2:$N$8,MAX(1,$MQ102),MAX(1,$NT102))&amp;" · "&amp;CHOOSE(MAX(1,$NT102),"Leve","Média","Pesada","Leve · Livre","Média · Livre","Pesada · Livre")))</f>
        <v/>
      </c>
      <c r="QN102" s="155">
        <f>IF(OR($NB102=0,$NP102=0),"",IF($MQ102=0,"−1 dado","−"&amp;INDEX($I$2:$N$8,MAX(1,$MQ102),MAX(1,$NU102))&amp;" · "&amp;CHOOSE(MAX(1,$NU102),"Leve","Média","Pesada","Leve · Livre","Média · Livre","Pesada · Livre")))</f>
        <v/>
      </c>
      <c r="QO102" s="155">
        <f>IF(OR($NB102=0,$MZ102=""),"",IF($MQ102=0,"não devolve","+"&amp;IF($OG102=1,CEILING($MQ102/2,1),$MQ102)))</f>
        <v/>
      </c>
      <c r="QP102" s="155">
        <f>IF(OR($NB102=0,$NA102=""),"",IF($MQ102=0,"não devolve","+"&amp;IF($OH102=1,CEILING($MQ102/2,1),$MQ102)))</f>
        <v/>
      </c>
    </row>
    <row r="103">
      <c r="ML103" s="153" t="inlineStr">
        <is>
          <t>Ficha 8 · Escolha da trilha 1</t>
        </is>
      </c>
      <c r="MM103" s="155" t="n">
        <v>8</v>
      </c>
      <c r="MN103" s="155" t="n">
        <v>2</v>
      </c>
      <c r="MO103" s="155" t="n">
        <v>0</v>
      </c>
      <c r="MP103" s="153" t="inlineStr">
        <is>
          <t>ESCOLHA DA TRILHA 1</t>
        </is>
      </c>
      <c r="MQ103" s="155">
        <f>MAX(0,MIN(7,N('INVOCAÇÕES'!$AB$358)))</f>
        <v/>
      </c>
      <c r="MR103" s="155">
        <f>'INVOCAÇÕES'!$AC$358&amp;""</f>
        <v/>
      </c>
      <c r="MS103" s="155">
        <f>'INVOCAÇÕES'!$AB$363&amp;""</f>
        <v/>
      </c>
      <c r="MT103" s="155">
        <f>'INVOCAÇÕES'!$AB$364&amp;""</f>
        <v/>
      </c>
      <c r="MU103" s="155">
        <f>'INVOCAÇÕES'!$AD$364&amp;""</f>
        <v/>
      </c>
      <c r="MV103" s="155">
        <f>'INVOCAÇÕES'!$AC$367&amp;""</f>
        <v/>
      </c>
      <c r="MW103" s="155">
        <f>'INVOCAÇÕES'!$AC$368&amp;""</f>
        <v/>
      </c>
      <c r="MX103" s="155">
        <f>'INVOCAÇÕES'!$AC$369&amp;""</f>
        <v/>
      </c>
      <c r="MY103" s="155">
        <f>'INVOCAÇÕES'!$AC$370&amp;""</f>
        <v/>
      </c>
      <c r="MZ103" s="155">
        <f>'INVOCAÇÕES'!$AC$371&amp;""</f>
        <v/>
      </c>
      <c r="NA103" s="155">
        <f>'INVOCAÇÕES'!$AC$372&amp;""</f>
        <v/>
      </c>
      <c r="NB103" s="155">
        <f>IF($MR103&lt;&gt;"",1,0)</f>
        <v/>
      </c>
      <c r="NC103" s="155">
        <f>INDEX($FM$2:$FM$13,$MM103)</f>
        <v/>
      </c>
      <c r="ND103" s="155">
        <f>INDEX($FN$2:$FN$13,$MM103)</f>
        <v/>
      </c>
      <c r="NE103" s="155">
        <f>INDEX($FO$2:$FO$13,$MM103)</f>
        <v/>
      </c>
      <c r="NF103" s="155">
        <f>INDEX($FZ$2:$FZ$13,$MM103)</f>
        <v/>
      </c>
      <c r="NG103" s="155">
        <f>INDEX($GA$2:$GA$13,$MM103)</f>
        <v/>
      </c>
      <c r="NH103" s="155">
        <f>IFERROR(MATCH($MS103,$V$2:$V$11,0),0)</f>
        <v/>
      </c>
      <c r="NI103" s="155">
        <f>IFERROR(VLOOKUP($MV103,$AV$2:$BA$84,2,FALSE),"")</f>
        <v/>
      </c>
      <c r="NJ103" s="155">
        <f>IFERROR(VLOOKUP($MW103,$AV$2:$BA$84,2,FALSE),"")</f>
        <v/>
      </c>
      <c r="NK103" s="155">
        <f>IFERROR(VLOOKUP($MX103,$AV$2:$BA$84,2,FALSE),"")</f>
        <v/>
      </c>
      <c r="NL103" s="155">
        <f>IFERROR(VLOOKUP($MY103,$AV$2:$BA$84,2,FALSE),"")</f>
        <v/>
      </c>
      <c r="NM103" s="155">
        <f>IFERROR(VLOOKUP($MV103,$AV$2:$BA$84,3,FALSE),0)</f>
        <v/>
      </c>
      <c r="NN103" s="155">
        <f>IFERROR(VLOOKUP($MW103,$AV$2:$BA$84,3,FALSE),0)</f>
        <v/>
      </c>
      <c r="NO103" s="155">
        <f>IFERROR(VLOOKUP($MX103,$AV$2:$BA$84,3,FALSE),0)</f>
        <v/>
      </c>
      <c r="NP103" s="155">
        <f>IFERROR(VLOOKUP($MY103,$AV$2:$BA$84,3,FALSE),0)</f>
        <v/>
      </c>
      <c r="NQ103" s="155">
        <f>IF($MQ103=0,0,IF($NH103=0,0,INDEX($X$2:$X$11,$NH103)))</f>
        <v/>
      </c>
      <c r="NR103" s="155">
        <f>IF(OR($NM103=0,$MQ103=0),0,$NM103+3*IF(AND($NI103&lt;&gt;"",OR($NI103=INDEX($EJ$2:$EJ$13,$MM103),$NI103=INDEX($EK$2:$EK$13,$MM103))),1,0))</f>
        <v/>
      </c>
      <c r="NS103" s="155">
        <f>IF(OR($NN103=0,$MQ103=0),0,$NN103+3*IF(AND($NJ103&lt;&gt;"",OR($NJ103=INDEX($EJ$2:$EJ$13,$MM103),$NJ103=INDEX($EK$2:$EK$13,$MM103))),1,0))</f>
        <v/>
      </c>
      <c r="NT103" s="155">
        <f>IF(OR($NO103=0,$MQ103=0),0,$NO103+3*IF(AND($NK103&lt;&gt;"",OR($NK103=INDEX($EJ$2:$EJ$13,$MM103),$NK103=INDEX($EK$2:$EK$13,$MM103))),1,0))</f>
        <v/>
      </c>
      <c r="NU103" s="155">
        <f>IF(OR($NP103=0,$MQ103=0),0,$NP103+3*IF(AND($NL103&lt;&gt;"",OR($NL103=INDEX($EJ$2:$EJ$13,$MM103),$NL103=INDEX($EK$2:$EK$13,$MM103))),1,0))</f>
        <v/>
      </c>
      <c r="NV103" s="155">
        <f>IF($NH103=0,0,IF(INDEX($W$2:$W$11,$NH103)="",0,IF(COUNTIF(INDEX($EJ$2:$EN$13,$MM103,0),INDEX($W$2:$W$11,$NH103))=0,1,0)))</f>
        <v/>
      </c>
      <c r="NW103" s="155">
        <f>IF(OR($NM103=0,$NI103=""),0,IF(COUNTIF(INDEX($EJ$2:$EN$13,$MM103,0),$NI103)=0,1,0))</f>
        <v/>
      </c>
      <c r="NX103" s="155">
        <f>IF(OR($NN103=0,$NJ103=""),0,IF(COUNTIF(INDEX($EJ$2:$EN$13,$MM103,0),$NJ103)=0,1,0))</f>
        <v/>
      </c>
      <c r="NY103" s="155">
        <f>IF(OR($NO103=0,$NK103=""),0,IF(COUNTIF(INDEX($EJ$2:$EN$13,$MM103,0),$NK103)=0,1,0))</f>
        <v/>
      </c>
      <c r="NZ103" s="155">
        <f>IF(OR($NP103=0,$NL103=""),0,IF(COUNTIF(INDEX($EJ$2:$EN$13,$MM103,0),$NL103)=0,1,0))</f>
        <v/>
      </c>
      <c r="OA103" s="155">
        <f>IFERROR(VLOOKUP($MV103,$AV$2:$BA$84,4,FALSE),0)+IFERROR(VLOOKUP($MW103,$AV$2:$BA$84,4,FALSE),0)+IFERROR(VLOOKUP($MX103,$AV$2:$BA$84,4,FALSE),0)+IFERROR(VLOOKUP($MY103,$AV$2:$BA$84,4,FALSE),0)</f>
        <v/>
      </c>
      <c r="OB103" s="155">
        <f>IFERROR(VLOOKUP($MV103,$AV$2:$BA$84,6,FALSE),0)+IFERROR(VLOOKUP($MW103,$AV$2:$BA$84,6,FALSE),0)+IFERROR(VLOOKUP($MX103,$AV$2:$BA$84,6,FALSE),0)+IFERROR(VLOOKUP($MY103,$AV$2:$BA$84,6,FALSE),0)</f>
        <v/>
      </c>
      <c r="OC103" s="155">
        <f>TEXTJOIN(", ",TRUE,IF(IFERROR(VLOOKUP($MV103,$AV$2:$BA$84,5,FALSE),0)=1,$MV103,""),IF(IFERROR(VLOOKUP($MW103,$AV$2:$BA$84,5,FALSE),0)=1,$MW103,""),IF(IFERROR(VLOOKUP($MX103,$AV$2:$BA$84,5,FALSE),0)=1,$MX103,""),IF(IFERROR(VLOOKUP($MY103,$AV$2:$BA$84,5,FALSE),0)=1,$MY103,""))</f>
        <v/>
      </c>
      <c r="OD103" s="155">
        <f>IF($NH103=0,0,INDEX($Y$2:$Y$11,$NH103))</f>
        <v/>
      </c>
      <c r="OE103" s="155">
        <f>IF($NH103=0,0,INDEX($Z$2:$Z$11,$NH103))</f>
        <v/>
      </c>
      <c r="OF103" s="155">
        <f>IF($NH103=0,0,INDEX($AB$2:$AB$11,$NH103))</f>
        <v/>
      </c>
      <c r="OG103" s="155">
        <f>IFERROR(VLOOKUP($MZ103,$BC$2:$BG$24,3,FALSE),0)</f>
        <v/>
      </c>
      <c r="OH103" s="155">
        <f>IFERROR(VLOOKUP($NA103,$BC$2:$BG$24,3,FALSE),0)</f>
        <v/>
      </c>
      <c r="OI103" s="155">
        <f>IFERROR(VLOOKUP($MZ103,$BC$2:$BG$24,2,FALSE),"")</f>
        <v/>
      </c>
      <c r="OJ103" s="155">
        <f>IFERROR(VLOOKUP($NA103,$BC$2:$BG$24,2,FALSE),"")</f>
        <v/>
      </c>
      <c r="OK103" s="155">
        <f>COUNTIF($NQ103:$NU103,1)</f>
        <v/>
      </c>
      <c r="OL103" s="155">
        <f>COUNTIF($NQ103:$NU103,2)</f>
        <v/>
      </c>
      <c r="OM103" s="155">
        <f>COUNTIF($NQ103:$NU103,3)</f>
        <v/>
      </c>
      <c r="ON103" s="155">
        <f>COUNTIF($NQ103:$NU103,4)</f>
        <v/>
      </c>
      <c r="OO103" s="155">
        <f>COUNTIF($NQ103:$NU103,5)</f>
        <v/>
      </c>
      <c r="OP103" s="155">
        <f>COUNTIF($NQ103:$NU103,6)</f>
        <v/>
      </c>
      <c r="OQ103" s="155">
        <f>COUNTIF($OG103:$OH103,1)</f>
        <v/>
      </c>
      <c r="OR103" s="155">
        <f>COUNTIF($OG103:$OH103,2)+$OD103</f>
        <v/>
      </c>
      <c r="OS103" s="155">
        <f>COUNTIF($MV103:$MY103,"?*")</f>
        <v/>
      </c>
      <c r="OT103" s="155">
        <f>COUNTIF($MZ103:$NA103,"?*")+$OD103</f>
        <v/>
      </c>
      <c r="OU103" s="155">
        <f>IF($MQ103=0,0,SUMPRODUCT($OK103:$OP103,INDEX($I$2:$N$8,MAX(1,$MQ103),0)))</f>
        <v/>
      </c>
      <c r="OV103" s="155">
        <f>IF($MQ103=0,0,$OQ103*CEILING($MQ103/2,1)+$OR103*$MQ103)</f>
        <v/>
      </c>
      <c r="OW103" s="155">
        <f>MIN(2*$MQ103,$OV103)</f>
        <v/>
      </c>
      <c r="OX103" s="155">
        <f>MIN($OW103,$OU103)</f>
        <v/>
      </c>
      <c r="OY103" s="155">
        <f>$OW103-$OX103</f>
        <v/>
      </c>
      <c r="OZ103" s="155">
        <f>IF($MQ103=0,0,INDEX($P$2:$P$8,MAX(1,$MQ103)))</f>
        <v/>
      </c>
      <c r="PA103" s="155">
        <f>$OZ103-$OU103+$OX103</f>
        <v/>
      </c>
      <c r="PB103" s="155">
        <f>IF($MQ103=0,MAX(0,$NE103-IF($OS103&gt;0,1,0)),MAX(0,$PA103))</f>
        <v/>
      </c>
      <c r="PC103" s="155">
        <f>IF($MQ103=0,0,(IF(COUNTIF($MV103:$MY103,"Salto")&gt;0,1,0)+IF(COUNTIF($MV103:$MY103,"Queima")&gt;0,1,0)+IF(COUNTIF($MV103:$MY103,"Estilhaço")&gt;0,1,0))*FLOOR($PB103/2,1))</f>
        <v/>
      </c>
      <c r="PD103" s="155">
        <f>MAX(0,2-SUMPRODUCT($OK103:$OP103,$I$2:$N$2)+MIN(2,$OQ103*1+$OR103*1,SUMPRODUCT($OK103:$OP103,$I$2:$N$2)))</f>
        <v/>
      </c>
      <c r="PE103" s="155">
        <f>MAX(0,4-SUMPRODUCT($OK103:$OP103,$I$3:$N$3)+MIN(4,$OQ103*1+$OR103*2,SUMPRODUCT($OK103:$OP103,$I$3:$N$3)))</f>
        <v/>
      </c>
      <c r="PF103" s="155">
        <f>MAX(0,6-SUMPRODUCT($OK103:$OP103,$I$4:$N$4)+MIN(6,$OQ103*2+$OR103*3,SUMPRODUCT($OK103:$OP103,$I$4:$N$4)))</f>
        <v/>
      </c>
      <c r="PG103" s="155">
        <f>MAX(0,9-SUMPRODUCT($OK103:$OP103,$I$5:$N$5)+MIN(8,$OQ103*2+$OR103*4,SUMPRODUCT($OK103:$OP103,$I$5:$N$5)))</f>
        <v/>
      </c>
      <c r="PH103" s="155">
        <f>MAX(0,11-SUMPRODUCT($OK103:$OP103,$I$6:$N$6)+MIN(10,$OQ103*3+$OR103*5,SUMPRODUCT($OK103:$OP103,$I$6:$N$6)))</f>
        <v/>
      </c>
      <c r="PI103" s="155">
        <f>MAX(0,13-SUMPRODUCT($OK103:$OP103,$I$7:$N$7)+MIN(12,$OQ103*3+$OR103*6,SUMPRODUCT($OK103:$OP103,$I$7:$N$7)))</f>
        <v/>
      </c>
      <c r="PJ103" s="155">
        <f>MAX(0,16-SUMPRODUCT($OK103:$OP103,$I$8:$N$8)+MIN(14,$OQ103*4+$OR103*7,SUMPRODUCT($OK103:$OP103,$I$8:$N$8)))</f>
        <v/>
      </c>
      <c r="PK103" s="155">
        <f>IF($OE103=2,3*$PD103&amp;" de vida temp.",IF($OE103=3,"sem dano",IF($PD103=0,IF($OE103=1,"sem cura","sem dano"),IF($OE103=1,"cura ","")&amp;$PD103&amp;"d8")))</f>
        <v/>
      </c>
      <c r="PL103" s="155">
        <f>IF($OE103=2,3*$PE103&amp;" de vida temp.",IF($OE103=3,"sem dano",IF($PE103=0,IF($OE103=1,"sem cura","sem dano"),IF($OE103=1,"cura ","")&amp;$PE103&amp;"d8")))</f>
        <v/>
      </c>
      <c r="PM103" s="155">
        <f>IF($OE103=2,3*$PF103&amp;" de vida temp.",IF($OE103=3,"sem dano",IF($PF103=0,IF($OE103=1,"sem cura","sem dano"),IF($OE103=1,"cura ","")&amp;$PF103&amp;"d8")))</f>
        <v/>
      </c>
      <c r="PN103" s="155">
        <f>IF($OE103=2,3*$PG103&amp;" de vida temp.",IF($OE103=3,"sem dano",IF($PG103=0,IF($OE103=1,"sem cura","sem dano"),IF($OE103=1,"cura ","")&amp;$PG103&amp;"d8")))</f>
        <v/>
      </c>
      <c r="PO103" s="155">
        <f>IF($OE103=2,3*$PH103&amp;" de vida temp.",IF($OE103=3,"sem dano",IF($PH103=0,IF($OE103=1,"sem cura","sem dano"),IF($OE103=1,"cura ","")&amp;$PH103&amp;"d8")))</f>
        <v/>
      </c>
      <c r="PP103" s="155">
        <f>IF($OE103=2,3*$PI103&amp;" de vida temp.",IF($OE103=3,"sem dano",IF($PI103=0,IF($OE103=1,"sem cura","sem dano"),IF($OE103=1,"cura ","")&amp;$PI103&amp;"d8")))</f>
        <v/>
      </c>
      <c r="PQ103" s="155">
        <f>IF($OE103=2,3*$PJ103&amp;" de vida temp.",IF($OE103=3,"sem dano",IF($PJ103=0,IF($OE103=1,"sem cura","sem dano"),IF($OE103=1,"cura ","")&amp;$PJ103&amp;"d8")))</f>
        <v/>
      </c>
      <c r="PR103" s="155">
        <f>IF($NB103=0,"",TEXTJOIN(" · ",TRUE,IF($MO103&gt;$NC103,"Este lugar abre no nível "&amp;$MO103,""),IF($MQ103&gt;$ND103,"Classe "&amp;$MQ103&amp;": o nível "&amp;$NC103&amp;" libera até a "&amp;$ND103,""),IF($NV103=1,"A Forma "&amp;$MS103&amp;" pede "&amp;INDEX($W$2:$W$11,$NH103)&amp;" aberta",""),IF(AND($MQ103=0,$NH103&gt;0,IF($NH103=0,0,INDEX($AF$2:$AF$11,$NH103))=0),$MS103&amp;" não existe na Classe 0",""),IF($NW103=1,"Família Fechada: "&amp;$MV103,""),IF($NX103=1,"Família Fechada: "&amp;$MW103,""),IF($NY103=1,"Família Fechada: "&amp;$MX103,""),IF($NZ103=1,"Família Fechada: "&amp;$MY103,""),IF(AND($MQ103&gt;0,$OS103&gt;INDEX($O$2:$O$8,MAX(1,$MQ103))),$OS103&amp;" Melhorias: a Classe "&amp;$MQ103&amp;" aceita "&amp;INDEX($O$2:$O$8,MAX(1,$MQ103)),""),IF(AND($MQ103=0,$OS103&gt;1),"A básica aceita uma Melhoria",""),IF(AND($MQ103=0,COUNTIF($NM103:$NP103,"&gt;1")&gt;0),"A básica só aceita Melhoria Leve",""),IF(AND($MQ103&gt;0,$OT103&gt;2),$OT103&amp;" Restrições"&amp;IF($OD103=1,", contando a que a Forma "&amp;$MS103&amp;" já traz","")&amp;": o limite é 2",""),IF(AND($MQ103=0,COUNTIF($MZ103:$NA103,"?*")&gt;1),"A básica aceita uma Restrição Leve",""),IF(AND($MQ103=0,COUNTIF($OG103:$OH103,2)&gt;0),"A básica só aceita Restrição Leve",""),IF(AND($MQ103&gt;0,$PA103&lt;0),"Orçamento estourado: faltam "&amp;(-$PA103)&amp;IF($PA103&lt;-1," pontos"," ponto"),""),IF(IFERROR(VLOOKUP($MZ103,$BC$2:$BG$24,4,FALSE),0)+IFERROR(VLOOKUP($NA103,$BC$2:$BG$24,4,FALSE),0)&gt;1,$OI103&amp;" e "&amp;$OJ103&amp;" são as duas de frequência",""),IF(AND((COUNTIF($MV103:$MY103,"Rápido")+COUNTIF($OI103:$OJ103,"Rápido"))&gt;0,(COUNTIF($MV103:$MY103,"Atrasar")+COUNTIF($OI103:$OJ103,"Atrasar"))&gt;0),"Rápido não entra com Atrasar",""),IF(AND((COUNTIF($MV103:$MY103,"Reação")+COUNTIF($OI103:$OJ103,"Reação"))&gt;0,(COUNTIF($MV103:$MY103,"Rápido")+COUNTIF($OI103:$OJ103,"Rápido"))&gt;0),"Reação não entra com Rápido",""),IF(AND((COUNTIF($MV103:$MY103,"Reação")+COUNTIF($OI103:$OJ103,"Reação"))&gt;0,(COUNTIF($MV103:$MY103,"Armado")+COUNTIF($OI103:$OJ103,"Armado"))&gt;0),"Reação não entra com Armado",""),IF(AND((COUNTIF($MV103:$MY103,"Reação")+COUNTIF($OI103:$OJ103,"Reação"))&gt;0,(COUNTIF($MV103:$MY103,"Atrasar")+COUNTIF($OI103:$OJ103,"Atrasar"))&gt;0),"Reação não entra com Atrasar",""),IF(AND((COUNTIF($MV103:$MY103,"Reação")+COUNTIF($OI103:$OJ103,"Reação"))&gt;0,(COUNTIF($MV103:$MY103,"Parado")+COUNTIF($OI103:$OJ103,"Parado"))&gt;0),"Reação não entra com Parado",""),IF(AND((COUNTIF($MV103:$MY103,"Atrasar")+COUNTIF($OI103:$OJ103,"Atrasar"))&gt;0,(COUNTIF($MV103:$MY103,"Parado")+COUNTIF($OI103:$OJ103,"Parado"))&gt;0),"Atrasar não entra com Parado",""),IF(AND((COUNTIF($MV103:$MY103,"Armado")+COUNTIF($OI103:$OJ103,"Armado"))&gt;0,(COUNTIF($MV103:$MY103,"Carregar")+COUNTIF($OI103:$OJ103,"Carregar"))&gt;0),"Armado não entra com Carregar",""),IF(AND(COUNTIF($OI103:$OJ103,"Corpo a Corpo")&gt;0,$OD103=0,OR($MS103="Cone",$MS103="Linha")),"Corpo a Corpo não entra em "&amp;$MS103,""),IF(AND(COUNTIF($OI103:$OJ103,"Corpo a Corpo")&gt;0,$OD103=1),"A Forma "&amp;$MS103&amp;" já traz o Corpo a Corpo",""),IF(AND(COUNTIF($OI103:$OJ103,"Tudo ou Nada")&gt;0,$OF103=0),"Tudo ou Nada só entra em habilidade de Teste de Resistência",""),IF(AND(COUNTIF($MV103:$MY103,"Inescapável")&gt;0,OR($OS103&gt;1,$OT103&gt;0)),"Inescapável não aceita outra peça",""),IF(AND($MQ103&gt;0,$PB103*IF(COUNTIF($MV103:$MY103,"Remate")&gt;0,1.25,1)+$PC103&gt;4*$MQ103),($PB103*IF(COUNTIF($MV103:$MY103,"Remate")&gt;0,1.25,1)+$PC103)&amp;" dados somando repetições"&amp;IF(COUNTIF($MV103:$MY103,"Remate")&gt;0," e o Remate","")&amp;": o teto da Classe "&amp;$MQ103&amp;" é "&amp;4*$MQ103,"")))</f>
        <v/>
      </c>
      <c r="PS103" s="155">
        <f>IF($PR103="",0,(LEN($PR103)-LEN(SUBSTITUTE($PR103," · ","")))/3+1)</f>
        <v/>
      </c>
      <c r="PT103" s="155">
        <f>IF($NB103=0,"",TEXTJOIN(" · ",TRUE,IF($OV103&gt;2*$MQ103,"A devolução parou no teto de "&amp;2*$MQ103,""),IF($OY103&gt;0,"Devolução perdida: "&amp;$OY103&amp;IF($OY103&gt;1," pontos"," ponto")&amp;" sem peça para pagar",""),IF(AND($OA103&gt;0,AND($MQ103&gt;0,$OE103=0),$PB103=0),"Controle sem dano: uma rodada a mais e CD +2",""),IF(AND($OA103&gt;0,AND($MQ103&gt;0,$OE103=0),$PB103&gt;0,$PB103&lt;=$MQ103),"Controle com saldo até a Classe: uma rodada a mais",""),IF(AND($MQ103&gt;0,$OC103&lt;&gt;""),"Efeito de "&amp;$OC103&amp;" pela Classe "&amp;MAX(1,$MQ103-1),"")))</f>
        <v/>
      </c>
      <c r="PU103" s="155">
        <f>IF($PT103="",0,(LEN($PT103)-LEN(SUBSTITUTE($PT103," · ","")))/3+1)</f>
        <v/>
      </c>
      <c r="PV103" s="155">
        <f>IF($NB103=0,IF($OS103+COUNTIF($MZ103:$NA103,"?*")&gt;0,"Dê um nome",""),IF($PS103&gt;0,"⚠ "&amp;$PS103&amp;IF($PS103&gt;1," erros"," erro"),IF($PU103&gt;0,"! "&amp;$PU103&amp;IF($PU103&gt;1," avisos"," aviso"),"Na regra")))</f>
        <v/>
      </c>
      <c r="PW103" s="155">
        <f>IF($NB103=0,"",IF($PS103+$PU103=0,"Dentro das regras que a ficha confere",$PR103&amp;IF(AND($PS103&gt;0,$PU103&gt;0)," · ","")&amp;$PT103))</f>
        <v/>
      </c>
      <c r="PX103" s="155">
        <f>IF($MO103&gt;$NC103,$MP103&amp;" · ABRE NO NÍVEL "&amp;$MO103,$MP103)</f>
        <v/>
      </c>
      <c r="PY103" s="155">
        <f>IF($NB103=0,"",IF($MQ103=0,"Sem PE",3*$MQ103&amp;" PE"))</f>
        <v/>
      </c>
      <c r="PZ103" s="155">
        <f>IF($NB103=0,"",IF($MQ103=0,"A atuação básica dela",IF(COUNTIF($OI103:$OJ103,"Atrasar")&gt;0,"Sua Ação Completa",IF(COUNTIF($MV103:$MY103,"Rápido")&gt;0,"Sua Bônus",IF(COUNTIF($MV103:$MY103,"Reação")&gt;0,"Sua Reação","Sua Padrão")))&amp;" + a básica dela"&amp;IF(COUNTIF($MV103:$MY103,"Reação")&gt;0," e a coletiva","")&amp;IF(COUNTIF($OI103:$OJ103,"Carregar")&gt;0," · em dois turnos","")))</f>
        <v/>
      </c>
      <c r="QA103" s="155">
        <f>IF($MU103&lt;&gt;"",$MU103,IF($NH103=0,"",INDEX($AA$2:$AA$11,$NH103)))</f>
        <v/>
      </c>
      <c r="QB103" s="155">
        <f>IF(OR($NB103=0,$NH103=0),"",IF(COUNTIF($MV103:$MY103,"Inescapável")&gt;0,"Automático",IF($QA103="Ataque",IF($NF103="","Ataque","Ataque "&amp;IF(($NF103+2*IF(COUNTIF($MV103:$MY103,"Precisão")&gt;0,1,0))&gt;=0,"+","−")&amp;ABS(($NF103+2*IF(COUNTIF($MV103:$MY103,"Precisão")&gt;0,1,0))))&amp;IF($OB103&gt;0," · TR"&amp;IF($NG103="",""," CD "&amp;$NG103),""),IF(LEFT($QA103,2)="TR",$QA103&amp;IF($NG103="",""," · CD "&amp;$NG103)&amp;IF(COUNTIF($MV103:$MY103,"Certeiro")&gt;0," · metade",""),"Sem rolagem"))))</f>
        <v/>
      </c>
      <c r="QC103" s="155">
        <f>IF(OR($NB103=0,$NH103=0),"",IF($MQ103=0,IF(OR($OE103&gt;=1,$PB103=0),"Sem dano",$PB103&amp;"d6"&amp;IF($MT103="",""," "&amp;$MT103)),IF(OR($OE103&gt;=1,$PB103=0),UPPER(LEFT(INDEX($PK103:$PQ103,1,MAX(1,$MQ103)),1))&amp;MID(INDEX($PK103:$PQ103,1,MAX(1,$MQ103)),2,99),UPPER(LEFT(INDEX($PK103:$PQ103,1,MAX(1,$MQ103)),1))&amp;MID(INDEX($PK103:$PQ103,1,MAX(1,$MQ103)),2,99)&amp;IF($MT103="",""," "&amp;$MT103)&amp;IF($PC103&gt;0," · +"&amp;$PC103&amp;"d8",""))))</f>
        <v/>
      </c>
      <c r="QD103" s="155">
        <f>COUNTIF($MV103:$MY103,"Longe")+3*COUNTIF($MV103:$MY103,"Muito Longe")</f>
        <v/>
      </c>
      <c r="QE103" s="155">
        <f>COUNTIF($MV103:$MY103,"Maior")+3*COUNTIF($MV103:$MY103,"Muito Maior")</f>
        <v/>
      </c>
      <c r="QF103" s="155">
        <f>IF($NH103=0,0,CHOOSE(1+INDEX($AC$2:$AC$11,$NH103),0,$QD103,$QE103,$QD103+$QE103))</f>
        <v/>
      </c>
      <c r="QG103" s="155">
        <f>IF($NH103=0,0,CHOOSE(1+INDEX($AD$2:$AD$11,$NH103),0,$QD103,$QE103,$QD103+$QE103))</f>
        <v/>
      </c>
      <c r="QH103" s="155">
        <f>IF(OR($NB103=0,$NH103=0),"",INDEX($AI$2:$AN$41,($NH103-1)*4+IF($MQ103=0,1,IF($MQ103&lt;=5,2,IF($MQ103=6,3,4))),1+MIN(5,$QF103))&amp;INDEX($AO$2:$AT$41,($NH103-1)*4+IF($MQ103=0,1,IF($MQ103&lt;=5,2,IF($MQ103=6,3,4))),1+MIN(5,$QG103))&amp;IF(INDEX($AE$2:$AE$11,$NH103)=1,IF(COUNTIF($MV103:$MY103,"Mais Um")&gt;0," · +"&amp;COUNTIF($MV103:$MY103,"Mais Um")&amp;IF(COUNTIF($MV103:$MY103,"Mais Um")&gt;1," alvos"," alvo"),"")&amp;IF(COUNTIF($MV103:$MY103,"Rajada")&gt;0,IF($MQ103=0," · 1 tiro"," · "&amp;(MAX(1,$MQ103-1)+1)&amp;" tiros"),""),""))</f>
        <v/>
      </c>
      <c r="QI103" s="155">
        <f>IF($NB103=0,"",IF($MQ103=0,$NE103&amp;"d6"&amp;IF($OS103&gt;0," − 1 = "&amp;$PB103&amp;"d6"," da básica do nível "&amp;$NC103),$OZ103&amp;" − "&amp;$OU103&amp;" + "&amp;$OX103&amp;" = "&amp;$PA103&amp;" · teto "&amp;4*$MQ103&amp;"d8"&amp;IF($OD103=1," · a Forma devolve "&amp;$MQ103,"")&amp;IF($OY103&gt;0," · perde "&amp;$OY103,"")))</f>
        <v/>
      </c>
      <c r="QJ103" s="155">
        <f>IF($NB103=0,"",IF($MQ103=0,"A básica não amplia: os dados dela sobem com o nível",IF($MQ103&gt;=$ND103,"Já está na maior Classe que o nível liberou",TEXTJOIN(" · ",TRUE,IF(AND(2&gt;$MQ103,2&lt;=$ND103),"2 → "&amp;$PL103&amp;", 6 PE",""),IF(AND(3&gt;$MQ103,3&lt;=$ND103),"3 → "&amp;$PM103&amp;", 9 PE",""),IF(AND(4&gt;$MQ103,4&lt;=$ND103),"4 → "&amp;$PN103&amp;", 12 PE",""),IF(AND(5&gt;$MQ103,5&lt;=$ND103),"5 → "&amp;$PO103&amp;", 15 PE",""),IF(AND(6&gt;$MQ103,6&lt;=$ND103),"6 → "&amp;$PP103&amp;", 18 PE",""),IF(AND(7&gt;$MQ103,7&lt;=$ND103),"7 → "&amp;$PQ103&amp;", 21 PE","")))))</f>
        <v/>
      </c>
      <c r="QK103" s="155">
        <f>IF(OR($NB103=0,$NM103=0),"",IF($MQ103=0,"−1 dado","−"&amp;INDEX($I$2:$N$8,MAX(1,$MQ103),MAX(1,$NR103))&amp;" · "&amp;CHOOSE(MAX(1,$NR103),"Leve","Média","Pesada","Leve · Livre","Média · Livre","Pesada · Livre")))</f>
        <v/>
      </c>
      <c r="QL103" s="155">
        <f>IF(OR($NB103=0,$NN103=0),"",IF($MQ103=0,"−1 dado","−"&amp;INDEX($I$2:$N$8,MAX(1,$MQ103),MAX(1,$NS103))&amp;" · "&amp;CHOOSE(MAX(1,$NS103),"Leve","Média","Pesada","Leve · Livre","Média · Livre","Pesada · Livre")))</f>
        <v/>
      </c>
      <c r="QM103" s="155">
        <f>IF(OR($NB103=0,$NO103=0),"",IF($MQ103=0,"−1 dado","−"&amp;INDEX($I$2:$N$8,MAX(1,$MQ103),MAX(1,$NT103))&amp;" · "&amp;CHOOSE(MAX(1,$NT103),"Leve","Média","Pesada","Leve · Livre","Média · Livre","Pesada · Livre")))</f>
        <v/>
      </c>
      <c r="QN103" s="155">
        <f>IF(OR($NB103=0,$NP103=0),"",IF($MQ103=0,"−1 dado","−"&amp;INDEX($I$2:$N$8,MAX(1,$MQ103),MAX(1,$NU103))&amp;" · "&amp;CHOOSE(MAX(1,$NU103),"Leve","Média","Pesada","Leve · Livre","Média · Livre","Pesada · Livre")))</f>
        <v/>
      </c>
      <c r="QO103" s="155">
        <f>IF(OR($NB103=0,$MZ103=""),"",IF($MQ103=0,"não devolve","+"&amp;IF($OG103=1,CEILING($MQ103/2,1),$MQ103)))</f>
        <v/>
      </c>
      <c r="QP103" s="155">
        <f>IF(OR($NB103=0,$NA103=""),"",IF($MQ103=0,"não devolve","+"&amp;IF($OH103=1,CEILING($MQ103/2,1),$MQ103)))</f>
        <v/>
      </c>
    </row>
    <row r="104">
      <c r="ML104" s="153" t="inlineStr">
        <is>
          <t>Ficha 8 · Escolha da trilha 2</t>
        </is>
      </c>
      <c r="MM104" s="155" t="n">
        <v>8</v>
      </c>
      <c r="MN104" s="155" t="n">
        <v>2</v>
      </c>
      <c r="MO104" s="155" t="n">
        <v>0</v>
      </c>
      <c r="MP104" s="153" t="inlineStr">
        <is>
          <t>ESCOLHA DA TRILHA 2</t>
        </is>
      </c>
      <c r="MQ104" s="155">
        <f>MAX(0,MIN(7,N('INVOCAÇÕES'!$AH$358)))</f>
        <v/>
      </c>
      <c r="MR104" s="155">
        <f>'INVOCAÇÕES'!$AI$358&amp;""</f>
        <v/>
      </c>
      <c r="MS104" s="155">
        <f>'INVOCAÇÕES'!$AH$363&amp;""</f>
        <v/>
      </c>
      <c r="MT104" s="155">
        <f>'INVOCAÇÕES'!$AH$364&amp;""</f>
        <v/>
      </c>
      <c r="MU104" s="155">
        <f>'INVOCAÇÕES'!$AJ$364&amp;""</f>
        <v/>
      </c>
      <c r="MV104" s="155">
        <f>'INVOCAÇÕES'!$AI$367&amp;""</f>
        <v/>
      </c>
      <c r="MW104" s="155">
        <f>'INVOCAÇÕES'!$AI$368&amp;""</f>
        <v/>
      </c>
      <c r="MX104" s="155">
        <f>'INVOCAÇÕES'!$AI$369&amp;""</f>
        <v/>
      </c>
      <c r="MY104" s="155">
        <f>'INVOCAÇÕES'!$AI$370&amp;""</f>
        <v/>
      </c>
      <c r="MZ104" s="155">
        <f>'INVOCAÇÕES'!$AI$371&amp;""</f>
        <v/>
      </c>
      <c r="NA104" s="155">
        <f>'INVOCAÇÕES'!$AI$372&amp;""</f>
        <v/>
      </c>
      <c r="NB104" s="155">
        <f>IF($MR104&lt;&gt;"",1,0)</f>
        <v/>
      </c>
      <c r="NC104" s="155">
        <f>INDEX($FM$2:$FM$13,$MM104)</f>
        <v/>
      </c>
      <c r="ND104" s="155">
        <f>INDEX($FN$2:$FN$13,$MM104)</f>
        <v/>
      </c>
      <c r="NE104" s="155">
        <f>INDEX($FO$2:$FO$13,$MM104)</f>
        <v/>
      </c>
      <c r="NF104" s="155">
        <f>INDEX($FZ$2:$FZ$13,$MM104)</f>
        <v/>
      </c>
      <c r="NG104" s="155">
        <f>INDEX($GA$2:$GA$13,$MM104)</f>
        <v/>
      </c>
      <c r="NH104" s="155">
        <f>IFERROR(MATCH($MS104,$V$2:$V$11,0),0)</f>
        <v/>
      </c>
      <c r="NI104" s="155">
        <f>IFERROR(VLOOKUP($MV104,$AV$2:$BA$84,2,FALSE),"")</f>
        <v/>
      </c>
      <c r="NJ104" s="155">
        <f>IFERROR(VLOOKUP($MW104,$AV$2:$BA$84,2,FALSE),"")</f>
        <v/>
      </c>
      <c r="NK104" s="155">
        <f>IFERROR(VLOOKUP($MX104,$AV$2:$BA$84,2,FALSE),"")</f>
        <v/>
      </c>
      <c r="NL104" s="155">
        <f>IFERROR(VLOOKUP($MY104,$AV$2:$BA$84,2,FALSE),"")</f>
        <v/>
      </c>
      <c r="NM104" s="155">
        <f>IFERROR(VLOOKUP($MV104,$AV$2:$BA$84,3,FALSE),0)</f>
        <v/>
      </c>
      <c r="NN104" s="155">
        <f>IFERROR(VLOOKUP($MW104,$AV$2:$BA$84,3,FALSE),0)</f>
        <v/>
      </c>
      <c r="NO104" s="155">
        <f>IFERROR(VLOOKUP($MX104,$AV$2:$BA$84,3,FALSE),0)</f>
        <v/>
      </c>
      <c r="NP104" s="155">
        <f>IFERROR(VLOOKUP($MY104,$AV$2:$BA$84,3,FALSE),0)</f>
        <v/>
      </c>
      <c r="NQ104" s="155">
        <f>IF($MQ104=0,0,IF($NH104=0,0,INDEX($X$2:$X$11,$NH104)))</f>
        <v/>
      </c>
      <c r="NR104" s="155">
        <f>IF(OR($NM104=0,$MQ104=0),0,$NM104+3*IF(AND($NI104&lt;&gt;"",OR($NI104=INDEX($EJ$2:$EJ$13,$MM104),$NI104=INDEX($EK$2:$EK$13,$MM104))),1,0))</f>
        <v/>
      </c>
      <c r="NS104" s="155">
        <f>IF(OR($NN104=0,$MQ104=0),0,$NN104+3*IF(AND($NJ104&lt;&gt;"",OR($NJ104=INDEX($EJ$2:$EJ$13,$MM104),$NJ104=INDEX($EK$2:$EK$13,$MM104))),1,0))</f>
        <v/>
      </c>
      <c r="NT104" s="155">
        <f>IF(OR($NO104=0,$MQ104=0),0,$NO104+3*IF(AND($NK104&lt;&gt;"",OR($NK104=INDEX($EJ$2:$EJ$13,$MM104),$NK104=INDEX($EK$2:$EK$13,$MM104))),1,0))</f>
        <v/>
      </c>
      <c r="NU104" s="155">
        <f>IF(OR($NP104=0,$MQ104=0),0,$NP104+3*IF(AND($NL104&lt;&gt;"",OR($NL104=INDEX($EJ$2:$EJ$13,$MM104),$NL104=INDEX($EK$2:$EK$13,$MM104))),1,0))</f>
        <v/>
      </c>
      <c r="NV104" s="155">
        <f>IF($NH104=0,0,IF(INDEX($W$2:$W$11,$NH104)="",0,IF(COUNTIF(INDEX($EJ$2:$EN$13,$MM104,0),INDEX($W$2:$W$11,$NH104))=0,1,0)))</f>
        <v/>
      </c>
      <c r="NW104" s="155">
        <f>IF(OR($NM104=0,$NI104=""),0,IF(COUNTIF(INDEX($EJ$2:$EN$13,$MM104,0),$NI104)=0,1,0))</f>
        <v/>
      </c>
      <c r="NX104" s="155">
        <f>IF(OR($NN104=0,$NJ104=""),0,IF(COUNTIF(INDEX($EJ$2:$EN$13,$MM104,0),$NJ104)=0,1,0))</f>
        <v/>
      </c>
      <c r="NY104" s="155">
        <f>IF(OR($NO104=0,$NK104=""),0,IF(COUNTIF(INDEX($EJ$2:$EN$13,$MM104,0),$NK104)=0,1,0))</f>
        <v/>
      </c>
      <c r="NZ104" s="155">
        <f>IF(OR($NP104=0,$NL104=""),0,IF(COUNTIF(INDEX($EJ$2:$EN$13,$MM104,0),$NL104)=0,1,0))</f>
        <v/>
      </c>
      <c r="OA104" s="155">
        <f>IFERROR(VLOOKUP($MV104,$AV$2:$BA$84,4,FALSE),0)+IFERROR(VLOOKUP($MW104,$AV$2:$BA$84,4,FALSE),0)+IFERROR(VLOOKUP($MX104,$AV$2:$BA$84,4,FALSE),0)+IFERROR(VLOOKUP($MY104,$AV$2:$BA$84,4,FALSE),0)</f>
        <v/>
      </c>
      <c r="OB104" s="155">
        <f>IFERROR(VLOOKUP($MV104,$AV$2:$BA$84,6,FALSE),0)+IFERROR(VLOOKUP($MW104,$AV$2:$BA$84,6,FALSE),0)+IFERROR(VLOOKUP($MX104,$AV$2:$BA$84,6,FALSE),0)+IFERROR(VLOOKUP($MY104,$AV$2:$BA$84,6,FALSE),0)</f>
        <v/>
      </c>
      <c r="OC104" s="155">
        <f>TEXTJOIN(", ",TRUE,IF(IFERROR(VLOOKUP($MV104,$AV$2:$BA$84,5,FALSE),0)=1,$MV104,""),IF(IFERROR(VLOOKUP($MW104,$AV$2:$BA$84,5,FALSE),0)=1,$MW104,""),IF(IFERROR(VLOOKUP($MX104,$AV$2:$BA$84,5,FALSE),0)=1,$MX104,""),IF(IFERROR(VLOOKUP($MY104,$AV$2:$BA$84,5,FALSE),0)=1,$MY104,""))</f>
        <v/>
      </c>
      <c r="OD104" s="155">
        <f>IF($NH104=0,0,INDEX($Y$2:$Y$11,$NH104))</f>
        <v/>
      </c>
      <c r="OE104" s="155">
        <f>IF($NH104=0,0,INDEX($Z$2:$Z$11,$NH104))</f>
        <v/>
      </c>
      <c r="OF104" s="155">
        <f>IF($NH104=0,0,INDEX($AB$2:$AB$11,$NH104))</f>
        <v/>
      </c>
      <c r="OG104" s="155">
        <f>IFERROR(VLOOKUP($MZ104,$BC$2:$BG$24,3,FALSE),0)</f>
        <v/>
      </c>
      <c r="OH104" s="155">
        <f>IFERROR(VLOOKUP($NA104,$BC$2:$BG$24,3,FALSE),0)</f>
        <v/>
      </c>
      <c r="OI104" s="155">
        <f>IFERROR(VLOOKUP($MZ104,$BC$2:$BG$24,2,FALSE),"")</f>
        <v/>
      </c>
      <c r="OJ104" s="155">
        <f>IFERROR(VLOOKUP($NA104,$BC$2:$BG$24,2,FALSE),"")</f>
        <v/>
      </c>
      <c r="OK104" s="155">
        <f>COUNTIF($NQ104:$NU104,1)</f>
        <v/>
      </c>
      <c r="OL104" s="155">
        <f>COUNTIF($NQ104:$NU104,2)</f>
        <v/>
      </c>
      <c r="OM104" s="155">
        <f>COUNTIF($NQ104:$NU104,3)</f>
        <v/>
      </c>
      <c r="ON104" s="155">
        <f>COUNTIF($NQ104:$NU104,4)</f>
        <v/>
      </c>
      <c r="OO104" s="155">
        <f>COUNTIF($NQ104:$NU104,5)</f>
        <v/>
      </c>
      <c r="OP104" s="155">
        <f>COUNTIF($NQ104:$NU104,6)</f>
        <v/>
      </c>
      <c r="OQ104" s="155">
        <f>COUNTIF($OG104:$OH104,1)</f>
        <v/>
      </c>
      <c r="OR104" s="155">
        <f>COUNTIF($OG104:$OH104,2)+$OD104</f>
        <v/>
      </c>
      <c r="OS104" s="155">
        <f>COUNTIF($MV104:$MY104,"?*")</f>
        <v/>
      </c>
      <c r="OT104" s="155">
        <f>COUNTIF($MZ104:$NA104,"?*")+$OD104</f>
        <v/>
      </c>
      <c r="OU104" s="155">
        <f>IF($MQ104=0,0,SUMPRODUCT($OK104:$OP104,INDEX($I$2:$N$8,MAX(1,$MQ104),0)))</f>
        <v/>
      </c>
      <c r="OV104" s="155">
        <f>IF($MQ104=0,0,$OQ104*CEILING($MQ104/2,1)+$OR104*$MQ104)</f>
        <v/>
      </c>
      <c r="OW104" s="155">
        <f>MIN(2*$MQ104,$OV104)</f>
        <v/>
      </c>
      <c r="OX104" s="155">
        <f>MIN($OW104,$OU104)</f>
        <v/>
      </c>
      <c r="OY104" s="155">
        <f>$OW104-$OX104</f>
        <v/>
      </c>
      <c r="OZ104" s="155">
        <f>IF($MQ104=0,0,INDEX($P$2:$P$8,MAX(1,$MQ104)))</f>
        <v/>
      </c>
      <c r="PA104" s="155">
        <f>$OZ104-$OU104+$OX104</f>
        <v/>
      </c>
      <c r="PB104" s="155">
        <f>IF($MQ104=0,MAX(0,$NE104-IF($OS104&gt;0,1,0)),MAX(0,$PA104))</f>
        <v/>
      </c>
      <c r="PC104" s="155">
        <f>IF($MQ104=0,0,(IF(COUNTIF($MV104:$MY104,"Salto")&gt;0,1,0)+IF(COUNTIF($MV104:$MY104,"Queima")&gt;0,1,0)+IF(COUNTIF($MV104:$MY104,"Estilhaço")&gt;0,1,0))*FLOOR($PB104/2,1))</f>
        <v/>
      </c>
      <c r="PD104" s="155">
        <f>MAX(0,2-SUMPRODUCT($OK104:$OP104,$I$2:$N$2)+MIN(2,$OQ104*1+$OR104*1,SUMPRODUCT($OK104:$OP104,$I$2:$N$2)))</f>
        <v/>
      </c>
      <c r="PE104" s="155">
        <f>MAX(0,4-SUMPRODUCT($OK104:$OP104,$I$3:$N$3)+MIN(4,$OQ104*1+$OR104*2,SUMPRODUCT($OK104:$OP104,$I$3:$N$3)))</f>
        <v/>
      </c>
      <c r="PF104" s="155">
        <f>MAX(0,6-SUMPRODUCT($OK104:$OP104,$I$4:$N$4)+MIN(6,$OQ104*2+$OR104*3,SUMPRODUCT($OK104:$OP104,$I$4:$N$4)))</f>
        <v/>
      </c>
      <c r="PG104" s="155">
        <f>MAX(0,9-SUMPRODUCT($OK104:$OP104,$I$5:$N$5)+MIN(8,$OQ104*2+$OR104*4,SUMPRODUCT($OK104:$OP104,$I$5:$N$5)))</f>
        <v/>
      </c>
      <c r="PH104" s="155">
        <f>MAX(0,11-SUMPRODUCT($OK104:$OP104,$I$6:$N$6)+MIN(10,$OQ104*3+$OR104*5,SUMPRODUCT($OK104:$OP104,$I$6:$N$6)))</f>
        <v/>
      </c>
      <c r="PI104" s="155">
        <f>MAX(0,13-SUMPRODUCT($OK104:$OP104,$I$7:$N$7)+MIN(12,$OQ104*3+$OR104*6,SUMPRODUCT($OK104:$OP104,$I$7:$N$7)))</f>
        <v/>
      </c>
      <c r="PJ104" s="155">
        <f>MAX(0,16-SUMPRODUCT($OK104:$OP104,$I$8:$N$8)+MIN(14,$OQ104*4+$OR104*7,SUMPRODUCT($OK104:$OP104,$I$8:$N$8)))</f>
        <v/>
      </c>
      <c r="PK104" s="155">
        <f>IF($OE104=2,3*$PD104&amp;" de vida temp.",IF($OE104=3,"sem dano",IF($PD104=0,IF($OE104=1,"sem cura","sem dano"),IF($OE104=1,"cura ","")&amp;$PD104&amp;"d8")))</f>
        <v/>
      </c>
      <c r="PL104" s="155">
        <f>IF($OE104=2,3*$PE104&amp;" de vida temp.",IF($OE104=3,"sem dano",IF($PE104=0,IF($OE104=1,"sem cura","sem dano"),IF($OE104=1,"cura ","")&amp;$PE104&amp;"d8")))</f>
        <v/>
      </c>
      <c r="PM104" s="155">
        <f>IF($OE104=2,3*$PF104&amp;" de vida temp.",IF($OE104=3,"sem dano",IF($PF104=0,IF($OE104=1,"sem cura","sem dano"),IF($OE104=1,"cura ","")&amp;$PF104&amp;"d8")))</f>
        <v/>
      </c>
      <c r="PN104" s="155">
        <f>IF($OE104=2,3*$PG104&amp;" de vida temp.",IF($OE104=3,"sem dano",IF($PG104=0,IF($OE104=1,"sem cura","sem dano"),IF($OE104=1,"cura ","")&amp;$PG104&amp;"d8")))</f>
        <v/>
      </c>
      <c r="PO104" s="155">
        <f>IF($OE104=2,3*$PH104&amp;" de vida temp.",IF($OE104=3,"sem dano",IF($PH104=0,IF($OE104=1,"sem cura","sem dano"),IF($OE104=1,"cura ","")&amp;$PH104&amp;"d8")))</f>
        <v/>
      </c>
      <c r="PP104" s="155">
        <f>IF($OE104=2,3*$PI104&amp;" de vida temp.",IF($OE104=3,"sem dano",IF($PI104=0,IF($OE104=1,"sem cura","sem dano"),IF($OE104=1,"cura ","")&amp;$PI104&amp;"d8")))</f>
        <v/>
      </c>
      <c r="PQ104" s="155">
        <f>IF($OE104=2,3*$PJ104&amp;" de vida temp.",IF($OE104=3,"sem dano",IF($PJ104=0,IF($OE104=1,"sem cura","sem dano"),IF($OE104=1,"cura ","")&amp;$PJ104&amp;"d8")))</f>
        <v/>
      </c>
      <c r="PR104" s="155">
        <f>IF($NB104=0,"",TEXTJOIN(" · ",TRUE,IF($MO104&gt;$NC104,"Este lugar abre no nível "&amp;$MO104,""),IF($MQ104&gt;$ND104,"Classe "&amp;$MQ104&amp;": o nível "&amp;$NC104&amp;" libera até a "&amp;$ND104,""),IF($NV104=1,"A Forma "&amp;$MS104&amp;" pede "&amp;INDEX($W$2:$W$11,$NH104)&amp;" aberta",""),IF(AND($MQ104=0,$NH104&gt;0,IF($NH104=0,0,INDEX($AF$2:$AF$11,$NH104))=0),$MS104&amp;" não existe na Classe 0",""),IF($NW104=1,"Família Fechada: "&amp;$MV104,""),IF($NX104=1,"Família Fechada: "&amp;$MW104,""),IF($NY104=1,"Família Fechada: "&amp;$MX104,""),IF($NZ104=1,"Família Fechada: "&amp;$MY104,""),IF(AND($MQ104&gt;0,$OS104&gt;INDEX($O$2:$O$8,MAX(1,$MQ104))),$OS104&amp;" Melhorias: a Classe "&amp;$MQ104&amp;" aceita "&amp;INDEX($O$2:$O$8,MAX(1,$MQ104)),""),IF(AND($MQ104=0,$OS104&gt;1),"A básica aceita uma Melhoria",""),IF(AND($MQ104=0,COUNTIF($NM104:$NP104,"&gt;1")&gt;0),"A básica só aceita Melhoria Leve",""),IF(AND($MQ104&gt;0,$OT104&gt;2),$OT104&amp;" Restrições"&amp;IF($OD104=1,", contando a que a Forma "&amp;$MS104&amp;" já traz","")&amp;": o limite é 2",""),IF(AND($MQ104=0,COUNTIF($MZ104:$NA104,"?*")&gt;1),"A básica aceita uma Restrição Leve",""),IF(AND($MQ104=0,COUNTIF($OG104:$OH104,2)&gt;0),"A básica só aceita Restrição Leve",""),IF(AND($MQ104&gt;0,$PA104&lt;0),"Orçamento estourado: faltam "&amp;(-$PA104)&amp;IF($PA104&lt;-1," pontos"," ponto"),""),IF(IFERROR(VLOOKUP($MZ104,$BC$2:$BG$24,4,FALSE),0)+IFERROR(VLOOKUP($NA104,$BC$2:$BG$24,4,FALSE),0)&gt;1,$OI104&amp;" e "&amp;$OJ104&amp;" são as duas de frequência",""),IF(AND((COUNTIF($MV104:$MY104,"Rápido")+COUNTIF($OI104:$OJ104,"Rápido"))&gt;0,(COUNTIF($MV104:$MY104,"Atrasar")+COUNTIF($OI104:$OJ104,"Atrasar"))&gt;0),"Rápido não entra com Atrasar",""),IF(AND((COUNTIF($MV104:$MY104,"Reação")+COUNTIF($OI104:$OJ104,"Reação"))&gt;0,(COUNTIF($MV104:$MY104,"Rápido")+COUNTIF($OI104:$OJ104,"Rápido"))&gt;0),"Reação não entra com Rápido",""),IF(AND((COUNTIF($MV104:$MY104,"Reação")+COUNTIF($OI104:$OJ104,"Reação"))&gt;0,(COUNTIF($MV104:$MY104,"Armado")+COUNTIF($OI104:$OJ104,"Armado"))&gt;0),"Reação não entra com Armado",""),IF(AND((COUNTIF($MV104:$MY104,"Reação")+COUNTIF($OI104:$OJ104,"Reação"))&gt;0,(COUNTIF($MV104:$MY104,"Atrasar")+COUNTIF($OI104:$OJ104,"Atrasar"))&gt;0),"Reação não entra com Atrasar",""),IF(AND((COUNTIF($MV104:$MY104,"Reação")+COUNTIF($OI104:$OJ104,"Reação"))&gt;0,(COUNTIF($MV104:$MY104,"Parado")+COUNTIF($OI104:$OJ104,"Parado"))&gt;0),"Reação não entra com Parado",""),IF(AND((COUNTIF($MV104:$MY104,"Atrasar")+COUNTIF($OI104:$OJ104,"Atrasar"))&gt;0,(COUNTIF($MV104:$MY104,"Parado")+COUNTIF($OI104:$OJ104,"Parado"))&gt;0),"Atrasar não entra com Parado",""),IF(AND((COUNTIF($MV104:$MY104,"Armado")+COUNTIF($OI104:$OJ104,"Armado"))&gt;0,(COUNTIF($MV104:$MY104,"Carregar")+COUNTIF($OI104:$OJ104,"Carregar"))&gt;0),"Armado não entra com Carregar",""),IF(AND(COUNTIF($OI104:$OJ104,"Corpo a Corpo")&gt;0,$OD104=0,OR($MS104="Cone",$MS104="Linha")),"Corpo a Corpo não entra em "&amp;$MS104,""),IF(AND(COUNTIF($OI104:$OJ104,"Corpo a Corpo")&gt;0,$OD104=1),"A Forma "&amp;$MS104&amp;" já traz o Corpo a Corpo",""),IF(AND(COUNTIF($OI104:$OJ104,"Tudo ou Nada")&gt;0,$OF104=0),"Tudo ou Nada só entra em habilidade de Teste de Resistência",""),IF(AND(COUNTIF($MV104:$MY104,"Inescapável")&gt;0,OR($OS104&gt;1,$OT104&gt;0)),"Inescapável não aceita outra peça",""),IF(AND($MQ104&gt;0,$PB104*IF(COUNTIF($MV104:$MY104,"Remate")&gt;0,1.25,1)+$PC104&gt;4*$MQ104),($PB104*IF(COUNTIF($MV104:$MY104,"Remate")&gt;0,1.25,1)+$PC104)&amp;" dados somando repetições"&amp;IF(COUNTIF($MV104:$MY104,"Remate")&gt;0," e o Remate","")&amp;": o teto da Classe "&amp;$MQ104&amp;" é "&amp;4*$MQ104,"")))</f>
        <v/>
      </c>
      <c r="PS104" s="155">
        <f>IF($PR104="",0,(LEN($PR104)-LEN(SUBSTITUTE($PR104," · ","")))/3+1)</f>
        <v/>
      </c>
      <c r="PT104" s="155">
        <f>IF($NB104=0,"",TEXTJOIN(" · ",TRUE,IF($OV104&gt;2*$MQ104,"A devolução parou no teto de "&amp;2*$MQ104,""),IF($OY104&gt;0,"Devolução perdida: "&amp;$OY104&amp;IF($OY104&gt;1," pontos"," ponto")&amp;" sem peça para pagar",""),IF(AND($OA104&gt;0,AND($MQ104&gt;0,$OE104=0),$PB104=0),"Controle sem dano: uma rodada a mais e CD +2",""),IF(AND($OA104&gt;0,AND($MQ104&gt;0,$OE104=0),$PB104&gt;0,$PB104&lt;=$MQ104),"Controle com saldo até a Classe: uma rodada a mais",""),IF(AND($MQ104&gt;0,$OC104&lt;&gt;""),"Efeito de "&amp;$OC104&amp;" pela Classe "&amp;MAX(1,$MQ104-1),"")))</f>
        <v/>
      </c>
      <c r="PU104" s="155">
        <f>IF($PT104="",0,(LEN($PT104)-LEN(SUBSTITUTE($PT104," · ","")))/3+1)</f>
        <v/>
      </c>
      <c r="PV104" s="155">
        <f>IF($NB104=0,IF($OS104+COUNTIF($MZ104:$NA104,"?*")&gt;0,"Dê um nome",""),IF($PS104&gt;0,"⚠ "&amp;$PS104&amp;IF($PS104&gt;1," erros"," erro"),IF($PU104&gt;0,"! "&amp;$PU104&amp;IF($PU104&gt;1," avisos"," aviso"),"Na regra")))</f>
        <v/>
      </c>
      <c r="PW104" s="155">
        <f>IF($NB104=0,"",IF($PS104+$PU104=0,"Dentro das regras que a ficha confere",$PR104&amp;IF(AND($PS104&gt;0,$PU104&gt;0)," · ","")&amp;$PT104))</f>
        <v/>
      </c>
      <c r="PX104" s="155">
        <f>IF($MO104&gt;$NC104,$MP104&amp;" · ABRE NO NÍVEL "&amp;$MO104,$MP104)</f>
        <v/>
      </c>
      <c r="PY104" s="155">
        <f>IF($NB104=0,"",IF($MQ104=0,"Sem PE",3*$MQ104&amp;" PE"))</f>
        <v/>
      </c>
      <c r="PZ104" s="155">
        <f>IF($NB104=0,"",IF($MQ104=0,"A atuação básica dela",IF(COUNTIF($OI104:$OJ104,"Atrasar")&gt;0,"Sua Ação Completa",IF(COUNTIF($MV104:$MY104,"Rápido")&gt;0,"Sua Bônus",IF(COUNTIF($MV104:$MY104,"Reação")&gt;0,"Sua Reação","Sua Padrão")))&amp;" + a básica dela"&amp;IF(COUNTIF($MV104:$MY104,"Reação")&gt;0," e a coletiva","")&amp;IF(COUNTIF($OI104:$OJ104,"Carregar")&gt;0," · em dois turnos","")))</f>
        <v/>
      </c>
      <c r="QA104" s="155">
        <f>IF($MU104&lt;&gt;"",$MU104,IF($NH104=0,"",INDEX($AA$2:$AA$11,$NH104)))</f>
        <v/>
      </c>
      <c r="QB104" s="155">
        <f>IF(OR($NB104=0,$NH104=0),"",IF(COUNTIF($MV104:$MY104,"Inescapável")&gt;0,"Automático",IF($QA104="Ataque",IF($NF104="","Ataque","Ataque "&amp;IF(($NF104+2*IF(COUNTIF($MV104:$MY104,"Precisão")&gt;0,1,0))&gt;=0,"+","−")&amp;ABS(($NF104+2*IF(COUNTIF($MV104:$MY104,"Precisão")&gt;0,1,0))))&amp;IF($OB104&gt;0," · TR"&amp;IF($NG104="",""," CD "&amp;$NG104),""),IF(LEFT($QA104,2)="TR",$QA104&amp;IF($NG104="",""," · CD "&amp;$NG104)&amp;IF(COUNTIF($MV104:$MY104,"Certeiro")&gt;0," · metade",""),"Sem rolagem"))))</f>
        <v/>
      </c>
      <c r="QC104" s="155">
        <f>IF(OR($NB104=0,$NH104=0),"",IF($MQ104=0,IF(OR($OE104&gt;=1,$PB104=0),"Sem dano",$PB104&amp;"d6"&amp;IF($MT104="",""," "&amp;$MT104)),IF(OR($OE104&gt;=1,$PB104=0),UPPER(LEFT(INDEX($PK104:$PQ104,1,MAX(1,$MQ104)),1))&amp;MID(INDEX($PK104:$PQ104,1,MAX(1,$MQ104)),2,99),UPPER(LEFT(INDEX($PK104:$PQ104,1,MAX(1,$MQ104)),1))&amp;MID(INDEX($PK104:$PQ104,1,MAX(1,$MQ104)),2,99)&amp;IF($MT104="",""," "&amp;$MT104)&amp;IF($PC104&gt;0," · +"&amp;$PC104&amp;"d8",""))))</f>
        <v/>
      </c>
      <c r="QD104" s="155">
        <f>COUNTIF($MV104:$MY104,"Longe")+3*COUNTIF($MV104:$MY104,"Muito Longe")</f>
        <v/>
      </c>
      <c r="QE104" s="155">
        <f>COUNTIF($MV104:$MY104,"Maior")+3*COUNTIF($MV104:$MY104,"Muito Maior")</f>
        <v/>
      </c>
      <c r="QF104" s="155">
        <f>IF($NH104=0,0,CHOOSE(1+INDEX($AC$2:$AC$11,$NH104),0,$QD104,$QE104,$QD104+$QE104))</f>
        <v/>
      </c>
      <c r="QG104" s="155">
        <f>IF($NH104=0,0,CHOOSE(1+INDEX($AD$2:$AD$11,$NH104),0,$QD104,$QE104,$QD104+$QE104))</f>
        <v/>
      </c>
      <c r="QH104" s="155">
        <f>IF(OR($NB104=0,$NH104=0),"",INDEX($AI$2:$AN$41,($NH104-1)*4+IF($MQ104=0,1,IF($MQ104&lt;=5,2,IF($MQ104=6,3,4))),1+MIN(5,$QF104))&amp;INDEX($AO$2:$AT$41,($NH104-1)*4+IF($MQ104=0,1,IF($MQ104&lt;=5,2,IF($MQ104=6,3,4))),1+MIN(5,$QG104))&amp;IF(INDEX($AE$2:$AE$11,$NH104)=1,IF(COUNTIF($MV104:$MY104,"Mais Um")&gt;0," · +"&amp;COUNTIF($MV104:$MY104,"Mais Um")&amp;IF(COUNTIF($MV104:$MY104,"Mais Um")&gt;1," alvos"," alvo"),"")&amp;IF(COUNTIF($MV104:$MY104,"Rajada")&gt;0,IF($MQ104=0," · 1 tiro"," · "&amp;(MAX(1,$MQ104-1)+1)&amp;" tiros"),""),""))</f>
        <v/>
      </c>
      <c r="QI104" s="155">
        <f>IF($NB104=0,"",IF($MQ104=0,$NE104&amp;"d6"&amp;IF($OS104&gt;0," − 1 = "&amp;$PB104&amp;"d6"," da básica do nível "&amp;$NC104),$OZ104&amp;" − "&amp;$OU104&amp;" + "&amp;$OX104&amp;" = "&amp;$PA104&amp;" · teto "&amp;4*$MQ104&amp;"d8"&amp;IF($OD104=1," · a Forma devolve "&amp;$MQ104,"")&amp;IF($OY104&gt;0," · perde "&amp;$OY104,"")))</f>
        <v/>
      </c>
      <c r="QJ104" s="155">
        <f>IF($NB104=0,"",IF($MQ104=0,"A básica não amplia: os dados dela sobem com o nível",IF($MQ104&gt;=$ND104,"Já está na maior Classe que o nível liberou",TEXTJOIN(" · ",TRUE,IF(AND(2&gt;$MQ104,2&lt;=$ND104),"2 → "&amp;$PL104&amp;", 6 PE",""),IF(AND(3&gt;$MQ104,3&lt;=$ND104),"3 → "&amp;$PM104&amp;", 9 PE",""),IF(AND(4&gt;$MQ104,4&lt;=$ND104),"4 → "&amp;$PN104&amp;", 12 PE",""),IF(AND(5&gt;$MQ104,5&lt;=$ND104),"5 → "&amp;$PO104&amp;", 15 PE",""),IF(AND(6&gt;$MQ104,6&lt;=$ND104),"6 → "&amp;$PP104&amp;", 18 PE",""),IF(AND(7&gt;$MQ104,7&lt;=$ND104),"7 → "&amp;$PQ104&amp;", 21 PE","")))))</f>
        <v/>
      </c>
      <c r="QK104" s="155">
        <f>IF(OR($NB104=0,$NM104=0),"",IF($MQ104=0,"−1 dado","−"&amp;INDEX($I$2:$N$8,MAX(1,$MQ104),MAX(1,$NR104))&amp;" · "&amp;CHOOSE(MAX(1,$NR104),"Leve","Média","Pesada","Leve · Livre","Média · Livre","Pesada · Livre")))</f>
        <v/>
      </c>
      <c r="QL104" s="155">
        <f>IF(OR($NB104=0,$NN104=0),"",IF($MQ104=0,"−1 dado","−"&amp;INDEX($I$2:$N$8,MAX(1,$MQ104),MAX(1,$NS104))&amp;" · "&amp;CHOOSE(MAX(1,$NS104),"Leve","Média","Pesada","Leve · Livre","Média · Livre","Pesada · Livre")))</f>
        <v/>
      </c>
      <c r="QM104" s="155">
        <f>IF(OR($NB104=0,$NO104=0),"",IF($MQ104=0,"−1 dado","−"&amp;INDEX($I$2:$N$8,MAX(1,$MQ104),MAX(1,$NT104))&amp;" · "&amp;CHOOSE(MAX(1,$NT104),"Leve","Média","Pesada","Leve · Livre","Média · Livre","Pesada · Livre")))</f>
        <v/>
      </c>
      <c r="QN104" s="155">
        <f>IF(OR($NB104=0,$NP104=0),"",IF($MQ104=0,"−1 dado","−"&amp;INDEX($I$2:$N$8,MAX(1,$MQ104),MAX(1,$NU104))&amp;" · "&amp;CHOOSE(MAX(1,$NU104),"Leve","Média","Pesada","Leve · Livre","Média · Livre","Pesada · Livre")))</f>
        <v/>
      </c>
      <c r="QO104" s="155">
        <f>IF(OR($NB104=0,$MZ104=""),"",IF($MQ104=0,"não devolve","+"&amp;IF($OG104=1,CEILING($MQ104/2,1),$MQ104)))</f>
        <v/>
      </c>
      <c r="QP104" s="155">
        <f>IF(OR($NB104=0,$NA104=""),"",IF($MQ104=0,"não devolve","+"&amp;IF($OH104=1,CEILING($MQ104/2,1),$MQ104)))</f>
        <v/>
      </c>
    </row>
    <row r="105">
      <c r="ML105" s="153" t="inlineStr">
        <is>
          <t>Ficha 8 · Escolha da trilha 3</t>
        </is>
      </c>
      <c r="MM105" s="155" t="n">
        <v>8</v>
      </c>
      <c r="MN105" s="155" t="n">
        <v>2</v>
      </c>
      <c r="MO105" s="155" t="n">
        <v>0</v>
      </c>
      <c r="MP105" s="153" t="inlineStr">
        <is>
          <t>ESCOLHA DA TRILHA 3</t>
        </is>
      </c>
      <c r="MQ105" s="155">
        <f>MAX(0,MIN(7,N('INVOCAÇÕES'!$AN$358)))</f>
        <v/>
      </c>
      <c r="MR105" s="155">
        <f>'INVOCAÇÕES'!$AO$358&amp;""</f>
        <v/>
      </c>
      <c r="MS105" s="155">
        <f>'INVOCAÇÕES'!$AN$363&amp;""</f>
        <v/>
      </c>
      <c r="MT105" s="155">
        <f>'INVOCAÇÕES'!$AN$364&amp;""</f>
        <v/>
      </c>
      <c r="MU105" s="155">
        <f>'INVOCAÇÕES'!$AP$364&amp;""</f>
        <v/>
      </c>
      <c r="MV105" s="155">
        <f>'INVOCAÇÕES'!$AO$367&amp;""</f>
        <v/>
      </c>
      <c r="MW105" s="155">
        <f>'INVOCAÇÕES'!$AO$368&amp;""</f>
        <v/>
      </c>
      <c r="MX105" s="155">
        <f>'INVOCAÇÕES'!$AO$369&amp;""</f>
        <v/>
      </c>
      <c r="MY105" s="155">
        <f>'INVOCAÇÕES'!$AO$370&amp;""</f>
        <v/>
      </c>
      <c r="MZ105" s="155">
        <f>'INVOCAÇÕES'!$AO$371&amp;""</f>
        <v/>
      </c>
      <c r="NA105" s="155">
        <f>'INVOCAÇÕES'!$AO$372&amp;""</f>
        <v/>
      </c>
      <c r="NB105" s="155">
        <f>IF($MR105&lt;&gt;"",1,0)</f>
        <v/>
      </c>
      <c r="NC105" s="155">
        <f>INDEX($FM$2:$FM$13,$MM105)</f>
        <v/>
      </c>
      <c r="ND105" s="155">
        <f>INDEX($FN$2:$FN$13,$MM105)</f>
        <v/>
      </c>
      <c r="NE105" s="155">
        <f>INDEX($FO$2:$FO$13,$MM105)</f>
        <v/>
      </c>
      <c r="NF105" s="155">
        <f>INDEX($FZ$2:$FZ$13,$MM105)</f>
        <v/>
      </c>
      <c r="NG105" s="155">
        <f>INDEX($GA$2:$GA$13,$MM105)</f>
        <v/>
      </c>
      <c r="NH105" s="155">
        <f>IFERROR(MATCH($MS105,$V$2:$V$11,0),0)</f>
        <v/>
      </c>
      <c r="NI105" s="155">
        <f>IFERROR(VLOOKUP($MV105,$AV$2:$BA$84,2,FALSE),"")</f>
        <v/>
      </c>
      <c r="NJ105" s="155">
        <f>IFERROR(VLOOKUP($MW105,$AV$2:$BA$84,2,FALSE),"")</f>
        <v/>
      </c>
      <c r="NK105" s="155">
        <f>IFERROR(VLOOKUP($MX105,$AV$2:$BA$84,2,FALSE),"")</f>
        <v/>
      </c>
      <c r="NL105" s="155">
        <f>IFERROR(VLOOKUP($MY105,$AV$2:$BA$84,2,FALSE),"")</f>
        <v/>
      </c>
      <c r="NM105" s="155">
        <f>IFERROR(VLOOKUP($MV105,$AV$2:$BA$84,3,FALSE),0)</f>
        <v/>
      </c>
      <c r="NN105" s="155">
        <f>IFERROR(VLOOKUP($MW105,$AV$2:$BA$84,3,FALSE),0)</f>
        <v/>
      </c>
      <c r="NO105" s="155">
        <f>IFERROR(VLOOKUP($MX105,$AV$2:$BA$84,3,FALSE),0)</f>
        <v/>
      </c>
      <c r="NP105" s="155">
        <f>IFERROR(VLOOKUP($MY105,$AV$2:$BA$84,3,FALSE),0)</f>
        <v/>
      </c>
      <c r="NQ105" s="155">
        <f>IF($MQ105=0,0,IF($NH105=0,0,INDEX($X$2:$X$11,$NH105)))</f>
        <v/>
      </c>
      <c r="NR105" s="155">
        <f>IF(OR($NM105=0,$MQ105=0),0,$NM105+3*IF(AND($NI105&lt;&gt;"",OR($NI105=INDEX($EJ$2:$EJ$13,$MM105),$NI105=INDEX($EK$2:$EK$13,$MM105))),1,0))</f>
        <v/>
      </c>
      <c r="NS105" s="155">
        <f>IF(OR($NN105=0,$MQ105=0),0,$NN105+3*IF(AND($NJ105&lt;&gt;"",OR($NJ105=INDEX($EJ$2:$EJ$13,$MM105),$NJ105=INDEX($EK$2:$EK$13,$MM105))),1,0))</f>
        <v/>
      </c>
      <c r="NT105" s="155">
        <f>IF(OR($NO105=0,$MQ105=0),0,$NO105+3*IF(AND($NK105&lt;&gt;"",OR($NK105=INDEX($EJ$2:$EJ$13,$MM105),$NK105=INDEX($EK$2:$EK$13,$MM105))),1,0))</f>
        <v/>
      </c>
      <c r="NU105" s="155">
        <f>IF(OR($NP105=0,$MQ105=0),0,$NP105+3*IF(AND($NL105&lt;&gt;"",OR($NL105=INDEX($EJ$2:$EJ$13,$MM105),$NL105=INDEX($EK$2:$EK$13,$MM105))),1,0))</f>
        <v/>
      </c>
      <c r="NV105" s="155">
        <f>IF($NH105=0,0,IF(INDEX($W$2:$W$11,$NH105)="",0,IF(COUNTIF(INDEX($EJ$2:$EN$13,$MM105,0),INDEX($W$2:$W$11,$NH105))=0,1,0)))</f>
        <v/>
      </c>
      <c r="NW105" s="155">
        <f>IF(OR($NM105=0,$NI105=""),0,IF(COUNTIF(INDEX($EJ$2:$EN$13,$MM105,0),$NI105)=0,1,0))</f>
        <v/>
      </c>
      <c r="NX105" s="155">
        <f>IF(OR($NN105=0,$NJ105=""),0,IF(COUNTIF(INDEX($EJ$2:$EN$13,$MM105,0),$NJ105)=0,1,0))</f>
        <v/>
      </c>
      <c r="NY105" s="155">
        <f>IF(OR($NO105=0,$NK105=""),0,IF(COUNTIF(INDEX($EJ$2:$EN$13,$MM105,0),$NK105)=0,1,0))</f>
        <v/>
      </c>
      <c r="NZ105" s="155">
        <f>IF(OR($NP105=0,$NL105=""),0,IF(COUNTIF(INDEX($EJ$2:$EN$13,$MM105,0),$NL105)=0,1,0))</f>
        <v/>
      </c>
      <c r="OA105" s="155">
        <f>IFERROR(VLOOKUP($MV105,$AV$2:$BA$84,4,FALSE),0)+IFERROR(VLOOKUP($MW105,$AV$2:$BA$84,4,FALSE),0)+IFERROR(VLOOKUP($MX105,$AV$2:$BA$84,4,FALSE),0)+IFERROR(VLOOKUP($MY105,$AV$2:$BA$84,4,FALSE),0)</f>
        <v/>
      </c>
      <c r="OB105" s="155">
        <f>IFERROR(VLOOKUP($MV105,$AV$2:$BA$84,6,FALSE),0)+IFERROR(VLOOKUP($MW105,$AV$2:$BA$84,6,FALSE),0)+IFERROR(VLOOKUP($MX105,$AV$2:$BA$84,6,FALSE),0)+IFERROR(VLOOKUP($MY105,$AV$2:$BA$84,6,FALSE),0)</f>
        <v/>
      </c>
      <c r="OC105" s="155">
        <f>TEXTJOIN(", ",TRUE,IF(IFERROR(VLOOKUP($MV105,$AV$2:$BA$84,5,FALSE),0)=1,$MV105,""),IF(IFERROR(VLOOKUP($MW105,$AV$2:$BA$84,5,FALSE),0)=1,$MW105,""),IF(IFERROR(VLOOKUP($MX105,$AV$2:$BA$84,5,FALSE),0)=1,$MX105,""),IF(IFERROR(VLOOKUP($MY105,$AV$2:$BA$84,5,FALSE),0)=1,$MY105,""))</f>
        <v/>
      </c>
      <c r="OD105" s="155">
        <f>IF($NH105=0,0,INDEX($Y$2:$Y$11,$NH105))</f>
        <v/>
      </c>
      <c r="OE105" s="155">
        <f>IF($NH105=0,0,INDEX($Z$2:$Z$11,$NH105))</f>
        <v/>
      </c>
      <c r="OF105" s="155">
        <f>IF($NH105=0,0,INDEX($AB$2:$AB$11,$NH105))</f>
        <v/>
      </c>
      <c r="OG105" s="155">
        <f>IFERROR(VLOOKUP($MZ105,$BC$2:$BG$24,3,FALSE),0)</f>
        <v/>
      </c>
      <c r="OH105" s="155">
        <f>IFERROR(VLOOKUP($NA105,$BC$2:$BG$24,3,FALSE),0)</f>
        <v/>
      </c>
      <c r="OI105" s="155">
        <f>IFERROR(VLOOKUP($MZ105,$BC$2:$BG$24,2,FALSE),"")</f>
        <v/>
      </c>
      <c r="OJ105" s="155">
        <f>IFERROR(VLOOKUP($NA105,$BC$2:$BG$24,2,FALSE),"")</f>
        <v/>
      </c>
      <c r="OK105" s="155">
        <f>COUNTIF($NQ105:$NU105,1)</f>
        <v/>
      </c>
      <c r="OL105" s="155">
        <f>COUNTIF($NQ105:$NU105,2)</f>
        <v/>
      </c>
      <c r="OM105" s="155">
        <f>COUNTIF($NQ105:$NU105,3)</f>
        <v/>
      </c>
      <c r="ON105" s="155">
        <f>COUNTIF($NQ105:$NU105,4)</f>
        <v/>
      </c>
      <c r="OO105" s="155">
        <f>COUNTIF($NQ105:$NU105,5)</f>
        <v/>
      </c>
      <c r="OP105" s="155">
        <f>COUNTIF($NQ105:$NU105,6)</f>
        <v/>
      </c>
      <c r="OQ105" s="155">
        <f>COUNTIF($OG105:$OH105,1)</f>
        <v/>
      </c>
      <c r="OR105" s="155">
        <f>COUNTIF($OG105:$OH105,2)+$OD105</f>
        <v/>
      </c>
      <c r="OS105" s="155">
        <f>COUNTIF($MV105:$MY105,"?*")</f>
        <v/>
      </c>
      <c r="OT105" s="155">
        <f>COUNTIF($MZ105:$NA105,"?*")+$OD105</f>
        <v/>
      </c>
      <c r="OU105" s="155">
        <f>IF($MQ105=0,0,SUMPRODUCT($OK105:$OP105,INDEX($I$2:$N$8,MAX(1,$MQ105),0)))</f>
        <v/>
      </c>
      <c r="OV105" s="155">
        <f>IF($MQ105=0,0,$OQ105*CEILING($MQ105/2,1)+$OR105*$MQ105)</f>
        <v/>
      </c>
      <c r="OW105" s="155">
        <f>MIN(2*$MQ105,$OV105)</f>
        <v/>
      </c>
      <c r="OX105" s="155">
        <f>MIN($OW105,$OU105)</f>
        <v/>
      </c>
      <c r="OY105" s="155">
        <f>$OW105-$OX105</f>
        <v/>
      </c>
      <c r="OZ105" s="155">
        <f>IF($MQ105=0,0,INDEX($P$2:$P$8,MAX(1,$MQ105)))</f>
        <v/>
      </c>
      <c r="PA105" s="155">
        <f>$OZ105-$OU105+$OX105</f>
        <v/>
      </c>
      <c r="PB105" s="155">
        <f>IF($MQ105=0,MAX(0,$NE105-IF($OS105&gt;0,1,0)),MAX(0,$PA105))</f>
        <v/>
      </c>
      <c r="PC105" s="155">
        <f>IF($MQ105=0,0,(IF(COUNTIF($MV105:$MY105,"Salto")&gt;0,1,0)+IF(COUNTIF($MV105:$MY105,"Queima")&gt;0,1,0)+IF(COUNTIF($MV105:$MY105,"Estilhaço")&gt;0,1,0))*FLOOR($PB105/2,1))</f>
        <v/>
      </c>
      <c r="PD105" s="155">
        <f>MAX(0,2-SUMPRODUCT($OK105:$OP105,$I$2:$N$2)+MIN(2,$OQ105*1+$OR105*1,SUMPRODUCT($OK105:$OP105,$I$2:$N$2)))</f>
        <v/>
      </c>
      <c r="PE105" s="155">
        <f>MAX(0,4-SUMPRODUCT($OK105:$OP105,$I$3:$N$3)+MIN(4,$OQ105*1+$OR105*2,SUMPRODUCT($OK105:$OP105,$I$3:$N$3)))</f>
        <v/>
      </c>
      <c r="PF105" s="155">
        <f>MAX(0,6-SUMPRODUCT($OK105:$OP105,$I$4:$N$4)+MIN(6,$OQ105*2+$OR105*3,SUMPRODUCT($OK105:$OP105,$I$4:$N$4)))</f>
        <v/>
      </c>
      <c r="PG105" s="155">
        <f>MAX(0,9-SUMPRODUCT($OK105:$OP105,$I$5:$N$5)+MIN(8,$OQ105*2+$OR105*4,SUMPRODUCT($OK105:$OP105,$I$5:$N$5)))</f>
        <v/>
      </c>
      <c r="PH105" s="155">
        <f>MAX(0,11-SUMPRODUCT($OK105:$OP105,$I$6:$N$6)+MIN(10,$OQ105*3+$OR105*5,SUMPRODUCT($OK105:$OP105,$I$6:$N$6)))</f>
        <v/>
      </c>
      <c r="PI105" s="155">
        <f>MAX(0,13-SUMPRODUCT($OK105:$OP105,$I$7:$N$7)+MIN(12,$OQ105*3+$OR105*6,SUMPRODUCT($OK105:$OP105,$I$7:$N$7)))</f>
        <v/>
      </c>
      <c r="PJ105" s="155">
        <f>MAX(0,16-SUMPRODUCT($OK105:$OP105,$I$8:$N$8)+MIN(14,$OQ105*4+$OR105*7,SUMPRODUCT($OK105:$OP105,$I$8:$N$8)))</f>
        <v/>
      </c>
      <c r="PK105" s="155">
        <f>IF($OE105=2,3*$PD105&amp;" de vida temp.",IF($OE105=3,"sem dano",IF($PD105=0,IF($OE105=1,"sem cura","sem dano"),IF($OE105=1,"cura ","")&amp;$PD105&amp;"d8")))</f>
        <v/>
      </c>
      <c r="PL105" s="155">
        <f>IF($OE105=2,3*$PE105&amp;" de vida temp.",IF($OE105=3,"sem dano",IF($PE105=0,IF($OE105=1,"sem cura","sem dano"),IF($OE105=1,"cura ","")&amp;$PE105&amp;"d8")))</f>
        <v/>
      </c>
      <c r="PM105" s="155">
        <f>IF($OE105=2,3*$PF105&amp;" de vida temp.",IF($OE105=3,"sem dano",IF($PF105=0,IF($OE105=1,"sem cura","sem dano"),IF($OE105=1,"cura ","")&amp;$PF105&amp;"d8")))</f>
        <v/>
      </c>
      <c r="PN105" s="155">
        <f>IF($OE105=2,3*$PG105&amp;" de vida temp.",IF($OE105=3,"sem dano",IF($PG105=0,IF($OE105=1,"sem cura","sem dano"),IF($OE105=1,"cura ","")&amp;$PG105&amp;"d8")))</f>
        <v/>
      </c>
      <c r="PO105" s="155">
        <f>IF($OE105=2,3*$PH105&amp;" de vida temp.",IF($OE105=3,"sem dano",IF($PH105=0,IF($OE105=1,"sem cura","sem dano"),IF($OE105=1,"cura ","")&amp;$PH105&amp;"d8")))</f>
        <v/>
      </c>
      <c r="PP105" s="155">
        <f>IF($OE105=2,3*$PI105&amp;" de vida temp.",IF($OE105=3,"sem dano",IF($PI105=0,IF($OE105=1,"sem cura","sem dano"),IF($OE105=1,"cura ","")&amp;$PI105&amp;"d8")))</f>
        <v/>
      </c>
      <c r="PQ105" s="155">
        <f>IF($OE105=2,3*$PJ105&amp;" de vida temp.",IF($OE105=3,"sem dano",IF($PJ105=0,IF($OE105=1,"sem cura","sem dano"),IF($OE105=1,"cura ","")&amp;$PJ105&amp;"d8")))</f>
        <v/>
      </c>
      <c r="PR105" s="155">
        <f>IF($NB105=0,"",TEXTJOIN(" · ",TRUE,IF($MO105&gt;$NC105,"Este lugar abre no nível "&amp;$MO105,""),IF($MQ105&gt;$ND105,"Classe "&amp;$MQ105&amp;": o nível "&amp;$NC105&amp;" libera até a "&amp;$ND105,""),IF($NV105=1,"A Forma "&amp;$MS105&amp;" pede "&amp;INDEX($W$2:$W$11,$NH105)&amp;" aberta",""),IF(AND($MQ105=0,$NH105&gt;0,IF($NH105=0,0,INDEX($AF$2:$AF$11,$NH105))=0),$MS105&amp;" não existe na Classe 0",""),IF($NW105=1,"Família Fechada: "&amp;$MV105,""),IF($NX105=1,"Família Fechada: "&amp;$MW105,""),IF($NY105=1,"Família Fechada: "&amp;$MX105,""),IF($NZ105=1,"Família Fechada: "&amp;$MY105,""),IF(AND($MQ105&gt;0,$OS105&gt;INDEX($O$2:$O$8,MAX(1,$MQ105))),$OS105&amp;" Melhorias: a Classe "&amp;$MQ105&amp;" aceita "&amp;INDEX($O$2:$O$8,MAX(1,$MQ105)),""),IF(AND($MQ105=0,$OS105&gt;1),"A básica aceita uma Melhoria",""),IF(AND($MQ105=0,COUNTIF($NM105:$NP105,"&gt;1")&gt;0),"A básica só aceita Melhoria Leve",""),IF(AND($MQ105&gt;0,$OT105&gt;2),$OT105&amp;" Restrições"&amp;IF($OD105=1,", contando a que a Forma "&amp;$MS105&amp;" já traz","")&amp;": o limite é 2",""),IF(AND($MQ105=0,COUNTIF($MZ105:$NA105,"?*")&gt;1),"A básica aceita uma Restrição Leve",""),IF(AND($MQ105=0,COUNTIF($OG105:$OH105,2)&gt;0),"A básica só aceita Restrição Leve",""),IF(AND($MQ105&gt;0,$PA105&lt;0),"Orçamento estourado: faltam "&amp;(-$PA105)&amp;IF($PA105&lt;-1," pontos"," ponto"),""),IF(IFERROR(VLOOKUP($MZ105,$BC$2:$BG$24,4,FALSE),0)+IFERROR(VLOOKUP($NA105,$BC$2:$BG$24,4,FALSE),0)&gt;1,$OI105&amp;" e "&amp;$OJ105&amp;" são as duas de frequência",""),IF(AND((COUNTIF($MV105:$MY105,"Rápido")+COUNTIF($OI105:$OJ105,"Rápido"))&gt;0,(COUNTIF($MV105:$MY105,"Atrasar")+COUNTIF($OI105:$OJ105,"Atrasar"))&gt;0),"Rápido não entra com Atrasar",""),IF(AND((COUNTIF($MV105:$MY105,"Reação")+COUNTIF($OI105:$OJ105,"Reação"))&gt;0,(COUNTIF($MV105:$MY105,"Rápido")+COUNTIF($OI105:$OJ105,"Rápido"))&gt;0),"Reação não entra com Rápido",""),IF(AND((COUNTIF($MV105:$MY105,"Reação")+COUNTIF($OI105:$OJ105,"Reação"))&gt;0,(COUNTIF($MV105:$MY105,"Armado")+COUNTIF($OI105:$OJ105,"Armado"))&gt;0),"Reação não entra com Armado",""),IF(AND((COUNTIF($MV105:$MY105,"Reação")+COUNTIF($OI105:$OJ105,"Reação"))&gt;0,(COUNTIF($MV105:$MY105,"Atrasar")+COUNTIF($OI105:$OJ105,"Atrasar"))&gt;0),"Reação não entra com Atrasar",""),IF(AND((COUNTIF($MV105:$MY105,"Reação")+COUNTIF($OI105:$OJ105,"Reação"))&gt;0,(COUNTIF($MV105:$MY105,"Parado")+COUNTIF($OI105:$OJ105,"Parado"))&gt;0),"Reação não entra com Parado",""),IF(AND((COUNTIF($MV105:$MY105,"Atrasar")+COUNTIF($OI105:$OJ105,"Atrasar"))&gt;0,(COUNTIF($MV105:$MY105,"Parado")+COUNTIF($OI105:$OJ105,"Parado"))&gt;0),"Atrasar não entra com Parado",""),IF(AND((COUNTIF($MV105:$MY105,"Armado")+COUNTIF($OI105:$OJ105,"Armado"))&gt;0,(COUNTIF($MV105:$MY105,"Carregar")+COUNTIF($OI105:$OJ105,"Carregar"))&gt;0),"Armado não entra com Carregar",""),IF(AND(COUNTIF($OI105:$OJ105,"Corpo a Corpo")&gt;0,$OD105=0,OR($MS105="Cone",$MS105="Linha")),"Corpo a Corpo não entra em "&amp;$MS105,""),IF(AND(COUNTIF($OI105:$OJ105,"Corpo a Corpo")&gt;0,$OD105=1),"A Forma "&amp;$MS105&amp;" já traz o Corpo a Corpo",""),IF(AND(COUNTIF($OI105:$OJ105,"Tudo ou Nada")&gt;0,$OF105=0),"Tudo ou Nada só entra em habilidade de Teste de Resistência",""),IF(AND(COUNTIF($MV105:$MY105,"Inescapável")&gt;0,OR($OS105&gt;1,$OT105&gt;0)),"Inescapável não aceita outra peça",""),IF(AND($MQ105&gt;0,$PB105*IF(COUNTIF($MV105:$MY105,"Remate")&gt;0,1.25,1)+$PC105&gt;4*$MQ105),($PB105*IF(COUNTIF($MV105:$MY105,"Remate")&gt;0,1.25,1)+$PC105)&amp;" dados somando repetições"&amp;IF(COUNTIF($MV105:$MY105,"Remate")&gt;0," e o Remate","")&amp;": o teto da Classe "&amp;$MQ105&amp;" é "&amp;4*$MQ105,"")))</f>
        <v/>
      </c>
      <c r="PS105" s="155">
        <f>IF($PR105="",0,(LEN($PR105)-LEN(SUBSTITUTE($PR105," · ","")))/3+1)</f>
        <v/>
      </c>
      <c r="PT105" s="155">
        <f>IF($NB105=0,"",TEXTJOIN(" · ",TRUE,IF($OV105&gt;2*$MQ105,"A devolução parou no teto de "&amp;2*$MQ105,""),IF($OY105&gt;0,"Devolução perdida: "&amp;$OY105&amp;IF($OY105&gt;1," pontos"," ponto")&amp;" sem peça para pagar",""),IF(AND($OA105&gt;0,AND($MQ105&gt;0,$OE105=0),$PB105=0),"Controle sem dano: uma rodada a mais e CD +2",""),IF(AND($OA105&gt;0,AND($MQ105&gt;0,$OE105=0),$PB105&gt;0,$PB105&lt;=$MQ105),"Controle com saldo até a Classe: uma rodada a mais",""),IF(AND($MQ105&gt;0,$OC105&lt;&gt;""),"Efeito de "&amp;$OC105&amp;" pela Classe "&amp;MAX(1,$MQ105-1),"")))</f>
        <v/>
      </c>
      <c r="PU105" s="155">
        <f>IF($PT105="",0,(LEN($PT105)-LEN(SUBSTITUTE($PT105," · ","")))/3+1)</f>
        <v/>
      </c>
      <c r="PV105" s="155">
        <f>IF($NB105=0,IF($OS105+COUNTIF($MZ105:$NA105,"?*")&gt;0,"Dê um nome",""),IF($PS105&gt;0,"⚠ "&amp;$PS105&amp;IF($PS105&gt;1," erros"," erro"),IF($PU105&gt;0,"! "&amp;$PU105&amp;IF($PU105&gt;1," avisos"," aviso"),"Na regra")))</f>
        <v/>
      </c>
      <c r="PW105" s="155">
        <f>IF($NB105=0,"",IF($PS105+$PU105=0,"Dentro das regras que a ficha confere",$PR105&amp;IF(AND($PS105&gt;0,$PU105&gt;0)," · ","")&amp;$PT105))</f>
        <v/>
      </c>
      <c r="PX105" s="155">
        <f>IF($MO105&gt;$NC105,$MP105&amp;" · ABRE NO NÍVEL "&amp;$MO105,$MP105)</f>
        <v/>
      </c>
      <c r="PY105" s="155">
        <f>IF($NB105=0,"",IF($MQ105=0,"Sem PE",3*$MQ105&amp;" PE"))</f>
        <v/>
      </c>
      <c r="PZ105" s="155">
        <f>IF($NB105=0,"",IF($MQ105=0,"A atuação básica dela",IF(COUNTIF($OI105:$OJ105,"Atrasar")&gt;0,"Sua Ação Completa",IF(COUNTIF($MV105:$MY105,"Rápido")&gt;0,"Sua Bônus",IF(COUNTIF($MV105:$MY105,"Reação")&gt;0,"Sua Reação","Sua Padrão")))&amp;" + a básica dela"&amp;IF(COUNTIF($MV105:$MY105,"Reação")&gt;0," e a coletiva","")&amp;IF(COUNTIF($OI105:$OJ105,"Carregar")&gt;0," · em dois turnos","")))</f>
        <v/>
      </c>
      <c r="QA105" s="155">
        <f>IF($MU105&lt;&gt;"",$MU105,IF($NH105=0,"",INDEX($AA$2:$AA$11,$NH105)))</f>
        <v/>
      </c>
      <c r="QB105" s="155">
        <f>IF(OR($NB105=0,$NH105=0),"",IF(COUNTIF($MV105:$MY105,"Inescapável")&gt;0,"Automático",IF($QA105="Ataque",IF($NF105="","Ataque","Ataque "&amp;IF(($NF105+2*IF(COUNTIF($MV105:$MY105,"Precisão")&gt;0,1,0))&gt;=0,"+","−")&amp;ABS(($NF105+2*IF(COUNTIF($MV105:$MY105,"Precisão")&gt;0,1,0))))&amp;IF($OB105&gt;0," · TR"&amp;IF($NG105="",""," CD "&amp;$NG105),""),IF(LEFT($QA105,2)="TR",$QA105&amp;IF($NG105="",""," · CD "&amp;$NG105)&amp;IF(COUNTIF($MV105:$MY105,"Certeiro")&gt;0," · metade",""),"Sem rolagem"))))</f>
        <v/>
      </c>
      <c r="QC105" s="155">
        <f>IF(OR($NB105=0,$NH105=0),"",IF($MQ105=0,IF(OR($OE105&gt;=1,$PB105=0),"Sem dano",$PB105&amp;"d6"&amp;IF($MT105="",""," "&amp;$MT105)),IF(OR($OE105&gt;=1,$PB105=0),UPPER(LEFT(INDEX($PK105:$PQ105,1,MAX(1,$MQ105)),1))&amp;MID(INDEX($PK105:$PQ105,1,MAX(1,$MQ105)),2,99),UPPER(LEFT(INDEX($PK105:$PQ105,1,MAX(1,$MQ105)),1))&amp;MID(INDEX($PK105:$PQ105,1,MAX(1,$MQ105)),2,99)&amp;IF($MT105="",""," "&amp;$MT105)&amp;IF($PC105&gt;0," · +"&amp;$PC105&amp;"d8",""))))</f>
        <v/>
      </c>
      <c r="QD105" s="155">
        <f>COUNTIF($MV105:$MY105,"Longe")+3*COUNTIF($MV105:$MY105,"Muito Longe")</f>
        <v/>
      </c>
      <c r="QE105" s="155">
        <f>COUNTIF($MV105:$MY105,"Maior")+3*COUNTIF($MV105:$MY105,"Muito Maior")</f>
        <v/>
      </c>
      <c r="QF105" s="155">
        <f>IF($NH105=0,0,CHOOSE(1+INDEX($AC$2:$AC$11,$NH105),0,$QD105,$QE105,$QD105+$QE105))</f>
        <v/>
      </c>
      <c r="QG105" s="155">
        <f>IF($NH105=0,0,CHOOSE(1+INDEX($AD$2:$AD$11,$NH105),0,$QD105,$QE105,$QD105+$QE105))</f>
        <v/>
      </c>
      <c r="QH105" s="155">
        <f>IF(OR($NB105=0,$NH105=0),"",INDEX($AI$2:$AN$41,($NH105-1)*4+IF($MQ105=0,1,IF($MQ105&lt;=5,2,IF($MQ105=6,3,4))),1+MIN(5,$QF105))&amp;INDEX($AO$2:$AT$41,($NH105-1)*4+IF($MQ105=0,1,IF($MQ105&lt;=5,2,IF($MQ105=6,3,4))),1+MIN(5,$QG105))&amp;IF(INDEX($AE$2:$AE$11,$NH105)=1,IF(COUNTIF($MV105:$MY105,"Mais Um")&gt;0," · +"&amp;COUNTIF($MV105:$MY105,"Mais Um")&amp;IF(COUNTIF($MV105:$MY105,"Mais Um")&gt;1," alvos"," alvo"),"")&amp;IF(COUNTIF($MV105:$MY105,"Rajada")&gt;0,IF($MQ105=0," · 1 tiro"," · "&amp;(MAX(1,$MQ105-1)+1)&amp;" tiros"),""),""))</f>
        <v/>
      </c>
      <c r="QI105" s="155">
        <f>IF($NB105=0,"",IF($MQ105=0,$NE105&amp;"d6"&amp;IF($OS105&gt;0," − 1 = "&amp;$PB105&amp;"d6"," da básica do nível "&amp;$NC105),$OZ105&amp;" − "&amp;$OU105&amp;" + "&amp;$OX105&amp;" = "&amp;$PA105&amp;" · teto "&amp;4*$MQ105&amp;"d8"&amp;IF($OD105=1," · a Forma devolve "&amp;$MQ105,"")&amp;IF($OY105&gt;0," · perde "&amp;$OY105,"")))</f>
        <v/>
      </c>
      <c r="QJ105" s="155">
        <f>IF($NB105=0,"",IF($MQ105=0,"A básica não amplia: os dados dela sobem com o nível",IF($MQ105&gt;=$ND105,"Já está na maior Classe que o nível liberou",TEXTJOIN(" · ",TRUE,IF(AND(2&gt;$MQ105,2&lt;=$ND105),"2 → "&amp;$PL105&amp;", 6 PE",""),IF(AND(3&gt;$MQ105,3&lt;=$ND105),"3 → "&amp;$PM105&amp;", 9 PE",""),IF(AND(4&gt;$MQ105,4&lt;=$ND105),"4 → "&amp;$PN105&amp;", 12 PE",""),IF(AND(5&gt;$MQ105,5&lt;=$ND105),"5 → "&amp;$PO105&amp;", 15 PE",""),IF(AND(6&gt;$MQ105,6&lt;=$ND105),"6 → "&amp;$PP105&amp;", 18 PE",""),IF(AND(7&gt;$MQ105,7&lt;=$ND105),"7 → "&amp;$PQ105&amp;", 21 PE","")))))</f>
        <v/>
      </c>
      <c r="QK105" s="155">
        <f>IF(OR($NB105=0,$NM105=0),"",IF($MQ105=0,"−1 dado","−"&amp;INDEX($I$2:$N$8,MAX(1,$MQ105),MAX(1,$NR105))&amp;" · "&amp;CHOOSE(MAX(1,$NR105),"Leve","Média","Pesada","Leve · Livre","Média · Livre","Pesada · Livre")))</f>
        <v/>
      </c>
      <c r="QL105" s="155">
        <f>IF(OR($NB105=0,$NN105=0),"",IF($MQ105=0,"−1 dado","−"&amp;INDEX($I$2:$N$8,MAX(1,$MQ105),MAX(1,$NS105))&amp;" · "&amp;CHOOSE(MAX(1,$NS105),"Leve","Média","Pesada","Leve · Livre","Média · Livre","Pesada · Livre")))</f>
        <v/>
      </c>
      <c r="QM105" s="155">
        <f>IF(OR($NB105=0,$NO105=0),"",IF($MQ105=0,"−1 dado","−"&amp;INDEX($I$2:$N$8,MAX(1,$MQ105),MAX(1,$NT105))&amp;" · "&amp;CHOOSE(MAX(1,$NT105),"Leve","Média","Pesada","Leve · Livre","Média · Livre","Pesada · Livre")))</f>
        <v/>
      </c>
      <c r="QN105" s="155">
        <f>IF(OR($NB105=0,$NP105=0),"",IF($MQ105=0,"−1 dado","−"&amp;INDEX($I$2:$N$8,MAX(1,$MQ105),MAX(1,$NU105))&amp;" · "&amp;CHOOSE(MAX(1,$NU105),"Leve","Média","Pesada","Leve · Livre","Média · Livre","Pesada · Livre")))</f>
        <v/>
      </c>
      <c r="QO105" s="155">
        <f>IF(OR($NB105=0,$MZ105=""),"",IF($MQ105=0,"não devolve","+"&amp;IF($OG105=1,CEILING($MQ105/2,1),$MQ105)))</f>
        <v/>
      </c>
      <c r="QP105" s="155">
        <f>IF(OR($NB105=0,$NA105=""),"",IF($MQ105=0,"não devolve","+"&amp;IF($OH105=1,CEILING($MQ105/2,1),$MQ105)))</f>
        <v/>
      </c>
    </row>
    <row r="106">
      <c r="ML106" s="153" t="inlineStr">
        <is>
          <t>Ficha 9 · Básica 1</t>
        </is>
      </c>
      <c r="MM106" s="155" t="n">
        <v>9</v>
      </c>
      <c r="MN106" s="155" t="n">
        <v>0</v>
      </c>
      <c r="MO106" s="155" t="n">
        <v>1</v>
      </c>
      <c r="MP106" s="153" t="inlineStr">
        <is>
          <t>BÁSICA 1</t>
        </is>
      </c>
      <c r="MQ106" s="155" t="n">
        <v>0</v>
      </c>
      <c r="MR106" s="155">
        <f>'INVOCAÇÕES'!$AC$454&amp;""</f>
        <v/>
      </c>
      <c r="MS106" s="155">
        <f>'INVOCAÇÕES'!$AB$459&amp;""</f>
        <v/>
      </c>
      <c r="MT106" s="155">
        <f>'INVOCAÇÕES'!$AB$460&amp;""</f>
        <v/>
      </c>
      <c r="MU106" s="155">
        <f>'INVOCAÇÕES'!$AD$460&amp;""</f>
        <v/>
      </c>
      <c r="MV106" s="155">
        <f>'INVOCAÇÕES'!$AC$463&amp;""</f>
        <v/>
      </c>
      <c r="MW106" s="155">
        <f>'INVOCAÇÕES'!$AC$464&amp;""</f>
        <v/>
      </c>
      <c r="MX106" s="155">
        <f>'INVOCAÇÕES'!$AC$465&amp;""</f>
        <v/>
      </c>
      <c r="MY106" s="155">
        <f>'INVOCAÇÕES'!$AC$466&amp;""</f>
        <v/>
      </c>
      <c r="MZ106" s="155">
        <f>'INVOCAÇÕES'!$AC$467&amp;""</f>
        <v/>
      </c>
      <c r="NA106" s="155">
        <f>'INVOCAÇÕES'!$AC$468&amp;""</f>
        <v/>
      </c>
      <c r="NB106" s="155">
        <f>IF($MR106&lt;&gt;"",1,0)</f>
        <v/>
      </c>
      <c r="NC106" s="155">
        <f>INDEX($FM$2:$FM$13,$MM106)</f>
        <v/>
      </c>
      <c r="ND106" s="155">
        <f>INDEX($FN$2:$FN$13,$MM106)</f>
        <v/>
      </c>
      <c r="NE106" s="155">
        <f>INDEX($FO$2:$FO$13,$MM106)</f>
        <v/>
      </c>
      <c r="NF106" s="155">
        <f>INDEX($FZ$2:$FZ$13,$MM106)</f>
        <v/>
      </c>
      <c r="NG106" s="155">
        <f>INDEX($GA$2:$GA$13,$MM106)</f>
        <v/>
      </c>
      <c r="NH106" s="155">
        <f>IFERROR(MATCH($MS106,$V$2:$V$11,0),0)</f>
        <v/>
      </c>
      <c r="NI106" s="155">
        <f>IFERROR(VLOOKUP($MV106,$AV$2:$BA$84,2,FALSE),"")</f>
        <v/>
      </c>
      <c r="NJ106" s="155">
        <f>IFERROR(VLOOKUP($MW106,$AV$2:$BA$84,2,FALSE),"")</f>
        <v/>
      </c>
      <c r="NK106" s="155">
        <f>IFERROR(VLOOKUP($MX106,$AV$2:$BA$84,2,FALSE),"")</f>
        <v/>
      </c>
      <c r="NL106" s="155">
        <f>IFERROR(VLOOKUP($MY106,$AV$2:$BA$84,2,FALSE),"")</f>
        <v/>
      </c>
      <c r="NM106" s="155">
        <f>IFERROR(VLOOKUP($MV106,$AV$2:$BA$84,3,FALSE),0)</f>
        <v/>
      </c>
      <c r="NN106" s="155">
        <f>IFERROR(VLOOKUP($MW106,$AV$2:$BA$84,3,FALSE),0)</f>
        <v/>
      </c>
      <c r="NO106" s="155">
        <f>IFERROR(VLOOKUP($MX106,$AV$2:$BA$84,3,FALSE),0)</f>
        <v/>
      </c>
      <c r="NP106" s="155">
        <f>IFERROR(VLOOKUP($MY106,$AV$2:$BA$84,3,FALSE),0)</f>
        <v/>
      </c>
      <c r="NQ106" s="155">
        <f>IF($MQ106=0,0,IF($NH106=0,0,INDEX($X$2:$X$11,$NH106)))</f>
        <v/>
      </c>
      <c r="NR106" s="155">
        <f>IF(OR($NM106=0,$MQ106=0),0,$NM106+3*IF(AND($NI106&lt;&gt;"",OR($NI106=INDEX($EJ$2:$EJ$13,$MM106),$NI106=INDEX($EK$2:$EK$13,$MM106))),1,0))</f>
        <v/>
      </c>
      <c r="NS106" s="155">
        <f>IF(OR($NN106=0,$MQ106=0),0,$NN106+3*IF(AND($NJ106&lt;&gt;"",OR($NJ106=INDEX($EJ$2:$EJ$13,$MM106),$NJ106=INDEX($EK$2:$EK$13,$MM106))),1,0))</f>
        <v/>
      </c>
      <c r="NT106" s="155">
        <f>IF(OR($NO106=0,$MQ106=0),0,$NO106+3*IF(AND($NK106&lt;&gt;"",OR($NK106=INDEX($EJ$2:$EJ$13,$MM106),$NK106=INDEX($EK$2:$EK$13,$MM106))),1,0))</f>
        <v/>
      </c>
      <c r="NU106" s="155">
        <f>IF(OR($NP106=0,$MQ106=0),0,$NP106+3*IF(AND($NL106&lt;&gt;"",OR($NL106=INDEX($EJ$2:$EJ$13,$MM106),$NL106=INDEX($EK$2:$EK$13,$MM106))),1,0))</f>
        <v/>
      </c>
      <c r="NV106" s="155">
        <f>IF($NH106=0,0,IF(INDEX($W$2:$W$11,$NH106)="",0,IF(COUNTIF(INDEX($EJ$2:$EN$13,$MM106,0),INDEX($W$2:$W$11,$NH106))=0,1,0)))</f>
        <v/>
      </c>
      <c r="NW106" s="155">
        <f>IF(OR($NM106=0,$NI106=""),0,IF(COUNTIF(INDEX($EJ$2:$EN$13,$MM106,0),$NI106)=0,1,0))</f>
        <v/>
      </c>
      <c r="NX106" s="155">
        <f>IF(OR($NN106=0,$NJ106=""),0,IF(COUNTIF(INDEX($EJ$2:$EN$13,$MM106,0),$NJ106)=0,1,0))</f>
        <v/>
      </c>
      <c r="NY106" s="155">
        <f>IF(OR($NO106=0,$NK106=""),0,IF(COUNTIF(INDEX($EJ$2:$EN$13,$MM106,0),$NK106)=0,1,0))</f>
        <v/>
      </c>
      <c r="NZ106" s="155">
        <f>IF(OR($NP106=0,$NL106=""),0,IF(COUNTIF(INDEX($EJ$2:$EN$13,$MM106,0),$NL106)=0,1,0))</f>
        <v/>
      </c>
      <c r="OA106" s="155">
        <f>IFERROR(VLOOKUP($MV106,$AV$2:$BA$84,4,FALSE),0)+IFERROR(VLOOKUP($MW106,$AV$2:$BA$84,4,FALSE),0)+IFERROR(VLOOKUP($MX106,$AV$2:$BA$84,4,FALSE),0)+IFERROR(VLOOKUP($MY106,$AV$2:$BA$84,4,FALSE),0)</f>
        <v/>
      </c>
      <c r="OB106" s="155">
        <f>IFERROR(VLOOKUP($MV106,$AV$2:$BA$84,6,FALSE),0)+IFERROR(VLOOKUP($MW106,$AV$2:$BA$84,6,FALSE),0)+IFERROR(VLOOKUP($MX106,$AV$2:$BA$84,6,FALSE),0)+IFERROR(VLOOKUP($MY106,$AV$2:$BA$84,6,FALSE),0)</f>
        <v/>
      </c>
      <c r="OC106" s="155">
        <f>TEXTJOIN(", ",TRUE,IF(IFERROR(VLOOKUP($MV106,$AV$2:$BA$84,5,FALSE),0)=1,$MV106,""),IF(IFERROR(VLOOKUP($MW106,$AV$2:$BA$84,5,FALSE),0)=1,$MW106,""),IF(IFERROR(VLOOKUP($MX106,$AV$2:$BA$84,5,FALSE),0)=1,$MX106,""),IF(IFERROR(VLOOKUP($MY106,$AV$2:$BA$84,5,FALSE),0)=1,$MY106,""))</f>
        <v/>
      </c>
      <c r="OD106" s="155">
        <f>IF($NH106=0,0,INDEX($Y$2:$Y$11,$NH106))</f>
        <v/>
      </c>
      <c r="OE106" s="155">
        <f>IF($NH106=0,0,INDEX($Z$2:$Z$11,$NH106))</f>
        <v/>
      </c>
      <c r="OF106" s="155">
        <f>IF($NH106=0,0,INDEX($AB$2:$AB$11,$NH106))</f>
        <v/>
      </c>
      <c r="OG106" s="155">
        <f>IFERROR(VLOOKUP($MZ106,$BC$2:$BG$24,3,FALSE),0)</f>
        <v/>
      </c>
      <c r="OH106" s="155">
        <f>IFERROR(VLOOKUP($NA106,$BC$2:$BG$24,3,FALSE),0)</f>
        <v/>
      </c>
      <c r="OI106" s="155">
        <f>IFERROR(VLOOKUP($MZ106,$BC$2:$BG$24,2,FALSE),"")</f>
        <v/>
      </c>
      <c r="OJ106" s="155">
        <f>IFERROR(VLOOKUP($NA106,$BC$2:$BG$24,2,FALSE),"")</f>
        <v/>
      </c>
      <c r="OK106" s="155">
        <f>COUNTIF($NQ106:$NU106,1)</f>
        <v/>
      </c>
      <c r="OL106" s="155">
        <f>COUNTIF($NQ106:$NU106,2)</f>
        <v/>
      </c>
      <c r="OM106" s="155">
        <f>COUNTIF($NQ106:$NU106,3)</f>
        <v/>
      </c>
      <c r="ON106" s="155">
        <f>COUNTIF($NQ106:$NU106,4)</f>
        <v/>
      </c>
      <c r="OO106" s="155">
        <f>COUNTIF($NQ106:$NU106,5)</f>
        <v/>
      </c>
      <c r="OP106" s="155">
        <f>COUNTIF($NQ106:$NU106,6)</f>
        <v/>
      </c>
      <c r="OQ106" s="155">
        <f>COUNTIF($OG106:$OH106,1)</f>
        <v/>
      </c>
      <c r="OR106" s="155">
        <f>COUNTIF($OG106:$OH106,2)+$OD106</f>
        <v/>
      </c>
      <c r="OS106" s="155">
        <f>COUNTIF($MV106:$MY106,"?*")</f>
        <v/>
      </c>
      <c r="OT106" s="155">
        <f>COUNTIF($MZ106:$NA106,"?*")+$OD106</f>
        <v/>
      </c>
      <c r="OU106" s="155">
        <f>IF($MQ106=0,0,SUMPRODUCT($OK106:$OP106,INDEX($I$2:$N$8,MAX(1,$MQ106),0)))</f>
        <v/>
      </c>
      <c r="OV106" s="155">
        <f>IF($MQ106=0,0,$OQ106*CEILING($MQ106/2,1)+$OR106*$MQ106)</f>
        <v/>
      </c>
      <c r="OW106" s="155">
        <f>MIN(2*$MQ106,$OV106)</f>
        <v/>
      </c>
      <c r="OX106" s="155">
        <f>MIN($OW106,$OU106)</f>
        <v/>
      </c>
      <c r="OY106" s="155">
        <f>$OW106-$OX106</f>
        <v/>
      </c>
      <c r="OZ106" s="155">
        <f>IF($MQ106=0,0,INDEX($P$2:$P$8,MAX(1,$MQ106)))</f>
        <v/>
      </c>
      <c r="PA106" s="155">
        <f>$OZ106-$OU106+$OX106</f>
        <v/>
      </c>
      <c r="PB106" s="155">
        <f>IF($MQ106=0,MAX(0,$NE106-IF($OS106&gt;0,1,0)),MAX(0,$PA106))</f>
        <v/>
      </c>
      <c r="PC106" s="155">
        <f>IF($MQ106=0,0,(IF(COUNTIF($MV106:$MY106,"Salto")&gt;0,1,0)+IF(COUNTIF($MV106:$MY106,"Queima")&gt;0,1,0)+IF(COUNTIF($MV106:$MY106,"Estilhaço")&gt;0,1,0))*FLOOR($PB106/2,1))</f>
        <v/>
      </c>
      <c r="PD106" s="155">
        <f>MAX(0,2-SUMPRODUCT($OK106:$OP106,$I$2:$N$2)+MIN(2,$OQ106*1+$OR106*1,SUMPRODUCT($OK106:$OP106,$I$2:$N$2)))</f>
        <v/>
      </c>
      <c r="PE106" s="155">
        <f>MAX(0,4-SUMPRODUCT($OK106:$OP106,$I$3:$N$3)+MIN(4,$OQ106*1+$OR106*2,SUMPRODUCT($OK106:$OP106,$I$3:$N$3)))</f>
        <v/>
      </c>
      <c r="PF106" s="155">
        <f>MAX(0,6-SUMPRODUCT($OK106:$OP106,$I$4:$N$4)+MIN(6,$OQ106*2+$OR106*3,SUMPRODUCT($OK106:$OP106,$I$4:$N$4)))</f>
        <v/>
      </c>
      <c r="PG106" s="155">
        <f>MAX(0,9-SUMPRODUCT($OK106:$OP106,$I$5:$N$5)+MIN(8,$OQ106*2+$OR106*4,SUMPRODUCT($OK106:$OP106,$I$5:$N$5)))</f>
        <v/>
      </c>
      <c r="PH106" s="155">
        <f>MAX(0,11-SUMPRODUCT($OK106:$OP106,$I$6:$N$6)+MIN(10,$OQ106*3+$OR106*5,SUMPRODUCT($OK106:$OP106,$I$6:$N$6)))</f>
        <v/>
      </c>
      <c r="PI106" s="155">
        <f>MAX(0,13-SUMPRODUCT($OK106:$OP106,$I$7:$N$7)+MIN(12,$OQ106*3+$OR106*6,SUMPRODUCT($OK106:$OP106,$I$7:$N$7)))</f>
        <v/>
      </c>
      <c r="PJ106" s="155">
        <f>MAX(0,16-SUMPRODUCT($OK106:$OP106,$I$8:$N$8)+MIN(14,$OQ106*4+$OR106*7,SUMPRODUCT($OK106:$OP106,$I$8:$N$8)))</f>
        <v/>
      </c>
      <c r="PK106" s="155">
        <f>IF($OE106=2,3*$PD106&amp;" de vida temp.",IF($OE106=3,"sem dano",IF($PD106=0,IF($OE106=1,"sem cura","sem dano"),IF($OE106=1,"cura ","")&amp;$PD106&amp;"d8")))</f>
        <v/>
      </c>
      <c r="PL106" s="155">
        <f>IF($OE106=2,3*$PE106&amp;" de vida temp.",IF($OE106=3,"sem dano",IF($PE106=0,IF($OE106=1,"sem cura","sem dano"),IF($OE106=1,"cura ","")&amp;$PE106&amp;"d8")))</f>
        <v/>
      </c>
      <c r="PM106" s="155">
        <f>IF($OE106=2,3*$PF106&amp;" de vida temp.",IF($OE106=3,"sem dano",IF($PF106=0,IF($OE106=1,"sem cura","sem dano"),IF($OE106=1,"cura ","")&amp;$PF106&amp;"d8")))</f>
        <v/>
      </c>
      <c r="PN106" s="155">
        <f>IF($OE106=2,3*$PG106&amp;" de vida temp.",IF($OE106=3,"sem dano",IF($PG106=0,IF($OE106=1,"sem cura","sem dano"),IF($OE106=1,"cura ","")&amp;$PG106&amp;"d8")))</f>
        <v/>
      </c>
      <c r="PO106" s="155">
        <f>IF($OE106=2,3*$PH106&amp;" de vida temp.",IF($OE106=3,"sem dano",IF($PH106=0,IF($OE106=1,"sem cura","sem dano"),IF($OE106=1,"cura ","")&amp;$PH106&amp;"d8")))</f>
        <v/>
      </c>
      <c r="PP106" s="155">
        <f>IF($OE106=2,3*$PI106&amp;" de vida temp.",IF($OE106=3,"sem dano",IF($PI106=0,IF($OE106=1,"sem cura","sem dano"),IF($OE106=1,"cura ","")&amp;$PI106&amp;"d8")))</f>
        <v/>
      </c>
      <c r="PQ106" s="155">
        <f>IF($OE106=2,3*$PJ106&amp;" de vida temp.",IF($OE106=3,"sem dano",IF($PJ106=0,IF($OE106=1,"sem cura","sem dano"),IF($OE106=1,"cura ","")&amp;$PJ106&amp;"d8")))</f>
        <v/>
      </c>
      <c r="PR106" s="155">
        <f>IF($NB106=0,"",TEXTJOIN(" · ",TRUE,IF($MO106&gt;$NC106,"Este lugar abre no nível "&amp;$MO106,""),IF($MQ106&gt;$ND106,"Classe "&amp;$MQ106&amp;": o nível "&amp;$NC106&amp;" libera até a "&amp;$ND106,""),IF($NV106=1,"A Forma "&amp;$MS106&amp;" pede "&amp;INDEX($W$2:$W$11,$NH106)&amp;" aberta",""),IF(AND($MQ106=0,$NH106&gt;0,IF($NH106=0,0,INDEX($AF$2:$AF$11,$NH106))=0),$MS106&amp;" não existe na Classe 0",""),IF($NW106=1,"Família Fechada: "&amp;$MV106,""),IF($NX106=1,"Família Fechada: "&amp;$MW106,""),IF($NY106=1,"Família Fechada: "&amp;$MX106,""),IF($NZ106=1,"Família Fechada: "&amp;$MY106,""),IF(AND($MQ106&gt;0,$OS106&gt;INDEX($O$2:$O$8,MAX(1,$MQ106))),$OS106&amp;" Melhorias: a Classe "&amp;$MQ106&amp;" aceita "&amp;INDEX($O$2:$O$8,MAX(1,$MQ106)),""),IF(AND($MQ106=0,$OS106&gt;1),"A básica aceita uma Melhoria",""),IF(AND($MQ106=0,COUNTIF($NM106:$NP106,"&gt;1")&gt;0),"A básica só aceita Melhoria Leve",""),IF(AND($MQ106&gt;0,$OT106&gt;2),$OT106&amp;" Restrições"&amp;IF($OD106=1,", contando a que a Forma "&amp;$MS106&amp;" já traz","")&amp;": o limite é 2",""),IF(AND($MQ106=0,COUNTIF($MZ106:$NA106,"?*")&gt;1),"A básica aceita uma Restrição Leve",""),IF(AND($MQ106=0,COUNTIF($OG106:$OH106,2)&gt;0),"A básica só aceita Restrição Leve",""),IF(AND($MQ106&gt;0,$PA106&lt;0),"Orçamento estourado: faltam "&amp;(-$PA106)&amp;IF($PA106&lt;-1," pontos"," ponto"),""),IF(IFERROR(VLOOKUP($MZ106,$BC$2:$BG$24,4,FALSE),0)+IFERROR(VLOOKUP($NA106,$BC$2:$BG$24,4,FALSE),0)&gt;1,$OI106&amp;" e "&amp;$OJ106&amp;" são as duas de frequência",""),IF(AND((COUNTIF($MV106:$MY106,"Rápido")+COUNTIF($OI106:$OJ106,"Rápido"))&gt;0,(COUNTIF($MV106:$MY106,"Atrasar")+COUNTIF($OI106:$OJ106,"Atrasar"))&gt;0),"Rápido não entra com Atrasar",""),IF(AND((COUNTIF($MV106:$MY106,"Reação")+COUNTIF($OI106:$OJ106,"Reação"))&gt;0,(COUNTIF($MV106:$MY106,"Rápido")+COUNTIF($OI106:$OJ106,"Rápido"))&gt;0),"Reação não entra com Rápido",""),IF(AND((COUNTIF($MV106:$MY106,"Reação")+COUNTIF($OI106:$OJ106,"Reação"))&gt;0,(COUNTIF($MV106:$MY106,"Armado")+COUNTIF($OI106:$OJ106,"Armado"))&gt;0),"Reação não entra com Armado",""),IF(AND((COUNTIF($MV106:$MY106,"Reação")+COUNTIF($OI106:$OJ106,"Reação"))&gt;0,(COUNTIF($MV106:$MY106,"Atrasar")+COUNTIF($OI106:$OJ106,"Atrasar"))&gt;0),"Reação não entra com Atrasar",""),IF(AND((COUNTIF($MV106:$MY106,"Reação")+COUNTIF($OI106:$OJ106,"Reação"))&gt;0,(COUNTIF($MV106:$MY106,"Parado")+COUNTIF($OI106:$OJ106,"Parado"))&gt;0),"Reação não entra com Parado",""),IF(AND((COUNTIF($MV106:$MY106,"Atrasar")+COUNTIF($OI106:$OJ106,"Atrasar"))&gt;0,(COUNTIF($MV106:$MY106,"Parado")+COUNTIF($OI106:$OJ106,"Parado"))&gt;0),"Atrasar não entra com Parado",""),IF(AND((COUNTIF($MV106:$MY106,"Armado")+COUNTIF($OI106:$OJ106,"Armado"))&gt;0,(COUNTIF($MV106:$MY106,"Carregar")+COUNTIF($OI106:$OJ106,"Carregar"))&gt;0),"Armado não entra com Carregar",""),IF(AND(COUNTIF($OI106:$OJ106,"Corpo a Corpo")&gt;0,$OD106=0,OR($MS106="Cone",$MS106="Linha")),"Corpo a Corpo não entra em "&amp;$MS106,""),IF(AND(COUNTIF($OI106:$OJ106,"Corpo a Corpo")&gt;0,$OD106=1),"A Forma "&amp;$MS106&amp;" já traz o Corpo a Corpo",""),IF(AND(COUNTIF($OI106:$OJ106,"Tudo ou Nada")&gt;0,$OF106=0),"Tudo ou Nada só entra em habilidade de Teste de Resistência",""),IF(AND(COUNTIF($MV106:$MY106,"Inescapável")&gt;0,OR($OS106&gt;1,$OT106&gt;0)),"Inescapável não aceita outra peça",""),IF(AND($MQ106&gt;0,$PB106*IF(COUNTIF($MV106:$MY106,"Remate")&gt;0,1.25,1)+$PC106&gt;4*$MQ106),($PB106*IF(COUNTIF($MV106:$MY106,"Remate")&gt;0,1.25,1)+$PC106)&amp;" dados somando repetições"&amp;IF(COUNTIF($MV106:$MY106,"Remate")&gt;0," e o Remate","")&amp;": o teto da Classe "&amp;$MQ106&amp;" é "&amp;4*$MQ106,"")))</f>
        <v/>
      </c>
      <c r="PS106" s="155">
        <f>IF($PR106="",0,(LEN($PR106)-LEN(SUBSTITUTE($PR106," · ","")))/3+1)</f>
        <v/>
      </c>
      <c r="PT106" s="155">
        <f>IF($NB106=0,"",TEXTJOIN(" · ",TRUE,IF($OV106&gt;2*$MQ106,"A devolução parou no teto de "&amp;2*$MQ106,""),IF($OY106&gt;0,"Devolução perdida: "&amp;$OY106&amp;IF($OY106&gt;1," pontos"," ponto")&amp;" sem peça para pagar",""),IF(AND($OA106&gt;0,AND($MQ106&gt;0,$OE106=0),$PB106=0),"Controle sem dano: uma rodada a mais e CD +2",""),IF(AND($OA106&gt;0,AND($MQ106&gt;0,$OE106=0),$PB106&gt;0,$PB106&lt;=$MQ106),"Controle com saldo até a Classe: uma rodada a mais",""),IF(AND($MQ106&gt;0,$OC106&lt;&gt;""),"Efeito de "&amp;$OC106&amp;" pela Classe "&amp;MAX(1,$MQ106-1),"")))</f>
        <v/>
      </c>
      <c r="PU106" s="155">
        <f>IF($PT106="",0,(LEN($PT106)-LEN(SUBSTITUTE($PT106," · ","")))/3+1)</f>
        <v/>
      </c>
      <c r="PV106" s="155">
        <f>IF($NB106=0,IF($OS106+COUNTIF($MZ106:$NA106,"?*")&gt;0,"Dê um nome",""),IF($PS106&gt;0,"⚠ "&amp;$PS106&amp;IF($PS106&gt;1," erros"," erro"),IF($PU106&gt;0,"! "&amp;$PU106&amp;IF($PU106&gt;1," avisos"," aviso"),"Na regra")))</f>
        <v/>
      </c>
      <c r="PW106" s="155">
        <f>IF($NB106=0,"",IF($PS106+$PU106=0,"Dentro das regras que a ficha confere",$PR106&amp;IF(AND($PS106&gt;0,$PU106&gt;0)," · ","")&amp;$PT106))</f>
        <v/>
      </c>
      <c r="PX106" s="155">
        <f>IF($MO106&gt;$NC106,$MP106&amp;" · ABRE NO NÍVEL "&amp;$MO106,$MP106)</f>
        <v/>
      </c>
      <c r="PY106" s="155">
        <f>IF($NB106=0,"",IF($MQ106=0,"Sem PE",3*$MQ106&amp;" PE"))</f>
        <v/>
      </c>
      <c r="PZ106" s="155">
        <f>IF($NB106=0,"",IF($MQ106=0,"A atuação básica dela",IF(COUNTIF($OI106:$OJ106,"Atrasar")&gt;0,"Sua Ação Completa",IF(COUNTIF($MV106:$MY106,"Rápido")&gt;0,"Sua Bônus",IF(COUNTIF($MV106:$MY106,"Reação")&gt;0,"Sua Reação","Sua Padrão")))&amp;" + a básica dela"&amp;IF(COUNTIF($MV106:$MY106,"Reação")&gt;0," e a coletiva","")&amp;IF(COUNTIF($OI106:$OJ106,"Carregar")&gt;0," · em dois turnos","")))</f>
        <v/>
      </c>
      <c r="QA106" s="155">
        <f>IF($MU106&lt;&gt;"",$MU106,IF($NH106=0,"",INDEX($AA$2:$AA$11,$NH106)))</f>
        <v/>
      </c>
      <c r="QB106" s="155">
        <f>IF(OR($NB106=0,$NH106=0),"",IF(COUNTIF($MV106:$MY106,"Inescapável")&gt;0,"Automático",IF($QA106="Ataque",IF($NF106="","Ataque","Ataque "&amp;IF(($NF106+2*IF(COUNTIF($MV106:$MY106,"Precisão")&gt;0,1,0))&gt;=0,"+","−")&amp;ABS(($NF106+2*IF(COUNTIF($MV106:$MY106,"Precisão")&gt;0,1,0))))&amp;IF($OB106&gt;0," · TR"&amp;IF($NG106="",""," CD "&amp;$NG106),""),IF(LEFT($QA106,2)="TR",$QA106&amp;IF($NG106="",""," · CD "&amp;$NG106)&amp;IF(COUNTIF($MV106:$MY106,"Certeiro")&gt;0," · metade",""),"Sem rolagem"))))</f>
        <v/>
      </c>
      <c r="QC106" s="155">
        <f>IF(OR($NB106=0,$NH106=0),"",IF($MQ106=0,IF(OR($OE106&gt;=1,$PB106=0),"Sem dano",$PB106&amp;"d6"&amp;IF($MT106="",""," "&amp;$MT106)),IF(OR($OE106&gt;=1,$PB106=0),UPPER(LEFT(INDEX($PK106:$PQ106,1,MAX(1,$MQ106)),1))&amp;MID(INDEX($PK106:$PQ106,1,MAX(1,$MQ106)),2,99),UPPER(LEFT(INDEX($PK106:$PQ106,1,MAX(1,$MQ106)),1))&amp;MID(INDEX($PK106:$PQ106,1,MAX(1,$MQ106)),2,99)&amp;IF($MT106="",""," "&amp;$MT106)&amp;IF($PC106&gt;0," · +"&amp;$PC106&amp;"d8",""))))</f>
        <v/>
      </c>
      <c r="QD106" s="155">
        <f>COUNTIF($MV106:$MY106,"Longe")+3*COUNTIF($MV106:$MY106,"Muito Longe")</f>
        <v/>
      </c>
      <c r="QE106" s="155">
        <f>COUNTIF($MV106:$MY106,"Maior")+3*COUNTIF($MV106:$MY106,"Muito Maior")</f>
        <v/>
      </c>
      <c r="QF106" s="155">
        <f>IF($NH106=0,0,CHOOSE(1+INDEX($AC$2:$AC$11,$NH106),0,$QD106,$QE106,$QD106+$QE106))</f>
        <v/>
      </c>
      <c r="QG106" s="155">
        <f>IF($NH106=0,0,CHOOSE(1+INDEX($AD$2:$AD$11,$NH106),0,$QD106,$QE106,$QD106+$QE106))</f>
        <v/>
      </c>
      <c r="QH106" s="155">
        <f>IF(OR($NB106=0,$NH106=0),"",INDEX($AI$2:$AN$41,($NH106-1)*4+IF($MQ106=0,1,IF($MQ106&lt;=5,2,IF($MQ106=6,3,4))),1+MIN(5,$QF106))&amp;INDEX($AO$2:$AT$41,($NH106-1)*4+IF($MQ106=0,1,IF($MQ106&lt;=5,2,IF($MQ106=6,3,4))),1+MIN(5,$QG106))&amp;IF(INDEX($AE$2:$AE$11,$NH106)=1,IF(COUNTIF($MV106:$MY106,"Mais Um")&gt;0," · +"&amp;COUNTIF($MV106:$MY106,"Mais Um")&amp;IF(COUNTIF($MV106:$MY106,"Mais Um")&gt;1," alvos"," alvo"),"")&amp;IF(COUNTIF($MV106:$MY106,"Rajada")&gt;0,IF($MQ106=0," · 1 tiro"," · "&amp;(MAX(1,$MQ106-1)+1)&amp;" tiros"),""),""))</f>
        <v/>
      </c>
      <c r="QI106" s="155">
        <f>IF($NB106=0,"",IF($MQ106=0,$NE106&amp;"d6"&amp;IF($OS106&gt;0," − 1 = "&amp;$PB106&amp;"d6"," da básica do nível "&amp;$NC106),$OZ106&amp;" − "&amp;$OU106&amp;" + "&amp;$OX106&amp;" = "&amp;$PA106&amp;" · teto "&amp;4*$MQ106&amp;"d8"&amp;IF($OD106=1," · a Forma devolve "&amp;$MQ106,"")&amp;IF($OY106&gt;0," · perde "&amp;$OY106,"")))</f>
        <v/>
      </c>
      <c r="QJ106" s="155">
        <f>IF($NB106=0,"",IF($MQ106=0,"A básica não amplia: os dados dela sobem com o nível",IF($MQ106&gt;=$ND106,"Já está na maior Classe que o nível liberou",TEXTJOIN(" · ",TRUE,IF(AND(2&gt;$MQ106,2&lt;=$ND106),"2 → "&amp;$PL106&amp;", 6 PE",""),IF(AND(3&gt;$MQ106,3&lt;=$ND106),"3 → "&amp;$PM106&amp;", 9 PE",""),IF(AND(4&gt;$MQ106,4&lt;=$ND106),"4 → "&amp;$PN106&amp;", 12 PE",""),IF(AND(5&gt;$MQ106,5&lt;=$ND106),"5 → "&amp;$PO106&amp;", 15 PE",""),IF(AND(6&gt;$MQ106,6&lt;=$ND106),"6 → "&amp;$PP106&amp;", 18 PE",""),IF(AND(7&gt;$MQ106,7&lt;=$ND106),"7 → "&amp;$PQ106&amp;", 21 PE","")))))</f>
        <v/>
      </c>
      <c r="QK106" s="155">
        <f>IF(OR($NB106=0,$NM106=0),"",IF($MQ106=0,"−1 dado","−"&amp;INDEX($I$2:$N$8,MAX(1,$MQ106),MAX(1,$NR106))&amp;" · "&amp;CHOOSE(MAX(1,$NR106),"Leve","Média","Pesada","Leve · Livre","Média · Livre","Pesada · Livre")))</f>
        <v/>
      </c>
      <c r="QL106" s="155">
        <f>IF(OR($NB106=0,$NN106=0),"",IF($MQ106=0,"−1 dado","−"&amp;INDEX($I$2:$N$8,MAX(1,$MQ106),MAX(1,$NS106))&amp;" · "&amp;CHOOSE(MAX(1,$NS106),"Leve","Média","Pesada","Leve · Livre","Média · Livre","Pesada · Livre")))</f>
        <v/>
      </c>
      <c r="QM106" s="155">
        <f>IF(OR($NB106=0,$NO106=0),"",IF($MQ106=0,"−1 dado","−"&amp;INDEX($I$2:$N$8,MAX(1,$MQ106),MAX(1,$NT106))&amp;" · "&amp;CHOOSE(MAX(1,$NT106),"Leve","Média","Pesada","Leve · Livre","Média · Livre","Pesada · Livre")))</f>
        <v/>
      </c>
      <c r="QN106" s="155">
        <f>IF(OR($NB106=0,$NP106=0),"",IF($MQ106=0,"−1 dado","−"&amp;INDEX($I$2:$N$8,MAX(1,$MQ106),MAX(1,$NU106))&amp;" · "&amp;CHOOSE(MAX(1,$NU106),"Leve","Média","Pesada","Leve · Livre","Média · Livre","Pesada · Livre")))</f>
        <v/>
      </c>
      <c r="QO106" s="155">
        <f>IF(OR($NB106=0,$MZ106=""),"",IF($MQ106=0,"não devolve","+"&amp;IF($OG106=1,CEILING($MQ106/2,1),$MQ106)))</f>
        <v/>
      </c>
      <c r="QP106" s="155">
        <f>IF(OR($NB106=0,$NA106=""),"",IF($MQ106=0,"não devolve","+"&amp;IF($OH106=1,CEILING($MQ106/2,1),$MQ106)))</f>
        <v/>
      </c>
    </row>
    <row r="107">
      <c r="ML107" s="153" t="inlineStr">
        <is>
          <t>Ficha 9 · Especial 1</t>
        </is>
      </c>
      <c r="MM107" s="155" t="n">
        <v>9</v>
      </c>
      <c r="MN107" s="155" t="n">
        <v>1</v>
      </c>
      <c r="MO107" s="155" t="n">
        <v>1</v>
      </c>
      <c r="MP107" s="153" t="inlineStr">
        <is>
          <t>ESPECIAL 1</t>
        </is>
      </c>
      <c r="MQ107" s="155">
        <f>MAX(1,MIN(7,N('INVOCAÇÕES'!$AH$454)))</f>
        <v/>
      </c>
      <c r="MR107" s="155">
        <f>'INVOCAÇÕES'!$AI$454&amp;""</f>
        <v/>
      </c>
      <c r="MS107" s="155">
        <f>'INVOCAÇÕES'!$AH$459&amp;""</f>
        <v/>
      </c>
      <c r="MT107" s="155">
        <f>'INVOCAÇÕES'!$AH$460&amp;""</f>
        <v/>
      </c>
      <c r="MU107" s="155">
        <f>'INVOCAÇÕES'!$AJ$460&amp;""</f>
        <v/>
      </c>
      <c r="MV107" s="155">
        <f>'INVOCAÇÕES'!$AI$463&amp;""</f>
        <v/>
      </c>
      <c r="MW107" s="155">
        <f>'INVOCAÇÕES'!$AI$464&amp;""</f>
        <v/>
      </c>
      <c r="MX107" s="155">
        <f>'INVOCAÇÕES'!$AI$465&amp;""</f>
        <v/>
      </c>
      <c r="MY107" s="155">
        <f>'INVOCAÇÕES'!$AI$466&amp;""</f>
        <v/>
      </c>
      <c r="MZ107" s="155">
        <f>'INVOCAÇÕES'!$AI$467&amp;""</f>
        <v/>
      </c>
      <c r="NA107" s="155">
        <f>'INVOCAÇÕES'!$AI$468&amp;""</f>
        <v/>
      </c>
      <c r="NB107" s="155">
        <f>IF($MR107&lt;&gt;"",1,0)</f>
        <v/>
      </c>
      <c r="NC107" s="155">
        <f>INDEX($FM$2:$FM$13,$MM107)</f>
        <v/>
      </c>
      <c r="ND107" s="155">
        <f>INDEX($FN$2:$FN$13,$MM107)</f>
        <v/>
      </c>
      <c r="NE107" s="155">
        <f>INDEX($FO$2:$FO$13,$MM107)</f>
        <v/>
      </c>
      <c r="NF107" s="155">
        <f>INDEX($FZ$2:$FZ$13,$MM107)</f>
        <v/>
      </c>
      <c r="NG107" s="155">
        <f>INDEX($GA$2:$GA$13,$MM107)</f>
        <v/>
      </c>
      <c r="NH107" s="155">
        <f>IFERROR(MATCH($MS107,$V$2:$V$11,0),0)</f>
        <v/>
      </c>
      <c r="NI107" s="155">
        <f>IFERROR(VLOOKUP($MV107,$AV$2:$BA$84,2,FALSE),"")</f>
        <v/>
      </c>
      <c r="NJ107" s="155">
        <f>IFERROR(VLOOKUP($MW107,$AV$2:$BA$84,2,FALSE),"")</f>
        <v/>
      </c>
      <c r="NK107" s="155">
        <f>IFERROR(VLOOKUP($MX107,$AV$2:$BA$84,2,FALSE),"")</f>
        <v/>
      </c>
      <c r="NL107" s="155">
        <f>IFERROR(VLOOKUP($MY107,$AV$2:$BA$84,2,FALSE),"")</f>
        <v/>
      </c>
      <c r="NM107" s="155">
        <f>IFERROR(VLOOKUP($MV107,$AV$2:$BA$84,3,FALSE),0)</f>
        <v/>
      </c>
      <c r="NN107" s="155">
        <f>IFERROR(VLOOKUP($MW107,$AV$2:$BA$84,3,FALSE),0)</f>
        <v/>
      </c>
      <c r="NO107" s="155">
        <f>IFERROR(VLOOKUP($MX107,$AV$2:$BA$84,3,FALSE),0)</f>
        <v/>
      </c>
      <c r="NP107" s="155">
        <f>IFERROR(VLOOKUP($MY107,$AV$2:$BA$84,3,FALSE),0)</f>
        <v/>
      </c>
      <c r="NQ107" s="155">
        <f>IF($MQ107=0,0,IF($NH107=0,0,INDEX($X$2:$X$11,$NH107)))</f>
        <v/>
      </c>
      <c r="NR107" s="155">
        <f>IF(OR($NM107=0,$MQ107=0),0,$NM107+3*IF(AND($NI107&lt;&gt;"",OR($NI107=INDEX($EJ$2:$EJ$13,$MM107),$NI107=INDEX($EK$2:$EK$13,$MM107))),1,0))</f>
        <v/>
      </c>
      <c r="NS107" s="155">
        <f>IF(OR($NN107=0,$MQ107=0),0,$NN107+3*IF(AND($NJ107&lt;&gt;"",OR($NJ107=INDEX($EJ$2:$EJ$13,$MM107),$NJ107=INDEX($EK$2:$EK$13,$MM107))),1,0))</f>
        <v/>
      </c>
      <c r="NT107" s="155">
        <f>IF(OR($NO107=0,$MQ107=0),0,$NO107+3*IF(AND($NK107&lt;&gt;"",OR($NK107=INDEX($EJ$2:$EJ$13,$MM107),$NK107=INDEX($EK$2:$EK$13,$MM107))),1,0))</f>
        <v/>
      </c>
      <c r="NU107" s="155">
        <f>IF(OR($NP107=0,$MQ107=0),0,$NP107+3*IF(AND($NL107&lt;&gt;"",OR($NL107=INDEX($EJ$2:$EJ$13,$MM107),$NL107=INDEX($EK$2:$EK$13,$MM107))),1,0))</f>
        <v/>
      </c>
      <c r="NV107" s="155">
        <f>IF($NH107=0,0,IF(INDEX($W$2:$W$11,$NH107)="",0,IF(COUNTIF(INDEX($EJ$2:$EN$13,$MM107,0),INDEX($W$2:$W$11,$NH107))=0,1,0)))</f>
        <v/>
      </c>
      <c r="NW107" s="155">
        <f>IF(OR($NM107=0,$NI107=""),0,IF(COUNTIF(INDEX($EJ$2:$EN$13,$MM107,0),$NI107)=0,1,0))</f>
        <v/>
      </c>
      <c r="NX107" s="155">
        <f>IF(OR($NN107=0,$NJ107=""),0,IF(COUNTIF(INDEX($EJ$2:$EN$13,$MM107,0),$NJ107)=0,1,0))</f>
        <v/>
      </c>
      <c r="NY107" s="155">
        <f>IF(OR($NO107=0,$NK107=""),0,IF(COUNTIF(INDEX($EJ$2:$EN$13,$MM107,0),$NK107)=0,1,0))</f>
        <v/>
      </c>
      <c r="NZ107" s="155">
        <f>IF(OR($NP107=0,$NL107=""),0,IF(COUNTIF(INDEX($EJ$2:$EN$13,$MM107,0),$NL107)=0,1,0))</f>
        <v/>
      </c>
      <c r="OA107" s="155">
        <f>IFERROR(VLOOKUP($MV107,$AV$2:$BA$84,4,FALSE),0)+IFERROR(VLOOKUP($MW107,$AV$2:$BA$84,4,FALSE),0)+IFERROR(VLOOKUP($MX107,$AV$2:$BA$84,4,FALSE),0)+IFERROR(VLOOKUP($MY107,$AV$2:$BA$84,4,FALSE),0)</f>
        <v/>
      </c>
      <c r="OB107" s="155">
        <f>IFERROR(VLOOKUP($MV107,$AV$2:$BA$84,6,FALSE),0)+IFERROR(VLOOKUP($MW107,$AV$2:$BA$84,6,FALSE),0)+IFERROR(VLOOKUP($MX107,$AV$2:$BA$84,6,FALSE),0)+IFERROR(VLOOKUP($MY107,$AV$2:$BA$84,6,FALSE),0)</f>
        <v/>
      </c>
      <c r="OC107" s="155">
        <f>TEXTJOIN(", ",TRUE,IF(IFERROR(VLOOKUP($MV107,$AV$2:$BA$84,5,FALSE),0)=1,$MV107,""),IF(IFERROR(VLOOKUP($MW107,$AV$2:$BA$84,5,FALSE),0)=1,$MW107,""),IF(IFERROR(VLOOKUP($MX107,$AV$2:$BA$84,5,FALSE),0)=1,$MX107,""),IF(IFERROR(VLOOKUP($MY107,$AV$2:$BA$84,5,FALSE),0)=1,$MY107,""))</f>
        <v/>
      </c>
      <c r="OD107" s="155">
        <f>IF($NH107=0,0,INDEX($Y$2:$Y$11,$NH107))</f>
        <v/>
      </c>
      <c r="OE107" s="155">
        <f>IF($NH107=0,0,INDEX($Z$2:$Z$11,$NH107))</f>
        <v/>
      </c>
      <c r="OF107" s="155">
        <f>IF($NH107=0,0,INDEX($AB$2:$AB$11,$NH107))</f>
        <v/>
      </c>
      <c r="OG107" s="155">
        <f>IFERROR(VLOOKUP($MZ107,$BC$2:$BG$24,3,FALSE),0)</f>
        <v/>
      </c>
      <c r="OH107" s="155">
        <f>IFERROR(VLOOKUP($NA107,$BC$2:$BG$24,3,FALSE),0)</f>
        <v/>
      </c>
      <c r="OI107" s="155">
        <f>IFERROR(VLOOKUP($MZ107,$BC$2:$BG$24,2,FALSE),"")</f>
        <v/>
      </c>
      <c r="OJ107" s="155">
        <f>IFERROR(VLOOKUP($NA107,$BC$2:$BG$24,2,FALSE),"")</f>
        <v/>
      </c>
      <c r="OK107" s="155">
        <f>COUNTIF($NQ107:$NU107,1)</f>
        <v/>
      </c>
      <c r="OL107" s="155">
        <f>COUNTIF($NQ107:$NU107,2)</f>
        <v/>
      </c>
      <c r="OM107" s="155">
        <f>COUNTIF($NQ107:$NU107,3)</f>
        <v/>
      </c>
      <c r="ON107" s="155">
        <f>COUNTIF($NQ107:$NU107,4)</f>
        <v/>
      </c>
      <c r="OO107" s="155">
        <f>COUNTIF($NQ107:$NU107,5)</f>
        <v/>
      </c>
      <c r="OP107" s="155">
        <f>COUNTIF($NQ107:$NU107,6)</f>
        <v/>
      </c>
      <c r="OQ107" s="155">
        <f>COUNTIF($OG107:$OH107,1)</f>
        <v/>
      </c>
      <c r="OR107" s="155">
        <f>COUNTIF($OG107:$OH107,2)+$OD107</f>
        <v/>
      </c>
      <c r="OS107" s="155">
        <f>COUNTIF($MV107:$MY107,"?*")</f>
        <v/>
      </c>
      <c r="OT107" s="155">
        <f>COUNTIF($MZ107:$NA107,"?*")+$OD107</f>
        <v/>
      </c>
      <c r="OU107" s="155">
        <f>IF($MQ107=0,0,SUMPRODUCT($OK107:$OP107,INDEX($I$2:$N$8,MAX(1,$MQ107),0)))</f>
        <v/>
      </c>
      <c r="OV107" s="155">
        <f>IF($MQ107=0,0,$OQ107*CEILING($MQ107/2,1)+$OR107*$MQ107)</f>
        <v/>
      </c>
      <c r="OW107" s="155">
        <f>MIN(2*$MQ107,$OV107)</f>
        <v/>
      </c>
      <c r="OX107" s="155">
        <f>MIN($OW107,$OU107)</f>
        <v/>
      </c>
      <c r="OY107" s="155">
        <f>$OW107-$OX107</f>
        <v/>
      </c>
      <c r="OZ107" s="155">
        <f>IF($MQ107=0,0,INDEX($P$2:$P$8,MAX(1,$MQ107)))</f>
        <v/>
      </c>
      <c r="PA107" s="155">
        <f>$OZ107-$OU107+$OX107</f>
        <v/>
      </c>
      <c r="PB107" s="155">
        <f>IF($MQ107=0,MAX(0,$NE107-IF($OS107&gt;0,1,0)),MAX(0,$PA107))</f>
        <v/>
      </c>
      <c r="PC107" s="155">
        <f>IF($MQ107=0,0,(IF(COUNTIF($MV107:$MY107,"Salto")&gt;0,1,0)+IF(COUNTIF($MV107:$MY107,"Queima")&gt;0,1,0)+IF(COUNTIF($MV107:$MY107,"Estilhaço")&gt;0,1,0))*FLOOR($PB107/2,1))</f>
        <v/>
      </c>
      <c r="PD107" s="155">
        <f>MAX(0,2-SUMPRODUCT($OK107:$OP107,$I$2:$N$2)+MIN(2,$OQ107*1+$OR107*1,SUMPRODUCT($OK107:$OP107,$I$2:$N$2)))</f>
        <v/>
      </c>
      <c r="PE107" s="155">
        <f>MAX(0,4-SUMPRODUCT($OK107:$OP107,$I$3:$N$3)+MIN(4,$OQ107*1+$OR107*2,SUMPRODUCT($OK107:$OP107,$I$3:$N$3)))</f>
        <v/>
      </c>
      <c r="PF107" s="155">
        <f>MAX(0,6-SUMPRODUCT($OK107:$OP107,$I$4:$N$4)+MIN(6,$OQ107*2+$OR107*3,SUMPRODUCT($OK107:$OP107,$I$4:$N$4)))</f>
        <v/>
      </c>
      <c r="PG107" s="155">
        <f>MAX(0,9-SUMPRODUCT($OK107:$OP107,$I$5:$N$5)+MIN(8,$OQ107*2+$OR107*4,SUMPRODUCT($OK107:$OP107,$I$5:$N$5)))</f>
        <v/>
      </c>
      <c r="PH107" s="155">
        <f>MAX(0,11-SUMPRODUCT($OK107:$OP107,$I$6:$N$6)+MIN(10,$OQ107*3+$OR107*5,SUMPRODUCT($OK107:$OP107,$I$6:$N$6)))</f>
        <v/>
      </c>
      <c r="PI107" s="155">
        <f>MAX(0,13-SUMPRODUCT($OK107:$OP107,$I$7:$N$7)+MIN(12,$OQ107*3+$OR107*6,SUMPRODUCT($OK107:$OP107,$I$7:$N$7)))</f>
        <v/>
      </c>
      <c r="PJ107" s="155">
        <f>MAX(0,16-SUMPRODUCT($OK107:$OP107,$I$8:$N$8)+MIN(14,$OQ107*4+$OR107*7,SUMPRODUCT($OK107:$OP107,$I$8:$N$8)))</f>
        <v/>
      </c>
      <c r="PK107" s="155">
        <f>IF($OE107=2,3*$PD107&amp;" de vida temp.",IF($OE107=3,"sem dano",IF($PD107=0,IF($OE107=1,"sem cura","sem dano"),IF($OE107=1,"cura ","")&amp;$PD107&amp;"d8")))</f>
        <v/>
      </c>
      <c r="PL107" s="155">
        <f>IF($OE107=2,3*$PE107&amp;" de vida temp.",IF($OE107=3,"sem dano",IF($PE107=0,IF($OE107=1,"sem cura","sem dano"),IF($OE107=1,"cura ","")&amp;$PE107&amp;"d8")))</f>
        <v/>
      </c>
      <c r="PM107" s="155">
        <f>IF($OE107=2,3*$PF107&amp;" de vida temp.",IF($OE107=3,"sem dano",IF($PF107=0,IF($OE107=1,"sem cura","sem dano"),IF($OE107=1,"cura ","")&amp;$PF107&amp;"d8")))</f>
        <v/>
      </c>
      <c r="PN107" s="155">
        <f>IF($OE107=2,3*$PG107&amp;" de vida temp.",IF($OE107=3,"sem dano",IF($PG107=0,IF($OE107=1,"sem cura","sem dano"),IF($OE107=1,"cura ","")&amp;$PG107&amp;"d8")))</f>
        <v/>
      </c>
      <c r="PO107" s="155">
        <f>IF($OE107=2,3*$PH107&amp;" de vida temp.",IF($OE107=3,"sem dano",IF($PH107=0,IF($OE107=1,"sem cura","sem dano"),IF($OE107=1,"cura ","")&amp;$PH107&amp;"d8")))</f>
        <v/>
      </c>
      <c r="PP107" s="155">
        <f>IF($OE107=2,3*$PI107&amp;" de vida temp.",IF($OE107=3,"sem dano",IF($PI107=0,IF($OE107=1,"sem cura","sem dano"),IF($OE107=1,"cura ","")&amp;$PI107&amp;"d8")))</f>
        <v/>
      </c>
      <c r="PQ107" s="155">
        <f>IF($OE107=2,3*$PJ107&amp;" de vida temp.",IF($OE107=3,"sem dano",IF($PJ107=0,IF($OE107=1,"sem cura","sem dano"),IF($OE107=1,"cura ","")&amp;$PJ107&amp;"d8")))</f>
        <v/>
      </c>
      <c r="PR107" s="155">
        <f>IF($NB107=0,"",TEXTJOIN(" · ",TRUE,IF($MO107&gt;$NC107,"Este lugar abre no nível "&amp;$MO107,""),IF($MQ107&gt;$ND107,"Classe "&amp;$MQ107&amp;": o nível "&amp;$NC107&amp;" libera até a "&amp;$ND107,""),IF($NV107=1,"A Forma "&amp;$MS107&amp;" pede "&amp;INDEX($W$2:$W$11,$NH107)&amp;" aberta",""),IF(AND($MQ107=0,$NH107&gt;0,IF($NH107=0,0,INDEX($AF$2:$AF$11,$NH107))=0),$MS107&amp;" não existe na Classe 0",""),IF($NW107=1,"Família Fechada: "&amp;$MV107,""),IF($NX107=1,"Família Fechada: "&amp;$MW107,""),IF($NY107=1,"Família Fechada: "&amp;$MX107,""),IF($NZ107=1,"Família Fechada: "&amp;$MY107,""),IF(AND($MQ107&gt;0,$OS107&gt;INDEX($O$2:$O$8,MAX(1,$MQ107))),$OS107&amp;" Melhorias: a Classe "&amp;$MQ107&amp;" aceita "&amp;INDEX($O$2:$O$8,MAX(1,$MQ107)),""),IF(AND($MQ107=0,$OS107&gt;1),"A básica aceita uma Melhoria",""),IF(AND($MQ107=0,COUNTIF($NM107:$NP107,"&gt;1")&gt;0),"A básica só aceita Melhoria Leve",""),IF(AND($MQ107&gt;0,$OT107&gt;2),$OT107&amp;" Restrições"&amp;IF($OD107=1,", contando a que a Forma "&amp;$MS107&amp;" já traz","")&amp;": o limite é 2",""),IF(AND($MQ107=0,COUNTIF($MZ107:$NA107,"?*")&gt;1),"A básica aceita uma Restrição Leve",""),IF(AND($MQ107=0,COUNTIF($OG107:$OH107,2)&gt;0),"A básica só aceita Restrição Leve",""),IF(AND($MQ107&gt;0,$PA107&lt;0),"Orçamento estourado: faltam "&amp;(-$PA107)&amp;IF($PA107&lt;-1," pontos"," ponto"),""),IF(IFERROR(VLOOKUP($MZ107,$BC$2:$BG$24,4,FALSE),0)+IFERROR(VLOOKUP($NA107,$BC$2:$BG$24,4,FALSE),0)&gt;1,$OI107&amp;" e "&amp;$OJ107&amp;" são as duas de frequência",""),IF(AND((COUNTIF($MV107:$MY107,"Rápido")+COUNTIF($OI107:$OJ107,"Rápido"))&gt;0,(COUNTIF($MV107:$MY107,"Atrasar")+COUNTIF($OI107:$OJ107,"Atrasar"))&gt;0),"Rápido não entra com Atrasar",""),IF(AND((COUNTIF($MV107:$MY107,"Reação")+COUNTIF($OI107:$OJ107,"Reação"))&gt;0,(COUNTIF($MV107:$MY107,"Rápido")+COUNTIF($OI107:$OJ107,"Rápido"))&gt;0),"Reação não entra com Rápido",""),IF(AND((COUNTIF($MV107:$MY107,"Reação")+COUNTIF($OI107:$OJ107,"Reação"))&gt;0,(COUNTIF($MV107:$MY107,"Armado")+COUNTIF($OI107:$OJ107,"Armado"))&gt;0),"Reação não entra com Armado",""),IF(AND((COUNTIF($MV107:$MY107,"Reação")+COUNTIF($OI107:$OJ107,"Reação"))&gt;0,(COUNTIF($MV107:$MY107,"Atrasar")+COUNTIF($OI107:$OJ107,"Atrasar"))&gt;0),"Reação não entra com Atrasar",""),IF(AND((COUNTIF($MV107:$MY107,"Reação")+COUNTIF($OI107:$OJ107,"Reação"))&gt;0,(COUNTIF($MV107:$MY107,"Parado")+COUNTIF($OI107:$OJ107,"Parado"))&gt;0),"Reação não entra com Parado",""),IF(AND((COUNTIF($MV107:$MY107,"Atrasar")+COUNTIF($OI107:$OJ107,"Atrasar"))&gt;0,(COUNTIF($MV107:$MY107,"Parado")+COUNTIF($OI107:$OJ107,"Parado"))&gt;0),"Atrasar não entra com Parado",""),IF(AND((COUNTIF($MV107:$MY107,"Armado")+COUNTIF($OI107:$OJ107,"Armado"))&gt;0,(COUNTIF($MV107:$MY107,"Carregar")+COUNTIF($OI107:$OJ107,"Carregar"))&gt;0),"Armado não entra com Carregar",""),IF(AND(COUNTIF($OI107:$OJ107,"Corpo a Corpo")&gt;0,$OD107=0,OR($MS107="Cone",$MS107="Linha")),"Corpo a Corpo não entra em "&amp;$MS107,""),IF(AND(COUNTIF($OI107:$OJ107,"Corpo a Corpo")&gt;0,$OD107=1),"A Forma "&amp;$MS107&amp;" já traz o Corpo a Corpo",""),IF(AND(COUNTIF($OI107:$OJ107,"Tudo ou Nada")&gt;0,$OF107=0),"Tudo ou Nada só entra em habilidade de Teste de Resistência",""),IF(AND(COUNTIF($MV107:$MY107,"Inescapável")&gt;0,OR($OS107&gt;1,$OT107&gt;0)),"Inescapável não aceita outra peça",""),IF(AND($MQ107&gt;0,$PB107*IF(COUNTIF($MV107:$MY107,"Remate")&gt;0,1.25,1)+$PC107&gt;4*$MQ107),($PB107*IF(COUNTIF($MV107:$MY107,"Remate")&gt;0,1.25,1)+$PC107)&amp;" dados somando repetições"&amp;IF(COUNTIF($MV107:$MY107,"Remate")&gt;0," e o Remate","")&amp;": o teto da Classe "&amp;$MQ107&amp;" é "&amp;4*$MQ107,"")))</f>
        <v/>
      </c>
      <c r="PS107" s="155">
        <f>IF($PR107="",0,(LEN($PR107)-LEN(SUBSTITUTE($PR107," · ","")))/3+1)</f>
        <v/>
      </c>
      <c r="PT107" s="155">
        <f>IF($NB107=0,"",TEXTJOIN(" · ",TRUE,IF($OV107&gt;2*$MQ107,"A devolução parou no teto de "&amp;2*$MQ107,""),IF($OY107&gt;0,"Devolução perdida: "&amp;$OY107&amp;IF($OY107&gt;1," pontos"," ponto")&amp;" sem peça para pagar",""),IF(AND($OA107&gt;0,AND($MQ107&gt;0,$OE107=0),$PB107=0),"Controle sem dano: uma rodada a mais e CD +2",""),IF(AND($OA107&gt;0,AND($MQ107&gt;0,$OE107=0),$PB107&gt;0,$PB107&lt;=$MQ107),"Controle com saldo até a Classe: uma rodada a mais",""),IF(AND($MQ107&gt;0,$OC107&lt;&gt;""),"Efeito de "&amp;$OC107&amp;" pela Classe "&amp;MAX(1,$MQ107-1),"")))</f>
        <v/>
      </c>
      <c r="PU107" s="155">
        <f>IF($PT107="",0,(LEN($PT107)-LEN(SUBSTITUTE($PT107," · ","")))/3+1)</f>
        <v/>
      </c>
      <c r="PV107" s="155">
        <f>IF($NB107=0,IF($OS107+COUNTIF($MZ107:$NA107,"?*")&gt;0,"Dê um nome",""),IF($PS107&gt;0,"⚠ "&amp;$PS107&amp;IF($PS107&gt;1," erros"," erro"),IF($PU107&gt;0,"! "&amp;$PU107&amp;IF($PU107&gt;1," avisos"," aviso"),"Na regra")))</f>
        <v/>
      </c>
      <c r="PW107" s="155">
        <f>IF($NB107=0,"",IF($PS107+$PU107=0,"Dentro das regras que a ficha confere",$PR107&amp;IF(AND($PS107&gt;0,$PU107&gt;0)," · ","")&amp;$PT107))</f>
        <v/>
      </c>
      <c r="PX107" s="155">
        <f>IF($MO107&gt;$NC107,$MP107&amp;" · ABRE NO NÍVEL "&amp;$MO107,$MP107)</f>
        <v/>
      </c>
      <c r="PY107" s="155">
        <f>IF($NB107=0,"",IF($MQ107=0,"Sem PE",3*$MQ107&amp;" PE"))</f>
        <v/>
      </c>
      <c r="PZ107" s="155">
        <f>IF($NB107=0,"",IF($MQ107=0,"A atuação básica dela",IF(COUNTIF($OI107:$OJ107,"Atrasar")&gt;0,"Sua Ação Completa",IF(COUNTIF($MV107:$MY107,"Rápido")&gt;0,"Sua Bônus",IF(COUNTIF($MV107:$MY107,"Reação")&gt;0,"Sua Reação","Sua Padrão")))&amp;" + a básica dela"&amp;IF(COUNTIF($MV107:$MY107,"Reação")&gt;0," e a coletiva","")&amp;IF(COUNTIF($OI107:$OJ107,"Carregar")&gt;0," · em dois turnos","")))</f>
        <v/>
      </c>
      <c r="QA107" s="155">
        <f>IF($MU107&lt;&gt;"",$MU107,IF($NH107=0,"",INDEX($AA$2:$AA$11,$NH107)))</f>
        <v/>
      </c>
      <c r="QB107" s="155">
        <f>IF(OR($NB107=0,$NH107=0),"",IF(COUNTIF($MV107:$MY107,"Inescapável")&gt;0,"Automático",IF($QA107="Ataque",IF($NF107="","Ataque","Ataque "&amp;IF(($NF107+2*IF(COUNTIF($MV107:$MY107,"Precisão")&gt;0,1,0))&gt;=0,"+","−")&amp;ABS(($NF107+2*IF(COUNTIF($MV107:$MY107,"Precisão")&gt;0,1,0))))&amp;IF($OB107&gt;0," · TR"&amp;IF($NG107="",""," CD "&amp;$NG107),""),IF(LEFT($QA107,2)="TR",$QA107&amp;IF($NG107="",""," · CD "&amp;$NG107)&amp;IF(COUNTIF($MV107:$MY107,"Certeiro")&gt;0," · metade",""),"Sem rolagem"))))</f>
        <v/>
      </c>
      <c r="QC107" s="155">
        <f>IF(OR($NB107=0,$NH107=0),"",IF($MQ107=0,IF(OR($OE107&gt;=1,$PB107=0),"Sem dano",$PB107&amp;"d6"&amp;IF($MT107="",""," "&amp;$MT107)),IF(OR($OE107&gt;=1,$PB107=0),UPPER(LEFT(INDEX($PK107:$PQ107,1,MAX(1,$MQ107)),1))&amp;MID(INDEX($PK107:$PQ107,1,MAX(1,$MQ107)),2,99),UPPER(LEFT(INDEX($PK107:$PQ107,1,MAX(1,$MQ107)),1))&amp;MID(INDEX($PK107:$PQ107,1,MAX(1,$MQ107)),2,99)&amp;IF($MT107="",""," "&amp;$MT107)&amp;IF($PC107&gt;0," · +"&amp;$PC107&amp;"d8",""))))</f>
        <v/>
      </c>
      <c r="QD107" s="155">
        <f>COUNTIF($MV107:$MY107,"Longe")+3*COUNTIF($MV107:$MY107,"Muito Longe")</f>
        <v/>
      </c>
      <c r="QE107" s="155">
        <f>COUNTIF($MV107:$MY107,"Maior")+3*COUNTIF($MV107:$MY107,"Muito Maior")</f>
        <v/>
      </c>
      <c r="QF107" s="155">
        <f>IF($NH107=0,0,CHOOSE(1+INDEX($AC$2:$AC$11,$NH107),0,$QD107,$QE107,$QD107+$QE107))</f>
        <v/>
      </c>
      <c r="QG107" s="155">
        <f>IF($NH107=0,0,CHOOSE(1+INDEX($AD$2:$AD$11,$NH107),0,$QD107,$QE107,$QD107+$QE107))</f>
        <v/>
      </c>
      <c r="QH107" s="155">
        <f>IF(OR($NB107=0,$NH107=0),"",INDEX($AI$2:$AN$41,($NH107-1)*4+IF($MQ107=0,1,IF($MQ107&lt;=5,2,IF($MQ107=6,3,4))),1+MIN(5,$QF107))&amp;INDEX($AO$2:$AT$41,($NH107-1)*4+IF($MQ107=0,1,IF($MQ107&lt;=5,2,IF($MQ107=6,3,4))),1+MIN(5,$QG107))&amp;IF(INDEX($AE$2:$AE$11,$NH107)=1,IF(COUNTIF($MV107:$MY107,"Mais Um")&gt;0," · +"&amp;COUNTIF($MV107:$MY107,"Mais Um")&amp;IF(COUNTIF($MV107:$MY107,"Mais Um")&gt;1," alvos"," alvo"),"")&amp;IF(COUNTIF($MV107:$MY107,"Rajada")&gt;0,IF($MQ107=0," · 1 tiro"," · "&amp;(MAX(1,$MQ107-1)+1)&amp;" tiros"),""),""))</f>
        <v/>
      </c>
      <c r="QI107" s="155">
        <f>IF($NB107=0,"",IF($MQ107=0,$NE107&amp;"d6"&amp;IF($OS107&gt;0," − 1 = "&amp;$PB107&amp;"d6"," da básica do nível "&amp;$NC107),$OZ107&amp;" − "&amp;$OU107&amp;" + "&amp;$OX107&amp;" = "&amp;$PA107&amp;" · teto "&amp;4*$MQ107&amp;"d8"&amp;IF($OD107=1," · a Forma devolve "&amp;$MQ107,"")&amp;IF($OY107&gt;0," · perde "&amp;$OY107,"")))</f>
        <v/>
      </c>
      <c r="QJ107" s="155">
        <f>IF($NB107=0,"",IF($MQ107=0,"A básica não amplia: os dados dela sobem com o nível",IF($MQ107&gt;=$ND107,"Já está na maior Classe que o nível liberou",TEXTJOIN(" · ",TRUE,IF(AND(2&gt;$MQ107,2&lt;=$ND107),"2 → "&amp;$PL107&amp;", 6 PE",""),IF(AND(3&gt;$MQ107,3&lt;=$ND107),"3 → "&amp;$PM107&amp;", 9 PE",""),IF(AND(4&gt;$MQ107,4&lt;=$ND107),"4 → "&amp;$PN107&amp;", 12 PE",""),IF(AND(5&gt;$MQ107,5&lt;=$ND107),"5 → "&amp;$PO107&amp;", 15 PE",""),IF(AND(6&gt;$MQ107,6&lt;=$ND107),"6 → "&amp;$PP107&amp;", 18 PE",""),IF(AND(7&gt;$MQ107,7&lt;=$ND107),"7 → "&amp;$PQ107&amp;", 21 PE","")))))</f>
        <v/>
      </c>
      <c r="QK107" s="155">
        <f>IF(OR($NB107=0,$NM107=0),"",IF($MQ107=0,"−1 dado","−"&amp;INDEX($I$2:$N$8,MAX(1,$MQ107),MAX(1,$NR107))&amp;" · "&amp;CHOOSE(MAX(1,$NR107),"Leve","Média","Pesada","Leve · Livre","Média · Livre","Pesada · Livre")))</f>
        <v/>
      </c>
      <c r="QL107" s="155">
        <f>IF(OR($NB107=0,$NN107=0),"",IF($MQ107=0,"−1 dado","−"&amp;INDEX($I$2:$N$8,MAX(1,$MQ107),MAX(1,$NS107))&amp;" · "&amp;CHOOSE(MAX(1,$NS107),"Leve","Média","Pesada","Leve · Livre","Média · Livre","Pesada · Livre")))</f>
        <v/>
      </c>
      <c r="QM107" s="155">
        <f>IF(OR($NB107=0,$NO107=0),"",IF($MQ107=0,"−1 dado","−"&amp;INDEX($I$2:$N$8,MAX(1,$MQ107),MAX(1,$NT107))&amp;" · "&amp;CHOOSE(MAX(1,$NT107),"Leve","Média","Pesada","Leve · Livre","Média · Livre","Pesada · Livre")))</f>
        <v/>
      </c>
      <c r="QN107" s="155">
        <f>IF(OR($NB107=0,$NP107=0),"",IF($MQ107=0,"−1 dado","−"&amp;INDEX($I$2:$N$8,MAX(1,$MQ107),MAX(1,$NU107))&amp;" · "&amp;CHOOSE(MAX(1,$NU107),"Leve","Média","Pesada","Leve · Livre","Média · Livre","Pesada · Livre")))</f>
        <v/>
      </c>
      <c r="QO107" s="155">
        <f>IF(OR($NB107=0,$MZ107=""),"",IF($MQ107=0,"não devolve","+"&amp;IF($OG107=1,CEILING($MQ107/2,1),$MQ107)))</f>
        <v/>
      </c>
      <c r="QP107" s="155">
        <f>IF(OR($NB107=0,$NA107=""),"",IF($MQ107=0,"não devolve","+"&amp;IF($OH107=1,CEILING($MQ107/2,1),$MQ107)))</f>
        <v/>
      </c>
    </row>
    <row r="108">
      <c r="ML108" s="153" t="inlineStr">
        <is>
          <t>Ficha 9 · Especial 2</t>
        </is>
      </c>
      <c r="MM108" s="155" t="n">
        <v>9</v>
      </c>
      <c r="MN108" s="155" t="n">
        <v>1</v>
      </c>
      <c r="MO108" s="155" t="n">
        <v>4</v>
      </c>
      <c r="MP108" s="153" t="inlineStr">
        <is>
          <t>ESPECIAL 2</t>
        </is>
      </c>
      <c r="MQ108" s="155">
        <f>MAX(1,MIN(7,N('INVOCAÇÕES'!$AN$454)))</f>
        <v/>
      </c>
      <c r="MR108" s="155">
        <f>'INVOCAÇÕES'!$AO$454&amp;""</f>
        <v/>
      </c>
      <c r="MS108" s="155">
        <f>'INVOCAÇÕES'!$AN$459&amp;""</f>
        <v/>
      </c>
      <c r="MT108" s="155">
        <f>'INVOCAÇÕES'!$AN$460&amp;""</f>
        <v/>
      </c>
      <c r="MU108" s="155">
        <f>'INVOCAÇÕES'!$AP$460&amp;""</f>
        <v/>
      </c>
      <c r="MV108" s="155">
        <f>'INVOCAÇÕES'!$AO$463&amp;""</f>
        <v/>
      </c>
      <c r="MW108" s="155">
        <f>'INVOCAÇÕES'!$AO$464&amp;""</f>
        <v/>
      </c>
      <c r="MX108" s="155">
        <f>'INVOCAÇÕES'!$AO$465&amp;""</f>
        <v/>
      </c>
      <c r="MY108" s="155">
        <f>'INVOCAÇÕES'!$AO$466&amp;""</f>
        <v/>
      </c>
      <c r="MZ108" s="155">
        <f>'INVOCAÇÕES'!$AO$467&amp;""</f>
        <v/>
      </c>
      <c r="NA108" s="155">
        <f>'INVOCAÇÕES'!$AO$468&amp;""</f>
        <v/>
      </c>
      <c r="NB108" s="155">
        <f>IF($MR108&lt;&gt;"",1,0)</f>
        <v/>
      </c>
      <c r="NC108" s="155">
        <f>INDEX($FM$2:$FM$13,$MM108)</f>
        <v/>
      </c>
      <c r="ND108" s="155">
        <f>INDEX($FN$2:$FN$13,$MM108)</f>
        <v/>
      </c>
      <c r="NE108" s="155">
        <f>INDEX($FO$2:$FO$13,$MM108)</f>
        <v/>
      </c>
      <c r="NF108" s="155">
        <f>INDEX($FZ$2:$FZ$13,$MM108)</f>
        <v/>
      </c>
      <c r="NG108" s="155">
        <f>INDEX($GA$2:$GA$13,$MM108)</f>
        <v/>
      </c>
      <c r="NH108" s="155">
        <f>IFERROR(MATCH($MS108,$V$2:$V$11,0),0)</f>
        <v/>
      </c>
      <c r="NI108" s="155">
        <f>IFERROR(VLOOKUP($MV108,$AV$2:$BA$84,2,FALSE),"")</f>
        <v/>
      </c>
      <c r="NJ108" s="155">
        <f>IFERROR(VLOOKUP($MW108,$AV$2:$BA$84,2,FALSE),"")</f>
        <v/>
      </c>
      <c r="NK108" s="155">
        <f>IFERROR(VLOOKUP($MX108,$AV$2:$BA$84,2,FALSE),"")</f>
        <v/>
      </c>
      <c r="NL108" s="155">
        <f>IFERROR(VLOOKUP($MY108,$AV$2:$BA$84,2,FALSE),"")</f>
        <v/>
      </c>
      <c r="NM108" s="155">
        <f>IFERROR(VLOOKUP($MV108,$AV$2:$BA$84,3,FALSE),0)</f>
        <v/>
      </c>
      <c r="NN108" s="155">
        <f>IFERROR(VLOOKUP($MW108,$AV$2:$BA$84,3,FALSE),0)</f>
        <v/>
      </c>
      <c r="NO108" s="155">
        <f>IFERROR(VLOOKUP($MX108,$AV$2:$BA$84,3,FALSE),0)</f>
        <v/>
      </c>
      <c r="NP108" s="155">
        <f>IFERROR(VLOOKUP($MY108,$AV$2:$BA$84,3,FALSE),0)</f>
        <v/>
      </c>
      <c r="NQ108" s="155">
        <f>IF($MQ108=0,0,IF($NH108=0,0,INDEX($X$2:$X$11,$NH108)))</f>
        <v/>
      </c>
      <c r="NR108" s="155">
        <f>IF(OR($NM108=0,$MQ108=0),0,$NM108+3*IF(AND($NI108&lt;&gt;"",OR($NI108=INDEX($EJ$2:$EJ$13,$MM108),$NI108=INDEX($EK$2:$EK$13,$MM108))),1,0))</f>
        <v/>
      </c>
      <c r="NS108" s="155">
        <f>IF(OR($NN108=0,$MQ108=0),0,$NN108+3*IF(AND($NJ108&lt;&gt;"",OR($NJ108=INDEX($EJ$2:$EJ$13,$MM108),$NJ108=INDEX($EK$2:$EK$13,$MM108))),1,0))</f>
        <v/>
      </c>
      <c r="NT108" s="155">
        <f>IF(OR($NO108=0,$MQ108=0),0,$NO108+3*IF(AND($NK108&lt;&gt;"",OR($NK108=INDEX($EJ$2:$EJ$13,$MM108),$NK108=INDEX($EK$2:$EK$13,$MM108))),1,0))</f>
        <v/>
      </c>
      <c r="NU108" s="155">
        <f>IF(OR($NP108=0,$MQ108=0),0,$NP108+3*IF(AND($NL108&lt;&gt;"",OR($NL108=INDEX($EJ$2:$EJ$13,$MM108),$NL108=INDEX($EK$2:$EK$13,$MM108))),1,0))</f>
        <v/>
      </c>
      <c r="NV108" s="155">
        <f>IF($NH108=0,0,IF(INDEX($W$2:$W$11,$NH108)="",0,IF(COUNTIF(INDEX($EJ$2:$EN$13,$MM108,0),INDEX($W$2:$W$11,$NH108))=0,1,0)))</f>
        <v/>
      </c>
      <c r="NW108" s="155">
        <f>IF(OR($NM108=0,$NI108=""),0,IF(COUNTIF(INDEX($EJ$2:$EN$13,$MM108,0),$NI108)=0,1,0))</f>
        <v/>
      </c>
      <c r="NX108" s="155">
        <f>IF(OR($NN108=0,$NJ108=""),0,IF(COUNTIF(INDEX($EJ$2:$EN$13,$MM108,0),$NJ108)=0,1,0))</f>
        <v/>
      </c>
      <c r="NY108" s="155">
        <f>IF(OR($NO108=0,$NK108=""),0,IF(COUNTIF(INDEX($EJ$2:$EN$13,$MM108,0),$NK108)=0,1,0))</f>
        <v/>
      </c>
      <c r="NZ108" s="155">
        <f>IF(OR($NP108=0,$NL108=""),0,IF(COUNTIF(INDEX($EJ$2:$EN$13,$MM108,0),$NL108)=0,1,0))</f>
        <v/>
      </c>
      <c r="OA108" s="155">
        <f>IFERROR(VLOOKUP($MV108,$AV$2:$BA$84,4,FALSE),0)+IFERROR(VLOOKUP($MW108,$AV$2:$BA$84,4,FALSE),0)+IFERROR(VLOOKUP($MX108,$AV$2:$BA$84,4,FALSE),0)+IFERROR(VLOOKUP($MY108,$AV$2:$BA$84,4,FALSE),0)</f>
        <v/>
      </c>
      <c r="OB108" s="155">
        <f>IFERROR(VLOOKUP($MV108,$AV$2:$BA$84,6,FALSE),0)+IFERROR(VLOOKUP($MW108,$AV$2:$BA$84,6,FALSE),0)+IFERROR(VLOOKUP($MX108,$AV$2:$BA$84,6,FALSE),0)+IFERROR(VLOOKUP($MY108,$AV$2:$BA$84,6,FALSE),0)</f>
        <v/>
      </c>
      <c r="OC108" s="155">
        <f>TEXTJOIN(", ",TRUE,IF(IFERROR(VLOOKUP($MV108,$AV$2:$BA$84,5,FALSE),0)=1,$MV108,""),IF(IFERROR(VLOOKUP($MW108,$AV$2:$BA$84,5,FALSE),0)=1,$MW108,""),IF(IFERROR(VLOOKUP($MX108,$AV$2:$BA$84,5,FALSE),0)=1,$MX108,""),IF(IFERROR(VLOOKUP($MY108,$AV$2:$BA$84,5,FALSE),0)=1,$MY108,""))</f>
        <v/>
      </c>
      <c r="OD108" s="155">
        <f>IF($NH108=0,0,INDEX($Y$2:$Y$11,$NH108))</f>
        <v/>
      </c>
      <c r="OE108" s="155">
        <f>IF($NH108=0,0,INDEX($Z$2:$Z$11,$NH108))</f>
        <v/>
      </c>
      <c r="OF108" s="155">
        <f>IF($NH108=0,0,INDEX($AB$2:$AB$11,$NH108))</f>
        <v/>
      </c>
      <c r="OG108" s="155">
        <f>IFERROR(VLOOKUP($MZ108,$BC$2:$BG$24,3,FALSE),0)</f>
        <v/>
      </c>
      <c r="OH108" s="155">
        <f>IFERROR(VLOOKUP($NA108,$BC$2:$BG$24,3,FALSE),0)</f>
        <v/>
      </c>
      <c r="OI108" s="155">
        <f>IFERROR(VLOOKUP($MZ108,$BC$2:$BG$24,2,FALSE),"")</f>
        <v/>
      </c>
      <c r="OJ108" s="155">
        <f>IFERROR(VLOOKUP($NA108,$BC$2:$BG$24,2,FALSE),"")</f>
        <v/>
      </c>
      <c r="OK108" s="155">
        <f>COUNTIF($NQ108:$NU108,1)</f>
        <v/>
      </c>
      <c r="OL108" s="155">
        <f>COUNTIF($NQ108:$NU108,2)</f>
        <v/>
      </c>
      <c r="OM108" s="155">
        <f>COUNTIF($NQ108:$NU108,3)</f>
        <v/>
      </c>
      <c r="ON108" s="155">
        <f>COUNTIF($NQ108:$NU108,4)</f>
        <v/>
      </c>
      <c r="OO108" s="155">
        <f>COUNTIF($NQ108:$NU108,5)</f>
        <v/>
      </c>
      <c r="OP108" s="155">
        <f>COUNTIF($NQ108:$NU108,6)</f>
        <v/>
      </c>
      <c r="OQ108" s="155">
        <f>COUNTIF($OG108:$OH108,1)</f>
        <v/>
      </c>
      <c r="OR108" s="155">
        <f>COUNTIF($OG108:$OH108,2)+$OD108</f>
        <v/>
      </c>
      <c r="OS108" s="155">
        <f>COUNTIF($MV108:$MY108,"?*")</f>
        <v/>
      </c>
      <c r="OT108" s="155">
        <f>COUNTIF($MZ108:$NA108,"?*")+$OD108</f>
        <v/>
      </c>
      <c r="OU108" s="155">
        <f>IF($MQ108=0,0,SUMPRODUCT($OK108:$OP108,INDEX($I$2:$N$8,MAX(1,$MQ108),0)))</f>
        <v/>
      </c>
      <c r="OV108" s="155">
        <f>IF($MQ108=0,0,$OQ108*CEILING($MQ108/2,1)+$OR108*$MQ108)</f>
        <v/>
      </c>
      <c r="OW108" s="155">
        <f>MIN(2*$MQ108,$OV108)</f>
        <v/>
      </c>
      <c r="OX108" s="155">
        <f>MIN($OW108,$OU108)</f>
        <v/>
      </c>
      <c r="OY108" s="155">
        <f>$OW108-$OX108</f>
        <v/>
      </c>
      <c r="OZ108" s="155">
        <f>IF($MQ108=0,0,INDEX($P$2:$P$8,MAX(1,$MQ108)))</f>
        <v/>
      </c>
      <c r="PA108" s="155">
        <f>$OZ108-$OU108+$OX108</f>
        <v/>
      </c>
      <c r="PB108" s="155">
        <f>IF($MQ108=0,MAX(0,$NE108-IF($OS108&gt;0,1,0)),MAX(0,$PA108))</f>
        <v/>
      </c>
      <c r="PC108" s="155">
        <f>IF($MQ108=0,0,(IF(COUNTIF($MV108:$MY108,"Salto")&gt;0,1,0)+IF(COUNTIF($MV108:$MY108,"Queima")&gt;0,1,0)+IF(COUNTIF($MV108:$MY108,"Estilhaço")&gt;0,1,0))*FLOOR($PB108/2,1))</f>
        <v/>
      </c>
      <c r="PD108" s="155">
        <f>MAX(0,2-SUMPRODUCT($OK108:$OP108,$I$2:$N$2)+MIN(2,$OQ108*1+$OR108*1,SUMPRODUCT($OK108:$OP108,$I$2:$N$2)))</f>
        <v/>
      </c>
      <c r="PE108" s="155">
        <f>MAX(0,4-SUMPRODUCT($OK108:$OP108,$I$3:$N$3)+MIN(4,$OQ108*1+$OR108*2,SUMPRODUCT($OK108:$OP108,$I$3:$N$3)))</f>
        <v/>
      </c>
      <c r="PF108" s="155">
        <f>MAX(0,6-SUMPRODUCT($OK108:$OP108,$I$4:$N$4)+MIN(6,$OQ108*2+$OR108*3,SUMPRODUCT($OK108:$OP108,$I$4:$N$4)))</f>
        <v/>
      </c>
      <c r="PG108" s="155">
        <f>MAX(0,9-SUMPRODUCT($OK108:$OP108,$I$5:$N$5)+MIN(8,$OQ108*2+$OR108*4,SUMPRODUCT($OK108:$OP108,$I$5:$N$5)))</f>
        <v/>
      </c>
      <c r="PH108" s="155">
        <f>MAX(0,11-SUMPRODUCT($OK108:$OP108,$I$6:$N$6)+MIN(10,$OQ108*3+$OR108*5,SUMPRODUCT($OK108:$OP108,$I$6:$N$6)))</f>
        <v/>
      </c>
      <c r="PI108" s="155">
        <f>MAX(0,13-SUMPRODUCT($OK108:$OP108,$I$7:$N$7)+MIN(12,$OQ108*3+$OR108*6,SUMPRODUCT($OK108:$OP108,$I$7:$N$7)))</f>
        <v/>
      </c>
      <c r="PJ108" s="155">
        <f>MAX(0,16-SUMPRODUCT($OK108:$OP108,$I$8:$N$8)+MIN(14,$OQ108*4+$OR108*7,SUMPRODUCT($OK108:$OP108,$I$8:$N$8)))</f>
        <v/>
      </c>
      <c r="PK108" s="155">
        <f>IF($OE108=2,3*$PD108&amp;" de vida temp.",IF($OE108=3,"sem dano",IF($PD108=0,IF($OE108=1,"sem cura","sem dano"),IF($OE108=1,"cura ","")&amp;$PD108&amp;"d8")))</f>
        <v/>
      </c>
      <c r="PL108" s="155">
        <f>IF($OE108=2,3*$PE108&amp;" de vida temp.",IF($OE108=3,"sem dano",IF($PE108=0,IF($OE108=1,"sem cura","sem dano"),IF($OE108=1,"cura ","")&amp;$PE108&amp;"d8")))</f>
        <v/>
      </c>
      <c r="PM108" s="155">
        <f>IF($OE108=2,3*$PF108&amp;" de vida temp.",IF($OE108=3,"sem dano",IF($PF108=0,IF($OE108=1,"sem cura","sem dano"),IF($OE108=1,"cura ","")&amp;$PF108&amp;"d8")))</f>
        <v/>
      </c>
      <c r="PN108" s="155">
        <f>IF($OE108=2,3*$PG108&amp;" de vida temp.",IF($OE108=3,"sem dano",IF($PG108=0,IF($OE108=1,"sem cura","sem dano"),IF($OE108=1,"cura ","")&amp;$PG108&amp;"d8")))</f>
        <v/>
      </c>
      <c r="PO108" s="155">
        <f>IF($OE108=2,3*$PH108&amp;" de vida temp.",IF($OE108=3,"sem dano",IF($PH108=0,IF($OE108=1,"sem cura","sem dano"),IF($OE108=1,"cura ","")&amp;$PH108&amp;"d8")))</f>
        <v/>
      </c>
      <c r="PP108" s="155">
        <f>IF($OE108=2,3*$PI108&amp;" de vida temp.",IF($OE108=3,"sem dano",IF($PI108=0,IF($OE108=1,"sem cura","sem dano"),IF($OE108=1,"cura ","")&amp;$PI108&amp;"d8")))</f>
        <v/>
      </c>
      <c r="PQ108" s="155">
        <f>IF($OE108=2,3*$PJ108&amp;" de vida temp.",IF($OE108=3,"sem dano",IF($PJ108=0,IF($OE108=1,"sem cura","sem dano"),IF($OE108=1,"cura ","")&amp;$PJ108&amp;"d8")))</f>
        <v/>
      </c>
      <c r="PR108" s="155">
        <f>IF($NB108=0,"",TEXTJOIN(" · ",TRUE,IF($MO108&gt;$NC108,"Este lugar abre no nível "&amp;$MO108,""),IF($MQ108&gt;$ND108,"Classe "&amp;$MQ108&amp;": o nível "&amp;$NC108&amp;" libera até a "&amp;$ND108,""),IF($NV108=1,"A Forma "&amp;$MS108&amp;" pede "&amp;INDEX($W$2:$W$11,$NH108)&amp;" aberta",""),IF(AND($MQ108=0,$NH108&gt;0,IF($NH108=0,0,INDEX($AF$2:$AF$11,$NH108))=0),$MS108&amp;" não existe na Classe 0",""),IF($NW108=1,"Família Fechada: "&amp;$MV108,""),IF($NX108=1,"Família Fechada: "&amp;$MW108,""),IF($NY108=1,"Família Fechada: "&amp;$MX108,""),IF($NZ108=1,"Família Fechada: "&amp;$MY108,""),IF(AND($MQ108&gt;0,$OS108&gt;INDEX($O$2:$O$8,MAX(1,$MQ108))),$OS108&amp;" Melhorias: a Classe "&amp;$MQ108&amp;" aceita "&amp;INDEX($O$2:$O$8,MAX(1,$MQ108)),""),IF(AND($MQ108=0,$OS108&gt;1),"A básica aceita uma Melhoria",""),IF(AND($MQ108=0,COUNTIF($NM108:$NP108,"&gt;1")&gt;0),"A básica só aceita Melhoria Leve",""),IF(AND($MQ108&gt;0,$OT108&gt;2),$OT108&amp;" Restrições"&amp;IF($OD108=1,", contando a que a Forma "&amp;$MS108&amp;" já traz","")&amp;": o limite é 2",""),IF(AND($MQ108=0,COUNTIF($MZ108:$NA108,"?*")&gt;1),"A básica aceita uma Restrição Leve",""),IF(AND($MQ108=0,COUNTIF($OG108:$OH108,2)&gt;0),"A básica só aceita Restrição Leve",""),IF(AND($MQ108&gt;0,$PA108&lt;0),"Orçamento estourado: faltam "&amp;(-$PA108)&amp;IF($PA108&lt;-1," pontos"," ponto"),""),IF(IFERROR(VLOOKUP($MZ108,$BC$2:$BG$24,4,FALSE),0)+IFERROR(VLOOKUP($NA108,$BC$2:$BG$24,4,FALSE),0)&gt;1,$OI108&amp;" e "&amp;$OJ108&amp;" são as duas de frequência",""),IF(AND((COUNTIF($MV108:$MY108,"Rápido")+COUNTIF($OI108:$OJ108,"Rápido"))&gt;0,(COUNTIF($MV108:$MY108,"Atrasar")+COUNTIF($OI108:$OJ108,"Atrasar"))&gt;0),"Rápido não entra com Atrasar",""),IF(AND((COUNTIF($MV108:$MY108,"Reação")+COUNTIF($OI108:$OJ108,"Reação"))&gt;0,(COUNTIF($MV108:$MY108,"Rápido")+COUNTIF($OI108:$OJ108,"Rápido"))&gt;0),"Reação não entra com Rápido",""),IF(AND((COUNTIF($MV108:$MY108,"Reação")+COUNTIF($OI108:$OJ108,"Reação"))&gt;0,(COUNTIF($MV108:$MY108,"Armado")+COUNTIF($OI108:$OJ108,"Armado"))&gt;0),"Reação não entra com Armado",""),IF(AND((COUNTIF($MV108:$MY108,"Reação")+COUNTIF($OI108:$OJ108,"Reação"))&gt;0,(COUNTIF($MV108:$MY108,"Atrasar")+COUNTIF($OI108:$OJ108,"Atrasar"))&gt;0),"Reação não entra com Atrasar",""),IF(AND((COUNTIF($MV108:$MY108,"Reação")+COUNTIF($OI108:$OJ108,"Reação"))&gt;0,(COUNTIF($MV108:$MY108,"Parado")+COUNTIF($OI108:$OJ108,"Parado"))&gt;0),"Reação não entra com Parado",""),IF(AND((COUNTIF($MV108:$MY108,"Atrasar")+COUNTIF($OI108:$OJ108,"Atrasar"))&gt;0,(COUNTIF($MV108:$MY108,"Parado")+COUNTIF($OI108:$OJ108,"Parado"))&gt;0),"Atrasar não entra com Parado",""),IF(AND((COUNTIF($MV108:$MY108,"Armado")+COUNTIF($OI108:$OJ108,"Armado"))&gt;0,(COUNTIF($MV108:$MY108,"Carregar")+COUNTIF($OI108:$OJ108,"Carregar"))&gt;0),"Armado não entra com Carregar",""),IF(AND(COUNTIF($OI108:$OJ108,"Corpo a Corpo")&gt;0,$OD108=0,OR($MS108="Cone",$MS108="Linha")),"Corpo a Corpo não entra em "&amp;$MS108,""),IF(AND(COUNTIF($OI108:$OJ108,"Corpo a Corpo")&gt;0,$OD108=1),"A Forma "&amp;$MS108&amp;" já traz o Corpo a Corpo",""),IF(AND(COUNTIF($OI108:$OJ108,"Tudo ou Nada")&gt;0,$OF108=0),"Tudo ou Nada só entra em habilidade de Teste de Resistência",""),IF(AND(COUNTIF($MV108:$MY108,"Inescapável")&gt;0,OR($OS108&gt;1,$OT108&gt;0)),"Inescapável não aceita outra peça",""),IF(AND($MQ108&gt;0,$PB108*IF(COUNTIF($MV108:$MY108,"Remate")&gt;0,1.25,1)+$PC108&gt;4*$MQ108),($PB108*IF(COUNTIF($MV108:$MY108,"Remate")&gt;0,1.25,1)+$PC108)&amp;" dados somando repetições"&amp;IF(COUNTIF($MV108:$MY108,"Remate")&gt;0," e o Remate","")&amp;": o teto da Classe "&amp;$MQ108&amp;" é "&amp;4*$MQ108,"")))</f>
        <v/>
      </c>
      <c r="PS108" s="155">
        <f>IF($PR108="",0,(LEN($PR108)-LEN(SUBSTITUTE($PR108," · ","")))/3+1)</f>
        <v/>
      </c>
      <c r="PT108" s="155">
        <f>IF($NB108=0,"",TEXTJOIN(" · ",TRUE,IF($OV108&gt;2*$MQ108,"A devolução parou no teto de "&amp;2*$MQ108,""),IF($OY108&gt;0,"Devolução perdida: "&amp;$OY108&amp;IF($OY108&gt;1," pontos"," ponto")&amp;" sem peça para pagar",""),IF(AND($OA108&gt;0,AND($MQ108&gt;0,$OE108=0),$PB108=0),"Controle sem dano: uma rodada a mais e CD +2",""),IF(AND($OA108&gt;0,AND($MQ108&gt;0,$OE108=0),$PB108&gt;0,$PB108&lt;=$MQ108),"Controle com saldo até a Classe: uma rodada a mais",""),IF(AND($MQ108&gt;0,$OC108&lt;&gt;""),"Efeito de "&amp;$OC108&amp;" pela Classe "&amp;MAX(1,$MQ108-1),"")))</f>
        <v/>
      </c>
      <c r="PU108" s="155">
        <f>IF($PT108="",0,(LEN($PT108)-LEN(SUBSTITUTE($PT108," · ","")))/3+1)</f>
        <v/>
      </c>
      <c r="PV108" s="155">
        <f>IF($NB108=0,IF($OS108+COUNTIF($MZ108:$NA108,"?*")&gt;0,"Dê um nome",""),IF($PS108&gt;0,"⚠ "&amp;$PS108&amp;IF($PS108&gt;1," erros"," erro"),IF($PU108&gt;0,"! "&amp;$PU108&amp;IF($PU108&gt;1," avisos"," aviso"),"Na regra")))</f>
        <v/>
      </c>
      <c r="PW108" s="155">
        <f>IF($NB108=0,"",IF($PS108+$PU108=0,"Dentro das regras que a ficha confere",$PR108&amp;IF(AND($PS108&gt;0,$PU108&gt;0)," · ","")&amp;$PT108))</f>
        <v/>
      </c>
      <c r="PX108" s="155">
        <f>IF($MO108&gt;$NC108,$MP108&amp;" · ABRE NO NÍVEL "&amp;$MO108,$MP108)</f>
        <v/>
      </c>
      <c r="PY108" s="155">
        <f>IF($NB108=0,"",IF($MQ108=0,"Sem PE",3*$MQ108&amp;" PE"))</f>
        <v/>
      </c>
      <c r="PZ108" s="155">
        <f>IF($NB108=0,"",IF($MQ108=0,"A atuação básica dela",IF(COUNTIF($OI108:$OJ108,"Atrasar")&gt;0,"Sua Ação Completa",IF(COUNTIF($MV108:$MY108,"Rápido")&gt;0,"Sua Bônus",IF(COUNTIF($MV108:$MY108,"Reação")&gt;0,"Sua Reação","Sua Padrão")))&amp;" + a básica dela"&amp;IF(COUNTIF($MV108:$MY108,"Reação")&gt;0," e a coletiva","")&amp;IF(COUNTIF($OI108:$OJ108,"Carregar")&gt;0," · em dois turnos","")))</f>
        <v/>
      </c>
      <c r="QA108" s="155">
        <f>IF($MU108&lt;&gt;"",$MU108,IF($NH108=0,"",INDEX($AA$2:$AA$11,$NH108)))</f>
        <v/>
      </c>
      <c r="QB108" s="155">
        <f>IF(OR($NB108=0,$NH108=0),"",IF(COUNTIF($MV108:$MY108,"Inescapável")&gt;0,"Automático",IF($QA108="Ataque",IF($NF108="","Ataque","Ataque "&amp;IF(($NF108+2*IF(COUNTIF($MV108:$MY108,"Precisão")&gt;0,1,0))&gt;=0,"+","−")&amp;ABS(($NF108+2*IF(COUNTIF($MV108:$MY108,"Precisão")&gt;0,1,0))))&amp;IF($OB108&gt;0," · TR"&amp;IF($NG108="",""," CD "&amp;$NG108),""),IF(LEFT($QA108,2)="TR",$QA108&amp;IF($NG108="",""," · CD "&amp;$NG108)&amp;IF(COUNTIF($MV108:$MY108,"Certeiro")&gt;0," · metade",""),"Sem rolagem"))))</f>
        <v/>
      </c>
      <c r="QC108" s="155">
        <f>IF(OR($NB108=0,$NH108=0),"",IF($MQ108=0,IF(OR($OE108&gt;=1,$PB108=0),"Sem dano",$PB108&amp;"d6"&amp;IF($MT108="",""," "&amp;$MT108)),IF(OR($OE108&gt;=1,$PB108=0),UPPER(LEFT(INDEX($PK108:$PQ108,1,MAX(1,$MQ108)),1))&amp;MID(INDEX($PK108:$PQ108,1,MAX(1,$MQ108)),2,99),UPPER(LEFT(INDEX($PK108:$PQ108,1,MAX(1,$MQ108)),1))&amp;MID(INDEX($PK108:$PQ108,1,MAX(1,$MQ108)),2,99)&amp;IF($MT108="",""," "&amp;$MT108)&amp;IF($PC108&gt;0," · +"&amp;$PC108&amp;"d8",""))))</f>
        <v/>
      </c>
      <c r="QD108" s="155">
        <f>COUNTIF($MV108:$MY108,"Longe")+3*COUNTIF($MV108:$MY108,"Muito Longe")</f>
        <v/>
      </c>
      <c r="QE108" s="155">
        <f>COUNTIF($MV108:$MY108,"Maior")+3*COUNTIF($MV108:$MY108,"Muito Maior")</f>
        <v/>
      </c>
      <c r="QF108" s="155">
        <f>IF($NH108=0,0,CHOOSE(1+INDEX($AC$2:$AC$11,$NH108),0,$QD108,$QE108,$QD108+$QE108))</f>
        <v/>
      </c>
      <c r="QG108" s="155">
        <f>IF($NH108=0,0,CHOOSE(1+INDEX($AD$2:$AD$11,$NH108),0,$QD108,$QE108,$QD108+$QE108))</f>
        <v/>
      </c>
      <c r="QH108" s="155">
        <f>IF(OR($NB108=0,$NH108=0),"",INDEX($AI$2:$AN$41,($NH108-1)*4+IF($MQ108=0,1,IF($MQ108&lt;=5,2,IF($MQ108=6,3,4))),1+MIN(5,$QF108))&amp;INDEX($AO$2:$AT$41,($NH108-1)*4+IF($MQ108=0,1,IF($MQ108&lt;=5,2,IF($MQ108=6,3,4))),1+MIN(5,$QG108))&amp;IF(INDEX($AE$2:$AE$11,$NH108)=1,IF(COUNTIF($MV108:$MY108,"Mais Um")&gt;0," · +"&amp;COUNTIF($MV108:$MY108,"Mais Um")&amp;IF(COUNTIF($MV108:$MY108,"Mais Um")&gt;1," alvos"," alvo"),"")&amp;IF(COUNTIF($MV108:$MY108,"Rajada")&gt;0,IF($MQ108=0," · 1 tiro"," · "&amp;(MAX(1,$MQ108-1)+1)&amp;" tiros"),""),""))</f>
        <v/>
      </c>
      <c r="QI108" s="155">
        <f>IF($NB108=0,"",IF($MQ108=0,$NE108&amp;"d6"&amp;IF($OS108&gt;0," − 1 = "&amp;$PB108&amp;"d6"," da básica do nível "&amp;$NC108),$OZ108&amp;" − "&amp;$OU108&amp;" + "&amp;$OX108&amp;" = "&amp;$PA108&amp;" · teto "&amp;4*$MQ108&amp;"d8"&amp;IF($OD108=1," · a Forma devolve "&amp;$MQ108,"")&amp;IF($OY108&gt;0," · perde "&amp;$OY108,"")))</f>
        <v/>
      </c>
      <c r="QJ108" s="155">
        <f>IF($NB108=0,"",IF($MQ108=0,"A básica não amplia: os dados dela sobem com o nível",IF($MQ108&gt;=$ND108,"Já está na maior Classe que o nível liberou",TEXTJOIN(" · ",TRUE,IF(AND(2&gt;$MQ108,2&lt;=$ND108),"2 → "&amp;$PL108&amp;", 6 PE",""),IF(AND(3&gt;$MQ108,3&lt;=$ND108),"3 → "&amp;$PM108&amp;", 9 PE",""),IF(AND(4&gt;$MQ108,4&lt;=$ND108),"4 → "&amp;$PN108&amp;", 12 PE",""),IF(AND(5&gt;$MQ108,5&lt;=$ND108),"5 → "&amp;$PO108&amp;", 15 PE",""),IF(AND(6&gt;$MQ108,6&lt;=$ND108),"6 → "&amp;$PP108&amp;", 18 PE",""),IF(AND(7&gt;$MQ108,7&lt;=$ND108),"7 → "&amp;$PQ108&amp;", 21 PE","")))))</f>
        <v/>
      </c>
      <c r="QK108" s="155">
        <f>IF(OR($NB108=0,$NM108=0),"",IF($MQ108=0,"−1 dado","−"&amp;INDEX($I$2:$N$8,MAX(1,$MQ108),MAX(1,$NR108))&amp;" · "&amp;CHOOSE(MAX(1,$NR108),"Leve","Média","Pesada","Leve · Livre","Média · Livre","Pesada · Livre")))</f>
        <v/>
      </c>
      <c r="QL108" s="155">
        <f>IF(OR($NB108=0,$NN108=0),"",IF($MQ108=0,"−1 dado","−"&amp;INDEX($I$2:$N$8,MAX(1,$MQ108),MAX(1,$NS108))&amp;" · "&amp;CHOOSE(MAX(1,$NS108),"Leve","Média","Pesada","Leve · Livre","Média · Livre","Pesada · Livre")))</f>
        <v/>
      </c>
      <c r="QM108" s="155">
        <f>IF(OR($NB108=0,$NO108=0),"",IF($MQ108=0,"−1 dado","−"&amp;INDEX($I$2:$N$8,MAX(1,$MQ108),MAX(1,$NT108))&amp;" · "&amp;CHOOSE(MAX(1,$NT108),"Leve","Média","Pesada","Leve · Livre","Média · Livre","Pesada · Livre")))</f>
        <v/>
      </c>
      <c r="QN108" s="155">
        <f>IF(OR($NB108=0,$NP108=0),"",IF($MQ108=0,"−1 dado","−"&amp;INDEX($I$2:$N$8,MAX(1,$MQ108),MAX(1,$NU108))&amp;" · "&amp;CHOOSE(MAX(1,$NU108),"Leve","Média","Pesada","Leve · Livre","Média · Livre","Pesada · Livre")))</f>
        <v/>
      </c>
      <c r="QO108" s="155">
        <f>IF(OR($NB108=0,$MZ108=""),"",IF($MQ108=0,"não devolve","+"&amp;IF($OG108=1,CEILING($MQ108/2,1),$MQ108)))</f>
        <v/>
      </c>
      <c r="QP108" s="155">
        <f>IF(OR($NB108=0,$NA108=""),"",IF($MQ108=0,"não devolve","+"&amp;IF($OH108=1,CEILING($MQ108/2,1),$MQ108)))</f>
        <v/>
      </c>
    </row>
    <row r="109">
      <c r="ML109" s="153" t="inlineStr">
        <is>
          <t>Ficha 9 · Básica 2</t>
        </is>
      </c>
      <c r="MM109" s="155" t="n">
        <v>9</v>
      </c>
      <c r="MN109" s="155" t="n">
        <v>0</v>
      </c>
      <c r="MO109" s="155" t="n">
        <v>11</v>
      </c>
      <c r="MP109" s="153" t="inlineStr">
        <is>
          <t>BÁSICA 2</t>
        </is>
      </c>
      <c r="MQ109" s="155" t="n">
        <v>0</v>
      </c>
      <c r="MR109" s="155">
        <f>'INVOCAÇÕES'!$AC$488&amp;""</f>
        <v/>
      </c>
      <c r="MS109" s="155">
        <f>'INVOCAÇÕES'!$AB$493&amp;""</f>
        <v/>
      </c>
      <c r="MT109" s="155">
        <f>'INVOCAÇÕES'!$AB$494&amp;""</f>
        <v/>
      </c>
      <c r="MU109" s="155">
        <f>'INVOCAÇÕES'!$AD$494&amp;""</f>
        <v/>
      </c>
      <c r="MV109" s="155">
        <f>'INVOCAÇÕES'!$AC$497&amp;""</f>
        <v/>
      </c>
      <c r="MW109" s="155">
        <f>'INVOCAÇÕES'!$AC$498&amp;""</f>
        <v/>
      </c>
      <c r="MX109" s="155">
        <f>'INVOCAÇÕES'!$AC$499&amp;""</f>
        <v/>
      </c>
      <c r="MY109" s="155">
        <f>'INVOCAÇÕES'!$AC$500&amp;""</f>
        <v/>
      </c>
      <c r="MZ109" s="155">
        <f>'INVOCAÇÕES'!$AC$501&amp;""</f>
        <v/>
      </c>
      <c r="NA109" s="155">
        <f>'INVOCAÇÕES'!$AC$502&amp;""</f>
        <v/>
      </c>
      <c r="NB109" s="155">
        <f>IF($MR109&lt;&gt;"",1,0)</f>
        <v/>
      </c>
      <c r="NC109" s="155">
        <f>INDEX($FM$2:$FM$13,$MM109)</f>
        <v/>
      </c>
      <c r="ND109" s="155">
        <f>INDEX($FN$2:$FN$13,$MM109)</f>
        <v/>
      </c>
      <c r="NE109" s="155">
        <f>INDEX($FO$2:$FO$13,$MM109)</f>
        <v/>
      </c>
      <c r="NF109" s="155">
        <f>INDEX($FZ$2:$FZ$13,$MM109)</f>
        <v/>
      </c>
      <c r="NG109" s="155">
        <f>INDEX($GA$2:$GA$13,$MM109)</f>
        <v/>
      </c>
      <c r="NH109" s="155">
        <f>IFERROR(MATCH($MS109,$V$2:$V$11,0),0)</f>
        <v/>
      </c>
      <c r="NI109" s="155">
        <f>IFERROR(VLOOKUP($MV109,$AV$2:$BA$84,2,FALSE),"")</f>
        <v/>
      </c>
      <c r="NJ109" s="155">
        <f>IFERROR(VLOOKUP($MW109,$AV$2:$BA$84,2,FALSE),"")</f>
        <v/>
      </c>
      <c r="NK109" s="155">
        <f>IFERROR(VLOOKUP($MX109,$AV$2:$BA$84,2,FALSE),"")</f>
        <v/>
      </c>
      <c r="NL109" s="155">
        <f>IFERROR(VLOOKUP($MY109,$AV$2:$BA$84,2,FALSE),"")</f>
        <v/>
      </c>
      <c r="NM109" s="155">
        <f>IFERROR(VLOOKUP($MV109,$AV$2:$BA$84,3,FALSE),0)</f>
        <v/>
      </c>
      <c r="NN109" s="155">
        <f>IFERROR(VLOOKUP($MW109,$AV$2:$BA$84,3,FALSE),0)</f>
        <v/>
      </c>
      <c r="NO109" s="155">
        <f>IFERROR(VLOOKUP($MX109,$AV$2:$BA$84,3,FALSE),0)</f>
        <v/>
      </c>
      <c r="NP109" s="155">
        <f>IFERROR(VLOOKUP($MY109,$AV$2:$BA$84,3,FALSE),0)</f>
        <v/>
      </c>
      <c r="NQ109" s="155">
        <f>IF($MQ109=0,0,IF($NH109=0,0,INDEX($X$2:$X$11,$NH109)))</f>
        <v/>
      </c>
      <c r="NR109" s="155">
        <f>IF(OR($NM109=0,$MQ109=0),0,$NM109+3*IF(AND($NI109&lt;&gt;"",OR($NI109=INDEX($EJ$2:$EJ$13,$MM109),$NI109=INDEX($EK$2:$EK$13,$MM109))),1,0))</f>
        <v/>
      </c>
      <c r="NS109" s="155">
        <f>IF(OR($NN109=0,$MQ109=0),0,$NN109+3*IF(AND($NJ109&lt;&gt;"",OR($NJ109=INDEX($EJ$2:$EJ$13,$MM109),$NJ109=INDEX($EK$2:$EK$13,$MM109))),1,0))</f>
        <v/>
      </c>
      <c r="NT109" s="155">
        <f>IF(OR($NO109=0,$MQ109=0),0,$NO109+3*IF(AND($NK109&lt;&gt;"",OR($NK109=INDEX($EJ$2:$EJ$13,$MM109),$NK109=INDEX($EK$2:$EK$13,$MM109))),1,0))</f>
        <v/>
      </c>
      <c r="NU109" s="155">
        <f>IF(OR($NP109=0,$MQ109=0),0,$NP109+3*IF(AND($NL109&lt;&gt;"",OR($NL109=INDEX($EJ$2:$EJ$13,$MM109),$NL109=INDEX($EK$2:$EK$13,$MM109))),1,0))</f>
        <v/>
      </c>
      <c r="NV109" s="155">
        <f>IF($NH109=0,0,IF(INDEX($W$2:$W$11,$NH109)="",0,IF(COUNTIF(INDEX($EJ$2:$EN$13,$MM109,0),INDEX($W$2:$W$11,$NH109))=0,1,0)))</f>
        <v/>
      </c>
      <c r="NW109" s="155">
        <f>IF(OR($NM109=0,$NI109=""),0,IF(COUNTIF(INDEX($EJ$2:$EN$13,$MM109,0),$NI109)=0,1,0))</f>
        <v/>
      </c>
      <c r="NX109" s="155">
        <f>IF(OR($NN109=0,$NJ109=""),0,IF(COUNTIF(INDEX($EJ$2:$EN$13,$MM109,0),$NJ109)=0,1,0))</f>
        <v/>
      </c>
      <c r="NY109" s="155">
        <f>IF(OR($NO109=0,$NK109=""),0,IF(COUNTIF(INDEX($EJ$2:$EN$13,$MM109,0),$NK109)=0,1,0))</f>
        <v/>
      </c>
      <c r="NZ109" s="155">
        <f>IF(OR($NP109=0,$NL109=""),0,IF(COUNTIF(INDEX($EJ$2:$EN$13,$MM109,0),$NL109)=0,1,0))</f>
        <v/>
      </c>
      <c r="OA109" s="155">
        <f>IFERROR(VLOOKUP($MV109,$AV$2:$BA$84,4,FALSE),0)+IFERROR(VLOOKUP($MW109,$AV$2:$BA$84,4,FALSE),0)+IFERROR(VLOOKUP($MX109,$AV$2:$BA$84,4,FALSE),0)+IFERROR(VLOOKUP($MY109,$AV$2:$BA$84,4,FALSE),0)</f>
        <v/>
      </c>
      <c r="OB109" s="155">
        <f>IFERROR(VLOOKUP($MV109,$AV$2:$BA$84,6,FALSE),0)+IFERROR(VLOOKUP($MW109,$AV$2:$BA$84,6,FALSE),0)+IFERROR(VLOOKUP($MX109,$AV$2:$BA$84,6,FALSE),0)+IFERROR(VLOOKUP($MY109,$AV$2:$BA$84,6,FALSE),0)</f>
        <v/>
      </c>
      <c r="OC109" s="155">
        <f>TEXTJOIN(", ",TRUE,IF(IFERROR(VLOOKUP($MV109,$AV$2:$BA$84,5,FALSE),0)=1,$MV109,""),IF(IFERROR(VLOOKUP($MW109,$AV$2:$BA$84,5,FALSE),0)=1,$MW109,""),IF(IFERROR(VLOOKUP($MX109,$AV$2:$BA$84,5,FALSE),0)=1,$MX109,""),IF(IFERROR(VLOOKUP($MY109,$AV$2:$BA$84,5,FALSE),0)=1,$MY109,""))</f>
        <v/>
      </c>
      <c r="OD109" s="155">
        <f>IF($NH109=0,0,INDEX($Y$2:$Y$11,$NH109))</f>
        <v/>
      </c>
      <c r="OE109" s="155">
        <f>IF($NH109=0,0,INDEX($Z$2:$Z$11,$NH109))</f>
        <v/>
      </c>
      <c r="OF109" s="155">
        <f>IF($NH109=0,0,INDEX($AB$2:$AB$11,$NH109))</f>
        <v/>
      </c>
      <c r="OG109" s="155">
        <f>IFERROR(VLOOKUP($MZ109,$BC$2:$BG$24,3,FALSE),0)</f>
        <v/>
      </c>
      <c r="OH109" s="155">
        <f>IFERROR(VLOOKUP($NA109,$BC$2:$BG$24,3,FALSE),0)</f>
        <v/>
      </c>
      <c r="OI109" s="155">
        <f>IFERROR(VLOOKUP($MZ109,$BC$2:$BG$24,2,FALSE),"")</f>
        <v/>
      </c>
      <c r="OJ109" s="155">
        <f>IFERROR(VLOOKUP($NA109,$BC$2:$BG$24,2,FALSE),"")</f>
        <v/>
      </c>
      <c r="OK109" s="155">
        <f>COUNTIF($NQ109:$NU109,1)</f>
        <v/>
      </c>
      <c r="OL109" s="155">
        <f>COUNTIF($NQ109:$NU109,2)</f>
        <v/>
      </c>
      <c r="OM109" s="155">
        <f>COUNTIF($NQ109:$NU109,3)</f>
        <v/>
      </c>
      <c r="ON109" s="155">
        <f>COUNTIF($NQ109:$NU109,4)</f>
        <v/>
      </c>
      <c r="OO109" s="155">
        <f>COUNTIF($NQ109:$NU109,5)</f>
        <v/>
      </c>
      <c r="OP109" s="155">
        <f>COUNTIF($NQ109:$NU109,6)</f>
        <v/>
      </c>
      <c r="OQ109" s="155">
        <f>COUNTIF($OG109:$OH109,1)</f>
        <v/>
      </c>
      <c r="OR109" s="155">
        <f>COUNTIF($OG109:$OH109,2)+$OD109</f>
        <v/>
      </c>
      <c r="OS109" s="155">
        <f>COUNTIF($MV109:$MY109,"?*")</f>
        <v/>
      </c>
      <c r="OT109" s="155">
        <f>COUNTIF($MZ109:$NA109,"?*")+$OD109</f>
        <v/>
      </c>
      <c r="OU109" s="155">
        <f>IF($MQ109=0,0,SUMPRODUCT($OK109:$OP109,INDEX($I$2:$N$8,MAX(1,$MQ109),0)))</f>
        <v/>
      </c>
      <c r="OV109" s="155">
        <f>IF($MQ109=0,0,$OQ109*CEILING($MQ109/2,1)+$OR109*$MQ109)</f>
        <v/>
      </c>
      <c r="OW109" s="155">
        <f>MIN(2*$MQ109,$OV109)</f>
        <v/>
      </c>
      <c r="OX109" s="155">
        <f>MIN($OW109,$OU109)</f>
        <v/>
      </c>
      <c r="OY109" s="155">
        <f>$OW109-$OX109</f>
        <v/>
      </c>
      <c r="OZ109" s="155">
        <f>IF($MQ109=0,0,INDEX($P$2:$P$8,MAX(1,$MQ109)))</f>
        <v/>
      </c>
      <c r="PA109" s="155">
        <f>$OZ109-$OU109+$OX109</f>
        <v/>
      </c>
      <c r="PB109" s="155">
        <f>IF($MQ109=0,MAX(0,$NE109-IF($OS109&gt;0,1,0)),MAX(0,$PA109))</f>
        <v/>
      </c>
      <c r="PC109" s="155">
        <f>IF($MQ109=0,0,(IF(COUNTIF($MV109:$MY109,"Salto")&gt;0,1,0)+IF(COUNTIF($MV109:$MY109,"Queima")&gt;0,1,0)+IF(COUNTIF($MV109:$MY109,"Estilhaço")&gt;0,1,0))*FLOOR($PB109/2,1))</f>
        <v/>
      </c>
      <c r="PD109" s="155">
        <f>MAX(0,2-SUMPRODUCT($OK109:$OP109,$I$2:$N$2)+MIN(2,$OQ109*1+$OR109*1,SUMPRODUCT($OK109:$OP109,$I$2:$N$2)))</f>
        <v/>
      </c>
      <c r="PE109" s="155">
        <f>MAX(0,4-SUMPRODUCT($OK109:$OP109,$I$3:$N$3)+MIN(4,$OQ109*1+$OR109*2,SUMPRODUCT($OK109:$OP109,$I$3:$N$3)))</f>
        <v/>
      </c>
      <c r="PF109" s="155">
        <f>MAX(0,6-SUMPRODUCT($OK109:$OP109,$I$4:$N$4)+MIN(6,$OQ109*2+$OR109*3,SUMPRODUCT($OK109:$OP109,$I$4:$N$4)))</f>
        <v/>
      </c>
      <c r="PG109" s="155">
        <f>MAX(0,9-SUMPRODUCT($OK109:$OP109,$I$5:$N$5)+MIN(8,$OQ109*2+$OR109*4,SUMPRODUCT($OK109:$OP109,$I$5:$N$5)))</f>
        <v/>
      </c>
      <c r="PH109" s="155">
        <f>MAX(0,11-SUMPRODUCT($OK109:$OP109,$I$6:$N$6)+MIN(10,$OQ109*3+$OR109*5,SUMPRODUCT($OK109:$OP109,$I$6:$N$6)))</f>
        <v/>
      </c>
      <c r="PI109" s="155">
        <f>MAX(0,13-SUMPRODUCT($OK109:$OP109,$I$7:$N$7)+MIN(12,$OQ109*3+$OR109*6,SUMPRODUCT($OK109:$OP109,$I$7:$N$7)))</f>
        <v/>
      </c>
      <c r="PJ109" s="155">
        <f>MAX(0,16-SUMPRODUCT($OK109:$OP109,$I$8:$N$8)+MIN(14,$OQ109*4+$OR109*7,SUMPRODUCT($OK109:$OP109,$I$8:$N$8)))</f>
        <v/>
      </c>
      <c r="PK109" s="155">
        <f>IF($OE109=2,3*$PD109&amp;" de vida temp.",IF($OE109=3,"sem dano",IF($PD109=0,IF($OE109=1,"sem cura","sem dano"),IF($OE109=1,"cura ","")&amp;$PD109&amp;"d8")))</f>
        <v/>
      </c>
      <c r="PL109" s="155">
        <f>IF($OE109=2,3*$PE109&amp;" de vida temp.",IF($OE109=3,"sem dano",IF($PE109=0,IF($OE109=1,"sem cura","sem dano"),IF($OE109=1,"cura ","")&amp;$PE109&amp;"d8")))</f>
        <v/>
      </c>
      <c r="PM109" s="155">
        <f>IF($OE109=2,3*$PF109&amp;" de vida temp.",IF($OE109=3,"sem dano",IF($PF109=0,IF($OE109=1,"sem cura","sem dano"),IF($OE109=1,"cura ","")&amp;$PF109&amp;"d8")))</f>
        <v/>
      </c>
      <c r="PN109" s="155">
        <f>IF($OE109=2,3*$PG109&amp;" de vida temp.",IF($OE109=3,"sem dano",IF($PG109=0,IF($OE109=1,"sem cura","sem dano"),IF($OE109=1,"cura ","")&amp;$PG109&amp;"d8")))</f>
        <v/>
      </c>
      <c r="PO109" s="155">
        <f>IF($OE109=2,3*$PH109&amp;" de vida temp.",IF($OE109=3,"sem dano",IF($PH109=0,IF($OE109=1,"sem cura","sem dano"),IF($OE109=1,"cura ","")&amp;$PH109&amp;"d8")))</f>
        <v/>
      </c>
      <c r="PP109" s="155">
        <f>IF($OE109=2,3*$PI109&amp;" de vida temp.",IF($OE109=3,"sem dano",IF($PI109=0,IF($OE109=1,"sem cura","sem dano"),IF($OE109=1,"cura ","")&amp;$PI109&amp;"d8")))</f>
        <v/>
      </c>
      <c r="PQ109" s="155">
        <f>IF($OE109=2,3*$PJ109&amp;" de vida temp.",IF($OE109=3,"sem dano",IF($PJ109=0,IF($OE109=1,"sem cura","sem dano"),IF($OE109=1,"cura ","")&amp;$PJ109&amp;"d8")))</f>
        <v/>
      </c>
      <c r="PR109" s="155">
        <f>IF($NB109=0,"",TEXTJOIN(" · ",TRUE,IF($MO109&gt;$NC109,"Este lugar abre no nível "&amp;$MO109,""),IF($MQ109&gt;$ND109,"Classe "&amp;$MQ109&amp;": o nível "&amp;$NC109&amp;" libera até a "&amp;$ND109,""),IF($NV109=1,"A Forma "&amp;$MS109&amp;" pede "&amp;INDEX($W$2:$W$11,$NH109)&amp;" aberta",""),IF(AND($MQ109=0,$NH109&gt;0,IF($NH109=0,0,INDEX($AF$2:$AF$11,$NH109))=0),$MS109&amp;" não existe na Classe 0",""),IF($NW109=1,"Família Fechada: "&amp;$MV109,""),IF($NX109=1,"Família Fechada: "&amp;$MW109,""),IF($NY109=1,"Família Fechada: "&amp;$MX109,""),IF($NZ109=1,"Família Fechada: "&amp;$MY109,""),IF(AND($MQ109&gt;0,$OS109&gt;INDEX($O$2:$O$8,MAX(1,$MQ109))),$OS109&amp;" Melhorias: a Classe "&amp;$MQ109&amp;" aceita "&amp;INDEX($O$2:$O$8,MAX(1,$MQ109)),""),IF(AND($MQ109=0,$OS109&gt;1),"A básica aceita uma Melhoria",""),IF(AND($MQ109=0,COUNTIF($NM109:$NP109,"&gt;1")&gt;0),"A básica só aceita Melhoria Leve",""),IF(AND($MQ109&gt;0,$OT109&gt;2),$OT109&amp;" Restrições"&amp;IF($OD109=1,", contando a que a Forma "&amp;$MS109&amp;" já traz","")&amp;": o limite é 2",""),IF(AND($MQ109=0,COUNTIF($MZ109:$NA109,"?*")&gt;1),"A básica aceita uma Restrição Leve",""),IF(AND($MQ109=0,COUNTIF($OG109:$OH109,2)&gt;0),"A básica só aceita Restrição Leve",""),IF(AND($MQ109&gt;0,$PA109&lt;0),"Orçamento estourado: faltam "&amp;(-$PA109)&amp;IF($PA109&lt;-1," pontos"," ponto"),""),IF(IFERROR(VLOOKUP($MZ109,$BC$2:$BG$24,4,FALSE),0)+IFERROR(VLOOKUP($NA109,$BC$2:$BG$24,4,FALSE),0)&gt;1,$OI109&amp;" e "&amp;$OJ109&amp;" são as duas de frequência",""),IF(AND((COUNTIF($MV109:$MY109,"Rápido")+COUNTIF($OI109:$OJ109,"Rápido"))&gt;0,(COUNTIF($MV109:$MY109,"Atrasar")+COUNTIF($OI109:$OJ109,"Atrasar"))&gt;0),"Rápido não entra com Atrasar",""),IF(AND((COUNTIF($MV109:$MY109,"Reação")+COUNTIF($OI109:$OJ109,"Reação"))&gt;0,(COUNTIF($MV109:$MY109,"Rápido")+COUNTIF($OI109:$OJ109,"Rápido"))&gt;0),"Reação não entra com Rápido",""),IF(AND((COUNTIF($MV109:$MY109,"Reação")+COUNTIF($OI109:$OJ109,"Reação"))&gt;0,(COUNTIF($MV109:$MY109,"Armado")+COUNTIF($OI109:$OJ109,"Armado"))&gt;0),"Reação não entra com Armado",""),IF(AND((COUNTIF($MV109:$MY109,"Reação")+COUNTIF($OI109:$OJ109,"Reação"))&gt;0,(COUNTIF($MV109:$MY109,"Atrasar")+COUNTIF($OI109:$OJ109,"Atrasar"))&gt;0),"Reação não entra com Atrasar",""),IF(AND((COUNTIF($MV109:$MY109,"Reação")+COUNTIF($OI109:$OJ109,"Reação"))&gt;0,(COUNTIF($MV109:$MY109,"Parado")+COUNTIF($OI109:$OJ109,"Parado"))&gt;0),"Reação não entra com Parado",""),IF(AND((COUNTIF($MV109:$MY109,"Atrasar")+COUNTIF($OI109:$OJ109,"Atrasar"))&gt;0,(COUNTIF($MV109:$MY109,"Parado")+COUNTIF($OI109:$OJ109,"Parado"))&gt;0),"Atrasar não entra com Parado",""),IF(AND((COUNTIF($MV109:$MY109,"Armado")+COUNTIF($OI109:$OJ109,"Armado"))&gt;0,(COUNTIF($MV109:$MY109,"Carregar")+COUNTIF($OI109:$OJ109,"Carregar"))&gt;0),"Armado não entra com Carregar",""),IF(AND(COUNTIF($OI109:$OJ109,"Corpo a Corpo")&gt;0,$OD109=0,OR($MS109="Cone",$MS109="Linha")),"Corpo a Corpo não entra em "&amp;$MS109,""),IF(AND(COUNTIF($OI109:$OJ109,"Corpo a Corpo")&gt;0,$OD109=1),"A Forma "&amp;$MS109&amp;" já traz o Corpo a Corpo",""),IF(AND(COUNTIF($OI109:$OJ109,"Tudo ou Nada")&gt;0,$OF109=0),"Tudo ou Nada só entra em habilidade de Teste de Resistência",""),IF(AND(COUNTIF($MV109:$MY109,"Inescapável")&gt;0,OR($OS109&gt;1,$OT109&gt;0)),"Inescapável não aceita outra peça",""),IF(AND($MQ109&gt;0,$PB109*IF(COUNTIF($MV109:$MY109,"Remate")&gt;0,1.25,1)+$PC109&gt;4*$MQ109),($PB109*IF(COUNTIF($MV109:$MY109,"Remate")&gt;0,1.25,1)+$PC109)&amp;" dados somando repetições"&amp;IF(COUNTIF($MV109:$MY109,"Remate")&gt;0," e o Remate","")&amp;": o teto da Classe "&amp;$MQ109&amp;" é "&amp;4*$MQ109,"")))</f>
        <v/>
      </c>
      <c r="PS109" s="155">
        <f>IF($PR109="",0,(LEN($PR109)-LEN(SUBSTITUTE($PR109," · ","")))/3+1)</f>
        <v/>
      </c>
      <c r="PT109" s="155">
        <f>IF($NB109=0,"",TEXTJOIN(" · ",TRUE,IF($OV109&gt;2*$MQ109,"A devolução parou no teto de "&amp;2*$MQ109,""),IF($OY109&gt;0,"Devolução perdida: "&amp;$OY109&amp;IF($OY109&gt;1," pontos"," ponto")&amp;" sem peça para pagar",""),IF(AND($OA109&gt;0,AND($MQ109&gt;0,$OE109=0),$PB109=0),"Controle sem dano: uma rodada a mais e CD +2",""),IF(AND($OA109&gt;0,AND($MQ109&gt;0,$OE109=0),$PB109&gt;0,$PB109&lt;=$MQ109),"Controle com saldo até a Classe: uma rodada a mais",""),IF(AND($MQ109&gt;0,$OC109&lt;&gt;""),"Efeito de "&amp;$OC109&amp;" pela Classe "&amp;MAX(1,$MQ109-1),"")))</f>
        <v/>
      </c>
      <c r="PU109" s="155">
        <f>IF($PT109="",0,(LEN($PT109)-LEN(SUBSTITUTE($PT109," · ","")))/3+1)</f>
        <v/>
      </c>
      <c r="PV109" s="155">
        <f>IF($NB109=0,IF($OS109+COUNTIF($MZ109:$NA109,"?*")&gt;0,"Dê um nome",""),IF($PS109&gt;0,"⚠ "&amp;$PS109&amp;IF($PS109&gt;1," erros"," erro"),IF($PU109&gt;0,"! "&amp;$PU109&amp;IF($PU109&gt;1," avisos"," aviso"),"Na regra")))</f>
        <v/>
      </c>
      <c r="PW109" s="155">
        <f>IF($NB109=0,"",IF($PS109+$PU109=0,"Dentro das regras que a ficha confere",$PR109&amp;IF(AND($PS109&gt;0,$PU109&gt;0)," · ","")&amp;$PT109))</f>
        <v/>
      </c>
      <c r="PX109" s="155">
        <f>IF($MO109&gt;$NC109,$MP109&amp;" · ABRE NO NÍVEL "&amp;$MO109,$MP109)</f>
        <v/>
      </c>
      <c r="PY109" s="155">
        <f>IF($NB109=0,"",IF($MQ109=0,"Sem PE",3*$MQ109&amp;" PE"))</f>
        <v/>
      </c>
      <c r="PZ109" s="155">
        <f>IF($NB109=0,"",IF($MQ109=0,"A atuação básica dela",IF(COUNTIF($OI109:$OJ109,"Atrasar")&gt;0,"Sua Ação Completa",IF(COUNTIF($MV109:$MY109,"Rápido")&gt;0,"Sua Bônus",IF(COUNTIF($MV109:$MY109,"Reação")&gt;0,"Sua Reação","Sua Padrão")))&amp;" + a básica dela"&amp;IF(COUNTIF($MV109:$MY109,"Reação")&gt;0," e a coletiva","")&amp;IF(COUNTIF($OI109:$OJ109,"Carregar")&gt;0," · em dois turnos","")))</f>
        <v/>
      </c>
      <c r="QA109" s="155">
        <f>IF($MU109&lt;&gt;"",$MU109,IF($NH109=0,"",INDEX($AA$2:$AA$11,$NH109)))</f>
        <v/>
      </c>
      <c r="QB109" s="155">
        <f>IF(OR($NB109=0,$NH109=0),"",IF(COUNTIF($MV109:$MY109,"Inescapável")&gt;0,"Automático",IF($QA109="Ataque",IF($NF109="","Ataque","Ataque "&amp;IF(($NF109+2*IF(COUNTIF($MV109:$MY109,"Precisão")&gt;0,1,0))&gt;=0,"+","−")&amp;ABS(($NF109+2*IF(COUNTIF($MV109:$MY109,"Precisão")&gt;0,1,0))))&amp;IF($OB109&gt;0," · TR"&amp;IF($NG109="",""," CD "&amp;$NG109),""),IF(LEFT($QA109,2)="TR",$QA109&amp;IF($NG109="",""," · CD "&amp;$NG109)&amp;IF(COUNTIF($MV109:$MY109,"Certeiro")&gt;0," · metade",""),"Sem rolagem"))))</f>
        <v/>
      </c>
      <c r="QC109" s="155">
        <f>IF(OR($NB109=0,$NH109=0),"",IF($MQ109=0,IF(OR($OE109&gt;=1,$PB109=0),"Sem dano",$PB109&amp;"d6"&amp;IF($MT109="",""," "&amp;$MT109)),IF(OR($OE109&gt;=1,$PB109=0),UPPER(LEFT(INDEX($PK109:$PQ109,1,MAX(1,$MQ109)),1))&amp;MID(INDEX($PK109:$PQ109,1,MAX(1,$MQ109)),2,99),UPPER(LEFT(INDEX($PK109:$PQ109,1,MAX(1,$MQ109)),1))&amp;MID(INDEX($PK109:$PQ109,1,MAX(1,$MQ109)),2,99)&amp;IF($MT109="",""," "&amp;$MT109)&amp;IF($PC109&gt;0," · +"&amp;$PC109&amp;"d8",""))))</f>
        <v/>
      </c>
      <c r="QD109" s="155">
        <f>COUNTIF($MV109:$MY109,"Longe")+3*COUNTIF($MV109:$MY109,"Muito Longe")</f>
        <v/>
      </c>
      <c r="QE109" s="155">
        <f>COUNTIF($MV109:$MY109,"Maior")+3*COUNTIF($MV109:$MY109,"Muito Maior")</f>
        <v/>
      </c>
      <c r="QF109" s="155">
        <f>IF($NH109=0,0,CHOOSE(1+INDEX($AC$2:$AC$11,$NH109),0,$QD109,$QE109,$QD109+$QE109))</f>
        <v/>
      </c>
      <c r="QG109" s="155">
        <f>IF($NH109=0,0,CHOOSE(1+INDEX($AD$2:$AD$11,$NH109),0,$QD109,$QE109,$QD109+$QE109))</f>
        <v/>
      </c>
      <c r="QH109" s="155">
        <f>IF(OR($NB109=0,$NH109=0),"",INDEX($AI$2:$AN$41,($NH109-1)*4+IF($MQ109=0,1,IF($MQ109&lt;=5,2,IF($MQ109=6,3,4))),1+MIN(5,$QF109))&amp;INDEX($AO$2:$AT$41,($NH109-1)*4+IF($MQ109=0,1,IF($MQ109&lt;=5,2,IF($MQ109=6,3,4))),1+MIN(5,$QG109))&amp;IF(INDEX($AE$2:$AE$11,$NH109)=1,IF(COUNTIF($MV109:$MY109,"Mais Um")&gt;0," · +"&amp;COUNTIF($MV109:$MY109,"Mais Um")&amp;IF(COUNTIF($MV109:$MY109,"Mais Um")&gt;1," alvos"," alvo"),"")&amp;IF(COUNTIF($MV109:$MY109,"Rajada")&gt;0,IF($MQ109=0," · 1 tiro"," · "&amp;(MAX(1,$MQ109-1)+1)&amp;" tiros"),""),""))</f>
        <v/>
      </c>
      <c r="QI109" s="155">
        <f>IF($NB109=0,"",IF($MQ109=0,$NE109&amp;"d6"&amp;IF($OS109&gt;0," − 1 = "&amp;$PB109&amp;"d6"," da básica do nível "&amp;$NC109),$OZ109&amp;" − "&amp;$OU109&amp;" + "&amp;$OX109&amp;" = "&amp;$PA109&amp;" · teto "&amp;4*$MQ109&amp;"d8"&amp;IF($OD109=1," · a Forma devolve "&amp;$MQ109,"")&amp;IF($OY109&gt;0," · perde "&amp;$OY109,"")))</f>
        <v/>
      </c>
      <c r="QJ109" s="155">
        <f>IF($NB109=0,"",IF($MQ109=0,"A básica não amplia: os dados dela sobem com o nível",IF($MQ109&gt;=$ND109,"Já está na maior Classe que o nível liberou",TEXTJOIN(" · ",TRUE,IF(AND(2&gt;$MQ109,2&lt;=$ND109),"2 → "&amp;$PL109&amp;", 6 PE",""),IF(AND(3&gt;$MQ109,3&lt;=$ND109),"3 → "&amp;$PM109&amp;", 9 PE",""),IF(AND(4&gt;$MQ109,4&lt;=$ND109),"4 → "&amp;$PN109&amp;", 12 PE",""),IF(AND(5&gt;$MQ109,5&lt;=$ND109),"5 → "&amp;$PO109&amp;", 15 PE",""),IF(AND(6&gt;$MQ109,6&lt;=$ND109),"6 → "&amp;$PP109&amp;", 18 PE",""),IF(AND(7&gt;$MQ109,7&lt;=$ND109),"7 → "&amp;$PQ109&amp;", 21 PE","")))))</f>
        <v/>
      </c>
      <c r="QK109" s="155">
        <f>IF(OR($NB109=0,$NM109=0),"",IF($MQ109=0,"−1 dado","−"&amp;INDEX($I$2:$N$8,MAX(1,$MQ109),MAX(1,$NR109))&amp;" · "&amp;CHOOSE(MAX(1,$NR109),"Leve","Média","Pesada","Leve · Livre","Média · Livre","Pesada · Livre")))</f>
        <v/>
      </c>
      <c r="QL109" s="155">
        <f>IF(OR($NB109=0,$NN109=0),"",IF($MQ109=0,"−1 dado","−"&amp;INDEX($I$2:$N$8,MAX(1,$MQ109),MAX(1,$NS109))&amp;" · "&amp;CHOOSE(MAX(1,$NS109),"Leve","Média","Pesada","Leve · Livre","Média · Livre","Pesada · Livre")))</f>
        <v/>
      </c>
      <c r="QM109" s="155">
        <f>IF(OR($NB109=0,$NO109=0),"",IF($MQ109=0,"−1 dado","−"&amp;INDEX($I$2:$N$8,MAX(1,$MQ109),MAX(1,$NT109))&amp;" · "&amp;CHOOSE(MAX(1,$NT109),"Leve","Média","Pesada","Leve · Livre","Média · Livre","Pesada · Livre")))</f>
        <v/>
      </c>
      <c r="QN109" s="155">
        <f>IF(OR($NB109=0,$NP109=0),"",IF($MQ109=0,"−1 dado","−"&amp;INDEX($I$2:$N$8,MAX(1,$MQ109),MAX(1,$NU109))&amp;" · "&amp;CHOOSE(MAX(1,$NU109),"Leve","Média","Pesada","Leve · Livre","Média · Livre","Pesada · Livre")))</f>
        <v/>
      </c>
      <c r="QO109" s="155">
        <f>IF(OR($NB109=0,$MZ109=""),"",IF($MQ109=0,"não devolve","+"&amp;IF($OG109=1,CEILING($MQ109/2,1),$MQ109)))</f>
        <v/>
      </c>
      <c r="QP109" s="155">
        <f>IF(OR($NB109=0,$NA109=""),"",IF($MQ109=0,"não devolve","+"&amp;IF($OH109=1,CEILING($MQ109/2,1),$MQ109)))</f>
        <v/>
      </c>
    </row>
    <row r="110">
      <c r="ML110" s="153" t="inlineStr">
        <is>
          <t>Ficha 9 · Especial 3</t>
        </is>
      </c>
      <c r="MM110" s="155" t="n">
        <v>9</v>
      </c>
      <c r="MN110" s="155" t="n">
        <v>1</v>
      </c>
      <c r="MO110" s="155" t="n">
        <v>8</v>
      </c>
      <c r="MP110" s="153" t="inlineStr">
        <is>
          <t>ESPECIAL 3</t>
        </is>
      </c>
      <c r="MQ110" s="155">
        <f>MAX(1,MIN(7,N('INVOCAÇÕES'!$AH$488)))</f>
        <v/>
      </c>
      <c r="MR110" s="155">
        <f>'INVOCAÇÕES'!$AI$488&amp;""</f>
        <v/>
      </c>
      <c r="MS110" s="155">
        <f>'INVOCAÇÕES'!$AH$493&amp;""</f>
        <v/>
      </c>
      <c r="MT110" s="155">
        <f>'INVOCAÇÕES'!$AH$494&amp;""</f>
        <v/>
      </c>
      <c r="MU110" s="155">
        <f>'INVOCAÇÕES'!$AJ$494&amp;""</f>
        <v/>
      </c>
      <c r="MV110" s="155">
        <f>'INVOCAÇÕES'!$AI$497&amp;""</f>
        <v/>
      </c>
      <c r="MW110" s="155">
        <f>'INVOCAÇÕES'!$AI$498&amp;""</f>
        <v/>
      </c>
      <c r="MX110" s="155">
        <f>'INVOCAÇÕES'!$AI$499&amp;""</f>
        <v/>
      </c>
      <c r="MY110" s="155">
        <f>'INVOCAÇÕES'!$AI$500&amp;""</f>
        <v/>
      </c>
      <c r="MZ110" s="155">
        <f>'INVOCAÇÕES'!$AI$501&amp;""</f>
        <v/>
      </c>
      <c r="NA110" s="155">
        <f>'INVOCAÇÕES'!$AI$502&amp;""</f>
        <v/>
      </c>
      <c r="NB110" s="155">
        <f>IF($MR110&lt;&gt;"",1,0)</f>
        <v/>
      </c>
      <c r="NC110" s="155">
        <f>INDEX($FM$2:$FM$13,$MM110)</f>
        <v/>
      </c>
      <c r="ND110" s="155">
        <f>INDEX($FN$2:$FN$13,$MM110)</f>
        <v/>
      </c>
      <c r="NE110" s="155">
        <f>INDEX($FO$2:$FO$13,$MM110)</f>
        <v/>
      </c>
      <c r="NF110" s="155">
        <f>INDEX($FZ$2:$FZ$13,$MM110)</f>
        <v/>
      </c>
      <c r="NG110" s="155">
        <f>INDEX($GA$2:$GA$13,$MM110)</f>
        <v/>
      </c>
      <c r="NH110" s="155">
        <f>IFERROR(MATCH($MS110,$V$2:$V$11,0),0)</f>
        <v/>
      </c>
      <c r="NI110" s="155">
        <f>IFERROR(VLOOKUP($MV110,$AV$2:$BA$84,2,FALSE),"")</f>
        <v/>
      </c>
      <c r="NJ110" s="155">
        <f>IFERROR(VLOOKUP($MW110,$AV$2:$BA$84,2,FALSE),"")</f>
        <v/>
      </c>
      <c r="NK110" s="155">
        <f>IFERROR(VLOOKUP($MX110,$AV$2:$BA$84,2,FALSE),"")</f>
        <v/>
      </c>
      <c r="NL110" s="155">
        <f>IFERROR(VLOOKUP($MY110,$AV$2:$BA$84,2,FALSE),"")</f>
        <v/>
      </c>
      <c r="NM110" s="155">
        <f>IFERROR(VLOOKUP($MV110,$AV$2:$BA$84,3,FALSE),0)</f>
        <v/>
      </c>
      <c r="NN110" s="155">
        <f>IFERROR(VLOOKUP($MW110,$AV$2:$BA$84,3,FALSE),0)</f>
        <v/>
      </c>
      <c r="NO110" s="155">
        <f>IFERROR(VLOOKUP($MX110,$AV$2:$BA$84,3,FALSE),0)</f>
        <v/>
      </c>
      <c r="NP110" s="155">
        <f>IFERROR(VLOOKUP($MY110,$AV$2:$BA$84,3,FALSE),0)</f>
        <v/>
      </c>
      <c r="NQ110" s="155">
        <f>IF($MQ110=0,0,IF($NH110=0,0,INDEX($X$2:$X$11,$NH110)))</f>
        <v/>
      </c>
      <c r="NR110" s="155">
        <f>IF(OR($NM110=0,$MQ110=0),0,$NM110+3*IF(AND($NI110&lt;&gt;"",OR($NI110=INDEX($EJ$2:$EJ$13,$MM110),$NI110=INDEX($EK$2:$EK$13,$MM110))),1,0))</f>
        <v/>
      </c>
      <c r="NS110" s="155">
        <f>IF(OR($NN110=0,$MQ110=0),0,$NN110+3*IF(AND($NJ110&lt;&gt;"",OR($NJ110=INDEX($EJ$2:$EJ$13,$MM110),$NJ110=INDEX($EK$2:$EK$13,$MM110))),1,0))</f>
        <v/>
      </c>
      <c r="NT110" s="155">
        <f>IF(OR($NO110=0,$MQ110=0),0,$NO110+3*IF(AND($NK110&lt;&gt;"",OR($NK110=INDEX($EJ$2:$EJ$13,$MM110),$NK110=INDEX($EK$2:$EK$13,$MM110))),1,0))</f>
        <v/>
      </c>
      <c r="NU110" s="155">
        <f>IF(OR($NP110=0,$MQ110=0),0,$NP110+3*IF(AND($NL110&lt;&gt;"",OR($NL110=INDEX($EJ$2:$EJ$13,$MM110),$NL110=INDEX($EK$2:$EK$13,$MM110))),1,0))</f>
        <v/>
      </c>
      <c r="NV110" s="155">
        <f>IF($NH110=0,0,IF(INDEX($W$2:$W$11,$NH110)="",0,IF(COUNTIF(INDEX($EJ$2:$EN$13,$MM110,0),INDEX($W$2:$W$11,$NH110))=0,1,0)))</f>
        <v/>
      </c>
      <c r="NW110" s="155">
        <f>IF(OR($NM110=0,$NI110=""),0,IF(COUNTIF(INDEX($EJ$2:$EN$13,$MM110,0),$NI110)=0,1,0))</f>
        <v/>
      </c>
      <c r="NX110" s="155">
        <f>IF(OR($NN110=0,$NJ110=""),0,IF(COUNTIF(INDEX($EJ$2:$EN$13,$MM110,0),$NJ110)=0,1,0))</f>
        <v/>
      </c>
      <c r="NY110" s="155">
        <f>IF(OR($NO110=0,$NK110=""),0,IF(COUNTIF(INDEX($EJ$2:$EN$13,$MM110,0),$NK110)=0,1,0))</f>
        <v/>
      </c>
      <c r="NZ110" s="155">
        <f>IF(OR($NP110=0,$NL110=""),0,IF(COUNTIF(INDEX($EJ$2:$EN$13,$MM110,0),$NL110)=0,1,0))</f>
        <v/>
      </c>
      <c r="OA110" s="155">
        <f>IFERROR(VLOOKUP($MV110,$AV$2:$BA$84,4,FALSE),0)+IFERROR(VLOOKUP($MW110,$AV$2:$BA$84,4,FALSE),0)+IFERROR(VLOOKUP($MX110,$AV$2:$BA$84,4,FALSE),0)+IFERROR(VLOOKUP($MY110,$AV$2:$BA$84,4,FALSE),0)</f>
        <v/>
      </c>
      <c r="OB110" s="155">
        <f>IFERROR(VLOOKUP($MV110,$AV$2:$BA$84,6,FALSE),0)+IFERROR(VLOOKUP($MW110,$AV$2:$BA$84,6,FALSE),0)+IFERROR(VLOOKUP($MX110,$AV$2:$BA$84,6,FALSE),0)+IFERROR(VLOOKUP($MY110,$AV$2:$BA$84,6,FALSE),0)</f>
        <v/>
      </c>
      <c r="OC110" s="155">
        <f>TEXTJOIN(", ",TRUE,IF(IFERROR(VLOOKUP($MV110,$AV$2:$BA$84,5,FALSE),0)=1,$MV110,""),IF(IFERROR(VLOOKUP($MW110,$AV$2:$BA$84,5,FALSE),0)=1,$MW110,""),IF(IFERROR(VLOOKUP($MX110,$AV$2:$BA$84,5,FALSE),0)=1,$MX110,""),IF(IFERROR(VLOOKUP($MY110,$AV$2:$BA$84,5,FALSE),0)=1,$MY110,""))</f>
        <v/>
      </c>
      <c r="OD110" s="155">
        <f>IF($NH110=0,0,INDEX($Y$2:$Y$11,$NH110))</f>
        <v/>
      </c>
      <c r="OE110" s="155">
        <f>IF($NH110=0,0,INDEX($Z$2:$Z$11,$NH110))</f>
        <v/>
      </c>
      <c r="OF110" s="155">
        <f>IF($NH110=0,0,INDEX($AB$2:$AB$11,$NH110))</f>
        <v/>
      </c>
      <c r="OG110" s="155">
        <f>IFERROR(VLOOKUP($MZ110,$BC$2:$BG$24,3,FALSE),0)</f>
        <v/>
      </c>
      <c r="OH110" s="155">
        <f>IFERROR(VLOOKUP($NA110,$BC$2:$BG$24,3,FALSE),0)</f>
        <v/>
      </c>
      <c r="OI110" s="155">
        <f>IFERROR(VLOOKUP($MZ110,$BC$2:$BG$24,2,FALSE),"")</f>
        <v/>
      </c>
      <c r="OJ110" s="155">
        <f>IFERROR(VLOOKUP($NA110,$BC$2:$BG$24,2,FALSE),"")</f>
        <v/>
      </c>
      <c r="OK110" s="155">
        <f>COUNTIF($NQ110:$NU110,1)</f>
        <v/>
      </c>
      <c r="OL110" s="155">
        <f>COUNTIF($NQ110:$NU110,2)</f>
        <v/>
      </c>
      <c r="OM110" s="155">
        <f>COUNTIF($NQ110:$NU110,3)</f>
        <v/>
      </c>
      <c r="ON110" s="155">
        <f>COUNTIF($NQ110:$NU110,4)</f>
        <v/>
      </c>
      <c r="OO110" s="155">
        <f>COUNTIF($NQ110:$NU110,5)</f>
        <v/>
      </c>
      <c r="OP110" s="155">
        <f>COUNTIF($NQ110:$NU110,6)</f>
        <v/>
      </c>
      <c r="OQ110" s="155">
        <f>COUNTIF($OG110:$OH110,1)</f>
        <v/>
      </c>
      <c r="OR110" s="155">
        <f>COUNTIF($OG110:$OH110,2)+$OD110</f>
        <v/>
      </c>
      <c r="OS110" s="155">
        <f>COUNTIF($MV110:$MY110,"?*")</f>
        <v/>
      </c>
      <c r="OT110" s="155">
        <f>COUNTIF($MZ110:$NA110,"?*")+$OD110</f>
        <v/>
      </c>
      <c r="OU110" s="155">
        <f>IF($MQ110=0,0,SUMPRODUCT($OK110:$OP110,INDEX($I$2:$N$8,MAX(1,$MQ110),0)))</f>
        <v/>
      </c>
      <c r="OV110" s="155">
        <f>IF($MQ110=0,0,$OQ110*CEILING($MQ110/2,1)+$OR110*$MQ110)</f>
        <v/>
      </c>
      <c r="OW110" s="155">
        <f>MIN(2*$MQ110,$OV110)</f>
        <v/>
      </c>
      <c r="OX110" s="155">
        <f>MIN($OW110,$OU110)</f>
        <v/>
      </c>
      <c r="OY110" s="155">
        <f>$OW110-$OX110</f>
        <v/>
      </c>
      <c r="OZ110" s="155">
        <f>IF($MQ110=0,0,INDEX($P$2:$P$8,MAX(1,$MQ110)))</f>
        <v/>
      </c>
      <c r="PA110" s="155">
        <f>$OZ110-$OU110+$OX110</f>
        <v/>
      </c>
      <c r="PB110" s="155">
        <f>IF($MQ110=0,MAX(0,$NE110-IF($OS110&gt;0,1,0)),MAX(0,$PA110))</f>
        <v/>
      </c>
      <c r="PC110" s="155">
        <f>IF($MQ110=0,0,(IF(COUNTIF($MV110:$MY110,"Salto")&gt;0,1,0)+IF(COUNTIF($MV110:$MY110,"Queima")&gt;0,1,0)+IF(COUNTIF($MV110:$MY110,"Estilhaço")&gt;0,1,0))*FLOOR($PB110/2,1))</f>
        <v/>
      </c>
      <c r="PD110" s="155">
        <f>MAX(0,2-SUMPRODUCT($OK110:$OP110,$I$2:$N$2)+MIN(2,$OQ110*1+$OR110*1,SUMPRODUCT($OK110:$OP110,$I$2:$N$2)))</f>
        <v/>
      </c>
      <c r="PE110" s="155">
        <f>MAX(0,4-SUMPRODUCT($OK110:$OP110,$I$3:$N$3)+MIN(4,$OQ110*1+$OR110*2,SUMPRODUCT($OK110:$OP110,$I$3:$N$3)))</f>
        <v/>
      </c>
      <c r="PF110" s="155">
        <f>MAX(0,6-SUMPRODUCT($OK110:$OP110,$I$4:$N$4)+MIN(6,$OQ110*2+$OR110*3,SUMPRODUCT($OK110:$OP110,$I$4:$N$4)))</f>
        <v/>
      </c>
      <c r="PG110" s="155">
        <f>MAX(0,9-SUMPRODUCT($OK110:$OP110,$I$5:$N$5)+MIN(8,$OQ110*2+$OR110*4,SUMPRODUCT($OK110:$OP110,$I$5:$N$5)))</f>
        <v/>
      </c>
      <c r="PH110" s="155">
        <f>MAX(0,11-SUMPRODUCT($OK110:$OP110,$I$6:$N$6)+MIN(10,$OQ110*3+$OR110*5,SUMPRODUCT($OK110:$OP110,$I$6:$N$6)))</f>
        <v/>
      </c>
      <c r="PI110" s="155">
        <f>MAX(0,13-SUMPRODUCT($OK110:$OP110,$I$7:$N$7)+MIN(12,$OQ110*3+$OR110*6,SUMPRODUCT($OK110:$OP110,$I$7:$N$7)))</f>
        <v/>
      </c>
      <c r="PJ110" s="155">
        <f>MAX(0,16-SUMPRODUCT($OK110:$OP110,$I$8:$N$8)+MIN(14,$OQ110*4+$OR110*7,SUMPRODUCT($OK110:$OP110,$I$8:$N$8)))</f>
        <v/>
      </c>
      <c r="PK110" s="155">
        <f>IF($OE110=2,3*$PD110&amp;" de vida temp.",IF($OE110=3,"sem dano",IF($PD110=0,IF($OE110=1,"sem cura","sem dano"),IF($OE110=1,"cura ","")&amp;$PD110&amp;"d8")))</f>
        <v/>
      </c>
      <c r="PL110" s="155">
        <f>IF($OE110=2,3*$PE110&amp;" de vida temp.",IF($OE110=3,"sem dano",IF($PE110=0,IF($OE110=1,"sem cura","sem dano"),IF($OE110=1,"cura ","")&amp;$PE110&amp;"d8")))</f>
        <v/>
      </c>
      <c r="PM110" s="155">
        <f>IF($OE110=2,3*$PF110&amp;" de vida temp.",IF($OE110=3,"sem dano",IF($PF110=0,IF($OE110=1,"sem cura","sem dano"),IF($OE110=1,"cura ","")&amp;$PF110&amp;"d8")))</f>
        <v/>
      </c>
      <c r="PN110" s="155">
        <f>IF($OE110=2,3*$PG110&amp;" de vida temp.",IF($OE110=3,"sem dano",IF($PG110=0,IF($OE110=1,"sem cura","sem dano"),IF($OE110=1,"cura ","")&amp;$PG110&amp;"d8")))</f>
        <v/>
      </c>
      <c r="PO110" s="155">
        <f>IF($OE110=2,3*$PH110&amp;" de vida temp.",IF($OE110=3,"sem dano",IF($PH110=0,IF($OE110=1,"sem cura","sem dano"),IF($OE110=1,"cura ","")&amp;$PH110&amp;"d8")))</f>
        <v/>
      </c>
      <c r="PP110" s="155">
        <f>IF($OE110=2,3*$PI110&amp;" de vida temp.",IF($OE110=3,"sem dano",IF($PI110=0,IF($OE110=1,"sem cura","sem dano"),IF($OE110=1,"cura ","")&amp;$PI110&amp;"d8")))</f>
        <v/>
      </c>
      <c r="PQ110" s="155">
        <f>IF($OE110=2,3*$PJ110&amp;" de vida temp.",IF($OE110=3,"sem dano",IF($PJ110=0,IF($OE110=1,"sem cura","sem dano"),IF($OE110=1,"cura ","")&amp;$PJ110&amp;"d8")))</f>
        <v/>
      </c>
      <c r="PR110" s="155">
        <f>IF($NB110=0,"",TEXTJOIN(" · ",TRUE,IF($MO110&gt;$NC110,"Este lugar abre no nível "&amp;$MO110,""),IF($MQ110&gt;$ND110,"Classe "&amp;$MQ110&amp;": o nível "&amp;$NC110&amp;" libera até a "&amp;$ND110,""),IF($NV110=1,"A Forma "&amp;$MS110&amp;" pede "&amp;INDEX($W$2:$W$11,$NH110)&amp;" aberta",""),IF(AND($MQ110=0,$NH110&gt;0,IF($NH110=0,0,INDEX($AF$2:$AF$11,$NH110))=0),$MS110&amp;" não existe na Classe 0",""),IF($NW110=1,"Família Fechada: "&amp;$MV110,""),IF($NX110=1,"Família Fechada: "&amp;$MW110,""),IF($NY110=1,"Família Fechada: "&amp;$MX110,""),IF($NZ110=1,"Família Fechada: "&amp;$MY110,""),IF(AND($MQ110&gt;0,$OS110&gt;INDEX($O$2:$O$8,MAX(1,$MQ110))),$OS110&amp;" Melhorias: a Classe "&amp;$MQ110&amp;" aceita "&amp;INDEX($O$2:$O$8,MAX(1,$MQ110)),""),IF(AND($MQ110=0,$OS110&gt;1),"A básica aceita uma Melhoria",""),IF(AND($MQ110=0,COUNTIF($NM110:$NP110,"&gt;1")&gt;0),"A básica só aceita Melhoria Leve",""),IF(AND($MQ110&gt;0,$OT110&gt;2),$OT110&amp;" Restrições"&amp;IF($OD110=1,", contando a que a Forma "&amp;$MS110&amp;" já traz","")&amp;": o limite é 2",""),IF(AND($MQ110=0,COUNTIF($MZ110:$NA110,"?*")&gt;1),"A básica aceita uma Restrição Leve",""),IF(AND($MQ110=0,COUNTIF($OG110:$OH110,2)&gt;0),"A básica só aceita Restrição Leve",""),IF(AND($MQ110&gt;0,$PA110&lt;0),"Orçamento estourado: faltam "&amp;(-$PA110)&amp;IF($PA110&lt;-1," pontos"," ponto"),""),IF(IFERROR(VLOOKUP($MZ110,$BC$2:$BG$24,4,FALSE),0)+IFERROR(VLOOKUP($NA110,$BC$2:$BG$24,4,FALSE),0)&gt;1,$OI110&amp;" e "&amp;$OJ110&amp;" são as duas de frequência",""),IF(AND((COUNTIF($MV110:$MY110,"Rápido")+COUNTIF($OI110:$OJ110,"Rápido"))&gt;0,(COUNTIF($MV110:$MY110,"Atrasar")+COUNTIF($OI110:$OJ110,"Atrasar"))&gt;0),"Rápido não entra com Atrasar",""),IF(AND((COUNTIF($MV110:$MY110,"Reação")+COUNTIF($OI110:$OJ110,"Reação"))&gt;0,(COUNTIF($MV110:$MY110,"Rápido")+COUNTIF($OI110:$OJ110,"Rápido"))&gt;0),"Reação não entra com Rápido",""),IF(AND((COUNTIF($MV110:$MY110,"Reação")+COUNTIF($OI110:$OJ110,"Reação"))&gt;0,(COUNTIF($MV110:$MY110,"Armado")+COUNTIF($OI110:$OJ110,"Armado"))&gt;0),"Reação não entra com Armado",""),IF(AND((COUNTIF($MV110:$MY110,"Reação")+COUNTIF($OI110:$OJ110,"Reação"))&gt;0,(COUNTIF($MV110:$MY110,"Atrasar")+COUNTIF($OI110:$OJ110,"Atrasar"))&gt;0),"Reação não entra com Atrasar",""),IF(AND((COUNTIF($MV110:$MY110,"Reação")+COUNTIF($OI110:$OJ110,"Reação"))&gt;0,(COUNTIF($MV110:$MY110,"Parado")+COUNTIF($OI110:$OJ110,"Parado"))&gt;0),"Reação não entra com Parado",""),IF(AND((COUNTIF($MV110:$MY110,"Atrasar")+COUNTIF($OI110:$OJ110,"Atrasar"))&gt;0,(COUNTIF($MV110:$MY110,"Parado")+COUNTIF($OI110:$OJ110,"Parado"))&gt;0),"Atrasar não entra com Parado",""),IF(AND((COUNTIF($MV110:$MY110,"Armado")+COUNTIF($OI110:$OJ110,"Armado"))&gt;0,(COUNTIF($MV110:$MY110,"Carregar")+COUNTIF($OI110:$OJ110,"Carregar"))&gt;0),"Armado não entra com Carregar",""),IF(AND(COUNTIF($OI110:$OJ110,"Corpo a Corpo")&gt;0,$OD110=0,OR($MS110="Cone",$MS110="Linha")),"Corpo a Corpo não entra em "&amp;$MS110,""),IF(AND(COUNTIF($OI110:$OJ110,"Corpo a Corpo")&gt;0,$OD110=1),"A Forma "&amp;$MS110&amp;" já traz o Corpo a Corpo",""),IF(AND(COUNTIF($OI110:$OJ110,"Tudo ou Nada")&gt;0,$OF110=0),"Tudo ou Nada só entra em habilidade de Teste de Resistência",""),IF(AND(COUNTIF($MV110:$MY110,"Inescapável")&gt;0,OR($OS110&gt;1,$OT110&gt;0)),"Inescapável não aceita outra peça",""),IF(AND($MQ110&gt;0,$PB110*IF(COUNTIF($MV110:$MY110,"Remate")&gt;0,1.25,1)+$PC110&gt;4*$MQ110),($PB110*IF(COUNTIF($MV110:$MY110,"Remate")&gt;0,1.25,1)+$PC110)&amp;" dados somando repetições"&amp;IF(COUNTIF($MV110:$MY110,"Remate")&gt;0," e o Remate","")&amp;": o teto da Classe "&amp;$MQ110&amp;" é "&amp;4*$MQ110,"")))</f>
        <v/>
      </c>
      <c r="PS110" s="155">
        <f>IF($PR110="",0,(LEN($PR110)-LEN(SUBSTITUTE($PR110," · ","")))/3+1)</f>
        <v/>
      </c>
      <c r="PT110" s="155">
        <f>IF($NB110=0,"",TEXTJOIN(" · ",TRUE,IF($OV110&gt;2*$MQ110,"A devolução parou no teto de "&amp;2*$MQ110,""),IF($OY110&gt;0,"Devolução perdida: "&amp;$OY110&amp;IF($OY110&gt;1," pontos"," ponto")&amp;" sem peça para pagar",""),IF(AND($OA110&gt;0,AND($MQ110&gt;0,$OE110=0),$PB110=0),"Controle sem dano: uma rodada a mais e CD +2",""),IF(AND($OA110&gt;0,AND($MQ110&gt;0,$OE110=0),$PB110&gt;0,$PB110&lt;=$MQ110),"Controle com saldo até a Classe: uma rodada a mais",""),IF(AND($MQ110&gt;0,$OC110&lt;&gt;""),"Efeito de "&amp;$OC110&amp;" pela Classe "&amp;MAX(1,$MQ110-1),"")))</f>
        <v/>
      </c>
      <c r="PU110" s="155">
        <f>IF($PT110="",0,(LEN($PT110)-LEN(SUBSTITUTE($PT110," · ","")))/3+1)</f>
        <v/>
      </c>
      <c r="PV110" s="155">
        <f>IF($NB110=0,IF($OS110+COUNTIF($MZ110:$NA110,"?*")&gt;0,"Dê um nome",""),IF($PS110&gt;0,"⚠ "&amp;$PS110&amp;IF($PS110&gt;1," erros"," erro"),IF($PU110&gt;0,"! "&amp;$PU110&amp;IF($PU110&gt;1," avisos"," aviso"),"Na regra")))</f>
        <v/>
      </c>
      <c r="PW110" s="155">
        <f>IF($NB110=0,"",IF($PS110+$PU110=0,"Dentro das regras que a ficha confere",$PR110&amp;IF(AND($PS110&gt;0,$PU110&gt;0)," · ","")&amp;$PT110))</f>
        <v/>
      </c>
      <c r="PX110" s="155">
        <f>IF($MO110&gt;$NC110,$MP110&amp;" · ABRE NO NÍVEL "&amp;$MO110,$MP110)</f>
        <v/>
      </c>
      <c r="PY110" s="155">
        <f>IF($NB110=0,"",IF($MQ110=0,"Sem PE",3*$MQ110&amp;" PE"))</f>
        <v/>
      </c>
      <c r="PZ110" s="155">
        <f>IF($NB110=0,"",IF($MQ110=0,"A atuação básica dela",IF(COUNTIF($OI110:$OJ110,"Atrasar")&gt;0,"Sua Ação Completa",IF(COUNTIF($MV110:$MY110,"Rápido")&gt;0,"Sua Bônus",IF(COUNTIF($MV110:$MY110,"Reação")&gt;0,"Sua Reação","Sua Padrão")))&amp;" + a básica dela"&amp;IF(COUNTIF($MV110:$MY110,"Reação")&gt;0," e a coletiva","")&amp;IF(COUNTIF($OI110:$OJ110,"Carregar")&gt;0," · em dois turnos","")))</f>
        <v/>
      </c>
      <c r="QA110" s="155">
        <f>IF($MU110&lt;&gt;"",$MU110,IF($NH110=0,"",INDEX($AA$2:$AA$11,$NH110)))</f>
        <v/>
      </c>
      <c r="QB110" s="155">
        <f>IF(OR($NB110=0,$NH110=0),"",IF(COUNTIF($MV110:$MY110,"Inescapável")&gt;0,"Automático",IF($QA110="Ataque",IF($NF110="","Ataque","Ataque "&amp;IF(($NF110+2*IF(COUNTIF($MV110:$MY110,"Precisão")&gt;0,1,0))&gt;=0,"+","−")&amp;ABS(($NF110+2*IF(COUNTIF($MV110:$MY110,"Precisão")&gt;0,1,0))))&amp;IF($OB110&gt;0," · TR"&amp;IF($NG110="",""," CD "&amp;$NG110),""),IF(LEFT($QA110,2)="TR",$QA110&amp;IF($NG110="",""," · CD "&amp;$NG110)&amp;IF(COUNTIF($MV110:$MY110,"Certeiro")&gt;0," · metade",""),"Sem rolagem"))))</f>
        <v/>
      </c>
      <c r="QC110" s="155">
        <f>IF(OR($NB110=0,$NH110=0),"",IF($MQ110=0,IF(OR($OE110&gt;=1,$PB110=0),"Sem dano",$PB110&amp;"d6"&amp;IF($MT110="",""," "&amp;$MT110)),IF(OR($OE110&gt;=1,$PB110=0),UPPER(LEFT(INDEX($PK110:$PQ110,1,MAX(1,$MQ110)),1))&amp;MID(INDEX($PK110:$PQ110,1,MAX(1,$MQ110)),2,99),UPPER(LEFT(INDEX($PK110:$PQ110,1,MAX(1,$MQ110)),1))&amp;MID(INDEX($PK110:$PQ110,1,MAX(1,$MQ110)),2,99)&amp;IF($MT110="",""," "&amp;$MT110)&amp;IF($PC110&gt;0," · +"&amp;$PC110&amp;"d8",""))))</f>
        <v/>
      </c>
      <c r="QD110" s="155">
        <f>COUNTIF($MV110:$MY110,"Longe")+3*COUNTIF($MV110:$MY110,"Muito Longe")</f>
        <v/>
      </c>
      <c r="QE110" s="155">
        <f>COUNTIF($MV110:$MY110,"Maior")+3*COUNTIF($MV110:$MY110,"Muito Maior")</f>
        <v/>
      </c>
      <c r="QF110" s="155">
        <f>IF($NH110=0,0,CHOOSE(1+INDEX($AC$2:$AC$11,$NH110),0,$QD110,$QE110,$QD110+$QE110))</f>
        <v/>
      </c>
      <c r="QG110" s="155">
        <f>IF($NH110=0,0,CHOOSE(1+INDEX($AD$2:$AD$11,$NH110),0,$QD110,$QE110,$QD110+$QE110))</f>
        <v/>
      </c>
      <c r="QH110" s="155">
        <f>IF(OR($NB110=0,$NH110=0),"",INDEX($AI$2:$AN$41,($NH110-1)*4+IF($MQ110=0,1,IF($MQ110&lt;=5,2,IF($MQ110=6,3,4))),1+MIN(5,$QF110))&amp;INDEX($AO$2:$AT$41,($NH110-1)*4+IF($MQ110=0,1,IF($MQ110&lt;=5,2,IF($MQ110=6,3,4))),1+MIN(5,$QG110))&amp;IF(INDEX($AE$2:$AE$11,$NH110)=1,IF(COUNTIF($MV110:$MY110,"Mais Um")&gt;0," · +"&amp;COUNTIF($MV110:$MY110,"Mais Um")&amp;IF(COUNTIF($MV110:$MY110,"Mais Um")&gt;1," alvos"," alvo"),"")&amp;IF(COUNTIF($MV110:$MY110,"Rajada")&gt;0,IF($MQ110=0," · 1 tiro"," · "&amp;(MAX(1,$MQ110-1)+1)&amp;" tiros"),""),""))</f>
        <v/>
      </c>
      <c r="QI110" s="155">
        <f>IF($NB110=0,"",IF($MQ110=0,$NE110&amp;"d6"&amp;IF($OS110&gt;0," − 1 = "&amp;$PB110&amp;"d6"," da básica do nível "&amp;$NC110),$OZ110&amp;" − "&amp;$OU110&amp;" + "&amp;$OX110&amp;" = "&amp;$PA110&amp;" · teto "&amp;4*$MQ110&amp;"d8"&amp;IF($OD110=1," · a Forma devolve "&amp;$MQ110,"")&amp;IF($OY110&gt;0," · perde "&amp;$OY110,"")))</f>
        <v/>
      </c>
      <c r="QJ110" s="155">
        <f>IF($NB110=0,"",IF($MQ110=0,"A básica não amplia: os dados dela sobem com o nível",IF($MQ110&gt;=$ND110,"Já está na maior Classe que o nível liberou",TEXTJOIN(" · ",TRUE,IF(AND(2&gt;$MQ110,2&lt;=$ND110),"2 → "&amp;$PL110&amp;", 6 PE",""),IF(AND(3&gt;$MQ110,3&lt;=$ND110),"3 → "&amp;$PM110&amp;", 9 PE",""),IF(AND(4&gt;$MQ110,4&lt;=$ND110),"4 → "&amp;$PN110&amp;", 12 PE",""),IF(AND(5&gt;$MQ110,5&lt;=$ND110),"5 → "&amp;$PO110&amp;", 15 PE",""),IF(AND(6&gt;$MQ110,6&lt;=$ND110),"6 → "&amp;$PP110&amp;", 18 PE",""),IF(AND(7&gt;$MQ110,7&lt;=$ND110),"7 → "&amp;$PQ110&amp;", 21 PE","")))))</f>
        <v/>
      </c>
      <c r="QK110" s="155">
        <f>IF(OR($NB110=0,$NM110=0),"",IF($MQ110=0,"−1 dado","−"&amp;INDEX($I$2:$N$8,MAX(1,$MQ110),MAX(1,$NR110))&amp;" · "&amp;CHOOSE(MAX(1,$NR110),"Leve","Média","Pesada","Leve · Livre","Média · Livre","Pesada · Livre")))</f>
        <v/>
      </c>
      <c r="QL110" s="155">
        <f>IF(OR($NB110=0,$NN110=0),"",IF($MQ110=0,"−1 dado","−"&amp;INDEX($I$2:$N$8,MAX(1,$MQ110),MAX(1,$NS110))&amp;" · "&amp;CHOOSE(MAX(1,$NS110),"Leve","Média","Pesada","Leve · Livre","Média · Livre","Pesada · Livre")))</f>
        <v/>
      </c>
      <c r="QM110" s="155">
        <f>IF(OR($NB110=0,$NO110=0),"",IF($MQ110=0,"−1 dado","−"&amp;INDEX($I$2:$N$8,MAX(1,$MQ110),MAX(1,$NT110))&amp;" · "&amp;CHOOSE(MAX(1,$NT110),"Leve","Média","Pesada","Leve · Livre","Média · Livre","Pesada · Livre")))</f>
        <v/>
      </c>
      <c r="QN110" s="155">
        <f>IF(OR($NB110=0,$NP110=0),"",IF($MQ110=0,"−1 dado","−"&amp;INDEX($I$2:$N$8,MAX(1,$MQ110),MAX(1,$NU110))&amp;" · "&amp;CHOOSE(MAX(1,$NU110),"Leve","Média","Pesada","Leve · Livre","Média · Livre","Pesada · Livre")))</f>
        <v/>
      </c>
      <c r="QO110" s="155">
        <f>IF(OR($NB110=0,$MZ110=""),"",IF($MQ110=0,"não devolve","+"&amp;IF($OG110=1,CEILING($MQ110/2,1),$MQ110)))</f>
        <v/>
      </c>
      <c r="QP110" s="155">
        <f>IF(OR($NB110=0,$NA110=""),"",IF($MQ110=0,"não devolve","+"&amp;IF($OH110=1,CEILING($MQ110/2,1),$MQ110)))</f>
        <v/>
      </c>
    </row>
    <row r="111">
      <c r="ML111" s="153" t="inlineStr">
        <is>
          <t>Ficha 9 · Especial 4</t>
        </is>
      </c>
      <c r="MM111" s="155" t="n">
        <v>9</v>
      </c>
      <c r="MN111" s="155" t="n">
        <v>1</v>
      </c>
      <c r="MO111" s="155" t="n">
        <v>12</v>
      </c>
      <c r="MP111" s="153" t="inlineStr">
        <is>
          <t>ESPECIAL 4</t>
        </is>
      </c>
      <c r="MQ111" s="155">
        <f>MAX(1,MIN(7,N('INVOCAÇÕES'!$AN$488)))</f>
        <v/>
      </c>
      <c r="MR111" s="155">
        <f>'INVOCAÇÕES'!$AO$488&amp;""</f>
        <v/>
      </c>
      <c r="MS111" s="155">
        <f>'INVOCAÇÕES'!$AN$493&amp;""</f>
        <v/>
      </c>
      <c r="MT111" s="155">
        <f>'INVOCAÇÕES'!$AN$494&amp;""</f>
        <v/>
      </c>
      <c r="MU111" s="155">
        <f>'INVOCAÇÕES'!$AP$494&amp;""</f>
        <v/>
      </c>
      <c r="MV111" s="155">
        <f>'INVOCAÇÕES'!$AO$497&amp;""</f>
        <v/>
      </c>
      <c r="MW111" s="155">
        <f>'INVOCAÇÕES'!$AO$498&amp;""</f>
        <v/>
      </c>
      <c r="MX111" s="155">
        <f>'INVOCAÇÕES'!$AO$499&amp;""</f>
        <v/>
      </c>
      <c r="MY111" s="155">
        <f>'INVOCAÇÕES'!$AO$500&amp;""</f>
        <v/>
      </c>
      <c r="MZ111" s="155">
        <f>'INVOCAÇÕES'!$AO$501&amp;""</f>
        <v/>
      </c>
      <c r="NA111" s="155">
        <f>'INVOCAÇÕES'!$AO$502&amp;""</f>
        <v/>
      </c>
      <c r="NB111" s="155">
        <f>IF($MR111&lt;&gt;"",1,0)</f>
        <v/>
      </c>
      <c r="NC111" s="155">
        <f>INDEX($FM$2:$FM$13,$MM111)</f>
        <v/>
      </c>
      <c r="ND111" s="155">
        <f>INDEX($FN$2:$FN$13,$MM111)</f>
        <v/>
      </c>
      <c r="NE111" s="155">
        <f>INDEX($FO$2:$FO$13,$MM111)</f>
        <v/>
      </c>
      <c r="NF111" s="155">
        <f>INDEX($FZ$2:$FZ$13,$MM111)</f>
        <v/>
      </c>
      <c r="NG111" s="155">
        <f>INDEX($GA$2:$GA$13,$MM111)</f>
        <v/>
      </c>
      <c r="NH111" s="155">
        <f>IFERROR(MATCH($MS111,$V$2:$V$11,0),0)</f>
        <v/>
      </c>
      <c r="NI111" s="155">
        <f>IFERROR(VLOOKUP($MV111,$AV$2:$BA$84,2,FALSE),"")</f>
        <v/>
      </c>
      <c r="NJ111" s="155">
        <f>IFERROR(VLOOKUP($MW111,$AV$2:$BA$84,2,FALSE),"")</f>
        <v/>
      </c>
      <c r="NK111" s="155">
        <f>IFERROR(VLOOKUP($MX111,$AV$2:$BA$84,2,FALSE),"")</f>
        <v/>
      </c>
      <c r="NL111" s="155">
        <f>IFERROR(VLOOKUP($MY111,$AV$2:$BA$84,2,FALSE),"")</f>
        <v/>
      </c>
      <c r="NM111" s="155">
        <f>IFERROR(VLOOKUP($MV111,$AV$2:$BA$84,3,FALSE),0)</f>
        <v/>
      </c>
      <c r="NN111" s="155">
        <f>IFERROR(VLOOKUP($MW111,$AV$2:$BA$84,3,FALSE),0)</f>
        <v/>
      </c>
      <c r="NO111" s="155">
        <f>IFERROR(VLOOKUP($MX111,$AV$2:$BA$84,3,FALSE),0)</f>
        <v/>
      </c>
      <c r="NP111" s="155">
        <f>IFERROR(VLOOKUP($MY111,$AV$2:$BA$84,3,FALSE),0)</f>
        <v/>
      </c>
      <c r="NQ111" s="155">
        <f>IF($MQ111=0,0,IF($NH111=0,0,INDEX($X$2:$X$11,$NH111)))</f>
        <v/>
      </c>
      <c r="NR111" s="155">
        <f>IF(OR($NM111=0,$MQ111=0),0,$NM111+3*IF(AND($NI111&lt;&gt;"",OR($NI111=INDEX($EJ$2:$EJ$13,$MM111),$NI111=INDEX($EK$2:$EK$13,$MM111))),1,0))</f>
        <v/>
      </c>
      <c r="NS111" s="155">
        <f>IF(OR($NN111=0,$MQ111=0),0,$NN111+3*IF(AND($NJ111&lt;&gt;"",OR($NJ111=INDEX($EJ$2:$EJ$13,$MM111),$NJ111=INDEX($EK$2:$EK$13,$MM111))),1,0))</f>
        <v/>
      </c>
      <c r="NT111" s="155">
        <f>IF(OR($NO111=0,$MQ111=0),0,$NO111+3*IF(AND($NK111&lt;&gt;"",OR($NK111=INDEX($EJ$2:$EJ$13,$MM111),$NK111=INDEX($EK$2:$EK$13,$MM111))),1,0))</f>
        <v/>
      </c>
      <c r="NU111" s="155">
        <f>IF(OR($NP111=0,$MQ111=0),0,$NP111+3*IF(AND($NL111&lt;&gt;"",OR($NL111=INDEX($EJ$2:$EJ$13,$MM111),$NL111=INDEX($EK$2:$EK$13,$MM111))),1,0))</f>
        <v/>
      </c>
      <c r="NV111" s="155">
        <f>IF($NH111=0,0,IF(INDEX($W$2:$W$11,$NH111)="",0,IF(COUNTIF(INDEX($EJ$2:$EN$13,$MM111,0),INDEX($W$2:$W$11,$NH111))=0,1,0)))</f>
        <v/>
      </c>
      <c r="NW111" s="155">
        <f>IF(OR($NM111=0,$NI111=""),0,IF(COUNTIF(INDEX($EJ$2:$EN$13,$MM111,0),$NI111)=0,1,0))</f>
        <v/>
      </c>
      <c r="NX111" s="155">
        <f>IF(OR($NN111=0,$NJ111=""),0,IF(COUNTIF(INDEX($EJ$2:$EN$13,$MM111,0),$NJ111)=0,1,0))</f>
        <v/>
      </c>
      <c r="NY111" s="155">
        <f>IF(OR($NO111=0,$NK111=""),0,IF(COUNTIF(INDEX($EJ$2:$EN$13,$MM111,0),$NK111)=0,1,0))</f>
        <v/>
      </c>
      <c r="NZ111" s="155">
        <f>IF(OR($NP111=0,$NL111=""),0,IF(COUNTIF(INDEX($EJ$2:$EN$13,$MM111,0),$NL111)=0,1,0))</f>
        <v/>
      </c>
      <c r="OA111" s="155">
        <f>IFERROR(VLOOKUP($MV111,$AV$2:$BA$84,4,FALSE),0)+IFERROR(VLOOKUP($MW111,$AV$2:$BA$84,4,FALSE),0)+IFERROR(VLOOKUP($MX111,$AV$2:$BA$84,4,FALSE),0)+IFERROR(VLOOKUP($MY111,$AV$2:$BA$84,4,FALSE),0)</f>
        <v/>
      </c>
      <c r="OB111" s="155">
        <f>IFERROR(VLOOKUP($MV111,$AV$2:$BA$84,6,FALSE),0)+IFERROR(VLOOKUP($MW111,$AV$2:$BA$84,6,FALSE),0)+IFERROR(VLOOKUP($MX111,$AV$2:$BA$84,6,FALSE),0)+IFERROR(VLOOKUP($MY111,$AV$2:$BA$84,6,FALSE),0)</f>
        <v/>
      </c>
      <c r="OC111" s="155">
        <f>TEXTJOIN(", ",TRUE,IF(IFERROR(VLOOKUP($MV111,$AV$2:$BA$84,5,FALSE),0)=1,$MV111,""),IF(IFERROR(VLOOKUP($MW111,$AV$2:$BA$84,5,FALSE),0)=1,$MW111,""),IF(IFERROR(VLOOKUP($MX111,$AV$2:$BA$84,5,FALSE),0)=1,$MX111,""),IF(IFERROR(VLOOKUP($MY111,$AV$2:$BA$84,5,FALSE),0)=1,$MY111,""))</f>
        <v/>
      </c>
      <c r="OD111" s="155">
        <f>IF($NH111=0,0,INDEX($Y$2:$Y$11,$NH111))</f>
        <v/>
      </c>
      <c r="OE111" s="155">
        <f>IF($NH111=0,0,INDEX($Z$2:$Z$11,$NH111))</f>
        <v/>
      </c>
      <c r="OF111" s="155">
        <f>IF($NH111=0,0,INDEX($AB$2:$AB$11,$NH111))</f>
        <v/>
      </c>
      <c r="OG111" s="155">
        <f>IFERROR(VLOOKUP($MZ111,$BC$2:$BG$24,3,FALSE),0)</f>
        <v/>
      </c>
      <c r="OH111" s="155">
        <f>IFERROR(VLOOKUP($NA111,$BC$2:$BG$24,3,FALSE),0)</f>
        <v/>
      </c>
      <c r="OI111" s="155">
        <f>IFERROR(VLOOKUP($MZ111,$BC$2:$BG$24,2,FALSE),"")</f>
        <v/>
      </c>
      <c r="OJ111" s="155">
        <f>IFERROR(VLOOKUP($NA111,$BC$2:$BG$24,2,FALSE),"")</f>
        <v/>
      </c>
      <c r="OK111" s="155">
        <f>COUNTIF($NQ111:$NU111,1)</f>
        <v/>
      </c>
      <c r="OL111" s="155">
        <f>COUNTIF($NQ111:$NU111,2)</f>
        <v/>
      </c>
      <c r="OM111" s="155">
        <f>COUNTIF($NQ111:$NU111,3)</f>
        <v/>
      </c>
      <c r="ON111" s="155">
        <f>COUNTIF($NQ111:$NU111,4)</f>
        <v/>
      </c>
      <c r="OO111" s="155">
        <f>COUNTIF($NQ111:$NU111,5)</f>
        <v/>
      </c>
      <c r="OP111" s="155">
        <f>COUNTIF($NQ111:$NU111,6)</f>
        <v/>
      </c>
      <c r="OQ111" s="155">
        <f>COUNTIF($OG111:$OH111,1)</f>
        <v/>
      </c>
      <c r="OR111" s="155">
        <f>COUNTIF($OG111:$OH111,2)+$OD111</f>
        <v/>
      </c>
      <c r="OS111" s="155">
        <f>COUNTIF($MV111:$MY111,"?*")</f>
        <v/>
      </c>
      <c r="OT111" s="155">
        <f>COUNTIF($MZ111:$NA111,"?*")+$OD111</f>
        <v/>
      </c>
      <c r="OU111" s="155">
        <f>IF($MQ111=0,0,SUMPRODUCT($OK111:$OP111,INDEX($I$2:$N$8,MAX(1,$MQ111),0)))</f>
        <v/>
      </c>
      <c r="OV111" s="155">
        <f>IF($MQ111=0,0,$OQ111*CEILING($MQ111/2,1)+$OR111*$MQ111)</f>
        <v/>
      </c>
      <c r="OW111" s="155">
        <f>MIN(2*$MQ111,$OV111)</f>
        <v/>
      </c>
      <c r="OX111" s="155">
        <f>MIN($OW111,$OU111)</f>
        <v/>
      </c>
      <c r="OY111" s="155">
        <f>$OW111-$OX111</f>
        <v/>
      </c>
      <c r="OZ111" s="155">
        <f>IF($MQ111=0,0,INDEX($P$2:$P$8,MAX(1,$MQ111)))</f>
        <v/>
      </c>
      <c r="PA111" s="155">
        <f>$OZ111-$OU111+$OX111</f>
        <v/>
      </c>
      <c r="PB111" s="155">
        <f>IF($MQ111=0,MAX(0,$NE111-IF($OS111&gt;0,1,0)),MAX(0,$PA111))</f>
        <v/>
      </c>
      <c r="PC111" s="155">
        <f>IF($MQ111=0,0,(IF(COUNTIF($MV111:$MY111,"Salto")&gt;0,1,0)+IF(COUNTIF($MV111:$MY111,"Queima")&gt;0,1,0)+IF(COUNTIF($MV111:$MY111,"Estilhaço")&gt;0,1,0))*FLOOR($PB111/2,1))</f>
        <v/>
      </c>
      <c r="PD111" s="155">
        <f>MAX(0,2-SUMPRODUCT($OK111:$OP111,$I$2:$N$2)+MIN(2,$OQ111*1+$OR111*1,SUMPRODUCT($OK111:$OP111,$I$2:$N$2)))</f>
        <v/>
      </c>
      <c r="PE111" s="155">
        <f>MAX(0,4-SUMPRODUCT($OK111:$OP111,$I$3:$N$3)+MIN(4,$OQ111*1+$OR111*2,SUMPRODUCT($OK111:$OP111,$I$3:$N$3)))</f>
        <v/>
      </c>
      <c r="PF111" s="155">
        <f>MAX(0,6-SUMPRODUCT($OK111:$OP111,$I$4:$N$4)+MIN(6,$OQ111*2+$OR111*3,SUMPRODUCT($OK111:$OP111,$I$4:$N$4)))</f>
        <v/>
      </c>
      <c r="PG111" s="155">
        <f>MAX(0,9-SUMPRODUCT($OK111:$OP111,$I$5:$N$5)+MIN(8,$OQ111*2+$OR111*4,SUMPRODUCT($OK111:$OP111,$I$5:$N$5)))</f>
        <v/>
      </c>
      <c r="PH111" s="155">
        <f>MAX(0,11-SUMPRODUCT($OK111:$OP111,$I$6:$N$6)+MIN(10,$OQ111*3+$OR111*5,SUMPRODUCT($OK111:$OP111,$I$6:$N$6)))</f>
        <v/>
      </c>
      <c r="PI111" s="155">
        <f>MAX(0,13-SUMPRODUCT($OK111:$OP111,$I$7:$N$7)+MIN(12,$OQ111*3+$OR111*6,SUMPRODUCT($OK111:$OP111,$I$7:$N$7)))</f>
        <v/>
      </c>
      <c r="PJ111" s="155">
        <f>MAX(0,16-SUMPRODUCT($OK111:$OP111,$I$8:$N$8)+MIN(14,$OQ111*4+$OR111*7,SUMPRODUCT($OK111:$OP111,$I$8:$N$8)))</f>
        <v/>
      </c>
      <c r="PK111" s="155">
        <f>IF($OE111=2,3*$PD111&amp;" de vida temp.",IF($OE111=3,"sem dano",IF($PD111=0,IF($OE111=1,"sem cura","sem dano"),IF($OE111=1,"cura ","")&amp;$PD111&amp;"d8")))</f>
        <v/>
      </c>
      <c r="PL111" s="155">
        <f>IF($OE111=2,3*$PE111&amp;" de vida temp.",IF($OE111=3,"sem dano",IF($PE111=0,IF($OE111=1,"sem cura","sem dano"),IF($OE111=1,"cura ","")&amp;$PE111&amp;"d8")))</f>
        <v/>
      </c>
      <c r="PM111" s="155">
        <f>IF($OE111=2,3*$PF111&amp;" de vida temp.",IF($OE111=3,"sem dano",IF($PF111=0,IF($OE111=1,"sem cura","sem dano"),IF($OE111=1,"cura ","")&amp;$PF111&amp;"d8")))</f>
        <v/>
      </c>
      <c r="PN111" s="155">
        <f>IF($OE111=2,3*$PG111&amp;" de vida temp.",IF($OE111=3,"sem dano",IF($PG111=0,IF($OE111=1,"sem cura","sem dano"),IF($OE111=1,"cura ","")&amp;$PG111&amp;"d8")))</f>
        <v/>
      </c>
      <c r="PO111" s="155">
        <f>IF($OE111=2,3*$PH111&amp;" de vida temp.",IF($OE111=3,"sem dano",IF($PH111=0,IF($OE111=1,"sem cura","sem dano"),IF($OE111=1,"cura ","")&amp;$PH111&amp;"d8")))</f>
        <v/>
      </c>
      <c r="PP111" s="155">
        <f>IF($OE111=2,3*$PI111&amp;" de vida temp.",IF($OE111=3,"sem dano",IF($PI111=0,IF($OE111=1,"sem cura","sem dano"),IF($OE111=1,"cura ","")&amp;$PI111&amp;"d8")))</f>
        <v/>
      </c>
      <c r="PQ111" s="155">
        <f>IF($OE111=2,3*$PJ111&amp;" de vida temp.",IF($OE111=3,"sem dano",IF($PJ111=0,IF($OE111=1,"sem cura","sem dano"),IF($OE111=1,"cura ","")&amp;$PJ111&amp;"d8")))</f>
        <v/>
      </c>
      <c r="PR111" s="155">
        <f>IF($NB111=0,"",TEXTJOIN(" · ",TRUE,IF($MO111&gt;$NC111,"Este lugar abre no nível "&amp;$MO111,""),IF($MQ111&gt;$ND111,"Classe "&amp;$MQ111&amp;": o nível "&amp;$NC111&amp;" libera até a "&amp;$ND111,""),IF($NV111=1,"A Forma "&amp;$MS111&amp;" pede "&amp;INDEX($W$2:$W$11,$NH111)&amp;" aberta",""),IF(AND($MQ111=0,$NH111&gt;0,IF($NH111=0,0,INDEX($AF$2:$AF$11,$NH111))=0),$MS111&amp;" não existe na Classe 0",""),IF($NW111=1,"Família Fechada: "&amp;$MV111,""),IF($NX111=1,"Família Fechada: "&amp;$MW111,""),IF($NY111=1,"Família Fechada: "&amp;$MX111,""),IF($NZ111=1,"Família Fechada: "&amp;$MY111,""),IF(AND($MQ111&gt;0,$OS111&gt;INDEX($O$2:$O$8,MAX(1,$MQ111))),$OS111&amp;" Melhorias: a Classe "&amp;$MQ111&amp;" aceita "&amp;INDEX($O$2:$O$8,MAX(1,$MQ111)),""),IF(AND($MQ111=0,$OS111&gt;1),"A básica aceita uma Melhoria",""),IF(AND($MQ111=0,COUNTIF($NM111:$NP111,"&gt;1")&gt;0),"A básica só aceita Melhoria Leve",""),IF(AND($MQ111&gt;0,$OT111&gt;2),$OT111&amp;" Restrições"&amp;IF($OD111=1,", contando a que a Forma "&amp;$MS111&amp;" já traz","")&amp;": o limite é 2",""),IF(AND($MQ111=0,COUNTIF($MZ111:$NA111,"?*")&gt;1),"A básica aceita uma Restrição Leve",""),IF(AND($MQ111=0,COUNTIF($OG111:$OH111,2)&gt;0),"A básica só aceita Restrição Leve",""),IF(AND($MQ111&gt;0,$PA111&lt;0),"Orçamento estourado: faltam "&amp;(-$PA111)&amp;IF($PA111&lt;-1," pontos"," ponto"),""),IF(IFERROR(VLOOKUP($MZ111,$BC$2:$BG$24,4,FALSE),0)+IFERROR(VLOOKUP($NA111,$BC$2:$BG$24,4,FALSE),0)&gt;1,$OI111&amp;" e "&amp;$OJ111&amp;" são as duas de frequência",""),IF(AND((COUNTIF($MV111:$MY111,"Rápido")+COUNTIF($OI111:$OJ111,"Rápido"))&gt;0,(COUNTIF($MV111:$MY111,"Atrasar")+COUNTIF($OI111:$OJ111,"Atrasar"))&gt;0),"Rápido não entra com Atrasar",""),IF(AND((COUNTIF($MV111:$MY111,"Reação")+COUNTIF($OI111:$OJ111,"Reação"))&gt;0,(COUNTIF($MV111:$MY111,"Rápido")+COUNTIF($OI111:$OJ111,"Rápido"))&gt;0),"Reação não entra com Rápido",""),IF(AND((COUNTIF($MV111:$MY111,"Reação")+COUNTIF($OI111:$OJ111,"Reação"))&gt;0,(COUNTIF($MV111:$MY111,"Armado")+COUNTIF($OI111:$OJ111,"Armado"))&gt;0),"Reação não entra com Armado",""),IF(AND((COUNTIF($MV111:$MY111,"Reação")+COUNTIF($OI111:$OJ111,"Reação"))&gt;0,(COUNTIF($MV111:$MY111,"Atrasar")+COUNTIF($OI111:$OJ111,"Atrasar"))&gt;0),"Reação não entra com Atrasar",""),IF(AND((COUNTIF($MV111:$MY111,"Reação")+COUNTIF($OI111:$OJ111,"Reação"))&gt;0,(COUNTIF($MV111:$MY111,"Parado")+COUNTIF($OI111:$OJ111,"Parado"))&gt;0),"Reação não entra com Parado",""),IF(AND((COUNTIF($MV111:$MY111,"Atrasar")+COUNTIF($OI111:$OJ111,"Atrasar"))&gt;0,(COUNTIF($MV111:$MY111,"Parado")+COUNTIF($OI111:$OJ111,"Parado"))&gt;0),"Atrasar não entra com Parado",""),IF(AND((COUNTIF($MV111:$MY111,"Armado")+COUNTIF($OI111:$OJ111,"Armado"))&gt;0,(COUNTIF($MV111:$MY111,"Carregar")+COUNTIF($OI111:$OJ111,"Carregar"))&gt;0),"Armado não entra com Carregar",""),IF(AND(COUNTIF($OI111:$OJ111,"Corpo a Corpo")&gt;0,$OD111=0,OR($MS111="Cone",$MS111="Linha")),"Corpo a Corpo não entra em "&amp;$MS111,""),IF(AND(COUNTIF($OI111:$OJ111,"Corpo a Corpo")&gt;0,$OD111=1),"A Forma "&amp;$MS111&amp;" já traz o Corpo a Corpo",""),IF(AND(COUNTIF($OI111:$OJ111,"Tudo ou Nada")&gt;0,$OF111=0),"Tudo ou Nada só entra em habilidade de Teste de Resistência",""),IF(AND(COUNTIF($MV111:$MY111,"Inescapável")&gt;0,OR($OS111&gt;1,$OT111&gt;0)),"Inescapável não aceita outra peça",""),IF(AND($MQ111&gt;0,$PB111*IF(COUNTIF($MV111:$MY111,"Remate")&gt;0,1.25,1)+$PC111&gt;4*$MQ111),($PB111*IF(COUNTIF($MV111:$MY111,"Remate")&gt;0,1.25,1)+$PC111)&amp;" dados somando repetições"&amp;IF(COUNTIF($MV111:$MY111,"Remate")&gt;0," e o Remate","")&amp;": o teto da Classe "&amp;$MQ111&amp;" é "&amp;4*$MQ111,"")))</f>
        <v/>
      </c>
      <c r="PS111" s="155">
        <f>IF($PR111="",0,(LEN($PR111)-LEN(SUBSTITUTE($PR111," · ","")))/3+1)</f>
        <v/>
      </c>
      <c r="PT111" s="155">
        <f>IF($NB111=0,"",TEXTJOIN(" · ",TRUE,IF($OV111&gt;2*$MQ111,"A devolução parou no teto de "&amp;2*$MQ111,""),IF($OY111&gt;0,"Devolução perdida: "&amp;$OY111&amp;IF($OY111&gt;1," pontos"," ponto")&amp;" sem peça para pagar",""),IF(AND($OA111&gt;0,AND($MQ111&gt;0,$OE111=0),$PB111=0),"Controle sem dano: uma rodada a mais e CD +2",""),IF(AND($OA111&gt;0,AND($MQ111&gt;0,$OE111=0),$PB111&gt;0,$PB111&lt;=$MQ111),"Controle com saldo até a Classe: uma rodada a mais",""),IF(AND($MQ111&gt;0,$OC111&lt;&gt;""),"Efeito de "&amp;$OC111&amp;" pela Classe "&amp;MAX(1,$MQ111-1),"")))</f>
        <v/>
      </c>
      <c r="PU111" s="155">
        <f>IF($PT111="",0,(LEN($PT111)-LEN(SUBSTITUTE($PT111," · ","")))/3+1)</f>
        <v/>
      </c>
      <c r="PV111" s="155">
        <f>IF($NB111=0,IF($OS111+COUNTIF($MZ111:$NA111,"?*")&gt;0,"Dê um nome",""),IF($PS111&gt;0,"⚠ "&amp;$PS111&amp;IF($PS111&gt;1," erros"," erro"),IF($PU111&gt;0,"! "&amp;$PU111&amp;IF($PU111&gt;1," avisos"," aviso"),"Na regra")))</f>
        <v/>
      </c>
      <c r="PW111" s="155">
        <f>IF($NB111=0,"",IF($PS111+$PU111=0,"Dentro das regras que a ficha confere",$PR111&amp;IF(AND($PS111&gt;0,$PU111&gt;0)," · ","")&amp;$PT111))</f>
        <v/>
      </c>
      <c r="PX111" s="155">
        <f>IF($MO111&gt;$NC111,$MP111&amp;" · ABRE NO NÍVEL "&amp;$MO111,$MP111)</f>
        <v/>
      </c>
      <c r="PY111" s="155">
        <f>IF($NB111=0,"",IF($MQ111=0,"Sem PE",3*$MQ111&amp;" PE"))</f>
        <v/>
      </c>
      <c r="PZ111" s="155">
        <f>IF($NB111=0,"",IF($MQ111=0,"A atuação básica dela",IF(COUNTIF($OI111:$OJ111,"Atrasar")&gt;0,"Sua Ação Completa",IF(COUNTIF($MV111:$MY111,"Rápido")&gt;0,"Sua Bônus",IF(COUNTIF($MV111:$MY111,"Reação")&gt;0,"Sua Reação","Sua Padrão")))&amp;" + a básica dela"&amp;IF(COUNTIF($MV111:$MY111,"Reação")&gt;0," e a coletiva","")&amp;IF(COUNTIF($OI111:$OJ111,"Carregar")&gt;0," · em dois turnos","")))</f>
        <v/>
      </c>
      <c r="QA111" s="155">
        <f>IF($MU111&lt;&gt;"",$MU111,IF($NH111=0,"",INDEX($AA$2:$AA$11,$NH111)))</f>
        <v/>
      </c>
      <c r="QB111" s="155">
        <f>IF(OR($NB111=0,$NH111=0),"",IF(COUNTIF($MV111:$MY111,"Inescapável")&gt;0,"Automático",IF($QA111="Ataque",IF($NF111="","Ataque","Ataque "&amp;IF(($NF111+2*IF(COUNTIF($MV111:$MY111,"Precisão")&gt;0,1,0))&gt;=0,"+","−")&amp;ABS(($NF111+2*IF(COUNTIF($MV111:$MY111,"Precisão")&gt;0,1,0))))&amp;IF($OB111&gt;0," · TR"&amp;IF($NG111="",""," CD "&amp;$NG111),""),IF(LEFT($QA111,2)="TR",$QA111&amp;IF($NG111="",""," · CD "&amp;$NG111)&amp;IF(COUNTIF($MV111:$MY111,"Certeiro")&gt;0," · metade",""),"Sem rolagem"))))</f>
        <v/>
      </c>
      <c r="QC111" s="155">
        <f>IF(OR($NB111=0,$NH111=0),"",IF($MQ111=0,IF(OR($OE111&gt;=1,$PB111=0),"Sem dano",$PB111&amp;"d6"&amp;IF($MT111="",""," "&amp;$MT111)),IF(OR($OE111&gt;=1,$PB111=0),UPPER(LEFT(INDEX($PK111:$PQ111,1,MAX(1,$MQ111)),1))&amp;MID(INDEX($PK111:$PQ111,1,MAX(1,$MQ111)),2,99),UPPER(LEFT(INDEX($PK111:$PQ111,1,MAX(1,$MQ111)),1))&amp;MID(INDEX($PK111:$PQ111,1,MAX(1,$MQ111)),2,99)&amp;IF($MT111="",""," "&amp;$MT111)&amp;IF($PC111&gt;0," · +"&amp;$PC111&amp;"d8",""))))</f>
        <v/>
      </c>
      <c r="QD111" s="155">
        <f>COUNTIF($MV111:$MY111,"Longe")+3*COUNTIF($MV111:$MY111,"Muito Longe")</f>
        <v/>
      </c>
      <c r="QE111" s="155">
        <f>COUNTIF($MV111:$MY111,"Maior")+3*COUNTIF($MV111:$MY111,"Muito Maior")</f>
        <v/>
      </c>
      <c r="QF111" s="155">
        <f>IF($NH111=0,0,CHOOSE(1+INDEX($AC$2:$AC$11,$NH111),0,$QD111,$QE111,$QD111+$QE111))</f>
        <v/>
      </c>
      <c r="QG111" s="155">
        <f>IF($NH111=0,0,CHOOSE(1+INDEX($AD$2:$AD$11,$NH111),0,$QD111,$QE111,$QD111+$QE111))</f>
        <v/>
      </c>
      <c r="QH111" s="155">
        <f>IF(OR($NB111=0,$NH111=0),"",INDEX($AI$2:$AN$41,($NH111-1)*4+IF($MQ111=0,1,IF($MQ111&lt;=5,2,IF($MQ111=6,3,4))),1+MIN(5,$QF111))&amp;INDEX($AO$2:$AT$41,($NH111-1)*4+IF($MQ111=0,1,IF($MQ111&lt;=5,2,IF($MQ111=6,3,4))),1+MIN(5,$QG111))&amp;IF(INDEX($AE$2:$AE$11,$NH111)=1,IF(COUNTIF($MV111:$MY111,"Mais Um")&gt;0," · +"&amp;COUNTIF($MV111:$MY111,"Mais Um")&amp;IF(COUNTIF($MV111:$MY111,"Mais Um")&gt;1," alvos"," alvo"),"")&amp;IF(COUNTIF($MV111:$MY111,"Rajada")&gt;0,IF($MQ111=0," · 1 tiro"," · "&amp;(MAX(1,$MQ111-1)+1)&amp;" tiros"),""),""))</f>
        <v/>
      </c>
      <c r="QI111" s="155">
        <f>IF($NB111=0,"",IF($MQ111=0,$NE111&amp;"d6"&amp;IF($OS111&gt;0," − 1 = "&amp;$PB111&amp;"d6"," da básica do nível "&amp;$NC111),$OZ111&amp;" − "&amp;$OU111&amp;" + "&amp;$OX111&amp;" = "&amp;$PA111&amp;" · teto "&amp;4*$MQ111&amp;"d8"&amp;IF($OD111=1," · a Forma devolve "&amp;$MQ111,"")&amp;IF($OY111&gt;0," · perde "&amp;$OY111,"")))</f>
        <v/>
      </c>
      <c r="QJ111" s="155">
        <f>IF($NB111=0,"",IF($MQ111=0,"A básica não amplia: os dados dela sobem com o nível",IF($MQ111&gt;=$ND111,"Já está na maior Classe que o nível liberou",TEXTJOIN(" · ",TRUE,IF(AND(2&gt;$MQ111,2&lt;=$ND111),"2 → "&amp;$PL111&amp;", 6 PE",""),IF(AND(3&gt;$MQ111,3&lt;=$ND111),"3 → "&amp;$PM111&amp;", 9 PE",""),IF(AND(4&gt;$MQ111,4&lt;=$ND111),"4 → "&amp;$PN111&amp;", 12 PE",""),IF(AND(5&gt;$MQ111,5&lt;=$ND111),"5 → "&amp;$PO111&amp;", 15 PE",""),IF(AND(6&gt;$MQ111,6&lt;=$ND111),"6 → "&amp;$PP111&amp;", 18 PE",""),IF(AND(7&gt;$MQ111,7&lt;=$ND111),"7 → "&amp;$PQ111&amp;", 21 PE","")))))</f>
        <v/>
      </c>
      <c r="QK111" s="155">
        <f>IF(OR($NB111=0,$NM111=0),"",IF($MQ111=0,"−1 dado","−"&amp;INDEX($I$2:$N$8,MAX(1,$MQ111),MAX(1,$NR111))&amp;" · "&amp;CHOOSE(MAX(1,$NR111),"Leve","Média","Pesada","Leve · Livre","Média · Livre","Pesada · Livre")))</f>
        <v/>
      </c>
      <c r="QL111" s="155">
        <f>IF(OR($NB111=0,$NN111=0),"",IF($MQ111=0,"−1 dado","−"&amp;INDEX($I$2:$N$8,MAX(1,$MQ111),MAX(1,$NS111))&amp;" · "&amp;CHOOSE(MAX(1,$NS111),"Leve","Média","Pesada","Leve · Livre","Média · Livre","Pesada · Livre")))</f>
        <v/>
      </c>
      <c r="QM111" s="155">
        <f>IF(OR($NB111=0,$NO111=0),"",IF($MQ111=0,"−1 dado","−"&amp;INDEX($I$2:$N$8,MAX(1,$MQ111),MAX(1,$NT111))&amp;" · "&amp;CHOOSE(MAX(1,$NT111),"Leve","Média","Pesada","Leve · Livre","Média · Livre","Pesada · Livre")))</f>
        <v/>
      </c>
      <c r="QN111" s="155">
        <f>IF(OR($NB111=0,$NP111=0),"",IF($MQ111=0,"−1 dado","−"&amp;INDEX($I$2:$N$8,MAX(1,$MQ111),MAX(1,$NU111))&amp;" · "&amp;CHOOSE(MAX(1,$NU111),"Leve","Média","Pesada","Leve · Livre","Média · Livre","Pesada · Livre")))</f>
        <v/>
      </c>
      <c r="QO111" s="155">
        <f>IF(OR($NB111=0,$MZ111=""),"",IF($MQ111=0,"não devolve","+"&amp;IF($OG111=1,CEILING($MQ111/2,1),$MQ111)))</f>
        <v/>
      </c>
      <c r="QP111" s="155">
        <f>IF(OR($NB111=0,$NA111=""),"",IF($MQ111=0,"não devolve","+"&amp;IF($OH111=1,CEILING($MQ111/2,1),$MQ111)))</f>
        <v/>
      </c>
    </row>
    <row r="112">
      <c r="ML112" s="153" t="inlineStr">
        <is>
          <t>Ficha 9 · Especial 5</t>
        </is>
      </c>
      <c r="MM112" s="155" t="n">
        <v>9</v>
      </c>
      <c r="MN112" s="155" t="n">
        <v>1</v>
      </c>
      <c r="MO112" s="155" t="n">
        <v>16</v>
      </c>
      <c r="MP112" s="153" t="inlineStr">
        <is>
          <t>ESPECIAL 5</t>
        </is>
      </c>
      <c r="MQ112" s="155">
        <f>MAX(1,MIN(7,N('INVOCAÇÕES'!$AB$510)))</f>
        <v/>
      </c>
      <c r="MR112" s="155">
        <f>'INVOCAÇÕES'!$AC$510&amp;""</f>
        <v/>
      </c>
      <c r="MS112" s="155">
        <f>'INVOCAÇÕES'!$AB$515&amp;""</f>
        <v/>
      </c>
      <c r="MT112" s="155">
        <f>'INVOCAÇÕES'!$AB$516&amp;""</f>
        <v/>
      </c>
      <c r="MU112" s="155">
        <f>'INVOCAÇÕES'!$AD$516&amp;""</f>
        <v/>
      </c>
      <c r="MV112" s="155">
        <f>'INVOCAÇÕES'!$AC$519&amp;""</f>
        <v/>
      </c>
      <c r="MW112" s="155">
        <f>'INVOCAÇÕES'!$AC$520&amp;""</f>
        <v/>
      </c>
      <c r="MX112" s="155">
        <f>'INVOCAÇÕES'!$AC$521&amp;""</f>
        <v/>
      </c>
      <c r="MY112" s="155">
        <f>'INVOCAÇÕES'!$AC$522&amp;""</f>
        <v/>
      </c>
      <c r="MZ112" s="155">
        <f>'INVOCAÇÕES'!$AC$523&amp;""</f>
        <v/>
      </c>
      <c r="NA112" s="155">
        <f>'INVOCAÇÕES'!$AC$524&amp;""</f>
        <v/>
      </c>
      <c r="NB112" s="155">
        <f>IF($MR112&lt;&gt;"",1,0)</f>
        <v/>
      </c>
      <c r="NC112" s="155">
        <f>INDEX($FM$2:$FM$13,$MM112)</f>
        <v/>
      </c>
      <c r="ND112" s="155">
        <f>INDEX($FN$2:$FN$13,$MM112)</f>
        <v/>
      </c>
      <c r="NE112" s="155">
        <f>INDEX($FO$2:$FO$13,$MM112)</f>
        <v/>
      </c>
      <c r="NF112" s="155">
        <f>INDEX($FZ$2:$FZ$13,$MM112)</f>
        <v/>
      </c>
      <c r="NG112" s="155">
        <f>INDEX($GA$2:$GA$13,$MM112)</f>
        <v/>
      </c>
      <c r="NH112" s="155">
        <f>IFERROR(MATCH($MS112,$V$2:$V$11,0),0)</f>
        <v/>
      </c>
      <c r="NI112" s="155">
        <f>IFERROR(VLOOKUP($MV112,$AV$2:$BA$84,2,FALSE),"")</f>
        <v/>
      </c>
      <c r="NJ112" s="155">
        <f>IFERROR(VLOOKUP($MW112,$AV$2:$BA$84,2,FALSE),"")</f>
        <v/>
      </c>
      <c r="NK112" s="155">
        <f>IFERROR(VLOOKUP($MX112,$AV$2:$BA$84,2,FALSE),"")</f>
        <v/>
      </c>
      <c r="NL112" s="155">
        <f>IFERROR(VLOOKUP($MY112,$AV$2:$BA$84,2,FALSE),"")</f>
        <v/>
      </c>
      <c r="NM112" s="155">
        <f>IFERROR(VLOOKUP($MV112,$AV$2:$BA$84,3,FALSE),0)</f>
        <v/>
      </c>
      <c r="NN112" s="155">
        <f>IFERROR(VLOOKUP($MW112,$AV$2:$BA$84,3,FALSE),0)</f>
        <v/>
      </c>
      <c r="NO112" s="155">
        <f>IFERROR(VLOOKUP($MX112,$AV$2:$BA$84,3,FALSE),0)</f>
        <v/>
      </c>
      <c r="NP112" s="155">
        <f>IFERROR(VLOOKUP($MY112,$AV$2:$BA$84,3,FALSE),0)</f>
        <v/>
      </c>
      <c r="NQ112" s="155">
        <f>IF($MQ112=0,0,IF($NH112=0,0,INDEX($X$2:$X$11,$NH112)))</f>
        <v/>
      </c>
      <c r="NR112" s="155">
        <f>IF(OR($NM112=0,$MQ112=0),0,$NM112+3*IF(AND($NI112&lt;&gt;"",OR($NI112=INDEX($EJ$2:$EJ$13,$MM112),$NI112=INDEX($EK$2:$EK$13,$MM112))),1,0))</f>
        <v/>
      </c>
      <c r="NS112" s="155">
        <f>IF(OR($NN112=0,$MQ112=0),0,$NN112+3*IF(AND($NJ112&lt;&gt;"",OR($NJ112=INDEX($EJ$2:$EJ$13,$MM112),$NJ112=INDEX($EK$2:$EK$13,$MM112))),1,0))</f>
        <v/>
      </c>
      <c r="NT112" s="155">
        <f>IF(OR($NO112=0,$MQ112=0),0,$NO112+3*IF(AND($NK112&lt;&gt;"",OR($NK112=INDEX($EJ$2:$EJ$13,$MM112),$NK112=INDEX($EK$2:$EK$13,$MM112))),1,0))</f>
        <v/>
      </c>
      <c r="NU112" s="155">
        <f>IF(OR($NP112=0,$MQ112=0),0,$NP112+3*IF(AND($NL112&lt;&gt;"",OR($NL112=INDEX($EJ$2:$EJ$13,$MM112),$NL112=INDEX($EK$2:$EK$13,$MM112))),1,0))</f>
        <v/>
      </c>
      <c r="NV112" s="155">
        <f>IF($NH112=0,0,IF(INDEX($W$2:$W$11,$NH112)="",0,IF(COUNTIF(INDEX($EJ$2:$EN$13,$MM112,0),INDEX($W$2:$W$11,$NH112))=0,1,0)))</f>
        <v/>
      </c>
      <c r="NW112" s="155">
        <f>IF(OR($NM112=0,$NI112=""),0,IF(COUNTIF(INDEX($EJ$2:$EN$13,$MM112,0),$NI112)=0,1,0))</f>
        <v/>
      </c>
      <c r="NX112" s="155">
        <f>IF(OR($NN112=0,$NJ112=""),0,IF(COUNTIF(INDEX($EJ$2:$EN$13,$MM112,0),$NJ112)=0,1,0))</f>
        <v/>
      </c>
      <c r="NY112" s="155">
        <f>IF(OR($NO112=0,$NK112=""),0,IF(COUNTIF(INDEX($EJ$2:$EN$13,$MM112,0),$NK112)=0,1,0))</f>
        <v/>
      </c>
      <c r="NZ112" s="155">
        <f>IF(OR($NP112=0,$NL112=""),0,IF(COUNTIF(INDEX($EJ$2:$EN$13,$MM112,0),$NL112)=0,1,0))</f>
        <v/>
      </c>
      <c r="OA112" s="155">
        <f>IFERROR(VLOOKUP($MV112,$AV$2:$BA$84,4,FALSE),0)+IFERROR(VLOOKUP($MW112,$AV$2:$BA$84,4,FALSE),0)+IFERROR(VLOOKUP($MX112,$AV$2:$BA$84,4,FALSE),0)+IFERROR(VLOOKUP($MY112,$AV$2:$BA$84,4,FALSE),0)</f>
        <v/>
      </c>
      <c r="OB112" s="155">
        <f>IFERROR(VLOOKUP($MV112,$AV$2:$BA$84,6,FALSE),0)+IFERROR(VLOOKUP($MW112,$AV$2:$BA$84,6,FALSE),0)+IFERROR(VLOOKUP($MX112,$AV$2:$BA$84,6,FALSE),0)+IFERROR(VLOOKUP($MY112,$AV$2:$BA$84,6,FALSE),0)</f>
        <v/>
      </c>
      <c r="OC112" s="155">
        <f>TEXTJOIN(", ",TRUE,IF(IFERROR(VLOOKUP($MV112,$AV$2:$BA$84,5,FALSE),0)=1,$MV112,""),IF(IFERROR(VLOOKUP($MW112,$AV$2:$BA$84,5,FALSE),0)=1,$MW112,""),IF(IFERROR(VLOOKUP($MX112,$AV$2:$BA$84,5,FALSE),0)=1,$MX112,""),IF(IFERROR(VLOOKUP($MY112,$AV$2:$BA$84,5,FALSE),0)=1,$MY112,""))</f>
        <v/>
      </c>
      <c r="OD112" s="155">
        <f>IF($NH112=0,0,INDEX($Y$2:$Y$11,$NH112))</f>
        <v/>
      </c>
      <c r="OE112" s="155">
        <f>IF($NH112=0,0,INDEX($Z$2:$Z$11,$NH112))</f>
        <v/>
      </c>
      <c r="OF112" s="155">
        <f>IF($NH112=0,0,INDEX($AB$2:$AB$11,$NH112))</f>
        <v/>
      </c>
      <c r="OG112" s="155">
        <f>IFERROR(VLOOKUP($MZ112,$BC$2:$BG$24,3,FALSE),0)</f>
        <v/>
      </c>
      <c r="OH112" s="155">
        <f>IFERROR(VLOOKUP($NA112,$BC$2:$BG$24,3,FALSE),0)</f>
        <v/>
      </c>
      <c r="OI112" s="155">
        <f>IFERROR(VLOOKUP($MZ112,$BC$2:$BG$24,2,FALSE),"")</f>
        <v/>
      </c>
      <c r="OJ112" s="155">
        <f>IFERROR(VLOOKUP($NA112,$BC$2:$BG$24,2,FALSE),"")</f>
        <v/>
      </c>
      <c r="OK112" s="155">
        <f>COUNTIF($NQ112:$NU112,1)</f>
        <v/>
      </c>
      <c r="OL112" s="155">
        <f>COUNTIF($NQ112:$NU112,2)</f>
        <v/>
      </c>
      <c r="OM112" s="155">
        <f>COUNTIF($NQ112:$NU112,3)</f>
        <v/>
      </c>
      <c r="ON112" s="155">
        <f>COUNTIF($NQ112:$NU112,4)</f>
        <v/>
      </c>
      <c r="OO112" s="155">
        <f>COUNTIF($NQ112:$NU112,5)</f>
        <v/>
      </c>
      <c r="OP112" s="155">
        <f>COUNTIF($NQ112:$NU112,6)</f>
        <v/>
      </c>
      <c r="OQ112" s="155">
        <f>COUNTIF($OG112:$OH112,1)</f>
        <v/>
      </c>
      <c r="OR112" s="155">
        <f>COUNTIF($OG112:$OH112,2)+$OD112</f>
        <v/>
      </c>
      <c r="OS112" s="155">
        <f>COUNTIF($MV112:$MY112,"?*")</f>
        <v/>
      </c>
      <c r="OT112" s="155">
        <f>COUNTIF($MZ112:$NA112,"?*")+$OD112</f>
        <v/>
      </c>
      <c r="OU112" s="155">
        <f>IF($MQ112=0,0,SUMPRODUCT($OK112:$OP112,INDEX($I$2:$N$8,MAX(1,$MQ112),0)))</f>
        <v/>
      </c>
      <c r="OV112" s="155">
        <f>IF($MQ112=0,0,$OQ112*CEILING($MQ112/2,1)+$OR112*$MQ112)</f>
        <v/>
      </c>
      <c r="OW112" s="155">
        <f>MIN(2*$MQ112,$OV112)</f>
        <v/>
      </c>
      <c r="OX112" s="155">
        <f>MIN($OW112,$OU112)</f>
        <v/>
      </c>
      <c r="OY112" s="155">
        <f>$OW112-$OX112</f>
        <v/>
      </c>
      <c r="OZ112" s="155">
        <f>IF($MQ112=0,0,INDEX($P$2:$P$8,MAX(1,$MQ112)))</f>
        <v/>
      </c>
      <c r="PA112" s="155">
        <f>$OZ112-$OU112+$OX112</f>
        <v/>
      </c>
      <c r="PB112" s="155">
        <f>IF($MQ112=0,MAX(0,$NE112-IF($OS112&gt;0,1,0)),MAX(0,$PA112))</f>
        <v/>
      </c>
      <c r="PC112" s="155">
        <f>IF($MQ112=0,0,(IF(COUNTIF($MV112:$MY112,"Salto")&gt;0,1,0)+IF(COUNTIF($MV112:$MY112,"Queima")&gt;0,1,0)+IF(COUNTIF($MV112:$MY112,"Estilhaço")&gt;0,1,0))*FLOOR($PB112/2,1))</f>
        <v/>
      </c>
      <c r="PD112" s="155">
        <f>MAX(0,2-SUMPRODUCT($OK112:$OP112,$I$2:$N$2)+MIN(2,$OQ112*1+$OR112*1,SUMPRODUCT($OK112:$OP112,$I$2:$N$2)))</f>
        <v/>
      </c>
      <c r="PE112" s="155">
        <f>MAX(0,4-SUMPRODUCT($OK112:$OP112,$I$3:$N$3)+MIN(4,$OQ112*1+$OR112*2,SUMPRODUCT($OK112:$OP112,$I$3:$N$3)))</f>
        <v/>
      </c>
      <c r="PF112" s="155">
        <f>MAX(0,6-SUMPRODUCT($OK112:$OP112,$I$4:$N$4)+MIN(6,$OQ112*2+$OR112*3,SUMPRODUCT($OK112:$OP112,$I$4:$N$4)))</f>
        <v/>
      </c>
      <c r="PG112" s="155">
        <f>MAX(0,9-SUMPRODUCT($OK112:$OP112,$I$5:$N$5)+MIN(8,$OQ112*2+$OR112*4,SUMPRODUCT($OK112:$OP112,$I$5:$N$5)))</f>
        <v/>
      </c>
      <c r="PH112" s="155">
        <f>MAX(0,11-SUMPRODUCT($OK112:$OP112,$I$6:$N$6)+MIN(10,$OQ112*3+$OR112*5,SUMPRODUCT($OK112:$OP112,$I$6:$N$6)))</f>
        <v/>
      </c>
      <c r="PI112" s="155">
        <f>MAX(0,13-SUMPRODUCT($OK112:$OP112,$I$7:$N$7)+MIN(12,$OQ112*3+$OR112*6,SUMPRODUCT($OK112:$OP112,$I$7:$N$7)))</f>
        <v/>
      </c>
      <c r="PJ112" s="155">
        <f>MAX(0,16-SUMPRODUCT($OK112:$OP112,$I$8:$N$8)+MIN(14,$OQ112*4+$OR112*7,SUMPRODUCT($OK112:$OP112,$I$8:$N$8)))</f>
        <v/>
      </c>
      <c r="PK112" s="155">
        <f>IF($OE112=2,3*$PD112&amp;" de vida temp.",IF($OE112=3,"sem dano",IF($PD112=0,IF($OE112=1,"sem cura","sem dano"),IF($OE112=1,"cura ","")&amp;$PD112&amp;"d8")))</f>
        <v/>
      </c>
      <c r="PL112" s="155">
        <f>IF($OE112=2,3*$PE112&amp;" de vida temp.",IF($OE112=3,"sem dano",IF($PE112=0,IF($OE112=1,"sem cura","sem dano"),IF($OE112=1,"cura ","")&amp;$PE112&amp;"d8")))</f>
        <v/>
      </c>
      <c r="PM112" s="155">
        <f>IF($OE112=2,3*$PF112&amp;" de vida temp.",IF($OE112=3,"sem dano",IF($PF112=0,IF($OE112=1,"sem cura","sem dano"),IF($OE112=1,"cura ","")&amp;$PF112&amp;"d8")))</f>
        <v/>
      </c>
      <c r="PN112" s="155">
        <f>IF($OE112=2,3*$PG112&amp;" de vida temp.",IF($OE112=3,"sem dano",IF($PG112=0,IF($OE112=1,"sem cura","sem dano"),IF($OE112=1,"cura ","")&amp;$PG112&amp;"d8")))</f>
        <v/>
      </c>
      <c r="PO112" s="155">
        <f>IF($OE112=2,3*$PH112&amp;" de vida temp.",IF($OE112=3,"sem dano",IF($PH112=0,IF($OE112=1,"sem cura","sem dano"),IF($OE112=1,"cura ","")&amp;$PH112&amp;"d8")))</f>
        <v/>
      </c>
      <c r="PP112" s="155">
        <f>IF($OE112=2,3*$PI112&amp;" de vida temp.",IF($OE112=3,"sem dano",IF($PI112=0,IF($OE112=1,"sem cura","sem dano"),IF($OE112=1,"cura ","")&amp;$PI112&amp;"d8")))</f>
        <v/>
      </c>
      <c r="PQ112" s="155">
        <f>IF($OE112=2,3*$PJ112&amp;" de vida temp.",IF($OE112=3,"sem dano",IF($PJ112=0,IF($OE112=1,"sem cura","sem dano"),IF($OE112=1,"cura ","")&amp;$PJ112&amp;"d8")))</f>
        <v/>
      </c>
      <c r="PR112" s="155">
        <f>IF($NB112=0,"",TEXTJOIN(" · ",TRUE,IF($MO112&gt;$NC112,"Este lugar abre no nível "&amp;$MO112,""),IF($MQ112&gt;$ND112,"Classe "&amp;$MQ112&amp;": o nível "&amp;$NC112&amp;" libera até a "&amp;$ND112,""),IF($NV112=1,"A Forma "&amp;$MS112&amp;" pede "&amp;INDEX($W$2:$W$11,$NH112)&amp;" aberta",""),IF(AND($MQ112=0,$NH112&gt;0,IF($NH112=0,0,INDEX($AF$2:$AF$11,$NH112))=0),$MS112&amp;" não existe na Classe 0",""),IF($NW112=1,"Família Fechada: "&amp;$MV112,""),IF($NX112=1,"Família Fechada: "&amp;$MW112,""),IF($NY112=1,"Família Fechada: "&amp;$MX112,""),IF($NZ112=1,"Família Fechada: "&amp;$MY112,""),IF(AND($MQ112&gt;0,$OS112&gt;INDEX($O$2:$O$8,MAX(1,$MQ112))),$OS112&amp;" Melhorias: a Classe "&amp;$MQ112&amp;" aceita "&amp;INDEX($O$2:$O$8,MAX(1,$MQ112)),""),IF(AND($MQ112=0,$OS112&gt;1),"A básica aceita uma Melhoria",""),IF(AND($MQ112=0,COUNTIF($NM112:$NP112,"&gt;1")&gt;0),"A básica só aceita Melhoria Leve",""),IF(AND($MQ112&gt;0,$OT112&gt;2),$OT112&amp;" Restrições"&amp;IF($OD112=1,", contando a que a Forma "&amp;$MS112&amp;" já traz","")&amp;": o limite é 2",""),IF(AND($MQ112=0,COUNTIF($MZ112:$NA112,"?*")&gt;1),"A básica aceita uma Restrição Leve",""),IF(AND($MQ112=0,COUNTIF($OG112:$OH112,2)&gt;0),"A básica só aceita Restrição Leve",""),IF(AND($MQ112&gt;0,$PA112&lt;0),"Orçamento estourado: faltam "&amp;(-$PA112)&amp;IF($PA112&lt;-1," pontos"," ponto"),""),IF(IFERROR(VLOOKUP($MZ112,$BC$2:$BG$24,4,FALSE),0)+IFERROR(VLOOKUP($NA112,$BC$2:$BG$24,4,FALSE),0)&gt;1,$OI112&amp;" e "&amp;$OJ112&amp;" são as duas de frequência",""),IF(AND((COUNTIF($MV112:$MY112,"Rápido")+COUNTIF($OI112:$OJ112,"Rápido"))&gt;0,(COUNTIF($MV112:$MY112,"Atrasar")+COUNTIF($OI112:$OJ112,"Atrasar"))&gt;0),"Rápido não entra com Atrasar",""),IF(AND((COUNTIF($MV112:$MY112,"Reação")+COUNTIF($OI112:$OJ112,"Reação"))&gt;0,(COUNTIF($MV112:$MY112,"Rápido")+COUNTIF($OI112:$OJ112,"Rápido"))&gt;0),"Reação não entra com Rápido",""),IF(AND((COUNTIF($MV112:$MY112,"Reação")+COUNTIF($OI112:$OJ112,"Reação"))&gt;0,(COUNTIF($MV112:$MY112,"Armado")+COUNTIF($OI112:$OJ112,"Armado"))&gt;0),"Reação não entra com Armado",""),IF(AND((COUNTIF($MV112:$MY112,"Reação")+COUNTIF($OI112:$OJ112,"Reação"))&gt;0,(COUNTIF($MV112:$MY112,"Atrasar")+COUNTIF($OI112:$OJ112,"Atrasar"))&gt;0),"Reação não entra com Atrasar",""),IF(AND((COUNTIF($MV112:$MY112,"Reação")+COUNTIF($OI112:$OJ112,"Reação"))&gt;0,(COUNTIF($MV112:$MY112,"Parado")+COUNTIF($OI112:$OJ112,"Parado"))&gt;0),"Reação não entra com Parado",""),IF(AND((COUNTIF($MV112:$MY112,"Atrasar")+COUNTIF($OI112:$OJ112,"Atrasar"))&gt;0,(COUNTIF($MV112:$MY112,"Parado")+COUNTIF($OI112:$OJ112,"Parado"))&gt;0),"Atrasar não entra com Parado",""),IF(AND((COUNTIF($MV112:$MY112,"Armado")+COUNTIF($OI112:$OJ112,"Armado"))&gt;0,(COUNTIF($MV112:$MY112,"Carregar")+COUNTIF($OI112:$OJ112,"Carregar"))&gt;0),"Armado não entra com Carregar",""),IF(AND(COUNTIF($OI112:$OJ112,"Corpo a Corpo")&gt;0,$OD112=0,OR($MS112="Cone",$MS112="Linha")),"Corpo a Corpo não entra em "&amp;$MS112,""),IF(AND(COUNTIF($OI112:$OJ112,"Corpo a Corpo")&gt;0,$OD112=1),"A Forma "&amp;$MS112&amp;" já traz o Corpo a Corpo",""),IF(AND(COUNTIF($OI112:$OJ112,"Tudo ou Nada")&gt;0,$OF112=0),"Tudo ou Nada só entra em habilidade de Teste de Resistência",""),IF(AND(COUNTIF($MV112:$MY112,"Inescapável")&gt;0,OR($OS112&gt;1,$OT112&gt;0)),"Inescapável não aceita outra peça",""),IF(AND($MQ112&gt;0,$PB112*IF(COUNTIF($MV112:$MY112,"Remate")&gt;0,1.25,1)+$PC112&gt;4*$MQ112),($PB112*IF(COUNTIF($MV112:$MY112,"Remate")&gt;0,1.25,1)+$PC112)&amp;" dados somando repetições"&amp;IF(COUNTIF($MV112:$MY112,"Remate")&gt;0," e o Remate","")&amp;": o teto da Classe "&amp;$MQ112&amp;" é "&amp;4*$MQ112,"")))</f>
        <v/>
      </c>
      <c r="PS112" s="155">
        <f>IF($PR112="",0,(LEN($PR112)-LEN(SUBSTITUTE($PR112," · ","")))/3+1)</f>
        <v/>
      </c>
      <c r="PT112" s="155">
        <f>IF($NB112=0,"",TEXTJOIN(" · ",TRUE,IF($OV112&gt;2*$MQ112,"A devolução parou no teto de "&amp;2*$MQ112,""),IF($OY112&gt;0,"Devolução perdida: "&amp;$OY112&amp;IF($OY112&gt;1," pontos"," ponto")&amp;" sem peça para pagar",""),IF(AND($OA112&gt;0,AND($MQ112&gt;0,$OE112=0),$PB112=0),"Controle sem dano: uma rodada a mais e CD +2",""),IF(AND($OA112&gt;0,AND($MQ112&gt;0,$OE112=0),$PB112&gt;0,$PB112&lt;=$MQ112),"Controle com saldo até a Classe: uma rodada a mais",""),IF(AND($MQ112&gt;0,$OC112&lt;&gt;""),"Efeito de "&amp;$OC112&amp;" pela Classe "&amp;MAX(1,$MQ112-1),"")))</f>
        <v/>
      </c>
      <c r="PU112" s="155">
        <f>IF($PT112="",0,(LEN($PT112)-LEN(SUBSTITUTE($PT112," · ","")))/3+1)</f>
        <v/>
      </c>
      <c r="PV112" s="155">
        <f>IF($NB112=0,IF($OS112+COUNTIF($MZ112:$NA112,"?*")&gt;0,"Dê um nome",""),IF($PS112&gt;0,"⚠ "&amp;$PS112&amp;IF($PS112&gt;1," erros"," erro"),IF($PU112&gt;0,"! "&amp;$PU112&amp;IF($PU112&gt;1," avisos"," aviso"),"Na regra")))</f>
        <v/>
      </c>
      <c r="PW112" s="155">
        <f>IF($NB112=0,"",IF($PS112+$PU112=0,"Dentro das regras que a ficha confere",$PR112&amp;IF(AND($PS112&gt;0,$PU112&gt;0)," · ","")&amp;$PT112))</f>
        <v/>
      </c>
      <c r="PX112" s="155">
        <f>IF($MO112&gt;$NC112,$MP112&amp;" · ABRE NO NÍVEL "&amp;$MO112,$MP112)</f>
        <v/>
      </c>
      <c r="PY112" s="155">
        <f>IF($NB112=0,"",IF($MQ112=0,"Sem PE",3*$MQ112&amp;" PE"))</f>
        <v/>
      </c>
      <c r="PZ112" s="155">
        <f>IF($NB112=0,"",IF($MQ112=0,"A atuação básica dela",IF(COUNTIF($OI112:$OJ112,"Atrasar")&gt;0,"Sua Ação Completa",IF(COUNTIF($MV112:$MY112,"Rápido")&gt;0,"Sua Bônus",IF(COUNTIF($MV112:$MY112,"Reação")&gt;0,"Sua Reação","Sua Padrão")))&amp;" + a básica dela"&amp;IF(COUNTIF($MV112:$MY112,"Reação")&gt;0," e a coletiva","")&amp;IF(COUNTIF($OI112:$OJ112,"Carregar")&gt;0," · em dois turnos","")))</f>
        <v/>
      </c>
      <c r="QA112" s="155">
        <f>IF($MU112&lt;&gt;"",$MU112,IF($NH112=0,"",INDEX($AA$2:$AA$11,$NH112)))</f>
        <v/>
      </c>
      <c r="QB112" s="155">
        <f>IF(OR($NB112=0,$NH112=0),"",IF(COUNTIF($MV112:$MY112,"Inescapável")&gt;0,"Automático",IF($QA112="Ataque",IF($NF112="","Ataque","Ataque "&amp;IF(($NF112+2*IF(COUNTIF($MV112:$MY112,"Precisão")&gt;0,1,0))&gt;=0,"+","−")&amp;ABS(($NF112+2*IF(COUNTIF($MV112:$MY112,"Precisão")&gt;0,1,0))))&amp;IF($OB112&gt;0," · TR"&amp;IF($NG112="",""," CD "&amp;$NG112),""),IF(LEFT($QA112,2)="TR",$QA112&amp;IF($NG112="",""," · CD "&amp;$NG112)&amp;IF(COUNTIF($MV112:$MY112,"Certeiro")&gt;0," · metade",""),"Sem rolagem"))))</f>
        <v/>
      </c>
      <c r="QC112" s="155">
        <f>IF(OR($NB112=0,$NH112=0),"",IF($MQ112=0,IF(OR($OE112&gt;=1,$PB112=0),"Sem dano",$PB112&amp;"d6"&amp;IF($MT112="",""," "&amp;$MT112)),IF(OR($OE112&gt;=1,$PB112=0),UPPER(LEFT(INDEX($PK112:$PQ112,1,MAX(1,$MQ112)),1))&amp;MID(INDEX($PK112:$PQ112,1,MAX(1,$MQ112)),2,99),UPPER(LEFT(INDEX($PK112:$PQ112,1,MAX(1,$MQ112)),1))&amp;MID(INDEX($PK112:$PQ112,1,MAX(1,$MQ112)),2,99)&amp;IF($MT112="",""," "&amp;$MT112)&amp;IF($PC112&gt;0," · +"&amp;$PC112&amp;"d8",""))))</f>
        <v/>
      </c>
      <c r="QD112" s="155">
        <f>COUNTIF($MV112:$MY112,"Longe")+3*COUNTIF($MV112:$MY112,"Muito Longe")</f>
        <v/>
      </c>
      <c r="QE112" s="155">
        <f>COUNTIF($MV112:$MY112,"Maior")+3*COUNTIF($MV112:$MY112,"Muito Maior")</f>
        <v/>
      </c>
      <c r="QF112" s="155">
        <f>IF($NH112=0,0,CHOOSE(1+INDEX($AC$2:$AC$11,$NH112),0,$QD112,$QE112,$QD112+$QE112))</f>
        <v/>
      </c>
      <c r="QG112" s="155">
        <f>IF($NH112=0,0,CHOOSE(1+INDEX($AD$2:$AD$11,$NH112),0,$QD112,$QE112,$QD112+$QE112))</f>
        <v/>
      </c>
      <c r="QH112" s="155">
        <f>IF(OR($NB112=0,$NH112=0),"",INDEX($AI$2:$AN$41,($NH112-1)*4+IF($MQ112=0,1,IF($MQ112&lt;=5,2,IF($MQ112=6,3,4))),1+MIN(5,$QF112))&amp;INDEX($AO$2:$AT$41,($NH112-1)*4+IF($MQ112=0,1,IF($MQ112&lt;=5,2,IF($MQ112=6,3,4))),1+MIN(5,$QG112))&amp;IF(INDEX($AE$2:$AE$11,$NH112)=1,IF(COUNTIF($MV112:$MY112,"Mais Um")&gt;0," · +"&amp;COUNTIF($MV112:$MY112,"Mais Um")&amp;IF(COUNTIF($MV112:$MY112,"Mais Um")&gt;1," alvos"," alvo"),"")&amp;IF(COUNTIF($MV112:$MY112,"Rajada")&gt;0,IF($MQ112=0," · 1 tiro"," · "&amp;(MAX(1,$MQ112-1)+1)&amp;" tiros"),""),""))</f>
        <v/>
      </c>
      <c r="QI112" s="155">
        <f>IF($NB112=0,"",IF($MQ112=0,$NE112&amp;"d6"&amp;IF($OS112&gt;0," − 1 = "&amp;$PB112&amp;"d6"," da básica do nível "&amp;$NC112),$OZ112&amp;" − "&amp;$OU112&amp;" + "&amp;$OX112&amp;" = "&amp;$PA112&amp;" · teto "&amp;4*$MQ112&amp;"d8"&amp;IF($OD112=1," · a Forma devolve "&amp;$MQ112,"")&amp;IF($OY112&gt;0," · perde "&amp;$OY112,"")))</f>
        <v/>
      </c>
      <c r="QJ112" s="155">
        <f>IF($NB112=0,"",IF($MQ112=0,"A básica não amplia: os dados dela sobem com o nível",IF($MQ112&gt;=$ND112,"Já está na maior Classe que o nível liberou",TEXTJOIN(" · ",TRUE,IF(AND(2&gt;$MQ112,2&lt;=$ND112),"2 → "&amp;$PL112&amp;", 6 PE",""),IF(AND(3&gt;$MQ112,3&lt;=$ND112),"3 → "&amp;$PM112&amp;", 9 PE",""),IF(AND(4&gt;$MQ112,4&lt;=$ND112),"4 → "&amp;$PN112&amp;", 12 PE",""),IF(AND(5&gt;$MQ112,5&lt;=$ND112),"5 → "&amp;$PO112&amp;", 15 PE",""),IF(AND(6&gt;$MQ112,6&lt;=$ND112),"6 → "&amp;$PP112&amp;", 18 PE",""),IF(AND(7&gt;$MQ112,7&lt;=$ND112),"7 → "&amp;$PQ112&amp;", 21 PE","")))))</f>
        <v/>
      </c>
      <c r="QK112" s="155">
        <f>IF(OR($NB112=0,$NM112=0),"",IF($MQ112=0,"−1 dado","−"&amp;INDEX($I$2:$N$8,MAX(1,$MQ112),MAX(1,$NR112))&amp;" · "&amp;CHOOSE(MAX(1,$NR112),"Leve","Média","Pesada","Leve · Livre","Média · Livre","Pesada · Livre")))</f>
        <v/>
      </c>
      <c r="QL112" s="155">
        <f>IF(OR($NB112=0,$NN112=0),"",IF($MQ112=0,"−1 dado","−"&amp;INDEX($I$2:$N$8,MAX(1,$MQ112),MAX(1,$NS112))&amp;" · "&amp;CHOOSE(MAX(1,$NS112),"Leve","Média","Pesada","Leve · Livre","Média · Livre","Pesada · Livre")))</f>
        <v/>
      </c>
      <c r="QM112" s="155">
        <f>IF(OR($NB112=0,$NO112=0),"",IF($MQ112=0,"−1 dado","−"&amp;INDEX($I$2:$N$8,MAX(1,$MQ112),MAX(1,$NT112))&amp;" · "&amp;CHOOSE(MAX(1,$NT112),"Leve","Média","Pesada","Leve · Livre","Média · Livre","Pesada · Livre")))</f>
        <v/>
      </c>
      <c r="QN112" s="155">
        <f>IF(OR($NB112=0,$NP112=0),"",IF($MQ112=0,"−1 dado","−"&amp;INDEX($I$2:$N$8,MAX(1,$MQ112),MAX(1,$NU112))&amp;" · "&amp;CHOOSE(MAX(1,$NU112),"Leve","Média","Pesada","Leve · Livre","Média · Livre","Pesada · Livre")))</f>
        <v/>
      </c>
      <c r="QO112" s="155">
        <f>IF(OR($NB112=0,$MZ112=""),"",IF($MQ112=0,"não devolve","+"&amp;IF($OG112=1,CEILING($MQ112/2,1),$MQ112)))</f>
        <v/>
      </c>
      <c r="QP112" s="155">
        <f>IF(OR($NB112=0,$NA112=""),"",IF($MQ112=0,"não devolve","+"&amp;IF($OH112=1,CEILING($MQ112/2,1),$MQ112)))</f>
        <v/>
      </c>
    </row>
    <row r="113">
      <c r="ML113" s="153" t="inlineStr">
        <is>
          <t>Ficha 9 · Especial 6</t>
        </is>
      </c>
      <c r="MM113" s="155" t="n">
        <v>9</v>
      </c>
      <c r="MN113" s="155" t="n">
        <v>1</v>
      </c>
      <c r="MO113" s="155" t="n">
        <v>20</v>
      </c>
      <c r="MP113" s="153" t="inlineStr">
        <is>
          <t>ESPECIAL 6</t>
        </is>
      </c>
      <c r="MQ113" s="155">
        <f>MAX(1,MIN(7,N('INVOCAÇÕES'!$AH$510)))</f>
        <v/>
      </c>
      <c r="MR113" s="155">
        <f>'INVOCAÇÕES'!$AI$510&amp;""</f>
        <v/>
      </c>
      <c r="MS113" s="155">
        <f>'INVOCAÇÕES'!$AH$515&amp;""</f>
        <v/>
      </c>
      <c r="MT113" s="155">
        <f>'INVOCAÇÕES'!$AH$516&amp;""</f>
        <v/>
      </c>
      <c r="MU113" s="155">
        <f>'INVOCAÇÕES'!$AJ$516&amp;""</f>
        <v/>
      </c>
      <c r="MV113" s="155">
        <f>'INVOCAÇÕES'!$AI$519&amp;""</f>
        <v/>
      </c>
      <c r="MW113" s="155">
        <f>'INVOCAÇÕES'!$AI$520&amp;""</f>
        <v/>
      </c>
      <c r="MX113" s="155">
        <f>'INVOCAÇÕES'!$AI$521&amp;""</f>
        <v/>
      </c>
      <c r="MY113" s="155">
        <f>'INVOCAÇÕES'!$AI$522&amp;""</f>
        <v/>
      </c>
      <c r="MZ113" s="155">
        <f>'INVOCAÇÕES'!$AI$523&amp;""</f>
        <v/>
      </c>
      <c r="NA113" s="155">
        <f>'INVOCAÇÕES'!$AI$524&amp;""</f>
        <v/>
      </c>
      <c r="NB113" s="155">
        <f>IF($MR113&lt;&gt;"",1,0)</f>
        <v/>
      </c>
      <c r="NC113" s="155">
        <f>INDEX($FM$2:$FM$13,$MM113)</f>
        <v/>
      </c>
      <c r="ND113" s="155">
        <f>INDEX($FN$2:$FN$13,$MM113)</f>
        <v/>
      </c>
      <c r="NE113" s="155">
        <f>INDEX($FO$2:$FO$13,$MM113)</f>
        <v/>
      </c>
      <c r="NF113" s="155">
        <f>INDEX($FZ$2:$FZ$13,$MM113)</f>
        <v/>
      </c>
      <c r="NG113" s="155">
        <f>INDEX($GA$2:$GA$13,$MM113)</f>
        <v/>
      </c>
      <c r="NH113" s="155">
        <f>IFERROR(MATCH($MS113,$V$2:$V$11,0),0)</f>
        <v/>
      </c>
      <c r="NI113" s="155">
        <f>IFERROR(VLOOKUP($MV113,$AV$2:$BA$84,2,FALSE),"")</f>
        <v/>
      </c>
      <c r="NJ113" s="155">
        <f>IFERROR(VLOOKUP($MW113,$AV$2:$BA$84,2,FALSE),"")</f>
        <v/>
      </c>
      <c r="NK113" s="155">
        <f>IFERROR(VLOOKUP($MX113,$AV$2:$BA$84,2,FALSE),"")</f>
        <v/>
      </c>
      <c r="NL113" s="155">
        <f>IFERROR(VLOOKUP($MY113,$AV$2:$BA$84,2,FALSE),"")</f>
        <v/>
      </c>
      <c r="NM113" s="155">
        <f>IFERROR(VLOOKUP($MV113,$AV$2:$BA$84,3,FALSE),0)</f>
        <v/>
      </c>
      <c r="NN113" s="155">
        <f>IFERROR(VLOOKUP($MW113,$AV$2:$BA$84,3,FALSE),0)</f>
        <v/>
      </c>
      <c r="NO113" s="155">
        <f>IFERROR(VLOOKUP($MX113,$AV$2:$BA$84,3,FALSE),0)</f>
        <v/>
      </c>
      <c r="NP113" s="155">
        <f>IFERROR(VLOOKUP($MY113,$AV$2:$BA$84,3,FALSE),0)</f>
        <v/>
      </c>
      <c r="NQ113" s="155">
        <f>IF($MQ113=0,0,IF($NH113=0,0,INDEX($X$2:$X$11,$NH113)))</f>
        <v/>
      </c>
      <c r="NR113" s="155">
        <f>IF(OR($NM113=0,$MQ113=0),0,$NM113+3*IF(AND($NI113&lt;&gt;"",OR($NI113=INDEX($EJ$2:$EJ$13,$MM113),$NI113=INDEX($EK$2:$EK$13,$MM113))),1,0))</f>
        <v/>
      </c>
      <c r="NS113" s="155">
        <f>IF(OR($NN113=0,$MQ113=0),0,$NN113+3*IF(AND($NJ113&lt;&gt;"",OR($NJ113=INDEX($EJ$2:$EJ$13,$MM113),$NJ113=INDEX($EK$2:$EK$13,$MM113))),1,0))</f>
        <v/>
      </c>
      <c r="NT113" s="155">
        <f>IF(OR($NO113=0,$MQ113=0),0,$NO113+3*IF(AND($NK113&lt;&gt;"",OR($NK113=INDEX($EJ$2:$EJ$13,$MM113),$NK113=INDEX($EK$2:$EK$13,$MM113))),1,0))</f>
        <v/>
      </c>
      <c r="NU113" s="155">
        <f>IF(OR($NP113=0,$MQ113=0),0,$NP113+3*IF(AND($NL113&lt;&gt;"",OR($NL113=INDEX($EJ$2:$EJ$13,$MM113),$NL113=INDEX($EK$2:$EK$13,$MM113))),1,0))</f>
        <v/>
      </c>
      <c r="NV113" s="155">
        <f>IF($NH113=0,0,IF(INDEX($W$2:$W$11,$NH113)="",0,IF(COUNTIF(INDEX($EJ$2:$EN$13,$MM113,0),INDEX($W$2:$W$11,$NH113))=0,1,0)))</f>
        <v/>
      </c>
      <c r="NW113" s="155">
        <f>IF(OR($NM113=0,$NI113=""),0,IF(COUNTIF(INDEX($EJ$2:$EN$13,$MM113,0),$NI113)=0,1,0))</f>
        <v/>
      </c>
      <c r="NX113" s="155">
        <f>IF(OR($NN113=0,$NJ113=""),0,IF(COUNTIF(INDEX($EJ$2:$EN$13,$MM113,0),$NJ113)=0,1,0))</f>
        <v/>
      </c>
      <c r="NY113" s="155">
        <f>IF(OR($NO113=0,$NK113=""),0,IF(COUNTIF(INDEX($EJ$2:$EN$13,$MM113,0),$NK113)=0,1,0))</f>
        <v/>
      </c>
      <c r="NZ113" s="155">
        <f>IF(OR($NP113=0,$NL113=""),0,IF(COUNTIF(INDEX($EJ$2:$EN$13,$MM113,0),$NL113)=0,1,0))</f>
        <v/>
      </c>
      <c r="OA113" s="155">
        <f>IFERROR(VLOOKUP($MV113,$AV$2:$BA$84,4,FALSE),0)+IFERROR(VLOOKUP($MW113,$AV$2:$BA$84,4,FALSE),0)+IFERROR(VLOOKUP($MX113,$AV$2:$BA$84,4,FALSE),0)+IFERROR(VLOOKUP($MY113,$AV$2:$BA$84,4,FALSE),0)</f>
        <v/>
      </c>
      <c r="OB113" s="155">
        <f>IFERROR(VLOOKUP($MV113,$AV$2:$BA$84,6,FALSE),0)+IFERROR(VLOOKUP($MW113,$AV$2:$BA$84,6,FALSE),0)+IFERROR(VLOOKUP($MX113,$AV$2:$BA$84,6,FALSE),0)+IFERROR(VLOOKUP($MY113,$AV$2:$BA$84,6,FALSE),0)</f>
        <v/>
      </c>
      <c r="OC113" s="155">
        <f>TEXTJOIN(", ",TRUE,IF(IFERROR(VLOOKUP($MV113,$AV$2:$BA$84,5,FALSE),0)=1,$MV113,""),IF(IFERROR(VLOOKUP($MW113,$AV$2:$BA$84,5,FALSE),0)=1,$MW113,""),IF(IFERROR(VLOOKUP($MX113,$AV$2:$BA$84,5,FALSE),0)=1,$MX113,""),IF(IFERROR(VLOOKUP($MY113,$AV$2:$BA$84,5,FALSE),0)=1,$MY113,""))</f>
        <v/>
      </c>
      <c r="OD113" s="155">
        <f>IF($NH113=0,0,INDEX($Y$2:$Y$11,$NH113))</f>
        <v/>
      </c>
      <c r="OE113" s="155">
        <f>IF($NH113=0,0,INDEX($Z$2:$Z$11,$NH113))</f>
        <v/>
      </c>
      <c r="OF113" s="155">
        <f>IF($NH113=0,0,INDEX($AB$2:$AB$11,$NH113))</f>
        <v/>
      </c>
      <c r="OG113" s="155">
        <f>IFERROR(VLOOKUP($MZ113,$BC$2:$BG$24,3,FALSE),0)</f>
        <v/>
      </c>
      <c r="OH113" s="155">
        <f>IFERROR(VLOOKUP($NA113,$BC$2:$BG$24,3,FALSE),0)</f>
        <v/>
      </c>
      <c r="OI113" s="155">
        <f>IFERROR(VLOOKUP($MZ113,$BC$2:$BG$24,2,FALSE),"")</f>
        <v/>
      </c>
      <c r="OJ113" s="155">
        <f>IFERROR(VLOOKUP($NA113,$BC$2:$BG$24,2,FALSE),"")</f>
        <v/>
      </c>
      <c r="OK113" s="155">
        <f>COUNTIF($NQ113:$NU113,1)</f>
        <v/>
      </c>
      <c r="OL113" s="155">
        <f>COUNTIF($NQ113:$NU113,2)</f>
        <v/>
      </c>
      <c r="OM113" s="155">
        <f>COUNTIF($NQ113:$NU113,3)</f>
        <v/>
      </c>
      <c r="ON113" s="155">
        <f>COUNTIF($NQ113:$NU113,4)</f>
        <v/>
      </c>
      <c r="OO113" s="155">
        <f>COUNTIF($NQ113:$NU113,5)</f>
        <v/>
      </c>
      <c r="OP113" s="155">
        <f>COUNTIF($NQ113:$NU113,6)</f>
        <v/>
      </c>
      <c r="OQ113" s="155">
        <f>COUNTIF($OG113:$OH113,1)</f>
        <v/>
      </c>
      <c r="OR113" s="155">
        <f>COUNTIF($OG113:$OH113,2)+$OD113</f>
        <v/>
      </c>
      <c r="OS113" s="155">
        <f>COUNTIF($MV113:$MY113,"?*")</f>
        <v/>
      </c>
      <c r="OT113" s="155">
        <f>COUNTIF($MZ113:$NA113,"?*")+$OD113</f>
        <v/>
      </c>
      <c r="OU113" s="155">
        <f>IF($MQ113=0,0,SUMPRODUCT($OK113:$OP113,INDEX($I$2:$N$8,MAX(1,$MQ113),0)))</f>
        <v/>
      </c>
      <c r="OV113" s="155">
        <f>IF($MQ113=0,0,$OQ113*CEILING($MQ113/2,1)+$OR113*$MQ113)</f>
        <v/>
      </c>
      <c r="OW113" s="155">
        <f>MIN(2*$MQ113,$OV113)</f>
        <v/>
      </c>
      <c r="OX113" s="155">
        <f>MIN($OW113,$OU113)</f>
        <v/>
      </c>
      <c r="OY113" s="155">
        <f>$OW113-$OX113</f>
        <v/>
      </c>
      <c r="OZ113" s="155">
        <f>IF($MQ113=0,0,INDEX($P$2:$P$8,MAX(1,$MQ113)))</f>
        <v/>
      </c>
      <c r="PA113" s="155">
        <f>$OZ113-$OU113+$OX113</f>
        <v/>
      </c>
      <c r="PB113" s="155">
        <f>IF($MQ113=0,MAX(0,$NE113-IF($OS113&gt;0,1,0)),MAX(0,$PA113))</f>
        <v/>
      </c>
      <c r="PC113" s="155">
        <f>IF($MQ113=0,0,(IF(COUNTIF($MV113:$MY113,"Salto")&gt;0,1,0)+IF(COUNTIF($MV113:$MY113,"Queima")&gt;0,1,0)+IF(COUNTIF($MV113:$MY113,"Estilhaço")&gt;0,1,0))*FLOOR($PB113/2,1))</f>
        <v/>
      </c>
      <c r="PD113" s="155">
        <f>MAX(0,2-SUMPRODUCT($OK113:$OP113,$I$2:$N$2)+MIN(2,$OQ113*1+$OR113*1,SUMPRODUCT($OK113:$OP113,$I$2:$N$2)))</f>
        <v/>
      </c>
      <c r="PE113" s="155">
        <f>MAX(0,4-SUMPRODUCT($OK113:$OP113,$I$3:$N$3)+MIN(4,$OQ113*1+$OR113*2,SUMPRODUCT($OK113:$OP113,$I$3:$N$3)))</f>
        <v/>
      </c>
      <c r="PF113" s="155">
        <f>MAX(0,6-SUMPRODUCT($OK113:$OP113,$I$4:$N$4)+MIN(6,$OQ113*2+$OR113*3,SUMPRODUCT($OK113:$OP113,$I$4:$N$4)))</f>
        <v/>
      </c>
      <c r="PG113" s="155">
        <f>MAX(0,9-SUMPRODUCT($OK113:$OP113,$I$5:$N$5)+MIN(8,$OQ113*2+$OR113*4,SUMPRODUCT($OK113:$OP113,$I$5:$N$5)))</f>
        <v/>
      </c>
      <c r="PH113" s="155">
        <f>MAX(0,11-SUMPRODUCT($OK113:$OP113,$I$6:$N$6)+MIN(10,$OQ113*3+$OR113*5,SUMPRODUCT($OK113:$OP113,$I$6:$N$6)))</f>
        <v/>
      </c>
      <c r="PI113" s="155">
        <f>MAX(0,13-SUMPRODUCT($OK113:$OP113,$I$7:$N$7)+MIN(12,$OQ113*3+$OR113*6,SUMPRODUCT($OK113:$OP113,$I$7:$N$7)))</f>
        <v/>
      </c>
      <c r="PJ113" s="155">
        <f>MAX(0,16-SUMPRODUCT($OK113:$OP113,$I$8:$N$8)+MIN(14,$OQ113*4+$OR113*7,SUMPRODUCT($OK113:$OP113,$I$8:$N$8)))</f>
        <v/>
      </c>
      <c r="PK113" s="155">
        <f>IF($OE113=2,3*$PD113&amp;" de vida temp.",IF($OE113=3,"sem dano",IF($PD113=0,IF($OE113=1,"sem cura","sem dano"),IF($OE113=1,"cura ","")&amp;$PD113&amp;"d8")))</f>
        <v/>
      </c>
      <c r="PL113" s="155">
        <f>IF($OE113=2,3*$PE113&amp;" de vida temp.",IF($OE113=3,"sem dano",IF($PE113=0,IF($OE113=1,"sem cura","sem dano"),IF($OE113=1,"cura ","")&amp;$PE113&amp;"d8")))</f>
        <v/>
      </c>
      <c r="PM113" s="155">
        <f>IF($OE113=2,3*$PF113&amp;" de vida temp.",IF($OE113=3,"sem dano",IF($PF113=0,IF($OE113=1,"sem cura","sem dano"),IF($OE113=1,"cura ","")&amp;$PF113&amp;"d8")))</f>
        <v/>
      </c>
      <c r="PN113" s="155">
        <f>IF($OE113=2,3*$PG113&amp;" de vida temp.",IF($OE113=3,"sem dano",IF($PG113=0,IF($OE113=1,"sem cura","sem dano"),IF($OE113=1,"cura ","")&amp;$PG113&amp;"d8")))</f>
        <v/>
      </c>
      <c r="PO113" s="155">
        <f>IF($OE113=2,3*$PH113&amp;" de vida temp.",IF($OE113=3,"sem dano",IF($PH113=0,IF($OE113=1,"sem cura","sem dano"),IF($OE113=1,"cura ","")&amp;$PH113&amp;"d8")))</f>
        <v/>
      </c>
      <c r="PP113" s="155">
        <f>IF($OE113=2,3*$PI113&amp;" de vida temp.",IF($OE113=3,"sem dano",IF($PI113=0,IF($OE113=1,"sem cura","sem dano"),IF($OE113=1,"cura ","")&amp;$PI113&amp;"d8")))</f>
        <v/>
      </c>
      <c r="PQ113" s="155">
        <f>IF($OE113=2,3*$PJ113&amp;" de vida temp.",IF($OE113=3,"sem dano",IF($PJ113=0,IF($OE113=1,"sem cura","sem dano"),IF($OE113=1,"cura ","")&amp;$PJ113&amp;"d8")))</f>
        <v/>
      </c>
      <c r="PR113" s="155">
        <f>IF($NB113=0,"",TEXTJOIN(" · ",TRUE,IF($MO113&gt;$NC113,"Este lugar abre no nível "&amp;$MO113,""),IF($MQ113&gt;$ND113,"Classe "&amp;$MQ113&amp;": o nível "&amp;$NC113&amp;" libera até a "&amp;$ND113,""),IF($NV113=1,"A Forma "&amp;$MS113&amp;" pede "&amp;INDEX($W$2:$W$11,$NH113)&amp;" aberta",""),IF(AND($MQ113=0,$NH113&gt;0,IF($NH113=0,0,INDEX($AF$2:$AF$11,$NH113))=0),$MS113&amp;" não existe na Classe 0",""),IF($NW113=1,"Família Fechada: "&amp;$MV113,""),IF($NX113=1,"Família Fechada: "&amp;$MW113,""),IF($NY113=1,"Família Fechada: "&amp;$MX113,""),IF($NZ113=1,"Família Fechada: "&amp;$MY113,""),IF(AND($MQ113&gt;0,$OS113&gt;INDEX($O$2:$O$8,MAX(1,$MQ113))),$OS113&amp;" Melhorias: a Classe "&amp;$MQ113&amp;" aceita "&amp;INDEX($O$2:$O$8,MAX(1,$MQ113)),""),IF(AND($MQ113=0,$OS113&gt;1),"A básica aceita uma Melhoria",""),IF(AND($MQ113=0,COUNTIF($NM113:$NP113,"&gt;1")&gt;0),"A básica só aceita Melhoria Leve",""),IF(AND($MQ113&gt;0,$OT113&gt;2),$OT113&amp;" Restrições"&amp;IF($OD113=1,", contando a que a Forma "&amp;$MS113&amp;" já traz","")&amp;": o limite é 2",""),IF(AND($MQ113=0,COUNTIF($MZ113:$NA113,"?*")&gt;1),"A básica aceita uma Restrição Leve",""),IF(AND($MQ113=0,COUNTIF($OG113:$OH113,2)&gt;0),"A básica só aceita Restrição Leve",""),IF(AND($MQ113&gt;0,$PA113&lt;0),"Orçamento estourado: faltam "&amp;(-$PA113)&amp;IF($PA113&lt;-1," pontos"," ponto"),""),IF(IFERROR(VLOOKUP($MZ113,$BC$2:$BG$24,4,FALSE),0)+IFERROR(VLOOKUP($NA113,$BC$2:$BG$24,4,FALSE),0)&gt;1,$OI113&amp;" e "&amp;$OJ113&amp;" são as duas de frequência",""),IF(AND((COUNTIF($MV113:$MY113,"Rápido")+COUNTIF($OI113:$OJ113,"Rápido"))&gt;0,(COUNTIF($MV113:$MY113,"Atrasar")+COUNTIF($OI113:$OJ113,"Atrasar"))&gt;0),"Rápido não entra com Atrasar",""),IF(AND((COUNTIF($MV113:$MY113,"Reação")+COUNTIF($OI113:$OJ113,"Reação"))&gt;0,(COUNTIF($MV113:$MY113,"Rápido")+COUNTIF($OI113:$OJ113,"Rápido"))&gt;0),"Reação não entra com Rápido",""),IF(AND((COUNTIF($MV113:$MY113,"Reação")+COUNTIF($OI113:$OJ113,"Reação"))&gt;0,(COUNTIF($MV113:$MY113,"Armado")+COUNTIF($OI113:$OJ113,"Armado"))&gt;0),"Reação não entra com Armado",""),IF(AND((COUNTIF($MV113:$MY113,"Reação")+COUNTIF($OI113:$OJ113,"Reação"))&gt;0,(COUNTIF($MV113:$MY113,"Atrasar")+COUNTIF($OI113:$OJ113,"Atrasar"))&gt;0),"Reação não entra com Atrasar",""),IF(AND((COUNTIF($MV113:$MY113,"Reação")+COUNTIF($OI113:$OJ113,"Reação"))&gt;0,(COUNTIF($MV113:$MY113,"Parado")+COUNTIF($OI113:$OJ113,"Parado"))&gt;0),"Reação não entra com Parado",""),IF(AND((COUNTIF($MV113:$MY113,"Atrasar")+COUNTIF($OI113:$OJ113,"Atrasar"))&gt;0,(COUNTIF($MV113:$MY113,"Parado")+COUNTIF($OI113:$OJ113,"Parado"))&gt;0),"Atrasar não entra com Parado",""),IF(AND((COUNTIF($MV113:$MY113,"Armado")+COUNTIF($OI113:$OJ113,"Armado"))&gt;0,(COUNTIF($MV113:$MY113,"Carregar")+COUNTIF($OI113:$OJ113,"Carregar"))&gt;0),"Armado não entra com Carregar",""),IF(AND(COUNTIF($OI113:$OJ113,"Corpo a Corpo")&gt;0,$OD113=0,OR($MS113="Cone",$MS113="Linha")),"Corpo a Corpo não entra em "&amp;$MS113,""),IF(AND(COUNTIF($OI113:$OJ113,"Corpo a Corpo")&gt;0,$OD113=1),"A Forma "&amp;$MS113&amp;" já traz o Corpo a Corpo",""),IF(AND(COUNTIF($OI113:$OJ113,"Tudo ou Nada")&gt;0,$OF113=0),"Tudo ou Nada só entra em habilidade de Teste de Resistência",""),IF(AND(COUNTIF($MV113:$MY113,"Inescapável")&gt;0,OR($OS113&gt;1,$OT113&gt;0)),"Inescapável não aceita outra peça",""),IF(AND($MQ113&gt;0,$PB113*IF(COUNTIF($MV113:$MY113,"Remate")&gt;0,1.25,1)+$PC113&gt;4*$MQ113),($PB113*IF(COUNTIF($MV113:$MY113,"Remate")&gt;0,1.25,1)+$PC113)&amp;" dados somando repetições"&amp;IF(COUNTIF($MV113:$MY113,"Remate")&gt;0," e o Remate","")&amp;": o teto da Classe "&amp;$MQ113&amp;" é "&amp;4*$MQ113,"")))</f>
        <v/>
      </c>
      <c r="PS113" s="155">
        <f>IF($PR113="",0,(LEN($PR113)-LEN(SUBSTITUTE($PR113," · ","")))/3+1)</f>
        <v/>
      </c>
      <c r="PT113" s="155">
        <f>IF($NB113=0,"",TEXTJOIN(" · ",TRUE,IF($OV113&gt;2*$MQ113,"A devolução parou no teto de "&amp;2*$MQ113,""),IF($OY113&gt;0,"Devolução perdida: "&amp;$OY113&amp;IF($OY113&gt;1," pontos"," ponto")&amp;" sem peça para pagar",""),IF(AND($OA113&gt;0,AND($MQ113&gt;0,$OE113=0),$PB113=0),"Controle sem dano: uma rodada a mais e CD +2",""),IF(AND($OA113&gt;0,AND($MQ113&gt;0,$OE113=0),$PB113&gt;0,$PB113&lt;=$MQ113),"Controle com saldo até a Classe: uma rodada a mais",""),IF(AND($MQ113&gt;0,$OC113&lt;&gt;""),"Efeito de "&amp;$OC113&amp;" pela Classe "&amp;MAX(1,$MQ113-1),"")))</f>
        <v/>
      </c>
      <c r="PU113" s="155">
        <f>IF($PT113="",0,(LEN($PT113)-LEN(SUBSTITUTE($PT113," · ","")))/3+1)</f>
        <v/>
      </c>
      <c r="PV113" s="155">
        <f>IF($NB113=0,IF($OS113+COUNTIF($MZ113:$NA113,"?*")&gt;0,"Dê um nome",""),IF($PS113&gt;0,"⚠ "&amp;$PS113&amp;IF($PS113&gt;1," erros"," erro"),IF($PU113&gt;0,"! "&amp;$PU113&amp;IF($PU113&gt;1," avisos"," aviso"),"Na regra")))</f>
        <v/>
      </c>
      <c r="PW113" s="155">
        <f>IF($NB113=0,"",IF($PS113+$PU113=0,"Dentro das regras que a ficha confere",$PR113&amp;IF(AND($PS113&gt;0,$PU113&gt;0)," · ","")&amp;$PT113))</f>
        <v/>
      </c>
      <c r="PX113" s="155">
        <f>IF($MO113&gt;$NC113,$MP113&amp;" · ABRE NO NÍVEL "&amp;$MO113,$MP113)</f>
        <v/>
      </c>
      <c r="PY113" s="155">
        <f>IF($NB113=0,"",IF($MQ113=0,"Sem PE",3*$MQ113&amp;" PE"))</f>
        <v/>
      </c>
      <c r="PZ113" s="155">
        <f>IF($NB113=0,"",IF($MQ113=0,"A atuação básica dela",IF(COUNTIF($OI113:$OJ113,"Atrasar")&gt;0,"Sua Ação Completa",IF(COUNTIF($MV113:$MY113,"Rápido")&gt;0,"Sua Bônus",IF(COUNTIF($MV113:$MY113,"Reação")&gt;0,"Sua Reação","Sua Padrão")))&amp;" + a básica dela"&amp;IF(COUNTIF($MV113:$MY113,"Reação")&gt;0," e a coletiva","")&amp;IF(COUNTIF($OI113:$OJ113,"Carregar")&gt;0," · em dois turnos","")))</f>
        <v/>
      </c>
      <c r="QA113" s="155">
        <f>IF($MU113&lt;&gt;"",$MU113,IF($NH113=0,"",INDEX($AA$2:$AA$11,$NH113)))</f>
        <v/>
      </c>
      <c r="QB113" s="155">
        <f>IF(OR($NB113=0,$NH113=0),"",IF(COUNTIF($MV113:$MY113,"Inescapável")&gt;0,"Automático",IF($QA113="Ataque",IF($NF113="","Ataque","Ataque "&amp;IF(($NF113+2*IF(COUNTIF($MV113:$MY113,"Precisão")&gt;0,1,0))&gt;=0,"+","−")&amp;ABS(($NF113+2*IF(COUNTIF($MV113:$MY113,"Precisão")&gt;0,1,0))))&amp;IF($OB113&gt;0," · TR"&amp;IF($NG113="",""," CD "&amp;$NG113),""),IF(LEFT($QA113,2)="TR",$QA113&amp;IF($NG113="",""," · CD "&amp;$NG113)&amp;IF(COUNTIF($MV113:$MY113,"Certeiro")&gt;0," · metade",""),"Sem rolagem"))))</f>
        <v/>
      </c>
      <c r="QC113" s="155">
        <f>IF(OR($NB113=0,$NH113=0),"",IF($MQ113=0,IF(OR($OE113&gt;=1,$PB113=0),"Sem dano",$PB113&amp;"d6"&amp;IF($MT113="",""," "&amp;$MT113)),IF(OR($OE113&gt;=1,$PB113=0),UPPER(LEFT(INDEX($PK113:$PQ113,1,MAX(1,$MQ113)),1))&amp;MID(INDEX($PK113:$PQ113,1,MAX(1,$MQ113)),2,99),UPPER(LEFT(INDEX($PK113:$PQ113,1,MAX(1,$MQ113)),1))&amp;MID(INDEX($PK113:$PQ113,1,MAX(1,$MQ113)),2,99)&amp;IF($MT113="",""," "&amp;$MT113)&amp;IF($PC113&gt;0," · +"&amp;$PC113&amp;"d8",""))))</f>
        <v/>
      </c>
      <c r="QD113" s="155">
        <f>COUNTIF($MV113:$MY113,"Longe")+3*COUNTIF($MV113:$MY113,"Muito Longe")</f>
        <v/>
      </c>
      <c r="QE113" s="155">
        <f>COUNTIF($MV113:$MY113,"Maior")+3*COUNTIF($MV113:$MY113,"Muito Maior")</f>
        <v/>
      </c>
      <c r="QF113" s="155">
        <f>IF($NH113=0,0,CHOOSE(1+INDEX($AC$2:$AC$11,$NH113),0,$QD113,$QE113,$QD113+$QE113))</f>
        <v/>
      </c>
      <c r="QG113" s="155">
        <f>IF($NH113=0,0,CHOOSE(1+INDEX($AD$2:$AD$11,$NH113),0,$QD113,$QE113,$QD113+$QE113))</f>
        <v/>
      </c>
      <c r="QH113" s="155">
        <f>IF(OR($NB113=0,$NH113=0),"",INDEX($AI$2:$AN$41,($NH113-1)*4+IF($MQ113=0,1,IF($MQ113&lt;=5,2,IF($MQ113=6,3,4))),1+MIN(5,$QF113))&amp;INDEX($AO$2:$AT$41,($NH113-1)*4+IF($MQ113=0,1,IF($MQ113&lt;=5,2,IF($MQ113=6,3,4))),1+MIN(5,$QG113))&amp;IF(INDEX($AE$2:$AE$11,$NH113)=1,IF(COUNTIF($MV113:$MY113,"Mais Um")&gt;0," · +"&amp;COUNTIF($MV113:$MY113,"Mais Um")&amp;IF(COUNTIF($MV113:$MY113,"Mais Um")&gt;1," alvos"," alvo"),"")&amp;IF(COUNTIF($MV113:$MY113,"Rajada")&gt;0,IF($MQ113=0," · 1 tiro"," · "&amp;(MAX(1,$MQ113-1)+1)&amp;" tiros"),""),""))</f>
        <v/>
      </c>
      <c r="QI113" s="155">
        <f>IF($NB113=0,"",IF($MQ113=0,$NE113&amp;"d6"&amp;IF($OS113&gt;0," − 1 = "&amp;$PB113&amp;"d6"," da básica do nível "&amp;$NC113),$OZ113&amp;" − "&amp;$OU113&amp;" + "&amp;$OX113&amp;" = "&amp;$PA113&amp;" · teto "&amp;4*$MQ113&amp;"d8"&amp;IF($OD113=1," · a Forma devolve "&amp;$MQ113,"")&amp;IF($OY113&gt;0," · perde "&amp;$OY113,"")))</f>
        <v/>
      </c>
      <c r="QJ113" s="155">
        <f>IF($NB113=0,"",IF($MQ113=0,"A básica não amplia: os dados dela sobem com o nível",IF($MQ113&gt;=$ND113,"Já está na maior Classe que o nível liberou",TEXTJOIN(" · ",TRUE,IF(AND(2&gt;$MQ113,2&lt;=$ND113),"2 → "&amp;$PL113&amp;", 6 PE",""),IF(AND(3&gt;$MQ113,3&lt;=$ND113),"3 → "&amp;$PM113&amp;", 9 PE",""),IF(AND(4&gt;$MQ113,4&lt;=$ND113),"4 → "&amp;$PN113&amp;", 12 PE",""),IF(AND(5&gt;$MQ113,5&lt;=$ND113),"5 → "&amp;$PO113&amp;", 15 PE",""),IF(AND(6&gt;$MQ113,6&lt;=$ND113),"6 → "&amp;$PP113&amp;", 18 PE",""),IF(AND(7&gt;$MQ113,7&lt;=$ND113),"7 → "&amp;$PQ113&amp;", 21 PE","")))))</f>
        <v/>
      </c>
      <c r="QK113" s="155">
        <f>IF(OR($NB113=0,$NM113=0),"",IF($MQ113=0,"−1 dado","−"&amp;INDEX($I$2:$N$8,MAX(1,$MQ113),MAX(1,$NR113))&amp;" · "&amp;CHOOSE(MAX(1,$NR113),"Leve","Média","Pesada","Leve · Livre","Média · Livre","Pesada · Livre")))</f>
        <v/>
      </c>
      <c r="QL113" s="155">
        <f>IF(OR($NB113=0,$NN113=0),"",IF($MQ113=0,"−1 dado","−"&amp;INDEX($I$2:$N$8,MAX(1,$MQ113),MAX(1,$NS113))&amp;" · "&amp;CHOOSE(MAX(1,$NS113),"Leve","Média","Pesada","Leve · Livre","Média · Livre","Pesada · Livre")))</f>
        <v/>
      </c>
      <c r="QM113" s="155">
        <f>IF(OR($NB113=0,$NO113=0),"",IF($MQ113=0,"−1 dado","−"&amp;INDEX($I$2:$N$8,MAX(1,$MQ113),MAX(1,$NT113))&amp;" · "&amp;CHOOSE(MAX(1,$NT113),"Leve","Média","Pesada","Leve · Livre","Média · Livre","Pesada · Livre")))</f>
        <v/>
      </c>
      <c r="QN113" s="155">
        <f>IF(OR($NB113=0,$NP113=0),"",IF($MQ113=0,"−1 dado","−"&amp;INDEX($I$2:$N$8,MAX(1,$MQ113),MAX(1,$NU113))&amp;" · "&amp;CHOOSE(MAX(1,$NU113),"Leve","Média","Pesada","Leve · Livre","Média · Livre","Pesada · Livre")))</f>
        <v/>
      </c>
      <c r="QO113" s="155">
        <f>IF(OR($NB113=0,$MZ113=""),"",IF($MQ113=0,"não devolve","+"&amp;IF($OG113=1,CEILING($MQ113/2,1),$MQ113)))</f>
        <v/>
      </c>
      <c r="QP113" s="155">
        <f>IF(OR($NB113=0,$NA113=""),"",IF($MQ113=0,"não devolve","+"&amp;IF($OH113=1,CEILING($MQ113/2,1),$MQ113)))</f>
        <v/>
      </c>
    </row>
    <row r="114">
      <c r="ML114" s="153" t="inlineStr">
        <is>
          <t>Ficha 9 · Especial 7</t>
        </is>
      </c>
      <c r="MM114" s="155" t="n">
        <v>9</v>
      </c>
      <c r="MN114" s="155" t="n">
        <v>1</v>
      </c>
      <c r="MO114" s="155" t="n">
        <v>24</v>
      </c>
      <c r="MP114" s="153" t="inlineStr">
        <is>
          <t>ESPECIAL 7</t>
        </is>
      </c>
      <c r="MQ114" s="155">
        <f>MAX(1,MIN(7,N('INVOCAÇÕES'!$AN$510)))</f>
        <v/>
      </c>
      <c r="MR114" s="155">
        <f>'INVOCAÇÕES'!$AO$510&amp;""</f>
        <v/>
      </c>
      <c r="MS114" s="155">
        <f>'INVOCAÇÕES'!$AN$515&amp;""</f>
        <v/>
      </c>
      <c r="MT114" s="155">
        <f>'INVOCAÇÕES'!$AN$516&amp;""</f>
        <v/>
      </c>
      <c r="MU114" s="155">
        <f>'INVOCAÇÕES'!$AP$516&amp;""</f>
        <v/>
      </c>
      <c r="MV114" s="155">
        <f>'INVOCAÇÕES'!$AO$519&amp;""</f>
        <v/>
      </c>
      <c r="MW114" s="155">
        <f>'INVOCAÇÕES'!$AO$520&amp;""</f>
        <v/>
      </c>
      <c r="MX114" s="155">
        <f>'INVOCAÇÕES'!$AO$521&amp;""</f>
        <v/>
      </c>
      <c r="MY114" s="155">
        <f>'INVOCAÇÕES'!$AO$522&amp;""</f>
        <v/>
      </c>
      <c r="MZ114" s="155">
        <f>'INVOCAÇÕES'!$AO$523&amp;""</f>
        <v/>
      </c>
      <c r="NA114" s="155">
        <f>'INVOCAÇÕES'!$AO$524&amp;""</f>
        <v/>
      </c>
      <c r="NB114" s="155">
        <f>IF($MR114&lt;&gt;"",1,0)</f>
        <v/>
      </c>
      <c r="NC114" s="155">
        <f>INDEX($FM$2:$FM$13,$MM114)</f>
        <v/>
      </c>
      <c r="ND114" s="155">
        <f>INDEX($FN$2:$FN$13,$MM114)</f>
        <v/>
      </c>
      <c r="NE114" s="155">
        <f>INDEX($FO$2:$FO$13,$MM114)</f>
        <v/>
      </c>
      <c r="NF114" s="155">
        <f>INDEX($FZ$2:$FZ$13,$MM114)</f>
        <v/>
      </c>
      <c r="NG114" s="155">
        <f>INDEX($GA$2:$GA$13,$MM114)</f>
        <v/>
      </c>
      <c r="NH114" s="155">
        <f>IFERROR(MATCH($MS114,$V$2:$V$11,0),0)</f>
        <v/>
      </c>
      <c r="NI114" s="155">
        <f>IFERROR(VLOOKUP($MV114,$AV$2:$BA$84,2,FALSE),"")</f>
        <v/>
      </c>
      <c r="NJ114" s="155">
        <f>IFERROR(VLOOKUP($MW114,$AV$2:$BA$84,2,FALSE),"")</f>
        <v/>
      </c>
      <c r="NK114" s="155">
        <f>IFERROR(VLOOKUP($MX114,$AV$2:$BA$84,2,FALSE),"")</f>
        <v/>
      </c>
      <c r="NL114" s="155">
        <f>IFERROR(VLOOKUP($MY114,$AV$2:$BA$84,2,FALSE),"")</f>
        <v/>
      </c>
      <c r="NM114" s="155">
        <f>IFERROR(VLOOKUP($MV114,$AV$2:$BA$84,3,FALSE),0)</f>
        <v/>
      </c>
      <c r="NN114" s="155">
        <f>IFERROR(VLOOKUP($MW114,$AV$2:$BA$84,3,FALSE),0)</f>
        <v/>
      </c>
      <c r="NO114" s="155">
        <f>IFERROR(VLOOKUP($MX114,$AV$2:$BA$84,3,FALSE),0)</f>
        <v/>
      </c>
      <c r="NP114" s="155">
        <f>IFERROR(VLOOKUP($MY114,$AV$2:$BA$84,3,FALSE),0)</f>
        <v/>
      </c>
      <c r="NQ114" s="155">
        <f>IF($MQ114=0,0,IF($NH114=0,0,INDEX($X$2:$X$11,$NH114)))</f>
        <v/>
      </c>
      <c r="NR114" s="155">
        <f>IF(OR($NM114=0,$MQ114=0),0,$NM114+3*IF(AND($NI114&lt;&gt;"",OR($NI114=INDEX($EJ$2:$EJ$13,$MM114),$NI114=INDEX($EK$2:$EK$13,$MM114))),1,0))</f>
        <v/>
      </c>
      <c r="NS114" s="155">
        <f>IF(OR($NN114=0,$MQ114=0),0,$NN114+3*IF(AND($NJ114&lt;&gt;"",OR($NJ114=INDEX($EJ$2:$EJ$13,$MM114),$NJ114=INDEX($EK$2:$EK$13,$MM114))),1,0))</f>
        <v/>
      </c>
      <c r="NT114" s="155">
        <f>IF(OR($NO114=0,$MQ114=0),0,$NO114+3*IF(AND($NK114&lt;&gt;"",OR($NK114=INDEX($EJ$2:$EJ$13,$MM114),$NK114=INDEX($EK$2:$EK$13,$MM114))),1,0))</f>
        <v/>
      </c>
      <c r="NU114" s="155">
        <f>IF(OR($NP114=0,$MQ114=0),0,$NP114+3*IF(AND($NL114&lt;&gt;"",OR($NL114=INDEX($EJ$2:$EJ$13,$MM114),$NL114=INDEX($EK$2:$EK$13,$MM114))),1,0))</f>
        <v/>
      </c>
      <c r="NV114" s="155">
        <f>IF($NH114=0,0,IF(INDEX($W$2:$W$11,$NH114)="",0,IF(COUNTIF(INDEX($EJ$2:$EN$13,$MM114,0),INDEX($W$2:$W$11,$NH114))=0,1,0)))</f>
        <v/>
      </c>
      <c r="NW114" s="155">
        <f>IF(OR($NM114=0,$NI114=""),0,IF(COUNTIF(INDEX($EJ$2:$EN$13,$MM114,0),$NI114)=0,1,0))</f>
        <v/>
      </c>
      <c r="NX114" s="155">
        <f>IF(OR($NN114=0,$NJ114=""),0,IF(COUNTIF(INDEX($EJ$2:$EN$13,$MM114,0),$NJ114)=0,1,0))</f>
        <v/>
      </c>
      <c r="NY114" s="155">
        <f>IF(OR($NO114=0,$NK114=""),0,IF(COUNTIF(INDEX($EJ$2:$EN$13,$MM114,0),$NK114)=0,1,0))</f>
        <v/>
      </c>
      <c r="NZ114" s="155">
        <f>IF(OR($NP114=0,$NL114=""),0,IF(COUNTIF(INDEX($EJ$2:$EN$13,$MM114,0),$NL114)=0,1,0))</f>
        <v/>
      </c>
      <c r="OA114" s="155">
        <f>IFERROR(VLOOKUP($MV114,$AV$2:$BA$84,4,FALSE),0)+IFERROR(VLOOKUP($MW114,$AV$2:$BA$84,4,FALSE),0)+IFERROR(VLOOKUP($MX114,$AV$2:$BA$84,4,FALSE),0)+IFERROR(VLOOKUP($MY114,$AV$2:$BA$84,4,FALSE),0)</f>
        <v/>
      </c>
      <c r="OB114" s="155">
        <f>IFERROR(VLOOKUP($MV114,$AV$2:$BA$84,6,FALSE),0)+IFERROR(VLOOKUP($MW114,$AV$2:$BA$84,6,FALSE),0)+IFERROR(VLOOKUP($MX114,$AV$2:$BA$84,6,FALSE),0)+IFERROR(VLOOKUP($MY114,$AV$2:$BA$84,6,FALSE),0)</f>
        <v/>
      </c>
      <c r="OC114" s="155">
        <f>TEXTJOIN(", ",TRUE,IF(IFERROR(VLOOKUP($MV114,$AV$2:$BA$84,5,FALSE),0)=1,$MV114,""),IF(IFERROR(VLOOKUP($MW114,$AV$2:$BA$84,5,FALSE),0)=1,$MW114,""),IF(IFERROR(VLOOKUP($MX114,$AV$2:$BA$84,5,FALSE),0)=1,$MX114,""),IF(IFERROR(VLOOKUP($MY114,$AV$2:$BA$84,5,FALSE),0)=1,$MY114,""))</f>
        <v/>
      </c>
      <c r="OD114" s="155">
        <f>IF($NH114=0,0,INDEX($Y$2:$Y$11,$NH114))</f>
        <v/>
      </c>
      <c r="OE114" s="155">
        <f>IF($NH114=0,0,INDEX($Z$2:$Z$11,$NH114))</f>
        <v/>
      </c>
      <c r="OF114" s="155">
        <f>IF($NH114=0,0,INDEX($AB$2:$AB$11,$NH114))</f>
        <v/>
      </c>
      <c r="OG114" s="155">
        <f>IFERROR(VLOOKUP($MZ114,$BC$2:$BG$24,3,FALSE),0)</f>
        <v/>
      </c>
      <c r="OH114" s="155">
        <f>IFERROR(VLOOKUP($NA114,$BC$2:$BG$24,3,FALSE),0)</f>
        <v/>
      </c>
      <c r="OI114" s="155">
        <f>IFERROR(VLOOKUP($MZ114,$BC$2:$BG$24,2,FALSE),"")</f>
        <v/>
      </c>
      <c r="OJ114" s="155">
        <f>IFERROR(VLOOKUP($NA114,$BC$2:$BG$24,2,FALSE),"")</f>
        <v/>
      </c>
      <c r="OK114" s="155">
        <f>COUNTIF($NQ114:$NU114,1)</f>
        <v/>
      </c>
      <c r="OL114" s="155">
        <f>COUNTIF($NQ114:$NU114,2)</f>
        <v/>
      </c>
      <c r="OM114" s="155">
        <f>COUNTIF($NQ114:$NU114,3)</f>
        <v/>
      </c>
      <c r="ON114" s="155">
        <f>COUNTIF($NQ114:$NU114,4)</f>
        <v/>
      </c>
      <c r="OO114" s="155">
        <f>COUNTIF($NQ114:$NU114,5)</f>
        <v/>
      </c>
      <c r="OP114" s="155">
        <f>COUNTIF($NQ114:$NU114,6)</f>
        <v/>
      </c>
      <c r="OQ114" s="155">
        <f>COUNTIF($OG114:$OH114,1)</f>
        <v/>
      </c>
      <c r="OR114" s="155">
        <f>COUNTIF($OG114:$OH114,2)+$OD114</f>
        <v/>
      </c>
      <c r="OS114" s="155">
        <f>COUNTIF($MV114:$MY114,"?*")</f>
        <v/>
      </c>
      <c r="OT114" s="155">
        <f>COUNTIF($MZ114:$NA114,"?*")+$OD114</f>
        <v/>
      </c>
      <c r="OU114" s="155">
        <f>IF($MQ114=0,0,SUMPRODUCT($OK114:$OP114,INDEX($I$2:$N$8,MAX(1,$MQ114),0)))</f>
        <v/>
      </c>
      <c r="OV114" s="155">
        <f>IF($MQ114=0,0,$OQ114*CEILING($MQ114/2,1)+$OR114*$MQ114)</f>
        <v/>
      </c>
      <c r="OW114" s="155">
        <f>MIN(2*$MQ114,$OV114)</f>
        <v/>
      </c>
      <c r="OX114" s="155">
        <f>MIN($OW114,$OU114)</f>
        <v/>
      </c>
      <c r="OY114" s="155">
        <f>$OW114-$OX114</f>
        <v/>
      </c>
      <c r="OZ114" s="155">
        <f>IF($MQ114=0,0,INDEX($P$2:$P$8,MAX(1,$MQ114)))</f>
        <v/>
      </c>
      <c r="PA114" s="155">
        <f>$OZ114-$OU114+$OX114</f>
        <v/>
      </c>
      <c r="PB114" s="155">
        <f>IF($MQ114=0,MAX(0,$NE114-IF($OS114&gt;0,1,0)),MAX(0,$PA114))</f>
        <v/>
      </c>
      <c r="PC114" s="155">
        <f>IF($MQ114=0,0,(IF(COUNTIF($MV114:$MY114,"Salto")&gt;0,1,0)+IF(COUNTIF($MV114:$MY114,"Queima")&gt;0,1,0)+IF(COUNTIF($MV114:$MY114,"Estilhaço")&gt;0,1,0))*FLOOR($PB114/2,1))</f>
        <v/>
      </c>
      <c r="PD114" s="155">
        <f>MAX(0,2-SUMPRODUCT($OK114:$OP114,$I$2:$N$2)+MIN(2,$OQ114*1+$OR114*1,SUMPRODUCT($OK114:$OP114,$I$2:$N$2)))</f>
        <v/>
      </c>
      <c r="PE114" s="155">
        <f>MAX(0,4-SUMPRODUCT($OK114:$OP114,$I$3:$N$3)+MIN(4,$OQ114*1+$OR114*2,SUMPRODUCT($OK114:$OP114,$I$3:$N$3)))</f>
        <v/>
      </c>
      <c r="PF114" s="155">
        <f>MAX(0,6-SUMPRODUCT($OK114:$OP114,$I$4:$N$4)+MIN(6,$OQ114*2+$OR114*3,SUMPRODUCT($OK114:$OP114,$I$4:$N$4)))</f>
        <v/>
      </c>
      <c r="PG114" s="155">
        <f>MAX(0,9-SUMPRODUCT($OK114:$OP114,$I$5:$N$5)+MIN(8,$OQ114*2+$OR114*4,SUMPRODUCT($OK114:$OP114,$I$5:$N$5)))</f>
        <v/>
      </c>
      <c r="PH114" s="155">
        <f>MAX(0,11-SUMPRODUCT($OK114:$OP114,$I$6:$N$6)+MIN(10,$OQ114*3+$OR114*5,SUMPRODUCT($OK114:$OP114,$I$6:$N$6)))</f>
        <v/>
      </c>
      <c r="PI114" s="155">
        <f>MAX(0,13-SUMPRODUCT($OK114:$OP114,$I$7:$N$7)+MIN(12,$OQ114*3+$OR114*6,SUMPRODUCT($OK114:$OP114,$I$7:$N$7)))</f>
        <v/>
      </c>
      <c r="PJ114" s="155">
        <f>MAX(0,16-SUMPRODUCT($OK114:$OP114,$I$8:$N$8)+MIN(14,$OQ114*4+$OR114*7,SUMPRODUCT($OK114:$OP114,$I$8:$N$8)))</f>
        <v/>
      </c>
      <c r="PK114" s="155">
        <f>IF($OE114=2,3*$PD114&amp;" de vida temp.",IF($OE114=3,"sem dano",IF($PD114=0,IF($OE114=1,"sem cura","sem dano"),IF($OE114=1,"cura ","")&amp;$PD114&amp;"d8")))</f>
        <v/>
      </c>
      <c r="PL114" s="155">
        <f>IF($OE114=2,3*$PE114&amp;" de vida temp.",IF($OE114=3,"sem dano",IF($PE114=0,IF($OE114=1,"sem cura","sem dano"),IF($OE114=1,"cura ","")&amp;$PE114&amp;"d8")))</f>
        <v/>
      </c>
      <c r="PM114" s="155">
        <f>IF($OE114=2,3*$PF114&amp;" de vida temp.",IF($OE114=3,"sem dano",IF($PF114=0,IF($OE114=1,"sem cura","sem dano"),IF($OE114=1,"cura ","")&amp;$PF114&amp;"d8")))</f>
        <v/>
      </c>
      <c r="PN114" s="155">
        <f>IF($OE114=2,3*$PG114&amp;" de vida temp.",IF($OE114=3,"sem dano",IF($PG114=0,IF($OE114=1,"sem cura","sem dano"),IF($OE114=1,"cura ","")&amp;$PG114&amp;"d8")))</f>
        <v/>
      </c>
      <c r="PO114" s="155">
        <f>IF($OE114=2,3*$PH114&amp;" de vida temp.",IF($OE114=3,"sem dano",IF($PH114=0,IF($OE114=1,"sem cura","sem dano"),IF($OE114=1,"cura ","")&amp;$PH114&amp;"d8")))</f>
        <v/>
      </c>
      <c r="PP114" s="155">
        <f>IF($OE114=2,3*$PI114&amp;" de vida temp.",IF($OE114=3,"sem dano",IF($PI114=0,IF($OE114=1,"sem cura","sem dano"),IF($OE114=1,"cura ","")&amp;$PI114&amp;"d8")))</f>
        <v/>
      </c>
      <c r="PQ114" s="155">
        <f>IF($OE114=2,3*$PJ114&amp;" de vida temp.",IF($OE114=3,"sem dano",IF($PJ114=0,IF($OE114=1,"sem cura","sem dano"),IF($OE114=1,"cura ","")&amp;$PJ114&amp;"d8")))</f>
        <v/>
      </c>
      <c r="PR114" s="155">
        <f>IF($NB114=0,"",TEXTJOIN(" · ",TRUE,IF($MO114&gt;$NC114,"Este lugar abre no nível "&amp;$MO114,""),IF($MQ114&gt;$ND114,"Classe "&amp;$MQ114&amp;": o nível "&amp;$NC114&amp;" libera até a "&amp;$ND114,""),IF($NV114=1,"A Forma "&amp;$MS114&amp;" pede "&amp;INDEX($W$2:$W$11,$NH114)&amp;" aberta",""),IF(AND($MQ114=0,$NH114&gt;0,IF($NH114=0,0,INDEX($AF$2:$AF$11,$NH114))=0),$MS114&amp;" não existe na Classe 0",""),IF($NW114=1,"Família Fechada: "&amp;$MV114,""),IF($NX114=1,"Família Fechada: "&amp;$MW114,""),IF($NY114=1,"Família Fechada: "&amp;$MX114,""),IF($NZ114=1,"Família Fechada: "&amp;$MY114,""),IF(AND($MQ114&gt;0,$OS114&gt;INDEX($O$2:$O$8,MAX(1,$MQ114))),$OS114&amp;" Melhorias: a Classe "&amp;$MQ114&amp;" aceita "&amp;INDEX($O$2:$O$8,MAX(1,$MQ114)),""),IF(AND($MQ114=0,$OS114&gt;1),"A básica aceita uma Melhoria",""),IF(AND($MQ114=0,COUNTIF($NM114:$NP114,"&gt;1")&gt;0),"A básica só aceita Melhoria Leve",""),IF(AND($MQ114&gt;0,$OT114&gt;2),$OT114&amp;" Restrições"&amp;IF($OD114=1,", contando a que a Forma "&amp;$MS114&amp;" já traz","")&amp;": o limite é 2",""),IF(AND($MQ114=0,COUNTIF($MZ114:$NA114,"?*")&gt;1),"A básica aceita uma Restrição Leve",""),IF(AND($MQ114=0,COUNTIF($OG114:$OH114,2)&gt;0),"A básica só aceita Restrição Leve",""),IF(AND($MQ114&gt;0,$PA114&lt;0),"Orçamento estourado: faltam "&amp;(-$PA114)&amp;IF($PA114&lt;-1," pontos"," ponto"),""),IF(IFERROR(VLOOKUP($MZ114,$BC$2:$BG$24,4,FALSE),0)+IFERROR(VLOOKUP($NA114,$BC$2:$BG$24,4,FALSE),0)&gt;1,$OI114&amp;" e "&amp;$OJ114&amp;" são as duas de frequência",""),IF(AND((COUNTIF($MV114:$MY114,"Rápido")+COUNTIF($OI114:$OJ114,"Rápido"))&gt;0,(COUNTIF($MV114:$MY114,"Atrasar")+COUNTIF($OI114:$OJ114,"Atrasar"))&gt;0),"Rápido não entra com Atrasar",""),IF(AND((COUNTIF($MV114:$MY114,"Reação")+COUNTIF($OI114:$OJ114,"Reação"))&gt;0,(COUNTIF($MV114:$MY114,"Rápido")+COUNTIF($OI114:$OJ114,"Rápido"))&gt;0),"Reação não entra com Rápido",""),IF(AND((COUNTIF($MV114:$MY114,"Reação")+COUNTIF($OI114:$OJ114,"Reação"))&gt;0,(COUNTIF($MV114:$MY114,"Armado")+COUNTIF($OI114:$OJ114,"Armado"))&gt;0),"Reação não entra com Armado",""),IF(AND((COUNTIF($MV114:$MY114,"Reação")+COUNTIF($OI114:$OJ114,"Reação"))&gt;0,(COUNTIF($MV114:$MY114,"Atrasar")+COUNTIF($OI114:$OJ114,"Atrasar"))&gt;0),"Reação não entra com Atrasar",""),IF(AND((COUNTIF($MV114:$MY114,"Reação")+COUNTIF($OI114:$OJ114,"Reação"))&gt;0,(COUNTIF($MV114:$MY114,"Parado")+COUNTIF($OI114:$OJ114,"Parado"))&gt;0),"Reação não entra com Parado",""),IF(AND((COUNTIF($MV114:$MY114,"Atrasar")+COUNTIF($OI114:$OJ114,"Atrasar"))&gt;0,(COUNTIF($MV114:$MY114,"Parado")+COUNTIF($OI114:$OJ114,"Parado"))&gt;0),"Atrasar não entra com Parado",""),IF(AND((COUNTIF($MV114:$MY114,"Armado")+COUNTIF($OI114:$OJ114,"Armado"))&gt;0,(COUNTIF($MV114:$MY114,"Carregar")+COUNTIF($OI114:$OJ114,"Carregar"))&gt;0),"Armado não entra com Carregar",""),IF(AND(COUNTIF($OI114:$OJ114,"Corpo a Corpo")&gt;0,$OD114=0,OR($MS114="Cone",$MS114="Linha")),"Corpo a Corpo não entra em "&amp;$MS114,""),IF(AND(COUNTIF($OI114:$OJ114,"Corpo a Corpo")&gt;0,$OD114=1),"A Forma "&amp;$MS114&amp;" já traz o Corpo a Corpo",""),IF(AND(COUNTIF($OI114:$OJ114,"Tudo ou Nada")&gt;0,$OF114=0),"Tudo ou Nada só entra em habilidade de Teste de Resistência",""),IF(AND(COUNTIF($MV114:$MY114,"Inescapável")&gt;0,OR($OS114&gt;1,$OT114&gt;0)),"Inescapável não aceita outra peça",""),IF(AND($MQ114&gt;0,$PB114*IF(COUNTIF($MV114:$MY114,"Remate")&gt;0,1.25,1)+$PC114&gt;4*$MQ114),($PB114*IF(COUNTIF($MV114:$MY114,"Remate")&gt;0,1.25,1)+$PC114)&amp;" dados somando repetições"&amp;IF(COUNTIF($MV114:$MY114,"Remate")&gt;0," e o Remate","")&amp;": o teto da Classe "&amp;$MQ114&amp;" é "&amp;4*$MQ114,"")))</f>
        <v/>
      </c>
      <c r="PS114" s="155">
        <f>IF($PR114="",0,(LEN($PR114)-LEN(SUBSTITUTE($PR114," · ","")))/3+1)</f>
        <v/>
      </c>
      <c r="PT114" s="155">
        <f>IF($NB114=0,"",TEXTJOIN(" · ",TRUE,IF($OV114&gt;2*$MQ114,"A devolução parou no teto de "&amp;2*$MQ114,""),IF($OY114&gt;0,"Devolução perdida: "&amp;$OY114&amp;IF($OY114&gt;1," pontos"," ponto")&amp;" sem peça para pagar",""),IF(AND($OA114&gt;0,AND($MQ114&gt;0,$OE114=0),$PB114=0),"Controle sem dano: uma rodada a mais e CD +2",""),IF(AND($OA114&gt;0,AND($MQ114&gt;0,$OE114=0),$PB114&gt;0,$PB114&lt;=$MQ114),"Controle com saldo até a Classe: uma rodada a mais",""),IF(AND($MQ114&gt;0,$OC114&lt;&gt;""),"Efeito de "&amp;$OC114&amp;" pela Classe "&amp;MAX(1,$MQ114-1),"")))</f>
        <v/>
      </c>
      <c r="PU114" s="155">
        <f>IF($PT114="",0,(LEN($PT114)-LEN(SUBSTITUTE($PT114," · ","")))/3+1)</f>
        <v/>
      </c>
      <c r="PV114" s="155">
        <f>IF($NB114=0,IF($OS114+COUNTIF($MZ114:$NA114,"?*")&gt;0,"Dê um nome",""),IF($PS114&gt;0,"⚠ "&amp;$PS114&amp;IF($PS114&gt;1," erros"," erro"),IF($PU114&gt;0,"! "&amp;$PU114&amp;IF($PU114&gt;1," avisos"," aviso"),"Na regra")))</f>
        <v/>
      </c>
      <c r="PW114" s="155">
        <f>IF($NB114=0,"",IF($PS114+$PU114=0,"Dentro das regras que a ficha confere",$PR114&amp;IF(AND($PS114&gt;0,$PU114&gt;0)," · ","")&amp;$PT114))</f>
        <v/>
      </c>
      <c r="PX114" s="155">
        <f>IF($MO114&gt;$NC114,$MP114&amp;" · ABRE NO NÍVEL "&amp;$MO114,$MP114)</f>
        <v/>
      </c>
      <c r="PY114" s="155">
        <f>IF($NB114=0,"",IF($MQ114=0,"Sem PE",3*$MQ114&amp;" PE"))</f>
        <v/>
      </c>
      <c r="PZ114" s="155">
        <f>IF($NB114=0,"",IF($MQ114=0,"A atuação básica dela",IF(COUNTIF($OI114:$OJ114,"Atrasar")&gt;0,"Sua Ação Completa",IF(COUNTIF($MV114:$MY114,"Rápido")&gt;0,"Sua Bônus",IF(COUNTIF($MV114:$MY114,"Reação")&gt;0,"Sua Reação","Sua Padrão")))&amp;" + a básica dela"&amp;IF(COUNTIF($MV114:$MY114,"Reação")&gt;0," e a coletiva","")&amp;IF(COUNTIF($OI114:$OJ114,"Carregar")&gt;0," · em dois turnos","")))</f>
        <v/>
      </c>
      <c r="QA114" s="155">
        <f>IF($MU114&lt;&gt;"",$MU114,IF($NH114=0,"",INDEX($AA$2:$AA$11,$NH114)))</f>
        <v/>
      </c>
      <c r="QB114" s="155">
        <f>IF(OR($NB114=0,$NH114=0),"",IF(COUNTIF($MV114:$MY114,"Inescapável")&gt;0,"Automático",IF($QA114="Ataque",IF($NF114="","Ataque","Ataque "&amp;IF(($NF114+2*IF(COUNTIF($MV114:$MY114,"Precisão")&gt;0,1,0))&gt;=0,"+","−")&amp;ABS(($NF114+2*IF(COUNTIF($MV114:$MY114,"Precisão")&gt;0,1,0))))&amp;IF($OB114&gt;0," · TR"&amp;IF($NG114="",""," CD "&amp;$NG114),""),IF(LEFT($QA114,2)="TR",$QA114&amp;IF($NG114="",""," · CD "&amp;$NG114)&amp;IF(COUNTIF($MV114:$MY114,"Certeiro")&gt;0," · metade",""),"Sem rolagem"))))</f>
        <v/>
      </c>
      <c r="QC114" s="155">
        <f>IF(OR($NB114=0,$NH114=0),"",IF($MQ114=0,IF(OR($OE114&gt;=1,$PB114=0),"Sem dano",$PB114&amp;"d6"&amp;IF($MT114="",""," "&amp;$MT114)),IF(OR($OE114&gt;=1,$PB114=0),UPPER(LEFT(INDEX($PK114:$PQ114,1,MAX(1,$MQ114)),1))&amp;MID(INDEX($PK114:$PQ114,1,MAX(1,$MQ114)),2,99),UPPER(LEFT(INDEX($PK114:$PQ114,1,MAX(1,$MQ114)),1))&amp;MID(INDEX($PK114:$PQ114,1,MAX(1,$MQ114)),2,99)&amp;IF($MT114="",""," "&amp;$MT114)&amp;IF($PC114&gt;0," · +"&amp;$PC114&amp;"d8",""))))</f>
        <v/>
      </c>
      <c r="QD114" s="155">
        <f>COUNTIF($MV114:$MY114,"Longe")+3*COUNTIF($MV114:$MY114,"Muito Longe")</f>
        <v/>
      </c>
      <c r="QE114" s="155">
        <f>COUNTIF($MV114:$MY114,"Maior")+3*COUNTIF($MV114:$MY114,"Muito Maior")</f>
        <v/>
      </c>
      <c r="QF114" s="155">
        <f>IF($NH114=0,0,CHOOSE(1+INDEX($AC$2:$AC$11,$NH114),0,$QD114,$QE114,$QD114+$QE114))</f>
        <v/>
      </c>
      <c r="QG114" s="155">
        <f>IF($NH114=0,0,CHOOSE(1+INDEX($AD$2:$AD$11,$NH114),0,$QD114,$QE114,$QD114+$QE114))</f>
        <v/>
      </c>
      <c r="QH114" s="155">
        <f>IF(OR($NB114=0,$NH114=0),"",INDEX($AI$2:$AN$41,($NH114-1)*4+IF($MQ114=0,1,IF($MQ114&lt;=5,2,IF($MQ114=6,3,4))),1+MIN(5,$QF114))&amp;INDEX($AO$2:$AT$41,($NH114-1)*4+IF($MQ114=0,1,IF($MQ114&lt;=5,2,IF($MQ114=6,3,4))),1+MIN(5,$QG114))&amp;IF(INDEX($AE$2:$AE$11,$NH114)=1,IF(COUNTIF($MV114:$MY114,"Mais Um")&gt;0," · +"&amp;COUNTIF($MV114:$MY114,"Mais Um")&amp;IF(COUNTIF($MV114:$MY114,"Mais Um")&gt;1," alvos"," alvo"),"")&amp;IF(COUNTIF($MV114:$MY114,"Rajada")&gt;0,IF($MQ114=0," · 1 tiro"," · "&amp;(MAX(1,$MQ114-1)+1)&amp;" tiros"),""),""))</f>
        <v/>
      </c>
      <c r="QI114" s="155">
        <f>IF($NB114=0,"",IF($MQ114=0,$NE114&amp;"d6"&amp;IF($OS114&gt;0," − 1 = "&amp;$PB114&amp;"d6"," da básica do nível "&amp;$NC114),$OZ114&amp;" − "&amp;$OU114&amp;" + "&amp;$OX114&amp;" = "&amp;$PA114&amp;" · teto "&amp;4*$MQ114&amp;"d8"&amp;IF($OD114=1," · a Forma devolve "&amp;$MQ114,"")&amp;IF($OY114&gt;0," · perde "&amp;$OY114,"")))</f>
        <v/>
      </c>
      <c r="QJ114" s="155">
        <f>IF($NB114=0,"",IF($MQ114=0,"A básica não amplia: os dados dela sobem com o nível",IF($MQ114&gt;=$ND114,"Já está na maior Classe que o nível liberou",TEXTJOIN(" · ",TRUE,IF(AND(2&gt;$MQ114,2&lt;=$ND114),"2 → "&amp;$PL114&amp;", 6 PE",""),IF(AND(3&gt;$MQ114,3&lt;=$ND114),"3 → "&amp;$PM114&amp;", 9 PE",""),IF(AND(4&gt;$MQ114,4&lt;=$ND114),"4 → "&amp;$PN114&amp;", 12 PE",""),IF(AND(5&gt;$MQ114,5&lt;=$ND114),"5 → "&amp;$PO114&amp;", 15 PE",""),IF(AND(6&gt;$MQ114,6&lt;=$ND114),"6 → "&amp;$PP114&amp;", 18 PE",""),IF(AND(7&gt;$MQ114,7&lt;=$ND114),"7 → "&amp;$PQ114&amp;", 21 PE","")))))</f>
        <v/>
      </c>
      <c r="QK114" s="155">
        <f>IF(OR($NB114=0,$NM114=0),"",IF($MQ114=0,"−1 dado","−"&amp;INDEX($I$2:$N$8,MAX(1,$MQ114),MAX(1,$NR114))&amp;" · "&amp;CHOOSE(MAX(1,$NR114),"Leve","Média","Pesada","Leve · Livre","Média · Livre","Pesada · Livre")))</f>
        <v/>
      </c>
      <c r="QL114" s="155">
        <f>IF(OR($NB114=0,$NN114=0),"",IF($MQ114=0,"−1 dado","−"&amp;INDEX($I$2:$N$8,MAX(1,$MQ114),MAX(1,$NS114))&amp;" · "&amp;CHOOSE(MAX(1,$NS114),"Leve","Média","Pesada","Leve · Livre","Média · Livre","Pesada · Livre")))</f>
        <v/>
      </c>
      <c r="QM114" s="155">
        <f>IF(OR($NB114=0,$NO114=0),"",IF($MQ114=0,"−1 dado","−"&amp;INDEX($I$2:$N$8,MAX(1,$MQ114),MAX(1,$NT114))&amp;" · "&amp;CHOOSE(MAX(1,$NT114),"Leve","Média","Pesada","Leve · Livre","Média · Livre","Pesada · Livre")))</f>
        <v/>
      </c>
      <c r="QN114" s="155">
        <f>IF(OR($NB114=0,$NP114=0),"",IF($MQ114=0,"−1 dado","−"&amp;INDEX($I$2:$N$8,MAX(1,$MQ114),MAX(1,$NU114))&amp;" · "&amp;CHOOSE(MAX(1,$NU114),"Leve","Média","Pesada","Leve · Livre","Média · Livre","Pesada · Livre")))</f>
        <v/>
      </c>
      <c r="QO114" s="155">
        <f>IF(OR($NB114=0,$MZ114=""),"",IF($MQ114=0,"não devolve","+"&amp;IF($OG114=1,CEILING($MQ114/2,1),$MQ114)))</f>
        <v/>
      </c>
      <c r="QP114" s="155">
        <f>IF(OR($NB114=0,$NA114=""),"",IF($MQ114=0,"não devolve","+"&amp;IF($OH114=1,CEILING($MQ114/2,1),$MQ114)))</f>
        <v/>
      </c>
    </row>
    <row r="115">
      <c r="ML115" s="153" t="inlineStr">
        <is>
          <t>Ficha 9 · Especial 8</t>
        </is>
      </c>
      <c r="MM115" s="155" t="n">
        <v>9</v>
      </c>
      <c r="MN115" s="155" t="n">
        <v>1</v>
      </c>
      <c r="MO115" s="155" t="n">
        <v>28</v>
      </c>
      <c r="MP115" s="153" t="inlineStr">
        <is>
          <t>ESPECIAL 8</t>
        </is>
      </c>
      <c r="MQ115" s="155">
        <f>MAX(1,MIN(7,N('INVOCAÇÕES'!$AB$532)))</f>
        <v/>
      </c>
      <c r="MR115" s="155">
        <f>'INVOCAÇÕES'!$AC$532&amp;""</f>
        <v/>
      </c>
      <c r="MS115" s="155">
        <f>'INVOCAÇÕES'!$AB$537&amp;""</f>
        <v/>
      </c>
      <c r="MT115" s="155">
        <f>'INVOCAÇÕES'!$AB$538&amp;""</f>
        <v/>
      </c>
      <c r="MU115" s="155">
        <f>'INVOCAÇÕES'!$AD$538&amp;""</f>
        <v/>
      </c>
      <c r="MV115" s="155">
        <f>'INVOCAÇÕES'!$AC$541&amp;""</f>
        <v/>
      </c>
      <c r="MW115" s="155">
        <f>'INVOCAÇÕES'!$AC$542&amp;""</f>
        <v/>
      </c>
      <c r="MX115" s="155">
        <f>'INVOCAÇÕES'!$AC$543&amp;""</f>
        <v/>
      </c>
      <c r="MY115" s="155">
        <f>'INVOCAÇÕES'!$AC$544&amp;""</f>
        <v/>
      </c>
      <c r="MZ115" s="155">
        <f>'INVOCAÇÕES'!$AC$545&amp;""</f>
        <v/>
      </c>
      <c r="NA115" s="155">
        <f>'INVOCAÇÕES'!$AC$546&amp;""</f>
        <v/>
      </c>
      <c r="NB115" s="155">
        <f>IF($MR115&lt;&gt;"",1,0)</f>
        <v/>
      </c>
      <c r="NC115" s="155">
        <f>INDEX($FM$2:$FM$13,$MM115)</f>
        <v/>
      </c>
      <c r="ND115" s="155">
        <f>INDEX($FN$2:$FN$13,$MM115)</f>
        <v/>
      </c>
      <c r="NE115" s="155">
        <f>INDEX($FO$2:$FO$13,$MM115)</f>
        <v/>
      </c>
      <c r="NF115" s="155">
        <f>INDEX($FZ$2:$FZ$13,$MM115)</f>
        <v/>
      </c>
      <c r="NG115" s="155">
        <f>INDEX($GA$2:$GA$13,$MM115)</f>
        <v/>
      </c>
      <c r="NH115" s="155">
        <f>IFERROR(MATCH($MS115,$V$2:$V$11,0),0)</f>
        <v/>
      </c>
      <c r="NI115" s="155">
        <f>IFERROR(VLOOKUP($MV115,$AV$2:$BA$84,2,FALSE),"")</f>
        <v/>
      </c>
      <c r="NJ115" s="155">
        <f>IFERROR(VLOOKUP($MW115,$AV$2:$BA$84,2,FALSE),"")</f>
        <v/>
      </c>
      <c r="NK115" s="155">
        <f>IFERROR(VLOOKUP($MX115,$AV$2:$BA$84,2,FALSE),"")</f>
        <v/>
      </c>
      <c r="NL115" s="155">
        <f>IFERROR(VLOOKUP($MY115,$AV$2:$BA$84,2,FALSE),"")</f>
        <v/>
      </c>
      <c r="NM115" s="155">
        <f>IFERROR(VLOOKUP($MV115,$AV$2:$BA$84,3,FALSE),0)</f>
        <v/>
      </c>
      <c r="NN115" s="155">
        <f>IFERROR(VLOOKUP($MW115,$AV$2:$BA$84,3,FALSE),0)</f>
        <v/>
      </c>
      <c r="NO115" s="155">
        <f>IFERROR(VLOOKUP($MX115,$AV$2:$BA$84,3,FALSE),0)</f>
        <v/>
      </c>
      <c r="NP115" s="155">
        <f>IFERROR(VLOOKUP($MY115,$AV$2:$BA$84,3,FALSE),0)</f>
        <v/>
      </c>
      <c r="NQ115" s="155">
        <f>IF($MQ115=0,0,IF($NH115=0,0,INDEX($X$2:$X$11,$NH115)))</f>
        <v/>
      </c>
      <c r="NR115" s="155">
        <f>IF(OR($NM115=0,$MQ115=0),0,$NM115+3*IF(AND($NI115&lt;&gt;"",OR($NI115=INDEX($EJ$2:$EJ$13,$MM115),$NI115=INDEX($EK$2:$EK$13,$MM115))),1,0))</f>
        <v/>
      </c>
      <c r="NS115" s="155">
        <f>IF(OR($NN115=0,$MQ115=0),0,$NN115+3*IF(AND($NJ115&lt;&gt;"",OR($NJ115=INDEX($EJ$2:$EJ$13,$MM115),$NJ115=INDEX($EK$2:$EK$13,$MM115))),1,0))</f>
        <v/>
      </c>
      <c r="NT115" s="155">
        <f>IF(OR($NO115=0,$MQ115=0),0,$NO115+3*IF(AND($NK115&lt;&gt;"",OR($NK115=INDEX($EJ$2:$EJ$13,$MM115),$NK115=INDEX($EK$2:$EK$13,$MM115))),1,0))</f>
        <v/>
      </c>
      <c r="NU115" s="155">
        <f>IF(OR($NP115=0,$MQ115=0),0,$NP115+3*IF(AND($NL115&lt;&gt;"",OR($NL115=INDEX($EJ$2:$EJ$13,$MM115),$NL115=INDEX($EK$2:$EK$13,$MM115))),1,0))</f>
        <v/>
      </c>
      <c r="NV115" s="155">
        <f>IF($NH115=0,0,IF(INDEX($W$2:$W$11,$NH115)="",0,IF(COUNTIF(INDEX($EJ$2:$EN$13,$MM115,0),INDEX($W$2:$W$11,$NH115))=0,1,0)))</f>
        <v/>
      </c>
      <c r="NW115" s="155">
        <f>IF(OR($NM115=0,$NI115=""),0,IF(COUNTIF(INDEX($EJ$2:$EN$13,$MM115,0),$NI115)=0,1,0))</f>
        <v/>
      </c>
      <c r="NX115" s="155">
        <f>IF(OR($NN115=0,$NJ115=""),0,IF(COUNTIF(INDEX($EJ$2:$EN$13,$MM115,0),$NJ115)=0,1,0))</f>
        <v/>
      </c>
      <c r="NY115" s="155">
        <f>IF(OR($NO115=0,$NK115=""),0,IF(COUNTIF(INDEX($EJ$2:$EN$13,$MM115,0),$NK115)=0,1,0))</f>
        <v/>
      </c>
      <c r="NZ115" s="155">
        <f>IF(OR($NP115=0,$NL115=""),0,IF(COUNTIF(INDEX($EJ$2:$EN$13,$MM115,0),$NL115)=0,1,0))</f>
        <v/>
      </c>
      <c r="OA115" s="155">
        <f>IFERROR(VLOOKUP($MV115,$AV$2:$BA$84,4,FALSE),0)+IFERROR(VLOOKUP($MW115,$AV$2:$BA$84,4,FALSE),0)+IFERROR(VLOOKUP($MX115,$AV$2:$BA$84,4,FALSE),0)+IFERROR(VLOOKUP($MY115,$AV$2:$BA$84,4,FALSE),0)</f>
        <v/>
      </c>
      <c r="OB115" s="155">
        <f>IFERROR(VLOOKUP($MV115,$AV$2:$BA$84,6,FALSE),0)+IFERROR(VLOOKUP($MW115,$AV$2:$BA$84,6,FALSE),0)+IFERROR(VLOOKUP($MX115,$AV$2:$BA$84,6,FALSE),0)+IFERROR(VLOOKUP($MY115,$AV$2:$BA$84,6,FALSE),0)</f>
        <v/>
      </c>
      <c r="OC115" s="155">
        <f>TEXTJOIN(", ",TRUE,IF(IFERROR(VLOOKUP($MV115,$AV$2:$BA$84,5,FALSE),0)=1,$MV115,""),IF(IFERROR(VLOOKUP($MW115,$AV$2:$BA$84,5,FALSE),0)=1,$MW115,""),IF(IFERROR(VLOOKUP($MX115,$AV$2:$BA$84,5,FALSE),0)=1,$MX115,""),IF(IFERROR(VLOOKUP($MY115,$AV$2:$BA$84,5,FALSE),0)=1,$MY115,""))</f>
        <v/>
      </c>
      <c r="OD115" s="155">
        <f>IF($NH115=0,0,INDEX($Y$2:$Y$11,$NH115))</f>
        <v/>
      </c>
      <c r="OE115" s="155">
        <f>IF($NH115=0,0,INDEX($Z$2:$Z$11,$NH115))</f>
        <v/>
      </c>
      <c r="OF115" s="155">
        <f>IF($NH115=0,0,INDEX($AB$2:$AB$11,$NH115))</f>
        <v/>
      </c>
      <c r="OG115" s="155">
        <f>IFERROR(VLOOKUP($MZ115,$BC$2:$BG$24,3,FALSE),0)</f>
        <v/>
      </c>
      <c r="OH115" s="155">
        <f>IFERROR(VLOOKUP($NA115,$BC$2:$BG$24,3,FALSE),0)</f>
        <v/>
      </c>
      <c r="OI115" s="155">
        <f>IFERROR(VLOOKUP($MZ115,$BC$2:$BG$24,2,FALSE),"")</f>
        <v/>
      </c>
      <c r="OJ115" s="155">
        <f>IFERROR(VLOOKUP($NA115,$BC$2:$BG$24,2,FALSE),"")</f>
        <v/>
      </c>
      <c r="OK115" s="155">
        <f>COUNTIF($NQ115:$NU115,1)</f>
        <v/>
      </c>
      <c r="OL115" s="155">
        <f>COUNTIF($NQ115:$NU115,2)</f>
        <v/>
      </c>
      <c r="OM115" s="155">
        <f>COUNTIF($NQ115:$NU115,3)</f>
        <v/>
      </c>
      <c r="ON115" s="155">
        <f>COUNTIF($NQ115:$NU115,4)</f>
        <v/>
      </c>
      <c r="OO115" s="155">
        <f>COUNTIF($NQ115:$NU115,5)</f>
        <v/>
      </c>
      <c r="OP115" s="155">
        <f>COUNTIF($NQ115:$NU115,6)</f>
        <v/>
      </c>
      <c r="OQ115" s="155">
        <f>COUNTIF($OG115:$OH115,1)</f>
        <v/>
      </c>
      <c r="OR115" s="155">
        <f>COUNTIF($OG115:$OH115,2)+$OD115</f>
        <v/>
      </c>
      <c r="OS115" s="155">
        <f>COUNTIF($MV115:$MY115,"?*")</f>
        <v/>
      </c>
      <c r="OT115" s="155">
        <f>COUNTIF($MZ115:$NA115,"?*")+$OD115</f>
        <v/>
      </c>
      <c r="OU115" s="155">
        <f>IF($MQ115=0,0,SUMPRODUCT($OK115:$OP115,INDEX($I$2:$N$8,MAX(1,$MQ115),0)))</f>
        <v/>
      </c>
      <c r="OV115" s="155">
        <f>IF($MQ115=0,0,$OQ115*CEILING($MQ115/2,1)+$OR115*$MQ115)</f>
        <v/>
      </c>
      <c r="OW115" s="155">
        <f>MIN(2*$MQ115,$OV115)</f>
        <v/>
      </c>
      <c r="OX115" s="155">
        <f>MIN($OW115,$OU115)</f>
        <v/>
      </c>
      <c r="OY115" s="155">
        <f>$OW115-$OX115</f>
        <v/>
      </c>
      <c r="OZ115" s="155">
        <f>IF($MQ115=0,0,INDEX($P$2:$P$8,MAX(1,$MQ115)))</f>
        <v/>
      </c>
      <c r="PA115" s="155">
        <f>$OZ115-$OU115+$OX115</f>
        <v/>
      </c>
      <c r="PB115" s="155">
        <f>IF($MQ115=0,MAX(0,$NE115-IF($OS115&gt;0,1,0)),MAX(0,$PA115))</f>
        <v/>
      </c>
      <c r="PC115" s="155">
        <f>IF($MQ115=0,0,(IF(COUNTIF($MV115:$MY115,"Salto")&gt;0,1,0)+IF(COUNTIF($MV115:$MY115,"Queima")&gt;0,1,0)+IF(COUNTIF($MV115:$MY115,"Estilhaço")&gt;0,1,0))*FLOOR($PB115/2,1))</f>
        <v/>
      </c>
      <c r="PD115" s="155">
        <f>MAX(0,2-SUMPRODUCT($OK115:$OP115,$I$2:$N$2)+MIN(2,$OQ115*1+$OR115*1,SUMPRODUCT($OK115:$OP115,$I$2:$N$2)))</f>
        <v/>
      </c>
      <c r="PE115" s="155">
        <f>MAX(0,4-SUMPRODUCT($OK115:$OP115,$I$3:$N$3)+MIN(4,$OQ115*1+$OR115*2,SUMPRODUCT($OK115:$OP115,$I$3:$N$3)))</f>
        <v/>
      </c>
      <c r="PF115" s="155">
        <f>MAX(0,6-SUMPRODUCT($OK115:$OP115,$I$4:$N$4)+MIN(6,$OQ115*2+$OR115*3,SUMPRODUCT($OK115:$OP115,$I$4:$N$4)))</f>
        <v/>
      </c>
      <c r="PG115" s="155">
        <f>MAX(0,9-SUMPRODUCT($OK115:$OP115,$I$5:$N$5)+MIN(8,$OQ115*2+$OR115*4,SUMPRODUCT($OK115:$OP115,$I$5:$N$5)))</f>
        <v/>
      </c>
      <c r="PH115" s="155">
        <f>MAX(0,11-SUMPRODUCT($OK115:$OP115,$I$6:$N$6)+MIN(10,$OQ115*3+$OR115*5,SUMPRODUCT($OK115:$OP115,$I$6:$N$6)))</f>
        <v/>
      </c>
      <c r="PI115" s="155">
        <f>MAX(0,13-SUMPRODUCT($OK115:$OP115,$I$7:$N$7)+MIN(12,$OQ115*3+$OR115*6,SUMPRODUCT($OK115:$OP115,$I$7:$N$7)))</f>
        <v/>
      </c>
      <c r="PJ115" s="155">
        <f>MAX(0,16-SUMPRODUCT($OK115:$OP115,$I$8:$N$8)+MIN(14,$OQ115*4+$OR115*7,SUMPRODUCT($OK115:$OP115,$I$8:$N$8)))</f>
        <v/>
      </c>
      <c r="PK115" s="155">
        <f>IF($OE115=2,3*$PD115&amp;" de vida temp.",IF($OE115=3,"sem dano",IF($PD115=0,IF($OE115=1,"sem cura","sem dano"),IF($OE115=1,"cura ","")&amp;$PD115&amp;"d8")))</f>
        <v/>
      </c>
      <c r="PL115" s="155">
        <f>IF($OE115=2,3*$PE115&amp;" de vida temp.",IF($OE115=3,"sem dano",IF($PE115=0,IF($OE115=1,"sem cura","sem dano"),IF($OE115=1,"cura ","")&amp;$PE115&amp;"d8")))</f>
        <v/>
      </c>
      <c r="PM115" s="155">
        <f>IF($OE115=2,3*$PF115&amp;" de vida temp.",IF($OE115=3,"sem dano",IF($PF115=0,IF($OE115=1,"sem cura","sem dano"),IF($OE115=1,"cura ","")&amp;$PF115&amp;"d8")))</f>
        <v/>
      </c>
      <c r="PN115" s="155">
        <f>IF($OE115=2,3*$PG115&amp;" de vida temp.",IF($OE115=3,"sem dano",IF($PG115=0,IF($OE115=1,"sem cura","sem dano"),IF($OE115=1,"cura ","")&amp;$PG115&amp;"d8")))</f>
        <v/>
      </c>
      <c r="PO115" s="155">
        <f>IF($OE115=2,3*$PH115&amp;" de vida temp.",IF($OE115=3,"sem dano",IF($PH115=0,IF($OE115=1,"sem cura","sem dano"),IF($OE115=1,"cura ","")&amp;$PH115&amp;"d8")))</f>
        <v/>
      </c>
      <c r="PP115" s="155">
        <f>IF($OE115=2,3*$PI115&amp;" de vida temp.",IF($OE115=3,"sem dano",IF($PI115=0,IF($OE115=1,"sem cura","sem dano"),IF($OE115=1,"cura ","")&amp;$PI115&amp;"d8")))</f>
        <v/>
      </c>
      <c r="PQ115" s="155">
        <f>IF($OE115=2,3*$PJ115&amp;" de vida temp.",IF($OE115=3,"sem dano",IF($PJ115=0,IF($OE115=1,"sem cura","sem dano"),IF($OE115=1,"cura ","")&amp;$PJ115&amp;"d8")))</f>
        <v/>
      </c>
      <c r="PR115" s="155">
        <f>IF($NB115=0,"",TEXTJOIN(" · ",TRUE,IF($MO115&gt;$NC115,"Este lugar abre no nível "&amp;$MO115,""),IF($MQ115&gt;$ND115,"Classe "&amp;$MQ115&amp;": o nível "&amp;$NC115&amp;" libera até a "&amp;$ND115,""),IF($NV115=1,"A Forma "&amp;$MS115&amp;" pede "&amp;INDEX($W$2:$W$11,$NH115)&amp;" aberta",""),IF(AND($MQ115=0,$NH115&gt;0,IF($NH115=0,0,INDEX($AF$2:$AF$11,$NH115))=0),$MS115&amp;" não existe na Classe 0",""),IF($NW115=1,"Família Fechada: "&amp;$MV115,""),IF($NX115=1,"Família Fechada: "&amp;$MW115,""),IF($NY115=1,"Família Fechada: "&amp;$MX115,""),IF($NZ115=1,"Família Fechada: "&amp;$MY115,""),IF(AND($MQ115&gt;0,$OS115&gt;INDEX($O$2:$O$8,MAX(1,$MQ115))),$OS115&amp;" Melhorias: a Classe "&amp;$MQ115&amp;" aceita "&amp;INDEX($O$2:$O$8,MAX(1,$MQ115)),""),IF(AND($MQ115=0,$OS115&gt;1),"A básica aceita uma Melhoria",""),IF(AND($MQ115=0,COUNTIF($NM115:$NP115,"&gt;1")&gt;0),"A básica só aceita Melhoria Leve",""),IF(AND($MQ115&gt;0,$OT115&gt;2),$OT115&amp;" Restrições"&amp;IF($OD115=1,", contando a que a Forma "&amp;$MS115&amp;" já traz","")&amp;": o limite é 2",""),IF(AND($MQ115=0,COUNTIF($MZ115:$NA115,"?*")&gt;1),"A básica aceita uma Restrição Leve",""),IF(AND($MQ115=0,COUNTIF($OG115:$OH115,2)&gt;0),"A básica só aceita Restrição Leve",""),IF(AND($MQ115&gt;0,$PA115&lt;0),"Orçamento estourado: faltam "&amp;(-$PA115)&amp;IF($PA115&lt;-1," pontos"," ponto"),""),IF(IFERROR(VLOOKUP($MZ115,$BC$2:$BG$24,4,FALSE),0)+IFERROR(VLOOKUP($NA115,$BC$2:$BG$24,4,FALSE),0)&gt;1,$OI115&amp;" e "&amp;$OJ115&amp;" são as duas de frequência",""),IF(AND((COUNTIF($MV115:$MY115,"Rápido")+COUNTIF($OI115:$OJ115,"Rápido"))&gt;0,(COUNTIF($MV115:$MY115,"Atrasar")+COUNTIF($OI115:$OJ115,"Atrasar"))&gt;0),"Rápido não entra com Atrasar",""),IF(AND((COUNTIF($MV115:$MY115,"Reação")+COUNTIF($OI115:$OJ115,"Reação"))&gt;0,(COUNTIF($MV115:$MY115,"Rápido")+COUNTIF($OI115:$OJ115,"Rápido"))&gt;0),"Reação não entra com Rápido",""),IF(AND((COUNTIF($MV115:$MY115,"Reação")+COUNTIF($OI115:$OJ115,"Reação"))&gt;0,(COUNTIF($MV115:$MY115,"Armado")+COUNTIF($OI115:$OJ115,"Armado"))&gt;0),"Reação não entra com Armado",""),IF(AND((COUNTIF($MV115:$MY115,"Reação")+COUNTIF($OI115:$OJ115,"Reação"))&gt;0,(COUNTIF($MV115:$MY115,"Atrasar")+COUNTIF($OI115:$OJ115,"Atrasar"))&gt;0),"Reação não entra com Atrasar",""),IF(AND((COUNTIF($MV115:$MY115,"Reação")+COUNTIF($OI115:$OJ115,"Reação"))&gt;0,(COUNTIF($MV115:$MY115,"Parado")+COUNTIF($OI115:$OJ115,"Parado"))&gt;0),"Reação não entra com Parado",""),IF(AND((COUNTIF($MV115:$MY115,"Atrasar")+COUNTIF($OI115:$OJ115,"Atrasar"))&gt;0,(COUNTIF($MV115:$MY115,"Parado")+COUNTIF($OI115:$OJ115,"Parado"))&gt;0),"Atrasar não entra com Parado",""),IF(AND((COUNTIF($MV115:$MY115,"Armado")+COUNTIF($OI115:$OJ115,"Armado"))&gt;0,(COUNTIF($MV115:$MY115,"Carregar")+COUNTIF($OI115:$OJ115,"Carregar"))&gt;0),"Armado não entra com Carregar",""),IF(AND(COUNTIF($OI115:$OJ115,"Corpo a Corpo")&gt;0,$OD115=0,OR($MS115="Cone",$MS115="Linha")),"Corpo a Corpo não entra em "&amp;$MS115,""),IF(AND(COUNTIF($OI115:$OJ115,"Corpo a Corpo")&gt;0,$OD115=1),"A Forma "&amp;$MS115&amp;" já traz o Corpo a Corpo",""),IF(AND(COUNTIF($OI115:$OJ115,"Tudo ou Nada")&gt;0,$OF115=0),"Tudo ou Nada só entra em habilidade de Teste de Resistência",""),IF(AND(COUNTIF($MV115:$MY115,"Inescapável")&gt;0,OR($OS115&gt;1,$OT115&gt;0)),"Inescapável não aceita outra peça",""),IF(AND($MQ115&gt;0,$PB115*IF(COUNTIF($MV115:$MY115,"Remate")&gt;0,1.25,1)+$PC115&gt;4*$MQ115),($PB115*IF(COUNTIF($MV115:$MY115,"Remate")&gt;0,1.25,1)+$PC115)&amp;" dados somando repetições"&amp;IF(COUNTIF($MV115:$MY115,"Remate")&gt;0," e o Remate","")&amp;": o teto da Classe "&amp;$MQ115&amp;" é "&amp;4*$MQ115,"")))</f>
        <v/>
      </c>
      <c r="PS115" s="155">
        <f>IF($PR115="",0,(LEN($PR115)-LEN(SUBSTITUTE($PR115," · ","")))/3+1)</f>
        <v/>
      </c>
      <c r="PT115" s="155">
        <f>IF($NB115=0,"",TEXTJOIN(" · ",TRUE,IF($OV115&gt;2*$MQ115,"A devolução parou no teto de "&amp;2*$MQ115,""),IF($OY115&gt;0,"Devolução perdida: "&amp;$OY115&amp;IF($OY115&gt;1," pontos"," ponto")&amp;" sem peça para pagar",""),IF(AND($OA115&gt;0,AND($MQ115&gt;0,$OE115=0),$PB115=0),"Controle sem dano: uma rodada a mais e CD +2",""),IF(AND($OA115&gt;0,AND($MQ115&gt;0,$OE115=0),$PB115&gt;0,$PB115&lt;=$MQ115),"Controle com saldo até a Classe: uma rodada a mais",""),IF(AND($MQ115&gt;0,$OC115&lt;&gt;""),"Efeito de "&amp;$OC115&amp;" pela Classe "&amp;MAX(1,$MQ115-1),"")))</f>
        <v/>
      </c>
      <c r="PU115" s="155">
        <f>IF($PT115="",0,(LEN($PT115)-LEN(SUBSTITUTE($PT115," · ","")))/3+1)</f>
        <v/>
      </c>
      <c r="PV115" s="155">
        <f>IF($NB115=0,IF($OS115+COUNTIF($MZ115:$NA115,"?*")&gt;0,"Dê um nome",""),IF($PS115&gt;0,"⚠ "&amp;$PS115&amp;IF($PS115&gt;1," erros"," erro"),IF($PU115&gt;0,"! "&amp;$PU115&amp;IF($PU115&gt;1," avisos"," aviso"),"Na regra")))</f>
        <v/>
      </c>
      <c r="PW115" s="155">
        <f>IF($NB115=0,"",IF($PS115+$PU115=0,"Dentro das regras que a ficha confere",$PR115&amp;IF(AND($PS115&gt;0,$PU115&gt;0)," · ","")&amp;$PT115))</f>
        <v/>
      </c>
      <c r="PX115" s="155">
        <f>IF($MO115&gt;$NC115,$MP115&amp;" · ABRE NO NÍVEL "&amp;$MO115,$MP115)</f>
        <v/>
      </c>
      <c r="PY115" s="155">
        <f>IF($NB115=0,"",IF($MQ115=0,"Sem PE",3*$MQ115&amp;" PE"))</f>
        <v/>
      </c>
      <c r="PZ115" s="155">
        <f>IF($NB115=0,"",IF($MQ115=0,"A atuação básica dela",IF(COUNTIF($OI115:$OJ115,"Atrasar")&gt;0,"Sua Ação Completa",IF(COUNTIF($MV115:$MY115,"Rápido")&gt;0,"Sua Bônus",IF(COUNTIF($MV115:$MY115,"Reação")&gt;0,"Sua Reação","Sua Padrão")))&amp;" + a básica dela"&amp;IF(COUNTIF($MV115:$MY115,"Reação")&gt;0," e a coletiva","")&amp;IF(COUNTIF($OI115:$OJ115,"Carregar")&gt;0," · em dois turnos","")))</f>
        <v/>
      </c>
      <c r="QA115" s="155">
        <f>IF($MU115&lt;&gt;"",$MU115,IF($NH115=0,"",INDEX($AA$2:$AA$11,$NH115)))</f>
        <v/>
      </c>
      <c r="QB115" s="155">
        <f>IF(OR($NB115=0,$NH115=0),"",IF(COUNTIF($MV115:$MY115,"Inescapável")&gt;0,"Automático",IF($QA115="Ataque",IF($NF115="","Ataque","Ataque "&amp;IF(($NF115+2*IF(COUNTIF($MV115:$MY115,"Precisão")&gt;0,1,0))&gt;=0,"+","−")&amp;ABS(($NF115+2*IF(COUNTIF($MV115:$MY115,"Precisão")&gt;0,1,0))))&amp;IF($OB115&gt;0," · TR"&amp;IF($NG115="",""," CD "&amp;$NG115),""),IF(LEFT($QA115,2)="TR",$QA115&amp;IF($NG115="",""," · CD "&amp;$NG115)&amp;IF(COUNTIF($MV115:$MY115,"Certeiro")&gt;0," · metade",""),"Sem rolagem"))))</f>
        <v/>
      </c>
      <c r="QC115" s="155">
        <f>IF(OR($NB115=0,$NH115=0),"",IF($MQ115=0,IF(OR($OE115&gt;=1,$PB115=0),"Sem dano",$PB115&amp;"d6"&amp;IF($MT115="",""," "&amp;$MT115)),IF(OR($OE115&gt;=1,$PB115=0),UPPER(LEFT(INDEX($PK115:$PQ115,1,MAX(1,$MQ115)),1))&amp;MID(INDEX($PK115:$PQ115,1,MAX(1,$MQ115)),2,99),UPPER(LEFT(INDEX($PK115:$PQ115,1,MAX(1,$MQ115)),1))&amp;MID(INDEX($PK115:$PQ115,1,MAX(1,$MQ115)),2,99)&amp;IF($MT115="",""," "&amp;$MT115)&amp;IF($PC115&gt;0," · +"&amp;$PC115&amp;"d8",""))))</f>
        <v/>
      </c>
      <c r="QD115" s="155">
        <f>COUNTIF($MV115:$MY115,"Longe")+3*COUNTIF($MV115:$MY115,"Muito Longe")</f>
        <v/>
      </c>
      <c r="QE115" s="155">
        <f>COUNTIF($MV115:$MY115,"Maior")+3*COUNTIF($MV115:$MY115,"Muito Maior")</f>
        <v/>
      </c>
      <c r="QF115" s="155">
        <f>IF($NH115=0,0,CHOOSE(1+INDEX($AC$2:$AC$11,$NH115),0,$QD115,$QE115,$QD115+$QE115))</f>
        <v/>
      </c>
      <c r="QG115" s="155">
        <f>IF($NH115=0,0,CHOOSE(1+INDEX($AD$2:$AD$11,$NH115),0,$QD115,$QE115,$QD115+$QE115))</f>
        <v/>
      </c>
      <c r="QH115" s="155">
        <f>IF(OR($NB115=0,$NH115=0),"",INDEX($AI$2:$AN$41,($NH115-1)*4+IF($MQ115=0,1,IF($MQ115&lt;=5,2,IF($MQ115=6,3,4))),1+MIN(5,$QF115))&amp;INDEX($AO$2:$AT$41,($NH115-1)*4+IF($MQ115=0,1,IF($MQ115&lt;=5,2,IF($MQ115=6,3,4))),1+MIN(5,$QG115))&amp;IF(INDEX($AE$2:$AE$11,$NH115)=1,IF(COUNTIF($MV115:$MY115,"Mais Um")&gt;0," · +"&amp;COUNTIF($MV115:$MY115,"Mais Um")&amp;IF(COUNTIF($MV115:$MY115,"Mais Um")&gt;1," alvos"," alvo"),"")&amp;IF(COUNTIF($MV115:$MY115,"Rajada")&gt;0,IF($MQ115=0," · 1 tiro"," · "&amp;(MAX(1,$MQ115-1)+1)&amp;" tiros"),""),""))</f>
        <v/>
      </c>
      <c r="QI115" s="155">
        <f>IF($NB115=0,"",IF($MQ115=0,$NE115&amp;"d6"&amp;IF($OS115&gt;0," − 1 = "&amp;$PB115&amp;"d6"," da básica do nível "&amp;$NC115),$OZ115&amp;" − "&amp;$OU115&amp;" + "&amp;$OX115&amp;" = "&amp;$PA115&amp;" · teto "&amp;4*$MQ115&amp;"d8"&amp;IF($OD115=1," · a Forma devolve "&amp;$MQ115,"")&amp;IF($OY115&gt;0," · perde "&amp;$OY115,"")))</f>
        <v/>
      </c>
      <c r="QJ115" s="155">
        <f>IF($NB115=0,"",IF($MQ115=0,"A básica não amplia: os dados dela sobem com o nível",IF($MQ115&gt;=$ND115,"Já está na maior Classe que o nível liberou",TEXTJOIN(" · ",TRUE,IF(AND(2&gt;$MQ115,2&lt;=$ND115),"2 → "&amp;$PL115&amp;", 6 PE",""),IF(AND(3&gt;$MQ115,3&lt;=$ND115),"3 → "&amp;$PM115&amp;", 9 PE",""),IF(AND(4&gt;$MQ115,4&lt;=$ND115),"4 → "&amp;$PN115&amp;", 12 PE",""),IF(AND(5&gt;$MQ115,5&lt;=$ND115),"5 → "&amp;$PO115&amp;", 15 PE",""),IF(AND(6&gt;$MQ115,6&lt;=$ND115),"6 → "&amp;$PP115&amp;", 18 PE",""),IF(AND(7&gt;$MQ115,7&lt;=$ND115),"7 → "&amp;$PQ115&amp;", 21 PE","")))))</f>
        <v/>
      </c>
      <c r="QK115" s="155">
        <f>IF(OR($NB115=0,$NM115=0),"",IF($MQ115=0,"−1 dado","−"&amp;INDEX($I$2:$N$8,MAX(1,$MQ115),MAX(1,$NR115))&amp;" · "&amp;CHOOSE(MAX(1,$NR115),"Leve","Média","Pesada","Leve · Livre","Média · Livre","Pesada · Livre")))</f>
        <v/>
      </c>
      <c r="QL115" s="155">
        <f>IF(OR($NB115=0,$NN115=0),"",IF($MQ115=0,"−1 dado","−"&amp;INDEX($I$2:$N$8,MAX(1,$MQ115),MAX(1,$NS115))&amp;" · "&amp;CHOOSE(MAX(1,$NS115),"Leve","Média","Pesada","Leve · Livre","Média · Livre","Pesada · Livre")))</f>
        <v/>
      </c>
      <c r="QM115" s="155">
        <f>IF(OR($NB115=0,$NO115=0),"",IF($MQ115=0,"−1 dado","−"&amp;INDEX($I$2:$N$8,MAX(1,$MQ115),MAX(1,$NT115))&amp;" · "&amp;CHOOSE(MAX(1,$NT115),"Leve","Média","Pesada","Leve · Livre","Média · Livre","Pesada · Livre")))</f>
        <v/>
      </c>
      <c r="QN115" s="155">
        <f>IF(OR($NB115=0,$NP115=0),"",IF($MQ115=0,"−1 dado","−"&amp;INDEX($I$2:$N$8,MAX(1,$MQ115),MAX(1,$NU115))&amp;" · "&amp;CHOOSE(MAX(1,$NU115),"Leve","Média","Pesada","Leve · Livre","Média · Livre","Pesada · Livre")))</f>
        <v/>
      </c>
      <c r="QO115" s="155">
        <f>IF(OR($NB115=0,$MZ115=""),"",IF($MQ115=0,"não devolve","+"&amp;IF($OG115=1,CEILING($MQ115/2,1),$MQ115)))</f>
        <v/>
      </c>
      <c r="QP115" s="155">
        <f>IF(OR($NB115=0,$NA115=""),"",IF($MQ115=0,"não devolve","+"&amp;IF($OH115=1,CEILING($MQ115/2,1),$MQ115)))</f>
        <v/>
      </c>
    </row>
    <row r="116">
      <c r="ML116" s="153" t="inlineStr">
        <is>
          <t>Ficha 9 · Escolha da trilha 1</t>
        </is>
      </c>
      <c r="MM116" s="155" t="n">
        <v>9</v>
      </c>
      <c r="MN116" s="155" t="n">
        <v>2</v>
      </c>
      <c r="MO116" s="155" t="n">
        <v>0</v>
      </c>
      <c r="MP116" s="153" t="inlineStr">
        <is>
          <t>ESCOLHA DA TRILHA 1</t>
        </is>
      </c>
      <c r="MQ116" s="155">
        <f>MAX(0,MIN(7,N('INVOCAÇÕES'!$AB$556)))</f>
        <v/>
      </c>
      <c r="MR116" s="155">
        <f>'INVOCAÇÕES'!$AC$556&amp;""</f>
        <v/>
      </c>
      <c r="MS116" s="155">
        <f>'INVOCAÇÕES'!$AB$561&amp;""</f>
        <v/>
      </c>
      <c r="MT116" s="155">
        <f>'INVOCAÇÕES'!$AB$562&amp;""</f>
        <v/>
      </c>
      <c r="MU116" s="155">
        <f>'INVOCAÇÕES'!$AD$562&amp;""</f>
        <v/>
      </c>
      <c r="MV116" s="155">
        <f>'INVOCAÇÕES'!$AC$565&amp;""</f>
        <v/>
      </c>
      <c r="MW116" s="155">
        <f>'INVOCAÇÕES'!$AC$566&amp;""</f>
        <v/>
      </c>
      <c r="MX116" s="155">
        <f>'INVOCAÇÕES'!$AC$567&amp;""</f>
        <v/>
      </c>
      <c r="MY116" s="155">
        <f>'INVOCAÇÕES'!$AC$568&amp;""</f>
        <v/>
      </c>
      <c r="MZ116" s="155">
        <f>'INVOCAÇÕES'!$AC$569&amp;""</f>
        <v/>
      </c>
      <c r="NA116" s="155">
        <f>'INVOCAÇÕES'!$AC$570&amp;""</f>
        <v/>
      </c>
      <c r="NB116" s="155">
        <f>IF($MR116&lt;&gt;"",1,0)</f>
        <v/>
      </c>
      <c r="NC116" s="155">
        <f>INDEX($FM$2:$FM$13,$MM116)</f>
        <v/>
      </c>
      <c r="ND116" s="155">
        <f>INDEX($FN$2:$FN$13,$MM116)</f>
        <v/>
      </c>
      <c r="NE116" s="155">
        <f>INDEX($FO$2:$FO$13,$MM116)</f>
        <v/>
      </c>
      <c r="NF116" s="155">
        <f>INDEX($FZ$2:$FZ$13,$MM116)</f>
        <v/>
      </c>
      <c r="NG116" s="155">
        <f>INDEX($GA$2:$GA$13,$MM116)</f>
        <v/>
      </c>
      <c r="NH116" s="155">
        <f>IFERROR(MATCH($MS116,$V$2:$V$11,0),0)</f>
        <v/>
      </c>
      <c r="NI116" s="155">
        <f>IFERROR(VLOOKUP($MV116,$AV$2:$BA$84,2,FALSE),"")</f>
        <v/>
      </c>
      <c r="NJ116" s="155">
        <f>IFERROR(VLOOKUP($MW116,$AV$2:$BA$84,2,FALSE),"")</f>
        <v/>
      </c>
      <c r="NK116" s="155">
        <f>IFERROR(VLOOKUP($MX116,$AV$2:$BA$84,2,FALSE),"")</f>
        <v/>
      </c>
      <c r="NL116" s="155">
        <f>IFERROR(VLOOKUP($MY116,$AV$2:$BA$84,2,FALSE),"")</f>
        <v/>
      </c>
      <c r="NM116" s="155">
        <f>IFERROR(VLOOKUP($MV116,$AV$2:$BA$84,3,FALSE),0)</f>
        <v/>
      </c>
      <c r="NN116" s="155">
        <f>IFERROR(VLOOKUP($MW116,$AV$2:$BA$84,3,FALSE),0)</f>
        <v/>
      </c>
      <c r="NO116" s="155">
        <f>IFERROR(VLOOKUP($MX116,$AV$2:$BA$84,3,FALSE),0)</f>
        <v/>
      </c>
      <c r="NP116" s="155">
        <f>IFERROR(VLOOKUP($MY116,$AV$2:$BA$84,3,FALSE),0)</f>
        <v/>
      </c>
      <c r="NQ116" s="155">
        <f>IF($MQ116=0,0,IF($NH116=0,0,INDEX($X$2:$X$11,$NH116)))</f>
        <v/>
      </c>
      <c r="NR116" s="155">
        <f>IF(OR($NM116=0,$MQ116=0),0,$NM116+3*IF(AND($NI116&lt;&gt;"",OR($NI116=INDEX($EJ$2:$EJ$13,$MM116),$NI116=INDEX($EK$2:$EK$13,$MM116))),1,0))</f>
        <v/>
      </c>
      <c r="NS116" s="155">
        <f>IF(OR($NN116=0,$MQ116=0),0,$NN116+3*IF(AND($NJ116&lt;&gt;"",OR($NJ116=INDEX($EJ$2:$EJ$13,$MM116),$NJ116=INDEX($EK$2:$EK$13,$MM116))),1,0))</f>
        <v/>
      </c>
      <c r="NT116" s="155">
        <f>IF(OR($NO116=0,$MQ116=0),0,$NO116+3*IF(AND($NK116&lt;&gt;"",OR($NK116=INDEX($EJ$2:$EJ$13,$MM116),$NK116=INDEX($EK$2:$EK$13,$MM116))),1,0))</f>
        <v/>
      </c>
      <c r="NU116" s="155">
        <f>IF(OR($NP116=0,$MQ116=0),0,$NP116+3*IF(AND($NL116&lt;&gt;"",OR($NL116=INDEX($EJ$2:$EJ$13,$MM116),$NL116=INDEX($EK$2:$EK$13,$MM116))),1,0))</f>
        <v/>
      </c>
      <c r="NV116" s="155">
        <f>IF($NH116=0,0,IF(INDEX($W$2:$W$11,$NH116)="",0,IF(COUNTIF(INDEX($EJ$2:$EN$13,$MM116,0),INDEX($W$2:$W$11,$NH116))=0,1,0)))</f>
        <v/>
      </c>
      <c r="NW116" s="155">
        <f>IF(OR($NM116=0,$NI116=""),0,IF(COUNTIF(INDEX($EJ$2:$EN$13,$MM116,0),$NI116)=0,1,0))</f>
        <v/>
      </c>
      <c r="NX116" s="155">
        <f>IF(OR($NN116=0,$NJ116=""),0,IF(COUNTIF(INDEX($EJ$2:$EN$13,$MM116,0),$NJ116)=0,1,0))</f>
        <v/>
      </c>
      <c r="NY116" s="155">
        <f>IF(OR($NO116=0,$NK116=""),0,IF(COUNTIF(INDEX($EJ$2:$EN$13,$MM116,0),$NK116)=0,1,0))</f>
        <v/>
      </c>
      <c r="NZ116" s="155">
        <f>IF(OR($NP116=0,$NL116=""),0,IF(COUNTIF(INDEX($EJ$2:$EN$13,$MM116,0),$NL116)=0,1,0))</f>
        <v/>
      </c>
      <c r="OA116" s="155">
        <f>IFERROR(VLOOKUP($MV116,$AV$2:$BA$84,4,FALSE),0)+IFERROR(VLOOKUP($MW116,$AV$2:$BA$84,4,FALSE),0)+IFERROR(VLOOKUP($MX116,$AV$2:$BA$84,4,FALSE),0)+IFERROR(VLOOKUP($MY116,$AV$2:$BA$84,4,FALSE),0)</f>
        <v/>
      </c>
      <c r="OB116" s="155">
        <f>IFERROR(VLOOKUP($MV116,$AV$2:$BA$84,6,FALSE),0)+IFERROR(VLOOKUP($MW116,$AV$2:$BA$84,6,FALSE),0)+IFERROR(VLOOKUP($MX116,$AV$2:$BA$84,6,FALSE),0)+IFERROR(VLOOKUP($MY116,$AV$2:$BA$84,6,FALSE),0)</f>
        <v/>
      </c>
      <c r="OC116" s="155">
        <f>TEXTJOIN(", ",TRUE,IF(IFERROR(VLOOKUP($MV116,$AV$2:$BA$84,5,FALSE),0)=1,$MV116,""),IF(IFERROR(VLOOKUP($MW116,$AV$2:$BA$84,5,FALSE),0)=1,$MW116,""),IF(IFERROR(VLOOKUP($MX116,$AV$2:$BA$84,5,FALSE),0)=1,$MX116,""),IF(IFERROR(VLOOKUP($MY116,$AV$2:$BA$84,5,FALSE),0)=1,$MY116,""))</f>
        <v/>
      </c>
      <c r="OD116" s="155">
        <f>IF($NH116=0,0,INDEX($Y$2:$Y$11,$NH116))</f>
        <v/>
      </c>
      <c r="OE116" s="155">
        <f>IF($NH116=0,0,INDEX($Z$2:$Z$11,$NH116))</f>
        <v/>
      </c>
      <c r="OF116" s="155">
        <f>IF($NH116=0,0,INDEX($AB$2:$AB$11,$NH116))</f>
        <v/>
      </c>
      <c r="OG116" s="155">
        <f>IFERROR(VLOOKUP($MZ116,$BC$2:$BG$24,3,FALSE),0)</f>
        <v/>
      </c>
      <c r="OH116" s="155">
        <f>IFERROR(VLOOKUP($NA116,$BC$2:$BG$24,3,FALSE),0)</f>
        <v/>
      </c>
      <c r="OI116" s="155">
        <f>IFERROR(VLOOKUP($MZ116,$BC$2:$BG$24,2,FALSE),"")</f>
        <v/>
      </c>
      <c r="OJ116" s="155">
        <f>IFERROR(VLOOKUP($NA116,$BC$2:$BG$24,2,FALSE),"")</f>
        <v/>
      </c>
      <c r="OK116" s="155">
        <f>COUNTIF($NQ116:$NU116,1)</f>
        <v/>
      </c>
      <c r="OL116" s="155">
        <f>COUNTIF($NQ116:$NU116,2)</f>
        <v/>
      </c>
      <c r="OM116" s="155">
        <f>COUNTIF($NQ116:$NU116,3)</f>
        <v/>
      </c>
      <c r="ON116" s="155">
        <f>COUNTIF($NQ116:$NU116,4)</f>
        <v/>
      </c>
      <c r="OO116" s="155">
        <f>COUNTIF($NQ116:$NU116,5)</f>
        <v/>
      </c>
      <c r="OP116" s="155">
        <f>COUNTIF($NQ116:$NU116,6)</f>
        <v/>
      </c>
      <c r="OQ116" s="155">
        <f>COUNTIF($OG116:$OH116,1)</f>
        <v/>
      </c>
      <c r="OR116" s="155">
        <f>COUNTIF($OG116:$OH116,2)+$OD116</f>
        <v/>
      </c>
      <c r="OS116" s="155">
        <f>COUNTIF($MV116:$MY116,"?*")</f>
        <v/>
      </c>
      <c r="OT116" s="155">
        <f>COUNTIF($MZ116:$NA116,"?*")+$OD116</f>
        <v/>
      </c>
      <c r="OU116" s="155">
        <f>IF($MQ116=0,0,SUMPRODUCT($OK116:$OP116,INDEX($I$2:$N$8,MAX(1,$MQ116),0)))</f>
        <v/>
      </c>
      <c r="OV116" s="155">
        <f>IF($MQ116=0,0,$OQ116*CEILING($MQ116/2,1)+$OR116*$MQ116)</f>
        <v/>
      </c>
      <c r="OW116" s="155">
        <f>MIN(2*$MQ116,$OV116)</f>
        <v/>
      </c>
      <c r="OX116" s="155">
        <f>MIN($OW116,$OU116)</f>
        <v/>
      </c>
      <c r="OY116" s="155">
        <f>$OW116-$OX116</f>
        <v/>
      </c>
      <c r="OZ116" s="155">
        <f>IF($MQ116=0,0,INDEX($P$2:$P$8,MAX(1,$MQ116)))</f>
        <v/>
      </c>
      <c r="PA116" s="155">
        <f>$OZ116-$OU116+$OX116</f>
        <v/>
      </c>
      <c r="PB116" s="155">
        <f>IF($MQ116=0,MAX(0,$NE116-IF($OS116&gt;0,1,0)),MAX(0,$PA116))</f>
        <v/>
      </c>
      <c r="PC116" s="155">
        <f>IF($MQ116=0,0,(IF(COUNTIF($MV116:$MY116,"Salto")&gt;0,1,0)+IF(COUNTIF($MV116:$MY116,"Queima")&gt;0,1,0)+IF(COUNTIF($MV116:$MY116,"Estilhaço")&gt;0,1,0))*FLOOR($PB116/2,1))</f>
        <v/>
      </c>
      <c r="PD116" s="155">
        <f>MAX(0,2-SUMPRODUCT($OK116:$OP116,$I$2:$N$2)+MIN(2,$OQ116*1+$OR116*1,SUMPRODUCT($OK116:$OP116,$I$2:$N$2)))</f>
        <v/>
      </c>
      <c r="PE116" s="155">
        <f>MAX(0,4-SUMPRODUCT($OK116:$OP116,$I$3:$N$3)+MIN(4,$OQ116*1+$OR116*2,SUMPRODUCT($OK116:$OP116,$I$3:$N$3)))</f>
        <v/>
      </c>
      <c r="PF116" s="155">
        <f>MAX(0,6-SUMPRODUCT($OK116:$OP116,$I$4:$N$4)+MIN(6,$OQ116*2+$OR116*3,SUMPRODUCT($OK116:$OP116,$I$4:$N$4)))</f>
        <v/>
      </c>
      <c r="PG116" s="155">
        <f>MAX(0,9-SUMPRODUCT($OK116:$OP116,$I$5:$N$5)+MIN(8,$OQ116*2+$OR116*4,SUMPRODUCT($OK116:$OP116,$I$5:$N$5)))</f>
        <v/>
      </c>
      <c r="PH116" s="155">
        <f>MAX(0,11-SUMPRODUCT($OK116:$OP116,$I$6:$N$6)+MIN(10,$OQ116*3+$OR116*5,SUMPRODUCT($OK116:$OP116,$I$6:$N$6)))</f>
        <v/>
      </c>
      <c r="PI116" s="155">
        <f>MAX(0,13-SUMPRODUCT($OK116:$OP116,$I$7:$N$7)+MIN(12,$OQ116*3+$OR116*6,SUMPRODUCT($OK116:$OP116,$I$7:$N$7)))</f>
        <v/>
      </c>
      <c r="PJ116" s="155">
        <f>MAX(0,16-SUMPRODUCT($OK116:$OP116,$I$8:$N$8)+MIN(14,$OQ116*4+$OR116*7,SUMPRODUCT($OK116:$OP116,$I$8:$N$8)))</f>
        <v/>
      </c>
      <c r="PK116" s="155">
        <f>IF($OE116=2,3*$PD116&amp;" de vida temp.",IF($OE116=3,"sem dano",IF($PD116=0,IF($OE116=1,"sem cura","sem dano"),IF($OE116=1,"cura ","")&amp;$PD116&amp;"d8")))</f>
        <v/>
      </c>
      <c r="PL116" s="155">
        <f>IF($OE116=2,3*$PE116&amp;" de vida temp.",IF($OE116=3,"sem dano",IF($PE116=0,IF($OE116=1,"sem cura","sem dano"),IF($OE116=1,"cura ","")&amp;$PE116&amp;"d8")))</f>
        <v/>
      </c>
      <c r="PM116" s="155">
        <f>IF($OE116=2,3*$PF116&amp;" de vida temp.",IF($OE116=3,"sem dano",IF($PF116=0,IF($OE116=1,"sem cura","sem dano"),IF($OE116=1,"cura ","")&amp;$PF116&amp;"d8")))</f>
        <v/>
      </c>
      <c r="PN116" s="155">
        <f>IF($OE116=2,3*$PG116&amp;" de vida temp.",IF($OE116=3,"sem dano",IF($PG116=0,IF($OE116=1,"sem cura","sem dano"),IF($OE116=1,"cura ","")&amp;$PG116&amp;"d8")))</f>
        <v/>
      </c>
      <c r="PO116" s="155">
        <f>IF($OE116=2,3*$PH116&amp;" de vida temp.",IF($OE116=3,"sem dano",IF($PH116=0,IF($OE116=1,"sem cura","sem dano"),IF($OE116=1,"cura ","")&amp;$PH116&amp;"d8")))</f>
        <v/>
      </c>
      <c r="PP116" s="155">
        <f>IF($OE116=2,3*$PI116&amp;" de vida temp.",IF($OE116=3,"sem dano",IF($PI116=0,IF($OE116=1,"sem cura","sem dano"),IF($OE116=1,"cura ","")&amp;$PI116&amp;"d8")))</f>
        <v/>
      </c>
      <c r="PQ116" s="155">
        <f>IF($OE116=2,3*$PJ116&amp;" de vida temp.",IF($OE116=3,"sem dano",IF($PJ116=0,IF($OE116=1,"sem cura","sem dano"),IF($OE116=1,"cura ","")&amp;$PJ116&amp;"d8")))</f>
        <v/>
      </c>
      <c r="PR116" s="155">
        <f>IF($NB116=0,"",TEXTJOIN(" · ",TRUE,IF($MO116&gt;$NC116,"Este lugar abre no nível "&amp;$MO116,""),IF($MQ116&gt;$ND116,"Classe "&amp;$MQ116&amp;": o nível "&amp;$NC116&amp;" libera até a "&amp;$ND116,""),IF($NV116=1,"A Forma "&amp;$MS116&amp;" pede "&amp;INDEX($W$2:$W$11,$NH116)&amp;" aberta",""),IF(AND($MQ116=0,$NH116&gt;0,IF($NH116=0,0,INDEX($AF$2:$AF$11,$NH116))=0),$MS116&amp;" não existe na Classe 0",""),IF($NW116=1,"Família Fechada: "&amp;$MV116,""),IF($NX116=1,"Família Fechada: "&amp;$MW116,""),IF($NY116=1,"Família Fechada: "&amp;$MX116,""),IF($NZ116=1,"Família Fechada: "&amp;$MY116,""),IF(AND($MQ116&gt;0,$OS116&gt;INDEX($O$2:$O$8,MAX(1,$MQ116))),$OS116&amp;" Melhorias: a Classe "&amp;$MQ116&amp;" aceita "&amp;INDEX($O$2:$O$8,MAX(1,$MQ116)),""),IF(AND($MQ116=0,$OS116&gt;1),"A básica aceita uma Melhoria",""),IF(AND($MQ116=0,COUNTIF($NM116:$NP116,"&gt;1")&gt;0),"A básica só aceita Melhoria Leve",""),IF(AND($MQ116&gt;0,$OT116&gt;2),$OT116&amp;" Restrições"&amp;IF($OD116=1,", contando a que a Forma "&amp;$MS116&amp;" já traz","")&amp;": o limite é 2",""),IF(AND($MQ116=0,COUNTIF($MZ116:$NA116,"?*")&gt;1),"A básica aceita uma Restrição Leve",""),IF(AND($MQ116=0,COUNTIF($OG116:$OH116,2)&gt;0),"A básica só aceita Restrição Leve",""),IF(AND($MQ116&gt;0,$PA116&lt;0),"Orçamento estourado: faltam "&amp;(-$PA116)&amp;IF($PA116&lt;-1," pontos"," ponto"),""),IF(IFERROR(VLOOKUP($MZ116,$BC$2:$BG$24,4,FALSE),0)+IFERROR(VLOOKUP($NA116,$BC$2:$BG$24,4,FALSE),0)&gt;1,$OI116&amp;" e "&amp;$OJ116&amp;" são as duas de frequência",""),IF(AND((COUNTIF($MV116:$MY116,"Rápido")+COUNTIF($OI116:$OJ116,"Rápido"))&gt;0,(COUNTIF($MV116:$MY116,"Atrasar")+COUNTIF($OI116:$OJ116,"Atrasar"))&gt;0),"Rápido não entra com Atrasar",""),IF(AND((COUNTIF($MV116:$MY116,"Reação")+COUNTIF($OI116:$OJ116,"Reação"))&gt;0,(COUNTIF($MV116:$MY116,"Rápido")+COUNTIF($OI116:$OJ116,"Rápido"))&gt;0),"Reação não entra com Rápido",""),IF(AND((COUNTIF($MV116:$MY116,"Reação")+COUNTIF($OI116:$OJ116,"Reação"))&gt;0,(COUNTIF($MV116:$MY116,"Armado")+COUNTIF($OI116:$OJ116,"Armado"))&gt;0),"Reação não entra com Armado",""),IF(AND((COUNTIF($MV116:$MY116,"Reação")+COUNTIF($OI116:$OJ116,"Reação"))&gt;0,(COUNTIF($MV116:$MY116,"Atrasar")+COUNTIF($OI116:$OJ116,"Atrasar"))&gt;0),"Reação não entra com Atrasar",""),IF(AND((COUNTIF($MV116:$MY116,"Reação")+COUNTIF($OI116:$OJ116,"Reação"))&gt;0,(COUNTIF($MV116:$MY116,"Parado")+COUNTIF($OI116:$OJ116,"Parado"))&gt;0),"Reação não entra com Parado",""),IF(AND((COUNTIF($MV116:$MY116,"Atrasar")+COUNTIF($OI116:$OJ116,"Atrasar"))&gt;0,(COUNTIF($MV116:$MY116,"Parado")+COUNTIF($OI116:$OJ116,"Parado"))&gt;0),"Atrasar não entra com Parado",""),IF(AND((COUNTIF($MV116:$MY116,"Armado")+COUNTIF($OI116:$OJ116,"Armado"))&gt;0,(COUNTIF($MV116:$MY116,"Carregar")+COUNTIF($OI116:$OJ116,"Carregar"))&gt;0),"Armado não entra com Carregar",""),IF(AND(COUNTIF($OI116:$OJ116,"Corpo a Corpo")&gt;0,$OD116=0,OR($MS116="Cone",$MS116="Linha")),"Corpo a Corpo não entra em "&amp;$MS116,""),IF(AND(COUNTIF($OI116:$OJ116,"Corpo a Corpo")&gt;0,$OD116=1),"A Forma "&amp;$MS116&amp;" já traz o Corpo a Corpo",""),IF(AND(COUNTIF($OI116:$OJ116,"Tudo ou Nada")&gt;0,$OF116=0),"Tudo ou Nada só entra em habilidade de Teste de Resistência",""),IF(AND(COUNTIF($MV116:$MY116,"Inescapável")&gt;0,OR($OS116&gt;1,$OT116&gt;0)),"Inescapável não aceita outra peça",""),IF(AND($MQ116&gt;0,$PB116*IF(COUNTIF($MV116:$MY116,"Remate")&gt;0,1.25,1)+$PC116&gt;4*$MQ116),($PB116*IF(COUNTIF($MV116:$MY116,"Remate")&gt;0,1.25,1)+$PC116)&amp;" dados somando repetições"&amp;IF(COUNTIF($MV116:$MY116,"Remate")&gt;0," e o Remate","")&amp;": o teto da Classe "&amp;$MQ116&amp;" é "&amp;4*$MQ116,"")))</f>
        <v/>
      </c>
      <c r="PS116" s="155">
        <f>IF($PR116="",0,(LEN($PR116)-LEN(SUBSTITUTE($PR116," · ","")))/3+1)</f>
        <v/>
      </c>
      <c r="PT116" s="155">
        <f>IF($NB116=0,"",TEXTJOIN(" · ",TRUE,IF($OV116&gt;2*$MQ116,"A devolução parou no teto de "&amp;2*$MQ116,""),IF($OY116&gt;0,"Devolução perdida: "&amp;$OY116&amp;IF($OY116&gt;1," pontos"," ponto")&amp;" sem peça para pagar",""),IF(AND($OA116&gt;0,AND($MQ116&gt;0,$OE116=0),$PB116=0),"Controle sem dano: uma rodada a mais e CD +2",""),IF(AND($OA116&gt;0,AND($MQ116&gt;0,$OE116=0),$PB116&gt;0,$PB116&lt;=$MQ116),"Controle com saldo até a Classe: uma rodada a mais",""),IF(AND($MQ116&gt;0,$OC116&lt;&gt;""),"Efeito de "&amp;$OC116&amp;" pela Classe "&amp;MAX(1,$MQ116-1),"")))</f>
        <v/>
      </c>
      <c r="PU116" s="155">
        <f>IF($PT116="",0,(LEN($PT116)-LEN(SUBSTITUTE($PT116," · ","")))/3+1)</f>
        <v/>
      </c>
      <c r="PV116" s="155">
        <f>IF($NB116=0,IF($OS116+COUNTIF($MZ116:$NA116,"?*")&gt;0,"Dê um nome",""),IF($PS116&gt;0,"⚠ "&amp;$PS116&amp;IF($PS116&gt;1," erros"," erro"),IF($PU116&gt;0,"! "&amp;$PU116&amp;IF($PU116&gt;1," avisos"," aviso"),"Na regra")))</f>
        <v/>
      </c>
      <c r="PW116" s="155">
        <f>IF($NB116=0,"",IF($PS116+$PU116=0,"Dentro das regras que a ficha confere",$PR116&amp;IF(AND($PS116&gt;0,$PU116&gt;0)," · ","")&amp;$PT116))</f>
        <v/>
      </c>
      <c r="PX116" s="155">
        <f>IF($MO116&gt;$NC116,$MP116&amp;" · ABRE NO NÍVEL "&amp;$MO116,$MP116)</f>
        <v/>
      </c>
      <c r="PY116" s="155">
        <f>IF($NB116=0,"",IF($MQ116=0,"Sem PE",3*$MQ116&amp;" PE"))</f>
        <v/>
      </c>
      <c r="PZ116" s="155">
        <f>IF($NB116=0,"",IF($MQ116=0,"A atuação básica dela",IF(COUNTIF($OI116:$OJ116,"Atrasar")&gt;0,"Sua Ação Completa",IF(COUNTIF($MV116:$MY116,"Rápido")&gt;0,"Sua Bônus",IF(COUNTIF($MV116:$MY116,"Reação")&gt;0,"Sua Reação","Sua Padrão")))&amp;" + a básica dela"&amp;IF(COUNTIF($MV116:$MY116,"Reação")&gt;0," e a coletiva","")&amp;IF(COUNTIF($OI116:$OJ116,"Carregar")&gt;0," · em dois turnos","")))</f>
        <v/>
      </c>
      <c r="QA116" s="155">
        <f>IF($MU116&lt;&gt;"",$MU116,IF($NH116=0,"",INDEX($AA$2:$AA$11,$NH116)))</f>
        <v/>
      </c>
      <c r="QB116" s="155">
        <f>IF(OR($NB116=0,$NH116=0),"",IF(COUNTIF($MV116:$MY116,"Inescapável")&gt;0,"Automático",IF($QA116="Ataque",IF($NF116="","Ataque","Ataque "&amp;IF(($NF116+2*IF(COUNTIF($MV116:$MY116,"Precisão")&gt;0,1,0))&gt;=0,"+","−")&amp;ABS(($NF116+2*IF(COUNTIF($MV116:$MY116,"Precisão")&gt;0,1,0))))&amp;IF($OB116&gt;0," · TR"&amp;IF($NG116="",""," CD "&amp;$NG116),""),IF(LEFT($QA116,2)="TR",$QA116&amp;IF($NG116="",""," · CD "&amp;$NG116)&amp;IF(COUNTIF($MV116:$MY116,"Certeiro")&gt;0," · metade",""),"Sem rolagem"))))</f>
        <v/>
      </c>
      <c r="QC116" s="155">
        <f>IF(OR($NB116=0,$NH116=0),"",IF($MQ116=0,IF(OR($OE116&gt;=1,$PB116=0),"Sem dano",$PB116&amp;"d6"&amp;IF($MT116="",""," "&amp;$MT116)),IF(OR($OE116&gt;=1,$PB116=0),UPPER(LEFT(INDEX($PK116:$PQ116,1,MAX(1,$MQ116)),1))&amp;MID(INDEX($PK116:$PQ116,1,MAX(1,$MQ116)),2,99),UPPER(LEFT(INDEX($PK116:$PQ116,1,MAX(1,$MQ116)),1))&amp;MID(INDEX($PK116:$PQ116,1,MAX(1,$MQ116)),2,99)&amp;IF($MT116="",""," "&amp;$MT116)&amp;IF($PC116&gt;0," · +"&amp;$PC116&amp;"d8",""))))</f>
        <v/>
      </c>
      <c r="QD116" s="155">
        <f>COUNTIF($MV116:$MY116,"Longe")+3*COUNTIF($MV116:$MY116,"Muito Longe")</f>
        <v/>
      </c>
      <c r="QE116" s="155">
        <f>COUNTIF($MV116:$MY116,"Maior")+3*COUNTIF($MV116:$MY116,"Muito Maior")</f>
        <v/>
      </c>
      <c r="QF116" s="155">
        <f>IF($NH116=0,0,CHOOSE(1+INDEX($AC$2:$AC$11,$NH116),0,$QD116,$QE116,$QD116+$QE116))</f>
        <v/>
      </c>
      <c r="QG116" s="155">
        <f>IF($NH116=0,0,CHOOSE(1+INDEX($AD$2:$AD$11,$NH116),0,$QD116,$QE116,$QD116+$QE116))</f>
        <v/>
      </c>
      <c r="QH116" s="155">
        <f>IF(OR($NB116=0,$NH116=0),"",INDEX($AI$2:$AN$41,($NH116-1)*4+IF($MQ116=0,1,IF($MQ116&lt;=5,2,IF($MQ116=6,3,4))),1+MIN(5,$QF116))&amp;INDEX($AO$2:$AT$41,($NH116-1)*4+IF($MQ116=0,1,IF($MQ116&lt;=5,2,IF($MQ116=6,3,4))),1+MIN(5,$QG116))&amp;IF(INDEX($AE$2:$AE$11,$NH116)=1,IF(COUNTIF($MV116:$MY116,"Mais Um")&gt;0," · +"&amp;COUNTIF($MV116:$MY116,"Mais Um")&amp;IF(COUNTIF($MV116:$MY116,"Mais Um")&gt;1," alvos"," alvo"),"")&amp;IF(COUNTIF($MV116:$MY116,"Rajada")&gt;0,IF($MQ116=0," · 1 tiro"," · "&amp;(MAX(1,$MQ116-1)+1)&amp;" tiros"),""),""))</f>
        <v/>
      </c>
      <c r="QI116" s="155">
        <f>IF($NB116=0,"",IF($MQ116=0,$NE116&amp;"d6"&amp;IF($OS116&gt;0," − 1 = "&amp;$PB116&amp;"d6"," da básica do nível "&amp;$NC116),$OZ116&amp;" − "&amp;$OU116&amp;" + "&amp;$OX116&amp;" = "&amp;$PA116&amp;" · teto "&amp;4*$MQ116&amp;"d8"&amp;IF($OD116=1," · a Forma devolve "&amp;$MQ116,"")&amp;IF($OY116&gt;0," · perde "&amp;$OY116,"")))</f>
        <v/>
      </c>
      <c r="QJ116" s="155">
        <f>IF($NB116=0,"",IF($MQ116=0,"A básica não amplia: os dados dela sobem com o nível",IF($MQ116&gt;=$ND116,"Já está na maior Classe que o nível liberou",TEXTJOIN(" · ",TRUE,IF(AND(2&gt;$MQ116,2&lt;=$ND116),"2 → "&amp;$PL116&amp;", 6 PE",""),IF(AND(3&gt;$MQ116,3&lt;=$ND116),"3 → "&amp;$PM116&amp;", 9 PE",""),IF(AND(4&gt;$MQ116,4&lt;=$ND116),"4 → "&amp;$PN116&amp;", 12 PE",""),IF(AND(5&gt;$MQ116,5&lt;=$ND116),"5 → "&amp;$PO116&amp;", 15 PE",""),IF(AND(6&gt;$MQ116,6&lt;=$ND116),"6 → "&amp;$PP116&amp;", 18 PE",""),IF(AND(7&gt;$MQ116,7&lt;=$ND116),"7 → "&amp;$PQ116&amp;", 21 PE","")))))</f>
        <v/>
      </c>
      <c r="QK116" s="155">
        <f>IF(OR($NB116=0,$NM116=0),"",IF($MQ116=0,"−1 dado","−"&amp;INDEX($I$2:$N$8,MAX(1,$MQ116),MAX(1,$NR116))&amp;" · "&amp;CHOOSE(MAX(1,$NR116),"Leve","Média","Pesada","Leve · Livre","Média · Livre","Pesada · Livre")))</f>
        <v/>
      </c>
      <c r="QL116" s="155">
        <f>IF(OR($NB116=0,$NN116=0),"",IF($MQ116=0,"−1 dado","−"&amp;INDEX($I$2:$N$8,MAX(1,$MQ116),MAX(1,$NS116))&amp;" · "&amp;CHOOSE(MAX(1,$NS116),"Leve","Média","Pesada","Leve · Livre","Média · Livre","Pesada · Livre")))</f>
        <v/>
      </c>
      <c r="QM116" s="155">
        <f>IF(OR($NB116=0,$NO116=0),"",IF($MQ116=0,"−1 dado","−"&amp;INDEX($I$2:$N$8,MAX(1,$MQ116),MAX(1,$NT116))&amp;" · "&amp;CHOOSE(MAX(1,$NT116),"Leve","Média","Pesada","Leve · Livre","Média · Livre","Pesada · Livre")))</f>
        <v/>
      </c>
      <c r="QN116" s="155">
        <f>IF(OR($NB116=0,$NP116=0),"",IF($MQ116=0,"−1 dado","−"&amp;INDEX($I$2:$N$8,MAX(1,$MQ116),MAX(1,$NU116))&amp;" · "&amp;CHOOSE(MAX(1,$NU116),"Leve","Média","Pesada","Leve · Livre","Média · Livre","Pesada · Livre")))</f>
        <v/>
      </c>
      <c r="QO116" s="155">
        <f>IF(OR($NB116=0,$MZ116=""),"",IF($MQ116=0,"não devolve","+"&amp;IF($OG116=1,CEILING($MQ116/2,1),$MQ116)))</f>
        <v/>
      </c>
      <c r="QP116" s="155">
        <f>IF(OR($NB116=0,$NA116=""),"",IF($MQ116=0,"não devolve","+"&amp;IF($OH116=1,CEILING($MQ116/2,1),$MQ116)))</f>
        <v/>
      </c>
    </row>
    <row r="117">
      <c r="ML117" s="153" t="inlineStr">
        <is>
          <t>Ficha 9 · Escolha da trilha 2</t>
        </is>
      </c>
      <c r="MM117" s="155" t="n">
        <v>9</v>
      </c>
      <c r="MN117" s="155" t="n">
        <v>2</v>
      </c>
      <c r="MO117" s="155" t="n">
        <v>0</v>
      </c>
      <c r="MP117" s="153" t="inlineStr">
        <is>
          <t>ESCOLHA DA TRILHA 2</t>
        </is>
      </c>
      <c r="MQ117" s="155">
        <f>MAX(0,MIN(7,N('INVOCAÇÕES'!$AH$556)))</f>
        <v/>
      </c>
      <c r="MR117" s="155">
        <f>'INVOCAÇÕES'!$AI$556&amp;""</f>
        <v/>
      </c>
      <c r="MS117" s="155">
        <f>'INVOCAÇÕES'!$AH$561&amp;""</f>
        <v/>
      </c>
      <c r="MT117" s="155">
        <f>'INVOCAÇÕES'!$AH$562&amp;""</f>
        <v/>
      </c>
      <c r="MU117" s="155">
        <f>'INVOCAÇÕES'!$AJ$562&amp;""</f>
        <v/>
      </c>
      <c r="MV117" s="155">
        <f>'INVOCAÇÕES'!$AI$565&amp;""</f>
        <v/>
      </c>
      <c r="MW117" s="155">
        <f>'INVOCAÇÕES'!$AI$566&amp;""</f>
        <v/>
      </c>
      <c r="MX117" s="155">
        <f>'INVOCAÇÕES'!$AI$567&amp;""</f>
        <v/>
      </c>
      <c r="MY117" s="155">
        <f>'INVOCAÇÕES'!$AI$568&amp;""</f>
        <v/>
      </c>
      <c r="MZ117" s="155">
        <f>'INVOCAÇÕES'!$AI$569&amp;""</f>
        <v/>
      </c>
      <c r="NA117" s="155">
        <f>'INVOCAÇÕES'!$AI$570&amp;""</f>
        <v/>
      </c>
      <c r="NB117" s="155">
        <f>IF($MR117&lt;&gt;"",1,0)</f>
        <v/>
      </c>
      <c r="NC117" s="155">
        <f>INDEX($FM$2:$FM$13,$MM117)</f>
        <v/>
      </c>
      <c r="ND117" s="155">
        <f>INDEX($FN$2:$FN$13,$MM117)</f>
        <v/>
      </c>
      <c r="NE117" s="155">
        <f>INDEX($FO$2:$FO$13,$MM117)</f>
        <v/>
      </c>
      <c r="NF117" s="155">
        <f>INDEX($FZ$2:$FZ$13,$MM117)</f>
        <v/>
      </c>
      <c r="NG117" s="155">
        <f>INDEX($GA$2:$GA$13,$MM117)</f>
        <v/>
      </c>
      <c r="NH117" s="155">
        <f>IFERROR(MATCH($MS117,$V$2:$V$11,0),0)</f>
        <v/>
      </c>
      <c r="NI117" s="155">
        <f>IFERROR(VLOOKUP($MV117,$AV$2:$BA$84,2,FALSE),"")</f>
        <v/>
      </c>
      <c r="NJ117" s="155">
        <f>IFERROR(VLOOKUP($MW117,$AV$2:$BA$84,2,FALSE),"")</f>
        <v/>
      </c>
      <c r="NK117" s="155">
        <f>IFERROR(VLOOKUP($MX117,$AV$2:$BA$84,2,FALSE),"")</f>
        <v/>
      </c>
      <c r="NL117" s="155">
        <f>IFERROR(VLOOKUP($MY117,$AV$2:$BA$84,2,FALSE),"")</f>
        <v/>
      </c>
      <c r="NM117" s="155">
        <f>IFERROR(VLOOKUP($MV117,$AV$2:$BA$84,3,FALSE),0)</f>
        <v/>
      </c>
      <c r="NN117" s="155">
        <f>IFERROR(VLOOKUP($MW117,$AV$2:$BA$84,3,FALSE),0)</f>
        <v/>
      </c>
      <c r="NO117" s="155">
        <f>IFERROR(VLOOKUP($MX117,$AV$2:$BA$84,3,FALSE),0)</f>
        <v/>
      </c>
      <c r="NP117" s="155">
        <f>IFERROR(VLOOKUP($MY117,$AV$2:$BA$84,3,FALSE),0)</f>
        <v/>
      </c>
      <c r="NQ117" s="155">
        <f>IF($MQ117=0,0,IF($NH117=0,0,INDEX($X$2:$X$11,$NH117)))</f>
        <v/>
      </c>
      <c r="NR117" s="155">
        <f>IF(OR($NM117=0,$MQ117=0),0,$NM117+3*IF(AND($NI117&lt;&gt;"",OR($NI117=INDEX($EJ$2:$EJ$13,$MM117),$NI117=INDEX($EK$2:$EK$13,$MM117))),1,0))</f>
        <v/>
      </c>
      <c r="NS117" s="155">
        <f>IF(OR($NN117=0,$MQ117=0),0,$NN117+3*IF(AND($NJ117&lt;&gt;"",OR($NJ117=INDEX($EJ$2:$EJ$13,$MM117),$NJ117=INDEX($EK$2:$EK$13,$MM117))),1,0))</f>
        <v/>
      </c>
      <c r="NT117" s="155">
        <f>IF(OR($NO117=0,$MQ117=0),0,$NO117+3*IF(AND($NK117&lt;&gt;"",OR($NK117=INDEX($EJ$2:$EJ$13,$MM117),$NK117=INDEX($EK$2:$EK$13,$MM117))),1,0))</f>
        <v/>
      </c>
      <c r="NU117" s="155">
        <f>IF(OR($NP117=0,$MQ117=0),0,$NP117+3*IF(AND($NL117&lt;&gt;"",OR($NL117=INDEX($EJ$2:$EJ$13,$MM117),$NL117=INDEX($EK$2:$EK$13,$MM117))),1,0))</f>
        <v/>
      </c>
      <c r="NV117" s="155">
        <f>IF($NH117=0,0,IF(INDEX($W$2:$W$11,$NH117)="",0,IF(COUNTIF(INDEX($EJ$2:$EN$13,$MM117,0),INDEX($W$2:$W$11,$NH117))=0,1,0)))</f>
        <v/>
      </c>
      <c r="NW117" s="155">
        <f>IF(OR($NM117=0,$NI117=""),0,IF(COUNTIF(INDEX($EJ$2:$EN$13,$MM117,0),$NI117)=0,1,0))</f>
        <v/>
      </c>
      <c r="NX117" s="155">
        <f>IF(OR($NN117=0,$NJ117=""),0,IF(COUNTIF(INDEX($EJ$2:$EN$13,$MM117,0),$NJ117)=0,1,0))</f>
        <v/>
      </c>
      <c r="NY117" s="155">
        <f>IF(OR($NO117=0,$NK117=""),0,IF(COUNTIF(INDEX($EJ$2:$EN$13,$MM117,0),$NK117)=0,1,0))</f>
        <v/>
      </c>
      <c r="NZ117" s="155">
        <f>IF(OR($NP117=0,$NL117=""),0,IF(COUNTIF(INDEX($EJ$2:$EN$13,$MM117,0),$NL117)=0,1,0))</f>
        <v/>
      </c>
      <c r="OA117" s="155">
        <f>IFERROR(VLOOKUP($MV117,$AV$2:$BA$84,4,FALSE),0)+IFERROR(VLOOKUP($MW117,$AV$2:$BA$84,4,FALSE),0)+IFERROR(VLOOKUP($MX117,$AV$2:$BA$84,4,FALSE),0)+IFERROR(VLOOKUP($MY117,$AV$2:$BA$84,4,FALSE),0)</f>
        <v/>
      </c>
      <c r="OB117" s="155">
        <f>IFERROR(VLOOKUP($MV117,$AV$2:$BA$84,6,FALSE),0)+IFERROR(VLOOKUP($MW117,$AV$2:$BA$84,6,FALSE),0)+IFERROR(VLOOKUP($MX117,$AV$2:$BA$84,6,FALSE),0)+IFERROR(VLOOKUP($MY117,$AV$2:$BA$84,6,FALSE),0)</f>
        <v/>
      </c>
      <c r="OC117" s="155">
        <f>TEXTJOIN(", ",TRUE,IF(IFERROR(VLOOKUP($MV117,$AV$2:$BA$84,5,FALSE),0)=1,$MV117,""),IF(IFERROR(VLOOKUP($MW117,$AV$2:$BA$84,5,FALSE),0)=1,$MW117,""),IF(IFERROR(VLOOKUP($MX117,$AV$2:$BA$84,5,FALSE),0)=1,$MX117,""),IF(IFERROR(VLOOKUP($MY117,$AV$2:$BA$84,5,FALSE),0)=1,$MY117,""))</f>
        <v/>
      </c>
      <c r="OD117" s="155">
        <f>IF($NH117=0,0,INDEX($Y$2:$Y$11,$NH117))</f>
        <v/>
      </c>
      <c r="OE117" s="155">
        <f>IF($NH117=0,0,INDEX($Z$2:$Z$11,$NH117))</f>
        <v/>
      </c>
      <c r="OF117" s="155">
        <f>IF($NH117=0,0,INDEX($AB$2:$AB$11,$NH117))</f>
        <v/>
      </c>
      <c r="OG117" s="155">
        <f>IFERROR(VLOOKUP($MZ117,$BC$2:$BG$24,3,FALSE),0)</f>
        <v/>
      </c>
      <c r="OH117" s="155">
        <f>IFERROR(VLOOKUP($NA117,$BC$2:$BG$24,3,FALSE),0)</f>
        <v/>
      </c>
      <c r="OI117" s="155">
        <f>IFERROR(VLOOKUP($MZ117,$BC$2:$BG$24,2,FALSE),"")</f>
        <v/>
      </c>
      <c r="OJ117" s="155">
        <f>IFERROR(VLOOKUP($NA117,$BC$2:$BG$24,2,FALSE),"")</f>
        <v/>
      </c>
      <c r="OK117" s="155">
        <f>COUNTIF($NQ117:$NU117,1)</f>
        <v/>
      </c>
      <c r="OL117" s="155">
        <f>COUNTIF($NQ117:$NU117,2)</f>
        <v/>
      </c>
      <c r="OM117" s="155">
        <f>COUNTIF($NQ117:$NU117,3)</f>
        <v/>
      </c>
      <c r="ON117" s="155">
        <f>COUNTIF($NQ117:$NU117,4)</f>
        <v/>
      </c>
      <c r="OO117" s="155">
        <f>COUNTIF($NQ117:$NU117,5)</f>
        <v/>
      </c>
      <c r="OP117" s="155">
        <f>COUNTIF($NQ117:$NU117,6)</f>
        <v/>
      </c>
      <c r="OQ117" s="155">
        <f>COUNTIF($OG117:$OH117,1)</f>
        <v/>
      </c>
      <c r="OR117" s="155">
        <f>COUNTIF($OG117:$OH117,2)+$OD117</f>
        <v/>
      </c>
      <c r="OS117" s="155">
        <f>COUNTIF($MV117:$MY117,"?*")</f>
        <v/>
      </c>
      <c r="OT117" s="155">
        <f>COUNTIF($MZ117:$NA117,"?*")+$OD117</f>
        <v/>
      </c>
      <c r="OU117" s="155">
        <f>IF($MQ117=0,0,SUMPRODUCT($OK117:$OP117,INDEX($I$2:$N$8,MAX(1,$MQ117),0)))</f>
        <v/>
      </c>
      <c r="OV117" s="155">
        <f>IF($MQ117=0,0,$OQ117*CEILING($MQ117/2,1)+$OR117*$MQ117)</f>
        <v/>
      </c>
      <c r="OW117" s="155">
        <f>MIN(2*$MQ117,$OV117)</f>
        <v/>
      </c>
      <c r="OX117" s="155">
        <f>MIN($OW117,$OU117)</f>
        <v/>
      </c>
      <c r="OY117" s="155">
        <f>$OW117-$OX117</f>
        <v/>
      </c>
      <c r="OZ117" s="155">
        <f>IF($MQ117=0,0,INDEX($P$2:$P$8,MAX(1,$MQ117)))</f>
        <v/>
      </c>
      <c r="PA117" s="155">
        <f>$OZ117-$OU117+$OX117</f>
        <v/>
      </c>
      <c r="PB117" s="155">
        <f>IF($MQ117=0,MAX(0,$NE117-IF($OS117&gt;0,1,0)),MAX(0,$PA117))</f>
        <v/>
      </c>
      <c r="PC117" s="155">
        <f>IF($MQ117=0,0,(IF(COUNTIF($MV117:$MY117,"Salto")&gt;0,1,0)+IF(COUNTIF($MV117:$MY117,"Queima")&gt;0,1,0)+IF(COUNTIF($MV117:$MY117,"Estilhaço")&gt;0,1,0))*FLOOR($PB117/2,1))</f>
        <v/>
      </c>
      <c r="PD117" s="155">
        <f>MAX(0,2-SUMPRODUCT($OK117:$OP117,$I$2:$N$2)+MIN(2,$OQ117*1+$OR117*1,SUMPRODUCT($OK117:$OP117,$I$2:$N$2)))</f>
        <v/>
      </c>
      <c r="PE117" s="155">
        <f>MAX(0,4-SUMPRODUCT($OK117:$OP117,$I$3:$N$3)+MIN(4,$OQ117*1+$OR117*2,SUMPRODUCT($OK117:$OP117,$I$3:$N$3)))</f>
        <v/>
      </c>
      <c r="PF117" s="155">
        <f>MAX(0,6-SUMPRODUCT($OK117:$OP117,$I$4:$N$4)+MIN(6,$OQ117*2+$OR117*3,SUMPRODUCT($OK117:$OP117,$I$4:$N$4)))</f>
        <v/>
      </c>
      <c r="PG117" s="155">
        <f>MAX(0,9-SUMPRODUCT($OK117:$OP117,$I$5:$N$5)+MIN(8,$OQ117*2+$OR117*4,SUMPRODUCT($OK117:$OP117,$I$5:$N$5)))</f>
        <v/>
      </c>
      <c r="PH117" s="155">
        <f>MAX(0,11-SUMPRODUCT($OK117:$OP117,$I$6:$N$6)+MIN(10,$OQ117*3+$OR117*5,SUMPRODUCT($OK117:$OP117,$I$6:$N$6)))</f>
        <v/>
      </c>
      <c r="PI117" s="155">
        <f>MAX(0,13-SUMPRODUCT($OK117:$OP117,$I$7:$N$7)+MIN(12,$OQ117*3+$OR117*6,SUMPRODUCT($OK117:$OP117,$I$7:$N$7)))</f>
        <v/>
      </c>
      <c r="PJ117" s="155">
        <f>MAX(0,16-SUMPRODUCT($OK117:$OP117,$I$8:$N$8)+MIN(14,$OQ117*4+$OR117*7,SUMPRODUCT($OK117:$OP117,$I$8:$N$8)))</f>
        <v/>
      </c>
      <c r="PK117" s="155">
        <f>IF($OE117=2,3*$PD117&amp;" de vida temp.",IF($OE117=3,"sem dano",IF($PD117=0,IF($OE117=1,"sem cura","sem dano"),IF($OE117=1,"cura ","")&amp;$PD117&amp;"d8")))</f>
        <v/>
      </c>
      <c r="PL117" s="155">
        <f>IF($OE117=2,3*$PE117&amp;" de vida temp.",IF($OE117=3,"sem dano",IF($PE117=0,IF($OE117=1,"sem cura","sem dano"),IF($OE117=1,"cura ","")&amp;$PE117&amp;"d8")))</f>
        <v/>
      </c>
      <c r="PM117" s="155">
        <f>IF($OE117=2,3*$PF117&amp;" de vida temp.",IF($OE117=3,"sem dano",IF($PF117=0,IF($OE117=1,"sem cura","sem dano"),IF($OE117=1,"cura ","")&amp;$PF117&amp;"d8")))</f>
        <v/>
      </c>
      <c r="PN117" s="155">
        <f>IF($OE117=2,3*$PG117&amp;" de vida temp.",IF($OE117=3,"sem dano",IF($PG117=0,IF($OE117=1,"sem cura","sem dano"),IF($OE117=1,"cura ","")&amp;$PG117&amp;"d8")))</f>
        <v/>
      </c>
      <c r="PO117" s="155">
        <f>IF($OE117=2,3*$PH117&amp;" de vida temp.",IF($OE117=3,"sem dano",IF($PH117=0,IF($OE117=1,"sem cura","sem dano"),IF($OE117=1,"cura ","")&amp;$PH117&amp;"d8")))</f>
        <v/>
      </c>
      <c r="PP117" s="155">
        <f>IF($OE117=2,3*$PI117&amp;" de vida temp.",IF($OE117=3,"sem dano",IF($PI117=0,IF($OE117=1,"sem cura","sem dano"),IF($OE117=1,"cura ","")&amp;$PI117&amp;"d8")))</f>
        <v/>
      </c>
      <c r="PQ117" s="155">
        <f>IF($OE117=2,3*$PJ117&amp;" de vida temp.",IF($OE117=3,"sem dano",IF($PJ117=0,IF($OE117=1,"sem cura","sem dano"),IF($OE117=1,"cura ","")&amp;$PJ117&amp;"d8")))</f>
        <v/>
      </c>
      <c r="PR117" s="155">
        <f>IF($NB117=0,"",TEXTJOIN(" · ",TRUE,IF($MO117&gt;$NC117,"Este lugar abre no nível "&amp;$MO117,""),IF($MQ117&gt;$ND117,"Classe "&amp;$MQ117&amp;": o nível "&amp;$NC117&amp;" libera até a "&amp;$ND117,""),IF($NV117=1,"A Forma "&amp;$MS117&amp;" pede "&amp;INDEX($W$2:$W$11,$NH117)&amp;" aberta",""),IF(AND($MQ117=0,$NH117&gt;0,IF($NH117=0,0,INDEX($AF$2:$AF$11,$NH117))=0),$MS117&amp;" não existe na Classe 0",""),IF($NW117=1,"Família Fechada: "&amp;$MV117,""),IF($NX117=1,"Família Fechada: "&amp;$MW117,""),IF($NY117=1,"Família Fechada: "&amp;$MX117,""),IF($NZ117=1,"Família Fechada: "&amp;$MY117,""),IF(AND($MQ117&gt;0,$OS117&gt;INDEX($O$2:$O$8,MAX(1,$MQ117))),$OS117&amp;" Melhorias: a Classe "&amp;$MQ117&amp;" aceita "&amp;INDEX($O$2:$O$8,MAX(1,$MQ117)),""),IF(AND($MQ117=0,$OS117&gt;1),"A básica aceita uma Melhoria",""),IF(AND($MQ117=0,COUNTIF($NM117:$NP117,"&gt;1")&gt;0),"A básica só aceita Melhoria Leve",""),IF(AND($MQ117&gt;0,$OT117&gt;2),$OT117&amp;" Restrições"&amp;IF($OD117=1,", contando a que a Forma "&amp;$MS117&amp;" já traz","")&amp;": o limite é 2",""),IF(AND($MQ117=0,COUNTIF($MZ117:$NA117,"?*")&gt;1),"A básica aceita uma Restrição Leve",""),IF(AND($MQ117=0,COUNTIF($OG117:$OH117,2)&gt;0),"A básica só aceita Restrição Leve",""),IF(AND($MQ117&gt;0,$PA117&lt;0),"Orçamento estourado: faltam "&amp;(-$PA117)&amp;IF($PA117&lt;-1," pontos"," ponto"),""),IF(IFERROR(VLOOKUP($MZ117,$BC$2:$BG$24,4,FALSE),0)+IFERROR(VLOOKUP($NA117,$BC$2:$BG$24,4,FALSE),0)&gt;1,$OI117&amp;" e "&amp;$OJ117&amp;" são as duas de frequência",""),IF(AND((COUNTIF($MV117:$MY117,"Rápido")+COUNTIF($OI117:$OJ117,"Rápido"))&gt;0,(COUNTIF($MV117:$MY117,"Atrasar")+COUNTIF($OI117:$OJ117,"Atrasar"))&gt;0),"Rápido não entra com Atrasar",""),IF(AND((COUNTIF($MV117:$MY117,"Reação")+COUNTIF($OI117:$OJ117,"Reação"))&gt;0,(COUNTIF($MV117:$MY117,"Rápido")+COUNTIF($OI117:$OJ117,"Rápido"))&gt;0),"Reação não entra com Rápido",""),IF(AND((COUNTIF($MV117:$MY117,"Reação")+COUNTIF($OI117:$OJ117,"Reação"))&gt;0,(COUNTIF($MV117:$MY117,"Armado")+COUNTIF($OI117:$OJ117,"Armado"))&gt;0),"Reação não entra com Armado",""),IF(AND((COUNTIF($MV117:$MY117,"Reação")+COUNTIF($OI117:$OJ117,"Reação"))&gt;0,(COUNTIF($MV117:$MY117,"Atrasar")+COUNTIF($OI117:$OJ117,"Atrasar"))&gt;0),"Reação não entra com Atrasar",""),IF(AND((COUNTIF($MV117:$MY117,"Reação")+COUNTIF($OI117:$OJ117,"Reação"))&gt;0,(COUNTIF($MV117:$MY117,"Parado")+COUNTIF($OI117:$OJ117,"Parado"))&gt;0),"Reação não entra com Parado",""),IF(AND((COUNTIF($MV117:$MY117,"Atrasar")+COUNTIF($OI117:$OJ117,"Atrasar"))&gt;0,(COUNTIF($MV117:$MY117,"Parado")+COUNTIF($OI117:$OJ117,"Parado"))&gt;0),"Atrasar não entra com Parado",""),IF(AND((COUNTIF($MV117:$MY117,"Armado")+COUNTIF($OI117:$OJ117,"Armado"))&gt;0,(COUNTIF($MV117:$MY117,"Carregar")+COUNTIF($OI117:$OJ117,"Carregar"))&gt;0),"Armado não entra com Carregar",""),IF(AND(COUNTIF($OI117:$OJ117,"Corpo a Corpo")&gt;0,$OD117=0,OR($MS117="Cone",$MS117="Linha")),"Corpo a Corpo não entra em "&amp;$MS117,""),IF(AND(COUNTIF($OI117:$OJ117,"Corpo a Corpo")&gt;0,$OD117=1),"A Forma "&amp;$MS117&amp;" já traz o Corpo a Corpo",""),IF(AND(COUNTIF($OI117:$OJ117,"Tudo ou Nada")&gt;0,$OF117=0),"Tudo ou Nada só entra em habilidade de Teste de Resistência",""),IF(AND(COUNTIF($MV117:$MY117,"Inescapável")&gt;0,OR($OS117&gt;1,$OT117&gt;0)),"Inescapável não aceita outra peça",""),IF(AND($MQ117&gt;0,$PB117*IF(COUNTIF($MV117:$MY117,"Remate")&gt;0,1.25,1)+$PC117&gt;4*$MQ117),($PB117*IF(COUNTIF($MV117:$MY117,"Remate")&gt;0,1.25,1)+$PC117)&amp;" dados somando repetições"&amp;IF(COUNTIF($MV117:$MY117,"Remate")&gt;0," e o Remate","")&amp;": o teto da Classe "&amp;$MQ117&amp;" é "&amp;4*$MQ117,"")))</f>
        <v/>
      </c>
      <c r="PS117" s="155">
        <f>IF($PR117="",0,(LEN($PR117)-LEN(SUBSTITUTE($PR117," · ","")))/3+1)</f>
        <v/>
      </c>
      <c r="PT117" s="155">
        <f>IF($NB117=0,"",TEXTJOIN(" · ",TRUE,IF($OV117&gt;2*$MQ117,"A devolução parou no teto de "&amp;2*$MQ117,""),IF($OY117&gt;0,"Devolução perdida: "&amp;$OY117&amp;IF($OY117&gt;1," pontos"," ponto")&amp;" sem peça para pagar",""),IF(AND($OA117&gt;0,AND($MQ117&gt;0,$OE117=0),$PB117=0),"Controle sem dano: uma rodada a mais e CD +2",""),IF(AND($OA117&gt;0,AND($MQ117&gt;0,$OE117=0),$PB117&gt;0,$PB117&lt;=$MQ117),"Controle com saldo até a Classe: uma rodada a mais",""),IF(AND($MQ117&gt;0,$OC117&lt;&gt;""),"Efeito de "&amp;$OC117&amp;" pela Classe "&amp;MAX(1,$MQ117-1),"")))</f>
        <v/>
      </c>
      <c r="PU117" s="155">
        <f>IF($PT117="",0,(LEN($PT117)-LEN(SUBSTITUTE($PT117," · ","")))/3+1)</f>
        <v/>
      </c>
      <c r="PV117" s="155">
        <f>IF($NB117=0,IF($OS117+COUNTIF($MZ117:$NA117,"?*")&gt;0,"Dê um nome",""),IF($PS117&gt;0,"⚠ "&amp;$PS117&amp;IF($PS117&gt;1," erros"," erro"),IF($PU117&gt;0,"! "&amp;$PU117&amp;IF($PU117&gt;1," avisos"," aviso"),"Na regra")))</f>
        <v/>
      </c>
      <c r="PW117" s="155">
        <f>IF($NB117=0,"",IF($PS117+$PU117=0,"Dentro das regras que a ficha confere",$PR117&amp;IF(AND($PS117&gt;0,$PU117&gt;0)," · ","")&amp;$PT117))</f>
        <v/>
      </c>
      <c r="PX117" s="155">
        <f>IF($MO117&gt;$NC117,$MP117&amp;" · ABRE NO NÍVEL "&amp;$MO117,$MP117)</f>
        <v/>
      </c>
      <c r="PY117" s="155">
        <f>IF($NB117=0,"",IF($MQ117=0,"Sem PE",3*$MQ117&amp;" PE"))</f>
        <v/>
      </c>
      <c r="PZ117" s="155">
        <f>IF($NB117=0,"",IF($MQ117=0,"A atuação básica dela",IF(COUNTIF($OI117:$OJ117,"Atrasar")&gt;0,"Sua Ação Completa",IF(COUNTIF($MV117:$MY117,"Rápido")&gt;0,"Sua Bônus",IF(COUNTIF($MV117:$MY117,"Reação")&gt;0,"Sua Reação","Sua Padrão")))&amp;" + a básica dela"&amp;IF(COUNTIF($MV117:$MY117,"Reação")&gt;0," e a coletiva","")&amp;IF(COUNTIF($OI117:$OJ117,"Carregar")&gt;0," · em dois turnos","")))</f>
        <v/>
      </c>
      <c r="QA117" s="155">
        <f>IF($MU117&lt;&gt;"",$MU117,IF($NH117=0,"",INDEX($AA$2:$AA$11,$NH117)))</f>
        <v/>
      </c>
      <c r="QB117" s="155">
        <f>IF(OR($NB117=0,$NH117=0),"",IF(COUNTIF($MV117:$MY117,"Inescapável")&gt;0,"Automático",IF($QA117="Ataque",IF($NF117="","Ataque","Ataque "&amp;IF(($NF117+2*IF(COUNTIF($MV117:$MY117,"Precisão")&gt;0,1,0))&gt;=0,"+","−")&amp;ABS(($NF117+2*IF(COUNTIF($MV117:$MY117,"Precisão")&gt;0,1,0))))&amp;IF($OB117&gt;0," · TR"&amp;IF($NG117="",""," CD "&amp;$NG117),""),IF(LEFT($QA117,2)="TR",$QA117&amp;IF($NG117="",""," · CD "&amp;$NG117)&amp;IF(COUNTIF($MV117:$MY117,"Certeiro")&gt;0," · metade",""),"Sem rolagem"))))</f>
        <v/>
      </c>
      <c r="QC117" s="155">
        <f>IF(OR($NB117=0,$NH117=0),"",IF($MQ117=0,IF(OR($OE117&gt;=1,$PB117=0),"Sem dano",$PB117&amp;"d6"&amp;IF($MT117="",""," "&amp;$MT117)),IF(OR($OE117&gt;=1,$PB117=0),UPPER(LEFT(INDEX($PK117:$PQ117,1,MAX(1,$MQ117)),1))&amp;MID(INDEX($PK117:$PQ117,1,MAX(1,$MQ117)),2,99),UPPER(LEFT(INDEX($PK117:$PQ117,1,MAX(1,$MQ117)),1))&amp;MID(INDEX($PK117:$PQ117,1,MAX(1,$MQ117)),2,99)&amp;IF($MT117="",""," "&amp;$MT117)&amp;IF($PC117&gt;0," · +"&amp;$PC117&amp;"d8",""))))</f>
        <v/>
      </c>
      <c r="QD117" s="155">
        <f>COUNTIF($MV117:$MY117,"Longe")+3*COUNTIF($MV117:$MY117,"Muito Longe")</f>
        <v/>
      </c>
      <c r="QE117" s="155">
        <f>COUNTIF($MV117:$MY117,"Maior")+3*COUNTIF($MV117:$MY117,"Muito Maior")</f>
        <v/>
      </c>
      <c r="QF117" s="155">
        <f>IF($NH117=0,0,CHOOSE(1+INDEX($AC$2:$AC$11,$NH117),0,$QD117,$QE117,$QD117+$QE117))</f>
        <v/>
      </c>
      <c r="QG117" s="155">
        <f>IF($NH117=0,0,CHOOSE(1+INDEX($AD$2:$AD$11,$NH117),0,$QD117,$QE117,$QD117+$QE117))</f>
        <v/>
      </c>
      <c r="QH117" s="155">
        <f>IF(OR($NB117=0,$NH117=0),"",INDEX($AI$2:$AN$41,($NH117-1)*4+IF($MQ117=0,1,IF($MQ117&lt;=5,2,IF($MQ117=6,3,4))),1+MIN(5,$QF117))&amp;INDEX($AO$2:$AT$41,($NH117-1)*4+IF($MQ117=0,1,IF($MQ117&lt;=5,2,IF($MQ117=6,3,4))),1+MIN(5,$QG117))&amp;IF(INDEX($AE$2:$AE$11,$NH117)=1,IF(COUNTIF($MV117:$MY117,"Mais Um")&gt;0," · +"&amp;COUNTIF($MV117:$MY117,"Mais Um")&amp;IF(COUNTIF($MV117:$MY117,"Mais Um")&gt;1," alvos"," alvo"),"")&amp;IF(COUNTIF($MV117:$MY117,"Rajada")&gt;0,IF($MQ117=0," · 1 tiro"," · "&amp;(MAX(1,$MQ117-1)+1)&amp;" tiros"),""),""))</f>
        <v/>
      </c>
      <c r="QI117" s="155">
        <f>IF($NB117=0,"",IF($MQ117=0,$NE117&amp;"d6"&amp;IF($OS117&gt;0," − 1 = "&amp;$PB117&amp;"d6"," da básica do nível "&amp;$NC117),$OZ117&amp;" − "&amp;$OU117&amp;" + "&amp;$OX117&amp;" = "&amp;$PA117&amp;" · teto "&amp;4*$MQ117&amp;"d8"&amp;IF($OD117=1," · a Forma devolve "&amp;$MQ117,"")&amp;IF($OY117&gt;0," · perde "&amp;$OY117,"")))</f>
        <v/>
      </c>
      <c r="QJ117" s="155">
        <f>IF($NB117=0,"",IF($MQ117=0,"A básica não amplia: os dados dela sobem com o nível",IF($MQ117&gt;=$ND117,"Já está na maior Classe que o nível liberou",TEXTJOIN(" · ",TRUE,IF(AND(2&gt;$MQ117,2&lt;=$ND117),"2 → "&amp;$PL117&amp;", 6 PE",""),IF(AND(3&gt;$MQ117,3&lt;=$ND117),"3 → "&amp;$PM117&amp;", 9 PE",""),IF(AND(4&gt;$MQ117,4&lt;=$ND117),"4 → "&amp;$PN117&amp;", 12 PE",""),IF(AND(5&gt;$MQ117,5&lt;=$ND117),"5 → "&amp;$PO117&amp;", 15 PE",""),IF(AND(6&gt;$MQ117,6&lt;=$ND117),"6 → "&amp;$PP117&amp;", 18 PE",""),IF(AND(7&gt;$MQ117,7&lt;=$ND117),"7 → "&amp;$PQ117&amp;", 21 PE","")))))</f>
        <v/>
      </c>
      <c r="QK117" s="155">
        <f>IF(OR($NB117=0,$NM117=0),"",IF($MQ117=0,"−1 dado","−"&amp;INDEX($I$2:$N$8,MAX(1,$MQ117),MAX(1,$NR117))&amp;" · "&amp;CHOOSE(MAX(1,$NR117),"Leve","Média","Pesada","Leve · Livre","Média · Livre","Pesada · Livre")))</f>
        <v/>
      </c>
      <c r="QL117" s="155">
        <f>IF(OR($NB117=0,$NN117=0),"",IF($MQ117=0,"−1 dado","−"&amp;INDEX($I$2:$N$8,MAX(1,$MQ117),MAX(1,$NS117))&amp;" · "&amp;CHOOSE(MAX(1,$NS117),"Leve","Média","Pesada","Leve · Livre","Média · Livre","Pesada · Livre")))</f>
        <v/>
      </c>
      <c r="QM117" s="155">
        <f>IF(OR($NB117=0,$NO117=0),"",IF($MQ117=0,"−1 dado","−"&amp;INDEX($I$2:$N$8,MAX(1,$MQ117),MAX(1,$NT117))&amp;" · "&amp;CHOOSE(MAX(1,$NT117),"Leve","Média","Pesada","Leve · Livre","Média · Livre","Pesada · Livre")))</f>
        <v/>
      </c>
      <c r="QN117" s="155">
        <f>IF(OR($NB117=0,$NP117=0),"",IF($MQ117=0,"−1 dado","−"&amp;INDEX($I$2:$N$8,MAX(1,$MQ117),MAX(1,$NU117))&amp;" · "&amp;CHOOSE(MAX(1,$NU117),"Leve","Média","Pesada","Leve · Livre","Média · Livre","Pesada · Livre")))</f>
        <v/>
      </c>
      <c r="QO117" s="155">
        <f>IF(OR($NB117=0,$MZ117=""),"",IF($MQ117=0,"não devolve","+"&amp;IF($OG117=1,CEILING($MQ117/2,1),$MQ117)))</f>
        <v/>
      </c>
      <c r="QP117" s="155">
        <f>IF(OR($NB117=0,$NA117=""),"",IF($MQ117=0,"não devolve","+"&amp;IF($OH117=1,CEILING($MQ117/2,1),$MQ117)))</f>
        <v/>
      </c>
    </row>
    <row r="118">
      <c r="ML118" s="153" t="inlineStr">
        <is>
          <t>Ficha 9 · Escolha da trilha 3</t>
        </is>
      </c>
      <c r="MM118" s="155" t="n">
        <v>9</v>
      </c>
      <c r="MN118" s="155" t="n">
        <v>2</v>
      </c>
      <c r="MO118" s="155" t="n">
        <v>0</v>
      </c>
      <c r="MP118" s="153" t="inlineStr">
        <is>
          <t>ESCOLHA DA TRILHA 3</t>
        </is>
      </c>
      <c r="MQ118" s="155">
        <f>MAX(0,MIN(7,N('INVOCAÇÕES'!$AN$556)))</f>
        <v/>
      </c>
      <c r="MR118" s="155">
        <f>'INVOCAÇÕES'!$AO$556&amp;""</f>
        <v/>
      </c>
      <c r="MS118" s="155">
        <f>'INVOCAÇÕES'!$AN$561&amp;""</f>
        <v/>
      </c>
      <c r="MT118" s="155">
        <f>'INVOCAÇÕES'!$AN$562&amp;""</f>
        <v/>
      </c>
      <c r="MU118" s="155">
        <f>'INVOCAÇÕES'!$AP$562&amp;""</f>
        <v/>
      </c>
      <c r="MV118" s="155">
        <f>'INVOCAÇÕES'!$AO$565&amp;""</f>
        <v/>
      </c>
      <c r="MW118" s="155">
        <f>'INVOCAÇÕES'!$AO$566&amp;""</f>
        <v/>
      </c>
      <c r="MX118" s="155">
        <f>'INVOCAÇÕES'!$AO$567&amp;""</f>
        <v/>
      </c>
      <c r="MY118" s="155">
        <f>'INVOCAÇÕES'!$AO$568&amp;""</f>
        <v/>
      </c>
      <c r="MZ118" s="155">
        <f>'INVOCAÇÕES'!$AO$569&amp;""</f>
        <v/>
      </c>
      <c r="NA118" s="155">
        <f>'INVOCAÇÕES'!$AO$570&amp;""</f>
        <v/>
      </c>
      <c r="NB118" s="155">
        <f>IF($MR118&lt;&gt;"",1,0)</f>
        <v/>
      </c>
      <c r="NC118" s="155">
        <f>INDEX($FM$2:$FM$13,$MM118)</f>
        <v/>
      </c>
      <c r="ND118" s="155">
        <f>INDEX($FN$2:$FN$13,$MM118)</f>
        <v/>
      </c>
      <c r="NE118" s="155">
        <f>INDEX($FO$2:$FO$13,$MM118)</f>
        <v/>
      </c>
      <c r="NF118" s="155">
        <f>INDEX($FZ$2:$FZ$13,$MM118)</f>
        <v/>
      </c>
      <c r="NG118" s="155">
        <f>INDEX($GA$2:$GA$13,$MM118)</f>
        <v/>
      </c>
      <c r="NH118" s="155">
        <f>IFERROR(MATCH($MS118,$V$2:$V$11,0),0)</f>
        <v/>
      </c>
      <c r="NI118" s="155">
        <f>IFERROR(VLOOKUP($MV118,$AV$2:$BA$84,2,FALSE),"")</f>
        <v/>
      </c>
      <c r="NJ118" s="155">
        <f>IFERROR(VLOOKUP($MW118,$AV$2:$BA$84,2,FALSE),"")</f>
        <v/>
      </c>
      <c r="NK118" s="155">
        <f>IFERROR(VLOOKUP($MX118,$AV$2:$BA$84,2,FALSE),"")</f>
        <v/>
      </c>
      <c r="NL118" s="155">
        <f>IFERROR(VLOOKUP($MY118,$AV$2:$BA$84,2,FALSE),"")</f>
        <v/>
      </c>
      <c r="NM118" s="155">
        <f>IFERROR(VLOOKUP($MV118,$AV$2:$BA$84,3,FALSE),0)</f>
        <v/>
      </c>
      <c r="NN118" s="155">
        <f>IFERROR(VLOOKUP($MW118,$AV$2:$BA$84,3,FALSE),0)</f>
        <v/>
      </c>
      <c r="NO118" s="155">
        <f>IFERROR(VLOOKUP($MX118,$AV$2:$BA$84,3,FALSE),0)</f>
        <v/>
      </c>
      <c r="NP118" s="155">
        <f>IFERROR(VLOOKUP($MY118,$AV$2:$BA$84,3,FALSE),0)</f>
        <v/>
      </c>
      <c r="NQ118" s="155">
        <f>IF($MQ118=0,0,IF($NH118=0,0,INDEX($X$2:$X$11,$NH118)))</f>
        <v/>
      </c>
      <c r="NR118" s="155">
        <f>IF(OR($NM118=0,$MQ118=0),0,$NM118+3*IF(AND($NI118&lt;&gt;"",OR($NI118=INDEX($EJ$2:$EJ$13,$MM118),$NI118=INDEX($EK$2:$EK$13,$MM118))),1,0))</f>
        <v/>
      </c>
      <c r="NS118" s="155">
        <f>IF(OR($NN118=0,$MQ118=0),0,$NN118+3*IF(AND($NJ118&lt;&gt;"",OR($NJ118=INDEX($EJ$2:$EJ$13,$MM118),$NJ118=INDEX($EK$2:$EK$13,$MM118))),1,0))</f>
        <v/>
      </c>
      <c r="NT118" s="155">
        <f>IF(OR($NO118=0,$MQ118=0),0,$NO118+3*IF(AND($NK118&lt;&gt;"",OR($NK118=INDEX($EJ$2:$EJ$13,$MM118),$NK118=INDEX($EK$2:$EK$13,$MM118))),1,0))</f>
        <v/>
      </c>
      <c r="NU118" s="155">
        <f>IF(OR($NP118=0,$MQ118=0),0,$NP118+3*IF(AND($NL118&lt;&gt;"",OR($NL118=INDEX($EJ$2:$EJ$13,$MM118),$NL118=INDEX($EK$2:$EK$13,$MM118))),1,0))</f>
        <v/>
      </c>
      <c r="NV118" s="155">
        <f>IF($NH118=0,0,IF(INDEX($W$2:$W$11,$NH118)="",0,IF(COUNTIF(INDEX($EJ$2:$EN$13,$MM118,0),INDEX($W$2:$W$11,$NH118))=0,1,0)))</f>
        <v/>
      </c>
      <c r="NW118" s="155">
        <f>IF(OR($NM118=0,$NI118=""),0,IF(COUNTIF(INDEX($EJ$2:$EN$13,$MM118,0),$NI118)=0,1,0))</f>
        <v/>
      </c>
      <c r="NX118" s="155">
        <f>IF(OR($NN118=0,$NJ118=""),0,IF(COUNTIF(INDEX($EJ$2:$EN$13,$MM118,0),$NJ118)=0,1,0))</f>
        <v/>
      </c>
      <c r="NY118" s="155">
        <f>IF(OR($NO118=0,$NK118=""),0,IF(COUNTIF(INDEX($EJ$2:$EN$13,$MM118,0),$NK118)=0,1,0))</f>
        <v/>
      </c>
      <c r="NZ118" s="155">
        <f>IF(OR($NP118=0,$NL118=""),0,IF(COUNTIF(INDEX($EJ$2:$EN$13,$MM118,0),$NL118)=0,1,0))</f>
        <v/>
      </c>
      <c r="OA118" s="155">
        <f>IFERROR(VLOOKUP($MV118,$AV$2:$BA$84,4,FALSE),0)+IFERROR(VLOOKUP($MW118,$AV$2:$BA$84,4,FALSE),0)+IFERROR(VLOOKUP($MX118,$AV$2:$BA$84,4,FALSE),0)+IFERROR(VLOOKUP($MY118,$AV$2:$BA$84,4,FALSE),0)</f>
        <v/>
      </c>
      <c r="OB118" s="155">
        <f>IFERROR(VLOOKUP($MV118,$AV$2:$BA$84,6,FALSE),0)+IFERROR(VLOOKUP($MW118,$AV$2:$BA$84,6,FALSE),0)+IFERROR(VLOOKUP($MX118,$AV$2:$BA$84,6,FALSE),0)+IFERROR(VLOOKUP($MY118,$AV$2:$BA$84,6,FALSE),0)</f>
        <v/>
      </c>
      <c r="OC118" s="155">
        <f>TEXTJOIN(", ",TRUE,IF(IFERROR(VLOOKUP($MV118,$AV$2:$BA$84,5,FALSE),0)=1,$MV118,""),IF(IFERROR(VLOOKUP($MW118,$AV$2:$BA$84,5,FALSE),0)=1,$MW118,""),IF(IFERROR(VLOOKUP($MX118,$AV$2:$BA$84,5,FALSE),0)=1,$MX118,""),IF(IFERROR(VLOOKUP($MY118,$AV$2:$BA$84,5,FALSE),0)=1,$MY118,""))</f>
        <v/>
      </c>
      <c r="OD118" s="155">
        <f>IF($NH118=0,0,INDEX($Y$2:$Y$11,$NH118))</f>
        <v/>
      </c>
      <c r="OE118" s="155">
        <f>IF($NH118=0,0,INDEX($Z$2:$Z$11,$NH118))</f>
        <v/>
      </c>
      <c r="OF118" s="155">
        <f>IF($NH118=0,0,INDEX($AB$2:$AB$11,$NH118))</f>
        <v/>
      </c>
      <c r="OG118" s="155">
        <f>IFERROR(VLOOKUP($MZ118,$BC$2:$BG$24,3,FALSE),0)</f>
        <v/>
      </c>
      <c r="OH118" s="155">
        <f>IFERROR(VLOOKUP($NA118,$BC$2:$BG$24,3,FALSE),0)</f>
        <v/>
      </c>
      <c r="OI118" s="155">
        <f>IFERROR(VLOOKUP($MZ118,$BC$2:$BG$24,2,FALSE),"")</f>
        <v/>
      </c>
      <c r="OJ118" s="155">
        <f>IFERROR(VLOOKUP($NA118,$BC$2:$BG$24,2,FALSE),"")</f>
        <v/>
      </c>
      <c r="OK118" s="155">
        <f>COUNTIF($NQ118:$NU118,1)</f>
        <v/>
      </c>
      <c r="OL118" s="155">
        <f>COUNTIF($NQ118:$NU118,2)</f>
        <v/>
      </c>
      <c r="OM118" s="155">
        <f>COUNTIF($NQ118:$NU118,3)</f>
        <v/>
      </c>
      <c r="ON118" s="155">
        <f>COUNTIF($NQ118:$NU118,4)</f>
        <v/>
      </c>
      <c r="OO118" s="155">
        <f>COUNTIF($NQ118:$NU118,5)</f>
        <v/>
      </c>
      <c r="OP118" s="155">
        <f>COUNTIF($NQ118:$NU118,6)</f>
        <v/>
      </c>
      <c r="OQ118" s="155">
        <f>COUNTIF($OG118:$OH118,1)</f>
        <v/>
      </c>
      <c r="OR118" s="155">
        <f>COUNTIF($OG118:$OH118,2)+$OD118</f>
        <v/>
      </c>
      <c r="OS118" s="155">
        <f>COUNTIF($MV118:$MY118,"?*")</f>
        <v/>
      </c>
      <c r="OT118" s="155">
        <f>COUNTIF($MZ118:$NA118,"?*")+$OD118</f>
        <v/>
      </c>
      <c r="OU118" s="155">
        <f>IF($MQ118=0,0,SUMPRODUCT($OK118:$OP118,INDEX($I$2:$N$8,MAX(1,$MQ118),0)))</f>
        <v/>
      </c>
      <c r="OV118" s="155">
        <f>IF($MQ118=0,0,$OQ118*CEILING($MQ118/2,1)+$OR118*$MQ118)</f>
        <v/>
      </c>
      <c r="OW118" s="155">
        <f>MIN(2*$MQ118,$OV118)</f>
        <v/>
      </c>
      <c r="OX118" s="155">
        <f>MIN($OW118,$OU118)</f>
        <v/>
      </c>
      <c r="OY118" s="155">
        <f>$OW118-$OX118</f>
        <v/>
      </c>
      <c r="OZ118" s="155">
        <f>IF($MQ118=0,0,INDEX($P$2:$P$8,MAX(1,$MQ118)))</f>
        <v/>
      </c>
      <c r="PA118" s="155">
        <f>$OZ118-$OU118+$OX118</f>
        <v/>
      </c>
      <c r="PB118" s="155">
        <f>IF($MQ118=0,MAX(0,$NE118-IF($OS118&gt;0,1,0)),MAX(0,$PA118))</f>
        <v/>
      </c>
      <c r="PC118" s="155">
        <f>IF($MQ118=0,0,(IF(COUNTIF($MV118:$MY118,"Salto")&gt;0,1,0)+IF(COUNTIF($MV118:$MY118,"Queima")&gt;0,1,0)+IF(COUNTIF($MV118:$MY118,"Estilhaço")&gt;0,1,0))*FLOOR($PB118/2,1))</f>
        <v/>
      </c>
      <c r="PD118" s="155">
        <f>MAX(0,2-SUMPRODUCT($OK118:$OP118,$I$2:$N$2)+MIN(2,$OQ118*1+$OR118*1,SUMPRODUCT($OK118:$OP118,$I$2:$N$2)))</f>
        <v/>
      </c>
      <c r="PE118" s="155">
        <f>MAX(0,4-SUMPRODUCT($OK118:$OP118,$I$3:$N$3)+MIN(4,$OQ118*1+$OR118*2,SUMPRODUCT($OK118:$OP118,$I$3:$N$3)))</f>
        <v/>
      </c>
      <c r="PF118" s="155">
        <f>MAX(0,6-SUMPRODUCT($OK118:$OP118,$I$4:$N$4)+MIN(6,$OQ118*2+$OR118*3,SUMPRODUCT($OK118:$OP118,$I$4:$N$4)))</f>
        <v/>
      </c>
      <c r="PG118" s="155">
        <f>MAX(0,9-SUMPRODUCT($OK118:$OP118,$I$5:$N$5)+MIN(8,$OQ118*2+$OR118*4,SUMPRODUCT($OK118:$OP118,$I$5:$N$5)))</f>
        <v/>
      </c>
      <c r="PH118" s="155">
        <f>MAX(0,11-SUMPRODUCT($OK118:$OP118,$I$6:$N$6)+MIN(10,$OQ118*3+$OR118*5,SUMPRODUCT($OK118:$OP118,$I$6:$N$6)))</f>
        <v/>
      </c>
      <c r="PI118" s="155">
        <f>MAX(0,13-SUMPRODUCT($OK118:$OP118,$I$7:$N$7)+MIN(12,$OQ118*3+$OR118*6,SUMPRODUCT($OK118:$OP118,$I$7:$N$7)))</f>
        <v/>
      </c>
      <c r="PJ118" s="155">
        <f>MAX(0,16-SUMPRODUCT($OK118:$OP118,$I$8:$N$8)+MIN(14,$OQ118*4+$OR118*7,SUMPRODUCT($OK118:$OP118,$I$8:$N$8)))</f>
        <v/>
      </c>
      <c r="PK118" s="155">
        <f>IF($OE118=2,3*$PD118&amp;" de vida temp.",IF($OE118=3,"sem dano",IF($PD118=0,IF($OE118=1,"sem cura","sem dano"),IF($OE118=1,"cura ","")&amp;$PD118&amp;"d8")))</f>
        <v/>
      </c>
      <c r="PL118" s="155">
        <f>IF($OE118=2,3*$PE118&amp;" de vida temp.",IF($OE118=3,"sem dano",IF($PE118=0,IF($OE118=1,"sem cura","sem dano"),IF($OE118=1,"cura ","")&amp;$PE118&amp;"d8")))</f>
        <v/>
      </c>
      <c r="PM118" s="155">
        <f>IF($OE118=2,3*$PF118&amp;" de vida temp.",IF($OE118=3,"sem dano",IF($PF118=0,IF($OE118=1,"sem cura","sem dano"),IF($OE118=1,"cura ","")&amp;$PF118&amp;"d8")))</f>
        <v/>
      </c>
      <c r="PN118" s="155">
        <f>IF($OE118=2,3*$PG118&amp;" de vida temp.",IF($OE118=3,"sem dano",IF($PG118=0,IF($OE118=1,"sem cura","sem dano"),IF($OE118=1,"cura ","")&amp;$PG118&amp;"d8")))</f>
        <v/>
      </c>
      <c r="PO118" s="155">
        <f>IF($OE118=2,3*$PH118&amp;" de vida temp.",IF($OE118=3,"sem dano",IF($PH118=0,IF($OE118=1,"sem cura","sem dano"),IF($OE118=1,"cura ","")&amp;$PH118&amp;"d8")))</f>
        <v/>
      </c>
      <c r="PP118" s="155">
        <f>IF($OE118=2,3*$PI118&amp;" de vida temp.",IF($OE118=3,"sem dano",IF($PI118=0,IF($OE118=1,"sem cura","sem dano"),IF($OE118=1,"cura ","")&amp;$PI118&amp;"d8")))</f>
        <v/>
      </c>
      <c r="PQ118" s="155">
        <f>IF($OE118=2,3*$PJ118&amp;" de vida temp.",IF($OE118=3,"sem dano",IF($PJ118=0,IF($OE118=1,"sem cura","sem dano"),IF($OE118=1,"cura ","")&amp;$PJ118&amp;"d8")))</f>
        <v/>
      </c>
      <c r="PR118" s="155">
        <f>IF($NB118=0,"",TEXTJOIN(" · ",TRUE,IF($MO118&gt;$NC118,"Este lugar abre no nível "&amp;$MO118,""),IF($MQ118&gt;$ND118,"Classe "&amp;$MQ118&amp;": o nível "&amp;$NC118&amp;" libera até a "&amp;$ND118,""),IF($NV118=1,"A Forma "&amp;$MS118&amp;" pede "&amp;INDEX($W$2:$W$11,$NH118)&amp;" aberta",""),IF(AND($MQ118=0,$NH118&gt;0,IF($NH118=0,0,INDEX($AF$2:$AF$11,$NH118))=0),$MS118&amp;" não existe na Classe 0",""),IF($NW118=1,"Família Fechada: "&amp;$MV118,""),IF($NX118=1,"Família Fechada: "&amp;$MW118,""),IF($NY118=1,"Família Fechada: "&amp;$MX118,""),IF($NZ118=1,"Família Fechada: "&amp;$MY118,""),IF(AND($MQ118&gt;0,$OS118&gt;INDEX($O$2:$O$8,MAX(1,$MQ118))),$OS118&amp;" Melhorias: a Classe "&amp;$MQ118&amp;" aceita "&amp;INDEX($O$2:$O$8,MAX(1,$MQ118)),""),IF(AND($MQ118=0,$OS118&gt;1),"A básica aceita uma Melhoria",""),IF(AND($MQ118=0,COUNTIF($NM118:$NP118,"&gt;1")&gt;0),"A básica só aceita Melhoria Leve",""),IF(AND($MQ118&gt;0,$OT118&gt;2),$OT118&amp;" Restrições"&amp;IF($OD118=1,", contando a que a Forma "&amp;$MS118&amp;" já traz","")&amp;": o limite é 2",""),IF(AND($MQ118=0,COUNTIF($MZ118:$NA118,"?*")&gt;1),"A básica aceita uma Restrição Leve",""),IF(AND($MQ118=0,COUNTIF($OG118:$OH118,2)&gt;0),"A básica só aceita Restrição Leve",""),IF(AND($MQ118&gt;0,$PA118&lt;0),"Orçamento estourado: faltam "&amp;(-$PA118)&amp;IF($PA118&lt;-1," pontos"," ponto"),""),IF(IFERROR(VLOOKUP($MZ118,$BC$2:$BG$24,4,FALSE),0)+IFERROR(VLOOKUP($NA118,$BC$2:$BG$24,4,FALSE),0)&gt;1,$OI118&amp;" e "&amp;$OJ118&amp;" são as duas de frequência",""),IF(AND((COUNTIF($MV118:$MY118,"Rápido")+COUNTIF($OI118:$OJ118,"Rápido"))&gt;0,(COUNTIF($MV118:$MY118,"Atrasar")+COUNTIF($OI118:$OJ118,"Atrasar"))&gt;0),"Rápido não entra com Atrasar",""),IF(AND((COUNTIF($MV118:$MY118,"Reação")+COUNTIF($OI118:$OJ118,"Reação"))&gt;0,(COUNTIF($MV118:$MY118,"Rápido")+COUNTIF($OI118:$OJ118,"Rápido"))&gt;0),"Reação não entra com Rápido",""),IF(AND((COUNTIF($MV118:$MY118,"Reação")+COUNTIF($OI118:$OJ118,"Reação"))&gt;0,(COUNTIF($MV118:$MY118,"Armado")+COUNTIF($OI118:$OJ118,"Armado"))&gt;0),"Reação não entra com Armado",""),IF(AND((COUNTIF($MV118:$MY118,"Reação")+COUNTIF($OI118:$OJ118,"Reação"))&gt;0,(COUNTIF($MV118:$MY118,"Atrasar")+COUNTIF($OI118:$OJ118,"Atrasar"))&gt;0),"Reação não entra com Atrasar",""),IF(AND((COUNTIF($MV118:$MY118,"Reação")+COUNTIF($OI118:$OJ118,"Reação"))&gt;0,(COUNTIF($MV118:$MY118,"Parado")+COUNTIF($OI118:$OJ118,"Parado"))&gt;0),"Reação não entra com Parado",""),IF(AND((COUNTIF($MV118:$MY118,"Atrasar")+COUNTIF($OI118:$OJ118,"Atrasar"))&gt;0,(COUNTIF($MV118:$MY118,"Parado")+COUNTIF($OI118:$OJ118,"Parado"))&gt;0),"Atrasar não entra com Parado",""),IF(AND((COUNTIF($MV118:$MY118,"Armado")+COUNTIF($OI118:$OJ118,"Armado"))&gt;0,(COUNTIF($MV118:$MY118,"Carregar")+COUNTIF($OI118:$OJ118,"Carregar"))&gt;0),"Armado não entra com Carregar",""),IF(AND(COUNTIF($OI118:$OJ118,"Corpo a Corpo")&gt;0,$OD118=0,OR($MS118="Cone",$MS118="Linha")),"Corpo a Corpo não entra em "&amp;$MS118,""),IF(AND(COUNTIF($OI118:$OJ118,"Corpo a Corpo")&gt;0,$OD118=1),"A Forma "&amp;$MS118&amp;" já traz o Corpo a Corpo",""),IF(AND(COUNTIF($OI118:$OJ118,"Tudo ou Nada")&gt;0,$OF118=0),"Tudo ou Nada só entra em habilidade de Teste de Resistência",""),IF(AND(COUNTIF($MV118:$MY118,"Inescapável")&gt;0,OR($OS118&gt;1,$OT118&gt;0)),"Inescapável não aceita outra peça",""),IF(AND($MQ118&gt;0,$PB118*IF(COUNTIF($MV118:$MY118,"Remate")&gt;0,1.25,1)+$PC118&gt;4*$MQ118),($PB118*IF(COUNTIF($MV118:$MY118,"Remate")&gt;0,1.25,1)+$PC118)&amp;" dados somando repetições"&amp;IF(COUNTIF($MV118:$MY118,"Remate")&gt;0," e o Remate","")&amp;": o teto da Classe "&amp;$MQ118&amp;" é "&amp;4*$MQ118,"")))</f>
        <v/>
      </c>
      <c r="PS118" s="155">
        <f>IF($PR118="",0,(LEN($PR118)-LEN(SUBSTITUTE($PR118," · ","")))/3+1)</f>
        <v/>
      </c>
      <c r="PT118" s="155">
        <f>IF($NB118=0,"",TEXTJOIN(" · ",TRUE,IF($OV118&gt;2*$MQ118,"A devolução parou no teto de "&amp;2*$MQ118,""),IF($OY118&gt;0,"Devolução perdida: "&amp;$OY118&amp;IF($OY118&gt;1," pontos"," ponto")&amp;" sem peça para pagar",""),IF(AND($OA118&gt;0,AND($MQ118&gt;0,$OE118=0),$PB118=0),"Controle sem dano: uma rodada a mais e CD +2",""),IF(AND($OA118&gt;0,AND($MQ118&gt;0,$OE118=0),$PB118&gt;0,$PB118&lt;=$MQ118),"Controle com saldo até a Classe: uma rodada a mais",""),IF(AND($MQ118&gt;0,$OC118&lt;&gt;""),"Efeito de "&amp;$OC118&amp;" pela Classe "&amp;MAX(1,$MQ118-1),"")))</f>
        <v/>
      </c>
      <c r="PU118" s="155">
        <f>IF($PT118="",0,(LEN($PT118)-LEN(SUBSTITUTE($PT118," · ","")))/3+1)</f>
        <v/>
      </c>
      <c r="PV118" s="155">
        <f>IF($NB118=0,IF($OS118+COUNTIF($MZ118:$NA118,"?*")&gt;0,"Dê um nome",""),IF($PS118&gt;0,"⚠ "&amp;$PS118&amp;IF($PS118&gt;1," erros"," erro"),IF($PU118&gt;0,"! "&amp;$PU118&amp;IF($PU118&gt;1," avisos"," aviso"),"Na regra")))</f>
        <v/>
      </c>
      <c r="PW118" s="155">
        <f>IF($NB118=0,"",IF($PS118+$PU118=0,"Dentro das regras que a ficha confere",$PR118&amp;IF(AND($PS118&gt;0,$PU118&gt;0)," · ","")&amp;$PT118))</f>
        <v/>
      </c>
      <c r="PX118" s="155">
        <f>IF($MO118&gt;$NC118,$MP118&amp;" · ABRE NO NÍVEL "&amp;$MO118,$MP118)</f>
        <v/>
      </c>
      <c r="PY118" s="155">
        <f>IF($NB118=0,"",IF($MQ118=0,"Sem PE",3*$MQ118&amp;" PE"))</f>
        <v/>
      </c>
      <c r="PZ118" s="155">
        <f>IF($NB118=0,"",IF($MQ118=0,"A atuação básica dela",IF(COUNTIF($OI118:$OJ118,"Atrasar")&gt;0,"Sua Ação Completa",IF(COUNTIF($MV118:$MY118,"Rápido")&gt;0,"Sua Bônus",IF(COUNTIF($MV118:$MY118,"Reação")&gt;0,"Sua Reação","Sua Padrão")))&amp;" + a básica dela"&amp;IF(COUNTIF($MV118:$MY118,"Reação")&gt;0," e a coletiva","")&amp;IF(COUNTIF($OI118:$OJ118,"Carregar")&gt;0," · em dois turnos","")))</f>
        <v/>
      </c>
      <c r="QA118" s="155">
        <f>IF($MU118&lt;&gt;"",$MU118,IF($NH118=0,"",INDEX($AA$2:$AA$11,$NH118)))</f>
        <v/>
      </c>
      <c r="QB118" s="155">
        <f>IF(OR($NB118=0,$NH118=0),"",IF(COUNTIF($MV118:$MY118,"Inescapável")&gt;0,"Automático",IF($QA118="Ataque",IF($NF118="","Ataque","Ataque "&amp;IF(($NF118+2*IF(COUNTIF($MV118:$MY118,"Precisão")&gt;0,1,0))&gt;=0,"+","−")&amp;ABS(($NF118+2*IF(COUNTIF($MV118:$MY118,"Precisão")&gt;0,1,0))))&amp;IF($OB118&gt;0," · TR"&amp;IF($NG118="",""," CD "&amp;$NG118),""),IF(LEFT($QA118,2)="TR",$QA118&amp;IF($NG118="",""," · CD "&amp;$NG118)&amp;IF(COUNTIF($MV118:$MY118,"Certeiro")&gt;0," · metade",""),"Sem rolagem"))))</f>
        <v/>
      </c>
      <c r="QC118" s="155">
        <f>IF(OR($NB118=0,$NH118=0),"",IF($MQ118=0,IF(OR($OE118&gt;=1,$PB118=0),"Sem dano",$PB118&amp;"d6"&amp;IF($MT118="",""," "&amp;$MT118)),IF(OR($OE118&gt;=1,$PB118=0),UPPER(LEFT(INDEX($PK118:$PQ118,1,MAX(1,$MQ118)),1))&amp;MID(INDEX($PK118:$PQ118,1,MAX(1,$MQ118)),2,99),UPPER(LEFT(INDEX($PK118:$PQ118,1,MAX(1,$MQ118)),1))&amp;MID(INDEX($PK118:$PQ118,1,MAX(1,$MQ118)),2,99)&amp;IF($MT118="",""," "&amp;$MT118)&amp;IF($PC118&gt;0," · +"&amp;$PC118&amp;"d8",""))))</f>
        <v/>
      </c>
      <c r="QD118" s="155">
        <f>COUNTIF($MV118:$MY118,"Longe")+3*COUNTIF($MV118:$MY118,"Muito Longe")</f>
        <v/>
      </c>
      <c r="QE118" s="155">
        <f>COUNTIF($MV118:$MY118,"Maior")+3*COUNTIF($MV118:$MY118,"Muito Maior")</f>
        <v/>
      </c>
      <c r="QF118" s="155">
        <f>IF($NH118=0,0,CHOOSE(1+INDEX($AC$2:$AC$11,$NH118),0,$QD118,$QE118,$QD118+$QE118))</f>
        <v/>
      </c>
      <c r="QG118" s="155">
        <f>IF($NH118=0,0,CHOOSE(1+INDEX($AD$2:$AD$11,$NH118),0,$QD118,$QE118,$QD118+$QE118))</f>
        <v/>
      </c>
      <c r="QH118" s="155">
        <f>IF(OR($NB118=0,$NH118=0),"",INDEX($AI$2:$AN$41,($NH118-1)*4+IF($MQ118=0,1,IF($MQ118&lt;=5,2,IF($MQ118=6,3,4))),1+MIN(5,$QF118))&amp;INDEX($AO$2:$AT$41,($NH118-1)*4+IF($MQ118=0,1,IF($MQ118&lt;=5,2,IF($MQ118=6,3,4))),1+MIN(5,$QG118))&amp;IF(INDEX($AE$2:$AE$11,$NH118)=1,IF(COUNTIF($MV118:$MY118,"Mais Um")&gt;0," · +"&amp;COUNTIF($MV118:$MY118,"Mais Um")&amp;IF(COUNTIF($MV118:$MY118,"Mais Um")&gt;1," alvos"," alvo"),"")&amp;IF(COUNTIF($MV118:$MY118,"Rajada")&gt;0,IF($MQ118=0," · 1 tiro"," · "&amp;(MAX(1,$MQ118-1)+1)&amp;" tiros"),""),""))</f>
        <v/>
      </c>
      <c r="QI118" s="155">
        <f>IF($NB118=0,"",IF($MQ118=0,$NE118&amp;"d6"&amp;IF($OS118&gt;0," − 1 = "&amp;$PB118&amp;"d6"," da básica do nível "&amp;$NC118),$OZ118&amp;" − "&amp;$OU118&amp;" + "&amp;$OX118&amp;" = "&amp;$PA118&amp;" · teto "&amp;4*$MQ118&amp;"d8"&amp;IF($OD118=1," · a Forma devolve "&amp;$MQ118,"")&amp;IF($OY118&gt;0," · perde "&amp;$OY118,"")))</f>
        <v/>
      </c>
      <c r="QJ118" s="155">
        <f>IF($NB118=0,"",IF($MQ118=0,"A básica não amplia: os dados dela sobem com o nível",IF($MQ118&gt;=$ND118,"Já está na maior Classe que o nível liberou",TEXTJOIN(" · ",TRUE,IF(AND(2&gt;$MQ118,2&lt;=$ND118),"2 → "&amp;$PL118&amp;", 6 PE",""),IF(AND(3&gt;$MQ118,3&lt;=$ND118),"3 → "&amp;$PM118&amp;", 9 PE",""),IF(AND(4&gt;$MQ118,4&lt;=$ND118),"4 → "&amp;$PN118&amp;", 12 PE",""),IF(AND(5&gt;$MQ118,5&lt;=$ND118),"5 → "&amp;$PO118&amp;", 15 PE",""),IF(AND(6&gt;$MQ118,6&lt;=$ND118),"6 → "&amp;$PP118&amp;", 18 PE",""),IF(AND(7&gt;$MQ118,7&lt;=$ND118),"7 → "&amp;$PQ118&amp;", 21 PE","")))))</f>
        <v/>
      </c>
      <c r="QK118" s="155">
        <f>IF(OR($NB118=0,$NM118=0),"",IF($MQ118=0,"−1 dado","−"&amp;INDEX($I$2:$N$8,MAX(1,$MQ118),MAX(1,$NR118))&amp;" · "&amp;CHOOSE(MAX(1,$NR118),"Leve","Média","Pesada","Leve · Livre","Média · Livre","Pesada · Livre")))</f>
        <v/>
      </c>
      <c r="QL118" s="155">
        <f>IF(OR($NB118=0,$NN118=0),"",IF($MQ118=0,"−1 dado","−"&amp;INDEX($I$2:$N$8,MAX(1,$MQ118),MAX(1,$NS118))&amp;" · "&amp;CHOOSE(MAX(1,$NS118),"Leve","Média","Pesada","Leve · Livre","Média · Livre","Pesada · Livre")))</f>
        <v/>
      </c>
      <c r="QM118" s="155">
        <f>IF(OR($NB118=0,$NO118=0),"",IF($MQ118=0,"−1 dado","−"&amp;INDEX($I$2:$N$8,MAX(1,$MQ118),MAX(1,$NT118))&amp;" · "&amp;CHOOSE(MAX(1,$NT118),"Leve","Média","Pesada","Leve · Livre","Média · Livre","Pesada · Livre")))</f>
        <v/>
      </c>
      <c r="QN118" s="155">
        <f>IF(OR($NB118=0,$NP118=0),"",IF($MQ118=0,"−1 dado","−"&amp;INDEX($I$2:$N$8,MAX(1,$MQ118),MAX(1,$NU118))&amp;" · "&amp;CHOOSE(MAX(1,$NU118),"Leve","Média","Pesada","Leve · Livre","Média · Livre","Pesada · Livre")))</f>
        <v/>
      </c>
      <c r="QO118" s="155">
        <f>IF(OR($NB118=0,$MZ118=""),"",IF($MQ118=0,"não devolve","+"&amp;IF($OG118=1,CEILING($MQ118/2,1),$MQ118)))</f>
        <v/>
      </c>
      <c r="QP118" s="155">
        <f>IF(OR($NB118=0,$NA118=""),"",IF($MQ118=0,"não devolve","+"&amp;IF($OH118=1,CEILING($MQ118/2,1),$MQ118)))</f>
        <v/>
      </c>
    </row>
    <row r="119">
      <c r="ML119" s="153" t="inlineStr">
        <is>
          <t>Ficha 10 · Básica 1</t>
        </is>
      </c>
      <c r="MM119" s="155" t="n">
        <v>10</v>
      </c>
      <c r="MN119" s="155" t="n">
        <v>0</v>
      </c>
      <c r="MO119" s="155" t="n">
        <v>1</v>
      </c>
      <c r="MP119" s="153" t="inlineStr">
        <is>
          <t>BÁSICA 1</t>
        </is>
      </c>
      <c r="MQ119" s="155" t="n">
        <v>0</v>
      </c>
      <c r="MR119" s="155">
        <f>'INVOCAÇÕES'!$AC$652&amp;""</f>
        <v/>
      </c>
      <c r="MS119" s="155">
        <f>'INVOCAÇÕES'!$AB$657&amp;""</f>
        <v/>
      </c>
      <c r="MT119" s="155">
        <f>'INVOCAÇÕES'!$AB$658&amp;""</f>
        <v/>
      </c>
      <c r="MU119" s="155">
        <f>'INVOCAÇÕES'!$AD$658&amp;""</f>
        <v/>
      </c>
      <c r="MV119" s="155">
        <f>'INVOCAÇÕES'!$AC$661&amp;""</f>
        <v/>
      </c>
      <c r="MW119" s="155">
        <f>'INVOCAÇÕES'!$AC$662&amp;""</f>
        <v/>
      </c>
      <c r="MX119" s="155">
        <f>'INVOCAÇÕES'!$AC$663&amp;""</f>
        <v/>
      </c>
      <c r="MY119" s="155">
        <f>'INVOCAÇÕES'!$AC$664&amp;""</f>
        <v/>
      </c>
      <c r="MZ119" s="155">
        <f>'INVOCAÇÕES'!$AC$665&amp;""</f>
        <v/>
      </c>
      <c r="NA119" s="155">
        <f>'INVOCAÇÕES'!$AC$666&amp;""</f>
        <v/>
      </c>
      <c r="NB119" s="155">
        <f>IF($MR119&lt;&gt;"",1,0)</f>
        <v/>
      </c>
      <c r="NC119" s="155">
        <f>INDEX($FM$2:$FM$13,$MM119)</f>
        <v/>
      </c>
      <c r="ND119" s="155">
        <f>INDEX($FN$2:$FN$13,$MM119)</f>
        <v/>
      </c>
      <c r="NE119" s="155">
        <f>INDEX($FO$2:$FO$13,$MM119)</f>
        <v/>
      </c>
      <c r="NF119" s="155">
        <f>INDEX($FZ$2:$FZ$13,$MM119)</f>
        <v/>
      </c>
      <c r="NG119" s="155">
        <f>INDEX($GA$2:$GA$13,$MM119)</f>
        <v/>
      </c>
      <c r="NH119" s="155">
        <f>IFERROR(MATCH($MS119,$V$2:$V$11,0),0)</f>
        <v/>
      </c>
      <c r="NI119" s="155">
        <f>IFERROR(VLOOKUP($MV119,$AV$2:$BA$84,2,FALSE),"")</f>
        <v/>
      </c>
      <c r="NJ119" s="155">
        <f>IFERROR(VLOOKUP($MW119,$AV$2:$BA$84,2,FALSE),"")</f>
        <v/>
      </c>
      <c r="NK119" s="155">
        <f>IFERROR(VLOOKUP($MX119,$AV$2:$BA$84,2,FALSE),"")</f>
        <v/>
      </c>
      <c r="NL119" s="155">
        <f>IFERROR(VLOOKUP($MY119,$AV$2:$BA$84,2,FALSE),"")</f>
        <v/>
      </c>
      <c r="NM119" s="155">
        <f>IFERROR(VLOOKUP($MV119,$AV$2:$BA$84,3,FALSE),0)</f>
        <v/>
      </c>
      <c r="NN119" s="155">
        <f>IFERROR(VLOOKUP($MW119,$AV$2:$BA$84,3,FALSE),0)</f>
        <v/>
      </c>
      <c r="NO119" s="155">
        <f>IFERROR(VLOOKUP($MX119,$AV$2:$BA$84,3,FALSE),0)</f>
        <v/>
      </c>
      <c r="NP119" s="155">
        <f>IFERROR(VLOOKUP($MY119,$AV$2:$BA$84,3,FALSE),0)</f>
        <v/>
      </c>
      <c r="NQ119" s="155">
        <f>IF($MQ119=0,0,IF($NH119=0,0,INDEX($X$2:$X$11,$NH119)))</f>
        <v/>
      </c>
      <c r="NR119" s="155">
        <f>IF(OR($NM119=0,$MQ119=0),0,$NM119+3*IF(AND($NI119&lt;&gt;"",OR($NI119=INDEX($EJ$2:$EJ$13,$MM119),$NI119=INDEX($EK$2:$EK$13,$MM119))),1,0))</f>
        <v/>
      </c>
      <c r="NS119" s="155">
        <f>IF(OR($NN119=0,$MQ119=0),0,$NN119+3*IF(AND($NJ119&lt;&gt;"",OR($NJ119=INDEX($EJ$2:$EJ$13,$MM119),$NJ119=INDEX($EK$2:$EK$13,$MM119))),1,0))</f>
        <v/>
      </c>
      <c r="NT119" s="155">
        <f>IF(OR($NO119=0,$MQ119=0),0,$NO119+3*IF(AND($NK119&lt;&gt;"",OR($NK119=INDEX($EJ$2:$EJ$13,$MM119),$NK119=INDEX($EK$2:$EK$13,$MM119))),1,0))</f>
        <v/>
      </c>
      <c r="NU119" s="155">
        <f>IF(OR($NP119=0,$MQ119=0),0,$NP119+3*IF(AND($NL119&lt;&gt;"",OR($NL119=INDEX($EJ$2:$EJ$13,$MM119),$NL119=INDEX($EK$2:$EK$13,$MM119))),1,0))</f>
        <v/>
      </c>
      <c r="NV119" s="155">
        <f>IF($NH119=0,0,IF(INDEX($W$2:$W$11,$NH119)="",0,IF(COUNTIF(INDEX($EJ$2:$EN$13,$MM119,0),INDEX($W$2:$W$11,$NH119))=0,1,0)))</f>
        <v/>
      </c>
      <c r="NW119" s="155">
        <f>IF(OR($NM119=0,$NI119=""),0,IF(COUNTIF(INDEX($EJ$2:$EN$13,$MM119,0),$NI119)=0,1,0))</f>
        <v/>
      </c>
      <c r="NX119" s="155">
        <f>IF(OR($NN119=0,$NJ119=""),0,IF(COUNTIF(INDEX($EJ$2:$EN$13,$MM119,0),$NJ119)=0,1,0))</f>
        <v/>
      </c>
      <c r="NY119" s="155">
        <f>IF(OR($NO119=0,$NK119=""),0,IF(COUNTIF(INDEX($EJ$2:$EN$13,$MM119,0),$NK119)=0,1,0))</f>
        <v/>
      </c>
      <c r="NZ119" s="155">
        <f>IF(OR($NP119=0,$NL119=""),0,IF(COUNTIF(INDEX($EJ$2:$EN$13,$MM119,0),$NL119)=0,1,0))</f>
        <v/>
      </c>
      <c r="OA119" s="155">
        <f>IFERROR(VLOOKUP($MV119,$AV$2:$BA$84,4,FALSE),0)+IFERROR(VLOOKUP($MW119,$AV$2:$BA$84,4,FALSE),0)+IFERROR(VLOOKUP($MX119,$AV$2:$BA$84,4,FALSE),0)+IFERROR(VLOOKUP($MY119,$AV$2:$BA$84,4,FALSE),0)</f>
        <v/>
      </c>
      <c r="OB119" s="155">
        <f>IFERROR(VLOOKUP($MV119,$AV$2:$BA$84,6,FALSE),0)+IFERROR(VLOOKUP($MW119,$AV$2:$BA$84,6,FALSE),0)+IFERROR(VLOOKUP($MX119,$AV$2:$BA$84,6,FALSE),0)+IFERROR(VLOOKUP($MY119,$AV$2:$BA$84,6,FALSE),0)</f>
        <v/>
      </c>
      <c r="OC119" s="155">
        <f>TEXTJOIN(", ",TRUE,IF(IFERROR(VLOOKUP($MV119,$AV$2:$BA$84,5,FALSE),0)=1,$MV119,""),IF(IFERROR(VLOOKUP($MW119,$AV$2:$BA$84,5,FALSE),0)=1,$MW119,""),IF(IFERROR(VLOOKUP($MX119,$AV$2:$BA$84,5,FALSE),0)=1,$MX119,""),IF(IFERROR(VLOOKUP($MY119,$AV$2:$BA$84,5,FALSE),0)=1,$MY119,""))</f>
        <v/>
      </c>
      <c r="OD119" s="155">
        <f>IF($NH119=0,0,INDEX($Y$2:$Y$11,$NH119))</f>
        <v/>
      </c>
      <c r="OE119" s="155">
        <f>IF($NH119=0,0,INDEX($Z$2:$Z$11,$NH119))</f>
        <v/>
      </c>
      <c r="OF119" s="155">
        <f>IF($NH119=0,0,INDEX($AB$2:$AB$11,$NH119))</f>
        <v/>
      </c>
      <c r="OG119" s="155">
        <f>IFERROR(VLOOKUP($MZ119,$BC$2:$BG$24,3,FALSE),0)</f>
        <v/>
      </c>
      <c r="OH119" s="155">
        <f>IFERROR(VLOOKUP($NA119,$BC$2:$BG$24,3,FALSE),0)</f>
        <v/>
      </c>
      <c r="OI119" s="155">
        <f>IFERROR(VLOOKUP($MZ119,$BC$2:$BG$24,2,FALSE),"")</f>
        <v/>
      </c>
      <c r="OJ119" s="155">
        <f>IFERROR(VLOOKUP($NA119,$BC$2:$BG$24,2,FALSE),"")</f>
        <v/>
      </c>
      <c r="OK119" s="155">
        <f>COUNTIF($NQ119:$NU119,1)</f>
        <v/>
      </c>
      <c r="OL119" s="155">
        <f>COUNTIF($NQ119:$NU119,2)</f>
        <v/>
      </c>
      <c r="OM119" s="155">
        <f>COUNTIF($NQ119:$NU119,3)</f>
        <v/>
      </c>
      <c r="ON119" s="155">
        <f>COUNTIF($NQ119:$NU119,4)</f>
        <v/>
      </c>
      <c r="OO119" s="155">
        <f>COUNTIF($NQ119:$NU119,5)</f>
        <v/>
      </c>
      <c r="OP119" s="155">
        <f>COUNTIF($NQ119:$NU119,6)</f>
        <v/>
      </c>
      <c r="OQ119" s="155">
        <f>COUNTIF($OG119:$OH119,1)</f>
        <v/>
      </c>
      <c r="OR119" s="155">
        <f>COUNTIF($OG119:$OH119,2)+$OD119</f>
        <v/>
      </c>
      <c r="OS119" s="155">
        <f>COUNTIF($MV119:$MY119,"?*")</f>
        <v/>
      </c>
      <c r="OT119" s="155">
        <f>COUNTIF($MZ119:$NA119,"?*")+$OD119</f>
        <v/>
      </c>
      <c r="OU119" s="155">
        <f>IF($MQ119=0,0,SUMPRODUCT($OK119:$OP119,INDEX($I$2:$N$8,MAX(1,$MQ119),0)))</f>
        <v/>
      </c>
      <c r="OV119" s="155">
        <f>IF($MQ119=0,0,$OQ119*CEILING($MQ119/2,1)+$OR119*$MQ119)</f>
        <v/>
      </c>
      <c r="OW119" s="155">
        <f>MIN(2*$MQ119,$OV119)</f>
        <v/>
      </c>
      <c r="OX119" s="155">
        <f>MIN($OW119,$OU119)</f>
        <v/>
      </c>
      <c r="OY119" s="155">
        <f>$OW119-$OX119</f>
        <v/>
      </c>
      <c r="OZ119" s="155">
        <f>IF($MQ119=0,0,INDEX($P$2:$P$8,MAX(1,$MQ119)))</f>
        <v/>
      </c>
      <c r="PA119" s="155">
        <f>$OZ119-$OU119+$OX119</f>
        <v/>
      </c>
      <c r="PB119" s="155">
        <f>IF($MQ119=0,MAX(0,$NE119-IF($OS119&gt;0,1,0)),MAX(0,$PA119))</f>
        <v/>
      </c>
      <c r="PC119" s="155">
        <f>IF($MQ119=0,0,(IF(COUNTIF($MV119:$MY119,"Salto")&gt;0,1,0)+IF(COUNTIF($MV119:$MY119,"Queima")&gt;0,1,0)+IF(COUNTIF($MV119:$MY119,"Estilhaço")&gt;0,1,0))*FLOOR($PB119/2,1))</f>
        <v/>
      </c>
      <c r="PD119" s="155">
        <f>MAX(0,2-SUMPRODUCT($OK119:$OP119,$I$2:$N$2)+MIN(2,$OQ119*1+$OR119*1,SUMPRODUCT($OK119:$OP119,$I$2:$N$2)))</f>
        <v/>
      </c>
      <c r="PE119" s="155">
        <f>MAX(0,4-SUMPRODUCT($OK119:$OP119,$I$3:$N$3)+MIN(4,$OQ119*1+$OR119*2,SUMPRODUCT($OK119:$OP119,$I$3:$N$3)))</f>
        <v/>
      </c>
      <c r="PF119" s="155">
        <f>MAX(0,6-SUMPRODUCT($OK119:$OP119,$I$4:$N$4)+MIN(6,$OQ119*2+$OR119*3,SUMPRODUCT($OK119:$OP119,$I$4:$N$4)))</f>
        <v/>
      </c>
      <c r="PG119" s="155">
        <f>MAX(0,9-SUMPRODUCT($OK119:$OP119,$I$5:$N$5)+MIN(8,$OQ119*2+$OR119*4,SUMPRODUCT($OK119:$OP119,$I$5:$N$5)))</f>
        <v/>
      </c>
      <c r="PH119" s="155">
        <f>MAX(0,11-SUMPRODUCT($OK119:$OP119,$I$6:$N$6)+MIN(10,$OQ119*3+$OR119*5,SUMPRODUCT($OK119:$OP119,$I$6:$N$6)))</f>
        <v/>
      </c>
      <c r="PI119" s="155">
        <f>MAX(0,13-SUMPRODUCT($OK119:$OP119,$I$7:$N$7)+MIN(12,$OQ119*3+$OR119*6,SUMPRODUCT($OK119:$OP119,$I$7:$N$7)))</f>
        <v/>
      </c>
      <c r="PJ119" s="155">
        <f>MAX(0,16-SUMPRODUCT($OK119:$OP119,$I$8:$N$8)+MIN(14,$OQ119*4+$OR119*7,SUMPRODUCT($OK119:$OP119,$I$8:$N$8)))</f>
        <v/>
      </c>
      <c r="PK119" s="155">
        <f>IF($OE119=2,3*$PD119&amp;" de vida temp.",IF($OE119=3,"sem dano",IF($PD119=0,IF($OE119=1,"sem cura","sem dano"),IF($OE119=1,"cura ","")&amp;$PD119&amp;"d8")))</f>
        <v/>
      </c>
      <c r="PL119" s="155">
        <f>IF($OE119=2,3*$PE119&amp;" de vida temp.",IF($OE119=3,"sem dano",IF($PE119=0,IF($OE119=1,"sem cura","sem dano"),IF($OE119=1,"cura ","")&amp;$PE119&amp;"d8")))</f>
        <v/>
      </c>
      <c r="PM119" s="155">
        <f>IF($OE119=2,3*$PF119&amp;" de vida temp.",IF($OE119=3,"sem dano",IF($PF119=0,IF($OE119=1,"sem cura","sem dano"),IF($OE119=1,"cura ","")&amp;$PF119&amp;"d8")))</f>
        <v/>
      </c>
      <c r="PN119" s="155">
        <f>IF($OE119=2,3*$PG119&amp;" de vida temp.",IF($OE119=3,"sem dano",IF($PG119=0,IF($OE119=1,"sem cura","sem dano"),IF($OE119=1,"cura ","")&amp;$PG119&amp;"d8")))</f>
        <v/>
      </c>
      <c r="PO119" s="155">
        <f>IF($OE119=2,3*$PH119&amp;" de vida temp.",IF($OE119=3,"sem dano",IF($PH119=0,IF($OE119=1,"sem cura","sem dano"),IF($OE119=1,"cura ","")&amp;$PH119&amp;"d8")))</f>
        <v/>
      </c>
      <c r="PP119" s="155">
        <f>IF($OE119=2,3*$PI119&amp;" de vida temp.",IF($OE119=3,"sem dano",IF($PI119=0,IF($OE119=1,"sem cura","sem dano"),IF($OE119=1,"cura ","")&amp;$PI119&amp;"d8")))</f>
        <v/>
      </c>
      <c r="PQ119" s="155">
        <f>IF($OE119=2,3*$PJ119&amp;" de vida temp.",IF($OE119=3,"sem dano",IF($PJ119=0,IF($OE119=1,"sem cura","sem dano"),IF($OE119=1,"cura ","")&amp;$PJ119&amp;"d8")))</f>
        <v/>
      </c>
      <c r="PR119" s="155">
        <f>IF($NB119=0,"",TEXTJOIN(" · ",TRUE,IF($MO119&gt;$NC119,"Este lugar abre no nível "&amp;$MO119,""),IF($MQ119&gt;$ND119,"Classe "&amp;$MQ119&amp;": o nível "&amp;$NC119&amp;" libera até a "&amp;$ND119,""),IF($NV119=1,"A Forma "&amp;$MS119&amp;" pede "&amp;INDEX($W$2:$W$11,$NH119)&amp;" aberta",""),IF(AND($MQ119=0,$NH119&gt;0,IF($NH119=0,0,INDEX($AF$2:$AF$11,$NH119))=0),$MS119&amp;" não existe na Classe 0",""),IF($NW119=1,"Família Fechada: "&amp;$MV119,""),IF($NX119=1,"Família Fechada: "&amp;$MW119,""),IF($NY119=1,"Família Fechada: "&amp;$MX119,""),IF($NZ119=1,"Família Fechada: "&amp;$MY119,""),IF(AND($MQ119&gt;0,$OS119&gt;INDEX($O$2:$O$8,MAX(1,$MQ119))),$OS119&amp;" Melhorias: a Classe "&amp;$MQ119&amp;" aceita "&amp;INDEX($O$2:$O$8,MAX(1,$MQ119)),""),IF(AND($MQ119=0,$OS119&gt;1),"A básica aceita uma Melhoria",""),IF(AND($MQ119=0,COUNTIF($NM119:$NP119,"&gt;1")&gt;0),"A básica só aceita Melhoria Leve",""),IF(AND($MQ119&gt;0,$OT119&gt;2),$OT119&amp;" Restrições"&amp;IF($OD119=1,", contando a que a Forma "&amp;$MS119&amp;" já traz","")&amp;": o limite é 2",""),IF(AND($MQ119=0,COUNTIF($MZ119:$NA119,"?*")&gt;1),"A básica aceita uma Restrição Leve",""),IF(AND($MQ119=0,COUNTIF($OG119:$OH119,2)&gt;0),"A básica só aceita Restrição Leve",""),IF(AND($MQ119&gt;0,$PA119&lt;0),"Orçamento estourado: faltam "&amp;(-$PA119)&amp;IF($PA119&lt;-1," pontos"," ponto"),""),IF(IFERROR(VLOOKUP($MZ119,$BC$2:$BG$24,4,FALSE),0)+IFERROR(VLOOKUP($NA119,$BC$2:$BG$24,4,FALSE),0)&gt;1,$OI119&amp;" e "&amp;$OJ119&amp;" são as duas de frequência",""),IF(AND((COUNTIF($MV119:$MY119,"Rápido")+COUNTIF($OI119:$OJ119,"Rápido"))&gt;0,(COUNTIF($MV119:$MY119,"Atrasar")+COUNTIF($OI119:$OJ119,"Atrasar"))&gt;0),"Rápido não entra com Atrasar",""),IF(AND((COUNTIF($MV119:$MY119,"Reação")+COUNTIF($OI119:$OJ119,"Reação"))&gt;0,(COUNTIF($MV119:$MY119,"Rápido")+COUNTIF($OI119:$OJ119,"Rápido"))&gt;0),"Reação não entra com Rápido",""),IF(AND((COUNTIF($MV119:$MY119,"Reação")+COUNTIF($OI119:$OJ119,"Reação"))&gt;0,(COUNTIF($MV119:$MY119,"Armado")+COUNTIF($OI119:$OJ119,"Armado"))&gt;0),"Reação não entra com Armado",""),IF(AND((COUNTIF($MV119:$MY119,"Reação")+COUNTIF($OI119:$OJ119,"Reação"))&gt;0,(COUNTIF($MV119:$MY119,"Atrasar")+COUNTIF($OI119:$OJ119,"Atrasar"))&gt;0),"Reação não entra com Atrasar",""),IF(AND((COUNTIF($MV119:$MY119,"Reação")+COUNTIF($OI119:$OJ119,"Reação"))&gt;0,(COUNTIF($MV119:$MY119,"Parado")+COUNTIF($OI119:$OJ119,"Parado"))&gt;0),"Reação não entra com Parado",""),IF(AND((COUNTIF($MV119:$MY119,"Atrasar")+COUNTIF($OI119:$OJ119,"Atrasar"))&gt;0,(COUNTIF($MV119:$MY119,"Parado")+COUNTIF($OI119:$OJ119,"Parado"))&gt;0),"Atrasar não entra com Parado",""),IF(AND((COUNTIF($MV119:$MY119,"Armado")+COUNTIF($OI119:$OJ119,"Armado"))&gt;0,(COUNTIF($MV119:$MY119,"Carregar")+COUNTIF($OI119:$OJ119,"Carregar"))&gt;0),"Armado não entra com Carregar",""),IF(AND(COUNTIF($OI119:$OJ119,"Corpo a Corpo")&gt;0,$OD119=0,OR($MS119="Cone",$MS119="Linha")),"Corpo a Corpo não entra em "&amp;$MS119,""),IF(AND(COUNTIF($OI119:$OJ119,"Corpo a Corpo")&gt;0,$OD119=1),"A Forma "&amp;$MS119&amp;" já traz o Corpo a Corpo",""),IF(AND(COUNTIF($OI119:$OJ119,"Tudo ou Nada")&gt;0,$OF119=0),"Tudo ou Nada só entra em habilidade de Teste de Resistência",""),IF(AND(COUNTIF($MV119:$MY119,"Inescapável")&gt;0,OR($OS119&gt;1,$OT119&gt;0)),"Inescapável não aceita outra peça",""),IF(AND($MQ119&gt;0,$PB119*IF(COUNTIF($MV119:$MY119,"Remate")&gt;0,1.25,1)+$PC119&gt;4*$MQ119),($PB119*IF(COUNTIF($MV119:$MY119,"Remate")&gt;0,1.25,1)+$PC119)&amp;" dados somando repetições"&amp;IF(COUNTIF($MV119:$MY119,"Remate")&gt;0," e o Remate","")&amp;": o teto da Classe "&amp;$MQ119&amp;" é "&amp;4*$MQ119,"")))</f>
        <v/>
      </c>
      <c r="PS119" s="155">
        <f>IF($PR119="",0,(LEN($PR119)-LEN(SUBSTITUTE($PR119," · ","")))/3+1)</f>
        <v/>
      </c>
      <c r="PT119" s="155">
        <f>IF($NB119=0,"",TEXTJOIN(" · ",TRUE,IF($OV119&gt;2*$MQ119,"A devolução parou no teto de "&amp;2*$MQ119,""),IF($OY119&gt;0,"Devolução perdida: "&amp;$OY119&amp;IF($OY119&gt;1," pontos"," ponto")&amp;" sem peça para pagar",""),IF(AND($OA119&gt;0,AND($MQ119&gt;0,$OE119=0),$PB119=0),"Controle sem dano: uma rodada a mais e CD +2",""),IF(AND($OA119&gt;0,AND($MQ119&gt;0,$OE119=0),$PB119&gt;0,$PB119&lt;=$MQ119),"Controle com saldo até a Classe: uma rodada a mais",""),IF(AND($MQ119&gt;0,$OC119&lt;&gt;""),"Efeito de "&amp;$OC119&amp;" pela Classe "&amp;MAX(1,$MQ119-1),"")))</f>
        <v/>
      </c>
      <c r="PU119" s="155">
        <f>IF($PT119="",0,(LEN($PT119)-LEN(SUBSTITUTE($PT119," · ","")))/3+1)</f>
        <v/>
      </c>
      <c r="PV119" s="155">
        <f>IF($NB119=0,IF($OS119+COUNTIF($MZ119:$NA119,"?*")&gt;0,"Dê um nome",""),IF($PS119&gt;0,"⚠ "&amp;$PS119&amp;IF($PS119&gt;1," erros"," erro"),IF($PU119&gt;0,"! "&amp;$PU119&amp;IF($PU119&gt;1," avisos"," aviso"),"Na regra")))</f>
        <v/>
      </c>
      <c r="PW119" s="155">
        <f>IF($NB119=0,"",IF($PS119+$PU119=0,"Dentro das regras que a ficha confere",$PR119&amp;IF(AND($PS119&gt;0,$PU119&gt;0)," · ","")&amp;$PT119))</f>
        <v/>
      </c>
      <c r="PX119" s="155">
        <f>IF($MO119&gt;$NC119,$MP119&amp;" · ABRE NO NÍVEL "&amp;$MO119,$MP119)</f>
        <v/>
      </c>
      <c r="PY119" s="155">
        <f>IF($NB119=0,"",IF($MQ119=0,"Sem PE",3*$MQ119&amp;" PE"))</f>
        <v/>
      </c>
      <c r="PZ119" s="155">
        <f>IF($NB119=0,"",IF($MQ119=0,"A atuação básica dela",IF(COUNTIF($OI119:$OJ119,"Atrasar")&gt;0,"Sua Ação Completa",IF(COUNTIF($MV119:$MY119,"Rápido")&gt;0,"Sua Bônus",IF(COUNTIF($MV119:$MY119,"Reação")&gt;0,"Sua Reação","Sua Padrão")))&amp;" + a básica dela"&amp;IF(COUNTIF($MV119:$MY119,"Reação")&gt;0," e a coletiva","")&amp;IF(COUNTIF($OI119:$OJ119,"Carregar")&gt;0," · em dois turnos","")))</f>
        <v/>
      </c>
      <c r="QA119" s="155">
        <f>IF($MU119&lt;&gt;"",$MU119,IF($NH119=0,"",INDEX($AA$2:$AA$11,$NH119)))</f>
        <v/>
      </c>
      <c r="QB119" s="155">
        <f>IF(OR($NB119=0,$NH119=0),"",IF(COUNTIF($MV119:$MY119,"Inescapável")&gt;0,"Automático",IF($QA119="Ataque",IF($NF119="","Ataque","Ataque "&amp;IF(($NF119+2*IF(COUNTIF($MV119:$MY119,"Precisão")&gt;0,1,0))&gt;=0,"+","−")&amp;ABS(($NF119+2*IF(COUNTIF($MV119:$MY119,"Precisão")&gt;0,1,0))))&amp;IF($OB119&gt;0," · TR"&amp;IF($NG119="",""," CD "&amp;$NG119),""),IF(LEFT($QA119,2)="TR",$QA119&amp;IF($NG119="",""," · CD "&amp;$NG119)&amp;IF(COUNTIF($MV119:$MY119,"Certeiro")&gt;0," · metade",""),"Sem rolagem"))))</f>
        <v/>
      </c>
      <c r="QC119" s="155">
        <f>IF(OR($NB119=0,$NH119=0),"",IF($MQ119=0,IF(OR($OE119&gt;=1,$PB119=0),"Sem dano",$PB119&amp;"d6"&amp;IF($MT119="",""," "&amp;$MT119)),IF(OR($OE119&gt;=1,$PB119=0),UPPER(LEFT(INDEX($PK119:$PQ119,1,MAX(1,$MQ119)),1))&amp;MID(INDEX($PK119:$PQ119,1,MAX(1,$MQ119)),2,99),UPPER(LEFT(INDEX($PK119:$PQ119,1,MAX(1,$MQ119)),1))&amp;MID(INDEX($PK119:$PQ119,1,MAX(1,$MQ119)),2,99)&amp;IF($MT119="",""," "&amp;$MT119)&amp;IF($PC119&gt;0," · +"&amp;$PC119&amp;"d8",""))))</f>
        <v/>
      </c>
      <c r="QD119" s="155">
        <f>COUNTIF($MV119:$MY119,"Longe")+3*COUNTIF($MV119:$MY119,"Muito Longe")</f>
        <v/>
      </c>
      <c r="QE119" s="155">
        <f>COUNTIF($MV119:$MY119,"Maior")+3*COUNTIF($MV119:$MY119,"Muito Maior")</f>
        <v/>
      </c>
      <c r="QF119" s="155">
        <f>IF($NH119=0,0,CHOOSE(1+INDEX($AC$2:$AC$11,$NH119),0,$QD119,$QE119,$QD119+$QE119))</f>
        <v/>
      </c>
      <c r="QG119" s="155">
        <f>IF($NH119=0,0,CHOOSE(1+INDEX($AD$2:$AD$11,$NH119),0,$QD119,$QE119,$QD119+$QE119))</f>
        <v/>
      </c>
      <c r="QH119" s="155">
        <f>IF(OR($NB119=0,$NH119=0),"",INDEX($AI$2:$AN$41,($NH119-1)*4+IF($MQ119=0,1,IF($MQ119&lt;=5,2,IF($MQ119=6,3,4))),1+MIN(5,$QF119))&amp;INDEX($AO$2:$AT$41,($NH119-1)*4+IF($MQ119=0,1,IF($MQ119&lt;=5,2,IF($MQ119=6,3,4))),1+MIN(5,$QG119))&amp;IF(INDEX($AE$2:$AE$11,$NH119)=1,IF(COUNTIF($MV119:$MY119,"Mais Um")&gt;0," · +"&amp;COUNTIF($MV119:$MY119,"Mais Um")&amp;IF(COUNTIF($MV119:$MY119,"Mais Um")&gt;1," alvos"," alvo"),"")&amp;IF(COUNTIF($MV119:$MY119,"Rajada")&gt;0,IF($MQ119=0," · 1 tiro"," · "&amp;(MAX(1,$MQ119-1)+1)&amp;" tiros"),""),""))</f>
        <v/>
      </c>
      <c r="QI119" s="155">
        <f>IF($NB119=0,"",IF($MQ119=0,$NE119&amp;"d6"&amp;IF($OS119&gt;0," − 1 = "&amp;$PB119&amp;"d6"," da básica do nível "&amp;$NC119),$OZ119&amp;" − "&amp;$OU119&amp;" + "&amp;$OX119&amp;" = "&amp;$PA119&amp;" · teto "&amp;4*$MQ119&amp;"d8"&amp;IF($OD119=1," · a Forma devolve "&amp;$MQ119,"")&amp;IF($OY119&gt;0," · perde "&amp;$OY119,"")))</f>
        <v/>
      </c>
      <c r="QJ119" s="155">
        <f>IF($NB119=0,"",IF($MQ119=0,"A básica não amplia: os dados dela sobem com o nível",IF($MQ119&gt;=$ND119,"Já está na maior Classe que o nível liberou",TEXTJOIN(" · ",TRUE,IF(AND(2&gt;$MQ119,2&lt;=$ND119),"2 → "&amp;$PL119&amp;", 6 PE",""),IF(AND(3&gt;$MQ119,3&lt;=$ND119),"3 → "&amp;$PM119&amp;", 9 PE",""),IF(AND(4&gt;$MQ119,4&lt;=$ND119),"4 → "&amp;$PN119&amp;", 12 PE",""),IF(AND(5&gt;$MQ119,5&lt;=$ND119),"5 → "&amp;$PO119&amp;", 15 PE",""),IF(AND(6&gt;$MQ119,6&lt;=$ND119),"6 → "&amp;$PP119&amp;", 18 PE",""),IF(AND(7&gt;$MQ119,7&lt;=$ND119),"7 → "&amp;$PQ119&amp;", 21 PE","")))))</f>
        <v/>
      </c>
      <c r="QK119" s="155">
        <f>IF(OR($NB119=0,$NM119=0),"",IF($MQ119=0,"−1 dado","−"&amp;INDEX($I$2:$N$8,MAX(1,$MQ119),MAX(1,$NR119))&amp;" · "&amp;CHOOSE(MAX(1,$NR119),"Leve","Média","Pesada","Leve · Livre","Média · Livre","Pesada · Livre")))</f>
        <v/>
      </c>
      <c r="QL119" s="155">
        <f>IF(OR($NB119=0,$NN119=0),"",IF($MQ119=0,"−1 dado","−"&amp;INDEX($I$2:$N$8,MAX(1,$MQ119),MAX(1,$NS119))&amp;" · "&amp;CHOOSE(MAX(1,$NS119),"Leve","Média","Pesada","Leve · Livre","Média · Livre","Pesada · Livre")))</f>
        <v/>
      </c>
      <c r="QM119" s="155">
        <f>IF(OR($NB119=0,$NO119=0),"",IF($MQ119=0,"−1 dado","−"&amp;INDEX($I$2:$N$8,MAX(1,$MQ119),MAX(1,$NT119))&amp;" · "&amp;CHOOSE(MAX(1,$NT119),"Leve","Média","Pesada","Leve · Livre","Média · Livre","Pesada · Livre")))</f>
        <v/>
      </c>
      <c r="QN119" s="155">
        <f>IF(OR($NB119=0,$NP119=0),"",IF($MQ119=0,"−1 dado","−"&amp;INDEX($I$2:$N$8,MAX(1,$MQ119),MAX(1,$NU119))&amp;" · "&amp;CHOOSE(MAX(1,$NU119),"Leve","Média","Pesada","Leve · Livre","Média · Livre","Pesada · Livre")))</f>
        <v/>
      </c>
      <c r="QO119" s="155">
        <f>IF(OR($NB119=0,$MZ119=""),"",IF($MQ119=0,"não devolve","+"&amp;IF($OG119=1,CEILING($MQ119/2,1),$MQ119)))</f>
        <v/>
      </c>
      <c r="QP119" s="155">
        <f>IF(OR($NB119=0,$NA119=""),"",IF($MQ119=0,"não devolve","+"&amp;IF($OH119=1,CEILING($MQ119/2,1),$MQ119)))</f>
        <v/>
      </c>
    </row>
    <row r="120">
      <c r="ML120" s="153" t="inlineStr">
        <is>
          <t>Ficha 10 · Especial 1</t>
        </is>
      </c>
      <c r="MM120" s="155" t="n">
        <v>10</v>
      </c>
      <c r="MN120" s="155" t="n">
        <v>1</v>
      </c>
      <c r="MO120" s="155" t="n">
        <v>1</v>
      </c>
      <c r="MP120" s="153" t="inlineStr">
        <is>
          <t>ESPECIAL 1</t>
        </is>
      </c>
      <c r="MQ120" s="155">
        <f>MAX(1,MIN(7,N('INVOCAÇÕES'!$AH$652)))</f>
        <v/>
      </c>
      <c r="MR120" s="155">
        <f>'INVOCAÇÕES'!$AI$652&amp;""</f>
        <v/>
      </c>
      <c r="MS120" s="155">
        <f>'INVOCAÇÕES'!$AH$657&amp;""</f>
        <v/>
      </c>
      <c r="MT120" s="155">
        <f>'INVOCAÇÕES'!$AH$658&amp;""</f>
        <v/>
      </c>
      <c r="MU120" s="155">
        <f>'INVOCAÇÕES'!$AJ$658&amp;""</f>
        <v/>
      </c>
      <c r="MV120" s="155">
        <f>'INVOCAÇÕES'!$AI$661&amp;""</f>
        <v/>
      </c>
      <c r="MW120" s="155">
        <f>'INVOCAÇÕES'!$AI$662&amp;""</f>
        <v/>
      </c>
      <c r="MX120" s="155">
        <f>'INVOCAÇÕES'!$AI$663&amp;""</f>
        <v/>
      </c>
      <c r="MY120" s="155">
        <f>'INVOCAÇÕES'!$AI$664&amp;""</f>
        <v/>
      </c>
      <c r="MZ120" s="155">
        <f>'INVOCAÇÕES'!$AI$665&amp;""</f>
        <v/>
      </c>
      <c r="NA120" s="155">
        <f>'INVOCAÇÕES'!$AI$666&amp;""</f>
        <v/>
      </c>
      <c r="NB120" s="155">
        <f>IF($MR120&lt;&gt;"",1,0)</f>
        <v/>
      </c>
      <c r="NC120" s="155">
        <f>INDEX($FM$2:$FM$13,$MM120)</f>
        <v/>
      </c>
      <c r="ND120" s="155">
        <f>INDEX($FN$2:$FN$13,$MM120)</f>
        <v/>
      </c>
      <c r="NE120" s="155">
        <f>INDEX($FO$2:$FO$13,$MM120)</f>
        <v/>
      </c>
      <c r="NF120" s="155">
        <f>INDEX($FZ$2:$FZ$13,$MM120)</f>
        <v/>
      </c>
      <c r="NG120" s="155">
        <f>INDEX($GA$2:$GA$13,$MM120)</f>
        <v/>
      </c>
      <c r="NH120" s="155">
        <f>IFERROR(MATCH($MS120,$V$2:$V$11,0),0)</f>
        <v/>
      </c>
      <c r="NI120" s="155">
        <f>IFERROR(VLOOKUP($MV120,$AV$2:$BA$84,2,FALSE),"")</f>
        <v/>
      </c>
      <c r="NJ120" s="155">
        <f>IFERROR(VLOOKUP($MW120,$AV$2:$BA$84,2,FALSE),"")</f>
        <v/>
      </c>
      <c r="NK120" s="155">
        <f>IFERROR(VLOOKUP($MX120,$AV$2:$BA$84,2,FALSE),"")</f>
        <v/>
      </c>
      <c r="NL120" s="155">
        <f>IFERROR(VLOOKUP($MY120,$AV$2:$BA$84,2,FALSE),"")</f>
        <v/>
      </c>
      <c r="NM120" s="155">
        <f>IFERROR(VLOOKUP($MV120,$AV$2:$BA$84,3,FALSE),0)</f>
        <v/>
      </c>
      <c r="NN120" s="155">
        <f>IFERROR(VLOOKUP($MW120,$AV$2:$BA$84,3,FALSE),0)</f>
        <v/>
      </c>
      <c r="NO120" s="155">
        <f>IFERROR(VLOOKUP($MX120,$AV$2:$BA$84,3,FALSE),0)</f>
        <v/>
      </c>
      <c r="NP120" s="155">
        <f>IFERROR(VLOOKUP($MY120,$AV$2:$BA$84,3,FALSE),0)</f>
        <v/>
      </c>
      <c r="NQ120" s="155">
        <f>IF($MQ120=0,0,IF($NH120=0,0,INDEX($X$2:$X$11,$NH120)))</f>
        <v/>
      </c>
      <c r="NR120" s="155">
        <f>IF(OR($NM120=0,$MQ120=0),0,$NM120+3*IF(AND($NI120&lt;&gt;"",OR($NI120=INDEX($EJ$2:$EJ$13,$MM120),$NI120=INDEX($EK$2:$EK$13,$MM120))),1,0))</f>
        <v/>
      </c>
      <c r="NS120" s="155">
        <f>IF(OR($NN120=0,$MQ120=0),0,$NN120+3*IF(AND($NJ120&lt;&gt;"",OR($NJ120=INDEX($EJ$2:$EJ$13,$MM120),$NJ120=INDEX($EK$2:$EK$13,$MM120))),1,0))</f>
        <v/>
      </c>
      <c r="NT120" s="155">
        <f>IF(OR($NO120=0,$MQ120=0),0,$NO120+3*IF(AND($NK120&lt;&gt;"",OR($NK120=INDEX($EJ$2:$EJ$13,$MM120),$NK120=INDEX($EK$2:$EK$13,$MM120))),1,0))</f>
        <v/>
      </c>
      <c r="NU120" s="155">
        <f>IF(OR($NP120=0,$MQ120=0),0,$NP120+3*IF(AND($NL120&lt;&gt;"",OR($NL120=INDEX($EJ$2:$EJ$13,$MM120),$NL120=INDEX($EK$2:$EK$13,$MM120))),1,0))</f>
        <v/>
      </c>
      <c r="NV120" s="155">
        <f>IF($NH120=0,0,IF(INDEX($W$2:$W$11,$NH120)="",0,IF(COUNTIF(INDEX($EJ$2:$EN$13,$MM120,0),INDEX($W$2:$W$11,$NH120))=0,1,0)))</f>
        <v/>
      </c>
      <c r="NW120" s="155">
        <f>IF(OR($NM120=0,$NI120=""),0,IF(COUNTIF(INDEX($EJ$2:$EN$13,$MM120,0),$NI120)=0,1,0))</f>
        <v/>
      </c>
      <c r="NX120" s="155">
        <f>IF(OR($NN120=0,$NJ120=""),0,IF(COUNTIF(INDEX($EJ$2:$EN$13,$MM120,0),$NJ120)=0,1,0))</f>
        <v/>
      </c>
      <c r="NY120" s="155">
        <f>IF(OR($NO120=0,$NK120=""),0,IF(COUNTIF(INDEX($EJ$2:$EN$13,$MM120,0),$NK120)=0,1,0))</f>
        <v/>
      </c>
      <c r="NZ120" s="155">
        <f>IF(OR($NP120=0,$NL120=""),0,IF(COUNTIF(INDEX($EJ$2:$EN$13,$MM120,0),$NL120)=0,1,0))</f>
        <v/>
      </c>
      <c r="OA120" s="155">
        <f>IFERROR(VLOOKUP($MV120,$AV$2:$BA$84,4,FALSE),0)+IFERROR(VLOOKUP($MW120,$AV$2:$BA$84,4,FALSE),0)+IFERROR(VLOOKUP($MX120,$AV$2:$BA$84,4,FALSE),0)+IFERROR(VLOOKUP($MY120,$AV$2:$BA$84,4,FALSE),0)</f>
        <v/>
      </c>
      <c r="OB120" s="155">
        <f>IFERROR(VLOOKUP($MV120,$AV$2:$BA$84,6,FALSE),0)+IFERROR(VLOOKUP($MW120,$AV$2:$BA$84,6,FALSE),0)+IFERROR(VLOOKUP($MX120,$AV$2:$BA$84,6,FALSE),0)+IFERROR(VLOOKUP($MY120,$AV$2:$BA$84,6,FALSE),0)</f>
        <v/>
      </c>
      <c r="OC120" s="155">
        <f>TEXTJOIN(", ",TRUE,IF(IFERROR(VLOOKUP($MV120,$AV$2:$BA$84,5,FALSE),0)=1,$MV120,""),IF(IFERROR(VLOOKUP($MW120,$AV$2:$BA$84,5,FALSE),0)=1,$MW120,""),IF(IFERROR(VLOOKUP($MX120,$AV$2:$BA$84,5,FALSE),0)=1,$MX120,""),IF(IFERROR(VLOOKUP($MY120,$AV$2:$BA$84,5,FALSE),0)=1,$MY120,""))</f>
        <v/>
      </c>
      <c r="OD120" s="155">
        <f>IF($NH120=0,0,INDEX($Y$2:$Y$11,$NH120))</f>
        <v/>
      </c>
      <c r="OE120" s="155">
        <f>IF($NH120=0,0,INDEX($Z$2:$Z$11,$NH120))</f>
        <v/>
      </c>
      <c r="OF120" s="155">
        <f>IF($NH120=0,0,INDEX($AB$2:$AB$11,$NH120))</f>
        <v/>
      </c>
      <c r="OG120" s="155">
        <f>IFERROR(VLOOKUP($MZ120,$BC$2:$BG$24,3,FALSE),0)</f>
        <v/>
      </c>
      <c r="OH120" s="155">
        <f>IFERROR(VLOOKUP($NA120,$BC$2:$BG$24,3,FALSE),0)</f>
        <v/>
      </c>
      <c r="OI120" s="155">
        <f>IFERROR(VLOOKUP($MZ120,$BC$2:$BG$24,2,FALSE),"")</f>
        <v/>
      </c>
      <c r="OJ120" s="155">
        <f>IFERROR(VLOOKUP($NA120,$BC$2:$BG$24,2,FALSE),"")</f>
        <v/>
      </c>
      <c r="OK120" s="155">
        <f>COUNTIF($NQ120:$NU120,1)</f>
        <v/>
      </c>
      <c r="OL120" s="155">
        <f>COUNTIF($NQ120:$NU120,2)</f>
        <v/>
      </c>
      <c r="OM120" s="155">
        <f>COUNTIF($NQ120:$NU120,3)</f>
        <v/>
      </c>
      <c r="ON120" s="155">
        <f>COUNTIF($NQ120:$NU120,4)</f>
        <v/>
      </c>
      <c r="OO120" s="155">
        <f>COUNTIF($NQ120:$NU120,5)</f>
        <v/>
      </c>
      <c r="OP120" s="155">
        <f>COUNTIF($NQ120:$NU120,6)</f>
        <v/>
      </c>
      <c r="OQ120" s="155">
        <f>COUNTIF($OG120:$OH120,1)</f>
        <v/>
      </c>
      <c r="OR120" s="155">
        <f>COUNTIF($OG120:$OH120,2)+$OD120</f>
        <v/>
      </c>
      <c r="OS120" s="155">
        <f>COUNTIF($MV120:$MY120,"?*")</f>
        <v/>
      </c>
      <c r="OT120" s="155">
        <f>COUNTIF($MZ120:$NA120,"?*")+$OD120</f>
        <v/>
      </c>
      <c r="OU120" s="155">
        <f>IF($MQ120=0,0,SUMPRODUCT($OK120:$OP120,INDEX($I$2:$N$8,MAX(1,$MQ120),0)))</f>
        <v/>
      </c>
      <c r="OV120" s="155">
        <f>IF($MQ120=0,0,$OQ120*CEILING($MQ120/2,1)+$OR120*$MQ120)</f>
        <v/>
      </c>
      <c r="OW120" s="155">
        <f>MIN(2*$MQ120,$OV120)</f>
        <v/>
      </c>
      <c r="OX120" s="155">
        <f>MIN($OW120,$OU120)</f>
        <v/>
      </c>
      <c r="OY120" s="155">
        <f>$OW120-$OX120</f>
        <v/>
      </c>
      <c r="OZ120" s="155">
        <f>IF($MQ120=0,0,INDEX($P$2:$P$8,MAX(1,$MQ120)))</f>
        <v/>
      </c>
      <c r="PA120" s="155">
        <f>$OZ120-$OU120+$OX120</f>
        <v/>
      </c>
      <c r="PB120" s="155">
        <f>IF($MQ120=0,MAX(0,$NE120-IF($OS120&gt;0,1,0)),MAX(0,$PA120))</f>
        <v/>
      </c>
      <c r="PC120" s="155">
        <f>IF($MQ120=0,0,(IF(COUNTIF($MV120:$MY120,"Salto")&gt;0,1,0)+IF(COUNTIF($MV120:$MY120,"Queima")&gt;0,1,0)+IF(COUNTIF($MV120:$MY120,"Estilhaço")&gt;0,1,0))*FLOOR($PB120/2,1))</f>
        <v/>
      </c>
      <c r="PD120" s="155">
        <f>MAX(0,2-SUMPRODUCT($OK120:$OP120,$I$2:$N$2)+MIN(2,$OQ120*1+$OR120*1,SUMPRODUCT($OK120:$OP120,$I$2:$N$2)))</f>
        <v/>
      </c>
      <c r="PE120" s="155">
        <f>MAX(0,4-SUMPRODUCT($OK120:$OP120,$I$3:$N$3)+MIN(4,$OQ120*1+$OR120*2,SUMPRODUCT($OK120:$OP120,$I$3:$N$3)))</f>
        <v/>
      </c>
      <c r="PF120" s="155">
        <f>MAX(0,6-SUMPRODUCT($OK120:$OP120,$I$4:$N$4)+MIN(6,$OQ120*2+$OR120*3,SUMPRODUCT($OK120:$OP120,$I$4:$N$4)))</f>
        <v/>
      </c>
      <c r="PG120" s="155">
        <f>MAX(0,9-SUMPRODUCT($OK120:$OP120,$I$5:$N$5)+MIN(8,$OQ120*2+$OR120*4,SUMPRODUCT($OK120:$OP120,$I$5:$N$5)))</f>
        <v/>
      </c>
      <c r="PH120" s="155">
        <f>MAX(0,11-SUMPRODUCT($OK120:$OP120,$I$6:$N$6)+MIN(10,$OQ120*3+$OR120*5,SUMPRODUCT($OK120:$OP120,$I$6:$N$6)))</f>
        <v/>
      </c>
      <c r="PI120" s="155">
        <f>MAX(0,13-SUMPRODUCT($OK120:$OP120,$I$7:$N$7)+MIN(12,$OQ120*3+$OR120*6,SUMPRODUCT($OK120:$OP120,$I$7:$N$7)))</f>
        <v/>
      </c>
      <c r="PJ120" s="155">
        <f>MAX(0,16-SUMPRODUCT($OK120:$OP120,$I$8:$N$8)+MIN(14,$OQ120*4+$OR120*7,SUMPRODUCT($OK120:$OP120,$I$8:$N$8)))</f>
        <v/>
      </c>
      <c r="PK120" s="155">
        <f>IF($OE120=2,3*$PD120&amp;" de vida temp.",IF($OE120=3,"sem dano",IF($PD120=0,IF($OE120=1,"sem cura","sem dano"),IF($OE120=1,"cura ","")&amp;$PD120&amp;"d8")))</f>
        <v/>
      </c>
      <c r="PL120" s="155">
        <f>IF($OE120=2,3*$PE120&amp;" de vida temp.",IF($OE120=3,"sem dano",IF($PE120=0,IF($OE120=1,"sem cura","sem dano"),IF($OE120=1,"cura ","")&amp;$PE120&amp;"d8")))</f>
        <v/>
      </c>
      <c r="PM120" s="155">
        <f>IF($OE120=2,3*$PF120&amp;" de vida temp.",IF($OE120=3,"sem dano",IF($PF120=0,IF($OE120=1,"sem cura","sem dano"),IF($OE120=1,"cura ","")&amp;$PF120&amp;"d8")))</f>
        <v/>
      </c>
      <c r="PN120" s="155">
        <f>IF($OE120=2,3*$PG120&amp;" de vida temp.",IF($OE120=3,"sem dano",IF($PG120=0,IF($OE120=1,"sem cura","sem dano"),IF($OE120=1,"cura ","")&amp;$PG120&amp;"d8")))</f>
        <v/>
      </c>
      <c r="PO120" s="155">
        <f>IF($OE120=2,3*$PH120&amp;" de vida temp.",IF($OE120=3,"sem dano",IF($PH120=0,IF($OE120=1,"sem cura","sem dano"),IF($OE120=1,"cura ","")&amp;$PH120&amp;"d8")))</f>
        <v/>
      </c>
      <c r="PP120" s="155">
        <f>IF($OE120=2,3*$PI120&amp;" de vida temp.",IF($OE120=3,"sem dano",IF($PI120=0,IF($OE120=1,"sem cura","sem dano"),IF($OE120=1,"cura ","")&amp;$PI120&amp;"d8")))</f>
        <v/>
      </c>
      <c r="PQ120" s="155">
        <f>IF($OE120=2,3*$PJ120&amp;" de vida temp.",IF($OE120=3,"sem dano",IF($PJ120=0,IF($OE120=1,"sem cura","sem dano"),IF($OE120=1,"cura ","")&amp;$PJ120&amp;"d8")))</f>
        <v/>
      </c>
      <c r="PR120" s="155">
        <f>IF($NB120=0,"",TEXTJOIN(" · ",TRUE,IF($MO120&gt;$NC120,"Este lugar abre no nível "&amp;$MO120,""),IF($MQ120&gt;$ND120,"Classe "&amp;$MQ120&amp;": o nível "&amp;$NC120&amp;" libera até a "&amp;$ND120,""),IF($NV120=1,"A Forma "&amp;$MS120&amp;" pede "&amp;INDEX($W$2:$W$11,$NH120)&amp;" aberta",""),IF(AND($MQ120=0,$NH120&gt;0,IF($NH120=0,0,INDEX($AF$2:$AF$11,$NH120))=0),$MS120&amp;" não existe na Classe 0",""),IF($NW120=1,"Família Fechada: "&amp;$MV120,""),IF($NX120=1,"Família Fechada: "&amp;$MW120,""),IF($NY120=1,"Família Fechada: "&amp;$MX120,""),IF($NZ120=1,"Família Fechada: "&amp;$MY120,""),IF(AND($MQ120&gt;0,$OS120&gt;INDEX($O$2:$O$8,MAX(1,$MQ120))),$OS120&amp;" Melhorias: a Classe "&amp;$MQ120&amp;" aceita "&amp;INDEX($O$2:$O$8,MAX(1,$MQ120)),""),IF(AND($MQ120=0,$OS120&gt;1),"A básica aceita uma Melhoria",""),IF(AND($MQ120=0,COUNTIF($NM120:$NP120,"&gt;1")&gt;0),"A básica só aceita Melhoria Leve",""),IF(AND($MQ120&gt;0,$OT120&gt;2),$OT120&amp;" Restrições"&amp;IF($OD120=1,", contando a que a Forma "&amp;$MS120&amp;" já traz","")&amp;": o limite é 2",""),IF(AND($MQ120=0,COUNTIF($MZ120:$NA120,"?*")&gt;1),"A básica aceita uma Restrição Leve",""),IF(AND($MQ120=0,COUNTIF($OG120:$OH120,2)&gt;0),"A básica só aceita Restrição Leve",""),IF(AND($MQ120&gt;0,$PA120&lt;0),"Orçamento estourado: faltam "&amp;(-$PA120)&amp;IF($PA120&lt;-1," pontos"," ponto"),""),IF(IFERROR(VLOOKUP($MZ120,$BC$2:$BG$24,4,FALSE),0)+IFERROR(VLOOKUP($NA120,$BC$2:$BG$24,4,FALSE),0)&gt;1,$OI120&amp;" e "&amp;$OJ120&amp;" são as duas de frequência",""),IF(AND((COUNTIF($MV120:$MY120,"Rápido")+COUNTIF($OI120:$OJ120,"Rápido"))&gt;0,(COUNTIF($MV120:$MY120,"Atrasar")+COUNTIF($OI120:$OJ120,"Atrasar"))&gt;0),"Rápido não entra com Atrasar",""),IF(AND((COUNTIF($MV120:$MY120,"Reação")+COUNTIF($OI120:$OJ120,"Reação"))&gt;0,(COUNTIF($MV120:$MY120,"Rápido")+COUNTIF($OI120:$OJ120,"Rápido"))&gt;0),"Reação não entra com Rápido",""),IF(AND((COUNTIF($MV120:$MY120,"Reação")+COUNTIF($OI120:$OJ120,"Reação"))&gt;0,(COUNTIF($MV120:$MY120,"Armado")+COUNTIF($OI120:$OJ120,"Armado"))&gt;0),"Reação não entra com Armado",""),IF(AND((COUNTIF($MV120:$MY120,"Reação")+COUNTIF($OI120:$OJ120,"Reação"))&gt;0,(COUNTIF($MV120:$MY120,"Atrasar")+COUNTIF($OI120:$OJ120,"Atrasar"))&gt;0),"Reação não entra com Atrasar",""),IF(AND((COUNTIF($MV120:$MY120,"Reação")+COUNTIF($OI120:$OJ120,"Reação"))&gt;0,(COUNTIF($MV120:$MY120,"Parado")+COUNTIF($OI120:$OJ120,"Parado"))&gt;0),"Reação não entra com Parado",""),IF(AND((COUNTIF($MV120:$MY120,"Atrasar")+COUNTIF($OI120:$OJ120,"Atrasar"))&gt;0,(COUNTIF($MV120:$MY120,"Parado")+COUNTIF($OI120:$OJ120,"Parado"))&gt;0),"Atrasar não entra com Parado",""),IF(AND((COUNTIF($MV120:$MY120,"Armado")+COUNTIF($OI120:$OJ120,"Armado"))&gt;0,(COUNTIF($MV120:$MY120,"Carregar")+COUNTIF($OI120:$OJ120,"Carregar"))&gt;0),"Armado não entra com Carregar",""),IF(AND(COUNTIF($OI120:$OJ120,"Corpo a Corpo")&gt;0,$OD120=0,OR($MS120="Cone",$MS120="Linha")),"Corpo a Corpo não entra em "&amp;$MS120,""),IF(AND(COUNTIF($OI120:$OJ120,"Corpo a Corpo")&gt;0,$OD120=1),"A Forma "&amp;$MS120&amp;" já traz o Corpo a Corpo",""),IF(AND(COUNTIF($OI120:$OJ120,"Tudo ou Nada")&gt;0,$OF120=0),"Tudo ou Nada só entra em habilidade de Teste de Resistência",""),IF(AND(COUNTIF($MV120:$MY120,"Inescapável")&gt;0,OR($OS120&gt;1,$OT120&gt;0)),"Inescapável não aceita outra peça",""),IF(AND($MQ120&gt;0,$PB120*IF(COUNTIF($MV120:$MY120,"Remate")&gt;0,1.25,1)+$PC120&gt;4*$MQ120),($PB120*IF(COUNTIF($MV120:$MY120,"Remate")&gt;0,1.25,1)+$PC120)&amp;" dados somando repetições"&amp;IF(COUNTIF($MV120:$MY120,"Remate")&gt;0," e o Remate","")&amp;": o teto da Classe "&amp;$MQ120&amp;" é "&amp;4*$MQ120,"")))</f>
        <v/>
      </c>
      <c r="PS120" s="155">
        <f>IF($PR120="",0,(LEN($PR120)-LEN(SUBSTITUTE($PR120," · ","")))/3+1)</f>
        <v/>
      </c>
      <c r="PT120" s="155">
        <f>IF($NB120=0,"",TEXTJOIN(" · ",TRUE,IF($OV120&gt;2*$MQ120,"A devolução parou no teto de "&amp;2*$MQ120,""),IF($OY120&gt;0,"Devolução perdida: "&amp;$OY120&amp;IF($OY120&gt;1," pontos"," ponto")&amp;" sem peça para pagar",""),IF(AND($OA120&gt;0,AND($MQ120&gt;0,$OE120=0),$PB120=0),"Controle sem dano: uma rodada a mais e CD +2",""),IF(AND($OA120&gt;0,AND($MQ120&gt;0,$OE120=0),$PB120&gt;0,$PB120&lt;=$MQ120),"Controle com saldo até a Classe: uma rodada a mais",""),IF(AND($MQ120&gt;0,$OC120&lt;&gt;""),"Efeito de "&amp;$OC120&amp;" pela Classe "&amp;MAX(1,$MQ120-1),"")))</f>
        <v/>
      </c>
      <c r="PU120" s="155">
        <f>IF($PT120="",0,(LEN($PT120)-LEN(SUBSTITUTE($PT120," · ","")))/3+1)</f>
        <v/>
      </c>
      <c r="PV120" s="155">
        <f>IF($NB120=0,IF($OS120+COUNTIF($MZ120:$NA120,"?*")&gt;0,"Dê um nome",""),IF($PS120&gt;0,"⚠ "&amp;$PS120&amp;IF($PS120&gt;1," erros"," erro"),IF($PU120&gt;0,"! "&amp;$PU120&amp;IF($PU120&gt;1," avisos"," aviso"),"Na regra")))</f>
        <v/>
      </c>
      <c r="PW120" s="155">
        <f>IF($NB120=0,"",IF($PS120+$PU120=0,"Dentro das regras que a ficha confere",$PR120&amp;IF(AND($PS120&gt;0,$PU120&gt;0)," · ","")&amp;$PT120))</f>
        <v/>
      </c>
      <c r="PX120" s="155">
        <f>IF($MO120&gt;$NC120,$MP120&amp;" · ABRE NO NÍVEL "&amp;$MO120,$MP120)</f>
        <v/>
      </c>
      <c r="PY120" s="155">
        <f>IF($NB120=0,"",IF($MQ120=0,"Sem PE",3*$MQ120&amp;" PE"))</f>
        <v/>
      </c>
      <c r="PZ120" s="155">
        <f>IF($NB120=0,"",IF($MQ120=0,"A atuação básica dela",IF(COUNTIF($OI120:$OJ120,"Atrasar")&gt;0,"Sua Ação Completa",IF(COUNTIF($MV120:$MY120,"Rápido")&gt;0,"Sua Bônus",IF(COUNTIF($MV120:$MY120,"Reação")&gt;0,"Sua Reação","Sua Padrão")))&amp;" + a básica dela"&amp;IF(COUNTIF($MV120:$MY120,"Reação")&gt;0," e a coletiva","")&amp;IF(COUNTIF($OI120:$OJ120,"Carregar")&gt;0," · em dois turnos","")))</f>
        <v/>
      </c>
      <c r="QA120" s="155">
        <f>IF($MU120&lt;&gt;"",$MU120,IF($NH120=0,"",INDEX($AA$2:$AA$11,$NH120)))</f>
        <v/>
      </c>
      <c r="QB120" s="155">
        <f>IF(OR($NB120=0,$NH120=0),"",IF(COUNTIF($MV120:$MY120,"Inescapável")&gt;0,"Automático",IF($QA120="Ataque",IF($NF120="","Ataque","Ataque "&amp;IF(($NF120+2*IF(COUNTIF($MV120:$MY120,"Precisão")&gt;0,1,0))&gt;=0,"+","−")&amp;ABS(($NF120+2*IF(COUNTIF($MV120:$MY120,"Precisão")&gt;0,1,0))))&amp;IF($OB120&gt;0," · TR"&amp;IF($NG120="",""," CD "&amp;$NG120),""),IF(LEFT($QA120,2)="TR",$QA120&amp;IF($NG120="",""," · CD "&amp;$NG120)&amp;IF(COUNTIF($MV120:$MY120,"Certeiro")&gt;0," · metade",""),"Sem rolagem"))))</f>
        <v/>
      </c>
      <c r="QC120" s="155">
        <f>IF(OR($NB120=0,$NH120=0),"",IF($MQ120=0,IF(OR($OE120&gt;=1,$PB120=0),"Sem dano",$PB120&amp;"d6"&amp;IF($MT120="",""," "&amp;$MT120)),IF(OR($OE120&gt;=1,$PB120=0),UPPER(LEFT(INDEX($PK120:$PQ120,1,MAX(1,$MQ120)),1))&amp;MID(INDEX($PK120:$PQ120,1,MAX(1,$MQ120)),2,99),UPPER(LEFT(INDEX($PK120:$PQ120,1,MAX(1,$MQ120)),1))&amp;MID(INDEX($PK120:$PQ120,1,MAX(1,$MQ120)),2,99)&amp;IF($MT120="",""," "&amp;$MT120)&amp;IF($PC120&gt;0," · +"&amp;$PC120&amp;"d8",""))))</f>
        <v/>
      </c>
      <c r="QD120" s="155">
        <f>COUNTIF($MV120:$MY120,"Longe")+3*COUNTIF($MV120:$MY120,"Muito Longe")</f>
        <v/>
      </c>
      <c r="QE120" s="155">
        <f>COUNTIF($MV120:$MY120,"Maior")+3*COUNTIF($MV120:$MY120,"Muito Maior")</f>
        <v/>
      </c>
      <c r="QF120" s="155">
        <f>IF($NH120=0,0,CHOOSE(1+INDEX($AC$2:$AC$11,$NH120),0,$QD120,$QE120,$QD120+$QE120))</f>
        <v/>
      </c>
      <c r="QG120" s="155">
        <f>IF($NH120=0,0,CHOOSE(1+INDEX($AD$2:$AD$11,$NH120),0,$QD120,$QE120,$QD120+$QE120))</f>
        <v/>
      </c>
      <c r="QH120" s="155">
        <f>IF(OR($NB120=0,$NH120=0),"",INDEX($AI$2:$AN$41,($NH120-1)*4+IF($MQ120=0,1,IF($MQ120&lt;=5,2,IF($MQ120=6,3,4))),1+MIN(5,$QF120))&amp;INDEX($AO$2:$AT$41,($NH120-1)*4+IF($MQ120=0,1,IF($MQ120&lt;=5,2,IF($MQ120=6,3,4))),1+MIN(5,$QG120))&amp;IF(INDEX($AE$2:$AE$11,$NH120)=1,IF(COUNTIF($MV120:$MY120,"Mais Um")&gt;0," · +"&amp;COUNTIF($MV120:$MY120,"Mais Um")&amp;IF(COUNTIF($MV120:$MY120,"Mais Um")&gt;1," alvos"," alvo"),"")&amp;IF(COUNTIF($MV120:$MY120,"Rajada")&gt;0,IF($MQ120=0," · 1 tiro"," · "&amp;(MAX(1,$MQ120-1)+1)&amp;" tiros"),""),""))</f>
        <v/>
      </c>
      <c r="QI120" s="155">
        <f>IF($NB120=0,"",IF($MQ120=0,$NE120&amp;"d6"&amp;IF($OS120&gt;0," − 1 = "&amp;$PB120&amp;"d6"," da básica do nível "&amp;$NC120),$OZ120&amp;" − "&amp;$OU120&amp;" + "&amp;$OX120&amp;" = "&amp;$PA120&amp;" · teto "&amp;4*$MQ120&amp;"d8"&amp;IF($OD120=1," · a Forma devolve "&amp;$MQ120,"")&amp;IF($OY120&gt;0," · perde "&amp;$OY120,"")))</f>
        <v/>
      </c>
      <c r="QJ120" s="155">
        <f>IF($NB120=0,"",IF($MQ120=0,"A básica não amplia: os dados dela sobem com o nível",IF($MQ120&gt;=$ND120,"Já está na maior Classe que o nível liberou",TEXTJOIN(" · ",TRUE,IF(AND(2&gt;$MQ120,2&lt;=$ND120),"2 → "&amp;$PL120&amp;", 6 PE",""),IF(AND(3&gt;$MQ120,3&lt;=$ND120),"3 → "&amp;$PM120&amp;", 9 PE",""),IF(AND(4&gt;$MQ120,4&lt;=$ND120),"4 → "&amp;$PN120&amp;", 12 PE",""),IF(AND(5&gt;$MQ120,5&lt;=$ND120),"5 → "&amp;$PO120&amp;", 15 PE",""),IF(AND(6&gt;$MQ120,6&lt;=$ND120),"6 → "&amp;$PP120&amp;", 18 PE",""),IF(AND(7&gt;$MQ120,7&lt;=$ND120),"7 → "&amp;$PQ120&amp;", 21 PE","")))))</f>
        <v/>
      </c>
      <c r="QK120" s="155">
        <f>IF(OR($NB120=0,$NM120=0),"",IF($MQ120=0,"−1 dado","−"&amp;INDEX($I$2:$N$8,MAX(1,$MQ120),MAX(1,$NR120))&amp;" · "&amp;CHOOSE(MAX(1,$NR120),"Leve","Média","Pesada","Leve · Livre","Média · Livre","Pesada · Livre")))</f>
        <v/>
      </c>
      <c r="QL120" s="155">
        <f>IF(OR($NB120=0,$NN120=0),"",IF($MQ120=0,"−1 dado","−"&amp;INDEX($I$2:$N$8,MAX(1,$MQ120),MAX(1,$NS120))&amp;" · "&amp;CHOOSE(MAX(1,$NS120),"Leve","Média","Pesada","Leve · Livre","Média · Livre","Pesada · Livre")))</f>
        <v/>
      </c>
      <c r="QM120" s="155">
        <f>IF(OR($NB120=0,$NO120=0),"",IF($MQ120=0,"−1 dado","−"&amp;INDEX($I$2:$N$8,MAX(1,$MQ120),MAX(1,$NT120))&amp;" · "&amp;CHOOSE(MAX(1,$NT120),"Leve","Média","Pesada","Leve · Livre","Média · Livre","Pesada · Livre")))</f>
        <v/>
      </c>
      <c r="QN120" s="155">
        <f>IF(OR($NB120=0,$NP120=0),"",IF($MQ120=0,"−1 dado","−"&amp;INDEX($I$2:$N$8,MAX(1,$MQ120),MAX(1,$NU120))&amp;" · "&amp;CHOOSE(MAX(1,$NU120),"Leve","Média","Pesada","Leve · Livre","Média · Livre","Pesada · Livre")))</f>
        <v/>
      </c>
      <c r="QO120" s="155">
        <f>IF(OR($NB120=0,$MZ120=""),"",IF($MQ120=0,"não devolve","+"&amp;IF($OG120=1,CEILING($MQ120/2,1),$MQ120)))</f>
        <v/>
      </c>
      <c r="QP120" s="155">
        <f>IF(OR($NB120=0,$NA120=""),"",IF($MQ120=0,"não devolve","+"&amp;IF($OH120=1,CEILING($MQ120/2,1),$MQ120)))</f>
        <v/>
      </c>
    </row>
    <row r="121">
      <c r="ML121" s="153" t="inlineStr">
        <is>
          <t>Ficha 10 · Especial 2</t>
        </is>
      </c>
      <c r="MM121" s="155" t="n">
        <v>10</v>
      </c>
      <c r="MN121" s="155" t="n">
        <v>1</v>
      </c>
      <c r="MO121" s="155" t="n">
        <v>4</v>
      </c>
      <c r="MP121" s="153" t="inlineStr">
        <is>
          <t>ESPECIAL 2</t>
        </is>
      </c>
      <c r="MQ121" s="155">
        <f>MAX(1,MIN(7,N('INVOCAÇÕES'!$AN$652)))</f>
        <v/>
      </c>
      <c r="MR121" s="155">
        <f>'INVOCAÇÕES'!$AO$652&amp;""</f>
        <v/>
      </c>
      <c r="MS121" s="155">
        <f>'INVOCAÇÕES'!$AN$657&amp;""</f>
        <v/>
      </c>
      <c r="MT121" s="155">
        <f>'INVOCAÇÕES'!$AN$658&amp;""</f>
        <v/>
      </c>
      <c r="MU121" s="155">
        <f>'INVOCAÇÕES'!$AP$658&amp;""</f>
        <v/>
      </c>
      <c r="MV121" s="155">
        <f>'INVOCAÇÕES'!$AO$661&amp;""</f>
        <v/>
      </c>
      <c r="MW121" s="155">
        <f>'INVOCAÇÕES'!$AO$662&amp;""</f>
        <v/>
      </c>
      <c r="MX121" s="155">
        <f>'INVOCAÇÕES'!$AO$663&amp;""</f>
        <v/>
      </c>
      <c r="MY121" s="155">
        <f>'INVOCAÇÕES'!$AO$664&amp;""</f>
        <v/>
      </c>
      <c r="MZ121" s="155">
        <f>'INVOCAÇÕES'!$AO$665&amp;""</f>
        <v/>
      </c>
      <c r="NA121" s="155">
        <f>'INVOCAÇÕES'!$AO$666&amp;""</f>
        <v/>
      </c>
      <c r="NB121" s="155">
        <f>IF($MR121&lt;&gt;"",1,0)</f>
        <v/>
      </c>
      <c r="NC121" s="155">
        <f>INDEX($FM$2:$FM$13,$MM121)</f>
        <v/>
      </c>
      <c r="ND121" s="155">
        <f>INDEX($FN$2:$FN$13,$MM121)</f>
        <v/>
      </c>
      <c r="NE121" s="155">
        <f>INDEX($FO$2:$FO$13,$MM121)</f>
        <v/>
      </c>
      <c r="NF121" s="155">
        <f>INDEX($FZ$2:$FZ$13,$MM121)</f>
        <v/>
      </c>
      <c r="NG121" s="155">
        <f>INDEX($GA$2:$GA$13,$MM121)</f>
        <v/>
      </c>
      <c r="NH121" s="155">
        <f>IFERROR(MATCH($MS121,$V$2:$V$11,0),0)</f>
        <v/>
      </c>
      <c r="NI121" s="155">
        <f>IFERROR(VLOOKUP($MV121,$AV$2:$BA$84,2,FALSE),"")</f>
        <v/>
      </c>
      <c r="NJ121" s="155">
        <f>IFERROR(VLOOKUP($MW121,$AV$2:$BA$84,2,FALSE),"")</f>
        <v/>
      </c>
      <c r="NK121" s="155">
        <f>IFERROR(VLOOKUP($MX121,$AV$2:$BA$84,2,FALSE),"")</f>
        <v/>
      </c>
      <c r="NL121" s="155">
        <f>IFERROR(VLOOKUP($MY121,$AV$2:$BA$84,2,FALSE),"")</f>
        <v/>
      </c>
      <c r="NM121" s="155">
        <f>IFERROR(VLOOKUP($MV121,$AV$2:$BA$84,3,FALSE),0)</f>
        <v/>
      </c>
      <c r="NN121" s="155">
        <f>IFERROR(VLOOKUP($MW121,$AV$2:$BA$84,3,FALSE),0)</f>
        <v/>
      </c>
      <c r="NO121" s="155">
        <f>IFERROR(VLOOKUP($MX121,$AV$2:$BA$84,3,FALSE),0)</f>
        <v/>
      </c>
      <c r="NP121" s="155">
        <f>IFERROR(VLOOKUP($MY121,$AV$2:$BA$84,3,FALSE),0)</f>
        <v/>
      </c>
      <c r="NQ121" s="155">
        <f>IF($MQ121=0,0,IF($NH121=0,0,INDEX($X$2:$X$11,$NH121)))</f>
        <v/>
      </c>
      <c r="NR121" s="155">
        <f>IF(OR($NM121=0,$MQ121=0),0,$NM121+3*IF(AND($NI121&lt;&gt;"",OR($NI121=INDEX($EJ$2:$EJ$13,$MM121),$NI121=INDEX($EK$2:$EK$13,$MM121))),1,0))</f>
        <v/>
      </c>
      <c r="NS121" s="155">
        <f>IF(OR($NN121=0,$MQ121=0),0,$NN121+3*IF(AND($NJ121&lt;&gt;"",OR($NJ121=INDEX($EJ$2:$EJ$13,$MM121),$NJ121=INDEX($EK$2:$EK$13,$MM121))),1,0))</f>
        <v/>
      </c>
      <c r="NT121" s="155">
        <f>IF(OR($NO121=0,$MQ121=0),0,$NO121+3*IF(AND($NK121&lt;&gt;"",OR($NK121=INDEX($EJ$2:$EJ$13,$MM121),$NK121=INDEX($EK$2:$EK$13,$MM121))),1,0))</f>
        <v/>
      </c>
      <c r="NU121" s="155">
        <f>IF(OR($NP121=0,$MQ121=0),0,$NP121+3*IF(AND($NL121&lt;&gt;"",OR($NL121=INDEX($EJ$2:$EJ$13,$MM121),$NL121=INDEX($EK$2:$EK$13,$MM121))),1,0))</f>
        <v/>
      </c>
      <c r="NV121" s="155">
        <f>IF($NH121=0,0,IF(INDEX($W$2:$W$11,$NH121)="",0,IF(COUNTIF(INDEX($EJ$2:$EN$13,$MM121,0),INDEX($W$2:$W$11,$NH121))=0,1,0)))</f>
        <v/>
      </c>
      <c r="NW121" s="155">
        <f>IF(OR($NM121=0,$NI121=""),0,IF(COUNTIF(INDEX($EJ$2:$EN$13,$MM121,0),$NI121)=0,1,0))</f>
        <v/>
      </c>
      <c r="NX121" s="155">
        <f>IF(OR($NN121=0,$NJ121=""),0,IF(COUNTIF(INDEX($EJ$2:$EN$13,$MM121,0),$NJ121)=0,1,0))</f>
        <v/>
      </c>
      <c r="NY121" s="155">
        <f>IF(OR($NO121=0,$NK121=""),0,IF(COUNTIF(INDEX($EJ$2:$EN$13,$MM121,0),$NK121)=0,1,0))</f>
        <v/>
      </c>
      <c r="NZ121" s="155">
        <f>IF(OR($NP121=0,$NL121=""),0,IF(COUNTIF(INDEX($EJ$2:$EN$13,$MM121,0),$NL121)=0,1,0))</f>
        <v/>
      </c>
      <c r="OA121" s="155">
        <f>IFERROR(VLOOKUP($MV121,$AV$2:$BA$84,4,FALSE),0)+IFERROR(VLOOKUP($MW121,$AV$2:$BA$84,4,FALSE),0)+IFERROR(VLOOKUP($MX121,$AV$2:$BA$84,4,FALSE),0)+IFERROR(VLOOKUP($MY121,$AV$2:$BA$84,4,FALSE),0)</f>
        <v/>
      </c>
      <c r="OB121" s="155">
        <f>IFERROR(VLOOKUP($MV121,$AV$2:$BA$84,6,FALSE),0)+IFERROR(VLOOKUP($MW121,$AV$2:$BA$84,6,FALSE),0)+IFERROR(VLOOKUP($MX121,$AV$2:$BA$84,6,FALSE),0)+IFERROR(VLOOKUP($MY121,$AV$2:$BA$84,6,FALSE),0)</f>
        <v/>
      </c>
      <c r="OC121" s="155">
        <f>TEXTJOIN(", ",TRUE,IF(IFERROR(VLOOKUP($MV121,$AV$2:$BA$84,5,FALSE),0)=1,$MV121,""),IF(IFERROR(VLOOKUP($MW121,$AV$2:$BA$84,5,FALSE),0)=1,$MW121,""),IF(IFERROR(VLOOKUP($MX121,$AV$2:$BA$84,5,FALSE),0)=1,$MX121,""),IF(IFERROR(VLOOKUP($MY121,$AV$2:$BA$84,5,FALSE),0)=1,$MY121,""))</f>
        <v/>
      </c>
      <c r="OD121" s="155">
        <f>IF($NH121=0,0,INDEX($Y$2:$Y$11,$NH121))</f>
        <v/>
      </c>
      <c r="OE121" s="155">
        <f>IF($NH121=0,0,INDEX($Z$2:$Z$11,$NH121))</f>
        <v/>
      </c>
      <c r="OF121" s="155">
        <f>IF($NH121=0,0,INDEX($AB$2:$AB$11,$NH121))</f>
        <v/>
      </c>
      <c r="OG121" s="155">
        <f>IFERROR(VLOOKUP($MZ121,$BC$2:$BG$24,3,FALSE),0)</f>
        <v/>
      </c>
      <c r="OH121" s="155">
        <f>IFERROR(VLOOKUP($NA121,$BC$2:$BG$24,3,FALSE),0)</f>
        <v/>
      </c>
      <c r="OI121" s="155">
        <f>IFERROR(VLOOKUP($MZ121,$BC$2:$BG$24,2,FALSE),"")</f>
        <v/>
      </c>
      <c r="OJ121" s="155">
        <f>IFERROR(VLOOKUP($NA121,$BC$2:$BG$24,2,FALSE),"")</f>
        <v/>
      </c>
      <c r="OK121" s="155">
        <f>COUNTIF($NQ121:$NU121,1)</f>
        <v/>
      </c>
      <c r="OL121" s="155">
        <f>COUNTIF($NQ121:$NU121,2)</f>
        <v/>
      </c>
      <c r="OM121" s="155">
        <f>COUNTIF($NQ121:$NU121,3)</f>
        <v/>
      </c>
      <c r="ON121" s="155">
        <f>COUNTIF($NQ121:$NU121,4)</f>
        <v/>
      </c>
      <c r="OO121" s="155">
        <f>COUNTIF($NQ121:$NU121,5)</f>
        <v/>
      </c>
      <c r="OP121" s="155">
        <f>COUNTIF($NQ121:$NU121,6)</f>
        <v/>
      </c>
      <c r="OQ121" s="155">
        <f>COUNTIF($OG121:$OH121,1)</f>
        <v/>
      </c>
      <c r="OR121" s="155">
        <f>COUNTIF($OG121:$OH121,2)+$OD121</f>
        <v/>
      </c>
      <c r="OS121" s="155">
        <f>COUNTIF($MV121:$MY121,"?*")</f>
        <v/>
      </c>
      <c r="OT121" s="155">
        <f>COUNTIF($MZ121:$NA121,"?*")+$OD121</f>
        <v/>
      </c>
      <c r="OU121" s="155">
        <f>IF($MQ121=0,0,SUMPRODUCT($OK121:$OP121,INDEX($I$2:$N$8,MAX(1,$MQ121),0)))</f>
        <v/>
      </c>
      <c r="OV121" s="155">
        <f>IF($MQ121=0,0,$OQ121*CEILING($MQ121/2,1)+$OR121*$MQ121)</f>
        <v/>
      </c>
      <c r="OW121" s="155">
        <f>MIN(2*$MQ121,$OV121)</f>
        <v/>
      </c>
      <c r="OX121" s="155">
        <f>MIN($OW121,$OU121)</f>
        <v/>
      </c>
      <c r="OY121" s="155">
        <f>$OW121-$OX121</f>
        <v/>
      </c>
      <c r="OZ121" s="155">
        <f>IF($MQ121=0,0,INDEX($P$2:$P$8,MAX(1,$MQ121)))</f>
        <v/>
      </c>
      <c r="PA121" s="155">
        <f>$OZ121-$OU121+$OX121</f>
        <v/>
      </c>
      <c r="PB121" s="155">
        <f>IF($MQ121=0,MAX(0,$NE121-IF($OS121&gt;0,1,0)),MAX(0,$PA121))</f>
        <v/>
      </c>
      <c r="PC121" s="155">
        <f>IF($MQ121=0,0,(IF(COUNTIF($MV121:$MY121,"Salto")&gt;0,1,0)+IF(COUNTIF($MV121:$MY121,"Queima")&gt;0,1,0)+IF(COUNTIF($MV121:$MY121,"Estilhaço")&gt;0,1,0))*FLOOR($PB121/2,1))</f>
        <v/>
      </c>
      <c r="PD121" s="155">
        <f>MAX(0,2-SUMPRODUCT($OK121:$OP121,$I$2:$N$2)+MIN(2,$OQ121*1+$OR121*1,SUMPRODUCT($OK121:$OP121,$I$2:$N$2)))</f>
        <v/>
      </c>
      <c r="PE121" s="155">
        <f>MAX(0,4-SUMPRODUCT($OK121:$OP121,$I$3:$N$3)+MIN(4,$OQ121*1+$OR121*2,SUMPRODUCT($OK121:$OP121,$I$3:$N$3)))</f>
        <v/>
      </c>
      <c r="PF121" s="155">
        <f>MAX(0,6-SUMPRODUCT($OK121:$OP121,$I$4:$N$4)+MIN(6,$OQ121*2+$OR121*3,SUMPRODUCT($OK121:$OP121,$I$4:$N$4)))</f>
        <v/>
      </c>
      <c r="PG121" s="155">
        <f>MAX(0,9-SUMPRODUCT($OK121:$OP121,$I$5:$N$5)+MIN(8,$OQ121*2+$OR121*4,SUMPRODUCT($OK121:$OP121,$I$5:$N$5)))</f>
        <v/>
      </c>
      <c r="PH121" s="155">
        <f>MAX(0,11-SUMPRODUCT($OK121:$OP121,$I$6:$N$6)+MIN(10,$OQ121*3+$OR121*5,SUMPRODUCT($OK121:$OP121,$I$6:$N$6)))</f>
        <v/>
      </c>
      <c r="PI121" s="155">
        <f>MAX(0,13-SUMPRODUCT($OK121:$OP121,$I$7:$N$7)+MIN(12,$OQ121*3+$OR121*6,SUMPRODUCT($OK121:$OP121,$I$7:$N$7)))</f>
        <v/>
      </c>
      <c r="PJ121" s="155">
        <f>MAX(0,16-SUMPRODUCT($OK121:$OP121,$I$8:$N$8)+MIN(14,$OQ121*4+$OR121*7,SUMPRODUCT($OK121:$OP121,$I$8:$N$8)))</f>
        <v/>
      </c>
      <c r="PK121" s="155">
        <f>IF($OE121=2,3*$PD121&amp;" de vida temp.",IF($OE121=3,"sem dano",IF($PD121=0,IF($OE121=1,"sem cura","sem dano"),IF($OE121=1,"cura ","")&amp;$PD121&amp;"d8")))</f>
        <v/>
      </c>
      <c r="PL121" s="155">
        <f>IF($OE121=2,3*$PE121&amp;" de vida temp.",IF($OE121=3,"sem dano",IF($PE121=0,IF($OE121=1,"sem cura","sem dano"),IF($OE121=1,"cura ","")&amp;$PE121&amp;"d8")))</f>
        <v/>
      </c>
      <c r="PM121" s="155">
        <f>IF($OE121=2,3*$PF121&amp;" de vida temp.",IF($OE121=3,"sem dano",IF($PF121=0,IF($OE121=1,"sem cura","sem dano"),IF($OE121=1,"cura ","")&amp;$PF121&amp;"d8")))</f>
        <v/>
      </c>
      <c r="PN121" s="155">
        <f>IF($OE121=2,3*$PG121&amp;" de vida temp.",IF($OE121=3,"sem dano",IF($PG121=0,IF($OE121=1,"sem cura","sem dano"),IF($OE121=1,"cura ","")&amp;$PG121&amp;"d8")))</f>
        <v/>
      </c>
      <c r="PO121" s="155">
        <f>IF($OE121=2,3*$PH121&amp;" de vida temp.",IF($OE121=3,"sem dano",IF($PH121=0,IF($OE121=1,"sem cura","sem dano"),IF($OE121=1,"cura ","")&amp;$PH121&amp;"d8")))</f>
        <v/>
      </c>
      <c r="PP121" s="155">
        <f>IF($OE121=2,3*$PI121&amp;" de vida temp.",IF($OE121=3,"sem dano",IF($PI121=0,IF($OE121=1,"sem cura","sem dano"),IF($OE121=1,"cura ","")&amp;$PI121&amp;"d8")))</f>
        <v/>
      </c>
      <c r="PQ121" s="155">
        <f>IF($OE121=2,3*$PJ121&amp;" de vida temp.",IF($OE121=3,"sem dano",IF($PJ121=0,IF($OE121=1,"sem cura","sem dano"),IF($OE121=1,"cura ","")&amp;$PJ121&amp;"d8")))</f>
        <v/>
      </c>
      <c r="PR121" s="155">
        <f>IF($NB121=0,"",TEXTJOIN(" · ",TRUE,IF($MO121&gt;$NC121,"Este lugar abre no nível "&amp;$MO121,""),IF($MQ121&gt;$ND121,"Classe "&amp;$MQ121&amp;": o nível "&amp;$NC121&amp;" libera até a "&amp;$ND121,""),IF($NV121=1,"A Forma "&amp;$MS121&amp;" pede "&amp;INDEX($W$2:$W$11,$NH121)&amp;" aberta",""),IF(AND($MQ121=0,$NH121&gt;0,IF($NH121=0,0,INDEX($AF$2:$AF$11,$NH121))=0),$MS121&amp;" não existe na Classe 0",""),IF($NW121=1,"Família Fechada: "&amp;$MV121,""),IF($NX121=1,"Família Fechada: "&amp;$MW121,""),IF($NY121=1,"Família Fechada: "&amp;$MX121,""),IF($NZ121=1,"Família Fechada: "&amp;$MY121,""),IF(AND($MQ121&gt;0,$OS121&gt;INDEX($O$2:$O$8,MAX(1,$MQ121))),$OS121&amp;" Melhorias: a Classe "&amp;$MQ121&amp;" aceita "&amp;INDEX($O$2:$O$8,MAX(1,$MQ121)),""),IF(AND($MQ121=0,$OS121&gt;1),"A básica aceita uma Melhoria",""),IF(AND($MQ121=0,COUNTIF($NM121:$NP121,"&gt;1")&gt;0),"A básica só aceita Melhoria Leve",""),IF(AND($MQ121&gt;0,$OT121&gt;2),$OT121&amp;" Restrições"&amp;IF($OD121=1,", contando a que a Forma "&amp;$MS121&amp;" já traz","")&amp;": o limite é 2",""),IF(AND($MQ121=0,COUNTIF($MZ121:$NA121,"?*")&gt;1),"A básica aceita uma Restrição Leve",""),IF(AND($MQ121=0,COUNTIF($OG121:$OH121,2)&gt;0),"A básica só aceita Restrição Leve",""),IF(AND($MQ121&gt;0,$PA121&lt;0),"Orçamento estourado: faltam "&amp;(-$PA121)&amp;IF($PA121&lt;-1," pontos"," ponto"),""),IF(IFERROR(VLOOKUP($MZ121,$BC$2:$BG$24,4,FALSE),0)+IFERROR(VLOOKUP($NA121,$BC$2:$BG$24,4,FALSE),0)&gt;1,$OI121&amp;" e "&amp;$OJ121&amp;" são as duas de frequência",""),IF(AND((COUNTIF($MV121:$MY121,"Rápido")+COUNTIF($OI121:$OJ121,"Rápido"))&gt;0,(COUNTIF($MV121:$MY121,"Atrasar")+COUNTIF($OI121:$OJ121,"Atrasar"))&gt;0),"Rápido não entra com Atrasar",""),IF(AND((COUNTIF($MV121:$MY121,"Reação")+COUNTIF($OI121:$OJ121,"Reação"))&gt;0,(COUNTIF($MV121:$MY121,"Rápido")+COUNTIF($OI121:$OJ121,"Rápido"))&gt;0),"Reação não entra com Rápido",""),IF(AND((COUNTIF($MV121:$MY121,"Reação")+COUNTIF($OI121:$OJ121,"Reação"))&gt;0,(COUNTIF($MV121:$MY121,"Armado")+COUNTIF($OI121:$OJ121,"Armado"))&gt;0),"Reação não entra com Armado",""),IF(AND((COUNTIF($MV121:$MY121,"Reação")+COUNTIF($OI121:$OJ121,"Reação"))&gt;0,(COUNTIF($MV121:$MY121,"Atrasar")+COUNTIF($OI121:$OJ121,"Atrasar"))&gt;0),"Reação não entra com Atrasar",""),IF(AND((COUNTIF($MV121:$MY121,"Reação")+COUNTIF($OI121:$OJ121,"Reação"))&gt;0,(COUNTIF($MV121:$MY121,"Parado")+COUNTIF($OI121:$OJ121,"Parado"))&gt;0),"Reação não entra com Parado",""),IF(AND((COUNTIF($MV121:$MY121,"Atrasar")+COUNTIF($OI121:$OJ121,"Atrasar"))&gt;0,(COUNTIF($MV121:$MY121,"Parado")+COUNTIF($OI121:$OJ121,"Parado"))&gt;0),"Atrasar não entra com Parado",""),IF(AND((COUNTIF($MV121:$MY121,"Armado")+COUNTIF($OI121:$OJ121,"Armado"))&gt;0,(COUNTIF($MV121:$MY121,"Carregar")+COUNTIF($OI121:$OJ121,"Carregar"))&gt;0),"Armado não entra com Carregar",""),IF(AND(COUNTIF($OI121:$OJ121,"Corpo a Corpo")&gt;0,$OD121=0,OR($MS121="Cone",$MS121="Linha")),"Corpo a Corpo não entra em "&amp;$MS121,""),IF(AND(COUNTIF($OI121:$OJ121,"Corpo a Corpo")&gt;0,$OD121=1),"A Forma "&amp;$MS121&amp;" já traz o Corpo a Corpo",""),IF(AND(COUNTIF($OI121:$OJ121,"Tudo ou Nada")&gt;0,$OF121=0),"Tudo ou Nada só entra em habilidade de Teste de Resistência",""),IF(AND(COUNTIF($MV121:$MY121,"Inescapável")&gt;0,OR($OS121&gt;1,$OT121&gt;0)),"Inescapável não aceita outra peça",""),IF(AND($MQ121&gt;0,$PB121*IF(COUNTIF($MV121:$MY121,"Remate")&gt;0,1.25,1)+$PC121&gt;4*$MQ121),($PB121*IF(COUNTIF($MV121:$MY121,"Remate")&gt;0,1.25,1)+$PC121)&amp;" dados somando repetições"&amp;IF(COUNTIF($MV121:$MY121,"Remate")&gt;0," e o Remate","")&amp;": o teto da Classe "&amp;$MQ121&amp;" é "&amp;4*$MQ121,"")))</f>
        <v/>
      </c>
      <c r="PS121" s="155">
        <f>IF($PR121="",0,(LEN($PR121)-LEN(SUBSTITUTE($PR121," · ","")))/3+1)</f>
        <v/>
      </c>
      <c r="PT121" s="155">
        <f>IF($NB121=0,"",TEXTJOIN(" · ",TRUE,IF($OV121&gt;2*$MQ121,"A devolução parou no teto de "&amp;2*$MQ121,""),IF($OY121&gt;0,"Devolução perdida: "&amp;$OY121&amp;IF($OY121&gt;1," pontos"," ponto")&amp;" sem peça para pagar",""),IF(AND($OA121&gt;0,AND($MQ121&gt;0,$OE121=0),$PB121=0),"Controle sem dano: uma rodada a mais e CD +2",""),IF(AND($OA121&gt;0,AND($MQ121&gt;0,$OE121=0),$PB121&gt;0,$PB121&lt;=$MQ121),"Controle com saldo até a Classe: uma rodada a mais",""),IF(AND($MQ121&gt;0,$OC121&lt;&gt;""),"Efeito de "&amp;$OC121&amp;" pela Classe "&amp;MAX(1,$MQ121-1),"")))</f>
        <v/>
      </c>
      <c r="PU121" s="155">
        <f>IF($PT121="",0,(LEN($PT121)-LEN(SUBSTITUTE($PT121," · ","")))/3+1)</f>
        <v/>
      </c>
      <c r="PV121" s="155">
        <f>IF($NB121=0,IF($OS121+COUNTIF($MZ121:$NA121,"?*")&gt;0,"Dê um nome",""),IF($PS121&gt;0,"⚠ "&amp;$PS121&amp;IF($PS121&gt;1," erros"," erro"),IF($PU121&gt;0,"! "&amp;$PU121&amp;IF($PU121&gt;1," avisos"," aviso"),"Na regra")))</f>
        <v/>
      </c>
      <c r="PW121" s="155">
        <f>IF($NB121=0,"",IF($PS121+$PU121=0,"Dentro das regras que a ficha confere",$PR121&amp;IF(AND($PS121&gt;0,$PU121&gt;0)," · ","")&amp;$PT121))</f>
        <v/>
      </c>
      <c r="PX121" s="155">
        <f>IF($MO121&gt;$NC121,$MP121&amp;" · ABRE NO NÍVEL "&amp;$MO121,$MP121)</f>
        <v/>
      </c>
      <c r="PY121" s="155">
        <f>IF($NB121=0,"",IF($MQ121=0,"Sem PE",3*$MQ121&amp;" PE"))</f>
        <v/>
      </c>
      <c r="PZ121" s="155">
        <f>IF($NB121=0,"",IF($MQ121=0,"A atuação básica dela",IF(COUNTIF($OI121:$OJ121,"Atrasar")&gt;0,"Sua Ação Completa",IF(COUNTIF($MV121:$MY121,"Rápido")&gt;0,"Sua Bônus",IF(COUNTIF($MV121:$MY121,"Reação")&gt;0,"Sua Reação","Sua Padrão")))&amp;" + a básica dela"&amp;IF(COUNTIF($MV121:$MY121,"Reação")&gt;0," e a coletiva","")&amp;IF(COUNTIF($OI121:$OJ121,"Carregar")&gt;0," · em dois turnos","")))</f>
        <v/>
      </c>
      <c r="QA121" s="155">
        <f>IF($MU121&lt;&gt;"",$MU121,IF($NH121=0,"",INDEX($AA$2:$AA$11,$NH121)))</f>
        <v/>
      </c>
      <c r="QB121" s="155">
        <f>IF(OR($NB121=0,$NH121=0),"",IF(COUNTIF($MV121:$MY121,"Inescapável")&gt;0,"Automático",IF($QA121="Ataque",IF($NF121="","Ataque","Ataque "&amp;IF(($NF121+2*IF(COUNTIF($MV121:$MY121,"Precisão")&gt;0,1,0))&gt;=0,"+","−")&amp;ABS(($NF121+2*IF(COUNTIF($MV121:$MY121,"Precisão")&gt;0,1,0))))&amp;IF($OB121&gt;0," · TR"&amp;IF($NG121="",""," CD "&amp;$NG121),""),IF(LEFT($QA121,2)="TR",$QA121&amp;IF($NG121="",""," · CD "&amp;$NG121)&amp;IF(COUNTIF($MV121:$MY121,"Certeiro")&gt;0," · metade",""),"Sem rolagem"))))</f>
        <v/>
      </c>
      <c r="QC121" s="155">
        <f>IF(OR($NB121=0,$NH121=0),"",IF($MQ121=0,IF(OR($OE121&gt;=1,$PB121=0),"Sem dano",$PB121&amp;"d6"&amp;IF($MT121="",""," "&amp;$MT121)),IF(OR($OE121&gt;=1,$PB121=0),UPPER(LEFT(INDEX($PK121:$PQ121,1,MAX(1,$MQ121)),1))&amp;MID(INDEX($PK121:$PQ121,1,MAX(1,$MQ121)),2,99),UPPER(LEFT(INDEX($PK121:$PQ121,1,MAX(1,$MQ121)),1))&amp;MID(INDEX($PK121:$PQ121,1,MAX(1,$MQ121)),2,99)&amp;IF($MT121="",""," "&amp;$MT121)&amp;IF($PC121&gt;0," · +"&amp;$PC121&amp;"d8",""))))</f>
        <v/>
      </c>
      <c r="QD121" s="155">
        <f>COUNTIF($MV121:$MY121,"Longe")+3*COUNTIF($MV121:$MY121,"Muito Longe")</f>
        <v/>
      </c>
      <c r="QE121" s="155">
        <f>COUNTIF($MV121:$MY121,"Maior")+3*COUNTIF($MV121:$MY121,"Muito Maior")</f>
        <v/>
      </c>
      <c r="QF121" s="155">
        <f>IF($NH121=0,0,CHOOSE(1+INDEX($AC$2:$AC$11,$NH121),0,$QD121,$QE121,$QD121+$QE121))</f>
        <v/>
      </c>
      <c r="QG121" s="155">
        <f>IF($NH121=0,0,CHOOSE(1+INDEX($AD$2:$AD$11,$NH121),0,$QD121,$QE121,$QD121+$QE121))</f>
        <v/>
      </c>
      <c r="QH121" s="155">
        <f>IF(OR($NB121=0,$NH121=0),"",INDEX($AI$2:$AN$41,($NH121-1)*4+IF($MQ121=0,1,IF($MQ121&lt;=5,2,IF($MQ121=6,3,4))),1+MIN(5,$QF121))&amp;INDEX($AO$2:$AT$41,($NH121-1)*4+IF($MQ121=0,1,IF($MQ121&lt;=5,2,IF($MQ121=6,3,4))),1+MIN(5,$QG121))&amp;IF(INDEX($AE$2:$AE$11,$NH121)=1,IF(COUNTIF($MV121:$MY121,"Mais Um")&gt;0," · +"&amp;COUNTIF($MV121:$MY121,"Mais Um")&amp;IF(COUNTIF($MV121:$MY121,"Mais Um")&gt;1," alvos"," alvo"),"")&amp;IF(COUNTIF($MV121:$MY121,"Rajada")&gt;0,IF($MQ121=0," · 1 tiro"," · "&amp;(MAX(1,$MQ121-1)+1)&amp;" tiros"),""),""))</f>
        <v/>
      </c>
      <c r="QI121" s="155">
        <f>IF($NB121=0,"",IF($MQ121=0,$NE121&amp;"d6"&amp;IF($OS121&gt;0," − 1 = "&amp;$PB121&amp;"d6"," da básica do nível "&amp;$NC121),$OZ121&amp;" − "&amp;$OU121&amp;" + "&amp;$OX121&amp;" = "&amp;$PA121&amp;" · teto "&amp;4*$MQ121&amp;"d8"&amp;IF($OD121=1," · a Forma devolve "&amp;$MQ121,"")&amp;IF($OY121&gt;0," · perde "&amp;$OY121,"")))</f>
        <v/>
      </c>
      <c r="QJ121" s="155">
        <f>IF($NB121=0,"",IF($MQ121=0,"A básica não amplia: os dados dela sobem com o nível",IF($MQ121&gt;=$ND121,"Já está na maior Classe que o nível liberou",TEXTJOIN(" · ",TRUE,IF(AND(2&gt;$MQ121,2&lt;=$ND121),"2 → "&amp;$PL121&amp;", 6 PE",""),IF(AND(3&gt;$MQ121,3&lt;=$ND121),"3 → "&amp;$PM121&amp;", 9 PE",""),IF(AND(4&gt;$MQ121,4&lt;=$ND121),"4 → "&amp;$PN121&amp;", 12 PE",""),IF(AND(5&gt;$MQ121,5&lt;=$ND121),"5 → "&amp;$PO121&amp;", 15 PE",""),IF(AND(6&gt;$MQ121,6&lt;=$ND121),"6 → "&amp;$PP121&amp;", 18 PE",""),IF(AND(7&gt;$MQ121,7&lt;=$ND121),"7 → "&amp;$PQ121&amp;", 21 PE","")))))</f>
        <v/>
      </c>
      <c r="QK121" s="155">
        <f>IF(OR($NB121=0,$NM121=0),"",IF($MQ121=0,"−1 dado","−"&amp;INDEX($I$2:$N$8,MAX(1,$MQ121),MAX(1,$NR121))&amp;" · "&amp;CHOOSE(MAX(1,$NR121),"Leve","Média","Pesada","Leve · Livre","Média · Livre","Pesada · Livre")))</f>
        <v/>
      </c>
      <c r="QL121" s="155">
        <f>IF(OR($NB121=0,$NN121=0),"",IF($MQ121=0,"−1 dado","−"&amp;INDEX($I$2:$N$8,MAX(1,$MQ121),MAX(1,$NS121))&amp;" · "&amp;CHOOSE(MAX(1,$NS121),"Leve","Média","Pesada","Leve · Livre","Média · Livre","Pesada · Livre")))</f>
        <v/>
      </c>
      <c r="QM121" s="155">
        <f>IF(OR($NB121=0,$NO121=0),"",IF($MQ121=0,"−1 dado","−"&amp;INDEX($I$2:$N$8,MAX(1,$MQ121),MAX(1,$NT121))&amp;" · "&amp;CHOOSE(MAX(1,$NT121),"Leve","Média","Pesada","Leve · Livre","Média · Livre","Pesada · Livre")))</f>
        <v/>
      </c>
      <c r="QN121" s="155">
        <f>IF(OR($NB121=0,$NP121=0),"",IF($MQ121=0,"−1 dado","−"&amp;INDEX($I$2:$N$8,MAX(1,$MQ121),MAX(1,$NU121))&amp;" · "&amp;CHOOSE(MAX(1,$NU121),"Leve","Média","Pesada","Leve · Livre","Média · Livre","Pesada · Livre")))</f>
        <v/>
      </c>
      <c r="QO121" s="155">
        <f>IF(OR($NB121=0,$MZ121=""),"",IF($MQ121=0,"não devolve","+"&amp;IF($OG121=1,CEILING($MQ121/2,1),$MQ121)))</f>
        <v/>
      </c>
      <c r="QP121" s="155">
        <f>IF(OR($NB121=0,$NA121=""),"",IF($MQ121=0,"não devolve","+"&amp;IF($OH121=1,CEILING($MQ121/2,1),$MQ121)))</f>
        <v/>
      </c>
    </row>
    <row r="122">
      <c r="ML122" s="153" t="inlineStr">
        <is>
          <t>Ficha 10 · Básica 2</t>
        </is>
      </c>
      <c r="MM122" s="155" t="n">
        <v>10</v>
      </c>
      <c r="MN122" s="155" t="n">
        <v>0</v>
      </c>
      <c r="MO122" s="155" t="n">
        <v>11</v>
      </c>
      <c r="MP122" s="153" t="inlineStr">
        <is>
          <t>BÁSICA 2</t>
        </is>
      </c>
      <c r="MQ122" s="155" t="n">
        <v>0</v>
      </c>
      <c r="MR122" s="155">
        <f>'INVOCAÇÕES'!$AC$686&amp;""</f>
        <v/>
      </c>
      <c r="MS122" s="155">
        <f>'INVOCAÇÕES'!$AB$691&amp;""</f>
        <v/>
      </c>
      <c r="MT122" s="155">
        <f>'INVOCAÇÕES'!$AB$692&amp;""</f>
        <v/>
      </c>
      <c r="MU122" s="155">
        <f>'INVOCAÇÕES'!$AD$692&amp;""</f>
        <v/>
      </c>
      <c r="MV122" s="155">
        <f>'INVOCAÇÕES'!$AC$695&amp;""</f>
        <v/>
      </c>
      <c r="MW122" s="155">
        <f>'INVOCAÇÕES'!$AC$696&amp;""</f>
        <v/>
      </c>
      <c r="MX122" s="155">
        <f>'INVOCAÇÕES'!$AC$697&amp;""</f>
        <v/>
      </c>
      <c r="MY122" s="155">
        <f>'INVOCAÇÕES'!$AC$698&amp;""</f>
        <v/>
      </c>
      <c r="MZ122" s="155">
        <f>'INVOCAÇÕES'!$AC$699&amp;""</f>
        <v/>
      </c>
      <c r="NA122" s="155">
        <f>'INVOCAÇÕES'!$AC$700&amp;""</f>
        <v/>
      </c>
      <c r="NB122" s="155">
        <f>IF($MR122&lt;&gt;"",1,0)</f>
        <v/>
      </c>
      <c r="NC122" s="155">
        <f>INDEX($FM$2:$FM$13,$MM122)</f>
        <v/>
      </c>
      <c r="ND122" s="155">
        <f>INDEX($FN$2:$FN$13,$MM122)</f>
        <v/>
      </c>
      <c r="NE122" s="155">
        <f>INDEX($FO$2:$FO$13,$MM122)</f>
        <v/>
      </c>
      <c r="NF122" s="155">
        <f>INDEX($FZ$2:$FZ$13,$MM122)</f>
        <v/>
      </c>
      <c r="NG122" s="155">
        <f>INDEX($GA$2:$GA$13,$MM122)</f>
        <v/>
      </c>
      <c r="NH122" s="155">
        <f>IFERROR(MATCH($MS122,$V$2:$V$11,0),0)</f>
        <v/>
      </c>
      <c r="NI122" s="155">
        <f>IFERROR(VLOOKUP($MV122,$AV$2:$BA$84,2,FALSE),"")</f>
        <v/>
      </c>
      <c r="NJ122" s="155">
        <f>IFERROR(VLOOKUP($MW122,$AV$2:$BA$84,2,FALSE),"")</f>
        <v/>
      </c>
      <c r="NK122" s="155">
        <f>IFERROR(VLOOKUP($MX122,$AV$2:$BA$84,2,FALSE),"")</f>
        <v/>
      </c>
      <c r="NL122" s="155">
        <f>IFERROR(VLOOKUP($MY122,$AV$2:$BA$84,2,FALSE),"")</f>
        <v/>
      </c>
      <c r="NM122" s="155">
        <f>IFERROR(VLOOKUP($MV122,$AV$2:$BA$84,3,FALSE),0)</f>
        <v/>
      </c>
      <c r="NN122" s="155">
        <f>IFERROR(VLOOKUP($MW122,$AV$2:$BA$84,3,FALSE),0)</f>
        <v/>
      </c>
      <c r="NO122" s="155">
        <f>IFERROR(VLOOKUP($MX122,$AV$2:$BA$84,3,FALSE),0)</f>
        <v/>
      </c>
      <c r="NP122" s="155">
        <f>IFERROR(VLOOKUP($MY122,$AV$2:$BA$84,3,FALSE),0)</f>
        <v/>
      </c>
      <c r="NQ122" s="155">
        <f>IF($MQ122=0,0,IF($NH122=0,0,INDEX($X$2:$X$11,$NH122)))</f>
        <v/>
      </c>
      <c r="NR122" s="155">
        <f>IF(OR($NM122=0,$MQ122=0),0,$NM122+3*IF(AND($NI122&lt;&gt;"",OR($NI122=INDEX($EJ$2:$EJ$13,$MM122),$NI122=INDEX($EK$2:$EK$13,$MM122))),1,0))</f>
        <v/>
      </c>
      <c r="NS122" s="155">
        <f>IF(OR($NN122=0,$MQ122=0),0,$NN122+3*IF(AND($NJ122&lt;&gt;"",OR($NJ122=INDEX($EJ$2:$EJ$13,$MM122),$NJ122=INDEX($EK$2:$EK$13,$MM122))),1,0))</f>
        <v/>
      </c>
      <c r="NT122" s="155">
        <f>IF(OR($NO122=0,$MQ122=0),0,$NO122+3*IF(AND($NK122&lt;&gt;"",OR($NK122=INDEX($EJ$2:$EJ$13,$MM122),$NK122=INDEX($EK$2:$EK$13,$MM122))),1,0))</f>
        <v/>
      </c>
      <c r="NU122" s="155">
        <f>IF(OR($NP122=0,$MQ122=0),0,$NP122+3*IF(AND($NL122&lt;&gt;"",OR($NL122=INDEX($EJ$2:$EJ$13,$MM122),$NL122=INDEX($EK$2:$EK$13,$MM122))),1,0))</f>
        <v/>
      </c>
      <c r="NV122" s="155">
        <f>IF($NH122=0,0,IF(INDEX($W$2:$W$11,$NH122)="",0,IF(COUNTIF(INDEX($EJ$2:$EN$13,$MM122,0),INDEX($W$2:$W$11,$NH122))=0,1,0)))</f>
        <v/>
      </c>
      <c r="NW122" s="155">
        <f>IF(OR($NM122=0,$NI122=""),0,IF(COUNTIF(INDEX($EJ$2:$EN$13,$MM122,0),$NI122)=0,1,0))</f>
        <v/>
      </c>
      <c r="NX122" s="155">
        <f>IF(OR($NN122=0,$NJ122=""),0,IF(COUNTIF(INDEX($EJ$2:$EN$13,$MM122,0),$NJ122)=0,1,0))</f>
        <v/>
      </c>
      <c r="NY122" s="155">
        <f>IF(OR($NO122=0,$NK122=""),0,IF(COUNTIF(INDEX($EJ$2:$EN$13,$MM122,0),$NK122)=0,1,0))</f>
        <v/>
      </c>
      <c r="NZ122" s="155">
        <f>IF(OR($NP122=0,$NL122=""),0,IF(COUNTIF(INDEX($EJ$2:$EN$13,$MM122,0),$NL122)=0,1,0))</f>
        <v/>
      </c>
      <c r="OA122" s="155">
        <f>IFERROR(VLOOKUP($MV122,$AV$2:$BA$84,4,FALSE),0)+IFERROR(VLOOKUP($MW122,$AV$2:$BA$84,4,FALSE),0)+IFERROR(VLOOKUP($MX122,$AV$2:$BA$84,4,FALSE),0)+IFERROR(VLOOKUP($MY122,$AV$2:$BA$84,4,FALSE),0)</f>
        <v/>
      </c>
      <c r="OB122" s="155">
        <f>IFERROR(VLOOKUP($MV122,$AV$2:$BA$84,6,FALSE),0)+IFERROR(VLOOKUP($MW122,$AV$2:$BA$84,6,FALSE),0)+IFERROR(VLOOKUP($MX122,$AV$2:$BA$84,6,FALSE),0)+IFERROR(VLOOKUP($MY122,$AV$2:$BA$84,6,FALSE),0)</f>
        <v/>
      </c>
      <c r="OC122" s="155">
        <f>TEXTJOIN(", ",TRUE,IF(IFERROR(VLOOKUP($MV122,$AV$2:$BA$84,5,FALSE),0)=1,$MV122,""),IF(IFERROR(VLOOKUP($MW122,$AV$2:$BA$84,5,FALSE),0)=1,$MW122,""),IF(IFERROR(VLOOKUP($MX122,$AV$2:$BA$84,5,FALSE),0)=1,$MX122,""),IF(IFERROR(VLOOKUP($MY122,$AV$2:$BA$84,5,FALSE),0)=1,$MY122,""))</f>
        <v/>
      </c>
      <c r="OD122" s="155">
        <f>IF($NH122=0,0,INDEX($Y$2:$Y$11,$NH122))</f>
        <v/>
      </c>
      <c r="OE122" s="155">
        <f>IF($NH122=0,0,INDEX($Z$2:$Z$11,$NH122))</f>
        <v/>
      </c>
      <c r="OF122" s="155">
        <f>IF($NH122=0,0,INDEX($AB$2:$AB$11,$NH122))</f>
        <v/>
      </c>
      <c r="OG122" s="155">
        <f>IFERROR(VLOOKUP($MZ122,$BC$2:$BG$24,3,FALSE),0)</f>
        <v/>
      </c>
      <c r="OH122" s="155">
        <f>IFERROR(VLOOKUP($NA122,$BC$2:$BG$24,3,FALSE),0)</f>
        <v/>
      </c>
      <c r="OI122" s="155">
        <f>IFERROR(VLOOKUP($MZ122,$BC$2:$BG$24,2,FALSE),"")</f>
        <v/>
      </c>
      <c r="OJ122" s="155">
        <f>IFERROR(VLOOKUP($NA122,$BC$2:$BG$24,2,FALSE),"")</f>
        <v/>
      </c>
      <c r="OK122" s="155">
        <f>COUNTIF($NQ122:$NU122,1)</f>
        <v/>
      </c>
      <c r="OL122" s="155">
        <f>COUNTIF($NQ122:$NU122,2)</f>
        <v/>
      </c>
      <c r="OM122" s="155">
        <f>COUNTIF($NQ122:$NU122,3)</f>
        <v/>
      </c>
      <c r="ON122" s="155">
        <f>COUNTIF($NQ122:$NU122,4)</f>
        <v/>
      </c>
      <c r="OO122" s="155">
        <f>COUNTIF($NQ122:$NU122,5)</f>
        <v/>
      </c>
      <c r="OP122" s="155">
        <f>COUNTIF($NQ122:$NU122,6)</f>
        <v/>
      </c>
      <c r="OQ122" s="155">
        <f>COUNTIF($OG122:$OH122,1)</f>
        <v/>
      </c>
      <c r="OR122" s="155">
        <f>COUNTIF($OG122:$OH122,2)+$OD122</f>
        <v/>
      </c>
      <c r="OS122" s="155">
        <f>COUNTIF($MV122:$MY122,"?*")</f>
        <v/>
      </c>
      <c r="OT122" s="155">
        <f>COUNTIF($MZ122:$NA122,"?*")+$OD122</f>
        <v/>
      </c>
      <c r="OU122" s="155">
        <f>IF($MQ122=0,0,SUMPRODUCT($OK122:$OP122,INDEX($I$2:$N$8,MAX(1,$MQ122),0)))</f>
        <v/>
      </c>
      <c r="OV122" s="155">
        <f>IF($MQ122=0,0,$OQ122*CEILING($MQ122/2,1)+$OR122*$MQ122)</f>
        <v/>
      </c>
      <c r="OW122" s="155">
        <f>MIN(2*$MQ122,$OV122)</f>
        <v/>
      </c>
      <c r="OX122" s="155">
        <f>MIN($OW122,$OU122)</f>
        <v/>
      </c>
      <c r="OY122" s="155">
        <f>$OW122-$OX122</f>
        <v/>
      </c>
      <c r="OZ122" s="155">
        <f>IF($MQ122=0,0,INDEX($P$2:$P$8,MAX(1,$MQ122)))</f>
        <v/>
      </c>
      <c r="PA122" s="155">
        <f>$OZ122-$OU122+$OX122</f>
        <v/>
      </c>
      <c r="PB122" s="155">
        <f>IF($MQ122=0,MAX(0,$NE122-IF($OS122&gt;0,1,0)),MAX(0,$PA122))</f>
        <v/>
      </c>
      <c r="PC122" s="155">
        <f>IF($MQ122=0,0,(IF(COUNTIF($MV122:$MY122,"Salto")&gt;0,1,0)+IF(COUNTIF($MV122:$MY122,"Queima")&gt;0,1,0)+IF(COUNTIF($MV122:$MY122,"Estilhaço")&gt;0,1,0))*FLOOR($PB122/2,1))</f>
        <v/>
      </c>
      <c r="PD122" s="155">
        <f>MAX(0,2-SUMPRODUCT($OK122:$OP122,$I$2:$N$2)+MIN(2,$OQ122*1+$OR122*1,SUMPRODUCT($OK122:$OP122,$I$2:$N$2)))</f>
        <v/>
      </c>
      <c r="PE122" s="155">
        <f>MAX(0,4-SUMPRODUCT($OK122:$OP122,$I$3:$N$3)+MIN(4,$OQ122*1+$OR122*2,SUMPRODUCT($OK122:$OP122,$I$3:$N$3)))</f>
        <v/>
      </c>
      <c r="PF122" s="155">
        <f>MAX(0,6-SUMPRODUCT($OK122:$OP122,$I$4:$N$4)+MIN(6,$OQ122*2+$OR122*3,SUMPRODUCT($OK122:$OP122,$I$4:$N$4)))</f>
        <v/>
      </c>
      <c r="PG122" s="155">
        <f>MAX(0,9-SUMPRODUCT($OK122:$OP122,$I$5:$N$5)+MIN(8,$OQ122*2+$OR122*4,SUMPRODUCT($OK122:$OP122,$I$5:$N$5)))</f>
        <v/>
      </c>
      <c r="PH122" s="155">
        <f>MAX(0,11-SUMPRODUCT($OK122:$OP122,$I$6:$N$6)+MIN(10,$OQ122*3+$OR122*5,SUMPRODUCT($OK122:$OP122,$I$6:$N$6)))</f>
        <v/>
      </c>
      <c r="PI122" s="155">
        <f>MAX(0,13-SUMPRODUCT($OK122:$OP122,$I$7:$N$7)+MIN(12,$OQ122*3+$OR122*6,SUMPRODUCT($OK122:$OP122,$I$7:$N$7)))</f>
        <v/>
      </c>
      <c r="PJ122" s="155">
        <f>MAX(0,16-SUMPRODUCT($OK122:$OP122,$I$8:$N$8)+MIN(14,$OQ122*4+$OR122*7,SUMPRODUCT($OK122:$OP122,$I$8:$N$8)))</f>
        <v/>
      </c>
      <c r="PK122" s="155">
        <f>IF($OE122=2,3*$PD122&amp;" de vida temp.",IF($OE122=3,"sem dano",IF($PD122=0,IF($OE122=1,"sem cura","sem dano"),IF($OE122=1,"cura ","")&amp;$PD122&amp;"d8")))</f>
        <v/>
      </c>
      <c r="PL122" s="155">
        <f>IF($OE122=2,3*$PE122&amp;" de vida temp.",IF($OE122=3,"sem dano",IF($PE122=0,IF($OE122=1,"sem cura","sem dano"),IF($OE122=1,"cura ","")&amp;$PE122&amp;"d8")))</f>
        <v/>
      </c>
      <c r="PM122" s="155">
        <f>IF($OE122=2,3*$PF122&amp;" de vida temp.",IF($OE122=3,"sem dano",IF($PF122=0,IF($OE122=1,"sem cura","sem dano"),IF($OE122=1,"cura ","")&amp;$PF122&amp;"d8")))</f>
        <v/>
      </c>
      <c r="PN122" s="155">
        <f>IF($OE122=2,3*$PG122&amp;" de vida temp.",IF($OE122=3,"sem dano",IF($PG122=0,IF($OE122=1,"sem cura","sem dano"),IF($OE122=1,"cura ","")&amp;$PG122&amp;"d8")))</f>
        <v/>
      </c>
      <c r="PO122" s="155">
        <f>IF($OE122=2,3*$PH122&amp;" de vida temp.",IF($OE122=3,"sem dano",IF($PH122=0,IF($OE122=1,"sem cura","sem dano"),IF($OE122=1,"cura ","")&amp;$PH122&amp;"d8")))</f>
        <v/>
      </c>
      <c r="PP122" s="155">
        <f>IF($OE122=2,3*$PI122&amp;" de vida temp.",IF($OE122=3,"sem dano",IF($PI122=0,IF($OE122=1,"sem cura","sem dano"),IF($OE122=1,"cura ","")&amp;$PI122&amp;"d8")))</f>
        <v/>
      </c>
      <c r="PQ122" s="155">
        <f>IF($OE122=2,3*$PJ122&amp;" de vida temp.",IF($OE122=3,"sem dano",IF($PJ122=0,IF($OE122=1,"sem cura","sem dano"),IF($OE122=1,"cura ","")&amp;$PJ122&amp;"d8")))</f>
        <v/>
      </c>
      <c r="PR122" s="155">
        <f>IF($NB122=0,"",TEXTJOIN(" · ",TRUE,IF($MO122&gt;$NC122,"Este lugar abre no nível "&amp;$MO122,""),IF($MQ122&gt;$ND122,"Classe "&amp;$MQ122&amp;": o nível "&amp;$NC122&amp;" libera até a "&amp;$ND122,""),IF($NV122=1,"A Forma "&amp;$MS122&amp;" pede "&amp;INDEX($W$2:$W$11,$NH122)&amp;" aberta",""),IF(AND($MQ122=0,$NH122&gt;0,IF($NH122=0,0,INDEX($AF$2:$AF$11,$NH122))=0),$MS122&amp;" não existe na Classe 0",""),IF($NW122=1,"Família Fechada: "&amp;$MV122,""),IF($NX122=1,"Família Fechada: "&amp;$MW122,""),IF($NY122=1,"Família Fechada: "&amp;$MX122,""),IF($NZ122=1,"Família Fechada: "&amp;$MY122,""),IF(AND($MQ122&gt;0,$OS122&gt;INDEX($O$2:$O$8,MAX(1,$MQ122))),$OS122&amp;" Melhorias: a Classe "&amp;$MQ122&amp;" aceita "&amp;INDEX($O$2:$O$8,MAX(1,$MQ122)),""),IF(AND($MQ122=0,$OS122&gt;1),"A básica aceita uma Melhoria",""),IF(AND($MQ122=0,COUNTIF($NM122:$NP122,"&gt;1")&gt;0),"A básica só aceita Melhoria Leve",""),IF(AND($MQ122&gt;0,$OT122&gt;2),$OT122&amp;" Restrições"&amp;IF($OD122=1,", contando a que a Forma "&amp;$MS122&amp;" já traz","")&amp;": o limite é 2",""),IF(AND($MQ122=0,COUNTIF($MZ122:$NA122,"?*")&gt;1),"A básica aceita uma Restrição Leve",""),IF(AND($MQ122=0,COUNTIF($OG122:$OH122,2)&gt;0),"A básica só aceita Restrição Leve",""),IF(AND($MQ122&gt;0,$PA122&lt;0),"Orçamento estourado: faltam "&amp;(-$PA122)&amp;IF($PA122&lt;-1," pontos"," ponto"),""),IF(IFERROR(VLOOKUP($MZ122,$BC$2:$BG$24,4,FALSE),0)+IFERROR(VLOOKUP($NA122,$BC$2:$BG$24,4,FALSE),0)&gt;1,$OI122&amp;" e "&amp;$OJ122&amp;" são as duas de frequência",""),IF(AND((COUNTIF($MV122:$MY122,"Rápido")+COUNTIF($OI122:$OJ122,"Rápido"))&gt;0,(COUNTIF($MV122:$MY122,"Atrasar")+COUNTIF($OI122:$OJ122,"Atrasar"))&gt;0),"Rápido não entra com Atrasar",""),IF(AND((COUNTIF($MV122:$MY122,"Reação")+COUNTIF($OI122:$OJ122,"Reação"))&gt;0,(COUNTIF($MV122:$MY122,"Rápido")+COUNTIF($OI122:$OJ122,"Rápido"))&gt;0),"Reação não entra com Rápido",""),IF(AND((COUNTIF($MV122:$MY122,"Reação")+COUNTIF($OI122:$OJ122,"Reação"))&gt;0,(COUNTIF($MV122:$MY122,"Armado")+COUNTIF($OI122:$OJ122,"Armado"))&gt;0),"Reação não entra com Armado",""),IF(AND((COUNTIF($MV122:$MY122,"Reação")+COUNTIF($OI122:$OJ122,"Reação"))&gt;0,(COUNTIF($MV122:$MY122,"Atrasar")+COUNTIF($OI122:$OJ122,"Atrasar"))&gt;0),"Reação não entra com Atrasar",""),IF(AND((COUNTIF($MV122:$MY122,"Reação")+COUNTIF($OI122:$OJ122,"Reação"))&gt;0,(COUNTIF($MV122:$MY122,"Parado")+COUNTIF($OI122:$OJ122,"Parado"))&gt;0),"Reação não entra com Parado",""),IF(AND((COUNTIF($MV122:$MY122,"Atrasar")+COUNTIF($OI122:$OJ122,"Atrasar"))&gt;0,(COUNTIF($MV122:$MY122,"Parado")+COUNTIF($OI122:$OJ122,"Parado"))&gt;0),"Atrasar não entra com Parado",""),IF(AND((COUNTIF($MV122:$MY122,"Armado")+COUNTIF($OI122:$OJ122,"Armado"))&gt;0,(COUNTIF($MV122:$MY122,"Carregar")+COUNTIF($OI122:$OJ122,"Carregar"))&gt;0),"Armado não entra com Carregar",""),IF(AND(COUNTIF($OI122:$OJ122,"Corpo a Corpo")&gt;0,$OD122=0,OR($MS122="Cone",$MS122="Linha")),"Corpo a Corpo não entra em "&amp;$MS122,""),IF(AND(COUNTIF($OI122:$OJ122,"Corpo a Corpo")&gt;0,$OD122=1),"A Forma "&amp;$MS122&amp;" já traz o Corpo a Corpo",""),IF(AND(COUNTIF($OI122:$OJ122,"Tudo ou Nada")&gt;0,$OF122=0),"Tudo ou Nada só entra em habilidade de Teste de Resistência",""),IF(AND(COUNTIF($MV122:$MY122,"Inescapável")&gt;0,OR($OS122&gt;1,$OT122&gt;0)),"Inescapável não aceita outra peça",""),IF(AND($MQ122&gt;0,$PB122*IF(COUNTIF($MV122:$MY122,"Remate")&gt;0,1.25,1)+$PC122&gt;4*$MQ122),($PB122*IF(COUNTIF($MV122:$MY122,"Remate")&gt;0,1.25,1)+$PC122)&amp;" dados somando repetições"&amp;IF(COUNTIF($MV122:$MY122,"Remate")&gt;0," e o Remate","")&amp;": o teto da Classe "&amp;$MQ122&amp;" é "&amp;4*$MQ122,"")))</f>
        <v/>
      </c>
      <c r="PS122" s="155">
        <f>IF($PR122="",0,(LEN($PR122)-LEN(SUBSTITUTE($PR122," · ","")))/3+1)</f>
        <v/>
      </c>
      <c r="PT122" s="155">
        <f>IF($NB122=0,"",TEXTJOIN(" · ",TRUE,IF($OV122&gt;2*$MQ122,"A devolução parou no teto de "&amp;2*$MQ122,""),IF($OY122&gt;0,"Devolução perdida: "&amp;$OY122&amp;IF($OY122&gt;1," pontos"," ponto")&amp;" sem peça para pagar",""),IF(AND($OA122&gt;0,AND($MQ122&gt;0,$OE122=0),$PB122=0),"Controle sem dano: uma rodada a mais e CD +2",""),IF(AND($OA122&gt;0,AND($MQ122&gt;0,$OE122=0),$PB122&gt;0,$PB122&lt;=$MQ122),"Controle com saldo até a Classe: uma rodada a mais",""),IF(AND($MQ122&gt;0,$OC122&lt;&gt;""),"Efeito de "&amp;$OC122&amp;" pela Classe "&amp;MAX(1,$MQ122-1),"")))</f>
        <v/>
      </c>
      <c r="PU122" s="155">
        <f>IF($PT122="",0,(LEN($PT122)-LEN(SUBSTITUTE($PT122," · ","")))/3+1)</f>
        <v/>
      </c>
      <c r="PV122" s="155">
        <f>IF($NB122=0,IF($OS122+COUNTIF($MZ122:$NA122,"?*")&gt;0,"Dê um nome",""),IF($PS122&gt;0,"⚠ "&amp;$PS122&amp;IF($PS122&gt;1," erros"," erro"),IF($PU122&gt;0,"! "&amp;$PU122&amp;IF($PU122&gt;1," avisos"," aviso"),"Na regra")))</f>
        <v/>
      </c>
      <c r="PW122" s="155">
        <f>IF($NB122=0,"",IF($PS122+$PU122=0,"Dentro das regras que a ficha confere",$PR122&amp;IF(AND($PS122&gt;0,$PU122&gt;0)," · ","")&amp;$PT122))</f>
        <v/>
      </c>
      <c r="PX122" s="155">
        <f>IF($MO122&gt;$NC122,$MP122&amp;" · ABRE NO NÍVEL "&amp;$MO122,$MP122)</f>
        <v/>
      </c>
      <c r="PY122" s="155">
        <f>IF($NB122=0,"",IF($MQ122=0,"Sem PE",3*$MQ122&amp;" PE"))</f>
        <v/>
      </c>
      <c r="PZ122" s="155">
        <f>IF($NB122=0,"",IF($MQ122=0,"A atuação básica dela",IF(COUNTIF($OI122:$OJ122,"Atrasar")&gt;0,"Sua Ação Completa",IF(COUNTIF($MV122:$MY122,"Rápido")&gt;0,"Sua Bônus",IF(COUNTIF($MV122:$MY122,"Reação")&gt;0,"Sua Reação","Sua Padrão")))&amp;" + a básica dela"&amp;IF(COUNTIF($MV122:$MY122,"Reação")&gt;0," e a coletiva","")&amp;IF(COUNTIF($OI122:$OJ122,"Carregar")&gt;0," · em dois turnos","")))</f>
        <v/>
      </c>
      <c r="QA122" s="155">
        <f>IF($MU122&lt;&gt;"",$MU122,IF($NH122=0,"",INDEX($AA$2:$AA$11,$NH122)))</f>
        <v/>
      </c>
      <c r="QB122" s="155">
        <f>IF(OR($NB122=0,$NH122=0),"",IF(COUNTIF($MV122:$MY122,"Inescapável")&gt;0,"Automático",IF($QA122="Ataque",IF($NF122="","Ataque","Ataque "&amp;IF(($NF122+2*IF(COUNTIF($MV122:$MY122,"Precisão")&gt;0,1,0))&gt;=0,"+","−")&amp;ABS(($NF122+2*IF(COUNTIF($MV122:$MY122,"Precisão")&gt;0,1,0))))&amp;IF($OB122&gt;0," · TR"&amp;IF($NG122="",""," CD "&amp;$NG122),""),IF(LEFT($QA122,2)="TR",$QA122&amp;IF($NG122="",""," · CD "&amp;$NG122)&amp;IF(COUNTIF($MV122:$MY122,"Certeiro")&gt;0," · metade",""),"Sem rolagem"))))</f>
        <v/>
      </c>
      <c r="QC122" s="155">
        <f>IF(OR($NB122=0,$NH122=0),"",IF($MQ122=0,IF(OR($OE122&gt;=1,$PB122=0),"Sem dano",$PB122&amp;"d6"&amp;IF($MT122="",""," "&amp;$MT122)),IF(OR($OE122&gt;=1,$PB122=0),UPPER(LEFT(INDEX($PK122:$PQ122,1,MAX(1,$MQ122)),1))&amp;MID(INDEX($PK122:$PQ122,1,MAX(1,$MQ122)),2,99),UPPER(LEFT(INDEX($PK122:$PQ122,1,MAX(1,$MQ122)),1))&amp;MID(INDEX($PK122:$PQ122,1,MAX(1,$MQ122)),2,99)&amp;IF($MT122="",""," "&amp;$MT122)&amp;IF($PC122&gt;0," · +"&amp;$PC122&amp;"d8",""))))</f>
        <v/>
      </c>
      <c r="QD122" s="155">
        <f>COUNTIF($MV122:$MY122,"Longe")+3*COUNTIF($MV122:$MY122,"Muito Longe")</f>
        <v/>
      </c>
      <c r="QE122" s="155">
        <f>COUNTIF($MV122:$MY122,"Maior")+3*COUNTIF($MV122:$MY122,"Muito Maior")</f>
        <v/>
      </c>
      <c r="QF122" s="155">
        <f>IF($NH122=0,0,CHOOSE(1+INDEX($AC$2:$AC$11,$NH122),0,$QD122,$QE122,$QD122+$QE122))</f>
        <v/>
      </c>
      <c r="QG122" s="155">
        <f>IF($NH122=0,0,CHOOSE(1+INDEX($AD$2:$AD$11,$NH122),0,$QD122,$QE122,$QD122+$QE122))</f>
        <v/>
      </c>
      <c r="QH122" s="155">
        <f>IF(OR($NB122=0,$NH122=0),"",INDEX($AI$2:$AN$41,($NH122-1)*4+IF($MQ122=0,1,IF($MQ122&lt;=5,2,IF($MQ122=6,3,4))),1+MIN(5,$QF122))&amp;INDEX($AO$2:$AT$41,($NH122-1)*4+IF($MQ122=0,1,IF($MQ122&lt;=5,2,IF($MQ122=6,3,4))),1+MIN(5,$QG122))&amp;IF(INDEX($AE$2:$AE$11,$NH122)=1,IF(COUNTIF($MV122:$MY122,"Mais Um")&gt;0," · +"&amp;COUNTIF($MV122:$MY122,"Mais Um")&amp;IF(COUNTIF($MV122:$MY122,"Mais Um")&gt;1," alvos"," alvo"),"")&amp;IF(COUNTIF($MV122:$MY122,"Rajada")&gt;0,IF($MQ122=0," · 1 tiro"," · "&amp;(MAX(1,$MQ122-1)+1)&amp;" tiros"),""),""))</f>
        <v/>
      </c>
      <c r="QI122" s="155">
        <f>IF($NB122=0,"",IF($MQ122=0,$NE122&amp;"d6"&amp;IF($OS122&gt;0," − 1 = "&amp;$PB122&amp;"d6"," da básica do nível "&amp;$NC122),$OZ122&amp;" − "&amp;$OU122&amp;" + "&amp;$OX122&amp;" = "&amp;$PA122&amp;" · teto "&amp;4*$MQ122&amp;"d8"&amp;IF($OD122=1," · a Forma devolve "&amp;$MQ122,"")&amp;IF($OY122&gt;0," · perde "&amp;$OY122,"")))</f>
        <v/>
      </c>
      <c r="QJ122" s="155">
        <f>IF($NB122=0,"",IF($MQ122=0,"A básica não amplia: os dados dela sobem com o nível",IF($MQ122&gt;=$ND122,"Já está na maior Classe que o nível liberou",TEXTJOIN(" · ",TRUE,IF(AND(2&gt;$MQ122,2&lt;=$ND122),"2 → "&amp;$PL122&amp;", 6 PE",""),IF(AND(3&gt;$MQ122,3&lt;=$ND122),"3 → "&amp;$PM122&amp;", 9 PE",""),IF(AND(4&gt;$MQ122,4&lt;=$ND122),"4 → "&amp;$PN122&amp;", 12 PE",""),IF(AND(5&gt;$MQ122,5&lt;=$ND122),"5 → "&amp;$PO122&amp;", 15 PE",""),IF(AND(6&gt;$MQ122,6&lt;=$ND122),"6 → "&amp;$PP122&amp;", 18 PE",""),IF(AND(7&gt;$MQ122,7&lt;=$ND122),"7 → "&amp;$PQ122&amp;", 21 PE","")))))</f>
        <v/>
      </c>
      <c r="QK122" s="155">
        <f>IF(OR($NB122=0,$NM122=0),"",IF($MQ122=0,"−1 dado","−"&amp;INDEX($I$2:$N$8,MAX(1,$MQ122),MAX(1,$NR122))&amp;" · "&amp;CHOOSE(MAX(1,$NR122),"Leve","Média","Pesada","Leve · Livre","Média · Livre","Pesada · Livre")))</f>
        <v/>
      </c>
      <c r="QL122" s="155">
        <f>IF(OR($NB122=0,$NN122=0),"",IF($MQ122=0,"−1 dado","−"&amp;INDEX($I$2:$N$8,MAX(1,$MQ122),MAX(1,$NS122))&amp;" · "&amp;CHOOSE(MAX(1,$NS122),"Leve","Média","Pesada","Leve · Livre","Média · Livre","Pesada · Livre")))</f>
        <v/>
      </c>
      <c r="QM122" s="155">
        <f>IF(OR($NB122=0,$NO122=0),"",IF($MQ122=0,"−1 dado","−"&amp;INDEX($I$2:$N$8,MAX(1,$MQ122),MAX(1,$NT122))&amp;" · "&amp;CHOOSE(MAX(1,$NT122),"Leve","Média","Pesada","Leve · Livre","Média · Livre","Pesada · Livre")))</f>
        <v/>
      </c>
      <c r="QN122" s="155">
        <f>IF(OR($NB122=0,$NP122=0),"",IF($MQ122=0,"−1 dado","−"&amp;INDEX($I$2:$N$8,MAX(1,$MQ122),MAX(1,$NU122))&amp;" · "&amp;CHOOSE(MAX(1,$NU122),"Leve","Média","Pesada","Leve · Livre","Média · Livre","Pesada · Livre")))</f>
        <v/>
      </c>
      <c r="QO122" s="155">
        <f>IF(OR($NB122=0,$MZ122=""),"",IF($MQ122=0,"não devolve","+"&amp;IF($OG122=1,CEILING($MQ122/2,1),$MQ122)))</f>
        <v/>
      </c>
      <c r="QP122" s="155">
        <f>IF(OR($NB122=0,$NA122=""),"",IF($MQ122=0,"não devolve","+"&amp;IF($OH122=1,CEILING($MQ122/2,1),$MQ122)))</f>
        <v/>
      </c>
    </row>
    <row r="123">
      <c r="ML123" s="153" t="inlineStr">
        <is>
          <t>Ficha 10 · Especial 3</t>
        </is>
      </c>
      <c r="MM123" s="155" t="n">
        <v>10</v>
      </c>
      <c r="MN123" s="155" t="n">
        <v>1</v>
      </c>
      <c r="MO123" s="155" t="n">
        <v>8</v>
      </c>
      <c r="MP123" s="153" t="inlineStr">
        <is>
          <t>ESPECIAL 3</t>
        </is>
      </c>
      <c r="MQ123" s="155">
        <f>MAX(1,MIN(7,N('INVOCAÇÕES'!$AH$686)))</f>
        <v/>
      </c>
      <c r="MR123" s="155">
        <f>'INVOCAÇÕES'!$AI$686&amp;""</f>
        <v/>
      </c>
      <c r="MS123" s="155">
        <f>'INVOCAÇÕES'!$AH$691&amp;""</f>
        <v/>
      </c>
      <c r="MT123" s="155">
        <f>'INVOCAÇÕES'!$AH$692&amp;""</f>
        <v/>
      </c>
      <c r="MU123" s="155">
        <f>'INVOCAÇÕES'!$AJ$692&amp;""</f>
        <v/>
      </c>
      <c r="MV123" s="155">
        <f>'INVOCAÇÕES'!$AI$695&amp;""</f>
        <v/>
      </c>
      <c r="MW123" s="155">
        <f>'INVOCAÇÕES'!$AI$696&amp;""</f>
        <v/>
      </c>
      <c r="MX123" s="155">
        <f>'INVOCAÇÕES'!$AI$697&amp;""</f>
        <v/>
      </c>
      <c r="MY123" s="155">
        <f>'INVOCAÇÕES'!$AI$698&amp;""</f>
        <v/>
      </c>
      <c r="MZ123" s="155">
        <f>'INVOCAÇÕES'!$AI$699&amp;""</f>
        <v/>
      </c>
      <c r="NA123" s="155">
        <f>'INVOCAÇÕES'!$AI$700&amp;""</f>
        <v/>
      </c>
      <c r="NB123" s="155">
        <f>IF($MR123&lt;&gt;"",1,0)</f>
        <v/>
      </c>
      <c r="NC123" s="155">
        <f>INDEX($FM$2:$FM$13,$MM123)</f>
        <v/>
      </c>
      <c r="ND123" s="155">
        <f>INDEX($FN$2:$FN$13,$MM123)</f>
        <v/>
      </c>
      <c r="NE123" s="155">
        <f>INDEX($FO$2:$FO$13,$MM123)</f>
        <v/>
      </c>
      <c r="NF123" s="155">
        <f>INDEX($FZ$2:$FZ$13,$MM123)</f>
        <v/>
      </c>
      <c r="NG123" s="155">
        <f>INDEX($GA$2:$GA$13,$MM123)</f>
        <v/>
      </c>
      <c r="NH123" s="155">
        <f>IFERROR(MATCH($MS123,$V$2:$V$11,0),0)</f>
        <v/>
      </c>
      <c r="NI123" s="155">
        <f>IFERROR(VLOOKUP($MV123,$AV$2:$BA$84,2,FALSE),"")</f>
        <v/>
      </c>
      <c r="NJ123" s="155">
        <f>IFERROR(VLOOKUP($MW123,$AV$2:$BA$84,2,FALSE),"")</f>
        <v/>
      </c>
      <c r="NK123" s="155">
        <f>IFERROR(VLOOKUP($MX123,$AV$2:$BA$84,2,FALSE),"")</f>
        <v/>
      </c>
      <c r="NL123" s="155">
        <f>IFERROR(VLOOKUP($MY123,$AV$2:$BA$84,2,FALSE),"")</f>
        <v/>
      </c>
      <c r="NM123" s="155">
        <f>IFERROR(VLOOKUP($MV123,$AV$2:$BA$84,3,FALSE),0)</f>
        <v/>
      </c>
      <c r="NN123" s="155">
        <f>IFERROR(VLOOKUP($MW123,$AV$2:$BA$84,3,FALSE),0)</f>
        <v/>
      </c>
      <c r="NO123" s="155">
        <f>IFERROR(VLOOKUP($MX123,$AV$2:$BA$84,3,FALSE),0)</f>
        <v/>
      </c>
      <c r="NP123" s="155">
        <f>IFERROR(VLOOKUP($MY123,$AV$2:$BA$84,3,FALSE),0)</f>
        <v/>
      </c>
      <c r="NQ123" s="155">
        <f>IF($MQ123=0,0,IF($NH123=0,0,INDEX($X$2:$X$11,$NH123)))</f>
        <v/>
      </c>
      <c r="NR123" s="155">
        <f>IF(OR($NM123=0,$MQ123=0),0,$NM123+3*IF(AND($NI123&lt;&gt;"",OR($NI123=INDEX($EJ$2:$EJ$13,$MM123),$NI123=INDEX($EK$2:$EK$13,$MM123))),1,0))</f>
        <v/>
      </c>
      <c r="NS123" s="155">
        <f>IF(OR($NN123=0,$MQ123=0),0,$NN123+3*IF(AND($NJ123&lt;&gt;"",OR($NJ123=INDEX($EJ$2:$EJ$13,$MM123),$NJ123=INDEX($EK$2:$EK$13,$MM123))),1,0))</f>
        <v/>
      </c>
      <c r="NT123" s="155">
        <f>IF(OR($NO123=0,$MQ123=0),0,$NO123+3*IF(AND($NK123&lt;&gt;"",OR($NK123=INDEX($EJ$2:$EJ$13,$MM123),$NK123=INDEX($EK$2:$EK$13,$MM123))),1,0))</f>
        <v/>
      </c>
      <c r="NU123" s="155">
        <f>IF(OR($NP123=0,$MQ123=0),0,$NP123+3*IF(AND($NL123&lt;&gt;"",OR($NL123=INDEX($EJ$2:$EJ$13,$MM123),$NL123=INDEX($EK$2:$EK$13,$MM123))),1,0))</f>
        <v/>
      </c>
      <c r="NV123" s="155">
        <f>IF($NH123=0,0,IF(INDEX($W$2:$W$11,$NH123)="",0,IF(COUNTIF(INDEX($EJ$2:$EN$13,$MM123,0),INDEX($W$2:$W$11,$NH123))=0,1,0)))</f>
        <v/>
      </c>
      <c r="NW123" s="155">
        <f>IF(OR($NM123=0,$NI123=""),0,IF(COUNTIF(INDEX($EJ$2:$EN$13,$MM123,0),$NI123)=0,1,0))</f>
        <v/>
      </c>
      <c r="NX123" s="155">
        <f>IF(OR($NN123=0,$NJ123=""),0,IF(COUNTIF(INDEX($EJ$2:$EN$13,$MM123,0),$NJ123)=0,1,0))</f>
        <v/>
      </c>
      <c r="NY123" s="155">
        <f>IF(OR($NO123=0,$NK123=""),0,IF(COUNTIF(INDEX($EJ$2:$EN$13,$MM123,0),$NK123)=0,1,0))</f>
        <v/>
      </c>
      <c r="NZ123" s="155">
        <f>IF(OR($NP123=0,$NL123=""),0,IF(COUNTIF(INDEX($EJ$2:$EN$13,$MM123,0),$NL123)=0,1,0))</f>
        <v/>
      </c>
      <c r="OA123" s="155">
        <f>IFERROR(VLOOKUP($MV123,$AV$2:$BA$84,4,FALSE),0)+IFERROR(VLOOKUP($MW123,$AV$2:$BA$84,4,FALSE),0)+IFERROR(VLOOKUP($MX123,$AV$2:$BA$84,4,FALSE),0)+IFERROR(VLOOKUP($MY123,$AV$2:$BA$84,4,FALSE),0)</f>
        <v/>
      </c>
      <c r="OB123" s="155">
        <f>IFERROR(VLOOKUP($MV123,$AV$2:$BA$84,6,FALSE),0)+IFERROR(VLOOKUP($MW123,$AV$2:$BA$84,6,FALSE),0)+IFERROR(VLOOKUP($MX123,$AV$2:$BA$84,6,FALSE),0)+IFERROR(VLOOKUP($MY123,$AV$2:$BA$84,6,FALSE),0)</f>
        <v/>
      </c>
      <c r="OC123" s="155">
        <f>TEXTJOIN(", ",TRUE,IF(IFERROR(VLOOKUP($MV123,$AV$2:$BA$84,5,FALSE),0)=1,$MV123,""),IF(IFERROR(VLOOKUP($MW123,$AV$2:$BA$84,5,FALSE),0)=1,$MW123,""),IF(IFERROR(VLOOKUP($MX123,$AV$2:$BA$84,5,FALSE),0)=1,$MX123,""),IF(IFERROR(VLOOKUP($MY123,$AV$2:$BA$84,5,FALSE),0)=1,$MY123,""))</f>
        <v/>
      </c>
      <c r="OD123" s="155">
        <f>IF($NH123=0,0,INDEX($Y$2:$Y$11,$NH123))</f>
        <v/>
      </c>
      <c r="OE123" s="155">
        <f>IF($NH123=0,0,INDEX($Z$2:$Z$11,$NH123))</f>
        <v/>
      </c>
      <c r="OF123" s="155">
        <f>IF($NH123=0,0,INDEX($AB$2:$AB$11,$NH123))</f>
        <v/>
      </c>
      <c r="OG123" s="155">
        <f>IFERROR(VLOOKUP($MZ123,$BC$2:$BG$24,3,FALSE),0)</f>
        <v/>
      </c>
      <c r="OH123" s="155">
        <f>IFERROR(VLOOKUP($NA123,$BC$2:$BG$24,3,FALSE),0)</f>
        <v/>
      </c>
      <c r="OI123" s="155">
        <f>IFERROR(VLOOKUP($MZ123,$BC$2:$BG$24,2,FALSE),"")</f>
        <v/>
      </c>
      <c r="OJ123" s="155">
        <f>IFERROR(VLOOKUP($NA123,$BC$2:$BG$24,2,FALSE),"")</f>
        <v/>
      </c>
      <c r="OK123" s="155">
        <f>COUNTIF($NQ123:$NU123,1)</f>
        <v/>
      </c>
      <c r="OL123" s="155">
        <f>COUNTIF($NQ123:$NU123,2)</f>
        <v/>
      </c>
      <c r="OM123" s="155">
        <f>COUNTIF($NQ123:$NU123,3)</f>
        <v/>
      </c>
      <c r="ON123" s="155">
        <f>COUNTIF($NQ123:$NU123,4)</f>
        <v/>
      </c>
      <c r="OO123" s="155">
        <f>COUNTIF($NQ123:$NU123,5)</f>
        <v/>
      </c>
      <c r="OP123" s="155">
        <f>COUNTIF($NQ123:$NU123,6)</f>
        <v/>
      </c>
      <c r="OQ123" s="155">
        <f>COUNTIF($OG123:$OH123,1)</f>
        <v/>
      </c>
      <c r="OR123" s="155">
        <f>COUNTIF($OG123:$OH123,2)+$OD123</f>
        <v/>
      </c>
      <c r="OS123" s="155">
        <f>COUNTIF($MV123:$MY123,"?*")</f>
        <v/>
      </c>
      <c r="OT123" s="155">
        <f>COUNTIF($MZ123:$NA123,"?*")+$OD123</f>
        <v/>
      </c>
      <c r="OU123" s="155">
        <f>IF($MQ123=0,0,SUMPRODUCT($OK123:$OP123,INDEX($I$2:$N$8,MAX(1,$MQ123),0)))</f>
        <v/>
      </c>
      <c r="OV123" s="155">
        <f>IF($MQ123=0,0,$OQ123*CEILING($MQ123/2,1)+$OR123*$MQ123)</f>
        <v/>
      </c>
      <c r="OW123" s="155">
        <f>MIN(2*$MQ123,$OV123)</f>
        <v/>
      </c>
      <c r="OX123" s="155">
        <f>MIN($OW123,$OU123)</f>
        <v/>
      </c>
      <c r="OY123" s="155">
        <f>$OW123-$OX123</f>
        <v/>
      </c>
      <c r="OZ123" s="155">
        <f>IF($MQ123=0,0,INDEX($P$2:$P$8,MAX(1,$MQ123)))</f>
        <v/>
      </c>
      <c r="PA123" s="155">
        <f>$OZ123-$OU123+$OX123</f>
        <v/>
      </c>
      <c r="PB123" s="155">
        <f>IF($MQ123=0,MAX(0,$NE123-IF($OS123&gt;0,1,0)),MAX(0,$PA123))</f>
        <v/>
      </c>
      <c r="PC123" s="155">
        <f>IF($MQ123=0,0,(IF(COUNTIF($MV123:$MY123,"Salto")&gt;0,1,0)+IF(COUNTIF($MV123:$MY123,"Queima")&gt;0,1,0)+IF(COUNTIF($MV123:$MY123,"Estilhaço")&gt;0,1,0))*FLOOR($PB123/2,1))</f>
        <v/>
      </c>
      <c r="PD123" s="155">
        <f>MAX(0,2-SUMPRODUCT($OK123:$OP123,$I$2:$N$2)+MIN(2,$OQ123*1+$OR123*1,SUMPRODUCT($OK123:$OP123,$I$2:$N$2)))</f>
        <v/>
      </c>
      <c r="PE123" s="155">
        <f>MAX(0,4-SUMPRODUCT($OK123:$OP123,$I$3:$N$3)+MIN(4,$OQ123*1+$OR123*2,SUMPRODUCT($OK123:$OP123,$I$3:$N$3)))</f>
        <v/>
      </c>
      <c r="PF123" s="155">
        <f>MAX(0,6-SUMPRODUCT($OK123:$OP123,$I$4:$N$4)+MIN(6,$OQ123*2+$OR123*3,SUMPRODUCT($OK123:$OP123,$I$4:$N$4)))</f>
        <v/>
      </c>
      <c r="PG123" s="155">
        <f>MAX(0,9-SUMPRODUCT($OK123:$OP123,$I$5:$N$5)+MIN(8,$OQ123*2+$OR123*4,SUMPRODUCT($OK123:$OP123,$I$5:$N$5)))</f>
        <v/>
      </c>
      <c r="PH123" s="155">
        <f>MAX(0,11-SUMPRODUCT($OK123:$OP123,$I$6:$N$6)+MIN(10,$OQ123*3+$OR123*5,SUMPRODUCT($OK123:$OP123,$I$6:$N$6)))</f>
        <v/>
      </c>
      <c r="PI123" s="155">
        <f>MAX(0,13-SUMPRODUCT($OK123:$OP123,$I$7:$N$7)+MIN(12,$OQ123*3+$OR123*6,SUMPRODUCT($OK123:$OP123,$I$7:$N$7)))</f>
        <v/>
      </c>
      <c r="PJ123" s="155">
        <f>MAX(0,16-SUMPRODUCT($OK123:$OP123,$I$8:$N$8)+MIN(14,$OQ123*4+$OR123*7,SUMPRODUCT($OK123:$OP123,$I$8:$N$8)))</f>
        <v/>
      </c>
      <c r="PK123" s="155">
        <f>IF($OE123=2,3*$PD123&amp;" de vida temp.",IF($OE123=3,"sem dano",IF($PD123=0,IF($OE123=1,"sem cura","sem dano"),IF($OE123=1,"cura ","")&amp;$PD123&amp;"d8")))</f>
        <v/>
      </c>
      <c r="PL123" s="155">
        <f>IF($OE123=2,3*$PE123&amp;" de vida temp.",IF($OE123=3,"sem dano",IF($PE123=0,IF($OE123=1,"sem cura","sem dano"),IF($OE123=1,"cura ","")&amp;$PE123&amp;"d8")))</f>
        <v/>
      </c>
      <c r="PM123" s="155">
        <f>IF($OE123=2,3*$PF123&amp;" de vida temp.",IF($OE123=3,"sem dano",IF($PF123=0,IF($OE123=1,"sem cura","sem dano"),IF($OE123=1,"cura ","")&amp;$PF123&amp;"d8")))</f>
        <v/>
      </c>
      <c r="PN123" s="155">
        <f>IF($OE123=2,3*$PG123&amp;" de vida temp.",IF($OE123=3,"sem dano",IF($PG123=0,IF($OE123=1,"sem cura","sem dano"),IF($OE123=1,"cura ","")&amp;$PG123&amp;"d8")))</f>
        <v/>
      </c>
      <c r="PO123" s="155">
        <f>IF($OE123=2,3*$PH123&amp;" de vida temp.",IF($OE123=3,"sem dano",IF($PH123=0,IF($OE123=1,"sem cura","sem dano"),IF($OE123=1,"cura ","")&amp;$PH123&amp;"d8")))</f>
        <v/>
      </c>
      <c r="PP123" s="155">
        <f>IF($OE123=2,3*$PI123&amp;" de vida temp.",IF($OE123=3,"sem dano",IF($PI123=0,IF($OE123=1,"sem cura","sem dano"),IF($OE123=1,"cura ","")&amp;$PI123&amp;"d8")))</f>
        <v/>
      </c>
      <c r="PQ123" s="155">
        <f>IF($OE123=2,3*$PJ123&amp;" de vida temp.",IF($OE123=3,"sem dano",IF($PJ123=0,IF($OE123=1,"sem cura","sem dano"),IF($OE123=1,"cura ","")&amp;$PJ123&amp;"d8")))</f>
        <v/>
      </c>
      <c r="PR123" s="155">
        <f>IF($NB123=0,"",TEXTJOIN(" · ",TRUE,IF($MO123&gt;$NC123,"Este lugar abre no nível "&amp;$MO123,""),IF($MQ123&gt;$ND123,"Classe "&amp;$MQ123&amp;": o nível "&amp;$NC123&amp;" libera até a "&amp;$ND123,""),IF($NV123=1,"A Forma "&amp;$MS123&amp;" pede "&amp;INDEX($W$2:$W$11,$NH123)&amp;" aberta",""),IF(AND($MQ123=0,$NH123&gt;0,IF($NH123=0,0,INDEX($AF$2:$AF$11,$NH123))=0),$MS123&amp;" não existe na Classe 0",""),IF($NW123=1,"Família Fechada: "&amp;$MV123,""),IF($NX123=1,"Família Fechada: "&amp;$MW123,""),IF($NY123=1,"Família Fechada: "&amp;$MX123,""),IF($NZ123=1,"Família Fechada: "&amp;$MY123,""),IF(AND($MQ123&gt;0,$OS123&gt;INDEX($O$2:$O$8,MAX(1,$MQ123))),$OS123&amp;" Melhorias: a Classe "&amp;$MQ123&amp;" aceita "&amp;INDEX($O$2:$O$8,MAX(1,$MQ123)),""),IF(AND($MQ123=0,$OS123&gt;1),"A básica aceita uma Melhoria",""),IF(AND($MQ123=0,COUNTIF($NM123:$NP123,"&gt;1")&gt;0),"A básica só aceita Melhoria Leve",""),IF(AND($MQ123&gt;0,$OT123&gt;2),$OT123&amp;" Restrições"&amp;IF($OD123=1,", contando a que a Forma "&amp;$MS123&amp;" já traz","")&amp;": o limite é 2",""),IF(AND($MQ123=0,COUNTIF($MZ123:$NA123,"?*")&gt;1),"A básica aceita uma Restrição Leve",""),IF(AND($MQ123=0,COUNTIF($OG123:$OH123,2)&gt;0),"A básica só aceita Restrição Leve",""),IF(AND($MQ123&gt;0,$PA123&lt;0),"Orçamento estourado: faltam "&amp;(-$PA123)&amp;IF($PA123&lt;-1," pontos"," ponto"),""),IF(IFERROR(VLOOKUP($MZ123,$BC$2:$BG$24,4,FALSE),0)+IFERROR(VLOOKUP($NA123,$BC$2:$BG$24,4,FALSE),0)&gt;1,$OI123&amp;" e "&amp;$OJ123&amp;" são as duas de frequência",""),IF(AND((COUNTIF($MV123:$MY123,"Rápido")+COUNTIF($OI123:$OJ123,"Rápido"))&gt;0,(COUNTIF($MV123:$MY123,"Atrasar")+COUNTIF($OI123:$OJ123,"Atrasar"))&gt;0),"Rápido não entra com Atrasar",""),IF(AND((COUNTIF($MV123:$MY123,"Reação")+COUNTIF($OI123:$OJ123,"Reação"))&gt;0,(COUNTIF($MV123:$MY123,"Rápido")+COUNTIF($OI123:$OJ123,"Rápido"))&gt;0),"Reação não entra com Rápido",""),IF(AND((COUNTIF($MV123:$MY123,"Reação")+COUNTIF($OI123:$OJ123,"Reação"))&gt;0,(COUNTIF($MV123:$MY123,"Armado")+COUNTIF($OI123:$OJ123,"Armado"))&gt;0),"Reação não entra com Armado",""),IF(AND((COUNTIF($MV123:$MY123,"Reação")+COUNTIF($OI123:$OJ123,"Reação"))&gt;0,(COUNTIF($MV123:$MY123,"Atrasar")+COUNTIF($OI123:$OJ123,"Atrasar"))&gt;0),"Reação não entra com Atrasar",""),IF(AND((COUNTIF($MV123:$MY123,"Reação")+COUNTIF($OI123:$OJ123,"Reação"))&gt;0,(COUNTIF($MV123:$MY123,"Parado")+COUNTIF($OI123:$OJ123,"Parado"))&gt;0),"Reação não entra com Parado",""),IF(AND((COUNTIF($MV123:$MY123,"Atrasar")+COUNTIF($OI123:$OJ123,"Atrasar"))&gt;0,(COUNTIF($MV123:$MY123,"Parado")+COUNTIF($OI123:$OJ123,"Parado"))&gt;0),"Atrasar não entra com Parado",""),IF(AND((COUNTIF($MV123:$MY123,"Armado")+COUNTIF($OI123:$OJ123,"Armado"))&gt;0,(COUNTIF($MV123:$MY123,"Carregar")+COUNTIF($OI123:$OJ123,"Carregar"))&gt;0),"Armado não entra com Carregar",""),IF(AND(COUNTIF($OI123:$OJ123,"Corpo a Corpo")&gt;0,$OD123=0,OR($MS123="Cone",$MS123="Linha")),"Corpo a Corpo não entra em "&amp;$MS123,""),IF(AND(COUNTIF($OI123:$OJ123,"Corpo a Corpo")&gt;0,$OD123=1),"A Forma "&amp;$MS123&amp;" já traz o Corpo a Corpo",""),IF(AND(COUNTIF($OI123:$OJ123,"Tudo ou Nada")&gt;0,$OF123=0),"Tudo ou Nada só entra em habilidade de Teste de Resistência",""),IF(AND(COUNTIF($MV123:$MY123,"Inescapável")&gt;0,OR($OS123&gt;1,$OT123&gt;0)),"Inescapável não aceita outra peça",""),IF(AND($MQ123&gt;0,$PB123*IF(COUNTIF($MV123:$MY123,"Remate")&gt;0,1.25,1)+$PC123&gt;4*$MQ123),($PB123*IF(COUNTIF($MV123:$MY123,"Remate")&gt;0,1.25,1)+$PC123)&amp;" dados somando repetições"&amp;IF(COUNTIF($MV123:$MY123,"Remate")&gt;0," e o Remate","")&amp;": o teto da Classe "&amp;$MQ123&amp;" é "&amp;4*$MQ123,"")))</f>
        <v/>
      </c>
      <c r="PS123" s="155">
        <f>IF($PR123="",0,(LEN($PR123)-LEN(SUBSTITUTE($PR123," · ","")))/3+1)</f>
        <v/>
      </c>
      <c r="PT123" s="155">
        <f>IF($NB123=0,"",TEXTJOIN(" · ",TRUE,IF($OV123&gt;2*$MQ123,"A devolução parou no teto de "&amp;2*$MQ123,""),IF($OY123&gt;0,"Devolução perdida: "&amp;$OY123&amp;IF($OY123&gt;1," pontos"," ponto")&amp;" sem peça para pagar",""),IF(AND($OA123&gt;0,AND($MQ123&gt;0,$OE123=0),$PB123=0),"Controle sem dano: uma rodada a mais e CD +2",""),IF(AND($OA123&gt;0,AND($MQ123&gt;0,$OE123=0),$PB123&gt;0,$PB123&lt;=$MQ123),"Controle com saldo até a Classe: uma rodada a mais",""),IF(AND($MQ123&gt;0,$OC123&lt;&gt;""),"Efeito de "&amp;$OC123&amp;" pela Classe "&amp;MAX(1,$MQ123-1),"")))</f>
        <v/>
      </c>
      <c r="PU123" s="155">
        <f>IF($PT123="",0,(LEN($PT123)-LEN(SUBSTITUTE($PT123," · ","")))/3+1)</f>
        <v/>
      </c>
      <c r="PV123" s="155">
        <f>IF($NB123=0,IF($OS123+COUNTIF($MZ123:$NA123,"?*")&gt;0,"Dê um nome",""),IF($PS123&gt;0,"⚠ "&amp;$PS123&amp;IF($PS123&gt;1," erros"," erro"),IF($PU123&gt;0,"! "&amp;$PU123&amp;IF($PU123&gt;1," avisos"," aviso"),"Na regra")))</f>
        <v/>
      </c>
      <c r="PW123" s="155">
        <f>IF($NB123=0,"",IF($PS123+$PU123=0,"Dentro das regras que a ficha confere",$PR123&amp;IF(AND($PS123&gt;0,$PU123&gt;0)," · ","")&amp;$PT123))</f>
        <v/>
      </c>
      <c r="PX123" s="155">
        <f>IF($MO123&gt;$NC123,$MP123&amp;" · ABRE NO NÍVEL "&amp;$MO123,$MP123)</f>
        <v/>
      </c>
      <c r="PY123" s="155">
        <f>IF($NB123=0,"",IF($MQ123=0,"Sem PE",3*$MQ123&amp;" PE"))</f>
        <v/>
      </c>
      <c r="PZ123" s="155">
        <f>IF($NB123=0,"",IF($MQ123=0,"A atuação básica dela",IF(COUNTIF($OI123:$OJ123,"Atrasar")&gt;0,"Sua Ação Completa",IF(COUNTIF($MV123:$MY123,"Rápido")&gt;0,"Sua Bônus",IF(COUNTIF($MV123:$MY123,"Reação")&gt;0,"Sua Reação","Sua Padrão")))&amp;" + a básica dela"&amp;IF(COUNTIF($MV123:$MY123,"Reação")&gt;0," e a coletiva","")&amp;IF(COUNTIF($OI123:$OJ123,"Carregar")&gt;0," · em dois turnos","")))</f>
        <v/>
      </c>
      <c r="QA123" s="155">
        <f>IF($MU123&lt;&gt;"",$MU123,IF($NH123=0,"",INDEX($AA$2:$AA$11,$NH123)))</f>
        <v/>
      </c>
      <c r="QB123" s="155">
        <f>IF(OR($NB123=0,$NH123=0),"",IF(COUNTIF($MV123:$MY123,"Inescapável")&gt;0,"Automático",IF($QA123="Ataque",IF($NF123="","Ataque","Ataque "&amp;IF(($NF123+2*IF(COUNTIF($MV123:$MY123,"Precisão")&gt;0,1,0))&gt;=0,"+","−")&amp;ABS(($NF123+2*IF(COUNTIF($MV123:$MY123,"Precisão")&gt;0,1,0))))&amp;IF($OB123&gt;0," · TR"&amp;IF($NG123="",""," CD "&amp;$NG123),""),IF(LEFT($QA123,2)="TR",$QA123&amp;IF($NG123="",""," · CD "&amp;$NG123)&amp;IF(COUNTIF($MV123:$MY123,"Certeiro")&gt;0," · metade",""),"Sem rolagem"))))</f>
        <v/>
      </c>
      <c r="QC123" s="155">
        <f>IF(OR($NB123=0,$NH123=0),"",IF($MQ123=0,IF(OR($OE123&gt;=1,$PB123=0),"Sem dano",$PB123&amp;"d6"&amp;IF($MT123="",""," "&amp;$MT123)),IF(OR($OE123&gt;=1,$PB123=0),UPPER(LEFT(INDEX($PK123:$PQ123,1,MAX(1,$MQ123)),1))&amp;MID(INDEX($PK123:$PQ123,1,MAX(1,$MQ123)),2,99),UPPER(LEFT(INDEX($PK123:$PQ123,1,MAX(1,$MQ123)),1))&amp;MID(INDEX($PK123:$PQ123,1,MAX(1,$MQ123)),2,99)&amp;IF($MT123="",""," "&amp;$MT123)&amp;IF($PC123&gt;0," · +"&amp;$PC123&amp;"d8",""))))</f>
        <v/>
      </c>
      <c r="QD123" s="155">
        <f>COUNTIF($MV123:$MY123,"Longe")+3*COUNTIF($MV123:$MY123,"Muito Longe")</f>
        <v/>
      </c>
      <c r="QE123" s="155">
        <f>COUNTIF($MV123:$MY123,"Maior")+3*COUNTIF($MV123:$MY123,"Muito Maior")</f>
        <v/>
      </c>
      <c r="QF123" s="155">
        <f>IF($NH123=0,0,CHOOSE(1+INDEX($AC$2:$AC$11,$NH123),0,$QD123,$QE123,$QD123+$QE123))</f>
        <v/>
      </c>
      <c r="QG123" s="155">
        <f>IF($NH123=0,0,CHOOSE(1+INDEX($AD$2:$AD$11,$NH123),0,$QD123,$QE123,$QD123+$QE123))</f>
        <v/>
      </c>
      <c r="QH123" s="155">
        <f>IF(OR($NB123=0,$NH123=0),"",INDEX($AI$2:$AN$41,($NH123-1)*4+IF($MQ123=0,1,IF($MQ123&lt;=5,2,IF($MQ123=6,3,4))),1+MIN(5,$QF123))&amp;INDEX($AO$2:$AT$41,($NH123-1)*4+IF($MQ123=0,1,IF($MQ123&lt;=5,2,IF($MQ123=6,3,4))),1+MIN(5,$QG123))&amp;IF(INDEX($AE$2:$AE$11,$NH123)=1,IF(COUNTIF($MV123:$MY123,"Mais Um")&gt;0," · +"&amp;COUNTIF($MV123:$MY123,"Mais Um")&amp;IF(COUNTIF($MV123:$MY123,"Mais Um")&gt;1," alvos"," alvo"),"")&amp;IF(COUNTIF($MV123:$MY123,"Rajada")&gt;0,IF($MQ123=0," · 1 tiro"," · "&amp;(MAX(1,$MQ123-1)+1)&amp;" tiros"),""),""))</f>
        <v/>
      </c>
      <c r="QI123" s="155">
        <f>IF($NB123=0,"",IF($MQ123=0,$NE123&amp;"d6"&amp;IF($OS123&gt;0," − 1 = "&amp;$PB123&amp;"d6"," da básica do nível "&amp;$NC123),$OZ123&amp;" − "&amp;$OU123&amp;" + "&amp;$OX123&amp;" = "&amp;$PA123&amp;" · teto "&amp;4*$MQ123&amp;"d8"&amp;IF($OD123=1," · a Forma devolve "&amp;$MQ123,"")&amp;IF($OY123&gt;0," · perde "&amp;$OY123,"")))</f>
        <v/>
      </c>
      <c r="QJ123" s="155">
        <f>IF($NB123=0,"",IF($MQ123=0,"A básica não amplia: os dados dela sobem com o nível",IF($MQ123&gt;=$ND123,"Já está na maior Classe que o nível liberou",TEXTJOIN(" · ",TRUE,IF(AND(2&gt;$MQ123,2&lt;=$ND123),"2 → "&amp;$PL123&amp;", 6 PE",""),IF(AND(3&gt;$MQ123,3&lt;=$ND123),"3 → "&amp;$PM123&amp;", 9 PE",""),IF(AND(4&gt;$MQ123,4&lt;=$ND123),"4 → "&amp;$PN123&amp;", 12 PE",""),IF(AND(5&gt;$MQ123,5&lt;=$ND123),"5 → "&amp;$PO123&amp;", 15 PE",""),IF(AND(6&gt;$MQ123,6&lt;=$ND123),"6 → "&amp;$PP123&amp;", 18 PE",""),IF(AND(7&gt;$MQ123,7&lt;=$ND123),"7 → "&amp;$PQ123&amp;", 21 PE","")))))</f>
        <v/>
      </c>
      <c r="QK123" s="155">
        <f>IF(OR($NB123=0,$NM123=0),"",IF($MQ123=0,"−1 dado","−"&amp;INDEX($I$2:$N$8,MAX(1,$MQ123),MAX(1,$NR123))&amp;" · "&amp;CHOOSE(MAX(1,$NR123),"Leve","Média","Pesada","Leve · Livre","Média · Livre","Pesada · Livre")))</f>
        <v/>
      </c>
      <c r="QL123" s="155">
        <f>IF(OR($NB123=0,$NN123=0),"",IF($MQ123=0,"−1 dado","−"&amp;INDEX($I$2:$N$8,MAX(1,$MQ123),MAX(1,$NS123))&amp;" · "&amp;CHOOSE(MAX(1,$NS123),"Leve","Média","Pesada","Leve · Livre","Média · Livre","Pesada · Livre")))</f>
        <v/>
      </c>
      <c r="QM123" s="155">
        <f>IF(OR($NB123=0,$NO123=0),"",IF($MQ123=0,"−1 dado","−"&amp;INDEX($I$2:$N$8,MAX(1,$MQ123),MAX(1,$NT123))&amp;" · "&amp;CHOOSE(MAX(1,$NT123),"Leve","Média","Pesada","Leve · Livre","Média · Livre","Pesada · Livre")))</f>
        <v/>
      </c>
      <c r="QN123" s="155">
        <f>IF(OR($NB123=0,$NP123=0),"",IF($MQ123=0,"−1 dado","−"&amp;INDEX($I$2:$N$8,MAX(1,$MQ123),MAX(1,$NU123))&amp;" · "&amp;CHOOSE(MAX(1,$NU123),"Leve","Média","Pesada","Leve · Livre","Média · Livre","Pesada · Livre")))</f>
        <v/>
      </c>
      <c r="QO123" s="155">
        <f>IF(OR($NB123=0,$MZ123=""),"",IF($MQ123=0,"não devolve","+"&amp;IF($OG123=1,CEILING($MQ123/2,1),$MQ123)))</f>
        <v/>
      </c>
      <c r="QP123" s="155">
        <f>IF(OR($NB123=0,$NA123=""),"",IF($MQ123=0,"não devolve","+"&amp;IF($OH123=1,CEILING($MQ123/2,1),$MQ123)))</f>
        <v/>
      </c>
    </row>
    <row r="124">
      <c r="ML124" s="153" t="inlineStr">
        <is>
          <t>Ficha 10 · Especial 4</t>
        </is>
      </c>
      <c r="MM124" s="155" t="n">
        <v>10</v>
      </c>
      <c r="MN124" s="155" t="n">
        <v>1</v>
      </c>
      <c r="MO124" s="155" t="n">
        <v>12</v>
      </c>
      <c r="MP124" s="153" t="inlineStr">
        <is>
          <t>ESPECIAL 4</t>
        </is>
      </c>
      <c r="MQ124" s="155">
        <f>MAX(1,MIN(7,N('INVOCAÇÕES'!$AN$686)))</f>
        <v/>
      </c>
      <c r="MR124" s="155">
        <f>'INVOCAÇÕES'!$AO$686&amp;""</f>
        <v/>
      </c>
      <c r="MS124" s="155">
        <f>'INVOCAÇÕES'!$AN$691&amp;""</f>
        <v/>
      </c>
      <c r="MT124" s="155">
        <f>'INVOCAÇÕES'!$AN$692&amp;""</f>
        <v/>
      </c>
      <c r="MU124" s="155">
        <f>'INVOCAÇÕES'!$AP$692&amp;""</f>
        <v/>
      </c>
      <c r="MV124" s="155">
        <f>'INVOCAÇÕES'!$AO$695&amp;""</f>
        <v/>
      </c>
      <c r="MW124" s="155">
        <f>'INVOCAÇÕES'!$AO$696&amp;""</f>
        <v/>
      </c>
      <c r="MX124" s="155">
        <f>'INVOCAÇÕES'!$AO$697&amp;""</f>
        <v/>
      </c>
      <c r="MY124" s="155">
        <f>'INVOCAÇÕES'!$AO$698&amp;""</f>
        <v/>
      </c>
      <c r="MZ124" s="155">
        <f>'INVOCAÇÕES'!$AO$699&amp;""</f>
        <v/>
      </c>
      <c r="NA124" s="155">
        <f>'INVOCAÇÕES'!$AO$700&amp;""</f>
        <v/>
      </c>
      <c r="NB124" s="155">
        <f>IF($MR124&lt;&gt;"",1,0)</f>
        <v/>
      </c>
      <c r="NC124" s="155">
        <f>INDEX($FM$2:$FM$13,$MM124)</f>
        <v/>
      </c>
      <c r="ND124" s="155">
        <f>INDEX($FN$2:$FN$13,$MM124)</f>
        <v/>
      </c>
      <c r="NE124" s="155">
        <f>INDEX($FO$2:$FO$13,$MM124)</f>
        <v/>
      </c>
      <c r="NF124" s="155">
        <f>INDEX($FZ$2:$FZ$13,$MM124)</f>
        <v/>
      </c>
      <c r="NG124" s="155">
        <f>INDEX($GA$2:$GA$13,$MM124)</f>
        <v/>
      </c>
      <c r="NH124" s="155">
        <f>IFERROR(MATCH($MS124,$V$2:$V$11,0),0)</f>
        <v/>
      </c>
      <c r="NI124" s="155">
        <f>IFERROR(VLOOKUP($MV124,$AV$2:$BA$84,2,FALSE),"")</f>
        <v/>
      </c>
      <c r="NJ124" s="155">
        <f>IFERROR(VLOOKUP($MW124,$AV$2:$BA$84,2,FALSE),"")</f>
        <v/>
      </c>
      <c r="NK124" s="155">
        <f>IFERROR(VLOOKUP($MX124,$AV$2:$BA$84,2,FALSE),"")</f>
        <v/>
      </c>
      <c r="NL124" s="155">
        <f>IFERROR(VLOOKUP($MY124,$AV$2:$BA$84,2,FALSE),"")</f>
        <v/>
      </c>
      <c r="NM124" s="155">
        <f>IFERROR(VLOOKUP($MV124,$AV$2:$BA$84,3,FALSE),0)</f>
        <v/>
      </c>
      <c r="NN124" s="155">
        <f>IFERROR(VLOOKUP($MW124,$AV$2:$BA$84,3,FALSE),0)</f>
        <v/>
      </c>
      <c r="NO124" s="155">
        <f>IFERROR(VLOOKUP($MX124,$AV$2:$BA$84,3,FALSE),0)</f>
        <v/>
      </c>
      <c r="NP124" s="155">
        <f>IFERROR(VLOOKUP($MY124,$AV$2:$BA$84,3,FALSE),0)</f>
        <v/>
      </c>
      <c r="NQ124" s="155">
        <f>IF($MQ124=0,0,IF($NH124=0,0,INDEX($X$2:$X$11,$NH124)))</f>
        <v/>
      </c>
      <c r="NR124" s="155">
        <f>IF(OR($NM124=0,$MQ124=0),0,$NM124+3*IF(AND($NI124&lt;&gt;"",OR($NI124=INDEX($EJ$2:$EJ$13,$MM124),$NI124=INDEX($EK$2:$EK$13,$MM124))),1,0))</f>
        <v/>
      </c>
      <c r="NS124" s="155">
        <f>IF(OR($NN124=0,$MQ124=0),0,$NN124+3*IF(AND($NJ124&lt;&gt;"",OR($NJ124=INDEX($EJ$2:$EJ$13,$MM124),$NJ124=INDEX($EK$2:$EK$13,$MM124))),1,0))</f>
        <v/>
      </c>
      <c r="NT124" s="155">
        <f>IF(OR($NO124=0,$MQ124=0),0,$NO124+3*IF(AND($NK124&lt;&gt;"",OR($NK124=INDEX($EJ$2:$EJ$13,$MM124),$NK124=INDEX($EK$2:$EK$13,$MM124))),1,0))</f>
        <v/>
      </c>
      <c r="NU124" s="155">
        <f>IF(OR($NP124=0,$MQ124=0),0,$NP124+3*IF(AND($NL124&lt;&gt;"",OR($NL124=INDEX($EJ$2:$EJ$13,$MM124),$NL124=INDEX($EK$2:$EK$13,$MM124))),1,0))</f>
        <v/>
      </c>
      <c r="NV124" s="155">
        <f>IF($NH124=0,0,IF(INDEX($W$2:$W$11,$NH124)="",0,IF(COUNTIF(INDEX($EJ$2:$EN$13,$MM124,0),INDEX($W$2:$W$11,$NH124))=0,1,0)))</f>
        <v/>
      </c>
      <c r="NW124" s="155">
        <f>IF(OR($NM124=0,$NI124=""),0,IF(COUNTIF(INDEX($EJ$2:$EN$13,$MM124,0),$NI124)=0,1,0))</f>
        <v/>
      </c>
      <c r="NX124" s="155">
        <f>IF(OR($NN124=0,$NJ124=""),0,IF(COUNTIF(INDEX($EJ$2:$EN$13,$MM124,0),$NJ124)=0,1,0))</f>
        <v/>
      </c>
      <c r="NY124" s="155">
        <f>IF(OR($NO124=0,$NK124=""),0,IF(COUNTIF(INDEX($EJ$2:$EN$13,$MM124,0),$NK124)=0,1,0))</f>
        <v/>
      </c>
      <c r="NZ124" s="155">
        <f>IF(OR($NP124=0,$NL124=""),0,IF(COUNTIF(INDEX($EJ$2:$EN$13,$MM124,0),$NL124)=0,1,0))</f>
        <v/>
      </c>
      <c r="OA124" s="155">
        <f>IFERROR(VLOOKUP($MV124,$AV$2:$BA$84,4,FALSE),0)+IFERROR(VLOOKUP($MW124,$AV$2:$BA$84,4,FALSE),0)+IFERROR(VLOOKUP($MX124,$AV$2:$BA$84,4,FALSE),0)+IFERROR(VLOOKUP($MY124,$AV$2:$BA$84,4,FALSE),0)</f>
        <v/>
      </c>
      <c r="OB124" s="155">
        <f>IFERROR(VLOOKUP($MV124,$AV$2:$BA$84,6,FALSE),0)+IFERROR(VLOOKUP($MW124,$AV$2:$BA$84,6,FALSE),0)+IFERROR(VLOOKUP($MX124,$AV$2:$BA$84,6,FALSE),0)+IFERROR(VLOOKUP($MY124,$AV$2:$BA$84,6,FALSE),0)</f>
        <v/>
      </c>
      <c r="OC124" s="155">
        <f>TEXTJOIN(", ",TRUE,IF(IFERROR(VLOOKUP($MV124,$AV$2:$BA$84,5,FALSE),0)=1,$MV124,""),IF(IFERROR(VLOOKUP($MW124,$AV$2:$BA$84,5,FALSE),0)=1,$MW124,""),IF(IFERROR(VLOOKUP($MX124,$AV$2:$BA$84,5,FALSE),0)=1,$MX124,""),IF(IFERROR(VLOOKUP($MY124,$AV$2:$BA$84,5,FALSE),0)=1,$MY124,""))</f>
        <v/>
      </c>
      <c r="OD124" s="155">
        <f>IF($NH124=0,0,INDEX($Y$2:$Y$11,$NH124))</f>
        <v/>
      </c>
      <c r="OE124" s="155">
        <f>IF($NH124=0,0,INDEX($Z$2:$Z$11,$NH124))</f>
        <v/>
      </c>
      <c r="OF124" s="155">
        <f>IF($NH124=0,0,INDEX($AB$2:$AB$11,$NH124))</f>
        <v/>
      </c>
      <c r="OG124" s="155">
        <f>IFERROR(VLOOKUP($MZ124,$BC$2:$BG$24,3,FALSE),0)</f>
        <v/>
      </c>
      <c r="OH124" s="155">
        <f>IFERROR(VLOOKUP($NA124,$BC$2:$BG$24,3,FALSE),0)</f>
        <v/>
      </c>
      <c r="OI124" s="155">
        <f>IFERROR(VLOOKUP($MZ124,$BC$2:$BG$24,2,FALSE),"")</f>
        <v/>
      </c>
      <c r="OJ124" s="155">
        <f>IFERROR(VLOOKUP($NA124,$BC$2:$BG$24,2,FALSE),"")</f>
        <v/>
      </c>
      <c r="OK124" s="155">
        <f>COUNTIF($NQ124:$NU124,1)</f>
        <v/>
      </c>
      <c r="OL124" s="155">
        <f>COUNTIF($NQ124:$NU124,2)</f>
        <v/>
      </c>
      <c r="OM124" s="155">
        <f>COUNTIF($NQ124:$NU124,3)</f>
        <v/>
      </c>
      <c r="ON124" s="155">
        <f>COUNTIF($NQ124:$NU124,4)</f>
        <v/>
      </c>
      <c r="OO124" s="155">
        <f>COUNTIF($NQ124:$NU124,5)</f>
        <v/>
      </c>
      <c r="OP124" s="155">
        <f>COUNTIF($NQ124:$NU124,6)</f>
        <v/>
      </c>
      <c r="OQ124" s="155">
        <f>COUNTIF($OG124:$OH124,1)</f>
        <v/>
      </c>
      <c r="OR124" s="155">
        <f>COUNTIF($OG124:$OH124,2)+$OD124</f>
        <v/>
      </c>
      <c r="OS124" s="155">
        <f>COUNTIF($MV124:$MY124,"?*")</f>
        <v/>
      </c>
      <c r="OT124" s="155">
        <f>COUNTIF($MZ124:$NA124,"?*")+$OD124</f>
        <v/>
      </c>
      <c r="OU124" s="155">
        <f>IF($MQ124=0,0,SUMPRODUCT($OK124:$OP124,INDEX($I$2:$N$8,MAX(1,$MQ124),0)))</f>
        <v/>
      </c>
      <c r="OV124" s="155">
        <f>IF($MQ124=0,0,$OQ124*CEILING($MQ124/2,1)+$OR124*$MQ124)</f>
        <v/>
      </c>
      <c r="OW124" s="155">
        <f>MIN(2*$MQ124,$OV124)</f>
        <v/>
      </c>
      <c r="OX124" s="155">
        <f>MIN($OW124,$OU124)</f>
        <v/>
      </c>
      <c r="OY124" s="155">
        <f>$OW124-$OX124</f>
        <v/>
      </c>
      <c r="OZ124" s="155">
        <f>IF($MQ124=0,0,INDEX($P$2:$P$8,MAX(1,$MQ124)))</f>
        <v/>
      </c>
      <c r="PA124" s="155">
        <f>$OZ124-$OU124+$OX124</f>
        <v/>
      </c>
      <c r="PB124" s="155">
        <f>IF($MQ124=0,MAX(0,$NE124-IF($OS124&gt;0,1,0)),MAX(0,$PA124))</f>
        <v/>
      </c>
      <c r="PC124" s="155">
        <f>IF($MQ124=0,0,(IF(COUNTIF($MV124:$MY124,"Salto")&gt;0,1,0)+IF(COUNTIF($MV124:$MY124,"Queima")&gt;0,1,0)+IF(COUNTIF($MV124:$MY124,"Estilhaço")&gt;0,1,0))*FLOOR($PB124/2,1))</f>
        <v/>
      </c>
      <c r="PD124" s="155">
        <f>MAX(0,2-SUMPRODUCT($OK124:$OP124,$I$2:$N$2)+MIN(2,$OQ124*1+$OR124*1,SUMPRODUCT($OK124:$OP124,$I$2:$N$2)))</f>
        <v/>
      </c>
      <c r="PE124" s="155">
        <f>MAX(0,4-SUMPRODUCT($OK124:$OP124,$I$3:$N$3)+MIN(4,$OQ124*1+$OR124*2,SUMPRODUCT($OK124:$OP124,$I$3:$N$3)))</f>
        <v/>
      </c>
      <c r="PF124" s="155">
        <f>MAX(0,6-SUMPRODUCT($OK124:$OP124,$I$4:$N$4)+MIN(6,$OQ124*2+$OR124*3,SUMPRODUCT($OK124:$OP124,$I$4:$N$4)))</f>
        <v/>
      </c>
      <c r="PG124" s="155">
        <f>MAX(0,9-SUMPRODUCT($OK124:$OP124,$I$5:$N$5)+MIN(8,$OQ124*2+$OR124*4,SUMPRODUCT($OK124:$OP124,$I$5:$N$5)))</f>
        <v/>
      </c>
      <c r="PH124" s="155">
        <f>MAX(0,11-SUMPRODUCT($OK124:$OP124,$I$6:$N$6)+MIN(10,$OQ124*3+$OR124*5,SUMPRODUCT($OK124:$OP124,$I$6:$N$6)))</f>
        <v/>
      </c>
      <c r="PI124" s="155">
        <f>MAX(0,13-SUMPRODUCT($OK124:$OP124,$I$7:$N$7)+MIN(12,$OQ124*3+$OR124*6,SUMPRODUCT($OK124:$OP124,$I$7:$N$7)))</f>
        <v/>
      </c>
      <c r="PJ124" s="155">
        <f>MAX(0,16-SUMPRODUCT($OK124:$OP124,$I$8:$N$8)+MIN(14,$OQ124*4+$OR124*7,SUMPRODUCT($OK124:$OP124,$I$8:$N$8)))</f>
        <v/>
      </c>
      <c r="PK124" s="155">
        <f>IF($OE124=2,3*$PD124&amp;" de vida temp.",IF($OE124=3,"sem dano",IF($PD124=0,IF($OE124=1,"sem cura","sem dano"),IF($OE124=1,"cura ","")&amp;$PD124&amp;"d8")))</f>
        <v/>
      </c>
      <c r="PL124" s="155">
        <f>IF($OE124=2,3*$PE124&amp;" de vida temp.",IF($OE124=3,"sem dano",IF($PE124=0,IF($OE124=1,"sem cura","sem dano"),IF($OE124=1,"cura ","")&amp;$PE124&amp;"d8")))</f>
        <v/>
      </c>
      <c r="PM124" s="155">
        <f>IF($OE124=2,3*$PF124&amp;" de vida temp.",IF($OE124=3,"sem dano",IF($PF124=0,IF($OE124=1,"sem cura","sem dano"),IF($OE124=1,"cura ","")&amp;$PF124&amp;"d8")))</f>
        <v/>
      </c>
      <c r="PN124" s="155">
        <f>IF($OE124=2,3*$PG124&amp;" de vida temp.",IF($OE124=3,"sem dano",IF($PG124=0,IF($OE124=1,"sem cura","sem dano"),IF($OE124=1,"cura ","")&amp;$PG124&amp;"d8")))</f>
        <v/>
      </c>
      <c r="PO124" s="155">
        <f>IF($OE124=2,3*$PH124&amp;" de vida temp.",IF($OE124=3,"sem dano",IF($PH124=0,IF($OE124=1,"sem cura","sem dano"),IF($OE124=1,"cura ","")&amp;$PH124&amp;"d8")))</f>
        <v/>
      </c>
      <c r="PP124" s="155">
        <f>IF($OE124=2,3*$PI124&amp;" de vida temp.",IF($OE124=3,"sem dano",IF($PI124=0,IF($OE124=1,"sem cura","sem dano"),IF($OE124=1,"cura ","")&amp;$PI124&amp;"d8")))</f>
        <v/>
      </c>
      <c r="PQ124" s="155">
        <f>IF($OE124=2,3*$PJ124&amp;" de vida temp.",IF($OE124=3,"sem dano",IF($PJ124=0,IF($OE124=1,"sem cura","sem dano"),IF($OE124=1,"cura ","")&amp;$PJ124&amp;"d8")))</f>
        <v/>
      </c>
      <c r="PR124" s="155">
        <f>IF($NB124=0,"",TEXTJOIN(" · ",TRUE,IF($MO124&gt;$NC124,"Este lugar abre no nível "&amp;$MO124,""),IF($MQ124&gt;$ND124,"Classe "&amp;$MQ124&amp;": o nível "&amp;$NC124&amp;" libera até a "&amp;$ND124,""),IF($NV124=1,"A Forma "&amp;$MS124&amp;" pede "&amp;INDEX($W$2:$W$11,$NH124)&amp;" aberta",""),IF(AND($MQ124=0,$NH124&gt;0,IF($NH124=0,0,INDEX($AF$2:$AF$11,$NH124))=0),$MS124&amp;" não existe na Classe 0",""),IF($NW124=1,"Família Fechada: "&amp;$MV124,""),IF($NX124=1,"Família Fechada: "&amp;$MW124,""),IF($NY124=1,"Família Fechada: "&amp;$MX124,""),IF($NZ124=1,"Família Fechada: "&amp;$MY124,""),IF(AND($MQ124&gt;0,$OS124&gt;INDEX($O$2:$O$8,MAX(1,$MQ124))),$OS124&amp;" Melhorias: a Classe "&amp;$MQ124&amp;" aceita "&amp;INDEX($O$2:$O$8,MAX(1,$MQ124)),""),IF(AND($MQ124=0,$OS124&gt;1),"A básica aceita uma Melhoria",""),IF(AND($MQ124=0,COUNTIF($NM124:$NP124,"&gt;1")&gt;0),"A básica só aceita Melhoria Leve",""),IF(AND($MQ124&gt;0,$OT124&gt;2),$OT124&amp;" Restrições"&amp;IF($OD124=1,", contando a que a Forma "&amp;$MS124&amp;" já traz","")&amp;": o limite é 2",""),IF(AND($MQ124=0,COUNTIF($MZ124:$NA124,"?*")&gt;1),"A básica aceita uma Restrição Leve",""),IF(AND($MQ124=0,COUNTIF($OG124:$OH124,2)&gt;0),"A básica só aceita Restrição Leve",""),IF(AND($MQ124&gt;0,$PA124&lt;0),"Orçamento estourado: faltam "&amp;(-$PA124)&amp;IF($PA124&lt;-1," pontos"," ponto"),""),IF(IFERROR(VLOOKUP($MZ124,$BC$2:$BG$24,4,FALSE),0)+IFERROR(VLOOKUP($NA124,$BC$2:$BG$24,4,FALSE),0)&gt;1,$OI124&amp;" e "&amp;$OJ124&amp;" são as duas de frequência",""),IF(AND((COUNTIF($MV124:$MY124,"Rápido")+COUNTIF($OI124:$OJ124,"Rápido"))&gt;0,(COUNTIF($MV124:$MY124,"Atrasar")+COUNTIF($OI124:$OJ124,"Atrasar"))&gt;0),"Rápido não entra com Atrasar",""),IF(AND((COUNTIF($MV124:$MY124,"Reação")+COUNTIF($OI124:$OJ124,"Reação"))&gt;0,(COUNTIF($MV124:$MY124,"Rápido")+COUNTIF($OI124:$OJ124,"Rápido"))&gt;0),"Reação não entra com Rápido",""),IF(AND((COUNTIF($MV124:$MY124,"Reação")+COUNTIF($OI124:$OJ124,"Reação"))&gt;0,(COUNTIF($MV124:$MY124,"Armado")+COUNTIF($OI124:$OJ124,"Armado"))&gt;0),"Reação não entra com Armado",""),IF(AND((COUNTIF($MV124:$MY124,"Reação")+COUNTIF($OI124:$OJ124,"Reação"))&gt;0,(COUNTIF($MV124:$MY124,"Atrasar")+COUNTIF($OI124:$OJ124,"Atrasar"))&gt;0),"Reação não entra com Atrasar",""),IF(AND((COUNTIF($MV124:$MY124,"Reação")+COUNTIF($OI124:$OJ124,"Reação"))&gt;0,(COUNTIF($MV124:$MY124,"Parado")+COUNTIF($OI124:$OJ124,"Parado"))&gt;0),"Reação não entra com Parado",""),IF(AND((COUNTIF($MV124:$MY124,"Atrasar")+COUNTIF($OI124:$OJ124,"Atrasar"))&gt;0,(COUNTIF($MV124:$MY124,"Parado")+COUNTIF($OI124:$OJ124,"Parado"))&gt;0),"Atrasar não entra com Parado",""),IF(AND((COUNTIF($MV124:$MY124,"Armado")+COUNTIF($OI124:$OJ124,"Armado"))&gt;0,(COUNTIF($MV124:$MY124,"Carregar")+COUNTIF($OI124:$OJ124,"Carregar"))&gt;0),"Armado não entra com Carregar",""),IF(AND(COUNTIF($OI124:$OJ124,"Corpo a Corpo")&gt;0,$OD124=0,OR($MS124="Cone",$MS124="Linha")),"Corpo a Corpo não entra em "&amp;$MS124,""),IF(AND(COUNTIF($OI124:$OJ124,"Corpo a Corpo")&gt;0,$OD124=1),"A Forma "&amp;$MS124&amp;" já traz o Corpo a Corpo",""),IF(AND(COUNTIF($OI124:$OJ124,"Tudo ou Nada")&gt;0,$OF124=0),"Tudo ou Nada só entra em habilidade de Teste de Resistência",""),IF(AND(COUNTIF($MV124:$MY124,"Inescapável")&gt;0,OR($OS124&gt;1,$OT124&gt;0)),"Inescapável não aceita outra peça",""),IF(AND($MQ124&gt;0,$PB124*IF(COUNTIF($MV124:$MY124,"Remate")&gt;0,1.25,1)+$PC124&gt;4*$MQ124),($PB124*IF(COUNTIF($MV124:$MY124,"Remate")&gt;0,1.25,1)+$PC124)&amp;" dados somando repetições"&amp;IF(COUNTIF($MV124:$MY124,"Remate")&gt;0," e o Remate","")&amp;": o teto da Classe "&amp;$MQ124&amp;" é "&amp;4*$MQ124,"")))</f>
        <v/>
      </c>
      <c r="PS124" s="155">
        <f>IF($PR124="",0,(LEN($PR124)-LEN(SUBSTITUTE($PR124," · ","")))/3+1)</f>
        <v/>
      </c>
      <c r="PT124" s="155">
        <f>IF($NB124=0,"",TEXTJOIN(" · ",TRUE,IF($OV124&gt;2*$MQ124,"A devolução parou no teto de "&amp;2*$MQ124,""),IF($OY124&gt;0,"Devolução perdida: "&amp;$OY124&amp;IF($OY124&gt;1," pontos"," ponto")&amp;" sem peça para pagar",""),IF(AND($OA124&gt;0,AND($MQ124&gt;0,$OE124=0),$PB124=0),"Controle sem dano: uma rodada a mais e CD +2",""),IF(AND($OA124&gt;0,AND($MQ124&gt;0,$OE124=0),$PB124&gt;0,$PB124&lt;=$MQ124),"Controle com saldo até a Classe: uma rodada a mais",""),IF(AND($MQ124&gt;0,$OC124&lt;&gt;""),"Efeito de "&amp;$OC124&amp;" pela Classe "&amp;MAX(1,$MQ124-1),"")))</f>
        <v/>
      </c>
      <c r="PU124" s="155">
        <f>IF($PT124="",0,(LEN($PT124)-LEN(SUBSTITUTE($PT124," · ","")))/3+1)</f>
        <v/>
      </c>
      <c r="PV124" s="155">
        <f>IF($NB124=0,IF($OS124+COUNTIF($MZ124:$NA124,"?*")&gt;0,"Dê um nome",""),IF($PS124&gt;0,"⚠ "&amp;$PS124&amp;IF($PS124&gt;1," erros"," erro"),IF($PU124&gt;0,"! "&amp;$PU124&amp;IF($PU124&gt;1," avisos"," aviso"),"Na regra")))</f>
        <v/>
      </c>
      <c r="PW124" s="155">
        <f>IF($NB124=0,"",IF($PS124+$PU124=0,"Dentro das regras que a ficha confere",$PR124&amp;IF(AND($PS124&gt;0,$PU124&gt;0)," · ","")&amp;$PT124))</f>
        <v/>
      </c>
      <c r="PX124" s="155">
        <f>IF($MO124&gt;$NC124,$MP124&amp;" · ABRE NO NÍVEL "&amp;$MO124,$MP124)</f>
        <v/>
      </c>
      <c r="PY124" s="155">
        <f>IF($NB124=0,"",IF($MQ124=0,"Sem PE",3*$MQ124&amp;" PE"))</f>
        <v/>
      </c>
      <c r="PZ124" s="155">
        <f>IF($NB124=0,"",IF($MQ124=0,"A atuação básica dela",IF(COUNTIF($OI124:$OJ124,"Atrasar")&gt;0,"Sua Ação Completa",IF(COUNTIF($MV124:$MY124,"Rápido")&gt;0,"Sua Bônus",IF(COUNTIF($MV124:$MY124,"Reação")&gt;0,"Sua Reação","Sua Padrão")))&amp;" + a básica dela"&amp;IF(COUNTIF($MV124:$MY124,"Reação")&gt;0," e a coletiva","")&amp;IF(COUNTIF($OI124:$OJ124,"Carregar")&gt;0," · em dois turnos","")))</f>
        <v/>
      </c>
      <c r="QA124" s="155">
        <f>IF($MU124&lt;&gt;"",$MU124,IF($NH124=0,"",INDEX($AA$2:$AA$11,$NH124)))</f>
        <v/>
      </c>
      <c r="QB124" s="155">
        <f>IF(OR($NB124=0,$NH124=0),"",IF(COUNTIF($MV124:$MY124,"Inescapável")&gt;0,"Automático",IF($QA124="Ataque",IF($NF124="","Ataque","Ataque "&amp;IF(($NF124+2*IF(COUNTIF($MV124:$MY124,"Precisão")&gt;0,1,0))&gt;=0,"+","−")&amp;ABS(($NF124+2*IF(COUNTIF($MV124:$MY124,"Precisão")&gt;0,1,0))))&amp;IF($OB124&gt;0," · TR"&amp;IF($NG124="",""," CD "&amp;$NG124),""),IF(LEFT($QA124,2)="TR",$QA124&amp;IF($NG124="",""," · CD "&amp;$NG124)&amp;IF(COUNTIF($MV124:$MY124,"Certeiro")&gt;0," · metade",""),"Sem rolagem"))))</f>
        <v/>
      </c>
      <c r="QC124" s="155">
        <f>IF(OR($NB124=0,$NH124=0),"",IF($MQ124=0,IF(OR($OE124&gt;=1,$PB124=0),"Sem dano",$PB124&amp;"d6"&amp;IF($MT124="",""," "&amp;$MT124)),IF(OR($OE124&gt;=1,$PB124=0),UPPER(LEFT(INDEX($PK124:$PQ124,1,MAX(1,$MQ124)),1))&amp;MID(INDEX($PK124:$PQ124,1,MAX(1,$MQ124)),2,99),UPPER(LEFT(INDEX($PK124:$PQ124,1,MAX(1,$MQ124)),1))&amp;MID(INDEX($PK124:$PQ124,1,MAX(1,$MQ124)),2,99)&amp;IF($MT124="",""," "&amp;$MT124)&amp;IF($PC124&gt;0," · +"&amp;$PC124&amp;"d8",""))))</f>
        <v/>
      </c>
      <c r="QD124" s="155">
        <f>COUNTIF($MV124:$MY124,"Longe")+3*COUNTIF($MV124:$MY124,"Muito Longe")</f>
        <v/>
      </c>
      <c r="QE124" s="155">
        <f>COUNTIF($MV124:$MY124,"Maior")+3*COUNTIF($MV124:$MY124,"Muito Maior")</f>
        <v/>
      </c>
      <c r="QF124" s="155">
        <f>IF($NH124=0,0,CHOOSE(1+INDEX($AC$2:$AC$11,$NH124),0,$QD124,$QE124,$QD124+$QE124))</f>
        <v/>
      </c>
      <c r="QG124" s="155">
        <f>IF($NH124=0,0,CHOOSE(1+INDEX($AD$2:$AD$11,$NH124),0,$QD124,$QE124,$QD124+$QE124))</f>
        <v/>
      </c>
      <c r="QH124" s="155">
        <f>IF(OR($NB124=0,$NH124=0),"",INDEX($AI$2:$AN$41,($NH124-1)*4+IF($MQ124=0,1,IF($MQ124&lt;=5,2,IF($MQ124=6,3,4))),1+MIN(5,$QF124))&amp;INDEX($AO$2:$AT$41,($NH124-1)*4+IF($MQ124=0,1,IF($MQ124&lt;=5,2,IF($MQ124=6,3,4))),1+MIN(5,$QG124))&amp;IF(INDEX($AE$2:$AE$11,$NH124)=1,IF(COUNTIF($MV124:$MY124,"Mais Um")&gt;0," · +"&amp;COUNTIF($MV124:$MY124,"Mais Um")&amp;IF(COUNTIF($MV124:$MY124,"Mais Um")&gt;1," alvos"," alvo"),"")&amp;IF(COUNTIF($MV124:$MY124,"Rajada")&gt;0,IF($MQ124=0," · 1 tiro"," · "&amp;(MAX(1,$MQ124-1)+1)&amp;" tiros"),""),""))</f>
        <v/>
      </c>
      <c r="QI124" s="155">
        <f>IF($NB124=0,"",IF($MQ124=0,$NE124&amp;"d6"&amp;IF($OS124&gt;0," − 1 = "&amp;$PB124&amp;"d6"," da básica do nível "&amp;$NC124),$OZ124&amp;" − "&amp;$OU124&amp;" + "&amp;$OX124&amp;" = "&amp;$PA124&amp;" · teto "&amp;4*$MQ124&amp;"d8"&amp;IF($OD124=1," · a Forma devolve "&amp;$MQ124,"")&amp;IF($OY124&gt;0," · perde "&amp;$OY124,"")))</f>
        <v/>
      </c>
      <c r="QJ124" s="155">
        <f>IF($NB124=0,"",IF($MQ124=0,"A básica não amplia: os dados dela sobem com o nível",IF($MQ124&gt;=$ND124,"Já está na maior Classe que o nível liberou",TEXTJOIN(" · ",TRUE,IF(AND(2&gt;$MQ124,2&lt;=$ND124),"2 → "&amp;$PL124&amp;", 6 PE",""),IF(AND(3&gt;$MQ124,3&lt;=$ND124),"3 → "&amp;$PM124&amp;", 9 PE",""),IF(AND(4&gt;$MQ124,4&lt;=$ND124),"4 → "&amp;$PN124&amp;", 12 PE",""),IF(AND(5&gt;$MQ124,5&lt;=$ND124),"5 → "&amp;$PO124&amp;", 15 PE",""),IF(AND(6&gt;$MQ124,6&lt;=$ND124),"6 → "&amp;$PP124&amp;", 18 PE",""),IF(AND(7&gt;$MQ124,7&lt;=$ND124),"7 → "&amp;$PQ124&amp;", 21 PE","")))))</f>
        <v/>
      </c>
      <c r="QK124" s="155">
        <f>IF(OR($NB124=0,$NM124=0),"",IF($MQ124=0,"−1 dado","−"&amp;INDEX($I$2:$N$8,MAX(1,$MQ124),MAX(1,$NR124))&amp;" · "&amp;CHOOSE(MAX(1,$NR124),"Leve","Média","Pesada","Leve · Livre","Média · Livre","Pesada · Livre")))</f>
        <v/>
      </c>
      <c r="QL124" s="155">
        <f>IF(OR($NB124=0,$NN124=0),"",IF($MQ124=0,"−1 dado","−"&amp;INDEX($I$2:$N$8,MAX(1,$MQ124),MAX(1,$NS124))&amp;" · "&amp;CHOOSE(MAX(1,$NS124),"Leve","Média","Pesada","Leve · Livre","Média · Livre","Pesada · Livre")))</f>
        <v/>
      </c>
      <c r="QM124" s="155">
        <f>IF(OR($NB124=0,$NO124=0),"",IF($MQ124=0,"−1 dado","−"&amp;INDEX($I$2:$N$8,MAX(1,$MQ124),MAX(1,$NT124))&amp;" · "&amp;CHOOSE(MAX(1,$NT124),"Leve","Média","Pesada","Leve · Livre","Média · Livre","Pesada · Livre")))</f>
        <v/>
      </c>
      <c r="QN124" s="155">
        <f>IF(OR($NB124=0,$NP124=0),"",IF($MQ124=0,"−1 dado","−"&amp;INDEX($I$2:$N$8,MAX(1,$MQ124),MAX(1,$NU124))&amp;" · "&amp;CHOOSE(MAX(1,$NU124),"Leve","Média","Pesada","Leve · Livre","Média · Livre","Pesada · Livre")))</f>
        <v/>
      </c>
      <c r="QO124" s="155">
        <f>IF(OR($NB124=0,$MZ124=""),"",IF($MQ124=0,"não devolve","+"&amp;IF($OG124=1,CEILING($MQ124/2,1),$MQ124)))</f>
        <v/>
      </c>
      <c r="QP124" s="155">
        <f>IF(OR($NB124=0,$NA124=""),"",IF($MQ124=0,"não devolve","+"&amp;IF($OH124=1,CEILING($MQ124/2,1),$MQ124)))</f>
        <v/>
      </c>
    </row>
    <row r="125">
      <c r="ML125" s="153" t="inlineStr">
        <is>
          <t>Ficha 10 · Especial 5</t>
        </is>
      </c>
      <c r="MM125" s="155" t="n">
        <v>10</v>
      </c>
      <c r="MN125" s="155" t="n">
        <v>1</v>
      </c>
      <c r="MO125" s="155" t="n">
        <v>16</v>
      </c>
      <c r="MP125" s="153" t="inlineStr">
        <is>
          <t>ESPECIAL 5</t>
        </is>
      </c>
      <c r="MQ125" s="155">
        <f>MAX(1,MIN(7,N('INVOCAÇÕES'!$AB$708)))</f>
        <v/>
      </c>
      <c r="MR125" s="155">
        <f>'INVOCAÇÕES'!$AC$708&amp;""</f>
        <v/>
      </c>
      <c r="MS125" s="155">
        <f>'INVOCAÇÕES'!$AB$713&amp;""</f>
        <v/>
      </c>
      <c r="MT125" s="155">
        <f>'INVOCAÇÕES'!$AB$714&amp;""</f>
        <v/>
      </c>
      <c r="MU125" s="155">
        <f>'INVOCAÇÕES'!$AD$714&amp;""</f>
        <v/>
      </c>
      <c r="MV125" s="155">
        <f>'INVOCAÇÕES'!$AC$717&amp;""</f>
        <v/>
      </c>
      <c r="MW125" s="155">
        <f>'INVOCAÇÕES'!$AC$718&amp;""</f>
        <v/>
      </c>
      <c r="MX125" s="155">
        <f>'INVOCAÇÕES'!$AC$719&amp;""</f>
        <v/>
      </c>
      <c r="MY125" s="155">
        <f>'INVOCAÇÕES'!$AC$720&amp;""</f>
        <v/>
      </c>
      <c r="MZ125" s="155">
        <f>'INVOCAÇÕES'!$AC$721&amp;""</f>
        <v/>
      </c>
      <c r="NA125" s="155">
        <f>'INVOCAÇÕES'!$AC$722&amp;""</f>
        <v/>
      </c>
      <c r="NB125" s="155">
        <f>IF($MR125&lt;&gt;"",1,0)</f>
        <v/>
      </c>
      <c r="NC125" s="155">
        <f>INDEX($FM$2:$FM$13,$MM125)</f>
        <v/>
      </c>
      <c r="ND125" s="155">
        <f>INDEX($FN$2:$FN$13,$MM125)</f>
        <v/>
      </c>
      <c r="NE125" s="155">
        <f>INDEX($FO$2:$FO$13,$MM125)</f>
        <v/>
      </c>
      <c r="NF125" s="155">
        <f>INDEX($FZ$2:$FZ$13,$MM125)</f>
        <v/>
      </c>
      <c r="NG125" s="155">
        <f>INDEX($GA$2:$GA$13,$MM125)</f>
        <v/>
      </c>
      <c r="NH125" s="155">
        <f>IFERROR(MATCH($MS125,$V$2:$V$11,0),0)</f>
        <v/>
      </c>
      <c r="NI125" s="155">
        <f>IFERROR(VLOOKUP($MV125,$AV$2:$BA$84,2,FALSE),"")</f>
        <v/>
      </c>
      <c r="NJ125" s="155">
        <f>IFERROR(VLOOKUP($MW125,$AV$2:$BA$84,2,FALSE),"")</f>
        <v/>
      </c>
      <c r="NK125" s="155">
        <f>IFERROR(VLOOKUP($MX125,$AV$2:$BA$84,2,FALSE),"")</f>
        <v/>
      </c>
      <c r="NL125" s="155">
        <f>IFERROR(VLOOKUP($MY125,$AV$2:$BA$84,2,FALSE),"")</f>
        <v/>
      </c>
      <c r="NM125" s="155">
        <f>IFERROR(VLOOKUP($MV125,$AV$2:$BA$84,3,FALSE),0)</f>
        <v/>
      </c>
      <c r="NN125" s="155">
        <f>IFERROR(VLOOKUP($MW125,$AV$2:$BA$84,3,FALSE),0)</f>
        <v/>
      </c>
      <c r="NO125" s="155">
        <f>IFERROR(VLOOKUP($MX125,$AV$2:$BA$84,3,FALSE),0)</f>
        <v/>
      </c>
      <c r="NP125" s="155">
        <f>IFERROR(VLOOKUP($MY125,$AV$2:$BA$84,3,FALSE),0)</f>
        <v/>
      </c>
      <c r="NQ125" s="155">
        <f>IF($MQ125=0,0,IF($NH125=0,0,INDEX($X$2:$X$11,$NH125)))</f>
        <v/>
      </c>
      <c r="NR125" s="155">
        <f>IF(OR($NM125=0,$MQ125=0),0,$NM125+3*IF(AND($NI125&lt;&gt;"",OR($NI125=INDEX($EJ$2:$EJ$13,$MM125),$NI125=INDEX($EK$2:$EK$13,$MM125))),1,0))</f>
        <v/>
      </c>
      <c r="NS125" s="155">
        <f>IF(OR($NN125=0,$MQ125=0),0,$NN125+3*IF(AND($NJ125&lt;&gt;"",OR($NJ125=INDEX($EJ$2:$EJ$13,$MM125),$NJ125=INDEX($EK$2:$EK$13,$MM125))),1,0))</f>
        <v/>
      </c>
      <c r="NT125" s="155">
        <f>IF(OR($NO125=0,$MQ125=0),0,$NO125+3*IF(AND($NK125&lt;&gt;"",OR($NK125=INDEX($EJ$2:$EJ$13,$MM125),$NK125=INDEX($EK$2:$EK$13,$MM125))),1,0))</f>
        <v/>
      </c>
      <c r="NU125" s="155">
        <f>IF(OR($NP125=0,$MQ125=0),0,$NP125+3*IF(AND($NL125&lt;&gt;"",OR($NL125=INDEX($EJ$2:$EJ$13,$MM125),$NL125=INDEX($EK$2:$EK$13,$MM125))),1,0))</f>
        <v/>
      </c>
      <c r="NV125" s="155">
        <f>IF($NH125=0,0,IF(INDEX($W$2:$W$11,$NH125)="",0,IF(COUNTIF(INDEX($EJ$2:$EN$13,$MM125,0),INDEX($W$2:$W$11,$NH125))=0,1,0)))</f>
        <v/>
      </c>
      <c r="NW125" s="155">
        <f>IF(OR($NM125=0,$NI125=""),0,IF(COUNTIF(INDEX($EJ$2:$EN$13,$MM125,0),$NI125)=0,1,0))</f>
        <v/>
      </c>
      <c r="NX125" s="155">
        <f>IF(OR($NN125=0,$NJ125=""),0,IF(COUNTIF(INDEX($EJ$2:$EN$13,$MM125,0),$NJ125)=0,1,0))</f>
        <v/>
      </c>
      <c r="NY125" s="155">
        <f>IF(OR($NO125=0,$NK125=""),0,IF(COUNTIF(INDEX($EJ$2:$EN$13,$MM125,0),$NK125)=0,1,0))</f>
        <v/>
      </c>
      <c r="NZ125" s="155">
        <f>IF(OR($NP125=0,$NL125=""),0,IF(COUNTIF(INDEX($EJ$2:$EN$13,$MM125,0),$NL125)=0,1,0))</f>
        <v/>
      </c>
      <c r="OA125" s="155">
        <f>IFERROR(VLOOKUP($MV125,$AV$2:$BA$84,4,FALSE),0)+IFERROR(VLOOKUP($MW125,$AV$2:$BA$84,4,FALSE),0)+IFERROR(VLOOKUP($MX125,$AV$2:$BA$84,4,FALSE),0)+IFERROR(VLOOKUP($MY125,$AV$2:$BA$84,4,FALSE),0)</f>
        <v/>
      </c>
      <c r="OB125" s="155">
        <f>IFERROR(VLOOKUP($MV125,$AV$2:$BA$84,6,FALSE),0)+IFERROR(VLOOKUP($MW125,$AV$2:$BA$84,6,FALSE),0)+IFERROR(VLOOKUP($MX125,$AV$2:$BA$84,6,FALSE),0)+IFERROR(VLOOKUP($MY125,$AV$2:$BA$84,6,FALSE),0)</f>
        <v/>
      </c>
      <c r="OC125" s="155">
        <f>TEXTJOIN(", ",TRUE,IF(IFERROR(VLOOKUP($MV125,$AV$2:$BA$84,5,FALSE),0)=1,$MV125,""),IF(IFERROR(VLOOKUP($MW125,$AV$2:$BA$84,5,FALSE),0)=1,$MW125,""),IF(IFERROR(VLOOKUP($MX125,$AV$2:$BA$84,5,FALSE),0)=1,$MX125,""),IF(IFERROR(VLOOKUP($MY125,$AV$2:$BA$84,5,FALSE),0)=1,$MY125,""))</f>
        <v/>
      </c>
      <c r="OD125" s="155">
        <f>IF($NH125=0,0,INDEX($Y$2:$Y$11,$NH125))</f>
        <v/>
      </c>
      <c r="OE125" s="155">
        <f>IF($NH125=0,0,INDEX($Z$2:$Z$11,$NH125))</f>
        <v/>
      </c>
      <c r="OF125" s="155">
        <f>IF($NH125=0,0,INDEX($AB$2:$AB$11,$NH125))</f>
        <v/>
      </c>
      <c r="OG125" s="155">
        <f>IFERROR(VLOOKUP($MZ125,$BC$2:$BG$24,3,FALSE),0)</f>
        <v/>
      </c>
      <c r="OH125" s="155">
        <f>IFERROR(VLOOKUP($NA125,$BC$2:$BG$24,3,FALSE),0)</f>
        <v/>
      </c>
      <c r="OI125" s="155">
        <f>IFERROR(VLOOKUP($MZ125,$BC$2:$BG$24,2,FALSE),"")</f>
        <v/>
      </c>
      <c r="OJ125" s="155">
        <f>IFERROR(VLOOKUP($NA125,$BC$2:$BG$24,2,FALSE),"")</f>
        <v/>
      </c>
      <c r="OK125" s="155">
        <f>COUNTIF($NQ125:$NU125,1)</f>
        <v/>
      </c>
      <c r="OL125" s="155">
        <f>COUNTIF($NQ125:$NU125,2)</f>
        <v/>
      </c>
      <c r="OM125" s="155">
        <f>COUNTIF($NQ125:$NU125,3)</f>
        <v/>
      </c>
      <c r="ON125" s="155">
        <f>COUNTIF($NQ125:$NU125,4)</f>
        <v/>
      </c>
      <c r="OO125" s="155">
        <f>COUNTIF($NQ125:$NU125,5)</f>
        <v/>
      </c>
      <c r="OP125" s="155">
        <f>COUNTIF($NQ125:$NU125,6)</f>
        <v/>
      </c>
      <c r="OQ125" s="155">
        <f>COUNTIF($OG125:$OH125,1)</f>
        <v/>
      </c>
      <c r="OR125" s="155">
        <f>COUNTIF($OG125:$OH125,2)+$OD125</f>
        <v/>
      </c>
      <c r="OS125" s="155">
        <f>COUNTIF($MV125:$MY125,"?*")</f>
        <v/>
      </c>
      <c r="OT125" s="155">
        <f>COUNTIF($MZ125:$NA125,"?*")+$OD125</f>
        <v/>
      </c>
      <c r="OU125" s="155">
        <f>IF($MQ125=0,0,SUMPRODUCT($OK125:$OP125,INDEX($I$2:$N$8,MAX(1,$MQ125),0)))</f>
        <v/>
      </c>
      <c r="OV125" s="155">
        <f>IF($MQ125=0,0,$OQ125*CEILING($MQ125/2,1)+$OR125*$MQ125)</f>
        <v/>
      </c>
      <c r="OW125" s="155">
        <f>MIN(2*$MQ125,$OV125)</f>
        <v/>
      </c>
      <c r="OX125" s="155">
        <f>MIN($OW125,$OU125)</f>
        <v/>
      </c>
      <c r="OY125" s="155">
        <f>$OW125-$OX125</f>
        <v/>
      </c>
      <c r="OZ125" s="155">
        <f>IF($MQ125=0,0,INDEX($P$2:$P$8,MAX(1,$MQ125)))</f>
        <v/>
      </c>
      <c r="PA125" s="155">
        <f>$OZ125-$OU125+$OX125</f>
        <v/>
      </c>
      <c r="PB125" s="155">
        <f>IF($MQ125=0,MAX(0,$NE125-IF($OS125&gt;0,1,0)),MAX(0,$PA125))</f>
        <v/>
      </c>
      <c r="PC125" s="155">
        <f>IF($MQ125=0,0,(IF(COUNTIF($MV125:$MY125,"Salto")&gt;0,1,0)+IF(COUNTIF($MV125:$MY125,"Queima")&gt;0,1,0)+IF(COUNTIF($MV125:$MY125,"Estilhaço")&gt;0,1,0))*FLOOR($PB125/2,1))</f>
        <v/>
      </c>
      <c r="PD125" s="155">
        <f>MAX(0,2-SUMPRODUCT($OK125:$OP125,$I$2:$N$2)+MIN(2,$OQ125*1+$OR125*1,SUMPRODUCT($OK125:$OP125,$I$2:$N$2)))</f>
        <v/>
      </c>
      <c r="PE125" s="155">
        <f>MAX(0,4-SUMPRODUCT($OK125:$OP125,$I$3:$N$3)+MIN(4,$OQ125*1+$OR125*2,SUMPRODUCT($OK125:$OP125,$I$3:$N$3)))</f>
        <v/>
      </c>
      <c r="PF125" s="155">
        <f>MAX(0,6-SUMPRODUCT($OK125:$OP125,$I$4:$N$4)+MIN(6,$OQ125*2+$OR125*3,SUMPRODUCT($OK125:$OP125,$I$4:$N$4)))</f>
        <v/>
      </c>
      <c r="PG125" s="155">
        <f>MAX(0,9-SUMPRODUCT($OK125:$OP125,$I$5:$N$5)+MIN(8,$OQ125*2+$OR125*4,SUMPRODUCT($OK125:$OP125,$I$5:$N$5)))</f>
        <v/>
      </c>
      <c r="PH125" s="155">
        <f>MAX(0,11-SUMPRODUCT($OK125:$OP125,$I$6:$N$6)+MIN(10,$OQ125*3+$OR125*5,SUMPRODUCT($OK125:$OP125,$I$6:$N$6)))</f>
        <v/>
      </c>
      <c r="PI125" s="155">
        <f>MAX(0,13-SUMPRODUCT($OK125:$OP125,$I$7:$N$7)+MIN(12,$OQ125*3+$OR125*6,SUMPRODUCT($OK125:$OP125,$I$7:$N$7)))</f>
        <v/>
      </c>
      <c r="PJ125" s="155">
        <f>MAX(0,16-SUMPRODUCT($OK125:$OP125,$I$8:$N$8)+MIN(14,$OQ125*4+$OR125*7,SUMPRODUCT($OK125:$OP125,$I$8:$N$8)))</f>
        <v/>
      </c>
      <c r="PK125" s="155">
        <f>IF($OE125=2,3*$PD125&amp;" de vida temp.",IF($OE125=3,"sem dano",IF($PD125=0,IF($OE125=1,"sem cura","sem dano"),IF($OE125=1,"cura ","")&amp;$PD125&amp;"d8")))</f>
        <v/>
      </c>
      <c r="PL125" s="155">
        <f>IF($OE125=2,3*$PE125&amp;" de vida temp.",IF($OE125=3,"sem dano",IF($PE125=0,IF($OE125=1,"sem cura","sem dano"),IF($OE125=1,"cura ","")&amp;$PE125&amp;"d8")))</f>
        <v/>
      </c>
      <c r="PM125" s="155">
        <f>IF($OE125=2,3*$PF125&amp;" de vida temp.",IF($OE125=3,"sem dano",IF($PF125=0,IF($OE125=1,"sem cura","sem dano"),IF($OE125=1,"cura ","")&amp;$PF125&amp;"d8")))</f>
        <v/>
      </c>
      <c r="PN125" s="155">
        <f>IF($OE125=2,3*$PG125&amp;" de vida temp.",IF($OE125=3,"sem dano",IF($PG125=0,IF($OE125=1,"sem cura","sem dano"),IF($OE125=1,"cura ","")&amp;$PG125&amp;"d8")))</f>
        <v/>
      </c>
      <c r="PO125" s="155">
        <f>IF($OE125=2,3*$PH125&amp;" de vida temp.",IF($OE125=3,"sem dano",IF($PH125=0,IF($OE125=1,"sem cura","sem dano"),IF($OE125=1,"cura ","")&amp;$PH125&amp;"d8")))</f>
        <v/>
      </c>
      <c r="PP125" s="155">
        <f>IF($OE125=2,3*$PI125&amp;" de vida temp.",IF($OE125=3,"sem dano",IF($PI125=0,IF($OE125=1,"sem cura","sem dano"),IF($OE125=1,"cura ","")&amp;$PI125&amp;"d8")))</f>
        <v/>
      </c>
      <c r="PQ125" s="155">
        <f>IF($OE125=2,3*$PJ125&amp;" de vida temp.",IF($OE125=3,"sem dano",IF($PJ125=0,IF($OE125=1,"sem cura","sem dano"),IF($OE125=1,"cura ","")&amp;$PJ125&amp;"d8")))</f>
        <v/>
      </c>
      <c r="PR125" s="155">
        <f>IF($NB125=0,"",TEXTJOIN(" · ",TRUE,IF($MO125&gt;$NC125,"Este lugar abre no nível "&amp;$MO125,""),IF($MQ125&gt;$ND125,"Classe "&amp;$MQ125&amp;": o nível "&amp;$NC125&amp;" libera até a "&amp;$ND125,""),IF($NV125=1,"A Forma "&amp;$MS125&amp;" pede "&amp;INDEX($W$2:$W$11,$NH125)&amp;" aberta",""),IF(AND($MQ125=0,$NH125&gt;0,IF($NH125=0,0,INDEX($AF$2:$AF$11,$NH125))=0),$MS125&amp;" não existe na Classe 0",""),IF($NW125=1,"Família Fechada: "&amp;$MV125,""),IF($NX125=1,"Família Fechada: "&amp;$MW125,""),IF($NY125=1,"Família Fechada: "&amp;$MX125,""),IF($NZ125=1,"Família Fechada: "&amp;$MY125,""),IF(AND($MQ125&gt;0,$OS125&gt;INDEX($O$2:$O$8,MAX(1,$MQ125))),$OS125&amp;" Melhorias: a Classe "&amp;$MQ125&amp;" aceita "&amp;INDEX($O$2:$O$8,MAX(1,$MQ125)),""),IF(AND($MQ125=0,$OS125&gt;1),"A básica aceita uma Melhoria",""),IF(AND($MQ125=0,COUNTIF($NM125:$NP125,"&gt;1")&gt;0),"A básica só aceita Melhoria Leve",""),IF(AND($MQ125&gt;0,$OT125&gt;2),$OT125&amp;" Restrições"&amp;IF($OD125=1,", contando a que a Forma "&amp;$MS125&amp;" já traz","")&amp;": o limite é 2",""),IF(AND($MQ125=0,COUNTIF($MZ125:$NA125,"?*")&gt;1),"A básica aceita uma Restrição Leve",""),IF(AND($MQ125=0,COUNTIF($OG125:$OH125,2)&gt;0),"A básica só aceita Restrição Leve",""),IF(AND($MQ125&gt;0,$PA125&lt;0),"Orçamento estourado: faltam "&amp;(-$PA125)&amp;IF($PA125&lt;-1," pontos"," ponto"),""),IF(IFERROR(VLOOKUP($MZ125,$BC$2:$BG$24,4,FALSE),0)+IFERROR(VLOOKUP($NA125,$BC$2:$BG$24,4,FALSE),0)&gt;1,$OI125&amp;" e "&amp;$OJ125&amp;" são as duas de frequência",""),IF(AND((COUNTIF($MV125:$MY125,"Rápido")+COUNTIF($OI125:$OJ125,"Rápido"))&gt;0,(COUNTIF($MV125:$MY125,"Atrasar")+COUNTIF($OI125:$OJ125,"Atrasar"))&gt;0),"Rápido não entra com Atrasar",""),IF(AND((COUNTIF($MV125:$MY125,"Reação")+COUNTIF($OI125:$OJ125,"Reação"))&gt;0,(COUNTIF($MV125:$MY125,"Rápido")+COUNTIF($OI125:$OJ125,"Rápido"))&gt;0),"Reação não entra com Rápido",""),IF(AND((COUNTIF($MV125:$MY125,"Reação")+COUNTIF($OI125:$OJ125,"Reação"))&gt;0,(COUNTIF($MV125:$MY125,"Armado")+COUNTIF($OI125:$OJ125,"Armado"))&gt;0),"Reação não entra com Armado",""),IF(AND((COUNTIF($MV125:$MY125,"Reação")+COUNTIF($OI125:$OJ125,"Reação"))&gt;0,(COUNTIF($MV125:$MY125,"Atrasar")+COUNTIF($OI125:$OJ125,"Atrasar"))&gt;0),"Reação não entra com Atrasar",""),IF(AND((COUNTIF($MV125:$MY125,"Reação")+COUNTIF($OI125:$OJ125,"Reação"))&gt;0,(COUNTIF($MV125:$MY125,"Parado")+COUNTIF($OI125:$OJ125,"Parado"))&gt;0),"Reação não entra com Parado",""),IF(AND((COUNTIF($MV125:$MY125,"Atrasar")+COUNTIF($OI125:$OJ125,"Atrasar"))&gt;0,(COUNTIF($MV125:$MY125,"Parado")+COUNTIF($OI125:$OJ125,"Parado"))&gt;0),"Atrasar não entra com Parado",""),IF(AND((COUNTIF($MV125:$MY125,"Armado")+COUNTIF($OI125:$OJ125,"Armado"))&gt;0,(COUNTIF($MV125:$MY125,"Carregar")+COUNTIF($OI125:$OJ125,"Carregar"))&gt;0),"Armado não entra com Carregar",""),IF(AND(COUNTIF($OI125:$OJ125,"Corpo a Corpo")&gt;0,$OD125=0,OR($MS125="Cone",$MS125="Linha")),"Corpo a Corpo não entra em "&amp;$MS125,""),IF(AND(COUNTIF($OI125:$OJ125,"Corpo a Corpo")&gt;0,$OD125=1),"A Forma "&amp;$MS125&amp;" já traz o Corpo a Corpo",""),IF(AND(COUNTIF($OI125:$OJ125,"Tudo ou Nada")&gt;0,$OF125=0),"Tudo ou Nada só entra em habilidade de Teste de Resistência",""),IF(AND(COUNTIF($MV125:$MY125,"Inescapável")&gt;0,OR($OS125&gt;1,$OT125&gt;0)),"Inescapável não aceita outra peça",""),IF(AND($MQ125&gt;0,$PB125*IF(COUNTIF($MV125:$MY125,"Remate")&gt;0,1.25,1)+$PC125&gt;4*$MQ125),($PB125*IF(COUNTIF($MV125:$MY125,"Remate")&gt;0,1.25,1)+$PC125)&amp;" dados somando repetições"&amp;IF(COUNTIF($MV125:$MY125,"Remate")&gt;0," e o Remate","")&amp;": o teto da Classe "&amp;$MQ125&amp;" é "&amp;4*$MQ125,"")))</f>
        <v/>
      </c>
      <c r="PS125" s="155">
        <f>IF($PR125="",0,(LEN($PR125)-LEN(SUBSTITUTE($PR125," · ","")))/3+1)</f>
        <v/>
      </c>
      <c r="PT125" s="155">
        <f>IF($NB125=0,"",TEXTJOIN(" · ",TRUE,IF($OV125&gt;2*$MQ125,"A devolução parou no teto de "&amp;2*$MQ125,""),IF($OY125&gt;0,"Devolução perdida: "&amp;$OY125&amp;IF($OY125&gt;1," pontos"," ponto")&amp;" sem peça para pagar",""),IF(AND($OA125&gt;0,AND($MQ125&gt;0,$OE125=0),$PB125=0),"Controle sem dano: uma rodada a mais e CD +2",""),IF(AND($OA125&gt;0,AND($MQ125&gt;0,$OE125=0),$PB125&gt;0,$PB125&lt;=$MQ125),"Controle com saldo até a Classe: uma rodada a mais",""),IF(AND($MQ125&gt;0,$OC125&lt;&gt;""),"Efeito de "&amp;$OC125&amp;" pela Classe "&amp;MAX(1,$MQ125-1),"")))</f>
        <v/>
      </c>
      <c r="PU125" s="155">
        <f>IF($PT125="",0,(LEN($PT125)-LEN(SUBSTITUTE($PT125," · ","")))/3+1)</f>
        <v/>
      </c>
      <c r="PV125" s="155">
        <f>IF($NB125=0,IF($OS125+COUNTIF($MZ125:$NA125,"?*")&gt;0,"Dê um nome",""),IF($PS125&gt;0,"⚠ "&amp;$PS125&amp;IF($PS125&gt;1," erros"," erro"),IF($PU125&gt;0,"! "&amp;$PU125&amp;IF($PU125&gt;1," avisos"," aviso"),"Na regra")))</f>
        <v/>
      </c>
      <c r="PW125" s="155">
        <f>IF($NB125=0,"",IF($PS125+$PU125=0,"Dentro das regras que a ficha confere",$PR125&amp;IF(AND($PS125&gt;0,$PU125&gt;0)," · ","")&amp;$PT125))</f>
        <v/>
      </c>
      <c r="PX125" s="155">
        <f>IF($MO125&gt;$NC125,$MP125&amp;" · ABRE NO NÍVEL "&amp;$MO125,$MP125)</f>
        <v/>
      </c>
      <c r="PY125" s="155">
        <f>IF($NB125=0,"",IF($MQ125=0,"Sem PE",3*$MQ125&amp;" PE"))</f>
        <v/>
      </c>
      <c r="PZ125" s="155">
        <f>IF($NB125=0,"",IF($MQ125=0,"A atuação básica dela",IF(COUNTIF($OI125:$OJ125,"Atrasar")&gt;0,"Sua Ação Completa",IF(COUNTIF($MV125:$MY125,"Rápido")&gt;0,"Sua Bônus",IF(COUNTIF($MV125:$MY125,"Reação")&gt;0,"Sua Reação","Sua Padrão")))&amp;" + a básica dela"&amp;IF(COUNTIF($MV125:$MY125,"Reação")&gt;0," e a coletiva","")&amp;IF(COUNTIF($OI125:$OJ125,"Carregar")&gt;0," · em dois turnos","")))</f>
        <v/>
      </c>
      <c r="QA125" s="155">
        <f>IF($MU125&lt;&gt;"",$MU125,IF($NH125=0,"",INDEX($AA$2:$AA$11,$NH125)))</f>
        <v/>
      </c>
      <c r="QB125" s="155">
        <f>IF(OR($NB125=0,$NH125=0),"",IF(COUNTIF($MV125:$MY125,"Inescapável")&gt;0,"Automático",IF($QA125="Ataque",IF($NF125="","Ataque","Ataque "&amp;IF(($NF125+2*IF(COUNTIF($MV125:$MY125,"Precisão")&gt;0,1,0))&gt;=0,"+","−")&amp;ABS(($NF125+2*IF(COUNTIF($MV125:$MY125,"Precisão")&gt;0,1,0))))&amp;IF($OB125&gt;0," · TR"&amp;IF($NG125="",""," CD "&amp;$NG125),""),IF(LEFT($QA125,2)="TR",$QA125&amp;IF($NG125="",""," · CD "&amp;$NG125)&amp;IF(COUNTIF($MV125:$MY125,"Certeiro")&gt;0," · metade",""),"Sem rolagem"))))</f>
        <v/>
      </c>
      <c r="QC125" s="155">
        <f>IF(OR($NB125=0,$NH125=0),"",IF($MQ125=0,IF(OR($OE125&gt;=1,$PB125=0),"Sem dano",$PB125&amp;"d6"&amp;IF($MT125="",""," "&amp;$MT125)),IF(OR($OE125&gt;=1,$PB125=0),UPPER(LEFT(INDEX($PK125:$PQ125,1,MAX(1,$MQ125)),1))&amp;MID(INDEX($PK125:$PQ125,1,MAX(1,$MQ125)),2,99),UPPER(LEFT(INDEX($PK125:$PQ125,1,MAX(1,$MQ125)),1))&amp;MID(INDEX($PK125:$PQ125,1,MAX(1,$MQ125)),2,99)&amp;IF($MT125="",""," "&amp;$MT125)&amp;IF($PC125&gt;0," · +"&amp;$PC125&amp;"d8",""))))</f>
        <v/>
      </c>
      <c r="QD125" s="155">
        <f>COUNTIF($MV125:$MY125,"Longe")+3*COUNTIF($MV125:$MY125,"Muito Longe")</f>
        <v/>
      </c>
      <c r="QE125" s="155">
        <f>COUNTIF($MV125:$MY125,"Maior")+3*COUNTIF($MV125:$MY125,"Muito Maior")</f>
        <v/>
      </c>
      <c r="QF125" s="155">
        <f>IF($NH125=0,0,CHOOSE(1+INDEX($AC$2:$AC$11,$NH125),0,$QD125,$QE125,$QD125+$QE125))</f>
        <v/>
      </c>
      <c r="QG125" s="155">
        <f>IF($NH125=0,0,CHOOSE(1+INDEX($AD$2:$AD$11,$NH125),0,$QD125,$QE125,$QD125+$QE125))</f>
        <v/>
      </c>
      <c r="QH125" s="155">
        <f>IF(OR($NB125=0,$NH125=0),"",INDEX($AI$2:$AN$41,($NH125-1)*4+IF($MQ125=0,1,IF($MQ125&lt;=5,2,IF($MQ125=6,3,4))),1+MIN(5,$QF125))&amp;INDEX($AO$2:$AT$41,($NH125-1)*4+IF($MQ125=0,1,IF($MQ125&lt;=5,2,IF($MQ125=6,3,4))),1+MIN(5,$QG125))&amp;IF(INDEX($AE$2:$AE$11,$NH125)=1,IF(COUNTIF($MV125:$MY125,"Mais Um")&gt;0," · +"&amp;COUNTIF($MV125:$MY125,"Mais Um")&amp;IF(COUNTIF($MV125:$MY125,"Mais Um")&gt;1," alvos"," alvo"),"")&amp;IF(COUNTIF($MV125:$MY125,"Rajada")&gt;0,IF($MQ125=0," · 1 tiro"," · "&amp;(MAX(1,$MQ125-1)+1)&amp;" tiros"),""),""))</f>
        <v/>
      </c>
      <c r="QI125" s="155">
        <f>IF($NB125=0,"",IF($MQ125=0,$NE125&amp;"d6"&amp;IF($OS125&gt;0," − 1 = "&amp;$PB125&amp;"d6"," da básica do nível "&amp;$NC125),$OZ125&amp;" − "&amp;$OU125&amp;" + "&amp;$OX125&amp;" = "&amp;$PA125&amp;" · teto "&amp;4*$MQ125&amp;"d8"&amp;IF($OD125=1," · a Forma devolve "&amp;$MQ125,"")&amp;IF($OY125&gt;0," · perde "&amp;$OY125,"")))</f>
        <v/>
      </c>
      <c r="QJ125" s="155">
        <f>IF($NB125=0,"",IF($MQ125=0,"A básica não amplia: os dados dela sobem com o nível",IF($MQ125&gt;=$ND125,"Já está na maior Classe que o nível liberou",TEXTJOIN(" · ",TRUE,IF(AND(2&gt;$MQ125,2&lt;=$ND125),"2 → "&amp;$PL125&amp;", 6 PE",""),IF(AND(3&gt;$MQ125,3&lt;=$ND125),"3 → "&amp;$PM125&amp;", 9 PE",""),IF(AND(4&gt;$MQ125,4&lt;=$ND125),"4 → "&amp;$PN125&amp;", 12 PE",""),IF(AND(5&gt;$MQ125,5&lt;=$ND125),"5 → "&amp;$PO125&amp;", 15 PE",""),IF(AND(6&gt;$MQ125,6&lt;=$ND125),"6 → "&amp;$PP125&amp;", 18 PE",""),IF(AND(7&gt;$MQ125,7&lt;=$ND125),"7 → "&amp;$PQ125&amp;", 21 PE","")))))</f>
        <v/>
      </c>
      <c r="QK125" s="155">
        <f>IF(OR($NB125=0,$NM125=0),"",IF($MQ125=0,"−1 dado","−"&amp;INDEX($I$2:$N$8,MAX(1,$MQ125),MAX(1,$NR125))&amp;" · "&amp;CHOOSE(MAX(1,$NR125),"Leve","Média","Pesada","Leve · Livre","Média · Livre","Pesada · Livre")))</f>
        <v/>
      </c>
      <c r="QL125" s="155">
        <f>IF(OR($NB125=0,$NN125=0),"",IF($MQ125=0,"−1 dado","−"&amp;INDEX($I$2:$N$8,MAX(1,$MQ125),MAX(1,$NS125))&amp;" · "&amp;CHOOSE(MAX(1,$NS125),"Leve","Média","Pesada","Leve · Livre","Média · Livre","Pesada · Livre")))</f>
        <v/>
      </c>
      <c r="QM125" s="155">
        <f>IF(OR($NB125=0,$NO125=0),"",IF($MQ125=0,"−1 dado","−"&amp;INDEX($I$2:$N$8,MAX(1,$MQ125),MAX(1,$NT125))&amp;" · "&amp;CHOOSE(MAX(1,$NT125),"Leve","Média","Pesada","Leve · Livre","Média · Livre","Pesada · Livre")))</f>
        <v/>
      </c>
      <c r="QN125" s="155">
        <f>IF(OR($NB125=0,$NP125=0),"",IF($MQ125=0,"−1 dado","−"&amp;INDEX($I$2:$N$8,MAX(1,$MQ125),MAX(1,$NU125))&amp;" · "&amp;CHOOSE(MAX(1,$NU125),"Leve","Média","Pesada","Leve · Livre","Média · Livre","Pesada · Livre")))</f>
        <v/>
      </c>
      <c r="QO125" s="155">
        <f>IF(OR($NB125=0,$MZ125=""),"",IF($MQ125=0,"não devolve","+"&amp;IF($OG125=1,CEILING($MQ125/2,1),$MQ125)))</f>
        <v/>
      </c>
      <c r="QP125" s="155">
        <f>IF(OR($NB125=0,$NA125=""),"",IF($MQ125=0,"não devolve","+"&amp;IF($OH125=1,CEILING($MQ125/2,1),$MQ125)))</f>
        <v/>
      </c>
    </row>
    <row r="126">
      <c r="ML126" s="153" t="inlineStr">
        <is>
          <t>Ficha 10 · Especial 6</t>
        </is>
      </c>
      <c r="MM126" s="155" t="n">
        <v>10</v>
      </c>
      <c r="MN126" s="155" t="n">
        <v>1</v>
      </c>
      <c r="MO126" s="155" t="n">
        <v>20</v>
      </c>
      <c r="MP126" s="153" t="inlineStr">
        <is>
          <t>ESPECIAL 6</t>
        </is>
      </c>
      <c r="MQ126" s="155">
        <f>MAX(1,MIN(7,N('INVOCAÇÕES'!$AH$708)))</f>
        <v/>
      </c>
      <c r="MR126" s="155">
        <f>'INVOCAÇÕES'!$AI$708&amp;""</f>
        <v/>
      </c>
      <c r="MS126" s="155">
        <f>'INVOCAÇÕES'!$AH$713&amp;""</f>
        <v/>
      </c>
      <c r="MT126" s="155">
        <f>'INVOCAÇÕES'!$AH$714&amp;""</f>
        <v/>
      </c>
      <c r="MU126" s="155">
        <f>'INVOCAÇÕES'!$AJ$714&amp;""</f>
        <v/>
      </c>
      <c r="MV126" s="155">
        <f>'INVOCAÇÕES'!$AI$717&amp;""</f>
        <v/>
      </c>
      <c r="MW126" s="155">
        <f>'INVOCAÇÕES'!$AI$718&amp;""</f>
        <v/>
      </c>
      <c r="MX126" s="155">
        <f>'INVOCAÇÕES'!$AI$719&amp;""</f>
        <v/>
      </c>
      <c r="MY126" s="155">
        <f>'INVOCAÇÕES'!$AI$720&amp;""</f>
        <v/>
      </c>
      <c r="MZ126" s="155">
        <f>'INVOCAÇÕES'!$AI$721&amp;""</f>
        <v/>
      </c>
      <c r="NA126" s="155">
        <f>'INVOCAÇÕES'!$AI$722&amp;""</f>
        <v/>
      </c>
      <c r="NB126" s="155">
        <f>IF($MR126&lt;&gt;"",1,0)</f>
        <v/>
      </c>
      <c r="NC126" s="155">
        <f>INDEX($FM$2:$FM$13,$MM126)</f>
        <v/>
      </c>
      <c r="ND126" s="155">
        <f>INDEX($FN$2:$FN$13,$MM126)</f>
        <v/>
      </c>
      <c r="NE126" s="155">
        <f>INDEX($FO$2:$FO$13,$MM126)</f>
        <v/>
      </c>
      <c r="NF126" s="155">
        <f>INDEX($FZ$2:$FZ$13,$MM126)</f>
        <v/>
      </c>
      <c r="NG126" s="155">
        <f>INDEX($GA$2:$GA$13,$MM126)</f>
        <v/>
      </c>
      <c r="NH126" s="155">
        <f>IFERROR(MATCH($MS126,$V$2:$V$11,0),0)</f>
        <v/>
      </c>
      <c r="NI126" s="155">
        <f>IFERROR(VLOOKUP($MV126,$AV$2:$BA$84,2,FALSE),"")</f>
        <v/>
      </c>
      <c r="NJ126" s="155">
        <f>IFERROR(VLOOKUP($MW126,$AV$2:$BA$84,2,FALSE),"")</f>
        <v/>
      </c>
      <c r="NK126" s="155">
        <f>IFERROR(VLOOKUP($MX126,$AV$2:$BA$84,2,FALSE),"")</f>
        <v/>
      </c>
      <c r="NL126" s="155">
        <f>IFERROR(VLOOKUP($MY126,$AV$2:$BA$84,2,FALSE),"")</f>
        <v/>
      </c>
      <c r="NM126" s="155">
        <f>IFERROR(VLOOKUP($MV126,$AV$2:$BA$84,3,FALSE),0)</f>
        <v/>
      </c>
      <c r="NN126" s="155">
        <f>IFERROR(VLOOKUP($MW126,$AV$2:$BA$84,3,FALSE),0)</f>
        <v/>
      </c>
      <c r="NO126" s="155">
        <f>IFERROR(VLOOKUP($MX126,$AV$2:$BA$84,3,FALSE),0)</f>
        <v/>
      </c>
      <c r="NP126" s="155">
        <f>IFERROR(VLOOKUP($MY126,$AV$2:$BA$84,3,FALSE),0)</f>
        <v/>
      </c>
      <c r="NQ126" s="155">
        <f>IF($MQ126=0,0,IF($NH126=0,0,INDEX($X$2:$X$11,$NH126)))</f>
        <v/>
      </c>
      <c r="NR126" s="155">
        <f>IF(OR($NM126=0,$MQ126=0),0,$NM126+3*IF(AND($NI126&lt;&gt;"",OR($NI126=INDEX($EJ$2:$EJ$13,$MM126),$NI126=INDEX($EK$2:$EK$13,$MM126))),1,0))</f>
        <v/>
      </c>
      <c r="NS126" s="155">
        <f>IF(OR($NN126=0,$MQ126=0),0,$NN126+3*IF(AND($NJ126&lt;&gt;"",OR($NJ126=INDEX($EJ$2:$EJ$13,$MM126),$NJ126=INDEX($EK$2:$EK$13,$MM126))),1,0))</f>
        <v/>
      </c>
      <c r="NT126" s="155">
        <f>IF(OR($NO126=0,$MQ126=0),0,$NO126+3*IF(AND($NK126&lt;&gt;"",OR($NK126=INDEX($EJ$2:$EJ$13,$MM126),$NK126=INDEX($EK$2:$EK$13,$MM126))),1,0))</f>
        <v/>
      </c>
      <c r="NU126" s="155">
        <f>IF(OR($NP126=0,$MQ126=0),0,$NP126+3*IF(AND($NL126&lt;&gt;"",OR($NL126=INDEX($EJ$2:$EJ$13,$MM126),$NL126=INDEX($EK$2:$EK$13,$MM126))),1,0))</f>
        <v/>
      </c>
      <c r="NV126" s="155">
        <f>IF($NH126=0,0,IF(INDEX($W$2:$W$11,$NH126)="",0,IF(COUNTIF(INDEX($EJ$2:$EN$13,$MM126,0),INDEX($W$2:$W$11,$NH126))=0,1,0)))</f>
        <v/>
      </c>
      <c r="NW126" s="155">
        <f>IF(OR($NM126=0,$NI126=""),0,IF(COUNTIF(INDEX($EJ$2:$EN$13,$MM126,0),$NI126)=0,1,0))</f>
        <v/>
      </c>
      <c r="NX126" s="155">
        <f>IF(OR($NN126=0,$NJ126=""),0,IF(COUNTIF(INDEX($EJ$2:$EN$13,$MM126,0),$NJ126)=0,1,0))</f>
        <v/>
      </c>
      <c r="NY126" s="155">
        <f>IF(OR($NO126=0,$NK126=""),0,IF(COUNTIF(INDEX($EJ$2:$EN$13,$MM126,0),$NK126)=0,1,0))</f>
        <v/>
      </c>
      <c r="NZ126" s="155">
        <f>IF(OR($NP126=0,$NL126=""),0,IF(COUNTIF(INDEX($EJ$2:$EN$13,$MM126,0),$NL126)=0,1,0))</f>
        <v/>
      </c>
      <c r="OA126" s="155">
        <f>IFERROR(VLOOKUP($MV126,$AV$2:$BA$84,4,FALSE),0)+IFERROR(VLOOKUP($MW126,$AV$2:$BA$84,4,FALSE),0)+IFERROR(VLOOKUP($MX126,$AV$2:$BA$84,4,FALSE),0)+IFERROR(VLOOKUP($MY126,$AV$2:$BA$84,4,FALSE),0)</f>
        <v/>
      </c>
      <c r="OB126" s="155">
        <f>IFERROR(VLOOKUP($MV126,$AV$2:$BA$84,6,FALSE),0)+IFERROR(VLOOKUP($MW126,$AV$2:$BA$84,6,FALSE),0)+IFERROR(VLOOKUP($MX126,$AV$2:$BA$84,6,FALSE),0)+IFERROR(VLOOKUP($MY126,$AV$2:$BA$84,6,FALSE),0)</f>
        <v/>
      </c>
      <c r="OC126" s="155">
        <f>TEXTJOIN(", ",TRUE,IF(IFERROR(VLOOKUP($MV126,$AV$2:$BA$84,5,FALSE),0)=1,$MV126,""),IF(IFERROR(VLOOKUP($MW126,$AV$2:$BA$84,5,FALSE),0)=1,$MW126,""),IF(IFERROR(VLOOKUP($MX126,$AV$2:$BA$84,5,FALSE),0)=1,$MX126,""),IF(IFERROR(VLOOKUP($MY126,$AV$2:$BA$84,5,FALSE),0)=1,$MY126,""))</f>
        <v/>
      </c>
      <c r="OD126" s="155">
        <f>IF($NH126=0,0,INDEX($Y$2:$Y$11,$NH126))</f>
        <v/>
      </c>
      <c r="OE126" s="155">
        <f>IF($NH126=0,0,INDEX($Z$2:$Z$11,$NH126))</f>
        <v/>
      </c>
      <c r="OF126" s="155">
        <f>IF($NH126=0,0,INDEX($AB$2:$AB$11,$NH126))</f>
        <v/>
      </c>
      <c r="OG126" s="155">
        <f>IFERROR(VLOOKUP($MZ126,$BC$2:$BG$24,3,FALSE),0)</f>
        <v/>
      </c>
      <c r="OH126" s="155">
        <f>IFERROR(VLOOKUP($NA126,$BC$2:$BG$24,3,FALSE),0)</f>
        <v/>
      </c>
      <c r="OI126" s="155">
        <f>IFERROR(VLOOKUP($MZ126,$BC$2:$BG$24,2,FALSE),"")</f>
        <v/>
      </c>
      <c r="OJ126" s="155">
        <f>IFERROR(VLOOKUP($NA126,$BC$2:$BG$24,2,FALSE),"")</f>
        <v/>
      </c>
      <c r="OK126" s="155">
        <f>COUNTIF($NQ126:$NU126,1)</f>
        <v/>
      </c>
      <c r="OL126" s="155">
        <f>COUNTIF($NQ126:$NU126,2)</f>
        <v/>
      </c>
      <c r="OM126" s="155">
        <f>COUNTIF($NQ126:$NU126,3)</f>
        <v/>
      </c>
      <c r="ON126" s="155">
        <f>COUNTIF($NQ126:$NU126,4)</f>
        <v/>
      </c>
      <c r="OO126" s="155">
        <f>COUNTIF($NQ126:$NU126,5)</f>
        <v/>
      </c>
      <c r="OP126" s="155">
        <f>COUNTIF($NQ126:$NU126,6)</f>
        <v/>
      </c>
      <c r="OQ126" s="155">
        <f>COUNTIF($OG126:$OH126,1)</f>
        <v/>
      </c>
      <c r="OR126" s="155">
        <f>COUNTIF($OG126:$OH126,2)+$OD126</f>
        <v/>
      </c>
      <c r="OS126" s="155">
        <f>COUNTIF($MV126:$MY126,"?*")</f>
        <v/>
      </c>
      <c r="OT126" s="155">
        <f>COUNTIF($MZ126:$NA126,"?*")+$OD126</f>
        <v/>
      </c>
      <c r="OU126" s="155">
        <f>IF($MQ126=0,0,SUMPRODUCT($OK126:$OP126,INDEX($I$2:$N$8,MAX(1,$MQ126),0)))</f>
        <v/>
      </c>
      <c r="OV126" s="155">
        <f>IF($MQ126=0,0,$OQ126*CEILING($MQ126/2,1)+$OR126*$MQ126)</f>
        <v/>
      </c>
      <c r="OW126" s="155">
        <f>MIN(2*$MQ126,$OV126)</f>
        <v/>
      </c>
      <c r="OX126" s="155">
        <f>MIN($OW126,$OU126)</f>
        <v/>
      </c>
      <c r="OY126" s="155">
        <f>$OW126-$OX126</f>
        <v/>
      </c>
      <c r="OZ126" s="155">
        <f>IF($MQ126=0,0,INDEX($P$2:$P$8,MAX(1,$MQ126)))</f>
        <v/>
      </c>
      <c r="PA126" s="155">
        <f>$OZ126-$OU126+$OX126</f>
        <v/>
      </c>
      <c r="PB126" s="155">
        <f>IF($MQ126=0,MAX(0,$NE126-IF($OS126&gt;0,1,0)),MAX(0,$PA126))</f>
        <v/>
      </c>
      <c r="PC126" s="155">
        <f>IF($MQ126=0,0,(IF(COUNTIF($MV126:$MY126,"Salto")&gt;0,1,0)+IF(COUNTIF($MV126:$MY126,"Queima")&gt;0,1,0)+IF(COUNTIF($MV126:$MY126,"Estilhaço")&gt;0,1,0))*FLOOR($PB126/2,1))</f>
        <v/>
      </c>
      <c r="PD126" s="155">
        <f>MAX(0,2-SUMPRODUCT($OK126:$OP126,$I$2:$N$2)+MIN(2,$OQ126*1+$OR126*1,SUMPRODUCT($OK126:$OP126,$I$2:$N$2)))</f>
        <v/>
      </c>
      <c r="PE126" s="155">
        <f>MAX(0,4-SUMPRODUCT($OK126:$OP126,$I$3:$N$3)+MIN(4,$OQ126*1+$OR126*2,SUMPRODUCT($OK126:$OP126,$I$3:$N$3)))</f>
        <v/>
      </c>
      <c r="PF126" s="155">
        <f>MAX(0,6-SUMPRODUCT($OK126:$OP126,$I$4:$N$4)+MIN(6,$OQ126*2+$OR126*3,SUMPRODUCT($OK126:$OP126,$I$4:$N$4)))</f>
        <v/>
      </c>
      <c r="PG126" s="155">
        <f>MAX(0,9-SUMPRODUCT($OK126:$OP126,$I$5:$N$5)+MIN(8,$OQ126*2+$OR126*4,SUMPRODUCT($OK126:$OP126,$I$5:$N$5)))</f>
        <v/>
      </c>
      <c r="PH126" s="155">
        <f>MAX(0,11-SUMPRODUCT($OK126:$OP126,$I$6:$N$6)+MIN(10,$OQ126*3+$OR126*5,SUMPRODUCT($OK126:$OP126,$I$6:$N$6)))</f>
        <v/>
      </c>
      <c r="PI126" s="155">
        <f>MAX(0,13-SUMPRODUCT($OK126:$OP126,$I$7:$N$7)+MIN(12,$OQ126*3+$OR126*6,SUMPRODUCT($OK126:$OP126,$I$7:$N$7)))</f>
        <v/>
      </c>
      <c r="PJ126" s="155">
        <f>MAX(0,16-SUMPRODUCT($OK126:$OP126,$I$8:$N$8)+MIN(14,$OQ126*4+$OR126*7,SUMPRODUCT($OK126:$OP126,$I$8:$N$8)))</f>
        <v/>
      </c>
      <c r="PK126" s="155">
        <f>IF($OE126=2,3*$PD126&amp;" de vida temp.",IF($OE126=3,"sem dano",IF($PD126=0,IF($OE126=1,"sem cura","sem dano"),IF($OE126=1,"cura ","")&amp;$PD126&amp;"d8")))</f>
        <v/>
      </c>
      <c r="PL126" s="155">
        <f>IF($OE126=2,3*$PE126&amp;" de vida temp.",IF($OE126=3,"sem dano",IF($PE126=0,IF($OE126=1,"sem cura","sem dano"),IF($OE126=1,"cura ","")&amp;$PE126&amp;"d8")))</f>
        <v/>
      </c>
      <c r="PM126" s="155">
        <f>IF($OE126=2,3*$PF126&amp;" de vida temp.",IF($OE126=3,"sem dano",IF($PF126=0,IF($OE126=1,"sem cura","sem dano"),IF($OE126=1,"cura ","")&amp;$PF126&amp;"d8")))</f>
        <v/>
      </c>
      <c r="PN126" s="155">
        <f>IF($OE126=2,3*$PG126&amp;" de vida temp.",IF($OE126=3,"sem dano",IF($PG126=0,IF($OE126=1,"sem cura","sem dano"),IF($OE126=1,"cura ","")&amp;$PG126&amp;"d8")))</f>
        <v/>
      </c>
      <c r="PO126" s="155">
        <f>IF($OE126=2,3*$PH126&amp;" de vida temp.",IF($OE126=3,"sem dano",IF($PH126=0,IF($OE126=1,"sem cura","sem dano"),IF($OE126=1,"cura ","")&amp;$PH126&amp;"d8")))</f>
        <v/>
      </c>
      <c r="PP126" s="155">
        <f>IF($OE126=2,3*$PI126&amp;" de vida temp.",IF($OE126=3,"sem dano",IF($PI126=0,IF($OE126=1,"sem cura","sem dano"),IF($OE126=1,"cura ","")&amp;$PI126&amp;"d8")))</f>
        <v/>
      </c>
      <c r="PQ126" s="155">
        <f>IF($OE126=2,3*$PJ126&amp;" de vida temp.",IF($OE126=3,"sem dano",IF($PJ126=0,IF($OE126=1,"sem cura","sem dano"),IF($OE126=1,"cura ","")&amp;$PJ126&amp;"d8")))</f>
        <v/>
      </c>
      <c r="PR126" s="155">
        <f>IF($NB126=0,"",TEXTJOIN(" · ",TRUE,IF($MO126&gt;$NC126,"Este lugar abre no nível "&amp;$MO126,""),IF($MQ126&gt;$ND126,"Classe "&amp;$MQ126&amp;": o nível "&amp;$NC126&amp;" libera até a "&amp;$ND126,""),IF($NV126=1,"A Forma "&amp;$MS126&amp;" pede "&amp;INDEX($W$2:$W$11,$NH126)&amp;" aberta",""),IF(AND($MQ126=0,$NH126&gt;0,IF($NH126=0,0,INDEX($AF$2:$AF$11,$NH126))=0),$MS126&amp;" não existe na Classe 0",""),IF($NW126=1,"Família Fechada: "&amp;$MV126,""),IF($NX126=1,"Família Fechada: "&amp;$MW126,""),IF($NY126=1,"Família Fechada: "&amp;$MX126,""),IF($NZ126=1,"Família Fechada: "&amp;$MY126,""),IF(AND($MQ126&gt;0,$OS126&gt;INDEX($O$2:$O$8,MAX(1,$MQ126))),$OS126&amp;" Melhorias: a Classe "&amp;$MQ126&amp;" aceita "&amp;INDEX($O$2:$O$8,MAX(1,$MQ126)),""),IF(AND($MQ126=0,$OS126&gt;1),"A básica aceita uma Melhoria",""),IF(AND($MQ126=0,COUNTIF($NM126:$NP126,"&gt;1")&gt;0),"A básica só aceita Melhoria Leve",""),IF(AND($MQ126&gt;0,$OT126&gt;2),$OT126&amp;" Restrições"&amp;IF($OD126=1,", contando a que a Forma "&amp;$MS126&amp;" já traz","")&amp;": o limite é 2",""),IF(AND($MQ126=0,COUNTIF($MZ126:$NA126,"?*")&gt;1),"A básica aceita uma Restrição Leve",""),IF(AND($MQ126=0,COUNTIF($OG126:$OH126,2)&gt;0),"A básica só aceita Restrição Leve",""),IF(AND($MQ126&gt;0,$PA126&lt;0),"Orçamento estourado: faltam "&amp;(-$PA126)&amp;IF($PA126&lt;-1," pontos"," ponto"),""),IF(IFERROR(VLOOKUP($MZ126,$BC$2:$BG$24,4,FALSE),0)+IFERROR(VLOOKUP($NA126,$BC$2:$BG$24,4,FALSE),0)&gt;1,$OI126&amp;" e "&amp;$OJ126&amp;" são as duas de frequência",""),IF(AND((COUNTIF($MV126:$MY126,"Rápido")+COUNTIF($OI126:$OJ126,"Rápido"))&gt;0,(COUNTIF($MV126:$MY126,"Atrasar")+COUNTIF($OI126:$OJ126,"Atrasar"))&gt;0),"Rápido não entra com Atrasar",""),IF(AND((COUNTIF($MV126:$MY126,"Reação")+COUNTIF($OI126:$OJ126,"Reação"))&gt;0,(COUNTIF($MV126:$MY126,"Rápido")+COUNTIF($OI126:$OJ126,"Rápido"))&gt;0),"Reação não entra com Rápido",""),IF(AND((COUNTIF($MV126:$MY126,"Reação")+COUNTIF($OI126:$OJ126,"Reação"))&gt;0,(COUNTIF($MV126:$MY126,"Armado")+COUNTIF($OI126:$OJ126,"Armado"))&gt;0),"Reação não entra com Armado",""),IF(AND((COUNTIF($MV126:$MY126,"Reação")+COUNTIF($OI126:$OJ126,"Reação"))&gt;0,(COUNTIF($MV126:$MY126,"Atrasar")+COUNTIF($OI126:$OJ126,"Atrasar"))&gt;0),"Reação não entra com Atrasar",""),IF(AND((COUNTIF($MV126:$MY126,"Reação")+COUNTIF($OI126:$OJ126,"Reação"))&gt;0,(COUNTIF($MV126:$MY126,"Parado")+COUNTIF($OI126:$OJ126,"Parado"))&gt;0),"Reação não entra com Parado",""),IF(AND((COUNTIF($MV126:$MY126,"Atrasar")+COUNTIF($OI126:$OJ126,"Atrasar"))&gt;0,(COUNTIF($MV126:$MY126,"Parado")+COUNTIF($OI126:$OJ126,"Parado"))&gt;0),"Atrasar não entra com Parado",""),IF(AND((COUNTIF($MV126:$MY126,"Armado")+COUNTIF($OI126:$OJ126,"Armado"))&gt;0,(COUNTIF($MV126:$MY126,"Carregar")+COUNTIF($OI126:$OJ126,"Carregar"))&gt;0),"Armado não entra com Carregar",""),IF(AND(COUNTIF($OI126:$OJ126,"Corpo a Corpo")&gt;0,$OD126=0,OR($MS126="Cone",$MS126="Linha")),"Corpo a Corpo não entra em "&amp;$MS126,""),IF(AND(COUNTIF($OI126:$OJ126,"Corpo a Corpo")&gt;0,$OD126=1),"A Forma "&amp;$MS126&amp;" já traz o Corpo a Corpo",""),IF(AND(COUNTIF($OI126:$OJ126,"Tudo ou Nada")&gt;0,$OF126=0),"Tudo ou Nada só entra em habilidade de Teste de Resistência",""),IF(AND(COUNTIF($MV126:$MY126,"Inescapável")&gt;0,OR($OS126&gt;1,$OT126&gt;0)),"Inescapável não aceita outra peça",""),IF(AND($MQ126&gt;0,$PB126*IF(COUNTIF($MV126:$MY126,"Remate")&gt;0,1.25,1)+$PC126&gt;4*$MQ126),($PB126*IF(COUNTIF($MV126:$MY126,"Remate")&gt;0,1.25,1)+$PC126)&amp;" dados somando repetições"&amp;IF(COUNTIF($MV126:$MY126,"Remate")&gt;0," e o Remate","")&amp;": o teto da Classe "&amp;$MQ126&amp;" é "&amp;4*$MQ126,"")))</f>
        <v/>
      </c>
      <c r="PS126" s="155">
        <f>IF($PR126="",0,(LEN($PR126)-LEN(SUBSTITUTE($PR126," · ","")))/3+1)</f>
        <v/>
      </c>
      <c r="PT126" s="155">
        <f>IF($NB126=0,"",TEXTJOIN(" · ",TRUE,IF($OV126&gt;2*$MQ126,"A devolução parou no teto de "&amp;2*$MQ126,""),IF($OY126&gt;0,"Devolução perdida: "&amp;$OY126&amp;IF($OY126&gt;1," pontos"," ponto")&amp;" sem peça para pagar",""),IF(AND($OA126&gt;0,AND($MQ126&gt;0,$OE126=0),$PB126=0),"Controle sem dano: uma rodada a mais e CD +2",""),IF(AND($OA126&gt;0,AND($MQ126&gt;0,$OE126=0),$PB126&gt;0,$PB126&lt;=$MQ126),"Controle com saldo até a Classe: uma rodada a mais",""),IF(AND($MQ126&gt;0,$OC126&lt;&gt;""),"Efeito de "&amp;$OC126&amp;" pela Classe "&amp;MAX(1,$MQ126-1),"")))</f>
        <v/>
      </c>
      <c r="PU126" s="155">
        <f>IF($PT126="",0,(LEN($PT126)-LEN(SUBSTITUTE($PT126," · ","")))/3+1)</f>
        <v/>
      </c>
      <c r="PV126" s="155">
        <f>IF($NB126=0,IF($OS126+COUNTIF($MZ126:$NA126,"?*")&gt;0,"Dê um nome",""),IF($PS126&gt;0,"⚠ "&amp;$PS126&amp;IF($PS126&gt;1," erros"," erro"),IF($PU126&gt;0,"! "&amp;$PU126&amp;IF($PU126&gt;1," avisos"," aviso"),"Na regra")))</f>
        <v/>
      </c>
      <c r="PW126" s="155">
        <f>IF($NB126=0,"",IF($PS126+$PU126=0,"Dentro das regras que a ficha confere",$PR126&amp;IF(AND($PS126&gt;0,$PU126&gt;0)," · ","")&amp;$PT126))</f>
        <v/>
      </c>
      <c r="PX126" s="155">
        <f>IF($MO126&gt;$NC126,$MP126&amp;" · ABRE NO NÍVEL "&amp;$MO126,$MP126)</f>
        <v/>
      </c>
      <c r="PY126" s="155">
        <f>IF($NB126=0,"",IF($MQ126=0,"Sem PE",3*$MQ126&amp;" PE"))</f>
        <v/>
      </c>
      <c r="PZ126" s="155">
        <f>IF($NB126=0,"",IF($MQ126=0,"A atuação básica dela",IF(COUNTIF($OI126:$OJ126,"Atrasar")&gt;0,"Sua Ação Completa",IF(COUNTIF($MV126:$MY126,"Rápido")&gt;0,"Sua Bônus",IF(COUNTIF($MV126:$MY126,"Reação")&gt;0,"Sua Reação","Sua Padrão")))&amp;" + a básica dela"&amp;IF(COUNTIF($MV126:$MY126,"Reação")&gt;0," e a coletiva","")&amp;IF(COUNTIF($OI126:$OJ126,"Carregar")&gt;0," · em dois turnos","")))</f>
        <v/>
      </c>
      <c r="QA126" s="155">
        <f>IF($MU126&lt;&gt;"",$MU126,IF($NH126=0,"",INDEX($AA$2:$AA$11,$NH126)))</f>
        <v/>
      </c>
      <c r="QB126" s="155">
        <f>IF(OR($NB126=0,$NH126=0),"",IF(COUNTIF($MV126:$MY126,"Inescapável")&gt;0,"Automático",IF($QA126="Ataque",IF($NF126="","Ataque","Ataque "&amp;IF(($NF126+2*IF(COUNTIF($MV126:$MY126,"Precisão")&gt;0,1,0))&gt;=0,"+","−")&amp;ABS(($NF126+2*IF(COUNTIF($MV126:$MY126,"Precisão")&gt;0,1,0))))&amp;IF($OB126&gt;0," · TR"&amp;IF($NG126="",""," CD "&amp;$NG126),""),IF(LEFT($QA126,2)="TR",$QA126&amp;IF($NG126="",""," · CD "&amp;$NG126)&amp;IF(COUNTIF($MV126:$MY126,"Certeiro")&gt;0," · metade",""),"Sem rolagem"))))</f>
        <v/>
      </c>
      <c r="QC126" s="155">
        <f>IF(OR($NB126=0,$NH126=0),"",IF($MQ126=0,IF(OR($OE126&gt;=1,$PB126=0),"Sem dano",$PB126&amp;"d6"&amp;IF($MT126="",""," "&amp;$MT126)),IF(OR($OE126&gt;=1,$PB126=0),UPPER(LEFT(INDEX($PK126:$PQ126,1,MAX(1,$MQ126)),1))&amp;MID(INDEX($PK126:$PQ126,1,MAX(1,$MQ126)),2,99),UPPER(LEFT(INDEX($PK126:$PQ126,1,MAX(1,$MQ126)),1))&amp;MID(INDEX($PK126:$PQ126,1,MAX(1,$MQ126)),2,99)&amp;IF($MT126="",""," "&amp;$MT126)&amp;IF($PC126&gt;0," · +"&amp;$PC126&amp;"d8",""))))</f>
        <v/>
      </c>
      <c r="QD126" s="155">
        <f>COUNTIF($MV126:$MY126,"Longe")+3*COUNTIF($MV126:$MY126,"Muito Longe")</f>
        <v/>
      </c>
      <c r="QE126" s="155">
        <f>COUNTIF($MV126:$MY126,"Maior")+3*COUNTIF($MV126:$MY126,"Muito Maior")</f>
        <v/>
      </c>
      <c r="QF126" s="155">
        <f>IF($NH126=0,0,CHOOSE(1+INDEX($AC$2:$AC$11,$NH126),0,$QD126,$QE126,$QD126+$QE126))</f>
        <v/>
      </c>
      <c r="QG126" s="155">
        <f>IF($NH126=0,0,CHOOSE(1+INDEX($AD$2:$AD$11,$NH126),0,$QD126,$QE126,$QD126+$QE126))</f>
        <v/>
      </c>
      <c r="QH126" s="155">
        <f>IF(OR($NB126=0,$NH126=0),"",INDEX($AI$2:$AN$41,($NH126-1)*4+IF($MQ126=0,1,IF($MQ126&lt;=5,2,IF($MQ126=6,3,4))),1+MIN(5,$QF126))&amp;INDEX($AO$2:$AT$41,($NH126-1)*4+IF($MQ126=0,1,IF($MQ126&lt;=5,2,IF($MQ126=6,3,4))),1+MIN(5,$QG126))&amp;IF(INDEX($AE$2:$AE$11,$NH126)=1,IF(COUNTIF($MV126:$MY126,"Mais Um")&gt;0," · +"&amp;COUNTIF($MV126:$MY126,"Mais Um")&amp;IF(COUNTIF($MV126:$MY126,"Mais Um")&gt;1," alvos"," alvo"),"")&amp;IF(COUNTIF($MV126:$MY126,"Rajada")&gt;0,IF($MQ126=0," · 1 tiro"," · "&amp;(MAX(1,$MQ126-1)+1)&amp;" tiros"),""),""))</f>
        <v/>
      </c>
      <c r="QI126" s="155">
        <f>IF($NB126=0,"",IF($MQ126=0,$NE126&amp;"d6"&amp;IF($OS126&gt;0," − 1 = "&amp;$PB126&amp;"d6"," da básica do nível "&amp;$NC126),$OZ126&amp;" − "&amp;$OU126&amp;" + "&amp;$OX126&amp;" = "&amp;$PA126&amp;" · teto "&amp;4*$MQ126&amp;"d8"&amp;IF($OD126=1," · a Forma devolve "&amp;$MQ126,"")&amp;IF($OY126&gt;0," · perde "&amp;$OY126,"")))</f>
        <v/>
      </c>
      <c r="QJ126" s="155">
        <f>IF($NB126=0,"",IF($MQ126=0,"A básica não amplia: os dados dela sobem com o nível",IF($MQ126&gt;=$ND126,"Já está na maior Classe que o nível liberou",TEXTJOIN(" · ",TRUE,IF(AND(2&gt;$MQ126,2&lt;=$ND126),"2 → "&amp;$PL126&amp;", 6 PE",""),IF(AND(3&gt;$MQ126,3&lt;=$ND126),"3 → "&amp;$PM126&amp;", 9 PE",""),IF(AND(4&gt;$MQ126,4&lt;=$ND126),"4 → "&amp;$PN126&amp;", 12 PE",""),IF(AND(5&gt;$MQ126,5&lt;=$ND126),"5 → "&amp;$PO126&amp;", 15 PE",""),IF(AND(6&gt;$MQ126,6&lt;=$ND126),"6 → "&amp;$PP126&amp;", 18 PE",""),IF(AND(7&gt;$MQ126,7&lt;=$ND126),"7 → "&amp;$PQ126&amp;", 21 PE","")))))</f>
        <v/>
      </c>
      <c r="QK126" s="155">
        <f>IF(OR($NB126=0,$NM126=0),"",IF($MQ126=0,"−1 dado","−"&amp;INDEX($I$2:$N$8,MAX(1,$MQ126),MAX(1,$NR126))&amp;" · "&amp;CHOOSE(MAX(1,$NR126),"Leve","Média","Pesada","Leve · Livre","Média · Livre","Pesada · Livre")))</f>
        <v/>
      </c>
      <c r="QL126" s="155">
        <f>IF(OR($NB126=0,$NN126=0),"",IF($MQ126=0,"−1 dado","−"&amp;INDEX($I$2:$N$8,MAX(1,$MQ126),MAX(1,$NS126))&amp;" · "&amp;CHOOSE(MAX(1,$NS126),"Leve","Média","Pesada","Leve · Livre","Média · Livre","Pesada · Livre")))</f>
        <v/>
      </c>
      <c r="QM126" s="155">
        <f>IF(OR($NB126=0,$NO126=0),"",IF($MQ126=0,"−1 dado","−"&amp;INDEX($I$2:$N$8,MAX(1,$MQ126),MAX(1,$NT126))&amp;" · "&amp;CHOOSE(MAX(1,$NT126),"Leve","Média","Pesada","Leve · Livre","Média · Livre","Pesada · Livre")))</f>
        <v/>
      </c>
      <c r="QN126" s="155">
        <f>IF(OR($NB126=0,$NP126=0),"",IF($MQ126=0,"−1 dado","−"&amp;INDEX($I$2:$N$8,MAX(1,$MQ126),MAX(1,$NU126))&amp;" · "&amp;CHOOSE(MAX(1,$NU126),"Leve","Média","Pesada","Leve · Livre","Média · Livre","Pesada · Livre")))</f>
        <v/>
      </c>
      <c r="QO126" s="155">
        <f>IF(OR($NB126=0,$MZ126=""),"",IF($MQ126=0,"não devolve","+"&amp;IF($OG126=1,CEILING($MQ126/2,1),$MQ126)))</f>
        <v/>
      </c>
      <c r="QP126" s="155">
        <f>IF(OR($NB126=0,$NA126=""),"",IF($MQ126=0,"não devolve","+"&amp;IF($OH126=1,CEILING($MQ126/2,1),$MQ126)))</f>
        <v/>
      </c>
    </row>
    <row r="127">
      <c r="ML127" s="153" t="inlineStr">
        <is>
          <t>Ficha 10 · Especial 7</t>
        </is>
      </c>
      <c r="MM127" s="155" t="n">
        <v>10</v>
      </c>
      <c r="MN127" s="155" t="n">
        <v>1</v>
      </c>
      <c r="MO127" s="155" t="n">
        <v>24</v>
      </c>
      <c r="MP127" s="153" t="inlineStr">
        <is>
          <t>ESPECIAL 7</t>
        </is>
      </c>
      <c r="MQ127" s="155">
        <f>MAX(1,MIN(7,N('INVOCAÇÕES'!$AN$708)))</f>
        <v/>
      </c>
      <c r="MR127" s="155">
        <f>'INVOCAÇÕES'!$AO$708&amp;""</f>
        <v/>
      </c>
      <c r="MS127" s="155">
        <f>'INVOCAÇÕES'!$AN$713&amp;""</f>
        <v/>
      </c>
      <c r="MT127" s="155">
        <f>'INVOCAÇÕES'!$AN$714&amp;""</f>
        <v/>
      </c>
      <c r="MU127" s="155">
        <f>'INVOCAÇÕES'!$AP$714&amp;""</f>
        <v/>
      </c>
      <c r="MV127" s="155">
        <f>'INVOCAÇÕES'!$AO$717&amp;""</f>
        <v/>
      </c>
      <c r="MW127" s="155">
        <f>'INVOCAÇÕES'!$AO$718&amp;""</f>
        <v/>
      </c>
      <c r="MX127" s="155">
        <f>'INVOCAÇÕES'!$AO$719&amp;""</f>
        <v/>
      </c>
      <c r="MY127" s="155">
        <f>'INVOCAÇÕES'!$AO$720&amp;""</f>
        <v/>
      </c>
      <c r="MZ127" s="155">
        <f>'INVOCAÇÕES'!$AO$721&amp;""</f>
        <v/>
      </c>
      <c r="NA127" s="155">
        <f>'INVOCAÇÕES'!$AO$722&amp;""</f>
        <v/>
      </c>
      <c r="NB127" s="155">
        <f>IF($MR127&lt;&gt;"",1,0)</f>
        <v/>
      </c>
      <c r="NC127" s="155">
        <f>INDEX($FM$2:$FM$13,$MM127)</f>
        <v/>
      </c>
      <c r="ND127" s="155">
        <f>INDEX($FN$2:$FN$13,$MM127)</f>
        <v/>
      </c>
      <c r="NE127" s="155">
        <f>INDEX($FO$2:$FO$13,$MM127)</f>
        <v/>
      </c>
      <c r="NF127" s="155">
        <f>INDEX($FZ$2:$FZ$13,$MM127)</f>
        <v/>
      </c>
      <c r="NG127" s="155">
        <f>INDEX($GA$2:$GA$13,$MM127)</f>
        <v/>
      </c>
      <c r="NH127" s="155">
        <f>IFERROR(MATCH($MS127,$V$2:$V$11,0),0)</f>
        <v/>
      </c>
      <c r="NI127" s="155">
        <f>IFERROR(VLOOKUP($MV127,$AV$2:$BA$84,2,FALSE),"")</f>
        <v/>
      </c>
      <c r="NJ127" s="155">
        <f>IFERROR(VLOOKUP($MW127,$AV$2:$BA$84,2,FALSE),"")</f>
        <v/>
      </c>
      <c r="NK127" s="155">
        <f>IFERROR(VLOOKUP($MX127,$AV$2:$BA$84,2,FALSE),"")</f>
        <v/>
      </c>
      <c r="NL127" s="155">
        <f>IFERROR(VLOOKUP($MY127,$AV$2:$BA$84,2,FALSE),"")</f>
        <v/>
      </c>
      <c r="NM127" s="155">
        <f>IFERROR(VLOOKUP($MV127,$AV$2:$BA$84,3,FALSE),0)</f>
        <v/>
      </c>
      <c r="NN127" s="155">
        <f>IFERROR(VLOOKUP($MW127,$AV$2:$BA$84,3,FALSE),0)</f>
        <v/>
      </c>
      <c r="NO127" s="155">
        <f>IFERROR(VLOOKUP($MX127,$AV$2:$BA$84,3,FALSE),0)</f>
        <v/>
      </c>
      <c r="NP127" s="155">
        <f>IFERROR(VLOOKUP($MY127,$AV$2:$BA$84,3,FALSE),0)</f>
        <v/>
      </c>
      <c r="NQ127" s="155">
        <f>IF($MQ127=0,0,IF($NH127=0,0,INDEX($X$2:$X$11,$NH127)))</f>
        <v/>
      </c>
      <c r="NR127" s="155">
        <f>IF(OR($NM127=0,$MQ127=0),0,$NM127+3*IF(AND($NI127&lt;&gt;"",OR($NI127=INDEX($EJ$2:$EJ$13,$MM127),$NI127=INDEX($EK$2:$EK$13,$MM127))),1,0))</f>
        <v/>
      </c>
      <c r="NS127" s="155">
        <f>IF(OR($NN127=0,$MQ127=0),0,$NN127+3*IF(AND($NJ127&lt;&gt;"",OR($NJ127=INDEX($EJ$2:$EJ$13,$MM127),$NJ127=INDEX($EK$2:$EK$13,$MM127))),1,0))</f>
        <v/>
      </c>
      <c r="NT127" s="155">
        <f>IF(OR($NO127=0,$MQ127=0),0,$NO127+3*IF(AND($NK127&lt;&gt;"",OR($NK127=INDEX($EJ$2:$EJ$13,$MM127),$NK127=INDEX($EK$2:$EK$13,$MM127))),1,0))</f>
        <v/>
      </c>
      <c r="NU127" s="155">
        <f>IF(OR($NP127=0,$MQ127=0),0,$NP127+3*IF(AND($NL127&lt;&gt;"",OR($NL127=INDEX($EJ$2:$EJ$13,$MM127),$NL127=INDEX($EK$2:$EK$13,$MM127))),1,0))</f>
        <v/>
      </c>
      <c r="NV127" s="155">
        <f>IF($NH127=0,0,IF(INDEX($W$2:$W$11,$NH127)="",0,IF(COUNTIF(INDEX($EJ$2:$EN$13,$MM127,0),INDEX($W$2:$W$11,$NH127))=0,1,0)))</f>
        <v/>
      </c>
      <c r="NW127" s="155">
        <f>IF(OR($NM127=0,$NI127=""),0,IF(COUNTIF(INDEX($EJ$2:$EN$13,$MM127,0),$NI127)=0,1,0))</f>
        <v/>
      </c>
      <c r="NX127" s="155">
        <f>IF(OR($NN127=0,$NJ127=""),0,IF(COUNTIF(INDEX($EJ$2:$EN$13,$MM127,0),$NJ127)=0,1,0))</f>
        <v/>
      </c>
      <c r="NY127" s="155">
        <f>IF(OR($NO127=0,$NK127=""),0,IF(COUNTIF(INDEX($EJ$2:$EN$13,$MM127,0),$NK127)=0,1,0))</f>
        <v/>
      </c>
      <c r="NZ127" s="155">
        <f>IF(OR($NP127=0,$NL127=""),0,IF(COUNTIF(INDEX($EJ$2:$EN$13,$MM127,0),$NL127)=0,1,0))</f>
        <v/>
      </c>
      <c r="OA127" s="155">
        <f>IFERROR(VLOOKUP($MV127,$AV$2:$BA$84,4,FALSE),0)+IFERROR(VLOOKUP($MW127,$AV$2:$BA$84,4,FALSE),0)+IFERROR(VLOOKUP($MX127,$AV$2:$BA$84,4,FALSE),0)+IFERROR(VLOOKUP($MY127,$AV$2:$BA$84,4,FALSE),0)</f>
        <v/>
      </c>
      <c r="OB127" s="155">
        <f>IFERROR(VLOOKUP($MV127,$AV$2:$BA$84,6,FALSE),0)+IFERROR(VLOOKUP($MW127,$AV$2:$BA$84,6,FALSE),0)+IFERROR(VLOOKUP($MX127,$AV$2:$BA$84,6,FALSE),0)+IFERROR(VLOOKUP($MY127,$AV$2:$BA$84,6,FALSE),0)</f>
        <v/>
      </c>
      <c r="OC127" s="155">
        <f>TEXTJOIN(", ",TRUE,IF(IFERROR(VLOOKUP($MV127,$AV$2:$BA$84,5,FALSE),0)=1,$MV127,""),IF(IFERROR(VLOOKUP($MW127,$AV$2:$BA$84,5,FALSE),0)=1,$MW127,""),IF(IFERROR(VLOOKUP($MX127,$AV$2:$BA$84,5,FALSE),0)=1,$MX127,""),IF(IFERROR(VLOOKUP($MY127,$AV$2:$BA$84,5,FALSE),0)=1,$MY127,""))</f>
        <v/>
      </c>
      <c r="OD127" s="155">
        <f>IF($NH127=0,0,INDEX($Y$2:$Y$11,$NH127))</f>
        <v/>
      </c>
      <c r="OE127" s="155">
        <f>IF($NH127=0,0,INDEX($Z$2:$Z$11,$NH127))</f>
        <v/>
      </c>
      <c r="OF127" s="155">
        <f>IF($NH127=0,0,INDEX($AB$2:$AB$11,$NH127))</f>
        <v/>
      </c>
      <c r="OG127" s="155">
        <f>IFERROR(VLOOKUP($MZ127,$BC$2:$BG$24,3,FALSE),0)</f>
        <v/>
      </c>
      <c r="OH127" s="155">
        <f>IFERROR(VLOOKUP($NA127,$BC$2:$BG$24,3,FALSE),0)</f>
        <v/>
      </c>
      <c r="OI127" s="155">
        <f>IFERROR(VLOOKUP($MZ127,$BC$2:$BG$24,2,FALSE),"")</f>
        <v/>
      </c>
      <c r="OJ127" s="155">
        <f>IFERROR(VLOOKUP($NA127,$BC$2:$BG$24,2,FALSE),"")</f>
        <v/>
      </c>
      <c r="OK127" s="155">
        <f>COUNTIF($NQ127:$NU127,1)</f>
        <v/>
      </c>
      <c r="OL127" s="155">
        <f>COUNTIF($NQ127:$NU127,2)</f>
        <v/>
      </c>
      <c r="OM127" s="155">
        <f>COUNTIF($NQ127:$NU127,3)</f>
        <v/>
      </c>
      <c r="ON127" s="155">
        <f>COUNTIF($NQ127:$NU127,4)</f>
        <v/>
      </c>
      <c r="OO127" s="155">
        <f>COUNTIF($NQ127:$NU127,5)</f>
        <v/>
      </c>
      <c r="OP127" s="155">
        <f>COUNTIF($NQ127:$NU127,6)</f>
        <v/>
      </c>
      <c r="OQ127" s="155">
        <f>COUNTIF($OG127:$OH127,1)</f>
        <v/>
      </c>
      <c r="OR127" s="155">
        <f>COUNTIF($OG127:$OH127,2)+$OD127</f>
        <v/>
      </c>
      <c r="OS127" s="155">
        <f>COUNTIF($MV127:$MY127,"?*")</f>
        <v/>
      </c>
      <c r="OT127" s="155">
        <f>COUNTIF($MZ127:$NA127,"?*")+$OD127</f>
        <v/>
      </c>
      <c r="OU127" s="155">
        <f>IF($MQ127=0,0,SUMPRODUCT($OK127:$OP127,INDEX($I$2:$N$8,MAX(1,$MQ127),0)))</f>
        <v/>
      </c>
      <c r="OV127" s="155">
        <f>IF($MQ127=0,0,$OQ127*CEILING($MQ127/2,1)+$OR127*$MQ127)</f>
        <v/>
      </c>
      <c r="OW127" s="155">
        <f>MIN(2*$MQ127,$OV127)</f>
        <v/>
      </c>
      <c r="OX127" s="155">
        <f>MIN($OW127,$OU127)</f>
        <v/>
      </c>
      <c r="OY127" s="155">
        <f>$OW127-$OX127</f>
        <v/>
      </c>
      <c r="OZ127" s="155">
        <f>IF($MQ127=0,0,INDEX($P$2:$P$8,MAX(1,$MQ127)))</f>
        <v/>
      </c>
      <c r="PA127" s="155">
        <f>$OZ127-$OU127+$OX127</f>
        <v/>
      </c>
      <c r="PB127" s="155">
        <f>IF($MQ127=0,MAX(0,$NE127-IF($OS127&gt;0,1,0)),MAX(0,$PA127))</f>
        <v/>
      </c>
      <c r="PC127" s="155">
        <f>IF($MQ127=0,0,(IF(COUNTIF($MV127:$MY127,"Salto")&gt;0,1,0)+IF(COUNTIF($MV127:$MY127,"Queima")&gt;0,1,0)+IF(COUNTIF($MV127:$MY127,"Estilhaço")&gt;0,1,0))*FLOOR($PB127/2,1))</f>
        <v/>
      </c>
      <c r="PD127" s="155">
        <f>MAX(0,2-SUMPRODUCT($OK127:$OP127,$I$2:$N$2)+MIN(2,$OQ127*1+$OR127*1,SUMPRODUCT($OK127:$OP127,$I$2:$N$2)))</f>
        <v/>
      </c>
      <c r="PE127" s="155">
        <f>MAX(0,4-SUMPRODUCT($OK127:$OP127,$I$3:$N$3)+MIN(4,$OQ127*1+$OR127*2,SUMPRODUCT($OK127:$OP127,$I$3:$N$3)))</f>
        <v/>
      </c>
      <c r="PF127" s="155">
        <f>MAX(0,6-SUMPRODUCT($OK127:$OP127,$I$4:$N$4)+MIN(6,$OQ127*2+$OR127*3,SUMPRODUCT($OK127:$OP127,$I$4:$N$4)))</f>
        <v/>
      </c>
      <c r="PG127" s="155">
        <f>MAX(0,9-SUMPRODUCT($OK127:$OP127,$I$5:$N$5)+MIN(8,$OQ127*2+$OR127*4,SUMPRODUCT($OK127:$OP127,$I$5:$N$5)))</f>
        <v/>
      </c>
      <c r="PH127" s="155">
        <f>MAX(0,11-SUMPRODUCT($OK127:$OP127,$I$6:$N$6)+MIN(10,$OQ127*3+$OR127*5,SUMPRODUCT($OK127:$OP127,$I$6:$N$6)))</f>
        <v/>
      </c>
      <c r="PI127" s="155">
        <f>MAX(0,13-SUMPRODUCT($OK127:$OP127,$I$7:$N$7)+MIN(12,$OQ127*3+$OR127*6,SUMPRODUCT($OK127:$OP127,$I$7:$N$7)))</f>
        <v/>
      </c>
      <c r="PJ127" s="155">
        <f>MAX(0,16-SUMPRODUCT($OK127:$OP127,$I$8:$N$8)+MIN(14,$OQ127*4+$OR127*7,SUMPRODUCT($OK127:$OP127,$I$8:$N$8)))</f>
        <v/>
      </c>
      <c r="PK127" s="155">
        <f>IF($OE127=2,3*$PD127&amp;" de vida temp.",IF($OE127=3,"sem dano",IF($PD127=0,IF($OE127=1,"sem cura","sem dano"),IF($OE127=1,"cura ","")&amp;$PD127&amp;"d8")))</f>
        <v/>
      </c>
      <c r="PL127" s="155">
        <f>IF($OE127=2,3*$PE127&amp;" de vida temp.",IF($OE127=3,"sem dano",IF($PE127=0,IF($OE127=1,"sem cura","sem dano"),IF($OE127=1,"cura ","")&amp;$PE127&amp;"d8")))</f>
        <v/>
      </c>
      <c r="PM127" s="155">
        <f>IF($OE127=2,3*$PF127&amp;" de vida temp.",IF($OE127=3,"sem dano",IF($PF127=0,IF($OE127=1,"sem cura","sem dano"),IF($OE127=1,"cura ","")&amp;$PF127&amp;"d8")))</f>
        <v/>
      </c>
      <c r="PN127" s="155">
        <f>IF($OE127=2,3*$PG127&amp;" de vida temp.",IF($OE127=3,"sem dano",IF($PG127=0,IF($OE127=1,"sem cura","sem dano"),IF($OE127=1,"cura ","")&amp;$PG127&amp;"d8")))</f>
        <v/>
      </c>
      <c r="PO127" s="155">
        <f>IF($OE127=2,3*$PH127&amp;" de vida temp.",IF($OE127=3,"sem dano",IF($PH127=0,IF($OE127=1,"sem cura","sem dano"),IF($OE127=1,"cura ","")&amp;$PH127&amp;"d8")))</f>
        <v/>
      </c>
      <c r="PP127" s="155">
        <f>IF($OE127=2,3*$PI127&amp;" de vida temp.",IF($OE127=3,"sem dano",IF($PI127=0,IF($OE127=1,"sem cura","sem dano"),IF($OE127=1,"cura ","")&amp;$PI127&amp;"d8")))</f>
        <v/>
      </c>
      <c r="PQ127" s="155">
        <f>IF($OE127=2,3*$PJ127&amp;" de vida temp.",IF($OE127=3,"sem dano",IF($PJ127=0,IF($OE127=1,"sem cura","sem dano"),IF($OE127=1,"cura ","")&amp;$PJ127&amp;"d8")))</f>
        <v/>
      </c>
      <c r="PR127" s="155">
        <f>IF($NB127=0,"",TEXTJOIN(" · ",TRUE,IF($MO127&gt;$NC127,"Este lugar abre no nível "&amp;$MO127,""),IF($MQ127&gt;$ND127,"Classe "&amp;$MQ127&amp;": o nível "&amp;$NC127&amp;" libera até a "&amp;$ND127,""),IF($NV127=1,"A Forma "&amp;$MS127&amp;" pede "&amp;INDEX($W$2:$W$11,$NH127)&amp;" aberta",""),IF(AND($MQ127=0,$NH127&gt;0,IF($NH127=0,0,INDEX($AF$2:$AF$11,$NH127))=0),$MS127&amp;" não existe na Classe 0",""),IF($NW127=1,"Família Fechada: "&amp;$MV127,""),IF($NX127=1,"Família Fechada: "&amp;$MW127,""),IF($NY127=1,"Família Fechada: "&amp;$MX127,""),IF($NZ127=1,"Família Fechada: "&amp;$MY127,""),IF(AND($MQ127&gt;0,$OS127&gt;INDEX($O$2:$O$8,MAX(1,$MQ127))),$OS127&amp;" Melhorias: a Classe "&amp;$MQ127&amp;" aceita "&amp;INDEX($O$2:$O$8,MAX(1,$MQ127)),""),IF(AND($MQ127=0,$OS127&gt;1),"A básica aceita uma Melhoria",""),IF(AND($MQ127=0,COUNTIF($NM127:$NP127,"&gt;1")&gt;0),"A básica só aceita Melhoria Leve",""),IF(AND($MQ127&gt;0,$OT127&gt;2),$OT127&amp;" Restrições"&amp;IF($OD127=1,", contando a que a Forma "&amp;$MS127&amp;" já traz","")&amp;": o limite é 2",""),IF(AND($MQ127=0,COUNTIF($MZ127:$NA127,"?*")&gt;1),"A básica aceita uma Restrição Leve",""),IF(AND($MQ127=0,COUNTIF($OG127:$OH127,2)&gt;0),"A básica só aceita Restrição Leve",""),IF(AND($MQ127&gt;0,$PA127&lt;0),"Orçamento estourado: faltam "&amp;(-$PA127)&amp;IF($PA127&lt;-1," pontos"," ponto"),""),IF(IFERROR(VLOOKUP($MZ127,$BC$2:$BG$24,4,FALSE),0)+IFERROR(VLOOKUP($NA127,$BC$2:$BG$24,4,FALSE),0)&gt;1,$OI127&amp;" e "&amp;$OJ127&amp;" são as duas de frequência",""),IF(AND((COUNTIF($MV127:$MY127,"Rápido")+COUNTIF($OI127:$OJ127,"Rápido"))&gt;0,(COUNTIF($MV127:$MY127,"Atrasar")+COUNTIF($OI127:$OJ127,"Atrasar"))&gt;0),"Rápido não entra com Atrasar",""),IF(AND((COUNTIF($MV127:$MY127,"Reação")+COUNTIF($OI127:$OJ127,"Reação"))&gt;0,(COUNTIF($MV127:$MY127,"Rápido")+COUNTIF($OI127:$OJ127,"Rápido"))&gt;0),"Reação não entra com Rápido",""),IF(AND((COUNTIF($MV127:$MY127,"Reação")+COUNTIF($OI127:$OJ127,"Reação"))&gt;0,(COUNTIF($MV127:$MY127,"Armado")+COUNTIF($OI127:$OJ127,"Armado"))&gt;0),"Reação não entra com Armado",""),IF(AND((COUNTIF($MV127:$MY127,"Reação")+COUNTIF($OI127:$OJ127,"Reação"))&gt;0,(COUNTIF($MV127:$MY127,"Atrasar")+COUNTIF($OI127:$OJ127,"Atrasar"))&gt;0),"Reação não entra com Atrasar",""),IF(AND((COUNTIF($MV127:$MY127,"Reação")+COUNTIF($OI127:$OJ127,"Reação"))&gt;0,(COUNTIF($MV127:$MY127,"Parado")+COUNTIF($OI127:$OJ127,"Parado"))&gt;0),"Reação não entra com Parado",""),IF(AND((COUNTIF($MV127:$MY127,"Atrasar")+COUNTIF($OI127:$OJ127,"Atrasar"))&gt;0,(COUNTIF($MV127:$MY127,"Parado")+COUNTIF($OI127:$OJ127,"Parado"))&gt;0),"Atrasar não entra com Parado",""),IF(AND((COUNTIF($MV127:$MY127,"Armado")+COUNTIF($OI127:$OJ127,"Armado"))&gt;0,(COUNTIF($MV127:$MY127,"Carregar")+COUNTIF($OI127:$OJ127,"Carregar"))&gt;0),"Armado não entra com Carregar",""),IF(AND(COUNTIF($OI127:$OJ127,"Corpo a Corpo")&gt;0,$OD127=0,OR($MS127="Cone",$MS127="Linha")),"Corpo a Corpo não entra em "&amp;$MS127,""),IF(AND(COUNTIF($OI127:$OJ127,"Corpo a Corpo")&gt;0,$OD127=1),"A Forma "&amp;$MS127&amp;" já traz o Corpo a Corpo",""),IF(AND(COUNTIF($OI127:$OJ127,"Tudo ou Nada")&gt;0,$OF127=0),"Tudo ou Nada só entra em habilidade de Teste de Resistência",""),IF(AND(COUNTIF($MV127:$MY127,"Inescapável")&gt;0,OR($OS127&gt;1,$OT127&gt;0)),"Inescapável não aceita outra peça",""),IF(AND($MQ127&gt;0,$PB127*IF(COUNTIF($MV127:$MY127,"Remate")&gt;0,1.25,1)+$PC127&gt;4*$MQ127),($PB127*IF(COUNTIF($MV127:$MY127,"Remate")&gt;0,1.25,1)+$PC127)&amp;" dados somando repetições"&amp;IF(COUNTIF($MV127:$MY127,"Remate")&gt;0," e o Remate","")&amp;": o teto da Classe "&amp;$MQ127&amp;" é "&amp;4*$MQ127,"")))</f>
        <v/>
      </c>
      <c r="PS127" s="155">
        <f>IF($PR127="",0,(LEN($PR127)-LEN(SUBSTITUTE($PR127," · ","")))/3+1)</f>
        <v/>
      </c>
      <c r="PT127" s="155">
        <f>IF($NB127=0,"",TEXTJOIN(" · ",TRUE,IF($OV127&gt;2*$MQ127,"A devolução parou no teto de "&amp;2*$MQ127,""),IF($OY127&gt;0,"Devolução perdida: "&amp;$OY127&amp;IF($OY127&gt;1," pontos"," ponto")&amp;" sem peça para pagar",""),IF(AND($OA127&gt;0,AND($MQ127&gt;0,$OE127=0),$PB127=0),"Controle sem dano: uma rodada a mais e CD +2",""),IF(AND($OA127&gt;0,AND($MQ127&gt;0,$OE127=0),$PB127&gt;0,$PB127&lt;=$MQ127),"Controle com saldo até a Classe: uma rodada a mais",""),IF(AND($MQ127&gt;0,$OC127&lt;&gt;""),"Efeito de "&amp;$OC127&amp;" pela Classe "&amp;MAX(1,$MQ127-1),"")))</f>
        <v/>
      </c>
      <c r="PU127" s="155">
        <f>IF($PT127="",0,(LEN($PT127)-LEN(SUBSTITUTE($PT127," · ","")))/3+1)</f>
        <v/>
      </c>
      <c r="PV127" s="155">
        <f>IF($NB127=0,IF($OS127+COUNTIF($MZ127:$NA127,"?*")&gt;0,"Dê um nome",""),IF($PS127&gt;0,"⚠ "&amp;$PS127&amp;IF($PS127&gt;1," erros"," erro"),IF($PU127&gt;0,"! "&amp;$PU127&amp;IF($PU127&gt;1," avisos"," aviso"),"Na regra")))</f>
        <v/>
      </c>
      <c r="PW127" s="155">
        <f>IF($NB127=0,"",IF($PS127+$PU127=0,"Dentro das regras que a ficha confere",$PR127&amp;IF(AND($PS127&gt;0,$PU127&gt;0)," · ","")&amp;$PT127))</f>
        <v/>
      </c>
      <c r="PX127" s="155">
        <f>IF($MO127&gt;$NC127,$MP127&amp;" · ABRE NO NÍVEL "&amp;$MO127,$MP127)</f>
        <v/>
      </c>
      <c r="PY127" s="155">
        <f>IF($NB127=0,"",IF($MQ127=0,"Sem PE",3*$MQ127&amp;" PE"))</f>
        <v/>
      </c>
      <c r="PZ127" s="155">
        <f>IF($NB127=0,"",IF($MQ127=0,"A atuação básica dela",IF(COUNTIF($OI127:$OJ127,"Atrasar")&gt;0,"Sua Ação Completa",IF(COUNTIF($MV127:$MY127,"Rápido")&gt;0,"Sua Bônus",IF(COUNTIF($MV127:$MY127,"Reação")&gt;0,"Sua Reação","Sua Padrão")))&amp;" + a básica dela"&amp;IF(COUNTIF($MV127:$MY127,"Reação")&gt;0," e a coletiva","")&amp;IF(COUNTIF($OI127:$OJ127,"Carregar")&gt;0," · em dois turnos","")))</f>
        <v/>
      </c>
      <c r="QA127" s="155">
        <f>IF($MU127&lt;&gt;"",$MU127,IF($NH127=0,"",INDEX($AA$2:$AA$11,$NH127)))</f>
        <v/>
      </c>
      <c r="QB127" s="155">
        <f>IF(OR($NB127=0,$NH127=0),"",IF(COUNTIF($MV127:$MY127,"Inescapável")&gt;0,"Automático",IF($QA127="Ataque",IF($NF127="","Ataque","Ataque "&amp;IF(($NF127+2*IF(COUNTIF($MV127:$MY127,"Precisão")&gt;0,1,0))&gt;=0,"+","−")&amp;ABS(($NF127+2*IF(COUNTIF($MV127:$MY127,"Precisão")&gt;0,1,0))))&amp;IF($OB127&gt;0," · TR"&amp;IF($NG127="",""," CD "&amp;$NG127),""),IF(LEFT($QA127,2)="TR",$QA127&amp;IF($NG127="",""," · CD "&amp;$NG127)&amp;IF(COUNTIF($MV127:$MY127,"Certeiro")&gt;0," · metade",""),"Sem rolagem"))))</f>
        <v/>
      </c>
      <c r="QC127" s="155">
        <f>IF(OR($NB127=0,$NH127=0),"",IF($MQ127=0,IF(OR($OE127&gt;=1,$PB127=0),"Sem dano",$PB127&amp;"d6"&amp;IF($MT127="",""," "&amp;$MT127)),IF(OR($OE127&gt;=1,$PB127=0),UPPER(LEFT(INDEX($PK127:$PQ127,1,MAX(1,$MQ127)),1))&amp;MID(INDEX($PK127:$PQ127,1,MAX(1,$MQ127)),2,99),UPPER(LEFT(INDEX($PK127:$PQ127,1,MAX(1,$MQ127)),1))&amp;MID(INDEX($PK127:$PQ127,1,MAX(1,$MQ127)),2,99)&amp;IF($MT127="",""," "&amp;$MT127)&amp;IF($PC127&gt;0," · +"&amp;$PC127&amp;"d8",""))))</f>
        <v/>
      </c>
      <c r="QD127" s="155">
        <f>COUNTIF($MV127:$MY127,"Longe")+3*COUNTIF($MV127:$MY127,"Muito Longe")</f>
        <v/>
      </c>
      <c r="QE127" s="155">
        <f>COUNTIF($MV127:$MY127,"Maior")+3*COUNTIF($MV127:$MY127,"Muito Maior")</f>
        <v/>
      </c>
      <c r="QF127" s="155">
        <f>IF($NH127=0,0,CHOOSE(1+INDEX($AC$2:$AC$11,$NH127),0,$QD127,$QE127,$QD127+$QE127))</f>
        <v/>
      </c>
      <c r="QG127" s="155">
        <f>IF($NH127=0,0,CHOOSE(1+INDEX($AD$2:$AD$11,$NH127),0,$QD127,$QE127,$QD127+$QE127))</f>
        <v/>
      </c>
      <c r="QH127" s="155">
        <f>IF(OR($NB127=0,$NH127=0),"",INDEX($AI$2:$AN$41,($NH127-1)*4+IF($MQ127=0,1,IF($MQ127&lt;=5,2,IF($MQ127=6,3,4))),1+MIN(5,$QF127))&amp;INDEX($AO$2:$AT$41,($NH127-1)*4+IF($MQ127=0,1,IF($MQ127&lt;=5,2,IF($MQ127=6,3,4))),1+MIN(5,$QG127))&amp;IF(INDEX($AE$2:$AE$11,$NH127)=1,IF(COUNTIF($MV127:$MY127,"Mais Um")&gt;0," · +"&amp;COUNTIF($MV127:$MY127,"Mais Um")&amp;IF(COUNTIF($MV127:$MY127,"Mais Um")&gt;1," alvos"," alvo"),"")&amp;IF(COUNTIF($MV127:$MY127,"Rajada")&gt;0,IF($MQ127=0," · 1 tiro"," · "&amp;(MAX(1,$MQ127-1)+1)&amp;" tiros"),""),""))</f>
        <v/>
      </c>
      <c r="QI127" s="155">
        <f>IF($NB127=0,"",IF($MQ127=0,$NE127&amp;"d6"&amp;IF($OS127&gt;0," − 1 = "&amp;$PB127&amp;"d6"," da básica do nível "&amp;$NC127),$OZ127&amp;" − "&amp;$OU127&amp;" + "&amp;$OX127&amp;" = "&amp;$PA127&amp;" · teto "&amp;4*$MQ127&amp;"d8"&amp;IF($OD127=1," · a Forma devolve "&amp;$MQ127,"")&amp;IF($OY127&gt;0," · perde "&amp;$OY127,"")))</f>
        <v/>
      </c>
      <c r="QJ127" s="155">
        <f>IF($NB127=0,"",IF($MQ127=0,"A básica não amplia: os dados dela sobem com o nível",IF($MQ127&gt;=$ND127,"Já está na maior Classe que o nível liberou",TEXTJOIN(" · ",TRUE,IF(AND(2&gt;$MQ127,2&lt;=$ND127),"2 → "&amp;$PL127&amp;", 6 PE",""),IF(AND(3&gt;$MQ127,3&lt;=$ND127),"3 → "&amp;$PM127&amp;", 9 PE",""),IF(AND(4&gt;$MQ127,4&lt;=$ND127),"4 → "&amp;$PN127&amp;", 12 PE",""),IF(AND(5&gt;$MQ127,5&lt;=$ND127),"5 → "&amp;$PO127&amp;", 15 PE",""),IF(AND(6&gt;$MQ127,6&lt;=$ND127),"6 → "&amp;$PP127&amp;", 18 PE",""),IF(AND(7&gt;$MQ127,7&lt;=$ND127),"7 → "&amp;$PQ127&amp;", 21 PE","")))))</f>
        <v/>
      </c>
      <c r="QK127" s="155">
        <f>IF(OR($NB127=0,$NM127=0),"",IF($MQ127=0,"−1 dado","−"&amp;INDEX($I$2:$N$8,MAX(1,$MQ127),MAX(1,$NR127))&amp;" · "&amp;CHOOSE(MAX(1,$NR127),"Leve","Média","Pesada","Leve · Livre","Média · Livre","Pesada · Livre")))</f>
        <v/>
      </c>
      <c r="QL127" s="155">
        <f>IF(OR($NB127=0,$NN127=0),"",IF($MQ127=0,"−1 dado","−"&amp;INDEX($I$2:$N$8,MAX(1,$MQ127),MAX(1,$NS127))&amp;" · "&amp;CHOOSE(MAX(1,$NS127),"Leve","Média","Pesada","Leve · Livre","Média · Livre","Pesada · Livre")))</f>
        <v/>
      </c>
      <c r="QM127" s="155">
        <f>IF(OR($NB127=0,$NO127=0),"",IF($MQ127=0,"−1 dado","−"&amp;INDEX($I$2:$N$8,MAX(1,$MQ127),MAX(1,$NT127))&amp;" · "&amp;CHOOSE(MAX(1,$NT127),"Leve","Média","Pesada","Leve · Livre","Média · Livre","Pesada · Livre")))</f>
        <v/>
      </c>
      <c r="QN127" s="155">
        <f>IF(OR($NB127=0,$NP127=0),"",IF($MQ127=0,"−1 dado","−"&amp;INDEX($I$2:$N$8,MAX(1,$MQ127),MAX(1,$NU127))&amp;" · "&amp;CHOOSE(MAX(1,$NU127),"Leve","Média","Pesada","Leve · Livre","Média · Livre","Pesada · Livre")))</f>
        <v/>
      </c>
      <c r="QO127" s="155">
        <f>IF(OR($NB127=0,$MZ127=""),"",IF($MQ127=0,"não devolve","+"&amp;IF($OG127=1,CEILING($MQ127/2,1),$MQ127)))</f>
        <v/>
      </c>
      <c r="QP127" s="155">
        <f>IF(OR($NB127=0,$NA127=""),"",IF($MQ127=0,"não devolve","+"&amp;IF($OH127=1,CEILING($MQ127/2,1),$MQ127)))</f>
        <v/>
      </c>
    </row>
    <row r="128">
      <c r="ML128" s="153" t="inlineStr">
        <is>
          <t>Ficha 10 · Especial 8</t>
        </is>
      </c>
      <c r="MM128" s="155" t="n">
        <v>10</v>
      </c>
      <c r="MN128" s="155" t="n">
        <v>1</v>
      </c>
      <c r="MO128" s="155" t="n">
        <v>28</v>
      </c>
      <c r="MP128" s="153" t="inlineStr">
        <is>
          <t>ESPECIAL 8</t>
        </is>
      </c>
      <c r="MQ128" s="155">
        <f>MAX(1,MIN(7,N('INVOCAÇÕES'!$AB$730)))</f>
        <v/>
      </c>
      <c r="MR128" s="155">
        <f>'INVOCAÇÕES'!$AC$730&amp;""</f>
        <v/>
      </c>
      <c r="MS128" s="155">
        <f>'INVOCAÇÕES'!$AB$735&amp;""</f>
        <v/>
      </c>
      <c r="MT128" s="155">
        <f>'INVOCAÇÕES'!$AB$736&amp;""</f>
        <v/>
      </c>
      <c r="MU128" s="155">
        <f>'INVOCAÇÕES'!$AD$736&amp;""</f>
        <v/>
      </c>
      <c r="MV128" s="155">
        <f>'INVOCAÇÕES'!$AC$739&amp;""</f>
        <v/>
      </c>
      <c r="MW128" s="155">
        <f>'INVOCAÇÕES'!$AC$740&amp;""</f>
        <v/>
      </c>
      <c r="MX128" s="155">
        <f>'INVOCAÇÕES'!$AC$741&amp;""</f>
        <v/>
      </c>
      <c r="MY128" s="155">
        <f>'INVOCAÇÕES'!$AC$742&amp;""</f>
        <v/>
      </c>
      <c r="MZ128" s="155">
        <f>'INVOCAÇÕES'!$AC$743&amp;""</f>
        <v/>
      </c>
      <c r="NA128" s="155">
        <f>'INVOCAÇÕES'!$AC$744&amp;""</f>
        <v/>
      </c>
      <c r="NB128" s="155">
        <f>IF($MR128&lt;&gt;"",1,0)</f>
        <v/>
      </c>
      <c r="NC128" s="155">
        <f>INDEX($FM$2:$FM$13,$MM128)</f>
        <v/>
      </c>
      <c r="ND128" s="155">
        <f>INDEX($FN$2:$FN$13,$MM128)</f>
        <v/>
      </c>
      <c r="NE128" s="155">
        <f>INDEX($FO$2:$FO$13,$MM128)</f>
        <v/>
      </c>
      <c r="NF128" s="155">
        <f>INDEX($FZ$2:$FZ$13,$MM128)</f>
        <v/>
      </c>
      <c r="NG128" s="155">
        <f>INDEX($GA$2:$GA$13,$MM128)</f>
        <v/>
      </c>
      <c r="NH128" s="155">
        <f>IFERROR(MATCH($MS128,$V$2:$V$11,0),0)</f>
        <v/>
      </c>
      <c r="NI128" s="155">
        <f>IFERROR(VLOOKUP($MV128,$AV$2:$BA$84,2,FALSE),"")</f>
        <v/>
      </c>
      <c r="NJ128" s="155">
        <f>IFERROR(VLOOKUP($MW128,$AV$2:$BA$84,2,FALSE),"")</f>
        <v/>
      </c>
      <c r="NK128" s="155">
        <f>IFERROR(VLOOKUP($MX128,$AV$2:$BA$84,2,FALSE),"")</f>
        <v/>
      </c>
      <c r="NL128" s="155">
        <f>IFERROR(VLOOKUP($MY128,$AV$2:$BA$84,2,FALSE),"")</f>
        <v/>
      </c>
      <c r="NM128" s="155">
        <f>IFERROR(VLOOKUP($MV128,$AV$2:$BA$84,3,FALSE),0)</f>
        <v/>
      </c>
      <c r="NN128" s="155">
        <f>IFERROR(VLOOKUP($MW128,$AV$2:$BA$84,3,FALSE),0)</f>
        <v/>
      </c>
      <c r="NO128" s="155">
        <f>IFERROR(VLOOKUP($MX128,$AV$2:$BA$84,3,FALSE),0)</f>
        <v/>
      </c>
      <c r="NP128" s="155">
        <f>IFERROR(VLOOKUP($MY128,$AV$2:$BA$84,3,FALSE),0)</f>
        <v/>
      </c>
      <c r="NQ128" s="155">
        <f>IF($MQ128=0,0,IF($NH128=0,0,INDEX($X$2:$X$11,$NH128)))</f>
        <v/>
      </c>
      <c r="NR128" s="155">
        <f>IF(OR($NM128=0,$MQ128=0),0,$NM128+3*IF(AND($NI128&lt;&gt;"",OR($NI128=INDEX($EJ$2:$EJ$13,$MM128),$NI128=INDEX($EK$2:$EK$13,$MM128))),1,0))</f>
        <v/>
      </c>
      <c r="NS128" s="155">
        <f>IF(OR($NN128=0,$MQ128=0),0,$NN128+3*IF(AND($NJ128&lt;&gt;"",OR($NJ128=INDEX($EJ$2:$EJ$13,$MM128),$NJ128=INDEX($EK$2:$EK$13,$MM128))),1,0))</f>
        <v/>
      </c>
      <c r="NT128" s="155">
        <f>IF(OR($NO128=0,$MQ128=0),0,$NO128+3*IF(AND($NK128&lt;&gt;"",OR($NK128=INDEX($EJ$2:$EJ$13,$MM128),$NK128=INDEX($EK$2:$EK$13,$MM128))),1,0))</f>
        <v/>
      </c>
      <c r="NU128" s="155">
        <f>IF(OR($NP128=0,$MQ128=0),0,$NP128+3*IF(AND($NL128&lt;&gt;"",OR($NL128=INDEX($EJ$2:$EJ$13,$MM128),$NL128=INDEX($EK$2:$EK$13,$MM128))),1,0))</f>
        <v/>
      </c>
      <c r="NV128" s="155">
        <f>IF($NH128=0,0,IF(INDEX($W$2:$W$11,$NH128)="",0,IF(COUNTIF(INDEX($EJ$2:$EN$13,$MM128,0),INDEX($W$2:$W$11,$NH128))=0,1,0)))</f>
        <v/>
      </c>
      <c r="NW128" s="155">
        <f>IF(OR($NM128=0,$NI128=""),0,IF(COUNTIF(INDEX($EJ$2:$EN$13,$MM128,0),$NI128)=0,1,0))</f>
        <v/>
      </c>
      <c r="NX128" s="155">
        <f>IF(OR($NN128=0,$NJ128=""),0,IF(COUNTIF(INDEX($EJ$2:$EN$13,$MM128,0),$NJ128)=0,1,0))</f>
        <v/>
      </c>
      <c r="NY128" s="155">
        <f>IF(OR($NO128=0,$NK128=""),0,IF(COUNTIF(INDEX($EJ$2:$EN$13,$MM128,0),$NK128)=0,1,0))</f>
        <v/>
      </c>
      <c r="NZ128" s="155">
        <f>IF(OR($NP128=0,$NL128=""),0,IF(COUNTIF(INDEX($EJ$2:$EN$13,$MM128,0),$NL128)=0,1,0))</f>
        <v/>
      </c>
      <c r="OA128" s="155">
        <f>IFERROR(VLOOKUP($MV128,$AV$2:$BA$84,4,FALSE),0)+IFERROR(VLOOKUP($MW128,$AV$2:$BA$84,4,FALSE),0)+IFERROR(VLOOKUP($MX128,$AV$2:$BA$84,4,FALSE),0)+IFERROR(VLOOKUP($MY128,$AV$2:$BA$84,4,FALSE),0)</f>
        <v/>
      </c>
      <c r="OB128" s="155">
        <f>IFERROR(VLOOKUP($MV128,$AV$2:$BA$84,6,FALSE),0)+IFERROR(VLOOKUP($MW128,$AV$2:$BA$84,6,FALSE),0)+IFERROR(VLOOKUP($MX128,$AV$2:$BA$84,6,FALSE),0)+IFERROR(VLOOKUP($MY128,$AV$2:$BA$84,6,FALSE),0)</f>
        <v/>
      </c>
      <c r="OC128" s="155">
        <f>TEXTJOIN(", ",TRUE,IF(IFERROR(VLOOKUP($MV128,$AV$2:$BA$84,5,FALSE),0)=1,$MV128,""),IF(IFERROR(VLOOKUP($MW128,$AV$2:$BA$84,5,FALSE),0)=1,$MW128,""),IF(IFERROR(VLOOKUP($MX128,$AV$2:$BA$84,5,FALSE),0)=1,$MX128,""),IF(IFERROR(VLOOKUP($MY128,$AV$2:$BA$84,5,FALSE),0)=1,$MY128,""))</f>
        <v/>
      </c>
      <c r="OD128" s="155">
        <f>IF($NH128=0,0,INDEX($Y$2:$Y$11,$NH128))</f>
        <v/>
      </c>
      <c r="OE128" s="155">
        <f>IF($NH128=0,0,INDEX($Z$2:$Z$11,$NH128))</f>
        <v/>
      </c>
      <c r="OF128" s="155">
        <f>IF($NH128=0,0,INDEX($AB$2:$AB$11,$NH128))</f>
        <v/>
      </c>
      <c r="OG128" s="155">
        <f>IFERROR(VLOOKUP($MZ128,$BC$2:$BG$24,3,FALSE),0)</f>
        <v/>
      </c>
      <c r="OH128" s="155">
        <f>IFERROR(VLOOKUP($NA128,$BC$2:$BG$24,3,FALSE),0)</f>
        <v/>
      </c>
      <c r="OI128" s="155">
        <f>IFERROR(VLOOKUP($MZ128,$BC$2:$BG$24,2,FALSE),"")</f>
        <v/>
      </c>
      <c r="OJ128" s="155">
        <f>IFERROR(VLOOKUP($NA128,$BC$2:$BG$24,2,FALSE),"")</f>
        <v/>
      </c>
      <c r="OK128" s="155">
        <f>COUNTIF($NQ128:$NU128,1)</f>
        <v/>
      </c>
      <c r="OL128" s="155">
        <f>COUNTIF($NQ128:$NU128,2)</f>
        <v/>
      </c>
      <c r="OM128" s="155">
        <f>COUNTIF($NQ128:$NU128,3)</f>
        <v/>
      </c>
      <c r="ON128" s="155">
        <f>COUNTIF($NQ128:$NU128,4)</f>
        <v/>
      </c>
      <c r="OO128" s="155">
        <f>COUNTIF($NQ128:$NU128,5)</f>
        <v/>
      </c>
      <c r="OP128" s="155">
        <f>COUNTIF($NQ128:$NU128,6)</f>
        <v/>
      </c>
      <c r="OQ128" s="155">
        <f>COUNTIF($OG128:$OH128,1)</f>
        <v/>
      </c>
      <c r="OR128" s="155">
        <f>COUNTIF($OG128:$OH128,2)+$OD128</f>
        <v/>
      </c>
      <c r="OS128" s="155">
        <f>COUNTIF($MV128:$MY128,"?*")</f>
        <v/>
      </c>
      <c r="OT128" s="155">
        <f>COUNTIF($MZ128:$NA128,"?*")+$OD128</f>
        <v/>
      </c>
      <c r="OU128" s="155">
        <f>IF($MQ128=0,0,SUMPRODUCT($OK128:$OP128,INDEX($I$2:$N$8,MAX(1,$MQ128),0)))</f>
        <v/>
      </c>
      <c r="OV128" s="155">
        <f>IF($MQ128=0,0,$OQ128*CEILING($MQ128/2,1)+$OR128*$MQ128)</f>
        <v/>
      </c>
      <c r="OW128" s="155">
        <f>MIN(2*$MQ128,$OV128)</f>
        <v/>
      </c>
      <c r="OX128" s="155">
        <f>MIN($OW128,$OU128)</f>
        <v/>
      </c>
      <c r="OY128" s="155">
        <f>$OW128-$OX128</f>
        <v/>
      </c>
      <c r="OZ128" s="155">
        <f>IF($MQ128=0,0,INDEX($P$2:$P$8,MAX(1,$MQ128)))</f>
        <v/>
      </c>
      <c r="PA128" s="155">
        <f>$OZ128-$OU128+$OX128</f>
        <v/>
      </c>
      <c r="PB128" s="155">
        <f>IF($MQ128=0,MAX(0,$NE128-IF($OS128&gt;0,1,0)),MAX(0,$PA128))</f>
        <v/>
      </c>
      <c r="PC128" s="155">
        <f>IF($MQ128=0,0,(IF(COUNTIF($MV128:$MY128,"Salto")&gt;0,1,0)+IF(COUNTIF($MV128:$MY128,"Queima")&gt;0,1,0)+IF(COUNTIF($MV128:$MY128,"Estilhaço")&gt;0,1,0))*FLOOR($PB128/2,1))</f>
        <v/>
      </c>
      <c r="PD128" s="155">
        <f>MAX(0,2-SUMPRODUCT($OK128:$OP128,$I$2:$N$2)+MIN(2,$OQ128*1+$OR128*1,SUMPRODUCT($OK128:$OP128,$I$2:$N$2)))</f>
        <v/>
      </c>
      <c r="PE128" s="155">
        <f>MAX(0,4-SUMPRODUCT($OK128:$OP128,$I$3:$N$3)+MIN(4,$OQ128*1+$OR128*2,SUMPRODUCT($OK128:$OP128,$I$3:$N$3)))</f>
        <v/>
      </c>
      <c r="PF128" s="155">
        <f>MAX(0,6-SUMPRODUCT($OK128:$OP128,$I$4:$N$4)+MIN(6,$OQ128*2+$OR128*3,SUMPRODUCT($OK128:$OP128,$I$4:$N$4)))</f>
        <v/>
      </c>
      <c r="PG128" s="155">
        <f>MAX(0,9-SUMPRODUCT($OK128:$OP128,$I$5:$N$5)+MIN(8,$OQ128*2+$OR128*4,SUMPRODUCT($OK128:$OP128,$I$5:$N$5)))</f>
        <v/>
      </c>
      <c r="PH128" s="155">
        <f>MAX(0,11-SUMPRODUCT($OK128:$OP128,$I$6:$N$6)+MIN(10,$OQ128*3+$OR128*5,SUMPRODUCT($OK128:$OP128,$I$6:$N$6)))</f>
        <v/>
      </c>
      <c r="PI128" s="155">
        <f>MAX(0,13-SUMPRODUCT($OK128:$OP128,$I$7:$N$7)+MIN(12,$OQ128*3+$OR128*6,SUMPRODUCT($OK128:$OP128,$I$7:$N$7)))</f>
        <v/>
      </c>
      <c r="PJ128" s="155">
        <f>MAX(0,16-SUMPRODUCT($OK128:$OP128,$I$8:$N$8)+MIN(14,$OQ128*4+$OR128*7,SUMPRODUCT($OK128:$OP128,$I$8:$N$8)))</f>
        <v/>
      </c>
      <c r="PK128" s="155">
        <f>IF($OE128=2,3*$PD128&amp;" de vida temp.",IF($OE128=3,"sem dano",IF($PD128=0,IF($OE128=1,"sem cura","sem dano"),IF($OE128=1,"cura ","")&amp;$PD128&amp;"d8")))</f>
        <v/>
      </c>
      <c r="PL128" s="155">
        <f>IF($OE128=2,3*$PE128&amp;" de vida temp.",IF($OE128=3,"sem dano",IF($PE128=0,IF($OE128=1,"sem cura","sem dano"),IF($OE128=1,"cura ","")&amp;$PE128&amp;"d8")))</f>
        <v/>
      </c>
      <c r="PM128" s="155">
        <f>IF($OE128=2,3*$PF128&amp;" de vida temp.",IF($OE128=3,"sem dano",IF($PF128=0,IF($OE128=1,"sem cura","sem dano"),IF($OE128=1,"cura ","")&amp;$PF128&amp;"d8")))</f>
        <v/>
      </c>
      <c r="PN128" s="155">
        <f>IF($OE128=2,3*$PG128&amp;" de vida temp.",IF($OE128=3,"sem dano",IF($PG128=0,IF($OE128=1,"sem cura","sem dano"),IF($OE128=1,"cura ","")&amp;$PG128&amp;"d8")))</f>
        <v/>
      </c>
      <c r="PO128" s="155">
        <f>IF($OE128=2,3*$PH128&amp;" de vida temp.",IF($OE128=3,"sem dano",IF($PH128=0,IF($OE128=1,"sem cura","sem dano"),IF($OE128=1,"cura ","")&amp;$PH128&amp;"d8")))</f>
        <v/>
      </c>
      <c r="PP128" s="155">
        <f>IF($OE128=2,3*$PI128&amp;" de vida temp.",IF($OE128=3,"sem dano",IF($PI128=0,IF($OE128=1,"sem cura","sem dano"),IF($OE128=1,"cura ","")&amp;$PI128&amp;"d8")))</f>
        <v/>
      </c>
      <c r="PQ128" s="155">
        <f>IF($OE128=2,3*$PJ128&amp;" de vida temp.",IF($OE128=3,"sem dano",IF($PJ128=0,IF($OE128=1,"sem cura","sem dano"),IF($OE128=1,"cura ","")&amp;$PJ128&amp;"d8")))</f>
        <v/>
      </c>
      <c r="PR128" s="155">
        <f>IF($NB128=0,"",TEXTJOIN(" · ",TRUE,IF($MO128&gt;$NC128,"Este lugar abre no nível "&amp;$MO128,""),IF($MQ128&gt;$ND128,"Classe "&amp;$MQ128&amp;": o nível "&amp;$NC128&amp;" libera até a "&amp;$ND128,""),IF($NV128=1,"A Forma "&amp;$MS128&amp;" pede "&amp;INDEX($W$2:$W$11,$NH128)&amp;" aberta",""),IF(AND($MQ128=0,$NH128&gt;0,IF($NH128=0,0,INDEX($AF$2:$AF$11,$NH128))=0),$MS128&amp;" não existe na Classe 0",""),IF($NW128=1,"Família Fechada: "&amp;$MV128,""),IF($NX128=1,"Família Fechada: "&amp;$MW128,""),IF($NY128=1,"Família Fechada: "&amp;$MX128,""),IF($NZ128=1,"Família Fechada: "&amp;$MY128,""),IF(AND($MQ128&gt;0,$OS128&gt;INDEX($O$2:$O$8,MAX(1,$MQ128))),$OS128&amp;" Melhorias: a Classe "&amp;$MQ128&amp;" aceita "&amp;INDEX($O$2:$O$8,MAX(1,$MQ128)),""),IF(AND($MQ128=0,$OS128&gt;1),"A básica aceita uma Melhoria",""),IF(AND($MQ128=0,COUNTIF($NM128:$NP128,"&gt;1")&gt;0),"A básica só aceita Melhoria Leve",""),IF(AND($MQ128&gt;0,$OT128&gt;2),$OT128&amp;" Restrições"&amp;IF($OD128=1,", contando a que a Forma "&amp;$MS128&amp;" já traz","")&amp;": o limite é 2",""),IF(AND($MQ128=0,COUNTIF($MZ128:$NA128,"?*")&gt;1),"A básica aceita uma Restrição Leve",""),IF(AND($MQ128=0,COUNTIF($OG128:$OH128,2)&gt;0),"A básica só aceita Restrição Leve",""),IF(AND($MQ128&gt;0,$PA128&lt;0),"Orçamento estourado: faltam "&amp;(-$PA128)&amp;IF($PA128&lt;-1," pontos"," ponto"),""),IF(IFERROR(VLOOKUP($MZ128,$BC$2:$BG$24,4,FALSE),0)+IFERROR(VLOOKUP($NA128,$BC$2:$BG$24,4,FALSE),0)&gt;1,$OI128&amp;" e "&amp;$OJ128&amp;" são as duas de frequência",""),IF(AND((COUNTIF($MV128:$MY128,"Rápido")+COUNTIF($OI128:$OJ128,"Rápido"))&gt;0,(COUNTIF($MV128:$MY128,"Atrasar")+COUNTIF($OI128:$OJ128,"Atrasar"))&gt;0),"Rápido não entra com Atrasar",""),IF(AND((COUNTIF($MV128:$MY128,"Reação")+COUNTIF($OI128:$OJ128,"Reação"))&gt;0,(COUNTIF($MV128:$MY128,"Rápido")+COUNTIF($OI128:$OJ128,"Rápido"))&gt;0),"Reação não entra com Rápido",""),IF(AND((COUNTIF($MV128:$MY128,"Reação")+COUNTIF($OI128:$OJ128,"Reação"))&gt;0,(COUNTIF($MV128:$MY128,"Armado")+COUNTIF($OI128:$OJ128,"Armado"))&gt;0),"Reação não entra com Armado",""),IF(AND((COUNTIF($MV128:$MY128,"Reação")+COUNTIF($OI128:$OJ128,"Reação"))&gt;0,(COUNTIF($MV128:$MY128,"Atrasar")+COUNTIF($OI128:$OJ128,"Atrasar"))&gt;0),"Reação não entra com Atrasar",""),IF(AND((COUNTIF($MV128:$MY128,"Reação")+COUNTIF($OI128:$OJ128,"Reação"))&gt;0,(COUNTIF($MV128:$MY128,"Parado")+COUNTIF($OI128:$OJ128,"Parado"))&gt;0),"Reação não entra com Parado",""),IF(AND((COUNTIF($MV128:$MY128,"Atrasar")+COUNTIF($OI128:$OJ128,"Atrasar"))&gt;0,(COUNTIF($MV128:$MY128,"Parado")+COUNTIF($OI128:$OJ128,"Parado"))&gt;0),"Atrasar não entra com Parado",""),IF(AND((COUNTIF($MV128:$MY128,"Armado")+COUNTIF($OI128:$OJ128,"Armado"))&gt;0,(COUNTIF($MV128:$MY128,"Carregar")+COUNTIF($OI128:$OJ128,"Carregar"))&gt;0),"Armado não entra com Carregar",""),IF(AND(COUNTIF($OI128:$OJ128,"Corpo a Corpo")&gt;0,$OD128=0,OR($MS128="Cone",$MS128="Linha")),"Corpo a Corpo não entra em "&amp;$MS128,""),IF(AND(COUNTIF($OI128:$OJ128,"Corpo a Corpo")&gt;0,$OD128=1),"A Forma "&amp;$MS128&amp;" já traz o Corpo a Corpo",""),IF(AND(COUNTIF($OI128:$OJ128,"Tudo ou Nada")&gt;0,$OF128=0),"Tudo ou Nada só entra em habilidade de Teste de Resistência",""),IF(AND(COUNTIF($MV128:$MY128,"Inescapável")&gt;0,OR($OS128&gt;1,$OT128&gt;0)),"Inescapável não aceita outra peça",""),IF(AND($MQ128&gt;0,$PB128*IF(COUNTIF($MV128:$MY128,"Remate")&gt;0,1.25,1)+$PC128&gt;4*$MQ128),($PB128*IF(COUNTIF($MV128:$MY128,"Remate")&gt;0,1.25,1)+$PC128)&amp;" dados somando repetições"&amp;IF(COUNTIF($MV128:$MY128,"Remate")&gt;0," e o Remate","")&amp;": o teto da Classe "&amp;$MQ128&amp;" é "&amp;4*$MQ128,"")))</f>
        <v/>
      </c>
      <c r="PS128" s="155">
        <f>IF($PR128="",0,(LEN($PR128)-LEN(SUBSTITUTE($PR128," · ","")))/3+1)</f>
        <v/>
      </c>
      <c r="PT128" s="155">
        <f>IF($NB128=0,"",TEXTJOIN(" · ",TRUE,IF($OV128&gt;2*$MQ128,"A devolução parou no teto de "&amp;2*$MQ128,""),IF($OY128&gt;0,"Devolução perdida: "&amp;$OY128&amp;IF($OY128&gt;1," pontos"," ponto")&amp;" sem peça para pagar",""),IF(AND($OA128&gt;0,AND($MQ128&gt;0,$OE128=0),$PB128=0),"Controle sem dano: uma rodada a mais e CD +2",""),IF(AND($OA128&gt;0,AND($MQ128&gt;0,$OE128=0),$PB128&gt;0,$PB128&lt;=$MQ128),"Controle com saldo até a Classe: uma rodada a mais",""),IF(AND($MQ128&gt;0,$OC128&lt;&gt;""),"Efeito de "&amp;$OC128&amp;" pela Classe "&amp;MAX(1,$MQ128-1),"")))</f>
        <v/>
      </c>
      <c r="PU128" s="155">
        <f>IF($PT128="",0,(LEN($PT128)-LEN(SUBSTITUTE($PT128," · ","")))/3+1)</f>
        <v/>
      </c>
      <c r="PV128" s="155">
        <f>IF($NB128=0,IF($OS128+COUNTIF($MZ128:$NA128,"?*")&gt;0,"Dê um nome",""),IF($PS128&gt;0,"⚠ "&amp;$PS128&amp;IF($PS128&gt;1," erros"," erro"),IF($PU128&gt;0,"! "&amp;$PU128&amp;IF($PU128&gt;1," avisos"," aviso"),"Na regra")))</f>
        <v/>
      </c>
      <c r="PW128" s="155">
        <f>IF($NB128=0,"",IF($PS128+$PU128=0,"Dentro das regras que a ficha confere",$PR128&amp;IF(AND($PS128&gt;0,$PU128&gt;0)," · ","")&amp;$PT128))</f>
        <v/>
      </c>
      <c r="PX128" s="155">
        <f>IF($MO128&gt;$NC128,$MP128&amp;" · ABRE NO NÍVEL "&amp;$MO128,$MP128)</f>
        <v/>
      </c>
      <c r="PY128" s="155">
        <f>IF($NB128=0,"",IF($MQ128=0,"Sem PE",3*$MQ128&amp;" PE"))</f>
        <v/>
      </c>
      <c r="PZ128" s="155">
        <f>IF($NB128=0,"",IF($MQ128=0,"A atuação básica dela",IF(COUNTIF($OI128:$OJ128,"Atrasar")&gt;0,"Sua Ação Completa",IF(COUNTIF($MV128:$MY128,"Rápido")&gt;0,"Sua Bônus",IF(COUNTIF($MV128:$MY128,"Reação")&gt;0,"Sua Reação","Sua Padrão")))&amp;" + a básica dela"&amp;IF(COUNTIF($MV128:$MY128,"Reação")&gt;0," e a coletiva","")&amp;IF(COUNTIF($OI128:$OJ128,"Carregar")&gt;0," · em dois turnos","")))</f>
        <v/>
      </c>
      <c r="QA128" s="155">
        <f>IF($MU128&lt;&gt;"",$MU128,IF($NH128=0,"",INDEX($AA$2:$AA$11,$NH128)))</f>
        <v/>
      </c>
      <c r="QB128" s="155">
        <f>IF(OR($NB128=0,$NH128=0),"",IF(COUNTIF($MV128:$MY128,"Inescapável")&gt;0,"Automático",IF($QA128="Ataque",IF($NF128="","Ataque","Ataque "&amp;IF(($NF128+2*IF(COUNTIF($MV128:$MY128,"Precisão")&gt;0,1,0))&gt;=0,"+","−")&amp;ABS(($NF128+2*IF(COUNTIF($MV128:$MY128,"Precisão")&gt;0,1,0))))&amp;IF($OB128&gt;0," · TR"&amp;IF($NG128="",""," CD "&amp;$NG128),""),IF(LEFT($QA128,2)="TR",$QA128&amp;IF($NG128="",""," · CD "&amp;$NG128)&amp;IF(COUNTIF($MV128:$MY128,"Certeiro")&gt;0," · metade",""),"Sem rolagem"))))</f>
        <v/>
      </c>
      <c r="QC128" s="155">
        <f>IF(OR($NB128=0,$NH128=0),"",IF($MQ128=0,IF(OR($OE128&gt;=1,$PB128=0),"Sem dano",$PB128&amp;"d6"&amp;IF($MT128="",""," "&amp;$MT128)),IF(OR($OE128&gt;=1,$PB128=0),UPPER(LEFT(INDEX($PK128:$PQ128,1,MAX(1,$MQ128)),1))&amp;MID(INDEX($PK128:$PQ128,1,MAX(1,$MQ128)),2,99),UPPER(LEFT(INDEX($PK128:$PQ128,1,MAX(1,$MQ128)),1))&amp;MID(INDEX($PK128:$PQ128,1,MAX(1,$MQ128)),2,99)&amp;IF($MT128="",""," "&amp;$MT128)&amp;IF($PC128&gt;0," · +"&amp;$PC128&amp;"d8",""))))</f>
        <v/>
      </c>
      <c r="QD128" s="155">
        <f>COUNTIF($MV128:$MY128,"Longe")+3*COUNTIF($MV128:$MY128,"Muito Longe")</f>
        <v/>
      </c>
      <c r="QE128" s="155">
        <f>COUNTIF($MV128:$MY128,"Maior")+3*COUNTIF($MV128:$MY128,"Muito Maior")</f>
        <v/>
      </c>
      <c r="QF128" s="155">
        <f>IF($NH128=0,0,CHOOSE(1+INDEX($AC$2:$AC$11,$NH128),0,$QD128,$QE128,$QD128+$QE128))</f>
        <v/>
      </c>
      <c r="QG128" s="155">
        <f>IF($NH128=0,0,CHOOSE(1+INDEX($AD$2:$AD$11,$NH128),0,$QD128,$QE128,$QD128+$QE128))</f>
        <v/>
      </c>
      <c r="QH128" s="155">
        <f>IF(OR($NB128=0,$NH128=0),"",INDEX($AI$2:$AN$41,($NH128-1)*4+IF($MQ128=0,1,IF($MQ128&lt;=5,2,IF($MQ128=6,3,4))),1+MIN(5,$QF128))&amp;INDEX($AO$2:$AT$41,($NH128-1)*4+IF($MQ128=0,1,IF($MQ128&lt;=5,2,IF($MQ128=6,3,4))),1+MIN(5,$QG128))&amp;IF(INDEX($AE$2:$AE$11,$NH128)=1,IF(COUNTIF($MV128:$MY128,"Mais Um")&gt;0," · +"&amp;COUNTIF($MV128:$MY128,"Mais Um")&amp;IF(COUNTIF($MV128:$MY128,"Mais Um")&gt;1," alvos"," alvo"),"")&amp;IF(COUNTIF($MV128:$MY128,"Rajada")&gt;0,IF($MQ128=0," · 1 tiro"," · "&amp;(MAX(1,$MQ128-1)+1)&amp;" tiros"),""),""))</f>
        <v/>
      </c>
      <c r="QI128" s="155">
        <f>IF($NB128=0,"",IF($MQ128=0,$NE128&amp;"d6"&amp;IF($OS128&gt;0," − 1 = "&amp;$PB128&amp;"d6"," da básica do nível "&amp;$NC128),$OZ128&amp;" − "&amp;$OU128&amp;" + "&amp;$OX128&amp;" = "&amp;$PA128&amp;" · teto "&amp;4*$MQ128&amp;"d8"&amp;IF($OD128=1," · a Forma devolve "&amp;$MQ128,"")&amp;IF($OY128&gt;0," · perde "&amp;$OY128,"")))</f>
        <v/>
      </c>
      <c r="QJ128" s="155">
        <f>IF($NB128=0,"",IF($MQ128=0,"A básica não amplia: os dados dela sobem com o nível",IF($MQ128&gt;=$ND128,"Já está na maior Classe que o nível liberou",TEXTJOIN(" · ",TRUE,IF(AND(2&gt;$MQ128,2&lt;=$ND128),"2 → "&amp;$PL128&amp;", 6 PE",""),IF(AND(3&gt;$MQ128,3&lt;=$ND128),"3 → "&amp;$PM128&amp;", 9 PE",""),IF(AND(4&gt;$MQ128,4&lt;=$ND128),"4 → "&amp;$PN128&amp;", 12 PE",""),IF(AND(5&gt;$MQ128,5&lt;=$ND128),"5 → "&amp;$PO128&amp;", 15 PE",""),IF(AND(6&gt;$MQ128,6&lt;=$ND128),"6 → "&amp;$PP128&amp;", 18 PE",""),IF(AND(7&gt;$MQ128,7&lt;=$ND128),"7 → "&amp;$PQ128&amp;", 21 PE","")))))</f>
        <v/>
      </c>
      <c r="QK128" s="155">
        <f>IF(OR($NB128=0,$NM128=0),"",IF($MQ128=0,"−1 dado","−"&amp;INDEX($I$2:$N$8,MAX(1,$MQ128),MAX(1,$NR128))&amp;" · "&amp;CHOOSE(MAX(1,$NR128),"Leve","Média","Pesada","Leve · Livre","Média · Livre","Pesada · Livre")))</f>
        <v/>
      </c>
      <c r="QL128" s="155">
        <f>IF(OR($NB128=0,$NN128=0),"",IF($MQ128=0,"−1 dado","−"&amp;INDEX($I$2:$N$8,MAX(1,$MQ128),MAX(1,$NS128))&amp;" · "&amp;CHOOSE(MAX(1,$NS128),"Leve","Média","Pesada","Leve · Livre","Média · Livre","Pesada · Livre")))</f>
        <v/>
      </c>
      <c r="QM128" s="155">
        <f>IF(OR($NB128=0,$NO128=0),"",IF($MQ128=0,"−1 dado","−"&amp;INDEX($I$2:$N$8,MAX(1,$MQ128),MAX(1,$NT128))&amp;" · "&amp;CHOOSE(MAX(1,$NT128),"Leve","Média","Pesada","Leve · Livre","Média · Livre","Pesada · Livre")))</f>
        <v/>
      </c>
      <c r="QN128" s="155">
        <f>IF(OR($NB128=0,$NP128=0),"",IF($MQ128=0,"−1 dado","−"&amp;INDEX($I$2:$N$8,MAX(1,$MQ128),MAX(1,$NU128))&amp;" · "&amp;CHOOSE(MAX(1,$NU128),"Leve","Média","Pesada","Leve · Livre","Média · Livre","Pesada · Livre")))</f>
        <v/>
      </c>
      <c r="QO128" s="155">
        <f>IF(OR($NB128=0,$MZ128=""),"",IF($MQ128=0,"não devolve","+"&amp;IF($OG128=1,CEILING($MQ128/2,1),$MQ128)))</f>
        <v/>
      </c>
      <c r="QP128" s="155">
        <f>IF(OR($NB128=0,$NA128=""),"",IF($MQ128=0,"não devolve","+"&amp;IF($OH128=1,CEILING($MQ128/2,1),$MQ128)))</f>
        <v/>
      </c>
    </row>
    <row r="129">
      <c r="ML129" s="153" t="inlineStr">
        <is>
          <t>Ficha 10 · Escolha da trilha 1</t>
        </is>
      </c>
      <c r="MM129" s="155" t="n">
        <v>10</v>
      </c>
      <c r="MN129" s="155" t="n">
        <v>2</v>
      </c>
      <c r="MO129" s="155" t="n">
        <v>0</v>
      </c>
      <c r="MP129" s="153" t="inlineStr">
        <is>
          <t>ESCOLHA DA TRILHA 1</t>
        </is>
      </c>
      <c r="MQ129" s="155">
        <f>MAX(0,MIN(7,N('INVOCAÇÕES'!$AB$754)))</f>
        <v/>
      </c>
      <c r="MR129" s="155">
        <f>'INVOCAÇÕES'!$AC$754&amp;""</f>
        <v/>
      </c>
      <c r="MS129" s="155">
        <f>'INVOCAÇÕES'!$AB$759&amp;""</f>
        <v/>
      </c>
      <c r="MT129" s="155">
        <f>'INVOCAÇÕES'!$AB$760&amp;""</f>
        <v/>
      </c>
      <c r="MU129" s="155">
        <f>'INVOCAÇÕES'!$AD$760&amp;""</f>
        <v/>
      </c>
      <c r="MV129" s="155">
        <f>'INVOCAÇÕES'!$AC$763&amp;""</f>
        <v/>
      </c>
      <c r="MW129" s="155">
        <f>'INVOCAÇÕES'!$AC$764&amp;""</f>
        <v/>
      </c>
      <c r="MX129" s="155">
        <f>'INVOCAÇÕES'!$AC$765&amp;""</f>
        <v/>
      </c>
      <c r="MY129" s="155">
        <f>'INVOCAÇÕES'!$AC$766&amp;""</f>
        <v/>
      </c>
      <c r="MZ129" s="155">
        <f>'INVOCAÇÕES'!$AC$767&amp;""</f>
        <v/>
      </c>
      <c r="NA129" s="155">
        <f>'INVOCAÇÕES'!$AC$768&amp;""</f>
        <v/>
      </c>
      <c r="NB129" s="155">
        <f>IF($MR129&lt;&gt;"",1,0)</f>
        <v/>
      </c>
      <c r="NC129" s="155">
        <f>INDEX($FM$2:$FM$13,$MM129)</f>
        <v/>
      </c>
      <c r="ND129" s="155">
        <f>INDEX($FN$2:$FN$13,$MM129)</f>
        <v/>
      </c>
      <c r="NE129" s="155">
        <f>INDEX($FO$2:$FO$13,$MM129)</f>
        <v/>
      </c>
      <c r="NF129" s="155">
        <f>INDEX($FZ$2:$FZ$13,$MM129)</f>
        <v/>
      </c>
      <c r="NG129" s="155">
        <f>INDEX($GA$2:$GA$13,$MM129)</f>
        <v/>
      </c>
      <c r="NH129" s="155">
        <f>IFERROR(MATCH($MS129,$V$2:$V$11,0),0)</f>
        <v/>
      </c>
      <c r="NI129" s="155">
        <f>IFERROR(VLOOKUP($MV129,$AV$2:$BA$84,2,FALSE),"")</f>
        <v/>
      </c>
      <c r="NJ129" s="155">
        <f>IFERROR(VLOOKUP($MW129,$AV$2:$BA$84,2,FALSE),"")</f>
        <v/>
      </c>
      <c r="NK129" s="155">
        <f>IFERROR(VLOOKUP($MX129,$AV$2:$BA$84,2,FALSE),"")</f>
        <v/>
      </c>
      <c r="NL129" s="155">
        <f>IFERROR(VLOOKUP($MY129,$AV$2:$BA$84,2,FALSE),"")</f>
        <v/>
      </c>
      <c r="NM129" s="155">
        <f>IFERROR(VLOOKUP($MV129,$AV$2:$BA$84,3,FALSE),0)</f>
        <v/>
      </c>
      <c r="NN129" s="155">
        <f>IFERROR(VLOOKUP($MW129,$AV$2:$BA$84,3,FALSE),0)</f>
        <v/>
      </c>
      <c r="NO129" s="155">
        <f>IFERROR(VLOOKUP($MX129,$AV$2:$BA$84,3,FALSE),0)</f>
        <v/>
      </c>
      <c r="NP129" s="155">
        <f>IFERROR(VLOOKUP($MY129,$AV$2:$BA$84,3,FALSE),0)</f>
        <v/>
      </c>
      <c r="NQ129" s="155">
        <f>IF($MQ129=0,0,IF($NH129=0,0,INDEX($X$2:$X$11,$NH129)))</f>
        <v/>
      </c>
      <c r="NR129" s="155">
        <f>IF(OR($NM129=0,$MQ129=0),0,$NM129+3*IF(AND($NI129&lt;&gt;"",OR($NI129=INDEX($EJ$2:$EJ$13,$MM129),$NI129=INDEX($EK$2:$EK$13,$MM129))),1,0))</f>
        <v/>
      </c>
      <c r="NS129" s="155">
        <f>IF(OR($NN129=0,$MQ129=0),0,$NN129+3*IF(AND($NJ129&lt;&gt;"",OR($NJ129=INDEX($EJ$2:$EJ$13,$MM129),$NJ129=INDEX($EK$2:$EK$13,$MM129))),1,0))</f>
        <v/>
      </c>
      <c r="NT129" s="155">
        <f>IF(OR($NO129=0,$MQ129=0),0,$NO129+3*IF(AND($NK129&lt;&gt;"",OR($NK129=INDEX($EJ$2:$EJ$13,$MM129),$NK129=INDEX($EK$2:$EK$13,$MM129))),1,0))</f>
        <v/>
      </c>
      <c r="NU129" s="155">
        <f>IF(OR($NP129=0,$MQ129=0),0,$NP129+3*IF(AND($NL129&lt;&gt;"",OR($NL129=INDEX($EJ$2:$EJ$13,$MM129),$NL129=INDEX($EK$2:$EK$13,$MM129))),1,0))</f>
        <v/>
      </c>
      <c r="NV129" s="155">
        <f>IF($NH129=0,0,IF(INDEX($W$2:$W$11,$NH129)="",0,IF(COUNTIF(INDEX($EJ$2:$EN$13,$MM129,0),INDEX($W$2:$W$11,$NH129))=0,1,0)))</f>
        <v/>
      </c>
      <c r="NW129" s="155">
        <f>IF(OR($NM129=0,$NI129=""),0,IF(COUNTIF(INDEX($EJ$2:$EN$13,$MM129,0),$NI129)=0,1,0))</f>
        <v/>
      </c>
      <c r="NX129" s="155">
        <f>IF(OR($NN129=0,$NJ129=""),0,IF(COUNTIF(INDEX($EJ$2:$EN$13,$MM129,0),$NJ129)=0,1,0))</f>
        <v/>
      </c>
      <c r="NY129" s="155">
        <f>IF(OR($NO129=0,$NK129=""),0,IF(COUNTIF(INDEX($EJ$2:$EN$13,$MM129,0),$NK129)=0,1,0))</f>
        <v/>
      </c>
      <c r="NZ129" s="155">
        <f>IF(OR($NP129=0,$NL129=""),0,IF(COUNTIF(INDEX($EJ$2:$EN$13,$MM129,0),$NL129)=0,1,0))</f>
        <v/>
      </c>
      <c r="OA129" s="155">
        <f>IFERROR(VLOOKUP($MV129,$AV$2:$BA$84,4,FALSE),0)+IFERROR(VLOOKUP($MW129,$AV$2:$BA$84,4,FALSE),0)+IFERROR(VLOOKUP($MX129,$AV$2:$BA$84,4,FALSE),0)+IFERROR(VLOOKUP($MY129,$AV$2:$BA$84,4,FALSE),0)</f>
        <v/>
      </c>
      <c r="OB129" s="155">
        <f>IFERROR(VLOOKUP($MV129,$AV$2:$BA$84,6,FALSE),0)+IFERROR(VLOOKUP($MW129,$AV$2:$BA$84,6,FALSE),0)+IFERROR(VLOOKUP($MX129,$AV$2:$BA$84,6,FALSE),0)+IFERROR(VLOOKUP($MY129,$AV$2:$BA$84,6,FALSE),0)</f>
        <v/>
      </c>
      <c r="OC129" s="155">
        <f>TEXTJOIN(", ",TRUE,IF(IFERROR(VLOOKUP($MV129,$AV$2:$BA$84,5,FALSE),0)=1,$MV129,""),IF(IFERROR(VLOOKUP($MW129,$AV$2:$BA$84,5,FALSE),0)=1,$MW129,""),IF(IFERROR(VLOOKUP($MX129,$AV$2:$BA$84,5,FALSE),0)=1,$MX129,""),IF(IFERROR(VLOOKUP($MY129,$AV$2:$BA$84,5,FALSE),0)=1,$MY129,""))</f>
        <v/>
      </c>
      <c r="OD129" s="155">
        <f>IF($NH129=0,0,INDEX($Y$2:$Y$11,$NH129))</f>
        <v/>
      </c>
      <c r="OE129" s="155">
        <f>IF($NH129=0,0,INDEX($Z$2:$Z$11,$NH129))</f>
        <v/>
      </c>
      <c r="OF129" s="155">
        <f>IF($NH129=0,0,INDEX($AB$2:$AB$11,$NH129))</f>
        <v/>
      </c>
      <c r="OG129" s="155">
        <f>IFERROR(VLOOKUP($MZ129,$BC$2:$BG$24,3,FALSE),0)</f>
        <v/>
      </c>
      <c r="OH129" s="155">
        <f>IFERROR(VLOOKUP($NA129,$BC$2:$BG$24,3,FALSE),0)</f>
        <v/>
      </c>
      <c r="OI129" s="155">
        <f>IFERROR(VLOOKUP($MZ129,$BC$2:$BG$24,2,FALSE),"")</f>
        <v/>
      </c>
      <c r="OJ129" s="155">
        <f>IFERROR(VLOOKUP($NA129,$BC$2:$BG$24,2,FALSE),"")</f>
        <v/>
      </c>
      <c r="OK129" s="155">
        <f>COUNTIF($NQ129:$NU129,1)</f>
        <v/>
      </c>
      <c r="OL129" s="155">
        <f>COUNTIF($NQ129:$NU129,2)</f>
        <v/>
      </c>
      <c r="OM129" s="155">
        <f>COUNTIF($NQ129:$NU129,3)</f>
        <v/>
      </c>
      <c r="ON129" s="155">
        <f>COUNTIF($NQ129:$NU129,4)</f>
        <v/>
      </c>
      <c r="OO129" s="155">
        <f>COUNTIF($NQ129:$NU129,5)</f>
        <v/>
      </c>
      <c r="OP129" s="155">
        <f>COUNTIF($NQ129:$NU129,6)</f>
        <v/>
      </c>
      <c r="OQ129" s="155">
        <f>COUNTIF($OG129:$OH129,1)</f>
        <v/>
      </c>
      <c r="OR129" s="155">
        <f>COUNTIF($OG129:$OH129,2)+$OD129</f>
        <v/>
      </c>
      <c r="OS129" s="155">
        <f>COUNTIF($MV129:$MY129,"?*")</f>
        <v/>
      </c>
      <c r="OT129" s="155">
        <f>COUNTIF($MZ129:$NA129,"?*")+$OD129</f>
        <v/>
      </c>
      <c r="OU129" s="155">
        <f>IF($MQ129=0,0,SUMPRODUCT($OK129:$OP129,INDEX($I$2:$N$8,MAX(1,$MQ129),0)))</f>
        <v/>
      </c>
      <c r="OV129" s="155">
        <f>IF($MQ129=0,0,$OQ129*CEILING($MQ129/2,1)+$OR129*$MQ129)</f>
        <v/>
      </c>
      <c r="OW129" s="155">
        <f>MIN(2*$MQ129,$OV129)</f>
        <v/>
      </c>
      <c r="OX129" s="155">
        <f>MIN($OW129,$OU129)</f>
        <v/>
      </c>
      <c r="OY129" s="155">
        <f>$OW129-$OX129</f>
        <v/>
      </c>
      <c r="OZ129" s="155">
        <f>IF($MQ129=0,0,INDEX($P$2:$P$8,MAX(1,$MQ129)))</f>
        <v/>
      </c>
      <c r="PA129" s="155">
        <f>$OZ129-$OU129+$OX129</f>
        <v/>
      </c>
      <c r="PB129" s="155">
        <f>IF($MQ129=0,MAX(0,$NE129-IF($OS129&gt;0,1,0)),MAX(0,$PA129))</f>
        <v/>
      </c>
      <c r="PC129" s="155">
        <f>IF($MQ129=0,0,(IF(COUNTIF($MV129:$MY129,"Salto")&gt;0,1,0)+IF(COUNTIF($MV129:$MY129,"Queima")&gt;0,1,0)+IF(COUNTIF($MV129:$MY129,"Estilhaço")&gt;0,1,0))*FLOOR($PB129/2,1))</f>
        <v/>
      </c>
      <c r="PD129" s="155">
        <f>MAX(0,2-SUMPRODUCT($OK129:$OP129,$I$2:$N$2)+MIN(2,$OQ129*1+$OR129*1,SUMPRODUCT($OK129:$OP129,$I$2:$N$2)))</f>
        <v/>
      </c>
      <c r="PE129" s="155">
        <f>MAX(0,4-SUMPRODUCT($OK129:$OP129,$I$3:$N$3)+MIN(4,$OQ129*1+$OR129*2,SUMPRODUCT($OK129:$OP129,$I$3:$N$3)))</f>
        <v/>
      </c>
      <c r="PF129" s="155">
        <f>MAX(0,6-SUMPRODUCT($OK129:$OP129,$I$4:$N$4)+MIN(6,$OQ129*2+$OR129*3,SUMPRODUCT($OK129:$OP129,$I$4:$N$4)))</f>
        <v/>
      </c>
      <c r="PG129" s="155">
        <f>MAX(0,9-SUMPRODUCT($OK129:$OP129,$I$5:$N$5)+MIN(8,$OQ129*2+$OR129*4,SUMPRODUCT($OK129:$OP129,$I$5:$N$5)))</f>
        <v/>
      </c>
      <c r="PH129" s="155">
        <f>MAX(0,11-SUMPRODUCT($OK129:$OP129,$I$6:$N$6)+MIN(10,$OQ129*3+$OR129*5,SUMPRODUCT($OK129:$OP129,$I$6:$N$6)))</f>
        <v/>
      </c>
      <c r="PI129" s="155">
        <f>MAX(0,13-SUMPRODUCT($OK129:$OP129,$I$7:$N$7)+MIN(12,$OQ129*3+$OR129*6,SUMPRODUCT($OK129:$OP129,$I$7:$N$7)))</f>
        <v/>
      </c>
      <c r="PJ129" s="155">
        <f>MAX(0,16-SUMPRODUCT($OK129:$OP129,$I$8:$N$8)+MIN(14,$OQ129*4+$OR129*7,SUMPRODUCT($OK129:$OP129,$I$8:$N$8)))</f>
        <v/>
      </c>
      <c r="PK129" s="155">
        <f>IF($OE129=2,3*$PD129&amp;" de vida temp.",IF($OE129=3,"sem dano",IF($PD129=0,IF($OE129=1,"sem cura","sem dano"),IF($OE129=1,"cura ","")&amp;$PD129&amp;"d8")))</f>
        <v/>
      </c>
      <c r="PL129" s="155">
        <f>IF($OE129=2,3*$PE129&amp;" de vida temp.",IF($OE129=3,"sem dano",IF($PE129=0,IF($OE129=1,"sem cura","sem dano"),IF($OE129=1,"cura ","")&amp;$PE129&amp;"d8")))</f>
        <v/>
      </c>
      <c r="PM129" s="155">
        <f>IF($OE129=2,3*$PF129&amp;" de vida temp.",IF($OE129=3,"sem dano",IF($PF129=0,IF($OE129=1,"sem cura","sem dano"),IF($OE129=1,"cura ","")&amp;$PF129&amp;"d8")))</f>
        <v/>
      </c>
      <c r="PN129" s="155">
        <f>IF($OE129=2,3*$PG129&amp;" de vida temp.",IF($OE129=3,"sem dano",IF($PG129=0,IF($OE129=1,"sem cura","sem dano"),IF($OE129=1,"cura ","")&amp;$PG129&amp;"d8")))</f>
        <v/>
      </c>
      <c r="PO129" s="155">
        <f>IF($OE129=2,3*$PH129&amp;" de vida temp.",IF($OE129=3,"sem dano",IF($PH129=0,IF($OE129=1,"sem cura","sem dano"),IF($OE129=1,"cura ","")&amp;$PH129&amp;"d8")))</f>
        <v/>
      </c>
      <c r="PP129" s="155">
        <f>IF($OE129=2,3*$PI129&amp;" de vida temp.",IF($OE129=3,"sem dano",IF($PI129=0,IF($OE129=1,"sem cura","sem dano"),IF($OE129=1,"cura ","")&amp;$PI129&amp;"d8")))</f>
        <v/>
      </c>
      <c r="PQ129" s="155">
        <f>IF($OE129=2,3*$PJ129&amp;" de vida temp.",IF($OE129=3,"sem dano",IF($PJ129=0,IF($OE129=1,"sem cura","sem dano"),IF($OE129=1,"cura ","")&amp;$PJ129&amp;"d8")))</f>
        <v/>
      </c>
      <c r="PR129" s="155">
        <f>IF($NB129=0,"",TEXTJOIN(" · ",TRUE,IF($MO129&gt;$NC129,"Este lugar abre no nível "&amp;$MO129,""),IF($MQ129&gt;$ND129,"Classe "&amp;$MQ129&amp;": o nível "&amp;$NC129&amp;" libera até a "&amp;$ND129,""),IF($NV129=1,"A Forma "&amp;$MS129&amp;" pede "&amp;INDEX($W$2:$W$11,$NH129)&amp;" aberta",""),IF(AND($MQ129=0,$NH129&gt;0,IF($NH129=0,0,INDEX($AF$2:$AF$11,$NH129))=0),$MS129&amp;" não existe na Classe 0",""),IF($NW129=1,"Família Fechada: "&amp;$MV129,""),IF($NX129=1,"Família Fechada: "&amp;$MW129,""),IF($NY129=1,"Família Fechada: "&amp;$MX129,""),IF($NZ129=1,"Família Fechada: "&amp;$MY129,""),IF(AND($MQ129&gt;0,$OS129&gt;INDEX($O$2:$O$8,MAX(1,$MQ129))),$OS129&amp;" Melhorias: a Classe "&amp;$MQ129&amp;" aceita "&amp;INDEX($O$2:$O$8,MAX(1,$MQ129)),""),IF(AND($MQ129=0,$OS129&gt;1),"A básica aceita uma Melhoria",""),IF(AND($MQ129=0,COUNTIF($NM129:$NP129,"&gt;1")&gt;0),"A básica só aceita Melhoria Leve",""),IF(AND($MQ129&gt;0,$OT129&gt;2),$OT129&amp;" Restrições"&amp;IF($OD129=1,", contando a que a Forma "&amp;$MS129&amp;" já traz","")&amp;": o limite é 2",""),IF(AND($MQ129=0,COUNTIF($MZ129:$NA129,"?*")&gt;1),"A básica aceita uma Restrição Leve",""),IF(AND($MQ129=0,COUNTIF($OG129:$OH129,2)&gt;0),"A básica só aceita Restrição Leve",""),IF(AND($MQ129&gt;0,$PA129&lt;0),"Orçamento estourado: faltam "&amp;(-$PA129)&amp;IF($PA129&lt;-1," pontos"," ponto"),""),IF(IFERROR(VLOOKUP($MZ129,$BC$2:$BG$24,4,FALSE),0)+IFERROR(VLOOKUP($NA129,$BC$2:$BG$24,4,FALSE),0)&gt;1,$OI129&amp;" e "&amp;$OJ129&amp;" são as duas de frequência",""),IF(AND((COUNTIF($MV129:$MY129,"Rápido")+COUNTIF($OI129:$OJ129,"Rápido"))&gt;0,(COUNTIF($MV129:$MY129,"Atrasar")+COUNTIF($OI129:$OJ129,"Atrasar"))&gt;0),"Rápido não entra com Atrasar",""),IF(AND((COUNTIF($MV129:$MY129,"Reação")+COUNTIF($OI129:$OJ129,"Reação"))&gt;0,(COUNTIF($MV129:$MY129,"Rápido")+COUNTIF($OI129:$OJ129,"Rápido"))&gt;0),"Reação não entra com Rápido",""),IF(AND((COUNTIF($MV129:$MY129,"Reação")+COUNTIF($OI129:$OJ129,"Reação"))&gt;0,(COUNTIF($MV129:$MY129,"Armado")+COUNTIF($OI129:$OJ129,"Armado"))&gt;0),"Reação não entra com Armado",""),IF(AND((COUNTIF($MV129:$MY129,"Reação")+COUNTIF($OI129:$OJ129,"Reação"))&gt;0,(COUNTIF($MV129:$MY129,"Atrasar")+COUNTIF($OI129:$OJ129,"Atrasar"))&gt;0),"Reação não entra com Atrasar",""),IF(AND((COUNTIF($MV129:$MY129,"Reação")+COUNTIF($OI129:$OJ129,"Reação"))&gt;0,(COUNTIF($MV129:$MY129,"Parado")+COUNTIF($OI129:$OJ129,"Parado"))&gt;0),"Reação não entra com Parado",""),IF(AND((COUNTIF($MV129:$MY129,"Atrasar")+COUNTIF($OI129:$OJ129,"Atrasar"))&gt;0,(COUNTIF($MV129:$MY129,"Parado")+COUNTIF($OI129:$OJ129,"Parado"))&gt;0),"Atrasar não entra com Parado",""),IF(AND((COUNTIF($MV129:$MY129,"Armado")+COUNTIF($OI129:$OJ129,"Armado"))&gt;0,(COUNTIF($MV129:$MY129,"Carregar")+COUNTIF($OI129:$OJ129,"Carregar"))&gt;0),"Armado não entra com Carregar",""),IF(AND(COUNTIF($OI129:$OJ129,"Corpo a Corpo")&gt;0,$OD129=0,OR($MS129="Cone",$MS129="Linha")),"Corpo a Corpo não entra em "&amp;$MS129,""),IF(AND(COUNTIF($OI129:$OJ129,"Corpo a Corpo")&gt;0,$OD129=1),"A Forma "&amp;$MS129&amp;" já traz o Corpo a Corpo",""),IF(AND(COUNTIF($OI129:$OJ129,"Tudo ou Nada")&gt;0,$OF129=0),"Tudo ou Nada só entra em habilidade de Teste de Resistência",""),IF(AND(COUNTIF($MV129:$MY129,"Inescapável")&gt;0,OR($OS129&gt;1,$OT129&gt;0)),"Inescapável não aceita outra peça",""),IF(AND($MQ129&gt;0,$PB129*IF(COUNTIF($MV129:$MY129,"Remate")&gt;0,1.25,1)+$PC129&gt;4*$MQ129),($PB129*IF(COUNTIF($MV129:$MY129,"Remate")&gt;0,1.25,1)+$PC129)&amp;" dados somando repetições"&amp;IF(COUNTIF($MV129:$MY129,"Remate")&gt;0," e o Remate","")&amp;": o teto da Classe "&amp;$MQ129&amp;" é "&amp;4*$MQ129,"")))</f>
        <v/>
      </c>
      <c r="PS129" s="155">
        <f>IF($PR129="",0,(LEN($PR129)-LEN(SUBSTITUTE($PR129," · ","")))/3+1)</f>
        <v/>
      </c>
      <c r="PT129" s="155">
        <f>IF($NB129=0,"",TEXTJOIN(" · ",TRUE,IF($OV129&gt;2*$MQ129,"A devolução parou no teto de "&amp;2*$MQ129,""),IF($OY129&gt;0,"Devolução perdida: "&amp;$OY129&amp;IF($OY129&gt;1," pontos"," ponto")&amp;" sem peça para pagar",""),IF(AND($OA129&gt;0,AND($MQ129&gt;0,$OE129=0),$PB129=0),"Controle sem dano: uma rodada a mais e CD +2",""),IF(AND($OA129&gt;0,AND($MQ129&gt;0,$OE129=0),$PB129&gt;0,$PB129&lt;=$MQ129),"Controle com saldo até a Classe: uma rodada a mais",""),IF(AND($MQ129&gt;0,$OC129&lt;&gt;""),"Efeito de "&amp;$OC129&amp;" pela Classe "&amp;MAX(1,$MQ129-1),"")))</f>
        <v/>
      </c>
      <c r="PU129" s="155">
        <f>IF($PT129="",0,(LEN($PT129)-LEN(SUBSTITUTE($PT129," · ","")))/3+1)</f>
        <v/>
      </c>
      <c r="PV129" s="155">
        <f>IF($NB129=0,IF($OS129+COUNTIF($MZ129:$NA129,"?*")&gt;0,"Dê um nome",""),IF($PS129&gt;0,"⚠ "&amp;$PS129&amp;IF($PS129&gt;1," erros"," erro"),IF($PU129&gt;0,"! "&amp;$PU129&amp;IF($PU129&gt;1," avisos"," aviso"),"Na regra")))</f>
        <v/>
      </c>
      <c r="PW129" s="155">
        <f>IF($NB129=0,"",IF($PS129+$PU129=0,"Dentro das regras que a ficha confere",$PR129&amp;IF(AND($PS129&gt;0,$PU129&gt;0)," · ","")&amp;$PT129))</f>
        <v/>
      </c>
      <c r="PX129" s="155">
        <f>IF($MO129&gt;$NC129,$MP129&amp;" · ABRE NO NÍVEL "&amp;$MO129,$MP129)</f>
        <v/>
      </c>
      <c r="PY129" s="155">
        <f>IF($NB129=0,"",IF($MQ129=0,"Sem PE",3*$MQ129&amp;" PE"))</f>
        <v/>
      </c>
      <c r="PZ129" s="155">
        <f>IF($NB129=0,"",IF($MQ129=0,"A atuação básica dela",IF(COUNTIF($OI129:$OJ129,"Atrasar")&gt;0,"Sua Ação Completa",IF(COUNTIF($MV129:$MY129,"Rápido")&gt;0,"Sua Bônus",IF(COUNTIF($MV129:$MY129,"Reação")&gt;0,"Sua Reação","Sua Padrão")))&amp;" + a básica dela"&amp;IF(COUNTIF($MV129:$MY129,"Reação")&gt;0," e a coletiva","")&amp;IF(COUNTIF($OI129:$OJ129,"Carregar")&gt;0," · em dois turnos","")))</f>
        <v/>
      </c>
      <c r="QA129" s="155">
        <f>IF($MU129&lt;&gt;"",$MU129,IF($NH129=0,"",INDEX($AA$2:$AA$11,$NH129)))</f>
        <v/>
      </c>
      <c r="QB129" s="155">
        <f>IF(OR($NB129=0,$NH129=0),"",IF(COUNTIF($MV129:$MY129,"Inescapável")&gt;0,"Automático",IF($QA129="Ataque",IF($NF129="","Ataque","Ataque "&amp;IF(($NF129+2*IF(COUNTIF($MV129:$MY129,"Precisão")&gt;0,1,0))&gt;=0,"+","−")&amp;ABS(($NF129+2*IF(COUNTIF($MV129:$MY129,"Precisão")&gt;0,1,0))))&amp;IF($OB129&gt;0," · TR"&amp;IF($NG129="",""," CD "&amp;$NG129),""),IF(LEFT($QA129,2)="TR",$QA129&amp;IF($NG129="",""," · CD "&amp;$NG129)&amp;IF(COUNTIF($MV129:$MY129,"Certeiro")&gt;0," · metade",""),"Sem rolagem"))))</f>
        <v/>
      </c>
      <c r="QC129" s="155">
        <f>IF(OR($NB129=0,$NH129=0),"",IF($MQ129=0,IF(OR($OE129&gt;=1,$PB129=0),"Sem dano",$PB129&amp;"d6"&amp;IF($MT129="",""," "&amp;$MT129)),IF(OR($OE129&gt;=1,$PB129=0),UPPER(LEFT(INDEX($PK129:$PQ129,1,MAX(1,$MQ129)),1))&amp;MID(INDEX($PK129:$PQ129,1,MAX(1,$MQ129)),2,99),UPPER(LEFT(INDEX($PK129:$PQ129,1,MAX(1,$MQ129)),1))&amp;MID(INDEX($PK129:$PQ129,1,MAX(1,$MQ129)),2,99)&amp;IF($MT129="",""," "&amp;$MT129)&amp;IF($PC129&gt;0," · +"&amp;$PC129&amp;"d8",""))))</f>
        <v/>
      </c>
      <c r="QD129" s="155">
        <f>COUNTIF($MV129:$MY129,"Longe")+3*COUNTIF($MV129:$MY129,"Muito Longe")</f>
        <v/>
      </c>
      <c r="QE129" s="155">
        <f>COUNTIF($MV129:$MY129,"Maior")+3*COUNTIF($MV129:$MY129,"Muito Maior")</f>
        <v/>
      </c>
      <c r="QF129" s="155">
        <f>IF($NH129=0,0,CHOOSE(1+INDEX($AC$2:$AC$11,$NH129),0,$QD129,$QE129,$QD129+$QE129))</f>
        <v/>
      </c>
      <c r="QG129" s="155">
        <f>IF($NH129=0,0,CHOOSE(1+INDEX($AD$2:$AD$11,$NH129),0,$QD129,$QE129,$QD129+$QE129))</f>
        <v/>
      </c>
      <c r="QH129" s="155">
        <f>IF(OR($NB129=0,$NH129=0),"",INDEX($AI$2:$AN$41,($NH129-1)*4+IF($MQ129=0,1,IF($MQ129&lt;=5,2,IF($MQ129=6,3,4))),1+MIN(5,$QF129))&amp;INDEX($AO$2:$AT$41,($NH129-1)*4+IF($MQ129=0,1,IF($MQ129&lt;=5,2,IF($MQ129=6,3,4))),1+MIN(5,$QG129))&amp;IF(INDEX($AE$2:$AE$11,$NH129)=1,IF(COUNTIF($MV129:$MY129,"Mais Um")&gt;0," · +"&amp;COUNTIF($MV129:$MY129,"Mais Um")&amp;IF(COUNTIF($MV129:$MY129,"Mais Um")&gt;1," alvos"," alvo"),"")&amp;IF(COUNTIF($MV129:$MY129,"Rajada")&gt;0,IF($MQ129=0," · 1 tiro"," · "&amp;(MAX(1,$MQ129-1)+1)&amp;" tiros"),""),""))</f>
        <v/>
      </c>
      <c r="QI129" s="155">
        <f>IF($NB129=0,"",IF($MQ129=0,$NE129&amp;"d6"&amp;IF($OS129&gt;0," − 1 = "&amp;$PB129&amp;"d6"," da básica do nível "&amp;$NC129),$OZ129&amp;" − "&amp;$OU129&amp;" + "&amp;$OX129&amp;" = "&amp;$PA129&amp;" · teto "&amp;4*$MQ129&amp;"d8"&amp;IF($OD129=1," · a Forma devolve "&amp;$MQ129,"")&amp;IF($OY129&gt;0," · perde "&amp;$OY129,"")))</f>
        <v/>
      </c>
      <c r="QJ129" s="155">
        <f>IF($NB129=0,"",IF($MQ129=0,"A básica não amplia: os dados dela sobem com o nível",IF($MQ129&gt;=$ND129,"Já está na maior Classe que o nível liberou",TEXTJOIN(" · ",TRUE,IF(AND(2&gt;$MQ129,2&lt;=$ND129),"2 → "&amp;$PL129&amp;", 6 PE",""),IF(AND(3&gt;$MQ129,3&lt;=$ND129),"3 → "&amp;$PM129&amp;", 9 PE",""),IF(AND(4&gt;$MQ129,4&lt;=$ND129),"4 → "&amp;$PN129&amp;", 12 PE",""),IF(AND(5&gt;$MQ129,5&lt;=$ND129),"5 → "&amp;$PO129&amp;", 15 PE",""),IF(AND(6&gt;$MQ129,6&lt;=$ND129),"6 → "&amp;$PP129&amp;", 18 PE",""),IF(AND(7&gt;$MQ129,7&lt;=$ND129),"7 → "&amp;$PQ129&amp;", 21 PE","")))))</f>
        <v/>
      </c>
      <c r="QK129" s="155">
        <f>IF(OR($NB129=0,$NM129=0),"",IF($MQ129=0,"−1 dado","−"&amp;INDEX($I$2:$N$8,MAX(1,$MQ129),MAX(1,$NR129))&amp;" · "&amp;CHOOSE(MAX(1,$NR129),"Leve","Média","Pesada","Leve · Livre","Média · Livre","Pesada · Livre")))</f>
        <v/>
      </c>
      <c r="QL129" s="155">
        <f>IF(OR($NB129=0,$NN129=0),"",IF($MQ129=0,"−1 dado","−"&amp;INDEX($I$2:$N$8,MAX(1,$MQ129),MAX(1,$NS129))&amp;" · "&amp;CHOOSE(MAX(1,$NS129),"Leve","Média","Pesada","Leve · Livre","Média · Livre","Pesada · Livre")))</f>
        <v/>
      </c>
      <c r="QM129" s="155">
        <f>IF(OR($NB129=0,$NO129=0),"",IF($MQ129=0,"−1 dado","−"&amp;INDEX($I$2:$N$8,MAX(1,$MQ129),MAX(1,$NT129))&amp;" · "&amp;CHOOSE(MAX(1,$NT129),"Leve","Média","Pesada","Leve · Livre","Média · Livre","Pesada · Livre")))</f>
        <v/>
      </c>
      <c r="QN129" s="155">
        <f>IF(OR($NB129=0,$NP129=0),"",IF($MQ129=0,"−1 dado","−"&amp;INDEX($I$2:$N$8,MAX(1,$MQ129),MAX(1,$NU129))&amp;" · "&amp;CHOOSE(MAX(1,$NU129),"Leve","Média","Pesada","Leve · Livre","Média · Livre","Pesada · Livre")))</f>
        <v/>
      </c>
      <c r="QO129" s="155">
        <f>IF(OR($NB129=0,$MZ129=""),"",IF($MQ129=0,"não devolve","+"&amp;IF($OG129=1,CEILING($MQ129/2,1),$MQ129)))</f>
        <v/>
      </c>
      <c r="QP129" s="155">
        <f>IF(OR($NB129=0,$NA129=""),"",IF($MQ129=0,"não devolve","+"&amp;IF($OH129=1,CEILING($MQ129/2,1),$MQ129)))</f>
        <v/>
      </c>
    </row>
    <row r="130">
      <c r="ML130" s="153" t="inlineStr">
        <is>
          <t>Ficha 10 · Escolha da trilha 2</t>
        </is>
      </c>
      <c r="MM130" s="155" t="n">
        <v>10</v>
      </c>
      <c r="MN130" s="155" t="n">
        <v>2</v>
      </c>
      <c r="MO130" s="155" t="n">
        <v>0</v>
      </c>
      <c r="MP130" s="153" t="inlineStr">
        <is>
          <t>ESCOLHA DA TRILHA 2</t>
        </is>
      </c>
      <c r="MQ130" s="155">
        <f>MAX(0,MIN(7,N('INVOCAÇÕES'!$AH$754)))</f>
        <v/>
      </c>
      <c r="MR130" s="155">
        <f>'INVOCAÇÕES'!$AI$754&amp;""</f>
        <v/>
      </c>
      <c r="MS130" s="155">
        <f>'INVOCAÇÕES'!$AH$759&amp;""</f>
        <v/>
      </c>
      <c r="MT130" s="155">
        <f>'INVOCAÇÕES'!$AH$760&amp;""</f>
        <v/>
      </c>
      <c r="MU130" s="155">
        <f>'INVOCAÇÕES'!$AJ$760&amp;""</f>
        <v/>
      </c>
      <c r="MV130" s="155">
        <f>'INVOCAÇÕES'!$AI$763&amp;""</f>
        <v/>
      </c>
      <c r="MW130" s="155">
        <f>'INVOCAÇÕES'!$AI$764&amp;""</f>
        <v/>
      </c>
      <c r="MX130" s="155">
        <f>'INVOCAÇÕES'!$AI$765&amp;""</f>
        <v/>
      </c>
      <c r="MY130" s="155">
        <f>'INVOCAÇÕES'!$AI$766&amp;""</f>
        <v/>
      </c>
      <c r="MZ130" s="155">
        <f>'INVOCAÇÕES'!$AI$767&amp;""</f>
        <v/>
      </c>
      <c r="NA130" s="155">
        <f>'INVOCAÇÕES'!$AI$768&amp;""</f>
        <v/>
      </c>
      <c r="NB130" s="155">
        <f>IF($MR130&lt;&gt;"",1,0)</f>
        <v/>
      </c>
      <c r="NC130" s="155">
        <f>INDEX($FM$2:$FM$13,$MM130)</f>
        <v/>
      </c>
      <c r="ND130" s="155">
        <f>INDEX($FN$2:$FN$13,$MM130)</f>
        <v/>
      </c>
      <c r="NE130" s="155">
        <f>INDEX($FO$2:$FO$13,$MM130)</f>
        <v/>
      </c>
      <c r="NF130" s="155">
        <f>INDEX($FZ$2:$FZ$13,$MM130)</f>
        <v/>
      </c>
      <c r="NG130" s="155">
        <f>INDEX($GA$2:$GA$13,$MM130)</f>
        <v/>
      </c>
      <c r="NH130" s="155">
        <f>IFERROR(MATCH($MS130,$V$2:$V$11,0),0)</f>
        <v/>
      </c>
      <c r="NI130" s="155">
        <f>IFERROR(VLOOKUP($MV130,$AV$2:$BA$84,2,FALSE),"")</f>
        <v/>
      </c>
      <c r="NJ130" s="155">
        <f>IFERROR(VLOOKUP($MW130,$AV$2:$BA$84,2,FALSE),"")</f>
        <v/>
      </c>
      <c r="NK130" s="155">
        <f>IFERROR(VLOOKUP($MX130,$AV$2:$BA$84,2,FALSE),"")</f>
        <v/>
      </c>
      <c r="NL130" s="155">
        <f>IFERROR(VLOOKUP($MY130,$AV$2:$BA$84,2,FALSE),"")</f>
        <v/>
      </c>
      <c r="NM130" s="155">
        <f>IFERROR(VLOOKUP($MV130,$AV$2:$BA$84,3,FALSE),0)</f>
        <v/>
      </c>
      <c r="NN130" s="155">
        <f>IFERROR(VLOOKUP($MW130,$AV$2:$BA$84,3,FALSE),0)</f>
        <v/>
      </c>
      <c r="NO130" s="155">
        <f>IFERROR(VLOOKUP($MX130,$AV$2:$BA$84,3,FALSE),0)</f>
        <v/>
      </c>
      <c r="NP130" s="155">
        <f>IFERROR(VLOOKUP($MY130,$AV$2:$BA$84,3,FALSE),0)</f>
        <v/>
      </c>
      <c r="NQ130" s="155">
        <f>IF($MQ130=0,0,IF($NH130=0,0,INDEX($X$2:$X$11,$NH130)))</f>
        <v/>
      </c>
      <c r="NR130" s="155">
        <f>IF(OR($NM130=0,$MQ130=0),0,$NM130+3*IF(AND($NI130&lt;&gt;"",OR($NI130=INDEX($EJ$2:$EJ$13,$MM130),$NI130=INDEX($EK$2:$EK$13,$MM130))),1,0))</f>
        <v/>
      </c>
      <c r="NS130" s="155">
        <f>IF(OR($NN130=0,$MQ130=0),0,$NN130+3*IF(AND($NJ130&lt;&gt;"",OR($NJ130=INDEX($EJ$2:$EJ$13,$MM130),$NJ130=INDEX($EK$2:$EK$13,$MM130))),1,0))</f>
        <v/>
      </c>
      <c r="NT130" s="155">
        <f>IF(OR($NO130=0,$MQ130=0),0,$NO130+3*IF(AND($NK130&lt;&gt;"",OR($NK130=INDEX($EJ$2:$EJ$13,$MM130),$NK130=INDEX($EK$2:$EK$13,$MM130))),1,0))</f>
        <v/>
      </c>
      <c r="NU130" s="155">
        <f>IF(OR($NP130=0,$MQ130=0),0,$NP130+3*IF(AND($NL130&lt;&gt;"",OR($NL130=INDEX($EJ$2:$EJ$13,$MM130),$NL130=INDEX($EK$2:$EK$13,$MM130))),1,0))</f>
        <v/>
      </c>
      <c r="NV130" s="155">
        <f>IF($NH130=0,0,IF(INDEX($W$2:$W$11,$NH130)="",0,IF(COUNTIF(INDEX($EJ$2:$EN$13,$MM130,0),INDEX($W$2:$W$11,$NH130))=0,1,0)))</f>
        <v/>
      </c>
      <c r="NW130" s="155">
        <f>IF(OR($NM130=0,$NI130=""),0,IF(COUNTIF(INDEX($EJ$2:$EN$13,$MM130,0),$NI130)=0,1,0))</f>
        <v/>
      </c>
      <c r="NX130" s="155">
        <f>IF(OR($NN130=0,$NJ130=""),0,IF(COUNTIF(INDEX($EJ$2:$EN$13,$MM130,0),$NJ130)=0,1,0))</f>
        <v/>
      </c>
      <c r="NY130" s="155">
        <f>IF(OR($NO130=0,$NK130=""),0,IF(COUNTIF(INDEX($EJ$2:$EN$13,$MM130,0),$NK130)=0,1,0))</f>
        <v/>
      </c>
      <c r="NZ130" s="155">
        <f>IF(OR($NP130=0,$NL130=""),0,IF(COUNTIF(INDEX($EJ$2:$EN$13,$MM130,0),$NL130)=0,1,0))</f>
        <v/>
      </c>
      <c r="OA130" s="155">
        <f>IFERROR(VLOOKUP($MV130,$AV$2:$BA$84,4,FALSE),0)+IFERROR(VLOOKUP($MW130,$AV$2:$BA$84,4,FALSE),0)+IFERROR(VLOOKUP($MX130,$AV$2:$BA$84,4,FALSE),0)+IFERROR(VLOOKUP($MY130,$AV$2:$BA$84,4,FALSE),0)</f>
        <v/>
      </c>
      <c r="OB130" s="155">
        <f>IFERROR(VLOOKUP($MV130,$AV$2:$BA$84,6,FALSE),0)+IFERROR(VLOOKUP($MW130,$AV$2:$BA$84,6,FALSE),0)+IFERROR(VLOOKUP($MX130,$AV$2:$BA$84,6,FALSE),0)+IFERROR(VLOOKUP($MY130,$AV$2:$BA$84,6,FALSE),0)</f>
        <v/>
      </c>
      <c r="OC130" s="155">
        <f>TEXTJOIN(", ",TRUE,IF(IFERROR(VLOOKUP($MV130,$AV$2:$BA$84,5,FALSE),0)=1,$MV130,""),IF(IFERROR(VLOOKUP($MW130,$AV$2:$BA$84,5,FALSE),0)=1,$MW130,""),IF(IFERROR(VLOOKUP($MX130,$AV$2:$BA$84,5,FALSE),0)=1,$MX130,""),IF(IFERROR(VLOOKUP($MY130,$AV$2:$BA$84,5,FALSE),0)=1,$MY130,""))</f>
        <v/>
      </c>
      <c r="OD130" s="155">
        <f>IF($NH130=0,0,INDEX($Y$2:$Y$11,$NH130))</f>
        <v/>
      </c>
      <c r="OE130" s="155">
        <f>IF($NH130=0,0,INDEX($Z$2:$Z$11,$NH130))</f>
        <v/>
      </c>
      <c r="OF130" s="155">
        <f>IF($NH130=0,0,INDEX($AB$2:$AB$11,$NH130))</f>
        <v/>
      </c>
      <c r="OG130" s="155">
        <f>IFERROR(VLOOKUP($MZ130,$BC$2:$BG$24,3,FALSE),0)</f>
        <v/>
      </c>
      <c r="OH130" s="155">
        <f>IFERROR(VLOOKUP($NA130,$BC$2:$BG$24,3,FALSE),0)</f>
        <v/>
      </c>
      <c r="OI130" s="155">
        <f>IFERROR(VLOOKUP($MZ130,$BC$2:$BG$24,2,FALSE),"")</f>
        <v/>
      </c>
      <c r="OJ130" s="155">
        <f>IFERROR(VLOOKUP($NA130,$BC$2:$BG$24,2,FALSE),"")</f>
        <v/>
      </c>
      <c r="OK130" s="155">
        <f>COUNTIF($NQ130:$NU130,1)</f>
        <v/>
      </c>
      <c r="OL130" s="155">
        <f>COUNTIF($NQ130:$NU130,2)</f>
        <v/>
      </c>
      <c r="OM130" s="155">
        <f>COUNTIF($NQ130:$NU130,3)</f>
        <v/>
      </c>
      <c r="ON130" s="155">
        <f>COUNTIF($NQ130:$NU130,4)</f>
        <v/>
      </c>
      <c r="OO130" s="155">
        <f>COUNTIF($NQ130:$NU130,5)</f>
        <v/>
      </c>
      <c r="OP130" s="155">
        <f>COUNTIF($NQ130:$NU130,6)</f>
        <v/>
      </c>
      <c r="OQ130" s="155">
        <f>COUNTIF($OG130:$OH130,1)</f>
        <v/>
      </c>
      <c r="OR130" s="155">
        <f>COUNTIF($OG130:$OH130,2)+$OD130</f>
        <v/>
      </c>
      <c r="OS130" s="155">
        <f>COUNTIF($MV130:$MY130,"?*")</f>
        <v/>
      </c>
      <c r="OT130" s="155">
        <f>COUNTIF($MZ130:$NA130,"?*")+$OD130</f>
        <v/>
      </c>
      <c r="OU130" s="155">
        <f>IF($MQ130=0,0,SUMPRODUCT($OK130:$OP130,INDEX($I$2:$N$8,MAX(1,$MQ130),0)))</f>
        <v/>
      </c>
      <c r="OV130" s="155">
        <f>IF($MQ130=0,0,$OQ130*CEILING($MQ130/2,1)+$OR130*$MQ130)</f>
        <v/>
      </c>
      <c r="OW130" s="155">
        <f>MIN(2*$MQ130,$OV130)</f>
        <v/>
      </c>
      <c r="OX130" s="155">
        <f>MIN($OW130,$OU130)</f>
        <v/>
      </c>
      <c r="OY130" s="155">
        <f>$OW130-$OX130</f>
        <v/>
      </c>
      <c r="OZ130" s="155">
        <f>IF($MQ130=0,0,INDEX($P$2:$P$8,MAX(1,$MQ130)))</f>
        <v/>
      </c>
      <c r="PA130" s="155">
        <f>$OZ130-$OU130+$OX130</f>
        <v/>
      </c>
      <c r="PB130" s="155">
        <f>IF($MQ130=0,MAX(0,$NE130-IF($OS130&gt;0,1,0)),MAX(0,$PA130))</f>
        <v/>
      </c>
      <c r="PC130" s="155">
        <f>IF($MQ130=0,0,(IF(COUNTIF($MV130:$MY130,"Salto")&gt;0,1,0)+IF(COUNTIF($MV130:$MY130,"Queima")&gt;0,1,0)+IF(COUNTIF($MV130:$MY130,"Estilhaço")&gt;0,1,0))*FLOOR($PB130/2,1))</f>
        <v/>
      </c>
      <c r="PD130" s="155">
        <f>MAX(0,2-SUMPRODUCT($OK130:$OP130,$I$2:$N$2)+MIN(2,$OQ130*1+$OR130*1,SUMPRODUCT($OK130:$OP130,$I$2:$N$2)))</f>
        <v/>
      </c>
      <c r="PE130" s="155">
        <f>MAX(0,4-SUMPRODUCT($OK130:$OP130,$I$3:$N$3)+MIN(4,$OQ130*1+$OR130*2,SUMPRODUCT($OK130:$OP130,$I$3:$N$3)))</f>
        <v/>
      </c>
      <c r="PF130" s="155">
        <f>MAX(0,6-SUMPRODUCT($OK130:$OP130,$I$4:$N$4)+MIN(6,$OQ130*2+$OR130*3,SUMPRODUCT($OK130:$OP130,$I$4:$N$4)))</f>
        <v/>
      </c>
      <c r="PG130" s="155">
        <f>MAX(0,9-SUMPRODUCT($OK130:$OP130,$I$5:$N$5)+MIN(8,$OQ130*2+$OR130*4,SUMPRODUCT($OK130:$OP130,$I$5:$N$5)))</f>
        <v/>
      </c>
      <c r="PH130" s="155">
        <f>MAX(0,11-SUMPRODUCT($OK130:$OP130,$I$6:$N$6)+MIN(10,$OQ130*3+$OR130*5,SUMPRODUCT($OK130:$OP130,$I$6:$N$6)))</f>
        <v/>
      </c>
      <c r="PI130" s="155">
        <f>MAX(0,13-SUMPRODUCT($OK130:$OP130,$I$7:$N$7)+MIN(12,$OQ130*3+$OR130*6,SUMPRODUCT($OK130:$OP130,$I$7:$N$7)))</f>
        <v/>
      </c>
      <c r="PJ130" s="155">
        <f>MAX(0,16-SUMPRODUCT($OK130:$OP130,$I$8:$N$8)+MIN(14,$OQ130*4+$OR130*7,SUMPRODUCT($OK130:$OP130,$I$8:$N$8)))</f>
        <v/>
      </c>
      <c r="PK130" s="155">
        <f>IF($OE130=2,3*$PD130&amp;" de vida temp.",IF($OE130=3,"sem dano",IF($PD130=0,IF($OE130=1,"sem cura","sem dano"),IF($OE130=1,"cura ","")&amp;$PD130&amp;"d8")))</f>
        <v/>
      </c>
      <c r="PL130" s="155">
        <f>IF($OE130=2,3*$PE130&amp;" de vida temp.",IF($OE130=3,"sem dano",IF($PE130=0,IF($OE130=1,"sem cura","sem dano"),IF($OE130=1,"cura ","")&amp;$PE130&amp;"d8")))</f>
        <v/>
      </c>
      <c r="PM130" s="155">
        <f>IF($OE130=2,3*$PF130&amp;" de vida temp.",IF($OE130=3,"sem dano",IF($PF130=0,IF($OE130=1,"sem cura","sem dano"),IF($OE130=1,"cura ","")&amp;$PF130&amp;"d8")))</f>
        <v/>
      </c>
      <c r="PN130" s="155">
        <f>IF($OE130=2,3*$PG130&amp;" de vida temp.",IF($OE130=3,"sem dano",IF($PG130=0,IF($OE130=1,"sem cura","sem dano"),IF($OE130=1,"cura ","")&amp;$PG130&amp;"d8")))</f>
        <v/>
      </c>
      <c r="PO130" s="155">
        <f>IF($OE130=2,3*$PH130&amp;" de vida temp.",IF($OE130=3,"sem dano",IF($PH130=0,IF($OE130=1,"sem cura","sem dano"),IF($OE130=1,"cura ","")&amp;$PH130&amp;"d8")))</f>
        <v/>
      </c>
      <c r="PP130" s="155">
        <f>IF($OE130=2,3*$PI130&amp;" de vida temp.",IF($OE130=3,"sem dano",IF($PI130=0,IF($OE130=1,"sem cura","sem dano"),IF($OE130=1,"cura ","")&amp;$PI130&amp;"d8")))</f>
        <v/>
      </c>
      <c r="PQ130" s="155">
        <f>IF($OE130=2,3*$PJ130&amp;" de vida temp.",IF($OE130=3,"sem dano",IF($PJ130=0,IF($OE130=1,"sem cura","sem dano"),IF($OE130=1,"cura ","")&amp;$PJ130&amp;"d8")))</f>
        <v/>
      </c>
      <c r="PR130" s="155">
        <f>IF($NB130=0,"",TEXTJOIN(" · ",TRUE,IF($MO130&gt;$NC130,"Este lugar abre no nível "&amp;$MO130,""),IF($MQ130&gt;$ND130,"Classe "&amp;$MQ130&amp;": o nível "&amp;$NC130&amp;" libera até a "&amp;$ND130,""),IF($NV130=1,"A Forma "&amp;$MS130&amp;" pede "&amp;INDEX($W$2:$W$11,$NH130)&amp;" aberta",""),IF(AND($MQ130=0,$NH130&gt;0,IF($NH130=0,0,INDEX($AF$2:$AF$11,$NH130))=0),$MS130&amp;" não existe na Classe 0",""),IF($NW130=1,"Família Fechada: "&amp;$MV130,""),IF($NX130=1,"Família Fechada: "&amp;$MW130,""),IF($NY130=1,"Família Fechada: "&amp;$MX130,""),IF($NZ130=1,"Família Fechada: "&amp;$MY130,""),IF(AND($MQ130&gt;0,$OS130&gt;INDEX($O$2:$O$8,MAX(1,$MQ130))),$OS130&amp;" Melhorias: a Classe "&amp;$MQ130&amp;" aceita "&amp;INDEX($O$2:$O$8,MAX(1,$MQ130)),""),IF(AND($MQ130=0,$OS130&gt;1),"A básica aceita uma Melhoria",""),IF(AND($MQ130=0,COUNTIF($NM130:$NP130,"&gt;1")&gt;0),"A básica só aceita Melhoria Leve",""),IF(AND($MQ130&gt;0,$OT130&gt;2),$OT130&amp;" Restrições"&amp;IF($OD130=1,", contando a que a Forma "&amp;$MS130&amp;" já traz","")&amp;": o limite é 2",""),IF(AND($MQ130=0,COUNTIF($MZ130:$NA130,"?*")&gt;1),"A básica aceita uma Restrição Leve",""),IF(AND($MQ130=0,COUNTIF($OG130:$OH130,2)&gt;0),"A básica só aceita Restrição Leve",""),IF(AND($MQ130&gt;0,$PA130&lt;0),"Orçamento estourado: faltam "&amp;(-$PA130)&amp;IF($PA130&lt;-1," pontos"," ponto"),""),IF(IFERROR(VLOOKUP($MZ130,$BC$2:$BG$24,4,FALSE),0)+IFERROR(VLOOKUP($NA130,$BC$2:$BG$24,4,FALSE),0)&gt;1,$OI130&amp;" e "&amp;$OJ130&amp;" são as duas de frequência",""),IF(AND((COUNTIF($MV130:$MY130,"Rápido")+COUNTIF($OI130:$OJ130,"Rápido"))&gt;0,(COUNTIF($MV130:$MY130,"Atrasar")+COUNTIF($OI130:$OJ130,"Atrasar"))&gt;0),"Rápido não entra com Atrasar",""),IF(AND((COUNTIF($MV130:$MY130,"Reação")+COUNTIF($OI130:$OJ130,"Reação"))&gt;0,(COUNTIF($MV130:$MY130,"Rápido")+COUNTIF($OI130:$OJ130,"Rápido"))&gt;0),"Reação não entra com Rápido",""),IF(AND((COUNTIF($MV130:$MY130,"Reação")+COUNTIF($OI130:$OJ130,"Reação"))&gt;0,(COUNTIF($MV130:$MY130,"Armado")+COUNTIF($OI130:$OJ130,"Armado"))&gt;0),"Reação não entra com Armado",""),IF(AND((COUNTIF($MV130:$MY130,"Reação")+COUNTIF($OI130:$OJ130,"Reação"))&gt;0,(COUNTIF($MV130:$MY130,"Atrasar")+COUNTIF($OI130:$OJ130,"Atrasar"))&gt;0),"Reação não entra com Atrasar",""),IF(AND((COUNTIF($MV130:$MY130,"Reação")+COUNTIF($OI130:$OJ130,"Reação"))&gt;0,(COUNTIF($MV130:$MY130,"Parado")+COUNTIF($OI130:$OJ130,"Parado"))&gt;0),"Reação não entra com Parado",""),IF(AND((COUNTIF($MV130:$MY130,"Atrasar")+COUNTIF($OI130:$OJ130,"Atrasar"))&gt;0,(COUNTIF($MV130:$MY130,"Parado")+COUNTIF($OI130:$OJ130,"Parado"))&gt;0),"Atrasar não entra com Parado",""),IF(AND((COUNTIF($MV130:$MY130,"Armado")+COUNTIF($OI130:$OJ130,"Armado"))&gt;0,(COUNTIF($MV130:$MY130,"Carregar")+COUNTIF($OI130:$OJ130,"Carregar"))&gt;0),"Armado não entra com Carregar",""),IF(AND(COUNTIF($OI130:$OJ130,"Corpo a Corpo")&gt;0,$OD130=0,OR($MS130="Cone",$MS130="Linha")),"Corpo a Corpo não entra em "&amp;$MS130,""),IF(AND(COUNTIF($OI130:$OJ130,"Corpo a Corpo")&gt;0,$OD130=1),"A Forma "&amp;$MS130&amp;" já traz o Corpo a Corpo",""),IF(AND(COUNTIF($OI130:$OJ130,"Tudo ou Nada")&gt;0,$OF130=0),"Tudo ou Nada só entra em habilidade de Teste de Resistência",""),IF(AND(COUNTIF($MV130:$MY130,"Inescapável")&gt;0,OR($OS130&gt;1,$OT130&gt;0)),"Inescapável não aceita outra peça",""),IF(AND($MQ130&gt;0,$PB130*IF(COUNTIF($MV130:$MY130,"Remate")&gt;0,1.25,1)+$PC130&gt;4*$MQ130),($PB130*IF(COUNTIF($MV130:$MY130,"Remate")&gt;0,1.25,1)+$PC130)&amp;" dados somando repetições"&amp;IF(COUNTIF($MV130:$MY130,"Remate")&gt;0," e o Remate","")&amp;": o teto da Classe "&amp;$MQ130&amp;" é "&amp;4*$MQ130,"")))</f>
        <v/>
      </c>
      <c r="PS130" s="155">
        <f>IF($PR130="",0,(LEN($PR130)-LEN(SUBSTITUTE($PR130," · ","")))/3+1)</f>
        <v/>
      </c>
      <c r="PT130" s="155">
        <f>IF($NB130=0,"",TEXTJOIN(" · ",TRUE,IF($OV130&gt;2*$MQ130,"A devolução parou no teto de "&amp;2*$MQ130,""),IF($OY130&gt;0,"Devolução perdida: "&amp;$OY130&amp;IF($OY130&gt;1," pontos"," ponto")&amp;" sem peça para pagar",""),IF(AND($OA130&gt;0,AND($MQ130&gt;0,$OE130=0),$PB130=0),"Controle sem dano: uma rodada a mais e CD +2",""),IF(AND($OA130&gt;0,AND($MQ130&gt;0,$OE130=0),$PB130&gt;0,$PB130&lt;=$MQ130),"Controle com saldo até a Classe: uma rodada a mais",""),IF(AND($MQ130&gt;0,$OC130&lt;&gt;""),"Efeito de "&amp;$OC130&amp;" pela Classe "&amp;MAX(1,$MQ130-1),"")))</f>
        <v/>
      </c>
      <c r="PU130" s="155">
        <f>IF($PT130="",0,(LEN($PT130)-LEN(SUBSTITUTE($PT130," · ","")))/3+1)</f>
        <v/>
      </c>
      <c r="PV130" s="155">
        <f>IF($NB130=0,IF($OS130+COUNTIF($MZ130:$NA130,"?*")&gt;0,"Dê um nome",""),IF($PS130&gt;0,"⚠ "&amp;$PS130&amp;IF($PS130&gt;1," erros"," erro"),IF($PU130&gt;0,"! "&amp;$PU130&amp;IF($PU130&gt;1," avisos"," aviso"),"Na regra")))</f>
        <v/>
      </c>
      <c r="PW130" s="155">
        <f>IF($NB130=0,"",IF($PS130+$PU130=0,"Dentro das regras que a ficha confere",$PR130&amp;IF(AND($PS130&gt;0,$PU130&gt;0)," · ","")&amp;$PT130))</f>
        <v/>
      </c>
      <c r="PX130" s="155">
        <f>IF($MO130&gt;$NC130,$MP130&amp;" · ABRE NO NÍVEL "&amp;$MO130,$MP130)</f>
        <v/>
      </c>
      <c r="PY130" s="155">
        <f>IF($NB130=0,"",IF($MQ130=0,"Sem PE",3*$MQ130&amp;" PE"))</f>
        <v/>
      </c>
      <c r="PZ130" s="155">
        <f>IF($NB130=0,"",IF($MQ130=0,"A atuação básica dela",IF(COUNTIF($OI130:$OJ130,"Atrasar")&gt;0,"Sua Ação Completa",IF(COUNTIF($MV130:$MY130,"Rápido")&gt;0,"Sua Bônus",IF(COUNTIF($MV130:$MY130,"Reação")&gt;0,"Sua Reação","Sua Padrão")))&amp;" + a básica dela"&amp;IF(COUNTIF($MV130:$MY130,"Reação")&gt;0," e a coletiva","")&amp;IF(COUNTIF($OI130:$OJ130,"Carregar")&gt;0," · em dois turnos","")))</f>
        <v/>
      </c>
      <c r="QA130" s="155">
        <f>IF($MU130&lt;&gt;"",$MU130,IF($NH130=0,"",INDEX($AA$2:$AA$11,$NH130)))</f>
        <v/>
      </c>
      <c r="QB130" s="155">
        <f>IF(OR($NB130=0,$NH130=0),"",IF(COUNTIF($MV130:$MY130,"Inescapável")&gt;0,"Automático",IF($QA130="Ataque",IF($NF130="","Ataque","Ataque "&amp;IF(($NF130+2*IF(COUNTIF($MV130:$MY130,"Precisão")&gt;0,1,0))&gt;=0,"+","−")&amp;ABS(($NF130+2*IF(COUNTIF($MV130:$MY130,"Precisão")&gt;0,1,0))))&amp;IF($OB130&gt;0," · TR"&amp;IF($NG130="",""," CD "&amp;$NG130),""),IF(LEFT($QA130,2)="TR",$QA130&amp;IF($NG130="",""," · CD "&amp;$NG130)&amp;IF(COUNTIF($MV130:$MY130,"Certeiro")&gt;0," · metade",""),"Sem rolagem"))))</f>
        <v/>
      </c>
      <c r="QC130" s="155">
        <f>IF(OR($NB130=0,$NH130=0),"",IF($MQ130=0,IF(OR($OE130&gt;=1,$PB130=0),"Sem dano",$PB130&amp;"d6"&amp;IF($MT130="",""," "&amp;$MT130)),IF(OR($OE130&gt;=1,$PB130=0),UPPER(LEFT(INDEX($PK130:$PQ130,1,MAX(1,$MQ130)),1))&amp;MID(INDEX($PK130:$PQ130,1,MAX(1,$MQ130)),2,99),UPPER(LEFT(INDEX($PK130:$PQ130,1,MAX(1,$MQ130)),1))&amp;MID(INDEX($PK130:$PQ130,1,MAX(1,$MQ130)),2,99)&amp;IF($MT130="",""," "&amp;$MT130)&amp;IF($PC130&gt;0," · +"&amp;$PC130&amp;"d8",""))))</f>
        <v/>
      </c>
      <c r="QD130" s="155">
        <f>COUNTIF($MV130:$MY130,"Longe")+3*COUNTIF($MV130:$MY130,"Muito Longe")</f>
        <v/>
      </c>
      <c r="QE130" s="155">
        <f>COUNTIF($MV130:$MY130,"Maior")+3*COUNTIF($MV130:$MY130,"Muito Maior")</f>
        <v/>
      </c>
      <c r="QF130" s="155">
        <f>IF($NH130=0,0,CHOOSE(1+INDEX($AC$2:$AC$11,$NH130),0,$QD130,$QE130,$QD130+$QE130))</f>
        <v/>
      </c>
      <c r="QG130" s="155">
        <f>IF($NH130=0,0,CHOOSE(1+INDEX($AD$2:$AD$11,$NH130),0,$QD130,$QE130,$QD130+$QE130))</f>
        <v/>
      </c>
      <c r="QH130" s="155">
        <f>IF(OR($NB130=0,$NH130=0),"",INDEX($AI$2:$AN$41,($NH130-1)*4+IF($MQ130=0,1,IF($MQ130&lt;=5,2,IF($MQ130=6,3,4))),1+MIN(5,$QF130))&amp;INDEX($AO$2:$AT$41,($NH130-1)*4+IF($MQ130=0,1,IF($MQ130&lt;=5,2,IF($MQ130=6,3,4))),1+MIN(5,$QG130))&amp;IF(INDEX($AE$2:$AE$11,$NH130)=1,IF(COUNTIF($MV130:$MY130,"Mais Um")&gt;0," · +"&amp;COUNTIF($MV130:$MY130,"Mais Um")&amp;IF(COUNTIF($MV130:$MY130,"Mais Um")&gt;1," alvos"," alvo"),"")&amp;IF(COUNTIF($MV130:$MY130,"Rajada")&gt;0,IF($MQ130=0," · 1 tiro"," · "&amp;(MAX(1,$MQ130-1)+1)&amp;" tiros"),""),""))</f>
        <v/>
      </c>
      <c r="QI130" s="155">
        <f>IF($NB130=0,"",IF($MQ130=0,$NE130&amp;"d6"&amp;IF($OS130&gt;0," − 1 = "&amp;$PB130&amp;"d6"," da básica do nível "&amp;$NC130),$OZ130&amp;" − "&amp;$OU130&amp;" + "&amp;$OX130&amp;" = "&amp;$PA130&amp;" · teto "&amp;4*$MQ130&amp;"d8"&amp;IF($OD130=1," · a Forma devolve "&amp;$MQ130,"")&amp;IF($OY130&gt;0," · perde "&amp;$OY130,"")))</f>
        <v/>
      </c>
      <c r="QJ130" s="155">
        <f>IF($NB130=0,"",IF($MQ130=0,"A básica não amplia: os dados dela sobem com o nível",IF($MQ130&gt;=$ND130,"Já está na maior Classe que o nível liberou",TEXTJOIN(" · ",TRUE,IF(AND(2&gt;$MQ130,2&lt;=$ND130),"2 → "&amp;$PL130&amp;", 6 PE",""),IF(AND(3&gt;$MQ130,3&lt;=$ND130),"3 → "&amp;$PM130&amp;", 9 PE",""),IF(AND(4&gt;$MQ130,4&lt;=$ND130),"4 → "&amp;$PN130&amp;", 12 PE",""),IF(AND(5&gt;$MQ130,5&lt;=$ND130),"5 → "&amp;$PO130&amp;", 15 PE",""),IF(AND(6&gt;$MQ130,6&lt;=$ND130),"6 → "&amp;$PP130&amp;", 18 PE",""),IF(AND(7&gt;$MQ130,7&lt;=$ND130),"7 → "&amp;$PQ130&amp;", 21 PE","")))))</f>
        <v/>
      </c>
      <c r="QK130" s="155">
        <f>IF(OR($NB130=0,$NM130=0),"",IF($MQ130=0,"−1 dado","−"&amp;INDEX($I$2:$N$8,MAX(1,$MQ130),MAX(1,$NR130))&amp;" · "&amp;CHOOSE(MAX(1,$NR130),"Leve","Média","Pesada","Leve · Livre","Média · Livre","Pesada · Livre")))</f>
        <v/>
      </c>
      <c r="QL130" s="155">
        <f>IF(OR($NB130=0,$NN130=0),"",IF($MQ130=0,"−1 dado","−"&amp;INDEX($I$2:$N$8,MAX(1,$MQ130),MAX(1,$NS130))&amp;" · "&amp;CHOOSE(MAX(1,$NS130),"Leve","Média","Pesada","Leve · Livre","Média · Livre","Pesada · Livre")))</f>
        <v/>
      </c>
      <c r="QM130" s="155">
        <f>IF(OR($NB130=0,$NO130=0),"",IF($MQ130=0,"−1 dado","−"&amp;INDEX($I$2:$N$8,MAX(1,$MQ130),MAX(1,$NT130))&amp;" · "&amp;CHOOSE(MAX(1,$NT130),"Leve","Média","Pesada","Leve · Livre","Média · Livre","Pesada · Livre")))</f>
        <v/>
      </c>
      <c r="QN130" s="155">
        <f>IF(OR($NB130=0,$NP130=0),"",IF($MQ130=0,"−1 dado","−"&amp;INDEX($I$2:$N$8,MAX(1,$MQ130),MAX(1,$NU130))&amp;" · "&amp;CHOOSE(MAX(1,$NU130),"Leve","Média","Pesada","Leve · Livre","Média · Livre","Pesada · Livre")))</f>
        <v/>
      </c>
      <c r="QO130" s="155">
        <f>IF(OR($NB130=0,$MZ130=""),"",IF($MQ130=0,"não devolve","+"&amp;IF($OG130=1,CEILING($MQ130/2,1),$MQ130)))</f>
        <v/>
      </c>
      <c r="QP130" s="155">
        <f>IF(OR($NB130=0,$NA130=""),"",IF($MQ130=0,"não devolve","+"&amp;IF($OH130=1,CEILING($MQ130/2,1),$MQ130)))</f>
        <v/>
      </c>
    </row>
    <row r="131">
      <c r="ML131" s="153" t="inlineStr">
        <is>
          <t>Ficha 10 · Escolha da trilha 3</t>
        </is>
      </c>
      <c r="MM131" s="155" t="n">
        <v>10</v>
      </c>
      <c r="MN131" s="155" t="n">
        <v>2</v>
      </c>
      <c r="MO131" s="155" t="n">
        <v>0</v>
      </c>
      <c r="MP131" s="153" t="inlineStr">
        <is>
          <t>ESCOLHA DA TRILHA 3</t>
        </is>
      </c>
      <c r="MQ131" s="155">
        <f>MAX(0,MIN(7,N('INVOCAÇÕES'!$AN$754)))</f>
        <v/>
      </c>
      <c r="MR131" s="155">
        <f>'INVOCAÇÕES'!$AO$754&amp;""</f>
        <v/>
      </c>
      <c r="MS131" s="155">
        <f>'INVOCAÇÕES'!$AN$759&amp;""</f>
        <v/>
      </c>
      <c r="MT131" s="155">
        <f>'INVOCAÇÕES'!$AN$760&amp;""</f>
        <v/>
      </c>
      <c r="MU131" s="155">
        <f>'INVOCAÇÕES'!$AP$760&amp;""</f>
        <v/>
      </c>
      <c r="MV131" s="155">
        <f>'INVOCAÇÕES'!$AO$763&amp;""</f>
        <v/>
      </c>
      <c r="MW131" s="155">
        <f>'INVOCAÇÕES'!$AO$764&amp;""</f>
        <v/>
      </c>
      <c r="MX131" s="155">
        <f>'INVOCAÇÕES'!$AO$765&amp;""</f>
        <v/>
      </c>
      <c r="MY131" s="155">
        <f>'INVOCAÇÕES'!$AO$766&amp;""</f>
        <v/>
      </c>
      <c r="MZ131" s="155">
        <f>'INVOCAÇÕES'!$AO$767&amp;""</f>
        <v/>
      </c>
      <c r="NA131" s="155">
        <f>'INVOCAÇÕES'!$AO$768&amp;""</f>
        <v/>
      </c>
      <c r="NB131" s="155">
        <f>IF($MR131&lt;&gt;"",1,0)</f>
        <v/>
      </c>
      <c r="NC131" s="155">
        <f>INDEX($FM$2:$FM$13,$MM131)</f>
        <v/>
      </c>
      <c r="ND131" s="155">
        <f>INDEX($FN$2:$FN$13,$MM131)</f>
        <v/>
      </c>
      <c r="NE131" s="155">
        <f>INDEX($FO$2:$FO$13,$MM131)</f>
        <v/>
      </c>
      <c r="NF131" s="155">
        <f>INDEX($FZ$2:$FZ$13,$MM131)</f>
        <v/>
      </c>
      <c r="NG131" s="155">
        <f>INDEX($GA$2:$GA$13,$MM131)</f>
        <v/>
      </c>
      <c r="NH131" s="155">
        <f>IFERROR(MATCH($MS131,$V$2:$V$11,0),0)</f>
        <v/>
      </c>
      <c r="NI131" s="155">
        <f>IFERROR(VLOOKUP($MV131,$AV$2:$BA$84,2,FALSE),"")</f>
        <v/>
      </c>
      <c r="NJ131" s="155">
        <f>IFERROR(VLOOKUP($MW131,$AV$2:$BA$84,2,FALSE),"")</f>
        <v/>
      </c>
      <c r="NK131" s="155">
        <f>IFERROR(VLOOKUP($MX131,$AV$2:$BA$84,2,FALSE),"")</f>
        <v/>
      </c>
      <c r="NL131" s="155">
        <f>IFERROR(VLOOKUP($MY131,$AV$2:$BA$84,2,FALSE),"")</f>
        <v/>
      </c>
      <c r="NM131" s="155">
        <f>IFERROR(VLOOKUP($MV131,$AV$2:$BA$84,3,FALSE),0)</f>
        <v/>
      </c>
      <c r="NN131" s="155">
        <f>IFERROR(VLOOKUP($MW131,$AV$2:$BA$84,3,FALSE),0)</f>
        <v/>
      </c>
      <c r="NO131" s="155">
        <f>IFERROR(VLOOKUP($MX131,$AV$2:$BA$84,3,FALSE),0)</f>
        <v/>
      </c>
      <c r="NP131" s="155">
        <f>IFERROR(VLOOKUP($MY131,$AV$2:$BA$84,3,FALSE),0)</f>
        <v/>
      </c>
      <c r="NQ131" s="155">
        <f>IF($MQ131=0,0,IF($NH131=0,0,INDEX($X$2:$X$11,$NH131)))</f>
        <v/>
      </c>
      <c r="NR131" s="155">
        <f>IF(OR($NM131=0,$MQ131=0),0,$NM131+3*IF(AND($NI131&lt;&gt;"",OR($NI131=INDEX($EJ$2:$EJ$13,$MM131),$NI131=INDEX($EK$2:$EK$13,$MM131))),1,0))</f>
        <v/>
      </c>
      <c r="NS131" s="155">
        <f>IF(OR($NN131=0,$MQ131=0),0,$NN131+3*IF(AND($NJ131&lt;&gt;"",OR($NJ131=INDEX($EJ$2:$EJ$13,$MM131),$NJ131=INDEX($EK$2:$EK$13,$MM131))),1,0))</f>
        <v/>
      </c>
      <c r="NT131" s="155">
        <f>IF(OR($NO131=0,$MQ131=0),0,$NO131+3*IF(AND($NK131&lt;&gt;"",OR($NK131=INDEX($EJ$2:$EJ$13,$MM131),$NK131=INDEX($EK$2:$EK$13,$MM131))),1,0))</f>
        <v/>
      </c>
      <c r="NU131" s="155">
        <f>IF(OR($NP131=0,$MQ131=0),0,$NP131+3*IF(AND($NL131&lt;&gt;"",OR($NL131=INDEX($EJ$2:$EJ$13,$MM131),$NL131=INDEX($EK$2:$EK$13,$MM131))),1,0))</f>
        <v/>
      </c>
      <c r="NV131" s="155">
        <f>IF($NH131=0,0,IF(INDEX($W$2:$W$11,$NH131)="",0,IF(COUNTIF(INDEX($EJ$2:$EN$13,$MM131,0),INDEX($W$2:$W$11,$NH131))=0,1,0)))</f>
        <v/>
      </c>
      <c r="NW131" s="155">
        <f>IF(OR($NM131=0,$NI131=""),0,IF(COUNTIF(INDEX($EJ$2:$EN$13,$MM131,0),$NI131)=0,1,0))</f>
        <v/>
      </c>
      <c r="NX131" s="155">
        <f>IF(OR($NN131=0,$NJ131=""),0,IF(COUNTIF(INDEX($EJ$2:$EN$13,$MM131,0),$NJ131)=0,1,0))</f>
        <v/>
      </c>
      <c r="NY131" s="155">
        <f>IF(OR($NO131=0,$NK131=""),0,IF(COUNTIF(INDEX($EJ$2:$EN$13,$MM131,0),$NK131)=0,1,0))</f>
        <v/>
      </c>
      <c r="NZ131" s="155">
        <f>IF(OR($NP131=0,$NL131=""),0,IF(COUNTIF(INDEX($EJ$2:$EN$13,$MM131,0),$NL131)=0,1,0))</f>
        <v/>
      </c>
      <c r="OA131" s="155">
        <f>IFERROR(VLOOKUP($MV131,$AV$2:$BA$84,4,FALSE),0)+IFERROR(VLOOKUP($MW131,$AV$2:$BA$84,4,FALSE),0)+IFERROR(VLOOKUP($MX131,$AV$2:$BA$84,4,FALSE),0)+IFERROR(VLOOKUP($MY131,$AV$2:$BA$84,4,FALSE),0)</f>
        <v/>
      </c>
      <c r="OB131" s="155">
        <f>IFERROR(VLOOKUP($MV131,$AV$2:$BA$84,6,FALSE),0)+IFERROR(VLOOKUP($MW131,$AV$2:$BA$84,6,FALSE),0)+IFERROR(VLOOKUP($MX131,$AV$2:$BA$84,6,FALSE),0)+IFERROR(VLOOKUP($MY131,$AV$2:$BA$84,6,FALSE),0)</f>
        <v/>
      </c>
      <c r="OC131" s="155">
        <f>TEXTJOIN(", ",TRUE,IF(IFERROR(VLOOKUP($MV131,$AV$2:$BA$84,5,FALSE),0)=1,$MV131,""),IF(IFERROR(VLOOKUP($MW131,$AV$2:$BA$84,5,FALSE),0)=1,$MW131,""),IF(IFERROR(VLOOKUP($MX131,$AV$2:$BA$84,5,FALSE),0)=1,$MX131,""),IF(IFERROR(VLOOKUP($MY131,$AV$2:$BA$84,5,FALSE),0)=1,$MY131,""))</f>
        <v/>
      </c>
      <c r="OD131" s="155">
        <f>IF($NH131=0,0,INDEX($Y$2:$Y$11,$NH131))</f>
        <v/>
      </c>
      <c r="OE131" s="155">
        <f>IF($NH131=0,0,INDEX($Z$2:$Z$11,$NH131))</f>
        <v/>
      </c>
      <c r="OF131" s="155">
        <f>IF($NH131=0,0,INDEX($AB$2:$AB$11,$NH131))</f>
        <v/>
      </c>
      <c r="OG131" s="155">
        <f>IFERROR(VLOOKUP($MZ131,$BC$2:$BG$24,3,FALSE),0)</f>
        <v/>
      </c>
      <c r="OH131" s="155">
        <f>IFERROR(VLOOKUP($NA131,$BC$2:$BG$24,3,FALSE),0)</f>
        <v/>
      </c>
      <c r="OI131" s="155">
        <f>IFERROR(VLOOKUP($MZ131,$BC$2:$BG$24,2,FALSE),"")</f>
        <v/>
      </c>
      <c r="OJ131" s="155">
        <f>IFERROR(VLOOKUP($NA131,$BC$2:$BG$24,2,FALSE),"")</f>
        <v/>
      </c>
      <c r="OK131" s="155">
        <f>COUNTIF($NQ131:$NU131,1)</f>
        <v/>
      </c>
      <c r="OL131" s="155">
        <f>COUNTIF($NQ131:$NU131,2)</f>
        <v/>
      </c>
      <c r="OM131" s="155">
        <f>COUNTIF($NQ131:$NU131,3)</f>
        <v/>
      </c>
      <c r="ON131" s="155">
        <f>COUNTIF($NQ131:$NU131,4)</f>
        <v/>
      </c>
      <c r="OO131" s="155">
        <f>COUNTIF($NQ131:$NU131,5)</f>
        <v/>
      </c>
      <c r="OP131" s="155">
        <f>COUNTIF($NQ131:$NU131,6)</f>
        <v/>
      </c>
      <c r="OQ131" s="155">
        <f>COUNTIF($OG131:$OH131,1)</f>
        <v/>
      </c>
      <c r="OR131" s="155">
        <f>COUNTIF($OG131:$OH131,2)+$OD131</f>
        <v/>
      </c>
      <c r="OS131" s="155">
        <f>COUNTIF($MV131:$MY131,"?*")</f>
        <v/>
      </c>
      <c r="OT131" s="155">
        <f>COUNTIF($MZ131:$NA131,"?*")+$OD131</f>
        <v/>
      </c>
      <c r="OU131" s="155">
        <f>IF($MQ131=0,0,SUMPRODUCT($OK131:$OP131,INDEX($I$2:$N$8,MAX(1,$MQ131),0)))</f>
        <v/>
      </c>
      <c r="OV131" s="155">
        <f>IF($MQ131=0,0,$OQ131*CEILING($MQ131/2,1)+$OR131*$MQ131)</f>
        <v/>
      </c>
      <c r="OW131" s="155">
        <f>MIN(2*$MQ131,$OV131)</f>
        <v/>
      </c>
      <c r="OX131" s="155">
        <f>MIN($OW131,$OU131)</f>
        <v/>
      </c>
      <c r="OY131" s="155">
        <f>$OW131-$OX131</f>
        <v/>
      </c>
      <c r="OZ131" s="155">
        <f>IF($MQ131=0,0,INDEX($P$2:$P$8,MAX(1,$MQ131)))</f>
        <v/>
      </c>
      <c r="PA131" s="155">
        <f>$OZ131-$OU131+$OX131</f>
        <v/>
      </c>
      <c r="PB131" s="155">
        <f>IF($MQ131=0,MAX(0,$NE131-IF($OS131&gt;0,1,0)),MAX(0,$PA131))</f>
        <v/>
      </c>
      <c r="PC131" s="155">
        <f>IF($MQ131=0,0,(IF(COUNTIF($MV131:$MY131,"Salto")&gt;0,1,0)+IF(COUNTIF($MV131:$MY131,"Queima")&gt;0,1,0)+IF(COUNTIF($MV131:$MY131,"Estilhaço")&gt;0,1,0))*FLOOR($PB131/2,1))</f>
        <v/>
      </c>
      <c r="PD131" s="155">
        <f>MAX(0,2-SUMPRODUCT($OK131:$OP131,$I$2:$N$2)+MIN(2,$OQ131*1+$OR131*1,SUMPRODUCT($OK131:$OP131,$I$2:$N$2)))</f>
        <v/>
      </c>
      <c r="PE131" s="155">
        <f>MAX(0,4-SUMPRODUCT($OK131:$OP131,$I$3:$N$3)+MIN(4,$OQ131*1+$OR131*2,SUMPRODUCT($OK131:$OP131,$I$3:$N$3)))</f>
        <v/>
      </c>
      <c r="PF131" s="155">
        <f>MAX(0,6-SUMPRODUCT($OK131:$OP131,$I$4:$N$4)+MIN(6,$OQ131*2+$OR131*3,SUMPRODUCT($OK131:$OP131,$I$4:$N$4)))</f>
        <v/>
      </c>
      <c r="PG131" s="155">
        <f>MAX(0,9-SUMPRODUCT($OK131:$OP131,$I$5:$N$5)+MIN(8,$OQ131*2+$OR131*4,SUMPRODUCT($OK131:$OP131,$I$5:$N$5)))</f>
        <v/>
      </c>
      <c r="PH131" s="155">
        <f>MAX(0,11-SUMPRODUCT($OK131:$OP131,$I$6:$N$6)+MIN(10,$OQ131*3+$OR131*5,SUMPRODUCT($OK131:$OP131,$I$6:$N$6)))</f>
        <v/>
      </c>
      <c r="PI131" s="155">
        <f>MAX(0,13-SUMPRODUCT($OK131:$OP131,$I$7:$N$7)+MIN(12,$OQ131*3+$OR131*6,SUMPRODUCT($OK131:$OP131,$I$7:$N$7)))</f>
        <v/>
      </c>
      <c r="PJ131" s="155">
        <f>MAX(0,16-SUMPRODUCT($OK131:$OP131,$I$8:$N$8)+MIN(14,$OQ131*4+$OR131*7,SUMPRODUCT($OK131:$OP131,$I$8:$N$8)))</f>
        <v/>
      </c>
      <c r="PK131" s="155">
        <f>IF($OE131=2,3*$PD131&amp;" de vida temp.",IF($OE131=3,"sem dano",IF($PD131=0,IF($OE131=1,"sem cura","sem dano"),IF($OE131=1,"cura ","")&amp;$PD131&amp;"d8")))</f>
        <v/>
      </c>
      <c r="PL131" s="155">
        <f>IF($OE131=2,3*$PE131&amp;" de vida temp.",IF($OE131=3,"sem dano",IF($PE131=0,IF($OE131=1,"sem cura","sem dano"),IF($OE131=1,"cura ","")&amp;$PE131&amp;"d8")))</f>
        <v/>
      </c>
      <c r="PM131" s="155">
        <f>IF($OE131=2,3*$PF131&amp;" de vida temp.",IF($OE131=3,"sem dano",IF($PF131=0,IF($OE131=1,"sem cura","sem dano"),IF($OE131=1,"cura ","")&amp;$PF131&amp;"d8")))</f>
        <v/>
      </c>
      <c r="PN131" s="155">
        <f>IF($OE131=2,3*$PG131&amp;" de vida temp.",IF($OE131=3,"sem dano",IF($PG131=0,IF($OE131=1,"sem cura","sem dano"),IF($OE131=1,"cura ","")&amp;$PG131&amp;"d8")))</f>
        <v/>
      </c>
      <c r="PO131" s="155">
        <f>IF($OE131=2,3*$PH131&amp;" de vida temp.",IF($OE131=3,"sem dano",IF($PH131=0,IF($OE131=1,"sem cura","sem dano"),IF($OE131=1,"cura ","")&amp;$PH131&amp;"d8")))</f>
        <v/>
      </c>
      <c r="PP131" s="155">
        <f>IF($OE131=2,3*$PI131&amp;" de vida temp.",IF($OE131=3,"sem dano",IF($PI131=0,IF($OE131=1,"sem cura","sem dano"),IF($OE131=1,"cura ","")&amp;$PI131&amp;"d8")))</f>
        <v/>
      </c>
      <c r="PQ131" s="155">
        <f>IF($OE131=2,3*$PJ131&amp;" de vida temp.",IF($OE131=3,"sem dano",IF($PJ131=0,IF($OE131=1,"sem cura","sem dano"),IF($OE131=1,"cura ","")&amp;$PJ131&amp;"d8")))</f>
        <v/>
      </c>
      <c r="PR131" s="155">
        <f>IF($NB131=0,"",TEXTJOIN(" · ",TRUE,IF($MO131&gt;$NC131,"Este lugar abre no nível "&amp;$MO131,""),IF($MQ131&gt;$ND131,"Classe "&amp;$MQ131&amp;": o nível "&amp;$NC131&amp;" libera até a "&amp;$ND131,""),IF($NV131=1,"A Forma "&amp;$MS131&amp;" pede "&amp;INDEX($W$2:$W$11,$NH131)&amp;" aberta",""),IF(AND($MQ131=0,$NH131&gt;0,IF($NH131=0,0,INDEX($AF$2:$AF$11,$NH131))=0),$MS131&amp;" não existe na Classe 0",""),IF($NW131=1,"Família Fechada: "&amp;$MV131,""),IF($NX131=1,"Família Fechada: "&amp;$MW131,""),IF($NY131=1,"Família Fechada: "&amp;$MX131,""),IF($NZ131=1,"Família Fechada: "&amp;$MY131,""),IF(AND($MQ131&gt;0,$OS131&gt;INDEX($O$2:$O$8,MAX(1,$MQ131))),$OS131&amp;" Melhorias: a Classe "&amp;$MQ131&amp;" aceita "&amp;INDEX($O$2:$O$8,MAX(1,$MQ131)),""),IF(AND($MQ131=0,$OS131&gt;1),"A básica aceita uma Melhoria",""),IF(AND($MQ131=0,COUNTIF($NM131:$NP131,"&gt;1")&gt;0),"A básica só aceita Melhoria Leve",""),IF(AND($MQ131&gt;0,$OT131&gt;2),$OT131&amp;" Restrições"&amp;IF($OD131=1,", contando a que a Forma "&amp;$MS131&amp;" já traz","")&amp;": o limite é 2",""),IF(AND($MQ131=0,COUNTIF($MZ131:$NA131,"?*")&gt;1),"A básica aceita uma Restrição Leve",""),IF(AND($MQ131=0,COUNTIF($OG131:$OH131,2)&gt;0),"A básica só aceita Restrição Leve",""),IF(AND($MQ131&gt;0,$PA131&lt;0),"Orçamento estourado: faltam "&amp;(-$PA131)&amp;IF($PA131&lt;-1," pontos"," ponto"),""),IF(IFERROR(VLOOKUP($MZ131,$BC$2:$BG$24,4,FALSE),0)+IFERROR(VLOOKUP($NA131,$BC$2:$BG$24,4,FALSE),0)&gt;1,$OI131&amp;" e "&amp;$OJ131&amp;" são as duas de frequência",""),IF(AND((COUNTIF($MV131:$MY131,"Rápido")+COUNTIF($OI131:$OJ131,"Rápido"))&gt;0,(COUNTIF($MV131:$MY131,"Atrasar")+COUNTIF($OI131:$OJ131,"Atrasar"))&gt;0),"Rápido não entra com Atrasar",""),IF(AND((COUNTIF($MV131:$MY131,"Reação")+COUNTIF($OI131:$OJ131,"Reação"))&gt;0,(COUNTIF($MV131:$MY131,"Rápido")+COUNTIF($OI131:$OJ131,"Rápido"))&gt;0),"Reação não entra com Rápido",""),IF(AND((COUNTIF($MV131:$MY131,"Reação")+COUNTIF($OI131:$OJ131,"Reação"))&gt;0,(COUNTIF($MV131:$MY131,"Armado")+COUNTIF($OI131:$OJ131,"Armado"))&gt;0),"Reação não entra com Armado",""),IF(AND((COUNTIF($MV131:$MY131,"Reação")+COUNTIF($OI131:$OJ131,"Reação"))&gt;0,(COUNTIF($MV131:$MY131,"Atrasar")+COUNTIF($OI131:$OJ131,"Atrasar"))&gt;0),"Reação não entra com Atrasar",""),IF(AND((COUNTIF($MV131:$MY131,"Reação")+COUNTIF($OI131:$OJ131,"Reação"))&gt;0,(COUNTIF($MV131:$MY131,"Parado")+COUNTIF($OI131:$OJ131,"Parado"))&gt;0),"Reação não entra com Parado",""),IF(AND((COUNTIF($MV131:$MY131,"Atrasar")+COUNTIF($OI131:$OJ131,"Atrasar"))&gt;0,(COUNTIF($MV131:$MY131,"Parado")+COUNTIF($OI131:$OJ131,"Parado"))&gt;0),"Atrasar não entra com Parado",""),IF(AND((COUNTIF($MV131:$MY131,"Armado")+COUNTIF($OI131:$OJ131,"Armado"))&gt;0,(COUNTIF($MV131:$MY131,"Carregar")+COUNTIF($OI131:$OJ131,"Carregar"))&gt;0),"Armado não entra com Carregar",""),IF(AND(COUNTIF($OI131:$OJ131,"Corpo a Corpo")&gt;0,$OD131=0,OR($MS131="Cone",$MS131="Linha")),"Corpo a Corpo não entra em "&amp;$MS131,""),IF(AND(COUNTIF($OI131:$OJ131,"Corpo a Corpo")&gt;0,$OD131=1),"A Forma "&amp;$MS131&amp;" já traz o Corpo a Corpo",""),IF(AND(COUNTIF($OI131:$OJ131,"Tudo ou Nada")&gt;0,$OF131=0),"Tudo ou Nada só entra em habilidade de Teste de Resistência",""),IF(AND(COUNTIF($MV131:$MY131,"Inescapável")&gt;0,OR($OS131&gt;1,$OT131&gt;0)),"Inescapável não aceita outra peça",""),IF(AND($MQ131&gt;0,$PB131*IF(COUNTIF($MV131:$MY131,"Remate")&gt;0,1.25,1)+$PC131&gt;4*$MQ131),($PB131*IF(COUNTIF($MV131:$MY131,"Remate")&gt;0,1.25,1)+$PC131)&amp;" dados somando repetições"&amp;IF(COUNTIF($MV131:$MY131,"Remate")&gt;0," e o Remate","")&amp;": o teto da Classe "&amp;$MQ131&amp;" é "&amp;4*$MQ131,"")))</f>
        <v/>
      </c>
      <c r="PS131" s="155">
        <f>IF($PR131="",0,(LEN($PR131)-LEN(SUBSTITUTE($PR131," · ","")))/3+1)</f>
        <v/>
      </c>
      <c r="PT131" s="155">
        <f>IF($NB131=0,"",TEXTJOIN(" · ",TRUE,IF($OV131&gt;2*$MQ131,"A devolução parou no teto de "&amp;2*$MQ131,""),IF($OY131&gt;0,"Devolução perdida: "&amp;$OY131&amp;IF($OY131&gt;1," pontos"," ponto")&amp;" sem peça para pagar",""),IF(AND($OA131&gt;0,AND($MQ131&gt;0,$OE131=0),$PB131=0),"Controle sem dano: uma rodada a mais e CD +2",""),IF(AND($OA131&gt;0,AND($MQ131&gt;0,$OE131=0),$PB131&gt;0,$PB131&lt;=$MQ131),"Controle com saldo até a Classe: uma rodada a mais",""),IF(AND($MQ131&gt;0,$OC131&lt;&gt;""),"Efeito de "&amp;$OC131&amp;" pela Classe "&amp;MAX(1,$MQ131-1),"")))</f>
        <v/>
      </c>
      <c r="PU131" s="155">
        <f>IF($PT131="",0,(LEN($PT131)-LEN(SUBSTITUTE($PT131," · ","")))/3+1)</f>
        <v/>
      </c>
      <c r="PV131" s="155">
        <f>IF($NB131=0,IF($OS131+COUNTIF($MZ131:$NA131,"?*")&gt;0,"Dê um nome",""),IF($PS131&gt;0,"⚠ "&amp;$PS131&amp;IF($PS131&gt;1," erros"," erro"),IF($PU131&gt;0,"! "&amp;$PU131&amp;IF($PU131&gt;1," avisos"," aviso"),"Na regra")))</f>
        <v/>
      </c>
      <c r="PW131" s="155">
        <f>IF($NB131=0,"",IF($PS131+$PU131=0,"Dentro das regras que a ficha confere",$PR131&amp;IF(AND($PS131&gt;0,$PU131&gt;0)," · ","")&amp;$PT131))</f>
        <v/>
      </c>
      <c r="PX131" s="155">
        <f>IF($MO131&gt;$NC131,$MP131&amp;" · ABRE NO NÍVEL "&amp;$MO131,$MP131)</f>
        <v/>
      </c>
      <c r="PY131" s="155">
        <f>IF($NB131=0,"",IF($MQ131=0,"Sem PE",3*$MQ131&amp;" PE"))</f>
        <v/>
      </c>
      <c r="PZ131" s="155">
        <f>IF($NB131=0,"",IF($MQ131=0,"A atuação básica dela",IF(COUNTIF($OI131:$OJ131,"Atrasar")&gt;0,"Sua Ação Completa",IF(COUNTIF($MV131:$MY131,"Rápido")&gt;0,"Sua Bônus",IF(COUNTIF($MV131:$MY131,"Reação")&gt;0,"Sua Reação","Sua Padrão")))&amp;" + a básica dela"&amp;IF(COUNTIF($MV131:$MY131,"Reação")&gt;0," e a coletiva","")&amp;IF(COUNTIF($OI131:$OJ131,"Carregar")&gt;0," · em dois turnos","")))</f>
        <v/>
      </c>
      <c r="QA131" s="155">
        <f>IF($MU131&lt;&gt;"",$MU131,IF($NH131=0,"",INDEX($AA$2:$AA$11,$NH131)))</f>
        <v/>
      </c>
      <c r="QB131" s="155">
        <f>IF(OR($NB131=0,$NH131=0),"",IF(COUNTIF($MV131:$MY131,"Inescapável")&gt;0,"Automático",IF($QA131="Ataque",IF($NF131="","Ataque","Ataque "&amp;IF(($NF131+2*IF(COUNTIF($MV131:$MY131,"Precisão")&gt;0,1,0))&gt;=0,"+","−")&amp;ABS(($NF131+2*IF(COUNTIF($MV131:$MY131,"Precisão")&gt;0,1,0))))&amp;IF($OB131&gt;0," · TR"&amp;IF($NG131="",""," CD "&amp;$NG131),""),IF(LEFT($QA131,2)="TR",$QA131&amp;IF($NG131="",""," · CD "&amp;$NG131)&amp;IF(COUNTIF($MV131:$MY131,"Certeiro")&gt;0," · metade",""),"Sem rolagem"))))</f>
        <v/>
      </c>
      <c r="QC131" s="155">
        <f>IF(OR($NB131=0,$NH131=0),"",IF($MQ131=0,IF(OR($OE131&gt;=1,$PB131=0),"Sem dano",$PB131&amp;"d6"&amp;IF($MT131="",""," "&amp;$MT131)),IF(OR($OE131&gt;=1,$PB131=0),UPPER(LEFT(INDEX($PK131:$PQ131,1,MAX(1,$MQ131)),1))&amp;MID(INDEX($PK131:$PQ131,1,MAX(1,$MQ131)),2,99),UPPER(LEFT(INDEX($PK131:$PQ131,1,MAX(1,$MQ131)),1))&amp;MID(INDEX($PK131:$PQ131,1,MAX(1,$MQ131)),2,99)&amp;IF($MT131="",""," "&amp;$MT131)&amp;IF($PC131&gt;0," · +"&amp;$PC131&amp;"d8",""))))</f>
        <v/>
      </c>
      <c r="QD131" s="155">
        <f>COUNTIF($MV131:$MY131,"Longe")+3*COUNTIF($MV131:$MY131,"Muito Longe")</f>
        <v/>
      </c>
      <c r="QE131" s="155">
        <f>COUNTIF($MV131:$MY131,"Maior")+3*COUNTIF($MV131:$MY131,"Muito Maior")</f>
        <v/>
      </c>
      <c r="QF131" s="155">
        <f>IF($NH131=0,0,CHOOSE(1+INDEX($AC$2:$AC$11,$NH131),0,$QD131,$QE131,$QD131+$QE131))</f>
        <v/>
      </c>
      <c r="QG131" s="155">
        <f>IF($NH131=0,0,CHOOSE(1+INDEX($AD$2:$AD$11,$NH131),0,$QD131,$QE131,$QD131+$QE131))</f>
        <v/>
      </c>
      <c r="QH131" s="155">
        <f>IF(OR($NB131=0,$NH131=0),"",INDEX($AI$2:$AN$41,($NH131-1)*4+IF($MQ131=0,1,IF($MQ131&lt;=5,2,IF($MQ131=6,3,4))),1+MIN(5,$QF131))&amp;INDEX($AO$2:$AT$41,($NH131-1)*4+IF($MQ131=0,1,IF($MQ131&lt;=5,2,IF($MQ131=6,3,4))),1+MIN(5,$QG131))&amp;IF(INDEX($AE$2:$AE$11,$NH131)=1,IF(COUNTIF($MV131:$MY131,"Mais Um")&gt;0," · +"&amp;COUNTIF($MV131:$MY131,"Mais Um")&amp;IF(COUNTIF($MV131:$MY131,"Mais Um")&gt;1," alvos"," alvo"),"")&amp;IF(COUNTIF($MV131:$MY131,"Rajada")&gt;0,IF($MQ131=0," · 1 tiro"," · "&amp;(MAX(1,$MQ131-1)+1)&amp;" tiros"),""),""))</f>
        <v/>
      </c>
      <c r="QI131" s="155">
        <f>IF($NB131=0,"",IF($MQ131=0,$NE131&amp;"d6"&amp;IF($OS131&gt;0," − 1 = "&amp;$PB131&amp;"d6"," da básica do nível "&amp;$NC131),$OZ131&amp;" − "&amp;$OU131&amp;" + "&amp;$OX131&amp;" = "&amp;$PA131&amp;" · teto "&amp;4*$MQ131&amp;"d8"&amp;IF($OD131=1," · a Forma devolve "&amp;$MQ131,"")&amp;IF($OY131&gt;0," · perde "&amp;$OY131,"")))</f>
        <v/>
      </c>
      <c r="QJ131" s="155">
        <f>IF($NB131=0,"",IF($MQ131=0,"A básica não amplia: os dados dela sobem com o nível",IF($MQ131&gt;=$ND131,"Já está na maior Classe que o nível liberou",TEXTJOIN(" · ",TRUE,IF(AND(2&gt;$MQ131,2&lt;=$ND131),"2 → "&amp;$PL131&amp;", 6 PE",""),IF(AND(3&gt;$MQ131,3&lt;=$ND131),"3 → "&amp;$PM131&amp;", 9 PE",""),IF(AND(4&gt;$MQ131,4&lt;=$ND131),"4 → "&amp;$PN131&amp;", 12 PE",""),IF(AND(5&gt;$MQ131,5&lt;=$ND131),"5 → "&amp;$PO131&amp;", 15 PE",""),IF(AND(6&gt;$MQ131,6&lt;=$ND131),"6 → "&amp;$PP131&amp;", 18 PE",""),IF(AND(7&gt;$MQ131,7&lt;=$ND131),"7 → "&amp;$PQ131&amp;", 21 PE","")))))</f>
        <v/>
      </c>
      <c r="QK131" s="155">
        <f>IF(OR($NB131=0,$NM131=0),"",IF($MQ131=0,"−1 dado","−"&amp;INDEX($I$2:$N$8,MAX(1,$MQ131),MAX(1,$NR131))&amp;" · "&amp;CHOOSE(MAX(1,$NR131),"Leve","Média","Pesada","Leve · Livre","Média · Livre","Pesada · Livre")))</f>
        <v/>
      </c>
      <c r="QL131" s="155">
        <f>IF(OR($NB131=0,$NN131=0),"",IF($MQ131=0,"−1 dado","−"&amp;INDEX($I$2:$N$8,MAX(1,$MQ131),MAX(1,$NS131))&amp;" · "&amp;CHOOSE(MAX(1,$NS131),"Leve","Média","Pesada","Leve · Livre","Média · Livre","Pesada · Livre")))</f>
        <v/>
      </c>
      <c r="QM131" s="155">
        <f>IF(OR($NB131=0,$NO131=0),"",IF($MQ131=0,"−1 dado","−"&amp;INDEX($I$2:$N$8,MAX(1,$MQ131),MAX(1,$NT131))&amp;" · "&amp;CHOOSE(MAX(1,$NT131),"Leve","Média","Pesada","Leve · Livre","Média · Livre","Pesada · Livre")))</f>
        <v/>
      </c>
      <c r="QN131" s="155">
        <f>IF(OR($NB131=0,$NP131=0),"",IF($MQ131=0,"−1 dado","−"&amp;INDEX($I$2:$N$8,MAX(1,$MQ131),MAX(1,$NU131))&amp;" · "&amp;CHOOSE(MAX(1,$NU131),"Leve","Média","Pesada","Leve · Livre","Média · Livre","Pesada · Livre")))</f>
        <v/>
      </c>
      <c r="QO131" s="155">
        <f>IF(OR($NB131=0,$MZ131=""),"",IF($MQ131=0,"não devolve","+"&amp;IF($OG131=1,CEILING($MQ131/2,1),$MQ131)))</f>
        <v/>
      </c>
      <c r="QP131" s="155">
        <f>IF(OR($NB131=0,$NA131=""),"",IF($MQ131=0,"não devolve","+"&amp;IF($OH131=1,CEILING($MQ131/2,1),$MQ131)))</f>
        <v/>
      </c>
    </row>
    <row r="132">
      <c r="ML132" s="153" t="inlineStr">
        <is>
          <t>Ficha 11 · Básica 1</t>
        </is>
      </c>
      <c r="MM132" s="155" t="n">
        <v>11</v>
      </c>
      <c r="MN132" s="155" t="n">
        <v>0</v>
      </c>
      <c r="MO132" s="155" t="n">
        <v>1</v>
      </c>
      <c r="MP132" s="153" t="inlineStr">
        <is>
          <t>BÁSICA 1</t>
        </is>
      </c>
      <c r="MQ132" s="155" t="n">
        <v>0</v>
      </c>
      <c r="MR132" s="155">
        <f>'INVOCAÇÕES'!$AC$850&amp;""</f>
        <v/>
      </c>
      <c r="MS132" s="155">
        <f>'INVOCAÇÕES'!$AB$855&amp;""</f>
        <v/>
      </c>
      <c r="MT132" s="155">
        <f>'INVOCAÇÕES'!$AB$856&amp;""</f>
        <v/>
      </c>
      <c r="MU132" s="155">
        <f>'INVOCAÇÕES'!$AD$856&amp;""</f>
        <v/>
      </c>
      <c r="MV132" s="155">
        <f>'INVOCAÇÕES'!$AC$859&amp;""</f>
        <v/>
      </c>
      <c r="MW132" s="155">
        <f>'INVOCAÇÕES'!$AC$860&amp;""</f>
        <v/>
      </c>
      <c r="MX132" s="155">
        <f>'INVOCAÇÕES'!$AC$861&amp;""</f>
        <v/>
      </c>
      <c r="MY132" s="155">
        <f>'INVOCAÇÕES'!$AC$862&amp;""</f>
        <v/>
      </c>
      <c r="MZ132" s="155">
        <f>'INVOCAÇÕES'!$AC$863&amp;""</f>
        <v/>
      </c>
      <c r="NA132" s="155">
        <f>'INVOCAÇÕES'!$AC$864&amp;""</f>
        <v/>
      </c>
      <c r="NB132" s="155">
        <f>IF($MR132&lt;&gt;"",1,0)</f>
        <v/>
      </c>
      <c r="NC132" s="155">
        <f>INDEX($FM$2:$FM$13,$MM132)</f>
        <v/>
      </c>
      <c r="ND132" s="155">
        <f>INDEX($FN$2:$FN$13,$MM132)</f>
        <v/>
      </c>
      <c r="NE132" s="155">
        <f>INDEX($FO$2:$FO$13,$MM132)</f>
        <v/>
      </c>
      <c r="NF132" s="155">
        <f>INDEX($FZ$2:$FZ$13,$MM132)</f>
        <v/>
      </c>
      <c r="NG132" s="155">
        <f>INDEX($GA$2:$GA$13,$MM132)</f>
        <v/>
      </c>
      <c r="NH132" s="155">
        <f>IFERROR(MATCH($MS132,$V$2:$V$11,0),0)</f>
        <v/>
      </c>
      <c r="NI132" s="155">
        <f>IFERROR(VLOOKUP($MV132,$AV$2:$BA$84,2,FALSE),"")</f>
        <v/>
      </c>
      <c r="NJ132" s="155">
        <f>IFERROR(VLOOKUP($MW132,$AV$2:$BA$84,2,FALSE),"")</f>
        <v/>
      </c>
      <c r="NK132" s="155">
        <f>IFERROR(VLOOKUP($MX132,$AV$2:$BA$84,2,FALSE),"")</f>
        <v/>
      </c>
      <c r="NL132" s="155">
        <f>IFERROR(VLOOKUP($MY132,$AV$2:$BA$84,2,FALSE),"")</f>
        <v/>
      </c>
      <c r="NM132" s="155">
        <f>IFERROR(VLOOKUP($MV132,$AV$2:$BA$84,3,FALSE),0)</f>
        <v/>
      </c>
      <c r="NN132" s="155">
        <f>IFERROR(VLOOKUP($MW132,$AV$2:$BA$84,3,FALSE),0)</f>
        <v/>
      </c>
      <c r="NO132" s="155">
        <f>IFERROR(VLOOKUP($MX132,$AV$2:$BA$84,3,FALSE),0)</f>
        <v/>
      </c>
      <c r="NP132" s="155">
        <f>IFERROR(VLOOKUP($MY132,$AV$2:$BA$84,3,FALSE),0)</f>
        <v/>
      </c>
      <c r="NQ132" s="155">
        <f>IF($MQ132=0,0,IF($NH132=0,0,INDEX($X$2:$X$11,$NH132)))</f>
        <v/>
      </c>
      <c r="NR132" s="155">
        <f>IF(OR($NM132=0,$MQ132=0),0,$NM132+3*IF(AND($NI132&lt;&gt;"",OR($NI132=INDEX($EJ$2:$EJ$13,$MM132),$NI132=INDEX($EK$2:$EK$13,$MM132))),1,0))</f>
        <v/>
      </c>
      <c r="NS132" s="155">
        <f>IF(OR($NN132=0,$MQ132=0),0,$NN132+3*IF(AND($NJ132&lt;&gt;"",OR($NJ132=INDEX($EJ$2:$EJ$13,$MM132),$NJ132=INDEX($EK$2:$EK$13,$MM132))),1,0))</f>
        <v/>
      </c>
      <c r="NT132" s="155">
        <f>IF(OR($NO132=0,$MQ132=0),0,$NO132+3*IF(AND($NK132&lt;&gt;"",OR($NK132=INDEX($EJ$2:$EJ$13,$MM132),$NK132=INDEX($EK$2:$EK$13,$MM132))),1,0))</f>
        <v/>
      </c>
      <c r="NU132" s="155">
        <f>IF(OR($NP132=0,$MQ132=0),0,$NP132+3*IF(AND($NL132&lt;&gt;"",OR($NL132=INDEX($EJ$2:$EJ$13,$MM132),$NL132=INDEX($EK$2:$EK$13,$MM132))),1,0))</f>
        <v/>
      </c>
      <c r="NV132" s="155">
        <f>IF($NH132=0,0,IF(INDEX($W$2:$W$11,$NH132)="",0,IF(COUNTIF(INDEX($EJ$2:$EN$13,$MM132,0),INDEX($W$2:$W$11,$NH132))=0,1,0)))</f>
        <v/>
      </c>
      <c r="NW132" s="155">
        <f>IF(OR($NM132=0,$NI132=""),0,IF(COUNTIF(INDEX($EJ$2:$EN$13,$MM132,0),$NI132)=0,1,0))</f>
        <v/>
      </c>
      <c r="NX132" s="155">
        <f>IF(OR($NN132=0,$NJ132=""),0,IF(COUNTIF(INDEX($EJ$2:$EN$13,$MM132,0),$NJ132)=0,1,0))</f>
        <v/>
      </c>
      <c r="NY132" s="155">
        <f>IF(OR($NO132=0,$NK132=""),0,IF(COUNTIF(INDEX($EJ$2:$EN$13,$MM132,0),$NK132)=0,1,0))</f>
        <v/>
      </c>
      <c r="NZ132" s="155">
        <f>IF(OR($NP132=0,$NL132=""),0,IF(COUNTIF(INDEX($EJ$2:$EN$13,$MM132,0),$NL132)=0,1,0))</f>
        <v/>
      </c>
      <c r="OA132" s="155">
        <f>IFERROR(VLOOKUP($MV132,$AV$2:$BA$84,4,FALSE),0)+IFERROR(VLOOKUP($MW132,$AV$2:$BA$84,4,FALSE),0)+IFERROR(VLOOKUP($MX132,$AV$2:$BA$84,4,FALSE),0)+IFERROR(VLOOKUP($MY132,$AV$2:$BA$84,4,FALSE),0)</f>
        <v/>
      </c>
      <c r="OB132" s="155">
        <f>IFERROR(VLOOKUP($MV132,$AV$2:$BA$84,6,FALSE),0)+IFERROR(VLOOKUP($MW132,$AV$2:$BA$84,6,FALSE),0)+IFERROR(VLOOKUP($MX132,$AV$2:$BA$84,6,FALSE),0)+IFERROR(VLOOKUP($MY132,$AV$2:$BA$84,6,FALSE),0)</f>
        <v/>
      </c>
      <c r="OC132" s="155">
        <f>TEXTJOIN(", ",TRUE,IF(IFERROR(VLOOKUP($MV132,$AV$2:$BA$84,5,FALSE),0)=1,$MV132,""),IF(IFERROR(VLOOKUP($MW132,$AV$2:$BA$84,5,FALSE),0)=1,$MW132,""),IF(IFERROR(VLOOKUP($MX132,$AV$2:$BA$84,5,FALSE),0)=1,$MX132,""),IF(IFERROR(VLOOKUP($MY132,$AV$2:$BA$84,5,FALSE),0)=1,$MY132,""))</f>
        <v/>
      </c>
      <c r="OD132" s="155">
        <f>IF($NH132=0,0,INDEX($Y$2:$Y$11,$NH132))</f>
        <v/>
      </c>
      <c r="OE132" s="155">
        <f>IF($NH132=0,0,INDEX($Z$2:$Z$11,$NH132))</f>
        <v/>
      </c>
      <c r="OF132" s="155">
        <f>IF($NH132=0,0,INDEX($AB$2:$AB$11,$NH132))</f>
        <v/>
      </c>
      <c r="OG132" s="155">
        <f>IFERROR(VLOOKUP($MZ132,$BC$2:$BG$24,3,FALSE),0)</f>
        <v/>
      </c>
      <c r="OH132" s="155">
        <f>IFERROR(VLOOKUP($NA132,$BC$2:$BG$24,3,FALSE),0)</f>
        <v/>
      </c>
      <c r="OI132" s="155">
        <f>IFERROR(VLOOKUP($MZ132,$BC$2:$BG$24,2,FALSE),"")</f>
        <v/>
      </c>
      <c r="OJ132" s="155">
        <f>IFERROR(VLOOKUP($NA132,$BC$2:$BG$24,2,FALSE),"")</f>
        <v/>
      </c>
      <c r="OK132" s="155">
        <f>COUNTIF($NQ132:$NU132,1)</f>
        <v/>
      </c>
      <c r="OL132" s="155">
        <f>COUNTIF($NQ132:$NU132,2)</f>
        <v/>
      </c>
      <c r="OM132" s="155">
        <f>COUNTIF($NQ132:$NU132,3)</f>
        <v/>
      </c>
      <c r="ON132" s="155">
        <f>COUNTIF($NQ132:$NU132,4)</f>
        <v/>
      </c>
      <c r="OO132" s="155">
        <f>COUNTIF($NQ132:$NU132,5)</f>
        <v/>
      </c>
      <c r="OP132" s="155">
        <f>COUNTIF($NQ132:$NU132,6)</f>
        <v/>
      </c>
      <c r="OQ132" s="155">
        <f>COUNTIF($OG132:$OH132,1)</f>
        <v/>
      </c>
      <c r="OR132" s="155">
        <f>COUNTIF($OG132:$OH132,2)+$OD132</f>
        <v/>
      </c>
      <c r="OS132" s="155">
        <f>COUNTIF($MV132:$MY132,"?*")</f>
        <v/>
      </c>
      <c r="OT132" s="155">
        <f>COUNTIF($MZ132:$NA132,"?*")+$OD132</f>
        <v/>
      </c>
      <c r="OU132" s="155">
        <f>IF($MQ132=0,0,SUMPRODUCT($OK132:$OP132,INDEX($I$2:$N$8,MAX(1,$MQ132),0)))</f>
        <v/>
      </c>
      <c r="OV132" s="155">
        <f>IF($MQ132=0,0,$OQ132*CEILING($MQ132/2,1)+$OR132*$MQ132)</f>
        <v/>
      </c>
      <c r="OW132" s="155">
        <f>MIN(2*$MQ132,$OV132)</f>
        <v/>
      </c>
      <c r="OX132" s="155">
        <f>MIN($OW132,$OU132)</f>
        <v/>
      </c>
      <c r="OY132" s="155">
        <f>$OW132-$OX132</f>
        <v/>
      </c>
      <c r="OZ132" s="155">
        <f>IF($MQ132=0,0,INDEX($P$2:$P$8,MAX(1,$MQ132)))</f>
        <v/>
      </c>
      <c r="PA132" s="155">
        <f>$OZ132-$OU132+$OX132</f>
        <v/>
      </c>
      <c r="PB132" s="155">
        <f>IF($MQ132=0,MAX(0,$NE132-IF($OS132&gt;0,1,0)),MAX(0,$PA132))</f>
        <v/>
      </c>
      <c r="PC132" s="155">
        <f>IF($MQ132=0,0,(IF(COUNTIF($MV132:$MY132,"Salto")&gt;0,1,0)+IF(COUNTIF($MV132:$MY132,"Queima")&gt;0,1,0)+IF(COUNTIF($MV132:$MY132,"Estilhaço")&gt;0,1,0))*FLOOR($PB132/2,1))</f>
        <v/>
      </c>
      <c r="PD132" s="155">
        <f>MAX(0,2-SUMPRODUCT($OK132:$OP132,$I$2:$N$2)+MIN(2,$OQ132*1+$OR132*1,SUMPRODUCT($OK132:$OP132,$I$2:$N$2)))</f>
        <v/>
      </c>
      <c r="PE132" s="155">
        <f>MAX(0,4-SUMPRODUCT($OK132:$OP132,$I$3:$N$3)+MIN(4,$OQ132*1+$OR132*2,SUMPRODUCT($OK132:$OP132,$I$3:$N$3)))</f>
        <v/>
      </c>
      <c r="PF132" s="155">
        <f>MAX(0,6-SUMPRODUCT($OK132:$OP132,$I$4:$N$4)+MIN(6,$OQ132*2+$OR132*3,SUMPRODUCT($OK132:$OP132,$I$4:$N$4)))</f>
        <v/>
      </c>
      <c r="PG132" s="155">
        <f>MAX(0,9-SUMPRODUCT($OK132:$OP132,$I$5:$N$5)+MIN(8,$OQ132*2+$OR132*4,SUMPRODUCT($OK132:$OP132,$I$5:$N$5)))</f>
        <v/>
      </c>
      <c r="PH132" s="155">
        <f>MAX(0,11-SUMPRODUCT($OK132:$OP132,$I$6:$N$6)+MIN(10,$OQ132*3+$OR132*5,SUMPRODUCT($OK132:$OP132,$I$6:$N$6)))</f>
        <v/>
      </c>
      <c r="PI132" s="155">
        <f>MAX(0,13-SUMPRODUCT($OK132:$OP132,$I$7:$N$7)+MIN(12,$OQ132*3+$OR132*6,SUMPRODUCT($OK132:$OP132,$I$7:$N$7)))</f>
        <v/>
      </c>
      <c r="PJ132" s="155">
        <f>MAX(0,16-SUMPRODUCT($OK132:$OP132,$I$8:$N$8)+MIN(14,$OQ132*4+$OR132*7,SUMPRODUCT($OK132:$OP132,$I$8:$N$8)))</f>
        <v/>
      </c>
      <c r="PK132" s="155">
        <f>IF($OE132=2,3*$PD132&amp;" de vida temp.",IF($OE132=3,"sem dano",IF($PD132=0,IF($OE132=1,"sem cura","sem dano"),IF($OE132=1,"cura ","")&amp;$PD132&amp;"d8")))</f>
        <v/>
      </c>
      <c r="PL132" s="155">
        <f>IF($OE132=2,3*$PE132&amp;" de vida temp.",IF($OE132=3,"sem dano",IF($PE132=0,IF($OE132=1,"sem cura","sem dano"),IF($OE132=1,"cura ","")&amp;$PE132&amp;"d8")))</f>
        <v/>
      </c>
      <c r="PM132" s="155">
        <f>IF($OE132=2,3*$PF132&amp;" de vida temp.",IF($OE132=3,"sem dano",IF($PF132=0,IF($OE132=1,"sem cura","sem dano"),IF($OE132=1,"cura ","")&amp;$PF132&amp;"d8")))</f>
        <v/>
      </c>
      <c r="PN132" s="155">
        <f>IF($OE132=2,3*$PG132&amp;" de vida temp.",IF($OE132=3,"sem dano",IF($PG132=0,IF($OE132=1,"sem cura","sem dano"),IF($OE132=1,"cura ","")&amp;$PG132&amp;"d8")))</f>
        <v/>
      </c>
      <c r="PO132" s="155">
        <f>IF($OE132=2,3*$PH132&amp;" de vida temp.",IF($OE132=3,"sem dano",IF($PH132=0,IF($OE132=1,"sem cura","sem dano"),IF($OE132=1,"cura ","")&amp;$PH132&amp;"d8")))</f>
        <v/>
      </c>
      <c r="PP132" s="155">
        <f>IF($OE132=2,3*$PI132&amp;" de vida temp.",IF($OE132=3,"sem dano",IF($PI132=0,IF($OE132=1,"sem cura","sem dano"),IF($OE132=1,"cura ","")&amp;$PI132&amp;"d8")))</f>
        <v/>
      </c>
      <c r="PQ132" s="155">
        <f>IF($OE132=2,3*$PJ132&amp;" de vida temp.",IF($OE132=3,"sem dano",IF($PJ132=0,IF($OE132=1,"sem cura","sem dano"),IF($OE132=1,"cura ","")&amp;$PJ132&amp;"d8")))</f>
        <v/>
      </c>
      <c r="PR132" s="155">
        <f>IF($NB132=0,"",TEXTJOIN(" · ",TRUE,IF($MO132&gt;$NC132,"Este lugar abre no nível "&amp;$MO132,""),IF($MQ132&gt;$ND132,"Classe "&amp;$MQ132&amp;": o nível "&amp;$NC132&amp;" libera até a "&amp;$ND132,""),IF($NV132=1,"A Forma "&amp;$MS132&amp;" pede "&amp;INDEX($W$2:$W$11,$NH132)&amp;" aberta",""),IF(AND($MQ132=0,$NH132&gt;0,IF($NH132=0,0,INDEX($AF$2:$AF$11,$NH132))=0),$MS132&amp;" não existe na Classe 0",""),IF($NW132=1,"Família Fechada: "&amp;$MV132,""),IF($NX132=1,"Família Fechada: "&amp;$MW132,""),IF($NY132=1,"Família Fechada: "&amp;$MX132,""),IF($NZ132=1,"Família Fechada: "&amp;$MY132,""),IF(AND($MQ132&gt;0,$OS132&gt;INDEX($O$2:$O$8,MAX(1,$MQ132))),$OS132&amp;" Melhorias: a Classe "&amp;$MQ132&amp;" aceita "&amp;INDEX($O$2:$O$8,MAX(1,$MQ132)),""),IF(AND($MQ132=0,$OS132&gt;1),"A básica aceita uma Melhoria",""),IF(AND($MQ132=0,COUNTIF($NM132:$NP132,"&gt;1")&gt;0),"A básica só aceita Melhoria Leve",""),IF(AND($MQ132&gt;0,$OT132&gt;2),$OT132&amp;" Restrições"&amp;IF($OD132=1,", contando a que a Forma "&amp;$MS132&amp;" já traz","")&amp;": o limite é 2",""),IF(AND($MQ132=0,COUNTIF($MZ132:$NA132,"?*")&gt;1),"A básica aceita uma Restrição Leve",""),IF(AND($MQ132=0,COUNTIF($OG132:$OH132,2)&gt;0),"A básica só aceita Restrição Leve",""),IF(AND($MQ132&gt;0,$PA132&lt;0),"Orçamento estourado: faltam "&amp;(-$PA132)&amp;IF($PA132&lt;-1," pontos"," ponto"),""),IF(IFERROR(VLOOKUP($MZ132,$BC$2:$BG$24,4,FALSE),0)+IFERROR(VLOOKUP($NA132,$BC$2:$BG$24,4,FALSE),0)&gt;1,$OI132&amp;" e "&amp;$OJ132&amp;" são as duas de frequência",""),IF(AND((COUNTIF($MV132:$MY132,"Rápido")+COUNTIF($OI132:$OJ132,"Rápido"))&gt;0,(COUNTIF($MV132:$MY132,"Atrasar")+COUNTIF($OI132:$OJ132,"Atrasar"))&gt;0),"Rápido não entra com Atrasar",""),IF(AND((COUNTIF($MV132:$MY132,"Reação")+COUNTIF($OI132:$OJ132,"Reação"))&gt;0,(COUNTIF($MV132:$MY132,"Rápido")+COUNTIF($OI132:$OJ132,"Rápido"))&gt;0),"Reação não entra com Rápido",""),IF(AND((COUNTIF($MV132:$MY132,"Reação")+COUNTIF($OI132:$OJ132,"Reação"))&gt;0,(COUNTIF($MV132:$MY132,"Armado")+COUNTIF($OI132:$OJ132,"Armado"))&gt;0),"Reação não entra com Armado",""),IF(AND((COUNTIF($MV132:$MY132,"Reação")+COUNTIF($OI132:$OJ132,"Reação"))&gt;0,(COUNTIF($MV132:$MY132,"Atrasar")+COUNTIF($OI132:$OJ132,"Atrasar"))&gt;0),"Reação não entra com Atrasar",""),IF(AND((COUNTIF($MV132:$MY132,"Reação")+COUNTIF($OI132:$OJ132,"Reação"))&gt;0,(COUNTIF($MV132:$MY132,"Parado")+COUNTIF($OI132:$OJ132,"Parado"))&gt;0),"Reação não entra com Parado",""),IF(AND((COUNTIF($MV132:$MY132,"Atrasar")+COUNTIF($OI132:$OJ132,"Atrasar"))&gt;0,(COUNTIF($MV132:$MY132,"Parado")+COUNTIF($OI132:$OJ132,"Parado"))&gt;0),"Atrasar não entra com Parado",""),IF(AND((COUNTIF($MV132:$MY132,"Armado")+COUNTIF($OI132:$OJ132,"Armado"))&gt;0,(COUNTIF($MV132:$MY132,"Carregar")+COUNTIF($OI132:$OJ132,"Carregar"))&gt;0),"Armado não entra com Carregar",""),IF(AND(COUNTIF($OI132:$OJ132,"Corpo a Corpo")&gt;0,$OD132=0,OR($MS132="Cone",$MS132="Linha")),"Corpo a Corpo não entra em "&amp;$MS132,""),IF(AND(COUNTIF($OI132:$OJ132,"Corpo a Corpo")&gt;0,$OD132=1),"A Forma "&amp;$MS132&amp;" já traz o Corpo a Corpo",""),IF(AND(COUNTIF($OI132:$OJ132,"Tudo ou Nada")&gt;0,$OF132=0),"Tudo ou Nada só entra em habilidade de Teste de Resistência",""),IF(AND(COUNTIF($MV132:$MY132,"Inescapável")&gt;0,OR($OS132&gt;1,$OT132&gt;0)),"Inescapável não aceita outra peça",""),IF(AND($MQ132&gt;0,$PB132*IF(COUNTIF($MV132:$MY132,"Remate")&gt;0,1.25,1)+$PC132&gt;4*$MQ132),($PB132*IF(COUNTIF($MV132:$MY132,"Remate")&gt;0,1.25,1)+$PC132)&amp;" dados somando repetições"&amp;IF(COUNTIF($MV132:$MY132,"Remate")&gt;0," e o Remate","")&amp;": o teto da Classe "&amp;$MQ132&amp;" é "&amp;4*$MQ132,"")))</f>
        <v/>
      </c>
      <c r="PS132" s="155">
        <f>IF($PR132="",0,(LEN($PR132)-LEN(SUBSTITUTE($PR132," · ","")))/3+1)</f>
        <v/>
      </c>
      <c r="PT132" s="155">
        <f>IF($NB132=0,"",TEXTJOIN(" · ",TRUE,IF($OV132&gt;2*$MQ132,"A devolução parou no teto de "&amp;2*$MQ132,""),IF($OY132&gt;0,"Devolução perdida: "&amp;$OY132&amp;IF($OY132&gt;1," pontos"," ponto")&amp;" sem peça para pagar",""),IF(AND($OA132&gt;0,AND($MQ132&gt;0,$OE132=0),$PB132=0),"Controle sem dano: uma rodada a mais e CD +2",""),IF(AND($OA132&gt;0,AND($MQ132&gt;0,$OE132=0),$PB132&gt;0,$PB132&lt;=$MQ132),"Controle com saldo até a Classe: uma rodada a mais",""),IF(AND($MQ132&gt;0,$OC132&lt;&gt;""),"Efeito de "&amp;$OC132&amp;" pela Classe "&amp;MAX(1,$MQ132-1),"")))</f>
        <v/>
      </c>
      <c r="PU132" s="155">
        <f>IF($PT132="",0,(LEN($PT132)-LEN(SUBSTITUTE($PT132," · ","")))/3+1)</f>
        <v/>
      </c>
      <c r="PV132" s="155">
        <f>IF($NB132=0,IF($OS132+COUNTIF($MZ132:$NA132,"?*")&gt;0,"Dê um nome",""),IF($PS132&gt;0,"⚠ "&amp;$PS132&amp;IF($PS132&gt;1," erros"," erro"),IF($PU132&gt;0,"! "&amp;$PU132&amp;IF($PU132&gt;1," avisos"," aviso"),"Na regra")))</f>
        <v/>
      </c>
      <c r="PW132" s="155">
        <f>IF($NB132=0,"",IF($PS132+$PU132=0,"Dentro das regras que a ficha confere",$PR132&amp;IF(AND($PS132&gt;0,$PU132&gt;0)," · ","")&amp;$PT132))</f>
        <v/>
      </c>
      <c r="PX132" s="155">
        <f>IF($MO132&gt;$NC132,$MP132&amp;" · ABRE NO NÍVEL "&amp;$MO132,$MP132)</f>
        <v/>
      </c>
      <c r="PY132" s="155">
        <f>IF($NB132=0,"",IF($MQ132=0,"Sem PE",3*$MQ132&amp;" PE"))</f>
        <v/>
      </c>
      <c r="PZ132" s="155">
        <f>IF($NB132=0,"",IF($MQ132=0,"A atuação básica dela",IF(COUNTIF($OI132:$OJ132,"Atrasar")&gt;0,"Sua Ação Completa",IF(COUNTIF($MV132:$MY132,"Rápido")&gt;0,"Sua Bônus",IF(COUNTIF($MV132:$MY132,"Reação")&gt;0,"Sua Reação","Sua Padrão")))&amp;" + a básica dela"&amp;IF(COUNTIF($MV132:$MY132,"Reação")&gt;0," e a coletiva","")&amp;IF(COUNTIF($OI132:$OJ132,"Carregar")&gt;0," · em dois turnos","")))</f>
        <v/>
      </c>
      <c r="QA132" s="155">
        <f>IF($MU132&lt;&gt;"",$MU132,IF($NH132=0,"",INDEX($AA$2:$AA$11,$NH132)))</f>
        <v/>
      </c>
      <c r="QB132" s="155">
        <f>IF(OR($NB132=0,$NH132=0),"",IF(COUNTIF($MV132:$MY132,"Inescapável")&gt;0,"Automático",IF($QA132="Ataque",IF($NF132="","Ataque","Ataque "&amp;IF(($NF132+2*IF(COUNTIF($MV132:$MY132,"Precisão")&gt;0,1,0))&gt;=0,"+","−")&amp;ABS(($NF132+2*IF(COUNTIF($MV132:$MY132,"Precisão")&gt;0,1,0))))&amp;IF($OB132&gt;0," · TR"&amp;IF($NG132="",""," CD "&amp;$NG132),""),IF(LEFT($QA132,2)="TR",$QA132&amp;IF($NG132="",""," · CD "&amp;$NG132)&amp;IF(COUNTIF($MV132:$MY132,"Certeiro")&gt;0," · metade",""),"Sem rolagem"))))</f>
        <v/>
      </c>
      <c r="QC132" s="155">
        <f>IF(OR($NB132=0,$NH132=0),"",IF($MQ132=0,IF(OR($OE132&gt;=1,$PB132=0),"Sem dano",$PB132&amp;"d6"&amp;IF($MT132="",""," "&amp;$MT132)),IF(OR($OE132&gt;=1,$PB132=0),UPPER(LEFT(INDEX($PK132:$PQ132,1,MAX(1,$MQ132)),1))&amp;MID(INDEX($PK132:$PQ132,1,MAX(1,$MQ132)),2,99),UPPER(LEFT(INDEX($PK132:$PQ132,1,MAX(1,$MQ132)),1))&amp;MID(INDEX($PK132:$PQ132,1,MAX(1,$MQ132)),2,99)&amp;IF($MT132="",""," "&amp;$MT132)&amp;IF($PC132&gt;0," · +"&amp;$PC132&amp;"d8",""))))</f>
        <v/>
      </c>
      <c r="QD132" s="155">
        <f>COUNTIF($MV132:$MY132,"Longe")+3*COUNTIF($MV132:$MY132,"Muito Longe")</f>
        <v/>
      </c>
      <c r="QE132" s="155">
        <f>COUNTIF($MV132:$MY132,"Maior")+3*COUNTIF($MV132:$MY132,"Muito Maior")</f>
        <v/>
      </c>
      <c r="QF132" s="155">
        <f>IF($NH132=0,0,CHOOSE(1+INDEX($AC$2:$AC$11,$NH132),0,$QD132,$QE132,$QD132+$QE132))</f>
        <v/>
      </c>
      <c r="QG132" s="155">
        <f>IF($NH132=0,0,CHOOSE(1+INDEX($AD$2:$AD$11,$NH132),0,$QD132,$QE132,$QD132+$QE132))</f>
        <v/>
      </c>
      <c r="QH132" s="155">
        <f>IF(OR($NB132=0,$NH132=0),"",INDEX($AI$2:$AN$41,($NH132-1)*4+IF($MQ132=0,1,IF($MQ132&lt;=5,2,IF($MQ132=6,3,4))),1+MIN(5,$QF132))&amp;INDEX($AO$2:$AT$41,($NH132-1)*4+IF($MQ132=0,1,IF($MQ132&lt;=5,2,IF($MQ132=6,3,4))),1+MIN(5,$QG132))&amp;IF(INDEX($AE$2:$AE$11,$NH132)=1,IF(COUNTIF($MV132:$MY132,"Mais Um")&gt;0," · +"&amp;COUNTIF($MV132:$MY132,"Mais Um")&amp;IF(COUNTIF($MV132:$MY132,"Mais Um")&gt;1," alvos"," alvo"),"")&amp;IF(COUNTIF($MV132:$MY132,"Rajada")&gt;0,IF($MQ132=0," · 1 tiro"," · "&amp;(MAX(1,$MQ132-1)+1)&amp;" tiros"),""),""))</f>
        <v/>
      </c>
      <c r="QI132" s="155">
        <f>IF($NB132=0,"",IF($MQ132=0,$NE132&amp;"d6"&amp;IF($OS132&gt;0," − 1 = "&amp;$PB132&amp;"d6"," da básica do nível "&amp;$NC132),$OZ132&amp;" − "&amp;$OU132&amp;" + "&amp;$OX132&amp;" = "&amp;$PA132&amp;" · teto "&amp;4*$MQ132&amp;"d8"&amp;IF($OD132=1," · a Forma devolve "&amp;$MQ132,"")&amp;IF($OY132&gt;0," · perde "&amp;$OY132,"")))</f>
        <v/>
      </c>
      <c r="QJ132" s="155">
        <f>IF($NB132=0,"",IF($MQ132=0,"A básica não amplia: os dados dela sobem com o nível",IF($MQ132&gt;=$ND132,"Já está na maior Classe que o nível liberou",TEXTJOIN(" · ",TRUE,IF(AND(2&gt;$MQ132,2&lt;=$ND132),"2 → "&amp;$PL132&amp;", 6 PE",""),IF(AND(3&gt;$MQ132,3&lt;=$ND132),"3 → "&amp;$PM132&amp;", 9 PE",""),IF(AND(4&gt;$MQ132,4&lt;=$ND132),"4 → "&amp;$PN132&amp;", 12 PE",""),IF(AND(5&gt;$MQ132,5&lt;=$ND132),"5 → "&amp;$PO132&amp;", 15 PE",""),IF(AND(6&gt;$MQ132,6&lt;=$ND132),"6 → "&amp;$PP132&amp;", 18 PE",""),IF(AND(7&gt;$MQ132,7&lt;=$ND132),"7 → "&amp;$PQ132&amp;", 21 PE","")))))</f>
        <v/>
      </c>
      <c r="QK132" s="155">
        <f>IF(OR($NB132=0,$NM132=0),"",IF($MQ132=0,"−1 dado","−"&amp;INDEX($I$2:$N$8,MAX(1,$MQ132),MAX(1,$NR132))&amp;" · "&amp;CHOOSE(MAX(1,$NR132),"Leve","Média","Pesada","Leve · Livre","Média · Livre","Pesada · Livre")))</f>
        <v/>
      </c>
      <c r="QL132" s="155">
        <f>IF(OR($NB132=0,$NN132=0),"",IF($MQ132=0,"−1 dado","−"&amp;INDEX($I$2:$N$8,MAX(1,$MQ132),MAX(1,$NS132))&amp;" · "&amp;CHOOSE(MAX(1,$NS132),"Leve","Média","Pesada","Leve · Livre","Média · Livre","Pesada · Livre")))</f>
        <v/>
      </c>
      <c r="QM132" s="155">
        <f>IF(OR($NB132=0,$NO132=0),"",IF($MQ132=0,"−1 dado","−"&amp;INDEX($I$2:$N$8,MAX(1,$MQ132),MAX(1,$NT132))&amp;" · "&amp;CHOOSE(MAX(1,$NT132),"Leve","Média","Pesada","Leve · Livre","Média · Livre","Pesada · Livre")))</f>
        <v/>
      </c>
      <c r="QN132" s="155">
        <f>IF(OR($NB132=0,$NP132=0),"",IF($MQ132=0,"−1 dado","−"&amp;INDEX($I$2:$N$8,MAX(1,$MQ132),MAX(1,$NU132))&amp;" · "&amp;CHOOSE(MAX(1,$NU132),"Leve","Média","Pesada","Leve · Livre","Média · Livre","Pesada · Livre")))</f>
        <v/>
      </c>
      <c r="QO132" s="155">
        <f>IF(OR($NB132=0,$MZ132=""),"",IF($MQ132=0,"não devolve","+"&amp;IF($OG132=1,CEILING($MQ132/2,1),$MQ132)))</f>
        <v/>
      </c>
      <c r="QP132" s="155">
        <f>IF(OR($NB132=0,$NA132=""),"",IF($MQ132=0,"não devolve","+"&amp;IF($OH132=1,CEILING($MQ132/2,1),$MQ132)))</f>
        <v/>
      </c>
    </row>
    <row r="133">
      <c r="ML133" s="153" t="inlineStr">
        <is>
          <t>Ficha 11 · Especial 1</t>
        </is>
      </c>
      <c r="MM133" s="155" t="n">
        <v>11</v>
      </c>
      <c r="MN133" s="155" t="n">
        <v>1</v>
      </c>
      <c r="MO133" s="155" t="n">
        <v>1</v>
      </c>
      <c r="MP133" s="153" t="inlineStr">
        <is>
          <t>ESPECIAL 1</t>
        </is>
      </c>
      <c r="MQ133" s="155">
        <f>MAX(1,MIN(7,N('INVOCAÇÕES'!$AH$850)))</f>
        <v/>
      </c>
      <c r="MR133" s="155">
        <f>'INVOCAÇÕES'!$AI$850&amp;""</f>
        <v/>
      </c>
      <c r="MS133" s="155">
        <f>'INVOCAÇÕES'!$AH$855&amp;""</f>
        <v/>
      </c>
      <c r="MT133" s="155">
        <f>'INVOCAÇÕES'!$AH$856&amp;""</f>
        <v/>
      </c>
      <c r="MU133" s="155">
        <f>'INVOCAÇÕES'!$AJ$856&amp;""</f>
        <v/>
      </c>
      <c r="MV133" s="155">
        <f>'INVOCAÇÕES'!$AI$859&amp;""</f>
        <v/>
      </c>
      <c r="MW133" s="155">
        <f>'INVOCAÇÕES'!$AI$860&amp;""</f>
        <v/>
      </c>
      <c r="MX133" s="155">
        <f>'INVOCAÇÕES'!$AI$861&amp;""</f>
        <v/>
      </c>
      <c r="MY133" s="155">
        <f>'INVOCAÇÕES'!$AI$862&amp;""</f>
        <v/>
      </c>
      <c r="MZ133" s="155">
        <f>'INVOCAÇÕES'!$AI$863&amp;""</f>
        <v/>
      </c>
      <c r="NA133" s="155">
        <f>'INVOCAÇÕES'!$AI$864&amp;""</f>
        <v/>
      </c>
      <c r="NB133" s="155">
        <f>IF($MR133&lt;&gt;"",1,0)</f>
        <v/>
      </c>
      <c r="NC133" s="155">
        <f>INDEX($FM$2:$FM$13,$MM133)</f>
        <v/>
      </c>
      <c r="ND133" s="155">
        <f>INDEX($FN$2:$FN$13,$MM133)</f>
        <v/>
      </c>
      <c r="NE133" s="155">
        <f>INDEX($FO$2:$FO$13,$MM133)</f>
        <v/>
      </c>
      <c r="NF133" s="155">
        <f>INDEX($FZ$2:$FZ$13,$MM133)</f>
        <v/>
      </c>
      <c r="NG133" s="155">
        <f>INDEX($GA$2:$GA$13,$MM133)</f>
        <v/>
      </c>
      <c r="NH133" s="155">
        <f>IFERROR(MATCH($MS133,$V$2:$V$11,0),0)</f>
        <v/>
      </c>
      <c r="NI133" s="155">
        <f>IFERROR(VLOOKUP($MV133,$AV$2:$BA$84,2,FALSE),"")</f>
        <v/>
      </c>
      <c r="NJ133" s="155">
        <f>IFERROR(VLOOKUP($MW133,$AV$2:$BA$84,2,FALSE),"")</f>
        <v/>
      </c>
      <c r="NK133" s="155">
        <f>IFERROR(VLOOKUP($MX133,$AV$2:$BA$84,2,FALSE),"")</f>
        <v/>
      </c>
      <c r="NL133" s="155">
        <f>IFERROR(VLOOKUP($MY133,$AV$2:$BA$84,2,FALSE),"")</f>
        <v/>
      </c>
      <c r="NM133" s="155">
        <f>IFERROR(VLOOKUP($MV133,$AV$2:$BA$84,3,FALSE),0)</f>
        <v/>
      </c>
      <c r="NN133" s="155">
        <f>IFERROR(VLOOKUP($MW133,$AV$2:$BA$84,3,FALSE),0)</f>
        <v/>
      </c>
      <c r="NO133" s="155">
        <f>IFERROR(VLOOKUP($MX133,$AV$2:$BA$84,3,FALSE),0)</f>
        <v/>
      </c>
      <c r="NP133" s="155">
        <f>IFERROR(VLOOKUP($MY133,$AV$2:$BA$84,3,FALSE),0)</f>
        <v/>
      </c>
      <c r="NQ133" s="155">
        <f>IF($MQ133=0,0,IF($NH133=0,0,INDEX($X$2:$X$11,$NH133)))</f>
        <v/>
      </c>
      <c r="NR133" s="155">
        <f>IF(OR($NM133=0,$MQ133=0),0,$NM133+3*IF(AND($NI133&lt;&gt;"",OR($NI133=INDEX($EJ$2:$EJ$13,$MM133),$NI133=INDEX($EK$2:$EK$13,$MM133))),1,0))</f>
        <v/>
      </c>
      <c r="NS133" s="155">
        <f>IF(OR($NN133=0,$MQ133=0),0,$NN133+3*IF(AND($NJ133&lt;&gt;"",OR($NJ133=INDEX($EJ$2:$EJ$13,$MM133),$NJ133=INDEX($EK$2:$EK$13,$MM133))),1,0))</f>
        <v/>
      </c>
      <c r="NT133" s="155">
        <f>IF(OR($NO133=0,$MQ133=0),0,$NO133+3*IF(AND($NK133&lt;&gt;"",OR($NK133=INDEX($EJ$2:$EJ$13,$MM133),$NK133=INDEX($EK$2:$EK$13,$MM133))),1,0))</f>
        <v/>
      </c>
      <c r="NU133" s="155">
        <f>IF(OR($NP133=0,$MQ133=0),0,$NP133+3*IF(AND($NL133&lt;&gt;"",OR($NL133=INDEX($EJ$2:$EJ$13,$MM133),$NL133=INDEX($EK$2:$EK$13,$MM133))),1,0))</f>
        <v/>
      </c>
      <c r="NV133" s="155">
        <f>IF($NH133=0,0,IF(INDEX($W$2:$W$11,$NH133)="",0,IF(COUNTIF(INDEX($EJ$2:$EN$13,$MM133,0),INDEX($W$2:$W$11,$NH133))=0,1,0)))</f>
        <v/>
      </c>
      <c r="NW133" s="155">
        <f>IF(OR($NM133=0,$NI133=""),0,IF(COUNTIF(INDEX($EJ$2:$EN$13,$MM133,0),$NI133)=0,1,0))</f>
        <v/>
      </c>
      <c r="NX133" s="155">
        <f>IF(OR($NN133=0,$NJ133=""),0,IF(COUNTIF(INDEX($EJ$2:$EN$13,$MM133,0),$NJ133)=0,1,0))</f>
        <v/>
      </c>
      <c r="NY133" s="155">
        <f>IF(OR($NO133=0,$NK133=""),0,IF(COUNTIF(INDEX($EJ$2:$EN$13,$MM133,0),$NK133)=0,1,0))</f>
        <v/>
      </c>
      <c r="NZ133" s="155">
        <f>IF(OR($NP133=0,$NL133=""),0,IF(COUNTIF(INDEX($EJ$2:$EN$13,$MM133,0),$NL133)=0,1,0))</f>
        <v/>
      </c>
      <c r="OA133" s="155">
        <f>IFERROR(VLOOKUP($MV133,$AV$2:$BA$84,4,FALSE),0)+IFERROR(VLOOKUP($MW133,$AV$2:$BA$84,4,FALSE),0)+IFERROR(VLOOKUP($MX133,$AV$2:$BA$84,4,FALSE),0)+IFERROR(VLOOKUP($MY133,$AV$2:$BA$84,4,FALSE),0)</f>
        <v/>
      </c>
      <c r="OB133" s="155">
        <f>IFERROR(VLOOKUP($MV133,$AV$2:$BA$84,6,FALSE),0)+IFERROR(VLOOKUP($MW133,$AV$2:$BA$84,6,FALSE),0)+IFERROR(VLOOKUP($MX133,$AV$2:$BA$84,6,FALSE),0)+IFERROR(VLOOKUP($MY133,$AV$2:$BA$84,6,FALSE),0)</f>
        <v/>
      </c>
      <c r="OC133" s="155">
        <f>TEXTJOIN(", ",TRUE,IF(IFERROR(VLOOKUP($MV133,$AV$2:$BA$84,5,FALSE),0)=1,$MV133,""),IF(IFERROR(VLOOKUP($MW133,$AV$2:$BA$84,5,FALSE),0)=1,$MW133,""),IF(IFERROR(VLOOKUP($MX133,$AV$2:$BA$84,5,FALSE),0)=1,$MX133,""),IF(IFERROR(VLOOKUP($MY133,$AV$2:$BA$84,5,FALSE),0)=1,$MY133,""))</f>
        <v/>
      </c>
      <c r="OD133" s="155">
        <f>IF($NH133=0,0,INDEX($Y$2:$Y$11,$NH133))</f>
        <v/>
      </c>
      <c r="OE133" s="155">
        <f>IF($NH133=0,0,INDEX($Z$2:$Z$11,$NH133))</f>
        <v/>
      </c>
      <c r="OF133" s="155">
        <f>IF($NH133=0,0,INDEX($AB$2:$AB$11,$NH133))</f>
        <v/>
      </c>
      <c r="OG133" s="155">
        <f>IFERROR(VLOOKUP($MZ133,$BC$2:$BG$24,3,FALSE),0)</f>
        <v/>
      </c>
      <c r="OH133" s="155">
        <f>IFERROR(VLOOKUP($NA133,$BC$2:$BG$24,3,FALSE),0)</f>
        <v/>
      </c>
      <c r="OI133" s="155">
        <f>IFERROR(VLOOKUP($MZ133,$BC$2:$BG$24,2,FALSE),"")</f>
        <v/>
      </c>
      <c r="OJ133" s="155">
        <f>IFERROR(VLOOKUP($NA133,$BC$2:$BG$24,2,FALSE),"")</f>
        <v/>
      </c>
      <c r="OK133" s="155">
        <f>COUNTIF($NQ133:$NU133,1)</f>
        <v/>
      </c>
      <c r="OL133" s="155">
        <f>COUNTIF($NQ133:$NU133,2)</f>
        <v/>
      </c>
      <c r="OM133" s="155">
        <f>COUNTIF($NQ133:$NU133,3)</f>
        <v/>
      </c>
      <c r="ON133" s="155">
        <f>COUNTIF($NQ133:$NU133,4)</f>
        <v/>
      </c>
      <c r="OO133" s="155">
        <f>COUNTIF($NQ133:$NU133,5)</f>
        <v/>
      </c>
      <c r="OP133" s="155">
        <f>COUNTIF($NQ133:$NU133,6)</f>
        <v/>
      </c>
      <c r="OQ133" s="155">
        <f>COUNTIF($OG133:$OH133,1)</f>
        <v/>
      </c>
      <c r="OR133" s="155">
        <f>COUNTIF($OG133:$OH133,2)+$OD133</f>
        <v/>
      </c>
      <c r="OS133" s="155">
        <f>COUNTIF($MV133:$MY133,"?*")</f>
        <v/>
      </c>
      <c r="OT133" s="155">
        <f>COUNTIF($MZ133:$NA133,"?*")+$OD133</f>
        <v/>
      </c>
      <c r="OU133" s="155">
        <f>IF($MQ133=0,0,SUMPRODUCT($OK133:$OP133,INDEX($I$2:$N$8,MAX(1,$MQ133),0)))</f>
        <v/>
      </c>
      <c r="OV133" s="155">
        <f>IF($MQ133=0,0,$OQ133*CEILING($MQ133/2,1)+$OR133*$MQ133)</f>
        <v/>
      </c>
      <c r="OW133" s="155">
        <f>MIN(2*$MQ133,$OV133)</f>
        <v/>
      </c>
      <c r="OX133" s="155">
        <f>MIN($OW133,$OU133)</f>
        <v/>
      </c>
      <c r="OY133" s="155">
        <f>$OW133-$OX133</f>
        <v/>
      </c>
      <c r="OZ133" s="155">
        <f>IF($MQ133=0,0,INDEX($P$2:$P$8,MAX(1,$MQ133)))</f>
        <v/>
      </c>
      <c r="PA133" s="155">
        <f>$OZ133-$OU133+$OX133</f>
        <v/>
      </c>
      <c r="PB133" s="155">
        <f>IF($MQ133=0,MAX(0,$NE133-IF($OS133&gt;0,1,0)),MAX(0,$PA133))</f>
        <v/>
      </c>
      <c r="PC133" s="155">
        <f>IF($MQ133=0,0,(IF(COUNTIF($MV133:$MY133,"Salto")&gt;0,1,0)+IF(COUNTIF($MV133:$MY133,"Queima")&gt;0,1,0)+IF(COUNTIF($MV133:$MY133,"Estilhaço")&gt;0,1,0))*FLOOR($PB133/2,1))</f>
        <v/>
      </c>
      <c r="PD133" s="155">
        <f>MAX(0,2-SUMPRODUCT($OK133:$OP133,$I$2:$N$2)+MIN(2,$OQ133*1+$OR133*1,SUMPRODUCT($OK133:$OP133,$I$2:$N$2)))</f>
        <v/>
      </c>
      <c r="PE133" s="155">
        <f>MAX(0,4-SUMPRODUCT($OK133:$OP133,$I$3:$N$3)+MIN(4,$OQ133*1+$OR133*2,SUMPRODUCT($OK133:$OP133,$I$3:$N$3)))</f>
        <v/>
      </c>
      <c r="PF133" s="155">
        <f>MAX(0,6-SUMPRODUCT($OK133:$OP133,$I$4:$N$4)+MIN(6,$OQ133*2+$OR133*3,SUMPRODUCT($OK133:$OP133,$I$4:$N$4)))</f>
        <v/>
      </c>
      <c r="PG133" s="155">
        <f>MAX(0,9-SUMPRODUCT($OK133:$OP133,$I$5:$N$5)+MIN(8,$OQ133*2+$OR133*4,SUMPRODUCT($OK133:$OP133,$I$5:$N$5)))</f>
        <v/>
      </c>
      <c r="PH133" s="155">
        <f>MAX(0,11-SUMPRODUCT($OK133:$OP133,$I$6:$N$6)+MIN(10,$OQ133*3+$OR133*5,SUMPRODUCT($OK133:$OP133,$I$6:$N$6)))</f>
        <v/>
      </c>
      <c r="PI133" s="155">
        <f>MAX(0,13-SUMPRODUCT($OK133:$OP133,$I$7:$N$7)+MIN(12,$OQ133*3+$OR133*6,SUMPRODUCT($OK133:$OP133,$I$7:$N$7)))</f>
        <v/>
      </c>
      <c r="PJ133" s="155">
        <f>MAX(0,16-SUMPRODUCT($OK133:$OP133,$I$8:$N$8)+MIN(14,$OQ133*4+$OR133*7,SUMPRODUCT($OK133:$OP133,$I$8:$N$8)))</f>
        <v/>
      </c>
      <c r="PK133" s="155">
        <f>IF($OE133=2,3*$PD133&amp;" de vida temp.",IF($OE133=3,"sem dano",IF($PD133=0,IF($OE133=1,"sem cura","sem dano"),IF($OE133=1,"cura ","")&amp;$PD133&amp;"d8")))</f>
        <v/>
      </c>
      <c r="PL133" s="155">
        <f>IF($OE133=2,3*$PE133&amp;" de vida temp.",IF($OE133=3,"sem dano",IF($PE133=0,IF($OE133=1,"sem cura","sem dano"),IF($OE133=1,"cura ","")&amp;$PE133&amp;"d8")))</f>
        <v/>
      </c>
      <c r="PM133" s="155">
        <f>IF($OE133=2,3*$PF133&amp;" de vida temp.",IF($OE133=3,"sem dano",IF($PF133=0,IF($OE133=1,"sem cura","sem dano"),IF($OE133=1,"cura ","")&amp;$PF133&amp;"d8")))</f>
        <v/>
      </c>
      <c r="PN133" s="155">
        <f>IF($OE133=2,3*$PG133&amp;" de vida temp.",IF($OE133=3,"sem dano",IF($PG133=0,IF($OE133=1,"sem cura","sem dano"),IF($OE133=1,"cura ","")&amp;$PG133&amp;"d8")))</f>
        <v/>
      </c>
      <c r="PO133" s="155">
        <f>IF($OE133=2,3*$PH133&amp;" de vida temp.",IF($OE133=3,"sem dano",IF($PH133=0,IF($OE133=1,"sem cura","sem dano"),IF($OE133=1,"cura ","")&amp;$PH133&amp;"d8")))</f>
        <v/>
      </c>
      <c r="PP133" s="155">
        <f>IF($OE133=2,3*$PI133&amp;" de vida temp.",IF($OE133=3,"sem dano",IF($PI133=0,IF($OE133=1,"sem cura","sem dano"),IF($OE133=1,"cura ","")&amp;$PI133&amp;"d8")))</f>
        <v/>
      </c>
      <c r="PQ133" s="155">
        <f>IF($OE133=2,3*$PJ133&amp;" de vida temp.",IF($OE133=3,"sem dano",IF($PJ133=0,IF($OE133=1,"sem cura","sem dano"),IF($OE133=1,"cura ","")&amp;$PJ133&amp;"d8")))</f>
        <v/>
      </c>
      <c r="PR133" s="155">
        <f>IF($NB133=0,"",TEXTJOIN(" · ",TRUE,IF($MO133&gt;$NC133,"Este lugar abre no nível "&amp;$MO133,""),IF($MQ133&gt;$ND133,"Classe "&amp;$MQ133&amp;": o nível "&amp;$NC133&amp;" libera até a "&amp;$ND133,""),IF($NV133=1,"A Forma "&amp;$MS133&amp;" pede "&amp;INDEX($W$2:$W$11,$NH133)&amp;" aberta",""),IF(AND($MQ133=0,$NH133&gt;0,IF($NH133=0,0,INDEX($AF$2:$AF$11,$NH133))=0),$MS133&amp;" não existe na Classe 0",""),IF($NW133=1,"Família Fechada: "&amp;$MV133,""),IF($NX133=1,"Família Fechada: "&amp;$MW133,""),IF($NY133=1,"Família Fechada: "&amp;$MX133,""),IF($NZ133=1,"Família Fechada: "&amp;$MY133,""),IF(AND($MQ133&gt;0,$OS133&gt;INDEX($O$2:$O$8,MAX(1,$MQ133))),$OS133&amp;" Melhorias: a Classe "&amp;$MQ133&amp;" aceita "&amp;INDEX($O$2:$O$8,MAX(1,$MQ133)),""),IF(AND($MQ133=0,$OS133&gt;1),"A básica aceita uma Melhoria",""),IF(AND($MQ133=0,COUNTIF($NM133:$NP133,"&gt;1")&gt;0),"A básica só aceita Melhoria Leve",""),IF(AND($MQ133&gt;0,$OT133&gt;2),$OT133&amp;" Restrições"&amp;IF($OD133=1,", contando a que a Forma "&amp;$MS133&amp;" já traz","")&amp;": o limite é 2",""),IF(AND($MQ133=0,COUNTIF($MZ133:$NA133,"?*")&gt;1),"A básica aceita uma Restrição Leve",""),IF(AND($MQ133=0,COUNTIF($OG133:$OH133,2)&gt;0),"A básica só aceita Restrição Leve",""),IF(AND($MQ133&gt;0,$PA133&lt;0),"Orçamento estourado: faltam "&amp;(-$PA133)&amp;IF($PA133&lt;-1," pontos"," ponto"),""),IF(IFERROR(VLOOKUP($MZ133,$BC$2:$BG$24,4,FALSE),0)+IFERROR(VLOOKUP($NA133,$BC$2:$BG$24,4,FALSE),0)&gt;1,$OI133&amp;" e "&amp;$OJ133&amp;" são as duas de frequência",""),IF(AND((COUNTIF($MV133:$MY133,"Rápido")+COUNTIF($OI133:$OJ133,"Rápido"))&gt;0,(COUNTIF($MV133:$MY133,"Atrasar")+COUNTIF($OI133:$OJ133,"Atrasar"))&gt;0),"Rápido não entra com Atrasar",""),IF(AND((COUNTIF($MV133:$MY133,"Reação")+COUNTIF($OI133:$OJ133,"Reação"))&gt;0,(COUNTIF($MV133:$MY133,"Rápido")+COUNTIF($OI133:$OJ133,"Rápido"))&gt;0),"Reação não entra com Rápido",""),IF(AND((COUNTIF($MV133:$MY133,"Reação")+COUNTIF($OI133:$OJ133,"Reação"))&gt;0,(COUNTIF($MV133:$MY133,"Armado")+COUNTIF($OI133:$OJ133,"Armado"))&gt;0),"Reação não entra com Armado",""),IF(AND((COUNTIF($MV133:$MY133,"Reação")+COUNTIF($OI133:$OJ133,"Reação"))&gt;0,(COUNTIF($MV133:$MY133,"Atrasar")+COUNTIF($OI133:$OJ133,"Atrasar"))&gt;0),"Reação não entra com Atrasar",""),IF(AND((COUNTIF($MV133:$MY133,"Reação")+COUNTIF($OI133:$OJ133,"Reação"))&gt;0,(COUNTIF($MV133:$MY133,"Parado")+COUNTIF($OI133:$OJ133,"Parado"))&gt;0),"Reação não entra com Parado",""),IF(AND((COUNTIF($MV133:$MY133,"Atrasar")+COUNTIF($OI133:$OJ133,"Atrasar"))&gt;0,(COUNTIF($MV133:$MY133,"Parado")+COUNTIF($OI133:$OJ133,"Parado"))&gt;0),"Atrasar não entra com Parado",""),IF(AND((COUNTIF($MV133:$MY133,"Armado")+COUNTIF($OI133:$OJ133,"Armado"))&gt;0,(COUNTIF($MV133:$MY133,"Carregar")+COUNTIF($OI133:$OJ133,"Carregar"))&gt;0),"Armado não entra com Carregar",""),IF(AND(COUNTIF($OI133:$OJ133,"Corpo a Corpo")&gt;0,$OD133=0,OR($MS133="Cone",$MS133="Linha")),"Corpo a Corpo não entra em "&amp;$MS133,""),IF(AND(COUNTIF($OI133:$OJ133,"Corpo a Corpo")&gt;0,$OD133=1),"A Forma "&amp;$MS133&amp;" já traz o Corpo a Corpo",""),IF(AND(COUNTIF($OI133:$OJ133,"Tudo ou Nada")&gt;0,$OF133=0),"Tudo ou Nada só entra em habilidade de Teste de Resistência",""),IF(AND(COUNTIF($MV133:$MY133,"Inescapável")&gt;0,OR($OS133&gt;1,$OT133&gt;0)),"Inescapável não aceita outra peça",""),IF(AND($MQ133&gt;0,$PB133*IF(COUNTIF($MV133:$MY133,"Remate")&gt;0,1.25,1)+$PC133&gt;4*$MQ133),($PB133*IF(COUNTIF($MV133:$MY133,"Remate")&gt;0,1.25,1)+$PC133)&amp;" dados somando repetições"&amp;IF(COUNTIF($MV133:$MY133,"Remate")&gt;0," e o Remate","")&amp;": o teto da Classe "&amp;$MQ133&amp;" é "&amp;4*$MQ133,"")))</f>
        <v/>
      </c>
      <c r="PS133" s="155">
        <f>IF($PR133="",0,(LEN($PR133)-LEN(SUBSTITUTE($PR133," · ","")))/3+1)</f>
        <v/>
      </c>
      <c r="PT133" s="155">
        <f>IF($NB133=0,"",TEXTJOIN(" · ",TRUE,IF($OV133&gt;2*$MQ133,"A devolução parou no teto de "&amp;2*$MQ133,""),IF($OY133&gt;0,"Devolução perdida: "&amp;$OY133&amp;IF($OY133&gt;1," pontos"," ponto")&amp;" sem peça para pagar",""),IF(AND($OA133&gt;0,AND($MQ133&gt;0,$OE133=0),$PB133=0),"Controle sem dano: uma rodada a mais e CD +2",""),IF(AND($OA133&gt;0,AND($MQ133&gt;0,$OE133=0),$PB133&gt;0,$PB133&lt;=$MQ133),"Controle com saldo até a Classe: uma rodada a mais",""),IF(AND($MQ133&gt;0,$OC133&lt;&gt;""),"Efeito de "&amp;$OC133&amp;" pela Classe "&amp;MAX(1,$MQ133-1),"")))</f>
        <v/>
      </c>
      <c r="PU133" s="155">
        <f>IF($PT133="",0,(LEN($PT133)-LEN(SUBSTITUTE($PT133," · ","")))/3+1)</f>
        <v/>
      </c>
      <c r="PV133" s="155">
        <f>IF($NB133=0,IF($OS133+COUNTIF($MZ133:$NA133,"?*")&gt;0,"Dê um nome",""),IF($PS133&gt;0,"⚠ "&amp;$PS133&amp;IF($PS133&gt;1," erros"," erro"),IF($PU133&gt;0,"! "&amp;$PU133&amp;IF($PU133&gt;1," avisos"," aviso"),"Na regra")))</f>
        <v/>
      </c>
      <c r="PW133" s="155">
        <f>IF($NB133=0,"",IF($PS133+$PU133=0,"Dentro das regras que a ficha confere",$PR133&amp;IF(AND($PS133&gt;0,$PU133&gt;0)," · ","")&amp;$PT133))</f>
        <v/>
      </c>
      <c r="PX133" s="155">
        <f>IF($MO133&gt;$NC133,$MP133&amp;" · ABRE NO NÍVEL "&amp;$MO133,$MP133)</f>
        <v/>
      </c>
      <c r="PY133" s="155">
        <f>IF($NB133=0,"",IF($MQ133=0,"Sem PE",3*$MQ133&amp;" PE"))</f>
        <v/>
      </c>
      <c r="PZ133" s="155">
        <f>IF($NB133=0,"",IF($MQ133=0,"A atuação básica dela",IF(COUNTIF($OI133:$OJ133,"Atrasar")&gt;0,"Sua Ação Completa",IF(COUNTIF($MV133:$MY133,"Rápido")&gt;0,"Sua Bônus",IF(COUNTIF($MV133:$MY133,"Reação")&gt;0,"Sua Reação","Sua Padrão")))&amp;" + a básica dela"&amp;IF(COUNTIF($MV133:$MY133,"Reação")&gt;0," e a coletiva","")&amp;IF(COUNTIF($OI133:$OJ133,"Carregar")&gt;0," · em dois turnos","")))</f>
        <v/>
      </c>
      <c r="QA133" s="155">
        <f>IF($MU133&lt;&gt;"",$MU133,IF($NH133=0,"",INDEX($AA$2:$AA$11,$NH133)))</f>
        <v/>
      </c>
      <c r="QB133" s="155">
        <f>IF(OR($NB133=0,$NH133=0),"",IF(COUNTIF($MV133:$MY133,"Inescapável")&gt;0,"Automático",IF($QA133="Ataque",IF($NF133="","Ataque","Ataque "&amp;IF(($NF133+2*IF(COUNTIF($MV133:$MY133,"Precisão")&gt;0,1,0))&gt;=0,"+","−")&amp;ABS(($NF133+2*IF(COUNTIF($MV133:$MY133,"Precisão")&gt;0,1,0))))&amp;IF($OB133&gt;0," · TR"&amp;IF($NG133="",""," CD "&amp;$NG133),""),IF(LEFT($QA133,2)="TR",$QA133&amp;IF($NG133="",""," · CD "&amp;$NG133)&amp;IF(COUNTIF($MV133:$MY133,"Certeiro")&gt;0," · metade",""),"Sem rolagem"))))</f>
        <v/>
      </c>
      <c r="QC133" s="155">
        <f>IF(OR($NB133=0,$NH133=0),"",IF($MQ133=0,IF(OR($OE133&gt;=1,$PB133=0),"Sem dano",$PB133&amp;"d6"&amp;IF($MT133="",""," "&amp;$MT133)),IF(OR($OE133&gt;=1,$PB133=0),UPPER(LEFT(INDEX($PK133:$PQ133,1,MAX(1,$MQ133)),1))&amp;MID(INDEX($PK133:$PQ133,1,MAX(1,$MQ133)),2,99),UPPER(LEFT(INDEX($PK133:$PQ133,1,MAX(1,$MQ133)),1))&amp;MID(INDEX($PK133:$PQ133,1,MAX(1,$MQ133)),2,99)&amp;IF($MT133="",""," "&amp;$MT133)&amp;IF($PC133&gt;0," · +"&amp;$PC133&amp;"d8",""))))</f>
        <v/>
      </c>
      <c r="QD133" s="155">
        <f>COUNTIF($MV133:$MY133,"Longe")+3*COUNTIF($MV133:$MY133,"Muito Longe")</f>
        <v/>
      </c>
      <c r="QE133" s="155">
        <f>COUNTIF($MV133:$MY133,"Maior")+3*COUNTIF($MV133:$MY133,"Muito Maior")</f>
        <v/>
      </c>
      <c r="QF133" s="155">
        <f>IF($NH133=0,0,CHOOSE(1+INDEX($AC$2:$AC$11,$NH133),0,$QD133,$QE133,$QD133+$QE133))</f>
        <v/>
      </c>
      <c r="QG133" s="155">
        <f>IF($NH133=0,0,CHOOSE(1+INDEX($AD$2:$AD$11,$NH133),0,$QD133,$QE133,$QD133+$QE133))</f>
        <v/>
      </c>
      <c r="QH133" s="155">
        <f>IF(OR($NB133=0,$NH133=0),"",INDEX($AI$2:$AN$41,($NH133-1)*4+IF($MQ133=0,1,IF($MQ133&lt;=5,2,IF($MQ133=6,3,4))),1+MIN(5,$QF133))&amp;INDEX($AO$2:$AT$41,($NH133-1)*4+IF($MQ133=0,1,IF($MQ133&lt;=5,2,IF($MQ133=6,3,4))),1+MIN(5,$QG133))&amp;IF(INDEX($AE$2:$AE$11,$NH133)=1,IF(COUNTIF($MV133:$MY133,"Mais Um")&gt;0," · +"&amp;COUNTIF($MV133:$MY133,"Mais Um")&amp;IF(COUNTIF($MV133:$MY133,"Mais Um")&gt;1," alvos"," alvo"),"")&amp;IF(COUNTIF($MV133:$MY133,"Rajada")&gt;0,IF($MQ133=0," · 1 tiro"," · "&amp;(MAX(1,$MQ133-1)+1)&amp;" tiros"),""),""))</f>
        <v/>
      </c>
      <c r="QI133" s="155">
        <f>IF($NB133=0,"",IF($MQ133=0,$NE133&amp;"d6"&amp;IF($OS133&gt;0," − 1 = "&amp;$PB133&amp;"d6"," da básica do nível "&amp;$NC133),$OZ133&amp;" − "&amp;$OU133&amp;" + "&amp;$OX133&amp;" = "&amp;$PA133&amp;" · teto "&amp;4*$MQ133&amp;"d8"&amp;IF($OD133=1," · a Forma devolve "&amp;$MQ133,"")&amp;IF($OY133&gt;0," · perde "&amp;$OY133,"")))</f>
        <v/>
      </c>
      <c r="QJ133" s="155">
        <f>IF($NB133=0,"",IF($MQ133=0,"A básica não amplia: os dados dela sobem com o nível",IF($MQ133&gt;=$ND133,"Já está na maior Classe que o nível liberou",TEXTJOIN(" · ",TRUE,IF(AND(2&gt;$MQ133,2&lt;=$ND133),"2 → "&amp;$PL133&amp;", 6 PE",""),IF(AND(3&gt;$MQ133,3&lt;=$ND133),"3 → "&amp;$PM133&amp;", 9 PE",""),IF(AND(4&gt;$MQ133,4&lt;=$ND133),"4 → "&amp;$PN133&amp;", 12 PE",""),IF(AND(5&gt;$MQ133,5&lt;=$ND133),"5 → "&amp;$PO133&amp;", 15 PE",""),IF(AND(6&gt;$MQ133,6&lt;=$ND133),"6 → "&amp;$PP133&amp;", 18 PE",""),IF(AND(7&gt;$MQ133,7&lt;=$ND133),"7 → "&amp;$PQ133&amp;", 21 PE","")))))</f>
        <v/>
      </c>
      <c r="QK133" s="155">
        <f>IF(OR($NB133=0,$NM133=0),"",IF($MQ133=0,"−1 dado","−"&amp;INDEX($I$2:$N$8,MAX(1,$MQ133),MAX(1,$NR133))&amp;" · "&amp;CHOOSE(MAX(1,$NR133),"Leve","Média","Pesada","Leve · Livre","Média · Livre","Pesada · Livre")))</f>
        <v/>
      </c>
      <c r="QL133" s="155">
        <f>IF(OR($NB133=0,$NN133=0),"",IF($MQ133=0,"−1 dado","−"&amp;INDEX($I$2:$N$8,MAX(1,$MQ133),MAX(1,$NS133))&amp;" · "&amp;CHOOSE(MAX(1,$NS133),"Leve","Média","Pesada","Leve · Livre","Média · Livre","Pesada · Livre")))</f>
        <v/>
      </c>
      <c r="QM133" s="155">
        <f>IF(OR($NB133=0,$NO133=0),"",IF($MQ133=0,"−1 dado","−"&amp;INDEX($I$2:$N$8,MAX(1,$MQ133),MAX(1,$NT133))&amp;" · "&amp;CHOOSE(MAX(1,$NT133),"Leve","Média","Pesada","Leve · Livre","Média · Livre","Pesada · Livre")))</f>
        <v/>
      </c>
      <c r="QN133" s="155">
        <f>IF(OR($NB133=0,$NP133=0),"",IF($MQ133=0,"−1 dado","−"&amp;INDEX($I$2:$N$8,MAX(1,$MQ133),MAX(1,$NU133))&amp;" · "&amp;CHOOSE(MAX(1,$NU133),"Leve","Média","Pesada","Leve · Livre","Média · Livre","Pesada · Livre")))</f>
        <v/>
      </c>
      <c r="QO133" s="155">
        <f>IF(OR($NB133=0,$MZ133=""),"",IF($MQ133=0,"não devolve","+"&amp;IF($OG133=1,CEILING($MQ133/2,1),$MQ133)))</f>
        <v/>
      </c>
      <c r="QP133" s="155">
        <f>IF(OR($NB133=0,$NA133=""),"",IF($MQ133=0,"não devolve","+"&amp;IF($OH133=1,CEILING($MQ133/2,1),$MQ133)))</f>
        <v/>
      </c>
    </row>
    <row r="134">
      <c r="ML134" s="153" t="inlineStr">
        <is>
          <t>Ficha 11 · Especial 2</t>
        </is>
      </c>
      <c r="MM134" s="155" t="n">
        <v>11</v>
      </c>
      <c r="MN134" s="155" t="n">
        <v>1</v>
      </c>
      <c r="MO134" s="155" t="n">
        <v>4</v>
      </c>
      <c r="MP134" s="153" t="inlineStr">
        <is>
          <t>ESPECIAL 2</t>
        </is>
      </c>
      <c r="MQ134" s="155">
        <f>MAX(1,MIN(7,N('INVOCAÇÕES'!$AN$850)))</f>
        <v/>
      </c>
      <c r="MR134" s="155">
        <f>'INVOCAÇÕES'!$AO$850&amp;""</f>
        <v/>
      </c>
      <c r="MS134" s="155">
        <f>'INVOCAÇÕES'!$AN$855&amp;""</f>
        <v/>
      </c>
      <c r="MT134" s="155">
        <f>'INVOCAÇÕES'!$AN$856&amp;""</f>
        <v/>
      </c>
      <c r="MU134" s="155">
        <f>'INVOCAÇÕES'!$AP$856&amp;""</f>
        <v/>
      </c>
      <c r="MV134" s="155">
        <f>'INVOCAÇÕES'!$AO$859&amp;""</f>
        <v/>
      </c>
      <c r="MW134" s="155">
        <f>'INVOCAÇÕES'!$AO$860&amp;""</f>
        <v/>
      </c>
      <c r="MX134" s="155">
        <f>'INVOCAÇÕES'!$AO$861&amp;""</f>
        <v/>
      </c>
      <c r="MY134" s="155">
        <f>'INVOCAÇÕES'!$AO$862&amp;""</f>
        <v/>
      </c>
      <c r="MZ134" s="155">
        <f>'INVOCAÇÕES'!$AO$863&amp;""</f>
        <v/>
      </c>
      <c r="NA134" s="155">
        <f>'INVOCAÇÕES'!$AO$864&amp;""</f>
        <v/>
      </c>
      <c r="NB134" s="155">
        <f>IF($MR134&lt;&gt;"",1,0)</f>
        <v/>
      </c>
      <c r="NC134" s="155">
        <f>INDEX($FM$2:$FM$13,$MM134)</f>
        <v/>
      </c>
      <c r="ND134" s="155">
        <f>INDEX($FN$2:$FN$13,$MM134)</f>
        <v/>
      </c>
      <c r="NE134" s="155">
        <f>INDEX($FO$2:$FO$13,$MM134)</f>
        <v/>
      </c>
      <c r="NF134" s="155">
        <f>INDEX($FZ$2:$FZ$13,$MM134)</f>
        <v/>
      </c>
      <c r="NG134" s="155">
        <f>INDEX($GA$2:$GA$13,$MM134)</f>
        <v/>
      </c>
      <c r="NH134" s="155">
        <f>IFERROR(MATCH($MS134,$V$2:$V$11,0),0)</f>
        <v/>
      </c>
      <c r="NI134" s="155">
        <f>IFERROR(VLOOKUP($MV134,$AV$2:$BA$84,2,FALSE),"")</f>
        <v/>
      </c>
      <c r="NJ134" s="155">
        <f>IFERROR(VLOOKUP($MW134,$AV$2:$BA$84,2,FALSE),"")</f>
        <v/>
      </c>
      <c r="NK134" s="155">
        <f>IFERROR(VLOOKUP($MX134,$AV$2:$BA$84,2,FALSE),"")</f>
        <v/>
      </c>
      <c r="NL134" s="155">
        <f>IFERROR(VLOOKUP($MY134,$AV$2:$BA$84,2,FALSE),"")</f>
        <v/>
      </c>
      <c r="NM134" s="155">
        <f>IFERROR(VLOOKUP($MV134,$AV$2:$BA$84,3,FALSE),0)</f>
        <v/>
      </c>
      <c r="NN134" s="155">
        <f>IFERROR(VLOOKUP($MW134,$AV$2:$BA$84,3,FALSE),0)</f>
        <v/>
      </c>
      <c r="NO134" s="155">
        <f>IFERROR(VLOOKUP($MX134,$AV$2:$BA$84,3,FALSE),0)</f>
        <v/>
      </c>
      <c r="NP134" s="155">
        <f>IFERROR(VLOOKUP($MY134,$AV$2:$BA$84,3,FALSE),0)</f>
        <v/>
      </c>
      <c r="NQ134" s="155">
        <f>IF($MQ134=0,0,IF($NH134=0,0,INDEX($X$2:$X$11,$NH134)))</f>
        <v/>
      </c>
      <c r="NR134" s="155">
        <f>IF(OR($NM134=0,$MQ134=0),0,$NM134+3*IF(AND($NI134&lt;&gt;"",OR($NI134=INDEX($EJ$2:$EJ$13,$MM134),$NI134=INDEX($EK$2:$EK$13,$MM134))),1,0))</f>
        <v/>
      </c>
      <c r="NS134" s="155">
        <f>IF(OR($NN134=0,$MQ134=0),0,$NN134+3*IF(AND($NJ134&lt;&gt;"",OR($NJ134=INDEX($EJ$2:$EJ$13,$MM134),$NJ134=INDEX($EK$2:$EK$13,$MM134))),1,0))</f>
        <v/>
      </c>
      <c r="NT134" s="155">
        <f>IF(OR($NO134=0,$MQ134=0),0,$NO134+3*IF(AND($NK134&lt;&gt;"",OR($NK134=INDEX($EJ$2:$EJ$13,$MM134),$NK134=INDEX($EK$2:$EK$13,$MM134))),1,0))</f>
        <v/>
      </c>
      <c r="NU134" s="155">
        <f>IF(OR($NP134=0,$MQ134=0),0,$NP134+3*IF(AND($NL134&lt;&gt;"",OR($NL134=INDEX($EJ$2:$EJ$13,$MM134),$NL134=INDEX($EK$2:$EK$13,$MM134))),1,0))</f>
        <v/>
      </c>
      <c r="NV134" s="155">
        <f>IF($NH134=0,0,IF(INDEX($W$2:$W$11,$NH134)="",0,IF(COUNTIF(INDEX($EJ$2:$EN$13,$MM134,0),INDEX($W$2:$W$11,$NH134))=0,1,0)))</f>
        <v/>
      </c>
      <c r="NW134" s="155">
        <f>IF(OR($NM134=0,$NI134=""),0,IF(COUNTIF(INDEX($EJ$2:$EN$13,$MM134,0),$NI134)=0,1,0))</f>
        <v/>
      </c>
      <c r="NX134" s="155">
        <f>IF(OR($NN134=0,$NJ134=""),0,IF(COUNTIF(INDEX($EJ$2:$EN$13,$MM134,0),$NJ134)=0,1,0))</f>
        <v/>
      </c>
      <c r="NY134" s="155">
        <f>IF(OR($NO134=0,$NK134=""),0,IF(COUNTIF(INDEX($EJ$2:$EN$13,$MM134,0),$NK134)=0,1,0))</f>
        <v/>
      </c>
      <c r="NZ134" s="155">
        <f>IF(OR($NP134=0,$NL134=""),0,IF(COUNTIF(INDEX($EJ$2:$EN$13,$MM134,0),$NL134)=0,1,0))</f>
        <v/>
      </c>
      <c r="OA134" s="155">
        <f>IFERROR(VLOOKUP($MV134,$AV$2:$BA$84,4,FALSE),0)+IFERROR(VLOOKUP($MW134,$AV$2:$BA$84,4,FALSE),0)+IFERROR(VLOOKUP($MX134,$AV$2:$BA$84,4,FALSE),0)+IFERROR(VLOOKUP($MY134,$AV$2:$BA$84,4,FALSE),0)</f>
        <v/>
      </c>
      <c r="OB134" s="155">
        <f>IFERROR(VLOOKUP($MV134,$AV$2:$BA$84,6,FALSE),0)+IFERROR(VLOOKUP($MW134,$AV$2:$BA$84,6,FALSE),0)+IFERROR(VLOOKUP($MX134,$AV$2:$BA$84,6,FALSE),0)+IFERROR(VLOOKUP($MY134,$AV$2:$BA$84,6,FALSE),0)</f>
        <v/>
      </c>
      <c r="OC134" s="155">
        <f>TEXTJOIN(", ",TRUE,IF(IFERROR(VLOOKUP($MV134,$AV$2:$BA$84,5,FALSE),0)=1,$MV134,""),IF(IFERROR(VLOOKUP($MW134,$AV$2:$BA$84,5,FALSE),0)=1,$MW134,""),IF(IFERROR(VLOOKUP($MX134,$AV$2:$BA$84,5,FALSE),0)=1,$MX134,""),IF(IFERROR(VLOOKUP($MY134,$AV$2:$BA$84,5,FALSE),0)=1,$MY134,""))</f>
        <v/>
      </c>
      <c r="OD134" s="155">
        <f>IF($NH134=0,0,INDEX($Y$2:$Y$11,$NH134))</f>
        <v/>
      </c>
      <c r="OE134" s="155">
        <f>IF($NH134=0,0,INDEX($Z$2:$Z$11,$NH134))</f>
        <v/>
      </c>
      <c r="OF134" s="155">
        <f>IF($NH134=0,0,INDEX($AB$2:$AB$11,$NH134))</f>
        <v/>
      </c>
      <c r="OG134" s="155">
        <f>IFERROR(VLOOKUP($MZ134,$BC$2:$BG$24,3,FALSE),0)</f>
        <v/>
      </c>
      <c r="OH134" s="155">
        <f>IFERROR(VLOOKUP($NA134,$BC$2:$BG$24,3,FALSE),0)</f>
        <v/>
      </c>
      <c r="OI134" s="155">
        <f>IFERROR(VLOOKUP($MZ134,$BC$2:$BG$24,2,FALSE),"")</f>
        <v/>
      </c>
      <c r="OJ134" s="155">
        <f>IFERROR(VLOOKUP($NA134,$BC$2:$BG$24,2,FALSE),"")</f>
        <v/>
      </c>
      <c r="OK134" s="155">
        <f>COUNTIF($NQ134:$NU134,1)</f>
        <v/>
      </c>
      <c r="OL134" s="155">
        <f>COUNTIF($NQ134:$NU134,2)</f>
        <v/>
      </c>
      <c r="OM134" s="155">
        <f>COUNTIF($NQ134:$NU134,3)</f>
        <v/>
      </c>
      <c r="ON134" s="155">
        <f>COUNTIF($NQ134:$NU134,4)</f>
        <v/>
      </c>
      <c r="OO134" s="155">
        <f>COUNTIF($NQ134:$NU134,5)</f>
        <v/>
      </c>
      <c r="OP134" s="155">
        <f>COUNTIF($NQ134:$NU134,6)</f>
        <v/>
      </c>
      <c r="OQ134" s="155">
        <f>COUNTIF($OG134:$OH134,1)</f>
        <v/>
      </c>
      <c r="OR134" s="155">
        <f>COUNTIF($OG134:$OH134,2)+$OD134</f>
        <v/>
      </c>
      <c r="OS134" s="155">
        <f>COUNTIF($MV134:$MY134,"?*")</f>
        <v/>
      </c>
      <c r="OT134" s="155">
        <f>COUNTIF($MZ134:$NA134,"?*")+$OD134</f>
        <v/>
      </c>
      <c r="OU134" s="155">
        <f>IF($MQ134=0,0,SUMPRODUCT($OK134:$OP134,INDEX($I$2:$N$8,MAX(1,$MQ134),0)))</f>
        <v/>
      </c>
      <c r="OV134" s="155">
        <f>IF($MQ134=0,0,$OQ134*CEILING($MQ134/2,1)+$OR134*$MQ134)</f>
        <v/>
      </c>
      <c r="OW134" s="155">
        <f>MIN(2*$MQ134,$OV134)</f>
        <v/>
      </c>
      <c r="OX134" s="155">
        <f>MIN($OW134,$OU134)</f>
        <v/>
      </c>
      <c r="OY134" s="155">
        <f>$OW134-$OX134</f>
        <v/>
      </c>
      <c r="OZ134" s="155">
        <f>IF($MQ134=0,0,INDEX($P$2:$P$8,MAX(1,$MQ134)))</f>
        <v/>
      </c>
      <c r="PA134" s="155">
        <f>$OZ134-$OU134+$OX134</f>
        <v/>
      </c>
      <c r="PB134" s="155">
        <f>IF($MQ134=0,MAX(0,$NE134-IF($OS134&gt;0,1,0)),MAX(0,$PA134))</f>
        <v/>
      </c>
      <c r="PC134" s="155">
        <f>IF($MQ134=0,0,(IF(COUNTIF($MV134:$MY134,"Salto")&gt;0,1,0)+IF(COUNTIF($MV134:$MY134,"Queima")&gt;0,1,0)+IF(COUNTIF($MV134:$MY134,"Estilhaço")&gt;0,1,0))*FLOOR($PB134/2,1))</f>
        <v/>
      </c>
      <c r="PD134" s="155">
        <f>MAX(0,2-SUMPRODUCT($OK134:$OP134,$I$2:$N$2)+MIN(2,$OQ134*1+$OR134*1,SUMPRODUCT($OK134:$OP134,$I$2:$N$2)))</f>
        <v/>
      </c>
      <c r="PE134" s="155">
        <f>MAX(0,4-SUMPRODUCT($OK134:$OP134,$I$3:$N$3)+MIN(4,$OQ134*1+$OR134*2,SUMPRODUCT($OK134:$OP134,$I$3:$N$3)))</f>
        <v/>
      </c>
      <c r="PF134" s="155">
        <f>MAX(0,6-SUMPRODUCT($OK134:$OP134,$I$4:$N$4)+MIN(6,$OQ134*2+$OR134*3,SUMPRODUCT($OK134:$OP134,$I$4:$N$4)))</f>
        <v/>
      </c>
      <c r="PG134" s="155">
        <f>MAX(0,9-SUMPRODUCT($OK134:$OP134,$I$5:$N$5)+MIN(8,$OQ134*2+$OR134*4,SUMPRODUCT($OK134:$OP134,$I$5:$N$5)))</f>
        <v/>
      </c>
      <c r="PH134" s="155">
        <f>MAX(0,11-SUMPRODUCT($OK134:$OP134,$I$6:$N$6)+MIN(10,$OQ134*3+$OR134*5,SUMPRODUCT($OK134:$OP134,$I$6:$N$6)))</f>
        <v/>
      </c>
      <c r="PI134" s="155">
        <f>MAX(0,13-SUMPRODUCT($OK134:$OP134,$I$7:$N$7)+MIN(12,$OQ134*3+$OR134*6,SUMPRODUCT($OK134:$OP134,$I$7:$N$7)))</f>
        <v/>
      </c>
      <c r="PJ134" s="155">
        <f>MAX(0,16-SUMPRODUCT($OK134:$OP134,$I$8:$N$8)+MIN(14,$OQ134*4+$OR134*7,SUMPRODUCT($OK134:$OP134,$I$8:$N$8)))</f>
        <v/>
      </c>
      <c r="PK134" s="155">
        <f>IF($OE134=2,3*$PD134&amp;" de vida temp.",IF($OE134=3,"sem dano",IF($PD134=0,IF($OE134=1,"sem cura","sem dano"),IF($OE134=1,"cura ","")&amp;$PD134&amp;"d8")))</f>
        <v/>
      </c>
      <c r="PL134" s="155">
        <f>IF($OE134=2,3*$PE134&amp;" de vida temp.",IF($OE134=3,"sem dano",IF($PE134=0,IF($OE134=1,"sem cura","sem dano"),IF($OE134=1,"cura ","")&amp;$PE134&amp;"d8")))</f>
        <v/>
      </c>
      <c r="PM134" s="155">
        <f>IF($OE134=2,3*$PF134&amp;" de vida temp.",IF($OE134=3,"sem dano",IF($PF134=0,IF($OE134=1,"sem cura","sem dano"),IF($OE134=1,"cura ","")&amp;$PF134&amp;"d8")))</f>
        <v/>
      </c>
      <c r="PN134" s="155">
        <f>IF($OE134=2,3*$PG134&amp;" de vida temp.",IF($OE134=3,"sem dano",IF($PG134=0,IF($OE134=1,"sem cura","sem dano"),IF($OE134=1,"cura ","")&amp;$PG134&amp;"d8")))</f>
        <v/>
      </c>
      <c r="PO134" s="155">
        <f>IF($OE134=2,3*$PH134&amp;" de vida temp.",IF($OE134=3,"sem dano",IF($PH134=0,IF($OE134=1,"sem cura","sem dano"),IF($OE134=1,"cura ","")&amp;$PH134&amp;"d8")))</f>
        <v/>
      </c>
      <c r="PP134" s="155">
        <f>IF($OE134=2,3*$PI134&amp;" de vida temp.",IF($OE134=3,"sem dano",IF($PI134=0,IF($OE134=1,"sem cura","sem dano"),IF($OE134=1,"cura ","")&amp;$PI134&amp;"d8")))</f>
        <v/>
      </c>
      <c r="PQ134" s="155">
        <f>IF($OE134=2,3*$PJ134&amp;" de vida temp.",IF($OE134=3,"sem dano",IF($PJ134=0,IF($OE134=1,"sem cura","sem dano"),IF($OE134=1,"cura ","")&amp;$PJ134&amp;"d8")))</f>
        <v/>
      </c>
      <c r="PR134" s="155">
        <f>IF($NB134=0,"",TEXTJOIN(" · ",TRUE,IF($MO134&gt;$NC134,"Este lugar abre no nível "&amp;$MO134,""),IF($MQ134&gt;$ND134,"Classe "&amp;$MQ134&amp;": o nível "&amp;$NC134&amp;" libera até a "&amp;$ND134,""),IF($NV134=1,"A Forma "&amp;$MS134&amp;" pede "&amp;INDEX($W$2:$W$11,$NH134)&amp;" aberta",""),IF(AND($MQ134=0,$NH134&gt;0,IF($NH134=0,0,INDEX($AF$2:$AF$11,$NH134))=0),$MS134&amp;" não existe na Classe 0",""),IF($NW134=1,"Família Fechada: "&amp;$MV134,""),IF($NX134=1,"Família Fechada: "&amp;$MW134,""),IF($NY134=1,"Família Fechada: "&amp;$MX134,""),IF($NZ134=1,"Família Fechada: "&amp;$MY134,""),IF(AND($MQ134&gt;0,$OS134&gt;INDEX($O$2:$O$8,MAX(1,$MQ134))),$OS134&amp;" Melhorias: a Classe "&amp;$MQ134&amp;" aceita "&amp;INDEX($O$2:$O$8,MAX(1,$MQ134)),""),IF(AND($MQ134=0,$OS134&gt;1),"A básica aceita uma Melhoria",""),IF(AND($MQ134=0,COUNTIF($NM134:$NP134,"&gt;1")&gt;0),"A básica só aceita Melhoria Leve",""),IF(AND($MQ134&gt;0,$OT134&gt;2),$OT134&amp;" Restrições"&amp;IF($OD134=1,", contando a que a Forma "&amp;$MS134&amp;" já traz","")&amp;": o limite é 2",""),IF(AND($MQ134=0,COUNTIF($MZ134:$NA134,"?*")&gt;1),"A básica aceita uma Restrição Leve",""),IF(AND($MQ134=0,COUNTIF($OG134:$OH134,2)&gt;0),"A básica só aceita Restrição Leve",""),IF(AND($MQ134&gt;0,$PA134&lt;0),"Orçamento estourado: faltam "&amp;(-$PA134)&amp;IF($PA134&lt;-1," pontos"," ponto"),""),IF(IFERROR(VLOOKUP($MZ134,$BC$2:$BG$24,4,FALSE),0)+IFERROR(VLOOKUP($NA134,$BC$2:$BG$24,4,FALSE),0)&gt;1,$OI134&amp;" e "&amp;$OJ134&amp;" são as duas de frequência",""),IF(AND((COUNTIF($MV134:$MY134,"Rápido")+COUNTIF($OI134:$OJ134,"Rápido"))&gt;0,(COUNTIF($MV134:$MY134,"Atrasar")+COUNTIF($OI134:$OJ134,"Atrasar"))&gt;0),"Rápido não entra com Atrasar",""),IF(AND((COUNTIF($MV134:$MY134,"Reação")+COUNTIF($OI134:$OJ134,"Reação"))&gt;0,(COUNTIF($MV134:$MY134,"Rápido")+COUNTIF($OI134:$OJ134,"Rápido"))&gt;0),"Reação não entra com Rápido",""),IF(AND((COUNTIF($MV134:$MY134,"Reação")+COUNTIF($OI134:$OJ134,"Reação"))&gt;0,(COUNTIF($MV134:$MY134,"Armado")+COUNTIF($OI134:$OJ134,"Armado"))&gt;0),"Reação não entra com Armado",""),IF(AND((COUNTIF($MV134:$MY134,"Reação")+COUNTIF($OI134:$OJ134,"Reação"))&gt;0,(COUNTIF($MV134:$MY134,"Atrasar")+COUNTIF($OI134:$OJ134,"Atrasar"))&gt;0),"Reação não entra com Atrasar",""),IF(AND((COUNTIF($MV134:$MY134,"Reação")+COUNTIF($OI134:$OJ134,"Reação"))&gt;0,(COUNTIF($MV134:$MY134,"Parado")+COUNTIF($OI134:$OJ134,"Parado"))&gt;0),"Reação não entra com Parado",""),IF(AND((COUNTIF($MV134:$MY134,"Atrasar")+COUNTIF($OI134:$OJ134,"Atrasar"))&gt;0,(COUNTIF($MV134:$MY134,"Parado")+COUNTIF($OI134:$OJ134,"Parado"))&gt;0),"Atrasar não entra com Parado",""),IF(AND((COUNTIF($MV134:$MY134,"Armado")+COUNTIF($OI134:$OJ134,"Armado"))&gt;0,(COUNTIF($MV134:$MY134,"Carregar")+COUNTIF($OI134:$OJ134,"Carregar"))&gt;0),"Armado não entra com Carregar",""),IF(AND(COUNTIF($OI134:$OJ134,"Corpo a Corpo")&gt;0,$OD134=0,OR($MS134="Cone",$MS134="Linha")),"Corpo a Corpo não entra em "&amp;$MS134,""),IF(AND(COUNTIF($OI134:$OJ134,"Corpo a Corpo")&gt;0,$OD134=1),"A Forma "&amp;$MS134&amp;" já traz o Corpo a Corpo",""),IF(AND(COUNTIF($OI134:$OJ134,"Tudo ou Nada")&gt;0,$OF134=0),"Tudo ou Nada só entra em habilidade de Teste de Resistência",""),IF(AND(COUNTIF($MV134:$MY134,"Inescapável")&gt;0,OR($OS134&gt;1,$OT134&gt;0)),"Inescapável não aceita outra peça",""),IF(AND($MQ134&gt;0,$PB134*IF(COUNTIF($MV134:$MY134,"Remate")&gt;0,1.25,1)+$PC134&gt;4*$MQ134),($PB134*IF(COUNTIF($MV134:$MY134,"Remate")&gt;0,1.25,1)+$PC134)&amp;" dados somando repetições"&amp;IF(COUNTIF($MV134:$MY134,"Remate")&gt;0," e o Remate","")&amp;": o teto da Classe "&amp;$MQ134&amp;" é "&amp;4*$MQ134,"")))</f>
        <v/>
      </c>
      <c r="PS134" s="155">
        <f>IF($PR134="",0,(LEN($PR134)-LEN(SUBSTITUTE($PR134," · ","")))/3+1)</f>
        <v/>
      </c>
      <c r="PT134" s="155">
        <f>IF($NB134=0,"",TEXTJOIN(" · ",TRUE,IF($OV134&gt;2*$MQ134,"A devolução parou no teto de "&amp;2*$MQ134,""),IF($OY134&gt;0,"Devolução perdida: "&amp;$OY134&amp;IF($OY134&gt;1," pontos"," ponto")&amp;" sem peça para pagar",""),IF(AND($OA134&gt;0,AND($MQ134&gt;0,$OE134=0),$PB134=0),"Controle sem dano: uma rodada a mais e CD +2",""),IF(AND($OA134&gt;0,AND($MQ134&gt;0,$OE134=0),$PB134&gt;0,$PB134&lt;=$MQ134),"Controle com saldo até a Classe: uma rodada a mais",""),IF(AND($MQ134&gt;0,$OC134&lt;&gt;""),"Efeito de "&amp;$OC134&amp;" pela Classe "&amp;MAX(1,$MQ134-1),"")))</f>
        <v/>
      </c>
      <c r="PU134" s="155">
        <f>IF($PT134="",0,(LEN($PT134)-LEN(SUBSTITUTE($PT134," · ","")))/3+1)</f>
        <v/>
      </c>
      <c r="PV134" s="155">
        <f>IF($NB134=0,IF($OS134+COUNTIF($MZ134:$NA134,"?*")&gt;0,"Dê um nome",""),IF($PS134&gt;0,"⚠ "&amp;$PS134&amp;IF($PS134&gt;1," erros"," erro"),IF($PU134&gt;0,"! "&amp;$PU134&amp;IF($PU134&gt;1," avisos"," aviso"),"Na regra")))</f>
        <v/>
      </c>
      <c r="PW134" s="155">
        <f>IF($NB134=0,"",IF($PS134+$PU134=0,"Dentro das regras que a ficha confere",$PR134&amp;IF(AND($PS134&gt;0,$PU134&gt;0)," · ","")&amp;$PT134))</f>
        <v/>
      </c>
      <c r="PX134" s="155">
        <f>IF($MO134&gt;$NC134,$MP134&amp;" · ABRE NO NÍVEL "&amp;$MO134,$MP134)</f>
        <v/>
      </c>
      <c r="PY134" s="155">
        <f>IF($NB134=0,"",IF($MQ134=0,"Sem PE",3*$MQ134&amp;" PE"))</f>
        <v/>
      </c>
      <c r="PZ134" s="155">
        <f>IF($NB134=0,"",IF($MQ134=0,"A atuação básica dela",IF(COUNTIF($OI134:$OJ134,"Atrasar")&gt;0,"Sua Ação Completa",IF(COUNTIF($MV134:$MY134,"Rápido")&gt;0,"Sua Bônus",IF(COUNTIF($MV134:$MY134,"Reação")&gt;0,"Sua Reação","Sua Padrão")))&amp;" + a básica dela"&amp;IF(COUNTIF($MV134:$MY134,"Reação")&gt;0," e a coletiva","")&amp;IF(COUNTIF($OI134:$OJ134,"Carregar")&gt;0," · em dois turnos","")))</f>
        <v/>
      </c>
      <c r="QA134" s="155">
        <f>IF($MU134&lt;&gt;"",$MU134,IF($NH134=0,"",INDEX($AA$2:$AA$11,$NH134)))</f>
        <v/>
      </c>
      <c r="QB134" s="155">
        <f>IF(OR($NB134=0,$NH134=0),"",IF(COUNTIF($MV134:$MY134,"Inescapável")&gt;0,"Automático",IF($QA134="Ataque",IF($NF134="","Ataque","Ataque "&amp;IF(($NF134+2*IF(COUNTIF($MV134:$MY134,"Precisão")&gt;0,1,0))&gt;=0,"+","−")&amp;ABS(($NF134+2*IF(COUNTIF($MV134:$MY134,"Precisão")&gt;0,1,0))))&amp;IF($OB134&gt;0," · TR"&amp;IF($NG134="",""," CD "&amp;$NG134),""),IF(LEFT($QA134,2)="TR",$QA134&amp;IF($NG134="",""," · CD "&amp;$NG134)&amp;IF(COUNTIF($MV134:$MY134,"Certeiro")&gt;0," · metade",""),"Sem rolagem"))))</f>
        <v/>
      </c>
      <c r="QC134" s="155">
        <f>IF(OR($NB134=0,$NH134=0),"",IF($MQ134=0,IF(OR($OE134&gt;=1,$PB134=0),"Sem dano",$PB134&amp;"d6"&amp;IF($MT134="",""," "&amp;$MT134)),IF(OR($OE134&gt;=1,$PB134=0),UPPER(LEFT(INDEX($PK134:$PQ134,1,MAX(1,$MQ134)),1))&amp;MID(INDEX($PK134:$PQ134,1,MAX(1,$MQ134)),2,99),UPPER(LEFT(INDEX($PK134:$PQ134,1,MAX(1,$MQ134)),1))&amp;MID(INDEX($PK134:$PQ134,1,MAX(1,$MQ134)),2,99)&amp;IF($MT134="",""," "&amp;$MT134)&amp;IF($PC134&gt;0," · +"&amp;$PC134&amp;"d8",""))))</f>
        <v/>
      </c>
      <c r="QD134" s="155">
        <f>COUNTIF($MV134:$MY134,"Longe")+3*COUNTIF($MV134:$MY134,"Muito Longe")</f>
        <v/>
      </c>
      <c r="QE134" s="155">
        <f>COUNTIF($MV134:$MY134,"Maior")+3*COUNTIF($MV134:$MY134,"Muito Maior")</f>
        <v/>
      </c>
      <c r="QF134" s="155">
        <f>IF($NH134=0,0,CHOOSE(1+INDEX($AC$2:$AC$11,$NH134),0,$QD134,$QE134,$QD134+$QE134))</f>
        <v/>
      </c>
      <c r="QG134" s="155">
        <f>IF($NH134=0,0,CHOOSE(1+INDEX($AD$2:$AD$11,$NH134),0,$QD134,$QE134,$QD134+$QE134))</f>
        <v/>
      </c>
      <c r="QH134" s="155">
        <f>IF(OR($NB134=0,$NH134=0),"",INDEX($AI$2:$AN$41,($NH134-1)*4+IF($MQ134=0,1,IF($MQ134&lt;=5,2,IF($MQ134=6,3,4))),1+MIN(5,$QF134))&amp;INDEX($AO$2:$AT$41,($NH134-1)*4+IF($MQ134=0,1,IF($MQ134&lt;=5,2,IF($MQ134=6,3,4))),1+MIN(5,$QG134))&amp;IF(INDEX($AE$2:$AE$11,$NH134)=1,IF(COUNTIF($MV134:$MY134,"Mais Um")&gt;0," · +"&amp;COUNTIF($MV134:$MY134,"Mais Um")&amp;IF(COUNTIF($MV134:$MY134,"Mais Um")&gt;1," alvos"," alvo"),"")&amp;IF(COUNTIF($MV134:$MY134,"Rajada")&gt;0,IF($MQ134=0," · 1 tiro"," · "&amp;(MAX(1,$MQ134-1)+1)&amp;" tiros"),""),""))</f>
        <v/>
      </c>
      <c r="QI134" s="155">
        <f>IF($NB134=0,"",IF($MQ134=0,$NE134&amp;"d6"&amp;IF($OS134&gt;0," − 1 = "&amp;$PB134&amp;"d6"," da básica do nível "&amp;$NC134),$OZ134&amp;" − "&amp;$OU134&amp;" + "&amp;$OX134&amp;" = "&amp;$PA134&amp;" · teto "&amp;4*$MQ134&amp;"d8"&amp;IF($OD134=1," · a Forma devolve "&amp;$MQ134,"")&amp;IF($OY134&gt;0," · perde "&amp;$OY134,"")))</f>
        <v/>
      </c>
      <c r="QJ134" s="155">
        <f>IF($NB134=0,"",IF($MQ134=0,"A básica não amplia: os dados dela sobem com o nível",IF($MQ134&gt;=$ND134,"Já está na maior Classe que o nível liberou",TEXTJOIN(" · ",TRUE,IF(AND(2&gt;$MQ134,2&lt;=$ND134),"2 → "&amp;$PL134&amp;", 6 PE",""),IF(AND(3&gt;$MQ134,3&lt;=$ND134),"3 → "&amp;$PM134&amp;", 9 PE",""),IF(AND(4&gt;$MQ134,4&lt;=$ND134),"4 → "&amp;$PN134&amp;", 12 PE",""),IF(AND(5&gt;$MQ134,5&lt;=$ND134),"5 → "&amp;$PO134&amp;", 15 PE",""),IF(AND(6&gt;$MQ134,6&lt;=$ND134),"6 → "&amp;$PP134&amp;", 18 PE",""),IF(AND(7&gt;$MQ134,7&lt;=$ND134),"7 → "&amp;$PQ134&amp;", 21 PE","")))))</f>
        <v/>
      </c>
      <c r="QK134" s="155">
        <f>IF(OR($NB134=0,$NM134=0),"",IF($MQ134=0,"−1 dado","−"&amp;INDEX($I$2:$N$8,MAX(1,$MQ134),MAX(1,$NR134))&amp;" · "&amp;CHOOSE(MAX(1,$NR134),"Leve","Média","Pesada","Leve · Livre","Média · Livre","Pesada · Livre")))</f>
        <v/>
      </c>
      <c r="QL134" s="155">
        <f>IF(OR($NB134=0,$NN134=0),"",IF($MQ134=0,"−1 dado","−"&amp;INDEX($I$2:$N$8,MAX(1,$MQ134),MAX(1,$NS134))&amp;" · "&amp;CHOOSE(MAX(1,$NS134),"Leve","Média","Pesada","Leve · Livre","Média · Livre","Pesada · Livre")))</f>
        <v/>
      </c>
      <c r="QM134" s="155">
        <f>IF(OR($NB134=0,$NO134=0),"",IF($MQ134=0,"−1 dado","−"&amp;INDEX($I$2:$N$8,MAX(1,$MQ134),MAX(1,$NT134))&amp;" · "&amp;CHOOSE(MAX(1,$NT134),"Leve","Média","Pesada","Leve · Livre","Média · Livre","Pesada · Livre")))</f>
        <v/>
      </c>
      <c r="QN134" s="155">
        <f>IF(OR($NB134=0,$NP134=0),"",IF($MQ134=0,"−1 dado","−"&amp;INDEX($I$2:$N$8,MAX(1,$MQ134),MAX(1,$NU134))&amp;" · "&amp;CHOOSE(MAX(1,$NU134),"Leve","Média","Pesada","Leve · Livre","Média · Livre","Pesada · Livre")))</f>
        <v/>
      </c>
      <c r="QO134" s="155">
        <f>IF(OR($NB134=0,$MZ134=""),"",IF($MQ134=0,"não devolve","+"&amp;IF($OG134=1,CEILING($MQ134/2,1),$MQ134)))</f>
        <v/>
      </c>
      <c r="QP134" s="155">
        <f>IF(OR($NB134=0,$NA134=""),"",IF($MQ134=0,"não devolve","+"&amp;IF($OH134=1,CEILING($MQ134/2,1),$MQ134)))</f>
        <v/>
      </c>
    </row>
    <row r="135">
      <c r="ML135" s="153" t="inlineStr">
        <is>
          <t>Ficha 11 · Básica 2</t>
        </is>
      </c>
      <c r="MM135" s="155" t="n">
        <v>11</v>
      </c>
      <c r="MN135" s="155" t="n">
        <v>0</v>
      </c>
      <c r="MO135" s="155" t="n">
        <v>11</v>
      </c>
      <c r="MP135" s="153" t="inlineStr">
        <is>
          <t>BÁSICA 2</t>
        </is>
      </c>
      <c r="MQ135" s="155" t="n">
        <v>0</v>
      </c>
      <c r="MR135" s="155">
        <f>'INVOCAÇÕES'!$AC$884&amp;""</f>
        <v/>
      </c>
      <c r="MS135" s="155">
        <f>'INVOCAÇÕES'!$AB$889&amp;""</f>
        <v/>
      </c>
      <c r="MT135" s="155">
        <f>'INVOCAÇÕES'!$AB$890&amp;""</f>
        <v/>
      </c>
      <c r="MU135" s="155">
        <f>'INVOCAÇÕES'!$AD$890&amp;""</f>
        <v/>
      </c>
      <c r="MV135" s="155">
        <f>'INVOCAÇÕES'!$AC$893&amp;""</f>
        <v/>
      </c>
      <c r="MW135" s="155">
        <f>'INVOCAÇÕES'!$AC$894&amp;""</f>
        <v/>
      </c>
      <c r="MX135" s="155">
        <f>'INVOCAÇÕES'!$AC$895&amp;""</f>
        <v/>
      </c>
      <c r="MY135" s="155">
        <f>'INVOCAÇÕES'!$AC$896&amp;""</f>
        <v/>
      </c>
      <c r="MZ135" s="155">
        <f>'INVOCAÇÕES'!$AC$897&amp;""</f>
        <v/>
      </c>
      <c r="NA135" s="155">
        <f>'INVOCAÇÕES'!$AC$898&amp;""</f>
        <v/>
      </c>
      <c r="NB135" s="155">
        <f>IF($MR135&lt;&gt;"",1,0)</f>
        <v/>
      </c>
      <c r="NC135" s="155">
        <f>INDEX($FM$2:$FM$13,$MM135)</f>
        <v/>
      </c>
      <c r="ND135" s="155">
        <f>INDEX($FN$2:$FN$13,$MM135)</f>
        <v/>
      </c>
      <c r="NE135" s="155">
        <f>INDEX($FO$2:$FO$13,$MM135)</f>
        <v/>
      </c>
      <c r="NF135" s="155">
        <f>INDEX($FZ$2:$FZ$13,$MM135)</f>
        <v/>
      </c>
      <c r="NG135" s="155">
        <f>INDEX($GA$2:$GA$13,$MM135)</f>
        <v/>
      </c>
      <c r="NH135" s="155">
        <f>IFERROR(MATCH($MS135,$V$2:$V$11,0),0)</f>
        <v/>
      </c>
      <c r="NI135" s="155">
        <f>IFERROR(VLOOKUP($MV135,$AV$2:$BA$84,2,FALSE),"")</f>
        <v/>
      </c>
      <c r="NJ135" s="155">
        <f>IFERROR(VLOOKUP($MW135,$AV$2:$BA$84,2,FALSE),"")</f>
        <v/>
      </c>
      <c r="NK135" s="155">
        <f>IFERROR(VLOOKUP($MX135,$AV$2:$BA$84,2,FALSE),"")</f>
        <v/>
      </c>
      <c r="NL135" s="155">
        <f>IFERROR(VLOOKUP($MY135,$AV$2:$BA$84,2,FALSE),"")</f>
        <v/>
      </c>
      <c r="NM135" s="155">
        <f>IFERROR(VLOOKUP($MV135,$AV$2:$BA$84,3,FALSE),0)</f>
        <v/>
      </c>
      <c r="NN135" s="155">
        <f>IFERROR(VLOOKUP($MW135,$AV$2:$BA$84,3,FALSE),0)</f>
        <v/>
      </c>
      <c r="NO135" s="155">
        <f>IFERROR(VLOOKUP($MX135,$AV$2:$BA$84,3,FALSE),0)</f>
        <v/>
      </c>
      <c r="NP135" s="155">
        <f>IFERROR(VLOOKUP($MY135,$AV$2:$BA$84,3,FALSE),0)</f>
        <v/>
      </c>
      <c r="NQ135" s="155">
        <f>IF($MQ135=0,0,IF($NH135=0,0,INDEX($X$2:$X$11,$NH135)))</f>
        <v/>
      </c>
      <c r="NR135" s="155">
        <f>IF(OR($NM135=0,$MQ135=0),0,$NM135+3*IF(AND($NI135&lt;&gt;"",OR($NI135=INDEX($EJ$2:$EJ$13,$MM135),$NI135=INDEX($EK$2:$EK$13,$MM135))),1,0))</f>
        <v/>
      </c>
      <c r="NS135" s="155">
        <f>IF(OR($NN135=0,$MQ135=0),0,$NN135+3*IF(AND($NJ135&lt;&gt;"",OR($NJ135=INDEX($EJ$2:$EJ$13,$MM135),$NJ135=INDEX($EK$2:$EK$13,$MM135))),1,0))</f>
        <v/>
      </c>
      <c r="NT135" s="155">
        <f>IF(OR($NO135=0,$MQ135=0),0,$NO135+3*IF(AND($NK135&lt;&gt;"",OR($NK135=INDEX($EJ$2:$EJ$13,$MM135),$NK135=INDEX($EK$2:$EK$13,$MM135))),1,0))</f>
        <v/>
      </c>
      <c r="NU135" s="155">
        <f>IF(OR($NP135=0,$MQ135=0),0,$NP135+3*IF(AND($NL135&lt;&gt;"",OR($NL135=INDEX($EJ$2:$EJ$13,$MM135),$NL135=INDEX($EK$2:$EK$13,$MM135))),1,0))</f>
        <v/>
      </c>
      <c r="NV135" s="155">
        <f>IF($NH135=0,0,IF(INDEX($W$2:$W$11,$NH135)="",0,IF(COUNTIF(INDEX($EJ$2:$EN$13,$MM135,0),INDEX($W$2:$W$11,$NH135))=0,1,0)))</f>
        <v/>
      </c>
      <c r="NW135" s="155">
        <f>IF(OR($NM135=0,$NI135=""),0,IF(COUNTIF(INDEX($EJ$2:$EN$13,$MM135,0),$NI135)=0,1,0))</f>
        <v/>
      </c>
      <c r="NX135" s="155">
        <f>IF(OR($NN135=0,$NJ135=""),0,IF(COUNTIF(INDEX($EJ$2:$EN$13,$MM135,0),$NJ135)=0,1,0))</f>
        <v/>
      </c>
      <c r="NY135" s="155">
        <f>IF(OR($NO135=0,$NK135=""),0,IF(COUNTIF(INDEX($EJ$2:$EN$13,$MM135,0),$NK135)=0,1,0))</f>
        <v/>
      </c>
      <c r="NZ135" s="155">
        <f>IF(OR($NP135=0,$NL135=""),0,IF(COUNTIF(INDEX($EJ$2:$EN$13,$MM135,0),$NL135)=0,1,0))</f>
        <v/>
      </c>
      <c r="OA135" s="155">
        <f>IFERROR(VLOOKUP($MV135,$AV$2:$BA$84,4,FALSE),0)+IFERROR(VLOOKUP($MW135,$AV$2:$BA$84,4,FALSE),0)+IFERROR(VLOOKUP($MX135,$AV$2:$BA$84,4,FALSE),0)+IFERROR(VLOOKUP($MY135,$AV$2:$BA$84,4,FALSE),0)</f>
        <v/>
      </c>
      <c r="OB135" s="155">
        <f>IFERROR(VLOOKUP($MV135,$AV$2:$BA$84,6,FALSE),0)+IFERROR(VLOOKUP($MW135,$AV$2:$BA$84,6,FALSE),0)+IFERROR(VLOOKUP($MX135,$AV$2:$BA$84,6,FALSE),0)+IFERROR(VLOOKUP($MY135,$AV$2:$BA$84,6,FALSE),0)</f>
        <v/>
      </c>
      <c r="OC135" s="155">
        <f>TEXTJOIN(", ",TRUE,IF(IFERROR(VLOOKUP($MV135,$AV$2:$BA$84,5,FALSE),0)=1,$MV135,""),IF(IFERROR(VLOOKUP($MW135,$AV$2:$BA$84,5,FALSE),0)=1,$MW135,""),IF(IFERROR(VLOOKUP($MX135,$AV$2:$BA$84,5,FALSE),0)=1,$MX135,""),IF(IFERROR(VLOOKUP($MY135,$AV$2:$BA$84,5,FALSE),0)=1,$MY135,""))</f>
        <v/>
      </c>
      <c r="OD135" s="155">
        <f>IF($NH135=0,0,INDEX($Y$2:$Y$11,$NH135))</f>
        <v/>
      </c>
      <c r="OE135" s="155">
        <f>IF($NH135=0,0,INDEX($Z$2:$Z$11,$NH135))</f>
        <v/>
      </c>
      <c r="OF135" s="155">
        <f>IF($NH135=0,0,INDEX($AB$2:$AB$11,$NH135))</f>
        <v/>
      </c>
      <c r="OG135" s="155">
        <f>IFERROR(VLOOKUP($MZ135,$BC$2:$BG$24,3,FALSE),0)</f>
        <v/>
      </c>
      <c r="OH135" s="155">
        <f>IFERROR(VLOOKUP($NA135,$BC$2:$BG$24,3,FALSE),0)</f>
        <v/>
      </c>
      <c r="OI135" s="155">
        <f>IFERROR(VLOOKUP($MZ135,$BC$2:$BG$24,2,FALSE),"")</f>
        <v/>
      </c>
      <c r="OJ135" s="155">
        <f>IFERROR(VLOOKUP($NA135,$BC$2:$BG$24,2,FALSE),"")</f>
        <v/>
      </c>
      <c r="OK135" s="155">
        <f>COUNTIF($NQ135:$NU135,1)</f>
        <v/>
      </c>
      <c r="OL135" s="155">
        <f>COUNTIF($NQ135:$NU135,2)</f>
        <v/>
      </c>
      <c r="OM135" s="155">
        <f>COUNTIF($NQ135:$NU135,3)</f>
        <v/>
      </c>
      <c r="ON135" s="155">
        <f>COUNTIF($NQ135:$NU135,4)</f>
        <v/>
      </c>
      <c r="OO135" s="155">
        <f>COUNTIF($NQ135:$NU135,5)</f>
        <v/>
      </c>
      <c r="OP135" s="155">
        <f>COUNTIF($NQ135:$NU135,6)</f>
        <v/>
      </c>
      <c r="OQ135" s="155">
        <f>COUNTIF($OG135:$OH135,1)</f>
        <v/>
      </c>
      <c r="OR135" s="155">
        <f>COUNTIF($OG135:$OH135,2)+$OD135</f>
        <v/>
      </c>
      <c r="OS135" s="155">
        <f>COUNTIF($MV135:$MY135,"?*")</f>
        <v/>
      </c>
      <c r="OT135" s="155">
        <f>COUNTIF($MZ135:$NA135,"?*")+$OD135</f>
        <v/>
      </c>
      <c r="OU135" s="155">
        <f>IF($MQ135=0,0,SUMPRODUCT($OK135:$OP135,INDEX($I$2:$N$8,MAX(1,$MQ135),0)))</f>
        <v/>
      </c>
      <c r="OV135" s="155">
        <f>IF($MQ135=0,0,$OQ135*CEILING($MQ135/2,1)+$OR135*$MQ135)</f>
        <v/>
      </c>
      <c r="OW135" s="155">
        <f>MIN(2*$MQ135,$OV135)</f>
        <v/>
      </c>
      <c r="OX135" s="155">
        <f>MIN($OW135,$OU135)</f>
        <v/>
      </c>
      <c r="OY135" s="155">
        <f>$OW135-$OX135</f>
        <v/>
      </c>
      <c r="OZ135" s="155">
        <f>IF($MQ135=0,0,INDEX($P$2:$P$8,MAX(1,$MQ135)))</f>
        <v/>
      </c>
      <c r="PA135" s="155">
        <f>$OZ135-$OU135+$OX135</f>
        <v/>
      </c>
      <c r="PB135" s="155">
        <f>IF($MQ135=0,MAX(0,$NE135-IF($OS135&gt;0,1,0)),MAX(0,$PA135))</f>
        <v/>
      </c>
      <c r="PC135" s="155">
        <f>IF($MQ135=0,0,(IF(COUNTIF($MV135:$MY135,"Salto")&gt;0,1,0)+IF(COUNTIF($MV135:$MY135,"Queima")&gt;0,1,0)+IF(COUNTIF($MV135:$MY135,"Estilhaço")&gt;0,1,0))*FLOOR($PB135/2,1))</f>
        <v/>
      </c>
      <c r="PD135" s="155">
        <f>MAX(0,2-SUMPRODUCT($OK135:$OP135,$I$2:$N$2)+MIN(2,$OQ135*1+$OR135*1,SUMPRODUCT($OK135:$OP135,$I$2:$N$2)))</f>
        <v/>
      </c>
      <c r="PE135" s="155">
        <f>MAX(0,4-SUMPRODUCT($OK135:$OP135,$I$3:$N$3)+MIN(4,$OQ135*1+$OR135*2,SUMPRODUCT($OK135:$OP135,$I$3:$N$3)))</f>
        <v/>
      </c>
      <c r="PF135" s="155">
        <f>MAX(0,6-SUMPRODUCT($OK135:$OP135,$I$4:$N$4)+MIN(6,$OQ135*2+$OR135*3,SUMPRODUCT($OK135:$OP135,$I$4:$N$4)))</f>
        <v/>
      </c>
      <c r="PG135" s="155">
        <f>MAX(0,9-SUMPRODUCT($OK135:$OP135,$I$5:$N$5)+MIN(8,$OQ135*2+$OR135*4,SUMPRODUCT($OK135:$OP135,$I$5:$N$5)))</f>
        <v/>
      </c>
      <c r="PH135" s="155">
        <f>MAX(0,11-SUMPRODUCT($OK135:$OP135,$I$6:$N$6)+MIN(10,$OQ135*3+$OR135*5,SUMPRODUCT($OK135:$OP135,$I$6:$N$6)))</f>
        <v/>
      </c>
      <c r="PI135" s="155">
        <f>MAX(0,13-SUMPRODUCT($OK135:$OP135,$I$7:$N$7)+MIN(12,$OQ135*3+$OR135*6,SUMPRODUCT($OK135:$OP135,$I$7:$N$7)))</f>
        <v/>
      </c>
      <c r="PJ135" s="155">
        <f>MAX(0,16-SUMPRODUCT($OK135:$OP135,$I$8:$N$8)+MIN(14,$OQ135*4+$OR135*7,SUMPRODUCT($OK135:$OP135,$I$8:$N$8)))</f>
        <v/>
      </c>
      <c r="PK135" s="155">
        <f>IF($OE135=2,3*$PD135&amp;" de vida temp.",IF($OE135=3,"sem dano",IF($PD135=0,IF($OE135=1,"sem cura","sem dano"),IF($OE135=1,"cura ","")&amp;$PD135&amp;"d8")))</f>
        <v/>
      </c>
      <c r="PL135" s="155">
        <f>IF($OE135=2,3*$PE135&amp;" de vida temp.",IF($OE135=3,"sem dano",IF($PE135=0,IF($OE135=1,"sem cura","sem dano"),IF($OE135=1,"cura ","")&amp;$PE135&amp;"d8")))</f>
        <v/>
      </c>
      <c r="PM135" s="155">
        <f>IF($OE135=2,3*$PF135&amp;" de vida temp.",IF($OE135=3,"sem dano",IF($PF135=0,IF($OE135=1,"sem cura","sem dano"),IF($OE135=1,"cura ","")&amp;$PF135&amp;"d8")))</f>
        <v/>
      </c>
      <c r="PN135" s="155">
        <f>IF($OE135=2,3*$PG135&amp;" de vida temp.",IF($OE135=3,"sem dano",IF($PG135=0,IF($OE135=1,"sem cura","sem dano"),IF($OE135=1,"cura ","")&amp;$PG135&amp;"d8")))</f>
        <v/>
      </c>
      <c r="PO135" s="155">
        <f>IF($OE135=2,3*$PH135&amp;" de vida temp.",IF($OE135=3,"sem dano",IF($PH135=0,IF($OE135=1,"sem cura","sem dano"),IF($OE135=1,"cura ","")&amp;$PH135&amp;"d8")))</f>
        <v/>
      </c>
      <c r="PP135" s="155">
        <f>IF($OE135=2,3*$PI135&amp;" de vida temp.",IF($OE135=3,"sem dano",IF($PI135=0,IF($OE135=1,"sem cura","sem dano"),IF($OE135=1,"cura ","")&amp;$PI135&amp;"d8")))</f>
        <v/>
      </c>
      <c r="PQ135" s="155">
        <f>IF($OE135=2,3*$PJ135&amp;" de vida temp.",IF($OE135=3,"sem dano",IF($PJ135=0,IF($OE135=1,"sem cura","sem dano"),IF($OE135=1,"cura ","")&amp;$PJ135&amp;"d8")))</f>
        <v/>
      </c>
      <c r="PR135" s="155">
        <f>IF($NB135=0,"",TEXTJOIN(" · ",TRUE,IF($MO135&gt;$NC135,"Este lugar abre no nível "&amp;$MO135,""),IF($MQ135&gt;$ND135,"Classe "&amp;$MQ135&amp;": o nível "&amp;$NC135&amp;" libera até a "&amp;$ND135,""),IF($NV135=1,"A Forma "&amp;$MS135&amp;" pede "&amp;INDEX($W$2:$W$11,$NH135)&amp;" aberta",""),IF(AND($MQ135=0,$NH135&gt;0,IF($NH135=0,0,INDEX($AF$2:$AF$11,$NH135))=0),$MS135&amp;" não existe na Classe 0",""),IF($NW135=1,"Família Fechada: "&amp;$MV135,""),IF($NX135=1,"Família Fechada: "&amp;$MW135,""),IF($NY135=1,"Família Fechada: "&amp;$MX135,""),IF($NZ135=1,"Família Fechada: "&amp;$MY135,""),IF(AND($MQ135&gt;0,$OS135&gt;INDEX($O$2:$O$8,MAX(1,$MQ135))),$OS135&amp;" Melhorias: a Classe "&amp;$MQ135&amp;" aceita "&amp;INDEX($O$2:$O$8,MAX(1,$MQ135)),""),IF(AND($MQ135=0,$OS135&gt;1),"A básica aceita uma Melhoria",""),IF(AND($MQ135=0,COUNTIF($NM135:$NP135,"&gt;1")&gt;0),"A básica só aceita Melhoria Leve",""),IF(AND($MQ135&gt;0,$OT135&gt;2),$OT135&amp;" Restrições"&amp;IF($OD135=1,", contando a que a Forma "&amp;$MS135&amp;" já traz","")&amp;": o limite é 2",""),IF(AND($MQ135=0,COUNTIF($MZ135:$NA135,"?*")&gt;1),"A básica aceita uma Restrição Leve",""),IF(AND($MQ135=0,COUNTIF($OG135:$OH135,2)&gt;0),"A básica só aceita Restrição Leve",""),IF(AND($MQ135&gt;0,$PA135&lt;0),"Orçamento estourado: faltam "&amp;(-$PA135)&amp;IF($PA135&lt;-1," pontos"," ponto"),""),IF(IFERROR(VLOOKUP($MZ135,$BC$2:$BG$24,4,FALSE),0)+IFERROR(VLOOKUP($NA135,$BC$2:$BG$24,4,FALSE),0)&gt;1,$OI135&amp;" e "&amp;$OJ135&amp;" são as duas de frequência",""),IF(AND((COUNTIF($MV135:$MY135,"Rápido")+COUNTIF($OI135:$OJ135,"Rápido"))&gt;0,(COUNTIF($MV135:$MY135,"Atrasar")+COUNTIF($OI135:$OJ135,"Atrasar"))&gt;0),"Rápido não entra com Atrasar",""),IF(AND((COUNTIF($MV135:$MY135,"Reação")+COUNTIF($OI135:$OJ135,"Reação"))&gt;0,(COUNTIF($MV135:$MY135,"Rápido")+COUNTIF($OI135:$OJ135,"Rápido"))&gt;0),"Reação não entra com Rápido",""),IF(AND((COUNTIF($MV135:$MY135,"Reação")+COUNTIF($OI135:$OJ135,"Reação"))&gt;0,(COUNTIF($MV135:$MY135,"Armado")+COUNTIF($OI135:$OJ135,"Armado"))&gt;0),"Reação não entra com Armado",""),IF(AND((COUNTIF($MV135:$MY135,"Reação")+COUNTIF($OI135:$OJ135,"Reação"))&gt;0,(COUNTIF($MV135:$MY135,"Atrasar")+COUNTIF($OI135:$OJ135,"Atrasar"))&gt;0),"Reação não entra com Atrasar",""),IF(AND((COUNTIF($MV135:$MY135,"Reação")+COUNTIF($OI135:$OJ135,"Reação"))&gt;0,(COUNTIF($MV135:$MY135,"Parado")+COUNTIF($OI135:$OJ135,"Parado"))&gt;0),"Reação não entra com Parado",""),IF(AND((COUNTIF($MV135:$MY135,"Atrasar")+COUNTIF($OI135:$OJ135,"Atrasar"))&gt;0,(COUNTIF($MV135:$MY135,"Parado")+COUNTIF($OI135:$OJ135,"Parado"))&gt;0),"Atrasar não entra com Parado",""),IF(AND((COUNTIF($MV135:$MY135,"Armado")+COUNTIF($OI135:$OJ135,"Armado"))&gt;0,(COUNTIF($MV135:$MY135,"Carregar")+COUNTIF($OI135:$OJ135,"Carregar"))&gt;0),"Armado não entra com Carregar",""),IF(AND(COUNTIF($OI135:$OJ135,"Corpo a Corpo")&gt;0,$OD135=0,OR($MS135="Cone",$MS135="Linha")),"Corpo a Corpo não entra em "&amp;$MS135,""),IF(AND(COUNTIF($OI135:$OJ135,"Corpo a Corpo")&gt;0,$OD135=1),"A Forma "&amp;$MS135&amp;" já traz o Corpo a Corpo",""),IF(AND(COUNTIF($OI135:$OJ135,"Tudo ou Nada")&gt;0,$OF135=0),"Tudo ou Nada só entra em habilidade de Teste de Resistência",""),IF(AND(COUNTIF($MV135:$MY135,"Inescapável")&gt;0,OR($OS135&gt;1,$OT135&gt;0)),"Inescapável não aceita outra peça",""),IF(AND($MQ135&gt;0,$PB135*IF(COUNTIF($MV135:$MY135,"Remate")&gt;0,1.25,1)+$PC135&gt;4*$MQ135),($PB135*IF(COUNTIF($MV135:$MY135,"Remate")&gt;0,1.25,1)+$PC135)&amp;" dados somando repetições"&amp;IF(COUNTIF($MV135:$MY135,"Remate")&gt;0," e o Remate","")&amp;": o teto da Classe "&amp;$MQ135&amp;" é "&amp;4*$MQ135,"")))</f>
        <v/>
      </c>
      <c r="PS135" s="155">
        <f>IF($PR135="",0,(LEN($PR135)-LEN(SUBSTITUTE($PR135," · ","")))/3+1)</f>
        <v/>
      </c>
      <c r="PT135" s="155">
        <f>IF($NB135=0,"",TEXTJOIN(" · ",TRUE,IF($OV135&gt;2*$MQ135,"A devolução parou no teto de "&amp;2*$MQ135,""),IF($OY135&gt;0,"Devolução perdida: "&amp;$OY135&amp;IF($OY135&gt;1," pontos"," ponto")&amp;" sem peça para pagar",""),IF(AND($OA135&gt;0,AND($MQ135&gt;0,$OE135=0),$PB135=0),"Controle sem dano: uma rodada a mais e CD +2",""),IF(AND($OA135&gt;0,AND($MQ135&gt;0,$OE135=0),$PB135&gt;0,$PB135&lt;=$MQ135),"Controle com saldo até a Classe: uma rodada a mais",""),IF(AND($MQ135&gt;0,$OC135&lt;&gt;""),"Efeito de "&amp;$OC135&amp;" pela Classe "&amp;MAX(1,$MQ135-1),"")))</f>
        <v/>
      </c>
      <c r="PU135" s="155">
        <f>IF($PT135="",0,(LEN($PT135)-LEN(SUBSTITUTE($PT135," · ","")))/3+1)</f>
        <v/>
      </c>
      <c r="PV135" s="155">
        <f>IF($NB135=0,IF($OS135+COUNTIF($MZ135:$NA135,"?*")&gt;0,"Dê um nome",""),IF($PS135&gt;0,"⚠ "&amp;$PS135&amp;IF($PS135&gt;1," erros"," erro"),IF($PU135&gt;0,"! "&amp;$PU135&amp;IF($PU135&gt;1," avisos"," aviso"),"Na regra")))</f>
        <v/>
      </c>
      <c r="PW135" s="155">
        <f>IF($NB135=0,"",IF($PS135+$PU135=0,"Dentro das regras que a ficha confere",$PR135&amp;IF(AND($PS135&gt;0,$PU135&gt;0)," · ","")&amp;$PT135))</f>
        <v/>
      </c>
      <c r="PX135" s="155">
        <f>IF($MO135&gt;$NC135,$MP135&amp;" · ABRE NO NÍVEL "&amp;$MO135,$MP135)</f>
        <v/>
      </c>
      <c r="PY135" s="155">
        <f>IF($NB135=0,"",IF($MQ135=0,"Sem PE",3*$MQ135&amp;" PE"))</f>
        <v/>
      </c>
      <c r="PZ135" s="155">
        <f>IF($NB135=0,"",IF($MQ135=0,"A atuação básica dela",IF(COUNTIF($OI135:$OJ135,"Atrasar")&gt;0,"Sua Ação Completa",IF(COUNTIF($MV135:$MY135,"Rápido")&gt;0,"Sua Bônus",IF(COUNTIF($MV135:$MY135,"Reação")&gt;0,"Sua Reação","Sua Padrão")))&amp;" + a básica dela"&amp;IF(COUNTIF($MV135:$MY135,"Reação")&gt;0," e a coletiva","")&amp;IF(COUNTIF($OI135:$OJ135,"Carregar")&gt;0," · em dois turnos","")))</f>
        <v/>
      </c>
      <c r="QA135" s="155">
        <f>IF($MU135&lt;&gt;"",$MU135,IF($NH135=0,"",INDEX($AA$2:$AA$11,$NH135)))</f>
        <v/>
      </c>
      <c r="QB135" s="155">
        <f>IF(OR($NB135=0,$NH135=0),"",IF(COUNTIF($MV135:$MY135,"Inescapável")&gt;0,"Automático",IF($QA135="Ataque",IF($NF135="","Ataque","Ataque "&amp;IF(($NF135+2*IF(COUNTIF($MV135:$MY135,"Precisão")&gt;0,1,0))&gt;=0,"+","−")&amp;ABS(($NF135+2*IF(COUNTIF($MV135:$MY135,"Precisão")&gt;0,1,0))))&amp;IF($OB135&gt;0," · TR"&amp;IF($NG135="",""," CD "&amp;$NG135),""),IF(LEFT($QA135,2)="TR",$QA135&amp;IF($NG135="",""," · CD "&amp;$NG135)&amp;IF(COUNTIF($MV135:$MY135,"Certeiro")&gt;0," · metade",""),"Sem rolagem"))))</f>
        <v/>
      </c>
      <c r="QC135" s="155">
        <f>IF(OR($NB135=0,$NH135=0),"",IF($MQ135=0,IF(OR($OE135&gt;=1,$PB135=0),"Sem dano",$PB135&amp;"d6"&amp;IF($MT135="",""," "&amp;$MT135)),IF(OR($OE135&gt;=1,$PB135=0),UPPER(LEFT(INDEX($PK135:$PQ135,1,MAX(1,$MQ135)),1))&amp;MID(INDEX($PK135:$PQ135,1,MAX(1,$MQ135)),2,99),UPPER(LEFT(INDEX($PK135:$PQ135,1,MAX(1,$MQ135)),1))&amp;MID(INDEX($PK135:$PQ135,1,MAX(1,$MQ135)),2,99)&amp;IF($MT135="",""," "&amp;$MT135)&amp;IF($PC135&gt;0," · +"&amp;$PC135&amp;"d8",""))))</f>
        <v/>
      </c>
      <c r="QD135" s="155">
        <f>COUNTIF($MV135:$MY135,"Longe")+3*COUNTIF($MV135:$MY135,"Muito Longe")</f>
        <v/>
      </c>
      <c r="QE135" s="155">
        <f>COUNTIF($MV135:$MY135,"Maior")+3*COUNTIF($MV135:$MY135,"Muito Maior")</f>
        <v/>
      </c>
      <c r="QF135" s="155">
        <f>IF($NH135=0,0,CHOOSE(1+INDEX($AC$2:$AC$11,$NH135),0,$QD135,$QE135,$QD135+$QE135))</f>
        <v/>
      </c>
      <c r="QG135" s="155">
        <f>IF($NH135=0,0,CHOOSE(1+INDEX($AD$2:$AD$11,$NH135),0,$QD135,$QE135,$QD135+$QE135))</f>
        <v/>
      </c>
      <c r="QH135" s="155">
        <f>IF(OR($NB135=0,$NH135=0),"",INDEX($AI$2:$AN$41,($NH135-1)*4+IF($MQ135=0,1,IF($MQ135&lt;=5,2,IF($MQ135=6,3,4))),1+MIN(5,$QF135))&amp;INDEX($AO$2:$AT$41,($NH135-1)*4+IF($MQ135=0,1,IF($MQ135&lt;=5,2,IF($MQ135=6,3,4))),1+MIN(5,$QG135))&amp;IF(INDEX($AE$2:$AE$11,$NH135)=1,IF(COUNTIF($MV135:$MY135,"Mais Um")&gt;0," · +"&amp;COUNTIF($MV135:$MY135,"Mais Um")&amp;IF(COUNTIF($MV135:$MY135,"Mais Um")&gt;1," alvos"," alvo"),"")&amp;IF(COUNTIF($MV135:$MY135,"Rajada")&gt;0,IF($MQ135=0," · 1 tiro"," · "&amp;(MAX(1,$MQ135-1)+1)&amp;" tiros"),""),""))</f>
        <v/>
      </c>
      <c r="QI135" s="155">
        <f>IF($NB135=0,"",IF($MQ135=0,$NE135&amp;"d6"&amp;IF($OS135&gt;0," − 1 = "&amp;$PB135&amp;"d6"," da básica do nível "&amp;$NC135),$OZ135&amp;" − "&amp;$OU135&amp;" + "&amp;$OX135&amp;" = "&amp;$PA135&amp;" · teto "&amp;4*$MQ135&amp;"d8"&amp;IF($OD135=1," · a Forma devolve "&amp;$MQ135,"")&amp;IF($OY135&gt;0," · perde "&amp;$OY135,"")))</f>
        <v/>
      </c>
      <c r="QJ135" s="155">
        <f>IF($NB135=0,"",IF($MQ135=0,"A básica não amplia: os dados dela sobem com o nível",IF($MQ135&gt;=$ND135,"Já está na maior Classe que o nível liberou",TEXTJOIN(" · ",TRUE,IF(AND(2&gt;$MQ135,2&lt;=$ND135),"2 → "&amp;$PL135&amp;", 6 PE",""),IF(AND(3&gt;$MQ135,3&lt;=$ND135),"3 → "&amp;$PM135&amp;", 9 PE",""),IF(AND(4&gt;$MQ135,4&lt;=$ND135),"4 → "&amp;$PN135&amp;", 12 PE",""),IF(AND(5&gt;$MQ135,5&lt;=$ND135),"5 → "&amp;$PO135&amp;", 15 PE",""),IF(AND(6&gt;$MQ135,6&lt;=$ND135),"6 → "&amp;$PP135&amp;", 18 PE",""),IF(AND(7&gt;$MQ135,7&lt;=$ND135),"7 → "&amp;$PQ135&amp;", 21 PE","")))))</f>
        <v/>
      </c>
      <c r="QK135" s="155">
        <f>IF(OR($NB135=0,$NM135=0),"",IF($MQ135=0,"−1 dado","−"&amp;INDEX($I$2:$N$8,MAX(1,$MQ135),MAX(1,$NR135))&amp;" · "&amp;CHOOSE(MAX(1,$NR135),"Leve","Média","Pesada","Leve · Livre","Média · Livre","Pesada · Livre")))</f>
        <v/>
      </c>
      <c r="QL135" s="155">
        <f>IF(OR($NB135=0,$NN135=0),"",IF($MQ135=0,"−1 dado","−"&amp;INDEX($I$2:$N$8,MAX(1,$MQ135),MAX(1,$NS135))&amp;" · "&amp;CHOOSE(MAX(1,$NS135),"Leve","Média","Pesada","Leve · Livre","Média · Livre","Pesada · Livre")))</f>
        <v/>
      </c>
      <c r="QM135" s="155">
        <f>IF(OR($NB135=0,$NO135=0),"",IF($MQ135=0,"−1 dado","−"&amp;INDEX($I$2:$N$8,MAX(1,$MQ135),MAX(1,$NT135))&amp;" · "&amp;CHOOSE(MAX(1,$NT135),"Leve","Média","Pesada","Leve · Livre","Média · Livre","Pesada · Livre")))</f>
        <v/>
      </c>
      <c r="QN135" s="155">
        <f>IF(OR($NB135=0,$NP135=0),"",IF($MQ135=0,"−1 dado","−"&amp;INDEX($I$2:$N$8,MAX(1,$MQ135),MAX(1,$NU135))&amp;" · "&amp;CHOOSE(MAX(1,$NU135),"Leve","Média","Pesada","Leve · Livre","Média · Livre","Pesada · Livre")))</f>
        <v/>
      </c>
      <c r="QO135" s="155">
        <f>IF(OR($NB135=0,$MZ135=""),"",IF($MQ135=0,"não devolve","+"&amp;IF($OG135=1,CEILING($MQ135/2,1),$MQ135)))</f>
        <v/>
      </c>
      <c r="QP135" s="155">
        <f>IF(OR($NB135=0,$NA135=""),"",IF($MQ135=0,"não devolve","+"&amp;IF($OH135=1,CEILING($MQ135/2,1),$MQ135)))</f>
        <v/>
      </c>
    </row>
    <row r="136">
      <c r="ML136" s="153" t="inlineStr">
        <is>
          <t>Ficha 11 · Especial 3</t>
        </is>
      </c>
      <c r="MM136" s="155" t="n">
        <v>11</v>
      </c>
      <c r="MN136" s="155" t="n">
        <v>1</v>
      </c>
      <c r="MO136" s="155" t="n">
        <v>8</v>
      </c>
      <c r="MP136" s="153" t="inlineStr">
        <is>
          <t>ESPECIAL 3</t>
        </is>
      </c>
      <c r="MQ136" s="155">
        <f>MAX(1,MIN(7,N('INVOCAÇÕES'!$AH$884)))</f>
        <v/>
      </c>
      <c r="MR136" s="155">
        <f>'INVOCAÇÕES'!$AI$884&amp;""</f>
        <v/>
      </c>
      <c r="MS136" s="155">
        <f>'INVOCAÇÕES'!$AH$889&amp;""</f>
        <v/>
      </c>
      <c r="MT136" s="155">
        <f>'INVOCAÇÕES'!$AH$890&amp;""</f>
        <v/>
      </c>
      <c r="MU136" s="155">
        <f>'INVOCAÇÕES'!$AJ$890&amp;""</f>
        <v/>
      </c>
      <c r="MV136" s="155">
        <f>'INVOCAÇÕES'!$AI$893&amp;""</f>
        <v/>
      </c>
      <c r="MW136" s="155">
        <f>'INVOCAÇÕES'!$AI$894&amp;""</f>
        <v/>
      </c>
      <c r="MX136" s="155">
        <f>'INVOCAÇÕES'!$AI$895&amp;""</f>
        <v/>
      </c>
      <c r="MY136" s="155">
        <f>'INVOCAÇÕES'!$AI$896&amp;""</f>
        <v/>
      </c>
      <c r="MZ136" s="155">
        <f>'INVOCAÇÕES'!$AI$897&amp;""</f>
        <v/>
      </c>
      <c r="NA136" s="155">
        <f>'INVOCAÇÕES'!$AI$898&amp;""</f>
        <v/>
      </c>
      <c r="NB136" s="155">
        <f>IF($MR136&lt;&gt;"",1,0)</f>
        <v/>
      </c>
      <c r="NC136" s="155">
        <f>INDEX($FM$2:$FM$13,$MM136)</f>
        <v/>
      </c>
      <c r="ND136" s="155">
        <f>INDEX($FN$2:$FN$13,$MM136)</f>
        <v/>
      </c>
      <c r="NE136" s="155">
        <f>INDEX($FO$2:$FO$13,$MM136)</f>
        <v/>
      </c>
      <c r="NF136" s="155">
        <f>INDEX($FZ$2:$FZ$13,$MM136)</f>
        <v/>
      </c>
      <c r="NG136" s="155">
        <f>INDEX($GA$2:$GA$13,$MM136)</f>
        <v/>
      </c>
      <c r="NH136" s="155">
        <f>IFERROR(MATCH($MS136,$V$2:$V$11,0),0)</f>
        <v/>
      </c>
      <c r="NI136" s="155">
        <f>IFERROR(VLOOKUP($MV136,$AV$2:$BA$84,2,FALSE),"")</f>
        <v/>
      </c>
      <c r="NJ136" s="155">
        <f>IFERROR(VLOOKUP($MW136,$AV$2:$BA$84,2,FALSE),"")</f>
        <v/>
      </c>
      <c r="NK136" s="155">
        <f>IFERROR(VLOOKUP($MX136,$AV$2:$BA$84,2,FALSE),"")</f>
        <v/>
      </c>
      <c r="NL136" s="155">
        <f>IFERROR(VLOOKUP($MY136,$AV$2:$BA$84,2,FALSE),"")</f>
        <v/>
      </c>
      <c r="NM136" s="155">
        <f>IFERROR(VLOOKUP($MV136,$AV$2:$BA$84,3,FALSE),0)</f>
        <v/>
      </c>
      <c r="NN136" s="155">
        <f>IFERROR(VLOOKUP($MW136,$AV$2:$BA$84,3,FALSE),0)</f>
        <v/>
      </c>
      <c r="NO136" s="155">
        <f>IFERROR(VLOOKUP($MX136,$AV$2:$BA$84,3,FALSE),0)</f>
        <v/>
      </c>
      <c r="NP136" s="155">
        <f>IFERROR(VLOOKUP($MY136,$AV$2:$BA$84,3,FALSE),0)</f>
        <v/>
      </c>
      <c r="NQ136" s="155">
        <f>IF($MQ136=0,0,IF($NH136=0,0,INDEX($X$2:$X$11,$NH136)))</f>
        <v/>
      </c>
      <c r="NR136" s="155">
        <f>IF(OR($NM136=0,$MQ136=0),0,$NM136+3*IF(AND($NI136&lt;&gt;"",OR($NI136=INDEX($EJ$2:$EJ$13,$MM136),$NI136=INDEX($EK$2:$EK$13,$MM136))),1,0))</f>
        <v/>
      </c>
      <c r="NS136" s="155">
        <f>IF(OR($NN136=0,$MQ136=0),0,$NN136+3*IF(AND($NJ136&lt;&gt;"",OR($NJ136=INDEX($EJ$2:$EJ$13,$MM136),$NJ136=INDEX($EK$2:$EK$13,$MM136))),1,0))</f>
        <v/>
      </c>
      <c r="NT136" s="155">
        <f>IF(OR($NO136=0,$MQ136=0),0,$NO136+3*IF(AND($NK136&lt;&gt;"",OR($NK136=INDEX($EJ$2:$EJ$13,$MM136),$NK136=INDEX($EK$2:$EK$13,$MM136))),1,0))</f>
        <v/>
      </c>
      <c r="NU136" s="155">
        <f>IF(OR($NP136=0,$MQ136=0),0,$NP136+3*IF(AND($NL136&lt;&gt;"",OR($NL136=INDEX($EJ$2:$EJ$13,$MM136),$NL136=INDEX($EK$2:$EK$13,$MM136))),1,0))</f>
        <v/>
      </c>
      <c r="NV136" s="155">
        <f>IF($NH136=0,0,IF(INDEX($W$2:$W$11,$NH136)="",0,IF(COUNTIF(INDEX($EJ$2:$EN$13,$MM136,0),INDEX($W$2:$W$11,$NH136))=0,1,0)))</f>
        <v/>
      </c>
      <c r="NW136" s="155">
        <f>IF(OR($NM136=0,$NI136=""),0,IF(COUNTIF(INDEX($EJ$2:$EN$13,$MM136,0),$NI136)=0,1,0))</f>
        <v/>
      </c>
      <c r="NX136" s="155">
        <f>IF(OR($NN136=0,$NJ136=""),0,IF(COUNTIF(INDEX($EJ$2:$EN$13,$MM136,0),$NJ136)=0,1,0))</f>
        <v/>
      </c>
      <c r="NY136" s="155">
        <f>IF(OR($NO136=0,$NK136=""),0,IF(COUNTIF(INDEX($EJ$2:$EN$13,$MM136,0),$NK136)=0,1,0))</f>
        <v/>
      </c>
      <c r="NZ136" s="155">
        <f>IF(OR($NP136=0,$NL136=""),0,IF(COUNTIF(INDEX($EJ$2:$EN$13,$MM136,0),$NL136)=0,1,0))</f>
        <v/>
      </c>
      <c r="OA136" s="155">
        <f>IFERROR(VLOOKUP($MV136,$AV$2:$BA$84,4,FALSE),0)+IFERROR(VLOOKUP($MW136,$AV$2:$BA$84,4,FALSE),0)+IFERROR(VLOOKUP($MX136,$AV$2:$BA$84,4,FALSE),0)+IFERROR(VLOOKUP($MY136,$AV$2:$BA$84,4,FALSE),0)</f>
        <v/>
      </c>
      <c r="OB136" s="155">
        <f>IFERROR(VLOOKUP($MV136,$AV$2:$BA$84,6,FALSE),0)+IFERROR(VLOOKUP($MW136,$AV$2:$BA$84,6,FALSE),0)+IFERROR(VLOOKUP($MX136,$AV$2:$BA$84,6,FALSE),0)+IFERROR(VLOOKUP($MY136,$AV$2:$BA$84,6,FALSE),0)</f>
        <v/>
      </c>
      <c r="OC136" s="155">
        <f>TEXTJOIN(", ",TRUE,IF(IFERROR(VLOOKUP($MV136,$AV$2:$BA$84,5,FALSE),0)=1,$MV136,""),IF(IFERROR(VLOOKUP($MW136,$AV$2:$BA$84,5,FALSE),0)=1,$MW136,""),IF(IFERROR(VLOOKUP($MX136,$AV$2:$BA$84,5,FALSE),0)=1,$MX136,""),IF(IFERROR(VLOOKUP($MY136,$AV$2:$BA$84,5,FALSE),0)=1,$MY136,""))</f>
        <v/>
      </c>
      <c r="OD136" s="155">
        <f>IF($NH136=0,0,INDEX($Y$2:$Y$11,$NH136))</f>
        <v/>
      </c>
      <c r="OE136" s="155">
        <f>IF($NH136=0,0,INDEX($Z$2:$Z$11,$NH136))</f>
        <v/>
      </c>
      <c r="OF136" s="155">
        <f>IF($NH136=0,0,INDEX($AB$2:$AB$11,$NH136))</f>
        <v/>
      </c>
      <c r="OG136" s="155">
        <f>IFERROR(VLOOKUP($MZ136,$BC$2:$BG$24,3,FALSE),0)</f>
        <v/>
      </c>
      <c r="OH136" s="155">
        <f>IFERROR(VLOOKUP($NA136,$BC$2:$BG$24,3,FALSE),0)</f>
        <v/>
      </c>
      <c r="OI136" s="155">
        <f>IFERROR(VLOOKUP($MZ136,$BC$2:$BG$24,2,FALSE),"")</f>
        <v/>
      </c>
      <c r="OJ136" s="155">
        <f>IFERROR(VLOOKUP($NA136,$BC$2:$BG$24,2,FALSE),"")</f>
        <v/>
      </c>
      <c r="OK136" s="155">
        <f>COUNTIF($NQ136:$NU136,1)</f>
        <v/>
      </c>
      <c r="OL136" s="155">
        <f>COUNTIF($NQ136:$NU136,2)</f>
        <v/>
      </c>
      <c r="OM136" s="155">
        <f>COUNTIF($NQ136:$NU136,3)</f>
        <v/>
      </c>
      <c r="ON136" s="155">
        <f>COUNTIF($NQ136:$NU136,4)</f>
        <v/>
      </c>
      <c r="OO136" s="155">
        <f>COUNTIF($NQ136:$NU136,5)</f>
        <v/>
      </c>
      <c r="OP136" s="155">
        <f>COUNTIF($NQ136:$NU136,6)</f>
        <v/>
      </c>
      <c r="OQ136" s="155">
        <f>COUNTIF($OG136:$OH136,1)</f>
        <v/>
      </c>
      <c r="OR136" s="155">
        <f>COUNTIF($OG136:$OH136,2)+$OD136</f>
        <v/>
      </c>
      <c r="OS136" s="155">
        <f>COUNTIF($MV136:$MY136,"?*")</f>
        <v/>
      </c>
      <c r="OT136" s="155">
        <f>COUNTIF($MZ136:$NA136,"?*")+$OD136</f>
        <v/>
      </c>
      <c r="OU136" s="155">
        <f>IF($MQ136=0,0,SUMPRODUCT($OK136:$OP136,INDEX($I$2:$N$8,MAX(1,$MQ136),0)))</f>
        <v/>
      </c>
      <c r="OV136" s="155">
        <f>IF($MQ136=0,0,$OQ136*CEILING($MQ136/2,1)+$OR136*$MQ136)</f>
        <v/>
      </c>
      <c r="OW136" s="155">
        <f>MIN(2*$MQ136,$OV136)</f>
        <v/>
      </c>
      <c r="OX136" s="155">
        <f>MIN($OW136,$OU136)</f>
        <v/>
      </c>
      <c r="OY136" s="155">
        <f>$OW136-$OX136</f>
        <v/>
      </c>
      <c r="OZ136" s="155">
        <f>IF($MQ136=0,0,INDEX($P$2:$P$8,MAX(1,$MQ136)))</f>
        <v/>
      </c>
      <c r="PA136" s="155">
        <f>$OZ136-$OU136+$OX136</f>
        <v/>
      </c>
      <c r="PB136" s="155">
        <f>IF($MQ136=0,MAX(0,$NE136-IF($OS136&gt;0,1,0)),MAX(0,$PA136))</f>
        <v/>
      </c>
      <c r="PC136" s="155">
        <f>IF($MQ136=0,0,(IF(COUNTIF($MV136:$MY136,"Salto")&gt;0,1,0)+IF(COUNTIF($MV136:$MY136,"Queima")&gt;0,1,0)+IF(COUNTIF($MV136:$MY136,"Estilhaço")&gt;0,1,0))*FLOOR($PB136/2,1))</f>
        <v/>
      </c>
      <c r="PD136" s="155">
        <f>MAX(0,2-SUMPRODUCT($OK136:$OP136,$I$2:$N$2)+MIN(2,$OQ136*1+$OR136*1,SUMPRODUCT($OK136:$OP136,$I$2:$N$2)))</f>
        <v/>
      </c>
      <c r="PE136" s="155">
        <f>MAX(0,4-SUMPRODUCT($OK136:$OP136,$I$3:$N$3)+MIN(4,$OQ136*1+$OR136*2,SUMPRODUCT($OK136:$OP136,$I$3:$N$3)))</f>
        <v/>
      </c>
      <c r="PF136" s="155">
        <f>MAX(0,6-SUMPRODUCT($OK136:$OP136,$I$4:$N$4)+MIN(6,$OQ136*2+$OR136*3,SUMPRODUCT($OK136:$OP136,$I$4:$N$4)))</f>
        <v/>
      </c>
      <c r="PG136" s="155">
        <f>MAX(0,9-SUMPRODUCT($OK136:$OP136,$I$5:$N$5)+MIN(8,$OQ136*2+$OR136*4,SUMPRODUCT($OK136:$OP136,$I$5:$N$5)))</f>
        <v/>
      </c>
      <c r="PH136" s="155">
        <f>MAX(0,11-SUMPRODUCT($OK136:$OP136,$I$6:$N$6)+MIN(10,$OQ136*3+$OR136*5,SUMPRODUCT($OK136:$OP136,$I$6:$N$6)))</f>
        <v/>
      </c>
      <c r="PI136" s="155">
        <f>MAX(0,13-SUMPRODUCT($OK136:$OP136,$I$7:$N$7)+MIN(12,$OQ136*3+$OR136*6,SUMPRODUCT($OK136:$OP136,$I$7:$N$7)))</f>
        <v/>
      </c>
      <c r="PJ136" s="155">
        <f>MAX(0,16-SUMPRODUCT($OK136:$OP136,$I$8:$N$8)+MIN(14,$OQ136*4+$OR136*7,SUMPRODUCT($OK136:$OP136,$I$8:$N$8)))</f>
        <v/>
      </c>
      <c r="PK136" s="155">
        <f>IF($OE136=2,3*$PD136&amp;" de vida temp.",IF($OE136=3,"sem dano",IF($PD136=0,IF($OE136=1,"sem cura","sem dano"),IF($OE136=1,"cura ","")&amp;$PD136&amp;"d8")))</f>
        <v/>
      </c>
      <c r="PL136" s="155">
        <f>IF($OE136=2,3*$PE136&amp;" de vida temp.",IF($OE136=3,"sem dano",IF($PE136=0,IF($OE136=1,"sem cura","sem dano"),IF($OE136=1,"cura ","")&amp;$PE136&amp;"d8")))</f>
        <v/>
      </c>
      <c r="PM136" s="155">
        <f>IF($OE136=2,3*$PF136&amp;" de vida temp.",IF($OE136=3,"sem dano",IF($PF136=0,IF($OE136=1,"sem cura","sem dano"),IF($OE136=1,"cura ","")&amp;$PF136&amp;"d8")))</f>
        <v/>
      </c>
      <c r="PN136" s="155">
        <f>IF($OE136=2,3*$PG136&amp;" de vida temp.",IF($OE136=3,"sem dano",IF($PG136=0,IF($OE136=1,"sem cura","sem dano"),IF($OE136=1,"cura ","")&amp;$PG136&amp;"d8")))</f>
        <v/>
      </c>
      <c r="PO136" s="155">
        <f>IF($OE136=2,3*$PH136&amp;" de vida temp.",IF($OE136=3,"sem dano",IF($PH136=0,IF($OE136=1,"sem cura","sem dano"),IF($OE136=1,"cura ","")&amp;$PH136&amp;"d8")))</f>
        <v/>
      </c>
      <c r="PP136" s="155">
        <f>IF($OE136=2,3*$PI136&amp;" de vida temp.",IF($OE136=3,"sem dano",IF($PI136=0,IF($OE136=1,"sem cura","sem dano"),IF($OE136=1,"cura ","")&amp;$PI136&amp;"d8")))</f>
        <v/>
      </c>
      <c r="PQ136" s="155">
        <f>IF($OE136=2,3*$PJ136&amp;" de vida temp.",IF($OE136=3,"sem dano",IF($PJ136=0,IF($OE136=1,"sem cura","sem dano"),IF($OE136=1,"cura ","")&amp;$PJ136&amp;"d8")))</f>
        <v/>
      </c>
      <c r="PR136" s="155">
        <f>IF($NB136=0,"",TEXTJOIN(" · ",TRUE,IF($MO136&gt;$NC136,"Este lugar abre no nível "&amp;$MO136,""),IF($MQ136&gt;$ND136,"Classe "&amp;$MQ136&amp;": o nível "&amp;$NC136&amp;" libera até a "&amp;$ND136,""),IF($NV136=1,"A Forma "&amp;$MS136&amp;" pede "&amp;INDEX($W$2:$W$11,$NH136)&amp;" aberta",""),IF(AND($MQ136=0,$NH136&gt;0,IF($NH136=0,0,INDEX($AF$2:$AF$11,$NH136))=0),$MS136&amp;" não existe na Classe 0",""),IF($NW136=1,"Família Fechada: "&amp;$MV136,""),IF($NX136=1,"Família Fechada: "&amp;$MW136,""),IF($NY136=1,"Família Fechada: "&amp;$MX136,""),IF($NZ136=1,"Família Fechada: "&amp;$MY136,""),IF(AND($MQ136&gt;0,$OS136&gt;INDEX($O$2:$O$8,MAX(1,$MQ136))),$OS136&amp;" Melhorias: a Classe "&amp;$MQ136&amp;" aceita "&amp;INDEX($O$2:$O$8,MAX(1,$MQ136)),""),IF(AND($MQ136=0,$OS136&gt;1),"A básica aceita uma Melhoria",""),IF(AND($MQ136=0,COUNTIF($NM136:$NP136,"&gt;1")&gt;0),"A básica só aceita Melhoria Leve",""),IF(AND($MQ136&gt;0,$OT136&gt;2),$OT136&amp;" Restrições"&amp;IF($OD136=1,", contando a que a Forma "&amp;$MS136&amp;" já traz","")&amp;": o limite é 2",""),IF(AND($MQ136=0,COUNTIF($MZ136:$NA136,"?*")&gt;1),"A básica aceita uma Restrição Leve",""),IF(AND($MQ136=0,COUNTIF($OG136:$OH136,2)&gt;0),"A básica só aceita Restrição Leve",""),IF(AND($MQ136&gt;0,$PA136&lt;0),"Orçamento estourado: faltam "&amp;(-$PA136)&amp;IF($PA136&lt;-1," pontos"," ponto"),""),IF(IFERROR(VLOOKUP($MZ136,$BC$2:$BG$24,4,FALSE),0)+IFERROR(VLOOKUP($NA136,$BC$2:$BG$24,4,FALSE),0)&gt;1,$OI136&amp;" e "&amp;$OJ136&amp;" são as duas de frequência",""),IF(AND((COUNTIF($MV136:$MY136,"Rápido")+COUNTIF($OI136:$OJ136,"Rápido"))&gt;0,(COUNTIF($MV136:$MY136,"Atrasar")+COUNTIF($OI136:$OJ136,"Atrasar"))&gt;0),"Rápido não entra com Atrasar",""),IF(AND((COUNTIF($MV136:$MY136,"Reação")+COUNTIF($OI136:$OJ136,"Reação"))&gt;0,(COUNTIF($MV136:$MY136,"Rápido")+COUNTIF($OI136:$OJ136,"Rápido"))&gt;0),"Reação não entra com Rápido",""),IF(AND((COUNTIF($MV136:$MY136,"Reação")+COUNTIF($OI136:$OJ136,"Reação"))&gt;0,(COUNTIF($MV136:$MY136,"Armado")+COUNTIF($OI136:$OJ136,"Armado"))&gt;0),"Reação não entra com Armado",""),IF(AND((COUNTIF($MV136:$MY136,"Reação")+COUNTIF($OI136:$OJ136,"Reação"))&gt;0,(COUNTIF($MV136:$MY136,"Atrasar")+COUNTIF($OI136:$OJ136,"Atrasar"))&gt;0),"Reação não entra com Atrasar",""),IF(AND((COUNTIF($MV136:$MY136,"Reação")+COUNTIF($OI136:$OJ136,"Reação"))&gt;0,(COUNTIF($MV136:$MY136,"Parado")+COUNTIF($OI136:$OJ136,"Parado"))&gt;0),"Reação não entra com Parado",""),IF(AND((COUNTIF($MV136:$MY136,"Atrasar")+COUNTIF($OI136:$OJ136,"Atrasar"))&gt;0,(COUNTIF($MV136:$MY136,"Parado")+COUNTIF($OI136:$OJ136,"Parado"))&gt;0),"Atrasar não entra com Parado",""),IF(AND((COUNTIF($MV136:$MY136,"Armado")+COUNTIF($OI136:$OJ136,"Armado"))&gt;0,(COUNTIF($MV136:$MY136,"Carregar")+COUNTIF($OI136:$OJ136,"Carregar"))&gt;0),"Armado não entra com Carregar",""),IF(AND(COUNTIF($OI136:$OJ136,"Corpo a Corpo")&gt;0,$OD136=0,OR($MS136="Cone",$MS136="Linha")),"Corpo a Corpo não entra em "&amp;$MS136,""),IF(AND(COUNTIF($OI136:$OJ136,"Corpo a Corpo")&gt;0,$OD136=1),"A Forma "&amp;$MS136&amp;" já traz o Corpo a Corpo",""),IF(AND(COUNTIF($OI136:$OJ136,"Tudo ou Nada")&gt;0,$OF136=0),"Tudo ou Nada só entra em habilidade de Teste de Resistência",""),IF(AND(COUNTIF($MV136:$MY136,"Inescapável")&gt;0,OR($OS136&gt;1,$OT136&gt;0)),"Inescapável não aceita outra peça",""),IF(AND($MQ136&gt;0,$PB136*IF(COUNTIF($MV136:$MY136,"Remate")&gt;0,1.25,1)+$PC136&gt;4*$MQ136),($PB136*IF(COUNTIF($MV136:$MY136,"Remate")&gt;0,1.25,1)+$PC136)&amp;" dados somando repetições"&amp;IF(COUNTIF($MV136:$MY136,"Remate")&gt;0," e o Remate","")&amp;": o teto da Classe "&amp;$MQ136&amp;" é "&amp;4*$MQ136,"")))</f>
        <v/>
      </c>
      <c r="PS136" s="155">
        <f>IF($PR136="",0,(LEN($PR136)-LEN(SUBSTITUTE($PR136," · ","")))/3+1)</f>
        <v/>
      </c>
      <c r="PT136" s="155">
        <f>IF($NB136=0,"",TEXTJOIN(" · ",TRUE,IF($OV136&gt;2*$MQ136,"A devolução parou no teto de "&amp;2*$MQ136,""),IF($OY136&gt;0,"Devolução perdida: "&amp;$OY136&amp;IF($OY136&gt;1," pontos"," ponto")&amp;" sem peça para pagar",""),IF(AND($OA136&gt;0,AND($MQ136&gt;0,$OE136=0),$PB136=0),"Controle sem dano: uma rodada a mais e CD +2",""),IF(AND($OA136&gt;0,AND($MQ136&gt;0,$OE136=0),$PB136&gt;0,$PB136&lt;=$MQ136),"Controle com saldo até a Classe: uma rodada a mais",""),IF(AND($MQ136&gt;0,$OC136&lt;&gt;""),"Efeito de "&amp;$OC136&amp;" pela Classe "&amp;MAX(1,$MQ136-1),"")))</f>
        <v/>
      </c>
      <c r="PU136" s="155">
        <f>IF($PT136="",0,(LEN($PT136)-LEN(SUBSTITUTE($PT136," · ","")))/3+1)</f>
        <v/>
      </c>
      <c r="PV136" s="155">
        <f>IF($NB136=0,IF($OS136+COUNTIF($MZ136:$NA136,"?*")&gt;0,"Dê um nome",""),IF($PS136&gt;0,"⚠ "&amp;$PS136&amp;IF($PS136&gt;1," erros"," erro"),IF($PU136&gt;0,"! "&amp;$PU136&amp;IF($PU136&gt;1," avisos"," aviso"),"Na regra")))</f>
        <v/>
      </c>
      <c r="PW136" s="155">
        <f>IF($NB136=0,"",IF($PS136+$PU136=0,"Dentro das regras que a ficha confere",$PR136&amp;IF(AND($PS136&gt;0,$PU136&gt;0)," · ","")&amp;$PT136))</f>
        <v/>
      </c>
      <c r="PX136" s="155">
        <f>IF($MO136&gt;$NC136,$MP136&amp;" · ABRE NO NÍVEL "&amp;$MO136,$MP136)</f>
        <v/>
      </c>
      <c r="PY136" s="155">
        <f>IF($NB136=0,"",IF($MQ136=0,"Sem PE",3*$MQ136&amp;" PE"))</f>
        <v/>
      </c>
      <c r="PZ136" s="155">
        <f>IF($NB136=0,"",IF($MQ136=0,"A atuação básica dela",IF(COUNTIF($OI136:$OJ136,"Atrasar")&gt;0,"Sua Ação Completa",IF(COUNTIF($MV136:$MY136,"Rápido")&gt;0,"Sua Bônus",IF(COUNTIF($MV136:$MY136,"Reação")&gt;0,"Sua Reação","Sua Padrão")))&amp;" + a básica dela"&amp;IF(COUNTIF($MV136:$MY136,"Reação")&gt;0," e a coletiva","")&amp;IF(COUNTIF($OI136:$OJ136,"Carregar")&gt;0," · em dois turnos","")))</f>
        <v/>
      </c>
      <c r="QA136" s="155">
        <f>IF($MU136&lt;&gt;"",$MU136,IF($NH136=0,"",INDEX($AA$2:$AA$11,$NH136)))</f>
        <v/>
      </c>
      <c r="QB136" s="155">
        <f>IF(OR($NB136=0,$NH136=0),"",IF(COUNTIF($MV136:$MY136,"Inescapável")&gt;0,"Automático",IF($QA136="Ataque",IF($NF136="","Ataque","Ataque "&amp;IF(($NF136+2*IF(COUNTIF($MV136:$MY136,"Precisão")&gt;0,1,0))&gt;=0,"+","−")&amp;ABS(($NF136+2*IF(COUNTIF($MV136:$MY136,"Precisão")&gt;0,1,0))))&amp;IF($OB136&gt;0," · TR"&amp;IF($NG136="",""," CD "&amp;$NG136),""),IF(LEFT($QA136,2)="TR",$QA136&amp;IF($NG136="",""," · CD "&amp;$NG136)&amp;IF(COUNTIF($MV136:$MY136,"Certeiro")&gt;0," · metade",""),"Sem rolagem"))))</f>
        <v/>
      </c>
      <c r="QC136" s="155">
        <f>IF(OR($NB136=0,$NH136=0),"",IF($MQ136=0,IF(OR($OE136&gt;=1,$PB136=0),"Sem dano",$PB136&amp;"d6"&amp;IF($MT136="",""," "&amp;$MT136)),IF(OR($OE136&gt;=1,$PB136=0),UPPER(LEFT(INDEX($PK136:$PQ136,1,MAX(1,$MQ136)),1))&amp;MID(INDEX($PK136:$PQ136,1,MAX(1,$MQ136)),2,99),UPPER(LEFT(INDEX($PK136:$PQ136,1,MAX(1,$MQ136)),1))&amp;MID(INDEX($PK136:$PQ136,1,MAX(1,$MQ136)),2,99)&amp;IF($MT136="",""," "&amp;$MT136)&amp;IF($PC136&gt;0," · +"&amp;$PC136&amp;"d8",""))))</f>
        <v/>
      </c>
      <c r="QD136" s="155">
        <f>COUNTIF($MV136:$MY136,"Longe")+3*COUNTIF($MV136:$MY136,"Muito Longe")</f>
        <v/>
      </c>
      <c r="QE136" s="155">
        <f>COUNTIF($MV136:$MY136,"Maior")+3*COUNTIF($MV136:$MY136,"Muito Maior")</f>
        <v/>
      </c>
      <c r="QF136" s="155">
        <f>IF($NH136=0,0,CHOOSE(1+INDEX($AC$2:$AC$11,$NH136),0,$QD136,$QE136,$QD136+$QE136))</f>
        <v/>
      </c>
      <c r="QG136" s="155">
        <f>IF($NH136=0,0,CHOOSE(1+INDEX($AD$2:$AD$11,$NH136),0,$QD136,$QE136,$QD136+$QE136))</f>
        <v/>
      </c>
      <c r="QH136" s="155">
        <f>IF(OR($NB136=0,$NH136=0),"",INDEX($AI$2:$AN$41,($NH136-1)*4+IF($MQ136=0,1,IF($MQ136&lt;=5,2,IF($MQ136=6,3,4))),1+MIN(5,$QF136))&amp;INDEX($AO$2:$AT$41,($NH136-1)*4+IF($MQ136=0,1,IF($MQ136&lt;=5,2,IF($MQ136=6,3,4))),1+MIN(5,$QG136))&amp;IF(INDEX($AE$2:$AE$11,$NH136)=1,IF(COUNTIF($MV136:$MY136,"Mais Um")&gt;0," · +"&amp;COUNTIF($MV136:$MY136,"Mais Um")&amp;IF(COUNTIF($MV136:$MY136,"Mais Um")&gt;1," alvos"," alvo"),"")&amp;IF(COUNTIF($MV136:$MY136,"Rajada")&gt;0,IF($MQ136=0," · 1 tiro"," · "&amp;(MAX(1,$MQ136-1)+1)&amp;" tiros"),""),""))</f>
        <v/>
      </c>
      <c r="QI136" s="155">
        <f>IF($NB136=0,"",IF($MQ136=0,$NE136&amp;"d6"&amp;IF($OS136&gt;0," − 1 = "&amp;$PB136&amp;"d6"," da básica do nível "&amp;$NC136),$OZ136&amp;" − "&amp;$OU136&amp;" + "&amp;$OX136&amp;" = "&amp;$PA136&amp;" · teto "&amp;4*$MQ136&amp;"d8"&amp;IF($OD136=1," · a Forma devolve "&amp;$MQ136,"")&amp;IF($OY136&gt;0," · perde "&amp;$OY136,"")))</f>
        <v/>
      </c>
      <c r="QJ136" s="155">
        <f>IF($NB136=0,"",IF($MQ136=0,"A básica não amplia: os dados dela sobem com o nível",IF($MQ136&gt;=$ND136,"Já está na maior Classe que o nível liberou",TEXTJOIN(" · ",TRUE,IF(AND(2&gt;$MQ136,2&lt;=$ND136),"2 → "&amp;$PL136&amp;", 6 PE",""),IF(AND(3&gt;$MQ136,3&lt;=$ND136),"3 → "&amp;$PM136&amp;", 9 PE",""),IF(AND(4&gt;$MQ136,4&lt;=$ND136),"4 → "&amp;$PN136&amp;", 12 PE",""),IF(AND(5&gt;$MQ136,5&lt;=$ND136),"5 → "&amp;$PO136&amp;", 15 PE",""),IF(AND(6&gt;$MQ136,6&lt;=$ND136),"6 → "&amp;$PP136&amp;", 18 PE",""),IF(AND(7&gt;$MQ136,7&lt;=$ND136),"7 → "&amp;$PQ136&amp;", 21 PE","")))))</f>
        <v/>
      </c>
      <c r="QK136" s="155">
        <f>IF(OR($NB136=0,$NM136=0),"",IF($MQ136=0,"−1 dado","−"&amp;INDEX($I$2:$N$8,MAX(1,$MQ136),MAX(1,$NR136))&amp;" · "&amp;CHOOSE(MAX(1,$NR136),"Leve","Média","Pesada","Leve · Livre","Média · Livre","Pesada · Livre")))</f>
        <v/>
      </c>
      <c r="QL136" s="155">
        <f>IF(OR($NB136=0,$NN136=0),"",IF($MQ136=0,"−1 dado","−"&amp;INDEX($I$2:$N$8,MAX(1,$MQ136),MAX(1,$NS136))&amp;" · "&amp;CHOOSE(MAX(1,$NS136),"Leve","Média","Pesada","Leve · Livre","Média · Livre","Pesada · Livre")))</f>
        <v/>
      </c>
      <c r="QM136" s="155">
        <f>IF(OR($NB136=0,$NO136=0),"",IF($MQ136=0,"−1 dado","−"&amp;INDEX($I$2:$N$8,MAX(1,$MQ136),MAX(1,$NT136))&amp;" · "&amp;CHOOSE(MAX(1,$NT136),"Leve","Média","Pesada","Leve · Livre","Média · Livre","Pesada · Livre")))</f>
        <v/>
      </c>
      <c r="QN136" s="155">
        <f>IF(OR($NB136=0,$NP136=0),"",IF($MQ136=0,"−1 dado","−"&amp;INDEX($I$2:$N$8,MAX(1,$MQ136),MAX(1,$NU136))&amp;" · "&amp;CHOOSE(MAX(1,$NU136),"Leve","Média","Pesada","Leve · Livre","Média · Livre","Pesada · Livre")))</f>
        <v/>
      </c>
      <c r="QO136" s="155">
        <f>IF(OR($NB136=0,$MZ136=""),"",IF($MQ136=0,"não devolve","+"&amp;IF($OG136=1,CEILING($MQ136/2,1),$MQ136)))</f>
        <v/>
      </c>
      <c r="QP136" s="155">
        <f>IF(OR($NB136=0,$NA136=""),"",IF($MQ136=0,"não devolve","+"&amp;IF($OH136=1,CEILING($MQ136/2,1),$MQ136)))</f>
        <v/>
      </c>
    </row>
    <row r="137">
      <c r="ML137" s="153" t="inlineStr">
        <is>
          <t>Ficha 11 · Especial 4</t>
        </is>
      </c>
      <c r="MM137" s="155" t="n">
        <v>11</v>
      </c>
      <c r="MN137" s="155" t="n">
        <v>1</v>
      </c>
      <c r="MO137" s="155" t="n">
        <v>12</v>
      </c>
      <c r="MP137" s="153" t="inlineStr">
        <is>
          <t>ESPECIAL 4</t>
        </is>
      </c>
      <c r="MQ137" s="155">
        <f>MAX(1,MIN(7,N('INVOCAÇÕES'!$AN$884)))</f>
        <v/>
      </c>
      <c r="MR137" s="155">
        <f>'INVOCAÇÕES'!$AO$884&amp;""</f>
        <v/>
      </c>
      <c r="MS137" s="155">
        <f>'INVOCAÇÕES'!$AN$889&amp;""</f>
        <v/>
      </c>
      <c r="MT137" s="155">
        <f>'INVOCAÇÕES'!$AN$890&amp;""</f>
        <v/>
      </c>
      <c r="MU137" s="155">
        <f>'INVOCAÇÕES'!$AP$890&amp;""</f>
        <v/>
      </c>
      <c r="MV137" s="155">
        <f>'INVOCAÇÕES'!$AO$893&amp;""</f>
        <v/>
      </c>
      <c r="MW137" s="155">
        <f>'INVOCAÇÕES'!$AO$894&amp;""</f>
        <v/>
      </c>
      <c r="MX137" s="155">
        <f>'INVOCAÇÕES'!$AO$895&amp;""</f>
        <v/>
      </c>
      <c r="MY137" s="155">
        <f>'INVOCAÇÕES'!$AO$896&amp;""</f>
        <v/>
      </c>
      <c r="MZ137" s="155">
        <f>'INVOCAÇÕES'!$AO$897&amp;""</f>
        <v/>
      </c>
      <c r="NA137" s="155">
        <f>'INVOCAÇÕES'!$AO$898&amp;""</f>
        <v/>
      </c>
      <c r="NB137" s="155">
        <f>IF($MR137&lt;&gt;"",1,0)</f>
        <v/>
      </c>
      <c r="NC137" s="155">
        <f>INDEX($FM$2:$FM$13,$MM137)</f>
        <v/>
      </c>
      <c r="ND137" s="155">
        <f>INDEX($FN$2:$FN$13,$MM137)</f>
        <v/>
      </c>
      <c r="NE137" s="155">
        <f>INDEX($FO$2:$FO$13,$MM137)</f>
        <v/>
      </c>
      <c r="NF137" s="155">
        <f>INDEX($FZ$2:$FZ$13,$MM137)</f>
        <v/>
      </c>
      <c r="NG137" s="155">
        <f>INDEX($GA$2:$GA$13,$MM137)</f>
        <v/>
      </c>
      <c r="NH137" s="155">
        <f>IFERROR(MATCH($MS137,$V$2:$V$11,0),0)</f>
        <v/>
      </c>
      <c r="NI137" s="155">
        <f>IFERROR(VLOOKUP($MV137,$AV$2:$BA$84,2,FALSE),"")</f>
        <v/>
      </c>
      <c r="NJ137" s="155">
        <f>IFERROR(VLOOKUP($MW137,$AV$2:$BA$84,2,FALSE),"")</f>
        <v/>
      </c>
      <c r="NK137" s="155">
        <f>IFERROR(VLOOKUP($MX137,$AV$2:$BA$84,2,FALSE),"")</f>
        <v/>
      </c>
      <c r="NL137" s="155">
        <f>IFERROR(VLOOKUP($MY137,$AV$2:$BA$84,2,FALSE),"")</f>
        <v/>
      </c>
      <c r="NM137" s="155">
        <f>IFERROR(VLOOKUP($MV137,$AV$2:$BA$84,3,FALSE),0)</f>
        <v/>
      </c>
      <c r="NN137" s="155">
        <f>IFERROR(VLOOKUP($MW137,$AV$2:$BA$84,3,FALSE),0)</f>
        <v/>
      </c>
      <c r="NO137" s="155">
        <f>IFERROR(VLOOKUP($MX137,$AV$2:$BA$84,3,FALSE),0)</f>
        <v/>
      </c>
      <c r="NP137" s="155">
        <f>IFERROR(VLOOKUP($MY137,$AV$2:$BA$84,3,FALSE),0)</f>
        <v/>
      </c>
      <c r="NQ137" s="155">
        <f>IF($MQ137=0,0,IF($NH137=0,0,INDEX($X$2:$X$11,$NH137)))</f>
        <v/>
      </c>
      <c r="NR137" s="155">
        <f>IF(OR($NM137=0,$MQ137=0),0,$NM137+3*IF(AND($NI137&lt;&gt;"",OR($NI137=INDEX($EJ$2:$EJ$13,$MM137),$NI137=INDEX($EK$2:$EK$13,$MM137))),1,0))</f>
        <v/>
      </c>
      <c r="NS137" s="155">
        <f>IF(OR($NN137=0,$MQ137=0),0,$NN137+3*IF(AND($NJ137&lt;&gt;"",OR($NJ137=INDEX($EJ$2:$EJ$13,$MM137),$NJ137=INDEX($EK$2:$EK$13,$MM137))),1,0))</f>
        <v/>
      </c>
      <c r="NT137" s="155">
        <f>IF(OR($NO137=0,$MQ137=0),0,$NO137+3*IF(AND($NK137&lt;&gt;"",OR($NK137=INDEX($EJ$2:$EJ$13,$MM137),$NK137=INDEX($EK$2:$EK$13,$MM137))),1,0))</f>
        <v/>
      </c>
      <c r="NU137" s="155">
        <f>IF(OR($NP137=0,$MQ137=0),0,$NP137+3*IF(AND($NL137&lt;&gt;"",OR($NL137=INDEX($EJ$2:$EJ$13,$MM137),$NL137=INDEX($EK$2:$EK$13,$MM137))),1,0))</f>
        <v/>
      </c>
      <c r="NV137" s="155">
        <f>IF($NH137=0,0,IF(INDEX($W$2:$W$11,$NH137)="",0,IF(COUNTIF(INDEX($EJ$2:$EN$13,$MM137,0),INDEX($W$2:$W$11,$NH137))=0,1,0)))</f>
        <v/>
      </c>
      <c r="NW137" s="155">
        <f>IF(OR($NM137=0,$NI137=""),0,IF(COUNTIF(INDEX($EJ$2:$EN$13,$MM137,0),$NI137)=0,1,0))</f>
        <v/>
      </c>
      <c r="NX137" s="155">
        <f>IF(OR($NN137=0,$NJ137=""),0,IF(COUNTIF(INDEX($EJ$2:$EN$13,$MM137,0),$NJ137)=0,1,0))</f>
        <v/>
      </c>
      <c r="NY137" s="155">
        <f>IF(OR($NO137=0,$NK137=""),0,IF(COUNTIF(INDEX($EJ$2:$EN$13,$MM137,0),$NK137)=0,1,0))</f>
        <v/>
      </c>
      <c r="NZ137" s="155">
        <f>IF(OR($NP137=0,$NL137=""),0,IF(COUNTIF(INDEX($EJ$2:$EN$13,$MM137,0),$NL137)=0,1,0))</f>
        <v/>
      </c>
      <c r="OA137" s="155">
        <f>IFERROR(VLOOKUP($MV137,$AV$2:$BA$84,4,FALSE),0)+IFERROR(VLOOKUP($MW137,$AV$2:$BA$84,4,FALSE),0)+IFERROR(VLOOKUP($MX137,$AV$2:$BA$84,4,FALSE),0)+IFERROR(VLOOKUP($MY137,$AV$2:$BA$84,4,FALSE),0)</f>
        <v/>
      </c>
      <c r="OB137" s="155">
        <f>IFERROR(VLOOKUP($MV137,$AV$2:$BA$84,6,FALSE),0)+IFERROR(VLOOKUP($MW137,$AV$2:$BA$84,6,FALSE),0)+IFERROR(VLOOKUP($MX137,$AV$2:$BA$84,6,FALSE),0)+IFERROR(VLOOKUP($MY137,$AV$2:$BA$84,6,FALSE),0)</f>
        <v/>
      </c>
      <c r="OC137" s="155">
        <f>TEXTJOIN(", ",TRUE,IF(IFERROR(VLOOKUP($MV137,$AV$2:$BA$84,5,FALSE),0)=1,$MV137,""),IF(IFERROR(VLOOKUP($MW137,$AV$2:$BA$84,5,FALSE),0)=1,$MW137,""),IF(IFERROR(VLOOKUP($MX137,$AV$2:$BA$84,5,FALSE),0)=1,$MX137,""),IF(IFERROR(VLOOKUP($MY137,$AV$2:$BA$84,5,FALSE),0)=1,$MY137,""))</f>
        <v/>
      </c>
      <c r="OD137" s="155">
        <f>IF($NH137=0,0,INDEX($Y$2:$Y$11,$NH137))</f>
        <v/>
      </c>
      <c r="OE137" s="155">
        <f>IF($NH137=0,0,INDEX($Z$2:$Z$11,$NH137))</f>
        <v/>
      </c>
      <c r="OF137" s="155">
        <f>IF($NH137=0,0,INDEX($AB$2:$AB$11,$NH137))</f>
        <v/>
      </c>
      <c r="OG137" s="155">
        <f>IFERROR(VLOOKUP($MZ137,$BC$2:$BG$24,3,FALSE),0)</f>
        <v/>
      </c>
      <c r="OH137" s="155">
        <f>IFERROR(VLOOKUP($NA137,$BC$2:$BG$24,3,FALSE),0)</f>
        <v/>
      </c>
      <c r="OI137" s="155">
        <f>IFERROR(VLOOKUP($MZ137,$BC$2:$BG$24,2,FALSE),"")</f>
        <v/>
      </c>
      <c r="OJ137" s="155">
        <f>IFERROR(VLOOKUP($NA137,$BC$2:$BG$24,2,FALSE),"")</f>
        <v/>
      </c>
      <c r="OK137" s="155">
        <f>COUNTIF($NQ137:$NU137,1)</f>
        <v/>
      </c>
      <c r="OL137" s="155">
        <f>COUNTIF($NQ137:$NU137,2)</f>
        <v/>
      </c>
      <c r="OM137" s="155">
        <f>COUNTIF($NQ137:$NU137,3)</f>
        <v/>
      </c>
      <c r="ON137" s="155">
        <f>COUNTIF($NQ137:$NU137,4)</f>
        <v/>
      </c>
      <c r="OO137" s="155">
        <f>COUNTIF($NQ137:$NU137,5)</f>
        <v/>
      </c>
      <c r="OP137" s="155">
        <f>COUNTIF($NQ137:$NU137,6)</f>
        <v/>
      </c>
      <c r="OQ137" s="155">
        <f>COUNTIF($OG137:$OH137,1)</f>
        <v/>
      </c>
      <c r="OR137" s="155">
        <f>COUNTIF($OG137:$OH137,2)+$OD137</f>
        <v/>
      </c>
      <c r="OS137" s="155">
        <f>COUNTIF($MV137:$MY137,"?*")</f>
        <v/>
      </c>
      <c r="OT137" s="155">
        <f>COUNTIF($MZ137:$NA137,"?*")+$OD137</f>
        <v/>
      </c>
      <c r="OU137" s="155">
        <f>IF($MQ137=0,0,SUMPRODUCT($OK137:$OP137,INDEX($I$2:$N$8,MAX(1,$MQ137),0)))</f>
        <v/>
      </c>
      <c r="OV137" s="155">
        <f>IF($MQ137=0,0,$OQ137*CEILING($MQ137/2,1)+$OR137*$MQ137)</f>
        <v/>
      </c>
      <c r="OW137" s="155">
        <f>MIN(2*$MQ137,$OV137)</f>
        <v/>
      </c>
      <c r="OX137" s="155">
        <f>MIN($OW137,$OU137)</f>
        <v/>
      </c>
      <c r="OY137" s="155">
        <f>$OW137-$OX137</f>
        <v/>
      </c>
      <c r="OZ137" s="155">
        <f>IF($MQ137=0,0,INDEX($P$2:$P$8,MAX(1,$MQ137)))</f>
        <v/>
      </c>
      <c r="PA137" s="155">
        <f>$OZ137-$OU137+$OX137</f>
        <v/>
      </c>
      <c r="PB137" s="155">
        <f>IF($MQ137=0,MAX(0,$NE137-IF($OS137&gt;0,1,0)),MAX(0,$PA137))</f>
        <v/>
      </c>
      <c r="PC137" s="155">
        <f>IF($MQ137=0,0,(IF(COUNTIF($MV137:$MY137,"Salto")&gt;0,1,0)+IF(COUNTIF($MV137:$MY137,"Queima")&gt;0,1,0)+IF(COUNTIF($MV137:$MY137,"Estilhaço")&gt;0,1,0))*FLOOR($PB137/2,1))</f>
        <v/>
      </c>
      <c r="PD137" s="155">
        <f>MAX(0,2-SUMPRODUCT($OK137:$OP137,$I$2:$N$2)+MIN(2,$OQ137*1+$OR137*1,SUMPRODUCT($OK137:$OP137,$I$2:$N$2)))</f>
        <v/>
      </c>
      <c r="PE137" s="155">
        <f>MAX(0,4-SUMPRODUCT($OK137:$OP137,$I$3:$N$3)+MIN(4,$OQ137*1+$OR137*2,SUMPRODUCT($OK137:$OP137,$I$3:$N$3)))</f>
        <v/>
      </c>
      <c r="PF137" s="155">
        <f>MAX(0,6-SUMPRODUCT($OK137:$OP137,$I$4:$N$4)+MIN(6,$OQ137*2+$OR137*3,SUMPRODUCT($OK137:$OP137,$I$4:$N$4)))</f>
        <v/>
      </c>
      <c r="PG137" s="155">
        <f>MAX(0,9-SUMPRODUCT($OK137:$OP137,$I$5:$N$5)+MIN(8,$OQ137*2+$OR137*4,SUMPRODUCT($OK137:$OP137,$I$5:$N$5)))</f>
        <v/>
      </c>
      <c r="PH137" s="155">
        <f>MAX(0,11-SUMPRODUCT($OK137:$OP137,$I$6:$N$6)+MIN(10,$OQ137*3+$OR137*5,SUMPRODUCT($OK137:$OP137,$I$6:$N$6)))</f>
        <v/>
      </c>
      <c r="PI137" s="155">
        <f>MAX(0,13-SUMPRODUCT($OK137:$OP137,$I$7:$N$7)+MIN(12,$OQ137*3+$OR137*6,SUMPRODUCT($OK137:$OP137,$I$7:$N$7)))</f>
        <v/>
      </c>
      <c r="PJ137" s="155">
        <f>MAX(0,16-SUMPRODUCT($OK137:$OP137,$I$8:$N$8)+MIN(14,$OQ137*4+$OR137*7,SUMPRODUCT($OK137:$OP137,$I$8:$N$8)))</f>
        <v/>
      </c>
      <c r="PK137" s="155">
        <f>IF($OE137=2,3*$PD137&amp;" de vida temp.",IF($OE137=3,"sem dano",IF($PD137=0,IF($OE137=1,"sem cura","sem dano"),IF($OE137=1,"cura ","")&amp;$PD137&amp;"d8")))</f>
        <v/>
      </c>
      <c r="PL137" s="155">
        <f>IF($OE137=2,3*$PE137&amp;" de vida temp.",IF($OE137=3,"sem dano",IF($PE137=0,IF($OE137=1,"sem cura","sem dano"),IF($OE137=1,"cura ","")&amp;$PE137&amp;"d8")))</f>
        <v/>
      </c>
      <c r="PM137" s="155">
        <f>IF($OE137=2,3*$PF137&amp;" de vida temp.",IF($OE137=3,"sem dano",IF($PF137=0,IF($OE137=1,"sem cura","sem dano"),IF($OE137=1,"cura ","")&amp;$PF137&amp;"d8")))</f>
        <v/>
      </c>
      <c r="PN137" s="155">
        <f>IF($OE137=2,3*$PG137&amp;" de vida temp.",IF($OE137=3,"sem dano",IF($PG137=0,IF($OE137=1,"sem cura","sem dano"),IF($OE137=1,"cura ","")&amp;$PG137&amp;"d8")))</f>
        <v/>
      </c>
      <c r="PO137" s="155">
        <f>IF($OE137=2,3*$PH137&amp;" de vida temp.",IF($OE137=3,"sem dano",IF($PH137=0,IF($OE137=1,"sem cura","sem dano"),IF($OE137=1,"cura ","")&amp;$PH137&amp;"d8")))</f>
        <v/>
      </c>
      <c r="PP137" s="155">
        <f>IF($OE137=2,3*$PI137&amp;" de vida temp.",IF($OE137=3,"sem dano",IF($PI137=0,IF($OE137=1,"sem cura","sem dano"),IF($OE137=1,"cura ","")&amp;$PI137&amp;"d8")))</f>
        <v/>
      </c>
      <c r="PQ137" s="155">
        <f>IF($OE137=2,3*$PJ137&amp;" de vida temp.",IF($OE137=3,"sem dano",IF($PJ137=0,IF($OE137=1,"sem cura","sem dano"),IF($OE137=1,"cura ","")&amp;$PJ137&amp;"d8")))</f>
        <v/>
      </c>
      <c r="PR137" s="155">
        <f>IF($NB137=0,"",TEXTJOIN(" · ",TRUE,IF($MO137&gt;$NC137,"Este lugar abre no nível "&amp;$MO137,""),IF($MQ137&gt;$ND137,"Classe "&amp;$MQ137&amp;": o nível "&amp;$NC137&amp;" libera até a "&amp;$ND137,""),IF($NV137=1,"A Forma "&amp;$MS137&amp;" pede "&amp;INDEX($W$2:$W$11,$NH137)&amp;" aberta",""),IF(AND($MQ137=0,$NH137&gt;0,IF($NH137=0,0,INDEX($AF$2:$AF$11,$NH137))=0),$MS137&amp;" não existe na Classe 0",""),IF($NW137=1,"Família Fechada: "&amp;$MV137,""),IF($NX137=1,"Família Fechada: "&amp;$MW137,""),IF($NY137=1,"Família Fechada: "&amp;$MX137,""),IF($NZ137=1,"Família Fechada: "&amp;$MY137,""),IF(AND($MQ137&gt;0,$OS137&gt;INDEX($O$2:$O$8,MAX(1,$MQ137))),$OS137&amp;" Melhorias: a Classe "&amp;$MQ137&amp;" aceita "&amp;INDEX($O$2:$O$8,MAX(1,$MQ137)),""),IF(AND($MQ137=0,$OS137&gt;1),"A básica aceita uma Melhoria",""),IF(AND($MQ137=0,COUNTIF($NM137:$NP137,"&gt;1")&gt;0),"A básica só aceita Melhoria Leve",""),IF(AND($MQ137&gt;0,$OT137&gt;2),$OT137&amp;" Restrições"&amp;IF($OD137=1,", contando a que a Forma "&amp;$MS137&amp;" já traz","")&amp;": o limite é 2",""),IF(AND($MQ137=0,COUNTIF($MZ137:$NA137,"?*")&gt;1),"A básica aceita uma Restrição Leve",""),IF(AND($MQ137=0,COUNTIF($OG137:$OH137,2)&gt;0),"A básica só aceita Restrição Leve",""),IF(AND($MQ137&gt;0,$PA137&lt;0),"Orçamento estourado: faltam "&amp;(-$PA137)&amp;IF($PA137&lt;-1," pontos"," ponto"),""),IF(IFERROR(VLOOKUP($MZ137,$BC$2:$BG$24,4,FALSE),0)+IFERROR(VLOOKUP($NA137,$BC$2:$BG$24,4,FALSE),0)&gt;1,$OI137&amp;" e "&amp;$OJ137&amp;" são as duas de frequência",""),IF(AND((COUNTIF($MV137:$MY137,"Rápido")+COUNTIF($OI137:$OJ137,"Rápido"))&gt;0,(COUNTIF($MV137:$MY137,"Atrasar")+COUNTIF($OI137:$OJ137,"Atrasar"))&gt;0),"Rápido não entra com Atrasar",""),IF(AND((COUNTIF($MV137:$MY137,"Reação")+COUNTIF($OI137:$OJ137,"Reação"))&gt;0,(COUNTIF($MV137:$MY137,"Rápido")+COUNTIF($OI137:$OJ137,"Rápido"))&gt;0),"Reação não entra com Rápido",""),IF(AND((COUNTIF($MV137:$MY137,"Reação")+COUNTIF($OI137:$OJ137,"Reação"))&gt;0,(COUNTIF($MV137:$MY137,"Armado")+COUNTIF($OI137:$OJ137,"Armado"))&gt;0),"Reação não entra com Armado",""),IF(AND((COUNTIF($MV137:$MY137,"Reação")+COUNTIF($OI137:$OJ137,"Reação"))&gt;0,(COUNTIF($MV137:$MY137,"Atrasar")+COUNTIF($OI137:$OJ137,"Atrasar"))&gt;0),"Reação não entra com Atrasar",""),IF(AND((COUNTIF($MV137:$MY137,"Reação")+COUNTIF($OI137:$OJ137,"Reação"))&gt;0,(COUNTIF($MV137:$MY137,"Parado")+COUNTIF($OI137:$OJ137,"Parado"))&gt;0),"Reação não entra com Parado",""),IF(AND((COUNTIF($MV137:$MY137,"Atrasar")+COUNTIF($OI137:$OJ137,"Atrasar"))&gt;0,(COUNTIF($MV137:$MY137,"Parado")+COUNTIF($OI137:$OJ137,"Parado"))&gt;0),"Atrasar não entra com Parado",""),IF(AND((COUNTIF($MV137:$MY137,"Armado")+COUNTIF($OI137:$OJ137,"Armado"))&gt;0,(COUNTIF($MV137:$MY137,"Carregar")+COUNTIF($OI137:$OJ137,"Carregar"))&gt;0),"Armado não entra com Carregar",""),IF(AND(COUNTIF($OI137:$OJ137,"Corpo a Corpo")&gt;0,$OD137=0,OR($MS137="Cone",$MS137="Linha")),"Corpo a Corpo não entra em "&amp;$MS137,""),IF(AND(COUNTIF($OI137:$OJ137,"Corpo a Corpo")&gt;0,$OD137=1),"A Forma "&amp;$MS137&amp;" já traz o Corpo a Corpo",""),IF(AND(COUNTIF($OI137:$OJ137,"Tudo ou Nada")&gt;0,$OF137=0),"Tudo ou Nada só entra em habilidade de Teste de Resistência",""),IF(AND(COUNTIF($MV137:$MY137,"Inescapável")&gt;0,OR($OS137&gt;1,$OT137&gt;0)),"Inescapável não aceita outra peça",""),IF(AND($MQ137&gt;0,$PB137*IF(COUNTIF($MV137:$MY137,"Remate")&gt;0,1.25,1)+$PC137&gt;4*$MQ137),($PB137*IF(COUNTIF($MV137:$MY137,"Remate")&gt;0,1.25,1)+$PC137)&amp;" dados somando repetições"&amp;IF(COUNTIF($MV137:$MY137,"Remate")&gt;0," e o Remate","")&amp;": o teto da Classe "&amp;$MQ137&amp;" é "&amp;4*$MQ137,"")))</f>
        <v/>
      </c>
      <c r="PS137" s="155">
        <f>IF($PR137="",0,(LEN($PR137)-LEN(SUBSTITUTE($PR137," · ","")))/3+1)</f>
        <v/>
      </c>
      <c r="PT137" s="155">
        <f>IF($NB137=0,"",TEXTJOIN(" · ",TRUE,IF($OV137&gt;2*$MQ137,"A devolução parou no teto de "&amp;2*$MQ137,""),IF($OY137&gt;0,"Devolução perdida: "&amp;$OY137&amp;IF($OY137&gt;1," pontos"," ponto")&amp;" sem peça para pagar",""),IF(AND($OA137&gt;0,AND($MQ137&gt;0,$OE137=0),$PB137=0),"Controle sem dano: uma rodada a mais e CD +2",""),IF(AND($OA137&gt;0,AND($MQ137&gt;0,$OE137=0),$PB137&gt;0,$PB137&lt;=$MQ137),"Controle com saldo até a Classe: uma rodada a mais",""),IF(AND($MQ137&gt;0,$OC137&lt;&gt;""),"Efeito de "&amp;$OC137&amp;" pela Classe "&amp;MAX(1,$MQ137-1),"")))</f>
        <v/>
      </c>
      <c r="PU137" s="155">
        <f>IF($PT137="",0,(LEN($PT137)-LEN(SUBSTITUTE($PT137," · ","")))/3+1)</f>
        <v/>
      </c>
      <c r="PV137" s="155">
        <f>IF($NB137=0,IF($OS137+COUNTIF($MZ137:$NA137,"?*")&gt;0,"Dê um nome",""),IF($PS137&gt;0,"⚠ "&amp;$PS137&amp;IF($PS137&gt;1," erros"," erro"),IF($PU137&gt;0,"! "&amp;$PU137&amp;IF($PU137&gt;1," avisos"," aviso"),"Na regra")))</f>
        <v/>
      </c>
      <c r="PW137" s="155">
        <f>IF($NB137=0,"",IF($PS137+$PU137=0,"Dentro das regras que a ficha confere",$PR137&amp;IF(AND($PS137&gt;0,$PU137&gt;0)," · ","")&amp;$PT137))</f>
        <v/>
      </c>
      <c r="PX137" s="155">
        <f>IF($MO137&gt;$NC137,$MP137&amp;" · ABRE NO NÍVEL "&amp;$MO137,$MP137)</f>
        <v/>
      </c>
      <c r="PY137" s="155">
        <f>IF($NB137=0,"",IF($MQ137=0,"Sem PE",3*$MQ137&amp;" PE"))</f>
        <v/>
      </c>
      <c r="PZ137" s="155">
        <f>IF($NB137=0,"",IF($MQ137=0,"A atuação básica dela",IF(COUNTIF($OI137:$OJ137,"Atrasar")&gt;0,"Sua Ação Completa",IF(COUNTIF($MV137:$MY137,"Rápido")&gt;0,"Sua Bônus",IF(COUNTIF($MV137:$MY137,"Reação")&gt;0,"Sua Reação","Sua Padrão")))&amp;" + a básica dela"&amp;IF(COUNTIF($MV137:$MY137,"Reação")&gt;0," e a coletiva","")&amp;IF(COUNTIF($OI137:$OJ137,"Carregar")&gt;0," · em dois turnos","")))</f>
        <v/>
      </c>
      <c r="QA137" s="155">
        <f>IF($MU137&lt;&gt;"",$MU137,IF($NH137=0,"",INDEX($AA$2:$AA$11,$NH137)))</f>
        <v/>
      </c>
      <c r="QB137" s="155">
        <f>IF(OR($NB137=0,$NH137=0),"",IF(COUNTIF($MV137:$MY137,"Inescapável")&gt;0,"Automático",IF($QA137="Ataque",IF($NF137="","Ataque","Ataque "&amp;IF(($NF137+2*IF(COUNTIF($MV137:$MY137,"Precisão")&gt;0,1,0))&gt;=0,"+","−")&amp;ABS(($NF137+2*IF(COUNTIF($MV137:$MY137,"Precisão")&gt;0,1,0))))&amp;IF($OB137&gt;0," · TR"&amp;IF($NG137="",""," CD "&amp;$NG137),""),IF(LEFT($QA137,2)="TR",$QA137&amp;IF($NG137="",""," · CD "&amp;$NG137)&amp;IF(COUNTIF($MV137:$MY137,"Certeiro")&gt;0," · metade",""),"Sem rolagem"))))</f>
        <v/>
      </c>
      <c r="QC137" s="155">
        <f>IF(OR($NB137=0,$NH137=0),"",IF($MQ137=0,IF(OR($OE137&gt;=1,$PB137=0),"Sem dano",$PB137&amp;"d6"&amp;IF($MT137="",""," "&amp;$MT137)),IF(OR($OE137&gt;=1,$PB137=0),UPPER(LEFT(INDEX($PK137:$PQ137,1,MAX(1,$MQ137)),1))&amp;MID(INDEX($PK137:$PQ137,1,MAX(1,$MQ137)),2,99),UPPER(LEFT(INDEX($PK137:$PQ137,1,MAX(1,$MQ137)),1))&amp;MID(INDEX($PK137:$PQ137,1,MAX(1,$MQ137)),2,99)&amp;IF($MT137="",""," "&amp;$MT137)&amp;IF($PC137&gt;0," · +"&amp;$PC137&amp;"d8",""))))</f>
        <v/>
      </c>
      <c r="QD137" s="155">
        <f>COUNTIF($MV137:$MY137,"Longe")+3*COUNTIF($MV137:$MY137,"Muito Longe")</f>
        <v/>
      </c>
      <c r="QE137" s="155">
        <f>COUNTIF($MV137:$MY137,"Maior")+3*COUNTIF($MV137:$MY137,"Muito Maior")</f>
        <v/>
      </c>
      <c r="QF137" s="155">
        <f>IF($NH137=0,0,CHOOSE(1+INDEX($AC$2:$AC$11,$NH137),0,$QD137,$QE137,$QD137+$QE137))</f>
        <v/>
      </c>
      <c r="QG137" s="155">
        <f>IF($NH137=0,0,CHOOSE(1+INDEX($AD$2:$AD$11,$NH137),0,$QD137,$QE137,$QD137+$QE137))</f>
        <v/>
      </c>
      <c r="QH137" s="155">
        <f>IF(OR($NB137=0,$NH137=0),"",INDEX($AI$2:$AN$41,($NH137-1)*4+IF($MQ137=0,1,IF($MQ137&lt;=5,2,IF($MQ137=6,3,4))),1+MIN(5,$QF137))&amp;INDEX($AO$2:$AT$41,($NH137-1)*4+IF($MQ137=0,1,IF($MQ137&lt;=5,2,IF($MQ137=6,3,4))),1+MIN(5,$QG137))&amp;IF(INDEX($AE$2:$AE$11,$NH137)=1,IF(COUNTIF($MV137:$MY137,"Mais Um")&gt;0," · +"&amp;COUNTIF($MV137:$MY137,"Mais Um")&amp;IF(COUNTIF($MV137:$MY137,"Mais Um")&gt;1," alvos"," alvo"),"")&amp;IF(COUNTIF($MV137:$MY137,"Rajada")&gt;0,IF($MQ137=0," · 1 tiro"," · "&amp;(MAX(1,$MQ137-1)+1)&amp;" tiros"),""),""))</f>
        <v/>
      </c>
      <c r="QI137" s="155">
        <f>IF($NB137=0,"",IF($MQ137=0,$NE137&amp;"d6"&amp;IF($OS137&gt;0," − 1 = "&amp;$PB137&amp;"d6"," da básica do nível "&amp;$NC137),$OZ137&amp;" − "&amp;$OU137&amp;" + "&amp;$OX137&amp;" = "&amp;$PA137&amp;" · teto "&amp;4*$MQ137&amp;"d8"&amp;IF($OD137=1," · a Forma devolve "&amp;$MQ137,"")&amp;IF($OY137&gt;0," · perde "&amp;$OY137,"")))</f>
        <v/>
      </c>
      <c r="QJ137" s="155">
        <f>IF($NB137=0,"",IF($MQ137=0,"A básica não amplia: os dados dela sobem com o nível",IF($MQ137&gt;=$ND137,"Já está na maior Classe que o nível liberou",TEXTJOIN(" · ",TRUE,IF(AND(2&gt;$MQ137,2&lt;=$ND137),"2 → "&amp;$PL137&amp;", 6 PE",""),IF(AND(3&gt;$MQ137,3&lt;=$ND137),"3 → "&amp;$PM137&amp;", 9 PE",""),IF(AND(4&gt;$MQ137,4&lt;=$ND137),"4 → "&amp;$PN137&amp;", 12 PE",""),IF(AND(5&gt;$MQ137,5&lt;=$ND137),"5 → "&amp;$PO137&amp;", 15 PE",""),IF(AND(6&gt;$MQ137,6&lt;=$ND137),"6 → "&amp;$PP137&amp;", 18 PE",""),IF(AND(7&gt;$MQ137,7&lt;=$ND137),"7 → "&amp;$PQ137&amp;", 21 PE","")))))</f>
        <v/>
      </c>
      <c r="QK137" s="155">
        <f>IF(OR($NB137=0,$NM137=0),"",IF($MQ137=0,"−1 dado","−"&amp;INDEX($I$2:$N$8,MAX(1,$MQ137),MAX(1,$NR137))&amp;" · "&amp;CHOOSE(MAX(1,$NR137),"Leve","Média","Pesada","Leve · Livre","Média · Livre","Pesada · Livre")))</f>
        <v/>
      </c>
      <c r="QL137" s="155">
        <f>IF(OR($NB137=0,$NN137=0),"",IF($MQ137=0,"−1 dado","−"&amp;INDEX($I$2:$N$8,MAX(1,$MQ137),MAX(1,$NS137))&amp;" · "&amp;CHOOSE(MAX(1,$NS137),"Leve","Média","Pesada","Leve · Livre","Média · Livre","Pesada · Livre")))</f>
        <v/>
      </c>
      <c r="QM137" s="155">
        <f>IF(OR($NB137=0,$NO137=0),"",IF($MQ137=0,"−1 dado","−"&amp;INDEX($I$2:$N$8,MAX(1,$MQ137),MAX(1,$NT137))&amp;" · "&amp;CHOOSE(MAX(1,$NT137),"Leve","Média","Pesada","Leve · Livre","Média · Livre","Pesada · Livre")))</f>
        <v/>
      </c>
      <c r="QN137" s="155">
        <f>IF(OR($NB137=0,$NP137=0),"",IF($MQ137=0,"−1 dado","−"&amp;INDEX($I$2:$N$8,MAX(1,$MQ137),MAX(1,$NU137))&amp;" · "&amp;CHOOSE(MAX(1,$NU137),"Leve","Média","Pesada","Leve · Livre","Média · Livre","Pesada · Livre")))</f>
        <v/>
      </c>
      <c r="QO137" s="155">
        <f>IF(OR($NB137=0,$MZ137=""),"",IF($MQ137=0,"não devolve","+"&amp;IF($OG137=1,CEILING($MQ137/2,1),$MQ137)))</f>
        <v/>
      </c>
      <c r="QP137" s="155">
        <f>IF(OR($NB137=0,$NA137=""),"",IF($MQ137=0,"não devolve","+"&amp;IF($OH137=1,CEILING($MQ137/2,1),$MQ137)))</f>
        <v/>
      </c>
    </row>
    <row r="138">
      <c r="ML138" s="153" t="inlineStr">
        <is>
          <t>Ficha 11 · Especial 5</t>
        </is>
      </c>
      <c r="MM138" s="155" t="n">
        <v>11</v>
      </c>
      <c r="MN138" s="155" t="n">
        <v>1</v>
      </c>
      <c r="MO138" s="155" t="n">
        <v>16</v>
      </c>
      <c r="MP138" s="153" t="inlineStr">
        <is>
          <t>ESPECIAL 5</t>
        </is>
      </c>
      <c r="MQ138" s="155">
        <f>MAX(1,MIN(7,N('INVOCAÇÕES'!$AB$906)))</f>
        <v/>
      </c>
      <c r="MR138" s="155">
        <f>'INVOCAÇÕES'!$AC$906&amp;""</f>
        <v/>
      </c>
      <c r="MS138" s="155">
        <f>'INVOCAÇÕES'!$AB$911&amp;""</f>
        <v/>
      </c>
      <c r="MT138" s="155">
        <f>'INVOCAÇÕES'!$AB$912&amp;""</f>
        <v/>
      </c>
      <c r="MU138" s="155">
        <f>'INVOCAÇÕES'!$AD$912&amp;""</f>
        <v/>
      </c>
      <c r="MV138" s="155">
        <f>'INVOCAÇÕES'!$AC$915&amp;""</f>
        <v/>
      </c>
      <c r="MW138" s="155">
        <f>'INVOCAÇÕES'!$AC$916&amp;""</f>
        <v/>
      </c>
      <c r="MX138" s="155">
        <f>'INVOCAÇÕES'!$AC$917&amp;""</f>
        <v/>
      </c>
      <c r="MY138" s="155">
        <f>'INVOCAÇÕES'!$AC$918&amp;""</f>
        <v/>
      </c>
      <c r="MZ138" s="155">
        <f>'INVOCAÇÕES'!$AC$919&amp;""</f>
        <v/>
      </c>
      <c r="NA138" s="155">
        <f>'INVOCAÇÕES'!$AC$920&amp;""</f>
        <v/>
      </c>
      <c r="NB138" s="155">
        <f>IF($MR138&lt;&gt;"",1,0)</f>
        <v/>
      </c>
      <c r="NC138" s="155">
        <f>INDEX($FM$2:$FM$13,$MM138)</f>
        <v/>
      </c>
      <c r="ND138" s="155">
        <f>INDEX($FN$2:$FN$13,$MM138)</f>
        <v/>
      </c>
      <c r="NE138" s="155">
        <f>INDEX($FO$2:$FO$13,$MM138)</f>
        <v/>
      </c>
      <c r="NF138" s="155">
        <f>INDEX($FZ$2:$FZ$13,$MM138)</f>
        <v/>
      </c>
      <c r="NG138" s="155">
        <f>INDEX($GA$2:$GA$13,$MM138)</f>
        <v/>
      </c>
      <c r="NH138" s="155">
        <f>IFERROR(MATCH($MS138,$V$2:$V$11,0),0)</f>
        <v/>
      </c>
      <c r="NI138" s="155">
        <f>IFERROR(VLOOKUP($MV138,$AV$2:$BA$84,2,FALSE),"")</f>
        <v/>
      </c>
      <c r="NJ138" s="155">
        <f>IFERROR(VLOOKUP($MW138,$AV$2:$BA$84,2,FALSE),"")</f>
        <v/>
      </c>
      <c r="NK138" s="155">
        <f>IFERROR(VLOOKUP($MX138,$AV$2:$BA$84,2,FALSE),"")</f>
        <v/>
      </c>
      <c r="NL138" s="155">
        <f>IFERROR(VLOOKUP($MY138,$AV$2:$BA$84,2,FALSE),"")</f>
        <v/>
      </c>
      <c r="NM138" s="155">
        <f>IFERROR(VLOOKUP($MV138,$AV$2:$BA$84,3,FALSE),0)</f>
        <v/>
      </c>
      <c r="NN138" s="155">
        <f>IFERROR(VLOOKUP($MW138,$AV$2:$BA$84,3,FALSE),0)</f>
        <v/>
      </c>
      <c r="NO138" s="155">
        <f>IFERROR(VLOOKUP($MX138,$AV$2:$BA$84,3,FALSE),0)</f>
        <v/>
      </c>
      <c r="NP138" s="155">
        <f>IFERROR(VLOOKUP($MY138,$AV$2:$BA$84,3,FALSE),0)</f>
        <v/>
      </c>
      <c r="NQ138" s="155">
        <f>IF($MQ138=0,0,IF($NH138=0,0,INDEX($X$2:$X$11,$NH138)))</f>
        <v/>
      </c>
      <c r="NR138" s="155">
        <f>IF(OR($NM138=0,$MQ138=0),0,$NM138+3*IF(AND($NI138&lt;&gt;"",OR($NI138=INDEX($EJ$2:$EJ$13,$MM138),$NI138=INDEX($EK$2:$EK$13,$MM138))),1,0))</f>
        <v/>
      </c>
      <c r="NS138" s="155">
        <f>IF(OR($NN138=0,$MQ138=0),0,$NN138+3*IF(AND($NJ138&lt;&gt;"",OR($NJ138=INDEX($EJ$2:$EJ$13,$MM138),$NJ138=INDEX($EK$2:$EK$13,$MM138))),1,0))</f>
        <v/>
      </c>
      <c r="NT138" s="155">
        <f>IF(OR($NO138=0,$MQ138=0),0,$NO138+3*IF(AND($NK138&lt;&gt;"",OR($NK138=INDEX($EJ$2:$EJ$13,$MM138),$NK138=INDEX($EK$2:$EK$13,$MM138))),1,0))</f>
        <v/>
      </c>
      <c r="NU138" s="155">
        <f>IF(OR($NP138=0,$MQ138=0),0,$NP138+3*IF(AND($NL138&lt;&gt;"",OR($NL138=INDEX($EJ$2:$EJ$13,$MM138),$NL138=INDEX($EK$2:$EK$13,$MM138))),1,0))</f>
        <v/>
      </c>
      <c r="NV138" s="155">
        <f>IF($NH138=0,0,IF(INDEX($W$2:$W$11,$NH138)="",0,IF(COUNTIF(INDEX($EJ$2:$EN$13,$MM138,0),INDEX($W$2:$W$11,$NH138))=0,1,0)))</f>
        <v/>
      </c>
      <c r="NW138" s="155">
        <f>IF(OR($NM138=0,$NI138=""),0,IF(COUNTIF(INDEX($EJ$2:$EN$13,$MM138,0),$NI138)=0,1,0))</f>
        <v/>
      </c>
      <c r="NX138" s="155">
        <f>IF(OR($NN138=0,$NJ138=""),0,IF(COUNTIF(INDEX($EJ$2:$EN$13,$MM138,0),$NJ138)=0,1,0))</f>
        <v/>
      </c>
      <c r="NY138" s="155">
        <f>IF(OR($NO138=0,$NK138=""),0,IF(COUNTIF(INDEX($EJ$2:$EN$13,$MM138,0),$NK138)=0,1,0))</f>
        <v/>
      </c>
      <c r="NZ138" s="155">
        <f>IF(OR($NP138=0,$NL138=""),0,IF(COUNTIF(INDEX($EJ$2:$EN$13,$MM138,0),$NL138)=0,1,0))</f>
        <v/>
      </c>
      <c r="OA138" s="155">
        <f>IFERROR(VLOOKUP($MV138,$AV$2:$BA$84,4,FALSE),0)+IFERROR(VLOOKUP($MW138,$AV$2:$BA$84,4,FALSE),0)+IFERROR(VLOOKUP($MX138,$AV$2:$BA$84,4,FALSE),0)+IFERROR(VLOOKUP($MY138,$AV$2:$BA$84,4,FALSE),0)</f>
        <v/>
      </c>
      <c r="OB138" s="155">
        <f>IFERROR(VLOOKUP($MV138,$AV$2:$BA$84,6,FALSE),0)+IFERROR(VLOOKUP($MW138,$AV$2:$BA$84,6,FALSE),0)+IFERROR(VLOOKUP($MX138,$AV$2:$BA$84,6,FALSE),0)+IFERROR(VLOOKUP($MY138,$AV$2:$BA$84,6,FALSE),0)</f>
        <v/>
      </c>
      <c r="OC138" s="155">
        <f>TEXTJOIN(", ",TRUE,IF(IFERROR(VLOOKUP($MV138,$AV$2:$BA$84,5,FALSE),0)=1,$MV138,""),IF(IFERROR(VLOOKUP($MW138,$AV$2:$BA$84,5,FALSE),0)=1,$MW138,""),IF(IFERROR(VLOOKUP($MX138,$AV$2:$BA$84,5,FALSE),0)=1,$MX138,""),IF(IFERROR(VLOOKUP($MY138,$AV$2:$BA$84,5,FALSE),0)=1,$MY138,""))</f>
        <v/>
      </c>
      <c r="OD138" s="155">
        <f>IF($NH138=0,0,INDEX($Y$2:$Y$11,$NH138))</f>
        <v/>
      </c>
      <c r="OE138" s="155">
        <f>IF($NH138=0,0,INDEX($Z$2:$Z$11,$NH138))</f>
        <v/>
      </c>
      <c r="OF138" s="155">
        <f>IF($NH138=0,0,INDEX($AB$2:$AB$11,$NH138))</f>
        <v/>
      </c>
      <c r="OG138" s="155">
        <f>IFERROR(VLOOKUP($MZ138,$BC$2:$BG$24,3,FALSE),0)</f>
        <v/>
      </c>
      <c r="OH138" s="155">
        <f>IFERROR(VLOOKUP($NA138,$BC$2:$BG$24,3,FALSE),0)</f>
        <v/>
      </c>
      <c r="OI138" s="155">
        <f>IFERROR(VLOOKUP($MZ138,$BC$2:$BG$24,2,FALSE),"")</f>
        <v/>
      </c>
      <c r="OJ138" s="155">
        <f>IFERROR(VLOOKUP($NA138,$BC$2:$BG$24,2,FALSE),"")</f>
        <v/>
      </c>
      <c r="OK138" s="155">
        <f>COUNTIF($NQ138:$NU138,1)</f>
        <v/>
      </c>
      <c r="OL138" s="155">
        <f>COUNTIF($NQ138:$NU138,2)</f>
        <v/>
      </c>
      <c r="OM138" s="155">
        <f>COUNTIF($NQ138:$NU138,3)</f>
        <v/>
      </c>
      <c r="ON138" s="155">
        <f>COUNTIF($NQ138:$NU138,4)</f>
        <v/>
      </c>
      <c r="OO138" s="155">
        <f>COUNTIF($NQ138:$NU138,5)</f>
        <v/>
      </c>
      <c r="OP138" s="155">
        <f>COUNTIF($NQ138:$NU138,6)</f>
        <v/>
      </c>
      <c r="OQ138" s="155">
        <f>COUNTIF($OG138:$OH138,1)</f>
        <v/>
      </c>
      <c r="OR138" s="155">
        <f>COUNTIF($OG138:$OH138,2)+$OD138</f>
        <v/>
      </c>
      <c r="OS138" s="155">
        <f>COUNTIF($MV138:$MY138,"?*")</f>
        <v/>
      </c>
      <c r="OT138" s="155">
        <f>COUNTIF($MZ138:$NA138,"?*")+$OD138</f>
        <v/>
      </c>
      <c r="OU138" s="155">
        <f>IF($MQ138=0,0,SUMPRODUCT($OK138:$OP138,INDEX($I$2:$N$8,MAX(1,$MQ138),0)))</f>
        <v/>
      </c>
      <c r="OV138" s="155">
        <f>IF($MQ138=0,0,$OQ138*CEILING($MQ138/2,1)+$OR138*$MQ138)</f>
        <v/>
      </c>
      <c r="OW138" s="155">
        <f>MIN(2*$MQ138,$OV138)</f>
        <v/>
      </c>
      <c r="OX138" s="155">
        <f>MIN($OW138,$OU138)</f>
        <v/>
      </c>
      <c r="OY138" s="155">
        <f>$OW138-$OX138</f>
        <v/>
      </c>
      <c r="OZ138" s="155">
        <f>IF($MQ138=0,0,INDEX($P$2:$P$8,MAX(1,$MQ138)))</f>
        <v/>
      </c>
      <c r="PA138" s="155">
        <f>$OZ138-$OU138+$OX138</f>
        <v/>
      </c>
      <c r="PB138" s="155">
        <f>IF($MQ138=0,MAX(0,$NE138-IF($OS138&gt;0,1,0)),MAX(0,$PA138))</f>
        <v/>
      </c>
      <c r="PC138" s="155">
        <f>IF($MQ138=0,0,(IF(COUNTIF($MV138:$MY138,"Salto")&gt;0,1,0)+IF(COUNTIF($MV138:$MY138,"Queima")&gt;0,1,0)+IF(COUNTIF($MV138:$MY138,"Estilhaço")&gt;0,1,0))*FLOOR($PB138/2,1))</f>
        <v/>
      </c>
      <c r="PD138" s="155">
        <f>MAX(0,2-SUMPRODUCT($OK138:$OP138,$I$2:$N$2)+MIN(2,$OQ138*1+$OR138*1,SUMPRODUCT($OK138:$OP138,$I$2:$N$2)))</f>
        <v/>
      </c>
      <c r="PE138" s="155">
        <f>MAX(0,4-SUMPRODUCT($OK138:$OP138,$I$3:$N$3)+MIN(4,$OQ138*1+$OR138*2,SUMPRODUCT($OK138:$OP138,$I$3:$N$3)))</f>
        <v/>
      </c>
      <c r="PF138" s="155">
        <f>MAX(0,6-SUMPRODUCT($OK138:$OP138,$I$4:$N$4)+MIN(6,$OQ138*2+$OR138*3,SUMPRODUCT($OK138:$OP138,$I$4:$N$4)))</f>
        <v/>
      </c>
      <c r="PG138" s="155">
        <f>MAX(0,9-SUMPRODUCT($OK138:$OP138,$I$5:$N$5)+MIN(8,$OQ138*2+$OR138*4,SUMPRODUCT($OK138:$OP138,$I$5:$N$5)))</f>
        <v/>
      </c>
      <c r="PH138" s="155">
        <f>MAX(0,11-SUMPRODUCT($OK138:$OP138,$I$6:$N$6)+MIN(10,$OQ138*3+$OR138*5,SUMPRODUCT($OK138:$OP138,$I$6:$N$6)))</f>
        <v/>
      </c>
      <c r="PI138" s="155">
        <f>MAX(0,13-SUMPRODUCT($OK138:$OP138,$I$7:$N$7)+MIN(12,$OQ138*3+$OR138*6,SUMPRODUCT($OK138:$OP138,$I$7:$N$7)))</f>
        <v/>
      </c>
      <c r="PJ138" s="155">
        <f>MAX(0,16-SUMPRODUCT($OK138:$OP138,$I$8:$N$8)+MIN(14,$OQ138*4+$OR138*7,SUMPRODUCT($OK138:$OP138,$I$8:$N$8)))</f>
        <v/>
      </c>
      <c r="PK138" s="155">
        <f>IF($OE138=2,3*$PD138&amp;" de vida temp.",IF($OE138=3,"sem dano",IF($PD138=0,IF($OE138=1,"sem cura","sem dano"),IF($OE138=1,"cura ","")&amp;$PD138&amp;"d8")))</f>
        <v/>
      </c>
      <c r="PL138" s="155">
        <f>IF($OE138=2,3*$PE138&amp;" de vida temp.",IF($OE138=3,"sem dano",IF($PE138=0,IF($OE138=1,"sem cura","sem dano"),IF($OE138=1,"cura ","")&amp;$PE138&amp;"d8")))</f>
        <v/>
      </c>
      <c r="PM138" s="155">
        <f>IF($OE138=2,3*$PF138&amp;" de vida temp.",IF($OE138=3,"sem dano",IF($PF138=0,IF($OE138=1,"sem cura","sem dano"),IF($OE138=1,"cura ","")&amp;$PF138&amp;"d8")))</f>
        <v/>
      </c>
      <c r="PN138" s="155">
        <f>IF($OE138=2,3*$PG138&amp;" de vida temp.",IF($OE138=3,"sem dano",IF($PG138=0,IF($OE138=1,"sem cura","sem dano"),IF($OE138=1,"cura ","")&amp;$PG138&amp;"d8")))</f>
        <v/>
      </c>
      <c r="PO138" s="155">
        <f>IF($OE138=2,3*$PH138&amp;" de vida temp.",IF($OE138=3,"sem dano",IF($PH138=0,IF($OE138=1,"sem cura","sem dano"),IF($OE138=1,"cura ","")&amp;$PH138&amp;"d8")))</f>
        <v/>
      </c>
      <c r="PP138" s="155">
        <f>IF($OE138=2,3*$PI138&amp;" de vida temp.",IF($OE138=3,"sem dano",IF($PI138=0,IF($OE138=1,"sem cura","sem dano"),IF($OE138=1,"cura ","")&amp;$PI138&amp;"d8")))</f>
        <v/>
      </c>
      <c r="PQ138" s="155">
        <f>IF($OE138=2,3*$PJ138&amp;" de vida temp.",IF($OE138=3,"sem dano",IF($PJ138=0,IF($OE138=1,"sem cura","sem dano"),IF($OE138=1,"cura ","")&amp;$PJ138&amp;"d8")))</f>
        <v/>
      </c>
      <c r="PR138" s="155">
        <f>IF($NB138=0,"",TEXTJOIN(" · ",TRUE,IF($MO138&gt;$NC138,"Este lugar abre no nível "&amp;$MO138,""),IF($MQ138&gt;$ND138,"Classe "&amp;$MQ138&amp;": o nível "&amp;$NC138&amp;" libera até a "&amp;$ND138,""),IF($NV138=1,"A Forma "&amp;$MS138&amp;" pede "&amp;INDEX($W$2:$W$11,$NH138)&amp;" aberta",""),IF(AND($MQ138=0,$NH138&gt;0,IF($NH138=0,0,INDEX($AF$2:$AF$11,$NH138))=0),$MS138&amp;" não existe na Classe 0",""),IF($NW138=1,"Família Fechada: "&amp;$MV138,""),IF($NX138=1,"Família Fechada: "&amp;$MW138,""),IF($NY138=1,"Família Fechada: "&amp;$MX138,""),IF($NZ138=1,"Família Fechada: "&amp;$MY138,""),IF(AND($MQ138&gt;0,$OS138&gt;INDEX($O$2:$O$8,MAX(1,$MQ138))),$OS138&amp;" Melhorias: a Classe "&amp;$MQ138&amp;" aceita "&amp;INDEX($O$2:$O$8,MAX(1,$MQ138)),""),IF(AND($MQ138=0,$OS138&gt;1),"A básica aceita uma Melhoria",""),IF(AND($MQ138=0,COUNTIF($NM138:$NP138,"&gt;1")&gt;0),"A básica só aceita Melhoria Leve",""),IF(AND($MQ138&gt;0,$OT138&gt;2),$OT138&amp;" Restrições"&amp;IF($OD138=1,", contando a que a Forma "&amp;$MS138&amp;" já traz","")&amp;": o limite é 2",""),IF(AND($MQ138=0,COUNTIF($MZ138:$NA138,"?*")&gt;1),"A básica aceita uma Restrição Leve",""),IF(AND($MQ138=0,COUNTIF($OG138:$OH138,2)&gt;0),"A básica só aceita Restrição Leve",""),IF(AND($MQ138&gt;0,$PA138&lt;0),"Orçamento estourado: faltam "&amp;(-$PA138)&amp;IF($PA138&lt;-1," pontos"," ponto"),""),IF(IFERROR(VLOOKUP($MZ138,$BC$2:$BG$24,4,FALSE),0)+IFERROR(VLOOKUP($NA138,$BC$2:$BG$24,4,FALSE),0)&gt;1,$OI138&amp;" e "&amp;$OJ138&amp;" são as duas de frequência",""),IF(AND((COUNTIF($MV138:$MY138,"Rápido")+COUNTIF($OI138:$OJ138,"Rápido"))&gt;0,(COUNTIF($MV138:$MY138,"Atrasar")+COUNTIF($OI138:$OJ138,"Atrasar"))&gt;0),"Rápido não entra com Atrasar",""),IF(AND((COUNTIF($MV138:$MY138,"Reação")+COUNTIF($OI138:$OJ138,"Reação"))&gt;0,(COUNTIF($MV138:$MY138,"Rápido")+COUNTIF($OI138:$OJ138,"Rápido"))&gt;0),"Reação não entra com Rápido",""),IF(AND((COUNTIF($MV138:$MY138,"Reação")+COUNTIF($OI138:$OJ138,"Reação"))&gt;0,(COUNTIF($MV138:$MY138,"Armado")+COUNTIF($OI138:$OJ138,"Armado"))&gt;0),"Reação não entra com Armado",""),IF(AND((COUNTIF($MV138:$MY138,"Reação")+COUNTIF($OI138:$OJ138,"Reação"))&gt;0,(COUNTIF($MV138:$MY138,"Atrasar")+COUNTIF($OI138:$OJ138,"Atrasar"))&gt;0),"Reação não entra com Atrasar",""),IF(AND((COUNTIF($MV138:$MY138,"Reação")+COUNTIF($OI138:$OJ138,"Reação"))&gt;0,(COUNTIF($MV138:$MY138,"Parado")+COUNTIF($OI138:$OJ138,"Parado"))&gt;0),"Reação não entra com Parado",""),IF(AND((COUNTIF($MV138:$MY138,"Atrasar")+COUNTIF($OI138:$OJ138,"Atrasar"))&gt;0,(COUNTIF($MV138:$MY138,"Parado")+COUNTIF($OI138:$OJ138,"Parado"))&gt;0),"Atrasar não entra com Parado",""),IF(AND((COUNTIF($MV138:$MY138,"Armado")+COUNTIF($OI138:$OJ138,"Armado"))&gt;0,(COUNTIF($MV138:$MY138,"Carregar")+COUNTIF($OI138:$OJ138,"Carregar"))&gt;0),"Armado não entra com Carregar",""),IF(AND(COUNTIF($OI138:$OJ138,"Corpo a Corpo")&gt;0,$OD138=0,OR($MS138="Cone",$MS138="Linha")),"Corpo a Corpo não entra em "&amp;$MS138,""),IF(AND(COUNTIF($OI138:$OJ138,"Corpo a Corpo")&gt;0,$OD138=1),"A Forma "&amp;$MS138&amp;" já traz o Corpo a Corpo",""),IF(AND(COUNTIF($OI138:$OJ138,"Tudo ou Nada")&gt;0,$OF138=0),"Tudo ou Nada só entra em habilidade de Teste de Resistência",""),IF(AND(COUNTIF($MV138:$MY138,"Inescapável")&gt;0,OR($OS138&gt;1,$OT138&gt;0)),"Inescapável não aceita outra peça",""),IF(AND($MQ138&gt;0,$PB138*IF(COUNTIF($MV138:$MY138,"Remate")&gt;0,1.25,1)+$PC138&gt;4*$MQ138),($PB138*IF(COUNTIF($MV138:$MY138,"Remate")&gt;0,1.25,1)+$PC138)&amp;" dados somando repetições"&amp;IF(COUNTIF($MV138:$MY138,"Remate")&gt;0," e o Remate","")&amp;": o teto da Classe "&amp;$MQ138&amp;" é "&amp;4*$MQ138,"")))</f>
        <v/>
      </c>
      <c r="PS138" s="155">
        <f>IF($PR138="",0,(LEN($PR138)-LEN(SUBSTITUTE($PR138," · ","")))/3+1)</f>
        <v/>
      </c>
      <c r="PT138" s="155">
        <f>IF($NB138=0,"",TEXTJOIN(" · ",TRUE,IF($OV138&gt;2*$MQ138,"A devolução parou no teto de "&amp;2*$MQ138,""),IF($OY138&gt;0,"Devolução perdida: "&amp;$OY138&amp;IF($OY138&gt;1," pontos"," ponto")&amp;" sem peça para pagar",""),IF(AND($OA138&gt;0,AND($MQ138&gt;0,$OE138=0),$PB138=0),"Controle sem dano: uma rodada a mais e CD +2",""),IF(AND($OA138&gt;0,AND($MQ138&gt;0,$OE138=0),$PB138&gt;0,$PB138&lt;=$MQ138),"Controle com saldo até a Classe: uma rodada a mais",""),IF(AND($MQ138&gt;0,$OC138&lt;&gt;""),"Efeito de "&amp;$OC138&amp;" pela Classe "&amp;MAX(1,$MQ138-1),"")))</f>
        <v/>
      </c>
      <c r="PU138" s="155">
        <f>IF($PT138="",0,(LEN($PT138)-LEN(SUBSTITUTE($PT138," · ","")))/3+1)</f>
        <v/>
      </c>
      <c r="PV138" s="155">
        <f>IF($NB138=0,IF($OS138+COUNTIF($MZ138:$NA138,"?*")&gt;0,"Dê um nome",""),IF($PS138&gt;0,"⚠ "&amp;$PS138&amp;IF($PS138&gt;1," erros"," erro"),IF($PU138&gt;0,"! "&amp;$PU138&amp;IF($PU138&gt;1," avisos"," aviso"),"Na regra")))</f>
        <v/>
      </c>
      <c r="PW138" s="155">
        <f>IF($NB138=0,"",IF($PS138+$PU138=0,"Dentro das regras que a ficha confere",$PR138&amp;IF(AND($PS138&gt;0,$PU138&gt;0)," · ","")&amp;$PT138))</f>
        <v/>
      </c>
      <c r="PX138" s="155">
        <f>IF($MO138&gt;$NC138,$MP138&amp;" · ABRE NO NÍVEL "&amp;$MO138,$MP138)</f>
        <v/>
      </c>
      <c r="PY138" s="155">
        <f>IF($NB138=0,"",IF($MQ138=0,"Sem PE",3*$MQ138&amp;" PE"))</f>
        <v/>
      </c>
      <c r="PZ138" s="155">
        <f>IF($NB138=0,"",IF($MQ138=0,"A atuação básica dela",IF(COUNTIF($OI138:$OJ138,"Atrasar")&gt;0,"Sua Ação Completa",IF(COUNTIF($MV138:$MY138,"Rápido")&gt;0,"Sua Bônus",IF(COUNTIF($MV138:$MY138,"Reação")&gt;0,"Sua Reação","Sua Padrão")))&amp;" + a básica dela"&amp;IF(COUNTIF($MV138:$MY138,"Reação")&gt;0," e a coletiva","")&amp;IF(COUNTIF($OI138:$OJ138,"Carregar")&gt;0," · em dois turnos","")))</f>
        <v/>
      </c>
      <c r="QA138" s="155">
        <f>IF($MU138&lt;&gt;"",$MU138,IF($NH138=0,"",INDEX($AA$2:$AA$11,$NH138)))</f>
        <v/>
      </c>
      <c r="QB138" s="155">
        <f>IF(OR($NB138=0,$NH138=0),"",IF(COUNTIF($MV138:$MY138,"Inescapável")&gt;0,"Automático",IF($QA138="Ataque",IF($NF138="","Ataque","Ataque "&amp;IF(($NF138+2*IF(COUNTIF($MV138:$MY138,"Precisão")&gt;0,1,0))&gt;=0,"+","−")&amp;ABS(($NF138+2*IF(COUNTIF($MV138:$MY138,"Precisão")&gt;0,1,0))))&amp;IF($OB138&gt;0," · TR"&amp;IF($NG138="",""," CD "&amp;$NG138),""),IF(LEFT($QA138,2)="TR",$QA138&amp;IF($NG138="",""," · CD "&amp;$NG138)&amp;IF(COUNTIF($MV138:$MY138,"Certeiro")&gt;0," · metade",""),"Sem rolagem"))))</f>
        <v/>
      </c>
      <c r="QC138" s="155">
        <f>IF(OR($NB138=0,$NH138=0),"",IF($MQ138=0,IF(OR($OE138&gt;=1,$PB138=0),"Sem dano",$PB138&amp;"d6"&amp;IF($MT138="",""," "&amp;$MT138)),IF(OR($OE138&gt;=1,$PB138=0),UPPER(LEFT(INDEX($PK138:$PQ138,1,MAX(1,$MQ138)),1))&amp;MID(INDEX($PK138:$PQ138,1,MAX(1,$MQ138)),2,99),UPPER(LEFT(INDEX($PK138:$PQ138,1,MAX(1,$MQ138)),1))&amp;MID(INDEX($PK138:$PQ138,1,MAX(1,$MQ138)),2,99)&amp;IF($MT138="",""," "&amp;$MT138)&amp;IF($PC138&gt;0," · +"&amp;$PC138&amp;"d8",""))))</f>
        <v/>
      </c>
      <c r="QD138" s="155">
        <f>COUNTIF($MV138:$MY138,"Longe")+3*COUNTIF($MV138:$MY138,"Muito Longe")</f>
        <v/>
      </c>
      <c r="QE138" s="155">
        <f>COUNTIF($MV138:$MY138,"Maior")+3*COUNTIF($MV138:$MY138,"Muito Maior")</f>
        <v/>
      </c>
      <c r="QF138" s="155">
        <f>IF($NH138=0,0,CHOOSE(1+INDEX($AC$2:$AC$11,$NH138),0,$QD138,$QE138,$QD138+$QE138))</f>
        <v/>
      </c>
      <c r="QG138" s="155">
        <f>IF($NH138=0,0,CHOOSE(1+INDEX($AD$2:$AD$11,$NH138),0,$QD138,$QE138,$QD138+$QE138))</f>
        <v/>
      </c>
      <c r="QH138" s="155">
        <f>IF(OR($NB138=0,$NH138=0),"",INDEX($AI$2:$AN$41,($NH138-1)*4+IF($MQ138=0,1,IF($MQ138&lt;=5,2,IF($MQ138=6,3,4))),1+MIN(5,$QF138))&amp;INDEX($AO$2:$AT$41,($NH138-1)*4+IF($MQ138=0,1,IF($MQ138&lt;=5,2,IF($MQ138=6,3,4))),1+MIN(5,$QG138))&amp;IF(INDEX($AE$2:$AE$11,$NH138)=1,IF(COUNTIF($MV138:$MY138,"Mais Um")&gt;0," · +"&amp;COUNTIF($MV138:$MY138,"Mais Um")&amp;IF(COUNTIF($MV138:$MY138,"Mais Um")&gt;1," alvos"," alvo"),"")&amp;IF(COUNTIF($MV138:$MY138,"Rajada")&gt;0,IF($MQ138=0," · 1 tiro"," · "&amp;(MAX(1,$MQ138-1)+1)&amp;" tiros"),""),""))</f>
        <v/>
      </c>
      <c r="QI138" s="155">
        <f>IF($NB138=0,"",IF($MQ138=0,$NE138&amp;"d6"&amp;IF($OS138&gt;0," − 1 = "&amp;$PB138&amp;"d6"," da básica do nível "&amp;$NC138),$OZ138&amp;" − "&amp;$OU138&amp;" + "&amp;$OX138&amp;" = "&amp;$PA138&amp;" · teto "&amp;4*$MQ138&amp;"d8"&amp;IF($OD138=1," · a Forma devolve "&amp;$MQ138,"")&amp;IF($OY138&gt;0," · perde "&amp;$OY138,"")))</f>
        <v/>
      </c>
      <c r="QJ138" s="155">
        <f>IF($NB138=0,"",IF($MQ138=0,"A básica não amplia: os dados dela sobem com o nível",IF($MQ138&gt;=$ND138,"Já está na maior Classe que o nível liberou",TEXTJOIN(" · ",TRUE,IF(AND(2&gt;$MQ138,2&lt;=$ND138),"2 → "&amp;$PL138&amp;", 6 PE",""),IF(AND(3&gt;$MQ138,3&lt;=$ND138),"3 → "&amp;$PM138&amp;", 9 PE",""),IF(AND(4&gt;$MQ138,4&lt;=$ND138),"4 → "&amp;$PN138&amp;", 12 PE",""),IF(AND(5&gt;$MQ138,5&lt;=$ND138),"5 → "&amp;$PO138&amp;", 15 PE",""),IF(AND(6&gt;$MQ138,6&lt;=$ND138),"6 → "&amp;$PP138&amp;", 18 PE",""),IF(AND(7&gt;$MQ138,7&lt;=$ND138),"7 → "&amp;$PQ138&amp;", 21 PE","")))))</f>
        <v/>
      </c>
      <c r="QK138" s="155">
        <f>IF(OR($NB138=0,$NM138=0),"",IF($MQ138=0,"−1 dado","−"&amp;INDEX($I$2:$N$8,MAX(1,$MQ138),MAX(1,$NR138))&amp;" · "&amp;CHOOSE(MAX(1,$NR138),"Leve","Média","Pesada","Leve · Livre","Média · Livre","Pesada · Livre")))</f>
        <v/>
      </c>
      <c r="QL138" s="155">
        <f>IF(OR($NB138=0,$NN138=0),"",IF($MQ138=0,"−1 dado","−"&amp;INDEX($I$2:$N$8,MAX(1,$MQ138),MAX(1,$NS138))&amp;" · "&amp;CHOOSE(MAX(1,$NS138),"Leve","Média","Pesada","Leve · Livre","Média · Livre","Pesada · Livre")))</f>
        <v/>
      </c>
      <c r="QM138" s="155">
        <f>IF(OR($NB138=0,$NO138=0),"",IF($MQ138=0,"−1 dado","−"&amp;INDEX($I$2:$N$8,MAX(1,$MQ138),MAX(1,$NT138))&amp;" · "&amp;CHOOSE(MAX(1,$NT138),"Leve","Média","Pesada","Leve · Livre","Média · Livre","Pesada · Livre")))</f>
        <v/>
      </c>
      <c r="QN138" s="155">
        <f>IF(OR($NB138=0,$NP138=0),"",IF($MQ138=0,"−1 dado","−"&amp;INDEX($I$2:$N$8,MAX(1,$MQ138),MAX(1,$NU138))&amp;" · "&amp;CHOOSE(MAX(1,$NU138),"Leve","Média","Pesada","Leve · Livre","Média · Livre","Pesada · Livre")))</f>
        <v/>
      </c>
      <c r="QO138" s="155">
        <f>IF(OR($NB138=0,$MZ138=""),"",IF($MQ138=0,"não devolve","+"&amp;IF($OG138=1,CEILING($MQ138/2,1),$MQ138)))</f>
        <v/>
      </c>
      <c r="QP138" s="155">
        <f>IF(OR($NB138=0,$NA138=""),"",IF($MQ138=0,"não devolve","+"&amp;IF($OH138=1,CEILING($MQ138/2,1),$MQ138)))</f>
        <v/>
      </c>
    </row>
    <row r="139">
      <c r="ML139" s="153" t="inlineStr">
        <is>
          <t>Ficha 11 · Especial 6</t>
        </is>
      </c>
      <c r="MM139" s="155" t="n">
        <v>11</v>
      </c>
      <c r="MN139" s="155" t="n">
        <v>1</v>
      </c>
      <c r="MO139" s="155" t="n">
        <v>20</v>
      </c>
      <c r="MP139" s="153" t="inlineStr">
        <is>
          <t>ESPECIAL 6</t>
        </is>
      </c>
      <c r="MQ139" s="155">
        <f>MAX(1,MIN(7,N('INVOCAÇÕES'!$AH$906)))</f>
        <v/>
      </c>
      <c r="MR139" s="155">
        <f>'INVOCAÇÕES'!$AI$906&amp;""</f>
        <v/>
      </c>
      <c r="MS139" s="155">
        <f>'INVOCAÇÕES'!$AH$911&amp;""</f>
        <v/>
      </c>
      <c r="MT139" s="155">
        <f>'INVOCAÇÕES'!$AH$912&amp;""</f>
        <v/>
      </c>
      <c r="MU139" s="155">
        <f>'INVOCAÇÕES'!$AJ$912&amp;""</f>
        <v/>
      </c>
      <c r="MV139" s="155">
        <f>'INVOCAÇÕES'!$AI$915&amp;""</f>
        <v/>
      </c>
      <c r="MW139" s="155">
        <f>'INVOCAÇÕES'!$AI$916&amp;""</f>
        <v/>
      </c>
      <c r="MX139" s="155">
        <f>'INVOCAÇÕES'!$AI$917&amp;""</f>
        <v/>
      </c>
      <c r="MY139" s="155">
        <f>'INVOCAÇÕES'!$AI$918&amp;""</f>
        <v/>
      </c>
      <c r="MZ139" s="155">
        <f>'INVOCAÇÕES'!$AI$919&amp;""</f>
        <v/>
      </c>
      <c r="NA139" s="155">
        <f>'INVOCAÇÕES'!$AI$920&amp;""</f>
        <v/>
      </c>
      <c r="NB139" s="155">
        <f>IF($MR139&lt;&gt;"",1,0)</f>
        <v/>
      </c>
      <c r="NC139" s="155">
        <f>INDEX($FM$2:$FM$13,$MM139)</f>
        <v/>
      </c>
      <c r="ND139" s="155">
        <f>INDEX($FN$2:$FN$13,$MM139)</f>
        <v/>
      </c>
      <c r="NE139" s="155">
        <f>INDEX($FO$2:$FO$13,$MM139)</f>
        <v/>
      </c>
      <c r="NF139" s="155">
        <f>INDEX($FZ$2:$FZ$13,$MM139)</f>
        <v/>
      </c>
      <c r="NG139" s="155">
        <f>INDEX($GA$2:$GA$13,$MM139)</f>
        <v/>
      </c>
      <c r="NH139" s="155">
        <f>IFERROR(MATCH($MS139,$V$2:$V$11,0),0)</f>
        <v/>
      </c>
      <c r="NI139" s="155">
        <f>IFERROR(VLOOKUP($MV139,$AV$2:$BA$84,2,FALSE),"")</f>
        <v/>
      </c>
      <c r="NJ139" s="155">
        <f>IFERROR(VLOOKUP($MW139,$AV$2:$BA$84,2,FALSE),"")</f>
        <v/>
      </c>
      <c r="NK139" s="155">
        <f>IFERROR(VLOOKUP($MX139,$AV$2:$BA$84,2,FALSE),"")</f>
        <v/>
      </c>
      <c r="NL139" s="155">
        <f>IFERROR(VLOOKUP($MY139,$AV$2:$BA$84,2,FALSE),"")</f>
        <v/>
      </c>
      <c r="NM139" s="155">
        <f>IFERROR(VLOOKUP($MV139,$AV$2:$BA$84,3,FALSE),0)</f>
        <v/>
      </c>
      <c r="NN139" s="155">
        <f>IFERROR(VLOOKUP($MW139,$AV$2:$BA$84,3,FALSE),0)</f>
        <v/>
      </c>
      <c r="NO139" s="155">
        <f>IFERROR(VLOOKUP($MX139,$AV$2:$BA$84,3,FALSE),0)</f>
        <v/>
      </c>
      <c r="NP139" s="155">
        <f>IFERROR(VLOOKUP($MY139,$AV$2:$BA$84,3,FALSE),0)</f>
        <v/>
      </c>
      <c r="NQ139" s="155">
        <f>IF($MQ139=0,0,IF($NH139=0,0,INDEX($X$2:$X$11,$NH139)))</f>
        <v/>
      </c>
      <c r="NR139" s="155">
        <f>IF(OR($NM139=0,$MQ139=0),0,$NM139+3*IF(AND($NI139&lt;&gt;"",OR($NI139=INDEX($EJ$2:$EJ$13,$MM139),$NI139=INDEX($EK$2:$EK$13,$MM139))),1,0))</f>
        <v/>
      </c>
      <c r="NS139" s="155">
        <f>IF(OR($NN139=0,$MQ139=0),0,$NN139+3*IF(AND($NJ139&lt;&gt;"",OR($NJ139=INDEX($EJ$2:$EJ$13,$MM139),$NJ139=INDEX($EK$2:$EK$13,$MM139))),1,0))</f>
        <v/>
      </c>
      <c r="NT139" s="155">
        <f>IF(OR($NO139=0,$MQ139=0),0,$NO139+3*IF(AND($NK139&lt;&gt;"",OR($NK139=INDEX($EJ$2:$EJ$13,$MM139),$NK139=INDEX($EK$2:$EK$13,$MM139))),1,0))</f>
        <v/>
      </c>
      <c r="NU139" s="155">
        <f>IF(OR($NP139=0,$MQ139=0),0,$NP139+3*IF(AND($NL139&lt;&gt;"",OR($NL139=INDEX($EJ$2:$EJ$13,$MM139),$NL139=INDEX($EK$2:$EK$13,$MM139))),1,0))</f>
        <v/>
      </c>
      <c r="NV139" s="155">
        <f>IF($NH139=0,0,IF(INDEX($W$2:$W$11,$NH139)="",0,IF(COUNTIF(INDEX($EJ$2:$EN$13,$MM139,0),INDEX($W$2:$W$11,$NH139))=0,1,0)))</f>
        <v/>
      </c>
      <c r="NW139" s="155">
        <f>IF(OR($NM139=0,$NI139=""),0,IF(COUNTIF(INDEX($EJ$2:$EN$13,$MM139,0),$NI139)=0,1,0))</f>
        <v/>
      </c>
      <c r="NX139" s="155">
        <f>IF(OR($NN139=0,$NJ139=""),0,IF(COUNTIF(INDEX($EJ$2:$EN$13,$MM139,0),$NJ139)=0,1,0))</f>
        <v/>
      </c>
      <c r="NY139" s="155">
        <f>IF(OR($NO139=0,$NK139=""),0,IF(COUNTIF(INDEX($EJ$2:$EN$13,$MM139,0),$NK139)=0,1,0))</f>
        <v/>
      </c>
      <c r="NZ139" s="155">
        <f>IF(OR($NP139=0,$NL139=""),0,IF(COUNTIF(INDEX($EJ$2:$EN$13,$MM139,0),$NL139)=0,1,0))</f>
        <v/>
      </c>
      <c r="OA139" s="155">
        <f>IFERROR(VLOOKUP($MV139,$AV$2:$BA$84,4,FALSE),0)+IFERROR(VLOOKUP($MW139,$AV$2:$BA$84,4,FALSE),0)+IFERROR(VLOOKUP($MX139,$AV$2:$BA$84,4,FALSE),0)+IFERROR(VLOOKUP($MY139,$AV$2:$BA$84,4,FALSE),0)</f>
        <v/>
      </c>
      <c r="OB139" s="155">
        <f>IFERROR(VLOOKUP($MV139,$AV$2:$BA$84,6,FALSE),0)+IFERROR(VLOOKUP($MW139,$AV$2:$BA$84,6,FALSE),0)+IFERROR(VLOOKUP($MX139,$AV$2:$BA$84,6,FALSE),0)+IFERROR(VLOOKUP($MY139,$AV$2:$BA$84,6,FALSE),0)</f>
        <v/>
      </c>
      <c r="OC139" s="155">
        <f>TEXTJOIN(", ",TRUE,IF(IFERROR(VLOOKUP($MV139,$AV$2:$BA$84,5,FALSE),0)=1,$MV139,""),IF(IFERROR(VLOOKUP($MW139,$AV$2:$BA$84,5,FALSE),0)=1,$MW139,""),IF(IFERROR(VLOOKUP($MX139,$AV$2:$BA$84,5,FALSE),0)=1,$MX139,""),IF(IFERROR(VLOOKUP($MY139,$AV$2:$BA$84,5,FALSE),0)=1,$MY139,""))</f>
        <v/>
      </c>
      <c r="OD139" s="155">
        <f>IF($NH139=0,0,INDEX($Y$2:$Y$11,$NH139))</f>
        <v/>
      </c>
      <c r="OE139" s="155">
        <f>IF($NH139=0,0,INDEX($Z$2:$Z$11,$NH139))</f>
        <v/>
      </c>
      <c r="OF139" s="155">
        <f>IF($NH139=0,0,INDEX($AB$2:$AB$11,$NH139))</f>
        <v/>
      </c>
      <c r="OG139" s="155">
        <f>IFERROR(VLOOKUP($MZ139,$BC$2:$BG$24,3,FALSE),0)</f>
        <v/>
      </c>
      <c r="OH139" s="155">
        <f>IFERROR(VLOOKUP($NA139,$BC$2:$BG$24,3,FALSE),0)</f>
        <v/>
      </c>
      <c r="OI139" s="155">
        <f>IFERROR(VLOOKUP($MZ139,$BC$2:$BG$24,2,FALSE),"")</f>
        <v/>
      </c>
      <c r="OJ139" s="155">
        <f>IFERROR(VLOOKUP($NA139,$BC$2:$BG$24,2,FALSE),"")</f>
        <v/>
      </c>
      <c r="OK139" s="155">
        <f>COUNTIF($NQ139:$NU139,1)</f>
        <v/>
      </c>
      <c r="OL139" s="155">
        <f>COUNTIF($NQ139:$NU139,2)</f>
        <v/>
      </c>
      <c r="OM139" s="155">
        <f>COUNTIF($NQ139:$NU139,3)</f>
        <v/>
      </c>
      <c r="ON139" s="155">
        <f>COUNTIF($NQ139:$NU139,4)</f>
        <v/>
      </c>
      <c r="OO139" s="155">
        <f>COUNTIF($NQ139:$NU139,5)</f>
        <v/>
      </c>
      <c r="OP139" s="155">
        <f>COUNTIF($NQ139:$NU139,6)</f>
        <v/>
      </c>
      <c r="OQ139" s="155">
        <f>COUNTIF($OG139:$OH139,1)</f>
        <v/>
      </c>
      <c r="OR139" s="155">
        <f>COUNTIF($OG139:$OH139,2)+$OD139</f>
        <v/>
      </c>
      <c r="OS139" s="155">
        <f>COUNTIF($MV139:$MY139,"?*")</f>
        <v/>
      </c>
      <c r="OT139" s="155">
        <f>COUNTIF($MZ139:$NA139,"?*")+$OD139</f>
        <v/>
      </c>
      <c r="OU139" s="155">
        <f>IF($MQ139=0,0,SUMPRODUCT($OK139:$OP139,INDEX($I$2:$N$8,MAX(1,$MQ139),0)))</f>
        <v/>
      </c>
      <c r="OV139" s="155">
        <f>IF($MQ139=0,0,$OQ139*CEILING($MQ139/2,1)+$OR139*$MQ139)</f>
        <v/>
      </c>
      <c r="OW139" s="155">
        <f>MIN(2*$MQ139,$OV139)</f>
        <v/>
      </c>
      <c r="OX139" s="155">
        <f>MIN($OW139,$OU139)</f>
        <v/>
      </c>
      <c r="OY139" s="155">
        <f>$OW139-$OX139</f>
        <v/>
      </c>
      <c r="OZ139" s="155">
        <f>IF($MQ139=0,0,INDEX($P$2:$P$8,MAX(1,$MQ139)))</f>
        <v/>
      </c>
      <c r="PA139" s="155">
        <f>$OZ139-$OU139+$OX139</f>
        <v/>
      </c>
      <c r="PB139" s="155">
        <f>IF($MQ139=0,MAX(0,$NE139-IF($OS139&gt;0,1,0)),MAX(0,$PA139))</f>
        <v/>
      </c>
      <c r="PC139" s="155">
        <f>IF($MQ139=0,0,(IF(COUNTIF($MV139:$MY139,"Salto")&gt;0,1,0)+IF(COUNTIF($MV139:$MY139,"Queima")&gt;0,1,0)+IF(COUNTIF($MV139:$MY139,"Estilhaço")&gt;0,1,0))*FLOOR($PB139/2,1))</f>
        <v/>
      </c>
      <c r="PD139" s="155">
        <f>MAX(0,2-SUMPRODUCT($OK139:$OP139,$I$2:$N$2)+MIN(2,$OQ139*1+$OR139*1,SUMPRODUCT($OK139:$OP139,$I$2:$N$2)))</f>
        <v/>
      </c>
      <c r="PE139" s="155">
        <f>MAX(0,4-SUMPRODUCT($OK139:$OP139,$I$3:$N$3)+MIN(4,$OQ139*1+$OR139*2,SUMPRODUCT($OK139:$OP139,$I$3:$N$3)))</f>
        <v/>
      </c>
      <c r="PF139" s="155">
        <f>MAX(0,6-SUMPRODUCT($OK139:$OP139,$I$4:$N$4)+MIN(6,$OQ139*2+$OR139*3,SUMPRODUCT($OK139:$OP139,$I$4:$N$4)))</f>
        <v/>
      </c>
      <c r="PG139" s="155">
        <f>MAX(0,9-SUMPRODUCT($OK139:$OP139,$I$5:$N$5)+MIN(8,$OQ139*2+$OR139*4,SUMPRODUCT($OK139:$OP139,$I$5:$N$5)))</f>
        <v/>
      </c>
      <c r="PH139" s="155">
        <f>MAX(0,11-SUMPRODUCT($OK139:$OP139,$I$6:$N$6)+MIN(10,$OQ139*3+$OR139*5,SUMPRODUCT($OK139:$OP139,$I$6:$N$6)))</f>
        <v/>
      </c>
      <c r="PI139" s="155">
        <f>MAX(0,13-SUMPRODUCT($OK139:$OP139,$I$7:$N$7)+MIN(12,$OQ139*3+$OR139*6,SUMPRODUCT($OK139:$OP139,$I$7:$N$7)))</f>
        <v/>
      </c>
      <c r="PJ139" s="155">
        <f>MAX(0,16-SUMPRODUCT($OK139:$OP139,$I$8:$N$8)+MIN(14,$OQ139*4+$OR139*7,SUMPRODUCT($OK139:$OP139,$I$8:$N$8)))</f>
        <v/>
      </c>
      <c r="PK139" s="155">
        <f>IF($OE139=2,3*$PD139&amp;" de vida temp.",IF($OE139=3,"sem dano",IF($PD139=0,IF($OE139=1,"sem cura","sem dano"),IF($OE139=1,"cura ","")&amp;$PD139&amp;"d8")))</f>
        <v/>
      </c>
      <c r="PL139" s="155">
        <f>IF($OE139=2,3*$PE139&amp;" de vida temp.",IF($OE139=3,"sem dano",IF($PE139=0,IF($OE139=1,"sem cura","sem dano"),IF($OE139=1,"cura ","")&amp;$PE139&amp;"d8")))</f>
        <v/>
      </c>
      <c r="PM139" s="155">
        <f>IF($OE139=2,3*$PF139&amp;" de vida temp.",IF($OE139=3,"sem dano",IF($PF139=0,IF($OE139=1,"sem cura","sem dano"),IF($OE139=1,"cura ","")&amp;$PF139&amp;"d8")))</f>
        <v/>
      </c>
      <c r="PN139" s="155">
        <f>IF($OE139=2,3*$PG139&amp;" de vida temp.",IF($OE139=3,"sem dano",IF($PG139=0,IF($OE139=1,"sem cura","sem dano"),IF($OE139=1,"cura ","")&amp;$PG139&amp;"d8")))</f>
        <v/>
      </c>
      <c r="PO139" s="155">
        <f>IF($OE139=2,3*$PH139&amp;" de vida temp.",IF($OE139=3,"sem dano",IF($PH139=0,IF($OE139=1,"sem cura","sem dano"),IF($OE139=1,"cura ","")&amp;$PH139&amp;"d8")))</f>
        <v/>
      </c>
      <c r="PP139" s="155">
        <f>IF($OE139=2,3*$PI139&amp;" de vida temp.",IF($OE139=3,"sem dano",IF($PI139=0,IF($OE139=1,"sem cura","sem dano"),IF($OE139=1,"cura ","")&amp;$PI139&amp;"d8")))</f>
        <v/>
      </c>
      <c r="PQ139" s="155">
        <f>IF($OE139=2,3*$PJ139&amp;" de vida temp.",IF($OE139=3,"sem dano",IF($PJ139=0,IF($OE139=1,"sem cura","sem dano"),IF($OE139=1,"cura ","")&amp;$PJ139&amp;"d8")))</f>
        <v/>
      </c>
      <c r="PR139" s="155">
        <f>IF($NB139=0,"",TEXTJOIN(" · ",TRUE,IF($MO139&gt;$NC139,"Este lugar abre no nível "&amp;$MO139,""),IF($MQ139&gt;$ND139,"Classe "&amp;$MQ139&amp;": o nível "&amp;$NC139&amp;" libera até a "&amp;$ND139,""),IF($NV139=1,"A Forma "&amp;$MS139&amp;" pede "&amp;INDEX($W$2:$W$11,$NH139)&amp;" aberta",""),IF(AND($MQ139=0,$NH139&gt;0,IF($NH139=0,0,INDEX($AF$2:$AF$11,$NH139))=0),$MS139&amp;" não existe na Classe 0",""),IF($NW139=1,"Família Fechada: "&amp;$MV139,""),IF($NX139=1,"Família Fechada: "&amp;$MW139,""),IF($NY139=1,"Família Fechada: "&amp;$MX139,""),IF($NZ139=1,"Família Fechada: "&amp;$MY139,""),IF(AND($MQ139&gt;0,$OS139&gt;INDEX($O$2:$O$8,MAX(1,$MQ139))),$OS139&amp;" Melhorias: a Classe "&amp;$MQ139&amp;" aceita "&amp;INDEX($O$2:$O$8,MAX(1,$MQ139)),""),IF(AND($MQ139=0,$OS139&gt;1),"A básica aceita uma Melhoria",""),IF(AND($MQ139=0,COUNTIF($NM139:$NP139,"&gt;1")&gt;0),"A básica só aceita Melhoria Leve",""),IF(AND($MQ139&gt;0,$OT139&gt;2),$OT139&amp;" Restrições"&amp;IF($OD139=1,", contando a que a Forma "&amp;$MS139&amp;" já traz","")&amp;": o limite é 2",""),IF(AND($MQ139=0,COUNTIF($MZ139:$NA139,"?*")&gt;1),"A básica aceita uma Restrição Leve",""),IF(AND($MQ139=0,COUNTIF($OG139:$OH139,2)&gt;0),"A básica só aceita Restrição Leve",""),IF(AND($MQ139&gt;0,$PA139&lt;0),"Orçamento estourado: faltam "&amp;(-$PA139)&amp;IF($PA139&lt;-1," pontos"," ponto"),""),IF(IFERROR(VLOOKUP($MZ139,$BC$2:$BG$24,4,FALSE),0)+IFERROR(VLOOKUP($NA139,$BC$2:$BG$24,4,FALSE),0)&gt;1,$OI139&amp;" e "&amp;$OJ139&amp;" são as duas de frequência",""),IF(AND((COUNTIF($MV139:$MY139,"Rápido")+COUNTIF($OI139:$OJ139,"Rápido"))&gt;0,(COUNTIF($MV139:$MY139,"Atrasar")+COUNTIF($OI139:$OJ139,"Atrasar"))&gt;0),"Rápido não entra com Atrasar",""),IF(AND((COUNTIF($MV139:$MY139,"Reação")+COUNTIF($OI139:$OJ139,"Reação"))&gt;0,(COUNTIF($MV139:$MY139,"Rápido")+COUNTIF($OI139:$OJ139,"Rápido"))&gt;0),"Reação não entra com Rápido",""),IF(AND((COUNTIF($MV139:$MY139,"Reação")+COUNTIF($OI139:$OJ139,"Reação"))&gt;0,(COUNTIF($MV139:$MY139,"Armado")+COUNTIF($OI139:$OJ139,"Armado"))&gt;0),"Reação não entra com Armado",""),IF(AND((COUNTIF($MV139:$MY139,"Reação")+COUNTIF($OI139:$OJ139,"Reação"))&gt;0,(COUNTIF($MV139:$MY139,"Atrasar")+COUNTIF($OI139:$OJ139,"Atrasar"))&gt;0),"Reação não entra com Atrasar",""),IF(AND((COUNTIF($MV139:$MY139,"Reação")+COUNTIF($OI139:$OJ139,"Reação"))&gt;0,(COUNTIF($MV139:$MY139,"Parado")+COUNTIF($OI139:$OJ139,"Parado"))&gt;0),"Reação não entra com Parado",""),IF(AND((COUNTIF($MV139:$MY139,"Atrasar")+COUNTIF($OI139:$OJ139,"Atrasar"))&gt;0,(COUNTIF($MV139:$MY139,"Parado")+COUNTIF($OI139:$OJ139,"Parado"))&gt;0),"Atrasar não entra com Parado",""),IF(AND((COUNTIF($MV139:$MY139,"Armado")+COUNTIF($OI139:$OJ139,"Armado"))&gt;0,(COUNTIF($MV139:$MY139,"Carregar")+COUNTIF($OI139:$OJ139,"Carregar"))&gt;0),"Armado não entra com Carregar",""),IF(AND(COUNTIF($OI139:$OJ139,"Corpo a Corpo")&gt;0,$OD139=0,OR($MS139="Cone",$MS139="Linha")),"Corpo a Corpo não entra em "&amp;$MS139,""),IF(AND(COUNTIF($OI139:$OJ139,"Corpo a Corpo")&gt;0,$OD139=1),"A Forma "&amp;$MS139&amp;" já traz o Corpo a Corpo",""),IF(AND(COUNTIF($OI139:$OJ139,"Tudo ou Nada")&gt;0,$OF139=0),"Tudo ou Nada só entra em habilidade de Teste de Resistência",""),IF(AND(COUNTIF($MV139:$MY139,"Inescapável")&gt;0,OR($OS139&gt;1,$OT139&gt;0)),"Inescapável não aceita outra peça",""),IF(AND($MQ139&gt;0,$PB139*IF(COUNTIF($MV139:$MY139,"Remate")&gt;0,1.25,1)+$PC139&gt;4*$MQ139),($PB139*IF(COUNTIF($MV139:$MY139,"Remate")&gt;0,1.25,1)+$PC139)&amp;" dados somando repetições"&amp;IF(COUNTIF($MV139:$MY139,"Remate")&gt;0," e o Remate","")&amp;": o teto da Classe "&amp;$MQ139&amp;" é "&amp;4*$MQ139,"")))</f>
        <v/>
      </c>
      <c r="PS139" s="155">
        <f>IF($PR139="",0,(LEN($PR139)-LEN(SUBSTITUTE($PR139," · ","")))/3+1)</f>
        <v/>
      </c>
      <c r="PT139" s="155">
        <f>IF($NB139=0,"",TEXTJOIN(" · ",TRUE,IF($OV139&gt;2*$MQ139,"A devolução parou no teto de "&amp;2*$MQ139,""),IF($OY139&gt;0,"Devolução perdida: "&amp;$OY139&amp;IF($OY139&gt;1," pontos"," ponto")&amp;" sem peça para pagar",""),IF(AND($OA139&gt;0,AND($MQ139&gt;0,$OE139=0),$PB139=0),"Controle sem dano: uma rodada a mais e CD +2",""),IF(AND($OA139&gt;0,AND($MQ139&gt;0,$OE139=0),$PB139&gt;0,$PB139&lt;=$MQ139),"Controle com saldo até a Classe: uma rodada a mais",""),IF(AND($MQ139&gt;0,$OC139&lt;&gt;""),"Efeito de "&amp;$OC139&amp;" pela Classe "&amp;MAX(1,$MQ139-1),"")))</f>
        <v/>
      </c>
      <c r="PU139" s="155">
        <f>IF($PT139="",0,(LEN($PT139)-LEN(SUBSTITUTE($PT139," · ","")))/3+1)</f>
        <v/>
      </c>
      <c r="PV139" s="155">
        <f>IF($NB139=0,IF($OS139+COUNTIF($MZ139:$NA139,"?*")&gt;0,"Dê um nome",""),IF($PS139&gt;0,"⚠ "&amp;$PS139&amp;IF($PS139&gt;1," erros"," erro"),IF($PU139&gt;0,"! "&amp;$PU139&amp;IF($PU139&gt;1," avisos"," aviso"),"Na regra")))</f>
        <v/>
      </c>
      <c r="PW139" s="155">
        <f>IF($NB139=0,"",IF($PS139+$PU139=0,"Dentro das regras que a ficha confere",$PR139&amp;IF(AND($PS139&gt;0,$PU139&gt;0)," · ","")&amp;$PT139))</f>
        <v/>
      </c>
      <c r="PX139" s="155">
        <f>IF($MO139&gt;$NC139,$MP139&amp;" · ABRE NO NÍVEL "&amp;$MO139,$MP139)</f>
        <v/>
      </c>
      <c r="PY139" s="155">
        <f>IF($NB139=0,"",IF($MQ139=0,"Sem PE",3*$MQ139&amp;" PE"))</f>
        <v/>
      </c>
      <c r="PZ139" s="155">
        <f>IF($NB139=0,"",IF($MQ139=0,"A atuação básica dela",IF(COUNTIF($OI139:$OJ139,"Atrasar")&gt;0,"Sua Ação Completa",IF(COUNTIF($MV139:$MY139,"Rápido")&gt;0,"Sua Bônus",IF(COUNTIF($MV139:$MY139,"Reação")&gt;0,"Sua Reação","Sua Padrão")))&amp;" + a básica dela"&amp;IF(COUNTIF($MV139:$MY139,"Reação")&gt;0," e a coletiva","")&amp;IF(COUNTIF($OI139:$OJ139,"Carregar")&gt;0," · em dois turnos","")))</f>
        <v/>
      </c>
      <c r="QA139" s="155">
        <f>IF($MU139&lt;&gt;"",$MU139,IF($NH139=0,"",INDEX($AA$2:$AA$11,$NH139)))</f>
        <v/>
      </c>
      <c r="QB139" s="155">
        <f>IF(OR($NB139=0,$NH139=0),"",IF(COUNTIF($MV139:$MY139,"Inescapável")&gt;0,"Automático",IF($QA139="Ataque",IF($NF139="","Ataque","Ataque "&amp;IF(($NF139+2*IF(COUNTIF($MV139:$MY139,"Precisão")&gt;0,1,0))&gt;=0,"+","−")&amp;ABS(($NF139+2*IF(COUNTIF($MV139:$MY139,"Precisão")&gt;0,1,0))))&amp;IF($OB139&gt;0," · TR"&amp;IF($NG139="",""," CD "&amp;$NG139),""),IF(LEFT($QA139,2)="TR",$QA139&amp;IF($NG139="",""," · CD "&amp;$NG139)&amp;IF(COUNTIF($MV139:$MY139,"Certeiro")&gt;0," · metade",""),"Sem rolagem"))))</f>
        <v/>
      </c>
      <c r="QC139" s="155">
        <f>IF(OR($NB139=0,$NH139=0),"",IF($MQ139=0,IF(OR($OE139&gt;=1,$PB139=0),"Sem dano",$PB139&amp;"d6"&amp;IF($MT139="",""," "&amp;$MT139)),IF(OR($OE139&gt;=1,$PB139=0),UPPER(LEFT(INDEX($PK139:$PQ139,1,MAX(1,$MQ139)),1))&amp;MID(INDEX($PK139:$PQ139,1,MAX(1,$MQ139)),2,99),UPPER(LEFT(INDEX($PK139:$PQ139,1,MAX(1,$MQ139)),1))&amp;MID(INDEX($PK139:$PQ139,1,MAX(1,$MQ139)),2,99)&amp;IF($MT139="",""," "&amp;$MT139)&amp;IF($PC139&gt;0," · +"&amp;$PC139&amp;"d8",""))))</f>
        <v/>
      </c>
      <c r="QD139" s="155">
        <f>COUNTIF($MV139:$MY139,"Longe")+3*COUNTIF($MV139:$MY139,"Muito Longe")</f>
        <v/>
      </c>
      <c r="QE139" s="155">
        <f>COUNTIF($MV139:$MY139,"Maior")+3*COUNTIF($MV139:$MY139,"Muito Maior")</f>
        <v/>
      </c>
      <c r="QF139" s="155">
        <f>IF($NH139=0,0,CHOOSE(1+INDEX($AC$2:$AC$11,$NH139),0,$QD139,$QE139,$QD139+$QE139))</f>
        <v/>
      </c>
      <c r="QG139" s="155">
        <f>IF($NH139=0,0,CHOOSE(1+INDEX($AD$2:$AD$11,$NH139),0,$QD139,$QE139,$QD139+$QE139))</f>
        <v/>
      </c>
      <c r="QH139" s="155">
        <f>IF(OR($NB139=0,$NH139=0),"",INDEX($AI$2:$AN$41,($NH139-1)*4+IF($MQ139=0,1,IF($MQ139&lt;=5,2,IF($MQ139=6,3,4))),1+MIN(5,$QF139))&amp;INDEX($AO$2:$AT$41,($NH139-1)*4+IF($MQ139=0,1,IF($MQ139&lt;=5,2,IF($MQ139=6,3,4))),1+MIN(5,$QG139))&amp;IF(INDEX($AE$2:$AE$11,$NH139)=1,IF(COUNTIF($MV139:$MY139,"Mais Um")&gt;0," · +"&amp;COUNTIF($MV139:$MY139,"Mais Um")&amp;IF(COUNTIF($MV139:$MY139,"Mais Um")&gt;1," alvos"," alvo"),"")&amp;IF(COUNTIF($MV139:$MY139,"Rajada")&gt;0,IF($MQ139=0," · 1 tiro"," · "&amp;(MAX(1,$MQ139-1)+1)&amp;" tiros"),""),""))</f>
        <v/>
      </c>
      <c r="QI139" s="155">
        <f>IF($NB139=0,"",IF($MQ139=0,$NE139&amp;"d6"&amp;IF($OS139&gt;0," − 1 = "&amp;$PB139&amp;"d6"," da básica do nível "&amp;$NC139),$OZ139&amp;" − "&amp;$OU139&amp;" + "&amp;$OX139&amp;" = "&amp;$PA139&amp;" · teto "&amp;4*$MQ139&amp;"d8"&amp;IF($OD139=1," · a Forma devolve "&amp;$MQ139,"")&amp;IF($OY139&gt;0," · perde "&amp;$OY139,"")))</f>
        <v/>
      </c>
      <c r="QJ139" s="155">
        <f>IF($NB139=0,"",IF($MQ139=0,"A básica não amplia: os dados dela sobem com o nível",IF($MQ139&gt;=$ND139,"Já está na maior Classe que o nível liberou",TEXTJOIN(" · ",TRUE,IF(AND(2&gt;$MQ139,2&lt;=$ND139),"2 → "&amp;$PL139&amp;", 6 PE",""),IF(AND(3&gt;$MQ139,3&lt;=$ND139),"3 → "&amp;$PM139&amp;", 9 PE",""),IF(AND(4&gt;$MQ139,4&lt;=$ND139),"4 → "&amp;$PN139&amp;", 12 PE",""),IF(AND(5&gt;$MQ139,5&lt;=$ND139),"5 → "&amp;$PO139&amp;", 15 PE",""),IF(AND(6&gt;$MQ139,6&lt;=$ND139),"6 → "&amp;$PP139&amp;", 18 PE",""),IF(AND(7&gt;$MQ139,7&lt;=$ND139),"7 → "&amp;$PQ139&amp;", 21 PE","")))))</f>
        <v/>
      </c>
      <c r="QK139" s="155">
        <f>IF(OR($NB139=0,$NM139=0),"",IF($MQ139=0,"−1 dado","−"&amp;INDEX($I$2:$N$8,MAX(1,$MQ139),MAX(1,$NR139))&amp;" · "&amp;CHOOSE(MAX(1,$NR139),"Leve","Média","Pesada","Leve · Livre","Média · Livre","Pesada · Livre")))</f>
        <v/>
      </c>
      <c r="QL139" s="155">
        <f>IF(OR($NB139=0,$NN139=0),"",IF($MQ139=0,"−1 dado","−"&amp;INDEX($I$2:$N$8,MAX(1,$MQ139),MAX(1,$NS139))&amp;" · "&amp;CHOOSE(MAX(1,$NS139),"Leve","Média","Pesada","Leve · Livre","Média · Livre","Pesada · Livre")))</f>
        <v/>
      </c>
      <c r="QM139" s="155">
        <f>IF(OR($NB139=0,$NO139=0),"",IF($MQ139=0,"−1 dado","−"&amp;INDEX($I$2:$N$8,MAX(1,$MQ139),MAX(1,$NT139))&amp;" · "&amp;CHOOSE(MAX(1,$NT139),"Leve","Média","Pesada","Leve · Livre","Média · Livre","Pesada · Livre")))</f>
        <v/>
      </c>
      <c r="QN139" s="155">
        <f>IF(OR($NB139=0,$NP139=0),"",IF($MQ139=0,"−1 dado","−"&amp;INDEX($I$2:$N$8,MAX(1,$MQ139),MAX(1,$NU139))&amp;" · "&amp;CHOOSE(MAX(1,$NU139),"Leve","Média","Pesada","Leve · Livre","Média · Livre","Pesada · Livre")))</f>
        <v/>
      </c>
      <c r="QO139" s="155">
        <f>IF(OR($NB139=0,$MZ139=""),"",IF($MQ139=0,"não devolve","+"&amp;IF($OG139=1,CEILING($MQ139/2,1),$MQ139)))</f>
        <v/>
      </c>
      <c r="QP139" s="155">
        <f>IF(OR($NB139=0,$NA139=""),"",IF($MQ139=0,"não devolve","+"&amp;IF($OH139=1,CEILING($MQ139/2,1),$MQ139)))</f>
        <v/>
      </c>
    </row>
    <row r="140">
      <c r="ML140" s="153" t="inlineStr">
        <is>
          <t>Ficha 11 · Especial 7</t>
        </is>
      </c>
      <c r="MM140" s="155" t="n">
        <v>11</v>
      </c>
      <c r="MN140" s="155" t="n">
        <v>1</v>
      </c>
      <c r="MO140" s="155" t="n">
        <v>24</v>
      </c>
      <c r="MP140" s="153" t="inlineStr">
        <is>
          <t>ESPECIAL 7</t>
        </is>
      </c>
      <c r="MQ140" s="155">
        <f>MAX(1,MIN(7,N('INVOCAÇÕES'!$AN$906)))</f>
        <v/>
      </c>
      <c r="MR140" s="155">
        <f>'INVOCAÇÕES'!$AO$906&amp;""</f>
        <v/>
      </c>
      <c r="MS140" s="155">
        <f>'INVOCAÇÕES'!$AN$911&amp;""</f>
        <v/>
      </c>
      <c r="MT140" s="155">
        <f>'INVOCAÇÕES'!$AN$912&amp;""</f>
        <v/>
      </c>
      <c r="MU140" s="155">
        <f>'INVOCAÇÕES'!$AP$912&amp;""</f>
        <v/>
      </c>
      <c r="MV140" s="155">
        <f>'INVOCAÇÕES'!$AO$915&amp;""</f>
        <v/>
      </c>
      <c r="MW140" s="155">
        <f>'INVOCAÇÕES'!$AO$916&amp;""</f>
        <v/>
      </c>
      <c r="MX140" s="155">
        <f>'INVOCAÇÕES'!$AO$917&amp;""</f>
        <v/>
      </c>
      <c r="MY140" s="155">
        <f>'INVOCAÇÕES'!$AO$918&amp;""</f>
        <v/>
      </c>
      <c r="MZ140" s="155">
        <f>'INVOCAÇÕES'!$AO$919&amp;""</f>
        <v/>
      </c>
      <c r="NA140" s="155">
        <f>'INVOCAÇÕES'!$AO$920&amp;""</f>
        <v/>
      </c>
      <c r="NB140" s="155">
        <f>IF($MR140&lt;&gt;"",1,0)</f>
        <v/>
      </c>
      <c r="NC140" s="155">
        <f>INDEX($FM$2:$FM$13,$MM140)</f>
        <v/>
      </c>
      <c r="ND140" s="155">
        <f>INDEX($FN$2:$FN$13,$MM140)</f>
        <v/>
      </c>
      <c r="NE140" s="155">
        <f>INDEX($FO$2:$FO$13,$MM140)</f>
        <v/>
      </c>
      <c r="NF140" s="155">
        <f>INDEX($FZ$2:$FZ$13,$MM140)</f>
        <v/>
      </c>
      <c r="NG140" s="155">
        <f>INDEX($GA$2:$GA$13,$MM140)</f>
        <v/>
      </c>
      <c r="NH140" s="155">
        <f>IFERROR(MATCH($MS140,$V$2:$V$11,0),0)</f>
        <v/>
      </c>
      <c r="NI140" s="155">
        <f>IFERROR(VLOOKUP($MV140,$AV$2:$BA$84,2,FALSE),"")</f>
        <v/>
      </c>
      <c r="NJ140" s="155">
        <f>IFERROR(VLOOKUP($MW140,$AV$2:$BA$84,2,FALSE),"")</f>
        <v/>
      </c>
      <c r="NK140" s="155">
        <f>IFERROR(VLOOKUP($MX140,$AV$2:$BA$84,2,FALSE),"")</f>
        <v/>
      </c>
      <c r="NL140" s="155">
        <f>IFERROR(VLOOKUP($MY140,$AV$2:$BA$84,2,FALSE),"")</f>
        <v/>
      </c>
      <c r="NM140" s="155">
        <f>IFERROR(VLOOKUP($MV140,$AV$2:$BA$84,3,FALSE),0)</f>
        <v/>
      </c>
      <c r="NN140" s="155">
        <f>IFERROR(VLOOKUP($MW140,$AV$2:$BA$84,3,FALSE),0)</f>
        <v/>
      </c>
      <c r="NO140" s="155">
        <f>IFERROR(VLOOKUP($MX140,$AV$2:$BA$84,3,FALSE),0)</f>
        <v/>
      </c>
      <c r="NP140" s="155">
        <f>IFERROR(VLOOKUP($MY140,$AV$2:$BA$84,3,FALSE),0)</f>
        <v/>
      </c>
      <c r="NQ140" s="155">
        <f>IF($MQ140=0,0,IF($NH140=0,0,INDEX($X$2:$X$11,$NH140)))</f>
        <v/>
      </c>
      <c r="NR140" s="155">
        <f>IF(OR($NM140=0,$MQ140=0),0,$NM140+3*IF(AND($NI140&lt;&gt;"",OR($NI140=INDEX($EJ$2:$EJ$13,$MM140),$NI140=INDEX($EK$2:$EK$13,$MM140))),1,0))</f>
        <v/>
      </c>
      <c r="NS140" s="155">
        <f>IF(OR($NN140=0,$MQ140=0),0,$NN140+3*IF(AND($NJ140&lt;&gt;"",OR($NJ140=INDEX($EJ$2:$EJ$13,$MM140),$NJ140=INDEX($EK$2:$EK$13,$MM140))),1,0))</f>
        <v/>
      </c>
      <c r="NT140" s="155">
        <f>IF(OR($NO140=0,$MQ140=0),0,$NO140+3*IF(AND($NK140&lt;&gt;"",OR($NK140=INDEX($EJ$2:$EJ$13,$MM140),$NK140=INDEX($EK$2:$EK$13,$MM140))),1,0))</f>
        <v/>
      </c>
      <c r="NU140" s="155">
        <f>IF(OR($NP140=0,$MQ140=0),0,$NP140+3*IF(AND($NL140&lt;&gt;"",OR($NL140=INDEX($EJ$2:$EJ$13,$MM140),$NL140=INDEX($EK$2:$EK$13,$MM140))),1,0))</f>
        <v/>
      </c>
      <c r="NV140" s="155">
        <f>IF($NH140=0,0,IF(INDEX($W$2:$W$11,$NH140)="",0,IF(COUNTIF(INDEX($EJ$2:$EN$13,$MM140,0),INDEX($W$2:$W$11,$NH140))=0,1,0)))</f>
        <v/>
      </c>
      <c r="NW140" s="155">
        <f>IF(OR($NM140=0,$NI140=""),0,IF(COUNTIF(INDEX($EJ$2:$EN$13,$MM140,0),$NI140)=0,1,0))</f>
        <v/>
      </c>
      <c r="NX140" s="155">
        <f>IF(OR($NN140=0,$NJ140=""),0,IF(COUNTIF(INDEX($EJ$2:$EN$13,$MM140,0),$NJ140)=0,1,0))</f>
        <v/>
      </c>
      <c r="NY140" s="155">
        <f>IF(OR($NO140=0,$NK140=""),0,IF(COUNTIF(INDEX($EJ$2:$EN$13,$MM140,0),$NK140)=0,1,0))</f>
        <v/>
      </c>
      <c r="NZ140" s="155">
        <f>IF(OR($NP140=0,$NL140=""),0,IF(COUNTIF(INDEX($EJ$2:$EN$13,$MM140,0),$NL140)=0,1,0))</f>
        <v/>
      </c>
      <c r="OA140" s="155">
        <f>IFERROR(VLOOKUP($MV140,$AV$2:$BA$84,4,FALSE),0)+IFERROR(VLOOKUP($MW140,$AV$2:$BA$84,4,FALSE),0)+IFERROR(VLOOKUP($MX140,$AV$2:$BA$84,4,FALSE),0)+IFERROR(VLOOKUP($MY140,$AV$2:$BA$84,4,FALSE),0)</f>
        <v/>
      </c>
      <c r="OB140" s="155">
        <f>IFERROR(VLOOKUP($MV140,$AV$2:$BA$84,6,FALSE),0)+IFERROR(VLOOKUP($MW140,$AV$2:$BA$84,6,FALSE),0)+IFERROR(VLOOKUP($MX140,$AV$2:$BA$84,6,FALSE),0)+IFERROR(VLOOKUP($MY140,$AV$2:$BA$84,6,FALSE),0)</f>
        <v/>
      </c>
      <c r="OC140" s="155">
        <f>TEXTJOIN(", ",TRUE,IF(IFERROR(VLOOKUP($MV140,$AV$2:$BA$84,5,FALSE),0)=1,$MV140,""),IF(IFERROR(VLOOKUP($MW140,$AV$2:$BA$84,5,FALSE),0)=1,$MW140,""),IF(IFERROR(VLOOKUP($MX140,$AV$2:$BA$84,5,FALSE),0)=1,$MX140,""),IF(IFERROR(VLOOKUP($MY140,$AV$2:$BA$84,5,FALSE),0)=1,$MY140,""))</f>
        <v/>
      </c>
      <c r="OD140" s="155">
        <f>IF($NH140=0,0,INDEX($Y$2:$Y$11,$NH140))</f>
        <v/>
      </c>
      <c r="OE140" s="155">
        <f>IF($NH140=0,0,INDEX($Z$2:$Z$11,$NH140))</f>
        <v/>
      </c>
      <c r="OF140" s="155">
        <f>IF($NH140=0,0,INDEX($AB$2:$AB$11,$NH140))</f>
        <v/>
      </c>
      <c r="OG140" s="155">
        <f>IFERROR(VLOOKUP($MZ140,$BC$2:$BG$24,3,FALSE),0)</f>
        <v/>
      </c>
      <c r="OH140" s="155">
        <f>IFERROR(VLOOKUP($NA140,$BC$2:$BG$24,3,FALSE),0)</f>
        <v/>
      </c>
      <c r="OI140" s="155">
        <f>IFERROR(VLOOKUP($MZ140,$BC$2:$BG$24,2,FALSE),"")</f>
        <v/>
      </c>
      <c r="OJ140" s="155">
        <f>IFERROR(VLOOKUP($NA140,$BC$2:$BG$24,2,FALSE),"")</f>
        <v/>
      </c>
      <c r="OK140" s="155">
        <f>COUNTIF($NQ140:$NU140,1)</f>
        <v/>
      </c>
      <c r="OL140" s="155">
        <f>COUNTIF($NQ140:$NU140,2)</f>
        <v/>
      </c>
      <c r="OM140" s="155">
        <f>COUNTIF($NQ140:$NU140,3)</f>
        <v/>
      </c>
      <c r="ON140" s="155">
        <f>COUNTIF($NQ140:$NU140,4)</f>
        <v/>
      </c>
      <c r="OO140" s="155">
        <f>COUNTIF($NQ140:$NU140,5)</f>
        <v/>
      </c>
      <c r="OP140" s="155">
        <f>COUNTIF($NQ140:$NU140,6)</f>
        <v/>
      </c>
      <c r="OQ140" s="155">
        <f>COUNTIF($OG140:$OH140,1)</f>
        <v/>
      </c>
      <c r="OR140" s="155">
        <f>COUNTIF($OG140:$OH140,2)+$OD140</f>
        <v/>
      </c>
      <c r="OS140" s="155">
        <f>COUNTIF($MV140:$MY140,"?*")</f>
        <v/>
      </c>
      <c r="OT140" s="155">
        <f>COUNTIF($MZ140:$NA140,"?*")+$OD140</f>
        <v/>
      </c>
      <c r="OU140" s="155">
        <f>IF($MQ140=0,0,SUMPRODUCT($OK140:$OP140,INDEX($I$2:$N$8,MAX(1,$MQ140),0)))</f>
        <v/>
      </c>
      <c r="OV140" s="155">
        <f>IF($MQ140=0,0,$OQ140*CEILING($MQ140/2,1)+$OR140*$MQ140)</f>
        <v/>
      </c>
      <c r="OW140" s="155">
        <f>MIN(2*$MQ140,$OV140)</f>
        <v/>
      </c>
      <c r="OX140" s="155">
        <f>MIN($OW140,$OU140)</f>
        <v/>
      </c>
      <c r="OY140" s="155">
        <f>$OW140-$OX140</f>
        <v/>
      </c>
      <c r="OZ140" s="155">
        <f>IF($MQ140=0,0,INDEX($P$2:$P$8,MAX(1,$MQ140)))</f>
        <v/>
      </c>
      <c r="PA140" s="155">
        <f>$OZ140-$OU140+$OX140</f>
        <v/>
      </c>
      <c r="PB140" s="155">
        <f>IF($MQ140=0,MAX(0,$NE140-IF($OS140&gt;0,1,0)),MAX(0,$PA140))</f>
        <v/>
      </c>
      <c r="PC140" s="155">
        <f>IF($MQ140=0,0,(IF(COUNTIF($MV140:$MY140,"Salto")&gt;0,1,0)+IF(COUNTIF($MV140:$MY140,"Queima")&gt;0,1,0)+IF(COUNTIF($MV140:$MY140,"Estilhaço")&gt;0,1,0))*FLOOR($PB140/2,1))</f>
        <v/>
      </c>
      <c r="PD140" s="155">
        <f>MAX(0,2-SUMPRODUCT($OK140:$OP140,$I$2:$N$2)+MIN(2,$OQ140*1+$OR140*1,SUMPRODUCT($OK140:$OP140,$I$2:$N$2)))</f>
        <v/>
      </c>
      <c r="PE140" s="155">
        <f>MAX(0,4-SUMPRODUCT($OK140:$OP140,$I$3:$N$3)+MIN(4,$OQ140*1+$OR140*2,SUMPRODUCT($OK140:$OP140,$I$3:$N$3)))</f>
        <v/>
      </c>
      <c r="PF140" s="155">
        <f>MAX(0,6-SUMPRODUCT($OK140:$OP140,$I$4:$N$4)+MIN(6,$OQ140*2+$OR140*3,SUMPRODUCT($OK140:$OP140,$I$4:$N$4)))</f>
        <v/>
      </c>
      <c r="PG140" s="155">
        <f>MAX(0,9-SUMPRODUCT($OK140:$OP140,$I$5:$N$5)+MIN(8,$OQ140*2+$OR140*4,SUMPRODUCT($OK140:$OP140,$I$5:$N$5)))</f>
        <v/>
      </c>
      <c r="PH140" s="155">
        <f>MAX(0,11-SUMPRODUCT($OK140:$OP140,$I$6:$N$6)+MIN(10,$OQ140*3+$OR140*5,SUMPRODUCT($OK140:$OP140,$I$6:$N$6)))</f>
        <v/>
      </c>
      <c r="PI140" s="155">
        <f>MAX(0,13-SUMPRODUCT($OK140:$OP140,$I$7:$N$7)+MIN(12,$OQ140*3+$OR140*6,SUMPRODUCT($OK140:$OP140,$I$7:$N$7)))</f>
        <v/>
      </c>
      <c r="PJ140" s="155">
        <f>MAX(0,16-SUMPRODUCT($OK140:$OP140,$I$8:$N$8)+MIN(14,$OQ140*4+$OR140*7,SUMPRODUCT($OK140:$OP140,$I$8:$N$8)))</f>
        <v/>
      </c>
      <c r="PK140" s="155">
        <f>IF($OE140=2,3*$PD140&amp;" de vida temp.",IF($OE140=3,"sem dano",IF($PD140=0,IF($OE140=1,"sem cura","sem dano"),IF($OE140=1,"cura ","")&amp;$PD140&amp;"d8")))</f>
        <v/>
      </c>
      <c r="PL140" s="155">
        <f>IF($OE140=2,3*$PE140&amp;" de vida temp.",IF($OE140=3,"sem dano",IF($PE140=0,IF($OE140=1,"sem cura","sem dano"),IF($OE140=1,"cura ","")&amp;$PE140&amp;"d8")))</f>
        <v/>
      </c>
      <c r="PM140" s="155">
        <f>IF($OE140=2,3*$PF140&amp;" de vida temp.",IF($OE140=3,"sem dano",IF($PF140=0,IF($OE140=1,"sem cura","sem dano"),IF($OE140=1,"cura ","")&amp;$PF140&amp;"d8")))</f>
        <v/>
      </c>
      <c r="PN140" s="155">
        <f>IF($OE140=2,3*$PG140&amp;" de vida temp.",IF($OE140=3,"sem dano",IF($PG140=0,IF($OE140=1,"sem cura","sem dano"),IF($OE140=1,"cura ","")&amp;$PG140&amp;"d8")))</f>
        <v/>
      </c>
      <c r="PO140" s="155">
        <f>IF($OE140=2,3*$PH140&amp;" de vida temp.",IF($OE140=3,"sem dano",IF($PH140=0,IF($OE140=1,"sem cura","sem dano"),IF($OE140=1,"cura ","")&amp;$PH140&amp;"d8")))</f>
        <v/>
      </c>
      <c r="PP140" s="155">
        <f>IF($OE140=2,3*$PI140&amp;" de vida temp.",IF($OE140=3,"sem dano",IF($PI140=0,IF($OE140=1,"sem cura","sem dano"),IF($OE140=1,"cura ","")&amp;$PI140&amp;"d8")))</f>
        <v/>
      </c>
      <c r="PQ140" s="155">
        <f>IF($OE140=2,3*$PJ140&amp;" de vida temp.",IF($OE140=3,"sem dano",IF($PJ140=0,IF($OE140=1,"sem cura","sem dano"),IF($OE140=1,"cura ","")&amp;$PJ140&amp;"d8")))</f>
        <v/>
      </c>
      <c r="PR140" s="155">
        <f>IF($NB140=0,"",TEXTJOIN(" · ",TRUE,IF($MO140&gt;$NC140,"Este lugar abre no nível "&amp;$MO140,""),IF($MQ140&gt;$ND140,"Classe "&amp;$MQ140&amp;": o nível "&amp;$NC140&amp;" libera até a "&amp;$ND140,""),IF($NV140=1,"A Forma "&amp;$MS140&amp;" pede "&amp;INDEX($W$2:$W$11,$NH140)&amp;" aberta",""),IF(AND($MQ140=0,$NH140&gt;0,IF($NH140=0,0,INDEX($AF$2:$AF$11,$NH140))=0),$MS140&amp;" não existe na Classe 0",""),IF($NW140=1,"Família Fechada: "&amp;$MV140,""),IF($NX140=1,"Família Fechada: "&amp;$MW140,""),IF($NY140=1,"Família Fechada: "&amp;$MX140,""),IF($NZ140=1,"Família Fechada: "&amp;$MY140,""),IF(AND($MQ140&gt;0,$OS140&gt;INDEX($O$2:$O$8,MAX(1,$MQ140))),$OS140&amp;" Melhorias: a Classe "&amp;$MQ140&amp;" aceita "&amp;INDEX($O$2:$O$8,MAX(1,$MQ140)),""),IF(AND($MQ140=0,$OS140&gt;1),"A básica aceita uma Melhoria",""),IF(AND($MQ140=0,COUNTIF($NM140:$NP140,"&gt;1")&gt;0),"A básica só aceita Melhoria Leve",""),IF(AND($MQ140&gt;0,$OT140&gt;2),$OT140&amp;" Restrições"&amp;IF($OD140=1,", contando a que a Forma "&amp;$MS140&amp;" já traz","")&amp;": o limite é 2",""),IF(AND($MQ140=0,COUNTIF($MZ140:$NA140,"?*")&gt;1),"A básica aceita uma Restrição Leve",""),IF(AND($MQ140=0,COUNTIF($OG140:$OH140,2)&gt;0),"A básica só aceita Restrição Leve",""),IF(AND($MQ140&gt;0,$PA140&lt;0),"Orçamento estourado: faltam "&amp;(-$PA140)&amp;IF($PA140&lt;-1," pontos"," ponto"),""),IF(IFERROR(VLOOKUP($MZ140,$BC$2:$BG$24,4,FALSE),0)+IFERROR(VLOOKUP($NA140,$BC$2:$BG$24,4,FALSE),0)&gt;1,$OI140&amp;" e "&amp;$OJ140&amp;" são as duas de frequência",""),IF(AND((COUNTIF($MV140:$MY140,"Rápido")+COUNTIF($OI140:$OJ140,"Rápido"))&gt;0,(COUNTIF($MV140:$MY140,"Atrasar")+COUNTIF($OI140:$OJ140,"Atrasar"))&gt;0),"Rápido não entra com Atrasar",""),IF(AND((COUNTIF($MV140:$MY140,"Reação")+COUNTIF($OI140:$OJ140,"Reação"))&gt;0,(COUNTIF($MV140:$MY140,"Rápido")+COUNTIF($OI140:$OJ140,"Rápido"))&gt;0),"Reação não entra com Rápido",""),IF(AND((COUNTIF($MV140:$MY140,"Reação")+COUNTIF($OI140:$OJ140,"Reação"))&gt;0,(COUNTIF($MV140:$MY140,"Armado")+COUNTIF($OI140:$OJ140,"Armado"))&gt;0),"Reação não entra com Armado",""),IF(AND((COUNTIF($MV140:$MY140,"Reação")+COUNTIF($OI140:$OJ140,"Reação"))&gt;0,(COUNTIF($MV140:$MY140,"Atrasar")+COUNTIF($OI140:$OJ140,"Atrasar"))&gt;0),"Reação não entra com Atrasar",""),IF(AND((COUNTIF($MV140:$MY140,"Reação")+COUNTIF($OI140:$OJ140,"Reação"))&gt;0,(COUNTIF($MV140:$MY140,"Parado")+COUNTIF($OI140:$OJ140,"Parado"))&gt;0),"Reação não entra com Parado",""),IF(AND((COUNTIF($MV140:$MY140,"Atrasar")+COUNTIF($OI140:$OJ140,"Atrasar"))&gt;0,(COUNTIF($MV140:$MY140,"Parado")+COUNTIF($OI140:$OJ140,"Parado"))&gt;0),"Atrasar não entra com Parado",""),IF(AND((COUNTIF($MV140:$MY140,"Armado")+COUNTIF($OI140:$OJ140,"Armado"))&gt;0,(COUNTIF($MV140:$MY140,"Carregar")+COUNTIF($OI140:$OJ140,"Carregar"))&gt;0),"Armado não entra com Carregar",""),IF(AND(COUNTIF($OI140:$OJ140,"Corpo a Corpo")&gt;0,$OD140=0,OR($MS140="Cone",$MS140="Linha")),"Corpo a Corpo não entra em "&amp;$MS140,""),IF(AND(COUNTIF($OI140:$OJ140,"Corpo a Corpo")&gt;0,$OD140=1),"A Forma "&amp;$MS140&amp;" já traz o Corpo a Corpo",""),IF(AND(COUNTIF($OI140:$OJ140,"Tudo ou Nada")&gt;0,$OF140=0),"Tudo ou Nada só entra em habilidade de Teste de Resistência",""),IF(AND(COUNTIF($MV140:$MY140,"Inescapável")&gt;0,OR($OS140&gt;1,$OT140&gt;0)),"Inescapável não aceita outra peça",""),IF(AND($MQ140&gt;0,$PB140*IF(COUNTIF($MV140:$MY140,"Remate")&gt;0,1.25,1)+$PC140&gt;4*$MQ140),($PB140*IF(COUNTIF($MV140:$MY140,"Remate")&gt;0,1.25,1)+$PC140)&amp;" dados somando repetições"&amp;IF(COUNTIF($MV140:$MY140,"Remate")&gt;0," e o Remate","")&amp;": o teto da Classe "&amp;$MQ140&amp;" é "&amp;4*$MQ140,"")))</f>
        <v/>
      </c>
      <c r="PS140" s="155">
        <f>IF($PR140="",0,(LEN($PR140)-LEN(SUBSTITUTE($PR140," · ","")))/3+1)</f>
        <v/>
      </c>
      <c r="PT140" s="155">
        <f>IF($NB140=0,"",TEXTJOIN(" · ",TRUE,IF($OV140&gt;2*$MQ140,"A devolução parou no teto de "&amp;2*$MQ140,""),IF($OY140&gt;0,"Devolução perdida: "&amp;$OY140&amp;IF($OY140&gt;1," pontos"," ponto")&amp;" sem peça para pagar",""),IF(AND($OA140&gt;0,AND($MQ140&gt;0,$OE140=0),$PB140=0),"Controle sem dano: uma rodada a mais e CD +2",""),IF(AND($OA140&gt;0,AND($MQ140&gt;0,$OE140=0),$PB140&gt;0,$PB140&lt;=$MQ140),"Controle com saldo até a Classe: uma rodada a mais",""),IF(AND($MQ140&gt;0,$OC140&lt;&gt;""),"Efeito de "&amp;$OC140&amp;" pela Classe "&amp;MAX(1,$MQ140-1),"")))</f>
        <v/>
      </c>
      <c r="PU140" s="155">
        <f>IF($PT140="",0,(LEN($PT140)-LEN(SUBSTITUTE($PT140," · ","")))/3+1)</f>
        <v/>
      </c>
      <c r="PV140" s="155">
        <f>IF($NB140=0,IF($OS140+COUNTIF($MZ140:$NA140,"?*")&gt;0,"Dê um nome",""),IF($PS140&gt;0,"⚠ "&amp;$PS140&amp;IF($PS140&gt;1," erros"," erro"),IF($PU140&gt;0,"! "&amp;$PU140&amp;IF($PU140&gt;1," avisos"," aviso"),"Na regra")))</f>
        <v/>
      </c>
      <c r="PW140" s="155">
        <f>IF($NB140=0,"",IF($PS140+$PU140=0,"Dentro das regras que a ficha confere",$PR140&amp;IF(AND($PS140&gt;0,$PU140&gt;0)," · ","")&amp;$PT140))</f>
        <v/>
      </c>
      <c r="PX140" s="155">
        <f>IF($MO140&gt;$NC140,$MP140&amp;" · ABRE NO NÍVEL "&amp;$MO140,$MP140)</f>
        <v/>
      </c>
      <c r="PY140" s="155">
        <f>IF($NB140=0,"",IF($MQ140=0,"Sem PE",3*$MQ140&amp;" PE"))</f>
        <v/>
      </c>
      <c r="PZ140" s="155">
        <f>IF($NB140=0,"",IF($MQ140=0,"A atuação básica dela",IF(COUNTIF($OI140:$OJ140,"Atrasar")&gt;0,"Sua Ação Completa",IF(COUNTIF($MV140:$MY140,"Rápido")&gt;0,"Sua Bônus",IF(COUNTIF($MV140:$MY140,"Reação")&gt;0,"Sua Reação","Sua Padrão")))&amp;" + a básica dela"&amp;IF(COUNTIF($MV140:$MY140,"Reação")&gt;0," e a coletiva","")&amp;IF(COUNTIF($OI140:$OJ140,"Carregar")&gt;0," · em dois turnos","")))</f>
        <v/>
      </c>
      <c r="QA140" s="155">
        <f>IF($MU140&lt;&gt;"",$MU140,IF($NH140=0,"",INDEX($AA$2:$AA$11,$NH140)))</f>
        <v/>
      </c>
      <c r="QB140" s="155">
        <f>IF(OR($NB140=0,$NH140=0),"",IF(COUNTIF($MV140:$MY140,"Inescapável")&gt;0,"Automático",IF($QA140="Ataque",IF($NF140="","Ataque","Ataque "&amp;IF(($NF140+2*IF(COUNTIF($MV140:$MY140,"Precisão")&gt;0,1,0))&gt;=0,"+","−")&amp;ABS(($NF140+2*IF(COUNTIF($MV140:$MY140,"Precisão")&gt;0,1,0))))&amp;IF($OB140&gt;0," · TR"&amp;IF($NG140="",""," CD "&amp;$NG140),""),IF(LEFT($QA140,2)="TR",$QA140&amp;IF($NG140="",""," · CD "&amp;$NG140)&amp;IF(COUNTIF($MV140:$MY140,"Certeiro")&gt;0," · metade",""),"Sem rolagem"))))</f>
        <v/>
      </c>
      <c r="QC140" s="155">
        <f>IF(OR($NB140=0,$NH140=0),"",IF($MQ140=0,IF(OR($OE140&gt;=1,$PB140=0),"Sem dano",$PB140&amp;"d6"&amp;IF($MT140="",""," "&amp;$MT140)),IF(OR($OE140&gt;=1,$PB140=0),UPPER(LEFT(INDEX($PK140:$PQ140,1,MAX(1,$MQ140)),1))&amp;MID(INDEX($PK140:$PQ140,1,MAX(1,$MQ140)),2,99),UPPER(LEFT(INDEX($PK140:$PQ140,1,MAX(1,$MQ140)),1))&amp;MID(INDEX($PK140:$PQ140,1,MAX(1,$MQ140)),2,99)&amp;IF($MT140="",""," "&amp;$MT140)&amp;IF($PC140&gt;0," · +"&amp;$PC140&amp;"d8",""))))</f>
        <v/>
      </c>
      <c r="QD140" s="155">
        <f>COUNTIF($MV140:$MY140,"Longe")+3*COUNTIF($MV140:$MY140,"Muito Longe")</f>
        <v/>
      </c>
      <c r="QE140" s="155">
        <f>COUNTIF($MV140:$MY140,"Maior")+3*COUNTIF($MV140:$MY140,"Muito Maior")</f>
        <v/>
      </c>
      <c r="QF140" s="155">
        <f>IF($NH140=0,0,CHOOSE(1+INDEX($AC$2:$AC$11,$NH140),0,$QD140,$QE140,$QD140+$QE140))</f>
        <v/>
      </c>
      <c r="QG140" s="155">
        <f>IF($NH140=0,0,CHOOSE(1+INDEX($AD$2:$AD$11,$NH140),0,$QD140,$QE140,$QD140+$QE140))</f>
        <v/>
      </c>
      <c r="QH140" s="155">
        <f>IF(OR($NB140=0,$NH140=0),"",INDEX($AI$2:$AN$41,($NH140-1)*4+IF($MQ140=0,1,IF($MQ140&lt;=5,2,IF($MQ140=6,3,4))),1+MIN(5,$QF140))&amp;INDEX($AO$2:$AT$41,($NH140-1)*4+IF($MQ140=0,1,IF($MQ140&lt;=5,2,IF($MQ140=6,3,4))),1+MIN(5,$QG140))&amp;IF(INDEX($AE$2:$AE$11,$NH140)=1,IF(COUNTIF($MV140:$MY140,"Mais Um")&gt;0," · +"&amp;COUNTIF($MV140:$MY140,"Mais Um")&amp;IF(COUNTIF($MV140:$MY140,"Mais Um")&gt;1," alvos"," alvo"),"")&amp;IF(COUNTIF($MV140:$MY140,"Rajada")&gt;0,IF($MQ140=0," · 1 tiro"," · "&amp;(MAX(1,$MQ140-1)+1)&amp;" tiros"),""),""))</f>
        <v/>
      </c>
      <c r="QI140" s="155">
        <f>IF($NB140=0,"",IF($MQ140=0,$NE140&amp;"d6"&amp;IF($OS140&gt;0," − 1 = "&amp;$PB140&amp;"d6"," da básica do nível "&amp;$NC140),$OZ140&amp;" − "&amp;$OU140&amp;" + "&amp;$OX140&amp;" = "&amp;$PA140&amp;" · teto "&amp;4*$MQ140&amp;"d8"&amp;IF($OD140=1," · a Forma devolve "&amp;$MQ140,"")&amp;IF($OY140&gt;0," · perde "&amp;$OY140,"")))</f>
        <v/>
      </c>
      <c r="QJ140" s="155">
        <f>IF($NB140=0,"",IF($MQ140=0,"A básica não amplia: os dados dela sobem com o nível",IF($MQ140&gt;=$ND140,"Já está na maior Classe que o nível liberou",TEXTJOIN(" · ",TRUE,IF(AND(2&gt;$MQ140,2&lt;=$ND140),"2 → "&amp;$PL140&amp;", 6 PE",""),IF(AND(3&gt;$MQ140,3&lt;=$ND140),"3 → "&amp;$PM140&amp;", 9 PE",""),IF(AND(4&gt;$MQ140,4&lt;=$ND140),"4 → "&amp;$PN140&amp;", 12 PE",""),IF(AND(5&gt;$MQ140,5&lt;=$ND140),"5 → "&amp;$PO140&amp;", 15 PE",""),IF(AND(6&gt;$MQ140,6&lt;=$ND140),"6 → "&amp;$PP140&amp;", 18 PE",""),IF(AND(7&gt;$MQ140,7&lt;=$ND140),"7 → "&amp;$PQ140&amp;", 21 PE","")))))</f>
        <v/>
      </c>
      <c r="QK140" s="155">
        <f>IF(OR($NB140=0,$NM140=0),"",IF($MQ140=0,"−1 dado","−"&amp;INDEX($I$2:$N$8,MAX(1,$MQ140),MAX(1,$NR140))&amp;" · "&amp;CHOOSE(MAX(1,$NR140),"Leve","Média","Pesada","Leve · Livre","Média · Livre","Pesada · Livre")))</f>
        <v/>
      </c>
      <c r="QL140" s="155">
        <f>IF(OR($NB140=0,$NN140=0),"",IF($MQ140=0,"−1 dado","−"&amp;INDEX($I$2:$N$8,MAX(1,$MQ140),MAX(1,$NS140))&amp;" · "&amp;CHOOSE(MAX(1,$NS140),"Leve","Média","Pesada","Leve · Livre","Média · Livre","Pesada · Livre")))</f>
        <v/>
      </c>
      <c r="QM140" s="155">
        <f>IF(OR($NB140=0,$NO140=0),"",IF($MQ140=0,"−1 dado","−"&amp;INDEX($I$2:$N$8,MAX(1,$MQ140),MAX(1,$NT140))&amp;" · "&amp;CHOOSE(MAX(1,$NT140),"Leve","Média","Pesada","Leve · Livre","Média · Livre","Pesada · Livre")))</f>
        <v/>
      </c>
      <c r="QN140" s="155">
        <f>IF(OR($NB140=0,$NP140=0),"",IF($MQ140=0,"−1 dado","−"&amp;INDEX($I$2:$N$8,MAX(1,$MQ140),MAX(1,$NU140))&amp;" · "&amp;CHOOSE(MAX(1,$NU140),"Leve","Média","Pesada","Leve · Livre","Média · Livre","Pesada · Livre")))</f>
        <v/>
      </c>
      <c r="QO140" s="155">
        <f>IF(OR($NB140=0,$MZ140=""),"",IF($MQ140=0,"não devolve","+"&amp;IF($OG140=1,CEILING($MQ140/2,1),$MQ140)))</f>
        <v/>
      </c>
      <c r="QP140" s="155">
        <f>IF(OR($NB140=0,$NA140=""),"",IF($MQ140=0,"não devolve","+"&amp;IF($OH140=1,CEILING($MQ140/2,1),$MQ140)))</f>
        <v/>
      </c>
    </row>
    <row r="141">
      <c r="ML141" s="153" t="inlineStr">
        <is>
          <t>Ficha 11 · Especial 8</t>
        </is>
      </c>
      <c r="MM141" s="155" t="n">
        <v>11</v>
      </c>
      <c r="MN141" s="155" t="n">
        <v>1</v>
      </c>
      <c r="MO141" s="155" t="n">
        <v>28</v>
      </c>
      <c r="MP141" s="153" t="inlineStr">
        <is>
          <t>ESPECIAL 8</t>
        </is>
      </c>
      <c r="MQ141" s="155">
        <f>MAX(1,MIN(7,N('INVOCAÇÕES'!$AB$928)))</f>
        <v/>
      </c>
      <c r="MR141" s="155">
        <f>'INVOCAÇÕES'!$AC$928&amp;""</f>
        <v/>
      </c>
      <c r="MS141" s="155">
        <f>'INVOCAÇÕES'!$AB$933&amp;""</f>
        <v/>
      </c>
      <c r="MT141" s="155">
        <f>'INVOCAÇÕES'!$AB$934&amp;""</f>
        <v/>
      </c>
      <c r="MU141" s="155">
        <f>'INVOCAÇÕES'!$AD$934&amp;""</f>
        <v/>
      </c>
      <c r="MV141" s="155">
        <f>'INVOCAÇÕES'!$AC$937&amp;""</f>
        <v/>
      </c>
      <c r="MW141" s="155">
        <f>'INVOCAÇÕES'!$AC$938&amp;""</f>
        <v/>
      </c>
      <c r="MX141" s="155">
        <f>'INVOCAÇÕES'!$AC$939&amp;""</f>
        <v/>
      </c>
      <c r="MY141" s="155">
        <f>'INVOCAÇÕES'!$AC$940&amp;""</f>
        <v/>
      </c>
      <c r="MZ141" s="155">
        <f>'INVOCAÇÕES'!$AC$941&amp;""</f>
        <v/>
      </c>
      <c r="NA141" s="155">
        <f>'INVOCAÇÕES'!$AC$942&amp;""</f>
        <v/>
      </c>
      <c r="NB141" s="155">
        <f>IF($MR141&lt;&gt;"",1,0)</f>
        <v/>
      </c>
      <c r="NC141" s="155">
        <f>INDEX($FM$2:$FM$13,$MM141)</f>
        <v/>
      </c>
      <c r="ND141" s="155">
        <f>INDEX($FN$2:$FN$13,$MM141)</f>
        <v/>
      </c>
      <c r="NE141" s="155">
        <f>INDEX($FO$2:$FO$13,$MM141)</f>
        <v/>
      </c>
      <c r="NF141" s="155">
        <f>INDEX($FZ$2:$FZ$13,$MM141)</f>
        <v/>
      </c>
      <c r="NG141" s="155">
        <f>INDEX($GA$2:$GA$13,$MM141)</f>
        <v/>
      </c>
      <c r="NH141" s="155">
        <f>IFERROR(MATCH($MS141,$V$2:$V$11,0),0)</f>
        <v/>
      </c>
      <c r="NI141" s="155">
        <f>IFERROR(VLOOKUP($MV141,$AV$2:$BA$84,2,FALSE),"")</f>
        <v/>
      </c>
      <c r="NJ141" s="155">
        <f>IFERROR(VLOOKUP($MW141,$AV$2:$BA$84,2,FALSE),"")</f>
        <v/>
      </c>
      <c r="NK141" s="155">
        <f>IFERROR(VLOOKUP($MX141,$AV$2:$BA$84,2,FALSE),"")</f>
        <v/>
      </c>
      <c r="NL141" s="155">
        <f>IFERROR(VLOOKUP($MY141,$AV$2:$BA$84,2,FALSE),"")</f>
        <v/>
      </c>
      <c r="NM141" s="155">
        <f>IFERROR(VLOOKUP($MV141,$AV$2:$BA$84,3,FALSE),0)</f>
        <v/>
      </c>
      <c r="NN141" s="155">
        <f>IFERROR(VLOOKUP($MW141,$AV$2:$BA$84,3,FALSE),0)</f>
        <v/>
      </c>
      <c r="NO141" s="155">
        <f>IFERROR(VLOOKUP($MX141,$AV$2:$BA$84,3,FALSE),0)</f>
        <v/>
      </c>
      <c r="NP141" s="155">
        <f>IFERROR(VLOOKUP($MY141,$AV$2:$BA$84,3,FALSE),0)</f>
        <v/>
      </c>
      <c r="NQ141" s="155">
        <f>IF($MQ141=0,0,IF($NH141=0,0,INDEX($X$2:$X$11,$NH141)))</f>
        <v/>
      </c>
      <c r="NR141" s="155">
        <f>IF(OR($NM141=0,$MQ141=0),0,$NM141+3*IF(AND($NI141&lt;&gt;"",OR($NI141=INDEX($EJ$2:$EJ$13,$MM141),$NI141=INDEX($EK$2:$EK$13,$MM141))),1,0))</f>
        <v/>
      </c>
      <c r="NS141" s="155">
        <f>IF(OR($NN141=0,$MQ141=0),0,$NN141+3*IF(AND($NJ141&lt;&gt;"",OR($NJ141=INDEX($EJ$2:$EJ$13,$MM141),$NJ141=INDEX($EK$2:$EK$13,$MM141))),1,0))</f>
        <v/>
      </c>
      <c r="NT141" s="155">
        <f>IF(OR($NO141=0,$MQ141=0),0,$NO141+3*IF(AND($NK141&lt;&gt;"",OR($NK141=INDEX($EJ$2:$EJ$13,$MM141),$NK141=INDEX($EK$2:$EK$13,$MM141))),1,0))</f>
        <v/>
      </c>
      <c r="NU141" s="155">
        <f>IF(OR($NP141=0,$MQ141=0),0,$NP141+3*IF(AND($NL141&lt;&gt;"",OR($NL141=INDEX($EJ$2:$EJ$13,$MM141),$NL141=INDEX($EK$2:$EK$13,$MM141))),1,0))</f>
        <v/>
      </c>
      <c r="NV141" s="155">
        <f>IF($NH141=0,0,IF(INDEX($W$2:$W$11,$NH141)="",0,IF(COUNTIF(INDEX($EJ$2:$EN$13,$MM141,0),INDEX($W$2:$W$11,$NH141))=0,1,0)))</f>
        <v/>
      </c>
      <c r="NW141" s="155">
        <f>IF(OR($NM141=0,$NI141=""),0,IF(COUNTIF(INDEX($EJ$2:$EN$13,$MM141,0),$NI141)=0,1,0))</f>
        <v/>
      </c>
      <c r="NX141" s="155">
        <f>IF(OR($NN141=0,$NJ141=""),0,IF(COUNTIF(INDEX($EJ$2:$EN$13,$MM141,0),$NJ141)=0,1,0))</f>
        <v/>
      </c>
      <c r="NY141" s="155">
        <f>IF(OR($NO141=0,$NK141=""),0,IF(COUNTIF(INDEX($EJ$2:$EN$13,$MM141,0),$NK141)=0,1,0))</f>
        <v/>
      </c>
      <c r="NZ141" s="155">
        <f>IF(OR($NP141=0,$NL141=""),0,IF(COUNTIF(INDEX($EJ$2:$EN$13,$MM141,0),$NL141)=0,1,0))</f>
        <v/>
      </c>
      <c r="OA141" s="155">
        <f>IFERROR(VLOOKUP($MV141,$AV$2:$BA$84,4,FALSE),0)+IFERROR(VLOOKUP($MW141,$AV$2:$BA$84,4,FALSE),0)+IFERROR(VLOOKUP($MX141,$AV$2:$BA$84,4,FALSE),0)+IFERROR(VLOOKUP($MY141,$AV$2:$BA$84,4,FALSE),0)</f>
        <v/>
      </c>
      <c r="OB141" s="155">
        <f>IFERROR(VLOOKUP($MV141,$AV$2:$BA$84,6,FALSE),0)+IFERROR(VLOOKUP($MW141,$AV$2:$BA$84,6,FALSE),0)+IFERROR(VLOOKUP($MX141,$AV$2:$BA$84,6,FALSE),0)+IFERROR(VLOOKUP($MY141,$AV$2:$BA$84,6,FALSE),0)</f>
        <v/>
      </c>
      <c r="OC141" s="155">
        <f>TEXTJOIN(", ",TRUE,IF(IFERROR(VLOOKUP($MV141,$AV$2:$BA$84,5,FALSE),0)=1,$MV141,""),IF(IFERROR(VLOOKUP($MW141,$AV$2:$BA$84,5,FALSE),0)=1,$MW141,""),IF(IFERROR(VLOOKUP($MX141,$AV$2:$BA$84,5,FALSE),0)=1,$MX141,""),IF(IFERROR(VLOOKUP($MY141,$AV$2:$BA$84,5,FALSE),0)=1,$MY141,""))</f>
        <v/>
      </c>
      <c r="OD141" s="155">
        <f>IF($NH141=0,0,INDEX($Y$2:$Y$11,$NH141))</f>
        <v/>
      </c>
      <c r="OE141" s="155">
        <f>IF($NH141=0,0,INDEX($Z$2:$Z$11,$NH141))</f>
        <v/>
      </c>
      <c r="OF141" s="155">
        <f>IF($NH141=0,0,INDEX($AB$2:$AB$11,$NH141))</f>
        <v/>
      </c>
      <c r="OG141" s="155">
        <f>IFERROR(VLOOKUP($MZ141,$BC$2:$BG$24,3,FALSE),0)</f>
        <v/>
      </c>
      <c r="OH141" s="155">
        <f>IFERROR(VLOOKUP($NA141,$BC$2:$BG$24,3,FALSE),0)</f>
        <v/>
      </c>
      <c r="OI141" s="155">
        <f>IFERROR(VLOOKUP($MZ141,$BC$2:$BG$24,2,FALSE),"")</f>
        <v/>
      </c>
      <c r="OJ141" s="155">
        <f>IFERROR(VLOOKUP($NA141,$BC$2:$BG$24,2,FALSE),"")</f>
        <v/>
      </c>
      <c r="OK141" s="155">
        <f>COUNTIF($NQ141:$NU141,1)</f>
        <v/>
      </c>
      <c r="OL141" s="155">
        <f>COUNTIF($NQ141:$NU141,2)</f>
        <v/>
      </c>
      <c r="OM141" s="155">
        <f>COUNTIF($NQ141:$NU141,3)</f>
        <v/>
      </c>
      <c r="ON141" s="155">
        <f>COUNTIF($NQ141:$NU141,4)</f>
        <v/>
      </c>
      <c r="OO141" s="155">
        <f>COUNTIF($NQ141:$NU141,5)</f>
        <v/>
      </c>
      <c r="OP141" s="155">
        <f>COUNTIF($NQ141:$NU141,6)</f>
        <v/>
      </c>
      <c r="OQ141" s="155">
        <f>COUNTIF($OG141:$OH141,1)</f>
        <v/>
      </c>
      <c r="OR141" s="155">
        <f>COUNTIF($OG141:$OH141,2)+$OD141</f>
        <v/>
      </c>
      <c r="OS141" s="155">
        <f>COUNTIF($MV141:$MY141,"?*")</f>
        <v/>
      </c>
      <c r="OT141" s="155">
        <f>COUNTIF($MZ141:$NA141,"?*")+$OD141</f>
        <v/>
      </c>
      <c r="OU141" s="155">
        <f>IF($MQ141=0,0,SUMPRODUCT($OK141:$OP141,INDEX($I$2:$N$8,MAX(1,$MQ141),0)))</f>
        <v/>
      </c>
      <c r="OV141" s="155">
        <f>IF($MQ141=0,0,$OQ141*CEILING($MQ141/2,1)+$OR141*$MQ141)</f>
        <v/>
      </c>
      <c r="OW141" s="155">
        <f>MIN(2*$MQ141,$OV141)</f>
        <v/>
      </c>
      <c r="OX141" s="155">
        <f>MIN($OW141,$OU141)</f>
        <v/>
      </c>
      <c r="OY141" s="155">
        <f>$OW141-$OX141</f>
        <v/>
      </c>
      <c r="OZ141" s="155">
        <f>IF($MQ141=0,0,INDEX($P$2:$P$8,MAX(1,$MQ141)))</f>
        <v/>
      </c>
      <c r="PA141" s="155">
        <f>$OZ141-$OU141+$OX141</f>
        <v/>
      </c>
      <c r="PB141" s="155">
        <f>IF($MQ141=0,MAX(0,$NE141-IF($OS141&gt;0,1,0)),MAX(0,$PA141))</f>
        <v/>
      </c>
      <c r="PC141" s="155">
        <f>IF($MQ141=0,0,(IF(COUNTIF($MV141:$MY141,"Salto")&gt;0,1,0)+IF(COUNTIF($MV141:$MY141,"Queima")&gt;0,1,0)+IF(COUNTIF($MV141:$MY141,"Estilhaço")&gt;0,1,0))*FLOOR($PB141/2,1))</f>
        <v/>
      </c>
      <c r="PD141" s="155">
        <f>MAX(0,2-SUMPRODUCT($OK141:$OP141,$I$2:$N$2)+MIN(2,$OQ141*1+$OR141*1,SUMPRODUCT($OK141:$OP141,$I$2:$N$2)))</f>
        <v/>
      </c>
      <c r="PE141" s="155">
        <f>MAX(0,4-SUMPRODUCT($OK141:$OP141,$I$3:$N$3)+MIN(4,$OQ141*1+$OR141*2,SUMPRODUCT($OK141:$OP141,$I$3:$N$3)))</f>
        <v/>
      </c>
      <c r="PF141" s="155">
        <f>MAX(0,6-SUMPRODUCT($OK141:$OP141,$I$4:$N$4)+MIN(6,$OQ141*2+$OR141*3,SUMPRODUCT($OK141:$OP141,$I$4:$N$4)))</f>
        <v/>
      </c>
      <c r="PG141" s="155">
        <f>MAX(0,9-SUMPRODUCT($OK141:$OP141,$I$5:$N$5)+MIN(8,$OQ141*2+$OR141*4,SUMPRODUCT($OK141:$OP141,$I$5:$N$5)))</f>
        <v/>
      </c>
      <c r="PH141" s="155">
        <f>MAX(0,11-SUMPRODUCT($OK141:$OP141,$I$6:$N$6)+MIN(10,$OQ141*3+$OR141*5,SUMPRODUCT($OK141:$OP141,$I$6:$N$6)))</f>
        <v/>
      </c>
      <c r="PI141" s="155">
        <f>MAX(0,13-SUMPRODUCT($OK141:$OP141,$I$7:$N$7)+MIN(12,$OQ141*3+$OR141*6,SUMPRODUCT($OK141:$OP141,$I$7:$N$7)))</f>
        <v/>
      </c>
      <c r="PJ141" s="155">
        <f>MAX(0,16-SUMPRODUCT($OK141:$OP141,$I$8:$N$8)+MIN(14,$OQ141*4+$OR141*7,SUMPRODUCT($OK141:$OP141,$I$8:$N$8)))</f>
        <v/>
      </c>
      <c r="PK141" s="155">
        <f>IF($OE141=2,3*$PD141&amp;" de vida temp.",IF($OE141=3,"sem dano",IF($PD141=0,IF($OE141=1,"sem cura","sem dano"),IF($OE141=1,"cura ","")&amp;$PD141&amp;"d8")))</f>
        <v/>
      </c>
      <c r="PL141" s="155">
        <f>IF($OE141=2,3*$PE141&amp;" de vida temp.",IF($OE141=3,"sem dano",IF($PE141=0,IF($OE141=1,"sem cura","sem dano"),IF($OE141=1,"cura ","")&amp;$PE141&amp;"d8")))</f>
        <v/>
      </c>
      <c r="PM141" s="155">
        <f>IF($OE141=2,3*$PF141&amp;" de vida temp.",IF($OE141=3,"sem dano",IF($PF141=0,IF($OE141=1,"sem cura","sem dano"),IF($OE141=1,"cura ","")&amp;$PF141&amp;"d8")))</f>
        <v/>
      </c>
      <c r="PN141" s="155">
        <f>IF($OE141=2,3*$PG141&amp;" de vida temp.",IF($OE141=3,"sem dano",IF($PG141=0,IF($OE141=1,"sem cura","sem dano"),IF($OE141=1,"cura ","")&amp;$PG141&amp;"d8")))</f>
        <v/>
      </c>
      <c r="PO141" s="155">
        <f>IF($OE141=2,3*$PH141&amp;" de vida temp.",IF($OE141=3,"sem dano",IF($PH141=0,IF($OE141=1,"sem cura","sem dano"),IF($OE141=1,"cura ","")&amp;$PH141&amp;"d8")))</f>
        <v/>
      </c>
      <c r="PP141" s="155">
        <f>IF($OE141=2,3*$PI141&amp;" de vida temp.",IF($OE141=3,"sem dano",IF($PI141=0,IF($OE141=1,"sem cura","sem dano"),IF($OE141=1,"cura ","")&amp;$PI141&amp;"d8")))</f>
        <v/>
      </c>
      <c r="PQ141" s="155">
        <f>IF($OE141=2,3*$PJ141&amp;" de vida temp.",IF($OE141=3,"sem dano",IF($PJ141=0,IF($OE141=1,"sem cura","sem dano"),IF($OE141=1,"cura ","")&amp;$PJ141&amp;"d8")))</f>
        <v/>
      </c>
      <c r="PR141" s="155">
        <f>IF($NB141=0,"",TEXTJOIN(" · ",TRUE,IF($MO141&gt;$NC141,"Este lugar abre no nível "&amp;$MO141,""),IF($MQ141&gt;$ND141,"Classe "&amp;$MQ141&amp;": o nível "&amp;$NC141&amp;" libera até a "&amp;$ND141,""),IF($NV141=1,"A Forma "&amp;$MS141&amp;" pede "&amp;INDEX($W$2:$W$11,$NH141)&amp;" aberta",""),IF(AND($MQ141=0,$NH141&gt;0,IF($NH141=0,0,INDEX($AF$2:$AF$11,$NH141))=0),$MS141&amp;" não existe na Classe 0",""),IF($NW141=1,"Família Fechada: "&amp;$MV141,""),IF($NX141=1,"Família Fechada: "&amp;$MW141,""),IF($NY141=1,"Família Fechada: "&amp;$MX141,""),IF($NZ141=1,"Família Fechada: "&amp;$MY141,""),IF(AND($MQ141&gt;0,$OS141&gt;INDEX($O$2:$O$8,MAX(1,$MQ141))),$OS141&amp;" Melhorias: a Classe "&amp;$MQ141&amp;" aceita "&amp;INDEX($O$2:$O$8,MAX(1,$MQ141)),""),IF(AND($MQ141=0,$OS141&gt;1),"A básica aceita uma Melhoria",""),IF(AND($MQ141=0,COUNTIF($NM141:$NP141,"&gt;1")&gt;0),"A básica só aceita Melhoria Leve",""),IF(AND($MQ141&gt;0,$OT141&gt;2),$OT141&amp;" Restrições"&amp;IF($OD141=1,", contando a que a Forma "&amp;$MS141&amp;" já traz","")&amp;": o limite é 2",""),IF(AND($MQ141=0,COUNTIF($MZ141:$NA141,"?*")&gt;1),"A básica aceita uma Restrição Leve",""),IF(AND($MQ141=0,COUNTIF($OG141:$OH141,2)&gt;0),"A básica só aceita Restrição Leve",""),IF(AND($MQ141&gt;0,$PA141&lt;0),"Orçamento estourado: faltam "&amp;(-$PA141)&amp;IF($PA141&lt;-1," pontos"," ponto"),""),IF(IFERROR(VLOOKUP($MZ141,$BC$2:$BG$24,4,FALSE),0)+IFERROR(VLOOKUP($NA141,$BC$2:$BG$24,4,FALSE),0)&gt;1,$OI141&amp;" e "&amp;$OJ141&amp;" são as duas de frequência",""),IF(AND((COUNTIF($MV141:$MY141,"Rápido")+COUNTIF($OI141:$OJ141,"Rápido"))&gt;0,(COUNTIF($MV141:$MY141,"Atrasar")+COUNTIF($OI141:$OJ141,"Atrasar"))&gt;0),"Rápido não entra com Atrasar",""),IF(AND((COUNTIF($MV141:$MY141,"Reação")+COUNTIF($OI141:$OJ141,"Reação"))&gt;0,(COUNTIF($MV141:$MY141,"Rápido")+COUNTIF($OI141:$OJ141,"Rápido"))&gt;0),"Reação não entra com Rápido",""),IF(AND((COUNTIF($MV141:$MY141,"Reação")+COUNTIF($OI141:$OJ141,"Reação"))&gt;0,(COUNTIF($MV141:$MY141,"Armado")+COUNTIF($OI141:$OJ141,"Armado"))&gt;0),"Reação não entra com Armado",""),IF(AND((COUNTIF($MV141:$MY141,"Reação")+COUNTIF($OI141:$OJ141,"Reação"))&gt;0,(COUNTIF($MV141:$MY141,"Atrasar")+COUNTIF($OI141:$OJ141,"Atrasar"))&gt;0),"Reação não entra com Atrasar",""),IF(AND((COUNTIF($MV141:$MY141,"Reação")+COUNTIF($OI141:$OJ141,"Reação"))&gt;0,(COUNTIF($MV141:$MY141,"Parado")+COUNTIF($OI141:$OJ141,"Parado"))&gt;0),"Reação não entra com Parado",""),IF(AND((COUNTIF($MV141:$MY141,"Atrasar")+COUNTIF($OI141:$OJ141,"Atrasar"))&gt;0,(COUNTIF($MV141:$MY141,"Parado")+COUNTIF($OI141:$OJ141,"Parado"))&gt;0),"Atrasar não entra com Parado",""),IF(AND((COUNTIF($MV141:$MY141,"Armado")+COUNTIF($OI141:$OJ141,"Armado"))&gt;0,(COUNTIF($MV141:$MY141,"Carregar")+COUNTIF($OI141:$OJ141,"Carregar"))&gt;0),"Armado não entra com Carregar",""),IF(AND(COUNTIF($OI141:$OJ141,"Corpo a Corpo")&gt;0,$OD141=0,OR($MS141="Cone",$MS141="Linha")),"Corpo a Corpo não entra em "&amp;$MS141,""),IF(AND(COUNTIF($OI141:$OJ141,"Corpo a Corpo")&gt;0,$OD141=1),"A Forma "&amp;$MS141&amp;" já traz o Corpo a Corpo",""),IF(AND(COUNTIF($OI141:$OJ141,"Tudo ou Nada")&gt;0,$OF141=0),"Tudo ou Nada só entra em habilidade de Teste de Resistência",""),IF(AND(COUNTIF($MV141:$MY141,"Inescapável")&gt;0,OR($OS141&gt;1,$OT141&gt;0)),"Inescapável não aceita outra peça",""),IF(AND($MQ141&gt;0,$PB141*IF(COUNTIF($MV141:$MY141,"Remate")&gt;0,1.25,1)+$PC141&gt;4*$MQ141),($PB141*IF(COUNTIF($MV141:$MY141,"Remate")&gt;0,1.25,1)+$PC141)&amp;" dados somando repetições"&amp;IF(COUNTIF($MV141:$MY141,"Remate")&gt;0," e o Remate","")&amp;": o teto da Classe "&amp;$MQ141&amp;" é "&amp;4*$MQ141,"")))</f>
        <v/>
      </c>
      <c r="PS141" s="155">
        <f>IF($PR141="",0,(LEN($PR141)-LEN(SUBSTITUTE($PR141," · ","")))/3+1)</f>
        <v/>
      </c>
      <c r="PT141" s="155">
        <f>IF($NB141=0,"",TEXTJOIN(" · ",TRUE,IF($OV141&gt;2*$MQ141,"A devolução parou no teto de "&amp;2*$MQ141,""),IF($OY141&gt;0,"Devolução perdida: "&amp;$OY141&amp;IF($OY141&gt;1," pontos"," ponto")&amp;" sem peça para pagar",""),IF(AND($OA141&gt;0,AND($MQ141&gt;0,$OE141=0),$PB141=0),"Controle sem dano: uma rodada a mais e CD +2",""),IF(AND($OA141&gt;0,AND($MQ141&gt;0,$OE141=0),$PB141&gt;0,$PB141&lt;=$MQ141),"Controle com saldo até a Classe: uma rodada a mais",""),IF(AND($MQ141&gt;0,$OC141&lt;&gt;""),"Efeito de "&amp;$OC141&amp;" pela Classe "&amp;MAX(1,$MQ141-1),"")))</f>
        <v/>
      </c>
      <c r="PU141" s="155">
        <f>IF($PT141="",0,(LEN($PT141)-LEN(SUBSTITUTE($PT141," · ","")))/3+1)</f>
        <v/>
      </c>
      <c r="PV141" s="155">
        <f>IF($NB141=0,IF($OS141+COUNTIF($MZ141:$NA141,"?*")&gt;0,"Dê um nome",""),IF($PS141&gt;0,"⚠ "&amp;$PS141&amp;IF($PS141&gt;1," erros"," erro"),IF($PU141&gt;0,"! "&amp;$PU141&amp;IF($PU141&gt;1," avisos"," aviso"),"Na regra")))</f>
        <v/>
      </c>
      <c r="PW141" s="155">
        <f>IF($NB141=0,"",IF($PS141+$PU141=0,"Dentro das regras que a ficha confere",$PR141&amp;IF(AND($PS141&gt;0,$PU141&gt;0)," · ","")&amp;$PT141))</f>
        <v/>
      </c>
      <c r="PX141" s="155">
        <f>IF($MO141&gt;$NC141,$MP141&amp;" · ABRE NO NÍVEL "&amp;$MO141,$MP141)</f>
        <v/>
      </c>
      <c r="PY141" s="155">
        <f>IF($NB141=0,"",IF($MQ141=0,"Sem PE",3*$MQ141&amp;" PE"))</f>
        <v/>
      </c>
      <c r="PZ141" s="155">
        <f>IF($NB141=0,"",IF($MQ141=0,"A atuação básica dela",IF(COUNTIF($OI141:$OJ141,"Atrasar")&gt;0,"Sua Ação Completa",IF(COUNTIF($MV141:$MY141,"Rápido")&gt;0,"Sua Bônus",IF(COUNTIF($MV141:$MY141,"Reação")&gt;0,"Sua Reação","Sua Padrão")))&amp;" + a básica dela"&amp;IF(COUNTIF($MV141:$MY141,"Reação")&gt;0," e a coletiva","")&amp;IF(COUNTIF($OI141:$OJ141,"Carregar")&gt;0," · em dois turnos","")))</f>
        <v/>
      </c>
      <c r="QA141" s="155">
        <f>IF($MU141&lt;&gt;"",$MU141,IF($NH141=0,"",INDEX($AA$2:$AA$11,$NH141)))</f>
        <v/>
      </c>
      <c r="QB141" s="155">
        <f>IF(OR($NB141=0,$NH141=0),"",IF(COUNTIF($MV141:$MY141,"Inescapável")&gt;0,"Automático",IF($QA141="Ataque",IF($NF141="","Ataque","Ataque "&amp;IF(($NF141+2*IF(COUNTIF($MV141:$MY141,"Precisão")&gt;0,1,0))&gt;=0,"+","−")&amp;ABS(($NF141+2*IF(COUNTIF($MV141:$MY141,"Precisão")&gt;0,1,0))))&amp;IF($OB141&gt;0," · TR"&amp;IF($NG141="",""," CD "&amp;$NG141),""),IF(LEFT($QA141,2)="TR",$QA141&amp;IF($NG141="",""," · CD "&amp;$NG141)&amp;IF(COUNTIF($MV141:$MY141,"Certeiro")&gt;0," · metade",""),"Sem rolagem"))))</f>
        <v/>
      </c>
      <c r="QC141" s="155">
        <f>IF(OR($NB141=0,$NH141=0),"",IF($MQ141=0,IF(OR($OE141&gt;=1,$PB141=0),"Sem dano",$PB141&amp;"d6"&amp;IF($MT141="",""," "&amp;$MT141)),IF(OR($OE141&gt;=1,$PB141=0),UPPER(LEFT(INDEX($PK141:$PQ141,1,MAX(1,$MQ141)),1))&amp;MID(INDEX($PK141:$PQ141,1,MAX(1,$MQ141)),2,99),UPPER(LEFT(INDEX($PK141:$PQ141,1,MAX(1,$MQ141)),1))&amp;MID(INDEX($PK141:$PQ141,1,MAX(1,$MQ141)),2,99)&amp;IF($MT141="",""," "&amp;$MT141)&amp;IF($PC141&gt;0," · +"&amp;$PC141&amp;"d8",""))))</f>
        <v/>
      </c>
      <c r="QD141" s="155">
        <f>COUNTIF($MV141:$MY141,"Longe")+3*COUNTIF($MV141:$MY141,"Muito Longe")</f>
        <v/>
      </c>
      <c r="QE141" s="155">
        <f>COUNTIF($MV141:$MY141,"Maior")+3*COUNTIF($MV141:$MY141,"Muito Maior")</f>
        <v/>
      </c>
      <c r="QF141" s="155">
        <f>IF($NH141=0,0,CHOOSE(1+INDEX($AC$2:$AC$11,$NH141),0,$QD141,$QE141,$QD141+$QE141))</f>
        <v/>
      </c>
      <c r="QG141" s="155">
        <f>IF($NH141=0,0,CHOOSE(1+INDEX($AD$2:$AD$11,$NH141),0,$QD141,$QE141,$QD141+$QE141))</f>
        <v/>
      </c>
      <c r="QH141" s="155">
        <f>IF(OR($NB141=0,$NH141=0),"",INDEX($AI$2:$AN$41,($NH141-1)*4+IF($MQ141=0,1,IF($MQ141&lt;=5,2,IF($MQ141=6,3,4))),1+MIN(5,$QF141))&amp;INDEX($AO$2:$AT$41,($NH141-1)*4+IF($MQ141=0,1,IF($MQ141&lt;=5,2,IF($MQ141=6,3,4))),1+MIN(5,$QG141))&amp;IF(INDEX($AE$2:$AE$11,$NH141)=1,IF(COUNTIF($MV141:$MY141,"Mais Um")&gt;0," · +"&amp;COUNTIF($MV141:$MY141,"Mais Um")&amp;IF(COUNTIF($MV141:$MY141,"Mais Um")&gt;1," alvos"," alvo"),"")&amp;IF(COUNTIF($MV141:$MY141,"Rajada")&gt;0,IF($MQ141=0," · 1 tiro"," · "&amp;(MAX(1,$MQ141-1)+1)&amp;" tiros"),""),""))</f>
        <v/>
      </c>
      <c r="QI141" s="155">
        <f>IF($NB141=0,"",IF($MQ141=0,$NE141&amp;"d6"&amp;IF($OS141&gt;0," − 1 = "&amp;$PB141&amp;"d6"," da básica do nível "&amp;$NC141),$OZ141&amp;" − "&amp;$OU141&amp;" + "&amp;$OX141&amp;" = "&amp;$PA141&amp;" · teto "&amp;4*$MQ141&amp;"d8"&amp;IF($OD141=1," · a Forma devolve "&amp;$MQ141,"")&amp;IF($OY141&gt;0," · perde "&amp;$OY141,"")))</f>
        <v/>
      </c>
      <c r="QJ141" s="155">
        <f>IF($NB141=0,"",IF($MQ141=0,"A básica não amplia: os dados dela sobem com o nível",IF($MQ141&gt;=$ND141,"Já está na maior Classe que o nível liberou",TEXTJOIN(" · ",TRUE,IF(AND(2&gt;$MQ141,2&lt;=$ND141),"2 → "&amp;$PL141&amp;", 6 PE",""),IF(AND(3&gt;$MQ141,3&lt;=$ND141),"3 → "&amp;$PM141&amp;", 9 PE",""),IF(AND(4&gt;$MQ141,4&lt;=$ND141),"4 → "&amp;$PN141&amp;", 12 PE",""),IF(AND(5&gt;$MQ141,5&lt;=$ND141),"5 → "&amp;$PO141&amp;", 15 PE",""),IF(AND(6&gt;$MQ141,6&lt;=$ND141),"6 → "&amp;$PP141&amp;", 18 PE",""),IF(AND(7&gt;$MQ141,7&lt;=$ND141),"7 → "&amp;$PQ141&amp;", 21 PE","")))))</f>
        <v/>
      </c>
      <c r="QK141" s="155">
        <f>IF(OR($NB141=0,$NM141=0),"",IF($MQ141=0,"−1 dado","−"&amp;INDEX($I$2:$N$8,MAX(1,$MQ141),MAX(1,$NR141))&amp;" · "&amp;CHOOSE(MAX(1,$NR141),"Leve","Média","Pesada","Leve · Livre","Média · Livre","Pesada · Livre")))</f>
        <v/>
      </c>
      <c r="QL141" s="155">
        <f>IF(OR($NB141=0,$NN141=0),"",IF($MQ141=0,"−1 dado","−"&amp;INDEX($I$2:$N$8,MAX(1,$MQ141),MAX(1,$NS141))&amp;" · "&amp;CHOOSE(MAX(1,$NS141),"Leve","Média","Pesada","Leve · Livre","Média · Livre","Pesada · Livre")))</f>
        <v/>
      </c>
      <c r="QM141" s="155">
        <f>IF(OR($NB141=0,$NO141=0),"",IF($MQ141=0,"−1 dado","−"&amp;INDEX($I$2:$N$8,MAX(1,$MQ141),MAX(1,$NT141))&amp;" · "&amp;CHOOSE(MAX(1,$NT141),"Leve","Média","Pesada","Leve · Livre","Média · Livre","Pesada · Livre")))</f>
        <v/>
      </c>
      <c r="QN141" s="155">
        <f>IF(OR($NB141=0,$NP141=0),"",IF($MQ141=0,"−1 dado","−"&amp;INDEX($I$2:$N$8,MAX(1,$MQ141),MAX(1,$NU141))&amp;" · "&amp;CHOOSE(MAX(1,$NU141),"Leve","Média","Pesada","Leve · Livre","Média · Livre","Pesada · Livre")))</f>
        <v/>
      </c>
      <c r="QO141" s="155">
        <f>IF(OR($NB141=0,$MZ141=""),"",IF($MQ141=0,"não devolve","+"&amp;IF($OG141=1,CEILING($MQ141/2,1),$MQ141)))</f>
        <v/>
      </c>
      <c r="QP141" s="155">
        <f>IF(OR($NB141=0,$NA141=""),"",IF($MQ141=0,"não devolve","+"&amp;IF($OH141=1,CEILING($MQ141/2,1),$MQ141)))</f>
        <v/>
      </c>
    </row>
    <row r="142">
      <c r="ML142" s="153" t="inlineStr">
        <is>
          <t>Ficha 11 · Escolha da trilha 1</t>
        </is>
      </c>
      <c r="MM142" s="155" t="n">
        <v>11</v>
      </c>
      <c r="MN142" s="155" t="n">
        <v>2</v>
      </c>
      <c r="MO142" s="155" t="n">
        <v>0</v>
      </c>
      <c r="MP142" s="153" t="inlineStr">
        <is>
          <t>ESCOLHA DA TRILHA 1</t>
        </is>
      </c>
      <c r="MQ142" s="155">
        <f>MAX(0,MIN(7,N('INVOCAÇÕES'!$AB$952)))</f>
        <v/>
      </c>
      <c r="MR142" s="155">
        <f>'INVOCAÇÕES'!$AC$952&amp;""</f>
        <v/>
      </c>
      <c r="MS142" s="155">
        <f>'INVOCAÇÕES'!$AB$957&amp;""</f>
        <v/>
      </c>
      <c r="MT142" s="155">
        <f>'INVOCAÇÕES'!$AB$958&amp;""</f>
        <v/>
      </c>
      <c r="MU142" s="155">
        <f>'INVOCAÇÕES'!$AD$958&amp;""</f>
        <v/>
      </c>
      <c r="MV142" s="155">
        <f>'INVOCAÇÕES'!$AC$961&amp;""</f>
        <v/>
      </c>
      <c r="MW142" s="155">
        <f>'INVOCAÇÕES'!$AC$962&amp;""</f>
        <v/>
      </c>
      <c r="MX142" s="155">
        <f>'INVOCAÇÕES'!$AC$963&amp;""</f>
        <v/>
      </c>
      <c r="MY142" s="155">
        <f>'INVOCAÇÕES'!$AC$964&amp;""</f>
        <v/>
      </c>
      <c r="MZ142" s="155">
        <f>'INVOCAÇÕES'!$AC$965&amp;""</f>
        <v/>
      </c>
      <c r="NA142" s="155">
        <f>'INVOCAÇÕES'!$AC$966&amp;""</f>
        <v/>
      </c>
      <c r="NB142" s="155">
        <f>IF($MR142&lt;&gt;"",1,0)</f>
        <v/>
      </c>
      <c r="NC142" s="155">
        <f>INDEX($FM$2:$FM$13,$MM142)</f>
        <v/>
      </c>
      <c r="ND142" s="155">
        <f>INDEX($FN$2:$FN$13,$MM142)</f>
        <v/>
      </c>
      <c r="NE142" s="155">
        <f>INDEX($FO$2:$FO$13,$MM142)</f>
        <v/>
      </c>
      <c r="NF142" s="155">
        <f>INDEX($FZ$2:$FZ$13,$MM142)</f>
        <v/>
      </c>
      <c r="NG142" s="155">
        <f>INDEX($GA$2:$GA$13,$MM142)</f>
        <v/>
      </c>
      <c r="NH142" s="155">
        <f>IFERROR(MATCH($MS142,$V$2:$V$11,0),0)</f>
        <v/>
      </c>
      <c r="NI142" s="155">
        <f>IFERROR(VLOOKUP($MV142,$AV$2:$BA$84,2,FALSE),"")</f>
        <v/>
      </c>
      <c r="NJ142" s="155">
        <f>IFERROR(VLOOKUP($MW142,$AV$2:$BA$84,2,FALSE),"")</f>
        <v/>
      </c>
      <c r="NK142" s="155">
        <f>IFERROR(VLOOKUP($MX142,$AV$2:$BA$84,2,FALSE),"")</f>
        <v/>
      </c>
      <c r="NL142" s="155">
        <f>IFERROR(VLOOKUP($MY142,$AV$2:$BA$84,2,FALSE),"")</f>
        <v/>
      </c>
      <c r="NM142" s="155">
        <f>IFERROR(VLOOKUP($MV142,$AV$2:$BA$84,3,FALSE),0)</f>
        <v/>
      </c>
      <c r="NN142" s="155">
        <f>IFERROR(VLOOKUP($MW142,$AV$2:$BA$84,3,FALSE),0)</f>
        <v/>
      </c>
      <c r="NO142" s="155">
        <f>IFERROR(VLOOKUP($MX142,$AV$2:$BA$84,3,FALSE),0)</f>
        <v/>
      </c>
      <c r="NP142" s="155">
        <f>IFERROR(VLOOKUP($MY142,$AV$2:$BA$84,3,FALSE),0)</f>
        <v/>
      </c>
      <c r="NQ142" s="155">
        <f>IF($MQ142=0,0,IF($NH142=0,0,INDEX($X$2:$X$11,$NH142)))</f>
        <v/>
      </c>
      <c r="NR142" s="155">
        <f>IF(OR($NM142=0,$MQ142=0),0,$NM142+3*IF(AND($NI142&lt;&gt;"",OR($NI142=INDEX($EJ$2:$EJ$13,$MM142),$NI142=INDEX($EK$2:$EK$13,$MM142))),1,0))</f>
        <v/>
      </c>
      <c r="NS142" s="155">
        <f>IF(OR($NN142=0,$MQ142=0),0,$NN142+3*IF(AND($NJ142&lt;&gt;"",OR($NJ142=INDEX($EJ$2:$EJ$13,$MM142),$NJ142=INDEX($EK$2:$EK$13,$MM142))),1,0))</f>
        <v/>
      </c>
      <c r="NT142" s="155">
        <f>IF(OR($NO142=0,$MQ142=0),0,$NO142+3*IF(AND($NK142&lt;&gt;"",OR($NK142=INDEX($EJ$2:$EJ$13,$MM142),$NK142=INDEX($EK$2:$EK$13,$MM142))),1,0))</f>
        <v/>
      </c>
      <c r="NU142" s="155">
        <f>IF(OR($NP142=0,$MQ142=0),0,$NP142+3*IF(AND($NL142&lt;&gt;"",OR($NL142=INDEX($EJ$2:$EJ$13,$MM142),$NL142=INDEX($EK$2:$EK$13,$MM142))),1,0))</f>
        <v/>
      </c>
      <c r="NV142" s="155">
        <f>IF($NH142=0,0,IF(INDEX($W$2:$W$11,$NH142)="",0,IF(COUNTIF(INDEX($EJ$2:$EN$13,$MM142,0),INDEX($W$2:$W$11,$NH142))=0,1,0)))</f>
        <v/>
      </c>
      <c r="NW142" s="155">
        <f>IF(OR($NM142=0,$NI142=""),0,IF(COUNTIF(INDEX($EJ$2:$EN$13,$MM142,0),$NI142)=0,1,0))</f>
        <v/>
      </c>
      <c r="NX142" s="155">
        <f>IF(OR($NN142=0,$NJ142=""),0,IF(COUNTIF(INDEX($EJ$2:$EN$13,$MM142,0),$NJ142)=0,1,0))</f>
        <v/>
      </c>
      <c r="NY142" s="155">
        <f>IF(OR($NO142=0,$NK142=""),0,IF(COUNTIF(INDEX($EJ$2:$EN$13,$MM142,0),$NK142)=0,1,0))</f>
        <v/>
      </c>
      <c r="NZ142" s="155">
        <f>IF(OR($NP142=0,$NL142=""),0,IF(COUNTIF(INDEX($EJ$2:$EN$13,$MM142,0),$NL142)=0,1,0))</f>
        <v/>
      </c>
      <c r="OA142" s="155">
        <f>IFERROR(VLOOKUP($MV142,$AV$2:$BA$84,4,FALSE),0)+IFERROR(VLOOKUP($MW142,$AV$2:$BA$84,4,FALSE),0)+IFERROR(VLOOKUP($MX142,$AV$2:$BA$84,4,FALSE),0)+IFERROR(VLOOKUP($MY142,$AV$2:$BA$84,4,FALSE),0)</f>
        <v/>
      </c>
      <c r="OB142" s="155">
        <f>IFERROR(VLOOKUP($MV142,$AV$2:$BA$84,6,FALSE),0)+IFERROR(VLOOKUP($MW142,$AV$2:$BA$84,6,FALSE),0)+IFERROR(VLOOKUP($MX142,$AV$2:$BA$84,6,FALSE),0)+IFERROR(VLOOKUP($MY142,$AV$2:$BA$84,6,FALSE),0)</f>
        <v/>
      </c>
      <c r="OC142" s="155">
        <f>TEXTJOIN(", ",TRUE,IF(IFERROR(VLOOKUP($MV142,$AV$2:$BA$84,5,FALSE),0)=1,$MV142,""),IF(IFERROR(VLOOKUP($MW142,$AV$2:$BA$84,5,FALSE),0)=1,$MW142,""),IF(IFERROR(VLOOKUP($MX142,$AV$2:$BA$84,5,FALSE),0)=1,$MX142,""),IF(IFERROR(VLOOKUP($MY142,$AV$2:$BA$84,5,FALSE),0)=1,$MY142,""))</f>
        <v/>
      </c>
      <c r="OD142" s="155">
        <f>IF($NH142=0,0,INDEX($Y$2:$Y$11,$NH142))</f>
        <v/>
      </c>
      <c r="OE142" s="155">
        <f>IF($NH142=0,0,INDEX($Z$2:$Z$11,$NH142))</f>
        <v/>
      </c>
      <c r="OF142" s="155">
        <f>IF($NH142=0,0,INDEX($AB$2:$AB$11,$NH142))</f>
        <v/>
      </c>
      <c r="OG142" s="155">
        <f>IFERROR(VLOOKUP($MZ142,$BC$2:$BG$24,3,FALSE),0)</f>
        <v/>
      </c>
      <c r="OH142" s="155">
        <f>IFERROR(VLOOKUP($NA142,$BC$2:$BG$24,3,FALSE),0)</f>
        <v/>
      </c>
      <c r="OI142" s="155">
        <f>IFERROR(VLOOKUP($MZ142,$BC$2:$BG$24,2,FALSE),"")</f>
        <v/>
      </c>
      <c r="OJ142" s="155">
        <f>IFERROR(VLOOKUP($NA142,$BC$2:$BG$24,2,FALSE),"")</f>
        <v/>
      </c>
      <c r="OK142" s="155">
        <f>COUNTIF($NQ142:$NU142,1)</f>
        <v/>
      </c>
      <c r="OL142" s="155">
        <f>COUNTIF($NQ142:$NU142,2)</f>
        <v/>
      </c>
      <c r="OM142" s="155">
        <f>COUNTIF($NQ142:$NU142,3)</f>
        <v/>
      </c>
      <c r="ON142" s="155">
        <f>COUNTIF($NQ142:$NU142,4)</f>
        <v/>
      </c>
      <c r="OO142" s="155">
        <f>COUNTIF($NQ142:$NU142,5)</f>
        <v/>
      </c>
      <c r="OP142" s="155">
        <f>COUNTIF($NQ142:$NU142,6)</f>
        <v/>
      </c>
      <c r="OQ142" s="155">
        <f>COUNTIF($OG142:$OH142,1)</f>
        <v/>
      </c>
      <c r="OR142" s="155">
        <f>COUNTIF($OG142:$OH142,2)+$OD142</f>
        <v/>
      </c>
      <c r="OS142" s="155">
        <f>COUNTIF($MV142:$MY142,"?*")</f>
        <v/>
      </c>
      <c r="OT142" s="155">
        <f>COUNTIF($MZ142:$NA142,"?*")+$OD142</f>
        <v/>
      </c>
      <c r="OU142" s="155">
        <f>IF($MQ142=0,0,SUMPRODUCT($OK142:$OP142,INDEX($I$2:$N$8,MAX(1,$MQ142),0)))</f>
        <v/>
      </c>
      <c r="OV142" s="155">
        <f>IF($MQ142=0,0,$OQ142*CEILING($MQ142/2,1)+$OR142*$MQ142)</f>
        <v/>
      </c>
      <c r="OW142" s="155">
        <f>MIN(2*$MQ142,$OV142)</f>
        <v/>
      </c>
      <c r="OX142" s="155">
        <f>MIN($OW142,$OU142)</f>
        <v/>
      </c>
      <c r="OY142" s="155">
        <f>$OW142-$OX142</f>
        <v/>
      </c>
      <c r="OZ142" s="155">
        <f>IF($MQ142=0,0,INDEX($P$2:$P$8,MAX(1,$MQ142)))</f>
        <v/>
      </c>
      <c r="PA142" s="155">
        <f>$OZ142-$OU142+$OX142</f>
        <v/>
      </c>
      <c r="PB142" s="155">
        <f>IF($MQ142=0,MAX(0,$NE142-IF($OS142&gt;0,1,0)),MAX(0,$PA142))</f>
        <v/>
      </c>
      <c r="PC142" s="155">
        <f>IF($MQ142=0,0,(IF(COUNTIF($MV142:$MY142,"Salto")&gt;0,1,0)+IF(COUNTIF($MV142:$MY142,"Queima")&gt;0,1,0)+IF(COUNTIF($MV142:$MY142,"Estilhaço")&gt;0,1,0))*FLOOR($PB142/2,1))</f>
        <v/>
      </c>
      <c r="PD142" s="155">
        <f>MAX(0,2-SUMPRODUCT($OK142:$OP142,$I$2:$N$2)+MIN(2,$OQ142*1+$OR142*1,SUMPRODUCT($OK142:$OP142,$I$2:$N$2)))</f>
        <v/>
      </c>
      <c r="PE142" s="155">
        <f>MAX(0,4-SUMPRODUCT($OK142:$OP142,$I$3:$N$3)+MIN(4,$OQ142*1+$OR142*2,SUMPRODUCT($OK142:$OP142,$I$3:$N$3)))</f>
        <v/>
      </c>
      <c r="PF142" s="155">
        <f>MAX(0,6-SUMPRODUCT($OK142:$OP142,$I$4:$N$4)+MIN(6,$OQ142*2+$OR142*3,SUMPRODUCT($OK142:$OP142,$I$4:$N$4)))</f>
        <v/>
      </c>
      <c r="PG142" s="155">
        <f>MAX(0,9-SUMPRODUCT($OK142:$OP142,$I$5:$N$5)+MIN(8,$OQ142*2+$OR142*4,SUMPRODUCT($OK142:$OP142,$I$5:$N$5)))</f>
        <v/>
      </c>
      <c r="PH142" s="155">
        <f>MAX(0,11-SUMPRODUCT($OK142:$OP142,$I$6:$N$6)+MIN(10,$OQ142*3+$OR142*5,SUMPRODUCT($OK142:$OP142,$I$6:$N$6)))</f>
        <v/>
      </c>
      <c r="PI142" s="155">
        <f>MAX(0,13-SUMPRODUCT($OK142:$OP142,$I$7:$N$7)+MIN(12,$OQ142*3+$OR142*6,SUMPRODUCT($OK142:$OP142,$I$7:$N$7)))</f>
        <v/>
      </c>
      <c r="PJ142" s="155">
        <f>MAX(0,16-SUMPRODUCT($OK142:$OP142,$I$8:$N$8)+MIN(14,$OQ142*4+$OR142*7,SUMPRODUCT($OK142:$OP142,$I$8:$N$8)))</f>
        <v/>
      </c>
      <c r="PK142" s="155">
        <f>IF($OE142=2,3*$PD142&amp;" de vida temp.",IF($OE142=3,"sem dano",IF($PD142=0,IF($OE142=1,"sem cura","sem dano"),IF($OE142=1,"cura ","")&amp;$PD142&amp;"d8")))</f>
        <v/>
      </c>
      <c r="PL142" s="155">
        <f>IF($OE142=2,3*$PE142&amp;" de vida temp.",IF($OE142=3,"sem dano",IF($PE142=0,IF($OE142=1,"sem cura","sem dano"),IF($OE142=1,"cura ","")&amp;$PE142&amp;"d8")))</f>
        <v/>
      </c>
      <c r="PM142" s="155">
        <f>IF($OE142=2,3*$PF142&amp;" de vida temp.",IF($OE142=3,"sem dano",IF($PF142=0,IF($OE142=1,"sem cura","sem dano"),IF($OE142=1,"cura ","")&amp;$PF142&amp;"d8")))</f>
        <v/>
      </c>
      <c r="PN142" s="155">
        <f>IF($OE142=2,3*$PG142&amp;" de vida temp.",IF($OE142=3,"sem dano",IF($PG142=0,IF($OE142=1,"sem cura","sem dano"),IF($OE142=1,"cura ","")&amp;$PG142&amp;"d8")))</f>
        <v/>
      </c>
      <c r="PO142" s="155">
        <f>IF($OE142=2,3*$PH142&amp;" de vida temp.",IF($OE142=3,"sem dano",IF($PH142=0,IF($OE142=1,"sem cura","sem dano"),IF($OE142=1,"cura ","")&amp;$PH142&amp;"d8")))</f>
        <v/>
      </c>
      <c r="PP142" s="155">
        <f>IF($OE142=2,3*$PI142&amp;" de vida temp.",IF($OE142=3,"sem dano",IF($PI142=0,IF($OE142=1,"sem cura","sem dano"),IF($OE142=1,"cura ","")&amp;$PI142&amp;"d8")))</f>
        <v/>
      </c>
      <c r="PQ142" s="155">
        <f>IF($OE142=2,3*$PJ142&amp;" de vida temp.",IF($OE142=3,"sem dano",IF($PJ142=0,IF($OE142=1,"sem cura","sem dano"),IF($OE142=1,"cura ","")&amp;$PJ142&amp;"d8")))</f>
        <v/>
      </c>
      <c r="PR142" s="155">
        <f>IF($NB142=0,"",TEXTJOIN(" · ",TRUE,IF($MO142&gt;$NC142,"Este lugar abre no nível "&amp;$MO142,""),IF($MQ142&gt;$ND142,"Classe "&amp;$MQ142&amp;": o nível "&amp;$NC142&amp;" libera até a "&amp;$ND142,""),IF($NV142=1,"A Forma "&amp;$MS142&amp;" pede "&amp;INDEX($W$2:$W$11,$NH142)&amp;" aberta",""),IF(AND($MQ142=0,$NH142&gt;0,IF($NH142=0,0,INDEX($AF$2:$AF$11,$NH142))=0),$MS142&amp;" não existe na Classe 0",""),IF($NW142=1,"Família Fechada: "&amp;$MV142,""),IF($NX142=1,"Família Fechada: "&amp;$MW142,""),IF($NY142=1,"Família Fechada: "&amp;$MX142,""),IF($NZ142=1,"Família Fechada: "&amp;$MY142,""),IF(AND($MQ142&gt;0,$OS142&gt;INDEX($O$2:$O$8,MAX(1,$MQ142))),$OS142&amp;" Melhorias: a Classe "&amp;$MQ142&amp;" aceita "&amp;INDEX($O$2:$O$8,MAX(1,$MQ142)),""),IF(AND($MQ142=0,$OS142&gt;1),"A básica aceita uma Melhoria",""),IF(AND($MQ142=0,COUNTIF($NM142:$NP142,"&gt;1")&gt;0),"A básica só aceita Melhoria Leve",""),IF(AND($MQ142&gt;0,$OT142&gt;2),$OT142&amp;" Restrições"&amp;IF($OD142=1,", contando a que a Forma "&amp;$MS142&amp;" já traz","")&amp;": o limite é 2",""),IF(AND($MQ142=0,COUNTIF($MZ142:$NA142,"?*")&gt;1),"A básica aceita uma Restrição Leve",""),IF(AND($MQ142=0,COUNTIF($OG142:$OH142,2)&gt;0),"A básica só aceita Restrição Leve",""),IF(AND($MQ142&gt;0,$PA142&lt;0),"Orçamento estourado: faltam "&amp;(-$PA142)&amp;IF($PA142&lt;-1," pontos"," ponto"),""),IF(IFERROR(VLOOKUP($MZ142,$BC$2:$BG$24,4,FALSE),0)+IFERROR(VLOOKUP($NA142,$BC$2:$BG$24,4,FALSE),0)&gt;1,$OI142&amp;" e "&amp;$OJ142&amp;" são as duas de frequência",""),IF(AND((COUNTIF($MV142:$MY142,"Rápido")+COUNTIF($OI142:$OJ142,"Rápido"))&gt;0,(COUNTIF($MV142:$MY142,"Atrasar")+COUNTIF($OI142:$OJ142,"Atrasar"))&gt;0),"Rápido não entra com Atrasar",""),IF(AND((COUNTIF($MV142:$MY142,"Reação")+COUNTIF($OI142:$OJ142,"Reação"))&gt;0,(COUNTIF($MV142:$MY142,"Rápido")+COUNTIF($OI142:$OJ142,"Rápido"))&gt;0),"Reação não entra com Rápido",""),IF(AND((COUNTIF($MV142:$MY142,"Reação")+COUNTIF($OI142:$OJ142,"Reação"))&gt;0,(COUNTIF($MV142:$MY142,"Armado")+COUNTIF($OI142:$OJ142,"Armado"))&gt;0),"Reação não entra com Armado",""),IF(AND((COUNTIF($MV142:$MY142,"Reação")+COUNTIF($OI142:$OJ142,"Reação"))&gt;0,(COUNTIF($MV142:$MY142,"Atrasar")+COUNTIF($OI142:$OJ142,"Atrasar"))&gt;0),"Reação não entra com Atrasar",""),IF(AND((COUNTIF($MV142:$MY142,"Reação")+COUNTIF($OI142:$OJ142,"Reação"))&gt;0,(COUNTIF($MV142:$MY142,"Parado")+COUNTIF($OI142:$OJ142,"Parado"))&gt;0),"Reação não entra com Parado",""),IF(AND((COUNTIF($MV142:$MY142,"Atrasar")+COUNTIF($OI142:$OJ142,"Atrasar"))&gt;0,(COUNTIF($MV142:$MY142,"Parado")+COUNTIF($OI142:$OJ142,"Parado"))&gt;0),"Atrasar não entra com Parado",""),IF(AND((COUNTIF($MV142:$MY142,"Armado")+COUNTIF($OI142:$OJ142,"Armado"))&gt;0,(COUNTIF($MV142:$MY142,"Carregar")+COUNTIF($OI142:$OJ142,"Carregar"))&gt;0),"Armado não entra com Carregar",""),IF(AND(COUNTIF($OI142:$OJ142,"Corpo a Corpo")&gt;0,$OD142=0,OR($MS142="Cone",$MS142="Linha")),"Corpo a Corpo não entra em "&amp;$MS142,""),IF(AND(COUNTIF($OI142:$OJ142,"Corpo a Corpo")&gt;0,$OD142=1),"A Forma "&amp;$MS142&amp;" já traz o Corpo a Corpo",""),IF(AND(COUNTIF($OI142:$OJ142,"Tudo ou Nada")&gt;0,$OF142=0),"Tudo ou Nada só entra em habilidade de Teste de Resistência",""),IF(AND(COUNTIF($MV142:$MY142,"Inescapável")&gt;0,OR($OS142&gt;1,$OT142&gt;0)),"Inescapável não aceita outra peça",""),IF(AND($MQ142&gt;0,$PB142*IF(COUNTIF($MV142:$MY142,"Remate")&gt;0,1.25,1)+$PC142&gt;4*$MQ142),($PB142*IF(COUNTIF($MV142:$MY142,"Remate")&gt;0,1.25,1)+$PC142)&amp;" dados somando repetições"&amp;IF(COUNTIF($MV142:$MY142,"Remate")&gt;0," e o Remate","")&amp;": o teto da Classe "&amp;$MQ142&amp;" é "&amp;4*$MQ142,"")))</f>
        <v/>
      </c>
      <c r="PS142" s="155">
        <f>IF($PR142="",0,(LEN($PR142)-LEN(SUBSTITUTE($PR142," · ","")))/3+1)</f>
        <v/>
      </c>
      <c r="PT142" s="155">
        <f>IF($NB142=0,"",TEXTJOIN(" · ",TRUE,IF($OV142&gt;2*$MQ142,"A devolução parou no teto de "&amp;2*$MQ142,""),IF($OY142&gt;0,"Devolução perdida: "&amp;$OY142&amp;IF($OY142&gt;1," pontos"," ponto")&amp;" sem peça para pagar",""),IF(AND($OA142&gt;0,AND($MQ142&gt;0,$OE142=0),$PB142=0),"Controle sem dano: uma rodada a mais e CD +2",""),IF(AND($OA142&gt;0,AND($MQ142&gt;0,$OE142=0),$PB142&gt;0,$PB142&lt;=$MQ142),"Controle com saldo até a Classe: uma rodada a mais",""),IF(AND($MQ142&gt;0,$OC142&lt;&gt;""),"Efeito de "&amp;$OC142&amp;" pela Classe "&amp;MAX(1,$MQ142-1),"")))</f>
        <v/>
      </c>
      <c r="PU142" s="155">
        <f>IF($PT142="",0,(LEN($PT142)-LEN(SUBSTITUTE($PT142," · ","")))/3+1)</f>
        <v/>
      </c>
      <c r="PV142" s="155">
        <f>IF($NB142=0,IF($OS142+COUNTIF($MZ142:$NA142,"?*")&gt;0,"Dê um nome",""),IF($PS142&gt;0,"⚠ "&amp;$PS142&amp;IF($PS142&gt;1," erros"," erro"),IF($PU142&gt;0,"! "&amp;$PU142&amp;IF($PU142&gt;1," avisos"," aviso"),"Na regra")))</f>
        <v/>
      </c>
      <c r="PW142" s="155">
        <f>IF($NB142=0,"",IF($PS142+$PU142=0,"Dentro das regras que a ficha confere",$PR142&amp;IF(AND($PS142&gt;0,$PU142&gt;0)," · ","")&amp;$PT142))</f>
        <v/>
      </c>
      <c r="PX142" s="155">
        <f>IF($MO142&gt;$NC142,$MP142&amp;" · ABRE NO NÍVEL "&amp;$MO142,$MP142)</f>
        <v/>
      </c>
      <c r="PY142" s="155">
        <f>IF($NB142=0,"",IF($MQ142=0,"Sem PE",3*$MQ142&amp;" PE"))</f>
        <v/>
      </c>
      <c r="PZ142" s="155">
        <f>IF($NB142=0,"",IF($MQ142=0,"A atuação básica dela",IF(COUNTIF($OI142:$OJ142,"Atrasar")&gt;0,"Sua Ação Completa",IF(COUNTIF($MV142:$MY142,"Rápido")&gt;0,"Sua Bônus",IF(COUNTIF($MV142:$MY142,"Reação")&gt;0,"Sua Reação","Sua Padrão")))&amp;" + a básica dela"&amp;IF(COUNTIF($MV142:$MY142,"Reação")&gt;0," e a coletiva","")&amp;IF(COUNTIF($OI142:$OJ142,"Carregar")&gt;0," · em dois turnos","")))</f>
        <v/>
      </c>
      <c r="QA142" s="155">
        <f>IF($MU142&lt;&gt;"",$MU142,IF($NH142=0,"",INDEX($AA$2:$AA$11,$NH142)))</f>
        <v/>
      </c>
      <c r="QB142" s="155">
        <f>IF(OR($NB142=0,$NH142=0),"",IF(COUNTIF($MV142:$MY142,"Inescapável")&gt;0,"Automático",IF($QA142="Ataque",IF($NF142="","Ataque","Ataque "&amp;IF(($NF142+2*IF(COUNTIF($MV142:$MY142,"Precisão")&gt;0,1,0))&gt;=0,"+","−")&amp;ABS(($NF142+2*IF(COUNTIF($MV142:$MY142,"Precisão")&gt;0,1,0))))&amp;IF($OB142&gt;0," · TR"&amp;IF($NG142="",""," CD "&amp;$NG142),""),IF(LEFT($QA142,2)="TR",$QA142&amp;IF($NG142="",""," · CD "&amp;$NG142)&amp;IF(COUNTIF($MV142:$MY142,"Certeiro")&gt;0," · metade",""),"Sem rolagem"))))</f>
        <v/>
      </c>
      <c r="QC142" s="155">
        <f>IF(OR($NB142=0,$NH142=0),"",IF($MQ142=0,IF(OR($OE142&gt;=1,$PB142=0),"Sem dano",$PB142&amp;"d6"&amp;IF($MT142="",""," "&amp;$MT142)),IF(OR($OE142&gt;=1,$PB142=0),UPPER(LEFT(INDEX($PK142:$PQ142,1,MAX(1,$MQ142)),1))&amp;MID(INDEX($PK142:$PQ142,1,MAX(1,$MQ142)),2,99),UPPER(LEFT(INDEX($PK142:$PQ142,1,MAX(1,$MQ142)),1))&amp;MID(INDEX($PK142:$PQ142,1,MAX(1,$MQ142)),2,99)&amp;IF($MT142="",""," "&amp;$MT142)&amp;IF($PC142&gt;0," · +"&amp;$PC142&amp;"d8",""))))</f>
        <v/>
      </c>
      <c r="QD142" s="155">
        <f>COUNTIF($MV142:$MY142,"Longe")+3*COUNTIF($MV142:$MY142,"Muito Longe")</f>
        <v/>
      </c>
      <c r="QE142" s="155">
        <f>COUNTIF($MV142:$MY142,"Maior")+3*COUNTIF($MV142:$MY142,"Muito Maior")</f>
        <v/>
      </c>
      <c r="QF142" s="155">
        <f>IF($NH142=0,0,CHOOSE(1+INDEX($AC$2:$AC$11,$NH142),0,$QD142,$QE142,$QD142+$QE142))</f>
        <v/>
      </c>
      <c r="QG142" s="155">
        <f>IF($NH142=0,0,CHOOSE(1+INDEX($AD$2:$AD$11,$NH142),0,$QD142,$QE142,$QD142+$QE142))</f>
        <v/>
      </c>
      <c r="QH142" s="155">
        <f>IF(OR($NB142=0,$NH142=0),"",INDEX($AI$2:$AN$41,($NH142-1)*4+IF($MQ142=0,1,IF($MQ142&lt;=5,2,IF($MQ142=6,3,4))),1+MIN(5,$QF142))&amp;INDEX($AO$2:$AT$41,($NH142-1)*4+IF($MQ142=0,1,IF($MQ142&lt;=5,2,IF($MQ142=6,3,4))),1+MIN(5,$QG142))&amp;IF(INDEX($AE$2:$AE$11,$NH142)=1,IF(COUNTIF($MV142:$MY142,"Mais Um")&gt;0," · +"&amp;COUNTIF($MV142:$MY142,"Mais Um")&amp;IF(COUNTIF($MV142:$MY142,"Mais Um")&gt;1," alvos"," alvo"),"")&amp;IF(COUNTIF($MV142:$MY142,"Rajada")&gt;0,IF($MQ142=0," · 1 tiro"," · "&amp;(MAX(1,$MQ142-1)+1)&amp;" tiros"),""),""))</f>
        <v/>
      </c>
      <c r="QI142" s="155">
        <f>IF($NB142=0,"",IF($MQ142=0,$NE142&amp;"d6"&amp;IF($OS142&gt;0," − 1 = "&amp;$PB142&amp;"d6"," da básica do nível "&amp;$NC142),$OZ142&amp;" − "&amp;$OU142&amp;" + "&amp;$OX142&amp;" = "&amp;$PA142&amp;" · teto "&amp;4*$MQ142&amp;"d8"&amp;IF($OD142=1," · a Forma devolve "&amp;$MQ142,"")&amp;IF($OY142&gt;0," · perde "&amp;$OY142,"")))</f>
        <v/>
      </c>
      <c r="QJ142" s="155">
        <f>IF($NB142=0,"",IF($MQ142=0,"A básica não amplia: os dados dela sobem com o nível",IF($MQ142&gt;=$ND142,"Já está na maior Classe que o nível liberou",TEXTJOIN(" · ",TRUE,IF(AND(2&gt;$MQ142,2&lt;=$ND142),"2 → "&amp;$PL142&amp;", 6 PE",""),IF(AND(3&gt;$MQ142,3&lt;=$ND142),"3 → "&amp;$PM142&amp;", 9 PE",""),IF(AND(4&gt;$MQ142,4&lt;=$ND142),"4 → "&amp;$PN142&amp;", 12 PE",""),IF(AND(5&gt;$MQ142,5&lt;=$ND142),"5 → "&amp;$PO142&amp;", 15 PE",""),IF(AND(6&gt;$MQ142,6&lt;=$ND142),"6 → "&amp;$PP142&amp;", 18 PE",""),IF(AND(7&gt;$MQ142,7&lt;=$ND142),"7 → "&amp;$PQ142&amp;", 21 PE","")))))</f>
        <v/>
      </c>
      <c r="QK142" s="155">
        <f>IF(OR($NB142=0,$NM142=0),"",IF($MQ142=0,"−1 dado","−"&amp;INDEX($I$2:$N$8,MAX(1,$MQ142),MAX(1,$NR142))&amp;" · "&amp;CHOOSE(MAX(1,$NR142),"Leve","Média","Pesada","Leve · Livre","Média · Livre","Pesada · Livre")))</f>
        <v/>
      </c>
      <c r="QL142" s="155">
        <f>IF(OR($NB142=0,$NN142=0),"",IF($MQ142=0,"−1 dado","−"&amp;INDEX($I$2:$N$8,MAX(1,$MQ142),MAX(1,$NS142))&amp;" · "&amp;CHOOSE(MAX(1,$NS142),"Leve","Média","Pesada","Leve · Livre","Média · Livre","Pesada · Livre")))</f>
        <v/>
      </c>
      <c r="QM142" s="155">
        <f>IF(OR($NB142=0,$NO142=0),"",IF($MQ142=0,"−1 dado","−"&amp;INDEX($I$2:$N$8,MAX(1,$MQ142),MAX(1,$NT142))&amp;" · "&amp;CHOOSE(MAX(1,$NT142),"Leve","Média","Pesada","Leve · Livre","Média · Livre","Pesada · Livre")))</f>
        <v/>
      </c>
      <c r="QN142" s="155">
        <f>IF(OR($NB142=0,$NP142=0),"",IF($MQ142=0,"−1 dado","−"&amp;INDEX($I$2:$N$8,MAX(1,$MQ142),MAX(1,$NU142))&amp;" · "&amp;CHOOSE(MAX(1,$NU142),"Leve","Média","Pesada","Leve · Livre","Média · Livre","Pesada · Livre")))</f>
        <v/>
      </c>
      <c r="QO142" s="155">
        <f>IF(OR($NB142=0,$MZ142=""),"",IF($MQ142=0,"não devolve","+"&amp;IF($OG142=1,CEILING($MQ142/2,1),$MQ142)))</f>
        <v/>
      </c>
      <c r="QP142" s="155">
        <f>IF(OR($NB142=0,$NA142=""),"",IF($MQ142=0,"não devolve","+"&amp;IF($OH142=1,CEILING($MQ142/2,1),$MQ142)))</f>
        <v/>
      </c>
    </row>
    <row r="143">
      <c r="ML143" s="153" t="inlineStr">
        <is>
          <t>Ficha 11 · Escolha da trilha 2</t>
        </is>
      </c>
      <c r="MM143" s="155" t="n">
        <v>11</v>
      </c>
      <c r="MN143" s="155" t="n">
        <v>2</v>
      </c>
      <c r="MO143" s="155" t="n">
        <v>0</v>
      </c>
      <c r="MP143" s="153" t="inlineStr">
        <is>
          <t>ESCOLHA DA TRILHA 2</t>
        </is>
      </c>
      <c r="MQ143" s="155">
        <f>MAX(0,MIN(7,N('INVOCAÇÕES'!$AH$952)))</f>
        <v/>
      </c>
      <c r="MR143" s="155">
        <f>'INVOCAÇÕES'!$AI$952&amp;""</f>
        <v/>
      </c>
      <c r="MS143" s="155">
        <f>'INVOCAÇÕES'!$AH$957&amp;""</f>
        <v/>
      </c>
      <c r="MT143" s="155">
        <f>'INVOCAÇÕES'!$AH$958&amp;""</f>
        <v/>
      </c>
      <c r="MU143" s="155">
        <f>'INVOCAÇÕES'!$AJ$958&amp;""</f>
        <v/>
      </c>
      <c r="MV143" s="155">
        <f>'INVOCAÇÕES'!$AI$961&amp;""</f>
        <v/>
      </c>
      <c r="MW143" s="155">
        <f>'INVOCAÇÕES'!$AI$962&amp;""</f>
        <v/>
      </c>
      <c r="MX143" s="155">
        <f>'INVOCAÇÕES'!$AI$963&amp;""</f>
        <v/>
      </c>
      <c r="MY143" s="155">
        <f>'INVOCAÇÕES'!$AI$964&amp;""</f>
        <v/>
      </c>
      <c r="MZ143" s="155">
        <f>'INVOCAÇÕES'!$AI$965&amp;""</f>
        <v/>
      </c>
      <c r="NA143" s="155">
        <f>'INVOCAÇÕES'!$AI$966&amp;""</f>
        <v/>
      </c>
      <c r="NB143" s="155">
        <f>IF($MR143&lt;&gt;"",1,0)</f>
        <v/>
      </c>
      <c r="NC143" s="155">
        <f>INDEX($FM$2:$FM$13,$MM143)</f>
        <v/>
      </c>
      <c r="ND143" s="155">
        <f>INDEX($FN$2:$FN$13,$MM143)</f>
        <v/>
      </c>
      <c r="NE143" s="155">
        <f>INDEX($FO$2:$FO$13,$MM143)</f>
        <v/>
      </c>
      <c r="NF143" s="155">
        <f>INDEX($FZ$2:$FZ$13,$MM143)</f>
        <v/>
      </c>
      <c r="NG143" s="155">
        <f>INDEX($GA$2:$GA$13,$MM143)</f>
        <v/>
      </c>
      <c r="NH143" s="155">
        <f>IFERROR(MATCH($MS143,$V$2:$V$11,0),0)</f>
        <v/>
      </c>
      <c r="NI143" s="155">
        <f>IFERROR(VLOOKUP($MV143,$AV$2:$BA$84,2,FALSE),"")</f>
        <v/>
      </c>
      <c r="NJ143" s="155">
        <f>IFERROR(VLOOKUP($MW143,$AV$2:$BA$84,2,FALSE),"")</f>
        <v/>
      </c>
      <c r="NK143" s="155">
        <f>IFERROR(VLOOKUP($MX143,$AV$2:$BA$84,2,FALSE),"")</f>
        <v/>
      </c>
      <c r="NL143" s="155">
        <f>IFERROR(VLOOKUP($MY143,$AV$2:$BA$84,2,FALSE),"")</f>
        <v/>
      </c>
      <c r="NM143" s="155">
        <f>IFERROR(VLOOKUP($MV143,$AV$2:$BA$84,3,FALSE),0)</f>
        <v/>
      </c>
      <c r="NN143" s="155">
        <f>IFERROR(VLOOKUP($MW143,$AV$2:$BA$84,3,FALSE),0)</f>
        <v/>
      </c>
      <c r="NO143" s="155">
        <f>IFERROR(VLOOKUP($MX143,$AV$2:$BA$84,3,FALSE),0)</f>
        <v/>
      </c>
      <c r="NP143" s="155">
        <f>IFERROR(VLOOKUP($MY143,$AV$2:$BA$84,3,FALSE),0)</f>
        <v/>
      </c>
      <c r="NQ143" s="155">
        <f>IF($MQ143=0,0,IF($NH143=0,0,INDEX($X$2:$X$11,$NH143)))</f>
        <v/>
      </c>
      <c r="NR143" s="155">
        <f>IF(OR($NM143=0,$MQ143=0),0,$NM143+3*IF(AND($NI143&lt;&gt;"",OR($NI143=INDEX($EJ$2:$EJ$13,$MM143),$NI143=INDEX($EK$2:$EK$13,$MM143))),1,0))</f>
        <v/>
      </c>
      <c r="NS143" s="155">
        <f>IF(OR($NN143=0,$MQ143=0),0,$NN143+3*IF(AND($NJ143&lt;&gt;"",OR($NJ143=INDEX($EJ$2:$EJ$13,$MM143),$NJ143=INDEX($EK$2:$EK$13,$MM143))),1,0))</f>
        <v/>
      </c>
      <c r="NT143" s="155">
        <f>IF(OR($NO143=0,$MQ143=0),0,$NO143+3*IF(AND($NK143&lt;&gt;"",OR($NK143=INDEX($EJ$2:$EJ$13,$MM143),$NK143=INDEX($EK$2:$EK$13,$MM143))),1,0))</f>
        <v/>
      </c>
      <c r="NU143" s="155">
        <f>IF(OR($NP143=0,$MQ143=0),0,$NP143+3*IF(AND($NL143&lt;&gt;"",OR($NL143=INDEX($EJ$2:$EJ$13,$MM143),$NL143=INDEX($EK$2:$EK$13,$MM143))),1,0))</f>
        <v/>
      </c>
      <c r="NV143" s="155">
        <f>IF($NH143=0,0,IF(INDEX($W$2:$W$11,$NH143)="",0,IF(COUNTIF(INDEX($EJ$2:$EN$13,$MM143,0),INDEX($W$2:$W$11,$NH143))=0,1,0)))</f>
        <v/>
      </c>
      <c r="NW143" s="155">
        <f>IF(OR($NM143=0,$NI143=""),0,IF(COUNTIF(INDEX($EJ$2:$EN$13,$MM143,0),$NI143)=0,1,0))</f>
        <v/>
      </c>
      <c r="NX143" s="155">
        <f>IF(OR($NN143=0,$NJ143=""),0,IF(COUNTIF(INDEX($EJ$2:$EN$13,$MM143,0),$NJ143)=0,1,0))</f>
        <v/>
      </c>
      <c r="NY143" s="155">
        <f>IF(OR($NO143=0,$NK143=""),0,IF(COUNTIF(INDEX($EJ$2:$EN$13,$MM143,0),$NK143)=0,1,0))</f>
        <v/>
      </c>
      <c r="NZ143" s="155">
        <f>IF(OR($NP143=0,$NL143=""),0,IF(COUNTIF(INDEX($EJ$2:$EN$13,$MM143,0),$NL143)=0,1,0))</f>
        <v/>
      </c>
      <c r="OA143" s="155">
        <f>IFERROR(VLOOKUP($MV143,$AV$2:$BA$84,4,FALSE),0)+IFERROR(VLOOKUP($MW143,$AV$2:$BA$84,4,FALSE),0)+IFERROR(VLOOKUP($MX143,$AV$2:$BA$84,4,FALSE),0)+IFERROR(VLOOKUP($MY143,$AV$2:$BA$84,4,FALSE),0)</f>
        <v/>
      </c>
      <c r="OB143" s="155">
        <f>IFERROR(VLOOKUP($MV143,$AV$2:$BA$84,6,FALSE),0)+IFERROR(VLOOKUP($MW143,$AV$2:$BA$84,6,FALSE),0)+IFERROR(VLOOKUP($MX143,$AV$2:$BA$84,6,FALSE),0)+IFERROR(VLOOKUP($MY143,$AV$2:$BA$84,6,FALSE),0)</f>
        <v/>
      </c>
      <c r="OC143" s="155">
        <f>TEXTJOIN(", ",TRUE,IF(IFERROR(VLOOKUP($MV143,$AV$2:$BA$84,5,FALSE),0)=1,$MV143,""),IF(IFERROR(VLOOKUP($MW143,$AV$2:$BA$84,5,FALSE),0)=1,$MW143,""),IF(IFERROR(VLOOKUP($MX143,$AV$2:$BA$84,5,FALSE),0)=1,$MX143,""),IF(IFERROR(VLOOKUP($MY143,$AV$2:$BA$84,5,FALSE),0)=1,$MY143,""))</f>
        <v/>
      </c>
      <c r="OD143" s="155">
        <f>IF($NH143=0,0,INDEX($Y$2:$Y$11,$NH143))</f>
        <v/>
      </c>
      <c r="OE143" s="155">
        <f>IF($NH143=0,0,INDEX($Z$2:$Z$11,$NH143))</f>
        <v/>
      </c>
      <c r="OF143" s="155">
        <f>IF($NH143=0,0,INDEX($AB$2:$AB$11,$NH143))</f>
        <v/>
      </c>
      <c r="OG143" s="155">
        <f>IFERROR(VLOOKUP($MZ143,$BC$2:$BG$24,3,FALSE),0)</f>
        <v/>
      </c>
      <c r="OH143" s="155">
        <f>IFERROR(VLOOKUP($NA143,$BC$2:$BG$24,3,FALSE),0)</f>
        <v/>
      </c>
      <c r="OI143" s="155">
        <f>IFERROR(VLOOKUP($MZ143,$BC$2:$BG$24,2,FALSE),"")</f>
        <v/>
      </c>
      <c r="OJ143" s="155">
        <f>IFERROR(VLOOKUP($NA143,$BC$2:$BG$24,2,FALSE),"")</f>
        <v/>
      </c>
      <c r="OK143" s="155">
        <f>COUNTIF($NQ143:$NU143,1)</f>
        <v/>
      </c>
      <c r="OL143" s="155">
        <f>COUNTIF($NQ143:$NU143,2)</f>
        <v/>
      </c>
      <c r="OM143" s="155">
        <f>COUNTIF($NQ143:$NU143,3)</f>
        <v/>
      </c>
      <c r="ON143" s="155">
        <f>COUNTIF($NQ143:$NU143,4)</f>
        <v/>
      </c>
      <c r="OO143" s="155">
        <f>COUNTIF($NQ143:$NU143,5)</f>
        <v/>
      </c>
      <c r="OP143" s="155">
        <f>COUNTIF($NQ143:$NU143,6)</f>
        <v/>
      </c>
      <c r="OQ143" s="155">
        <f>COUNTIF($OG143:$OH143,1)</f>
        <v/>
      </c>
      <c r="OR143" s="155">
        <f>COUNTIF($OG143:$OH143,2)+$OD143</f>
        <v/>
      </c>
      <c r="OS143" s="155">
        <f>COUNTIF($MV143:$MY143,"?*")</f>
        <v/>
      </c>
      <c r="OT143" s="155">
        <f>COUNTIF($MZ143:$NA143,"?*")+$OD143</f>
        <v/>
      </c>
      <c r="OU143" s="155">
        <f>IF($MQ143=0,0,SUMPRODUCT($OK143:$OP143,INDEX($I$2:$N$8,MAX(1,$MQ143),0)))</f>
        <v/>
      </c>
      <c r="OV143" s="155">
        <f>IF($MQ143=0,0,$OQ143*CEILING($MQ143/2,1)+$OR143*$MQ143)</f>
        <v/>
      </c>
      <c r="OW143" s="155">
        <f>MIN(2*$MQ143,$OV143)</f>
        <v/>
      </c>
      <c r="OX143" s="155">
        <f>MIN($OW143,$OU143)</f>
        <v/>
      </c>
      <c r="OY143" s="155">
        <f>$OW143-$OX143</f>
        <v/>
      </c>
      <c r="OZ143" s="155">
        <f>IF($MQ143=0,0,INDEX($P$2:$P$8,MAX(1,$MQ143)))</f>
        <v/>
      </c>
      <c r="PA143" s="155">
        <f>$OZ143-$OU143+$OX143</f>
        <v/>
      </c>
      <c r="PB143" s="155">
        <f>IF($MQ143=0,MAX(0,$NE143-IF($OS143&gt;0,1,0)),MAX(0,$PA143))</f>
        <v/>
      </c>
      <c r="PC143" s="155">
        <f>IF($MQ143=0,0,(IF(COUNTIF($MV143:$MY143,"Salto")&gt;0,1,0)+IF(COUNTIF($MV143:$MY143,"Queima")&gt;0,1,0)+IF(COUNTIF($MV143:$MY143,"Estilhaço")&gt;0,1,0))*FLOOR($PB143/2,1))</f>
        <v/>
      </c>
      <c r="PD143" s="155">
        <f>MAX(0,2-SUMPRODUCT($OK143:$OP143,$I$2:$N$2)+MIN(2,$OQ143*1+$OR143*1,SUMPRODUCT($OK143:$OP143,$I$2:$N$2)))</f>
        <v/>
      </c>
      <c r="PE143" s="155">
        <f>MAX(0,4-SUMPRODUCT($OK143:$OP143,$I$3:$N$3)+MIN(4,$OQ143*1+$OR143*2,SUMPRODUCT($OK143:$OP143,$I$3:$N$3)))</f>
        <v/>
      </c>
      <c r="PF143" s="155">
        <f>MAX(0,6-SUMPRODUCT($OK143:$OP143,$I$4:$N$4)+MIN(6,$OQ143*2+$OR143*3,SUMPRODUCT($OK143:$OP143,$I$4:$N$4)))</f>
        <v/>
      </c>
      <c r="PG143" s="155">
        <f>MAX(0,9-SUMPRODUCT($OK143:$OP143,$I$5:$N$5)+MIN(8,$OQ143*2+$OR143*4,SUMPRODUCT($OK143:$OP143,$I$5:$N$5)))</f>
        <v/>
      </c>
      <c r="PH143" s="155">
        <f>MAX(0,11-SUMPRODUCT($OK143:$OP143,$I$6:$N$6)+MIN(10,$OQ143*3+$OR143*5,SUMPRODUCT($OK143:$OP143,$I$6:$N$6)))</f>
        <v/>
      </c>
      <c r="PI143" s="155">
        <f>MAX(0,13-SUMPRODUCT($OK143:$OP143,$I$7:$N$7)+MIN(12,$OQ143*3+$OR143*6,SUMPRODUCT($OK143:$OP143,$I$7:$N$7)))</f>
        <v/>
      </c>
      <c r="PJ143" s="155">
        <f>MAX(0,16-SUMPRODUCT($OK143:$OP143,$I$8:$N$8)+MIN(14,$OQ143*4+$OR143*7,SUMPRODUCT($OK143:$OP143,$I$8:$N$8)))</f>
        <v/>
      </c>
      <c r="PK143" s="155">
        <f>IF($OE143=2,3*$PD143&amp;" de vida temp.",IF($OE143=3,"sem dano",IF($PD143=0,IF($OE143=1,"sem cura","sem dano"),IF($OE143=1,"cura ","")&amp;$PD143&amp;"d8")))</f>
        <v/>
      </c>
      <c r="PL143" s="155">
        <f>IF($OE143=2,3*$PE143&amp;" de vida temp.",IF($OE143=3,"sem dano",IF($PE143=0,IF($OE143=1,"sem cura","sem dano"),IF($OE143=1,"cura ","")&amp;$PE143&amp;"d8")))</f>
        <v/>
      </c>
      <c r="PM143" s="155">
        <f>IF($OE143=2,3*$PF143&amp;" de vida temp.",IF($OE143=3,"sem dano",IF($PF143=0,IF($OE143=1,"sem cura","sem dano"),IF($OE143=1,"cura ","")&amp;$PF143&amp;"d8")))</f>
        <v/>
      </c>
      <c r="PN143" s="155">
        <f>IF($OE143=2,3*$PG143&amp;" de vida temp.",IF($OE143=3,"sem dano",IF($PG143=0,IF($OE143=1,"sem cura","sem dano"),IF($OE143=1,"cura ","")&amp;$PG143&amp;"d8")))</f>
        <v/>
      </c>
      <c r="PO143" s="155">
        <f>IF($OE143=2,3*$PH143&amp;" de vida temp.",IF($OE143=3,"sem dano",IF($PH143=0,IF($OE143=1,"sem cura","sem dano"),IF($OE143=1,"cura ","")&amp;$PH143&amp;"d8")))</f>
        <v/>
      </c>
      <c r="PP143" s="155">
        <f>IF($OE143=2,3*$PI143&amp;" de vida temp.",IF($OE143=3,"sem dano",IF($PI143=0,IF($OE143=1,"sem cura","sem dano"),IF($OE143=1,"cura ","")&amp;$PI143&amp;"d8")))</f>
        <v/>
      </c>
      <c r="PQ143" s="155">
        <f>IF($OE143=2,3*$PJ143&amp;" de vida temp.",IF($OE143=3,"sem dano",IF($PJ143=0,IF($OE143=1,"sem cura","sem dano"),IF($OE143=1,"cura ","")&amp;$PJ143&amp;"d8")))</f>
        <v/>
      </c>
      <c r="PR143" s="155">
        <f>IF($NB143=0,"",TEXTJOIN(" · ",TRUE,IF($MO143&gt;$NC143,"Este lugar abre no nível "&amp;$MO143,""),IF($MQ143&gt;$ND143,"Classe "&amp;$MQ143&amp;": o nível "&amp;$NC143&amp;" libera até a "&amp;$ND143,""),IF($NV143=1,"A Forma "&amp;$MS143&amp;" pede "&amp;INDEX($W$2:$W$11,$NH143)&amp;" aberta",""),IF(AND($MQ143=0,$NH143&gt;0,IF($NH143=0,0,INDEX($AF$2:$AF$11,$NH143))=0),$MS143&amp;" não existe na Classe 0",""),IF($NW143=1,"Família Fechada: "&amp;$MV143,""),IF($NX143=1,"Família Fechada: "&amp;$MW143,""),IF($NY143=1,"Família Fechada: "&amp;$MX143,""),IF($NZ143=1,"Família Fechada: "&amp;$MY143,""),IF(AND($MQ143&gt;0,$OS143&gt;INDEX($O$2:$O$8,MAX(1,$MQ143))),$OS143&amp;" Melhorias: a Classe "&amp;$MQ143&amp;" aceita "&amp;INDEX($O$2:$O$8,MAX(1,$MQ143)),""),IF(AND($MQ143=0,$OS143&gt;1),"A básica aceita uma Melhoria",""),IF(AND($MQ143=0,COUNTIF($NM143:$NP143,"&gt;1")&gt;0),"A básica só aceita Melhoria Leve",""),IF(AND($MQ143&gt;0,$OT143&gt;2),$OT143&amp;" Restrições"&amp;IF($OD143=1,", contando a que a Forma "&amp;$MS143&amp;" já traz","")&amp;": o limite é 2",""),IF(AND($MQ143=0,COUNTIF($MZ143:$NA143,"?*")&gt;1),"A básica aceita uma Restrição Leve",""),IF(AND($MQ143=0,COUNTIF($OG143:$OH143,2)&gt;0),"A básica só aceita Restrição Leve",""),IF(AND($MQ143&gt;0,$PA143&lt;0),"Orçamento estourado: faltam "&amp;(-$PA143)&amp;IF($PA143&lt;-1," pontos"," ponto"),""),IF(IFERROR(VLOOKUP($MZ143,$BC$2:$BG$24,4,FALSE),0)+IFERROR(VLOOKUP($NA143,$BC$2:$BG$24,4,FALSE),0)&gt;1,$OI143&amp;" e "&amp;$OJ143&amp;" são as duas de frequência",""),IF(AND((COUNTIF($MV143:$MY143,"Rápido")+COUNTIF($OI143:$OJ143,"Rápido"))&gt;0,(COUNTIF($MV143:$MY143,"Atrasar")+COUNTIF($OI143:$OJ143,"Atrasar"))&gt;0),"Rápido não entra com Atrasar",""),IF(AND((COUNTIF($MV143:$MY143,"Reação")+COUNTIF($OI143:$OJ143,"Reação"))&gt;0,(COUNTIF($MV143:$MY143,"Rápido")+COUNTIF($OI143:$OJ143,"Rápido"))&gt;0),"Reação não entra com Rápido",""),IF(AND((COUNTIF($MV143:$MY143,"Reação")+COUNTIF($OI143:$OJ143,"Reação"))&gt;0,(COUNTIF($MV143:$MY143,"Armado")+COUNTIF($OI143:$OJ143,"Armado"))&gt;0),"Reação não entra com Armado",""),IF(AND((COUNTIF($MV143:$MY143,"Reação")+COUNTIF($OI143:$OJ143,"Reação"))&gt;0,(COUNTIF($MV143:$MY143,"Atrasar")+COUNTIF($OI143:$OJ143,"Atrasar"))&gt;0),"Reação não entra com Atrasar",""),IF(AND((COUNTIF($MV143:$MY143,"Reação")+COUNTIF($OI143:$OJ143,"Reação"))&gt;0,(COUNTIF($MV143:$MY143,"Parado")+COUNTIF($OI143:$OJ143,"Parado"))&gt;0),"Reação não entra com Parado",""),IF(AND((COUNTIF($MV143:$MY143,"Atrasar")+COUNTIF($OI143:$OJ143,"Atrasar"))&gt;0,(COUNTIF($MV143:$MY143,"Parado")+COUNTIF($OI143:$OJ143,"Parado"))&gt;0),"Atrasar não entra com Parado",""),IF(AND((COUNTIF($MV143:$MY143,"Armado")+COUNTIF($OI143:$OJ143,"Armado"))&gt;0,(COUNTIF($MV143:$MY143,"Carregar")+COUNTIF($OI143:$OJ143,"Carregar"))&gt;0),"Armado não entra com Carregar",""),IF(AND(COUNTIF($OI143:$OJ143,"Corpo a Corpo")&gt;0,$OD143=0,OR($MS143="Cone",$MS143="Linha")),"Corpo a Corpo não entra em "&amp;$MS143,""),IF(AND(COUNTIF($OI143:$OJ143,"Corpo a Corpo")&gt;0,$OD143=1),"A Forma "&amp;$MS143&amp;" já traz o Corpo a Corpo",""),IF(AND(COUNTIF($OI143:$OJ143,"Tudo ou Nada")&gt;0,$OF143=0),"Tudo ou Nada só entra em habilidade de Teste de Resistência",""),IF(AND(COUNTIF($MV143:$MY143,"Inescapável")&gt;0,OR($OS143&gt;1,$OT143&gt;0)),"Inescapável não aceita outra peça",""),IF(AND($MQ143&gt;0,$PB143*IF(COUNTIF($MV143:$MY143,"Remate")&gt;0,1.25,1)+$PC143&gt;4*$MQ143),($PB143*IF(COUNTIF($MV143:$MY143,"Remate")&gt;0,1.25,1)+$PC143)&amp;" dados somando repetições"&amp;IF(COUNTIF($MV143:$MY143,"Remate")&gt;0," e o Remate","")&amp;": o teto da Classe "&amp;$MQ143&amp;" é "&amp;4*$MQ143,"")))</f>
        <v/>
      </c>
      <c r="PS143" s="155">
        <f>IF($PR143="",0,(LEN($PR143)-LEN(SUBSTITUTE($PR143," · ","")))/3+1)</f>
        <v/>
      </c>
      <c r="PT143" s="155">
        <f>IF($NB143=0,"",TEXTJOIN(" · ",TRUE,IF($OV143&gt;2*$MQ143,"A devolução parou no teto de "&amp;2*$MQ143,""),IF($OY143&gt;0,"Devolução perdida: "&amp;$OY143&amp;IF($OY143&gt;1," pontos"," ponto")&amp;" sem peça para pagar",""),IF(AND($OA143&gt;0,AND($MQ143&gt;0,$OE143=0),$PB143=0),"Controle sem dano: uma rodada a mais e CD +2",""),IF(AND($OA143&gt;0,AND($MQ143&gt;0,$OE143=0),$PB143&gt;0,$PB143&lt;=$MQ143),"Controle com saldo até a Classe: uma rodada a mais",""),IF(AND($MQ143&gt;0,$OC143&lt;&gt;""),"Efeito de "&amp;$OC143&amp;" pela Classe "&amp;MAX(1,$MQ143-1),"")))</f>
        <v/>
      </c>
      <c r="PU143" s="155">
        <f>IF($PT143="",0,(LEN($PT143)-LEN(SUBSTITUTE($PT143," · ","")))/3+1)</f>
        <v/>
      </c>
      <c r="PV143" s="155">
        <f>IF($NB143=0,IF($OS143+COUNTIF($MZ143:$NA143,"?*")&gt;0,"Dê um nome",""),IF($PS143&gt;0,"⚠ "&amp;$PS143&amp;IF($PS143&gt;1," erros"," erro"),IF($PU143&gt;0,"! "&amp;$PU143&amp;IF($PU143&gt;1," avisos"," aviso"),"Na regra")))</f>
        <v/>
      </c>
      <c r="PW143" s="155">
        <f>IF($NB143=0,"",IF($PS143+$PU143=0,"Dentro das regras que a ficha confere",$PR143&amp;IF(AND($PS143&gt;0,$PU143&gt;0)," · ","")&amp;$PT143))</f>
        <v/>
      </c>
      <c r="PX143" s="155">
        <f>IF($MO143&gt;$NC143,$MP143&amp;" · ABRE NO NÍVEL "&amp;$MO143,$MP143)</f>
        <v/>
      </c>
      <c r="PY143" s="155">
        <f>IF($NB143=0,"",IF($MQ143=0,"Sem PE",3*$MQ143&amp;" PE"))</f>
        <v/>
      </c>
      <c r="PZ143" s="155">
        <f>IF($NB143=0,"",IF($MQ143=0,"A atuação básica dela",IF(COUNTIF($OI143:$OJ143,"Atrasar")&gt;0,"Sua Ação Completa",IF(COUNTIF($MV143:$MY143,"Rápido")&gt;0,"Sua Bônus",IF(COUNTIF($MV143:$MY143,"Reação")&gt;0,"Sua Reação","Sua Padrão")))&amp;" + a básica dela"&amp;IF(COUNTIF($MV143:$MY143,"Reação")&gt;0," e a coletiva","")&amp;IF(COUNTIF($OI143:$OJ143,"Carregar")&gt;0," · em dois turnos","")))</f>
        <v/>
      </c>
      <c r="QA143" s="155">
        <f>IF($MU143&lt;&gt;"",$MU143,IF($NH143=0,"",INDEX($AA$2:$AA$11,$NH143)))</f>
        <v/>
      </c>
      <c r="QB143" s="155">
        <f>IF(OR($NB143=0,$NH143=0),"",IF(COUNTIF($MV143:$MY143,"Inescapável")&gt;0,"Automático",IF($QA143="Ataque",IF($NF143="","Ataque","Ataque "&amp;IF(($NF143+2*IF(COUNTIF($MV143:$MY143,"Precisão")&gt;0,1,0))&gt;=0,"+","−")&amp;ABS(($NF143+2*IF(COUNTIF($MV143:$MY143,"Precisão")&gt;0,1,0))))&amp;IF($OB143&gt;0," · TR"&amp;IF($NG143="",""," CD "&amp;$NG143),""),IF(LEFT($QA143,2)="TR",$QA143&amp;IF($NG143="",""," · CD "&amp;$NG143)&amp;IF(COUNTIF($MV143:$MY143,"Certeiro")&gt;0," · metade",""),"Sem rolagem"))))</f>
        <v/>
      </c>
      <c r="QC143" s="155">
        <f>IF(OR($NB143=0,$NH143=0),"",IF($MQ143=0,IF(OR($OE143&gt;=1,$PB143=0),"Sem dano",$PB143&amp;"d6"&amp;IF($MT143="",""," "&amp;$MT143)),IF(OR($OE143&gt;=1,$PB143=0),UPPER(LEFT(INDEX($PK143:$PQ143,1,MAX(1,$MQ143)),1))&amp;MID(INDEX($PK143:$PQ143,1,MAX(1,$MQ143)),2,99),UPPER(LEFT(INDEX($PK143:$PQ143,1,MAX(1,$MQ143)),1))&amp;MID(INDEX($PK143:$PQ143,1,MAX(1,$MQ143)),2,99)&amp;IF($MT143="",""," "&amp;$MT143)&amp;IF($PC143&gt;0," · +"&amp;$PC143&amp;"d8",""))))</f>
        <v/>
      </c>
      <c r="QD143" s="155">
        <f>COUNTIF($MV143:$MY143,"Longe")+3*COUNTIF($MV143:$MY143,"Muito Longe")</f>
        <v/>
      </c>
      <c r="QE143" s="155">
        <f>COUNTIF($MV143:$MY143,"Maior")+3*COUNTIF($MV143:$MY143,"Muito Maior")</f>
        <v/>
      </c>
      <c r="QF143" s="155">
        <f>IF($NH143=0,0,CHOOSE(1+INDEX($AC$2:$AC$11,$NH143),0,$QD143,$QE143,$QD143+$QE143))</f>
        <v/>
      </c>
      <c r="QG143" s="155">
        <f>IF($NH143=0,0,CHOOSE(1+INDEX($AD$2:$AD$11,$NH143),0,$QD143,$QE143,$QD143+$QE143))</f>
        <v/>
      </c>
      <c r="QH143" s="155">
        <f>IF(OR($NB143=0,$NH143=0),"",INDEX($AI$2:$AN$41,($NH143-1)*4+IF($MQ143=0,1,IF($MQ143&lt;=5,2,IF($MQ143=6,3,4))),1+MIN(5,$QF143))&amp;INDEX($AO$2:$AT$41,($NH143-1)*4+IF($MQ143=0,1,IF($MQ143&lt;=5,2,IF($MQ143=6,3,4))),1+MIN(5,$QG143))&amp;IF(INDEX($AE$2:$AE$11,$NH143)=1,IF(COUNTIF($MV143:$MY143,"Mais Um")&gt;0," · +"&amp;COUNTIF($MV143:$MY143,"Mais Um")&amp;IF(COUNTIF($MV143:$MY143,"Mais Um")&gt;1," alvos"," alvo"),"")&amp;IF(COUNTIF($MV143:$MY143,"Rajada")&gt;0,IF($MQ143=0," · 1 tiro"," · "&amp;(MAX(1,$MQ143-1)+1)&amp;" tiros"),""),""))</f>
        <v/>
      </c>
      <c r="QI143" s="155">
        <f>IF($NB143=0,"",IF($MQ143=0,$NE143&amp;"d6"&amp;IF($OS143&gt;0," − 1 = "&amp;$PB143&amp;"d6"," da básica do nível "&amp;$NC143),$OZ143&amp;" − "&amp;$OU143&amp;" + "&amp;$OX143&amp;" = "&amp;$PA143&amp;" · teto "&amp;4*$MQ143&amp;"d8"&amp;IF($OD143=1," · a Forma devolve "&amp;$MQ143,"")&amp;IF($OY143&gt;0," · perde "&amp;$OY143,"")))</f>
        <v/>
      </c>
      <c r="QJ143" s="155">
        <f>IF($NB143=0,"",IF($MQ143=0,"A básica não amplia: os dados dela sobem com o nível",IF($MQ143&gt;=$ND143,"Já está na maior Classe que o nível liberou",TEXTJOIN(" · ",TRUE,IF(AND(2&gt;$MQ143,2&lt;=$ND143),"2 → "&amp;$PL143&amp;", 6 PE",""),IF(AND(3&gt;$MQ143,3&lt;=$ND143),"3 → "&amp;$PM143&amp;", 9 PE",""),IF(AND(4&gt;$MQ143,4&lt;=$ND143),"4 → "&amp;$PN143&amp;", 12 PE",""),IF(AND(5&gt;$MQ143,5&lt;=$ND143),"5 → "&amp;$PO143&amp;", 15 PE",""),IF(AND(6&gt;$MQ143,6&lt;=$ND143),"6 → "&amp;$PP143&amp;", 18 PE",""),IF(AND(7&gt;$MQ143,7&lt;=$ND143),"7 → "&amp;$PQ143&amp;", 21 PE","")))))</f>
        <v/>
      </c>
      <c r="QK143" s="155">
        <f>IF(OR($NB143=0,$NM143=0),"",IF($MQ143=0,"−1 dado","−"&amp;INDEX($I$2:$N$8,MAX(1,$MQ143),MAX(1,$NR143))&amp;" · "&amp;CHOOSE(MAX(1,$NR143),"Leve","Média","Pesada","Leve · Livre","Média · Livre","Pesada · Livre")))</f>
        <v/>
      </c>
      <c r="QL143" s="155">
        <f>IF(OR($NB143=0,$NN143=0),"",IF($MQ143=0,"−1 dado","−"&amp;INDEX($I$2:$N$8,MAX(1,$MQ143),MAX(1,$NS143))&amp;" · "&amp;CHOOSE(MAX(1,$NS143),"Leve","Média","Pesada","Leve · Livre","Média · Livre","Pesada · Livre")))</f>
        <v/>
      </c>
      <c r="QM143" s="155">
        <f>IF(OR($NB143=0,$NO143=0),"",IF($MQ143=0,"−1 dado","−"&amp;INDEX($I$2:$N$8,MAX(1,$MQ143),MAX(1,$NT143))&amp;" · "&amp;CHOOSE(MAX(1,$NT143),"Leve","Média","Pesada","Leve · Livre","Média · Livre","Pesada · Livre")))</f>
        <v/>
      </c>
      <c r="QN143" s="155">
        <f>IF(OR($NB143=0,$NP143=0),"",IF($MQ143=0,"−1 dado","−"&amp;INDEX($I$2:$N$8,MAX(1,$MQ143),MAX(1,$NU143))&amp;" · "&amp;CHOOSE(MAX(1,$NU143),"Leve","Média","Pesada","Leve · Livre","Média · Livre","Pesada · Livre")))</f>
        <v/>
      </c>
      <c r="QO143" s="155">
        <f>IF(OR($NB143=0,$MZ143=""),"",IF($MQ143=0,"não devolve","+"&amp;IF($OG143=1,CEILING($MQ143/2,1),$MQ143)))</f>
        <v/>
      </c>
      <c r="QP143" s="155">
        <f>IF(OR($NB143=0,$NA143=""),"",IF($MQ143=0,"não devolve","+"&amp;IF($OH143=1,CEILING($MQ143/2,1),$MQ143)))</f>
        <v/>
      </c>
    </row>
    <row r="144">
      <c r="ML144" s="153" t="inlineStr">
        <is>
          <t>Ficha 11 · Escolha da trilha 3</t>
        </is>
      </c>
      <c r="MM144" s="155" t="n">
        <v>11</v>
      </c>
      <c r="MN144" s="155" t="n">
        <v>2</v>
      </c>
      <c r="MO144" s="155" t="n">
        <v>0</v>
      </c>
      <c r="MP144" s="153" t="inlineStr">
        <is>
          <t>ESCOLHA DA TRILHA 3</t>
        </is>
      </c>
      <c r="MQ144" s="155">
        <f>MAX(0,MIN(7,N('INVOCAÇÕES'!$AN$952)))</f>
        <v/>
      </c>
      <c r="MR144" s="155">
        <f>'INVOCAÇÕES'!$AO$952&amp;""</f>
        <v/>
      </c>
      <c r="MS144" s="155">
        <f>'INVOCAÇÕES'!$AN$957&amp;""</f>
        <v/>
      </c>
      <c r="MT144" s="155">
        <f>'INVOCAÇÕES'!$AN$958&amp;""</f>
        <v/>
      </c>
      <c r="MU144" s="155">
        <f>'INVOCAÇÕES'!$AP$958&amp;""</f>
        <v/>
      </c>
      <c r="MV144" s="155">
        <f>'INVOCAÇÕES'!$AO$961&amp;""</f>
        <v/>
      </c>
      <c r="MW144" s="155">
        <f>'INVOCAÇÕES'!$AO$962&amp;""</f>
        <v/>
      </c>
      <c r="MX144" s="155">
        <f>'INVOCAÇÕES'!$AO$963&amp;""</f>
        <v/>
      </c>
      <c r="MY144" s="155">
        <f>'INVOCAÇÕES'!$AO$964&amp;""</f>
        <v/>
      </c>
      <c r="MZ144" s="155">
        <f>'INVOCAÇÕES'!$AO$965&amp;""</f>
        <v/>
      </c>
      <c r="NA144" s="155">
        <f>'INVOCAÇÕES'!$AO$966&amp;""</f>
        <v/>
      </c>
      <c r="NB144" s="155">
        <f>IF($MR144&lt;&gt;"",1,0)</f>
        <v/>
      </c>
      <c r="NC144" s="155">
        <f>INDEX($FM$2:$FM$13,$MM144)</f>
        <v/>
      </c>
      <c r="ND144" s="155">
        <f>INDEX($FN$2:$FN$13,$MM144)</f>
        <v/>
      </c>
      <c r="NE144" s="155">
        <f>INDEX($FO$2:$FO$13,$MM144)</f>
        <v/>
      </c>
      <c r="NF144" s="155">
        <f>INDEX($FZ$2:$FZ$13,$MM144)</f>
        <v/>
      </c>
      <c r="NG144" s="155">
        <f>INDEX($GA$2:$GA$13,$MM144)</f>
        <v/>
      </c>
      <c r="NH144" s="155">
        <f>IFERROR(MATCH($MS144,$V$2:$V$11,0),0)</f>
        <v/>
      </c>
      <c r="NI144" s="155">
        <f>IFERROR(VLOOKUP($MV144,$AV$2:$BA$84,2,FALSE),"")</f>
        <v/>
      </c>
      <c r="NJ144" s="155">
        <f>IFERROR(VLOOKUP($MW144,$AV$2:$BA$84,2,FALSE),"")</f>
        <v/>
      </c>
      <c r="NK144" s="155">
        <f>IFERROR(VLOOKUP($MX144,$AV$2:$BA$84,2,FALSE),"")</f>
        <v/>
      </c>
      <c r="NL144" s="155">
        <f>IFERROR(VLOOKUP($MY144,$AV$2:$BA$84,2,FALSE),"")</f>
        <v/>
      </c>
      <c r="NM144" s="155">
        <f>IFERROR(VLOOKUP($MV144,$AV$2:$BA$84,3,FALSE),0)</f>
        <v/>
      </c>
      <c r="NN144" s="155">
        <f>IFERROR(VLOOKUP($MW144,$AV$2:$BA$84,3,FALSE),0)</f>
        <v/>
      </c>
      <c r="NO144" s="155">
        <f>IFERROR(VLOOKUP($MX144,$AV$2:$BA$84,3,FALSE),0)</f>
        <v/>
      </c>
      <c r="NP144" s="155">
        <f>IFERROR(VLOOKUP($MY144,$AV$2:$BA$84,3,FALSE),0)</f>
        <v/>
      </c>
      <c r="NQ144" s="155">
        <f>IF($MQ144=0,0,IF($NH144=0,0,INDEX($X$2:$X$11,$NH144)))</f>
        <v/>
      </c>
      <c r="NR144" s="155">
        <f>IF(OR($NM144=0,$MQ144=0),0,$NM144+3*IF(AND($NI144&lt;&gt;"",OR($NI144=INDEX($EJ$2:$EJ$13,$MM144),$NI144=INDEX($EK$2:$EK$13,$MM144))),1,0))</f>
        <v/>
      </c>
      <c r="NS144" s="155">
        <f>IF(OR($NN144=0,$MQ144=0),0,$NN144+3*IF(AND($NJ144&lt;&gt;"",OR($NJ144=INDEX($EJ$2:$EJ$13,$MM144),$NJ144=INDEX($EK$2:$EK$13,$MM144))),1,0))</f>
        <v/>
      </c>
      <c r="NT144" s="155">
        <f>IF(OR($NO144=0,$MQ144=0),0,$NO144+3*IF(AND($NK144&lt;&gt;"",OR($NK144=INDEX($EJ$2:$EJ$13,$MM144),$NK144=INDEX($EK$2:$EK$13,$MM144))),1,0))</f>
        <v/>
      </c>
      <c r="NU144" s="155">
        <f>IF(OR($NP144=0,$MQ144=0),0,$NP144+3*IF(AND($NL144&lt;&gt;"",OR($NL144=INDEX($EJ$2:$EJ$13,$MM144),$NL144=INDEX($EK$2:$EK$13,$MM144))),1,0))</f>
        <v/>
      </c>
      <c r="NV144" s="155">
        <f>IF($NH144=0,0,IF(INDEX($W$2:$W$11,$NH144)="",0,IF(COUNTIF(INDEX($EJ$2:$EN$13,$MM144,0),INDEX($W$2:$W$11,$NH144))=0,1,0)))</f>
        <v/>
      </c>
      <c r="NW144" s="155">
        <f>IF(OR($NM144=0,$NI144=""),0,IF(COUNTIF(INDEX($EJ$2:$EN$13,$MM144,0),$NI144)=0,1,0))</f>
        <v/>
      </c>
      <c r="NX144" s="155">
        <f>IF(OR($NN144=0,$NJ144=""),0,IF(COUNTIF(INDEX($EJ$2:$EN$13,$MM144,0),$NJ144)=0,1,0))</f>
        <v/>
      </c>
      <c r="NY144" s="155">
        <f>IF(OR($NO144=0,$NK144=""),0,IF(COUNTIF(INDEX($EJ$2:$EN$13,$MM144,0),$NK144)=0,1,0))</f>
        <v/>
      </c>
      <c r="NZ144" s="155">
        <f>IF(OR($NP144=0,$NL144=""),0,IF(COUNTIF(INDEX($EJ$2:$EN$13,$MM144,0),$NL144)=0,1,0))</f>
        <v/>
      </c>
      <c r="OA144" s="155">
        <f>IFERROR(VLOOKUP($MV144,$AV$2:$BA$84,4,FALSE),0)+IFERROR(VLOOKUP($MW144,$AV$2:$BA$84,4,FALSE),0)+IFERROR(VLOOKUP($MX144,$AV$2:$BA$84,4,FALSE),0)+IFERROR(VLOOKUP($MY144,$AV$2:$BA$84,4,FALSE),0)</f>
        <v/>
      </c>
      <c r="OB144" s="155">
        <f>IFERROR(VLOOKUP($MV144,$AV$2:$BA$84,6,FALSE),0)+IFERROR(VLOOKUP($MW144,$AV$2:$BA$84,6,FALSE),0)+IFERROR(VLOOKUP($MX144,$AV$2:$BA$84,6,FALSE),0)+IFERROR(VLOOKUP($MY144,$AV$2:$BA$84,6,FALSE),0)</f>
        <v/>
      </c>
      <c r="OC144" s="155">
        <f>TEXTJOIN(", ",TRUE,IF(IFERROR(VLOOKUP($MV144,$AV$2:$BA$84,5,FALSE),0)=1,$MV144,""),IF(IFERROR(VLOOKUP($MW144,$AV$2:$BA$84,5,FALSE),0)=1,$MW144,""),IF(IFERROR(VLOOKUP($MX144,$AV$2:$BA$84,5,FALSE),0)=1,$MX144,""),IF(IFERROR(VLOOKUP($MY144,$AV$2:$BA$84,5,FALSE),0)=1,$MY144,""))</f>
        <v/>
      </c>
      <c r="OD144" s="155">
        <f>IF($NH144=0,0,INDEX($Y$2:$Y$11,$NH144))</f>
        <v/>
      </c>
      <c r="OE144" s="155">
        <f>IF($NH144=0,0,INDEX($Z$2:$Z$11,$NH144))</f>
        <v/>
      </c>
      <c r="OF144" s="155">
        <f>IF($NH144=0,0,INDEX($AB$2:$AB$11,$NH144))</f>
        <v/>
      </c>
      <c r="OG144" s="155">
        <f>IFERROR(VLOOKUP($MZ144,$BC$2:$BG$24,3,FALSE),0)</f>
        <v/>
      </c>
      <c r="OH144" s="155">
        <f>IFERROR(VLOOKUP($NA144,$BC$2:$BG$24,3,FALSE),0)</f>
        <v/>
      </c>
      <c r="OI144" s="155">
        <f>IFERROR(VLOOKUP($MZ144,$BC$2:$BG$24,2,FALSE),"")</f>
        <v/>
      </c>
      <c r="OJ144" s="155">
        <f>IFERROR(VLOOKUP($NA144,$BC$2:$BG$24,2,FALSE),"")</f>
        <v/>
      </c>
      <c r="OK144" s="155">
        <f>COUNTIF($NQ144:$NU144,1)</f>
        <v/>
      </c>
      <c r="OL144" s="155">
        <f>COUNTIF($NQ144:$NU144,2)</f>
        <v/>
      </c>
      <c r="OM144" s="155">
        <f>COUNTIF($NQ144:$NU144,3)</f>
        <v/>
      </c>
      <c r="ON144" s="155">
        <f>COUNTIF($NQ144:$NU144,4)</f>
        <v/>
      </c>
      <c r="OO144" s="155">
        <f>COUNTIF($NQ144:$NU144,5)</f>
        <v/>
      </c>
      <c r="OP144" s="155">
        <f>COUNTIF($NQ144:$NU144,6)</f>
        <v/>
      </c>
      <c r="OQ144" s="155">
        <f>COUNTIF($OG144:$OH144,1)</f>
        <v/>
      </c>
      <c r="OR144" s="155">
        <f>COUNTIF($OG144:$OH144,2)+$OD144</f>
        <v/>
      </c>
      <c r="OS144" s="155">
        <f>COUNTIF($MV144:$MY144,"?*")</f>
        <v/>
      </c>
      <c r="OT144" s="155">
        <f>COUNTIF($MZ144:$NA144,"?*")+$OD144</f>
        <v/>
      </c>
      <c r="OU144" s="155">
        <f>IF($MQ144=0,0,SUMPRODUCT($OK144:$OP144,INDEX($I$2:$N$8,MAX(1,$MQ144),0)))</f>
        <v/>
      </c>
      <c r="OV144" s="155">
        <f>IF($MQ144=0,0,$OQ144*CEILING($MQ144/2,1)+$OR144*$MQ144)</f>
        <v/>
      </c>
      <c r="OW144" s="155">
        <f>MIN(2*$MQ144,$OV144)</f>
        <v/>
      </c>
      <c r="OX144" s="155">
        <f>MIN($OW144,$OU144)</f>
        <v/>
      </c>
      <c r="OY144" s="155">
        <f>$OW144-$OX144</f>
        <v/>
      </c>
      <c r="OZ144" s="155">
        <f>IF($MQ144=0,0,INDEX($P$2:$P$8,MAX(1,$MQ144)))</f>
        <v/>
      </c>
      <c r="PA144" s="155">
        <f>$OZ144-$OU144+$OX144</f>
        <v/>
      </c>
      <c r="PB144" s="155">
        <f>IF($MQ144=0,MAX(0,$NE144-IF($OS144&gt;0,1,0)),MAX(0,$PA144))</f>
        <v/>
      </c>
      <c r="PC144" s="155">
        <f>IF($MQ144=0,0,(IF(COUNTIF($MV144:$MY144,"Salto")&gt;0,1,0)+IF(COUNTIF($MV144:$MY144,"Queima")&gt;0,1,0)+IF(COUNTIF($MV144:$MY144,"Estilhaço")&gt;0,1,0))*FLOOR($PB144/2,1))</f>
        <v/>
      </c>
      <c r="PD144" s="155">
        <f>MAX(0,2-SUMPRODUCT($OK144:$OP144,$I$2:$N$2)+MIN(2,$OQ144*1+$OR144*1,SUMPRODUCT($OK144:$OP144,$I$2:$N$2)))</f>
        <v/>
      </c>
      <c r="PE144" s="155">
        <f>MAX(0,4-SUMPRODUCT($OK144:$OP144,$I$3:$N$3)+MIN(4,$OQ144*1+$OR144*2,SUMPRODUCT($OK144:$OP144,$I$3:$N$3)))</f>
        <v/>
      </c>
      <c r="PF144" s="155">
        <f>MAX(0,6-SUMPRODUCT($OK144:$OP144,$I$4:$N$4)+MIN(6,$OQ144*2+$OR144*3,SUMPRODUCT($OK144:$OP144,$I$4:$N$4)))</f>
        <v/>
      </c>
      <c r="PG144" s="155">
        <f>MAX(0,9-SUMPRODUCT($OK144:$OP144,$I$5:$N$5)+MIN(8,$OQ144*2+$OR144*4,SUMPRODUCT($OK144:$OP144,$I$5:$N$5)))</f>
        <v/>
      </c>
      <c r="PH144" s="155">
        <f>MAX(0,11-SUMPRODUCT($OK144:$OP144,$I$6:$N$6)+MIN(10,$OQ144*3+$OR144*5,SUMPRODUCT($OK144:$OP144,$I$6:$N$6)))</f>
        <v/>
      </c>
      <c r="PI144" s="155">
        <f>MAX(0,13-SUMPRODUCT($OK144:$OP144,$I$7:$N$7)+MIN(12,$OQ144*3+$OR144*6,SUMPRODUCT($OK144:$OP144,$I$7:$N$7)))</f>
        <v/>
      </c>
      <c r="PJ144" s="155">
        <f>MAX(0,16-SUMPRODUCT($OK144:$OP144,$I$8:$N$8)+MIN(14,$OQ144*4+$OR144*7,SUMPRODUCT($OK144:$OP144,$I$8:$N$8)))</f>
        <v/>
      </c>
      <c r="PK144" s="155">
        <f>IF($OE144=2,3*$PD144&amp;" de vida temp.",IF($OE144=3,"sem dano",IF($PD144=0,IF($OE144=1,"sem cura","sem dano"),IF($OE144=1,"cura ","")&amp;$PD144&amp;"d8")))</f>
        <v/>
      </c>
      <c r="PL144" s="155">
        <f>IF($OE144=2,3*$PE144&amp;" de vida temp.",IF($OE144=3,"sem dano",IF($PE144=0,IF($OE144=1,"sem cura","sem dano"),IF($OE144=1,"cura ","")&amp;$PE144&amp;"d8")))</f>
        <v/>
      </c>
      <c r="PM144" s="155">
        <f>IF($OE144=2,3*$PF144&amp;" de vida temp.",IF($OE144=3,"sem dano",IF($PF144=0,IF($OE144=1,"sem cura","sem dano"),IF($OE144=1,"cura ","")&amp;$PF144&amp;"d8")))</f>
        <v/>
      </c>
      <c r="PN144" s="155">
        <f>IF($OE144=2,3*$PG144&amp;" de vida temp.",IF($OE144=3,"sem dano",IF($PG144=0,IF($OE144=1,"sem cura","sem dano"),IF($OE144=1,"cura ","")&amp;$PG144&amp;"d8")))</f>
        <v/>
      </c>
      <c r="PO144" s="155">
        <f>IF($OE144=2,3*$PH144&amp;" de vida temp.",IF($OE144=3,"sem dano",IF($PH144=0,IF($OE144=1,"sem cura","sem dano"),IF($OE144=1,"cura ","")&amp;$PH144&amp;"d8")))</f>
        <v/>
      </c>
      <c r="PP144" s="155">
        <f>IF($OE144=2,3*$PI144&amp;" de vida temp.",IF($OE144=3,"sem dano",IF($PI144=0,IF($OE144=1,"sem cura","sem dano"),IF($OE144=1,"cura ","")&amp;$PI144&amp;"d8")))</f>
        <v/>
      </c>
      <c r="PQ144" s="155">
        <f>IF($OE144=2,3*$PJ144&amp;" de vida temp.",IF($OE144=3,"sem dano",IF($PJ144=0,IF($OE144=1,"sem cura","sem dano"),IF($OE144=1,"cura ","")&amp;$PJ144&amp;"d8")))</f>
        <v/>
      </c>
      <c r="PR144" s="155">
        <f>IF($NB144=0,"",TEXTJOIN(" · ",TRUE,IF($MO144&gt;$NC144,"Este lugar abre no nível "&amp;$MO144,""),IF($MQ144&gt;$ND144,"Classe "&amp;$MQ144&amp;": o nível "&amp;$NC144&amp;" libera até a "&amp;$ND144,""),IF($NV144=1,"A Forma "&amp;$MS144&amp;" pede "&amp;INDEX($W$2:$W$11,$NH144)&amp;" aberta",""),IF(AND($MQ144=0,$NH144&gt;0,IF($NH144=0,0,INDEX($AF$2:$AF$11,$NH144))=0),$MS144&amp;" não existe na Classe 0",""),IF($NW144=1,"Família Fechada: "&amp;$MV144,""),IF($NX144=1,"Família Fechada: "&amp;$MW144,""),IF($NY144=1,"Família Fechada: "&amp;$MX144,""),IF($NZ144=1,"Família Fechada: "&amp;$MY144,""),IF(AND($MQ144&gt;0,$OS144&gt;INDEX($O$2:$O$8,MAX(1,$MQ144))),$OS144&amp;" Melhorias: a Classe "&amp;$MQ144&amp;" aceita "&amp;INDEX($O$2:$O$8,MAX(1,$MQ144)),""),IF(AND($MQ144=0,$OS144&gt;1),"A básica aceita uma Melhoria",""),IF(AND($MQ144=0,COUNTIF($NM144:$NP144,"&gt;1")&gt;0),"A básica só aceita Melhoria Leve",""),IF(AND($MQ144&gt;0,$OT144&gt;2),$OT144&amp;" Restrições"&amp;IF($OD144=1,", contando a que a Forma "&amp;$MS144&amp;" já traz","")&amp;": o limite é 2",""),IF(AND($MQ144=0,COUNTIF($MZ144:$NA144,"?*")&gt;1),"A básica aceita uma Restrição Leve",""),IF(AND($MQ144=0,COUNTIF($OG144:$OH144,2)&gt;0),"A básica só aceita Restrição Leve",""),IF(AND($MQ144&gt;0,$PA144&lt;0),"Orçamento estourado: faltam "&amp;(-$PA144)&amp;IF($PA144&lt;-1," pontos"," ponto"),""),IF(IFERROR(VLOOKUP($MZ144,$BC$2:$BG$24,4,FALSE),0)+IFERROR(VLOOKUP($NA144,$BC$2:$BG$24,4,FALSE),0)&gt;1,$OI144&amp;" e "&amp;$OJ144&amp;" são as duas de frequência",""),IF(AND((COUNTIF($MV144:$MY144,"Rápido")+COUNTIF($OI144:$OJ144,"Rápido"))&gt;0,(COUNTIF($MV144:$MY144,"Atrasar")+COUNTIF($OI144:$OJ144,"Atrasar"))&gt;0),"Rápido não entra com Atrasar",""),IF(AND((COUNTIF($MV144:$MY144,"Reação")+COUNTIF($OI144:$OJ144,"Reação"))&gt;0,(COUNTIF($MV144:$MY144,"Rápido")+COUNTIF($OI144:$OJ144,"Rápido"))&gt;0),"Reação não entra com Rápido",""),IF(AND((COUNTIF($MV144:$MY144,"Reação")+COUNTIF($OI144:$OJ144,"Reação"))&gt;0,(COUNTIF($MV144:$MY144,"Armado")+COUNTIF($OI144:$OJ144,"Armado"))&gt;0),"Reação não entra com Armado",""),IF(AND((COUNTIF($MV144:$MY144,"Reação")+COUNTIF($OI144:$OJ144,"Reação"))&gt;0,(COUNTIF($MV144:$MY144,"Atrasar")+COUNTIF($OI144:$OJ144,"Atrasar"))&gt;0),"Reação não entra com Atrasar",""),IF(AND((COUNTIF($MV144:$MY144,"Reação")+COUNTIF($OI144:$OJ144,"Reação"))&gt;0,(COUNTIF($MV144:$MY144,"Parado")+COUNTIF($OI144:$OJ144,"Parado"))&gt;0),"Reação não entra com Parado",""),IF(AND((COUNTIF($MV144:$MY144,"Atrasar")+COUNTIF($OI144:$OJ144,"Atrasar"))&gt;0,(COUNTIF($MV144:$MY144,"Parado")+COUNTIF($OI144:$OJ144,"Parado"))&gt;0),"Atrasar não entra com Parado",""),IF(AND((COUNTIF($MV144:$MY144,"Armado")+COUNTIF($OI144:$OJ144,"Armado"))&gt;0,(COUNTIF($MV144:$MY144,"Carregar")+COUNTIF($OI144:$OJ144,"Carregar"))&gt;0),"Armado não entra com Carregar",""),IF(AND(COUNTIF($OI144:$OJ144,"Corpo a Corpo")&gt;0,$OD144=0,OR($MS144="Cone",$MS144="Linha")),"Corpo a Corpo não entra em "&amp;$MS144,""),IF(AND(COUNTIF($OI144:$OJ144,"Corpo a Corpo")&gt;0,$OD144=1),"A Forma "&amp;$MS144&amp;" já traz o Corpo a Corpo",""),IF(AND(COUNTIF($OI144:$OJ144,"Tudo ou Nada")&gt;0,$OF144=0),"Tudo ou Nada só entra em habilidade de Teste de Resistência",""),IF(AND(COUNTIF($MV144:$MY144,"Inescapável")&gt;0,OR($OS144&gt;1,$OT144&gt;0)),"Inescapável não aceita outra peça",""),IF(AND($MQ144&gt;0,$PB144*IF(COUNTIF($MV144:$MY144,"Remate")&gt;0,1.25,1)+$PC144&gt;4*$MQ144),($PB144*IF(COUNTIF($MV144:$MY144,"Remate")&gt;0,1.25,1)+$PC144)&amp;" dados somando repetições"&amp;IF(COUNTIF($MV144:$MY144,"Remate")&gt;0," e o Remate","")&amp;": o teto da Classe "&amp;$MQ144&amp;" é "&amp;4*$MQ144,"")))</f>
        <v/>
      </c>
      <c r="PS144" s="155">
        <f>IF($PR144="",0,(LEN($PR144)-LEN(SUBSTITUTE($PR144," · ","")))/3+1)</f>
        <v/>
      </c>
      <c r="PT144" s="155">
        <f>IF($NB144=0,"",TEXTJOIN(" · ",TRUE,IF($OV144&gt;2*$MQ144,"A devolução parou no teto de "&amp;2*$MQ144,""),IF($OY144&gt;0,"Devolução perdida: "&amp;$OY144&amp;IF($OY144&gt;1," pontos"," ponto")&amp;" sem peça para pagar",""),IF(AND($OA144&gt;0,AND($MQ144&gt;0,$OE144=0),$PB144=0),"Controle sem dano: uma rodada a mais e CD +2",""),IF(AND($OA144&gt;0,AND($MQ144&gt;0,$OE144=0),$PB144&gt;0,$PB144&lt;=$MQ144),"Controle com saldo até a Classe: uma rodada a mais",""),IF(AND($MQ144&gt;0,$OC144&lt;&gt;""),"Efeito de "&amp;$OC144&amp;" pela Classe "&amp;MAX(1,$MQ144-1),"")))</f>
        <v/>
      </c>
      <c r="PU144" s="155">
        <f>IF($PT144="",0,(LEN($PT144)-LEN(SUBSTITUTE($PT144," · ","")))/3+1)</f>
        <v/>
      </c>
      <c r="PV144" s="155">
        <f>IF($NB144=0,IF($OS144+COUNTIF($MZ144:$NA144,"?*")&gt;0,"Dê um nome",""),IF($PS144&gt;0,"⚠ "&amp;$PS144&amp;IF($PS144&gt;1," erros"," erro"),IF($PU144&gt;0,"! "&amp;$PU144&amp;IF($PU144&gt;1," avisos"," aviso"),"Na regra")))</f>
        <v/>
      </c>
      <c r="PW144" s="155">
        <f>IF($NB144=0,"",IF($PS144+$PU144=0,"Dentro das regras que a ficha confere",$PR144&amp;IF(AND($PS144&gt;0,$PU144&gt;0)," · ","")&amp;$PT144))</f>
        <v/>
      </c>
      <c r="PX144" s="155">
        <f>IF($MO144&gt;$NC144,$MP144&amp;" · ABRE NO NÍVEL "&amp;$MO144,$MP144)</f>
        <v/>
      </c>
      <c r="PY144" s="155">
        <f>IF($NB144=0,"",IF($MQ144=0,"Sem PE",3*$MQ144&amp;" PE"))</f>
        <v/>
      </c>
      <c r="PZ144" s="155">
        <f>IF($NB144=0,"",IF($MQ144=0,"A atuação básica dela",IF(COUNTIF($OI144:$OJ144,"Atrasar")&gt;0,"Sua Ação Completa",IF(COUNTIF($MV144:$MY144,"Rápido")&gt;0,"Sua Bônus",IF(COUNTIF($MV144:$MY144,"Reação")&gt;0,"Sua Reação","Sua Padrão")))&amp;" + a básica dela"&amp;IF(COUNTIF($MV144:$MY144,"Reação")&gt;0," e a coletiva","")&amp;IF(COUNTIF($OI144:$OJ144,"Carregar")&gt;0," · em dois turnos","")))</f>
        <v/>
      </c>
      <c r="QA144" s="155">
        <f>IF($MU144&lt;&gt;"",$MU144,IF($NH144=0,"",INDEX($AA$2:$AA$11,$NH144)))</f>
        <v/>
      </c>
      <c r="QB144" s="155">
        <f>IF(OR($NB144=0,$NH144=0),"",IF(COUNTIF($MV144:$MY144,"Inescapável")&gt;0,"Automático",IF($QA144="Ataque",IF($NF144="","Ataque","Ataque "&amp;IF(($NF144+2*IF(COUNTIF($MV144:$MY144,"Precisão")&gt;0,1,0))&gt;=0,"+","−")&amp;ABS(($NF144+2*IF(COUNTIF($MV144:$MY144,"Precisão")&gt;0,1,0))))&amp;IF($OB144&gt;0," · TR"&amp;IF($NG144="",""," CD "&amp;$NG144),""),IF(LEFT($QA144,2)="TR",$QA144&amp;IF($NG144="",""," · CD "&amp;$NG144)&amp;IF(COUNTIF($MV144:$MY144,"Certeiro")&gt;0," · metade",""),"Sem rolagem"))))</f>
        <v/>
      </c>
      <c r="QC144" s="155">
        <f>IF(OR($NB144=0,$NH144=0),"",IF($MQ144=0,IF(OR($OE144&gt;=1,$PB144=0),"Sem dano",$PB144&amp;"d6"&amp;IF($MT144="",""," "&amp;$MT144)),IF(OR($OE144&gt;=1,$PB144=0),UPPER(LEFT(INDEX($PK144:$PQ144,1,MAX(1,$MQ144)),1))&amp;MID(INDEX($PK144:$PQ144,1,MAX(1,$MQ144)),2,99),UPPER(LEFT(INDEX($PK144:$PQ144,1,MAX(1,$MQ144)),1))&amp;MID(INDEX($PK144:$PQ144,1,MAX(1,$MQ144)),2,99)&amp;IF($MT144="",""," "&amp;$MT144)&amp;IF($PC144&gt;0," · +"&amp;$PC144&amp;"d8",""))))</f>
        <v/>
      </c>
      <c r="QD144" s="155">
        <f>COUNTIF($MV144:$MY144,"Longe")+3*COUNTIF($MV144:$MY144,"Muito Longe")</f>
        <v/>
      </c>
      <c r="QE144" s="155">
        <f>COUNTIF($MV144:$MY144,"Maior")+3*COUNTIF($MV144:$MY144,"Muito Maior")</f>
        <v/>
      </c>
      <c r="QF144" s="155">
        <f>IF($NH144=0,0,CHOOSE(1+INDEX($AC$2:$AC$11,$NH144),0,$QD144,$QE144,$QD144+$QE144))</f>
        <v/>
      </c>
      <c r="QG144" s="155">
        <f>IF($NH144=0,0,CHOOSE(1+INDEX($AD$2:$AD$11,$NH144),0,$QD144,$QE144,$QD144+$QE144))</f>
        <v/>
      </c>
      <c r="QH144" s="155">
        <f>IF(OR($NB144=0,$NH144=0),"",INDEX($AI$2:$AN$41,($NH144-1)*4+IF($MQ144=0,1,IF($MQ144&lt;=5,2,IF($MQ144=6,3,4))),1+MIN(5,$QF144))&amp;INDEX($AO$2:$AT$41,($NH144-1)*4+IF($MQ144=0,1,IF($MQ144&lt;=5,2,IF($MQ144=6,3,4))),1+MIN(5,$QG144))&amp;IF(INDEX($AE$2:$AE$11,$NH144)=1,IF(COUNTIF($MV144:$MY144,"Mais Um")&gt;0," · +"&amp;COUNTIF($MV144:$MY144,"Mais Um")&amp;IF(COUNTIF($MV144:$MY144,"Mais Um")&gt;1," alvos"," alvo"),"")&amp;IF(COUNTIF($MV144:$MY144,"Rajada")&gt;0,IF($MQ144=0," · 1 tiro"," · "&amp;(MAX(1,$MQ144-1)+1)&amp;" tiros"),""),""))</f>
        <v/>
      </c>
      <c r="QI144" s="155">
        <f>IF($NB144=0,"",IF($MQ144=0,$NE144&amp;"d6"&amp;IF($OS144&gt;0," − 1 = "&amp;$PB144&amp;"d6"," da básica do nível "&amp;$NC144),$OZ144&amp;" − "&amp;$OU144&amp;" + "&amp;$OX144&amp;" = "&amp;$PA144&amp;" · teto "&amp;4*$MQ144&amp;"d8"&amp;IF($OD144=1," · a Forma devolve "&amp;$MQ144,"")&amp;IF($OY144&gt;0," · perde "&amp;$OY144,"")))</f>
        <v/>
      </c>
      <c r="QJ144" s="155">
        <f>IF($NB144=0,"",IF($MQ144=0,"A básica não amplia: os dados dela sobem com o nível",IF($MQ144&gt;=$ND144,"Já está na maior Classe que o nível liberou",TEXTJOIN(" · ",TRUE,IF(AND(2&gt;$MQ144,2&lt;=$ND144),"2 → "&amp;$PL144&amp;", 6 PE",""),IF(AND(3&gt;$MQ144,3&lt;=$ND144),"3 → "&amp;$PM144&amp;", 9 PE",""),IF(AND(4&gt;$MQ144,4&lt;=$ND144),"4 → "&amp;$PN144&amp;", 12 PE",""),IF(AND(5&gt;$MQ144,5&lt;=$ND144),"5 → "&amp;$PO144&amp;", 15 PE",""),IF(AND(6&gt;$MQ144,6&lt;=$ND144),"6 → "&amp;$PP144&amp;", 18 PE",""),IF(AND(7&gt;$MQ144,7&lt;=$ND144),"7 → "&amp;$PQ144&amp;", 21 PE","")))))</f>
        <v/>
      </c>
      <c r="QK144" s="155">
        <f>IF(OR($NB144=0,$NM144=0),"",IF($MQ144=0,"−1 dado","−"&amp;INDEX($I$2:$N$8,MAX(1,$MQ144),MAX(1,$NR144))&amp;" · "&amp;CHOOSE(MAX(1,$NR144),"Leve","Média","Pesada","Leve · Livre","Média · Livre","Pesada · Livre")))</f>
        <v/>
      </c>
      <c r="QL144" s="155">
        <f>IF(OR($NB144=0,$NN144=0),"",IF($MQ144=0,"−1 dado","−"&amp;INDEX($I$2:$N$8,MAX(1,$MQ144),MAX(1,$NS144))&amp;" · "&amp;CHOOSE(MAX(1,$NS144),"Leve","Média","Pesada","Leve · Livre","Média · Livre","Pesada · Livre")))</f>
        <v/>
      </c>
      <c r="QM144" s="155">
        <f>IF(OR($NB144=0,$NO144=0),"",IF($MQ144=0,"−1 dado","−"&amp;INDEX($I$2:$N$8,MAX(1,$MQ144),MAX(1,$NT144))&amp;" · "&amp;CHOOSE(MAX(1,$NT144),"Leve","Média","Pesada","Leve · Livre","Média · Livre","Pesada · Livre")))</f>
        <v/>
      </c>
      <c r="QN144" s="155">
        <f>IF(OR($NB144=0,$NP144=0),"",IF($MQ144=0,"−1 dado","−"&amp;INDEX($I$2:$N$8,MAX(1,$MQ144),MAX(1,$NU144))&amp;" · "&amp;CHOOSE(MAX(1,$NU144),"Leve","Média","Pesada","Leve · Livre","Média · Livre","Pesada · Livre")))</f>
        <v/>
      </c>
      <c r="QO144" s="155">
        <f>IF(OR($NB144=0,$MZ144=""),"",IF($MQ144=0,"não devolve","+"&amp;IF($OG144=1,CEILING($MQ144/2,1),$MQ144)))</f>
        <v/>
      </c>
      <c r="QP144" s="155">
        <f>IF(OR($NB144=0,$NA144=""),"",IF($MQ144=0,"não devolve","+"&amp;IF($OH144=1,CEILING($MQ144/2,1),$MQ144)))</f>
        <v/>
      </c>
    </row>
    <row r="145">
      <c r="ML145" s="153" t="inlineStr">
        <is>
          <t>Ficha 12 · Básica 1</t>
        </is>
      </c>
      <c r="MM145" s="155" t="n">
        <v>12</v>
      </c>
      <c r="MN145" s="155" t="n">
        <v>0</v>
      </c>
      <c r="MO145" s="155" t="n">
        <v>1</v>
      </c>
      <c r="MP145" s="153" t="inlineStr">
        <is>
          <t>BÁSICA 1</t>
        </is>
      </c>
      <c r="MQ145" s="155" t="n">
        <v>0</v>
      </c>
      <c r="MR145" s="155">
        <f>'INVOCAÇÕES'!$AC$1048&amp;""</f>
        <v/>
      </c>
      <c r="MS145" s="155">
        <f>'INVOCAÇÕES'!$AB$1053&amp;""</f>
        <v/>
      </c>
      <c r="MT145" s="155">
        <f>'INVOCAÇÕES'!$AB$1054&amp;""</f>
        <v/>
      </c>
      <c r="MU145" s="155">
        <f>'INVOCAÇÕES'!$AD$1054&amp;""</f>
        <v/>
      </c>
      <c r="MV145" s="155">
        <f>'INVOCAÇÕES'!$AC$1057&amp;""</f>
        <v/>
      </c>
      <c r="MW145" s="155">
        <f>'INVOCAÇÕES'!$AC$1058&amp;""</f>
        <v/>
      </c>
      <c r="MX145" s="155">
        <f>'INVOCAÇÕES'!$AC$1059&amp;""</f>
        <v/>
      </c>
      <c r="MY145" s="155">
        <f>'INVOCAÇÕES'!$AC$1060&amp;""</f>
        <v/>
      </c>
      <c r="MZ145" s="155">
        <f>'INVOCAÇÕES'!$AC$1061&amp;""</f>
        <v/>
      </c>
      <c r="NA145" s="155">
        <f>'INVOCAÇÕES'!$AC$1062&amp;""</f>
        <v/>
      </c>
      <c r="NB145" s="155">
        <f>IF($MR145&lt;&gt;"",1,0)</f>
        <v/>
      </c>
      <c r="NC145" s="155">
        <f>INDEX($FM$2:$FM$13,$MM145)</f>
        <v/>
      </c>
      <c r="ND145" s="155">
        <f>INDEX($FN$2:$FN$13,$MM145)</f>
        <v/>
      </c>
      <c r="NE145" s="155">
        <f>INDEX($FO$2:$FO$13,$MM145)</f>
        <v/>
      </c>
      <c r="NF145" s="155">
        <f>INDEX($FZ$2:$FZ$13,$MM145)</f>
        <v/>
      </c>
      <c r="NG145" s="155">
        <f>INDEX($GA$2:$GA$13,$MM145)</f>
        <v/>
      </c>
      <c r="NH145" s="155">
        <f>IFERROR(MATCH($MS145,$V$2:$V$11,0),0)</f>
        <v/>
      </c>
      <c r="NI145" s="155">
        <f>IFERROR(VLOOKUP($MV145,$AV$2:$BA$84,2,FALSE),"")</f>
        <v/>
      </c>
      <c r="NJ145" s="155">
        <f>IFERROR(VLOOKUP($MW145,$AV$2:$BA$84,2,FALSE),"")</f>
        <v/>
      </c>
      <c r="NK145" s="155">
        <f>IFERROR(VLOOKUP($MX145,$AV$2:$BA$84,2,FALSE),"")</f>
        <v/>
      </c>
      <c r="NL145" s="155">
        <f>IFERROR(VLOOKUP($MY145,$AV$2:$BA$84,2,FALSE),"")</f>
        <v/>
      </c>
      <c r="NM145" s="155">
        <f>IFERROR(VLOOKUP($MV145,$AV$2:$BA$84,3,FALSE),0)</f>
        <v/>
      </c>
      <c r="NN145" s="155">
        <f>IFERROR(VLOOKUP($MW145,$AV$2:$BA$84,3,FALSE),0)</f>
        <v/>
      </c>
      <c r="NO145" s="155">
        <f>IFERROR(VLOOKUP($MX145,$AV$2:$BA$84,3,FALSE),0)</f>
        <v/>
      </c>
      <c r="NP145" s="155">
        <f>IFERROR(VLOOKUP($MY145,$AV$2:$BA$84,3,FALSE),0)</f>
        <v/>
      </c>
      <c r="NQ145" s="155">
        <f>IF($MQ145=0,0,IF($NH145=0,0,INDEX($X$2:$X$11,$NH145)))</f>
        <v/>
      </c>
      <c r="NR145" s="155">
        <f>IF(OR($NM145=0,$MQ145=0),0,$NM145+3*IF(AND($NI145&lt;&gt;"",OR($NI145=INDEX($EJ$2:$EJ$13,$MM145),$NI145=INDEX($EK$2:$EK$13,$MM145))),1,0))</f>
        <v/>
      </c>
      <c r="NS145" s="155">
        <f>IF(OR($NN145=0,$MQ145=0),0,$NN145+3*IF(AND($NJ145&lt;&gt;"",OR($NJ145=INDEX($EJ$2:$EJ$13,$MM145),$NJ145=INDEX($EK$2:$EK$13,$MM145))),1,0))</f>
        <v/>
      </c>
      <c r="NT145" s="155">
        <f>IF(OR($NO145=0,$MQ145=0),0,$NO145+3*IF(AND($NK145&lt;&gt;"",OR($NK145=INDEX($EJ$2:$EJ$13,$MM145),$NK145=INDEX($EK$2:$EK$13,$MM145))),1,0))</f>
        <v/>
      </c>
      <c r="NU145" s="155">
        <f>IF(OR($NP145=0,$MQ145=0),0,$NP145+3*IF(AND($NL145&lt;&gt;"",OR($NL145=INDEX($EJ$2:$EJ$13,$MM145),$NL145=INDEX($EK$2:$EK$13,$MM145))),1,0))</f>
        <v/>
      </c>
      <c r="NV145" s="155">
        <f>IF($NH145=0,0,IF(INDEX($W$2:$W$11,$NH145)="",0,IF(COUNTIF(INDEX($EJ$2:$EN$13,$MM145,0),INDEX($W$2:$W$11,$NH145))=0,1,0)))</f>
        <v/>
      </c>
      <c r="NW145" s="155">
        <f>IF(OR($NM145=0,$NI145=""),0,IF(COUNTIF(INDEX($EJ$2:$EN$13,$MM145,0),$NI145)=0,1,0))</f>
        <v/>
      </c>
      <c r="NX145" s="155">
        <f>IF(OR($NN145=0,$NJ145=""),0,IF(COUNTIF(INDEX($EJ$2:$EN$13,$MM145,0),$NJ145)=0,1,0))</f>
        <v/>
      </c>
      <c r="NY145" s="155">
        <f>IF(OR($NO145=0,$NK145=""),0,IF(COUNTIF(INDEX($EJ$2:$EN$13,$MM145,0),$NK145)=0,1,0))</f>
        <v/>
      </c>
      <c r="NZ145" s="155">
        <f>IF(OR($NP145=0,$NL145=""),0,IF(COUNTIF(INDEX($EJ$2:$EN$13,$MM145,0),$NL145)=0,1,0))</f>
        <v/>
      </c>
      <c r="OA145" s="155">
        <f>IFERROR(VLOOKUP($MV145,$AV$2:$BA$84,4,FALSE),0)+IFERROR(VLOOKUP($MW145,$AV$2:$BA$84,4,FALSE),0)+IFERROR(VLOOKUP($MX145,$AV$2:$BA$84,4,FALSE),0)+IFERROR(VLOOKUP($MY145,$AV$2:$BA$84,4,FALSE),0)</f>
        <v/>
      </c>
      <c r="OB145" s="155">
        <f>IFERROR(VLOOKUP($MV145,$AV$2:$BA$84,6,FALSE),0)+IFERROR(VLOOKUP($MW145,$AV$2:$BA$84,6,FALSE),0)+IFERROR(VLOOKUP($MX145,$AV$2:$BA$84,6,FALSE),0)+IFERROR(VLOOKUP($MY145,$AV$2:$BA$84,6,FALSE),0)</f>
        <v/>
      </c>
      <c r="OC145" s="155">
        <f>TEXTJOIN(", ",TRUE,IF(IFERROR(VLOOKUP($MV145,$AV$2:$BA$84,5,FALSE),0)=1,$MV145,""),IF(IFERROR(VLOOKUP($MW145,$AV$2:$BA$84,5,FALSE),0)=1,$MW145,""),IF(IFERROR(VLOOKUP($MX145,$AV$2:$BA$84,5,FALSE),0)=1,$MX145,""),IF(IFERROR(VLOOKUP($MY145,$AV$2:$BA$84,5,FALSE),0)=1,$MY145,""))</f>
        <v/>
      </c>
      <c r="OD145" s="155">
        <f>IF($NH145=0,0,INDEX($Y$2:$Y$11,$NH145))</f>
        <v/>
      </c>
      <c r="OE145" s="155">
        <f>IF($NH145=0,0,INDEX($Z$2:$Z$11,$NH145))</f>
        <v/>
      </c>
      <c r="OF145" s="155">
        <f>IF($NH145=0,0,INDEX($AB$2:$AB$11,$NH145))</f>
        <v/>
      </c>
      <c r="OG145" s="155">
        <f>IFERROR(VLOOKUP($MZ145,$BC$2:$BG$24,3,FALSE),0)</f>
        <v/>
      </c>
      <c r="OH145" s="155">
        <f>IFERROR(VLOOKUP($NA145,$BC$2:$BG$24,3,FALSE),0)</f>
        <v/>
      </c>
      <c r="OI145" s="155">
        <f>IFERROR(VLOOKUP($MZ145,$BC$2:$BG$24,2,FALSE),"")</f>
        <v/>
      </c>
      <c r="OJ145" s="155">
        <f>IFERROR(VLOOKUP($NA145,$BC$2:$BG$24,2,FALSE),"")</f>
        <v/>
      </c>
      <c r="OK145" s="155">
        <f>COUNTIF($NQ145:$NU145,1)</f>
        <v/>
      </c>
      <c r="OL145" s="155">
        <f>COUNTIF($NQ145:$NU145,2)</f>
        <v/>
      </c>
      <c r="OM145" s="155">
        <f>COUNTIF($NQ145:$NU145,3)</f>
        <v/>
      </c>
      <c r="ON145" s="155">
        <f>COUNTIF($NQ145:$NU145,4)</f>
        <v/>
      </c>
      <c r="OO145" s="155">
        <f>COUNTIF($NQ145:$NU145,5)</f>
        <v/>
      </c>
      <c r="OP145" s="155">
        <f>COUNTIF($NQ145:$NU145,6)</f>
        <v/>
      </c>
      <c r="OQ145" s="155">
        <f>COUNTIF($OG145:$OH145,1)</f>
        <v/>
      </c>
      <c r="OR145" s="155">
        <f>COUNTIF($OG145:$OH145,2)+$OD145</f>
        <v/>
      </c>
      <c r="OS145" s="155">
        <f>COUNTIF($MV145:$MY145,"?*")</f>
        <v/>
      </c>
      <c r="OT145" s="155">
        <f>COUNTIF($MZ145:$NA145,"?*")+$OD145</f>
        <v/>
      </c>
      <c r="OU145" s="155">
        <f>IF($MQ145=0,0,SUMPRODUCT($OK145:$OP145,INDEX($I$2:$N$8,MAX(1,$MQ145),0)))</f>
        <v/>
      </c>
      <c r="OV145" s="155">
        <f>IF($MQ145=0,0,$OQ145*CEILING($MQ145/2,1)+$OR145*$MQ145)</f>
        <v/>
      </c>
      <c r="OW145" s="155">
        <f>MIN(2*$MQ145,$OV145)</f>
        <v/>
      </c>
      <c r="OX145" s="155">
        <f>MIN($OW145,$OU145)</f>
        <v/>
      </c>
      <c r="OY145" s="155">
        <f>$OW145-$OX145</f>
        <v/>
      </c>
      <c r="OZ145" s="155">
        <f>IF($MQ145=0,0,INDEX($P$2:$P$8,MAX(1,$MQ145)))</f>
        <v/>
      </c>
      <c r="PA145" s="155">
        <f>$OZ145-$OU145+$OX145</f>
        <v/>
      </c>
      <c r="PB145" s="155">
        <f>IF($MQ145=0,MAX(0,$NE145-IF($OS145&gt;0,1,0)),MAX(0,$PA145))</f>
        <v/>
      </c>
      <c r="PC145" s="155">
        <f>IF($MQ145=0,0,(IF(COUNTIF($MV145:$MY145,"Salto")&gt;0,1,0)+IF(COUNTIF($MV145:$MY145,"Queima")&gt;0,1,0)+IF(COUNTIF($MV145:$MY145,"Estilhaço")&gt;0,1,0))*FLOOR($PB145/2,1))</f>
        <v/>
      </c>
      <c r="PD145" s="155">
        <f>MAX(0,2-SUMPRODUCT($OK145:$OP145,$I$2:$N$2)+MIN(2,$OQ145*1+$OR145*1,SUMPRODUCT($OK145:$OP145,$I$2:$N$2)))</f>
        <v/>
      </c>
      <c r="PE145" s="155">
        <f>MAX(0,4-SUMPRODUCT($OK145:$OP145,$I$3:$N$3)+MIN(4,$OQ145*1+$OR145*2,SUMPRODUCT($OK145:$OP145,$I$3:$N$3)))</f>
        <v/>
      </c>
      <c r="PF145" s="155">
        <f>MAX(0,6-SUMPRODUCT($OK145:$OP145,$I$4:$N$4)+MIN(6,$OQ145*2+$OR145*3,SUMPRODUCT($OK145:$OP145,$I$4:$N$4)))</f>
        <v/>
      </c>
      <c r="PG145" s="155">
        <f>MAX(0,9-SUMPRODUCT($OK145:$OP145,$I$5:$N$5)+MIN(8,$OQ145*2+$OR145*4,SUMPRODUCT($OK145:$OP145,$I$5:$N$5)))</f>
        <v/>
      </c>
      <c r="PH145" s="155">
        <f>MAX(0,11-SUMPRODUCT($OK145:$OP145,$I$6:$N$6)+MIN(10,$OQ145*3+$OR145*5,SUMPRODUCT($OK145:$OP145,$I$6:$N$6)))</f>
        <v/>
      </c>
      <c r="PI145" s="155">
        <f>MAX(0,13-SUMPRODUCT($OK145:$OP145,$I$7:$N$7)+MIN(12,$OQ145*3+$OR145*6,SUMPRODUCT($OK145:$OP145,$I$7:$N$7)))</f>
        <v/>
      </c>
      <c r="PJ145" s="155">
        <f>MAX(0,16-SUMPRODUCT($OK145:$OP145,$I$8:$N$8)+MIN(14,$OQ145*4+$OR145*7,SUMPRODUCT($OK145:$OP145,$I$8:$N$8)))</f>
        <v/>
      </c>
      <c r="PK145" s="155">
        <f>IF($OE145=2,3*$PD145&amp;" de vida temp.",IF($OE145=3,"sem dano",IF($PD145=0,IF($OE145=1,"sem cura","sem dano"),IF($OE145=1,"cura ","")&amp;$PD145&amp;"d8")))</f>
        <v/>
      </c>
      <c r="PL145" s="155">
        <f>IF($OE145=2,3*$PE145&amp;" de vida temp.",IF($OE145=3,"sem dano",IF($PE145=0,IF($OE145=1,"sem cura","sem dano"),IF($OE145=1,"cura ","")&amp;$PE145&amp;"d8")))</f>
        <v/>
      </c>
      <c r="PM145" s="155">
        <f>IF($OE145=2,3*$PF145&amp;" de vida temp.",IF($OE145=3,"sem dano",IF($PF145=0,IF($OE145=1,"sem cura","sem dano"),IF($OE145=1,"cura ","")&amp;$PF145&amp;"d8")))</f>
        <v/>
      </c>
      <c r="PN145" s="155">
        <f>IF($OE145=2,3*$PG145&amp;" de vida temp.",IF($OE145=3,"sem dano",IF($PG145=0,IF($OE145=1,"sem cura","sem dano"),IF($OE145=1,"cura ","")&amp;$PG145&amp;"d8")))</f>
        <v/>
      </c>
      <c r="PO145" s="155">
        <f>IF($OE145=2,3*$PH145&amp;" de vida temp.",IF($OE145=3,"sem dano",IF($PH145=0,IF($OE145=1,"sem cura","sem dano"),IF($OE145=1,"cura ","")&amp;$PH145&amp;"d8")))</f>
        <v/>
      </c>
      <c r="PP145" s="155">
        <f>IF($OE145=2,3*$PI145&amp;" de vida temp.",IF($OE145=3,"sem dano",IF($PI145=0,IF($OE145=1,"sem cura","sem dano"),IF($OE145=1,"cura ","")&amp;$PI145&amp;"d8")))</f>
        <v/>
      </c>
      <c r="PQ145" s="155">
        <f>IF($OE145=2,3*$PJ145&amp;" de vida temp.",IF($OE145=3,"sem dano",IF($PJ145=0,IF($OE145=1,"sem cura","sem dano"),IF($OE145=1,"cura ","")&amp;$PJ145&amp;"d8")))</f>
        <v/>
      </c>
      <c r="PR145" s="155">
        <f>IF($NB145=0,"",TEXTJOIN(" · ",TRUE,IF($MO145&gt;$NC145,"Este lugar abre no nível "&amp;$MO145,""),IF($MQ145&gt;$ND145,"Classe "&amp;$MQ145&amp;": o nível "&amp;$NC145&amp;" libera até a "&amp;$ND145,""),IF($NV145=1,"A Forma "&amp;$MS145&amp;" pede "&amp;INDEX($W$2:$W$11,$NH145)&amp;" aberta",""),IF(AND($MQ145=0,$NH145&gt;0,IF($NH145=0,0,INDEX($AF$2:$AF$11,$NH145))=0),$MS145&amp;" não existe na Classe 0",""),IF($NW145=1,"Família Fechada: "&amp;$MV145,""),IF($NX145=1,"Família Fechada: "&amp;$MW145,""),IF($NY145=1,"Família Fechada: "&amp;$MX145,""),IF($NZ145=1,"Família Fechada: "&amp;$MY145,""),IF(AND($MQ145&gt;0,$OS145&gt;INDEX($O$2:$O$8,MAX(1,$MQ145))),$OS145&amp;" Melhorias: a Classe "&amp;$MQ145&amp;" aceita "&amp;INDEX($O$2:$O$8,MAX(1,$MQ145)),""),IF(AND($MQ145=0,$OS145&gt;1),"A básica aceita uma Melhoria",""),IF(AND($MQ145=0,COUNTIF($NM145:$NP145,"&gt;1")&gt;0),"A básica só aceita Melhoria Leve",""),IF(AND($MQ145&gt;0,$OT145&gt;2),$OT145&amp;" Restrições"&amp;IF($OD145=1,", contando a que a Forma "&amp;$MS145&amp;" já traz","")&amp;": o limite é 2",""),IF(AND($MQ145=0,COUNTIF($MZ145:$NA145,"?*")&gt;1),"A básica aceita uma Restrição Leve",""),IF(AND($MQ145=0,COUNTIF($OG145:$OH145,2)&gt;0),"A básica só aceita Restrição Leve",""),IF(AND($MQ145&gt;0,$PA145&lt;0),"Orçamento estourado: faltam "&amp;(-$PA145)&amp;IF($PA145&lt;-1," pontos"," ponto"),""),IF(IFERROR(VLOOKUP($MZ145,$BC$2:$BG$24,4,FALSE),0)+IFERROR(VLOOKUP($NA145,$BC$2:$BG$24,4,FALSE),0)&gt;1,$OI145&amp;" e "&amp;$OJ145&amp;" são as duas de frequência",""),IF(AND((COUNTIF($MV145:$MY145,"Rápido")+COUNTIF($OI145:$OJ145,"Rápido"))&gt;0,(COUNTIF($MV145:$MY145,"Atrasar")+COUNTIF($OI145:$OJ145,"Atrasar"))&gt;0),"Rápido não entra com Atrasar",""),IF(AND((COUNTIF($MV145:$MY145,"Reação")+COUNTIF($OI145:$OJ145,"Reação"))&gt;0,(COUNTIF($MV145:$MY145,"Rápido")+COUNTIF($OI145:$OJ145,"Rápido"))&gt;0),"Reação não entra com Rápido",""),IF(AND((COUNTIF($MV145:$MY145,"Reação")+COUNTIF($OI145:$OJ145,"Reação"))&gt;0,(COUNTIF($MV145:$MY145,"Armado")+COUNTIF($OI145:$OJ145,"Armado"))&gt;0),"Reação não entra com Armado",""),IF(AND((COUNTIF($MV145:$MY145,"Reação")+COUNTIF($OI145:$OJ145,"Reação"))&gt;0,(COUNTIF($MV145:$MY145,"Atrasar")+COUNTIF($OI145:$OJ145,"Atrasar"))&gt;0),"Reação não entra com Atrasar",""),IF(AND((COUNTIF($MV145:$MY145,"Reação")+COUNTIF($OI145:$OJ145,"Reação"))&gt;0,(COUNTIF($MV145:$MY145,"Parado")+COUNTIF($OI145:$OJ145,"Parado"))&gt;0),"Reação não entra com Parado",""),IF(AND((COUNTIF($MV145:$MY145,"Atrasar")+COUNTIF($OI145:$OJ145,"Atrasar"))&gt;0,(COUNTIF($MV145:$MY145,"Parado")+COUNTIF($OI145:$OJ145,"Parado"))&gt;0),"Atrasar não entra com Parado",""),IF(AND((COUNTIF($MV145:$MY145,"Armado")+COUNTIF($OI145:$OJ145,"Armado"))&gt;0,(COUNTIF($MV145:$MY145,"Carregar")+COUNTIF($OI145:$OJ145,"Carregar"))&gt;0),"Armado não entra com Carregar",""),IF(AND(COUNTIF($OI145:$OJ145,"Corpo a Corpo")&gt;0,$OD145=0,OR($MS145="Cone",$MS145="Linha")),"Corpo a Corpo não entra em "&amp;$MS145,""),IF(AND(COUNTIF($OI145:$OJ145,"Corpo a Corpo")&gt;0,$OD145=1),"A Forma "&amp;$MS145&amp;" já traz o Corpo a Corpo",""),IF(AND(COUNTIF($OI145:$OJ145,"Tudo ou Nada")&gt;0,$OF145=0),"Tudo ou Nada só entra em habilidade de Teste de Resistência",""),IF(AND(COUNTIF($MV145:$MY145,"Inescapável")&gt;0,OR($OS145&gt;1,$OT145&gt;0)),"Inescapável não aceita outra peça",""),IF(AND($MQ145&gt;0,$PB145*IF(COUNTIF($MV145:$MY145,"Remate")&gt;0,1.25,1)+$PC145&gt;4*$MQ145),($PB145*IF(COUNTIF($MV145:$MY145,"Remate")&gt;0,1.25,1)+$PC145)&amp;" dados somando repetições"&amp;IF(COUNTIF($MV145:$MY145,"Remate")&gt;0," e o Remate","")&amp;": o teto da Classe "&amp;$MQ145&amp;" é "&amp;4*$MQ145,"")))</f>
        <v/>
      </c>
      <c r="PS145" s="155">
        <f>IF($PR145="",0,(LEN($PR145)-LEN(SUBSTITUTE($PR145," · ","")))/3+1)</f>
        <v/>
      </c>
      <c r="PT145" s="155">
        <f>IF($NB145=0,"",TEXTJOIN(" · ",TRUE,IF($OV145&gt;2*$MQ145,"A devolução parou no teto de "&amp;2*$MQ145,""),IF($OY145&gt;0,"Devolução perdida: "&amp;$OY145&amp;IF($OY145&gt;1," pontos"," ponto")&amp;" sem peça para pagar",""),IF(AND($OA145&gt;0,AND($MQ145&gt;0,$OE145=0),$PB145=0),"Controle sem dano: uma rodada a mais e CD +2",""),IF(AND($OA145&gt;0,AND($MQ145&gt;0,$OE145=0),$PB145&gt;0,$PB145&lt;=$MQ145),"Controle com saldo até a Classe: uma rodada a mais",""),IF(AND($MQ145&gt;0,$OC145&lt;&gt;""),"Efeito de "&amp;$OC145&amp;" pela Classe "&amp;MAX(1,$MQ145-1),"")))</f>
        <v/>
      </c>
      <c r="PU145" s="155">
        <f>IF($PT145="",0,(LEN($PT145)-LEN(SUBSTITUTE($PT145," · ","")))/3+1)</f>
        <v/>
      </c>
      <c r="PV145" s="155">
        <f>IF($NB145=0,IF($OS145+COUNTIF($MZ145:$NA145,"?*")&gt;0,"Dê um nome",""),IF($PS145&gt;0,"⚠ "&amp;$PS145&amp;IF($PS145&gt;1," erros"," erro"),IF($PU145&gt;0,"! "&amp;$PU145&amp;IF($PU145&gt;1," avisos"," aviso"),"Na regra")))</f>
        <v/>
      </c>
      <c r="PW145" s="155">
        <f>IF($NB145=0,"",IF($PS145+$PU145=0,"Dentro das regras que a ficha confere",$PR145&amp;IF(AND($PS145&gt;0,$PU145&gt;0)," · ","")&amp;$PT145))</f>
        <v/>
      </c>
      <c r="PX145" s="155">
        <f>IF($MO145&gt;$NC145,$MP145&amp;" · ABRE NO NÍVEL "&amp;$MO145,$MP145)</f>
        <v/>
      </c>
      <c r="PY145" s="155">
        <f>IF($NB145=0,"",IF($MQ145=0,"Sem PE",3*$MQ145&amp;" PE"))</f>
        <v/>
      </c>
      <c r="PZ145" s="155">
        <f>IF($NB145=0,"",IF($MQ145=0,"A atuação básica dela",IF(COUNTIF($OI145:$OJ145,"Atrasar")&gt;0,"Sua Ação Completa",IF(COUNTIF($MV145:$MY145,"Rápido")&gt;0,"Sua Bônus",IF(COUNTIF($MV145:$MY145,"Reação")&gt;0,"Sua Reação","Sua Padrão")))&amp;" + a básica dela"&amp;IF(COUNTIF($MV145:$MY145,"Reação")&gt;0," e a coletiva","")&amp;IF(COUNTIF($OI145:$OJ145,"Carregar")&gt;0," · em dois turnos","")))</f>
        <v/>
      </c>
      <c r="QA145" s="155">
        <f>IF($MU145&lt;&gt;"",$MU145,IF($NH145=0,"",INDEX($AA$2:$AA$11,$NH145)))</f>
        <v/>
      </c>
      <c r="QB145" s="155">
        <f>IF(OR($NB145=0,$NH145=0),"",IF(COUNTIF($MV145:$MY145,"Inescapável")&gt;0,"Automático",IF($QA145="Ataque",IF($NF145="","Ataque","Ataque "&amp;IF(($NF145+2*IF(COUNTIF($MV145:$MY145,"Precisão")&gt;0,1,0))&gt;=0,"+","−")&amp;ABS(($NF145+2*IF(COUNTIF($MV145:$MY145,"Precisão")&gt;0,1,0))))&amp;IF($OB145&gt;0," · TR"&amp;IF($NG145="",""," CD "&amp;$NG145),""),IF(LEFT($QA145,2)="TR",$QA145&amp;IF($NG145="",""," · CD "&amp;$NG145)&amp;IF(COUNTIF($MV145:$MY145,"Certeiro")&gt;0," · metade",""),"Sem rolagem"))))</f>
        <v/>
      </c>
      <c r="QC145" s="155">
        <f>IF(OR($NB145=0,$NH145=0),"",IF($MQ145=0,IF(OR($OE145&gt;=1,$PB145=0),"Sem dano",$PB145&amp;"d6"&amp;IF($MT145="",""," "&amp;$MT145)),IF(OR($OE145&gt;=1,$PB145=0),UPPER(LEFT(INDEX($PK145:$PQ145,1,MAX(1,$MQ145)),1))&amp;MID(INDEX($PK145:$PQ145,1,MAX(1,$MQ145)),2,99),UPPER(LEFT(INDEX($PK145:$PQ145,1,MAX(1,$MQ145)),1))&amp;MID(INDEX($PK145:$PQ145,1,MAX(1,$MQ145)),2,99)&amp;IF($MT145="",""," "&amp;$MT145)&amp;IF($PC145&gt;0," · +"&amp;$PC145&amp;"d8",""))))</f>
        <v/>
      </c>
      <c r="QD145" s="155">
        <f>COUNTIF($MV145:$MY145,"Longe")+3*COUNTIF($MV145:$MY145,"Muito Longe")</f>
        <v/>
      </c>
      <c r="QE145" s="155">
        <f>COUNTIF($MV145:$MY145,"Maior")+3*COUNTIF($MV145:$MY145,"Muito Maior")</f>
        <v/>
      </c>
      <c r="QF145" s="155">
        <f>IF($NH145=0,0,CHOOSE(1+INDEX($AC$2:$AC$11,$NH145),0,$QD145,$QE145,$QD145+$QE145))</f>
        <v/>
      </c>
      <c r="QG145" s="155">
        <f>IF($NH145=0,0,CHOOSE(1+INDEX($AD$2:$AD$11,$NH145),0,$QD145,$QE145,$QD145+$QE145))</f>
        <v/>
      </c>
      <c r="QH145" s="155">
        <f>IF(OR($NB145=0,$NH145=0),"",INDEX($AI$2:$AN$41,($NH145-1)*4+IF($MQ145=0,1,IF($MQ145&lt;=5,2,IF($MQ145=6,3,4))),1+MIN(5,$QF145))&amp;INDEX($AO$2:$AT$41,($NH145-1)*4+IF($MQ145=0,1,IF($MQ145&lt;=5,2,IF($MQ145=6,3,4))),1+MIN(5,$QG145))&amp;IF(INDEX($AE$2:$AE$11,$NH145)=1,IF(COUNTIF($MV145:$MY145,"Mais Um")&gt;0," · +"&amp;COUNTIF($MV145:$MY145,"Mais Um")&amp;IF(COUNTIF($MV145:$MY145,"Mais Um")&gt;1," alvos"," alvo"),"")&amp;IF(COUNTIF($MV145:$MY145,"Rajada")&gt;0,IF($MQ145=0," · 1 tiro"," · "&amp;(MAX(1,$MQ145-1)+1)&amp;" tiros"),""),""))</f>
        <v/>
      </c>
      <c r="QI145" s="155">
        <f>IF($NB145=0,"",IF($MQ145=0,$NE145&amp;"d6"&amp;IF($OS145&gt;0," − 1 = "&amp;$PB145&amp;"d6"," da básica do nível "&amp;$NC145),$OZ145&amp;" − "&amp;$OU145&amp;" + "&amp;$OX145&amp;" = "&amp;$PA145&amp;" · teto "&amp;4*$MQ145&amp;"d8"&amp;IF($OD145=1," · a Forma devolve "&amp;$MQ145,"")&amp;IF($OY145&gt;0," · perde "&amp;$OY145,"")))</f>
        <v/>
      </c>
      <c r="QJ145" s="155">
        <f>IF($NB145=0,"",IF($MQ145=0,"A básica não amplia: os dados dela sobem com o nível",IF($MQ145&gt;=$ND145,"Já está na maior Classe que o nível liberou",TEXTJOIN(" · ",TRUE,IF(AND(2&gt;$MQ145,2&lt;=$ND145),"2 → "&amp;$PL145&amp;", 6 PE",""),IF(AND(3&gt;$MQ145,3&lt;=$ND145),"3 → "&amp;$PM145&amp;", 9 PE",""),IF(AND(4&gt;$MQ145,4&lt;=$ND145),"4 → "&amp;$PN145&amp;", 12 PE",""),IF(AND(5&gt;$MQ145,5&lt;=$ND145),"5 → "&amp;$PO145&amp;", 15 PE",""),IF(AND(6&gt;$MQ145,6&lt;=$ND145),"6 → "&amp;$PP145&amp;", 18 PE",""),IF(AND(7&gt;$MQ145,7&lt;=$ND145),"7 → "&amp;$PQ145&amp;", 21 PE","")))))</f>
        <v/>
      </c>
      <c r="QK145" s="155">
        <f>IF(OR($NB145=0,$NM145=0),"",IF($MQ145=0,"−1 dado","−"&amp;INDEX($I$2:$N$8,MAX(1,$MQ145),MAX(1,$NR145))&amp;" · "&amp;CHOOSE(MAX(1,$NR145),"Leve","Média","Pesada","Leve · Livre","Média · Livre","Pesada · Livre")))</f>
        <v/>
      </c>
      <c r="QL145" s="155">
        <f>IF(OR($NB145=0,$NN145=0),"",IF($MQ145=0,"−1 dado","−"&amp;INDEX($I$2:$N$8,MAX(1,$MQ145),MAX(1,$NS145))&amp;" · "&amp;CHOOSE(MAX(1,$NS145),"Leve","Média","Pesada","Leve · Livre","Média · Livre","Pesada · Livre")))</f>
        <v/>
      </c>
      <c r="QM145" s="155">
        <f>IF(OR($NB145=0,$NO145=0),"",IF($MQ145=0,"−1 dado","−"&amp;INDEX($I$2:$N$8,MAX(1,$MQ145),MAX(1,$NT145))&amp;" · "&amp;CHOOSE(MAX(1,$NT145),"Leve","Média","Pesada","Leve · Livre","Média · Livre","Pesada · Livre")))</f>
        <v/>
      </c>
      <c r="QN145" s="155">
        <f>IF(OR($NB145=0,$NP145=0),"",IF($MQ145=0,"−1 dado","−"&amp;INDEX($I$2:$N$8,MAX(1,$MQ145),MAX(1,$NU145))&amp;" · "&amp;CHOOSE(MAX(1,$NU145),"Leve","Média","Pesada","Leve · Livre","Média · Livre","Pesada · Livre")))</f>
        <v/>
      </c>
      <c r="QO145" s="155">
        <f>IF(OR($NB145=0,$MZ145=""),"",IF($MQ145=0,"não devolve","+"&amp;IF($OG145=1,CEILING($MQ145/2,1),$MQ145)))</f>
        <v/>
      </c>
      <c r="QP145" s="155">
        <f>IF(OR($NB145=0,$NA145=""),"",IF($MQ145=0,"não devolve","+"&amp;IF($OH145=1,CEILING($MQ145/2,1),$MQ145)))</f>
        <v/>
      </c>
    </row>
    <row r="146">
      <c r="ML146" s="153" t="inlineStr">
        <is>
          <t>Ficha 12 · Especial 1</t>
        </is>
      </c>
      <c r="MM146" s="155" t="n">
        <v>12</v>
      </c>
      <c r="MN146" s="155" t="n">
        <v>1</v>
      </c>
      <c r="MO146" s="155" t="n">
        <v>1</v>
      </c>
      <c r="MP146" s="153" t="inlineStr">
        <is>
          <t>ESPECIAL 1</t>
        </is>
      </c>
      <c r="MQ146" s="155">
        <f>MAX(1,MIN(7,N('INVOCAÇÕES'!$AH$1048)))</f>
        <v/>
      </c>
      <c r="MR146" s="155">
        <f>'INVOCAÇÕES'!$AI$1048&amp;""</f>
        <v/>
      </c>
      <c r="MS146" s="155">
        <f>'INVOCAÇÕES'!$AH$1053&amp;""</f>
        <v/>
      </c>
      <c r="MT146" s="155">
        <f>'INVOCAÇÕES'!$AH$1054&amp;""</f>
        <v/>
      </c>
      <c r="MU146" s="155">
        <f>'INVOCAÇÕES'!$AJ$1054&amp;""</f>
        <v/>
      </c>
      <c r="MV146" s="155">
        <f>'INVOCAÇÕES'!$AI$1057&amp;""</f>
        <v/>
      </c>
      <c r="MW146" s="155">
        <f>'INVOCAÇÕES'!$AI$1058&amp;""</f>
        <v/>
      </c>
      <c r="MX146" s="155">
        <f>'INVOCAÇÕES'!$AI$1059&amp;""</f>
        <v/>
      </c>
      <c r="MY146" s="155">
        <f>'INVOCAÇÕES'!$AI$1060&amp;""</f>
        <v/>
      </c>
      <c r="MZ146" s="155">
        <f>'INVOCAÇÕES'!$AI$1061&amp;""</f>
        <v/>
      </c>
      <c r="NA146" s="155">
        <f>'INVOCAÇÕES'!$AI$1062&amp;""</f>
        <v/>
      </c>
      <c r="NB146" s="155">
        <f>IF($MR146&lt;&gt;"",1,0)</f>
        <v/>
      </c>
      <c r="NC146" s="155">
        <f>INDEX($FM$2:$FM$13,$MM146)</f>
        <v/>
      </c>
      <c r="ND146" s="155">
        <f>INDEX($FN$2:$FN$13,$MM146)</f>
        <v/>
      </c>
      <c r="NE146" s="155">
        <f>INDEX($FO$2:$FO$13,$MM146)</f>
        <v/>
      </c>
      <c r="NF146" s="155">
        <f>INDEX($FZ$2:$FZ$13,$MM146)</f>
        <v/>
      </c>
      <c r="NG146" s="155">
        <f>INDEX($GA$2:$GA$13,$MM146)</f>
        <v/>
      </c>
      <c r="NH146" s="155">
        <f>IFERROR(MATCH($MS146,$V$2:$V$11,0),0)</f>
        <v/>
      </c>
      <c r="NI146" s="155">
        <f>IFERROR(VLOOKUP($MV146,$AV$2:$BA$84,2,FALSE),"")</f>
        <v/>
      </c>
      <c r="NJ146" s="155">
        <f>IFERROR(VLOOKUP($MW146,$AV$2:$BA$84,2,FALSE),"")</f>
        <v/>
      </c>
      <c r="NK146" s="155">
        <f>IFERROR(VLOOKUP($MX146,$AV$2:$BA$84,2,FALSE),"")</f>
        <v/>
      </c>
      <c r="NL146" s="155">
        <f>IFERROR(VLOOKUP($MY146,$AV$2:$BA$84,2,FALSE),"")</f>
        <v/>
      </c>
      <c r="NM146" s="155">
        <f>IFERROR(VLOOKUP($MV146,$AV$2:$BA$84,3,FALSE),0)</f>
        <v/>
      </c>
      <c r="NN146" s="155">
        <f>IFERROR(VLOOKUP($MW146,$AV$2:$BA$84,3,FALSE),0)</f>
        <v/>
      </c>
      <c r="NO146" s="155">
        <f>IFERROR(VLOOKUP($MX146,$AV$2:$BA$84,3,FALSE),0)</f>
        <v/>
      </c>
      <c r="NP146" s="155">
        <f>IFERROR(VLOOKUP($MY146,$AV$2:$BA$84,3,FALSE),0)</f>
        <v/>
      </c>
      <c r="NQ146" s="155">
        <f>IF($MQ146=0,0,IF($NH146=0,0,INDEX($X$2:$X$11,$NH146)))</f>
        <v/>
      </c>
      <c r="NR146" s="155">
        <f>IF(OR($NM146=0,$MQ146=0),0,$NM146+3*IF(AND($NI146&lt;&gt;"",OR($NI146=INDEX($EJ$2:$EJ$13,$MM146),$NI146=INDEX($EK$2:$EK$13,$MM146))),1,0))</f>
        <v/>
      </c>
      <c r="NS146" s="155">
        <f>IF(OR($NN146=0,$MQ146=0),0,$NN146+3*IF(AND($NJ146&lt;&gt;"",OR($NJ146=INDEX($EJ$2:$EJ$13,$MM146),$NJ146=INDEX($EK$2:$EK$13,$MM146))),1,0))</f>
        <v/>
      </c>
      <c r="NT146" s="155">
        <f>IF(OR($NO146=0,$MQ146=0),0,$NO146+3*IF(AND($NK146&lt;&gt;"",OR($NK146=INDEX($EJ$2:$EJ$13,$MM146),$NK146=INDEX($EK$2:$EK$13,$MM146))),1,0))</f>
        <v/>
      </c>
      <c r="NU146" s="155">
        <f>IF(OR($NP146=0,$MQ146=0),0,$NP146+3*IF(AND($NL146&lt;&gt;"",OR($NL146=INDEX($EJ$2:$EJ$13,$MM146),$NL146=INDEX($EK$2:$EK$13,$MM146))),1,0))</f>
        <v/>
      </c>
      <c r="NV146" s="155">
        <f>IF($NH146=0,0,IF(INDEX($W$2:$W$11,$NH146)="",0,IF(COUNTIF(INDEX($EJ$2:$EN$13,$MM146,0),INDEX($W$2:$W$11,$NH146))=0,1,0)))</f>
        <v/>
      </c>
      <c r="NW146" s="155">
        <f>IF(OR($NM146=0,$NI146=""),0,IF(COUNTIF(INDEX($EJ$2:$EN$13,$MM146,0),$NI146)=0,1,0))</f>
        <v/>
      </c>
      <c r="NX146" s="155">
        <f>IF(OR($NN146=0,$NJ146=""),0,IF(COUNTIF(INDEX($EJ$2:$EN$13,$MM146,0),$NJ146)=0,1,0))</f>
        <v/>
      </c>
      <c r="NY146" s="155">
        <f>IF(OR($NO146=0,$NK146=""),0,IF(COUNTIF(INDEX($EJ$2:$EN$13,$MM146,0),$NK146)=0,1,0))</f>
        <v/>
      </c>
      <c r="NZ146" s="155">
        <f>IF(OR($NP146=0,$NL146=""),0,IF(COUNTIF(INDEX($EJ$2:$EN$13,$MM146,0),$NL146)=0,1,0))</f>
        <v/>
      </c>
      <c r="OA146" s="155">
        <f>IFERROR(VLOOKUP($MV146,$AV$2:$BA$84,4,FALSE),0)+IFERROR(VLOOKUP($MW146,$AV$2:$BA$84,4,FALSE),0)+IFERROR(VLOOKUP($MX146,$AV$2:$BA$84,4,FALSE),0)+IFERROR(VLOOKUP($MY146,$AV$2:$BA$84,4,FALSE),0)</f>
        <v/>
      </c>
      <c r="OB146" s="155">
        <f>IFERROR(VLOOKUP($MV146,$AV$2:$BA$84,6,FALSE),0)+IFERROR(VLOOKUP($MW146,$AV$2:$BA$84,6,FALSE),0)+IFERROR(VLOOKUP($MX146,$AV$2:$BA$84,6,FALSE),0)+IFERROR(VLOOKUP($MY146,$AV$2:$BA$84,6,FALSE),0)</f>
        <v/>
      </c>
      <c r="OC146" s="155">
        <f>TEXTJOIN(", ",TRUE,IF(IFERROR(VLOOKUP($MV146,$AV$2:$BA$84,5,FALSE),0)=1,$MV146,""),IF(IFERROR(VLOOKUP($MW146,$AV$2:$BA$84,5,FALSE),0)=1,$MW146,""),IF(IFERROR(VLOOKUP($MX146,$AV$2:$BA$84,5,FALSE),0)=1,$MX146,""),IF(IFERROR(VLOOKUP($MY146,$AV$2:$BA$84,5,FALSE),0)=1,$MY146,""))</f>
        <v/>
      </c>
      <c r="OD146" s="155">
        <f>IF($NH146=0,0,INDEX($Y$2:$Y$11,$NH146))</f>
        <v/>
      </c>
      <c r="OE146" s="155">
        <f>IF($NH146=0,0,INDEX($Z$2:$Z$11,$NH146))</f>
        <v/>
      </c>
      <c r="OF146" s="155">
        <f>IF($NH146=0,0,INDEX($AB$2:$AB$11,$NH146))</f>
        <v/>
      </c>
      <c r="OG146" s="155">
        <f>IFERROR(VLOOKUP($MZ146,$BC$2:$BG$24,3,FALSE),0)</f>
        <v/>
      </c>
      <c r="OH146" s="155">
        <f>IFERROR(VLOOKUP($NA146,$BC$2:$BG$24,3,FALSE),0)</f>
        <v/>
      </c>
      <c r="OI146" s="155">
        <f>IFERROR(VLOOKUP($MZ146,$BC$2:$BG$24,2,FALSE),"")</f>
        <v/>
      </c>
      <c r="OJ146" s="155">
        <f>IFERROR(VLOOKUP($NA146,$BC$2:$BG$24,2,FALSE),"")</f>
        <v/>
      </c>
      <c r="OK146" s="155">
        <f>COUNTIF($NQ146:$NU146,1)</f>
        <v/>
      </c>
      <c r="OL146" s="155">
        <f>COUNTIF($NQ146:$NU146,2)</f>
        <v/>
      </c>
      <c r="OM146" s="155">
        <f>COUNTIF($NQ146:$NU146,3)</f>
        <v/>
      </c>
      <c r="ON146" s="155">
        <f>COUNTIF($NQ146:$NU146,4)</f>
        <v/>
      </c>
      <c r="OO146" s="155">
        <f>COUNTIF($NQ146:$NU146,5)</f>
        <v/>
      </c>
      <c r="OP146" s="155">
        <f>COUNTIF($NQ146:$NU146,6)</f>
        <v/>
      </c>
      <c r="OQ146" s="155">
        <f>COUNTIF($OG146:$OH146,1)</f>
        <v/>
      </c>
      <c r="OR146" s="155">
        <f>COUNTIF($OG146:$OH146,2)+$OD146</f>
        <v/>
      </c>
      <c r="OS146" s="155">
        <f>COUNTIF($MV146:$MY146,"?*")</f>
        <v/>
      </c>
      <c r="OT146" s="155">
        <f>COUNTIF($MZ146:$NA146,"?*")+$OD146</f>
        <v/>
      </c>
      <c r="OU146" s="155">
        <f>IF($MQ146=0,0,SUMPRODUCT($OK146:$OP146,INDEX($I$2:$N$8,MAX(1,$MQ146),0)))</f>
        <v/>
      </c>
      <c r="OV146" s="155">
        <f>IF($MQ146=0,0,$OQ146*CEILING($MQ146/2,1)+$OR146*$MQ146)</f>
        <v/>
      </c>
      <c r="OW146" s="155">
        <f>MIN(2*$MQ146,$OV146)</f>
        <v/>
      </c>
      <c r="OX146" s="155">
        <f>MIN($OW146,$OU146)</f>
        <v/>
      </c>
      <c r="OY146" s="155">
        <f>$OW146-$OX146</f>
        <v/>
      </c>
      <c r="OZ146" s="155">
        <f>IF($MQ146=0,0,INDEX($P$2:$P$8,MAX(1,$MQ146)))</f>
        <v/>
      </c>
      <c r="PA146" s="155">
        <f>$OZ146-$OU146+$OX146</f>
        <v/>
      </c>
      <c r="PB146" s="155">
        <f>IF($MQ146=0,MAX(0,$NE146-IF($OS146&gt;0,1,0)),MAX(0,$PA146))</f>
        <v/>
      </c>
      <c r="PC146" s="155">
        <f>IF($MQ146=0,0,(IF(COUNTIF($MV146:$MY146,"Salto")&gt;0,1,0)+IF(COUNTIF($MV146:$MY146,"Queima")&gt;0,1,0)+IF(COUNTIF($MV146:$MY146,"Estilhaço")&gt;0,1,0))*FLOOR($PB146/2,1))</f>
        <v/>
      </c>
      <c r="PD146" s="155">
        <f>MAX(0,2-SUMPRODUCT($OK146:$OP146,$I$2:$N$2)+MIN(2,$OQ146*1+$OR146*1,SUMPRODUCT($OK146:$OP146,$I$2:$N$2)))</f>
        <v/>
      </c>
      <c r="PE146" s="155">
        <f>MAX(0,4-SUMPRODUCT($OK146:$OP146,$I$3:$N$3)+MIN(4,$OQ146*1+$OR146*2,SUMPRODUCT($OK146:$OP146,$I$3:$N$3)))</f>
        <v/>
      </c>
      <c r="PF146" s="155">
        <f>MAX(0,6-SUMPRODUCT($OK146:$OP146,$I$4:$N$4)+MIN(6,$OQ146*2+$OR146*3,SUMPRODUCT($OK146:$OP146,$I$4:$N$4)))</f>
        <v/>
      </c>
      <c r="PG146" s="155">
        <f>MAX(0,9-SUMPRODUCT($OK146:$OP146,$I$5:$N$5)+MIN(8,$OQ146*2+$OR146*4,SUMPRODUCT($OK146:$OP146,$I$5:$N$5)))</f>
        <v/>
      </c>
      <c r="PH146" s="155">
        <f>MAX(0,11-SUMPRODUCT($OK146:$OP146,$I$6:$N$6)+MIN(10,$OQ146*3+$OR146*5,SUMPRODUCT($OK146:$OP146,$I$6:$N$6)))</f>
        <v/>
      </c>
      <c r="PI146" s="155">
        <f>MAX(0,13-SUMPRODUCT($OK146:$OP146,$I$7:$N$7)+MIN(12,$OQ146*3+$OR146*6,SUMPRODUCT($OK146:$OP146,$I$7:$N$7)))</f>
        <v/>
      </c>
      <c r="PJ146" s="155">
        <f>MAX(0,16-SUMPRODUCT($OK146:$OP146,$I$8:$N$8)+MIN(14,$OQ146*4+$OR146*7,SUMPRODUCT($OK146:$OP146,$I$8:$N$8)))</f>
        <v/>
      </c>
      <c r="PK146" s="155">
        <f>IF($OE146=2,3*$PD146&amp;" de vida temp.",IF($OE146=3,"sem dano",IF($PD146=0,IF($OE146=1,"sem cura","sem dano"),IF($OE146=1,"cura ","")&amp;$PD146&amp;"d8")))</f>
        <v/>
      </c>
      <c r="PL146" s="155">
        <f>IF($OE146=2,3*$PE146&amp;" de vida temp.",IF($OE146=3,"sem dano",IF($PE146=0,IF($OE146=1,"sem cura","sem dano"),IF($OE146=1,"cura ","")&amp;$PE146&amp;"d8")))</f>
        <v/>
      </c>
      <c r="PM146" s="155">
        <f>IF($OE146=2,3*$PF146&amp;" de vida temp.",IF($OE146=3,"sem dano",IF($PF146=0,IF($OE146=1,"sem cura","sem dano"),IF($OE146=1,"cura ","")&amp;$PF146&amp;"d8")))</f>
        <v/>
      </c>
      <c r="PN146" s="155">
        <f>IF($OE146=2,3*$PG146&amp;" de vida temp.",IF($OE146=3,"sem dano",IF($PG146=0,IF($OE146=1,"sem cura","sem dano"),IF($OE146=1,"cura ","")&amp;$PG146&amp;"d8")))</f>
        <v/>
      </c>
      <c r="PO146" s="155">
        <f>IF($OE146=2,3*$PH146&amp;" de vida temp.",IF($OE146=3,"sem dano",IF($PH146=0,IF($OE146=1,"sem cura","sem dano"),IF($OE146=1,"cura ","")&amp;$PH146&amp;"d8")))</f>
        <v/>
      </c>
      <c r="PP146" s="155">
        <f>IF($OE146=2,3*$PI146&amp;" de vida temp.",IF($OE146=3,"sem dano",IF($PI146=0,IF($OE146=1,"sem cura","sem dano"),IF($OE146=1,"cura ","")&amp;$PI146&amp;"d8")))</f>
        <v/>
      </c>
      <c r="PQ146" s="155">
        <f>IF($OE146=2,3*$PJ146&amp;" de vida temp.",IF($OE146=3,"sem dano",IF($PJ146=0,IF($OE146=1,"sem cura","sem dano"),IF($OE146=1,"cura ","")&amp;$PJ146&amp;"d8")))</f>
        <v/>
      </c>
      <c r="PR146" s="155">
        <f>IF($NB146=0,"",TEXTJOIN(" · ",TRUE,IF($MO146&gt;$NC146,"Este lugar abre no nível "&amp;$MO146,""),IF($MQ146&gt;$ND146,"Classe "&amp;$MQ146&amp;": o nível "&amp;$NC146&amp;" libera até a "&amp;$ND146,""),IF($NV146=1,"A Forma "&amp;$MS146&amp;" pede "&amp;INDEX($W$2:$W$11,$NH146)&amp;" aberta",""),IF(AND($MQ146=0,$NH146&gt;0,IF($NH146=0,0,INDEX($AF$2:$AF$11,$NH146))=0),$MS146&amp;" não existe na Classe 0",""),IF($NW146=1,"Família Fechada: "&amp;$MV146,""),IF($NX146=1,"Família Fechada: "&amp;$MW146,""),IF($NY146=1,"Família Fechada: "&amp;$MX146,""),IF($NZ146=1,"Família Fechada: "&amp;$MY146,""),IF(AND($MQ146&gt;0,$OS146&gt;INDEX($O$2:$O$8,MAX(1,$MQ146))),$OS146&amp;" Melhorias: a Classe "&amp;$MQ146&amp;" aceita "&amp;INDEX($O$2:$O$8,MAX(1,$MQ146)),""),IF(AND($MQ146=0,$OS146&gt;1),"A básica aceita uma Melhoria",""),IF(AND($MQ146=0,COUNTIF($NM146:$NP146,"&gt;1")&gt;0),"A básica só aceita Melhoria Leve",""),IF(AND($MQ146&gt;0,$OT146&gt;2),$OT146&amp;" Restrições"&amp;IF($OD146=1,", contando a que a Forma "&amp;$MS146&amp;" já traz","")&amp;": o limite é 2",""),IF(AND($MQ146=0,COUNTIF($MZ146:$NA146,"?*")&gt;1),"A básica aceita uma Restrição Leve",""),IF(AND($MQ146=0,COUNTIF($OG146:$OH146,2)&gt;0),"A básica só aceita Restrição Leve",""),IF(AND($MQ146&gt;0,$PA146&lt;0),"Orçamento estourado: faltam "&amp;(-$PA146)&amp;IF($PA146&lt;-1," pontos"," ponto"),""),IF(IFERROR(VLOOKUP($MZ146,$BC$2:$BG$24,4,FALSE),0)+IFERROR(VLOOKUP($NA146,$BC$2:$BG$24,4,FALSE),0)&gt;1,$OI146&amp;" e "&amp;$OJ146&amp;" são as duas de frequência",""),IF(AND((COUNTIF($MV146:$MY146,"Rápido")+COUNTIF($OI146:$OJ146,"Rápido"))&gt;0,(COUNTIF($MV146:$MY146,"Atrasar")+COUNTIF($OI146:$OJ146,"Atrasar"))&gt;0),"Rápido não entra com Atrasar",""),IF(AND((COUNTIF($MV146:$MY146,"Reação")+COUNTIF($OI146:$OJ146,"Reação"))&gt;0,(COUNTIF($MV146:$MY146,"Rápido")+COUNTIF($OI146:$OJ146,"Rápido"))&gt;0),"Reação não entra com Rápido",""),IF(AND((COUNTIF($MV146:$MY146,"Reação")+COUNTIF($OI146:$OJ146,"Reação"))&gt;0,(COUNTIF($MV146:$MY146,"Armado")+COUNTIF($OI146:$OJ146,"Armado"))&gt;0),"Reação não entra com Armado",""),IF(AND((COUNTIF($MV146:$MY146,"Reação")+COUNTIF($OI146:$OJ146,"Reação"))&gt;0,(COUNTIF($MV146:$MY146,"Atrasar")+COUNTIF($OI146:$OJ146,"Atrasar"))&gt;0),"Reação não entra com Atrasar",""),IF(AND((COUNTIF($MV146:$MY146,"Reação")+COUNTIF($OI146:$OJ146,"Reação"))&gt;0,(COUNTIF($MV146:$MY146,"Parado")+COUNTIF($OI146:$OJ146,"Parado"))&gt;0),"Reação não entra com Parado",""),IF(AND((COUNTIF($MV146:$MY146,"Atrasar")+COUNTIF($OI146:$OJ146,"Atrasar"))&gt;0,(COUNTIF($MV146:$MY146,"Parado")+COUNTIF($OI146:$OJ146,"Parado"))&gt;0),"Atrasar não entra com Parado",""),IF(AND((COUNTIF($MV146:$MY146,"Armado")+COUNTIF($OI146:$OJ146,"Armado"))&gt;0,(COUNTIF($MV146:$MY146,"Carregar")+COUNTIF($OI146:$OJ146,"Carregar"))&gt;0),"Armado não entra com Carregar",""),IF(AND(COUNTIF($OI146:$OJ146,"Corpo a Corpo")&gt;0,$OD146=0,OR($MS146="Cone",$MS146="Linha")),"Corpo a Corpo não entra em "&amp;$MS146,""),IF(AND(COUNTIF($OI146:$OJ146,"Corpo a Corpo")&gt;0,$OD146=1),"A Forma "&amp;$MS146&amp;" já traz o Corpo a Corpo",""),IF(AND(COUNTIF($OI146:$OJ146,"Tudo ou Nada")&gt;0,$OF146=0),"Tudo ou Nada só entra em habilidade de Teste de Resistência",""),IF(AND(COUNTIF($MV146:$MY146,"Inescapável")&gt;0,OR($OS146&gt;1,$OT146&gt;0)),"Inescapável não aceita outra peça",""),IF(AND($MQ146&gt;0,$PB146*IF(COUNTIF($MV146:$MY146,"Remate")&gt;0,1.25,1)+$PC146&gt;4*$MQ146),($PB146*IF(COUNTIF($MV146:$MY146,"Remate")&gt;0,1.25,1)+$PC146)&amp;" dados somando repetições"&amp;IF(COUNTIF($MV146:$MY146,"Remate")&gt;0," e o Remate","")&amp;": o teto da Classe "&amp;$MQ146&amp;" é "&amp;4*$MQ146,"")))</f>
        <v/>
      </c>
      <c r="PS146" s="155">
        <f>IF($PR146="",0,(LEN($PR146)-LEN(SUBSTITUTE($PR146," · ","")))/3+1)</f>
        <v/>
      </c>
      <c r="PT146" s="155">
        <f>IF($NB146=0,"",TEXTJOIN(" · ",TRUE,IF($OV146&gt;2*$MQ146,"A devolução parou no teto de "&amp;2*$MQ146,""),IF($OY146&gt;0,"Devolução perdida: "&amp;$OY146&amp;IF($OY146&gt;1," pontos"," ponto")&amp;" sem peça para pagar",""),IF(AND($OA146&gt;0,AND($MQ146&gt;0,$OE146=0),$PB146=0),"Controle sem dano: uma rodada a mais e CD +2",""),IF(AND($OA146&gt;0,AND($MQ146&gt;0,$OE146=0),$PB146&gt;0,$PB146&lt;=$MQ146),"Controle com saldo até a Classe: uma rodada a mais",""),IF(AND($MQ146&gt;0,$OC146&lt;&gt;""),"Efeito de "&amp;$OC146&amp;" pela Classe "&amp;MAX(1,$MQ146-1),"")))</f>
        <v/>
      </c>
      <c r="PU146" s="155">
        <f>IF($PT146="",0,(LEN($PT146)-LEN(SUBSTITUTE($PT146," · ","")))/3+1)</f>
        <v/>
      </c>
      <c r="PV146" s="155">
        <f>IF($NB146=0,IF($OS146+COUNTIF($MZ146:$NA146,"?*")&gt;0,"Dê um nome",""),IF($PS146&gt;0,"⚠ "&amp;$PS146&amp;IF($PS146&gt;1," erros"," erro"),IF($PU146&gt;0,"! "&amp;$PU146&amp;IF($PU146&gt;1," avisos"," aviso"),"Na regra")))</f>
        <v/>
      </c>
      <c r="PW146" s="155">
        <f>IF($NB146=0,"",IF($PS146+$PU146=0,"Dentro das regras que a ficha confere",$PR146&amp;IF(AND($PS146&gt;0,$PU146&gt;0)," · ","")&amp;$PT146))</f>
        <v/>
      </c>
      <c r="PX146" s="155">
        <f>IF($MO146&gt;$NC146,$MP146&amp;" · ABRE NO NÍVEL "&amp;$MO146,$MP146)</f>
        <v/>
      </c>
      <c r="PY146" s="155">
        <f>IF($NB146=0,"",IF($MQ146=0,"Sem PE",3*$MQ146&amp;" PE"))</f>
        <v/>
      </c>
      <c r="PZ146" s="155">
        <f>IF($NB146=0,"",IF($MQ146=0,"A atuação básica dela",IF(COUNTIF($OI146:$OJ146,"Atrasar")&gt;0,"Sua Ação Completa",IF(COUNTIF($MV146:$MY146,"Rápido")&gt;0,"Sua Bônus",IF(COUNTIF($MV146:$MY146,"Reação")&gt;0,"Sua Reação","Sua Padrão")))&amp;" + a básica dela"&amp;IF(COUNTIF($MV146:$MY146,"Reação")&gt;0," e a coletiva","")&amp;IF(COUNTIF($OI146:$OJ146,"Carregar")&gt;0," · em dois turnos","")))</f>
        <v/>
      </c>
      <c r="QA146" s="155">
        <f>IF($MU146&lt;&gt;"",$MU146,IF($NH146=0,"",INDEX($AA$2:$AA$11,$NH146)))</f>
        <v/>
      </c>
      <c r="QB146" s="155">
        <f>IF(OR($NB146=0,$NH146=0),"",IF(COUNTIF($MV146:$MY146,"Inescapável")&gt;0,"Automático",IF($QA146="Ataque",IF($NF146="","Ataque","Ataque "&amp;IF(($NF146+2*IF(COUNTIF($MV146:$MY146,"Precisão")&gt;0,1,0))&gt;=0,"+","−")&amp;ABS(($NF146+2*IF(COUNTIF($MV146:$MY146,"Precisão")&gt;0,1,0))))&amp;IF($OB146&gt;0," · TR"&amp;IF($NG146="",""," CD "&amp;$NG146),""),IF(LEFT($QA146,2)="TR",$QA146&amp;IF($NG146="",""," · CD "&amp;$NG146)&amp;IF(COUNTIF($MV146:$MY146,"Certeiro")&gt;0," · metade",""),"Sem rolagem"))))</f>
        <v/>
      </c>
      <c r="QC146" s="155">
        <f>IF(OR($NB146=0,$NH146=0),"",IF($MQ146=0,IF(OR($OE146&gt;=1,$PB146=0),"Sem dano",$PB146&amp;"d6"&amp;IF($MT146="",""," "&amp;$MT146)),IF(OR($OE146&gt;=1,$PB146=0),UPPER(LEFT(INDEX($PK146:$PQ146,1,MAX(1,$MQ146)),1))&amp;MID(INDEX($PK146:$PQ146,1,MAX(1,$MQ146)),2,99),UPPER(LEFT(INDEX($PK146:$PQ146,1,MAX(1,$MQ146)),1))&amp;MID(INDEX($PK146:$PQ146,1,MAX(1,$MQ146)),2,99)&amp;IF($MT146="",""," "&amp;$MT146)&amp;IF($PC146&gt;0," · +"&amp;$PC146&amp;"d8",""))))</f>
        <v/>
      </c>
      <c r="QD146" s="155">
        <f>COUNTIF($MV146:$MY146,"Longe")+3*COUNTIF($MV146:$MY146,"Muito Longe")</f>
        <v/>
      </c>
      <c r="QE146" s="155">
        <f>COUNTIF($MV146:$MY146,"Maior")+3*COUNTIF($MV146:$MY146,"Muito Maior")</f>
        <v/>
      </c>
      <c r="QF146" s="155">
        <f>IF($NH146=0,0,CHOOSE(1+INDEX($AC$2:$AC$11,$NH146),0,$QD146,$QE146,$QD146+$QE146))</f>
        <v/>
      </c>
      <c r="QG146" s="155">
        <f>IF($NH146=0,0,CHOOSE(1+INDEX($AD$2:$AD$11,$NH146),0,$QD146,$QE146,$QD146+$QE146))</f>
        <v/>
      </c>
      <c r="QH146" s="155">
        <f>IF(OR($NB146=0,$NH146=0),"",INDEX($AI$2:$AN$41,($NH146-1)*4+IF($MQ146=0,1,IF($MQ146&lt;=5,2,IF($MQ146=6,3,4))),1+MIN(5,$QF146))&amp;INDEX($AO$2:$AT$41,($NH146-1)*4+IF($MQ146=0,1,IF($MQ146&lt;=5,2,IF($MQ146=6,3,4))),1+MIN(5,$QG146))&amp;IF(INDEX($AE$2:$AE$11,$NH146)=1,IF(COUNTIF($MV146:$MY146,"Mais Um")&gt;0," · +"&amp;COUNTIF($MV146:$MY146,"Mais Um")&amp;IF(COUNTIF($MV146:$MY146,"Mais Um")&gt;1," alvos"," alvo"),"")&amp;IF(COUNTIF($MV146:$MY146,"Rajada")&gt;0,IF($MQ146=0," · 1 tiro"," · "&amp;(MAX(1,$MQ146-1)+1)&amp;" tiros"),""),""))</f>
        <v/>
      </c>
      <c r="QI146" s="155">
        <f>IF($NB146=0,"",IF($MQ146=0,$NE146&amp;"d6"&amp;IF($OS146&gt;0," − 1 = "&amp;$PB146&amp;"d6"," da básica do nível "&amp;$NC146),$OZ146&amp;" − "&amp;$OU146&amp;" + "&amp;$OX146&amp;" = "&amp;$PA146&amp;" · teto "&amp;4*$MQ146&amp;"d8"&amp;IF($OD146=1," · a Forma devolve "&amp;$MQ146,"")&amp;IF($OY146&gt;0," · perde "&amp;$OY146,"")))</f>
        <v/>
      </c>
      <c r="QJ146" s="155">
        <f>IF($NB146=0,"",IF($MQ146=0,"A básica não amplia: os dados dela sobem com o nível",IF($MQ146&gt;=$ND146,"Já está na maior Classe que o nível liberou",TEXTJOIN(" · ",TRUE,IF(AND(2&gt;$MQ146,2&lt;=$ND146),"2 → "&amp;$PL146&amp;", 6 PE",""),IF(AND(3&gt;$MQ146,3&lt;=$ND146),"3 → "&amp;$PM146&amp;", 9 PE",""),IF(AND(4&gt;$MQ146,4&lt;=$ND146),"4 → "&amp;$PN146&amp;", 12 PE",""),IF(AND(5&gt;$MQ146,5&lt;=$ND146),"5 → "&amp;$PO146&amp;", 15 PE",""),IF(AND(6&gt;$MQ146,6&lt;=$ND146),"6 → "&amp;$PP146&amp;", 18 PE",""),IF(AND(7&gt;$MQ146,7&lt;=$ND146),"7 → "&amp;$PQ146&amp;", 21 PE","")))))</f>
        <v/>
      </c>
      <c r="QK146" s="155">
        <f>IF(OR($NB146=0,$NM146=0),"",IF($MQ146=0,"−1 dado","−"&amp;INDEX($I$2:$N$8,MAX(1,$MQ146),MAX(1,$NR146))&amp;" · "&amp;CHOOSE(MAX(1,$NR146),"Leve","Média","Pesada","Leve · Livre","Média · Livre","Pesada · Livre")))</f>
        <v/>
      </c>
      <c r="QL146" s="155">
        <f>IF(OR($NB146=0,$NN146=0),"",IF($MQ146=0,"−1 dado","−"&amp;INDEX($I$2:$N$8,MAX(1,$MQ146),MAX(1,$NS146))&amp;" · "&amp;CHOOSE(MAX(1,$NS146),"Leve","Média","Pesada","Leve · Livre","Média · Livre","Pesada · Livre")))</f>
        <v/>
      </c>
      <c r="QM146" s="155">
        <f>IF(OR($NB146=0,$NO146=0),"",IF($MQ146=0,"−1 dado","−"&amp;INDEX($I$2:$N$8,MAX(1,$MQ146),MAX(1,$NT146))&amp;" · "&amp;CHOOSE(MAX(1,$NT146),"Leve","Média","Pesada","Leve · Livre","Média · Livre","Pesada · Livre")))</f>
        <v/>
      </c>
      <c r="QN146" s="155">
        <f>IF(OR($NB146=0,$NP146=0),"",IF($MQ146=0,"−1 dado","−"&amp;INDEX($I$2:$N$8,MAX(1,$MQ146),MAX(1,$NU146))&amp;" · "&amp;CHOOSE(MAX(1,$NU146),"Leve","Média","Pesada","Leve · Livre","Média · Livre","Pesada · Livre")))</f>
        <v/>
      </c>
      <c r="QO146" s="155">
        <f>IF(OR($NB146=0,$MZ146=""),"",IF($MQ146=0,"não devolve","+"&amp;IF($OG146=1,CEILING($MQ146/2,1),$MQ146)))</f>
        <v/>
      </c>
      <c r="QP146" s="155">
        <f>IF(OR($NB146=0,$NA146=""),"",IF($MQ146=0,"não devolve","+"&amp;IF($OH146=1,CEILING($MQ146/2,1),$MQ146)))</f>
        <v/>
      </c>
    </row>
    <row r="147">
      <c r="ML147" s="153" t="inlineStr">
        <is>
          <t>Ficha 12 · Especial 2</t>
        </is>
      </c>
      <c r="MM147" s="155" t="n">
        <v>12</v>
      </c>
      <c r="MN147" s="155" t="n">
        <v>1</v>
      </c>
      <c r="MO147" s="155" t="n">
        <v>4</v>
      </c>
      <c r="MP147" s="153" t="inlineStr">
        <is>
          <t>ESPECIAL 2</t>
        </is>
      </c>
      <c r="MQ147" s="155">
        <f>MAX(1,MIN(7,N('INVOCAÇÕES'!$AN$1048)))</f>
        <v/>
      </c>
      <c r="MR147" s="155">
        <f>'INVOCAÇÕES'!$AO$1048&amp;""</f>
        <v/>
      </c>
      <c r="MS147" s="155">
        <f>'INVOCAÇÕES'!$AN$1053&amp;""</f>
        <v/>
      </c>
      <c r="MT147" s="155">
        <f>'INVOCAÇÕES'!$AN$1054&amp;""</f>
        <v/>
      </c>
      <c r="MU147" s="155">
        <f>'INVOCAÇÕES'!$AP$1054&amp;""</f>
        <v/>
      </c>
      <c r="MV147" s="155">
        <f>'INVOCAÇÕES'!$AO$1057&amp;""</f>
        <v/>
      </c>
      <c r="MW147" s="155">
        <f>'INVOCAÇÕES'!$AO$1058&amp;""</f>
        <v/>
      </c>
      <c r="MX147" s="155">
        <f>'INVOCAÇÕES'!$AO$1059&amp;""</f>
        <v/>
      </c>
      <c r="MY147" s="155">
        <f>'INVOCAÇÕES'!$AO$1060&amp;""</f>
        <v/>
      </c>
      <c r="MZ147" s="155">
        <f>'INVOCAÇÕES'!$AO$1061&amp;""</f>
        <v/>
      </c>
      <c r="NA147" s="155">
        <f>'INVOCAÇÕES'!$AO$1062&amp;""</f>
        <v/>
      </c>
      <c r="NB147" s="155">
        <f>IF($MR147&lt;&gt;"",1,0)</f>
        <v/>
      </c>
      <c r="NC147" s="155">
        <f>INDEX($FM$2:$FM$13,$MM147)</f>
        <v/>
      </c>
      <c r="ND147" s="155">
        <f>INDEX($FN$2:$FN$13,$MM147)</f>
        <v/>
      </c>
      <c r="NE147" s="155">
        <f>INDEX($FO$2:$FO$13,$MM147)</f>
        <v/>
      </c>
      <c r="NF147" s="155">
        <f>INDEX($FZ$2:$FZ$13,$MM147)</f>
        <v/>
      </c>
      <c r="NG147" s="155">
        <f>INDEX($GA$2:$GA$13,$MM147)</f>
        <v/>
      </c>
      <c r="NH147" s="155">
        <f>IFERROR(MATCH($MS147,$V$2:$V$11,0),0)</f>
        <v/>
      </c>
      <c r="NI147" s="155">
        <f>IFERROR(VLOOKUP($MV147,$AV$2:$BA$84,2,FALSE),"")</f>
        <v/>
      </c>
      <c r="NJ147" s="155">
        <f>IFERROR(VLOOKUP($MW147,$AV$2:$BA$84,2,FALSE),"")</f>
        <v/>
      </c>
      <c r="NK147" s="155">
        <f>IFERROR(VLOOKUP($MX147,$AV$2:$BA$84,2,FALSE),"")</f>
        <v/>
      </c>
      <c r="NL147" s="155">
        <f>IFERROR(VLOOKUP($MY147,$AV$2:$BA$84,2,FALSE),"")</f>
        <v/>
      </c>
      <c r="NM147" s="155">
        <f>IFERROR(VLOOKUP($MV147,$AV$2:$BA$84,3,FALSE),0)</f>
        <v/>
      </c>
      <c r="NN147" s="155">
        <f>IFERROR(VLOOKUP($MW147,$AV$2:$BA$84,3,FALSE),0)</f>
        <v/>
      </c>
      <c r="NO147" s="155">
        <f>IFERROR(VLOOKUP($MX147,$AV$2:$BA$84,3,FALSE),0)</f>
        <v/>
      </c>
      <c r="NP147" s="155">
        <f>IFERROR(VLOOKUP($MY147,$AV$2:$BA$84,3,FALSE),0)</f>
        <v/>
      </c>
      <c r="NQ147" s="155">
        <f>IF($MQ147=0,0,IF($NH147=0,0,INDEX($X$2:$X$11,$NH147)))</f>
        <v/>
      </c>
      <c r="NR147" s="155">
        <f>IF(OR($NM147=0,$MQ147=0),0,$NM147+3*IF(AND($NI147&lt;&gt;"",OR($NI147=INDEX($EJ$2:$EJ$13,$MM147),$NI147=INDEX($EK$2:$EK$13,$MM147))),1,0))</f>
        <v/>
      </c>
      <c r="NS147" s="155">
        <f>IF(OR($NN147=0,$MQ147=0),0,$NN147+3*IF(AND($NJ147&lt;&gt;"",OR($NJ147=INDEX($EJ$2:$EJ$13,$MM147),$NJ147=INDEX($EK$2:$EK$13,$MM147))),1,0))</f>
        <v/>
      </c>
      <c r="NT147" s="155">
        <f>IF(OR($NO147=0,$MQ147=0),0,$NO147+3*IF(AND($NK147&lt;&gt;"",OR($NK147=INDEX($EJ$2:$EJ$13,$MM147),$NK147=INDEX($EK$2:$EK$13,$MM147))),1,0))</f>
        <v/>
      </c>
      <c r="NU147" s="155">
        <f>IF(OR($NP147=0,$MQ147=0),0,$NP147+3*IF(AND($NL147&lt;&gt;"",OR($NL147=INDEX($EJ$2:$EJ$13,$MM147),$NL147=INDEX($EK$2:$EK$13,$MM147))),1,0))</f>
        <v/>
      </c>
      <c r="NV147" s="155">
        <f>IF($NH147=0,0,IF(INDEX($W$2:$W$11,$NH147)="",0,IF(COUNTIF(INDEX($EJ$2:$EN$13,$MM147,0),INDEX($W$2:$W$11,$NH147))=0,1,0)))</f>
        <v/>
      </c>
      <c r="NW147" s="155">
        <f>IF(OR($NM147=0,$NI147=""),0,IF(COUNTIF(INDEX($EJ$2:$EN$13,$MM147,0),$NI147)=0,1,0))</f>
        <v/>
      </c>
      <c r="NX147" s="155">
        <f>IF(OR($NN147=0,$NJ147=""),0,IF(COUNTIF(INDEX($EJ$2:$EN$13,$MM147,0),$NJ147)=0,1,0))</f>
        <v/>
      </c>
      <c r="NY147" s="155">
        <f>IF(OR($NO147=0,$NK147=""),0,IF(COUNTIF(INDEX($EJ$2:$EN$13,$MM147,0),$NK147)=0,1,0))</f>
        <v/>
      </c>
      <c r="NZ147" s="155">
        <f>IF(OR($NP147=0,$NL147=""),0,IF(COUNTIF(INDEX($EJ$2:$EN$13,$MM147,0),$NL147)=0,1,0))</f>
        <v/>
      </c>
      <c r="OA147" s="155">
        <f>IFERROR(VLOOKUP($MV147,$AV$2:$BA$84,4,FALSE),0)+IFERROR(VLOOKUP($MW147,$AV$2:$BA$84,4,FALSE),0)+IFERROR(VLOOKUP($MX147,$AV$2:$BA$84,4,FALSE),0)+IFERROR(VLOOKUP($MY147,$AV$2:$BA$84,4,FALSE),0)</f>
        <v/>
      </c>
      <c r="OB147" s="155">
        <f>IFERROR(VLOOKUP($MV147,$AV$2:$BA$84,6,FALSE),0)+IFERROR(VLOOKUP($MW147,$AV$2:$BA$84,6,FALSE),0)+IFERROR(VLOOKUP($MX147,$AV$2:$BA$84,6,FALSE),0)+IFERROR(VLOOKUP($MY147,$AV$2:$BA$84,6,FALSE),0)</f>
        <v/>
      </c>
      <c r="OC147" s="155">
        <f>TEXTJOIN(", ",TRUE,IF(IFERROR(VLOOKUP($MV147,$AV$2:$BA$84,5,FALSE),0)=1,$MV147,""),IF(IFERROR(VLOOKUP($MW147,$AV$2:$BA$84,5,FALSE),0)=1,$MW147,""),IF(IFERROR(VLOOKUP($MX147,$AV$2:$BA$84,5,FALSE),0)=1,$MX147,""),IF(IFERROR(VLOOKUP($MY147,$AV$2:$BA$84,5,FALSE),0)=1,$MY147,""))</f>
        <v/>
      </c>
      <c r="OD147" s="155">
        <f>IF($NH147=0,0,INDEX($Y$2:$Y$11,$NH147))</f>
        <v/>
      </c>
      <c r="OE147" s="155">
        <f>IF($NH147=0,0,INDEX($Z$2:$Z$11,$NH147))</f>
        <v/>
      </c>
      <c r="OF147" s="155">
        <f>IF($NH147=0,0,INDEX($AB$2:$AB$11,$NH147))</f>
        <v/>
      </c>
      <c r="OG147" s="155">
        <f>IFERROR(VLOOKUP($MZ147,$BC$2:$BG$24,3,FALSE),0)</f>
        <v/>
      </c>
      <c r="OH147" s="155">
        <f>IFERROR(VLOOKUP($NA147,$BC$2:$BG$24,3,FALSE),0)</f>
        <v/>
      </c>
      <c r="OI147" s="155">
        <f>IFERROR(VLOOKUP($MZ147,$BC$2:$BG$24,2,FALSE),"")</f>
        <v/>
      </c>
      <c r="OJ147" s="155">
        <f>IFERROR(VLOOKUP($NA147,$BC$2:$BG$24,2,FALSE),"")</f>
        <v/>
      </c>
      <c r="OK147" s="155">
        <f>COUNTIF($NQ147:$NU147,1)</f>
        <v/>
      </c>
      <c r="OL147" s="155">
        <f>COUNTIF($NQ147:$NU147,2)</f>
        <v/>
      </c>
      <c r="OM147" s="155">
        <f>COUNTIF($NQ147:$NU147,3)</f>
        <v/>
      </c>
      <c r="ON147" s="155">
        <f>COUNTIF($NQ147:$NU147,4)</f>
        <v/>
      </c>
      <c r="OO147" s="155">
        <f>COUNTIF($NQ147:$NU147,5)</f>
        <v/>
      </c>
      <c r="OP147" s="155">
        <f>COUNTIF($NQ147:$NU147,6)</f>
        <v/>
      </c>
      <c r="OQ147" s="155">
        <f>COUNTIF($OG147:$OH147,1)</f>
        <v/>
      </c>
      <c r="OR147" s="155">
        <f>COUNTIF($OG147:$OH147,2)+$OD147</f>
        <v/>
      </c>
      <c r="OS147" s="155">
        <f>COUNTIF($MV147:$MY147,"?*")</f>
        <v/>
      </c>
      <c r="OT147" s="155">
        <f>COUNTIF($MZ147:$NA147,"?*")+$OD147</f>
        <v/>
      </c>
      <c r="OU147" s="155">
        <f>IF($MQ147=0,0,SUMPRODUCT($OK147:$OP147,INDEX($I$2:$N$8,MAX(1,$MQ147),0)))</f>
        <v/>
      </c>
      <c r="OV147" s="155">
        <f>IF($MQ147=0,0,$OQ147*CEILING($MQ147/2,1)+$OR147*$MQ147)</f>
        <v/>
      </c>
      <c r="OW147" s="155">
        <f>MIN(2*$MQ147,$OV147)</f>
        <v/>
      </c>
      <c r="OX147" s="155">
        <f>MIN($OW147,$OU147)</f>
        <v/>
      </c>
      <c r="OY147" s="155">
        <f>$OW147-$OX147</f>
        <v/>
      </c>
      <c r="OZ147" s="155">
        <f>IF($MQ147=0,0,INDEX($P$2:$P$8,MAX(1,$MQ147)))</f>
        <v/>
      </c>
      <c r="PA147" s="155">
        <f>$OZ147-$OU147+$OX147</f>
        <v/>
      </c>
      <c r="PB147" s="155">
        <f>IF($MQ147=0,MAX(0,$NE147-IF($OS147&gt;0,1,0)),MAX(0,$PA147))</f>
        <v/>
      </c>
      <c r="PC147" s="155">
        <f>IF($MQ147=0,0,(IF(COUNTIF($MV147:$MY147,"Salto")&gt;0,1,0)+IF(COUNTIF($MV147:$MY147,"Queima")&gt;0,1,0)+IF(COUNTIF($MV147:$MY147,"Estilhaço")&gt;0,1,0))*FLOOR($PB147/2,1))</f>
        <v/>
      </c>
      <c r="PD147" s="155">
        <f>MAX(0,2-SUMPRODUCT($OK147:$OP147,$I$2:$N$2)+MIN(2,$OQ147*1+$OR147*1,SUMPRODUCT($OK147:$OP147,$I$2:$N$2)))</f>
        <v/>
      </c>
      <c r="PE147" s="155">
        <f>MAX(0,4-SUMPRODUCT($OK147:$OP147,$I$3:$N$3)+MIN(4,$OQ147*1+$OR147*2,SUMPRODUCT($OK147:$OP147,$I$3:$N$3)))</f>
        <v/>
      </c>
      <c r="PF147" s="155">
        <f>MAX(0,6-SUMPRODUCT($OK147:$OP147,$I$4:$N$4)+MIN(6,$OQ147*2+$OR147*3,SUMPRODUCT($OK147:$OP147,$I$4:$N$4)))</f>
        <v/>
      </c>
      <c r="PG147" s="155">
        <f>MAX(0,9-SUMPRODUCT($OK147:$OP147,$I$5:$N$5)+MIN(8,$OQ147*2+$OR147*4,SUMPRODUCT($OK147:$OP147,$I$5:$N$5)))</f>
        <v/>
      </c>
      <c r="PH147" s="155">
        <f>MAX(0,11-SUMPRODUCT($OK147:$OP147,$I$6:$N$6)+MIN(10,$OQ147*3+$OR147*5,SUMPRODUCT($OK147:$OP147,$I$6:$N$6)))</f>
        <v/>
      </c>
      <c r="PI147" s="155">
        <f>MAX(0,13-SUMPRODUCT($OK147:$OP147,$I$7:$N$7)+MIN(12,$OQ147*3+$OR147*6,SUMPRODUCT($OK147:$OP147,$I$7:$N$7)))</f>
        <v/>
      </c>
      <c r="PJ147" s="155">
        <f>MAX(0,16-SUMPRODUCT($OK147:$OP147,$I$8:$N$8)+MIN(14,$OQ147*4+$OR147*7,SUMPRODUCT($OK147:$OP147,$I$8:$N$8)))</f>
        <v/>
      </c>
      <c r="PK147" s="155">
        <f>IF($OE147=2,3*$PD147&amp;" de vida temp.",IF($OE147=3,"sem dano",IF($PD147=0,IF($OE147=1,"sem cura","sem dano"),IF($OE147=1,"cura ","")&amp;$PD147&amp;"d8")))</f>
        <v/>
      </c>
      <c r="PL147" s="155">
        <f>IF($OE147=2,3*$PE147&amp;" de vida temp.",IF($OE147=3,"sem dano",IF($PE147=0,IF($OE147=1,"sem cura","sem dano"),IF($OE147=1,"cura ","")&amp;$PE147&amp;"d8")))</f>
        <v/>
      </c>
      <c r="PM147" s="155">
        <f>IF($OE147=2,3*$PF147&amp;" de vida temp.",IF($OE147=3,"sem dano",IF($PF147=0,IF($OE147=1,"sem cura","sem dano"),IF($OE147=1,"cura ","")&amp;$PF147&amp;"d8")))</f>
        <v/>
      </c>
      <c r="PN147" s="155">
        <f>IF($OE147=2,3*$PG147&amp;" de vida temp.",IF($OE147=3,"sem dano",IF($PG147=0,IF($OE147=1,"sem cura","sem dano"),IF($OE147=1,"cura ","")&amp;$PG147&amp;"d8")))</f>
        <v/>
      </c>
      <c r="PO147" s="155">
        <f>IF($OE147=2,3*$PH147&amp;" de vida temp.",IF($OE147=3,"sem dano",IF($PH147=0,IF($OE147=1,"sem cura","sem dano"),IF($OE147=1,"cura ","")&amp;$PH147&amp;"d8")))</f>
        <v/>
      </c>
      <c r="PP147" s="155">
        <f>IF($OE147=2,3*$PI147&amp;" de vida temp.",IF($OE147=3,"sem dano",IF($PI147=0,IF($OE147=1,"sem cura","sem dano"),IF($OE147=1,"cura ","")&amp;$PI147&amp;"d8")))</f>
        <v/>
      </c>
      <c r="PQ147" s="155">
        <f>IF($OE147=2,3*$PJ147&amp;" de vida temp.",IF($OE147=3,"sem dano",IF($PJ147=0,IF($OE147=1,"sem cura","sem dano"),IF($OE147=1,"cura ","")&amp;$PJ147&amp;"d8")))</f>
        <v/>
      </c>
      <c r="PR147" s="155">
        <f>IF($NB147=0,"",TEXTJOIN(" · ",TRUE,IF($MO147&gt;$NC147,"Este lugar abre no nível "&amp;$MO147,""),IF($MQ147&gt;$ND147,"Classe "&amp;$MQ147&amp;": o nível "&amp;$NC147&amp;" libera até a "&amp;$ND147,""),IF($NV147=1,"A Forma "&amp;$MS147&amp;" pede "&amp;INDEX($W$2:$W$11,$NH147)&amp;" aberta",""),IF(AND($MQ147=0,$NH147&gt;0,IF($NH147=0,0,INDEX($AF$2:$AF$11,$NH147))=0),$MS147&amp;" não existe na Classe 0",""),IF($NW147=1,"Família Fechada: "&amp;$MV147,""),IF($NX147=1,"Família Fechada: "&amp;$MW147,""),IF($NY147=1,"Família Fechada: "&amp;$MX147,""),IF($NZ147=1,"Família Fechada: "&amp;$MY147,""),IF(AND($MQ147&gt;0,$OS147&gt;INDEX($O$2:$O$8,MAX(1,$MQ147))),$OS147&amp;" Melhorias: a Classe "&amp;$MQ147&amp;" aceita "&amp;INDEX($O$2:$O$8,MAX(1,$MQ147)),""),IF(AND($MQ147=0,$OS147&gt;1),"A básica aceita uma Melhoria",""),IF(AND($MQ147=0,COUNTIF($NM147:$NP147,"&gt;1")&gt;0),"A básica só aceita Melhoria Leve",""),IF(AND($MQ147&gt;0,$OT147&gt;2),$OT147&amp;" Restrições"&amp;IF($OD147=1,", contando a que a Forma "&amp;$MS147&amp;" já traz","")&amp;": o limite é 2",""),IF(AND($MQ147=0,COUNTIF($MZ147:$NA147,"?*")&gt;1),"A básica aceita uma Restrição Leve",""),IF(AND($MQ147=0,COUNTIF($OG147:$OH147,2)&gt;0),"A básica só aceita Restrição Leve",""),IF(AND($MQ147&gt;0,$PA147&lt;0),"Orçamento estourado: faltam "&amp;(-$PA147)&amp;IF($PA147&lt;-1," pontos"," ponto"),""),IF(IFERROR(VLOOKUP($MZ147,$BC$2:$BG$24,4,FALSE),0)+IFERROR(VLOOKUP($NA147,$BC$2:$BG$24,4,FALSE),0)&gt;1,$OI147&amp;" e "&amp;$OJ147&amp;" são as duas de frequência",""),IF(AND((COUNTIF($MV147:$MY147,"Rápido")+COUNTIF($OI147:$OJ147,"Rápido"))&gt;0,(COUNTIF($MV147:$MY147,"Atrasar")+COUNTIF($OI147:$OJ147,"Atrasar"))&gt;0),"Rápido não entra com Atrasar",""),IF(AND((COUNTIF($MV147:$MY147,"Reação")+COUNTIF($OI147:$OJ147,"Reação"))&gt;0,(COUNTIF($MV147:$MY147,"Rápido")+COUNTIF($OI147:$OJ147,"Rápido"))&gt;0),"Reação não entra com Rápido",""),IF(AND((COUNTIF($MV147:$MY147,"Reação")+COUNTIF($OI147:$OJ147,"Reação"))&gt;0,(COUNTIF($MV147:$MY147,"Armado")+COUNTIF($OI147:$OJ147,"Armado"))&gt;0),"Reação não entra com Armado",""),IF(AND((COUNTIF($MV147:$MY147,"Reação")+COUNTIF($OI147:$OJ147,"Reação"))&gt;0,(COUNTIF($MV147:$MY147,"Atrasar")+COUNTIF($OI147:$OJ147,"Atrasar"))&gt;0),"Reação não entra com Atrasar",""),IF(AND((COUNTIF($MV147:$MY147,"Reação")+COUNTIF($OI147:$OJ147,"Reação"))&gt;0,(COUNTIF($MV147:$MY147,"Parado")+COUNTIF($OI147:$OJ147,"Parado"))&gt;0),"Reação não entra com Parado",""),IF(AND((COUNTIF($MV147:$MY147,"Atrasar")+COUNTIF($OI147:$OJ147,"Atrasar"))&gt;0,(COUNTIF($MV147:$MY147,"Parado")+COUNTIF($OI147:$OJ147,"Parado"))&gt;0),"Atrasar não entra com Parado",""),IF(AND((COUNTIF($MV147:$MY147,"Armado")+COUNTIF($OI147:$OJ147,"Armado"))&gt;0,(COUNTIF($MV147:$MY147,"Carregar")+COUNTIF($OI147:$OJ147,"Carregar"))&gt;0),"Armado não entra com Carregar",""),IF(AND(COUNTIF($OI147:$OJ147,"Corpo a Corpo")&gt;0,$OD147=0,OR($MS147="Cone",$MS147="Linha")),"Corpo a Corpo não entra em "&amp;$MS147,""),IF(AND(COUNTIF($OI147:$OJ147,"Corpo a Corpo")&gt;0,$OD147=1),"A Forma "&amp;$MS147&amp;" já traz o Corpo a Corpo",""),IF(AND(COUNTIF($OI147:$OJ147,"Tudo ou Nada")&gt;0,$OF147=0),"Tudo ou Nada só entra em habilidade de Teste de Resistência",""),IF(AND(COUNTIF($MV147:$MY147,"Inescapável")&gt;0,OR($OS147&gt;1,$OT147&gt;0)),"Inescapável não aceita outra peça",""),IF(AND($MQ147&gt;0,$PB147*IF(COUNTIF($MV147:$MY147,"Remate")&gt;0,1.25,1)+$PC147&gt;4*$MQ147),($PB147*IF(COUNTIF($MV147:$MY147,"Remate")&gt;0,1.25,1)+$PC147)&amp;" dados somando repetições"&amp;IF(COUNTIF($MV147:$MY147,"Remate")&gt;0," e o Remate","")&amp;": o teto da Classe "&amp;$MQ147&amp;" é "&amp;4*$MQ147,"")))</f>
        <v/>
      </c>
      <c r="PS147" s="155">
        <f>IF($PR147="",0,(LEN($PR147)-LEN(SUBSTITUTE($PR147," · ","")))/3+1)</f>
        <v/>
      </c>
      <c r="PT147" s="155">
        <f>IF($NB147=0,"",TEXTJOIN(" · ",TRUE,IF($OV147&gt;2*$MQ147,"A devolução parou no teto de "&amp;2*$MQ147,""),IF($OY147&gt;0,"Devolução perdida: "&amp;$OY147&amp;IF($OY147&gt;1," pontos"," ponto")&amp;" sem peça para pagar",""),IF(AND($OA147&gt;0,AND($MQ147&gt;0,$OE147=0),$PB147=0),"Controle sem dano: uma rodada a mais e CD +2",""),IF(AND($OA147&gt;0,AND($MQ147&gt;0,$OE147=0),$PB147&gt;0,$PB147&lt;=$MQ147),"Controle com saldo até a Classe: uma rodada a mais",""),IF(AND($MQ147&gt;0,$OC147&lt;&gt;""),"Efeito de "&amp;$OC147&amp;" pela Classe "&amp;MAX(1,$MQ147-1),"")))</f>
        <v/>
      </c>
      <c r="PU147" s="155">
        <f>IF($PT147="",0,(LEN($PT147)-LEN(SUBSTITUTE($PT147," · ","")))/3+1)</f>
        <v/>
      </c>
      <c r="PV147" s="155">
        <f>IF($NB147=0,IF($OS147+COUNTIF($MZ147:$NA147,"?*")&gt;0,"Dê um nome",""),IF($PS147&gt;0,"⚠ "&amp;$PS147&amp;IF($PS147&gt;1," erros"," erro"),IF($PU147&gt;0,"! "&amp;$PU147&amp;IF($PU147&gt;1," avisos"," aviso"),"Na regra")))</f>
        <v/>
      </c>
      <c r="PW147" s="155">
        <f>IF($NB147=0,"",IF($PS147+$PU147=0,"Dentro das regras que a ficha confere",$PR147&amp;IF(AND($PS147&gt;0,$PU147&gt;0)," · ","")&amp;$PT147))</f>
        <v/>
      </c>
      <c r="PX147" s="155">
        <f>IF($MO147&gt;$NC147,$MP147&amp;" · ABRE NO NÍVEL "&amp;$MO147,$MP147)</f>
        <v/>
      </c>
      <c r="PY147" s="155">
        <f>IF($NB147=0,"",IF($MQ147=0,"Sem PE",3*$MQ147&amp;" PE"))</f>
        <v/>
      </c>
      <c r="PZ147" s="155">
        <f>IF($NB147=0,"",IF($MQ147=0,"A atuação básica dela",IF(COUNTIF($OI147:$OJ147,"Atrasar")&gt;0,"Sua Ação Completa",IF(COUNTIF($MV147:$MY147,"Rápido")&gt;0,"Sua Bônus",IF(COUNTIF($MV147:$MY147,"Reação")&gt;0,"Sua Reação","Sua Padrão")))&amp;" + a básica dela"&amp;IF(COUNTIF($MV147:$MY147,"Reação")&gt;0," e a coletiva","")&amp;IF(COUNTIF($OI147:$OJ147,"Carregar")&gt;0," · em dois turnos","")))</f>
        <v/>
      </c>
      <c r="QA147" s="155">
        <f>IF($MU147&lt;&gt;"",$MU147,IF($NH147=0,"",INDEX($AA$2:$AA$11,$NH147)))</f>
        <v/>
      </c>
      <c r="QB147" s="155">
        <f>IF(OR($NB147=0,$NH147=0),"",IF(COUNTIF($MV147:$MY147,"Inescapável")&gt;0,"Automático",IF($QA147="Ataque",IF($NF147="","Ataque","Ataque "&amp;IF(($NF147+2*IF(COUNTIF($MV147:$MY147,"Precisão")&gt;0,1,0))&gt;=0,"+","−")&amp;ABS(($NF147+2*IF(COUNTIF($MV147:$MY147,"Precisão")&gt;0,1,0))))&amp;IF($OB147&gt;0," · TR"&amp;IF($NG147="",""," CD "&amp;$NG147),""),IF(LEFT($QA147,2)="TR",$QA147&amp;IF($NG147="",""," · CD "&amp;$NG147)&amp;IF(COUNTIF($MV147:$MY147,"Certeiro")&gt;0," · metade",""),"Sem rolagem"))))</f>
        <v/>
      </c>
      <c r="QC147" s="155">
        <f>IF(OR($NB147=0,$NH147=0),"",IF($MQ147=0,IF(OR($OE147&gt;=1,$PB147=0),"Sem dano",$PB147&amp;"d6"&amp;IF($MT147="",""," "&amp;$MT147)),IF(OR($OE147&gt;=1,$PB147=0),UPPER(LEFT(INDEX($PK147:$PQ147,1,MAX(1,$MQ147)),1))&amp;MID(INDEX($PK147:$PQ147,1,MAX(1,$MQ147)),2,99),UPPER(LEFT(INDEX($PK147:$PQ147,1,MAX(1,$MQ147)),1))&amp;MID(INDEX($PK147:$PQ147,1,MAX(1,$MQ147)),2,99)&amp;IF($MT147="",""," "&amp;$MT147)&amp;IF($PC147&gt;0," · +"&amp;$PC147&amp;"d8",""))))</f>
        <v/>
      </c>
      <c r="QD147" s="155">
        <f>COUNTIF($MV147:$MY147,"Longe")+3*COUNTIF($MV147:$MY147,"Muito Longe")</f>
        <v/>
      </c>
      <c r="QE147" s="155">
        <f>COUNTIF($MV147:$MY147,"Maior")+3*COUNTIF($MV147:$MY147,"Muito Maior")</f>
        <v/>
      </c>
      <c r="QF147" s="155">
        <f>IF($NH147=0,0,CHOOSE(1+INDEX($AC$2:$AC$11,$NH147),0,$QD147,$QE147,$QD147+$QE147))</f>
        <v/>
      </c>
      <c r="QG147" s="155">
        <f>IF($NH147=0,0,CHOOSE(1+INDEX($AD$2:$AD$11,$NH147),0,$QD147,$QE147,$QD147+$QE147))</f>
        <v/>
      </c>
      <c r="QH147" s="155">
        <f>IF(OR($NB147=0,$NH147=0),"",INDEX($AI$2:$AN$41,($NH147-1)*4+IF($MQ147=0,1,IF($MQ147&lt;=5,2,IF($MQ147=6,3,4))),1+MIN(5,$QF147))&amp;INDEX($AO$2:$AT$41,($NH147-1)*4+IF($MQ147=0,1,IF($MQ147&lt;=5,2,IF($MQ147=6,3,4))),1+MIN(5,$QG147))&amp;IF(INDEX($AE$2:$AE$11,$NH147)=1,IF(COUNTIF($MV147:$MY147,"Mais Um")&gt;0," · +"&amp;COUNTIF($MV147:$MY147,"Mais Um")&amp;IF(COUNTIF($MV147:$MY147,"Mais Um")&gt;1," alvos"," alvo"),"")&amp;IF(COUNTIF($MV147:$MY147,"Rajada")&gt;0,IF($MQ147=0," · 1 tiro"," · "&amp;(MAX(1,$MQ147-1)+1)&amp;" tiros"),""),""))</f>
        <v/>
      </c>
      <c r="QI147" s="155">
        <f>IF($NB147=0,"",IF($MQ147=0,$NE147&amp;"d6"&amp;IF($OS147&gt;0," − 1 = "&amp;$PB147&amp;"d6"," da básica do nível "&amp;$NC147),$OZ147&amp;" − "&amp;$OU147&amp;" + "&amp;$OX147&amp;" = "&amp;$PA147&amp;" · teto "&amp;4*$MQ147&amp;"d8"&amp;IF($OD147=1," · a Forma devolve "&amp;$MQ147,"")&amp;IF($OY147&gt;0," · perde "&amp;$OY147,"")))</f>
        <v/>
      </c>
      <c r="QJ147" s="155">
        <f>IF($NB147=0,"",IF($MQ147=0,"A básica não amplia: os dados dela sobem com o nível",IF($MQ147&gt;=$ND147,"Já está na maior Classe que o nível liberou",TEXTJOIN(" · ",TRUE,IF(AND(2&gt;$MQ147,2&lt;=$ND147),"2 → "&amp;$PL147&amp;", 6 PE",""),IF(AND(3&gt;$MQ147,3&lt;=$ND147),"3 → "&amp;$PM147&amp;", 9 PE",""),IF(AND(4&gt;$MQ147,4&lt;=$ND147),"4 → "&amp;$PN147&amp;", 12 PE",""),IF(AND(5&gt;$MQ147,5&lt;=$ND147),"5 → "&amp;$PO147&amp;", 15 PE",""),IF(AND(6&gt;$MQ147,6&lt;=$ND147),"6 → "&amp;$PP147&amp;", 18 PE",""),IF(AND(7&gt;$MQ147,7&lt;=$ND147),"7 → "&amp;$PQ147&amp;", 21 PE","")))))</f>
        <v/>
      </c>
      <c r="QK147" s="155">
        <f>IF(OR($NB147=0,$NM147=0),"",IF($MQ147=0,"−1 dado","−"&amp;INDEX($I$2:$N$8,MAX(1,$MQ147),MAX(1,$NR147))&amp;" · "&amp;CHOOSE(MAX(1,$NR147),"Leve","Média","Pesada","Leve · Livre","Média · Livre","Pesada · Livre")))</f>
        <v/>
      </c>
      <c r="QL147" s="155">
        <f>IF(OR($NB147=0,$NN147=0),"",IF($MQ147=0,"−1 dado","−"&amp;INDEX($I$2:$N$8,MAX(1,$MQ147),MAX(1,$NS147))&amp;" · "&amp;CHOOSE(MAX(1,$NS147),"Leve","Média","Pesada","Leve · Livre","Média · Livre","Pesada · Livre")))</f>
        <v/>
      </c>
      <c r="QM147" s="155">
        <f>IF(OR($NB147=0,$NO147=0),"",IF($MQ147=0,"−1 dado","−"&amp;INDEX($I$2:$N$8,MAX(1,$MQ147),MAX(1,$NT147))&amp;" · "&amp;CHOOSE(MAX(1,$NT147),"Leve","Média","Pesada","Leve · Livre","Média · Livre","Pesada · Livre")))</f>
        <v/>
      </c>
      <c r="QN147" s="155">
        <f>IF(OR($NB147=0,$NP147=0),"",IF($MQ147=0,"−1 dado","−"&amp;INDEX($I$2:$N$8,MAX(1,$MQ147),MAX(1,$NU147))&amp;" · "&amp;CHOOSE(MAX(1,$NU147),"Leve","Média","Pesada","Leve · Livre","Média · Livre","Pesada · Livre")))</f>
        <v/>
      </c>
      <c r="QO147" s="155">
        <f>IF(OR($NB147=0,$MZ147=""),"",IF($MQ147=0,"não devolve","+"&amp;IF($OG147=1,CEILING($MQ147/2,1),$MQ147)))</f>
        <v/>
      </c>
      <c r="QP147" s="155">
        <f>IF(OR($NB147=0,$NA147=""),"",IF($MQ147=0,"não devolve","+"&amp;IF($OH147=1,CEILING($MQ147/2,1),$MQ147)))</f>
        <v/>
      </c>
    </row>
    <row r="148">
      <c r="ML148" s="153" t="inlineStr">
        <is>
          <t>Ficha 12 · Básica 2</t>
        </is>
      </c>
      <c r="MM148" s="155" t="n">
        <v>12</v>
      </c>
      <c r="MN148" s="155" t="n">
        <v>0</v>
      </c>
      <c r="MO148" s="155" t="n">
        <v>11</v>
      </c>
      <c r="MP148" s="153" t="inlineStr">
        <is>
          <t>BÁSICA 2</t>
        </is>
      </c>
      <c r="MQ148" s="155" t="n">
        <v>0</v>
      </c>
      <c r="MR148" s="155">
        <f>'INVOCAÇÕES'!$AC$1082&amp;""</f>
        <v/>
      </c>
      <c r="MS148" s="155">
        <f>'INVOCAÇÕES'!$AB$1087&amp;""</f>
        <v/>
      </c>
      <c r="MT148" s="155">
        <f>'INVOCAÇÕES'!$AB$1088&amp;""</f>
        <v/>
      </c>
      <c r="MU148" s="155">
        <f>'INVOCAÇÕES'!$AD$1088&amp;""</f>
        <v/>
      </c>
      <c r="MV148" s="155">
        <f>'INVOCAÇÕES'!$AC$1091&amp;""</f>
        <v/>
      </c>
      <c r="MW148" s="155">
        <f>'INVOCAÇÕES'!$AC$1092&amp;""</f>
        <v/>
      </c>
      <c r="MX148" s="155">
        <f>'INVOCAÇÕES'!$AC$1093&amp;""</f>
        <v/>
      </c>
      <c r="MY148" s="155">
        <f>'INVOCAÇÕES'!$AC$1094&amp;""</f>
        <v/>
      </c>
      <c r="MZ148" s="155">
        <f>'INVOCAÇÕES'!$AC$1095&amp;""</f>
        <v/>
      </c>
      <c r="NA148" s="155">
        <f>'INVOCAÇÕES'!$AC$1096&amp;""</f>
        <v/>
      </c>
      <c r="NB148" s="155">
        <f>IF($MR148&lt;&gt;"",1,0)</f>
        <v/>
      </c>
      <c r="NC148" s="155">
        <f>INDEX($FM$2:$FM$13,$MM148)</f>
        <v/>
      </c>
      <c r="ND148" s="155">
        <f>INDEX($FN$2:$FN$13,$MM148)</f>
        <v/>
      </c>
      <c r="NE148" s="155">
        <f>INDEX($FO$2:$FO$13,$MM148)</f>
        <v/>
      </c>
      <c r="NF148" s="155">
        <f>INDEX($FZ$2:$FZ$13,$MM148)</f>
        <v/>
      </c>
      <c r="NG148" s="155">
        <f>INDEX($GA$2:$GA$13,$MM148)</f>
        <v/>
      </c>
      <c r="NH148" s="155">
        <f>IFERROR(MATCH($MS148,$V$2:$V$11,0),0)</f>
        <v/>
      </c>
      <c r="NI148" s="155">
        <f>IFERROR(VLOOKUP($MV148,$AV$2:$BA$84,2,FALSE),"")</f>
        <v/>
      </c>
      <c r="NJ148" s="155">
        <f>IFERROR(VLOOKUP($MW148,$AV$2:$BA$84,2,FALSE),"")</f>
        <v/>
      </c>
      <c r="NK148" s="155">
        <f>IFERROR(VLOOKUP($MX148,$AV$2:$BA$84,2,FALSE),"")</f>
        <v/>
      </c>
      <c r="NL148" s="155">
        <f>IFERROR(VLOOKUP($MY148,$AV$2:$BA$84,2,FALSE),"")</f>
        <v/>
      </c>
      <c r="NM148" s="155">
        <f>IFERROR(VLOOKUP($MV148,$AV$2:$BA$84,3,FALSE),0)</f>
        <v/>
      </c>
      <c r="NN148" s="155">
        <f>IFERROR(VLOOKUP($MW148,$AV$2:$BA$84,3,FALSE),0)</f>
        <v/>
      </c>
      <c r="NO148" s="155">
        <f>IFERROR(VLOOKUP($MX148,$AV$2:$BA$84,3,FALSE),0)</f>
        <v/>
      </c>
      <c r="NP148" s="155">
        <f>IFERROR(VLOOKUP($MY148,$AV$2:$BA$84,3,FALSE),0)</f>
        <v/>
      </c>
      <c r="NQ148" s="155">
        <f>IF($MQ148=0,0,IF($NH148=0,0,INDEX($X$2:$X$11,$NH148)))</f>
        <v/>
      </c>
      <c r="NR148" s="155">
        <f>IF(OR($NM148=0,$MQ148=0),0,$NM148+3*IF(AND($NI148&lt;&gt;"",OR($NI148=INDEX($EJ$2:$EJ$13,$MM148),$NI148=INDEX($EK$2:$EK$13,$MM148))),1,0))</f>
        <v/>
      </c>
      <c r="NS148" s="155">
        <f>IF(OR($NN148=0,$MQ148=0),0,$NN148+3*IF(AND($NJ148&lt;&gt;"",OR($NJ148=INDEX($EJ$2:$EJ$13,$MM148),$NJ148=INDEX($EK$2:$EK$13,$MM148))),1,0))</f>
        <v/>
      </c>
      <c r="NT148" s="155">
        <f>IF(OR($NO148=0,$MQ148=0),0,$NO148+3*IF(AND($NK148&lt;&gt;"",OR($NK148=INDEX($EJ$2:$EJ$13,$MM148),$NK148=INDEX($EK$2:$EK$13,$MM148))),1,0))</f>
        <v/>
      </c>
      <c r="NU148" s="155">
        <f>IF(OR($NP148=0,$MQ148=0),0,$NP148+3*IF(AND($NL148&lt;&gt;"",OR($NL148=INDEX($EJ$2:$EJ$13,$MM148),$NL148=INDEX($EK$2:$EK$13,$MM148))),1,0))</f>
        <v/>
      </c>
      <c r="NV148" s="155">
        <f>IF($NH148=0,0,IF(INDEX($W$2:$W$11,$NH148)="",0,IF(COUNTIF(INDEX($EJ$2:$EN$13,$MM148,0),INDEX($W$2:$W$11,$NH148))=0,1,0)))</f>
        <v/>
      </c>
      <c r="NW148" s="155">
        <f>IF(OR($NM148=0,$NI148=""),0,IF(COUNTIF(INDEX($EJ$2:$EN$13,$MM148,0),$NI148)=0,1,0))</f>
        <v/>
      </c>
      <c r="NX148" s="155">
        <f>IF(OR($NN148=0,$NJ148=""),0,IF(COUNTIF(INDEX($EJ$2:$EN$13,$MM148,0),$NJ148)=0,1,0))</f>
        <v/>
      </c>
      <c r="NY148" s="155">
        <f>IF(OR($NO148=0,$NK148=""),0,IF(COUNTIF(INDEX($EJ$2:$EN$13,$MM148,0),$NK148)=0,1,0))</f>
        <v/>
      </c>
      <c r="NZ148" s="155">
        <f>IF(OR($NP148=0,$NL148=""),0,IF(COUNTIF(INDEX($EJ$2:$EN$13,$MM148,0),$NL148)=0,1,0))</f>
        <v/>
      </c>
      <c r="OA148" s="155">
        <f>IFERROR(VLOOKUP($MV148,$AV$2:$BA$84,4,FALSE),0)+IFERROR(VLOOKUP($MW148,$AV$2:$BA$84,4,FALSE),0)+IFERROR(VLOOKUP($MX148,$AV$2:$BA$84,4,FALSE),0)+IFERROR(VLOOKUP($MY148,$AV$2:$BA$84,4,FALSE),0)</f>
        <v/>
      </c>
      <c r="OB148" s="155">
        <f>IFERROR(VLOOKUP($MV148,$AV$2:$BA$84,6,FALSE),0)+IFERROR(VLOOKUP($MW148,$AV$2:$BA$84,6,FALSE),0)+IFERROR(VLOOKUP($MX148,$AV$2:$BA$84,6,FALSE),0)+IFERROR(VLOOKUP($MY148,$AV$2:$BA$84,6,FALSE),0)</f>
        <v/>
      </c>
      <c r="OC148" s="155">
        <f>TEXTJOIN(", ",TRUE,IF(IFERROR(VLOOKUP($MV148,$AV$2:$BA$84,5,FALSE),0)=1,$MV148,""),IF(IFERROR(VLOOKUP($MW148,$AV$2:$BA$84,5,FALSE),0)=1,$MW148,""),IF(IFERROR(VLOOKUP($MX148,$AV$2:$BA$84,5,FALSE),0)=1,$MX148,""),IF(IFERROR(VLOOKUP($MY148,$AV$2:$BA$84,5,FALSE),0)=1,$MY148,""))</f>
        <v/>
      </c>
      <c r="OD148" s="155">
        <f>IF($NH148=0,0,INDEX($Y$2:$Y$11,$NH148))</f>
        <v/>
      </c>
      <c r="OE148" s="155">
        <f>IF($NH148=0,0,INDEX($Z$2:$Z$11,$NH148))</f>
        <v/>
      </c>
      <c r="OF148" s="155">
        <f>IF($NH148=0,0,INDEX($AB$2:$AB$11,$NH148))</f>
        <v/>
      </c>
      <c r="OG148" s="155">
        <f>IFERROR(VLOOKUP($MZ148,$BC$2:$BG$24,3,FALSE),0)</f>
        <v/>
      </c>
      <c r="OH148" s="155">
        <f>IFERROR(VLOOKUP($NA148,$BC$2:$BG$24,3,FALSE),0)</f>
        <v/>
      </c>
      <c r="OI148" s="155">
        <f>IFERROR(VLOOKUP($MZ148,$BC$2:$BG$24,2,FALSE),"")</f>
        <v/>
      </c>
      <c r="OJ148" s="155">
        <f>IFERROR(VLOOKUP($NA148,$BC$2:$BG$24,2,FALSE),"")</f>
        <v/>
      </c>
      <c r="OK148" s="155">
        <f>COUNTIF($NQ148:$NU148,1)</f>
        <v/>
      </c>
      <c r="OL148" s="155">
        <f>COUNTIF($NQ148:$NU148,2)</f>
        <v/>
      </c>
      <c r="OM148" s="155">
        <f>COUNTIF($NQ148:$NU148,3)</f>
        <v/>
      </c>
      <c r="ON148" s="155">
        <f>COUNTIF($NQ148:$NU148,4)</f>
        <v/>
      </c>
      <c r="OO148" s="155">
        <f>COUNTIF($NQ148:$NU148,5)</f>
        <v/>
      </c>
      <c r="OP148" s="155">
        <f>COUNTIF($NQ148:$NU148,6)</f>
        <v/>
      </c>
      <c r="OQ148" s="155">
        <f>COUNTIF($OG148:$OH148,1)</f>
        <v/>
      </c>
      <c r="OR148" s="155">
        <f>COUNTIF($OG148:$OH148,2)+$OD148</f>
        <v/>
      </c>
      <c r="OS148" s="155">
        <f>COUNTIF($MV148:$MY148,"?*")</f>
        <v/>
      </c>
      <c r="OT148" s="155">
        <f>COUNTIF($MZ148:$NA148,"?*")+$OD148</f>
        <v/>
      </c>
      <c r="OU148" s="155">
        <f>IF($MQ148=0,0,SUMPRODUCT($OK148:$OP148,INDEX($I$2:$N$8,MAX(1,$MQ148),0)))</f>
        <v/>
      </c>
      <c r="OV148" s="155">
        <f>IF($MQ148=0,0,$OQ148*CEILING($MQ148/2,1)+$OR148*$MQ148)</f>
        <v/>
      </c>
      <c r="OW148" s="155">
        <f>MIN(2*$MQ148,$OV148)</f>
        <v/>
      </c>
      <c r="OX148" s="155">
        <f>MIN($OW148,$OU148)</f>
        <v/>
      </c>
      <c r="OY148" s="155">
        <f>$OW148-$OX148</f>
        <v/>
      </c>
      <c r="OZ148" s="155">
        <f>IF($MQ148=0,0,INDEX($P$2:$P$8,MAX(1,$MQ148)))</f>
        <v/>
      </c>
      <c r="PA148" s="155">
        <f>$OZ148-$OU148+$OX148</f>
        <v/>
      </c>
      <c r="PB148" s="155">
        <f>IF($MQ148=0,MAX(0,$NE148-IF($OS148&gt;0,1,0)),MAX(0,$PA148))</f>
        <v/>
      </c>
      <c r="PC148" s="155">
        <f>IF($MQ148=0,0,(IF(COUNTIF($MV148:$MY148,"Salto")&gt;0,1,0)+IF(COUNTIF($MV148:$MY148,"Queima")&gt;0,1,0)+IF(COUNTIF($MV148:$MY148,"Estilhaço")&gt;0,1,0))*FLOOR($PB148/2,1))</f>
        <v/>
      </c>
      <c r="PD148" s="155">
        <f>MAX(0,2-SUMPRODUCT($OK148:$OP148,$I$2:$N$2)+MIN(2,$OQ148*1+$OR148*1,SUMPRODUCT($OK148:$OP148,$I$2:$N$2)))</f>
        <v/>
      </c>
      <c r="PE148" s="155">
        <f>MAX(0,4-SUMPRODUCT($OK148:$OP148,$I$3:$N$3)+MIN(4,$OQ148*1+$OR148*2,SUMPRODUCT($OK148:$OP148,$I$3:$N$3)))</f>
        <v/>
      </c>
      <c r="PF148" s="155">
        <f>MAX(0,6-SUMPRODUCT($OK148:$OP148,$I$4:$N$4)+MIN(6,$OQ148*2+$OR148*3,SUMPRODUCT($OK148:$OP148,$I$4:$N$4)))</f>
        <v/>
      </c>
      <c r="PG148" s="155">
        <f>MAX(0,9-SUMPRODUCT($OK148:$OP148,$I$5:$N$5)+MIN(8,$OQ148*2+$OR148*4,SUMPRODUCT($OK148:$OP148,$I$5:$N$5)))</f>
        <v/>
      </c>
      <c r="PH148" s="155">
        <f>MAX(0,11-SUMPRODUCT($OK148:$OP148,$I$6:$N$6)+MIN(10,$OQ148*3+$OR148*5,SUMPRODUCT($OK148:$OP148,$I$6:$N$6)))</f>
        <v/>
      </c>
      <c r="PI148" s="155">
        <f>MAX(0,13-SUMPRODUCT($OK148:$OP148,$I$7:$N$7)+MIN(12,$OQ148*3+$OR148*6,SUMPRODUCT($OK148:$OP148,$I$7:$N$7)))</f>
        <v/>
      </c>
      <c r="PJ148" s="155">
        <f>MAX(0,16-SUMPRODUCT($OK148:$OP148,$I$8:$N$8)+MIN(14,$OQ148*4+$OR148*7,SUMPRODUCT($OK148:$OP148,$I$8:$N$8)))</f>
        <v/>
      </c>
      <c r="PK148" s="155">
        <f>IF($OE148=2,3*$PD148&amp;" de vida temp.",IF($OE148=3,"sem dano",IF($PD148=0,IF($OE148=1,"sem cura","sem dano"),IF($OE148=1,"cura ","")&amp;$PD148&amp;"d8")))</f>
        <v/>
      </c>
      <c r="PL148" s="155">
        <f>IF($OE148=2,3*$PE148&amp;" de vida temp.",IF($OE148=3,"sem dano",IF($PE148=0,IF($OE148=1,"sem cura","sem dano"),IF($OE148=1,"cura ","")&amp;$PE148&amp;"d8")))</f>
        <v/>
      </c>
      <c r="PM148" s="155">
        <f>IF($OE148=2,3*$PF148&amp;" de vida temp.",IF($OE148=3,"sem dano",IF($PF148=0,IF($OE148=1,"sem cura","sem dano"),IF($OE148=1,"cura ","")&amp;$PF148&amp;"d8")))</f>
        <v/>
      </c>
      <c r="PN148" s="155">
        <f>IF($OE148=2,3*$PG148&amp;" de vida temp.",IF($OE148=3,"sem dano",IF($PG148=0,IF($OE148=1,"sem cura","sem dano"),IF($OE148=1,"cura ","")&amp;$PG148&amp;"d8")))</f>
        <v/>
      </c>
      <c r="PO148" s="155">
        <f>IF($OE148=2,3*$PH148&amp;" de vida temp.",IF($OE148=3,"sem dano",IF($PH148=0,IF($OE148=1,"sem cura","sem dano"),IF($OE148=1,"cura ","")&amp;$PH148&amp;"d8")))</f>
        <v/>
      </c>
      <c r="PP148" s="155">
        <f>IF($OE148=2,3*$PI148&amp;" de vida temp.",IF($OE148=3,"sem dano",IF($PI148=0,IF($OE148=1,"sem cura","sem dano"),IF($OE148=1,"cura ","")&amp;$PI148&amp;"d8")))</f>
        <v/>
      </c>
      <c r="PQ148" s="155">
        <f>IF($OE148=2,3*$PJ148&amp;" de vida temp.",IF($OE148=3,"sem dano",IF($PJ148=0,IF($OE148=1,"sem cura","sem dano"),IF($OE148=1,"cura ","")&amp;$PJ148&amp;"d8")))</f>
        <v/>
      </c>
      <c r="PR148" s="155">
        <f>IF($NB148=0,"",TEXTJOIN(" · ",TRUE,IF($MO148&gt;$NC148,"Este lugar abre no nível "&amp;$MO148,""),IF($MQ148&gt;$ND148,"Classe "&amp;$MQ148&amp;": o nível "&amp;$NC148&amp;" libera até a "&amp;$ND148,""),IF($NV148=1,"A Forma "&amp;$MS148&amp;" pede "&amp;INDEX($W$2:$W$11,$NH148)&amp;" aberta",""),IF(AND($MQ148=0,$NH148&gt;0,IF($NH148=0,0,INDEX($AF$2:$AF$11,$NH148))=0),$MS148&amp;" não existe na Classe 0",""),IF($NW148=1,"Família Fechada: "&amp;$MV148,""),IF($NX148=1,"Família Fechada: "&amp;$MW148,""),IF($NY148=1,"Família Fechada: "&amp;$MX148,""),IF($NZ148=1,"Família Fechada: "&amp;$MY148,""),IF(AND($MQ148&gt;0,$OS148&gt;INDEX($O$2:$O$8,MAX(1,$MQ148))),$OS148&amp;" Melhorias: a Classe "&amp;$MQ148&amp;" aceita "&amp;INDEX($O$2:$O$8,MAX(1,$MQ148)),""),IF(AND($MQ148=0,$OS148&gt;1),"A básica aceita uma Melhoria",""),IF(AND($MQ148=0,COUNTIF($NM148:$NP148,"&gt;1")&gt;0),"A básica só aceita Melhoria Leve",""),IF(AND($MQ148&gt;0,$OT148&gt;2),$OT148&amp;" Restrições"&amp;IF($OD148=1,", contando a que a Forma "&amp;$MS148&amp;" já traz","")&amp;": o limite é 2",""),IF(AND($MQ148=0,COUNTIF($MZ148:$NA148,"?*")&gt;1),"A básica aceita uma Restrição Leve",""),IF(AND($MQ148=0,COUNTIF($OG148:$OH148,2)&gt;0),"A básica só aceita Restrição Leve",""),IF(AND($MQ148&gt;0,$PA148&lt;0),"Orçamento estourado: faltam "&amp;(-$PA148)&amp;IF($PA148&lt;-1," pontos"," ponto"),""),IF(IFERROR(VLOOKUP($MZ148,$BC$2:$BG$24,4,FALSE),0)+IFERROR(VLOOKUP($NA148,$BC$2:$BG$24,4,FALSE),0)&gt;1,$OI148&amp;" e "&amp;$OJ148&amp;" são as duas de frequência",""),IF(AND((COUNTIF($MV148:$MY148,"Rápido")+COUNTIF($OI148:$OJ148,"Rápido"))&gt;0,(COUNTIF($MV148:$MY148,"Atrasar")+COUNTIF($OI148:$OJ148,"Atrasar"))&gt;0),"Rápido não entra com Atrasar",""),IF(AND((COUNTIF($MV148:$MY148,"Reação")+COUNTIF($OI148:$OJ148,"Reação"))&gt;0,(COUNTIF($MV148:$MY148,"Rápido")+COUNTIF($OI148:$OJ148,"Rápido"))&gt;0),"Reação não entra com Rápido",""),IF(AND((COUNTIF($MV148:$MY148,"Reação")+COUNTIF($OI148:$OJ148,"Reação"))&gt;0,(COUNTIF($MV148:$MY148,"Armado")+COUNTIF($OI148:$OJ148,"Armado"))&gt;0),"Reação não entra com Armado",""),IF(AND((COUNTIF($MV148:$MY148,"Reação")+COUNTIF($OI148:$OJ148,"Reação"))&gt;0,(COUNTIF($MV148:$MY148,"Atrasar")+COUNTIF($OI148:$OJ148,"Atrasar"))&gt;0),"Reação não entra com Atrasar",""),IF(AND((COUNTIF($MV148:$MY148,"Reação")+COUNTIF($OI148:$OJ148,"Reação"))&gt;0,(COUNTIF($MV148:$MY148,"Parado")+COUNTIF($OI148:$OJ148,"Parado"))&gt;0),"Reação não entra com Parado",""),IF(AND((COUNTIF($MV148:$MY148,"Atrasar")+COUNTIF($OI148:$OJ148,"Atrasar"))&gt;0,(COUNTIF($MV148:$MY148,"Parado")+COUNTIF($OI148:$OJ148,"Parado"))&gt;0),"Atrasar não entra com Parado",""),IF(AND((COUNTIF($MV148:$MY148,"Armado")+COUNTIF($OI148:$OJ148,"Armado"))&gt;0,(COUNTIF($MV148:$MY148,"Carregar")+COUNTIF($OI148:$OJ148,"Carregar"))&gt;0),"Armado não entra com Carregar",""),IF(AND(COUNTIF($OI148:$OJ148,"Corpo a Corpo")&gt;0,$OD148=0,OR($MS148="Cone",$MS148="Linha")),"Corpo a Corpo não entra em "&amp;$MS148,""),IF(AND(COUNTIF($OI148:$OJ148,"Corpo a Corpo")&gt;0,$OD148=1),"A Forma "&amp;$MS148&amp;" já traz o Corpo a Corpo",""),IF(AND(COUNTIF($OI148:$OJ148,"Tudo ou Nada")&gt;0,$OF148=0),"Tudo ou Nada só entra em habilidade de Teste de Resistência",""),IF(AND(COUNTIF($MV148:$MY148,"Inescapável")&gt;0,OR($OS148&gt;1,$OT148&gt;0)),"Inescapável não aceita outra peça",""),IF(AND($MQ148&gt;0,$PB148*IF(COUNTIF($MV148:$MY148,"Remate")&gt;0,1.25,1)+$PC148&gt;4*$MQ148),($PB148*IF(COUNTIF($MV148:$MY148,"Remate")&gt;0,1.25,1)+$PC148)&amp;" dados somando repetições"&amp;IF(COUNTIF($MV148:$MY148,"Remate")&gt;0," e o Remate","")&amp;": o teto da Classe "&amp;$MQ148&amp;" é "&amp;4*$MQ148,"")))</f>
        <v/>
      </c>
      <c r="PS148" s="155">
        <f>IF($PR148="",0,(LEN($PR148)-LEN(SUBSTITUTE($PR148," · ","")))/3+1)</f>
        <v/>
      </c>
      <c r="PT148" s="155">
        <f>IF($NB148=0,"",TEXTJOIN(" · ",TRUE,IF($OV148&gt;2*$MQ148,"A devolução parou no teto de "&amp;2*$MQ148,""),IF($OY148&gt;0,"Devolução perdida: "&amp;$OY148&amp;IF($OY148&gt;1," pontos"," ponto")&amp;" sem peça para pagar",""),IF(AND($OA148&gt;0,AND($MQ148&gt;0,$OE148=0),$PB148=0),"Controle sem dano: uma rodada a mais e CD +2",""),IF(AND($OA148&gt;0,AND($MQ148&gt;0,$OE148=0),$PB148&gt;0,$PB148&lt;=$MQ148),"Controle com saldo até a Classe: uma rodada a mais",""),IF(AND($MQ148&gt;0,$OC148&lt;&gt;""),"Efeito de "&amp;$OC148&amp;" pela Classe "&amp;MAX(1,$MQ148-1),"")))</f>
        <v/>
      </c>
      <c r="PU148" s="155">
        <f>IF($PT148="",0,(LEN($PT148)-LEN(SUBSTITUTE($PT148," · ","")))/3+1)</f>
        <v/>
      </c>
      <c r="PV148" s="155">
        <f>IF($NB148=0,IF($OS148+COUNTIF($MZ148:$NA148,"?*")&gt;0,"Dê um nome",""),IF($PS148&gt;0,"⚠ "&amp;$PS148&amp;IF($PS148&gt;1," erros"," erro"),IF($PU148&gt;0,"! "&amp;$PU148&amp;IF($PU148&gt;1," avisos"," aviso"),"Na regra")))</f>
        <v/>
      </c>
      <c r="PW148" s="155">
        <f>IF($NB148=0,"",IF($PS148+$PU148=0,"Dentro das regras que a ficha confere",$PR148&amp;IF(AND($PS148&gt;0,$PU148&gt;0)," · ","")&amp;$PT148))</f>
        <v/>
      </c>
      <c r="PX148" s="155">
        <f>IF($MO148&gt;$NC148,$MP148&amp;" · ABRE NO NÍVEL "&amp;$MO148,$MP148)</f>
        <v/>
      </c>
      <c r="PY148" s="155">
        <f>IF($NB148=0,"",IF($MQ148=0,"Sem PE",3*$MQ148&amp;" PE"))</f>
        <v/>
      </c>
      <c r="PZ148" s="155">
        <f>IF($NB148=0,"",IF($MQ148=0,"A atuação básica dela",IF(COUNTIF($OI148:$OJ148,"Atrasar")&gt;0,"Sua Ação Completa",IF(COUNTIF($MV148:$MY148,"Rápido")&gt;0,"Sua Bônus",IF(COUNTIF($MV148:$MY148,"Reação")&gt;0,"Sua Reação","Sua Padrão")))&amp;" + a básica dela"&amp;IF(COUNTIF($MV148:$MY148,"Reação")&gt;0," e a coletiva","")&amp;IF(COUNTIF($OI148:$OJ148,"Carregar")&gt;0," · em dois turnos","")))</f>
        <v/>
      </c>
      <c r="QA148" s="155">
        <f>IF($MU148&lt;&gt;"",$MU148,IF($NH148=0,"",INDEX($AA$2:$AA$11,$NH148)))</f>
        <v/>
      </c>
      <c r="QB148" s="155">
        <f>IF(OR($NB148=0,$NH148=0),"",IF(COUNTIF($MV148:$MY148,"Inescapável")&gt;0,"Automático",IF($QA148="Ataque",IF($NF148="","Ataque","Ataque "&amp;IF(($NF148+2*IF(COUNTIF($MV148:$MY148,"Precisão")&gt;0,1,0))&gt;=0,"+","−")&amp;ABS(($NF148+2*IF(COUNTIF($MV148:$MY148,"Precisão")&gt;0,1,0))))&amp;IF($OB148&gt;0," · TR"&amp;IF($NG148="",""," CD "&amp;$NG148),""),IF(LEFT($QA148,2)="TR",$QA148&amp;IF($NG148="",""," · CD "&amp;$NG148)&amp;IF(COUNTIF($MV148:$MY148,"Certeiro")&gt;0," · metade",""),"Sem rolagem"))))</f>
        <v/>
      </c>
      <c r="QC148" s="155">
        <f>IF(OR($NB148=0,$NH148=0),"",IF($MQ148=0,IF(OR($OE148&gt;=1,$PB148=0),"Sem dano",$PB148&amp;"d6"&amp;IF($MT148="",""," "&amp;$MT148)),IF(OR($OE148&gt;=1,$PB148=0),UPPER(LEFT(INDEX($PK148:$PQ148,1,MAX(1,$MQ148)),1))&amp;MID(INDEX($PK148:$PQ148,1,MAX(1,$MQ148)),2,99),UPPER(LEFT(INDEX($PK148:$PQ148,1,MAX(1,$MQ148)),1))&amp;MID(INDEX($PK148:$PQ148,1,MAX(1,$MQ148)),2,99)&amp;IF($MT148="",""," "&amp;$MT148)&amp;IF($PC148&gt;0," · +"&amp;$PC148&amp;"d8",""))))</f>
        <v/>
      </c>
      <c r="QD148" s="155">
        <f>COUNTIF($MV148:$MY148,"Longe")+3*COUNTIF($MV148:$MY148,"Muito Longe")</f>
        <v/>
      </c>
      <c r="QE148" s="155">
        <f>COUNTIF($MV148:$MY148,"Maior")+3*COUNTIF($MV148:$MY148,"Muito Maior")</f>
        <v/>
      </c>
      <c r="QF148" s="155">
        <f>IF($NH148=0,0,CHOOSE(1+INDEX($AC$2:$AC$11,$NH148),0,$QD148,$QE148,$QD148+$QE148))</f>
        <v/>
      </c>
      <c r="QG148" s="155">
        <f>IF($NH148=0,0,CHOOSE(1+INDEX($AD$2:$AD$11,$NH148),0,$QD148,$QE148,$QD148+$QE148))</f>
        <v/>
      </c>
      <c r="QH148" s="155">
        <f>IF(OR($NB148=0,$NH148=0),"",INDEX($AI$2:$AN$41,($NH148-1)*4+IF($MQ148=0,1,IF($MQ148&lt;=5,2,IF($MQ148=6,3,4))),1+MIN(5,$QF148))&amp;INDEX($AO$2:$AT$41,($NH148-1)*4+IF($MQ148=0,1,IF($MQ148&lt;=5,2,IF($MQ148=6,3,4))),1+MIN(5,$QG148))&amp;IF(INDEX($AE$2:$AE$11,$NH148)=1,IF(COUNTIF($MV148:$MY148,"Mais Um")&gt;0," · +"&amp;COUNTIF($MV148:$MY148,"Mais Um")&amp;IF(COUNTIF($MV148:$MY148,"Mais Um")&gt;1," alvos"," alvo"),"")&amp;IF(COUNTIF($MV148:$MY148,"Rajada")&gt;0,IF($MQ148=0," · 1 tiro"," · "&amp;(MAX(1,$MQ148-1)+1)&amp;" tiros"),""),""))</f>
        <v/>
      </c>
      <c r="QI148" s="155">
        <f>IF($NB148=0,"",IF($MQ148=0,$NE148&amp;"d6"&amp;IF($OS148&gt;0," − 1 = "&amp;$PB148&amp;"d6"," da básica do nível "&amp;$NC148),$OZ148&amp;" − "&amp;$OU148&amp;" + "&amp;$OX148&amp;" = "&amp;$PA148&amp;" · teto "&amp;4*$MQ148&amp;"d8"&amp;IF($OD148=1," · a Forma devolve "&amp;$MQ148,"")&amp;IF($OY148&gt;0," · perde "&amp;$OY148,"")))</f>
        <v/>
      </c>
      <c r="QJ148" s="155">
        <f>IF($NB148=0,"",IF($MQ148=0,"A básica não amplia: os dados dela sobem com o nível",IF($MQ148&gt;=$ND148,"Já está na maior Classe que o nível liberou",TEXTJOIN(" · ",TRUE,IF(AND(2&gt;$MQ148,2&lt;=$ND148),"2 → "&amp;$PL148&amp;", 6 PE",""),IF(AND(3&gt;$MQ148,3&lt;=$ND148),"3 → "&amp;$PM148&amp;", 9 PE",""),IF(AND(4&gt;$MQ148,4&lt;=$ND148),"4 → "&amp;$PN148&amp;", 12 PE",""),IF(AND(5&gt;$MQ148,5&lt;=$ND148),"5 → "&amp;$PO148&amp;", 15 PE",""),IF(AND(6&gt;$MQ148,6&lt;=$ND148),"6 → "&amp;$PP148&amp;", 18 PE",""),IF(AND(7&gt;$MQ148,7&lt;=$ND148),"7 → "&amp;$PQ148&amp;", 21 PE","")))))</f>
        <v/>
      </c>
      <c r="QK148" s="155">
        <f>IF(OR($NB148=0,$NM148=0),"",IF($MQ148=0,"−1 dado","−"&amp;INDEX($I$2:$N$8,MAX(1,$MQ148),MAX(1,$NR148))&amp;" · "&amp;CHOOSE(MAX(1,$NR148),"Leve","Média","Pesada","Leve · Livre","Média · Livre","Pesada · Livre")))</f>
        <v/>
      </c>
      <c r="QL148" s="155">
        <f>IF(OR($NB148=0,$NN148=0),"",IF($MQ148=0,"−1 dado","−"&amp;INDEX($I$2:$N$8,MAX(1,$MQ148),MAX(1,$NS148))&amp;" · "&amp;CHOOSE(MAX(1,$NS148),"Leve","Média","Pesada","Leve · Livre","Média · Livre","Pesada · Livre")))</f>
        <v/>
      </c>
      <c r="QM148" s="155">
        <f>IF(OR($NB148=0,$NO148=0),"",IF($MQ148=0,"−1 dado","−"&amp;INDEX($I$2:$N$8,MAX(1,$MQ148),MAX(1,$NT148))&amp;" · "&amp;CHOOSE(MAX(1,$NT148),"Leve","Média","Pesada","Leve · Livre","Média · Livre","Pesada · Livre")))</f>
        <v/>
      </c>
      <c r="QN148" s="155">
        <f>IF(OR($NB148=0,$NP148=0),"",IF($MQ148=0,"−1 dado","−"&amp;INDEX($I$2:$N$8,MAX(1,$MQ148),MAX(1,$NU148))&amp;" · "&amp;CHOOSE(MAX(1,$NU148),"Leve","Média","Pesada","Leve · Livre","Média · Livre","Pesada · Livre")))</f>
        <v/>
      </c>
      <c r="QO148" s="155">
        <f>IF(OR($NB148=0,$MZ148=""),"",IF($MQ148=0,"não devolve","+"&amp;IF($OG148=1,CEILING($MQ148/2,1),$MQ148)))</f>
        <v/>
      </c>
      <c r="QP148" s="155">
        <f>IF(OR($NB148=0,$NA148=""),"",IF($MQ148=0,"não devolve","+"&amp;IF($OH148=1,CEILING($MQ148/2,1),$MQ148)))</f>
        <v/>
      </c>
    </row>
    <row r="149">
      <c r="ML149" s="153" t="inlineStr">
        <is>
          <t>Ficha 12 · Especial 3</t>
        </is>
      </c>
      <c r="MM149" s="155" t="n">
        <v>12</v>
      </c>
      <c r="MN149" s="155" t="n">
        <v>1</v>
      </c>
      <c r="MO149" s="155" t="n">
        <v>8</v>
      </c>
      <c r="MP149" s="153" t="inlineStr">
        <is>
          <t>ESPECIAL 3</t>
        </is>
      </c>
      <c r="MQ149" s="155">
        <f>MAX(1,MIN(7,N('INVOCAÇÕES'!$AH$1082)))</f>
        <v/>
      </c>
      <c r="MR149" s="155">
        <f>'INVOCAÇÕES'!$AI$1082&amp;""</f>
        <v/>
      </c>
      <c r="MS149" s="155">
        <f>'INVOCAÇÕES'!$AH$1087&amp;""</f>
        <v/>
      </c>
      <c r="MT149" s="155">
        <f>'INVOCAÇÕES'!$AH$1088&amp;""</f>
        <v/>
      </c>
      <c r="MU149" s="155">
        <f>'INVOCAÇÕES'!$AJ$1088&amp;""</f>
        <v/>
      </c>
      <c r="MV149" s="155">
        <f>'INVOCAÇÕES'!$AI$1091&amp;""</f>
        <v/>
      </c>
      <c r="MW149" s="155">
        <f>'INVOCAÇÕES'!$AI$1092&amp;""</f>
        <v/>
      </c>
      <c r="MX149" s="155">
        <f>'INVOCAÇÕES'!$AI$1093&amp;""</f>
        <v/>
      </c>
      <c r="MY149" s="155">
        <f>'INVOCAÇÕES'!$AI$1094&amp;""</f>
        <v/>
      </c>
      <c r="MZ149" s="155">
        <f>'INVOCAÇÕES'!$AI$1095&amp;""</f>
        <v/>
      </c>
      <c r="NA149" s="155">
        <f>'INVOCAÇÕES'!$AI$1096&amp;""</f>
        <v/>
      </c>
      <c r="NB149" s="155">
        <f>IF($MR149&lt;&gt;"",1,0)</f>
        <v/>
      </c>
      <c r="NC149" s="155">
        <f>INDEX($FM$2:$FM$13,$MM149)</f>
        <v/>
      </c>
      <c r="ND149" s="155">
        <f>INDEX($FN$2:$FN$13,$MM149)</f>
        <v/>
      </c>
      <c r="NE149" s="155">
        <f>INDEX($FO$2:$FO$13,$MM149)</f>
        <v/>
      </c>
      <c r="NF149" s="155">
        <f>INDEX($FZ$2:$FZ$13,$MM149)</f>
        <v/>
      </c>
      <c r="NG149" s="155">
        <f>INDEX($GA$2:$GA$13,$MM149)</f>
        <v/>
      </c>
      <c r="NH149" s="155">
        <f>IFERROR(MATCH($MS149,$V$2:$V$11,0),0)</f>
        <v/>
      </c>
      <c r="NI149" s="155">
        <f>IFERROR(VLOOKUP($MV149,$AV$2:$BA$84,2,FALSE),"")</f>
        <v/>
      </c>
      <c r="NJ149" s="155">
        <f>IFERROR(VLOOKUP($MW149,$AV$2:$BA$84,2,FALSE),"")</f>
        <v/>
      </c>
      <c r="NK149" s="155">
        <f>IFERROR(VLOOKUP($MX149,$AV$2:$BA$84,2,FALSE),"")</f>
        <v/>
      </c>
      <c r="NL149" s="155">
        <f>IFERROR(VLOOKUP($MY149,$AV$2:$BA$84,2,FALSE),"")</f>
        <v/>
      </c>
      <c r="NM149" s="155">
        <f>IFERROR(VLOOKUP($MV149,$AV$2:$BA$84,3,FALSE),0)</f>
        <v/>
      </c>
      <c r="NN149" s="155">
        <f>IFERROR(VLOOKUP($MW149,$AV$2:$BA$84,3,FALSE),0)</f>
        <v/>
      </c>
      <c r="NO149" s="155">
        <f>IFERROR(VLOOKUP($MX149,$AV$2:$BA$84,3,FALSE),0)</f>
        <v/>
      </c>
      <c r="NP149" s="155">
        <f>IFERROR(VLOOKUP($MY149,$AV$2:$BA$84,3,FALSE),0)</f>
        <v/>
      </c>
      <c r="NQ149" s="155">
        <f>IF($MQ149=0,0,IF($NH149=0,0,INDEX($X$2:$X$11,$NH149)))</f>
        <v/>
      </c>
      <c r="NR149" s="155">
        <f>IF(OR($NM149=0,$MQ149=0),0,$NM149+3*IF(AND($NI149&lt;&gt;"",OR($NI149=INDEX($EJ$2:$EJ$13,$MM149),$NI149=INDEX($EK$2:$EK$13,$MM149))),1,0))</f>
        <v/>
      </c>
      <c r="NS149" s="155">
        <f>IF(OR($NN149=0,$MQ149=0),0,$NN149+3*IF(AND($NJ149&lt;&gt;"",OR($NJ149=INDEX($EJ$2:$EJ$13,$MM149),$NJ149=INDEX($EK$2:$EK$13,$MM149))),1,0))</f>
        <v/>
      </c>
      <c r="NT149" s="155">
        <f>IF(OR($NO149=0,$MQ149=0),0,$NO149+3*IF(AND($NK149&lt;&gt;"",OR($NK149=INDEX($EJ$2:$EJ$13,$MM149),$NK149=INDEX($EK$2:$EK$13,$MM149))),1,0))</f>
        <v/>
      </c>
      <c r="NU149" s="155">
        <f>IF(OR($NP149=0,$MQ149=0),0,$NP149+3*IF(AND($NL149&lt;&gt;"",OR($NL149=INDEX($EJ$2:$EJ$13,$MM149),$NL149=INDEX($EK$2:$EK$13,$MM149))),1,0))</f>
        <v/>
      </c>
      <c r="NV149" s="155">
        <f>IF($NH149=0,0,IF(INDEX($W$2:$W$11,$NH149)="",0,IF(COUNTIF(INDEX($EJ$2:$EN$13,$MM149,0),INDEX($W$2:$W$11,$NH149))=0,1,0)))</f>
        <v/>
      </c>
      <c r="NW149" s="155">
        <f>IF(OR($NM149=0,$NI149=""),0,IF(COUNTIF(INDEX($EJ$2:$EN$13,$MM149,0),$NI149)=0,1,0))</f>
        <v/>
      </c>
      <c r="NX149" s="155">
        <f>IF(OR($NN149=0,$NJ149=""),0,IF(COUNTIF(INDEX($EJ$2:$EN$13,$MM149,0),$NJ149)=0,1,0))</f>
        <v/>
      </c>
      <c r="NY149" s="155">
        <f>IF(OR($NO149=0,$NK149=""),0,IF(COUNTIF(INDEX($EJ$2:$EN$13,$MM149,0),$NK149)=0,1,0))</f>
        <v/>
      </c>
      <c r="NZ149" s="155">
        <f>IF(OR($NP149=0,$NL149=""),0,IF(COUNTIF(INDEX($EJ$2:$EN$13,$MM149,0),$NL149)=0,1,0))</f>
        <v/>
      </c>
      <c r="OA149" s="155">
        <f>IFERROR(VLOOKUP($MV149,$AV$2:$BA$84,4,FALSE),0)+IFERROR(VLOOKUP($MW149,$AV$2:$BA$84,4,FALSE),0)+IFERROR(VLOOKUP($MX149,$AV$2:$BA$84,4,FALSE),0)+IFERROR(VLOOKUP($MY149,$AV$2:$BA$84,4,FALSE),0)</f>
        <v/>
      </c>
      <c r="OB149" s="155">
        <f>IFERROR(VLOOKUP($MV149,$AV$2:$BA$84,6,FALSE),0)+IFERROR(VLOOKUP($MW149,$AV$2:$BA$84,6,FALSE),0)+IFERROR(VLOOKUP($MX149,$AV$2:$BA$84,6,FALSE),0)+IFERROR(VLOOKUP($MY149,$AV$2:$BA$84,6,FALSE),0)</f>
        <v/>
      </c>
      <c r="OC149" s="155">
        <f>TEXTJOIN(", ",TRUE,IF(IFERROR(VLOOKUP($MV149,$AV$2:$BA$84,5,FALSE),0)=1,$MV149,""),IF(IFERROR(VLOOKUP($MW149,$AV$2:$BA$84,5,FALSE),0)=1,$MW149,""),IF(IFERROR(VLOOKUP($MX149,$AV$2:$BA$84,5,FALSE),0)=1,$MX149,""),IF(IFERROR(VLOOKUP($MY149,$AV$2:$BA$84,5,FALSE),0)=1,$MY149,""))</f>
        <v/>
      </c>
      <c r="OD149" s="155">
        <f>IF($NH149=0,0,INDEX($Y$2:$Y$11,$NH149))</f>
        <v/>
      </c>
      <c r="OE149" s="155">
        <f>IF($NH149=0,0,INDEX($Z$2:$Z$11,$NH149))</f>
        <v/>
      </c>
      <c r="OF149" s="155">
        <f>IF($NH149=0,0,INDEX($AB$2:$AB$11,$NH149))</f>
        <v/>
      </c>
      <c r="OG149" s="155">
        <f>IFERROR(VLOOKUP($MZ149,$BC$2:$BG$24,3,FALSE),0)</f>
        <v/>
      </c>
      <c r="OH149" s="155">
        <f>IFERROR(VLOOKUP($NA149,$BC$2:$BG$24,3,FALSE),0)</f>
        <v/>
      </c>
      <c r="OI149" s="155">
        <f>IFERROR(VLOOKUP($MZ149,$BC$2:$BG$24,2,FALSE),"")</f>
        <v/>
      </c>
      <c r="OJ149" s="155">
        <f>IFERROR(VLOOKUP($NA149,$BC$2:$BG$24,2,FALSE),"")</f>
        <v/>
      </c>
      <c r="OK149" s="155">
        <f>COUNTIF($NQ149:$NU149,1)</f>
        <v/>
      </c>
      <c r="OL149" s="155">
        <f>COUNTIF($NQ149:$NU149,2)</f>
        <v/>
      </c>
      <c r="OM149" s="155">
        <f>COUNTIF($NQ149:$NU149,3)</f>
        <v/>
      </c>
      <c r="ON149" s="155">
        <f>COUNTIF($NQ149:$NU149,4)</f>
        <v/>
      </c>
      <c r="OO149" s="155">
        <f>COUNTIF($NQ149:$NU149,5)</f>
        <v/>
      </c>
      <c r="OP149" s="155">
        <f>COUNTIF($NQ149:$NU149,6)</f>
        <v/>
      </c>
      <c r="OQ149" s="155">
        <f>COUNTIF($OG149:$OH149,1)</f>
        <v/>
      </c>
      <c r="OR149" s="155">
        <f>COUNTIF($OG149:$OH149,2)+$OD149</f>
        <v/>
      </c>
      <c r="OS149" s="155">
        <f>COUNTIF($MV149:$MY149,"?*")</f>
        <v/>
      </c>
      <c r="OT149" s="155">
        <f>COUNTIF($MZ149:$NA149,"?*")+$OD149</f>
        <v/>
      </c>
      <c r="OU149" s="155">
        <f>IF($MQ149=0,0,SUMPRODUCT($OK149:$OP149,INDEX($I$2:$N$8,MAX(1,$MQ149),0)))</f>
        <v/>
      </c>
      <c r="OV149" s="155">
        <f>IF($MQ149=0,0,$OQ149*CEILING($MQ149/2,1)+$OR149*$MQ149)</f>
        <v/>
      </c>
      <c r="OW149" s="155">
        <f>MIN(2*$MQ149,$OV149)</f>
        <v/>
      </c>
      <c r="OX149" s="155">
        <f>MIN($OW149,$OU149)</f>
        <v/>
      </c>
      <c r="OY149" s="155">
        <f>$OW149-$OX149</f>
        <v/>
      </c>
      <c r="OZ149" s="155">
        <f>IF($MQ149=0,0,INDEX($P$2:$P$8,MAX(1,$MQ149)))</f>
        <v/>
      </c>
      <c r="PA149" s="155">
        <f>$OZ149-$OU149+$OX149</f>
        <v/>
      </c>
      <c r="PB149" s="155">
        <f>IF($MQ149=0,MAX(0,$NE149-IF($OS149&gt;0,1,0)),MAX(0,$PA149))</f>
        <v/>
      </c>
      <c r="PC149" s="155">
        <f>IF($MQ149=0,0,(IF(COUNTIF($MV149:$MY149,"Salto")&gt;0,1,0)+IF(COUNTIF($MV149:$MY149,"Queima")&gt;0,1,0)+IF(COUNTIF($MV149:$MY149,"Estilhaço")&gt;0,1,0))*FLOOR($PB149/2,1))</f>
        <v/>
      </c>
      <c r="PD149" s="155">
        <f>MAX(0,2-SUMPRODUCT($OK149:$OP149,$I$2:$N$2)+MIN(2,$OQ149*1+$OR149*1,SUMPRODUCT($OK149:$OP149,$I$2:$N$2)))</f>
        <v/>
      </c>
      <c r="PE149" s="155">
        <f>MAX(0,4-SUMPRODUCT($OK149:$OP149,$I$3:$N$3)+MIN(4,$OQ149*1+$OR149*2,SUMPRODUCT($OK149:$OP149,$I$3:$N$3)))</f>
        <v/>
      </c>
      <c r="PF149" s="155">
        <f>MAX(0,6-SUMPRODUCT($OK149:$OP149,$I$4:$N$4)+MIN(6,$OQ149*2+$OR149*3,SUMPRODUCT($OK149:$OP149,$I$4:$N$4)))</f>
        <v/>
      </c>
      <c r="PG149" s="155">
        <f>MAX(0,9-SUMPRODUCT($OK149:$OP149,$I$5:$N$5)+MIN(8,$OQ149*2+$OR149*4,SUMPRODUCT($OK149:$OP149,$I$5:$N$5)))</f>
        <v/>
      </c>
      <c r="PH149" s="155">
        <f>MAX(0,11-SUMPRODUCT($OK149:$OP149,$I$6:$N$6)+MIN(10,$OQ149*3+$OR149*5,SUMPRODUCT($OK149:$OP149,$I$6:$N$6)))</f>
        <v/>
      </c>
      <c r="PI149" s="155">
        <f>MAX(0,13-SUMPRODUCT($OK149:$OP149,$I$7:$N$7)+MIN(12,$OQ149*3+$OR149*6,SUMPRODUCT($OK149:$OP149,$I$7:$N$7)))</f>
        <v/>
      </c>
      <c r="PJ149" s="155">
        <f>MAX(0,16-SUMPRODUCT($OK149:$OP149,$I$8:$N$8)+MIN(14,$OQ149*4+$OR149*7,SUMPRODUCT($OK149:$OP149,$I$8:$N$8)))</f>
        <v/>
      </c>
      <c r="PK149" s="155">
        <f>IF($OE149=2,3*$PD149&amp;" de vida temp.",IF($OE149=3,"sem dano",IF($PD149=0,IF($OE149=1,"sem cura","sem dano"),IF($OE149=1,"cura ","")&amp;$PD149&amp;"d8")))</f>
        <v/>
      </c>
      <c r="PL149" s="155">
        <f>IF($OE149=2,3*$PE149&amp;" de vida temp.",IF($OE149=3,"sem dano",IF($PE149=0,IF($OE149=1,"sem cura","sem dano"),IF($OE149=1,"cura ","")&amp;$PE149&amp;"d8")))</f>
        <v/>
      </c>
      <c r="PM149" s="155">
        <f>IF($OE149=2,3*$PF149&amp;" de vida temp.",IF($OE149=3,"sem dano",IF($PF149=0,IF($OE149=1,"sem cura","sem dano"),IF($OE149=1,"cura ","")&amp;$PF149&amp;"d8")))</f>
        <v/>
      </c>
      <c r="PN149" s="155">
        <f>IF($OE149=2,3*$PG149&amp;" de vida temp.",IF($OE149=3,"sem dano",IF($PG149=0,IF($OE149=1,"sem cura","sem dano"),IF($OE149=1,"cura ","")&amp;$PG149&amp;"d8")))</f>
        <v/>
      </c>
      <c r="PO149" s="155">
        <f>IF($OE149=2,3*$PH149&amp;" de vida temp.",IF($OE149=3,"sem dano",IF($PH149=0,IF($OE149=1,"sem cura","sem dano"),IF($OE149=1,"cura ","")&amp;$PH149&amp;"d8")))</f>
        <v/>
      </c>
      <c r="PP149" s="155">
        <f>IF($OE149=2,3*$PI149&amp;" de vida temp.",IF($OE149=3,"sem dano",IF($PI149=0,IF($OE149=1,"sem cura","sem dano"),IF($OE149=1,"cura ","")&amp;$PI149&amp;"d8")))</f>
        <v/>
      </c>
      <c r="PQ149" s="155">
        <f>IF($OE149=2,3*$PJ149&amp;" de vida temp.",IF($OE149=3,"sem dano",IF($PJ149=0,IF($OE149=1,"sem cura","sem dano"),IF($OE149=1,"cura ","")&amp;$PJ149&amp;"d8")))</f>
        <v/>
      </c>
      <c r="PR149" s="155">
        <f>IF($NB149=0,"",TEXTJOIN(" · ",TRUE,IF($MO149&gt;$NC149,"Este lugar abre no nível "&amp;$MO149,""),IF($MQ149&gt;$ND149,"Classe "&amp;$MQ149&amp;": o nível "&amp;$NC149&amp;" libera até a "&amp;$ND149,""),IF($NV149=1,"A Forma "&amp;$MS149&amp;" pede "&amp;INDEX($W$2:$W$11,$NH149)&amp;" aberta",""),IF(AND($MQ149=0,$NH149&gt;0,IF($NH149=0,0,INDEX($AF$2:$AF$11,$NH149))=0),$MS149&amp;" não existe na Classe 0",""),IF($NW149=1,"Família Fechada: "&amp;$MV149,""),IF($NX149=1,"Família Fechada: "&amp;$MW149,""),IF($NY149=1,"Família Fechada: "&amp;$MX149,""),IF($NZ149=1,"Família Fechada: "&amp;$MY149,""),IF(AND($MQ149&gt;0,$OS149&gt;INDEX($O$2:$O$8,MAX(1,$MQ149))),$OS149&amp;" Melhorias: a Classe "&amp;$MQ149&amp;" aceita "&amp;INDEX($O$2:$O$8,MAX(1,$MQ149)),""),IF(AND($MQ149=0,$OS149&gt;1),"A básica aceita uma Melhoria",""),IF(AND($MQ149=0,COUNTIF($NM149:$NP149,"&gt;1")&gt;0),"A básica só aceita Melhoria Leve",""),IF(AND($MQ149&gt;0,$OT149&gt;2),$OT149&amp;" Restrições"&amp;IF($OD149=1,", contando a que a Forma "&amp;$MS149&amp;" já traz","")&amp;": o limite é 2",""),IF(AND($MQ149=0,COUNTIF($MZ149:$NA149,"?*")&gt;1),"A básica aceita uma Restrição Leve",""),IF(AND($MQ149=0,COUNTIF($OG149:$OH149,2)&gt;0),"A básica só aceita Restrição Leve",""),IF(AND($MQ149&gt;0,$PA149&lt;0),"Orçamento estourado: faltam "&amp;(-$PA149)&amp;IF($PA149&lt;-1," pontos"," ponto"),""),IF(IFERROR(VLOOKUP($MZ149,$BC$2:$BG$24,4,FALSE),0)+IFERROR(VLOOKUP($NA149,$BC$2:$BG$24,4,FALSE),0)&gt;1,$OI149&amp;" e "&amp;$OJ149&amp;" são as duas de frequência",""),IF(AND((COUNTIF($MV149:$MY149,"Rápido")+COUNTIF($OI149:$OJ149,"Rápido"))&gt;0,(COUNTIF($MV149:$MY149,"Atrasar")+COUNTIF($OI149:$OJ149,"Atrasar"))&gt;0),"Rápido não entra com Atrasar",""),IF(AND((COUNTIF($MV149:$MY149,"Reação")+COUNTIF($OI149:$OJ149,"Reação"))&gt;0,(COUNTIF($MV149:$MY149,"Rápido")+COUNTIF($OI149:$OJ149,"Rápido"))&gt;0),"Reação não entra com Rápido",""),IF(AND((COUNTIF($MV149:$MY149,"Reação")+COUNTIF($OI149:$OJ149,"Reação"))&gt;0,(COUNTIF($MV149:$MY149,"Armado")+COUNTIF($OI149:$OJ149,"Armado"))&gt;0),"Reação não entra com Armado",""),IF(AND((COUNTIF($MV149:$MY149,"Reação")+COUNTIF($OI149:$OJ149,"Reação"))&gt;0,(COUNTIF($MV149:$MY149,"Atrasar")+COUNTIF($OI149:$OJ149,"Atrasar"))&gt;0),"Reação não entra com Atrasar",""),IF(AND((COUNTIF($MV149:$MY149,"Reação")+COUNTIF($OI149:$OJ149,"Reação"))&gt;0,(COUNTIF($MV149:$MY149,"Parado")+COUNTIF($OI149:$OJ149,"Parado"))&gt;0),"Reação não entra com Parado",""),IF(AND((COUNTIF($MV149:$MY149,"Atrasar")+COUNTIF($OI149:$OJ149,"Atrasar"))&gt;0,(COUNTIF($MV149:$MY149,"Parado")+COUNTIF($OI149:$OJ149,"Parado"))&gt;0),"Atrasar não entra com Parado",""),IF(AND((COUNTIF($MV149:$MY149,"Armado")+COUNTIF($OI149:$OJ149,"Armado"))&gt;0,(COUNTIF($MV149:$MY149,"Carregar")+COUNTIF($OI149:$OJ149,"Carregar"))&gt;0),"Armado não entra com Carregar",""),IF(AND(COUNTIF($OI149:$OJ149,"Corpo a Corpo")&gt;0,$OD149=0,OR($MS149="Cone",$MS149="Linha")),"Corpo a Corpo não entra em "&amp;$MS149,""),IF(AND(COUNTIF($OI149:$OJ149,"Corpo a Corpo")&gt;0,$OD149=1),"A Forma "&amp;$MS149&amp;" já traz o Corpo a Corpo",""),IF(AND(COUNTIF($OI149:$OJ149,"Tudo ou Nada")&gt;0,$OF149=0),"Tudo ou Nada só entra em habilidade de Teste de Resistência",""),IF(AND(COUNTIF($MV149:$MY149,"Inescapável")&gt;0,OR($OS149&gt;1,$OT149&gt;0)),"Inescapável não aceita outra peça",""),IF(AND($MQ149&gt;0,$PB149*IF(COUNTIF($MV149:$MY149,"Remate")&gt;0,1.25,1)+$PC149&gt;4*$MQ149),($PB149*IF(COUNTIF($MV149:$MY149,"Remate")&gt;0,1.25,1)+$PC149)&amp;" dados somando repetições"&amp;IF(COUNTIF($MV149:$MY149,"Remate")&gt;0," e o Remate","")&amp;": o teto da Classe "&amp;$MQ149&amp;" é "&amp;4*$MQ149,"")))</f>
        <v/>
      </c>
      <c r="PS149" s="155">
        <f>IF($PR149="",0,(LEN($PR149)-LEN(SUBSTITUTE($PR149," · ","")))/3+1)</f>
        <v/>
      </c>
      <c r="PT149" s="155">
        <f>IF($NB149=0,"",TEXTJOIN(" · ",TRUE,IF($OV149&gt;2*$MQ149,"A devolução parou no teto de "&amp;2*$MQ149,""),IF($OY149&gt;0,"Devolução perdida: "&amp;$OY149&amp;IF($OY149&gt;1," pontos"," ponto")&amp;" sem peça para pagar",""),IF(AND($OA149&gt;0,AND($MQ149&gt;0,$OE149=0),$PB149=0),"Controle sem dano: uma rodada a mais e CD +2",""),IF(AND($OA149&gt;0,AND($MQ149&gt;0,$OE149=0),$PB149&gt;0,$PB149&lt;=$MQ149),"Controle com saldo até a Classe: uma rodada a mais",""),IF(AND($MQ149&gt;0,$OC149&lt;&gt;""),"Efeito de "&amp;$OC149&amp;" pela Classe "&amp;MAX(1,$MQ149-1),"")))</f>
        <v/>
      </c>
      <c r="PU149" s="155">
        <f>IF($PT149="",0,(LEN($PT149)-LEN(SUBSTITUTE($PT149," · ","")))/3+1)</f>
        <v/>
      </c>
      <c r="PV149" s="155">
        <f>IF($NB149=0,IF($OS149+COUNTIF($MZ149:$NA149,"?*")&gt;0,"Dê um nome",""),IF($PS149&gt;0,"⚠ "&amp;$PS149&amp;IF($PS149&gt;1," erros"," erro"),IF($PU149&gt;0,"! "&amp;$PU149&amp;IF($PU149&gt;1," avisos"," aviso"),"Na regra")))</f>
        <v/>
      </c>
      <c r="PW149" s="155">
        <f>IF($NB149=0,"",IF($PS149+$PU149=0,"Dentro das regras que a ficha confere",$PR149&amp;IF(AND($PS149&gt;0,$PU149&gt;0)," · ","")&amp;$PT149))</f>
        <v/>
      </c>
      <c r="PX149" s="155">
        <f>IF($MO149&gt;$NC149,$MP149&amp;" · ABRE NO NÍVEL "&amp;$MO149,$MP149)</f>
        <v/>
      </c>
      <c r="PY149" s="155">
        <f>IF($NB149=0,"",IF($MQ149=0,"Sem PE",3*$MQ149&amp;" PE"))</f>
        <v/>
      </c>
      <c r="PZ149" s="155">
        <f>IF($NB149=0,"",IF($MQ149=0,"A atuação básica dela",IF(COUNTIF($OI149:$OJ149,"Atrasar")&gt;0,"Sua Ação Completa",IF(COUNTIF($MV149:$MY149,"Rápido")&gt;0,"Sua Bônus",IF(COUNTIF($MV149:$MY149,"Reação")&gt;0,"Sua Reação","Sua Padrão")))&amp;" + a básica dela"&amp;IF(COUNTIF($MV149:$MY149,"Reação")&gt;0," e a coletiva","")&amp;IF(COUNTIF($OI149:$OJ149,"Carregar")&gt;0," · em dois turnos","")))</f>
        <v/>
      </c>
      <c r="QA149" s="155">
        <f>IF($MU149&lt;&gt;"",$MU149,IF($NH149=0,"",INDEX($AA$2:$AA$11,$NH149)))</f>
        <v/>
      </c>
      <c r="QB149" s="155">
        <f>IF(OR($NB149=0,$NH149=0),"",IF(COUNTIF($MV149:$MY149,"Inescapável")&gt;0,"Automático",IF($QA149="Ataque",IF($NF149="","Ataque","Ataque "&amp;IF(($NF149+2*IF(COUNTIF($MV149:$MY149,"Precisão")&gt;0,1,0))&gt;=0,"+","−")&amp;ABS(($NF149+2*IF(COUNTIF($MV149:$MY149,"Precisão")&gt;0,1,0))))&amp;IF($OB149&gt;0," · TR"&amp;IF($NG149="",""," CD "&amp;$NG149),""),IF(LEFT($QA149,2)="TR",$QA149&amp;IF($NG149="",""," · CD "&amp;$NG149)&amp;IF(COUNTIF($MV149:$MY149,"Certeiro")&gt;0," · metade",""),"Sem rolagem"))))</f>
        <v/>
      </c>
      <c r="QC149" s="155">
        <f>IF(OR($NB149=0,$NH149=0),"",IF($MQ149=0,IF(OR($OE149&gt;=1,$PB149=0),"Sem dano",$PB149&amp;"d6"&amp;IF($MT149="",""," "&amp;$MT149)),IF(OR($OE149&gt;=1,$PB149=0),UPPER(LEFT(INDEX($PK149:$PQ149,1,MAX(1,$MQ149)),1))&amp;MID(INDEX($PK149:$PQ149,1,MAX(1,$MQ149)),2,99),UPPER(LEFT(INDEX($PK149:$PQ149,1,MAX(1,$MQ149)),1))&amp;MID(INDEX($PK149:$PQ149,1,MAX(1,$MQ149)),2,99)&amp;IF($MT149="",""," "&amp;$MT149)&amp;IF($PC149&gt;0," · +"&amp;$PC149&amp;"d8",""))))</f>
        <v/>
      </c>
      <c r="QD149" s="155">
        <f>COUNTIF($MV149:$MY149,"Longe")+3*COUNTIF($MV149:$MY149,"Muito Longe")</f>
        <v/>
      </c>
      <c r="QE149" s="155">
        <f>COUNTIF($MV149:$MY149,"Maior")+3*COUNTIF($MV149:$MY149,"Muito Maior")</f>
        <v/>
      </c>
      <c r="QF149" s="155">
        <f>IF($NH149=0,0,CHOOSE(1+INDEX($AC$2:$AC$11,$NH149),0,$QD149,$QE149,$QD149+$QE149))</f>
        <v/>
      </c>
      <c r="QG149" s="155">
        <f>IF($NH149=0,0,CHOOSE(1+INDEX($AD$2:$AD$11,$NH149),0,$QD149,$QE149,$QD149+$QE149))</f>
        <v/>
      </c>
      <c r="QH149" s="155">
        <f>IF(OR($NB149=0,$NH149=0),"",INDEX($AI$2:$AN$41,($NH149-1)*4+IF($MQ149=0,1,IF($MQ149&lt;=5,2,IF($MQ149=6,3,4))),1+MIN(5,$QF149))&amp;INDEX($AO$2:$AT$41,($NH149-1)*4+IF($MQ149=0,1,IF($MQ149&lt;=5,2,IF($MQ149=6,3,4))),1+MIN(5,$QG149))&amp;IF(INDEX($AE$2:$AE$11,$NH149)=1,IF(COUNTIF($MV149:$MY149,"Mais Um")&gt;0," · +"&amp;COUNTIF($MV149:$MY149,"Mais Um")&amp;IF(COUNTIF($MV149:$MY149,"Mais Um")&gt;1," alvos"," alvo"),"")&amp;IF(COUNTIF($MV149:$MY149,"Rajada")&gt;0,IF($MQ149=0," · 1 tiro"," · "&amp;(MAX(1,$MQ149-1)+1)&amp;" tiros"),""),""))</f>
        <v/>
      </c>
      <c r="QI149" s="155">
        <f>IF($NB149=0,"",IF($MQ149=0,$NE149&amp;"d6"&amp;IF($OS149&gt;0," − 1 = "&amp;$PB149&amp;"d6"," da básica do nível "&amp;$NC149),$OZ149&amp;" − "&amp;$OU149&amp;" + "&amp;$OX149&amp;" = "&amp;$PA149&amp;" · teto "&amp;4*$MQ149&amp;"d8"&amp;IF($OD149=1," · a Forma devolve "&amp;$MQ149,"")&amp;IF($OY149&gt;0," · perde "&amp;$OY149,"")))</f>
        <v/>
      </c>
      <c r="QJ149" s="155">
        <f>IF($NB149=0,"",IF($MQ149=0,"A básica não amplia: os dados dela sobem com o nível",IF($MQ149&gt;=$ND149,"Já está na maior Classe que o nível liberou",TEXTJOIN(" · ",TRUE,IF(AND(2&gt;$MQ149,2&lt;=$ND149),"2 → "&amp;$PL149&amp;", 6 PE",""),IF(AND(3&gt;$MQ149,3&lt;=$ND149),"3 → "&amp;$PM149&amp;", 9 PE",""),IF(AND(4&gt;$MQ149,4&lt;=$ND149),"4 → "&amp;$PN149&amp;", 12 PE",""),IF(AND(5&gt;$MQ149,5&lt;=$ND149),"5 → "&amp;$PO149&amp;", 15 PE",""),IF(AND(6&gt;$MQ149,6&lt;=$ND149),"6 → "&amp;$PP149&amp;", 18 PE",""),IF(AND(7&gt;$MQ149,7&lt;=$ND149),"7 → "&amp;$PQ149&amp;", 21 PE","")))))</f>
        <v/>
      </c>
      <c r="QK149" s="155">
        <f>IF(OR($NB149=0,$NM149=0),"",IF($MQ149=0,"−1 dado","−"&amp;INDEX($I$2:$N$8,MAX(1,$MQ149),MAX(1,$NR149))&amp;" · "&amp;CHOOSE(MAX(1,$NR149),"Leve","Média","Pesada","Leve · Livre","Média · Livre","Pesada · Livre")))</f>
        <v/>
      </c>
      <c r="QL149" s="155">
        <f>IF(OR($NB149=0,$NN149=0),"",IF($MQ149=0,"−1 dado","−"&amp;INDEX($I$2:$N$8,MAX(1,$MQ149),MAX(1,$NS149))&amp;" · "&amp;CHOOSE(MAX(1,$NS149),"Leve","Média","Pesada","Leve · Livre","Média · Livre","Pesada · Livre")))</f>
        <v/>
      </c>
      <c r="QM149" s="155">
        <f>IF(OR($NB149=0,$NO149=0),"",IF($MQ149=0,"−1 dado","−"&amp;INDEX($I$2:$N$8,MAX(1,$MQ149),MAX(1,$NT149))&amp;" · "&amp;CHOOSE(MAX(1,$NT149),"Leve","Média","Pesada","Leve · Livre","Média · Livre","Pesada · Livre")))</f>
        <v/>
      </c>
      <c r="QN149" s="155">
        <f>IF(OR($NB149=0,$NP149=0),"",IF($MQ149=0,"−1 dado","−"&amp;INDEX($I$2:$N$8,MAX(1,$MQ149),MAX(1,$NU149))&amp;" · "&amp;CHOOSE(MAX(1,$NU149),"Leve","Média","Pesada","Leve · Livre","Média · Livre","Pesada · Livre")))</f>
        <v/>
      </c>
      <c r="QO149" s="155">
        <f>IF(OR($NB149=0,$MZ149=""),"",IF($MQ149=0,"não devolve","+"&amp;IF($OG149=1,CEILING($MQ149/2,1),$MQ149)))</f>
        <v/>
      </c>
      <c r="QP149" s="155">
        <f>IF(OR($NB149=0,$NA149=""),"",IF($MQ149=0,"não devolve","+"&amp;IF($OH149=1,CEILING($MQ149/2,1),$MQ149)))</f>
        <v/>
      </c>
    </row>
    <row r="150">
      <c r="ML150" s="153" t="inlineStr">
        <is>
          <t>Ficha 12 · Especial 4</t>
        </is>
      </c>
      <c r="MM150" s="155" t="n">
        <v>12</v>
      </c>
      <c r="MN150" s="155" t="n">
        <v>1</v>
      </c>
      <c r="MO150" s="155" t="n">
        <v>12</v>
      </c>
      <c r="MP150" s="153" t="inlineStr">
        <is>
          <t>ESPECIAL 4</t>
        </is>
      </c>
      <c r="MQ150" s="155">
        <f>MAX(1,MIN(7,N('INVOCAÇÕES'!$AN$1082)))</f>
        <v/>
      </c>
      <c r="MR150" s="155">
        <f>'INVOCAÇÕES'!$AO$1082&amp;""</f>
        <v/>
      </c>
      <c r="MS150" s="155">
        <f>'INVOCAÇÕES'!$AN$1087&amp;""</f>
        <v/>
      </c>
      <c r="MT150" s="155">
        <f>'INVOCAÇÕES'!$AN$1088&amp;""</f>
        <v/>
      </c>
      <c r="MU150" s="155">
        <f>'INVOCAÇÕES'!$AP$1088&amp;""</f>
        <v/>
      </c>
      <c r="MV150" s="155">
        <f>'INVOCAÇÕES'!$AO$1091&amp;""</f>
        <v/>
      </c>
      <c r="MW150" s="155">
        <f>'INVOCAÇÕES'!$AO$1092&amp;""</f>
        <v/>
      </c>
      <c r="MX150" s="155">
        <f>'INVOCAÇÕES'!$AO$1093&amp;""</f>
        <v/>
      </c>
      <c r="MY150" s="155">
        <f>'INVOCAÇÕES'!$AO$1094&amp;""</f>
        <v/>
      </c>
      <c r="MZ150" s="155">
        <f>'INVOCAÇÕES'!$AO$1095&amp;""</f>
        <v/>
      </c>
      <c r="NA150" s="155">
        <f>'INVOCAÇÕES'!$AO$1096&amp;""</f>
        <v/>
      </c>
      <c r="NB150" s="155">
        <f>IF($MR150&lt;&gt;"",1,0)</f>
        <v/>
      </c>
      <c r="NC150" s="155">
        <f>INDEX($FM$2:$FM$13,$MM150)</f>
        <v/>
      </c>
      <c r="ND150" s="155">
        <f>INDEX($FN$2:$FN$13,$MM150)</f>
        <v/>
      </c>
      <c r="NE150" s="155">
        <f>INDEX($FO$2:$FO$13,$MM150)</f>
        <v/>
      </c>
      <c r="NF150" s="155">
        <f>INDEX($FZ$2:$FZ$13,$MM150)</f>
        <v/>
      </c>
      <c r="NG150" s="155">
        <f>INDEX($GA$2:$GA$13,$MM150)</f>
        <v/>
      </c>
      <c r="NH150" s="155">
        <f>IFERROR(MATCH($MS150,$V$2:$V$11,0),0)</f>
        <v/>
      </c>
      <c r="NI150" s="155">
        <f>IFERROR(VLOOKUP($MV150,$AV$2:$BA$84,2,FALSE),"")</f>
        <v/>
      </c>
      <c r="NJ150" s="155">
        <f>IFERROR(VLOOKUP($MW150,$AV$2:$BA$84,2,FALSE),"")</f>
        <v/>
      </c>
      <c r="NK150" s="155">
        <f>IFERROR(VLOOKUP($MX150,$AV$2:$BA$84,2,FALSE),"")</f>
        <v/>
      </c>
      <c r="NL150" s="155">
        <f>IFERROR(VLOOKUP($MY150,$AV$2:$BA$84,2,FALSE),"")</f>
        <v/>
      </c>
      <c r="NM150" s="155">
        <f>IFERROR(VLOOKUP($MV150,$AV$2:$BA$84,3,FALSE),0)</f>
        <v/>
      </c>
      <c r="NN150" s="155">
        <f>IFERROR(VLOOKUP($MW150,$AV$2:$BA$84,3,FALSE),0)</f>
        <v/>
      </c>
      <c r="NO150" s="155">
        <f>IFERROR(VLOOKUP($MX150,$AV$2:$BA$84,3,FALSE),0)</f>
        <v/>
      </c>
      <c r="NP150" s="155">
        <f>IFERROR(VLOOKUP($MY150,$AV$2:$BA$84,3,FALSE),0)</f>
        <v/>
      </c>
      <c r="NQ150" s="155">
        <f>IF($MQ150=0,0,IF($NH150=0,0,INDEX($X$2:$X$11,$NH150)))</f>
        <v/>
      </c>
      <c r="NR150" s="155">
        <f>IF(OR($NM150=0,$MQ150=0),0,$NM150+3*IF(AND($NI150&lt;&gt;"",OR($NI150=INDEX($EJ$2:$EJ$13,$MM150),$NI150=INDEX($EK$2:$EK$13,$MM150))),1,0))</f>
        <v/>
      </c>
      <c r="NS150" s="155">
        <f>IF(OR($NN150=0,$MQ150=0),0,$NN150+3*IF(AND($NJ150&lt;&gt;"",OR($NJ150=INDEX($EJ$2:$EJ$13,$MM150),$NJ150=INDEX($EK$2:$EK$13,$MM150))),1,0))</f>
        <v/>
      </c>
      <c r="NT150" s="155">
        <f>IF(OR($NO150=0,$MQ150=0),0,$NO150+3*IF(AND($NK150&lt;&gt;"",OR($NK150=INDEX($EJ$2:$EJ$13,$MM150),$NK150=INDEX($EK$2:$EK$13,$MM150))),1,0))</f>
        <v/>
      </c>
      <c r="NU150" s="155">
        <f>IF(OR($NP150=0,$MQ150=0),0,$NP150+3*IF(AND($NL150&lt;&gt;"",OR($NL150=INDEX($EJ$2:$EJ$13,$MM150),$NL150=INDEX($EK$2:$EK$13,$MM150))),1,0))</f>
        <v/>
      </c>
      <c r="NV150" s="155">
        <f>IF($NH150=0,0,IF(INDEX($W$2:$W$11,$NH150)="",0,IF(COUNTIF(INDEX($EJ$2:$EN$13,$MM150,0),INDEX($W$2:$W$11,$NH150))=0,1,0)))</f>
        <v/>
      </c>
      <c r="NW150" s="155">
        <f>IF(OR($NM150=0,$NI150=""),0,IF(COUNTIF(INDEX($EJ$2:$EN$13,$MM150,0),$NI150)=0,1,0))</f>
        <v/>
      </c>
      <c r="NX150" s="155">
        <f>IF(OR($NN150=0,$NJ150=""),0,IF(COUNTIF(INDEX($EJ$2:$EN$13,$MM150,0),$NJ150)=0,1,0))</f>
        <v/>
      </c>
      <c r="NY150" s="155">
        <f>IF(OR($NO150=0,$NK150=""),0,IF(COUNTIF(INDEX($EJ$2:$EN$13,$MM150,0),$NK150)=0,1,0))</f>
        <v/>
      </c>
      <c r="NZ150" s="155">
        <f>IF(OR($NP150=0,$NL150=""),0,IF(COUNTIF(INDEX($EJ$2:$EN$13,$MM150,0),$NL150)=0,1,0))</f>
        <v/>
      </c>
      <c r="OA150" s="155">
        <f>IFERROR(VLOOKUP($MV150,$AV$2:$BA$84,4,FALSE),0)+IFERROR(VLOOKUP($MW150,$AV$2:$BA$84,4,FALSE),0)+IFERROR(VLOOKUP($MX150,$AV$2:$BA$84,4,FALSE),0)+IFERROR(VLOOKUP($MY150,$AV$2:$BA$84,4,FALSE),0)</f>
        <v/>
      </c>
      <c r="OB150" s="155">
        <f>IFERROR(VLOOKUP($MV150,$AV$2:$BA$84,6,FALSE),0)+IFERROR(VLOOKUP($MW150,$AV$2:$BA$84,6,FALSE),0)+IFERROR(VLOOKUP($MX150,$AV$2:$BA$84,6,FALSE),0)+IFERROR(VLOOKUP($MY150,$AV$2:$BA$84,6,FALSE),0)</f>
        <v/>
      </c>
      <c r="OC150" s="155">
        <f>TEXTJOIN(", ",TRUE,IF(IFERROR(VLOOKUP($MV150,$AV$2:$BA$84,5,FALSE),0)=1,$MV150,""),IF(IFERROR(VLOOKUP($MW150,$AV$2:$BA$84,5,FALSE),0)=1,$MW150,""),IF(IFERROR(VLOOKUP($MX150,$AV$2:$BA$84,5,FALSE),0)=1,$MX150,""),IF(IFERROR(VLOOKUP($MY150,$AV$2:$BA$84,5,FALSE),0)=1,$MY150,""))</f>
        <v/>
      </c>
      <c r="OD150" s="155">
        <f>IF($NH150=0,0,INDEX($Y$2:$Y$11,$NH150))</f>
        <v/>
      </c>
      <c r="OE150" s="155">
        <f>IF($NH150=0,0,INDEX($Z$2:$Z$11,$NH150))</f>
        <v/>
      </c>
      <c r="OF150" s="155">
        <f>IF($NH150=0,0,INDEX($AB$2:$AB$11,$NH150))</f>
        <v/>
      </c>
      <c r="OG150" s="155">
        <f>IFERROR(VLOOKUP($MZ150,$BC$2:$BG$24,3,FALSE),0)</f>
        <v/>
      </c>
      <c r="OH150" s="155">
        <f>IFERROR(VLOOKUP($NA150,$BC$2:$BG$24,3,FALSE),0)</f>
        <v/>
      </c>
      <c r="OI150" s="155">
        <f>IFERROR(VLOOKUP($MZ150,$BC$2:$BG$24,2,FALSE),"")</f>
        <v/>
      </c>
      <c r="OJ150" s="155">
        <f>IFERROR(VLOOKUP($NA150,$BC$2:$BG$24,2,FALSE),"")</f>
        <v/>
      </c>
      <c r="OK150" s="155">
        <f>COUNTIF($NQ150:$NU150,1)</f>
        <v/>
      </c>
      <c r="OL150" s="155">
        <f>COUNTIF($NQ150:$NU150,2)</f>
        <v/>
      </c>
      <c r="OM150" s="155">
        <f>COUNTIF($NQ150:$NU150,3)</f>
        <v/>
      </c>
      <c r="ON150" s="155">
        <f>COUNTIF($NQ150:$NU150,4)</f>
        <v/>
      </c>
      <c r="OO150" s="155">
        <f>COUNTIF($NQ150:$NU150,5)</f>
        <v/>
      </c>
      <c r="OP150" s="155">
        <f>COUNTIF($NQ150:$NU150,6)</f>
        <v/>
      </c>
      <c r="OQ150" s="155">
        <f>COUNTIF($OG150:$OH150,1)</f>
        <v/>
      </c>
      <c r="OR150" s="155">
        <f>COUNTIF($OG150:$OH150,2)+$OD150</f>
        <v/>
      </c>
      <c r="OS150" s="155">
        <f>COUNTIF($MV150:$MY150,"?*")</f>
        <v/>
      </c>
      <c r="OT150" s="155">
        <f>COUNTIF($MZ150:$NA150,"?*")+$OD150</f>
        <v/>
      </c>
      <c r="OU150" s="155">
        <f>IF($MQ150=0,0,SUMPRODUCT($OK150:$OP150,INDEX($I$2:$N$8,MAX(1,$MQ150),0)))</f>
        <v/>
      </c>
      <c r="OV150" s="155">
        <f>IF($MQ150=0,0,$OQ150*CEILING($MQ150/2,1)+$OR150*$MQ150)</f>
        <v/>
      </c>
      <c r="OW150" s="155">
        <f>MIN(2*$MQ150,$OV150)</f>
        <v/>
      </c>
      <c r="OX150" s="155">
        <f>MIN($OW150,$OU150)</f>
        <v/>
      </c>
      <c r="OY150" s="155">
        <f>$OW150-$OX150</f>
        <v/>
      </c>
      <c r="OZ150" s="155">
        <f>IF($MQ150=0,0,INDEX($P$2:$P$8,MAX(1,$MQ150)))</f>
        <v/>
      </c>
      <c r="PA150" s="155">
        <f>$OZ150-$OU150+$OX150</f>
        <v/>
      </c>
      <c r="PB150" s="155">
        <f>IF($MQ150=0,MAX(0,$NE150-IF($OS150&gt;0,1,0)),MAX(0,$PA150))</f>
        <v/>
      </c>
      <c r="PC150" s="155">
        <f>IF($MQ150=0,0,(IF(COUNTIF($MV150:$MY150,"Salto")&gt;0,1,0)+IF(COUNTIF($MV150:$MY150,"Queima")&gt;0,1,0)+IF(COUNTIF($MV150:$MY150,"Estilhaço")&gt;0,1,0))*FLOOR($PB150/2,1))</f>
        <v/>
      </c>
      <c r="PD150" s="155">
        <f>MAX(0,2-SUMPRODUCT($OK150:$OP150,$I$2:$N$2)+MIN(2,$OQ150*1+$OR150*1,SUMPRODUCT($OK150:$OP150,$I$2:$N$2)))</f>
        <v/>
      </c>
      <c r="PE150" s="155">
        <f>MAX(0,4-SUMPRODUCT($OK150:$OP150,$I$3:$N$3)+MIN(4,$OQ150*1+$OR150*2,SUMPRODUCT($OK150:$OP150,$I$3:$N$3)))</f>
        <v/>
      </c>
      <c r="PF150" s="155">
        <f>MAX(0,6-SUMPRODUCT($OK150:$OP150,$I$4:$N$4)+MIN(6,$OQ150*2+$OR150*3,SUMPRODUCT($OK150:$OP150,$I$4:$N$4)))</f>
        <v/>
      </c>
      <c r="PG150" s="155">
        <f>MAX(0,9-SUMPRODUCT($OK150:$OP150,$I$5:$N$5)+MIN(8,$OQ150*2+$OR150*4,SUMPRODUCT($OK150:$OP150,$I$5:$N$5)))</f>
        <v/>
      </c>
      <c r="PH150" s="155">
        <f>MAX(0,11-SUMPRODUCT($OK150:$OP150,$I$6:$N$6)+MIN(10,$OQ150*3+$OR150*5,SUMPRODUCT($OK150:$OP150,$I$6:$N$6)))</f>
        <v/>
      </c>
      <c r="PI150" s="155">
        <f>MAX(0,13-SUMPRODUCT($OK150:$OP150,$I$7:$N$7)+MIN(12,$OQ150*3+$OR150*6,SUMPRODUCT($OK150:$OP150,$I$7:$N$7)))</f>
        <v/>
      </c>
      <c r="PJ150" s="155">
        <f>MAX(0,16-SUMPRODUCT($OK150:$OP150,$I$8:$N$8)+MIN(14,$OQ150*4+$OR150*7,SUMPRODUCT($OK150:$OP150,$I$8:$N$8)))</f>
        <v/>
      </c>
      <c r="PK150" s="155">
        <f>IF($OE150=2,3*$PD150&amp;" de vida temp.",IF($OE150=3,"sem dano",IF($PD150=0,IF($OE150=1,"sem cura","sem dano"),IF($OE150=1,"cura ","")&amp;$PD150&amp;"d8")))</f>
        <v/>
      </c>
      <c r="PL150" s="155">
        <f>IF($OE150=2,3*$PE150&amp;" de vida temp.",IF($OE150=3,"sem dano",IF($PE150=0,IF($OE150=1,"sem cura","sem dano"),IF($OE150=1,"cura ","")&amp;$PE150&amp;"d8")))</f>
        <v/>
      </c>
      <c r="PM150" s="155">
        <f>IF($OE150=2,3*$PF150&amp;" de vida temp.",IF($OE150=3,"sem dano",IF($PF150=0,IF($OE150=1,"sem cura","sem dano"),IF($OE150=1,"cura ","")&amp;$PF150&amp;"d8")))</f>
        <v/>
      </c>
      <c r="PN150" s="155">
        <f>IF($OE150=2,3*$PG150&amp;" de vida temp.",IF($OE150=3,"sem dano",IF($PG150=0,IF($OE150=1,"sem cura","sem dano"),IF($OE150=1,"cura ","")&amp;$PG150&amp;"d8")))</f>
        <v/>
      </c>
      <c r="PO150" s="155">
        <f>IF($OE150=2,3*$PH150&amp;" de vida temp.",IF($OE150=3,"sem dano",IF($PH150=0,IF($OE150=1,"sem cura","sem dano"),IF($OE150=1,"cura ","")&amp;$PH150&amp;"d8")))</f>
        <v/>
      </c>
      <c r="PP150" s="155">
        <f>IF($OE150=2,3*$PI150&amp;" de vida temp.",IF($OE150=3,"sem dano",IF($PI150=0,IF($OE150=1,"sem cura","sem dano"),IF($OE150=1,"cura ","")&amp;$PI150&amp;"d8")))</f>
        <v/>
      </c>
      <c r="PQ150" s="155">
        <f>IF($OE150=2,3*$PJ150&amp;" de vida temp.",IF($OE150=3,"sem dano",IF($PJ150=0,IF($OE150=1,"sem cura","sem dano"),IF($OE150=1,"cura ","")&amp;$PJ150&amp;"d8")))</f>
        <v/>
      </c>
      <c r="PR150" s="155">
        <f>IF($NB150=0,"",TEXTJOIN(" · ",TRUE,IF($MO150&gt;$NC150,"Este lugar abre no nível "&amp;$MO150,""),IF($MQ150&gt;$ND150,"Classe "&amp;$MQ150&amp;": o nível "&amp;$NC150&amp;" libera até a "&amp;$ND150,""),IF($NV150=1,"A Forma "&amp;$MS150&amp;" pede "&amp;INDEX($W$2:$W$11,$NH150)&amp;" aberta",""),IF(AND($MQ150=0,$NH150&gt;0,IF($NH150=0,0,INDEX($AF$2:$AF$11,$NH150))=0),$MS150&amp;" não existe na Classe 0",""),IF($NW150=1,"Família Fechada: "&amp;$MV150,""),IF($NX150=1,"Família Fechada: "&amp;$MW150,""),IF($NY150=1,"Família Fechada: "&amp;$MX150,""),IF($NZ150=1,"Família Fechada: "&amp;$MY150,""),IF(AND($MQ150&gt;0,$OS150&gt;INDEX($O$2:$O$8,MAX(1,$MQ150))),$OS150&amp;" Melhorias: a Classe "&amp;$MQ150&amp;" aceita "&amp;INDEX($O$2:$O$8,MAX(1,$MQ150)),""),IF(AND($MQ150=0,$OS150&gt;1),"A básica aceita uma Melhoria",""),IF(AND($MQ150=0,COUNTIF($NM150:$NP150,"&gt;1")&gt;0),"A básica só aceita Melhoria Leve",""),IF(AND($MQ150&gt;0,$OT150&gt;2),$OT150&amp;" Restrições"&amp;IF($OD150=1,", contando a que a Forma "&amp;$MS150&amp;" já traz","")&amp;": o limite é 2",""),IF(AND($MQ150=0,COUNTIF($MZ150:$NA150,"?*")&gt;1),"A básica aceita uma Restrição Leve",""),IF(AND($MQ150=0,COUNTIF($OG150:$OH150,2)&gt;0),"A básica só aceita Restrição Leve",""),IF(AND($MQ150&gt;0,$PA150&lt;0),"Orçamento estourado: faltam "&amp;(-$PA150)&amp;IF($PA150&lt;-1," pontos"," ponto"),""),IF(IFERROR(VLOOKUP($MZ150,$BC$2:$BG$24,4,FALSE),0)+IFERROR(VLOOKUP($NA150,$BC$2:$BG$24,4,FALSE),0)&gt;1,$OI150&amp;" e "&amp;$OJ150&amp;" são as duas de frequência",""),IF(AND((COUNTIF($MV150:$MY150,"Rápido")+COUNTIF($OI150:$OJ150,"Rápido"))&gt;0,(COUNTIF($MV150:$MY150,"Atrasar")+COUNTIF($OI150:$OJ150,"Atrasar"))&gt;0),"Rápido não entra com Atrasar",""),IF(AND((COUNTIF($MV150:$MY150,"Reação")+COUNTIF($OI150:$OJ150,"Reação"))&gt;0,(COUNTIF($MV150:$MY150,"Rápido")+COUNTIF($OI150:$OJ150,"Rápido"))&gt;0),"Reação não entra com Rápido",""),IF(AND((COUNTIF($MV150:$MY150,"Reação")+COUNTIF($OI150:$OJ150,"Reação"))&gt;0,(COUNTIF($MV150:$MY150,"Armado")+COUNTIF($OI150:$OJ150,"Armado"))&gt;0),"Reação não entra com Armado",""),IF(AND((COUNTIF($MV150:$MY150,"Reação")+COUNTIF($OI150:$OJ150,"Reação"))&gt;0,(COUNTIF($MV150:$MY150,"Atrasar")+COUNTIF($OI150:$OJ150,"Atrasar"))&gt;0),"Reação não entra com Atrasar",""),IF(AND((COUNTIF($MV150:$MY150,"Reação")+COUNTIF($OI150:$OJ150,"Reação"))&gt;0,(COUNTIF($MV150:$MY150,"Parado")+COUNTIF($OI150:$OJ150,"Parado"))&gt;0),"Reação não entra com Parado",""),IF(AND((COUNTIF($MV150:$MY150,"Atrasar")+COUNTIF($OI150:$OJ150,"Atrasar"))&gt;0,(COUNTIF($MV150:$MY150,"Parado")+COUNTIF($OI150:$OJ150,"Parado"))&gt;0),"Atrasar não entra com Parado",""),IF(AND((COUNTIF($MV150:$MY150,"Armado")+COUNTIF($OI150:$OJ150,"Armado"))&gt;0,(COUNTIF($MV150:$MY150,"Carregar")+COUNTIF($OI150:$OJ150,"Carregar"))&gt;0),"Armado não entra com Carregar",""),IF(AND(COUNTIF($OI150:$OJ150,"Corpo a Corpo")&gt;0,$OD150=0,OR($MS150="Cone",$MS150="Linha")),"Corpo a Corpo não entra em "&amp;$MS150,""),IF(AND(COUNTIF($OI150:$OJ150,"Corpo a Corpo")&gt;0,$OD150=1),"A Forma "&amp;$MS150&amp;" já traz o Corpo a Corpo",""),IF(AND(COUNTIF($OI150:$OJ150,"Tudo ou Nada")&gt;0,$OF150=0),"Tudo ou Nada só entra em habilidade de Teste de Resistência",""),IF(AND(COUNTIF($MV150:$MY150,"Inescapável")&gt;0,OR($OS150&gt;1,$OT150&gt;0)),"Inescapável não aceita outra peça",""),IF(AND($MQ150&gt;0,$PB150*IF(COUNTIF($MV150:$MY150,"Remate")&gt;0,1.25,1)+$PC150&gt;4*$MQ150),($PB150*IF(COUNTIF($MV150:$MY150,"Remate")&gt;0,1.25,1)+$PC150)&amp;" dados somando repetições"&amp;IF(COUNTIF($MV150:$MY150,"Remate")&gt;0," e o Remate","")&amp;": o teto da Classe "&amp;$MQ150&amp;" é "&amp;4*$MQ150,"")))</f>
        <v/>
      </c>
      <c r="PS150" s="155">
        <f>IF($PR150="",0,(LEN($PR150)-LEN(SUBSTITUTE($PR150," · ","")))/3+1)</f>
        <v/>
      </c>
      <c r="PT150" s="155">
        <f>IF($NB150=0,"",TEXTJOIN(" · ",TRUE,IF($OV150&gt;2*$MQ150,"A devolução parou no teto de "&amp;2*$MQ150,""),IF($OY150&gt;0,"Devolução perdida: "&amp;$OY150&amp;IF($OY150&gt;1," pontos"," ponto")&amp;" sem peça para pagar",""),IF(AND($OA150&gt;0,AND($MQ150&gt;0,$OE150=0),$PB150=0),"Controle sem dano: uma rodada a mais e CD +2",""),IF(AND($OA150&gt;0,AND($MQ150&gt;0,$OE150=0),$PB150&gt;0,$PB150&lt;=$MQ150),"Controle com saldo até a Classe: uma rodada a mais",""),IF(AND($MQ150&gt;0,$OC150&lt;&gt;""),"Efeito de "&amp;$OC150&amp;" pela Classe "&amp;MAX(1,$MQ150-1),"")))</f>
        <v/>
      </c>
      <c r="PU150" s="155">
        <f>IF($PT150="",0,(LEN($PT150)-LEN(SUBSTITUTE($PT150," · ","")))/3+1)</f>
        <v/>
      </c>
      <c r="PV150" s="155">
        <f>IF($NB150=0,IF($OS150+COUNTIF($MZ150:$NA150,"?*")&gt;0,"Dê um nome",""),IF($PS150&gt;0,"⚠ "&amp;$PS150&amp;IF($PS150&gt;1," erros"," erro"),IF($PU150&gt;0,"! "&amp;$PU150&amp;IF($PU150&gt;1," avisos"," aviso"),"Na regra")))</f>
        <v/>
      </c>
      <c r="PW150" s="155">
        <f>IF($NB150=0,"",IF($PS150+$PU150=0,"Dentro das regras que a ficha confere",$PR150&amp;IF(AND($PS150&gt;0,$PU150&gt;0)," · ","")&amp;$PT150))</f>
        <v/>
      </c>
      <c r="PX150" s="155">
        <f>IF($MO150&gt;$NC150,$MP150&amp;" · ABRE NO NÍVEL "&amp;$MO150,$MP150)</f>
        <v/>
      </c>
      <c r="PY150" s="155">
        <f>IF($NB150=0,"",IF($MQ150=0,"Sem PE",3*$MQ150&amp;" PE"))</f>
        <v/>
      </c>
      <c r="PZ150" s="155">
        <f>IF($NB150=0,"",IF($MQ150=0,"A atuação básica dela",IF(COUNTIF($OI150:$OJ150,"Atrasar")&gt;0,"Sua Ação Completa",IF(COUNTIF($MV150:$MY150,"Rápido")&gt;0,"Sua Bônus",IF(COUNTIF($MV150:$MY150,"Reação")&gt;0,"Sua Reação","Sua Padrão")))&amp;" + a básica dela"&amp;IF(COUNTIF($MV150:$MY150,"Reação")&gt;0," e a coletiva","")&amp;IF(COUNTIF($OI150:$OJ150,"Carregar")&gt;0," · em dois turnos","")))</f>
        <v/>
      </c>
      <c r="QA150" s="155">
        <f>IF($MU150&lt;&gt;"",$MU150,IF($NH150=0,"",INDEX($AA$2:$AA$11,$NH150)))</f>
        <v/>
      </c>
      <c r="QB150" s="155">
        <f>IF(OR($NB150=0,$NH150=0),"",IF(COUNTIF($MV150:$MY150,"Inescapável")&gt;0,"Automático",IF($QA150="Ataque",IF($NF150="","Ataque","Ataque "&amp;IF(($NF150+2*IF(COUNTIF($MV150:$MY150,"Precisão")&gt;0,1,0))&gt;=0,"+","−")&amp;ABS(($NF150+2*IF(COUNTIF($MV150:$MY150,"Precisão")&gt;0,1,0))))&amp;IF($OB150&gt;0," · TR"&amp;IF($NG150="",""," CD "&amp;$NG150),""),IF(LEFT($QA150,2)="TR",$QA150&amp;IF($NG150="",""," · CD "&amp;$NG150)&amp;IF(COUNTIF($MV150:$MY150,"Certeiro")&gt;0," · metade",""),"Sem rolagem"))))</f>
        <v/>
      </c>
      <c r="QC150" s="155">
        <f>IF(OR($NB150=0,$NH150=0),"",IF($MQ150=0,IF(OR($OE150&gt;=1,$PB150=0),"Sem dano",$PB150&amp;"d6"&amp;IF($MT150="",""," "&amp;$MT150)),IF(OR($OE150&gt;=1,$PB150=0),UPPER(LEFT(INDEX($PK150:$PQ150,1,MAX(1,$MQ150)),1))&amp;MID(INDEX($PK150:$PQ150,1,MAX(1,$MQ150)),2,99),UPPER(LEFT(INDEX($PK150:$PQ150,1,MAX(1,$MQ150)),1))&amp;MID(INDEX($PK150:$PQ150,1,MAX(1,$MQ150)),2,99)&amp;IF($MT150="",""," "&amp;$MT150)&amp;IF($PC150&gt;0," · +"&amp;$PC150&amp;"d8",""))))</f>
        <v/>
      </c>
      <c r="QD150" s="155">
        <f>COUNTIF($MV150:$MY150,"Longe")+3*COUNTIF($MV150:$MY150,"Muito Longe")</f>
        <v/>
      </c>
      <c r="QE150" s="155">
        <f>COUNTIF($MV150:$MY150,"Maior")+3*COUNTIF($MV150:$MY150,"Muito Maior")</f>
        <v/>
      </c>
      <c r="QF150" s="155">
        <f>IF($NH150=0,0,CHOOSE(1+INDEX($AC$2:$AC$11,$NH150),0,$QD150,$QE150,$QD150+$QE150))</f>
        <v/>
      </c>
      <c r="QG150" s="155">
        <f>IF($NH150=0,0,CHOOSE(1+INDEX($AD$2:$AD$11,$NH150),0,$QD150,$QE150,$QD150+$QE150))</f>
        <v/>
      </c>
      <c r="QH150" s="155">
        <f>IF(OR($NB150=0,$NH150=0),"",INDEX($AI$2:$AN$41,($NH150-1)*4+IF($MQ150=0,1,IF($MQ150&lt;=5,2,IF($MQ150=6,3,4))),1+MIN(5,$QF150))&amp;INDEX($AO$2:$AT$41,($NH150-1)*4+IF($MQ150=0,1,IF($MQ150&lt;=5,2,IF($MQ150=6,3,4))),1+MIN(5,$QG150))&amp;IF(INDEX($AE$2:$AE$11,$NH150)=1,IF(COUNTIF($MV150:$MY150,"Mais Um")&gt;0," · +"&amp;COUNTIF($MV150:$MY150,"Mais Um")&amp;IF(COUNTIF($MV150:$MY150,"Mais Um")&gt;1," alvos"," alvo"),"")&amp;IF(COUNTIF($MV150:$MY150,"Rajada")&gt;0,IF($MQ150=0," · 1 tiro"," · "&amp;(MAX(1,$MQ150-1)+1)&amp;" tiros"),""),""))</f>
        <v/>
      </c>
      <c r="QI150" s="155">
        <f>IF($NB150=0,"",IF($MQ150=0,$NE150&amp;"d6"&amp;IF($OS150&gt;0," − 1 = "&amp;$PB150&amp;"d6"," da básica do nível "&amp;$NC150),$OZ150&amp;" − "&amp;$OU150&amp;" + "&amp;$OX150&amp;" = "&amp;$PA150&amp;" · teto "&amp;4*$MQ150&amp;"d8"&amp;IF($OD150=1," · a Forma devolve "&amp;$MQ150,"")&amp;IF($OY150&gt;0," · perde "&amp;$OY150,"")))</f>
        <v/>
      </c>
      <c r="QJ150" s="155">
        <f>IF($NB150=0,"",IF($MQ150=0,"A básica não amplia: os dados dela sobem com o nível",IF($MQ150&gt;=$ND150,"Já está na maior Classe que o nível liberou",TEXTJOIN(" · ",TRUE,IF(AND(2&gt;$MQ150,2&lt;=$ND150),"2 → "&amp;$PL150&amp;", 6 PE",""),IF(AND(3&gt;$MQ150,3&lt;=$ND150),"3 → "&amp;$PM150&amp;", 9 PE",""),IF(AND(4&gt;$MQ150,4&lt;=$ND150),"4 → "&amp;$PN150&amp;", 12 PE",""),IF(AND(5&gt;$MQ150,5&lt;=$ND150),"5 → "&amp;$PO150&amp;", 15 PE",""),IF(AND(6&gt;$MQ150,6&lt;=$ND150),"6 → "&amp;$PP150&amp;", 18 PE",""),IF(AND(7&gt;$MQ150,7&lt;=$ND150),"7 → "&amp;$PQ150&amp;", 21 PE","")))))</f>
        <v/>
      </c>
      <c r="QK150" s="155">
        <f>IF(OR($NB150=0,$NM150=0),"",IF($MQ150=0,"−1 dado","−"&amp;INDEX($I$2:$N$8,MAX(1,$MQ150),MAX(1,$NR150))&amp;" · "&amp;CHOOSE(MAX(1,$NR150),"Leve","Média","Pesada","Leve · Livre","Média · Livre","Pesada · Livre")))</f>
        <v/>
      </c>
      <c r="QL150" s="155">
        <f>IF(OR($NB150=0,$NN150=0),"",IF($MQ150=0,"−1 dado","−"&amp;INDEX($I$2:$N$8,MAX(1,$MQ150),MAX(1,$NS150))&amp;" · "&amp;CHOOSE(MAX(1,$NS150),"Leve","Média","Pesada","Leve · Livre","Média · Livre","Pesada · Livre")))</f>
        <v/>
      </c>
      <c r="QM150" s="155">
        <f>IF(OR($NB150=0,$NO150=0),"",IF($MQ150=0,"−1 dado","−"&amp;INDEX($I$2:$N$8,MAX(1,$MQ150),MAX(1,$NT150))&amp;" · "&amp;CHOOSE(MAX(1,$NT150),"Leve","Média","Pesada","Leve · Livre","Média · Livre","Pesada · Livre")))</f>
        <v/>
      </c>
      <c r="QN150" s="155">
        <f>IF(OR($NB150=0,$NP150=0),"",IF($MQ150=0,"−1 dado","−"&amp;INDEX($I$2:$N$8,MAX(1,$MQ150),MAX(1,$NU150))&amp;" · "&amp;CHOOSE(MAX(1,$NU150),"Leve","Média","Pesada","Leve · Livre","Média · Livre","Pesada · Livre")))</f>
        <v/>
      </c>
      <c r="QO150" s="155">
        <f>IF(OR($NB150=0,$MZ150=""),"",IF($MQ150=0,"não devolve","+"&amp;IF($OG150=1,CEILING($MQ150/2,1),$MQ150)))</f>
        <v/>
      </c>
      <c r="QP150" s="155">
        <f>IF(OR($NB150=0,$NA150=""),"",IF($MQ150=0,"não devolve","+"&amp;IF($OH150=1,CEILING($MQ150/2,1),$MQ150)))</f>
        <v/>
      </c>
    </row>
    <row r="151">
      <c r="ML151" s="153" t="inlineStr">
        <is>
          <t>Ficha 12 · Especial 5</t>
        </is>
      </c>
      <c r="MM151" s="155" t="n">
        <v>12</v>
      </c>
      <c r="MN151" s="155" t="n">
        <v>1</v>
      </c>
      <c r="MO151" s="155" t="n">
        <v>16</v>
      </c>
      <c r="MP151" s="153" t="inlineStr">
        <is>
          <t>ESPECIAL 5</t>
        </is>
      </c>
      <c r="MQ151" s="155">
        <f>MAX(1,MIN(7,N('INVOCAÇÕES'!$AB$1104)))</f>
        <v/>
      </c>
      <c r="MR151" s="155">
        <f>'INVOCAÇÕES'!$AC$1104&amp;""</f>
        <v/>
      </c>
      <c r="MS151" s="155">
        <f>'INVOCAÇÕES'!$AB$1109&amp;""</f>
        <v/>
      </c>
      <c r="MT151" s="155">
        <f>'INVOCAÇÕES'!$AB$1110&amp;""</f>
        <v/>
      </c>
      <c r="MU151" s="155">
        <f>'INVOCAÇÕES'!$AD$1110&amp;""</f>
        <v/>
      </c>
      <c r="MV151" s="155">
        <f>'INVOCAÇÕES'!$AC$1113&amp;""</f>
        <v/>
      </c>
      <c r="MW151" s="155">
        <f>'INVOCAÇÕES'!$AC$1114&amp;""</f>
        <v/>
      </c>
      <c r="MX151" s="155">
        <f>'INVOCAÇÕES'!$AC$1115&amp;""</f>
        <v/>
      </c>
      <c r="MY151" s="155">
        <f>'INVOCAÇÕES'!$AC$1116&amp;""</f>
        <v/>
      </c>
      <c r="MZ151" s="155">
        <f>'INVOCAÇÕES'!$AC$1117&amp;""</f>
        <v/>
      </c>
      <c r="NA151" s="155">
        <f>'INVOCAÇÕES'!$AC$1118&amp;""</f>
        <v/>
      </c>
      <c r="NB151" s="155">
        <f>IF($MR151&lt;&gt;"",1,0)</f>
        <v/>
      </c>
      <c r="NC151" s="155">
        <f>INDEX($FM$2:$FM$13,$MM151)</f>
        <v/>
      </c>
      <c r="ND151" s="155">
        <f>INDEX($FN$2:$FN$13,$MM151)</f>
        <v/>
      </c>
      <c r="NE151" s="155">
        <f>INDEX($FO$2:$FO$13,$MM151)</f>
        <v/>
      </c>
      <c r="NF151" s="155">
        <f>INDEX($FZ$2:$FZ$13,$MM151)</f>
        <v/>
      </c>
      <c r="NG151" s="155">
        <f>INDEX($GA$2:$GA$13,$MM151)</f>
        <v/>
      </c>
      <c r="NH151" s="155">
        <f>IFERROR(MATCH($MS151,$V$2:$V$11,0),0)</f>
        <v/>
      </c>
      <c r="NI151" s="155">
        <f>IFERROR(VLOOKUP($MV151,$AV$2:$BA$84,2,FALSE),"")</f>
        <v/>
      </c>
      <c r="NJ151" s="155">
        <f>IFERROR(VLOOKUP($MW151,$AV$2:$BA$84,2,FALSE),"")</f>
        <v/>
      </c>
      <c r="NK151" s="155">
        <f>IFERROR(VLOOKUP($MX151,$AV$2:$BA$84,2,FALSE),"")</f>
        <v/>
      </c>
      <c r="NL151" s="155">
        <f>IFERROR(VLOOKUP($MY151,$AV$2:$BA$84,2,FALSE),"")</f>
        <v/>
      </c>
      <c r="NM151" s="155">
        <f>IFERROR(VLOOKUP($MV151,$AV$2:$BA$84,3,FALSE),0)</f>
        <v/>
      </c>
      <c r="NN151" s="155">
        <f>IFERROR(VLOOKUP($MW151,$AV$2:$BA$84,3,FALSE),0)</f>
        <v/>
      </c>
      <c r="NO151" s="155">
        <f>IFERROR(VLOOKUP($MX151,$AV$2:$BA$84,3,FALSE),0)</f>
        <v/>
      </c>
      <c r="NP151" s="155">
        <f>IFERROR(VLOOKUP($MY151,$AV$2:$BA$84,3,FALSE),0)</f>
        <v/>
      </c>
      <c r="NQ151" s="155">
        <f>IF($MQ151=0,0,IF($NH151=0,0,INDEX($X$2:$X$11,$NH151)))</f>
        <v/>
      </c>
      <c r="NR151" s="155">
        <f>IF(OR($NM151=0,$MQ151=0),0,$NM151+3*IF(AND($NI151&lt;&gt;"",OR($NI151=INDEX($EJ$2:$EJ$13,$MM151),$NI151=INDEX($EK$2:$EK$13,$MM151))),1,0))</f>
        <v/>
      </c>
      <c r="NS151" s="155">
        <f>IF(OR($NN151=0,$MQ151=0),0,$NN151+3*IF(AND($NJ151&lt;&gt;"",OR($NJ151=INDEX($EJ$2:$EJ$13,$MM151),$NJ151=INDEX($EK$2:$EK$13,$MM151))),1,0))</f>
        <v/>
      </c>
      <c r="NT151" s="155">
        <f>IF(OR($NO151=0,$MQ151=0),0,$NO151+3*IF(AND($NK151&lt;&gt;"",OR($NK151=INDEX($EJ$2:$EJ$13,$MM151),$NK151=INDEX($EK$2:$EK$13,$MM151))),1,0))</f>
        <v/>
      </c>
      <c r="NU151" s="155">
        <f>IF(OR($NP151=0,$MQ151=0),0,$NP151+3*IF(AND($NL151&lt;&gt;"",OR($NL151=INDEX($EJ$2:$EJ$13,$MM151),$NL151=INDEX($EK$2:$EK$13,$MM151))),1,0))</f>
        <v/>
      </c>
      <c r="NV151" s="155">
        <f>IF($NH151=0,0,IF(INDEX($W$2:$W$11,$NH151)="",0,IF(COUNTIF(INDEX($EJ$2:$EN$13,$MM151,0),INDEX($W$2:$W$11,$NH151))=0,1,0)))</f>
        <v/>
      </c>
      <c r="NW151" s="155">
        <f>IF(OR($NM151=0,$NI151=""),0,IF(COUNTIF(INDEX($EJ$2:$EN$13,$MM151,0),$NI151)=0,1,0))</f>
        <v/>
      </c>
      <c r="NX151" s="155">
        <f>IF(OR($NN151=0,$NJ151=""),0,IF(COUNTIF(INDEX($EJ$2:$EN$13,$MM151,0),$NJ151)=0,1,0))</f>
        <v/>
      </c>
      <c r="NY151" s="155">
        <f>IF(OR($NO151=0,$NK151=""),0,IF(COUNTIF(INDEX($EJ$2:$EN$13,$MM151,0),$NK151)=0,1,0))</f>
        <v/>
      </c>
      <c r="NZ151" s="155">
        <f>IF(OR($NP151=0,$NL151=""),0,IF(COUNTIF(INDEX($EJ$2:$EN$13,$MM151,0),$NL151)=0,1,0))</f>
        <v/>
      </c>
      <c r="OA151" s="155">
        <f>IFERROR(VLOOKUP($MV151,$AV$2:$BA$84,4,FALSE),0)+IFERROR(VLOOKUP($MW151,$AV$2:$BA$84,4,FALSE),0)+IFERROR(VLOOKUP($MX151,$AV$2:$BA$84,4,FALSE),0)+IFERROR(VLOOKUP($MY151,$AV$2:$BA$84,4,FALSE),0)</f>
        <v/>
      </c>
      <c r="OB151" s="155">
        <f>IFERROR(VLOOKUP($MV151,$AV$2:$BA$84,6,FALSE),0)+IFERROR(VLOOKUP($MW151,$AV$2:$BA$84,6,FALSE),0)+IFERROR(VLOOKUP($MX151,$AV$2:$BA$84,6,FALSE),0)+IFERROR(VLOOKUP($MY151,$AV$2:$BA$84,6,FALSE),0)</f>
        <v/>
      </c>
      <c r="OC151" s="155">
        <f>TEXTJOIN(", ",TRUE,IF(IFERROR(VLOOKUP($MV151,$AV$2:$BA$84,5,FALSE),0)=1,$MV151,""),IF(IFERROR(VLOOKUP($MW151,$AV$2:$BA$84,5,FALSE),0)=1,$MW151,""),IF(IFERROR(VLOOKUP($MX151,$AV$2:$BA$84,5,FALSE),0)=1,$MX151,""),IF(IFERROR(VLOOKUP($MY151,$AV$2:$BA$84,5,FALSE),0)=1,$MY151,""))</f>
        <v/>
      </c>
      <c r="OD151" s="155">
        <f>IF($NH151=0,0,INDEX($Y$2:$Y$11,$NH151))</f>
        <v/>
      </c>
      <c r="OE151" s="155">
        <f>IF($NH151=0,0,INDEX($Z$2:$Z$11,$NH151))</f>
        <v/>
      </c>
      <c r="OF151" s="155">
        <f>IF($NH151=0,0,INDEX($AB$2:$AB$11,$NH151))</f>
        <v/>
      </c>
      <c r="OG151" s="155">
        <f>IFERROR(VLOOKUP($MZ151,$BC$2:$BG$24,3,FALSE),0)</f>
        <v/>
      </c>
      <c r="OH151" s="155">
        <f>IFERROR(VLOOKUP($NA151,$BC$2:$BG$24,3,FALSE),0)</f>
        <v/>
      </c>
      <c r="OI151" s="155">
        <f>IFERROR(VLOOKUP($MZ151,$BC$2:$BG$24,2,FALSE),"")</f>
        <v/>
      </c>
      <c r="OJ151" s="155">
        <f>IFERROR(VLOOKUP($NA151,$BC$2:$BG$24,2,FALSE),"")</f>
        <v/>
      </c>
      <c r="OK151" s="155">
        <f>COUNTIF($NQ151:$NU151,1)</f>
        <v/>
      </c>
      <c r="OL151" s="155">
        <f>COUNTIF($NQ151:$NU151,2)</f>
        <v/>
      </c>
      <c r="OM151" s="155">
        <f>COUNTIF($NQ151:$NU151,3)</f>
        <v/>
      </c>
      <c r="ON151" s="155">
        <f>COUNTIF($NQ151:$NU151,4)</f>
        <v/>
      </c>
      <c r="OO151" s="155">
        <f>COUNTIF($NQ151:$NU151,5)</f>
        <v/>
      </c>
      <c r="OP151" s="155">
        <f>COUNTIF($NQ151:$NU151,6)</f>
        <v/>
      </c>
      <c r="OQ151" s="155">
        <f>COUNTIF($OG151:$OH151,1)</f>
        <v/>
      </c>
      <c r="OR151" s="155">
        <f>COUNTIF($OG151:$OH151,2)+$OD151</f>
        <v/>
      </c>
      <c r="OS151" s="155">
        <f>COUNTIF($MV151:$MY151,"?*")</f>
        <v/>
      </c>
      <c r="OT151" s="155">
        <f>COUNTIF($MZ151:$NA151,"?*")+$OD151</f>
        <v/>
      </c>
      <c r="OU151" s="155">
        <f>IF($MQ151=0,0,SUMPRODUCT($OK151:$OP151,INDEX($I$2:$N$8,MAX(1,$MQ151),0)))</f>
        <v/>
      </c>
      <c r="OV151" s="155">
        <f>IF($MQ151=0,0,$OQ151*CEILING($MQ151/2,1)+$OR151*$MQ151)</f>
        <v/>
      </c>
      <c r="OW151" s="155">
        <f>MIN(2*$MQ151,$OV151)</f>
        <v/>
      </c>
      <c r="OX151" s="155">
        <f>MIN($OW151,$OU151)</f>
        <v/>
      </c>
      <c r="OY151" s="155">
        <f>$OW151-$OX151</f>
        <v/>
      </c>
      <c r="OZ151" s="155">
        <f>IF($MQ151=0,0,INDEX($P$2:$P$8,MAX(1,$MQ151)))</f>
        <v/>
      </c>
      <c r="PA151" s="155">
        <f>$OZ151-$OU151+$OX151</f>
        <v/>
      </c>
      <c r="PB151" s="155">
        <f>IF($MQ151=0,MAX(0,$NE151-IF($OS151&gt;0,1,0)),MAX(0,$PA151))</f>
        <v/>
      </c>
      <c r="PC151" s="155">
        <f>IF($MQ151=0,0,(IF(COUNTIF($MV151:$MY151,"Salto")&gt;0,1,0)+IF(COUNTIF($MV151:$MY151,"Queima")&gt;0,1,0)+IF(COUNTIF($MV151:$MY151,"Estilhaço")&gt;0,1,0))*FLOOR($PB151/2,1))</f>
        <v/>
      </c>
      <c r="PD151" s="155">
        <f>MAX(0,2-SUMPRODUCT($OK151:$OP151,$I$2:$N$2)+MIN(2,$OQ151*1+$OR151*1,SUMPRODUCT($OK151:$OP151,$I$2:$N$2)))</f>
        <v/>
      </c>
      <c r="PE151" s="155">
        <f>MAX(0,4-SUMPRODUCT($OK151:$OP151,$I$3:$N$3)+MIN(4,$OQ151*1+$OR151*2,SUMPRODUCT($OK151:$OP151,$I$3:$N$3)))</f>
        <v/>
      </c>
      <c r="PF151" s="155">
        <f>MAX(0,6-SUMPRODUCT($OK151:$OP151,$I$4:$N$4)+MIN(6,$OQ151*2+$OR151*3,SUMPRODUCT($OK151:$OP151,$I$4:$N$4)))</f>
        <v/>
      </c>
      <c r="PG151" s="155">
        <f>MAX(0,9-SUMPRODUCT($OK151:$OP151,$I$5:$N$5)+MIN(8,$OQ151*2+$OR151*4,SUMPRODUCT($OK151:$OP151,$I$5:$N$5)))</f>
        <v/>
      </c>
      <c r="PH151" s="155">
        <f>MAX(0,11-SUMPRODUCT($OK151:$OP151,$I$6:$N$6)+MIN(10,$OQ151*3+$OR151*5,SUMPRODUCT($OK151:$OP151,$I$6:$N$6)))</f>
        <v/>
      </c>
      <c r="PI151" s="155">
        <f>MAX(0,13-SUMPRODUCT($OK151:$OP151,$I$7:$N$7)+MIN(12,$OQ151*3+$OR151*6,SUMPRODUCT($OK151:$OP151,$I$7:$N$7)))</f>
        <v/>
      </c>
      <c r="PJ151" s="155">
        <f>MAX(0,16-SUMPRODUCT($OK151:$OP151,$I$8:$N$8)+MIN(14,$OQ151*4+$OR151*7,SUMPRODUCT($OK151:$OP151,$I$8:$N$8)))</f>
        <v/>
      </c>
      <c r="PK151" s="155">
        <f>IF($OE151=2,3*$PD151&amp;" de vida temp.",IF($OE151=3,"sem dano",IF($PD151=0,IF($OE151=1,"sem cura","sem dano"),IF($OE151=1,"cura ","")&amp;$PD151&amp;"d8")))</f>
        <v/>
      </c>
      <c r="PL151" s="155">
        <f>IF($OE151=2,3*$PE151&amp;" de vida temp.",IF($OE151=3,"sem dano",IF($PE151=0,IF($OE151=1,"sem cura","sem dano"),IF($OE151=1,"cura ","")&amp;$PE151&amp;"d8")))</f>
        <v/>
      </c>
      <c r="PM151" s="155">
        <f>IF($OE151=2,3*$PF151&amp;" de vida temp.",IF($OE151=3,"sem dano",IF($PF151=0,IF($OE151=1,"sem cura","sem dano"),IF($OE151=1,"cura ","")&amp;$PF151&amp;"d8")))</f>
        <v/>
      </c>
      <c r="PN151" s="155">
        <f>IF($OE151=2,3*$PG151&amp;" de vida temp.",IF($OE151=3,"sem dano",IF($PG151=0,IF($OE151=1,"sem cura","sem dano"),IF($OE151=1,"cura ","")&amp;$PG151&amp;"d8")))</f>
        <v/>
      </c>
      <c r="PO151" s="155">
        <f>IF($OE151=2,3*$PH151&amp;" de vida temp.",IF($OE151=3,"sem dano",IF($PH151=0,IF($OE151=1,"sem cura","sem dano"),IF($OE151=1,"cura ","")&amp;$PH151&amp;"d8")))</f>
        <v/>
      </c>
      <c r="PP151" s="155">
        <f>IF($OE151=2,3*$PI151&amp;" de vida temp.",IF($OE151=3,"sem dano",IF($PI151=0,IF($OE151=1,"sem cura","sem dano"),IF($OE151=1,"cura ","")&amp;$PI151&amp;"d8")))</f>
        <v/>
      </c>
      <c r="PQ151" s="155">
        <f>IF($OE151=2,3*$PJ151&amp;" de vida temp.",IF($OE151=3,"sem dano",IF($PJ151=0,IF($OE151=1,"sem cura","sem dano"),IF($OE151=1,"cura ","")&amp;$PJ151&amp;"d8")))</f>
        <v/>
      </c>
      <c r="PR151" s="155">
        <f>IF($NB151=0,"",TEXTJOIN(" · ",TRUE,IF($MO151&gt;$NC151,"Este lugar abre no nível "&amp;$MO151,""),IF($MQ151&gt;$ND151,"Classe "&amp;$MQ151&amp;": o nível "&amp;$NC151&amp;" libera até a "&amp;$ND151,""),IF($NV151=1,"A Forma "&amp;$MS151&amp;" pede "&amp;INDEX($W$2:$W$11,$NH151)&amp;" aberta",""),IF(AND($MQ151=0,$NH151&gt;0,IF($NH151=0,0,INDEX($AF$2:$AF$11,$NH151))=0),$MS151&amp;" não existe na Classe 0",""),IF($NW151=1,"Família Fechada: "&amp;$MV151,""),IF($NX151=1,"Família Fechada: "&amp;$MW151,""),IF($NY151=1,"Família Fechada: "&amp;$MX151,""),IF($NZ151=1,"Família Fechada: "&amp;$MY151,""),IF(AND($MQ151&gt;0,$OS151&gt;INDEX($O$2:$O$8,MAX(1,$MQ151))),$OS151&amp;" Melhorias: a Classe "&amp;$MQ151&amp;" aceita "&amp;INDEX($O$2:$O$8,MAX(1,$MQ151)),""),IF(AND($MQ151=0,$OS151&gt;1),"A básica aceita uma Melhoria",""),IF(AND($MQ151=0,COUNTIF($NM151:$NP151,"&gt;1")&gt;0),"A básica só aceita Melhoria Leve",""),IF(AND($MQ151&gt;0,$OT151&gt;2),$OT151&amp;" Restrições"&amp;IF($OD151=1,", contando a que a Forma "&amp;$MS151&amp;" já traz","")&amp;": o limite é 2",""),IF(AND($MQ151=0,COUNTIF($MZ151:$NA151,"?*")&gt;1),"A básica aceita uma Restrição Leve",""),IF(AND($MQ151=0,COUNTIF($OG151:$OH151,2)&gt;0),"A básica só aceita Restrição Leve",""),IF(AND($MQ151&gt;0,$PA151&lt;0),"Orçamento estourado: faltam "&amp;(-$PA151)&amp;IF($PA151&lt;-1," pontos"," ponto"),""),IF(IFERROR(VLOOKUP($MZ151,$BC$2:$BG$24,4,FALSE),0)+IFERROR(VLOOKUP($NA151,$BC$2:$BG$24,4,FALSE),0)&gt;1,$OI151&amp;" e "&amp;$OJ151&amp;" são as duas de frequência",""),IF(AND((COUNTIF($MV151:$MY151,"Rápido")+COUNTIF($OI151:$OJ151,"Rápido"))&gt;0,(COUNTIF($MV151:$MY151,"Atrasar")+COUNTIF($OI151:$OJ151,"Atrasar"))&gt;0),"Rápido não entra com Atrasar",""),IF(AND((COUNTIF($MV151:$MY151,"Reação")+COUNTIF($OI151:$OJ151,"Reação"))&gt;0,(COUNTIF($MV151:$MY151,"Rápido")+COUNTIF($OI151:$OJ151,"Rápido"))&gt;0),"Reação não entra com Rápido",""),IF(AND((COUNTIF($MV151:$MY151,"Reação")+COUNTIF($OI151:$OJ151,"Reação"))&gt;0,(COUNTIF($MV151:$MY151,"Armado")+COUNTIF($OI151:$OJ151,"Armado"))&gt;0),"Reação não entra com Armado",""),IF(AND((COUNTIF($MV151:$MY151,"Reação")+COUNTIF($OI151:$OJ151,"Reação"))&gt;0,(COUNTIF($MV151:$MY151,"Atrasar")+COUNTIF($OI151:$OJ151,"Atrasar"))&gt;0),"Reação não entra com Atrasar",""),IF(AND((COUNTIF($MV151:$MY151,"Reação")+COUNTIF($OI151:$OJ151,"Reação"))&gt;0,(COUNTIF($MV151:$MY151,"Parado")+COUNTIF($OI151:$OJ151,"Parado"))&gt;0),"Reação não entra com Parado",""),IF(AND((COUNTIF($MV151:$MY151,"Atrasar")+COUNTIF($OI151:$OJ151,"Atrasar"))&gt;0,(COUNTIF($MV151:$MY151,"Parado")+COUNTIF($OI151:$OJ151,"Parado"))&gt;0),"Atrasar não entra com Parado",""),IF(AND((COUNTIF($MV151:$MY151,"Armado")+COUNTIF($OI151:$OJ151,"Armado"))&gt;0,(COUNTIF($MV151:$MY151,"Carregar")+COUNTIF($OI151:$OJ151,"Carregar"))&gt;0),"Armado não entra com Carregar",""),IF(AND(COUNTIF($OI151:$OJ151,"Corpo a Corpo")&gt;0,$OD151=0,OR($MS151="Cone",$MS151="Linha")),"Corpo a Corpo não entra em "&amp;$MS151,""),IF(AND(COUNTIF($OI151:$OJ151,"Corpo a Corpo")&gt;0,$OD151=1),"A Forma "&amp;$MS151&amp;" já traz o Corpo a Corpo",""),IF(AND(COUNTIF($OI151:$OJ151,"Tudo ou Nada")&gt;0,$OF151=0),"Tudo ou Nada só entra em habilidade de Teste de Resistência",""),IF(AND(COUNTIF($MV151:$MY151,"Inescapável")&gt;0,OR($OS151&gt;1,$OT151&gt;0)),"Inescapável não aceita outra peça",""),IF(AND($MQ151&gt;0,$PB151*IF(COUNTIF($MV151:$MY151,"Remate")&gt;0,1.25,1)+$PC151&gt;4*$MQ151),($PB151*IF(COUNTIF($MV151:$MY151,"Remate")&gt;0,1.25,1)+$PC151)&amp;" dados somando repetições"&amp;IF(COUNTIF($MV151:$MY151,"Remate")&gt;0," e o Remate","")&amp;": o teto da Classe "&amp;$MQ151&amp;" é "&amp;4*$MQ151,"")))</f>
        <v/>
      </c>
      <c r="PS151" s="155">
        <f>IF($PR151="",0,(LEN($PR151)-LEN(SUBSTITUTE($PR151," · ","")))/3+1)</f>
        <v/>
      </c>
      <c r="PT151" s="155">
        <f>IF($NB151=0,"",TEXTJOIN(" · ",TRUE,IF($OV151&gt;2*$MQ151,"A devolução parou no teto de "&amp;2*$MQ151,""),IF($OY151&gt;0,"Devolução perdida: "&amp;$OY151&amp;IF($OY151&gt;1," pontos"," ponto")&amp;" sem peça para pagar",""),IF(AND($OA151&gt;0,AND($MQ151&gt;0,$OE151=0),$PB151=0),"Controle sem dano: uma rodada a mais e CD +2",""),IF(AND($OA151&gt;0,AND($MQ151&gt;0,$OE151=0),$PB151&gt;0,$PB151&lt;=$MQ151),"Controle com saldo até a Classe: uma rodada a mais",""),IF(AND($MQ151&gt;0,$OC151&lt;&gt;""),"Efeito de "&amp;$OC151&amp;" pela Classe "&amp;MAX(1,$MQ151-1),"")))</f>
        <v/>
      </c>
      <c r="PU151" s="155">
        <f>IF($PT151="",0,(LEN($PT151)-LEN(SUBSTITUTE($PT151," · ","")))/3+1)</f>
        <v/>
      </c>
      <c r="PV151" s="155">
        <f>IF($NB151=0,IF($OS151+COUNTIF($MZ151:$NA151,"?*")&gt;0,"Dê um nome",""),IF($PS151&gt;0,"⚠ "&amp;$PS151&amp;IF($PS151&gt;1," erros"," erro"),IF($PU151&gt;0,"! "&amp;$PU151&amp;IF($PU151&gt;1," avisos"," aviso"),"Na regra")))</f>
        <v/>
      </c>
      <c r="PW151" s="155">
        <f>IF($NB151=0,"",IF($PS151+$PU151=0,"Dentro das regras que a ficha confere",$PR151&amp;IF(AND($PS151&gt;0,$PU151&gt;0)," · ","")&amp;$PT151))</f>
        <v/>
      </c>
      <c r="PX151" s="155">
        <f>IF($MO151&gt;$NC151,$MP151&amp;" · ABRE NO NÍVEL "&amp;$MO151,$MP151)</f>
        <v/>
      </c>
      <c r="PY151" s="155">
        <f>IF($NB151=0,"",IF($MQ151=0,"Sem PE",3*$MQ151&amp;" PE"))</f>
        <v/>
      </c>
      <c r="PZ151" s="155">
        <f>IF($NB151=0,"",IF($MQ151=0,"A atuação básica dela",IF(COUNTIF($OI151:$OJ151,"Atrasar")&gt;0,"Sua Ação Completa",IF(COUNTIF($MV151:$MY151,"Rápido")&gt;0,"Sua Bônus",IF(COUNTIF($MV151:$MY151,"Reação")&gt;0,"Sua Reação","Sua Padrão")))&amp;" + a básica dela"&amp;IF(COUNTIF($MV151:$MY151,"Reação")&gt;0," e a coletiva","")&amp;IF(COUNTIF($OI151:$OJ151,"Carregar")&gt;0," · em dois turnos","")))</f>
        <v/>
      </c>
      <c r="QA151" s="155">
        <f>IF($MU151&lt;&gt;"",$MU151,IF($NH151=0,"",INDEX($AA$2:$AA$11,$NH151)))</f>
        <v/>
      </c>
      <c r="QB151" s="155">
        <f>IF(OR($NB151=0,$NH151=0),"",IF(COUNTIF($MV151:$MY151,"Inescapável")&gt;0,"Automático",IF($QA151="Ataque",IF($NF151="","Ataque","Ataque "&amp;IF(($NF151+2*IF(COUNTIF($MV151:$MY151,"Precisão")&gt;0,1,0))&gt;=0,"+","−")&amp;ABS(($NF151+2*IF(COUNTIF($MV151:$MY151,"Precisão")&gt;0,1,0))))&amp;IF($OB151&gt;0," · TR"&amp;IF($NG151="",""," CD "&amp;$NG151),""),IF(LEFT($QA151,2)="TR",$QA151&amp;IF($NG151="",""," · CD "&amp;$NG151)&amp;IF(COUNTIF($MV151:$MY151,"Certeiro")&gt;0," · metade",""),"Sem rolagem"))))</f>
        <v/>
      </c>
      <c r="QC151" s="155">
        <f>IF(OR($NB151=0,$NH151=0),"",IF($MQ151=0,IF(OR($OE151&gt;=1,$PB151=0),"Sem dano",$PB151&amp;"d6"&amp;IF($MT151="",""," "&amp;$MT151)),IF(OR($OE151&gt;=1,$PB151=0),UPPER(LEFT(INDEX($PK151:$PQ151,1,MAX(1,$MQ151)),1))&amp;MID(INDEX($PK151:$PQ151,1,MAX(1,$MQ151)),2,99),UPPER(LEFT(INDEX($PK151:$PQ151,1,MAX(1,$MQ151)),1))&amp;MID(INDEX($PK151:$PQ151,1,MAX(1,$MQ151)),2,99)&amp;IF($MT151="",""," "&amp;$MT151)&amp;IF($PC151&gt;0," · +"&amp;$PC151&amp;"d8",""))))</f>
        <v/>
      </c>
      <c r="QD151" s="155">
        <f>COUNTIF($MV151:$MY151,"Longe")+3*COUNTIF($MV151:$MY151,"Muito Longe")</f>
        <v/>
      </c>
      <c r="QE151" s="155">
        <f>COUNTIF($MV151:$MY151,"Maior")+3*COUNTIF($MV151:$MY151,"Muito Maior")</f>
        <v/>
      </c>
      <c r="QF151" s="155">
        <f>IF($NH151=0,0,CHOOSE(1+INDEX($AC$2:$AC$11,$NH151),0,$QD151,$QE151,$QD151+$QE151))</f>
        <v/>
      </c>
      <c r="QG151" s="155">
        <f>IF($NH151=0,0,CHOOSE(1+INDEX($AD$2:$AD$11,$NH151),0,$QD151,$QE151,$QD151+$QE151))</f>
        <v/>
      </c>
      <c r="QH151" s="155">
        <f>IF(OR($NB151=0,$NH151=0),"",INDEX($AI$2:$AN$41,($NH151-1)*4+IF($MQ151=0,1,IF($MQ151&lt;=5,2,IF($MQ151=6,3,4))),1+MIN(5,$QF151))&amp;INDEX($AO$2:$AT$41,($NH151-1)*4+IF($MQ151=0,1,IF($MQ151&lt;=5,2,IF($MQ151=6,3,4))),1+MIN(5,$QG151))&amp;IF(INDEX($AE$2:$AE$11,$NH151)=1,IF(COUNTIF($MV151:$MY151,"Mais Um")&gt;0," · +"&amp;COUNTIF($MV151:$MY151,"Mais Um")&amp;IF(COUNTIF($MV151:$MY151,"Mais Um")&gt;1," alvos"," alvo"),"")&amp;IF(COUNTIF($MV151:$MY151,"Rajada")&gt;0,IF($MQ151=0," · 1 tiro"," · "&amp;(MAX(1,$MQ151-1)+1)&amp;" tiros"),""),""))</f>
        <v/>
      </c>
      <c r="QI151" s="155">
        <f>IF($NB151=0,"",IF($MQ151=0,$NE151&amp;"d6"&amp;IF($OS151&gt;0," − 1 = "&amp;$PB151&amp;"d6"," da básica do nível "&amp;$NC151),$OZ151&amp;" − "&amp;$OU151&amp;" + "&amp;$OX151&amp;" = "&amp;$PA151&amp;" · teto "&amp;4*$MQ151&amp;"d8"&amp;IF($OD151=1," · a Forma devolve "&amp;$MQ151,"")&amp;IF($OY151&gt;0," · perde "&amp;$OY151,"")))</f>
        <v/>
      </c>
      <c r="QJ151" s="155">
        <f>IF($NB151=0,"",IF($MQ151=0,"A básica não amplia: os dados dela sobem com o nível",IF($MQ151&gt;=$ND151,"Já está na maior Classe que o nível liberou",TEXTJOIN(" · ",TRUE,IF(AND(2&gt;$MQ151,2&lt;=$ND151),"2 → "&amp;$PL151&amp;", 6 PE",""),IF(AND(3&gt;$MQ151,3&lt;=$ND151),"3 → "&amp;$PM151&amp;", 9 PE",""),IF(AND(4&gt;$MQ151,4&lt;=$ND151),"4 → "&amp;$PN151&amp;", 12 PE",""),IF(AND(5&gt;$MQ151,5&lt;=$ND151),"5 → "&amp;$PO151&amp;", 15 PE",""),IF(AND(6&gt;$MQ151,6&lt;=$ND151),"6 → "&amp;$PP151&amp;", 18 PE",""),IF(AND(7&gt;$MQ151,7&lt;=$ND151),"7 → "&amp;$PQ151&amp;", 21 PE","")))))</f>
        <v/>
      </c>
      <c r="QK151" s="155">
        <f>IF(OR($NB151=0,$NM151=0),"",IF($MQ151=0,"−1 dado","−"&amp;INDEX($I$2:$N$8,MAX(1,$MQ151),MAX(1,$NR151))&amp;" · "&amp;CHOOSE(MAX(1,$NR151),"Leve","Média","Pesada","Leve · Livre","Média · Livre","Pesada · Livre")))</f>
        <v/>
      </c>
      <c r="QL151" s="155">
        <f>IF(OR($NB151=0,$NN151=0),"",IF($MQ151=0,"−1 dado","−"&amp;INDEX($I$2:$N$8,MAX(1,$MQ151),MAX(1,$NS151))&amp;" · "&amp;CHOOSE(MAX(1,$NS151),"Leve","Média","Pesada","Leve · Livre","Média · Livre","Pesada · Livre")))</f>
        <v/>
      </c>
      <c r="QM151" s="155">
        <f>IF(OR($NB151=0,$NO151=0),"",IF($MQ151=0,"−1 dado","−"&amp;INDEX($I$2:$N$8,MAX(1,$MQ151),MAX(1,$NT151))&amp;" · "&amp;CHOOSE(MAX(1,$NT151),"Leve","Média","Pesada","Leve · Livre","Média · Livre","Pesada · Livre")))</f>
        <v/>
      </c>
      <c r="QN151" s="155">
        <f>IF(OR($NB151=0,$NP151=0),"",IF($MQ151=0,"−1 dado","−"&amp;INDEX($I$2:$N$8,MAX(1,$MQ151),MAX(1,$NU151))&amp;" · "&amp;CHOOSE(MAX(1,$NU151),"Leve","Média","Pesada","Leve · Livre","Média · Livre","Pesada · Livre")))</f>
        <v/>
      </c>
      <c r="QO151" s="155">
        <f>IF(OR($NB151=0,$MZ151=""),"",IF($MQ151=0,"não devolve","+"&amp;IF($OG151=1,CEILING($MQ151/2,1),$MQ151)))</f>
        <v/>
      </c>
      <c r="QP151" s="155">
        <f>IF(OR($NB151=0,$NA151=""),"",IF($MQ151=0,"não devolve","+"&amp;IF($OH151=1,CEILING($MQ151/2,1),$MQ151)))</f>
        <v/>
      </c>
    </row>
    <row r="152">
      <c r="ML152" s="153" t="inlineStr">
        <is>
          <t>Ficha 12 · Especial 6</t>
        </is>
      </c>
      <c r="MM152" s="155" t="n">
        <v>12</v>
      </c>
      <c r="MN152" s="155" t="n">
        <v>1</v>
      </c>
      <c r="MO152" s="155" t="n">
        <v>20</v>
      </c>
      <c r="MP152" s="153" t="inlineStr">
        <is>
          <t>ESPECIAL 6</t>
        </is>
      </c>
      <c r="MQ152" s="155">
        <f>MAX(1,MIN(7,N('INVOCAÇÕES'!$AH$1104)))</f>
        <v/>
      </c>
      <c r="MR152" s="155">
        <f>'INVOCAÇÕES'!$AI$1104&amp;""</f>
        <v/>
      </c>
      <c r="MS152" s="155">
        <f>'INVOCAÇÕES'!$AH$1109&amp;""</f>
        <v/>
      </c>
      <c r="MT152" s="155">
        <f>'INVOCAÇÕES'!$AH$1110&amp;""</f>
        <v/>
      </c>
      <c r="MU152" s="155">
        <f>'INVOCAÇÕES'!$AJ$1110&amp;""</f>
        <v/>
      </c>
      <c r="MV152" s="155">
        <f>'INVOCAÇÕES'!$AI$1113&amp;""</f>
        <v/>
      </c>
      <c r="MW152" s="155">
        <f>'INVOCAÇÕES'!$AI$1114&amp;""</f>
        <v/>
      </c>
      <c r="MX152" s="155">
        <f>'INVOCAÇÕES'!$AI$1115&amp;""</f>
        <v/>
      </c>
      <c r="MY152" s="155">
        <f>'INVOCAÇÕES'!$AI$1116&amp;""</f>
        <v/>
      </c>
      <c r="MZ152" s="155">
        <f>'INVOCAÇÕES'!$AI$1117&amp;""</f>
        <v/>
      </c>
      <c r="NA152" s="155">
        <f>'INVOCAÇÕES'!$AI$1118&amp;""</f>
        <v/>
      </c>
      <c r="NB152" s="155">
        <f>IF($MR152&lt;&gt;"",1,0)</f>
        <v/>
      </c>
      <c r="NC152" s="155">
        <f>INDEX($FM$2:$FM$13,$MM152)</f>
        <v/>
      </c>
      <c r="ND152" s="155">
        <f>INDEX($FN$2:$FN$13,$MM152)</f>
        <v/>
      </c>
      <c r="NE152" s="155">
        <f>INDEX($FO$2:$FO$13,$MM152)</f>
        <v/>
      </c>
      <c r="NF152" s="155">
        <f>INDEX($FZ$2:$FZ$13,$MM152)</f>
        <v/>
      </c>
      <c r="NG152" s="155">
        <f>INDEX($GA$2:$GA$13,$MM152)</f>
        <v/>
      </c>
      <c r="NH152" s="155">
        <f>IFERROR(MATCH($MS152,$V$2:$V$11,0),0)</f>
        <v/>
      </c>
      <c r="NI152" s="155">
        <f>IFERROR(VLOOKUP($MV152,$AV$2:$BA$84,2,FALSE),"")</f>
        <v/>
      </c>
      <c r="NJ152" s="155">
        <f>IFERROR(VLOOKUP($MW152,$AV$2:$BA$84,2,FALSE),"")</f>
        <v/>
      </c>
      <c r="NK152" s="155">
        <f>IFERROR(VLOOKUP($MX152,$AV$2:$BA$84,2,FALSE),"")</f>
        <v/>
      </c>
      <c r="NL152" s="155">
        <f>IFERROR(VLOOKUP($MY152,$AV$2:$BA$84,2,FALSE),"")</f>
        <v/>
      </c>
      <c r="NM152" s="155">
        <f>IFERROR(VLOOKUP($MV152,$AV$2:$BA$84,3,FALSE),0)</f>
        <v/>
      </c>
      <c r="NN152" s="155">
        <f>IFERROR(VLOOKUP($MW152,$AV$2:$BA$84,3,FALSE),0)</f>
        <v/>
      </c>
      <c r="NO152" s="155">
        <f>IFERROR(VLOOKUP($MX152,$AV$2:$BA$84,3,FALSE),0)</f>
        <v/>
      </c>
      <c r="NP152" s="155">
        <f>IFERROR(VLOOKUP($MY152,$AV$2:$BA$84,3,FALSE),0)</f>
        <v/>
      </c>
      <c r="NQ152" s="155">
        <f>IF($MQ152=0,0,IF($NH152=0,0,INDEX($X$2:$X$11,$NH152)))</f>
        <v/>
      </c>
      <c r="NR152" s="155">
        <f>IF(OR($NM152=0,$MQ152=0),0,$NM152+3*IF(AND($NI152&lt;&gt;"",OR($NI152=INDEX($EJ$2:$EJ$13,$MM152),$NI152=INDEX($EK$2:$EK$13,$MM152))),1,0))</f>
        <v/>
      </c>
      <c r="NS152" s="155">
        <f>IF(OR($NN152=0,$MQ152=0),0,$NN152+3*IF(AND($NJ152&lt;&gt;"",OR($NJ152=INDEX($EJ$2:$EJ$13,$MM152),$NJ152=INDEX($EK$2:$EK$13,$MM152))),1,0))</f>
        <v/>
      </c>
      <c r="NT152" s="155">
        <f>IF(OR($NO152=0,$MQ152=0),0,$NO152+3*IF(AND($NK152&lt;&gt;"",OR($NK152=INDEX($EJ$2:$EJ$13,$MM152),$NK152=INDEX($EK$2:$EK$13,$MM152))),1,0))</f>
        <v/>
      </c>
      <c r="NU152" s="155">
        <f>IF(OR($NP152=0,$MQ152=0),0,$NP152+3*IF(AND($NL152&lt;&gt;"",OR($NL152=INDEX($EJ$2:$EJ$13,$MM152),$NL152=INDEX($EK$2:$EK$13,$MM152))),1,0))</f>
        <v/>
      </c>
      <c r="NV152" s="155">
        <f>IF($NH152=0,0,IF(INDEX($W$2:$W$11,$NH152)="",0,IF(COUNTIF(INDEX($EJ$2:$EN$13,$MM152,0),INDEX($W$2:$W$11,$NH152))=0,1,0)))</f>
        <v/>
      </c>
      <c r="NW152" s="155">
        <f>IF(OR($NM152=0,$NI152=""),0,IF(COUNTIF(INDEX($EJ$2:$EN$13,$MM152,0),$NI152)=0,1,0))</f>
        <v/>
      </c>
      <c r="NX152" s="155">
        <f>IF(OR($NN152=0,$NJ152=""),0,IF(COUNTIF(INDEX($EJ$2:$EN$13,$MM152,0),$NJ152)=0,1,0))</f>
        <v/>
      </c>
      <c r="NY152" s="155">
        <f>IF(OR($NO152=0,$NK152=""),0,IF(COUNTIF(INDEX($EJ$2:$EN$13,$MM152,0),$NK152)=0,1,0))</f>
        <v/>
      </c>
      <c r="NZ152" s="155">
        <f>IF(OR($NP152=0,$NL152=""),0,IF(COUNTIF(INDEX($EJ$2:$EN$13,$MM152,0),$NL152)=0,1,0))</f>
        <v/>
      </c>
      <c r="OA152" s="155">
        <f>IFERROR(VLOOKUP($MV152,$AV$2:$BA$84,4,FALSE),0)+IFERROR(VLOOKUP($MW152,$AV$2:$BA$84,4,FALSE),0)+IFERROR(VLOOKUP($MX152,$AV$2:$BA$84,4,FALSE),0)+IFERROR(VLOOKUP($MY152,$AV$2:$BA$84,4,FALSE),0)</f>
        <v/>
      </c>
      <c r="OB152" s="155">
        <f>IFERROR(VLOOKUP($MV152,$AV$2:$BA$84,6,FALSE),0)+IFERROR(VLOOKUP($MW152,$AV$2:$BA$84,6,FALSE),0)+IFERROR(VLOOKUP($MX152,$AV$2:$BA$84,6,FALSE),0)+IFERROR(VLOOKUP($MY152,$AV$2:$BA$84,6,FALSE),0)</f>
        <v/>
      </c>
      <c r="OC152" s="155">
        <f>TEXTJOIN(", ",TRUE,IF(IFERROR(VLOOKUP($MV152,$AV$2:$BA$84,5,FALSE),0)=1,$MV152,""),IF(IFERROR(VLOOKUP($MW152,$AV$2:$BA$84,5,FALSE),0)=1,$MW152,""),IF(IFERROR(VLOOKUP($MX152,$AV$2:$BA$84,5,FALSE),0)=1,$MX152,""),IF(IFERROR(VLOOKUP($MY152,$AV$2:$BA$84,5,FALSE),0)=1,$MY152,""))</f>
        <v/>
      </c>
      <c r="OD152" s="155">
        <f>IF($NH152=0,0,INDEX($Y$2:$Y$11,$NH152))</f>
        <v/>
      </c>
      <c r="OE152" s="155">
        <f>IF($NH152=0,0,INDEX($Z$2:$Z$11,$NH152))</f>
        <v/>
      </c>
      <c r="OF152" s="155">
        <f>IF($NH152=0,0,INDEX($AB$2:$AB$11,$NH152))</f>
        <v/>
      </c>
      <c r="OG152" s="155">
        <f>IFERROR(VLOOKUP($MZ152,$BC$2:$BG$24,3,FALSE),0)</f>
        <v/>
      </c>
      <c r="OH152" s="155">
        <f>IFERROR(VLOOKUP($NA152,$BC$2:$BG$24,3,FALSE),0)</f>
        <v/>
      </c>
      <c r="OI152" s="155">
        <f>IFERROR(VLOOKUP($MZ152,$BC$2:$BG$24,2,FALSE),"")</f>
        <v/>
      </c>
      <c r="OJ152" s="155">
        <f>IFERROR(VLOOKUP($NA152,$BC$2:$BG$24,2,FALSE),"")</f>
        <v/>
      </c>
      <c r="OK152" s="155">
        <f>COUNTIF($NQ152:$NU152,1)</f>
        <v/>
      </c>
      <c r="OL152" s="155">
        <f>COUNTIF($NQ152:$NU152,2)</f>
        <v/>
      </c>
      <c r="OM152" s="155">
        <f>COUNTIF($NQ152:$NU152,3)</f>
        <v/>
      </c>
      <c r="ON152" s="155">
        <f>COUNTIF($NQ152:$NU152,4)</f>
        <v/>
      </c>
      <c r="OO152" s="155">
        <f>COUNTIF($NQ152:$NU152,5)</f>
        <v/>
      </c>
      <c r="OP152" s="155">
        <f>COUNTIF($NQ152:$NU152,6)</f>
        <v/>
      </c>
      <c r="OQ152" s="155">
        <f>COUNTIF($OG152:$OH152,1)</f>
        <v/>
      </c>
      <c r="OR152" s="155">
        <f>COUNTIF($OG152:$OH152,2)+$OD152</f>
        <v/>
      </c>
      <c r="OS152" s="155">
        <f>COUNTIF($MV152:$MY152,"?*")</f>
        <v/>
      </c>
      <c r="OT152" s="155">
        <f>COUNTIF($MZ152:$NA152,"?*")+$OD152</f>
        <v/>
      </c>
      <c r="OU152" s="155">
        <f>IF($MQ152=0,0,SUMPRODUCT($OK152:$OP152,INDEX($I$2:$N$8,MAX(1,$MQ152),0)))</f>
        <v/>
      </c>
      <c r="OV152" s="155">
        <f>IF($MQ152=0,0,$OQ152*CEILING($MQ152/2,1)+$OR152*$MQ152)</f>
        <v/>
      </c>
      <c r="OW152" s="155">
        <f>MIN(2*$MQ152,$OV152)</f>
        <v/>
      </c>
      <c r="OX152" s="155">
        <f>MIN($OW152,$OU152)</f>
        <v/>
      </c>
      <c r="OY152" s="155">
        <f>$OW152-$OX152</f>
        <v/>
      </c>
      <c r="OZ152" s="155">
        <f>IF($MQ152=0,0,INDEX($P$2:$P$8,MAX(1,$MQ152)))</f>
        <v/>
      </c>
      <c r="PA152" s="155">
        <f>$OZ152-$OU152+$OX152</f>
        <v/>
      </c>
      <c r="PB152" s="155">
        <f>IF($MQ152=0,MAX(0,$NE152-IF($OS152&gt;0,1,0)),MAX(0,$PA152))</f>
        <v/>
      </c>
      <c r="PC152" s="155">
        <f>IF($MQ152=0,0,(IF(COUNTIF($MV152:$MY152,"Salto")&gt;0,1,0)+IF(COUNTIF($MV152:$MY152,"Queima")&gt;0,1,0)+IF(COUNTIF($MV152:$MY152,"Estilhaço")&gt;0,1,0))*FLOOR($PB152/2,1))</f>
        <v/>
      </c>
      <c r="PD152" s="155">
        <f>MAX(0,2-SUMPRODUCT($OK152:$OP152,$I$2:$N$2)+MIN(2,$OQ152*1+$OR152*1,SUMPRODUCT($OK152:$OP152,$I$2:$N$2)))</f>
        <v/>
      </c>
      <c r="PE152" s="155">
        <f>MAX(0,4-SUMPRODUCT($OK152:$OP152,$I$3:$N$3)+MIN(4,$OQ152*1+$OR152*2,SUMPRODUCT($OK152:$OP152,$I$3:$N$3)))</f>
        <v/>
      </c>
      <c r="PF152" s="155">
        <f>MAX(0,6-SUMPRODUCT($OK152:$OP152,$I$4:$N$4)+MIN(6,$OQ152*2+$OR152*3,SUMPRODUCT($OK152:$OP152,$I$4:$N$4)))</f>
        <v/>
      </c>
      <c r="PG152" s="155">
        <f>MAX(0,9-SUMPRODUCT($OK152:$OP152,$I$5:$N$5)+MIN(8,$OQ152*2+$OR152*4,SUMPRODUCT($OK152:$OP152,$I$5:$N$5)))</f>
        <v/>
      </c>
      <c r="PH152" s="155">
        <f>MAX(0,11-SUMPRODUCT($OK152:$OP152,$I$6:$N$6)+MIN(10,$OQ152*3+$OR152*5,SUMPRODUCT($OK152:$OP152,$I$6:$N$6)))</f>
        <v/>
      </c>
      <c r="PI152" s="155">
        <f>MAX(0,13-SUMPRODUCT($OK152:$OP152,$I$7:$N$7)+MIN(12,$OQ152*3+$OR152*6,SUMPRODUCT($OK152:$OP152,$I$7:$N$7)))</f>
        <v/>
      </c>
      <c r="PJ152" s="155">
        <f>MAX(0,16-SUMPRODUCT($OK152:$OP152,$I$8:$N$8)+MIN(14,$OQ152*4+$OR152*7,SUMPRODUCT($OK152:$OP152,$I$8:$N$8)))</f>
        <v/>
      </c>
      <c r="PK152" s="155">
        <f>IF($OE152=2,3*$PD152&amp;" de vida temp.",IF($OE152=3,"sem dano",IF($PD152=0,IF($OE152=1,"sem cura","sem dano"),IF($OE152=1,"cura ","")&amp;$PD152&amp;"d8")))</f>
        <v/>
      </c>
      <c r="PL152" s="155">
        <f>IF($OE152=2,3*$PE152&amp;" de vida temp.",IF($OE152=3,"sem dano",IF($PE152=0,IF($OE152=1,"sem cura","sem dano"),IF($OE152=1,"cura ","")&amp;$PE152&amp;"d8")))</f>
        <v/>
      </c>
      <c r="PM152" s="155">
        <f>IF($OE152=2,3*$PF152&amp;" de vida temp.",IF($OE152=3,"sem dano",IF($PF152=0,IF($OE152=1,"sem cura","sem dano"),IF($OE152=1,"cura ","")&amp;$PF152&amp;"d8")))</f>
        <v/>
      </c>
      <c r="PN152" s="155">
        <f>IF($OE152=2,3*$PG152&amp;" de vida temp.",IF($OE152=3,"sem dano",IF($PG152=0,IF($OE152=1,"sem cura","sem dano"),IF($OE152=1,"cura ","")&amp;$PG152&amp;"d8")))</f>
        <v/>
      </c>
      <c r="PO152" s="155">
        <f>IF($OE152=2,3*$PH152&amp;" de vida temp.",IF($OE152=3,"sem dano",IF($PH152=0,IF($OE152=1,"sem cura","sem dano"),IF($OE152=1,"cura ","")&amp;$PH152&amp;"d8")))</f>
        <v/>
      </c>
      <c r="PP152" s="155">
        <f>IF($OE152=2,3*$PI152&amp;" de vida temp.",IF($OE152=3,"sem dano",IF($PI152=0,IF($OE152=1,"sem cura","sem dano"),IF($OE152=1,"cura ","")&amp;$PI152&amp;"d8")))</f>
        <v/>
      </c>
      <c r="PQ152" s="155">
        <f>IF($OE152=2,3*$PJ152&amp;" de vida temp.",IF($OE152=3,"sem dano",IF($PJ152=0,IF($OE152=1,"sem cura","sem dano"),IF($OE152=1,"cura ","")&amp;$PJ152&amp;"d8")))</f>
        <v/>
      </c>
      <c r="PR152" s="155">
        <f>IF($NB152=0,"",TEXTJOIN(" · ",TRUE,IF($MO152&gt;$NC152,"Este lugar abre no nível "&amp;$MO152,""),IF($MQ152&gt;$ND152,"Classe "&amp;$MQ152&amp;": o nível "&amp;$NC152&amp;" libera até a "&amp;$ND152,""),IF($NV152=1,"A Forma "&amp;$MS152&amp;" pede "&amp;INDEX($W$2:$W$11,$NH152)&amp;" aberta",""),IF(AND($MQ152=0,$NH152&gt;0,IF($NH152=0,0,INDEX($AF$2:$AF$11,$NH152))=0),$MS152&amp;" não existe na Classe 0",""),IF($NW152=1,"Família Fechada: "&amp;$MV152,""),IF($NX152=1,"Família Fechada: "&amp;$MW152,""),IF($NY152=1,"Família Fechada: "&amp;$MX152,""),IF($NZ152=1,"Família Fechada: "&amp;$MY152,""),IF(AND($MQ152&gt;0,$OS152&gt;INDEX($O$2:$O$8,MAX(1,$MQ152))),$OS152&amp;" Melhorias: a Classe "&amp;$MQ152&amp;" aceita "&amp;INDEX($O$2:$O$8,MAX(1,$MQ152)),""),IF(AND($MQ152=0,$OS152&gt;1),"A básica aceita uma Melhoria",""),IF(AND($MQ152=0,COUNTIF($NM152:$NP152,"&gt;1")&gt;0),"A básica só aceita Melhoria Leve",""),IF(AND($MQ152&gt;0,$OT152&gt;2),$OT152&amp;" Restrições"&amp;IF($OD152=1,", contando a que a Forma "&amp;$MS152&amp;" já traz","")&amp;": o limite é 2",""),IF(AND($MQ152=0,COUNTIF($MZ152:$NA152,"?*")&gt;1),"A básica aceita uma Restrição Leve",""),IF(AND($MQ152=0,COUNTIF($OG152:$OH152,2)&gt;0),"A básica só aceita Restrição Leve",""),IF(AND($MQ152&gt;0,$PA152&lt;0),"Orçamento estourado: faltam "&amp;(-$PA152)&amp;IF($PA152&lt;-1," pontos"," ponto"),""),IF(IFERROR(VLOOKUP($MZ152,$BC$2:$BG$24,4,FALSE),0)+IFERROR(VLOOKUP($NA152,$BC$2:$BG$24,4,FALSE),0)&gt;1,$OI152&amp;" e "&amp;$OJ152&amp;" são as duas de frequência",""),IF(AND((COUNTIF($MV152:$MY152,"Rápido")+COUNTIF($OI152:$OJ152,"Rápido"))&gt;0,(COUNTIF($MV152:$MY152,"Atrasar")+COUNTIF($OI152:$OJ152,"Atrasar"))&gt;0),"Rápido não entra com Atrasar",""),IF(AND((COUNTIF($MV152:$MY152,"Reação")+COUNTIF($OI152:$OJ152,"Reação"))&gt;0,(COUNTIF($MV152:$MY152,"Rápido")+COUNTIF($OI152:$OJ152,"Rápido"))&gt;0),"Reação não entra com Rápido",""),IF(AND((COUNTIF($MV152:$MY152,"Reação")+COUNTIF($OI152:$OJ152,"Reação"))&gt;0,(COUNTIF($MV152:$MY152,"Armado")+COUNTIF($OI152:$OJ152,"Armado"))&gt;0),"Reação não entra com Armado",""),IF(AND((COUNTIF($MV152:$MY152,"Reação")+COUNTIF($OI152:$OJ152,"Reação"))&gt;0,(COUNTIF($MV152:$MY152,"Atrasar")+COUNTIF($OI152:$OJ152,"Atrasar"))&gt;0),"Reação não entra com Atrasar",""),IF(AND((COUNTIF($MV152:$MY152,"Reação")+COUNTIF($OI152:$OJ152,"Reação"))&gt;0,(COUNTIF($MV152:$MY152,"Parado")+COUNTIF($OI152:$OJ152,"Parado"))&gt;0),"Reação não entra com Parado",""),IF(AND((COUNTIF($MV152:$MY152,"Atrasar")+COUNTIF($OI152:$OJ152,"Atrasar"))&gt;0,(COUNTIF($MV152:$MY152,"Parado")+COUNTIF($OI152:$OJ152,"Parado"))&gt;0),"Atrasar não entra com Parado",""),IF(AND((COUNTIF($MV152:$MY152,"Armado")+COUNTIF($OI152:$OJ152,"Armado"))&gt;0,(COUNTIF($MV152:$MY152,"Carregar")+COUNTIF($OI152:$OJ152,"Carregar"))&gt;0),"Armado não entra com Carregar",""),IF(AND(COUNTIF($OI152:$OJ152,"Corpo a Corpo")&gt;0,$OD152=0,OR($MS152="Cone",$MS152="Linha")),"Corpo a Corpo não entra em "&amp;$MS152,""),IF(AND(COUNTIF($OI152:$OJ152,"Corpo a Corpo")&gt;0,$OD152=1),"A Forma "&amp;$MS152&amp;" já traz o Corpo a Corpo",""),IF(AND(COUNTIF($OI152:$OJ152,"Tudo ou Nada")&gt;0,$OF152=0),"Tudo ou Nada só entra em habilidade de Teste de Resistência",""),IF(AND(COUNTIF($MV152:$MY152,"Inescapável")&gt;0,OR($OS152&gt;1,$OT152&gt;0)),"Inescapável não aceita outra peça",""),IF(AND($MQ152&gt;0,$PB152*IF(COUNTIF($MV152:$MY152,"Remate")&gt;0,1.25,1)+$PC152&gt;4*$MQ152),($PB152*IF(COUNTIF($MV152:$MY152,"Remate")&gt;0,1.25,1)+$PC152)&amp;" dados somando repetições"&amp;IF(COUNTIF($MV152:$MY152,"Remate")&gt;0," e o Remate","")&amp;": o teto da Classe "&amp;$MQ152&amp;" é "&amp;4*$MQ152,"")))</f>
        <v/>
      </c>
      <c r="PS152" s="155">
        <f>IF($PR152="",0,(LEN($PR152)-LEN(SUBSTITUTE($PR152," · ","")))/3+1)</f>
        <v/>
      </c>
      <c r="PT152" s="155">
        <f>IF($NB152=0,"",TEXTJOIN(" · ",TRUE,IF($OV152&gt;2*$MQ152,"A devolução parou no teto de "&amp;2*$MQ152,""),IF($OY152&gt;0,"Devolução perdida: "&amp;$OY152&amp;IF($OY152&gt;1," pontos"," ponto")&amp;" sem peça para pagar",""),IF(AND($OA152&gt;0,AND($MQ152&gt;0,$OE152=0),$PB152=0),"Controle sem dano: uma rodada a mais e CD +2",""),IF(AND($OA152&gt;0,AND($MQ152&gt;0,$OE152=0),$PB152&gt;0,$PB152&lt;=$MQ152),"Controle com saldo até a Classe: uma rodada a mais",""),IF(AND($MQ152&gt;0,$OC152&lt;&gt;""),"Efeito de "&amp;$OC152&amp;" pela Classe "&amp;MAX(1,$MQ152-1),"")))</f>
        <v/>
      </c>
      <c r="PU152" s="155">
        <f>IF($PT152="",0,(LEN($PT152)-LEN(SUBSTITUTE($PT152," · ","")))/3+1)</f>
        <v/>
      </c>
      <c r="PV152" s="155">
        <f>IF($NB152=0,IF($OS152+COUNTIF($MZ152:$NA152,"?*")&gt;0,"Dê um nome",""),IF($PS152&gt;0,"⚠ "&amp;$PS152&amp;IF($PS152&gt;1," erros"," erro"),IF($PU152&gt;0,"! "&amp;$PU152&amp;IF($PU152&gt;1," avisos"," aviso"),"Na regra")))</f>
        <v/>
      </c>
      <c r="PW152" s="155">
        <f>IF($NB152=0,"",IF($PS152+$PU152=0,"Dentro das regras que a ficha confere",$PR152&amp;IF(AND($PS152&gt;0,$PU152&gt;0)," · ","")&amp;$PT152))</f>
        <v/>
      </c>
      <c r="PX152" s="155">
        <f>IF($MO152&gt;$NC152,$MP152&amp;" · ABRE NO NÍVEL "&amp;$MO152,$MP152)</f>
        <v/>
      </c>
      <c r="PY152" s="155">
        <f>IF($NB152=0,"",IF($MQ152=0,"Sem PE",3*$MQ152&amp;" PE"))</f>
        <v/>
      </c>
      <c r="PZ152" s="155">
        <f>IF($NB152=0,"",IF($MQ152=0,"A atuação básica dela",IF(COUNTIF($OI152:$OJ152,"Atrasar")&gt;0,"Sua Ação Completa",IF(COUNTIF($MV152:$MY152,"Rápido")&gt;0,"Sua Bônus",IF(COUNTIF($MV152:$MY152,"Reação")&gt;0,"Sua Reação","Sua Padrão")))&amp;" + a básica dela"&amp;IF(COUNTIF($MV152:$MY152,"Reação")&gt;0," e a coletiva","")&amp;IF(COUNTIF($OI152:$OJ152,"Carregar")&gt;0," · em dois turnos","")))</f>
        <v/>
      </c>
      <c r="QA152" s="155">
        <f>IF($MU152&lt;&gt;"",$MU152,IF($NH152=0,"",INDEX($AA$2:$AA$11,$NH152)))</f>
        <v/>
      </c>
      <c r="QB152" s="155">
        <f>IF(OR($NB152=0,$NH152=0),"",IF(COUNTIF($MV152:$MY152,"Inescapável")&gt;0,"Automático",IF($QA152="Ataque",IF($NF152="","Ataque","Ataque "&amp;IF(($NF152+2*IF(COUNTIF($MV152:$MY152,"Precisão")&gt;0,1,0))&gt;=0,"+","−")&amp;ABS(($NF152+2*IF(COUNTIF($MV152:$MY152,"Precisão")&gt;0,1,0))))&amp;IF($OB152&gt;0," · TR"&amp;IF($NG152="",""," CD "&amp;$NG152),""),IF(LEFT($QA152,2)="TR",$QA152&amp;IF($NG152="",""," · CD "&amp;$NG152)&amp;IF(COUNTIF($MV152:$MY152,"Certeiro")&gt;0," · metade",""),"Sem rolagem"))))</f>
        <v/>
      </c>
      <c r="QC152" s="155">
        <f>IF(OR($NB152=0,$NH152=0),"",IF($MQ152=0,IF(OR($OE152&gt;=1,$PB152=0),"Sem dano",$PB152&amp;"d6"&amp;IF($MT152="",""," "&amp;$MT152)),IF(OR($OE152&gt;=1,$PB152=0),UPPER(LEFT(INDEX($PK152:$PQ152,1,MAX(1,$MQ152)),1))&amp;MID(INDEX($PK152:$PQ152,1,MAX(1,$MQ152)),2,99),UPPER(LEFT(INDEX($PK152:$PQ152,1,MAX(1,$MQ152)),1))&amp;MID(INDEX($PK152:$PQ152,1,MAX(1,$MQ152)),2,99)&amp;IF($MT152="",""," "&amp;$MT152)&amp;IF($PC152&gt;0," · +"&amp;$PC152&amp;"d8",""))))</f>
        <v/>
      </c>
      <c r="QD152" s="155">
        <f>COUNTIF($MV152:$MY152,"Longe")+3*COUNTIF($MV152:$MY152,"Muito Longe")</f>
        <v/>
      </c>
      <c r="QE152" s="155">
        <f>COUNTIF($MV152:$MY152,"Maior")+3*COUNTIF($MV152:$MY152,"Muito Maior")</f>
        <v/>
      </c>
      <c r="QF152" s="155">
        <f>IF($NH152=0,0,CHOOSE(1+INDEX($AC$2:$AC$11,$NH152),0,$QD152,$QE152,$QD152+$QE152))</f>
        <v/>
      </c>
      <c r="QG152" s="155">
        <f>IF($NH152=0,0,CHOOSE(1+INDEX($AD$2:$AD$11,$NH152),0,$QD152,$QE152,$QD152+$QE152))</f>
        <v/>
      </c>
      <c r="QH152" s="155">
        <f>IF(OR($NB152=0,$NH152=0),"",INDEX($AI$2:$AN$41,($NH152-1)*4+IF($MQ152=0,1,IF($MQ152&lt;=5,2,IF($MQ152=6,3,4))),1+MIN(5,$QF152))&amp;INDEX($AO$2:$AT$41,($NH152-1)*4+IF($MQ152=0,1,IF($MQ152&lt;=5,2,IF($MQ152=6,3,4))),1+MIN(5,$QG152))&amp;IF(INDEX($AE$2:$AE$11,$NH152)=1,IF(COUNTIF($MV152:$MY152,"Mais Um")&gt;0," · +"&amp;COUNTIF($MV152:$MY152,"Mais Um")&amp;IF(COUNTIF($MV152:$MY152,"Mais Um")&gt;1," alvos"," alvo"),"")&amp;IF(COUNTIF($MV152:$MY152,"Rajada")&gt;0,IF($MQ152=0," · 1 tiro"," · "&amp;(MAX(1,$MQ152-1)+1)&amp;" tiros"),""),""))</f>
        <v/>
      </c>
      <c r="QI152" s="155">
        <f>IF($NB152=0,"",IF($MQ152=0,$NE152&amp;"d6"&amp;IF($OS152&gt;0," − 1 = "&amp;$PB152&amp;"d6"," da básica do nível "&amp;$NC152),$OZ152&amp;" − "&amp;$OU152&amp;" + "&amp;$OX152&amp;" = "&amp;$PA152&amp;" · teto "&amp;4*$MQ152&amp;"d8"&amp;IF($OD152=1," · a Forma devolve "&amp;$MQ152,"")&amp;IF($OY152&gt;0," · perde "&amp;$OY152,"")))</f>
        <v/>
      </c>
      <c r="QJ152" s="155">
        <f>IF($NB152=0,"",IF($MQ152=0,"A básica não amplia: os dados dela sobem com o nível",IF($MQ152&gt;=$ND152,"Já está na maior Classe que o nível liberou",TEXTJOIN(" · ",TRUE,IF(AND(2&gt;$MQ152,2&lt;=$ND152),"2 → "&amp;$PL152&amp;", 6 PE",""),IF(AND(3&gt;$MQ152,3&lt;=$ND152),"3 → "&amp;$PM152&amp;", 9 PE",""),IF(AND(4&gt;$MQ152,4&lt;=$ND152),"4 → "&amp;$PN152&amp;", 12 PE",""),IF(AND(5&gt;$MQ152,5&lt;=$ND152),"5 → "&amp;$PO152&amp;", 15 PE",""),IF(AND(6&gt;$MQ152,6&lt;=$ND152),"6 → "&amp;$PP152&amp;", 18 PE",""),IF(AND(7&gt;$MQ152,7&lt;=$ND152),"7 → "&amp;$PQ152&amp;", 21 PE","")))))</f>
        <v/>
      </c>
      <c r="QK152" s="155">
        <f>IF(OR($NB152=0,$NM152=0),"",IF($MQ152=0,"−1 dado","−"&amp;INDEX($I$2:$N$8,MAX(1,$MQ152),MAX(1,$NR152))&amp;" · "&amp;CHOOSE(MAX(1,$NR152),"Leve","Média","Pesada","Leve · Livre","Média · Livre","Pesada · Livre")))</f>
        <v/>
      </c>
      <c r="QL152" s="155">
        <f>IF(OR($NB152=0,$NN152=0),"",IF($MQ152=0,"−1 dado","−"&amp;INDEX($I$2:$N$8,MAX(1,$MQ152),MAX(1,$NS152))&amp;" · "&amp;CHOOSE(MAX(1,$NS152),"Leve","Média","Pesada","Leve · Livre","Média · Livre","Pesada · Livre")))</f>
        <v/>
      </c>
      <c r="QM152" s="155">
        <f>IF(OR($NB152=0,$NO152=0),"",IF($MQ152=0,"−1 dado","−"&amp;INDEX($I$2:$N$8,MAX(1,$MQ152),MAX(1,$NT152))&amp;" · "&amp;CHOOSE(MAX(1,$NT152),"Leve","Média","Pesada","Leve · Livre","Média · Livre","Pesada · Livre")))</f>
        <v/>
      </c>
      <c r="QN152" s="155">
        <f>IF(OR($NB152=0,$NP152=0),"",IF($MQ152=0,"−1 dado","−"&amp;INDEX($I$2:$N$8,MAX(1,$MQ152),MAX(1,$NU152))&amp;" · "&amp;CHOOSE(MAX(1,$NU152),"Leve","Média","Pesada","Leve · Livre","Média · Livre","Pesada · Livre")))</f>
        <v/>
      </c>
      <c r="QO152" s="155">
        <f>IF(OR($NB152=0,$MZ152=""),"",IF($MQ152=0,"não devolve","+"&amp;IF($OG152=1,CEILING($MQ152/2,1),$MQ152)))</f>
        <v/>
      </c>
      <c r="QP152" s="155">
        <f>IF(OR($NB152=0,$NA152=""),"",IF($MQ152=0,"não devolve","+"&amp;IF($OH152=1,CEILING($MQ152/2,1),$MQ152)))</f>
        <v/>
      </c>
    </row>
    <row r="153">
      <c r="ML153" s="153" t="inlineStr">
        <is>
          <t>Ficha 12 · Especial 7</t>
        </is>
      </c>
      <c r="MM153" s="155" t="n">
        <v>12</v>
      </c>
      <c r="MN153" s="155" t="n">
        <v>1</v>
      </c>
      <c r="MO153" s="155" t="n">
        <v>24</v>
      </c>
      <c r="MP153" s="153" t="inlineStr">
        <is>
          <t>ESPECIAL 7</t>
        </is>
      </c>
      <c r="MQ153" s="155">
        <f>MAX(1,MIN(7,N('INVOCAÇÕES'!$AN$1104)))</f>
        <v/>
      </c>
      <c r="MR153" s="155">
        <f>'INVOCAÇÕES'!$AO$1104&amp;""</f>
        <v/>
      </c>
      <c r="MS153" s="155">
        <f>'INVOCAÇÕES'!$AN$1109&amp;""</f>
        <v/>
      </c>
      <c r="MT153" s="155">
        <f>'INVOCAÇÕES'!$AN$1110&amp;""</f>
        <v/>
      </c>
      <c r="MU153" s="155">
        <f>'INVOCAÇÕES'!$AP$1110&amp;""</f>
        <v/>
      </c>
      <c r="MV153" s="155">
        <f>'INVOCAÇÕES'!$AO$1113&amp;""</f>
        <v/>
      </c>
      <c r="MW153" s="155">
        <f>'INVOCAÇÕES'!$AO$1114&amp;""</f>
        <v/>
      </c>
      <c r="MX153" s="155">
        <f>'INVOCAÇÕES'!$AO$1115&amp;""</f>
        <v/>
      </c>
      <c r="MY153" s="155">
        <f>'INVOCAÇÕES'!$AO$1116&amp;""</f>
        <v/>
      </c>
      <c r="MZ153" s="155">
        <f>'INVOCAÇÕES'!$AO$1117&amp;""</f>
        <v/>
      </c>
      <c r="NA153" s="155">
        <f>'INVOCAÇÕES'!$AO$1118&amp;""</f>
        <v/>
      </c>
      <c r="NB153" s="155">
        <f>IF($MR153&lt;&gt;"",1,0)</f>
        <v/>
      </c>
      <c r="NC153" s="155">
        <f>INDEX($FM$2:$FM$13,$MM153)</f>
        <v/>
      </c>
      <c r="ND153" s="155">
        <f>INDEX($FN$2:$FN$13,$MM153)</f>
        <v/>
      </c>
      <c r="NE153" s="155">
        <f>INDEX($FO$2:$FO$13,$MM153)</f>
        <v/>
      </c>
      <c r="NF153" s="155">
        <f>INDEX($FZ$2:$FZ$13,$MM153)</f>
        <v/>
      </c>
      <c r="NG153" s="155">
        <f>INDEX($GA$2:$GA$13,$MM153)</f>
        <v/>
      </c>
      <c r="NH153" s="155">
        <f>IFERROR(MATCH($MS153,$V$2:$V$11,0),0)</f>
        <v/>
      </c>
      <c r="NI153" s="155">
        <f>IFERROR(VLOOKUP($MV153,$AV$2:$BA$84,2,FALSE),"")</f>
        <v/>
      </c>
      <c r="NJ153" s="155">
        <f>IFERROR(VLOOKUP($MW153,$AV$2:$BA$84,2,FALSE),"")</f>
        <v/>
      </c>
      <c r="NK153" s="155">
        <f>IFERROR(VLOOKUP($MX153,$AV$2:$BA$84,2,FALSE),"")</f>
        <v/>
      </c>
      <c r="NL153" s="155">
        <f>IFERROR(VLOOKUP($MY153,$AV$2:$BA$84,2,FALSE),"")</f>
        <v/>
      </c>
      <c r="NM153" s="155">
        <f>IFERROR(VLOOKUP($MV153,$AV$2:$BA$84,3,FALSE),0)</f>
        <v/>
      </c>
      <c r="NN153" s="155">
        <f>IFERROR(VLOOKUP($MW153,$AV$2:$BA$84,3,FALSE),0)</f>
        <v/>
      </c>
      <c r="NO153" s="155">
        <f>IFERROR(VLOOKUP($MX153,$AV$2:$BA$84,3,FALSE),0)</f>
        <v/>
      </c>
      <c r="NP153" s="155">
        <f>IFERROR(VLOOKUP($MY153,$AV$2:$BA$84,3,FALSE),0)</f>
        <v/>
      </c>
      <c r="NQ153" s="155">
        <f>IF($MQ153=0,0,IF($NH153=0,0,INDEX($X$2:$X$11,$NH153)))</f>
        <v/>
      </c>
      <c r="NR153" s="155">
        <f>IF(OR($NM153=0,$MQ153=0),0,$NM153+3*IF(AND($NI153&lt;&gt;"",OR($NI153=INDEX($EJ$2:$EJ$13,$MM153),$NI153=INDEX($EK$2:$EK$13,$MM153))),1,0))</f>
        <v/>
      </c>
      <c r="NS153" s="155">
        <f>IF(OR($NN153=0,$MQ153=0),0,$NN153+3*IF(AND($NJ153&lt;&gt;"",OR($NJ153=INDEX($EJ$2:$EJ$13,$MM153),$NJ153=INDEX($EK$2:$EK$13,$MM153))),1,0))</f>
        <v/>
      </c>
      <c r="NT153" s="155">
        <f>IF(OR($NO153=0,$MQ153=0),0,$NO153+3*IF(AND($NK153&lt;&gt;"",OR($NK153=INDEX($EJ$2:$EJ$13,$MM153),$NK153=INDEX($EK$2:$EK$13,$MM153))),1,0))</f>
        <v/>
      </c>
      <c r="NU153" s="155">
        <f>IF(OR($NP153=0,$MQ153=0),0,$NP153+3*IF(AND($NL153&lt;&gt;"",OR($NL153=INDEX($EJ$2:$EJ$13,$MM153),$NL153=INDEX($EK$2:$EK$13,$MM153))),1,0))</f>
        <v/>
      </c>
      <c r="NV153" s="155">
        <f>IF($NH153=0,0,IF(INDEX($W$2:$W$11,$NH153)="",0,IF(COUNTIF(INDEX($EJ$2:$EN$13,$MM153,0),INDEX($W$2:$W$11,$NH153))=0,1,0)))</f>
        <v/>
      </c>
      <c r="NW153" s="155">
        <f>IF(OR($NM153=0,$NI153=""),0,IF(COUNTIF(INDEX($EJ$2:$EN$13,$MM153,0),$NI153)=0,1,0))</f>
        <v/>
      </c>
      <c r="NX153" s="155">
        <f>IF(OR($NN153=0,$NJ153=""),0,IF(COUNTIF(INDEX($EJ$2:$EN$13,$MM153,0),$NJ153)=0,1,0))</f>
        <v/>
      </c>
      <c r="NY153" s="155">
        <f>IF(OR($NO153=0,$NK153=""),0,IF(COUNTIF(INDEX($EJ$2:$EN$13,$MM153,0),$NK153)=0,1,0))</f>
        <v/>
      </c>
      <c r="NZ153" s="155">
        <f>IF(OR($NP153=0,$NL153=""),0,IF(COUNTIF(INDEX($EJ$2:$EN$13,$MM153,0),$NL153)=0,1,0))</f>
        <v/>
      </c>
      <c r="OA153" s="155">
        <f>IFERROR(VLOOKUP($MV153,$AV$2:$BA$84,4,FALSE),0)+IFERROR(VLOOKUP($MW153,$AV$2:$BA$84,4,FALSE),0)+IFERROR(VLOOKUP($MX153,$AV$2:$BA$84,4,FALSE),0)+IFERROR(VLOOKUP($MY153,$AV$2:$BA$84,4,FALSE),0)</f>
        <v/>
      </c>
      <c r="OB153" s="155">
        <f>IFERROR(VLOOKUP($MV153,$AV$2:$BA$84,6,FALSE),0)+IFERROR(VLOOKUP($MW153,$AV$2:$BA$84,6,FALSE),0)+IFERROR(VLOOKUP($MX153,$AV$2:$BA$84,6,FALSE),0)+IFERROR(VLOOKUP($MY153,$AV$2:$BA$84,6,FALSE),0)</f>
        <v/>
      </c>
      <c r="OC153" s="155">
        <f>TEXTJOIN(", ",TRUE,IF(IFERROR(VLOOKUP($MV153,$AV$2:$BA$84,5,FALSE),0)=1,$MV153,""),IF(IFERROR(VLOOKUP($MW153,$AV$2:$BA$84,5,FALSE),0)=1,$MW153,""),IF(IFERROR(VLOOKUP($MX153,$AV$2:$BA$84,5,FALSE),0)=1,$MX153,""),IF(IFERROR(VLOOKUP($MY153,$AV$2:$BA$84,5,FALSE),0)=1,$MY153,""))</f>
        <v/>
      </c>
      <c r="OD153" s="155">
        <f>IF($NH153=0,0,INDEX($Y$2:$Y$11,$NH153))</f>
        <v/>
      </c>
      <c r="OE153" s="155">
        <f>IF($NH153=0,0,INDEX($Z$2:$Z$11,$NH153))</f>
        <v/>
      </c>
      <c r="OF153" s="155">
        <f>IF($NH153=0,0,INDEX($AB$2:$AB$11,$NH153))</f>
        <v/>
      </c>
      <c r="OG153" s="155">
        <f>IFERROR(VLOOKUP($MZ153,$BC$2:$BG$24,3,FALSE),0)</f>
        <v/>
      </c>
      <c r="OH153" s="155">
        <f>IFERROR(VLOOKUP($NA153,$BC$2:$BG$24,3,FALSE),0)</f>
        <v/>
      </c>
      <c r="OI153" s="155">
        <f>IFERROR(VLOOKUP($MZ153,$BC$2:$BG$24,2,FALSE),"")</f>
        <v/>
      </c>
      <c r="OJ153" s="155">
        <f>IFERROR(VLOOKUP($NA153,$BC$2:$BG$24,2,FALSE),"")</f>
        <v/>
      </c>
      <c r="OK153" s="155">
        <f>COUNTIF($NQ153:$NU153,1)</f>
        <v/>
      </c>
      <c r="OL153" s="155">
        <f>COUNTIF($NQ153:$NU153,2)</f>
        <v/>
      </c>
      <c r="OM153" s="155">
        <f>COUNTIF($NQ153:$NU153,3)</f>
        <v/>
      </c>
      <c r="ON153" s="155">
        <f>COUNTIF($NQ153:$NU153,4)</f>
        <v/>
      </c>
      <c r="OO153" s="155">
        <f>COUNTIF($NQ153:$NU153,5)</f>
        <v/>
      </c>
      <c r="OP153" s="155">
        <f>COUNTIF($NQ153:$NU153,6)</f>
        <v/>
      </c>
      <c r="OQ153" s="155">
        <f>COUNTIF($OG153:$OH153,1)</f>
        <v/>
      </c>
      <c r="OR153" s="155">
        <f>COUNTIF($OG153:$OH153,2)+$OD153</f>
        <v/>
      </c>
      <c r="OS153" s="155">
        <f>COUNTIF($MV153:$MY153,"?*")</f>
        <v/>
      </c>
      <c r="OT153" s="155">
        <f>COUNTIF($MZ153:$NA153,"?*")+$OD153</f>
        <v/>
      </c>
      <c r="OU153" s="155">
        <f>IF($MQ153=0,0,SUMPRODUCT($OK153:$OP153,INDEX($I$2:$N$8,MAX(1,$MQ153),0)))</f>
        <v/>
      </c>
      <c r="OV153" s="155">
        <f>IF($MQ153=0,0,$OQ153*CEILING($MQ153/2,1)+$OR153*$MQ153)</f>
        <v/>
      </c>
      <c r="OW153" s="155">
        <f>MIN(2*$MQ153,$OV153)</f>
        <v/>
      </c>
      <c r="OX153" s="155">
        <f>MIN($OW153,$OU153)</f>
        <v/>
      </c>
      <c r="OY153" s="155">
        <f>$OW153-$OX153</f>
        <v/>
      </c>
      <c r="OZ153" s="155">
        <f>IF($MQ153=0,0,INDEX($P$2:$P$8,MAX(1,$MQ153)))</f>
        <v/>
      </c>
      <c r="PA153" s="155">
        <f>$OZ153-$OU153+$OX153</f>
        <v/>
      </c>
      <c r="PB153" s="155">
        <f>IF($MQ153=0,MAX(0,$NE153-IF($OS153&gt;0,1,0)),MAX(0,$PA153))</f>
        <v/>
      </c>
      <c r="PC153" s="155">
        <f>IF($MQ153=0,0,(IF(COUNTIF($MV153:$MY153,"Salto")&gt;0,1,0)+IF(COUNTIF($MV153:$MY153,"Queima")&gt;0,1,0)+IF(COUNTIF($MV153:$MY153,"Estilhaço")&gt;0,1,0))*FLOOR($PB153/2,1))</f>
        <v/>
      </c>
      <c r="PD153" s="155">
        <f>MAX(0,2-SUMPRODUCT($OK153:$OP153,$I$2:$N$2)+MIN(2,$OQ153*1+$OR153*1,SUMPRODUCT($OK153:$OP153,$I$2:$N$2)))</f>
        <v/>
      </c>
      <c r="PE153" s="155">
        <f>MAX(0,4-SUMPRODUCT($OK153:$OP153,$I$3:$N$3)+MIN(4,$OQ153*1+$OR153*2,SUMPRODUCT($OK153:$OP153,$I$3:$N$3)))</f>
        <v/>
      </c>
      <c r="PF153" s="155">
        <f>MAX(0,6-SUMPRODUCT($OK153:$OP153,$I$4:$N$4)+MIN(6,$OQ153*2+$OR153*3,SUMPRODUCT($OK153:$OP153,$I$4:$N$4)))</f>
        <v/>
      </c>
      <c r="PG153" s="155">
        <f>MAX(0,9-SUMPRODUCT($OK153:$OP153,$I$5:$N$5)+MIN(8,$OQ153*2+$OR153*4,SUMPRODUCT($OK153:$OP153,$I$5:$N$5)))</f>
        <v/>
      </c>
      <c r="PH153" s="155">
        <f>MAX(0,11-SUMPRODUCT($OK153:$OP153,$I$6:$N$6)+MIN(10,$OQ153*3+$OR153*5,SUMPRODUCT($OK153:$OP153,$I$6:$N$6)))</f>
        <v/>
      </c>
      <c r="PI153" s="155">
        <f>MAX(0,13-SUMPRODUCT($OK153:$OP153,$I$7:$N$7)+MIN(12,$OQ153*3+$OR153*6,SUMPRODUCT($OK153:$OP153,$I$7:$N$7)))</f>
        <v/>
      </c>
      <c r="PJ153" s="155">
        <f>MAX(0,16-SUMPRODUCT($OK153:$OP153,$I$8:$N$8)+MIN(14,$OQ153*4+$OR153*7,SUMPRODUCT($OK153:$OP153,$I$8:$N$8)))</f>
        <v/>
      </c>
      <c r="PK153" s="155">
        <f>IF($OE153=2,3*$PD153&amp;" de vida temp.",IF($OE153=3,"sem dano",IF($PD153=0,IF($OE153=1,"sem cura","sem dano"),IF($OE153=1,"cura ","")&amp;$PD153&amp;"d8")))</f>
        <v/>
      </c>
      <c r="PL153" s="155">
        <f>IF($OE153=2,3*$PE153&amp;" de vida temp.",IF($OE153=3,"sem dano",IF($PE153=0,IF($OE153=1,"sem cura","sem dano"),IF($OE153=1,"cura ","")&amp;$PE153&amp;"d8")))</f>
        <v/>
      </c>
      <c r="PM153" s="155">
        <f>IF($OE153=2,3*$PF153&amp;" de vida temp.",IF($OE153=3,"sem dano",IF($PF153=0,IF($OE153=1,"sem cura","sem dano"),IF($OE153=1,"cura ","")&amp;$PF153&amp;"d8")))</f>
        <v/>
      </c>
      <c r="PN153" s="155">
        <f>IF($OE153=2,3*$PG153&amp;" de vida temp.",IF($OE153=3,"sem dano",IF($PG153=0,IF($OE153=1,"sem cura","sem dano"),IF($OE153=1,"cura ","")&amp;$PG153&amp;"d8")))</f>
        <v/>
      </c>
      <c r="PO153" s="155">
        <f>IF($OE153=2,3*$PH153&amp;" de vida temp.",IF($OE153=3,"sem dano",IF($PH153=0,IF($OE153=1,"sem cura","sem dano"),IF($OE153=1,"cura ","")&amp;$PH153&amp;"d8")))</f>
        <v/>
      </c>
      <c r="PP153" s="155">
        <f>IF($OE153=2,3*$PI153&amp;" de vida temp.",IF($OE153=3,"sem dano",IF($PI153=0,IF($OE153=1,"sem cura","sem dano"),IF($OE153=1,"cura ","")&amp;$PI153&amp;"d8")))</f>
        <v/>
      </c>
      <c r="PQ153" s="155">
        <f>IF($OE153=2,3*$PJ153&amp;" de vida temp.",IF($OE153=3,"sem dano",IF($PJ153=0,IF($OE153=1,"sem cura","sem dano"),IF($OE153=1,"cura ","")&amp;$PJ153&amp;"d8")))</f>
        <v/>
      </c>
      <c r="PR153" s="155">
        <f>IF($NB153=0,"",TEXTJOIN(" · ",TRUE,IF($MO153&gt;$NC153,"Este lugar abre no nível "&amp;$MO153,""),IF($MQ153&gt;$ND153,"Classe "&amp;$MQ153&amp;": o nível "&amp;$NC153&amp;" libera até a "&amp;$ND153,""),IF($NV153=1,"A Forma "&amp;$MS153&amp;" pede "&amp;INDEX($W$2:$W$11,$NH153)&amp;" aberta",""),IF(AND($MQ153=0,$NH153&gt;0,IF($NH153=0,0,INDEX($AF$2:$AF$11,$NH153))=0),$MS153&amp;" não existe na Classe 0",""),IF($NW153=1,"Família Fechada: "&amp;$MV153,""),IF($NX153=1,"Família Fechada: "&amp;$MW153,""),IF($NY153=1,"Família Fechada: "&amp;$MX153,""),IF($NZ153=1,"Família Fechada: "&amp;$MY153,""),IF(AND($MQ153&gt;0,$OS153&gt;INDEX($O$2:$O$8,MAX(1,$MQ153))),$OS153&amp;" Melhorias: a Classe "&amp;$MQ153&amp;" aceita "&amp;INDEX($O$2:$O$8,MAX(1,$MQ153)),""),IF(AND($MQ153=0,$OS153&gt;1),"A básica aceita uma Melhoria",""),IF(AND($MQ153=0,COUNTIF($NM153:$NP153,"&gt;1")&gt;0),"A básica só aceita Melhoria Leve",""),IF(AND($MQ153&gt;0,$OT153&gt;2),$OT153&amp;" Restrições"&amp;IF($OD153=1,", contando a que a Forma "&amp;$MS153&amp;" já traz","")&amp;": o limite é 2",""),IF(AND($MQ153=0,COUNTIF($MZ153:$NA153,"?*")&gt;1),"A básica aceita uma Restrição Leve",""),IF(AND($MQ153=0,COUNTIF($OG153:$OH153,2)&gt;0),"A básica só aceita Restrição Leve",""),IF(AND($MQ153&gt;0,$PA153&lt;0),"Orçamento estourado: faltam "&amp;(-$PA153)&amp;IF($PA153&lt;-1," pontos"," ponto"),""),IF(IFERROR(VLOOKUP($MZ153,$BC$2:$BG$24,4,FALSE),0)+IFERROR(VLOOKUP($NA153,$BC$2:$BG$24,4,FALSE),0)&gt;1,$OI153&amp;" e "&amp;$OJ153&amp;" são as duas de frequência",""),IF(AND((COUNTIF($MV153:$MY153,"Rápido")+COUNTIF($OI153:$OJ153,"Rápido"))&gt;0,(COUNTIF($MV153:$MY153,"Atrasar")+COUNTIF($OI153:$OJ153,"Atrasar"))&gt;0),"Rápido não entra com Atrasar",""),IF(AND((COUNTIF($MV153:$MY153,"Reação")+COUNTIF($OI153:$OJ153,"Reação"))&gt;0,(COUNTIF($MV153:$MY153,"Rápido")+COUNTIF($OI153:$OJ153,"Rápido"))&gt;0),"Reação não entra com Rápido",""),IF(AND((COUNTIF($MV153:$MY153,"Reação")+COUNTIF($OI153:$OJ153,"Reação"))&gt;0,(COUNTIF($MV153:$MY153,"Armado")+COUNTIF($OI153:$OJ153,"Armado"))&gt;0),"Reação não entra com Armado",""),IF(AND((COUNTIF($MV153:$MY153,"Reação")+COUNTIF($OI153:$OJ153,"Reação"))&gt;0,(COUNTIF($MV153:$MY153,"Atrasar")+COUNTIF($OI153:$OJ153,"Atrasar"))&gt;0),"Reação não entra com Atrasar",""),IF(AND((COUNTIF($MV153:$MY153,"Reação")+COUNTIF($OI153:$OJ153,"Reação"))&gt;0,(COUNTIF($MV153:$MY153,"Parado")+COUNTIF($OI153:$OJ153,"Parado"))&gt;0),"Reação não entra com Parado",""),IF(AND((COUNTIF($MV153:$MY153,"Atrasar")+COUNTIF($OI153:$OJ153,"Atrasar"))&gt;0,(COUNTIF($MV153:$MY153,"Parado")+COUNTIF($OI153:$OJ153,"Parado"))&gt;0),"Atrasar não entra com Parado",""),IF(AND((COUNTIF($MV153:$MY153,"Armado")+COUNTIF($OI153:$OJ153,"Armado"))&gt;0,(COUNTIF($MV153:$MY153,"Carregar")+COUNTIF($OI153:$OJ153,"Carregar"))&gt;0),"Armado não entra com Carregar",""),IF(AND(COUNTIF($OI153:$OJ153,"Corpo a Corpo")&gt;0,$OD153=0,OR($MS153="Cone",$MS153="Linha")),"Corpo a Corpo não entra em "&amp;$MS153,""),IF(AND(COUNTIF($OI153:$OJ153,"Corpo a Corpo")&gt;0,$OD153=1),"A Forma "&amp;$MS153&amp;" já traz o Corpo a Corpo",""),IF(AND(COUNTIF($OI153:$OJ153,"Tudo ou Nada")&gt;0,$OF153=0),"Tudo ou Nada só entra em habilidade de Teste de Resistência",""),IF(AND(COUNTIF($MV153:$MY153,"Inescapável")&gt;0,OR($OS153&gt;1,$OT153&gt;0)),"Inescapável não aceita outra peça",""),IF(AND($MQ153&gt;0,$PB153*IF(COUNTIF($MV153:$MY153,"Remate")&gt;0,1.25,1)+$PC153&gt;4*$MQ153),($PB153*IF(COUNTIF($MV153:$MY153,"Remate")&gt;0,1.25,1)+$PC153)&amp;" dados somando repetições"&amp;IF(COUNTIF($MV153:$MY153,"Remate")&gt;0," e o Remate","")&amp;": o teto da Classe "&amp;$MQ153&amp;" é "&amp;4*$MQ153,"")))</f>
        <v/>
      </c>
      <c r="PS153" s="155">
        <f>IF($PR153="",0,(LEN($PR153)-LEN(SUBSTITUTE($PR153," · ","")))/3+1)</f>
        <v/>
      </c>
      <c r="PT153" s="155">
        <f>IF($NB153=0,"",TEXTJOIN(" · ",TRUE,IF($OV153&gt;2*$MQ153,"A devolução parou no teto de "&amp;2*$MQ153,""),IF($OY153&gt;0,"Devolução perdida: "&amp;$OY153&amp;IF($OY153&gt;1," pontos"," ponto")&amp;" sem peça para pagar",""),IF(AND($OA153&gt;0,AND($MQ153&gt;0,$OE153=0),$PB153=0),"Controle sem dano: uma rodada a mais e CD +2",""),IF(AND($OA153&gt;0,AND($MQ153&gt;0,$OE153=0),$PB153&gt;0,$PB153&lt;=$MQ153),"Controle com saldo até a Classe: uma rodada a mais",""),IF(AND($MQ153&gt;0,$OC153&lt;&gt;""),"Efeito de "&amp;$OC153&amp;" pela Classe "&amp;MAX(1,$MQ153-1),"")))</f>
        <v/>
      </c>
      <c r="PU153" s="155">
        <f>IF($PT153="",0,(LEN($PT153)-LEN(SUBSTITUTE($PT153," · ","")))/3+1)</f>
        <v/>
      </c>
      <c r="PV153" s="155">
        <f>IF($NB153=0,IF($OS153+COUNTIF($MZ153:$NA153,"?*")&gt;0,"Dê um nome",""),IF($PS153&gt;0,"⚠ "&amp;$PS153&amp;IF($PS153&gt;1," erros"," erro"),IF($PU153&gt;0,"! "&amp;$PU153&amp;IF($PU153&gt;1," avisos"," aviso"),"Na regra")))</f>
        <v/>
      </c>
      <c r="PW153" s="155">
        <f>IF($NB153=0,"",IF($PS153+$PU153=0,"Dentro das regras que a ficha confere",$PR153&amp;IF(AND($PS153&gt;0,$PU153&gt;0)," · ","")&amp;$PT153))</f>
        <v/>
      </c>
      <c r="PX153" s="155">
        <f>IF($MO153&gt;$NC153,$MP153&amp;" · ABRE NO NÍVEL "&amp;$MO153,$MP153)</f>
        <v/>
      </c>
      <c r="PY153" s="155">
        <f>IF($NB153=0,"",IF($MQ153=0,"Sem PE",3*$MQ153&amp;" PE"))</f>
        <v/>
      </c>
      <c r="PZ153" s="155">
        <f>IF($NB153=0,"",IF($MQ153=0,"A atuação básica dela",IF(COUNTIF($OI153:$OJ153,"Atrasar")&gt;0,"Sua Ação Completa",IF(COUNTIF($MV153:$MY153,"Rápido")&gt;0,"Sua Bônus",IF(COUNTIF($MV153:$MY153,"Reação")&gt;0,"Sua Reação","Sua Padrão")))&amp;" + a básica dela"&amp;IF(COUNTIF($MV153:$MY153,"Reação")&gt;0," e a coletiva","")&amp;IF(COUNTIF($OI153:$OJ153,"Carregar")&gt;0," · em dois turnos","")))</f>
        <v/>
      </c>
      <c r="QA153" s="155">
        <f>IF($MU153&lt;&gt;"",$MU153,IF($NH153=0,"",INDEX($AA$2:$AA$11,$NH153)))</f>
        <v/>
      </c>
      <c r="QB153" s="155">
        <f>IF(OR($NB153=0,$NH153=0),"",IF(COUNTIF($MV153:$MY153,"Inescapável")&gt;0,"Automático",IF($QA153="Ataque",IF($NF153="","Ataque","Ataque "&amp;IF(($NF153+2*IF(COUNTIF($MV153:$MY153,"Precisão")&gt;0,1,0))&gt;=0,"+","−")&amp;ABS(($NF153+2*IF(COUNTIF($MV153:$MY153,"Precisão")&gt;0,1,0))))&amp;IF($OB153&gt;0," · TR"&amp;IF($NG153="",""," CD "&amp;$NG153),""),IF(LEFT($QA153,2)="TR",$QA153&amp;IF($NG153="",""," · CD "&amp;$NG153)&amp;IF(COUNTIF($MV153:$MY153,"Certeiro")&gt;0," · metade",""),"Sem rolagem"))))</f>
        <v/>
      </c>
      <c r="QC153" s="155">
        <f>IF(OR($NB153=0,$NH153=0),"",IF($MQ153=0,IF(OR($OE153&gt;=1,$PB153=0),"Sem dano",$PB153&amp;"d6"&amp;IF($MT153="",""," "&amp;$MT153)),IF(OR($OE153&gt;=1,$PB153=0),UPPER(LEFT(INDEX($PK153:$PQ153,1,MAX(1,$MQ153)),1))&amp;MID(INDEX($PK153:$PQ153,1,MAX(1,$MQ153)),2,99),UPPER(LEFT(INDEX($PK153:$PQ153,1,MAX(1,$MQ153)),1))&amp;MID(INDEX($PK153:$PQ153,1,MAX(1,$MQ153)),2,99)&amp;IF($MT153="",""," "&amp;$MT153)&amp;IF($PC153&gt;0," · +"&amp;$PC153&amp;"d8",""))))</f>
        <v/>
      </c>
      <c r="QD153" s="155">
        <f>COUNTIF($MV153:$MY153,"Longe")+3*COUNTIF($MV153:$MY153,"Muito Longe")</f>
        <v/>
      </c>
      <c r="QE153" s="155">
        <f>COUNTIF($MV153:$MY153,"Maior")+3*COUNTIF($MV153:$MY153,"Muito Maior")</f>
        <v/>
      </c>
      <c r="QF153" s="155">
        <f>IF($NH153=0,0,CHOOSE(1+INDEX($AC$2:$AC$11,$NH153),0,$QD153,$QE153,$QD153+$QE153))</f>
        <v/>
      </c>
      <c r="QG153" s="155">
        <f>IF($NH153=0,0,CHOOSE(1+INDEX($AD$2:$AD$11,$NH153),0,$QD153,$QE153,$QD153+$QE153))</f>
        <v/>
      </c>
      <c r="QH153" s="155">
        <f>IF(OR($NB153=0,$NH153=0),"",INDEX($AI$2:$AN$41,($NH153-1)*4+IF($MQ153=0,1,IF($MQ153&lt;=5,2,IF($MQ153=6,3,4))),1+MIN(5,$QF153))&amp;INDEX($AO$2:$AT$41,($NH153-1)*4+IF($MQ153=0,1,IF($MQ153&lt;=5,2,IF($MQ153=6,3,4))),1+MIN(5,$QG153))&amp;IF(INDEX($AE$2:$AE$11,$NH153)=1,IF(COUNTIF($MV153:$MY153,"Mais Um")&gt;0," · +"&amp;COUNTIF($MV153:$MY153,"Mais Um")&amp;IF(COUNTIF($MV153:$MY153,"Mais Um")&gt;1," alvos"," alvo"),"")&amp;IF(COUNTIF($MV153:$MY153,"Rajada")&gt;0,IF($MQ153=0," · 1 tiro"," · "&amp;(MAX(1,$MQ153-1)+1)&amp;" tiros"),""),""))</f>
        <v/>
      </c>
      <c r="QI153" s="155">
        <f>IF($NB153=0,"",IF($MQ153=0,$NE153&amp;"d6"&amp;IF($OS153&gt;0," − 1 = "&amp;$PB153&amp;"d6"," da básica do nível "&amp;$NC153),$OZ153&amp;" − "&amp;$OU153&amp;" + "&amp;$OX153&amp;" = "&amp;$PA153&amp;" · teto "&amp;4*$MQ153&amp;"d8"&amp;IF($OD153=1," · a Forma devolve "&amp;$MQ153,"")&amp;IF($OY153&gt;0," · perde "&amp;$OY153,"")))</f>
        <v/>
      </c>
      <c r="QJ153" s="155">
        <f>IF($NB153=0,"",IF($MQ153=0,"A básica não amplia: os dados dela sobem com o nível",IF($MQ153&gt;=$ND153,"Já está na maior Classe que o nível liberou",TEXTJOIN(" · ",TRUE,IF(AND(2&gt;$MQ153,2&lt;=$ND153),"2 → "&amp;$PL153&amp;", 6 PE",""),IF(AND(3&gt;$MQ153,3&lt;=$ND153),"3 → "&amp;$PM153&amp;", 9 PE",""),IF(AND(4&gt;$MQ153,4&lt;=$ND153),"4 → "&amp;$PN153&amp;", 12 PE",""),IF(AND(5&gt;$MQ153,5&lt;=$ND153),"5 → "&amp;$PO153&amp;", 15 PE",""),IF(AND(6&gt;$MQ153,6&lt;=$ND153),"6 → "&amp;$PP153&amp;", 18 PE",""),IF(AND(7&gt;$MQ153,7&lt;=$ND153),"7 → "&amp;$PQ153&amp;", 21 PE","")))))</f>
        <v/>
      </c>
      <c r="QK153" s="155">
        <f>IF(OR($NB153=0,$NM153=0),"",IF($MQ153=0,"−1 dado","−"&amp;INDEX($I$2:$N$8,MAX(1,$MQ153),MAX(1,$NR153))&amp;" · "&amp;CHOOSE(MAX(1,$NR153),"Leve","Média","Pesada","Leve · Livre","Média · Livre","Pesada · Livre")))</f>
        <v/>
      </c>
      <c r="QL153" s="155">
        <f>IF(OR($NB153=0,$NN153=0),"",IF($MQ153=0,"−1 dado","−"&amp;INDEX($I$2:$N$8,MAX(1,$MQ153),MAX(1,$NS153))&amp;" · "&amp;CHOOSE(MAX(1,$NS153),"Leve","Média","Pesada","Leve · Livre","Média · Livre","Pesada · Livre")))</f>
        <v/>
      </c>
      <c r="QM153" s="155">
        <f>IF(OR($NB153=0,$NO153=0),"",IF($MQ153=0,"−1 dado","−"&amp;INDEX($I$2:$N$8,MAX(1,$MQ153),MAX(1,$NT153))&amp;" · "&amp;CHOOSE(MAX(1,$NT153),"Leve","Média","Pesada","Leve · Livre","Média · Livre","Pesada · Livre")))</f>
        <v/>
      </c>
      <c r="QN153" s="155">
        <f>IF(OR($NB153=0,$NP153=0),"",IF($MQ153=0,"−1 dado","−"&amp;INDEX($I$2:$N$8,MAX(1,$MQ153),MAX(1,$NU153))&amp;" · "&amp;CHOOSE(MAX(1,$NU153),"Leve","Média","Pesada","Leve · Livre","Média · Livre","Pesada · Livre")))</f>
        <v/>
      </c>
      <c r="QO153" s="155">
        <f>IF(OR($NB153=0,$MZ153=""),"",IF($MQ153=0,"não devolve","+"&amp;IF($OG153=1,CEILING($MQ153/2,1),$MQ153)))</f>
        <v/>
      </c>
      <c r="QP153" s="155">
        <f>IF(OR($NB153=0,$NA153=""),"",IF($MQ153=0,"não devolve","+"&amp;IF($OH153=1,CEILING($MQ153/2,1),$MQ153)))</f>
        <v/>
      </c>
    </row>
    <row r="154">
      <c r="ML154" s="153" t="inlineStr">
        <is>
          <t>Ficha 12 · Especial 8</t>
        </is>
      </c>
      <c r="MM154" s="155" t="n">
        <v>12</v>
      </c>
      <c r="MN154" s="155" t="n">
        <v>1</v>
      </c>
      <c r="MO154" s="155" t="n">
        <v>28</v>
      </c>
      <c r="MP154" s="153" t="inlineStr">
        <is>
          <t>ESPECIAL 8</t>
        </is>
      </c>
      <c r="MQ154" s="155">
        <f>MAX(1,MIN(7,N('INVOCAÇÕES'!$AB$1126)))</f>
        <v/>
      </c>
      <c r="MR154" s="155">
        <f>'INVOCAÇÕES'!$AC$1126&amp;""</f>
        <v/>
      </c>
      <c r="MS154" s="155">
        <f>'INVOCAÇÕES'!$AB$1131&amp;""</f>
        <v/>
      </c>
      <c r="MT154" s="155">
        <f>'INVOCAÇÕES'!$AB$1132&amp;""</f>
        <v/>
      </c>
      <c r="MU154" s="155">
        <f>'INVOCAÇÕES'!$AD$1132&amp;""</f>
        <v/>
      </c>
      <c r="MV154" s="155">
        <f>'INVOCAÇÕES'!$AC$1135&amp;""</f>
        <v/>
      </c>
      <c r="MW154" s="155">
        <f>'INVOCAÇÕES'!$AC$1136&amp;""</f>
        <v/>
      </c>
      <c r="MX154" s="155">
        <f>'INVOCAÇÕES'!$AC$1137&amp;""</f>
        <v/>
      </c>
      <c r="MY154" s="155">
        <f>'INVOCAÇÕES'!$AC$1138&amp;""</f>
        <v/>
      </c>
      <c r="MZ154" s="155">
        <f>'INVOCAÇÕES'!$AC$1139&amp;""</f>
        <v/>
      </c>
      <c r="NA154" s="155">
        <f>'INVOCAÇÕES'!$AC$1140&amp;""</f>
        <v/>
      </c>
      <c r="NB154" s="155">
        <f>IF($MR154&lt;&gt;"",1,0)</f>
        <v/>
      </c>
      <c r="NC154" s="155">
        <f>INDEX($FM$2:$FM$13,$MM154)</f>
        <v/>
      </c>
      <c r="ND154" s="155">
        <f>INDEX($FN$2:$FN$13,$MM154)</f>
        <v/>
      </c>
      <c r="NE154" s="155">
        <f>INDEX($FO$2:$FO$13,$MM154)</f>
        <v/>
      </c>
      <c r="NF154" s="155">
        <f>INDEX($FZ$2:$FZ$13,$MM154)</f>
        <v/>
      </c>
      <c r="NG154" s="155">
        <f>INDEX($GA$2:$GA$13,$MM154)</f>
        <v/>
      </c>
      <c r="NH154" s="155">
        <f>IFERROR(MATCH($MS154,$V$2:$V$11,0),0)</f>
        <v/>
      </c>
      <c r="NI154" s="155">
        <f>IFERROR(VLOOKUP($MV154,$AV$2:$BA$84,2,FALSE),"")</f>
        <v/>
      </c>
      <c r="NJ154" s="155">
        <f>IFERROR(VLOOKUP($MW154,$AV$2:$BA$84,2,FALSE),"")</f>
        <v/>
      </c>
      <c r="NK154" s="155">
        <f>IFERROR(VLOOKUP($MX154,$AV$2:$BA$84,2,FALSE),"")</f>
        <v/>
      </c>
      <c r="NL154" s="155">
        <f>IFERROR(VLOOKUP($MY154,$AV$2:$BA$84,2,FALSE),"")</f>
        <v/>
      </c>
      <c r="NM154" s="155">
        <f>IFERROR(VLOOKUP($MV154,$AV$2:$BA$84,3,FALSE),0)</f>
        <v/>
      </c>
      <c r="NN154" s="155">
        <f>IFERROR(VLOOKUP($MW154,$AV$2:$BA$84,3,FALSE),0)</f>
        <v/>
      </c>
      <c r="NO154" s="155">
        <f>IFERROR(VLOOKUP($MX154,$AV$2:$BA$84,3,FALSE),0)</f>
        <v/>
      </c>
      <c r="NP154" s="155">
        <f>IFERROR(VLOOKUP($MY154,$AV$2:$BA$84,3,FALSE),0)</f>
        <v/>
      </c>
      <c r="NQ154" s="155">
        <f>IF($MQ154=0,0,IF($NH154=0,0,INDEX($X$2:$X$11,$NH154)))</f>
        <v/>
      </c>
      <c r="NR154" s="155">
        <f>IF(OR($NM154=0,$MQ154=0),0,$NM154+3*IF(AND($NI154&lt;&gt;"",OR($NI154=INDEX($EJ$2:$EJ$13,$MM154),$NI154=INDEX($EK$2:$EK$13,$MM154))),1,0))</f>
        <v/>
      </c>
      <c r="NS154" s="155">
        <f>IF(OR($NN154=0,$MQ154=0),0,$NN154+3*IF(AND($NJ154&lt;&gt;"",OR($NJ154=INDEX($EJ$2:$EJ$13,$MM154),$NJ154=INDEX($EK$2:$EK$13,$MM154))),1,0))</f>
        <v/>
      </c>
      <c r="NT154" s="155">
        <f>IF(OR($NO154=0,$MQ154=0),0,$NO154+3*IF(AND($NK154&lt;&gt;"",OR($NK154=INDEX($EJ$2:$EJ$13,$MM154),$NK154=INDEX($EK$2:$EK$13,$MM154))),1,0))</f>
        <v/>
      </c>
      <c r="NU154" s="155">
        <f>IF(OR($NP154=0,$MQ154=0),0,$NP154+3*IF(AND($NL154&lt;&gt;"",OR($NL154=INDEX($EJ$2:$EJ$13,$MM154),$NL154=INDEX($EK$2:$EK$13,$MM154))),1,0))</f>
        <v/>
      </c>
      <c r="NV154" s="155">
        <f>IF($NH154=0,0,IF(INDEX($W$2:$W$11,$NH154)="",0,IF(COUNTIF(INDEX($EJ$2:$EN$13,$MM154,0),INDEX($W$2:$W$11,$NH154))=0,1,0)))</f>
        <v/>
      </c>
      <c r="NW154" s="155">
        <f>IF(OR($NM154=0,$NI154=""),0,IF(COUNTIF(INDEX($EJ$2:$EN$13,$MM154,0),$NI154)=0,1,0))</f>
        <v/>
      </c>
      <c r="NX154" s="155">
        <f>IF(OR($NN154=0,$NJ154=""),0,IF(COUNTIF(INDEX($EJ$2:$EN$13,$MM154,0),$NJ154)=0,1,0))</f>
        <v/>
      </c>
      <c r="NY154" s="155">
        <f>IF(OR($NO154=0,$NK154=""),0,IF(COUNTIF(INDEX($EJ$2:$EN$13,$MM154,0),$NK154)=0,1,0))</f>
        <v/>
      </c>
      <c r="NZ154" s="155">
        <f>IF(OR($NP154=0,$NL154=""),0,IF(COUNTIF(INDEX($EJ$2:$EN$13,$MM154,0),$NL154)=0,1,0))</f>
        <v/>
      </c>
      <c r="OA154" s="155">
        <f>IFERROR(VLOOKUP($MV154,$AV$2:$BA$84,4,FALSE),0)+IFERROR(VLOOKUP($MW154,$AV$2:$BA$84,4,FALSE),0)+IFERROR(VLOOKUP($MX154,$AV$2:$BA$84,4,FALSE),0)+IFERROR(VLOOKUP($MY154,$AV$2:$BA$84,4,FALSE),0)</f>
        <v/>
      </c>
      <c r="OB154" s="155">
        <f>IFERROR(VLOOKUP($MV154,$AV$2:$BA$84,6,FALSE),0)+IFERROR(VLOOKUP($MW154,$AV$2:$BA$84,6,FALSE),0)+IFERROR(VLOOKUP($MX154,$AV$2:$BA$84,6,FALSE),0)+IFERROR(VLOOKUP($MY154,$AV$2:$BA$84,6,FALSE),0)</f>
        <v/>
      </c>
      <c r="OC154" s="155">
        <f>TEXTJOIN(", ",TRUE,IF(IFERROR(VLOOKUP($MV154,$AV$2:$BA$84,5,FALSE),0)=1,$MV154,""),IF(IFERROR(VLOOKUP($MW154,$AV$2:$BA$84,5,FALSE),0)=1,$MW154,""),IF(IFERROR(VLOOKUP($MX154,$AV$2:$BA$84,5,FALSE),0)=1,$MX154,""),IF(IFERROR(VLOOKUP($MY154,$AV$2:$BA$84,5,FALSE),0)=1,$MY154,""))</f>
        <v/>
      </c>
      <c r="OD154" s="155">
        <f>IF($NH154=0,0,INDEX($Y$2:$Y$11,$NH154))</f>
        <v/>
      </c>
      <c r="OE154" s="155">
        <f>IF($NH154=0,0,INDEX($Z$2:$Z$11,$NH154))</f>
        <v/>
      </c>
      <c r="OF154" s="155">
        <f>IF($NH154=0,0,INDEX($AB$2:$AB$11,$NH154))</f>
        <v/>
      </c>
      <c r="OG154" s="155">
        <f>IFERROR(VLOOKUP($MZ154,$BC$2:$BG$24,3,FALSE),0)</f>
        <v/>
      </c>
      <c r="OH154" s="155">
        <f>IFERROR(VLOOKUP($NA154,$BC$2:$BG$24,3,FALSE),0)</f>
        <v/>
      </c>
      <c r="OI154" s="155">
        <f>IFERROR(VLOOKUP($MZ154,$BC$2:$BG$24,2,FALSE),"")</f>
        <v/>
      </c>
      <c r="OJ154" s="155">
        <f>IFERROR(VLOOKUP($NA154,$BC$2:$BG$24,2,FALSE),"")</f>
        <v/>
      </c>
      <c r="OK154" s="155">
        <f>COUNTIF($NQ154:$NU154,1)</f>
        <v/>
      </c>
      <c r="OL154" s="155">
        <f>COUNTIF($NQ154:$NU154,2)</f>
        <v/>
      </c>
      <c r="OM154" s="155">
        <f>COUNTIF($NQ154:$NU154,3)</f>
        <v/>
      </c>
      <c r="ON154" s="155">
        <f>COUNTIF($NQ154:$NU154,4)</f>
        <v/>
      </c>
      <c r="OO154" s="155">
        <f>COUNTIF($NQ154:$NU154,5)</f>
        <v/>
      </c>
      <c r="OP154" s="155">
        <f>COUNTIF($NQ154:$NU154,6)</f>
        <v/>
      </c>
      <c r="OQ154" s="155">
        <f>COUNTIF($OG154:$OH154,1)</f>
        <v/>
      </c>
      <c r="OR154" s="155">
        <f>COUNTIF($OG154:$OH154,2)+$OD154</f>
        <v/>
      </c>
      <c r="OS154" s="155">
        <f>COUNTIF($MV154:$MY154,"?*")</f>
        <v/>
      </c>
      <c r="OT154" s="155">
        <f>COUNTIF($MZ154:$NA154,"?*")+$OD154</f>
        <v/>
      </c>
      <c r="OU154" s="155">
        <f>IF($MQ154=0,0,SUMPRODUCT($OK154:$OP154,INDEX($I$2:$N$8,MAX(1,$MQ154),0)))</f>
        <v/>
      </c>
      <c r="OV154" s="155">
        <f>IF($MQ154=0,0,$OQ154*CEILING($MQ154/2,1)+$OR154*$MQ154)</f>
        <v/>
      </c>
      <c r="OW154" s="155">
        <f>MIN(2*$MQ154,$OV154)</f>
        <v/>
      </c>
      <c r="OX154" s="155">
        <f>MIN($OW154,$OU154)</f>
        <v/>
      </c>
      <c r="OY154" s="155">
        <f>$OW154-$OX154</f>
        <v/>
      </c>
      <c r="OZ154" s="155">
        <f>IF($MQ154=0,0,INDEX($P$2:$P$8,MAX(1,$MQ154)))</f>
        <v/>
      </c>
      <c r="PA154" s="155">
        <f>$OZ154-$OU154+$OX154</f>
        <v/>
      </c>
      <c r="PB154" s="155">
        <f>IF($MQ154=0,MAX(0,$NE154-IF($OS154&gt;0,1,0)),MAX(0,$PA154))</f>
        <v/>
      </c>
      <c r="PC154" s="155">
        <f>IF($MQ154=0,0,(IF(COUNTIF($MV154:$MY154,"Salto")&gt;0,1,0)+IF(COUNTIF($MV154:$MY154,"Queima")&gt;0,1,0)+IF(COUNTIF($MV154:$MY154,"Estilhaço")&gt;0,1,0))*FLOOR($PB154/2,1))</f>
        <v/>
      </c>
      <c r="PD154" s="155">
        <f>MAX(0,2-SUMPRODUCT($OK154:$OP154,$I$2:$N$2)+MIN(2,$OQ154*1+$OR154*1,SUMPRODUCT($OK154:$OP154,$I$2:$N$2)))</f>
        <v/>
      </c>
      <c r="PE154" s="155">
        <f>MAX(0,4-SUMPRODUCT($OK154:$OP154,$I$3:$N$3)+MIN(4,$OQ154*1+$OR154*2,SUMPRODUCT($OK154:$OP154,$I$3:$N$3)))</f>
        <v/>
      </c>
      <c r="PF154" s="155">
        <f>MAX(0,6-SUMPRODUCT($OK154:$OP154,$I$4:$N$4)+MIN(6,$OQ154*2+$OR154*3,SUMPRODUCT($OK154:$OP154,$I$4:$N$4)))</f>
        <v/>
      </c>
      <c r="PG154" s="155">
        <f>MAX(0,9-SUMPRODUCT($OK154:$OP154,$I$5:$N$5)+MIN(8,$OQ154*2+$OR154*4,SUMPRODUCT($OK154:$OP154,$I$5:$N$5)))</f>
        <v/>
      </c>
      <c r="PH154" s="155">
        <f>MAX(0,11-SUMPRODUCT($OK154:$OP154,$I$6:$N$6)+MIN(10,$OQ154*3+$OR154*5,SUMPRODUCT($OK154:$OP154,$I$6:$N$6)))</f>
        <v/>
      </c>
      <c r="PI154" s="155">
        <f>MAX(0,13-SUMPRODUCT($OK154:$OP154,$I$7:$N$7)+MIN(12,$OQ154*3+$OR154*6,SUMPRODUCT($OK154:$OP154,$I$7:$N$7)))</f>
        <v/>
      </c>
      <c r="PJ154" s="155">
        <f>MAX(0,16-SUMPRODUCT($OK154:$OP154,$I$8:$N$8)+MIN(14,$OQ154*4+$OR154*7,SUMPRODUCT($OK154:$OP154,$I$8:$N$8)))</f>
        <v/>
      </c>
      <c r="PK154" s="155">
        <f>IF($OE154=2,3*$PD154&amp;" de vida temp.",IF($OE154=3,"sem dano",IF($PD154=0,IF($OE154=1,"sem cura","sem dano"),IF($OE154=1,"cura ","")&amp;$PD154&amp;"d8")))</f>
        <v/>
      </c>
      <c r="PL154" s="155">
        <f>IF($OE154=2,3*$PE154&amp;" de vida temp.",IF($OE154=3,"sem dano",IF($PE154=0,IF($OE154=1,"sem cura","sem dano"),IF($OE154=1,"cura ","")&amp;$PE154&amp;"d8")))</f>
        <v/>
      </c>
      <c r="PM154" s="155">
        <f>IF($OE154=2,3*$PF154&amp;" de vida temp.",IF($OE154=3,"sem dano",IF($PF154=0,IF($OE154=1,"sem cura","sem dano"),IF($OE154=1,"cura ","")&amp;$PF154&amp;"d8")))</f>
        <v/>
      </c>
      <c r="PN154" s="155">
        <f>IF($OE154=2,3*$PG154&amp;" de vida temp.",IF($OE154=3,"sem dano",IF($PG154=0,IF($OE154=1,"sem cura","sem dano"),IF($OE154=1,"cura ","")&amp;$PG154&amp;"d8")))</f>
        <v/>
      </c>
      <c r="PO154" s="155">
        <f>IF($OE154=2,3*$PH154&amp;" de vida temp.",IF($OE154=3,"sem dano",IF($PH154=0,IF($OE154=1,"sem cura","sem dano"),IF($OE154=1,"cura ","")&amp;$PH154&amp;"d8")))</f>
        <v/>
      </c>
      <c r="PP154" s="155">
        <f>IF($OE154=2,3*$PI154&amp;" de vida temp.",IF($OE154=3,"sem dano",IF($PI154=0,IF($OE154=1,"sem cura","sem dano"),IF($OE154=1,"cura ","")&amp;$PI154&amp;"d8")))</f>
        <v/>
      </c>
      <c r="PQ154" s="155">
        <f>IF($OE154=2,3*$PJ154&amp;" de vida temp.",IF($OE154=3,"sem dano",IF($PJ154=0,IF($OE154=1,"sem cura","sem dano"),IF($OE154=1,"cura ","")&amp;$PJ154&amp;"d8")))</f>
        <v/>
      </c>
      <c r="PR154" s="155">
        <f>IF($NB154=0,"",TEXTJOIN(" · ",TRUE,IF($MO154&gt;$NC154,"Este lugar abre no nível "&amp;$MO154,""),IF($MQ154&gt;$ND154,"Classe "&amp;$MQ154&amp;": o nível "&amp;$NC154&amp;" libera até a "&amp;$ND154,""),IF($NV154=1,"A Forma "&amp;$MS154&amp;" pede "&amp;INDEX($W$2:$W$11,$NH154)&amp;" aberta",""),IF(AND($MQ154=0,$NH154&gt;0,IF($NH154=0,0,INDEX($AF$2:$AF$11,$NH154))=0),$MS154&amp;" não existe na Classe 0",""),IF($NW154=1,"Família Fechada: "&amp;$MV154,""),IF($NX154=1,"Família Fechada: "&amp;$MW154,""),IF($NY154=1,"Família Fechada: "&amp;$MX154,""),IF($NZ154=1,"Família Fechada: "&amp;$MY154,""),IF(AND($MQ154&gt;0,$OS154&gt;INDEX($O$2:$O$8,MAX(1,$MQ154))),$OS154&amp;" Melhorias: a Classe "&amp;$MQ154&amp;" aceita "&amp;INDEX($O$2:$O$8,MAX(1,$MQ154)),""),IF(AND($MQ154=0,$OS154&gt;1),"A básica aceita uma Melhoria",""),IF(AND($MQ154=0,COUNTIF($NM154:$NP154,"&gt;1")&gt;0),"A básica só aceita Melhoria Leve",""),IF(AND($MQ154&gt;0,$OT154&gt;2),$OT154&amp;" Restrições"&amp;IF($OD154=1,", contando a que a Forma "&amp;$MS154&amp;" já traz","")&amp;": o limite é 2",""),IF(AND($MQ154=0,COUNTIF($MZ154:$NA154,"?*")&gt;1),"A básica aceita uma Restrição Leve",""),IF(AND($MQ154=0,COUNTIF($OG154:$OH154,2)&gt;0),"A básica só aceita Restrição Leve",""),IF(AND($MQ154&gt;0,$PA154&lt;0),"Orçamento estourado: faltam "&amp;(-$PA154)&amp;IF($PA154&lt;-1," pontos"," ponto"),""),IF(IFERROR(VLOOKUP($MZ154,$BC$2:$BG$24,4,FALSE),0)+IFERROR(VLOOKUP($NA154,$BC$2:$BG$24,4,FALSE),0)&gt;1,$OI154&amp;" e "&amp;$OJ154&amp;" são as duas de frequência",""),IF(AND((COUNTIF($MV154:$MY154,"Rápido")+COUNTIF($OI154:$OJ154,"Rápido"))&gt;0,(COUNTIF($MV154:$MY154,"Atrasar")+COUNTIF($OI154:$OJ154,"Atrasar"))&gt;0),"Rápido não entra com Atrasar",""),IF(AND((COUNTIF($MV154:$MY154,"Reação")+COUNTIF($OI154:$OJ154,"Reação"))&gt;0,(COUNTIF($MV154:$MY154,"Rápido")+COUNTIF($OI154:$OJ154,"Rápido"))&gt;0),"Reação não entra com Rápido",""),IF(AND((COUNTIF($MV154:$MY154,"Reação")+COUNTIF($OI154:$OJ154,"Reação"))&gt;0,(COUNTIF($MV154:$MY154,"Armado")+COUNTIF($OI154:$OJ154,"Armado"))&gt;0),"Reação não entra com Armado",""),IF(AND((COUNTIF($MV154:$MY154,"Reação")+COUNTIF($OI154:$OJ154,"Reação"))&gt;0,(COUNTIF($MV154:$MY154,"Atrasar")+COUNTIF($OI154:$OJ154,"Atrasar"))&gt;0),"Reação não entra com Atrasar",""),IF(AND((COUNTIF($MV154:$MY154,"Reação")+COUNTIF($OI154:$OJ154,"Reação"))&gt;0,(COUNTIF($MV154:$MY154,"Parado")+COUNTIF($OI154:$OJ154,"Parado"))&gt;0),"Reação não entra com Parado",""),IF(AND((COUNTIF($MV154:$MY154,"Atrasar")+COUNTIF($OI154:$OJ154,"Atrasar"))&gt;0,(COUNTIF($MV154:$MY154,"Parado")+COUNTIF($OI154:$OJ154,"Parado"))&gt;0),"Atrasar não entra com Parado",""),IF(AND((COUNTIF($MV154:$MY154,"Armado")+COUNTIF($OI154:$OJ154,"Armado"))&gt;0,(COUNTIF($MV154:$MY154,"Carregar")+COUNTIF($OI154:$OJ154,"Carregar"))&gt;0),"Armado não entra com Carregar",""),IF(AND(COUNTIF($OI154:$OJ154,"Corpo a Corpo")&gt;0,$OD154=0,OR($MS154="Cone",$MS154="Linha")),"Corpo a Corpo não entra em "&amp;$MS154,""),IF(AND(COUNTIF($OI154:$OJ154,"Corpo a Corpo")&gt;0,$OD154=1),"A Forma "&amp;$MS154&amp;" já traz o Corpo a Corpo",""),IF(AND(COUNTIF($OI154:$OJ154,"Tudo ou Nada")&gt;0,$OF154=0),"Tudo ou Nada só entra em habilidade de Teste de Resistência",""),IF(AND(COUNTIF($MV154:$MY154,"Inescapável")&gt;0,OR($OS154&gt;1,$OT154&gt;0)),"Inescapável não aceita outra peça",""),IF(AND($MQ154&gt;0,$PB154*IF(COUNTIF($MV154:$MY154,"Remate")&gt;0,1.25,1)+$PC154&gt;4*$MQ154),($PB154*IF(COUNTIF($MV154:$MY154,"Remate")&gt;0,1.25,1)+$PC154)&amp;" dados somando repetições"&amp;IF(COUNTIF($MV154:$MY154,"Remate")&gt;0," e o Remate","")&amp;": o teto da Classe "&amp;$MQ154&amp;" é "&amp;4*$MQ154,"")))</f>
        <v/>
      </c>
      <c r="PS154" s="155">
        <f>IF($PR154="",0,(LEN($PR154)-LEN(SUBSTITUTE($PR154," · ","")))/3+1)</f>
        <v/>
      </c>
      <c r="PT154" s="155">
        <f>IF($NB154=0,"",TEXTJOIN(" · ",TRUE,IF($OV154&gt;2*$MQ154,"A devolução parou no teto de "&amp;2*$MQ154,""),IF($OY154&gt;0,"Devolução perdida: "&amp;$OY154&amp;IF($OY154&gt;1," pontos"," ponto")&amp;" sem peça para pagar",""),IF(AND($OA154&gt;0,AND($MQ154&gt;0,$OE154=0),$PB154=0),"Controle sem dano: uma rodada a mais e CD +2",""),IF(AND($OA154&gt;0,AND($MQ154&gt;0,$OE154=0),$PB154&gt;0,$PB154&lt;=$MQ154),"Controle com saldo até a Classe: uma rodada a mais",""),IF(AND($MQ154&gt;0,$OC154&lt;&gt;""),"Efeito de "&amp;$OC154&amp;" pela Classe "&amp;MAX(1,$MQ154-1),"")))</f>
        <v/>
      </c>
      <c r="PU154" s="155">
        <f>IF($PT154="",0,(LEN($PT154)-LEN(SUBSTITUTE($PT154," · ","")))/3+1)</f>
        <v/>
      </c>
      <c r="PV154" s="155">
        <f>IF($NB154=0,IF($OS154+COUNTIF($MZ154:$NA154,"?*")&gt;0,"Dê um nome",""),IF($PS154&gt;0,"⚠ "&amp;$PS154&amp;IF($PS154&gt;1," erros"," erro"),IF($PU154&gt;0,"! "&amp;$PU154&amp;IF($PU154&gt;1," avisos"," aviso"),"Na regra")))</f>
        <v/>
      </c>
      <c r="PW154" s="155">
        <f>IF($NB154=0,"",IF($PS154+$PU154=0,"Dentro das regras que a ficha confere",$PR154&amp;IF(AND($PS154&gt;0,$PU154&gt;0)," · ","")&amp;$PT154))</f>
        <v/>
      </c>
      <c r="PX154" s="155">
        <f>IF($MO154&gt;$NC154,$MP154&amp;" · ABRE NO NÍVEL "&amp;$MO154,$MP154)</f>
        <v/>
      </c>
      <c r="PY154" s="155">
        <f>IF($NB154=0,"",IF($MQ154=0,"Sem PE",3*$MQ154&amp;" PE"))</f>
        <v/>
      </c>
      <c r="PZ154" s="155">
        <f>IF($NB154=0,"",IF($MQ154=0,"A atuação básica dela",IF(COUNTIF($OI154:$OJ154,"Atrasar")&gt;0,"Sua Ação Completa",IF(COUNTIF($MV154:$MY154,"Rápido")&gt;0,"Sua Bônus",IF(COUNTIF($MV154:$MY154,"Reação")&gt;0,"Sua Reação","Sua Padrão")))&amp;" + a básica dela"&amp;IF(COUNTIF($MV154:$MY154,"Reação")&gt;0," e a coletiva","")&amp;IF(COUNTIF($OI154:$OJ154,"Carregar")&gt;0," · em dois turnos","")))</f>
        <v/>
      </c>
      <c r="QA154" s="155">
        <f>IF($MU154&lt;&gt;"",$MU154,IF($NH154=0,"",INDEX($AA$2:$AA$11,$NH154)))</f>
        <v/>
      </c>
      <c r="QB154" s="155">
        <f>IF(OR($NB154=0,$NH154=0),"",IF(COUNTIF($MV154:$MY154,"Inescapável")&gt;0,"Automático",IF($QA154="Ataque",IF($NF154="","Ataque","Ataque "&amp;IF(($NF154+2*IF(COUNTIF($MV154:$MY154,"Precisão")&gt;0,1,0))&gt;=0,"+","−")&amp;ABS(($NF154+2*IF(COUNTIF($MV154:$MY154,"Precisão")&gt;0,1,0))))&amp;IF($OB154&gt;0," · TR"&amp;IF($NG154="",""," CD "&amp;$NG154),""),IF(LEFT($QA154,2)="TR",$QA154&amp;IF($NG154="",""," · CD "&amp;$NG154)&amp;IF(COUNTIF($MV154:$MY154,"Certeiro")&gt;0," · metade",""),"Sem rolagem"))))</f>
        <v/>
      </c>
      <c r="QC154" s="155">
        <f>IF(OR($NB154=0,$NH154=0),"",IF($MQ154=0,IF(OR($OE154&gt;=1,$PB154=0),"Sem dano",$PB154&amp;"d6"&amp;IF($MT154="",""," "&amp;$MT154)),IF(OR($OE154&gt;=1,$PB154=0),UPPER(LEFT(INDEX($PK154:$PQ154,1,MAX(1,$MQ154)),1))&amp;MID(INDEX($PK154:$PQ154,1,MAX(1,$MQ154)),2,99),UPPER(LEFT(INDEX($PK154:$PQ154,1,MAX(1,$MQ154)),1))&amp;MID(INDEX($PK154:$PQ154,1,MAX(1,$MQ154)),2,99)&amp;IF($MT154="",""," "&amp;$MT154)&amp;IF($PC154&gt;0," · +"&amp;$PC154&amp;"d8",""))))</f>
        <v/>
      </c>
      <c r="QD154" s="155">
        <f>COUNTIF($MV154:$MY154,"Longe")+3*COUNTIF($MV154:$MY154,"Muito Longe")</f>
        <v/>
      </c>
      <c r="QE154" s="155">
        <f>COUNTIF($MV154:$MY154,"Maior")+3*COUNTIF($MV154:$MY154,"Muito Maior")</f>
        <v/>
      </c>
      <c r="QF154" s="155">
        <f>IF($NH154=0,0,CHOOSE(1+INDEX($AC$2:$AC$11,$NH154),0,$QD154,$QE154,$QD154+$QE154))</f>
        <v/>
      </c>
      <c r="QG154" s="155">
        <f>IF($NH154=0,0,CHOOSE(1+INDEX($AD$2:$AD$11,$NH154),0,$QD154,$QE154,$QD154+$QE154))</f>
        <v/>
      </c>
      <c r="QH154" s="155">
        <f>IF(OR($NB154=0,$NH154=0),"",INDEX($AI$2:$AN$41,($NH154-1)*4+IF($MQ154=0,1,IF($MQ154&lt;=5,2,IF($MQ154=6,3,4))),1+MIN(5,$QF154))&amp;INDEX($AO$2:$AT$41,($NH154-1)*4+IF($MQ154=0,1,IF($MQ154&lt;=5,2,IF($MQ154=6,3,4))),1+MIN(5,$QG154))&amp;IF(INDEX($AE$2:$AE$11,$NH154)=1,IF(COUNTIF($MV154:$MY154,"Mais Um")&gt;0," · +"&amp;COUNTIF($MV154:$MY154,"Mais Um")&amp;IF(COUNTIF($MV154:$MY154,"Mais Um")&gt;1," alvos"," alvo"),"")&amp;IF(COUNTIF($MV154:$MY154,"Rajada")&gt;0,IF($MQ154=0," · 1 tiro"," · "&amp;(MAX(1,$MQ154-1)+1)&amp;" tiros"),""),""))</f>
        <v/>
      </c>
      <c r="QI154" s="155">
        <f>IF($NB154=0,"",IF($MQ154=0,$NE154&amp;"d6"&amp;IF($OS154&gt;0," − 1 = "&amp;$PB154&amp;"d6"," da básica do nível "&amp;$NC154),$OZ154&amp;" − "&amp;$OU154&amp;" + "&amp;$OX154&amp;" = "&amp;$PA154&amp;" · teto "&amp;4*$MQ154&amp;"d8"&amp;IF($OD154=1," · a Forma devolve "&amp;$MQ154,"")&amp;IF($OY154&gt;0," · perde "&amp;$OY154,"")))</f>
        <v/>
      </c>
      <c r="QJ154" s="155">
        <f>IF($NB154=0,"",IF($MQ154=0,"A básica não amplia: os dados dela sobem com o nível",IF($MQ154&gt;=$ND154,"Já está na maior Classe que o nível liberou",TEXTJOIN(" · ",TRUE,IF(AND(2&gt;$MQ154,2&lt;=$ND154),"2 → "&amp;$PL154&amp;", 6 PE",""),IF(AND(3&gt;$MQ154,3&lt;=$ND154),"3 → "&amp;$PM154&amp;", 9 PE",""),IF(AND(4&gt;$MQ154,4&lt;=$ND154),"4 → "&amp;$PN154&amp;", 12 PE",""),IF(AND(5&gt;$MQ154,5&lt;=$ND154),"5 → "&amp;$PO154&amp;", 15 PE",""),IF(AND(6&gt;$MQ154,6&lt;=$ND154),"6 → "&amp;$PP154&amp;", 18 PE",""),IF(AND(7&gt;$MQ154,7&lt;=$ND154),"7 → "&amp;$PQ154&amp;", 21 PE","")))))</f>
        <v/>
      </c>
      <c r="QK154" s="155">
        <f>IF(OR($NB154=0,$NM154=0),"",IF($MQ154=0,"−1 dado","−"&amp;INDEX($I$2:$N$8,MAX(1,$MQ154),MAX(1,$NR154))&amp;" · "&amp;CHOOSE(MAX(1,$NR154),"Leve","Média","Pesada","Leve · Livre","Média · Livre","Pesada · Livre")))</f>
        <v/>
      </c>
      <c r="QL154" s="155">
        <f>IF(OR($NB154=0,$NN154=0),"",IF($MQ154=0,"−1 dado","−"&amp;INDEX($I$2:$N$8,MAX(1,$MQ154),MAX(1,$NS154))&amp;" · "&amp;CHOOSE(MAX(1,$NS154),"Leve","Média","Pesada","Leve · Livre","Média · Livre","Pesada · Livre")))</f>
        <v/>
      </c>
      <c r="QM154" s="155">
        <f>IF(OR($NB154=0,$NO154=0),"",IF($MQ154=0,"−1 dado","−"&amp;INDEX($I$2:$N$8,MAX(1,$MQ154),MAX(1,$NT154))&amp;" · "&amp;CHOOSE(MAX(1,$NT154),"Leve","Média","Pesada","Leve · Livre","Média · Livre","Pesada · Livre")))</f>
        <v/>
      </c>
      <c r="QN154" s="155">
        <f>IF(OR($NB154=0,$NP154=0),"",IF($MQ154=0,"−1 dado","−"&amp;INDEX($I$2:$N$8,MAX(1,$MQ154),MAX(1,$NU154))&amp;" · "&amp;CHOOSE(MAX(1,$NU154),"Leve","Média","Pesada","Leve · Livre","Média · Livre","Pesada · Livre")))</f>
        <v/>
      </c>
      <c r="QO154" s="155">
        <f>IF(OR($NB154=0,$MZ154=""),"",IF($MQ154=0,"não devolve","+"&amp;IF($OG154=1,CEILING($MQ154/2,1),$MQ154)))</f>
        <v/>
      </c>
      <c r="QP154" s="155">
        <f>IF(OR($NB154=0,$NA154=""),"",IF($MQ154=0,"não devolve","+"&amp;IF($OH154=1,CEILING($MQ154/2,1),$MQ154)))</f>
        <v/>
      </c>
    </row>
    <row r="155">
      <c r="ML155" s="153" t="inlineStr">
        <is>
          <t>Ficha 12 · Escolha da trilha 1</t>
        </is>
      </c>
      <c r="MM155" s="155" t="n">
        <v>12</v>
      </c>
      <c r="MN155" s="155" t="n">
        <v>2</v>
      </c>
      <c r="MO155" s="155" t="n">
        <v>0</v>
      </c>
      <c r="MP155" s="153" t="inlineStr">
        <is>
          <t>ESCOLHA DA TRILHA 1</t>
        </is>
      </c>
      <c r="MQ155" s="155">
        <f>MAX(0,MIN(7,N('INVOCAÇÕES'!$AB$1150)))</f>
        <v/>
      </c>
      <c r="MR155" s="155">
        <f>'INVOCAÇÕES'!$AC$1150&amp;""</f>
        <v/>
      </c>
      <c r="MS155" s="155">
        <f>'INVOCAÇÕES'!$AB$1155&amp;""</f>
        <v/>
      </c>
      <c r="MT155" s="155">
        <f>'INVOCAÇÕES'!$AB$1156&amp;""</f>
        <v/>
      </c>
      <c r="MU155" s="155">
        <f>'INVOCAÇÕES'!$AD$1156&amp;""</f>
        <v/>
      </c>
      <c r="MV155" s="155">
        <f>'INVOCAÇÕES'!$AC$1159&amp;""</f>
        <v/>
      </c>
      <c r="MW155" s="155">
        <f>'INVOCAÇÕES'!$AC$1160&amp;""</f>
        <v/>
      </c>
      <c r="MX155" s="155">
        <f>'INVOCAÇÕES'!$AC$1161&amp;""</f>
        <v/>
      </c>
      <c r="MY155" s="155">
        <f>'INVOCAÇÕES'!$AC$1162&amp;""</f>
        <v/>
      </c>
      <c r="MZ155" s="155">
        <f>'INVOCAÇÕES'!$AC$1163&amp;""</f>
        <v/>
      </c>
      <c r="NA155" s="155">
        <f>'INVOCAÇÕES'!$AC$1164&amp;""</f>
        <v/>
      </c>
      <c r="NB155" s="155">
        <f>IF($MR155&lt;&gt;"",1,0)</f>
        <v/>
      </c>
      <c r="NC155" s="155">
        <f>INDEX($FM$2:$FM$13,$MM155)</f>
        <v/>
      </c>
      <c r="ND155" s="155">
        <f>INDEX($FN$2:$FN$13,$MM155)</f>
        <v/>
      </c>
      <c r="NE155" s="155">
        <f>INDEX($FO$2:$FO$13,$MM155)</f>
        <v/>
      </c>
      <c r="NF155" s="155">
        <f>INDEX($FZ$2:$FZ$13,$MM155)</f>
        <v/>
      </c>
      <c r="NG155" s="155">
        <f>INDEX($GA$2:$GA$13,$MM155)</f>
        <v/>
      </c>
      <c r="NH155" s="155">
        <f>IFERROR(MATCH($MS155,$V$2:$V$11,0),0)</f>
        <v/>
      </c>
      <c r="NI155" s="155">
        <f>IFERROR(VLOOKUP($MV155,$AV$2:$BA$84,2,FALSE),"")</f>
        <v/>
      </c>
      <c r="NJ155" s="155">
        <f>IFERROR(VLOOKUP($MW155,$AV$2:$BA$84,2,FALSE),"")</f>
        <v/>
      </c>
      <c r="NK155" s="155">
        <f>IFERROR(VLOOKUP($MX155,$AV$2:$BA$84,2,FALSE),"")</f>
        <v/>
      </c>
      <c r="NL155" s="155">
        <f>IFERROR(VLOOKUP($MY155,$AV$2:$BA$84,2,FALSE),"")</f>
        <v/>
      </c>
      <c r="NM155" s="155">
        <f>IFERROR(VLOOKUP($MV155,$AV$2:$BA$84,3,FALSE),0)</f>
        <v/>
      </c>
      <c r="NN155" s="155">
        <f>IFERROR(VLOOKUP($MW155,$AV$2:$BA$84,3,FALSE),0)</f>
        <v/>
      </c>
      <c r="NO155" s="155">
        <f>IFERROR(VLOOKUP($MX155,$AV$2:$BA$84,3,FALSE),0)</f>
        <v/>
      </c>
      <c r="NP155" s="155">
        <f>IFERROR(VLOOKUP($MY155,$AV$2:$BA$84,3,FALSE),0)</f>
        <v/>
      </c>
      <c r="NQ155" s="155">
        <f>IF($MQ155=0,0,IF($NH155=0,0,INDEX($X$2:$X$11,$NH155)))</f>
        <v/>
      </c>
      <c r="NR155" s="155">
        <f>IF(OR($NM155=0,$MQ155=0),0,$NM155+3*IF(AND($NI155&lt;&gt;"",OR($NI155=INDEX($EJ$2:$EJ$13,$MM155),$NI155=INDEX($EK$2:$EK$13,$MM155))),1,0))</f>
        <v/>
      </c>
      <c r="NS155" s="155">
        <f>IF(OR($NN155=0,$MQ155=0),0,$NN155+3*IF(AND($NJ155&lt;&gt;"",OR($NJ155=INDEX($EJ$2:$EJ$13,$MM155),$NJ155=INDEX($EK$2:$EK$13,$MM155))),1,0))</f>
        <v/>
      </c>
      <c r="NT155" s="155">
        <f>IF(OR($NO155=0,$MQ155=0),0,$NO155+3*IF(AND($NK155&lt;&gt;"",OR($NK155=INDEX($EJ$2:$EJ$13,$MM155),$NK155=INDEX($EK$2:$EK$13,$MM155))),1,0))</f>
        <v/>
      </c>
      <c r="NU155" s="155">
        <f>IF(OR($NP155=0,$MQ155=0),0,$NP155+3*IF(AND($NL155&lt;&gt;"",OR($NL155=INDEX($EJ$2:$EJ$13,$MM155),$NL155=INDEX($EK$2:$EK$13,$MM155))),1,0))</f>
        <v/>
      </c>
      <c r="NV155" s="155">
        <f>IF($NH155=0,0,IF(INDEX($W$2:$W$11,$NH155)="",0,IF(COUNTIF(INDEX($EJ$2:$EN$13,$MM155,0),INDEX($W$2:$W$11,$NH155))=0,1,0)))</f>
        <v/>
      </c>
      <c r="NW155" s="155">
        <f>IF(OR($NM155=0,$NI155=""),0,IF(COUNTIF(INDEX($EJ$2:$EN$13,$MM155,0),$NI155)=0,1,0))</f>
        <v/>
      </c>
      <c r="NX155" s="155">
        <f>IF(OR($NN155=0,$NJ155=""),0,IF(COUNTIF(INDEX($EJ$2:$EN$13,$MM155,0),$NJ155)=0,1,0))</f>
        <v/>
      </c>
      <c r="NY155" s="155">
        <f>IF(OR($NO155=0,$NK155=""),0,IF(COUNTIF(INDEX($EJ$2:$EN$13,$MM155,0),$NK155)=0,1,0))</f>
        <v/>
      </c>
      <c r="NZ155" s="155">
        <f>IF(OR($NP155=0,$NL155=""),0,IF(COUNTIF(INDEX($EJ$2:$EN$13,$MM155,0),$NL155)=0,1,0))</f>
        <v/>
      </c>
      <c r="OA155" s="155">
        <f>IFERROR(VLOOKUP($MV155,$AV$2:$BA$84,4,FALSE),0)+IFERROR(VLOOKUP($MW155,$AV$2:$BA$84,4,FALSE),0)+IFERROR(VLOOKUP($MX155,$AV$2:$BA$84,4,FALSE),0)+IFERROR(VLOOKUP($MY155,$AV$2:$BA$84,4,FALSE),0)</f>
        <v/>
      </c>
      <c r="OB155" s="155">
        <f>IFERROR(VLOOKUP($MV155,$AV$2:$BA$84,6,FALSE),0)+IFERROR(VLOOKUP($MW155,$AV$2:$BA$84,6,FALSE),0)+IFERROR(VLOOKUP($MX155,$AV$2:$BA$84,6,FALSE),0)+IFERROR(VLOOKUP($MY155,$AV$2:$BA$84,6,FALSE),0)</f>
        <v/>
      </c>
      <c r="OC155" s="155">
        <f>TEXTJOIN(", ",TRUE,IF(IFERROR(VLOOKUP($MV155,$AV$2:$BA$84,5,FALSE),0)=1,$MV155,""),IF(IFERROR(VLOOKUP($MW155,$AV$2:$BA$84,5,FALSE),0)=1,$MW155,""),IF(IFERROR(VLOOKUP($MX155,$AV$2:$BA$84,5,FALSE),0)=1,$MX155,""),IF(IFERROR(VLOOKUP($MY155,$AV$2:$BA$84,5,FALSE),0)=1,$MY155,""))</f>
        <v/>
      </c>
      <c r="OD155" s="155">
        <f>IF($NH155=0,0,INDEX($Y$2:$Y$11,$NH155))</f>
        <v/>
      </c>
      <c r="OE155" s="155">
        <f>IF($NH155=0,0,INDEX($Z$2:$Z$11,$NH155))</f>
        <v/>
      </c>
      <c r="OF155" s="155">
        <f>IF($NH155=0,0,INDEX($AB$2:$AB$11,$NH155))</f>
        <v/>
      </c>
      <c r="OG155" s="155">
        <f>IFERROR(VLOOKUP($MZ155,$BC$2:$BG$24,3,FALSE),0)</f>
        <v/>
      </c>
      <c r="OH155" s="155">
        <f>IFERROR(VLOOKUP($NA155,$BC$2:$BG$24,3,FALSE),0)</f>
        <v/>
      </c>
      <c r="OI155" s="155">
        <f>IFERROR(VLOOKUP($MZ155,$BC$2:$BG$24,2,FALSE),"")</f>
        <v/>
      </c>
      <c r="OJ155" s="155">
        <f>IFERROR(VLOOKUP($NA155,$BC$2:$BG$24,2,FALSE),"")</f>
        <v/>
      </c>
      <c r="OK155" s="155">
        <f>COUNTIF($NQ155:$NU155,1)</f>
        <v/>
      </c>
      <c r="OL155" s="155">
        <f>COUNTIF($NQ155:$NU155,2)</f>
        <v/>
      </c>
      <c r="OM155" s="155">
        <f>COUNTIF($NQ155:$NU155,3)</f>
        <v/>
      </c>
      <c r="ON155" s="155">
        <f>COUNTIF($NQ155:$NU155,4)</f>
        <v/>
      </c>
      <c r="OO155" s="155">
        <f>COUNTIF($NQ155:$NU155,5)</f>
        <v/>
      </c>
      <c r="OP155" s="155">
        <f>COUNTIF($NQ155:$NU155,6)</f>
        <v/>
      </c>
      <c r="OQ155" s="155">
        <f>COUNTIF($OG155:$OH155,1)</f>
        <v/>
      </c>
      <c r="OR155" s="155">
        <f>COUNTIF($OG155:$OH155,2)+$OD155</f>
        <v/>
      </c>
      <c r="OS155" s="155">
        <f>COUNTIF($MV155:$MY155,"?*")</f>
        <v/>
      </c>
      <c r="OT155" s="155">
        <f>COUNTIF($MZ155:$NA155,"?*")+$OD155</f>
        <v/>
      </c>
      <c r="OU155" s="155">
        <f>IF($MQ155=0,0,SUMPRODUCT($OK155:$OP155,INDEX($I$2:$N$8,MAX(1,$MQ155),0)))</f>
        <v/>
      </c>
      <c r="OV155" s="155">
        <f>IF($MQ155=0,0,$OQ155*CEILING($MQ155/2,1)+$OR155*$MQ155)</f>
        <v/>
      </c>
      <c r="OW155" s="155">
        <f>MIN(2*$MQ155,$OV155)</f>
        <v/>
      </c>
      <c r="OX155" s="155">
        <f>MIN($OW155,$OU155)</f>
        <v/>
      </c>
      <c r="OY155" s="155">
        <f>$OW155-$OX155</f>
        <v/>
      </c>
      <c r="OZ155" s="155">
        <f>IF($MQ155=0,0,INDEX($P$2:$P$8,MAX(1,$MQ155)))</f>
        <v/>
      </c>
      <c r="PA155" s="155">
        <f>$OZ155-$OU155+$OX155</f>
        <v/>
      </c>
      <c r="PB155" s="155">
        <f>IF($MQ155=0,MAX(0,$NE155-IF($OS155&gt;0,1,0)),MAX(0,$PA155))</f>
        <v/>
      </c>
      <c r="PC155" s="155">
        <f>IF($MQ155=0,0,(IF(COUNTIF($MV155:$MY155,"Salto")&gt;0,1,0)+IF(COUNTIF($MV155:$MY155,"Queima")&gt;0,1,0)+IF(COUNTIF($MV155:$MY155,"Estilhaço")&gt;0,1,0))*FLOOR($PB155/2,1))</f>
        <v/>
      </c>
      <c r="PD155" s="155">
        <f>MAX(0,2-SUMPRODUCT($OK155:$OP155,$I$2:$N$2)+MIN(2,$OQ155*1+$OR155*1,SUMPRODUCT($OK155:$OP155,$I$2:$N$2)))</f>
        <v/>
      </c>
      <c r="PE155" s="155">
        <f>MAX(0,4-SUMPRODUCT($OK155:$OP155,$I$3:$N$3)+MIN(4,$OQ155*1+$OR155*2,SUMPRODUCT($OK155:$OP155,$I$3:$N$3)))</f>
        <v/>
      </c>
      <c r="PF155" s="155">
        <f>MAX(0,6-SUMPRODUCT($OK155:$OP155,$I$4:$N$4)+MIN(6,$OQ155*2+$OR155*3,SUMPRODUCT($OK155:$OP155,$I$4:$N$4)))</f>
        <v/>
      </c>
      <c r="PG155" s="155">
        <f>MAX(0,9-SUMPRODUCT($OK155:$OP155,$I$5:$N$5)+MIN(8,$OQ155*2+$OR155*4,SUMPRODUCT($OK155:$OP155,$I$5:$N$5)))</f>
        <v/>
      </c>
      <c r="PH155" s="155">
        <f>MAX(0,11-SUMPRODUCT($OK155:$OP155,$I$6:$N$6)+MIN(10,$OQ155*3+$OR155*5,SUMPRODUCT($OK155:$OP155,$I$6:$N$6)))</f>
        <v/>
      </c>
      <c r="PI155" s="155">
        <f>MAX(0,13-SUMPRODUCT($OK155:$OP155,$I$7:$N$7)+MIN(12,$OQ155*3+$OR155*6,SUMPRODUCT($OK155:$OP155,$I$7:$N$7)))</f>
        <v/>
      </c>
      <c r="PJ155" s="155">
        <f>MAX(0,16-SUMPRODUCT($OK155:$OP155,$I$8:$N$8)+MIN(14,$OQ155*4+$OR155*7,SUMPRODUCT($OK155:$OP155,$I$8:$N$8)))</f>
        <v/>
      </c>
      <c r="PK155" s="155">
        <f>IF($OE155=2,3*$PD155&amp;" de vida temp.",IF($OE155=3,"sem dano",IF($PD155=0,IF($OE155=1,"sem cura","sem dano"),IF($OE155=1,"cura ","")&amp;$PD155&amp;"d8")))</f>
        <v/>
      </c>
      <c r="PL155" s="155">
        <f>IF($OE155=2,3*$PE155&amp;" de vida temp.",IF($OE155=3,"sem dano",IF($PE155=0,IF($OE155=1,"sem cura","sem dano"),IF($OE155=1,"cura ","")&amp;$PE155&amp;"d8")))</f>
        <v/>
      </c>
      <c r="PM155" s="155">
        <f>IF($OE155=2,3*$PF155&amp;" de vida temp.",IF($OE155=3,"sem dano",IF($PF155=0,IF($OE155=1,"sem cura","sem dano"),IF($OE155=1,"cura ","")&amp;$PF155&amp;"d8")))</f>
        <v/>
      </c>
      <c r="PN155" s="155">
        <f>IF($OE155=2,3*$PG155&amp;" de vida temp.",IF($OE155=3,"sem dano",IF($PG155=0,IF($OE155=1,"sem cura","sem dano"),IF($OE155=1,"cura ","")&amp;$PG155&amp;"d8")))</f>
        <v/>
      </c>
      <c r="PO155" s="155">
        <f>IF($OE155=2,3*$PH155&amp;" de vida temp.",IF($OE155=3,"sem dano",IF($PH155=0,IF($OE155=1,"sem cura","sem dano"),IF($OE155=1,"cura ","")&amp;$PH155&amp;"d8")))</f>
        <v/>
      </c>
      <c r="PP155" s="155">
        <f>IF($OE155=2,3*$PI155&amp;" de vida temp.",IF($OE155=3,"sem dano",IF($PI155=0,IF($OE155=1,"sem cura","sem dano"),IF($OE155=1,"cura ","")&amp;$PI155&amp;"d8")))</f>
        <v/>
      </c>
      <c r="PQ155" s="155">
        <f>IF($OE155=2,3*$PJ155&amp;" de vida temp.",IF($OE155=3,"sem dano",IF($PJ155=0,IF($OE155=1,"sem cura","sem dano"),IF($OE155=1,"cura ","")&amp;$PJ155&amp;"d8")))</f>
        <v/>
      </c>
      <c r="PR155" s="155">
        <f>IF($NB155=0,"",TEXTJOIN(" · ",TRUE,IF($MO155&gt;$NC155,"Este lugar abre no nível "&amp;$MO155,""),IF($MQ155&gt;$ND155,"Classe "&amp;$MQ155&amp;": o nível "&amp;$NC155&amp;" libera até a "&amp;$ND155,""),IF($NV155=1,"A Forma "&amp;$MS155&amp;" pede "&amp;INDEX($W$2:$W$11,$NH155)&amp;" aberta",""),IF(AND($MQ155=0,$NH155&gt;0,IF($NH155=0,0,INDEX($AF$2:$AF$11,$NH155))=0),$MS155&amp;" não existe na Classe 0",""),IF($NW155=1,"Família Fechada: "&amp;$MV155,""),IF($NX155=1,"Família Fechada: "&amp;$MW155,""),IF($NY155=1,"Família Fechada: "&amp;$MX155,""),IF($NZ155=1,"Família Fechada: "&amp;$MY155,""),IF(AND($MQ155&gt;0,$OS155&gt;INDEX($O$2:$O$8,MAX(1,$MQ155))),$OS155&amp;" Melhorias: a Classe "&amp;$MQ155&amp;" aceita "&amp;INDEX($O$2:$O$8,MAX(1,$MQ155)),""),IF(AND($MQ155=0,$OS155&gt;1),"A básica aceita uma Melhoria",""),IF(AND($MQ155=0,COUNTIF($NM155:$NP155,"&gt;1")&gt;0),"A básica só aceita Melhoria Leve",""),IF(AND($MQ155&gt;0,$OT155&gt;2),$OT155&amp;" Restrições"&amp;IF($OD155=1,", contando a que a Forma "&amp;$MS155&amp;" já traz","")&amp;": o limite é 2",""),IF(AND($MQ155=0,COUNTIF($MZ155:$NA155,"?*")&gt;1),"A básica aceita uma Restrição Leve",""),IF(AND($MQ155=0,COUNTIF($OG155:$OH155,2)&gt;0),"A básica só aceita Restrição Leve",""),IF(AND($MQ155&gt;0,$PA155&lt;0),"Orçamento estourado: faltam "&amp;(-$PA155)&amp;IF($PA155&lt;-1," pontos"," ponto"),""),IF(IFERROR(VLOOKUP($MZ155,$BC$2:$BG$24,4,FALSE),0)+IFERROR(VLOOKUP($NA155,$BC$2:$BG$24,4,FALSE),0)&gt;1,$OI155&amp;" e "&amp;$OJ155&amp;" são as duas de frequência",""),IF(AND((COUNTIF($MV155:$MY155,"Rápido")+COUNTIF($OI155:$OJ155,"Rápido"))&gt;0,(COUNTIF($MV155:$MY155,"Atrasar")+COUNTIF($OI155:$OJ155,"Atrasar"))&gt;0),"Rápido não entra com Atrasar",""),IF(AND((COUNTIF($MV155:$MY155,"Reação")+COUNTIF($OI155:$OJ155,"Reação"))&gt;0,(COUNTIF($MV155:$MY155,"Rápido")+COUNTIF($OI155:$OJ155,"Rápido"))&gt;0),"Reação não entra com Rápido",""),IF(AND((COUNTIF($MV155:$MY155,"Reação")+COUNTIF($OI155:$OJ155,"Reação"))&gt;0,(COUNTIF($MV155:$MY155,"Armado")+COUNTIF($OI155:$OJ155,"Armado"))&gt;0),"Reação não entra com Armado",""),IF(AND((COUNTIF($MV155:$MY155,"Reação")+COUNTIF($OI155:$OJ155,"Reação"))&gt;0,(COUNTIF($MV155:$MY155,"Atrasar")+COUNTIF($OI155:$OJ155,"Atrasar"))&gt;0),"Reação não entra com Atrasar",""),IF(AND((COUNTIF($MV155:$MY155,"Reação")+COUNTIF($OI155:$OJ155,"Reação"))&gt;0,(COUNTIF($MV155:$MY155,"Parado")+COUNTIF($OI155:$OJ155,"Parado"))&gt;0),"Reação não entra com Parado",""),IF(AND((COUNTIF($MV155:$MY155,"Atrasar")+COUNTIF($OI155:$OJ155,"Atrasar"))&gt;0,(COUNTIF($MV155:$MY155,"Parado")+COUNTIF($OI155:$OJ155,"Parado"))&gt;0),"Atrasar não entra com Parado",""),IF(AND((COUNTIF($MV155:$MY155,"Armado")+COUNTIF($OI155:$OJ155,"Armado"))&gt;0,(COUNTIF($MV155:$MY155,"Carregar")+COUNTIF($OI155:$OJ155,"Carregar"))&gt;0),"Armado não entra com Carregar",""),IF(AND(COUNTIF($OI155:$OJ155,"Corpo a Corpo")&gt;0,$OD155=0,OR($MS155="Cone",$MS155="Linha")),"Corpo a Corpo não entra em "&amp;$MS155,""),IF(AND(COUNTIF($OI155:$OJ155,"Corpo a Corpo")&gt;0,$OD155=1),"A Forma "&amp;$MS155&amp;" já traz o Corpo a Corpo",""),IF(AND(COUNTIF($OI155:$OJ155,"Tudo ou Nada")&gt;0,$OF155=0),"Tudo ou Nada só entra em habilidade de Teste de Resistência",""),IF(AND(COUNTIF($MV155:$MY155,"Inescapável")&gt;0,OR($OS155&gt;1,$OT155&gt;0)),"Inescapável não aceita outra peça",""),IF(AND($MQ155&gt;0,$PB155*IF(COUNTIF($MV155:$MY155,"Remate")&gt;0,1.25,1)+$PC155&gt;4*$MQ155),($PB155*IF(COUNTIF($MV155:$MY155,"Remate")&gt;0,1.25,1)+$PC155)&amp;" dados somando repetições"&amp;IF(COUNTIF($MV155:$MY155,"Remate")&gt;0," e o Remate","")&amp;": o teto da Classe "&amp;$MQ155&amp;" é "&amp;4*$MQ155,"")))</f>
        <v/>
      </c>
      <c r="PS155" s="155">
        <f>IF($PR155="",0,(LEN($PR155)-LEN(SUBSTITUTE($PR155," · ","")))/3+1)</f>
        <v/>
      </c>
      <c r="PT155" s="155">
        <f>IF($NB155=0,"",TEXTJOIN(" · ",TRUE,IF($OV155&gt;2*$MQ155,"A devolução parou no teto de "&amp;2*$MQ155,""),IF($OY155&gt;0,"Devolução perdida: "&amp;$OY155&amp;IF($OY155&gt;1," pontos"," ponto")&amp;" sem peça para pagar",""),IF(AND($OA155&gt;0,AND($MQ155&gt;0,$OE155=0),$PB155=0),"Controle sem dano: uma rodada a mais e CD +2",""),IF(AND($OA155&gt;0,AND($MQ155&gt;0,$OE155=0),$PB155&gt;0,$PB155&lt;=$MQ155),"Controle com saldo até a Classe: uma rodada a mais",""),IF(AND($MQ155&gt;0,$OC155&lt;&gt;""),"Efeito de "&amp;$OC155&amp;" pela Classe "&amp;MAX(1,$MQ155-1),"")))</f>
        <v/>
      </c>
      <c r="PU155" s="155">
        <f>IF($PT155="",0,(LEN($PT155)-LEN(SUBSTITUTE($PT155," · ","")))/3+1)</f>
        <v/>
      </c>
      <c r="PV155" s="155">
        <f>IF($NB155=0,IF($OS155+COUNTIF($MZ155:$NA155,"?*")&gt;0,"Dê um nome",""),IF($PS155&gt;0,"⚠ "&amp;$PS155&amp;IF($PS155&gt;1," erros"," erro"),IF($PU155&gt;0,"! "&amp;$PU155&amp;IF($PU155&gt;1," avisos"," aviso"),"Na regra")))</f>
        <v/>
      </c>
      <c r="PW155" s="155">
        <f>IF($NB155=0,"",IF($PS155+$PU155=0,"Dentro das regras que a ficha confere",$PR155&amp;IF(AND($PS155&gt;0,$PU155&gt;0)," · ","")&amp;$PT155))</f>
        <v/>
      </c>
      <c r="PX155" s="155">
        <f>IF($MO155&gt;$NC155,$MP155&amp;" · ABRE NO NÍVEL "&amp;$MO155,$MP155)</f>
        <v/>
      </c>
      <c r="PY155" s="155">
        <f>IF($NB155=0,"",IF($MQ155=0,"Sem PE",3*$MQ155&amp;" PE"))</f>
        <v/>
      </c>
      <c r="PZ155" s="155">
        <f>IF($NB155=0,"",IF($MQ155=0,"A atuação básica dela",IF(COUNTIF($OI155:$OJ155,"Atrasar")&gt;0,"Sua Ação Completa",IF(COUNTIF($MV155:$MY155,"Rápido")&gt;0,"Sua Bônus",IF(COUNTIF($MV155:$MY155,"Reação")&gt;0,"Sua Reação","Sua Padrão")))&amp;" + a básica dela"&amp;IF(COUNTIF($MV155:$MY155,"Reação")&gt;0," e a coletiva","")&amp;IF(COUNTIF($OI155:$OJ155,"Carregar")&gt;0," · em dois turnos","")))</f>
        <v/>
      </c>
      <c r="QA155" s="155">
        <f>IF($MU155&lt;&gt;"",$MU155,IF($NH155=0,"",INDEX($AA$2:$AA$11,$NH155)))</f>
        <v/>
      </c>
      <c r="QB155" s="155">
        <f>IF(OR($NB155=0,$NH155=0),"",IF(COUNTIF($MV155:$MY155,"Inescapável")&gt;0,"Automático",IF($QA155="Ataque",IF($NF155="","Ataque","Ataque "&amp;IF(($NF155+2*IF(COUNTIF($MV155:$MY155,"Precisão")&gt;0,1,0))&gt;=0,"+","−")&amp;ABS(($NF155+2*IF(COUNTIF($MV155:$MY155,"Precisão")&gt;0,1,0))))&amp;IF($OB155&gt;0," · TR"&amp;IF($NG155="",""," CD "&amp;$NG155),""),IF(LEFT($QA155,2)="TR",$QA155&amp;IF($NG155="",""," · CD "&amp;$NG155)&amp;IF(COUNTIF($MV155:$MY155,"Certeiro")&gt;0," · metade",""),"Sem rolagem"))))</f>
        <v/>
      </c>
      <c r="QC155" s="155">
        <f>IF(OR($NB155=0,$NH155=0),"",IF($MQ155=0,IF(OR($OE155&gt;=1,$PB155=0),"Sem dano",$PB155&amp;"d6"&amp;IF($MT155="",""," "&amp;$MT155)),IF(OR($OE155&gt;=1,$PB155=0),UPPER(LEFT(INDEX($PK155:$PQ155,1,MAX(1,$MQ155)),1))&amp;MID(INDEX($PK155:$PQ155,1,MAX(1,$MQ155)),2,99),UPPER(LEFT(INDEX($PK155:$PQ155,1,MAX(1,$MQ155)),1))&amp;MID(INDEX($PK155:$PQ155,1,MAX(1,$MQ155)),2,99)&amp;IF($MT155="",""," "&amp;$MT155)&amp;IF($PC155&gt;0," · +"&amp;$PC155&amp;"d8",""))))</f>
        <v/>
      </c>
      <c r="QD155" s="155">
        <f>COUNTIF($MV155:$MY155,"Longe")+3*COUNTIF($MV155:$MY155,"Muito Longe")</f>
        <v/>
      </c>
      <c r="QE155" s="155">
        <f>COUNTIF($MV155:$MY155,"Maior")+3*COUNTIF($MV155:$MY155,"Muito Maior")</f>
        <v/>
      </c>
      <c r="QF155" s="155">
        <f>IF($NH155=0,0,CHOOSE(1+INDEX($AC$2:$AC$11,$NH155),0,$QD155,$QE155,$QD155+$QE155))</f>
        <v/>
      </c>
      <c r="QG155" s="155">
        <f>IF($NH155=0,0,CHOOSE(1+INDEX($AD$2:$AD$11,$NH155),0,$QD155,$QE155,$QD155+$QE155))</f>
        <v/>
      </c>
      <c r="QH155" s="155">
        <f>IF(OR($NB155=0,$NH155=0),"",INDEX($AI$2:$AN$41,($NH155-1)*4+IF($MQ155=0,1,IF($MQ155&lt;=5,2,IF($MQ155=6,3,4))),1+MIN(5,$QF155))&amp;INDEX($AO$2:$AT$41,($NH155-1)*4+IF($MQ155=0,1,IF($MQ155&lt;=5,2,IF($MQ155=6,3,4))),1+MIN(5,$QG155))&amp;IF(INDEX($AE$2:$AE$11,$NH155)=1,IF(COUNTIF($MV155:$MY155,"Mais Um")&gt;0," · +"&amp;COUNTIF($MV155:$MY155,"Mais Um")&amp;IF(COUNTIF($MV155:$MY155,"Mais Um")&gt;1," alvos"," alvo"),"")&amp;IF(COUNTIF($MV155:$MY155,"Rajada")&gt;0,IF($MQ155=0," · 1 tiro"," · "&amp;(MAX(1,$MQ155-1)+1)&amp;" tiros"),""),""))</f>
        <v/>
      </c>
      <c r="QI155" s="155">
        <f>IF($NB155=0,"",IF($MQ155=0,$NE155&amp;"d6"&amp;IF($OS155&gt;0," − 1 = "&amp;$PB155&amp;"d6"," da básica do nível "&amp;$NC155),$OZ155&amp;" − "&amp;$OU155&amp;" + "&amp;$OX155&amp;" = "&amp;$PA155&amp;" · teto "&amp;4*$MQ155&amp;"d8"&amp;IF($OD155=1," · a Forma devolve "&amp;$MQ155,"")&amp;IF($OY155&gt;0," · perde "&amp;$OY155,"")))</f>
        <v/>
      </c>
      <c r="QJ155" s="155">
        <f>IF($NB155=0,"",IF($MQ155=0,"A básica não amplia: os dados dela sobem com o nível",IF($MQ155&gt;=$ND155,"Já está na maior Classe que o nível liberou",TEXTJOIN(" · ",TRUE,IF(AND(2&gt;$MQ155,2&lt;=$ND155),"2 → "&amp;$PL155&amp;", 6 PE",""),IF(AND(3&gt;$MQ155,3&lt;=$ND155),"3 → "&amp;$PM155&amp;", 9 PE",""),IF(AND(4&gt;$MQ155,4&lt;=$ND155),"4 → "&amp;$PN155&amp;", 12 PE",""),IF(AND(5&gt;$MQ155,5&lt;=$ND155),"5 → "&amp;$PO155&amp;", 15 PE",""),IF(AND(6&gt;$MQ155,6&lt;=$ND155),"6 → "&amp;$PP155&amp;", 18 PE",""),IF(AND(7&gt;$MQ155,7&lt;=$ND155),"7 → "&amp;$PQ155&amp;", 21 PE","")))))</f>
        <v/>
      </c>
      <c r="QK155" s="155">
        <f>IF(OR($NB155=0,$NM155=0),"",IF($MQ155=0,"−1 dado","−"&amp;INDEX($I$2:$N$8,MAX(1,$MQ155),MAX(1,$NR155))&amp;" · "&amp;CHOOSE(MAX(1,$NR155),"Leve","Média","Pesada","Leve · Livre","Média · Livre","Pesada · Livre")))</f>
        <v/>
      </c>
      <c r="QL155" s="155">
        <f>IF(OR($NB155=0,$NN155=0),"",IF($MQ155=0,"−1 dado","−"&amp;INDEX($I$2:$N$8,MAX(1,$MQ155),MAX(1,$NS155))&amp;" · "&amp;CHOOSE(MAX(1,$NS155),"Leve","Média","Pesada","Leve · Livre","Média · Livre","Pesada · Livre")))</f>
        <v/>
      </c>
      <c r="QM155" s="155">
        <f>IF(OR($NB155=0,$NO155=0),"",IF($MQ155=0,"−1 dado","−"&amp;INDEX($I$2:$N$8,MAX(1,$MQ155),MAX(1,$NT155))&amp;" · "&amp;CHOOSE(MAX(1,$NT155),"Leve","Média","Pesada","Leve · Livre","Média · Livre","Pesada · Livre")))</f>
        <v/>
      </c>
      <c r="QN155" s="155">
        <f>IF(OR($NB155=0,$NP155=0),"",IF($MQ155=0,"−1 dado","−"&amp;INDEX($I$2:$N$8,MAX(1,$MQ155),MAX(1,$NU155))&amp;" · "&amp;CHOOSE(MAX(1,$NU155),"Leve","Média","Pesada","Leve · Livre","Média · Livre","Pesada · Livre")))</f>
        <v/>
      </c>
      <c r="QO155" s="155">
        <f>IF(OR($NB155=0,$MZ155=""),"",IF($MQ155=0,"não devolve","+"&amp;IF($OG155=1,CEILING($MQ155/2,1),$MQ155)))</f>
        <v/>
      </c>
      <c r="QP155" s="155">
        <f>IF(OR($NB155=0,$NA155=""),"",IF($MQ155=0,"não devolve","+"&amp;IF($OH155=1,CEILING($MQ155/2,1),$MQ155)))</f>
        <v/>
      </c>
    </row>
    <row r="156">
      <c r="ML156" s="153" t="inlineStr">
        <is>
          <t>Ficha 12 · Escolha da trilha 2</t>
        </is>
      </c>
      <c r="MM156" s="155" t="n">
        <v>12</v>
      </c>
      <c r="MN156" s="155" t="n">
        <v>2</v>
      </c>
      <c r="MO156" s="155" t="n">
        <v>0</v>
      </c>
      <c r="MP156" s="153" t="inlineStr">
        <is>
          <t>ESCOLHA DA TRILHA 2</t>
        </is>
      </c>
      <c r="MQ156" s="155">
        <f>MAX(0,MIN(7,N('INVOCAÇÕES'!$AH$1150)))</f>
        <v/>
      </c>
      <c r="MR156" s="155">
        <f>'INVOCAÇÕES'!$AI$1150&amp;""</f>
        <v/>
      </c>
      <c r="MS156" s="155">
        <f>'INVOCAÇÕES'!$AH$1155&amp;""</f>
        <v/>
      </c>
      <c r="MT156" s="155">
        <f>'INVOCAÇÕES'!$AH$1156&amp;""</f>
        <v/>
      </c>
      <c r="MU156" s="155">
        <f>'INVOCAÇÕES'!$AJ$1156&amp;""</f>
        <v/>
      </c>
      <c r="MV156" s="155">
        <f>'INVOCAÇÕES'!$AI$1159&amp;""</f>
        <v/>
      </c>
      <c r="MW156" s="155">
        <f>'INVOCAÇÕES'!$AI$1160&amp;""</f>
        <v/>
      </c>
      <c r="MX156" s="155">
        <f>'INVOCAÇÕES'!$AI$1161&amp;""</f>
        <v/>
      </c>
      <c r="MY156" s="155">
        <f>'INVOCAÇÕES'!$AI$1162&amp;""</f>
        <v/>
      </c>
      <c r="MZ156" s="155">
        <f>'INVOCAÇÕES'!$AI$1163&amp;""</f>
        <v/>
      </c>
      <c r="NA156" s="155">
        <f>'INVOCAÇÕES'!$AI$1164&amp;""</f>
        <v/>
      </c>
      <c r="NB156" s="155">
        <f>IF($MR156&lt;&gt;"",1,0)</f>
        <v/>
      </c>
      <c r="NC156" s="155">
        <f>INDEX($FM$2:$FM$13,$MM156)</f>
        <v/>
      </c>
      <c r="ND156" s="155">
        <f>INDEX($FN$2:$FN$13,$MM156)</f>
        <v/>
      </c>
      <c r="NE156" s="155">
        <f>INDEX($FO$2:$FO$13,$MM156)</f>
        <v/>
      </c>
      <c r="NF156" s="155">
        <f>INDEX($FZ$2:$FZ$13,$MM156)</f>
        <v/>
      </c>
      <c r="NG156" s="155">
        <f>INDEX($GA$2:$GA$13,$MM156)</f>
        <v/>
      </c>
      <c r="NH156" s="155">
        <f>IFERROR(MATCH($MS156,$V$2:$V$11,0),0)</f>
        <v/>
      </c>
      <c r="NI156" s="155">
        <f>IFERROR(VLOOKUP($MV156,$AV$2:$BA$84,2,FALSE),"")</f>
        <v/>
      </c>
      <c r="NJ156" s="155">
        <f>IFERROR(VLOOKUP($MW156,$AV$2:$BA$84,2,FALSE),"")</f>
        <v/>
      </c>
      <c r="NK156" s="155">
        <f>IFERROR(VLOOKUP($MX156,$AV$2:$BA$84,2,FALSE),"")</f>
        <v/>
      </c>
      <c r="NL156" s="155">
        <f>IFERROR(VLOOKUP($MY156,$AV$2:$BA$84,2,FALSE),"")</f>
        <v/>
      </c>
      <c r="NM156" s="155">
        <f>IFERROR(VLOOKUP($MV156,$AV$2:$BA$84,3,FALSE),0)</f>
        <v/>
      </c>
      <c r="NN156" s="155">
        <f>IFERROR(VLOOKUP($MW156,$AV$2:$BA$84,3,FALSE),0)</f>
        <v/>
      </c>
      <c r="NO156" s="155">
        <f>IFERROR(VLOOKUP($MX156,$AV$2:$BA$84,3,FALSE),0)</f>
        <v/>
      </c>
      <c r="NP156" s="155">
        <f>IFERROR(VLOOKUP($MY156,$AV$2:$BA$84,3,FALSE),0)</f>
        <v/>
      </c>
      <c r="NQ156" s="155">
        <f>IF($MQ156=0,0,IF($NH156=0,0,INDEX($X$2:$X$11,$NH156)))</f>
        <v/>
      </c>
      <c r="NR156" s="155">
        <f>IF(OR($NM156=0,$MQ156=0),0,$NM156+3*IF(AND($NI156&lt;&gt;"",OR($NI156=INDEX($EJ$2:$EJ$13,$MM156),$NI156=INDEX($EK$2:$EK$13,$MM156))),1,0))</f>
        <v/>
      </c>
      <c r="NS156" s="155">
        <f>IF(OR($NN156=0,$MQ156=0),0,$NN156+3*IF(AND($NJ156&lt;&gt;"",OR($NJ156=INDEX($EJ$2:$EJ$13,$MM156),$NJ156=INDEX($EK$2:$EK$13,$MM156))),1,0))</f>
        <v/>
      </c>
      <c r="NT156" s="155">
        <f>IF(OR($NO156=0,$MQ156=0),0,$NO156+3*IF(AND($NK156&lt;&gt;"",OR($NK156=INDEX($EJ$2:$EJ$13,$MM156),$NK156=INDEX($EK$2:$EK$13,$MM156))),1,0))</f>
        <v/>
      </c>
      <c r="NU156" s="155">
        <f>IF(OR($NP156=0,$MQ156=0),0,$NP156+3*IF(AND($NL156&lt;&gt;"",OR($NL156=INDEX($EJ$2:$EJ$13,$MM156),$NL156=INDEX($EK$2:$EK$13,$MM156))),1,0))</f>
        <v/>
      </c>
      <c r="NV156" s="155">
        <f>IF($NH156=0,0,IF(INDEX($W$2:$W$11,$NH156)="",0,IF(COUNTIF(INDEX($EJ$2:$EN$13,$MM156,0),INDEX($W$2:$W$11,$NH156))=0,1,0)))</f>
        <v/>
      </c>
      <c r="NW156" s="155">
        <f>IF(OR($NM156=0,$NI156=""),0,IF(COUNTIF(INDEX($EJ$2:$EN$13,$MM156,0),$NI156)=0,1,0))</f>
        <v/>
      </c>
      <c r="NX156" s="155">
        <f>IF(OR($NN156=0,$NJ156=""),0,IF(COUNTIF(INDEX($EJ$2:$EN$13,$MM156,0),$NJ156)=0,1,0))</f>
        <v/>
      </c>
      <c r="NY156" s="155">
        <f>IF(OR($NO156=0,$NK156=""),0,IF(COUNTIF(INDEX($EJ$2:$EN$13,$MM156,0),$NK156)=0,1,0))</f>
        <v/>
      </c>
      <c r="NZ156" s="155">
        <f>IF(OR($NP156=0,$NL156=""),0,IF(COUNTIF(INDEX($EJ$2:$EN$13,$MM156,0),$NL156)=0,1,0))</f>
        <v/>
      </c>
      <c r="OA156" s="155">
        <f>IFERROR(VLOOKUP($MV156,$AV$2:$BA$84,4,FALSE),0)+IFERROR(VLOOKUP($MW156,$AV$2:$BA$84,4,FALSE),0)+IFERROR(VLOOKUP($MX156,$AV$2:$BA$84,4,FALSE),0)+IFERROR(VLOOKUP($MY156,$AV$2:$BA$84,4,FALSE),0)</f>
        <v/>
      </c>
      <c r="OB156" s="155">
        <f>IFERROR(VLOOKUP($MV156,$AV$2:$BA$84,6,FALSE),0)+IFERROR(VLOOKUP($MW156,$AV$2:$BA$84,6,FALSE),0)+IFERROR(VLOOKUP($MX156,$AV$2:$BA$84,6,FALSE),0)+IFERROR(VLOOKUP($MY156,$AV$2:$BA$84,6,FALSE),0)</f>
        <v/>
      </c>
      <c r="OC156" s="155">
        <f>TEXTJOIN(", ",TRUE,IF(IFERROR(VLOOKUP($MV156,$AV$2:$BA$84,5,FALSE),0)=1,$MV156,""),IF(IFERROR(VLOOKUP($MW156,$AV$2:$BA$84,5,FALSE),0)=1,$MW156,""),IF(IFERROR(VLOOKUP($MX156,$AV$2:$BA$84,5,FALSE),0)=1,$MX156,""),IF(IFERROR(VLOOKUP($MY156,$AV$2:$BA$84,5,FALSE),0)=1,$MY156,""))</f>
        <v/>
      </c>
      <c r="OD156" s="155">
        <f>IF($NH156=0,0,INDEX($Y$2:$Y$11,$NH156))</f>
        <v/>
      </c>
      <c r="OE156" s="155">
        <f>IF($NH156=0,0,INDEX($Z$2:$Z$11,$NH156))</f>
        <v/>
      </c>
      <c r="OF156" s="155">
        <f>IF($NH156=0,0,INDEX($AB$2:$AB$11,$NH156))</f>
        <v/>
      </c>
      <c r="OG156" s="155">
        <f>IFERROR(VLOOKUP($MZ156,$BC$2:$BG$24,3,FALSE),0)</f>
        <v/>
      </c>
      <c r="OH156" s="155">
        <f>IFERROR(VLOOKUP($NA156,$BC$2:$BG$24,3,FALSE),0)</f>
        <v/>
      </c>
      <c r="OI156" s="155">
        <f>IFERROR(VLOOKUP($MZ156,$BC$2:$BG$24,2,FALSE),"")</f>
        <v/>
      </c>
      <c r="OJ156" s="155">
        <f>IFERROR(VLOOKUP($NA156,$BC$2:$BG$24,2,FALSE),"")</f>
        <v/>
      </c>
      <c r="OK156" s="155">
        <f>COUNTIF($NQ156:$NU156,1)</f>
        <v/>
      </c>
      <c r="OL156" s="155">
        <f>COUNTIF($NQ156:$NU156,2)</f>
        <v/>
      </c>
      <c r="OM156" s="155">
        <f>COUNTIF($NQ156:$NU156,3)</f>
        <v/>
      </c>
      <c r="ON156" s="155">
        <f>COUNTIF($NQ156:$NU156,4)</f>
        <v/>
      </c>
      <c r="OO156" s="155">
        <f>COUNTIF($NQ156:$NU156,5)</f>
        <v/>
      </c>
      <c r="OP156" s="155">
        <f>COUNTIF($NQ156:$NU156,6)</f>
        <v/>
      </c>
      <c r="OQ156" s="155">
        <f>COUNTIF($OG156:$OH156,1)</f>
        <v/>
      </c>
      <c r="OR156" s="155">
        <f>COUNTIF($OG156:$OH156,2)+$OD156</f>
        <v/>
      </c>
      <c r="OS156" s="155">
        <f>COUNTIF($MV156:$MY156,"?*")</f>
        <v/>
      </c>
      <c r="OT156" s="155">
        <f>COUNTIF($MZ156:$NA156,"?*")+$OD156</f>
        <v/>
      </c>
      <c r="OU156" s="155">
        <f>IF($MQ156=0,0,SUMPRODUCT($OK156:$OP156,INDEX($I$2:$N$8,MAX(1,$MQ156),0)))</f>
        <v/>
      </c>
      <c r="OV156" s="155">
        <f>IF($MQ156=0,0,$OQ156*CEILING($MQ156/2,1)+$OR156*$MQ156)</f>
        <v/>
      </c>
      <c r="OW156" s="155">
        <f>MIN(2*$MQ156,$OV156)</f>
        <v/>
      </c>
      <c r="OX156" s="155">
        <f>MIN($OW156,$OU156)</f>
        <v/>
      </c>
      <c r="OY156" s="155">
        <f>$OW156-$OX156</f>
        <v/>
      </c>
      <c r="OZ156" s="155">
        <f>IF($MQ156=0,0,INDEX($P$2:$P$8,MAX(1,$MQ156)))</f>
        <v/>
      </c>
      <c r="PA156" s="155">
        <f>$OZ156-$OU156+$OX156</f>
        <v/>
      </c>
      <c r="PB156" s="155">
        <f>IF($MQ156=0,MAX(0,$NE156-IF($OS156&gt;0,1,0)),MAX(0,$PA156))</f>
        <v/>
      </c>
      <c r="PC156" s="155">
        <f>IF($MQ156=0,0,(IF(COUNTIF($MV156:$MY156,"Salto")&gt;0,1,0)+IF(COUNTIF($MV156:$MY156,"Queima")&gt;0,1,0)+IF(COUNTIF($MV156:$MY156,"Estilhaço")&gt;0,1,0))*FLOOR($PB156/2,1))</f>
        <v/>
      </c>
      <c r="PD156" s="155">
        <f>MAX(0,2-SUMPRODUCT($OK156:$OP156,$I$2:$N$2)+MIN(2,$OQ156*1+$OR156*1,SUMPRODUCT($OK156:$OP156,$I$2:$N$2)))</f>
        <v/>
      </c>
      <c r="PE156" s="155">
        <f>MAX(0,4-SUMPRODUCT($OK156:$OP156,$I$3:$N$3)+MIN(4,$OQ156*1+$OR156*2,SUMPRODUCT($OK156:$OP156,$I$3:$N$3)))</f>
        <v/>
      </c>
      <c r="PF156" s="155">
        <f>MAX(0,6-SUMPRODUCT($OK156:$OP156,$I$4:$N$4)+MIN(6,$OQ156*2+$OR156*3,SUMPRODUCT($OK156:$OP156,$I$4:$N$4)))</f>
        <v/>
      </c>
      <c r="PG156" s="155">
        <f>MAX(0,9-SUMPRODUCT($OK156:$OP156,$I$5:$N$5)+MIN(8,$OQ156*2+$OR156*4,SUMPRODUCT($OK156:$OP156,$I$5:$N$5)))</f>
        <v/>
      </c>
      <c r="PH156" s="155">
        <f>MAX(0,11-SUMPRODUCT($OK156:$OP156,$I$6:$N$6)+MIN(10,$OQ156*3+$OR156*5,SUMPRODUCT($OK156:$OP156,$I$6:$N$6)))</f>
        <v/>
      </c>
      <c r="PI156" s="155">
        <f>MAX(0,13-SUMPRODUCT($OK156:$OP156,$I$7:$N$7)+MIN(12,$OQ156*3+$OR156*6,SUMPRODUCT($OK156:$OP156,$I$7:$N$7)))</f>
        <v/>
      </c>
      <c r="PJ156" s="155">
        <f>MAX(0,16-SUMPRODUCT($OK156:$OP156,$I$8:$N$8)+MIN(14,$OQ156*4+$OR156*7,SUMPRODUCT($OK156:$OP156,$I$8:$N$8)))</f>
        <v/>
      </c>
      <c r="PK156" s="155">
        <f>IF($OE156=2,3*$PD156&amp;" de vida temp.",IF($OE156=3,"sem dano",IF($PD156=0,IF($OE156=1,"sem cura","sem dano"),IF($OE156=1,"cura ","")&amp;$PD156&amp;"d8")))</f>
        <v/>
      </c>
      <c r="PL156" s="155">
        <f>IF($OE156=2,3*$PE156&amp;" de vida temp.",IF($OE156=3,"sem dano",IF($PE156=0,IF($OE156=1,"sem cura","sem dano"),IF($OE156=1,"cura ","")&amp;$PE156&amp;"d8")))</f>
        <v/>
      </c>
      <c r="PM156" s="155">
        <f>IF($OE156=2,3*$PF156&amp;" de vida temp.",IF($OE156=3,"sem dano",IF($PF156=0,IF($OE156=1,"sem cura","sem dano"),IF($OE156=1,"cura ","")&amp;$PF156&amp;"d8")))</f>
        <v/>
      </c>
      <c r="PN156" s="155">
        <f>IF($OE156=2,3*$PG156&amp;" de vida temp.",IF($OE156=3,"sem dano",IF($PG156=0,IF($OE156=1,"sem cura","sem dano"),IF($OE156=1,"cura ","")&amp;$PG156&amp;"d8")))</f>
        <v/>
      </c>
      <c r="PO156" s="155">
        <f>IF($OE156=2,3*$PH156&amp;" de vida temp.",IF($OE156=3,"sem dano",IF($PH156=0,IF($OE156=1,"sem cura","sem dano"),IF($OE156=1,"cura ","")&amp;$PH156&amp;"d8")))</f>
        <v/>
      </c>
      <c r="PP156" s="155">
        <f>IF($OE156=2,3*$PI156&amp;" de vida temp.",IF($OE156=3,"sem dano",IF($PI156=0,IF($OE156=1,"sem cura","sem dano"),IF($OE156=1,"cura ","")&amp;$PI156&amp;"d8")))</f>
        <v/>
      </c>
      <c r="PQ156" s="155">
        <f>IF($OE156=2,3*$PJ156&amp;" de vida temp.",IF($OE156=3,"sem dano",IF($PJ156=0,IF($OE156=1,"sem cura","sem dano"),IF($OE156=1,"cura ","")&amp;$PJ156&amp;"d8")))</f>
        <v/>
      </c>
      <c r="PR156" s="155">
        <f>IF($NB156=0,"",TEXTJOIN(" · ",TRUE,IF($MO156&gt;$NC156,"Este lugar abre no nível "&amp;$MO156,""),IF($MQ156&gt;$ND156,"Classe "&amp;$MQ156&amp;": o nível "&amp;$NC156&amp;" libera até a "&amp;$ND156,""),IF($NV156=1,"A Forma "&amp;$MS156&amp;" pede "&amp;INDEX($W$2:$W$11,$NH156)&amp;" aberta",""),IF(AND($MQ156=0,$NH156&gt;0,IF($NH156=0,0,INDEX($AF$2:$AF$11,$NH156))=0),$MS156&amp;" não existe na Classe 0",""),IF($NW156=1,"Família Fechada: "&amp;$MV156,""),IF($NX156=1,"Família Fechada: "&amp;$MW156,""),IF($NY156=1,"Família Fechada: "&amp;$MX156,""),IF($NZ156=1,"Família Fechada: "&amp;$MY156,""),IF(AND($MQ156&gt;0,$OS156&gt;INDEX($O$2:$O$8,MAX(1,$MQ156))),$OS156&amp;" Melhorias: a Classe "&amp;$MQ156&amp;" aceita "&amp;INDEX($O$2:$O$8,MAX(1,$MQ156)),""),IF(AND($MQ156=0,$OS156&gt;1),"A básica aceita uma Melhoria",""),IF(AND($MQ156=0,COUNTIF($NM156:$NP156,"&gt;1")&gt;0),"A básica só aceita Melhoria Leve",""),IF(AND($MQ156&gt;0,$OT156&gt;2),$OT156&amp;" Restrições"&amp;IF($OD156=1,", contando a que a Forma "&amp;$MS156&amp;" já traz","")&amp;": o limite é 2",""),IF(AND($MQ156=0,COUNTIF($MZ156:$NA156,"?*")&gt;1),"A básica aceita uma Restrição Leve",""),IF(AND($MQ156=0,COUNTIF($OG156:$OH156,2)&gt;0),"A básica só aceita Restrição Leve",""),IF(AND($MQ156&gt;0,$PA156&lt;0),"Orçamento estourado: faltam "&amp;(-$PA156)&amp;IF($PA156&lt;-1," pontos"," ponto"),""),IF(IFERROR(VLOOKUP($MZ156,$BC$2:$BG$24,4,FALSE),0)+IFERROR(VLOOKUP($NA156,$BC$2:$BG$24,4,FALSE),0)&gt;1,$OI156&amp;" e "&amp;$OJ156&amp;" são as duas de frequência",""),IF(AND((COUNTIF($MV156:$MY156,"Rápido")+COUNTIF($OI156:$OJ156,"Rápido"))&gt;0,(COUNTIF($MV156:$MY156,"Atrasar")+COUNTIF($OI156:$OJ156,"Atrasar"))&gt;0),"Rápido não entra com Atrasar",""),IF(AND((COUNTIF($MV156:$MY156,"Reação")+COUNTIF($OI156:$OJ156,"Reação"))&gt;0,(COUNTIF($MV156:$MY156,"Rápido")+COUNTIF($OI156:$OJ156,"Rápido"))&gt;0),"Reação não entra com Rápido",""),IF(AND((COUNTIF($MV156:$MY156,"Reação")+COUNTIF($OI156:$OJ156,"Reação"))&gt;0,(COUNTIF($MV156:$MY156,"Armado")+COUNTIF($OI156:$OJ156,"Armado"))&gt;0),"Reação não entra com Armado",""),IF(AND((COUNTIF($MV156:$MY156,"Reação")+COUNTIF($OI156:$OJ156,"Reação"))&gt;0,(COUNTIF($MV156:$MY156,"Atrasar")+COUNTIF($OI156:$OJ156,"Atrasar"))&gt;0),"Reação não entra com Atrasar",""),IF(AND((COUNTIF($MV156:$MY156,"Reação")+COUNTIF($OI156:$OJ156,"Reação"))&gt;0,(COUNTIF($MV156:$MY156,"Parado")+COUNTIF($OI156:$OJ156,"Parado"))&gt;0),"Reação não entra com Parado",""),IF(AND((COUNTIF($MV156:$MY156,"Atrasar")+COUNTIF($OI156:$OJ156,"Atrasar"))&gt;0,(COUNTIF($MV156:$MY156,"Parado")+COUNTIF($OI156:$OJ156,"Parado"))&gt;0),"Atrasar não entra com Parado",""),IF(AND((COUNTIF($MV156:$MY156,"Armado")+COUNTIF($OI156:$OJ156,"Armado"))&gt;0,(COUNTIF($MV156:$MY156,"Carregar")+COUNTIF($OI156:$OJ156,"Carregar"))&gt;0),"Armado não entra com Carregar",""),IF(AND(COUNTIF($OI156:$OJ156,"Corpo a Corpo")&gt;0,$OD156=0,OR($MS156="Cone",$MS156="Linha")),"Corpo a Corpo não entra em "&amp;$MS156,""),IF(AND(COUNTIF($OI156:$OJ156,"Corpo a Corpo")&gt;0,$OD156=1),"A Forma "&amp;$MS156&amp;" já traz o Corpo a Corpo",""),IF(AND(COUNTIF($OI156:$OJ156,"Tudo ou Nada")&gt;0,$OF156=0),"Tudo ou Nada só entra em habilidade de Teste de Resistência",""),IF(AND(COUNTIF($MV156:$MY156,"Inescapável")&gt;0,OR($OS156&gt;1,$OT156&gt;0)),"Inescapável não aceita outra peça",""),IF(AND($MQ156&gt;0,$PB156*IF(COUNTIF($MV156:$MY156,"Remate")&gt;0,1.25,1)+$PC156&gt;4*$MQ156),($PB156*IF(COUNTIF($MV156:$MY156,"Remate")&gt;0,1.25,1)+$PC156)&amp;" dados somando repetições"&amp;IF(COUNTIF($MV156:$MY156,"Remate")&gt;0," e o Remate","")&amp;": o teto da Classe "&amp;$MQ156&amp;" é "&amp;4*$MQ156,"")))</f>
        <v/>
      </c>
      <c r="PS156" s="155">
        <f>IF($PR156="",0,(LEN($PR156)-LEN(SUBSTITUTE($PR156," · ","")))/3+1)</f>
        <v/>
      </c>
      <c r="PT156" s="155">
        <f>IF($NB156=0,"",TEXTJOIN(" · ",TRUE,IF($OV156&gt;2*$MQ156,"A devolução parou no teto de "&amp;2*$MQ156,""),IF($OY156&gt;0,"Devolução perdida: "&amp;$OY156&amp;IF($OY156&gt;1," pontos"," ponto")&amp;" sem peça para pagar",""),IF(AND($OA156&gt;0,AND($MQ156&gt;0,$OE156=0),$PB156=0),"Controle sem dano: uma rodada a mais e CD +2",""),IF(AND($OA156&gt;0,AND($MQ156&gt;0,$OE156=0),$PB156&gt;0,$PB156&lt;=$MQ156),"Controle com saldo até a Classe: uma rodada a mais",""),IF(AND($MQ156&gt;0,$OC156&lt;&gt;""),"Efeito de "&amp;$OC156&amp;" pela Classe "&amp;MAX(1,$MQ156-1),"")))</f>
        <v/>
      </c>
      <c r="PU156" s="155">
        <f>IF($PT156="",0,(LEN($PT156)-LEN(SUBSTITUTE($PT156," · ","")))/3+1)</f>
        <v/>
      </c>
      <c r="PV156" s="155">
        <f>IF($NB156=0,IF($OS156+COUNTIF($MZ156:$NA156,"?*")&gt;0,"Dê um nome",""),IF($PS156&gt;0,"⚠ "&amp;$PS156&amp;IF($PS156&gt;1," erros"," erro"),IF($PU156&gt;0,"! "&amp;$PU156&amp;IF($PU156&gt;1," avisos"," aviso"),"Na regra")))</f>
        <v/>
      </c>
      <c r="PW156" s="155">
        <f>IF($NB156=0,"",IF($PS156+$PU156=0,"Dentro das regras que a ficha confere",$PR156&amp;IF(AND($PS156&gt;0,$PU156&gt;0)," · ","")&amp;$PT156))</f>
        <v/>
      </c>
      <c r="PX156" s="155">
        <f>IF($MO156&gt;$NC156,$MP156&amp;" · ABRE NO NÍVEL "&amp;$MO156,$MP156)</f>
        <v/>
      </c>
      <c r="PY156" s="155">
        <f>IF($NB156=0,"",IF($MQ156=0,"Sem PE",3*$MQ156&amp;" PE"))</f>
        <v/>
      </c>
      <c r="PZ156" s="155">
        <f>IF($NB156=0,"",IF($MQ156=0,"A atuação básica dela",IF(COUNTIF($OI156:$OJ156,"Atrasar")&gt;0,"Sua Ação Completa",IF(COUNTIF($MV156:$MY156,"Rápido")&gt;0,"Sua Bônus",IF(COUNTIF($MV156:$MY156,"Reação")&gt;0,"Sua Reação","Sua Padrão")))&amp;" + a básica dela"&amp;IF(COUNTIF($MV156:$MY156,"Reação")&gt;0," e a coletiva","")&amp;IF(COUNTIF($OI156:$OJ156,"Carregar")&gt;0," · em dois turnos","")))</f>
        <v/>
      </c>
      <c r="QA156" s="155">
        <f>IF($MU156&lt;&gt;"",$MU156,IF($NH156=0,"",INDEX($AA$2:$AA$11,$NH156)))</f>
        <v/>
      </c>
      <c r="QB156" s="155">
        <f>IF(OR($NB156=0,$NH156=0),"",IF(COUNTIF($MV156:$MY156,"Inescapável")&gt;0,"Automático",IF($QA156="Ataque",IF($NF156="","Ataque","Ataque "&amp;IF(($NF156+2*IF(COUNTIF($MV156:$MY156,"Precisão")&gt;0,1,0))&gt;=0,"+","−")&amp;ABS(($NF156+2*IF(COUNTIF($MV156:$MY156,"Precisão")&gt;0,1,0))))&amp;IF($OB156&gt;0," · TR"&amp;IF($NG156="",""," CD "&amp;$NG156),""),IF(LEFT($QA156,2)="TR",$QA156&amp;IF($NG156="",""," · CD "&amp;$NG156)&amp;IF(COUNTIF($MV156:$MY156,"Certeiro")&gt;0," · metade",""),"Sem rolagem"))))</f>
        <v/>
      </c>
      <c r="QC156" s="155">
        <f>IF(OR($NB156=0,$NH156=0),"",IF($MQ156=0,IF(OR($OE156&gt;=1,$PB156=0),"Sem dano",$PB156&amp;"d6"&amp;IF($MT156="",""," "&amp;$MT156)),IF(OR($OE156&gt;=1,$PB156=0),UPPER(LEFT(INDEX($PK156:$PQ156,1,MAX(1,$MQ156)),1))&amp;MID(INDEX($PK156:$PQ156,1,MAX(1,$MQ156)),2,99),UPPER(LEFT(INDEX($PK156:$PQ156,1,MAX(1,$MQ156)),1))&amp;MID(INDEX($PK156:$PQ156,1,MAX(1,$MQ156)),2,99)&amp;IF($MT156="",""," "&amp;$MT156)&amp;IF($PC156&gt;0," · +"&amp;$PC156&amp;"d8",""))))</f>
        <v/>
      </c>
      <c r="QD156" s="155">
        <f>COUNTIF($MV156:$MY156,"Longe")+3*COUNTIF($MV156:$MY156,"Muito Longe")</f>
        <v/>
      </c>
      <c r="QE156" s="155">
        <f>COUNTIF($MV156:$MY156,"Maior")+3*COUNTIF($MV156:$MY156,"Muito Maior")</f>
        <v/>
      </c>
      <c r="QF156" s="155">
        <f>IF($NH156=0,0,CHOOSE(1+INDEX($AC$2:$AC$11,$NH156),0,$QD156,$QE156,$QD156+$QE156))</f>
        <v/>
      </c>
      <c r="QG156" s="155">
        <f>IF($NH156=0,0,CHOOSE(1+INDEX($AD$2:$AD$11,$NH156),0,$QD156,$QE156,$QD156+$QE156))</f>
        <v/>
      </c>
      <c r="QH156" s="155">
        <f>IF(OR($NB156=0,$NH156=0),"",INDEX($AI$2:$AN$41,($NH156-1)*4+IF($MQ156=0,1,IF($MQ156&lt;=5,2,IF($MQ156=6,3,4))),1+MIN(5,$QF156))&amp;INDEX($AO$2:$AT$41,($NH156-1)*4+IF($MQ156=0,1,IF($MQ156&lt;=5,2,IF($MQ156=6,3,4))),1+MIN(5,$QG156))&amp;IF(INDEX($AE$2:$AE$11,$NH156)=1,IF(COUNTIF($MV156:$MY156,"Mais Um")&gt;0," · +"&amp;COUNTIF($MV156:$MY156,"Mais Um")&amp;IF(COUNTIF($MV156:$MY156,"Mais Um")&gt;1," alvos"," alvo"),"")&amp;IF(COUNTIF($MV156:$MY156,"Rajada")&gt;0,IF($MQ156=0," · 1 tiro"," · "&amp;(MAX(1,$MQ156-1)+1)&amp;" tiros"),""),""))</f>
        <v/>
      </c>
      <c r="QI156" s="155">
        <f>IF($NB156=0,"",IF($MQ156=0,$NE156&amp;"d6"&amp;IF($OS156&gt;0," − 1 = "&amp;$PB156&amp;"d6"," da básica do nível "&amp;$NC156),$OZ156&amp;" − "&amp;$OU156&amp;" + "&amp;$OX156&amp;" = "&amp;$PA156&amp;" · teto "&amp;4*$MQ156&amp;"d8"&amp;IF($OD156=1," · a Forma devolve "&amp;$MQ156,"")&amp;IF($OY156&gt;0," · perde "&amp;$OY156,"")))</f>
        <v/>
      </c>
      <c r="QJ156" s="155">
        <f>IF($NB156=0,"",IF($MQ156=0,"A básica não amplia: os dados dela sobem com o nível",IF($MQ156&gt;=$ND156,"Já está na maior Classe que o nível liberou",TEXTJOIN(" · ",TRUE,IF(AND(2&gt;$MQ156,2&lt;=$ND156),"2 → "&amp;$PL156&amp;", 6 PE",""),IF(AND(3&gt;$MQ156,3&lt;=$ND156),"3 → "&amp;$PM156&amp;", 9 PE",""),IF(AND(4&gt;$MQ156,4&lt;=$ND156),"4 → "&amp;$PN156&amp;", 12 PE",""),IF(AND(5&gt;$MQ156,5&lt;=$ND156),"5 → "&amp;$PO156&amp;", 15 PE",""),IF(AND(6&gt;$MQ156,6&lt;=$ND156),"6 → "&amp;$PP156&amp;", 18 PE",""),IF(AND(7&gt;$MQ156,7&lt;=$ND156),"7 → "&amp;$PQ156&amp;", 21 PE","")))))</f>
        <v/>
      </c>
      <c r="QK156" s="155">
        <f>IF(OR($NB156=0,$NM156=0),"",IF($MQ156=0,"−1 dado","−"&amp;INDEX($I$2:$N$8,MAX(1,$MQ156),MAX(1,$NR156))&amp;" · "&amp;CHOOSE(MAX(1,$NR156),"Leve","Média","Pesada","Leve · Livre","Média · Livre","Pesada · Livre")))</f>
        <v/>
      </c>
      <c r="QL156" s="155">
        <f>IF(OR($NB156=0,$NN156=0),"",IF($MQ156=0,"−1 dado","−"&amp;INDEX($I$2:$N$8,MAX(1,$MQ156),MAX(1,$NS156))&amp;" · "&amp;CHOOSE(MAX(1,$NS156),"Leve","Média","Pesada","Leve · Livre","Média · Livre","Pesada · Livre")))</f>
        <v/>
      </c>
      <c r="QM156" s="155">
        <f>IF(OR($NB156=0,$NO156=0),"",IF($MQ156=0,"−1 dado","−"&amp;INDEX($I$2:$N$8,MAX(1,$MQ156),MAX(1,$NT156))&amp;" · "&amp;CHOOSE(MAX(1,$NT156),"Leve","Média","Pesada","Leve · Livre","Média · Livre","Pesada · Livre")))</f>
        <v/>
      </c>
      <c r="QN156" s="155">
        <f>IF(OR($NB156=0,$NP156=0),"",IF($MQ156=0,"−1 dado","−"&amp;INDEX($I$2:$N$8,MAX(1,$MQ156),MAX(1,$NU156))&amp;" · "&amp;CHOOSE(MAX(1,$NU156),"Leve","Média","Pesada","Leve · Livre","Média · Livre","Pesada · Livre")))</f>
        <v/>
      </c>
      <c r="QO156" s="155">
        <f>IF(OR($NB156=0,$MZ156=""),"",IF($MQ156=0,"não devolve","+"&amp;IF($OG156=1,CEILING($MQ156/2,1),$MQ156)))</f>
        <v/>
      </c>
      <c r="QP156" s="155">
        <f>IF(OR($NB156=0,$NA156=""),"",IF($MQ156=0,"não devolve","+"&amp;IF($OH156=1,CEILING($MQ156/2,1),$MQ156)))</f>
        <v/>
      </c>
    </row>
    <row r="157">
      <c r="ML157" s="153" t="inlineStr">
        <is>
          <t>Ficha 12 · Escolha da trilha 3</t>
        </is>
      </c>
      <c r="MM157" s="155" t="n">
        <v>12</v>
      </c>
      <c r="MN157" s="155" t="n">
        <v>2</v>
      </c>
      <c r="MO157" s="155" t="n">
        <v>0</v>
      </c>
      <c r="MP157" s="153" t="inlineStr">
        <is>
          <t>ESCOLHA DA TRILHA 3</t>
        </is>
      </c>
      <c r="MQ157" s="155">
        <f>MAX(0,MIN(7,N('INVOCAÇÕES'!$AN$1150)))</f>
        <v/>
      </c>
      <c r="MR157" s="155">
        <f>'INVOCAÇÕES'!$AO$1150&amp;""</f>
        <v/>
      </c>
      <c r="MS157" s="155">
        <f>'INVOCAÇÕES'!$AN$1155&amp;""</f>
        <v/>
      </c>
      <c r="MT157" s="155">
        <f>'INVOCAÇÕES'!$AN$1156&amp;""</f>
        <v/>
      </c>
      <c r="MU157" s="155">
        <f>'INVOCAÇÕES'!$AP$1156&amp;""</f>
        <v/>
      </c>
      <c r="MV157" s="155">
        <f>'INVOCAÇÕES'!$AO$1159&amp;""</f>
        <v/>
      </c>
      <c r="MW157" s="155">
        <f>'INVOCAÇÕES'!$AO$1160&amp;""</f>
        <v/>
      </c>
      <c r="MX157" s="155">
        <f>'INVOCAÇÕES'!$AO$1161&amp;""</f>
        <v/>
      </c>
      <c r="MY157" s="155">
        <f>'INVOCAÇÕES'!$AO$1162&amp;""</f>
        <v/>
      </c>
      <c r="MZ157" s="155">
        <f>'INVOCAÇÕES'!$AO$1163&amp;""</f>
        <v/>
      </c>
      <c r="NA157" s="155">
        <f>'INVOCAÇÕES'!$AO$1164&amp;""</f>
        <v/>
      </c>
      <c r="NB157" s="155">
        <f>IF($MR157&lt;&gt;"",1,0)</f>
        <v/>
      </c>
      <c r="NC157" s="155">
        <f>INDEX($FM$2:$FM$13,$MM157)</f>
        <v/>
      </c>
      <c r="ND157" s="155">
        <f>INDEX($FN$2:$FN$13,$MM157)</f>
        <v/>
      </c>
      <c r="NE157" s="155">
        <f>INDEX($FO$2:$FO$13,$MM157)</f>
        <v/>
      </c>
      <c r="NF157" s="155">
        <f>INDEX($FZ$2:$FZ$13,$MM157)</f>
        <v/>
      </c>
      <c r="NG157" s="155">
        <f>INDEX($GA$2:$GA$13,$MM157)</f>
        <v/>
      </c>
      <c r="NH157" s="155">
        <f>IFERROR(MATCH($MS157,$V$2:$V$11,0),0)</f>
        <v/>
      </c>
      <c r="NI157" s="155">
        <f>IFERROR(VLOOKUP($MV157,$AV$2:$BA$84,2,FALSE),"")</f>
        <v/>
      </c>
      <c r="NJ157" s="155">
        <f>IFERROR(VLOOKUP($MW157,$AV$2:$BA$84,2,FALSE),"")</f>
        <v/>
      </c>
      <c r="NK157" s="155">
        <f>IFERROR(VLOOKUP($MX157,$AV$2:$BA$84,2,FALSE),"")</f>
        <v/>
      </c>
      <c r="NL157" s="155">
        <f>IFERROR(VLOOKUP($MY157,$AV$2:$BA$84,2,FALSE),"")</f>
        <v/>
      </c>
      <c r="NM157" s="155">
        <f>IFERROR(VLOOKUP($MV157,$AV$2:$BA$84,3,FALSE),0)</f>
        <v/>
      </c>
      <c r="NN157" s="155">
        <f>IFERROR(VLOOKUP($MW157,$AV$2:$BA$84,3,FALSE),0)</f>
        <v/>
      </c>
      <c r="NO157" s="155">
        <f>IFERROR(VLOOKUP($MX157,$AV$2:$BA$84,3,FALSE),0)</f>
        <v/>
      </c>
      <c r="NP157" s="155">
        <f>IFERROR(VLOOKUP($MY157,$AV$2:$BA$84,3,FALSE),0)</f>
        <v/>
      </c>
      <c r="NQ157" s="155">
        <f>IF($MQ157=0,0,IF($NH157=0,0,INDEX($X$2:$X$11,$NH157)))</f>
        <v/>
      </c>
      <c r="NR157" s="155">
        <f>IF(OR($NM157=0,$MQ157=0),0,$NM157+3*IF(AND($NI157&lt;&gt;"",OR($NI157=INDEX($EJ$2:$EJ$13,$MM157),$NI157=INDEX($EK$2:$EK$13,$MM157))),1,0))</f>
        <v/>
      </c>
      <c r="NS157" s="155">
        <f>IF(OR($NN157=0,$MQ157=0),0,$NN157+3*IF(AND($NJ157&lt;&gt;"",OR($NJ157=INDEX($EJ$2:$EJ$13,$MM157),$NJ157=INDEX($EK$2:$EK$13,$MM157))),1,0))</f>
        <v/>
      </c>
      <c r="NT157" s="155">
        <f>IF(OR($NO157=0,$MQ157=0),0,$NO157+3*IF(AND($NK157&lt;&gt;"",OR($NK157=INDEX($EJ$2:$EJ$13,$MM157),$NK157=INDEX($EK$2:$EK$13,$MM157))),1,0))</f>
        <v/>
      </c>
      <c r="NU157" s="155">
        <f>IF(OR($NP157=0,$MQ157=0),0,$NP157+3*IF(AND($NL157&lt;&gt;"",OR($NL157=INDEX($EJ$2:$EJ$13,$MM157),$NL157=INDEX($EK$2:$EK$13,$MM157))),1,0))</f>
        <v/>
      </c>
      <c r="NV157" s="155">
        <f>IF($NH157=0,0,IF(INDEX($W$2:$W$11,$NH157)="",0,IF(COUNTIF(INDEX($EJ$2:$EN$13,$MM157,0),INDEX($W$2:$W$11,$NH157))=0,1,0)))</f>
        <v/>
      </c>
      <c r="NW157" s="155">
        <f>IF(OR($NM157=0,$NI157=""),0,IF(COUNTIF(INDEX($EJ$2:$EN$13,$MM157,0),$NI157)=0,1,0))</f>
        <v/>
      </c>
      <c r="NX157" s="155">
        <f>IF(OR($NN157=0,$NJ157=""),0,IF(COUNTIF(INDEX($EJ$2:$EN$13,$MM157,0),$NJ157)=0,1,0))</f>
        <v/>
      </c>
      <c r="NY157" s="155">
        <f>IF(OR($NO157=0,$NK157=""),0,IF(COUNTIF(INDEX($EJ$2:$EN$13,$MM157,0),$NK157)=0,1,0))</f>
        <v/>
      </c>
      <c r="NZ157" s="155">
        <f>IF(OR($NP157=0,$NL157=""),0,IF(COUNTIF(INDEX($EJ$2:$EN$13,$MM157,0),$NL157)=0,1,0))</f>
        <v/>
      </c>
      <c r="OA157" s="155">
        <f>IFERROR(VLOOKUP($MV157,$AV$2:$BA$84,4,FALSE),0)+IFERROR(VLOOKUP($MW157,$AV$2:$BA$84,4,FALSE),0)+IFERROR(VLOOKUP($MX157,$AV$2:$BA$84,4,FALSE),0)+IFERROR(VLOOKUP($MY157,$AV$2:$BA$84,4,FALSE),0)</f>
        <v/>
      </c>
      <c r="OB157" s="155">
        <f>IFERROR(VLOOKUP($MV157,$AV$2:$BA$84,6,FALSE),0)+IFERROR(VLOOKUP($MW157,$AV$2:$BA$84,6,FALSE),0)+IFERROR(VLOOKUP($MX157,$AV$2:$BA$84,6,FALSE),0)+IFERROR(VLOOKUP($MY157,$AV$2:$BA$84,6,FALSE),0)</f>
        <v/>
      </c>
      <c r="OC157" s="155">
        <f>TEXTJOIN(", ",TRUE,IF(IFERROR(VLOOKUP($MV157,$AV$2:$BA$84,5,FALSE),0)=1,$MV157,""),IF(IFERROR(VLOOKUP($MW157,$AV$2:$BA$84,5,FALSE),0)=1,$MW157,""),IF(IFERROR(VLOOKUP($MX157,$AV$2:$BA$84,5,FALSE),0)=1,$MX157,""),IF(IFERROR(VLOOKUP($MY157,$AV$2:$BA$84,5,FALSE),0)=1,$MY157,""))</f>
        <v/>
      </c>
      <c r="OD157" s="155">
        <f>IF($NH157=0,0,INDEX($Y$2:$Y$11,$NH157))</f>
        <v/>
      </c>
      <c r="OE157" s="155">
        <f>IF($NH157=0,0,INDEX($Z$2:$Z$11,$NH157))</f>
        <v/>
      </c>
      <c r="OF157" s="155">
        <f>IF($NH157=0,0,INDEX($AB$2:$AB$11,$NH157))</f>
        <v/>
      </c>
      <c r="OG157" s="155">
        <f>IFERROR(VLOOKUP($MZ157,$BC$2:$BG$24,3,FALSE),0)</f>
        <v/>
      </c>
      <c r="OH157" s="155">
        <f>IFERROR(VLOOKUP($NA157,$BC$2:$BG$24,3,FALSE),0)</f>
        <v/>
      </c>
      <c r="OI157" s="155">
        <f>IFERROR(VLOOKUP($MZ157,$BC$2:$BG$24,2,FALSE),"")</f>
        <v/>
      </c>
      <c r="OJ157" s="155">
        <f>IFERROR(VLOOKUP($NA157,$BC$2:$BG$24,2,FALSE),"")</f>
        <v/>
      </c>
      <c r="OK157" s="155">
        <f>COUNTIF($NQ157:$NU157,1)</f>
        <v/>
      </c>
      <c r="OL157" s="155">
        <f>COUNTIF($NQ157:$NU157,2)</f>
        <v/>
      </c>
      <c r="OM157" s="155">
        <f>COUNTIF($NQ157:$NU157,3)</f>
        <v/>
      </c>
      <c r="ON157" s="155">
        <f>COUNTIF($NQ157:$NU157,4)</f>
        <v/>
      </c>
      <c r="OO157" s="155">
        <f>COUNTIF($NQ157:$NU157,5)</f>
        <v/>
      </c>
      <c r="OP157" s="155">
        <f>COUNTIF($NQ157:$NU157,6)</f>
        <v/>
      </c>
      <c r="OQ157" s="155">
        <f>COUNTIF($OG157:$OH157,1)</f>
        <v/>
      </c>
      <c r="OR157" s="155">
        <f>COUNTIF($OG157:$OH157,2)+$OD157</f>
        <v/>
      </c>
      <c r="OS157" s="155">
        <f>COUNTIF($MV157:$MY157,"?*")</f>
        <v/>
      </c>
      <c r="OT157" s="155">
        <f>COUNTIF($MZ157:$NA157,"?*")+$OD157</f>
        <v/>
      </c>
      <c r="OU157" s="155">
        <f>IF($MQ157=0,0,SUMPRODUCT($OK157:$OP157,INDEX($I$2:$N$8,MAX(1,$MQ157),0)))</f>
        <v/>
      </c>
      <c r="OV157" s="155">
        <f>IF($MQ157=0,0,$OQ157*CEILING($MQ157/2,1)+$OR157*$MQ157)</f>
        <v/>
      </c>
      <c r="OW157" s="155">
        <f>MIN(2*$MQ157,$OV157)</f>
        <v/>
      </c>
      <c r="OX157" s="155">
        <f>MIN($OW157,$OU157)</f>
        <v/>
      </c>
      <c r="OY157" s="155">
        <f>$OW157-$OX157</f>
        <v/>
      </c>
      <c r="OZ157" s="155">
        <f>IF($MQ157=0,0,INDEX($P$2:$P$8,MAX(1,$MQ157)))</f>
        <v/>
      </c>
      <c r="PA157" s="155">
        <f>$OZ157-$OU157+$OX157</f>
        <v/>
      </c>
      <c r="PB157" s="155">
        <f>IF($MQ157=0,MAX(0,$NE157-IF($OS157&gt;0,1,0)),MAX(0,$PA157))</f>
        <v/>
      </c>
      <c r="PC157" s="155">
        <f>IF($MQ157=0,0,(IF(COUNTIF($MV157:$MY157,"Salto")&gt;0,1,0)+IF(COUNTIF($MV157:$MY157,"Queima")&gt;0,1,0)+IF(COUNTIF($MV157:$MY157,"Estilhaço")&gt;0,1,0))*FLOOR($PB157/2,1))</f>
        <v/>
      </c>
      <c r="PD157" s="155">
        <f>MAX(0,2-SUMPRODUCT($OK157:$OP157,$I$2:$N$2)+MIN(2,$OQ157*1+$OR157*1,SUMPRODUCT($OK157:$OP157,$I$2:$N$2)))</f>
        <v/>
      </c>
      <c r="PE157" s="155">
        <f>MAX(0,4-SUMPRODUCT($OK157:$OP157,$I$3:$N$3)+MIN(4,$OQ157*1+$OR157*2,SUMPRODUCT($OK157:$OP157,$I$3:$N$3)))</f>
        <v/>
      </c>
      <c r="PF157" s="155">
        <f>MAX(0,6-SUMPRODUCT($OK157:$OP157,$I$4:$N$4)+MIN(6,$OQ157*2+$OR157*3,SUMPRODUCT($OK157:$OP157,$I$4:$N$4)))</f>
        <v/>
      </c>
      <c r="PG157" s="155">
        <f>MAX(0,9-SUMPRODUCT($OK157:$OP157,$I$5:$N$5)+MIN(8,$OQ157*2+$OR157*4,SUMPRODUCT($OK157:$OP157,$I$5:$N$5)))</f>
        <v/>
      </c>
      <c r="PH157" s="155">
        <f>MAX(0,11-SUMPRODUCT($OK157:$OP157,$I$6:$N$6)+MIN(10,$OQ157*3+$OR157*5,SUMPRODUCT($OK157:$OP157,$I$6:$N$6)))</f>
        <v/>
      </c>
      <c r="PI157" s="155">
        <f>MAX(0,13-SUMPRODUCT($OK157:$OP157,$I$7:$N$7)+MIN(12,$OQ157*3+$OR157*6,SUMPRODUCT($OK157:$OP157,$I$7:$N$7)))</f>
        <v/>
      </c>
      <c r="PJ157" s="155">
        <f>MAX(0,16-SUMPRODUCT($OK157:$OP157,$I$8:$N$8)+MIN(14,$OQ157*4+$OR157*7,SUMPRODUCT($OK157:$OP157,$I$8:$N$8)))</f>
        <v/>
      </c>
      <c r="PK157" s="155">
        <f>IF($OE157=2,3*$PD157&amp;" de vida temp.",IF($OE157=3,"sem dano",IF($PD157=0,IF($OE157=1,"sem cura","sem dano"),IF($OE157=1,"cura ","")&amp;$PD157&amp;"d8")))</f>
        <v/>
      </c>
      <c r="PL157" s="155">
        <f>IF($OE157=2,3*$PE157&amp;" de vida temp.",IF($OE157=3,"sem dano",IF($PE157=0,IF($OE157=1,"sem cura","sem dano"),IF($OE157=1,"cura ","")&amp;$PE157&amp;"d8")))</f>
        <v/>
      </c>
      <c r="PM157" s="155">
        <f>IF($OE157=2,3*$PF157&amp;" de vida temp.",IF($OE157=3,"sem dano",IF($PF157=0,IF($OE157=1,"sem cura","sem dano"),IF($OE157=1,"cura ","")&amp;$PF157&amp;"d8")))</f>
        <v/>
      </c>
      <c r="PN157" s="155">
        <f>IF($OE157=2,3*$PG157&amp;" de vida temp.",IF($OE157=3,"sem dano",IF($PG157=0,IF($OE157=1,"sem cura","sem dano"),IF($OE157=1,"cura ","")&amp;$PG157&amp;"d8")))</f>
        <v/>
      </c>
      <c r="PO157" s="155">
        <f>IF($OE157=2,3*$PH157&amp;" de vida temp.",IF($OE157=3,"sem dano",IF($PH157=0,IF($OE157=1,"sem cura","sem dano"),IF($OE157=1,"cura ","")&amp;$PH157&amp;"d8")))</f>
        <v/>
      </c>
      <c r="PP157" s="155">
        <f>IF($OE157=2,3*$PI157&amp;" de vida temp.",IF($OE157=3,"sem dano",IF($PI157=0,IF($OE157=1,"sem cura","sem dano"),IF($OE157=1,"cura ","")&amp;$PI157&amp;"d8")))</f>
        <v/>
      </c>
      <c r="PQ157" s="155">
        <f>IF($OE157=2,3*$PJ157&amp;" de vida temp.",IF($OE157=3,"sem dano",IF($PJ157=0,IF($OE157=1,"sem cura","sem dano"),IF($OE157=1,"cura ","")&amp;$PJ157&amp;"d8")))</f>
        <v/>
      </c>
      <c r="PR157" s="155">
        <f>IF($NB157=0,"",TEXTJOIN(" · ",TRUE,IF($MO157&gt;$NC157,"Este lugar abre no nível "&amp;$MO157,""),IF($MQ157&gt;$ND157,"Classe "&amp;$MQ157&amp;": o nível "&amp;$NC157&amp;" libera até a "&amp;$ND157,""),IF($NV157=1,"A Forma "&amp;$MS157&amp;" pede "&amp;INDEX($W$2:$W$11,$NH157)&amp;" aberta",""),IF(AND($MQ157=0,$NH157&gt;0,IF($NH157=0,0,INDEX($AF$2:$AF$11,$NH157))=0),$MS157&amp;" não existe na Classe 0",""),IF($NW157=1,"Família Fechada: "&amp;$MV157,""),IF($NX157=1,"Família Fechada: "&amp;$MW157,""),IF($NY157=1,"Família Fechada: "&amp;$MX157,""),IF($NZ157=1,"Família Fechada: "&amp;$MY157,""),IF(AND($MQ157&gt;0,$OS157&gt;INDEX($O$2:$O$8,MAX(1,$MQ157))),$OS157&amp;" Melhorias: a Classe "&amp;$MQ157&amp;" aceita "&amp;INDEX($O$2:$O$8,MAX(1,$MQ157)),""),IF(AND($MQ157=0,$OS157&gt;1),"A básica aceita uma Melhoria",""),IF(AND($MQ157=0,COUNTIF($NM157:$NP157,"&gt;1")&gt;0),"A básica só aceita Melhoria Leve",""),IF(AND($MQ157&gt;0,$OT157&gt;2),$OT157&amp;" Restrições"&amp;IF($OD157=1,", contando a que a Forma "&amp;$MS157&amp;" já traz","")&amp;": o limite é 2",""),IF(AND($MQ157=0,COUNTIF($MZ157:$NA157,"?*")&gt;1),"A básica aceita uma Restrição Leve",""),IF(AND($MQ157=0,COUNTIF($OG157:$OH157,2)&gt;0),"A básica só aceita Restrição Leve",""),IF(AND($MQ157&gt;0,$PA157&lt;0),"Orçamento estourado: faltam "&amp;(-$PA157)&amp;IF($PA157&lt;-1," pontos"," ponto"),""),IF(IFERROR(VLOOKUP($MZ157,$BC$2:$BG$24,4,FALSE),0)+IFERROR(VLOOKUP($NA157,$BC$2:$BG$24,4,FALSE),0)&gt;1,$OI157&amp;" e "&amp;$OJ157&amp;" são as duas de frequência",""),IF(AND((COUNTIF($MV157:$MY157,"Rápido")+COUNTIF($OI157:$OJ157,"Rápido"))&gt;0,(COUNTIF($MV157:$MY157,"Atrasar")+COUNTIF($OI157:$OJ157,"Atrasar"))&gt;0),"Rápido não entra com Atrasar",""),IF(AND((COUNTIF($MV157:$MY157,"Reação")+COUNTIF($OI157:$OJ157,"Reação"))&gt;0,(COUNTIF($MV157:$MY157,"Rápido")+COUNTIF($OI157:$OJ157,"Rápido"))&gt;0),"Reação não entra com Rápido",""),IF(AND((COUNTIF($MV157:$MY157,"Reação")+COUNTIF($OI157:$OJ157,"Reação"))&gt;0,(COUNTIF($MV157:$MY157,"Armado")+COUNTIF($OI157:$OJ157,"Armado"))&gt;0),"Reação não entra com Armado",""),IF(AND((COUNTIF($MV157:$MY157,"Reação")+COUNTIF($OI157:$OJ157,"Reação"))&gt;0,(COUNTIF($MV157:$MY157,"Atrasar")+COUNTIF($OI157:$OJ157,"Atrasar"))&gt;0),"Reação não entra com Atrasar",""),IF(AND((COUNTIF($MV157:$MY157,"Reação")+COUNTIF($OI157:$OJ157,"Reação"))&gt;0,(COUNTIF($MV157:$MY157,"Parado")+COUNTIF($OI157:$OJ157,"Parado"))&gt;0),"Reação não entra com Parado",""),IF(AND((COUNTIF($MV157:$MY157,"Atrasar")+COUNTIF($OI157:$OJ157,"Atrasar"))&gt;0,(COUNTIF($MV157:$MY157,"Parado")+COUNTIF($OI157:$OJ157,"Parado"))&gt;0),"Atrasar não entra com Parado",""),IF(AND((COUNTIF($MV157:$MY157,"Armado")+COUNTIF($OI157:$OJ157,"Armado"))&gt;0,(COUNTIF($MV157:$MY157,"Carregar")+COUNTIF($OI157:$OJ157,"Carregar"))&gt;0),"Armado não entra com Carregar",""),IF(AND(COUNTIF($OI157:$OJ157,"Corpo a Corpo")&gt;0,$OD157=0,OR($MS157="Cone",$MS157="Linha")),"Corpo a Corpo não entra em "&amp;$MS157,""),IF(AND(COUNTIF($OI157:$OJ157,"Corpo a Corpo")&gt;0,$OD157=1),"A Forma "&amp;$MS157&amp;" já traz o Corpo a Corpo",""),IF(AND(COUNTIF($OI157:$OJ157,"Tudo ou Nada")&gt;0,$OF157=0),"Tudo ou Nada só entra em habilidade de Teste de Resistência",""),IF(AND(COUNTIF($MV157:$MY157,"Inescapável")&gt;0,OR($OS157&gt;1,$OT157&gt;0)),"Inescapável não aceita outra peça",""),IF(AND($MQ157&gt;0,$PB157*IF(COUNTIF($MV157:$MY157,"Remate")&gt;0,1.25,1)+$PC157&gt;4*$MQ157),($PB157*IF(COUNTIF($MV157:$MY157,"Remate")&gt;0,1.25,1)+$PC157)&amp;" dados somando repetições"&amp;IF(COUNTIF($MV157:$MY157,"Remate")&gt;0," e o Remate","")&amp;": o teto da Classe "&amp;$MQ157&amp;" é "&amp;4*$MQ157,"")))</f>
        <v/>
      </c>
      <c r="PS157" s="155">
        <f>IF($PR157="",0,(LEN($PR157)-LEN(SUBSTITUTE($PR157," · ","")))/3+1)</f>
        <v/>
      </c>
      <c r="PT157" s="155">
        <f>IF($NB157=0,"",TEXTJOIN(" · ",TRUE,IF($OV157&gt;2*$MQ157,"A devolução parou no teto de "&amp;2*$MQ157,""),IF($OY157&gt;0,"Devolução perdida: "&amp;$OY157&amp;IF($OY157&gt;1," pontos"," ponto")&amp;" sem peça para pagar",""),IF(AND($OA157&gt;0,AND($MQ157&gt;0,$OE157=0),$PB157=0),"Controle sem dano: uma rodada a mais e CD +2",""),IF(AND($OA157&gt;0,AND($MQ157&gt;0,$OE157=0),$PB157&gt;0,$PB157&lt;=$MQ157),"Controle com saldo até a Classe: uma rodada a mais",""),IF(AND($MQ157&gt;0,$OC157&lt;&gt;""),"Efeito de "&amp;$OC157&amp;" pela Classe "&amp;MAX(1,$MQ157-1),"")))</f>
        <v/>
      </c>
      <c r="PU157" s="155">
        <f>IF($PT157="",0,(LEN($PT157)-LEN(SUBSTITUTE($PT157," · ","")))/3+1)</f>
        <v/>
      </c>
      <c r="PV157" s="155">
        <f>IF($NB157=0,IF($OS157+COUNTIF($MZ157:$NA157,"?*")&gt;0,"Dê um nome",""),IF($PS157&gt;0,"⚠ "&amp;$PS157&amp;IF($PS157&gt;1," erros"," erro"),IF($PU157&gt;0,"! "&amp;$PU157&amp;IF($PU157&gt;1," avisos"," aviso"),"Na regra")))</f>
        <v/>
      </c>
      <c r="PW157" s="155">
        <f>IF($NB157=0,"",IF($PS157+$PU157=0,"Dentro das regras que a ficha confere",$PR157&amp;IF(AND($PS157&gt;0,$PU157&gt;0)," · ","")&amp;$PT157))</f>
        <v/>
      </c>
      <c r="PX157" s="155">
        <f>IF($MO157&gt;$NC157,$MP157&amp;" · ABRE NO NÍVEL "&amp;$MO157,$MP157)</f>
        <v/>
      </c>
      <c r="PY157" s="155">
        <f>IF($NB157=0,"",IF($MQ157=0,"Sem PE",3*$MQ157&amp;" PE"))</f>
        <v/>
      </c>
      <c r="PZ157" s="155">
        <f>IF($NB157=0,"",IF($MQ157=0,"A atuação básica dela",IF(COUNTIF($OI157:$OJ157,"Atrasar")&gt;0,"Sua Ação Completa",IF(COUNTIF($MV157:$MY157,"Rápido")&gt;0,"Sua Bônus",IF(COUNTIF($MV157:$MY157,"Reação")&gt;0,"Sua Reação","Sua Padrão")))&amp;" + a básica dela"&amp;IF(COUNTIF($MV157:$MY157,"Reação")&gt;0," e a coletiva","")&amp;IF(COUNTIF($OI157:$OJ157,"Carregar")&gt;0," · em dois turnos","")))</f>
        <v/>
      </c>
      <c r="QA157" s="155">
        <f>IF($MU157&lt;&gt;"",$MU157,IF($NH157=0,"",INDEX($AA$2:$AA$11,$NH157)))</f>
        <v/>
      </c>
      <c r="QB157" s="155">
        <f>IF(OR($NB157=0,$NH157=0),"",IF(COUNTIF($MV157:$MY157,"Inescapável")&gt;0,"Automático",IF($QA157="Ataque",IF($NF157="","Ataque","Ataque "&amp;IF(($NF157+2*IF(COUNTIF($MV157:$MY157,"Precisão")&gt;0,1,0))&gt;=0,"+","−")&amp;ABS(($NF157+2*IF(COUNTIF($MV157:$MY157,"Precisão")&gt;0,1,0))))&amp;IF($OB157&gt;0," · TR"&amp;IF($NG157="",""," CD "&amp;$NG157),""),IF(LEFT($QA157,2)="TR",$QA157&amp;IF($NG157="",""," · CD "&amp;$NG157)&amp;IF(COUNTIF($MV157:$MY157,"Certeiro")&gt;0," · metade",""),"Sem rolagem"))))</f>
        <v/>
      </c>
      <c r="QC157" s="155">
        <f>IF(OR($NB157=0,$NH157=0),"",IF($MQ157=0,IF(OR($OE157&gt;=1,$PB157=0),"Sem dano",$PB157&amp;"d6"&amp;IF($MT157="",""," "&amp;$MT157)),IF(OR($OE157&gt;=1,$PB157=0),UPPER(LEFT(INDEX($PK157:$PQ157,1,MAX(1,$MQ157)),1))&amp;MID(INDEX($PK157:$PQ157,1,MAX(1,$MQ157)),2,99),UPPER(LEFT(INDEX($PK157:$PQ157,1,MAX(1,$MQ157)),1))&amp;MID(INDEX($PK157:$PQ157,1,MAX(1,$MQ157)),2,99)&amp;IF($MT157="",""," "&amp;$MT157)&amp;IF($PC157&gt;0," · +"&amp;$PC157&amp;"d8",""))))</f>
        <v/>
      </c>
      <c r="QD157" s="155">
        <f>COUNTIF($MV157:$MY157,"Longe")+3*COUNTIF($MV157:$MY157,"Muito Longe")</f>
        <v/>
      </c>
      <c r="QE157" s="155">
        <f>COUNTIF($MV157:$MY157,"Maior")+3*COUNTIF($MV157:$MY157,"Muito Maior")</f>
        <v/>
      </c>
      <c r="QF157" s="155">
        <f>IF($NH157=0,0,CHOOSE(1+INDEX($AC$2:$AC$11,$NH157),0,$QD157,$QE157,$QD157+$QE157))</f>
        <v/>
      </c>
      <c r="QG157" s="155">
        <f>IF($NH157=0,0,CHOOSE(1+INDEX($AD$2:$AD$11,$NH157),0,$QD157,$QE157,$QD157+$QE157))</f>
        <v/>
      </c>
      <c r="QH157" s="155">
        <f>IF(OR($NB157=0,$NH157=0),"",INDEX($AI$2:$AN$41,($NH157-1)*4+IF($MQ157=0,1,IF($MQ157&lt;=5,2,IF($MQ157=6,3,4))),1+MIN(5,$QF157))&amp;INDEX($AO$2:$AT$41,($NH157-1)*4+IF($MQ157=0,1,IF($MQ157&lt;=5,2,IF($MQ157=6,3,4))),1+MIN(5,$QG157))&amp;IF(INDEX($AE$2:$AE$11,$NH157)=1,IF(COUNTIF($MV157:$MY157,"Mais Um")&gt;0," · +"&amp;COUNTIF($MV157:$MY157,"Mais Um")&amp;IF(COUNTIF($MV157:$MY157,"Mais Um")&gt;1," alvos"," alvo"),"")&amp;IF(COUNTIF($MV157:$MY157,"Rajada")&gt;0,IF($MQ157=0," · 1 tiro"," · "&amp;(MAX(1,$MQ157-1)+1)&amp;" tiros"),""),""))</f>
        <v/>
      </c>
      <c r="QI157" s="155">
        <f>IF($NB157=0,"",IF($MQ157=0,$NE157&amp;"d6"&amp;IF($OS157&gt;0," − 1 = "&amp;$PB157&amp;"d6"," da básica do nível "&amp;$NC157),$OZ157&amp;" − "&amp;$OU157&amp;" + "&amp;$OX157&amp;" = "&amp;$PA157&amp;" · teto "&amp;4*$MQ157&amp;"d8"&amp;IF($OD157=1," · a Forma devolve "&amp;$MQ157,"")&amp;IF($OY157&gt;0," · perde "&amp;$OY157,"")))</f>
        <v/>
      </c>
      <c r="QJ157" s="155">
        <f>IF($NB157=0,"",IF($MQ157=0,"A básica não amplia: os dados dela sobem com o nível",IF($MQ157&gt;=$ND157,"Já está na maior Classe que o nível liberou",TEXTJOIN(" · ",TRUE,IF(AND(2&gt;$MQ157,2&lt;=$ND157),"2 → "&amp;$PL157&amp;", 6 PE",""),IF(AND(3&gt;$MQ157,3&lt;=$ND157),"3 → "&amp;$PM157&amp;", 9 PE",""),IF(AND(4&gt;$MQ157,4&lt;=$ND157),"4 → "&amp;$PN157&amp;", 12 PE",""),IF(AND(5&gt;$MQ157,5&lt;=$ND157),"5 → "&amp;$PO157&amp;", 15 PE",""),IF(AND(6&gt;$MQ157,6&lt;=$ND157),"6 → "&amp;$PP157&amp;", 18 PE",""),IF(AND(7&gt;$MQ157,7&lt;=$ND157),"7 → "&amp;$PQ157&amp;", 21 PE","")))))</f>
        <v/>
      </c>
      <c r="QK157" s="155">
        <f>IF(OR($NB157=0,$NM157=0),"",IF($MQ157=0,"−1 dado","−"&amp;INDEX($I$2:$N$8,MAX(1,$MQ157),MAX(1,$NR157))&amp;" · "&amp;CHOOSE(MAX(1,$NR157),"Leve","Média","Pesada","Leve · Livre","Média · Livre","Pesada · Livre")))</f>
        <v/>
      </c>
      <c r="QL157" s="155">
        <f>IF(OR($NB157=0,$NN157=0),"",IF($MQ157=0,"−1 dado","−"&amp;INDEX($I$2:$N$8,MAX(1,$MQ157),MAX(1,$NS157))&amp;" · "&amp;CHOOSE(MAX(1,$NS157),"Leve","Média","Pesada","Leve · Livre","Média · Livre","Pesada · Livre")))</f>
        <v/>
      </c>
      <c r="QM157" s="155">
        <f>IF(OR($NB157=0,$NO157=0),"",IF($MQ157=0,"−1 dado","−"&amp;INDEX($I$2:$N$8,MAX(1,$MQ157),MAX(1,$NT157))&amp;" · "&amp;CHOOSE(MAX(1,$NT157),"Leve","Média","Pesada","Leve · Livre","Média · Livre","Pesada · Livre")))</f>
        <v/>
      </c>
      <c r="QN157" s="155">
        <f>IF(OR($NB157=0,$NP157=0),"",IF($MQ157=0,"−1 dado","−"&amp;INDEX($I$2:$N$8,MAX(1,$MQ157),MAX(1,$NU157))&amp;" · "&amp;CHOOSE(MAX(1,$NU157),"Leve","Média","Pesada","Leve · Livre","Média · Livre","Pesada · Livre")))</f>
        <v/>
      </c>
      <c r="QO157" s="155">
        <f>IF(OR($NB157=0,$MZ157=""),"",IF($MQ157=0,"não devolve","+"&amp;IF($OG157=1,CEILING($MQ157/2,1),$MQ157)))</f>
        <v/>
      </c>
      <c r="QP157" s="155">
        <f>IF(OR($NB157=0,$NA157=""),"",IF($MQ157=0,"não devolve","+"&amp;IF($OH157=1,CEILING($MQ157/2,1),$MQ157)))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23" t="n"/>
      <c r="B1" s="156"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57" t="inlineStr">
        <is>
          <t>Capítulo 1 · 2 · 13</t>
        </is>
      </c>
      <c r="X1" s="19" t="n"/>
      <c r="Y1" s="19" t="n"/>
      <c r="Z1" s="19" t="n"/>
      <c r="AA1" s="19" t="n"/>
      <c r="AB1" s="19" t="n"/>
      <c r="AC1" s="19" t="n"/>
      <c r="AD1" s="19" t="n"/>
      <c r="AE1" s="19" t="n"/>
      <c r="AF1" s="19" t="n"/>
      <c r="AG1" s="20" t="n"/>
      <c r="AH1" s="123" t="n"/>
    </row>
    <row r="2" ht="16" customHeight="1">
      <c r="A2" s="123"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23" t="n"/>
    </row>
    <row r="3">
      <c r="A3" s="123" t="n"/>
      <c r="AH3" s="123" t="n"/>
    </row>
    <row r="4">
      <c r="A4" s="123" t="n"/>
      <c r="B4" s="158" t="inlineStr">
        <is>
          <t>ATRIBUTOS</t>
        </is>
      </c>
      <c r="C4" s="16" t="n"/>
      <c r="D4" s="16" t="n"/>
      <c r="E4" s="16" t="n"/>
      <c r="F4" s="16" t="n"/>
      <c r="G4" s="16" t="n"/>
      <c r="H4" s="16" t="n"/>
      <c r="I4" s="16" t="n"/>
      <c r="J4" s="16" t="n"/>
      <c r="K4" s="16" t="n"/>
      <c r="L4" s="17" t="n"/>
      <c r="M4" s="159"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23" t="n"/>
    </row>
    <row r="5">
      <c r="A5" s="123" t="n"/>
      <c r="E5" s="160" t="inlineStr">
        <is>
          <t>ATRIBUTO</t>
        </is>
      </c>
      <c r="F5" s="16" t="n"/>
      <c r="G5" s="16" t="n"/>
      <c r="H5" s="16" t="n"/>
      <c r="I5" s="16" t="n"/>
      <c r="J5" s="17" t="n"/>
      <c r="K5" s="160"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23" t="n"/>
    </row>
    <row r="6" ht="30" customHeight="1">
      <c r="A6" s="123" t="n"/>
      <c r="B6" s="82" t="n"/>
      <c r="C6" s="16" t="n"/>
      <c r="D6" s="17" t="n"/>
      <c r="E6" s="161" t="inlineStr">
        <is>
          <t>Força</t>
        </is>
      </c>
      <c r="F6" s="16" t="n"/>
      <c r="G6" s="16" t="n"/>
      <c r="H6" s="16" t="n"/>
      <c r="I6" s="16" t="n"/>
      <c r="J6" s="17" t="n"/>
      <c r="K6" s="162"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23" t="n"/>
    </row>
    <row r="7" ht="30" customHeight="1">
      <c r="A7" s="123" t="n"/>
      <c r="B7" s="163" t="n"/>
      <c r="C7" s="16" t="n"/>
      <c r="D7" s="17" t="n"/>
      <c r="E7" s="164" t="inlineStr">
        <is>
          <t>Destreza</t>
        </is>
      </c>
      <c r="F7" s="16" t="n"/>
      <c r="G7" s="16" t="n"/>
      <c r="H7" s="16" t="n"/>
      <c r="I7" s="16" t="n"/>
      <c r="J7" s="17" t="n"/>
      <c r="K7" s="165"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23" t="n"/>
    </row>
    <row r="8" ht="30" customHeight="1">
      <c r="A8" s="123" t="n"/>
      <c r="B8" s="82" t="n"/>
      <c r="C8" s="16" t="n"/>
      <c r="D8" s="17" t="n"/>
      <c r="E8" s="161" t="inlineStr">
        <is>
          <t>Constituição</t>
        </is>
      </c>
      <c r="F8" s="16" t="n"/>
      <c r="G8" s="16" t="n"/>
      <c r="H8" s="16" t="n"/>
      <c r="I8" s="16" t="n"/>
      <c r="J8" s="17" t="n"/>
      <c r="K8" s="162"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23" t="n"/>
    </row>
    <row r="9" ht="30" customHeight="1">
      <c r="A9" s="123" t="n"/>
      <c r="B9" s="163" t="n"/>
      <c r="C9" s="16" t="n"/>
      <c r="D9" s="17" t="n"/>
      <c r="E9" s="164" t="inlineStr">
        <is>
          <t>Inteligência</t>
        </is>
      </c>
      <c r="F9" s="16" t="n"/>
      <c r="G9" s="16" t="n"/>
      <c r="H9" s="16" t="n"/>
      <c r="I9" s="16" t="n"/>
      <c r="J9" s="17" t="n"/>
      <c r="K9" s="165"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23" t="n"/>
    </row>
    <row r="10" ht="30" customHeight="1">
      <c r="A10" s="123" t="n"/>
      <c r="B10" s="82" t="n"/>
      <c r="C10" s="16" t="n"/>
      <c r="D10" s="17" t="n"/>
      <c r="E10" s="161" t="inlineStr">
        <is>
          <t>Essência</t>
        </is>
      </c>
      <c r="F10" s="16" t="n"/>
      <c r="G10" s="16" t="n"/>
      <c r="H10" s="16" t="n"/>
      <c r="I10" s="16" t="n"/>
      <c r="J10" s="17" t="n"/>
      <c r="K10" s="162"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23" t="n"/>
    </row>
    <row r="11">
      <c r="A11" s="123" t="n"/>
      <c r="AH11" s="123" t="n"/>
    </row>
    <row r="12">
      <c r="A12" s="123" t="n"/>
      <c r="B12" s="158" t="inlineStr">
        <is>
          <t>PERÍCIAS</t>
        </is>
      </c>
      <c r="C12" s="16" t="n"/>
      <c r="D12" s="16" t="n"/>
      <c r="E12" s="16" t="n"/>
      <c r="F12" s="16" t="n"/>
      <c r="G12" s="16" t="n"/>
      <c r="H12" s="16" t="n"/>
      <c r="I12" s="16" t="n"/>
      <c r="J12" s="16" t="n"/>
      <c r="K12" s="16" t="n"/>
      <c r="L12" s="17" t="n"/>
      <c r="M12" s="159"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23" t="n"/>
    </row>
    <row r="13">
      <c r="A13" s="123" t="n"/>
      <c r="B13" s="55" t="inlineStr">
        <is>
          <t>NOME</t>
        </is>
      </c>
      <c r="C13" s="16" t="n"/>
      <c r="D13" s="17" t="n"/>
      <c r="E13" s="160" t="inlineStr">
        <is>
          <t>ATRIBUTO</t>
        </is>
      </c>
      <c r="F13" s="16" t="n"/>
      <c r="G13" s="16" t="n"/>
      <c r="H13" s="16" t="n"/>
      <c r="I13" s="16" t="n"/>
      <c r="J13" s="17" t="n"/>
      <c r="K13" s="160"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23" t="n"/>
    </row>
    <row r="14" ht="30" customHeight="1">
      <c r="A14" s="123" t="n"/>
      <c r="B14" s="82" t="inlineStr">
        <is>
          <t>Acrobacia</t>
        </is>
      </c>
      <c r="C14" s="16" t="n"/>
      <c r="D14" s="17" t="n"/>
      <c r="E14" s="161" t="inlineStr">
        <is>
          <t>Destreza</t>
        </is>
      </c>
      <c r="F14" s="16" t="n"/>
      <c r="G14" s="16" t="n"/>
      <c r="H14" s="16" t="n"/>
      <c r="I14" s="16" t="n"/>
      <c r="J14" s="17" t="n"/>
      <c r="K14" s="162"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23" t="n"/>
    </row>
    <row r="15" ht="30" customHeight="1">
      <c r="A15" s="123" t="n"/>
      <c r="B15" s="163" t="inlineStr">
        <is>
          <t>Atletismo</t>
        </is>
      </c>
      <c r="C15" s="16" t="n"/>
      <c r="D15" s="17" t="n"/>
      <c r="E15" s="164" t="inlineStr">
        <is>
          <t>Força</t>
        </is>
      </c>
      <c r="F15" s="16" t="n"/>
      <c r="G15" s="16" t="n"/>
      <c r="H15" s="16" t="n"/>
      <c r="I15" s="16" t="n"/>
      <c r="J15" s="17" t="n"/>
      <c r="K15" s="165"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23" t="n"/>
    </row>
    <row r="16" ht="30" customHeight="1">
      <c r="A16" s="123" t="n"/>
      <c r="B16" s="82" t="inlineStr">
        <is>
          <t>Atuação</t>
        </is>
      </c>
      <c r="C16" s="16" t="n"/>
      <c r="D16" s="17" t="n"/>
      <c r="E16" s="161" t="inlineStr">
        <is>
          <t>Essência</t>
        </is>
      </c>
      <c r="F16" s="16" t="n"/>
      <c r="G16" s="16" t="n"/>
      <c r="H16" s="16" t="n"/>
      <c r="I16" s="16" t="n"/>
      <c r="J16" s="17" t="n"/>
      <c r="K16" s="162"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23" t="n"/>
    </row>
    <row r="17" ht="30" customHeight="1">
      <c r="A17" s="123" t="n"/>
      <c r="B17" s="163" t="inlineStr">
        <is>
          <t>Enganação</t>
        </is>
      </c>
      <c r="C17" s="16" t="n"/>
      <c r="D17" s="17" t="n"/>
      <c r="E17" s="164" t="inlineStr">
        <is>
          <t>Essência</t>
        </is>
      </c>
      <c r="F17" s="16" t="n"/>
      <c r="G17" s="16" t="n"/>
      <c r="H17" s="16" t="n"/>
      <c r="I17" s="16" t="n"/>
      <c r="J17" s="17" t="n"/>
      <c r="K17" s="165"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23" t="n"/>
    </row>
    <row r="18" ht="30" customHeight="1">
      <c r="A18" s="123" t="n"/>
      <c r="B18" s="82" t="inlineStr">
        <is>
          <t>Furtividade</t>
        </is>
      </c>
      <c r="C18" s="16" t="n"/>
      <c r="D18" s="17" t="n"/>
      <c r="E18" s="161" t="inlineStr">
        <is>
          <t>Destreza</t>
        </is>
      </c>
      <c r="F18" s="16" t="n"/>
      <c r="G18" s="16" t="n"/>
      <c r="H18" s="16" t="n"/>
      <c r="I18" s="16" t="n"/>
      <c r="J18" s="17" t="n"/>
      <c r="K18" s="162"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23" t="n"/>
    </row>
    <row r="19" ht="30" customHeight="1">
      <c r="A19" s="123" t="n"/>
      <c r="B19" s="163" t="inlineStr">
        <is>
          <t>Hierarquia</t>
        </is>
      </c>
      <c r="C19" s="16" t="n"/>
      <c r="D19" s="17" t="n"/>
      <c r="E19" s="164" t="inlineStr">
        <is>
          <t>Inteligência</t>
        </is>
      </c>
      <c r="F19" s="16" t="n"/>
      <c r="G19" s="16" t="n"/>
      <c r="H19" s="16" t="n"/>
      <c r="I19" s="16" t="n"/>
      <c r="J19" s="17" t="n"/>
      <c r="K19" s="165"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23" t="n"/>
    </row>
    <row r="20" ht="30" customHeight="1">
      <c r="A20" s="123" t="n"/>
      <c r="B20" s="82" t="inlineStr">
        <is>
          <t>História</t>
        </is>
      </c>
      <c r="C20" s="16" t="n"/>
      <c r="D20" s="17" t="n"/>
      <c r="E20" s="161" t="inlineStr">
        <is>
          <t>Inteligência</t>
        </is>
      </c>
      <c r="F20" s="16" t="n"/>
      <c r="G20" s="16" t="n"/>
      <c r="H20" s="16" t="n"/>
      <c r="I20" s="16" t="n"/>
      <c r="J20" s="17" t="n"/>
      <c r="K20" s="162"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23" t="n"/>
    </row>
    <row r="21" ht="30" customHeight="1">
      <c r="A21" s="123" t="n"/>
      <c r="B21" s="163" t="inlineStr">
        <is>
          <t>Intimidação</t>
        </is>
      </c>
      <c r="C21" s="16" t="n"/>
      <c r="D21" s="17" t="n"/>
      <c r="E21" s="164" t="inlineStr">
        <is>
          <t>Essência</t>
        </is>
      </c>
      <c r="F21" s="16" t="n"/>
      <c r="G21" s="16" t="n"/>
      <c r="H21" s="16" t="n"/>
      <c r="I21" s="16" t="n"/>
      <c r="J21" s="17" t="n"/>
      <c r="K21" s="165"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23" t="n"/>
    </row>
    <row r="22" ht="30" customHeight="1">
      <c r="A22" s="123" t="n"/>
      <c r="B22" s="82" t="inlineStr">
        <is>
          <t>Intuição</t>
        </is>
      </c>
      <c r="C22" s="16" t="n"/>
      <c r="D22" s="17" t="n"/>
      <c r="E22" s="161" t="inlineStr">
        <is>
          <t>Inteligência</t>
        </is>
      </c>
      <c r="F22" s="16" t="n"/>
      <c r="G22" s="16" t="n"/>
      <c r="H22" s="16" t="n"/>
      <c r="I22" s="16" t="n"/>
      <c r="J22" s="17" t="n"/>
      <c r="K22" s="162"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23" t="n"/>
    </row>
    <row r="23" ht="30" customHeight="1">
      <c r="A23" s="123" t="n"/>
      <c r="B23" s="163" t="inlineStr">
        <is>
          <t>Investigação</t>
        </is>
      </c>
      <c r="C23" s="16" t="n"/>
      <c r="D23" s="17" t="n"/>
      <c r="E23" s="164" t="inlineStr">
        <is>
          <t>Inteligência</t>
        </is>
      </c>
      <c r="F23" s="16" t="n"/>
      <c r="G23" s="16" t="n"/>
      <c r="H23" s="16" t="n"/>
      <c r="I23" s="16" t="n"/>
      <c r="J23" s="17" t="n"/>
      <c r="K23" s="165"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23" t="n"/>
    </row>
    <row r="24" ht="30" customHeight="1">
      <c r="A24" s="123" t="n"/>
      <c r="B24" s="82" t="inlineStr">
        <is>
          <t>Lidar com Animais</t>
        </is>
      </c>
      <c r="C24" s="16" t="n"/>
      <c r="D24" s="17" t="n"/>
      <c r="E24" s="161" t="inlineStr">
        <is>
          <t>Inteligência</t>
        </is>
      </c>
      <c r="F24" s="16" t="n"/>
      <c r="G24" s="16" t="n"/>
      <c r="H24" s="16" t="n"/>
      <c r="I24" s="16" t="n"/>
      <c r="J24" s="17" t="n"/>
      <c r="K24" s="162"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23" t="n"/>
    </row>
    <row r="25" ht="30" customHeight="1">
      <c r="A25" s="123" t="n"/>
      <c r="B25" s="163" t="inlineStr">
        <is>
          <t>Medicina</t>
        </is>
      </c>
      <c r="C25" s="16" t="n"/>
      <c r="D25" s="17" t="n"/>
      <c r="E25" s="164" t="inlineStr">
        <is>
          <t>Inteligência</t>
        </is>
      </c>
      <c r="F25" s="16" t="n"/>
      <c r="G25" s="16" t="n"/>
      <c r="H25" s="16" t="n"/>
      <c r="I25" s="16" t="n"/>
      <c r="J25" s="17" t="n"/>
      <c r="K25" s="165"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23" t="n"/>
    </row>
    <row r="26" ht="30" customHeight="1">
      <c r="A26" s="123" t="n"/>
      <c r="B26" s="82" t="inlineStr">
        <is>
          <t>Natureza</t>
        </is>
      </c>
      <c r="C26" s="16" t="n"/>
      <c r="D26" s="17" t="n"/>
      <c r="E26" s="161" t="inlineStr">
        <is>
          <t>Inteligência</t>
        </is>
      </c>
      <c r="F26" s="16" t="n"/>
      <c r="G26" s="16" t="n"/>
      <c r="H26" s="16" t="n"/>
      <c r="I26" s="16" t="n"/>
      <c r="J26" s="17" t="n"/>
      <c r="K26" s="162"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23" t="n"/>
    </row>
    <row r="27" ht="30" customHeight="1">
      <c r="A27" s="123" t="n"/>
      <c r="B27" s="163" t="inlineStr">
        <is>
          <t>Ocultismo</t>
        </is>
      </c>
      <c r="C27" s="16" t="n"/>
      <c r="D27" s="17" t="n"/>
      <c r="E27" s="164" t="inlineStr">
        <is>
          <t>Inteligência</t>
        </is>
      </c>
      <c r="F27" s="16" t="n"/>
      <c r="G27" s="16" t="n"/>
      <c r="H27" s="16" t="n"/>
      <c r="I27" s="16" t="n"/>
      <c r="J27" s="17" t="n"/>
      <c r="K27" s="165"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23" t="n"/>
    </row>
    <row r="28" ht="30" customHeight="1">
      <c r="A28" s="123" t="n"/>
      <c r="B28" s="82" t="inlineStr">
        <is>
          <t>Percepção</t>
        </is>
      </c>
      <c r="C28" s="16" t="n"/>
      <c r="D28" s="17" t="n"/>
      <c r="E28" s="161" t="inlineStr">
        <is>
          <t>Essência</t>
        </is>
      </c>
      <c r="F28" s="16" t="n"/>
      <c r="G28" s="16" t="n"/>
      <c r="H28" s="16" t="n"/>
      <c r="I28" s="16" t="n"/>
      <c r="J28" s="17" t="n"/>
      <c r="K28" s="162"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23" t="n"/>
    </row>
    <row r="29" ht="30" customHeight="1">
      <c r="A29" s="123" t="n"/>
      <c r="B29" s="163" t="inlineStr">
        <is>
          <t>Persuasão</t>
        </is>
      </c>
      <c r="C29" s="16" t="n"/>
      <c r="D29" s="17" t="n"/>
      <c r="E29" s="164" t="inlineStr">
        <is>
          <t>Essência</t>
        </is>
      </c>
      <c r="F29" s="16" t="n"/>
      <c r="G29" s="16" t="n"/>
      <c r="H29" s="16" t="n"/>
      <c r="I29" s="16" t="n"/>
      <c r="J29" s="17" t="n"/>
      <c r="K29" s="165"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23" t="n"/>
    </row>
    <row r="30" ht="30" customHeight="1">
      <c r="A30" s="123" t="n"/>
      <c r="B30" s="82" t="inlineStr">
        <is>
          <t>Pontaria</t>
        </is>
      </c>
      <c r="C30" s="16" t="n"/>
      <c r="D30" s="17" t="n"/>
      <c r="E30" s="161" t="inlineStr">
        <is>
          <t>Destreza</t>
        </is>
      </c>
      <c r="F30" s="16" t="n"/>
      <c r="G30" s="16" t="n"/>
      <c r="H30" s="16" t="n"/>
      <c r="I30" s="16" t="n"/>
      <c r="J30" s="17" t="n"/>
      <c r="K30" s="162"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23" t="n"/>
    </row>
    <row r="31" ht="30" customHeight="1">
      <c r="A31" s="123" t="n"/>
      <c r="B31" s="163" t="inlineStr">
        <is>
          <t>Prestidigitação</t>
        </is>
      </c>
      <c r="C31" s="16" t="n"/>
      <c r="D31" s="17" t="n"/>
      <c r="E31" s="164" t="inlineStr">
        <is>
          <t>Destreza</t>
        </is>
      </c>
      <c r="F31" s="16" t="n"/>
      <c r="G31" s="16" t="n"/>
      <c r="H31" s="16" t="n"/>
      <c r="I31" s="16" t="n"/>
      <c r="J31" s="17" t="n"/>
      <c r="K31" s="165"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23" t="n"/>
    </row>
    <row r="32" ht="30" customHeight="1">
      <c r="A32" s="123" t="n"/>
      <c r="B32" s="82" t="inlineStr">
        <is>
          <t>Provocar</t>
        </is>
      </c>
      <c r="C32" s="16" t="n"/>
      <c r="D32" s="17" t="n"/>
      <c r="E32" s="161" t="inlineStr">
        <is>
          <t>Essência</t>
        </is>
      </c>
      <c r="F32" s="16" t="n"/>
      <c r="G32" s="16" t="n"/>
      <c r="H32" s="16" t="n"/>
      <c r="I32" s="16" t="n"/>
      <c r="J32" s="17" t="n"/>
      <c r="K32" s="162"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23" t="n"/>
    </row>
    <row r="33" ht="30" customHeight="1">
      <c r="A33" s="123" t="n"/>
      <c r="B33" s="163" t="inlineStr">
        <is>
          <t>Religião</t>
        </is>
      </c>
      <c r="C33" s="16" t="n"/>
      <c r="D33" s="17" t="n"/>
      <c r="E33" s="164" t="inlineStr">
        <is>
          <t>Inteligência</t>
        </is>
      </c>
      <c r="F33" s="16" t="n"/>
      <c r="G33" s="16" t="n"/>
      <c r="H33" s="16" t="n"/>
      <c r="I33" s="16" t="n"/>
      <c r="J33" s="17" t="n"/>
      <c r="K33" s="165"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23" t="n"/>
    </row>
    <row r="34" ht="30" customHeight="1">
      <c r="A34" s="123" t="n"/>
      <c r="B34" s="82" t="inlineStr">
        <is>
          <t>Sentir Energia</t>
        </is>
      </c>
      <c r="C34" s="16" t="n"/>
      <c r="D34" s="17" t="n"/>
      <c r="E34" s="161" t="inlineStr">
        <is>
          <t>Essência</t>
        </is>
      </c>
      <c r="F34" s="16" t="n"/>
      <c r="G34" s="16" t="n"/>
      <c r="H34" s="16" t="n"/>
      <c r="I34" s="16" t="n"/>
      <c r="J34" s="17" t="n"/>
      <c r="K34" s="162"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23" t="n"/>
    </row>
    <row r="35" ht="30" customHeight="1">
      <c r="A35" s="123" t="n"/>
      <c r="B35" s="163" t="inlineStr">
        <is>
          <t>Sobrevivência</t>
        </is>
      </c>
      <c r="C35" s="16" t="n"/>
      <c r="D35" s="17" t="n"/>
      <c r="E35" s="164" t="inlineStr">
        <is>
          <t>Inteligência</t>
        </is>
      </c>
      <c r="F35" s="16" t="n"/>
      <c r="G35" s="16" t="n"/>
      <c r="H35" s="16" t="n"/>
      <c r="I35" s="16" t="n"/>
      <c r="J35" s="17" t="n"/>
      <c r="K35" s="165"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23" t="n"/>
    </row>
    <row r="36" ht="30" customHeight="1">
      <c r="A36" s="123" t="n"/>
      <c r="B36" s="82" t="inlineStr">
        <is>
          <t>Tecnologia</t>
        </is>
      </c>
      <c r="C36" s="16" t="n"/>
      <c r="D36" s="17" t="n"/>
      <c r="E36" s="161" t="inlineStr">
        <is>
          <t>Inteligência</t>
        </is>
      </c>
      <c r="F36" s="16" t="n"/>
      <c r="G36" s="16" t="n"/>
      <c r="H36" s="16" t="n"/>
      <c r="I36" s="16" t="n"/>
      <c r="J36" s="17" t="n"/>
      <c r="K36" s="162"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23" t="n"/>
    </row>
    <row r="37">
      <c r="A37" s="123" t="n"/>
      <c r="AH37" s="123" t="n"/>
    </row>
    <row r="38">
      <c r="A38" s="123" t="n"/>
      <c r="B38" s="158" t="inlineStr">
        <is>
          <t>OFÍCIOS</t>
        </is>
      </c>
      <c r="C38" s="16" t="n"/>
      <c r="D38" s="16" t="n"/>
      <c r="E38" s="16" t="n"/>
      <c r="F38" s="16" t="n"/>
      <c r="G38" s="16" t="n"/>
      <c r="H38" s="16" t="n"/>
      <c r="I38" s="16" t="n"/>
      <c r="J38" s="16" t="n"/>
      <c r="K38" s="16" t="n"/>
      <c r="L38" s="17" t="n"/>
      <c r="M38" s="159"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23" t="n"/>
    </row>
    <row r="39">
      <c r="A39" s="123" t="n"/>
      <c r="E39" s="160" t="inlineStr">
        <is>
          <t>NOME</t>
        </is>
      </c>
      <c r="F39" s="16" t="n"/>
      <c r="G39" s="16" t="n"/>
      <c r="H39" s="16" t="n"/>
      <c r="I39" s="16" t="n"/>
      <c r="J39" s="17" t="n"/>
      <c r="K39" s="160"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23" t="n"/>
    </row>
    <row r="40" ht="30" customHeight="1">
      <c r="A40" s="123" t="n"/>
      <c r="B40" s="82" t="n"/>
      <c r="C40" s="16" t="n"/>
      <c r="D40" s="17" t="n"/>
      <c r="E40" s="161" t="inlineStr">
        <is>
          <t>Alfaiate</t>
        </is>
      </c>
      <c r="F40" s="16" t="n"/>
      <c r="G40" s="16" t="n"/>
      <c r="H40" s="16" t="n"/>
      <c r="I40" s="16" t="n"/>
      <c r="J40" s="17" t="n"/>
      <c r="K40" s="162"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23" t="n"/>
    </row>
    <row r="41" ht="30" customHeight="1">
      <c r="A41" s="123" t="n"/>
      <c r="B41" s="163" t="n"/>
      <c r="C41" s="16" t="n"/>
      <c r="D41" s="17" t="n"/>
      <c r="E41" s="164" t="inlineStr">
        <is>
          <t>Arrombamento</t>
        </is>
      </c>
      <c r="F41" s="16" t="n"/>
      <c r="G41" s="16" t="n"/>
      <c r="H41" s="16" t="n"/>
      <c r="I41" s="16" t="n"/>
      <c r="J41" s="17" t="n"/>
      <c r="K41" s="165"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23" t="n"/>
    </row>
    <row r="42" ht="30" customHeight="1">
      <c r="A42" s="123" t="n"/>
      <c r="B42" s="82" t="n"/>
      <c r="C42" s="16" t="n"/>
      <c r="D42" s="17" t="n"/>
      <c r="E42" s="161" t="inlineStr">
        <is>
          <t>Burocracia</t>
        </is>
      </c>
      <c r="F42" s="16" t="n"/>
      <c r="G42" s="16" t="n"/>
      <c r="H42" s="16" t="n"/>
      <c r="I42" s="16" t="n"/>
      <c r="J42" s="17" t="n"/>
      <c r="K42" s="162"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23" t="n"/>
    </row>
    <row r="43" ht="30" customHeight="1">
      <c r="A43" s="123" t="n"/>
      <c r="B43" s="163" t="n"/>
      <c r="C43" s="16" t="n"/>
      <c r="D43" s="17" t="n"/>
      <c r="E43" s="164" t="inlineStr">
        <is>
          <t>Caligrafia</t>
        </is>
      </c>
      <c r="F43" s="16" t="n"/>
      <c r="G43" s="16" t="n"/>
      <c r="H43" s="16" t="n"/>
      <c r="I43" s="16" t="n"/>
      <c r="J43" s="17" t="n"/>
      <c r="K43" s="165"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23" t="n"/>
    </row>
    <row r="44" ht="30" customHeight="1">
      <c r="A44" s="123" t="n"/>
      <c r="B44" s="82" t="n"/>
      <c r="C44" s="16" t="n"/>
      <c r="D44" s="17" t="n"/>
      <c r="E44" s="161" t="inlineStr">
        <is>
          <t>Condução</t>
        </is>
      </c>
      <c r="F44" s="16" t="n"/>
      <c r="G44" s="16" t="n"/>
      <c r="H44" s="16" t="n"/>
      <c r="I44" s="16" t="n"/>
      <c r="J44" s="17" t="n"/>
      <c r="K44" s="162"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23" t="n"/>
    </row>
    <row r="45" ht="30" customHeight="1">
      <c r="A45" s="123" t="n"/>
      <c r="B45" s="163" t="n"/>
      <c r="C45" s="16" t="n"/>
      <c r="D45" s="17" t="n"/>
      <c r="E45" s="164" t="inlineStr">
        <is>
          <t>Culinária</t>
        </is>
      </c>
      <c r="F45" s="16" t="n"/>
      <c r="G45" s="16" t="n"/>
      <c r="H45" s="16" t="n"/>
      <c r="I45" s="16" t="n"/>
      <c r="J45" s="17" t="n"/>
      <c r="K45" s="165"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23" t="n"/>
    </row>
    <row r="46" ht="30" customHeight="1">
      <c r="A46" s="123" t="n"/>
      <c r="B46" s="82" t="n"/>
      <c r="C46" s="16" t="n"/>
      <c r="D46" s="17" t="n"/>
      <c r="E46" s="161" t="inlineStr">
        <is>
          <t>Entalhador</t>
        </is>
      </c>
      <c r="F46" s="16" t="n"/>
      <c r="G46" s="16" t="n"/>
      <c r="H46" s="16" t="n"/>
      <c r="I46" s="16" t="n"/>
      <c r="J46" s="17" t="n"/>
      <c r="K46" s="162"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23" t="n"/>
    </row>
    <row r="47" ht="30" customHeight="1">
      <c r="A47" s="123" t="n"/>
      <c r="B47" s="163" t="n"/>
      <c r="C47" s="16" t="n"/>
      <c r="D47" s="17" t="n"/>
      <c r="E47" s="164" t="inlineStr">
        <is>
          <t>Forja</t>
        </is>
      </c>
      <c r="F47" s="16" t="n"/>
      <c r="G47" s="16" t="n"/>
      <c r="H47" s="16" t="n"/>
      <c r="I47" s="16" t="n"/>
      <c r="J47" s="17" t="n"/>
      <c r="K47" s="165"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23" t="n"/>
    </row>
    <row r="48" ht="30" customHeight="1">
      <c r="A48" s="123" t="n"/>
      <c r="B48" s="82" t="n"/>
      <c r="C48" s="16" t="n"/>
      <c r="D48" s="17" t="n"/>
      <c r="E48" s="161" t="inlineStr">
        <is>
          <t>Herbalismo</t>
        </is>
      </c>
      <c r="F48" s="16" t="n"/>
      <c r="G48" s="16" t="n"/>
      <c r="H48" s="16" t="n"/>
      <c r="I48" s="16" t="n"/>
      <c r="J48" s="17" t="n"/>
      <c r="K48" s="162"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23" t="n"/>
    </row>
    <row r="49" ht="30" customHeight="1">
      <c r="A49" s="123" t="n"/>
      <c r="B49" s="163" t="n"/>
      <c r="C49" s="16" t="n"/>
      <c r="D49" s="17" t="n"/>
      <c r="E49" s="164" t="inlineStr">
        <is>
          <t>Instrumento</t>
        </is>
      </c>
      <c r="F49" s="16" t="n"/>
      <c r="G49" s="16" t="n"/>
      <c r="H49" s="16" t="n"/>
      <c r="I49" s="16" t="n"/>
      <c r="J49" s="17" t="n"/>
      <c r="K49" s="165"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23" t="n"/>
    </row>
    <row r="50" ht="30" customHeight="1">
      <c r="A50" s="123" t="n"/>
      <c r="B50" s="82" t="n"/>
      <c r="C50" s="16" t="n"/>
      <c r="D50" s="17" t="n"/>
      <c r="E50" s="161" t="inlineStr">
        <is>
          <t>Jogatina</t>
        </is>
      </c>
      <c r="F50" s="16" t="n"/>
      <c r="G50" s="16" t="n"/>
      <c r="H50" s="16" t="n"/>
      <c r="I50" s="16" t="n"/>
      <c r="J50" s="17" t="n"/>
      <c r="K50" s="162"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23" t="n"/>
    </row>
    <row r="51">
      <c r="A51" s="123" t="n"/>
      <c r="AH51" s="123" t="n"/>
    </row>
    <row r="52">
      <c r="A52" s="123" t="n"/>
      <c r="B52" s="158" t="inlineStr">
        <is>
          <t>CONCEITOS</t>
        </is>
      </c>
      <c r="C52" s="16" t="n"/>
      <c r="D52" s="16" t="n"/>
      <c r="E52" s="16" t="n"/>
      <c r="F52" s="16" t="n"/>
      <c r="G52" s="16" t="n"/>
      <c r="H52" s="16" t="n"/>
      <c r="I52" s="16" t="n"/>
      <c r="J52" s="16" t="n"/>
      <c r="K52" s="16" t="n"/>
      <c r="L52" s="17" t="n"/>
      <c r="AH52" s="123" t="n"/>
    </row>
    <row r="53">
      <c r="A53" s="123" t="n"/>
      <c r="E53" s="160" t="inlineStr">
        <is>
          <t>TERMO</t>
        </is>
      </c>
      <c r="F53" s="16" t="n"/>
      <c r="G53" s="16" t="n"/>
      <c r="H53" s="16" t="n"/>
      <c r="I53" s="16" t="n"/>
      <c r="J53" s="17" t="n"/>
      <c r="K53" s="160"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23" t="n"/>
    </row>
    <row r="54" ht="30" customHeight="1">
      <c r="A54" s="123" t="n"/>
      <c r="B54" s="82" t="n"/>
      <c r="C54" s="16" t="n"/>
      <c r="D54" s="17" t="n"/>
      <c r="E54" s="161" t="inlineStr">
        <is>
          <t>Treino</t>
        </is>
      </c>
      <c r="F54" s="16" t="n"/>
      <c r="G54" s="16" t="n"/>
      <c r="H54" s="16" t="n"/>
      <c r="I54" s="16" t="n"/>
      <c r="J54" s="17" t="n"/>
      <c r="K54" s="162"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23" t="n"/>
    </row>
    <row r="55" ht="30" customHeight="1">
      <c r="A55" s="123" t="n"/>
      <c r="B55" s="163" t="n"/>
      <c r="C55" s="16" t="n"/>
      <c r="D55" s="17" t="n"/>
      <c r="E55" s="164" t="inlineStr">
        <is>
          <t>Maestria</t>
        </is>
      </c>
      <c r="F55" s="16" t="n"/>
      <c r="G55" s="16" t="n"/>
      <c r="H55" s="16" t="n"/>
      <c r="I55" s="16" t="n"/>
      <c r="J55" s="17" t="n"/>
      <c r="K55" s="165"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23" t="n"/>
    </row>
    <row r="56" ht="30" customHeight="1">
      <c r="A56" s="123" t="n"/>
      <c r="B56" s="82" t="n"/>
      <c r="C56" s="16" t="n"/>
      <c r="D56" s="17" t="n"/>
      <c r="E56" s="161" t="inlineStr">
        <is>
          <t>Refino</t>
        </is>
      </c>
      <c r="F56" s="16" t="n"/>
      <c r="G56" s="16" t="n"/>
      <c r="H56" s="16" t="n"/>
      <c r="I56" s="16" t="n"/>
      <c r="J56" s="17" t="n"/>
      <c r="K56" s="162"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23" t="n"/>
    </row>
    <row r="57">
      <c r="A57" s="123" t="n"/>
      <c r="AH57" s="123"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2026-10-09T01:41:18Z</dcterms:created>
  <dcterms:modified xmlns:dcterms="http://purl.org/dc/terms/" xmlns:xsi="http://www.w3.org/2001/XMLSchema-instance" xsi:type="dcterms:W3CDTF">2026-10-09T01:41:54Z</dcterms:modified>
</cp:coreProperties>
</file>
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t="n"/>
      <c r="E12" s="19" t="n"/>
      <c r="F12" s="19" t="n"/>
      <c r="G12" s="19" t="n"/>
      <c r="H12" s="20" t="n"/>
      <c r="I12" s="120" t="n"/>
      <c r="J12" s="83" t="n"/>
      <c r="K12" s="20" t="n"/>
      <c r="L12" s="83">
        <f>DADOS_AM!$KR$2</f>
        <v/>
      </c>
      <c r="M12" s="19" t="n"/>
      <c r="N12" s="20" t="n"/>
      <c r="O12" s="120" t="n"/>
      <c r="P12" s="92">
        <f>DADOS_AM!$KR$3</f>
        <v/>
      </c>
      <c r="Q12" s="20" t="n"/>
      <c r="R12" s="92">
        <f>DADOS_AM!$KR$4</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DADOS_AM!$KR$5</f>
        <v/>
      </c>
      <c r="K15" s="16" t="n"/>
      <c r="L15" s="16" t="n"/>
      <c r="M15" s="16" t="n"/>
      <c r="N15" s="17" t="n"/>
      <c r="O15" s="120" t="n"/>
      <c r="P15" s="55">
        <f>DADOS_AM!$KR$6</f>
        <v/>
      </c>
      <c r="Q15" s="16" t="n"/>
      <c r="R15" s="16" t="n"/>
      <c r="S15" s="16" t="n"/>
      <c r="T15" s="17" t="n"/>
      <c r="U15" s="120" t="n"/>
    </row>
    <row r="16" outlineLevel="1">
      <c r="B16" s="22" t="n"/>
      <c r="C16" s="120" t="n"/>
      <c r="D16" s="124">
        <f>DADOS_AM!$KR$7</f>
        <v/>
      </c>
      <c r="E16" s="16" t="n"/>
      <c r="F16" s="16" t="n"/>
      <c r="G16" s="16" t="n"/>
      <c r="H16" s="17" t="n"/>
      <c r="I16" s="120" t="n"/>
      <c r="J16" s="124" t="n"/>
      <c r="K16" s="16" t="n"/>
      <c r="L16" s="16" t="n"/>
      <c r="M16" s="16" t="n"/>
      <c r="N16" s="17" t="n"/>
      <c r="O16" s="120" t="n"/>
      <c r="P16" s="124">
        <f>DADOS_AM!$KR$8</f>
        <v/>
      </c>
      <c r="Q16" s="16" t="n"/>
      <c r="R16" s="16" t="n"/>
      <c r="S16" s="16" t="n"/>
      <c r="T16" s="17" t="n"/>
      <c r="U16" s="120" t="n"/>
    </row>
    <row r="17" outlineLevel="1">
      <c r="B17" s="22" t="n"/>
      <c r="C17" s="120" t="n"/>
      <c r="D17" s="55">
        <f>DADOS_AM!$KR$9</f>
        <v/>
      </c>
      <c r="E17" s="16" t="n"/>
      <c r="F17" s="16" t="n"/>
      <c r="G17" s="16" t="n"/>
      <c r="H17" s="17" t="n"/>
      <c r="I17" s="120" t="n"/>
      <c r="J17" s="55">
        <f>DADOS_AM!$KR$11</f>
        <v/>
      </c>
      <c r="K17" s="16" t="n"/>
      <c r="L17" s="16" t="n"/>
      <c r="M17" s="16" t="n"/>
      <c r="N17" s="17" t="n"/>
      <c r="O17" s="120" t="n"/>
      <c r="P17" s="55">
        <f>DADOS_AM!$KR$13</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DADOS_AM!$KR$10</f>
        <v/>
      </c>
      <c r="E19" s="16" t="n"/>
      <c r="F19" s="16" t="n"/>
      <c r="G19" s="16" t="n"/>
      <c r="H19" s="17" t="n"/>
      <c r="I19" s="120" t="n"/>
      <c r="J19" s="124">
        <f>DADOS_AM!$KR$12</f>
        <v/>
      </c>
      <c r="K19" s="16" t="n"/>
      <c r="L19" s="16" t="n"/>
      <c r="M19" s="16" t="n"/>
      <c r="N19" s="17" t="n"/>
      <c r="O19" s="120" t="n"/>
      <c r="P19" s="124">
        <f>DADOS_AM!$KR$14</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DADOS_AM!$KR$15</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DADOS_AM!$KR$16</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DADOS_AM!$KR$17</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DADOS_AM!$KR$19</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DADOS_AM!$KR$18</f>
        <v/>
      </c>
      <c r="K42" s="20" t="n"/>
      <c r="L42" s="92">
        <f>DADOS_AM!$HI$15</f>
        <v/>
      </c>
      <c r="M42" s="19" t="n"/>
      <c r="N42" s="20" t="n"/>
      <c r="O42" s="120" t="n"/>
      <c r="P42" s="92">
        <f>DADOS_AM!$KR$20</f>
        <v/>
      </c>
      <c r="Q42" s="92">
        <f>DADOS_AM!$KR$21</f>
        <v/>
      </c>
      <c r="R42" s="92">
        <f>DADOS_AM!$KR$22</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DADOS_AM!$KR$23</f>
        <v/>
      </c>
      <c r="F46" s="124">
        <f>DADOS_AM!$KR$24</f>
        <v/>
      </c>
      <c r="G46" s="124">
        <f>DADOS_AM!$KR$25</f>
        <v/>
      </c>
      <c r="H46" s="17" t="n"/>
      <c r="I46" s="120" t="n"/>
      <c r="J46" s="124">
        <f>DADOS_AM!$KR$26</f>
        <v/>
      </c>
      <c r="K46" s="124">
        <f>DADOS_AM!$KR$27</f>
        <v/>
      </c>
      <c r="L46" s="124">
        <f>DADOS_AM!$KR$28</f>
        <v/>
      </c>
      <c r="M46" s="124">
        <f>DADOS_AM!$KR$29</f>
        <v/>
      </c>
      <c r="N46" s="17" t="n"/>
      <c r="O46" s="120" t="n"/>
      <c r="P46" s="124">
        <f>DADOS_AM!$KR$30</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DADOS_AM!$KR$31</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DADOS_AM!$KR$32</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DADOS_AM!$KR$33</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DADOS_AM!$KR$34</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DADOS_AM!$KR$35</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DADOS_AM!$KR$36</f>
        <v/>
      </c>
      <c r="M343" s="19" t="n"/>
      <c r="N343" s="20" t="n"/>
      <c r="O343" s="120" t="n"/>
      <c r="P343" s="92">
        <f>DADOS_AM!$KR$37</f>
        <v/>
      </c>
      <c r="Q343" s="20" t="n"/>
      <c r="R343" s="92">
        <f>DADOS_AM!$KR$38</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DADOS_AM!$KR$39</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DADOS_AM!$KR$40</f>
        <v/>
      </c>
      <c r="G357" s="19" t="n"/>
      <c r="H357" s="20" t="n"/>
      <c r="I357" s="120" t="n"/>
      <c r="J357" s="124">
        <f>DADOS_AM!$KR$41</f>
        <v/>
      </c>
      <c r="K357" s="19" t="n"/>
      <c r="L357" s="19" t="n"/>
      <c r="M357" s="19" t="n"/>
      <c r="N357" s="20" t="n"/>
      <c r="O357" s="120" t="n"/>
      <c r="P357" s="92">
        <f>DADOS_AM!$KR$42</f>
        <v/>
      </c>
      <c r="Q357" s="20" t="n"/>
      <c r="R357" s="124">
        <f>DADOS_AM!$KR$43</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DADOS_AM!$KR$44</f>
        <v/>
      </c>
      <c r="E361" s="17" t="n"/>
      <c r="F361" s="124">
        <f>DADOS_AM!$KR$45</f>
        <v/>
      </c>
      <c r="G361" s="124">
        <f>DADOS_AM!$KR$46</f>
        <v/>
      </c>
      <c r="H361" s="17" t="n"/>
      <c r="I361" s="120" t="n"/>
      <c r="J361" s="124">
        <f>DADOS_AM!$KR$47</f>
        <v/>
      </c>
      <c r="K361" s="124">
        <f>DADOS_AM!$KR$48</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DADOS_AM!$KR$49</f>
        <v/>
      </c>
      <c r="E362" s="17" t="n"/>
      <c r="F362" s="124">
        <f>DADOS_AM!$KR$50</f>
        <v/>
      </c>
      <c r="G362" s="124">
        <f>DADOS_AM!$KR$51</f>
        <v/>
      </c>
      <c r="H362" s="17" t="n"/>
      <c r="I362" s="120" t="n"/>
      <c r="J362" s="124">
        <f>DADOS_AM!$KR$52</f>
        <v/>
      </c>
      <c r="K362" s="124">
        <f>DADOS_AM!$KR$53</f>
        <v/>
      </c>
      <c r="L362" s="124">
        <f>DADOS_AM!$KR$54</f>
        <v/>
      </c>
      <c r="M362" s="124" t="inlineStr">
        <is>
          <t>Acontece</t>
        </is>
      </c>
      <c r="N362" s="17" t="n"/>
      <c r="O362" s="120" t="n"/>
      <c r="P362" s="21" t="n"/>
      <c r="T362" s="22" t="n"/>
      <c r="U362" s="120" t="n"/>
    </row>
    <row r="363" hidden="1" outlineLevel="1">
      <c r="A363" s="8" t="n"/>
      <c r="B363" s="14" t="n"/>
      <c r="C363" s="120" t="n"/>
      <c r="D363" s="130">
        <f>DADOS_AM!$KR$55</f>
        <v/>
      </c>
      <c r="E363" s="17" t="n"/>
      <c r="F363" s="124">
        <f>DADOS_AM!$KR$56</f>
        <v/>
      </c>
      <c r="G363" s="124">
        <f>DADOS_AM!$KR$57</f>
        <v/>
      </c>
      <c r="H363" s="17" t="n"/>
      <c r="I363" s="120" t="n"/>
      <c r="J363" s="124" t="inlineStr">
        <is>
          <t>199,5 m</t>
        </is>
      </c>
      <c r="K363" s="124">
        <f>DADOS_AM!$KR$58</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DADOS_AM!$KR$59</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DADOS_AM!$KR$60</f>
        <v/>
      </c>
      <c r="E423" s="17" t="n"/>
      <c r="F423" s="55" t="inlineStr">
        <is>
          <t>COMPRADAS</t>
        </is>
      </c>
      <c r="G423" s="16" t="n"/>
      <c r="H423" s="17" t="n"/>
      <c r="I423" s="120" t="n"/>
      <c r="J423" s="55">
        <f>DADOS_AM!$KR$62</f>
        <v/>
      </c>
      <c r="K423" s="17" t="n"/>
      <c r="L423" s="55">
        <f>DADOS_AM!$KR$64</f>
        <v/>
      </c>
      <c r="M423" s="16" t="n"/>
      <c r="N423" s="17" t="n"/>
      <c r="O423" s="120" t="n"/>
      <c r="P423" s="55">
        <f>DADOS_AM!$KR$66</f>
        <v/>
      </c>
      <c r="Q423" s="16" t="n"/>
      <c r="R423" s="16" t="n"/>
      <c r="S423" s="16" t="n"/>
      <c r="T423" s="17" t="n"/>
      <c r="U423" s="120" t="n"/>
    </row>
    <row r="424" outlineLevel="1">
      <c r="A424" s="8" t="n"/>
      <c r="B424" s="14" t="n"/>
      <c r="C424" s="120" t="n"/>
      <c r="D424" s="92">
        <f>DADOS_AM!$HI$6</f>
        <v/>
      </c>
      <c r="E424" s="20" t="n"/>
      <c r="F424" s="92">
        <f>DADOS_AM!$KR$61</f>
        <v/>
      </c>
      <c r="G424" s="19" t="n"/>
      <c r="H424" s="20" t="n"/>
      <c r="I424" s="120" t="n"/>
      <c r="J424" s="83">
        <f>DADOS_AM!$KR$63</f>
        <v/>
      </c>
      <c r="K424" s="20" t="n"/>
      <c r="L424" s="83">
        <f>DADOS_AM!$KR$65</f>
        <v/>
      </c>
      <c r="M424" s="19" t="n"/>
      <c r="N424" s="20" t="n"/>
      <c r="O424" s="120" t="n"/>
      <c r="P424" s="83">
        <f>DADOS_AM!$KR$67</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DADOS_AM!$KR$68</f>
        <v/>
      </c>
      <c r="E427" s="16" t="n"/>
      <c r="F427" s="16" t="n"/>
      <c r="G427" s="16" t="n"/>
      <c r="H427" s="17" t="n"/>
      <c r="I427" s="120" t="n"/>
      <c r="J427" s="55">
        <f>DADOS_AM!$KR$69</f>
        <v/>
      </c>
      <c r="K427" s="16" t="n"/>
      <c r="L427" s="16" t="n"/>
      <c r="M427" s="16" t="n"/>
      <c r="N427" s="17" t="n"/>
      <c r="O427" s="120" t="n"/>
      <c r="P427" s="55">
        <f>DADOS_AM!$KR$70</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DADOS_AM!$KR$71</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DADOS_AM!$KR$72</f>
        <v/>
      </c>
      <c r="E446" s="137">
        <f>DADOS_AM!$HY$2</f>
        <v/>
      </c>
      <c r="F446" s="16" t="n"/>
      <c r="G446" s="16" t="n"/>
      <c r="H446" s="17" t="n"/>
      <c r="I446" s="120" t="n"/>
      <c r="J446" s="55">
        <f>DADOS_AM!$KR$73</f>
        <v/>
      </c>
      <c r="K446" s="137">
        <f>DADOS_AM!$HY$3</f>
        <v/>
      </c>
      <c r="L446" s="16" t="n"/>
      <c r="M446" s="16" t="n"/>
      <c r="N446" s="17" t="n"/>
      <c r="O446" s="120" t="n"/>
      <c r="P446" s="55">
        <f>DADOS_AM!$KR$74</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DADOS_AM!$KR$75</f>
        <v/>
      </c>
      <c r="E466" s="137">
        <f>DADOS_AM!$HY$5</f>
        <v/>
      </c>
      <c r="F466" s="16" t="n"/>
      <c r="G466" s="16" t="n"/>
      <c r="H466" s="17" t="n"/>
      <c r="I466" s="120" t="n"/>
      <c r="J466" s="55">
        <f>DADOS_AM!$KR$76</f>
        <v/>
      </c>
      <c r="K466" s="137">
        <f>DADOS_AM!$HY$6</f>
        <v/>
      </c>
      <c r="L466" s="16" t="n"/>
      <c r="M466" s="16" t="n"/>
      <c r="N466" s="17" t="n"/>
      <c r="O466" s="120" t="n"/>
      <c r="P466" s="55">
        <f>DADOS_AM!$KR$77</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DADOS_AM!$KR$84</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DADOS_AM!$KR$78</f>
        <v/>
      </c>
      <c r="E488" s="137">
        <f>DADOS_AM!$HY$8</f>
        <v/>
      </c>
      <c r="F488" s="16" t="n"/>
      <c r="G488" s="16" t="n"/>
      <c r="H488" s="17" t="n"/>
      <c r="I488" s="120" t="n"/>
      <c r="J488" s="55">
        <f>DADOS_AM!$KR$79</f>
        <v/>
      </c>
      <c r="K488" s="137">
        <f>DADOS_AM!$HY$9</f>
        <v/>
      </c>
      <c r="L488" s="16" t="n"/>
      <c r="M488" s="16" t="n"/>
      <c r="N488" s="17" t="n"/>
      <c r="O488" s="120" t="n"/>
      <c r="P488" s="55">
        <f>DADOS_AM!$KR$80</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DADOS_AM!$KR$81</f>
        <v/>
      </c>
      <c r="E508" s="137">
        <f>DADOS_AM!$HY$11</f>
        <v/>
      </c>
      <c r="F508" s="16" t="n"/>
      <c r="G508" s="16" t="n"/>
      <c r="H508" s="17" t="n"/>
      <c r="I508" s="120" t="n"/>
      <c r="J508" s="55">
        <f>DADOS_AM!$KR$82</f>
        <v/>
      </c>
      <c r="K508" s="137">
        <f>DADOS_AM!$HY$12</f>
        <v/>
      </c>
      <c r="L508" s="16" t="n"/>
      <c r="M508" s="16" t="n"/>
      <c r="N508" s="17" t="n"/>
      <c r="O508" s="120" t="n"/>
      <c r="P508" s="55">
        <f>DADOS_AM!$KR$83</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DADOS_AM!$KR$85</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t="inlineStr">
        <is>
          <t>FOTO DO PERSONAGEM</t>
        </is>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0.331 · 04/10</t>
        </is>
      </c>
      <c r="C1" s="122" t="inlineStr">
        <is>
          <t>versão corrente (puxada da central)</t>
        </is>
      </c>
      <c r="D1" s="141"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atributos naturais</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Guarda Aberta</t>
        </is>
      </c>
      <c r="I5" s="143" t="inlineStr">
        <is>
          <t>Receptáculo</t>
        </is>
      </c>
      <c r="J5" s="143" t="inlineStr">
        <is>
          <t>Vigor</t>
        </is>
      </c>
      <c r="K5" s="143" t="inlineStr">
        <is>
          <t>Destreza</t>
        </is>
      </c>
      <c r="L5" s="143" t="inlineStr">
        <is>
          <t>Punho</t>
        </is>
      </c>
      <c r="M5" s="41" t="n"/>
      <c r="N5" s="143" t="inlineStr">
        <is>
          <t>Bastião</t>
        </is>
      </c>
      <c r="O5" s="143" t="inlineStr">
        <is>
          <t>Força · Constituição</t>
        </is>
      </c>
      <c r="P5" s="143" t="n">
        <v>12</v>
      </c>
      <c r="Q5" s="143" t="n">
        <v>7</v>
      </c>
      <c r="R5" s="143" t="n">
        <v>4</v>
      </c>
      <c r="S5" s="143" t="inlineStr">
        <is>
          <t>Atletismo</t>
        </is>
      </c>
      <c r="T5" s="143" t="inlineStr">
        <is>
          <t>Provocar</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1d6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0.3</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Leve</t>
        </is>
      </c>
      <c r="DI5" s="143" t="inlineStr">
        <is>
          <t>Atende aos requisitos que peçam arma Leve. Não concede outro ataque, muda o atributo do golpe ou reduz Volume. Só as armas marcadas na tabela possuem a propriedade.</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Combatente Amaldiçoado</t>
        </is>
      </c>
      <c r="M6" s="41" t="n"/>
      <c r="N6" s="143" t="inlineStr">
        <is>
          <t>Vanguarda</t>
        </is>
      </c>
      <c r="O6" s="143" t="inlineStr">
        <is>
          <t>Destreza · Força</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IFERROR(FILTER($AN$5:$AN$24,$AO$5:$AO$24=FICHA!$D$11),"")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Água e chuva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Fineza</t>
        </is>
      </c>
      <c r="DI6" s="143" t="inlineStr">
        <is>
          <t>Em ataques corpo a corpo, pode usar Destreza no lugar de Força no acerto e no dano.</t>
        </is>
      </c>
      <c r="DK6" s="143" t="inlineStr">
        <is>
          <t>carga</t>
        </is>
      </c>
      <c r="DL6" s="145">
        <f>IF(DADOS!$CZ$42=1,"Você passou do limite: não pode se deslocar com essa carga. Largue ou guarde o que passou antes de andar, nadar, escalar ou voar.","")</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Perseguir</t>
        </is>
      </c>
      <c r="G7" s="143" t="inlineStr">
        <is>
          <t>Gesto</t>
        </is>
      </c>
      <c r="H7" s="143" t="inlineStr">
        <is>
          <t>Agarrado</t>
        </is>
      </c>
      <c r="I7" s="143" t="inlineStr">
        <is>
          <t>Encarnado</t>
        </is>
      </c>
      <c r="J7" s="143" t="inlineStr">
        <is>
          <t>Espírito</t>
        </is>
      </c>
      <c r="K7" s="143" t="inlineStr">
        <is>
          <t>Inteligência</t>
        </is>
      </c>
      <c r="L7" s="143" t="inlineStr">
        <is>
          <t>Estocada</t>
        </is>
      </c>
      <c r="M7" s="41" t="n"/>
      <c r="N7" s="143" t="inlineStr">
        <is>
          <t>Guia</t>
        </is>
      </c>
      <c r="O7" s="143" t="inlineStr">
        <is>
          <t>Essência</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 · Leve</t>
        </is>
      </c>
      <c r="BI7" s="143" t="inlineStr">
        <is>
          <t>—</t>
        </is>
      </c>
      <c r="BJ7" s="145" t="n">
        <v>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V7" s="143" t="inlineStr">
        <is>
          <t>Incursor</t>
        </is>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Altura e beirada</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Versátil</t>
        </is>
      </c>
      <c r="DI7" s="143" t="inlineStr">
        <is>
          <t>Ao atacar com as duas mãos, aumenta o dado: d6 para d8, d8 para d10 ou d10 para d12.</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Passo</t>
        </is>
      </c>
      <c r="G8" s="143" t="inlineStr">
        <is>
          <t>Carregar</t>
        </is>
      </c>
      <c r="H8" s="143" t="inlineStr">
        <is>
          <t>Desarmado</t>
        </is>
      </c>
      <c r="I8" s="143" t="inlineStr">
        <is>
          <t>Feto</t>
        </is>
      </c>
      <c r="J8" s="41" t="n"/>
      <c r="K8" s="143" t="inlineStr">
        <is>
          <t>Essência</t>
        </is>
      </c>
      <c r="L8" s="143" t="inlineStr">
        <is>
          <t>Batedor · Yumi</t>
        </is>
      </c>
      <c r="M8" s="41" t="n"/>
      <c r="N8" s="143" t="inlineStr">
        <is>
          <t>Emanador</t>
        </is>
      </c>
      <c r="O8" s="143" t="inlineStr">
        <is>
          <t>Inteligência · Essência</t>
        </is>
      </c>
      <c r="P8" s="143" t="n">
        <v>6</v>
      </c>
      <c r="Q8" s="143" t="n">
        <v>4</v>
      </c>
      <c r="R8" s="143" t="n">
        <v>6</v>
      </c>
      <c r="S8" s="143" t="inlineStr">
        <is>
          <t>Ocultismo</t>
        </is>
      </c>
      <c r="T8" s="143" t="inlineStr">
        <is>
          <t>Investigação</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1d10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Multidão</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Par</t>
        </is>
      </c>
      <c r="DI8" s="143" t="inlineStr">
        <is>
          <t>Role duas vezes os dados de dano próprios da arma e use o conjunto de maior soma. Aplique os demais acréscimos uma única vez.</t>
        </is>
      </c>
      <c r="DK8" s="143" t="inlineStr">
        <is>
          <t>arma da principal</t>
        </is>
      </c>
      <c r="DL8" s="145">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5">
        <f>ADDRESS(ROW('FICHA PESSOAL'!D43),COLUMN('FICHA PESSOAL'!D43),4)</f>
        <v/>
      </c>
      <c r="DO8" s="143" t="inlineStr">
        <is>
          <t>grau</t>
        </is>
      </c>
      <c r="DP8" s="145">
        <f>ADDRESS(ROW('FICHA PESSOAL'!AB11),COLUMN('FICHA PESSOAL'!AB11),4)</f>
        <v/>
      </c>
    </row>
    <row r="9" ht="17.25" customHeight="1">
      <c r="A9" s="41" t="inlineStr">
        <is>
          <t>Incursor</t>
        </is>
      </c>
      <c r="B9" s="143" t="inlineStr">
        <is>
          <t>Investigação</t>
        </is>
      </c>
      <c r="C9" s="143" t="inlineStr">
        <is>
          <t>Burocracia</t>
        </is>
      </c>
      <c r="D9" s="143" t="inlineStr">
        <is>
          <t>Castigo</t>
        </is>
      </c>
      <c r="E9" s="143" t="inlineStr">
        <is>
          <t>Linha</t>
        </is>
      </c>
      <c r="F9" s="143" t="inlineStr">
        <is>
          <t>Empurrão</t>
        </is>
      </c>
      <c r="G9" s="143" t="inlineStr">
        <is>
          <t>Sangra</t>
        </is>
      </c>
      <c r="H9" s="143" t="inlineStr">
        <is>
          <t>Surdo</t>
        </is>
      </c>
      <c r="I9" s="143" t="inlineStr">
        <is>
          <t>Restrição Celestial · corpo pela técnica</t>
        </is>
      </c>
      <c r="J9" s="41" t="n"/>
      <c r="K9" s="41" t="n"/>
      <c r="L9" s="143" t="inlineStr">
        <is>
          <t>Batedor · Besta</t>
        </is>
      </c>
      <c r="M9" s="41" t="n"/>
      <c r="N9" s="143" t="inlineStr">
        <is>
          <t>Evocador</t>
        </is>
      </c>
      <c r="O9" s="143" t="inlineStr">
        <is>
          <t>Inteligência · Essência</t>
        </is>
      </c>
      <c r="P9" s="143" t="n">
        <v>6</v>
      </c>
      <c r="Q9" s="143" t="n">
        <v>4</v>
      </c>
      <c r="R9" s="143" t="n">
        <v>6</v>
      </c>
      <c r="S9" s="143" t="inlineStr">
        <is>
          <t>Religião</t>
        </is>
      </c>
      <c r="T9" s="143" t="inlineStr">
        <is>
          <t>Lidar com Animais</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0.5</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Escuro</t>
        </is>
      </c>
      <c r="CL9" s="143" t="inlineStr">
        <is>
          <t>Solo simples</t>
        </is>
      </c>
      <c r="CM9" s="145" t="n">
        <v>75</v>
      </c>
      <c r="CR9" s="143" t="inlineStr">
        <is>
          <t>7ª · 3,125%</t>
        </is>
      </c>
      <c r="CS9" s="145" t="n">
        <v>0.03125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Alcance</t>
        </is>
      </c>
      <c r="DI9" s="143" t="inlineStr">
        <is>
          <t>O alcance corpo a corpo da arma é 3 m. Sem essa propriedade, o alcance comum é 1,5 m.</t>
        </is>
      </c>
      <c r="DK9" s="143" t="inlineStr">
        <is>
          <t>arma da secundária</t>
        </is>
      </c>
      <c r="DL9" s="145">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Troca</t>
        </is>
      </c>
      <c r="G10" s="143" t="inlineStr">
        <is>
          <t>Recuo</t>
        </is>
      </c>
      <c r="H10" s="143" t="inlineStr">
        <is>
          <t>Calado</t>
        </is>
      </c>
      <c r="I10" s="143" t="inlineStr">
        <is>
          <t>Latente · Sem Técnica</t>
        </is>
      </c>
      <c r="J10" s="41" t="n"/>
      <c r="K10" s="41" t="n"/>
      <c r="L10" s="14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1d4</t>
        </is>
      </c>
      <c r="BH10" s="143" t="inlineStr">
        <is>
          <t>Fineza · Oculta · Rompe · Leve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Terreno instável</t>
        </is>
      </c>
      <c r="CL10" s="143" t="inlineStr">
        <is>
          <t>Solo complexa</t>
        </is>
      </c>
      <c r="CM10" s="145" t="n">
        <v>150</v>
      </c>
      <c r="CR10" s="143" t="inlineStr">
        <is>
          <t>Falha · metade</t>
        </is>
      </c>
      <c r="CS10" s="145" t="n">
        <v>0.5</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Longo Alcance</t>
        </is>
      </c>
      <c r="DI10" s="143" t="inlineStr">
        <is>
          <t>Permite o disparo ou arremesso indicado pela arma. Use suas faixas normal e longa.</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Fraqueza</t>
        </is>
      </c>
      <c r="H11" s="143" t="inlineStr">
        <is>
          <t>Enfeitiçado</t>
        </is>
      </c>
      <c r="I11" s="41" t="inlineStr">
        <is>
          <t>Receptáculo · Sem Técnica</t>
        </is>
      </c>
      <c r="J11" s="41" t="n"/>
      <c r="K11" s="41" t="n"/>
      <c r="L11" s="143" t="inlineStr">
        <is>
          <t>Executor</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143">
        <f>$A$9</f>
        <v/>
      </c>
      <c r="AN11" s="143">
        <f>$L$10</f>
        <v/>
      </c>
      <c r="AO11" s="143" t="inlineStr">
        <is>
          <t>Vanguarda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1d6</t>
        </is>
      </c>
      <c r="BH11" s="143" t="inlineStr">
        <is>
          <t>Oculta · Vestida · Leve</t>
        </is>
      </c>
      <c r="BI11" s="143" t="inlineStr">
        <is>
          <t>—</t>
        </is>
      </c>
      <c r="BJ11" s="145" t="n">
        <v>0.3</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Superfície ruim</t>
        </is>
      </c>
      <c r="CR11" s="143" t="inlineStr">
        <is>
          <t>3ª · 50% · falha</t>
        </is>
      </c>
      <c r="CS11" s="145" t="n">
        <v>0.25</v>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Duas mãos</t>
        </is>
      </c>
      <c r="DI11" s="143" t="inlineStr">
        <is>
          <t>Exige ambas as mãos para atacar.</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Peso Morto</t>
        </is>
      </c>
      <c r="H12" s="143" t="inlineStr">
        <is>
          <t>Impedido</t>
        </is>
      </c>
      <c r="I12" s="41" t="inlineStr">
        <is>
          <t>Descendente · Sem Técnica</t>
        </is>
      </c>
      <c r="J12" s="41" t="n"/>
      <c r="K12" s="41" t="n"/>
      <c r="L12" s="143" t="inlineStr">
        <is>
          <t>Arquiteto</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Vanguarda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1d4</t>
        </is>
      </c>
      <c r="BH12" s="143" t="inlineStr">
        <is>
          <t>Longo Alcance · Fineza · Oculta · Leve</t>
        </is>
      </c>
      <c r="BI12" s="143" t="inlineStr">
        <is>
          <t>—</t>
        </is>
      </c>
      <c r="BJ12" s="145" t="n">
        <v>0.2</v>
      </c>
      <c r="BK12" s="143" t="inlineStr">
        <is>
          <t>6 m, longa 18 m</t>
        </is>
      </c>
      <c r="BM12" s="145">
        <f>'FICHA PESSOAL'!$M$57</f>
        <v/>
      </c>
      <c r="BN12" s="145">
        <f>ADDRESS(ROW('FICHA PESSOAL'!M57),COLUMN('FICHA PESSOAL'!M57),4)</f>
        <v/>
      </c>
      <c r="BP12" s="143" t="inlineStr">
        <is>
          <t>Lâmina Longa</t>
        </is>
      </c>
      <c r="BQ12" s="143" t="inlineStr">
        <is>
          <t>Marcial</t>
        </is>
      </c>
      <c r="BR12" s="143" t="inlineStr">
        <is>
          <t>não</t>
        </is>
      </c>
      <c r="BS12" s="145">
        <f>'FICHA PESSOAL'!$D$48</f>
        <v/>
      </c>
      <c r="BT12" s="145">
        <f>ADDRESS(ROW('FICHA PESSOAL'!D48),COLUMN('FICHA PESSOAL'!D48),4)</f>
        <v/>
      </c>
      <c r="CJ12" s="143" t="inlineStr">
        <is>
          <t>Calor e fogo</t>
        </is>
      </c>
      <c r="CR12" s="143" t="inlineStr">
        <is>
          <t>4ª · 25% · falha</t>
        </is>
      </c>
      <c r="CS12" s="145" t="n">
        <v>0.125</v>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Vestida</t>
        </is>
      </c>
      <c r="DI12" s="143" t="inlineStr">
        <is>
          <t>A arma equipada não ocupa a mão. O ataque ainda exige as mãos indicadas pela arma, livres de outros objetos ou tarefas.</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Frágil</t>
        </is>
      </c>
      <c r="H13" s="143" t="inlineStr">
        <is>
          <t>Cego</t>
        </is>
      </c>
      <c r="I13" s="41" t="inlineStr">
        <is>
          <t>Encarnado · Sem Técnica</t>
        </is>
      </c>
      <c r="J13" s="41" t="n"/>
      <c r="K13" s="41" t="n"/>
      <c r="L13" s="143" t="inlineStr">
        <is>
          <t>Analista</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1d4</t>
        </is>
      </c>
      <c r="BH13" s="143" t="inlineStr">
        <is>
          <t>Alcance · Emaranha · Oculta · Leve</t>
        </is>
      </c>
      <c r="BI13" s="143" t="inlineStr">
        <is>
          <t>—</t>
        </is>
      </c>
      <c r="BJ13" s="145" t="n">
        <v>0.5</v>
      </c>
      <c r="BM13" s="145">
        <f>'FICHA PESSOAL'!$AE$55</f>
        <v/>
      </c>
      <c r="BN13" s="145">
        <f>ADDRESS(ROW('FICHA PESSOAL'!AE55),COLUMN('FICHA PESSOAL'!AE55),4)</f>
        <v/>
      </c>
      <c r="BP13" s="143" t="inlineStr">
        <is>
          <t>Machado</t>
        </is>
      </c>
      <c r="BQ13" s="143" t="inlineStr">
        <is>
          <t>Marcial</t>
        </is>
      </c>
      <c r="BR13" s="143" t="inlineStr">
        <is>
          <t>não</t>
        </is>
      </c>
      <c r="BS13" s="145">
        <f>'FICHA PESSOAL'!$D$57</f>
        <v/>
      </c>
      <c r="BT13" s="145">
        <f>ADDRESS(ROW('FICHA PESSOAL'!D57),COLUMN('FICHA PESSOAL'!D57),4)</f>
        <v/>
      </c>
      <c r="CJ13" s="143" t="inlineStr">
        <is>
          <t>Outra Situação</t>
        </is>
      </c>
      <c r="CR13" s="143" t="inlineStr">
        <is>
          <t>5ª · 12,5% · falha</t>
        </is>
      </c>
      <c r="CS13" s="145" t="n">
        <v>0.0625</v>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Emaranha</t>
        </is>
      </c>
      <c r="DI13" s="143" t="inlineStr">
        <is>
          <t>Permite Agarrar com o alcance corpo a corpo da arma, mantendo teste, custo e limites da manobra. A arma e as mãos necessárias ficam ocupadas na contenção; solte o alvo antes de atacar com ela.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Mais Um</t>
        </is>
      </c>
      <c r="G14" s="143" t="inlineStr">
        <is>
          <t>Sem Volta</t>
        </is>
      </c>
      <c r="H14" s="143" t="inlineStr">
        <is>
          <t>Amedrontado</t>
        </is>
      </c>
      <c r="I14" s="41" t="inlineStr">
        <is>
          <t>Feto · Sem Técnica</t>
        </is>
      </c>
      <c r="J14" s="41" t="n"/>
      <c r="K14" s="41" t="n"/>
      <c r="L14" s="143" t="inlineStr">
        <is>
          <t>Socorrista</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Guia</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1d8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Marcial</t>
        </is>
      </c>
      <c r="BR14" s="143" t="inlineStr">
        <is>
          <t>não</t>
        </is>
      </c>
      <c r="BS14" s="145">
        <f>'FICHA PESSOAL'!$AM$54</f>
        <v/>
      </c>
      <c r="BT14" s="145">
        <f>ADDRESS(ROW('FICHA PESSOAL'!AM54),COLUMN('FICHA PESSOAL'!AM54),4)</f>
        <v/>
      </c>
      <c r="CR14" s="143" t="inlineStr">
        <is>
          <t>6ª · 6,25% · falha</t>
        </is>
      </c>
      <c r="CS14" s="145" t="n">
        <v>0.03125</v>
      </c>
      <c r="CY14" s="143" t="inlineStr">
        <is>
          <t>alcance da principal</t>
        </is>
      </c>
      <c r="CZ14" s="145">
        <f>IFERROR(VLOOKUP('FICHA PESSOAL'!$D$41,DADOS!$BD$5:$BN$59,8,FALSE)&amp;"","")</f>
        <v/>
      </c>
      <c r="DD14" s="145">
        <f>IF(AND(DADOS!$CZ$8&lt;&gt;2,'FICHA PESSOAL'!$D$76&lt;&gt;"",OR('FICHA PESSOAL'!$M$76="Escudo",N('FICHA PESSOAL'!$S$76)=1)),'FICHA PESSOAL'!$D$76,"")</f>
        <v/>
      </c>
      <c r="DH14" s="143" t="inlineStr">
        <is>
          <t>Rompe</t>
        </is>
      </c>
      <c r="DI14" s="143" t="inlineStr">
        <is>
          <t>Concede vantagem nos ataques contra objetos e estruturas que a arma possa danificar.</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Rajada</t>
        </is>
      </c>
      <c r="G15" s="143" t="inlineStr">
        <is>
          <t>Uma Vez</t>
        </is>
      </c>
      <c r="H15" s="143" t="inlineStr">
        <is>
          <t>Envenenado</t>
        </is>
      </c>
      <c r="I15" s="41" t="inlineStr">
        <is>
          <t>Corpo Amaldiçoado</t>
        </is>
      </c>
      <c r="J15" s="41" t="n"/>
      <c r="K15" s="41" t="n"/>
      <c r="L15" s="143" t="inlineStr">
        <is>
          <t>Condutor Armado</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Guia</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Marcial</t>
        </is>
      </c>
      <c r="BR15" s="143" t="inlineStr">
        <is>
          <t>não</t>
        </is>
      </c>
      <c r="BS15" s="145">
        <f>'FICHA PESSOAL'!$AE$54</f>
        <v/>
      </c>
      <c r="BT15" s="145">
        <f>ADDRESS(ROW('FICHA PESSOAL'!AE54),COLUMN('FICHA PESSOAL'!AE54),4)</f>
        <v/>
      </c>
      <c r="CR15" s="143" t="inlineStr">
        <is>
          <t>7ª · 3,125% · falha</t>
        </is>
      </c>
      <c r="CS15" s="145" t="n">
        <v>0.015625</v>
      </c>
      <c r="CY15" s="143" t="inlineStr">
        <is>
          <t>recarga da principal</t>
        </is>
      </c>
      <c r="CZ15" s="145">
        <f>IFERROR(VLOOKUP('FICHA PESSOAL'!$D$41,DADOS!$BD$5:$BN$59,9,FALSE)&amp;"","")</f>
        <v/>
      </c>
      <c r="DH15" s="143" t="inlineStr">
        <is>
          <t>Talha</t>
        </is>
      </c>
      <c r="DI15" s="143" t="inlineStr">
        <is>
          <t>Impõe −1 ao Bloquear feito contra o ataque dessa arma.</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Fica</t>
        </is>
      </c>
      <c r="G16" s="143" t="inlineStr">
        <is>
          <t>Condicional</t>
        </is>
      </c>
      <c r="H16" s="143" t="inlineStr">
        <is>
          <t>Atordoado</t>
        </is>
      </c>
      <c r="I16" s="41" t="inlineStr">
        <is>
          <t>Restrição Celestial · sem energia</t>
        </is>
      </c>
      <c r="J16" s="41" t="n"/>
      <c r="K16" s="41" t="n"/>
      <c r="L16" s="143" t="inlineStr">
        <is>
          <t>Ressonante</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1d8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Marcial</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Oculta</t>
        </is>
      </c>
      <c r="DI16" s="143" t="inlineStr">
        <is>
          <t>Permite esconder a arma nas vestes ou junto ao corpo. Veja Armas escondidas.</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Aquecer</t>
        </is>
      </c>
      <c r="H17" s="143" t="n"/>
      <c r="I17" s="41" t="n"/>
      <c r="J17" s="41" t="n"/>
      <c r="K17" s="41" t="n"/>
      <c r="L17" s="143" t="inlineStr">
        <is>
          <t>Catalisador</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Emanador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1d12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Discreta</t>
        </is>
      </c>
      <c r="DI17" s="143" t="inlineStr">
        <is>
          <t>Tem aparência de objeto comum. Veja Armas escondidas.</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Dívida</t>
        </is>
      </c>
      <c r="H18" s="41" t="n"/>
      <c r="I18" s="41" t="n"/>
      <c r="J18" s="41" t="n"/>
      <c r="K18" s="41" t="n"/>
      <c r="L18" s="143" t="inlineStr">
        <is>
          <t>Invocação Principal</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Emanador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Munição</t>
        </is>
      </c>
      <c r="DI18" s="143" t="inlineStr">
        <is>
          <t>Exige recarga. O procedimento, a capacidade e os suprimentos estão em Munição.</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1d6</t>
        </is>
      </c>
      <c r="BH19" s="143" t="inlineStr">
        <is>
          <t>Fineza · Rompe · Leve</t>
        </is>
      </c>
      <c r="BI19" s="143" t="inlineStr">
        <is>
          <t>—</t>
        </is>
      </c>
      <c r="BJ19" s="145" t="n">
        <v>0.2</v>
      </c>
      <c r="BM19" s="145">
        <f>'FICHA PESSOAL'!$AE$50</f>
        <v/>
      </c>
      <c r="BN19" s="145">
        <f>ADDRESS(ROW('FICHA PESSOAL'!AE50),COLUMN('FICHA PESSOAL'!AE50),4)</f>
        <v/>
      </c>
      <c r="CY19" s="143" t="inlineStr">
        <is>
          <t>escudo na secundária</t>
        </is>
      </c>
      <c r="CZ19" s="145">
        <f>IF(AND(DADOS!$CZ$17=1,DADOS!$CZ$18="Escudo"),1,0)</f>
        <v/>
      </c>
      <c r="DH19" s="143" t="inlineStr">
        <is>
          <t>Volumosa</t>
        </is>
      </c>
      <c r="DI19" s="14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143">
        <f>$L$19</f>
        <v/>
      </c>
      <c r="AO20" s="143" t="inlineStr">
        <is>
          <t>Evocador</t>
        </is>
      </c>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1d10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H20" s="143" t="inlineStr">
        <is>
          <t>Embainhada</t>
        </is>
      </c>
      <c r="DI20" s="14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143">
        <f>$L$20</f>
        <v/>
      </c>
      <c r="AO21" s="143" t="inlineStr">
        <is>
          <t>Evocador</t>
        </is>
      </c>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1</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De Novo</t>
        </is>
      </c>
      <c r="G22" s="14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143">
        <f>$L$21</f>
        <v/>
      </c>
      <c r="AO22" s="143" t="inlineStr">
        <is>
          <t>Incursor</t>
        </is>
      </c>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1d6</t>
        </is>
      </c>
      <c r="BH22" s="143" t="inlineStr">
        <is>
          <t>Par · Rompe</t>
        </is>
      </c>
      <c r="BI22" s="143" t="inlineStr">
        <is>
          <t>—</t>
        </is>
      </c>
      <c r="BJ22" s="145" t="n">
        <v>0.5</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ADDRESS(ROW(DADOS!CZ51),COLUMN(DADOS!CZ51),4)</f>
        <v/>
      </c>
    </row>
    <row r="23" ht="17.25" customHeight="1">
      <c r="A23" s="41" t="n"/>
      <c r="B23" s="143" t="inlineStr">
        <is>
          <t>Enganação</t>
        </is>
      </c>
      <c r="C23" s="41" t="n"/>
      <c r="D23" s="41" t="n"/>
      <c r="E23" s="41" t="n"/>
      <c r="F23" s="14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143">
        <f>$L$22</f>
        <v/>
      </c>
      <c r="AO23" s="143" t="inlineStr">
        <is>
          <t>Incursor</t>
        </is>
      </c>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1d12</t>
        </is>
      </c>
      <c r="BH23" s="143" t="inlineStr">
        <is>
          <t>Talha</t>
        </is>
      </c>
      <c r="BI23" s="145" t="n">
        <v>3</v>
      </c>
      <c r="BJ23" s="145" t="n">
        <v>3</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143">
        <f>$L$23</f>
        <v/>
      </c>
      <c r="AO24" s="143" t="inlineStr">
        <is>
          <t>Incursor</t>
        </is>
      </c>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1d8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1d6</t>
        </is>
      </c>
      <c r="BH25" s="143" t="inlineStr">
        <is>
          <t>Longo Alcance · Oculta · Leve</t>
        </is>
      </c>
      <c r="BI25" s="143" t="inlineStr">
        <is>
          <t>—</t>
        </is>
      </c>
      <c r="BJ25" s="145" t="n">
        <v>0.2</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1d8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1d6</t>
        </is>
      </c>
      <c r="BH27" s="143" t="inlineStr">
        <is>
          <t>Alcance · Longo Alcance</t>
        </is>
      </c>
      <c r="BI27" s="143" t="inlineStr">
        <is>
          <t>—</t>
        </is>
      </c>
      <c r="BJ27" s="145" t="n">
        <v>2</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1d8</t>
        </is>
      </c>
      <c r="BH28" s="143" t="inlineStr">
        <is>
          <t>Talha</t>
        </is>
      </c>
      <c r="BI28" s="143" t="inlineStr">
        <is>
          <t>—</t>
        </is>
      </c>
      <c r="BJ28" s="145" t="n">
        <v>1</v>
      </c>
      <c r="BM28" s="145">
        <f>'FICHA PESSOAL'!$AM$52</f>
        <v/>
      </c>
      <c r="BN28" s="145">
        <f>ADDRESS(ROW('FICHA PESSOAL'!AM52),COLUMN('FICHA PESSOAL'!AM52),4)</f>
        <v/>
      </c>
      <c r="CY28" s="143" t="inlineStr">
        <is>
          <t>proteção do uniforme</t>
        </is>
      </c>
      <c r="CZ28" s="145">
        <f>IF(DADOS!$CZ$27=1,VLOOKUP('FICHA PESSOAL'!$AH$41,DADOS!$BX$5:$CD$10,2,FALSE),0)</f>
        <v/>
      </c>
    </row>
    <row r="29" ht="17.25" customHeight="1">
      <c r="A29" s="41" t="n"/>
      <c r="B29" s="41" t="n"/>
      <c r="C29" s="41" t="n"/>
      <c r="D29" s="41" t="n"/>
      <c r="E29" s="41" t="n"/>
      <c r="F29" s="14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1d6</t>
        </is>
      </c>
      <c r="BH29" s="143" t="inlineStr">
        <is>
          <t>Longo Alcance · Rompe</t>
        </is>
      </c>
      <c r="BI29" s="143" t="inlineStr">
        <is>
          <t>—</t>
        </is>
      </c>
      <c r="BJ29" s="145" t="n">
        <v>0.5</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1d8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1d12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1d8</t>
        </is>
      </c>
      <c r="BH32" s="143" t="inlineStr">
        <is>
          <t>Rompe</t>
        </is>
      </c>
      <c r="BI32" s="143" t="inlineStr">
        <is>
          <t>—</t>
        </is>
      </c>
      <c r="BJ32" s="145" t="n">
        <v>0.5</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1d6</t>
        </is>
      </c>
      <c r="BH33" s="143" t="inlineStr">
        <is>
          <t>Emaranha · Oculta · Leve</t>
        </is>
      </c>
      <c r="BI33" s="143" t="inlineStr">
        <is>
          <t>—</t>
        </is>
      </c>
      <c r="BJ33" s="145" t="n">
        <v>0.5</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1d10</t>
        </is>
      </c>
      <c r="BH34" s="143" t="inlineStr">
        <is>
          <t>Rompe · Talha</t>
        </is>
      </c>
      <c r="BI34" s="145" t="n">
        <v>3</v>
      </c>
      <c r="BJ34" s="145" t="n">
        <v>3</v>
      </c>
      <c r="BM34" s="145">
        <f>'FICHA PESSOAL'!$AM$50</f>
        <v/>
      </c>
      <c r="BN34" s="145">
        <f>ADDRESS(ROW('FICHA PESSOAL'!AM50),COLUMN('FICHA PESSOAL'!AM50),4)</f>
        <v/>
      </c>
      <c r="CY34" s="143" t="inlineStr">
        <is>
          <t>ordem do grau</t>
        </is>
      </c>
      <c r="CZ34" s="145">
        <f>IFERROR(VLOOKUP('FICHA PESSOAL'!$AB$11,DADOS!$CF$5:$CH$9,3,FALSE),1)</f>
        <v/>
      </c>
    </row>
    <row r="35" ht="17.25" customHeight="1">
      <c r="A35" s="41" t="n"/>
      <c r="B35" s="41" t="n"/>
      <c r="C35" s="41" t="n"/>
      <c r="D35" s="41" t="n"/>
      <c r="E35" s="41" t="n"/>
      <c r="F35" s="14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1d12</t>
        </is>
      </c>
      <c r="BH35" s="143" t="inlineStr">
        <is>
          <t>Rompe</t>
        </is>
      </c>
      <c r="BI35" s="145" t="n">
        <v>3</v>
      </c>
      <c r="BJ35" s="145" t="n">
        <v>3</v>
      </c>
      <c r="BM35" s="145">
        <f>'FICHA PESSOAL'!$AM$51</f>
        <v/>
      </c>
      <c r="BN35" s="145">
        <f>ADDRESS(ROW('FICHA PESSOAL'!AM51),COLUMN('FICHA PESSOAL'!AM51),4)</f>
        <v/>
      </c>
      <c r="CY35" s="143" t="inlineStr">
        <is>
          <t>uniforme liberado</t>
        </is>
      </c>
      <c r="CZ35" s="145">
        <f>IF(OR(DADOS!$CZ$27=0,DADOS!$CZ$34&gt;=DADOS!$CZ$32),1,0)</f>
        <v/>
      </c>
    </row>
    <row r="36" ht="17.25" customHeight="1">
      <c r="A36" s="41" t="n"/>
      <c r="B36" s="41" t="n"/>
      <c r="C36" s="41" t="n"/>
      <c r="D36" s="41" t="n"/>
      <c r="E36" s="41" t="n"/>
      <c r="F36" s="14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4</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1d10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1d12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1d6</t>
        </is>
      </c>
      <c r="BH40" s="143" t="inlineStr">
        <is>
          <t>Par · Emaranha</t>
        </is>
      </c>
      <c r="BI40" s="143" t="inlineStr">
        <is>
          <t>—</t>
        </is>
      </c>
      <c r="BJ40" s="145" t="n">
        <v>0.5</v>
      </c>
      <c r="BM40" s="145">
        <f>'FICHA PESSOAL'!$V$52</f>
        <v/>
      </c>
      <c r="BN40" s="145">
        <f>ADDRESS(ROW('FICHA PESSOAL'!V52),COLUMN('FICHA PESSOAL'!V52),4)</f>
        <v/>
      </c>
      <c r="CY40" s="143" t="inlineStr">
        <is>
          <t>carga</t>
        </is>
      </c>
      <c r="CZ40" s="145">
        <f>ROUND(DADOS!$CZ$39+DADOS!$CZ$31,2)</f>
        <v/>
      </c>
    </row>
    <row r="41" ht="17.25" customHeight="1">
      <c r="A41" s="41" t="n"/>
      <c r="B41" s="41" t="n"/>
      <c r="C41" s="41" t="n"/>
      <c r="D41" s="41" t="n"/>
      <c r="E41" s="41" t="n"/>
      <c r="F41" s="14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1d12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 · Leve</t>
        </is>
      </c>
      <c r="BI42" s="143" t="inlineStr">
        <is>
          <t>—</t>
        </is>
      </c>
      <c r="BJ42" s="145" t="n">
        <v>0.5</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1d6</t>
        </is>
      </c>
      <c r="BH43" s="143" t="inlineStr">
        <is>
          <t>Fineza · Longo Alcance · Leve</t>
        </is>
      </c>
      <c r="BI43" s="143" t="inlineStr">
        <is>
          <t>—</t>
        </is>
      </c>
      <c r="BJ43" s="145" t="n">
        <v>0.3</v>
      </c>
      <c r="BK43" s="143" t="inlineStr">
        <is>
          <t>6 m, longa 18 m</t>
        </is>
      </c>
      <c r="BM43" s="145">
        <f>'FICHA PESSOAL'!$AE$51</f>
        <v/>
      </c>
      <c r="BN43" s="145">
        <f>ADDRESS(ROW('FICHA PESSOAL'!AE51),COLUMN('FICHA PESSOAL'!AE51),4)</f>
        <v/>
      </c>
      <c r="CY43" s="143" t="inlineStr">
        <is>
          <t>arma sem força</t>
        </is>
      </c>
      <c r="CZ43" s="145">
        <f>IF(OR(DADOS!$CZ$36=1,AND(DADOS!$CZ$37=1,DADOS!$CZ$19=0)),1,0)</f>
        <v/>
      </c>
    </row>
    <row r="44" ht="17.25" customHeight="1">
      <c r="A44" s="41" t="n"/>
      <c r="B44" s="41" t="n"/>
      <c r="C44" s="41" t="n"/>
      <c r="D44" s="41" t="n"/>
      <c r="E44" s="41" t="n"/>
      <c r="F44" s="14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1d6</t>
        </is>
      </c>
      <c r="BH44" s="143" t="inlineStr">
        <is>
          <t>Fineza · Talha</t>
        </is>
      </c>
      <c r="BI44" s="143" t="inlineStr">
        <is>
          <t>—</t>
        </is>
      </c>
      <c r="BJ44" s="145" t="n">
        <v>1</v>
      </c>
      <c r="BM44" s="145">
        <f>'FICHA PESSOAL'!$D$55</f>
        <v/>
      </c>
      <c r="BN44" s="145">
        <f>ADDRESS(ROW('FICHA PESSOAL'!D55),COLUMN('FICHA PESSOAL'!D55),4)</f>
        <v/>
      </c>
      <c r="CY44" s="143" t="inlineStr">
        <is>
          <t>meia marcha</t>
        </is>
      </c>
      <c r="CZ44" s="145">
        <f>DADOS!$CZ$43</f>
        <v/>
      </c>
    </row>
    <row r="45" ht="17.25" customHeight="1">
      <c r="A45" s="41" t="n"/>
      <c r="B45" s="41" t="n"/>
      <c r="C45" s="41" t="n"/>
      <c r="D45" s="41" t="n"/>
      <c r="E45" s="41" t="n"/>
      <c r="F45" s="14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 · Leve</t>
        </is>
      </c>
      <c r="BI45" s="143" t="inlineStr">
        <is>
          <t>—</t>
        </is>
      </c>
      <c r="BJ45" s="145" t="n">
        <v>0.5</v>
      </c>
      <c r="BK45" s="143" t="inlineStr">
        <is>
          <t>12 m, longa 36 m</t>
        </is>
      </c>
      <c r="BL45" s="145" t="n">
        <v>2</v>
      </c>
      <c r="BM45" s="145">
        <f>'FICHA PESSOAL'!$M$52</f>
        <v/>
      </c>
      <c r="BN45" s="145">
        <f>ADDRESS(ROW('FICHA PESSOAL'!M52),COLUMN('FICHA PESSOAL'!M52),4)</f>
        <v/>
      </c>
      <c r="CY45" s="143" t="inlineStr">
        <is>
          <t>proteção sem força</t>
        </is>
      </c>
      <c r="CZ45" s="145">
        <f>IF(DADOS!$CZ$38=1,DADOS!$CZ$28,0)+IF(AND(DADOS!$CZ$37=1,DADOS!$CZ$19=1),IFERROR(VLOOKUP('FICHA PESSOAL'!$S$41,DADOS!$AE$5:$AF$31,2,FALSE),0),0)</f>
        <v/>
      </c>
    </row>
    <row r="46" ht="17.25" customHeight="1">
      <c r="A46" s="41" t="n"/>
      <c r="B46" s="41" t="n"/>
      <c r="C46" s="41" t="n"/>
      <c r="D46" s="41" t="n"/>
      <c r="E46" s="41" t="n"/>
      <c r="F46" s="14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parado pela carga</t>
        </is>
      </c>
      <c r="CZ46" s="145">
        <f>DADOS!$CZ$42</f>
        <v/>
      </c>
    </row>
    <row r="47" ht="17.25" customHeight="1">
      <c r="A47" s="41" t="n"/>
      <c r="B47" s="41" t="n"/>
      <c r="C47" s="41" t="n"/>
      <c r="D47" s="41" t="n"/>
      <c r="E47" s="41" t="n"/>
      <c r="F47" s="14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3</v>
      </c>
      <c r="BK47" s="143" t="inlineStr">
        <is>
          <t>24 m, longa 72 m</t>
        </is>
      </c>
      <c r="BL47" s="145" t="n">
        <v>2</v>
      </c>
      <c r="BM47" s="145">
        <f>'FICHA PESSOAL'!$M$54</f>
        <v/>
      </c>
      <c r="BN47" s="145">
        <f>ADDRESS(ROW('FICHA PESSOAL'!M54),COLUMN('FICHA PESSOAL'!M54),4)</f>
        <v/>
      </c>
      <c r="CY47" s="143" t="inlineStr">
        <is>
          <t>xp total</t>
        </is>
      </c>
      <c r="CZ47" s="145">
        <f>SUM('FICHA PESSOAL'!$BA$15:$BA$64)+SUM('FICHA PESSOAL'!$BG$15:$BG$64)+SUM('FICHA PESSOAL'!$BM$15:$BM$64)+SUM('FICHA PESSOAL'!$BS$15:$BS$64)</f>
        <v/>
      </c>
    </row>
    <row r="48" ht="17.25" customHeight="1">
      <c r="A48" s="41" t="n"/>
      <c r="B48" s="41" t="n"/>
      <c r="C48" s="41" t="n"/>
      <c r="D48" s="41" t="n"/>
      <c r="E48" s="41" t="n"/>
      <c r="F48" s="14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1d6</t>
        </is>
      </c>
      <c r="BH48" s="143" t="inlineStr">
        <is>
          <t>Fineza · Par · Leve</t>
        </is>
      </c>
      <c r="BI48" s="143" t="inlineStr">
        <is>
          <t>—</t>
        </is>
      </c>
      <c r="BJ48" s="145" t="n">
        <v>0.5</v>
      </c>
      <c r="BM48" s="145">
        <f>'FICHA PESSOAL'!$AE$52</f>
        <v/>
      </c>
      <c r="BN48" s="145">
        <f>ADDRESS(ROW('FICHA PESSOAL'!AE52),COLUMN('FICHA PESSOAL'!AE52),4)</f>
        <v/>
      </c>
      <c r="CY48" s="143" t="inlineStr">
        <is>
          <t>nível</t>
        </is>
      </c>
      <c r="CZ48" s="145">
        <f>N(FICHA!$AH$11)</f>
        <v/>
      </c>
    </row>
    <row r="49" ht="17.25" customHeight="1">
      <c r="A49" s="41" t="n"/>
      <c r="B49" s="41" t="n"/>
      <c r="C49" s="41" t="n"/>
      <c r="D49" s="41" t="n"/>
      <c r="E49" s="41" t="n"/>
      <c r="F49" s="14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1d4</t>
        </is>
      </c>
      <c r="BH49" s="143" t="inlineStr">
        <is>
          <t>Longo Alcance · Oculta · Par · Leve</t>
        </is>
      </c>
      <c r="BI49" s="143" t="inlineStr">
        <is>
          <t>—</t>
        </is>
      </c>
      <c r="BJ49" s="145" t="n">
        <v>0.1</v>
      </c>
      <c r="BK49" s="143" t="inlineStr">
        <is>
          <t>6 m, longa 18 m</t>
        </is>
      </c>
      <c r="BM49" s="145">
        <f>'FICHA PESSOAL'!$M$59</f>
        <v/>
      </c>
      <c r="BN49" s="145">
        <f>ADDRESS(ROW('FICHA PESSOAL'!M59),COLUMN('FICHA PESSOAL'!M59),4)</f>
        <v/>
      </c>
      <c r="CY49" s="143" t="inlineStr">
        <is>
          <t>xp do próximo nível</t>
        </is>
      </c>
      <c r="CZ49" s="145">
        <f>IFERROR(VLOOKUP(DADOS!$CZ$48+1,DADOS!$AQ$5:$AR$33,2,FALSE),"")</f>
        <v/>
      </c>
    </row>
    <row r="50" ht="17.25" customHeight="1">
      <c r="A50" s="41" t="n"/>
      <c r="B50" s="41" t="n"/>
      <c r="C50" s="41" t="n"/>
      <c r="D50" s="41" t="n"/>
      <c r="E50" s="41" t="n"/>
      <c r="F50" s="14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1d4</t>
        </is>
      </c>
      <c r="BH50" s="143" t="inlineStr">
        <is>
          <t>Vestida · Oculta · Par · Leve</t>
        </is>
      </c>
      <c r="BI50" s="143" t="inlineStr">
        <is>
          <t>—</t>
        </is>
      </c>
      <c r="BJ50" s="145" t="n">
        <v>0.2</v>
      </c>
      <c r="BM50" s="145">
        <f>'FICHA PESSOAL'!$AE$59</f>
        <v/>
      </c>
      <c r="BN50" s="145">
        <f>ADDRESS(ROW('FICHA PESSOAL'!AE59),COLUMN('FICHA PESSOAL'!AE59),4)</f>
        <v/>
      </c>
      <c r="CY50" s="143" t="inlineStr">
        <is>
          <t>xp deste nível</t>
        </is>
      </c>
      <c r="CZ50" s="145">
        <f>IFERROR(VLOOKUP(DADOS!$CZ$48,DADOS!$AQ$5:$AR$33,2,FALSE),0)</f>
        <v/>
      </c>
    </row>
    <row r="51" ht="17.25" customHeight="1">
      <c r="A51" s="41" t="n"/>
      <c r="B51" s="41" t="n"/>
      <c r="C51" s="41" t="n"/>
      <c r="D51" s="41" t="n"/>
      <c r="E51" s="41" t="n"/>
      <c r="F51" s="14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c r="CY51" s="143" t="inlineStr">
        <is>
          <t>cor da barra cheia</t>
        </is>
      </c>
      <c r="CZ51" s="145" t="inlineStr">
        <is>
          <t>#E8DCD4</t>
        </is>
      </c>
    </row>
    <row r="52" ht="17.25" customHeight="1">
      <c r="A52" s="41" t="n"/>
      <c r="B52" s="41" t="n"/>
      <c r="C52" s="41" t="n"/>
      <c r="D52" s="41" t="n"/>
      <c r="E52" s="41" t="n"/>
      <c r="F52" s="14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1d8</t>
        </is>
      </c>
      <c r="BH52" s="143" t="inlineStr">
        <is>
          <t>Versátil · Discreta</t>
        </is>
      </c>
      <c r="BI52" s="143" t="inlineStr">
        <is>
          <t>—</t>
        </is>
      </c>
      <c r="BJ52" s="145" t="n">
        <v>1</v>
      </c>
      <c r="BM52" s="145">
        <f>'FICHA PESSOAL'!$AM$53</f>
        <v/>
      </c>
      <c r="BN52" s="145">
        <f>ADDRESS(ROW('FICHA PESSOAL'!AM53),COLUMN('FICHA PESSOAL'!AM53),4)</f>
        <v/>
      </c>
    </row>
    <row r="53" ht="17.25" customHeight="1">
      <c r="A53" s="41" t="n"/>
      <c r="B53" s="41" t="n"/>
      <c r="C53" s="41" t="n"/>
      <c r="D53" s="41" t="n"/>
      <c r="E53" s="41" t="n"/>
      <c r="F53" s="14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1d6</t>
        </is>
      </c>
      <c r="BH53" s="143" t="inlineStr">
        <is>
          <t>Fineza · Oculta · Leve</t>
        </is>
      </c>
      <c r="BI53" s="143" t="inlineStr">
        <is>
          <t>—</t>
        </is>
      </c>
      <c r="BJ53" s="145" t="n">
        <v>0.3</v>
      </c>
      <c r="BM53" s="145">
        <f>'FICHA PESSOAL'!$AE$53</f>
        <v/>
      </c>
      <c r="BN53" s="145">
        <f>ADDRESS(ROW('FICHA PESSOAL'!AE53),COLUMN('FICHA PESSOAL'!AE53),4)</f>
        <v/>
      </c>
    </row>
    <row r="54" ht="17.25" customHeight="1">
      <c r="A54" s="41" t="n"/>
      <c r="B54" s="41" t="n"/>
      <c r="C54" s="41" t="n"/>
      <c r="D54" s="41" t="n"/>
      <c r="E54" s="41" t="n"/>
      <c r="F54" s="14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1d4</t>
        </is>
      </c>
      <c r="BH54" s="143" t="inlineStr">
        <is>
          <t>Vestida · Par · Oculta · Leve</t>
        </is>
      </c>
      <c r="BI54" s="143" t="inlineStr">
        <is>
          <t>—</t>
        </is>
      </c>
      <c r="BJ54" s="145" t="n">
        <v>0.2</v>
      </c>
      <c r="BM54" s="145">
        <f>'FICHA PESSOAL'!$AE$60</f>
        <v/>
      </c>
      <c r="BN54" s="145">
        <f>ADDRESS(ROW('FICHA PESSOAL'!AE60),COLUMN('FICHA PESSOAL'!AE60),4)</f>
        <v/>
      </c>
    </row>
    <row r="55" ht="17.25" customHeight="1">
      <c r="A55" s="41" t="n"/>
      <c r="B55" s="41" t="n"/>
      <c r="C55" s="41" t="n"/>
      <c r="D55" s="41" t="n"/>
      <c r="E55" s="41" t="n"/>
      <c r="F55" s="14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1d4</t>
        </is>
      </c>
      <c r="BH55" s="143" t="inlineStr">
        <is>
          <t>Longo Alcance · Oculta · Vestida · Leve</t>
        </is>
      </c>
      <c r="BI55" s="143" t="inlineStr">
        <is>
          <t>—</t>
        </is>
      </c>
      <c r="BJ55" s="145" t="n">
        <v>0.3</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1d6</t>
        </is>
      </c>
      <c r="BH56" s="143" t="inlineStr">
        <is>
          <t>Par · Vestida · Leve</t>
        </is>
      </c>
      <c r="BI56" s="143" t="inlineStr">
        <is>
          <t>—</t>
        </is>
      </c>
      <c r="BJ56" s="145" t="n">
        <v>0.5</v>
      </c>
      <c r="BM56" s="145">
        <f>'FICHA PESSOAL'!$V$53</f>
        <v/>
      </c>
      <c r="BN56" s="145">
        <f>ADDRESS(ROW('FICHA PESSOAL'!V53),COLUMN('FICHA PESSOAL'!V53),4)</f>
        <v/>
      </c>
    </row>
    <row r="57" ht="17.25" customHeight="1">
      <c r="A57" s="41" t="n"/>
      <c r="B57" s="41" t="n"/>
      <c r="C57" s="41" t="n"/>
      <c r="D57" s="41" t="n"/>
      <c r="E57" s="41" t="n"/>
      <c r="F57" s="14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1d8</t>
        </is>
      </c>
      <c r="BH58" s="143" t="inlineStr">
        <is>
          <t>Oculta · Leve</t>
        </is>
      </c>
      <c r="BI58" s="143" t="inlineStr">
        <is>
          <t>—</t>
        </is>
      </c>
      <c r="BJ58" s="145" t="n">
        <v>0.5</v>
      </c>
      <c r="BM58" s="145">
        <f>'FICHA PESSOAL'!$D$56</f>
        <v/>
      </c>
      <c r="BN58" s="145">
        <f>ADDRESS(ROW('FICHA PESSOAL'!D56),COLUMN('FICHA PESSOAL'!D56),4)</f>
        <v/>
      </c>
    </row>
    <row r="59" ht="17.25" customHeight="1">
      <c r="A59" s="41" t="n"/>
      <c r="B59" s="41" t="n"/>
      <c r="C59" s="41" t="n"/>
      <c r="D59" s="41" t="n"/>
      <c r="E59" s="41" t="n"/>
      <c r="F59" s="14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1d10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R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U1" s="144" t="inlineStr">
        <is>
          <t>célula do nome</t>
        </is>
      </c>
      <c r="IV1" s="144" t="inlineStr">
        <is>
          <t>célula do texto</t>
        </is>
      </c>
      <c r="IX1" s="144" t="inlineStr">
        <is>
          <t>habilidade livre: carta</t>
        </is>
      </c>
      <c r="IY1" s="144" t="inlineStr">
        <is>
          <t>célula do texto livre</t>
        </is>
      </c>
      <c r="JA1" s="144" t="inlineStr">
        <is>
          <t>habilidades: título</t>
        </is>
      </c>
      <c r="JB1" s="144" t="inlineStr">
        <is>
          <t>texto do título</t>
        </is>
      </c>
      <c r="JD1" s="144" t="inlineStr">
        <is>
          <t>menu: feitiço</t>
        </is>
      </c>
      <c r="JE1" s="144" t="inlineStr">
        <is>
          <t>lugar na conta</t>
        </is>
      </c>
      <c r="JF1" s="144" t="inlineStr">
        <is>
          <t>menu: classe</t>
        </is>
      </c>
      <c r="JG1" s="144" t="inlineStr">
        <is>
          <t>menu: nome</t>
        </is>
      </c>
      <c r="JH1" s="144" t="inlineStr">
        <is>
          <t>menu: pe</t>
        </is>
      </c>
      <c r="JI1" s="144" t="inlineStr">
        <is>
          <t>menu: forma</t>
        </is>
      </c>
      <c r="JJ1" s="144" t="inlineStr">
        <is>
          <t>menu: resolve</t>
        </is>
      </c>
      <c r="JK1" s="144" t="inlineStr">
        <is>
          <t>menu: como</t>
        </is>
      </c>
      <c r="JM1" s="144" t="inlineStr">
        <is>
          <t>menu: liberação</t>
        </is>
      </c>
      <c r="JN1" s="144" t="inlineStr">
        <is>
          <t>menu da liberação: classe</t>
        </is>
      </c>
      <c r="JO1" s="144" t="inlineStr">
        <is>
          <t>menu da liberação: nome</t>
        </is>
      </c>
      <c r="JP1" s="144" t="inlineStr">
        <is>
          <t>menu da liberação: pe</t>
        </is>
      </c>
      <c r="JQ1" s="144" t="inlineStr">
        <is>
          <t>menu da liberação: forma</t>
        </is>
      </c>
      <c r="JR1" s="144" t="inlineStr">
        <is>
          <t>menu da liberação: resolve</t>
        </is>
      </c>
      <c r="JS1" s="144" t="inlineStr">
        <is>
          <t>menu da liberação: como</t>
        </is>
      </c>
      <c r="JU1" s="144" t="inlineStr">
        <is>
          <t>menu: carta larga</t>
        </is>
      </c>
      <c r="JV1" s="144" t="inlineStr">
        <is>
          <t>nome dela</t>
        </is>
      </c>
      <c r="JW1" s="144" t="inlineStr">
        <is>
          <t>pe dela</t>
        </is>
      </c>
      <c r="JX1" s="144" t="inlineStr">
        <is>
          <t>forma dela</t>
        </is>
      </c>
      <c r="JY1" s="144" t="inlineStr">
        <is>
          <t>resolve dela</t>
        </is>
      </c>
      <c r="JZ1" s="144" t="inlineStr">
        <is>
          <t>como é dela</t>
        </is>
      </c>
      <c r="KB1" s="144" t="inlineStr">
        <is>
          <t>menu: passiva</t>
        </is>
      </c>
      <c r="KC1" s="144" t="inlineStr">
        <is>
          <t>lugar da passiva</t>
        </is>
      </c>
      <c r="KD1" s="144" t="inlineStr">
        <is>
          <t>classe passiva no menu</t>
        </is>
      </c>
      <c r="KE1" s="144" t="inlineStr">
        <is>
          <t>passiva no menu</t>
        </is>
      </c>
      <c r="KF1" s="144" t="inlineStr">
        <is>
          <t>texto da passiva no menu</t>
        </is>
      </c>
      <c r="KH1" s="144" t="inlineStr">
        <is>
          <t>menu: aptidão</t>
        </is>
      </c>
      <c r="KI1" s="144" t="inlineStr">
        <is>
          <t>lugar da aptidão</t>
        </is>
      </c>
      <c r="KJ1" s="144" t="inlineStr">
        <is>
          <t>classe passiva da aptidão no menu</t>
        </is>
      </c>
      <c r="KK1" s="144" t="inlineStr">
        <is>
          <t>aptidão no menu</t>
        </is>
      </c>
      <c r="KL1" s="144" t="inlineStr">
        <is>
          <t>texto da aptidão no menu</t>
        </is>
      </c>
      <c r="KN1" s="144" t="inlineStr">
        <is>
          <t>menu: rótulo</t>
        </is>
      </c>
      <c r="KO1" s="144" t="inlineStr">
        <is>
          <t>texto do rótulo</t>
        </is>
      </c>
      <c r="KQ1" s="144" t="inlineStr">
        <is>
          <t>caixa calculada</t>
        </is>
      </c>
      <c r="KR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Visão a olho nu, um alvo</t>
        </is>
      </c>
      <c r="AU2" s="143" t="inlineStr">
        <is>
          <t>Visão a olho nu,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 de você. A informação não fornece a montagem completa, o custo de cada peça ou a localização de um alvo oculto.</t>
        </is>
      </c>
      <c r="BU2" s="145" t="n">
        <v>1</v>
      </c>
      <c r="BV2" s="145" t="n">
        <v>1</v>
      </c>
      <c r="BW2" s="145">
        <f>IF(OR(AND($A$2&lt;=2,$BU2=1),AND($A$2&gt;=2,$BV2=1)),$BR2,"")</f>
        <v/>
      </c>
      <c r="BX2" s="143" t="inlineStr">
        <is>
          <t>Você identifica a Classe e a Forma de qualquer feitiço conjurado a até 18 m de você. A informação não fornece a montagem completa, o custo de cada peça ou a localização de um alvo oculto.</t>
        </is>
      </c>
      <c r="BZ2" s="145" t="n">
        <v>1</v>
      </c>
      <c r="CA2" s="145" t="n">
        <v>1</v>
      </c>
      <c r="CC2" s="143" t="inlineStr">
        <is>
          <t>Cobrir-se de Energia</t>
        </is>
      </c>
      <c r="CD2" s="143" t="inlineStr">
        <is>
          <t>Gratuita no Refino 1</t>
        </is>
      </c>
      <c r="CE2" s="143" t="inlineStr">
        <is>
          <t>—</t>
        </is>
      </c>
      <c r="CF2" s="143" t="inlineStr">
        <is>
          <t>Proteção e Redução de Dano da Reação</t>
        </is>
      </c>
      <c r="CG2" s="14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5">
        <f>IF($CK2=1,"",IF($A$2=4,IF($CI2=1,$CC2,""),IF(OR($CI2=1,AND($A$2=3,$CJ2=1)),"",$CC2)))</f>
        <v/>
      </c>
      <c r="CI2" s="145" t="n">
        <v>0</v>
      </c>
      <c r="CJ2" s="145" t="n">
        <v>0</v>
      </c>
      <c r="CK2" s="145" t="n">
        <v>1</v>
      </c>
      <c r="CL2" s="143" t="inlineStr">
        <is>
          <t>A energia que envolve seu corpo concede proteção e pode ser concentrada para amortecer um golpe.</t>
        </is>
      </c>
      <c r="CN2" s="143" t="inlineStr">
        <is>
          <t>Domínio Simples</t>
        </is>
      </c>
      <c r="CP2" s="143" t="inlineStr">
        <is>
          <t>Três grupos de arma</t>
        </is>
      </c>
      <c r="CR2" s="145">
        <f>IF($A$2=2,IFERROR(INDEX($CN$2:$CN$5,1),""),IF($A$2&gt;=3,IFERROR(INDEX($CP$2:$CP$4,1),""),""))</f>
        <v/>
      </c>
      <c r="CT2" s="143" t="inlineStr">
        <is>
          <t>Porrete</t>
        </is>
      </c>
      <c r="CU2" s="145" t="n">
        <v>1</v>
      </c>
      <c r="CV2" s="145" t="n">
        <v>0</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registro aprovado</t>
        </is>
      </c>
      <c r="DT2" s="143" t="inlineStr">
        <is>
          <t>Uma aptidão</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(IF(COUNTIF($EB2:$EE2,"Salto")&gt;0,1,0)+IF(COUNTIF($EB2:$EE2,"Queima")&gt;0,1,0)+IF(COUNTIF($EB2:$EE2,"Estilhaço")&gt;0,1,0))*FLOOR($FR2/2,1)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Talento 1</t>
        </is>
      </c>
      <c r="HL2" s="145">
        <f>'FICHA AMALDIÇOADA'!$D$379&amp;""</f>
        <v/>
      </c>
      <c r="HM2" s="145">
        <f>IFERROR(VLOOKUP($HL2,$BR$2:$BX$24,2,FALSE),0)</f>
        <v/>
      </c>
      <c r="HN2" s="145">
        <f>IFERROR(VLOOKUP($HM2,$BZ$2:$CA$4,2,FALSE),0)</f>
        <v/>
      </c>
      <c r="HO2" s="145">
        <f>IFERROR(VLOOKUP($HL2,$BR$2:$BX$24,3,FALSE),"")</f>
        <v/>
      </c>
      <c r="HP2" s="145">
        <f>IF($HM2=0,"",IF($HN2&gt;$HI$2,"⚠ Nível "&amp;$HN2,"CE "&amp;$HM2))</f>
        <v/>
      </c>
      <c r="HQ2" s="145">
        <f>IF($HM2=0,"",$HM2&amp;" esp.")</f>
        <v/>
      </c>
      <c r="HR2" s="145">
        <f>'FICHA AMALDIÇOADA'!$E$384&amp;""</f>
        <v/>
      </c>
      <c r="HS2" s="145">
        <f>IF($HL2="","",COUNTIF($HL$2:$HL2,"?*"))</f>
        <v/>
      </c>
      <c r="HU2" s="143" t="inlineStr">
        <is>
          <t>Aptidão 1</t>
        </is>
      </c>
      <c r="HV2" s="145">
        <f>'FICHA AMALDIÇOADA'!$D$430&amp;""</f>
        <v/>
      </c>
      <c r="HW2" s="145">
        <f>IF($HV2="","","Requisito: "&amp;IFERROR(VLOOKUP($HV2,$CC$2:$CL$33,2,FALSE),""))</f>
        <v/>
      </c>
      <c r="HX2" s="145">
        <f>IF($HV2="","",IFERROR(IF(ISNUMBER(VLOOKUP($HV2,$CC$2:$CL$33,3,FALSE)),"CE "&amp;VLOOKUP($HV2,$CC$2:$CL$33,3,FALSE),VLOOKUP($HV2,$CC$2:$CL$33,3,FALSE)),""))</f>
        <v/>
      </c>
      <c r="HY2" s="145">
        <f>IF($HV2="","",IFERROR(VLOOKUP($HV2,$CC$2:$CL$33,4,FALSE),""))</f>
        <v/>
      </c>
      <c r="HZ2" s="145">
        <f>IF($HV2="","",IFERROR(VLOOKUP($HV2,$CC$2:$CL$33,5,FALSE),""))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U2" s="145">
        <f>ADDRESS(ROW(FICHA!G92),COLUMN(FICHA!G92),4)</f>
        <v/>
      </c>
      <c r="IV2" s="145">
        <f>ADDRESS(ROW(FICHA!D93),COLUMN(FICHA!D93),4)</f>
        <v/>
      </c>
      <c r="IX2" s="143" t="inlineStr">
        <is>
          <t>Caminho · Anotações</t>
        </is>
      </c>
      <c r="IY2" s="145">
        <f>ADDRESS(ROW(FICHA!D123),COLUMN(FICHA!D123),4)</f>
        <v/>
      </c>
      <c r="JA2" s="143" t="inlineStr">
        <is>
          <t>Caminho</t>
        </is>
      </c>
      <c r="JB2" s="145">
        <f>"CAMINHO"&amp;IF(OR(FICHA!$D$11="",LEFT(FICHA!$D$11,7)="Escolha"),"","  ·  "&amp;UPPER(FICHA!$D$11))&amp;"  ·  CINCO DEGRAUS"</f>
        <v/>
      </c>
      <c r="JD2" s="145" t="n">
        <v>1</v>
      </c>
      <c r="JE2" s="145">
        <f>IFERROR(MATCH(1,$HF$2:$HF$37,0),0)</f>
        <v/>
      </c>
      <c r="JF2" s="145">
        <f>IF($JE2=0,"",INDEX($DY$2:$DY$37,$JE2))</f>
        <v/>
      </c>
      <c r="JG2" s="145">
        <f>IF($JE2=0,"",INDEX($DZ$2:$DZ$37,$JE2))</f>
        <v/>
      </c>
      <c r="JH2" s="145">
        <f>IF($JE2=0,"",INDEX($GN$2:$GN$37,$JE2))</f>
        <v/>
      </c>
      <c r="JI2" s="145">
        <f>IF($JE2=0,"",INDEX($EA$2:$EA$37,$JE2))</f>
        <v/>
      </c>
      <c r="JJ2" s="145">
        <f>IF($JE2=0,"",INDEX($GP$2:$GP$37,$JE2))</f>
        <v/>
      </c>
      <c r="JK2" s="145">
        <f>IF($JE2=0,"",INDEX($HE$2:$HE$37,$JE2))</f>
        <v/>
      </c>
      <c r="JM2" s="145" t="n">
        <v>1</v>
      </c>
      <c r="JN2" s="145">
        <f>IF($EH$38=0,"",$DY$38)</f>
        <v/>
      </c>
      <c r="JO2" s="145">
        <f>IF($EH$38=0,"",$DZ$38)</f>
        <v/>
      </c>
      <c r="JP2" s="145">
        <f>IF($EH$38=0,"",$GN$38)</f>
        <v/>
      </c>
      <c r="JQ2" s="145">
        <f>IF($EH$38=0,"",$EA$38)</f>
        <v/>
      </c>
      <c r="JR2" s="145">
        <f>IF($EH$38=0,"",$GP$38)</f>
        <v/>
      </c>
      <c r="JS2" s="145">
        <f>IF($EH$38=0,"",$HE$38)</f>
        <v/>
      </c>
      <c r="JU2" s="143" t="inlineStr">
        <is>
          <t>Técnica Máxima</t>
        </is>
      </c>
      <c r="JV2" s="145">
        <f>'FICHA AMALDIÇOADA'!$D$343&amp;""</f>
        <v/>
      </c>
      <c r="JW2" s="145">
        <f>IF('FICHA AMALDIÇOADA'!$D$343="","",IF(ISNUMBER('FICHA AMALDIÇOADA'!$P$343),'FICHA AMALDIÇOADA'!$P$343&amp;" PE",'FICHA AMALDIÇOADA'!$P$343&amp;""))</f>
        <v/>
      </c>
      <c r="JX2" s="145">
        <f>IF('FICHA AMALDIÇOADA'!$D$343="","",'FICHA AMALDIÇOADA'!$J$343&amp;"")</f>
        <v/>
      </c>
      <c r="JY2" s="145">
        <f>IF('FICHA AMALDIÇOADA'!$D$343="","",IFERROR(VLOOKUP('FICHA AMALDIÇOADA'!$J$343,$Y$2:$AM$11,8,FALSE),""))</f>
        <v/>
      </c>
      <c r="JZ2" s="145">
        <f>'FICHA AMALDIÇOADA'!$D$349&amp;""</f>
        <v/>
      </c>
      <c r="KB2" s="143" t="inlineStr">
        <is>
          <t>Expressão da técnica</t>
        </is>
      </c>
      <c r="KC2" s="145" t="n">
        <v>0</v>
      </c>
      <c r="KD2" s="143" t="inlineStr">
        <is>
          <t>Livre</t>
        </is>
      </c>
      <c r="KE2" s="143" t="inlineStr">
        <is>
          <t>Expressão da técnica</t>
        </is>
      </c>
      <c r="KF2" s="145">
        <f>'FICHA AMALDIÇOADA'!$L$29&amp;""</f>
        <v/>
      </c>
      <c r="KH2" s="143" t="inlineStr">
        <is>
          <t>De graça 1</t>
        </is>
      </c>
      <c r="KI2" s="145" t="n">
        <v>0</v>
      </c>
      <c r="KJ2" s="143" t="inlineStr">
        <is>
          <t>—</t>
        </is>
      </c>
      <c r="KK2" s="145">
        <f>INDEX($D$9:$G$9,1,$A$2)</f>
        <v/>
      </c>
      <c r="KL2" s="145">
        <f>"Do livro: "&amp;IFERROR(VLOOKUP($KK2,$CC$2:$CL$33,10,FALSE),"")</f>
        <v/>
      </c>
      <c r="KN2" s="143" t="inlineStr">
        <is>
          <t>título</t>
        </is>
      </c>
      <c r="KO2" s="145">
        <f>"MENU RÁPIDO · "&amp;UPPER(INDEX($D$3:$G$3,1,$A$2))&amp;", TALENTOS E "&amp;UPPER(INDEX($D$6:$G$6,1,$A$2))</f>
        <v/>
      </c>
      <c r="KQ2" s="143" t="inlineStr">
        <is>
          <t>L12</t>
        </is>
      </c>
      <c r="KR2" s="145">
        <f>IF(DADOS_AM!$HI$41=1,IF(DADOS_AM!$HI$48=0,"Escolha os grupos",IF(DADOS_AM!$HI$48=1,IF(DADOS_AM!$HI$42&lt;&gt;"",DADOS_AM!$HI$42,IF(DADOS_AM!$HI$43&lt;&gt;"",DADOS_AM!$HI$43,DADOS_AM!$HI$44))&amp;", das armas","Por grupo")),FICHA!$Z$51)</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Visão a olho nu, um alvo</t>
        </is>
      </c>
      <c r="AT3" s="143" t="inlineStr">
        <is>
          <t>Visão a olho nu, um alvo</t>
        </is>
      </c>
      <c r="AU3" s="143" t="inlineStr">
        <is>
          <t>Visão a olho nu,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 Isso não revela criaturas escondidas, não muda sua posição na iniciativa e não concede uma ação adicional.</t>
        </is>
      </c>
      <c r="BU3" s="145" t="n">
        <v>1</v>
      </c>
      <c r="BV3" s="145" t="n">
        <v>0</v>
      </c>
      <c r="BW3" s="145">
        <f>IF(OR(AND($A$2&lt;=2,$BU3=1),AND($A$2&gt;=2,$BV3=1)),$BR3,"")</f>
        <v/>
      </c>
      <c r="BX3" s="143" t="inlineStr">
        <is>
          <t>Você não é pego de surpresa enquanto estiver acordado. Isso não revela criaturas escondidas, não muda sua posição na iniciativa e não concede uma ação adicional.</t>
        </is>
      </c>
      <c r="BZ3" s="145" t="n">
        <v>2</v>
      </c>
      <c r="CA3" s="145" t="n">
        <v>7</v>
      </c>
      <c r="CC3" s="143" t="inlineStr">
        <is>
          <t>Canalizar Energia</t>
        </is>
      </c>
      <c r="CD3" s="143" t="inlineStr">
        <is>
          <t>Gratuita no Refino 1</t>
        </is>
      </c>
      <c r="CE3" s="143" t="inlineStr">
        <is>
          <t>—</t>
        </is>
      </c>
      <c r="CF3" s="143" t="inlineStr">
        <is>
          <t>Dados adicionais</t>
        </is>
      </c>
      <c r="CG3" s="14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5">
        <f>IF($CK3=1,"",IF($A$2=4,IF($CI3=1,$CC3,""),IF(OR($CI3=1,AND($A$2=3,$CJ3=1)),"",$CC3)))</f>
        <v/>
      </c>
      <c r="CI3" s="145" t="n">
        <v>0</v>
      </c>
      <c r="CJ3" s="145" t="n">
        <v>0</v>
      </c>
      <c r="CK3" s="145" t="n">
        <v>1</v>
      </c>
      <c r="CL3" s="143" t="inlineStr">
        <is>
          <t>Você envolve seus golpes em energia amaldiçoada.</t>
        </is>
      </c>
      <c r="CN3" s="143" t="inlineStr">
        <is>
          <t>Energia Reversa</t>
        </is>
      </c>
      <c r="CP3" s="143" t="inlineStr">
        <is>
          <t>Ferramenta de atacar</t>
        </is>
      </c>
      <c r="CR3" s="145">
        <f>IF($A$2=2,IFERROR(INDEX($CN$2:$CN$5,2),""),IF($A$2&gt;=3,IFERROR(INDEX($CP$2:$CP$4,2),""),""))</f>
        <v/>
      </c>
      <c r="CT3" s="143" t="inlineStr">
        <is>
          <t>Balestra</t>
        </is>
      </c>
      <c r="CU3" s="145" t="n">
        <v>0</v>
      </c>
      <c r="CV3" s="145" t="n">
        <v>1</v>
      </c>
      <c r="CW3" s="145">
        <f>IF(AND($A$2&gt;=3,'FICHA AMALDIÇOADA'!$J$16&amp;""="Três grupos de arma"),$CT3,"")</f>
        <v/>
      </c>
      <c r="CY3" s="145" t="n">
        <v>5</v>
      </c>
      <c r="CZ3" s="145" t="n">
        <v>3</v>
      </c>
      <c r="DA3" s="145" t="n">
        <v>3</v>
      </c>
      <c r="DC3" s="145" t="n">
        <v>20</v>
      </c>
      <c r="DE3" s="145" t="n">
        <v>4</v>
      </c>
      <c r="DG3" s="145" t="n">
        <v>21</v>
      </c>
      <c r="DH3" s="145" t="n">
        <v>28</v>
      </c>
      <c r="DI3" s="145" t="n">
        <v>12</v>
      </c>
      <c r="DK3" s="143" t="inlineStr">
        <is>
          <t>Completa</t>
        </is>
      </c>
      <c r="DL3" s="145" t="n">
        <v>3</v>
      </c>
      <c r="DM3" s="145" t="n">
        <v>14</v>
      </c>
      <c r="DN3" s="145" t="n">
        <v>5</v>
      </c>
      <c r="DO3" s="143" t="inlineStr">
        <is>
          <t>Incompleta, nível 14 e refino 5</t>
        </is>
      </c>
      <c r="DQ3" s="143" t="inlineStr">
        <is>
          <t>Temporário</t>
        </is>
      </c>
      <c r="DR3" s="143" t="inlineStr">
        <is>
          <t>No seu turno, como Ação Bônus ou Reação</t>
        </is>
      </c>
      <c r="DT3" s="143" t="inlineStr">
        <is>
          <t>Um espaço conhecido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(IF(COUNTIF($EB3:$EE3,"Salto")&gt;0,1,0)+IF(COUNTIF($EB3:$EE3,"Queima")&gt;0,1,0)+IF(COUNTIF($EB3:$EE3,"Estilhaço")&gt;0,1,0))*FLOOR($FR3/2,1)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Talento 2</t>
        </is>
      </c>
      <c r="HL3" s="145">
        <f>'FICHA AMALDIÇOADA'!$J$379&amp;""</f>
        <v/>
      </c>
      <c r="HM3" s="145">
        <f>IFERROR(VLOOKUP($HL3,$BR$2:$BX$24,2,FALSE),0)</f>
        <v/>
      </c>
      <c r="HN3" s="145">
        <f>IFERROR(VLOOKUP($HM3,$BZ$2:$CA$4,2,FALSE),0)</f>
        <v/>
      </c>
      <c r="HO3" s="145">
        <f>IFERROR(VLOOKUP($HL3,$BR$2:$BX$24,3,FALSE),"")</f>
        <v/>
      </c>
      <c r="HP3" s="145">
        <f>IF($HM3=0,"",IF($HN3&gt;$HI$2,"⚠ Nível "&amp;$HN3,"CE "&amp;$HM3))</f>
        <v/>
      </c>
      <c r="HQ3" s="145">
        <f>IF($HM3=0,"",$HM3&amp;" esp.")</f>
        <v/>
      </c>
      <c r="HR3" s="145">
        <f>'FICHA AMALDIÇOADA'!$K$384&amp;""</f>
        <v/>
      </c>
      <c r="HS3" s="145">
        <f>IF($HL3="","",COUNTIF($HL$2:$HL3,"?*"))</f>
        <v/>
      </c>
      <c r="HU3" s="143" t="inlineStr">
        <is>
          <t>Aptidão 2</t>
        </is>
      </c>
      <c r="HV3" s="145">
        <f>'FICHA AMALDIÇOADA'!$J$430&amp;""</f>
        <v/>
      </c>
      <c r="HW3" s="145">
        <f>IF($HV3="","","Requisito: "&amp;IFERROR(VLOOKUP($HV3,$CC$2:$CL$33,2,FALSE),""))</f>
        <v/>
      </c>
      <c r="HX3" s="145">
        <f>IF($HV3="","",IFERROR(IF(ISNUMBER(VLOOKUP($HV3,$CC$2:$CL$33,3,FALSE)),"CE "&amp;VLOOKUP($HV3,$CC$2:$CL$33,3,FALSE),VLOOKUP($HV3,$CC$2:$CL$33,3,FALSE)),""))</f>
        <v/>
      </c>
      <c r="HY3" s="145">
        <f>IF($HV3="","",IFERROR(VLOOKUP($HV3,$CC$2:$CL$33,4,FALSE),""))</f>
        <v/>
      </c>
      <c r="HZ3" s="145">
        <f>IF($HV3="","",IFERROR(VLOOKUP($HV3,$CC$2:$CL$33,5,FALSE),""))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U3" s="145">
        <f>ADDRESS(ROW(FICHA!G98),COLUMN(FICHA!G98),4)</f>
        <v/>
      </c>
      <c r="IV3" s="145">
        <f>ADDRESS(ROW(FICHA!D99),COLUMN(FICHA!D99),4)</f>
        <v/>
      </c>
      <c r="IX3" s="143" t="inlineStr">
        <is>
          <t>Trilha · Escolhas da Trilha</t>
        </is>
      </c>
      <c r="IY3" s="145">
        <f>ADDRESS(ROW(FICHA!D154),COLUMN(FICHA!D154),4)</f>
        <v/>
      </c>
      <c r="JA3" s="143" t="inlineStr">
        <is>
          <t>Trilha</t>
        </is>
      </c>
      <c r="JB3" s="145">
        <f>"TRILHA"&amp;IF(OR(FICHA!$N$11="",LEFT(FICHA!$N$11,7)="Escolha"),"","  ·  "&amp;UPPER(FICHA!$N$11))&amp;"  ·  QUATRO ENTREGAS"</f>
        <v/>
      </c>
      <c r="JD3" s="145" t="n">
        <v>2</v>
      </c>
      <c r="JE3" s="145">
        <f>IFERROR(MATCH(2,$HF$2:$HF$37,0),0)</f>
        <v/>
      </c>
      <c r="JF3" s="145">
        <f>IF($JE3=0,"",INDEX($DY$2:$DY$37,$JE3))</f>
        <v/>
      </c>
      <c r="JG3" s="145">
        <f>IF($JE3=0,"",INDEX($DZ$2:$DZ$37,$JE3))</f>
        <v/>
      </c>
      <c r="JH3" s="145">
        <f>IF($JE3=0,"",INDEX($GN$2:$GN$37,$JE3))</f>
        <v/>
      </c>
      <c r="JI3" s="145">
        <f>IF($JE3=0,"",INDEX($EA$2:$EA$37,$JE3))</f>
        <v/>
      </c>
      <c r="JJ3" s="145">
        <f>IF($JE3=0,"",INDEX($GP$2:$GP$37,$JE3))</f>
        <v/>
      </c>
      <c r="JK3" s="145">
        <f>IF($JE3=0,"",INDEX($HE$2:$HE$37,$JE3))</f>
        <v/>
      </c>
      <c r="JM3" s="145" t="n">
        <v>2</v>
      </c>
      <c r="JN3" s="145">
        <f>IF($EH$39=0,"",$DY$39)</f>
        <v/>
      </c>
      <c r="JO3" s="145">
        <f>IF($EH$39=0,"",$DZ$39)</f>
        <v/>
      </c>
      <c r="JP3" s="145">
        <f>IF($EH$39=0,"",$GN$39)</f>
        <v/>
      </c>
      <c r="JQ3" s="145">
        <f>IF($EH$39=0,"",$EA$39)</f>
        <v/>
      </c>
      <c r="JR3" s="145">
        <f>IF($EH$39=0,"",$GP$39)</f>
        <v/>
      </c>
      <c r="JS3" s="145">
        <f>IF($EH$39=0,"",$HE$39)</f>
        <v/>
      </c>
      <c r="JU3" s="143" t="inlineStr">
        <is>
          <t>Domínio</t>
        </is>
      </c>
      <c r="JV3" s="145">
        <f>IF(DADOS_AM!$A$2&lt;&gt;1,"Esta rota não tem Expansão de Domínio",'FICHA AMALDIÇOADA'!$P$361&amp;"")</f>
        <v/>
      </c>
      <c r="JW3" s="145">
        <f>IF(OR(DADOS_AM!$A$2&lt;&gt;1,$HI$34=""),"",IF($HI$34="Sem Barreiras",7,6)*$HI$4&amp;" PE")</f>
        <v/>
      </c>
      <c r="JX3" s="145">
        <f>IF(DADOS_AM!$A$2&lt;&gt;1,"",$HI$34)</f>
        <v/>
      </c>
      <c r="JY3" s="145">
        <f>IF(OR(DADOS_AM!$A$2&lt;&gt;1,$HI$34=""),"",IF($HI$34="Incompleta","Rola","Acontece"))</f>
        <v/>
      </c>
      <c r="JZ3" s="145">
        <f>IF(DADOS_AM!$A$2&lt;&gt;1,"",'FICHA AMALDIÇOADA'!$D$371&amp;"")</f>
        <v/>
      </c>
      <c r="KB3" s="143" t="inlineStr">
        <is>
          <t>Regra Própria</t>
        </is>
      </c>
      <c r="KC3" s="145" t="n">
        <v>0</v>
      </c>
      <c r="KD3" s="145">
        <f>IF(N('FICHA AMALDIÇOADA'!$P$33)=0,"—","CE "&amp;'FICHA AMALDIÇOADA'!$P$33)</f>
        <v/>
      </c>
      <c r="KE3" s="143" t="inlineStr">
        <is>
          <t>Regra Própria</t>
        </is>
      </c>
      <c r="KF3" s="145">
        <f>IF('FICHA AMALDIÇOADA'!$D$33="","Esta técnica não tem Regra Própria",'FICHA AMALDIÇOADA'!$D$33&amp;"")</f>
        <v/>
      </c>
      <c r="KH3" s="143" t="inlineStr">
        <is>
          <t>De graça 2</t>
        </is>
      </c>
      <c r="KI3" s="145" t="n">
        <v>0</v>
      </c>
      <c r="KJ3" s="143" t="inlineStr">
        <is>
          <t>—</t>
        </is>
      </c>
      <c r="KK3" s="145">
        <f>INDEX($D$10:$G$10,1,$A$2)</f>
        <v/>
      </c>
      <c r="KL3" s="145">
        <f>"Do livro: "&amp;IFERROR(VLOOKUP($KK3,$CC$2:$CL$33,10,FALSE),"")</f>
        <v/>
      </c>
      <c r="KN3" s="143" t="inlineStr">
        <is>
          <t>feitiços</t>
        </is>
      </c>
      <c r="KO3" s="145">
        <f>UPPER(INDEX($D$3:$G$3,1,$A$2))&amp;"  ·  "&amp;$HI$15&amp;" de 36"</f>
        <v/>
      </c>
      <c r="KQ3" s="143" t="inlineStr">
        <is>
          <t>P12</t>
        </is>
      </c>
      <c r="KR3" s="145">
        <f>IF(DADOS_AM!$HI$41=1,IF(DADOS_AM!$HI$48=0,"—",IF(DADOS_AM!$HI$48=1,"d20 + "&amp;(DADOS_AM!$HI$3+IF(DADOS_AM!$HI$42&lt;&gt;"",DADOS_AM!$HI$45,IF(DADOS_AM!$HI$43&lt;&gt;"",DADOS_AM!$HI$46,DADOS_AM!$HI$47))+IFERROR(VALUE(FICHA!$W$47&amp;""),0)),"Por grupo")),FICHA!$O$47)</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Visão a olho nu, um alvo</t>
        </is>
      </c>
      <c r="AS4" s="143" t="inlineStr">
        <is>
          <t>Visão a olho nu, um alvo</t>
        </is>
      </c>
      <c r="AT4" s="143" t="inlineStr">
        <is>
          <t>Visão a olho nu, um alvo</t>
        </is>
      </c>
      <c r="AU4" s="143" t="inlineStr">
        <is>
          <t>Visão a olho nu,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fica Derrubado contra a sua vontade. Pode aceitar um deslocamento ou se deitar por escolha própria. O Talento não impede o dano de um efeito que também empurre ou derrube.</t>
        </is>
      </c>
      <c r="BU4" s="145" t="n">
        <v>1</v>
      </c>
      <c r="BV4" s="145" t="n">
        <v>0</v>
      </c>
      <c r="BW4" s="145">
        <f>IF(OR(AND($A$2&lt;=2,$BU4=1),AND($A$2&gt;=2,$BV4=1)),$BR4,"")</f>
        <v/>
      </c>
      <c r="BX4" s="143" t="inlineStr">
        <is>
          <t>Você não é movido à força nem fica Derrubado contra a sua vontade. Pode aceitar um deslocamento ou se deitar por escolha própria. O Talento não impede o dano de um efeito que também empurre ou derrube.</t>
        </is>
      </c>
      <c r="BZ4" s="145" t="n">
        <v>3</v>
      </c>
      <c r="CA4" s="145" t="n">
        <v>13</v>
      </c>
      <c r="CC4" s="143" t="inlineStr">
        <is>
          <t>Projetar Energia</t>
        </is>
      </c>
      <c r="CD4" s="143" t="inlineStr">
        <is>
          <t>Uma escolha de aptidão</t>
        </is>
      </c>
      <c r="CE4" s="143" t="inlineStr">
        <is>
          <t>—</t>
        </is>
      </c>
      <c r="CF4" s="143" t="inlineStr">
        <is>
          <t>—</t>
        </is>
      </c>
      <c r="CG4" s="14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5">
        <f>IF($CK4=1,"",IF($A$2=4,IF($CI4=1,$CC4,""),IF(OR($CI4=1,AND($A$2=3,$CJ4=1)),"",$CC4)))</f>
        <v/>
      </c>
      <c r="CI4" s="145" t="n">
        <v>0</v>
      </c>
      <c r="CJ4" s="145" t="n">
        <v>0</v>
      </c>
      <c r="CK4" s="145" t="n">
        <v>0</v>
      </c>
      <c r="CL4" s="143" t="inlineStr">
        <is>
          <t>Você dispara energia amaldiçoada pura contra um alvo.</t>
        </is>
      </c>
      <c r="CN4" s="143" t="inlineStr">
        <is>
          <t>Pétala</t>
        </is>
      </c>
      <c r="CP4" s="143" t="inlineStr">
        <is>
          <t>Ferramenta de carregar</t>
        </is>
      </c>
      <c r="CR4" s="145">
        <f>IF($A$2=2,IFERROR(INDEX($CN$2:$CN$5,3),""),IF($A$2&gt;=3,IFERROR(INDEX($CP$2:$CP$4,3),""),""))</f>
        <v/>
      </c>
      <c r="CT4" s="143" t="inlineStr">
        <is>
          <t>Lâmina Curta</t>
        </is>
      </c>
      <c r="CU4" s="145" t="n">
        <v>1</v>
      </c>
      <c r="CV4" s="145" t="n">
        <v>1</v>
      </c>
      <c r="CW4" s="145">
        <f>IF(AND($A$2&gt;=3,'FICHA AMALDIÇOADA'!$J$16&amp;""="Três grupos de arma"),$CT4,"")</f>
        <v/>
      </c>
      <c r="CY4" s="145" t="n">
        <v>11</v>
      </c>
      <c r="CZ4" s="145" t="n">
        <v>4</v>
      </c>
      <c r="DA4" s="145" t="n">
        <v>4</v>
      </c>
      <c r="DC4" s="145" t="n">
        <v>30</v>
      </c>
      <c r="DE4" s="145" t="n">
        <v>5</v>
      </c>
      <c r="DG4" s="145" t="n">
        <v>26</v>
      </c>
      <c r="DH4" s="145" t="n">
        <v>32</v>
      </c>
      <c r="DI4" s="145" t="n">
        <v>16</v>
      </c>
      <c r="DK4" s="143" t="inlineStr">
        <is>
          <t>Sem Barreiras</t>
        </is>
      </c>
      <c r="DL4" s="145" t="n">
        <v>5</v>
      </c>
      <c r="DM4" s="145" t="n">
        <v>0</v>
      </c>
      <c r="DN4" s="145" t="n">
        <v>10</v>
      </c>
      <c r="DO4" s="143" t="inlineStr">
        <is>
          <t>Completa, refino 10 e especialização em Ocultismo</t>
        </is>
      </c>
      <c r="DQ4" s="143" t="inlineStr">
        <is>
          <t>Promessa</t>
        </is>
      </c>
      <c r="DR4" s="143" t="inlineStr">
        <is>
          <t>Quando duas partes capazes de decidir aceitam os termos</t>
        </is>
      </c>
      <c r="DT4" s="143" t="inlineStr">
        <is>
          <t>PE máximo igual à maior Classe</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(IF(COUNTIF($EB4:$EE4,"Salto")&gt;0,1,0)+IF(COUNTIF($EB4:$EE4,"Queima")&gt;0,1,0)+IF(COUNTIF($EB4:$EE4,"Estilhaço")&gt;0,1,0))*FLOOR($FR4/2,1)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Talento 3</t>
        </is>
      </c>
      <c r="HL4" s="145">
        <f>'FICHA AMALDIÇOADA'!$P$379&amp;""</f>
        <v/>
      </c>
      <c r="HM4" s="145">
        <f>IFERROR(VLOOKUP($HL4,$BR$2:$BX$24,2,FALSE),0)</f>
        <v/>
      </c>
      <c r="HN4" s="145">
        <f>IFERROR(VLOOKUP($HM4,$BZ$2:$CA$4,2,FALSE),0)</f>
        <v/>
      </c>
      <c r="HO4" s="145">
        <f>IFERROR(VLOOKUP($HL4,$BR$2:$BX$24,3,FALSE),"")</f>
        <v/>
      </c>
      <c r="HP4" s="145">
        <f>IF($HM4=0,"",IF($HN4&gt;$HI$2,"⚠ Nível "&amp;$HN4,"CE "&amp;$HM4))</f>
        <v/>
      </c>
      <c r="HQ4" s="145">
        <f>IF($HM4=0,"",$HM4&amp;" esp.")</f>
        <v/>
      </c>
      <c r="HR4" s="145">
        <f>'FICHA AMALDIÇOADA'!$Q$384&amp;""</f>
        <v/>
      </c>
      <c r="HS4" s="145">
        <f>IF($HL4="","",COUNTIF($HL$2:$HL4,"?*"))</f>
        <v/>
      </c>
      <c r="HU4" s="143" t="inlineStr">
        <is>
          <t>Aptidão 3</t>
        </is>
      </c>
      <c r="HV4" s="145">
        <f>'FICHA AMALDIÇOADA'!$P$430&amp;""</f>
        <v/>
      </c>
      <c r="HW4" s="145">
        <f>IF($HV4="","","Requisito: "&amp;IFERROR(VLOOKUP($HV4,$CC$2:$CL$33,2,FALSE),""))</f>
        <v/>
      </c>
      <c r="HX4" s="145">
        <f>IF($HV4="","",IFERROR(IF(ISNUMBER(VLOOKUP($HV4,$CC$2:$CL$33,3,FALSE)),"CE "&amp;VLOOKUP($HV4,$CC$2:$CL$33,3,FALSE),VLOOKUP($HV4,$CC$2:$CL$33,3,FALSE)),""))</f>
        <v/>
      </c>
      <c r="HY4" s="145">
        <f>IF($HV4="","",IFERROR(VLOOKUP($HV4,$CC$2:$CL$33,4,FALSE),""))</f>
        <v/>
      </c>
      <c r="HZ4" s="145">
        <f>IF($HV4="","",IFERROR(VLOOKUP($HV4,$CC$2:$CL$33,5,FALSE),""))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U4" s="145">
        <f>ADDRESS(ROW(FICHA!G104),COLUMN(FICHA!G104),4)</f>
        <v/>
      </c>
      <c r="IV4" s="145">
        <f>ADDRESS(ROW(FICHA!D105),COLUMN(FICHA!D105),4)</f>
        <v/>
      </c>
      <c r="IX4" s="143" t="inlineStr">
        <is>
          <t>Trilha · Anotações</t>
        </is>
      </c>
      <c r="IY4" s="145">
        <f>ADDRESS(ROW(FICHA!D160),COLUMN(FICHA!D160),4)</f>
        <v/>
      </c>
      <c r="JD4" s="145" t="n">
        <v>3</v>
      </c>
      <c r="JE4" s="145">
        <f>IFERROR(MATCH(3,$HF$2:$HF$37,0),0)</f>
        <v/>
      </c>
      <c r="JF4" s="145">
        <f>IF($JE4=0,"",INDEX($DY$2:$DY$37,$JE4))</f>
        <v/>
      </c>
      <c r="JG4" s="145">
        <f>IF($JE4=0,"",INDEX($DZ$2:$DZ$37,$JE4))</f>
        <v/>
      </c>
      <c r="JH4" s="145">
        <f>IF($JE4=0,"",INDEX($GN$2:$GN$37,$JE4))</f>
        <v/>
      </c>
      <c r="JI4" s="145">
        <f>IF($JE4=0,"",INDEX($EA$2:$EA$37,$JE4))</f>
        <v/>
      </c>
      <c r="JJ4" s="145">
        <f>IF($JE4=0,"",INDEX($GP$2:$GP$37,$JE4))</f>
        <v/>
      </c>
      <c r="JK4" s="145">
        <f>IF($JE4=0,"",INDEX($HE$2:$HE$37,$JE4))</f>
        <v/>
      </c>
      <c r="JM4" s="145" t="n">
        <v>3</v>
      </c>
      <c r="JN4" s="145">
        <f>IF($EH$40=0,"",$DY$40)</f>
        <v/>
      </c>
      <c r="JO4" s="145">
        <f>IF($EH$40=0,"",$DZ$40)</f>
        <v/>
      </c>
      <c r="JP4" s="145">
        <f>IF($EH$40=0,"",$GN$40)</f>
        <v/>
      </c>
      <c r="JQ4" s="145">
        <f>IF($EH$40=0,"",$EA$40)</f>
        <v/>
      </c>
      <c r="JR4" s="145">
        <f>IF($EH$40=0,"",$GP$40)</f>
        <v/>
      </c>
      <c r="JS4" s="145">
        <f>IF($EH$40=0,"",$HE$40)</f>
        <v/>
      </c>
      <c r="KB4" s="143" t="inlineStr">
        <is>
          <t>Talento 1</t>
        </is>
      </c>
      <c r="KC4" s="145">
        <f>IFERROR(MATCH(1,$HS$2:$HS$13,0),0)</f>
        <v/>
      </c>
      <c r="KD4" s="145">
        <f>IF($KC4=0,"",IF(INDEX($HM$2:$HM$13,$KC4)=0,"","CE "&amp;INDEX($HM$2:$HM$13,$KC4)))</f>
        <v/>
      </c>
      <c r="KE4" s="145">
        <f>IF($KC4=0,"",INDEX($HL$2:$HL$13,$KC4))</f>
        <v/>
      </c>
      <c r="KF4" s="145">
        <f>IF($KC4=0,"",IF(INDEX($HR$2:$HR$13,$KC4)&lt;&gt;"",INDEX($HR$2:$HR$13,$KC4),IF(IFERROR(VLOOKUP(INDEX($HL$2:$HL$13,$KC4),$BR$2:$BX$24,7,FALSE),"")&lt;&gt;"","Do livro: "&amp;IFERROR(VLOOKUP(INDEX($HL$2:$HL$13,$KC4),$BR$2:$BX$24,7,FALSE),""),"")))</f>
        <v/>
      </c>
      <c r="KH4" s="143" t="inlineStr">
        <is>
          <t>Aptidão 1</t>
        </is>
      </c>
      <c r="KI4" s="145">
        <f>IFERROR(MATCH(1,$IB$2:$IB$13,0),0)</f>
        <v/>
      </c>
      <c r="KJ4" s="145">
        <f>IF($KI4=0,"",INDEX($HX$2:$HX$13,$KI4))</f>
        <v/>
      </c>
      <c r="KK4" s="145">
        <f>IF($KI4=0,"",INDEX($HV$2:$HV$13,$KI4))</f>
        <v/>
      </c>
      <c r="KL4" s="145">
        <f>IF($KI4=0,"",IF(INDEX($IA$2:$IA$13,$KI4)&lt;&gt;"",INDEX($IA$2:$IA$13,$KI4),IF(IFERROR(VLOOKUP(INDEX($HV$2:$HV$13,$KI4),$CC$2:$CL$33,10,FALSE),"")&lt;&gt;"","Do livro: "&amp;IFERROR(VLOOKUP(INDEX($HV$2:$HV$13,$KI4),$CC$2:$CL$33,10,FALSE),""),"")))</f>
        <v/>
      </c>
      <c r="KN4" s="143" t="inlineStr">
        <is>
          <t>máximas</t>
        </is>
      </c>
      <c r="KO4" s="145">
        <f>UPPER(INDEX($D$4:$G$4,1,$A$2))&amp;", "&amp;UPPER(INDEX($D$5:$G$5,1,$A$2))&amp;IF(DADOS_AM!$A$2=1," E DOMÍNIO","")</f>
        <v/>
      </c>
      <c r="KQ4" s="143" t="inlineStr">
        <is>
          <t>R12</t>
        </is>
      </c>
      <c r="KR4" s="145">
        <f>IF(DADOS_AM!$HI$41=1,IF(DADOS_AM!$HI$48=0,"—",IF(DADOS_AM!$HI$48=1,(8+DADOS_AM!$HI$3+IF(DADOS_AM!$HI$42&lt;&gt;"",DADOS_AM!$HI$45,IF(DADOS_AM!$HI$43&lt;&gt;"",DADOS_AM!$HI$46,DADOS_AM!$HI$47))+IFERROR(VALUE(FICHA!$L$47&amp;""),0)),"Por grupo")),FICHA!$D$47)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Perseguir</t>
        </is>
      </c>
      <c r="BD5" s="143" t="inlineStr">
        <is>
          <t>Alcance</t>
        </is>
      </c>
      <c r="BE5" s="145" t="n">
        <v>2</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Quando uma ocorrência de dano causar 10 pontos ou menos, você não precisa fazer o teste para manter Concentração ou Carregar. Confira o dano de cada ocorrência depois das reduções aplicáveis. Não some todos os golpes da rodada.</t>
        </is>
      </c>
      <c r="BU5" s="145" t="n">
        <v>1</v>
      </c>
      <c r="BV5" s="145" t="n">
        <v>0</v>
      </c>
      <c r="BW5" s="145">
        <f>IF(OR(AND($A$2&lt;=2,$BU5=1),AND($A$2&gt;=2,$BV5=1)),$BR5,"")</f>
        <v/>
      </c>
      <c r="BX5" s="143" t="inlineStr">
        <is>
          <t>Quando uma ocorrência de dano causar 10 pontos ou menos, você não precisa fazer o teste para manter Concentração ou Carregar. Confira o dano de cada ocorrência depois das reduções aplicáveis. Não some todos os golpes da rodada.</t>
        </is>
      </c>
      <c r="CC5" s="143" t="inlineStr">
        <is>
          <t>Energia Reversa</t>
        </is>
      </c>
      <c r="CD5" s="143" t="inlineStr">
        <is>
          <t>Refino 7 e nível 14</t>
        </is>
      </c>
      <c r="CE5" s="145" t="n">
        <v>3</v>
      </c>
      <c r="CF5" s="143" t="inlineStr">
        <is>
          <t>—</t>
        </is>
      </c>
      <c r="CG5" s="14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5">
        <f>IF($CK5=1,"",IF($A$2=4,IF($CI5=1,$CC5,""),IF(OR($CI5=1,AND($A$2=3,$CJ5=1)),"",$CC5)))</f>
        <v/>
      </c>
      <c r="CI5" s="145" t="n">
        <v>0</v>
      </c>
      <c r="CJ5" s="145" t="n">
        <v>0</v>
      </c>
      <c r="CK5" s="145" t="n">
        <v>0</v>
      </c>
      <c r="CL5" s="143" t="inlineStr">
        <is>
          <t>Você usa energia reversa para restaurar seu próprio corpo.</t>
        </is>
      </c>
      <c r="CN5" s="143" t="inlineStr">
        <is>
          <t>Aptidão Própria</t>
        </is>
      </c>
      <c r="CR5" s="145">
        <f>IF($A$2=2,IFERROR(INDEX($CN$2:$CN$5,4),""),IF($A$2&gt;=3,IFERROR(INDEX($CP$2:$CP$4,4),""),""))</f>
        <v/>
      </c>
      <c r="CT5" s="143" t="inlineStr">
        <is>
          <t>Arremesso</t>
        </is>
      </c>
      <c r="CU5" s="145" t="n">
        <v>1</v>
      </c>
      <c r="CV5" s="145" t="n">
        <v>1</v>
      </c>
      <c r="CW5" s="145">
        <f>IF(AND($A$2&gt;=3,'FICHA AMALDIÇOADA'!$J$16&amp;""="Três grupos de arma"),$CT5,"")</f>
        <v/>
      </c>
      <c r="CY5" s="145" t="n">
        <v>17</v>
      </c>
      <c r="CZ5" s="145" t="n">
        <v>5</v>
      </c>
      <c r="DA5" s="145" t="n">
        <v>5</v>
      </c>
      <c r="DE5" s="145" t="n">
        <v>6</v>
      </c>
      <c r="DQ5" s="143" t="inlineStr">
        <is>
          <t>Pacto de restrição</t>
        </is>
      </c>
      <c r="DR5" s="143" t="inlineStr">
        <is>
          <t>Na criação, com a Origem ou técnica</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(IF(COUNTIF($EB5:$EE5,"Salto")&gt;0,1,0)+IF(COUNTIF($EB5:$EE5,"Queima")&gt;0,1,0)+IF(COUNTIF($EB5:$EE5,"Estilhaço")&gt;0,1,0))*FLOOR($FR5/2,1)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Talento 4</t>
        </is>
      </c>
      <c r="HL5" s="145">
        <f>'FICHA AMALDIÇOADA'!$D$387&amp;""</f>
        <v/>
      </c>
      <c r="HM5" s="145">
        <f>IFERROR(VLOOKUP($HL5,$BR$2:$BX$24,2,FALSE),0)</f>
        <v/>
      </c>
      <c r="HN5" s="145">
        <f>IFERROR(VLOOKUP($HM5,$BZ$2:$CA$4,2,FALSE),0)</f>
        <v/>
      </c>
      <c r="HO5" s="145">
        <f>IFERROR(VLOOKUP($HL5,$BR$2:$BX$24,3,FALSE),"")</f>
        <v/>
      </c>
      <c r="HP5" s="145">
        <f>IF($HM5=0,"",IF($HN5&gt;$HI$2,"⚠ Nível "&amp;$HN5,"CE "&amp;$HM5))</f>
        <v/>
      </c>
      <c r="HQ5" s="145">
        <f>IF($HM5=0,"",$HM5&amp;" esp.")</f>
        <v/>
      </c>
      <c r="HR5" s="145">
        <f>'FICHA AMALDIÇOADA'!$E$392&amp;""</f>
        <v/>
      </c>
      <c r="HS5" s="145">
        <f>IF($HL5="","",COUNTIF($HL$2:$HL5,"?*"))</f>
        <v/>
      </c>
      <c r="HU5" s="143" t="inlineStr">
        <is>
          <t>Aptidão 4</t>
        </is>
      </c>
      <c r="HV5" s="145">
        <f>'FICHA AMALDIÇOADA'!$D$450&amp;""</f>
        <v/>
      </c>
      <c r="HW5" s="145">
        <f>IF($HV5="","","Requisito: "&amp;IFERROR(VLOOKUP($HV5,$CC$2:$CL$33,2,FALSE),""))</f>
        <v/>
      </c>
      <c r="HX5" s="145">
        <f>IF($HV5="","",IFERROR(IF(ISNUMBER(VLOOKUP($HV5,$CC$2:$CL$33,3,FALSE)),"CE "&amp;VLOOKUP($HV5,$CC$2:$CL$33,3,FALSE),VLOOKUP($HV5,$CC$2:$CL$33,3,FALSE)),""))</f>
        <v/>
      </c>
      <c r="HY5" s="145">
        <f>IF($HV5="","",IFERROR(VLOOKUP($HV5,$CC$2:$CL$33,4,FALSE),""))</f>
        <v/>
      </c>
      <c r="HZ5" s="145">
        <f>IF($HV5="","",IFERROR(VLOOKUP($HV5,$CC$2:$CL$33,5,FALSE),""))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U5" s="145">
        <f>ADDRESS(ROW(FICHA!G110),COLUMN(FICHA!G110),4)</f>
        <v/>
      </c>
      <c r="IV5" s="145">
        <f>ADDRESS(ROW(FICHA!D111),COLUMN(FICHA!D111),4)</f>
        <v/>
      </c>
      <c r="JD5" s="145" t="n">
        <v>4</v>
      </c>
      <c r="JE5" s="145">
        <f>IFERROR(MATCH(4,$HF$2:$HF$37,0),0)</f>
        <v/>
      </c>
      <c r="JF5" s="145">
        <f>IF($JE5=0,"",INDEX($DY$2:$DY$37,$JE5))</f>
        <v/>
      </c>
      <c r="JG5" s="145">
        <f>IF($JE5=0,"",INDEX($DZ$2:$DZ$37,$JE5))</f>
        <v/>
      </c>
      <c r="JH5" s="145">
        <f>IF($JE5=0,"",INDEX($GN$2:$GN$37,$JE5))</f>
        <v/>
      </c>
      <c r="JI5" s="145">
        <f>IF($JE5=0,"",INDEX($EA$2:$EA$37,$JE5))</f>
        <v/>
      </c>
      <c r="JJ5" s="145">
        <f>IF($JE5=0,"",INDEX($GP$2:$GP$37,$JE5))</f>
        <v/>
      </c>
      <c r="JK5" s="145">
        <f>IF($JE5=0,"",INDEX($HE$2:$HE$37,$JE5))</f>
        <v/>
      </c>
      <c r="KB5" s="143" t="inlineStr">
        <is>
          <t>Talento 2</t>
        </is>
      </c>
      <c r="KC5" s="145">
        <f>IFERROR(MATCH(2,$HS$2:$HS$13,0),0)</f>
        <v/>
      </c>
      <c r="KD5" s="145">
        <f>IF($KC5=0,"",IF(INDEX($HM$2:$HM$13,$KC5)=0,"","CE "&amp;INDEX($HM$2:$HM$13,$KC5)))</f>
        <v/>
      </c>
      <c r="KE5" s="145">
        <f>IF($KC5=0,"",INDEX($HL$2:$HL$13,$KC5))</f>
        <v/>
      </c>
      <c r="KF5" s="145">
        <f>IF($KC5=0,"",IF(INDEX($HR$2:$HR$13,$KC5)&lt;&gt;"",INDEX($HR$2:$HR$13,$KC5),IF(IFERROR(VLOOKUP(INDEX($HL$2:$HL$13,$KC5),$BR$2:$BX$24,7,FALSE),"")&lt;&gt;"","Do livro: "&amp;IFERROR(VLOOKUP(INDEX($HL$2:$HL$13,$KC5),$BR$2:$BX$24,7,FALSE),""),"")))</f>
        <v/>
      </c>
      <c r="KH5" s="143" t="inlineStr">
        <is>
          <t>Aptidão 2</t>
        </is>
      </c>
      <c r="KI5" s="145">
        <f>IFERROR(MATCH(2,$IB$2:$IB$13,0),0)</f>
        <v/>
      </c>
      <c r="KJ5" s="145">
        <f>IF($KI5=0,"",INDEX($HX$2:$HX$13,$KI5))</f>
        <v/>
      </c>
      <c r="KK5" s="145">
        <f>IF($KI5=0,"",INDEX($HV$2:$HV$13,$KI5))</f>
        <v/>
      </c>
      <c r="KL5" s="145">
        <f>IF($KI5=0,"",IF(INDEX($IA$2:$IA$13,$KI5)&lt;&gt;"",INDEX($IA$2:$IA$13,$KI5),IF(IFERROR(VLOOKUP(INDEX($HV$2:$HV$13,$KI5),$CC$2:$CL$33,10,FALSE),"")&lt;&gt;"","Do livro: "&amp;IFERROR(VLOOKUP(INDEX($HV$2:$HV$13,$KI5),$CC$2:$CL$33,10,FALSE),""),"")))</f>
        <v/>
      </c>
      <c r="KN5" s="143" t="inlineStr">
        <is>
          <t>passivas</t>
        </is>
      </c>
      <c r="KO5" s="145">
        <f>"TALENTOS  ·  "&amp;(COUNTIF($KE$2:$KE$15,"?*")-2)&amp;" de 12, mais a Expressão e a Regra Própria"</f>
        <v/>
      </c>
      <c r="KQ5" s="143" t="inlineStr">
        <is>
          <t>J15</t>
        </is>
      </c>
      <c r="KR5" s="145">
        <f>UPPER(INDEX(DADOS_AM!$D$13:$G$13,1,DADOS_AM!$A$2))</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Passo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Carregar</t>
        </is>
      </c>
      <c r="BM6" s="143" t="inlineStr">
        <is>
          <t>Carregar</t>
        </is>
      </c>
      <c r="BN6" s="145" t="n">
        <v>2</v>
      </c>
      <c r="BO6" s="145" t="n">
        <v>0</v>
      </c>
      <c r="BP6" s="143" t="inlineStr"/>
      <c r="BR6" s="143" t="inlineStr">
        <is>
          <t>Farejador</t>
        </is>
      </c>
      <c r="BS6" s="145" t="n">
        <v>1</v>
      </c>
      <c r="BT6" s="143" t="inlineStr">
        <is>
          <t>Você sente se houve uma conjuração no local onde está nas últimas 24 horas, e identifica a Classe deixada por ela. Se houver vestígios de mais de uma Classe, reconhece essas Classes.</t>
        </is>
      </c>
      <c r="BU6" s="145" t="n">
        <v>1</v>
      </c>
      <c r="BV6" s="145" t="n">
        <v>0</v>
      </c>
      <c r="BW6" s="145">
        <f>IF(OR(AND($A$2&lt;=2,$BU6=1),AND($A$2&gt;=2,$BV6=1)),$BR6,"")</f>
        <v/>
      </c>
      <c r="BX6" s="143" t="inlineStr">
        <is>
          <t>Você sente se houve uma conjuração no local onde está nas últimas 24 horas, e identifica a Classe deixada por ela. Se houver vestígios de mais de uma Classe, reconhece essas Classes.</t>
        </is>
      </c>
      <c r="CC6" s="143" t="inlineStr">
        <is>
          <t>Circulação</t>
        </is>
      </c>
      <c r="CD6" s="143" t="inlineStr">
        <is>
          <t>Energia Reversa e Refino 8</t>
        </is>
      </c>
      <c r="CE6" s="145" t="n">
        <v>3</v>
      </c>
      <c r="CF6" s="143" t="inlineStr">
        <is>
          <t>—</t>
        </is>
      </c>
      <c r="CG6" s="14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5">
        <f>IF($CK6=1,"",IF($A$2=4,IF($CI6=1,$CC6,""),IF(OR($CI6=1,AND($A$2=3,$CJ6=1)),"",$CC6)))</f>
        <v/>
      </c>
      <c r="CI6" s="145" t="n">
        <v>0</v>
      </c>
      <c r="CJ6" s="145" t="n">
        <v>0</v>
      </c>
      <c r="CK6" s="145" t="n">
        <v>0</v>
      </c>
      <c r="CL6" s="143" t="inlineStr">
        <is>
          <t>Você melhora o uso de Energia Reversa e aprende a reconstruir partes perdidas do corpo.</t>
        </is>
      </c>
      <c r="CT6" s="143" t="inlineStr">
        <is>
          <t>Flexível</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(IF(COUNTIF($EB6:$EE6,"Salto")&gt;0,1,0)+IF(COUNTIF($EB6:$EE6,"Queima")&gt;0,1,0)+IF(COUNTIF($EB6:$EE6,"Estilhaço")&gt;0,1,0))*FLOOR($FR6/2,1)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Talento 5</t>
        </is>
      </c>
      <c r="HL6" s="145">
        <f>'FICHA AMALDIÇOADA'!$J$387&amp;""</f>
        <v/>
      </c>
      <c r="HM6" s="145">
        <f>IFERROR(VLOOKUP($HL6,$BR$2:$BX$24,2,FALSE),0)</f>
        <v/>
      </c>
      <c r="HN6" s="145">
        <f>IFERROR(VLOOKUP($HM6,$BZ$2:$CA$4,2,FALSE),0)</f>
        <v/>
      </c>
      <c r="HO6" s="145">
        <f>IFERROR(VLOOKUP($HL6,$BR$2:$BX$24,3,FALSE),"")</f>
        <v/>
      </c>
      <c r="HP6" s="145">
        <f>IF($HM6=0,"",IF($HN6&gt;$HI$2,"⚠ Nível "&amp;$HN6,"CE "&amp;$HM6))</f>
        <v/>
      </c>
      <c r="HQ6" s="145">
        <f>IF($HM6=0,"",$HM6&amp;" esp.")</f>
        <v/>
      </c>
      <c r="HR6" s="145">
        <f>'FICHA AMALDIÇOADA'!$K$392&amp;""</f>
        <v/>
      </c>
      <c r="HS6" s="145">
        <f>IF($HL6="","",COUNTIF($HL$2:$HL6,"?*"))</f>
        <v/>
      </c>
      <c r="HU6" s="143" t="inlineStr">
        <is>
          <t>Aptidão 5</t>
        </is>
      </c>
      <c r="HV6" s="145">
        <f>'FICHA AMALDIÇOADA'!$J$450&amp;""</f>
        <v/>
      </c>
      <c r="HW6" s="145">
        <f>IF($HV6="","","Requisito: "&amp;IFERROR(VLOOKUP($HV6,$CC$2:$CL$33,2,FALSE),""))</f>
        <v/>
      </c>
      <c r="HX6" s="145">
        <f>IF($HV6="","",IFERROR(IF(ISNUMBER(VLOOKUP($HV6,$CC$2:$CL$33,3,FALSE)),"CE "&amp;VLOOKUP($HV6,$CC$2:$CL$33,3,FALSE),VLOOKUP($HV6,$CC$2:$CL$33,3,FALSE)),""))</f>
        <v/>
      </c>
      <c r="HY6" s="145">
        <f>IF($HV6="","",IFERROR(VLOOKUP($HV6,$CC$2:$CL$33,4,FALSE),""))</f>
        <v/>
      </c>
      <c r="HZ6" s="145">
        <f>IF($HV6="","",IFERROR(VLOOKUP($HV6,$CC$2:$CL$33,5,FALSE),""))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U6" s="145">
        <f>ADDRESS(ROW(FICHA!G116),COLUMN(FICHA!G116),4)</f>
        <v/>
      </c>
      <c r="IV6" s="145">
        <f>ADDRESS(ROW(FICHA!D117),COLUMN(FICHA!D117),4)</f>
        <v/>
      </c>
      <c r="JD6" s="145" t="n">
        <v>5</v>
      </c>
      <c r="JE6" s="145">
        <f>IFERROR(MATCH(5,$HF$2:$HF$37,0),0)</f>
        <v/>
      </c>
      <c r="JF6" s="145">
        <f>IF($JE6=0,"",INDEX($DY$2:$DY$37,$JE6))</f>
        <v/>
      </c>
      <c r="JG6" s="145">
        <f>IF($JE6=0,"",INDEX($DZ$2:$DZ$37,$JE6))</f>
        <v/>
      </c>
      <c r="JH6" s="145">
        <f>IF($JE6=0,"",INDEX($GN$2:$GN$37,$JE6))</f>
        <v/>
      </c>
      <c r="JI6" s="145">
        <f>IF($JE6=0,"",INDEX($EA$2:$EA$37,$JE6))</f>
        <v/>
      </c>
      <c r="JJ6" s="145">
        <f>IF($JE6=0,"",INDEX($GP$2:$GP$37,$JE6))</f>
        <v/>
      </c>
      <c r="JK6" s="145">
        <f>IF($JE6=0,"",INDEX($HE$2:$HE$37,$JE6))</f>
        <v/>
      </c>
      <c r="KB6" s="143" t="inlineStr">
        <is>
          <t>Talento 3</t>
        </is>
      </c>
      <c r="KC6" s="145">
        <f>IFERROR(MATCH(3,$HS$2:$HS$13,0),0)</f>
        <v/>
      </c>
      <c r="KD6" s="145">
        <f>IF($KC6=0,"",IF(INDEX($HM$2:$HM$13,$KC6)=0,"","CE "&amp;INDEX($HM$2:$HM$13,$KC6)))</f>
        <v/>
      </c>
      <c r="KE6" s="145">
        <f>IF($KC6=0,"",INDEX($HL$2:$HL$13,$KC6))</f>
        <v/>
      </c>
      <c r="KF6" s="145">
        <f>IF($KC6=0,"",IF(INDEX($HR$2:$HR$13,$KC6)&lt;&gt;"",INDEX($HR$2:$HR$13,$KC6),IF(IFERROR(VLOOKUP(INDEX($HL$2:$HL$13,$KC6),$BR$2:$BX$24,7,FALSE),"")&lt;&gt;"","Do livro: "&amp;IFERROR(VLOOKUP(INDEX($HL$2:$HL$13,$KC6),$BR$2:$BX$24,7,FALSE),""),"")))</f>
        <v/>
      </c>
      <c r="KH6" s="143" t="inlineStr">
        <is>
          <t>Aptidão 3</t>
        </is>
      </c>
      <c r="KI6" s="145">
        <f>IFERROR(MATCH(3,$IB$2:$IB$13,0),0)</f>
        <v/>
      </c>
      <c r="KJ6" s="145">
        <f>IF($KI6=0,"",INDEX($HX$2:$HX$13,$KI6))</f>
        <v/>
      </c>
      <c r="KK6" s="145">
        <f>IF($KI6=0,"",INDEX($HV$2:$HV$13,$KI6))</f>
        <v/>
      </c>
      <c r="KL6" s="145">
        <f>IF($KI6=0,"",IF(INDEX($IA$2:$IA$13,$KI6)&lt;&gt;"",INDEX($IA$2:$IA$13,$KI6),IF(IFERROR(VLOOKUP(INDEX($HV$2:$HV$13,$KI6),$CC$2:$CL$33,10,FALSE),"")&lt;&gt;"","Do livro: "&amp;IFERROR(VLOOKUP(INDEX($HV$2:$HV$13,$KI6),$CC$2:$CL$33,10,FALSE),""),"")))</f>
        <v/>
      </c>
      <c r="KN6" s="143" t="inlineStr">
        <is>
          <t>aptidões</t>
        </is>
      </c>
      <c r="KO6" s="145">
        <f>UPPER(INDEX($D$6:$G$6,1,$A$2))&amp;"  ·  "&amp;COUNTIF($KK$4:$KK$15,"?*")&amp;" de 12, mais as duas de graça"</f>
        <v/>
      </c>
      <c r="KQ6" s="143" t="inlineStr">
        <is>
          <t>P15</t>
        </is>
      </c>
      <c r="KR6" s="145">
        <f>UPPER(INDEX(DADOS_AM!$D$14:$G$14,1,DADOS_AM!$A$2))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Empurrão</t>
        </is>
      </c>
      <c r="BD7" s="143" t="inlineStr">
        <is>
          <t>Alcance</t>
        </is>
      </c>
      <c r="BE7" s="145" t="n">
        <v>1</v>
      </c>
      <c r="BF7" s="145">
        <f>$BE7+3*IFERROR(VLOOKUP($BD7,$I$2:$L$10,3,FALSE),0)</f>
        <v/>
      </c>
      <c r="BG7" s="145">
        <f>IFERROR(VLOOKUP($BD7,$I$2:$L$10,4,FALSE),0)</f>
        <v/>
      </c>
      <c r="BH7" s="145" t="n">
        <v>0</v>
      </c>
      <c r="BI7" s="145">
        <f>IF($BG7=1,"",$BC7)</f>
        <v/>
      </c>
      <c r="BJ7" s="145">
        <f>IF(AND($BE7=1,$BG7=0),$BC7,"")</f>
        <v/>
      </c>
      <c r="BL7" s="143" t="inlineStr">
        <is>
          <t>Sangra</t>
        </is>
      </c>
      <c r="BM7" s="143" t="inlineStr">
        <is>
          <t>Sangra</t>
        </is>
      </c>
      <c r="BN7" s="145" t="n">
        <v>2</v>
      </c>
      <c r="BO7" s="145" t="n">
        <v>0</v>
      </c>
      <c r="BP7" s="143" t="inlineStr"/>
      <c r="BR7" s="143" t="inlineStr">
        <is>
          <t>Leitura de Feitiços</t>
        </is>
      </c>
      <c r="BS7" s="145" t="n">
        <v>1</v>
      </c>
      <c r="BT7" s="143" t="inlineStr">
        <is>
          <t>Ao ter um inimigo à vista, você sabe qual foi o último feitiço que ele usou, mesmo que não tenha presenciado aquela conjuração. Recebe o nome ou uma descrição suficiente para reconhecer a aplicação, não sua ficha completa.</t>
        </is>
      </c>
      <c r="BU7" s="145" t="n">
        <v>1</v>
      </c>
      <c r="BV7" s="145" t="n">
        <v>0</v>
      </c>
      <c r="BW7" s="145">
        <f>IF(OR(AND($A$2&lt;=2,$BU7=1),AND($A$2&gt;=2,$BV7=1)),$BR7,"")</f>
        <v/>
      </c>
      <c r="BX7" s="143" t="inlineStr">
        <is>
          <t>Ao ter um inimigo à vista, você sabe qual foi o último feitiço que ele usou, mesmo que não tenha presenciado aquela conjuração. Recebe o nome ou uma descrição suficiente para reconhecer a aplicação, não sua ficha completa.</t>
        </is>
      </c>
      <c r="CC7" s="143" t="inlineStr">
        <is>
          <t>Regravação</t>
        </is>
      </c>
      <c r="CD7" s="143" t="inlineStr">
        <is>
          <t>Circulação</t>
        </is>
      </c>
      <c r="CE7" s="145" t="n">
        <v>3</v>
      </c>
      <c r="CF7" s="143" t="inlineStr">
        <is>
          <t>—</t>
        </is>
      </c>
      <c r="CG7" s="14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5">
        <f>IF($CK7=1,"",IF($A$2=4,IF($CI7=1,$CC7,""),IF(OR($CI7=1,AND($A$2=3,$CJ7=1)),"",$CC7)))</f>
        <v/>
      </c>
      <c r="CI7" s="145" t="n">
        <v>0</v>
      </c>
      <c r="CJ7" s="145" t="n">
        <v>0</v>
      </c>
      <c r="CK7" s="145" t="n">
        <v>0</v>
      </c>
      <c r="CL7" s="143" t="inlineStr">
        <is>
          <t>Você pode encerrar o Rescaldo de sua técnica antes do fim da cena, mas usos repetidos impedem novas Expansões de Domínio naquele dia.</t>
        </is>
      </c>
      <c r="CT7" s="143" t="inlineStr">
        <is>
          <t>Yumi</t>
        </is>
      </c>
      <c r="CU7" s="145" t="n">
        <v>0</v>
      </c>
      <c r="CV7" s="145" t="n">
        <v>1</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(IF(COUNTIF($EB7:$EE7,"Salto")&gt;0,1,0)+IF(COUNTIF($EB7:$EE7,"Queima")&gt;0,1,0)+IF(COUNTIF($EB7:$EE7,"Estilhaço")&gt;0,1,0))*FLOOR($FR7/2,1)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Talento 6 · Leque</t>
        </is>
      </c>
      <c r="HL7" s="145">
        <f>'FICHA AMALDIÇOADA'!$D$397&amp;""</f>
        <v/>
      </c>
      <c r="HM7" s="145">
        <f>IFERROR(VLOOKUP($HL7,$BR$2:$BX$24,2,FALSE),0)</f>
        <v/>
      </c>
      <c r="HN7" s="145">
        <f>IFERROR(VLOOKUP($HM7,$BZ$2:$CA$4,2,FALSE),0)</f>
        <v/>
      </c>
      <c r="HO7" s="145">
        <f>IFERROR(VLOOKUP($HL7,$BR$2:$BX$24,3,FALSE),"")</f>
        <v/>
      </c>
      <c r="HP7" s="145">
        <f>IF($HM7=0,"",IF($HN7&gt;$HI$2,"⚠ Nível "&amp;$HN7,"CE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"&amp;IFERROR(VLOOKUP($HV7,$CC$2:$CL$33,2,FALSE),""))</f>
        <v/>
      </c>
      <c r="HX7" s="145">
        <f>IF($HV7="","",IFERROR(IF(ISNUMBER(VLOOKUP($HV7,$CC$2:$CL$33,3,FALSE)),"CE "&amp;VLOOKUP($HV7,$CC$2:$CL$33,3,FALSE),VLOOKUP($HV7,$CC$2:$CL$33,3,FALSE)),""))</f>
        <v/>
      </c>
      <c r="HY7" s="145">
        <f>IF($HV7="","",IFERROR(VLOOKUP($HV7,$CC$2:$CL$33,4,FALSE),""))</f>
        <v/>
      </c>
      <c r="HZ7" s="145">
        <f>IF($HV7="","",IFERROR(VLOOKUP($HV7,$CC$2:$CL$33,5,FALSE),""))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U7" s="145">
        <f>ADDRESS(ROW(FICHA!G129),COLUMN(FICHA!G129),4)</f>
        <v/>
      </c>
      <c r="IV7" s="145">
        <f>ADDRESS(ROW(FICHA!D130),COLUMN(FICHA!D130),4)</f>
        <v/>
      </c>
      <c r="JD7" s="145" t="n">
        <v>6</v>
      </c>
      <c r="JE7" s="145">
        <f>IFERROR(MATCH(6,$HF$2:$HF$37,0),0)</f>
        <v/>
      </c>
      <c r="JF7" s="145">
        <f>IF($JE7=0,"",INDEX($DY$2:$DY$37,$JE7))</f>
        <v/>
      </c>
      <c r="JG7" s="145">
        <f>IF($JE7=0,"",INDEX($DZ$2:$DZ$37,$JE7))</f>
        <v/>
      </c>
      <c r="JH7" s="145">
        <f>IF($JE7=0,"",INDEX($GN$2:$GN$37,$JE7))</f>
        <v/>
      </c>
      <c r="JI7" s="145">
        <f>IF($JE7=0,"",INDEX($EA$2:$EA$37,$JE7))</f>
        <v/>
      </c>
      <c r="JJ7" s="145">
        <f>IF($JE7=0,"",INDEX($GP$2:$GP$37,$JE7))</f>
        <v/>
      </c>
      <c r="JK7" s="145">
        <f>IF($JE7=0,"",INDEX($HE$2:$HE$37,$JE7))</f>
        <v/>
      </c>
      <c r="KB7" s="143" t="inlineStr">
        <is>
          <t>Talento 4</t>
        </is>
      </c>
      <c r="KC7" s="145">
        <f>IFERROR(MATCH(4,$HS$2:$HS$13,0),0)</f>
        <v/>
      </c>
      <c r="KD7" s="145">
        <f>IF($KC7=0,"",IF(INDEX($HM$2:$HM$13,$KC7)=0,"","CE "&amp;INDEX($HM$2:$HM$13,$KC7)))</f>
        <v/>
      </c>
      <c r="KE7" s="145">
        <f>IF($KC7=0,"",INDEX($HL$2:$HL$13,$KC7))</f>
        <v/>
      </c>
      <c r="KF7" s="145">
        <f>IF($KC7=0,"",IF(INDEX($HR$2:$HR$13,$KC7)&lt;&gt;"",INDEX($HR$2:$HR$13,$KC7),IF(IFERROR(VLOOKUP(INDEX($HL$2:$HL$13,$KC7),$BR$2:$BX$24,7,FALSE),"")&lt;&gt;"","Do livro: "&amp;IFERROR(VLOOKUP(INDEX($HL$2:$HL$13,$KC7),$BR$2:$BX$24,7,FALSE),""),"")))</f>
        <v/>
      </c>
      <c r="KH7" s="143" t="inlineStr">
        <is>
          <t>Aptidão 4</t>
        </is>
      </c>
      <c r="KI7" s="145">
        <f>IFERROR(MATCH(4,$IB$2:$IB$13,0),0)</f>
        <v/>
      </c>
      <c r="KJ7" s="145">
        <f>IF($KI7=0,"",INDEX($HX$2:$HX$13,$KI7))</f>
        <v/>
      </c>
      <c r="KK7" s="145">
        <f>IF($KI7=0,"",INDEX($HV$2:$HV$13,$KI7))</f>
        <v/>
      </c>
      <c r="KL7" s="145">
        <f>IF($KI7=0,"",IF(INDEX($IA$2:$IA$13,$KI7)&lt;&gt;"",INDEX($IA$2:$IA$13,$KI7),IF(IFERROR(VLOOKUP(INDEX($HV$2:$HV$13,$KI7),$CC$2:$CL$33,10,FALSE),"")&lt;&gt;"","Do livro: "&amp;IFERROR(VLOOKUP(INDEX($HV$2:$HV$13,$KI7),$CC$2:$CL$33,10,FALSE),""),"")))</f>
        <v/>
      </c>
      <c r="KN7" s="143" t="inlineStr">
        <is>
          <t>tag lib</t>
        </is>
      </c>
      <c r="KO7" s="145">
        <f>IF(DADOS_AM!$A$2&gt;=3,"Rup","Lib")</f>
        <v/>
      </c>
      <c r="KQ7" s="143" t="inlineStr">
        <is>
          <t>D16</t>
        </is>
      </c>
      <c r="KR7" s="145">
        <f>INDEX(DADOS_AM!$D$17:$G$17,1,DADOS_AM!$A$2)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visão a olho nu</t>
        </is>
      </c>
      <c r="BA8" s="143" t="inlineStr">
        <is>
          <t>, a visão a olho nu</t>
        </is>
      </c>
      <c r="BC8" s="143" t="inlineStr">
        <is>
          <t>Troca</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(Leve)</t>
        </is>
      </c>
      <c r="BM8" s="143" t="inlineStr">
        <is>
          <t>Recuo</t>
        </is>
      </c>
      <c r="BN8" s="145" t="n">
        <v>1</v>
      </c>
      <c r="BO8" s="145" t="n">
        <v>0</v>
      </c>
      <c r="BP8" s="143" t="inlineStr">
        <is>
          <t>Recuo (Leve)</t>
        </is>
      </c>
      <c r="BR8" s="143" t="inlineStr">
        <is>
          <t>Fluxo</t>
        </is>
      </c>
      <c r="BS8" s="145" t="n">
        <v>2</v>
      </c>
      <c r="BT8" s="143" t="inlineStr">
        <is>
          <t>Ao conjurar um feitiço de Classe 3 ou maior, você recebe 2 × a Classe usada em pontos de vida temporária. Uma conjuração concede a reserva uma vez, mesmo que alcance vários alvos ou produza vários ataques.</t>
        </is>
      </c>
      <c r="BU8" s="145" t="n">
        <v>1</v>
      </c>
      <c r="BV8" s="145" t="n">
        <v>0</v>
      </c>
      <c r="BW8" s="145">
        <f>IF(OR(AND($A$2&lt;=2,$BU8=1),AND($A$2&gt;=2,$BV8=1)),$BR8,"")</f>
        <v/>
      </c>
      <c r="BX8" s="143" t="inlineStr">
        <is>
          <t>Ao conjurar um feitiço de Classe 3 ou maior, você recebe 2 × a Classe usada em pontos de vida temporária. Uma conjuração concede a reserva uma vez, mesmo que alcance vários alvos ou produza vários ataques.</t>
        </is>
      </c>
      <c r="CC8" s="143" t="inlineStr">
        <is>
          <t>Kokusen Melhorado</t>
        </is>
      </c>
      <c r="CD8" s="143" t="inlineStr">
        <is>
          <t>Refino 5 e nível 14</t>
        </is>
      </c>
      <c r="CE8" s="143" t="inlineStr">
        <is>
          <t>—</t>
        </is>
      </c>
      <c r="CF8" s="143" t="inlineStr">
        <is>
          <t>—</t>
        </is>
      </c>
      <c r="CG8" s="143" t="inlineStr">
        <is>
          <t>Em cada teste de Kokusen, role dois d100 e use o menor. Se os dois resultados falharem, acrescente +2 ao bônus acumulado uma vez, não duas.</t>
        </is>
      </c>
      <c r="CH8" s="145">
        <f>IF($CK8=1,"",IF($A$2=4,IF($CI8=1,$CC8,""),IF(OR($CI8=1,AND($A$2=3,$CJ8=1)),"",$CC8)))</f>
        <v/>
      </c>
      <c r="CI8" s="145" t="n">
        <v>0</v>
      </c>
      <c r="CJ8" s="145" t="n">
        <v>0</v>
      </c>
      <c r="CK8" s="145" t="n">
        <v>0</v>
      </c>
      <c r="CL8" s="143" t="inlineStr">
        <is>
          <t>Em cada teste de Kokusen, role dois d100 e use o menor. Se os dois resultados falharem, acrescente +2 ao bônus acumulado uma vez, não duas.</t>
        </is>
      </c>
      <c r="CT8" s="143" t="inlineStr">
        <is>
          <t>Lâmina Longa</t>
        </is>
      </c>
      <c r="CU8" s="145" t="n">
        <v>1</v>
      </c>
      <c r="CV8" s="145" t="n">
        <v>1</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(IF(COUNTIF($EB8:$EE8,"Salto")&gt;0,1,0)+IF(COUNTIF($EB8:$EE8,"Queima")&gt;0,1,0)+IF(COUNTIF($EB8:$EE8,"Estilhaço")&gt;0,1,0))*FLOOR($FR8/2,1)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Talento 7 · Leque</t>
        </is>
      </c>
      <c r="HL8" s="145">
        <f>'FICHA AMALDIÇOADA'!$J$397&amp;""</f>
        <v/>
      </c>
      <c r="HM8" s="145">
        <f>IFERROR(VLOOKUP($HL8,$BR$2:$BX$24,2,FALSE),0)</f>
        <v/>
      </c>
      <c r="HN8" s="145">
        <f>IFERROR(VLOOKUP($HM8,$BZ$2:$CA$4,2,FALSE),0)</f>
        <v/>
      </c>
      <c r="HO8" s="145">
        <f>IFERROR(VLOOKUP($HL8,$BR$2:$BX$24,3,FALSE),"")</f>
        <v/>
      </c>
      <c r="HP8" s="145">
        <f>IF($HM8=0,"",IF($HN8&gt;$HI$2,"⚠ Nível "&amp;$HN8,"CE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"&amp;IFERROR(VLOOKUP($HV8,$CC$2:$CL$33,2,FALSE),""))</f>
        <v/>
      </c>
      <c r="HX8" s="145">
        <f>IF($HV8="","",IFERROR(IF(ISNUMBER(VLOOKUP($HV8,$CC$2:$CL$33,3,FALSE)),"CE "&amp;VLOOKUP($HV8,$CC$2:$CL$33,3,FALSE),VLOOKUP($HV8,$CC$2:$CL$33,3,FALSE)),""))</f>
        <v/>
      </c>
      <c r="HY8" s="145">
        <f>IF($HV8="","",IFERROR(VLOOKUP($HV8,$CC$2:$CL$33,4,FALSE),""))</f>
        <v/>
      </c>
      <c r="HZ8" s="145">
        <f>IF($HV8="","",IFERROR(VLOOKUP($HV8,$CC$2:$CL$33,5,FALSE),""))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U8" s="145">
        <f>ADDRESS(ROW(FICHA!G135),COLUMN(FICHA!G135),4)</f>
        <v/>
      </c>
      <c r="IV8" s="145">
        <f>ADDRESS(ROW(FICHA!D136),COLUMN(FICHA!D136),4)</f>
        <v/>
      </c>
      <c r="JD8" s="145" t="n">
        <v>7</v>
      </c>
      <c r="JE8" s="145">
        <f>IFERROR(MATCH(7,$HF$2:$HF$37,0),0)</f>
        <v/>
      </c>
      <c r="JF8" s="145">
        <f>IF($JE8=0,"",INDEX($DY$2:$DY$37,$JE8))</f>
        <v/>
      </c>
      <c r="JG8" s="145">
        <f>IF($JE8=0,"",INDEX($DZ$2:$DZ$37,$JE8))</f>
        <v/>
      </c>
      <c r="JH8" s="145">
        <f>IF($JE8=0,"",INDEX($GN$2:$GN$37,$JE8))</f>
        <v/>
      </c>
      <c r="JI8" s="145">
        <f>IF($JE8=0,"",INDEX($EA$2:$EA$37,$JE8))</f>
        <v/>
      </c>
      <c r="JJ8" s="145">
        <f>IF($JE8=0,"",INDEX($GP$2:$GP$37,$JE8))</f>
        <v/>
      </c>
      <c r="JK8" s="145">
        <f>IF($JE8=0,"",INDEX($HE$2:$HE$37,$JE8))</f>
        <v/>
      </c>
      <c r="KB8" s="143" t="inlineStr">
        <is>
          <t>Talento 5</t>
        </is>
      </c>
      <c r="KC8" s="145">
        <f>IFERROR(MATCH(5,$HS$2:$HS$13,0),0)</f>
        <v/>
      </c>
      <c r="KD8" s="145">
        <f>IF($KC8=0,"",IF(INDEX($HM$2:$HM$13,$KC8)=0,"","CE "&amp;INDEX($HM$2:$HM$13,$KC8)))</f>
        <v/>
      </c>
      <c r="KE8" s="145">
        <f>IF($KC8=0,"",INDEX($HL$2:$HL$13,$KC8))</f>
        <v/>
      </c>
      <c r="KF8" s="145">
        <f>IF($KC8=0,"",IF(INDEX($HR$2:$HR$13,$KC8)&lt;&gt;"",INDEX($HR$2:$HR$13,$KC8),IF(IFERROR(VLOOKUP(INDEX($HL$2:$HL$13,$KC8),$BR$2:$BX$24,7,FALSE),"")&lt;&gt;"","Do livro: "&amp;IFERROR(VLOOKUP(INDEX($HL$2:$HL$13,$KC8),$BR$2:$BX$24,7,FALSE),""),"")))</f>
        <v/>
      </c>
      <c r="KH8" s="143" t="inlineStr">
        <is>
          <t>Aptidão 5</t>
        </is>
      </c>
      <c r="KI8" s="145">
        <f>IFERROR(MATCH(5,$IB$2:$IB$13,0),0)</f>
        <v/>
      </c>
      <c r="KJ8" s="145">
        <f>IF($KI8=0,"",INDEX($HX$2:$HX$13,$KI8))</f>
        <v/>
      </c>
      <c r="KK8" s="145">
        <f>IF($KI8=0,"",INDEX($HV$2:$HV$13,$KI8))</f>
        <v/>
      </c>
      <c r="KL8" s="145">
        <f>IF($KI8=0,"",IF(INDEX($IA$2:$IA$13,$KI8)&lt;&gt;"",INDEX($IA$2:$IA$13,$KI8),IF(IFERROR(VLOOKUP(INDEX($HV$2:$HV$13,$KI8),$CC$2:$CL$33,10,FALSE),"")&lt;&gt;"","Do livro: "&amp;IFERROR(VLOOKUP(INDEX($HV$2:$HV$13,$KI8),$CC$2:$CL$33,10,FALSE),""),"")))</f>
        <v/>
      </c>
      <c r="KN8" s="143" t="inlineStr">
        <is>
          <t>tag tm</t>
        </is>
      </c>
      <c r="KO8" s="145">
        <f>IF(DADOS_AM!$A$2=1,"Máx",IF(DADOS_AM!$A$2=2,"Auge","Ōgi"))</f>
        <v/>
      </c>
      <c r="KQ8" s="143" t="inlineStr">
        <is>
          <t>P16</t>
        </is>
      </c>
      <c r="KR8"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visão a olho nu</t>
        </is>
      </c>
      <c r="AZ9" s="143" t="inlineStr">
        <is>
          <t>, a visão a olho nu</t>
        </is>
      </c>
      <c r="BA9" s="143" t="inlineStr">
        <is>
          <t>, a visão a olho nu</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Recuo (Média)</t>
        </is>
      </c>
      <c r="BM9" s="143" t="inlineStr">
        <is>
          <t>Recuo</t>
        </is>
      </c>
      <c r="BN9" s="145" t="n">
        <v>2</v>
      </c>
      <c r="BO9" s="145" t="n">
        <v>0</v>
      </c>
      <c r="BP9" s="143" t="inlineStr"/>
      <c r="BR9" s="143" t="inlineStr">
        <is>
          <t>Recomposição</t>
        </is>
      </c>
      <c r="BS9" s="145" t="n">
        <v>2</v>
      </c>
      <c r="BT9" s="143" t="inlineStr">
        <is>
          <t>Uma vez por descanso curto, use Ação Padrão para recuperar 5 × sua maior Classe em pontos de vida, até sua vida máxima. Não gasta PE. Recuperar vida não remove condições por conta própria.</t>
        </is>
      </c>
      <c r="BU9" s="145" t="n">
        <v>1</v>
      </c>
      <c r="BV9" s="145" t="n">
        <v>0</v>
      </c>
      <c r="BW9" s="145">
        <f>IF(OR(AND($A$2&lt;=2,$BU9=1),AND($A$2&gt;=2,$BV9=1)),$BR9,"")</f>
        <v/>
      </c>
      <c r="BX9" s="143" t="inlineStr">
        <is>
          <t>Uma vez por descanso curto, use Ação Padrão para recuperar 5 × sua maior Classe em pontos de vida, até sua vida máxima. Não gasta PE. Recuperar vida não remove condições por conta própria.</t>
        </is>
      </c>
      <c r="CC9" s="143" t="inlineStr">
        <is>
          <t>Kokusen Constante</t>
        </is>
      </c>
      <c r="CD9" s="143" t="inlineStr">
        <is>
          <t>Refino 5</t>
        </is>
      </c>
      <c r="CE9" s="143" t="inlineStr">
        <is>
          <t>—</t>
        </is>
      </c>
      <c r="CF9" s="143" t="inlineStr">
        <is>
          <t>—</t>
        </is>
      </c>
      <c r="CG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5">
        <f>IF($CK9=1,"",IF($A$2=4,IF($CI9=1,$CC9,""),IF(OR($CI9=1,AND($A$2=3,$CJ9=1)),"",$CC9)))</f>
        <v/>
      </c>
      <c r="CI9" s="145" t="n">
        <v>0</v>
      </c>
      <c r="CJ9" s="145" t="n">
        <v>0</v>
      </c>
      <c r="CK9" s="145" t="n">
        <v>0</v>
      </c>
      <c r="CL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3" t="inlineStr">
        <is>
          <t>Arma de Fogo</t>
        </is>
      </c>
      <c r="CU9" s="145" t="n">
        <v>0</v>
      </c>
      <c r="CV9" s="145" t="n">
        <v>1</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(IF(COUNTIF($EB9:$EE9,"Salto")&gt;0,1,0)+IF(COUNTIF($EB9:$EE9,"Queima")&gt;0,1,0)+IF(COUNTIF($EB9:$EE9,"Estilhaço")&gt;0,1,0))*FLOOR($FR9/2,1)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Talento 8 · Leque</t>
        </is>
      </c>
      <c r="HL9" s="145">
        <f>'FICHA AMALDIÇOADA'!$P$397&amp;""</f>
        <v/>
      </c>
      <c r="HM9" s="145">
        <f>IFERROR(VLOOKUP($HL9,$BR$2:$BX$24,2,FALSE),0)</f>
        <v/>
      </c>
      <c r="HN9" s="145">
        <f>IFERROR(VLOOKUP($HM9,$BZ$2:$CA$4,2,FALSE),0)</f>
        <v/>
      </c>
      <c r="HO9" s="145">
        <f>IFERROR(VLOOKUP($HL9,$BR$2:$BX$24,3,FALSE),"")</f>
        <v/>
      </c>
      <c r="HP9" s="145">
        <f>IF($HM9=0,"",IF($HN9&gt;$HI$2,"⚠ Nível "&amp;$HN9,"CE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"&amp;IFERROR(VLOOKUP($HV9,$CC$2:$CL$33,2,FALSE),""))</f>
        <v/>
      </c>
      <c r="HX9" s="145">
        <f>IF($HV9="","",IFERROR(IF(ISNUMBER(VLOOKUP($HV9,$CC$2:$CL$33,3,FALSE)),"CE "&amp;VLOOKUP($HV9,$CC$2:$CL$33,3,FALSE),VLOOKUP($HV9,$CC$2:$CL$33,3,FALSE)),""))</f>
        <v/>
      </c>
      <c r="HY9" s="145">
        <f>IF($HV9="","",IFERROR(VLOOKUP($HV9,$CC$2:$CL$33,4,FALSE),""))</f>
        <v/>
      </c>
      <c r="HZ9" s="145">
        <f>IF($HV9="","",IFERROR(VLOOKUP($HV9,$CC$2:$CL$33,5,FALSE),""))</f>
        <v/>
      </c>
      <c r="IA9" s="145">
        <f>'FICHA AMALDIÇOADA'!$K$489&amp;""</f>
        <v/>
      </c>
      <c r="IB9" s="145">
        <f>IF($HV9="","",COUNTIF($HV$2:$HV9,"?*"))</f>
        <v/>
      </c>
      <c r="IM9" s="143" t="inlineStr">
        <is>
          <t>Talentos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U9" s="145">
        <f>ADDRESS(ROW(FICHA!G141),COLUMN(FICHA!G141),4)</f>
        <v/>
      </c>
      <c r="IV9" s="145">
        <f>ADDRESS(ROW(FICHA!D142),COLUMN(FICHA!D142),4)</f>
        <v/>
      </c>
      <c r="JD9" s="145" t="n">
        <v>8</v>
      </c>
      <c r="JE9" s="145">
        <f>IFERROR(MATCH(8,$HF$2:$HF$37,0),0)</f>
        <v/>
      </c>
      <c r="JF9" s="145">
        <f>IF($JE9=0,"",INDEX($DY$2:$DY$37,$JE9))</f>
        <v/>
      </c>
      <c r="JG9" s="145">
        <f>IF($JE9=0,"",INDEX($DZ$2:$DZ$37,$JE9))</f>
        <v/>
      </c>
      <c r="JH9" s="145">
        <f>IF($JE9=0,"",INDEX($GN$2:$GN$37,$JE9))</f>
        <v/>
      </c>
      <c r="JI9" s="145">
        <f>IF($JE9=0,"",INDEX($EA$2:$EA$37,$JE9))</f>
        <v/>
      </c>
      <c r="JJ9" s="145">
        <f>IF($JE9=0,"",INDEX($GP$2:$GP$37,$JE9))</f>
        <v/>
      </c>
      <c r="JK9" s="145">
        <f>IF($JE9=0,"",INDEX($HE$2:$HE$37,$JE9))</f>
        <v/>
      </c>
      <c r="KB9" s="143" t="inlineStr">
        <is>
          <t>Talento 6</t>
        </is>
      </c>
      <c r="KC9" s="145">
        <f>IFERROR(MATCH(6,$HS$2:$HS$13,0),0)</f>
        <v/>
      </c>
      <c r="KD9" s="145">
        <f>IF($KC9=0,"",IF(INDEX($HM$2:$HM$13,$KC9)=0,"","CE "&amp;INDEX($HM$2:$HM$13,$KC9)))</f>
        <v/>
      </c>
      <c r="KE9" s="145">
        <f>IF($KC9=0,"",INDEX($HL$2:$HL$13,$KC9))</f>
        <v/>
      </c>
      <c r="KF9" s="145">
        <f>IF($KC9=0,"",IF(INDEX($HR$2:$HR$13,$KC9)&lt;&gt;"",INDEX($HR$2:$HR$13,$KC9),IF(IFERROR(VLOOKUP(INDEX($HL$2:$HL$13,$KC9),$BR$2:$BX$24,7,FALSE),"")&lt;&gt;"","Do livro: "&amp;IFERROR(VLOOKUP(INDEX($HL$2:$HL$13,$KC9),$BR$2:$BX$24,7,FALSE),""),"")))</f>
        <v/>
      </c>
      <c r="KH9" s="143" t="inlineStr">
        <is>
          <t>Aptidão 6</t>
        </is>
      </c>
      <c r="KI9" s="145">
        <f>IFERROR(MATCH(6,$IB$2:$IB$13,0),0)</f>
        <v/>
      </c>
      <c r="KJ9" s="145">
        <f>IF($KI9=0,"",INDEX($HX$2:$HX$13,$KI9))</f>
        <v/>
      </c>
      <c r="KK9" s="145">
        <f>IF($KI9=0,"",INDEX($HV$2:$HV$13,$KI9))</f>
        <v/>
      </c>
      <c r="KL9" s="145">
        <f>IF($KI9=0,"",IF(INDEX($IA$2:$IA$13,$KI9)&lt;&gt;"",INDEX($IA$2:$IA$13,$KI9),IF(IFERROR(VLOOKUP(INDEX($HV$2:$HV$13,$KI9),$CC$2:$CL$33,10,FALSE),"")&lt;&gt;"","Do livro: "&amp;IFERROR(VLOOKUP(INDEX($HV$2:$HV$13,$KI9),$CC$2:$CL$33,10,FALSE),""),"")))</f>
        <v/>
      </c>
      <c r="KN9" s="143" t="inlineStr">
        <is>
          <t>tag dom</t>
        </is>
      </c>
      <c r="KO9" s="145">
        <f>"Dom"</f>
        <v/>
      </c>
      <c r="KQ9" s="143" t="inlineStr">
        <is>
          <t>D17</t>
        </is>
      </c>
      <c r="KR9" s="145">
        <f>IF(DADOS_AM!$HI$41=1,"GRUPO 1","—")</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visão a olho nu</t>
        </is>
      </c>
      <c r="AY10" s="143" t="inlineStr">
        <is>
          <t>, a visão a olho nu</t>
        </is>
      </c>
      <c r="AZ10" s="143" t="inlineStr">
        <is>
          <t>, a visão a olho nu</t>
        </is>
      </c>
      <c r="BA10" s="143" t="inlineStr">
        <is>
          <t>, a visão a olho nu</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Fraqueza (Leve)</t>
        </is>
      </c>
      <c r="BM10" s="143" t="inlineStr">
        <is>
          <t>Fraqueza</t>
        </is>
      </c>
      <c r="BN10" s="145" t="n">
        <v>1</v>
      </c>
      <c r="BO10" s="145" t="n">
        <v>0</v>
      </c>
      <c r="BP10" s="143" t="inlineStr">
        <is>
          <t>Fraqueza (Leve)</t>
        </is>
      </c>
      <c r="BR10" s="143" t="inlineStr">
        <is>
          <t>Segunda Natureza</t>
        </is>
      </c>
      <c r="BS10" s="145" t="n">
        <v>2</v>
      </c>
      <c r="BT10" s="143" t="inlineStr">
        <is>
          <t>Uma vez por dia, você pode conjurar um feitiço conhecido de Classe até metade da sua maior Classe, arredondada para baixo, sem pagar seu custo normal de PE. Declare o uso antes de conjurar.</t>
        </is>
      </c>
      <c r="BU10" s="145" t="n">
        <v>1</v>
      </c>
      <c r="BV10" s="145" t="n">
        <v>0</v>
      </c>
      <c r="BW10" s="145">
        <f>IF(OR(AND($A$2&lt;=2,$BU10=1),AND($A$2&gt;=2,$BV10=1)),$BR10,"")</f>
        <v/>
      </c>
      <c r="BX10" s="143" t="inlineStr">
        <is>
          <t>Uma vez por dia, você pode conjurar um feitiço conhecido de Classe até metade da sua maior Classe, arredondada para baixo, sem pagar seu custo normal de PE. Declare o uso antes de conjurar.</t>
        </is>
      </c>
      <c r="CC10" s="143" t="inlineStr">
        <is>
          <t>Cesta Oca de Vime</t>
        </is>
      </c>
      <c r="CD10" s="143" t="inlineStr">
        <is>
          <t>Ser Encarnado ou treinado em História</t>
        </is>
      </c>
      <c r="CE10" s="145" t="n">
        <v>1</v>
      </c>
      <c r="CF10" s="143" t="inlineStr">
        <is>
          <t>—</t>
        </is>
      </c>
      <c r="CG10" s="14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5">
        <f>IF($CK10=1,"",IF($A$2=4,IF($CI10=1,$CC10,""),IF(OR($CI10=1,AND($A$2=3,$CJ10=1)),"",$CC10)))</f>
        <v/>
      </c>
      <c r="CI10" s="145" t="n">
        <v>0</v>
      </c>
      <c r="CJ10" s="145" t="n">
        <v>0</v>
      </c>
      <c r="CK10" s="145" t="n">
        <v>0</v>
      </c>
      <c r="CL10" s="143" t="inlineStr">
        <is>
          <t>Você forma um símbolo com as duas mãos e cria uma barreira em volta de si.</t>
        </is>
      </c>
      <c r="CT10" s="143" t="inlineStr">
        <is>
          <t>Ceifa</t>
        </is>
      </c>
      <c r="CU10" s="145" t="n">
        <v>1</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(IF(COUNTIF($EB10:$EE10,"Salto")&gt;0,1,0)+IF(COUNTIF($EB10:$EE10,"Queima")&gt;0,1,0)+IF(COUNTIF($EB10:$EE10,"Estilhaço")&gt;0,1,0))*FLOOR($FR10/2,1)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Talento 9 · Leque</t>
        </is>
      </c>
      <c r="HL10" s="145">
        <f>'FICHA AMALDIÇOADA'!$D$405&amp;""</f>
        <v/>
      </c>
      <c r="HM10" s="145">
        <f>IFERROR(VLOOKUP($HL10,$BR$2:$BX$24,2,FALSE),0)</f>
        <v/>
      </c>
      <c r="HN10" s="145">
        <f>IFERROR(VLOOKUP($HM10,$BZ$2:$CA$4,2,FALSE),0)</f>
        <v/>
      </c>
      <c r="HO10" s="145">
        <f>IFERROR(VLOOKUP($HL10,$BR$2:$BX$24,3,FALSE),"")</f>
        <v/>
      </c>
      <c r="HP10" s="145">
        <f>IF($HM10=0,"",IF($HN10&gt;$HI$2,"⚠ Nível "&amp;$HN10,"CE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"&amp;IFERROR(VLOOKUP($HV10,$CC$2:$CL$33,2,FALSE),""))</f>
        <v/>
      </c>
      <c r="HX10" s="145">
        <f>IF($HV10="","",IFERROR(IF(ISNUMBER(VLOOKUP($HV10,$CC$2:$CL$33,3,FALSE)),"CE "&amp;VLOOKUP($HV10,$CC$2:$CL$33,3,FALSE),VLOOKUP($HV10,$CC$2:$CL$33,3,FALSE)),""))</f>
        <v/>
      </c>
      <c r="HY10" s="145">
        <f>IF($HV10="","",IFERROR(VLOOKUP($HV10,$CC$2:$CL$33,4,FALSE),""))</f>
        <v/>
      </c>
      <c r="HZ10" s="145">
        <f>IF($HV10="","",IFERROR(VLOOKUP($HV10,$CC$2:$CL$33,5,FALSE),""))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U10" s="145">
        <f>ADDRESS(ROW(FICHA!G147),COLUMN(FICHA!G147),4)</f>
        <v/>
      </c>
      <c r="IV10" s="145">
        <f>ADDRESS(ROW(FICHA!D148),COLUMN(FICHA!D148),4)</f>
        <v/>
      </c>
      <c r="JD10" s="145" t="n">
        <v>9</v>
      </c>
      <c r="JE10" s="145">
        <f>IFERROR(MATCH(9,$HF$2:$HF$37,0),0)</f>
        <v/>
      </c>
      <c r="JF10" s="145">
        <f>IF($JE10=0,"",INDEX($DY$2:$DY$37,$JE10))</f>
        <v/>
      </c>
      <c r="JG10" s="145">
        <f>IF($JE10=0,"",INDEX($DZ$2:$DZ$37,$JE10))</f>
        <v/>
      </c>
      <c r="JH10" s="145">
        <f>IF($JE10=0,"",INDEX($GN$2:$GN$37,$JE10))</f>
        <v/>
      </c>
      <c r="JI10" s="145">
        <f>IF($JE10=0,"",INDEX($EA$2:$EA$37,$JE10))</f>
        <v/>
      </c>
      <c r="JJ10" s="145">
        <f>IF($JE10=0,"",INDEX($GP$2:$GP$37,$JE10))</f>
        <v/>
      </c>
      <c r="JK10" s="145">
        <f>IF($JE10=0,"",INDEX($HE$2:$HE$37,$JE10))</f>
        <v/>
      </c>
      <c r="KB10" s="143" t="inlineStr">
        <is>
          <t>Talento 7</t>
        </is>
      </c>
      <c r="KC10" s="145">
        <f>IFERROR(MATCH(7,$HS$2:$HS$13,0),0)</f>
        <v/>
      </c>
      <c r="KD10" s="145">
        <f>IF($KC10=0,"",IF(INDEX($HM$2:$HM$13,$KC10)=0,"","CE "&amp;INDEX($HM$2:$HM$13,$KC10)))</f>
        <v/>
      </c>
      <c r="KE10" s="145">
        <f>IF($KC10=0,"",INDEX($HL$2:$HL$13,$KC10))</f>
        <v/>
      </c>
      <c r="KF10" s="145">
        <f>IF($KC10=0,"",IF(INDEX($HR$2:$HR$13,$KC10)&lt;&gt;"",INDEX($HR$2:$HR$13,$KC10),IF(IFERROR(VLOOKUP(INDEX($HL$2:$HL$13,$KC10),$BR$2:$BX$24,7,FALSE),"")&lt;&gt;"","Do livro: "&amp;IFERROR(VLOOKUP(INDEX($HL$2:$HL$13,$KC10),$BR$2:$BX$24,7,FALSE),""),"")))</f>
        <v/>
      </c>
      <c r="KH10" s="143" t="inlineStr">
        <is>
          <t>Aptidão 7</t>
        </is>
      </c>
      <c r="KI10" s="145">
        <f>IFERROR(MATCH(7,$IB$2:$IB$13,0),0)</f>
        <v/>
      </c>
      <c r="KJ10" s="145">
        <f>IF($KI10=0,"",INDEX($HX$2:$HX$13,$KI10))</f>
        <v/>
      </c>
      <c r="KK10" s="145">
        <f>IF($KI10=0,"",INDEX($HV$2:$HV$13,$KI10))</f>
        <v/>
      </c>
      <c r="KL10" s="145">
        <f>IF($KI10=0,"",IF(INDEX($IA$2:$IA$13,$KI10)&lt;&gt;"",INDEX($IA$2:$IA$13,$KI10),IF(IFERROR(VLOOKUP(INDEX($HV$2:$HV$13,$KI10),$CC$2:$CL$33,10,FALSE),"")&lt;&gt;"","Do livro: "&amp;IFERROR(VLOOKUP(INDEX($HV$2:$HV$13,$KI10),$CC$2:$CL$33,10,FALSE),""),"")))</f>
        <v/>
      </c>
      <c r="KN10" s="143" t="inlineStr">
        <is>
          <t>par 2</t>
        </is>
      </c>
      <c r="KO10" s="145">
        <f>UPPER(INDEX($D$3:$G$3,1,$A$2))&amp;" 7 A 12"</f>
        <v/>
      </c>
      <c r="KQ10" s="143" t="inlineStr">
        <is>
          <t>D19</t>
        </is>
      </c>
      <c r="KR10" s="145">
        <f>IF(DADOS_AM!$HI$42="","",DADOS_AM!$HI$42&amp;" · "&amp;"d20 + "&amp;(DADOS_AM!$HI$3+DADOS_AM!$HI$45+IFERROR(VALUE(FICHA!$W$47&amp;""),0))&amp;" · CD "&amp;(8+DADOS_AM!$HI$3+DADOS_AM!$HI$45+IFERROR(VALUE(FICHA!$L$47&amp;""),0)))</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Fraqueza (Média)</t>
        </is>
      </c>
      <c r="BM11" s="143" t="inlineStr">
        <is>
          <t>Fraqueza</t>
        </is>
      </c>
      <c r="BN11" s="145" t="n">
        <v>2</v>
      </c>
      <c r="BO11" s="145" t="n">
        <v>0</v>
      </c>
      <c r="BP11" s="143" t="inlineStr"/>
      <c r="BR11" s="143" t="inlineStr">
        <is>
          <t>Eco</t>
        </is>
      </c>
      <c r="BS11" s="145" t="n">
        <v>2</v>
      </c>
      <c r="BT11" s="143" t="inlineStr">
        <is>
          <t>Quando um feitiço seu reduzir um inimigo a 0 pontos de vida, o próximo feitiço que você conjurar nesta cena custa metade do seu PE normal, arredondada para cima. Derrubado, a condição, não ativa Eco.</t>
        </is>
      </c>
      <c r="BU11" s="145" t="n">
        <v>1</v>
      </c>
      <c r="BV11" s="145" t="n">
        <v>0</v>
      </c>
      <c r="BW11" s="145">
        <f>IF(OR(AND($A$2&lt;=2,$BU11=1),AND($A$2&gt;=2,$BV11=1)),$BR11,"")</f>
        <v/>
      </c>
      <c r="BX11" s="143" t="inlineStr">
        <is>
          <t>Quando um feitiço seu reduzir um inimigo a 0 pontos de vida, o próximo feitiço que você conjurar nesta cena custa metade do seu PE normal, arredondada para cima. Derrubado, a condição, não ativa Eco.</t>
        </is>
      </c>
      <c r="CC11" s="143" t="inlineStr">
        <is>
          <t>Domínio Simples</t>
        </is>
      </c>
      <c r="CD11" s="143" t="inlineStr">
        <is>
          <t>Refino 5, ou 4 com o voto do iniciante; aprendizado registrado</t>
        </is>
      </c>
      <c r="CE11" s="145" t="n">
        <v>2</v>
      </c>
      <c r="CF11" s="143" t="inlineStr">
        <is>
          <t>Raio</t>
        </is>
      </c>
      <c r="CG11" s="14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5">
        <f>IF($CK11=1,"",IF($A$2=4,IF($CI11=1,$CC11,""),IF(OR($CI11=1,AND($A$2=3,$CJ11=1)),"",$CC11)))</f>
        <v/>
      </c>
      <c r="CI11" s="145" t="n">
        <v>0</v>
      </c>
      <c r="CJ11" s="145" t="n">
        <v>0</v>
      </c>
      <c r="CK11" s="145" t="n">
        <v>0</v>
      </c>
      <c r="CL11" s="143" t="inlineStr">
        <is>
          <t>Você precisa ter visto um Domínio Simples sendo usado ou ter aprendido com alguém.</t>
        </is>
      </c>
      <c r="CT11" s="143" t="inlineStr">
        <is>
          <t>Massa</t>
        </is>
      </c>
      <c r="CU11" s="145" t="n">
        <v>1</v>
      </c>
      <c r="CV11" s="145" t="n">
        <v>0</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(IF(COUNTIF($EB11:$EE11,"Salto")&gt;0,1,0)+IF(COUNTIF($EB11:$EE11,"Queima")&gt;0,1,0)+IF(COUNTIF($EB11:$EE11,"Estilhaço")&gt;0,1,0))*FLOOR($FR11/2,1)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Talento 10 · Leque</t>
        </is>
      </c>
      <c r="HL11" s="145">
        <f>'FICHA AMALDIÇOADA'!$J$405&amp;""</f>
        <v/>
      </c>
      <c r="HM11" s="145">
        <f>IFERROR(VLOOKUP($HL11,$BR$2:$BX$24,2,FALSE),0)</f>
        <v/>
      </c>
      <c r="HN11" s="145">
        <f>IFERROR(VLOOKUP($HM11,$BZ$2:$CA$4,2,FALSE),0)</f>
        <v/>
      </c>
      <c r="HO11" s="145">
        <f>IFERROR(VLOOKUP($HL11,$BR$2:$BX$24,3,FALSE),"")</f>
        <v/>
      </c>
      <c r="HP11" s="145">
        <f>IF($HM11=0,"",IF($HN11&gt;$HI$2,"⚠ Nível "&amp;$HN11,"CE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"&amp;IFERROR(VLOOKUP($HV11,$CC$2:$CL$33,2,FALSE),""))</f>
        <v/>
      </c>
      <c r="HX11" s="145">
        <f>IF($HV11="","",IFERROR(IF(ISNUMBER(VLOOKUP($HV11,$CC$2:$CL$33,3,FALSE)),"CE "&amp;VLOOKUP($HV11,$CC$2:$CL$33,3,FALSE),VLOOKUP($HV11,$CC$2:$CL$33,3,FALSE)),""))</f>
        <v/>
      </c>
      <c r="HY11" s="145">
        <f>IF($HV11="","",IFERROR(VLOOKUP($HV11,$CC$2:$CL$33,4,FALSE),""))</f>
        <v/>
      </c>
      <c r="HZ11" s="145">
        <f>IF($HV11="","",IFERROR(VLOOKUP($HV11,$CC$2:$CL$33,5,FALSE),""))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JD11" s="145" t="n">
        <v>10</v>
      </c>
      <c r="JE11" s="145">
        <f>IFERROR(MATCH(10,$HF$2:$HF$37,0),0)</f>
        <v/>
      </c>
      <c r="JF11" s="145">
        <f>IF($JE11=0,"",INDEX($DY$2:$DY$37,$JE11))</f>
        <v/>
      </c>
      <c r="JG11" s="145">
        <f>IF($JE11=0,"",INDEX($DZ$2:$DZ$37,$JE11))</f>
        <v/>
      </c>
      <c r="JH11" s="145">
        <f>IF($JE11=0,"",INDEX($GN$2:$GN$37,$JE11))</f>
        <v/>
      </c>
      <c r="JI11" s="145">
        <f>IF($JE11=0,"",INDEX($EA$2:$EA$37,$JE11))</f>
        <v/>
      </c>
      <c r="JJ11" s="145">
        <f>IF($JE11=0,"",INDEX($GP$2:$GP$37,$JE11))</f>
        <v/>
      </c>
      <c r="JK11" s="145">
        <f>IF($JE11=0,"",INDEX($HE$2:$HE$37,$JE11))</f>
        <v/>
      </c>
      <c r="KB11" s="143" t="inlineStr">
        <is>
          <t>Talento 8</t>
        </is>
      </c>
      <c r="KC11" s="145">
        <f>IFERROR(MATCH(8,$HS$2:$HS$13,0),0)</f>
        <v/>
      </c>
      <c r="KD11" s="145">
        <f>IF($KC11=0,"",IF(INDEX($HM$2:$HM$13,$KC11)=0,"","CE "&amp;INDEX($HM$2:$HM$13,$KC11)))</f>
        <v/>
      </c>
      <c r="KE11" s="145">
        <f>IF($KC11=0,"",INDEX($HL$2:$HL$13,$KC11))</f>
        <v/>
      </c>
      <c r="KF11" s="145">
        <f>IF($KC11=0,"",IF(INDEX($HR$2:$HR$13,$KC11)&lt;&gt;"",INDEX($HR$2:$HR$13,$KC11),IF(IFERROR(VLOOKUP(INDEX($HL$2:$HL$13,$KC11),$BR$2:$BX$24,7,FALSE),"")&lt;&gt;"","Do livro: "&amp;IFERROR(VLOOKUP(INDEX($HL$2:$HL$13,$KC11),$BR$2:$BX$24,7,FALSE),""),"")))</f>
        <v/>
      </c>
      <c r="KH11" s="143" t="inlineStr">
        <is>
          <t>Aptidão 8</t>
        </is>
      </c>
      <c r="KI11" s="145">
        <f>IFERROR(MATCH(8,$IB$2:$IB$13,0),0)</f>
        <v/>
      </c>
      <c r="KJ11" s="145">
        <f>IF($KI11=0,"",INDEX($HX$2:$HX$13,$KI11))</f>
        <v/>
      </c>
      <c r="KK11" s="145">
        <f>IF($KI11=0,"",INDEX($HV$2:$HV$13,$KI11))</f>
        <v/>
      </c>
      <c r="KL11" s="145">
        <f>IF($KI11=0,"",IF(INDEX($IA$2:$IA$13,$KI11)&lt;&gt;"",INDEX($IA$2:$IA$13,$KI11),IF(IFERROR(VLOOKUP(INDEX($HV$2:$HV$13,$KI11),$CC$2:$CL$33,10,FALSE),"")&lt;&gt;"","Do livro: "&amp;IFERROR(VLOOKUP(INDEX($HV$2:$HV$13,$KI11),$CC$2:$CL$33,10,FALSE),""),"")))</f>
        <v/>
      </c>
      <c r="KN11" s="143" t="inlineStr">
        <is>
          <t>par 4</t>
        </is>
      </c>
      <c r="KO11" s="145">
        <f>UPPER(INDEX($D$3:$G$3,1,$A$2))&amp;" 13 A 18"</f>
        <v/>
      </c>
      <c r="KQ11" s="143" t="inlineStr">
        <is>
          <t>J17</t>
        </is>
      </c>
      <c r="KR11" s="145">
        <f>IF(DADOS_AM!$HI$41=1,"GRUPO 2","—")</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Mais Um</t>
        </is>
      </c>
      <c r="BD12" s="143" t="inlineStr">
        <is>
          <t>Área</t>
        </is>
      </c>
      <c r="BE12" s="145" t="n">
        <v>1</v>
      </c>
      <c r="BF12" s="145">
        <f>$BE12+3*IFERROR(VLOOKUP($BD12,$I$2:$L$10,3,FALSE),0)</f>
        <v/>
      </c>
      <c r="BG12" s="145">
        <f>IFERROR(VLOOKUP($BD12,$I$2:$L$10,4,FALSE),0)</f>
        <v/>
      </c>
      <c r="BH12" s="145" t="n">
        <v>0</v>
      </c>
      <c r="BI12" s="145">
        <f>IF($BG12=1,"",$BC12)</f>
        <v/>
      </c>
      <c r="BJ12" s="145">
        <f>IF(AND($BE12=1,$BG12=0),$BC12,"")</f>
        <v/>
      </c>
      <c r="BL12" s="143" t="inlineStr">
        <is>
          <t>Peso Morto</t>
        </is>
      </c>
      <c r="BM12" s="143" t="inlineStr">
        <is>
          <t>Peso Morto</t>
        </is>
      </c>
      <c r="BN12" s="145" t="n">
        <v>1</v>
      </c>
      <c r="BO12" s="145" t="n">
        <v>0</v>
      </c>
      <c r="BP12" s="143" t="inlineStr">
        <is>
          <t>Peso Morto</t>
        </is>
      </c>
      <c r="BR12" s="143" t="inlineStr">
        <is>
          <t>Costura</t>
        </is>
      </c>
      <c r="BS12" s="145" t="n">
        <v>2</v>
      </c>
      <c r="BT12" s="143" t="inlineStr">
        <is>
          <t>Uma vez por cena, quando um aliado a até 9 m sofreria uma redução de seus pontos de vida a 0, você pode fazer com que ele permaneça com 1 ponto de vida. Não exige ação nem Reação.</t>
        </is>
      </c>
      <c r="BU12" s="145" t="n">
        <v>1</v>
      </c>
      <c r="BV12" s="145" t="n">
        <v>0</v>
      </c>
      <c r="BW12" s="145">
        <f>IF(OR(AND($A$2&lt;=2,$BU12=1),AND($A$2&gt;=2,$BV12=1)),$BR12,"")</f>
        <v/>
      </c>
      <c r="BX12" s="143" t="inlineStr">
        <is>
          <t>Uma vez por cena, quando um aliado a até 9 m sofreria uma redução de seus pontos de vida a 0, você pode fazer com que ele permaneça com 1 ponto de vida. Não exige ação nem Reação.</t>
        </is>
      </c>
      <c r="CC12" s="143" t="inlineStr">
        <is>
          <t>Pétala</t>
        </is>
      </c>
      <c r="CD12" s="143" t="inlineStr">
        <is>
          <t>Refino 4 e nível 10; ser Descendente ou aprendizado com alguém de um clã</t>
        </is>
      </c>
      <c r="CE12" s="145" t="n">
        <v>2</v>
      </c>
      <c r="CF12" s="143" t="inlineStr">
        <is>
          <t>—</t>
        </is>
      </c>
      <c r="CG12" s="14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5">
        <f>IF($CK12=1,"",IF($A$2=4,IF($CI12=1,$CC12,""),IF(OR($CI12=1,AND($A$2=3,$CJ12=1)),"",$CC12)))</f>
        <v/>
      </c>
      <c r="CI12" s="145" t="n">
        <v>0</v>
      </c>
      <c r="CJ12" s="145" t="n">
        <v>0</v>
      </c>
      <c r="CK12" s="145" t="n">
        <v>0</v>
      </c>
      <c r="CL12" s="143" t="inlineStr">
        <is>
          <t>Sua energia reage ao contato do Acerto de uma Expansão.</t>
        </is>
      </c>
      <c r="CT12" s="143" t="inlineStr">
        <is>
          <t>Armas Longas</t>
        </is>
      </c>
      <c r="CU12" s="145" t="n">
        <v>1</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(IF(COUNTIF($EB12:$EE12,"Salto")&gt;0,1,0)+IF(COUNTIF($EB12:$EE12,"Queima")&gt;0,1,0)+IF(COUNTIF($EB12:$EE12,"Estilhaço")&gt;0,1,0))*FLOOR($FR12/2,1)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Talento 11 · Leque</t>
        </is>
      </c>
      <c r="HL12" s="145">
        <f>'FICHA AMALDIÇOADA'!$P$405&amp;""</f>
        <v/>
      </c>
      <c r="HM12" s="145">
        <f>IFERROR(VLOOKUP($HL12,$BR$2:$BX$24,2,FALSE),0)</f>
        <v/>
      </c>
      <c r="HN12" s="145">
        <f>IFERROR(VLOOKUP($HM12,$BZ$2:$CA$4,2,FALSE),0)</f>
        <v/>
      </c>
      <c r="HO12" s="145">
        <f>IFERROR(VLOOKUP($HL12,$BR$2:$BX$24,3,FALSE),"")</f>
        <v/>
      </c>
      <c r="HP12" s="145">
        <f>IF($HM12=0,"",IF($HN12&gt;$HI$2,"⚠ Nível "&amp;$HN12,"CE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"&amp;IFERROR(VLOOKUP($HV12,$CC$2:$CL$33,2,FALSE),""))</f>
        <v/>
      </c>
      <c r="HX12" s="145">
        <f>IF($HV12="","",IFERROR(IF(ISNUMBER(VLOOKUP($HV12,$CC$2:$CL$33,3,FALSE)),"CE "&amp;VLOOKUP($HV12,$CC$2:$CL$33,3,FALSE),VLOOKUP($HV12,$CC$2:$CL$33,3,FALSE)),""))</f>
        <v/>
      </c>
      <c r="HY12" s="145">
        <f>IF($HV12="","",IFERROR(VLOOKUP($HV12,$CC$2:$CL$33,4,FALSE),""))</f>
        <v/>
      </c>
      <c r="HZ12" s="145">
        <f>IF($HV12="","",IFERROR(VLOOKUP($HV12,$CC$2:$CL$33,5,FALSE),""))</f>
        <v/>
      </c>
      <c r="IA12" s="145">
        <f>'FICHA AMALDIÇOADA'!$K$509&amp;""</f>
        <v/>
      </c>
      <c r="IB12" s="145">
        <f>IF($HV12="","",COUNTIF($HV$2:$HV12,"?*"))</f>
        <v/>
      </c>
      <c r="JD12" s="145" t="n">
        <v>11</v>
      </c>
      <c r="JE12" s="145">
        <f>IFERROR(MATCH(11,$HF$2:$HF$37,0),0)</f>
        <v/>
      </c>
      <c r="JF12" s="145">
        <f>IF($JE12=0,"",INDEX($DY$2:$DY$37,$JE12))</f>
        <v/>
      </c>
      <c r="JG12" s="145">
        <f>IF($JE12=0,"",INDEX($DZ$2:$DZ$37,$JE12))</f>
        <v/>
      </c>
      <c r="JH12" s="145">
        <f>IF($JE12=0,"",INDEX($GN$2:$GN$37,$JE12))</f>
        <v/>
      </c>
      <c r="JI12" s="145">
        <f>IF($JE12=0,"",INDEX($EA$2:$EA$37,$JE12))</f>
        <v/>
      </c>
      <c r="JJ12" s="145">
        <f>IF($JE12=0,"",INDEX($GP$2:$GP$37,$JE12))</f>
        <v/>
      </c>
      <c r="JK12" s="145">
        <f>IF($JE12=0,"",INDEX($HE$2:$HE$37,$JE12))</f>
        <v/>
      </c>
      <c r="KB12" s="143" t="inlineStr">
        <is>
          <t>Talento 9</t>
        </is>
      </c>
      <c r="KC12" s="145">
        <f>IFERROR(MATCH(9,$HS$2:$HS$13,0),0)</f>
        <v/>
      </c>
      <c r="KD12" s="145">
        <f>IF($KC12=0,"",IF(INDEX($HM$2:$HM$13,$KC12)=0,"","CE "&amp;INDEX($HM$2:$HM$13,$KC12)))</f>
        <v/>
      </c>
      <c r="KE12" s="145">
        <f>IF($KC12=0,"",INDEX($HL$2:$HL$13,$KC12))</f>
        <v/>
      </c>
      <c r="KF12" s="145">
        <f>IF($KC12=0,"",IF(INDEX($HR$2:$HR$13,$KC12)&lt;&gt;"",INDEX($HR$2:$HR$13,$KC12),IF(IFERROR(VLOOKUP(INDEX($HL$2:$HL$13,$KC12),$BR$2:$BX$24,7,FALSE),"")&lt;&gt;"","Do livro: "&amp;IFERROR(VLOOKUP(INDEX($HL$2:$HL$13,$KC12),$BR$2:$BX$24,7,FALSE),""),"")))</f>
        <v/>
      </c>
      <c r="KH12" s="143" t="inlineStr">
        <is>
          <t>Aptidão 9</t>
        </is>
      </c>
      <c r="KI12" s="145">
        <f>IFERROR(MATCH(9,$IB$2:$IB$13,0),0)</f>
        <v/>
      </c>
      <c r="KJ12" s="145">
        <f>IF($KI12=0,"",INDEX($HX$2:$HX$13,$KI12))</f>
        <v/>
      </c>
      <c r="KK12" s="145">
        <f>IF($KI12=0,"",INDEX($HV$2:$HV$13,$KI12))</f>
        <v/>
      </c>
      <c r="KL12" s="145">
        <f>IF($KI12=0,"",IF(INDEX($IA$2:$IA$13,$KI12)&lt;&gt;"",INDEX($IA$2:$IA$13,$KI12),IF(IFERROR(VLOOKUP(INDEX($HV$2:$HV$13,$KI12),$CC$2:$CL$33,10,FALSE),"")&lt;&gt;"","Do livro: "&amp;IFERROR(VLOOKUP(INDEX($HV$2:$HV$13,$KI12),$CC$2:$CL$33,10,FALSE),""),"")))</f>
        <v/>
      </c>
      <c r="KN12" s="143" t="inlineStr">
        <is>
          <t>par 6</t>
        </is>
      </c>
      <c r="KO12" s="145">
        <f>UPPER(INDEX($D$3:$G$3,1,$A$2))&amp;" 19 A 24"</f>
        <v/>
      </c>
      <c r="KQ12" s="143" t="inlineStr">
        <is>
          <t>J19</t>
        </is>
      </c>
      <c r="KR12" s="145">
        <f>IF(DADOS_AM!$HI$43="","",DADOS_AM!$HI$43&amp;" · "&amp;"d20 + "&amp;(DADOS_AM!$HI$3+DADOS_AM!$HI$46+IFERROR(VALUE(FICHA!$W$47&amp;""),0))&amp;" · CD "&amp;(8+DADOS_AM!$HI$3+DADOS_AM!$HI$46+IFERROR(VALUE(FICHA!$L$47&amp;""),0)))</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Rajada</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Frágil</t>
        </is>
      </c>
      <c r="BM13" s="143" t="inlineStr">
        <is>
          <t>Frágil</t>
        </is>
      </c>
      <c r="BN13" s="145" t="n">
        <v>1</v>
      </c>
      <c r="BO13" s="145" t="n">
        <v>0</v>
      </c>
      <c r="BP13" s="143" t="inlineStr">
        <is>
          <t>Frágil</t>
        </is>
      </c>
      <c r="BR13" s="143" t="inlineStr">
        <is>
          <t>Contramedida</t>
        </is>
      </c>
      <c r="BS13" s="145" t="n">
        <v>2</v>
      </c>
      <c r="BT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5" t="n">
        <v>1</v>
      </c>
      <c r="BV13" s="145" t="n">
        <v>0</v>
      </c>
      <c r="BW13" s="145">
        <f>IF(OR(AND($A$2&lt;=2,$BU13=1),AND($A$2&gt;=2,$BV13=1)),$BR13,"")</f>
        <v/>
      </c>
      <c r="BX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3" t="inlineStr">
        <is>
          <t>Extensão de Domínio</t>
        </is>
      </c>
      <c r="CD13" s="143" t="inlineStr">
        <is>
          <t>Refino 7 e nível 18; aprendizado registrado; indisponível ao Corpo Amaldiçoado</t>
        </is>
      </c>
      <c r="CE13" s="145" t="n">
        <v>3</v>
      </c>
      <c r="CF13" s="143" t="inlineStr">
        <is>
          <t>—</t>
        </is>
      </c>
      <c r="CG13" s="14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5">
        <f>IF($CK13=1,"",IF($A$2=4,IF($CI13=1,$CC13,""),IF(OR($CI13=1,AND($A$2=3,$CJ13=1)),"",$CC13)))</f>
        <v/>
      </c>
      <c r="CI13" s="145" t="n">
        <v>0</v>
      </c>
      <c r="CJ13" s="145" t="n">
        <v>1</v>
      </c>
      <c r="CK13" s="145" t="n">
        <v>0</v>
      </c>
      <c r="CL13" s="143" t="inlineStr">
        <is>
          <t>Você precisa ter visto uma Extensão em uso, estudado seu funcionamento ou aprendido com alguém.</t>
        </is>
      </c>
      <c r="CT13" s="143" t="inlineStr">
        <is>
          <t>Machado</t>
        </is>
      </c>
      <c r="CU13" s="145" t="n">
        <v>1</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(IF(COUNTIF($EB13:$EE13,"Salto")&gt;0,1,0)+IF(COUNTIF($EB13:$EE13,"Queima")&gt;0,1,0)+IF(COUNTIF($EB13:$EE13,"Estilhaço")&gt;0,1,0))*FLOOR($FR13/2,1)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conhecido"),1,0)+IF(AND('FICHA AMALDIÇOADA'!$L$528="Permanente",'FICHA AMALDIÇOADA'!$P$528="Um espaço conhecido"),1,0)+IF(AND('FICHA AMALDIÇOADA'!$L$538="Permanente",'FICHA AMALDIÇOADA'!$P$538="Um espaço conhecido"),1,0)</f>
        <v/>
      </c>
      <c r="HK13" s="143" t="inlineStr">
        <is>
          <t>Talento 12 · Leque</t>
        </is>
      </c>
      <c r="HL13" s="145">
        <f>'FICHA AMALDIÇOADA'!$D$413&amp;""</f>
        <v/>
      </c>
      <c r="HM13" s="145">
        <f>IFERROR(VLOOKUP($HL13,$BR$2:$BX$24,2,FALSE),0)</f>
        <v/>
      </c>
      <c r="HN13" s="145">
        <f>IFERROR(VLOOKUP($HM13,$BZ$2:$CA$4,2,FALSE),0)</f>
        <v/>
      </c>
      <c r="HO13" s="145">
        <f>IFERROR(VLOOKUP($HL13,$BR$2:$BX$24,3,FALSE),"")</f>
        <v/>
      </c>
      <c r="HP13" s="145">
        <f>IF($HM13=0,"",IF($HN13&gt;$HI$2,"⚠ Nível "&amp;$HN13,"CE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"&amp;IFERROR(VLOOKUP($HV13,$CC$2:$CL$33,2,FALSE),""))</f>
        <v/>
      </c>
      <c r="HX13" s="145">
        <f>IF($HV13="","",IFERROR(IF(ISNUMBER(VLOOKUP($HV13,$CC$2:$CL$33,3,FALSE)),"CE "&amp;VLOOKUP($HV13,$CC$2:$CL$33,3,FALSE),VLOOKUP($HV13,$CC$2:$CL$33,3,FALSE)),""))</f>
        <v/>
      </c>
      <c r="HY13" s="145">
        <f>IF($HV13="","",IFERROR(VLOOKUP($HV13,$CC$2:$CL$33,4,FALSE),""))</f>
        <v/>
      </c>
      <c r="HZ13" s="145">
        <f>IF($HV13="","",IFERROR(VLOOKUP($HV13,$CC$2:$CL$33,5,FALSE),""))</f>
        <v/>
      </c>
      <c r="IA13" s="145">
        <f>'FICHA AMALDIÇOADA'!$Q$509&amp;""</f>
        <v/>
      </c>
      <c r="IB13" s="145">
        <f>IF($HV13="","",COUNTIF($HV$2:$HV13,"?*"))</f>
        <v/>
      </c>
      <c r="JD13" s="145" t="n">
        <v>12</v>
      </c>
      <c r="JE13" s="145">
        <f>IFERROR(MATCH(12,$HF$2:$HF$37,0),0)</f>
        <v/>
      </c>
      <c r="JF13" s="145">
        <f>IF($JE13=0,"",INDEX($DY$2:$DY$37,$JE13))</f>
        <v/>
      </c>
      <c r="JG13" s="145">
        <f>IF($JE13=0,"",INDEX($DZ$2:$DZ$37,$JE13))</f>
        <v/>
      </c>
      <c r="JH13" s="145">
        <f>IF($JE13=0,"",INDEX($GN$2:$GN$37,$JE13))</f>
        <v/>
      </c>
      <c r="JI13" s="145">
        <f>IF($JE13=0,"",INDEX($EA$2:$EA$37,$JE13))</f>
        <v/>
      </c>
      <c r="JJ13" s="145">
        <f>IF($JE13=0,"",INDEX($GP$2:$GP$37,$JE13))</f>
        <v/>
      </c>
      <c r="JK13" s="145">
        <f>IF($JE13=0,"",INDEX($HE$2:$HE$37,$JE13))</f>
        <v/>
      </c>
      <c r="KB13" s="143" t="inlineStr">
        <is>
          <t>Talento 10</t>
        </is>
      </c>
      <c r="KC13" s="145">
        <f>IFERROR(MATCH(10,$HS$2:$HS$13,0),0)</f>
        <v/>
      </c>
      <c r="KD13" s="145">
        <f>IF($KC13=0,"",IF(INDEX($HM$2:$HM$13,$KC13)=0,"","CE "&amp;INDEX($HM$2:$HM$13,$KC13)))</f>
        <v/>
      </c>
      <c r="KE13" s="145">
        <f>IF($KC13=0,"",INDEX($HL$2:$HL$13,$KC13))</f>
        <v/>
      </c>
      <c r="KF13" s="145">
        <f>IF($KC13=0,"",IF(INDEX($HR$2:$HR$13,$KC13)&lt;&gt;"",INDEX($HR$2:$HR$13,$KC13),IF(IFERROR(VLOOKUP(INDEX($HL$2:$HL$13,$KC13),$BR$2:$BX$24,7,FALSE),"")&lt;&gt;"","Do livro: "&amp;IFERROR(VLOOKUP(INDEX($HL$2:$HL$13,$KC13),$BR$2:$BX$24,7,FALSE),""),"")))</f>
        <v/>
      </c>
      <c r="KH13" s="143" t="inlineStr">
        <is>
          <t>Aptidão 10</t>
        </is>
      </c>
      <c r="KI13" s="145">
        <f>IFERROR(MATCH(10,$IB$2:$IB$13,0),0)</f>
        <v/>
      </c>
      <c r="KJ13" s="145">
        <f>IF($KI13=0,"",INDEX($HX$2:$HX$13,$KI13))</f>
        <v/>
      </c>
      <c r="KK13" s="145">
        <f>IF($KI13=0,"",INDEX($HV$2:$HV$13,$KI13))</f>
        <v/>
      </c>
      <c r="KL13" s="145">
        <f>IF($KI13=0,"",IF(INDEX($IA$2:$IA$13,$KI13)&lt;&gt;"",INDEX($IA$2:$IA$13,$KI13),IF(IFERROR(VLOOKUP(INDEX($HV$2:$HV$13,$KI13),$CC$2:$CL$33,10,FALSE),"")&lt;&gt;"","Do livro: "&amp;IFERROR(VLOOKUP(INDEX($HV$2:$HV$13,$KI13),$CC$2:$CL$33,10,FALSE),""),"")))</f>
        <v/>
      </c>
      <c r="KN13" s="143" t="inlineStr">
        <is>
          <t>par 8</t>
        </is>
      </c>
      <c r="KO13" s="145">
        <f>UPPER(INDEX($D$3:$G$3,1,$A$2))&amp;" 25 A 30"</f>
        <v/>
      </c>
      <c r="KQ13" s="143" t="inlineStr">
        <is>
          <t>P17</t>
        </is>
      </c>
      <c r="KR13" s="145">
        <f>IF(DADOS_AM!$HI$41=1,"GRUPO 3","—")</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Fica</t>
        </is>
      </c>
      <c r="BD14" s="143" t="inlineStr">
        <is>
          <t>Área</t>
        </is>
      </c>
      <c r="BE14" s="145" t="n">
        <v>2</v>
      </c>
      <c r="BF14" s="145">
        <f>$BE14+3*IFERROR(VLOOKUP($BD14,$I$2:$L$10,3,FALSE),0)</f>
        <v/>
      </c>
      <c r="BG14" s="145">
        <f>IFERROR(VLOOKUP($BD14,$I$2:$L$10,4,FALSE),0)</f>
        <v/>
      </c>
      <c r="BH14" s="145" t="n">
        <v>0</v>
      </c>
      <c r="BI14" s="145">
        <f>IF($BG14=1,"",$BC14)</f>
        <v/>
      </c>
      <c r="BJ14" s="145">
        <f>IF(AND($BE14=1,$BG14=0),$BC14,"")</f>
        <v/>
      </c>
      <c r="BL14" s="143" t="inlineStr">
        <is>
          <t>Sem Volta</t>
        </is>
      </c>
      <c r="BM14" s="143" t="inlineStr">
        <is>
          <t>Sem Volta</t>
        </is>
      </c>
      <c r="BN14" s="145" t="n">
        <v>2</v>
      </c>
      <c r="BO14" s="145" t="n">
        <v>0</v>
      </c>
      <c r="BP14" s="143" t="inlineStr"/>
      <c r="BR14" s="143" t="inlineStr">
        <is>
          <t>Peso da Presença</t>
        </is>
      </c>
      <c r="BS14" s="145" t="n">
        <v>2</v>
      </c>
      <c r="BT14" s="14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5" t="n">
        <v>1</v>
      </c>
      <c r="BV14" s="145" t="n">
        <v>0</v>
      </c>
      <c r="BW14" s="145">
        <f>IF(OR(AND($A$2&lt;=2,$BU14=1),AND($A$2&gt;=2,$BV14=1)),$BR14,"")</f>
        <v/>
      </c>
      <c r="BX14" s="143" t="inlineStr">
        <is>
          <t>Um inimigo da categoria Capanga que comece o turno a até 6 m de você faz um TR Espírito contra a CD da sua técnica.</t>
        </is>
      </c>
      <c r="CC14" s="143" t="inlineStr">
        <is>
          <t>Barreira Simples</t>
        </is>
      </c>
      <c r="CD14" s="143" t="inlineStr">
        <is>
          <t>Uma escolha de aptidão</t>
        </is>
      </c>
      <c r="CE14" s="143" t="inlineStr">
        <is>
          <t>—</t>
        </is>
      </c>
      <c r="CF14" s="143" t="inlineStr">
        <is>
          <t>—</t>
        </is>
      </c>
      <c r="CG14" s="14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5">
        <f>IF($CK14=1,"",IF($A$2=4,IF($CI14=1,$CC14,""),IF(OR($CI14=1,AND($A$2=3,$CJ14=1)),"",$CC14)))</f>
        <v/>
      </c>
      <c r="CI14" s="145" t="n">
        <v>0</v>
      </c>
      <c r="CJ14" s="145" t="n">
        <v>0</v>
      </c>
      <c r="CK14" s="145" t="n">
        <v>0</v>
      </c>
      <c r="CL14" s="143" t="inlineStr">
        <is>
          <t>Você ergue um domo fixo para impedir a passagem por um lugar.</t>
        </is>
      </c>
      <c r="CT14" s="143" t="inlineStr">
        <is>
          <t>Manopla</t>
        </is>
      </c>
      <c r="CU14" s="145" t="n">
        <v>1</v>
      </c>
      <c r="CV14" s="145" t="n">
        <v>0</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(IF(COUNTIF($EB14:$EE14,"Salto")&gt;0,1,0)+IF(COUNTIF($EB14:$EE14,"Queima")&gt;0,1,0)+IF(COUNTIF($EB14:$EE14,"Estilhaço")&gt;0,1,0))*FLOOR($FR14/2,1)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JD14" s="145" t="n">
        <v>13</v>
      </c>
      <c r="JE14" s="145">
        <f>IFERROR(MATCH(13,$HF$2:$HF$37,0),0)</f>
        <v/>
      </c>
      <c r="JF14" s="145">
        <f>IF($JE14=0,"",INDEX($DY$2:$DY$37,$JE14))</f>
        <v/>
      </c>
      <c r="JG14" s="145">
        <f>IF($JE14=0,"",INDEX($DZ$2:$DZ$37,$JE14))</f>
        <v/>
      </c>
      <c r="JH14" s="145">
        <f>IF($JE14=0,"",INDEX($GN$2:$GN$37,$JE14))</f>
        <v/>
      </c>
      <c r="JI14" s="145">
        <f>IF($JE14=0,"",INDEX($EA$2:$EA$37,$JE14))</f>
        <v/>
      </c>
      <c r="JJ14" s="145">
        <f>IF($JE14=0,"",INDEX($GP$2:$GP$37,$JE14))</f>
        <v/>
      </c>
      <c r="JK14" s="145">
        <f>IF($JE14=0,"",INDEX($HE$2:$HE$37,$JE14))</f>
        <v/>
      </c>
      <c r="KB14" s="143" t="inlineStr">
        <is>
          <t>Talento 11</t>
        </is>
      </c>
      <c r="KC14" s="145">
        <f>IFERROR(MATCH(11,$HS$2:$HS$13,0),0)</f>
        <v/>
      </c>
      <c r="KD14" s="145">
        <f>IF($KC14=0,"",IF(INDEX($HM$2:$HM$13,$KC14)=0,"","CE "&amp;INDEX($HM$2:$HM$13,$KC14)))</f>
        <v/>
      </c>
      <c r="KE14" s="145">
        <f>IF($KC14=0,"",INDEX($HL$2:$HL$13,$KC14))</f>
        <v/>
      </c>
      <c r="KF14" s="145">
        <f>IF($KC14=0,"",IF(INDEX($HR$2:$HR$13,$KC14)&lt;&gt;"",INDEX($HR$2:$HR$13,$KC14),IF(IFERROR(VLOOKUP(INDEX($HL$2:$HL$13,$KC14),$BR$2:$BX$24,7,FALSE),"")&lt;&gt;"","Do livro: "&amp;IFERROR(VLOOKUP(INDEX($HL$2:$HL$13,$KC14),$BR$2:$BX$24,7,FALSE),""),"")))</f>
        <v/>
      </c>
      <c r="KH14" s="143" t="inlineStr">
        <is>
          <t>Aptidão 11</t>
        </is>
      </c>
      <c r="KI14" s="145">
        <f>IFERROR(MATCH(11,$IB$2:$IB$13,0),0)</f>
        <v/>
      </c>
      <c r="KJ14" s="145">
        <f>IF($KI14=0,"",INDEX($HX$2:$HX$13,$KI14))</f>
        <v/>
      </c>
      <c r="KK14" s="145">
        <f>IF($KI14=0,"",INDEX($HV$2:$HV$13,$KI14))</f>
        <v/>
      </c>
      <c r="KL14" s="145">
        <f>IF($KI14=0,"",IF(INDEX($IA$2:$IA$13,$KI14)&lt;&gt;"",INDEX($IA$2:$IA$13,$KI14),IF(IFERROR(VLOOKUP(INDEX($HV$2:$HV$13,$KI14),$CC$2:$CL$33,10,FALSE),"")&lt;&gt;"","Do livro: "&amp;IFERROR(VLOOKUP(INDEX($HV$2:$HV$13,$KI14),$CC$2:$CL$33,10,FALSE),""),"")))</f>
        <v/>
      </c>
      <c r="KN14" s="143" t="inlineStr">
        <is>
          <t>par 10</t>
        </is>
      </c>
      <c r="KO14" s="145">
        <f>UPPER(INDEX($D$3:$G$3,1,$A$2))&amp;" 31 A 36"</f>
        <v/>
      </c>
      <c r="KQ14" s="143" t="inlineStr">
        <is>
          <t>P19</t>
        </is>
      </c>
      <c r="KR14" s="145">
        <f>IF(DADOS_AM!$HI$44="","",DADOS_AM!$HI$44&amp;" · "&amp;"d20 + "&amp;(DADOS_AM!$HI$3+DADOS_AM!$HI$47+IFERROR(VALUE(FICHA!$W$47&amp;""),0))&amp;" · CD "&amp;(8+DADOS_AM!$HI$3+DADOS_AM!$HI$47+IFERROR(VALUE(FICHA!$L$47&amp;""),0)))</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Uma Vez</t>
        </is>
      </c>
      <c r="BM15" s="143" t="inlineStr">
        <is>
          <t>Uma Vez</t>
        </is>
      </c>
      <c r="BN15" s="145" t="n">
        <v>1</v>
      </c>
      <c r="BO15" s="145" t="n">
        <v>1</v>
      </c>
      <c r="BP15" s="143" t="inlineStr">
        <is>
          <t>Uma Vez</t>
        </is>
      </c>
      <c r="BR15" s="143" t="inlineStr">
        <is>
          <t>Escama</t>
        </is>
      </c>
      <c r="BS15" s="145" t="n">
        <v>3</v>
      </c>
      <c r="BT15" s="143" t="inlineStr">
        <is>
          <t>Escolha um tipo de dano que a Regra da sua técnica justifique. Você tem resistência a esse tipo: sofre metade do dano, com o arredondamento das regras de dano.</t>
        </is>
      </c>
      <c r="BU15" s="145" t="n">
        <v>1</v>
      </c>
      <c r="BV15" s="145" t="n">
        <v>0</v>
      </c>
      <c r="BW15" s="145">
        <f>IF(OR(AND($A$2&lt;=2,$BU15=1),AND($A$2&gt;=2,$BV15=1)),$BR15,"")</f>
        <v/>
      </c>
      <c r="BX15" s="143" t="inlineStr">
        <is>
          <t>Escolha um tipo de dano que a Regra da sua técnica justifique. Você tem resistência a esse tipo: sofre metade do dano, com o arredondamento das regras de dano.</t>
        </is>
      </c>
      <c r="CC15" s="143" t="inlineStr">
        <is>
          <t>Cortina</t>
        </is>
      </c>
      <c r="CD15" s="143" t="inlineStr">
        <is>
          <t>Barreira Simples</t>
        </is>
      </c>
      <c r="CE15" s="143" t="inlineStr">
        <is>
          <t>—</t>
        </is>
      </c>
      <c r="CF15" s="143" t="inlineStr">
        <is>
          <t>—</t>
        </is>
      </c>
      <c r="CG15" s="14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5">
        <f>IF($CK15=1,"",IF($A$2=4,IF($CI15=1,$CC15,""),IF(OR($CI15=1,AND($A$2=3,$CJ15=1)),"",$CC15)))</f>
        <v/>
      </c>
      <c r="CI15" s="145" t="n">
        <v>0</v>
      </c>
      <c r="CJ15" s="145" t="n">
        <v>0</v>
      </c>
      <c r="CK15" s="145" t="n">
        <v>0</v>
      </c>
      <c r="CL15" s="143" t="inlineStr">
        <is>
          <t>Você delimita uma área para esconder seu interior de pessoas que não são feiticeiras e controlar a passagem por suas bordas.</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(IF(COUNTIF($EB15:$EE15,"Salto")&gt;0,1,0)+IF(COUNTIF($EB15:$EE15,"Queima")&gt;0,1,0)+IF(COUNTIF($EB15:$EE15,"Estilhaço")&gt;0,1,0))*FLOOR($FR15/2,1)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JD15" s="145" t="n">
        <v>14</v>
      </c>
      <c r="JE15" s="145">
        <f>IFERROR(MATCH(14,$HF$2:$HF$37,0),0)</f>
        <v/>
      </c>
      <c r="JF15" s="145">
        <f>IF($JE15=0,"",INDEX($DY$2:$DY$37,$JE15))</f>
        <v/>
      </c>
      <c r="JG15" s="145">
        <f>IF($JE15=0,"",INDEX($DZ$2:$DZ$37,$JE15))</f>
        <v/>
      </c>
      <c r="JH15" s="145">
        <f>IF($JE15=0,"",INDEX($GN$2:$GN$37,$JE15))</f>
        <v/>
      </c>
      <c r="JI15" s="145">
        <f>IF($JE15=0,"",INDEX($EA$2:$EA$37,$JE15))</f>
        <v/>
      </c>
      <c r="JJ15" s="145">
        <f>IF($JE15=0,"",INDEX($GP$2:$GP$37,$JE15))</f>
        <v/>
      </c>
      <c r="JK15" s="145">
        <f>IF($JE15=0,"",INDEX($HE$2:$HE$37,$JE15))</f>
        <v/>
      </c>
      <c r="KB15" s="143" t="inlineStr">
        <is>
          <t>Talento 12</t>
        </is>
      </c>
      <c r="KC15" s="145">
        <f>IFERROR(MATCH(12,$HS$2:$HS$13,0),0)</f>
        <v/>
      </c>
      <c r="KD15" s="145">
        <f>IF($KC15=0,"",IF(INDEX($HM$2:$HM$13,$KC15)=0,"","CE "&amp;INDEX($HM$2:$HM$13,$KC15)))</f>
        <v/>
      </c>
      <c r="KE15" s="145">
        <f>IF($KC15=0,"",INDEX($HL$2:$HL$13,$KC15))</f>
        <v/>
      </c>
      <c r="KF15" s="145">
        <f>IF($KC15=0,"",IF(INDEX($HR$2:$HR$13,$KC15)&lt;&gt;"",INDEX($HR$2:$HR$13,$KC15),IF(IFERROR(VLOOKUP(INDEX($HL$2:$HL$13,$KC15),$BR$2:$BX$24,7,FALSE),"")&lt;&gt;"","Do livro: "&amp;IFERROR(VLOOKUP(INDEX($HL$2:$HL$13,$KC15),$BR$2:$BX$24,7,FALSE),""),"")))</f>
        <v/>
      </c>
      <c r="KH15" s="143" t="inlineStr">
        <is>
          <t>Aptidão 12</t>
        </is>
      </c>
      <c r="KI15" s="145">
        <f>IFERROR(MATCH(12,$IB$2:$IB$13,0),0)</f>
        <v/>
      </c>
      <c r="KJ15" s="145">
        <f>IF($KI15=0,"",INDEX($HX$2:$HX$13,$KI15))</f>
        <v/>
      </c>
      <c r="KK15" s="145">
        <f>IF($KI15=0,"",INDEX($HV$2:$HV$13,$KI15))</f>
        <v/>
      </c>
      <c r="KL15" s="145">
        <f>IF($KI15=0,"",IF(INDEX($IA$2:$IA$13,$KI15)&lt;&gt;"",INDEX($IA$2:$IA$13,$KI15),IF(IFERROR(VLOOKUP(INDEX($HV$2:$HV$13,$KI15),$CC$2:$CL$33,10,FALSE),"")&lt;&gt;"","Do livro: "&amp;IFERROR(VLOOKUP(INDEX($HV$2:$HV$13,$KI15),$CC$2:$CL$33,10,FALSE),""),"")))</f>
        <v/>
      </c>
      <c r="KN15" s="143" t="inlineStr">
        <is>
          <t>par passivas 2</t>
        </is>
      </c>
      <c r="KO15" s="145">
        <f>"TALENTOS 7 A 12"</f>
        <v/>
      </c>
      <c r="KQ15" s="143" t="inlineStr">
        <is>
          <t>L25</t>
        </is>
      </c>
      <c r="KR15" s="145">
        <f>UPPER(INDEX(DADOS_AM!$D$12:$G$12,1,DADOS_AM!$A$2))</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Condicional (Leve)</t>
        </is>
      </c>
      <c r="BM16" s="143" t="inlineStr">
        <is>
          <t>Condicional</t>
        </is>
      </c>
      <c r="BN16" s="145" t="n">
        <v>1</v>
      </c>
      <c r="BO16" s="145" t="n">
        <v>1</v>
      </c>
      <c r="BP16" s="143" t="inlineStr">
        <is>
          <t>Condicional (Leve)</t>
        </is>
      </c>
      <c r="BR16" s="143" t="inlineStr">
        <is>
          <t>Afinidade</t>
        </is>
      </c>
      <c r="BS16" s="145" t="n">
        <v>3</v>
      </c>
      <c r="BT16" s="143" t="inlineStr">
        <is>
          <t>Escolha um tema presente na Regra da sua técnica. Seus feitiços desse tema ignoram cobertura Parcial e resistência ao tipo de dano que causam.</t>
        </is>
      </c>
      <c r="BU16" s="145" t="n">
        <v>1</v>
      </c>
      <c r="BV16" s="145" t="n">
        <v>0</v>
      </c>
      <c r="BW16" s="145">
        <f>IF(OR(AND($A$2&lt;=2,$BU16=1),AND($A$2&gt;=2,$BV16=1)),$BR16,"")</f>
        <v/>
      </c>
      <c r="BX16" s="143" t="inlineStr">
        <is>
          <t>Escolha um tema presente na Regra da sua técnica. Seus feitiços desse tema ignoram cobertura Parcial e resistência ao tipo de dano que causam.</t>
        </is>
      </c>
      <c r="CC16" s="143" t="inlineStr">
        <is>
          <t>Ritual</t>
        </is>
      </c>
      <c r="CD16" s="143" t="inlineStr">
        <is>
          <t>Inteligência 5, nível 10 e Técnica Inata. Regras em Ritual e Pactos</t>
        </is>
      </c>
      <c r="CE16" s="143" t="inlineStr">
        <is>
          <t>—</t>
        </is>
      </c>
      <c r="CF16" s="143" t="inlineStr">
        <is>
          <t>—</t>
        </is>
      </c>
      <c r="CG16" s="14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5">
        <f>IF($CK16=1,"",IF($A$2=4,IF($CI16=1,$CC16,""),IF(OR($CI16=1,AND($A$2=3,$CJ16=1)),"",$CC16)))</f>
        <v/>
      </c>
      <c r="CI16" s="145" t="n">
        <v>0</v>
      </c>
      <c r="CJ16" s="145" t="n">
        <v>0</v>
      </c>
      <c r="CK16" s="145" t="n">
        <v>0</v>
      </c>
      <c r="CL16" s="143" t="inlineStr">
        <is>
          <t>Um Ritual reforça um feitiço com gestos e recitação.</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(IF(COUNTIF($EB16:$EE16,"Salto")&gt;0,1,0)+IF(COUNTIF($EB16:$EE16,"Queima")&gt;0,1,0)+IF(COUNTIF($EB16:$EE16,"Estilhaço")&gt;0,1,0))*FLOOR($FR16/2,1)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JD16" s="145" t="n">
        <v>15</v>
      </c>
      <c r="JE16" s="145">
        <f>IFERROR(MATCH(15,$HF$2:$HF$37,0),0)</f>
        <v/>
      </c>
      <c r="JF16" s="145">
        <f>IF($JE16=0,"",INDEX($DY$2:$DY$37,$JE16))</f>
        <v/>
      </c>
      <c r="JG16" s="145">
        <f>IF($JE16=0,"",INDEX($DZ$2:$DZ$37,$JE16))</f>
        <v/>
      </c>
      <c r="JH16" s="145">
        <f>IF($JE16=0,"",INDEX($GN$2:$GN$37,$JE16))</f>
        <v/>
      </c>
      <c r="JI16" s="145">
        <f>IF($JE16=0,"",INDEX($EA$2:$EA$37,$JE16))</f>
        <v/>
      </c>
      <c r="JJ16" s="145">
        <f>IF($JE16=0,"",INDEX($GP$2:$GP$37,$JE16))</f>
        <v/>
      </c>
      <c r="JK16" s="145">
        <f>IF($JE16=0,"",INDEX($HE$2:$HE$37,$JE16))</f>
        <v/>
      </c>
      <c r="KN16" s="143" t="inlineStr">
        <is>
          <t>par passivas 4</t>
        </is>
      </c>
      <c r="KO16" s="145">
        <f>"TALENTOS 13 A 14"</f>
        <v/>
      </c>
      <c r="KQ16" s="143" t="inlineStr">
        <is>
          <t>R33</t>
        </is>
      </c>
      <c r="KR16" s="145">
        <f>IF(DADOS_AM!$HI$16=0,"—",IF(IFERROR(VLOOKUP(DADOS_AM!$HI$16,DADOS_AM!$BZ$2:$CA$4,2,FALSE),0)&gt;DADOS_AM!$HI$2,"⚠ Nível "&amp;VLOOKUP(DADOS_AM!$HI$16,DADOS_AM!$BZ$2:$CA$4,2,FALSE),IF(DADOS_AM!$HI$16&gt;1,DADOS_AM!$HI$16-1,"De graça")))</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Condicional (Média)</t>
        </is>
      </c>
      <c r="BM17" s="143" t="inlineStr">
        <is>
          <t>Condicional</t>
        </is>
      </c>
      <c r="BN17" s="145" t="n">
        <v>2</v>
      </c>
      <c r="BO17" s="145" t="n">
        <v>1</v>
      </c>
      <c r="BP17" s="143" t="inlineStr"/>
      <c r="BR17" s="143" t="inlineStr">
        <is>
          <t>Reserva Profunda</t>
        </is>
      </c>
      <c r="BS17" s="145" t="n">
        <v>3</v>
      </c>
      <c r="BT17" s="143" t="inlineStr">
        <is>
          <t>Seu PE máximo aumenta em 3 × sua maior Classe. Atualize esse acréscimo quando sua maior Classe aumentar.</t>
        </is>
      </c>
      <c r="BU17" s="145" t="n">
        <v>1</v>
      </c>
      <c r="BV17" s="145" t="n">
        <v>0</v>
      </c>
      <c r="BW17" s="145">
        <f>IF(OR(AND($A$2&lt;=2,$BU17=1),AND($A$2&gt;=2,$BV17=1)),$BR17,"")</f>
        <v/>
      </c>
      <c r="BX17" s="143" t="inlineStr">
        <is>
          <t>Seu PE máximo aumenta em 3 × sua maior Classe. Atualize esse acréscimo quando sua maior Classe aumentar.</t>
        </is>
      </c>
      <c r="CC17" s="143" t="inlineStr">
        <is>
          <t>Aptidão Própria (CE 1)</t>
        </is>
      </c>
      <c r="CD17" s="143" t="inlineStr">
        <is>
          <t>Uma única vez na ficha</t>
        </is>
      </c>
      <c r="CE17" s="145" t="n">
        <v>1</v>
      </c>
      <c r="CF17" s="143" t="inlineStr">
        <is>
          <t>—</t>
        </is>
      </c>
      <c r="CG17"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5">
        <f>IF($CK17=1,"",IF($A$2=4,IF($CI17=1,$CC17,""),IF(OR($CI17=1,AND($A$2=3,$CJ17=1)),"",$CC17)))</f>
        <v/>
      </c>
      <c r="CI17" s="145" t="n">
        <v>0</v>
      </c>
      <c r="CJ17" s="145" t="n">
        <v>0</v>
      </c>
      <c r="CK17" s="145" t="n">
        <v>0</v>
      </c>
      <c r="CL17" s="143" t="inlineStr">
        <is>
          <t>Você cria uma aptidão com o mestre antes da sessão.</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(IF(COUNTIF($EB17:$EE17,"Salto")&gt;0,1,0)+IF(COUNTIF($EB17:$EE17,"Queima")&gt;0,1,0)+IF(COUNTIF($EB17:$EE17,"Estilhaço")&gt;0,1,0))*FLOOR($FR17/2,1)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JD17" s="145" t="n">
        <v>16</v>
      </c>
      <c r="JE17" s="145">
        <f>IFERROR(MATCH(16,$HF$2:$HF$37,0),0)</f>
        <v/>
      </c>
      <c r="JF17" s="145">
        <f>IF($JE17=0,"",INDEX($DY$2:$DY$37,$JE17))</f>
        <v/>
      </c>
      <c r="JG17" s="145">
        <f>IF($JE17=0,"",INDEX($DZ$2:$DZ$37,$JE17))</f>
        <v/>
      </c>
      <c r="JH17" s="145">
        <f>IF($JE17=0,"",INDEX($GN$2:$GN$37,$JE17))</f>
        <v/>
      </c>
      <c r="JI17" s="145">
        <f>IF($JE17=0,"",INDEX($EA$2:$EA$37,$JE17))</f>
        <v/>
      </c>
      <c r="JJ17" s="145">
        <f>IF($JE17=0,"",INDEX($GP$2:$GP$37,$JE17))</f>
        <v/>
      </c>
      <c r="JK17" s="145">
        <f>IF($JE17=0,"",INDEX($HE$2:$HE$37,$JE17))</f>
        <v/>
      </c>
      <c r="KN17" s="143" t="inlineStr">
        <is>
          <t>par aptidões 2</t>
        </is>
      </c>
      <c r="KO17" s="145">
        <f>UPPER(INDEX($D$6:$G$6,1,$A$2))&amp;" 7 A 12"</f>
        <v/>
      </c>
      <c r="KQ17" s="143" t="inlineStr">
        <is>
          <t>Q37</t>
        </is>
      </c>
      <c r="KR17" s="145">
        <f>IF(OR(DADOS_AM!$HI$30&lt;&gt;2,DADOS_AM!$HI$31&lt;&gt;3),"⚠ ","")&amp;DADOS_AM!$HI$30&amp;" de 2 · "&amp;DADOS_AM!$HI$31&amp;" de 3"</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Aquecer</t>
        </is>
      </c>
      <c r="BM18" s="143" t="inlineStr">
        <is>
          <t>Aquecer</t>
        </is>
      </c>
      <c r="BN18" s="145" t="n">
        <v>1</v>
      </c>
      <c r="BO18" s="145" t="n">
        <v>1</v>
      </c>
      <c r="BP18" s="143" t="inlineStr">
        <is>
          <t>Aquecer</t>
        </is>
      </c>
      <c r="BR18" s="143" t="inlineStr">
        <is>
          <t>Talento Próprio (CE 1)</t>
        </is>
      </c>
      <c r="BS18" s="145" t="n">
        <v>1</v>
      </c>
      <c r="BT18"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5" t="n">
        <v>1</v>
      </c>
      <c r="BV18" s="145" t="n">
        <v>1</v>
      </c>
      <c r="BW18" s="145">
        <f>IF(OR(AND($A$2&lt;=2,$BU18=1),AND($A$2&gt;=2,$BV18=1)),$BR18,"")</f>
        <v/>
      </c>
      <c r="BX18" s="143" t="inlineStr">
        <is>
          <t>Categoria de Efeito 1, 2 ou 3. Custos e níveis da Categoria escolhida. Se o catálogo não representar a ideia, escreva o efeito com o mestre antes da sessão. Ele ocupa os espaços correspondentes e conta no máximo de cinco Talentos pagos.</t>
        </is>
      </c>
      <c r="CC18" s="143" t="inlineStr">
        <is>
          <t>Aptidão Própria (CE 2)</t>
        </is>
      </c>
      <c r="CD18" s="143" t="inlineStr">
        <is>
          <t>Uma única vez na ficha</t>
        </is>
      </c>
      <c r="CE18" s="145" t="n">
        <v>2</v>
      </c>
      <c r="CF18" s="143" t="inlineStr">
        <is>
          <t>—</t>
        </is>
      </c>
      <c r="CG18"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5">
        <f>IF($CK18=1,"",IF($A$2=4,IF($CI18=1,$CC18,""),IF(OR($CI18=1,AND($A$2=3,$CJ18=1)),"",$CC18)))</f>
        <v/>
      </c>
      <c r="CI18" s="145" t="n">
        <v>0</v>
      </c>
      <c r="CJ18" s="145" t="n">
        <v>0</v>
      </c>
      <c r="CK18" s="145" t="n">
        <v>0</v>
      </c>
      <c r="CL18" s="143" t="inlineStr">
        <is>
          <t>Você cria uma aptidão com o mestre antes da sessão.</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(IF(COUNTIF($EB18:$EE18,"Salto")&gt;0,1,0)+IF(COUNTIF($EB18:$EE18,"Queima")&gt;0,1,0)+IF(COUNTIF($EB18:$EE18,"Estilhaço")&gt;0,1,0))*FLOOR($FR18/2,1)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JD18" s="145" t="n">
        <v>17</v>
      </c>
      <c r="JE18" s="145">
        <f>IFERROR(MATCH(17,$HF$2:$HF$37,0),0)</f>
        <v/>
      </c>
      <c r="JF18" s="145">
        <f>IF($JE18=0,"",INDEX($DY$2:$DY$37,$JE18))</f>
        <v/>
      </c>
      <c r="JG18" s="145">
        <f>IF($JE18=0,"",INDEX($DZ$2:$DZ$37,$JE18))</f>
        <v/>
      </c>
      <c r="JH18" s="145">
        <f>IF($JE18=0,"",INDEX($GN$2:$GN$37,$JE18))</f>
        <v/>
      </c>
      <c r="JI18" s="145">
        <f>IF($JE18=0,"",INDEX($EA$2:$EA$37,$JE18))</f>
        <v/>
      </c>
      <c r="JJ18" s="145">
        <f>IF($JE18=0,"",INDEX($GP$2:$GP$37,$JE18))</f>
        <v/>
      </c>
      <c r="JK18" s="145">
        <f>IF($JE18=0,"",INDEX($HE$2:$HE$37,$JE18))</f>
        <v/>
      </c>
      <c r="KN18" s="143" t="inlineStr">
        <is>
          <t>par aptidões 4</t>
        </is>
      </c>
      <c r="KO18" s="145">
        <f>UPPER(INDEX($D$6:$G$6,1,$A$2))&amp;" 13 A 14"</f>
        <v/>
      </c>
      <c r="KQ18" s="143" t="inlineStr">
        <is>
          <t>J42</t>
        </is>
      </c>
      <c r="KR18" s="145">
        <f>"+"&amp;DADOS_AM!$HI$8</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Dívida</t>
        </is>
      </c>
      <c r="BM19" s="143" t="inlineStr">
        <is>
          <t>Dívida</t>
        </is>
      </c>
      <c r="BN19" s="145" t="n">
        <v>2</v>
      </c>
      <c r="BO19" s="145" t="n">
        <v>1</v>
      </c>
      <c r="BP19" s="143" t="inlineStr"/>
      <c r="BR19" s="143" t="inlineStr">
        <is>
          <t>Talento Próprio (CE 2)</t>
        </is>
      </c>
      <c r="BS19" s="145" t="n">
        <v>2</v>
      </c>
      <c r="BT19"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5" t="n">
        <v>1</v>
      </c>
      <c r="BV19" s="145" t="n">
        <v>1</v>
      </c>
      <c r="BW19" s="145">
        <f>IF(OR(AND($A$2&lt;=2,$BU19=1),AND($A$2&gt;=2,$BV19=1)),$BR19,"")</f>
        <v/>
      </c>
      <c r="BX19" s="143" t="inlineStr">
        <is>
          <t>Categoria de Efeito 1, 2 ou 3. Custos e níveis da Categoria escolhida. Se o catálogo não representar a ideia, escreva o efeito com o mestre antes da sessão. Ele ocupa os espaços correspondentes e conta no máximo de cinco Talentos pagos.</t>
        </is>
      </c>
      <c r="CC19" s="143" t="inlineStr">
        <is>
          <t>Defesa sem Armadura</t>
        </is>
      </c>
      <c r="CD19" s="143" t="inlineStr">
        <is>
          <t>Gratuita na Lapidação 1</t>
        </is>
      </c>
      <c r="CE19" s="143" t="inlineStr">
        <is>
          <t>—</t>
        </is>
      </c>
      <c r="CF19" s="143" t="inlineStr">
        <is>
          <t>Proteção</t>
        </is>
      </c>
      <c r="CG19" s="14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5">
        <f>IF($CK19=1,"",IF($A$2=4,IF($CI19=1,$CC19,""),IF(OR($CI19=1,AND($A$2=3,$CJ19=1)),"",$CC19)))</f>
        <v/>
      </c>
      <c r="CI19" s="145" t="n">
        <v>1</v>
      </c>
      <c r="CJ19" s="145" t="n">
        <v>0</v>
      </c>
      <c r="CK19" s="145" t="n">
        <v>1</v>
      </c>
      <c r="CL19" s="143" t="inlineStr">
        <is>
          <t>Enquanto não usar Traje nem Revestimento, você recebe proteção igual a um terço da Lapidação, arredondado para baixo, +1.</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(IF(COUNTIF($EB19:$EE19,"Salto")&gt;0,1,0)+IF(COUNTIF($EB19:$EE19,"Queima")&gt;0,1,0)+IF(COUNTIF($EB19:$EE19,"Estilhaço")&gt;0,1,0))*FLOOR($FR19/2,1)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JD19" s="145" t="n">
        <v>18</v>
      </c>
      <c r="JE19" s="145">
        <f>IFERROR(MATCH(18,$HF$2:$HF$37,0),0)</f>
        <v/>
      </c>
      <c r="JF19" s="145">
        <f>IF($JE19=0,"",INDEX($DY$2:$DY$37,$JE19))</f>
        <v/>
      </c>
      <c r="JG19" s="145">
        <f>IF($JE19=0,"",INDEX($DZ$2:$DZ$37,$JE19))</f>
        <v/>
      </c>
      <c r="JH19" s="145">
        <f>IF($JE19=0,"",INDEX($GN$2:$GN$37,$JE19))</f>
        <v/>
      </c>
      <c r="JI19" s="145">
        <f>IF($JE19=0,"",INDEX($EA$2:$EA$37,$JE19))</f>
        <v/>
      </c>
      <c r="JJ19" s="145">
        <f>IF($JE19=0,"",INDEX($GP$2:$GP$37,$JE19))</f>
        <v/>
      </c>
      <c r="JK19" s="145">
        <f>IF($JE19=0,"",INDEX($HE$2:$HE$37,$JE19))</f>
        <v/>
      </c>
      <c r="KQ19" s="143" t="inlineStr">
        <is>
          <t>L41</t>
        </is>
      </c>
      <c r="KR19" s="145">
        <f>"EM "&amp;UPPER(INDEX(DADOS_AM!$D$3:$G$3,1,DADOS_AM!$A$2))</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De Novo</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Tudo ou Nada</t>
        </is>
      </c>
      <c r="BM20" s="143" t="inlineStr">
        <is>
          <t>Tudo ou Nada</t>
        </is>
      </c>
      <c r="BN20" s="145" t="n">
        <v>1</v>
      </c>
      <c r="BO20" s="145" t="n">
        <v>0</v>
      </c>
      <c r="BP20" s="143" t="inlineStr">
        <is>
          <t>Tudo ou Nada</t>
        </is>
      </c>
      <c r="BR20" s="143" t="inlineStr">
        <is>
          <t>Talento Próprio (CE 3)</t>
        </is>
      </c>
      <c r="BS20" s="145" t="n">
        <v>3</v>
      </c>
      <c r="BT20"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5" t="n">
        <v>1</v>
      </c>
      <c r="BV20" s="145" t="n">
        <v>1</v>
      </c>
      <c r="BW20" s="145">
        <f>IF(OR(AND($A$2&lt;=2,$BU20=1),AND($A$2&gt;=2,$BV20=1)),$BR20,"")</f>
        <v/>
      </c>
      <c r="BX20" s="143" t="inlineStr">
        <is>
          <t>Categoria de Efeito 1, 2 ou 3. Custos e níveis da Categoria escolhida. Se o catálogo não representar a ideia, escreva o efeito com o mestre antes da sessão. Ele ocupa os espaços correspondentes e conta no máximo de cinco Talentos pagos.</t>
        </is>
      </c>
      <c r="CC20" s="143" t="inlineStr">
        <is>
          <t>Estímulo Muscular</t>
        </is>
      </c>
      <c r="CD20" s="143" t="inlineStr">
        <is>
          <t>Gratuita na Lapidação 1</t>
        </is>
      </c>
      <c r="CE20" s="143" t="inlineStr">
        <is>
          <t>—</t>
        </is>
      </c>
      <c r="CF20" s="143" t="inlineStr">
        <is>
          <t>Dano adicional</t>
        </is>
      </c>
      <c r="CG20" s="14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5">
        <f>IF($CK20=1,"",IF($A$2=4,IF($CI20=1,$CC20,""),IF(OR($CI20=1,AND($A$2=3,$CJ20=1)),"",$CC20)))</f>
        <v/>
      </c>
      <c r="CI20" s="145" t="n">
        <v>1</v>
      </c>
      <c r="CJ20" s="145" t="n">
        <v>0</v>
      </c>
      <c r="CK20" s="145" t="n">
        <v>1</v>
      </c>
      <c r="CL20" s="143" t="inlineStr">
        <is>
          <t>Escolha uma perícia e um Teste de Resistência na criação.</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(IF(COUNTIF($EB20:$EE20,"Salto")&gt;0,1,0)+IF(COUNTIF($EB20:$EE20,"Queima")&gt;0,1,0)+IF(COUNTIF($EB20:$EE20,"Estilhaço")&gt;0,1,0))*FLOOR($FR20/2,1)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JD20" s="145" t="n">
        <v>19</v>
      </c>
      <c r="JE20" s="145">
        <f>IFERROR(MATCH(19,$HF$2:$HF$37,0),0)</f>
        <v/>
      </c>
      <c r="JF20" s="145">
        <f>IF($JE20=0,"",INDEX($DY$2:$DY$37,$JE20))</f>
        <v/>
      </c>
      <c r="JG20" s="145">
        <f>IF($JE20=0,"",INDEX($DZ$2:$DZ$37,$JE20))</f>
        <v/>
      </c>
      <c r="JH20" s="145">
        <f>IF($JE20=0,"",INDEX($GN$2:$GN$37,$JE20))</f>
        <v/>
      </c>
      <c r="JI20" s="145">
        <f>IF($JE20=0,"",INDEX($EA$2:$EA$37,$JE20))</f>
        <v/>
      </c>
      <c r="JJ20" s="145">
        <f>IF($JE20=0,"",INDEX($GP$2:$GP$37,$JE20))</f>
        <v/>
      </c>
      <c r="JK20" s="145">
        <f>IF($JE20=0,"",INDEX($HE$2:$HE$37,$JE20))</f>
        <v/>
      </c>
      <c r="KQ20" s="143" t="inlineStr">
        <is>
          <t>P42</t>
        </is>
      </c>
      <c r="KR20" s="145">
        <f>IF(DADOS_AM!$HI$20=1,"⚠ ","")&amp;DADOS_AM!$HI$18</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visão a olho nu</t>
        </is>
      </c>
      <c r="AU21" s="143" t="inlineStr">
        <is>
          <t>Um aliado a visão a olho nu</t>
        </is>
      </c>
      <c r="AV21" s="143" t="inlineStr"/>
      <c r="AW21" s="143" t="inlineStr"/>
      <c r="AX21" s="143" t="inlineStr"/>
      <c r="AY21" s="143" t="inlineStr"/>
      <c r="AZ21" s="143" t="inlineStr"/>
      <c r="BA21" s="143" t="inlineStr"/>
      <c r="BC21" s="143" t="inlineStr">
        <is>
          <t>Fura</t>
        </is>
      </c>
      <c r="BD21" s="143" t="inlineStr">
        <is>
          <t>Mira</t>
        </is>
      </c>
      <c r="BE21" s="145" t="n">
        <v>2</v>
      </c>
      <c r="BF21" s="145">
        <f>$BE21+3*IFERROR(VLOOKUP($BD21,$I$2:$L$10,3,FALSE),0)</f>
        <v/>
      </c>
      <c r="BG21" s="145">
        <f>IFERROR(VLOOKUP($BD21,$I$2:$L$10,4,FALSE),0)</f>
        <v/>
      </c>
      <c r="BH21" s="145" t="n">
        <v>0</v>
      </c>
      <c r="BI21" s="145">
        <f>IF($BG21=1,"",$BC21)</f>
        <v/>
      </c>
      <c r="BJ21" s="145">
        <f>IF(AND($BE21=1,$BG21=0),$BC21,"")</f>
        <v/>
      </c>
      <c r="BL21" s="143" t="inlineStr">
        <is>
          <t>Barulho</t>
        </is>
      </c>
      <c r="BM21" s="143" t="inlineStr">
        <is>
          <t>Barulho</t>
        </is>
      </c>
      <c r="BN21" s="145" t="n">
        <v>1</v>
      </c>
      <c r="BO21" s="145" t="n">
        <v>0</v>
      </c>
      <c r="BP21" s="143" t="inlineStr">
        <is>
          <t>Barulho</t>
        </is>
      </c>
      <c r="BR21" s="143" t="inlineStr">
        <is>
          <t>Maldição do Inventário</t>
        </is>
      </c>
      <c r="BS21" s="145" t="n">
        <v>1</v>
      </c>
      <c r="BT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5" t="n">
        <v>0</v>
      </c>
      <c r="BV21" s="145" t="n">
        <v>1</v>
      </c>
      <c r="BW21" s="145">
        <f>IF(OR(AND($A$2&lt;=2,$BU21=1),AND($A$2&gt;=2,$BV21=1)),$BR21,"")</f>
        <v/>
      </c>
      <c r="BX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3" t="inlineStr">
        <is>
          <t>Ímpeto</t>
        </is>
      </c>
      <c r="CD21" s="143" t="inlineStr">
        <is>
          <t>Lapidação 4 e Destreza 4</t>
        </is>
      </c>
      <c r="CE21" s="145" t="n">
        <v>2</v>
      </c>
      <c r="CF21" s="143" t="inlineStr">
        <is>
          <t>—</t>
        </is>
      </c>
      <c r="CG21" s="14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5">
        <f>IF($CK21=1,"",IF($A$2=4,IF($CI21=1,$CC21,""),IF(OR($CI21=1,AND($A$2=3,$CJ21=1)),"",$CC21)))</f>
        <v/>
      </c>
      <c r="CI21" s="145" t="n">
        <v>1</v>
      </c>
      <c r="CJ21" s="145" t="n">
        <v>0</v>
      </c>
      <c r="CK21" s="145" t="n">
        <v>0</v>
      </c>
      <c r="CL21" s="143" t="inlineStr">
        <is>
          <t>Como Ação Bônus, mova-se até seu deslocamento sem provocar ataques de oportunidade.</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(IF(COUNTIF($EB21:$EE21,"Salto")&gt;0,1,0)+IF(COUNTIF($EB21:$EE21,"Queima")&gt;0,1,0)+IF(COUNTIF($EB21:$EE21,"Estilhaço")&gt;0,1,0))*FLOOR($FR21/2,1)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JD21" s="145" t="n">
        <v>20</v>
      </c>
      <c r="JE21" s="145">
        <f>IFERROR(MATCH(20,$HF$2:$HF$37,0),0)</f>
        <v/>
      </c>
      <c r="JF21" s="145">
        <f>IF($JE21=0,"",INDEX($DY$2:$DY$37,$JE21))</f>
        <v/>
      </c>
      <c r="JG21" s="145">
        <f>IF($JE21=0,"",INDEX($DZ$2:$DZ$37,$JE21))</f>
        <v/>
      </c>
      <c r="JH21" s="145">
        <f>IF($JE21=0,"",INDEX($GN$2:$GN$37,$JE21))</f>
        <v/>
      </c>
      <c r="JI21" s="145">
        <f>IF($JE21=0,"",INDEX($EA$2:$EA$37,$JE21))</f>
        <v/>
      </c>
      <c r="JJ21" s="145">
        <f>IF($JE21=0,"",INDEX($GP$2:$GP$37,$JE21))</f>
        <v/>
      </c>
      <c r="JK21" s="145">
        <f>IF($JE21=0,"",INDEX($HE$2:$HE$37,$JE21))</f>
        <v/>
      </c>
      <c r="KQ21" s="143" t="inlineStr">
        <is>
          <t>Q42</t>
        </is>
      </c>
      <c r="KR21" s="145">
        <f>IF(DADOS_AM!$HI$20=1,"⚠ ","")&amp;DADOS_AM!$HI$19</f>
        <v/>
      </c>
    </row>
    <row r="22">
      <c r="AO22" s="143" t="inlineStr">
        <is>
          <t>Cura · classes 6 e 7</t>
        </is>
      </c>
      <c r="AP22" s="143" t="inlineStr">
        <is>
          <t>Um aliado a 18 m</t>
        </is>
      </c>
      <c r="AQ22" s="143" t="inlineStr">
        <is>
          <t>Um aliado a 36 m</t>
        </is>
      </c>
      <c r="AR22" s="143" t="inlineStr">
        <is>
          <t>Um aliado a 90 m</t>
        </is>
      </c>
      <c r="AS22" s="143" t="inlineStr">
        <is>
          <t>Um aliado a visão a olho nu</t>
        </is>
      </c>
      <c r="AT22" s="143" t="inlineStr">
        <is>
          <t>Um aliado a visão a olho nu</t>
        </is>
      </c>
      <c r="AU22" s="143" t="inlineStr">
        <is>
          <t>Um aliado a visão a olho nu</t>
        </is>
      </c>
      <c r="AV22" s="143" t="inlineStr"/>
      <c r="AW22" s="143" t="inlineStr"/>
      <c r="AX22" s="143" t="inlineStr"/>
      <c r="AY22" s="143" t="inlineStr"/>
      <c r="AZ22" s="143" t="inlineStr"/>
      <c r="BA22" s="143" t="inlineStr"/>
      <c r="BC22" s="143" t="inlineStr">
        <is>
          <t>Corrói</t>
        </is>
      </c>
      <c r="BD22" s="143" t="inlineStr">
        <is>
          <t>Mira</t>
        </is>
      </c>
      <c r="BE22" s="145" t="n">
        <v>3</v>
      </c>
      <c r="BF22" s="145">
        <f>$BE22+3*IFERROR(VLOOKUP($BD22,$I$2:$L$10,3,FALSE),0)</f>
        <v/>
      </c>
      <c r="BG22" s="145">
        <f>IFERROR(VLOOKUP($BD22,$I$2:$L$10,4,FALSE),0)</f>
        <v/>
      </c>
      <c r="BH22" s="145" t="n">
        <v>0</v>
      </c>
      <c r="BI22" s="145">
        <f>IF($BG22=1,"",$BC22)</f>
        <v/>
      </c>
      <c r="BJ22" s="145">
        <f>IF(AND($BE22=1,$BG22=0),$BC22,"")</f>
        <v/>
      </c>
      <c r="BL22" s="143" t="inlineStr">
        <is>
          <t>Assinatura</t>
        </is>
      </c>
      <c r="BM22" s="143" t="inlineStr">
        <is>
          <t>Assinatura</t>
        </is>
      </c>
      <c r="BN22" s="145" t="n">
        <v>1</v>
      </c>
      <c r="BO22" s="145" t="n">
        <v>0</v>
      </c>
      <c r="BP22" s="143" t="inlineStr">
        <is>
          <t>Assinatura</t>
        </is>
      </c>
      <c r="BR22" s="143" t="inlineStr">
        <is>
          <t>Segundo Fôlego</t>
        </is>
      </c>
      <c r="BS22" s="145" t="n">
        <v>2</v>
      </c>
      <c r="BT22" s="143" t="inlineStr">
        <is>
          <t>Uma vez por descanso longo, ao escolher Insistir, você pode dispensar o primeiro custo de vida máxima, correspondente a 1/8 do máximo de referência daquela queda.</t>
        </is>
      </c>
      <c r="BU22" s="145" t="n">
        <v>0</v>
      </c>
      <c r="BV22" s="145" t="n">
        <v>1</v>
      </c>
      <c r="BW22" s="145">
        <f>IF(OR(AND($A$2&lt;=2,$BU22=1),AND($A$2&gt;=2,$BV22=1)),$BR22,"")</f>
        <v/>
      </c>
      <c r="BX22" s="143" t="inlineStr">
        <is>
          <t>Uma vez por descanso longo, ao escolher Insistir, você pode dispensar o primeiro custo de vida máxima, correspondente a 1/8 do máximo de referência daquela queda.</t>
        </is>
      </c>
      <c r="CC22" s="143" t="inlineStr">
        <is>
          <t>Casco</t>
        </is>
      </c>
      <c r="CD22" s="143" t="inlineStr">
        <is>
          <t>Lapidação 7 e Constituição 4</t>
        </is>
      </c>
      <c r="CE22" s="145" t="n">
        <v>3</v>
      </c>
      <c r="CF22" s="143" t="inlineStr">
        <is>
          <t>—</t>
        </is>
      </c>
      <c r="CG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5">
        <f>IF($CK22=1,"",IF($A$2=4,IF($CI22=1,$CC22,""),IF(OR($CI22=1,AND($A$2=3,$CJ22=1)),"",$CC22)))</f>
        <v/>
      </c>
      <c r="CI22" s="145" t="n">
        <v>1</v>
      </c>
      <c r="CJ22" s="145" t="n">
        <v>0</v>
      </c>
      <c r="CK22" s="145" t="n">
        <v>0</v>
      </c>
      <c r="CL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(IF(COUNTIF($EB22:$EE22,"Salto")&gt;0,1,0)+IF(COUNTIF($EB22:$EE22,"Queima")&gt;0,1,0)+IF(COUNTIF($EB22:$EE22,"Estilhaço")&gt;0,1,0))*FLOOR($FR22/2,1)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JD22" s="145" t="n">
        <v>21</v>
      </c>
      <c r="JE22" s="145">
        <f>IFERROR(MATCH(21,$HF$2:$HF$37,0),0)</f>
        <v/>
      </c>
      <c r="JF22" s="145">
        <f>IF($JE22=0,"",INDEX($DY$2:$DY$37,$JE22))</f>
        <v/>
      </c>
      <c r="JG22" s="145">
        <f>IF($JE22=0,"",INDEX($DZ$2:$DZ$37,$JE22))</f>
        <v/>
      </c>
      <c r="JH22" s="145">
        <f>IF($JE22=0,"",INDEX($GN$2:$GN$37,$JE22))</f>
        <v/>
      </c>
      <c r="JI22" s="145">
        <f>IF($JE22=0,"",INDEX($EA$2:$EA$37,$JE22))</f>
        <v/>
      </c>
      <c r="JJ22" s="145">
        <f>IF($JE22=0,"",INDEX($GP$2:$GP$37,$JE22))</f>
        <v/>
      </c>
      <c r="JK22" s="145">
        <f>IF($JE22=0,"",INDEX($HE$2:$HE$37,$JE22))</f>
        <v/>
      </c>
      <c r="KQ22" s="143" t="inlineStr">
        <is>
          <t>R42</t>
        </is>
      </c>
      <c r="KR22" s="145">
        <f>IF(DADOS_AM!$HI$22&lt;0,"⚠ ","")&amp;DADOS_AM!$HI$22</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visão a olho nu</t>
        </is>
      </c>
      <c r="AV23" s="143" t="inlineStr"/>
      <c r="AW23" s="143" t="inlineStr"/>
      <c r="AX23" s="143" t="inlineStr"/>
      <c r="AY23" s="143" t="inlineStr"/>
      <c r="AZ23" s="143" t="inlineStr"/>
      <c r="BA23" s="143" t="inlineStr"/>
      <c r="BC23" s="143" t="inlineStr">
        <is>
          <t>Sem Cobertura</t>
        </is>
      </c>
      <c r="BD23" s="143" t="inlineStr">
        <is>
          <t>Mira</t>
        </is>
      </c>
      <c r="BE23" s="145" t="n">
        <v>1</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Quando uma criatura errar um ataque corpo a corpo contra você, pode guardar uma resposta contra ela. Sua próxima rolagem de ataque de uma Kata contra essa criatura tem vantagem. O benefício termina depois dessa rolagem ou ao fim da cena.</t>
        </is>
      </c>
      <c r="BU23" s="145" t="n">
        <v>0</v>
      </c>
      <c r="BV23" s="145" t="n">
        <v>1</v>
      </c>
      <c r="BW23" s="145">
        <f>IF(OR(AND($A$2&lt;=2,$BU23=1),AND($A$2&gt;=2,$BV23=1)),$BR23,"")</f>
        <v/>
      </c>
      <c r="BX23" s="143" t="inlineStr">
        <is>
          <t>Quando uma criatura errar um ataque corpo a corpo contra você, pode guardar uma resposta contra ela. Sua próxima rolagem de ataque de uma Kata contra essa criatura tem vantagem. O benefício termina depois dessa rolagem ou ao fim da cena.</t>
        </is>
      </c>
      <c r="CC23" s="143" t="inlineStr">
        <is>
          <t>Presilha</t>
        </is>
      </c>
      <c r="CD23" s="143" t="inlineStr">
        <is>
          <t>Lapidação 4 e Força 4</t>
        </is>
      </c>
      <c r="CE23" s="145" t="n">
        <v>2</v>
      </c>
      <c r="CF23" s="143" t="inlineStr">
        <is>
          <t>—</t>
        </is>
      </c>
      <c r="CG23" s="14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5">
        <f>IF($CK23=1,"",IF($A$2=4,IF($CI23=1,$CC23,""),IF(OR($CI23=1,AND($A$2=3,$CJ23=1)),"",$CC23)))</f>
        <v/>
      </c>
      <c r="CI23" s="145" t="n">
        <v>1</v>
      </c>
      <c r="CJ23" s="145" t="n">
        <v>0</v>
      </c>
      <c r="CK23" s="145" t="n">
        <v>0</v>
      </c>
      <c r="CL23" s="143" t="inlineStr">
        <is>
          <t>Uma vez por rodada, quando uma criatura passar num TR para evitar que você a agarre, derrube ou mova à força, pode obrigá-la a repetir esse TR.</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(IF(COUNTIF($EB23:$EE23,"Salto")&gt;0,1,0)+IF(COUNTIF($EB23:$EE23,"Queima")&gt;0,1,0)+IF(COUNTIF($EB23:$EE23,"Estilhaço")&gt;0,1,0))*FLOOR($FR23/2,1)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JD23" s="145" t="n">
        <v>22</v>
      </c>
      <c r="JE23" s="145">
        <f>IFERROR(MATCH(22,$HF$2:$HF$37,0),0)</f>
        <v/>
      </c>
      <c r="JF23" s="145">
        <f>IF($JE23=0,"",INDEX($DY$2:$DY$37,$JE23))</f>
        <v/>
      </c>
      <c r="JG23" s="145">
        <f>IF($JE23=0,"",INDEX($DZ$2:$DZ$37,$JE23))</f>
        <v/>
      </c>
      <c r="JH23" s="145">
        <f>IF($JE23=0,"",INDEX($GN$2:$GN$37,$JE23))</f>
        <v/>
      </c>
      <c r="JI23" s="145">
        <f>IF($JE23=0,"",INDEX($EA$2:$EA$37,$JE23))</f>
        <v/>
      </c>
      <c r="JJ23" s="145">
        <f>IF($JE23=0,"",INDEX($GP$2:$GP$37,$JE23))</f>
        <v/>
      </c>
      <c r="JK23" s="145">
        <f>IF($JE23=0,"",INDEX($HE$2:$HE$37,$JE23))</f>
        <v/>
      </c>
      <c r="KQ23" s="143" t="inlineStr">
        <is>
          <t>E46</t>
        </is>
      </c>
      <c r="KR23" s="145">
        <f>3*DADOS_AM!$HI$29</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visão a olho nu</t>
        </is>
      </c>
      <c r="AU24" s="143" t="inlineStr">
        <is>
          <t>Um aliado a visão a olho nu</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Escolha uma de suas armas ao adquirir este Talento. Ela não pode ser desarmada contra sua vontade e somente você pode empunhá-la para utilizá-la.</t>
        </is>
      </c>
      <c r="BU24" s="145" t="n">
        <v>0</v>
      </c>
      <c r="BV24" s="145" t="n">
        <v>1</v>
      </c>
      <c r="BW24" s="145">
        <f>IF(OR(AND($A$2&lt;=2,$BU24=1),AND($A$2&gt;=2,$BV24=1)),$BR24,"")</f>
        <v/>
      </c>
      <c r="BX24" s="143" t="inlineStr">
        <is>
          <t>Escolha uma de suas armas ao adquirir este Talento. Ela não pode ser desarmada contra sua vontade e somente você pode empunhá-la para utilizá-la.</t>
        </is>
      </c>
      <c r="CC24" s="143" t="inlineStr">
        <is>
          <t>Vigília</t>
        </is>
      </c>
      <c r="CD24" s="143" t="inlineStr">
        <is>
          <t>Lapidação 4</t>
        </is>
      </c>
      <c r="CE24" s="145" t="n">
        <v>2</v>
      </c>
      <c r="CF24" s="143" t="inlineStr">
        <is>
          <t>—</t>
        </is>
      </c>
      <c r="CG24" s="14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5">
        <f>IF($CK24=1,"",IF($A$2=4,IF($CI24=1,$CC24,""),IF(OR($CI24=1,AND($A$2=3,$CJ24=1)),"",$CC24)))</f>
        <v/>
      </c>
      <c r="CI24" s="145" t="n">
        <v>1</v>
      </c>
      <c r="CJ24" s="145" t="n">
        <v>0</v>
      </c>
      <c r="CK24" s="145" t="n">
        <v>0</v>
      </c>
      <c r="CL24" s="143" t="inlineStr">
        <is>
          <t>Ao aplicar as consequências de Exaustão, conte um estágio a menos, até o mínimo de zero.</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(IF(COUNTIF($EB24:$EE24,"Salto")&gt;0,1,0)+IF(COUNTIF($EB24:$EE24,"Queima")&gt;0,1,0)+IF(COUNTIF($EB24:$EE24,"Estilhaço")&gt;0,1,0))*FLOOR($FR24/2,1)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JD24" s="145" t="n">
        <v>23</v>
      </c>
      <c r="JE24" s="145">
        <f>IFERROR(MATCH(23,$HF$2:$HF$37,0),0)</f>
        <v/>
      </c>
      <c r="JF24" s="145">
        <f>IF($JE24=0,"",INDEX($DY$2:$DY$37,$JE24))</f>
        <v/>
      </c>
      <c r="JG24" s="145">
        <f>IF($JE24=0,"",INDEX($DZ$2:$DZ$37,$JE24))</f>
        <v/>
      </c>
      <c r="JH24" s="145">
        <f>IF($JE24=0,"",INDEX($GN$2:$GN$37,$JE24))</f>
        <v/>
      </c>
      <c r="JI24" s="145">
        <f>IF($JE24=0,"",INDEX($EA$2:$EA$37,$JE24))</f>
        <v/>
      </c>
      <c r="JJ24" s="145">
        <f>IF($JE24=0,"",INDEX($GP$2:$GP$37,$JE24))</f>
        <v/>
      </c>
      <c r="JK24" s="145">
        <f>IF($JE24=0,"",INDEX($HE$2:$HE$37,$JE24))</f>
        <v/>
      </c>
      <c r="KQ24" s="143" t="inlineStr">
        <is>
          <t>F46</t>
        </is>
      </c>
      <c r="KR24" s="145">
        <f>INDEX(DADOS_AM!$P$2:$W$8,DADOS_AM!$HI$29,2)</f>
        <v/>
      </c>
    </row>
    <row r="25">
      <c r="AO25" s="143" t="inlineStr">
        <is>
          <t>Apoio · classes 6 e 7</t>
        </is>
      </c>
      <c r="AP25" s="143" t="inlineStr">
        <is>
          <t>Um aliado a 18 m</t>
        </is>
      </c>
      <c r="AQ25" s="143" t="inlineStr">
        <is>
          <t>Um aliado a 36 m</t>
        </is>
      </c>
      <c r="AR25" s="143" t="inlineStr">
        <is>
          <t>Um aliado a 90 m</t>
        </is>
      </c>
      <c r="AS25" s="143" t="inlineStr">
        <is>
          <t>Um aliado a visão a olho nu</t>
        </is>
      </c>
      <c r="AT25" s="143" t="inlineStr">
        <is>
          <t>Um aliado a visão a olho nu</t>
        </is>
      </c>
      <c r="AU25" s="143" t="inlineStr">
        <is>
          <t>Um aliado a visão a olho nu</t>
        </is>
      </c>
      <c r="AV25" s="143" t="inlineStr"/>
      <c r="AW25" s="143" t="inlineStr"/>
      <c r="AX25" s="143" t="inlineStr"/>
      <c r="AY25" s="143" t="inlineStr"/>
      <c r="AZ25" s="143" t="inlineStr"/>
      <c r="BA25" s="143" t="inlineStr"/>
      <c r="BC25" s="143" t="inlineStr">
        <is>
          <t>Lento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Lapidação 1</t>
        </is>
      </c>
      <c r="CE25" s="145" t="n">
        <v>1</v>
      </c>
      <c r="CF25" s="143" t="inlineStr">
        <is>
          <t>—</t>
        </is>
      </c>
      <c r="CG25" s="14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5">
        <f>IF($CK25=1,"",IF($A$2=4,IF($CI25=1,$CC25,""),IF(OR($CI25=1,AND($A$2=3,$CJ25=1)),"",$CC25)))</f>
        <v/>
      </c>
      <c r="CI25" s="145" t="n">
        <v>1</v>
      </c>
      <c r="CJ25" s="145" t="n">
        <v>0</v>
      </c>
      <c r="CK25" s="145" t="n">
        <v>0</v>
      </c>
      <c r="CL25" s="143" t="inlineStr">
        <is>
          <t>Você pode seguir feiticeiros e maldições pelos vestígios físicos que deixaram: cheiro, marcas e objetos fora do lugar.</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(IF(COUNTIF($EB25:$EE25,"Salto")&gt;0,1,0)+IF(COUNTIF($EB25:$EE25,"Queima")&gt;0,1,0)+IF(COUNTIF($EB25:$EE25,"Estilhaço")&gt;0,1,0))*FLOOR($FR25/2,1)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45" t="n">
        <v>24</v>
      </c>
      <c r="JE25" s="145">
        <f>IFERROR(MATCH(24,$HF$2:$HF$37,0),0)</f>
        <v/>
      </c>
      <c r="JF25" s="145">
        <f>IF($JE25=0,"",INDEX($DY$2:$DY$37,$JE25))</f>
        <v/>
      </c>
      <c r="JG25" s="145">
        <f>IF($JE25=0,"",INDEX($DZ$2:$DZ$37,$JE25))</f>
        <v/>
      </c>
      <c r="JH25" s="145">
        <f>IF($JE25=0,"",INDEX($GN$2:$GN$37,$JE25))</f>
        <v/>
      </c>
      <c r="JI25" s="145">
        <f>IF($JE25=0,"",INDEX($EA$2:$EA$37,$JE25))</f>
        <v/>
      </c>
      <c r="JJ25" s="145">
        <f>IF($JE25=0,"",INDEX($GP$2:$GP$37,$JE25))</f>
        <v/>
      </c>
      <c r="JK25" s="145">
        <f>IF($JE25=0,"",INDEX($HE$2:$HE$37,$JE25))</f>
        <v/>
      </c>
      <c r="KQ25" s="143" t="inlineStr">
        <is>
          <t>G46</t>
        </is>
      </c>
      <c r="KR25" s="145">
        <f>INDEX(DADOS_AM!$P$2:$W$8,DADOS_AM!$HI$29,3)</f>
        <v/>
      </c>
    </row>
    <row r="26">
      <c r="AO26" s="143" t="inlineStr">
        <is>
          <t>Onda · classe 0</t>
        </is>
      </c>
      <c r="AP26" s="143" t="inlineStr">
        <is>
          <t>—</t>
        </is>
      </c>
      <c r="AQ26" s="143" t="inlineStr">
        <is>
          <t>—</t>
        </is>
      </c>
      <c r="AR26" s="143" t="inlineStr">
        <is>
          <t>—</t>
        </is>
      </c>
      <c r="AS26" s="143" t="inlineStr">
        <is>
          <t>—</t>
        </is>
      </c>
      <c r="AT26" s="143" t="inlineStr">
        <is>
          <t>—</t>
        </is>
      </c>
      <c r="AU26" s="143" t="inlineStr">
        <is>
          <t>—</t>
        </is>
      </c>
      <c r="AV26" s="143" t="inlineStr"/>
      <c r="AW26" s="143" t="inlineStr"/>
      <c r="AX26" s="143" t="inlineStr"/>
      <c r="AY26" s="143" t="inlineStr"/>
      <c r="AZ26" s="143" t="inlineStr"/>
      <c r="BA26" s="143" t="inlineStr"/>
      <c r="BC26" s="143" t="inlineStr">
        <is>
          <t>Guarda Aberta</t>
        </is>
      </c>
      <c r="BD26" s="143" t="inlineStr">
        <is>
          <t>Controle</t>
        </is>
      </c>
      <c r="BE26" s="145" t="n">
        <v>1</v>
      </c>
      <c r="BF26" s="145">
        <f>$BE26+3*IFERROR(VLOOKUP($BD26,$I$2:$L$10,3,FALSE),0)</f>
        <v/>
      </c>
      <c r="BG26" s="145">
        <f>IFERROR(VLOOKUP($BD26,$I$2:$L$10,4,FALSE),0)</f>
        <v/>
      </c>
      <c r="BH26" s="145" t="n">
        <v>1</v>
      </c>
      <c r="BI26" s="145">
        <f>IF($BG26=1,"",$BC26)</f>
        <v/>
      </c>
      <c r="BJ26" s="145">
        <f>IF(AND($BE26=1,$BG26=0),$BC26,"")</f>
        <v/>
      </c>
      <c r="CC26" s="143" t="inlineStr">
        <is>
          <t>Sem Pegada</t>
        </is>
      </c>
      <c r="CD26" s="143" t="inlineStr">
        <is>
          <t>Lapidação 1</t>
        </is>
      </c>
      <c r="CE26" s="145" t="n">
        <v>1</v>
      </c>
      <c r="CF26" s="143" t="inlineStr">
        <is>
          <t>—</t>
        </is>
      </c>
      <c r="CG26" s="14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5">
        <f>IF($CK26=1,"",IF($A$2=4,IF($CI26=1,$CC26,""),IF(OR($CI26=1,AND($A$2=3,$CJ26=1)),"",$CC26)))</f>
        <v/>
      </c>
      <c r="CI26" s="145" t="n">
        <v>1</v>
      </c>
      <c r="CJ26" s="145" t="n">
        <v>0</v>
      </c>
      <c r="CK26" s="145" t="n">
        <v>0</v>
      </c>
      <c r="CL26" s="143" t="inlineStr">
        <is>
          <t>Sua passagem não deixa pegadas, cheiro, marcas ou som de passos que possam servir de rastro.</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(IF(COUNTIF($EB26:$EE26,"Salto")&gt;0,1,0)+IF(COUNTIF($EB26:$EE26,"Queima")&gt;0,1,0)+IF(COUNTIF($EB26:$EE26,"Estilhaço")&gt;0,1,0))*FLOOR($FR26/2,1)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JD26" s="145" t="n">
        <v>25</v>
      </c>
      <c r="JE26" s="145">
        <f>IFERROR(MATCH(25,$HF$2:$HF$37,0),0)</f>
        <v/>
      </c>
      <c r="JF26" s="145">
        <f>IF($JE26=0,"",INDEX($DY$2:$DY$37,$JE26))</f>
        <v/>
      </c>
      <c r="JG26" s="145">
        <f>IF($JE26=0,"",INDEX($DZ$2:$DZ$37,$JE26))</f>
        <v/>
      </c>
      <c r="JH26" s="145">
        <f>IF($JE26=0,"",INDEX($GN$2:$GN$37,$JE26))</f>
        <v/>
      </c>
      <c r="JI26" s="145">
        <f>IF($JE26=0,"",INDEX($EA$2:$EA$37,$JE26))</f>
        <v/>
      </c>
      <c r="JJ26" s="145">
        <f>IF($JE26=0,"",INDEX($GP$2:$GP$37,$JE26))</f>
        <v/>
      </c>
      <c r="JK26" s="145">
        <f>IF($JE26=0,"",INDEX($HE$2:$HE$37,$JE26))</f>
        <v/>
      </c>
      <c r="KQ26" s="143" t="inlineStr">
        <is>
          <t>J46</t>
        </is>
      </c>
      <c r="KR26" s="145">
        <f>INDEX(DADOS_AM!$P$2:$W$8,DADOS_AM!$HI$29,4)</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Derrubado</t>
        </is>
      </c>
      <c r="BD27" s="143" t="inlineStr">
        <is>
          <t>Controle</t>
        </is>
      </c>
      <c r="BE27" s="145" t="n">
        <v>1</v>
      </c>
      <c r="BF27" s="145">
        <f>$BE27+3*IFERROR(VLOOKUP($BD27,$I$2:$L$10,3,FALSE),0)</f>
        <v/>
      </c>
      <c r="BG27" s="145">
        <f>IFERROR(VLOOKUP($BD27,$I$2:$L$10,4,FALSE),0)</f>
        <v/>
      </c>
      <c r="BH27" s="145" t="n">
        <v>1</v>
      </c>
      <c r="BI27" s="145">
        <f>IF($BG27=1,"",$BC27)</f>
        <v/>
      </c>
      <c r="BJ27" s="145">
        <f>IF(AND($BE27=1,$BG27=0),$BC27,"")</f>
        <v/>
      </c>
      <c r="CC27" s="143" t="inlineStr">
        <is>
          <t>Vulto</t>
        </is>
      </c>
      <c r="CD27" s="143" t="inlineStr">
        <is>
          <t>Lapidação 4</t>
        </is>
      </c>
      <c r="CE27" s="145" t="n">
        <v>2</v>
      </c>
      <c r="CF27" s="143" t="inlineStr">
        <is>
          <t>—</t>
        </is>
      </c>
      <c r="CG27" s="14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5">
        <f>IF($CK27=1,"",IF($A$2=4,IF($CI27=1,$CC27,""),IF(OR($CI27=1,AND($A$2=3,$CJ27=1)),"",$CC27)))</f>
        <v/>
      </c>
      <c r="CI27" s="145" t="n">
        <v>1</v>
      </c>
      <c r="CJ27" s="145" t="n">
        <v>0</v>
      </c>
      <c r="CK27" s="145" t="n">
        <v>0</v>
      </c>
      <c r="CL27" s="143" t="inlineStr">
        <is>
          <t>Você possui visão às cegas a até 1,5 m × metade da Lapidação, arredondada para baixo.</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(IF(COUNTIF($EB27:$EE27,"Salto")&gt;0,1,0)+IF(COUNTIF($EB27:$EE27,"Queima")&gt;0,1,0)+IF(COUNTIF($EB27:$EE27,"Estilhaço")&gt;0,1,0))*FLOOR($FR27/2,1)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JD27" s="145" t="n">
        <v>26</v>
      </c>
      <c r="JE27" s="145">
        <f>IFERROR(MATCH(26,$HF$2:$HF$37,0),0)</f>
        <v/>
      </c>
      <c r="JF27" s="145">
        <f>IF($JE27=0,"",INDEX($DY$2:$DY$37,$JE27))</f>
        <v/>
      </c>
      <c r="JG27" s="145">
        <f>IF($JE27=0,"",INDEX($DZ$2:$DZ$37,$JE27))</f>
        <v/>
      </c>
      <c r="JH27" s="145">
        <f>IF($JE27=0,"",INDEX($GN$2:$GN$37,$JE27))</f>
        <v/>
      </c>
      <c r="JI27" s="145">
        <f>IF($JE27=0,"",INDEX($EA$2:$EA$37,$JE27))</f>
        <v/>
      </c>
      <c r="JJ27" s="145">
        <f>IF($JE27=0,"",INDEX($GP$2:$GP$37,$JE27))</f>
        <v/>
      </c>
      <c r="JK27" s="145">
        <f>IF($JE27=0,"",INDEX($HE$2:$HE$37,$JE27))</f>
        <v/>
      </c>
      <c r="KQ27" s="143" t="inlineStr">
        <is>
          <t>K46</t>
        </is>
      </c>
      <c r="KR27" s="145">
        <f>2*DADOS_AM!$HI$29</f>
        <v/>
      </c>
    </row>
    <row r="28">
      <c r="AO28" s="143" t="inlineStr">
        <is>
          <t>Onda · classes 6 e 7</t>
        </is>
      </c>
      <c r="AP28" s="143" t="inlineStr">
        <is>
          <t>Raio 4,5 m, em você</t>
        </is>
      </c>
      <c r="AQ28" s="143" t="inlineStr">
        <is>
          <t>Raio 6 m, em você</t>
        </is>
      </c>
      <c r="AR28" s="143" t="inlineStr">
        <is>
          <t>Raio 9 m, em você</t>
        </is>
      </c>
      <c r="AS28" s="143" t="inlineStr">
        <is>
          <t>Raio 15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Agarrado</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Esteio</t>
        </is>
      </c>
      <c r="CD28" s="143" t="inlineStr">
        <is>
          <t>Lapidação 7</t>
        </is>
      </c>
      <c r="CE28" s="145" t="n">
        <v>3</v>
      </c>
      <c r="CF28" s="143" t="inlineStr">
        <is>
          <t>—</t>
        </is>
      </c>
      <c r="CG28" s="14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5">
        <f>IF($CK28=1,"",IF($A$2=4,IF($CI28=1,$CC28,""),IF(OR($CI28=1,AND($A$2=3,$CJ28=1)),"",$CC28)))</f>
        <v/>
      </c>
      <c r="CI28" s="145" t="n">
        <v>1</v>
      </c>
      <c r="CJ28" s="145" t="n">
        <v>0</v>
      </c>
      <c r="CK28" s="145" t="n">
        <v>0</v>
      </c>
      <c r="CL28" s="143" t="inlineStr">
        <is>
          <t>Ao adquirir a Bênção, escolha um TR: Físico, Vigor, Intelecto ou Espírito.</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(IF(COUNTIF($EB28:$EE28,"Salto")&gt;0,1,0)+IF(COUNTIF($EB28:$EE28,"Queima")&gt;0,1,0)+IF(COUNTIF($EB28:$EE28,"Estilhaço")&gt;0,1,0))*FLOOR($FR28/2,1)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JD28" s="145" t="n">
        <v>27</v>
      </c>
      <c r="JE28" s="145">
        <f>IFERROR(MATCH(27,$HF$2:$HF$37,0),0)</f>
        <v/>
      </c>
      <c r="JF28" s="145">
        <f>IF($JE28=0,"",INDEX($DY$2:$DY$37,$JE28))</f>
        <v/>
      </c>
      <c r="JG28" s="145">
        <f>IF($JE28=0,"",INDEX($DZ$2:$DZ$37,$JE28))</f>
        <v/>
      </c>
      <c r="JH28" s="145">
        <f>IF($JE28=0,"",INDEX($GN$2:$GN$37,$JE28))</f>
        <v/>
      </c>
      <c r="JI28" s="145">
        <f>IF($JE28=0,"",INDEX($EA$2:$EA$37,$JE28))</f>
        <v/>
      </c>
      <c r="JJ28" s="145">
        <f>IF($JE28=0,"",INDEX($GP$2:$GP$37,$JE28))</f>
        <v/>
      </c>
      <c r="JK28" s="145">
        <f>IF($JE28=0,"",INDEX($HE$2:$HE$37,$JE28))</f>
        <v/>
      </c>
      <c r="KQ28" s="143" t="inlineStr">
        <is>
          <t>L46</t>
        </is>
      </c>
      <c r="KR28" s="145">
        <f>4*DADOS_AM!$HI$29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Desarmado</t>
        </is>
      </c>
      <c r="BD29" s="143" t="inlineStr">
        <is>
          <t>Controle</t>
        </is>
      </c>
      <c r="BE29" s="145" t="n">
        <v>1</v>
      </c>
      <c r="BF29" s="145">
        <f>$BE29+3*IFERROR(VLOOKUP($BD29,$I$2:$L$10,3,FALSE),0)</f>
        <v/>
      </c>
      <c r="BG29" s="145">
        <f>IFERROR(VLOOKUP($BD29,$I$2:$L$10,4,FALSE),0)</f>
        <v/>
      </c>
      <c r="BH29" s="145" t="n">
        <v>1</v>
      </c>
      <c r="BI29" s="145">
        <f>IF($BG29=1,"",$BC29)</f>
        <v/>
      </c>
      <c r="BJ29" s="145">
        <f>IF(AND($BE29=1,$BG29=0),$BC29,"")</f>
        <v/>
      </c>
      <c r="CC29" s="143" t="inlineStr">
        <is>
          <t>Antecipar</t>
        </is>
      </c>
      <c r="CD29" s="143" t="inlineStr">
        <is>
          <t>Lapidação 4 e Inteligência 4</t>
        </is>
      </c>
      <c r="CE29" s="145" t="n">
        <v>2</v>
      </c>
      <c r="CF29" s="143" t="inlineStr">
        <is>
          <t>—</t>
        </is>
      </c>
      <c r="CG29" s="14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5">
        <f>IF($CK29=1,"",IF($A$2=4,IF($CI29=1,$CC29,""),IF(OR($CI29=1,AND($A$2=3,$CJ29=1)),"",$CC29)))</f>
        <v/>
      </c>
      <c r="CI29" s="145" t="n">
        <v>1</v>
      </c>
      <c r="CJ29" s="145" t="n">
        <v>0</v>
      </c>
      <c r="CK29" s="145" t="n">
        <v>0</v>
      </c>
      <c r="CL29" s="143" t="inlineStr">
        <is>
          <t>Depois de falhar num TR contra um efeito, você recebe vantagem nos próximos TRs contra esse mesmo efeito, produzido pela mesma fonte, até o fim da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(IF(COUNTIF($EB29:$EE29,"Salto")&gt;0,1,0)+IF(COUNTIF($EB29:$EE29,"Queima")&gt;0,1,0)+IF(COUNTIF($EB29:$EE29,"Estilhaço")&gt;0,1,0))*FLOOR($FR29/2,1)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JD29" s="145" t="n">
        <v>28</v>
      </c>
      <c r="JE29" s="145">
        <f>IFERROR(MATCH(28,$HF$2:$HF$37,0),0)</f>
        <v/>
      </c>
      <c r="JF29" s="145">
        <f>IF($JE29=0,"",INDEX($DY$2:$DY$37,$JE29))</f>
        <v/>
      </c>
      <c r="JG29" s="145">
        <f>IF($JE29=0,"",INDEX($DZ$2:$DZ$37,$JE29))</f>
        <v/>
      </c>
      <c r="JH29" s="145">
        <f>IF($JE29=0,"",INDEX($GN$2:$GN$37,$JE29))</f>
        <v/>
      </c>
      <c r="JI29" s="145">
        <f>IF($JE29=0,"",INDEX($EA$2:$EA$37,$JE29))</f>
        <v/>
      </c>
      <c r="JJ29" s="145">
        <f>IF($JE29=0,"",INDEX($GP$2:$GP$37,$JE29))</f>
        <v/>
      </c>
      <c r="JK29" s="145">
        <f>IF($JE29=0,"",INDEX($HE$2:$HE$37,$JE29))</f>
        <v/>
      </c>
      <c r="KQ29" s="143" t="inlineStr">
        <is>
          <t>M46</t>
        </is>
      </c>
      <c r="KR29" s="145">
        <f>INDEX(DADOS_AM!$P$2:$W$8,DADOS_AM!$HI$29,8)</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Surdo</t>
        </is>
      </c>
      <c r="BD30" s="143" t="inlineStr">
        <is>
          <t>Controle</t>
        </is>
      </c>
      <c r="BE30" s="145" t="n">
        <v>1</v>
      </c>
      <c r="BF30" s="145">
        <f>$BE30+3*IFERROR(VLOOKUP($BD30,$I$2:$L$10,3,FALSE),0)</f>
        <v/>
      </c>
      <c r="BG30" s="145">
        <f>IFERROR(VLOOKUP($BD30,$I$2:$L$10,4,FALSE),0)</f>
        <v/>
      </c>
      <c r="BH30" s="145" t="n">
        <v>1</v>
      </c>
      <c r="BI30" s="145">
        <f>IF($BG30=1,"",$BC30)</f>
        <v/>
      </c>
      <c r="BJ30" s="145">
        <f>IF(AND($BE30=1,$BG30=0),$BC30,"")</f>
        <v/>
      </c>
      <c r="CC30" s="143" t="inlineStr">
        <is>
          <t>Campo</t>
        </is>
      </c>
      <c r="CD30" s="143" t="inlineStr">
        <is>
          <t>Lapidação 1</t>
        </is>
      </c>
      <c r="CE30" s="145" t="n">
        <v>1</v>
      </c>
      <c r="CF30" s="143" t="inlineStr">
        <is>
          <t>—</t>
        </is>
      </c>
      <c r="CG30" s="143" t="inlineStr">
        <is>
          <t>Uma vez por cena, você pode realizar Estudar como Ação Bônus, em vez de Ação Padrão. Use a ação descrita em Ações — Estudar, com seus alvos, testes e informações disponíveis.</t>
        </is>
      </c>
      <c r="CH30" s="145">
        <f>IF($CK30=1,"",IF($A$2=4,IF($CI30=1,$CC30,""),IF(OR($CI30=1,AND($A$2=3,$CJ30=1)),"",$CC30)))</f>
        <v/>
      </c>
      <c r="CI30" s="145" t="n">
        <v>1</v>
      </c>
      <c r="CJ30" s="145" t="n">
        <v>0</v>
      </c>
      <c r="CK30" s="145" t="n">
        <v>0</v>
      </c>
      <c r="CL30" s="143" t="inlineStr">
        <is>
          <t>Uma vez por cena, você pode realizar Estudar como Ação Bônus, em vez de Ação Padrão. Use a ação descrita em Ações — Estudar, com seus alvos, testes e informações disponíveis.</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(IF(COUNTIF($EB30:$EE30,"Salto")&gt;0,1,0)+IF(COUNTIF($EB30:$EE30,"Queima")&gt;0,1,0)+IF(COUNTIF($EB30:$EE30,"Estilhaço")&gt;0,1,0))*FLOOR($FR30/2,1)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JD30" s="145" t="n">
        <v>29</v>
      </c>
      <c r="JE30" s="145">
        <f>IFERROR(MATCH(29,$HF$2:$HF$37,0),0)</f>
        <v/>
      </c>
      <c r="JF30" s="145">
        <f>IF($JE30=0,"",INDEX($DY$2:$DY$37,$JE30))</f>
        <v/>
      </c>
      <c r="JG30" s="145">
        <f>IF($JE30=0,"",INDEX($DZ$2:$DZ$37,$JE30))</f>
        <v/>
      </c>
      <c r="JH30" s="145">
        <f>IF($JE30=0,"",INDEX($GN$2:$GN$37,$JE30))</f>
        <v/>
      </c>
      <c r="JI30" s="145">
        <f>IF($JE30=0,"",INDEX($EA$2:$EA$37,$JE30))</f>
        <v/>
      </c>
      <c r="JJ30" s="145">
        <f>IF($JE30=0,"",INDEX($GP$2:$GP$37,$JE30))</f>
        <v/>
      </c>
      <c r="JK30" s="145">
        <f>IF($JE30=0,"",INDEX($HE$2:$HE$37,$JE30))</f>
        <v/>
      </c>
      <c r="KQ30" s="143" t="inlineStr">
        <is>
          <t>P46</t>
        </is>
      </c>
      <c r="KR30" s="145">
        <f>DADOS_AM!$HI$10&amp;" feitiços grátis · "&amp;DADOS_AM!$HI$11&amp;"d8 cada"</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Calado</t>
        </is>
      </c>
      <c r="BD31" s="143" t="inlineStr">
        <is>
          <t>Controle</t>
        </is>
      </c>
      <c r="BE31" s="145" t="n">
        <v>2</v>
      </c>
      <c r="BF31" s="145">
        <f>$BE31+3*IFERROR(VLOOKUP($BD31,$I$2:$L$10,3,FALSE),0)</f>
        <v/>
      </c>
      <c r="BG31" s="145">
        <f>IFERROR(VLOOKUP($BD31,$I$2:$L$10,4,FALSE),0)</f>
        <v/>
      </c>
      <c r="BH31" s="145" t="n">
        <v>1</v>
      </c>
      <c r="BI31" s="145">
        <f>IF($BG31=1,"",$BC31)</f>
        <v/>
      </c>
      <c r="BJ31" s="145">
        <f>IF(AND($BE31=1,$BG31=0),$BC31,"")</f>
        <v/>
      </c>
      <c r="CC31" s="143" t="inlineStr">
        <is>
          <t>Assombro</t>
        </is>
      </c>
      <c r="CD31" s="143" t="inlineStr">
        <is>
          <t>Lapidação 1 e Essência 4</t>
        </is>
      </c>
      <c r="CE31" s="145" t="n">
        <v>1</v>
      </c>
      <c r="CF31" s="143" t="inlineStr">
        <is>
          <t>—</t>
        </is>
      </c>
      <c r="CG31" s="14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5">
        <f>IF($CK31=1,"",IF($A$2=4,IF($CI31=1,$CC31,""),IF(OR($CI31=1,AND($A$2=3,$CJ31=1)),"",$CC31)))</f>
        <v/>
      </c>
      <c r="CI31" s="145" t="n">
        <v>1</v>
      </c>
      <c r="CJ31" s="145" t="n">
        <v>0</v>
      </c>
      <c r="CK31" s="145" t="n">
        <v>0</v>
      </c>
      <c r="CL31" s="143" t="inlineStr">
        <is>
          <t>Uma vez por cena, ao entrar nela ou ser visto pela primeira vez, escolha até metade de sua Lapidação, arredondada para baixo, mínimo 1, entre as criaturas presentes que enxerguem você.</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(IF(COUNTIF($EB31:$EE31,"Salto")&gt;0,1,0)+IF(COUNTIF($EB31:$EE31,"Queima")&gt;0,1,0)+IF(COUNTIF($EB31:$EE31,"Estilhaço")&gt;0,1,0))*FLOOR($FR31/2,1)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JD31" s="145" t="n">
        <v>30</v>
      </c>
      <c r="JE31" s="145">
        <f>IFERROR(MATCH(30,$HF$2:$HF$37,0),0)</f>
        <v/>
      </c>
      <c r="JF31" s="145">
        <f>IF($JE31=0,"",INDEX($DY$2:$DY$37,$JE31))</f>
        <v/>
      </c>
      <c r="JG31" s="145">
        <f>IF($JE31=0,"",INDEX($DZ$2:$DZ$37,$JE31))</f>
        <v/>
      </c>
      <c r="JH31" s="145">
        <f>IF($JE31=0,"",INDEX($GN$2:$GN$37,$JE31))</f>
        <v/>
      </c>
      <c r="JI31" s="145">
        <f>IF($JE31=0,"",INDEX($EA$2:$EA$37,$JE31))</f>
        <v/>
      </c>
      <c r="JJ31" s="145">
        <f>IF($JE31=0,"",INDEX($GP$2:$GP$37,$JE31))</f>
        <v/>
      </c>
      <c r="JK31" s="145">
        <f>IF($JE31=0,"",INDEX($HE$2:$HE$37,$JE31))</f>
        <v/>
      </c>
      <c r="KQ31" s="143" t="inlineStr">
        <is>
          <t>D48</t>
        </is>
      </c>
      <c r="KR31" s="145">
        <f>UPPER(INDEX(DADOS_AM!$D$3:$G$3,1,DADOS_AM!$A$2))</f>
        <v/>
      </c>
    </row>
    <row r="32">
      <c r="BC32" s="143" t="inlineStr">
        <is>
          <t>Enfeitiçado</t>
        </is>
      </c>
      <c r="BD32" s="143" t="inlineStr">
        <is>
          <t>Controle</t>
        </is>
      </c>
      <c r="BE32" s="145" t="n">
        <v>2</v>
      </c>
      <c r="BF32" s="145">
        <f>$BE32+3*IFERROR(VLOOKUP($BD32,$I$2:$L$10,3,FALSE),0)</f>
        <v/>
      </c>
      <c r="BG32" s="145">
        <f>IFERROR(VLOOKUP($BD32,$I$2:$L$10,4,FALSE),0)</f>
        <v/>
      </c>
      <c r="BH32" s="145" t="n">
        <v>1</v>
      </c>
      <c r="BI32" s="145">
        <f>IF($BG32=1,"",$BC32)</f>
        <v/>
      </c>
      <c r="BJ32" s="145">
        <f>IF(AND($BE32=1,$BG32=0),$BC32,"")</f>
        <v/>
      </c>
      <c r="CC32" s="143" t="inlineStr">
        <is>
          <t>Bênção Própria (CE 1)</t>
        </is>
      </c>
      <c r="CD32" s="143" t="inlineStr">
        <is>
          <t>Uma por personagem</t>
        </is>
      </c>
      <c r="CE32" s="145" t="n">
        <v>1</v>
      </c>
      <c r="CF32" s="143" t="inlineStr">
        <is>
          <t>—</t>
        </is>
      </c>
      <c r="CG32"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5">
        <f>IF($CK32=1,"",IF($A$2=4,IF($CI32=1,$CC32,""),IF(OR($CI32=1,AND($A$2=3,$CJ32=1)),"",$CC32)))</f>
        <v/>
      </c>
      <c r="CI32" s="145" t="n">
        <v>1</v>
      </c>
      <c r="CJ32" s="145" t="n">
        <v>0</v>
      </c>
      <c r="CK32" s="145" t="n">
        <v>0</v>
      </c>
      <c r="CL32" s="143" t="inlineStr">
        <is>
          <t>Você pode desenvolver uma Bênção Própria por personagem, de Categoria de Efeito 1 ou 2.</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(IF(COUNTIF($EB32:$EE32,"Salto")&gt;0,1,0)+IF(COUNTIF($EB32:$EE32,"Queima")&gt;0,1,0)+IF(COUNTIF($EB32:$EE32,"Estilhaço")&gt;0,1,0))*FLOOR($FR32/2,1)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JD32" s="145" t="n">
        <v>31</v>
      </c>
      <c r="JE32" s="145">
        <f>IFERROR(MATCH(31,$HF$2:$HF$37,0),0)</f>
        <v/>
      </c>
      <c r="JF32" s="145">
        <f>IF($JE32=0,"",INDEX($DY$2:$DY$37,$JE32))</f>
        <v/>
      </c>
      <c r="JG32" s="145">
        <f>IF($JE32=0,"",INDEX($DZ$2:$DZ$37,$JE32))</f>
        <v/>
      </c>
      <c r="JH32" s="145">
        <f>IF($JE32=0,"",INDEX($GN$2:$GN$37,$JE32))</f>
        <v/>
      </c>
      <c r="JI32" s="145">
        <f>IF($JE32=0,"",INDEX($EA$2:$EA$37,$JE32))</f>
        <v/>
      </c>
      <c r="JJ32" s="145">
        <f>IF($JE32=0,"",INDEX($GP$2:$GP$37,$JE32))</f>
        <v/>
      </c>
      <c r="JK32" s="145">
        <f>IF($JE32=0,"",INDEX($HE$2:$HE$37,$JE32))</f>
        <v/>
      </c>
      <c r="KQ32" s="143" t="inlineStr">
        <is>
          <t>D135</t>
        </is>
      </c>
      <c r="KR32" s="145">
        <f>UPPER(INDEX(DADOS_AM!$D$3:$G$3,1,DADOS_AM!$A$2))&amp;" 13 A 24 · abra quando faltar lugar"</f>
        <v/>
      </c>
    </row>
    <row r="33">
      <c r="BC33" s="143" t="inlineStr">
        <is>
          <t>Impedido</t>
        </is>
      </c>
      <c r="BD33" s="143" t="inlineStr">
        <is>
          <t>Controle</t>
        </is>
      </c>
      <c r="BE33" s="145" t="n">
        <v>3</v>
      </c>
      <c r="BF33" s="145">
        <f>$BE33+3*IFERROR(VLOOKUP($BD33,$I$2:$L$10,3,FALSE),0)</f>
        <v/>
      </c>
      <c r="BG33" s="145">
        <f>IFERROR(VLOOKUP($BD33,$I$2:$L$10,4,FALSE),0)</f>
        <v/>
      </c>
      <c r="BH33" s="145" t="n">
        <v>1</v>
      </c>
      <c r="BI33" s="145">
        <f>IF($BG33=1,"",$BC33)</f>
        <v/>
      </c>
      <c r="BJ33" s="145">
        <f>IF(AND($BE33=1,$BG33=0),$BC33,"")</f>
        <v/>
      </c>
      <c r="CC33" s="143" t="inlineStr">
        <is>
          <t>Bênção Própria (CE 2)</t>
        </is>
      </c>
      <c r="CD33" s="143" t="inlineStr">
        <is>
          <t>Uma por personagem</t>
        </is>
      </c>
      <c r="CE33" s="145" t="n">
        <v>2</v>
      </c>
      <c r="CF33" s="143" t="inlineStr">
        <is>
          <t>—</t>
        </is>
      </c>
      <c r="CG33"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5">
        <f>IF($CK33=1,"",IF($A$2=4,IF($CI33=1,$CC33,""),IF(OR($CI33=1,AND($A$2=3,$CJ33=1)),"",$CC33)))</f>
        <v/>
      </c>
      <c r="CI33" s="145" t="n">
        <v>1</v>
      </c>
      <c r="CJ33" s="145" t="n">
        <v>0</v>
      </c>
      <c r="CK33" s="145" t="n">
        <v>0</v>
      </c>
      <c r="CL33" s="143" t="inlineStr">
        <is>
          <t>Você pode desenvolver uma Bênção Própria por personagem, de Categoria de Efeito 1 ou 2.</t>
        </is>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(IF(COUNTIF($EB33:$EE33,"Salto")&gt;0,1,0)+IF(COUNTIF($EB33:$EE33,"Queima")&gt;0,1,0)+IF(COUNTIF($EB33:$EE33,"Estilhaço")&gt;0,1,0))*FLOOR($FR33/2,1)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JD33" s="145" t="n">
        <v>32</v>
      </c>
      <c r="JE33" s="145">
        <f>IFERROR(MATCH(32,$HF$2:$HF$37,0),0)</f>
        <v/>
      </c>
      <c r="JF33" s="145">
        <f>IF($JE33=0,"",INDEX($DY$2:$DY$37,$JE33))</f>
        <v/>
      </c>
      <c r="JG33" s="145">
        <f>IF($JE33=0,"",INDEX($DZ$2:$DZ$37,$JE33))</f>
        <v/>
      </c>
      <c r="JH33" s="145">
        <f>IF($JE33=0,"",INDEX($GN$2:$GN$37,$JE33))</f>
        <v/>
      </c>
      <c r="JI33" s="145">
        <f>IF($JE33=0,"",INDEX($EA$2:$EA$37,$JE33))</f>
        <v/>
      </c>
      <c r="JJ33" s="145">
        <f>IF($JE33=0,"",INDEX($GP$2:$GP$37,$JE33))</f>
        <v/>
      </c>
      <c r="JK33" s="145">
        <f>IF($JE33=0,"",INDEX($HE$2:$HE$37,$JE33))</f>
        <v/>
      </c>
      <c r="KQ33" s="143" t="inlineStr">
        <is>
          <t>D221</t>
        </is>
      </c>
      <c r="KR33" s="145">
        <f>UPPER(INDEX(DADOS_AM!$D$3:$G$3,1,DADOS_AM!$A$2))&amp;" 25 A 36 · abra quando faltar lugar"</f>
        <v/>
      </c>
    </row>
    <row r="34">
      <c r="BC34" s="143" t="inlineStr">
        <is>
          <t>Cego</t>
        </is>
      </c>
      <c r="BD34" s="143" t="inlineStr">
        <is>
          <t>Controle</t>
        </is>
      </c>
      <c r="BE34" s="145" t="n">
        <v>3</v>
      </c>
      <c r="BF34" s="145">
        <f>$BE34+3*IFERROR(VLOOKUP($BD34,$I$2:$L$10,3,FALSE),0)</f>
        <v/>
      </c>
      <c r="BG34" s="145">
        <f>IFERROR(VLOOKUP($BD34,$I$2:$L$10,4,FALSE),0)</f>
        <v/>
      </c>
      <c r="BH34" s="145" t="n">
        <v>1</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(IF(COUNTIF($EB34:$EE34,"Salto")&gt;0,1,0)+IF(COUNTIF($EB34:$EE34,"Queima")&gt;0,1,0)+IF(COUNTIF($EB34:$EE34,"Estilhaço")&gt;0,1,0))*FLOOR($FR34/2,1)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JD34" s="145" t="n">
        <v>33</v>
      </c>
      <c r="JE34" s="145">
        <f>IFERROR(MATCH(33,$HF$2:$HF$37,0),0)</f>
        <v/>
      </c>
      <c r="JF34" s="145">
        <f>IF($JE34=0,"",INDEX($DY$2:$DY$37,$JE34))</f>
        <v/>
      </c>
      <c r="JG34" s="145">
        <f>IF($JE34=0,"",INDEX($DZ$2:$DZ$37,$JE34))</f>
        <v/>
      </c>
      <c r="JH34" s="145">
        <f>IF($JE34=0,"",INDEX($GN$2:$GN$37,$JE34))</f>
        <v/>
      </c>
      <c r="JI34" s="145">
        <f>IF($JE34=0,"",INDEX($EA$2:$EA$37,$JE34))</f>
        <v/>
      </c>
      <c r="JJ34" s="145">
        <f>IF($JE34=0,"",INDEX($GP$2:$GP$37,$JE34))</f>
        <v/>
      </c>
      <c r="JK34" s="145">
        <f>IF($JE34=0,"",INDEX($HE$2:$HE$37,$JE34))</f>
        <v/>
      </c>
      <c r="KQ34" s="143" t="inlineStr">
        <is>
          <t>D316</t>
        </is>
      </c>
      <c r="KR34" s="145">
        <f>UPPER(INDEX(DADOS_AM!$D$4:$G$4,1,DADOS_AM!$A$2))</f>
        <v/>
      </c>
    </row>
    <row r="35">
      <c r="BC35" s="143" t="inlineStr">
        <is>
          <t>Amedrontado</t>
        </is>
      </c>
      <c r="BD35" s="143" t="inlineStr">
        <is>
          <t>Controle</t>
        </is>
      </c>
      <c r="BE35" s="145" t="n">
        <v>3</v>
      </c>
      <c r="BF35" s="145">
        <f>$BE35+3*IFERROR(VLOOKUP($BD35,$I$2:$L$10,3,FALSE),0)</f>
        <v/>
      </c>
      <c r="BG35" s="145">
        <f>IFERROR(VLOOKUP($BD35,$I$2:$L$10,4,FALSE),0)</f>
        <v/>
      </c>
      <c r="BH35" s="145" t="n">
        <v>1</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(IF(COUNTIF($EB35:$EE35,"Salto")&gt;0,1,0)+IF(COUNTIF($EB35:$EE35,"Queima")&gt;0,1,0)+IF(COUNTIF($EB35:$EE35,"Estilhaço")&gt;0,1,0))*FLOOR($FR35/2,1)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JD35" s="145" t="n">
        <v>34</v>
      </c>
      <c r="JE35" s="145">
        <f>IFERROR(MATCH(34,$HF$2:$HF$37,0),0)</f>
        <v/>
      </c>
      <c r="JF35" s="145">
        <f>IF($JE35=0,"",INDEX($DY$2:$DY$37,$JE35))</f>
        <v/>
      </c>
      <c r="JG35" s="145">
        <f>IF($JE35=0,"",INDEX($DZ$2:$DZ$37,$JE35))</f>
        <v/>
      </c>
      <c r="JH35" s="145">
        <f>IF($JE35=0,"",INDEX($GN$2:$GN$37,$JE35))</f>
        <v/>
      </c>
      <c r="JI35" s="145">
        <f>IF($JE35=0,"",INDEX($EA$2:$EA$37,$JE35))</f>
        <v/>
      </c>
      <c r="JJ35" s="145">
        <f>IF($JE35=0,"",INDEX($GP$2:$GP$37,$JE35))</f>
        <v/>
      </c>
      <c r="JK35" s="145">
        <f>IF($JE35=0,"",INDEX($HE$2:$HE$37,$JE35))</f>
        <v/>
      </c>
      <c r="KQ35" s="143" t="inlineStr">
        <is>
          <t>D340</t>
        </is>
      </c>
      <c r="KR35" s="145">
        <f>UPPER(INDEX(DADOS_AM!$D$5:$G$5,1,DADOS_AM!$A$2))</f>
        <v/>
      </c>
    </row>
    <row r="36">
      <c r="BC36" s="143" t="inlineStr">
        <is>
          <t>Envenenado</t>
        </is>
      </c>
      <c r="BD36" s="143" t="inlineStr">
        <is>
          <t>Controle</t>
        </is>
      </c>
      <c r="BE36" s="145" t="n">
        <v>3</v>
      </c>
      <c r="BF36" s="145">
        <f>$BE36+3*IFERROR(VLOOKUP($BD36,$I$2:$L$10,3,FALSE),0)</f>
        <v/>
      </c>
      <c r="BG36" s="145">
        <f>IFERROR(VLOOKUP($BD36,$I$2:$L$10,4,FALSE),0)</f>
        <v/>
      </c>
      <c r="BH36" s="145" t="n">
        <v>1</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(IF(COUNTIF($EB36:$EE36,"Salto")&gt;0,1,0)+IF(COUNTIF($EB36:$EE36,"Queima")&gt;0,1,0)+IF(COUNTIF($EB36:$EE36,"Estilhaço")&gt;0,1,0))*FLOOR($FR36/2,1)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JD36" s="145" t="n">
        <v>35</v>
      </c>
      <c r="JE36" s="145">
        <f>IFERROR(MATCH(35,$HF$2:$HF$37,0),0)</f>
        <v/>
      </c>
      <c r="JF36" s="145">
        <f>IF($JE36=0,"",INDEX($DY$2:$DY$37,$JE36))</f>
        <v/>
      </c>
      <c r="JG36" s="145">
        <f>IF($JE36=0,"",INDEX($DZ$2:$DZ$37,$JE36))</f>
        <v/>
      </c>
      <c r="JH36" s="145">
        <f>IF($JE36=0,"",INDEX($GN$2:$GN$37,$JE36))</f>
        <v/>
      </c>
      <c r="JI36" s="145">
        <f>IF($JE36=0,"",INDEX($EA$2:$EA$37,$JE36))</f>
        <v/>
      </c>
      <c r="JJ36" s="145">
        <f>IF($JE36=0,"",INDEX($GP$2:$GP$37,$JE36))</f>
        <v/>
      </c>
      <c r="JK36" s="145">
        <f>IF($JE36=0,"",INDEX($HE$2:$HE$37,$JE36))</f>
        <v/>
      </c>
      <c r="KQ36" s="143" t="inlineStr">
        <is>
          <t>L343</t>
        </is>
      </c>
      <c r="KR36" s="145">
        <f>IF(DADOS_AM!$HI$35=0,"Nível 17",DADOS_AM!$HI$35&amp;"d8 = "&amp;FLOOR(DADOS_AM!$HI$35*4.5,1))</f>
        <v/>
      </c>
    </row>
    <row r="37">
      <c r="BC37" s="143" t="inlineStr">
        <is>
          <t>Atordoado</t>
        </is>
      </c>
      <c r="BD37" s="143" t="inlineStr">
        <is>
          <t>Controle</t>
        </is>
      </c>
      <c r="BE37" s="145" t="n">
        <v>3</v>
      </c>
      <c r="BF37" s="145">
        <f>$BE37+3*IFERROR(VLOOKUP($BD37,$I$2:$L$10,3,FALSE),0)</f>
        <v/>
      </c>
      <c r="BG37" s="145">
        <f>IFERROR(VLOOKUP($BD37,$I$2:$L$10,4,FALSE),0)</f>
        <v/>
      </c>
      <c r="BH37" s="145" t="n">
        <v>1</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(IF(COUNTIF($EB37:$EE37,"Salto")&gt;0,1,0)+IF(COUNTIF($EB37:$EE37,"Queima")&gt;0,1,0)+IF(COUNTIF($EB37:$EE37,"Estilhaço")&gt;0,1,0))*FLOOR($FR37/2,1)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45" t="n">
        <v>36</v>
      </c>
      <c r="JE37" s="145">
        <f>IFERROR(MATCH(36,$HF$2:$HF$37,0),0)</f>
        <v/>
      </c>
      <c r="JF37" s="145">
        <f>IF($JE37=0,"",INDEX($DY$2:$DY$37,$JE37))</f>
        <v/>
      </c>
      <c r="JG37" s="145">
        <f>IF($JE37=0,"",INDEX($DZ$2:$DZ$37,$JE37))</f>
        <v/>
      </c>
      <c r="JH37" s="145">
        <f>IF($JE37=0,"",INDEX($GN$2:$GN$37,$JE37))</f>
        <v/>
      </c>
      <c r="JI37" s="145">
        <f>IF($JE37=0,"",INDEX($EA$2:$EA$37,$JE37))</f>
        <v/>
      </c>
      <c r="JJ37" s="145">
        <f>IF($JE37=0,"",INDEX($GP$2:$GP$37,$JE37))</f>
        <v/>
      </c>
      <c r="JK37" s="145">
        <f>IF($JE37=0,"",INDEX($HE$2:$HE$37,$JE37))</f>
        <v/>
      </c>
      <c r="KQ37" s="143" t="inlineStr">
        <is>
          <t>P343</t>
        </is>
      </c>
      <c r="KR37" s="145">
        <f>IF(DADOS_AM!$HI$35=0,"—",5*DADOS_AM!$HI$4)</f>
        <v/>
      </c>
    </row>
    <row r="38">
      <c r="BC38" s="143" t="inlineStr">
        <is>
          <t>Terreno</t>
        </is>
      </c>
      <c r="BD38" s="143" t="inlineStr">
        <is>
          <t>Controle</t>
        </is>
      </c>
      <c r="BE38" s="145" t="n">
        <v>1</v>
      </c>
      <c r="BF38" s="145">
        <f>$BE38+3*IFERROR(VLOOKUP($BD38,$I$2:$L$10,3,FALSE),0)</f>
        <v/>
      </c>
      <c r="BG38" s="145">
        <f>IFERROR(VLOOKUP($BD38,$I$2:$L$10,4,FALSE),0)</f>
        <v/>
      </c>
      <c r="BH38" s="145" t="n">
        <v>1</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(IF(COUNTIF($EB38:$EE38,"Salto")&gt;0,1,0)+IF(COUNTIF($EB38:$EE38,"Queima")&gt;0,1,0)+IF(COUNTIF($EB38:$EE38,"Estilhaço")&gt;0,1,0))*FLOOR($FR38/2,1)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Q38" s="143" t="inlineStr">
        <is>
          <t>R343</t>
        </is>
      </c>
      <c r="KR38" s="145">
        <f>IF(DADOS_AM!$HI$35=0,"—",IF(OR(DADOS_AM!$HI$37&gt;DADOS_AM!$HI$36,DADOS_AM!$HI$38&gt;0),"⚠ ","")&amp;DADOS_AM!$HI$37&amp;" de "&amp;DADOS_AM!$HI$36&amp;IF(DADOS_AM!$HI$38&gt;0," · Família Fechada",""))</f>
        <v/>
      </c>
    </row>
    <row r="39">
      <c r="BC39" s="143" t="inlineStr">
        <is>
          <t>Cerca</t>
        </is>
      </c>
      <c r="BD39" s="143" t="inlineStr">
        <is>
          <t>Controle</t>
        </is>
      </c>
      <c r="BE39" s="145" t="n">
        <v>1</v>
      </c>
      <c r="BF39" s="145">
        <f>$BE39+3*IFERROR(VLOOKUP($BD39,$I$2:$L$10,3,FALSE),0)</f>
        <v/>
      </c>
      <c r="BG39" s="145">
        <f>IFERROR(VLOOKUP($BD39,$I$2:$L$10,4,FALSE),0)</f>
        <v/>
      </c>
      <c r="BH39" s="145" t="n">
        <v>1</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(IF(COUNTIF($EB39:$EE39,"Salto")&gt;0,1,0)+IF(COUNTIF($EB39:$EE39,"Queima")&gt;0,1,0)+IF(COUNTIF($EB39:$EE39,"Estilhaço")&gt;0,1,0))*FLOOR($FR39/2,1)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Q39" s="143" t="inlineStr">
        <is>
          <t>D354</t>
        </is>
      </c>
      <c r="KR39" s="145">
        <f>IF(DADOS_AM!$A$2=1,"EXPANSÃO DE DOMÍNIO","EXPANSÃO DE DOMÍNIO · ESTA ROTA NÃO TEM")</f>
        <v/>
      </c>
    </row>
    <row r="40">
      <c r="BC40" s="143" t="inlineStr">
        <is>
          <t>Desarma o Feitiço</t>
        </is>
      </c>
      <c r="BD40" s="143" t="inlineStr">
        <is>
          <t>Controle</t>
        </is>
      </c>
      <c r="BE40" s="145" t="n">
        <v>2</v>
      </c>
      <c r="BF40" s="145">
        <f>$BE40+3*IFERROR(VLOOKUP($BD40,$I$2:$L$10,3,FALSE),0)</f>
        <v/>
      </c>
      <c r="BG40" s="145">
        <f>IFERROR(VLOOKUP($BD40,$I$2:$L$10,4,FALSE),0)</f>
        <v/>
      </c>
      <c r="BH40" s="145" t="n">
        <v>1</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(IF(COUNTIF($EB40:$EE40,"Salto")&gt;0,1,0)+IF(COUNTIF($EB40:$EE40,"Queima")&gt;0,1,0)+IF(COUNTIF($EB40:$EE40,"Estilhaço")&gt;0,1,0))*FLOOR($FR40/2,1)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Q40" s="143" t="inlineStr">
        <is>
          <t>F357</t>
        </is>
      </c>
      <c r="KR40" s="145">
        <f>IF(OR(DADOS_AM!$A$2&lt;&gt;1,DADOS_AM!$HI$34=""),"—",DADOS_AM!$HI$19&amp;" espaços")</f>
        <v/>
      </c>
    </row>
    <row r="41">
      <c r="BC41" s="143" t="inlineStr">
        <is>
          <t>Anteparo</t>
        </is>
      </c>
      <c r="BD41" s="143" t="inlineStr">
        <is>
          <t>Controle</t>
        </is>
      </c>
      <c r="BE41" s="145" t="n">
        <v>2</v>
      </c>
      <c r="BF41" s="145">
        <f>$BE41+3*IFERROR(VLOOKUP($BD41,$I$2:$L$10,3,FALSE),0)</f>
        <v/>
      </c>
      <c r="BG41" s="145">
        <f>IFERROR(VLOOKUP($BD41,$I$2:$L$10,4,FALSE),0)</f>
        <v/>
      </c>
      <c r="BH41" s="145" t="n">
        <v>1</v>
      </c>
      <c r="BI41" s="145">
        <f>IF($BG41=1,"",$BC41)</f>
        <v/>
      </c>
      <c r="BJ41" s="145">
        <f>IF(AND($BE41=1,$BG41=0),$BC41,"")</f>
        <v/>
      </c>
      <c r="HH41" s="143" t="inlineStr">
        <is>
          <t>arma</t>
        </is>
      </c>
      <c r="HI41" s="145">
        <f>IF(AND($A$2&gt;=3,'FICHA AMALDIÇOADA'!$J$16&amp;""="Três grupos de arma"),1,0)</f>
        <v/>
      </c>
      <c r="KQ41" s="143" t="inlineStr">
        <is>
          <t>J357</t>
        </is>
      </c>
      <c r="KR41" s="145">
        <f>IF(DADOS_AM!$A$2&lt;&gt;1,"Só o Fundamento tem",IF(DADOS_AM!$HI$34="","—",IF(AND(DADOS_AM!$HI$2&gt;=IFERROR(VLOOKUP(DADOS_AM!$HI$34,DADOS_AM!$DK$2:$DO$4,3,FALSE),0),DADOS_AM!$HI$6&gt;=IFERROR(VLOOKUP(DADOS_AM!$HI$34,DADOS_AM!$DK$2:$DO$4,4,FALSE),0)),"","⚠ ")&amp;IFERROR(VLOOKUP(DADOS_AM!$HI$34,DADOS_AM!$DK$2:$DO$4,5,FALSE),"")))</f>
        <v/>
      </c>
    </row>
    <row r="42">
      <c r="BC42" s="143" t="inlineStr">
        <is>
          <t>Prende</t>
        </is>
      </c>
      <c r="BD42" s="143" t="inlineStr">
        <is>
          <t>Controle</t>
        </is>
      </c>
      <c r="BE42" s="145" t="n">
        <v>2</v>
      </c>
      <c r="BF42" s="145">
        <f>$BE42+3*IFERROR(VLOOKUP($BD42,$I$2:$L$10,3,FALSE),0)</f>
        <v/>
      </c>
      <c r="BG42" s="145">
        <f>IFERROR(VLOOKUP($BD42,$I$2:$L$10,4,FALSE),0)</f>
        <v/>
      </c>
      <c r="BH42" s="145" t="n">
        <v>1</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Q42" s="143" t="inlineStr">
        <is>
          <t>P357</t>
        </is>
      </c>
      <c r="KR42" s="145">
        <f>IF(DADOS_AM!$A$2&lt;&gt;1,"—",DADOS_AM!$HI$6)</f>
        <v/>
      </c>
    </row>
    <row r="43">
      <c r="BC43" s="143" t="inlineStr">
        <is>
          <t>Puxa</t>
        </is>
      </c>
      <c r="BD43" s="143" t="inlineStr">
        <is>
          <t>Controle</t>
        </is>
      </c>
      <c r="BE43" s="145" t="n">
        <v>2</v>
      </c>
      <c r="BF43" s="145">
        <f>$BE43+3*IFERROR(VLOOKUP($BD43,$I$2:$L$10,3,FALSE),0)</f>
        <v/>
      </c>
      <c r="BG43" s="145">
        <f>IFERROR(VLOOKUP($BD43,$I$2:$L$10,4,FALSE),0)</f>
        <v/>
      </c>
      <c r="BH43" s="145" t="n">
        <v>1</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Q43" s="143" t="inlineStr">
        <is>
          <t>R357</t>
        </is>
      </c>
      <c r="KR43" s="145">
        <f>IF(DADOS_AM!$A$2&lt;&gt;1,"—","Cai na "&amp;MAX(1,FLOOR(DADOS_AM!$HI$7/2,1))&amp;"ª falha")</f>
        <v/>
      </c>
    </row>
    <row r="44">
      <c r="BC44" s="143" t="inlineStr">
        <is>
          <t>Impulso</t>
        </is>
      </c>
      <c r="BD44" s="143" t="inlineStr">
        <is>
          <t>Auxiliares</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Q44" s="143" t="inlineStr">
        <is>
          <t>D361</t>
        </is>
      </c>
      <c r="KR44" s="145">
        <f>IF(DADOS_AM!$A$2&lt;&gt;1,"—","Incompleta"&amp;IF(DADOS_AM!$HI$34="Incompleta"," · a sua",""))</f>
        <v/>
      </c>
    </row>
    <row r="45">
      <c r="BC45" s="143" t="inlineStr">
        <is>
          <t>Trava</t>
        </is>
      </c>
      <c r="BD45" s="143" t="inlineStr">
        <is>
          <t>Auxiliares</t>
        </is>
      </c>
      <c r="BE45" s="145" t="n">
        <v>1</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Q45" s="143" t="inlineStr">
        <is>
          <t>F361</t>
        </is>
      </c>
      <c r="KR45" s="145">
        <f>IF(DADOS_AM!$A$2&lt;&gt;1,"—",6*DADOS_AM!$HI$4)</f>
        <v/>
      </c>
    </row>
    <row r="46">
      <c r="BC46" s="143" t="inlineStr">
        <is>
          <t>Abre Ferida</t>
        </is>
      </c>
      <c r="BD46" s="143" t="inlineStr">
        <is>
          <t>Auxiliares</t>
        </is>
      </c>
      <c r="BE46" s="145" t="n">
        <v>1</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Q46" s="143" t="inlineStr">
        <is>
          <t>G361</t>
        </is>
      </c>
      <c r="KR46" s="145">
        <f>IF(DADOS_AM!$A$2&lt;&gt;1,"—",DADOS_AM!$HI$32&amp;IF(DADOS_AM!$HI$32&gt;1," rodadas"," rodada"))</f>
        <v/>
      </c>
    </row>
    <row r="47">
      <c r="BC47" s="143" t="inlineStr">
        <is>
          <t>Sobrecarga</t>
        </is>
      </c>
      <c r="BD47" s="143" t="inlineStr">
        <is>
          <t>Auxiliares</t>
        </is>
      </c>
      <c r="BE47" s="145" t="n">
        <v>1</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Q47" s="143" t="inlineStr">
        <is>
          <t>J361</t>
        </is>
      </c>
      <c r="KR47" s="145">
        <f>IF(DADOS_AM!$A$2&lt;&gt;1,"—",SUBSTITUTE(MIN(7.5,1.5*DADOS_AM!$HI$6)&amp;" m",".",","))</f>
        <v/>
      </c>
    </row>
    <row r="48">
      <c r="BC48" s="143" t="inlineStr">
        <is>
          <t>Firmeza</t>
        </is>
      </c>
      <c r="BD48" s="143" t="inlineStr">
        <is>
          <t>Auxiliares</t>
        </is>
      </c>
      <c r="BE48" s="145" t="n">
        <v>2</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Q48" s="143" t="inlineStr">
        <is>
          <t>K361</t>
        </is>
      </c>
      <c r="KR48" s="145">
        <f>IF(DADOS_AM!$A$2&lt;&gt;1,"—","−"&amp;DADOS_AM!$HI$33&amp;" PE")</f>
        <v/>
      </c>
    </row>
    <row r="49">
      <c r="BC49" s="143" t="inlineStr">
        <is>
          <t>Guarda</t>
        </is>
      </c>
      <c r="BD49" s="143" t="inlineStr">
        <is>
          <t>Auxiliares</t>
        </is>
      </c>
      <c r="BE49" s="145" t="n">
        <v>2</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Q49" s="143" t="inlineStr">
        <is>
          <t>D362</t>
        </is>
      </c>
      <c r="KR49" s="145">
        <f>IF(DADOS_AM!$A$2&lt;&gt;1,"—","Completa"&amp;IF(OR(DADOS_AM!$HI$34="Completa",DADOS_AM!$HI$34="Sem Barreiras")," · a sua",""))</f>
        <v/>
      </c>
    </row>
    <row r="50">
      <c r="BC50" s="143" t="inlineStr">
        <is>
          <t>Pressa</t>
        </is>
      </c>
      <c r="BD50" s="143" t="inlineStr">
        <is>
          <t>Auxiliares</t>
        </is>
      </c>
      <c r="BE50" s="145" t="n">
        <v>2</v>
      </c>
      <c r="BF50" s="145">
        <f>$BE50+3*IFERROR(VLOOKUP($BD50,$I$2:$L$10,3,FALSE),0)</f>
        <v/>
      </c>
      <c r="BG50" s="145">
        <f>IFERROR(VLOOKUP($BD50,$I$2:$L$10,4,FALSE),0)</f>
        <v/>
      </c>
      <c r="BH50" s="145" t="n">
        <v>0</v>
      </c>
      <c r="BI50" s="145">
        <f>IF($BG50=1,"",$BC50)</f>
        <v/>
      </c>
      <c r="BJ50" s="145">
        <f>IF(AND($BE50=1,$BG50=0),$BC50,"")</f>
        <v/>
      </c>
      <c r="KQ50" s="143" t="inlineStr">
        <is>
          <t>F362</t>
        </is>
      </c>
      <c r="KR50" s="145">
        <f>IF(DADOS_AM!$A$2&lt;&gt;1,"—",6*DADOS_AM!$HI$4)</f>
        <v/>
      </c>
    </row>
    <row r="51">
      <c r="BC51" s="143" t="inlineStr">
        <is>
          <t>Enfraquece</t>
        </is>
      </c>
      <c r="BD51" s="143" t="inlineStr">
        <is>
          <t>Auxiliares</t>
        </is>
      </c>
      <c r="BE51" s="145" t="n">
        <v>2</v>
      </c>
      <c r="BF51" s="145">
        <f>$BE51+3*IFERROR(VLOOKUP($BD51,$I$2:$L$10,3,FALSE),0)</f>
        <v/>
      </c>
      <c r="BG51" s="145">
        <f>IFERROR(VLOOKUP($BD51,$I$2:$L$10,4,FALSE),0)</f>
        <v/>
      </c>
      <c r="BH51" s="145" t="n">
        <v>0</v>
      </c>
      <c r="BI51" s="145">
        <f>IF($BG51=1,"",$BC51)</f>
        <v/>
      </c>
      <c r="BJ51" s="145">
        <f>IF(AND($BE51=1,$BG51=0),$BC51,"")</f>
        <v/>
      </c>
      <c r="KQ51" s="143" t="inlineStr">
        <is>
          <t>G362</t>
        </is>
      </c>
      <c r="KR51" s="145">
        <f>IF(DADOS_AM!$A$2&lt;&gt;1,"—",DADOS_AM!$HI$32&amp;IF(DADOS_AM!$HI$32&gt;1," rodadas"," rodada"))</f>
        <v/>
      </c>
    </row>
    <row r="52">
      <c r="BC52" s="143" t="inlineStr">
        <is>
          <t>Ecoa</t>
        </is>
      </c>
      <c r="BD52" s="143" t="inlineStr">
        <is>
          <t>Auxiliares</t>
        </is>
      </c>
      <c r="BE52" s="145" t="n">
        <v>2</v>
      </c>
      <c r="BF52" s="145">
        <f>$BE52+3*IFERROR(VLOOKUP($BD52,$I$2:$L$10,3,FALSE),0)</f>
        <v/>
      </c>
      <c r="BG52" s="145">
        <f>IFERROR(VLOOKUP($BD52,$I$2:$L$10,4,FALSE),0)</f>
        <v/>
      </c>
      <c r="BH52" s="145" t="n">
        <v>0</v>
      </c>
      <c r="BI52" s="145">
        <f>IF($BG52=1,"",$BC52)</f>
        <v/>
      </c>
      <c r="BJ52" s="145">
        <f>IF(AND($BE52=1,$BG52=0),$BC52,"")</f>
        <v/>
      </c>
      <c r="KQ52" s="143" t="inlineStr">
        <is>
          <t>J362</t>
        </is>
      </c>
      <c r="KR52" s="145">
        <f>IF(DADOS_AM!$A$2&lt;&gt;1,"—",SUBSTITUTE(1.5*DADOS_AM!$HI$6&amp;" m",".",","))</f>
        <v/>
      </c>
    </row>
    <row r="53">
      <c r="BC53" s="143" t="inlineStr">
        <is>
          <t>Queima</t>
        </is>
      </c>
      <c r="BD53" s="143" t="inlineStr">
        <is>
          <t>Castigo</t>
        </is>
      </c>
      <c r="BE53" s="145" t="n">
        <v>2</v>
      </c>
      <c r="BF53" s="145">
        <f>$BE53+3*IFERROR(VLOOKUP($BD53,$I$2:$L$10,3,FALSE),0)</f>
        <v/>
      </c>
      <c r="BG53" s="145">
        <f>IFERROR(VLOOKUP($BD53,$I$2:$L$10,4,FALSE),0)</f>
        <v/>
      </c>
      <c r="BH53" s="145" t="n">
        <v>0</v>
      </c>
      <c r="BI53" s="145">
        <f>IF($BG53=1,"",$BC53)</f>
        <v/>
      </c>
      <c r="BJ53" s="145">
        <f>IF(AND($BE53=1,$BG53=0),$BC53,"")</f>
        <v/>
      </c>
      <c r="KQ53" s="143" t="inlineStr">
        <is>
          <t>K362</t>
        </is>
      </c>
      <c r="KR53" s="145">
        <f>IF(DADOS_AM!$A$2&lt;&gt;1,"—","−"&amp;DADOS_AM!$HI$32&amp;" PE")</f>
        <v/>
      </c>
    </row>
    <row r="54">
      <c r="BC54" s="143" t="inlineStr">
        <is>
          <t>Acúmulo</t>
        </is>
      </c>
      <c r="BD54" s="143" t="inlineStr">
        <is>
          <t>Castigo</t>
        </is>
      </c>
      <c r="BE54" s="145" t="n">
        <v>2</v>
      </c>
      <c r="BF54" s="145">
        <f>$BE54+3*IFERROR(VLOOKUP($BD54,$I$2:$L$10,3,FALSE),0)</f>
        <v/>
      </c>
      <c r="BG54" s="145">
        <f>IFERROR(VLOOKUP($BD54,$I$2:$L$10,4,FALSE),0)</f>
        <v/>
      </c>
      <c r="BH54" s="145" t="n">
        <v>0</v>
      </c>
      <c r="BI54" s="145">
        <f>IF($BG54=1,"",$BC54)</f>
        <v/>
      </c>
      <c r="BJ54" s="145">
        <f>IF(AND($BE54=1,$BG54=0),$BC54,"")</f>
        <v/>
      </c>
      <c r="KQ54" s="143" t="inlineStr">
        <is>
          <t>L362</t>
        </is>
      </c>
      <c r="KR54" s="145">
        <f>IF(DADOS_AM!$A$2&lt;&gt;1,"—",50*DADOS_AM!$HI$32&amp;" de vida")</f>
        <v/>
      </c>
    </row>
    <row r="55">
      <c r="BC55" s="143" t="inlineStr">
        <is>
          <t>Remate</t>
        </is>
      </c>
      <c r="BD55" s="143" t="inlineStr">
        <is>
          <t>Castigo</t>
        </is>
      </c>
      <c r="BE55" s="145" t="n">
        <v>2</v>
      </c>
      <c r="BF55" s="145">
        <f>$BE55+3*IFERROR(VLOOKUP($BD55,$I$2:$L$10,3,FALSE),0)</f>
        <v/>
      </c>
      <c r="BG55" s="145">
        <f>IFERROR(VLOOKUP($BD55,$I$2:$L$10,4,FALSE),0)</f>
        <v/>
      </c>
      <c r="BH55" s="145" t="n">
        <v>0</v>
      </c>
      <c r="BI55" s="145">
        <f>IF($BG55=1,"",$BC55)</f>
        <v/>
      </c>
      <c r="BJ55" s="145">
        <f>IF(AND($BE55=1,$BG55=0),$BC55,"")</f>
        <v/>
      </c>
      <c r="KQ55" s="143" t="inlineStr">
        <is>
          <t>D363</t>
        </is>
      </c>
      <c r="KR55" s="145">
        <f>IF(DADOS_AM!$A$2&lt;&gt;1,"—","Sem barreira"&amp;IF(DADOS_AM!$HI$34="Sem Barreiras"," · a sua",""))</f>
        <v/>
      </c>
    </row>
    <row r="56">
      <c r="BC56" s="143" t="inlineStr">
        <is>
          <t>Estilhaço</t>
        </is>
      </c>
      <c r="BD56" s="143" t="inlineStr">
        <is>
          <t>Castigo</t>
        </is>
      </c>
      <c r="BE56" s="145" t="n">
        <v>1</v>
      </c>
      <c r="BF56" s="145">
        <f>$BE56+3*IFERROR(VLOOKUP($BD56,$I$2:$L$10,3,FALSE),0)</f>
        <v/>
      </c>
      <c r="BG56" s="145">
        <f>IFERROR(VLOOKUP($BD56,$I$2:$L$10,4,FALSE),0)</f>
        <v/>
      </c>
      <c r="BH56" s="145" t="n">
        <v>0</v>
      </c>
      <c r="BI56" s="145">
        <f>IF($BG56=1,"",$BC56)</f>
        <v/>
      </c>
      <c r="BJ56" s="145">
        <f>IF(AND($BE56=1,$BG56=0),$BC56,"")</f>
        <v/>
      </c>
      <c r="KQ56" s="143" t="inlineStr">
        <is>
          <t>F363</t>
        </is>
      </c>
      <c r="KR56" s="145">
        <f>IF(DADOS_AM!$A$2&lt;&gt;1,"—",7*DADOS_AM!$HI$4)</f>
        <v/>
      </c>
    </row>
    <row r="57">
      <c r="BC57" s="143" t="inlineStr">
        <is>
          <t>Quebra Coisa</t>
        </is>
      </c>
      <c r="BD57" s="143" t="inlineStr">
        <is>
          <t>Castigo</t>
        </is>
      </c>
      <c r="BE57" s="145" t="n">
        <v>1</v>
      </c>
      <c r="BF57" s="145">
        <f>$BE57+3*IFERROR(VLOOKUP($BD57,$I$2:$L$10,3,FALSE),0)</f>
        <v/>
      </c>
      <c r="BG57" s="145">
        <f>IFERROR(VLOOKUP($BD57,$I$2:$L$10,4,FALSE),0)</f>
        <v/>
      </c>
      <c r="BH57" s="145" t="n">
        <v>0</v>
      </c>
      <c r="BI57" s="145">
        <f>IF($BG57=1,"",$BC57)</f>
        <v/>
      </c>
      <c r="BJ57" s="145">
        <f>IF(AND($BE57=1,$BG57=0),$BC57,"")</f>
        <v/>
      </c>
      <c r="KQ57" s="143" t="inlineStr">
        <is>
          <t>G363</t>
        </is>
      </c>
      <c r="KR57" s="145">
        <f>IF(DADOS_AM!$A$2&lt;&gt;1,"—",DADOS_AM!$HI$32&amp;IF(DADOS_AM!$HI$32&gt;1," rodadas"," rodada"))</f>
        <v/>
      </c>
    </row>
    <row r="58">
      <c r="BC58" s="143" t="inlineStr">
        <is>
          <t>Rasga Escudo</t>
        </is>
      </c>
      <c r="BD58" s="143" t="inlineStr">
        <is>
          <t>Castigo</t>
        </is>
      </c>
      <c r="BE58" s="145" t="n">
        <v>2</v>
      </c>
      <c r="BF58" s="145">
        <f>$BE58+3*IFERROR(VLOOKUP($BD58,$I$2:$L$10,3,FALSE),0)</f>
        <v/>
      </c>
      <c r="BG58" s="145">
        <f>IFERROR(VLOOKUP($BD58,$I$2:$L$10,4,FALSE),0)</f>
        <v/>
      </c>
      <c r="BH58" s="145" t="n">
        <v>0</v>
      </c>
      <c r="BI58" s="145">
        <f>IF($BG58=1,"",$BC58)</f>
        <v/>
      </c>
      <c r="BJ58" s="145">
        <f>IF(AND($BE58=1,$BG58=0),$BC58,"")</f>
        <v/>
      </c>
      <c r="KQ58" s="143" t="inlineStr">
        <is>
          <t>K363</t>
        </is>
      </c>
      <c r="KR58" s="145">
        <f>IF(DADOS_AM!$A$2&lt;&gt;1,"—","−"&amp;2*DADOS_AM!$HI$3&amp;" PE")</f>
        <v/>
      </c>
    </row>
    <row r="59">
      <c r="BC59" s="143" t="inlineStr">
        <is>
          <t>Sem Cura</t>
        </is>
      </c>
      <c r="BD59" s="143" t="inlineStr">
        <is>
          <t>Castigo</t>
        </is>
      </c>
      <c r="BE59" s="145" t="n">
        <v>2</v>
      </c>
      <c r="BF59" s="145">
        <f>$BE59+3*IFERROR(VLOOKUP($BD59,$I$2:$L$10,3,FALSE),0)</f>
        <v/>
      </c>
      <c r="BG59" s="145">
        <f>IFERROR(VLOOKUP($BD59,$I$2:$L$10,4,FALSE),0)</f>
        <v/>
      </c>
      <c r="BH59" s="145" t="n">
        <v>0</v>
      </c>
      <c r="BI59" s="145">
        <f>IF($BG59=1,"",$BC59)</f>
        <v/>
      </c>
      <c r="BJ59" s="145">
        <f>IF(AND($BE59=1,$BG59=0),$BC59,"")</f>
        <v/>
      </c>
      <c r="KQ59" s="143" t="inlineStr">
        <is>
          <t>D421</t>
        </is>
      </c>
      <c r="KR59" s="145">
        <f>UPPER(INDEX(DADOS_AM!$D$6:$G$6,1,DADOS_AM!$A$2)&amp;" e "&amp;INDEX(DADOS_AM!$D$7:$G$7,1,DADOS_AM!$A$2))</f>
        <v/>
      </c>
    </row>
    <row r="60">
      <c r="BC60" s="143" t="inlineStr">
        <is>
          <t>Rápido</t>
        </is>
      </c>
      <c r="BD60" s="143" t="inlineStr">
        <is>
          <t>Tempo</t>
        </is>
      </c>
      <c r="BE60" s="145" t="n">
        <v>3</v>
      </c>
      <c r="BF60" s="145">
        <f>$BE60+3*IFERROR(VLOOKUP($BD60,$I$2:$L$10,3,FALSE),0)</f>
        <v/>
      </c>
      <c r="BG60" s="145">
        <f>IFERROR(VLOOKUP($BD60,$I$2:$L$10,4,FALSE),0)</f>
        <v/>
      </c>
      <c r="BH60" s="145" t="n">
        <v>0</v>
      </c>
      <c r="BI60" s="145">
        <f>IF($BG60=1,"",$BC60)</f>
        <v/>
      </c>
      <c r="BJ60" s="145">
        <f>IF(AND($BE60=1,$BG60=0),$BC60,"")</f>
        <v/>
      </c>
      <c r="KQ60" s="143" t="inlineStr">
        <is>
          <t>D423</t>
        </is>
      </c>
      <c r="KR60" s="145">
        <f>UPPER(INDEX(DADOS_AM!$D$7:$G$7,1,DADOS_AM!$A$2))</f>
        <v/>
      </c>
    </row>
    <row r="61">
      <c r="BC61" s="143" t="inlineStr">
        <is>
          <t>Reação</t>
        </is>
      </c>
      <c r="BD61" s="143" t="inlineStr">
        <is>
          <t>Tempo</t>
        </is>
      </c>
      <c r="BE61" s="145" t="n">
        <v>3</v>
      </c>
      <c r="BF61" s="145">
        <f>$BE61+3*IFERROR(VLOOKUP($BD61,$I$2:$L$10,3,FALSE),0)</f>
        <v/>
      </c>
      <c r="BG61" s="145">
        <f>IFERROR(VLOOKUP($BD61,$I$2:$L$10,4,FALSE),0)</f>
        <v/>
      </c>
      <c r="BH61" s="145" t="n">
        <v>0</v>
      </c>
      <c r="BI61" s="145">
        <f>IF($BG61=1,"",$BC61)</f>
        <v/>
      </c>
      <c r="BJ61" s="145">
        <f>IF(AND($BE61=1,$BG61=0),$BC61,"")</f>
        <v/>
      </c>
      <c r="KQ61" s="143" t="inlineStr">
        <is>
          <t>F424</t>
        </is>
      </c>
      <c r="KR61" s="145">
        <f>IF(DADOS_AM!$HI$25&gt;DADOS_AM!$HI$26,"⚠ ","")&amp;DADOS_AM!$HI$25&amp;" de "&amp;DADOS_AM!$HI$26</f>
        <v/>
      </c>
    </row>
    <row r="62">
      <c r="BC62" s="143" t="inlineStr">
        <is>
          <t>Armado</t>
        </is>
      </c>
      <c r="BD62" s="143" t="inlineStr">
        <is>
          <t>Tempo</t>
        </is>
      </c>
      <c r="BE62" s="145" t="n">
        <v>1</v>
      </c>
      <c r="BF62" s="145">
        <f>$BE62+3*IFERROR(VLOOKUP($BD62,$I$2:$L$10,3,FALSE),0)</f>
        <v/>
      </c>
      <c r="BG62" s="145">
        <f>IFERROR(VLOOKUP($BD62,$I$2:$L$10,4,FALSE),0)</f>
        <v/>
      </c>
      <c r="BH62" s="145" t="n">
        <v>0</v>
      </c>
      <c r="BI62" s="145">
        <f>IF($BG62=1,"",$BC62)</f>
        <v/>
      </c>
      <c r="BJ62" s="145">
        <f>IF(AND($BE62=1,$BG62=0),$BC62,"")</f>
        <v/>
      </c>
      <c r="KQ62" s="143" t="inlineStr">
        <is>
          <t>J423</t>
        </is>
      </c>
      <c r="KR62" s="145">
        <f>UPPER(INDEX(DADOS_AM!$D$9:$G$9,1,DADOS_AM!$A$2))</f>
        <v/>
      </c>
    </row>
    <row r="63">
      <c r="BC63" s="143" t="inlineStr">
        <is>
          <t>Silencioso</t>
        </is>
      </c>
      <c r="BD63" s="143" t="inlineStr">
        <is>
          <t>Tempo</t>
        </is>
      </c>
      <c r="BE63" s="145" t="n">
        <v>1</v>
      </c>
      <c r="BF63" s="145">
        <f>$BE63+3*IFERROR(VLOOKUP($BD63,$I$2:$L$10,3,FALSE),0)</f>
        <v/>
      </c>
      <c r="BG63" s="145">
        <f>IFERROR(VLOOKUP($BD63,$I$2:$L$10,4,FALSE),0)</f>
        <v/>
      </c>
      <c r="BH63" s="145" t="n">
        <v>0</v>
      </c>
      <c r="BI63" s="145">
        <f>IF($BG63=1,"",$BC63)</f>
        <v/>
      </c>
      <c r="BJ63" s="145">
        <f>IF(AND($BE63=1,$BG63=0),$BC63,"")</f>
        <v/>
      </c>
      <c r="KQ63" s="143" t="inlineStr">
        <is>
          <t>J424</t>
        </is>
      </c>
      <c r="KR63" s="145">
        <f>"Proteção "&amp;(FLOOR(DADOS_AM!$HI$6/3,1)+1)</f>
        <v/>
      </c>
    </row>
    <row r="64">
      <c r="BC64" s="143" t="inlineStr">
        <is>
          <t>Adianta</t>
        </is>
      </c>
      <c r="BD64" s="143" t="inlineStr">
        <is>
          <t>Tempo</t>
        </is>
      </c>
      <c r="BE64" s="145" t="n">
        <v>2</v>
      </c>
      <c r="BF64" s="145">
        <f>$BE64+3*IFERROR(VLOOKUP($BD64,$I$2:$L$10,3,FALSE),0)</f>
        <v/>
      </c>
      <c r="BG64" s="145">
        <f>IFERROR(VLOOKUP($BD64,$I$2:$L$10,4,FALSE),0)</f>
        <v/>
      </c>
      <c r="BH64" s="145" t="n">
        <v>0</v>
      </c>
      <c r="BI64" s="145">
        <f>IF($BG64=1,"",$BC64)</f>
        <v/>
      </c>
      <c r="BJ64" s="145">
        <f>IF(AND($BE64=1,$BG64=0),$BC64,"")</f>
        <v/>
      </c>
      <c r="KQ64" s="143" t="inlineStr">
        <is>
          <t>L423</t>
        </is>
      </c>
      <c r="KR64" s="145">
        <f>UPPER(INDEX(DADOS_AM!$D$10:$G$10,1,DADOS_AM!$A$2))</f>
        <v/>
      </c>
    </row>
    <row r="65">
      <c r="BC65" s="143" t="inlineStr">
        <is>
          <t>Segura</t>
        </is>
      </c>
      <c r="BD65" s="143" t="inlineStr">
        <is>
          <t>Tempo</t>
        </is>
      </c>
      <c r="BE65" s="145" t="n">
        <v>1</v>
      </c>
      <c r="BF65" s="145">
        <f>$BE65+3*IFERROR(VLOOKUP($BD65,$I$2:$L$10,3,FALSE),0)</f>
        <v/>
      </c>
      <c r="BG65" s="145">
        <f>IFERROR(VLOOKUP($BD65,$I$2:$L$10,4,FALSE),0)</f>
        <v/>
      </c>
      <c r="BH65" s="145" t="n">
        <v>0</v>
      </c>
      <c r="BI65" s="145">
        <f>IF($BG65=1,"",$BC65)</f>
        <v/>
      </c>
      <c r="BJ65" s="145">
        <f>IF(AND($BE65=1,$BG65=0),$BC65,"")</f>
        <v/>
      </c>
      <c r="KQ65" s="143" t="inlineStr">
        <is>
          <t>L424</t>
        </is>
      </c>
      <c r="KR65" s="145">
        <f>"+"&amp;IF(DADOS_AM!$HI$6&gt;=9,4,IF(DADOS_AM!$HI$6&gt;=6,3,IF(DADOS_AM!$HI$6&gt;=3,2,1)))&amp;IF(DADOS_AM!$HI$6&gt;=10,"d6","d4")&amp;" na arma"</f>
        <v/>
      </c>
    </row>
    <row r="66">
      <c r="BC66" s="143" t="inlineStr">
        <is>
          <t>Concentrada</t>
        </is>
      </c>
      <c r="BD66" s="143" t="inlineStr">
        <is>
          <t>Tempo</t>
        </is>
      </c>
      <c r="BE66" s="145" t="n">
        <v>1</v>
      </c>
      <c r="BF66" s="145">
        <f>$BE66+3*IFERROR(VLOOKUP($BD66,$I$2:$L$10,3,FALSE),0)</f>
        <v/>
      </c>
      <c r="BG66" s="145">
        <f>IFERROR(VLOOKUP($BD66,$I$2:$L$10,4,FALSE),0)</f>
        <v/>
      </c>
      <c r="BH66" s="145" t="n">
        <v>0</v>
      </c>
      <c r="BI66" s="145">
        <f>IF($BG66=1,"",$BC66)</f>
        <v/>
      </c>
      <c r="BJ66" s="145">
        <f>IF(AND($BE66=1,$BG66=0),$BC66,"")</f>
        <v/>
      </c>
      <c r="KQ66" s="143" t="inlineStr">
        <is>
          <t>P423</t>
        </is>
      </c>
      <c r="KR66" s="145">
        <f>UPPER(INDEX(DADOS_AM!$D$11:$G$11,1,DADOS_AM!$A$2))</f>
        <v/>
      </c>
    </row>
    <row r="67">
      <c r="BC67" s="143" t="inlineStr">
        <is>
          <t>Duradoura</t>
        </is>
      </c>
      <c r="BD67" s="143" t="inlineStr">
        <is>
          <t>Tempo</t>
        </is>
      </c>
      <c r="BE67" s="145" t="n">
        <v>2</v>
      </c>
      <c r="BF67" s="145">
        <f>$BE67+3*IFERROR(VLOOKUP($BD67,$I$2:$L$10,3,FALSE),0)</f>
        <v/>
      </c>
      <c r="BG67" s="145">
        <f>IFERROR(VLOOKUP($BD67,$I$2:$L$10,4,FALSE),0)</f>
        <v/>
      </c>
      <c r="BH67" s="145" t="n">
        <v>0</v>
      </c>
      <c r="BI67" s="145">
        <f>IF($BG67=1,"",$BC67)</f>
        <v/>
      </c>
      <c r="BJ67" s="145">
        <f>IF(AND($BE67=1,$BG67=0),$BC67,"")</f>
        <v/>
      </c>
      <c r="KQ67" s="143" t="inlineStr">
        <is>
          <t>P424</t>
        </is>
      </c>
      <c r="KR67" s="145">
        <f>"RD "&amp;FLOOR(1.5*DADOS_AM!$HI$6,1)&amp;" por 2 PE"</f>
        <v/>
      </c>
    </row>
    <row r="68">
      <c r="BC68" s="143" t="inlineStr">
        <is>
          <t>Marca</t>
        </is>
      </c>
      <c r="BD68" s="143" t="inlineStr">
        <is>
          <t>Marca</t>
        </is>
      </c>
      <c r="BE68" s="145" t="n">
        <v>1</v>
      </c>
      <c r="BF68" s="145">
        <f>$BE68+3*IFERROR(VLOOKUP($BD68,$I$2:$L$10,3,FALSE),0)</f>
        <v/>
      </c>
      <c r="BG68" s="145">
        <f>IFERROR(VLOOKUP($BD68,$I$2:$L$10,4,FALSE),0)</f>
        <v/>
      </c>
      <c r="BH68" s="145" t="n">
        <v>0</v>
      </c>
      <c r="BI68" s="145">
        <f>IF($BG68=1,"",$BC68)</f>
        <v/>
      </c>
      <c r="BJ68" s="145">
        <f>IF(AND($BE68=1,$BG68=0),$BC68,"")</f>
        <v/>
      </c>
      <c r="KQ68" s="143" t="inlineStr">
        <is>
          <t>D427</t>
        </is>
      </c>
      <c r="KR68" s="145">
        <f>IF(DADOS_AM!$A$2=4,"ESTÍMULO: PERÍCIA","—")</f>
        <v/>
      </c>
    </row>
    <row r="69">
      <c r="BC69" s="143" t="inlineStr">
        <is>
          <t>Alvo de Caça</t>
        </is>
      </c>
      <c r="BD69" s="143" t="inlineStr">
        <is>
          <t>Marca</t>
        </is>
      </c>
      <c r="BE69" s="145" t="n">
        <v>1</v>
      </c>
      <c r="BF69" s="145">
        <f>$BE69+3*IFERROR(VLOOKUP($BD69,$I$2:$L$10,3,FALSE),0)</f>
        <v/>
      </c>
      <c r="BG69" s="145">
        <f>IFERROR(VLOOKUP($BD69,$I$2:$L$10,4,FALSE),0)</f>
        <v/>
      </c>
      <c r="BH69" s="145" t="n">
        <v>0</v>
      </c>
      <c r="BI69" s="145">
        <f>IF($BG69=1,"",$BC69)</f>
        <v/>
      </c>
      <c r="BJ69" s="145">
        <f>IF(AND($BE69=1,$BG69=0),$BC69,"")</f>
        <v/>
      </c>
      <c r="KQ69" s="143" t="inlineStr">
        <is>
          <t>J427</t>
        </is>
      </c>
      <c r="KR69" s="145">
        <f>IF(DADOS_AM!$A$2=4,"ESTÍMULO: TESTE DE RESISTÊNCIA","—")</f>
        <v/>
      </c>
    </row>
    <row r="70">
      <c r="BC70" s="143" t="inlineStr">
        <is>
          <t>Rastro</t>
        </is>
      </c>
      <c r="BD70" s="143" t="inlineStr">
        <is>
          <t>Marca</t>
        </is>
      </c>
      <c r="BE70" s="145" t="n">
        <v>1</v>
      </c>
      <c r="BF70" s="145">
        <f>$BE70+3*IFERROR(VLOOKUP($BD70,$I$2:$L$10,3,FALSE),0)</f>
        <v/>
      </c>
      <c r="BG70" s="145">
        <f>IFERROR(VLOOKUP($BD70,$I$2:$L$10,4,FALSE),0)</f>
        <v/>
      </c>
      <c r="BH70" s="145" t="n">
        <v>0</v>
      </c>
      <c r="BI70" s="145">
        <f>IF($BG70=1,"",$BC70)</f>
        <v/>
      </c>
      <c r="BJ70" s="145">
        <f>IF(AND($BE70=1,$BG70=0),$BC70,"")</f>
        <v/>
      </c>
      <c r="KQ70" s="143" t="inlineStr">
        <is>
          <t>P427</t>
        </is>
      </c>
      <c r="KR70" s="145">
        <f>IF(DADOS_AM!$A$2=4,"ESTÍMULO: USOS","—")</f>
        <v/>
      </c>
    </row>
    <row r="71">
      <c r="BC71" s="143" t="inlineStr">
        <is>
          <t>Isca</t>
        </is>
      </c>
      <c r="BD71" s="143" t="inlineStr">
        <is>
          <t>Marca</t>
        </is>
      </c>
      <c r="BE71" s="145" t="n">
        <v>1</v>
      </c>
      <c r="BF71" s="145">
        <f>$BE71+3*IFERROR(VLOOKUP($BD71,$I$2:$L$10,3,FALSE),0)</f>
        <v/>
      </c>
      <c r="BG71" s="145">
        <f>IFERROR(VLOOKUP($BD71,$I$2:$L$10,4,FALSE),0)</f>
        <v/>
      </c>
      <c r="BH71" s="145" t="n">
        <v>0</v>
      </c>
      <c r="BI71" s="145">
        <f>IF($BG71=1,"",$BC71)</f>
        <v/>
      </c>
      <c r="BJ71" s="145">
        <f>IF(AND($BE71=1,$BG71=0),$BC71,"")</f>
        <v/>
      </c>
      <c r="KQ71" s="143" t="inlineStr">
        <is>
          <t>P428</t>
        </is>
      </c>
      <c r="KR71" s="145">
        <f>IF(DADOS_AM!$A$2=4,DADOS_AM!$HI$49,"—")</f>
        <v/>
      </c>
    </row>
    <row r="72">
      <c r="BC72" s="143" t="inlineStr">
        <is>
          <t>Sugar</t>
        </is>
      </c>
      <c r="BD72" s="143" t="inlineStr">
        <is>
          <t>Marca</t>
        </is>
      </c>
      <c r="BE72" s="145" t="n">
        <v>2</v>
      </c>
      <c r="BF72" s="145">
        <f>$BE72+3*IFERROR(VLOOKUP($BD72,$I$2:$L$10,3,FALSE),0)</f>
        <v/>
      </c>
      <c r="BG72" s="145">
        <f>IFERROR(VLOOKUP($BD72,$I$2:$L$10,4,FALSE),0)</f>
        <v/>
      </c>
      <c r="BH72" s="145" t="n">
        <v>0</v>
      </c>
      <c r="BI72" s="145">
        <f>IF($BG72=1,"",$BC72)</f>
        <v/>
      </c>
      <c r="BJ72" s="145">
        <f>IF(AND($BE72=1,$BG72=0),$BC72,"")</f>
        <v/>
      </c>
      <c r="KQ72" s="143" t="inlineStr">
        <is>
          <t>D446</t>
        </is>
      </c>
      <c r="KR72" s="145">
        <f>UPPER(INDEX(DADOS_AM!$D$8:$G$8,1,DADOS_AM!$A$2))</f>
        <v/>
      </c>
    </row>
    <row r="73">
      <c r="BC73" s="143" t="inlineStr">
        <is>
          <t>Cobrança</t>
        </is>
      </c>
      <c r="BD73" s="143" t="inlineStr">
        <is>
          <t>Marca</t>
        </is>
      </c>
      <c r="BE73" s="145" t="n">
        <v>2</v>
      </c>
      <c r="BF73" s="145">
        <f>$BE73+3*IFERROR(VLOOKUP($BD73,$I$2:$L$10,3,FALSE),0)</f>
        <v/>
      </c>
      <c r="BG73" s="145">
        <f>IFERROR(VLOOKUP($BD73,$I$2:$L$10,4,FALSE),0)</f>
        <v/>
      </c>
      <c r="BH73" s="145" t="n">
        <v>0</v>
      </c>
      <c r="BI73" s="145">
        <f>IF($BG73=1,"",$BC73)</f>
        <v/>
      </c>
      <c r="BJ73" s="145">
        <f>IF(AND($BE73=1,$BG73=0),$BC73,"")</f>
        <v/>
      </c>
      <c r="KQ73" s="143" t="inlineStr">
        <is>
          <t>J446</t>
        </is>
      </c>
      <c r="KR73" s="145">
        <f>UPPER(INDEX(DADOS_AM!$D$8:$G$8,1,DADOS_AM!$A$2))</f>
        <v/>
      </c>
    </row>
    <row r="74">
      <c r="BC74" s="143" t="inlineStr">
        <is>
          <t>Identificar Feitiço</t>
        </is>
      </c>
      <c r="BD74" s="143" t="inlineStr">
        <is>
          <t>Marca</t>
        </is>
      </c>
      <c r="BE74" s="145" t="n">
        <v>1</v>
      </c>
      <c r="BF74" s="145">
        <f>$BE74+3*IFERROR(VLOOKUP($BD74,$I$2:$L$10,3,FALSE),0)</f>
        <v/>
      </c>
      <c r="BG74" s="145">
        <f>IFERROR(VLOOKUP($BD74,$I$2:$L$10,4,FALSE),0)</f>
        <v/>
      </c>
      <c r="BH74" s="145" t="n">
        <v>0</v>
      </c>
      <c r="BI74" s="145">
        <f>IF($BG74=1,"",$BC74)</f>
        <v/>
      </c>
      <c r="BJ74" s="145">
        <f>IF(AND($BE74=1,$BG74=0),$BC74,"")</f>
        <v/>
      </c>
      <c r="KQ74" s="143" t="inlineStr">
        <is>
          <t>P446</t>
        </is>
      </c>
      <c r="KR74" s="145">
        <f>UPPER(INDEX(DADOS_AM!$D$8:$G$8,1,DADOS_AM!$A$2))</f>
        <v/>
      </c>
    </row>
    <row r="75">
      <c r="BC75" s="143" t="inlineStr">
        <is>
          <t>Limpa</t>
        </is>
      </c>
      <c r="BD75" s="143" t="inlineStr">
        <is>
          <t>Amparo</t>
        </is>
      </c>
      <c r="BE75" s="145" t="n">
        <v>2</v>
      </c>
      <c r="BF75" s="145">
        <f>$BE75+3*IFERROR(VLOOKUP($BD75,$I$2:$L$10,3,FALSE),0)</f>
        <v/>
      </c>
      <c r="BG75" s="145">
        <f>IFERROR(VLOOKUP($BD75,$I$2:$L$10,4,FALSE),0)</f>
        <v/>
      </c>
      <c r="BH75" s="145" t="n">
        <v>0</v>
      </c>
      <c r="BI75" s="145">
        <f>IF($BG75=1,"",$BC75)</f>
        <v/>
      </c>
      <c r="BJ75" s="145">
        <f>IF(AND($BE75=1,$BG75=0),$BC75,"")</f>
        <v/>
      </c>
      <c r="KQ75" s="143" t="inlineStr">
        <is>
          <t>D466</t>
        </is>
      </c>
      <c r="KR75" s="145">
        <f>UPPER(INDEX(DADOS_AM!$D$8:$G$8,1,DADOS_AM!$A$2))</f>
        <v/>
      </c>
    </row>
    <row r="76">
      <c r="BC76" s="143" t="inlineStr">
        <is>
          <t>Limpa Fundo</t>
        </is>
      </c>
      <c r="BD76" s="143" t="inlineStr">
        <is>
          <t>Amparo</t>
        </is>
      </c>
      <c r="BE76" s="145" t="n">
        <v>3</v>
      </c>
      <c r="BF76" s="145">
        <f>$BE76+3*IFERROR(VLOOKUP($BD76,$I$2:$L$10,3,FALSE),0)</f>
        <v/>
      </c>
      <c r="BG76" s="145">
        <f>IFERROR(VLOOKUP($BD76,$I$2:$L$10,4,FALSE),0)</f>
        <v/>
      </c>
      <c r="BH76" s="145" t="n">
        <v>0</v>
      </c>
      <c r="BI76" s="145">
        <f>IF($BG76=1,"",$BC76)</f>
        <v/>
      </c>
      <c r="BJ76" s="145">
        <f>IF(AND($BE76=1,$BG76=0),$BC76,"")</f>
        <v/>
      </c>
      <c r="KQ76" s="143" t="inlineStr">
        <is>
          <t>J466</t>
        </is>
      </c>
      <c r="KR76" s="145">
        <f>UPPER(INDEX(DADOS_AM!$D$8:$G$8,1,DADOS_AM!$A$2))</f>
        <v/>
      </c>
    </row>
    <row r="77">
      <c r="BC77" s="143" t="inlineStr">
        <is>
          <t>Levanta</t>
        </is>
      </c>
      <c r="BD77" s="143" t="inlineStr">
        <is>
          <t>Amparo</t>
        </is>
      </c>
      <c r="BE77" s="145" t="n">
        <v>3</v>
      </c>
      <c r="BF77" s="145">
        <f>$BE77+3*IFERROR(VLOOKUP($BD77,$I$2:$L$10,3,FALSE),0)</f>
        <v/>
      </c>
      <c r="BG77" s="145">
        <f>IFERROR(VLOOKUP($BD77,$I$2:$L$10,4,FALSE),0)</f>
        <v/>
      </c>
      <c r="BH77" s="145" t="n">
        <v>0</v>
      </c>
      <c r="BI77" s="145">
        <f>IF($BG77=1,"",$BC77)</f>
        <v/>
      </c>
      <c r="BJ77" s="145">
        <f>IF(AND($BE77=1,$BG77=0),$BC77,"")</f>
        <v/>
      </c>
      <c r="KQ77" s="143" t="inlineStr">
        <is>
          <t>P466</t>
        </is>
      </c>
      <c r="KR77" s="145">
        <f>UPPER(INDEX(DADOS_AM!$D$8:$G$8,1,DADOS_AM!$A$2))</f>
        <v/>
      </c>
    </row>
    <row r="78">
      <c r="BC78" s="143" t="inlineStr">
        <is>
          <t>Remenda</t>
        </is>
      </c>
      <c r="BD78" s="143" t="inlineStr">
        <is>
          <t>Amparo</t>
        </is>
      </c>
      <c r="BE78" s="145" t="n">
        <v>3</v>
      </c>
      <c r="BF78" s="145">
        <f>$BE78+3*IFERROR(VLOOKUP($BD78,$I$2:$L$10,3,FALSE),0)</f>
        <v/>
      </c>
      <c r="BG78" s="145">
        <f>IFERROR(VLOOKUP($BD78,$I$2:$L$10,4,FALSE),0)</f>
        <v/>
      </c>
      <c r="BH78" s="145" t="n">
        <v>0</v>
      </c>
      <c r="BI78" s="145">
        <f>IF($BG78=1,"",$BC78)</f>
        <v/>
      </c>
      <c r="BJ78" s="145">
        <f>IF(AND($BE78=1,$BG78=0),$BC78,"")</f>
        <v/>
      </c>
      <c r="KQ78" s="143" t="inlineStr">
        <is>
          <t>D488</t>
        </is>
      </c>
      <c r="KR78" s="145">
        <f>UPPER(INDEX(DADOS_AM!$D$8:$G$8,1,DADOS_AM!$A$2))</f>
        <v/>
      </c>
    </row>
    <row r="79">
      <c r="BC79" s="143" t="inlineStr">
        <is>
          <t>Divide</t>
        </is>
      </c>
      <c r="BD79" s="143" t="inlineStr">
        <is>
          <t>Amparo</t>
        </is>
      </c>
      <c r="BE79" s="145" t="n">
        <v>2</v>
      </c>
      <c r="BF79" s="145">
        <f>$BE79+3*IFERROR(VLOOKUP($BD79,$I$2:$L$10,3,FALSE),0)</f>
        <v/>
      </c>
      <c r="BG79" s="145">
        <f>IFERROR(VLOOKUP($BD79,$I$2:$L$10,4,FALSE),0)</f>
        <v/>
      </c>
      <c r="BH79" s="145" t="n">
        <v>0</v>
      </c>
      <c r="BI79" s="145">
        <f>IF($BG79=1,"",$BC79)</f>
        <v/>
      </c>
      <c r="BJ79" s="145">
        <f>IF(AND($BE79=1,$BG79=0),$BC79,"")</f>
        <v/>
      </c>
      <c r="KQ79" s="143" t="inlineStr">
        <is>
          <t>J488</t>
        </is>
      </c>
      <c r="KR79" s="145">
        <f>UPPER(INDEX(DADOS_AM!$D$8:$G$8,1,DADOS_AM!$A$2))</f>
        <v/>
      </c>
    </row>
    <row r="80">
      <c r="BC80" s="143" t="inlineStr">
        <is>
          <t>Junto</t>
        </is>
      </c>
      <c r="BD80" s="143" t="inlineStr">
        <is>
          <t>Amparo</t>
        </is>
      </c>
      <c r="BE80" s="145" t="n">
        <v>1</v>
      </c>
      <c r="BF80" s="145">
        <f>$BE80+3*IFERROR(VLOOKUP($BD80,$I$2:$L$10,3,FALSE),0)</f>
        <v/>
      </c>
      <c r="BG80" s="145">
        <f>IFERROR(VLOOKUP($BD80,$I$2:$L$10,4,FALSE),0)</f>
        <v/>
      </c>
      <c r="BH80" s="145" t="n">
        <v>0</v>
      </c>
      <c r="BI80" s="145">
        <f>IF($BG80=1,"",$BC80)</f>
        <v/>
      </c>
      <c r="BJ80" s="145">
        <f>IF(AND($BE80=1,$BG80=0),$BC80,"")</f>
        <v/>
      </c>
      <c r="KQ80" s="143" t="inlineStr">
        <is>
          <t>P488</t>
        </is>
      </c>
      <c r="KR80" s="145">
        <f>UPPER(INDEX(DADOS_AM!$D$8:$G$8,1,DADOS_AM!$A$2))</f>
        <v/>
      </c>
    </row>
    <row r="81">
      <c r="BC81" s="143" t="inlineStr">
        <is>
          <t>Reserva</t>
        </is>
      </c>
      <c r="BD81" s="143" t="inlineStr">
        <is>
          <t>Amparo</t>
        </is>
      </c>
      <c r="BE81" s="145" t="n">
        <v>2</v>
      </c>
      <c r="BF81" s="145">
        <f>$BE81+3*IFERROR(VLOOKUP($BD81,$I$2:$L$10,3,FALSE),0)</f>
        <v/>
      </c>
      <c r="BG81" s="145">
        <f>IFERROR(VLOOKUP($BD81,$I$2:$L$10,4,FALSE),0)</f>
        <v/>
      </c>
      <c r="BH81" s="145" t="n">
        <v>0</v>
      </c>
      <c r="BI81" s="145">
        <f>IF($BG81=1,"",$BC81)</f>
        <v/>
      </c>
      <c r="BJ81" s="145">
        <f>IF(AND($BE81=1,$BG81=0),$BC81,"")</f>
        <v/>
      </c>
      <c r="KQ81" s="143" t="inlineStr">
        <is>
          <t>D508</t>
        </is>
      </c>
      <c r="KR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Q82" s="143" t="inlineStr">
        <is>
          <t>J508</t>
        </is>
      </c>
      <c r="KR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Q83" s="143" t="inlineStr">
        <is>
          <t>P508</t>
        </is>
      </c>
      <c r="KR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Q84" s="143" t="inlineStr">
        <is>
          <t>D470</t>
        </is>
      </c>
      <c r="KR84" s="145">
        <f>UPPER(INDEX(DADOS_AM!$D$6:$G$6,1,DADOS_AM!$A$2))&amp;" 7 A 12 · abra quando faltar lugar"</f>
        <v/>
      </c>
    </row>
    <row r="85">
      <c r="KQ85" s="143" t="inlineStr">
        <is>
          <t>D515</t>
        </is>
      </c>
      <c r="KR85"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2026-10-05T02:16:20Z</dcterms:created>
  <dcterms:modified xmlns:dcterms="http://purl.org/dc/terms/" xmlns:xsi="http://www.w3.org/2001/XMLSchema-instance" xsi:type="dcterms:W3CDTF">2026-10-05T02:16:24Z</dcterms:modified>
</cp:coreProperties>
</file>